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comments/comment7.xml" ContentType="application/vnd.openxmlformats-officedocument.spreadsheetml.comments+xml"/>
  <Override PartName="/xl/worksheets/sheet13.xml" ContentType="application/vnd.openxmlformats-officedocument.spreadsheetml.worksheet+xml"/>
  <Override PartName="/xl/comments/comment8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دليل الاستخدام" sheetId="1" state="visible" r:id="rId1"/>
    <sheet name="لوحة التحكم" sheetId="2" state="visible" r:id="rId2"/>
    <sheet name="الموظفون" sheetId="3" state="visible" r:id="rId3"/>
    <sheet name="الحضور" sheetId="4" state="visible" r:id="rId4"/>
    <sheet name="الإجازات" sheetId="5" state="visible" r:id="rId5"/>
    <sheet name="الرواتب" sheetId="6" state="visible" r:id="rId6"/>
    <sheet name="السلف" sheetId="7" state="visible" r:id="rId7"/>
    <sheet name="الوثائق" sheetId="8" state="visible" r:id="rId8"/>
    <sheet name="التوظيف" sheetId="9" state="visible" r:id="rId9"/>
    <sheet name="التدريب" sheetId="10" state="visible" r:id="rId10"/>
    <sheet name="تقييم الأداء" sheetId="11" state="visible" r:id="rId11"/>
    <sheet name="الجزاءات والمكافآت" sheetId="12" state="visible" r:id="rId12"/>
    <sheet name="إنهاء الخدمة" sheetId="13" state="visible" r:id="rId13"/>
    <sheet name="العهد" sheetId="14" state="visible" r:id="rId14"/>
    <sheet name="تقرير الموظفين" sheetId="15" state="visible" r:id="rId15"/>
    <sheet name="تقرير الإدارات" sheetId="16" state="visible" r:id="rId16"/>
    <sheet name="تقرير الحضور" sheetId="17" state="visible" r:id="rId17"/>
    <sheet name="تقرير التأخير" sheetId="18" state="visible" r:id="rId18"/>
    <sheet name="تقرير الإجازات" sheetId="19" state="visible" r:id="rId19"/>
    <sheet name="تقرير الرواتب" sheetId="20" state="visible" r:id="rId20"/>
    <sheet name="تقرير البدلات والخصومات" sheetId="21" state="visible" r:id="rId21"/>
    <sheet name="تقرير السلف" sheetId="22" state="visible" r:id="rId22"/>
    <sheet name="تقرير الوثائق" sheetId="23" state="visible" r:id="rId23"/>
    <sheet name="تقرير التوظيف" sheetId="24" state="visible" r:id="rId24"/>
    <sheet name="تقرير التدريب والأداء" sheetId="25" state="visible" r:id="rId25"/>
    <sheet name="تقرير العهد" sheetId="26" state="visible" r:id="rId26"/>
    <sheet name="تقرير إنهاء الخدمة" sheetId="27" state="visible" r:id="rId27"/>
    <sheet name="تقرير تكاليف الموظفين" sheetId="28" state="visible" r:id="rId28"/>
    <sheet name="الإعدادات" sheetId="29" state="visible" r:id="rId29"/>
    <sheet name="بيانات الرسوم" sheetId="30" state="visible" r:id="rId30"/>
    <sheet name="سجل الاختبارات" sheetId="31" state="visible" r:id="rId31"/>
  </sheets>
  <definedNames>
    <definedName name="اسم_المؤسسة">'الإعدادات'!$B$5</definedName>
    <definedName name="السجل_التجاري">'الإعدادات'!$B$6</definedName>
    <definedName name="السنة_المالية">'الإعدادات'!$B$7</definedName>
    <definedName name="العملة">'الإعدادات'!$B$8</definedName>
    <definedName name="مسؤول_الموارد_البشرية">'الإعدادات'!$B$9</definedName>
    <definedName name="شعار_المؤسسة">'الإعدادات'!$B$10</definedName>
    <definedName name="بداية_الدوام">'الإعدادات'!$B$12</definedName>
    <definedName name="نهاية_الدوام">'الإعدادات'!$B$13</definedName>
    <definedName name="مدة_الاستراحة">'الإعدادات'!$B$14</definedName>
    <definedName name="ساعات_العمل_المطلوبة">'الإعدادات'!$B$15</definedName>
    <definedName name="دقائق_السماح">'الإعدادات'!$B$16</definedName>
    <definedName name="احتساب_التأخير">'الإعدادات'!$B$17</definedName>
    <definedName name="احتساب_العمل_الإضافي">'الإعدادات'!$B$18</definedName>
    <definedName name="حد_العمل_الإضافي_دقيقة">'الإعدادات'!$B$19</definedName>
    <definedName name="معامل_العمل_الإضافي">'الإعدادات'!$B$20</definedName>
    <definedName name="تفعيل_الدوام_الليلي">'الإعدادات'!$B$21</definedName>
    <definedName name="تفعيل_الدوام_المرن">'الإعدادات'!$B$22</definedName>
    <definedName name="بداية_الدوام_المرن">'الإعدادات'!$B$23</definedName>
    <definedName name="نهاية_الدوام_المرن">'الإعدادات'!$B$24</definedName>
    <definedName name="أيام_العمل_الأسبوعية">'الإعدادات'!$B$25</definedName>
    <definedName name="تنبيه_انتهاء_العقد">'الإعدادات'!$B$27</definedName>
    <definedName name="تنبيه_وثيقة_90">'الإعدادات'!$B$28</definedName>
    <definedName name="تنبيه_وثيقة_30">'الإعدادات'!$B$29</definedName>
    <definedName name="تنبيه_وثيقة_7">'الإعدادات'!$B$30</definedName>
    <definedName name="فترة_الموظف_الجديد">'الإعدادات'!$B$31</definedName>
    <definedName name="الرصيد_السنوي">'الإعدادات'!$B$33</definedName>
    <definedName name="معدل_الاستحقاق_الشهري">'الإعدادات'!$B$34</definedName>
    <definedName name="السماح_بالرصيد_السالب">'الإعدادات'!$B$35</definedName>
    <definedName name="بداية_احتساب_الرصيد">'الإعدادات'!$B$36</definedName>
    <definedName name="الحد_الأقصى_الإجازة_المتصلة">'الإعدادات'!$B$37</definedName>
    <definedName name="أيام_العمل_الشهرية">'الإعدادات'!$B$39</definedName>
    <definedName name="احتساب_خصم_الغياب">'الإعدادات'!$B$40</definedName>
    <definedName name="ساعات_الخصم_اليومية">'الإعدادات'!$B$41</definedName>
    <definedName name="بادئة_الرقم_الوظيفي">'الإعدادات'!$B$42</definedName>
    <definedName name="احتياطي_تسوية">'الإعدادات'!$B$43</definedName>
    <definedName name="وزن_جودة_العمل">'الإعدادات'!$B$45</definedName>
    <definedName name="وزن_الالتزام">'الإعدادات'!$B$46</definedName>
    <definedName name="وزن_الإنتاجية">'الإعدادات'!$B$47</definedName>
    <definedName name="وزن_التعاون">'الإعدادات'!$B$48</definedName>
    <definedName name="وزن_الأهداف">'الإعدادات'!$B$49</definedName>
    <definedName name="مجموع_الأوزان">'الإعدادات'!$B$50</definedName>
    <definedName name="تقرير_الشهر">'الإعدادات'!$B$52</definedName>
    <definedName name="تقرير_السنة">'الإعدادات'!$B$53</definedName>
    <definedName name="قائمة_الإدارات">'الإعدادات'!$H$5:$H$64</definedName>
    <definedName name="قائمة_الأقسام">'الإعدادات'!$I$5:$I$64</definedName>
    <definedName name="قائمة_المسميات">'الإعدادات'!$J$5:$J$64</definedName>
    <definedName name="قائمة_أنواع_التوظيف">'الإعدادات'!$K$5:$K$64</definedName>
    <definedName name="قائمة_حالات_الموظف">'الإعدادات'!$L$5:$L$64</definedName>
    <definedName name="قائمة_أنواع_الإجازات">'الإعدادات'!$M$5:$M$64</definedName>
    <definedName name="قائمة_حالات_الطلب">'الإعدادات'!$N$5:$N$64</definedName>
    <definedName name="قائمة_حالات_الحضور">'الإعدادات'!$O$5:$O$64</definedName>
    <definedName name="قائمة_أيام_الأسبوع">'الإعدادات'!$P$5:$P$64</definedName>
    <definedName name="قائمة_أنواع_الوثائق">'الإعدادات'!$Q$5:$Q$64</definedName>
    <definedName name="قائمة_أنواع_البدلات">'الإعدادات'!$R$5:$R$64</definedName>
    <definedName name="قائمة_أنواع_الخصومات">'الإعدادات'!$S$5:$S$64</definedName>
    <definedName name="قائمة_حالات_التوظيف">'الإعدادات'!$T$5:$T$64</definedName>
    <definedName name="قائمة_حالات_القرار">'الإعدادات'!$U$5:$U$64</definedName>
    <definedName name="قائمة_أنواع_الجزاءات">'الإعدادات'!$V$5:$V$64</definedName>
    <definedName name="قائمة_أنواع_المكافآت">'الإعدادات'!$W$5:$W$64</definedName>
    <definedName name="قائمة_حالات_العهدة">'الإعدادات'!$X$5:$X$64</definedName>
    <definedName name="قائمة_حالات_إنهاء_الخدمة">'الإعدادات'!$Y$5:$Y$64</definedName>
    <definedName name="قائمة_حالات_الصرف">'الإعدادات'!$Z$5:$Z$64</definedName>
    <definedName name="قائمة_نتائج_المقابلة">'الإعدادات'!$AA$5:$AA$64</definedName>
    <definedName name="قائمة_حالات_التدريب">'الإعدادات'!$AB$5:$AB$64</definedName>
    <definedName name="قائمة_أوزان_التقييم">'الإعدادات'!$AC$5:$AC$64</definedName>
    <definedName name="الموظفون_الرقم">'الموظفون'!$A$3:$A$502</definedName>
    <definedName name="قائمة_الرقم_الوظيفي">'الموظفون'!$A$3:$A$502</definedName>
    <definedName name="الموظفون_الاسم">'الموظفون'!$B$3:$B$502</definedName>
    <definedName name="الموظفون_الإدارة">'الموظفون'!$K$3:$K$502</definedName>
    <definedName name="الموظفون_القسم">'الموظفون'!$L$3:$L$502</definedName>
    <definedName name="الموظفون_التعيين">'الموظفون'!$O$3:$O$502</definedName>
    <definedName name="الموظفون_نهاية_العقد">'الموظفون'!$Q$3:$Q$502</definedName>
    <definedName name="الموظفون_الحالة">'الموظفون'!$R$3:$R$502</definedName>
    <definedName name="الموظفون_الاساسي">'الموظفون'!$S$3:$S$502</definedName>
    <definedName name="الموظفون_البدلات">'الموظفون'!$T$3:$T$502</definedName>
    <definedName name="الموظفون_الافتتاحي">'الموظفون'!$Y$3:$Y$502</definedName>
    <definedName name="الموظفون_الاكتمال">'الموظفون'!$AA$3:$AA$502</definedName>
    <definedName name="الحضور_الرقم">'الحضور'!$A$3:$A$502</definedName>
    <definedName name="الحضور_التأخير">'الحضور'!$K$3:$K$502</definedName>
    <definedName name="الحضور_الحالة">'الحضور'!$N$3:$N$502</definedName>
    <definedName name="الرواتب_الشهر">'الرواتب'!$A$3:$A$502</definedName>
    <definedName name="الرواتب_السنة">'الرواتب'!$B$3:$B$502</definedName>
    <definedName name="الرواتب_الرقم">'الرواتب'!$C$3:$C$502</definedName>
    <definedName name="الرواتب_الاسم">'الرواتب'!$D$3:$D$502</definedName>
    <definedName name="الرواتب_الإدارة">'الرواتب'!$E$3:$E$502</definedName>
    <definedName name="الرواتب_الاساسي">'الرواتب'!$G$3:$G$502</definedName>
    <definedName name="الرواتب_بدل_النقل">'الرواتب'!$H$3:$H$502</definedName>
    <definedName name="الرواتب_بدل_السكن">'الرواتب'!$I$3:$I$502</definedName>
    <definedName name="الرواتب_بدلات_اخرى">'الرواتب'!$J$3:$J$502</definedName>
    <definedName name="الرواتب_المكافآت">'الرواتب'!$K$3:$K$502</definedName>
    <definedName name="الرواتب_الاضافي">'الرواتب'!$L$3:$L$502</definedName>
    <definedName name="الرواتب_السلفة">'الرواتب'!$M$3:$M$502</definedName>
    <definedName name="الرواتب_قسط_السلفة">'الرواتب'!$Q$3:$Q$502</definedName>
    <definedName name="الرواتب_الاستحقاقات">'الرواتب'!$S$3:$S$502</definedName>
    <definedName name="الرواتب_الخصومات">'الرواتب'!$T$3:$T$502</definedName>
    <definedName name="الرواتب_الصافي">'الرواتب'!$U$3:$U$502</definedName>
    <definedName name="الرواتب_حالة_الصرف">'الرواتب'!$V$3:$V$502</definedName>
    <definedName name="الرواتب_التحقق">'الرواتب'!$Y$3:$Y$502</definedName>
    <definedName name="السلف_الرقم">'السلف'!$A$3:$A$502</definedName>
    <definedName name="السلف_المتبقي">'السلف'!$I$3:$I$502</definedName>
    <definedName name="الوثائق_الرقم">'الوثائق'!$A$3:$A$502</definedName>
    <definedName name="الوثائق_الحالة">'الوثائق'!$H$3:$H$502</definedName>
    <definedName name="الوثائق_ايام">'الوثائق'!$I$3:$I$502</definedName>
    <definedName name="العهد_الرقم">'العهد'!$D$3:$D$502</definedName>
    <definedName name="العهد_الحالة">'العهد'!$J$3:$J$502</definedName>
    <definedName name="التدريب_الرقم">'التدريب'!$A$3:$A$502</definedName>
    <definedName name="التدريب_التكلفة">'التدريب'!$G$3:$G$502</definedName>
    <definedName name="تقييم_الأداء_الفترة">'تقييم الأداء'!$C$3:$C$502</definedName>
    <definedName name="تقييم_الأداء_النهائي">'تقييم الأداء'!$I$3:$I$502</definedName>
    <definedName name="تقييم_الأداء_التقدير">'تقييم الأداء'!$J$3:$J$502</definedName>
    <definedName name="_xlnm._FilterDatabase" localSheetId="2" hidden="1">'الموظفون'!$A$2:$AC$502</definedName>
    <definedName name="_xlnm.Print_Titles" localSheetId="2">'الموظفون'!$2:$2</definedName>
    <definedName name="_xlnm.Print_Area" localSheetId="2">'الموظفون'!$A$1:$AC$502</definedName>
    <definedName name="_xlnm._FilterDatabase" localSheetId="3" hidden="1">'الحضور'!$A$2:$O$502</definedName>
    <definedName name="_xlnm.Print_Titles" localSheetId="3">'الحضور'!$2:$2</definedName>
    <definedName name="_xlnm.Print_Area" localSheetId="3">'الحضور'!$A$1:$O$502</definedName>
    <definedName name="_xlnm._FilterDatabase" localSheetId="4" hidden="1">'الإجازات'!$A$2:$O$502</definedName>
    <definedName name="_xlnm.Print_Titles" localSheetId="4">'الإجازات'!$2:$2</definedName>
    <definedName name="_xlnm.Print_Area" localSheetId="4">'الإجازات'!$A$1:$O$502</definedName>
    <definedName name="_xlnm._FilterDatabase" localSheetId="5" hidden="1">'الرواتب'!$A$2:$AC$502</definedName>
    <definedName name="_xlnm.Print_Titles" localSheetId="5">'الرواتب'!$2:$2</definedName>
    <definedName name="_xlnm.Print_Area" localSheetId="5">'الرواتب'!$A$1:$Y$502</definedName>
    <definedName name="_xlnm._FilterDatabase" localSheetId="6" hidden="1">'السلف'!$A$2:$L$502</definedName>
    <definedName name="_xlnm.Print_Titles" localSheetId="6">'السلف'!$2:$2</definedName>
    <definedName name="_xlnm.Print_Area" localSheetId="6">'السلف'!$A$1:$L$502</definedName>
    <definedName name="_xlnm._FilterDatabase" localSheetId="7" hidden="1">'الوثائق'!$A$2:$J$502</definedName>
    <definedName name="_xlnm.Print_Titles" localSheetId="7">'الوثائق'!$2:$2</definedName>
    <definedName name="_xlnm.Print_Area" localSheetId="7">'الوثائق'!$A$1:$J$502</definedName>
    <definedName name="_xlnm._FilterDatabase" localSheetId="8" hidden="1">'التوظيف'!$A$2:$M$502</definedName>
    <definedName name="_xlnm.Print_Titles" localSheetId="8">'التوظيف'!$2:$2</definedName>
    <definedName name="_xlnm.Print_Area" localSheetId="8">'التوظيف'!$A$1:$M$502</definedName>
    <definedName name="_xlnm._FilterDatabase" localSheetId="9" hidden="1">'التدريب'!$A$2:$J$502</definedName>
    <definedName name="_xlnm.Print_Titles" localSheetId="9">'التدريب'!$2:$2</definedName>
    <definedName name="_xlnm.Print_Area" localSheetId="9">'التدريب'!$A$1:$J$502</definedName>
    <definedName name="_xlnm._FilterDatabase" localSheetId="10" hidden="1">'تقييم الأداء'!$A$2:$K$502</definedName>
    <definedName name="_xlnm.Print_Titles" localSheetId="10">'تقييم الأداء'!$2:$2</definedName>
    <definedName name="_xlnm.Print_Area" localSheetId="10">'تقييم الأداء'!$A$1:$K$502</definedName>
    <definedName name="_xlnm._FilterDatabase" localSheetId="11" hidden="1">'الجزاءات والمكافآت'!$A$2:$K$502</definedName>
    <definedName name="_xlnm.Print_Titles" localSheetId="11">'الجزاءات والمكافآت'!$2:$2</definedName>
    <definedName name="_xlnm.Print_Area" localSheetId="11">'الجزاءات والمكافآت'!$A$1:$K$502</definedName>
    <definedName name="_xlnm._FilterDatabase" localSheetId="12" hidden="1">'إنهاء الخدمة'!$A$2:$L$502</definedName>
    <definedName name="_xlnm.Print_Titles" localSheetId="12">'إنهاء الخدمة'!$2:$2</definedName>
    <definedName name="_xlnm.Print_Area" localSheetId="12">'إنهاء الخدمة'!$A$1:$L$502</definedName>
    <definedName name="_xlnm._FilterDatabase" localSheetId="13" hidden="1">'العهد'!$A$2:$K$502</definedName>
    <definedName name="_xlnm.Print_Titles" localSheetId="13">'العهد'!$2:$2</definedName>
    <definedName name="_xlnm.Print_Area" localSheetId="13">'العهد'!$A$1:$K$502</definedName>
    <definedName name="_xlnm.Print_Titles" localSheetId="14">'تقرير الموظفين'!$6:$6</definedName>
    <definedName name="_xlnm.Print_Area" localSheetId="14">'تقرير الموظفين'!$A$1:$L$207</definedName>
    <definedName name="_xlnm.Print_Titles" localSheetId="15">'تقرير الإدارات'!$6:$6</definedName>
    <definedName name="_xlnm.Print_Area" localSheetId="15">'تقرير الإدارات'!$A$1:$I$207</definedName>
    <definedName name="_xlnm.Print_Titles" localSheetId="16">'تقرير الحضور'!$6:$6</definedName>
    <definedName name="_xlnm.Print_Area" localSheetId="16">'تقرير الحضور'!$A$1:$K$207</definedName>
    <definedName name="_xlnm.Print_Titles" localSheetId="17">'تقرير التأخير'!$6:$6</definedName>
    <definedName name="_xlnm.Print_Area" localSheetId="17">'تقرير التأخير'!$A$1:$H$207</definedName>
    <definedName name="_xlnm.Print_Titles" localSheetId="18">'تقرير الإجازات'!$6:$6</definedName>
    <definedName name="_xlnm.Print_Area" localSheetId="18">'تقرير الإجازات'!$A$1:$L$207</definedName>
    <definedName name="_xlnm.Print_Titles" localSheetId="19">'تقرير الرواتب'!$6:$6</definedName>
    <definedName name="_xlnm.Print_Area" localSheetId="19">'تقرير الرواتب'!$A$1:$R$207</definedName>
    <definedName name="_xlnm.Print_Titles" localSheetId="20">'تقرير البدلات والخصومات'!$6:$6</definedName>
    <definedName name="_xlnm.Print_Area" localSheetId="20">'تقرير البدلات والخصومات'!$A$1:$I$207</definedName>
    <definedName name="_xlnm.Print_Titles" localSheetId="21">'تقرير السلف'!$6:$6</definedName>
    <definedName name="_xlnm.Print_Area" localSheetId="21">'تقرير السلف'!$A$1:$K$207</definedName>
    <definedName name="_xlnm.Print_Titles" localSheetId="22">'تقرير الوثائق'!$6:$6</definedName>
    <definedName name="_xlnm.Print_Area" localSheetId="22">'تقرير الوثائق'!$A$1:$J$207</definedName>
    <definedName name="_xlnm.Print_Titles" localSheetId="23">'تقرير التوظيف'!$6:$6</definedName>
    <definedName name="_xlnm.Print_Area" localSheetId="23">'تقرير التوظيف'!$A$1:$L$207</definedName>
    <definedName name="_xlnm.Print_Titles" localSheetId="24">'تقرير التدريب والأداء'!$6:$6</definedName>
    <definedName name="_xlnm.Print_Area" localSheetId="24">'تقرير التدريب والأداء'!$A$1:$L$207</definedName>
    <definedName name="_xlnm.Print_Titles" localSheetId="25">'تقرير العهد'!$6:$6</definedName>
    <definedName name="_xlnm.Print_Area" localSheetId="25">'تقرير العهد'!$A$1:$K$207</definedName>
    <definedName name="_xlnm.Print_Titles" localSheetId="26">'تقرير إنهاء الخدمة'!$6:$6</definedName>
    <definedName name="_xlnm.Print_Area" localSheetId="26">'تقرير إنهاء الخدمة'!$A$1:$J$207</definedName>
    <definedName name="_xlnm.Print_Titles" localSheetId="27">'تقرير تكاليف الموظفين'!$6:$6</definedName>
    <definedName name="_xlnm.Print_Area" localSheetId="27">'تقرير تكاليف الموظفين'!$A$1:$J$207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"/>
    <numFmt numFmtId="166" formatCode="hh:mm"/>
    <numFmt numFmtId="167" formatCode="0.##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2E5C9A"/>
      <sz val="10"/>
    </font>
    <font>
      <name val="Arial"/>
      <b val="1"/>
      <color rgb="00FFFFFF"/>
      <sz val="12"/>
    </font>
    <font>
      <name val="Arial"/>
      <b val="1"/>
      <color rgb="00000000"/>
      <sz val="11"/>
    </font>
    <font>
      <name val="Arial"/>
      <color rgb="00595959"/>
      <sz val="9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F3864"/>
      <sz val="13"/>
    </font>
    <font>
      <name val="Arial"/>
      <b val="1"/>
      <color rgb="00595959"/>
      <sz val="10"/>
    </font>
    <font>
      <name val="Arial"/>
      <b val="1"/>
      <color rgb="002E5C9A"/>
      <sz val="20"/>
    </font>
    <font>
      <name val="Arial"/>
      <b val="1"/>
      <color rgb="00548235"/>
      <sz val="20"/>
    </font>
    <font>
      <name val="Arial"/>
      <b val="1"/>
      <color rgb="00C00000"/>
      <sz val="20"/>
    </font>
    <font>
      <name val="Arial"/>
      <b val="1"/>
      <color rgb="00BF8F00"/>
      <sz val="20"/>
    </font>
    <font>
      <name val="Arial"/>
      <b val="1"/>
      <color rgb="007030A0"/>
      <sz val="20"/>
    </font>
    <font>
      <name val="Arial"/>
      <b val="1"/>
      <color rgb="0000708C"/>
      <sz val="20"/>
    </font>
    <font>
      <name val="Arial"/>
      <b val="1"/>
      <color rgb="00595959"/>
      <sz val="9"/>
    </font>
    <font>
      <name val="Arial"/>
      <b val="1"/>
      <color rgb="00C00000"/>
      <sz val="10"/>
    </font>
    <font>
      <name val="Arial"/>
      <b val="1"/>
      <color rgb="00000000"/>
      <sz val="10"/>
    </font>
    <font>
      <name val="Arial"/>
      <color rgb="00000000"/>
      <sz val="11"/>
    </font>
  </fonts>
  <fills count="1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FFF8E7"/>
        <bgColor rgb="00FFF8E7"/>
      </patternFill>
    </fill>
    <fill>
      <patternFill patternType="solid">
        <fgColor rgb="00EDF3FA"/>
        <bgColor rgb="00EDF3FA"/>
      </patternFill>
    </fill>
    <fill>
      <patternFill patternType="solid">
        <fgColor rgb="002E5C9A"/>
        <bgColor rgb="002E5C9A"/>
      </patternFill>
    </fill>
    <fill>
      <patternFill patternType="solid">
        <fgColor rgb="00F4F8FC"/>
        <bgColor rgb="00F4F8FC"/>
      </patternFill>
    </fill>
    <fill>
      <patternFill patternType="solid">
        <fgColor rgb="00FFFFFF"/>
        <bgColor rgb="00FFFFFF"/>
      </patternFill>
    </fill>
    <fill>
      <patternFill patternType="solid">
        <fgColor rgb="00548235"/>
        <bgColor rgb="00548235"/>
      </patternFill>
    </fill>
    <fill>
      <patternFill patternType="solid">
        <fgColor rgb="00C00000"/>
        <bgColor rgb="00C00000"/>
      </patternFill>
    </fill>
    <fill>
      <patternFill patternType="solid">
        <fgColor rgb="00BF8F00"/>
        <bgColor rgb="00BF8F00"/>
      </patternFill>
    </fill>
    <fill>
      <patternFill patternType="solid">
        <fgColor rgb="007030A0"/>
        <bgColor rgb="007030A0"/>
      </patternFill>
    </fill>
    <fill>
      <patternFill patternType="solid">
        <fgColor rgb="0000708C"/>
        <bgColor rgb="0000708C"/>
      </patternFill>
    </fill>
    <fill>
      <patternFill patternType="solid">
        <fgColor rgb="00C6EFCE"/>
        <bgColor rgb="00C6EFCE"/>
      </patternFill>
    </fill>
  </fills>
  <borders count="30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2E5C9A"/>
      </left>
      <right style="thin">
        <color rgb="002E5C9A"/>
      </right>
      <top style="thin">
        <color rgb="002E5C9A"/>
      </top>
      <bottom style="thin">
        <color rgb="002E5C9A"/>
      </bottom>
    </border>
    <border>
      <left style="thin">
        <color rgb="00548235"/>
      </left>
      <right style="thin">
        <color rgb="00548235"/>
      </right>
      <top style="thin">
        <color rgb="00548235"/>
      </top>
      <bottom style="thin">
        <color rgb="00548235"/>
      </bottom>
    </border>
    <border>
      <left style="thin">
        <color rgb="00C00000"/>
      </left>
      <right style="thin">
        <color rgb="00C00000"/>
      </right>
      <top style="thin">
        <color rgb="00C00000"/>
      </top>
      <bottom style="thin">
        <color rgb="00C00000"/>
      </bottom>
    </border>
    <border>
      <left style="thin">
        <color rgb="00BF8F00"/>
      </left>
      <right style="thin">
        <color rgb="00BF8F00"/>
      </right>
      <top style="thin">
        <color rgb="00BF8F00"/>
      </top>
      <bottom style="thin">
        <color rgb="00BF8F00"/>
      </bottom>
    </border>
    <border>
      <left style="thin">
        <color rgb="007030A0"/>
      </left>
      <right style="thin">
        <color rgb="007030A0"/>
      </right>
      <top style="thin">
        <color rgb="007030A0"/>
      </top>
      <bottom style="thin">
        <color rgb="007030A0"/>
      </bottom>
    </border>
    <border>
      <left style="thin">
        <color rgb="0000708C"/>
      </left>
      <right style="thin">
        <color rgb="0000708C"/>
      </right>
      <top style="thin">
        <color rgb="0000708C"/>
      </top>
      <bottom style="thin">
        <color rgb="0000708C"/>
      </bottom>
    </border>
    <border>
      <left/>
      <right/>
      <top style="thin">
        <color rgb="00C00000"/>
      </top>
      <bottom/>
      <diagonal/>
    </border>
    <border>
      <left/>
      <right style="thin">
        <color rgb="00C00000"/>
      </right>
      <top style="thin">
        <color rgb="00C00000"/>
      </top>
      <bottom/>
      <diagonal/>
    </border>
    <border>
      <left/>
      <right style="thin">
        <color rgb="00C00000"/>
      </right>
      <top style="thin">
        <color rgb="00C00000"/>
      </top>
      <bottom style="thin">
        <color rgb="00C00000"/>
      </bottom>
      <diagonal/>
    </border>
    <border>
      <left/>
      <right/>
      <top style="thin">
        <color rgb="007030A0"/>
      </top>
      <bottom/>
      <diagonal/>
    </border>
    <border>
      <left/>
      <right style="thin">
        <color rgb="007030A0"/>
      </right>
      <top style="thin">
        <color rgb="007030A0"/>
      </top>
      <bottom/>
      <diagonal/>
    </border>
    <border>
      <left/>
      <right style="thin">
        <color rgb="007030A0"/>
      </right>
      <top style="thin">
        <color rgb="007030A0"/>
      </top>
      <bottom style="thin">
        <color rgb="007030A0"/>
      </bottom>
      <diagonal/>
    </border>
    <border>
      <left/>
      <right/>
      <top style="thin">
        <color rgb="00BF8F00"/>
      </top>
      <bottom/>
      <diagonal/>
    </border>
    <border>
      <left/>
      <right style="thin">
        <color rgb="00BF8F00"/>
      </right>
      <top style="thin">
        <color rgb="00BF8F00"/>
      </top>
      <bottom/>
      <diagonal/>
    </border>
    <border>
      <left/>
      <right style="thin">
        <color rgb="00BF8F00"/>
      </right>
      <top style="thin">
        <color rgb="00BF8F00"/>
      </top>
      <bottom style="thin">
        <color rgb="00BF8F00"/>
      </bottom>
      <diagonal/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  <border>
      <left/>
      <right/>
      <top style="thin">
        <color rgb="00548235"/>
      </top>
      <bottom/>
      <diagonal/>
    </border>
    <border>
      <left/>
      <right style="thin">
        <color rgb="00548235"/>
      </right>
      <top style="thin">
        <color rgb="00548235"/>
      </top>
      <bottom/>
      <diagonal/>
    </border>
    <border>
      <left/>
      <right style="thin">
        <color rgb="00548235"/>
      </right>
      <top style="thin">
        <color rgb="00548235"/>
      </top>
      <bottom style="thin">
        <color rgb="00548235"/>
      </bottom>
      <diagonal/>
    </border>
    <border>
      <left/>
      <right/>
      <top style="thin">
        <color rgb="002E5C9A"/>
      </top>
      <bottom/>
      <diagonal/>
    </border>
    <border>
      <left/>
      <right style="thin">
        <color rgb="002E5C9A"/>
      </right>
      <top style="thin">
        <color rgb="002E5C9A"/>
      </top>
      <bottom/>
      <diagonal/>
    </border>
    <border>
      <left/>
      <right style="thin">
        <color rgb="002E5C9A"/>
      </right>
      <top style="thin">
        <color rgb="002E5C9A"/>
      </top>
      <bottom style="thin">
        <color rgb="002E5C9A"/>
      </bottom>
      <diagonal/>
    </border>
    <border>
      <left/>
      <right/>
      <top style="thin">
        <color rgb="0000708C"/>
      </top>
      <bottom/>
      <diagonal/>
    </border>
    <border>
      <left/>
      <right style="thin">
        <color rgb="0000708C"/>
      </right>
      <top style="thin">
        <color rgb="0000708C"/>
      </top>
      <bottom/>
      <diagonal/>
    </border>
    <border>
      <left/>
      <right style="thin">
        <color rgb="0000708C"/>
      </right>
      <top style="thin">
        <color rgb="0000708C"/>
      </top>
      <bottom style="thin">
        <color rgb="0000708C"/>
      </bottom>
      <diagonal/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0" fillId="2" borderId="0" pivotButton="0" quotePrefix="0" xfId="0"/>
    <xf numFmtId="0" fontId="3" fillId="2" borderId="0" applyAlignment="1" pivotButton="0" quotePrefix="0" xfId="0">
      <alignment horizontal="right" vertical="center" readingOrder="2"/>
    </xf>
    <xf numFmtId="0" fontId="21" fillId="0" borderId="0" applyAlignment="1" pivotButton="0" quotePrefix="0" xfId="0">
      <alignment horizontal="right" vertical="center" wrapText="1" readingOrder="2"/>
    </xf>
    <xf numFmtId="0" fontId="10" fillId="0" borderId="0" applyAlignment="1" pivotButton="0" quotePrefix="0" xfId="0">
      <alignment horizontal="right" vertical="center" readingOrder="2"/>
    </xf>
    <xf numFmtId="0" fontId="11" fillId="0" borderId="0" applyAlignment="1" pivotButton="0" quotePrefix="0" xfId="0">
      <alignment horizontal="left" vertical="center" readingOrder="2"/>
    </xf>
    <xf numFmtId="0" fontId="7" fillId="6" borderId="0" applyAlignment="1" pivotButton="0" quotePrefix="0" xfId="0">
      <alignment horizontal="center" vertical="center" wrapText="1" readingOrder="2"/>
    </xf>
    <xf numFmtId="0" fontId="0" fillId="6" borderId="0" pivotButton="0" quotePrefix="0" xfId="0"/>
    <xf numFmtId="0" fontId="7" fillId="9" borderId="0" applyAlignment="1" pivotButton="0" quotePrefix="0" xfId="0">
      <alignment horizontal="center" vertical="center" wrapText="1" readingOrder="2"/>
    </xf>
    <xf numFmtId="0" fontId="0" fillId="9" borderId="0" pivotButton="0" quotePrefix="0" xfId="0"/>
    <xf numFmtId="0" fontId="7" fillId="10" borderId="0" applyAlignment="1" pivotButton="0" quotePrefix="0" xfId="0">
      <alignment horizontal="center" vertical="center" wrapText="1" readingOrder="2"/>
    </xf>
    <xf numFmtId="0" fontId="0" fillId="10" borderId="0" pivotButton="0" quotePrefix="0" xfId="0"/>
    <xf numFmtId="0" fontId="7" fillId="11" borderId="0" applyAlignment="1" pivotButton="0" quotePrefix="0" xfId="0">
      <alignment horizontal="center" vertical="center" wrapText="1" readingOrder="2"/>
    </xf>
    <xf numFmtId="0" fontId="0" fillId="11" borderId="0" pivotButton="0" quotePrefix="0" xfId="0"/>
    <xf numFmtId="3" fontId="12" fillId="8" borderId="2" applyAlignment="1" pivotButton="0" quotePrefix="0" xfId="0">
      <alignment horizontal="center" vertical="center" readingOrder="2"/>
    </xf>
    <xf numFmtId="0" fontId="0" fillId="0" borderId="2" pivotButton="0" quotePrefix="0" xfId="0"/>
    <xf numFmtId="3" fontId="13" fillId="8" borderId="3" applyAlignment="1" pivotButton="0" quotePrefix="0" xfId="0">
      <alignment horizontal="center" vertical="center" readingOrder="2"/>
    </xf>
    <xf numFmtId="0" fontId="0" fillId="0" borderId="3" pivotButton="0" quotePrefix="0" xfId="0"/>
    <xf numFmtId="3" fontId="14" fillId="8" borderId="4" applyAlignment="1" pivotButton="0" quotePrefix="0" xfId="0">
      <alignment horizontal="center" vertical="center" readingOrder="2"/>
    </xf>
    <xf numFmtId="0" fontId="0" fillId="0" borderId="4" pivotButton="0" quotePrefix="0" xfId="0"/>
    <xf numFmtId="3" fontId="15" fillId="8" borderId="5" applyAlignment="1" pivotButton="0" quotePrefix="0" xfId="0">
      <alignment horizontal="center" vertical="center" readingOrder="2"/>
    </xf>
    <xf numFmtId="0" fontId="0" fillId="0" borderId="5" pivotButton="0" quotePrefix="0" xfId="0"/>
    <xf numFmtId="0" fontId="7" fillId="12" borderId="0" applyAlignment="1" pivotButton="0" quotePrefix="0" xfId="0">
      <alignment horizontal="center" vertical="center" wrapText="1" readingOrder="2"/>
    </xf>
    <xf numFmtId="0" fontId="0" fillId="12" borderId="0" pivotButton="0" quotePrefix="0" xfId="0"/>
    <xf numFmtId="0" fontId="7" fillId="13" borderId="0" applyAlignment="1" pivotButton="0" quotePrefix="0" xfId="0">
      <alignment horizontal="center" vertical="center" wrapText="1" readingOrder="2"/>
    </xf>
    <xf numFmtId="0" fontId="0" fillId="13" borderId="0" pivotButton="0" quotePrefix="0" xfId="0"/>
    <xf numFmtId="3" fontId="16" fillId="8" borderId="6" applyAlignment="1" pivotButton="0" quotePrefix="0" xfId="0">
      <alignment horizontal="center" vertical="center" readingOrder="2"/>
    </xf>
    <xf numFmtId="0" fontId="0" fillId="0" borderId="6" pivotButton="0" quotePrefix="0" xfId="0"/>
    <xf numFmtId="3" fontId="17" fillId="8" borderId="7" applyAlignment="1" pivotButton="0" quotePrefix="0" xfId="0">
      <alignment horizontal="center" vertical="center" readingOrder="2"/>
    </xf>
    <xf numFmtId="0" fontId="0" fillId="0" borderId="7" pivotButton="0" quotePrefix="0" xfId="0"/>
    <xf numFmtId="4" fontId="12" fillId="8" borderId="2" applyAlignment="1" pivotButton="0" quotePrefix="0" xfId="0">
      <alignment horizontal="center" vertical="center" readingOrder="2"/>
    </xf>
    <xf numFmtId="4" fontId="13" fillId="8" borderId="3" applyAlignment="1" pivotButton="0" quotePrefix="0" xfId="0">
      <alignment horizontal="center" vertical="center" readingOrder="2"/>
    </xf>
    <xf numFmtId="4" fontId="15" fillId="8" borderId="5" applyAlignment="1" pivotButton="0" quotePrefix="0" xfId="0">
      <alignment horizontal="center" vertical="center" readingOrder="2"/>
    </xf>
    <xf numFmtId="4" fontId="14" fillId="8" borderId="4" applyAlignment="1" pivotButton="0" quotePrefix="0" xfId="0">
      <alignment horizontal="center" vertical="center" readingOrder="2"/>
    </xf>
    <xf numFmtId="4" fontId="16" fillId="8" borderId="6" applyAlignment="1" pivotButton="0" quotePrefix="0" xfId="0">
      <alignment horizontal="center" vertical="center" readingOrder="2"/>
    </xf>
    <xf numFmtId="4" fontId="17" fillId="8" borderId="7" applyAlignment="1" pivotButton="0" quotePrefix="0" xfId="0">
      <alignment horizontal="center" vertical="center" readingOrder="2"/>
    </xf>
    <xf numFmtId="0" fontId="4" fillId="0" borderId="1" applyAlignment="1" pivotButton="0" quotePrefix="0" xfId="0">
      <alignment horizontal="right" vertical="center" readingOrder="2"/>
    </xf>
    <xf numFmtId="0" fontId="8" fillId="6" borderId="1" applyAlignment="1" pivotButton="0" quotePrefix="0" xfId="0">
      <alignment horizontal="center" vertical="center" wrapText="1" readingOrder="2"/>
    </xf>
    <xf numFmtId="49" fontId="0" fillId="0" borderId="1" applyAlignment="1" applyProtection="1" pivotButton="0" quotePrefix="0" xfId="0">
      <alignment horizontal="center" vertical="center" readingOrder="2"/>
      <protection locked="0" hidden="0"/>
    </xf>
    <xf numFmtId="0" fontId="0" fillId="0" borderId="1" applyAlignment="1" applyProtection="1" pivotButton="0" quotePrefix="0" xfId="0">
      <alignment horizontal="center" vertical="center" readingOrder="2"/>
      <protection locked="0" hidden="0"/>
    </xf>
    <xf numFmtId="164" fontId="0" fillId="0" borderId="1" applyAlignment="1" applyProtection="1" pivotButton="0" quotePrefix="0" xfId="0">
      <alignment horizontal="center" vertical="center" readingOrder="2"/>
      <protection locked="0" hidden="0"/>
    </xf>
    <xf numFmtId="4" fontId="0" fillId="0" borderId="1" applyAlignment="1" applyProtection="1" pivotButton="0" quotePrefix="0" xfId="0">
      <alignment horizontal="center" vertical="center" readingOrder="2"/>
      <protection locked="0" hidden="0"/>
    </xf>
    <xf numFmtId="0" fontId="0" fillId="0" borderId="1" applyAlignment="1" pivotButton="0" quotePrefix="0" xfId="0">
      <alignment horizontal="center" vertical="center" readingOrder="2"/>
    </xf>
    <xf numFmtId="3" fontId="0" fillId="0" borderId="1" applyAlignment="1" pivotButton="0" quotePrefix="0" xfId="0">
      <alignment horizontal="center" vertical="center" readingOrder="2"/>
    </xf>
    <xf numFmtId="165" fontId="0" fillId="0" borderId="1" applyAlignment="1" pivotButton="0" quotePrefix="0" xfId="0">
      <alignment horizontal="center" vertical="center" readingOrder="2"/>
    </xf>
    <xf numFmtId="49" fontId="0" fillId="7" borderId="1" applyAlignment="1" applyProtection="1" pivotButton="0" quotePrefix="0" xfId="0">
      <alignment horizontal="center" vertical="center" readingOrder="2"/>
      <protection locked="0" hidden="0"/>
    </xf>
    <xf numFmtId="0" fontId="0" fillId="7" borderId="1" applyAlignment="1" applyProtection="1" pivotButton="0" quotePrefix="0" xfId="0">
      <alignment horizontal="center" vertical="center" readingOrder="2"/>
      <protection locked="0" hidden="0"/>
    </xf>
    <xf numFmtId="164" fontId="0" fillId="7" borderId="1" applyAlignment="1" applyProtection="1" pivotButton="0" quotePrefix="0" xfId="0">
      <alignment horizontal="center" vertical="center" readingOrder="2"/>
      <protection locked="0" hidden="0"/>
    </xf>
    <xf numFmtId="4" fontId="0" fillId="7" borderId="1" applyAlignment="1" applyProtection="1" pivotButton="0" quotePrefix="0" xfId="0">
      <alignment horizontal="center" vertical="center" readingOrder="2"/>
      <protection locked="0" hidden="0"/>
    </xf>
    <xf numFmtId="0" fontId="0" fillId="7" borderId="1" applyAlignment="1" pivotButton="0" quotePrefix="0" xfId="0">
      <alignment horizontal="center" vertical="center" readingOrder="2"/>
    </xf>
    <xf numFmtId="3" fontId="0" fillId="7" borderId="1" applyAlignment="1" pivotButton="0" quotePrefix="0" xfId="0">
      <alignment horizontal="center" vertical="center" readingOrder="2"/>
    </xf>
    <xf numFmtId="165" fontId="0" fillId="7" borderId="1" applyAlignment="1" pivotButton="0" quotePrefix="0" xfId="0">
      <alignment horizontal="center" vertical="center" readingOrder="2"/>
    </xf>
    <xf numFmtId="166" fontId="0" fillId="0" borderId="1" applyAlignment="1" applyProtection="1" pivotButton="0" quotePrefix="0" xfId="0">
      <alignment horizontal="center" vertical="center" readingOrder="2"/>
      <protection locked="0" hidden="0"/>
    </xf>
    <xf numFmtId="166" fontId="0" fillId="0" borderId="1" applyAlignment="1" pivotButton="0" quotePrefix="0" xfId="0">
      <alignment horizontal="center" vertical="center" readingOrder="2"/>
    </xf>
    <xf numFmtId="2" fontId="0" fillId="0" borderId="1" applyAlignment="1" pivotButton="0" quotePrefix="0" xfId="0">
      <alignment horizontal="center" vertical="center" readingOrder="2"/>
    </xf>
    <xf numFmtId="166" fontId="0" fillId="7" borderId="1" applyAlignment="1" applyProtection="1" pivotButton="0" quotePrefix="0" xfId="0">
      <alignment horizontal="center" vertical="center" readingOrder="2"/>
      <protection locked="0" hidden="0"/>
    </xf>
    <xf numFmtId="166" fontId="0" fillId="7" borderId="1" applyAlignment="1" pivotButton="0" quotePrefix="0" xfId="0">
      <alignment horizontal="center" vertical="center" readingOrder="2"/>
    </xf>
    <xf numFmtId="2" fontId="0" fillId="7" borderId="1" applyAlignment="1" pivotButton="0" quotePrefix="0" xfId="0">
      <alignment horizontal="center" vertical="center" readingOrder="2"/>
    </xf>
    <xf numFmtId="3" fontId="0" fillId="0" borderId="1" applyAlignment="1" applyProtection="1" pivotButton="0" quotePrefix="0" xfId="0">
      <alignment horizontal="center" vertical="center" readingOrder="2"/>
      <protection locked="0" hidden="0"/>
    </xf>
    <xf numFmtId="4" fontId="0" fillId="0" borderId="1" applyAlignment="1" pivotButton="0" quotePrefix="0" xfId="0">
      <alignment horizontal="center" vertical="center" readingOrder="2"/>
    </xf>
    <xf numFmtId="49" fontId="0" fillId="0" borderId="1" applyAlignment="1" pivotButton="0" quotePrefix="0" xfId="0">
      <alignment horizontal="center" vertical="center" readingOrder="2"/>
    </xf>
    <xf numFmtId="3" fontId="0" fillId="7" borderId="1" applyAlignment="1" applyProtection="1" pivotButton="0" quotePrefix="0" xfId="0">
      <alignment horizontal="center" vertical="center" readingOrder="2"/>
      <protection locked="0" hidden="0"/>
    </xf>
    <xf numFmtId="4" fontId="0" fillId="7" borderId="1" applyAlignment="1" pivotButton="0" quotePrefix="0" xfId="0">
      <alignment horizontal="center" vertical="center" readingOrder="2"/>
    </xf>
    <xf numFmtId="49" fontId="0" fillId="7" borderId="1" applyAlignment="1" pivotButton="0" quotePrefix="0" xfId="0">
      <alignment horizontal="center" vertical="center" readingOrder="2"/>
    </xf>
    <xf numFmtId="0" fontId="10" fillId="0" borderId="0" applyAlignment="1" pivotButton="0" quotePrefix="0" xfId="0">
      <alignment horizontal="center" vertical="center" readingOrder="2"/>
    </xf>
    <xf numFmtId="0" fontId="11" fillId="0" borderId="0" applyAlignment="1" pivotButton="0" quotePrefix="0" xfId="0">
      <alignment horizontal="right" vertical="center" readingOrder="2"/>
    </xf>
    <xf numFmtId="0" fontId="7" fillId="6" borderId="1" applyAlignment="1" pivotButton="0" quotePrefix="0" xfId="0">
      <alignment horizontal="center" vertical="center" wrapText="1" readingOrder="2"/>
    </xf>
    <xf numFmtId="164" fontId="0" fillId="0" borderId="1" applyAlignment="1" pivotButton="0" quotePrefix="0" xfId="0">
      <alignment horizontal="center" vertical="center" readingOrder="2"/>
    </xf>
    <xf numFmtId="4" fontId="0" fillId="0" borderId="0" pivotButton="0" quotePrefix="0" xfId="0"/>
    <xf numFmtId="164" fontId="0" fillId="7" borderId="1" applyAlignment="1" pivotButton="0" quotePrefix="0" xfId="0">
      <alignment horizontal="center" vertical="center" readingOrder="2"/>
    </xf>
    <xf numFmtId="0" fontId="8" fillId="2" borderId="1" applyAlignment="1" pivotButton="0" quotePrefix="0" xfId="0">
      <alignment horizontal="center" vertical="center" readingOrder="2"/>
    </xf>
    <xf numFmtId="0" fontId="0" fillId="2" borderId="1" pivotButton="0" quotePrefix="0" xfId="0"/>
    <xf numFmtId="4" fontId="8" fillId="2" borderId="1" applyAlignment="1" pivotButton="0" quotePrefix="0" xfId="0">
      <alignment horizontal="center" vertical="center" readingOrder="2"/>
    </xf>
    <xf numFmtId="0" fontId="20" fillId="0" borderId="1" applyAlignment="1" pivotButton="0" quotePrefix="0" xfId="0">
      <alignment horizontal="right" vertical="center" readingOrder="2"/>
    </xf>
    <xf numFmtId="0" fontId="20" fillId="7" borderId="1" applyAlignment="1" pivotButton="0" quotePrefix="0" xfId="0">
      <alignment horizontal="right" vertical="center" readingOrder="2"/>
    </xf>
    <xf numFmtId="0" fontId="6" fillId="0" borderId="0" applyAlignment="1" pivotButton="0" quotePrefix="0" xfId="0">
      <alignment horizontal="right" vertical="center" readingOrder="2"/>
    </xf>
    <xf numFmtId="0" fontId="4" fillId="5" borderId="1" applyAlignment="1" pivotButton="0" quotePrefix="0" xfId="0">
      <alignment horizontal="center" vertical="center" readingOrder="2"/>
    </xf>
    <xf numFmtId="3" fontId="4" fillId="5" borderId="1" applyAlignment="1" pivotButton="0" quotePrefix="0" xfId="0">
      <alignment horizontal="center" vertical="center" readingOrder="2"/>
    </xf>
    <xf numFmtId="0" fontId="18" fillId="0" borderId="0" applyAlignment="1" pivotButton="0" quotePrefix="0" xfId="0">
      <alignment horizontal="left" vertical="center" readingOrder="2"/>
    </xf>
    <xf numFmtId="0" fontId="19" fillId="0" borderId="0" applyAlignment="1" pivotButton="0" quotePrefix="0" xfId="0">
      <alignment horizontal="left" vertical="center" readingOrder="2"/>
    </xf>
    <xf numFmtId="0" fontId="2" fillId="0" borderId="0" applyAlignment="1" pivotButton="0" quotePrefix="0" xfId="0">
      <alignment horizontal="right" vertical="center" readingOrder="2"/>
    </xf>
    <xf numFmtId="0" fontId="0" fillId="2" borderId="0" applyProtection="1" pivotButton="0" quotePrefix="0" xfId="0">
      <protection locked="0" hidden="0"/>
    </xf>
    <xf numFmtId="0" fontId="7" fillId="6" borderId="1" applyAlignment="1" applyProtection="1" pivotButton="0" quotePrefix="0" xfId="0">
      <alignment horizontal="center" vertical="center" wrapText="1" readingOrder="2"/>
      <protection locked="0" hidden="0"/>
    </xf>
    <xf numFmtId="0" fontId="0" fillId="0" borderId="0" applyProtection="1" pivotButton="0" quotePrefix="0" xfId="0">
      <protection locked="0" hidden="0"/>
    </xf>
    <xf numFmtId="0" fontId="4" fillId="3" borderId="1" applyAlignment="1" pivotButton="0" quotePrefix="0" xfId="0">
      <alignment horizontal="right" vertical="center" readingOrder="2"/>
    </xf>
    <xf numFmtId="0" fontId="0" fillId="4" borderId="1" applyAlignment="1" applyProtection="1" pivotButton="0" quotePrefix="0" xfId="0">
      <alignment horizontal="center" vertical="center" readingOrder="2"/>
      <protection locked="0" hidden="0"/>
    </xf>
    <xf numFmtId="0" fontId="5" fillId="0" borderId="1" applyAlignment="1" pivotButton="0" quotePrefix="0" xfId="0">
      <alignment horizontal="right" vertical="center" wrapText="1" readingOrder="2"/>
    </xf>
    <xf numFmtId="167" fontId="0" fillId="4" borderId="1" applyAlignment="1" applyProtection="1" pivotButton="0" quotePrefix="0" xfId="0">
      <alignment horizontal="center" vertical="center" readingOrder="2"/>
      <protection locked="0" hidden="0"/>
    </xf>
    <xf numFmtId="166" fontId="0" fillId="4" borderId="1" applyAlignment="1" applyProtection="1" pivotButton="0" quotePrefix="0" xfId="0">
      <alignment horizontal="center" vertical="center" readingOrder="2"/>
      <protection locked="0" hidden="0"/>
    </xf>
    <xf numFmtId="164" fontId="0" fillId="4" borderId="1" applyAlignment="1" applyProtection="1" pivotButton="0" quotePrefix="0" xfId="0">
      <alignment horizontal="center" vertical="center" readingOrder="2"/>
      <protection locked="0" hidden="0"/>
    </xf>
    <xf numFmtId="167" fontId="0" fillId="5" borderId="1" applyAlignment="1" applyProtection="1" pivotButton="0" quotePrefix="0" xfId="0">
      <alignment horizontal="center" vertical="center" readingOrder="2"/>
      <protection locked="0" hidden="0"/>
    </xf>
    <xf numFmtId="0" fontId="8" fillId="6" borderId="0" applyAlignment="1" pivotButton="0" quotePrefix="0" xfId="0">
      <alignment horizontal="center" vertical="center" readingOrder="2"/>
    </xf>
    <xf numFmtId="0" fontId="9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19" fillId="0" borderId="0" applyAlignment="1" pivotButton="0" quotePrefix="0" xfId="0">
      <alignment horizontal="right" vertical="center" readingOrder="2"/>
    </xf>
    <xf numFmtId="0" fontId="8" fillId="6" borderId="1" applyAlignment="1" pivotButton="0" quotePrefix="0" xfId="0">
      <alignment horizontal="center" vertical="center" readingOrder="2"/>
    </xf>
    <xf numFmtId="0" fontId="0" fillId="0" borderId="1" applyAlignment="1" pivotButton="0" quotePrefix="0" xfId="0">
      <alignment horizontal="center" vertical="center" wrapText="1" readingOrder="2"/>
    </xf>
    <xf numFmtId="0" fontId="0" fillId="0" borderId="1" applyAlignment="1" pivotButton="0" quotePrefix="0" xfId="0">
      <alignment horizontal="right" vertical="center" wrapText="1" readingOrder="2"/>
    </xf>
    <xf numFmtId="0" fontId="0" fillId="7" borderId="1" applyAlignment="1" pivotButton="0" quotePrefix="0" xfId="0">
      <alignment horizontal="center" vertical="center" wrapText="1" readingOrder="2"/>
    </xf>
    <xf numFmtId="0" fontId="0" fillId="7" borderId="1" applyAlignment="1" pivotButton="0" quotePrefix="0" xfId="0">
      <alignment horizontal="right" vertical="center" wrapText="1" readingOrder="2"/>
    </xf>
    <xf numFmtId="0" fontId="0" fillId="0" borderId="26" pivotButton="0" quotePrefix="0" xfId="0"/>
    <xf numFmtId="0" fontId="0" fillId="0" borderId="23" pivotButton="0" quotePrefix="0" xfId="0"/>
    <xf numFmtId="0" fontId="0" fillId="0" borderId="10" pivotButton="0" quotePrefix="0" xfId="0"/>
    <xf numFmtId="0" fontId="0" fillId="0" borderId="16" pivotButton="0" quotePrefix="0" xfId="0"/>
    <xf numFmtId="0" fontId="0" fillId="0" borderId="13" pivotButton="0" quotePrefix="0" xfId="0"/>
    <xf numFmtId="0" fontId="0" fillId="0" borderId="29" pivotButton="0" quotePrefix="0" xfId="0"/>
    <xf numFmtId="0" fontId="0" fillId="0" borderId="19" pivotButton="0" quotePrefix="0" xfId="0"/>
    <xf numFmtId="0" fontId="0" fillId="0" borderId="20" pivotButton="0" quotePrefix="0" xfId="0"/>
    <xf numFmtId="164" fontId="0" fillId="0" borderId="1" applyAlignment="1" applyProtection="1" pivotButton="0" quotePrefix="0" xfId="0">
      <alignment horizontal="center" vertical="center" readingOrder="2"/>
      <protection locked="0" hidden="0"/>
    </xf>
    <xf numFmtId="165" fontId="0" fillId="0" borderId="1" applyAlignment="1" pivotButton="0" quotePrefix="0" xfId="0">
      <alignment horizontal="center" vertical="center" readingOrder="2"/>
    </xf>
    <xf numFmtId="164" fontId="0" fillId="7" borderId="1" applyAlignment="1" applyProtection="1" pivotButton="0" quotePrefix="0" xfId="0">
      <alignment horizontal="center" vertical="center" readingOrder="2"/>
      <protection locked="0" hidden="0"/>
    </xf>
    <xf numFmtId="165" fontId="0" fillId="7" borderId="1" applyAlignment="1" pivotButton="0" quotePrefix="0" xfId="0">
      <alignment horizontal="center" vertical="center" readingOrder="2"/>
    </xf>
    <xf numFmtId="166" fontId="0" fillId="0" borderId="1" applyAlignment="1" applyProtection="1" pivotButton="0" quotePrefix="0" xfId="0">
      <alignment horizontal="center" vertical="center" readingOrder="2"/>
      <protection locked="0" hidden="0"/>
    </xf>
    <xf numFmtId="166" fontId="0" fillId="0" borderId="1" applyAlignment="1" pivotButton="0" quotePrefix="0" xfId="0">
      <alignment horizontal="center" vertical="center" readingOrder="2"/>
    </xf>
    <xf numFmtId="166" fontId="0" fillId="7" borderId="1" applyAlignment="1" applyProtection="1" pivotButton="0" quotePrefix="0" xfId="0">
      <alignment horizontal="center" vertical="center" readingOrder="2"/>
      <protection locked="0" hidden="0"/>
    </xf>
    <xf numFmtId="166" fontId="0" fillId="7" borderId="1" applyAlignment="1" pivotButton="0" quotePrefix="0" xfId="0">
      <alignment horizontal="center" vertical="center" readingOrder="2"/>
    </xf>
    <xf numFmtId="164" fontId="0" fillId="0" borderId="1" applyAlignment="1" pivotButton="0" quotePrefix="0" xfId="0">
      <alignment horizontal="center" vertical="center" readingOrder="2"/>
    </xf>
    <xf numFmtId="164" fontId="0" fillId="7" borderId="1" applyAlignment="1" pivotButton="0" quotePrefix="0" xfId="0">
      <alignment horizontal="center" vertical="center" readingOrder="2"/>
    </xf>
    <xf numFmtId="167" fontId="0" fillId="4" borderId="1" applyAlignment="1" applyProtection="1" pivotButton="0" quotePrefix="0" xfId="0">
      <alignment horizontal="center" vertical="center" readingOrder="2"/>
      <protection locked="0" hidden="0"/>
    </xf>
    <xf numFmtId="166" fontId="0" fillId="4" borderId="1" applyAlignment="1" applyProtection="1" pivotButton="0" quotePrefix="0" xfId="0">
      <alignment horizontal="center" vertical="center" readingOrder="2"/>
      <protection locked="0" hidden="0"/>
    </xf>
    <xf numFmtId="164" fontId="0" fillId="4" borderId="1" applyAlignment="1" applyProtection="1" pivotButton="0" quotePrefix="0" xfId="0">
      <alignment horizontal="center" vertical="center" readingOrder="2"/>
      <protection locked="0" hidden="0"/>
    </xf>
    <xf numFmtId="167" fontId="0" fillId="5" borderId="1" applyAlignment="1" applyProtection="1" pivotButton="0" quotePrefix="0" xfId="0">
      <alignment horizontal="center" vertical="center" readingOrder="2"/>
      <protection locked="0" hidden="0"/>
    </xf>
    <xf numFmtId="0" fontId="0" fillId="14" borderId="1" applyAlignment="1" pivotButton="0" quotePrefix="0" xfId="0">
      <alignment horizontal="center" vertical="center" wrapText="1" readingOrder="2"/>
    </xf>
    <xf numFmtId="0" fontId="0" fillId="14" borderId="1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dxfs count="6">
    <dxf>
      <font>
        <name val="Arial"/>
        <b val="1"/>
        <color rgb="009C0006"/>
        <sz val="11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9C6500"/>
        <sz val="10"/>
      </font>
      <fill>
        <patternFill patternType="solid">
          <fgColor rgb="00FFEB9C"/>
          <bgColor rgb="00FFEB9C"/>
        </patternFill>
      </fill>
    </dxf>
    <dxf>
      <font>
        <name val="Arial"/>
        <b val="1"/>
        <color rgb="00006100"/>
        <sz val="10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9C0006"/>
        <sz val="10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1F3864"/>
        <sz val="10"/>
      </font>
      <fill>
        <patternFill patternType="solid">
          <fgColor rgb="00DDEBF7"/>
          <bgColor rgb="00DDEBF7"/>
        </patternFill>
      </fill>
    </dxf>
    <dxf>
      <font>
        <name val="Arial"/>
        <b val="1"/>
        <color rgb="00FFFFFF"/>
        <sz val="10"/>
      </font>
      <fill>
        <patternFill patternType="solid">
          <fgColor rgb="00E36C0A"/>
          <bgColor rgb="00E36C0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الموظفون النشطون حسب الإدارة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'بيانات الرسوم'!B3</f>
            </strRef>
          </tx>
          <spPr>
            <a:ln>
              <a:prstDash val="solid"/>
            </a:ln>
          </spPr>
          <cat>
            <strRef>
              <f>'بيانات الرسوم'!$A$4:$A$15</f>
            </strRef>
          </cat>
          <val>
            <numRef>
              <f>'بيانات الرسوم'!$B$4:$B$15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العدد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توزيع الموظفين حسب الحالة</a:t>
            </a:r>
          </a:p>
        </rich>
      </tx>
    </title>
    <plotArea>
      <pieChart>
        <varyColors val="1"/>
        <ser>
          <idx val="0"/>
          <order val="0"/>
          <tx>
            <strRef>
              <f>'بيانات الرسوم'!B18</f>
            </strRef>
          </tx>
          <spPr>
            <a:ln>
              <a:prstDash val="solid"/>
            </a:ln>
          </spPr>
          <cat>
            <strRef>
              <f>'بيانات الرسوم'!$A$19:$A$26</f>
            </strRef>
          </cat>
          <val>
            <numRef>
              <f>'بيانات الرسوم'!$B$19:$B$26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الرواتب حسب الشهر</a:t>
            </a:r>
          </a:p>
        </rich>
      </tx>
    </title>
    <plotArea>
      <lineChart>
        <grouping val="standard"/>
        <ser>
          <idx val="0"/>
          <order val="0"/>
          <tx>
            <strRef>
              <f>'بيانات الرسوم'!B29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'بيانات الرسوم'!$A$30:$A$41</f>
            </strRef>
          </cat>
          <val>
            <numRef>
              <f>'بيانات الرسوم'!$B$30:$B$41</f>
            </numRef>
          </val>
        </ser>
        <ser>
          <idx val="1"/>
          <order val="1"/>
          <tx>
            <strRef>
              <f>'بيانات الرسوم'!C29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'بيانات الرسوم'!$A$30:$A$41</f>
            </strRef>
          </cat>
          <val>
            <numRef>
              <f>'بيانات الرسوم'!$C$30:$C$41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المبلغ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مؤشرات مختارة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'بيانات الرسوم'!B44</f>
            </strRef>
          </tx>
          <spPr>
            <a:ln>
              <a:prstDash val="solid"/>
            </a:ln>
          </spPr>
          <cat>
            <strRef>
              <f>'بيانات الرسوم'!$A$45:$A$50</f>
            </strRef>
          </cat>
          <val>
            <numRef>
              <f>'بيانات الرسوم'!$B$45:$B$50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النظام</author>
  </authors>
  <commentList>
    <comment ref="R2" authorId="0" shapeId="0">
      <text>
        <t>القيم من قائمة حالات الموظف في ورقة الإعدادات.</t>
      </text>
    </comment>
    <comment ref="S2" authorId="0" shapeId="0">
      <text>
        <t>أدخل الراتب الأساسي بالعملة المحددة في الإعدادات.</t>
      </text>
    </comment>
  </commentList>
</comments>
</file>

<file path=xl/comments/comment2.xml><?xml version="1.0" encoding="utf-8"?>
<comments xmlns="http://schemas.openxmlformats.org/spreadsheetml/2006/main">
  <authors>
    <author>النظام</author>
  </authors>
  <commentList>
    <comment ref="E2" authorId="0" shapeId="0">
      <text>
        <t>أدخل الوقت بصيغة ساعة:دقيقة (مثال 08:15). للدوام الليلي أدخل وقت الانصراف بعد منتصف الليل وسيُحتسب الفرق تلقائيًا عبر MOD.</t>
      </text>
    </comment>
  </commentList>
</comments>
</file>

<file path=xl/comments/comment3.xml><?xml version="1.0" encoding="utf-8"?>
<comments xmlns="http://schemas.openxmlformats.org/spreadsheetml/2006/main">
  <authors>
    <author>النظام</author>
  </authors>
  <commentList>
    <comment ref="I2" authorId="0" shapeId="0">
      <text>
        <t>الرصيد قبل الطلب = الرصيد السنوي + الاستحقاق المتراكم (للإجازة السنوية) − مجموع الأيام المعتمدة السابقة لنفس النوع.</t>
      </text>
    </comment>
  </commentList>
</comments>
</file>

<file path=xl/comments/comment4.xml><?xml version="1.0" encoding="utf-8"?>
<comments xmlns="http://schemas.openxmlformats.org/spreadsheetml/2006/main">
  <authors>
    <author>النظام</author>
  </authors>
  <commentList>
    <comment ref="M2" authorId="0" shapeId="0">
      <text>
        <t>أدخل رقم السلفة عند خصم قسط؛ يُستخدم لربط القسط بالسلفة ومنع الخصم المزدوج.</t>
      </text>
    </comment>
    <comment ref="S2" authorId="0" shapeId="0">
      <text>
        <t>إجمالي الاستحقاقات = الأساسي + كل البدلات + المكافآت + قيمة العمل الإضافي.</t>
      </text>
    </comment>
    <comment ref="T2" authorId="0" shapeId="0">
      <text>
        <t>إجمالي الخصومات = خصم تأخير + غياب + جزاء + قسط سلفة + استقطاعات أخرى.</t>
      </text>
    </comment>
  </commentList>
</comments>
</file>

<file path=xl/comments/comment5.xml><?xml version="1.0" encoding="utf-8"?>
<comments xmlns="http://schemas.openxmlformats.org/spreadsheetml/2006/main">
  <authors>
    <author>النظام</author>
  </authors>
  <commentList>
    <comment ref="H2" authorId="0" shapeId="0">
      <text>
        <t>إجمالي المسدد يُحتسب من أقساط السلفة المخصومة فعليًا في كشوف الرواتب بحالة (مصروف) — لمنع الخصم المزدوج.</t>
      </text>
    </comment>
  </commentList>
</comments>
</file>

<file path=xl/comments/comment6.xml><?xml version="1.0" encoding="utf-8"?>
<comments xmlns="http://schemas.openxmlformats.org/spreadsheetml/2006/main">
  <authors>
    <author>النظام</author>
  </authors>
  <commentList>
    <comment ref="I2" authorId="0" shapeId="0">
      <text>
        <t>التقييم النهائي = المتوسط المرجّح حسب الأوزان القابلة للتعديل في ورقة الإعدادات (قسم أوزان التقييم).</t>
      </text>
    </comment>
  </commentList>
</comments>
</file>

<file path=xl/comments/comment7.xml><?xml version="1.0" encoding="utf-8"?>
<comments xmlns="http://schemas.openxmlformats.org/spreadsheetml/2006/main">
  <authors>
    <author>النظام</author>
  </authors>
  <commentList>
    <comment ref="H2" authorId="0" shapeId="0">
      <text>
        <t>لا يُخصم أي أثر مالي تلقائيًا من الرواتب. يجب إدخال الخصم أو المكافأة يدويًا ومعتمدًا في كشف الرواتب.</t>
      </text>
    </comment>
  </commentList>
</comments>
</file>

<file path=xl/comments/comment8.xml><?xml version="1.0" encoding="utf-8"?>
<comments xmlns="http://schemas.openxmlformats.org/spreadsheetml/2006/main">
  <authors>
    <author>النظام</author>
  </authors>
  <commentList>
    <comment ref="I2" authorId="0" shapeId="0">
      <text>
        <t>المستحقات النهائية تُدخل يدويًا وفق لائحة المؤسسة والقواعد القانونية المعمول بها؛ لا يفترض النظام قواعد قانونية.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28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28</row>
      <rowOff>0</rowOff>
    </from>
    <ext cx="46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45</row>
      <rowOff>0</rowOff>
    </from>
    <ext cx="54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45</row>
      <rowOff>0</rowOff>
    </from>
    <ext cx="468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tabColor rgb="00548235"/>
    <outlinePr summaryBelow="1" summaryRight="1"/>
    <pageSetUpPr/>
  </sheetPr>
  <dimension ref="A1:C93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0" customWidth="1" min="3" max="3"/>
  </cols>
  <sheetData>
    <row r="1" ht="34" customHeight="1">
      <c r="A1" s="1" t="inlineStr">
        <is>
          <t>دليل استخدام النظام — اقرأ هذا أولًا</t>
        </is>
      </c>
    </row>
    <row r="3" ht="24" customHeight="1">
      <c r="A3" s="3" t="inlineStr">
        <is>
          <t>تعليمات عامة</t>
        </is>
      </c>
    </row>
    <row r="4" ht="30" customHeight="1">
      <c r="B4" s="4" t="inlineStr">
        <is>
          <t>•  الملف يعمل بدون ماكرو (VBA). جميع الحسابات بمعادلات Excel العادية.</t>
        </is>
      </c>
    </row>
    <row r="5" ht="30" customHeight="1">
      <c r="B5" s="4" t="inlineStr">
        <is>
          <t>•  كل القوائم المنسدلة والحدود الزمنية تُدار من ورقة (الإعدادات). عدّل القيم هناك فقط.</t>
        </is>
      </c>
    </row>
    <row r="6" ht="30" customHeight="1">
      <c r="B6" s="4" t="inlineStr">
        <is>
          <t>•  خلايا الإدخال ملوّنة بالأصفر الفاتح، وخلايا الحساب ملوّنة بالأزرق الفاتح ومحمية من التعديل.</t>
        </is>
      </c>
    </row>
    <row r="7" ht="30" customHeight="1">
      <c r="B7" s="4" t="inlineStr">
        <is>
          <t>•  لإضافة موظف جديد: أدخل صفًا جديدًا في ورقة (الموظفون) مع رقم وظيفي فريد.</t>
        </is>
      </c>
    </row>
    <row r="8" ht="30" customHeight="1">
      <c r="B8" s="4" t="inlineStr">
        <is>
          <t>•  تظهر الموظفين الجدد تلقائيًا في القوائم المنسدلة والتقارير ولوحة التحكم.</t>
        </is>
      </c>
    </row>
    <row r="9" ht="30" customHeight="1">
      <c r="B9" s="4" t="inlineStr">
        <is>
          <t>•  لإضافة قيم جديدة للقوائم: أضفها أسفل العمود المناسب في ورقة (الإعدادات).</t>
        </is>
      </c>
    </row>
    <row r="10" ht="30" customHeight="1">
      <c r="B10" s="4" t="inlineStr">
        <is>
          <t>•  الأوراق محمية بكلمة مرور افتراضية: hr2026 (يمكن تغييرها من مراجعة &gt; إلغاء حماية الورقة).</t>
        </is>
      </c>
    </row>
    <row r="11" ht="30" customHeight="1">
      <c r="B11" s="4" t="inlineStr">
        <is>
          <t>•  الحماية هنا تمنع التعديل العرضي فقط، وليست نظام صلاحيات آمنًا. لا تشارك بيانات الرواتب والملفات الشخصية عبر ملف مفتوح للجميع.</t>
        </is>
      </c>
    </row>
    <row r="13" ht="24" customHeight="1">
      <c r="A13" s="3" t="inlineStr">
        <is>
          <t>لوحة التحكم</t>
        </is>
      </c>
    </row>
    <row r="14" ht="30" customHeight="1">
      <c r="B14" s="4" t="inlineStr">
        <is>
          <t>•  تعرض مؤشرات القوى العاملة والمؤشرات المالية والتنبيهات الذكية و4 رسوم بيانية.</t>
        </is>
      </c>
    </row>
    <row r="15" ht="30" customHeight="1">
      <c r="B15" s="4" t="inlineStr">
        <is>
          <t>•  تتحدث تلقائيًا عند تعديل بيانات الموظفين أو الرواتب أو الوثائق.</t>
        </is>
      </c>
    </row>
    <row r="16" ht="30" customHeight="1">
      <c r="B16" s="4" t="inlineStr">
        <is>
          <t>•  كل الأرقام محسوبة بمعادلات، ولا تُدخل يدويًا.</t>
        </is>
      </c>
    </row>
    <row r="18" ht="24" customHeight="1">
      <c r="A18" s="3" t="inlineStr">
        <is>
          <t>الموظفون</t>
        </is>
      </c>
    </row>
    <row r="19" ht="30" customHeight="1">
      <c r="B19" s="4" t="inlineStr">
        <is>
          <t>•  قاعدة البيانات الرئيسية. المعرف الفريد هو (الرقم الوظيفي) في العمود A.</t>
        </is>
      </c>
    </row>
    <row r="20" ht="30" customHeight="1">
      <c r="B20" s="4" t="inlineStr">
        <is>
          <t>•  أدخل الجنس، المؤهل، التخصص، المسمى، الإدارة، القسم، المدير، نوع التوظيف، تواريخ التعيين والعقد، الحالة، الراتب الأساسي والبدلات.</t>
        </is>
      </c>
    </row>
    <row r="21" ht="30" customHeight="1">
      <c r="B21" s="4" t="inlineStr">
        <is>
          <t>•  العمودان (فحص اكتمال البيانات) و(أيام لانتهاء العقد) و(مدة الخدمة) محسوبة تلقائيًا.</t>
        </is>
      </c>
    </row>
    <row r="22" ht="30" customHeight="1">
      <c r="B22" s="4" t="inlineStr">
        <is>
          <t>•  يمنع النظام تكرار الرقم الوظيفي عبر تحقق مخصص، وينبّه عند نقص البيانات الأساسية.</t>
        </is>
      </c>
    </row>
    <row r="23" ht="30" customHeight="1">
      <c r="B23" s="4" t="inlineStr">
        <is>
          <t>•  ملاحظة خصوصية: بيانات الهاتف والحساب البنكي وجهة الطوارئ تُعد حساسة. لا تُتاح لكل من يفتح الملف.</t>
        </is>
      </c>
    </row>
    <row r="25" ht="24" customHeight="1">
      <c r="A25" s="3" t="inlineStr">
        <is>
          <t>الحضور</t>
        </is>
      </c>
    </row>
    <row r="26" ht="30" customHeight="1">
      <c r="B26" s="4" t="inlineStr">
        <is>
          <t>•  أدخل الرقم الوظيفي والتاريخ ووقت الحضور والانصراف وحالة الدوام.</t>
        </is>
      </c>
    </row>
    <row r="27" ht="30" customHeight="1">
      <c r="B27" s="4" t="inlineStr">
        <is>
          <t>•  يُسترجع اسم الموظف ويوم الأسبوع وأوقات الدوام تلقائيًا من الإعدادات.</t>
        </is>
      </c>
    </row>
    <row r="28" ht="30" customHeight="1">
      <c r="B28" s="4" t="inlineStr">
        <is>
          <t>•  تُحتسب ساعات العمل والتأخير والانصراف المبكر والإضافي تلقائيًا.</t>
        </is>
      </c>
    </row>
    <row r="29" ht="30" customHeight="1">
      <c r="B29" s="4" t="inlineStr">
        <is>
          <t>•  الدوام الليلي: أدخل وقت الانصراف بعد منتصف الليل ويُحتسب الفرق عبر MOD.</t>
        </is>
      </c>
    </row>
    <row r="30" ht="30" customHeight="1">
      <c r="B30" s="4" t="inlineStr">
        <is>
          <t>•  التأخير لا يُحتسب في الإجازات والعطلات والمأموريات (فقط حالتا حاضر/دوام جزئي).</t>
        </is>
      </c>
    </row>
    <row r="32" ht="24" customHeight="1">
      <c r="A32" s="3" t="inlineStr">
        <is>
          <t>الإجازات</t>
        </is>
      </c>
    </row>
    <row r="33" ht="30" customHeight="1">
      <c r="B33" s="4" t="inlineStr">
        <is>
          <t>•  أدخل الرقم الوظيفي ونوع الإجازة وتاريخي البداية والنهاية وحالة الطلب والمعتمد.</t>
        </is>
      </c>
    </row>
    <row r="34" ht="30" customHeight="1">
      <c r="B34" s="4" t="inlineStr">
        <is>
          <t>•  عدد الأيام والرصيد قبل/بعد محسوبان تلقائيًا.</t>
        </is>
      </c>
    </row>
    <row r="35" ht="30" customHeight="1">
      <c r="B35" s="4" t="inlineStr">
        <is>
          <t>•  لا تُخصم الإجازة من الرصيد إلا عند اعتماد الطلب (حالة = معتمد).</t>
        </is>
      </c>
    </row>
    <row r="36" ht="30" customHeight="1">
      <c r="B36" s="4" t="inlineStr">
        <is>
          <t>•  الرصيد السنوي ومعدل الاستحقاق قابلان للتعديل من الإعدادات.</t>
        </is>
      </c>
    </row>
    <row r="38" ht="24" customHeight="1">
      <c r="A38" s="3" t="inlineStr">
        <is>
          <t>الرواتب</t>
        </is>
      </c>
    </row>
    <row r="39" ht="30" customHeight="1">
      <c r="B39" s="4" t="inlineStr">
        <is>
          <t>•  أدخل الشهر والسنة والرقم الوظيفي، ثم مكوّنات البدلات والمكافآت والإضافي والخصومات.</t>
        </is>
      </c>
    </row>
    <row r="40" ht="30" customHeight="1">
      <c r="B40" s="4" t="inlineStr">
        <is>
          <t>•  الراتب الأساسي واسم الموظف والإدارة والقسم تُسترجع تلقائيًا من ورقة الموظفين.</t>
        </is>
      </c>
    </row>
    <row r="41" ht="30" customHeight="1">
      <c r="B41" s="4" t="inlineStr">
        <is>
          <t>•  إجمالي الاستحقاقات والخصومات وصافي الراتب محسوبة تلقائيًا.</t>
        </is>
      </c>
    </row>
    <row r="42" ht="30" customHeight="1">
      <c r="B42" s="4" t="inlineStr">
        <is>
          <t>•  عند خصم قسط سلفة أدخل (رقم السلفة) لربط القسط بالسلفة ومنع الخصم المزدوج.</t>
        </is>
      </c>
    </row>
    <row r="43" ht="30" customHeight="1">
      <c r="B43" s="4" t="inlineStr">
        <is>
          <t>•  عمود (تحقق) ينبّه عند تكرار راتب الموظف لنفس الشهر والسنة.</t>
        </is>
      </c>
    </row>
    <row r="44" ht="30" customHeight="1">
      <c r="B44" s="4" t="inlineStr">
        <is>
          <t>•  لا يفترض النظام ضرائب أو تأمينات؛ أي استقطاع قانوني يُدخل يدويًا حسب الدولة واللوائح.</t>
        </is>
      </c>
    </row>
    <row r="46" ht="24" customHeight="1">
      <c r="A46" s="3" t="inlineStr">
        <is>
          <t>السلف</t>
        </is>
      </c>
    </row>
    <row r="47" ht="30" customHeight="1">
      <c r="B47" s="4" t="inlineStr">
        <is>
          <t>•  أدخل رقم السلفة والموظف والمبلغ وعدد الأقساط. قيمة القسط تُحسب تلقائيًا.</t>
        </is>
      </c>
    </row>
    <row r="48" ht="30" customHeight="1">
      <c r="B48" s="4" t="inlineStr">
        <is>
          <t>•  إجمالي المسدد يُجمع من أقساط السلفة المصروفة في كشوف الرواتب (لمنع الاحتساب المزدوج).</t>
        </is>
      </c>
    </row>
    <row r="49" ht="30" customHeight="1">
      <c r="B49" s="4" t="inlineStr">
        <is>
          <t>•  المبلغ المتبقي = مبلغ السلفة − المسدد.</t>
        </is>
      </c>
    </row>
    <row r="51" ht="24" customHeight="1">
      <c r="A51" s="3" t="inlineStr">
        <is>
          <t>الوثائق</t>
        </is>
      </c>
    </row>
    <row r="52" ht="30" customHeight="1">
      <c r="B52" s="4" t="inlineStr">
        <is>
          <t>•  سجل وثائق الموظفين مع تواريخ الإصدار والانتهاء.</t>
        </is>
      </c>
    </row>
    <row r="53" ht="30" customHeight="1">
      <c r="B53" s="4" t="inlineStr">
        <is>
          <t>•  العمود (أيام للانتهاء) محسوب وملوّن: أحمر ≤7 أيام أو منتهية، برتقالي ≤30، أصفر ≤90.</t>
        </is>
      </c>
    </row>
    <row r="55" ht="24" customHeight="1">
      <c r="A55" s="3" t="inlineStr">
        <is>
          <t>التوظيف</t>
        </is>
      </c>
    </row>
    <row r="56" ht="30" customHeight="1">
      <c r="B56" s="4" t="inlineStr">
        <is>
          <t>•  سجل المتقدمين وحالات الطلبات ومواعيد المقابلات والقرار النهائي.</t>
        </is>
      </c>
    </row>
    <row r="58" ht="24" customHeight="1">
      <c r="A58" s="3" t="inlineStr">
        <is>
          <t>التدريب وتقييم الأداء</t>
        </is>
      </c>
    </row>
    <row r="59" ht="30" customHeight="1">
      <c r="B59" s="4" t="inlineStr">
        <is>
          <t>•  سجل التدريب: الدورة والجهة والتواريخ والتكلفة وحالة الحضور والنتيجة.</t>
        </is>
      </c>
    </row>
    <row r="60" ht="30" customHeight="1">
      <c r="B60" s="4" t="inlineStr">
        <is>
          <t>•  تقييم الأداء: خمسة عناصر من 100، والتقييم النهائي متوسط مرجّح حسب الأوزان في الإعدادات.</t>
        </is>
      </c>
    </row>
    <row r="62" ht="24" customHeight="1">
      <c r="A62" s="3" t="inlineStr">
        <is>
          <t>الجزاءات والمكافآت</t>
        </is>
      </c>
    </row>
    <row r="63" ht="30" customHeight="1">
      <c r="B63" s="4" t="inlineStr">
        <is>
          <t>•  سجل مستقل للقرارات الإدارية. لا يُنفّذ أي خصم مالي تلقائيًا لمجرد تسجيل جزاء.</t>
        </is>
      </c>
    </row>
    <row r="64" ht="30" customHeight="1">
      <c r="B64" s="4" t="inlineStr">
        <is>
          <t>•  أي أثر مالي يجب إدخاله يدويًا ومعتمدًا في كشف الرواتب.</t>
        </is>
      </c>
    </row>
    <row r="66" ht="24" customHeight="1">
      <c r="A66" s="3" t="inlineStr">
        <is>
          <t>إنهاء الخدمة</t>
        </is>
      </c>
    </row>
    <row r="67" ht="30" customHeight="1">
      <c r="B67" s="4" t="inlineStr">
        <is>
          <t>•  سجل حالات إنهاء الخدمة وإخلاء الطرف.</t>
        </is>
      </c>
    </row>
    <row r="68" ht="30" customHeight="1">
      <c r="B68" s="4" t="inlineStr">
        <is>
          <t>•  ينبّه النظام تلقائيًا إذا كانت هناك عهد غير مسترجعة للموظف.</t>
        </is>
      </c>
    </row>
    <row r="69" ht="30" customHeight="1">
      <c r="B69" s="4" t="inlineStr">
        <is>
          <t>•  المستحقات النهائية تُدخل يدويًا وفق لائحة المؤسسة؛ لا يفترض النظام قواعد قانونية.</t>
        </is>
      </c>
    </row>
    <row r="71" ht="24" customHeight="1">
      <c r="A71" s="3" t="inlineStr">
        <is>
          <t>العهد</t>
        </is>
      </c>
    </row>
    <row r="72" ht="30" customHeight="1">
      <c r="B72" s="4" t="inlineStr">
        <is>
          <t>•  سجل العهد والأصول المسلّمة مع حالات التسليم والإرجاع.</t>
        </is>
      </c>
    </row>
    <row r="74" ht="24" customHeight="1">
      <c r="A74" s="3" t="inlineStr">
        <is>
          <t>التقارير</t>
        </is>
      </c>
    </row>
    <row r="75" ht="30" customHeight="1">
      <c r="B75" s="4" t="inlineStr">
        <is>
          <t>•  14 تقريرًا جاهزًا للطباعة على A4 باتجاه أفقي، مع عنوان وتاريخ إعداد وترقيم صفحات.</t>
        </is>
      </c>
    </row>
    <row r="76" ht="30" customHeight="1">
      <c r="B76" s="4" t="inlineStr">
        <is>
          <t>•  تقرير الرواتب الشهري: اختر الشهر والسنة من الخليتين B4 و D4.</t>
        </is>
      </c>
    </row>
    <row r="77" ht="30" customHeight="1">
      <c r="B77" s="4" t="inlineStr">
        <is>
          <t>•  أغلب التقارير تعرض كل الصفوف؛ تقرير التأخير والوثائق يعرضان الصفوف المطابقة فقط.</t>
        </is>
      </c>
    </row>
    <row r="79" ht="24" customHeight="1">
      <c r="A79" s="3" t="inlineStr">
        <is>
          <t>الإعدادات</t>
        </is>
      </c>
    </row>
    <row r="80" ht="30" customHeight="1">
      <c r="B80" s="4" t="inlineStr">
        <is>
          <t>•  كل القيم القابلة للتعديل: المؤسسة، العملة، الدوام، التنبيهات، الإجازات، الرواتب، أوزان التقييم.</t>
        </is>
      </c>
    </row>
    <row r="81" ht="30" customHeight="1">
      <c r="B81" s="4" t="inlineStr">
        <is>
          <t>•  أعمدة القوائم (H وما بعدها) هي مصادر القوائم المنسدلة. أضف قيمًا أسفل أي عمود.</t>
        </is>
      </c>
    </row>
    <row r="82" ht="30" customHeight="1">
      <c r="B82" s="4" t="inlineStr">
        <is>
          <t>•  مجموع الأوزان يجب أن يساوي 1.00.</t>
        </is>
      </c>
    </row>
    <row r="84" ht="24" customHeight="1">
      <c r="A84" s="3" t="inlineStr">
        <is>
          <t>الملفات المسلّمة</t>
        </is>
      </c>
    </row>
    <row r="85" ht="30" customHeight="1">
      <c r="B85" s="4" t="inlineStr">
        <is>
          <t>•  الملف الرئيسي (قالب فارغ للاستخدام الفعلي).</t>
        </is>
      </c>
    </row>
    <row r="86" ht="30" customHeight="1">
      <c r="B86" s="4" t="inlineStr">
        <is>
          <t>•  نسخة تجريبية ببيانات وهمية لاختبار النظام.</t>
        </is>
      </c>
    </row>
    <row r="87" ht="30" customHeight="1">
      <c r="B87" s="4" t="inlineStr">
        <is>
          <t>•  دليل الاستخدام (هذه الورقة) + تقرير الاختبارات + قائمة الميزات.</t>
        </is>
      </c>
    </row>
    <row r="89" ht="24" customHeight="1">
      <c r="A89" s="3" t="inlineStr">
        <is>
          <t>افتراضات صريحة</t>
        </is>
      </c>
    </row>
    <row r="90" ht="30" customHeight="1">
      <c r="B90" s="4" t="inlineStr">
        <is>
          <t>•  لا توجد قواعد قانونية أو مالية مفترضة (ضرائب، تأمينات، نهاية الخدمة).</t>
        </is>
      </c>
    </row>
    <row r="91" ht="30" customHeight="1">
      <c r="B91" s="4" t="inlineStr">
        <is>
          <t>•  قيمة ساعات العمل الإضافي تُدخل كمبلغ في كشف الرواتب (لا يوجد تسعير تلقائي بدون معدل).</t>
        </is>
      </c>
    </row>
    <row r="92" ht="30" customHeight="1">
      <c r="B92" s="4" t="inlineStr">
        <is>
          <t>•  الدوام الافتراضي 8:00–17:00 مع استراحة 60 دقيقة، وقابل للتعديل.</t>
        </is>
      </c>
    </row>
    <row r="93" ht="30" customHeight="1">
      <c r="B93" s="4" t="inlineStr">
        <is>
          <t>•  الرصيد السنوي الافتراضي 21 يومًا ومعدل استحقاق 1.75 يوم/شهر، وقابلان للتعديل.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05"/>
  <mergeCells count="76">
    <mergeCell ref="B91:C91"/>
    <mergeCell ref="A25:C25"/>
    <mergeCell ref="B47:C47"/>
    <mergeCell ref="B16:C16"/>
    <mergeCell ref="A66:C66"/>
    <mergeCell ref="B7:C7"/>
    <mergeCell ref="B72:C72"/>
    <mergeCell ref="A46:C46"/>
    <mergeCell ref="B59:C59"/>
    <mergeCell ref="A84:C84"/>
    <mergeCell ref="B81:C81"/>
    <mergeCell ref="A89:C89"/>
    <mergeCell ref="B90:C90"/>
    <mergeCell ref="A74:C74"/>
    <mergeCell ref="A18:C18"/>
    <mergeCell ref="B22:C22"/>
    <mergeCell ref="A3:C3"/>
    <mergeCell ref="B93:C93"/>
    <mergeCell ref="A55:C55"/>
    <mergeCell ref="B27:C27"/>
    <mergeCell ref="B56:C56"/>
    <mergeCell ref="B43:C43"/>
    <mergeCell ref="B39:C39"/>
    <mergeCell ref="B77:C77"/>
    <mergeCell ref="B52:C52"/>
    <mergeCell ref="B21:C21"/>
    <mergeCell ref="B48:C48"/>
    <mergeCell ref="A71:C71"/>
    <mergeCell ref="B86:C86"/>
    <mergeCell ref="B11:C11"/>
    <mergeCell ref="A32:C32"/>
    <mergeCell ref="B67:C67"/>
    <mergeCell ref="B42:C42"/>
    <mergeCell ref="B23:C23"/>
    <mergeCell ref="B14:C14"/>
    <mergeCell ref="B60:C60"/>
    <mergeCell ref="A62:C62"/>
    <mergeCell ref="B8:C8"/>
    <mergeCell ref="A38:C38"/>
    <mergeCell ref="B53:C53"/>
    <mergeCell ref="B82:C82"/>
    <mergeCell ref="B69:C69"/>
    <mergeCell ref="B87:C87"/>
    <mergeCell ref="B44:C44"/>
    <mergeCell ref="A13:C13"/>
    <mergeCell ref="B29:C29"/>
    <mergeCell ref="B19:C19"/>
    <mergeCell ref="B34:C34"/>
    <mergeCell ref="B10:C10"/>
    <mergeCell ref="B28:C28"/>
    <mergeCell ref="A58:C58"/>
    <mergeCell ref="B40:C40"/>
    <mergeCell ref="B9:C9"/>
    <mergeCell ref="B49:C49"/>
    <mergeCell ref="A51:C51"/>
    <mergeCell ref="B92:C92"/>
    <mergeCell ref="B6:C6"/>
    <mergeCell ref="B30:C30"/>
    <mergeCell ref="B68:C68"/>
    <mergeCell ref="B64:C64"/>
    <mergeCell ref="B15:C15"/>
    <mergeCell ref="B33:C33"/>
    <mergeCell ref="A1:C1"/>
    <mergeCell ref="B5:C5"/>
    <mergeCell ref="B20:C20"/>
    <mergeCell ref="B76:C76"/>
    <mergeCell ref="A79:C79"/>
    <mergeCell ref="B80:C80"/>
    <mergeCell ref="B85:C85"/>
    <mergeCell ref="B36:C36"/>
    <mergeCell ref="B63:C63"/>
    <mergeCell ref="B26:C26"/>
    <mergeCell ref="B41:C41"/>
    <mergeCell ref="B35:C35"/>
    <mergeCell ref="B4:C4"/>
    <mergeCell ref="B75:C7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J28"/>
  <sheetViews>
    <sheetView showGridLines="0" rightToLeft="1" zoomScale="9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3" customWidth="1" min="4" max="4"/>
    <col width="20" customWidth="1" min="5" max="5"/>
    <col width="20" customWidth="1" min="6" max="6"/>
    <col width="3" customWidth="1" min="7" max="7"/>
    <col width="20" customWidth="1" min="8" max="8"/>
    <col width="20" customWidth="1" min="9" max="9"/>
    <col width="3" customWidth="1" min="10" max="10"/>
  </cols>
  <sheetData>
    <row r="1" ht="38" customHeight="1">
      <c r="A1" s="1" t="inlineStr">
        <is>
          <t>لوحة التحكم الرئيسية — نظام إدارة الموارد البشرية</t>
        </is>
      </c>
    </row>
    <row r="2">
      <c r="B2" s="5">
        <f>اسم_المؤسسة</f>
        <v/>
      </c>
      <c r="H2" s="6">
        <f>"تاريخ التحديث: "&amp;TEXT(TODAY(),"yyyy-mm-dd")</f>
        <v/>
      </c>
    </row>
    <row r="4" ht="24" customHeight="1">
      <c r="B4" s="3" t="inlineStr">
        <is>
          <t>مؤشرات القوى العاملة</t>
        </is>
      </c>
    </row>
    <row r="5" ht="30" customHeight="1">
      <c r="B5" s="7" t="inlineStr">
        <is>
          <t>إجمالي الموظفين</t>
        </is>
      </c>
      <c r="D5" s="9" t="inlineStr">
        <is>
          <t>الموظفون النشطون</t>
        </is>
      </c>
      <c r="F5" s="11" t="inlineStr">
        <is>
          <t>الموظفون الموقوفون</t>
        </is>
      </c>
      <c r="H5" s="13" t="inlineStr">
        <is>
          <t>الموظفون المعلقون</t>
        </is>
      </c>
    </row>
    <row r="6" ht="34" customHeight="1">
      <c r="B6" s="15">
        <f>COUNTA(الموظفون_الرقم)</f>
        <v/>
      </c>
      <c r="C6" s="102" t="n"/>
      <c r="D6" s="17">
        <f>COUNTIF(الموظفون_الحالة,"نشط")</f>
        <v/>
      </c>
      <c r="E6" s="103" t="n"/>
      <c r="F6" s="19">
        <f>COUNTIF(الموظفون_الحالة,"موقوف")</f>
        <v/>
      </c>
      <c r="G6" s="104" t="n"/>
      <c r="H6" s="21">
        <f>COUNTIF(الموظفون_الحالة,"معلق")</f>
        <v/>
      </c>
      <c r="I6" s="105" t="n"/>
    </row>
    <row r="7" ht="30" customHeight="1">
      <c r="B7" s="23" t="inlineStr">
        <is>
          <t>الموظفون في إجازة</t>
        </is>
      </c>
      <c r="D7" s="25" t="inlineStr">
        <is>
          <t>الموظفون الجدد (آخر فترة)</t>
        </is>
      </c>
      <c r="F7" s="11" t="inlineStr">
        <is>
          <t>انتهت عقودهم</t>
        </is>
      </c>
      <c r="H7" s="13" t="inlineStr">
        <is>
          <t>عقود تنتهي خلال 30 يومًا</t>
        </is>
      </c>
    </row>
    <row r="8" ht="34" customHeight="1">
      <c r="B8" s="27">
        <f>COUNTIF(الموظفون_الحالة,"في إجازة")</f>
        <v/>
      </c>
      <c r="C8" s="106" t="n"/>
      <c r="D8" s="29">
        <f>COUNTIFS(الموظفون_التعيين,"&gt;="&amp;TODAY()-فترة_الموظف_الجديد,الموظفون_الرقم,"&lt;&gt;")</f>
        <v/>
      </c>
      <c r="E8" s="107" t="n"/>
      <c r="F8" s="19">
        <f>SUMPRODUCT(ISNUMBER(الموظفون_نهاية_العقد)*(الموظفون_نهاية_العقد&lt;TODAY()))</f>
        <v/>
      </c>
      <c r="G8" s="104" t="n"/>
      <c r="H8" s="21">
        <f>SUMPRODUCT(ISNUMBER(الموظفون_نهاية_العقد)*(الموظفون_نهاية_العقد&gt;=TODAY())*(الموظفون_نهاية_العقد&lt;=TODAY()+تنبيه_انتهاء_العقد))</f>
        <v/>
      </c>
      <c r="I8" s="105" t="n"/>
    </row>
    <row r="9" ht="30" customHeight="1">
      <c r="B9" s="13" t="inlineStr">
        <is>
          <t>وثائق تنتهي خلال 30 يومًا</t>
        </is>
      </c>
      <c r="D9" s="11" t="inlineStr">
        <is>
          <t>وثائق منتهية</t>
        </is>
      </c>
      <c r="F9" s="11" t="inlineStr">
        <is>
          <t>متغيبون (في سجل الحضور)</t>
        </is>
      </c>
      <c r="H9" s="13" t="inlineStr">
        <is>
          <t>إجمالي حالات التأخير</t>
        </is>
      </c>
    </row>
    <row r="10" ht="34" customHeight="1">
      <c r="B10" s="21">
        <f>COUNTIFS(الوثائق_ايام,"&gt;="&amp;0,الوثائق_ايام,"&lt;="&amp;تنبيه_وثيقة_30)</f>
        <v/>
      </c>
      <c r="C10" s="105" t="n"/>
      <c r="D10" s="19">
        <f>COUNTIF(الوثائق_ايام,"&lt;0")</f>
        <v/>
      </c>
      <c r="E10" s="104" t="n"/>
      <c r="F10" s="19">
        <f>COUNTIF(الحضور_الحالة,"غائب")</f>
        <v/>
      </c>
      <c r="G10" s="104" t="n"/>
      <c r="H10" s="21">
        <f>COUNTIF(الحضور_التأخير,"&gt;0")</f>
        <v/>
      </c>
      <c r="I10" s="105" t="n"/>
    </row>
    <row r="12" ht="24" customHeight="1">
      <c r="B12" s="3" t="inlineStr">
        <is>
          <t>المؤشرات المالية (من كشوف الرواتب)</t>
        </is>
      </c>
    </row>
    <row r="13" ht="30" customHeight="1">
      <c r="B13" s="7" t="inlineStr">
        <is>
          <t>إجمالي الرواتب الأساسية</t>
        </is>
      </c>
      <c r="D13" s="9" t="inlineStr">
        <is>
          <t>إجمالي البدلات</t>
        </is>
      </c>
      <c r="F13" s="13" t="inlineStr">
        <is>
          <t>إجمالي المكافآت</t>
        </is>
      </c>
      <c r="H13" s="7" t="inlineStr">
        <is>
          <t>إجمالي الاستحقاقات</t>
        </is>
      </c>
    </row>
    <row r="14" ht="34" customHeight="1">
      <c r="B14" s="31">
        <f>SUM(الرواتب_الاساسي)</f>
        <v/>
      </c>
      <c r="C14" s="102" t="n"/>
      <c r="D14" s="32">
        <f>SUM(الرواتب_بدل_النقل)+SUM(الرواتب_بدل_السكن)+SUM(الرواتب_بدلات_اخرى)</f>
        <v/>
      </c>
      <c r="E14" s="103" t="n"/>
      <c r="F14" s="33">
        <f>SUM(الرواتب_المكافآت)</f>
        <v/>
      </c>
      <c r="G14" s="105" t="n"/>
      <c r="H14" s="31">
        <f>SUM(الرواتب_الاستحقاقات)</f>
        <v/>
      </c>
      <c r="I14" s="102" t="n"/>
    </row>
    <row r="15" ht="30" customHeight="1">
      <c r="B15" s="11" t="inlineStr">
        <is>
          <t>إجمالي الخصومات</t>
        </is>
      </c>
      <c r="D15" s="9" t="inlineStr">
        <is>
          <t>إجمالي صافي الرواتب</t>
        </is>
      </c>
      <c r="F15" s="23" t="inlineStr">
        <is>
          <t>إجمالي السلف المتبقية</t>
        </is>
      </c>
      <c r="H15" s="25" t="inlineStr">
        <is>
          <t>قيمة العمل الإضافي</t>
        </is>
      </c>
    </row>
    <row r="16" ht="34" customHeight="1">
      <c r="B16" s="34">
        <f>SUM(الرواتب_الخصومات)</f>
        <v/>
      </c>
      <c r="C16" s="104" t="n"/>
      <c r="D16" s="32">
        <f>SUM(الرواتب_الصافي)</f>
        <v/>
      </c>
      <c r="E16" s="103" t="n"/>
      <c r="F16" s="35">
        <f>SUM(السلف_المتبقي)</f>
        <v/>
      </c>
      <c r="G16" s="106" t="n"/>
      <c r="H16" s="36">
        <f>SUM(الرواتب_الاضافي)</f>
        <v/>
      </c>
      <c r="I16" s="107" t="n"/>
    </row>
    <row r="18" ht="24" customHeight="1">
      <c r="B18" s="3" t="inlineStr">
        <is>
          <t>التنبيهات الذكية</t>
        </is>
      </c>
    </row>
    <row r="19">
      <c r="B19" s="37">
        <f>IF(COUNTIFS(الوثائق_ايام,"&lt;0")&gt;0,"⚠ يوجد "&amp;COUNTIFS(الوثائق_ايام,"&lt;0")&amp;" وثيقة منتهية","✓ لا وثائق منتهية")</f>
        <v/>
      </c>
      <c r="C19" s="108" t="n"/>
      <c r="D19" s="108" t="n"/>
      <c r="E19" s="108" t="n"/>
      <c r="F19" s="108" t="n"/>
      <c r="G19" s="108" t="n"/>
      <c r="H19" s="108" t="n"/>
      <c r="I19" s="109" t="n"/>
    </row>
    <row r="20">
      <c r="B20" s="37">
        <f>IF(COUNTIFS(الوثائق_ايام,"&gt;="&amp;0,الوثائق_ايام,"&lt;="&amp;تنبيه_وثيقة_7)&gt;0,"⚠ "&amp;COUNTIFS(الوثائق_ايام,"&gt;="&amp;0,الوثائق_ايام,"&lt;="&amp;تنبيه_وثيقة_7)&amp;" وثيقة تنتهي خلال 7 أيام","✓ لا وثائق حرجة")</f>
        <v/>
      </c>
      <c r="C20" s="108" t="n"/>
      <c r="D20" s="108" t="n"/>
      <c r="E20" s="108" t="n"/>
      <c r="F20" s="108" t="n"/>
      <c r="G20" s="108" t="n"/>
      <c r="H20" s="108" t="n"/>
      <c r="I20" s="109" t="n"/>
    </row>
    <row r="21">
      <c r="B21" s="37">
        <f>IF(SUMPRODUCT(ISNUMBER(الموظفون_نهاية_العقد)*(الموظفون_نهاية_العقد&gt;=TODAY())*(الموظفون_نهاية_العقد&lt;=TODAY()+تنبيه_انتهاء_العقد))&gt;0,"⚠ "&amp;SUMPRODUCT(ISNUMBER(الموظفون_نهاية_العقد)*(الموظفون_نهاية_العقد&gt;=TODAY())*(الموظفون_نهاية_العقد&lt;=TODAY()+تنبيه_انتهاء_العقد))&amp;" عقد ينتهي خلال 30 يومًا","✓ لا عقود قريبة الانتهاء")</f>
        <v/>
      </c>
      <c r="C21" s="108" t="n"/>
      <c r="D21" s="108" t="n"/>
      <c r="E21" s="108" t="n"/>
      <c r="F21" s="108" t="n"/>
      <c r="G21" s="108" t="n"/>
      <c r="H21" s="108" t="n"/>
      <c r="I21" s="109" t="n"/>
    </row>
    <row r="22">
      <c r="B22" s="37">
        <f>IF(SUMPRODUCT((الرواتب_الرقم&lt;&gt;"")*(الرواتب_التحقق="⚠ مكرر"))&gt;0,"⚠ يوجد راتب مكرر لنفس الموظف والشهر","✓ لا تكرار في كشوف الرواتب")</f>
        <v/>
      </c>
      <c r="C22" s="108" t="n"/>
      <c r="D22" s="108" t="n"/>
      <c r="E22" s="108" t="n"/>
      <c r="F22" s="108" t="n"/>
      <c r="G22" s="108" t="n"/>
      <c r="H22" s="108" t="n"/>
      <c r="I22" s="109" t="n"/>
    </row>
    <row r="23">
      <c r="B23" s="37">
        <f>IF(COUNTIFS(العهد_الحالة,"مسلمة")&gt;0,"⚠ "&amp;COUNTIFS(العهد_الحالة,"مسلمة")&amp;" عهدة لم تُسترجَع بعد","✓ لا عهد معلقة")</f>
        <v/>
      </c>
      <c r="C23" s="108" t="n"/>
      <c r="D23" s="108" t="n"/>
      <c r="E23" s="108" t="n"/>
      <c r="F23" s="108" t="n"/>
      <c r="G23" s="108" t="n"/>
      <c r="H23" s="108" t="n"/>
      <c r="I23" s="109" t="n"/>
    </row>
    <row r="24">
      <c r="B24" s="37">
        <f>IF(SUMPRODUCT((الموظفون_الاكتمال="⚠ بيانات ناقصة")*1)&gt;0,"⚠ "&amp;SUMPRODUCT((الموظفون_الاكتمال="⚠ بيانات ناقصة")*1)&amp;" موظف ببيانات ناقصة","✓ بيانات الموظفين مكتملة")</f>
        <v/>
      </c>
      <c r="C24" s="108" t="n"/>
      <c r="D24" s="108" t="n"/>
      <c r="E24" s="108" t="n"/>
      <c r="F24" s="108" t="n"/>
      <c r="G24" s="108" t="n"/>
      <c r="H24" s="108" t="n"/>
      <c r="I24" s="109" t="n"/>
    </row>
    <row r="25">
      <c r="B25" s="37">
        <f>IF(COUNTIF(السلف_المتبقي,"&gt;0")&gt;0,"⚠ "&amp;COUNTIF(السلف_المتبقي,"&gt;0")&amp;" سلفة قائمة لم تُسدد بالكامل","✓ لا سلف قائمة")</f>
        <v/>
      </c>
      <c r="C25" s="108" t="n"/>
      <c r="D25" s="108" t="n"/>
      <c r="E25" s="108" t="n"/>
      <c r="F25" s="108" t="n"/>
      <c r="G25" s="108" t="n"/>
      <c r="H25" s="108" t="n"/>
      <c r="I25" s="109" t="n"/>
    </row>
    <row r="28" ht="24" customHeight="1">
      <c r="B28" s="3" t="inlineStr">
        <is>
          <t>الرسوم البيانية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05"/>
  <mergeCells count="54">
    <mergeCell ref="B16:C16"/>
    <mergeCell ref="D10:E10"/>
    <mergeCell ref="B7:C7"/>
    <mergeCell ref="F10:G10"/>
    <mergeCell ref="F16:G16"/>
    <mergeCell ref="H10:I10"/>
    <mergeCell ref="B25:I25"/>
    <mergeCell ref="F6:G6"/>
    <mergeCell ref="B22:I22"/>
    <mergeCell ref="H2:J2"/>
    <mergeCell ref="H9:I9"/>
    <mergeCell ref="F7:G7"/>
    <mergeCell ref="B12:I12"/>
    <mergeCell ref="D6:E6"/>
    <mergeCell ref="B18:I18"/>
    <mergeCell ref="B21:I21"/>
    <mergeCell ref="H6:I6"/>
    <mergeCell ref="B2:F2"/>
    <mergeCell ref="F15:G15"/>
    <mergeCell ref="D13:E13"/>
    <mergeCell ref="F5:G5"/>
    <mergeCell ref="B14:C14"/>
    <mergeCell ref="B23:I23"/>
    <mergeCell ref="B8:C8"/>
    <mergeCell ref="F8:G8"/>
    <mergeCell ref="B13:C13"/>
    <mergeCell ref="A1:J1"/>
    <mergeCell ref="D16:E16"/>
    <mergeCell ref="D7:E7"/>
    <mergeCell ref="H16:I16"/>
    <mergeCell ref="H7:I7"/>
    <mergeCell ref="B10:C10"/>
    <mergeCell ref="B28:I28"/>
    <mergeCell ref="B19:I19"/>
    <mergeCell ref="F13:G13"/>
    <mergeCell ref="B9:C9"/>
    <mergeCell ref="D9:E9"/>
    <mergeCell ref="H13:I13"/>
    <mergeCell ref="H14:I14"/>
    <mergeCell ref="F9:G9"/>
    <mergeCell ref="D8:E8"/>
    <mergeCell ref="B6:C6"/>
    <mergeCell ref="B15:C15"/>
    <mergeCell ref="D15:E15"/>
    <mergeCell ref="B5:C5"/>
    <mergeCell ref="B24:I24"/>
    <mergeCell ref="B20:I20"/>
    <mergeCell ref="D5:E5"/>
    <mergeCell ref="H15:I15"/>
    <mergeCell ref="D14:E14"/>
    <mergeCell ref="H5:I5"/>
    <mergeCell ref="F14:G14"/>
    <mergeCell ref="H8:I8"/>
    <mergeCell ref="B4:I4"/>
  </mergeCells>
  <conditionalFormatting sqref="B19:I19">
    <cfRule type="expression" priority="1" dxfId="0">
      <formula>=COUNTIFS(الوثائق_ايام,"&lt;0")&gt;0</formula>
    </cfRule>
  </conditionalFormatting>
  <conditionalFormatting sqref="B20:I20">
    <cfRule type="expression" priority="2" dxfId="0">
      <formula>=COUNTIFS(الوثائق_ايام,"&gt;="&amp;0,الوثائق_ايام,"&lt;="&amp;تنبيه_وثيقة_7)&gt;0</formula>
    </cfRule>
  </conditionalFormatting>
  <conditionalFormatting sqref="B21:I21">
    <cfRule type="expression" priority="3" dxfId="0">
      <formula>=SUMPRODUCT(ISNUMBER(الموظفون_نهاية_العقد)*(الموظفون_نهاية_العقد&gt;=TODAY())*(الموظفون_نهاية_العقد&lt;=TODAY()+تنبيه_انتهاء_العقد))&gt;0</formula>
    </cfRule>
  </conditionalFormatting>
  <conditionalFormatting sqref="B22:I22">
    <cfRule type="expression" priority="4" dxfId="0">
      <formula>=SUMPRODUCT((الرواتب_الرقم&lt;&gt;"")*(الرواتب_التحقق="⚠ مكرر"))&gt;0</formula>
    </cfRule>
  </conditionalFormatting>
  <conditionalFormatting sqref="B23:I23">
    <cfRule type="expression" priority="5" dxfId="0">
      <formula>=COUNTIFS(العهد_الحالة,"مسلمة")&gt;0</formula>
    </cfRule>
  </conditionalFormatting>
  <conditionalFormatting sqref="B24:I24">
    <cfRule type="expression" priority="6" dxfId="0">
      <formula>=SUMPRODUCT((الموظفون_الاكتمال="⚠ بيانات ناقصة")*1)&gt;0</formula>
    </cfRule>
  </conditionalFormatting>
  <conditionalFormatting sqref="B25:I25">
    <cfRule type="expression" priority="7" dxfId="0">
      <formula>=COUNTIF(السلف_المتبقي,"&gt;0")&gt;0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AC502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8" customWidth="1" min="3" max="3"/>
    <col width="12" customWidth="1" min="4" max="4"/>
    <col width="14" customWidth="1" min="5" max="5"/>
    <col width="24" customWidth="1" min="6" max="6"/>
    <col width="26" customWidth="1" min="7" max="7"/>
    <col width="18" customWidth="1" min="8" max="8"/>
    <col width="16" customWidth="1" min="9" max="9"/>
    <col width="18" customWidth="1" min="10" max="10"/>
    <col width="16" customWidth="1" min="11" max="11"/>
    <col width="14" customWidth="1" min="12" max="12"/>
    <col width="16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4" customWidth="1" min="19" max="19"/>
    <col width="12" customWidth="1" min="20" max="20"/>
    <col width="18" customWidth="1" min="21" max="21"/>
    <col width="18" customWidth="1" min="22" max="22"/>
    <col width="14" customWidth="1" min="23" max="23"/>
    <col width="16" customWidth="1" min="24" max="24"/>
    <col width="16" customWidth="1" min="25" max="25"/>
    <col width="26" customWidth="1" min="26" max="26"/>
    <col width="20" customWidth="1" min="27" max="27"/>
    <col width="14" customWidth="1" min="28" max="28"/>
    <col width="12" customWidth="1" min="29" max="29"/>
  </cols>
  <sheetData>
    <row r="1" ht="32" customHeight="1">
      <c r="A1" s="1" t="inlineStr">
        <is>
          <t>الموظفون  —  نموذج إدخال</t>
        </is>
      </c>
    </row>
    <row r="2" ht="42" customHeight="1">
      <c r="A2" s="38" t="inlineStr">
        <is>
          <t>الرقم الوظيفي</t>
        </is>
      </c>
      <c r="B2" s="38" t="inlineStr">
        <is>
          <t>الاسم الكامل</t>
        </is>
      </c>
      <c r="C2" s="38" t="inlineStr">
        <is>
          <t>الجنس</t>
        </is>
      </c>
      <c r="D2" s="38" t="inlineStr">
        <is>
          <t>تاريخ الميلاد</t>
        </is>
      </c>
      <c r="E2" s="38" t="inlineStr">
        <is>
          <t>رقم الهاتف</t>
        </is>
      </c>
      <c r="F2" s="38" t="inlineStr">
        <is>
          <t>البريد الإلكتروني</t>
        </is>
      </c>
      <c r="G2" s="38" t="inlineStr">
        <is>
          <t>العنوان</t>
        </is>
      </c>
      <c r="H2" s="38" t="inlineStr">
        <is>
          <t>المؤهل العلمي</t>
        </is>
      </c>
      <c r="I2" s="38" t="inlineStr">
        <is>
          <t>التخصص</t>
        </is>
      </c>
      <c r="J2" s="38" t="inlineStr">
        <is>
          <t>المسمى الوظيفي</t>
        </is>
      </c>
      <c r="K2" s="38" t="inlineStr">
        <is>
          <t>الإدارة</t>
        </is>
      </c>
      <c r="L2" s="38" t="inlineStr">
        <is>
          <t>القسم</t>
        </is>
      </c>
      <c r="M2" s="38" t="inlineStr">
        <is>
          <t>المدير المباشر</t>
        </is>
      </c>
      <c r="N2" s="38" t="inlineStr">
        <is>
          <t>نوع التوظيف</t>
        </is>
      </c>
      <c r="O2" s="38" t="inlineStr">
        <is>
          <t>تاريخ التعيين</t>
        </is>
      </c>
      <c r="P2" s="38" t="inlineStr">
        <is>
          <t>تاريخ بداية العقد</t>
        </is>
      </c>
      <c r="Q2" s="38" t="inlineStr">
        <is>
          <t>تاريخ نهاية العقد</t>
        </is>
      </c>
      <c r="R2" s="38" t="inlineStr">
        <is>
          <t>الحالة الوظيفية</t>
        </is>
      </c>
      <c r="S2" s="38" t="inlineStr">
        <is>
          <t>الراتب الأساسي</t>
        </is>
      </c>
      <c r="T2" s="38" t="inlineStr">
        <is>
          <t>البدلات الثابتة</t>
        </is>
      </c>
      <c r="U2" s="38" t="inlineStr">
        <is>
          <t>رقم الحساب البنكي</t>
        </is>
      </c>
      <c r="V2" s="38" t="inlineStr">
        <is>
          <t>جهة الاتصال للطوارئ</t>
        </is>
      </c>
      <c r="W2" s="38" t="inlineStr">
        <is>
          <t>هاتف الطوارئ</t>
        </is>
      </c>
      <c r="X2" s="38" t="inlineStr">
        <is>
          <t>رابط الصورة</t>
        </is>
      </c>
      <c r="Y2" s="38" t="inlineStr">
        <is>
          <t>رصيد الإجازات الافتتاحي</t>
        </is>
      </c>
      <c r="Z2" s="38" t="inlineStr">
        <is>
          <t>ملاحظات إدارية</t>
        </is>
      </c>
      <c r="AA2" s="38" t="inlineStr">
        <is>
          <t>فحص اكتمال البيانات</t>
        </is>
      </c>
      <c r="AB2" s="38" t="inlineStr">
        <is>
          <t>أيام لانتهاء العقد</t>
        </is>
      </c>
      <c r="AC2" s="38" t="inlineStr">
        <is>
          <t>مدة الخدمة (سنة)</t>
        </is>
      </c>
    </row>
    <row r="3">
      <c r="A3" s="39" t="n"/>
      <c r="B3" s="40" t="n"/>
      <c r="C3" s="40" t="n"/>
      <c r="D3" s="110" t="n"/>
      <c r="E3" s="39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110" t="n"/>
      <c r="P3" s="110" t="n"/>
      <c r="Q3" s="110" t="n"/>
      <c r="R3" s="40" t="n"/>
      <c r="S3" s="42" t="n"/>
      <c r="T3" s="42" t="n"/>
      <c r="U3" s="40" t="n"/>
      <c r="V3" s="40" t="n"/>
      <c r="W3" s="40" t="n"/>
      <c r="X3" s="40" t="n"/>
      <c r="Y3" s="40" t="n"/>
      <c r="Z3" s="43" t="n"/>
      <c r="AA3" s="43">
        <f>IF($A3="","",IF(OR($B3="",$E3="",$K3="",$O3="",$S3=""),"⚠ بيانات ناقصة","مكتمل"))</f>
        <v/>
      </c>
      <c r="AB3" s="44">
        <f>IF(OR($A3="",$Q3=""),"",$Q3-TODAY())</f>
        <v/>
      </c>
      <c r="AC3" s="111">
        <f>IF(OR($A3="",$O3=""),"",IFERROR(YEARFRAC($O3,TODAY(),1),"")</f>
        <v/>
      </c>
    </row>
    <row r="4">
      <c r="A4" s="46" t="n"/>
      <c r="B4" s="47" t="n"/>
      <c r="C4" s="47" t="n"/>
      <c r="D4" s="112" t="n"/>
      <c r="E4" s="46" t="n"/>
      <c r="F4" s="47" t="n"/>
      <c r="G4" s="47" t="n"/>
      <c r="H4" s="47" t="n"/>
      <c r="I4" s="47" t="n"/>
      <c r="J4" s="47" t="n"/>
      <c r="K4" s="47" t="n"/>
      <c r="L4" s="47" t="n"/>
      <c r="M4" s="47" t="n"/>
      <c r="N4" s="47" t="n"/>
      <c r="O4" s="112" t="n"/>
      <c r="P4" s="112" t="n"/>
      <c r="Q4" s="112" t="n"/>
      <c r="R4" s="47" t="n"/>
      <c r="S4" s="49" t="n"/>
      <c r="T4" s="49" t="n"/>
      <c r="U4" s="47" t="n"/>
      <c r="V4" s="47" t="n"/>
      <c r="W4" s="47" t="n"/>
      <c r="X4" s="47" t="n"/>
      <c r="Y4" s="47" t="n"/>
      <c r="Z4" s="50" t="n"/>
      <c r="AA4" s="50">
        <f>IF($A4="","",IF(OR($B4="",$E4="",$K4="",$O4="",$S4=""),"⚠ بيانات ناقصة","مكتمل"))</f>
        <v/>
      </c>
      <c r="AB4" s="51">
        <f>IF(OR($A4="",$Q4=""),"",$Q4-TODAY())</f>
        <v/>
      </c>
      <c r="AC4" s="113">
        <f>IF(OR($A4="",$O4=""),"",IFERROR(YEARFRAC($O4,TODAY(),1),"")</f>
        <v/>
      </c>
    </row>
    <row r="5">
      <c r="A5" s="39" t="n"/>
      <c r="B5" s="40" t="n"/>
      <c r="C5" s="40" t="n"/>
      <c r="D5" s="110" t="n"/>
      <c r="E5" s="39" t="n"/>
      <c r="F5" s="40" t="n"/>
      <c r="G5" s="40" t="n"/>
      <c r="H5" s="40" t="n"/>
      <c r="I5" s="40" t="n"/>
      <c r="J5" s="40" t="n"/>
      <c r="K5" s="40" t="n"/>
      <c r="L5" s="40" t="n"/>
      <c r="M5" s="40" t="n"/>
      <c r="N5" s="40" t="n"/>
      <c r="O5" s="110" t="n"/>
      <c r="P5" s="110" t="n"/>
      <c r="Q5" s="110" t="n"/>
      <c r="R5" s="40" t="n"/>
      <c r="S5" s="42" t="n"/>
      <c r="T5" s="42" t="n"/>
      <c r="U5" s="40" t="n"/>
      <c r="V5" s="40" t="n"/>
      <c r="W5" s="40" t="n"/>
      <c r="X5" s="40" t="n"/>
      <c r="Y5" s="40" t="n"/>
      <c r="Z5" s="43" t="n"/>
      <c r="AA5" s="43">
        <f>IF($A5="","",IF(OR($B5="",$E5="",$K5="",$O5="",$S5=""),"⚠ بيانات ناقصة","مكتمل"))</f>
        <v/>
      </c>
      <c r="AB5" s="44">
        <f>IF(OR($A5="",$Q5=""),"",$Q5-TODAY())</f>
        <v/>
      </c>
      <c r="AC5" s="111">
        <f>IF(OR($A5="",$O5=""),"",IFERROR(YEARFRAC($O5,TODAY(),1),"")</f>
        <v/>
      </c>
    </row>
    <row r="6">
      <c r="A6" s="46" t="n"/>
      <c r="B6" s="47" t="n"/>
      <c r="C6" s="47" t="n"/>
      <c r="D6" s="112" t="n"/>
      <c r="E6" s="46" t="n"/>
      <c r="F6" s="47" t="n"/>
      <c r="G6" s="47" t="n"/>
      <c r="H6" s="47" t="n"/>
      <c r="I6" s="47" t="n"/>
      <c r="J6" s="47" t="n"/>
      <c r="K6" s="47" t="n"/>
      <c r="L6" s="47" t="n"/>
      <c r="M6" s="47" t="n"/>
      <c r="N6" s="47" t="n"/>
      <c r="O6" s="112" t="n"/>
      <c r="P6" s="112" t="n"/>
      <c r="Q6" s="112" t="n"/>
      <c r="R6" s="47" t="n"/>
      <c r="S6" s="49" t="n"/>
      <c r="T6" s="49" t="n"/>
      <c r="U6" s="47" t="n"/>
      <c r="V6" s="47" t="n"/>
      <c r="W6" s="47" t="n"/>
      <c r="X6" s="47" t="n"/>
      <c r="Y6" s="47" t="n"/>
      <c r="Z6" s="50" t="n"/>
      <c r="AA6" s="50">
        <f>IF($A6="","",IF(OR($B6="",$E6="",$K6="",$O6="",$S6=""),"⚠ بيانات ناقصة","مكتمل"))</f>
        <v/>
      </c>
      <c r="AB6" s="51">
        <f>IF(OR($A6="",$Q6=""),"",$Q6-TODAY())</f>
        <v/>
      </c>
      <c r="AC6" s="113">
        <f>IF(OR($A6="",$O6=""),"",IFERROR(YEARFRAC($O6,TODAY(),1),"")</f>
        <v/>
      </c>
    </row>
    <row r="7">
      <c r="A7" s="39" t="n"/>
      <c r="B7" s="40" t="n"/>
      <c r="C7" s="40" t="n"/>
      <c r="D7" s="110" t="n"/>
      <c r="E7" s="39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110" t="n"/>
      <c r="P7" s="110" t="n"/>
      <c r="Q7" s="110" t="n"/>
      <c r="R7" s="40" t="n"/>
      <c r="S7" s="42" t="n"/>
      <c r="T7" s="42" t="n"/>
      <c r="U7" s="40" t="n"/>
      <c r="V7" s="40" t="n"/>
      <c r="W7" s="40" t="n"/>
      <c r="X7" s="40" t="n"/>
      <c r="Y7" s="40" t="n"/>
      <c r="Z7" s="43" t="n"/>
      <c r="AA7" s="43">
        <f>IF($A7="","",IF(OR($B7="",$E7="",$K7="",$O7="",$S7=""),"⚠ بيانات ناقصة","مكتمل"))</f>
        <v/>
      </c>
      <c r="AB7" s="44">
        <f>IF(OR($A7="",$Q7=""),"",$Q7-TODAY())</f>
        <v/>
      </c>
      <c r="AC7" s="111">
        <f>IF(OR($A7="",$O7=""),"",IFERROR(YEARFRAC($O7,TODAY(),1),"")</f>
        <v/>
      </c>
    </row>
    <row r="8">
      <c r="A8" s="46" t="n"/>
      <c r="B8" s="47" t="n"/>
      <c r="C8" s="47" t="n"/>
      <c r="D8" s="112" t="n"/>
      <c r="E8" s="46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112" t="n"/>
      <c r="P8" s="112" t="n"/>
      <c r="Q8" s="112" t="n"/>
      <c r="R8" s="47" t="n"/>
      <c r="S8" s="49" t="n"/>
      <c r="T8" s="49" t="n"/>
      <c r="U8" s="47" t="n"/>
      <c r="V8" s="47" t="n"/>
      <c r="W8" s="47" t="n"/>
      <c r="X8" s="47" t="n"/>
      <c r="Y8" s="47" t="n"/>
      <c r="Z8" s="50" t="n"/>
      <c r="AA8" s="50">
        <f>IF($A8="","",IF(OR($B8="",$E8="",$K8="",$O8="",$S8=""),"⚠ بيانات ناقصة","مكتمل"))</f>
        <v/>
      </c>
      <c r="AB8" s="51">
        <f>IF(OR($A8="",$Q8=""),"",$Q8-TODAY())</f>
        <v/>
      </c>
      <c r="AC8" s="113">
        <f>IF(OR($A8="",$O8=""),"",IFERROR(YEARFRAC($O8,TODAY(),1),"")</f>
        <v/>
      </c>
    </row>
    <row r="9">
      <c r="A9" s="39" t="n"/>
      <c r="B9" s="40" t="n"/>
      <c r="C9" s="40" t="n"/>
      <c r="D9" s="110" t="n"/>
      <c r="E9" s="39" t="n"/>
      <c r="F9" s="40" t="n"/>
      <c r="G9" s="40" t="n"/>
      <c r="H9" s="40" t="n"/>
      <c r="I9" s="40" t="n"/>
      <c r="J9" s="40" t="n"/>
      <c r="K9" s="40" t="n"/>
      <c r="L9" s="40" t="n"/>
      <c r="M9" s="40" t="n"/>
      <c r="N9" s="40" t="n"/>
      <c r="O9" s="110" t="n"/>
      <c r="P9" s="110" t="n"/>
      <c r="Q9" s="110" t="n"/>
      <c r="R9" s="40" t="n"/>
      <c r="S9" s="42" t="n"/>
      <c r="T9" s="42" t="n"/>
      <c r="U9" s="40" t="n"/>
      <c r="V9" s="40" t="n"/>
      <c r="W9" s="40" t="n"/>
      <c r="X9" s="40" t="n"/>
      <c r="Y9" s="40" t="n"/>
      <c r="Z9" s="43" t="n"/>
      <c r="AA9" s="43">
        <f>IF($A9="","",IF(OR($B9="",$E9="",$K9="",$O9="",$S9=""),"⚠ بيانات ناقصة","مكتمل"))</f>
        <v/>
      </c>
      <c r="AB9" s="44">
        <f>IF(OR($A9="",$Q9=""),"",$Q9-TODAY())</f>
        <v/>
      </c>
      <c r="AC9" s="111">
        <f>IF(OR($A9="",$O9=""),"",IFERROR(YEARFRAC($O9,TODAY(),1),"")</f>
        <v/>
      </c>
    </row>
    <row r="10">
      <c r="A10" s="46" t="n"/>
      <c r="B10" s="47" t="n"/>
      <c r="C10" s="47" t="n"/>
      <c r="D10" s="112" t="n"/>
      <c r="E10" s="46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112" t="n"/>
      <c r="P10" s="112" t="n"/>
      <c r="Q10" s="112" t="n"/>
      <c r="R10" s="47" t="n"/>
      <c r="S10" s="49" t="n"/>
      <c r="T10" s="49" t="n"/>
      <c r="U10" s="47" t="n"/>
      <c r="V10" s="47" t="n"/>
      <c r="W10" s="47" t="n"/>
      <c r="X10" s="47" t="n"/>
      <c r="Y10" s="47" t="n"/>
      <c r="Z10" s="50" t="n"/>
      <c r="AA10" s="50">
        <f>IF($A10="","",IF(OR($B10="",$E10="",$K10="",$O10="",$S10=""),"⚠ بيانات ناقصة","مكتمل"))</f>
        <v/>
      </c>
      <c r="AB10" s="51">
        <f>IF(OR($A10="",$Q10=""),"",$Q10-TODAY())</f>
        <v/>
      </c>
      <c r="AC10" s="113">
        <f>IF(OR($A10="",$O10=""),"",IFERROR(YEARFRAC($O10,TODAY(),1),"")</f>
        <v/>
      </c>
    </row>
    <row r="11">
      <c r="A11" s="39" t="n"/>
      <c r="B11" s="40" t="n"/>
      <c r="C11" s="40" t="n"/>
      <c r="D11" s="110" t="n"/>
      <c r="E11" s="39" t="n"/>
      <c r="F11" s="40" t="n"/>
      <c r="G11" s="40" t="n"/>
      <c r="H11" s="40" t="n"/>
      <c r="I11" s="40" t="n"/>
      <c r="J11" s="40" t="n"/>
      <c r="K11" s="40" t="n"/>
      <c r="L11" s="40" t="n"/>
      <c r="M11" s="40" t="n"/>
      <c r="N11" s="40" t="n"/>
      <c r="O11" s="110" t="n"/>
      <c r="P11" s="110" t="n"/>
      <c r="Q11" s="110" t="n"/>
      <c r="R11" s="40" t="n"/>
      <c r="S11" s="42" t="n"/>
      <c r="T11" s="42" t="n"/>
      <c r="U11" s="40" t="n"/>
      <c r="V11" s="40" t="n"/>
      <c r="W11" s="40" t="n"/>
      <c r="X11" s="40" t="n"/>
      <c r="Y11" s="40" t="n"/>
      <c r="Z11" s="43" t="n"/>
      <c r="AA11" s="43">
        <f>IF($A11="","",IF(OR($B11="",$E11="",$K11="",$O11="",$S11=""),"⚠ بيانات ناقصة","مكتمل"))</f>
        <v/>
      </c>
      <c r="AB11" s="44">
        <f>IF(OR($A11="",$Q11=""),"",$Q11-TODAY())</f>
        <v/>
      </c>
      <c r="AC11" s="111">
        <f>IF(OR($A11="",$O11=""),"",IFERROR(YEARFRAC($O11,TODAY(),1),"")</f>
        <v/>
      </c>
    </row>
    <row r="12">
      <c r="A12" s="46" t="n"/>
      <c r="B12" s="47" t="n"/>
      <c r="C12" s="47" t="n"/>
      <c r="D12" s="112" t="n"/>
      <c r="E12" s="46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112" t="n"/>
      <c r="P12" s="112" t="n"/>
      <c r="Q12" s="112" t="n"/>
      <c r="R12" s="47" t="n"/>
      <c r="S12" s="49" t="n"/>
      <c r="T12" s="49" t="n"/>
      <c r="U12" s="47" t="n"/>
      <c r="V12" s="47" t="n"/>
      <c r="W12" s="47" t="n"/>
      <c r="X12" s="47" t="n"/>
      <c r="Y12" s="47" t="n"/>
      <c r="Z12" s="50" t="n"/>
      <c r="AA12" s="50">
        <f>IF($A12="","",IF(OR($B12="",$E12="",$K12="",$O12="",$S12=""),"⚠ بيانات ناقصة","مكتمل"))</f>
        <v/>
      </c>
      <c r="AB12" s="51">
        <f>IF(OR($A12="",$Q12=""),"",$Q12-TODAY())</f>
        <v/>
      </c>
      <c r="AC12" s="113">
        <f>IF(OR($A12="",$O12=""),"",IFERROR(YEARFRAC($O12,TODAY(),1),"")</f>
        <v/>
      </c>
    </row>
    <row r="13">
      <c r="A13" s="39" t="n"/>
      <c r="B13" s="40" t="n"/>
      <c r="C13" s="40" t="n"/>
      <c r="D13" s="110" t="n"/>
      <c r="E13" s="39" t="n"/>
      <c r="F13" s="40" t="n"/>
      <c r="G13" s="40" t="n"/>
      <c r="H13" s="40" t="n"/>
      <c r="I13" s="40" t="n"/>
      <c r="J13" s="40" t="n"/>
      <c r="K13" s="40" t="n"/>
      <c r="L13" s="40" t="n"/>
      <c r="M13" s="40" t="n"/>
      <c r="N13" s="40" t="n"/>
      <c r="O13" s="110" t="n"/>
      <c r="P13" s="110" t="n"/>
      <c r="Q13" s="110" t="n"/>
      <c r="R13" s="40" t="n"/>
      <c r="S13" s="42" t="n"/>
      <c r="T13" s="42" t="n"/>
      <c r="U13" s="40" t="n"/>
      <c r="V13" s="40" t="n"/>
      <c r="W13" s="40" t="n"/>
      <c r="X13" s="40" t="n"/>
      <c r="Y13" s="40" t="n"/>
      <c r="Z13" s="43" t="n"/>
      <c r="AA13" s="43">
        <f>IF($A13="","",IF(OR($B13="",$E13="",$K13="",$O13="",$S13=""),"⚠ بيانات ناقصة","مكتمل"))</f>
        <v/>
      </c>
      <c r="AB13" s="44">
        <f>IF(OR($A13="",$Q13=""),"",$Q13-TODAY())</f>
        <v/>
      </c>
      <c r="AC13" s="111">
        <f>IF(OR($A13="",$O13=""),"",IFERROR(YEARFRAC($O13,TODAY(),1),"")</f>
        <v/>
      </c>
    </row>
    <row r="14">
      <c r="A14" s="46" t="n"/>
      <c r="B14" s="47" t="n"/>
      <c r="C14" s="47" t="n"/>
      <c r="D14" s="112" t="n"/>
      <c r="E14" s="46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112" t="n"/>
      <c r="P14" s="112" t="n"/>
      <c r="Q14" s="112" t="n"/>
      <c r="R14" s="47" t="n"/>
      <c r="S14" s="49" t="n"/>
      <c r="T14" s="49" t="n"/>
      <c r="U14" s="47" t="n"/>
      <c r="V14" s="47" t="n"/>
      <c r="W14" s="47" t="n"/>
      <c r="X14" s="47" t="n"/>
      <c r="Y14" s="47" t="n"/>
      <c r="Z14" s="50" t="n"/>
      <c r="AA14" s="50">
        <f>IF($A14="","",IF(OR($B14="",$E14="",$K14="",$O14="",$S14=""),"⚠ بيانات ناقصة","مكتمل"))</f>
        <v/>
      </c>
      <c r="AB14" s="51">
        <f>IF(OR($A14="",$Q14=""),"",$Q14-TODAY())</f>
        <v/>
      </c>
      <c r="AC14" s="113">
        <f>IF(OR($A14="",$O14=""),"",IFERROR(YEARFRAC($O14,TODAY(),1),"")</f>
        <v/>
      </c>
    </row>
    <row r="15">
      <c r="A15" s="39" t="n"/>
      <c r="B15" s="40" t="n"/>
      <c r="C15" s="40" t="n"/>
      <c r="D15" s="110" t="n"/>
      <c r="E15" s="39" t="n"/>
      <c r="F15" s="40" t="n"/>
      <c r="G15" s="40" t="n"/>
      <c r="H15" s="40" t="n"/>
      <c r="I15" s="40" t="n"/>
      <c r="J15" s="40" t="n"/>
      <c r="K15" s="40" t="n"/>
      <c r="L15" s="40" t="n"/>
      <c r="M15" s="40" t="n"/>
      <c r="N15" s="40" t="n"/>
      <c r="O15" s="110" t="n"/>
      <c r="P15" s="110" t="n"/>
      <c r="Q15" s="110" t="n"/>
      <c r="R15" s="40" t="n"/>
      <c r="S15" s="42" t="n"/>
      <c r="T15" s="42" t="n"/>
      <c r="U15" s="40" t="n"/>
      <c r="V15" s="40" t="n"/>
      <c r="W15" s="40" t="n"/>
      <c r="X15" s="40" t="n"/>
      <c r="Y15" s="40" t="n"/>
      <c r="Z15" s="43" t="n"/>
      <c r="AA15" s="43">
        <f>IF($A15="","",IF(OR($B15="",$E15="",$K15="",$O15="",$S15=""),"⚠ بيانات ناقصة","مكتمل"))</f>
        <v/>
      </c>
      <c r="AB15" s="44">
        <f>IF(OR($A15="",$Q15=""),"",$Q15-TODAY())</f>
        <v/>
      </c>
      <c r="AC15" s="111">
        <f>IF(OR($A15="",$O15=""),"",IFERROR(YEARFRAC($O15,TODAY(),1),"")</f>
        <v/>
      </c>
    </row>
    <row r="16">
      <c r="A16" s="46" t="n"/>
      <c r="B16" s="47" t="n"/>
      <c r="C16" s="47" t="n"/>
      <c r="D16" s="112" t="n"/>
      <c r="E16" s="46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112" t="n"/>
      <c r="P16" s="112" t="n"/>
      <c r="Q16" s="112" t="n"/>
      <c r="R16" s="47" t="n"/>
      <c r="S16" s="49" t="n"/>
      <c r="T16" s="49" t="n"/>
      <c r="U16" s="47" t="n"/>
      <c r="V16" s="47" t="n"/>
      <c r="W16" s="47" t="n"/>
      <c r="X16" s="47" t="n"/>
      <c r="Y16" s="47" t="n"/>
      <c r="Z16" s="50" t="n"/>
      <c r="AA16" s="50">
        <f>IF($A16="","",IF(OR($B16="",$E16="",$K16="",$O16="",$S16=""),"⚠ بيانات ناقصة","مكتمل"))</f>
        <v/>
      </c>
      <c r="AB16" s="51">
        <f>IF(OR($A16="",$Q16=""),"",$Q16-TODAY())</f>
        <v/>
      </c>
      <c r="AC16" s="113">
        <f>IF(OR($A16="",$O16=""),"",IFERROR(YEARFRAC($O16,TODAY(),1),"")</f>
        <v/>
      </c>
    </row>
    <row r="17">
      <c r="A17" s="39" t="n"/>
      <c r="B17" s="40" t="n"/>
      <c r="C17" s="40" t="n"/>
      <c r="D17" s="110" t="n"/>
      <c r="E17" s="39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  <c r="O17" s="110" t="n"/>
      <c r="P17" s="110" t="n"/>
      <c r="Q17" s="110" t="n"/>
      <c r="R17" s="40" t="n"/>
      <c r="S17" s="42" t="n"/>
      <c r="T17" s="42" t="n"/>
      <c r="U17" s="40" t="n"/>
      <c r="V17" s="40" t="n"/>
      <c r="W17" s="40" t="n"/>
      <c r="X17" s="40" t="n"/>
      <c r="Y17" s="40" t="n"/>
      <c r="Z17" s="43" t="n"/>
      <c r="AA17" s="43">
        <f>IF($A17="","",IF(OR($B17="",$E17="",$K17="",$O17="",$S17=""),"⚠ بيانات ناقصة","مكتمل"))</f>
        <v/>
      </c>
      <c r="AB17" s="44">
        <f>IF(OR($A17="",$Q17=""),"",$Q17-TODAY())</f>
        <v/>
      </c>
      <c r="AC17" s="111">
        <f>IF(OR($A17="",$O17=""),"",IFERROR(YEARFRAC($O17,TODAY(),1),"")</f>
        <v/>
      </c>
    </row>
    <row r="18">
      <c r="A18" s="46" t="n"/>
      <c r="B18" s="47" t="n"/>
      <c r="C18" s="47" t="n"/>
      <c r="D18" s="112" t="n"/>
      <c r="E18" s="46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112" t="n"/>
      <c r="P18" s="112" t="n"/>
      <c r="Q18" s="112" t="n"/>
      <c r="R18" s="47" t="n"/>
      <c r="S18" s="49" t="n"/>
      <c r="T18" s="49" t="n"/>
      <c r="U18" s="47" t="n"/>
      <c r="V18" s="47" t="n"/>
      <c r="W18" s="47" t="n"/>
      <c r="X18" s="47" t="n"/>
      <c r="Y18" s="47" t="n"/>
      <c r="Z18" s="50" t="n"/>
      <c r="AA18" s="50">
        <f>IF($A18="","",IF(OR($B18="",$E18="",$K18="",$O18="",$S18=""),"⚠ بيانات ناقصة","مكتمل"))</f>
        <v/>
      </c>
      <c r="AB18" s="51">
        <f>IF(OR($A18="",$Q18=""),"",$Q18-TODAY())</f>
        <v/>
      </c>
      <c r="AC18" s="113">
        <f>IF(OR($A18="",$O18=""),"",IFERROR(YEARFRAC($O18,TODAY(),1),"")</f>
        <v/>
      </c>
    </row>
    <row r="19">
      <c r="A19" s="39" t="n"/>
      <c r="B19" s="40" t="n"/>
      <c r="C19" s="40" t="n"/>
      <c r="D19" s="110" t="n"/>
      <c r="E19" s="39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0" t="n"/>
      <c r="O19" s="110" t="n"/>
      <c r="P19" s="110" t="n"/>
      <c r="Q19" s="110" t="n"/>
      <c r="R19" s="40" t="n"/>
      <c r="S19" s="42" t="n"/>
      <c r="T19" s="42" t="n"/>
      <c r="U19" s="40" t="n"/>
      <c r="V19" s="40" t="n"/>
      <c r="W19" s="40" t="n"/>
      <c r="X19" s="40" t="n"/>
      <c r="Y19" s="40" t="n"/>
      <c r="Z19" s="43" t="n"/>
      <c r="AA19" s="43">
        <f>IF($A19="","",IF(OR($B19="",$E19="",$K19="",$O19="",$S19=""),"⚠ بيانات ناقصة","مكتمل"))</f>
        <v/>
      </c>
      <c r="AB19" s="44">
        <f>IF(OR($A19="",$Q19=""),"",$Q19-TODAY())</f>
        <v/>
      </c>
      <c r="AC19" s="111">
        <f>IF(OR($A19="",$O19=""),"",IFERROR(YEARFRAC($O19,TODAY(),1),"")</f>
        <v/>
      </c>
    </row>
    <row r="20">
      <c r="A20" s="46" t="n"/>
      <c r="B20" s="47" t="n"/>
      <c r="C20" s="47" t="n"/>
      <c r="D20" s="112" t="n"/>
      <c r="E20" s="46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112" t="n"/>
      <c r="P20" s="112" t="n"/>
      <c r="Q20" s="112" t="n"/>
      <c r="R20" s="47" t="n"/>
      <c r="S20" s="49" t="n"/>
      <c r="T20" s="49" t="n"/>
      <c r="U20" s="47" t="n"/>
      <c r="V20" s="47" t="n"/>
      <c r="W20" s="47" t="n"/>
      <c r="X20" s="47" t="n"/>
      <c r="Y20" s="47" t="n"/>
      <c r="Z20" s="50" t="n"/>
      <c r="AA20" s="50">
        <f>IF($A20="","",IF(OR($B20="",$E20="",$K20="",$O20="",$S20=""),"⚠ بيانات ناقصة","مكتمل"))</f>
        <v/>
      </c>
      <c r="AB20" s="51">
        <f>IF(OR($A20="",$Q20=""),"",$Q20-TODAY())</f>
        <v/>
      </c>
      <c r="AC20" s="113">
        <f>IF(OR($A20="",$O20=""),"",IFERROR(YEARFRAC($O20,TODAY(),1),"")</f>
        <v/>
      </c>
    </row>
    <row r="21">
      <c r="A21" s="39" t="n"/>
      <c r="B21" s="40" t="n"/>
      <c r="C21" s="40" t="n"/>
      <c r="D21" s="110" t="n"/>
      <c r="E21" s="39" t="n"/>
      <c r="F21" s="40" t="n"/>
      <c r="G21" s="40" t="n"/>
      <c r="H21" s="40" t="n"/>
      <c r="I21" s="40" t="n"/>
      <c r="J21" s="40" t="n"/>
      <c r="K21" s="40" t="n"/>
      <c r="L21" s="40" t="n"/>
      <c r="M21" s="40" t="n"/>
      <c r="N21" s="40" t="n"/>
      <c r="O21" s="110" t="n"/>
      <c r="P21" s="110" t="n"/>
      <c r="Q21" s="110" t="n"/>
      <c r="R21" s="40" t="n"/>
      <c r="S21" s="42" t="n"/>
      <c r="T21" s="42" t="n"/>
      <c r="U21" s="40" t="n"/>
      <c r="V21" s="40" t="n"/>
      <c r="W21" s="40" t="n"/>
      <c r="X21" s="40" t="n"/>
      <c r="Y21" s="40" t="n"/>
      <c r="Z21" s="43" t="n"/>
      <c r="AA21" s="43">
        <f>IF($A21="","",IF(OR($B21="",$E21="",$K21="",$O21="",$S21=""),"⚠ بيانات ناقصة","مكتمل"))</f>
        <v/>
      </c>
      <c r="AB21" s="44">
        <f>IF(OR($A21="",$Q21=""),"",$Q21-TODAY())</f>
        <v/>
      </c>
      <c r="AC21" s="111">
        <f>IF(OR($A21="",$O21=""),"",IFERROR(YEARFRAC($O21,TODAY(),1),"")</f>
        <v/>
      </c>
    </row>
    <row r="22">
      <c r="A22" s="46" t="n"/>
      <c r="B22" s="47" t="n"/>
      <c r="C22" s="47" t="n"/>
      <c r="D22" s="112" t="n"/>
      <c r="E22" s="46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112" t="n"/>
      <c r="P22" s="112" t="n"/>
      <c r="Q22" s="112" t="n"/>
      <c r="R22" s="47" t="n"/>
      <c r="S22" s="49" t="n"/>
      <c r="T22" s="49" t="n"/>
      <c r="U22" s="47" t="n"/>
      <c r="V22" s="47" t="n"/>
      <c r="W22" s="47" t="n"/>
      <c r="X22" s="47" t="n"/>
      <c r="Y22" s="47" t="n"/>
      <c r="Z22" s="50" t="n"/>
      <c r="AA22" s="50">
        <f>IF($A22="","",IF(OR($B22="",$E22="",$K22="",$O22="",$S22=""),"⚠ بيانات ناقصة","مكتمل"))</f>
        <v/>
      </c>
      <c r="AB22" s="51">
        <f>IF(OR($A22="",$Q22=""),"",$Q22-TODAY())</f>
        <v/>
      </c>
      <c r="AC22" s="113">
        <f>IF(OR($A22="",$O22=""),"",IFERROR(YEARFRAC($O22,TODAY(),1),"")</f>
        <v/>
      </c>
    </row>
    <row r="23">
      <c r="A23" s="39" t="n"/>
      <c r="B23" s="40" t="n"/>
      <c r="C23" s="40" t="n"/>
      <c r="D23" s="110" t="n"/>
      <c r="E23" s="39" t="n"/>
      <c r="F23" s="40" t="n"/>
      <c r="G23" s="40" t="n"/>
      <c r="H23" s="40" t="n"/>
      <c r="I23" s="40" t="n"/>
      <c r="J23" s="40" t="n"/>
      <c r="K23" s="40" t="n"/>
      <c r="L23" s="40" t="n"/>
      <c r="M23" s="40" t="n"/>
      <c r="N23" s="40" t="n"/>
      <c r="O23" s="110" t="n"/>
      <c r="P23" s="110" t="n"/>
      <c r="Q23" s="110" t="n"/>
      <c r="R23" s="40" t="n"/>
      <c r="S23" s="42" t="n"/>
      <c r="T23" s="42" t="n"/>
      <c r="U23" s="40" t="n"/>
      <c r="V23" s="40" t="n"/>
      <c r="W23" s="40" t="n"/>
      <c r="X23" s="40" t="n"/>
      <c r="Y23" s="40" t="n"/>
      <c r="Z23" s="43" t="n"/>
      <c r="AA23" s="43">
        <f>IF($A23="","",IF(OR($B23="",$E23="",$K23="",$O23="",$S23=""),"⚠ بيانات ناقصة","مكتمل"))</f>
        <v/>
      </c>
      <c r="AB23" s="44">
        <f>IF(OR($A23="",$Q23=""),"",$Q23-TODAY())</f>
        <v/>
      </c>
      <c r="AC23" s="111">
        <f>IF(OR($A23="",$O23=""),"",IFERROR(YEARFRAC($O23,TODAY(),1),"")</f>
        <v/>
      </c>
    </row>
    <row r="24">
      <c r="A24" s="46" t="n"/>
      <c r="B24" s="47" t="n"/>
      <c r="C24" s="47" t="n"/>
      <c r="D24" s="112" t="n"/>
      <c r="E24" s="46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112" t="n"/>
      <c r="P24" s="112" t="n"/>
      <c r="Q24" s="112" t="n"/>
      <c r="R24" s="47" t="n"/>
      <c r="S24" s="49" t="n"/>
      <c r="T24" s="49" t="n"/>
      <c r="U24" s="47" t="n"/>
      <c r="V24" s="47" t="n"/>
      <c r="W24" s="47" t="n"/>
      <c r="X24" s="47" t="n"/>
      <c r="Y24" s="47" t="n"/>
      <c r="Z24" s="50" t="n"/>
      <c r="AA24" s="50">
        <f>IF($A24="","",IF(OR($B24="",$E24="",$K24="",$O24="",$S24=""),"⚠ بيانات ناقصة","مكتمل"))</f>
        <v/>
      </c>
      <c r="AB24" s="51">
        <f>IF(OR($A24="",$Q24=""),"",$Q24-TODAY())</f>
        <v/>
      </c>
      <c r="AC24" s="113">
        <f>IF(OR($A24="",$O24=""),"",IFERROR(YEARFRAC($O24,TODAY(),1),"")</f>
        <v/>
      </c>
    </row>
    <row r="25">
      <c r="A25" s="39" t="n"/>
      <c r="B25" s="40" t="n"/>
      <c r="C25" s="40" t="n"/>
      <c r="D25" s="110" t="n"/>
      <c r="E25" s="39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  <c r="O25" s="110" t="n"/>
      <c r="P25" s="110" t="n"/>
      <c r="Q25" s="110" t="n"/>
      <c r="R25" s="40" t="n"/>
      <c r="S25" s="42" t="n"/>
      <c r="T25" s="42" t="n"/>
      <c r="U25" s="40" t="n"/>
      <c r="V25" s="40" t="n"/>
      <c r="W25" s="40" t="n"/>
      <c r="X25" s="40" t="n"/>
      <c r="Y25" s="40" t="n"/>
      <c r="Z25" s="43" t="n"/>
      <c r="AA25" s="43">
        <f>IF($A25="","",IF(OR($B25="",$E25="",$K25="",$O25="",$S25=""),"⚠ بيانات ناقصة","مكتمل"))</f>
        <v/>
      </c>
      <c r="AB25" s="44">
        <f>IF(OR($A25="",$Q25=""),"",$Q25-TODAY())</f>
        <v/>
      </c>
      <c r="AC25" s="111">
        <f>IF(OR($A25="",$O25=""),"",IFERROR(YEARFRAC($O25,TODAY(),1),"")</f>
        <v/>
      </c>
    </row>
    <row r="26">
      <c r="A26" s="46" t="n"/>
      <c r="B26" s="47" t="n"/>
      <c r="C26" s="47" t="n"/>
      <c r="D26" s="112" t="n"/>
      <c r="E26" s="46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112" t="n"/>
      <c r="P26" s="112" t="n"/>
      <c r="Q26" s="112" t="n"/>
      <c r="R26" s="47" t="n"/>
      <c r="S26" s="49" t="n"/>
      <c r="T26" s="49" t="n"/>
      <c r="U26" s="47" t="n"/>
      <c r="V26" s="47" t="n"/>
      <c r="W26" s="47" t="n"/>
      <c r="X26" s="47" t="n"/>
      <c r="Y26" s="47" t="n"/>
      <c r="Z26" s="50" t="n"/>
      <c r="AA26" s="50">
        <f>IF($A26="","",IF(OR($B26="",$E26="",$K26="",$O26="",$S26=""),"⚠ بيانات ناقصة","مكتمل"))</f>
        <v/>
      </c>
      <c r="AB26" s="51">
        <f>IF(OR($A26="",$Q26=""),"",$Q26-TODAY())</f>
        <v/>
      </c>
      <c r="AC26" s="113">
        <f>IF(OR($A26="",$O26=""),"",IFERROR(YEARFRAC($O26,TODAY(),1),"")</f>
        <v/>
      </c>
    </row>
    <row r="27">
      <c r="A27" s="39" t="n"/>
      <c r="B27" s="40" t="n"/>
      <c r="C27" s="40" t="n"/>
      <c r="D27" s="110" t="n"/>
      <c r="E27" s="39" t="n"/>
      <c r="F27" s="40" t="n"/>
      <c r="G27" s="40" t="n"/>
      <c r="H27" s="40" t="n"/>
      <c r="I27" s="40" t="n"/>
      <c r="J27" s="40" t="n"/>
      <c r="K27" s="40" t="n"/>
      <c r="L27" s="40" t="n"/>
      <c r="M27" s="40" t="n"/>
      <c r="N27" s="40" t="n"/>
      <c r="O27" s="110" t="n"/>
      <c r="P27" s="110" t="n"/>
      <c r="Q27" s="110" t="n"/>
      <c r="R27" s="40" t="n"/>
      <c r="S27" s="42" t="n"/>
      <c r="T27" s="42" t="n"/>
      <c r="U27" s="40" t="n"/>
      <c r="V27" s="40" t="n"/>
      <c r="W27" s="40" t="n"/>
      <c r="X27" s="40" t="n"/>
      <c r="Y27" s="40" t="n"/>
      <c r="Z27" s="43" t="n"/>
      <c r="AA27" s="43">
        <f>IF($A27="","",IF(OR($B27="",$E27="",$K27="",$O27="",$S27=""),"⚠ بيانات ناقصة","مكتمل"))</f>
        <v/>
      </c>
      <c r="AB27" s="44">
        <f>IF(OR($A27="",$Q27=""),"",$Q27-TODAY())</f>
        <v/>
      </c>
      <c r="AC27" s="111">
        <f>IF(OR($A27="",$O27=""),"",IFERROR(YEARFRAC($O27,TODAY(),1),"")</f>
        <v/>
      </c>
    </row>
    <row r="28">
      <c r="A28" s="46" t="n"/>
      <c r="B28" s="47" t="n"/>
      <c r="C28" s="47" t="n"/>
      <c r="D28" s="112" t="n"/>
      <c r="E28" s="46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112" t="n"/>
      <c r="P28" s="112" t="n"/>
      <c r="Q28" s="112" t="n"/>
      <c r="R28" s="47" t="n"/>
      <c r="S28" s="49" t="n"/>
      <c r="T28" s="49" t="n"/>
      <c r="U28" s="47" t="n"/>
      <c r="V28" s="47" t="n"/>
      <c r="W28" s="47" t="n"/>
      <c r="X28" s="47" t="n"/>
      <c r="Y28" s="47" t="n"/>
      <c r="Z28" s="50" t="n"/>
      <c r="AA28" s="50">
        <f>IF($A28="","",IF(OR($B28="",$E28="",$K28="",$O28="",$S28=""),"⚠ بيانات ناقصة","مكتمل"))</f>
        <v/>
      </c>
      <c r="AB28" s="51">
        <f>IF(OR($A28="",$Q28=""),"",$Q28-TODAY())</f>
        <v/>
      </c>
      <c r="AC28" s="113">
        <f>IF(OR($A28="",$O28=""),"",IFERROR(YEARFRAC($O28,TODAY(),1),"")</f>
        <v/>
      </c>
    </row>
    <row r="29">
      <c r="A29" s="39" t="n"/>
      <c r="B29" s="40" t="n"/>
      <c r="C29" s="40" t="n"/>
      <c r="D29" s="110" t="n"/>
      <c r="E29" s="39" t="n"/>
      <c r="F29" s="40" t="n"/>
      <c r="G29" s="40" t="n"/>
      <c r="H29" s="40" t="n"/>
      <c r="I29" s="40" t="n"/>
      <c r="J29" s="40" t="n"/>
      <c r="K29" s="40" t="n"/>
      <c r="L29" s="40" t="n"/>
      <c r="M29" s="40" t="n"/>
      <c r="N29" s="40" t="n"/>
      <c r="O29" s="110" t="n"/>
      <c r="P29" s="110" t="n"/>
      <c r="Q29" s="110" t="n"/>
      <c r="R29" s="40" t="n"/>
      <c r="S29" s="42" t="n"/>
      <c r="T29" s="42" t="n"/>
      <c r="U29" s="40" t="n"/>
      <c r="V29" s="40" t="n"/>
      <c r="W29" s="40" t="n"/>
      <c r="X29" s="40" t="n"/>
      <c r="Y29" s="40" t="n"/>
      <c r="Z29" s="43" t="n"/>
      <c r="AA29" s="43">
        <f>IF($A29="","",IF(OR($B29="",$E29="",$K29="",$O29="",$S29=""),"⚠ بيانات ناقصة","مكتمل"))</f>
        <v/>
      </c>
      <c r="AB29" s="44">
        <f>IF(OR($A29="",$Q29=""),"",$Q29-TODAY())</f>
        <v/>
      </c>
      <c r="AC29" s="111">
        <f>IF(OR($A29="",$O29=""),"",IFERROR(YEARFRAC($O29,TODAY(),1),"")</f>
        <v/>
      </c>
    </row>
    <row r="30">
      <c r="A30" s="46" t="n"/>
      <c r="B30" s="47" t="n"/>
      <c r="C30" s="47" t="n"/>
      <c r="D30" s="112" t="n"/>
      <c r="E30" s="46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112" t="n"/>
      <c r="P30" s="112" t="n"/>
      <c r="Q30" s="112" t="n"/>
      <c r="R30" s="47" t="n"/>
      <c r="S30" s="49" t="n"/>
      <c r="T30" s="49" t="n"/>
      <c r="U30" s="47" t="n"/>
      <c r="V30" s="47" t="n"/>
      <c r="W30" s="47" t="n"/>
      <c r="X30" s="47" t="n"/>
      <c r="Y30" s="47" t="n"/>
      <c r="Z30" s="50" t="n"/>
      <c r="AA30" s="50">
        <f>IF($A30="","",IF(OR($B30="",$E30="",$K30="",$O30="",$S30=""),"⚠ بيانات ناقصة","مكتمل"))</f>
        <v/>
      </c>
      <c r="AB30" s="51">
        <f>IF(OR($A30="",$Q30=""),"",$Q30-TODAY())</f>
        <v/>
      </c>
      <c r="AC30" s="113">
        <f>IF(OR($A30="",$O30=""),"",IFERROR(YEARFRAC($O30,TODAY(),1),"")</f>
        <v/>
      </c>
    </row>
    <row r="31">
      <c r="A31" s="39" t="n"/>
      <c r="B31" s="40" t="n"/>
      <c r="C31" s="40" t="n"/>
      <c r="D31" s="110" t="n"/>
      <c r="E31" s="39" t="n"/>
      <c r="F31" s="40" t="n"/>
      <c r="G31" s="40" t="n"/>
      <c r="H31" s="40" t="n"/>
      <c r="I31" s="40" t="n"/>
      <c r="J31" s="40" t="n"/>
      <c r="K31" s="40" t="n"/>
      <c r="L31" s="40" t="n"/>
      <c r="M31" s="40" t="n"/>
      <c r="N31" s="40" t="n"/>
      <c r="O31" s="110" t="n"/>
      <c r="P31" s="110" t="n"/>
      <c r="Q31" s="110" t="n"/>
      <c r="R31" s="40" t="n"/>
      <c r="S31" s="42" t="n"/>
      <c r="T31" s="42" t="n"/>
      <c r="U31" s="40" t="n"/>
      <c r="V31" s="40" t="n"/>
      <c r="W31" s="40" t="n"/>
      <c r="X31" s="40" t="n"/>
      <c r="Y31" s="40" t="n"/>
      <c r="Z31" s="43" t="n"/>
      <c r="AA31" s="43">
        <f>IF($A31="","",IF(OR($B31="",$E31="",$K31="",$O31="",$S31=""),"⚠ بيانات ناقصة","مكتمل"))</f>
        <v/>
      </c>
      <c r="AB31" s="44">
        <f>IF(OR($A31="",$Q31=""),"",$Q31-TODAY())</f>
        <v/>
      </c>
      <c r="AC31" s="111">
        <f>IF(OR($A31="",$O31=""),"",IFERROR(YEARFRAC($O31,TODAY(),1),"")</f>
        <v/>
      </c>
    </row>
    <row r="32">
      <c r="A32" s="46" t="n"/>
      <c r="B32" s="47" t="n"/>
      <c r="C32" s="47" t="n"/>
      <c r="D32" s="112" t="n"/>
      <c r="E32" s="46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112" t="n"/>
      <c r="P32" s="112" t="n"/>
      <c r="Q32" s="112" t="n"/>
      <c r="R32" s="47" t="n"/>
      <c r="S32" s="49" t="n"/>
      <c r="T32" s="49" t="n"/>
      <c r="U32" s="47" t="n"/>
      <c r="V32" s="47" t="n"/>
      <c r="W32" s="47" t="n"/>
      <c r="X32" s="47" t="n"/>
      <c r="Y32" s="47" t="n"/>
      <c r="Z32" s="50" t="n"/>
      <c r="AA32" s="50">
        <f>IF($A32="","",IF(OR($B32="",$E32="",$K32="",$O32="",$S32=""),"⚠ بيانات ناقصة","مكتمل"))</f>
        <v/>
      </c>
      <c r="AB32" s="51">
        <f>IF(OR($A32="",$Q32=""),"",$Q32-TODAY())</f>
        <v/>
      </c>
      <c r="AC32" s="113">
        <f>IF(OR($A32="",$O32=""),"",IFERROR(YEARFRAC($O32,TODAY(),1),"")</f>
        <v/>
      </c>
    </row>
    <row r="33">
      <c r="A33" s="39" t="n"/>
      <c r="B33" s="40" t="n"/>
      <c r="C33" s="40" t="n"/>
      <c r="D33" s="110" t="n"/>
      <c r="E33" s="39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  <c r="O33" s="110" t="n"/>
      <c r="P33" s="110" t="n"/>
      <c r="Q33" s="110" t="n"/>
      <c r="R33" s="40" t="n"/>
      <c r="S33" s="42" t="n"/>
      <c r="T33" s="42" t="n"/>
      <c r="U33" s="40" t="n"/>
      <c r="V33" s="40" t="n"/>
      <c r="W33" s="40" t="n"/>
      <c r="X33" s="40" t="n"/>
      <c r="Y33" s="40" t="n"/>
      <c r="Z33" s="43" t="n"/>
      <c r="AA33" s="43">
        <f>IF($A33="","",IF(OR($B33="",$E33="",$K33="",$O33="",$S33=""),"⚠ بيانات ناقصة","مكتمل"))</f>
        <v/>
      </c>
      <c r="AB33" s="44">
        <f>IF(OR($A33="",$Q33=""),"",$Q33-TODAY())</f>
        <v/>
      </c>
      <c r="AC33" s="111">
        <f>IF(OR($A33="",$O33=""),"",IFERROR(YEARFRAC($O33,TODAY(),1),"")</f>
        <v/>
      </c>
    </row>
    <row r="34">
      <c r="A34" s="46" t="n"/>
      <c r="B34" s="47" t="n"/>
      <c r="C34" s="47" t="n"/>
      <c r="D34" s="112" t="n"/>
      <c r="E34" s="46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112" t="n"/>
      <c r="P34" s="112" t="n"/>
      <c r="Q34" s="112" t="n"/>
      <c r="R34" s="47" t="n"/>
      <c r="S34" s="49" t="n"/>
      <c r="T34" s="49" t="n"/>
      <c r="U34" s="47" t="n"/>
      <c r="V34" s="47" t="n"/>
      <c r="W34" s="47" t="n"/>
      <c r="X34" s="47" t="n"/>
      <c r="Y34" s="47" t="n"/>
      <c r="Z34" s="50" t="n"/>
      <c r="AA34" s="50">
        <f>IF($A34="","",IF(OR($B34="",$E34="",$K34="",$O34="",$S34=""),"⚠ بيانات ناقصة","مكتمل"))</f>
        <v/>
      </c>
      <c r="AB34" s="51">
        <f>IF(OR($A34="",$Q34=""),"",$Q34-TODAY())</f>
        <v/>
      </c>
      <c r="AC34" s="113">
        <f>IF(OR($A34="",$O34=""),"",IFERROR(YEARFRAC($O34,TODAY(),1),"")</f>
        <v/>
      </c>
    </row>
    <row r="35">
      <c r="A35" s="39" t="n"/>
      <c r="B35" s="40" t="n"/>
      <c r="C35" s="40" t="n"/>
      <c r="D35" s="110" t="n"/>
      <c r="E35" s="39" t="n"/>
      <c r="F35" s="40" t="n"/>
      <c r="G35" s="40" t="n"/>
      <c r="H35" s="40" t="n"/>
      <c r="I35" s="40" t="n"/>
      <c r="J35" s="40" t="n"/>
      <c r="K35" s="40" t="n"/>
      <c r="L35" s="40" t="n"/>
      <c r="M35" s="40" t="n"/>
      <c r="N35" s="40" t="n"/>
      <c r="O35" s="110" t="n"/>
      <c r="P35" s="110" t="n"/>
      <c r="Q35" s="110" t="n"/>
      <c r="R35" s="40" t="n"/>
      <c r="S35" s="42" t="n"/>
      <c r="T35" s="42" t="n"/>
      <c r="U35" s="40" t="n"/>
      <c r="V35" s="40" t="n"/>
      <c r="W35" s="40" t="n"/>
      <c r="X35" s="40" t="n"/>
      <c r="Y35" s="40" t="n"/>
      <c r="Z35" s="43" t="n"/>
      <c r="AA35" s="43">
        <f>IF($A35="","",IF(OR($B35="",$E35="",$K35="",$O35="",$S35=""),"⚠ بيانات ناقصة","مكتمل"))</f>
        <v/>
      </c>
      <c r="AB35" s="44">
        <f>IF(OR($A35="",$Q35=""),"",$Q35-TODAY())</f>
        <v/>
      </c>
      <c r="AC35" s="111">
        <f>IF(OR($A35="",$O35=""),"",IFERROR(YEARFRAC($O35,TODAY(),1),"")</f>
        <v/>
      </c>
    </row>
    <row r="36">
      <c r="A36" s="46" t="n"/>
      <c r="B36" s="47" t="n"/>
      <c r="C36" s="47" t="n"/>
      <c r="D36" s="112" t="n"/>
      <c r="E36" s="46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112" t="n"/>
      <c r="P36" s="112" t="n"/>
      <c r="Q36" s="112" t="n"/>
      <c r="R36" s="47" t="n"/>
      <c r="S36" s="49" t="n"/>
      <c r="T36" s="49" t="n"/>
      <c r="U36" s="47" t="n"/>
      <c r="V36" s="47" t="n"/>
      <c r="W36" s="47" t="n"/>
      <c r="X36" s="47" t="n"/>
      <c r="Y36" s="47" t="n"/>
      <c r="Z36" s="50" t="n"/>
      <c r="AA36" s="50">
        <f>IF($A36="","",IF(OR($B36="",$E36="",$K36="",$O36="",$S36=""),"⚠ بيانات ناقصة","مكتمل"))</f>
        <v/>
      </c>
      <c r="AB36" s="51">
        <f>IF(OR($A36="",$Q36=""),"",$Q36-TODAY())</f>
        <v/>
      </c>
      <c r="AC36" s="113">
        <f>IF(OR($A36="",$O36=""),"",IFERROR(YEARFRAC($O36,TODAY(),1),"")</f>
        <v/>
      </c>
    </row>
    <row r="37">
      <c r="A37" s="39" t="n"/>
      <c r="B37" s="40" t="n"/>
      <c r="C37" s="40" t="n"/>
      <c r="D37" s="110" t="n"/>
      <c r="E37" s="39" t="n"/>
      <c r="F37" s="40" t="n"/>
      <c r="G37" s="40" t="n"/>
      <c r="H37" s="40" t="n"/>
      <c r="I37" s="40" t="n"/>
      <c r="J37" s="40" t="n"/>
      <c r="K37" s="40" t="n"/>
      <c r="L37" s="40" t="n"/>
      <c r="M37" s="40" t="n"/>
      <c r="N37" s="40" t="n"/>
      <c r="O37" s="110" t="n"/>
      <c r="P37" s="110" t="n"/>
      <c r="Q37" s="110" t="n"/>
      <c r="R37" s="40" t="n"/>
      <c r="S37" s="42" t="n"/>
      <c r="T37" s="42" t="n"/>
      <c r="U37" s="40" t="n"/>
      <c r="V37" s="40" t="n"/>
      <c r="W37" s="40" t="n"/>
      <c r="X37" s="40" t="n"/>
      <c r="Y37" s="40" t="n"/>
      <c r="Z37" s="43" t="n"/>
      <c r="AA37" s="43">
        <f>IF($A37="","",IF(OR($B37="",$E37="",$K37="",$O37="",$S37=""),"⚠ بيانات ناقصة","مكتمل"))</f>
        <v/>
      </c>
      <c r="AB37" s="44">
        <f>IF(OR($A37="",$Q37=""),"",$Q37-TODAY())</f>
        <v/>
      </c>
      <c r="AC37" s="111">
        <f>IF(OR($A37="",$O37=""),"",IFERROR(YEARFRAC($O37,TODAY(),1),"")</f>
        <v/>
      </c>
    </row>
    <row r="38">
      <c r="A38" s="46" t="n"/>
      <c r="B38" s="47" t="n"/>
      <c r="C38" s="47" t="n"/>
      <c r="D38" s="112" t="n"/>
      <c r="E38" s="46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112" t="n"/>
      <c r="P38" s="112" t="n"/>
      <c r="Q38" s="112" t="n"/>
      <c r="R38" s="47" t="n"/>
      <c r="S38" s="49" t="n"/>
      <c r="T38" s="49" t="n"/>
      <c r="U38" s="47" t="n"/>
      <c r="V38" s="47" t="n"/>
      <c r="W38" s="47" t="n"/>
      <c r="X38" s="47" t="n"/>
      <c r="Y38" s="47" t="n"/>
      <c r="Z38" s="50" t="n"/>
      <c r="AA38" s="50">
        <f>IF($A38="","",IF(OR($B38="",$E38="",$K38="",$O38="",$S38=""),"⚠ بيانات ناقصة","مكتمل"))</f>
        <v/>
      </c>
      <c r="AB38" s="51">
        <f>IF(OR($A38="",$Q38=""),"",$Q38-TODAY())</f>
        <v/>
      </c>
      <c r="AC38" s="113">
        <f>IF(OR($A38="",$O38=""),"",IFERROR(YEARFRAC($O38,TODAY(),1),"")</f>
        <v/>
      </c>
    </row>
    <row r="39">
      <c r="A39" s="39" t="n"/>
      <c r="B39" s="40" t="n"/>
      <c r="C39" s="40" t="n"/>
      <c r="D39" s="110" t="n"/>
      <c r="E39" s="39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110" t="n"/>
      <c r="P39" s="110" t="n"/>
      <c r="Q39" s="110" t="n"/>
      <c r="R39" s="40" t="n"/>
      <c r="S39" s="42" t="n"/>
      <c r="T39" s="42" t="n"/>
      <c r="U39" s="40" t="n"/>
      <c r="V39" s="40" t="n"/>
      <c r="W39" s="40" t="n"/>
      <c r="X39" s="40" t="n"/>
      <c r="Y39" s="40" t="n"/>
      <c r="Z39" s="43" t="n"/>
      <c r="AA39" s="43">
        <f>IF($A39="","",IF(OR($B39="",$E39="",$K39="",$O39="",$S39=""),"⚠ بيانات ناقصة","مكتمل"))</f>
        <v/>
      </c>
      <c r="AB39" s="44">
        <f>IF(OR($A39="",$Q39=""),"",$Q39-TODAY())</f>
        <v/>
      </c>
      <c r="AC39" s="111">
        <f>IF(OR($A39="",$O39=""),"",IFERROR(YEARFRAC($O39,TODAY(),1),"")</f>
        <v/>
      </c>
    </row>
    <row r="40">
      <c r="A40" s="46" t="n"/>
      <c r="B40" s="47" t="n"/>
      <c r="C40" s="47" t="n"/>
      <c r="D40" s="112" t="n"/>
      <c r="E40" s="46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112" t="n"/>
      <c r="P40" s="112" t="n"/>
      <c r="Q40" s="112" t="n"/>
      <c r="R40" s="47" t="n"/>
      <c r="S40" s="49" t="n"/>
      <c r="T40" s="49" t="n"/>
      <c r="U40" s="47" t="n"/>
      <c r="V40" s="47" t="n"/>
      <c r="W40" s="47" t="n"/>
      <c r="X40" s="47" t="n"/>
      <c r="Y40" s="47" t="n"/>
      <c r="Z40" s="50" t="n"/>
      <c r="AA40" s="50">
        <f>IF($A40="","",IF(OR($B40="",$E40="",$K40="",$O40="",$S40=""),"⚠ بيانات ناقصة","مكتمل"))</f>
        <v/>
      </c>
      <c r="AB40" s="51">
        <f>IF(OR($A40="",$Q40=""),"",$Q40-TODAY())</f>
        <v/>
      </c>
      <c r="AC40" s="113">
        <f>IF(OR($A40="",$O40=""),"",IFERROR(YEARFRAC($O40,TODAY(),1),"")</f>
        <v/>
      </c>
    </row>
    <row r="41">
      <c r="A41" s="39" t="n"/>
      <c r="B41" s="40" t="n"/>
      <c r="C41" s="40" t="n"/>
      <c r="D41" s="110" t="n"/>
      <c r="E41" s="39" t="n"/>
      <c r="F41" s="40" t="n"/>
      <c r="G41" s="40" t="n"/>
      <c r="H41" s="40" t="n"/>
      <c r="I41" s="40" t="n"/>
      <c r="J41" s="40" t="n"/>
      <c r="K41" s="40" t="n"/>
      <c r="L41" s="40" t="n"/>
      <c r="M41" s="40" t="n"/>
      <c r="N41" s="40" t="n"/>
      <c r="O41" s="110" t="n"/>
      <c r="P41" s="110" t="n"/>
      <c r="Q41" s="110" t="n"/>
      <c r="R41" s="40" t="n"/>
      <c r="S41" s="42" t="n"/>
      <c r="T41" s="42" t="n"/>
      <c r="U41" s="40" t="n"/>
      <c r="V41" s="40" t="n"/>
      <c r="W41" s="40" t="n"/>
      <c r="X41" s="40" t="n"/>
      <c r="Y41" s="40" t="n"/>
      <c r="Z41" s="43" t="n"/>
      <c r="AA41" s="43">
        <f>IF($A41="","",IF(OR($B41="",$E41="",$K41="",$O41="",$S41=""),"⚠ بيانات ناقصة","مكتمل"))</f>
        <v/>
      </c>
      <c r="AB41" s="44">
        <f>IF(OR($A41="",$Q41=""),"",$Q41-TODAY())</f>
        <v/>
      </c>
      <c r="AC41" s="111">
        <f>IF(OR($A41="",$O41=""),"",IFERROR(YEARFRAC($O41,TODAY(),1),"")</f>
        <v/>
      </c>
    </row>
    <row r="42">
      <c r="A42" s="46" t="n"/>
      <c r="B42" s="47" t="n"/>
      <c r="C42" s="47" t="n"/>
      <c r="D42" s="112" t="n"/>
      <c r="E42" s="46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112" t="n"/>
      <c r="P42" s="112" t="n"/>
      <c r="Q42" s="112" t="n"/>
      <c r="R42" s="47" t="n"/>
      <c r="S42" s="49" t="n"/>
      <c r="T42" s="49" t="n"/>
      <c r="U42" s="47" t="n"/>
      <c r="V42" s="47" t="n"/>
      <c r="W42" s="47" t="n"/>
      <c r="X42" s="47" t="n"/>
      <c r="Y42" s="47" t="n"/>
      <c r="Z42" s="50" t="n"/>
      <c r="AA42" s="50">
        <f>IF($A42="","",IF(OR($B42="",$E42="",$K42="",$O42="",$S42=""),"⚠ بيانات ناقصة","مكتمل"))</f>
        <v/>
      </c>
      <c r="AB42" s="51">
        <f>IF(OR($A42="",$Q42=""),"",$Q42-TODAY())</f>
        <v/>
      </c>
      <c r="AC42" s="113">
        <f>IF(OR($A42="",$O42=""),"",IFERROR(YEARFRAC($O42,TODAY(),1),"")</f>
        <v/>
      </c>
    </row>
    <row r="43">
      <c r="A43" s="39" t="n"/>
      <c r="B43" s="40" t="n"/>
      <c r="C43" s="40" t="n"/>
      <c r="D43" s="110" t="n"/>
      <c r="E43" s="39" t="n"/>
      <c r="F43" s="40" t="n"/>
      <c r="G43" s="40" t="n"/>
      <c r="H43" s="40" t="n"/>
      <c r="I43" s="40" t="n"/>
      <c r="J43" s="40" t="n"/>
      <c r="K43" s="40" t="n"/>
      <c r="L43" s="40" t="n"/>
      <c r="M43" s="40" t="n"/>
      <c r="N43" s="40" t="n"/>
      <c r="O43" s="110" t="n"/>
      <c r="P43" s="110" t="n"/>
      <c r="Q43" s="110" t="n"/>
      <c r="R43" s="40" t="n"/>
      <c r="S43" s="42" t="n"/>
      <c r="T43" s="42" t="n"/>
      <c r="U43" s="40" t="n"/>
      <c r="V43" s="40" t="n"/>
      <c r="W43" s="40" t="n"/>
      <c r="X43" s="40" t="n"/>
      <c r="Y43" s="40" t="n"/>
      <c r="Z43" s="43" t="n"/>
      <c r="AA43" s="43">
        <f>IF($A43="","",IF(OR($B43="",$E43="",$K43="",$O43="",$S43=""),"⚠ بيانات ناقصة","مكتمل"))</f>
        <v/>
      </c>
      <c r="AB43" s="44">
        <f>IF(OR($A43="",$Q43=""),"",$Q43-TODAY())</f>
        <v/>
      </c>
      <c r="AC43" s="111">
        <f>IF(OR($A43="",$O43=""),"",IFERROR(YEARFRAC($O43,TODAY(),1),"")</f>
        <v/>
      </c>
    </row>
    <row r="44">
      <c r="A44" s="46" t="n"/>
      <c r="B44" s="47" t="n"/>
      <c r="C44" s="47" t="n"/>
      <c r="D44" s="112" t="n"/>
      <c r="E44" s="46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112" t="n"/>
      <c r="P44" s="112" t="n"/>
      <c r="Q44" s="112" t="n"/>
      <c r="R44" s="47" t="n"/>
      <c r="S44" s="49" t="n"/>
      <c r="T44" s="49" t="n"/>
      <c r="U44" s="47" t="n"/>
      <c r="V44" s="47" t="n"/>
      <c r="W44" s="47" t="n"/>
      <c r="X44" s="47" t="n"/>
      <c r="Y44" s="47" t="n"/>
      <c r="Z44" s="50" t="n"/>
      <c r="AA44" s="50">
        <f>IF($A44="","",IF(OR($B44="",$E44="",$K44="",$O44="",$S44=""),"⚠ بيانات ناقصة","مكتمل"))</f>
        <v/>
      </c>
      <c r="AB44" s="51">
        <f>IF(OR($A44="",$Q44=""),"",$Q44-TODAY())</f>
        <v/>
      </c>
      <c r="AC44" s="113">
        <f>IF(OR($A44="",$O44=""),"",IFERROR(YEARFRAC($O44,TODAY(),1),"")</f>
        <v/>
      </c>
    </row>
    <row r="45">
      <c r="A45" s="39" t="n"/>
      <c r="B45" s="40" t="n"/>
      <c r="C45" s="40" t="n"/>
      <c r="D45" s="110" t="n"/>
      <c r="E45" s="39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110" t="n"/>
      <c r="P45" s="110" t="n"/>
      <c r="Q45" s="110" t="n"/>
      <c r="R45" s="40" t="n"/>
      <c r="S45" s="42" t="n"/>
      <c r="T45" s="42" t="n"/>
      <c r="U45" s="40" t="n"/>
      <c r="V45" s="40" t="n"/>
      <c r="W45" s="40" t="n"/>
      <c r="X45" s="40" t="n"/>
      <c r="Y45" s="40" t="n"/>
      <c r="Z45" s="43" t="n"/>
      <c r="AA45" s="43">
        <f>IF($A45="","",IF(OR($B45="",$E45="",$K45="",$O45="",$S45=""),"⚠ بيانات ناقصة","مكتمل"))</f>
        <v/>
      </c>
      <c r="AB45" s="44">
        <f>IF(OR($A45="",$Q45=""),"",$Q45-TODAY())</f>
        <v/>
      </c>
      <c r="AC45" s="111">
        <f>IF(OR($A45="",$O45=""),"",IFERROR(YEARFRAC($O45,TODAY(),1),"")</f>
        <v/>
      </c>
    </row>
    <row r="46">
      <c r="A46" s="46" t="n"/>
      <c r="B46" s="47" t="n"/>
      <c r="C46" s="47" t="n"/>
      <c r="D46" s="112" t="n"/>
      <c r="E46" s="46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112" t="n"/>
      <c r="P46" s="112" t="n"/>
      <c r="Q46" s="112" t="n"/>
      <c r="R46" s="47" t="n"/>
      <c r="S46" s="49" t="n"/>
      <c r="T46" s="49" t="n"/>
      <c r="U46" s="47" t="n"/>
      <c r="V46" s="47" t="n"/>
      <c r="W46" s="47" t="n"/>
      <c r="X46" s="47" t="n"/>
      <c r="Y46" s="47" t="n"/>
      <c r="Z46" s="50" t="n"/>
      <c r="AA46" s="50">
        <f>IF($A46="","",IF(OR($B46="",$E46="",$K46="",$O46="",$S46=""),"⚠ بيانات ناقصة","مكتمل"))</f>
        <v/>
      </c>
      <c r="AB46" s="51">
        <f>IF(OR($A46="",$Q46=""),"",$Q46-TODAY())</f>
        <v/>
      </c>
      <c r="AC46" s="113">
        <f>IF(OR($A46="",$O46=""),"",IFERROR(YEARFRAC($O46,TODAY(),1),"")</f>
        <v/>
      </c>
    </row>
    <row r="47">
      <c r="A47" s="39" t="n"/>
      <c r="B47" s="40" t="n"/>
      <c r="C47" s="40" t="n"/>
      <c r="D47" s="110" t="n"/>
      <c r="E47" s="39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110" t="n"/>
      <c r="P47" s="110" t="n"/>
      <c r="Q47" s="110" t="n"/>
      <c r="R47" s="40" t="n"/>
      <c r="S47" s="42" t="n"/>
      <c r="T47" s="42" t="n"/>
      <c r="U47" s="40" t="n"/>
      <c r="V47" s="40" t="n"/>
      <c r="W47" s="40" t="n"/>
      <c r="X47" s="40" t="n"/>
      <c r="Y47" s="40" t="n"/>
      <c r="Z47" s="43" t="n"/>
      <c r="AA47" s="43">
        <f>IF($A47="","",IF(OR($B47="",$E47="",$K47="",$O47="",$S47=""),"⚠ بيانات ناقصة","مكتمل"))</f>
        <v/>
      </c>
      <c r="AB47" s="44">
        <f>IF(OR($A47="",$Q47=""),"",$Q47-TODAY())</f>
        <v/>
      </c>
      <c r="AC47" s="111">
        <f>IF(OR($A47="",$O47=""),"",IFERROR(YEARFRAC($O47,TODAY(),1),"")</f>
        <v/>
      </c>
    </row>
    <row r="48">
      <c r="A48" s="46" t="n"/>
      <c r="B48" s="47" t="n"/>
      <c r="C48" s="47" t="n"/>
      <c r="D48" s="112" t="n"/>
      <c r="E48" s="46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112" t="n"/>
      <c r="P48" s="112" t="n"/>
      <c r="Q48" s="112" t="n"/>
      <c r="R48" s="47" t="n"/>
      <c r="S48" s="49" t="n"/>
      <c r="T48" s="49" t="n"/>
      <c r="U48" s="47" t="n"/>
      <c r="V48" s="47" t="n"/>
      <c r="W48" s="47" t="n"/>
      <c r="X48" s="47" t="n"/>
      <c r="Y48" s="47" t="n"/>
      <c r="Z48" s="50" t="n"/>
      <c r="AA48" s="50">
        <f>IF($A48="","",IF(OR($B48="",$E48="",$K48="",$O48="",$S48=""),"⚠ بيانات ناقصة","مكتمل"))</f>
        <v/>
      </c>
      <c r="AB48" s="51">
        <f>IF(OR($A48="",$Q48=""),"",$Q48-TODAY())</f>
        <v/>
      </c>
      <c r="AC48" s="113">
        <f>IF(OR($A48="",$O48=""),"",IFERROR(YEARFRAC($O48,TODAY(),1),"")</f>
        <v/>
      </c>
    </row>
    <row r="49">
      <c r="A49" s="39" t="n"/>
      <c r="B49" s="40" t="n"/>
      <c r="C49" s="40" t="n"/>
      <c r="D49" s="110" t="n"/>
      <c r="E49" s="39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110" t="n"/>
      <c r="P49" s="110" t="n"/>
      <c r="Q49" s="110" t="n"/>
      <c r="R49" s="40" t="n"/>
      <c r="S49" s="42" t="n"/>
      <c r="T49" s="42" t="n"/>
      <c r="U49" s="40" t="n"/>
      <c r="V49" s="40" t="n"/>
      <c r="W49" s="40" t="n"/>
      <c r="X49" s="40" t="n"/>
      <c r="Y49" s="40" t="n"/>
      <c r="Z49" s="43" t="n"/>
      <c r="AA49" s="43">
        <f>IF($A49="","",IF(OR($B49="",$E49="",$K49="",$O49="",$S49=""),"⚠ بيانات ناقصة","مكتمل"))</f>
        <v/>
      </c>
      <c r="AB49" s="44">
        <f>IF(OR($A49="",$Q49=""),"",$Q49-TODAY())</f>
        <v/>
      </c>
      <c r="AC49" s="111">
        <f>IF(OR($A49="",$O49=""),"",IFERROR(YEARFRAC($O49,TODAY(),1),"")</f>
        <v/>
      </c>
    </row>
    <row r="50">
      <c r="A50" s="46" t="n"/>
      <c r="B50" s="47" t="n"/>
      <c r="C50" s="47" t="n"/>
      <c r="D50" s="112" t="n"/>
      <c r="E50" s="46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112" t="n"/>
      <c r="P50" s="112" t="n"/>
      <c r="Q50" s="112" t="n"/>
      <c r="R50" s="47" t="n"/>
      <c r="S50" s="49" t="n"/>
      <c r="T50" s="49" t="n"/>
      <c r="U50" s="47" t="n"/>
      <c r="V50" s="47" t="n"/>
      <c r="W50" s="47" t="n"/>
      <c r="X50" s="47" t="n"/>
      <c r="Y50" s="47" t="n"/>
      <c r="Z50" s="50" t="n"/>
      <c r="AA50" s="50">
        <f>IF($A50="","",IF(OR($B50="",$E50="",$K50="",$O50="",$S50=""),"⚠ بيانات ناقصة","مكتمل"))</f>
        <v/>
      </c>
      <c r="AB50" s="51">
        <f>IF(OR($A50="",$Q50=""),"",$Q50-TODAY())</f>
        <v/>
      </c>
      <c r="AC50" s="113">
        <f>IF(OR($A50="",$O50=""),"",IFERROR(YEARFRAC($O50,TODAY(),1),"")</f>
        <v/>
      </c>
    </row>
    <row r="51">
      <c r="A51" s="39" t="n"/>
      <c r="B51" s="40" t="n"/>
      <c r="C51" s="40" t="n"/>
      <c r="D51" s="110" t="n"/>
      <c r="E51" s="39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110" t="n"/>
      <c r="P51" s="110" t="n"/>
      <c r="Q51" s="110" t="n"/>
      <c r="R51" s="40" t="n"/>
      <c r="S51" s="42" t="n"/>
      <c r="T51" s="42" t="n"/>
      <c r="U51" s="40" t="n"/>
      <c r="V51" s="40" t="n"/>
      <c r="W51" s="40" t="n"/>
      <c r="X51" s="40" t="n"/>
      <c r="Y51" s="40" t="n"/>
      <c r="Z51" s="43" t="n"/>
      <c r="AA51" s="43">
        <f>IF($A51="","",IF(OR($B51="",$E51="",$K51="",$O51="",$S51=""),"⚠ بيانات ناقصة","مكتمل"))</f>
        <v/>
      </c>
      <c r="AB51" s="44">
        <f>IF(OR($A51="",$Q51=""),"",$Q51-TODAY())</f>
        <v/>
      </c>
      <c r="AC51" s="111">
        <f>IF(OR($A51="",$O51=""),"",IFERROR(YEARFRAC($O51,TODAY(),1),"")</f>
        <v/>
      </c>
    </row>
    <row r="52">
      <c r="A52" s="46" t="n"/>
      <c r="B52" s="47" t="n"/>
      <c r="C52" s="47" t="n"/>
      <c r="D52" s="112" t="n"/>
      <c r="E52" s="46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112" t="n"/>
      <c r="P52" s="112" t="n"/>
      <c r="Q52" s="112" t="n"/>
      <c r="R52" s="47" t="n"/>
      <c r="S52" s="49" t="n"/>
      <c r="T52" s="49" t="n"/>
      <c r="U52" s="47" t="n"/>
      <c r="V52" s="47" t="n"/>
      <c r="W52" s="47" t="n"/>
      <c r="X52" s="47" t="n"/>
      <c r="Y52" s="47" t="n"/>
      <c r="Z52" s="50" t="n"/>
      <c r="AA52" s="50">
        <f>IF($A52="","",IF(OR($B52="",$E52="",$K52="",$O52="",$S52=""),"⚠ بيانات ناقصة","مكتمل"))</f>
        <v/>
      </c>
      <c r="AB52" s="51">
        <f>IF(OR($A52="",$Q52=""),"",$Q52-TODAY())</f>
        <v/>
      </c>
      <c r="AC52" s="113">
        <f>IF(OR($A52="",$O52=""),"",IFERROR(YEARFRAC($O52,TODAY(),1),"")</f>
        <v/>
      </c>
    </row>
    <row r="53">
      <c r="A53" s="39" t="n"/>
      <c r="B53" s="40" t="n"/>
      <c r="C53" s="40" t="n"/>
      <c r="D53" s="110" t="n"/>
      <c r="E53" s="39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110" t="n"/>
      <c r="P53" s="110" t="n"/>
      <c r="Q53" s="110" t="n"/>
      <c r="R53" s="40" t="n"/>
      <c r="S53" s="42" t="n"/>
      <c r="T53" s="42" t="n"/>
      <c r="U53" s="40" t="n"/>
      <c r="V53" s="40" t="n"/>
      <c r="W53" s="40" t="n"/>
      <c r="X53" s="40" t="n"/>
      <c r="Y53" s="40" t="n"/>
      <c r="Z53" s="43" t="n"/>
      <c r="AA53" s="43">
        <f>IF($A53="","",IF(OR($B53="",$E53="",$K53="",$O53="",$S53=""),"⚠ بيانات ناقصة","مكتمل"))</f>
        <v/>
      </c>
      <c r="AB53" s="44">
        <f>IF(OR($A53="",$Q53=""),"",$Q53-TODAY())</f>
        <v/>
      </c>
      <c r="AC53" s="111">
        <f>IF(OR($A53="",$O53=""),"",IFERROR(YEARFRAC($O53,TODAY(),1),"")</f>
        <v/>
      </c>
    </row>
    <row r="54">
      <c r="A54" s="46" t="n"/>
      <c r="B54" s="47" t="n"/>
      <c r="C54" s="47" t="n"/>
      <c r="D54" s="112" t="n"/>
      <c r="E54" s="46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112" t="n"/>
      <c r="P54" s="112" t="n"/>
      <c r="Q54" s="112" t="n"/>
      <c r="R54" s="47" t="n"/>
      <c r="S54" s="49" t="n"/>
      <c r="T54" s="49" t="n"/>
      <c r="U54" s="47" t="n"/>
      <c r="V54" s="47" t="n"/>
      <c r="W54" s="47" t="n"/>
      <c r="X54" s="47" t="n"/>
      <c r="Y54" s="47" t="n"/>
      <c r="Z54" s="50" t="n"/>
      <c r="AA54" s="50">
        <f>IF($A54="","",IF(OR($B54="",$E54="",$K54="",$O54="",$S54=""),"⚠ بيانات ناقصة","مكتمل"))</f>
        <v/>
      </c>
      <c r="AB54" s="51">
        <f>IF(OR($A54="",$Q54=""),"",$Q54-TODAY())</f>
        <v/>
      </c>
      <c r="AC54" s="113">
        <f>IF(OR($A54="",$O54=""),"",IFERROR(YEARFRAC($O54,TODAY(),1),"")</f>
        <v/>
      </c>
    </row>
    <row r="55">
      <c r="A55" s="39" t="n"/>
      <c r="B55" s="40" t="n"/>
      <c r="C55" s="40" t="n"/>
      <c r="D55" s="110" t="n"/>
      <c r="E55" s="39" t="n"/>
      <c r="F55" s="40" t="n"/>
      <c r="G55" s="40" t="n"/>
      <c r="H55" s="40" t="n"/>
      <c r="I55" s="40" t="n"/>
      <c r="J55" s="40" t="n"/>
      <c r="K55" s="40" t="n"/>
      <c r="L55" s="40" t="n"/>
      <c r="M55" s="40" t="n"/>
      <c r="N55" s="40" t="n"/>
      <c r="O55" s="110" t="n"/>
      <c r="P55" s="110" t="n"/>
      <c r="Q55" s="110" t="n"/>
      <c r="R55" s="40" t="n"/>
      <c r="S55" s="42" t="n"/>
      <c r="T55" s="42" t="n"/>
      <c r="U55" s="40" t="n"/>
      <c r="V55" s="40" t="n"/>
      <c r="W55" s="40" t="n"/>
      <c r="X55" s="40" t="n"/>
      <c r="Y55" s="40" t="n"/>
      <c r="Z55" s="43" t="n"/>
      <c r="AA55" s="43">
        <f>IF($A55="","",IF(OR($B55="",$E55="",$K55="",$O55="",$S55=""),"⚠ بيانات ناقصة","مكتمل"))</f>
        <v/>
      </c>
      <c r="AB55" s="44">
        <f>IF(OR($A55="",$Q55=""),"",$Q55-TODAY())</f>
        <v/>
      </c>
      <c r="AC55" s="111">
        <f>IF(OR($A55="",$O55=""),"",IFERROR(YEARFRAC($O55,TODAY(),1),"")</f>
        <v/>
      </c>
    </row>
    <row r="56">
      <c r="A56" s="46" t="n"/>
      <c r="B56" s="47" t="n"/>
      <c r="C56" s="47" t="n"/>
      <c r="D56" s="112" t="n"/>
      <c r="E56" s="46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112" t="n"/>
      <c r="P56" s="112" t="n"/>
      <c r="Q56" s="112" t="n"/>
      <c r="R56" s="47" t="n"/>
      <c r="S56" s="49" t="n"/>
      <c r="T56" s="49" t="n"/>
      <c r="U56" s="47" t="n"/>
      <c r="V56" s="47" t="n"/>
      <c r="W56" s="47" t="n"/>
      <c r="X56" s="47" t="n"/>
      <c r="Y56" s="47" t="n"/>
      <c r="Z56" s="50" t="n"/>
      <c r="AA56" s="50">
        <f>IF($A56="","",IF(OR($B56="",$E56="",$K56="",$O56="",$S56=""),"⚠ بيانات ناقصة","مكتمل"))</f>
        <v/>
      </c>
      <c r="AB56" s="51">
        <f>IF(OR($A56="",$Q56=""),"",$Q56-TODAY())</f>
        <v/>
      </c>
      <c r="AC56" s="113">
        <f>IF(OR($A56="",$O56=""),"",IFERROR(YEARFRAC($O56,TODAY(),1),"")</f>
        <v/>
      </c>
    </row>
    <row r="57">
      <c r="A57" s="39" t="n"/>
      <c r="B57" s="40" t="n"/>
      <c r="C57" s="40" t="n"/>
      <c r="D57" s="110" t="n"/>
      <c r="E57" s="39" t="n"/>
      <c r="F57" s="40" t="n"/>
      <c r="G57" s="40" t="n"/>
      <c r="H57" s="40" t="n"/>
      <c r="I57" s="40" t="n"/>
      <c r="J57" s="40" t="n"/>
      <c r="K57" s="40" t="n"/>
      <c r="L57" s="40" t="n"/>
      <c r="M57" s="40" t="n"/>
      <c r="N57" s="40" t="n"/>
      <c r="O57" s="110" t="n"/>
      <c r="P57" s="110" t="n"/>
      <c r="Q57" s="110" t="n"/>
      <c r="R57" s="40" t="n"/>
      <c r="S57" s="42" t="n"/>
      <c r="T57" s="42" t="n"/>
      <c r="U57" s="40" t="n"/>
      <c r="V57" s="40" t="n"/>
      <c r="W57" s="40" t="n"/>
      <c r="X57" s="40" t="n"/>
      <c r="Y57" s="40" t="n"/>
      <c r="Z57" s="43" t="n"/>
      <c r="AA57" s="43">
        <f>IF($A57="","",IF(OR($B57="",$E57="",$K57="",$O57="",$S57=""),"⚠ بيانات ناقصة","مكتمل"))</f>
        <v/>
      </c>
      <c r="AB57" s="44">
        <f>IF(OR($A57="",$Q57=""),"",$Q57-TODAY())</f>
        <v/>
      </c>
      <c r="AC57" s="111">
        <f>IF(OR($A57="",$O57=""),"",IFERROR(YEARFRAC($O57,TODAY(),1),"")</f>
        <v/>
      </c>
    </row>
    <row r="58">
      <c r="A58" s="46" t="n"/>
      <c r="B58" s="47" t="n"/>
      <c r="C58" s="47" t="n"/>
      <c r="D58" s="112" t="n"/>
      <c r="E58" s="46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112" t="n"/>
      <c r="P58" s="112" t="n"/>
      <c r="Q58" s="112" t="n"/>
      <c r="R58" s="47" t="n"/>
      <c r="S58" s="49" t="n"/>
      <c r="T58" s="49" t="n"/>
      <c r="U58" s="47" t="n"/>
      <c r="V58" s="47" t="n"/>
      <c r="W58" s="47" t="n"/>
      <c r="X58" s="47" t="n"/>
      <c r="Y58" s="47" t="n"/>
      <c r="Z58" s="50" t="n"/>
      <c r="AA58" s="50">
        <f>IF($A58="","",IF(OR($B58="",$E58="",$K58="",$O58="",$S58=""),"⚠ بيانات ناقصة","مكتمل"))</f>
        <v/>
      </c>
      <c r="AB58" s="51">
        <f>IF(OR($A58="",$Q58=""),"",$Q58-TODAY())</f>
        <v/>
      </c>
      <c r="AC58" s="113">
        <f>IF(OR($A58="",$O58=""),"",IFERROR(YEARFRAC($O58,TODAY(),1),"")</f>
        <v/>
      </c>
    </row>
    <row r="59">
      <c r="A59" s="39" t="n"/>
      <c r="B59" s="40" t="n"/>
      <c r="C59" s="40" t="n"/>
      <c r="D59" s="110" t="n"/>
      <c r="E59" s="39" t="n"/>
      <c r="F59" s="40" t="n"/>
      <c r="G59" s="40" t="n"/>
      <c r="H59" s="40" t="n"/>
      <c r="I59" s="40" t="n"/>
      <c r="J59" s="40" t="n"/>
      <c r="K59" s="40" t="n"/>
      <c r="L59" s="40" t="n"/>
      <c r="M59" s="40" t="n"/>
      <c r="N59" s="40" t="n"/>
      <c r="O59" s="110" t="n"/>
      <c r="P59" s="110" t="n"/>
      <c r="Q59" s="110" t="n"/>
      <c r="R59" s="40" t="n"/>
      <c r="S59" s="42" t="n"/>
      <c r="T59" s="42" t="n"/>
      <c r="U59" s="40" t="n"/>
      <c r="V59" s="40" t="n"/>
      <c r="W59" s="40" t="n"/>
      <c r="X59" s="40" t="n"/>
      <c r="Y59" s="40" t="n"/>
      <c r="Z59" s="43" t="n"/>
      <c r="AA59" s="43">
        <f>IF($A59="","",IF(OR($B59="",$E59="",$K59="",$O59="",$S59=""),"⚠ بيانات ناقصة","مكتمل"))</f>
        <v/>
      </c>
      <c r="AB59" s="44">
        <f>IF(OR($A59="",$Q59=""),"",$Q59-TODAY())</f>
        <v/>
      </c>
      <c r="AC59" s="111">
        <f>IF(OR($A59="",$O59=""),"",IFERROR(YEARFRAC($O59,TODAY(),1),"")</f>
        <v/>
      </c>
    </row>
    <row r="60">
      <c r="A60" s="46" t="n"/>
      <c r="B60" s="47" t="n"/>
      <c r="C60" s="47" t="n"/>
      <c r="D60" s="112" t="n"/>
      <c r="E60" s="46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112" t="n"/>
      <c r="P60" s="112" t="n"/>
      <c r="Q60" s="112" t="n"/>
      <c r="R60" s="47" t="n"/>
      <c r="S60" s="49" t="n"/>
      <c r="T60" s="49" t="n"/>
      <c r="U60" s="47" t="n"/>
      <c r="V60" s="47" t="n"/>
      <c r="W60" s="47" t="n"/>
      <c r="X60" s="47" t="n"/>
      <c r="Y60" s="47" t="n"/>
      <c r="Z60" s="50" t="n"/>
      <c r="AA60" s="50">
        <f>IF($A60="","",IF(OR($B60="",$E60="",$K60="",$O60="",$S60=""),"⚠ بيانات ناقصة","مكتمل"))</f>
        <v/>
      </c>
      <c r="AB60" s="51">
        <f>IF(OR($A60="",$Q60=""),"",$Q60-TODAY())</f>
        <v/>
      </c>
      <c r="AC60" s="113">
        <f>IF(OR($A60="",$O60=""),"",IFERROR(YEARFRAC($O60,TODAY(),1),"")</f>
        <v/>
      </c>
    </row>
    <row r="61">
      <c r="A61" s="39" t="n"/>
      <c r="B61" s="40" t="n"/>
      <c r="C61" s="40" t="n"/>
      <c r="D61" s="110" t="n"/>
      <c r="E61" s="39" t="n"/>
      <c r="F61" s="40" t="n"/>
      <c r="G61" s="40" t="n"/>
      <c r="H61" s="40" t="n"/>
      <c r="I61" s="40" t="n"/>
      <c r="J61" s="40" t="n"/>
      <c r="K61" s="40" t="n"/>
      <c r="L61" s="40" t="n"/>
      <c r="M61" s="40" t="n"/>
      <c r="N61" s="40" t="n"/>
      <c r="O61" s="110" t="n"/>
      <c r="P61" s="110" t="n"/>
      <c r="Q61" s="110" t="n"/>
      <c r="R61" s="40" t="n"/>
      <c r="S61" s="42" t="n"/>
      <c r="T61" s="42" t="n"/>
      <c r="U61" s="40" t="n"/>
      <c r="V61" s="40" t="n"/>
      <c r="W61" s="40" t="n"/>
      <c r="X61" s="40" t="n"/>
      <c r="Y61" s="40" t="n"/>
      <c r="Z61" s="43" t="n"/>
      <c r="AA61" s="43">
        <f>IF($A61="","",IF(OR($B61="",$E61="",$K61="",$O61="",$S61=""),"⚠ بيانات ناقصة","مكتمل"))</f>
        <v/>
      </c>
      <c r="AB61" s="44">
        <f>IF(OR($A61="",$Q61=""),"",$Q61-TODAY())</f>
        <v/>
      </c>
      <c r="AC61" s="111">
        <f>IF(OR($A61="",$O61=""),"",IFERROR(YEARFRAC($O61,TODAY(),1),"")</f>
        <v/>
      </c>
    </row>
    <row r="62">
      <c r="A62" s="46" t="n"/>
      <c r="B62" s="47" t="n"/>
      <c r="C62" s="47" t="n"/>
      <c r="D62" s="112" t="n"/>
      <c r="E62" s="46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112" t="n"/>
      <c r="P62" s="112" t="n"/>
      <c r="Q62" s="112" t="n"/>
      <c r="R62" s="47" t="n"/>
      <c r="S62" s="49" t="n"/>
      <c r="T62" s="49" t="n"/>
      <c r="U62" s="47" t="n"/>
      <c r="V62" s="47" t="n"/>
      <c r="W62" s="47" t="n"/>
      <c r="X62" s="47" t="n"/>
      <c r="Y62" s="47" t="n"/>
      <c r="Z62" s="50" t="n"/>
      <c r="AA62" s="50">
        <f>IF($A62="","",IF(OR($B62="",$E62="",$K62="",$O62="",$S62=""),"⚠ بيانات ناقصة","مكتمل"))</f>
        <v/>
      </c>
      <c r="AB62" s="51">
        <f>IF(OR($A62="",$Q62=""),"",$Q62-TODAY())</f>
        <v/>
      </c>
      <c r="AC62" s="113">
        <f>IF(OR($A62="",$O62=""),"",IFERROR(YEARFRAC($O62,TODAY(),1),"")</f>
        <v/>
      </c>
    </row>
    <row r="63">
      <c r="A63" s="39" t="n"/>
      <c r="B63" s="40" t="n"/>
      <c r="C63" s="40" t="n"/>
      <c r="D63" s="110" t="n"/>
      <c r="E63" s="39" t="n"/>
      <c r="F63" s="40" t="n"/>
      <c r="G63" s="40" t="n"/>
      <c r="H63" s="40" t="n"/>
      <c r="I63" s="40" t="n"/>
      <c r="J63" s="40" t="n"/>
      <c r="K63" s="40" t="n"/>
      <c r="L63" s="40" t="n"/>
      <c r="M63" s="40" t="n"/>
      <c r="N63" s="40" t="n"/>
      <c r="O63" s="110" t="n"/>
      <c r="P63" s="110" t="n"/>
      <c r="Q63" s="110" t="n"/>
      <c r="R63" s="40" t="n"/>
      <c r="S63" s="42" t="n"/>
      <c r="T63" s="42" t="n"/>
      <c r="U63" s="40" t="n"/>
      <c r="V63" s="40" t="n"/>
      <c r="W63" s="40" t="n"/>
      <c r="X63" s="40" t="n"/>
      <c r="Y63" s="40" t="n"/>
      <c r="Z63" s="43" t="n"/>
      <c r="AA63" s="43">
        <f>IF($A63="","",IF(OR($B63="",$E63="",$K63="",$O63="",$S63=""),"⚠ بيانات ناقصة","مكتمل"))</f>
        <v/>
      </c>
      <c r="AB63" s="44">
        <f>IF(OR($A63="",$Q63=""),"",$Q63-TODAY())</f>
        <v/>
      </c>
      <c r="AC63" s="111">
        <f>IF(OR($A63="",$O63=""),"",IFERROR(YEARFRAC($O63,TODAY(),1),"")</f>
        <v/>
      </c>
    </row>
    <row r="64">
      <c r="A64" s="46" t="n"/>
      <c r="B64" s="47" t="n"/>
      <c r="C64" s="47" t="n"/>
      <c r="D64" s="112" t="n"/>
      <c r="E64" s="46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112" t="n"/>
      <c r="P64" s="112" t="n"/>
      <c r="Q64" s="112" t="n"/>
      <c r="R64" s="47" t="n"/>
      <c r="S64" s="49" t="n"/>
      <c r="T64" s="49" t="n"/>
      <c r="U64" s="47" t="n"/>
      <c r="V64" s="47" t="n"/>
      <c r="W64" s="47" t="n"/>
      <c r="X64" s="47" t="n"/>
      <c r="Y64" s="47" t="n"/>
      <c r="Z64" s="50" t="n"/>
      <c r="AA64" s="50">
        <f>IF($A64="","",IF(OR($B64="",$E64="",$K64="",$O64="",$S64=""),"⚠ بيانات ناقصة","مكتمل"))</f>
        <v/>
      </c>
      <c r="AB64" s="51">
        <f>IF(OR($A64="",$Q64=""),"",$Q64-TODAY())</f>
        <v/>
      </c>
      <c r="AC64" s="113">
        <f>IF(OR($A64="",$O64=""),"",IFERROR(YEARFRAC($O64,TODAY(),1),"")</f>
        <v/>
      </c>
    </row>
    <row r="65">
      <c r="A65" s="39" t="n"/>
      <c r="B65" s="40" t="n"/>
      <c r="C65" s="40" t="n"/>
      <c r="D65" s="110" t="n"/>
      <c r="E65" s="39" t="n"/>
      <c r="F65" s="40" t="n"/>
      <c r="G65" s="40" t="n"/>
      <c r="H65" s="40" t="n"/>
      <c r="I65" s="40" t="n"/>
      <c r="J65" s="40" t="n"/>
      <c r="K65" s="40" t="n"/>
      <c r="L65" s="40" t="n"/>
      <c r="M65" s="40" t="n"/>
      <c r="N65" s="40" t="n"/>
      <c r="O65" s="110" t="n"/>
      <c r="P65" s="110" t="n"/>
      <c r="Q65" s="110" t="n"/>
      <c r="R65" s="40" t="n"/>
      <c r="S65" s="42" t="n"/>
      <c r="T65" s="42" t="n"/>
      <c r="U65" s="40" t="n"/>
      <c r="V65" s="40" t="n"/>
      <c r="W65" s="40" t="n"/>
      <c r="X65" s="40" t="n"/>
      <c r="Y65" s="40" t="n"/>
      <c r="Z65" s="43" t="n"/>
      <c r="AA65" s="43">
        <f>IF($A65="","",IF(OR($B65="",$E65="",$K65="",$O65="",$S65=""),"⚠ بيانات ناقصة","مكتمل"))</f>
        <v/>
      </c>
      <c r="AB65" s="44">
        <f>IF(OR($A65="",$Q65=""),"",$Q65-TODAY())</f>
        <v/>
      </c>
      <c r="AC65" s="111">
        <f>IF(OR($A65="",$O65=""),"",IFERROR(YEARFRAC($O65,TODAY(),1),"")</f>
        <v/>
      </c>
    </row>
    <row r="66">
      <c r="A66" s="46" t="n"/>
      <c r="B66" s="47" t="n"/>
      <c r="C66" s="47" t="n"/>
      <c r="D66" s="112" t="n"/>
      <c r="E66" s="46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112" t="n"/>
      <c r="P66" s="112" t="n"/>
      <c r="Q66" s="112" t="n"/>
      <c r="R66" s="47" t="n"/>
      <c r="S66" s="49" t="n"/>
      <c r="T66" s="49" t="n"/>
      <c r="U66" s="47" t="n"/>
      <c r="V66" s="47" t="n"/>
      <c r="W66" s="47" t="n"/>
      <c r="X66" s="47" t="n"/>
      <c r="Y66" s="47" t="n"/>
      <c r="Z66" s="50" t="n"/>
      <c r="AA66" s="50">
        <f>IF($A66="","",IF(OR($B66="",$E66="",$K66="",$O66="",$S66=""),"⚠ بيانات ناقصة","مكتمل"))</f>
        <v/>
      </c>
      <c r="AB66" s="51">
        <f>IF(OR($A66="",$Q66=""),"",$Q66-TODAY())</f>
        <v/>
      </c>
      <c r="AC66" s="113">
        <f>IF(OR($A66="",$O66=""),"",IFERROR(YEARFRAC($O66,TODAY(),1),"")</f>
        <v/>
      </c>
    </row>
    <row r="67">
      <c r="A67" s="39" t="n"/>
      <c r="B67" s="40" t="n"/>
      <c r="C67" s="40" t="n"/>
      <c r="D67" s="110" t="n"/>
      <c r="E67" s="39" t="n"/>
      <c r="F67" s="40" t="n"/>
      <c r="G67" s="40" t="n"/>
      <c r="H67" s="40" t="n"/>
      <c r="I67" s="40" t="n"/>
      <c r="J67" s="40" t="n"/>
      <c r="K67" s="40" t="n"/>
      <c r="L67" s="40" t="n"/>
      <c r="M67" s="40" t="n"/>
      <c r="N67" s="40" t="n"/>
      <c r="O67" s="110" t="n"/>
      <c r="P67" s="110" t="n"/>
      <c r="Q67" s="110" t="n"/>
      <c r="R67" s="40" t="n"/>
      <c r="S67" s="42" t="n"/>
      <c r="T67" s="42" t="n"/>
      <c r="U67" s="40" t="n"/>
      <c r="V67" s="40" t="n"/>
      <c r="W67" s="40" t="n"/>
      <c r="X67" s="40" t="n"/>
      <c r="Y67" s="40" t="n"/>
      <c r="Z67" s="43" t="n"/>
      <c r="AA67" s="43">
        <f>IF($A67="","",IF(OR($B67="",$E67="",$K67="",$O67="",$S67=""),"⚠ بيانات ناقصة","مكتمل"))</f>
        <v/>
      </c>
      <c r="AB67" s="44">
        <f>IF(OR($A67="",$Q67=""),"",$Q67-TODAY())</f>
        <v/>
      </c>
      <c r="AC67" s="111">
        <f>IF(OR($A67="",$O67=""),"",IFERROR(YEARFRAC($O67,TODAY(),1),"")</f>
        <v/>
      </c>
    </row>
    <row r="68">
      <c r="A68" s="46" t="n"/>
      <c r="B68" s="47" t="n"/>
      <c r="C68" s="47" t="n"/>
      <c r="D68" s="112" t="n"/>
      <c r="E68" s="46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112" t="n"/>
      <c r="P68" s="112" t="n"/>
      <c r="Q68" s="112" t="n"/>
      <c r="R68" s="47" t="n"/>
      <c r="S68" s="49" t="n"/>
      <c r="T68" s="49" t="n"/>
      <c r="U68" s="47" t="n"/>
      <c r="V68" s="47" t="n"/>
      <c r="W68" s="47" t="n"/>
      <c r="X68" s="47" t="n"/>
      <c r="Y68" s="47" t="n"/>
      <c r="Z68" s="50" t="n"/>
      <c r="AA68" s="50">
        <f>IF($A68="","",IF(OR($B68="",$E68="",$K68="",$O68="",$S68=""),"⚠ بيانات ناقصة","مكتمل"))</f>
        <v/>
      </c>
      <c r="AB68" s="51">
        <f>IF(OR($A68="",$Q68=""),"",$Q68-TODAY())</f>
        <v/>
      </c>
      <c r="AC68" s="113">
        <f>IF(OR($A68="",$O68=""),"",IFERROR(YEARFRAC($O68,TODAY(),1),"")</f>
        <v/>
      </c>
    </row>
    <row r="69">
      <c r="A69" s="39" t="n"/>
      <c r="B69" s="40" t="n"/>
      <c r="C69" s="40" t="n"/>
      <c r="D69" s="110" t="n"/>
      <c r="E69" s="39" t="n"/>
      <c r="F69" s="40" t="n"/>
      <c r="G69" s="40" t="n"/>
      <c r="H69" s="40" t="n"/>
      <c r="I69" s="40" t="n"/>
      <c r="J69" s="40" t="n"/>
      <c r="K69" s="40" t="n"/>
      <c r="L69" s="40" t="n"/>
      <c r="M69" s="40" t="n"/>
      <c r="N69" s="40" t="n"/>
      <c r="O69" s="110" t="n"/>
      <c r="P69" s="110" t="n"/>
      <c r="Q69" s="110" t="n"/>
      <c r="R69" s="40" t="n"/>
      <c r="S69" s="42" t="n"/>
      <c r="T69" s="42" t="n"/>
      <c r="U69" s="40" t="n"/>
      <c r="V69" s="40" t="n"/>
      <c r="W69" s="40" t="n"/>
      <c r="X69" s="40" t="n"/>
      <c r="Y69" s="40" t="n"/>
      <c r="Z69" s="43" t="n"/>
      <c r="AA69" s="43">
        <f>IF($A69="","",IF(OR($B69="",$E69="",$K69="",$O69="",$S69=""),"⚠ بيانات ناقصة","مكتمل"))</f>
        <v/>
      </c>
      <c r="AB69" s="44">
        <f>IF(OR($A69="",$Q69=""),"",$Q69-TODAY())</f>
        <v/>
      </c>
      <c r="AC69" s="111">
        <f>IF(OR($A69="",$O69=""),"",IFERROR(YEARFRAC($O69,TODAY(),1),"")</f>
        <v/>
      </c>
    </row>
    <row r="70">
      <c r="A70" s="46" t="n"/>
      <c r="B70" s="47" t="n"/>
      <c r="C70" s="47" t="n"/>
      <c r="D70" s="112" t="n"/>
      <c r="E70" s="46" t="n"/>
      <c r="F70" s="47" t="n"/>
      <c r="G70" s="47" t="n"/>
      <c r="H70" s="47" t="n"/>
      <c r="I70" s="47" t="n"/>
      <c r="J70" s="47" t="n"/>
      <c r="K70" s="47" t="n"/>
      <c r="L70" s="47" t="n"/>
      <c r="M70" s="47" t="n"/>
      <c r="N70" s="47" t="n"/>
      <c r="O70" s="112" t="n"/>
      <c r="P70" s="112" t="n"/>
      <c r="Q70" s="112" t="n"/>
      <c r="R70" s="47" t="n"/>
      <c r="S70" s="49" t="n"/>
      <c r="T70" s="49" t="n"/>
      <c r="U70" s="47" t="n"/>
      <c r="V70" s="47" t="n"/>
      <c r="W70" s="47" t="n"/>
      <c r="X70" s="47" t="n"/>
      <c r="Y70" s="47" t="n"/>
      <c r="Z70" s="50" t="n"/>
      <c r="AA70" s="50">
        <f>IF($A70="","",IF(OR($B70="",$E70="",$K70="",$O70="",$S70=""),"⚠ بيانات ناقصة","مكتمل"))</f>
        <v/>
      </c>
      <c r="AB70" s="51">
        <f>IF(OR($A70="",$Q70=""),"",$Q70-TODAY())</f>
        <v/>
      </c>
      <c r="AC70" s="113">
        <f>IF(OR($A70="",$O70=""),"",IFERROR(YEARFRAC($O70,TODAY(),1),"")</f>
        <v/>
      </c>
    </row>
    <row r="71">
      <c r="A71" s="39" t="n"/>
      <c r="B71" s="40" t="n"/>
      <c r="C71" s="40" t="n"/>
      <c r="D71" s="110" t="n"/>
      <c r="E71" s="39" t="n"/>
      <c r="F71" s="40" t="n"/>
      <c r="G71" s="40" t="n"/>
      <c r="H71" s="40" t="n"/>
      <c r="I71" s="40" t="n"/>
      <c r="J71" s="40" t="n"/>
      <c r="K71" s="40" t="n"/>
      <c r="L71" s="40" t="n"/>
      <c r="M71" s="40" t="n"/>
      <c r="N71" s="40" t="n"/>
      <c r="O71" s="110" t="n"/>
      <c r="P71" s="110" t="n"/>
      <c r="Q71" s="110" t="n"/>
      <c r="R71" s="40" t="n"/>
      <c r="S71" s="42" t="n"/>
      <c r="T71" s="42" t="n"/>
      <c r="U71" s="40" t="n"/>
      <c r="V71" s="40" t="n"/>
      <c r="W71" s="40" t="n"/>
      <c r="X71" s="40" t="n"/>
      <c r="Y71" s="40" t="n"/>
      <c r="Z71" s="43" t="n"/>
      <c r="AA71" s="43">
        <f>IF($A71="","",IF(OR($B71="",$E71="",$K71="",$O71="",$S71=""),"⚠ بيانات ناقصة","مكتمل"))</f>
        <v/>
      </c>
      <c r="AB71" s="44">
        <f>IF(OR($A71="",$Q71=""),"",$Q71-TODAY())</f>
        <v/>
      </c>
      <c r="AC71" s="111">
        <f>IF(OR($A71="",$O71=""),"",IFERROR(YEARFRAC($O71,TODAY(),1),"")</f>
        <v/>
      </c>
    </row>
    <row r="72">
      <c r="A72" s="46" t="n"/>
      <c r="B72" s="47" t="n"/>
      <c r="C72" s="47" t="n"/>
      <c r="D72" s="112" t="n"/>
      <c r="E72" s="46" t="n"/>
      <c r="F72" s="47" t="n"/>
      <c r="G72" s="47" t="n"/>
      <c r="H72" s="47" t="n"/>
      <c r="I72" s="47" t="n"/>
      <c r="J72" s="47" t="n"/>
      <c r="K72" s="47" t="n"/>
      <c r="L72" s="47" t="n"/>
      <c r="M72" s="47" t="n"/>
      <c r="N72" s="47" t="n"/>
      <c r="O72" s="112" t="n"/>
      <c r="P72" s="112" t="n"/>
      <c r="Q72" s="112" t="n"/>
      <c r="R72" s="47" t="n"/>
      <c r="S72" s="49" t="n"/>
      <c r="T72" s="49" t="n"/>
      <c r="U72" s="47" t="n"/>
      <c r="V72" s="47" t="n"/>
      <c r="W72" s="47" t="n"/>
      <c r="X72" s="47" t="n"/>
      <c r="Y72" s="47" t="n"/>
      <c r="Z72" s="50" t="n"/>
      <c r="AA72" s="50">
        <f>IF($A72="","",IF(OR($B72="",$E72="",$K72="",$O72="",$S72=""),"⚠ بيانات ناقصة","مكتمل"))</f>
        <v/>
      </c>
      <c r="AB72" s="51">
        <f>IF(OR($A72="",$Q72=""),"",$Q72-TODAY())</f>
        <v/>
      </c>
      <c r="AC72" s="113">
        <f>IF(OR($A72="",$O72=""),"",IFERROR(YEARFRAC($O72,TODAY(),1),"")</f>
        <v/>
      </c>
    </row>
    <row r="73">
      <c r="A73" s="39" t="n"/>
      <c r="B73" s="40" t="n"/>
      <c r="C73" s="40" t="n"/>
      <c r="D73" s="110" t="n"/>
      <c r="E73" s="39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110" t="n"/>
      <c r="P73" s="110" t="n"/>
      <c r="Q73" s="110" t="n"/>
      <c r="R73" s="40" t="n"/>
      <c r="S73" s="42" t="n"/>
      <c r="T73" s="42" t="n"/>
      <c r="U73" s="40" t="n"/>
      <c r="V73" s="40" t="n"/>
      <c r="W73" s="40" t="n"/>
      <c r="X73" s="40" t="n"/>
      <c r="Y73" s="40" t="n"/>
      <c r="Z73" s="43" t="n"/>
      <c r="AA73" s="43">
        <f>IF($A73="","",IF(OR($B73="",$E73="",$K73="",$O73="",$S73=""),"⚠ بيانات ناقصة","مكتمل"))</f>
        <v/>
      </c>
      <c r="AB73" s="44">
        <f>IF(OR($A73="",$Q73=""),"",$Q73-TODAY())</f>
        <v/>
      </c>
      <c r="AC73" s="111">
        <f>IF(OR($A73="",$O73=""),"",IFERROR(YEARFRAC($O73,TODAY(),1),"")</f>
        <v/>
      </c>
    </row>
    <row r="74">
      <c r="A74" s="46" t="n"/>
      <c r="B74" s="47" t="n"/>
      <c r="C74" s="47" t="n"/>
      <c r="D74" s="112" t="n"/>
      <c r="E74" s="46" t="n"/>
      <c r="F74" s="47" t="n"/>
      <c r="G74" s="47" t="n"/>
      <c r="H74" s="47" t="n"/>
      <c r="I74" s="47" t="n"/>
      <c r="J74" s="47" t="n"/>
      <c r="K74" s="47" t="n"/>
      <c r="L74" s="47" t="n"/>
      <c r="M74" s="47" t="n"/>
      <c r="N74" s="47" t="n"/>
      <c r="O74" s="112" t="n"/>
      <c r="P74" s="112" t="n"/>
      <c r="Q74" s="112" t="n"/>
      <c r="R74" s="47" t="n"/>
      <c r="S74" s="49" t="n"/>
      <c r="T74" s="49" t="n"/>
      <c r="U74" s="47" t="n"/>
      <c r="V74" s="47" t="n"/>
      <c r="W74" s="47" t="n"/>
      <c r="X74" s="47" t="n"/>
      <c r="Y74" s="47" t="n"/>
      <c r="Z74" s="50" t="n"/>
      <c r="AA74" s="50">
        <f>IF($A74="","",IF(OR($B74="",$E74="",$K74="",$O74="",$S74=""),"⚠ بيانات ناقصة","مكتمل"))</f>
        <v/>
      </c>
      <c r="AB74" s="51">
        <f>IF(OR($A74="",$Q74=""),"",$Q74-TODAY())</f>
        <v/>
      </c>
      <c r="AC74" s="113">
        <f>IF(OR($A74="",$O74=""),"",IFERROR(YEARFRAC($O74,TODAY(),1),"")</f>
        <v/>
      </c>
    </row>
    <row r="75">
      <c r="A75" s="39" t="n"/>
      <c r="B75" s="40" t="n"/>
      <c r="C75" s="40" t="n"/>
      <c r="D75" s="110" t="n"/>
      <c r="E75" s="39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110" t="n"/>
      <c r="P75" s="110" t="n"/>
      <c r="Q75" s="110" t="n"/>
      <c r="R75" s="40" t="n"/>
      <c r="S75" s="42" t="n"/>
      <c r="T75" s="42" t="n"/>
      <c r="U75" s="40" t="n"/>
      <c r="V75" s="40" t="n"/>
      <c r="W75" s="40" t="n"/>
      <c r="X75" s="40" t="n"/>
      <c r="Y75" s="40" t="n"/>
      <c r="Z75" s="43" t="n"/>
      <c r="AA75" s="43">
        <f>IF($A75="","",IF(OR($B75="",$E75="",$K75="",$O75="",$S75=""),"⚠ بيانات ناقصة","مكتمل"))</f>
        <v/>
      </c>
      <c r="AB75" s="44">
        <f>IF(OR($A75="",$Q75=""),"",$Q75-TODAY())</f>
        <v/>
      </c>
      <c r="AC75" s="111">
        <f>IF(OR($A75="",$O75=""),"",IFERROR(YEARFRAC($O75,TODAY(),1),"")</f>
        <v/>
      </c>
    </row>
    <row r="76">
      <c r="A76" s="46" t="n"/>
      <c r="B76" s="47" t="n"/>
      <c r="C76" s="47" t="n"/>
      <c r="D76" s="112" t="n"/>
      <c r="E76" s="46" t="n"/>
      <c r="F76" s="47" t="n"/>
      <c r="G76" s="47" t="n"/>
      <c r="H76" s="47" t="n"/>
      <c r="I76" s="47" t="n"/>
      <c r="J76" s="47" t="n"/>
      <c r="K76" s="47" t="n"/>
      <c r="L76" s="47" t="n"/>
      <c r="M76" s="47" t="n"/>
      <c r="N76" s="47" t="n"/>
      <c r="O76" s="112" t="n"/>
      <c r="P76" s="112" t="n"/>
      <c r="Q76" s="112" t="n"/>
      <c r="R76" s="47" t="n"/>
      <c r="S76" s="49" t="n"/>
      <c r="T76" s="49" t="n"/>
      <c r="U76" s="47" t="n"/>
      <c r="V76" s="47" t="n"/>
      <c r="W76" s="47" t="n"/>
      <c r="X76" s="47" t="n"/>
      <c r="Y76" s="47" t="n"/>
      <c r="Z76" s="50" t="n"/>
      <c r="AA76" s="50">
        <f>IF($A76="","",IF(OR($B76="",$E76="",$K76="",$O76="",$S76=""),"⚠ بيانات ناقصة","مكتمل"))</f>
        <v/>
      </c>
      <c r="AB76" s="51">
        <f>IF(OR($A76="",$Q76=""),"",$Q76-TODAY())</f>
        <v/>
      </c>
      <c r="AC76" s="113">
        <f>IF(OR($A76="",$O76=""),"",IFERROR(YEARFRAC($O76,TODAY(),1),"")</f>
        <v/>
      </c>
    </row>
    <row r="77">
      <c r="A77" s="39" t="n"/>
      <c r="B77" s="40" t="n"/>
      <c r="C77" s="40" t="n"/>
      <c r="D77" s="110" t="n"/>
      <c r="E77" s="39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110" t="n"/>
      <c r="P77" s="110" t="n"/>
      <c r="Q77" s="110" t="n"/>
      <c r="R77" s="40" t="n"/>
      <c r="S77" s="42" t="n"/>
      <c r="T77" s="42" t="n"/>
      <c r="U77" s="40" t="n"/>
      <c r="V77" s="40" t="n"/>
      <c r="W77" s="40" t="n"/>
      <c r="X77" s="40" t="n"/>
      <c r="Y77" s="40" t="n"/>
      <c r="Z77" s="43" t="n"/>
      <c r="AA77" s="43">
        <f>IF($A77="","",IF(OR($B77="",$E77="",$K77="",$O77="",$S77=""),"⚠ بيانات ناقصة","مكتمل"))</f>
        <v/>
      </c>
      <c r="AB77" s="44">
        <f>IF(OR($A77="",$Q77=""),"",$Q77-TODAY())</f>
        <v/>
      </c>
      <c r="AC77" s="111">
        <f>IF(OR($A77="",$O77=""),"",IFERROR(YEARFRAC($O77,TODAY(),1),"")</f>
        <v/>
      </c>
    </row>
    <row r="78">
      <c r="A78" s="46" t="n"/>
      <c r="B78" s="47" t="n"/>
      <c r="C78" s="47" t="n"/>
      <c r="D78" s="112" t="n"/>
      <c r="E78" s="46" t="n"/>
      <c r="F78" s="47" t="n"/>
      <c r="G78" s="47" t="n"/>
      <c r="H78" s="47" t="n"/>
      <c r="I78" s="47" t="n"/>
      <c r="J78" s="47" t="n"/>
      <c r="K78" s="47" t="n"/>
      <c r="L78" s="47" t="n"/>
      <c r="M78" s="47" t="n"/>
      <c r="N78" s="47" t="n"/>
      <c r="O78" s="112" t="n"/>
      <c r="P78" s="112" t="n"/>
      <c r="Q78" s="112" t="n"/>
      <c r="R78" s="47" t="n"/>
      <c r="S78" s="49" t="n"/>
      <c r="T78" s="49" t="n"/>
      <c r="U78" s="47" t="n"/>
      <c r="V78" s="47" t="n"/>
      <c r="W78" s="47" t="n"/>
      <c r="X78" s="47" t="n"/>
      <c r="Y78" s="47" t="n"/>
      <c r="Z78" s="50" t="n"/>
      <c r="AA78" s="50">
        <f>IF($A78="","",IF(OR($B78="",$E78="",$K78="",$O78="",$S78=""),"⚠ بيانات ناقصة","مكتمل"))</f>
        <v/>
      </c>
      <c r="AB78" s="51">
        <f>IF(OR($A78="",$Q78=""),"",$Q78-TODAY())</f>
        <v/>
      </c>
      <c r="AC78" s="113">
        <f>IF(OR($A78="",$O78=""),"",IFERROR(YEARFRAC($O78,TODAY(),1),"")</f>
        <v/>
      </c>
    </row>
    <row r="79">
      <c r="A79" s="39" t="n"/>
      <c r="B79" s="40" t="n"/>
      <c r="C79" s="40" t="n"/>
      <c r="D79" s="110" t="n"/>
      <c r="E79" s="39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110" t="n"/>
      <c r="P79" s="110" t="n"/>
      <c r="Q79" s="110" t="n"/>
      <c r="R79" s="40" t="n"/>
      <c r="S79" s="42" t="n"/>
      <c r="T79" s="42" t="n"/>
      <c r="U79" s="40" t="n"/>
      <c r="V79" s="40" t="n"/>
      <c r="W79" s="40" t="n"/>
      <c r="X79" s="40" t="n"/>
      <c r="Y79" s="40" t="n"/>
      <c r="Z79" s="43" t="n"/>
      <c r="AA79" s="43">
        <f>IF($A79="","",IF(OR($B79="",$E79="",$K79="",$O79="",$S79=""),"⚠ بيانات ناقصة","مكتمل"))</f>
        <v/>
      </c>
      <c r="AB79" s="44">
        <f>IF(OR($A79="",$Q79=""),"",$Q79-TODAY())</f>
        <v/>
      </c>
      <c r="AC79" s="111">
        <f>IF(OR($A79="",$O79=""),"",IFERROR(YEARFRAC($O79,TODAY(),1),"")</f>
        <v/>
      </c>
    </row>
    <row r="80">
      <c r="A80" s="46" t="n"/>
      <c r="B80" s="47" t="n"/>
      <c r="C80" s="47" t="n"/>
      <c r="D80" s="112" t="n"/>
      <c r="E80" s="46" t="n"/>
      <c r="F80" s="47" t="n"/>
      <c r="G80" s="47" t="n"/>
      <c r="H80" s="47" t="n"/>
      <c r="I80" s="47" t="n"/>
      <c r="J80" s="47" t="n"/>
      <c r="K80" s="47" t="n"/>
      <c r="L80" s="47" t="n"/>
      <c r="M80" s="47" t="n"/>
      <c r="N80" s="47" t="n"/>
      <c r="O80" s="112" t="n"/>
      <c r="P80" s="112" t="n"/>
      <c r="Q80" s="112" t="n"/>
      <c r="R80" s="47" t="n"/>
      <c r="S80" s="49" t="n"/>
      <c r="T80" s="49" t="n"/>
      <c r="U80" s="47" t="n"/>
      <c r="V80" s="47" t="n"/>
      <c r="W80" s="47" t="n"/>
      <c r="X80" s="47" t="n"/>
      <c r="Y80" s="47" t="n"/>
      <c r="Z80" s="50" t="n"/>
      <c r="AA80" s="50">
        <f>IF($A80="","",IF(OR($B80="",$E80="",$K80="",$O80="",$S80=""),"⚠ بيانات ناقصة","مكتمل"))</f>
        <v/>
      </c>
      <c r="AB80" s="51">
        <f>IF(OR($A80="",$Q80=""),"",$Q80-TODAY())</f>
        <v/>
      </c>
      <c r="AC80" s="113">
        <f>IF(OR($A80="",$O80=""),"",IFERROR(YEARFRAC($O80,TODAY(),1),"")</f>
        <v/>
      </c>
    </row>
    <row r="81">
      <c r="A81" s="39" t="n"/>
      <c r="B81" s="40" t="n"/>
      <c r="C81" s="40" t="n"/>
      <c r="D81" s="110" t="n"/>
      <c r="E81" s="39" t="n"/>
      <c r="F81" s="40" t="n"/>
      <c r="G81" s="40" t="n"/>
      <c r="H81" s="40" t="n"/>
      <c r="I81" s="40" t="n"/>
      <c r="J81" s="40" t="n"/>
      <c r="K81" s="40" t="n"/>
      <c r="L81" s="40" t="n"/>
      <c r="M81" s="40" t="n"/>
      <c r="N81" s="40" t="n"/>
      <c r="O81" s="110" t="n"/>
      <c r="P81" s="110" t="n"/>
      <c r="Q81" s="110" t="n"/>
      <c r="R81" s="40" t="n"/>
      <c r="S81" s="42" t="n"/>
      <c r="T81" s="42" t="n"/>
      <c r="U81" s="40" t="n"/>
      <c r="V81" s="40" t="n"/>
      <c r="W81" s="40" t="n"/>
      <c r="X81" s="40" t="n"/>
      <c r="Y81" s="40" t="n"/>
      <c r="Z81" s="43" t="n"/>
      <c r="AA81" s="43">
        <f>IF($A81="","",IF(OR($B81="",$E81="",$K81="",$O81="",$S81=""),"⚠ بيانات ناقصة","مكتمل"))</f>
        <v/>
      </c>
      <c r="AB81" s="44">
        <f>IF(OR($A81="",$Q81=""),"",$Q81-TODAY())</f>
        <v/>
      </c>
      <c r="AC81" s="111">
        <f>IF(OR($A81="",$O81=""),"",IFERROR(YEARFRAC($O81,TODAY(),1),"")</f>
        <v/>
      </c>
    </row>
    <row r="82">
      <c r="A82" s="46" t="n"/>
      <c r="B82" s="47" t="n"/>
      <c r="C82" s="47" t="n"/>
      <c r="D82" s="112" t="n"/>
      <c r="E82" s="46" t="n"/>
      <c r="F82" s="47" t="n"/>
      <c r="G82" s="47" t="n"/>
      <c r="H82" s="47" t="n"/>
      <c r="I82" s="47" t="n"/>
      <c r="J82" s="47" t="n"/>
      <c r="K82" s="47" t="n"/>
      <c r="L82" s="47" t="n"/>
      <c r="M82" s="47" t="n"/>
      <c r="N82" s="47" t="n"/>
      <c r="O82" s="112" t="n"/>
      <c r="P82" s="112" t="n"/>
      <c r="Q82" s="112" t="n"/>
      <c r="R82" s="47" t="n"/>
      <c r="S82" s="49" t="n"/>
      <c r="T82" s="49" t="n"/>
      <c r="U82" s="47" t="n"/>
      <c r="V82" s="47" t="n"/>
      <c r="W82" s="47" t="n"/>
      <c r="X82" s="47" t="n"/>
      <c r="Y82" s="47" t="n"/>
      <c r="Z82" s="50" t="n"/>
      <c r="AA82" s="50">
        <f>IF($A82="","",IF(OR($B82="",$E82="",$K82="",$O82="",$S82=""),"⚠ بيانات ناقصة","مكتمل"))</f>
        <v/>
      </c>
      <c r="AB82" s="51">
        <f>IF(OR($A82="",$Q82=""),"",$Q82-TODAY())</f>
        <v/>
      </c>
      <c r="AC82" s="113">
        <f>IF(OR($A82="",$O82=""),"",IFERROR(YEARFRAC($O82,TODAY(),1),"")</f>
        <v/>
      </c>
    </row>
    <row r="83">
      <c r="A83" s="39" t="n"/>
      <c r="B83" s="40" t="n"/>
      <c r="C83" s="40" t="n"/>
      <c r="D83" s="110" t="n"/>
      <c r="E83" s="39" t="n"/>
      <c r="F83" s="40" t="n"/>
      <c r="G83" s="40" t="n"/>
      <c r="H83" s="40" t="n"/>
      <c r="I83" s="40" t="n"/>
      <c r="J83" s="40" t="n"/>
      <c r="K83" s="40" t="n"/>
      <c r="L83" s="40" t="n"/>
      <c r="M83" s="40" t="n"/>
      <c r="N83" s="40" t="n"/>
      <c r="O83" s="110" t="n"/>
      <c r="P83" s="110" t="n"/>
      <c r="Q83" s="110" t="n"/>
      <c r="R83" s="40" t="n"/>
      <c r="S83" s="42" t="n"/>
      <c r="T83" s="42" t="n"/>
      <c r="U83" s="40" t="n"/>
      <c r="V83" s="40" t="n"/>
      <c r="W83" s="40" t="n"/>
      <c r="X83" s="40" t="n"/>
      <c r="Y83" s="40" t="n"/>
      <c r="Z83" s="43" t="n"/>
      <c r="AA83" s="43">
        <f>IF($A83="","",IF(OR($B83="",$E83="",$K83="",$O83="",$S83=""),"⚠ بيانات ناقصة","مكتمل"))</f>
        <v/>
      </c>
      <c r="AB83" s="44">
        <f>IF(OR($A83="",$Q83=""),"",$Q83-TODAY())</f>
        <v/>
      </c>
      <c r="AC83" s="111">
        <f>IF(OR($A83="",$O83=""),"",IFERROR(YEARFRAC($O83,TODAY(),1),"")</f>
        <v/>
      </c>
    </row>
    <row r="84">
      <c r="A84" s="46" t="n"/>
      <c r="B84" s="47" t="n"/>
      <c r="C84" s="47" t="n"/>
      <c r="D84" s="112" t="n"/>
      <c r="E84" s="46" t="n"/>
      <c r="F84" s="47" t="n"/>
      <c r="G84" s="47" t="n"/>
      <c r="H84" s="47" t="n"/>
      <c r="I84" s="47" t="n"/>
      <c r="J84" s="47" t="n"/>
      <c r="K84" s="47" t="n"/>
      <c r="L84" s="47" t="n"/>
      <c r="M84" s="47" t="n"/>
      <c r="N84" s="47" t="n"/>
      <c r="O84" s="112" t="n"/>
      <c r="P84" s="112" t="n"/>
      <c r="Q84" s="112" t="n"/>
      <c r="R84" s="47" t="n"/>
      <c r="S84" s="49" t="n"/>
      <c r="T84" s="49" t="n"/>
      <c r="U84" s="47" t="n"/>
      <c r="V84" s="47" t="n"/>
      <c r="W84" s="47" t="n"/>
      <c r="X84" s="47" t="n"/>
      <c r="Y84" s="47" t="n"/>
      <c r="Z84" s="50" t="n"/>
      <c r="AA84" s="50">
        <f>IF($A84="","",IF(OR($B84="",$E84="",$K84="",$O84="",$S84=""),"⚠ بيانات ناقصة","مكتمل"))</f>
        <v/>
      </c>
      <c r="AB84" s="51">
        <f>IF(OR($A84="",$Q84=""),"",$Q84-TODAY())</f>
        <v/>
      </c>
      <c r="AC84" s="113">
        <f>IF(OR($A84="",$O84=""),"",IFERROR(YEARFRAC($O84,TODAY(),1),"")</f>
        <v/>
      </c>
    </row>
    <row r="85">
      <c r="A85" s="39" t="n"/>
      <c r="B85" s="40" t="n"/>
      <c r="C85" s="40" t="n"/>
      <c r="D85" s="110" t="n"/>
      <c r="E85" s="39" t="n"/>
      <c r="F85" s="40" t="n"/>
      <c r="G85" s="40" t="n"/>
      <c r="H85" s="40" t="n"/>
      <c r="I85" s="40" t="n"/>
      <c r="J85" s="40" t="n"/>
      <c r="K85" s="40" t="n"/>
      <c r="L85" s="40" t="n"/>
      <c r="M85" s="40" t="n"/>
      <c r="N85" s="40" t="n"/>
      <c r="O85" s="110" t="n"/>
      <c r="P85" s="110" t="n"/>
      <c r="Q85" s="110" t="n"/>
      <c r="R85" s="40" t="n"/>
      <c r="S85" s="42" t="n"/>
      <c r="T85" s="42" t="n"/>
      <c r="U85" s="40" t="n"/>
      <c r="V85" s="40" t="n"/>
      <c r="W85" s="40" t="n"/>
      <c r="X85" s="40" t="n"/>
      <c r="Y85" s="40" t="n"/>
      <c r="Z85" s="43" t="n"/>
      <c r="AA85" s="43">
        <f>IF($A85="","",IF(OR($B85="",$E85="",$K85="",$O85="",$S85=""),"⚠ بيانات ناقصة","مكتمل"))</f>
        <v/>
      </c>
      <c r="AB85" s="44">
        <f>IF(OR($A85="",$Q85=""),"",$Q85-TODAY())</f>
        <v/>
      </c>
      <c r="AC85" s="111">
        <f>IF(OR($A85="",$O85=""),"",IFERROR(YEARFRAC($O85,TODAY(),1),"")</f>
        <v/>
      </c>
    </row>
    <row r="86">
      <c r="A86" s="46" t="n"/>
      <c r="B86" s="47" t="n"/>
      <c r="C86" s="47" t="n"/>
      <c r="D86" s="112" t="n"/>
      <c r="E86" s="46" t="n"/>
      <c r="F86" s="47" t="n"/>
      <c r="G86" s="47" t="n"/>
      <c r="H86" s="47" t="n"/>
      <c r="I86" s="47" t="n"/>
      <c r="J86" s="47" t="n"/>
      <c r="K86" s="47" t="n"/>
      <c r="L86" s="47" t="n"/>
      <c r="M86" s="47" t="n"/>
      <c r="N86" s="47" t="n"/>
      <c r="O86" s="112" t="n"/>
      <c r="P86" s="112" t="n"/>
      <c r="Q86" s="112" t="n"/>
      <c r="R86" s="47" t="n"/>
      <c r="S86" s="49" t="n"/>
      <c r="T86" s="49" t="n"/>
      <c r="U86" s="47" t="n"/>
      <c r="V86" s="47" t="n"/>
      <c r="W86" s="47" t="n"/>
      <c r="X86" s="47" t="n"/>
      <c r="Y86" s="47" t="n"/>
      <c r="Z86" s="50" t="n"/>
      <c r="AA86" s="50">
        <f>IF($A86="","",IF(OR($B86="",$E86="",$K86="",$O86="",$S86=""),"⚠ بيانات ناقصة","مكتمل"))</f>
        <v/>
      </c>
      <c r="AB86" s="51">
        <f>IF(OR($A86="",$Q86=""),"",$Q86-TODAY())</f>
        <v/>
      </c>
      <c r="AC86" s="113">
        <f>IF(OR($A86="",$O86=""),"",IFERROR(YEARFRAC($O86,TODAY(),1),"")</f>
        <v/>
      </c>
    </row>
    <row r="87">
      <c r="A87" s="39" t="n"/>
      <c r="B87" s="40" t="n"/>
      <c r="C87" s="40" t="n"/>
      <c r="D87" s="110" t="n"/>
      <c r="E87" s="39" t="n"/>
      <c r="F87" s="40" t="n"/>
      <c r="G87" s="40" t="n"/>
      <c r="H87" s="40" t="n"/>
      <c r="I87" s="40" t="n"/>
      <c r="J87" s="40" t="n"/>
      <c r="K87" s="40" t="n"/>
      <c r="L87" s="40" t="n"/>
      <c r="M87" s="40" t="n"/>
      <c r="N87" s="40" t="n"/>
      <c r="O87" s="110" t="n"/>
      <c r="P87" s="110" t="n"/>
      <c r="Q87" s="110" t="n"/>
      <c r="R87" s="40" t="n"/>
      <c r="S87" s="42" t="n"/>
      <c r="T87" s="42" t="n"/>
      <c r="U87" s="40" t="n"/>
      <c r="V87" s="40" t="n"/>
      <c r="W87" s="40" t="n"/>
      <c r="X87" s="40" t="n"/>
      <c r="Y87" s="40" t="n"/>
      <c r="Z87" s="43" t="n"/>
      <c r="AA87" s="43">
        <f>IF($A87="","",IF(OR($B87="",$E87="",$K87="",$O87="",$S87=""),"⚠ بيانات ناقصة","مكتمل"))</f>
        <v/>
      </c>
      <c r="AB87" s="44">
        <f>IF(OR($A87="",$Q87=""),"",$Q87-TODAY())</f>
        <v/>
      </c>
      <c r="AC87" s="111">
        <f>IF(OR($A87="",$O87=""),"",IFERROR(YEARFRAC($O87,TODAY(),1),"")</f>
        <v/>
      </c>
    </row>
    <row r="88">
      <c r="A88" s="46" t="n"/>
      <c r="B88" s="47" t="n"/>
      <c r="C88" s="47" t="n"/>
      <c r="D88" s="112" t="n"/>
      <c r="E88" s="46" t="n"/>
      <c r="F88" s="47" t="n"/>
      <c r="G88" s="47" t="n"/>
      <c r="H88" s="47" t="n"/>
      <c r="I88" s="47" t="n"/>
      <c r="J88" s="47" t="n"/>
      <c r="K88" s="47" t="n"/>
      <c r="L88" s="47" t="n"/>
      <c r="M88" s="47" t="n"/>
      <c r="N88" s="47" t="n"/>
      <c r="O88" s="112" t="n"/>
      <c r="P88" s="112" t="n"/>
      <c r="Q88" s="112" t="n"/>
      <c r="R88" s="47" t="n"/>
      <c r="S88" s="49" t="n"/>
      <c r="T88" s="49" t="n"/>
      <c r="U88" s="47" t="n"/>
      <c r="V88" s="47" t="n"/>
      <c r="W88" s="47" t="n"/>
      <c r="X88" s="47" t="n"/>
      <c r="Y88" s="47" t="n"/>
      <c r="Z88" s="50" t="n"/>
      <c r="AA88" s="50">
        <f>IF($A88="","",IF(OR($B88="",$E88="",$K88="",$O88="",$S88=""),"⚠ بيانات ناقصة","مكتمل"))</f>
        <v/>
      </c>
      <c r="AB88" s="51">
        <f>IF(OR($A88="",$Q88=""),"",$Q88-TODAY())</f>
        <v/>
      </c>
      <c r="AC88" s="113">
        <f>IF(OR($A88="",$O88=""),"",IFERROR(YEARFRAC($O88,TODAY(),1),"")</f>
        <v/>
      </c>
    </row>
    <row r="89">
      <c r="A89" s="39" t="n"/>
      <c r="B89" s="40" t="n"/>
      <c r="C89" s="40" t="n"/>
      <c r="D89" s="110" t="n"/>
      <c r="E89" s="39" t="n"/>
      <c r="F89" s="40" t="n"/>
      <c r="G89" s="40" t="n"/>
      <c r="H89" s="40" t="n"/>
      <c r="I89" s="40" t="n"/>
      <c r="J89" s="40" t="n"/>
      <c r="K89" s="40" t="n"/>
      <c r="L89" s="40" t="n"/>
      <c r="M89" s="40" t="n"/>
      <c r="N89" s="40" t="n"/>
      <c r="O89" s="110" t="n"/>
      <c r="P89" s="110" t="n"/>
      <c r="Q89" s="110" t="n"/>
      <c r="R89" s="40" t="n"/>
      <c r="S89" s="42" t="n"/>
      <c r="T89" s="42" t="n"/>
      <c r="U89" s="40" t="n"/>
      <c r="V89" s="40" t="n"/>
      <c r="W89" s="40" t="n"/>
      <c r="X89" s="40" t="n"/>
      <c r="Y89" s="40" t="n"/>
      <c r="Z89" s="43" t="n"/>
      <c r="AA89" s="43">
        <f>IF($A89="","",IF(OR($B89="",$E89="",$K89="",$O89="",$S89=""),"⚠ بيانات ناقصة","مكتمل"))</f>
        <v/>
      </c>
      <c r="AB89" s="44">
        <f>IF(OR($A89="",$Q89=""),"",$Q89-TODAY())</f>
        <v/>
      </c>
      <c r="AC89" s="111">
        <f>IF(OR($A89="",$O89=""),"",IFERROR(YEARFRAC($O89,TODAY(),1),"")</f>
        <v/>
      </c>
    </row>
    <row r="90">
      <c r="A90" s="46" t="n"/>
      <c r="B90" s="47" t="n"/>
      <c r="C90" s="47" t="n"/>
      <c r="D90" s="112" t="n"/>
      <c r="E90" s="46" t="n"/>
      <c r="F90" s="47" t="n"/>
      <c r="G90" s="47" t="n"/>
      <c r="H90" s="47" t="n"/>
      <c r="I90" s="47" t="n"/>
      <c r="J90" s="47" t="n"/>
      <c r="K90" s="47" t="n"/>
      <c r="L90" s="47" t="n"/>
      <c r="M90" s="47" t="n"/>
      <c r="N90" s="47" t="n"/>
      <c r="O90" s="112" t="n"/>
      <c r="P90" s="112" t="n"/>
      <c r="Q90" s="112" t="n"/>
      <c r="R90" s="47" t="n"/>
      <c r="S90" s="49" t="n"/>
      <c r="T90" s="49" t="n"/>
      <c r="U90" s="47" t="n"/>
      <c r="V90" s="47" t="n"/>
      <c r="W90" s="47" t="n"/>
      <c r="X90" s="47" t="n"/>
      <c r="Y90" s="47" t="n"/>
      <c r="Z90" s="50" t="n"/>
      <c r="AA90" s="50">
        <f>IF($A90="","",IF(OR($B90="",$E90="",$K90="",$O90="",$S90=""),"⚠ بيانات ناقصة","مكتمل"))</f>
        <v/>
      </c>
      <c r="AB90" s="51">
        <f>IF(OR($A90="",$Q90=""),"",$Q90-TODAY())</f>
        <v/>
      </c>
      <c r="AC90" s="113">
        <f>IF(OR($A90="",$O90=""),"",IFERROR(YEARFRAC($O90,TODAY(),1),"")</f>
        <v/>
      </c>
    </row>
    <row r="91">
      <c r="A91" s="39" t="n"/>
      <c r="B91" s="40" t="n"/>
      <c r="C91" s="40" t="n"/>
      <c r="D91" s="110" t="n"/>
      <c r="E91" s="39" t="n"/>
      <c r="F91" s="40" t="n"/>
      <c r="G91" s="40" t="n"/>
      <c r="H91" s="40" t="n"/>
      <c r="I91" s="40" t="n"/>
      <c r="J91" s="40" t="n"/>
      <c r="K91" s="40" t="n"/>
      <c r="L91" s="40" t="n"/>
      <c r="M91" s="40" t="n"/>
      <c r="N91" s="40" t="n"/>
      <c r="O91" s="110" t="n"/>
      <c r="P91" s="110" t="n"/>
      <c r="Q91" s="110" t="n"/>
      <c r="R91" s="40" t="n"/>
      <c r="S91" s="42" t="n"/>
      <c r="T91" s="42" t="n"/>
      <c r="U91" s="40" t="n"/>
      <c r="V91" s="40" t="n"/>
      <c r="W91" s="40" t="n"/>
      <c r="X91" s="40" t="n"/>
      <c r="Y91" s="40" t="n"/>
      <c r="Z91" s="43" t="n"/>
      <c r="AA91" s="43">
        <f>IF($A91="","",IF(OR($B91="",$E91="",$K91="",$O91="",$S91=""),"⚠ بيانات ناقصة","مكتمل"))</f>
        <v/>
      </c>
      <c r="AB91" s="44">
        <f>IF(OR($A91="",$Q91=""),"",$Q91-TODAY())</f>
        <v/>
      </c>
      <c r="AC91" s="111">
        <f>IF(OR($A91="",$O91=""),"",IFERROR(YEARFRAC($O91,TODAY(),1),"")</f>
        <v/>
      </c>
    </row>
    <row r="92">
      <c r="A92" s="46" t="n"/>
      <c r="B92" s="47" t="n"/>
      <c r="C92" s="47" t="n"/>
      <c r="D92" s="112" t="n"/>
      <c r="E92" s="46" t="n"/>
      <c r="F92" s="47" t="n"/>
      <c r="G92" s="47" t="n"/>
      <c r="H92" s="47" t="n"/>
      <c r="I92" s="47" t="n"/>
      <c r="J92" s="47" t="n"/>
      <c r="K92" s="47" t="n"/>
      <c r="L92" s="47" t="n"/>
      <c r="M92" s="47" t="n"/>
      <c r="N92" s="47" t="n"/>
      <c r="O92" s="112" t="n"/>
      <c r="P92" s="112" t="n"/>
      <c r="Q92" s="112" t="n"/>
      <c r="R92" s="47" t="n"/>
      <c r="S92" s="49" t="n"/>
      <c r="T92" s="49" t="n"/>
      <c r="U92" s="47" t="n"/>
      <c r="V92" s="47" t="n"/>
      <c r="W92" s="47" t="n"/>
      <c r="X92" s="47" t="n"/>
      <c r="Y92" s="47" t="n"/>
      <c r="Z92" s="50" t="n"/>
      <c r="AA92" s="50">
        <f>IF($A92="","",IF(OR($B92="",$E92="",$K92="",$O92="",$S92=""),"⚠ بيانات ناقصة","مكتمل"))</f>
        <v/>
      </c>
      <c r="AB92" s="51">
        <f>IF(OR($A92="",$Q92=""),"",$Q92-TODAY())</f>
        <v/>
      </c>
      <c r="AC92" s="113">
        <f>IF(OR($A92="",$O92=""),"",IFERROR(YEARFRAC($O92,TODAY(),1),"")</f>
        <v/>
      </c>
    </row>
    <row r="93">
      <c r="A93" s="39" t="n"/>
      <c r="B93" s="40" t="n"/>
      <c r="C93" s="40" t="n"/>
      <c r="D93" s="110" t="n"/>
      <c r="E93" s="39" t="n"/>
      <c r="F93" s="40" t="n"/>
      <c r="G93" s="40" t="n"/>
      <c r="H93" s="40" t="n"/>
      <c r="I93" s="40" t="n"/>
      <c r="J93" s="40" t="n"/>
      <c r="K93" s="40" t="n"/>
      <c r="L93" s="40" t="n"/>
      <c r="M93" s="40" t="n"/>
      <c r="N93" s="40" t="n"/>
      <c r="O93" s="110" t="n"/>
      <c r="P93" s="110" t="n"/>
      <c r="Q93" s="110" t="n"/>
      <c r="R93" s="40" t="n"/>
      <c r="S93" s="42" t="n"/>
      <c r="T93" s="42" t="n"/>
      <c r="U93" s="40" t="n"/>
      <c r="V93" s="40" t="n"/>
      <c r="W93" s="40" t="n"/>
      <c r="X93" s="40" t="n"/>
      <c r="Y93" s="40" t="n"/>
      <c r="Z93" s="43" t="n"/>
      <c r="AA93" s="43">
        <f>IF($A93="","",IF(OR($B93="",$E93="",$K93="",$O93="",$S93=""),"⚠ بيانات ناقصة","مكتمل"))</f>
        <v/>
      </c>
      <c r="AB93" s="44">
        <f>IF(OR($A93="",$Q93=""),"",$Q93-TODAY())</f>
        <v/>
      </c>
      <c r="AC93" s="111">
        <f>IF(OR($A93="",$O93=""),"",IFERROR(YEARFRAC($O93,TODAY(),1),"")</f>
        <v/>
      </c>
    </row>
    <row r="94">
      <c r="A94" s="46" t="n"/>
      <c r="B94" s="47" t="n"/>
      <c r="C94" s="47" t="n"/>
      <c r="D94" s="112" t="n"/>
      <c r="E94" s="46" t="n"/>
      <c r="F94" s="47" t="n"/>
      <c r="G94" s="47" t="n"/>
      <c r="H94" s="47" t="n"/>
      <c r="I94" s="47" t="n"/>
      <c r="J94" s="47" t="n"/>
      <c r="K94" s="47" t="n"/>
      <c r="L94" s="47" t="n"/>
      <c r="M94" s="47" t="n"/>
      <c r="N94" s="47" t="n"/>
      <c r="O94" s="112" t="n"/>
      <c r="P94" s="112" t="n"/>
      <c r="Q94" s="112" t="n"/>
      <c r="R94" s="47" t="n"/>
      <c r="S94" s="49" t="n"/>
      <c r="T94" s="49" t="n"/>
      <c r="U94" s="47" t="n"/>
      <c r="V94" s="47" t="n"/>
      <c r="W94" s="47" t="n"/>
      <c r="X94" s="47" t="n"/>
      <c r="Y94" s="47" t="n"/>
      <c r="Z94" s="50" t="n"/>
      <c r="AA94" s="50">
        <f>IF($A94="","",IF(OR($B94="",$E94="",$K94="",$O94="",$S94=""),"⚠ بيانات ناقصة","مكتمل"))</f>
        <v/>
      </c>
      <c r="AB94" s="51">
        <f>IF(OR($A94="",$Q94=""),"",$Q94-TODAY())</f>
        <v/>
      </c>
      <c r="AC94" s="113">
        <f>IF(OR($A94="",$O94=""),"",IFERROR(YEARFRAC($O94,TODAY(),1),"")</f>
        <v/>
      </c>
    </row>
    <row r="95">
      <c r="A95" s="39" t="n"/>
      <c r="B95" s="40" t="n"/>
      <c r="C95" s="40" t="n"/>
      <c r="D95" s="110" t="n"/>
      <c r="E95" s="39" t="n"/>
      <c r="F95" s="40" t="n"/>
      <c r="G95" s="40" t="n"/>
      <c r="H95" s="40" t="n"/>
      <c r="I95" s="40" t="n"/>
      <c r="J95" s="40" t="n"/>
      <c r="K95" s="40" t="n"/>
      <c r="L95" s="40" t="n"/>
      <c r="M95" s="40" t="n"/>
      <c r="N95" s="40" t="n"/>
      <c r="O95" s="110" t="n"/>
      <c r="P95" s="110" t="n"/>
      <c r="Q95" s="110" t="n"/>
      <c r="R95" s="40" t="n"/>
      <c r="S95" s="42" t="n"/>
      <c r="T95" s="42" t="n"/>
      <c r="U95" s="40" t="n"/>
      <c r="V95" s="40" t="n"/>
      <c r="W95" s="40" t="n"/>
      <c r="X95" s="40" t="n"/>
      <c r="Y95" s="40" t="n"/>
      <c r="Z95" s="43" t="n"/>
      <c r="AA95" s="43">
        <f>IF($A95="","",IF(OR($B95="",$E95="",$K95="",$O95="",$S95=""),"⚠ بيانات ناقصة","مكتمل"))</f>
        <v/>
      </c>
      <c r="AB95" s="44">
        <f>IF(OR($A95="",$Q95=""),"",$Q95-TODAY())</f>
        <v/>
      </c>
      <c r="AC95" s="111">
        <f>IF(OR($A95="",$O95=""),"",IFERROR(YEARFRAC($O95,TODAY(),1),"")</f>
        <v/>
      </c>
    </row>
    <row r="96">
      <c r="A96" s="46" t="n"/>
      <c r="B96" s="47" t="n"/>
      <c r="C96" s="47" t="n"/>
      <c r="D96" s="112" t="n"/>
      <c r="E96" s="46" t="n"/>
      <c r="F96" s="47" t="n"/>
      <c r="G96" s="47" t="n"/>
      <c r="H96" s="47" t="n"/>
      <c r="I96" s="47" t="n"/>
      <c r="J96" s="47" t="n"/>
      <c r="K96" s="47" t="n"/>
      <c r="L96" s="47" t="n"/>
      <c r="M96" s="47" t="n"/>
      <c r="N96" s="47" t="n"/>
      <c r="O96" s="112" t="n"/>
      <c r="P96" s="112" t="n"/>
      <c r="Q96" s="112" t="n"/>
      <c r="R96" s="47" t="n"/>
      <c r="S96" s="49" t="n"/>
      <c r="T96" s="49" t="n"/>
      <c r="U96" s="47" t="n"/>
      <c r="V96" s="47" t="n"/>
      <c r="W96" s="47" t="n"/>
      <c r="X96" s="47" t="n"/>
      <c r="Y96" s="47" t="n"/>
      <c r="Z96" s="50" t="n"/>
      <c r="AA96" s="50">
        <f>IF($A96="","",IF(OR($B96="",$E96="",$K96="",$O96="",$S96=""),"⚠ بيانات ناقصة","مكتمل"))</f>
        <v/>
      </c>
      <c r="AB96" s="51">
        <f>IF(OR($A96="",$Q96=""),"",$Q96-TODAY())</f>
        <v/>
      </c>
      <c r="AC96" s="113">
        <f>IF(OR($A96="",$O96=""),"",IFERROR(YEARFRAC($O96,TODAY(),1),"")</f>
        <v/>
      </c>
    </row>
    <row r="97">
      <c r="A97" s="39" t="n"/>
      <c r="B97" s="40" t="n"/>
      <c r="C97" s="40" t="n"/>
      <c r="D97" s="110" t="n"/>
      <c r="E97" s="39" t="n"/>
      <c r="F97" s="40" t="n"/>
      <c r="G97" s="40" t="n"/>
      <c r="H97" s="40" t="n"/>
      <c r="I97" s="40" t="n"/>
      <c r="J97" s="40" t="n"/>
      <c r="K97" s="40" t="n"/>
      <c r="L97" s="40" t="n"/>
      <c r="M97" s="40" t="n"/>
      <c r="N97" s="40" t="n"/>
      <c r="O97" s="110" t="n"/>
      <c r="P97" s="110" t="n"/>
      <c r="Q97" s="110" t="n"/>
      <c r="R97" s="40" t="n"/>
      <c r="S97" s="42" t="n"/>
      <c r="T97" s="42" t="n"/>
      <c r="U97" s="40" t="n"/>
      <c r="V97" s="40" t="n"/>
      <c r="W97" s="40" t="n"/>
      <c r="X97" s="40" t="n"/>
      <c r="Y97" s="40" t="n"/>
      <c r="Z97" s="43" t="n"/>
      <c r="AA97" s="43">
        <f>IF($A97="","",IF(OR($B97="",$E97="",$K97="",$O97="",$S97=""),"⚠ بيانات ناقصة","مكتمل"))</f>
        <v/>
      </c>
      <c r="AB97" s="44">
        <f>IF(OR($A97="",$Q97=""),"",$Q97-TODAY())</f>
        <v/>
      </c>
      <c r="AC97" s="111">
        <f>IF(OR($A97="",$O97=""),"",IFERROR(YEARFRAC($O97,TODAY(),1),"")</f>
        <v/>
      </c>
    </row>
    <row r="98">
      <c r="A98" s="46" t="n"/>
      <c r="B98" s="47" t="n"/>
      <c r="C98" s="47" t="n"/>
      <c r="D98" s="112" t="n"/>
      <c r="E98" s="46" t="n"/>
      <c r="F98" s="47" t="n"/>
      <c r="G98" s="47" t="n"/>
      <c r="H98" s="47" t="n"/>
      <c r="I98" s="47" t="n"/>
      <c r="J98" s="47" t="n"/>
      <c r="K98" s="47" t="n"/>
      <c r="L98" s="47" t="n"/>
      <c r="M98" s="47" t="n"/>
      <c r="N98" s="47" t="n"/>
      <c r="O98" s="112" t="n"/>
      <c r="P98" s="112" t="n"/>
      <c r="Q98" s="112" t="n"/>
      <c r="R98" s="47" t="n"/>
      <c r="S98" s="49" t="n"/>
      <c r="T98" s="49" t="n"/>
      <c r="U98" s="47" t="n"/>
      <c r="V98" s="47" t="n"/>
      <c r="W98" s="47" t="n"/>
      <c r="X98" s="47" t="n"/>
      <c r="Y98" s="47" t="n"/>
      <c r="Z98" s="50" t="n"/>
      <c r="AA98" s="50">
        <f>IF($A98="","",IF(OR($B98="",$E98="",$K98="",$O98="",$S98=""),"⚠ بيانات ناقصة","مكتمل"))</f>
        <v/>
      </c>
      <c r="AB98" s="51">
        <f>IF(OR($A98="",$Q98=""),"",$Q98-TODAY())</f>
        <v/>
      </c>
      <c r="AC98" s="113">
        <f>IF(OR($A98="",$O98=""),"",IFERROR(YEARFRAC($O98,TODAY(),1),"")</f>
        <v/>
      </c>
    </row>
    <row r="99">
      <c r="A99" s="39" t="n"/>
      <c r="B99" s="40" t="n"/>
      <c r="C99" s="40" t="n"/>
      <c r="D99" s="110" t="n"/>
      <c r="E99" s="39" t="n"/>
      <c r="F99" s="40" t="n"/>
      <c r="G99" s="40" t="n"/>
      <c r="H99" s="40" t="n"/>
      <c r="I99" s="40" t="n"/>
      <c r="J99" s="40" t="n"/>
      <c r="K99" s="40" t="n"/>
      <c r="L99" s="40" t="n"/>
      <c r="M99" s="40" t="n"/>
      <c r="N99" s="40" t="n"/>
      <c r="O99" s="110" t="n"/>
      <c r="P99" s="110" t="n"/>
      <c r="Q99" s="110" t="n"/>
      <c r="R99" s="40" t="n"/>
      <c r="S99" s="42" t="n"/>
      <c r="T99" s="42" t="n"/>
      <c r="U99" s="40" t="n"/>
      <c r="V99" s="40" t="n"/>
      <c r="W99" s="40" t="n"/>
      <c r="X99" s="40" t="n"/>
      <c r="Y99" s="40" t="n"/>
      <c r="Z99" s="43" t="n"/>
      <c r="AA99" s="43">
        <f>IF($A99="","",IF(OR($B99="",$E99="",$K99="",$O99="",$S99=""),"⚠ بيانات ناقصة","مكتمل"))</f>
        <v/>
      </c>
      <c r="AB99" s="44">
        <f>IF(OR($A99="",$Q99=""),"",$Q99-TODAY())</f>
        <v/>
      </c>
      <c r="AC99" s="111">
        <f>IF(OR($A99="",$O99=""),"",IFERROR(YEARFRAC($O99,TODAY(),1),"")</f>
        <v/>
      </c>
    </row>
    <row r="100">
      <c r="A100" s="46" t="n"/>
      <c r="B100" s="47" t="n"/>
      <c r="C100" s="47" t="n"/>
      <c r="D100" s="112" t="n"/>
      <c r="E100" s="46" t="n"/>
      <c r="F100" s="47" t="n"/>
      <c r="G100" s="47" t="n"/>
      <c r="H100" s="47" t="n"/>
      <c r="I100" s="47" t="n"/>
      <c r="J100" s="47" t="n"/>
      <c r="K100" s="47" t="n"/>
      <c r="L100" s="47" t="n"/>
      <c r="M100" s="47" t="n"/>
      <c r="N100" s="47" t="n"/>
      <c r="O100" s="112" t="n"/>
      <c r="P100" s="112" t="n"/>
      <c r="Q100" s="112" t="n"/>
      <c r="R100" s="47" t="n"/>
      <c r="S100" s="49" t="n"/>
      <c r="T100" s="49" t="n"/>
      <c r="U100" s="47" t="n"/>
      <c r="V100" s="47" t="n"/>
      <c r="W100" s="47" t="n"/>
      <c r="X100" s="47" t="n"/>
      <c r="Y100" s="47" t="n"/>
      <c r="Z100" s="50" t="n"/>
      <c r="AA100" s="50">
        <f>IF($A100="","",IF(OR($B100="",$E100="",$K100="",$O100="",$S100=""),"⚠ بيانات ناقصة","مكتمل"))</f>
        <v/>
      </c>
      <c r="AB100" s="51">
        <f>IF(OR($A100="",$Q100=""),"",$Q100-TODAY())</f>
        <v/>
      </c>
      <c r="AC100" s="113">
        <f>IF(OR($A100="",$O100=""),"",IFERROR(YEARFRAC($O100,TODAY(),1),"")</f>
        <v/>
      </c>
    </row>
    <row r="101">
      <c r="A101" s="39" t="n"/>
      <c r="B101" s="40" t="n"/>
      <c r="C101" s="40" t="n"/>
      <c r="D101" s="110" t="n"/>
      <c r="E101" s="39" t="n"/>
      <c r="F101" s="40" t="n"/>
      <c r="G101" s="40" t="n"/>
      <c r="H101" s="40" t="n"/>
      <c r="I101" s="40" t="n"/>
      <c r="J101" s="40" t="n"/>
      <c r="K101" s="40" t="n"/>
      <c r="L101" s="40" t="n"/>
      <c r="M101" s="40" t="n"/>
      <c r="N101" s="40" t="n"/>
      <c r="O101" s="110" t="n"/>
      <c r="P101" s="110" t="n"/>
      <c r="Q101" s="110" t="n"/>
      <c r="R101" s="40" t="n"/>
      <c r="S101" s="42" t="n"/>
      <c r="T101" s="42" t="n"/>
      <c r="U101" s="40" t="n"/>
      <c r="V101" s="40" t="n"/>
      <c r="W101" s="40" t="n"/>
      <c r="X101" s="40" t="n"/>
      <c r="Y101" s="40" t="n"/>
      <c r="Z101" s="43" t="n"/>
      <c r="AA101" s="43">
        <f>IF($A101="","",IF(OR($B101="",$E101="",$K101="",$O101="",$S101=""),"⚠ بيانات ناقصة","مكتمل"))</f>
        <v/>
      </c>
      <c r="AB101" s="44">
        <f>IF(OR($A101="",$Q101=""),"",$Q101-TODAY())</f>
        <v/>
      </c>
      <c r="AC101" s="111">
        <f>IF(OR($A101="",$O101=""),"",IFERROR(YEARFRAC($O101,TODAY(),1),"")</f>
        <v/>
      </c>
    </row>
    <row r="102">
      <c r="A102" s="46" t="n"/>
      <c r="B102" s="47" t="n"/>
      <c r="C102" s="47" t="n"/>
      <c r="D102" s="112" t="n"/>
      <c r="E102" s="46" t="n"/>
      <c r="F102" s="47" t="n"/>
      <c r="G102" s="47" t="n"/>
      <c r="H102" s="47" t="n"/>
      <c r="I102" s="47" t="n"/>
      <c r="J102" s="47" t="n"/>
      <c r="K102" s="47" t="n"/>
      <c r="L102" s="47" t="n"/>
      <c r="M102" s="47" t="n"/>
      <c r="N102" s="47" t="n"/>
      <c r="O102" s="112" t="n"/>
      <c r="P102" s="112" t="n"/>
      <c r="Q102" s="112" t="n"/>
      <c r="R102" s="47" t="n"/>
      <c r="S102" s="49" t="n"/>
      <c r="T102" s="49" t="n"/>
      <c r="U102" s="47" t="n"/>
      <c r="V102" s="47" t="n"/>
      <c r="W102" s="47" t="n"/>
      <c r="X102" s="47" t="n"/>
      <c r="Y102" s="47" t="n"/>
      <c r="Z102" s="50" t="n"/>
      <c r="AA102" s="50">
        <f>IF($A102="","",IF(OR($B102="",$E102="",$K102="",$O102="",$S102=""),"⚠ بيانات ناقصة","مكتمل"))</f>
        <v/>
      </c>
      <c r="AB102" s="51">
        <f>IF(OR($A102="",$Q102=""),"",$Q102-TODAY())</f>
        <v/>
      </c>
      <c r="AC102" s="113">
        <f>IF(OR($A102="",$O102=""),"",IFERROR(YEARFRAC($O102,TODAY(),1),"")</f>
        <v/>
      </c>
    </row>
    <row r="103">
      <c r="A103" s="39" t="n"/>
      <c r="B103" s="40" t="n"/>
      <c r="C103" s="40" t="n"/>
      <c r="D103" s="110" t="n"/>
      <c r="E103" s="39" t="n"/>
      <c r="F103" s="40" t="n"/>
      <c r="G103" s="40" t="n"/>
      <c r="H103" s="40" t="n"/>
      <c r="I103" s="40" t="n"/>
      <c r="J103" s="40" t="n"/>
      <c r="K103" s="40" t="n"/>
      <c r="L103" s="40" t="n"/>
      <c r="M103" s="40" t="n"/>
      <c r="N103" s="40" t="n"/>
      <c r="O103" s="110" t="n"/>
      <c r="P103" s="110" t="n"/>
      <c r="Q103" s="110" t="n"/>
      <c r="R103" s="40" t="n"/>
      <c r="S103" s="42" t="n"/>
      <c r="T103" s="42" t="n"/>
      <c r="U103" s="40" t="n"/>
      <c r="V103" s="40" t="n"/>
      <c r="W103" s="40" t="n"/>
      <c r="X103" s="40" t="n"/>
      <c r="Y103" s="40" t="n"/>
      <c r="Z103" s="43" t="n"/>
      <c r="AA103" s="43">
        <f>IF($A103="","",IF(OR($B103="",$E103="",$K103="",$O103="",$S103=""),"⚠ بيانات ناقصة","مكتمل"))</f>
        <v/>
      </c>
      <c r="AB103" s="44">
        <f>IF(OR($A103="",$Q103=""),"",$Q103-TODAY())</f>
        <v/>
      </c>
      <c r="AC103" s="111">
        <f>IF(OR($A103="",$O103=""),"",IFERROR(YEARFRAC($O103,TODAY(),1),"")</f>
        <v/>
      </c>
    </row>
    <row r="104">
      <c r="A104" s="46" t="n"/>
      <c r="B104" s="47" t="n"/>
      <c r="C104" s="47" t="n"/>
      <c r="D104" s="112" t="n"/>
      <c r="E104" s="46" t="n"/>
      <c r="F104" s="47" t="n"/>
      <c r="G104" s="47" t="n"/>
      <c r="H104" s="47" t="n"/>
      <c r="I104" s="47" t="n"/>
      <c r="J104" s="47" t="n"/>
      <c r="K104" s="47" t="n"/>
      <c r="L104" s="47" t="n"/>
      <c r="M104" s="47" t="n"/>
      <c r="N104" s="47" t="n"/>
      <c r="O104" s="112" t="n"/>
      <c r="P104" s="112" t="n"/>
      <c r="Q104" s="112" t="n"/>
      <c r="R104" s="47" t="n"/>
      <c r="S104" s="49" t="n"/>
      <c r="T104" s="49" t="n"/>
      <c r="U104" s="47" t="n"/>
      <c r="V104" s="47" t="n"/>
      <c r="W104" s="47" t="n"/>
      <c r="X104" s="47" t="n"/>
      <c r="Y104" s="47" t="n"/>
      <c r="Z104" s="50" t="n"/>
      <c r="AA104" s="50">
        <f>IF($A104="","",IF(OR($B104="",$E104="",$K104="",$O104="",$S104=""),"⚠ بيانات ناقصة","مكتمل"))</f>
        <v/>
      </c>
      <c r="AB104" s="51">
        <f>IF(OR($A104="",$Q104=""),"",$Q104-TODAY())</f>
        <v/>
      </c>
      <c r="AC104" s="113">
        <f>IF(OR($A104="",$O104=""),"",IFERROR(YEARFRAC($O104,TODAY(),1),"")</f>
        <v/>
      </c>
    </row>
    <row r="105">
      <c r="A105" s="39" t="n"/>
      <c r="B105" s="40" t="n"/>
      <c r="C105" s="40" t="n"/>
      <c r="D105" s="110" t="n"/>
      <c r="E105" s="39" t="n"/>
      <c r="F105" s="40" t="n"/>
      <c r="G105" s="40" t="n"/>
      <c r="H105" s="40" t="n"/>
      <c r="I105" s="40" t="n"/>
      <c r="J105" s="40" t="n"/>
      <c r="K105" s="40" t="n"/>
      <c r="L105" s="40" t="n"/>
      <c r="M105" s="40" t="n"/>
      <c r="N105" s="40" t="n"/>
      <c r="O105" s="110" t="n"/>
      <c r="P105" s="110" t="n"/>
      <c r="Q105" s="110" t="n"/>
      <c r="R105" s="40" t="n"/>
      <c r="S105" s="42" t="n"/>
      <c r="T105" s="42" t="n"/>
      <c r="U105" s="40" t="n"/>
      <c r="V105" s="40" t="n"/>
      <c r="W105" s="40" t="n"/>
      <c r="X105" s="40" t="n"/>
      <c r="Y105" s="40" t="n"/>
      <c r="Z105" s="43" t="n"/>
      <c r="AA105" s="43">
        <f>IF($A105="","",IF(OR($B105="",$E105="",$K105="",$O105="",$S105=""),"⚠ بيانات ناقصة","مكتمل"))</f>
        <v/>
      </c>
      <c r="AB105" s="44">
        <f>IF(OR($A105="",$Q105=""),"",$Q105-TODAY())</f>
        <v/>
      </c>
      <c r="AC105" s="111">
        <f>IF(OR($A105="",$O105=""),"",IFERROR(YEARFRAC($O105,TODAY(),1),"")</f>
        <v/>
      </c>
    </row>
    <row r="106">
      <c r="A106" s="46" t="n"/>
      <c r="B106" s="47" t="n"/>
      <c r="C106" s="47" t="n"/>
      <c r="D106" s="112" t="n"/>
      <c r="E106" s="46" t="n"/>
      <c r="F106" s="47" t="n"/>
      <c r="G106" s="47" t="n"/>
      <c r="H106" s="47" t="n"/>
      <c r="I106" s="47" t="n"/>
      <c r="J106" s="47" t="n"/>
      <c r="K106" s="47" t="n"/>
      <c r="L106" s="47" t="n"/>
      <c r="M106" s="47" t="n"/>
      <c r="N106" s="47" t="n"/>
      <c r="O106" s="112" t="n"/>
      <c r="P106" s="112" t="n"/>
      <c r="Q106" s="112" t="n"/>
      <c r="R106" s="47" t="n"/>
      <c r="S106" s="49" t="n"/>
      <c r="T106" s="49" t="n"/>
      <c r="U106" s="47" t="n"/>
      <c r="V106" s="47" t="n"/>
      <c r="W106" s="47" t="n"/>
      <c r="X106" s="47" t="n"/>
      <c r="Y106" s="47" t="n"/>
      <c r="Z106" s="50" t="n"/>
      <c r="AA106" s="50">
        <f>IF($A106="","",IF(OR($B106="",$E106="",$K106="",$O106="",$S106=""),"⚠ بيانات ناقصة","مكتمل"))</f>
        <v/>
      </c>
      <c r="AB106" s="51">
        <f>IF(OR($A106="",$Q106=""),"",$Q106-TODAY())</f>
        <v/>
      </c>
      <c r="AC106" s="113">
        <f>IF(OR($A106="",$O106=""),"",IFERROR(YEARFRAC($O106,TODAY(),1),"")</f>
        <v/>
      </c>
    </row>
    <row r="107">
      <c r="A107" s="39" t="n"/>
      <c r="B107" s="40" t="n"/>
      <c r="C107" s="40" t="n"/>
      <c r="D107" s="110" t="n"/>
      <c r="E107" s="39" t="n"/>
      <c r="F107" s="40" t="n"/>
      <c r="G107" s="40" t="n"/>
      <c r="H107" s="40" t="n"/>
      <c r="I107" s="40" t="n"/>
      <c r="J107" s="40" t="n"/>
      <c r="K107" s="40" t="n"/>
      <c r="L107" s="40" t="n"/>
      <c r="M107" s="40" t="n"/>
      <c r="N107" s="40" t="n"/>
      <c r="O107" s="110" t="n"/>
      <c r="P107" s="110" t="n"/>
      <c r="Q107" s="110" t="n"/>
      <c r="R107" s="40" t="n"/>
      <c r="S107" s="42" t="n"/>
      <c r="T107" s="42" t="n"/>
      <c r="U107" s="40" t="n"/>
      <c r="V107" s="40" t="n"/>
      <c r="W107" s="40" t="n"/>
      <c r="X107" s="40" t="n"/>
      <c r="Y107" s="40" t="n"/>
      <c r="Z107" s="43" t="n"/>
      <c r="AA107" s="43">
        <f>IF($A107="","",IF(OR($B107="",$E107="",$K107="",$O107="",$S107=""),"⚠ بيانات ناقصة","مكتمل"))</f>
        <v/>
      </c>
      <c r="AB107" s="44">
        <f>IF(OR($A107="",$Q107=""),"",$Q107-TODAY())</f>
        <v/>
      </c>
      <c r="AC107" s="111">
        <f>IF(OR($A107="",$O107=""),"",IFERROR(YEARFRAC($O107,TODAY(),1),"")</f>
        <v/>
      </c>
    </row>
    <row r="108">
      <c r="A108" s="46" t="n"/>
      <c r="B108" s="47" t="n"/>
      <c r="C108" s="47" t="n"/>
      <c r="D108" s="112" t="n"/>
      <c r="E108" s="46" t="n"/>
      <c r="F108" s="47" t="n"/>
      <c r="G108" s="47" t="n"/>
      <c r="H108" s="47" t="n"/>
      <c r="I108" s="47" t="n"/>
      <c r="J108" s="47" t="n"/>
      <c r="K108" s="47" t="n"/>
      <c r="L108" s="47" t="n"/>
      <c r="M108" s="47" t="n"/>
      <c r="N108" s="47" t="n"/>
      <c r="O108" s="112" t="n"/>
      <c r="P108" s="112" t="n"/>
      <c r="Q108" s="112" t="n"/>
      <c r="R108" s="47" t="n"/>
      <c r="S108" s="49" t="n"/>
      <c r="T108" s="49" t="n"/>
      <c r="U108" s="47" t="n"/>
      <c r="V108" s="47" t="n"/>
      <c r="W108" s="47" t="n"/>
      <c r="X108" s="47" t="n"/>
      <c r="Y108" s="47" t="n"/>
      <c r="Z108" s="50" t="n"/>
      <c r="AA108" s="50">
        <f>IF($A108="","",IF(OR($B108="",$E108="",$K108="",$O108="",$S108=""),"⚠ بيانات ناقصة","مكتمل"))</f>
        <v/>
      </c>
      <c r="AB108" s="51">
        <f>IF(OR($A108="",$Q108=""),"",$Q108-TODAY())</f>
        <v/>
      </c>
      <c r="AC108" s="113">
        <f>IF(OR($A108="",$O108=""),"",IFERROR(YEARFRAC($O108,TODAY(),1),"")</f>
        <v/>
      </c>
    </row>
    <row r="109">
      <c r="A109" s="39" t="n"/>
      <c r="B109" s="40" t="n"/>
      <c r="C109" s="40" t="n"/>
      <c r="D109" s="110" t="n"/>
      <c r="E109" s="39" t="n"/>
      <c r="F109" s="40" t="n"/>
      <c r="G109" s="40" t="n"/>
      <c r="H109" s="40" t="n"/>
      <c r="I109" s="40" t="n"/>
      <c r="J109" s="40" t="n"/>
      <c r="K109" s="40" t="n"/>
      <c r="L109" s="40" t="n"/>
      <c r="M109" s="40" t="n"/>
      <c r="N109" s="40" t="n"/>
      <c r="O109" s="110" t="n"/>
      <c r="P109" s="110" t="n"/>
      <c r="Q109" s="110" t="n"/>
      <c r="R109" s="40" t="n"/>
      <c r="S109" s="42" t="n"/>
      <c r="T109" s="42" t="n"/>
      <c r="U109" s="40" t="n"/>
      <c r="V109" s="40" t="n"/>
      <c r="W109" s="40" t="n"/>
      <c r="X109" s="40" t="n"/>
      <c r="Y109" s="40" t="n"/>
      <c r="Z109" s="43" t="n"/>
      <c r="AA109" s="43">
        <f>IF($A109="","",IF(OR($B109="",$E109="",$K109="",$O109="",$S109=""),"⚠ بيانات ناقصة","مكتمل"))</f>
        <v/>
      </c>
      <c r="AB109" s="44">
        <f>IF(OR($A109="",$Q109=""),"",$Q109-TODAY())</f>
        <v/>
      </c>
      <c r="AC109" s="111">
        <f>IF(OR($A109="",$O109=""),"",IFERROR(YEARFRAC($O109,TODAY(),1),"")</f>
        <v/>
      </c>
    </row>
    <row r="110">
      <c r="A110" s="46" t="n"/>
      <c r="B110" s="47" t="n"/>
      <c r="C110" s="47" t="n"/>
      <c r="D110" s="112" t="n"/>
      <c r="E110" s="46" t="n"/>
      <c r="F110" s="47" t="n"/>
      <c r="G110" s="47" t="n"/>
      <c r="H110" s="47" t="n"/>
      <c r="I110" s="47" t="n"/>
      <c r="J110" s="47" t="n"/>
      <c r="K110" s="47" t="n"/>
      <c r="L110" s="47" t="n"/>
      <c r="M110" s="47" t="n"/>
      <c r="N110" s="47" t="n"/>
      <c r="O110" s="112" t="n"/>
      <c r="P110" s="112" t="n"/>
      <c r="Q110" s="112" t="n"/>
      <c r="R110" s="47" t="n"/>
      <c r="S110" s="49" t="n"/>
      <c r="T110" s="49" t="n"/>
      <c r="U110" s="47" t="n"/>
      <c r="V110" s="47" t="n"/>
      <c r="W110" s="47" t="n"/>
      <c r="X110" s="47" t="n"/>
      <c r="Y110" s="47" t="n"/>
      <c r="Z110" s="50" t="n"/>
      <c r="AA110" s="50">
        <f>IF($A110="","",IF(OR($B110="",$E110="",$K110="",$O110="",$S110=""),"⚠ بيانات ناقصة","مكتمل"))</f>
        <v/>
      </c>
      <c r="AB110" s="51">
        <f>IF(OR($A110="",$Q110=""),"",$Q110-TODAY())</f>
        <v/>
      </c>
      <c r="AC110" s="113">
        <f>IF(OR($A110="",$O110=""),"",IFERROR(YEARFRAC($O110,TODAY(),1),"")</f>
        <v/>
      </c>
    </row>
    <row r="111">
      <c r="A111" s="39" t="n"/>
      <c r="B111" s="40" t="n"/>
      <c r="C111" s="40" t="n"/>
      <c r="D111" s="110" t="n"/>
      <c r="E111" s="39" t="n"/>
      <c r="F111" s="40" t="n"/>
      <c r="G111" s="40" t="n"/>
      <c r="H111" s="40" t="n"/>
      <c r="I111" s="40" t="n"/>
      <c r="J111" s="40" t="n"/>
      <c r="K111" s="40" t="n"/>
      <c r="L111" s="40" t="n"/>
      <c r="M111" s="40" t="n"/>
      <c r="N111" s="40" t="n"/>
      <c r="O111" s="110" t="n"/>
      <c r="P111" s="110" t="n"/>
      <c r="Q111" s="110" t="n"/>
      <c r="R111" s="40" t="n"/>
      <c r="S111" s="42" t="n"/>
      <c r="T111" s="42" t="n"/>
      <c r="U111" s="40" t="n"/>
      <c r="V111" s="40" t="n"/>
      <c r="W111" s="40" t="n"/>
      <c r="X111" s="40" t="n"/>
      <c r="Y111" s="40" t="n"/>
      <c r="Z111" s="43" t="n"/>
      <c r="AA111" s="43">
        <f>IF($A111="","",IF(OR($B111="",$E111="",$K111="",$O111="",$S111=""),"⚠ بيانات ناقصة","مكتمل"))</f>
        <v/>
      </c>
      <c r="AB111" s="44">
        <f>IF(OR($A111="",$Q111=""),"",$Q111-TODAY())</f>
        <v/>
      </c>
      <c r="AC111" s="111">
        <f>IF(OR($A111="",$O111=""),"",IFERROR(YEARFRAC($O111,TODAY(),1),"")</f>
        <v/>
      </c>
    </row>
    <row r="112">
      <c r="A112" s="46" t="n"/>
      <c r="B112" s="47" t="n"/>
      <c r="C112" s="47" t="n"/>
      <c r="D112" s="112" t="n"/>
      <c r="E112" s="46" t="n"/>
      <c r="F112" s="47" t="n"/>
      <c r="G112" s="47" t="n"/>
      <c r="H112" s="47" t="n"/>
      <c r="I112" s="47" t="n"/>
      <c r="J112" s="47" t="n"/>
      <c r="K112" s="47" t="n"/>
      <c r="L112" s="47" t="n"/>
      <c r="M112" s="47" t="n"/>
      <c r="N112" s="47" t="n"/>
      <c r="O112" s="112" t="n"/>
      <c r="P112" s="112" t="n"/>
      <c r="Q112" s="112" t="n"/>
      <c r="R112" s="47" t="n"/>
      <c r="S112" s="49" t="n"/>
      <c r="T112" s="49" t="n"/>
      <c r="U112" s="47" t="n"/>
      <c r="V112" s="47" t="n"/>
      <c r="W112" s="47" t="n"/>
      <c r="X112" s="47" t="n"/>
      <c r="Y112" s="47" t="n"/>
      <c r="Z112" s="50" t="n"/>
      <c r="AA112" s="50">
        <f>IF($A112="","",IF(OR($B112="",$E112="",$K112="",$O112="",$S112=""),"⚠ بيانات ناقصة","مكتمل"))</f>
        <v/>
      </c>
      <c r="AB112" s="51">
        <f>IF(OR($A112="",$Q112=""),"",$Q112-TODAY())</f>
        <v/>
      </c>
      <c r="AC112" s="113">
        <f>IF(OR($A112="",$O112=""),"",IFERROR(YEARFRAC($O112,TODAY(),1),"")</f>
        <v/>
      </c>
    </row>
    <row r="113">
      <c r="A113" s="39" t="n"/>
      <c r="B113" s="40" t="n"/>
      <c r="C113" s="40" t="n"/>
      <c r="D113" s="110" t="n"/>
      <c r="E113" s="39" t="n"/>
      <c r="F113" s="40" t="n"/>
      <c r="G113" s="40" t="n"/>
      <c r="H113" s="40" t="n"/>
      <c r="I113" s="40" t="n"/>
      <c r="J113" s="40" t="n"/>
      <c r="K113" s="40" t="n"/>
      <c r="L113" s="40" t="n"/>
      <c r="M113" s="40" t="n"/>
      <c r="N113" s="40" t="n"/>
      <c r="O113" s="110" t="n"/>
      <c r="P113" s="110" t="n"/>
      <c r="Q113" s="110" t="n"/>
      <c r="R113" s="40" t="n"/>
      <c r="S113" s="42" t="n"/>
      <c r="T113" s="42" t="n"/>
      <c r="U113" s="40" t="n"/>
      <c r="V113" s="40" t="n"/>
      <c r="W113" s="40" t="n"/>
      <c r="X113" s="40" t="n"/>
      <c r="Y113" s="40" t="n"/>
      <c r="Z113" s="43" t="n"/>
      <c r="AA113" s="43">
        <f>IF($A113="","",IF(OR($B113="",$E113="",$K113="",$O113="",$S113=""),"⚠ بيانات ناقصة","مكتمل"))</f>
        <v/>
      </c>
      <c r="AB113" s="44">
        <f>IF(OR($A113="",$Q113=""),"",$Q113-TODAY())</f>
        <v/>
      </c>
      <c r="AC113" s="111">
        <f>IF(OR($A113="",$O113=""),"",IFERROR(YEARFRAC($O113,TODAY(),1),"")</f>
        <v/>
      </c>
    </row>
    <row r="114">
      <c r="A114" s="46" t="n"/>
      <c r="B114" s="47" t="n"/>
      <c r="C114" s="47" t="n"/>
      <c r="D114" s="112" t="n"/>
      <c r="E114" s="46" t="n"/>
      <c r="F114" s="47" t="n"/>
      <c r="G114" s="47" t="n"/>
      <c r="H114" s="47" t="n"/>
      <c r="I114" s="47" t="n"/>
      <c r="J114" s="47" t="n"/>
      <c r="K114" s="47" t="n"/>
      <c r="L114" s="47" t="n"/>
      <c r="M114" s="47" t="n"/>
      <c r="N114" s="47" t="n"/>
      <c r="O114" s="112" t="n"/>
      <c r="P114" s="112" t="n"/>
      <c r="Q114" s="112" t="n"/>
      <c r="R114" s="47" t="n"/>
      <c r="S114" s="49" t="n"/>
      <c r="T114" s="49" t="n"/>
      <c r="U114" s="47" t="n"/>
      <c r="V114" s="47" t="n"/>
      <c r="W114" s="47" t="n"/>
      <c r="X114" s="47" t="n"/>
      <c r="Y114" s="47" t="n"/>
      <c r="Z114" s="50" t="n"/>
      <c r="AA114" s="50">
        <f>IF($A114="","",IF(OR($B114="",$E114="",$K114="",$O114="",$S114=""),"⚠ بيانات ناقصة","مكتمل"))</f>
        <v/>
      </c>
      <c r="AB114" s="51">
        <f>IF(OR($A114="",$Q114=""),"",$Q114-TODAY())</f>
        <v/>
      </c>
      <c r="AC114" s="113">
        <f>IF(OR($A114="",$O114=""),"",IFERROR(YEARFRAC($O114,TODAY(),1),"")</f>
        <v/>
      </c>
    </row>
    <row r="115">
      <c r="A115" s="39" t="n"/>
      <c r="B115" s="40" t="n"/>
      <c r="C115" s="40" t="n"/>
      <c r="D115" s="110" t="n"/>
      <c r="E115" s="39" t="n"/>
      <c r="F115" s="40" t="n"/>
      <c r="G115" s="40" t="n"/>
      <c r="H115" s="40" t="n"/>
      <c r="I115" s="40" t="n"/>
      <c r="J115" s="40" t="n"/>
      <c r="K115" s="40" t="n"/>
      <c r="L115" s="40" t="n"/>
      <c r="M115" s="40" t="n"/>
      <c r="N115" s="40" t="n"/>
      <c r="O115" s="110" t="n"/>
      <c r="P115" s="110" t="n"/>
      <c r="Q115" s="110" t="n"/>
      <c r="R115" s="40" t="n"/>
      <c r="S115" s="42" t="n"/>
      <c r="T115" s="42" t="n"/>
      <c r="U115" s="40" t="n"/>
      <c r="V115" s="40" t="n"/>
      <c r="W115" s="40" t="n"/>
      <c r="X115" s="40" t="n"/>
      <c r="Y115" s="40" t="n"/>
      <c r="Z115" s="43" t="n"/>
      <c r="AA115" s="43">
        <f>IF($A115="","",IF(OR($B115="",$E115="",$K115="",$O115="",$S115=""),"⚠ بيانات ناقصة","مكتمل"))</f>
        <v/>
      </c>
      <c r="AB115" s="44">
        <f>IF(OR($A115="",$Q115=""),"",$Q115-TODAY())</f>
        <v/>
      </c>
      <c r="AC115" s="111">
        <f>IF(OR($A115="",$O115=""),"",IFERROR(YEARFRAC($O115,TODAY(),1),"")</f>
        <v/>
      </c>
    </row>
    <row r="116">
      <c r="A116" s="46" t="n"/>
      <c r="B116" s="47" t="n"/>
      <c r="C116" s="47" t="n"/>
      <c r="D116" s="112" t="n"/>
      <c r="E116" s="46" t="n"/>
      <c r="F116" s="47" t="n"/>
      <c r="G116" s="47" t="n"/>
      <c r="H116" s="47" t="n"/>
      <c r="I116" s="47" t="n"/>
      <c r="J116" s="47" t="n"/>
      <c r="K116" s="47" t="n"/>
      <c r="L116" s="47" t="n"/>
      <c r="M116" s="47" t="n"/>
      <c r="N116" s="47" t="n"/>
      <c r="O116" s="112" t="n"/>
      <c r="P116" s="112" t="n"/>
      <c r="Q116" s="112" t="n"/>
      <c r="R116" s="47" t="n"/>
      <c r="S116" s="49" t="n"/>
      <c r="T116" s="49" t="n"/>
      <c r="U116" s="47" t="n"/>
      <c r="V116" s="47" t="n"/>
      <c r="W116" s="47" t="n"/>
      <c r="X116" s="47" t="n"/>
      <c r="Y116" s="47" t="n"/>
      <c r="Z116" s="50" t="n"/>
      <c r="AA116" s="50">
        <f>IF($A116="","",IF(OR($B116="",$E116="",$K116="",$O116="",$S116=""),"⚠ بيانات ناقصة","مكتمل"))</f>
        <v/>
      </c>
      <c r="AB116" s="51">
        <f>IF(OR($A116="",$Q116=""),"",$Q116-TODAY())</f>
        <v/>
      </c>
      <c r="AC116" s="113">
        <f>IF(OR($A116="",$O116=""),"",IFERROR(YEARFRAC($O116,TODAY(),1),"")</f>
        <v/>
      </c>
    </row>
    <row r="117">
      <c r="A117" s="39" t="n"/>
      <c r="B117" s="40" t="n"/>
      <c r="C117" s="40" t="n"/>
      <c r="D117" s="110" t="n"/>
      <c r="E117" s="39" t="n"/>
      <c r="F117" s="40" t="n"/>
      <c r="G117" s="40" t="n"/>
      <c r="H117" s="40" t="n"/>
      <c r="I117" s="40" t="n"/>
      <c r="J117" s="40" t="n"/>
      <c r="K117" s="40" t="n"/>
      <c r="L117" s="40" t="n"/>
      <c r="M117" s="40" t="n"/>
      <c r="N117" s="40" t="n"/>
      <c r="O117" s="110" t="n"/>
      <c r="P117" s="110" t="n"/>
      <c r="Q117" s="110" t="n"/>
      <c r="R117" s="40" t="n"/>
      <c r="S117" s="42" t="n"/>
      <c r="T117" s="42" t="n"/>
      <c r="U117" s="40" t="n"/>
      <c r="V117" s="40" t="n"/>
      <c r="W117" s="40" t="n"/>
      <c r="X117" s="40" t="n"/>
      <c r="Y117" s="40" t="n"/>
      <c r="Z117" s="43" t="n"/>
      <c r="AA117" s="43">
        <f>IF($A117="","",IF(OR($B117="",$E117="",$K117="",$O117="",$S117=""),"⚠ بيانات ناقصة","مكتمل"))</f>
        <v/>
      </c>
      <c r="AB117" s="44">
        <f>IF(OR($A117="",$Q117=""),"",$Q117-TODAY())</f>
        <v/>
      </c>
      <c r="AC117" s="111">
        <f>IF(OR($A117="",$O117=""),"",IFERROR(YEARFRAC($O117,TODAY(),1),"")</f>
        <v/>
      </c>
    </row>
    <row r="118">
      <c r="A118" s="46" t="n"/>
      <c r="B118" s="47" t="n"/>
      <c r="C118" s="47" t="n"/>
      <c r="D118" s="112" t="n"/>
      <c r="E118" s="46" t="n"/>
      <c r="F118" s="47" t="n"/>
      <c r="G118" s="47" t="n"/>
      <c r="H118" s="47" t="n"/>
      <c r="I118" s="47" t="n"/>
      <c r="J118" s="47" t="n"/>
      <c r="K118" s="47" t="n"/>
      <c r="L118" s="47" t="n"/>
      <c r="M118" s="47" t="n"/>
      <c r="N118" s="47" t="n"/>
      <c r="O118" s="112" t="n"/>
      <c r="P118" s="112" t="n"/>
      <c r="Q118" s="112" t="n"/>
      <c r="R118" s="47" t="n"/>
      <c r="S118" s="49" t="n"/>
      <c r="T118" s="49" t="n"/>
      <c r="U118" s="47" t="n"/>
      <c r="V118" s="47" t="n"/>
      <c r="W118" s="47" t="n"/>
      <c r="X118" s="47" t="n"/>
      <c r="Y118" s="47" t="n"/>
      <c r="Z118" s="50" t="n"/>
      <c r="AA118" s="50">
        <f>IF($A118="","",IF(OR($B118="",$E118="",$K118="",$O118="",$S118=""),"⚠ بيانات ناقصة","مكتمل"))</f>
        <v/>
      </c>
      <c r="AB118" s="51">
        <f>IF(OR($A118="",$Q118=""),"",$Q118-TODAY())</f>
        <v/>
      </c>
      <c r="AC118" s="113">
        <f>IF(OR($A118="",$O118=""),"",IFERROR(YEARFRAC($O118,TODAY(),1),"")</f>
        <v/>
      </c>
    </row>
    <row r="119">
      <c r="A119" s="39" t="n"/>
      <c r="B119" s="40" t="n"/>
      <c r="C119" s="40" t="n"/>
      <c r="D119" s="110" t="n"/>
      <c r="E119" s="39" t="n"/>
      <c r="F119" s="40" t="n"/>
      <c r="G119" s="40" t="n"/>
      <c r="H119" s="40" t="n"/>
      <c r="I119" s="40" t="n"/>
      <c r="J119" s="40" t="n"/>
      <c r="K119" s="40" t="n"/>
      <c r="L119" s="40" t="n"/>
      <c r="M119" s="40" t="n"/>
      <c r="N119" s="40" t="n"/>
      <c r="O119" s="110" t="n"/>
      <c r="P119" s="110" t="n"/>
      <c r="Q119" s="110" t="n"/>
      <c r="R119" s="40" t="n"/>
      <c r="S119" s="42" t="n"/>
      <c r="T119" s="42" t="n"/>
      <c r="U119" s="40" t="n"/>
      <c r="V119" s="40" t="n"/>
      <c r="W119" s="40" t="n"/>
      <c r="X119" s="40" t="n"/>
      <c r="Y119" s="40" t="n"/>
      <c r="Z119" s="43" t="n"/>
      <c r="AA119" s="43">
        <f>IF($A119="","",IF(OR($B119="",$E119="",$K119="",$O119="",$S119=""),"⚠ بيانات ناقصة","مكتمل"))</f>
        <v/>
      </c>
      <c r="AB119" s="44">
        <f>IF(OR($A119="",$Q119=""),"",$Q119-TODAY())</f>
        <v/>
      </c>
      <c r="AC119" s="111">
        <f>IF(OR($A119="",$O119=""),"",IFERROR(YEARFRAC($O119,TODAY(),1),"")</f>
        <v/>
      </c>
    </row>
    <row r="120">
      <c r="A120" s="46" t="n"/>
      <c r="B120" s="47" t="n"/>
      <c r="C120" s="47" t="n"/>
      <c r="D120" s="112" t="n"/>
      <c r="E120" s="46" t="n"/>
      <c r="F120" s="47" t="n"/>
      <c r="G120" s="47" t="n"/>
      <c r="H120" s="47" t="n"/>
      <c r="I120" s="47" t="n"/>
      <c r="J120" s="47" t="n"/>
      <c r="K120" s="47" t="n"/>
      <c r="L120" s="47" t="n"/>
      <c r="M120" s="47" t="n"/>
      <c r="N120" s="47" t="n"/>
      <c r="O120" s="112" t="n"/>
      <c r="P120" s="112" t="n"/>
      <c r="Q120" s="112" t="n"/>
      <c r="R120" s="47" t="n"/>
      <c r="S120" s="49" t="n"/>
      <c r="T120" s="49" t="n"/>
      <c r="U120" s="47" t="n"/>
      <c r="V120" s="47" t="n"/>
      <c r="W120" s="47" t="n"/>
      <c r="X120" s="47" t="n"/>
      <c r="Y120" s="47" t="n"/>
      <c r="Z120" s="50" t="n"/>
      <c r="AA120" s="50">
        <f>IF($A120="","",IF(OR($B120="",$E120="",$K120="",$O120="",$S120=""),"⚠ بيانات ناقصة","مكتمل"))</f>
        <v/>
      </c>
      <c r="AB120" s="51">
        <f>IF(OR($A120="",$Q120=""),"",$Q120-TODAY())</f>
        <v/>
      </c>
      <c r="AC120" s="113">
        <f>IF(OR($A120="",$O120=""),"",IFERROR(YEARFRAC($O120,TODAY(),1),"")</f>
        <v/>
      </c>
    </row>
    <row r="121">
      <c r="A121" s="39" t="n"/>
      <c r="B121" s="40" t="n"/>
      <c r="C121" s="40" t="n"/>
      <c r="D121" s="110" t="n"/>
      <c r="E121" s="39" t="n"/>
      <c r="F121" s="40" t="n"/>
      <c r="G121" s="40" t="n"/>
      <c r="H121" s="40" t="n"/>
      <c r="I121" s="40" t="n"/>
      <c r="J121" s="40" t="n"/>
      <c r="K121" s="40" t="n"/>
      <c r="L121" s="40" t="n"/>
      <c r="M121" s="40" t="n"/>
      <c r="N121" s="40" t="n"/>
      <c r="O121" s="110" t="n"/>
      <c r="P121" s="110" t="n"/>
      <c r="Q121" s="110" t="n"/>
      <c r="R121" s="40" t="n"/>
      <c r="S121" s="42" t="n"/>
      <c r="T121" s="42" t="n"/>
      <c r="U121" s="40" t="n"/>
      <c r="V121" s="40" t="n"/>
      <c r="W121" s="40" t="n"/>
      <c r="X121" s="40" t="n"/>
      <c r="Y121" s="40" t="n"/>
      <c r="Z121" s="43" t="n"/>
      <c r="AA121" s="43">
        <f>IF($A121="","",IF(OR($B121="",$E121="",$K121="",$O121="",$S121=""),"⚠ بيانات ناقصة","مكتمل"))</f>
        <v/>
      </c>
      <c r="AB121" s="44">
        <f>IF(OR($A121="",$Q121=""),"",$Q121-TODAY())</f>
        <v/>
      </c>
      <c r="AC121" s="111">
        <f>IF(OR($A121="",$O121=""),"",IFERROR(YEARFRAC($O121,TODAY(),1),"")</f>
        <v/>
      </c>
    </row>
    <row r="122">
      <c r="A122" s="46" t="n"/>
      <c r="B122" s="47" t="n"/>
      <c r="C122" s="47" t="n"/>
      <c r="D122" s="112" t="n"/>
      <c r="E122" s="46" t="n"/>
      <c r="F122" s="47" t="n"/>
      <c r="G122" s="47" t="n"/>
      <c r="H122" s="47" t="n"/>
      <c r="I122" s="47" t="n"/>
      <c r="J122" s="47" t="n"/>
      <c r="K122" s="47" t="n"/>
      <c r="L122" s="47" t="n"/>
      <c r="M122" s="47" t="n"/>
      <c r="N122" s="47" t="n"/>
      <c r="O122" s="112" t="n"/>
      <c r="P122" s="112" t="n"/>
      <c r="Q122" s="112" t="n"/>
      <c r="R122" s="47" t="n"/>
      <c r="S122" s="49" t="n"/>
      <c r="T122" s="49" t="n"/>
      <c r="U122" s="47" t="n"/>
      <c r="V122" s="47" t="n"/>
      <c r="W122" s="47" t="n"/>
      <c r="X122" s="47" t="n"/>
      <c r="Y122" s="47" t="n"/>
      <c r="Z122" s="50" t="n"/>
      <c r="AA122" s="50">
        <f>IF($A122="","",IF(OR($B122="",$E122="",$K122="",$O122="",$S122=""),"⚠ بيانات ناقصة","مكتمل"))</f>
        <v/>
      </c>
      <c r="AB122" s="51">
        <f>IF(OR($A122="",$Q122=""),"",$Q122-TODAY())</f>
        <v/>
      </c>
      <c r="AC122" s="113">
        <f>IF(OR($A122="",$O122=""),"",IFERROR(YEARFRAC($O122,TODAY(),1),"")</f>
        <v/>
      </c>
    </row>
    <row r="123">
      <c r="A123" s="39" t="n"/>
      <c r="B123" s="40" t="n"/>
      <c r="C123" s="40" t="n"/>
      <c r="D123" s="110" t="n"/>
      <c r="E123" s="39" t="n"/>
      <c r="F123" s="40" t="n"/>
      <c r="G123" s="40" t="n"/>
      <c r="H123" s="40" t="n"/>
      <c r="I123" s="40" t="n"/>
      <c r="J123" s="40" t="n"/>
      <c r="K123" s="40" t="n"/>
      <c r="L123" s="40" t="n"/>
      <c r="M123" s="40" t="n"/>
      <c r="N123" s="40" t="n"/>
      <c r="O123" s="110" t="n"/>
      <c r="P123" s="110" t="n"/>
      <c r="Q123" s="110" t="n"/>
      <c r="R123" s="40" t="n"/>
      <c r="S123" s="42" t="n"/>
      <c r="T123" s="42" t="n"/>
      <c r="U123" s="40" t="n"/>
      <c r="V123" s="40" t="n"/>
      <c r="W123" s="40" t="n"/>
      <c r="X123" s="40" t="n"/>
      <c r="Y123" s="40" t="n"/>
      <c r="Z123" s="43" t="n"/>
      <c r="AA123" s="43">
        <f>IF($A123="","",IF(OR($B123="",$E123="",$K123="",$O123="",$S123=""),"⚠ بيانات ناقصة","مكتمل"))</f>
        <v/>
      </c>
      <c r="AB123" s="44">
        <f>IF(OR($A123="",$Q123=""),"",$Q123-TODAY())</f>
        <v/>
      </c>
      <c r="AC123" s="111">
        <f>IF(OR($A123="",$O123=""),"",IFERROR(YEARFRAC($O123,TODAY(),1),"")</f>
        <v/>
      </c>
    </row>
    <row r="124">
      <c r="A124" s="46" t="n"/>
      <c r="B124" s="47" t="n"/>
      <c r="C124" s="47" t="n"/>
      <c r="D124" s="112" t="n"/>
      <c r="E124" s="46" t="n"/>
      <c r="F124" s="47" t="n"/>
      <c r="G124" s="47" t="n"/>
      <c r="H124" s="47" t="n"/>
      <c r="I124" s="47" t="n"/>
      <c r="J124" s="47" t="n"/>
      <c r="K124" s="47" t="n"/>
      <c r="L124" s="47" t="n"/>
      <c r="M124" s="47" t="n"/>
      <c r="N124" s="47" t="n"/>
      <c r="O124" s="112" t="n"/>
      <c r="P124" s="112" t="n"/>
      <c r="Q124" s="112" t="n"/>
      <c r="R124" s="47" t="n"/>
      <c r="S124" s="49" t="n"/>
      <c r="T124" s="49" t="n"/>
      <c r="U124" s="47" t="n"/>
      <c r="V124" s="47" t="n"/>
      <c r="W124" s="47" t="n"/>
      <c r="X124" s="47" t="n"/>
      <c r="Y124" s="47" t="n"/>
      <c r="Z124" s="50" t="n"/>
      <c r="AA124" s="50">
        <f>IF($A124="","",IF(OR($B124="",$E124="",$K124="",$O124="",$S124=""),"⚠ بيانات ناقصة","مكتمل"))</f>
        <v/>
      </c>
      <c r="AB124" s="51">
        <f>IF(OR($A124="",$Q124=""),"",$Q124-TODAY())</f>
        <v/>
      </c>
      <c r="AC124" s="113">
        <f>IF(OR($A124="",$O124=""),"",IFERROR(YEARFRAC($O124,TODAY(),1),"")</f>
        <v/>
      </c>
    </row>
    <row r="125">
      <c r="A125" s="39" t="n"/>
      <c r="B125" s="40" t="n"/>
      <c r="C125" s="40" t="n"/>
      <c r="D125" s="110" t="n"/>
      <c r="E125" s="39" t="n"/>
      <c r="F125" s="40" t="n"/>
      <c r="G125" s="40" t="n"/>
      <c r="H125" s="40" t="n"/>
      <c r="I125" s="40" t="n"/>
      <c r="J125" s="40" t="n"/>
      <c r="K125" s="40" t="n"/>
      <c r="L125" s="40" t="n"/>
      <c r="M125" s="40" t="n"/>
      <c r="N125" s="40" t="n"/>
      <c r="O125" s="110" t="n"/>
      <c r="P125" s="110" t="n"/>
      <c r="Q125" s="110" t="n"/>
      <c r="R125" s="40" t="n"/>
      <c r="S125" s="42" t="n"/>
      <c r="T125" s="42" t="n"/>
      <c r="U125" s="40" t="n"/>
      <c r="V125" s="40" t="n"/>
      <c r="W125" s="40" t="n"/>
      <c r="X125" s="40" t="n"/>
      <c r="Y125" s="40" t="n"/>
      <c r="Z125" s="43" t="n"/>
      <c r="AA125" s="43">
        <f>IF($A125="","",IF(OR($B125="",$E125="",$K125="",$O125="",$S125=""),"⚠ بيانات ناقصة","مكتمل"))</f>
        <v/>
      </c>
      <c r="AB125" s="44">
        <f>IF(OR($A125="",$Q125=""),"",$Q125-TODAY())</f>
        <v/>
      </c>
      <c r="AC125" s="111">
        <f>IF(OR($A125="",$O125=""),"",IFERROR(YEARFRAC($O125,TODAY(),1),"")</f>
        <v/>
      </c>
    </row>
    <row r="126">
      <c r="A126" s="46" t="n"/>
      <c r="B126" s="47" t="n"/>
      <c r="C126" s="47" t="n"/>
      <c r="D126" s="112" t="n"/>
      <c r="E126" s="46" t="n"/>
      <c r="F126" s="47" t="n"/>
      <c r="G126" s="47" t="n"/>
      <c r="H126" s="47" t="n"/>
      <c r="I126" s="47" t="n"/>
      <c r="J126" s="47" t="n"/>
      <c r="K126" s="47" t="n"/>
      <c r="L126" s="47" t="n"/>
      <c r="M126" s="47" t="n"/>
      <c r="N126" s="47" t="n"/>
      <c r="O126" s="112" t="n"/>
      <c r="P126" s="112" t="n"/>
      <c r="Q126" s="112" t="n"/>
      <c r="R126" s="47" t="n"/>
      <c r="S126" s="49" t="n"/>
      <c r="T126" s="49" t="n"/>
      <c r="U126" s="47" t="n"/>
      <c r="V126" s="47" t="n"/>
      <c r="W126" s="47" t="n"/>
      <c r="X126" s="47" t="n"/>
      <c r="Y126" s="47" t="n"/>
      <c r="Z126" s="50" t="n"/>
      <c r="AA126" s="50">
        <f>IF($A126="","",IF(OR($B126="",$E126="",$K126="",$O126="",$S126=""),"⚠ بيانات ناقصة","مكتمل"))</f>
        <v/>
      </c>
      <c r="AB126" s="51">
        <f>IF(OR($A126="",$Q126=""),"",$Q126-TODAY())</f>
        <v/>
      </c>
      <c r="AC126" s="113">
        <f>IF(OR($A126="",$O126=""),"",IFERROR(YEARFRAC($O126,TODAY(),1),"")</f>
        <v/>
      </c>
    </row>
    <row r="127">
      <c r="A127" s="39" t="n"/>
      <c r="B127" s="40" t="n"/>
      <c r="C127" s="40" t="n"/>
      <c r="D127" s="110" t="n"/>
      <c r="E127" s="39" t="n"/>
      <c r="F127" s="40" t="n"/>
      <c r="G127" s="40" t="n"/>
      <c r="H127" s="40" t="n"/>
      <c r="I127" s="40" t="n"/>
      <c r="J127" s="40" t="n"/>
      <c r="K127" s="40" t="n"/>
      <c r="L127" s="40" t="n"/>
      <c r="M127" s="40" t="n"/>
      <c r="N127" s="40" t="n"/>
      <c r="O127" s="110" t="n"/>
      <c r="P127" s="110" t="n"/>
      <c r="Q127" s="110" t="n"/>
      <c r="R127" s="40" t="n"/>
      <c r="S127" s="42" t="n"/>
      <c r="T127" s="42" t="n"/>
      <c r="U127" s="40" t="n"/>
      <c r="V127" s="40" t="n"/>
      <c r="W127" s="40" t="n"/>
      <c r="X127" s="40" t="n"/>
      <c r="Y127" s="40" t="n"/>
      <c r="Z127" s="43" t="n"/>
      <c r="AA127" s="43">
        <f>IF($A127="","",IF(OR($B127="",$E127="",$K127="",$O127="",$S127=""),"⚠ بيانات ناقصة","مكتمل"))</f>
        <v/>
      </c>
      <c r="AB127" s="44">
        <f>IF(OR($A127="",$Q127=""),"",$Q127-TODAY())</f>
        <v/>
      </c>
      <c r="AC127" s="111">
        <f>IF(OR($A127="",$O127=""),"",IFERROR(YEARFRAC($O127,TODAY(),1),"")</f>
        <v/>
      </c>
    </row>
    <row r="128">
      <c r="A128" s="46" t="n"/>
      <c r="B128" s="47" t="n"/>
      <c r="C128" s="47" t="n"/>
      <c r="D128" s="112" t="n"/>
      <c r="E128" s="46" t="n"/>
      <c r="F128" s="47" t="n"/>
      <c r="G128" s="47" t="n"/>
      <c r="H128" s="47" t="n"/>
      <c r="I128" s="47" t="n"/>
      <c r="J128" s="47" t="n"/>
      <c r="K128" s="47" t="n"/>
      <c r="L128" s="47" t="n"/>
      <c r="M128" s="47" t="n"/>
      <c r="N128" s="47" t="n"/>
      <c r="O128" s="112" t="n"/>
      <c r="P128" s="112" t="n"/>
      <c r="Q128" s="112" t="n"/>
      <c r="R128" s="47" t="n"/>
      <c r="S128" s="49" t="n"/>
      <c r="T128" s="49" t="n"/>
      <c r="U128" s="47" t="n"/>
      <c r="V128" s="47" t="n"/>
      <c r="W128" s="47" t="n"/>
      <c r="X128" s="47" t="n"/>
      <c r="Y128" s="47" t="n"/>
      <c r="Z128" s="50" t="n"/>
      <c r="AA128" s="50">
        <f>IF($A128="","",IF(OR($B128="",$E128="",$K128="",$O128="",$S128=""),"⚠ بيانات ناقصة","مكتمل"))</f>
        <v/>
      </c>
      <c r="AB128" s="51">
        <f>IF(OR($A128="",$Q128=""),"",$Q128-TODAY())</f>
        <v/>
      </c>
      <c r="AC128" s="113">
        <f>IF(OR($A128="",$O128=""),"",IFERROR(YEARFRAC($O128,TODAY(),1),"")</f>
        <v/>
      </c>
    </row>
    <row r="129">
      <c r="A129" s="39" t="n"/>
      <c r="B129" s="40" t="n"/>
      <c r="C129" s="40" t="n"/>
      <c r="D129" s="110" t="n"/>
      <c r="E129" s="39" t="n"/>
      <c r="F129" s="40" t="n"/>
      <c r="G129" s="40" t="n"/>
      <c r="H129" s="40" t="n"/>
      <c r="I129" s="40" t="n"/>
      <c r="J129" s="40" t="n"/>
      <c r="K129" s="40" t="n"/>
      <c r="L129" s="40" t="n"/>
      <c r="M129" s="40" t="n"/>
      <c r="N129" s="40" t="n"/>
      <c r="O129" s="110" t="n"/>
      <c r="P129" s="110" t="n"/>
      <c r="Q129" s="110" t="n"/>
      <c r="R129" s="40" t="n"/>
      <c r="S129" s="42" t="n"/>
      <c r="T129" s="42" t="n"/>
      <c r="U129" s="40" t="n"/>
      <c r="V129" s="40" t="n"/>
      <c r="W129" s="40" t="n"/>
      <c r="X129" s="40" t="n"/>
      <c r="Y129" s="40" t="n"/>
      <c r="Z129" s="43" t="n"/>
      <c r="AA129" s="43">
        <f>IF($A129="","",IF(OR($B129="",$E129="",$K129="",$O129="",$S129=""),"⚠ بيانات ناقصة","مكتمل"))</f>
        <v/>
      </c>
      <c r="AB129" s="44">
        <f>IF(OR($A129="",$Q129=""),"",$Q129-TODAY())</f>
        <v/>
      </c>
      <c r="AC129" s="111">
        <f>IF(OR($A129="",$O129=""),"",IFERROR(YEARFRAC($O129,TODAY(),1),"")</f>
        <v/>
      </c>
    </row>
    <row r="130">
      <c r="A130" s="46" t="n"/>
      <c r="B130" s="47" t="n"/>
      <c r="C130" s="47" t="n"/>
      <c r="D130" s="112" t="n"/>
      <c r="E130" s="46" t="n"/>
      <c r="F130" s="47" t="n"/>
      <c r="G130" s="47" t="n"/>
      <c r="H130" s="47" t="n"/>
      <c r="I130" s="47" t="n"/>
      <c r="J130" s="47" t="n"/>
      <c r="K130" s="47" t="n"/>
      <c r="L130" s="47" t="n"/>
      <c r="M130" s="47" t="n"/>
      <c r="N130" s="47" t="n"/>
      <c r="O130" s="112" t="n"/>
      <c r="P130" s="112" t="n"/>
      <c r="Q130" s="112" t="n"/>
      <c r="R130" s="47" t="n"/>
      <c r="S130" s="49" t="n"/>
      <c r="T130" s="49" t="n"/>
      <c r="U130" s="47" t="n"/>
      <c r="V130" s="47" t="n"/>
      <c r="W130" s="47" t="n"/>
      <c r="X130" s="47" t="n"/>
      <c r="Y130" s="47" t="n"/>
      <c r="Z130" s="50" t="n"/>
      <c r="AA130" s="50">
        <f>IF($A130="","",IF(OR($B130="",$E130="",$K130="",$O130="",$S130=""),"⚠ بيانات ناقصة","مكتمل"))</f>
        <v/>
      </c>
      <c r="AB130" s="51">
        <f>IF(OR($A130="",$Q130=""),"",$Q130-TODAY())</f>
        <v/>
      </c>
      <c r="AC130" s="113">
        <f>IF(OR($A130="",$O130=""),"",IFERROR(YEARFRAC($O130,TODAY(),1),"")</f>
        <v/>
      </c>
    </row>
    <row r="131">
      <c r="A131" s="39" t="n"/>
      <c r="B131" s="40" t="n"/>
      <c r="C131" s="40" t="n"/>
      <c r="D131" s="110" t="n"/>
      <c r="E131" s="39" t="n"/>
      <c r="F131" s="40" t="n"/>
      <c r="G131" s="40" t="n"/>
      <c r="H131" s="40" t="n"/>
      <c r="I131" s="40" t="n"/>
      <c r="J131" s="40" t="n"/>
      <c r="K131" s="40" t="n"/>
      <c r="L131" s="40" t="n"/>
      <c r="M131" s="40" t="n"/>
      <c r="N131" s="40" t="n"/>
      <c r="O131" s="110" t="n"/>
      <c r="P131" s="110" t="n"/>
      <c r="Q131" s="110" t="n"/>
      <c r="R131" s="40" t="n"/>
      <c r="S131" s="42" t="n"/>
      <c r="T131" s="42" t="n"/>
      <c r="U131" s="40" t="n"/>
      <c r="V131" s="40" t="n"/>
      <c r="W131" s="40" t="n"/>
      <c r="X131" s="40" t="n"/>
      <c r="Y131" s="40" t="n"/>
      <c r="Z131" s="43" t="n"/>
      <c r="AA131" s="43">
        <f>IF($A131="","",IF(OR($B131="",$E131="",$K131="",$O131="",$S131=""),"⚠ بيانات ناقصة","مكتمل"))</f>
        <v/>
      </c>
      <c r="AB131" s="44">
        <f>IF(OR($A131="",$Q131=""),"",$Q131-TODAY())</f>
        <v/>
      </c>
      <c r="AC131" s="111">
        <f>IF(OR($A131="",$O131=""),"",IFERROR(YEARFRAC($O131,TODAY(),1),"")</f>
        <v/>
      </c>
    </row>
    <row r="132">
      <c r="A132" s="46" t="n"/>
      <c r="B132" s="47" t="n"/>
      <c r="C132" s="47" t="n"/>
      <c r="D132" s="112" t="n"/>
      <c r="E132" s="46" t="n"/>
      <c r="F132" s="47" t="n"/>
      <c r="G132" s="47" t="n"/>
      <c r="H132" s="47" t="n"/>
      <c r="I132" s="47" t="n"/>
      <c r="J132" s="47" t="n"/>
      <c r="K132" s="47" t="n"/>
      <c r="L132" s="47" t="n"/>
      <c r="M132" s="47" t="n"/>
      <c r="N132" s="47" t="n"/>
      <c r="O132" s="112" t="n"/>
      <c r="P132" s="112" t="n"/>
      <c r="Q132" s="112" t="n"/>
      <c r="R132" s="47" t="n"/>
      <c r="S132" s="49" t="n"/>
      <c r="T132" s="49" t="n"/>
      <c r="U132" s="47" t="n"/>
      <c r="V132" s="47" t="n"/>
      <c r="W132" s="47" t="n"/>
      <c r="X132" s="47" t="n"/>
      <c r="Y132" s="47" t="n"/>
      <c r="Z132" s="50" t="n"/>
      <c r="AA132" s="50">
        <f>IF($A132="","",IF(OR($B132="",$E132="",$K132="",$O132="",$S132=""),"⚠ بيانات ناقصة","مكتمل"))</f>
        <v/>
      </c>
      <c r="AB132" s="51">
        <f>IF(OR($A132="",$Q132=""),"",$Q132-TODAY())</f>
        <v/>
      </c>
      <c r="AC132" s="113">
        <f>IF(OR($A132="",$O132=""),"",IFERROR(YEARFRAC($O132,TODAY(),1),"")</f>
        <v/>
      </c>
    </row>
    <row r="133">
      <c r="A133" s="39" t="n"/>
      <c r="B133" s="40" t="n"/>
      <c r="C133" s="40" t="n"/>
      <c r="D133" s="110" t="n"/>
      <c r="E133" s="39" t="n"/>
      <c r="F133" s="40" t="n"/>
      <c r="G133" s="40" t="n"/>
      <c r="H133" s="40" t="n"/>
      <c r="I133" s="40" t="n"/>
      <c r="J133" s="40" t="n"/>
      <c r="K133" s="40" t="n"/>
      <c r="L133" s="40" t="n"/>
      <c r="M133" s="40" t="n"/>
      <c r="N133" s="40" t="n"/>
      <c r="O133" s="110" t="n"/>
      <c r="P133" s="110" t="n"/>
      <c r="Q133" s="110" t="n"/>
      <c r="R133" s="40" t="n"/>
      <c r="S133" s="42" t="n"/>
      <c r="T133" s="42" t="n"/>
      <c r="U133" s="40" t="n"/>
      <c r="V133" s="40" t="n"/>
      <c r="W133" s="40" t="n"/>
      <c r="X133" s="40" t="n"/>
      <c r="Y133" s="40" t="n"/>
      <c r="Z133" s="43" t="n"/>
      <c r="AA133" s="43">
        <f>IF($A133="","",IF(OR($B133="",$E133="",$K133="",$O133="",$S133=""),"⚠ بيانات ناقصة","مكتمل"))</f>
        <v/>
      </c>
      <c r="AB133" s="44">
        <f>IF(OR($A133="",$Q133=""),"",$Q133-TODAY())</f>
        <v/>
      </c>
      <c r="AC133" s="111">
        <f>IF(OR($A133="",$O133=""),"",IFERROR(YEARFRAC($O133,TODAY(),1),"")</f>
        <v/>
      </c>
    </row>
    <row r="134">
      <c r="A134" s="46" t="n"/>
      <c r="B134" s="47" t="n"/>
      <c r="C134" s="47" t="n"/>
      <c r="D134" s="112" t="n"/>
      <c r="E134" s="46" t="n"/>
      <c r="F134" s="47" t="n"/>
      <c r="G134" s="47" t="n"/>
      <c r="H134" s="47" t="n"/>
      <c r="I134" s="47" t="n"/>
      <c r="J134" s="47" t="n"/>
      <c r="K134" s="47" t="n"/>
      <c r="L134" s="47" t="n"/>
      <c r="M134" s="47" t="n"/>
      <c r="N134" s="47" t="n"/>
      <c r="O134" s="112" t="n"/>
      <c r="P134" s="112" t="n"/>
      <c r="Q134" s="112" t="n"/>
      <c r="R134" s="47" t="n"/>
      <c r="S134" s="49" t="n"/>
      <c r="T134" s="49" t="n"/>
      <c r="U134" s="47" t="n"/>
      <c r="V134" s="47" t="n"/>
      <c r="W134" s="47" t="n"/>
      <c r="X134" s="47" t="n"/>
      <c r="Y134" s="47" t="n"/>
      <c r="Z134" s="50" t="n"/>
      <c r="AA134" s="50">
        <f>IF($A134="","",IF(OR($B134="",$E134="",$K134="",$O134="",$S134=""),"⚠ بيانات ناقصة","مكتمل"))</f>
        <v/>
      </c>
      <c r="AB134" s="51">
        <f>IF(OR($A134="",$Q134=""),"",$Q134-TODAY())</f>
        <v/>
      </c>
      <c r="AC134" s="113">
        <f>IF(OR($A134="",$O134=""),"",IFERROR(YEARFRAC($O134,TODAY(),1),"")</f>
        <v/>
      </c>
    </row>
    <row r="135">
      <c r="A135" s="39" t="n"/>
      <c r="B135" s="40" t="n"/>
      <c r="C135" s="40" t="n"/>
      <c r="D135" s="110" t="n"/>
      <c r="E135" s="39" t="n"/>
      <c r="F135" s="40" t="n"/>
      <c r="G135" s="40" t="n"/>
      <c r="H135" s="40" t="n"/>
      <c r="I135" s="40" t="n"/>
      <c r="J135" s="40" t="n"/>
      <c r="K135" s="40" t="n"/>
      <c r="L135" s="40" t="n"/>
      <c r="M135" s="40" t="n"/>
      <c r="N135" s="40" t="n"/>
      <c r="O135" s="110" t="n"/>
      <c r="P135" s="110" t="n"/>
      <c r="Q135" s="110" t="n"/>
      <c r="R135" s="40" t="n"/>
      <c r="S135" s="42" t="n"/>
      <c r="T135" s="42" t="n"/>
      <c r="U135" s="40" t="n"/>
      <c r="V135" s="40" t="n"/>
      <c r="W135" s="40" t="n"/>
      <c r="X135" s="40" t="n"/>
      <c r="Y135" s="40" t="n"/>
      <c r="Z135" s="43" t="n"/>
      <c r="AA135" s="43">
        <f>IF($A135="","",IF(OR($B135="",$E135="",$K135="",$O135="",$S135=""),"⚠ بيانات ناقصة","مكتمل"))</f>
        <v/>
      </c>
      <c r="AB135" s="44">
        <f>IF(OR($A135="",$Q135=""),"",$Q135-TODAY())</f>
        <v/>
      </c>
      <c r="AC135" s="111">
        <f>IF(OR($A135="",$O135=""),"",IFERROR(YEARFRAC($O135,TODAY(),1),"")</f>
        <v/>
      </c>
    </row>
    <row r="136">
      <c r="A136" s="46" t="n"/>
      <c r="B136" s="47" t="n"/>
      <c r="C136" s="47" t="n"/>
      <c r="D136" s="112" t="n"/>
      <c r="E136" s="46" t="n"/>
      <c r="F136" s="47" t="n"/>
      <c r="G136" s="47" t="n"/>
      <c r="H136" s="47" t="n"/>
      <c r="I136" s="47" t="n"/>
      <c r="J136" s="47" t="n"/>
      <c r="K136" s="47" t="n"/>
      <c r="L136" s="47" t="n"/>
      <c r="M136" s="47" t="n"/>
      <c r="N136" s="47" t="n"/>
      <c r="O136" s="112" t="n"/>
      <c r="P136" s="112" t="n"/>
      <c r="Q136" s="112" t="n"/>
      <c r="R136" s="47" t="n"/>
      <c r="S136" s="49" t="n"/>
      <c r="T136" s="49" t="n"/>
      <c r="U136" s="47" t="n"/>
      <c r="V136" s="47" t="n"/>
      <c r="W136" s="47" t="n"/>
      <c r="X136" s="47" t="n"/>
      <c r="Y136" s="47" t="n"/>
      <c r="Z136" s="50" t="n"/>
      <c r="AA136" s="50">
        <f>IF($A136="","",IF(OR($B136="",$E136="",$K136="",$O136="",$S136=""),"⚠ بيانات ناقصة","مكتمل"))</f>
        <v/>
      </c>
      <c r="AB136" s="51">
        <f>IF(OR($A136="",$Q136=""),"",$Q136-TODAY())</f>
        <v/>
      </c>
      <c r="AC136" s="113">
        <f>IF(OR($A136="",$O136=""),"",IFERROR(YEARFRAC($O136,TODAY(),1),"")</f>
        <v/>
      </c>
    </row>
    <row r="137">
      <c r="A137" s="39" t="n"/>
      <c r="B137" s="40" t="n"/>
      <c r="C137" s="40" t="n"/>
      <c r="D137" s="110" t="n"/>
      <c r="E137" s="39" t="n"/>
      <c r="F137" s="40" t="n"/>
      <c r="G137" s="40" t="n"/>
      <c r="H137" s="40" t="n"/>
      <c r="I137" s="40" t="n"/>
      <c r="J137" s="40" t="n"/>
      <c r="K137" s="40" t="n"/>
      <c r="L137" s="40" t="n"/>
      <c r="M137" s="40" t="n"/>
      <c r="N137" s="40" t="n"/>
      <c r="O137" s="110" t="n"/>
      <c r="P137" s="110" t="n"/>
      <c r="Q137" s="110" t="n"/>
      <c r="R137" s="40" t="n"/>
      <c r="S137" s="42" t="n"/>
      <c r="T137" s="42" t="n"/>
      <c r="U137" s="40" t="n"/>
      <c r="V137" s="40" t="n"/>
      <c r="W137" s="40" t="n"/>
      <c r="X137" s="40" t="n"/>
      <c r="Y137" s="40" t="n"/>
      <c r="Z137" s="43" t="n"/>
      <c r="AA137" s="43">
        <f>IF($A137="","",IF(OR($B137="",$E137="",$K137="",$O137="",$S137=""),"⚠ بيانات ناقصة","مكتمل"))</f>
        <v/>
      </c>
      <c r="AB137" s="44">
        <f>IF(OR($A137="",$Q137=""),"",$Q137-TODAY())</f>
        <v/>
      </c>
      <c r="AC137" s="111">
        <f>IF(OR($A137="",$O137=""),"",IFERROR(YEARFRAC($O137,TODAY(),1),"")</f>
        <v/>
      </c>
    </row>
    <row r="138">
      <c r="A138" s="46" t="n"/>
      <c r="B138" s="47" t="n"/>
      <c r="C138" s="47" t="n"/>
      <c r="D138" s="112" t="n"/>
      <c r="E138" s="46" t="n"/>
      <c r="F138" s="47" t="n"/>
      <c r="G138" s="47" t="n"/>
      <c r="H138" s="47" t="n"/>
      <c r="I138" s="47" t="n"/>
      <c r="J138" s="47" t="n"/>
      <c r="K138" s="47" t="n"/>
      <c r="L138" s="47" t="n"/>
      <c r="M138" s="47" t="n"/>
      <c r="N138" s="47" t="n"/>
      <c r="O138" s="112" t="n"/>
      <c r="P138" s="112" t="n"/>
      <c r="Q138" s="112" t="n"/>
      <c r="R138" s="47" t="n"/>
      <c r="S138" s="49" t="n"/>
      <c r="T138" s="49" t="n"/>
      <c r="U138" s="47" t="n"/>
      <c r="V138" s="47" t="n"/>
      <c r="W138" s="47" t="n"/>
      <c r="X138" s="47" t="n"/>
      <c r="Y138" s="47" t="n"/>
      <c r="Z138" s="50" t="n"/>
      <c r="AA138" s="50">
        <f>IF($A138="","",IF(OR($B138="",$E138="",$K138="",$O138="",$S138=""),"⚠ بيانات ناقصة","مكتمل"))</f>
        <v/>
      </c>
      <c r="AB138" s="51">
        <f>IF(OR($A138="",$Q138=""),"",$Q138-TODAY())</f>
        <v/>
      </c>
      <c r="AC138" s="113">
        <f>IF(OR($A138="",$O138=""),"",IFERROR(YEARFRAC($O138,TODAY(),1),"")</f>
        <v/>
      </c>
    </row>
    <row r="139">
      <c r="A139" s="39" t="n"/>
      <c r="B139" s="40" t="n"/>
      <c r="C139" s="40" t="n"/>
      <c r="D139" s="110" t="n"/>
      <c r="E139" s="39" t="n"/>
      <c r="F139" s="40" t="n"/>
      <c r="G139" s="40" t="n"/>
      <c r="H139" s="40" t="n"/>
      <c r="I139" s="40" t="n"/>
      <c r="J139" s="40" t="n"/>
      <c r="K139" s="40" t="n"/>
      <c r="L139" s="40" t="n"/>
      <c r="M139" s="40" t="n"/>
      <c r="N139" s="40" t="n"/>
      <c r="O139" s="110" t="n"/>
      <c r="P139" s="110" t="n"/>
      <c r="Q139" s="110" t="n"/>
      <c r="R139" s="40" t="n"/>
      <c r="S139" s="42" t="n"/>
      <c r="T139" s="42" t="n"/>
      <c r="U139" s="40" t="n"/>
      <c r="V139" s="40" t="n"/>
      <c r="W139" s="40" t="n"/>
      <c r="X139" s="40" t="n"/>
      <c r="Y139" s="40" t="n"/>
      <c r="Z139" s="43" t="n"/>
      <c r="AA139" s="43">
        <f>IF($A139="","",IF(OR($B139="",$E139="",$K139="",$O139="",$S139=""),"⚠ بيانات ناقصة","مكتمل"))</f>
        <v/>
      </c>
      <c r="AB139" s="44">
        <f>IF(OR($A139="",$Q139=""),"",$Q139-TODAY())</f>
        <v/>
      </c>
      <c r="AC139" s="111">
        <f>IF(OR($A139="",$O139=""),"",IFERROR(YEARFRAC($O139,TODAY(),1),"")</f>
        <v/>
      </c>
    </row>
    <row r="140">
      <c r="A140" s="46" t="n"/>
      <c r="B140" s="47" t="n"/>
      <c r="C140" s="47" t="n"/>
      <c r="D140" s="112" t="n"/>
      <c r="E140" s="46" t="n"/>
      <c r="F140" s="47" t="n"/>
      <c r="G140" s="47" t="n"/>
      <c r="H140" s="47" t="n"/>
      <c r="I140" s="47" t="n"/>
      <c r="J140" s="47" t="n"/>
      <c r="K140" s="47" t="n"/>
      <c r="L140" s="47" t="n"/>
      <c r="M140" s="47" t="n"/>
      <c r="N140" s="47" t="n"/>
      <c r="O140" s="112" t="n"/>
      <c r="P140" s="112" t="n"/>
      <c r="Q140" s="112" t="n"/>
      <c r="R140" s="47" t="n"/>
      <c r="S140" s="49" t="n"/>
      <c r="T140" s="49" t="n"/>
      <c r="U140" s="47" t="n"/>
      <c r="V140" s="47" t="n"/>
      <c r="W140" s="47" t="n"/>
      <c r="X140" s="47" t="n"/>
      <c r="Y140" s="47" t="n"/>
      <c r="Z140" s="50" t="n"/>
      <c r="AA140" s="50">
        <f>IF($A140="","",IF(OR($B140="",$E140="",$K140="",$O140="",$S140=""),"⚠ بيانات ناقصة","مكتمل"))</f>
        <v/>
      </c>
      <c r="AB140" s="51">
        <f>IF(OR($A140="",$Q140=""),"",$Q140-TODAY())</f>
        <v/>
      </c>
      <c r="AC140" s="113">
        <f>IF(OR($A140="",$O140=""),"",IFERROR(YEARFRAC($O140,TODAY(),1),"")</f>
        <v/>
      </c>
    </row>
    <row r="141">
      <c r="A141" s="39" t="n"/>
      <c r="B141" s="40" t="n"/>
      <c r="C141" s="40" t="n"/>
      <c r="D141" s="110" t="n"/>
      <c r="E141" s="39" t="n"/>
      <c r="F141" s="40" t="n"/>
      <c r="G141" s="40" t="n"/>
      <c r="H141" s="40" t="n"/>
      <c r="I141" s="40" t="n"/>
      <c r="J141" s="40" t="n"/>
      <c r="K141" s="40" t="n"/>
      <c r="L141" s="40" t="n"/>
      <c r="M141" s="40" t="n"/>
      <c r="N141" s="40" t="n"/>
      <c r="O141" s="110" t="n"/>
      <c r="P141" s="110" t="n"/>
      <c r="Q141" s="110" t="n"/>
      <c r="R141" s="40" t="n"/>
      <c r="S141" s="42" t="n"/>
      <c r="T141" s="42" t="n"/>
      <c r="U141" s="40" t="n"/>
      <c r="V141" s="40" t="n"/>
      <c r="W141" s="40" t="n"/>
      <c r="X141" s="40" t="n"/>
      <c r="Y141" s="40" t="n"/>
      <c r="Z141" s="43" t="n"/>
      <c r="AA141" s="43">
        <f>IF($A141="","",IF(OR($B141="",$E141="",$K141="",$O141="",$S141=""),"⚠ بيانات ناقصة","مكتمل"))</f>
        <v/>
      </c>
      <c r="AB141" s="44">
        <f>IF(OR($A141="",$Q141=""),"",$Q141-TODAY())</f>
        <v/>
      </c>
      <c r="AC141" s="111">
        <f>IF(OR($A141="",$O141=""),"",IFERROR(YEARFRAC($O141,TODAY(),1),"")</f>
        <v/>
      </c>
    </row>
    <row r="142">
      <c r="A142" s="46" t="n"/>
      <c r="B142" s="47" t="n"/>
      <c r="C142" s="47" t="n"/>
      <c r="D142" s="112" t="n"/>
      <c r="E142" s="46" t="n"/>
      <c r="F142" s="47" t="n"/>
      <c r="G142" s="47" t="n"/>
      <c r="H142" s="47" t="n"/>
      <c r="I142" s="47" t="n"/>
      <c r="J142" s="47" t="n"/>
      <c r="K142" s="47" t="n"/>
      <c r="L142" s="47" t="n"/>
      <c r="M142" s="47" t="n"/>
      <c r="N142" s="47" t="n"/>
      <c r="O142" s="112" t="n"/>
      <c r="P142" s="112" t="n"/>
      <c r="Q142" s="112" t="n"/>
      <c r="R142" s="47" t="n"/>
      <c r="S142" s="49" t="n"/>
      <c r="T142" s="49" t="n"/>
      <c r="U142" s="47" t="n"/>
      <c r="V142" s="47" t="n"/>
      <c r="W142" s="47" t="n"/>
      <c r="X142" s="47" t="n"/>
      <c r="Y142" s="47" t="n"/>
      <c r="Z142" s="50" t="n"/>
      <c r="AA142" s="50">
        <f>IF($A142="","",IF(OR($B142="",$E142="",$K142="",$O142="",$S142=""),"⚠ بيانات ناقصة","مكتمل"))</f>
        <v/>
      </c>
      <c r="AB142" s="51">
        <f>IF(OR($A142="",$Q142=""),"",$Q142-TODAY())</f>
        <v/>
      </c>
      <c r="AC142" s="113">
        <f>IF(OR($A142="",$O142=""),"",IFERROR(YEARFRAC($O142,TODAY(),1),"")</f>
        <v/>
      </c>
    </row>
    <row r="143">
      <c r="A143" s="39" t="n"/>
      <c r="B143" s="40" t="n"/>
      <c r="C143" s="40" t="n"/>
      <c r="D143" s="110" t="n"/>
      <c r="E143" s="39" t="n"/>
      <c r="F143" s="40" t="n"/>
      <c r="G143" s="40" t="n"/>
      <c r="H143" s="40" t="n"/>
      <c r="I143" s="40" t="n"/>
      <c r="J143" s="40" t="n"/>
      <c r="K143" s="40" t="n"/>
      <c r="L143" s="40" t="n"/>
      <c r="M143" s="40" t="n"/>
      <c r="N143" s="40" t="n"/>
      <c r="O143" s="110" t="n"/>
      <c r="P143" s="110" t="n"/>
      <c r="Q143" s="110" t="n"/>
      <c r="R143" s="40" t="n"/>
      <c r="S143" s="42" t="n"/>
      <c r="T143" s="42" t="n"/>
      <c r="U143" s="40" t="n"/>
      <c r="V143" s="40" t="n"/>
      <c r="W143" s="40" t="n"/>
      <c r="X143" s="40" t="n"/>
      <c r="Y143" s="40" t="n"/>
      <c r="Z143" s="43" t="n"/>
      <c r="AA143" s="43">
        <f>IF($A143="","",IF(OR($B143="",$E143="",$K143="",$O143="",$S143=""),"⚠ بيانات ناقصة","مكتمل"))</f>
        <v/>
      </c>
      <c r="AB143" s="44">
        <f>IF(OR($A143="",$Q143=""),"",$Q143-TODAY())</f>
        <v/>
      </c>
      <c r="AC143" s="111">
        <f>IF(OR($A143="",$O143=""),"",IFERROR(YEARFRAC($O143,TODAY(),1),"")</f>
        <v/>
      </c>
    </row>
    <row r="144">
      <c r="A144" s="46" t="n"/>
      <c r="B144" s="47" t="n"/>
      <c r="C144" s="47" t="n"/>
      <c r="D144" s="112" t="n"/>
      <c r="E144" s="46" t="n"/>
      <c r="F144" s="47" t="n"/>
      <c r="G144" s="47" t="n"/>
      <c r="H144" s="47" t="n"/>
      <c r="I144" s="47" t="n"/>
      <c r="J144" s="47" t="n"/>
      <c r="K144" s="47" t="n"/>
      <c r="L144" s="47" t="n"/>
      <c r="M144" s="47" t="n"/>
      <c r="N144" s="47" t="n"/>
      <c r="O144" s="112" t="n"/>
      <c r="P144" s="112" t="n"/>
      <c r="Q144" s="112" t="n"/>
      <c r="R144" s="47" t="n"/>
      <c r="S144" s="49" t="n"/>
      <c r="T144" s="49" t="n"/>
      <c r="U144" s="47" t="n"/>
      <c r="V144" s="47" t="n"/>
      <c r="W144" s="47" t="n"/>
      <c r="X144" s="47" t="n"/>
      <c r="Y144" s="47" t="n"/>
      <c r="Z144" s="50" t="n"/>
      <c r="AA144" s="50">
        <f>IF($A144="","",IF(OR($B144="",$E144="",$K144="",$O144="",$S144=""),"⚠ بيانات ناقصة","مكتمل"))</f>
        <v/>
      </c>
      <c r="AB144" s="51">
        <f>IF(OR($A144="",$Q144=""),"",$Q144-TODAY())</f>
        <v/>
      </c>
      <c r="AC144" s="113">
        <f>IF(OR($A144="",$O144=""),"",IFERROR(YEARFRAC($O144,TODAY(),1),"")</f>
        <v/>
      </c>
    </row>
    <row r="145">
      <c r="A145" s="39" t="n"/>
      <c r="B145" s="40" t="n"/>
      <c r="C145" s="40" t="n"/>
      <c r="D145" s="110" t="n"/>
      <c r="E145" s="39" t="n"/>
      <c r="F145" s="40" t="n"/>
      <c r="G145" s="40" t="n"/>
      <c r="H145" s="40" t="n"/>
      <c r="I145" s="40" t="n"/>
      <c r="J145" s="40" t="n"/>
      <c r="K145" s="40" t="n"/>
      <c r="L145" s="40" t="n"/>
      <c r="M145" s="40" t="n"/>
      <c r="N145" s="40" t="n"/>
      <c r="O145" s="110" t="n"/>
      <c r="P145" s="110" t="n"/>
      <c r="Q145" s="110" t="n"/>
      <c r="R145" s="40" t="n"/>
      <c r="S145" s="42" t="n"/>
      <c r="T145" s="42" t="n"/>
      <c r="U145" s="40" t="n"/>
      <c r="V145" s="40" t="n"/>
      <c r="W145" s="40" t="n"/>
      <c r="X145" s="40" t="n"/>
      <c r="Y145" s="40" t="n"/>
      <c r="Z145" s="43" t="n"/>
      <c r="AA145" s="43">
        <f>IF($A145="","",IF(OR($B145="",$E145="",$K145="",$O145="",$S145=""),"⚠ بيانات ناقصة","مكتمل"))</f>
        <v/>
      </c>
      <c r="AB145" s="44">
        <f>IF(OR($A145="",$Q145=""),"",$Q145-TODAY())</f>
        <v/>
      </c>
      <c r="AC145" s="111">
        <f>IF(OR($A145="",$O145=""),"",IFERROR(YEARFRAC($O145,TODAY(),1),"")</f>
        <v/>
      </c>
    </row>
    <row r="146">
      <c r="A146" s="46" t="n"/>
      <c r="B146" s="47" t="n"/>
      <c r="C146" s="47" t="n"/>
      <c r="D146" s="112" t="n"/>
      <c r="E146" s="46" t="n"/>
      <c r="F146" s="47" t="n"/>
      <c r="G146" s="47" t="n"/>
      <c r="H146" s="47" t="n"/>
      <c r="I146" s="47" t="n"/>
      <c r="J146" s="47" t="n"/>
      <c r="K146" s="47" t="n"/>
      <c r="L146" s="47" t="n"/>
      <c r="M146" s="47" t="n"/>
      <c r="N146" s="47" t="n"/>
      <c r="O146" s="112" t="n"/>
      <c r="P146" s="112" t="n"/>
      <c r="Q146" s="112" t="n"/>
      <c r="R146" s="47" t="n"/>
      <c r="S146" s="49" t="n"/>
      <c r="T146" s="49" t="n"/>
      <c r="U146" s="47" t="n"/>
      <c r="V146" s="47" t="n"/>
      <c r="W146" s="47" t="n"/>
      <c r="X146" s="47" t="n"/>
      <c r="Y146" s="47" t="n"/>
      <c r="Z146" s="50" t="n"/>
      <c r="AA146" s="50">
        <f>IF($A146="","",IF(OR($B146="",$E146="",$K146="",$O146="",$S146=""),"⚠ بيانات ناقصة","مكتمل"))</f>
        <v/>
      </c>
      <c r="AB146" s="51">
        <f>IF(OR($A146="",$Q146=""),"",$Q146-TODAY())</f>
        <v/>
      </c>
      <c r="AC146" s="113">
        <f>IF(OR($A146="",$O146=""),"",IFERROR(YEARFRAC($O146,TODAY(),1),"")</f>
        <v/>
      </c>
    </row>
    <row r="147">
      <c r="A147" s="39" t="n"/>
      <c r="B147" s="40" t="n"/>
      <c r="C147" s="40" t="n"/>
      <c r="D147" s="110" t="n"/>
      <c r="E147" s="39" t="n"/>
      <c r="F147" s="40" t="n"/>
      <c r="G147" s="40" t="n"/>
      <c r="H147" s="40" t="n"/>
      <c r="I147" s="40" t="n"/>
      <c r="J147" s="40" t="n"/>
      <c r="K147" s="40" t="n"/>
      <c r="L147" s="40" t="n"/>
      <c r="M147" s="40" t="n"/>
      <c r="N147" s="40" t="n"/>
      <c r="O147" s="110" t="n"/>
      <c r="P147" s="110" t="n"/>
      <c r="Q147" s="110" t="n"/>
      <c r="R147" s="40" t="n"/>
      <c r="S147" s="42" t="n"/>
      <c r="T147" s="42" t="n"/>
      <c r="U147" s="40" t="n"/>
      <c r="V147" s="40" t="n"/>
      <c r="W147" s="40" t="n"/>
      <c r="X147" s="40" t="n"/>
      <c r="Y147" s="40" t="n"/>
      <c r="Z147" s="43" t="n"/>
      <c r="AA147" s="43">
        <f>IF($A147="","",IF(OR($B147="",$E147="",$K147="",$O147="",$S147=""),"⚠ بيانات ناقصة","مكتمل"))</f>
        <v/>
      </c>
      <c r="AB147" s="44">
        <f>IF(OR($A147="",$Q147=""),"",$Q147-TODAY())</f>
        <v/>
      </c>
      <c r="AC147" s="111">
        <f>IF(OR($A147="",$O147=""),"",IFERROR(YEARFRAC($O147,TODAY(),1),"")</f>
        <v/>
      </c>
    </row>
    <row r="148">
      <c r="A148" s="46" t="n"/>
      <c r="B148" s="47" t="n"/>
      <c r="C148" s="47" t="n"/>
      <c r="D148" s="112" t="n"/>
      <c r="E148" s="46" t="n"/>
      <c r="F148" s="47" t="n"/>
      <c r="G148" s="47" t="n"/>
      <c r="H148" s="47" t="n"/>
      <c r="I148" s="47" t="n"/>
      <c r="J148" s="47" t="n"/>
      <c r="K148" s="47" t="n"/>
      <c r="L148" s="47" t="n"/>
      <c r="M148" s="47" t="n"/>
      <c r="N148" s="47" t="n"/>
      <c r="O148" s="112" t="n"/>
      <c r="P148" s="112" t="n"/>
      <c r="Q148" s="112" t="n"/>
      <c r="R148" s="47" t="n"/>
      <c r="S148" s="49" t="n"/>
      <c r="T148" s="49" t="n"/>
      <c r="U148" s="47" t="n"/>
      <c r="V148" s="47" t="n"/>
      <c r="W148" s="47" t="n"/>
      <c r="X148" s="47" t="n"/>
      <c r="Y148" s="47" t="n"/>
      <c r="Z148" s="50" t="n"/>
      <c r="AA148" s="50">
        <f>IF($A148="","",IF(OR($B148="",$E148="",$K148="",$O148="",$S148=""),"⚠ بيانات ناقصة","مكتمل"))</f>
        <v/>
      </c>
      <c r="AB148" s="51">
        <f>IF(OR($A148="",$Q148=""),"",$Q148-TODAY())</f>
        <v/>
      </c>
      <c r="AC148" s="113">
        <f>IF(OR($A148="",$O148=""),"",IFERROR(YEARFRAC($O148,TODAY(),1),"")</f>
        <v/>
      </c>
    </row>
    <row r="149">
      <c r="A149" s="39" t="n"/>
      <c r="B149" s="40" t="n"/>
      <c r="C149" s="40" t="n"/>
      <c r="D149" s="110" t="n"/>
      <c r="E149" s="39" t="n"/>
      <c r="F149" s="40" t="n"/>
      <c r="G149" s="40" t="n"/>
      <c r="H149" s="40" t="n"/>
      <c r="I149" s="40" t="n"/>
      <c r="J149" s="40" t="n"/>
      <c r="K149" s="40" t="n"/>
      <c r="L149" s="40" t="n"/>
      <c r="M149" s="40" t="n"/>
      <c r="N149" s="40" t="n"/>
      <c r="O149" s="110" t="n"/>
      <c r="P149" s="110" t="n"/>
      <c r="Q149" s="110" t="n"/>
      <c r="R149" s="40" t="n"/>
      <c r="S149" s="42" t="n"/>
      <c r="T149" s="42" t="n"/>
      <c r="U149" s="40" t="n"/>
      <c r="V149" s="40" t="n"/>
      <c r="W149" s="40" t="n"/>
      <c r="X149" s="40" t="n"/>
      <c r="Y149" s="40" t="n"/>
      <c r="Z149" s="43" t="n"/>
      <c r="AA149" s="43">
        <f>IF($A149="","",IF(OR($B149="",$E149="",$K149="",$O149="",$S149=""),"⚠ بيانات ناقصة","مكتمل"))</f>
        <v/>
      </c>
      <c r="AB149" s="44">
        <f>IF(OR($A149="",$Q149=""),"",$Q149-TODAY())</f>
        <v/>
      </c>
      <c r="AC149" s="111">
        <f>IF(OR($A149="",$O149=""),"",IFERROR(YEARFRAC($O149,TODAY(),1),"")</f>
        <v/>
      </c>
    </row>
    <row r="150">
      <c r="A150" s="46" t="n"/>
      <c r="B150" s="47" t="n"/>
      <c r="C150" s="47" t="n"/>
      <c r="D150" s="112" t="n"/>
      <c r="E150" s="46" t="n"/>
      <c r="F150" s="47" t="n"/>
      <c r="G150" s="47" t="n"/>
      <c r="H150" s="47" t="n"/>
      <c r="I150" s="47" t="n"/>
      <c r="J150" s="47" t="n"/>
      <c r="K150" s="47" t="n"/>
      <c r="L150" s="47" t="n"/>
      <c r="M150" s="47" t="n"/>
      <c r="N150" s="47" t="n"/>
      <c r="O150" s="112" t="n"/>
      <c r="P150" s="112" t="n"/>
      <c r="Q150" s="112" t="n"/>
      <c r="R150" s="47" t="n"/>
      <c r="S150" s="49" t="n"/>
      <c r="T150" s="49" t="n"/>
      <c r="U150" s="47" t="n"/>
      <c r="V150" s="47" t="n"/>
      <c r="W150" s="47" t="n"/>
      <c r="X150" s="47" t="n"/>
      <c r="Y150" s="47" t="n"/>
      <c r="Z150" s="50" t="n"/>
      <c r="AA150" s="50">
        <f>IF($A150="","",IF(OR($B150="",$E150="",$K150="",$O150="",$S150=""),"⚠ بيانات ناقصة","مكتمل"))</f>
        <v/>
      </c>
      <c r="AB150" s="51">
        <f>IF(OR($A150="",$Q150=""),"",$Q150-TODAY())</f>
        <v/>
      </c>
      <c r="AC150" s="113">
        <f>IF(OR($A150="",$O150=""),"",IFERROR(YEARFRAC($O150,TODAY(),1),"")</f>
        <v/>
      </c>
    </row>
    <row r="151">
      <c r="A151" s="39" t="n"/>
      <c r="B151" s="40" t="n"/>
      <c r="C151" s="40" t="n"/>
      <c r="D151" s="110" t="n"/>
      <c r="E151" s="39" t="n"/>
      <c r="F151" s="40" t="n"/>
      <c r="G151" s="40" t="n"/>
      <c r="H151" s="40" t="n"/>
      <c r="I151" s="40" t="n"/>
      <c r="J151" s="40" t="n"/>
      <c r="K151" s="40" t="n"/>
      <c r="L151" s="40" t="n"/>
      <c r="M151" s="40" t="n"/>
      <c r="N151" s="40" t="n"/>
      <c r="O151" s="110" t="n"/>
      <c r="P151" s="110" t="n"/>
      <c r="Q151" s="110" t="n"/>
      <c r="R151" s="40" t="n"/>
      <c r="S151" s="42" t="n"/>
      <c r="T151" s="42" t="n"/>
      <c r="U151" s="40" t="n"/>
      <c r="V151" s="40" t="n"/>
      <c r="W151" s="40" t="n"/>
      <c r="X151" s="40" t="n"/>
      <c r="Y151" s="40" t="n"/>
      <c r="Z151" s="43" t="n"/>
      <c r="AA151" s="43">
        <f>IF($A151="","",IF(OR($B151="",$E151="",$K151="",$O151="",$S151=""),"⚠ بيانات ناقصة","مكتمل"))</f>
        <v/>
      </c>
      <c r="AB151" s="44">
        <f>IF(OR($A151="",$Q151=""),"",$Q151-TODAY())</f>
        <v/>
      </c>
      <c r="AC151" s="111">
        <f>IF(OR($A151="",$O151=""),"",IFERROR(YEARFRAC($O151,TODAY(),1),"")</f>
        <v/>
      </c>
    </row>
    <row r="152">
      <c r="A152" s="46" t="n"/>
      <c r="B152" s="47" t="n"/>
      <c r="C152" s="47" t="n"/>
      <c r="D152" s="112" t="n"/>
      <c r="E152" s="46" t="n"/>
      <c r="F152" s="47" t="n"/>
      <c r="G152" s="47" t="n"/>
      <c r="H152" s="47" t="n"/>
      <c r="I152" s="47" t="n"/>
      <c r="J152" s="47" t="n"/>
      <c r="K152" s="47" t="n"/>
      <c r="L152" s="47" t="n"/>
      <c r="M152" s="47" t="n"/>
      <c r="N152" s="47" t="n"/>
      <c r="O152" s="112" t="n"/>
      <c r="P152" s="112" t="n"/>
      <c r="Q152" s="112" t="n"/>
      <c r="R152" s="47" t="n"/>
      <c r="S152" s="49" t="n"/>
      <c r="T152" s="49" t="n"/>
      <c r="U152" s="47" t="n"/>
      <c r="V152" s="47" t="n"/>
      <c r="W152" s="47" t="n"/>
      <c r="X152" s="47" t="n"/>
      <c r="Y152" s="47" t="n"/>
      <c r="Z152" s="50" t="n"/>
      <c r="AA152" s="50">
        <f>IF($A152="","",IF(OR($B152="",$E152="",$K152="",$O152="",$S152=""),"⚠ بيانات ناقصة","مكتمل"))</f>
        <v/>
      </c>
      <c r="AB152" s="51">
        <f>IF(OR($A152="",$Q152=""),"",$Q152-TODAY())</f>
        <v/>
      </c>
      <c r="AC152" s="113">
        <f>IF(OR($A152="",$O152=""),"",IFERROR(YEARFRAC($O152,TODAY(),1),"")</f>
        <v/>
      </c>
    </row>
    <row r="153">
      <c r="A153" s="39" t="n"/>
      <c r="B153" s="40" t="n"/>
      <c r="C153" s="40" t="n"/>
      <c r="D153" s="110" t="n"/>
      <c r="E153" s="39" t="n"/>
      <c r="F153" s="40" t="n"/>
      <c r="G153" s="40" t="n"/>
      <c r="H153" s="40" t="n"/>
      <c r="I153" s="40" t="n"/>
      <c r="J153" s="40" t="n"/>
      <c r="K153" s="40" t="n"/>
      <c r="L153" s="40" t="n"/>
      <c r="M153" s="40" t="n"/>
      <c r="N153" s="40" t="n"/>
      <c r="O153" s="110" t="n"/>
      <c r="P153" s="110" t="n"/>
      <c r="Q153" s="110" t="n"/>
      <c r="R153" s="40" t="n"/>
      <c r="S153" s="42" t="n"/>
      <c r="T153" s="42" t="n"/>
      <c r="U153" s="40" t="n"/>
      <c r="V153" s="40" t="n"/>
      <c r="W153" s="40" t="n"/>
      <c r="X153" s="40" t="n"/>
      <c r="Y153" s="40" t="n"/>
      <c r="Z153" s="43" t="n"/>
      <c r="AA153" s="43">
        <f>IF($A153="","",IF(OR($B153="",$E153="",$K153="",$O153="",$S153=""),"⚠ بيانات ناقصة","مكتمل"))</f>
        <v/>
      </c>
      <c r="AB153" s="44">
        <f>IF(OR($A153="",$Q153=""),"",$Q153-TODAY())</f>
        <v/>
      </c>
      <c r="AC153" s="111">
        <f>IF(OR($A153="",$O153=""),"",IFERROR(YEARFRAC($O153,TODAY(),1),"")</f>
        <v/>
      </c>
    </row>
    <row r="154">
      <c r="A154" s="46" t="n"/>
      <c r="B154" s="47" t="n"/>
      <c r="C154" s="47" t="n"/>
      <c r="D154" s="112" t="n"/>
      <c r="E154" s="46" t="n"/>
      <c r="F154" s="47" t="n"/>
      <c r="G154" s="47" t="n"/>
      <c r="H154" s="47" t="n"/>
      <c r="I154" s="47" t="n"/>
      <c r="J154" s="47" t="n"/>
      <c r="K154" s="47" t="n"/>
      <c r="L154" s="47" t="n"/>
      <c r="M154" s="47" t="n"/>
      <c r="N154" s="47" t="n"/>
      <c r="O154" s="112" t="n"/>
      <c r="P154" s="112" t="n"/>
      <c r="Q154" s="112" t="n"/>
      <c r="R154" s="47" t="n"/>
      <c r="S154" s="49" t="n"/>
      <c r="T154" s="49" t="n"/>
      <c r="U154" s="47" t="n"/>
      <c r="V154" s="47" t="n"/>
      <c r="W154" s="47" t="n"/>
      <c r="X154" s="47" t="n"/>
      <c r="Y154" s="47" t="n"/>
      <c r="Z154" s="50" t="n"/>
      <c r="AA154" s="50">
        <f>IF($A154="","",IF(OR($B154="",$E154="",$K154="",$O154="",$S154=""),"⚠ بيانات ناقصة","مكتمل"))</f>
        <v/>
      </c>
      <c r="AB154" s="51">
        <f>IF(OR($A154="",$Q154=""),"",$Q154-TODAY())</f>
        <v/>
      </c>
      <c r="AC154" s="113">
        <f>IF(OR($A154="",$O154=""),"",IFERROR(YEARFRAC($O154,TODAY(),1),"")</f>
        <v/>
      </c>
    </row>
    <row r="155">
      <c r="A155" s="39" t="n"/>
      <c r="B155" s="40" t="n"/>
      <c r="C155" s="40" t="n"/>
      <c r="D155" s="110" t="n"/>
      <c r="E155" s="39" t="n"/>
      <c r="F155" s="40" t="n"/>
      <c r="G155" s="40" t="n"/>
      <c r="H155" s="40" t="n"/>
      <c r="I155" s="40" t="n"/>
      <c r="J155" s="40" t="n"/>
      <c r="K155" s="40" t="n"/>
      <c r="L155" s="40" t="n"/>
      <c r="M155" s="40" t="n"/>
      <c r="N155" s="40" t="n"/>
      <c r="O155" s="110" t="n"/>
      <c r="P155" s="110" t="n"/>
      <c r="Q155" s="110" t="n"/>
      <c r="R155" s="40" t="n"/>
      <c r="S155" s="42" t="n"/>
      <c r="T155" s="42" t="n"/>
      <c r="U155" s="40" t="n"/>
      <c r="V155" s="40" t="n"/>
      <c r="W155" s="40" t="n"/>
      <c r="X155" s="40" t="n"/>
      <c r="Y155" s="40" t="n"/>
      <c r="Z155" s="43" t="n"/>
      <c r="AA155" s="43">
        <f>IF($A155="","",IF(OR($B155="",$E155="",$K155="",$O155="",$S155=""),"⚠ بيانات ناقصة","مكتمل"))</f>
        <v/>
      </c>
      <c r="AB155" s="44">
        <f>IF(OR($A155="",$Q155=""),"",$Q155-TODAY())</f>
        <v/>
      </c>
      <c r="AC155" s="111">
        <f>IF(OR($A155="",$O155=""),"",IFERROR(YEARFRAC($O155,TODAY(),1),"")</f>
        <v/>
      </c>
    </row>
    <row r="156">
      <c r="A156" s="46" t="n"/>
      <c r="B156" s="47" t="n"/>
      <c r="C156" s="47" t="n"/>
      <c r="D156" s="112" t="n"/>
      <c r="E156" s="46" t="n"/>
      <c r="F156" s="47" t="n"/>
      <c r="G156" s="47" t="n"/>
      <c r="H156" s="47" t="n"/>
      <c r="I156" s="47" t="n"/>
      <c r="J156" s="47" t="n"/>
      <c r="K156" s="47" t="n"/>
      <c r="L156" s="47" t="n"/>
      <c r="M156" s="47" t="n"/>
      <c r="N156" s="47" t="n"/>
      <c r="O156" s="112" t="n"/>
      <c r="P156" s="112" t="n"/>
      <c r="Q156" s="112" t="n"/>
      <c r="R156" s="47" t="n"/>
      <c r="S156" s="49" t="n"/>
      <c r="T156" s="49" t="n"/>
      <c r="U156" s="47" t="n"/>
      <c r="V156" s="47" t="n"/>
      <c r="W156" s="47" t="n"/>
      <c r="X156" s="47" t="n"/>
      <c r="Y156" s="47" t="n"/>
      <c r="Z156" s="50" t="n"/>
      <c r="AA156" s="50">
        <f>IF($A156="","",IF(OR($B156="",$E156="",$K156="",$O156="",$S156=""),"⚠ بيانات ناقصة","مكتمل"))</f>
        <v/>
      </c>
      <c r="AB156" s="51">
        <f>IF(OR($A156="",$Q156=""),"",$Q156-TODAY())</f>
        <v/>
      </c>
      <c r="AC156" s="113">
        <f>IF(OR($A156="",$O156=""),"",IFERROR(YEARFRAC($O156,TODAY(),1),"")</f>
        <v/>
      </c>
    </row>
    <row r="157">
      <c r="A157" s="39" t="n"/>
      <c r="B157" s="40" t="n"/>
      <c r="C157" s="40" t="n"/>
      <c r="D157" s="110" t="n"/>
      <c r="E157" s="39" t="n"/>
      <c r="F157" s="40" t="n"/>
      <c r="G157" s="40" t="n"/>
      <c r="H157" s="40" t="n"/>
      <c r="I157" s="40" t="n"/>
      <c r="J157" s="40" t="n"/>
      <c r="K157" s="40" t="n"/>
      <c r="L157" s="40" t="n"/>
      <c r="M157" s="40" t="n"/>
      <c r="N157" s="40" t="n"/>
      <c r="O157" s="110" t="n"/>
      <c r="P157" s="110" t="n"/>
      <c r="Q157" s="110" t="n"/>
      <c r="R157" s="40" t="n"/>
      <c r="S157" s="42" t="n"/>
      <c r="T157" s="42" t="n"/>
      <c r="U157" s="40" t="n"/>
      <c r="V157" s="40" t="n"/>
      <c r="W157" s="40" t="n"/>
      <c r="X157" s="40" t="n"/>
      <c r="Y157" s="40" t="n"/>
      <c r="Z157" s="43" t="n"/>
      <c r="AA157" s="43">
        <f>IF($A157="","",IF(OR($B157="",$E157="",$K157="",$O157="",$S157=""),"⚠ بيانات ناقصة","مكتمل"))</f>
        <v/>
      </c>
      <c r="AB157" s="44">
        <f>IF(OR($A157="",$Q157=""),"",$Q157-TODAY())</f>
        <v/>
      </c>
      <c r="AC157" s="111">
        <f>IF(OR($A157="",$O157=""),"",IFERROR(YEARFRAC($O157,TODAY(),1),"")</f>
        <v/>
      </c>
    </row>
    <row r="158">
      <c r="A158" s="46" t="n"/>
      <c r="B158" s="47" t="n"/>
      <c r="C158" s="47" t="n"/>
      <c r="D158" s="112" t="n"/>
      <c r="E158" s="46" t="n"/>
      <c r="F158" s="47" t="n"/>
      <c r="G158" s="47" t="n"/>
      <c r="H158" s="47" t="n"/>
      <c r="I158" s="47" t="n"/>
      <c r="J158" s="47" t="n"/>
      <c r="K158" s="47" t="n"/>
      <c r="L158" s="47" t="n"/>
      <c r="M158" s="47" t="n"/>
      <c r="N158" s="47" t="n"/>
      <c r="O158" s="112" t="n"/>
      <c r="P158" s="112" t="n"/>
      <c r="Q158" s="112" t="n"/>
      <c r="R158" s="47" t="n"/>
      <c r="S158" s="49" t="n"/>
      <c r="T158" s="49" t="n"/>
      <c r="U158" s="47" t="n"/>
      <c r="V158" s="47" t="n"/>
      <c r="W158" s="47" t="n"/>
      <c r="X158" s="47" t="n"/>
      <c r="Y158" s="47" t="n"/>
      <c r="Z158" s="50" t="n"/>
      <c r="AA158" s="50">
        <f>IF($A158="","",IF(OR($B158="",$E158="",$K158="",$O158="",$S158=""),"⚠ بيانات ناقصة","مكتمل"))</f>
        <v/>
      </c>
      <c r="AB158" s="51">
        <f>IF(OR($A158="",$Q158=""),"",$Q158-TODAY())</f>
        <v/>
      </c>
      <c r="AC158" s="113">
        <f>IF(OR($A158="",$O158=""),"",IFERROR(YEARFRAC($O158,TODAY(),1),"")</f>
        <v/>
      </c>
    </row>
    <row r="159">
      <c r="A159" s="39" t="n"/>
      <c r="B159" s="40" t="n"/>
      <c r="C159" s="40" t="n"/>
      <c r="D159" s="110" t="n"/>
      <c r="E159" s="39" t="n"/>
      <c r="F159" s="40" t="n"/>
      <c r="G159" s="40" t="n"/>
      <c r="H159" s="40" t="n"/>
      <c r="I159" s="40" t="n"/>
      <c r="J159" s="40" t="n"/>
      <c r="K159" s="40" t="n"/>
      <c r="L159" s="40" t="n"/>
      <c r="M159" s="40" t="n"/>
      <c r="N159" s="40" t="n"/>
      <c r="O159" s="110" t="n"/>
      <c r="P159" s="110" t="n"/>
      <c r="Q159" s="110" t="n"/>
      <c r="R159" s="40" t="n"/>
      <c r="S159" s="42" t="n"/>
      <c r="T159" s="42" t="n"/>
      <c r="U159" s="40" t="n"/>
      <c r="V159" s="40" t="n"/>
      <c r="W159" s="40" t="n"/>
      <c r="X159" s="40" t="n"/>
      <c r="Y159" s="40" t="n"/>
      <c r="Z159" s="43" t="n"/>
      <c r="AA159" s="43">
        <f>IF($A159="","",IF(OR($B159="",$E159="",$K159="",$O159="",$S159=""),"⚠ بيانات ناقصة","مكتمل"))</f>
        <v/>
      </c>
      <c r="AB159" s="44">
        <f>IF(OR($A159="",$Q159=""),"",$Q159-TODAY())</f>
        <v/>
      </c>
      <c r="AC159" s="111">
        <f>IF(OR($A159="",$O159=""),"",IFERROR(YEARFRAC($O159,TODAY(),1),"")</f>
        <v/>
      </c>
    </row>
    <row r="160">
      <c r="A160" s="46" t="n"/>
      <c r="B160" s="47" t="n"/>
      <c r="C160" s="47" t="n"/>
      <c r="D160" s="112" t="n"/>
      <c r="E160" s="46" t="n"/>
      <c r="F160" s="47" t="n"/>
      <c r="G160" s="47" t="n"/>
      <c r="H160" s="47" t="n"/>
      <c r="I160" s="47" t="n"/>
      <c r="J160" s="47" t="n"/>
      <c r="K160" s="47" t="n"/>
      <c r="L160" s="47" t="n"/>
      <c r="M160" s="47" t="n"/>
      <c r="N160" s="47" t="n"/>
      <c r="O160" s="112" t="n"/>
      <c r="P160" s="112" t="n"/>
      <c r="Q160" s="112" t="n"/>
      <c r="R160" s="47" t="n"/>
      <c r="S160" s="49" t="n"/>
      <c r="T160" s="49" t="n"/>
      <c r="U160" s="47" t="n"/>
      <c r="V160" s="47" t="n"/>
      <c r="W160" s="47" t="n"/>
      <c r="X160" s="47" t="n"/>
      <c r="Y160" s="47" t="n"/>
      <c r="Z160" s="50" t="n"/>
      <c r="AA160" s="50">
        <f>IF($A160="","",IF(OR($B160="",$E160="",$K160="",$O160="",$S160=""),"⚠ بيانات ناقصة","مكتمل"))</f>
        <v/>
      </c>
      <c r="AB160" s="51">
        <f>IF(OR($A160="",$Q160=""),"",$Q160-TODAY())</f>
        <v/>
      </c>
      <c r="AC160" s="113">
        <f>IF(OR($A160="",$O160=""),"",IFERROR(YEARFRAC($O160,TODAY(),1),"")</f>
        <v/>
      </c>
    </row>
    <row r="161">
      <c r="A161" s="39" t="n"/>
      <c r="B161" s="40" t="n"/>
      <c r="C161" s="40" t="n"/>
      <c r="D161" s="110" t="n"/>
      <c r="E161" s="39" t="n"/>
      <c r="F161" s="40" t="n"/>
      <c r="G161" s="40" t="n"/>
      <c r="H161" s="40" t="n"/>
      <c r="I161" s="40" t="n"/>
      <c r="J161" s="40" t="n"/>
      <c r="K161" s="40" t="n"/>
      <c r="L161" s="40" t="n"/>
      <c r="M161" s="40" t="n"/>
      <c r="N161" s="40" t="n"/>
      <c r="O161" s="110" t="n"/>
      <c r="P161" s="110" t="n"/>
      <c r="Q161" s="110" t="n"/>
      <c r="R161" s="40" t="n"/>
      <c r="S161" s="42" t="n"/>
      <c r="T161" s="42" t="n"/>
      <c r="U161" s="40" t="n"/>
      <c r="V161" s="40" t="n"/>
      <c r="W161" s="40" t="n"/>
      <c r="X161" s="40" t="n"/>
      <c r="Y161" s="40" t="n"/>
      <c r="Z161" s="43" t="n"/>
      <c r="AA161" s="43">
        <f>IF($A161="","",IF(OR($B161="",$E161="",$K161="",$O161="",$S161=""),"⚠ بيانات ناقصة","مكتمل"))</f>
        <v/>
      </c>
      <c r="AB161" s="44">
        <f>IF(OR($A161="",$Q161=""),"",$Q161-TODAY())</f>
        <v/>
      </c>
      <c r="AC161" s="111">
        <f>IF(OR($A161="",$O161=""),"",IFERROR(YEARFRAC($O161,TODAY(),1),"")</f>
        <v/>
      </c>
    </row>
    <row r="162">
      <c r="A162" s="46" t="n"/>
      <c r="B162" s="47" t="n"/>
      <c r="C162" s="47" t="n"/>
      <c r="D162" s="112" t="n"/>
      <c r="E162" s="46" t="n"/>
      <c r="F162" s="47" t="n"/>
      <c r="G162" s="47" t="n"/>
      <c r="H162" s="47" t="n"/>
      <c r="I162" s="47" t="n"/>
      <c r="J162" s="47" t="n"/>
      <c r="K162" s="47" t="n"/>
      <c r="L162" s="47" t="n"/>
      <c r="M162" s="47" t="n"/>
      <c r="N162" s="47" t="n"/>
      <c r="O162" s="112" t="n"/>
      <c r="P162" s="112" t="n"/>
      <c r="Q162" s="112" t="n"/>
      <c r="R162" s="47" t="n"/>
      <c r="S162" s="49" t="n"/>
      <c r="T162" s="49" t="n"/>
      <c r="U162" s="47" t="n"/>
      <c r="V162" s="47" t="n"/>
      <c r="W162" s="47" t="n"/>
      <c r="X162" s="47" t="n"/>
      <c r="Y162" s="47" t="n"/>
      <c r="Z162" s="50" t="n"/>
      <c r="AA162" s="50">
        <f>IF($A162="","",IF(OR($B162="",$E162="",$K162="",$O162="",$S162=""),"⚠ بيانات ناقصة","مكتمل"))</f>
        <v/>
      </c>
      <c r="AB162" s="51">
        <f>IF(OR($A162="",$Q162=""),"",$Q162-TODAY())</f>
        <v/>
      </c>
      <c r="AC162" s="113">
        <f>IF(OR($A162="",$O162=""),"",IFERROR(YEARFRAC($O162,TODAY(),1),"")</f>
        <v/>
      </c>
    </row>
    <row r="163">
      <c r="A163" s="39" t="n"/>
      <c r="B163" s="40" t="n"/>
      <c r="C163" s="40" t="n"/>
      <c r="D163" s="110" t="n"/>
      <c r="E163" s="39" t="n"/>
      <c r="F163" s="40" t="n"/>
      <c r="G163" s="40" t="n"/>
      <c r="H163" s="40" t="n"/>
      <c r="I163" s="40" t="n"/>
      <c r="J163" s="40" t="n"/>
      <c r="K163" s="40" t="n"/>
      <c r="L163" s="40" t="n"/>
      <c r="M163" s="40" t="n"/>
      <c r="N163" s="40" t="n"/>
      <c r="O163" s="110" t="n"/>
      <c r="P163" s="110" t="n"/>
      <c r="Q163" s="110" t="n"/>
      <c r="R163" s="40" t="n"/>
      <c r="S163" s="42" t="n"/>
      <c r="T163" s="42" t="n"/>
      <c r="U163" s="40" t="n"/>
      <c r="V163" s="40" t="n"/>
      <c r="W163" s="40" t="n"/>
      <c r="X163" s="40" t="n"/>
      <c r="Y163" s="40" t="n"/>
      <c r="Z163" s="43" t="n"/>
      <c r="AA163" s="43">
        <f>IF($A163="","",IF(OR($B163="",$E163="",$K163="",$O163="",$S163=""),"⚠ بيانات ناقصة","مكتمل"))</f>
        <v/>
      </c>
      <c r="AB163" s="44">
        <f>IF(OR($A163="",$Q163=""),"",$Q163-TODAY())</f>
        <v/>
      </c>
      <c r="AC163" s="111">
        <f>IF(OR($A163="",$O163=""),"",IFERROR(YEARFRAC($O163,TODAY(),1),"")</f>
        <v/>
      </c>
    </row>
    <row r="164">
      <c r="A164" s="46" t="n"/>
      <c r="B164" s="47" t="n"/>
      <c r="C164" s="47" t="n"/>
      <c r="D164" s="112" t="n"/>
      <c r="E164" s="46" t="n"/>
      <c r="F164" s="47" t="n"/>
      <c r="G164" s="47" t="n"/>
      <c r="H164" s="47" t="n"/>
      <c r="I164" s="47" t="n"/>
      <c r="J164" s="47" t="n"/>
      <c r="K164" s="47" t="n"/>
      <c r="L164" s="47" t="n"/>
      <c r="M164" s="47" t="n"/>
      <c r="N164" s="47" t="n"/>
      <c r="O164" s="112" t="n"/>
      <c r="P164" s="112" t="n"/>
      <c r="Q164" s="112" t="n"/>
      <c r="R164" s="47" t="n"/>
      <c r="S164" s="49" t="n"/>
      <c r="T164" s="49" t="n"/>
      <c r="U164" s="47" t="n"/>
      <c r="V164" s="47" t="n"/>
      <c r="W164" s="47" t="n"/>
      <c r="X164" s="47" t="n"/>
      <c r="Y164" s="47" t="n"/>
      <c r="Z164" s="50" t="n"/>
      <c r="AA164" s="50">
        <f>IF($A164="","",IF(OR($B164="",$E164="",$K164="",$O164="",$S164=""),"⚠ بيانات ناقصة","مكتمل"))</f>
        <v/>
      </c>
      <c r="AB164" s="51">
        <f>IF(OR($A164="",$Q164=""),"",$Q164-TODAY())</f>
        <v/>
      </c>
      <c r="AC164" s="113">
        <f>IF(OR($A164="",$O164=""),"",IFERROR(YEARFRAC($O164,TODAY(),1),"")</f>
        <v/>
      </c>
    </row>
    <row r="165">
      <c r="A165" s="39" t="n"/>
      <c r="B165" s="40" t="n"/>
      <c r="C165" s="40" t="n"/>
      <c r="D165" s="110" t="n"/>
      <c r="E165" s="39" t="n"/>
      <c r="F165" s="40" t="n"/>
      <c r="G165" s="40" t="n"/>
      <c r="H165" s="40" t="n"/>
      <c r="I165" s="40" t="n"/>
      <c r="J165" s="40" t="n"/>
      <c r="K165" s="40" t="n"/>
      <c r="L165" s="40" t="n"/>
      <c r="M165" s="40" t="n"/>
      <c r="N165" s="40" t="n"/>
      <c r="O165" s="110" t="n"/>
      <c r="P165" s="110" t="n"/>
      <c r="Q165" s="110" t="n"/>
      <c r="R165" s="40" t="n"/>
      <c r="S165" s="42" t="n"/>
      <c r="T165" s="42" t="n"/>
      <c r="U165" s="40" t="n"/>
      <c r="V165" s="40" t="n"/>
      <c r="W165" s="40" t="n"/>
      <c r="X165" s="40" t="n"/>
      <c r="Y165" s="40" t="n"/>
      <c r="Z165" s="43" t="n"/>
      <c r="AA165" s="43">
        <f>IF($A165="","",IF(OR($B165="",$E165="",$K165="",$O165="",$S165=""),"⚠ بيانات ناقصة","مكتمل"))</f>
        <v/>
      </c>
      <c r="AB165" s="44">
        <f>IF(OR($A165="",$Q165=""),"",$Q165-TODAY())</f>
        <v/>
      </c>
      <c r="AC165" s="111">
        <f>IF(OR($A165="",$O165=""),"",IFERROR(YEARFRAC($O165,TODAY(),1),"")</f>
        <v/>
      </c>
    </row>
    <row r="166">
      <c r="A166" s="46" t="n"/>
      <c r="B166" s="47" t="n"/>
      <c r="C166" s="47" t="n"/>
      <c r="D166" s="112" t="n"/>
      <c r="E166" s="46" t="n"/>
      <c r="F166" s="47" t="n"/>
      <c r="G166" s="47" t="n"/>
      <c r="H166" s="47" t="n"/>
      <c r="I166" s="47" t="n"/>
      <c r="J166" s="47" t="n"/>
      <c r="K166" s="47" t="n"/>
      <c r="L166" s="47" t="n"/>
      <c r="M166" s="47" t="n"/>
      <c r="N166" s="47" t="n"/>
      <c r="O166" s="112" t="n"/>
      <c r="P166" s="112" t="n"/>
      <c r="Q166" s="112" t="n"/>
      <c r="R166" s="47" t="n"/>
      <c r="S166" s="49" t="n"/>
      <c r="T166" s="49" t="n"/>
      <c r="U166" s="47" t="n"/>
      <c r="V166" s="47" t="n"/>
      <c r="W166" s="47" t="n"/>
      <c r="X166" s="47" t="n"/>
      <c r="Y166" s="47" t="n"/>
      <c r="Z166" s="50" t="n"/>
      <c r="AA166" s="50">
        <f>IF($A166="","",IF(OR($B166="",$E166="",$K166="",$O166="",$S166=""),"⚠ بيانات ناقصة","مكتمل"))</f>
        <v/>
      </c>
      <c r="AB166" s="51">
        <f>IF(OR($A166="",$Q166=""),"",$Q166-TODAY())</f>
        <v/>
      </c>
      <c r="AC166" s="113">
        <f>IF(OR($A166="",$O166=""),"",IFERROR(YEARFRAC($O166,TODAY(),1),"")</f>
        <v/>
      </c>
    </row>
    <row r="167">
      <c r="A167" s="39" t="n"/>
      <c r="B167" s="40" t="n"/>
      <c r="C167" s="40" t="n"/>
      <c r="D167" s="110" t="n"/>
      <c r="E167" s="39" t="n"/>
      <c r="F167" s="40" t="n"/>
      <c r="G167" s="40" t="n"/>
      <c r="H167" s="40" t="n"/>
      <c r="I167" s="40" t="n"/>
      <c r="J167" s="40" t="n"/>
      <c r="K167" s="40" t="n"/>
      <c r="L167" s="40" t="n"/>
      <c r="M167" s="40" t="n"/>
      <c r="N167" s="40" t="n"/>
      <c r="O167" s="110" t="n"/>
      <c r="P167" s="110" t="n"/>
      <c r="Q167" s="110" t="n"/>
      <c r="R167" s="40" t="n"/>
      <c r="S167" s="42" t="n"/>
      <c r="T167" s="42" t="n"/>
      <c r="U167" s="40" t="n"/>
      <c r="V167" s="40" t="n"/>
      <c r="W167" s="40" t="n"/>
      <c r="X167" s="40" t="n"/>
      <c r="Y167" s="40" t="n"/>
      <c r="Z167" s="43" t="n"/>
      <c r="AA167" s="43">
        <f>IF($A167="","",IF(OR($B167="",$E167="",$K167="",$O167="",$S167=""),"⚠ بيانات ناقصة","مكتمل"))</f>
        <v/>
      </c>
      <c r="AB167" s="44">
        <f>IF(OR($A167="",$Q167=""),"",$Q167-TODAY())</f>
        <v/>
      </c>
      <c r="AC167" s="111">
        <f>IF(OR($A167="",$O167=""),"",IFERROR(YEARFRAC($O167,TODAY(),1),"")</f>
        <v/>
      </c>
    </row>
    <row r="168">
      <c r="A168" s="46" t="n"/>
      <c r="B168" s="47" t="n"/>
      <c r="C168" s="47" t="n"/>
      <c r="D168" s="112" t="n"/>
      <c r="E168" s="46" t="n"/>
      <c r="F168" s="47" t="n"/>
      <c r="G168" s="47" t="n"/>
      <c r="H168" s="47" t="n"/>
      <c r="I168" s="47" t="n"/>
      <c r="J168" s="47" t="n"/>
      <c r="K168" s="47" t="n"/>
      <c r="L168" s="47" t="n"/>
      <c r="M168" s="47" t="n"/>
      <c r="N168" s="47" t="n"/>
      <c r="O168" s="112" t="n"/>
      <c r="P168" s="112" t="n"/>
      <c r="Q168" s="112" t="n"/>
      <c r="R168" s="47" t="n"/>
      <c r="S168" s="49" t="n"/>
      <c r="T168" s="49" t="n"/>
      <c r="U168" s="47" t="n"/>
      <c r="V168" s="47" t="n"/>
      <c r="W168" s="47" t="n"/>
      <c r="X168" s="47" t="n"/>
      <c r="Y168" s="47" t="n"/>
      <c r="Z168" s="50" t="n"/>
      <c r="AA168" s="50">
        <f>IF($A168="","",IF(OR($B168="",$E168="",$K168="",$O168="",$S168=""),"⚠ بيانات ناقصة","مكتمل"))</f>
        <v/>
      </c>
      <c r="AB168" s="51">
        <f>IF(OR($A168="",$Q168=""),"",$Q168-TODAY())</f>
        <v/>
      </c>
      <c r="AC168" s="113">
        <f>IF(OR($A168="",$O168=""),"",IFERROR(YEARFRAC($O168,TODAY(),1),"")</f>
        <v/>
      </c>
    </row>
    <row r="169">
      <c r="A169" s="39" t="n"/>
      <c r="B169" s="40" t="n"/>
      <c r="C169" s="40" t="n"/>
      <c r="D169" s="110" t="n"/>
      <c r="E169" s="39" t="n"/>
      <c r="F169" s="40" t="n"/>
      <c r="G169" s="40" t="n"/>
      <c r="H169" s="40" t="n"/>
      <c r="I169" s="40" t="n"/>
      <c r="J169" s="40" t="n"/>
      <c r="K169" s="40" t="n"/>
      <c r="L169" s="40" t="n"/>
      <c r="M169" s="40" t="n"/>
      <c r="N169" s="40" t="n"/>
      <c r="O169" s="110" t="n"/>
      <c r="P169" s="110" t="n"/>
      <c r="Q169" s="110" t="n"/>
      <c r="R169" s="40" t="n"/>
      <c r="S169" s="42" t="n"/>
      <c r="T169" s="42" t="n"/>
      <c r="U169" s="40" t="n"/>
      <c r="V169" s="40" t="n"/>
      <c r="W169" s="40" t="n"/>
      <c r="X169" s="40" t="n"/>
      <c r="Y169" s="40" t="n"/>
      <c r="Z169" s="43" t="n"/>
      <c r="AA169" s="43">
        <f>IF($A169="","",IF(OR($B169="",$E169="",$K169="",$O169="",$S169=""),"⚠ بيانات ناقصة","مكتمل"))</f>
        <v/>
      </c>
      <c r="AB169" s="44">
        <f>IF(OR($A169="",$Q169=""),"",$Q169-TODAY())</f>
        <v/>
      </c>
      <c r="AC169" s="111">
        <f>IF(OR($A169="",$O169=""),"",IFERROR(YEARFRAC($O169,TODAY(),1),"")</f>
        <v/>
      </c>
    </row>
    <row r="170">
      <c r="A170" s="46" t="n"/>
      <c r="B170" s="47" t="n"/>
      <c r="C170" s="47" t="n"/>
      <c r="D170" s="112" t="n"/>
      <c r="E170" s="46" t="n"/>
      <c r="F170" s="47" t="n"/>
      <c r="G170" s="47" t="n"/>
      <c r="H170" s="47" t="n"/>
      <c r="I170" s="47" t="n"/>
      <c r="J170" s="47" t="n"/>
      <c r="K170" s="47" t="n"/>
      <c r="L170" s="47" t="n"/>
      <c r="M170" s="47" t="n"/>
      <c r="N170" s="47" t="n"/>
      <c r="O170" s="112" t="n"/>
      <c r="P170" s="112" t="n"/>
      <c r="Q170" s="112" t="n"/>
      <c r="R170" s="47" t="n"/>
      <c r="S170" s="49" t="n"/>
      <c r="T170" s="49" t="n"/>
      <c r="U170" s="47" t="n"/>
      <c r="V170" s="47" t="n"/>
      <c r="W170" s="47" t="n"/>
      <c r="X170" s="47" t="n"/>
      <c r="Y170" s="47" t="n"/>
      <c r="Z170" s="50" t="n"/>
      <c r="AA170" s="50">
        <f>IF($A170="","",IF(OR($B170="",$E170="",$K170="",$O170="",$S170=""),"⚠ بيانات ناقصة","مكتمل"))</f>
        <v/>
      </c>
      <c r="AB170" s="51">
        <f>IF(OR($A170="",$Q170=""),"",$Q170-TODAY())</f>
        <v/>
      </c>
      <c r="AC170" s="113">
        <f>IF(OR($A170="",$O170=""),"",IFERROR(YEARFRAC($O170,TODAY(),1),"")</f>
        <v/>
      </c>
    </row>
    <row r="171">
      <c r="A171" s="39" t="n"/>
      <c r="B171" s="40" t="n"/>
      <c r="C171" s="40" t="n"/>
      <c r="D171" s="110" t="n"/>
      <c r="E171" s="39" t="n"/>
      <c r="F171" s="40" t="n"/>
      <c r="G171" s="40" t="n"/>
      <c r="H171" s="40" t="n"/>
      <c r="I171" s="40" t="n"/>
      <c r="J171" s="40" t="n"/>
      <c r="K171" s="40" t="n"/>
      <c r="L171" s="40" t="n"/>
      <c r="M171" s="40" t="n"/>
      <c r="N171" s="40" t="n"/>
      <c r="O171" s="110" t="n"/>
      <c r="P171" s="110" t="n"/>
      <c r="Q171" s="110" t="n"/>
      <c r="R171" s="40" t="n"/>
      <c r="S171" s="42" t="n"/>
      <c r="T171" s="42" t="n"/>
      <c r="U171" s="40" t="n"/>
      <c r="V171" s="40" t="n"/>
      <c r="W171" s="40" t="n"/>
      <c r="X171" s="40" t="n"/>
      <c r="Y171" s="40" t="n"/>
      <c r="Z171" s="43" t="n"/>
      <c r="AA171" s="43">
        <f>IF($A171="","",IF(OR($B171="",$E171="",$K171="",$O171="",$S171=""),"⚠ بيانات ناقصة","مكتمل"))</f>
        <v/>
      </c>
      <c r="AB171" s="44">
        <f>IF(OR($A171="",$Q171=""),"",$Q171-TODAY())</f>
        <v/>
      </c>
      <c r="AC171" s="111">
        <f>IF(OR($A171="",$O171=""),"",IFERROR(YEARFRAC($O171,TODAY(),1),"")</f>
        <v/>
      </c>
    </row>
    <row r="172">
      <c r="A172" s="46" t="n"/>
      <c r="B172" s="47" t="n"/>
      <c r="C172" s="47" t="n"/>
      <c r="D172" s="112" t="n"/>
      <c r="E172" s="46" t="n"/>
      <c r="F172" s="47" t="n"/>
      <c r="G172" s="47" t="n"/>
      <c r="H172" s="47" t="n"/>
      <c r="I172" s="47" t="n"/>
      <c r="J172" s="47" t="n"/>
      <c r="K172" s="47" t="n"/>
      <c r="L172" s="47" t="n"/>
      <c r="M172" s="47" t="n"/>
      <c r="N172" s="47" t="n"/>
      <c r="O172" s="112" t="n"/>
      <c r="P172" s="112" t="n"/>
      <c r="Q172" s="112" t="n"/>
      <c r="R172" s="47" t="n"/>
      <c r="S172" s="49" t="n"/>
      <c r="T172" s="49" t="n"/>
      <c r="U172" s="47" t="n"/>
      <c r="V172" s="47" t="n"/>
      <c r="W172" s="47" t="n"/>
      <c r="X172" s="47" t="n"/>
      <c r="Y172" s="47" t="n"/>
      <c r="Z172" s="50" t="n"/>
      <c r="AA172" s="50">
        <f>IF($A172="","",IF(OR($B172="",$E172="",$K172="",$O172="",$S172=""),"⚠ بيانات ناقصة","مكتمل"))</f>
        <v/>
      </c>
      <c r="AB172" s="51">
        <f>IF(OR($A172="",$Q172=""),"",$Q172-TODAY())</f>
        <v/>
      </c>
      <c r="AC172" s="113">
        <f>IF(OR($A172="",$O172=""),"",IFERROR(YEARFRAC($O172,TODAY(),1),"")</f>
        <v/>
      </c>
    </row>
    <row r="173">
      <c r="A173" s="39" t="n"/>
      <c r="B173" s="40" t="n"/>
      <c r="C173" s="40" t="n"/>
      <c r="D173" s="110" t="n"/>
      <c r="E173" s="39" t="n"/>
      <c r="F173" s="40" t="n"/>
      <c r="G173" s="40" t="n"/>
      <c r="H173" s="40" t="n"/>
      <c r="I173" s="40" t="n"/>
      <c r="J173" s="40" t="n"/>
      <c r="K173" s="40" t="n"/>
      <c r="L173" s="40" t="n"/>
      <c r="M173" s="40" t="n"/>
      <c r="N173" s="40" t="n"/>
      <c r="O173" s="110" t="n"/>
      <c r="P173" s="110" t="n"/>
      <c r="Q173" s="110" t="n"/>
      <c r="R173" s="40" t="n"/>
      <c r="S173" s="42" t="n"/>
      <c r="T173" s="42" t="n"/>
      <c r="U173" s="40" t="n"/>
      <c r="V173" s="40" t="n"/>
      <c r="W173" s="40" t="n"/>
      <c r="X173" s="40" t="n"/>
      <c r="Y173" s="40" t="n"/>
      <c r="Z173" s="43" t="n"/>
      <c r="AA173" s="43">
        <f>IF($A173="","",IF(OR($B173="",$E173="",$K173="",$O173="",$S173=""),"⚠ بيانات ناقصة","مكتمل"))</f>
        <v/>
      </c>
      <c r="AB173" s="44">
        <f>IF(OR($A173="",$Q173=""),"",$Q173-TODAY())</f>
        <v/>
      </c>
      <c r="AC173" s="111">
        <f>IF(OR($A173="",$O173=""),"",IFERROR(YEARFRAC($O173,TODAY(),1),"")</f>
        <v/>
      </c>
    </row>
    <row r="174">
      <c r="A174" s="46" t="n"/>
      <c r="B174" s="47" t="n"/>
      <c r="C174" s="47" t="n"/>
      <c r="D174" s="112" t="n"/>
      <c r="E174" s="46" t="n"/>
      <c r="F174" s="47" t="n"/>
      <c r="G174" s="47" t="n"/>
      <c r="H174" s="47" t="n"/>
      <c r="I174" s="47" t="n"/>
      <c r="J174" s="47" t="n"/>
      <c r="K174" s="47" t="n"/>
      <c r="L174" s="47" t="n"/>
      <c r="M174" s="47" t="n"/>
      <c r="N174" s="47" t="n"/>
      <c r="O174" s="112" t="n"/>
      <c r="P174" s="112" t="n"/>
      <c r="Q174" s="112" t="n"/>
      <c r="R174" s="47" t="n"/>
      <c r="S174" s="49" t="n"/>
      <c r="T174" s="49" t="n"/>
      <c r="U174" s="47" t="n"/>
      <c r="V174" s="47" t="n"/>
      <c r="W174" s="47" t="n"/>
      <c r="X174" s="47" t="n"/>
      <c r="Y174" s="47" t="n"/>
      <c r="Z174" s="50" t="n"/>
      <c r="AA174" s="50">
        <f>IF($A174="","",IF(OR($B174="",$E174="",$K174="",$O174="",$S174=""),"⚠ بيانات ناقصة","مكتمل"))</f>
        <v/>
      </c>
      <c r="AB174" s="51">
        <f>IF(OR($A174="",$Q174=""),"",$Q174-TODAY())</f>
        <v/>
      </c>
      <c r="AC174" s="113">
        <f>IF(OR($A174="",$O174=""),"",IFERROR(YEARFRAC($O174,TODAY(),1),"")</f>
        <v/>
      </c>
    </row>
    <row r="175">
      <c r="A175" s="39" t="n"/>
      <c r="B175" s="40" t="n"/>
      <c r="C175" s="40" t="n"/>
      <c r="D175" s="110" t="n"/>
      <c r="E175" s="39" t="n"/>
      <c r="F175" s="40" t="n"/>
      <c r="G175" s="40" t="n"/>
      <c r="H175" s="40" t="n"/>
      <c r="I175" s="40" t="n"/>
      <c r="J175" s="40" t="n"/>
      <c r="K175" s="40" t="n"/>
      <c r="L175" s="40" t="n"/>
      <c r="M175" s="40" t="n"/>
      <c r="N175" s="40" t="n"/>
      <c r="O175" s="110" t="n"/>
      <c r="P175" s="110" t="n"/>
      <c r="Q175" s="110" t="n"/>
      <c r="R175" s="40" t="n"/>
      <c r="S175" s="42" t="n"/>
      <c r="T175" s="42" t="n"/>
      <c r="U175" s="40" t="n"/>
      <c r="V175" s="40" t="n"/>
      <c r="W175" s="40" t="n"/>
      <c r="X175" s="40" t="n"/>
      <c r="Y175" s="40" t="n"/>
      <c r="Z175" s="43" t="n"/>
      <c r="AA175" s="43">
        <f>IF($A175="","",IF(OR($B175="",$E175="",$K175="",$O175="",$S175=""),"⚠ بيانات ناقصة","مكتمل"))</f>
        <v/>
      </c>
      <c r="AB175" s="44">
        <f>IF(OR($A175="",$Q175=""),"",$Q175-TODAY())</f>
        <v/>
      </c>
      <c r="AC175" s="111">
        <f>IF(OR($A175="",$O175=""),"",IFERROR(YEARFRAC($O175,TODAY(),1),"")</f>
        <v/>
      </c>
    </row>
    <row r="176">
      <c r="A176" s="46" t="n"/>
      <c r="B176" s="47" t="n"/>
      <c r="C176" s="47" t="n"/>
      <c r="D176" s="112" t="n"/>
      <c r="E176" s="46" t="n"/>
      <c r="F176" s="47" t="n"/>
      <c r="G176" s="47" t="n"/>
      <c r="H176" s="47" t="n"/>
      <c r="I176" s="47" t="n"/>
      <c r="J176" s="47" t="n"/>
      <c r="K176" s="47" t="n"/>
      <c r="L176" s="47" t="n"/>
      <c r="M176" s="47" t="n"/>
      <c r="N176" s="47" t="n"/>
      <c r="O176" s="112" t="n"/>
      <c r="P176" s="112" t="n"/>
      <c r="Q176" s="112" t="n"/>
      <c r="R176" s="47" t="n"/>
      <c r="S176" s="49" t="n"/>
      <c r="T176" s="49" t="n"/>
      <c r="U176" s="47" t="n"/>
      <c r="V176" s="47" t="n"/>
      <c r="W176" s="47" t="n"/>
      <c r="X176" s="47" t="n"/>
      <c r="Y176" s="47" t="n"/>
      <c r="Z176" s="50" t="n"/>
      <c r="AA176" s="50">
        <f>IF($A176="","",IF(OR($B176="",$E176="",$K176="",$O176="",$S176=""),"⚠ بيانات ناقصة","مكتمل"))</f>
        <v/>
      </c>
      <c r="AB176" s="51">
        <f>IF(OR($A176="",$Q176=""),"",$Q176-TODAY())</f>
        <v/>
      </c>
      <c r="AC176" s="113">
        <f>IF(OR($A176="",$O176=""),"",IFERROR(YEARFRAC($O176,TODAY(),1),"")</f>
        <v/>
      </c>
    </row>
    <row r="177">
      <c r="A177" s="39" t="n"/>
      <c r="B177" s="40" t="n"/>
      <c r="C177" s="40" t="n"/>
      <c r="D177" s="110" t="n"/>
      <c r="E177" s="39" t="n"/>
      <c r="F177" s="40" t="n"/>
      <c r="G177" s="40" t="n"/>
      <c r="H177" s="40" t="n"/>
      <c r="I177" s="40" t="n"/>
      <c r="J177" s="40" t="n"/>
      <c r="K177" s="40" t="n"/>
      <c r="L177" s="40" t="n"/>
      <c r="M177" s="40" t="n"/>
      <c r="N177" s="40" t="n"/>
      <c r="O177" s="110" t="n"/>
      <c r="P177" s="110" t="n"/>
      <c r="Q177" s="110" t="n"/>
      <c r="R177" s="40" t="n"/>
      <c r="S177" s="42" t="n"/>
      <c r="T177" s="42" t="n"/>
      <c r="U177" s="40" t="n"/>
      <c r="V177" s="40" t="n"/>
      <c r="W177" s="40" t="n"/>
      <c r="X177" s="40" t="n"/>
      <c r="Y177" s="40" t="n"/>
      <c r="Z177" s="43" t="n"/>
      <c r="AA177" s="43">
        <f>IF($A177="","",IF(OR($B177="",$E177="",$K177="",$O177="",$S177=""),"⚠ بيانات ناقصة","مكتمل"))</f>
        <v/>
      </c>
      <c r="AB177" s="44">
        <f>IF(OR($A177="",$Q177=""),"",$Q177-TODAY())</f>
        <v/>
      </c>
      <c r="AC177" s="111">
        <f>IF(OR($A177="",$O177=""),"",IFERROR(YEARFRAC($O177,TODAY(),1),"")</f>
        <v/>
      </c>
    </row>
    <row r="178">
      <c r="A178" s="46" t="n"/>
      <c r="B178" s="47" t="n"/>
      <c r="C178" s="47" t="n"/>
      <c r="D178" s="112" t="n"/>
      <c r="E178" s="46" t="n"/>
      <c r="F178" s="47" t="n"/>
      <c r="G178" s="47" t="n"/>
      <c r="H178" s="47" t="n"/>
      <c r="I178" s="47" t="n"/>
      <c r="J178" s="47" t="n"/>
      <c r="K178" s="47" t="n"/>
      <c r="L178" s="47" t="n"/>
      <c r="M178" s="47" t="n"/>
      <c r="N178" s="47" t="n"/>
      <c r="O178" s="112" t="n"/>
      <c r="P178" s="112" t="n"/>
      <c r="Q178" s="112" t="n"/>
      <c r="R178" s="47" t="n"/>
      <c r="S178" s="49" t="n"/>
      <c r="T178" s="49" t="n"/>
      <c r="U178" s="47" t="n"/>
      <c r="V178" s="47" t="n"/>
      <c r="W178" s="47" t="n"/>
      <c r="X178" s="47" t="n"/>
      <c r="Y178" s="47" t="n"/>
      <c r="Z178" s="50" t="n"/>
      <c r="AA178" s="50">
        <f>IF($A178="","",IF(OR($B178="",$E178="",$K178="",$O178="",$S178=""),"⚠ بيانات ناقصة","مكتمل"))</f>
        <v/>
      </c>
      <c r="AB178" s="51">
        <f>IF(OR($A178="",$Q178=""),"",$Q178-TODAY())</f>
        <v/>
      </c>
      <c r="AC178" s="113">
        <f>IF(OR($A178="",$O178=""),"",IFERROR(YEARFRAC($O178,TODAY(),1),"")</f>
        <v/>
      </c>
    </row>
    <row r="179">
      <c r="A179" s="39" t="n"/>
      <c r="B179" s="40" t="n"/>
      <c r="C179" s="40" t="n"/>
      <c r="D179" s="110" t="n"/>
      <c r="E179" s="39" t="n"/>
      <c r="F179" s="40" t="n"/>
      <c r="G179" s="40" t="n"/>
      <c r="H179" s="40" t="n"/>
      <c r="I179" s="40" t="n"/>
      <c r="J179" s="40" t="n"/>
      <c r="K179" s="40" t="n"/>
      <c r="L179" s="40" t="n"/>
      <c r="M179" s="40" t="n"/>
      <c r="N179" s="40" t="n"/>
      <c r="O179" s="110" t="n"/>
      <c r="P179" s="110" t="n"/>
      <c r="Q179" s="110" t="n"/>
      <c r="R179" s="40" t="n"/>
      <c r="S179" s="42" t="n"/>
      <c r="T179" s="42" t="n"/>
      <c r="U179" s="40" t="n"/>
      <c r="V179" s="40" t="n"/>
      <c r="W179" s="40" t="n"/>
      <c r="X179" s="40" t="n"/>
      <c r="Y179" s="40" t="n"/>
      <c r="Z179" s="43" t="n"/>
      <c r="AA179" s="43">
        <f>IF($A179="","",IF(OR($B179="",$E179="",$K179="",$O179="",$S179=""),"⚠ بيانات ناقصة","مكتمل"))</f>
        <v/>
      </c>
      <c r="AB179" s="44">
        <f>IF(OR($A179="",$Q179=""),"",$Q179-TODAY())</f>
        <v/>
      </c>
      <c r="AC179" s="111">
        <f>IF(OR($A179="",$O179=""),"",IFERROR(YEARFRAC($O179,TODAY(),1),"")</f>
        <v/>
      </c>
    </row>
    <row r="180">
      <c r="A180" s="46" t="n"/>
      <c r="B180" s="47" t="n"/>
      <c r="C180" s="47" t="n"/>
      <c r="D180" s="112" t="n"/>
      <c r="E180" s="46" t="n"/>
      <c r="F180" s="47" t="n"/>
      <c r="G180" s="47" t="n"/>
      <c r="H180" s="47" t="n"/>
      <c r="I180" s="47" t="n"/>
      <c r="J180" s="47" t="n"/>
      <c r="K180" s="47" t="n"/>
      <c r="L180" s="47" t="n"/>
      <c r="M180" s="47" t="n"/>
      <c r="N180" s="47" t="n"/>
      <c r="O180" s="112" t="n"/>
      <c r="P180" s="112" t="n"/>
      <c r="Q180" s="112" t="n"/>
      <c r="R180" s="47" t="n"/>
      <c r="S180" s="49" t="n"/>
      <c r="T180" s="49" t="n"/>
      <c r="U180" s="47" t="n"/>
      <c r="V180" s="47" t="n"/>
      <c r="W180" s="47" t="n"/>
      <c r="X180" s="47" t="n"/>
      <c r="Y180" s="47" t="n"/>
      <c r="Z180" s="50" t="n"/>
      <c r="AA180" s="50">
        <f>IF($A180="","",IF(OR($B180="",$E180="",$K180="",$O180="",$S180=""),"⚠ بيانات ناقصة","مكتمل"))</f>
        <v/>
      </c>
      <c r="AB180" s="51">
        <f>IF(OR($A180="",$Q180=""),"",$Q180-TODAY())</f>
        <v/>
      </c>
      <c r="AC180" s="113">
        <f>IF(OR($A180="",$O180=""),"",IFERROR(YEARFRAC($O180,TODAY(),1),"")</f>
        <v/>
      </c>
    </row>
    <row r="181">
      <c r="A181" s="39" t="n"/>
      <c r="B181" s="40" t="n"/>
      <c r="C181" s="40" t="n"/>
      <c r="D181" s="110" t="n"/>
      <c r="E181" s="39" t="n"/>
      <c r="F181" s="40" t="n"/>
      <c r="G181" s="40" t="n"/>
      <c r="H181" s="40" t="n"/>
      <c r="I181" s="40" t="n"/>
      <c r="J181" s="40" t="n"/>
      <c r="K181" s="40" t="n"/>
      <c r="L181" s="40" t="n"/>
      <c r="M181" s="40" t="n"/>
      <c r="N181" s="40" t="n"/>
      <c r="O181" s="110" t="n"/>
      <c r="P181" s="110" t="n"/>
      <c r="Q181" s="110" t="n"/>
      <c r="R181" s="40" t="n"/>
      <c r="S181" s="42" t="n"/>
      <c r="T181" s="42" t="n"/>
      <c r="U181" s="40" t="n"/>
      <c r="V181" s="40" t="n"/>
      <c r="W181" s="40" t="n"/>
      <c r="X181" s="40" t="n"/>
      <c r="Y181" s="40" t="n"/>
      <c r="Z181" s="43" t="n"/>
      <c r="AA181" s="43">
        <f>IF($A181="","",IF(OR($B181="",$E181="",$K181="",$O181="",$S181=""),"⚠ بيانات ناقصة","مكتمل"))</f>
        <v/>
      </c>
      <c r="AB181" s="44">
        <f>IF(OR($A181="",$Q181=""),"",$Q181-TODAY())</f>
        <v/>
      </c>
      <c r="AC181" s="111">
        <f>IF(OR($A181="",$O181=""),"",IFERROR(YEARFRAC($O181,TODAY(),1),"")</f>
        <v/>
      </c>
    </row>
    <row r="182">
      <c r="A182" s="46" t="n"/>
      <c r="B182" s="47" t="n"/>
      <c r="C182" s="47" t="n"/>
      <c r="D182" s="112" t="n"/>
      <c r="E182" s="46" t="n"/>
      <c r="F182" s="47" t="n"/>
      <c r="G182" s="47" t="n"/>
      <c r="H182" s="47" t="n"/>
      <c r="I182" s="47" t="n"/>
      <c r="J182" s="47" t="n"/>
      <c r="K182" s="47" t="n"/>
      <c r="L182" s="47" t="n"/>
      <c r="M182" s="47" t="n"/>
      <c r="N182" s="47" t="n"/>
      <c r="O182" s="112" t="n"/>
      <c r="P182" s="112" t="n"/>
      <c r="Q182" s="112" t="n"/>
      <c r="R182" s="47" t="n"/>
      <c r="S182" s="49" t="n"/>
      <c r="T182" s="49" t="n"/>
      <c r="U182" s="47" t="n"/>
      <c r="V182" s="47" t="n"/>
      <c r="W182" s="47" t="n"/>
      <c r="X182" s="47" t="n"/>
      <c r="Y182" s="47" t="n"/>
      <c r="Z182" s="50" t="n"/>
      <c r="AA182" s="50">
        <f>IF($A182="","",IF(OR($B182="",$E182="",$K182="",$O182="",$S182=""),"⚠ بيانات ناقصة","مكتمل"))</f>
        <v/>
      </c>
      <c r="AB182" s="51">
        <f>IF(OR($A182="",$Q182=""),"",$Q182-TODAY())</f>
        <v/>
      </c>
      <c r="AC182" s="113">
        <f>IF(OR($A182="",$O182=""),"",IFERROR(YEARFRAC($O182,TODAY(),1),"")</f>
        <v/>
      </c>
    </row>
    <row r="183">
      <c r="A183" s="39" t="n"/>
      <c r="B183" s="40" t="n"/>
      <c r="C183" s="40" t="n"/>
      <c r="D183" s="110" t="n"/>
      <c r="E183" s="39" t="n"/>
      <c r="F183" s="40" t="n"/>
      <c r="G183" s="40" t="n"/>
      <c r="H183" s="40" t="n"/>
      <c r="I183" s="40" t="n"/>
      <c r="J183" s="40" t="n"/>
      <c r="K183" s="40" t="n"/>
      <c r="L183" s="40" t="n"/>
      <c r="M183" s="40" t="n"/>
      <c r="N183" s="40" t="n"/>
      <c r="O183" s="110" t="n"/>
      <c r="P183" s="110" t="n"/>
      <c r="Q183" s="110" t="n"/>
      <c r="R183" s="40" t="n"/>
      <c r="S183" s="42" t="n"/>
      <c r="T183" s="42" t="n"/>
      <c r="U183" s="40" t="n"/>
      <c r="V183" s="40" t="n"/>
      <c r="W183" s="40" t="n"/>
      <c r="X183" s="40" t="n"/>
      <c r="Y183" s="40" t="n"/>
      <c r="Z183" s="43" t="n"/>
      <c r="AA183" s="43">
        <f>IF($A183="","",IF(OR($B183="",$E183="",$K183="",$O183="",$S183=""),"⚠ بيانات ناقصة","مكتمل"))</f>
        <v/>
      </c>
      <c r="AB183" s="44">
        <f>IF(OR($A183="",$Q183=""),"",$Q183-TODAY())</f>
        <v/>
      </c>
      <c r="AC183" s="111">
        <f>IF(OR($A183="",$O183=""),"",IFERROR(YEARFRAC($O183,TODAY(),1),"")</f>
        <v/>
      </c>
    </row>
    <row r="184">
      <c r="A184" s="46" t="n"/>
      <c r="B184" s="47" t="n"/>
      <c r="C184" s="47" t="n"/>
      <c r="D184" s="112" t="n"/>
      <c r="E184" s="46" t="n"/>
      <c r="F184" s="47" t="n"/>
      <c r="G184" s="47" t="n"/>
      <c r="H184" s="47" t="n"/>
      <c r="I184" s="47" t="n"/>
      <c r="J184" s="47" t="n"/>
      <c r="K184" s="47" t="n"/>
      <c r="L184" s="47" t="n"/>
      <c r="M184" s="47" t="n"/>
      <c r="N184" s="47" t="n"/>
      <c r="O184" s="112" t="n"/>
      <c r="P184" s="112" t="n"/>
      <c r="Q184" s="112" t="n"/>
      <c r="R184" s="47" t="n"/>
      <c r="S184" s="49" t="n"/>
      <c r="T184" s="49" t="n"/>
      <c r="U184" s="47" t="n"/>
      <c r="V184" s="47" t="n"/>
      <c r="W184" s="47" t="n"/>
      <c r="X184" s="47" t="n"/>
      <c r="Y184" s="47" t="n"/>
      <c r="Z184" s="50" t="n"/>
      <c r="AA184" s="50">
        <f>IF($A184="","",IF(OR($B184="",$E184="",$K184="",$O184="",$S184=""),"⚠ بيانات ناقصة","مكتمل"))</f>
        <v/>
      </c>
      <c r="AB184" s="51">
        <f>IF(OR($A184="",$Q184=""),"",$Q184-TODAY())</f>
        <v/>
      </c>
      <c r="AC184" s="113">
        <f>IF(OR($A184="",$O184=""),"",IFERROR(YEARFRAC($O184,TODAY(),1),"")</f>
        <v/>
      </c>
    </row>
    <row r="185">
      <c r="A185" s="39" t="n"/>
      <c r="B185" s="40" t="n"/>
      <c r="C185" s="40" t="n"/>
      <c r="D185" s="110" t="n"/>
      <c r="E185" s="39" t="n"/>
      <c r="F185" s="40" t="n"/>
      <c r="G185" s="40" t="n"/>
      <c r="H185" s="40" t="n"/>
      <c r="I185" s="40" t="n"/>
      <c r="J185" s="40" t="n"/>
      <c r="K185" s="40" t="n"/>
      <c r="L185" s="40" t="n"/>
      <c r="M185" s="40" t="n"/>
      <c r="N185" s="40" t="n"/>
      <c r="O185" s="110" t="n"/>
      <c r="P185" s="110" t="n"/>
      <c r="Q185" s="110" t="n"/>
      <c r="R185" s="40" t="n"/>
      <c r="S185" s="42" t="n"/>
      <c r="T185" s="42" t="n"/>
      <c r="U185" s="40" t="n"/>
      <c r="V185" s="40" t="n"/>
      <c r="W185" s="40" t="n"/>
      <c r="X185" s="40" t="n"/>
      <c r="Y185" s="40" t="n"/>
      <c r="Z185" s="43" t="n"/>
      <c r="AA185" s="43">
        <f>IF($A185="","",IF(OR($B185="",$E185="",$K185="",$O185="",$S185=""),"⚠ بيانات ناقصة","مكتمل"))</f>
        <v/>
      </c>
      <c r="AB185" s="44">
        <f>IF(OR($A185="",$Q185=""),"",$Q185-TODAY())</f>
        <v/>
      </c>
      <c r="AC185" s="111">
        <f>IF(OR($A185="",$O185=""),"",IFERROR(YEARFRAC($O185,TODAY(),1),"")</f>
        <v/>
      </c>
    </row>
    <row r="186">
      <c r="A186" s="46" t="n"/>
      <c r="B186" s="47" t="n"/>
      <c r="C186" s="47" t="n"/>
      <c r="D186" s="112" t="n"/>
      <c r="E186" s="46" t="n"/>
      <c r="F186" s="47" t="n"/>
      <c r="G186" s="47" t="n"/>
      <c r="H186" s="47" t="n"/>
      <c r="I186" s="47" t="n"/>
      <c r="J186" s="47" t="n"/>
      <c r="K186" s="47" t="n"/>
      <c r="L186" s="47" t="n"/>
      <c r="M186" s="47" t="n"/>
      <c r="N186" s="47" t="n"/>
      <c r="O186" s="112" t="n"/>
      <c r="P186" s="112" t="n"/>
      <c r="Q186" s="112" t="n"/>
      <c r="R186" s="47" t="n"/>
      <c r="S186" s="49" t="n"/>
      <c r="T186" s="49" t="n"/>
      <c r="U186" s="47" t="n"/>
      <c r="V186" s="47" t="n"/>
      <c r="W186" s="47" t="n"/>
      <c r="X186" s="47" t="n"/>
      <c r="Y186" s="47" t="n"/>
      <c r="Z186" s="50" t="n"/>
      <c r="AA186" s="50">
        <f>IF($A186="","",IF(OR($B186="",$E186="",$K186="",$O186="",$S186=""),"⚠ بيانات ناقصة","مكتمل"))</f>
        <v/>
      </c>
      <c r="AB186" s="51">
        <f>IF(OR($A186="",$Q186=""),"",$Q186-TODAY())</f>
        <v/>
      </c>
      <c r="AC186" s="113">
        <f>IF(OR($A186="",$O186=""),"",IFERROR(YEARFRAC($O186,TODAY(),1),"")</f>
        <v/>
      </c>
    </row>
    <row r="187">
      <c r="A187" s="39" t="n"/>
      <c r="B187" s="40" t="n"/>
      <c r="C187" s="40" t="n"/>
      <c r="D187" s="110" t="n"/>
      <c r="E187" s="39" t="n"/>
      <c r="F187" s="40" t="n"/>
      <c r="G187" s="40" t="n"/>
      <c r="H187" s="40" t="n"/>
      <c r="I187" s="40" t="n"/>
      <c r="J187" s="40" t="n"/>
      <c r="K187" s="40" t="n"/>
      <c r="L187" s="40" t="n"/>
      <c r="M187" s="40" t="n"/>
      <c r="N187" s="40" t="n"/>
      <c r="O187" s="110" t="n"/>
      <c r="P187" s="110" t="n"/>
      <c r="Q187" s="110" t="n"/>
      <c r="R187" s="40" t="n"/>
      <c r="S187" s="42" t="n"/>
      <c r="T187" s="42" t="n"/>
      <c r="U187" s="40" t="n"/>
      <c r="V187" s="40" t="n"/>
      <c r="W187" s="40" t="n"/>
      <c r="X187" s="40" t="n"/>
      <c r="Y187" s="40" t="n"/>
      <c r="Z187" s="43" t="n"/>
      <c r="AA187" s="43">
        <f>IF($A187="","",IF(OR($B187="",$E187="",$K187="",$O187="",$S187=""),"⚠ بيانات ناقصة","مكتمل"))</f>
        <v/>
      </c>
      <c r="AB187" s="44">
        <f>IF(OR($A187="",$Q187=""),"",$Q187-TODAY())</f>
        <v/>
      </c>
      <c r="AC187" s="111">
        <f>IF(OR($A187="",$O187=""),"",IFERROR(YEARFRAC($O187,TODAY(),1),"")</f>
        <v/>
      </c>
    </row>
    <row r="188">
      <c r="A188" s="46" t="n"/>
      <c r="B188" s="47" t="n"/>
      <c r="C188" s="47" t="n"/>
      <c r="D188" s="112" t="n"/>
      <c r="E188" s="46" t="n"/>
      <c r="F188" s="47" t="n"/>
      <c r="G188" s="47" t="n"/>
      <c r="H188" s="47" t="n"/>
      <c r="I188" s="47" t="n"/>
      <c r="J188" s="47" t="n"/>
      <c r="K188" s="47" t="n"/>
      <c r="L188" s="47" t="n"/>
      <c r="M188" s="47" t="n"/>
      <c r="N188" s="47" t="n"/>
      <c r="O188" s="112" t="n"/>
      <c r="P188" s="112" t="n"/>
      <c r="Q188" s="112" t="n"/>
      <c r="R188" s="47" t="n"/>
      <c r="S188" s="49" t="n"/>
      <c r="T188" s="49" t="n"/>
      <c r="U188" s="47" t="n"/>
      <c r="V188" s="47" t="n"/>
      <c r="W188" s="47" t="n"/>
      <c r="X188" s="47" t="n"/>
      <c r="Y188" s="47" t="n"/>
      <c r="Z188" s="50" t="n"/>
      <c r="AA188" s="50">
        <f>IF($A188="","",IF(OR($B188="",$E188="",$K188="",$O188="",$S188=""),"⚠ بيانات ناقصة","مكتمل"))</f>
        <v/>
      </c>
      <c r="AB188" s="51">
        <f>IF(OR($A188="",$Q188=""),"",$Q188-TODAY())</f>
        <v/>
      </c>
      <c r="AC188" s="113">
        <f>IF(OR($A188="",$O188=""),"",IFERROR(YEARFRAC($O188,TODAY(),1),"")</f>
        <v/>
      </c>
    </row>
    <row r="189">
      <c r="A189" s="39" t="n"/>
      <c r="B189" s="40" t="n"/>
      <c r="C189" s="40" t="n"/>
      <c r="D189" s="110" t="n"/>
      <c r="E189" s="39" t="n"/>
      <c r="F189" s="40" t="n"/>
      <c r="G189" s="40" t="n"/>
      <c r="H189" s="40" t="n"/>
      <c r="I189" s="40" t="n"/>
      <c r="J189" s="40" t="n"/>
      <c r="K189" s="40" t="n"/>
      <c r="L189" s="40" t="n"/>
      <c r="M189" s="40" t="n"/>
      <c r="N189" s="40" t="n"/>
      <c r="O189" s="110" t="n"/>
      <c r="P189" s="110" t="n"/>
      <c r="Q189" s="110" t="n"/>
      <c r="R189" s="40" t="n"/>
      <c r="S189" s="42" t="n"/>
      <c r="T189" s="42" t="n"/>
      <c r="U189" s="40" t="n"/>
      <c r="V189" s="40" t="n"/>
      <c r="W189" s="40" t="n"/>
      <c r="X189" s="40" t="n"/>
      <c r="Y189" s="40" t="n"/>
      <c r="Z189" s="43" t="n"/>
      <c r="AA189" s="43">
        <f>IF($A189="","",IF(OR($B189="",$E189="",$K189="",$O189="",$S189=""),"⚠ بيانات ناقصة","مكتمل"))</f>
        <v/>
      </c>
      <c r="AB189" s="44">
        <f>IF(OR($A189="",$Q189=""),"",$Q189-TODAY())</f>
        <v/>
      </c>
      <c r="AC189" s="111">
        <f>IF(OR($A189="",$O189=""),"",IFERROR(YEARFRAC($O189,TODAY(),1),"")</f>
        <v/>
      </c>
    </row>
    <row r="190">
      <c r="A190" s="46" t="n"/>
      <c r="B190" s="47" t="n"/>
      <c r="C190" s="47" t="n"/>
      <c r="D190" s="112" t="n"/>
      <c r="E190" s="46" t="n"/>
      <c r="F190" s="47" t="n"/>
      <c r="G190" s="47" t="n"/>
      <c r="H190" s="47" t="n"/>
      <c r="I190" s="47" t="n"/>
      <c r="J190" s="47" t="n"/>
      <c r="K190" s="47" t="n"/>
      <c r="L190" s="47" t="n"/>
      <c r="M190" s="47" t="n"/>
      <c r="N190" s="47" t="n"/>
      <c r="O190" s="112" t="n"/>
      <c r="P190" s="112" t="n"/>
      <c r="Q190" s="112" t="n"/>
      <c r="R190" s="47" t="n"/>
      <c r="S190" s="49" t="n"/>
      <c r="T190" s="49" t="n"/>
      <c r="U190" s="47" t="n"/>
      <c r="V190" s="47" t="n"/>
      <c r="W190" s="47" t="n"/>
      <c r="X190" s="47" t="n"/>
      <c r="Y190" s="47" t="n"/>
      <c r="Z190" s="50" t="n"/>
      <c r="AA190" s="50">
        <f>IF($A190="","",IF(OR($B190="",$E190="",$K190="",$O190="",$S190=""),"⚠ بيانات ناقصة","مكتمل"))</f>
        <v/>
      </c>
      <c r="AB190" s="51">
        <f>IF(OR($A190="",$Q190=""),"",$Q190-TODAY())</f>
        <v/>
      </c>
      <c r="AC190" s="113">
        <f>IF(OR($A190="",$O190=""),"",IFERROR(YEARFRAC($O190,TODAY(),1),"")</f>
        <v/>
      </c>
    </row>
    <row r="191">
      <c r="A191" s="39" t="n"/>
      <c r="B191" s="40" t="n"/>
      <c r="C191" s="40" t="n"/>
      <c r="D191" s="110" t="n"/>
      <c r="E191" s="39" t="n"/>
      <c r="F191" s="40" t="n"/>
      <c r="G191" s="40" t="n"/>
      <c r="H191" s="40" t="n"/>
      <c r="I191" s="40" t="n"/>
      <c r="J191" s="40" t="n"/>
      <c r="K191" s="40" t="n"/>
      <c r="L191" s="40" t="n"/>
      <c r="M191" s="40" t="n"/>
      <c r="N191" s="40" t="n"/>
      <c r="O191" s="110" t="n"/>
      <c r="P191" s="110" t="n"/>
      <c r="Q191" s="110" t="n"/>
      <c r="R191" s="40" t="n"/>
      <c r="S191" s="42" t="n"/>
      <c r="T191" s="42" t="n"/>
      <c r="U191" s="40" t="n"/>
      <c r="V191" s="40" t="n"/>
      <c r="W191" s="40" t="n"/>
      <c r="X191" s="40" t="n"/>
      <c r="Y191" s="40" t="n"/>
      <c r="Z191" s="43" t="n"/>
      <c r="AA191" s="43">
        <f>IF($A191="","",IF(OR($B191="",$E191="",$K191="",$O191="",$S191=""),"⚠ بيانات ناقصة","مكتمل"))</f>
        <v/>
      </c>
      <c r="AB191" s="44">
        <f>IF(OR($A191="",$Q191=""),"",$Q191-TODAY())</f>
        <v/>
      </c>
      <c r="AC191" s="111">
        <f>IF(OR($A191="",$O191=""),"",IFERROR(YEARFRAC($O191,TODAY(),1),"")</f>
        <v/>
      </c>
    </row>
    <row r="192">
      <c r="A192" s="46" t="n"/>
      <c r="B192" s="47" t="n"/>
      <c r="C192" s="47" t="n"/>
      <c r="D192" s="112" t="n"/>
      <c r="E192" s="46" t="n"/>
      <c r="F192" s="47" t="n"/>
      <c r="G192" s="47" t="n"/>
      <c r="H192" s="47" t="n"/>
      <c r="I192" s="47" t="n"/>
      <c r="J192" s="47" t="n"/>
      <c r="K192" s="47" t="n"/>
      <c r="L192" s="47" t="n"/>
      <c r="M192" s="47" t="n"/>
      <c r="N192" s="47" t="n"/>
      <c r="O192" s="112" t="n"/>
      <c r="P192" s="112" t="n"/>
      <c r="Q192" s="112" t="n"/>
      <c r="R192" s="47" t="n"/>
      <c r="S192" s="49" t="n"/>
      <c r="T192" s="49" t="n"/>
      <c r="U192" s="47" t="n"/>
      <c r="V192" s="47" t="n"/>
      <c r="W192" s="47" t="n"/>
      <c r="X192" s="47" t="n"/>
      <c r="Y192" s="47" t="n"/>
      <c r="Z192" s="50" t="n"/>
      <c r="AA192" s="50">
        <f>IF($A192="","",IF(OR($B192="",$E192="",$K192="",$O192="",$S192=""),"⚠ بيانات ناقصة","مكتمل"))</f>
        <v/>
      </c>
      <c r="AB192" s="51">
        <f>IF(OR($A192="",$Q192=""),"",$Q192-TODAY())</f>
        <v/>
      </c>
      <c r="AC192" s="113">
        <f>IF(OR($A192="",$O192=""),"",IFERROR(YEARFRAC($O192,TODAY(),1),"")</f>
        <v/>
      </c>
    </row>
    <row r="193">
      <c r="A193" s="39" t="n"/>
      <c r="B193" s="40" t="n"/>
      <c r="C193" s="40" t="n"/>
      <c r="D193" s="110" t="n"/>
      <c r="E193" s="39" t="n"/>
      <c r="F193" s="40" t="n"/>
      <c r="G193" s="40" t="n"/>
      <c r="H193" s="40" t="n"/>
      <c r="I193" s="40" t="n"/>
      <c r="J193" s="40" t="n"/>
      <c r="K193" s="40" t="n"/>
      <c r="L193" s="40" t="n"/>
      <c r="M193" s="40" t="n"/>
      <c r="N193" s="40" t="n"/>
      <c r="O193" s="110" t="n"/>
      <c r="P193" s="110" t="n"/>
      <c r="Q193" s="110" t="n"/>
      <c r="R193" s="40" t="n"/>
      <c r="S193" s="42" t="n"/>
      <c r="T193" s="42" t="n"/>
      <c r="U193" s="40" t="n"/>
      <c r="V193" s="40" t="n"/>
      <c r="W193" s="40" t="n"/>
      <c r="X193" s="40" t="n"/>
      <c r="Y193" s="40" t="n"/>
      <c r="Z193" s="43" t="n"/>
      <c r="AA193" s="43">
        <f>IF($A193="","",IF(OR($B193="",$E193="",$K193="",$O193="",$S193=""),"⚠ بيانات ناقصة","مكتمل"))</f>
        <v/>
      </c>
      <c r="AB193" s="44">
        <f>IF(OR($A193="",$Q193=""),"",$Q193-TODAY())</f>
        <v/>
      </c>
      <c r="AC193" s="111">
        <f>IF(OR($A193="",$O193=""),"",IFERROR(YEARFRAC($O193,TODAY(),1),"")</f>
        <v/>
      </c>
    </row>
    <row r="194">
      <c r="A194" s="46" t="n"/>
      <c r="B194" s="47" t="n"/>
      <c r="C194" s="47" t="n"/>
      <c r="D194" s="112" t="n"/>
      <c r="E194" s="46" t="n"/>
      <c r="F194" s="47" t="n"/>
      <c r="G194" s="47" t="n"/>
      <c r="H194" s="47" t="n"/>
      <c r="I194" s="47" t="n"/>
      <c r="J194" s="47" t="n"/>
      <c r="K194" s="47" t="n"/>
      <c r="L194" s="47" t="n"/>
      <c r="M194" s="47" t="n"/>
      <c r="N194" s="47" t="n"/>
      <c r="O194" s="112" t="n"/>
      <c r="P194" s="112" t="n"/>
      <c r="Q194" s="112" t="n"/>
      <c r="R194" s="47" t="n"/>
      <c r="S194" s="49" t="n"/>
      <c r="T194" s="49" t="n"/>
      <c r="U194" s="47" t="n"/>
      <c r="V194" s="47" t="n"/>
      <c r="W194" s="47" t="n"/>
      <c r="X194" s="47" t="n"/>
      <c r="Y194" s="47" t="n"/>
      <c r="Z194" s="50" t="n"/>
      <c r="AA194" s="50">
        <f>IF($A194="","",IF(OR($B194="",$E194="",$K194="",$O194="",$S194=""),"⚠ بيانات ناقصة","مكتمل"))</f>
        <v/>
      </c>
      <c r="AB194" s="51">
        <f>IF(OR($A194="",$Q194=""),"",$Q194-TODAY())</f>
        <v/>
      </c>
      <c r="AC194" s="113">
        <f>IF(OR($A194="",$O194=""),"",IFERROR(YEARFRAC($O194,TODAY(),1),"")</f>
        <v/>
      </c>
    </row>
    <row r="195">
      <c r="A195" s="39" t="n"/>
      <c r="B195" s="40" t="n"/>
      <c r="C195" s="40" t="n"/>
      <c r="D195" s="110" t="n"/>
      <c r="E195" s="39" t="n"/>
      <c r="F195" s="40" t="n"/>
      <c r="G195" s="40" t="n"/>
      <c r="H195" s="40" t="n"/>
      <c r="I195" s="40" t="n"/>
      <c r="J195" s="40" t="n"/>
      <c r="K195" s="40" t="n"/>
      <c r="L195" s="40" t="n"/>
      <c r="M195" s="40" t="n"/>
      <c r="N195" s="40" t="n"/>
      <c r="O195" s="110" t="n"/>
      <c r="P195" s="110" t="n"/>
      <c r="Q195" s="110" t="n"/>
      <c r="R195" s="40" t="n"/>
      <c r="S195" s="42" t="n"/>
      <c r="T195" s="42" t="n"/>
      <c r="U195" s="40" t="n"/>
      <c r="V195" s="40" t="n"/>
      <c r="W195" s="40" t="n"/>
      <c r="X195" s="40" t="n"/>
      <c r="Y195" s="40" t="n"/>
      <c r="Z195" s="43" t="n"/>
      <c r="AA195" s="43">
        <f>IF($A195="","",IF(OR($B195="",$E195="",$K195="",$O195="",$S195=""),"⚠ بيانات ناقصة","مكتمل"))</f>
        <v/>
      </c>
      <c r="AB195" s="44">
        <f>IF(OR($A195="",$Q195=""),"",$Q195-TODAY())</f>
        <v/>
      </c>
      <c r="AC195" s="111">
        <f>IF(OR($A195="",$O195=""),"",IFERROR(YEARFRAC($O195,TODAY(),1),"")</f>
        <v/>
      </c>
    </row>
    <row r="196">
      <c r="A196" s="46" t="n"/>
      <c r="B196" s="47" t="n"/>
      <c r="C196" s="47" t="n"/>
      <c r="D196" s="112" t="n"/>
      <c r="E196" s="46" t="n"/>
      <c r="F196" s="47" t="n"/>
      <c r="G196" s="47" t="n"/>
      <c r="H196" s="47" t="n"/>
      <c r="I196" s="47" t="n"/>
      <c r="J196" s="47" t="n"/>
      <c r="K196" s="47" t="n"/>
      <c r="L196" s="47" t="n"/>
      <c r="M196" s="47" t="n"/>
      <c r="N196" s="47" t="n"/>
      <c r="O196" s="112" t="n"/>
      <c r="P196" s="112" t="n"/>
      <c r="Q196" s="112" t="n"/>
      <c r="R196" s="47" t="n"/>
      <c r="S196" s="49" t="n"/>
      <c r="T196" s="49" t="n"/>
      <c r="U196" s="47" t="n"/>
      <c r="V196" s="47" t="n"/>
      <c r="W196" s="47" t="n"/>
      <c r="X196" s="47" t="n"/>
      <c r="Y196" s="47" t="n"/>
      <c r="Z196" s="50" t="n"/>
      <c r="AA196" s="50">
        <f>IF($A196="","",IF(OR($B196="",$E196="",$K196="",$O196="",$S196=""),"⚠ بيانات ناقصة","مكتمل"))</f>
        <v/>
      </c>
      <c r="AB196" s="51">
        <f>IF(OR($A196="",$Q196=""),"",$Q196-TODAY())</f>
        <v/>
      </c>
      <c r="AC196" s="113">
        <f>IF(OR($A196="",$O196=""),"",IFERROR(YEARFRAC($O196,TODAY(),1),"")</f>
        <v/>
      </c>
    </row>
    <row r="197">
      <c r="A197" s="39" t="n"/>
      <c r="B197" s="40" t="n"/>
      <c r="C197" s="40" t="n"/>
      <c r="D197" s="110" t="n"/>
      <c r="E197" s="39" t="n"/>
      <c r="F197" s="40" t="n"/>
      <c r="G197" s="40" t="n"/>
      <c r="H197" s="40" t="n"/>
      <c r="I197" s="40" t="n"/>
      <c r="J197" s="40" t="n"/>
      <c r="K197" s="40" t="n"/>
      <c r="L197" s="40" t="n"/>
      <c r="M197" s="40" t="n"/>
      <c r="N197" s="40" t="n"/>
      <c r="O197" s="110" t="n"/>
      <c r="P197" s="110" t="n"/>
      <c r="Q197" s="110" t="n"/>
      <c r="R197" s="40" t="n"/>
      <c r="S197" s="42" t="n"/>
      <c r="T197" s="42" t="n"/>
      <c r="U197" s="40" t="n"/>
      <c r="V197" s="40" t="n"/>
      <c r="W197" s="40" t="n"/>
      <c r="X197" s="40" t="n"/>
      <c r="Y197" s="40" t="n"/>
      <c r="Z197" s="43" t="n"/>
      <c r="AA197" s="43">
        <f>IF($A197="","",IF(OR($B197="",$E197="",$K197="",$O197="",$S197=""),"⚠ بيانات ناقصة","مكتمل"))</f>
        <v/>
      </c>
      <c r="AB197" s="44">
        <f>IF(OR($A197="",$Q197=""),"",$Q197-TODAY())</f>
        <v/>
      </c>
      <c r="AC197" s="111">
        <f>IF(OR($A197="",$O197=""),"",IFERROR(YEARFRAC($O197,TODAY(),1),"")</f>
        <v/>
      </c>
    </row>
    <row r="198">
      <c r="A198" s="46" t="n"/>
      <c r="B198" s="47" t="n"/>
      <c r="C198" s="47" t="n"/>
      <c r="D198" s="112" t="n"/>
      <c r="E198" s="46" t="n"/>
      <c r="F198" s="47" t="n"/>
      <c r="G198" s="47" t="n"/>
      <c r="H198" s="47" t="n"/>
      <c r="I198" s="47" t="n"/>
      <c r="J198" s="47" t="n"/>
      <c r="K198" s="47" t="n"/>
      <c r="L198" s="47" t="n"/>
      <c r="M198" s="47" t="n"/>
      <c r="N198" s="47" t="n"/>
      <c r="O198" s="112" t="n"/>
      <c r="P198" s="112" t="n"/>
      <c r="Q198" s="112" t="n"/>
      <c r="R198" s="47" t="n"/>
      <c r="S198" s="49" t="n"/>
      <c r="T198" s="49" t="n"/>
      <c r="U198" s="47" t="n"/>
      <c r="V198" s="47" t="n"/>
      <c r="W198" s="47" t="n"/>
      <c r="X198" s="47" t="n"/>
      <c r="Y198" s="47" t="n"/>
      <c r="Z198" s="50" t="n"/>
      <c r="AA198" s="50">
        <f>IF($A198="","",IF(OR($B198="",$E198="",$K198="",$O198="",$S198=""),"⚠ بيانات ناقصة","مكتمل"))</f>
        <v/>
      </c>
      <c r="AB198" s="51">
        <f>IF(OR($A198="",$Q198=""),"",$Q198-TODAY())</f>
        <v/>
      </c>
      <c r="AC198" s="113">
        <f>IF(OR($A198="",$O198=""),"",IFERROR(YEARFRAC($O198,TODAY(),1),"")</f>
        <v/>
      </c>
    </row>
    <row r="199">
      <c r="A199" s="39" t="n"/>
      <c r="B199" s="40" t="n"/>
      <c r="C199" s="40" t="n"/>
      <c r="D199" s="110" t="n"/>
      <c r="E199" s="39" t="n"/>
      <c r="F199" s="40" t="n"/>
      <c r="G199" s="40" t="n"/>
      <c r="H199" s="40" t="n"/>
      <c r="I199" s="40" t="n"/>
      <c r="J199" s="40" t="n"/>
      <c r="K199" s="40" t="n"/>
      <c r="L199" s="40" t="n"/>
      <c r="M199" s="40" t="n"/>
      <c r="N199" s="40" t="n"/>
      <c r="O199" s="110" t="n"/>
      <c r="P199" s="110" t="n"/>
      <c r="Q199" s="110" t="n"/>
      <c r="R199" s="40" t="n"/>
      <c r="S199" s="42" t="n"/>
      <c r="T199" s="42" t="n"/>
      <c r="U199" s="40" t="n"/>
      <c r="V199" s="40" t="n"/>
      <c r="W199" s="40" t="n"/>
      <c r="X199" s="40" t="n"/>
      <c r="Y199" s="40" t="n"/>
      <c r="Z199" s="43" t="n"/>
      <c r="AA199" s="43">
        <f>IF($A199="","",IF(OR($B199="",$E199="",$K199="",$O199="",$S199=""),"⚠ بيانات ناقصة","مكتمل"))</f>
        <v/>
      </c>
      <c r="AB199" s="44">
        <f>IF(OR($A199="",$Q199=""),"",$Q199-TODAY())</f>
        <v/>
      </c>
      <c r="AC199" s="111">
        <f>IF(OR($A199="",$O199=""),"",IFERROR(YEARFRAC($O199,TODAY(),1),"")</f>
        <v/>
      </c>
    </row>
    <row r="200">
      <c r="A200" s="46" t="n"/>
      <c r="B200" s="47" t="n"/>
      <c r="C200" s="47" t="n"/>
      <c r="D200" s="112" t="n"/>
      <c r="E200" s="46" t="n"/>
      <c r="F200" s="47" t="n"/>
      <c r="G200" s="47" t="n"/>
      <c r="H200" s="47" t="n"/>
      <c r="I200" s="47" t="n"/>
      <c r="J200" s="47" t="n"/>
      <c r="K200" s="47" t="n"/>
      <c r="L200" s="47" t="n"/>
      <c r="M200" s="47" t="n"/>
      <c r="N200" s="47" t="n"/>
      <c r="O200" s="112" t="n"/>
      <c r="P200" s="112" t="n"/>
      <c r="Q200" s="112" t="n"/>
      <c r="R200" s="47" t="n"/>
      <c r="S200" s="49" t="n"/>
      <c r="T200" s="49" t="n"/>
      <c r="U200" s="47" t="n"/>
      <c r="V200" s="47" t="n"/>
      <c r="W200" s="47" t="n"/>
      <c r="X200" s="47" t="n"/>
      <c r="Y200" s="47" t="n"/>
      <c r="Z200" s="50" t="n"/>
      <c r="AA200" s="50">
        <f>IF($A200="","",IF(OR($B200="",$E200="",$K200="",$O200="",$S200=""),"⚠ بيانات ناقصة","مكتمل"))</f>
        <v/>
      </c>
      <c r="AB200" s="51">
        <f>IF(OR($A200="",$Q200=""),"",$Q200-TODAY())</f>
        <v/>
      </c>
      <c r="AC200" s="113">
        <f>IF(OR($A200="",$O200=""),"",IFERROR(YEARFRAC($O200,TODAY(),1),"")</f>
        <v/>
      </c>
    </row>
    <row r="201">
      <c r="A201" s="39" t="n"/>
      <c r="B201" s="40" t="n"/>
      <c r="C201" s="40" t="n"/>
      <c r="D201" s="110" t="n"/>
      <c r="E201" s="39" t="n"/>
      <c r="F201" s="40" t="n"/>
      <c r="G201" s="40" t="n"/>
      <c r="H201" s="40" t="n"/>
      <c r="I201" s="40" t="n"/>
      <c r="J201" s="40" t="n"/>
      <c r="K201" s="40" t="n"/>
      <c r="L201" s="40" t="n"/>
      <c r="M201" s="40" t="n"/>
      <c r="N201" s="40" t="n"/>
      <c r="O201" s="110" t="n"/>
      <c r="P201" s="110" t="n"/>
      <c r="Q201" s="110" t="n"/>
      <c r="R201" s="40" t="n"/>
      <c r="S201" s="42" t="n"/>
      <c r="T201" s="42" t="n"/>
      <c r="U201" s="40" t="n"/>
      <c r="V201" s="40" t="n"/>
      <c r="W201" s="40" t="n"/>
      <c r="X201" s="40" t="n"/>
      <c r="Y201" s="40" t="n"/>
      <c r="Z201" s="43" t="n"/>
      <c r="AA201" s="43">
        <f>IF($A201="","",IF(OR($B201="",$E201="",$K201="",$O201="",$S201=""),"⚠ بيانات ناقصة","مكتمل"))</f>
        <v/>
      </c>
      <c r="AB201" s="44">
        <f>IF(OR($A201="",$Q201=""),"",$Q201-TODAY())</f>
        <v/>
      </c>
      <c r="AC201" s="111">
        <f>IF(OR($A201="",$O201=""),"",IFERROR(YEARFRAC($O201,TODAY(),1),"")</f>
        <v/>
      </c>
    </row>
    <row r="202">
      <c r="A202" s="46" t="n"/>
      <c r="B202" s="47" t="n"/>
      <c r="C202" s="47" t="n"/>
      <c r="D202" s="112" t="n"/>
      <c r="E202" s="46" t="n"/>
      <c r="F202" s="47" t="n"/>
      <c r="G202" s="47" t="n"/>
      <c r="H202" s="47" t="n"/>
      <c r="I202" s="47" t="n"/>
      <c r="J202" s="47" t="n"/>
      <c r="K202" s="47" t="n"/>
      <c r="L202" s="47" t="n"/>
      <c r="M202" s="47" t="n"/>
      <c r="N202" s="47" t="n"/>
      <c r="O202" s="112" t="n"/>
      <c r="P202" s="112" t="n"/>
      <c r="Q202" s="112" t="n"/>
      <c r="R202" s="47" t="n"/>
      <c r="S202" s="49" t="n"/>
      <c r="T202" s="49" t="n"/>
      <c r="U202" s="47" t="n"/>
      <c r="V202" s="47" t="n"/>
      <c r="W202" s="47" t="n"/>
      <c r="X202" s="47" t="n"/>
      <c r="Y202" s="47" t="n"/>
      <c r="Z202" s="50" t="n"/>
      <c r="AA202" s="50">
        <f>IF($A202="","",IF(OR($B202="",$E202="",$K202="",$O202="",$S202=""),"⚠ بيانات ناقصة","مكتمل"))</f>
        <v/>
      </c>
      <c r="AB202" s="51">
        <f>IF(OR($A202="",$Q202=""),"",$Q202-TODAY())</f>
        <v/>
      </c>
      <c r="AC202" s="113">
        <f>IF(OR($A202="",$O202=""),"",IFERROR(YEARFRAC($O202,TODAY(),1),"")</f>
        <v/>
      </c>
    </row>
    <row r="203">
      <c r="A203" s="39" t="n"/>
      <c r="B203" s="40" t="n"/>
      <c r="C203" s="40" t="n"/>
      <c r="D203" s="110" t="n"/>
      <c r="E203" s="39" t="n"/>
      <c r="F203" s="40" t="n"/>
      <c r="G203" s="40" t="n"/>
      <c r="H203" s="40" t="n"/>
      <c r="I203" s="40" t="n"/>
      <c r="J203" s="40" t="n"/>
      <c r="K203" s="40" t="n"/>
      <c r="L203" s="40" t="n"/>
      <c r="M203" s="40" t="n"/>
      <c r="N203" s="40" t="n"/>
      <c r="O203" s="110" t="n"/>
      <c r="P203" s="110" t="n"/>
      <c r="Q203" s="110" t="n"/>
      <c r="R203" s="40" t="n"/>
      <c r="S203" s="42" t="n"/>
      <c r="T203" s="42" t="n"/>
      <c r="U203" s="40" t="n"/>
      <c r="V203" s="40" t="n"/>
      <c r="W203" s="40" t="n"/>
      <c r="X203" s="40" t="n"/>
      <c r="Y203" s="40" t="n"/>
      <c r="Z203" s="43" t="n"/>
      <c r="AA203" s="43">
        <f>IF($A203="","",IF(OR($B203="",$E203="",$K203="",$O203="",$S203=""),"⚠ بيانات ناقصة","مكتمل"))</f>
        <v/>
      </c>
      <c r="AB203" s="44">
        <f>IF(OR($A203="",$Q203=""),"",$Q203-TODAY())</f>
        <v/>
      </c>
      <c r="AC203" s="111">
        <f>IF(OR($A203="",$O203=""),"",IFERROR(YEARFRAC($O203,TODAY(),1),"")</f>
        <v/>
      </c>
    </row>
    <row r="204">
      <c r="A204" s="46" t="n"/>
      <c r="B204" s="47" t="n"/>
      <c r="C204" s="47" t="n"/>
      <c r="D204" s="112" t="n"/>
      <c r="E204" s="46" t="n"/>
      <c r="F204" s="47" t="n"/>
      <c r="G204" s="47" t="n"/>
      <c r="H204" s="47" t="n"/>
      <c r="I204" s="47" t="n"/>
      <c r="J204" s="47" t="n"/>
      <c r="K204" s="47" t="n"/>
      <c r="L204" s="47" t="n"/>
      <c r="M204" s="47" t="n"/>
      <c r="N204" s="47" t="n"/>
      <c r="O204" s="112" t="n"/>
      <c r="P204" s="112" t="n"/>
      <c r="Q204" s="112" t="n"/>
      <c r="R204" s="47" t="n"/>
      <c r="S204" s="49" t="n"/>
      <c r="T204" s="49" t="n"/>
      <c r="U204" s="47" t="n"/>
      <c r="V204" s="47" t="n"/>
      <c r="W204" s="47" t="n"/>
      <c r="X204" s="47" t="n"/>
      <c r="Y204" s="47" t="n"/>
      <c r="Z204" s="50" t="n"/>
      <c r="AA204" s="50">
        <f>IF($A204="","",IF(OR($B204="",$E204="",$K204="",$O204="",$S204=""),"⚠ بيانات ناقصة","مكتمل"))</f>
        <v/>
      </c>
      <c r="AB204" s="51">
        <f>IF(OR($A204="",$Q204=""),"",$Q204-TODAY())</f>
        <v/>
      </c>
      <c r="AC204" s="113">
        <f>IF(OR($A204="",$O204=""),"",IFERROR(YEARFRAC($O204,TODAY(),1),"")</f>
        <v/>
      </c>
    </row>
    <row r="205">
      <c r="A205" s="39" t="n"/>
      <c r="B205" s="40" t="n"/>
      <c r="C205" s="40" t="n"/>
      <c r="D205" s="110" t="n"/>
      <c r="E205" s="39" t="n"/>
      <c r="F205" s="40" t="n"/>
      <c r="G205" s="40" t="n"/>
      <c r="H205" s="40" t="n"/>
      <c r="I205" s="40" t="n"/>
      <c r="J205" s="40" t="n"/>
      <c r="K205" s="40" t="n"/>
      <c r="L205" s="40" t="n"/>
      <c r="M205" s="40" t="n"/>
      <c r="N205" s="40" t="n"/>
      <c r="O205" s="110" t="n"/>
      <c r="P205" s="110" t="n"/>
      <c r="Q205" s="110" t="n"/>
      <c r="R205" s="40" t="n"/>
      <c r="S205" s="42" t="n"/>
      <c r="T205" s="42" t="n"/>
      <c r="U205" s="40" t="n"/>
      <c r="V205" s="40" t="n"/>
      <c r="W205" s="40" t="n"/>
      <c r="X205" s="40" t="n"/>
      <c r="Y205" s="40" t="n"/>
      <c r="Z205" s="43" t="n"/>
      <c r="AA205" s="43">
        <f>IF($A205="","",IF(OR($B205="",$E205="",$K205="",$O205="",$S205=""),"⚠ بيانات ناقصة","مكتمل"))</f>
        <v/>
      </c>
      <c r="AB205" s="44">
        <f>IF(OR($A205="",$Q205=""),"",$Q205-TODAY())</f>
        <v/>
      </c>
      <c r="AC205" s="111">
        <f>IF(OR($A205="",$O205=""),"",IFERROR(YEARFRAC($O205,TODAY(),1),"")</f>
        <v/>
      </c>
    </row>
    <row r="206">
      <c r="A206" s="46" t="n"/>
      <c r="B206" s="47" t="n"/>
      <c r="C206" s="47" t="n"/>
      <c r="D206" s="112" t="n"/>
      <c r="E206" s="46" t="n"/>
      <c r="F206" s="47" t="n"/>
      <c r="G206" s="47" t="n"/>
      <c r="H206" s="47" t="n"/>
      <c r="I206" s="47" t="n"/>
      <c r="J206" s="47" t="n"/>
      <c r="K206" s="47" t="n"/>
      <c r="L206" s="47" t="n"/>
      <c r="M206" s="47" t="n"/>
      <c r="N206" s="47" t="n"/>
      <c r="O206" s="112" t="n"/>
      <c r="P206" s="112" t="n"/>
      <c r="Q206" s="112" t="n"/>
      <c r="R206" s="47" t="n"/>
      <c r="S206" s="49" t="n"/>
      <c r="T206" s="49" t="n"/>
      <c r="U206" s="47" t="n"/>
      <c r="V206" s="47" t="n"/>
      <c r="W206" s="47" t="n"/>
      <c r="X206" s="47" t="n"/>
      <c r="Y206" s="47" t="n"/>
      <c r="Z206" s="50" t="n"/>
      <c r="AA206" s="50">
        <f>IF($A206="","",IF(OR($B206="",$E206="",$K206="",$O206="",$S206=""),"⚠ بيانات ناقصة","مكتمل"))</f>
        <v/>
      </c>
      <c r="AB206" s="51">
        <f>IF(OR($A206="",$Q206=""),"",$Q206-TODAY())</f>
        <v/>
      </c>
      <c r="AC206" s="113">
        <f>IF(OR($A206="",$O206=""),"",IFERROR(YEARFRAC($O206,TODAY(),1),"")</f>
        <v/>
      </c>
    </row>
    <row r="207">
      <c r="A207" s="39" t="n"/>
      <c r="B207" s="40" t="n"/>
      <c r="C207" s="40" t="n"/>
      <c r="D207" s="110" t="n"/>
      <c r="E207" s="39" t="n"/>
      <c r="F207" s="40" t="n"/>
      <c r="G207" s="40" t="n"/>
      <c r="H207" s="40" t="n"/>
      <c r="I207" s="40" t="n"/>
      <c r="J207" s="40" t="n"/>
      <c r="K207" s="40" t="n"/>
      <c r="L207" s="40" t="n"/>
      <c r="M207" s="40" t="n"/>
      <c r="N207" s="40" t="n"/>
      <c r="O207" s="110" t="n"/>
      <c r="P207" s="110" t="n"/>
      <c r="Q207" s="110" t="n"/>
      <c r="R207" s="40" t="n"/>
      <c r="S207" s="42" t="n"/>
      <c r="T207" s="42" t="n"/>
      <c r="U207" s="40" t="n"/>
      <c r="V207" s="40" t="n"/>
      <c r="W207" s="40" t="n"/>
      <c r="X207" s="40" t="n"/>
      <c r="Y207" s="40" t="n"/>
      <c r="Z207" s="43" t="n"/>
      <c r="AA207" s="43">
        <f>IF($A207="","",IF(OR($B207="",$E207="",$K207="",$O207="",$S207=""),"⚠ بيانات ناقصة","مكتمل"))</f>
        <v/>
      </c>
      <c r="AB207" s="44">
        <f>IF(OR($A207="",$Q207=""),"",$Q207-TODAY())</f>
        <v/>
      </c>
      <c r="AC207" s="111">
        <f>IF(OR($A207="",$O207=""),"",IFERROR(YEARFRAC($O207,TODAY(),1),"")</f>
        <v/>
      </c>
    </row>
    <row r="208">
      <c r="A208" s="46" t="n"/>
      <c r="B208" s="47" t="n"/>
      <c r="C208" s="47" t="n"/>
      <c r="D208" s="112" t="n"/>
      <c r="E208" s="46" t="n"/>
      <c r="F208" s="47" t="n"/>
      <c r="G208" s="47" t="n"/>
      <c r="H208" s="47" t="n"/>
      <c r="I208" s="47" t="n"/>
      <c r="J208" s="47" t="n"/>
      <c r="K208" s="47" t="n"/>
      <c r="L208" s="47" t="n"/>
      <c r="M208" s="47" t="n"/>
      <c r="N208" s="47" t="n"/>
      <c r="O208" s="112" t="n"/>
      <c r="P208" s="112" t="n"/>
      <c r="Q208" s="112" t="n"/>
      <c r="R208" s="47" t="n"/>
      <c r="S208" s="49" t="n"/>
      <c r="T208" s="49" t="n"/>
      <c r="U208" s="47" t="n"/>
      <c r="V208" s="47" t="n"/>
      <c r="W208" s="47" t="n"/>
      <c r="X208" s="47" t="n"/>
      <c r="Y208" s="47" t="n"/>
      <c r="Z208" s="50" t="n"/>
      <c r="AA208" s="50">
        <f>IF($A208="","",IF(OR($B208="",$E208="",$K208="",$O208="",$S208=""),"⚠ بيانات ناقصة","مكتمل"))</f>
        <v/>
      </c>
      <c r="AB208" s="51">
        <f>IF(OR($A208="",$Q208=""),"",$Q208-TODAY())</f>
        <v/>
      </c>
      <c r="AC208" s="113">
        <f>IF(OR($A208="",$O208=""),"",IFERROR(YEARFRAC($O208,TODAY(),1),"")</f>
        <v/>
      </c>
    </row>
    <row r="209">
      <c r="A209" s="39" t="n"/>
      <c r="B209" s="40" t="n"/>
      <c r="C209" s="40" t="n"/>
      <c r="D209" s="110" t="n"/>
      <c r="E209" s="39" t="n"/>
      <c r="F209" s="40" t="n"/>
      <c r="G209" s="40" t="n"/>
      <c r="H209" s="40" t="n"/>
      <c r="I209" s="40" t="n"/>
      <c r="J209" s="40" t="n"/>
      <c r="K209" s="40" t="n"/>
      <c r="L209" s="40" t="n"/>
      <c r="M209" s="40" t="n"/>
      <c r="N209" s="40" t="n"/>
      <c r="O209" s="110" t="n"/>
      <c r="P209" s="110" t="n"/>
      <c r="Q209" s="110" t="n"/>
      <c r="R209" s="40" t="n"/>
      <c r="S209" s="42" t="n"/>
      <c r="T209" s="42" t="n"/>
      <c r="U209" s="40" t="n"/>
      <c r="V209" s="40" t="n"/>
      <c r="W209" s="40" t="n"/>
      <c r="X209" s="40" t="n"/>
      <c r="Y209" s="40" t="n"/>
      <c r="Z209" s="43" t="n"/>
      <c r="AA209" s="43">
        <f>IF($A209="","",IF(OR($B209="",$E209="",$K209="",$O209="",$S209=""),"⚠ بيانات ناقصة","مكتمل"))</f>
        <v/>
      </c>
      <c r="AB209" s="44">
        <f>IF(OR($A209="",$Q209=""),"",$Q209-TODAY())</f>
        <v/>
      </c>
      <c r="AC209" s="111">
        <f>IF(OR($A209="",$O209=""),"",IFERROR(YEARFRAC($O209,TODAY(),1),"")</f>
        <v/>
      </c>
    </row>
    <row r="210">
      <c r="A210" s="46" t="n"/>
      <c r="B210" s="47" t="n"/>
      <c r="C210" s="47" t="n"/>
      <c r="D210" s="112" t="n"/>
      <c r="E210" s="46" t="n"/>
      <c r="F210" s="47" t="n"/>
      <c r="G210" s="47" t="n"/>
      <c r="H210" s="47" t="n"/>
      <c r="I210" s="47" t="n"/>
      <c r="J210" s="47" t="n"/>
      <c r="K210" s="47" t="n"/>
      <c r="L210" s="47" t="n"/>
      <c r="M210" s="47" t="n"/>
      <c r="N210" s="47" t="n"/>
      <c r="O210" s="112" t="n"/>
      <c r="P210" s="112" t="n"/>
      <c r="Q210" s="112" t="n"/>
      <c r="R210" s="47" t="n"/>
      <c r="S210" s="49" t="n"/>
      <c r="T210" s="49" t="n"/>
      <c r="U210" s="47" t="n"/>
      <c r="V210" s="47" t="n"/>
      <c r="W210" s="47" t="n"/>
      <c r="X210" s="47" t="n"/>
      <c r="Y210" s="47" t="n"/>
      <c r="Z210" s="50" t="n"/>
      <c r="AA210" s="50">
        <f>IF($A210="","",IF(OR($B210="",$E210="",$K210="",$O210="",$S210=""),"⚠ بيانات ناقصة","مكتمل"))</f>
        <v/>
      </c>
      <c r="AB210" s="51">
        <f>IF(OR($A210="",$Q210=""),"",$Q210-TODAY())</f>
        <v/>
      </c>
      <c r="AC210" s="113">
        <f>IF(OR($A210="",$O210=""),"",IFERROR(YEARFRAC($O210,TODAY(),1),"")</f>
        <v/>
      </c>
    </row>
    <row r="211">
      <c r="A211" s="39" t="n"/>
      <c r="B211" s="40" t="n"/>
      <c r="C211" s="40" t="n"/>
      <c r="D211" s="110" t="n"/>
      <c r="E211" s="39" t="n"/>
      <c r="F211" s="40" t="n"/>
      <c r="G211" s="40" t="n"/>
      <c r="H211" s="40" t="n"/>
      <c r="I211" s="40" t="n"/>
      <c r="J211" s="40" t="n"/>
      <c r="K211" s="40" t="n"/>
      <c r="L211" s="40" t="n"/>
      <c r="M211" s="40" t="n"/>
      <c r="N211" s="40" t="n"/>
      <c r="O211" s="110" t="n"/>
      <c r="P211" s="110" t="n"/>
      <c r="Q211" s="110" t="n"/>
      <c r="R211" s="40" t="n"/>
      <c r="S211" s="42" t="n"/>
      <c r="T211" s="42" t="n"/>
      <c r="U211" s="40" t="n"/>
      <c r="V211" s="40" t="n"/>
      <c r="W211" s="40" t="n"/>
      <c r="X211" s="40" t="n"/>
      <c r="Y211" s="40" t="n"/>
      <c r="Z211" s="43" t="n"/>
      <c r="AA211" s="43">
        <f>IF($A211="","",IF(OR($B211="",$E211="",$K211="",$O211="",$S211=""),"⚠ بيانات ناقصة","مكتمل"))</f>
        <v/>
      </c>
      <c r="AB211" s="44">
        <f>IF(OR($A211="",$Q211=""),"",$Q211-TODAY())</f>
        <v/>
      </c>
      <c r="AC211" s="111">
        <f>IF(OR($A211="",$O211=""),"",IFERROR(YEARFRAC($O211,TODAY(),1),"")</f>
        <v/>
      </c>
    </row>
    <row r="212">
      <c r="A212" s="46" t="n"/>
      <c r="B212" s="47" t="n"/>
      <c r="C212" s="47" t="n"/>
      <c r="D212" s="112" t="n"/>
      <c r="E212" s="46" t="n"/>
      <c r="F212" s="47" t="n"/>
      <c r="G212" s="47" t="n"/>
      <c r="H212" s="47" t="n"/>
      <c r="I212" s="47" t="n"/>
      <c r="J212" s="47" t="n"/>
      <c r="K212" s="47" t="n"/>
      <c r="L212" s="47" t="n"/>
      <c r="M212" s="47" t="n"/>
      <c r="N212" s="47" t="n"/>
      <c r="O212" s="112" t="n"/>
      <c r="P212" s="112" t="n"/>
      <c r="Q212" s="112" t="n"/>
      <c r="R212" s="47" t="n"/>
      <c r="S212" s="49" t="n"/>
      <c r="T212" s="49" t="n"/>
      <c r="U212" s="47" t="n"/>
      <c r="V212" s="47" t="n"/>
      <c r="W212" s="47" t="n"/>
      <c r="X212" s="47" t="n"/>
      <c r="Y212" s="47" t="n"/>
      <c r="Z212" s="50" t="n"/>
      <c r="AA212" s="50">
        <f>IF($A212="","",IF(OR($B212="",$E212="",$K212="",$O212="",$S212=""),"⚠ بيانات ناقصة","مكتمل"))</f>
        <v/>
      </c>
      <c r="AB212" s="51">
        <f>IF(OR($A212="",$Q212=""),"",$Q212-TODAY())</f>
        <v/>
      </c>
      <c r="AC212" s="113">
        <f>IF(OR($A212="",$O212=""),"",IFERROR(YEARFRAC($O212,TODAY(),1),"")</f>
        <v/>
      </c>
    </row>
    <row r="213">
      <c r="A213" s="39" t="n"/>
      <c r="B213" s="40" t="n"/>
      <c r="C213" s="40" t="n"/>
      <c r="D213" s="110" t="n"/>
      <c r="E213" s="39" t="n"/>
      <c r="F213" s="40" t="n"/>
      <c r="G213" s="40" t="n"/>
      <c r="H213" s="40" t="n"/>
      <c r="I213" s="40" t="n"/>
      <c r="J213" s="40" t="n"/>
      <c r="K213" s="40" t="n"/>
      <c r="L213" s="40" t="n"/>
      <c r="M213" s="40" t="n"/>
      <c r="N213" s="40" t="n"/>
      <c r="O213" s="110" t="n"/>
      <c r="P213" s="110" t="n"/>
      <c r="Q213" s="110" t="n"/>
      <c r="R213" s="40" t="n"/>
      <c r="S213" s="42" t="n"/>
      <c r="T213" s="42" t="n"/>
      <c r="U213" s="40" t="n"/>
      <c r="V213" s="40" t="n"/>
      <c r="W213" s="40" t="n"/>
      <c r="X213" s="40" t="n"/>
      <c r="Y213" s="40" t="n"/>
      <c r="Z213" s="43" t="n"/>
      <c r="AA213" s="43">
        <f>IF($A213="","",IF(OR($B213="",$E213="",$K213="",$O213="",$S213=""),"⚠ بيانات ناقصة","مكتمل"))</f>
        <v/>
      </c>
      <c r="AB213" s="44">
        <f>IF(OR($A213="",$Q213=""),"",$Q213-TODAY())</f>
        <v/>
      </c>
      <c r="AC213" s="111">
        <f>IF(OR($A213="",$O213=""),"",IFERROR(YEARFRAC($O213,TODAY(),1),"")</f>
        <v/>
      </c>
    </row>
    <row r="214">
      <c r="A214" s="46" t="n"/>
      <c r="B214" s="47" t="n"/>
      <c r="C214" s="47" t="n"/>
      <c r="D214" s="112" t="n"/>
      <c r="E214" s="46" t="n"/>
      <c r="F214" s="47" t="n"/>
      <c r="G214" s="47" t="n"/>
      <c r="H214" s="47" t="n"/>
      <c r="I214" s="47" t="n"/>
      <c r="J214" s="47" t="n"/>
      <c r="K214" s="47" t="n"/>
      <c r="L214" s="47" t="n"/>
      <c r="M214" s="47" t="n"/>
      <c r="N214" s="47" t="n"/>
      <c r="O214" s="112" t="n"/>
      <c r="P214" s="112" t="n"/>
      <c r="Q214" s="112" t="n"/>
      <c r="R214" s="47" t="n"/>
      <c r="S214" s="49" t="n"/>
      <c r="T214" s="49" t="n"/>
      <c r="U214" s="47" t="n"/>
      <c r="V214" s="47" t="n"/>
      <c r="W214" s="47" t="n"/>
      <c r="X214" s="47" t="n"/>
      <c r="Y214" s="47" t="n"/>
      <c r="Z214" s="50" t="n"/>
      <c r="AA214" s="50">
        <f>IF($A214="","",IF(OR($B214="",$E214="",$K214="",$O214="",$S214=""),"⚠ بيانات ناقصة","مكتمل"))</f>
        <v/>
      </c>
      <c r="AB214" s="51">
        <f>IF(OR($A214="",$Q214=""),"",$Q214-TODAY())</f>
        <v/>
      </c>
      <c r="AC214" s="113">
        <f>IF(OR($A214="",$O214=""),"",IFERROR(YEARFRAC($O214,TODAY(),1),"")</f>
        <v/>
      </c>
    </row>
    <row r="215">
      <c r="A215" s="39" t="n"/>
      <c r="B215" s="40" t="n"/>
      <c r="C215" s="40" t="n"/>
      <c r="D215" s="110" t="n"/>
      <c r="E215" s="39" t="n"/>
      <c r="F215" s="40" t="n"/>
      <c r="G215" s="40" t="n"/>
      <c r="H215" s="40" t="n"/>
      <c r="I215" s="40" t="n"/>
      <c r="J215" s="40" t="n"/>
      <c r="K215" s="40" t="n"/>
      <c r="L215" s="40" t="n"/>
      <c r="M215" s="40" t="n"/>
      <c r="N215" s="40" t="n"/>
      <c r="O215" s="110" t="n"/>
      <c r="P215" s="110" t="n"/>
      <c r="Q215" s="110" t="n"/>
      <c r="R215" s="40" t="n"/>
      <c r="S215" s="42" t="n"/>
      <c r="T215" s="42" t="n"/>
      <c r="U215" s="40" t="n"/>
      <c r="V215" s="40" t="n"/>
      <c r="W215" s="40" t="n"/>
      <c r="X215" s="40" t="n"/>
      <c r="Y215" s="40" t="n"/>
      <c r="Z215" s="43" t="n"/>
      <c r="AA215" s="43">
        <f>IF($A215="","",IF(OR($B215="",$E215="",$K215="",$O215="",$S215=""),"⚠ بيانات ناقصة","مكتمل"))</f>
        <v/>
      </c>
      <c r="AB215" s="44">
        <f>IF(OR($A215="",$Q215=""),"",$Q215-TODAY())</f>
        <v/>
      </c>
      <c r="AC215" s="111">
        <f>IF(OR($A215="",$O215=""),"",IFERROR(YEARFRAC($O215,TODAY(),1),"")</f>
        <v/>
      </c>
    </row>
    <row r="216">
      <c r="A216" s="46" t="n"/>
      <c r="B216" s="47" t="n"/>
      <c r="C216" s="47" t="n"/>
      <c r="D216" s="112" t="n"/>
      <c r="E216" s="46" t="n"/>
      <c r="F216" s="47" t="n"/>
      <c r="G216" s="47" t="n"/>
      <c r="H216" s="47" t="n"/>
      <c r="I216" s="47" t="n"/>
      <c r="J216" s="47" t="n"/>
      <c r="K216" s="47" t="n"/>
      <c r="L216" s="47" t="n"/>
      <c r="M216" s="47" t="n"/>
      <c r="N216" s="47" t="n"/>
      <c r="O216" s="112" t="n"/>
      <c r="P216" s="112" t="n"/>
      <c r="Q216" s="112" t="n"/>
      <c r="R216" s="47" t="n"/>
      <c r="S216" s="49" t="n"/>
      <c r="T216" s="49" t="n"/>
      <c r="U216" s="47" t="n"/>
      <c r="V216" s="47" t="n"/>
      <c r="W216" s="47" t="n"/>
      <c r="X216" s="47" t="n"/>
      <c r="Y216" s="47" t="n"/>
      <c r="Z216" s="50" t="n"/>
      <c r="AA216" s="50">
        <f>IF($A216="","",IF(OR($B216="",$E216="",$K216="",$O216="",$S216=""),"⚠ بيانات ناقصة","مكتمل"))</f>
        <v/>
      </c>
      <c r="AB216" s="51">
        <f>IF(OR($A216="",$Q216=""),"",$Q216-TODAY())</f>
        <v/>
      </c>
      <c r="AC216" s="113">
        <f>IF(OR($A216="",$O216=""),"",IFERROR(YEARFRAC($O216,TODAY(),1),"")</f>
        <v/>
      </c>
    </row>
    <row r="217">
      <c r="A217" s="39" t="n"/>
      <c r="B217" s="40" t="n"/>
      <c r="C217" s="40" t="n"/>
      <c r="D217" s="110" t="n"/>
      <c r="E217" s="39" t="n"/>
      <c r="F217" s="40" t="n"/>
      <c r="G217" s="40" t="n"/>
      <c r="H217" s="40" t="n"/>
      <c r="I217" s="40" t="n"/>
      <c r="J217" s="40" t="n"/>
      <c r="K217" s="40" t="n"/>
      <c r="L217" s="40" t="n"/>
      <c r="M217" s="40" t="n"/>
      <c r="N217" s="40" t="n"/>
      <c r="O217" s="110" t="n"/>
      <c r="P217" s="110" t="n"/>
      <c r="Q217" s="110" t="n"/>
      <c r="R217" s="40" t="n"/>
      <c r="S217" s="42" t="n"/>
      <c r="T217" s="42" t="n"/>
      <c r="U217" s="40" t="n"/>
      <c r="V217" s="40" t="n"/>
      <c r="W217" s="40" t="n"/>
      <c r="X217" s="40" t="n"/>
      <c r="Y217" s="40" t="n"/>
      <c r="Z217" s="43" t="n"/>
      <c r="AA217" s="43">
        <f>IF($A217="","",IF(OR($B217="",$E217="",$K217="",$O217="",$S217=""),"⚠ بيانات ناقصة","مكتمل"))</f>
        <v/>
      </c>
      <c r="AB217" s="44">
        <f>IF(OR($A217="",$Q217=""),"",$Q217-TODAY())</f>
        <v/>
      </c>
      <c r="AC217" s="111">
        <f>IF(OR($A217="",$O217=""),"",IFERROR(YEARFRAC($O217,TODAY(),1),"")</f>
        <v/>
      </c>
    </row>
    <row r="218">
      <c r="A218" s="46" t="n"/>
      <c r="B218" s="47" t="n"/>
      <c r="C218" s="47" t="n"/>
      <c r="D218" s="112" t="n"/>
      <c r="E218" s="46" t="n"/>
      <c r="F218" s="47" t="n"/>
      <c r="G218" s="47" t="n"/>
      <c r="H218" s="47" t="n"/>
      <c r="I218" s="47" t="n"/>
      <c r="J218" s="47" t="n"/>
      <c r="K218" s="47" t="n"/>
      <c r="L218" s="47" t="n"/>
      <c r="M218" s="47" t="n"/>
      <c r="N218" s="47" t="n"/>
      <c r="O218" s="112" t="n"/>
      <c r="P218" s="112" t="n"/>
      <c r="Q218" s="112" t="n"/>
      <c r="R218" s="47" t="n"/>
      <c r="S218" s="49" t="n"/>
      <c r="T218" s="49" t="n"/>
      <c r="U218" s="47" t="n"/>
      <c r="V218" s="47" t="n"/>
      <c r="W218" s="47" t="n"/>
      <c r="X218" s="47" t="n"/>
      <c r="Y218" s="47" t="n"/>
      <c r="Z218" s="50" t="n"/>
      <c r="AA218" s="50">
        <f>IF($A218="","",IF(OR($B218="",$E218="",$K218="",$O218="",$S218=""),"⚠ بيانات ناقصة","مكتمل"))</f>
        <v/>
      </c>
      <c r="AB218" s="51">
        <f>IF(OR($A218="",$Q218=""),"",$Q218-TODAY())</f>
        <v/>
      </c>
      <c r="AC218" s="113">
        <f>IF(OR($A218="",$O218=""),"",IFERROR(YEARFRAC($O218,TODAY(),1),"")</f>
        <v/>
      </c>
    </row>
    <row r="219">
      <c r="A219" s="39" t="n"/>
      <c r="B219" s="40" t="n"/>
      <c r="C219" s="40" t="n"/>
      <c r="D219" s="110" t="n"/>
      <c r="E219" s="39" t="n"/>
      <c r="F219" s="40" t="n"/>
      <c r="G219" s="40" t="n"/>
      <c r="H219" s="40" t="n"/>
      <c r="I219" s="40" t="n"/>
      <c r="J219" s="40" t="n"/>
      <c r="K219" s="40" t="n"/>
      <c r="L219" s="40" t="n"/>
      <c r="M219" s="40" t="n"/>
      <c r="N219" s="40" t="n"/>
      <c r="O219" s="110" t="n"/>
      <c r="P219" s="110" t="n"/>
      <c r="Q219" s="110" t="n"/>
      <c r="R219" s="40" t="n"/>
      <c r="S219" s="42" t="n"/>
      <c r="T219" s="42" t="n"/>
      <c r="U219" s="40" t="n"/>
      <c r="V219" s="40" t="n"/>
      <c r="W219" s="40" t="n"/>
      <c r="X219" s="40" t="n"/>
      <c r="Y219" s="40" t="n"/>
      <c r="Z219" s="43" t="n"/>
      <c r="AA219" s="43">
        <f>IF($A219="","",IF(OR($B219="",$E219="",$K219="",$O219="",$S219=""),"⚠ بيانات ناقصة","مكتمل"))</f>
        <v/>
      </c>
      <c r="AB219" s="44">
        <f>IF(OR($A219="",$Q219=""),"",$Q219-TODAY())</f>
        <v/>
      </c>
      <c r="AC219" s="111">
        <f>IF(OR($A219="",$O219=""),"",IFERROR(YEARFRAC($O219,TODAY(),1),"")</f>
        <v/>
      </c>
    </row>
    <row r="220">
      <c r="A220" s="46" t="n"/>
      <c r="B220" s="47" t="n"/>
      <c r="C220" s="47" t="n"/>
      <c r="D220" s="112" t="n"/>
      <c r="E220" s="46" t="n"/>
      <c r="F220" s="47" t="n"/>
      <c r="G220" s="47" t="n"/>
      <c r="H220" s="47" t="n"/>
      <c r="I220" s="47" t="n"/>
      <c r="J220" s="47" t="n"/>
      <c r="K220" s="47" t="n"/>
      <c r="L220" s="47" t="n"/>
      <c r="M220" s="47" t="n"/>
      <c r="N220" s="47" t="n"/>
      <c r="O220" s="112" t="n"/>
      <c r="P220" s="112" t="n"/>
      <c r="Q220" s="112" t="n"/>
      <c r="R220" s="47" t="n"/>
      <c r="S220" s="49" t="n"/>
      <c r="T220" s="49" t="n"/>
      <c r="U220" s="47" t="n"/>
      <c r="V220" s="47" t="n"/>
      <c r="W220" s="47" t="n"/>
      <c r="X220" s="47" t="n"/>
      <c r="Y220" s="47" t="n"/>
      <c r="Z220" s="50" t="n"/>
      <c r="AA220" s="50">
        <f>IF($A220="","",IF(OR($B220="",$E220="",$K220="",$O220="",$S220=""),"⚠ بيانات ناقصة","مكتمل"))</f>
        <v/>
      </c>
      <c r="AB220" s="51">
        <f>IF(OR($A220="",$Q220=""),"",$Q220-TODAY())</f>
        <v/>
      </c>
      <c r="AC220" s="113">
        <f>IF(OR($A220="",$O220=""),"",IFERROR(YEARFRAC($O220,TODAY(),1),"")</f>
        <v/>
      </c>
    </row>
    <row r="221">
      <c r="A221" s="39" t="n"/>
      <c r="B221" s="40" t="n"/>
      <c r="C221" s="40" t="n"/>
      <c r="D221" s="110" t="n"/>
      <c r="E221" s="39" t="n"/>
      <c r="F221" s="40" t="n"/>
      <c r="G221" s="40" t="n"/>
      <c r="H221" s="40" t="n"/>
      <c r="I221" s="40" t="n"/>
      <c r="J221" s="40" t="n"/>
      <c r="K221" s="40" t="n"/>
      <c r="L221" s="40" t="n"/>
      <c r="M221" s="40" t="n"/>
      <c r="N221" s="40" t="n"/>
      <c r="O221" s="110" t="n"/>
      <c r="P221" s="110" t="n"/>
      <c r="Q221" s="110" t="n"/>
      <c r="R221" s="40" t="n"/>
      <c r="S221" s="42" t="n"/>
      <c r="T221" s="42" t="n"/>
      <c r="U221" s="40" t="n"/>
      <c r="V221" s="40" t="n"/>
      <c r="W221" s="40" t="n"/>
      <c r="X221" s="40" t="n"/>
      <c r="Y221" s="40" t="n"/>
      <c r="Z221" s="43" t="n"/>
      <c r="AA221" s="43">
        <f>IF($A221="","",IF(OR($B221="",$E221="",$K221="",$O221="",$S221=""),"⚠ بيانات ناقصة","مكتمل"))</f>
        <v/>
      </c>
      <c r="AB221" s="44">
        <f>IF(OR($A221="",$Q221=""),"",$Q221-TODAY())</f>
        <v/>
      </c>
      <c r="AC221" s="111">
        <f>IF(OR($A221="",$O221=""),"",IFERROR(YEARFRAC($O221,TODAY(),1),"")</f>
        <v/>
      </c>
    </row>
    <row r="222">
      <c r="A222" s="46" t="n"/>
      <c r="B222" s="47" t="n"/>
      <c r="C222" s="47" t="n"/>
      <c r="D222" s="112" t="n"/>
      <c r="E222" s="46" t="n"/>
      <c r="F222" s="47" t="n"/>
      <c r="G222" s="47" t="n"/>
      <c r="H222" s="47" t="n"/>
      <c r="I222" s="47" t="n"/>
      <c r="J222" s="47" t="n"/>
      <c r="K222" s="47" t="n"/>
      <c r="L222" s="47" t="n"/>
      <c r="M222" s="47" t="n"/>
      <c r="N222" s="47" t="n"/>
      <c r="O222" s="112" t="n"/>
      <c r="P222" s="112" t="n"/>
      <c r="Q222" s="112" t="n"/>
      <c r="R222" s="47" t="n"/>
      <c r="S222" s="49" t="n"/>
      <c r="T222" s="49" t="n"/>
      <c r="U222" s="47" t="n"/>
      <c r="V222" s="47" t="n"/>
      <c r="W222" s="47" t="n"/>
      <c r="X222" s="47" t="n"/>
      <c r="Y222" s="47" t="n"/>
      <c r="Z222" s="50" t="n"/>
      <c r="AA222" s="50">
        <f>IF($A222="","",IF(OR($B222="",$E222="",$K222="",$O222="",$S222=""),"⚠ بيانات ناقصة","مكتمل"))</f>
        <v/>
      </c>
      <c r="AB222" s="51">
        <f>IF(OR($A222="",$Q222=""),"",$Q222-TODAY())</f>
        <v/>
      </c>
      <c r="AC222" s="113">
        <f>IF(OR($A222="",$O222=""),"",IFERROR(YEARFRAC($O222,TODAY(),1),"")</f>
        <v/>
      </c>
    </row>
    <row r="223">
      <c r="A223" s="39" t="n"/>
      <c r="B223" s="40" t="n"/>
      <c r="C223" s="40" t="n"/>
      <c r="D223" s="110" t="n"/>
      <c r="E223" s="39" t="n"/>
      <c r="F223" s="40" t="n"/>
      <c r="G223" s="40" t="n"/>
      <c r="H223" s="40" t="n"/>
      <c r="I223" s="40" t="n"/>
      <c r="J223" s="40" t="n"/>
      <c r="K223" s="40" t="n"/>
      <c r="L223" s="40" t="n"/>
      <c r="M223" s="40" t="n"/>
      <c r="N223" s="40" t="n"/>
      <c r="O223" s="110" t="n"/>
      <c r="P223" s="110" t="n"/>
      <c r="Q223" s="110" t="n"/>
      <c r="R223" s="40" t="n"/>
      <c r="S223" s="42" t="n"/>
      <c r="T223" s="42" t="n"/>
      <c r="U223" s="40" t="n"/>
      <c r="V223" s="40" t="n"/>
      <c r="W223" s="40" t="n"/>
      <c r="X223" s="40" t="n"/>
      <c r="Y223" s="40" t="n"/>
      <c r="Z223" s="43" t="n"/>
      <c r="AA223" s="43">
        <f>IF($A223="","",IF(OR($B223="",$E223="",$K223="",$O223="",$S223=""),"⚠ بيانات ناقصة","مكتمل"))</f>
        <v/>
      </c>
      <c r="AB223" s="44">
        <f>IF(OR($A223="",$Q223=""),"",$Q223-TODAY())</f>
        <v/>
      </c>
      <c r="AC223" s="111">
        <f>IF(OR($A223="",$O223=""),"",IFERROR(YEARFRAC($O223,TODAY(),1),"")</f>
        <v/>
      </c>
    </row>
    <row r="224">
      <c r="A224" s="46" t="n"/>
      <c r="B224" s="47" t="n"/>
      <c r="C224" s="47" t="n"/>
      <c r="D224" s="112" t="n"/>
      <c r="E224" s="46" t="n"/>
      <c r="F224" s="47" t="n"/>
      <c r="G224" s="47" t="n"/>
      <c r="H224" s="47" t="n"/>
      <c r="I224" s="47" t="n"/>
      <c r="J224" s="47" t="n"/>
      <c r="K224" s="47" t="n"/>
      <c r="L224" s="47" t="n"/>
      <c r="M224" s="47" t="n"/>
      <c r="N224" s="47" t="n"/>
      <c r="O224" s="112" t="n"/>
      <c r="P224" s="112" t="n"/>
      <c r="Q224" s="112" t="n"/>
      <c r="R224" s="47" t="n"/>
      <c r="S224" s="49" t="n"/>
      <c r="T224" s="49" t="n"/>
      <c r="U224" s="47" t="n"/>
      <c r="V224" s="47" t="n"/>
      <c r="W224" s="47" t="n"/>
      <c r="X224" s="47" t="n"/>
      <c r="Y224" s="47" t="n"/>
      <c r="Z224" s="50" t="n"/>
      <c r="AA224" s="50">
        <f>IF($A224="","",IF(OR($B224="",$E224="",$K224="",$O224="",$S224=""),"⚠ بيانات ناقصة","مكتمل"))</f>
        <v/>
      </c>
      <c r="AB224" s="51">
        <f>IF(OR($A224="",$Q224=""),"",$Q224-TODAY())</f>
        <v/>
      </c>
      <c r="AC224" s="113">
        <f>IF(OR($A224="",$O224=""),"",IFERROR(YEARFRAC($O224,TODAY(),1),"")</f>
        <v/>
      </c>
    </row>
    <row r="225">
      <c r="A225" s="39" t="n"/>
      <c r="B225" s="40" t="n"/>
      <c r="C225" s="40" t="n"/>
      <c r="D225" s="110" t="n"/>
      <c r="E225" s="39" t="n"/>
      <c r="F225" s="40" t="n"/>
      <c r="G225" s="40" t="n"/>
      <c r="H225" s="40" t="n"/>
      <c r="I225" s="40" t="n"/>
      <c r="J225" s="40" t="n"/>
      <c r="K225" s="40" t="n"/>
      <c r="L225" s="40" t="n"/>
      <c r="M225" s="40" t="n"/>
      <c r="N225" s="40" t="n"/>
      <c r="O225" s="110" t="n"/>
      <c r="P225" s="110" t="n"/>
      <c r="Q225" s="110" t="n"/>
      <c r="R225" s="40" t="n"/>
      <c r="S225" s="42" t="n"/>
      <c r="T225" s="42" t="n"/>
      <c r="U225" s="40" t="n"/>
      <c r="V225" s="40" t="n"/>
      <c r="W225" s="40" t="n"/>
      <c r="X225" s="40" t="n"/>
      <c r="Y225" s="40" t="n"/>
      <c r="Z225" s="43" t="n"/>
      <c r="AA225" s="43">
        <f>IF($A225="","",IF(OR($B225="",$E225="",$K225="",$O225="",$S225=""),"⚠ بيانات ناقصة","مكتمل"))</f>
        <v/>
      </c>
      <c r="AB225" s="44">
        <f>IF(OR($A225="",$Q225=""),"",$Q225-TODAY())</f>
        <v/>
      </c>
      <c r="AC225" s="111">
        <f>IF(OR($A225="",$O225=""),"",IFERROR(YEARFRAC($O225,TODAY(),1),"")</f>
        <v/>
      </c>
    </row>
    <row r="226">
      <c r="A226" s="46" t="n"/>
      <c r="B226" s="47" t="n"/>
      <c r="C226" s="47" t="n"/>
      <c r="D226" s="112" t="n"/>
      <c r="E226" s="46" t="n"/>
      <c r="F226" s="47" t="n"/>
      <c r="G226" s="47" t="n"/>
      <c r="H226" s="47" t="n"/>
      <c r="I226" s="47" t="n"/>
      <c r="J226" s="47" t="n"/>
      <c r="K226" s="47" t="n"/>
      <c r="L226" s="47" t="n"/>
      <c r="M226" s="47" t="n"/>
      <c r="N226" s="47" t="n"/>
      <c r="O226" s="112" t="n"/>
      <c r="P226" s="112" t="n"/>
      <c r="Q226" s="112" t="n"/>
      <c r="R226" s="47" t="n"/>
      <c r="S226" s="49" t="n"/>
      <c r="T226" s="49" t="n"/>
      <c r="U226" s="47" t="n"/>
      <c r="V226" s="47" t="n"/>
      <c r="W226" s="47" t="n"/>
      <c r="X226" s="47" t="n"/>
      <c r="Y226" s="47" t="n"/>
      <c r="Z226" s="50" t="n"/>
      <c r="AA226" s="50">
        <f>IF($A226="","",IF(OR($B226="",$E226="",$K226="",$O226="",$S226=""),"⚠ بيانات ناقصة","مكتمل"))</f>
        <v/>
      </c>
      <c r="AB226" s="51">
        <f>IF(OR($A226="",$Q226=""),"",$Q226-TODAY())</f>
        <v/>
      </c>
      <c r="AC226" s="113">
        <f>IF(OR($A226="",$O226=""),"",IFERROR(YEARFRAC($O226,TODAY(),1),"")</f>
        <v/>
      </c>
    </row>
    <row r="227">
      <c r="A227" s="39" t="n"/>
      <c r="B227" s="40" t="n"/>
      <c r="C227" s="40" t="n"/>
      <c r="D227" s="110" t="n"/>
      <c r="E227" s="39" t="n"/>
      <c r="F227" s="40" t="n"/>
      <c r="G227" s="40" t="n"/>
      <c r="H227" s="40" t="n"/>
      <c r="I227" s="40" t="n"/>
      <c r="J227" s="40" t="n"/>
      <c r="K227" s="40" t="n"/>
      <c r="L227" s="40" t="n"/>
      <c r="M227" s="40" t="n"/>
      <c r="N227" s="40" t="n"/>
      <c r="O227" s="110" t="n"/>
      <c r="P227" s="110" t="n"/>
      <c r="Q227" s="110" t="n"/>
      <c r="R227" s="40" t="n"/>
      <c r="S227" s="42" t="n"/>
      <c r="T227" s="42" t="n"/>
      <c r="U227" s="40" t="n"/>
      <c r="V227" s="40" t="n"/>
      <c r="W227" s="40" t="n"/>
      <c r="X227" s="40" t="n"/>
      <c r="Y227" s="40" t="n"/>
      <c r="Z227" s="43" t="n"/>
      <c r="AA227" s="43">
        <f>IF($A227="","",IF(OR($B227="",$E227="",$K227="",$O227="",$S227=""),"⚠ بيانات ناقصة","مكتمل"))</f>
        <v/>
      </c>
      <c r="AB227" s="44">
        <f>IF(OR($A227="",$Q227=""),"",$Q227-TODAY())</f>
        <v/>
      </c>
      <c r="AC227" s="111">
        <f>IF(OR($A227="",$O227=""),"",IFERROR(YEARFRAC($O227,TODAY(),1),"")</f>
        <v/>
      </c>
    </row>
    <row r="228">
      <c r="A228" s="46" t="n"/>
      <c r="B228" s="47" t="n"/>
      <c r="C228" s="47" t="n"/>
      <c r="D228" s="112" t="n"/>
      <c r="E228" s="46" t="n"/>
      <c r="F228" s="47" t="n"/>
      <c r="G228" s="47" t="n"/>
      <c r="H228" s="47" t="n"/>
      <c r="I228" s="47" t="n"/>
      <c r="J228" s="47" t="n"/>
      <c r="K228" s="47" t="n"/>
      <c r="L228" s="47" t="n"/>
      <c r="M228" s="47" t="n"/>
      <c r="N228" s="47" t="n"/>
      <c r="O228" s="112" t="n"/>
      <c r="P228" s="112" t="n"/>
      <c r="Q228" s="112" t="n"/>
      <c r="R228" s="47" t="n"/>
      <c r="S228" s="49" t="n"/>
      <c r="T228" s="49" t="n"/>
      <c r="U228" s="47" t="n"/>
      <c r="V228" s="47" t="n"/>
      <c r="W228" s="47" t="n"/>
      <c r="X228" s="47" t="n"/>
      <c r="Y228" s="47" t="n"/>
      <c r="Z228" s="50" t="n"/>
      <c r="AA228" s="50">
        <f>IF($A228="","",IF(OR($B228="",$E228="",$K228="",$O228="",$S228=""),"⚠ بيانات ناقصة","مكتمل"))</f>
        <v/>
      </c>
      <c r="AB228" s="51">
        <f>IF(OR($A228="",$Q228=""),"",$Q228-TODAY())</f>
        <v/>
      </c>
      <c r="AC228" s="113">
        <f>IF(OR($A228="",$O228=""),"",IFERROR(YEARFRAC($O228,TODAY(),1),"")</f>
        <v/>
      </c>
    </row>
    <row r="229">
      <c r="A229" s="39" t="n"/>
      <c r="B229" s="40" t="n"/>
      <c r="C229" s="40" t="n"/>
      <c r="D229" s="110" t="n"/>
      <c r="E229" s="39" t="n"/>
      <c r="F229" s="40" t="n"/>
      <c r="G229" s="40" t="n"/>
      <c r="H229" s="40" t="n"/>
      <c r="I229" s="40" t="n"/>
      <c r="J229" s="40" t="n"/>
      <c r="K229" s="40" t="n"/>
      <c r="L229" s="40" t="n"/>
      <c r="M229" s="40" t="n"/>
      <c r="N229" s="40" t="n"/>
      <c r="O229" s="110" t="n"/>
      <c r="P229" s="110" t="n"/>
      <c r="Q229" s="110" t="n"/>
      <c r="R229" s="40" t="n"/>
      <c r="S229" s="42" t="n"/>
      <c r="T229" s="42" t="n"/>
      <c r="U229" s="40" t="n"/>
      <c r="V229" s="40" t="n"/>
      <c r="W229" s="40" t="n"/>
      <c r="X229" s="40" t="n"/>
      <c r="Y229" s="40" t="n"/>
      <c r="Z229" s="43" t="n"/>
      <c r="AA229" s="43">
        <f>IF($A229="","",IF(OR($B229="",$E229="",$K229="",$O229="",$S229=""),"⚠ بيانات ناقصة","مكتمل"))</f>
        <v/>
      </c>
      <c r="AB229" s="44">
        <f>IF(OR($A229="",$Q229=""),"",$Q229-TODAY())</f>
        <v/>
      </c>
      <c r="AC229" s="111">
        <f>IF(OR($A229="",$O229=""),"",IFERROR(YEARFRAC($O229,TODAY(),1),"")</f>
        <v/>
      </c>
    </row>
    <row r="230">
      <c r="A230" s="46" t="n"/>
      <c r="B230" s="47" t="n"/>
      <c r="C230" s="47" t="n"/>
      <c r="D230" s="112" t="n"/>
      <c r="E230" s="46" t="n"/>
      <c r="F230" s="47" t="n"/>
      <c r="G230" s="47" t="n"/>
      <c r="H230" s="47" t="n"/>
      <c r="I230" s="47" t="n"/>
      <c r="J230" s="47" t="n"/>
      <c r="K230" s="47" t="n"/>
      <c r="L230" s="47" t="n"/>
      <c r="M230" s="47" t="n"/>
      <c r="N230" s="47" t="n"/>
      <c r="O230" s="112" t="n"/>
      <c r="P230" s="112" t="n"/>
      <c r="Q230" s="112" t="n"/>
      <c r="R230" s="47" t="n"/>
      <c r="S230" s="49" t="n"/>
      <c r="T230" s="49" t="n"/>
      <c r="U230" s="47" t="n"/>
      <c r="V230" s="47" t="n"/>
      <c r="W230" s="47" t="n"/>
      <c r="X230" s="47" t="n"/>
      <c r="Y230" s="47" t="n"/>
      <c r="Z230" s="50" t="n"/>
      <c r="AA230" s="50">
        <f>IF($A230="","",IF(OR($B230="",$E230="",$K230="",$O230="",$S230=""),"⚠ بيانات ناقصة","مكتمل"))</f>
        <v/>
      </c>
      <c r="AB230" s="51">
        <f>IF(OR($A230="",$Q230=""),"",$Q230-TODAY())</f>
        <v/>
      </c>
      <c r="AC230" s="113">
        <f>IF(OR($A230="",$O230=""),"",IFERROR(YEARFRAC($O230,TODAY(),1),"")</f>
        <v/>
      </c>
    </row>
    <row r="231">
      <c r="A231" s="39" t="n"/>
      <c r="B231" s="40" t="n"/>
      <c r="C231" s="40" t="n"/>
      <c r="D231" s="110" t="n"/>
      <c r="E231" s="39" t="n"/>
      <c r="F231" s="40" t="n"/>
      <c r="G231" s="40" t="n"/>
      <c r="H231" s="40" t="n"/>
      <c r="I231" s="40" t="n"/>
      <c r="J231" s="40" t="n"/>
      <c r="K231" s="40" t="n"/>
      <c r="L231" s="40" t="n"/>
      <c r="M231" s="40" t="n"/>
      <c r="N231" s="40" t="n"/>
      <c r="O231" s="110" t="n"/>
      <c r="P231" s="110" t="n"/>
      <c r="Q231" s="110" t="n"/>
      <c r="R231" s="40" t="n"/>
      <c r="S231" s="42" t="n"/>
      <c r="T231" s="42" t="n"/>
      <c r="U231" s="40" t="n"/>
      <c r="V231" s="40" t="n"/>
      <c r="W231" s="40" t="n"/>
      <c r="X231" s="40" t="n"/>
      <c r="Y231" s="40" t="n"/>
      <c r="Z231" s="43" t="n"/>
      <c r="AA231" s="43">
        <f>IF($A231="","",IF(OR($B231="",$E231="",$K231="",$O231="",$S231=""),"⚠ بيانات ناقصة","مكتمل"))</f>
        <v/>
      </c>
      <c r="AB231" s="44">
        <f>IF(OR($A231="",$Q231=""),"",$Q231-TODAY())</f>
        <v/>
      </c>
      <c r="AC231" s="111">
        <f>IF(OR($A231="",$O231=""),"",IFERROR(YEARFRAC($O231,TODAY(),1),"")</f>
        <v/>
      </c>
    </row>
    <row r="232">
      <c r="A232" s="46" t="n"/>
      <c r="B232" s="47" t="n"/>
      <c r="C232" s="47" t="n"/>
      <c r="D232" s="112" t="n"/>
      <c r="E232" s="46" t="n"/>
      <c r="F232" s="47" t="n"/>
      <c r="G232" s="47" t="n"/>
      <c r="H232" s="47" t="n"/>
      <c r="I232" s="47" t="n"/>
      <c r="J232" s="47" t="n"/>
      <c r="K232" s="47" t="n"/>
      <c r="L232" s="47" t="n"/>
      <c r="M232" s="47" t="n"/>
      <c r="N232" s="47" t="n"/>
      <c r="O232" s="112" t="n"/>
      <c r="P232" s="112" t="n"/>
      <c r="Q232" s="112" t="n"/>
      <c r="R232" s="47" t="n"/>
      <c r="S232" s="49" t="n"/>
      <c r="T232" s="49" t="n"/>
      <c r="U232" s="47" t="n"/>
      <c r="V232" s="47" t="n"/>
      <c r="W232" s="47" t="n"/>
      <c r="X232" s="47" t="n"/>
      <c r="Y232" s="47" t="n"/>
      <c r="Z232" s="50" t="n"/>
      <c r="AA232" s="50">
        <f>IF($A232="","",IF(OR($B232="",$E232="",$K232="",$O232="",$S232=""),"⚠ بيانات ناقصة","مكتمل"))</f>
        <v/>
      </c>
      <c r="AB232" s="51">
        <f>IF(OR($A232="",$Q232=""),"",$Q232-TODAY())</f>
        <v/>
      </c>
      <c r="AC232" s="113">
        <f>IF(OR($A232="",$O232=""),"",IFERROR(YEARFRAC($O232,TODAY(),1),"")</f>
        <v/>
      </c>
    </row>
    <row r="233">
      <c r="A233" s="39" t="n"/>
      <c r="B233" s="40" t="n"/>
      <c r="C233" s="40" t="n"/>
      <c r="D233" s="110" t="n"/>
      <c r="E233" s="39" t="n"/>
      <c r="F233" s="40" t="n"/>
      <c r="G233" s="40" t="n"/>
      <c r="H233" s="40" t="n"/>
      <c r="I233" s="40" t="n"/>
      <c r="J233" s="40" t="n"/>
      <c r="K233" s="40" t="n"/>
      <c r="L233" s="40" t="n"/>
      <c r="M233" s="40" t="n"/>
      <c r="N233" s="40" t="n"/>
      <c r="O233" s="110" t="n"/>
      <c r="P233" s="110" t="n"/>
      <c r="Q233" s="110" t="n"/>
      <c r="R233" s="40" t="n"/>
      <c r="S233" s="42" t="n"/>
      <c r="T233" s="42" t="n"/>
      <c r="U233" s="40" t="n"/>
      <c r="V233" s="40" t="n"/>
      <c r="W233" s="40" t="n"/>
      <c r="X233" s="40" t="n"/>
      <c r="Y233" s="40" t="n"/>
      <c r="Z233" s="43" t="n"/>
      <c r="AA233" s="43">
        <f>IF($A233="","",IF(OR($B233="",$E233="",$K233="",$O233="",$S233=""),"⚠ بيانات ناقصة","مكتمل"))</f>
        <v/>
      </c>
      <c r="AB233" s="44">
        <f>IF(OR($A233="",$Q233=""),"",$Q233-TODAY())</f>
        <v/>
      </c>
      <c r="AC233" s="111">
        <f>IF(OR($A233="",$O233=""),"",IFERROR(YEARFRAC($O233,TODAY(),1),"")</f>
        <v/>
      </c>
    </row>
    <row r="234">
      <c r="A234" s="46" t="n"/>
      <c r="B234" s="47" t="n"/>
      <c r="C234" s="47" t="n"/>
      <c r="D234" s="112" t="n"/>
      <c r="E234" s="46" t="n"/>
      <c r="F234" s="47" t="n"/>
      <c r="G234" s="47" t="n"/>
      <c r="H234" s="47" t="n"/>
      <c r="I234" s="47" t="n"/>
      <c r="J234" s="47" t="n"/>
      <c r="K234" s="47" t="n"/>
      <c r="L234" s="47" t="n"/>
      <c r="M234" s="47" t="n"/>
      <c r="N234" s="47" t="n"/>
      <c r="O234" s="112" t="n"/>
      <c r="P234" s="112" t="n"/>
      <c r="Q234" s="112" t="n"/>
      <c r="R234" s="47" t="n"/>
      <c r="S234" s="49" t="n"/>
      <c r="T234" s="49" t="n"/>
      <c r="U234" s="47" t="n"/>
      <c r="V234" s="47" t="n"/>
      <c r="W234" s="47" t="n"/>
      <c r="X234" s="47" t="n"/>
      <c r="Y234" s="47" t="n"/>
      <c r="Z234" s="50" t="n"/>
      <c r="AA234" s="50">
        <f>IF($A234="","",IF(OR($B234="",$E234="",$K234="",$O234="",$S234=""),"⚠ بيانات ناقصة","مكتمل"))</f>
        <v/>
      </c>
      <c r="AB234" s="51">
        <f>IF(OR($A234="",$Q234=""),"",$Q234-TODAY())</f>
        <v/>
      </c>
      <c r="AC234" s="113">
        <f>IF(OR($A234="",$O234=""),"",IFERROR(YEARFRAC($O234,TODAY(),1),"")</f>
        <v/>
      </c>
    </row>
    <row r="235">
      <c r="A235" s="39" t="n"/>
      <c r="B235" s="40" t="n"/>
      <c r="C235" s="40" t="n"/>
      <c r="D235" s="110" t="n"/>
      <c r="E235" s="39" t="n"/>
      <c r="F235" s="40" t="n"/>
      <c r="G235" s="40" t="n"/>
      <c r="H235" s="40" t="n"/>
      <c r="I235" s="40" t="n"/>
      <c r="J235" s="40" t="n"/>
      <c r="K235" s="40" t="n"/>
      <c r="L235" s="40" t="n"/>
      <c r="M235" s="40" t="n"/>
      <c r="N235" s="40" t="n"/>
      <c r="O235" s="110" t="n"/>
      <c r="P235" s="110" t="n"/>
      <c r="Q235" s="110" t="n"/>
      <c r="R235" s="40" t="n"/>
      <c r="S235" s="42" t="n"/>
      <c r="T235" s="42" t="n"/>
      <c r="U235" s="40" t="n"/>
      <c r="V235" s="40" t="n"/>
      <c r="W235" s="40" t="n"/>
      <c r="X235" s="40" t="n"/>
      <c r="Y235" s="40" t="n"/>
      <c r="Z235" s="43" t="n"/>
      <c r="AA235" s="43">
        <f>IF($A235="","",IF(OR($B235="",$E235="",$K235="",$O235="",$S235=""),"⚠ بيانات ناقصة","مكتمل"))</f>
        <v/>
      </c>
      <c r="AB235" s="44">
        <f>IF(OR($A235="",$Q235=""),"",$Q235-TODAY())</f>
        <v/>
      </c>
      <c r="AC235" s="111">
        <f>IF(OR($A235="",$O235=""),"",IFERROR(YEARFRAC($O235,TODAY(),1),"")</f>
        <v/>
      </c>
    </row>
    <row r="236">
      <c r="A236" s="46" t="n"/>
      <c r="B236" s="47" t="n"/>
      <c r="C236" s="47" t="n"/>
      <c r="D236" s="112" t="n"/>
      <c r="E236" s="46" t="n"/>
      <c r="F236" s="47" t="n"/>
      <c r="G236" s="47" t="n"/>
      <c r="H236" s="47" t="n"/>
      <c r="I236" s="47" t="n"/>
      <c r="J236" s="47" t="n"/>
      <c r="K236" s="47" t="n"/>
      <c r="L236" s="47" t="n"/>
      <c r="M236" s="47" t="n"/>
      <c r="N236" s="47" t="n"/>
      <c r="O236" s="112" t="n"/>
      <c r="P236" s="112" t="n"/>
      <c r="Q236" s="112" t="n"/>
      <c r="R236" s="47" t="n"/>
      <c r="S236" s="49" t="n"/>
      <c r="T236" s="49" t="n"/>
      <c r="U236" s="47" t="n"/>
      <c r="V236" s="47" t="n"/>
      <c r="W236" s="47" t="n"/>
      <c r="X236" s="47" t="n"/>
      <c r="Y236" s="47" t="n"/>
      <c r="Z236" s="50" t="n"/>
      <c r="AA236" s="50">
        <f>IF($A236="","",IF(OR($B236="",$E236="",$K236="",$O236="",$S236=""),"⚠ بيانات ناقصة","مكتمل"))</f>
        <v/>
      </c>
      <c r="AB236" s="51">
        <f>IF(OR($A236="",$Q236=""),"",$Q236-TODAY())</f>
        <v/>
      </c>
      <c r="AC236" s="113">
        <f>IF(OR($A236="",$O236=""),"",IFERROR(YEARFRAC($O236,TODAY(),1),"")</f>
        <v/>
      </c>
    </row>
    <row r="237">
      <c r="A237" s="39" t="n"/>
      <c r="B237" s="40" t="n"/>
      <c r="C237" s="40" t="n"/>
      <c r="D237" s="110" t="n"/>
      <c r="E237" s="39" t="n"/>
      <c r="F237" s="40" t="n"/>
      <c r="G237" s="40" t="n"/>
      <c r="H237" s="40" t="n"/>
      <c r="I237" s="40" t="n"/>
      <c r="J237" s="40" t="n"/>
      <c r="K237" s="40" t="n"/>
      <c r="L237" s="40" t="n"/>
      <c r="M237" s="40" t="n"/>
      <c r="N237" s="40" t="n"/>
      <c r="O237" s="110" t="n"/>
      <c r="P237" s="110" t="n"/>
      <c r="Q237" s="110" t="n"/>
      <c r="R237" s="40" t="n"/>
      <c r="S237" s="42" t="n"/>
      <c r="T237" s="42" t="n"/>
      <c r="U237" s="40" t="n"/>
      <c r="V237" s="40" t="n"/>
      <c r="W237" s="40" t="n"/>
      <c r="X237" s="40" t="n"/>
      <c r="Y237" s="40" t="n"/>
      <c r="Z237" s="43" t="n"/>
      <c r="AA237" s="43">
        <f>IF($A237="","",IF(OR($B237="",$E237="",$K237="",$O237="",$S237=""),"⚠ بيانات ناقصة","مكتمل"))</f>
        <v/>
      </c>
      <c r="AB237" s="44">
        <f>IF(OR($A237="",$Q237=""),"",$Q237-TODAY())</f>
        <v/>
      </c>
      <c r="AC237" s="111">
        <f>IF(OR($A237="",$O237=""),"",IFERROR(YEARFRAC($O237,TODAY(),1),"")</f>
        <v/>
      </c>
    </row>
    <row r="238">
      <c r="A238" s="46" t="n"/>
      <c r="B238" s="47" t="n"/>
      <c r="C238" s="47" t="n"/>
      <c r="D238" s="112" t="n"/>
      <c r="E238" s="46" t="n"/>
      <c r="F238" s="47" t="n"/>
      <c r="G238" s="47" t="n"/>
      <c r="H238" s="47" t="n"/>
      <c r="I238" s="47" t="n"/>
      <c r="J238" s="47" t="n"/>
      <c r="K238" s="47" t="n"/>
      <c r="L238" s="47" t="n"/>
      <c r="M238" s="47" t="n"/>
      <c r="N238" s="47" t="n"/>
      <c r="O238" s="112" t="n"/>
      <c r="P238" s="112" t="n"/>
      <c r="Q238" s="112" t="n"/>
      <c r="R238" s="47" t="n"/>
      <c r="S238" s="49" t="n"/>
      <c r="T238" s="49" t="n"/>
      <c r="U238" s="47" t="n"/>
      <c r="V238" s="47" t="n"/>
      <c r="W238" s="47" t="n"/>
      <c r="X238" s="47" t="n"/>
      <c r="Y238" s="47" t="n"/>
      <c r="Z238" s="50" t="n"/>
      <c r="AA238" s="50">
        <f>IF($A238="","",IF(OR($B238="",$E238="",$K238="",$O238="",$S238=""),"⚠ بيانات ناقصة","مكتمل"))</f>
        <v/>
      </c>
      <c r="AB238" s="51">
        <f>IF(OR($A238="",$Q238=""),"",$Q238-TODAY())</f>
        <v/>
      </c>
      <c r="AC238" s="113">
        <f>IF(OR($A238="",$O238=""),"",IFERROR(YEARFRAC($O238,TODAY(),1),"")</f>
        <v/>
      </c>
    </row>
    <row r="239">
      <c r="A239" s="39" t="n"/>
      <c r="B239" s="40" t="n"/>
      <c r="C239" s="40" t="n"/>
      <c r="D239" s="110" t="n"/>
      <c r="E239" s="39" t="n"/>
      <c r="F239" s="40" t="n"/>
      <c r="G239" s="40" t="n"/>
      <c r="H239" s="40" t="n"/>
      <c r="I239" s="40" t="n"/>
      <c r="J239" s="40" t="n"/>
      <c r="K239" s="40" t="n"/>
      <c r="L239" s="40" t="n"/>
      <c r="M239" s="40" t="n"/>
      <c r="N239" s="40" t="n"/>
      <c r="O239" s="110" t="n"/>
      <c r="P239" s="110" t="n"/>
      <c r="Q239" s="110" t="n"/>
      <c r="R239" s="40" t="n"/>
      <c r="S239" s="42" t="n"/>
      <c r="T239" s="42" t="n"/>
      <c r="U239" s="40" t="n"/>
      <c r="V239" s="40" t="n"/>
      <c r="W239" s="40" t="n"/>
      <c r="X239" s="40" t="n"/>
      <c r="Y239" s="40" t="n"/>
      <c r="Z239" s="43" t="n"/>
      <c r="AA239" s="43">
        <f>IF($A239="","",IF(OR($B239="",$E239="",$K239="",$O239="",$S239=""),"⚠ بيانات ناقصة","مكتمل"))</f>
        <v/>
      </c>
      <c r="AB239" s="44">
        <f>IF(OR($A239="",$Q239=""),"",$Q239-TODAY())</f>
        <v/>
      </c>
      <c r="AC239" s="111">
        <f>IF(OR($A239="",$O239=""),"",IFERROR(YEARFRAC($O239,TODAY(),1),"")</f>
        <v/>
      </c>
    </row>
    <row r="240">
      <c r="A240" s="46" t="n"/>
      <c r="B240" s="47" t="n"/>
      <c r="C240" s="47" t="n"/>
      <c r="D240" s="112" t="n"/>
      <c r="E240" s="46" t="n"/>
      <c r="F240" s="47" t="n"/>
      <c r="G240" s="47" t="n"/>
      <c r="H240" s="47" t="n"/>
      <c r="I240" s="47" t="n"/>
      <c r="J240" s="47" t="n"/>
      <c r="K240" s="47" t="n"/>
      <c r="L240" s="47" t="n"/>
      <c r="M240" s="47" t="n"/>
      <c r="N240" s="47" t="n"/>
      <c r="O240" s="112" t="n"/>
      <c r="P240" s="112" t="n"/>
      <c r="Q240" s="112" t="n"/>
      <c r="R240" s="47" t="n"/>
      <c r="S240" s="49" t="n"/>
      <c r="T240" s="49" t="n"/>
      <c r="U240" s="47" t="n"/>
      <c r="V240" s="47" t="n"/>
      <c r="W240" s="47" t="n"/>
      <c r="X240" s="47" t="n"/>
      <c r="Y240" s="47" t="n"/>
      <c r="Z240" s="50" t="n"/>
      <c r="AA240" s="50">
        <f>IF($A240="","",IF(OR($B240="",$E240="",$K240="",$O240="",$S240=""),"⚠ بيانات ناقصة","مكتمل"))</f>
        <v/>
      </c>
      <c r="AB240" s="51">
        <f>IF(OR($A240="",$Q240=""),"",$Q240-TODAY())</f>
        <v/>
      </c>
      <c r="AC240" s="113">
        <f>IF(OR($A240="",$O240=""),"",IFERROR(YEARFRAC($O240,TODAY(),1),"")</f>
        <v/>
      </c>
    </row>
    <row r="241">
      <c r="A241" s="39" t="n"/>
      <c r="B241" s="40" t="n"/>
      <c r="C241" s="40" t="n"/>
      <c r="D241" s="110" t="n"/>
      <c r="E241" s="39" t="n"/>
      <c r="F241" s="40" t="n"/>
      <c r="G241" s="40" t="n"/>
      <c r="H241" s="40" t="n"/>
      <c r="I241" s="40" t="n"/>
      <c r="J241" s="40" t="n"/>
      <c r="K241" s="40" t="n"/>
      <c r="L241" s="40" t="n"/>
      <c r="M241" s="40" t="n"/>
      <c r="N241" s="40" t="n"/>
      <c r="O241" s="110" t="n"/>
      <c r="P241" s="110" t="n"/>
      <c r="Q241" s="110" t="n"/>
      <c r="R241" s="40" t="n"/>
      <c r="S241" s="42" t="n"/>
      <c r="T241" s="42" t="n"/>
      <c r="U241" s="40" t="n"/>
      <c r="V241" s="40" t="n"/>
      <c r="W241" s="40" t="n"/>
      <c r="X241" s="40" t="n"/>
      <c r="Y241" s="40" t="n"/>
      <c r="Z241" s="43" t="n"/>
      <c r="AA241" s="43">
        <f>IF($A241="","",IF(OR($B241="",$E241="",$K241="",$O241="",$S241=""),"⚠ بيانات ناقصة","مكتمل"))</f>
        <v/>
      </c>
      <c r="AB241" s="44">
        <f>IF(OR($A241="",$Q241=""),"",$Q241-TODAY())</f>
        <v/>
      </c>
      <c r="AC241" s="111">
        <f>IF(OR($A241="",$O241=""),"",IFERROR(YEARFRAC($O241,TODAY(),1),"")</f>
        <v/>
      </c>
    </row>
    <row r="242">
      <c r="A242" s="46" t="n"/>
      <c r="B242" s="47" t="n"/>
      <c r="C242" s="47" t="n"/>
      <c r="D242" s="112" t="n"/>
      <c r="E242" s="46" t="n"/>
      <c r="F242" s="47" t="n"/>
      <c r="G242" s="47" t="n"/>
      <c r="H242" s="47" t="n"/>
      <c r="I242" s="47" t="n"/>
      <c r="J242" s="47" t="n"/>
      <c r="K242" s="47" t="n"/>
      <c r="L242" s="47" t="n"/>
      <c r="M242" s="47" t="n"/>
      <c r="N242" s="47" t="n"/>
      <c r="O242" s="112" t="n"/>
      <c r="P242" s="112" t="n"/>
      <c r="Q242" s="112" t="n"/>
      <c r="R242" s="47" t="n"/>
      <c r="S242" s="49" t="n"/>
      <c r="T242" s="49" t="n"/>
      <c r="U242" s="47" t="n"/>
      <c r="V242" s="47" t="n"/>
      <c r="W242" s="47" t="n"/>
      <c r="X242" s="47" t="n"/>
      <c r="Y242" s="47" t="n"/>
      <c r="Z242" s="50" t="n"/>
      <c r="AA242" s="50">
        <f>IF($A242="","",IF(OR($B242="",$E242="",$K242="",$O242="",$S242=""),"⚠ بيانات ناقصة","مكتمل"))</f>
        <v/>
      </c>
      <c r="AB242" s="51">
        <f>IF(OR($A242="",$Q242=""),"",$Q242-TODAY())</f>
        <v/>
      </c>
      <c r="AC242" s="113">
        <f>IF(OR($A242="",$O242=""),"",IFERROR(YEARFRAC($O242,TODAY(),1),"")</f>
        <v/>
      </c>
    </row>
    <row r="243">
      <c r="A243" s="39" t="n"/>
      <c r="B243" s="40" t="n"/>
      <c r="C243" s="40" t="n"/>
      <c r="D243" s="110" t="n"/>
      <c r="E243" s="39" t="n"/>
      <c r="F243" s="40" t="n"/>
      <c r="G243" s="40" t="n"/>
      <c r="H243" s="40" t="n"/>
      <c r="I243" s="40" t="n"/>
      <c r="J243" s="40" t="n"/>
      <c r="K243" s="40" t="n"/>
      <c r="L243" s="40" t="n"/>
      <c r="M243" s="40" t="n"/>
      <c r="N243" s="40" t="n"/>
      <c r="O243" s="110" t="n"/>
      <c r="P243" s="110" t="n"/>
      <c r="Q243" s="110" t="n"/>
      <c r="R243" s="40" t="n"/>
      <c r="S243" s="42" t="n"/>
      <c r="T243" s="42" t="n"/>
      <c r="U243" s="40" t="n"/>
      <c r="V243" s="40" t="n"/>
      <c r="W243" s="40" t="n"/>
      <c r="X243" s="40" t="n"/>
      <c r="Y243" s="40" t="n"/>
      <c r="Z243" s="43" t="n"/>
      <c r="AA243" s="43">
        <f>IF($A243="","",IF(OR($B243="",$E243="",$K243="",$O243="",$S243=""),"⚠ بيانات ناقصة","مكتمل"))</f>
        <v/>
      </c>
      <c r="AB243" s="44">
        <f>IF(OR($A243="",$Q243=""),"",$Q243-TODAY())</f>
        <v/>
      </c>
      <c r="AC243" s="111">
        <f>IF(OR($A243="",$O243=""),"",IFERROR(YEARFRAC($O243,TODAY(),1),"")</f>
        <v/>
      </c>
    </row>
    <row r="244">
      <c r="A244" s="46" t="n"/>
      <c r="B244" s="47" t="n"/>
      <c r="C244" s="47" t="n"/>
      <c r="D244" s="112" t="n"/>
      <c r="E244" s="46" t="n"/>
      <c r="F244" s="47" t="n"/>
      <c r="G244" s="47" t="n"/>
      <c r="H244" s="47" t="n"/>
      <c r="I244" s="47" t="n"/>
      <c r="J244" s="47" t="n"/>
      <c r="K244" s="47" t="n"/>
      <c r="L244" s="47" t="n"/>
      <c r="M244" s="47" t="n"/>
      <c r="N244" s="47" t="n"/>
      <c r="O244" s="112" t="n"/>
      <c r="P244" s="112" t="n"/>
      <c r="Q244" s="112" t="n"/>
      <c r="R244" s="47" t="n"/>
      <c r="S244" s="49" t="n"/>
      <c r="T244" s="49" t="n"/>
      <c r="U244" s="47" t="n"/>
      <c r="V244" s="47" t="n"/>
      <c r="W244" s="47" t="n"/>
      <c r="X244" s="47" t="n"/>
      <c r="Y244" s="47" t="n"/>
      <c r="Z244" s="50" t="n"/>
      <c r="AA244" s="50">
        <f>IF($A244="","",IF(OR($B244="",$E244="",$K244="",$O244="",$S244=""),"⚠ بيانات ناقصة","مكتمل"))</f>
        <v/>
      </c>
      <c r="AB244" s="51">
        <f>IF(OR($A244="",$Q244=""),"",$Q244-TODAY())</f>
        <v/>
      </c>
      <c r="AC244" s="113">
        <f>IF(OR($A244="",$O244=""),"",IFERROR(YEARFRAC($O244,TODAY(),1),"")</f>
        <v/>
      </c>
    </row>
    <row r="245">
      <c r="A245" s="39" t="n"/>
      <c r="B245" s="40" t="n"/>
      <c r="C245" s="40" t="n"/>
      <c r="D245" s="110" t="n"/>
      <c r="E245" s="39" t="n"/>
      <c r="F245" s="40" t="n"/>
      <c r="G245" s="40" t="n"/>
      <c r="H245" s="40" t="n"/>
      <c r="I245" s="40" t="n"/>
      <c r="J245" s="40" t="n"/>
      <c r="K245" s="40" t="n"/>
      <c r="L245" s="40" t="n"/>
      <c r="M245" s="40" t="n"/>
      <c r="N245" s="40" t="n"/>
      <c r="O245" s="110" t="n"/>
      <c r="P245" s="110" t="n"/>
      <c r="Q245" s="110" t="n"/>
      <c r="R245" s="40" t="n"/>
      <c r="S245" s="42" t="n"/>
      <c r="T245" s="42" t="n"/>
      <c r="U245" s="40" t="n"/>
      <c r="V245" s="40" t="n"/>
      <c r="W245" s="40" t="n"/>
      <c r="X245" s="40" t="n"/>
      <c r="Y245" s="40" t="n"/>
      <c r="Z245" s="43" t="n"/>
      <c r="AA245" s="43">
        <f>IF($A245="","",IF(OR($B245="",$E245="",$K245="",$O245="",$S245=""),"⚠ بيانات ناقصة","مكتمل"))</f>
        <v/>
      </c>
      <c r="AB245" s="44">
        <f>IF(OR($A245="",$Q245=""),"",$Q245-TODAY())</f>
        <v/>
      </c>
      <c r="AC245" s="111">
        <f>IF(OR($A245="",$O245=""),"",IFERROR(YEARFRAC($O245,TODAY(),1),"")</f>
        <v/>
      </c>
    </row>
    <row r="246">
      <c r="A246" s="46" t="n"/>
      <c r="B246" s="47" t="n"/>
      <c r="C246" s="47" t="n"/>
      <c r="D246" s="112" t="n"/>
      <c r="E246" s="46" t="n"/>
      <c r="F246" s="47" t="n"/>
      <c r="G246" s="47" t="n"/>
      <c r="H246" s="47" t="n"/>
      <c r="I246" s="47" t="n"/>
      <c r="J246" s="47" t="n"/>
      <c r="K246" s="47" t="n"/>
      <c r="L246" s="47" t="n"/>
      <c r="M246" s="47" t="n"/>
      <c r="N246" s="47" t="n"/>
      <c r="O246" s="112" t="n"/>
      <c r="P246" s="112" t="n"/>
      <c r="Q246" s="112" t="n"/>
      <c r="R246" s="47" t="n"/>
      <c r="S246" s="49" t="n"/>
      <c r="T246" s="49" t="n"/>
      <c r="U246" s="47" t="n"/>
      <c r="V246" s="47" t="n"/>
      <c r="W246" s="47" t="n"/>
      <c r="X246" s="47" t="n"/>
      <c r="Y246" s="47" t="n"/>
      <c r="Z246" s="50" t="n"/>
      <c r="AA246" s="50">
        <f>IF($A246="","",IF(OR($B246="",$E246="",$K246="",$O246="",$S246=""),"⚠ بيانات ناقصة","مكتمل"))</f>
        <v/>
      </c>
      <c r="AB246" s="51">
        <f>IF(OR($A246="",$Q246=""),"",$Q246-TODAY())</f>
        <v/>
      </c>
      <c r="AC246" s="113">
        <f>IF(OR($A246="",$O246=""),"",IFERROR(YEARFRAC($O246,TODAY(),1),"")</f>
        <v/>
      </c>
    </row>
    <row r="247">
      <c r="A247" s="39" t="n"/>
      <c r="B247" s="40" t="n"/>
      <c r="C247" s="40" t="n"/>
      <c r="D247" s="110" t="n"/>
      <c r="E247" s="39" t="n"/>
      <c r="F247" s="40" t="n"/>
      <c r="G247" s="40" t="n"/>
      <c r="H247" s="40" t="n"/>
      <c r="I247" s="40" t="n"/>
      <c r="J247" s="40" t="n"/>
      <c r="K247" s="40" t="n"/>
      <c r="L247" s="40" t="n"/>
      <c r="M247" s="40" t="n"/>
      <c r="N247" s="40" t="n"/>
      <c r="O247" s="110" t="n"/>
      <c r="P247" s="110" t="n"/>
      <c r="Q247" s="110" t="n"/>
      <c r="R247" s="40" t="n"/>
      <c r="S247" s="42" t="n"/>
      <c r="T247" s="42" t="n"/>
      <c r="U247" s="40" t="n"/>
      <c r="V247" s="40" t="n"/>
      <c r="W247" s="40" t="n"/>
      <c r="X247" s="40" t="n"/>
      <c r="Y247" s="40" t="n"/>
      <c r="Z247" s="43" t="n"/>
      <c r="AA247" s="43">
        <f>IF($A247="","",IF(OR($B247="",$E247="",$K247="",$O247="",$S247=""),"⚠ بيانات ناقصة","مكتمل"))</f>
        <v/>
      </c>
      <c r="AB247" s="44">
        <f>IF(OR($A247="",$Q247=""),"",$Q247-TODAY())</f>
        <v/>
      </c>
      <c r="AC247" s="111">
        <f>IF(OR($A247="",$O247=""),"",IFERROR(YEARFRAC($O247,TODAY(),1),"")</f>
        <v/>
      </c>
    </row>
    <row r="248">
      <c r="A248" s="46" t="n"/>
      <c r="B248" s="47" t="n"/>
      <c r="C248" s="47" t="n"/>
      <c r="D248" s="112" t="n"/>
      <c r="E248" s="46" t="n"/>
      <c r="F248" s="47" t="n"/>
      <c r="G248" s="47" t="n"/>
      <c r="H248" s="47" t="n"/>
      <c r="I248" s="47" t="n"/>
      <c r="J248" s="47" t="n"/>
      <c r="K248" s="47" t="n"/>
      <c r="L248" s="47" t="n"/>
      <c r="M248" s="47" t="n"/>
      <c r="N248" s="47" t="n"/>
      <c r="O248" s="112" t="n"/>
      <c r="P248" s="112" t="n"/>
      <c r="Q248" s="112" t="n"/>
      <c r="R248" s="47" t="n"/>
      <c r="S248" s="49" t="n"/>
      <c r="T248" s="49" t="n"/>
      <c r="U248" s="47" t="n"/>
      <c r="V248" s="47" t="n"/>
      <c r="W248" s="47" t="n"/>
      <c r="X248" s="47" t="n"/>
      <c r="Y248" s="47" t="n"/>
      <c r="Z248" s="50" t="n"/>
      <c r="AA248" s="50">
        <f>IF($A248="","",IF(OR($B248="",$E248="",$K248="",$O248="",$S248=""),"⚠ بيانات ناقصة","مكتمل"))</f>
        <v/>
      </c>
      <c r="AB248" s="51">
        <f>IF(OR($A248="",$Q248=""),"",$Q248-TODAY())</f>
        <v/>
      </c>
      <c r="AC248" s="113">
        <f>IF(OR($A248="",$O248=""),"",IFERROR(YEARFRAC($O248,TODAY(),1),"")</f>
        <v/>
      </c>
    </row>
    <row r="249">
      <c r="A249" s="39" t="n"/>
      <c r="B249" s="40" t="n"/>
      <c r="C249" s="40" t="n"/>
      <c r="D249" s="110" t="n"/>
      <c r="E249" s="39" t="n"/>
      <c r="F249" s="40" t="n"/>
      <c r="G249" s="40" t="n"/>
      <c r="H249" s="40" t="n"/>
      <c r="I249" s="40" t="n"/>
      <c r="J249" s="40" t="n"/>
      <c r="K249" s="40" t="n"/>
      <c r="L249" s="40" t="n"/>
      <c r="M249" s="40" t="n"/>
      <c r="N249" s="40" t="n"/>
      <c r="O249" s="110" t="n"/>
      <c r="P249" s="110" t="n"/>
      <c r="Q249" s="110" t="n"/>
      <c r="R249" s="40" t="n"/>
      <c r="S249" s="42" t="n"/>
      <c r="T249" s="42" t="n"/>
      <c r="U249" s="40" t="n"/>
      <c r="V249" s="40" t="n"/>
      <c r="W249" s="40" t="n"/>
      <c r="X249" s="40" t="n"/>
      <c r="Y249" s="40" t="n"/>
      <c r="Z249" s="43" t="n"/>
      <c r="AA249" s="43">
        <f>IF($A249="","",IF(OR($B249="",$E249="",$K249="",$O249="",$S249=""),"⚠ بيانات ناقصة","مكتمل"))</f>
        <v/>
      </c>
      <c r="AB249" s="44">
        <f>IF(OR($A249="",$Q249=""),"",$Q249-TODAY())</f>
        <v/>
      </c>
      <c r="AC249" s="111">
        <f>IF(OR($A249="",$O249=""),"",IFERROR(YEARFRAC($O249,TODAY(),1),"")</f>
        <v/>
      </c>
    </row>
    <row r="250">
      <c r="A250" s="46" t="n"/>
      <c r="B250" s="47" t="n"/>
      <c r="C250" s="47" t="n"/>
      <c r="D250" s="112" t="n"/>
      <c r="E250" s="46" t="n"/>
      <c r="F250" s="47" t="n"/>
      <c r="G250" s="47" t="n"/>
      <c r="H250" s="47" t="n"/>
      <c r="I250" s="47" t="n"/>
      <c r="J250" s="47" t="n"/>
      <c r="K250" s="47" t="n"/>
      <c r="L250" s="47" t="n"/>
      <c r="M250" s="47" t="n"/>
      <c r="N250" s="47" t="n"/>
      <c r="O250" s="112" t="n"/>
      <c r="P250" s="112" t="n"/>
      <c r="Q250" s="112" t="n"/>
      <c r="R250" s="47" t="n"/>
      <c r="S250" s="49" t="n"/>
      <c r="T250" s="49" t="n"/>
      <c r="U250" s="47" t="n"/>
      <c r="V250" s="47" t="n"/>
      <c r="W250" s="47" t="n"/>
      <c r="X250" s="47" t="n"/>
      <c r="Y250" s="47" t="n"/>
      <c r="Z250" s="50" t="n"/>
      <c r="AA250" s="50">
        <f>IF($A250="","",IF(OR($B250="",$E250="",$K250="",$O250="",$S250=""),"⚠ بيانات ناقصة","مكتمل"))</f>
        <v/>
      </c>
      <c r="AB250" s="51">
        <f>IF(OR($A250="",$Q250=""),"",$Q250-TODAY())</f>
        <v/>
      </c>
      <c r="AC250" s="113">
        <f>IF(OR($A250="",$O250=""),"",IFERROR(YEARFRAC($O250,TODAY(),1),"")</f>
        <v/>
      </c>
    </row>
    <row r="251">
      <c r="A251" s="39" t="n"/>
      <c r="B251" s="40" t="n"/>
      <c r="C251" s="40" t="n"/>
      <c r="D251" s="110" t="n"/>
      <c r="E251" s="39" t="n"/>
      <c r="F251" s="40" t="n"/>
      <c r="G251" s="40" t="n"/>
      <c r="H251" s="40" t="n"/>
      <c r="I251" s="40" t="n"/>
      <c r="J251" s="40" t="n"/>
      <c r="K251" s="40" t="n"/>
      <c r="L251" s="40" t="n"/>
      <c r="M251" s="40" t="n"/>
      <c r="N251" s="40" t="n"/>
      <c r="O251" s="110" t="n"/>
      <c r="P251" s="110" t="n"/>
      <c r="Q251" s="110" t="n"/>
      <c r="R251" s="40" t="n"/>
      <c r="S251" s="42" t="n"/>
      <c r="T251" s="42" t="n"/>
      <c r="U251" s="40" t="n"/>
      <c r="V251" s="40" t="n"/>
      <c r="W251" s="40" t="n"/>
      <c r="X251" s="40" t="n"/>
      <c r="Y251" s="40" t="n"/>
      <c r="Z251" s="43" t="n"/>
      <c r="AA251" s="43">
        <f>IF($A251="","",IF(OR($B251="",$E251="",$K251="",$O251="",$S251=""),"⚠ بيانات ناقصة","مكتمل"))</f>
        <v/>
      </c>
      <c r="AB251" s="44">
        <f>IF(OR($A251="",$Q251=""),"",$Q251-TODAY())</f>
        <v/>
      </c>
      <c r="AC251" s="111">
        <f>IF(OR($A251="",$O251=""),"",IFERROR(YEARFRAC($O251,TODAY(),1),"")</f>
        <v/>
      </c>
    </row>
    <row r="252">
      <c r="A252" s="46" t="n"/>
      <c r="B252" s="47" t="n"/>
      <c r="C252" s="47" t="n"/>
      <c r="D252" s="112" t="n"/>
      <c r="E252" s="46" t="n"/>
      <c r="F252" s="47" t="n"/>
      <c r="G252" s="47" t="n"/>
      <c r="H252" s="47" t="n"/>
      <c r="I252" s="47" t="n"/>
      <c r="J252" s="47" t="n"/>
      <c r="K252" s="47" t="n"/>
      <c r="L252" s="47" t="n"/>
      <c r="M252" s="47" t="n"/>
      <c r="N252" s="47" t="n"/>
      <c r="O252" s="112" t="n"/>
      <c r="P252" s="112" t="n"/>
      <c r="Q252" s="112" t="n"/>
      <c r="R252" s="47" t="n"/>
      <c r="S252" s="49" t="n"/>
      <c r="T252" s="49" t="n"/>
      <c r="U252" s="47" t="n"/>
      <c r="V252" s="47" t="n"/>
      <c r="W252" s="47" t="n"/>
      <c r="X252" s="47" t="n"/>
      <c r="Y252" s="47" t="n"/>
      <c r="Z252" s="50" t="n"/>
      <c r="AA252" s="50">
        <f>IF($A252="","",IF(OR($B252="",$E252="",$K252="",$O252="",$S252=""),"⚠ بيانات ناقصة","مكتمل"))</f>
        <v/>
      </c>
      <c r="AB252" s="51">
        <f>IF(OR($A252="",$Q252=""),"",$Q252-TODAY())</f>
        <v/>
      </c>
      <c r="AC252" s="113">
        <f>IF(OR($A252="",$O252=""),"",IFERROR(YEARFRAC($O252,TODAY(),1),"")</f>
        <v/>
      </c>
    </row>
    <row r="253">
      <c r="A253" s="39" t="n"/>
      <c r="B253" s="40" t="n"/>
      <c r="C253" s="40" t="n"/>
      <c r="D253" s="110" t="n"/>
      <c r="E253" s="39" t="n"/>
      <c r="F253" s="40" t="n"/>
      <c r="G253" s="40" t="n"/>
      <c r="H253" s="40" t="n"/>
      <c r="I253" s="40" t="n"/>
      <c r="J253" s="40" t="n"/>
      <c r="K253" s="40" t="n"/>
      <c r="L253" s="40" t="n"/>
      <c r="M253" s="40" t="n"/>
      <c r="N253" s="40" t="n"/>
      <c r="O253" s="110" t="n"/>
      <c r="P253" s="110" t="n"/>
      <c r="Q253" s="110" t="n"/>
      <c r="R253" s="40" t="n"/>
      <c r="S253" s="42" t="n"/>
      <c r="T253" s="42" t="n"/>
      <c r="U253" s="40" t="n"/>
      <c r="V253" s="40" t="n"/>
      <c r="W253" s="40" t="n"/>
      <c r="X253" s="40" t="n"/>
      <c r="Y253" s="40" t="n"/>
      <c r="Z253" s="43" t="n"/>
      <c r="AA253" s="43">
        <f>IF($A253="","",IF(OR($B253="",$E253="",$K253="",$O253="",$S253=""),"⚠ بيانات ناقصة","مكتمل"))</f>
        <v/>
      </c>
      <c r="AB253" s="44">
        <f>IF(OR($A253="",$Q253=""),"",$Q253-TODAY())</f>
        <v/>
      </c>
      <c r="AC253" s="111">
        <f>IF(OR($A253="",$O253=""),"",IFERROR(YEARFRAC($O253,TODAY(),1),"")</f>
        <v/>
      </c>
    </row>
    <row r="254">
      <c r="A254" s="46" t="n"/>
      <c r="B254" s="47" t="n"/>
      <c r="C254" s="47" t="n"/>
      <c r="D254" s="112" t="n"/>
      <c r="E254" s="46" t="n"/>
      <c r="F254" s="47" t="n"/>
      <c r="G254" s="47" t="n"/>
      <c r="H254" s="47" t="n"/>
      <c r="I254" s="47" t="n"/>
      <c r="J254" s="47" t="n"/>
      <c r="K254" s="47" t="n"/>
      <c r="L254" s="47" t="n"/>
      <c r="M254" s="47" t="n"/>
      <c r="N254" s="47" t="n"/>
      <c r="O254" s="112" t="n"/>
      <c r="P254" s="112" t="n"/>
      <c r="Q254" s="112" t="n"/>
      <c r="R254" s="47" t="n"/>
      <c r="S254" s="49" t="n"/>
      <c r="T254" s="49" t="n"/>
      <c r="U254" s="47" t="n"/>
      <c r="V254" s="47" t="n"/>
      <c r="W254" s="47" t="n"/>
      <c r="X254" s="47" t="n"/>
      <c r="Y254" s="47" t="n"/>
      <c r="Z254" s="50" t="n"/>
      <c r="AA254" s="50">
        <f>IF($A254="","",IF(OR($B254="",$E254="",$K254="",$O254="",$S254=""),"⚠ بيانات ناقصة","مكتمل"))</f>
        <v/>
      </c>
      <c r="AB254" s="51">
        <f>IF(OR($A254="",$Q254=""),"",$Q254-TODAY())</f>
        <v/>
      </c>
      <c r="AC254" s="113">
        <f>IF(OR($A254="",$O254=""),"",IFERROR(YEARFRAC($O254,TODAY(),1),"")</f>
        <v/>
      </c>
    </row>
    <row r="255">
      <c r="A255" s="39" t="n"/>
      <c r="B255" s="40" t="n"/>
      <c r="C255" s="40" t="n"/>
      <c r="D255" s="110" t="n"/>
      <c r="E255" s="39" t="n"/>
      <c r="F255" s="40" t="n"/>
      <c r="G255" s="40" t="n"/>
      <c r="H255" s="40" t="n"/>
      <c r="I255" s="40" t="n"/>
      <c r="J255" s="40" t="n"/>
      <c r="K255" s="40" t="n"/>
      <c r="L255" s="40" t="n"/>
      <c r="M255" s="40" t="n"/>
      <c r="N255" s="40" t="n"/>
      <c r="O255" s="110" t="n"/>
      <c r="P255" s="110" t="n"/>
      <c r="Q255" s="110" t="n"/>
      <c r="R255" s="40" t="n"/>
      <c r="S255" s="42" t="n"/>
      <c r="T255" s="42" t="n"/>
      <c r="U255" s="40" t="n"/>
      <c r="V255" s="40" t="n"/>
      <c r="W255" s="40" t="n"/>
      <c r="X255" s="40" t="n"/>
      <c r="Y255" s="40" t="n"/>
      <c r="Z255" s="43" t="n"/>
      <c r="AA255" s="43">
        <f>IF($A255="","",IF(OR($B255="",$E255="",$K255="",$O255="",$S255=""),"⚠ بيانات ناقصة","مكتمل"))</f>
        <v/>
      </c>
      <c r="AB255" s="44">
        <f>IF(OR($A255="",$Q255=""),"",$Q255-TODAY())</f>
        <v/>
      </c>
      <c r="AC255" s="111">
        <f>IF(OR($A255="",$O255=""),"",IFERROR(YEARFRAC($O255,TODAY(),1),"")</f>
        <v/>
      </c>
    </row>
    <row r="256">
      <c r="A256" s="46" t="n"/>
      <c r="B256" s="47" t="n"/>
      <c r="C256" s="47" t="n"/>
      <c r="D256" s="112" t="n"/>
      <c r="E256" s="46" t="n"/>
      <c r="F256" s="47" t="n"/>
      <c r="G256" s="47" t="n"/>
      <c r="H256" s="47" t="n"/>
      <c r="I256" s="47" t="n"/>
      <c r="J256" s="47" t="n"/>
      <c r="K256" s="47" t="n"/>
      <c r="L256" s="47" t="n"/>
      <c r="M256" s="47" t="n"/>
      <c r="N256" s="47" t="n"/>
      <c r="O256" s="112" t="n"/>
      <c r="P256" s="112" t="n"/>
      <c r="Q256" s="112" t="n"/>
      <c r="R256" s="47" t="n"/>
      <c r="S256" s="49" t="n"/>
      <c r="T256" s="49" t="n"/>
      <c r="U256" s="47" t="n"/>
      <c r="V256" s="47" t="n"/>
      <c r="W256" s="47" t="n"/>
      <c r="X256" s="47" t="n"/>
      <c r="Y256" s="47" t="n"/>
      <c r="Z256" s="50" t="n"/>
      <c r="AA256" s="50">
        <f>IF($A256="","",IF(OR($B256="",$E256="",$K256="",$O256="",$S256=""),"⚠ بيانات ناقصة","مكتمل"))</f>
        <v/>
      </c>
      <c r="AB256" s="51">
        <f>IF(OR($A256="",$Q256=""),"",$Q256-TODAY())</f>
        <v/>
      </c>
      <c r="AC256" s="113">
        <f>IF(OR($A256="",$O256=""),"",IFERROR(YEARFRAC($O256,TODAY(),1),"")</f>
        <v/>
      </c>
    </row>
    <row r="257">
      <c r="A257" s="39" t="n"/>
      <c r="B257" s="40" t="n"/>
      <c r="C257" s="40" t="n"/>
      <c r="D257" s="110" t="n"/>
      <c r="E257" s="39" t="n"/>
      <c r="F257" s="40" t="n"/>
      <c r="G257" s="40" t="n"/>
      <c r="H257" s="40" t="n"/>
      <c r="I257" s="40" t="n"/>
      <c r="J257" s="40" t="n"/>
      <c r="K257" s="40" t="n"/>
      <c r="L257" s="40" t="n"/>
      <c r="M257" s="40" t="n"/>
      <c r="N257" s="40" t="n"/>
      <c r="O257" s="110" t="n"/>
      <c r="P257" s="110" t="n"/>
      <c r="Q257" s="110" t="n"/>
      <c r="R257" s="40" t="n"/>
      <c r="S257" s="42" t="n"/>
      <c r="T257" s="42" t="n"/>
      <c r="U257" s="40" t="n"/>
      <c r="V257" s="40" t="n"/>
      <c r="W257" s="40" t="n"/>
      <c r="X257" s="40" t="n"/>
      <c r="Y257" s="40" t="n"/>
      <c r="Z257" s="43" t="n"/>
      <c r="AA257" s="43">
        <f>IF($A257="","",IF(OR($B257="",$E257="",$K257="",$O257="",$S257=""),"⚠ بيانات ناقصة","مكتمل"))</f>
        <v/>
      </c>
      <c r="AB257" s="44">
        <f>IF(OR($A257="",$Q257=""),"",$Q257-TODAY())</f>
        <v/>
      </c>
      <c r="AC257" s="111">
        <f>IF(OR($A257="",$O257=""),"",IFERROR(YEARFRAC($O257,TODAY(),1),"")</f>
        <v/>
      </c>
    </row>
    <row r="258">
      <c r="A258" s="46" t="n"/>
      <c r="B258" s="47" t="n"/>
      <c r="C258" s="47" t="n"/>
      <c r="D258" s="112" t="n"/>
      <c r="E258" s="46" t="n"/>
      <c r="F258" s="47" t="n"/>
      <c r="G258" s="47" t="n"/>
      <c r="H258" s="47" t="n"/>
      <c r="I258" s="47" t="n"/>
      <c r="J258" s="47" t="n"/>
      <c r="K258" s="47" t="n"/>
      <c r="L258" s="47" t="n"/>
      <c r="M258" s="47" t="n"/>
      <c r="N258" s="47" t="n"/>
      <c r="O258" s="112" t="n"/>
      <c r="P258" s="112" t="n"/>
      <c r="Q258" s="112" t="n"/>
      <c r="R258" s="47" t="n"/>
      <c r="S258" s="49" t="n"/>
      <c r="T258" s="49" t="n"/>
      <c r="U258" s="47" t="n"/>
      <c r="V258" s="47" t="n"/>
      <c r="W258" s="47" t="n"/>
      <c r="X258" s="47" t="n"/>
      <c r="Y258" s="47" t="n"/>
      <c r="Z258" s="50" t="n"/>
      <c r="AA258" s="50">
        <f>IF($A258="","",IF(OR($B258="",$E258="",$K258="",$O258="",$S258=""),"⚠ بيانات ناقصة","مكتمل"))</f>
        <v/>
      </c>
      <c r="AB258" s="51">
        <f>IF(OR($A258="",$Q258=""),"",$Q258-TODAY())</f>
        <v/>
      </c>
      <c r="AC258" s="113">
        <f>IF(OR($A258="",$O258=""),"",IFERROR(YEARFRAC($O258,TODAY(),1),"")</f>
        <v/>
      </c>
    </row>
    <row r="259">
      <c r="A259" s="39" t="n"/>
      <c r="B259" s="40" t="n"/>
      <c r="C259" s="40" t="n"/>
      <c r="D259" s="110" t="n"/>
      <c r="E259" s="39" t="n"/>
      <c r="F259" s="40" t="n"/>
      <c r="G259" s="40" t="n"/>
      <c r="H259" s="40" t="n"/>
      <c r="I259" s="40" t="n"/>
      <c r="J259" s="40" t="n"/>
      <c r="K259" s="40" t="n"/>
      <c r="L259" s="40" t="n"/>
      <c r="M259" s="40" t="n"/>
      <c r="N259" s="40" t="n"/>
      <c r="O259" s="110" t="n"/>
      <c r="P259" s="110" t="n"/>
      <c r="Q259" s="110" t="n"/>
      <c r="R259" s="40" t="n"/>
      <c r="S259" s="42" t="n"/>
      <c r="T259" s="42" t="n"/>
      <c r="U259" s="40" t="n"/>
      <c r="V259" s="40" t="n"/>
      <c r="W259" s="40" t="n"/>
      <c r="X259" s="40" t="n"/>
      <c r="Y259" s="40" t="n"/>
      <c r="Z259" s="43" t="n"/>
      <c r="AA259" s="43">
        <f>IF($A259="","",IF(OR($B259="",$E259="",$K259="",$O259="",$S259=""),"⚠ بيانات ناقصة","مكتمل"))</f>
        <v/>
      </c>
      <c r="AB259" s="44">
        <f>IF(OR($A259="",$Q259=""),"",$Q259-TODAY())</f>
        <v/>
      </c>
      <c r="AC259" s="111">
        <f>IF(OR($A259="",$O259=""),"",IFERROR(YEARFRAC($O259,TODAY(),1),"")</f>
        <v/>
      </c>
    </row>
    <row r="260">
      <c r="A260" s="46" t="n"/>
      <c r="B260" s="47" t="n"/>
      <c r="C260" s="47" t="n"/>
      <c r="D260" s="112" t="n"/>
      <c r="E260" s="46" t="n"/>
      <c r="F260" s="47" t="n"/>
      <c r="G260" s="47" t="n"/>
      <c r="H260" s="47" t="n"/>
      <c r="I260" s="47" t="n"/>
      <c r="J260" s="47" t="n"/>
      <c r="K260" s="47" t="n"/>
      <c r="L260" s="47" t="n"/>
      <c r="M260" s="47" t="n"/>
      <c r="N260" s="47" t="n"/>
      <c r="O260" s="112" t="n"/>
      <c r="P260" s="112" t="n"/>
      <c r="Q260" s="112" t="n"/>
      <c r="R260" s="47" t="n"/>
      <c r="S260" s="49" t="n"/>
      <c r="T260" s="49" t="n"/>
      <c r="U260" s="47" t="n"/>
      <c r="V260" s="47" t="n"/>
      <c r="W260" s="47" t="n"/>
      <c r="X260" s="47" t="n"/>
      <c r="Y260" s="47" t="n"/>
      <c r="Z260" s="50" t="n"/>
      <c r="AA260" s="50">
        <f>IF($A260="","",IF(OR($B260="",$E260="",$K260="",$O260="",$S260=""),"⚠ بيانات ناقصة","مكتمل"))</f>
        <v/>
      </c>
      <c r="AB260" s="51">
        <f>IF(OR($A260="",$Q260=""),"",$Q260-TODAY())</f>
        <v/>
      </c>
      <c r="AC260" s="113">
        <f>IF(OR($A260="",$O260=""),"",IFERROR(YEARFRAC($O260,TODAY(),1),"")</f>
        <v/>
      </c>
    </row>
    <row r="261">
      <c r="A261" s="39" t="n"/>
      <c r="B261" s="40" t="n"/>
      <c r="C261" s="40" t="n"/>
      <c r="D261" s="110" t="n"/>
      <c r="E261" s="39" t="n"/>
      <c r="F261" s="40" t="n"/>
      <c r="G261" s="40" t="n"/>
      <c r="H261" s="40" t="n"/>
      <c r="I261" s="40" t="n"/>
      <c r="J261" s="40" t="n"/>
      <c r="K261" s="40" t="n"/>
      <c r="L261" s="40" t="n"/>
      <c r="M261" s="40" t="n"/>
      <c r="N261" s="40" t="n"/>
      <c r="O261" s="110" t="n"/>
      <c r="P261" s="110" t="n"/>
      <c r="Q261" s="110" t="n"/>
      <c r="R261" s="40" t="n"/>
      <c r="S261" s="42" t="n"/>
      <c r="T261" s="42" t="n"/>
      <c r="U261" s="40" t="n"/>
      <c r="V261" s="40" t="n"/>
      <c r="W261" s="40" t="n"/>
      <c r="X261" s="40" t="n"/>
      <c r="Y261" s="40" t="n"/>
      <c r="Z261" s="43" t="n"/>
      <c r="AA261" s="43">
        <f>IF($A261="","",IF(OR($B261="",$E261="",$K261="",$O261="",$S261=""),"⚠ بيانات ناقصة","مكتمل"))</f>
        <v/>
      </c>
      <c r="AB261" s="44">
        <f>IF(OR($A261="",$Q261=""),"",$Q261-TODAY())</f>
        <v/>
      </c>
      <c r="AC261" s="111">
        <f>IF(OR($A261="",$O261=""),"",IFERROR(YEARFRAC($O261,TODAY(),1),"")</f>
        <v/>
      </c>
    </row>
    <row r="262">
      <c r="A262" s="46" t="n"/>
      <c r="B262" s="47" t="n"/>
      <c r="C262" s="47" t="n"/>
      <c r="D262" s="112" t="n"/>
      <c r="E262" s="46" t="n"/>
      <c r="F262" s="47" t="n"/>
      <c r="G262" s="47" t="n"/>
      <c r="H262" s="47" t="n"/>
      <c r="I262" s="47" t="n"/>
      <c r="J262" s="47" t="n"/>
      <c r="K262" s="47" t="n"/>
      <c r="L262" s="47" t="n"/>
      <c r="M262" s="47" t="n"/>
      <c r="N262" s="47" t="n"/>
      <c r="O262" s="112" t="n"/>
      <c r="P262" s="112" t="n"/>
      <c r="Q262" s="112" t="n"/>
      <c r="R262" s="47" t="n"/>
      <c r="S262" s="49" t="n"/>
      <c r="T262" s="49" t="n"/>
      <c r="U262" s="47" t="n"/>
      <c r="V262" s="47" t="n"/>
      <c r="W262" s="47" t="n"/>
      <c r="X262" s="47" t="n"/>
      <c r="Y262" s="47" t="n"/>
      <c r="Z262" s="50" t="n"/>
      <c r="AA262" s="50">
        <f>IF($A262="","",IF(OR($B262="",$E262="",$K262="",$O262="",$S262=""),"⚠ بيانات ناقصة","مكتمل"))</f>
        <v/>
      </c>
      <c r="AB262" s="51">
        <f>IF(OR($A262="",$Q262=""),"",$Q262-TODAY())</f>
        <v/>
      </c>
      <c r="AC262" s="113">
        <f>IF(OR($A262="",$O262=""),"",IFERROR(YEARFRAC($O262,TODAY(),1),"")</f>
        <v/>
      </c>
    </row>
    <row r="263">
      <c r="A263" s="39" t="n"/>
      <c r="B263" s="40" t="n"/>
      <c r="C263" s="40" t="n"/>
      <c r="D263" s="110" t="n"/>
      <c r="E263" s="39" t="n"/>
      <c r="F263" s="40" t="n"/>
      <c r="G263" s="40" t="n"/>
      <c r="H263" s="40" t="n"/>
      <c r="I263" s="40" t="n"/>
      <c r="J263" s="40" t="n"/>
      <c r="K263" s="40" t="n"/>
      <c r="L263" s="40" t="n"/>
      <c r="M263" s="40" t="n"/>
      <c r="N263" s="40" t="n"/>
      <c r="O263" s="110" t="n"/>
      <c r="P263" s="110" t="n"/>
      <c r="Q263" s="110" t="n"/>
      <c r="R263" s="40" t="n"/>
      <c r="S263" s="42" t="n"/>
      <c r="T263" s="42" t="n"/>
      <c r="U263" s="40" t="n"/>
      <c r="V263" s="40" t="n"/>
      <c r="W263" s="40" t="n"/>
      <c r="X263" s="40" t="n"/>
      <c r="Y263" s="40" t="n"/>
      <c r="Z263" s="43" t="n"/>
      <c r="AA263" s="43">
        <f>IF($A263="","",IF(OR($B263="",$E263="",$K263="",$O263="",$S263=""),"⚠ بيانات ناقصة","مكتمل"))</f>
        <v/>
      </c>
      <c r="AB263" s="44">
        <f>IF(OR($A263="",$Q263=""),"",$Q263-TODAY())</f>
        <v/>
      </c>
      <c r="AC263" s="111">
        <f>IF(OR($A263="",$O263=""),"",IFERROR(YEARFRAC($O263,TODAY(),1),"")</f>
        <v/>
      </c>
    </row>
    <row r="264">
      <c r="A264" s="46" t="n"/>
      <c r="B264" s="47" t="n"/>
      <c r="C264" s="47" t="n"/>
      <c r="D264" s="112" t="n"/>
      <c r="E264" s="46" t="n"/>
      <c r="F264" s="47" t="n"/>
      <c r="G264" s="47" t="n"/>
      <c r="H264" s="47" t="n"/>
      <c r="I264" s="47" t="n"/>
      <c r="J264" s="47" t="n"/>
      <c r="K264" s="47" t="n"/>
      <c r="L264" s="47" t="n"/>
      <c r="M264" s="47" t="n"/>
      <c r="N264" s="47" t="n"/>
      <c r="O264" s="112" t="n"/>
      <c r="P264" s="112" t="n"/>
      <c r="Q264" s="112" t="n"/>
      <c r="R264" s="47" t="n"/>
      <c r="S264" s="49" t="n"/>
      <c r="T264" s="49" t="n"/>
      <c r="U264" s="47" t="n"/>
      <c r="V264" s="47" t="n"/>
      <c r="W264" s="47" t="n"/>
      <c r="X264" s="47" t="n"/>
      <c r="Y264" s="47" t="n"/>
      <c r="Z264" s="50" t="n"/>
      <c r="AA264" s="50">
        <f>IF($A264="","",IF(OR($B264="",$E264="",$K264="",$O264="",$S264=""),"⚠ بيانات ناقصة","مكتمل"))</f>
        <v/>
      </c>
      <c r="AB264" s="51">
        <f>IF(OR($A264="",$Q264=""),"",$Q264-TODAY())</f>
        <v/>
      </c>
      <c r="AC264" s="113">
        <f>IF(OR($A264="",$O264=""),"",IFERROR(YEARFRAC($O264,TODAY(),1),"")</f>
        <v/>
      </c>
    </row>
    <row r="265">
      <c r="A265" s="39" t="n"/>
      <c r="B265" s="40" t="n"/>
      <c r="C265" s="40" t="n"/>
      <c r="D265" s="110" t="n"/>
      <c r="E265" s="39" t="n"/>
      <c r="F265" s="40" t="n"/>
      <c r="G265" s="40" t="n"/>
      <c r="H265" s="40" t="n"/>
      <c r="I265" s="40" t="n"/>
      <c r="J265" s="40" t="n"/>
      <c r="K265" s="40" t="n"/>
      <c r="L265" s="40" t="n"/>
      <c r="M265" s="40" t="n"/>
      <c r="N265" s="40" t="n"/>
      <c r="O265" s="110" t="n"/>
      <c r="P265" s="110" t="n"/>
      <c r="Q265" s="110" t="n"/>
      <c r="R265" s="40" t="n"/>
      <c r="S265" s="42" t="n"/>
      <c r="T265" s="42" t="n"/>
      <c r="U265" s="40" t="n"/>
      <c r="V265" s="40" t="n"/>
      <c r="W265" s="40" t="n"/>
      <c r="X265" s="40" t="n"/>
      <c r="Y265" s="40" t="n"/>
      <c r="Z265" s="43" t="n"/>
      <c r="AA265" s="43">
        <f>IF($A265="","",IF(OR($B265="",$E265="",$K265="",$O265="",$S265=""),"⚠ بيانات ناقصة","مكتمل"))</f>
        <v/>
      </c>
      <c r="AB265" s="44">
        <f>IF(OR($A265="",$Q265=""),"",$Q265-TODAY())</f>
        <v/>
      </c>
      <c r="AC265" s="111">
        <f>IF(OR($A265="",$O265=""),"",IFERROR(YEARFRAC($O265,TODAY(),1),"")</f>
        <v/>
      </c>
    </row>
    <row r="266">
      <c r="A266" s="46" t="n"/>
      <c r="B266" s="47" t="n"/>
      <c r="C266" s="47" t="n"/>
      <c r="D266" s="112" t="n"/>
      <c r="E266" s="46" t="n"/>
      <c r="F266" s="47" t="n"/>
      <c r="G266" s="47" t="n"/>
      <c r="H266" s="47" t="n"/>
      <c r="I266" s="47" t="n"/>
      <c r="J266" s="47" t="n"/>
      <c r="K266" s="47" t="n"/>
      <c r="L266" s="47" t="n"/>
      <c r="M266" s="47" t="n"/>
      <c r="N266" s="47" t="n"/>
      <c r="O266" s="112" t="n"/>
      <c r="P266" s="112" t="n"/>
      <c r="Q266" s="112" t="n"/>
      <c r="R266" s="47" t="n"/>
      <c r="S266" s="49" t="n"/>
      <c r="T266" s="49" t="n"/>
      <c r="U266" s="47" t="n"/>
      <c r="V266" s="47" t="n"/>
      <c r="W266" s="47" t="n"/>
      <c r="X266" s="47" t="n"/>
      <c r="Y266" s="47" t="n"/>
      <c r="Z266" s="50" t="n"/>
      <c r="AA266" s="50">
        <f>IF($A266="","",IF(OR($B266="",$E266="",$K266="",$O266="",$S266=""),"⚠ بيانات ناقصة","مكتمل"))</f>
        <v/>
      </c>
      <c r="AB266" s="51">
        <f>IF(OR($A266="",$Q266=""),"",$Q266-TODAY())</f>
        <v/>
      </c>
      <c r="AC266" s="113">
        <f>IF(OR($A266="",$O266=""),"",IFERROR(YEARFRAC($O266,TODAY(),1),"")</f>
        <v/>
      </c>
    </row>
    <row r="267">
      <c r="A267" s="39" t="n"/>
      <c r="B267" s="40" t="n"/>
      <c r="C267" s="40" t="n"/>
      <c r="D267" s="110" t="n"/>
      <c r="E267" s="39" t="n"/>
      <c r="F267" s="40" t="n"/>
      <c r="G267" s="40" t="n"/>
      <c r="H267" s="40" t="n"/>
      <c r="I267" s="40" t="n"/>
      <c r="J267" s="40" t="n"/>
      <c r="K267" s="40" t="n"/>
      <c r="L267" s="40" t="n"/>
      <c r="M267" s="40" t="n"/>
      <c r="N267" s="40" t="n"/>
      <c r="O267" s="110" t="n"/>
      <c r="P267" s="110" t="n"/>
      <c r="Q267" s="110" t="n"/>
      <c r="R267" s="40" t="n"/>
      <c r="S267" s="42" t="n"/>
      <c r="T267" s="42" t="n"/>
      <c r="U267" s="40" t="n"/>
      <c r="V267" s="40" t="n"/>
      <c r="W267" s="40" t="n"/>
      <c r="X267" s="40" t="n"/>
      <c r="Y267" s="40" t="n"/>
      <c r="Z267" s="43" t="n"/>
      <c r="AA267" s="43">
        <f>IF($A267="","",IF(OR($B267="",$E267="",$K267="",$O267="",$S267=""),"⚠ بيانات ناقصة","مكتمل"))</f>
        <v/>
      </c>
      <c r="AB267" s="44">
        <f>IF(OR($A267="",$Q267=""),"",$Q267-TODAY())</f>
        <v/>
      </c>
      <c r="AC267" s="111">
        <f>IF(OR($A267="",$O267=""),"",IFERROR(YEARFRAC($O267,TODAY(),1),"")</f>
        <v/>
      </c>
    </row>
    <row r="268">
      <c r="A268" s="46" t="n"/>
      <c r="B268" s="47" t="n"/>
      <c r="C268" s="47" t="n"/>
      <c r="D268" s="112" t="n"/>
      <c r="E268" s="46" t="n"/>
      <c r="F268" s="47" t="n"/>
      <c r="G268" s="47" t="n"/>
      <c r="H268" s="47" t="n"/>
      <c r="I268" s="47" t="n"/>
      <c r="J268" s="47" t="n"/>
      <c r="K268" s="47" t="n"/>
      <c r="L268" s="47" t="n"/>
      <c r="M268" s="47" t="n"/>
      <c r="N268" s="47" t="n"/>
      <c r="O268" s="112" t="n"/>
      <c r="P268" s="112" t="n"/>
      <c r="Q268" s="112" t="n"/>
      <c r="R268" s="47" t="n"/>
      <c r="S268" s="49" t="n"/>
      <c r="T268" s="49" t="n"/>
      <c r="U268" s="47" t="n"/>
      <c r="V268" s="47" t="n"/>
      <c r="W268" s="47" t="n"/>
      <c r="X268" s="47" t="n"/>
      <c r="Y268" s="47" t="n"/>
      <c r="Z268" s="50" t="n"/>
      <c r="AA268" s="50">
        <f>IF($A268="","",IF(OR($B268="",$E268="",$K268="",$O268="",$S268=""),"⚠ بيانات ناقصة","مكتمل"))</f>
        <v/>
      </c>
      <c r="AB268" s="51">
        <f>IF(OR($A268="",$Q268=""),"",$Q268-TODAY())</f>
        <v/>
      </c>
      <c r="AC268" s="113">
        <f>IF(OR($A268="",$O268=""),"",IFERROR(YEARFRAC($O268,TODAY(),1),"")</f>
        <v/>
      </c>
    </row>
    <row r="269">
      <c r="A269" s="39" t="n"/>
      <c r="B269" s="40" t="n"/>
      <c r="C269" s="40" t="n"/>
      <c r="D269" s="110" t="n"/>
      <c r="E269" s="39" t="n"/>
      <c r="F269" s="40" t="n"/>
      <c r="G269" s="40" t="n"/>
      <c r="H269" s="40" t="n"/>
      <c r="I269" s="40" t="n"/>
      <c r="J269" s="40" t="n"/>
      <c r="K269" s="40" t="n"/>
      <c r="L269" s="40" t="n"/>
      <c r="M269" s="40" t="n"/>
      <c r="N269" s="40" t="n"/>
      <c r="O269" s="110" t="n"/>
      <c r="P269" s="110" t="n"/>
      <c r="Q269" s="110" t="n"/>
      <c r="R269" s="40" t="n"/>
      <c r="S269" s="42" t="n"/>
      <c r="T269" s="42" t="n"/>
      <c r="U269" s="40" t="n"/>
      <c r="V269" s="40" t="n"/>
      <c r="W269" s="40" t="n"/>
      <c r="X269" s="40" t="n"/>
      <c r="Y269" s="40" t="n"/>
      <c r="Z269" s="43" t="n"/>
      <c r="AA269" s="43">
        <f>IF($A269="","",IF(OR($B269="",$E269="",$K269="",$O269="",$S269=""),"⚠ بيانات ناقصة","مكتمل"))</f>
        <v/>
      </c>
      <c r="AB269" s="44">
        <f>IF(OR($A269="",$Q269=""),"",$Q269-TODAY())</f>
        <v/>
      </c>
      <c r="AC269" s="111">
        <f>IF(OR($A269="",$O269=""),"",IFERROR(YEARFRAC($O269,TODAY(),1),"")</f>
        <v/>
      </c>
    </row>
    <row r="270">
      <c r="A270" s="46" t="n"/>
      <c r="B270" s="47" t="n"/>
      <c r="C270" s="47" t="n"/>
      <c r="D270" s="112" t="n"/>
      <c r="E270" s="46" t="n"/>
      <c r="F270" s="47" t="n"/>
      <c r="G270" s="47" t="n"/>
      <c r="H270" s="47" t="n"/>
      <c r="I270" s="47" t="n"/>
      <c r="J270" s="47" t="n"/>
      <c r="K270" s="47" t="n"/>
      <c r="L270" s="47" t="n"/>
      <c r="M270" s="47" t="n"/>
      <c r="N270" s="47" t="n"/>
      <c r="O270" s="112" t="n"/>
      <c r="P270" s="112" t="n"/>
      <c r="Q270" s="112" t="n"/>
      <c r="R270" s="47" t="n"/>
      <c r="S270" s="49" t="n"/>
      <c r="T270" s="49" t="n"/>
      <c r="U270" s="47" t="n"/>
      <c r="V270" s="47" t="n"/>
      <c r="W270" s="47" t="n"/>
      <c r="X270" s="47" t="n"/>
      <c r="Y270" s="47" t="n"/>
      <c r="Z270" s="50" t="n"/>
      <c r="AA270" s="50">
        <f>IF($A270="","",IF(OR($B270="",$E270="",$K270="",$O270="",$S270=""),"⚠ بيانات ناقصة","مكتمل"))</f>
        <v/>
      </c>
      <c r="AB270" s="51">
        <f>IF(OR($A270="",$Q270=""),"",$Q270-TODAY())</f>
        <v/>
      </c>
      <c r="AC270" s="113">
        <f>IF(OR($A270="",$O270=""),"",IFERROR(YEARFRAC($O270,TODAY(),1),"")</f>
        <v/>
      </c>
    </row>
    <row r="271">
      <c r="A271" s="39" t="n"/>
      <c r="B271" s="40" t="n"/>
      <c r="C271" s="40" t="n"/>
      <c r="D271" s="110" t="n"/>
      <c r="E271" s="39" t="n"/>
      <c r="F271" s="40" t="n"/>
      <c r="G271" s="40" t="n"/>
      <c r="H271" s="40" t="n"/>
      <c r="I271" s="40" t="n"/>
      <c r="J271" s="40" t="n"/>
      <c r="K271" s="40" t="n"/>
      <c r="L271" s="40" t="n"/>
      <c r="M271" s="40" t="n"/>
      <c r="N271" s="40" t="n"/>
      <c r="O271" s="110" t="n"/>
      <c r="P271" s="110" t="n"/>
      <c r="Q271" s="110" t="n"/>
      <c r="R271" s="40" t="n"/>
      <c r="S271" s="42" t="n"/>
      <c r="T271" s="42" t="n"/>
      <c r="U271" s="40" t="n"/>
      <c r="V271" s="40" t="n"/>
      <c r="W271" s="40" t="n"/>
      <c r="X271" s="40" t="n"/>
      <c r="Y271" s="40" t="n"/>
      <c r="Z271" s="43" t="n"/>
      <c r="AA271" s="43">
        <f>IF($A271="","",IF(OR($B271="",$E271="",$K271="",$O271="",$S271=""),"⚠ بيانات ناقصة","مكتمل"))</f>
        <v/>
      </c>
      <c r="AB271" s="44">
        <f>IF(OR($A271="",$Q271=""),"",$Q271-TODAY())</f>
        <v/>
      </c>
      <c r="AC271" s="111">
        <f>IF(OR($A271="",$O271=""),"",IFERROR(YEARFRAC($O271,TODAY(),1),"")</f>
        <v/>
      </c>
    </row>
    <row r="272">
      <c r="A272" s="46" t="n"/>
      <c r="B272" s="47" t="n"/>
      <c r="C272" s="47" t="n"/>
      <c r="D272" s="112" t="n"/>
      <c r="E272" s="46" t="n"/>
      <c r="F272" s="47" t="n"/>
      <c r="G272" s="47" t="n"/>
      <c r="H272" s="47" t="n"/>
      <c r="I272" s="47" t="n"/>
      <c r="J272" s="47" t="n"/>
      <c r="K272" s="47" t="n"/>
      <c r="L272" s="47" t="n"/>
      <c r="M272" s="47" t="n"/>
      <c r="N272" s="47" t="n"/>
      <c r="O272" s="112" t="n"/>
      <c r="P272" s="112" t="n"/>
      <c r="Q272" s="112" t="n"/>
      <c r="R272" s="47" t="n"/>
      <c r="S272" s="49" t="n"/>
      <c r="T272" s="49" t="n"/>
      <c r="U272" s="47" t="n"/>
      <c r="V272" s="47" t="n"/>
      <c r="W272" s="47" t="n"/>
      <c r="X272" s="47" t="n"/>
      <c r="Y272" s="47" t="n"/>
      <c r="Z272" s="50" t="n"/>
      <c r="AA272" s="50">
        <f>IF($A272="","",IF(OR($B272="",$E272="",$K272="",$O272="",$S272=""),"⚠ بيانات ناقصة","مكتمل"))</f>
        <v/>
      </c>
      <c r="AB272" s="51">
        <f>IF(OR($A272="",$Q272=""),"",$Q272-TODAY())</f>
        <v/>
      </c>
      <c r="AC272" s="113">
        <f>IF(OR($A272="",$O272=""),"",IFERROR(YEARFRAC($O272,TODAY(),1),"")</f>
        <v/>
      </c>
    </row>
    <row r="273">
      <c r="A273" s="39" t="n"/>
      <c r="B273" s="40" t="n"/>
      <c r="C273" s="40" t="n"/>
      <c r="D273" s="110" t="n"/>
      <c r="E273" s="39" t="n"/>
      <c r="F273" s="40" t="n"/>
      <c r="G273" s="40" t="n"/>
      <c r="H273" s="40" t="n"/>
      <c r="I273" s="40" t="n"/>
      <c r="J273" s="40" t="n"/>
      <c r="K273" s="40" t="n"/>
      <c r="L273" s="40" t="n"/>
      <c r="M273" s="40" t="n"/>
      <c r="N273" s="40" t="n"/>
      <c r="O273" s="110" t="n"/>
      <c r="P273" s="110" t="n"/>
      <c r="Q273" s="110" t="n"/>
      <c r="R273" s="40" t="n"/>
      <c r="S273" s="42" t="n"/>
      <c r="T273" s="42" t="n"/>
      <c r="U273" s="40" t="n"/>
      <c r="V273" s="40" t="n"/>
      <c r="W273" s="40" t="n"/>
      <c r="X273" s="40" t="n"/>
      <c r="Y273" s="40" t="n"/>
      <c r="Z273" s="43" t="n"/>
      <c r="AA273" s="43">
        <f>IF($A273="","",IF(OR($B273="",$E273="",$K273="",$O273="",$S273=""),"⚠ بيانات ناقصة","مكتمل"))</f>
        <v/>
      </c>
      <c r="AB273" s="44">
        <f>IF(OR($A273="",$Q273=""),"",$Q273-TODAY())</f>
        <v/>
      </c>
      <c r="AC273" s="111">
        <f>IF(OR($A273="",$O273=""),"",IFERROR(YEARFRAC($O273,TODAY(),1),"")</f>
        <v/>
      </c>
    </row>
    <row r="274">
      <c r="A274" s="46" t="n"/>
      <c r="B274" s="47" t="n"/>
      <c r="C274" s="47" t="n"/>
      <c r="D274" s="112" t="n"/>
      <c r="E274" s="46" t="n"/>
      <c r="F274" s="47" t="n"/>
      <c r="G274" s="47" t="n"/>
      <c r="H274" s="47" t="n"/>
      <c r="I274" s="47" t="n"/>
      <c r="J274" s="47" t="n"/>
      <c r="K274" s="47" t="n"/>
      <c r="L274" s="47" t="n"/>
      <c r="M274" s="47" t="n"/>
      <c r="N274" s="47" t="n"/>
      <c r="O274" s="112" t="n"/>
      <c r="P274" s="112" t="n"/>
      <c r="Q274" s="112" t="n"/>
      <c r="R274" s="47" t="n"/>
      <c r="S274" s="49" t="n"/>
      <c r="T274" s="49" t="n"/>
      <c r="U274" s="47" t="n"/>
      <c r="V274" s="47" t="n"/>
      <c r="W274" s="47" t="n"/>
      <c r="X274" s="47" t="n"/>
      <c r="Y274" s="47" t="n"/>
      <c r="Z274" s="50" t="n"/>
      <c r="AA274" s="50">
        <f>IF($A274="","",IF(OR($B274="",$E274="",$K274="",$O274="",$S274=""),"⚠ بيانات ناقصة","مكتمل"))</f>
        <v/>
      </c>
      <c r="AB274" s="51">
        <f>IF(OR($A274="",$Q274=""),"",$Q274-TODAY())</f>
        <v/>
      </c>
      <c r="AC274" s="113">
        <f>IF(OR($A274="",$O274=""),"",IFERROR(YEARFRAC($O274,TODAY(),1),"")</f>
        <v/>
      </c>
    </row>
    <row r="275">
      <c r="A275" s="39" t="n"/>
      <c r="B275" s="40" t="n"/>
      <c r="C275" s="40" t="n"/>
      <c r="D275" s="110" t="n"/>
      <c r="E275" s="39" t="n"/>
      <c r="F275" s="40" t="n"/>
      <c r="G275" s="40" t="n"/>
      <c r="H275" s="40" t="n"/>
      <c r="I275" s="40" t="n"/>
      <c r="J275" s="40" t="n"/>
      <c r="K275" s="40" t="n"/>
      <c r="L275" s="40" t="n"/>
      <c r="M275" s="40" t="n"/>
      <c r="N275" s="40" t="n"/>
      <c r="O275" s="110" t="n"/>
      <c r="P275" s="110" t="n"/>
      <c r="Q275" s="110" t="n"/>
      <c r="R275" s="40" t="n"/>
      <c r="S275" s="42" t="n"/>
      <c r="T275" s="42" t="n"/>
      <c r="U275" s="40" t="n"/>
      <c r="V275" s="40" t="n"/>
      <c r="W275" s="40" t="n"/>
      <c r="X275" s="40" t="n"/>
      <c r="Y275" s="40" t="n"/>
      <c r="Z275" s="43" t="n"/>
      <c r="AA275" s="43">
        <f>IF($A275="","",IF(OR($B275="",$E275="",$K275="",$O275="",$S275=""),"⚠ بيانات ناقصة","مكتمل"))</f>
        <v/>
      </c>
      <c r="AB275" s="44">
        <f>IF(OR($A275="",$Q275=""),"",$Q275-TODAY())</f>
        <v/>
      </c>
      <c r="AC275" s="111">
        <f>IF(OR($A275="",$O275=""),"",IFERROR(YEARFRAC($O275,TODAY(),1),"")</f>
        <v/>
      </c>
    </row>
    <row r="276">
      <c r="A276" s="46" t="n"/>
      <c r="B276" s="47" t="n"/>
      <c r="C276" s="47" t="n"/>
      <c r="D276" s="112" t="n"/>
      <c r="E276" s="46" t="n"/>
      <c r="F276" s="47" t="n"/>
      <c r="G276" s="47" t="n"/>
      <c r="H276" s="47" t="n"/>
      <c r="I276" s="47" t="n"/>
      <c r="J276" s="47" t="n"/>
      <c r="K276" s="47" t="n"/>
      <c r="L276" s="47" t="n"/>
      <c r="M276" s="47" t="n"/>
      <c r="N276" s="47" t="n"/>
      <c r="O276" s="112" t="n"/>
      <c r="P276" s="112" t="n"/>
      <c r="Q276" s="112" t="n"/>
      <c r="R276" s="47" t="n"/>
      <c r="S276" s="49" t="n"/>
      <c r="T276" s="49" t="n"/>
      <c r="U276" s="47" t="n"/>
      <c r="V276" s="47" t="n"/>
      <c r="W276" s="47" t="n"/>
      <c r="X276" s="47" t="n"/>
      <c r="Y276" s="47" t="n"/>
      <c r="Z276" s="50" t="n"/>
      <c r="AA276" s="50">
        <f>IF($A276="","",IF(OR($B276="",$E276="",$K276="",$O276="",$S276=""),"⚠ بيانات ناقصة","مكتمل"))</f>
        <v/>
      </c>
      <c r="AB276" s="51">
        <f>IF(OR($A276="",$Q276=""),"",$Q276-TODAY())</f>
        <v/>
      </c>
      <c r="AC276" s="113">
        <f>IF(OR($A276="",$O276=""),"",IFERROR(YEARFRAC($O276,TODAY(),1),"")</f>
        <v/>
      </c>
    </row>
    <row r="277">
      <c r="A277" s="39" t="n"/>
      <c r="B277" s="40" t="n"/>
      <c r="C277" s="40" t="n"/>
      <c r="D277" s="110" t="n"/>
      <c r="E277" s="39" t="n"/>
      <c r="F277" s="40" t="n"/>
      <c r="G277" s="40" t="n"/>
      <c r="H277" s="40" t="n"/>
      <c r="I277" s="40" t="n"/>
      <c r="J277" s="40" t="n"/>
      <c r="K277" s="40" t="n"/>
      <c r="L277" s="40" t="n"/>
      <c r="M277" s="40" t="n"/>
      <c r="N277" s="40" t="n"/>
      <c r="O277" s="110" t="n"/>
      <c r="P277" s="110" t="n"/>
      <c r="Q277" s="110" t="n"/>
      <c r="R277" s="40" t="n"/>
      <c r="S277" s="42" t="n"/>
      <c r="T277" s="42" t="n"/>
      <c r="U277" s="40" t="n"/>
      <c r="V277" s="40" t="n"/>
      <c r="W277" s="40" t="n"/>
      <c r="X277" s="40" t="n"/>
      <c r="Y277" s="40" t="n"/>
      <c r="Z277" s="43" t="n"/>
      <c r="AA277" s="43">
        <f>IF($A277="","",IF(OR($B277="",$E277="",$K277="",$O277="",$S277=""),"⚠ بيانات ناقصة","مكتمل"))</f>
        <v/>
      </c>
      <c r="AB277" s="44">
        <f>IF(OR($A277="",$Q277=""),"",$Q277-TODAY())</f>
        <v/>
      </c>
      <c r="AC277" s="111">
        <f>IF(OR($A277="",$O277=""),"",IFERROR(YEARFRAC($O277,TODAY(),1),"")</f>
        <v/>
      </c>
    </row>
    <row r="278">
      <c r="A278" s="46" t="n"/>
      <c r="B278" s="47" t="n"/>
      <c r="C278" s="47" t="n"/>
      <c r="D278" s="112" t="n"/>
      <c r="E278" s="46" t="n"/>
      <c r="F278" s="47" t="n"/>
      <c r="G278" s="47" t="n"/>
      <c r="H278" s="47" t="n"/>
      <c r="I278" s="47" t="n"/>
      <c r="J278" s="47" t="n"/>
      <c r="K278" s="47" t="n"/>
      <c r="L278" s="47" t="n"/>
      <c r="M278" s="47" t="n"/>
      <c r="N278" s="47" t="n"/>
      <c r="O278" s="112" t="n"/>
      <c r="P278" s="112" t="n"/>
      <c r="Q278" s="112" t="n"/>
      <c r="R278" s="47" t="n"/>
      <c r="S278" s="49" t="n"/>
      <c r="T278" s="49" t="n"/>
      <c r="U278" s="47" t="n"/>
      <c r="V278" s="47" t="n"/>
      <c r="W278" s="47" t="n"/>
      <c r="X278" s="47" t="n"/>
      <c r="Y278" s="47" t="n"/>
      <c r="Z278" s="50" t="n"/>
      <c r="AA278" s="50">
        <f>IF($A278="","",IF(OR($B278="",$E278="",$K278="",$O278="",$S278=""),"⚠ بيانات ناقصة","مكتمل"))</f>
        <v/>
      </c>
      <c r="AB278" s="51">
        <f>IF(OR($A278="",$Q278=""),"",$Q278-TODAY())</f>
        <v/>
      </c>
      <c r="AC278" s="113">
        <f>IF(OR($A278="",$O278=""),"",IFERROR(YEARFRAC($O278,TODAY(),1),"")</f>
        <v/>
      </c>
    </row>
    <row r="279">
      <c r="A279" s="39" t="n"/>
      <c r="B279" s="40" t="n"/>
      <c r="C279" s="40" t="n"/>
      <c r="D279" s="110" t="n"/>
      <c r="E279" s="39" t="n"/>
      <c r="F279" s="40" t="n"/>
      <c r="G279" s="40" t="n"/>
      <c r="H279" s="40" t="n"/>
      <c r="I279" s="40" t="n"/>
      <c r="J279" s="40" t="n"/>
      <c r="K279" s="40" t="n"/>
      <c r="L279" s="40" t="n"/>
      <c r="M279" s="40" t="n"/>
      <c r="N279" s="40" t="n"/>
      <c r="O279" s="110" t="n"/>
      <c r="P279" s="110" t="n"/>
      <c r="Q279" s="110" t="n"/>
      <c r="R279" s="40" t="n"/>
      <c r="S279" s="42" t="n"/>
      <c r="T279" s="42" t="n"/>
      <c r="U279" s="40" t="n"/>
      <c r="V279" s="40" t="n"/>
      <c r="W279" s="40" t="n"/>
      <c r="X279" s="40" t="n"/>
      <c r="Y279" s="40" t="n"/>
      <c r="Z279" s="43" t="n"/>
      <c r="AA279" s="43">
        <f>IF($A279="","",IF(OR($B279="",$E279="",$K279="",$O279="",$S279=""),"⚠ بيانات ناقصة","مكتمل"))</f>
        <v/>
      </c>
      <c r="AB279" s="44">
        <f>IF(OR($A279="",$Q279=""),"",$Q279-TODAY())</f>
        <v/>
      </c>
      <c r="AC279" s="111">
        <f>IF(OR($A279="",$O279=""),"",IFERROR(YEARFRAC($O279,TODAY(),1),"")</f>
        <v/>
      </c>
    </row>
    <row r="280">
      <c r="A280" s="46" t="n"/>
      <c r="B280" s="47" t="n"/>
      <c r="C280" s="47" t="n"/>
      <c r="D280" s="112" t="n"/>
      <c r="E280" s="46" t="n"/>
      <c r="F280" s="47" t="n"/>
      <c r="G280" s="47" t="n"/>
      <c r="H280" s="47" t="n"/>
      <c r="I280" s="47" t="n"/>
      <c r="J280" s="47" t="n"/>
      <c r="K280" s="47" t="n"/>
      <c r="L280" s="47" t="n"/>
      <c r="M280" s="47" t="n"/>
      <c r="N280" s="47" t="n"/>
      <c r="O280" s="112" t="n"/>
      <c r="P280" s="112" t="n"/>
      <c r="Q280" s="112" t="n"/>
      <c r="R280" s="47" t="n"/>
      <c r="S280" s="49" t="n"/>
      <c r="T280" s="49" t="n"/>
      <c r="U280" s="47" t="n"/>
      <c r="V280" s="47" t="n"/>
      <c r="W280" s="47" t="n"/>
      <c r="X280" s="47" t="n"/>
      <c r="Y280" s="47" t="n"/>
      <c r="Z280" s="50" t="n"/>
      <c r="AA280" s="50">
        <f>IF($A280="","",IF(OR($B280="",$E280="",$K280="",$O280="",$S280=""),"⚠ بيانات ناقصة","مكتمل"))</f>
        <v/>
      </c>
      <c r="AB280" s="51">
        <f>IF(OR($A280="",$Q280=""),"",$Q280-TODAY())</f>
        <v/>
      </c>
      <c r="AC280" s="113">
        <f>IF(OR($A280="",$O280=""),"",IFERROR(YEARFRAC($O280,TODAY(),1),"")</f>
        <v/>
      </c>
    </row>
    <row r="281">
      <c r="A281" s="39" t="n"/>
      <c r="B281" s="40" t="n"/>
      <c r="C281" s="40" t="n"/>
      <c r="D281" s="110" t="n"/>
      <c r="E281" s="39" t="n"/>
      <c r="F281" s="40" t="n"/>
      <c r="G281" s="40" t="n"/>
      <c r="H281" s="40" t="n"/>
      <c r="I281" s="40" t="n"/>
      <c r="J281" s="40" t="n"/>
      <c r="K281" s="40" t="n"/>
      <c r="L281" s="40" t="n"/>
      <c r="M281" s="40" t="n"/>
      <c r="N281" s="40" t="n"/>
      <c r="O281" s="110" t="n"/>
      <c r="P281" s="110" t="n"/>
      <c r="Q281" s="110" t="n"/>
      <c r="R281" s="40" t="n"/>
      <c r="S281" s="42" t="n"/>
      <c r="T281" s="42" t="n"/>
      <c r="U281" s="40" t="n"/>
      <c r="V281" s="40" t="n"/>
      <c r="W281" s="40" t="n"/>
      <c r="X281" s="40" t="n"/>
      <c r="Y281" s="40" t="n"/>
      <c r="Z281" s="43" t="n"/>
      <c r="AA281" s="43">
        <f>IF($A281="","",IF(OR($B281="",$E281="",$K281="",$O281="",$S281=""),"⚠ بيانات ناقصة","مكتمل"))</f>
        <v/>
      </c>
      <c r="AB281" s="44">
        <f>IF(OR($A281="",$Q281=""),"",$Q281-TODAY())</f>
        <v/>
      </c>
      <c r="AC281" s="111">
        <f>IF(OR($A281="",$O281=""),"",IFERROR(YEARFRAC($O281,TODAY(),1),"")</f>
        <v/>
      </c>
    </row>
    <row r="282">
      <c r="A282" s="46" t="n"/>
      <c r="B282" s="47" t="n"/>
      <c r="C282" s="47" t="n"/>
      <c r="D282" s="112" t="n"/>
      <c r="E282" s="46" t="n"/>
      <c r="F282" s="47" t="n"/>
      <c r="G282" s="47" t="n"/>
      <c r="H282" s="47" t="n"/>
      <c r="I282" s="47" t="n"/>
      <c r="J282" s="47" t="n"/>
      <c r="K282" s="47" t="n"/>
      <c r="L282" s="47" t="n"/>
      <c r="M282" s="47" t="n"/>
      <c r="N282" s="47" t="n"/>
      <c r="O282" s="112" t="n"/>
      <c r="P282" s="112" t="n"/>
      <c r="Q282" s="112" t="n"/>
      <c r="R282" s="47" t="n"/>
      <c r="S282" s="49" t="n"/>
      <c r="T282" s="49" t="n"/>
      <c r="U282" s="47" t="n"/>
      <c r="V282" s="47" t="n"/>
      <c r="W282" s="47" t="n"/>
      <c r="X282" s="47" t="n"/>
      <c r="Y282" s="47" t="n"/>
      <c r="Z282" s="50" t="n"/>
      <c r="AA282" s="50">
        <f>IF($A282="","",IF(OR($B282="",$E282="",$K282="",$O282="",$S282=""),"⚠ بيانات ناقصة","مكتمل"))</f>
        <v/>
      </c>
      <c r="AB282" s="51">
        <f>IF(OR($A282="",$Q282=""),"",$Q282-TODAY())</f>
        <v/>
      </c>
      <c r="AC282" s="113">
        <f>IF(OR($A282="",$O282=""),"",IFERROR(YEARFRAC($O282,TODAY(),1),"")</f>
        <v/>
      </c>
    </row>
    <row r="283">
      <c r="A283" s="39" t="n"/>
      <c r="B283" s="40" t="n"/>
      <c r="C283" s="40" t="n"/>
      <c r="D283" s="110" t="n"/>
      <c r="E283" s="39" t="n"/>
      <c r="F283" s="40" t="n"/>
      <c r="G283" s="40" t="n"/>
      <c r="H283" s="40" t="n"/>
      <c r="I283" s="40" t="n"/>
      <c r="J283" s="40" t="n"/>
      <c r="K283" s="40" t="n"/>
      <c r="L283" s="40" t="n"/>
      <c r="M283" s="40" t="n"/>
      <c r="N283" s="40" t="n"/>
      <c r="O283" s="110" t="n"/>
      <c r="P283" s="110" t="n"/>
      <c r="Q283" s="110" t="n"/>
      <c r="R283" s="40" t="n"/>
      <c r="S283" s="42" t="n"/>
      <c r="T283" s="42" t="n"/>
      <c r="U283" s="40" t="n"/>
      <c r="V283" s="40" t="n"/>
      <c r="W283" s="40" t="n"/>
      <c r="X283" s="40" t="n"/>
      <c r="Y283" s="40" t="n"/>
      <c r="Z283" s="43" t="n"/>
      <c r="AA283" s="43">
        <f>IF($A283="","",IF(OR($B283="",$E283="",$K283="",$O283="",$S283=""),"⚠ بيانات ناقصة","مكتمل"))</f>
        <v/>
      </c>
      <c r="AB283" s="44">
        <f>IF(OR($A283="",$Q283=""),"",$Q283-TODAY())</f>
        <v/>
      </c>
      <c r="AC283" s="111">
        <f>IF(OR($A283="",$O283=""),"",IFERROR(YEARFRAC($O283,TODAY(),1),"")</f>
        <v/>
      </c>
    </row>
    <row r="284">
      <c r="A284" s="46" t="n"/>
      <c r="B284" s="47" t="n"/>
      <c r="C284" s="47" t="n"/>
      <c r="D284" s="112" t="n"/>
      <c r="E284" s="46" t="n"/>
      <c r="F284" s="47" t="n"/>
      <c r="G284" s="47" t="n"/>
      <c r="H284" s="47" t="n"/>
      <c r="I284" s="47" t="n"/>
      <c r="J284" s="47" t="n"/>
      <c r="K284" s="47" t="n"/>
      <c r="L284" s="47" t="n"/>
      <c r="M284" s="47" t="n"/>
      <c r="N284" s="47" t="n"/>
      <c r="O284" s="112" t="n"/>
      <c r="P284" s="112" t="n"/>
      <c r="Q284" s="112" t="n"/>
      <c r="R284" s="47" t="n"/>
      <c r="S284" s="49" t="n"/>
      <c r="T284" s="49" t="n"/>
      <c r="U284" s="47" t="n"/>
      <c r="V284" s="47" t="n"/>
      <c r="W284" s="47" t="n"/>
      <c r="X284" s="47" t="n"/>
      <c r="Y284" s="47" t="n"/>
      <c r="Z284" s="50" t="n"/>
      <c r="AA284" s="50">
        <f>IF($A284="","",IF(OR($B284="",$E284="",$K284="",$O284="",$S284=""),"⚠ بيانات ناقصة","مكتمل"))</f>
        <v/>
      </c>
      <c r="AB284" s="51">
        <f>IF(OR($A284="",$Q284=""),"",$Q284-TODAY())</f>
        <v/>
      </c>
      <c r="AC284" s="113">
        <f>IF(OR($A284="",$O284=""),"",IFERROR(YEARFRAC($O284,TODAY(),1),"")</f>
        <v/>
      </c>
    </row>
    <row r="285">
      <c r="A285" s="39" t="n"/>
      <c r="B285" s="40" t="n"/>
      <c r="C285" s="40" t="n"/>
      <c r="D285" s="110" t="n"/>
      <c r="E285" s="39" t="n"/>
      <c r="F285" s="40" t="n"/>
      <c r="G285" s="40" t="n"/>
      <c r="H285" s="40" t="n"/>
      <c r="I285" s="40" t="n"/>
      <c r="J285" s="40" t="n"/>
      <c r="K285" s="40" t="n"/>
      <c r="L285" s="40" t="n"/>
      <c r="M285" s="40" t="n"/>
      <c r="N285" s="40" t="n"/>
      <c r="O285" s="110" t="n"/>
      <c r="P285" s="110" t="n"/>
      <c r="Q285" s="110" t="n"/>
      <c r="R285" s="40" t="n"/>
      <c r="S285" s="42" t="n"/>
      <c r="T285" s="42" t="n"/>
      <c r="U285" s="40" t="n"/>
      <c r="V285" s="40" t="n"/>
      <c r="W285" s="40" t="n"/>
      <c r="X285" s="40" t="n"/>
      <c r="Y285" s="40" t="n"/>
      <c r="Z285" s="43" t="n"/>
      <c r="AA285" s="43">
        <f>IF($A285="","",IF(OR($B285="",$E285="",$K285="",$O285="",$S285=""),"⚠ بيانات ناقصة","مكتمل"))</f>
        <v/>
      </c>
      <c r="AB285" s="44">
        <f>IF(OR($A285="",$Q285=""),"",$Q285-TODAY())</f>
        <v/>
      </c>
      <c r="AC285" s="111">
        <f>IF(OR($A285="",$O285=""),"",IFERROR(YEARFRAC($O285,TODAY(),1),"")</f>
        <v/>
      </c>
    </row>
    <row r="286">
      <c r="A286" s="46" t="n"/>
      <c r="B286" s="47" t="n"/>
      <c r="C286" s="47" t="n"/>
      <c r="D286" s="112" t="n"/>
      <c r="E286" s="46" t="n"/>
      <c r="F286" s="47" t="n"/>
      <c r="G286" s="47" t="n"/>
      <c r="H286" s="47" t="n"/>
      <c r="I286" s="47" t="n"/>
      <c r="J286" s="47" t="n"/>
      <c r="K286" s="47" t="n"/>
      <c r="L286" s="47" t="n"/>
      <c r="M286" s="47" t="n"/>
      <c r="N286" s="47" t="n"/>
      <c r="O286" s="112" t="n"/>
      <c r="P286" s="112" t="n"/>
      <c r="Q286" s="112" t="n"/>
      <c r="R286" s="47" t="n"/>
      <c r="S286" s="49" t="n"/>
      <c r="T286" s="49" t="n"/>
      <c r="U286" s="47" t="n"/>
      <c r="V286" s="47" t="n"/>
      <c r="W286" s="47" t="n"/>
      <c r="X286" s="47" t="n"/>
      <c r="Y286" s="47" t="n"/>
      <c r="Z286" s="50" t="n"/>
      <c r="AA286" s="50">
        <f>IF($A286="","",IF(OR($B286="",$E286="",$K286="",$O286="",$S286=""),"⚠ بيانات ناقصة","مكتمل"))</f>
        <v/>
      </c>
      <c r="AB286" s="51">
        <f>IF(OR($A286="",$Q286=""),"",$Q286-TODAY())</f>
        <v/>
      </c>
      <c r="AC286" s="113">
        <f>IF(OR($A286="",$O286=""),"",IFERROR(YEARFRAC($O286,TODAY(),1),"")</f>
        <v/>
      </c>
    </row>
    <row r="287">
      <c r="A287" s="39" t="n"/>
      <c r="B287" s="40" t="n"/>
      <c r="C287" s="40" t="n"/>
      <c r="D287" s="110" t="n"/>
      <c r="E287" s="39" t="n"/>
      <c r="F287" s="40" t="n"/>
      <c r="G287" s="40" t="n"/>
      <c r="H287" s="40" t="n"/>
      <c r="I287" s="40" t="n"/>
      <c r="J287" s="40" t="n"/>
      <c r="K287" s="40" t="n"/>
      <c r="L287" s="40" t="n"/>
      <c r="M287" s="40" t="n"/>
      <c r="N287" s="40" t="n"/>
      <c r="O287" s="110" t="n"/>
      <c r="P287" s="110" t="n"/>
      <c r="Q287" s="110" t="n"/>
      <c r="R287" s="40" t="n"/>
      <c r="S287" s="42" t="n"/>
      <c r="T287" s="42" t="n"/>
      <c r="U287" s="40" t="n"/>
      <c r="V287" s="40" t="n"/>
      <c r="W287" s="40" t="n"/>
      <c r="X287" s="40" t="n"/>
      <c r="Y287" s="40" t="n"/>
      <c r="Z287" s="43" t="n"/>
      <c r="AA287" s="43">
        <f>IF($A287="","",IF(OR($B287="",$E287="",$K287="",$O287="",$S287=""),"⚠ بيانات ناقصة","مكتمل"))</f>
        <v/>
      </c>
      <c r="AB287" s="44">
        <f>IF(OR($A287="",$Q287=""),"",$Q287-TODAY())</f>
        <v/>
      </c>
      <c r="AC287" s="111">
        <f>IF(OR($A287="",$O287=""),"",IFERROR(YEARFRAC($O287,TODAY(),1),"")</f>
        <v/>
      </c>
    </row>
    <row r="288">
      <c r="A288" s="46" t="n"/>
      <c r="B288" s="47" t="n"/>
      <c r="C288" s="47" t="n"/>
      <c r="D288" s="112" t="n"/>
      <c r="E288" s="46" t="n"/>
      <c r="F288" s="47" t="n"/>
      <c r="G288" s="47" t="n"/>
      <c r="H288" s="47" t="n"/>
      <c r="I288" s="47" t="n"/>
      <c r="J288" s="47" t="n"/>
      <c r="K288" s="47" t="n"/>
      <c r="L288" s="47" t="n"/>
      <c r="M288" s="47" t="n"/>
      <c r="N288" s="47" t="n"/>
      <c r="O288" s="112" t="n"/>
      <c r="P288" s="112" t="n"/>
      <c r="Q288" s="112" t="n"/>
      <c r="R288" s="47" t="n"/>
      <c r="S288" s="49" t="n"/>
      <c r="T288" s="49" t="n"/>
      <c r="U288" s="47" t="n"/>
      <c r="V288" s="47" t="n"/>
      <c r="W288" s="47" t="n"/>
      <c r="X288" s="47" t="n"/>
      <c r="Y288" s="47" t="n"/>
      <c r="Z288" s="50" t="n"/>
      <c r="AA288" s="50">
        <f>IF($A288="","",IF(OR($B288="",$E288="",$K288="",$O288="",$S288=""),"⚠ بيانات ناقصة","مكتمل"))</f>
        <v/>
      </c>
      <c r="AB288" s="51">
        <f>IF(OR($A288="",$Q288=""),"",$Q288-TODAY())</f>
        <v/>
      </c>
      <c r="AC288" s="113">
        <f>IF(OR($A288="",$O288=""),"",IFERROR(YEARFRAC($O288,TODAY(),1),"")</f>
        <v/>
      </c>
    </row>
    <row r="289">
      <c r="A289" s="39" t="n"/>
      <c r="B289" s="40" t="n"/>
      <c r="C289" s="40" t="n"/>
      <c r="D289" s="110" t="n"/>
      <c r="E289" s="39" t="n"/>
      <c r="F289" s="40" t="n"/>
      <c r="G289" s="40" t="n"/>
      <c r="H289" s="40" t="n"/>
      <c r="I289" s="40" t="n"/>
      <c r="J289" s="40" t="n"/>
      <c r="K289" s="40" t="n"/>
      <c r="L289" s="40" t="n"/>
      <c r="M289" s="40" t="n"/>
      <c r="N289" s="40" t="n"/>
      <c r="O289" s="110" t="n"/>
      <c r="P289" s="110" t="n"/>
      <c r="Q289" s="110" t="n"/>
      <c r="R289" s="40" t="n"/>
      <c r="S289" s="42" t="n"/>
      <c r="T289" s="42" t="n"/>
      <c r="U289" s="40" t="n"/>
      <c r="V289" s="40" t="n"/>
      <c r="W289" s="40" t="n"/>
      <c r="X289" s="40" t="n"/>
      <c r="Y289" s="40" t="n"/>
      <c r="Z289" s="43" t="n"/>
      <c r="AA289" s="43">
        <f>IF($A289="","",IF(OR($B289="",$E289="",$K289="",$O289="",$S289=""),"⚠ بيانات ناقصة","مكتمل"))</f>
        <v/>
      </c>
      <c r="AB289" s="44">
        <f>IF(OR($A289="",$Q289=""),"",$Q289-TODAY())</f>
        <v/>
      </c>
      <c r="AC289" s="111">
        <f>IF(OR($A289="",$O289=""),"",IFERROR(YEARFRAC($O289,TODAY(),1),"")</f>
        <v/>
      </c>
    </row>
    <row r="290">
      <c r="A290" s="46" t="n"/>
      <c r="B290" s="47" t="n"/>
      <c r="C290" s="47" t="n"/>
      <c r="D290" s="112" t="n"/>
      <c r="E290" s="46" t="n"/>
      <c r="F290" s="47" t="n"/>
      <c r="G290" s="47" t="n"/>
      <c r="H290" s="47" t="n"/>
      <c r="I290" s="47" t="n"/>
      <c r="J290" s="47" t="n"/>
      <c r="K290" s="47" t="n"/>
      <c r="L290" s="47" t="n"/>
      <c r="M290" s="47" t="n"/>
      <c r="N290" s="47" t="n"/>
      <c r="O290" s="112" t="n"/>
      <c r="P290" s="112" t="n"/>
      <c r="Q290" s="112" t="n"/>
      <c r="R290" s="47" t="n"/>
      <c r="S290" s="49" t="n"/>
      <c r="T290" s="49" t="n"/>
      <c r="U290" s="47" t="n"/>
      <c r="V290" s="47" t="n"/>
      <c r="W290" s="47" t="n"/>
      <c r="X290" s="47" t="n"/>
      <c r="Y290" s="47" t="n"/>
      <c r="Z290" s="50" t="n"/>
      <c r="AA290" s="50">
        <f>IF($A290="","",IF(OR($B290="",$E290="",$K290="",$O290="",$S290=""),"⚠ بيانات ناقصة","مكتمل"))</f>
        <v/>
      </c>
      <c r="AB290" s="51">
        <f>IF(OR($A290="",$Q290=""),"",$Q290-TODAY())</f>
        <v/>
      </c>
      <c r="AC290" s="113">
        <f>IF(OR($A290="",$O290=""),"",IFERROR(YEARFRAC($O290,TODAY(),1),"")</f>
        <v/>
      </c>
    </row>
    <row r="291">
      <c r="A291" s="39" t="n"/>
      <c r="B291" s="40" t="n"/>
      <c r="C291" s="40" t="n"/>
      <c r="D291" s="110" t="n"/>
      <c r="E291" s="39" t="n"/>
      <c r="F291" s="40" t="n"/>
      <c r="G291" s="40" t="n"/>
      <c r="H291" s="40" t="n"/>
      <c r="I291" s="40" t="n"/>
      <c r="J291" s="40" t="n"/>
      <c r="K291" s="40" t="n"/>
      <c r="L291" s="40" t="n"/>
      <c r="M291" s="40" t="n"/>
      <c r="N291" s="40" t="n"/>
      <c r="O291" s="110" t="n"/>
      <c r="P291" s="110" t="n"/>
      <c r="Q291" s="110" t="n"/>
      <c r="R291" s="40" t="n"/>
      <c r="S291" s="42" t="n"/>
      <c r="T291" s="42" t="n"/>
      <c r="U291" s="40" t="n"/>
      <c r="V291" s="40" t="n"/>
      <c r="W291" s="40" t="n"/>
      <c r="X291" s="40" t="n"/>
      <c r="Y291" s="40" t="n"/>
      <c r="Z291" s="43" t="n"/>
      <c r="AA291" s="43">
        <f>IF($A291="","",IF(OR($B291="",$E291="",$K291="",$O291="",$S291=""),"⚠ بيانات ناقصة","مكتمل"))</f>
        <v/>
      </c>
      <c r="AB291" s="44">
        <f>IF(OR($A291="",$Q291=""),"",$Q291-TODAY())</f>
        <v/>
      </c>
      <c r="AC291" s="111">
        <f>IF(OR($A291="",$O291=""),"",IFERROR(YEARFRAC($O291,TODAY(),1),"")</f>
        <v/>
      </c>
    </row>
    <row r="292">
      <c r="A292" s="46" t="n"/>
      <c r="B292" s="47" t="n"/>
      <c r="C292" s="47" t="n"/>
      <c r="D292" s="112" t="n"/>
      <c r="E292" s="46" t="n"/>
      <c r="F292" s="47" t="n"/>
      <c r="G292" s="47" t="n"/>
      <c r="H292" s="47" t="n"/>
      <c r="I292" s="47" t="n"/>
      <c r="J292" s="47" t="n"/>
      <c r="K292" s="47" t="n"/>
      <c r="L292" s="47" t="n"/>
      <c r="M292" s="47" t="n"/>
      <c r="N292" s="47" t="n"/>
      <c r="O292" s="112" t="n"/>
      <c r="P292" s="112" t="n"/>
      <c r="Q292" s="112" t="n"/>
      <c r="R292" s="47" t="n"/>
      <c r="S292" s="49" t="n"/>
      <c r="T292" s="49" t="n"/>
      <c r="U292" s="47" t="n"/>
      <c r="V292" s="47" t="n"/>
      <c r="W292" s="47" t="n"/>
      <c r="X292" s="47" t="n"/>
      <c r="Y292" s="47" t="n"/>
      <c r="Z292" s="50" t="n"/>
      <c r="AA292" s="50">
        <f>IF($A292="","",IF(OR($B292="",$E292="",$K292="",$O292="",$S292=""),"⚠ بيانات ناقصة","مكتمل"))</f>
        <v/>
      </c>
      <c r="AB292" s="51">
        <f>IF(OR($A292="",$Q292=""),"",$Q292-TODAY())</f>
        <v/>
      </c>
      <c r="AC292" s="113">
        <f>IF(OR($A292="",$O292=""),"",IFERROR(YEARFRAC($O292,TODAY(),1),"")</f>
        <v/>
      </c>
    </row>
    <row r="293">
      <c r="A293" s="39" t="n"/>
      <c r="B293" s="40" t="n"/>
      <c r="C293" s="40" t="n"/>
      <c r="D293" s="110" t="n"/>
      <c r="E293" s="39" t="n"/>
      <c r="F293" s="40" t="n"/>
      <c r="G293" s="40" t="n"/>
      <c r="H293" s="40" t="n"/>
      <c r="I293" s="40" t="n"/>
      <c r="J293" s="40" t="n"/>
      <c r="K293" s="40" t="n"/>
      <c r="L293" s="40" t="n"/>
      <c r="M293" s="40" t="n"/>
      <c r="N293" s="40" t="n"/>
      <c r="O293" s="110" t="n"/>
      <c r="P293" s="110" t="n"/>
      <c r="Q293" s="110" t="n"/>
      <c r="R293" s="40" t="n"/>
      <c r="S293" s="42" t="n"/>
      <c r="T293" s="42" t="n"/>
      <c r="U293" s="40" t="n"/>
      <c r="V293" s="40" t="n"/>
      <c r="W293" s="40" t="n"/>
      <c r="X293" s="40" t="n"/>
      <c r="Y293" s="40" t="n"/>
      <c r="Z293" s="43" t="n"/>
      <c r="AA293" s="43">
        <f>IF($A293="","",IF(OR($B293="",$E293="",$K293="",$O293="",$S293=""),"⚠ بيانات ناقصة","مكتمل"))</f>
        <v/>
      </c>
      <c r="AB293" s="44">
        <f>IF(OR($A293="",$Q293=""),"",$Q293-TODAY())</f>
        <v/>
      </c>
      <c r="AC293" s="111">
        <f>IF(OR($A293="",$O293=""),"",IFERROR(YEARFRAC($O293,TODAY(),1),"")</f>
        <v/>
      </c>
    </row>
    <row r="294">
      <c r="A294" s="46" t="n"/>
      <c r="B294" s="47" t="n"/>
      <c r="C294" s="47" t="n"/>
      <c r="D294" s="112" t="n"/>
      <c r="E294" s="46" t="n"/>
      <c r="F294" s="47" t="n"/>
      <c r="G294" s="47" t="n"/>
      <c r="H294" s="47" t="n"/>
      <c r="I294" s="47" t="n"/>
      <c r="J294" s="47" t="n"/>
      <c r="K294" s="47" t="n"/>
      <c r="L294" s="47" t="n"/>
      <c r="M294" s="47" t="n"/>
      <c r="N294" s="47" t="n"/>
      <c r="O294" s="112" t="n"/>
      <c r="P294" s="112" t="n"/>
      <c r="Q294" s="112" t="n"/>
      <c r="R294" s="47" t="n"/>
      <c r="S294" s="49" t="n"/>
      <c r="T294" s="49" t="n"/>
      <c r="U294" s="47" t="n"/>
      <c r="V294" s="47" t="n"/>
      <c r="W294" s="47" t="n"/>
      <c r="X294" s="47" t="n"/>
      <c r="Y294" s="47" t="n"/>
      <c r="Z294" s="50" t="n"/>
      <c r="AA294" s="50">
        <f>IF($A294="","",IF(OR($B294="",$E294="",$K294="",$O294="",$S294=""),"⚠ بيانات ناقصة","مكتمل"))</f>
        <v/>
      </c>
      <c r="AB294" s="51">
        <f>IF(OR($A294="",$Q294=""),"",$Q294-TODAY())</f>
        <v/>
      </c>
      <c r="AC294" s="113">
        <f>IF(OR($A294="",$O294=""),"",IFERROR(YEARFRAC($O294,TODAY(),1),"")</f>
        <v/>
      </c>
    </row>
    <row r="295">
      <c r="A295" s="39" t="n"/>
      <c r="B295" s="40" t="n"/>
      <c r="C295" s="40" t="n"/>
      <c r="D295" s="110" t="n"/>
      <c r="E295" s="39" t="n"/>
      <c r="F295" s="40" t="n"/>
      <c r="G295" s="40" t="n"/>
      <c r="H295" s="40" t="n"/>
      <c r="I295" s="40" t="n"/>
      <c r="J295" s="40" t="n"/>
      <c r="K295" s="40" t="n"/>
      <c r="L295" s="40" t="n"/>
      <c r="M295" s="40" t="n"/>
      <c r="N295" s="40" t="n"/>
      <c r="O295" s="110" t="n"/>
      <c r="P295" s="110" t="n"/>
      <c r="Q295" s="110" t="n"/>
      <c r="R295" s="40" t="n"/>
      <c r="S295" s="42" t="n"/>
      <c r="T295" s="42" t="n"/>
      <c r="U295" s="40" t="n"/>
      <c r="V295" s="40" t="n"/>
      <c r="W295" s="40" t="n"/>
      <c r="X295" s="40" t="n"/>
      <c r="Y295" s="40" t="n"/>
      <c r="Z295" s="43" t="n"/>
      <c r="AA295" s="43">
        <f>IF($A295="","",IF(OR($B295="",$E295="",$K295="",$O295="",$S295=""),"⚠ بيانات ناقصة","مكتمل"))</f>
        <v/>
      </c>
      <c r="AB295" s="44">
        <f>IF(OR($A295="",$Q295=""),"",$Q295-TODAY())</f>
        <v/>
      </c>
      <c r="AC295" s="111">
        <f>IF(OR($A295="",$O295=""),"",IFERROR(YEARFRAC($O295,TODAY(),1),"")</f>
        <v/>
      </c>
    </row>
    <row r="296">
      <c r="A296" s="46" t="n"/>
      <c r="B296" s="47" t="n"/>
      <c r="C296" s="47" t="n"/>
      <c r="D296" s="112" t="n"/>
      <c r="E296" s="46" t="n"/>
      <c r="F296" s="47" t="n"/>
      <c r="G296" s="47" t="n"/>
      <c r="H296" s="47" t="n"/>
      <c r="I296" s="47" t="n"/>
      <c r="J296" s="47" t="n"/>
      <c r="K296" s="47" t="n"/>
      <c r="L296" s="47" t="n"/>
      <c r="M296" s="47" t="n"/>
      <c r="N296" s="47" t="n"/>
      <c r="O296" s="112" t="n"/>
      <c r="P296" s="112" t="n"/>
      <c r="Q296" s="112" t="n"/>
      <c r="R296" s="47" t="n"/>
      <c r="S296" s="49" t="n"/>
      <c r="T296" s="49" t="n"/>
      <c r="U296" s="47" t="n"/>
      <c r="V296" s="47" t="n"/>
      <c r="W296" s="47" t="n"/>
      <c r="X296" s="47" t="n"/>
      <c r="Y296" s="47" t="n"/>
      <c r="Z296" s="50" t="n"/>
      <c r="AA296" s="50">
        <f>IF($A296="","",IF(OR($B296="",$E296="",$K296="",$O296="",$S296=""),"⚠ بيانات ناقصة","مكتمل"))</f>
        <v/>
      </c>
      <c r="AB296" s="51">
        <f>IF(OR($A296="",$Q296=""),"",$Q296-TODAY())</f>
        <v/>
      </c>
      <c r="AC296" s="113">
        <f>IF(OR($A296="",$O296=""),"",IFERROR(YEARFRAC($O296,TODAY(),1),"")</f>
        <v/>
      </c>
    </row>
    <row r="297">
      <c r="A297" s="39" t="n"/>
      <c r="B297" s="40" t="n"/>
      <c r="C297" s="40" t="n"/>
      <c r="D297" s="110" t="n"/>
      <c r="E297" s="39" t="n"/>
      <c r="F297" s="40" t="n"/>
      <c r="G297" s="40" t="n"/>
      <c r="H297" s="40" t="n"/>
      <c r="I297" s="40" t="n"/>
      <c r="J297" s="40" t="n"/>
      <c r="K297" s="40" t="n"/>
      <c r="L297" s="40" t="n"/>
      <c r="M297" s="40" t="n"/>
      <c r="N297" s="40" t="n"/>
      <c r="O297" s="110" t="n"/>
      <c r="P297" s="110" t="n"/>
      <c r="Q297" s="110" t="n"/>
      <c r="R297" s="40" t="n"/>
      <c r="S297" s="42" t="n"/>
      <c r="T297" s="42" t="n"/>
      <c r="U297" s="40" t="n"/>
      <c r="V297" s="40" t="n"/>
      <c r="W297" s="40" t="n"/>
      <c r="X297" s="40" t="n"/>
      <c r="Y297" s="40" t="n"/>
      <c r="Z297" s="43" t="n"/>
      <c r="AA297" s="43">
        <f>IF($A297="","",IF(OR($B297="",$E297="",$K297="",$O297="",$S297=""),"⚠ بيانات ناقصة","مكتمل"))</f>
        <v/>
      </c>
      <c r="AB297" s="44">
        <f>IF(OR($A297="",$Q297=""),"",$Q297-TODAY())</f>
        <v/>
      </c>
      <c r="AC297" s="111">
        <f>IF(OR($A297="",$O297=""),"",IFERROR(YEARFRAC($O297,TODAY(),1),"")</f>
        <v/>
      </c>
    </row>
    <row r="298">
      <c r="A298" s="46" t="n"/>
      <c r="B298" s="47" t="n"/>
      <c r="C298" s="47" t="n"/>
      <c r="D298" s="112" t="n"/>
      <c r="E298" s="46" t="n"/>
      <c r="F298" s="47" t="n"/>
      <c r="G298" s="47" t="n"/>
      <c r="H298" s="47" t="n"/>
      <c r="I298" s="47" t="n"/>
      <c r="J298" s="47" t="n"/>
      <c r="K298" s="47" t="n"/>
      <c r="L298" s="47" t="n"/>
      <c r="M298" s="47" t="n"/>
      <c r="N298" s="47" t="n"/>
      <c r="O298" s="112" t="n"/>
      <c r="P298" s="112" t="n"/>
      <c r="Q298" s="112" t="n"/>
      <c r="R298" s="47" t="n"/>
      <c r="S298" s="49" t="n"/>
      <c r="T298" s="49" t="n"/>
      <c r="U298" s="47" t="n"/>
      <c r="V298" s="47" t="n"/>
      <c r="W298" s="47" t="n"/>
      <c r="X298" s="47" t="n"/>
      <c r="Y298" s="47" t="n"/>
      <c r="Z298" s="50" t="n"/>
      <c r="AA298" s="50">
        <f>IF($A298="","",IF(OR($B298="",$E298="",$K298="",$O298="",$S298=""),"⚠ بيانات ناقصة","مكتمل"))</f>
        <v/>
      </c>
      <c r="AB298" s="51">
        <f>IF(OR($A298="",$Q298=""),"",$Q298-TODAY())</f>
        <v/>
      </c>
      <c r="AC298" s="113">
        <f>IF(OR($A298="",$O298=""),"",IFERROR(YEARFRAC($O298,TODAY(),1),"")</f>
        <v/>
      </c>
    </row>
    <row r="299">
      <c r="A299" s="39" t="n"/>
      <c r="B299" s="40" t="n"/>
      <c r="C299" s="40" t="n"/>
      <c r="D299" s="110" t="n"/>
      <c r="E299" s="39" t="n"/>
      <c r="F299" s="40" t="n"/>
      <c r="G299" s="40" t="n"/>
      <c r="H299" s="40" t="n"/>
      <c r="I299" s="40" t="n"/>
      <c r="J299" s="40" t="n"/>
      <c r="K299" s="40" t="n"/>
      <c r="L299" s="40" t="n"/>
      <c r="M299" s="40" t="n"/>
      <c r="N299" s="40" t="n"/>
      <c r="O299" s="110" t="n"/>
      <c r="P299" s="110" t="n"/>
      <c r="Q299" s="110" t="n"/>
      <c r="R299" s="40" t="n"/>
      <c r="S299" s="42" t="n"/>
      <c r="T299" s="42" t="n"/>
      <c r="U299" s="40" t="n"/>
      <c r="V299" s="40" t="n"/>
      <c r="W299" s="40" t="n"/>
      <c r="X299" s="40" t="n"/>
      <c r="Y299" s="40" t="n"/>
      <c r="Z299" s="43" t="n"/>
      <c r="AA299" s="43">
        <f>IF($A299="","",IF(OR($B299="",$E299="",$K299="",$O299="",$S299=""),"⚠ بيانات ناقصة","مكتمل"))</f>
        <v/>
      </c>
      <c r="AB299" s="44">
        <f>IF(OR($A299="",$Q299=""),"",$Q299-TODAY())</f>
        <v/>
      </c>
      <c r="AC299" s="111">
        <f>IF(OR($A299="",$O299=""),"",IFERROR(YEARFRAC($O299,TODAY(),1),"")</f>
        <v/>
      </c>
    </row>
    <row r="300">
      <c r="A300" s="46" t="n"/>
      <c r="B300" s="47" t="n"/>
      <c r="C300" s="47" t="n"/>
      <c r="D300" s="112" t="n"/>
      <c r="E300" s="46" t="n"/>
      <c r="F300" s="47" t="n"/>
      <c r="G300" s="47" t="n"/>
      <c r="H300" s="47" t="n"/>
      <c r="I300" s="47" t="n"/>
      <c r="J300" s="47" t="n"/>
      <c r="K300" s="47" t="n"/>
      <c r="L300" s="47" t="n"/>
      <c r="M300" s="47" t="n"/>
      <c r="N300" s="47" t="n"/>
      <c r="O300" s="112" t="n"/>
      <c r="P300" s="112" t="n"/>
      <c r="Q300" s="112" t="n"/>
      <c r="R300" s="47" t="n"/>
      <c r="S300" s="49" t="n"/>
      <c r="T300" s="49" t="n"/>
      <c r="U300" s="47" t="n"/>
      <c r="V300" s="47" t="n"/>
      <c r="W300" s="47" t="n"/>
      <c r="X300" s="47" t="n"/>
      <c r="Y300" s="47" t="n"/>
      <c r="Z300" s="50" t="n"/>
      <c r="AA300" s="50">
        <f>IF($A300="","",IF(OR($B300="",$E300="",$K300="",$O300="",$S300=""),"⚠ بيانات ناقصة","مكتمل"))</f>
        <v/>
      </c>
      <c r="AB300" s="51">
        <f>IF(OR($A300="",$Q300=""),"",$Q300-TODAY())</f>
        <v/>
      </c>
      <c r="AC300" s="113">
        <f>IF(OR($A300="",$O300=""),"",IFERROR(YEARFRAC($O300,TODAY(),1),"")</f>
        <v/>
      </c>
    </row>
    <row r="301">
      <c r="A301" s="39" t="n"/>
      <c r="B301" s="40" t="n"/>
      <c r="C301" s="40" t="n"/>
      <c r="D301" s="110" t="n"/>
      <c r="E301" s="39" t="n"/>
      <c r="F301" s="40" t="n"/>
      <c r="G301" s="40" t="n"/>
      <c r="H301" s="40" t="n"/>
      <c r="I301" s="40" t="n"/>
      <c r="J301" s="40" t="n"/>
      <c r="K301" s="40" t="n"/>
      <c r="L301" s="40" t="n"/>
      <c r="M301" s="40" t="n"/>
      <c r="N301" s="40" t="n"/>
      <c r="O301" s="110" t="n"/>
      <c r="P301" s="110" t="n"/>
      <c r="Q301" s="110" t="n"/>
      <c r="R301" s="40" t="n"/>
      <c r="S301" s="42" t="n"/>
      <c r="T301" s="42" t="n"/>
      <c r="U301" s="40" t="n"/>
      <c r="V301" s="40" t="n"/>
      <c r="W301" s="40" t="n"/>
      <c r="X301" s="40" t="n"/>
      <c r="Y301" s="40" t="n"/>
      <c r="Z301" s="43" t="n"/>
      <c r="AA301" s="43">
        <f>IF($A301="","",IF(OR($B301="",$E301="",$K301="",$O301="",$S301=""),"⚠ بيانات ناقصة","مكتمل"))</f>
        <v/>
      </c>
      <c r="AB301" s="44">
        <f>IF(OR($A301="",$Q301=""),"",$Q301-TODAY())</f>
        <v/>
      </c>
      <c r="AC301" s="111">
        <f>IF(OR($A301="",$O301=""),"",IFERROR(YEARFRAC($O301,TODAY(),1),"")</f>
        <v/>
      </c>
    </row>
    <row r="302">
      <c r="A302" s="46" t="n"/>
      <c r="B302" s="47" t="n"/>
      <c r="C302" s="47" t="n"/>
      <c r="D302" s="112" t="n"/>
      <c r="E302" s="46" t="n"/>
      <c r="F302" s="47" t="n"/>
      <c r="G302" s="47" t="n"/>
      <c r="H302" s="47" t="n"/>
      <c r="I302" s="47" t="n"/>
      <c r="J302" s="47" t="n"/>
      <c r="K302" s="47" t="n"/>
      <c r="L302" s="47" t="n"/>
      <c r="M302" s="47" t="n"/>
      <c r="N302" s="47" t="n"/>
      <c r="O302" s="112" t="n"/>
      <c r="P302" s="112" t="n"/>
      <c r="Q302" s="112" t="n"/>
      <c r="R302" s="47" t="n"/>
      <c r="S302" s="49" t="n"/>
      <c r="T302" s="49" t="n"/>
      <c r="U302" s="47" t="n"/>
      <c r="V302" s="47" t="n"/>
      <c r="W302" s="47" t="n"/>
      <c r="X302" s="47" t="n"/>
      <c r="Y302" s="47" t="n"/>
      <c r="Z302" s="50" t="n"/>
      <c r="AA302" s="50">
        <f>IF($A302="","",IF(OR($B302="",$E302="",$K302="",$O302="",$S302=""),"⚠ بيانات ناقصة","مكتمل"))</f>
        <v/>
      </c>
      <c r="AB302" s="51">
        <f>IF(OR($A302="",$Q302=""),"",$Q302-TODAY())</f>
        <v/>
      </c>
      <c r="AC302" s="113">
        <f>IF(OR($A302="",$O302=""),"",IFERROR(YEARFRAC($O302,TODAY(),1),"")</f>
        <v/>
      </c>
    </row>
    <row r="303">
      <c r="A303" s="39" t="n"/>
      <c r="B303" s="40" t="n"/>
      <c r="C303" s="40" t="n"/>
      <c r="D303" s="110" t="n"/>
      <c r="E303" s="39" t="n"/>
      <c r="F303" s="40" t="n"/>
      <c r="G303" s="40" t="n"/>
      <c r="H303" s="40" t="n"/>
      <c r="I303" s="40" t="n"/>
      <c r="J303" s="40" t="n"/>
      <c r="K303" s="40" t="n"/>
      <c r="L303" s="40" t="n"/>
      <c r="M303" s="40" t="n"/>
      <c r="N303" s="40" t="n"/>
      <c r="O303" s="110" t="n"/>
      <c r="P303" s="110" t="n"/>
      <c r="Q303" s="110" t="n"/>
      <c r="R303" s="40" t="n"/>
      <c r="S303" s="42" t="n"/>
      <c r="T303" s="42" t="n"/>
      <c r="U303" s="40" t="n"/>
      <c r="V303" s="40" t="n"/>
      <c r="W303" s="40" t="n"/>
      <c r="X303" s="40" t="n"/>
      <c r="Y303" s="40" t="n"/>
      <c r="Z303" s="43" t="n"/>
      <c r="AA303" s="43">
        <f>IF($A303="","",IF(OR($B303="",$E303="",$K303="",$O303="",$S303=""),"⚠ بيانات ناقصة","مكتمل"))</f>
        <v/>
      </c>
      <c r="AB303" s="44">
        <f>IF(OR($A303="",$Q303=""),"",$Q303-TODAY())</f>
        <v/>
      </c>
      <c r="AC303" s="111">
        <f>IF(OR($A303="",$O303=""),"",IFERROR(YEARFRAC($O303,TODAY(),1),"")</f>
        <v/>
      </c>
    </row>
    <row r="304">
      <c r="A304" s="46" t="n"/>
      <c r="B304" s="47" t="n"/>
      <c r="C304" s="47" t="n"/>
      <c r="D304" s="112" t="n"/>
      <c r="E304" s="46" t="n"/>
      <c r="F304" s="47" t="n"/>
      <c r="G304" s="47" t="n"/>
      <c r="H304" s="47" t="n"/>
      <c r="I304" s="47" t="n"/>
      <c r="J304" s="47" t="n"/>
      <c r="K304" s="47" t="n"/>
      <c r="L304" s="47" t="n"/>
      <c r="M304" s="47" t="n"/>
      <c r="N304" s="47" t="n"/>
      <c r="O304" s="112" t="n"/>
      <c r="P304" s="112" t="n"/>
      <c r="Q304" s="112" t="n"/>
      <c r="R304" s="47" t="n"/>
      <c r="S304" s="49" t="n"/>
      <c r="T304" s="49" t="n"/>
      <c r="U304" s="47" t="n"/>
      <c r="V304" s="47" t="n"/>
      <c r="W304" s="47" t="n"/>
      <c r="X304" s="47" t="n"/>
      <c r="Y304" s="47" t="n"/>
      <c r="Z304" s="50" t="n"/>
      <c r="AA304" s="50">
        <f>IF($A304="","",IF(OR($B304="",$E304="",$K304="",$O304="",$S304=""),"⚠ بيانات ناقصة","مكتمل"))</f>
        <v/>
      </c>
      <c r="AB304" s="51">
        <f>IF(OR($A304="",$Q304=""),"",$Q304-TODAY())</f>
        <v/>
      </c>
      <c r="AC304" s="113">
        <f>IF(OR($A304="",$O304=""),"",IFERROR(YEARFRAC($O304,TODAY(),1),"")</f>
        <v/>
      </c>
    </row>
    <row r="305">
      <c r="A305" s="39" t="n"/>
      <c r="B305" s="40" t="n"/>
      <c r="C305" s="40" t="n"/>
      <c r="D305" s="110" t="n"/>
      <c r="E305" s="39" t="n"/>
      <c r="F305" s="40" t="n"/>
      <c r="G305" s="40" t="n"/>
      <c r="H305" s="40" t="n"/>
      <c r="I305" s="40" t="n"/>
      <c r="J305" s="40" t="n"/>
      <c r="K305" s="40" t="n"/>
      <c r="L305" s="40" t="n"/>
      <c r="M305" s="40" t="n"/>
      <c r="N305" s="40" t="n"/>
      <c r="O305" s="110" t="n"/>
      <c r="P305" s="110" t="n"/>
      <c r="Q305" s="110" t="n"/>
      <c r="R305" s="40" t="n"/>
      <c r="S305" s="42" t="n"/>
      <c r="T305" s="42" t="n"/>
      <c r="U305" s="40" t="n"/>
      <c r="V305" s="40" t="n"/>
      <c r="W305" s="40" t="n"/>
      <c r="X305" s="40" t="n"/>
      <c r="Y305" s="40" t="n"/>
      <c r="Z305" s="43" t="n"/>
      <c r="AA305" s="43">
        <f>IF($A305="","",IF(OR($B305="",$E305="",$K305="",$O305="",$S305=""),"⚠ بيانات ناقصة","مكتمل"))</f>
        <v/>
      </c>
      <c r="AB305" s="44">
        <f>IF(OR($A305="",$Q305=""),"",$Q305-TODAY())</f>
        <v/>
      </c>
      <c r="AC305" s="111">
        <f>IF(OR($A305="",$O305=""),"",IFERROR(YEARFRAC($O305,TODAY(),1),"")</f>
        <v/>
      </c>
    </row>
    <row r="306">
      <c r="A306" s="46" t="n"/>
      <c r="B306" s="47" t="n"/>
      <c r="C306" s="47" t="n"/>
      <c r="D306" s="112" t="n"/>
      <c r="E306" s="46" t="n"/>
      <c r="F306" s="47" t="n"/>
      <c r="G306" s="47" t="n"/>
      <c r="H306" s="47" t="n"/>
      <c r="I306" s="47" t="n"/>
      <c r="J306" s="47" t="n"/>
      <c r="K306" s="47" t="n"/>
      <c r="L306" s="47" t="n"/>
      <c r="M306" s="47" t="n"/>
      <c r="N306" s="47" t="n"/>
      <c r="O306" s="112" t="n"/>
      <c r="P306" s="112" t="n"/>
      <c r="Q306" s="112" t="n"/>
      <c r="R306" s="47" t="n"/>
      <c r="S306" s="49" t="n"/>
      <c r="T306" s="49" t="n"/>
      <c r="U306" s="47" t="n"/>
      <c r="V306" s="47" t="n"/>
      <c r="W306" s="47" t="n"/>
      <c r="X306" s="47" t="n"/>
      <c r="Y306" s="47" t="n"/>
      <c r="Z306" s="50" t="n"/>
      <c r="AA306" s="50">
        <f>IF($A306="","",IF(OR($B306="",$E306="",$K306="",$O306="",$S306=""),"⚠ بيانات ناقصة","مكتمل"))</f>
        <v/>
      </c>
      <c r="AB306" s="51">
        <f>IF(OR($A306="",$Q306=""),"",$Q306-TODAY())</f>
        <v/>
      </c>
      <c r="AC306" s="113">
        <f>IF(OR($A306="",$O306=""),"",IFERROR(YEARFRAC($O306,TODAY(),1),"")</f>
        <v/>
      </c>
    </row>
    <row r="307">
      <c r="A307" s="39" t="n"/>
      <c r="B307" s="40" t="n"/>
      <c r="C307" s="40" t="n"/>
      <c r="D307" s="110" t="n"/>
      <c r="E307" s="39" t="n"/>
      <c r="F307" s="40" t="n"/>
      <c r="G307" s="40" t="n"/>
      <c r="H307" s="40" t="n"/>
      <c r="I307" s="40" t="n"/>
      <c r="J307" s="40" t="n"/>
      <c r="K307" s="40" t="n"/>
      <c r="L307" s="40" t="n"/>
      <c r="M307" s="40" t="n"/>
      <c r="N307" s="40" t="n"/>
      <c r="O307" s="110" t="n"/>
      <c r="P307" s="110" t="n"/>
      <c r="Q307" s="110" t="n"/>
      <c r="R307" s="40" t="n"/>
      <c r="S307" s="42" t="n"/>
      <c r="T307" s="42" t="n"/>
      <c r="U307" s="40" t="n"/>
      <c r="V307" s="40" t="n"/>
      <c r="W307" s="40" t="n"/>
      <c r="X307" s="40" t="n"/>
      <c r="Y307" s="40" t="n"/>
      <c r="Z307" s="43" t="n"/>
      <c r="AA307" s="43">
        <f>IF($A307="","",IF(OR($B307="",$E307="",$K307="",$O307="",$S307=""),"⚠ بيانات ناقصة","مكتمل"))</f>
        <v/>
      </c>
      <c r="AB307" s="44">
        <f>IF(OR($A307="",$Q307=""),"",$Q307-TODAY())</f>
        <v/>
      </c>
      <c r="AC307" s="111">
        <f>IF(OR($A307="",$O307=""),"",IFERROR(YEARFRAC($O307,TODAY(),1),"")</f>
        <v/>
      </c>
    </row>
    <row r="308">
      <c r="A308" s="46" t="n"/>
      <c r="B308" s="47" t="n"/>
      <c r="C308" s="47" t="n"/>
      <c r="D308" s="112" t="n"/>
      <c r="E308" s="46" t="n"/>
      <c r="F308" s="47" t="n"/>
      <c r="G308" s="47" t="n"/>
      <c r="H308" s="47" t="n"/>
      <c r="I308" s="47" t="n"/>
      <c r="J308" s="47" t="n"/>
      <c r="K308" s="47" t="n"/>
      <c r="L308" s="47" t="n"/>
      <c r="M308" s="47" t="n"/>
      <c r="N308" s="47" t="n"/>
      <c r="O308" s="112" t="n"/>
      <c r="P308" s="112" t="n"/>
      <c r="Q308" s="112" t="n"/>
      <c r="R308" s="47" t="n"/>
      <c r="S308" s="49" t="n"/>
      <c r="T308" s="49" t="n"/>
      <c r="U308" s="47" t="n"/>
      <c r="V308" s="47" t="n"/>
      <c r="W308" s="47" t="n"/>
      <c r="X308" s="47" t="n"/>
      <c r="Y308" s="47" t="n"/>
      <c r="Z308" s="50" t="n"/>
      <c r="AA308" s="50">
        <f>IF($A308="","",IF(OR($B308="",$E308="",$K308="",$O308="",$S308=""),"⚠ بيانات ناقصة","مكتمل"))</f>
        <v/>
      </c>
      <c r="AB308" s="51">
        <f>IF(OR($A308="",$Q308=""),"",$Q308-TODAY())</f>
        <v/>
      </c>
      <c r="AC308" s="113">
        <f>IF(OR($A308="",$O308=""),"",IFERROR(YEARFRAC($O308,TODAY(),1),"")</f>
        <v/>
      </c>
    </row>
    <row r="309">
      <c r="A309" s="39" t="n"/>
      <c r="B309" s="40" t="n"/>
      <c r="C309" s="40" t="n"/>
      <c r="D309" s="110" t="n"/>
      <c r="E309" s="39" t="n"/>
      <c r="F309" s="40" t="n"/>
      <c r="G309" s="40" t="n"/>
      <c r="H309" s="40" t="n"/>
      <c r="I309" s="40" t="n"/>
      <c r="J309" s="40" t="n"/>
      <c r="K309" s="40" t="n"/>
      <c r="L309" s="40" t="n"/>
      <c r="M309" s="40" t="n"/>
      <c r="N309" s="40" t="n"/>
      <c r="O309" s="110" t="n"/>
      <c r="P309" s="110" t="n"/>
      <c r="Q309" s="110" t="n"/>
      <c r="R309" s="40" t="n"/>
      <c r="S309" s="42" t="n"/>
      <c r="T309" s="42" t="n"/>
      <c r="U309" s="40" t="n"/>
      <c r="V309" s="40" t="n"/>
      <c r="W309" s="40" t="n"/>
      <c r="X309" s="40" t="n"/>
      <c r="Y309" s="40" t="n"/>
      <c r="Z309" s="43" t="n"/>
      <c r="AA309" s="43">
        <f>IF($A309="","",IF(OR($B309="",$E309="",$K309="",$O309="",$S309=""),"⚠ بيانات ناقصة","مكتمل"))</f>
        <v/>
      </c>
      <c r="AB309" s="44">
        <f>IF(OR($A309="",$Q309=""),"",$Q309-TODAY())</f>
        <v/>
      </c>
      <c r="AC309" s="111">
        <f>IF(OR($A309="",$O309=""),"",IFERROR(YEARFRAC($O309,TODAY(),1),"")</f>
        <v/>
      </c>
    </row>
    <row r="310">
      <c r="A310" s="46" t="n"/>
      <c r="B310" s="47" t="n"/>
      <c r="C310" s="47" t="n"/>
      <c r="D310" s="112" t="n"/>
      <c r="E310" s="46" t="n"/>
      <c r="F310" s="47" t="n"/>
      <c r="G310" s="47" t="n"/>
      <c r="H310" s="47" t="n"/>
      <c r="I310" s="47" t="n"/>
      <c r="J310" s="47" t="n"/>
      <c r="K310" s="47" t="n"/>
      <c r="L310" s="47" t="n"/>
      <c r="M310" s="47" t="n"/>
      <c r="N310" s="47" t="n"/>
      <c r="O310" s="112" t="n"/>
      <c r="P310" s="112" t="n"/>
      <c r="Q310" s="112" t="n"/>
      <c r="R310" s="47" t="n"/>
      <c r="S310" s="49" t="n"/>
      <c r="T310" s="49" t="n"/>
      <c r="U310" s="47" t="n"/>
      <c r="V310" s="47" t="n"/>
      <c r="W310" s="47" t="n"/>
      <c r="X310" s="47" t="n"/>
      <c r="Y310" s="47" t="n"/>
      <c r="Z310" s="50" t="n"/>
      <c r="AA310" s="50">
        <f>IF($A310="","",IF(OR($B310="",$E310="",$K310="",$O310="",$S310=""),"⚠ بيانات ناقصة","مكتمل"))</f>
        <v/>
      </c>
      <c r="AB310" s="51">
        <f>IF(OR($A310="",$Q310=""),"",$Q310-TODAY())</f>
        <v/>
      </c>
      <c r="AC310" s="113">
        <f>IF(OR($A310="",$O310=""),"",IFERROR(YEARFRAC($O310,TODAY(),1),"")</f>
        <v/>
      </c>
    </row>
    <row r="311">
      <c r="A311" s="39" t="n"/>
      <c r="B311" s="40" t="n"/>
      <c r="C311" s="40" t="n"/>
      <c r="D311" s="110" t="n"/>
      <c r="E311" s="39" t="n"/>
      <c r="F311" s="40" t="n"/>
      <c r="G311" s="40" t="n"/>
      <c r="H311" s="40" t="n"/>
      <c r="I311" s="40" t="n"/>
      <c r="J311" s="40" t="n"/>
      <c r="K311" s="40" t="n"/>
      <c r="L311" s="40" t="n"/>
      <c r="M311" s="40" t="n"/>
      <c r="N311" s="40" t="n"/>
      <c r="O311" s="110" t="n"/>
      <c r="P311" s="110" t="n"/>
      <c r="Q311" s="110" t="n"/>
      <c r="R311" s="40" t="n"/>
      <c r="S311" s="42" t="n"/>
      <c r="T311" s="42" t="n"/>
      <c r="U311" s="40" t="n"/>
      <c r="V311" s="40" t="n"/>
      <c r="W311" s="40" t="n"/>
      <c r="X311" s="40" t="n"/>
      <c r="Y311" s="40" t="n"/>
      <c r="Z311" s="43" t="n"/>
      <c r="AA311" s="43">
        <f>IF($A311="","",IF(OR($B311="",$E311="",$K311="",$O311="",$S311=""),"⚠ بيانات ناقصة","مكتمل"))</f>
        <v/>
      </c>
      <c r="AB311" s="44">
        <f>IF(OR($A311="",$Q311=""),"",$Q311-TODAY())</f>
        <v/>
      </c>
      <c r="AC311" s="111">
        <f>IF(OR($A311="",$O311=""),"",IFERROR(YEARFRAC($O311,TODAY(),1),"")</f>
        <v/>
      </c>
    </row>
    <row r="312">
      <c r="A312" s="46" t="n"/>
      <c r="B312" s="47" t="n"/>
      <c r="C312" s="47" t="n"/>
      <c r="D312" s="112" t="n"/>
      <c r="E312" s="46" t="n"/>
      <c r="F312" s="47" t="n"/>
      <c r="G312" s="47" t="n"/>
      <c r="H312" s="47" t="n"/>
      <c r="I312" s="47" t="n"/>
      <c r="J312" s="47" t="n"/>
      <c r="K312" s="47" t="n"/>
      <c r="L312" s="47" t="n"/>
      <c r="M312" s="47" t="n"/>
      <c r="N312" s="47" t="n"/>
      <c r="O312" s="112" t="n"/>
      <c r="P312" s="112" t="n"/>
      <c r="Q312" s="112" t="n"/>
      <c r="R312" s="47" t="n"/>
      <c r="S312" s="49" t="n"/>
      <c r="T312" s="49" t="n"/>
      <c r="U312" s="47" t="n"/>
      <c r="V312" s="47" t="n"/>
      <c r="W312" s="47" t="n"/>
      <c r="X312" s="47" t="n"/>
      <c r="Y312" s="47" t="n"/>
      <c r="Z312" s="50" t="n"/>
      <c r="AA312" s="50">
        <f>IF($A312="","",IF(OR($B312="",$E312="",$K312="",$O312="",$S312=""),"⚠ بيانات ناقصة","مكتمل"))</f>
        <v/>
      </c>
      <c r="AB312" s="51">
        <f>IF(OR($A312="",$Q312=""),"",$Q312-TODAY())</f>
        <v/>
      </c>
      <c r="AC312" s="113">
        <f>IF(OR($A312="",$O312=""),"",IFERROR(YEARFRAC($O312,TODAY(),1),"")</f>
        <v/>
      </c>
    </row>
    <row r="313">
      <c r="A313" s="39" t="n"/>
      <c r="B313" s="40" t="n"/>
      <c r="C313" s="40" t="n"/>
      <c r="D313" s="110" t="n"/>
      <c r="E313" s="39" t="n"/>
      <c r="F313" s="40" t="n"/>
      <c r="G313" s="40" t="n"/>
      <c r="H313" s="40" t="n"/>
      <c r="I313" s="40" t="n"/>
      <c r="J313" s="40" t="n"/>
      <c r="K313" s="40" t="n"/>
      <c r="L313" s="40" t="n"/>
      <c r="M313" s="40" t="n"/>
      <c r="N313" s="40" t="n"/>
      <c r="O313" s="110" t="n"/>
      <c r="P313" s="110" t="n"/>
      <c r="Q313" s="110" t="n"/>
      <c r="R313" s="40" t="n"/>
      <c r="S313" s="42" t="n"/>
      <c r="T313" s="42" t="n"/>
      <c r="U313" s="40" t="n"/>
      <c r="V313" s="40" t="n"/>
      <c r="W313" s="40" t="n"/>
      <c r="X313" s="40" t="n"/>
      <c r="Y313" s="40" t="n"/>
      <c r="Z313" s="43" t="n"/>
      <c r="AA313" s="43">
        <f>IF($A313="","",IF(OR($B313="",$E313="",$K313="",$O313="",$S313=""),"⚠ بيانات ناقصة","مكتمل"))</f>
        <v/>
      </c>
      <c r="AB313" s="44">
        <f>IF(OR($A313="",$Q313=""),"",$Q313-TODAY())</f>
        <v/>
      </c>
      <c r="AC313" s="111">
        <f>IF(OR($A313="",$O313=""),"",IFERROR(YEARFRAC($O313,TODAY(),1),"")</f>
        <v/>
      </c>
    </row>
    <row r="314">
      <c r="A314" s="46" t="n"/>
      <c r="B314" s="47" t="n"/>
      <c r="C314" s="47" t="n"/>
      <c r="D314" s="112" t="n"/>
      <c r="E314" s="46" t="n"/>
      <c r="F314" s="47" t="n"/>
      <c r="G314" s="47" t="n"/>
      <c r="H314" s="47" t="n"/>
      <c r="I314" s="47" t="n"/>
      <c r="J314" s="47" t="n"/>
      <c r="K314" s="47" t="n"/>
      <c r="L314" s="47" t="n"/>
      <c r="M314" s="47" t="n"/>
      <c r="N314" s="47" t="n"/>
      <c r="O314" s="112" t="n"/>
      <c r="P314" s="112" t="n"/>
      <c r="Q314" s="112" t="n"/>
      <c r="R314" s="47" t="n"/>
      <c r="S314" s="49" t="n"/>
      <c r="T314" s="49" t="n"/>
      <c r="U314" s="47" t="n"/>
      <c r="V314" s="47" t="n"/>
      <c r="W314" s="47" t="n"/>
      <c r="X314" s="47" t="n"/>
      <c r="Y314" s="47" t="n"/>
      <c r="Z314" s="50" t="n"/>
      <c r="AA314" s="50">
        <f>IF($A314="","",IF(OR($B314="",$E314="",$K314="",$O314="",$S314=""),"⚠ بيانات ناقصة","مكتمل"))</f>
        <v/>
      </c>
      <c r="AB314" s="51">
        <f>IF(OR($A314="",$Q314=""),"",$Q314-TODAY())</f>
        <v/>
      </c>
      <c r="AC314" s="113">
        <f>IF(OR($A314="",$O314=""),"",IFERROR(YEARFRAC($O314,TODAY(),1),"")</f>
        <v/>
      </c>
    </row>
    <row r="315">
      <c r="A315" s="39" t="n"/>
      <c r="B315" s="40" t="n"/>
      <c r="C315" s="40" t="n"/>
      <c r="D315" s="110" t="n"/>
      <c r="E315" s="39" t="n"/>
      <c r="F315" s="40" t="n"/>
      <c r="G315" s="40" t="n"/>
      <c r="H315" s="40" t="n"/>
      <c r="I315" s="40" t="n"/>
      <c r="J315" s="40" t="n"/>
      <c r="K315" s="40" t="n"/>
      <c r="L315" s="40" t="n"/>
      <c r="M315" s="40" t="n"/>
      <c r="N315" s="40" t="n"/>
      <c r="O315" s="110" t="n"/>
      <c r="P315" s="110" t="n"/>
      <c r="Q315" s="110" t="n"/>
      <c r="R315" s="40" t="n"/>
      <c r="S315" s="42" t="n"/>
      <c r="T315" s="42" t="n"/>
      <c r="U315" s="40" t="n"/>
      <c r="V315" s="40" t="n"/>
      <c r="W315" s="40" t="n"/>
      <c r="X315" s="40" t="n"/>
      <c r="Y315" s="40" t="n"/>
      <c r="Z315" s="43" t="n"/>
      <c r="AA315" s="43">
        <f>IF($A315="","",IF(OR($B315="",$E315="",$K315="",$O315="",$S315=""),"⚠ بيانات ناقصة","مكتمل"))</f>
        <v/>
      </c>
      <c r="AB315" s="44">
        <f>IF(OR($A315="",$Q315=""),"",$Q315-TODAY())</f>
        <v/>
      </c>
      <c r="AC315" s="111">
        <f>IF(OR($A315="",$O315=""),"",IFERROR(YEARFRAC($O315,TODAY(),1),"")</f>
        <v/>
      </c>
    </row>
    <row r="316">
      <c r="A316" s="46" t="n"/>
      <c r="B316" s="47" t="n"/>
      <c r="C316" s="47" t="n"/>
      <c r="D316" s="112" t="n"/>
      <c r="E316" s="46" t="n"/>
      <c r="F316" s="47" t="n"/>
      <c r="G316" s="47" t="n"/>
      <c r="H316" s="47" t="n"/>
      <c r="I316" s="47" t="n"/>
      <c r="J316" s="47" t="n"/>
      <c r="K316" s="47" t="n"/>
      <c r="L316" s="47" t="n"/>
      <c r="M316" s="47" t="n"/>
      <c r="N316" s="47" t="n"/>
      <c r="O316" s="112" t="n"/>
      <c r="P316" s="112" t="n"/>
      <c r="Q316" s="112" t="n"/>
      <c r="R316" s="47" t="n"/>
      <c r="S316" s="49" t="n"/>
      <c r="T316" s="49" t="n"/>
      <c r="U316" s="47" t="n"/>
      <c r="V316" s="47" t="n"/>
      <c r="W316" s="47" t="n"/>
      <c r="X316" s="47" t="n"/>
      <c r="Y316" s="47" t="n"/>
      <c r="Z316" s="50" t="n"/>
      <c r="AA316" s="50">
        <f>IF($A316="","",IF(OR($B316="",$E316="",$K316="",$O316="",$S316=""),"⚠ بيانات ناقصة","مكتمل"))</f>
        <v/>
      </c>
      <c r="AB316" s="51">
        <f>IF(OR($A316="",$Q316=""),"",$Q316-TODAY())</f>
        <v/>
      </c>
      <c r="AC316" s="113">
        <f>IF(OR($A316="",$O316=""),"",IFERROR(YEARFRAC($O316,TODAY(),1),"")</f>
        <v/>
      </c>
    </row>
    <row r="317">
      <c r="A317" s="39" t="n"/>
      <c r="B317" s="40" t="n"/>
      <c r="C317" s="40" t="n"/>
      <c r="D317" s="110" t="n"/>
      <c r="E317" s="39" t="n"/>
      <c r="F317" s="40" t="n"/>
      <c r="G317" s="40" t="n"/>
      <c r="H317" s="40" t="n"/>
      <c r="I317" s="40" t="n"/>
      <c r="J317" s="40" t="n"/>
      <c r="K317" s="40" t="n"/>
      <c r="L317" s="40" t="n"/>
      <c r="M317" s="40" t="n"/>
      <c r="N317" s="40" t="n"/>
      <c r="O317" s="110" t="n"/>
      <c r="P317" s="110" t="n"/>
      <c r="Q317" s="110" t="n"/>
      <c r="R317" s="40" t="n"/>
      <c r="S317" s="42" t="n"/>
      <c r="T317" s="42" t="n"/>
      <c r="U317" s="40" t="n"/>
      <c r="V317" s="40" t="n"/>
      <c r="W317" s="40" t="n"/>
      <c r="X317" s="40" t="n"/>
      <c r="Y317" s="40" t="n"/>
      <c r="Z317" s="43" t="n"/>
      <c r="AA317" s="43">
        <f>IF($A317="","",IF(OR($B317="",$E317="",$K317="",$O317="",$S317=""),"⚠ بيانات ناقصة","مكتمل"))</f>
        <v/>
      </c>
      <c r="AB317" s="44">
        <f>IF(OR($A317="",$Q317=""),"",$Q317-TODAY())</f>
        <v/>
      </c>
      <c r="AC317" s="111">
        <f>IF(OR($A317="",$O317=""),"",IFERROR(YEARFRAC($O317,TODAY(),1),"")</f>
        <v/>
      </c>
    </row>
    <row r="318">
      <c r="A318" s="46" t="n"/>
      <c r="B318" s="47" t="n"/>
      <c r="C318" s="47" t="n"/>
      <c r="D318" s="112" t="n"/>
      <c r="E318" s="46" t="n"/>
      <c r="F318" s="47" t="n"/>
      <c r="G318" s="47" t="n"/>
      <c r="H318" s="47" t="n"/>
      <c r="I318" s="47" t="n"/>
      <c r="J318" s="47" t="n"/>
      <c r="K318" s="47" t="n"/>
      <c r="L318" s="47" t="n"/>
      <c r="M318" s="47" t="n"/>
      <c r="N318" s="47" t="n"/>
      <c r="O318" s="112" t="n"/>
      <c r="P318" s="112" t="n"/>
      <c r="Q318" s="112" t="n"/>
      <c r="R318" s="47" t="n"/>
      <c r="S318" s="49" t="n"/>
      <c r="T318" s="49" t="n"/>
      <c r="U318" s="47" t="n"/>
      <c r="V318" s="47" t="n"/>
      <c r="W318" s="47" t="n"/>
      <c r="X318" s="47" t="n"/>
      <c r="Y318" s="47" t="n"/>
      <c r="Z318" s="50" t="n"/>
      <c r="AA318" s="50">
        <f>IF($A318="","",IF(OR($B318="",$E318="",$K318="",$O318="",$S318=""),"⚠ بيانات ناقصة","مكتمل"))</f>
        <v/>
      </c>
      <c r="AB318" s="51">
        <f>IF(OR($A318="",$Q318=""),"",$Q318-TODAY())</f>
        <v/>
      </c>
      <c r="AC318" s="113">
        <f>IF(OR($A318="",$O318=""),"",IFERROR(YEARFRAC($O318,TODAY(),1),"")</f>
        <v/>
      </c>
    </row>
    <row r="319">
      <c r="A319" s="39" t="n"/>
      <c r="B319" s="40" t="n"/>
      <c r="C319" s="40" t="n"/>
      <c r="D319" s="110" t="n"/>
      <c r="E319" s="39" t="n"/>
      <c r="F319" s="40" t="n"/>
      <c r="G319" s="40" t="n"/>
      <c r="H319" s="40" t="n"/>
      <c r="I319" s="40" t="n"/>
      <c r="J319" s="40" t="n"/>
      <c r="K319" s="40" t="n"/>
      <c r="L319" s="40" t="n"/>
      <c r="M319" s="40" t="n"/>
      <c r="N319" s="40" t="n"/>
      <c r="O319" s="110" t="n"/>
      <c r="P319" s="110" t="n"/>
      <c r="Q319" s="110" t="n"/>
      <c r="R319" s="40" t="n"/>
      <c r="S319" s="42" t="n"/>
      <c r="T319" s="42" t="n"/>
      <c r="U319" s="40" t="n"/>
      <c r="V319" s="40" t="n"/>
      <c r="W319" s="40" t="n"/>
      <c r="X319" s="40" t="n"/>
      <c r="Y319" s="40" t="n"/>
      <c r="Z319" s="43" t="n"/>
      <c r="AA319" s="43">
        <f>IF($A319="","",IF(OR($B319="",$E319="",$K319="",$O319="",$S319=""),"⚠ بيانات ناقصة","مكتمل"))</f>
        <v/>
      </c>
      <c r="AB319" s="44">
        <f>IF(OR($A319="",$Q319=""),"",$Q319-TODAY())</f>
        <v/>
      </c>
      <c r="AC319" s="111">
        <f>IF(OR($A319="",$O319=""),"",IFERROR(YEARFRAC($O319,TODAY(),1),"")</f>
        <v/>
      </c>
    </row>
    <row r="320">
      <c r="A320" s="46" t="n"/>
      <c r="B320" s="47" t="n"/>
      <c r="C320" s="47" t="n"/>
      <c r="D320" s="112" t="n"/>
      <c r="E320" s="46" t="n"/>
      <c r="F320" s="47" t="n"/>
      <c r="G320" s="47" t="n"/>
      <c r="H320" s="47" t="n"/>
      <c r="I320" s="47" t="n"/>
      <c r="J320" s="47" t="n"/>
      <c r="K320" s="47" t="n"/>
      <c r="L320" s="47" t="n"/>
      <c r="M320" s="47" t="n"/>
      <c r="N320" s="47" t="n"/>
      <c r="O320" s="112" t="n"/>
      <c r="P320" s="112" t="n"/>
      <c r="Q320" s="112" t="n"/>
      <c r="R320" s="47" t="n"/>
      <c r="S320" s="49" t="n"/>
      <c r="T320" s="49" t="n"/>
      <c r="U320" s="47" t="n"/>
      <c r="V320" s="47" t="n"/>
      <c r="W320" s="47" t="n"/>
      <c r="X320" s="47" t="n"/>
      <c r="Y320" s="47" t="n"/>
      <c r="Z320" s="50" t="n"/>
      <c r="AA320" s="50">
        <f>IF($A320="","",IF(OR($B320="",$E320="",$K320="",$O320="",$S320=""),"⚠ بيانات ناقصة","مكتمل"))</f>
        <v/>
      </c>
      <c r="AB320" s="51">
        <f>IF(OR($A320="",$Q320=""),"",$Q320-TODAY())</f>
        <v/>
      </c>
      <c r="AC320" s="113">
        <f>IF(OR($A320="",$O320=""),"",IFERROR(YEARFRAC($O320,TODAY(),1),"")</f>
        <v/>
      </c>
    </row>
    <row r="321">
      <c r="A321" s="39" t="n"/>
      <c r="B321" s="40" t="n"/>
      <c r="C321" s="40" t="n"/>
      <c r="D321" s="110" t="n"/>
      <c r="E321" s="39" t="n"/>
      <c r="F321" s="40" t="n"/>
      <c r="G321" s="40" t="n"/>
      <c r="H321" s="40" t="n"/>
      <c r="I321" s="40" t="n"/>
      <c r="J321" s="40" t="n"/>
      <c r="K321" s="40" t="n"/>
      <c r="L321" s="40" t="n"/>
      <c r="M321" s="40" t="n"/>
      <c r="N321" s="40" t="n"/>
      <c r="O321" s="110" t="n"/>
      <c r="P321" s="110" t="n"/>
      <c r="Q321" s="110" t="n"/>
      <c r="R321" s="40" t="n"/>
      <c r="S321" s="42" t="n"/>
      <c r="T321" s="42" t="n"/>
      <c r="U321" s="40" t="n"/>
      <c r="V321" s="40" t="n"/>
      <c r="W321" s="40" t="n"/>
      <c r="X321" s="40" t="n"/>
      <c r="Y321" s="40" t="n"/>
      <c r="Z321" s="43" t="n"/>
      <c r="AA321" s="43">
        <f>IF($A321="","",IF(OR($B321="",$E321="",$K321="",$O321="",$S321=""),"⚠ بيانات ناقصة","مكتمل"))</f>
        <v/>
      </c>
      <c r="AB321" s="44">
        <f>IF(OR($A321="",$Q321=""),"",$Q321-TODAY())</f>
        <v/>
      </c>
      <c r="AC321" s="111">
        <f>IF(OR($A321="",$O321=""),"",IFERROR(YEARFRAC($O321,TODAY(),1),"")</f>
        <v/>
      </c>
    </row>
    <row r="322">
      <c r="A322" s="46" t="n"/>
      <c r="B322" s="47" t="n"/>
      <c r="C322" s="47" t="n"/>
      <c r="D322" s="112" t="n"/>
      <c r="E322" s="46" t="n"/>
      <c r="F322" s="47" t="n"/>
      <c r="G322" s="47" t="n"/>
      <c r="H322" s="47" t="n"/>
      <c r="I322" s="47" t="n"/>
      <c r="J322" s="47" t="n"/>
      <c r="K322" s="47" t="n"/>
      <c r="L322" s="47" t="n"/>
      <c r="M322" s="47" t="n"/>
      <c r="N322" s="47" t="n"/>
      <c r="O322" s="112" t="n"/>
      <c r="P322" s="112" t="n"/>
      <c r="Q322" s="112" t="n"/>
      <c r="R322" s="47" t="n"/>
      <c r="S322" s="49" t="n"/>
      <c r="T322" s="49" t="n"/>
      <c r="U322" s="47" t="n"/>
      <c r="V322" s="47" t="n"/>
      <c r="W322" s="47" t="n"/>
      <c r="X322" s="47" t="n"/>
      <c r="Y322" s="47" t="n"/>
      <c r="Z322" s="50" t="n"/>
      <c r="AA322" s="50">
        <f>IF($A322="","",IF(OR($B322="",$E322="",$K322="",$O322="",$S322=""),"⚠ بيانات ناقصة","مكتمل"))</f>
        <v/>
      </c>
      <c r="AB322" s="51">
        <f>IF(OR($A322="",$Q322=""),"",$Q322-TODAY())</f>
        <v/>
      </c>
      <c r="AC322" s="113">
        <f>IF(OR($A322="",$O322=""),"",IFERROR(YEARFRAC($O322,TODAY(),1),"")</f>
        <v/>
      </c>
    </row>
    <row r="323">
      <c r="A323" s="39" t="n"/>
      <c r="B323" s="40" t="n"/>
      <c r="C323" s="40" t="n"/>
      <c r="D323" s="110" t="n"/>
      <c r="E323" s="39" t="n"/>
      <c r="F323" s="40" t="n"/>
      <c r="G323" s="40" t="n"/>
      <c r="H323" s="40" t="n"/>
      <c r="I323" s="40" t="n"/>
      <c r="J323" s="40" t="n"/>
      <c r="K323" s="40" t="n"/>
      <c r="L323" s="40" t="n"/>
      <c r="M323" s="40" t="n"/>
      <c r="N323" s="40" t="n"/>
      <c r="O323" s="110" t="n"/>
      <c r="P323" s="110" t="n"/>
      <c r="Q323" s="110" t="n"/>
      <c r="R323" s="40" t="n"/>
      <c r="S323" s="42" t="n"/>
      <c r="T323" s="42" t="n"/>
      <c r="U323" s="40" t="n"/>
      <c r="V323" s="40" t="n"/>
      <c r="W323" s="40" t="n"/>
      <c r="X323" s="40" t="n"/>
      <c r="Y323" s="40" t="n"/>
      <c r="Z323" s="43" t="n"/>
      <c r="AA323" s="43">
        <f>IF($A323="","",IF(OR($B323="",$E323="",$K323="",$O323="",$S323=""),"⚠ بيانات ناقصة","مكتمل"))</f>
        <v/>
      </c>
      <c r="AB323" s="44">
        <f>IF(OR($A323="",$Q323=""),"",$Q323-TODAY())</f>
        <v/>
      </c>
      <c r="AC323" s="111">
        <f>IF(OR($A323="",$O323=""),"",IFERROR(YEARFRAC($O323,TODAY(),1),"")</f>
        <v/>
      </c>
    </row>
    <row r="324">
      <c r="A324" s="46" t="n"/>
      <c r="B324" s="47" t="n"/>
      <c r="C324" s="47" t="n"/>
      <c r="D324" s="112" t="n"/>
      <c r="E324" s="46" t="n"/>
      <c r="F324" s="47" t="n"/>
      <c r="G324" s="47" t="n"/>
      <c r="H324" s="47" t="n"/>
      <c r="I324" s="47" t="n"/>
      <c r="J324" s="47" t="n"/>
      <c r="K324" s="47" t="n"/>
      <c r="L324" s="47" t="n"/>
      <c r="M324" s="47" t="n"/>
      <c r="N324" s="47" t="n"/>
      <c r="O324" s="112" t="n"/>
      <c r="P324" s="112" t="n"/>
      <c r="Q324" s="112" t="n"/>
      <c r="R324" s="47" t="n"/>
      <c r="S324" s="49" t="n"/>
      <c r="T324" s="49" t="n"/>
      <c r="U324" s="47" t="n"/>
      <c r="V324" s="47" t="n"/>
      <c r="W324" s="47" t="n"/>
      <c r="X324" s="47" t="n"/>
      <c r="Y324" s="47" t="n"/>
      <c r="Z324" s="50" t="n"/>
      <c r="AA324" s="50">
        <f>IF($A324="","",IF(OR($B324="",$E324="",$K324="",$O324="",$S324=""),"⚠ بيانات ناقصة","مكتمل"))</f>
        <v/>
      </c>
      <c r="AB324" s="51">
        <f>IF(OR($A324="",$Q324=""),"",$Q324-TODAY())</f>
        <v/>
      </c>
      <c r="AC324" s="113">
        <f>IF(OR($A324="",$O324=""),"",IFERROR(YEARFRAC($O324,TODAY(),1),"")</f>
        <v/>
      </c>
    </row>
    <row r="325">
      <c r="A325" s="39" t="n"/>
      <c r="B325" s="40" t="n"/>
      <c r="C325" s="40" t="n"/>
      <c r="D325" s="110" t="n"/>
      <c r="E325" s="39" t="n"/>
      <c r="F325" s="40" t="n"/>
      <c r="G325" s="40" t="n"/>
      <c r="H325" s="40" t="n"/>
      <c r="I325" s="40" t="n"/>
      <c r="J325" s="40" t="n"/>
      <c r="K325" s="40" t="n"/>
      <c r="L325" s="40" t="n"/>
      <c r="M325" s="40" t="n"/>
      <c r="N325" s="40" t="n"/>
      <c r="O325" s="110" t="n"/>
      <c r="P325" s="110" t="n"/>
      <c r="Q325" s="110" t="n"/>
      <c r="R325" s="40" t="n"/>
      <c r="S325" s="42" t="n"/>
      <c r="T325" s="42" t="n"/>
      <c r="U325" s="40" t="n"/>
      <c r="V325" s="40" t="n"/>
      <c r="W325" s="40" t="n"/>
      <c r="X325" s="40" t="n"/>
      <c r="Y325" s="40" t="n"/>
      <c r="Z325" s="43" t="n"/>
      <c r="AA325" s="43">
        <f>IF($A325="","",IF(OR($B325="",$E325="",$K325="",$O325="",$S325=""),"⚠ بيانات ناقصة","مكتمل"))</f>
        <v/>
      </c>
      <c r="AB325" s="44">
        <f>IF(OR($A325="",$Q325=""),"",$Q325-TODAY())</f>
        <v/>
      </c>
      <c r="AC325" s="111">
        <f>IF(OR($A325="",$O325=""),"",IFERROR(YEARFRAC($O325,TODAY(),1),"")</f>
        <v/>
      </c>
    </row>
    <row r="326">
      <c r="A326" s="46" t="n"/>
      <c r="B326" s="47" t="n"/>
      <c r="C326" s="47" t="n"/>
      <c r="D326" s="112" t="n"/>
      <c r="E326" s="46" t="n"/>
      <c r="F326" s="47" t="n"/>
      <c r="G326" s="47" t="n"/>
      <c r="H326" s="47" t="n"/>
      <c r="I326" s="47" t="n"/>
      <c r="J326" s="47" t="n"/>
      <c r="K326" s="47" t="n"/>
      <c r="L326" s="47" t="n"/>
      <c r="M326" s="47" t="n"/>
      <c r="N326" s="47" t="n"/>
      <c r="O326" s="112" t="n"/>
      <c r="P326" s="112" t="n"/>
      <c r="Q326" s="112" t="n"/>
      <c r="R326" s="47" t="n"/>
      <c r="S326" s="49" t="n"/>
      <c r="T326" s="49" t="n"/>
      <c r="U326" s="47" t="n"/>
      <c r="V326" s="47" t="n"/>
      <c r="W326" s="47" t="n"/>
      <c r="X326" s="47" t="n"/>
      <c r="Y326" s="47" t="n"/>
      <c r="Z326" s="50" t="n"/>
      <c r="AA326" s="50">
        <f>IF($A326="","",IF(OR($B326="",$E326="",$K326="",$O326="",$S326=""),"⚠ بيانات ناقصة","مكتمل"))</f>
        <v/>
      </c>
      <c r="AB326" s="51">
        <f>IF(OR($A326="",$Q326=""),"",$Q326-TODAY())</f>
        <v/>
      </c>
      <c r="AC326" s="113">
        <f>IF(OR($A326="",$O326=""),"",IFERROR(YEARFRAC($O326,TODAY(),1),"")</f>
        <v/>
      </c>
    </row>
    <row r="327">
      <c r="A327" s="39" t="n"/>
      <c r="B327" s="40" t="n"/>
      <c r="C327" s="40" t="n"/>
      <c r="D327" s="110" t="n"/>
      <c r="E327" s="39" t="n"/>
      <c r="F327" s="40" t="n"/>
      <c r="G327" s="40" t="n"/>
      <c r="H327" s="40" t="n"/>
      <c r="I327" s="40" t="n"/>
      <c r="J327" s="40" t="n"/>
      <c r="K327" s="40" t="n"/>
      <c r="L327" s="40" t="n"/>
      <c r="M327" s="40" t="n"/>
      <c r="N327" s="40" t="n"/>
      <c r="O327" s="110" t="n"/>
      <c r="P327" s="110" t="n"/>
      <c r="Q327" s="110" t="n"/>
      <c r="R327" s="40" t="n"/>
      <c r="S327" s="42" t="n"/>
      <c r="T327" s="42" t="n"/>
      <c r="U327" s="40" t="n"/>
      <c r="V327" s="40" t="n"/>
      <c r="W327" s="40" t="n"/>
      <c r="X327" s="40" t="n"/>
      <c r="Y327" s="40" t="n"/>
      <c r="Z327" s="43" t="n"/>
      <c r="AA327" s="43">
        <f>IF($A327="","",IF(OR($B327="",$E327="",$K327="",$O327="",$S327=""),"⚠ بيانات ناقصة","مكتمل"))</f>
        <v/>
      </c>
      <c r="AB327" s="44">
        <f>IF(OR($A327="",$Q327=""),"",$Q327-TODAY())</f>
        <v/>
      </c>
      <c r="AC327" s="111">
        <f>IF(OR($A327="",$O327=""),"",IFERROR(YEARFRAC($O327,TODAY(),1),"")</f>
        <v/>
      </c>
    </row>
    <row r="328">
      <c r="A328" s="46" t="n"/>
      <c r="B328" s="47" t="n"/>
      <c r="C328" s="47" t="n"/>
      <c r="D328" s="112" t="n"/>
      <c r="E328" s="46" t="n"/>
      <c r="F328" s="47" t="n"/>
      <c r="G328" s="47" t="n"/>
      <c r="H328" s="47" t="n"/>
      <c r="I328" s="47" t="n"/>
      <c r="J328" s="47" t="n"/>
      <c r="K328" s="47" t="n"/>
      <c r="L328" s="47" t="n"/>
      <c r="M328" s="47" t="n"/>
      <c r="N328" s="47" t="n"/>
      <c r="O328" s="112" t="n"/>
      <c r="P328" s="112" t="n"/>
      <c r="Q328" s="112" t="n"/>
      <c r="R328" s="47" t="n"/>
      <c r="S328" s="49" t="n"/>
      <c r="T328" s="49" t="n"/>
      <c r="U328" s="47" t="n"/>
      <c r="V328" s="47" t="n"/>
      <c r="W328" s="47" t="n"/>
      <c r="X328" s="47" t="n"/>
      <c r="Y328" s="47" t="n"/>
      <c r="Z328" s="50" t="n"/>
      <c r="AA328" s="50">
        <f>IF($A328="","",IF(OR($B328="",$E328="",$K328="",$O328="",$S328=""),"⚠ بيانات ناقصة","مكتمل"))</f>
        <v/>
      </c>
      <c r="AB328" s="51">
        <f>IF(OR($A328="",$Q328=""),"",$Q328-TODAY())</f>
        <v/>
      </c>
      <c r="AC328" s="113">
        <f>IF(OR($A328="",$O328=""),"",IFERROR(YEARFRAC($O328,TODAY(),1),"")</f>
        <v/>
      </c>
    </row>
    <row r="329">
      <c r="A329" s="39" t="n"/>
      <c r="B329" s="40" t="n"/>
      <c r="C329" s="40" t="n"/>
      <c r="D329" s="110" t="n"/>
      <c r="E329" s="39" t="n"/>
      <c r="F329" s="40" t="n"/>
      <c r="G329" s="40" t="n"/>
      <c r="H329" s="40" t="n"/>
      <c r="I329" s="40" t="n"/>
      <c r="J329" s="40" t="n"/>
      <c r="K329" s="40" t="n"/>
      <c r="L329" s="40" t="n"/>
      <c r="M329" s="40" t="n"/>
      <c r="N329" s="40" t="n"/>
      <c r="O329" s="110" t="n"/>
      <c r="P329" s="110" t="n"/>
      <c r="Q329" s="110" t="n"/>
      <c r="R329" s="40" t="n"/>
      <c r="S329" s="42" t="n"/>
      <c r="T329" s="42" t="n"/>
      <c r="U329" s="40" t="n"/>
      <c r="V329" s="40" t="n"/>
      <c r="W329" s="40" t="n"/>
      <c r="X329" s="40" t="n"/>
      <c r="Y329" s="40" t="n"/>
      <c r="Z329" s="43" t="n"/>
      <c r="AA329" s="43">
        <f>IF($A329="","",IF(OR($B329="",$E329="",$K329="",$O329="",$S329=""),"⚠ بيانات ناقصة","مكتمل"))</f>
        <v/>
      </c>
      <c r="AB329" s="44">
        <f>IF(OR($A329="",$Q329=""),"",$Q329-TODAY())</f>
        <v/>
      </c>
      <c r="AC329" s="111">
        <f>IF(OR($A329="",$O329=""),"",IFERROR(YEARFRAC($O329,TODAY(),1),"")</f>
        <v/>
      </c>
    </row>
    <row r="330">
      <c r="A330" s="46" t="n"/>
      <c r="B330" s="47" t="n"/>
      <c r="C330" s="47" t="n"/>
      <c r="D330" s="112" t="n"/>
      <c r="E330" s="46" t="n"/>
      <c r="F330" s="47" t="n"/>
      <c r="G330" s="47" t="n"/>
      <c r="H330" s="47" t="n"/>
      <c r="I330" s="47" t="n"/>
      <c r="J330" s="47" t="n"/>
      <c r="K330" s="47" t="n"/>
      <c r="L330" s="47" t="n"/>
      <c r="M330" s="47" t="n"/>
      <c r="N330" s="47" t="n"/>
      <c r="O330" s="112" t="n"/>
      <c r="P330" s="112" t="n"/>
      <c r="Q330" s="112" t="n"/>
      <c r="R330" s="47" t="n"/>
      <c r="S330" s="49" t="n"/>
      <c r="T330" s="49" t="n"/>
      <c r="U330" s="47" t="n"/>
      <c r="V330" s="47" t="n"/>
      <c r="W330" s="47" t="n"/>
      <c r="X330" s="47" t="n"/>
      <c r="Y330" s="47" t="n"/>
      <c r="Z330" s="50" t="n"/>
      <c r="AA330" s="50">
        <f>IF($A330="","",IF(OR($B330="",$E330="",$K330="",$O330="",$S330=""),"⚠ بيانات ناقصة","مكتمل"))</f>
        <v/>
      </c>
      <c r="AB330" s="51">
        <f>IF(OR($A330="",$Q330=""),"",$Q330-TODAY())</f>
        <v/>
      </c>
      <c r="AC330" s="113">
        <f>IF(OR($A330="",$O330=""),"",IFERROR(YEARFRAC($O330,TODAY(),1),"")</f>
        <v/>
      </c>
    </row>
    <row r="331">
      <c r="A331" s="39" t="n"/>
      <c r="B331" s="40" t="n"/>
      <c r="C331" s="40" t="n"/>
      <c r="D331" s="110" t="n"/>
      <c r="E331" s="39" t="n"/>
      <c r="F331" s="40" t="n"/>
      <c r="G331" s="40" t="n"/>
      <c r="H331" s="40" t="n"/>
      <c r="I331" s="40" t="n"/>
      <c r="J331" s="40" t="n"/>
      <c r="K331" s="40" t="n"/>
      <c r="L331" s="40" t="n"/>
      <c r="M331" s="40" t="n"/>
      <c r="N331" s="40" t="n"/>
      <c r="O331" s="110" t="n"/>
      <c r="P331" s="110" t="n"/>
      <c r="Q331" s="110" t="n"/>
      <c r="R331" s="40" t="n"/>
      <c r="S331" s="42" t="n"/>
      <c r="T331" s="42" t="n"/>
      <c r="U331" s="40" t="n"/>
      <c r="V331" s="40" t="n"/>
      <c r="W331" s="40" t="n"/>
      <c r="X331" s="40" t="n"/>
      <c r="Y331" s="40" t="n"/>
      <c r="Z331" s="43" t="n"/>
      <c r="AA331" s="43">
        <f>IF($A331="","",IF(OR($B331="",$E331="",$K331="",$O331="",$S331=""),"⚠ بيانات ناقصة","مكتمل"))</f>
        <v/>
      </c>
      <c r="AB331" s="44">
        <f>IF(OR($A331="",$Q331=""),"",$Q331-TODAY())</f>
        <v/>
      </c>
      <c r="AC331" s="111">
        <f>IF(OR($A331="",$O331=""),"",IFERROR(YEARFRAC($O331,TODAY(),1),"")</f>
        <v/>
      </c>
    </row>
    <row r="332">
      <c r="A332" s="46" t="n"/>
      <c r="B332" s="47" t="n"/>
      <c r="C332" s="47" t="n"/>
      <c r="D332" s="112" t="n"/>
      <c r="E332" s="46" t="n"/>
      <c r="F332" s="47" t="n"/>
      <c r="G332" s="47" t="n"/>
      <c r="H332" s="47" t="n"/>
      <c r="I332" s="47" t="n"/>
      <c r="J332" s="47" t="n"/>
      <c r="K332" s="47" t="n"/>
      <c r="L332" s="47" t="n"/>
      <c r="M332" s="47" t="n"/>
      <c r="N332" s="47" t="n"/>
      <c r="O332" s="112" t="n"/>
      <c r="P332" s="112" t="n"/>
      <c r="Q332" s="112" t="n"/>
      <c r="R332" s="47" t="n"/>
      <c r="S332" s="49" t="n"/>
      <c r="T332" s="49" t="n"/>
      <c r="U332" s="47" t="n"/>
      <c r="V332" s="47" t="n"/>
      <c r="W332" s="47" t="n"/>
      <c r="X332" s="47" t="n"/>
      <c r="Y332" s="47" t="n"/>
      <c r="Z332" s="50" t="n"/>
      <c r="AA332" s="50">
        <f>IF($A332="","",IF(OR($B332="",$E332="",$K332="",$O332="",$S332=""),"⚠ بيانات ناقصة","مكتمل"))</f>
        <v/>
      </c>
      <c r="AB332" s="51">
        <f>IF(OR($A332="",$Q332=""),"",$Q332-TODAY())</f>
        <v/>
      </c>
      <c r="AC332" s="113">
        <f>IF(OR($A332="",$O332=""),"",IFERROR(YEARFRAC($O332,TODAY(),1),"")</f>
        <v/>
      </c>
    </row>
    <row r="333">
      <c r="A333" s="39" t="n"/>
      <c r="B333" s="40" t="n"/>
      <c r="C333" s="40" t="n"/>
      <c r="D333" s="110" t="n"/>
      <c r="E333" s="39" t="n"/>
      <c r="F333" s="40" t="n"/>
      <c r="G333" s="40" t="n"/>
      <c r="H333" s="40" t="n"/>
      <c r="I333" s="40" t="n"/>
      <c r="J333" s="40" t="n"/>
      <c r="K333" s="40" t="n"/>
      <c r="L333" s="40" t="n"/>
      <c r="M333" s="40" t="n"/>
      <c r="N333" s="40" t="n"/>
      <c r="O333" s="110" t="n"/>
      <c r="P333" s="110" t="n"/>
      <c r="Q333" s="110" t="n"/>
      <c r="R333" s="40" t="n"/>
      <c r="S333" s="42" t="n"/>
      <c r="T333" s="42" t="n"/>
      <c r="U333" s="40" t="n"/>
      <c r="V333" s="40" t="n"/>
      <c r="W333" s="40" t="n"/>
      <c r="X333" s="40" t="n"/>
      <c r="Y333" s="40" t="n"/>
      <c r="Z333" s="43" t="n"/>
      <c r="AA333" s="43">
        <f>IF($A333="","",IF(OR($B333="",$E333="",$K333="",$O333="",$S333=""),"⚠ بيانات ناقصة","مكتمل"))</f>
        <v/>
      </c>
      <c r="AB333" s="44">
        <f>IF(OR($A333="",$Q333=""),"",$Q333-TODAY())</f>
        <v/>
      </c>
      <c r="AC333" s="111">
        <f>IF(OR($A333="",$O333=""),"",IFERROR(YEARFRAC($O333,TODAY(),1),"")</f>
        <v/>
      </c>
    </row>
    <row r="334">
      <c r="A334" s="46" t="n"/>
      <c r="B334" s="47" t="n"/>
      <c r="C334" s="47" t="n"/>
      <c r="D334" s="112" t="n"/>
      <c r="E334" s="46" t="n"/>
      <c r="F334" s="47" t="n"/>
      <c r="G334" s="47" t="n"/>
      <c r="H334" s="47" t="n"/>
      <c r="I334" s="47" t="n"/>
      <c r="J334" s="47" t="n"/>
      <c r="K334" s="47" t="n"/>
      <c r="L334" s="47" t="n"/>
      <c r="M334" s="47" t="n"/>
      <c r="N334" s="47" t="n"/>
      <c r="O334" s="112" t="n"/>
      <c r="P334" s="112" t="n"/>
      <c r="Q334" s="112" t="n"/>
      <c r="R334" s="47" t="n"/>
      <c r="S334" s="49" t="n"/>
      <c r="T334" s="49" t="n"/>
      <c r="U334" s="47" t="n"/>
      <c r="V334" s="47" t="n"/>
      <c r="W334" s="47" t="n"/>
      <c r="X334" s="47" t="n"/>
      <c r="Y334" s="47" t="n"/>
      <c r="Z334" s="50" t="n"/>
      <c r="AA334" s="50">
        <f>IF($A334="","",IF(OR($B334="",$E334="",$K334="",$O334="",$S334=""),"⚠ بيانات ناقصة","مكتمل"))</f>
        <v/>
      </c>
      <c r="AB334" s="51">
        <f>IF(OR($A334="",$Q334=""),"",$Q334-TODAY())</f>
        <v/>
      </c>
      <c r="AC334" s="113">
        <f>IF(OR($A334="",$O334=""),"",IFERROR(YEARFRAC($O334,TODAY(),1),"")</f>
        <v/>
      </c>
    </row>
    <row r="335">
      <c r="A335" s="39" t="n"/>
      <c r="B335" s="40" t="n"/>
      <c r="C335" s="40" t="n"/>
      <c r="D335" s="110" t="n"/>
      <c r="E335" s="39" t="n"/>
      <c r="F335" s="40" t="n"/>
      <c r="G335" s="40" t="n"/>
      <c r="H335" s="40" t="n"/>
      <c r="I335" s="40" t="n"/>
      <c r="J335" s="40" t="n"/>
      <c r="K335" s="40" t="n"/>
      <c r="L335" s="40" t="n"/>
      <c r="M335" s="40" t="n"/>
      <c r="N335" s="40" t="n"/>
      <c r="O335" s="110" t="n"/>
      <c r="P335" s="110" t="n"/>
      <c r="Q335" s="110" t="n"/>
      <c r="R335" s="40" t="n"/>
      <c r="S335" s="42" t="n"/>
      <c r="T335" s="42" t="n"/>
      <c r="U335" s="40" t="n"/>
      <c r="V335" s="40" t="n"/>
      <c r="W335" s="40" t="n"/>
      <c r="X335" s="40" t="n"/>
      <c r="Y335" s="40" t="n"/>
      <c r="Z335" s="43" t="n"/>
      <c r="AA335" s="43">
        <f>IF($A335="","",IF(OR($B335="",$E335="",$K335="",$O335="",$S335=""),"⚠ بيانات ناقصة","مكتمل"))</f>
        <v/>
      </c>
      <c r="AB335" s="44">
        <f>IF(OR($A335="",$Q335=""),"",$Q335-TODAY())</f>
        <v/>
      </c>
      <c r="AC335" s="111">
        <f>IF(OR($A335="",$O335=""),"",IFERROR(YEARFRAC($O335,TODAY(),1),"")</f>
        <v/>
      </c>
    </row>
    <row r="336">
      <c r="A336" s="46" t="n"/>
      <c r="B336" s="47" t="n"/>
      <c r="C336" s="47" t="n"/>
      <c r="D336" s="112" t="n"/>
      <c r="E336" s="46" t="n"/>
      <c r="F336" s="47" t="n"/>
      <c r="G336" s="47" t="n"/>
      <c r="H336" s="47" t="n"/>
      <c r="I336" s="47" t="n"/>
      <c r="J336" s="47" t="n"/>
      <c r="K336" s="47" t="n"/>
      <c r="L336" s="47" t="n"/>
      <c r="M336" s="47" t="n"/>
      <c r="N336" s="47" t="n"/>
      <c r="O336" s="112" t="n"/>
      <c r="P336" s="112" t="n"/>
      <c r="Q336" s="112" t="n"/>
      <c r="R336" s="47" t="n"/>
      <c r="S336" s="49" t="n"/>
      <c r="T336" s="49" t="n"/>
      <c r="U336" s="47" t="n"/>
      <c r="V336" s="47" t="n"/>
      <c r="W336" s="47" t="n"/>
      <c r="X336" s="47" t="n"/>
      <c r="Y336" s="47" t="n"/>
      <c r="Z336" s="50" t="n"/>
      <c r="AA336" s="50">
        <f>IF($A336="","",IF(OR($B336="",$E336="",$K336="",$O336="",$S336=""),"⚠ بيانات ناقصة","مكتمل"))</f>
        <v/>
      </c>
      <c r="AB336" s="51">
        <f>IF(OR($A336="",$Q336=""),"",$Q336-TODAY())</f>
        <v/>
      </c>
      <c r="AC336" s="113">
        <f>IF(OR($A336="",$O336=""),"",IFERROR(YEARFRAC($O336,TODAY(),1),"")</f>
        <v/>
      </c>
    </row>
    <row r="337">
      <c r="A337" s="39" t="n"/>
      <c r="B337" s="40" t="n"/>
      <c r="C337" s="40" t="n"/>
      <c r="D337" s="110" t="n"/>
      <c r="E337" s="39" t="n"/>
      <c r="F337" s="40" t="n"/>
      <c r="G337" s="40" t="n"/>
      <c r="H337" s="40" t="n"/>
      <c r="I337" s="40" t="n"/>
      <c r="J337" s="40" t="n"/>
      <c r="K337" s="40" t="n"/>
      <c r="L337" s="40" t="n"/>
      <c r="M337" s="40" t="n"/>
      <c r="N337" s="40" t="n"/>
      <c r="O337" s="110" t="n"/>
      <c r="P337" s="110" t="n"/>
      <c r="Q337" s="110" t="n"/>
      <c r="R337" s="40" t="n"/>
      <c r="S337" s="42" t="n"/>
      <c r="T337" s="42" t="n"/>
      <c r="U337" s="40" t="n"/>
      <c r="V337" s="40" t="n"/>
      <c r="W337" s="40" t="n"/>
      <c r="X337" s="40" t="n"/>
      <c r="Y337" s="40" t="n"/>
      <c r="Z337" s="43" t="n"/>
      <c r="AA337" s="43">
        <f>IF($A337="","",IF(OR($B337="",$E337="",$K337="",$O337="",$S337=""),"⚠ بيانات ناقصة","مكتمل"))</f>
        <v/>
      </c>
      <c r="AB337" s="44">
        <f>IF(OR($A337="",$Q337=""),"",$Q337-TODAY())</f>
        <v/>
      </c>
      <c r="AC337" s="111">
        <f>IF(OR($A337="",$O337=""),"",IFERROR(YEARFRAC($O337,TODAY(),1),"")</f>
        <v/>
      </c>
    </row>
    <row r="338">
      <c r="A338" s="46" t="n"/>
      <c r="B338" s="47" t="n"/>
      <c r="C338" s="47" t="n"/>
      <c r="D338" s="112" t="n"/>
      <c r="E338" s="46" t="n"/>
      <c r="F338" s="47" t="n"/>
      <c r="G338" s="47" t="n"/>
      <c r="H338" s="47" t="n"/>
      <c r="I338" s="47" t="n"/>
      <c r="J338" s="47" t="n"/>
      <c r="K338" s="47" t="n"/>
      <c r="L338" s="47" t="n"/>
      <c r="M338" s="47" t="n"/>
      <c r="N338" s="47" t="n"/>
      <c r="O338" s="112" t="n"/>
      <c r="P338" s="112" t="n"/>
      <c r="Q338" s="112" t="n"/>
      <c r="R338" s="47" t="n"/>
      <c r="S338" s="49" t="n"/>
      <c r="T338" s="49" t="n"/>
      <c r="U338" s="47" t="n"/>
      <c r="V338" s="47" t="n"/>
      <c r="W338" s="47" t="n"/>
      <c r="X338" s="47" t="n"/>
      <c r="Y338" s="47" t="n"/>
      <c r="Z338" s="50" t="n"/>
      <c r="AA338" s="50">
        <f>IF($A338="","",IF(OR($B338="",$E338="",$K338="",$O338="",$S338=""),"⚠ بيانات ناقصة","مكتمل"))</f>
        <v/>
      </c>
      <c r="AB338" s="51">
        <f>IF(OR($A338="",$Q338=""),"",$Q338-TODAY())</f>
        <v/>
      </c>
      <c r="AC338" s="113">
        <f>IF(OR($A338="",$O338=""),"",IFERROR(YEARFRAC($O338,TODAY(),1),"")</f>
        <v/>
      </c>
    </row>
    <row r="339">
      <c r="A339" s="39" t="n"/>
      <c r="B339" s="40" t="n"/>
      <c r="C339" s="40" t="n"/>
      <c r="D339" s="110" t="n"/>
      <c r="E339" s="39" t="n"/>
      <c r="F339" s="40" t="n"/>
      <c r="G339" s="40" t="n"/>
      <c r="H339" s="40" t="n"/>
      <c r="I339" s="40" t="n"/>
      <c r="J339" s="40" t="n"/>
      <c r="K339" s="40" t="n"/>
      <c r="L339" s="40" t="n"/>
      <c r="M339" s="40" t="n"/>
      <c r="N339" s="40" t="n"/>
      <c r="O339" s="110" t="n"/>
      <c r="P339" s="110" t="n"/>
      <c r="Q339" s="110" t="n"/>
      <c r="R339" s="40" t="n"/>
      <c r="S339" s="42" t="n"/>
      <c r="T339" s="42" t="n"/>
      <c r="U339" s="40" t="n"/>
      <c r="V339" s="40" t="n"/>
      <c r="W339" s="40" t="n"/>
      <c r="X339" s="40" t="n"/>
      <c r="Y339" s="40" t="n"/>
      <c r="Z339" s="43" t="n"/>
      <c r="AA339" s="43">
        <f>IF($A339="","",IF(OR($B339="",$E339="",$K339="",$O339="",$S339=""),"⚠ بيانات ناقصة","مكتمل"))</f>
        <v/>
      </c>
      <c r="AB339" s="44">
        <f>IF(OR($A339="",$Q339=""),"",$Q339-TODAY())</f>
        <v/>
      </c>
      <c r="AC339" s="111">
        <f>IF(OR($A339="",$O339=""),"",IFERROR(YEARFRAC($O339,TODAY(),1),"")</f>
        <v/>
      </c>
    </row>
    <row r="340">
      <c r="A340" s="46" t="n"/>
      <c r="B340" s="47" t="n"/>
      <c r="C340" s="47" t="n"/>
      <c r="D340" s="112" t="n"/>
      <c r="E340" s="46" t="n"/>
      <c r="F340" s="47" t="n"/>
      <c r="G340" s="47" t="n"/>
      <c r="H340" s="47" t="n"/>
      <c r="I340" s="47" t="n"/>
      <c r="J340" s="47" t="n"/>
      <c r="K340" s="47" t="n"/>
      <c r="L340" s="47" t="n"/>
      <c r="M340" s="47" t="n"/>
      <c r="N340" s="47" t="n"/>
      <c r="O340" s="112" t="n"/>
      <c r="P340" s="112" t="n"/>
      <c r="Q340" s="112" t="n"/>
      <c r="R340" s="47" t="n"/>
      <c r="S340" s="49" t="n"/>
      <c r="T340" s="49" t="n"/>
      <c r="U340" s="47" t="n"/>
      <c r="V340" s="47" t="n"/>
      <c r="W340" s="47" t="n"/>
      <c r="X340" s="47" t="n"/>
      <c r="Y340" s="47" t="n"/>
      <c r="Z340" s="50" t="n"/>
      <c r="AA340" s="50">
        <f>IF($A340="","",IF(OR($B340="",$E340="",$K340="",$O340="",$S340=""),"⚠ بيانات ناقصة","مكتمل"))</f>
        <v/>
      </c>
      <c r="AB340" s="51">
        <f>IF(OR($A340="",$Q340=""),"",$Q340-TODAY())</f>
        <v/>
      </c>
      <c r="AC340" s="113">
        <f>IF(OR($A340="",$O340=""),"",IFERROR(YEARFRAC($O340,TODAY(),1),"")</f>
        <v/>
      </c>
    </row>
    <row r="341">
      <c r="A341" s="39" t="n"/>
      <c r="B341" s="40" t="n"/>
      <c r="C341" s="40" t="n"/>
      <c r="D341" s="110" t="n"/>
      <c r="E341" s="39" t="n"/>
      <c r="F341" s="40" t="n"/>
      <c r="G341" s="40" t="n"/>
      <c r="H341" s="40" t="n"/>
      <c r="I341" s="40" t="n"/>
      <c r="J341" s="40" t="n"/>
      <c r="K341" s="40" t="n"/>
      <c r="L341" s="40" t="n"/>
      <c r="M341" s="40" t="n"/>
      <c r="N341" s="40" t="n"/>
      <c r="O341" s="110" t="n"/>
      <c r="P341" s="110" t="n"/>
      <c r="Q341" s="110" t="n"/>
      <c r="R341" s="40" t="n"/>
      <c r="S341" s="42" t="n"/>
      <c r="T341" s="42" t="n"/>
      <c r="U341" s="40" t="n"/>
      <c r="V341" s="40" t="n"/>
      <c r="W341" s="40" t="n"/>
      <c r="X341" s="40" t="n"/>
      <c r="Y341" s="40" t="n"/>
      <c r="Z341" s="43" t="n"/>
      <c r="AA341" s="43">
        <f>IF($A341="","",IF(OR($B341="",$E341="",$K341="",$O341="",$S341=""),"⚠ بيانات ناقصة","مكتمل"))</f>
        <v/>
      </c>
      <c r="AB341" s="44">
        <f>IF(OR($A341="",$Q341=""),"",$Q341-TODAY())</f>
        <v/>
      </c>
      <c r="AC341" s="111">
        <f>IF(OR($A341="",$O341=""),"",IFERROR(YEARFRAC($O341,TODAY(),1),"")</f>
        <v/>
      </c>
    </row>
    <row r="342">
      <c r="A342" s="46" t="n"/>
      <c r="B342" s="47" t="n"/>
      <c r="C342" s="47" t="n"/>
      <c r="D342" s="112" t="n"/>
      <c r="E342" s="46" t="n"/>
      <c r="F342" s="47" t="n"/>
      <c r="G342" s="47" t="n"/>
      <c r="H342" s="47" t="n"/>
      <c r="I342" s="47" t="n"/>
      <c r="J342" s="47" t="n"/>
      <c r="K342" s="47" t="n"/>
      <c r="L342" s="47" t="n"/>
      <c r="M342" s="47" t="n"/>
      <c r="N342" s="47" t="n"/>
      <c r="O342" s="112" t="n"/>
      <c r="P342" s="112" t="n"/>
      <c r="Q342" s="112" t="n"/>
      <c r="R342" s="47" t="n"/>
      <c r="S342" s="49" t="n"/>
      <c r="T342" s="49" t="n"/>
      <c r="U342" s="47" t="n"/>
      <c r="V342" s="47" t="n"/>
      <c r="W342" s="47" t="n"/>
      <c r="X342" s="47" t="n"/>
      <c r="Y342" s="47" t="n"/>
      <c r="Z342" s="50" t="n"/>
      <c r="AA342" s="50">
        <f>IF($A342="","",IF(OR($B342="",$E342="",$K342="",$O342="",$S342=""),"⚠ بيانات ناقصة","مكتمل"))</f>
        <v/>
      </c>
      <c r="AB342" s="51">
        <f>IF(OR($A342="",$Q342=""),"",$Q342-TODAY())</f>
        <v/>
      </c>
      <c r="AC342" s="113">
        <f>IF(OR($A342="",$O342=""),"",IFERROR(YEARFRAC($O342,TODAY(),1),"")</f>
        <v/>
      </c>
    </row>
    <row r="343">
      <c r="A343" s="39" t="n"/>
      <c r="B343" s="40" t="n"/>
      <c r="C343" s="40" t="n"/>
      <c r="D343" s="110" t="n"/>
      <c r="E343" s="39" t="n"/>
      <c r="F343" s="40" t="n"/>
      <c r="G343" s="40" t="n"/>
      <c r="H343" s="40" t="n"/>
      <c r="I343" s="40" t="n"/>
      <c r="J343" s="40" t="n"/>
      <c r="K343" s="40" t="n"/>
      <c r="L343" s="40" t="n"/>
      <c r="M343" s="40" t="n"/>
      <c r="N343" s="40" t="n"/>
      <c r="O343" s="110" t="n"/>
      <c r="P343" s="110" t="n"/>
      <c r="Q343" s="110" t="n"/>
      <c r="R343" s="40" t="n"/>
      <c r="S343" s="42" t="n"/>
      <c r="T343" s="42" t="n"/>
      <c r="U343" s="40" t="n"/>
      <c r="V343" s="40" t="n"/>
      <c r="W343" s="40" t="n"/>
      <c r="X343" s="40" t="n"/>
      <c r="Y343" s="40" t="n"/>
      <c r="Z343" s="43" t="n"/>
      <c r="AA343" s="43">
        <f>IF($A343="","",IF(OR($B343="",$E343="",$K343="",$O343="",$S343=""),"⚠ بيانات ناقصة","مكتمل"))</f>
        <v/>
      </c>
      <c r="AB343" s="44">
        <f>IF(OR($A343="",$Q343=""),"",$Q343-TODAY())</f>
        <v/>
      </c>
      <c r="AC343" s="111">
        <f>IF(OR($A343="",$O343=""),"",IFERROR(YEARFRAC($O343,TODAY(),1),"")</f>
        <v/>
      </c>
    </row>
    <row r="344">
      <c r="A344" s="46" t="n"/>
      <c r="B344" s="47" t="n"/>
      <c r="C344" s="47" t="n"/>
      <c r="D344" s="112" t="n"/>
      <c r="E344" s="46" t="n"/>
      <c r="F344" s="47" t="n"/>
      <c r="G344" s="47" t="n"/>
      <c r="H344" s="47" t="n"/>
      <c r="I344" s="47" t="n"/>
      <c r="J344" s="47" t="n"/>
      <c r="K344" s="47" t="n"/>
      <c r="L344" s="47" t="n"/>
      <c r="M344" s="47" t="n"/>
      <c r="N344" s="47" t="n"/>
      <c r="O344" s="112" t="n"/>
      <c r="P344" s="112" t="n"/>
      <c r="Q344" s="112" t="n"/>
      <c r="R344" s="47" t="n"/>
      <c r="S344" s="49" t="n"/>
      <c r="T344" s="49" t="n"/>
      <c r="U344" s="47" t="n"/>
      <c r="V344" s="47" t="n"/>
      <c r="W344" s="47" t="n"/>
      <c r="X344" s="47" t="n"/>
      <c r="Y344" s="47" t="n"/>
      <c r="Z344" s="50" t="n"/>
      <c r="AA344" s="50">
        <f>IF($A344="","",IF(OR($B344="",$E344="",$K344="",$O344="",$S344=""),"⚠ بيانات ناقصة","مكتمل"))</f>
        <v/>
      </c>
      <c r="AB344" s="51">
        <f>IF(OR($A344="",$Q344=""),"",$Q344-TODAY())</f>
        <v/>
      </c>
      <c r="AC344" s="113">
        <f>IF(OR($A344="",$O344=""),"",IFERROR(YEARFRAC($O344,TODAY(),1),"")</f>
        <v/>
      </c>
    </row>
    <row r="345">
      <c r="A345" s="39" t="n"/>
      <c r="B345" s="40" t="n"/>
      <c r="C345" s="40" t="n"/>
      <c r="D345" s="110" t="n"/>
      <c r="E345" s="39" t="n"/>
      <c r="F345" s="40" t="n"/>
      <c r="G345" s="40" t="n"/>
      <c r="H345" s="40" t="n"/>
      <c r="I345" s="40" t="n"/>
      <c r="J345" s="40" t="n"/>
      <c r="K345" s="40" t="n"/>
      <c r="L345" s="40" t="n"/>
      <c r="M345" s="40" t="n"/>
      <c r="N345" s="40" t="n"/>
      <c r="O345" s="110" t="n"/>
      <c r="P345" s="110" t="n"/>
      <c r="Q345" s="110" t="n"/>
      <c r="R345" s="40" t="n"/>
      <c r="S345" s="42" t="n"/>
      <c r="T345" s="42" t="n"/>
      <c r="U345" s="40" t="n"/>
      <c r="V345" s="40" t="n"/>
      <c r="W345" s="40" t="n"/>
      <c r="X345" s="40" t="n"/>
      <c r="Y345" s="40" t="n"/>
      <c r="Z345" s="43" t="n"/>
      <c r="AA345" s="43">
        <f>IF($A345="","",IF(OR($B345="",$E345="",$K345="",$O345="",$S345=""),"⚠ بيانات ناقصة","مكتمل"))</f>
        <v/>
      </c>
      <c r="AB345" s="44">
        <f>IF(OR($A345="",$Q345=""),"",$Q345-TODAY())</f>
        <v/>
      </c>
      <c r="AC345" s="111">
        <f>IF(OR($A345="",$O345=""),"",IFERROR(YEARFRAC($O345,TODAY(),1),"")</f>
        <v/>
      </c>
    </row>
    <row r="346">
      <c r="A346" s="46" t="n"/>
      <c r="B346" s="47" t="n"/>
      <c r="C346" s="47" t="n"/>
      <c r="D346" s="112" t="n"/>
      <c r="E346" s="46" t="n"/>
      <c r="F346" s="47" t="n"/>
      <c r="G346" s="47" t="n"/>
      <c r="H346" s="47" t="n"/>
      <c r="I346" s="47" t="n"/>
      <c r="J346" s="47" t="n"/>
      <c r="K346" s="47" t="n"/>
      <c r="L346" s="47" t="n"/>
      <c r="M346" s="47" t="n"/>
      <c r="N346" s="47" t="n"/>
      <c r="O346" s="112" t="n"/>
      <c r="P346" s="112" t="n"/>
      <c r="Q346" s="112" t="n"/>
      <c r="R346" s="47" t="n"/>
      <c r="S346" s="49" t="n"/>
      <c r="T346" s="49" t="n"/>
      <c r="U346" s="47" t="n"/>
      <c r="V346" s="47" t="n"/>
      <c r="W346" s="47" t="n"/>
      <c r="X346" s="47" t="n"/>
      <c r="Y346" s="47" t="n"/>
      <c r="Z346" s="50" t="n"/>
      <c r="AA346" s="50">
        <f>IF($A346="","",IF(OR($B346="",$E346="",$K346="",$O346="",$S346=""),"⚠ بيانات ناقصة","مكتمل"))</f>
        <v/>
      </c>
      <c r="AB346" s="51">
        <f>IF(OR($A346="",$Q346=""),"",$Q346-TODAY())</f>
        <v/>
      </c>
      <c r="AC346" s="113">
        <f>IF(OR($A346="",$O346=""),"",IFERROR(YEARFRAC($O346,TODAY(),1),"")</f>
        <v/>
      </c>
    </row>
    <row r="347">
      <c r="A347" s="39" t="n"/>
      <c r="B347" s="40" t="n"/>
      <c r="C347" s="40" t="n"/>
      <c r="D347" s="110" t="n"/>
      <c r="E347" s="39" t="n"/>
      <c r="F347" s="40" t="n"/>
      <c r="G347" s="40" t="n"/>
      <c r="H347" s="40" t="n"/>
      <c r="I347" s="40" t="n"/>
      <c r="J347" s="40" t="n"/>
      <c r="K347" s="40" t="n"/>
      <c r="L347" s="40" t="n"/>
      <c r="M347" s="40" t="n"/>
      <c r="N347" s="40" t="n"/>
      <c r="O347" s="110" t="n"/>
      <c r="P347" s="110" t="n"/>
      <c r="Q347" s="110" t="n"/>
      <c r="R347" s="40" t="n"/>
      <c r="S347" s="42" t="n"/>
      <c r="T347" s="42" t="n"/>
      <c r="U347" s="40" t="n"/>
      <c r="V347" s="40" t="n"/>
      <c r="W347" s="40" t="n"/>
      <c r="X347" s="40" t="n"/>
      <c r="Y347" s="40" t="n"/>
      <c r="Z347" s="43" t="n"/>
      <c r="AA347" s="43">
        <f>IF($A347="","",IF(OR($B347="",$E347="",$K347="",$O347="",$S347=""),"⚠ بيانات ناقصة","مكتمل"))</f>
        <v/>
      </c>
      <c r="AB347" s="44">
        <f>IF(OR($A347="",$Q347=""),"",$Q347-TODAY())</f>
        <v/>
      </c>
      <c r="AC347" s="111">
        <f>IF(OR($A347="",$O347=""),"",IFERROR(YEARFRAC($O347,TODAY(),1),"")</f>
        <v/>
      </c>
    </row>
    <row r="348">
      <c r="A348" s="46" t="n"/>
      <c r="B348" s="47" t="n"/>
      <c r="C348" s="47" t="n"/>
      <c r="D348" s="112" t="n"/>
      <c r="E348" s="46" t="n"/>
      <c r="F348" s="47" t="n"/>
      <c r="G348" s="47" t="n"/>
      <c r="H348" s="47" t="n"/>
      <c r="I348" s="47" t="n"/>
      <c r="J348" s="47" t="n"/>
      <c r="K348" s="47" t="n"/>
      <c r="L348" s="47" t="n"/>
      <c r="M348" s="47" t="n"/>
      <c r="N348" s="47" t="n"/>
      <c r="O348" s="112" t="n"/>
      <c r="P348" s="112" t="n"/>
      <c r="Q348" s="112" t="n"/>
      <c r="R348" s="47" t="n"/>
      <c r="S348" s="49" t="n"/>
      <c r="T348" s="49" t="n"/>
      <c r="U348" s="47" t="n"/>
      <c r="V348" s="47" t="n"/>
      <c r="W348" s="47" t="n"/>
      <c r="X348" s="47" t="n"/>
      <c r="Y348" s="47" t="n"/>
      <c r="Z348" s="50" t="n"/>
      <c r="AA348" s="50">
        <f>IF($A348="","",IF(OR($B348="",$E348="",$K348="",$O348="",$S348=""),"⚠ بيانات ناقصة","مكتمل"))</f>
        <v/>
      </c>
      <c r="AB348" s="51">
        <f>IF(OR($A348="",$Q348=""),"",$Q348-TODAY())</f>
        <v/>
      </c>
      <c r="AC348" s="113">
        <f>IF(OR($A348="",$O348=""),"",IFERROR(YEARFRAC($O348,TODAY(),1),"")</f>
        <v/>
      </c>
    </row>
    <row r="349">
      <c r="A349" s="39" t="n"/>
      <c r="B349" s="40" t="n"/>
      <c r="C349" s="40" t="n"/>
      <c r="D349" s="110" t="n"/>
      <c r="E349" s="39" t="n"/>
      <c r="F349" s="40" t="n"/>
      <c r="G349" s="40" t="n"/>
      <c r="H349" s="40" t="n"/>
      <c r="I349" s="40" t="n"/>
      <c r="J349" s="40" t="n"/>
      <c r="K349" s="40" t="n"/>
      <c r="L349" s="40" t="n"/>
      <c r="M349" s="40" t="n"/>
      <c r="N349" s="40" t="n"/>
      <c r="O349" s="110" t="n"/>
      <c r="P349" s="110" t="n"/>
      <c r="Q349" s="110" t="n"/>
      <c r="R349" s="40" t="n"/>
      <c r="S349" s="42" t="n"/>
      <c r="T349" s="42" t="n"/>
      <c r="U349" s="40" t="n"/>
      <c r="V349" s="40" t="n"/>
      <c r="W349" s="40" t="n"/>
      <c r="X349" s="40" t="n"/>
      <c r="Y349" s="40" t="n"/>
      <c r="Z349" s="43" t="n"/>
      <c r="AA349" s="43">
        <f>IF($A349="","",IF(OR($B349="",$E349="",$K349="",$O349="",$S349=""),"⚠ بيانات ناقصة","مكتمل"))</f>
        <v/>
      </c>
      <c r="AB349" s="44">
        <f>IF(OR($A349="",$Q349=""),"",$Q349-TODAY())</f>
        <v/>
      </c>
      <c r="AC349" s="111">
        <f>IF(OR($A349="",$O349=""),"",IFERROR(YEARFRAC($O349,TODAY(),1),"")</f>
        <v/>
      </c>
    </row>
    <row r="350">
      <c r="A350" s="46" t="n"/>
      <c r="B350" s="47" t="n"/>
      <c r="C350" s="47" t="n"/>
      <c r="D350" s="112" t="n"/>
      <c r="E350" s="46" t="n"/>
      <c r="F350" s="47" t="n"/>
      <c r="G350" s="47" t="n"/>
      <c r="H350" s="47" t="n"/>
      <c r="I350" s="47" t="n"/>
      <c r="J350" s="47" t="n"/>
      <c r="K350" s="47" t="n"/>
      <c r="L350" s="47" t="n"/>
      <c r="M350" s="47" t="n"/>
      <c r="N350" s="47" t="n"/>
      <c r="O350" s="112" t="n"/>
      <c r="P350" s="112" t="n"/>
      <c r="Q350" s="112" t="n"/>
      <c r="R350" s="47" t="n"/>
      <c r="S350" s="49" t="n"/>
      <c r="T350" s="49" t="n"/>
      <c r="U350" s="47" t="n"/>
      <c r="V350" s="47" t="n"/>
      <c r="W350" s="47" t="n"/>
      <c r="X350" s="47" t="n"/>
      <c r="Y350" s="47" t="n"/>
      <c r="Z350" s="50" t="n"/>
      <c r="AA350" s="50">
        <f>IF($A350="","",IF(OR($B350="",$E350="",$K350="",$O350="",$S350=""),"⚠ بيانات ناقصة","مكتمل"))</f>
        <v/>
      </c>
      <c r="AB350" s="51">
        <f>IF(OR($A350="",$Q350=""),"",$Q350-TODAY())</f>
        <v/>
      </c>
      <c r="AC350" s="113">
        <f>IF(OR($A350="",$O350=""),"",IFERROR(YEARFRAC($O350,TODAY(),1),"")</f>
        <v/>
      </c>
    </row>
    <row r="351">
      <c r="A351" s="39" t="n"/>
      <c r="B351" s="40" t="n"/>
      <c r="C351" s="40" t="n"/>
      <c r="D351" s="110" t="n"/>
      <c r="E351" s="39" t="n"/>
      <c r="F351" s="40" t="n"/>
      <c r="G351" s="40" t="n"/>
      <c r="H351" s="40" t="n"/>
      <c r="I351" s="40" t="n"/>
      <c r="J351" s="40" t="n"/>
      <c r="K351" s="40" t="n"/>
      <c r="L351" s="40" t="n"/>
      <c r="M351" s="40" t="n"/>
      <c r="N351" s="40" t="n"/>
      <c r="O351" s="110" t="n"/>
      <c r="P351" s="110" t="n"/>
      <c r="Q351" s="110" t="n"/>
      <c r="R351" s="40" t="n"/>
      <c r="S351" s="42" t="n"/>
      <c r="T351" s="42" t="n"/>
      <c r="U351" s="40" t="n"/>
      <c r="V351" s="40" t="n"/>
      <c r="W351" s="40" t="n"/>
      <c r="X351" s="40" t="n"/>
      <c r="Y351" s="40" t="n"/>
      <c r="Z351" s="43" t="n"/>
      <c r="AA351" s="43">
        <f>IF($A351="","",IF(OR($B351="",$E351="",$K351="",$O351="",$S351=""),"⚠ بيانات ناقصة","مكتمل"))</f>
        <v/>
      </c>
      <c r="AB351" s="44">
        <f>IF(OR($A351="",$Q351=""),"",$Q351-TODAY())</f>
        <v/>
      </c>
      <c r="AC351" s="111">
        <f>IF(OR($A351="",$O351=""),"",IFERROR(YEARFRAC($O351,TODAY(),1),"")</f>
        <v/>
      </c>
    </row>
    <row r="352">
      <c r="A352" s="46" t="n"/>
      <c r="B352" s="47" t="n"/>
      <c r="C352" s="47" t="n"/>
      <c r="D352" s="112" t="n"/>
      <c r="E352" s="46" t="n"/>
      <c r="F352" s="47" t="n"/>
      <c r="G352" s="47" t="n"/>
      <c r="H352" s="47" t="n"/>
      <c r="I352" s="47" t="n"/>
      <c r="J352" s="47" t="n"/>
      <c r="K352" s="47" t="n"/>
      <c r="L352" s="47" t="n"/>
      <c r="M352" s="47" t="n"/>
      <c r="N352" s="47" t="n"/>
      <c r="O352" s="112" t="n"/>
      <c r="P352" s="112" t="n"/>
      <c r="Q352" s="112" t="n"/>
      <c r="R352" s="47" t="n"/>
      <c r="S352" s="49" t="n"/>
      <c r="T352" s="49" t="n"/>
      <c r="U352" s="47" t="n"/>
      <c r="V352" s="47" t="n"/>
      <c r="W352" s="47" t="n"/>
      <c r="X352" s="47" t="n"/>
      <c r="Y352" s="47" t="n"/>
      <c r="Z352" s="50" t="n"/>
      <c r="AA352" s="50">
        <f>IF($A352="","",IF(OR($B352="",$E352="",$K352="",$O352="",$S352=""),"⚠ بيانات ناقصة","مكتمل"))</f>
        <v/>
      </c>
      <c r="AB352" s="51">
        <f>IF(OR($A352="",$Q352=""),"",$Q352-TODAY())</f>
        <v/>
      </c>
      <c r="AC352" s="113">
        <f>IF(OR($A352="",$O352=""),"",IFERROR(YEARFRAC($O352,TODAY(),1),"")</f>
        <v/>
      </c>
    </row>
    <row r="353">
      <c r="A353" s="39" t="n"/>
      <c r="B353" s="40" t="n"/>
      <c r="C353" s="40" t="n"/>
      <c r="D353" s="110" t="n"/>
      <c r="E353" s="39" t="n"/>
      <c r="F353" s="40" t="n"/>
      <c r="G353" s="40" t="n"/>
      <c r="H353" s="40" t="n"/>
      <c r="I353" s="40" t="n"/>
      <c r="J353" s="40" t="n"/>
      <c r="K353" s="40" t="n"/>
      <c r="L353" s="40" t="n"/>
      <c r="M353" s="40" t="n"/>
      <c r="N353" s="40" t="n"/>
      <c r="O353" s="110" t="n"/>
      <c r="P353" s="110" t="n"/>
      <c r="Q353" s="110" t="n"/>
      <c r="R353" s="40" t="n"/>
      <c r="S353" s="42" t="n"/>
      <c r="T353" s="42" t="n"/>
      <c r="U353" s="40" t="n"/>
      <c r="V353" s="40" t="n"/>
      <c r="W353" s="40" t="n"/>
      <c r="X353" s="40" t="n"/>
      <c r="Y353" s="40" t="n"/>
      <c r="Z353" s="43" t="n"/>
      <c r="AA353" s="43">
        <f>IF($A353="","",IF(OR($B353="",$E353="",$K353="",$O353="",$S353=""),"⚠ بيانات ناقصة","مكتمل"))</f>
        <v/>
      </c>
      <c r="AB353" s="44">
        <f>IF(OR($A353="",$Q353=""),"",$Q353-TODAY())</f>
        <v/>
      </c>
      <c r="AC353" s="111">
        <f>IF(OR($A353="",$O353=""),"",IFERROR(YEARFRAC($O353,TODAY(),1),"")</f>
        <v/>
      </c>
    </row>
    <row r="354">
      <c r="A354" s="46" t="n"/>
      <c r="B354" s="47" t="n"/>
      <c r="C354" s="47" t="n"/>
      <c r="D354" s="112" t="n"/>
      <c r="E354" s="46" t="n"/>
      <c r="F354" s="47" t="n"/>
      <c r="G354" s="47" t="n"/>
      <c r="H354" s="47" t="n"/>
      <c r="I354" s="47" t="n"/>
      <c r="J354" s="47" t="n"/>
      <c r="K354" s="47" t="n"/>
      <c r="L354" s="47" t="n"/>
      <c r="M354" s="47" t="n"/>
      <c r="N354" s="47" t="n"/>
      <c r="O354" s="112" t="n"/>
      <c r="P354" s="112" t="n"/>
      <c r="Q354" s="112" t="n"/>
      <c r="R354" s="47" t="n"/>
      <c r="S354" s="49" t="n"/>
      <c r="T354" s="49" t="n"/>
      <c r="U354" s="47" t="n"/>
      <c r="V354" s="47" t="n"/>
      <c r="W354" s="47" t="n"/>
      <c r="X354" s="47" t="n"/>
      <c r="Y354" s="47" t="n"/>
      <c r="Z354" s="50" t="n"/>
      <c r="AA354" s="50">
        <f>IF($A354="","",IF(OR($B354="",$E354="",$K354="",$O354="",$S354=""),"⚠ بيانات ناقصة","مكتمل"))</f>
        <v/>
      </c>
      <c r="AB354" s="51">
        <f>IF(OR($A354="",$Q354=""),"",$Q354-TODAY())</f>
        <v/>
      </c>
      <c r="AC354" s="113">
        <f>IF(OR($A354="",$O354=""),"",IFERROR(YEARFRAC($O354,TODAY(),1),"")</f>
        <v/>
      </c>
    </row>
    <row r="355">
      <c r="A355" s="39" t="n"/>
      <c r="B355" s="40" t="n"/>
      <c r="C355" s="40" t="n"/>
      <c r="D355" s="110" t="n"/>
      <c r="E355" s="39" t="n"/>
      <c r="F355" s="40" t="n"/>
      <c r="G355" s="40" t="n"/>
      <c r="H355" s="40" t="n"/>
      <c r="I355" s="40" t="n"/>
      <c r="J355" s="40" t="n"/>
      <c r="K355" s="40" t="n"/>
      <c r="L355" s="40" t="n"/>
      <c r="M355" s="40" t="n"/>
      <c r="N355" s="40" t="n"/>
      <c r="O355" s="110" t="n"/>
      <c r="P355" s="110" t="n"/>
      <c r="Q355" s="110" t="n"/>
      <c r="R355" s="40" t="n"/>
      <c r="S355" s="42" t="n"/>
      <c r="T355" s="42" t="n"/>
      <c r="U355" s="40" t="n"/>
      <c r="V355" s="40" t="n"/>
      <c r="W355" s="40" t="n"/>
      <c r="X355" s="40" t="n"/>
      <c r="Y355" s="40" t="n"/>
      <c r="Z355" s="43" t="n"/>
      <c r="AA355" s="43">
        <f>IF($A355="","",IF(OR($B355="",$E355="",$K355="",$O355="",$S355=""),"⚠ بيانات ناقصة","مكتمل"))</f>
        <v/>
      </c>
      <c r="AB355" s="44">
        <f>IF(OR($A355="",$Q355=""),"",$Q355-TODAY())</f>
        <v/>
      </c>
      <c r="AC355" s="111">
        <f>IF(OR($A355="",$O355=""),"",IFERROR(YEARFRAC($O355,TODAY(),1),"")</f>
        <v/>
      </c>
    </row>
    <row r="356">
      <c r="A356" s="46" t="n"/>
      <c r="B356" s="47" t="n"/>
      <c r="C356" s="47" t="n"/>
      <c r="D356" s="112" t="n"/>
      <c r="E356" s="46" t="n"/>
      <c r="F356" s="47" t="n"/>
      <c r="G356" s="47" t="n"/>
      <c r="H356" s="47" t="n"/>
      <c r="I356" s="47" t="n"/>
      <c r="J356" s="47" t="n"/>
      <c r="K356" s="47" t="n"/>
      <c r="L356" s="47" t="n"/>
      <c r="M356" s="47" t="n"/>
      <c r="N356" s="47" t="n"/>
      <c r="O356" s="112" t="n"/>
      <c r="P356" s="112" t="n"/>
      <c r="Q356" s="112" t="n"/>
      <c r="R356" s="47" t="n"/>
      <c r="S356" s="49" t="n"/>
      <c r="T356" s="49" t="n"/>
      <c r="U356" s="47" t="n"/>
      <c r="V356" s="47" t="n"/>
      <c r="W356" s="47" t="n"/>
      <c r="X356" s="47" t="n"/>
      <c r="Y356" s="47" t="n"/>
      <c r="Z356" s="50" t="n"/>
      <c r="AA356" s="50">
        <f>IF($A356="","",IF(OR($B356="",$E356="",$K356="",$O356="",$S356=""),"⚠ بيانات ناقصة","مكتمل"))</f>
        <v/>
      </c>
      <c r="AB356" s="51">
        <f>IF(OR($A356="",$Q356=""),"",$Q356-TODAY())</f>
        <v/>
      </c>
      <c r="AC356" s="113">
        <f>IF(OR($A356="",$O356=""),"",IFERROR(YEARFRAC($O356,TODAY(),1),"")</f>
        <v/>
      </c>
    </row>
    <row r="357">
      <c r="A357" s="39" t="n"/>
      <c r="B357" s="40" t="n"/>
      <c r="C357" s="40" t="n"/>
      <c r="D357" s="110" t="n"/>
      <c r="E357" s="39" t="n"/>
      <c r="F357" s="40" t="n"/>
      <c r="G357" s="40" t="n"/>
      <c r="H357" s="40" t="n"/>
      <c r="I357" s="40" t="n"/>
      <c r="J357" s="40" t="n"/>
      <c r="K357" s="40" t="n"/>
      <c r="L357" s="40" t="n"/>
      <c r="M357" s="40" t="n"/>
      <c r="N357" s="40" t="n"/>
      <c r="O357" s="110" t="n"/>
      <c r="P357" s="110" t="n"/>
      <c r="Q357" s="110" t="n"/>
      <c r="R357" s="40" t="n"/>
      <c r="S357" s="42" t="n"/>
      <c r="T357" s="42" t="n"/>
      <c r="U357" s="40" t="n"/>
      <c r="V357" s="40" t="n"/>
      <c r="W357" s="40" t="n"/>
      <c r="X357" s="40" t="n"/>
      <c r="Y357" s="40" t="n"/>
      <c r="Z357" s="43" t="n"/>
      <c r="AA357" s="43">
        <f>IF($A357="","",IF(OR($B357="",$E357="",$K357="",$O357="",$S357=""),"⚠ بيانات ناقصة","مكتمل"))</f>
        <v/>
      </c>
      <c r="AB357" s="44">
        <f>IF(OR($A357="",$Q357=""),"",$Q357-TODAY())</f>
        <v/>
      </c>
      <c r="AC357" s="111">
        <f>IF(OR($A357="",$O357=""),"",IFERROR(YEARFRAC($O357,TODAY(),1),"")</f>
        <v/>
      </c>
    </row>
    <row r="358">
      <c r="A358" s="46" t="n"/>
      <c r="B358" s="47" t="n"/>
      <c r="C358" s="47" t="n"/>
      <c r="D358" s="112" t="n"/>
      <c r="E358" s="46" t="n"/>
      <c r="F358" s="47" t="n"/>
      <c r="G358" s="47" t="n"/>
      <c r="H358" s="47" t="n"/>
      <c r="I358" s="47" t="n"/>
      <c r="J358" s="47" t="n"/>
      <c r="K358" s="47" t="n"/>
      <c r="L358" s="47" t="n"/>
      <c r="M358" s="47" t="n"/>
      <c r="N358" s="47" t="n"/>
      <c r="O358" s="112" t="n"/>
      <c r="P358" s="112" t="n"/>
      <c r="Q358" s="112" t="n"/>
      <c r="R358" s="47" t="n"/>
      <c r="S358" s="49" t="n"/>
      <c r="T358" s="49" t="n"/>
      <c r="U358" s="47" t="n"/>
      <c r="V358" s="47" t="n"/>
      <c r="W358" s="47" t="n"/>
      <c r="X358" s="47" t="n"/>
      <c r="Y358" s="47" t="n"/>
      <c r="Z358" s="50" t="n"/>
      <c r="AA358" s="50">
        <f>IF($A358="","",IF(OR($B358="",$E358="",$K358="",$O358="",$S358=""),"⚠ بيانات ناقصة","مكتمل"))</f>
        <v/>
      </c>
      <c r="AB358" s="51">
        <f>IF(OR($A358="",$Q358=""),"",$Q358-TODAY())</f>
        <v/>
      </c>
      <c r="AC358" s="113">
        <f>IF(OR($A358="",$O358=""),"",IFERROR(YEARFRAC($O358,TODAY(),1),"")</f>
        <v/>
      </c>
    </row>
    <row r="359">
      <c r="A359" s="39" t="n"/>
      <c r="B359" s="40" t="n"/>
      <c r="C359" s="40" t="n"/>
      <c r="D359" s="110" t="n"/>
      <c r="E359" s="39" t="n"/>
      <c r="F359" s="40" t="n"/>
      <c r="G359" s="40" t="n"/>
      <c r="H359" s="40" t="n"/>
      <c r="I359" s="40" t="n"/>
      <c r="J359" s="40" t="n"/>
      <c r="K359" s="40" t="n"/>
      <c r="L359" s="40" t="n"/>
      <c r="M359" s="40" t="n"/>
      <c r="N359" s="40" t="n"/>
      <c r="O359" s="110" t="n"/>
      <c r="P359" s="110" t="n"/>
      <c r="Q359" s="110" t="n"/>
      <c r="R359" s="40" t="n"/>
      <c r="S359" s="42" t="n"/>
      <c r="T359" s="42" t="n"/>
      <c r="U359" s="40" t="n"/>
      <c r="V359" s="40" t="n"/>
      <c r="W359" s="40" t="n"/>
      <c r="X359" s="40" t="n"/>
      <c r="Y359" s="40" t="n"/>
      <c r="Z359" s="43" t="n"/>
      <c r="AA359" s="43">
        <f>IF($A359="","",IF(OR($B359="",$E359="",$K359="",$O359="",$S359=""),"⚠ بيانات ناقصة","مكتمل"))</f>
        <v/>
      </c>
      <c r="AB359" s="44">
        <f>IF(OR($A359="",$Q359=""),"",$Q359-TODAY())</f>
        <v/>
      </c>
      <c r="AC359" s="111">
        <f>IF(OR($A359="",$O359=""),"",IFERROR(YEARFRAC($O359,TODAY(),1),"")</f>
        <v/>
      </c>
    </row>
    <row r="360">
      <c r="A360" s="46" t="n"/>
      <c r="B360" s="47" t="n"/>
      <c r="C360" s="47" t="n"/>
      <c r="D360" s="112" t="n"/>
      <c r="E360" s="46" t="n"/>
      <c r="F360" s="47" t="n"/>
      <c r="G360" s="47" t="n"/>
      <c r="H360" s="47" t="n"/>
      <c r="I360" s="47" t="n"/>
      <c r="J360" s="47" t="n"/>
      <c r="K360" s="47" t="n"/>
      <c r="L360" s="47" t="n"/>
      <c r="M360" s="47" t="n"/>
      <c r="N360" s="47" t="n"/>
      <c r="O360" s="112" t="n"/>
      <c r="P360" s="112" t="n"/>
      <c r="Q360" s="112" t="n"/>
      <c r="R360" s="47" t="n"/>
      <c r="S360" s="49" t="n"/>
      <c r="T360" s="49" t="n"/>
      <c r="U360" s="47" t="n"/>
      <c r="V360" s="47" t="n"/>
      <c r="W360" s="47" t="n"/>
      <c r="X360" s="47" t="n"/>
      <c r="Y360" s="47" t="n"/>
      <c r="Z360" s="50" t="n"/>
      <c r="AA360" s="50">
        <f>IF($A360="","",IF(OR($B360="",$E360="",$K360="",$O360="",$S360=""),"⚠ بيانات ناقصة","مكتمل"))</f>
        <v/>
      </c>
      <c r="AB360" s="51">
        <f>IF(OR($A360="",$Q360=""),"",$Q360-TODAY())</f>
        <v/>
      </c>
      <c r="AC360" s="113">
        <f>IF(OR($A360="",$O360=""),"",IFERROR(YEARFRAC($O360,TODAY(),1),"")</f>
        <v/>
      </c>
    </row>
    <row r="361">
      <c r="A361" s="39" t="n"/>
      <c r="B361" s="40" t="n"/>
      <c r="C361" s="40" t="n"/>
      <c r="D361" s="110" t="n"/>
      <c r="E361" s="39" t="n"/>
      <c r="F361" s="40" t="n"/>
      <c r="G361" s="40" t="n"/>
      <c r="H361" s="40" t="n"/>
      <c r="I361" s="40" t="n"/>
      <c r="J361" s="40" t="n"/>
      <c r="K361" s="40" t="n"/>
      <c r="L361" s="40" t="n"/>
      <c r="M361" s="40" t="n"/>
      <c r="N361" s="40" t="n"/>
      <c r="O361" s="110" t="n"/>
      <c r="P361" s="110" t="n"/>
      <c r="Q361" s="110" t="n"/>
      <c r="R361" s="40" t="n"/>
      <c r="S361" s="42" t="n"/>
      <c r="T361" s="42" t="n"/>
      <c r="U361" s="40" t="n"/>
      <c r="V361" s="40" t="n"/>
      <c r="W361" s="40" t="n"/>
      <c r="X361" s="40" t="n"/>
      <c r="Y361" s="40" t="n"/>
      <c r="Z361" s="43" t="n"/>
      <c r="AA361" s="43">
        <f>IF($A361="","",IF(OR($B361="",$E361="",$K361="",$O361="",$S361=""),"⚠ بيانات ناقصة","مكتمل"))</f>
        <v/>
      </c>
      <c r="AB361" s="44">
        <f>IF(OR($A361="",$Q361=""),"",$Q361-TODAY())</f>
        <v/>
      </c>
      <c r="AC361" s="111">
        <f>IF(OR($A361="",$O361=""),"",IFERROR(YEARFRAC($O361,TODAY(),1),"")</f>
        <v/>
      </c>
    </row>
    <row r="362">
      <c r="A362" s="46" t="n"/>
      <c r="B362" s="47" t="n"/>
      <c r="C362" s="47" t="n"/>
      <c r="D362" s="112" t="n"/>
      <c r="E362" s="46" t="n"/>
      <c r="F362" s="47" t="n"/>
      <c r="G362" s="47" t="n"/>
      <c r="H362" s="47" t="n"/>
      <c r="I362" s="47" t="n"/>
      <c r="J362" s="47" t="n"/>
      <c r="K362" s="47" t="n"/>
      <c r="L362" s="47" t="n"/>
      <c r="M362" s="47" t="n"/>
      <c r="N362" s="47" t="n"/>
      <c r="O362" s="112" t="n"/>
      <c r="P362" s="112" t="n"/>
      <c r="Q362" s="112" t="n"/>
      <c r="R362" s="47" t="n"/>
      <c r="S362" s="49" t="n"/>
      <c r="T362" s="49" t="n"/>
      <c r="U362" s="47" t="n"/>
      <c r="V362" s="47" t="n"/>
      <c r="W362" s="47" t="n"/>
      <c r="X362" s="47" t="n"/>
      <c r="Y362" s="47" t="n"/>
      <c r="Z362" s="50" t="n"/>
      <c r="AA362" s="50">
        <f>IF($A362="","",IF(OR($B362="",$E362="",$K362="",$O362="",$S362=""),"⚠ بيانات ناقصة","مكتمل"))</f>
        <v/>
      </c>
      <c r="AB362" s="51">
        <f>IF(OR($A362="",$Q362=""),"",$Q362-TODAY())</f>
        <v/>
      </c>
      <c r="AC362" s="113">
        <f>IF(OR($A362="",$O362=""),"",IFERROR(YEARFRAC($O362,TODAY(),1),"")</f>
        <v/>
      </c>
    </row>
    <row r="363">
      <c r="A363" s="39" t="n"/>
      <c r="B363" s="40" t="n"/>
      <c r="C363" s="40" t="n"/>
      <c r="D363" s="110" t="n"/>
      <c r="E363" s="39" t="n"/>
      <c r="F363" s="40" t="n"/>
      <c r="G363" s="40" t="n"/>
      <c r="H363" s="40" t="n"/>
      <c r="I363" s="40" t="n"/>
      <c r="J363" s="40" t="n"/>
      <c r="K363" s="40" t="n"/>
      <c r="L363" s="40" t="n"/>
      <c r="M363" s="40" t="n"/>
      <c r="N363" s="40" t="n"/>
      <c r="O363" s="110" t="n"/>
      <c r="P363" s="110" t="n"/>
      <c r="Q363" s="110" t="n"/>
      <c r="R363" s="40" t="n"/>
      <c r="S363" s="42" t="n"/>
      <c r="T363" s="42" t="n"/>
      <c r="U363" s="40" t="n"/>
      <c r="V363" s="40" t="n"/>
      <c r="W363" s="40" t="n"/>
      <c r="X363" s="40" t="n"/>
      <c r="Y363" s="40" t="n"/>
      <c r="Z363" s="43" t="n"/>
      <c r="AA363" s="43">
        <f>IF($A363="","",IF(OR($B363="",$E363="",$K363="",$O363="",$S363=""),"⚠ بيانات ناقصة","مكتمل"))</f>
        <v/>
      </c>
      <c r="AB363" s="44">
        <f>IF(OR($A363="",$Q363=""),"",$Q363-TODAY())</f>
        <v/>
      </c>
      <c r="AC363" s="111">
        <f>IF(OR($A363="",$O363=""),"",IFERROR(YEARFRAC($O363,TODAY(),1),"")</f>
        <v/>
      </c>
    </row>
    <row r="364">
      <c r="A364" s="46" t="n"/>
      <c r="B364" s="47" t="n"/>
      <c r="C364" s="47" t="n"/>
      <c r="D364" s="112" t="n"/>
      <c r="E364" s="46" t="n"/>
      <c r="F364" s="47" t="n"/>
      <c r="G364" s="47" t="n"/>
      <c r="H364" s="47" t="n"/>
      <c r="I364" s="47" t="n"/>
      <c r="J364" s="47" t="n"/>
      <c r="K364" s="47" t="n"/>
      <c r="L364" s="47" t="n"/>
      <c r="M364" s="47" t="n"/>
      <c r="N364" s="47" t="n"/>
      <c r="O364" s="112" t="n"/>
      <c r="P364" s="112" t="n"/>
      <c r="Q364" s="112" t="n"/>
      <c r="R364" s="47" t="n"/>
      <c r="S364" s="49" t="n"/>
      <c r="T364" s="49" t="n"/>
      <c r="U364" s="47" t="n"/>
      <c r="V364" s="47" t="n"/>
      <c r="W364" s="47" t="n"/>
      <c r="X364" s="47" t="n"/>
      <c r="Y364" s="47" t="n"/>
      <c r="Z364" s="50" t="n"/>
      <c r="AA364" s="50">
        <f>IF($A364="","",IF(OR($B364="",$E364="",$K364="",$O364="",$S364=""),"⚠ بيانات ناقصة","مكتمل"))</f>
        <v/>
      </c>
      <c r="AB364" s="51">
        <f>IF(OR($A364="",$Q364=""),"",$Q364-TODAY())</f>
        <v/>
      </c>
      <c r="AC364" s="113">
        <f>IF(OR($A364="",$O364=""),"",IFERROR(YEARFRAC($O364,TODAY(),1),"")</f>
        <v/>
      </c>
    </row>
    <row r="365">
      <c r="A365" s="39" t="n"/>
      <c r="B365" s="40" t="n"/>
      <c r="C365" s="40" t="n"/>
      <c r="D365" s="110" t="n"/>
      <c r="E365" s="39" t="n"/>
      <c r="F365" s="40" t="n"/>
      <c r="G365" s="40" t="n"/>
      <c r="H365" s="40" t="n"/>
      <c r="I365" s="40" t="n"/>
      <c r="J365" s="40" t="n"/>
      <c r="K365" s="40" t="n"/>
      <c r="L365" s="40" t="n"/>
      <c r="M365" s="40" t="n"/>
      <c r="N365" s="40" t="n"/>
      <c r="O365" s="110" t="n"/>
      <c r="P365" s="110" t="n"/>
      <c r="Q365" s="110" t="n"/>
      <c r="R365" s="40" t="n"/>
      <c r="S365" s="42" t="n"/>
      <c r="T365" s="42" t="n"/>
      <c r="U365" s="40" t="n"/>
      <c r="V365" s="40" t="n"/>
      <c r="W365" s="40" t="n"/>
      <c r="X365" s="40" t="n"/>
      <c r="Y365" s="40" t="n"/>
      <c r="Z365" s="43" t="n"/>
      <c r="AA365" s="43">
        <f>IF($A365="","",IF(OR($B365="",$E365="",$K365="",$O365="",$S365=""),"⚠ بيانات ناقصة","مكتمل"))</f>
        <v/>
      </c>
      <c r="AB365" s="44">
        <f>IF(OR($A365="",$Q365=""),"",$Q365-TODAY())</f>
        <v/>
      </c>
      <c r="AC365" s="111">
        <f>IF(OR($A365="",$O365=""),"",IFERROR(YEARFRAC($O365,TODAY(),1),"")</f>
        <v/>
      </c>
    </row>
    <row r="366">
      <c r="A366" s="46" t="n"/>
      <c r="B366" s="47" t="n"/>
      <c r="C366" s="47" t="n"/>
      <c r="D366" s="112" t="n"/>
      <c r="E366" s="46" t="n"/>
      <c r="F366" s="47" t="n"/>
      <c r="G366" s="47" t="n"/>
      <c r="H366" s="47" t="n"/>
      <c r="I366" s="47" t="n"/>
      <c r="J366" s="47" t="n"/>
      <c r="K366" s="47" t="n"/>
      <c r="L366" s="47" t="n"/>
      <c r="M366" s="47" t="n"/>
      <c r="N366" s="47" t="n"/>
      <c r="O366" s="112" t="n"/>
      <c r="P366" s="112" t="n"/>
      <c r="Q366" s="112" t="n"/>
      <c r="R366" s="47" t="n"/>
      <c r="S366" s="49" t="n"/>
      <c r="T366" s="49" t="n"/>
      <c r="U366" s="47" t="n"/>
      <c r="V366" s="47" t="n"/>
      <c r="W366" s="47" t="n"/>
      <c r="X366" s="47" t="n"/>
      <c r="Y366" s="47" t="n"/>
      <c r="Z366" s="50" t="n"/>
      <c r="AA366" s="50">
        <f>IF($A366="","",IF(OR($B366="",$E366="",$K366="",$O366="",$S366=""),"⚠ بيانات ناقصة","مكتمل"))</f>
        <v/>
      </c>
      <c r="AB366" s="51">
        <f>IF(OR($A366="",$Q366=""),"",$Q366-TODAY())</f>
        <v/>
      </c>
      <c r="AC366" s="113">
        <f>IF(OR($A366="",$O366=""),"",IFERROR(YEARFRAC($O366,TODAY(),1),"")</f>
        <v/>
      </c>
    </row>
    <row r="367">
      <c r="A367" s="39" t="n"/>
      <c r="B367" s="40" t="n"/>
      <c r="C367" s="40" t="n"/>
      <c r="D367" s="110" t="n"/>
      <c r="E367" s="39" t="n"/>
      <c r="F367" s="40" t="n"/>
      <c r="G367" s="40" t="n"/>
      <c r="H367" s="40" t="n"/>
      <c r="I367" s="40" t="n"/>
      <c r="J367" s="40" t="n"/>
      <c r="K367" s="40" t="n"/>
      <c r="L367" s="40" t="n"/>
      <c r="M367" s="40" t="n"/>
      <c r="N367" s="40" t="n"/>
      <c r="O367" s="110" t="n"/>
      <c r="P367" s="110" t="n"/>
      <c r="Q367" s="110" t="n"/>
      <c r="R367" s="40" t="n"/>
      <c r="S367" s="42" t="n"/>
      <c r="T367" s="42" t="n"/>
      <c r="U367" s="40" t="n"/>
      <c r="V367" s="40" t="n"/>
      <c r="W367" s="40" t="n"/>
      <c r="X367" s="40" t="n"/>
      <c r="Y367" s="40" t="n"/>
      <c r="Z367" s="43" t="n"/>
      <c r="AA367" s="43">
        <f>IF($A367="","",IF(OR($B367="",$E367="",$K367="",$O367="",$S367=""),"⚠ بيانات ناقصة","مكتمل"))</f>
        <v/>
      </c>
      <c r="AB367" s="44">
        <f>IF(OR($A367="",$Q367=""),"",$Q367-TODAY())</f>
        <v/>
      </c>
      <c r="AC367" s="111">
        <f>IF(OR($A367="",$O367=""),"",IFERROR(YEARFRAC($O367,TODAY(),1),"")</f>
        <v/>
      </c>
    </row>
    <row r="368">
      <c r="A368" s="46" t="n"/>
      <c r="B368" s="47" t="n"/>
      <c r="C368" s="47" t="n"/>
      <c r="D368" s="112" t="n"/>
      <c r="E368" s="46" t="n"/>
      <c r="F368" s="47" t="n"/>
      <c r="G368" s="47" t="n"/>
      <c r="H368" s="47" t="n"/>
      <c r="I368" s="47" t="n"/>
      <c r="J368" s="47" t="n"/>
      <c r="K368" s="47" t="n"/>
      <c r="L368" s="47" t="n"/>
      <c r="M368" s="47" t="n"/>
      <c r="N368" s="47" t="n"/>
      <c r="O368" s="112" t="n"/>
      <c r="P368" s="112" t="n"/>
      <c r="Q368" s="112" t="n"/>
      <c r="R368" s="47" t="n"/>
      <c r="S368" s="49" t="n"/>
      <c r="T368" s="49" t="n"/>
      <c r="U368" s="47" t="n"/>
      <c r="V368" s="47" t="n"/>
      <c r="W368" s="47" t="n"/>
      <c r="X368" s="47" t="n"/>
      <c r="Y368" s="47" t="n"/>
      <c r="Z368" s="50" t="n"/>
      <c r="AA368" s="50">
        <f>IF($A368="","",IF(OR($B368="",$E368="",$K368="",$O368="",$S368=""),"⚠ بيانات ناقصة","مكتمل"))</f>
        <v/>
      </c>
      <c r="AB368" s="51">
        <f>IF(OR($A368="",$Q368=""),"",$Q368-TODAY())</f>
        <v/>
      </c>
      <c r="AC368" s="113">
        <f>IF(OR($A368="",$O368=""),"",IFERROR(YEARFRAC($O368,TODAY(),1),"")</f>
        <v/>
      </c>
    </row>
    <row r="369">
      <c r="A369" s="39" t="n"/>
      <c r="B369" s="40" t="n"/>
      <c r="C369" s="40" t="n"/>
      <c r="D369" s="110" t="n"/>
      <c r="E369" s="39" t="n"/>
      <c r="F369" s="40" t="n"/>
      <c r="G369" s="40" t="n"/>
      <c r="H369" s="40" t="n"/>
      <c r="I369" s="40" t="n"/>
      <c r="J369" s="40" t="n"/>
      <c r="K369" s="40" t="n"/>
      <c r="L369" s="40" t="n"/>
      <c r="M369" s="40" t="n"/>
      <c r="N369" s="40" t="n"/>
      <c r="O369" s="110" t="n"/>
      <c r="P369" s="110" t="n"/>
      <c r="Q369" s="110" t="n"/>
      <c r="R369" s="40" t="n"/>
      <c r="S369" s="42" t="n"/>
      <c r="T369" s="42" t="n"/>
      <c r="U369" s="40" t="n"/>
      <c r="V369" s="40" t="n"/>
      <c r="W369" s="40" t="n"/>
      <c r="X369" s="40" t="n"/>
      <c r="Y369" s="40" t="n"/>
      <c r="Z369" s="43" t="n"/>
      <c r="AA369" s="43">
        <f>IF($A369="","",IF(OR($B369="",$E369="",$K369="",$O369="",$S369=""),"⚠ بيانات ناقصة","مكتمل"))</f>
        <v/>
      </c>
      <c r="AB369" s="44">
        <f>IF(OR($A369="",$Q369=""),"",$Q369-TODAY())</f>
        <v/>
      </c>
      <c r="AC369" s="111">
        <f>IF(OR($A369="",$O369=""),"",IFERROR(YEARFRAC($O369,TODAY(),1),"")</f>
        <v/>
      </c>
    </row>
    <row r="370">
      <c r="A370" s="46" t="n"/>
      <c r="B370" s="47" t="n"/>
      <c r="C370" s="47" t="n"/>
      <c r="D370" s="112" t="n"/>
      <c r="E370" s="46" t="n"/>
      <c r="F370" s="47" t="n"/>
      <c r="G370" s="47" t="n"/>
      <c r="H370" s="47" t="n"/>
      <c r="I370" s="47" t="n"/>
      <c r="J370" s="47" t="n"/>
      <c r="K370" s="47" t="n"/>
      <c r="L370" s="47" t="n"/>
      <c r="M370" s="47" t="n"/>
      <c r="N370" s="47" t="n"/>
      <c r="O370" s="112" t="n"/>
      <c r="P370" s="112" t="n"/>
      <c r="Q370" s="112" t="n"/>
      <c r="R370" s="47" t="n"/>
      <c r="S370" s="49" t="n"/>
      <c r="T370" s="49" t="n"/>
      <c r="U370" s="47" t="n"/>
      <c r="V370" s="47" t="n"/>
      <c r="W370" s="47" t="n"/>
      <c r="X370" s="47" t="n"/>
      <c r="Y370" s="47" t="n"/>
      <c r="Z370" s="50" t="n"/>
      <c r="AA370" s="50">
        <f>IF($A370="","",IF(OR($B370="",$E370="",$K370="",$O370="",$S370=""),"⚠ بيانات ناقصة","مكتمل"))</f>
        <v/>
      </c>
      <c r="AB370" s="51">
        <f>IF(OR($A370="",$Q370=""),"",$Q370-TODAY())</f>
        <v/>
      </c>
      <c r="AC370" s="113">
        <f>IF(OR($A370="",$O370=""),"",IFERROR(YEARFRAC($O370,TODAY(),1),"")</f>
        <v/>
      </c>
    </row>
    <row r="371">
      <c r="A371" s="39" t="n"/>
      <c r="B371" s="40" t="n"/>
      <c r="C371" s="40" t="n"/>
      <c r="D371" s="110" t="n"/>
      <c r="E371" s="39" t="n"/>
      <c r="F371" s="40" t="n"/>
      <c r="G371" s="40" t="n"/>
      <c r="H371" s="40" t="n"/>
      <c r="I371" s="40" t="n"/>
      <c r="J371" s="40" t="n"/>
      <c r="K371" s="40" t="n"/>
      <c r="L371" s="40" t="n"/>
      <c r="M371" s="40" t="n"/>
      <c r="N371" s="40" t="n"/>
      <c r="O371" s="110" t="n"/>
      <c r="P371" s="110" t="n"/>
      <c r="Q371" s="110" t="n"/>
      <c r="R371" s="40" t="n"/>
      <c r="S371" s="42" t="n"/>
      <c r="T371" s="42" t="n"/>
      <c r="U371" s="40" t="n"/>
      <c r="V371" s="40" t="n"/>
      <c r="W371" s="40" t="n"/>
      <c r="X371" s="40" t="n"/>
      <c r="Y371" s="40" t="n"/>
      <c r="Z371" s="43" t="n"/>
      <c r="AA371" s="43">
        <f>IF($A371="","",IF(OR($B371="",$E371="",$K371="",$O371="",$S371=""),"⚠ بيانات ناقصة","مكتمل"))</f>
        <v/>
      </c>
      <c r="AB371" s="44">
        <f>IF(OR($A371="",$Q371=""),"",$Q371-TODAY())</f>
        <v/>
      </c>
      <c r="AC371" s="111">
        <f>IF(OR($A371="",$O371=""),"",IFERROR(YEARFRAC($O371,TODAY(),1),"")</f>
        <v/>
      </c>
    </row>
    <row r="372">
      <c r="A372" s="46" t="n"/>
      <c r="B372" s="47" t="n"/>
      <c r="C372" s="47" t="n"/>
      <c r="D372" s="112" t="n"/>
      <c r="E372" s="46" t="n"/>
      <c r="F372" s="47" t="n"/>
      <c r="G372" s="47" t="n"/>
      <c r="H372" s="47" t="n"/>
      <c r="I372" s="47" t="n"/>
      <c r="J372" s="47" t="n"/>
      <c r="K372" s="47" t="n"/>
      <c r="L372" s="47" t="n"/>
      <c r="M372" s="47" t="n"/>
      <c r="N372" s="47" t="n"/>
      <c r="O372" s="112" t="n"/>
      <c r="P372" s="112" t="n"/>
      <c r="Q372" s="112" t="n"/>
      <c r="R372" s="47" t="n"/>
      <c r="S372" s="49" t="n"/>
      <c r="T372" s="49" t="n"/>
      <c r="U372" s="47" t="n"/>
      <c r="V372" s="47" t="n"/>
      <c r="W372" s="47" t="n"/>
      <c r="X372" s="47" t="n"/>
      <c r="Y372" s="47" t="n"/>
      <c r="Z372" s="50" t="n"/>
      <c r="AA372" s="50">
        <f>IF($A372="","",IF(OR($B372="",$E372="",$K372="",$O372="",$S372=""),"⚠ بيانات ناقصة","مكتمل"))</f>
        <v/>
      </c>
      <c r="AB372" s="51">
        <f>IF(OR($A372="",$Q372=""),"",$Q372-TODAY())</f>
        <v/>
      </c>
      <c r="AC372" s="113">
        <f>IF(OR($A372="",$O372=""),"",IFERROR(YEARFRAC($O372,TODAY(),1),"")</f>
        <v/>
      </c>
    </row>
    <row r="373">
      <c r="A373" s="39" t="n"/>
      <c r="B373" s="40" t="n"/>
      <c r="C373" s="40" t="n"/>
      <c r="D373" s="110" t="n"/>
      <c r="E373" s="39" t="n"/>
      <c r="F373" s="40" t="n"/>
      <c r="G373" s="40" t="n"/>
      <c r="H373" s="40" t="n"/>
      <c r="I373" s="40" t="n"/>
      <c r="J373" s="40" t="n"/>
      <c r="K373" s="40" t="n"/>
      <c r="L373" s="40" t="n"/>
      <c r="M373" s="40" t="n"/>
      <c r="N373" s="40" t="n"/>
      <c r="O373" s="110" t="n"/>
      <c r="P373" s="110" t="n"/>
      <c r="Q373" s="110" t="n"/>
      <c r="R373" s="40" t="n"/>
      <c r="S373" s="42" t="n"/>
      <c r="T373" s="42" t="n"/>
      <c r="U373" s="40" t="n"/>
      <c r="V373" s="40" t="n"/>
      <c r="W373" s="40" t="n"/>
      <c r="X373" s="40" t="n"/>
      <c r="Y373" s="40" t="n"/>
      <c r="Z373" s="43" t="n"/>
      <c r="AA373" s="43">
        <f>IF($A373="","",IF(OR($B373="",$E373="",$K373="",$O373="",$S373=""),"⚠ بيانات ناقصة","مكتمل"))</f>
        <v/>
      </c>
      <c r="AB373" s="44">
        <f>IF(OR($A373="",$Q373=""),"",$Q373-TODAY())</f>
        <v/>
      </c>
      <c r="AC373" s="111">
        <f>IF(OR($A373="",$O373=""),"",IFERROR(YEARFRAC($O373,TODAY(),1),"")</f>
        <v/>
      </c>
    </row>
    <row r="374">
      <c r="A374" s="46" t="n"/>
      <c r="B374" s="47" t="n"/>
      <c r="C374" s="47" t="n"/>
      <c r="D374" s="112" t="n"/>
      <c r="E374" s="46" t="n"/>
      <c r="F374" s="47" t="n"/>
      <c r="G374" s="47" t="n"/>
      <c r="H374" s="47" t="n"/>
      <c r="I374" s="47" t="n"/>
      <c r="J374" s="47" t="n"/>
      <c r="K374" s="47" t="n"/>
      <c r="L374" s="47" t="n"/>
      <c r="M374" s="47" t="n"/>
      <c r="N374" s="47" t="n"/>
      <c r="O374" s="112" t="n"/>
      <c r="P374" s="112" t="n"/>
      <c r="Q374" s="112" t="n"/>
      <c r="R374" s="47" t="n"/>
      <c r="S374" s="49" t="n"/>
      <c r="T374" s="49" t="n"/>
      <c r="U374" s="47" t="n"/>
      <c r="V374" s="47" t="n"/>
      <c r="W374" s="47" t="n"/>
      <c r="X374" s="47" t="n"/>
      <c r="Y374" s="47" t="n"/>
      <c r="Z374" s="50" t="n"/>
      <c r="AA374" s="50">
        <f>IF($A374="","",IF(OR($B374="",$E374="",$K374="",$O374="",$S374=""),"⚠ بيانات ناقصة","مكتمل"))</f>
        <v/>
      </c>
      <c r="AB374" s="51">
        <f>IF(OR($A374="",$Q374=""),"",$Q374-TODAY())</f>
        <v/>
      </c>
      <c r="AC374" s="113">
        <f>IF(OR($A374="",$O374=""),"",IFERROR(YEARFRAC($O374,TODAY(),1),"")</f>
        <v/>
      </c>
    </row>
    <row r="375">
      <c r="A375" s="39" t="n"/>
      <c r="B375" s="40" t="n"/>
      <c r="C375" s="40" t="n"/>
      <c r="D375" s="110" t="n"/>
      <c r="E375" s="39" t="n"/>
      <c r="F375" s="40" t="n"/>
      <c r="G375" s="40" t="n"/>
      <c r="H375" s="40" t="n"/>
      <c r="I375" s="40" t="n"/>
      <c r="J375" s="40" t="n"/>
      <c r="K375" s="40" t="n"/>
      <c r="L375" s="40" t="n"/>
      <c r="M375" s="40" t="n"/>
      <c r="N375" s="40" t="n"/>
      <c r="O375" s="110" t="n"/>
      <c r="P375" s="110" t="n"/>
      <c r="Q375" s="110" t="n"/>
      <c r="R375" s="40" t="n"/>
      <c r="S375" s="42" t="n"/>
      <c r="T375" s="42" t="n"/>
      <c r="U375" s="40" t="n"/>
      <c r="V375" s="40" t="n"/>
      <c r="W375" s="40" t="n"/>
      <c r="X375" s="40" t="n"/>
      <c r="Y375" s="40" t="n"/>
      <c r="Z375" s="43" t="n"/>
      <c r="AA375" s="43">
        <f>IF($A375="","",IF(OR($B375="",$E375="",$K375="",$O375="",$S375=""),"⚠ بيانات ناقصة","مكتمل"))</f>
        <v/>
      </c>
      <c r="AB375" s="44">
        <f>IF(OR($A375="",$Q375=""),"",$Q375-TODAY())</f>
        <v/>
      </c>
      <c r="AC375" s="111">
        <f>IF(OR($A375="",$O375=""),"",IFERROR(YEARFRAC($O375,TODAY(),1),"")</f>
        <v/>
      </c>
    </row>
    <row r="376">
      <c r="A376" s="46" t="n"/>
      <c r="B376" s="47" t="n"/>
      <c r="C376" s="47" t="n"/>
      <c r="D376" s="112" t="n"/>
      <c r="E376" s="46" t="n"/>
      <c r="F376" s="47" t="n"/>
      <c r="G376" s="47" t="n"/>
      <c r="H376" s="47" t="n"/>
      <c r="I376" s="47" t="n"/>
      <c r="J376" s="47" t="n"/>
      <c r="K376" s="47" t="n"/>
      <c r="L376" s="47" t="n"/>
      <c r="M376" s="47" t="n"/>
      <c r="N376" s="47" t="n"/>
      <c r="O376" s="112" t="n"/>
      <c r="P376" s="112" t="n"/>
      <c r="Q376" s="112" t="n"/>
      <c r="R376" s="47" t="n"/>
      <c r="S376" s="49" t="n"/>
      <c r="T376" s="49" t="n"/>
      <c r="U376" s="47" t="n"/>
      <c r="V376" s="47" t="n"/>
      <c r="W376" s="47" t="n"/>
      <c r="X376" s="47" t="n"/>
      <c r="Y376" s="47" t="n"/>
      <c r="Z376" s="50" t="n"/>
      <c r="AA376" s="50">
        <f>IF($A376="","",IF(OR($B376="",$E376="",$K376="",$O376="",$S376=""),"⚠ بيانات ناقصة","مكتمل"))</f>
        <v/>
      </c>
      <c r="AB376" s="51">
        <f>IF(OR($A376="",$Q376=""),"",$Q376-TODAY())</f>
        <v/>
      </c>
      <c r="AC376" s="113">
        <f>IF(OR($A376="",$O376=""),"",IFERROR(YEARFRAC($O376,TODAY(),1),"")</f>
        <v/>
      </c>
    </row>
    <row r="377">
      <c r="A377" s="39" t="n"/>
      <c r="B377" s="40" t="n"/>
      <c r="C377" s="40" t="n"/>
      <c r="D377" s="110" t="n"/>
      <c r="E377" s="39" t="n"/>
      <c r="F377" s="40" t="n"/>
      <c r="G377" s="40" t="n"/>
      <c r="H377" s="40" t="n"/>
      <c r="I377" s="40" t="n"/>
      <c r="J377" s="40" t="n"/>
      <c r="K377" s="40" t="n"/>
      <c r="L377" s="40" t="n"/>
      <c r="M377" s="40" t="n"/>
      <c r="N377" s="40" t="n"/>
      <c r="O377" s="110" t="n"/>
      <c r="P377" s="110" t="n"/>
      <c r="Q377" s="110" t="n"/>
      <c r="R377" s="40" t="n"/>
      <c r="S377" s="42" t="n"/>
      <c r="T377" s="42" t="n"/>
      <c r="U377" s="40" t="n"/>
      <c r="V377" s="40" t="n"/>
      <c r="W377" s="40" t="n"/>
      <c r="X377" s="40" t="n"/>
      <c r="Y377" s="40" t="n"/>
      <c r="Z377" s="43" t="n"/>
      <c r="AA377" s="43">
        <f>IF($A377="","",IF(OR($B377="",$E377="",$K377="",$O377="",$S377=""),"⚠ بيانات ناقصة","مكتمل"))</f>
        <v/>
      </c>
      <c r="AB377" s="44">
        <f>IF(OR($A377="",$Q377=""),"",$Q377-TODAY())</f>
        <v/>
      </c>
      <c r="AC377" s="111">
        <f>IF(OR($A377="",$O377=""),"",IFERROR(YEARFRAC($O377,TODAY(),1),"")</f>
        <v/>
      </c>
    </row>
    <row r="378">
      <c r="A378" s="46" t="n"/>
      <c r="B378" s="47" t="n"/>
      <c r="C378" s="47" t="n"/>
      <c r="D378" s="112" t="n"/>
      <c r="E378" s="46" t="n"/>
      <c r="F378" s="47" t="n"/>
      <c r="G378" s="47" t="n"/>
      <c r="H378" s="47" t="n"/>
      <c r="I378" s="47" t="n"/>
      <c r="J378" s="47" t="n"/>
      <c r="K378" s="47" t="n"/>
      <c r="L378" s="47" t="n"/>
      <c r="M378" s="47" t="n"/>
      <c r="N378" s="47" t="n"/>
      <c r="O378" s="112" t="n"/>
      <c r="P378" s="112" t="n"/>
      <c r="Q378" s="112" t="n"/>
      <c r="R378" s="47" t="n"/>
      <c r="S378" s="49" t="n"/>
      <c r="T378" s="49" t="n"/>
      <c r="U378" s="47" t="n"/>
      <c r="V378" s="47" t="n"/>
      <c r="W378" s="47" t="n"/>
      <c r="X378" s="47" t="n"/>
      <c r="Y378" s="47" t="n"/>
      <c r="Z378" s="50" t="n"/>
      <c r="AA378" s="50">
        <f>IF($A378="","",IF(OR($B378="",$E378="",$K378="",$O378="",$S378=""),"⚠ بيانات ناقصة","مكتمل"))</f>
        <v/>
      </c>
      <c r="AB378" s="51">
        <f>IF(OR($A378="",$Q378=""),"",$Q378-TODAY())</f>
        <v/>
      </c>
      <c r="AC378" s="113">
        <f>IF(OR($A378="",$O378=""),"",IFERROR(YEARFRAC($O378,TODAY(),1),"")</f>
        <v/>
      </c>
    </row>
    <row r="379">
      <c r="A379" s="39" t="n"/>
      <c r="B379" s="40" t="n"/>
      <c r="C379" s="40" t="n"/>
      <c r="D379" s="110" t="n"/>
      <c r="E379" s="39" t="n"/>
      <c r="F379" s="40" t="n"/>
      <c r="G379" s="40" t="n"/>
      <c r="H379" s="40" t="n"/>
      <c r="I379" s="40" t="n"/>
      <c r="J379" s="40" t="n"/>
      <c r="K379" s="40" t="n"/>
      <c r="L379" s="40" t="n"/>
      <c r="M379" s="40" t="n"/>
      <c r="N379" s="40" t="n"/>
      <c r="O379" s="110" t="n"/>
      <c r="P379" s="110" t="n"/>
      <c r="Q379" s="110" t="n"/>
      <c r="R379" s="40" t="n"/>
      <c r="S379" s="42" t="n"/>
      <c r="T379" s="42" t="n"/>
      <c r="U379" s="40" t="n"/>
      <c r="V379" s="40" t="n"/>
      <c r="W379" s="40" t="n"/>
      <c r="X379" s="40" t="n"/>
      <c r="Y379" s="40" t="n"/>
      <c r="Z379" s="43" t="n"/>
      <c r="AA379" s="43">
        <f>IF($A379="","",IF(OR($B379="",$E379="",$K379="",$O379="",$S379=""),"⚠ بيانات ناقصة","مكتمل"))</f>
        <v/>
      </c>
      <c r="AB379" s="44">
        <f>IF(OR($A379="",$Q379=""),"",$Q379-TODAY())</f>
        <v/>
      </c>
      <c r="AC379" s="111">
        <f>IF(OR($A379="",$O379=""),"",IFERROR(YEARFRAC($O379,TODAY(),1),"")</f>
        <v/>
      </c>
    </row>
    <row r="380">
      <c r="A380" s="46" t="n"/>
      <c r="B380" s="47" t="n"/>
      <c r="C380" s="47" t="n"/>
      <c r="D380" s="112" t="n"/>
      <c r="E380" s="46" t="n"/>
      <c r="F380" s="47" t="n"/>
      <c r="G380" s="47" t="n"/>
      <c r="H380" s="47" t="n"/>
      <c r="I380" s="47" t="n"/>
      <c r="J380" s="47" t="n"/>
      <c r="K380" s="47" t="n"/>
      <c r="L380" s="47" t="n"/>
      <c r="M380" s="47" t="n"/>
      <c r="N380" s="47" t="n"/>
      <c r="O380" s="112" t="n"/>
      <c r="P380" s="112" t="n"/>
      <c r="Q380" s="112" t="n"/>
      <c r="R380" s="47" t="n"/>
      <c r="S380" s="49" t="n"/>
      <c r="T380" s="49" t="n"/>
      <c r="U380" s="47" t="n"/>
      <c r="V380" s="47" t="n"/>
      <c r="W380" s="47" t="n"/>
      <c r="X380" s="47" t="n"/>
      <c r="Y380" s="47" t="n"/>
      <c r="Z380" s="50" t="n"/>
      <c r="AA380" s="50">
        <f>IF($A380="","",IF(OR($B380="",$E380="",$K380="",$O380="",$S380=""),"⚠ بيانات ناقصة","مكتمل"))</f>
        <v/>
      </c>
      <c r="AB380" s="51">
        <f>IF(OR($A380="",$Q380=""),"",$Q380-TODAY())</f>
        <v/>
      </c>
      <c r="AC380" s="113">
        <f>IF(OR($A380="",$O380=""),"",IFERROR(YEARFRAC($O380,TODAY(),1),"")</f>
        <v/>
      </c>
    </row>
    <row r="381">
      <c r="A381" s="39" t="n"/>
      <c r="B381" s="40" t="n"/>
      <c r="C381" s="40" t="n"/>
      <c r="D381" s="110" t="n"/>
      <c r="E381" s="39" t="n"/>
      <c r="F381" s="40" t="n"/>
      <c r="G381" s="40" t="n"/>
      <c r="H381" s="40" t="n"/>
      <c r="I381" s="40" t="n"/>
      <c r="J381" s="40" t="n"/>
      <c r="K381" s="40" t="n"/>
      <c r="L381" s="40" t="n"/>
      <c r="M381" s="40" t="n"/>
      <c r="N381" s="40" t="n"/>
      <c r="O381" s="110" t="n"/>
      <c r="P381" s="110" t="n"/>
      <c r="Q381" s="110" t="n"/>
      <c r="R381" s="40" t="n"/>
      <c r="S381" s="42" t="n"/>
      <c r="T381" s="42" t="n"/>
      <c r="U381" s="40" t="n"/>
      <c r="V381" s="40" t="n"/>
      <c r="W381" s="40" t="n"/>
      <c r="X381" s="40" t="n"/>
      <c r="Y381" s="40" t="n"/>
      <c r="Z381" s="43" t="n"/>
      <c r="AA381" s="43">
        <f>IF($A381="","",IF(OR($B381="",$E381="",$K381="",$O381="",$S381=""),"⚠ بيانات ناقصة","مكتمل"))</f>
        <v/>
      </c>
      <c r="AB381" s="44">
        <f>IF(OR($A381="",$Q381=""),"",$Q381-TODAY())</f>
        <v/>
      </c>
      <c r="AC381" s="111">
        <f>IF(OR($A381="",$O381=""),"",IFERROR(YEARFRAC($O381,TODAY(),1),"")</f>
        <v/>
      </c>
    </row>
    <row r="382">
      <c r="A382" s="46" t="n"/>
      <c r="B382" s="47" t="n"/>
      <c r="C382" s="47" t="n"/>
      <c r="D382" s="112" t="n"/>
      <c r="E382" s="46" t="n"/>
      <c r="F382" s="47" t="n"/>
      <c r="G382" s="47" t="n"/>
      <c r="H382" s="47" t="n"/>
      <c r="I382" s="47" t="n"/>
      <c r="J382" s="47" t="n"/>
      <c r="K382" s="47" t="n"/>
      <c r="L382" s="47" t="n"/>
      <c r="M382" s="47" t="n"/>
      <c r="N382" s="47" t="n"/>
      <c r="O382" s="112" t="n"/>
      <c r="P382" s="112" t="n"/>
      <c r="Q382" s="112" t="n"/>
      <c r="R382" s="47" t="n"/>
      <c r="S382" s="49" t="n"/>
      <c r="T382" s="49" t="n"/>
      <c r="U382" s="47" t="n"/>
      <c r="V382" s="47" t="n"/>
      <c r="W382" s="47" t="n"/>
      <c r="X382" s="47" t="n"/>
      <c r="Y382" s="47" t="n"/>
      <c r="Z382" s="50" t="n"/>
      <c r="AA382" s="50">
        <f>IF($A382="","",IF(OR($B382="",$E382="",$K382="",$O382="",$S382=""),"⚠ بيانات ناقصة","مكتمل"))</f>
        <v/>
      </c>
      <c r="AB382" s="51">
        <f>IF(OR($A382="",$Q382=""),"",$Q382-TODAY())</f>
        <v/>
      </c>
      <c r="AC382" s="113">
        <f>IF(OR($A382="",$O382=""),"",IFERROR(YEARFRAC($O382,TODAY(),1),"")</f>
        <v/>
      </c>
    </row>
    <row r="383">
      <c r="A383" s="39" t="n"/>
      <c r="B383" s="40" t="n"/>
      <c r="C383" s="40" t="n"/>
      <c r="D383" s="110" t="n"/>
      <c r="E383" s="39" t="n"/>
      <c r="F383" s="40" t="n"/>
      <c r="G383" s="40" t="n"/>
      <c r="H383" s="40" t="n"/>
      <c r="I383" s="40" t="n"/>
      <c r="J383" s="40" t="n"/>
      <c r="K383" s="40" t="n"/>
      <c r="L383" s="40" t="n"/>
      <c r="M383" s="40" t="n"/>
      <c r="N383" s="40" t="n"/>
      <c r="O383" s="110" t="n"/>
      <c r="P383" s="110" t="n"/>
      <c r="Q383" s="110" t="n"/>
      <c r="R383" s="40" t="n"/>
      <c r="S383" s="42" t="n"/>
      <c r="T383" s="42" t="n"/>
      <c r="U383" s="40" t="n"/>
      <c r="V383" s="40" t="n"/>
      <c r="W383" s="40" t="n"/>
      <c r="X383" s="40" t="n"/>
      <c r="Y383" s="40" t="n"/>
      <c r="Z383" s="43" t="n"/>
      <c r="AA383" s="43">
        <f>IF($A383="","",IF(OR($B383="",$E383="",$K383="",$O383="",$S383=""),"⚠ بيانات ناقصة","مكتمل"))</f>
        <v/>
      </c>
      <c r="AB383" s="44">
        <f>IF(OR($A383="",$Q383=""),"",$Q383-TODAY())</f>
        <v/>
      </c>
      <c r="AC383" s="111">
        <f>IF(OR($A383="",$O383=""),"",IFERROR(YEARFRAC($O383,TODAY(),1),"")</f>
        <v/>
      </c>
    </row>
    <row r="384">
      <c r="A384" s="46" t="n"/>
      <c r="B384" s="47" t="n"/>
      <c r="C384" s="47" t="n"/>
      <c r="D384" s="112" t="n"/>
      <c r="E384" s="46" t="n"/>
      <c r="F384" s="47" t="n"/>
      <c r="G384" s="47" t="n"/>
      <c r="H384" s="47" t="n"/>
      <c r="I384" s="47" t="n"/>
      <c r="J384" s="47" t="n"/>
      <c r="K384" s="47" t="n"/>
      <c r="L384" s="47" t="n"/>
      <c r="M384" s="47" t="n"/>
      <c r="N384" s="47" t="n"/>
      <c r="O384" s="112" t="n"/>
      <c r="P384" s="112" t="n"/>
      <c r="Q384" s="112" t="n"/>
      <c r="R384" s="47" t="n"/>
      <c r="S384" s="49" t="n"/>
      <c r="T384" s="49" t="n"/>
      <c r="U384" s="47" t="n"/>
      <c r="V384" s="47" t="n"/>
      <c r="W384" s="47" t="n"/>
      <c r="X384" s="47" t="n"/>
      <c r="Y384" s="47" t="n"/>
      <c r="Z384" s="50" t="n"/>
      <c r="AA384" s="50">
        <f>IF($A384="","",IF(OR($B384="",$E384="",$K384="",$O384="",$S384=""),"⚠ بيانات ناقصة","مكتمل"))</f>
        <v/>
      </c>
      <c r="AB384" s="51">
        <f>IF(OR($A384="",$Q384=""),"",$Q384-TODAY())</f>
        <v/>
      </c>
      <c r="AC384" s="113">
        <f>IF(OR($A384="",$O384=""),"",IFERROR(YEARFRAC($O384,TODAY(),1),"")</f>
        <v/>
      </c>
    </row>
    <row r="385">
      <c r="A385" s="39" t="n"/>
      <c r="B385" s="40" t="n"/>
      <c r="C385" s="40" t="n"/>
      <c r="D385" s="110" t="n"/>
      <c r="E385" s="39" t="n"/>
      <c r="F385" s="40" t="n"/>
      <c r="G385" s="40" t="n"/>
      <c r="H385" s="40" t="n"/>
      <c r="I385" s="40" t="n"/>
      <c r="J385" s="40" t="n"/>
      <c r="K385" s="40" t="n"/>
      <c r="L385" s="40" t="n"/>
      <c r="M385" s="40" t="n"/>
      <c r="N385" s="40" t="n"/>
      <c r="O385" s="110" t="n"/>
      <c r="P385" s="110" t="n"/>
      <c r="Q385" s="110" t="n"/>
      <c r="R385" s="40" t="n"/>
      <c r="S385" s="42" t="n"/>
      <c r="T385" s="42" t="n"/>
      <c r="U385" s="40" t="n"/>
      <c r="V385" s="40" t="n"/>
      <c r="W385" s="40" t="n"/>
      <c r="X385" s="40" t="n"/>
      <c r="Y385" s="40" t="n"/>
      <c r="Z385" s="43" t="n"/>
      <c r="AA385" s="43">
        <f>IF($A385="","",IF(OR($B385="",$E385="",$K385="",$O385="",$S385=""),"⚠ بيانات ناقصة","مكتمل"))</f>
        <v/>
      </c>
      <c r="AB385" s="44">
        <f>IF(OR($A385="",$Q385=""),"",$Q385-TODAY())</f>
        <v/>
      </c>
      <c r="AC385" s="111">
        <f>IF(OR($A385="",$O385=""),"",IFERROR(YEARFRAC($O385,TODAY(),1),"")</f>
        <v/>
      </c>
    </row>
    <row r="386">
      <c r="A386" s="46" t="n"/>
      <c r="B386" s="47" t="n"/>
      <c r="C386" s="47" t="n"/>
      <c r="D386" s="112" t="n"/>
      <c r="E386" s="46" t="n"/>
      <c r="F386" s="47" t="n"/>
      <c r="G386" s="47" t="n"/>
      <c r="H386" s="47" t="n"/>
      <c r="I386" s="47" t="n"/>
      <c r="J386" s="47" t="n"/>
      <c r="K386" s="47" t="n"/>
      <c r="L386" s="47" t="n"/>
      <c r="M386" s="47" t="n"/>
      <c r="N386" s="47" t="n"/>
      <c r="O386" s="112" t="n"/>
      <c r="P386" s="112" t="n"/>
      <c r="Q386" s="112" t="n"/>
      <c r="R386" s="47" t="n"/>
      <c r="S386" s="49" t="n"/>
      <c r="T386" s="49" t="n"/>
      <c r="U386" s="47" t="n"/>
      <c r="V386" s="47" t="n"/>
      <c r="W386" s="47" t="n"/>
      <c r="X386" s="47" t="n"/>
      <c r="Y386" s="47" t="n"/>
      <c r="Z386" s="50" t="n"/>
      <c r="AA386" s="50">
        <f>IF($A386="","",IF(OR($B386="",$E386="",$K386="",$O386="",$S386=""),"⚠ بيانات ناقصة","مكتمل"))</f>
        <v/>
      </c>
      <c r="AB386" s="51">
        <f>IF(OR($A386="",$Q386=""),"",$Q386-TODAY())</f>
        <v/>
      </c>
      <c r="AC386" s="113">
        <f>IF(OR($A386="",$O386=""),"",IFERROR(YEARFRAC($O386,TODAY(),1),"")</f>
        <v/>
      </c>
    </row>
    <row r="387">
      <c r="A387" s="39" t="n"/>
      <c r="B387" s="40" t="n"/>
      <c r="C387" s="40" t="n"/>
      <c r="D387" s="110" t="n"/>
      <c r="E387" s="39" t="n"/>
      <c r="F387" s="40" t="n"/>
      <c r="G387" s="40" t="n"/>
      <c r="H387" s="40" t="n"/>
      <c r="I387" s="40" t="n"/>
      <c r="J387" s="40" t="n"/>
      <c r="K387" s="40" t="n"/>
      <c r="L387" s="40" t="n"/>
      <c r="M387" s="40" t="n"/>
      <c r="N387" s="40" t="n"/>
      <c r="O387" s="110" t="n"/>
      <c r="P387" s="110" t="n"/>
      <c r="Q387" s="110" t="n"/>
      <c r="R387" s="40" t="n"/>
      <c r="S387" s="42" t="n"/>
      <c r="T387" s="42" t="n"/>
      <c r="U387" s="40" t="n"/>
      <c r="V387" s="40" t="n"/>
      <c r="W387" s="40" t="n"/>
      <c r="X387" s="40" t="n"/>
      <c r="Y387" s="40" t="n"/>
      <c r="Z387" s="43" t="n"/>
      <c r="AA387" s="43">
        <f>IF($A387="","",IF(OR($B387="",$E387="",$K387="",$O387="",$S387=""),"⚠ بيانات ناقصة","مكتمل"))</f>
        <v/>
      </c>
      <c r="AB387" s="44">
        <f>IF(OR($A387="",$Q387=""),"",$Q387-TODAY())</f>
        <v/>
      </c>
      <c r="AC387" s="111">
        <f>IF(OR($A387="",$O387=""),"",IFERROR(YEARFRAC($O387,TODAY(),1),"")</f>
        <v/>
      </c>
    </row>
    <row r="388">
      <c r="A388" s="46" t="n"/>
      <c r="B388" s="47" t="n"/>
      <c r="C388" s="47" t="n"/>
      <c r="D388" s="112" t="n"/>
      <c r="E388" s="46" t="n"/>
      <c r="F388" s="47" t="n"/>
      <c r="G388" s="47" t="n"/>
      <c r="H388" s="47" t="n"/>
      <c r="I388" s="47" t="n"/>
      <c r="J388" s="47" t="n"/>
      <c r="K388" s="47" t="n"/>
      <c r="L388" s="47" t="n"/>
      <c r="M388" s="47" t="n"/>
      <c r="N388" s="47" t="n"/>
      <c r="O388" s="112" t="n"/>
      <c r="P388" s="112" t="n"/>
      <c r="Q388" s="112" t="n"/>
      <c r="R388" s="47" t="n"/>
      <c r="S388" s="49" t="n"/>
      <c r="T388" s="49" t="n"/>
      <c r="U388" s="47" t="n"/>
      <c r="V388" s="47" t="n"/>
      <c r="W388" s="47" t="n"/>
      <c r="X388" s="47" t="n"/>
      <c r="Y388" s="47" t="n"/>
      <c r="Z388" s="50" t="n"/>
      <c r="AA388" s="50">
        <f>IF($A388="","",IF(OR($B388="",$E388="",$K388="",$O388="",$S388=""),"⚠ بيانات ناقصة","مكتمل"))</f>
        <v/>
      </c>
      <c r="AB388" s="51">
        <f>IF(OR($A388="",$Q388=""),"",$Q388-TODAY())</f>
        <v/>
      </c>
      <c r="AC388" s="113">
        <f>IF(OR($A388="",$O388=""),"",IFERROR(YEARFRAC($O388,TODAY(),1),"")</f>
        <v/>
      </c>
    </row>
    <row r="389">
      <c r="A389" s="39" t="n"/>
      <c r="B389" s="40" t="n"/>
      <c r="C389" s="40" t="n"/>
      <c r="D389" s="110" t="n"/>
      <c r="E389" s="39" t="n"/>
      <c r="F389" s="40" t="n"/>
      <c r="G389" s="40" t="n"/>
      <c r="H389" s="40" t="n"/>
      <c r="I389" s="40" t="n"/>
      <c r="J389" s="40" t="n"/>
      <c r="K389" s="40" t="n"/>
      <c r="L389" s="40" t="n"/>
      <c r="M389" s="40" t="n"/>
      <c r="N389" s="40" t="n"/>
      <c r="O389" s="110" t="n"/>
      <c r="P389" s="110" t="n"/>
      <c r="Q389" s="110" t="n"/>
      <c r="R389" s="40" t="n"/>
      <c r="S389" s="42" t="n"/>
      <c r="T389" s="42" t="n"/>
      <c r="U389" s="40" t="n"/>
      <c r="V389" s="40" t="n"/>
      <c r="W389" s="40" t="n"/>
      <c r="X389" s="40" t="n"/>
      <c r="Y389" s="40" t="n"/>
      <c r="Z389" s="43" t="n"/>
      <c r="AA389" s="43">
        <f>IF($A389="","",IF(OR($B389="",$E389="",$K389="",$O389="",$S389=""),"⚠ بيانات ناقصة","مكتمل"))</f>
        <v/>
      </c>
      <c r="AB389" s="44">
        <f>IF(OR($A389="",$Q389=""),"",$Q389-TODAY())</f>
        <v/>
      </c>
      <c r="AC389" s="111">
        <f>IF(OR($A389="",$O389=""),"",IFERROR(YEARFRAC($O389,TODAY(),1),"")</f>
        <v/>
      </c>
    </row>
    <row r="390">
      <c r="A390" s="46" t="n"/>
      <c r="B390" s="47" t="n"/>
      <c r="C390" s="47" t="n"/>
      <c r="D390" s="112" t="n"/>
      <c r="E390" s="46" t="n"/>
      <c r="F390" s="47" t="n"/>
      <c r="G390" s="47" t="n"/>
      <c r="H390" s="47" t="n"/>
      <c r="I390" s="47" t="n"/>
      <c r="J390" s="47" t="n"/>
      <c r="K390" s="47" t="n"/>
      <c r="L390" s="47" t="n"/>
      <c r="M390" s="47" t="n"/>
      <c r="N390" s="47" t="n"/>
      <c r="O390" s="112" t="n"/>
      <c r="P390" s="112" t="n"/>
      <c r="Q390" s="112" t="n"/>
      <c r="R390" s="47" t="n"/>
      <c r="S390" s="49" t="n"/>
      <c r="T390" s="49" t="n"/>
      <c r="U390" s="47" t="n"/>
      <c r="V390" s="47" t="n"/>
      <c r="W390" s="47" t="n"/>
      <c r="X390" s="47" t="n"/>
      <c r="Y390" s="47" t="n"/>
      <c r="Z390" s="50" t="n"/>
      <c r="AA390" s="50">
        <f>IF($A390="","",IF(OR($B390="",$E390="",$K390="",$O390="",$S390=""),"⚠ بيانات ناقصة","مكتمل"))</f>
        <v/>
      </c>
      <c r="AB390" s="51">
        <f>IF(OR($A390="",$Q390=""),"",$Q390-TODAY())</f>
        <v/>
      </c>
      <c r="AC390" s="113">
        <f>IF(OR($A390="",$O390=""),"",IFERROR(YEARFRAC($O390,TODAY(),1),"")</f>
        <v/>
      </c>
    </row>
    <row r="391">
      <c r="A391" s="39" t="n"/>
      <c r="B391" s="40" t="n"/>
      <c r="C391" s="40" t="n"/>
      <c r="D391" s="110" t="n"/>
      <c r="E391" s="39" t="n"/>
      <c r="F391" s="40" t="n"/>
      <c r="G391" s="40" t="n"/>
      <c r="H391" s="40" t="n"/>
      <c r="I391" s="40" t="n"/>
      <c r="J391" s="40" t="n"/>
      <c r="K391" s="40" t="n"/>
      <c r="L391" s="40" t="n"/>
      <c r="M391" s="40" t="n"/>
      <c r="N391" s="40" t="n"/>
      <c r="O391" s="110" t="n"/>
      <c r="P391" s="110" t="n"/>
      <c r="Q391" s="110" t="n"/>
      <c r="R391" s="40" t="n"/>
      <c r="S391" s="42" t="n"/>
      <c r="T391" s="42" t="n"/>
      <c r="U391" s="40" t="n"/>
      <c r="V391" s="40" t="n"/>
      <c r="W391" s="40" t="n"/>
      <c r="X391" s="40" t="n"/>
      <c r="Y391" s="40" t="n"/>
      <c r="Z391" s="43" t="n"/>
      <c r="AA391" s="43">
        <f>IF($A391="","",IF(OR($B391="",$E391="",$K391="",$O391="",$S391=""),"⚠ بيانات ناقصة","مكتمل"))</f>
        <v/>
      </c>
      <c r="AB391" s="44">
        <f>IF(OR($A391="",$Q391=""),"",$Q391-TODAY())</f>
        <v/>
      </c>
      <c r="AC391" s="111">
        <f>IF(OR($A391="",$O391=""),"",IFERROR(YEARFRAC($O391,TODAY(),1),"")</f>
        <v/>
      </c>
    </row>
    <row r="392">
      <c r="A392" s="46" t="n"/>
      <c r="B392" s="47" t="n"/>
      <c r="C392" s="47" t="n"/>
      <c r="D392" s="112" t="n"/>
      <c r="E392" s="46" t="n"/>
      <c r="F392" s="47" t="n"/>
      <c r="G392" s="47" t="n"/>
      <c r="H392" s="47" t="n"/>
      <c r="I392" s="47" t="n"/>
      <c r="J392" s="47" t="n"/>
      <c r="K392" s="47" t="n"/>
      <c r="L392" s="47" t="n"/>
      <c r="M392" s="47" t="n"/>
      <c r="N392" s="47" t="n"/>
      <c r="O392" s="112" t="n"/>
      <c r="P392" s="112" t="n"/>
      <c r="Q392" s="112" t="n"/>
      <c r="R392" s="47" t="n"/>
      <c r="S392" s="49" t="n"/>
      <c r="T392" s="49" t="n"/>
      <c r="U392" s="47" t="n"/>
      <c r="V392" s="47" t="n"/>
      <c r="W392" s="47" t="n"/>
      <c r="X392" s="47" t="n"/>
      <c r="Y392" s="47" t="n"/>
      <c r="Z392" s="50" t="n"/>
      <c r="AA392" s="50">
        <f>IF($A392="","",IF(OR($B392="",$E392="",$K392="",$O392="",$S392=""),"⚠ بيانات ناقصة","مكتمل"))</f>
        <v/>
      </c>
      <c r="AB392" s="51">
        <f>IF(OR($A392="",$Q392=""),"",$Q392-TODAY())</f>
        <v/>
      </c>
      <c r="AC392" s="113">
        <f>IF(OR($A392="",$O392=""),"",IFERROR(YEARFRAC($O392,TODAY(),1),"")</f>
        <v/>
      </c>
    </row>
    <row r="393">
      <c r="A393" s="39" t="n"/>
      <c r="B393" s="40" t="n"/>
      <c r="C393" s="40" t="n"/>
      <c r="D393" s="110" t="n"/>
      <c r="E393" s="39" t="n"/>
      <c r="F393" s="40" t="n"/>
      <c r="G393" s="40" t="n"/>
      <c r="H393" s="40" t="n"/>
      <c r="I393" s="40" t="n"/>
      <c r="J393" s="40" t="n"/>
      <c r="K393" s="40" t="n"/>
      <c r="L393" s="40" t="n"/>
      <c r="M393" s="40" t="n"/>
      <c r="N393" s="40" t="n"/>
      <c r="O393" s="110" t="n"/>
      <c r="P393" s="110" t="n"/>
      <c r="Q393" s="110" t="n"/>
      <c r="R393" s="40" t="n"/>
      <c r="S393" s="42" t="n"/>
      <c r="T393" s="42" t="n"/>
      <c r="U393" s="40" t="n"/>
      <c r="V393" s="40" t="n"/>
      <c r="W393" s="40" t="n"/>
      <c r="X393" s="40" t="n"/>
      <c r="Y393" s="40" t="n"/>
      <c r="Z393" s="43" t="n"/>
      <c r="AA393" s="43">
        <f>IF($A393="","",IF(OR($B393="",$E393="",$K393="",$O393="",$S393=""),"⚠ بيانات ناقصة","مكتمل"))</f>
        <v/>
      </c>
      <c r="AB393" s="44">
        <f>IF(OR($A393="",$Q393=""),"",$Q393-TODAY())</f>
        <v/>
      </c>
      <c r="AC393" s="111">
        <f>IF(OR($A393="",$O393=""),"",IFERROR(YEARFRAC($O393,TODAY(),1),"")</f>
        <v/>
      </c>
    </row>
    <row r="394">
      <c r="A394" s="46" t="n"/>
      <c r="B394" s="47" t="n"/>
      <c r="C394" s="47" t="n"/>
      <c r="D394" s="112" t="n"/>
      <c r="E394" s="46" t="n"/>
      <c r="F394" s="47" t="n"/>
      <c r="G394" s="47" t="n"/>
      <c r="H394" s="47" t="n"/>
      <c r="I394" s="47" t="n"/>
      <c r="J394" s="47" t="n"/>
      <c r="K394" s="47" t="n"/>
      <c r="L394" s="47" t="n"/>
      <c r="M394" s="47" t="n"/>
      <c r="N394" s="47" t="n"/>
      <c r="O394" s="112" t="n"/>
      <c r="P394" s="112" t="n"/>
      <c r="Q394" s="112" t="n"/>
      <c r="R394" s="47" t="n"/>
      <c r="S394" s="49" t="n"/>
      <c r="T394" s="49" t="n"/>
      <c r="U394" s="47" t="n"/>
      <c r="V394" s="47" t="n"/>
      <c r="W394" s="47" t="n"/>
      <c r="X394" s="47" t="n"/>
      <c r="Y394" s="47" t="n"/>
      <c r="Z394" s="50" t="n"/>
      <c r="AA394" s="50">
        <f>IF($A394="","",IF(OR($B394="",$E394="",$K394="",$O394="",$S394=""),"⚠ بيانات ناقصة","مكتمل"))</f>
        <v/>
      </c>
      <c r="AB394" s="51">
        <f>IF(OR($A394="",$Q394=""),"",$Q394-TODAY())</f>
        <v/>
      </c>
      <c r="AC394" s="113">
        <f>IF(OR($A394="",$O394=""),"",IFERROR(YEARFRAC($O394,TODAY(),1),"")</f>
        <v/>
      </c>
    </row>
    <row r="395">
      <c r="A395" s="39" t="n"/>
      <c r="B395" s="40" t="n"/>
      <c r="C395" s="40" t="n"/>
      <c r="D395" s="110" t="n"/>
      <c r="E395" s="39" t="n"/>
      <c r="F395" s="40" t="n"/>
      <c r="G395" s="40" t="n"/>
      <c r="H395" s="40" t="n"/>
      <c r="I395" s="40" t="n"/>
      <c r="J395" s="40" t="n"/>
      <c r="K395" s="40" t="n"/>
      <c r="L395" s="40" t="n"/>
      <c r="M395" s="40" t="n"/>
      <c r="N395" s="40" t="n"/>
      <c r="O395" s="110" t="n"/>
      <c r="P395" s="110" t="n"/>
      <c r="Q395" s="110" t="n"/>
      <c r="R395" s="40" t="n"/>
      <c r="S395" s="42" t="n"/>
      <c r="T395" s="42" t="n"/>
      <c r="U395" s="40" t="n"/>
      <c r="V395" s="40" t="n"/>
      <c r="W395" s="40" t="n"/>
      <c r="X395" s="40" t="n"/>
      <c r="Y395" s="40" t="n"/>
      <c r="Z395" s="43" t="n"/>
      <c r="AA395" s="43">
        <f>IF($A395="","",IF(OR($B395="",$E395="",$K395="",$O395="",$S395=""),"⚠ بيانات ناقصة","مكتمل"))</f>
        <v/>
      </c>
      <c r="AB395" s="44">
        <f>IF(OR($A395="",$Q395=""),"",$Q395-TODAY())</f>
        <v/>
      </c>
      <c r="AC395" s="111">
        <f>IF(OR($A395="",$O395=""),"",IFERROR(YEARFRAC($O395,TODAY(),1),"")</f>
        <v/>
      </c>
    </row>
    <row r="396">
      <c r="A396" s="46" t="n"/>
      <c r="B396" s="47" t="n"/>
      <c r="C396" s="47" t="n"/>
      <c r="D396" s="112" t="n"/>
      <c r="E396" s="46" t="n"/>
      <c r="F396" s="47" t="n"/>
      <c r="G396" s="47" t="n"/>
      <c r="H396" s="47" t="n"/>
      <c r="I396" s="47" t="n"/>
      <c r="J396" s="47" t="n"/>
      <c r="K396" s="47" t="n"/>
      <c r="L396" s="47" t="n"/>
      <c r="M396" s="47" t="n"/>
      <c r="N396" s="47" t="n"/>
      <c r="O396" s="112" t="n"/>
      <c r="P396" s="112" t="n"/>
      <c r="Q396" s="112" t="n"/>
      <c r="R396" s="47" t="n"/>
      <c r="S396" s="49" t="n"/>
      <c r="T396" s="49" t="n"/>
      <c r="U396" s="47" t="n"/>
      <c r="V396" s="47" t="n"/>
      <c r="W396" s="47" t="n"/>
      <c r="X396" s="47" t="n"/>
      <c r="Y396" s="47" t="n"/>
      <c r="Z396" s="50" t="n"/>
      <c r="AA396" s="50">
        <f>IF($A396="","",IF(OR($B396="",$E396="",$K396="",$O396="",$S396=""),"⚠ بيانات ناقصة","مكتمل"))</f>
        <v/>
      </c>
      <c r="AB396" s="51">
        <f>IF(OR($A396="",$Q396=""),"",$Q396-TODAY())</f>
        <v/>
      </c>
      <c r="AC396" s="113">
        <f>IF(OR($A396="",$O396=""),"",IFERROR(YEARFRAC($O396,TODAY(),1),"")</f>
        <v/>
      </c>
    </row>
    <row r="397">
      <c r="A397" s="39" t="n"/>
      <c r="B397" s="40" t="n"/>
      <c r="C397" s="40" t="n"/>
      <c r="D397" s="110" t="n"/>
      <c r="E397" s="39" t="n"/>
      <c r="F397" s="40" t="n"/>
      <c r="G397" s="40" t="n"/>
      <c r="H397" s="40" t="n"/>
      <c r="I397" s="40" t="n"/>
      <c r="J397" s="40" t="n"/>
      <c r="K397" s="40" t="n"/>
      <c r="L397" s="40" t="n"/>
      <c r="M397" s="40" t="n"/>
      <c r="N397" s="40" t="n"/>
      <c r="O397" s="110" t="n"/>
      <c r="P397" s="110" t="n"/>
      <c r="Q397" s="110" t="n"/>
      <c r="R397" s="40" t="n"/>
      <c r="S397" s="42" t="n"/>
      <c r="T397" s="42" t="n"/>
      <c r="U397" s="40" t="n"/>
      <c r="V397" s="40" t="n"/>
      <c r="W397" s="40" t="n"/>
      <c r="X397" s="40" t="n"/>
      <c r="Y397" s="40" t="n"/>
      <c r="Z397" s="43" t="n"/>
      <c r="AA397" s="43">
        <f>IF($A397="","",IF(OR($B397="",$E397="",$K397="",$O397="",$S397=""),"⚠ بيانات ناقصة","مكتمل"))</f>
        <v/>
      </c>
      <c r="AB397" s="44">
        <f>IF(OR($A397="",$Q397=""),"",$Q397-TODAY())</f>
        <v/>
      </c>
      <c r="AC397" s="111">
        <f>IF(OR($A397="",$O397=""),"",IFERROR(YEARFRAC($O397,TODAY(),1),"")</f>
        <v/>
      </c>
    </row>
    <row r="398">
      <c r="A398" s="46" t="n"/>
      <c r="B398" s="47" t="n"/>
      <c r="C398" s="47" t="n"/>
      <c r="D398" s="112" t="n"/>
      <c r="E398" s="46" t="n"/>
      <c r="F398" s="47" t="n"/>
      <c r="G398" s="47" t="n"/>
      <c r="H398" s="47" t="n"/>
      <c r="I398" s="47" t="n"/>
      <c r="J398" s="47" t="n"/>
      <c r="K398" s="47" t="n"/>
      <c r="L398" s="47" t="n"/>
      <c r="M398" s="47" t="n"/>
      <c r="N398" s="47" t="n"/>
      <c r="O398" s="112" t="n"/>
      <c r="P398" s="112" t="n"/>
      <c r="Q398" s="112" t="n"/>
      <c r="R398" s="47" t="n"/>
      <c r="S398" s="49" t="n"/>
      <c r="T398" s="49" t="n"/>
      <c r="U398" s="47" t="n"/>
      <c r="V398" s="47" t="n"/>
      <c r="W398" s="47" t="n"/>
      <c r="X398" s="47" t="n"/>
      <c r="Y398" s="47" t="n"/>
      <c r="Z398" s="50" t="n"/>
      <c r="AA398" s="50">
        <f>IF($A398="","",IF(OR($B398="",$E398="",$K398="",$O398="",$S398=""),"⚠ بيانات ناقصة","مكتمل"))</f>
        <v/>
      </c>
      <c r="AB398" s="51">
        <f>IF(OR($A398="",$Q398=""),"",$Q398-TODAY())</f>
        <v/>
      </c>
      <c r="AC398" s="113">
        <f>IF(OR($A398="",$O398=""),"",IFERROR(YEARFRAC($O398,TODAY(),1),"")</f>
        <v/>
      </c>
    </row>
    <row r="399">
      <c r="A399" s="39" t="n"/>
      <c r="B399" s="40" t="n"/>
      <c r="C399" s="40" t="n"/>
      <c r="D399" s="110" t="n"/>
      <c r="E399" s="39" t="n"/>
      <c r="F399" s="40" t="n"/>
      <c r="G399" s="40" t="n"/>
      <c r="H399" s="40" t="n"/>
      <c r="I399" s="40" t="n"/>
      <c r="J399" s="40" t="n"/>
      <c r="K399" s="40" t="n"/>
      <c r="L399" s="40" t="n"/>
      <c r="M399" s="40" t="n"/>
      <c r="N399" s="40" t="n"/>
      <c r="O399" s="110" t="n"/>
      <c r="P399" s="110" t="n"/>
      <c r="Q399" s="110" t="n"/>
      <c r="R399" s="40" t="n"/>
      <c r="S399" s="42" t="n"/>
      <c r="T399" s="42" t="n"/>
      <c r="U399" s="40" t="n"/>
      <c r="V399" s="40" t="n"/>
      <c r="W399" s="40" t="n"/>
      <c r="X399" s="40" t="n"/>
      <c r="Y399" s="40" t="n"/>
      <c r="Z399" s="43" t="n"/>
      <c r="AA399" s="43">
        <f>IF($A399="","",IF(OR($B399="",$E399="",$K399="",$O399="",$S399=""),"⚠ بيانات ناقصة","مكتمل"))</f>
        <v/>
      </c>
      <c r="AB399" s="44">
        <f>IF(OR($A399="",$Q399=""),"",$Q399-TODAY())</f>
        <v/>
      </c>
      <c r="AC399" s="111">
        <f>IF(OR($A399="",$O399=""),"",IFERROR(YEARFRAC($O399,TODAY(),1),"")</f>
        <v/>
      </c>
    </row>
    <row r="400">
      <c r="A400" s="46" t="n"/>
      <c r="B400" s="47" t="n"/>
      <c r="C400" s="47" t="n"/>
      <c r="D400" s="112" t="n"/>
      <c r="E400" s="46" t="n"/>
      <c r="F400" s="47" t="n"/>
      <c r="G400" s="47" t="n"/>
      <c r="H400" s="47" t="n"/>
      <c r="I400" s="47" t="n"/>
      <c r="J400" s="47" t="n"/>
      <c r="K400" s="47" t="n"/>
      <c r="L400" s="47" t="n"/>
      <c r="M400" s="47" t="n"/>
      <c r="N400" s="47" t="n"/>
      <c r="O400" s="112" t="n"/>
      <c r="P400" s="112" t="n"/>
      <c r="Q400" s="112" t="n"/>
      <c r="R400" s="47" t="n"/>
      <c r="S400" s="49" t="n"/>
      <c r="T400" s="49" t="n"/>
      <c r="U400" s="47" t="n"/>
      <c r="V400" s="47" t="n"/>
      <c r="W400" s="47" t="n"/>
      <c r="X400" s="47" t="n"/>
      <c r="Y400" s="47" t="n"/>
      <c r="Z400" s="50" t="n"/>
      <c r="AA400" s="50">
        <f>IF($A400="","",IF(OR($B400="",$E400="",$K400="",$O400="",$S400=""),"⚠ بيانات ناقصة","مكتمل"))</f>
        <v/>
      </c>
      <c r="AB400" s="51">
        <f>IF(OR($A400="",$Q400=""),"",$Q400-TODAY())</f>
        <v/>
      </c>
      <c r="AC400" s="113">
        <f>IF(OR($A400="",$O400=""),"",IFERROR(YEARFRAC($O400,TODAY(),1),"")</f>
        <v/>
      </c>
    </row>
    <row r="401">
      <c r="A401" s="39" t="n"/>
      <c r="B401" s="40" t="n"/>
      <c r="C401" s="40" t="n"/>
      <c r="D401" s="110" t="n"/>
      <c r="E401" s="39" t="n"/>
      <c r="F401" s="40" t="n"/>
      <c r="G401" s="40" t="n"/>
      <c r="H401" s="40" t="n"/>
      <c r="I401" s="40" t="n"/>
      <c r="J401" s="40" t="n"/>
      <c r="K401" s="40" t="n"/>
      <c r="L401" s="40" t="n"/>
      <c r="M401" s="40" t="n"/>
      <c r="N401" s="40" t="n"/>
      <c r="O401" s="110" t="n"/>
      <c r="P401" s="110" t="n"/>
      <c r="Q401" s="110" t="n"/>
      <c r="R401" s="40" t="n"/>
      <c r="S401" s="42" t="n"/>
      <c r="T401" s="42" t="n"/>
      <c r="U401" s="40" t="n"/>
      <c r="V401" s="40" t="n"/>
      <c r="W401" s="40" t="n"/>
      <c r="X401" s="40" t="n"/>
      <c r="Y401" s="40" t="n"/>
      <c r="Z401" s="43" t="n"/>
      <c r="AA401" s="43">
        <f>IF($A401="","",IF(OR($B401="",$E401="",$K401="",$O401="",$S401=""),"⚠ بيانات ناقصة","مكتمل"))</f>
        <v/>
      </c>
      <c r="AB401" s="44">
        <f>IF(OR($A401="",$Q401=""),"",$Q401-TODAY())</f>
        <v/>
      </c>
      <c r="AC401" s="111">
        <f>IF(OR($A401="",$O401=""),"",IFERROR(YEARFRAC($O401,TODAY(),1),"")</f>
        <v/>
      </c>
    </row>
    <row r="402">
      <c r="A402" s="46" t="n"/>
      <c r="B402" s="47" t="n"/>
      <c r="C402" s="47" t="n"/>
      <c r="D402" s="112" t="n"/>
      <c r="E402" s="46" t="n"/>
      <c r="F402" s="47" t="n"/>
      <c r="G402" s="47" t="n"/>
      <c r="H402" s="47" t="n"/>
      <c r="I402" s="47" t="n"/>
      <c r="J402" s="47" t="n"/>
      <c r="K402" s="47" t="n"/>
      <c r="L402" s="47" t="n"/>
      <c r="M402" s="47" t="n"/>
      <c r="N402" s="47" t="n"/>
      <c r="O402" s="112" t="n"/>
      <c r="P402" s="112" t="n"/>
      <c r="Q402" s="112" t="n"/>
      <c r="R402" s="47" t="n"/>
      <c r="S402" s="49" t="n"/>
      <c r="T402" s="49" t="n"/>
      <c r="U402" s="47" t="n"/>
      <c r="V402" s="47" t="n"/>
      <c r="W402" s="47" t="n"/>
      <c r="X402" s="47" t="n"/>
      <c r="Y402" s="47" t="n"/>
      <c r="Z402" s="50" t="n"/>
      <c r="AA402" s="50">
        <f>IF($A402="","",IF(OR($B402="",$E402="",$K402="",$O402="",$S402=""),"⚠ بيانات ناقصة","مكتمل"))</f>
        <v/>
      </c>
      <c r="AB402" s="51">
        <f>IF(OR($A402="",$Q402=""),"",$Q402-TODAY())</f>
        <v/>
      </c>
      <c r="AC402" s="113">
        <f>IF(OR($A402="",$O402=""),"",IFERROR(YEARFRAC($O402,TODAY(),1),"")</f>
        <v/>
      </c>
    </row>
    <row r="403">
      <c r="A403" s="39" t="n"/>
      <c r="B403" s="40" t="n"/>
      <c r="C403" s="40" t="n"/>
      <c r="D403" s="110" t="n"/>
      <c r="E403" s="39" t="n"/>
      <c r="F403" s="40" t="n"/>
      <c r="G403" s="40" t="n"/>
      <c r="H403" s="40" t="n"/>
      <c r="I403" s="40" t="n"/>
      <c r="J403" s="40" t="n"/>
      <c r="K403" s="40" t="n"/>
      <c r="L403" s="40" t="n"/>
      <c r="M403" s="40" t="n"/>
      <c r="N403" s="40" t="n"/>
      <c r="O403" s="110" t="n"/>
      <c r="P403" s="110" t="n"/>
      <c r="Q403" s="110" t="n"/>
      <c r="R403" s="40" t="n"/>
      <c r="S403" s="42" t="n"/>
      <c r="T403" s="42" t="n"/>
      <c r="U403" s="40" t="n"/>
      <c r="V403" s="40" t="n"/>
      <c r="W403" s="40" t="n"/>
      <c r="X403" s="40" t="n"/>
      <c r="Y403" s="40" t="n"/>
      <c r="Z403" s="43" t="n"/>
      <c r="AA403" s="43">
        <f>IF($A403="","",IF(OR($B403="",$E403="",$K403="",$O403="",$S403=""),"⚠ بيانات ناقصة","مكتمل"))</f>
        <v/>
      </c>
      <c r="AB403" s="44">
        <f>IF(OR($A403="",$Q403=""),"",$Q403-TODAY())</f>
        <v/>
      </c>
      <c r="AC403" s="111">
        <f>IF(OR($A403="",$O403=""),"",IFERROR(YEARFRAC($O403,TODAY(),1),"")</f>
        <v/>
      </c>
    </row>
    <row r="404">
      <c r="A404" s="46" t="n"/>
      <c r="B404" s="47" t="n"/>
      <c r="C404" s="47" t="n"/>
      <c r="D404" s="112" t="n"/>
      <c r="E404" s="46" t="n"/>
      <c r="F404" s="47" t="n"/>
      <c r="G404" s="47" t="n"/>
      <c r="H404" s="47" t="n"/>
      <c r="I404" s="47" t="n"/>
      <c r="J404" s="47" t="n"/>
      <c r="K404" s="47" t="n"/>
      <c r="L404" s="47" t="n"/>
      <c r="M404" s="47" t="n"/>
      <c r="N404" s="47" t="n"/>
      <c r="O404" s="112" t="n"/>
      <c r="P404" s="112" t="n"/>
      <c r="Q404" s="112" t="n"/>
      <c r="R404" s="47" t="n"/>
      <c r="S404" s="49" t="n"/>
      <c r="T404" s="49" t="n"/>
      <c r="U404" s="47" t="n"/>
      <c r="V404" s="47" t="n"/>
      <c r="W404" s="47" t="n"/>
      <c r="X404" s="47" t="n"/>
      <c r="Y404" s="47" t="n"/>
      <c r="Z404" s="50" t="n"/>
      <c r="AA404" s="50">
        <f>IF($A404="","",IF(OR($B404="",$E404="",$K404="",$O404="",$S404=""),"⚠ بيانات ناقصة","مكتمل"))</f>
        <v/>
      </c>
      <c r="AB404" s="51">
        <f>IF(OR($A404="",$Q404=""),"",$Q404-TODAY())</f>
        <v/>
      </c>
      <c r="AC404" s="113">
        <f>IF(OR($A404="",$O404=""),"",IFERROR(YEARFRAC($O404,TODAY(),1),"")</f>
        <v/>
      </c>
    </row>
    <row r="405">
      <c r="A405" s="39" t="n"/>
      <c r="B405" s="40" t="n"/>
      <c r="C405" s="40" t="n"/>
      <c r="D405" s="110" t="n"/>
      <c r="E405" s="39" t="n"/>
      <c r="F405" s="40" t="n"/>
      <c r="G405" s="40" t="n"/>
      <c r="H405" s="40" t="n"/>
      <c r="I405" s="40" t="n"/>
      <c r="J405" s="40" t="n"/>
      <c r="K405" s="40" t="n"/>
      <c r="L405" s="40" t="n"/>
      <c r="M405" s="40" t="n"/>
      <c r="N405" s="40" t="n"/>
      <c r="O405" s="110" t="n"/>
      <c r="P405" s="110" t="n"/>
      <c r="Q405" s="110" t="n"/>
      <c r="R405" s="40" t="n"/>
      <c r="S405" s="42" t="n"/>
      <c r="T405" s="42" t="n"/>
      <c r="U405" s="40" t="n"/>
      <c r="V405" s="40" t="n"/>
      <c r="W405" s="40" t="n"/>
      <c r="X405" s="40" t="n"/>
      <c r="Y405" s="40" t="n"/>
      <c r="Z405" s="43" t="n"/>
      <c r="AA405" s="43">
        <f>IF($A405="","",IF(OR($B405="",$E405="",$K405="",$O405="",$S405=""),"⚠ بيانات ناقصة","مكتمل"))</f>
        <v/>
      </c>
      <c r="AB405" s="44">
        <f>IF(OR($A405="",$Q405=""),"",$Q405-TODAY())</f>
        <v/>
      </c>
      <c r="AC405" s="111">
        <f>IF(OR($A405="",$O405=""),"",IFERROR(YEARFRAC($O405,TODAY(),1),"")</f>
        <v/>
      </c>
    </row>
    <row r="406">
      <c r="A406" s="46" t="n"/>
      <c r="B406" s="47" t="n"/>
      <c r="C406" s="47" t="n"/>
      <c r="D406" s="112" t="n"/>
      <c r="E406" s="46" t="n"/>
      <c r="F406" s="47" t="n"/>
      <c r="G406" s="47" t="n"/>
      <c r="H406" s="47" t="n"/>
      <c r="I406" s="47" t="n"/>
      <c r="J406" s="47" t="n"/>
      <c r="K406" s="47" t="n"/>
      <c r="L406" s="47" t="n"/>
      <c r="M406" s="47" t="n"/>
      <c r="N406" s="47" t="n"/>
      <c r="O406" s="112" t="n"/>
      <c r="P406" s="112" t="n"/>
      <c r="Q406" s="112" t="n"/>
      <c r="R406" s="47" t="n"/>
      <c r="S406" s="49" t="n"/>
      <c r="T406" s="49" t="n"/>
      <c r="U406" s="47" t="n"/>
      <c r="V406" s="47" t="n"/>
      <c r="W406" s="47" t="n"/>
      <c r="X406" s="47" t="n"/>
      <c r="Y406" s="47" t="n"/>
      <c r="Z406" s="50" t="n"/>
      <c r="AA406" s="50">
        <f>IF($A406="","",IF(OR($B406="",$E406="",$K406="",$O406="",$S406=""),"⚠ بيانات ناقصة","مكتمل"))</f>
        <v/>
      </c>
      <c r="AB406" s="51">
        <f>IF(OR($A406="",$Q406=""),"",$Q406-TODAY())</f>
        <v/>
      </c>
      <c r="AC406" s="113">
        <f>IF(OR($A406="",$O406=""),"",IFERROR(YEARFRAC($O406,TODAY(),1),"")</f>
        <v/>
      </c>
    </row>
    <row r="407">
      <c r="A407" s="39" t="n"/>
      <c r="B407" s="40" t="n"/>
      <c r="C407" s="40" t="n"/>
      <c r="D407" s="110" t="n"/>
      <c r="E407" s="39" t="n"/>
      <c r="F407" s="40" t="n"/>
      <c r="G407" s="40" t="n"/>
      <c r="H407" s="40" t="n"/>
      <c r="I407" s="40" t="n"/>
      <c r="J407" s="40" t="n"/>
      <c r="K407" s="40" t="n"/>
      <c r="L407" s="40" t="n"/>
      <c r="M407" s="40" t="n"/>
      <c r="N407" s="40" t="n"/>
      <c r="O407" s="110" t="n"/>
      <c r="P407" s="110" t="n"/>
      <c r="Q407" s="110" t="n"/>
      <c r="R407" s="40" t="n"/>
      <c r="S407" s="42" t="n"/>
      <c r="T407" s="42" t="n"/>
      <c r="U407" s="40" t="n"/>
      <c r="V407" s="40" t="n"/>
      <c r="W407" s="40" t="n"/>
      <c r="X407" s="40" t="n"/>
      <c r="Y407" s="40" t="n"/>
      <c r="Z407" s="43" t="n"/>
      <c r="AA407" s="43">
        <f>IF($A407="","",IF(OR($B407="",$E407="",$K407="",$O407="",$S407=""),"⚠ بيانات ناقصة","مكتمل"))</f>
        <v/>
      </c>
      <c r="AB407" s="44">
        <f>IF(OR($A407="",$Q407=""),"",$Q407-TODAY())</f>
        <v/>
      </c>
      <c r="AC407" s="111">
        <f>IF(OR($A407="",$O407=""),"",IFERROR(YEARFRAC($O407,TODAY(),1),"")</f>
        <v/>
      </c>
    </row>
    <row r="408">
      <c r="A408" s="46" t="n"/>
      <c r="B408" s="47" t="n"/>
      <c r="C408" s="47" t="n"/>
      <c r="D408" s="112" t="n"/>
      <c r="E408" s="46" t="n"/>
      <c r="F408" s="47" t="n"/>
      <c r="G408" s="47" t="n"/>
      <c r="H408" s="47" t="n"/>
      <c r="I408" s="47" t="n"/>
      <c r="J408" s="47" t="n"/>
      <c r="K408" s="47" t="n"/>
      <c r="L408" s="47" t="n"/>
      <c r="M408" s="47" t="n"/>
      <c r="N408" s="47" t="n"/>
      <c r="O408" s="112" t="n"/>
      <c r="P408" s="112" t="n"/>
      <c r="Q408" s="112" t="n"/>
      <c r="R408" s="47" t="n"/>
      <c r="S408" s="49" t="n"/>
      <c r="T408" s="49" t="n"/>
      <c r="U408" s="47" t="n"/>
      <c r="V408" s="47" t="n"/>
      <c r="W408" s="47" t="n"/>
      <c r="X408" s="47" t="n"/>
      <c r="Y408" s="47" t="n"/>
      <c r="Z408" s="50" t="n"/>
      <c r="AA408" s="50">
        <f>IF($A408="","",IF(OR($B408="",$E408="",$K408="",$O408="",$S408=""),"⚠ بيانات ناقصة","مكتمل"))</f>
        <v/>
      </c>
      <c r="AB408" s="51">
        <f>IF(OR($A408="",$Q408=""),"",$Q408-TODAY())</f>
        <v/>
      </c>
      <c r="AC408" s="113">
        <f>IF(OR($A408="",$O408=""),"",IFERROR(YEARFRAC($O408,TODAY(),1),"")</f>
        <v/>
      </c>
    </row>
    <row r="409">
      <c r="A409" s="39" t="n"/>
      <c r="B409" s="40" t="n"/>
      <c r="C409" s="40" t="n"/>
      <c r="D409" s="110" t="n"/>
      <c r="E409" s="39" t="n"/>
      <c r="F409" s="40" t="n"/>
      <c r="G409" s="40" t="n"/>
      <c r="H409" s="40" t="n"/>
      <c r="I409" s="40" t="n"/>
      <c r="J409" s="40" t="n"/>
      <c r="K409" s="40" t="n"/>
      <c r="L409" s="40" t="n"/>
      <c r="M409" s="40" t="n"/>
      <c r="N409" s="40" t="n"/>
      <c r="O409" s="110" t="n"/>
      <c r="P409" s="110" t="n"/>
      <c r="Q409" s="110" t="n"/>
      <c r="R409" s="40" t="n"/>
      <c r="S409" s="42" t="n"/>
      <c r="T409" s="42" t="n"/>
      <c r="U409" s="40" t="n"/>
      <c r="V409" s="40" t="n"/>
      <c r="W409" s="40" t="n"/>
      <c r="X409" s="40" t="n"/>
      <c r="Y409" s="40" t="n"/>
      <c r="Z409" s="43" t="n"/>
      <c r="AA409" s="43">
        <f>IF($A409="","",IF(OR($B409="",$E409="",$K409="",$O409="",$S409=""),"⚠ بيانات ناقصة","مكتمل"))</f>
        <v/>
      </c>
      <c r="AB409" s="44">
        <f>IF(OR($A409="",$Q409=""),"",$Q409-TODAY())</f>
        <v/>
      </c>
      <c r="AC409" s="111">
        <f>IF(OR($A409="",$O409=""),"",IFERROR(YEARFRAC($O409,TODAY(),1),"")</f>
        <v/>
      </c>
    </row>
    <row r="410">
      <c r="A410" s="46" t="n"/>
      <c r="B410" s="47" t="n"/>
      <c r="C410" s="47" t="n"/>
      <c r="D410" s="112" t="n"/>
      <c r="E410" s="46" t="n"/>
      <c r="F410" s="47" t="n"/>
      <c r="G410" s="47" t="n"/>
      <c r="H410" s="47" t="n"/>
      <c r="I410" s="47" t="n"/>
      <c r="J410" s="47" t="n"/>
      <c r="K410" s="47" t="n"/>
      <c r="L410" s="47" t="n"/>
      <c r="M410" s="47" t="n"/>
      <c r="N410" s="47" t="n"/>
      <c r="O410" s="112" t="n"/>
      <c r="P410" s="112" t="n"/>
      <c r="Q410" s="112" t="n"/>
      <c r="R410" s="47" t="n"/>
      <c r="S410" s="49" t="n"/>
      <c r="T410" s="49" t="n"/>
      <c r="U410" s="47" t="n"/>
      <c r="V410" s="47" t="n"/>
      <c r="W410" s="47" t="n"/>
      <c r="X410" s="47" t="n"/>
      <c r="Y410" s="47" t="n"/>
      <c r="Z410" s="50" t="n"/>
      <c r="AA410" s="50">
        <f>IF($A410="","",IF(OR($B410="",$E410="",$K410="",$O410="",$S410=""),"⚠ بيانات ناقصة","مكتمل"))</f>
        <v/>
      </c>
      <c r="AB410" s="51">
        <f>IF(OR($A410="",$Q410=""),"",$Q410-TODAY())</f>
        <v/>
      </c>
      <c r="AC410" s="113">
        <f>IF(OR($A410="",$O410=""),"",IFERROR(YEARFRAC($O410,TODAY(),1),"")</f>
        <v/>
      </c>
    </row>
    <row r="411">
      <c r="A411" s="39" t="n"/>
      <c r="B411" s="40" t="n"/>
      <c r="C411" s="40" t="n"/>
      <c r="D411" s="110" t="n"/>
      <c r="E411" s="39" t="n"/>
      <c r="F411" s="40" t="n"/>
      <c r="G411" s="40" t="n"/>
      <c r="H411" s="40" t="n"/>
      <c r="I411" s="40" t="n"/>
      <c r="J411" s="40" t="n"/>
      <c r="K411" s="40" t="n"/>
      <c r="L411" s="40" t="n"/>
      <c r="M411" s="40" t="n"/>
      <c r="N411" s="40" t="n"/>
      <c r="O411" s="110" t="n"/>
      <c r="P411" s="110" t="n"/>
      <c r="Q411" s="110" t="n"/>
      <c r="R411" s="40" t="n"/>
      <c r="S411" s="42" t="n"/>
      <c r="T411" s="42" t="n"/>
      <c r="U411" s="40" t="n"/>
      <c r="V411" s="40" t="n"/>
      <c r="W411" s="40" t="n"/>
      <c r="X411" s="40" t="n"/>
      <c r="Y411" s="40" t="n"/>
      <c r="Z411" s="43" t="n"/>
      <c r="AA411" s="43">
        <f>IF($A411="","",IF(OR($B411="",$E411="",$K411="",$O411="",$S411=""),"⚠ بيانات ناقصة","مكتمل"))</f>
        <v/>
      </c>
      <c r="AB411" s="44">
        <f>IF(OR($A411="",$Q411=""),"",$Q411-TODAY())</f>
        <v/>
      </c>
      <c r="AC411" s="111">
        <f>IF(OR($A411="",$O411=""),"",IFERROR(YEARFRAC($O411,TODAY(),1),"")</f>
        <v/>
      </c>
    </row>
    <row r="412">
      <c r="A412" s="46" t="n"/>
      <c r="B412" s="47" t="n"/>
      <c r="C412" s="47" t="n"/>
      <c r="D412" s="112" t="n"/>
      <c r="E412" s="46" t="n"/>
      <c r="F412" s="47" t="n"/>
      <c r="G412" s="47" t="n"/>
      <c r="H412" s="47" t="n"/>
      <c r="I412" s="47" t="n"/>
      <c r="J412" s="47" t="n"/>
      <c r="K412" s="47" t="n"/>
      <c r="L412" s="47" t="n"/>
      <c r="M412" s="47" t="n"/>
      <c r="N412" s="47" t="n"/>
      <c r="O412" s="112" t="n"/>
      <c r="P412" s="112" t="n"/>
      <c r="Q412" s="112" t="n"/>
      <c r="R412" s="47" t="n"/>
      <c r="S412" s="49" t="n"/>
      <c r="T412" s="49" t="n"/>
      <c r="U412" s="47" t="n"/>
      <c r="V412" s="47" t="n"/>
      <c r="W412" s="47" t="n"/>
      <c r="X412" s="47" t="n"/>
      <c r="Y412" s="47" t="n"/>
      <c r="Z412" s="50" t="n"/>
      <c r="AA412" s="50">
        <f>IF($A412="","",IF(OR($B412="",$E412="",$K412="",$O412="",$S412=""),"⚠ بيانات ناقصة","مكتمل"))</f>
        <v/>
      </c>
      <c r="AB412" s="51">
        <f>IF(OR($A412="",$Q412=""),"",$Q412-TODAY())</f>
        <v/>
      </c>
      <c r="AC412" s="113">
        <f>IF(OR($A412="",$O412=""),"",IFERROR(YEARFRAC($O412,TODAY(),1),"")</f>
        <v/>
      </c>
    </row>
    <row r="413">
      <c r="A413" s="39" t="n"/>
      <c r="B413" s="40" t="n"/>
      <c r="C413" s="40" t="n"/>
      <c r="D413" s="110" t="n"/>
      <c r="E413" s="39" t="n"/>
      <c r="F413" s="40" t="n"/>
      <c r="G413" s="40" t="n"/>
      <c r="H413" s="40" t="n"/>
      <c r="I413" s="40" t="n"/>
      <c r="J413" s="40" t="n"/>
      <c r="K413" s="40" t="n"/>
      <c r="L413" s="40" t="n"/>
      <c r="M413" s="40" t="n"/>
      <c r="N413" s="40" t="n"/>
      <c r="O413" s="110" t="n"/>
      <c r="P413" s="110" t="n"/>
      <c r="Q413" s="110" t="n"/>
      <c r="R413" s="40" t="n"/>
      <c r="S413" s="42" t="n"/>
      <c r="T413" s="42" t="n"/>
      <c r="U413" s="40" t="n"/>
      <c r="V413" s="40" t="n"/>
      <c r="W413" s="40" t="n"/>
      <c r="X413" s="40" t="n"/>
      <c r="Y413" s="40" t="n"/>
      <c r="Z413" s="43" t="n"/>
      <c r="AA413" s="43">
        <f>IF($A413="","",IF(OR($B413="",$E413="",$K413="",$O413="",$S413=""),"⚠ بيانات ناقصة","مكتمل"))</f>
        <v/>
      </c>
      <c r="AB413" s="44">
        <f>IF(OR($A413="",$Q413=""),"",$Q413-TODAY())</f>
        <v/>
      </c>
      <c r="AC413" s="111">
        <f>IF(OR($A413="",$O413=""),"",IFERROR(YEARFRAC($O413,TODAY(),1),"")</f>
        <v/>
      </c>
    </row>
    <row r="414">
      <c r="A414" s="46" t="n"/>
      <c r="B414" s="47" t="n"/>
      <c r="C414" s="47" t="n"/>
      <c r="D414" s="112" t="n"/>
      <c r="E414" s="46" t="n"/>
      <c r="F414" s="47" t="n"/>
      <c r="G414" s="47" t="n"/>
      <c r="H414" s="47" t="n"/>
      <c r="I414" s="47" t="n"/>
      <c r="J414" s="47" t="n"/>
      <c r="K414" s="47" t="n"/>
      <c r="L414" s="47" t="n"/>
      <c r="M414" s="47" t="n"/>
      <c r="N414" s="47" t="n"/>
      <c r="O414" s="112" t="n"/>
      <c r="P414" s="112" t="n"/>
      <c r="Q414" s="112" t="n"/>
      <c r="R414" s="47" t="n"/>
      <c r="S414" s="49" t="n"/>
      <c r="T414" s="49" t="n"/>
      <c r="U414" s="47" t="n"/>
      <c r="V414" s="47" t="n"/>
      <c r="W414" s="47" t="n"/>
      <c r="X414" s="47" t="n"/>
      <c r="Y414" s="47" t="n"/>
      <c r="Z414" s="50" t="n"/>
      <c r="AA414" s="50">
        <f>IF($A414="","",IF(OR($B414="",$E414="",$K414="",$O414="",$S414=""),"⚠ بيانات ناقصة","مكتمل"))</f>
        <v/>
      </c>
      <c r="AB414" s="51">
        <f>IF(OR($A414="",$Q414=""),"",$Q414-TODAY())</f>
        <v/>
      </c>
      <c r="AC414" s="113">
        <f>IF(OR($A414="",$O414=""),"",IFERROR(YEARFRAC($O414,TODAY(),1),"")</f>
        <v/>
      </c>
    </row>
    <row r="415">
      <c r="A415" s="39" t="n"/>
      <c r="B415" s="40" t="n"/>
      <c r="C415" s="40" t="n"/>
      <c r="D415" s="110" t="n"/>
      <c r="E415" s="39" t="n"/>
      <c r="F415" s="40" t="n"/>
      <c r="G415" s="40" t="n"/>
      <c r="H415" s="40" t="n"/>
      <c r="I415" s="40" t="n"/>
      <c r="J415" s="40" t="n"/>
      <c r="K415" s="40" t="n"/>
      <c r="L415" s="40" t="n"/>
      <c r="M415" s="40" t="n"/>
      <c r="N415" s="40" t="n"/>
      <c r="O415" s="110" t="n"/>
      <c r="P415" s="110" t="n"/>
      <c r="Q415" s="110" t="n"/>
      <c r="R415" s="40" t="n"/>
      <c r="S415" s="42" t="n"/>
      <c r="T415" s="42" t="n"/>
      <c r="U415" s="40" t="n"/>
      <c r="V415" s="40" t="n"/>
      <c r="W415" s="40" t="n"/>
      <c r="X415" s="40" t="n"/>
      <c r="Y415" s="40" t="n"/>
      <c r="Z415" s="43" t="n"/>
      <c r="AA415" s="43">
        <f>IF($A415="","",IF(OR($B415="",$E415="",$K415="",$O415="",$S415=""),"⚠ بيانات ناقصة","مكتمل"))</f>
        <v/>
      </c>
      <c r="AB415" s="44">
        <f>IF(OR($A415="",$Q415=""),"",$Q415-TODAY())</f>
        <v/>
      </c>
      <c r="AC415" s="111">
        <f>IF(OR($A415="",$O415=""),"",IFERROR(YEARFRAC($O415,TODAY(),1),"")</f>
        <v/>
      </c>
    </row>
    <row r="416">
      <c r="A416" s="46" t="n"/>
      <c r="B416" s="47" t="n"/>
      <c r="C416" s="47" t="n"/>
      <c r="D416" s="112" t="n"/>
      <c r="E416" s="46" t="n"/>
      <c r="F416" s="47" t="n"/>
      <c r="G416" s="47" t="n"/>
      <c r="H416" s="47" t="n"/>
      <c r="I416" s="47" t="n"/>
      <c r="J416" s="47" t="n"/>
      <c r="K416" s="47" t="n"/>
      <c r="L416" s="47" t="n"/>
      <c r="M416" s="47" t="n"/>
      <c r="N416" s="47" t="n"/>
      <c r="O416" s="112" t="n"/>
      <c r="P416" s="112" t="n"/>
      <c r="Q416" s="112" t="n"/>
      <c r="R416" s="47" t="n"/>
      <c r="S416" s="49" t="n"/>
      <c r="T416" s="49" t="n"/>
      <c r="U416" s="47" t="n"/>
      <c r="V416" s="47" t="n"/>
      <c r="W416" s="47" t="n"/>
      <c r="X416" s="47" t="n"/>
      <c r="Y416" s="47" t="n"/>
      <c r="Z416" s="50" t="n"/>
      <c r="AA416" s="50">
        <f>IF($A416="","",IF(OR($B416="",$E416="",$K416="",$O416="",$S416=""),"⚠ بيانات ناقصة","مكتمل"))</f>
        <v/>
      </c>
      <c r="AB416" s="51">
        <f>IF(OR($A416="",$Q416=""),"",$Q416-TODAY())</f>
        <v/>
      </c>
      <c r="AC416" s="113">
        <f>IF(OR($A416="",$O416=""),"",IFERROR(YEARFRAC($O416,TODAY(),1),"")</f>
        <v/>
      </c>
    </row>
    <row r="417">
      <c r="A417" s="39" t="n"/>
      <c r="B417" s="40" t="n"/>
      <c r="C417" s="40" t="n"/>
      <c r="D417" s="110" t="n"/>
      <c r="E417" s="39" t="n"/>
      <c r="F417" s="40" t="n"/>
      <c r="G417" s="40" t="n"/>
      <c r="H417" s="40" t="n"/>
      <c r="I417" s="40" t="n"/>
      <c r="J417" s="40" t="n"/>
      <c r="K417" s="40" t="n"/>
      <c r="L417" s="40" t="n"/>
      <c r="M417" s="40" t="n"/>
      <c r="N417" s="40" t="n"/>
      <c r="O417" s="110" t="n"/>
      <c r="P417" s="110" t="n"/>
      <c r="Q417" s="110" t="n"/>
      <c r="R417" s="40" t="n"/>
      <c r="S417" s="42" t="n"/>
      <c r="T417" s="42" t="n"/>
      <c r="U417" s="40" t="n"/>
      <c r="V417" s="40" t="n"/>
      <c r="W417" s="40" t="n"/>
      <c r="X417" s="40" t="n"/>
      <c r="Y417" s="40" t="n"/>
      <c r="Z417" s="43" t="n"/>
      <c r="AA417" s="43">
        <f>IF($A417="","",IF(OR($B417="",$E417="",$K417="",$O417="",$S417=""),"⚠ بيانات ناقصة","مكتمل"))</f>
        <v/>
      </c>
      <c r="AB417" s="44">
        <f>IF(OR($A417="",$Q417=""),"",$Q417-TODAY())</f>
        <v/>
      </c>
      <c r="AC417" s="111">
        <f>IF(OR($A417="",$O417=""),"",IFERROR(YEARFRAC($O417,TODAY(),1),"")</f>
        <v/>
      </c>
    </row>
    <row r="418">
      <c r="A418" s="46" t="n"/>
      <c r="B418" s="47" t="n"/>
      <c r="C418" s="47" t="n"/>
      <c r="D418" s="112" t="n"/>
      <c r="E418" s="46" t="n"/>
      <c r="F418" s="47" t="n"/>
      <c r="G418" s="47" t="n"/>
      <c r="H418" s="47" t="n"/>
      <c r="I418" s="47" t="n"/>
      <c r="J418" s="47" t="n"/>
      <c r="K418" s="47" t="n"/>
      <c r="L418" s="47" t="n"/>
      <c r="M418" s="47" t="n"/>
      <c r="N418" s="47" t="n"/>
      <c r="O418" s="112" t="n"/>
      <c r="P418" s="112" t="n"/>
      <c r="Q418" s="112" t="n"/>
      <c r="R418" s="47" t="n"/>
      <c r="S418" s="49" t="n"/>
      <c r="T418" s="49" t="n"/>
      <c r="U418" s="47" t="n"/>
      <c r="V418" s="47" t="n"/>
      <c r="W418" s="47" t="n"/>
      <c r="X418" s="47" t="n"/>
      <c r="Y418" s="47" t="n"/>
      <c r="Z418" s="50" t="n"/>
      <c r="AA418" s="50">
        <f>IF($A418="","",IF(OR($B418="",$E418="",$K418="",$O418="",$S418=""),"⚠ بيانات ناقصة","مكتمل"))</f>
        <v/>
      </c>
      <c r="AB418" s="51">
        <f>IF(OR($A418="",$Q418=""),"",$Q418-TODAY())</f>
        <v/>
      </c>
      <c r="AC418" s="113">
        <f>IF(OR($A418="",$O418=""),"",IFERROR(YEARFRAC($O418,TODAY(),1),"")</f>
        <v/>
      </c>
    </row>
    <row r="419">
      <c r="A419" s="39" t="n"/>
      <c r="B419" s="40" t="n"/>
      <c r="C419" s="40" t="n"/>
      <c r="D419" s="110" t="n"/>
      <c r="E419" s="39" t="n"/>
      <c r="F419" s="40" t="n"/>
      <c r="G419" s="40" t="n"/>
      <c r="H419" s="40" t="n"/>
      <c r="I419" s="40" t="n"/>
      <c r="J419" s="40" t="n"/>
      <c r="K419" s="40" t="n"/>
      <c r="L419" s="40" t="n"/>
      <c r="M419" s="40" t="n"/>
      <c r="N419" s="40" t="n"/>
      <c r="O419" s="110" t="n"/>
      <c r="P419" s="110" t="n"/>
      <c r="Q419" s="110" t="n"/>
      <c r="R419" s="40" t="n"/>
      <c r="S419" s="42" t="n"/>
      <c r="T419" s="42" t="n"/>
      <c r="U419" s="40" t="n"/>
      <c r="V419" s="40" t="n"/>
      <c r="W419" s="40" t="n"/>
      <c r="X419" s="40" t="n"/>
      <c r="Y419" s="40" t="n"/>
      <c r="Z419" s="43" t="n"/>
      <c r="AA419" s="43">
        <f>IF($A419="","",IF(OR($B419="",$E419="",$K419="",$O419="",$S419=""),"⚠ بيانات ناقصة","مكتمل"))</f>
        <v/>
      </c>
      <c r="AB419" s="44">
        <f>IF(OR($A419="",$Q419=""),"",$Q419-TODAY())</f>
        <v/>
      </c>
      <c r="AC419" s="111">
        <f>IF(OR($A419="",$O419=""),"",IFERROR(YEARFRAC($O419,TODAY(),1),"")</f>
        <v/>
      </c>
    </row>
    <row r="420">
      <c r="A420" s="46" t="n"/>
      <c r="B420" s="47" t="n"/>
      <c r="C420" s="47" t="n"/>
      <c r="D420" s="112" t="n"/>
      <c r="E420" s="46" t="n"/>
      <c r="F420" s="47" t="n"/>
      <c r="G420" s="47" t="n"/>
      <c r="H420" s="47" t="n"/>
      <c r="I420" s="47" t="n"/>
      <c r="J420" s="47" t="n"/>
      <c r="K420" s="47" t="n"/>
      <c r="L420" s="47" t="n"/>
      <c r="M420" s="47" t="n"/>
      <c r="N420" s="47" t="n"/>
      <c r="O420" s="112" t="n"/>
      <c r="P420" s="112" t="n"/>
      <c r="Q420" s="112" t="n"/>
      <c r="R420" s="47" t="n"/>
      <c r="S420" s="49" t="n"/>
      <c r="T420" s="49" t="n"/>
      <c r="U420" s="47" t="n"/>
      <c r="V420" s="47" t="n"/>
      <c r="W420" s="47" t="n"/>
      <c r="X420" s="47" t="n"/>
      <c r="Y420" s="47" t="n"/>
      <c r="Z420" s="50" t="n"/>
      <c r="AA420" s="50">
        <f>IF($A420="","",IF(OR($B420="",$E420="",$K420="",$O420="",$S420=""),"⚠ بيانات ناقصة","مكتمل"))</f>
        <v/>
      </c>
      <c r="AB420" s="51">
        <f>IF(OR($A420="",$Q420=""),"",$Q420-TODAY())</f>
        <v/>
      </c>
      <c r="AC420" s="113">
        <f>IF(OR($A420="",$O420=""),"",IFERROR(YEARFRAC($O420,TODAY(),1),"")</f>
        <v/>
      </c>
    </row>
    <row r="421">
      <c r="A421" s="39" t="n"/>
      <c r="B421" s="40" t="n"/>
      <c r="C421" s="40" t="n"/>
      <c r="D421" s="110" t="n"/>
      <c r="E421" s="39" t="n"/>
      <c r="F421" s="40" t="n"/>
      <c r="G421" s="40" t="n"/>
      <c r="H421" s="40" t="n"/>
      <c r="I421" s="40" t="n"/>
      <c r="J421" s="40" t="n"/>
      <c r="K421" s="40" t="n"/>
      <c r="L421" s="40" t="n"/>
      <c r="M421" s="40" t="n"/>
      <c r="N421" s="40" t="n"/>
      <c r="O421" s="110" t="n"/>
      <c r="P421" s="110" t="n"/>
      <c r="Q421" s="110" t="n"/>
      <c r="R421" s="40" t="n"/>
      <c r="S421" s="42" t="n"/>
      <c r="T421" s="42" t="n"/>
      <c r="U421" s="40" t="n"/>
      <c r="V421" s="40" t="n"/>
      <c r="W421" s="40" t="n"/>
      <c r="X421" s="40" t="n"/>
      <c r="Y421" s="40" t="n"/>
      <c r="Z421" s="43" t="n"/>
      <c r="AA421" s="43">
        <f>IF($A421="","",IF(OR($B421="",$E421="",$K421="",$O421="",$S421=""),"⚠ بيانات ناقصة","مكتمل"))</f>
        <v/>
      </c>
      <c r="AB421" s="44">
        <f>IF(OR($A421="",$Q421=""),"",$Q421-TODAY())</f>
        <v/>
      </c>
      <c r="AC421" s="111">
        <f>IF(OR($A421="",$O421=""),"",IFERROR(YEARFRAC($O421,TODAY(),1),"")</f>
        <v/>
      </c>
    </row>
    <row r="422">
      <c r="A422" s="46" t="n"/>
      <c r="B422" s="47" t="n"/>
      <c r="C422" s="47" t="n"/>
      <c r="D422" s="112" t="n"/>
      <c r="E422" s="46" t="n"/>
      <c r="F422" s="47" t="n"/>
      <c r="G422" s="47" t="n"/>
      <c r="H422" s="47" t="n"/>
      <c r="I422" s="47" t="n"/>
      <c r="J422" s="47" t="n"/>
      <c r="K422" s="47" t="n"/>
      <c r="L422" s="47" t="n"/>
      <c r="M422" s="47" t="n"/>
      <c r="N422" s="47" t="n"/>
      <c r="O422" s="112" t="n"/>
      <c r="P422" s="112" t="n"/>
      <c r="Q422" s="112" t="n"/>
      <c r="R422" s="47" t="n"/>
      <c r="S422" s="49" t="n"/>
      <c r="T422" s="49" t="n"/>
      <c r="U422" s="47" t="n"/>
      <c r="V422" s="47" t="n"/>
      <c r="W422" s="47" t="n"/>
      <c r="X422" s="47" t="n"/>
      <c r="Y422" s="47" t="n"/>
      <c r="Z422" s="50" t="n"/>
      <c r="AA422" s="50">
        <f>IF($A422="","",IF(OR($B422="",$E422="",$K422="",$O422="",$S422=""),"⚠ بيانات ناقصة","مكتمل"))</f>
        <v/>
      </c>
      <c r="AB422" s="51">
        <f>IF(OR($A422="",$Q422=""),"",$Q422-TODAY())</f>
        <v/>
      </c>
      <c r="AC422" s="113">
        <f>IF(OR($A422="",$O422=""),"",IFERROR(YEARFRAC($O422,TODAY(),1),"")</f>
        <v/>
      </c>
    </row>
    <row r="423">
      <c r="A423" s="39" t="n"/>
      <c r="B423" s="40" t="n"/>
      <c r="C423" s="40" t="n"/>
      <c r="D423" s="110" t="n"/>
      <c r="E423" s="39" t="n"/>
      <c r="F423" s="40" t="n"/>
      <c r="G423" s="40" t="n"/>
      <c r="H423" s="40" t="n"/>
      <c r="I423" s="40" t="n"/>
      <c r="J423" s="40" t="n"/>
      <c r="K423" s="40" t="n"/>
      <c r="L423" s="40" t="n"/>
      <c r="M423" s="40" t="n"/>
      <c r="N423" s="40" t="n"/>
      <c r="O423" s="110" t="n"/>
      <c r="P423" s="110" t="n"/>
      <c r="Q423" s="110" t="n"/>
      <c r="R423" s="40" t="n"/>
      <c r="S423" s="42" t="n"/>
      <c r="T423" s="42" t="n"/>
      <c r="U423" s="40" t="n"/>
      <c r="V423" s="40" t="n"/>
      <c r="W423" s="40" t="n"/>
      <c r="X423" s="40" t="n"/>
      <c r="Y423" s="40" t="n"/>
      <c r="Z423" s="43" t="n"/>
      <c r="AA423" s="43">
        <f>IF($A423="","",IF(OR($B423="",$E423="",$K423="",$O423="",$S423=""),"⚠ بيانات ناقصة","مكتمل"))</f>
        <v/>
      </c>
      <c r="AB423" s="44">
        <f>IF(OR($A423="",$Q423=""),"",$Q423-TODAY())</f>
        <v/>
      </c>
      <c r="AC423" s="111">
        <f>IF(OR($A423="",$O423=""),"",IFERROR(YEARFRAC($O423,TODAY(),1),"")</f>
        <v/>
      </c>
    </row>
    <row r="424">
      <c r="A424" s="46" t="n"/>
      <c r="B424" s="47" t="n"/>
      <c r="C424" s="47" t="n"/>
      <c r="D424" s="112" t="n"/>
      <c r="E424" s="46" t="n"/>
      <c r="F424" s="47" t="n"/>
      <c r="G424" s="47" t="n"/>
      <c r="H424" s="47" t="n"/>
      <c r="I424" s="47" t="n"/>
      <c r="J424" s="47" t="n"/>
      <c r="K424" s="47" t="n"/>
      <c r="L424" s="47" t="n"/>
      <c r="M424" s="47" t="n"/>
      <c r="N424" s="47" t="n"/>
      <c r="O424" s="112" t="n"/>
      <c r="P424" s="112" t="n"/>
      <c r="Q424" s="112" t="n"/>
      <c r="R424" s="47" t="n"/>
      <c r="S424" s="49" t="n"/>
      <c r="T424" s="49" t="n"/>
      <c r="U424" s="47" t="n"/>
      <c r="V424" s="47" t="n"/>
      <c r="W424" s="47" t="n"/>
      <c r="X424" s="47" t="n"/>
      <c r="Y424" s="47" t="n"/>
      <c r="Z424" s="50" t="n"/>
      <c r="AA424" s="50">
        <f>IF($A424="","",IF(OR($B424="",$E424="",$K424="",$O424="",$S424=""),"⚠ بيانات ناقصة","مكتمل"))</f>
        <v/>
      </c>
      <c r="AB424" s="51">
        <f>IF(OR($A424="",$Q424=""),"",$Q424-TODAY())</f>
        <v/>
      </c>
      <c r="AC424" s="113">
        <f>IF(OR($A424="",$O424=""),"",IFERROR(YEARFRAC($O424,TODAY(),1),"")</f>
        <v/>
      </c>
    </row>
    <row r="425">
      <c r="A425" s="39" t="n"/>
      <c r="B425" s="40" t="n"/>
      <c r="C425" s="40" t="n"/>
      <c r="D425" s="110" t="n"/>
      <c r="E425" s="39" t="n"/>
      <c r="F425" s="40" t="n"/>
      <c r="G425" s="40" t="n"/>
      <c r="H425" s="40" t="n"/>
      <c r="I425" s="40" t="n"/>
      <c r="J425" s="40" t="n"/>
      <c r="K425" s="40" t="n"/>
      <c r="L425" s="40" t="n"/>
      <c r="M425" s="40" t="n"/>
      <c r="N425" s="40" t="n"/>
      <c r="O425" s="110" t="n"/>
      <c r="P425" s="110" t="n"/>
      <c r="Q425" s="110" t="n"/>
      <c r="R425" s="40" t="n"/>
      <c r="S425" s="42" t="n"/>
      <c r="T425" s="42" t="n"/>
      <c r="U425" s="40" t="n"/>
      <c r="V425" s="40" t="n"/>
      <c r="W425" s="40" t="n"/>
      <c r="X425" s="40" t="n"/>
      <c r="Y425" s="40" t="n"/>
      <c r="Z425" s="43" t="n"/>
      <c r="AA425" s="43">
        <f>IF($A425="","",IF(OR($B425="",$E425="",$K425="",$O425="",$S425=""),"⚠ بيانات ناقصة","مكتمل"))</f>
        <v/>
      </c>
      <c r="AB425" s="44">
        <f>IF(OR($A425="",$Q425=""),"",$Q425-TODAY())</f>
        <v/>
      </c>
      <c r="AC425" s="111">
        <f>IF(OR($A425="",$O425=""),"",IFERROR(YEARFRAC($O425,TODAY(),1),"")</f>
        <v/>
      </c>
    </row>
    <row r="426">
      <c r="A426" s="46" t="n"/>
      <c r="B426" s="47" t="n"/>
      <c r="C426" s="47" t="n"/>
      <c r="D426" s="112" t="n"/>
      <c r="E426" s="46" t="n"/>
      <c r="F426" s="47" t="n"/>
      <c r="G426" s="47" t="n"/>
      <c r="H426" s="47" t="n"/>
      <c r="I426" s="47" t="n"/>
      <c r="J426" s="47" t="n"/>
      <c r="K426" s="47" t="n"/>
      <c r="L426" s="47" t="n"/>
      <c r="M426" s="47" t="n"/>
      <c r="N426" s="47" t="n"/>
      <c r="O426" s="112" t="n"/>
      <c r="P426" s="112" t="n"/>
      <c r="Q426" s="112" t="n"/>
      <c r="R426" s="47" t="n"/>
      <c r="S426" s="49" t="n"/>
      <c r="T426" s="49" t="n"/>
      <c r="U426" s="47" t="n"/>
      <c r="V426" s="47" t="n"/>
      <c r="W426" s="47" t="n"/>
      <c r="X426" s="47" t="n"/>
      <c r="Y426" s="47" t="n"/>
      <c r="Z426" s="50" t="n"/>
      <c r="AA426" s="50">
        <f>IF($A426="","",IF(OR($B426="",$E426="",$K426="",$O426="",$S426=""),"⚠ بيانات ناقصة","مكتمل"))</f>
        <v/>
      </c>
      <c r="AB426" s="51">
        <f>IF(OR($A426="",$Q426=""),"",$Q426-TODAY())</f>
        <v/>
      </c>
      <c r="AC426" s="113">
        <f>IF(OR($A426="",$O426=""),"",IFERROR(YEARFRAC($O426,TODAY(),1),"")</f>
        <v/>
      </c>
    </row>
    <row r="427">
      <c r="A427" s="39" t="n"/>
      <c r="B427" s="40" t="n"/>
      <c r="C427" s="40" t="n"/>
      <c r="D427" s="110" t="n"/>
      <c r="E427" s="39" t="n"/>
      <c r="F427" s="40" t="n"/>
      <c r="G427" s="40" t="n"/>
      <c r="H427" s="40" t="n"/>
      <c r="I427" s="40" t="n"/>
      <c r="J427" s="40" t="n"/>
      <c r="K427" s="40" t="n"/>
      <c r="L427" s="40" t="n"/>
      <c r="M427" s="40" t="n"/>
      <c r="N427" s="40" t="n"/>
      <c r="O427" s="110" t="n"/>
      <c r="P427" s="110" t="n"/>
      <c r="Q427" s="110" t="n"/>
      <c r="R427" s="40" t="n"/>
      <c r="S427" s="42" t="n"/>
      <c r="T427" s="42" t="n"/>
      <c r="U427" s="40" t="n"/>
      <c r="V427" s="40" t="n"/>
      <c r="W427" s="40" t="n"/>
      <c r="X427" s="40" t="n"/>
      <c r="Y427" s="40" t="n"/>
      <c r="Z427" s="43" t="n"/>
      <c r="AA427" s="43">
        <f>IF($A427="","",IF(OR($B427="",$E427="",$K427="",$O427="",$S427=""),"⚠ بيانات ناقصة","مكتمل"))</f>
        <v/>
      </c>
      <c r="AB427" s="44">
        <f>IF(OR($A427="",$Q427=""),"",$Q427-TODAY())</f>
        <v/>
      </c>
      <c r="AC427" s="111">
        <f>IF(OR($A427="",$O427=""),"",IFERROR(YEARFRAC($O427,TODAY(),1),"")</f>
        <v/>
      </c>
    </row>
    <row r="428">
      <c r="A428" s="46" t="n"/>
      <c r="B428" s="47" t="n"/>
      <c r="C428" s="47" t="n"/>
      <c r="D428" s="112" t="n"/>
      <c r="E428" s="46" t="n"/>
      <c r="F428" s="47" t="n"/>
      <c r="G428" s="47" t="n"/>
      <c r="H428" s="47" t="n"/>
      <c r="I428" s="47" t="n"/>
      <c r="J428" s="47" t="n"/>
      <c r="K428" s="47" t="n"/>
      <c r="L428" s="47" t="n"/>
      <c r="M428" s="47" t="n"/>
      <c r="N428" s="47" t="n"/>
      <c r="O428" s="112" t="n"/>
      <c r="P428" s="112" t="n"/>
      <c r="Q428" s="112" t="n"/>
      <c r="R428" s="47" t="n"/>
      <c r="S428" s="49" t="n"/>
      <c r="T428" s="49" t="n"/>
      <c r="U428" s="47" t="n"/>
      <c r="V428" s="47" t="n"/>
      <c r="W428" s="47" t="n"/>
      <c r="X428" s="47" t="n"/>
      <c r="Y428" s="47" t="n"/>
      <c r="Z428" s="50" t="n"/>
      <c r="AA428" s="50">
        <f>IF($A428="","",IF(OR($B428="",$E428="",$K428="",$O428="",$S428=""),"⚠ بيانات ناقصة","مكتمل"))</f>
        <v/>
      </c>
      <c r="AB428" s="51">
        <f>IF(OR($A428="",$Q428=""),"",$Q428-TODAY())</f>
        <v/>
      </c>
      <c r="AC428" s="113">
        <f>IF(OR($A428="",$O428=""),"",IFERROR(YEARFRAC($O428,TODAY(),1),"")</f>
        <v/>
      </c>
    </row>
    <row r="429">
      <c r="A429" s="39" t="n"/>
      <c r="B429" s="40" t="n"/>
      <c r="C429" s="40" t="n"/>
      <c r="D429" s="110" t="n"/>
      <c r="E429" s="39" t="n"/>
      <c r="F429" s="40" t="n"/>
      <c r="G429" s="40" t="n"/>
      <c r="H429" s="40" t="n"/>
      <c r="I429" s="40" t="n"/>
      <c r="J429" s="40" t="n"/>
      <c r="K429" s="40" t="n"/>
      <c r="L429" s="40" t="n"/>
      <c r="M429" s="40" t="n"/>
      <c r="N429" s="40" t="n"/>
      <c r="O429" s="110" t="n"/>
      <c r="P429" s="110" t="n"/>
      <c r="Q429" s="110" t="n"/>
      <c r="R429" s="40" t="n"/>
      <c r="S429" s="42" t="n"/>
      <c r="T429" s="42" t="n"/>
      <c r="U429" s="40" t="n"/>
      <c r="V429" s="40" t="n"/>
      <c r="W429" s="40" t="n"/>
      <c r="X429" s="40" t="n"/>
      <c r="Y429" s="40" t="n"/>
      <c r="Z429" s="43" t="n"/>
      <c r="AA429" s="43">
        <f>IF($A429="","",IF(OR($B429="",$E429="",$K429="",$O429="",$S429=""),"⚠ بيانات ناقصة","مكتمل"))</f>
        <v/>
      </c>
      <c r="AB429" s="44">
        <f>IF(OR($A429="",$Q429=""),"",$Q429-TODAY())</f>
        <v/>
      </c>
      <c r="AC429" s="111">
        <f>IF(OR($A429="",$O429=""),"",IFERROR(YEARFRAC($O429,TODAY(),1),"")</f>
        <v/>
      </c>
    </row>
    <row r="430">
      <c r="A430" s="46" t="n"/>
      <c r="B430" s="47" t="n"/>
      <c r="C430" s="47" t="n"/>
      <c r="D430" s="112" t="n"/>
      <c r="E430" s="46" t="n"/>
      <c r="F430" s="47" t="n"/>
      <c r="G430" s="47" t="n"/>
      <c r="H430" s="47" t="n"/>
      <c r="I430" s="47" t="n"/>
      <c r="J430" s="47" t="n"/>
      <c r="K430" s="47" t="n"/>
      <c r="L430" s="47" t="n"/>
      <c r="M430" s="47" t="n"/>
      <c r="N430" s="47" t="n"/>
      <c r="O430" s="112" t="n"/>
      <c r="P430" s="112" t="n"/>
      <c r="Q430" s="112" t="n"/>
      <c r="R430" s="47" t="n"/>
      <c r="S430" s="49" t="n"/>
      <c r="T430" s="49" t="n"/>
      <c r="U430" s="47" t="n"/>
      <c r="V430" s="47" t="n"/>
      <c r="W430" s="47" t="n"/>
      <c r="X430" s="47" t="n"/>
      <c r="Y430" s="47" t="n"/>
      <c r="Z430" s="50" t="n"/>
      <c r="AA430" s="50">
        <f>IF($A430="","",IF(OR($B430="",$E430="",$K430="",$O430="",$S430=""),"⚠ بيانات ناقصة","مكتمل"))</f>
        <v/>
      </c>
      <c r="AB430" s="51">
        <f>IF(OR($A430="",$Q430=""),"",$Q430-TODAY())</f>
        <v/>
      </c>
      <c r="AC430" s="113">
        <f>IF(OR($A430="",$O430=""),"",IFERROR(YEARFRAC($O430,TODAY(),1),"")</f>
        <v/>
      </c>
    </row>
    <row r="431">
      <c r="A431" s="39" t="n"/>
      <c r="B431" s="40" t="n"/>
      <c r="C431" s="40" t="n"/>
      <c r="D431" s="110" t="n"/>
      <c r="E431" s="39" t="n"/>
      <c r="F431" s="40" t="n"/>
      <c r="G431" s="40" t="n"/>
      <c r="H431" s="40" t="n"/>
      <c r="I431" s="40" t="n"/>
      <c r="J431" s="40" t="n"/>
      <c r="K431" s="40" t="n"/>
      <c r="L431" s="40" t="n"/>
      <c r="M431" s="40" t="n"/>
      <c r="N431" s="40" t="n"/>
      <c r="O431" s="110" t="n"/>
      <c r="P431" s="110" t="n"/>
      <c r="Q431" s="110" t="n"/>
      <c r="R431" s="40" t="n"/>
      <c r="S431" s="42" t="n"/>
      <c r="T431" s="42" t="n"/>
      <c r="U431" s="40" t="n"/>
      <c r="V431" s="40" t="n"/>
      <c r="W431" s="40" t="n"/>
      <c r="X431" s="40" t="n"/>
      <c r="Y431" s="40" t="n"/>
      <c r="Z431" s="43" t="n"/>
      <c r="AA431" s="43">
        <f>IF($A431="","",IF(OR($B431="",$E431="",$K431="",$O431="",$S431=""),"⚠ بيانات ناقصة","مكتمل"))</f>
        <v/>
      </c>
      <c r="AB431" s="44">
        <f>IF(OR($A431="",$Q431=""),"",$Q431-TODAY())</f>
        <v/>
      </c>
      <c r="AC431" s="111">
        <f>IF(OR($A431="",$O431=""),"",IFERROR(YEARFRAC($O431,TODAY(),1),"")</f>
        <v/>
      </c>
    </row>
    <row r="432">
      <c r="A432" s="46" t="n"/>
      <c r="B432" s="47" t="n"/>
      <c r="C432" s="47" t="n"/>
      <c r="D432" s="112" t="n"/>
      <c r="E432" s="46" t="n"/>
      <c r="F432" s="47" t="n"/>
      <c r="G432" s="47" t="n"/>
      <c r="H432" s="47" t="n"/>
      <c r="I432" s="47" t="n"/>
      <c r="J432" s="47" t="n"/>
      <c r="K432" s="47" t="n"/>
      <c r="L432" s="47" t="n"/>
      <c r="M432" s="47" t="n"/>
      <c r="N432" s="47" t="n"/>
      <c r="O432" s="112" t="n"/>
      <c r="P432" s="112" t="n"/>
      <c r="Q432" s="112" t="n"/>
      <c r="R432" s="47" t="n"/>
      <c r="S432" s="49" t="n"/>
      <c r="T432" s="49" t="n"/>
      <c r="U432" s="47" t="n"/>
      <c r="V432" s="47" t="n"/>
      <c r="W432" s="47" t="n"/>
      <c r="X432" s="47" t="n"/>
      <c r="Y432" s="47" t="n"/>
      <c r="Z432" s="50" t="n"/>
      <c r="AA432" s="50">
        <f>IF($A432="","",IF(OR($B432="",$E432="",$K432="",$O432="",$S432=""),"⚠ بيانات ناقصة","مكتمل"))</f>
        <v/>
      </c>
      <c r="AB432" s="51">
        <f>IF(OR($A432="",$Q432=""),"",$Q432-TODAY())</f>
        <v/>
      </c>
      <c r="AC432" s="113">
        <f>IF(OR($A432="",$O432=""),"",IFERROR(YEARFRAC($O432,TODAY(),1),"")</f>
        <v/>
      </c>
    </row>
    <row r="433">
      <c r="A433" s="39" t="n"/>
      <c r="B433" s="40" t="n"/>
      <c r="C433" s="40" t="n"/>
      <c r="D433" s="110" t="n"/>
      <c r="E433" s="39" t="n"/>
      <c r="F433" s="40" t="n"/>
      <c r="G433" s="40" t="n"/>
      <c r="H433" s="40" t="n"/>
      <c r="I433" s="40" t="n"/>
      <c r="J433" s="40" t="n"/>
      <c r="K433" s="40" t="n"/>
      <c r="L433" s="40" t="n"/>
      <c r="M433" s="40" t="n"/>
      <c r="N433" s="40" t="n"/>
      <c r="O433" s="110" t="n"/>
      <c r="P433" s="110" t="n"/>
      <c r="Q433" s="110" t="n"/>
      <c r="R433" s="40" t="n"/>
      <c r="S433" s="42" t="n"/>
      <c r="T433" s="42" t="n"/>
      <c r="U433" s="40" t="n"/>
      <c r="V433" s="40" t="n"/>
      <c r="W433" s="40" t="n"/>
      <c r="X433" s="40" t="n"/>
      <c r="Y433" s="40" t="n"/>
      <c r="Z433" s="43" t="n"/>
      <c r="AA433" s="43">
        <f>IF($A433="","",IF(OR($B433="",$E433="",$K433="",$O433="",$S433=""),"⚠ بيانات ناقصة","مكتمل"))</f>
        <v/>
      </c>
      <c r="AB433" s="44">
        <f>IF(OR($A433="",$Q433=""),"",$Q433-TODAY())</f>
        <v/>
      </c>
      <c r="AC433" s="111">
        <f>IF(OR($A433="",$O433=""),"",IFERROR(YEARFRAC($O433,TODAY(),1),"")</f>
        <v/>
      </c>
    </row>
    <row r="434">
      <c r="A434" s="46" t="n"/>
      <c r="B434" s="47" t="n"/>
      <c r="C434" s="47" t="n"/>
      <c r="D434" s="112" t="n"/>
      <c r="E434" s="46" t="n"/>
      <c r="F434" s="47" t="n"/>
      <c r="G434" s="47" t="n"/>
      <c r="H434" s="47" t="n"/>
      <c r="I434" s="47" t="n"/>
      <c r="J434" s="47" t="n"/>
      <c r="K434" s="47" t="n"/>
      <c r="L434" s="47" t="n"/>
      <c r="M434" s="47" t="n"/>
      <c r="N434" s="47" t="n"/>
      <c r="O434" s="112" t="n"/>
      <c r="P434" s="112" t="n"/>
      <c r="Q434" s="112" t="n"/>
      <c r="R434" s="47" t="n"/>
      <c r="S434" s="49" t="n"/>
      <c r="T434" s="49" t="n"/>
      <c r="U434" s="47" t="n"/>
      <c r="V434" s="47" t="n"/>
      <c r="W434" s="47" t="n"/>
      <c r="X434" s="47" t="n"/>
      <c r="Y434" s="47" t="n"/>
      <c r="Z434" s="50" t="n"/>
      <c r="AA434" s="50">
        <f>IF($A434="","",IF(OR($B434="",$E434="",$K434="",$O434="",$S434=""),"⚠ بيانات ناقصة","مكتمل"))</f>
        <v/>
      </c>
      <c r="AB434" s="51">
        <f>IF(OR($A434="",$Q434=""),"",$Q434-TODAY())</f>
        <v/>
      </c>
      <c r="AC434" s="113">
        <f>IF(OR($A434="",$O434=""),"",IFERROR(YEARFRAC($O434,TODAY(),1),"")</f>
        <v/>
      </c>
    </row>
    <row r="435">
      <c r="A435" s="39" t="n"/>
      <c r="B435" s="40" t="n"/>
      <c r="C435" s="40" t="n"/>
      <c r="D435" s="110" t="n"/>
      <c r="E435" s="39" t="n"/>
      <c r="F435" s="40" t="n"/>
      <c r="G435" s="40" t="n"/>
      <c r="H435" s="40" t="n"/>
      <c r="I435" s="40" t="n"/>
      <c r="J435" s="40" t="n"/>
      <c r="K435" s="40" t="n"/>
      <c r="L435" s="40" t="n"/>
      <c r="M435" s="40" t="n"/>
      <c r="N435" s="40" t="n"/>
      <c r="O435" s="110" t="n"/>
      <c r="P435" s="110" t="n"/>
      <c r="Q435" s="110" t="n"/>
      <c r="R435" s="40" t="n"/>
      <c r="S435" s="42" t="n"/>
      <c r="T435" s="42" t="n"/>
      <c r="U435" s="40" t="n"/>
      <c r="V435" s="40" t="n"/>
      <c r="W435" s="40" t="n"/>
      <c r="X435" s="40" t="n"/>
      <c r="Y435" s="40" t="n"/>
      <c r="Z435" s="43" t="n"/>
      <c r="AA435" s="43">
        <f>IF($A435="","",IF(OR($B435="",$E435="",$K435="",$O435="",$S435=""),"⚠ بيانات ناقصة","مكتمل"))</f>
        <v/>
      </c>
      <c r="AB435" s="44">
        <f>IF(OR($A435="",$Q435=""),"",$Q435-TODAY())</f>
        <v/>
      </c>
      <c r="AC435" s="111">
        <f>IF(OR($A435="",$O435=""),"",IFERROR(YEARFRAC($O435,TODAY(),1),"")</f>
        <v/>
      </c>
    </row>
    <row r="436">
      <c r="A436" s="46" t="n"/>
      <c r="B436" s="47" t="n"/>
      <c r="C436" s="47" t="n"/>
      <c r="D436" s="112" t="n"/>
      <c r="E436" s="46" t="n"/>
      <c r="F436" s="47" t="n"/>
      <c r="G436" s="47" t="n"/>
      <c r="H436" s="47" t="n"/>
      <c r="I436" s="47" t="n"/>
      <c r="J436" s="47" t="n"/>
      <c r="K436" s="47" t="n"/>
      <c r="L436" s="47" t="n"/>
      <c r="M436" s="47" t="n"/>
      <c r="N436" s="47" t="n"/>
      <c r="O436" s="112" t="n"/>
      <c r="P436" s="112" t="n"/>
      <c r="Q436" s="112" t="n"/>
      <c r="R436" s="47" t="n"/>
      <c r="S436" s="49" t="n"/>
      <c r="T436" s="49" t="n"/>
      <c r="U436" s="47" t="n"/>
      <c r="V436" s="47" t="n"/>
      <c r="W436" s="47" t="n"/>
      <c r="X436" s="47" t="n"/>
      <c r="Y436" s="47" t="n"/>
      <c r="Z436" s="50" t="n"/>
      <c r="AA436" s="50">
        <f>IF($A436="","",IF(OR($B436="",$E436="",$K436="",$O436="",$S436=""),"⚠ بيانات ناقصة","مكتمل"))</f>
        <v/>
      </c>
      <c r="AB436" s="51">
        <f>IF(OR($A436="",$Q436=""),"",$Q436-TODAY())</f>
        <v/>
      </c>
      <c r="AC436" s="113">
        <f>IF(OR($A436="",$O436=""),"",IFERROR(YEARFRAC($O436,TODAY(),1),"")</f>
        <v/>
      </c>
    </row>
    <row r="437">
      <c r="A437" s="39" t="n"/>
      <c r="B437" s="40" t="n"/>
      <c r="C437" s="40" t="n"/>
      <c r="D437" s="110" t="n"/>
      <c r="E437" s="39" t="n"/>
      <c r="F437" s="40" t="n"/>
      <c r="G437" s="40" t="n"/>
      <c r="H437" s="40" t="n"/>
      <c r="I437" s="40" t="n"/>
      <c r="J437" s="40" t="n"/>
      <c r="K437" s="40" t="n"/>
      <c r="L437" s="40" t="n"/>
      <c r="M437" s="40" t="n"/>
      <c r="N437" s="40" t="n"/>
      <c r="O437" s="110" t="n"/>
      <c r="P437" s="110" t="n"/>
      <c r="Q437" s="110" t="n"/>
      <c r="R437" s="40" t="n"/>
      <c r="S437" s="42" t="n"/>
      <c r="T437" s="42" t="n"/>
      <c r="U437" s="40" t="n"/>
      <c r="V437" s="40" t="n"/>
      <c r="W437" s="40" t="n"/>
      <c r="X437" s="40" t="n"/>
      <c r="Y437" s="40" t="n"/>
      <c r="Z437" s="43" t="n"/>
      <c r="AA437" s="43">
        <f>IF($A437="","",IF(OR($B437="",$E437="",$K437="",$O437="",$S437=""),"⚠ بيانات ناقصة","مكتمل"))</f>
        <v/>
      </c>
      <c r="AB437" s="44">
        <f>IF(OR($A437="",$Q437=""),"",$Q437-TODAY())</f>
        <v/>
      </c>
      <c r="AC437" s="111">
        <f>IF(OR($A437="",$O437=""),"",IFERROR(YEARFRAC($O437,TODAY(),1),"")</f>
        <v/>
      </c>
    </row>
    <row r="438">
      <c r="A438" s="46" t="n"/>
      <c r="B438" s="47" t="n"/>
      <c r="C438" s="47" t="n"/>
      <c r="D438" s="112" t="n"/>
      <c r="E438" s="46" t="n"/>
      <c r="F438" s="47" t="n"/>
      <c r="G438" s="47" t="n"/>
      <c r="H438" s="47" t="n"/>
      <c r="I438" s="47" t="n"/>
      <c r="J438" s="47" t="n"/>
      <c r="K438" s="47" t="n"/>
      <c r="L438" s="47" t="n"/>
      <c r="M438" s="47" t="n"/>
      <c r="N438" s="47" t="n"/>
      <c r="O438" s="112" t="n"/>
      <c r="P438" s="112" t="n"/>
      <c r="Q438" s="112" t="n"/>
      <c r="R438" s="47" t="n"/>
      <c r="S438" s="49" t="n"/>
      <c r="T438" s="49" t="n"/>
      <c r="U438" s="47" t="n"/>
      <c r="V438" s="47" t="n"/>
      <c r="W438" s="47" t="n"/>
      <c r="X438" s="47" t="n"/>
      <c r="Y438" s="47" t="n"/>
      <c r="Z438" s="50" t="n"/>
      <c r="AA438" s="50">
        <f>IF($A438="","",IF(OR($B438="",$E438="",$K438="",$O438="",$S438=""),"⚠ بيانات ناقصة","مكتمل"))</f>
        <v/>
      </c>
      <c r="AB438" s="51">
        <f>IF(OR($A438="",$Q438=""),"",$Q438-TODAY())</f>
        <v/>
      </c>
      <c r="AC438" s="113">
        <f>IF(OR($A438="",$O438=""),"",IFERROR(YEARFRAC($O438,TODAY(),1),"")</f>
        <v/>
      </c>
    </row>
    <row r="439">
      <c r="A439" s="39" t="n"/>
      <c r="B439" s="40" t="n"/>
      <c r="C439" s="40" t="n"/>
      <c r="D439" s="110" t="n"/>
      <c r="E439" s="39" t="n"/>
      <c r="F439" s="40" t="n"/>
      <c r="G439" s="40" t="n"/>
      <c r="H439" s="40" t="n"/>
      <c r="I439" s="40" t="n"/>
      <c r="J439" s="40" t="n"/>
      <c r="K439" s="40" t="n"/>
      <c r="L439" s="40" t="n"/>
      <c r="M439" s="40" t="n"/>
      <c r="N439" s="40" t="n"/>
      <c r="O439" s="110" t="n"/>
      <c r="P439" s="110" t="n"/>
      <c r="Q439" s="110" t="n"/>
      <c r="R439" s="40" t="n"/>
      <c r="S439" s="42" t="n"/>
      <c r="T439" s="42" t="n"/>
      <c r="U439" s="40" t="n"/>
      <c r="V439" s="40" t="n"/>
      <c r="W439" s="40" t="n"/>
      <c r="X439" s="40" t="n"/>
      <c r="Y439" s="40" t="n"/>
      <c r="Z439" s="43" t="n"/>
      <c r="AA439" s="43">
        <f>IF($A439="","",IF(OR($B439="",$E439="",$K439="",$O439="",$S439=""),"⚠ بيانات ناقصة","مكتمل"))</f>
        <v/>
      </c>
      <c r="AB439" s="44">
        <f>IF(OR($A439="",$Q439=""),"",$Q439-TODAY())</f>
        <v/>
      </c>
      <c r="AC439" s="111">
        <f>IF(OR($A439="",$O439=""),"",IFERROR(YEARFRAC($O439,TODAY(),1),"")</f>
        <v/>
      </c>
    </row>
    <row r="440">
      <c r="A440" s="46" t="n"/>
      <c r="B440" s="47" t="n"/>
      <c r="C440" s="47" t="n"/>
      <c r="D440" s="112" t="n"/>
      <c r="E440" s="46" t="n"/>
      <c r="F440" s="47" t="n"/>
      <c r="G440" s="47" t="n"/>
      <c r="H440" s="47" t="n"/>
      <c r="I440" s="47" t="n"/>
      <c r="J440" s="47" t="n"/>
      <c r="K440" s="47" t="n"/>
      <c r="L440" s="47" t="n"/>
      <c r="M440" s="47" t="n"/>
      <c r="N440" s="47" t="n"/>
      <c r="O440" s="112" t="n"/>
      <c r="P440" s="112" t="n"/>
      <c r="Q440" s="112" t="n"/>
      <c r="R440" s="47" t="n"/>
      <c r="S440" s="49" t="n"/>
      <c r="T440" s="49" t="n"/>
      <c r="U440" s="47" t="n"/>
      <c r="V440" s="47" t="n"/>
      <c r="W440" s="47" t="n"/>
      <c r="X440" s="47" t="n"/>
      <c r="Y440" s="47" t="n"/>
      <c r="Z440" s="50" t="n"/>
      <c r="AA440" s="50">
        <f>IF($A440="","",IF(OR($B440="",$E440="",$K440="",$O440="",$S440=""),"⚠ بيانات ناقصة","مكتمل"))</f>
        <v/>
      </c>
      <c r="AB440" s="51">
        <f>IF(OR($A440="",$Q440=""),"",$Q440-TODAY())</f>
        <v/>
      </c>
      <c r="AC440" s="113">
        <f>IF(OR($A440="",$O440=""),"",IFERROR(YEARFRAC($O440,TODAY(),1),"")</f>
        <v/>
      </c>
    </row>
    <row r="441">
      <c r="A441" s="39" t="n"/>
      <c r="B441" s="40" t="n"/>
      <c r="C441" s="40" t="n"/>
      <c r="D441" s="110" t="n"/>
      <c r="E441" s="39" t="n"/>
      <c r="F441" s="40" t="n"/>
      <c r="G441" s="40" t="n"/>
      <c r="H441" s="40" t="n"/>
      <c r="I441" s="40" t="n"/>
      <c r="J441" s="40" t="n"/>
      <c r="K441" s="40" t="n"/>
      <c r="L441" s="40" t="n"/>
      <c r="M441" s="40" t="n"/>
      <c r="N441" s="40" t="n"/>
      <c r="O441" s="110" t="n"/>
      <c r="P441" s="110" t="n"/>
      <c r="Q441" s="110" t="n"/>
      <c r="R441" s="40" t="n"/>
      <c r="S441" s="42" t="n"/>
      <c r="T441" s="42" t="n"/>
      <c r="U441" s="40" t="n"/>
      <c r="V441" s="40" t="n"/>
      <c r="W441" s="40" t="n"/>
      <c r="X441" s="40" t="n"/>
      <c r="Y441" s="40" t="n"/>
      <c r="Z441" s="43" t="n"/>
      <c r="AA441" s="43">
        <f>IF($A441="","",IF(OR($B441="",$E441="",$K441="",$O441="",$S441=""),"⚠ بيانات ناقصة","مكتمل"))</f>
        <v/>
      </c>
      <c r="AB441" s="44">
        <f>IF(OR($A441="",$Q441=""),"",$Q441-TODAY())</f>
        <v/>
      </c>
      <c r="AC441" s="111">
        <f>IF(OR($A441="",$O441=""),"",IFERROR(YEARFRAC($O441,TODAY(),1),"")</f>
        <v/>
      </c>
    </row>
    <row r="442">
      <c r="A442" s="46" t="n"/>
      <c r="B442" s="47" t="n"/>
      <c r="C442" s="47" t="n"/>
      <c r="D442" s="112" t="n"/>
      <c r="E442" s="46" t="n"/>
      <c r="F442" s="47" t="n"/>
      <c r="G442" s="47" t="n"/>
      <c r="H442" s="47" t="n"/>
      <c r="I442" s="47" t="n"/>
      <c r="J442" s="47" t="n"/>
      <c r="K442" s="47" t="n"/>
      <c r="L442" s="47" t="n"/>
      <c r="M442" s="47" t="n"/>
      <c r="N442" s="47" t="n"/>
      <c r="O442" s="112" t="n"/>
      <c r="P442" s="112" t="n"/>
      <c r="Q442" s="112" t="n"/>
      <c r="R442" s="47" t="n"/>
      <c r="S442" s="49" t="n"/>
      <c r="T442" s="49" t="n"/>
      <c r="U442" s="47" t="n"/>
      <c r="V442" s="47" t="n"/>
      <c r="W442" s="47" t="n"/>
      <c r="X442" s="47" t="n"/>
      <c r="Y442" s="47" t="n"/>
      <c r="Z442" s="50" t="n"/>
      <c r="AA442" s="50">
        <f>IF($A442="","",IF(OR($B442="",$E442="",$K442="",$O442="",$S442=""),"⚠ بيانات ناقصة","مكتمل"))</f>
        <v/>
      </c>
      <c r="AB442" s="51">
        <f>IF(OR($A442="",$Q442=""),"",$Q442-TODAY())</f>
        <v/>
      </c>
      <c r="AC442" s="113">
        <f>IF(OR($A442="",$O442=""),"",IFERROR(YEARFRAC($O442,TODAY(),1),"")</f>
        <v/>
      </c>
    </row>
    <row r="443">
      <c r="A443" s="39" t="n"/>
      <c r="B443" s="40" t="n"/>
      <c r="C443" s="40" t="n"/>
      <c r="D443" s="110" t="n"/>
      <c r="E443" s="39" t="n"/>
      <c r="F443" s="40" t="n"/>
      <c r="G443" s="40" t="n"/>
      <c r="H443" s="40" t="n"/>
      <c r="I443" s="40" t="n"/>
      <c r="J443" s="40" t="n"/>
      <c r="K443" s="40" t="n"/>
      <c r="L443" s="40" t="n"/>
      <c r="M443" s="40" t="n"/>
      <c r="N443" s="40" t="n"/>
      <c r="O443" s="110" t="n"/>
      <c r="P443" s="110" t="n"/>
      <c r="Q443" s="110" t="n"/>
      <c r="R443" s="40" t="n"/>
      <c r="S443" s="42" t="n"/>
      <c r="T443" s="42" t="n"/>
      <c r="U443" s="40" t="n"/>
      <c r="V443" s="40" t="n"/>
      <c r="W443" s="40" t="n"/>
      <c r="X443" s="40" t="n"/>
      <c r="Y443" s="40" t="n"/>
      <c r="Z443" s="43" t="n"/>
      <c r="AA443" s="43">
        <f>IF($A443="","",IF(OR($B443="",$E443="",$K443="",$O443="",$S443=""),"⚠ بيانات ناقصة","مكتمل"))</f>
        <v/>
      </c>
      <c r="AB443" s="44">
        <f>IF(OR($A443="",$Q443=""),"",$Q443-TODAY())</f>
        <v/>
      </c>
      <c r="AC443" s="111">
        <f>IF(OR($A443="",$O443=""),"",IFERROR(YEARFRAC($O443,TODAY(),1),"")</f>
        <v/>
      </c>
    </row>
    <row r="444">
      <c r="A444" s="46" t="n"/>
      <c r="B444" s="47" t="n"/>
      <c r="C444" s="47" t="n"/>
      <c r="D444" s="112" t="n"/>
      <c r="E444" s="46" t="n"/>
      <c r="F444" s="47" t="n"/>
      <c r="G444" s="47" t="n"/>
      <c r="H444" s="47" t="n"/>
      <c r="I444" s="47" t="n"/>
      <c r="J444" s="47" t="n"/>
      <c r="K444" s="47" t="n"/>
      <c r="L444" s="47" t="n"/>
      <c r="M444" s="47" t="n"/>
      <c r="N444" s="47" t="n"/>
      <c r="O444" s="112" t="n"/>
      <c r="P444" s="112" t="n"/>
      <c r="Q444" s="112" t="n"/>
      <c r="R444" s="47" t="n"/>
      <c r="S444" s="49" t="n"/>
      <c r="T444" s="49" t="n"/>
      <c r="U444" s="47" t="n"/>
      <c r="V444" s="47" t="n"/>
      <c r="W444" s="47" t="n"/>
      <c r="X444" s="47" t="n"/>
      <c r="Y444" s="47" t="n"/>
      <c r="Z444" s="50" t="n"/>
      <c r="AA444" s="50">
        <f>IF($A444="","",IF(OR($B444="",$E444="",$K444="",$O444="",$S444=""),"⚠ بيانات ناقصة","مكتمل"))</f>
        <v/>
      </c>
      <c r="AB444" s="51">
        <f>IF(OR($A444="",$Q444=""),"",$Q444-TODAY())</f>
        <v/>
      </c>
      <c r="AC444" s="113">
        <f>IF(OR($A444="",$O444=""),"",IFERROR(YEARFRAC($O444,TODAY(),1),"")</f>
        <v/>
      </c>
    </row>
    <row r="445">
      <c r="A445" s="39" t="n"/>
      <c r="B445" s="40" t="n"/>
      <c r="C445" s="40" t="n"/>
      <c r="D445" s="110" t="n"/>
      <c r="E445" s="39" t="n"/>
      <c r="F445" s="40" t="n"/>
      <c r="G445" s="40" t="n"/>
      <c r="H445" s="40" t="n"/>
      <c r="I445" s="40" t="n"/>
      <c r="J445" s="40" t="n"/>
      <c r="K445" s="40" t="n"/>
      <c r="L445" s="40" t="n"/>
      <c r="M445" s="40" t="n"/>
      <c r="N445" s="40" t="n"/>
      <c r="O445" s="110" t="n"/>
      <c r="P445" s="110" t="n"/>
      <c r="Q445" s="110" t="n"/>
      <c r="R445" s="40" t="n"/>
      <c r="S445" s="42" t="n"/>
      <c r="T445" s="42" t="n"/>
      <c r="U445" s="40" t="n"/>
      <c r="V445" s="40" t="n"/>
      <c r="W445" s="40" t="n"/>
      <c r="X445" s="40" t="n"/>
      <c r="Y445" s="40" t="n"/>
      <c r="Z445" s="43" t="n"/>
      <c r="AA445" s="43">
        <f>IF($A445="","",IF(OR($B445="",$E445="",$K445="",$O445="",$S445=""),"⚠ بيانات ناقصة","مكتمل"))</f>
        <v/>
      </c>
      <c r="AB445" s="44">
        <f>IF(OR($A445="",$Q445=""),"",$Q445-TODAY())</f>
        <v/>
      </c>
      <c r="AC445" s="111">
        <f>IF(OR($A445="",$O445=""),"",IFERROR(YEARFRAC($O445,TODAY(),1),"")</f>
        <v/>
      </c>
    </row>
    <row r="446">
      <c r="A446" s="46" t="n"/>
      <c r="B446" s="47" t="n"/>
      <c r="C446" s="47" t="n"/>
      <c r="D446" s="112" t="n"/>
      <c r="E446" s="46" t="n"/>
      <c r="F446" s="47" t="n"/>
      <c r="G446" s="47" t="n"/>
      <c r="H446" s="47" t="n"/>
      <c r="I446" s="47" t="n"/>
      <c r="J446" s="47" t="n"/>
      <c r="K446" s="47" t="n"/>
      <c r="L446" s="47" t="n"/>
      <c r="M446" s="47" t="n"/>
      <c r="N446" s="47" t="n"/>
      <c r="O446" s="112" t="n"/>
      <c r="P446" s="112" t="n"/>
      <c r="Q446" s="112" t="n"/>
      <c r="R446" s="47" t="n"/>
      <c r="S446" s="49" t="n"/>
      <c r="T446" s="49" t="n"/>
      <c r="U446" s="47" t="n"/>
      <c r="V446" s="47" t="n"/>
      <c r="W446" s="47" t="n"/>
      <c r="X446" s="47" t="n"/>
      <c r="Y446" s="47" t="n"/>
      <c r="Z446" s="50" t="n"/>
      <c r="AA446" s="50">
        <f>IF($A446="","",IF(OR($B446="",$E446="",$K446="",$O446="",$S446=""),"⚠ بيانات ناقصة","مكتمل"))</f>
        <v/>
      </c>
      <c r="AB446" s="51">
        <f>IF(OR($A446="",$Q446=""),"",$Q446-TODAY())</f>
        <v/>
      </c>
      <c r="AC446" s="113">
        <f>IF(OR($A446="",$O446=""),"",IFERROR(YEARFRAC($O446,TODAY(),1),"")</f>
        <v/>
      </c>
    </row>
    <row r="447">
      <c r="A447" s="39" t="n"/>
      <c r="B447" s="40" t="n"/>
      <c r="C447" s="40" t="n"/>
      <c r="D447" s="110" t="n"/>
      <c r="E447" s="39" t="n"/>
      <c r="F447" s="40" t="n"/>
      <c r="G447" s="40" t="n"/>
      <c r="H447" s="40" t="n"/>
      <c r="I447" s="40" t="n"/>
      <c r="J447" s="40" t="n"/>
      <c r="K447" s="40" t="n"/>
      <c r="L447" s="40" t="n"/>
      <c r="M447" s="40" t="n"/>
      <c r="N447" s="40" t="n"/>
      <c r="O447" s="110" t="n"/>
      <c r="P447" s="110" t="n"/>
      <c r="Q447" s="110" t="n"/>
      <c r="R447" s="40" t="n"/>
      <c r="S447" s="42" t="n"/>
      <c r="T447" s="42" t="n"/>
      <c r="U447" s="40" t="n"/>
      <c r="V447" s="40" t="n"/>
      <c r="W447" s="40" t="n"/>
      <c r="X447" s="40" t="n"/>
      <c r="Y447" s="40" t="n"/>
      <c r="Z447" s="43" t="n"/>
      <c r="AA447" s="43">
        <f>IF($A447="","",IF(OR($B447="",$E447="",$K447="",$O447="",$S447=""),"⚠ بيانات ناقصة","مكتمل"))</f>
        <v/>
      </c>
      <c r="AB447" s="44">
        <f>IF(OR($A447="",$Q447=""),"",$Q447-TODAY())</f>
        <v/>
      </c>
      <c r="AC447" s="111">
        <f>IF(OR($A447="",$O447=""),"",IFERROR(YEARFRAC($O447,TODAY(),1),"")</f>
        <v/>
      </c>
    </row>
    <row r="448">
      <c r="A448" s="46" t="n"/>
      <c r="B448" s="47" t="n"/>
      <c r="C448" s="47" t="n"/>
      <c r="D448" s="112" t="n"/>
      <c r="E448" s="46" t="n"/>
      <c r="F448" s="47" t="n"/>
      <c r="G448" s="47" t="n"/>
      <c r="H448" s="47" t="n"/>
      <c r="I448" s="47" t="n"/>
      <c r="J448" s="47" t="n"/>
      <c r="K448" s="47" t="n"/>
      <c r="L448" s="47" t="n"/>
      <c r="M448" s="47" t="n"/>
      <c r="N448" s="47" t="n"/>
      <c r="O448" s="112" t="n"/>
      <c r="P448" s="112" t="n"/>
      <c r="Q448" s="112" t="n"/>
      <c r="R448" s="47" t="n"/>
      <c r="S448" s="49" t="n"/>
      <c r="T448" s="49" t="n"/>
      <c r="U448" s="47" t="n"/>
      <c r="V448" s="47" t="n"/>
      <c r="W448" s="47" t="n"/>
      <c r="X448" s="47" t="n"/>
      <c r="Y448" s="47" t="n"/>
      <c r="Z448" s="50" t="n"/>
      <c r="AA448" s="50">
        <f>IF($A448="","",IF(OR($B448="",$E448="",$K448="",$O448="",$S448=""),"⚠ بيانات ناقصة","مكتمل"))</f>
        <v/>
      </c>
      <c r="AB448" s="51">
        <f>IF(OR($A448="",$Q448=""),"",$Q448-TODAY())</f>
        <v/>
      </c>
      <c r="AC448" s="113">
        <f>IF(OR($A448="",$O448=""),"",IFERROR(YEARFRAC($O448,TODAY(),1),"")</f>
        <v/>
      </c>
    </row>
    <row r="449">
      <c r="A449" s="39" t="n"/>
      <c r="B449" s="40" t="n"/>
      <c r="C449" s="40" t="n"/>
      <c r="D449" s="110" t="n"/>
      <c r="E449" s="39" t="n"/>
      <c r="F449" s="40" t="n"/>
      <c r="G449" s="40" t="n"/>
      <c r="H449" s="40" t="n"/>
      <c r="I449" s="40" t="n"/>
      <c r="J449" s="40" t="n"/>
      <c r="K449" s="40" t="n"/>
      <c r="L449" s="40" t="n"/>
      <c r="M449" s="40" t="n"/>
      <c r="N449" s="40" t="n"/>
      <c r="O449" s="110" t="n"/>
      <c r="P449" s="110" t="n"/>
      <c r="Q449" s="110" t="n"/>
      <c r="R449" s="40" t="n"/>
      <c r="S449" s="42" t="n"/>
      <c r="T449" s="42" t="n"/>
      <c r="U449" s="40" t="n"/>
      <c r="V449" s="40" t="n"/>
      <c r="W449" s="40" t="n"/>
      <c r="X449" s="40" t="n"/>
      <c r="Y449" s="40" t="n"/>
      <c r="Z449" s="43" t="n"/>
      <c r="AA449" s="43">
        <f>IF($A449="","",IF(OR($B449="",$E449="",$K449="",$O449="",$S449=""),"⚠ بيانات ناقصة","مكتمل"))</f>
        <v/>
      </c>
      <c r="AB449" s="44">
        <f>IF(OR($A449="",$Q449=""),"",$Q449-TODAY())</f>
        <v/>
      </c>
      <c r="AC449" s="111">
        <f>IF(OR($A449="",$O449=""),"",IFERROR(YEARFRAC($O449,TODAY(),1),"")</f>
        <v/>
      </c>
    </row>
    <row r="450">
      <c r="A450" s="46" t="n"/>
      <c r="B450" s="47" t="n"/>
      <c r="C450" s="47" t="n"/>
      <c r="D450" s="112" t="n"/>
      <c r="E450" s="46" t="n"/>
      <c r="F450" s="47" t="n"/>
      <c r="G450" s="47" t="n"/>
      <c r="H450" s="47" t="n"/>
      <c r="I450" s="47" t="n"/>
      <c r="J450" s="47" t="n"/>
      <c r="K450" s="47" t="n"/>
      <c r="L450" s="47" t="n"/>
      <c r="M450" s="47" t="n"/>
      <c r="N450" s="47" t="n"/>
      <c r="O450" s="112" t="n"/>
      <c r="P450" s="112" t="n"/>
      <c r="Q450" s="112" t="n"/>
      <c r="R450" s="47" t="n"/>
      <c r="S450" s="49" t="n"/>
      <c r="T450" s="49" t="n"/>
      <c r="U450" s="47" t="n"/>
      <c r="V450" s="47" t="n"/>
      <c r="W450" s="47" t="n"/>
      <c r="X450" s="47" t="n"/>
      <c r="Y450" s="47" t="n"/>
      <c r="Z450" s="50" t="n"/>
      <c r="AA450" s="50">
        <f>IF($A450="","",IF(OR($B450="",$E450="",$K450="",$O450="",$S450=""),"⚠ بيانات ناقصة","مكتمل"))</f>
        <v/>
      </c>
      <c r="AB450" s="51">
        <f>IF(OR($A450="",$Q450=""),"",$Q450-TODAY())</f>
        <v/>
      </c>
      <c r="AC450" s="113">
        <f>IF(OR($A450="",$O450=""),"",IFERROR(YEARFRAC($O450,TODAY(),1),"")</f>
        <v/>
      </c>
    </row>
    <row r="451">
      <c r="A451" s="39" t="n"/>
      <c r="B451" s="40" t="n"/>
      <c r="C451" s="40" t="n"/>
      <c r="D451" s="110" t="n"/>
      <c r="E451" s="39" t="n"/>
      <c r="F451" s="40" t="n"/>
      <c r="G451" s="40" t="n"/>
      <c r="H451" s="40" t="n"/>
      <c r="I451" s="40" t="n"/>
      <c r="J451" s="40" t="n"/>
      <c r="K451" s="40" t="n"/>
      <c r="L451" s="40" t="n"/>
      <c r="M451" s="40" t="n"/>
      <c r="N451" s="40" t="n"/>
      <c r="O451" s="110" t="n"/>
      <c r="P451" s="110" t="n"/>
      <c r="Q451" s="110" t="n"/>
      <c r="R451" s="40" t="n"/>
      <c r="S451" s="42" t="n"/>
      <c r="T451" s="42" t="n"/>
      <c r="U451" s="40" t="n"/>
      <c r="V451" s="40" t="n"/>
      <c r="W451" s="40" t="n"/>
      <c r="X451" s="40" t="n"/>
      <c r="Y451" s="40" t="n"/>
      <c r="Z451" s="43" t="n"/>
      <c r="AA451" s="43">
        <f>IF($A451="","",IF(OR($B451="",$E451="",$K451="",$O451="",$S451=""),"⚠ بيانات ناقصة","مكتمل"))</f>
        <v/>
      </c>
      <c r="AB451" s="44">
        <f>IF(OR($A451="",$Q451=""),"",$Q451-TODAY())</f>
        <v/>
      </c>
      <c r="AC451" s="111">
        <f>IF(OR($A451="",$O451=""),"",IFERROR(YEARFRAC($O451,TODAY(),1),"")</f>
        <v/>
      </c>
    </row>
    <row r="452">
      <c r="A452" s="46" t="n"/>
      <c r="B452" s="47" t="n"/>
      <c r="C452" s="47" t="n"/>
      <c r="D452" s="112" t="n"/>
      <c r="E452" s="46" t="n"/>
      <c r="F452" s="47" t="n"/>
      <c r="G452" s="47" t="n"/>
      <c r="H452" s="47" t="n"/>
      <c r="I452" s="47" t="n"/>
      <c r="J452" s="47" t="n"/>
      <c r="K452" s="47" t="n"/>
      <c r="L452" s="47" t="n"/>
      <c r="M452" s="47" t="n"/>
      <c r="N452" s="47" t="n"/>
      <c r="O452" s="112" t="n"/>
      <c r="P452" s="112" t="n"/>
      <c r="Q452" s="112" t="n"/>
      <c r="R452" s="47" t="n"/>
      <c r="S452" s="49" t="n"/>
      <c r="T452" s="49" t="n"/>
      <c r="U452" s="47" t="n"/>
      <c r="V452" s="47" t="n"/>
      <c r="W452" s="47" t="n"/>
      <c r="X452" s="47" t="n"/>
      <c r="Y452" s="47" t="n"/>
      <c r="Z452" s="50" t="n"/>
      <c r="AA452" s="50">
        <f>IF($A452="","",IF(OR($B452="",$E452="",$K452="",$O452="",$S452=""),"⚠ بيانات ناقصة","مكتمل"))</f>
        <v/>
      </c>
      <c r="AB452" s="51">
        <f>IF(OR($A452="",$Q452=""),"",$Q452-TODAY())</f>
        <v/>
      </c>
      <c r="AC452" s="113">
        <f>IF(OR($A452="",$O452=""),"",IFERROR(YEARFRAC($O452,TODAY(),1),"")</f>
        <v/>
      </c>
    </row>
    <row r="453">
      <c r="A453" s="39" t="n"/>
      <c r="B453" s="40" t="n"/>
      <c r="C453" s="40" t="n"/>
      <c r="D453" s="110" t="n"/>
      <c r="E453" s="39" t="n"/>
      <c r="F453" s="40" t="n"/>
      <c r="G453" s="40" t="n"/>
      <c r="H453" s="40" t="n"/>
      <c r="I453" s="40" t="n"/>
      <c r="J453" s="40" t="n"/>
      <c r="K453" s="40" t="n"/>
      <c r="L453" s="40" t="n"/>
      <c r="M453" s="40" t="n"/>
      <c r="N453" s="40" t="n"/>
      <c r="O453" s="110" t="n"/>
      <c r="P453" s="110" t="n"/>
      <c r="Q453" s="110" t="n"/>
      <c r="R453" s="40" t="n"/>
      <c r="S453" s="42" t="n"/>
      <c r="T453" s="42" t="n"/>
      <c r="U453" s="40" t="n"/>
      <c r="V453" s="40" t="n"/>
      <c r="W453" s="40" t="n"/>
      <c r="X453" s="40" t="n"/>
      <c r="Y453" s="40" t="n"/>
      <c r="Z453" s="43" t="n"/>
      <c r="AA453" s="43">
        <f>IF($A453="","",IF(OR($B453="",$E453="",$K453="",$O453="",$S453=""),"⚠ بيانات ناقصة","مكتمل"))</f>
        <v/>
      </c>
      <c r="AB453" s="44">
        <f>IF(OR($A453="",$Q453=""),"",$Q453-TODAY())</f>
        <v/>
      </c>
      <c r="AC453" s="111">
        <f>IF(OR($A453="",$O453=""),"",IFERROR(YEARFRAC($O453,TODAY(),1),"")</f>
        <v/>
      </c>
    </row>
    <row r="454">
      <c r="A454" s="46" t="n"/>
      <c r="B454" s="47" t="n"/>
      <c r="C454" s="47" t="n"/>
      <c r="D454" s="112" t="n"/>
      <c r="E454" s="46" t="n"/>
      <c r="F454" s="47" t="n"/>
      <c r="G454" s="47" t="n"/>
      <c r="H454" s="47" t="n"/>
      <c r="I454" s="47" t="n"/>
      <c r="J454" s="47" t="n"/>
      <c r="K454" s="47" t="n"/>
      <c r="L454" s="47" t="n"/>
      <c r="M454" s="47" t="n"/>
      <c r="N454" s="47" t="n"/>
      <c r="O454" s="112" t="n"/>
      <c r="P454" s="112" t="n"/>
      <c r="Q454" s="112" t="n"/>
      <c r="R454" s="47" t="n"/>
      <c r="S454" s="49" t="n"/>
      <c r="T454" s="49" t="n"/>
      <c r="U454" s="47" t="n"/>
      <c r="V454" s="47" t="n"/>
      <c r="W454" s="47" t="n"/>
      <c r="X454" s="47" t="n"/>
      <c r="Y454" s="47" t="n"/>
      <c r="Z454" s="50" t="n"/>
      <c r="AA454" s="50">
        <f>IF($A454="","",IF(OR($B454="",$E454="",$K454="",$O454="",$S454=""),"⚠ بيانات ناقصة","مكتمل"))</f>
        <v/>
      </c>
      <c r="AB454" s="51">
        <f>IF(OR($A454="",$Q454=""),"",$Q454-TODAY())</f>
        <v/>
      </c>
      <c r="AC454" s="113">
        <f>IF(OR($A454="",$O454=""),"",IFERROR(YEARFRAC($O454,TODAY(),1),"")</f>
        <v/>
      </c>
    </row>
    <row r="455">
      <c r="A455" s="39" t="n"/>
      <c r="B455" s="40" t="n"/>
      <c r="C455" s="40" t="n"/>
      <c r="D455" s="110" t="n"/>
      <c r="E455" s="39" t="n"/>
      <c r="F455" s="40" t="n"/>
      <c r="G455" s="40" t="n"/>
      <c r="H455" s="40" t="n"/>
      <c r="I455" s="40" t="n"/>
      <c r="J455" s="40" t="n"/>
      <c r="K455" s="40" t="n"/>
      <c r="L455" s="40" t="n"/>
      <c r="M455" s="40" t="n"/>
      <c r="N455" s="40" t="n"/>
      <c r="O455" s="110" t="n"/>
      <c r="P455" s="110" t="n"/>
      <c r="Q455" s="110" t="n"/>
      <c r="R455" s="40" t="n"/>
      <c r="S455" s="42" t="n"/>
      <c r="T455" s="42" t="n"/>
      <c r="U455" s="40" t="n"/>
      <c r="V455" s="40" t="n"/>
      <c r="W455" s="40" t="n"/>
      <c r="X455" s="40" t="n"/>
      <c r="Y455" s="40" t="n"/>
      <c r="Z455" s="43" t="n"/>
      <c r="AA455" s="43">
        <f>IF($A455="","",IF(OR($B455="",$E455="",$K455="",$O455="",$S455=""),"⚠ بيانات ناقصة","مكتمل"))</f>
        <v/>
      </c>
      <c r="AB455" s="44">
        <f>IF(OR($A455="",$Q455=""),"",$Q455-TODAY())</f>
        <v/>
      </c>
      <c r="AC455" s="111">
        <f>IF(OR($A455="",$O455=""),"",IFERROR(YEARFRAC($O455,TODAY(),1),"")</f>
        <v/>
      </c>
    </row>
    <row r="456">
      <c r="A456" s="46" t="n"/>
      <c r="B456" s="47" t="n"/>
      <c r="C456" s="47" t="n"/>
      <c r="D456" s="112" t="n"/>
      <c r="E456" s="46" t="n"/>
      <c r="F456" s="47" t="n"/>
      <c r="G456" s="47" t="n"/>
      <c r="H456" s="47" t="n"/>
      <c r="I456" s="47" t="n"/>
      <c r="J456" s="47" t="n"/>
      <c r="K456" s="47" t="n"/>
      <c r="L456" s="47" t="n"/>
      <c r="M456" s="47" t="n"/>
      <c r="N456" s="47" t="n"/>
      <c r="O456" s="112" t="n"/>
      <c r="P456" s="112" t="n"/>
      <c r="Q456" s="112" t="n"/>
      <c r="R456" s="47" t="n"/>
      <c r="S456" s="49" t="n"/>
      <c r="T456" s="49" t="n"/>
      <c r="U456" s="47" t="n"/>
      <c r="V456" s="47" t="n"/>
      <c r="W456" s="47" t="n"/>
      <c r="X456" s="47" t="n"/>
      <c r="Y456" s="47" t="n"/>
      <c r="Z456" s="50" t="n"/>
      <c r="AA456" s="50">
        <f>IF($A456="","",IF(OR($B456="",$E456="",$K456="",$O456="",$S456=""),"⚠ بيانات ناقصة","مكتمل"))</f>
        <v/>
      </c>
      <c r="AB456" s="51">
        <f>IF(OR($A456="",$Q456=""),"",$Q456-TODAY())</f>
        <v/>
      </c>
      <c r="AC456" s="113">
        <f>IF(OR($A456="",$O456=""),"",IFERROR(YEARFRAC($O456,TODAY(),1),"")</f>
        <v/>
      </c>
    </row>
    <row r="457">
      <c r="A457" s="39" t="n"/>
      <c r="B457" s="40" t="n"/>
      <c r="C457" s="40" t="n"/>
      <c r="D457" s="110" t="n"/>
      <c r="E457" s="39" t="n"/>
      <c r="F457" s="40" t="n"/>
      <c r="G457" s="40" t="n"/>
      <c r="H457" s="40" t="n"/>
      <c r="I457" s="40" t="n"/>
      <c r="J457" s="40" t="n"/>
      <c r="K457" s="40" t="n"/>
      <c r="L457" s="40" t="n"/>
      <c r="M457" s="40" t="n"/>
      <c r="N457" s="40" t="n"/>
      <c r="O457" s="110" t="n"/>
      <c r="P457" s="110" t="n"/>
      <c r="Q457" s="110" t="n"/>
      <c r="R457" s="40" t="n"/>
      <c r="S457" s="42" t="n"/>
      <c r="T457" s="42" t="n"/>
      <c r="U457" s="40" t="n"/>
      <c r="V457" s="40" t="n"/>
      <c r="W457" s="40" t="n"/>
      <c r="X457" s="40" t="n"/>
      <c r="Y457" s="40" t="n"/>
      <c r="Z457" s="43" t="n"/>
      <c r="AA457" s="43">
        <f>IF($A457="","",IF(OR($B457="",$E457="",$K457="",$O457="",$S457=""),"⚠ بيانات ناقصة","مكتمل"))</f>
        <v/>
      </c>
      <c r="AB457" s="44">
        <f>IF(OR($A457="",$Q457=""),"",$Q457-TODAY())</f>
        <v/>
      </c>
      <c r="AC457" s="111">
        <f>IF(OR($A457="",$O457=""),"",IFERROR(YEARFRAC($O457,TODAY(),1),"")</f>
        <v/>
      </c>
    </row>
    <row r="458">
      <c r="A458" s="46" t="n"/>
      <c r="B458" s="47" t="n"/>
      <c r="C458" s="47" t="n"/>
      <c r="D458" s="112" t="n"/>
      <c r="E458" s="46" t="n"/>
      <c r="F458" s="47" t="n"/>
      <c r="G458" s="47" t="n"/>
      <c r="H458" s="47" t="n"/>
      <c r="I458" s="47" t="n"/>
      <c r="J458" s="47" t="n"/>
      <c r="K458" s="47" t="n"/>
      <c r="L458" s="47" t="n"/>
      <c r="M458" s="47" t="n"/>
      <c r="N458" s="47" t="n"/>
      <c r="O458" s="112" t="n"/>
      <c r="P458" s="112" t="n"/>
      <c r="Q458" s="112" t="n"/>
      <c r="R458" s="47" t="n"/>
      <c r="S458" s="49" t="n"/>
      <c r="T458" s="49" t="n"/>
      <c r="U458" s="47" t="n"/>
      <c r="V458" s="47" t="n"/>
      <c r="W458" s="47" t="n"/>
      <c r="X458" s="47" t="n"/>
      <c r="Y458" s="47" t="n"/>
      <c r="Z458" s="50" t="n"/>
      <c r="AA458" s="50">
        <f>IF($A458="","",IF(OR($B458="",$E458="",$K458="",$O458="",$S458=""),"⚠ بيانات ناقصة","مكتمل"))</f>
        <v/>
      </c>
      <c r="AB458" s="51">
        <f>IF(OR($A458="",$Q458=""),"",$Q458-TODAY())</f>
        <v/>
      </c>
      <c r="AC458" s="113">
        <f>IF(OR($A458="",$O458=""),"",IFERROR(YEARFRAC($O458,TODAY(),1),"")</f>
        <v/>
      </c>
    </row>
    <row r="459">
      <c r="A459" s="39" t="n"/>
      <c r="B459" s="40" t="n"/>
      <c r="C459" s="40" t="n"/>
      <c r="D459" s="110" t="n"/>
      <c r="E459" s="39" t="n"/>
      <c r="F459" s="40" t="n"/>
      <c r="G459" s="40" t="n"/>
      <c r="H459" s="40" t="n"/>
      <c r="I459" s="40" t="n"/>
      <c r="J459" s="40" t="n"/>
      <c r="K459" s="40" t="n"/>
      <c r="L459" s="40" t="n"/>
      <c r="M459" s="40" t="n"/>
      <c r="N459" s="40" t="n"/>
      <c r="O459" s="110" t="n"/>
      <c r="P459" s="110" t="n"/>
      <c r="Q459" s="110" t="n"/>
      <c r="R459" s="40" t="n"/>
      <c r="S459" s="42" t="n"/>
      <c r="T459" s="42" t="n"/>
      <c r="U459" s="40" t="n"/>
      <c r="V459" s="40" t="n"/>
      <c r="W459" s="40" t="n"/>
      <c r="X459" s="40" t="n"/>
      <c r="Y459" s="40" t="n"/>
      <c r="Z459" s="43" t="n"/>
      <c r="AA459" s="43">
        <f>IF($A459="","",IF(OR($B459="",$E459="",$K459="",$O459="",$S459=""),"⚠ بيانات ناقصة","مكتمل"))</f>
        <v/>
      </c>
      <c r="AB459" s="44">
        <f>IF(OR($A459="",$Q459=""),"",$Q459-TODAY())</f>
        <v/>
      </c>
      <c r="AC459" s="111">
        <f>IF(OR($A459="",$O459=""),"",IFERROR(YEARFRAC($O459,TODAY(),1),"")</f>
        <v/>
      </c>
    </row>
    <row r="460">
      <c r="A460" s="46" t="n"/>
      <c r="B460" s="47" t="n"/>
      <c r="C460" s="47" t="n"/>
      <c r="D460" s="112" t="n"/>
      <c r="E460" s="46" t="n"/>
      <c r="F460" s="47" t="n"/>
      <c r="G460" s="47" t="n"/>
      <c r="H460" s="47" t="n"/>
      <c r="I460" s="47" t="n"/>
      <c r="J460" s="47" t="n"/>
      <c r="K460" s="47" t="n"/>
      <c r="L460" s="47" t="n"/>
      <c r="M460" s="47" t="n"/>
      <c r="N460" s="47" t="n"/>
      <c r="O460" s="112" t="n"/>
      <c r="P460" s="112" t="n"/>
      <c r="Q460" s="112" t="n"/>
      <c r="R460" s="47" t="n"/>
      <c r="S460" s="49" t="n"/>
      <c r="T460" s="49" t="n"/>
      <c r="U460" s="47" t="n"/>
      <c r="V460" s="47" t="n"/>
      <c r="W460" s="47" t="n"/>
      <c r="X460" s="47" t="n"/>
      <c r="Y460" s="47" t="n"/>
      <c r="Z460" s="50" t="n"/>
      <c r="AA460" s="50">
        <f>IF($A460="","",IF(OR($B460="",$E460="",$K460="",$O460="",$S460=""),"⚠ بيانات ناقصة","مكتمل"))</f>
        <v/>
      </c>
      <c r="AB460" s="51">
        <f>IF(OR($A460="",$Q460=""),"",$Q460-TODAY())</f>
        <v/>
      </c>
      <c r="AC460" s="113">
        <f>IF(OR($A460="",$O460=""),"",IFERROR(YEARFRAC($O460,TODAY(),1),"")</f>
        <v/>
      </c>
    </row>
    <row r="461">
      <c r="A461" s="39" t="n"/>
      <c r="B461" s="40" t="n"/>
      <c r="C461" s="40" t="n"/>
      <c r="D461" s="110" t="n"/>
      <c r="E461" s="39" t="n"/>
      <c r="F461" s="40" t="n"/>
      <c r="G461" s="40" t="n"/>
      <c r="H461" s="40" t="n"/>
      <c r="I461" s="40" t="n"/>
      <c r="J461" s="40" t="n"/>
      <c r="K461" s="40" t="n"/>
      <c r="L461" s="40" t="n"/>
      <c r="M461" s="40" t="n"/>
      <c r="N461" s="40" t="n"/>
      <c r="O461" s="110" t="n"/>
      <c r="P461" s="110" t="n"/>
      <c r="Q461" s="110" t="n"/>
      <c r="R461" s="40" t="n"/>
      <c r="S461" s="42" t="n"/>
      <c r="T461" s="42" t="n"/>
      <c r="U461" s="40" t="n"/>
      <c r="V461" s="40" t="n"/>
      <c r="W461" s="40" t="n"/>
      <c r="X461" s="40" t="n"/>
      <c r="Y461" s="40" t="n"/>
      <c r="Z461" s="43" t="n"/>
      <c r="AA461" s="43">
        <f>IF($A461="","",IF(OR($B461="",$E461="",$K461="",$O461="",$S461=""),"⚠ بيانات ناقصة","مكتمل"))</f>
        <v/>
      </c>
      <c r="AB461" s="44">
        <f>IF(OR($A461="",$Q461=""),"",$Q461-TODAY())</f>
        <v/>
      </c>
      <c r="AC461" s="111">
        <f>IF(OR($A461="",$O461=""),"",IFERROR(YEARFRAC($O461,TODAY(),1),"")</f>
        <v/>
      </c>
    </row>
    <row r="462">
      <c r="A462" s="46" t="n"/>
      <c r="B462" s="47" t="n"/>
      <c r="C462" s="47" t="n"/>
      <c r="D462" s="112" t="n"/>
      <c r="E462" s="46" t="n"/>
      <c r="F462" s="47" t="n"/>
      <c r="G462" s="47" t="n"/>
      <c r="H462" s="47" t="n"/>
      <c r="I462" s="47" t="n"/>
      <c r="J462" s="47" t="n"/>
      <c r="K462" s="47" t="n"/>
      <c r="L462" s="47" t="n"/>
      <c r="M462" s="47" t="n"/>
      <c r="N462" s="47" t="n"/>
      <c r="O462" s="112" t="n"/>
      <c r="P462" s="112" t="n"/>
      <c r="Q462" s="112" t="n"/>
      <c r="R462" s="47" t="n"/>
      <c r="S462" s="49" t="n"/>
      <c r="T462" s="49" t="n"/>
      <c r="U462" s="47" t="n"/>
      <c r="V462" s="47" t="n"/>
      <c r="W462" s="47" t="n"/>
      <c r="X462" s="47" t="n"/>
      <c r="Y462" s="47" t="n"/>
      <c r="Z462" s="50" t="n"/>
      <c r="AA462" s="50">
        <f>IF($A462="","",IF(OR($B462="",$E462="",$K462="",$O462="",$S462=""),"⚠ بيانات ناقصة","مكتمل"))</f>
        <v/>
      </c>
      <c r="AB462" s="51">
        <f>IF(OR($A462="",$Q462=""),"",$Q462-TODAY())</f>
        <v/>
      </c>
      <c r="AC462" s="113">
        <f>IF(OR($A462="",$O462=""),"",IFERROR(YEARFRAC($O462,TODAY(),1),"")</f>
        <v/>
      </c>
    </row>
    <row r="463">
      <c r="A463" s="39" t="n"/>
      <c r="B463" s="40" t="n"/>
      <c r="C463" s="40" t="n"/>
      <c r="D463" s="110" t="n"/>
      <c r="E463" s="39" t="n"/>
      <c r="F463" s="40" t="n"/>
      <c r="G463" s="40" t="n"/>
      <c r="H463" s="40" t="n"/>
      <c r="I463" s="40" t="n"/>
      <c r="J463" s="40" t="n"/>
      <c r="K463" s="40" t="n"/>
      <c r="L463" s="40" t="n"/>
      <c r="M463" s="40" t="n"/>
      <c r="N463" s="40" t="n"/>
      <c r="O463" s="110" t="n"/>
      <c r="P463" s="110" t="n"/>
      <c r="Q463" s="110" t="n"/>
      <c r="R463" s="40" t="n"/>
      <c r="S463" s="42" t="n"/>
      <c r="T463" s="42" t="n"/>
      <c r="U463" s="40" t="n"/>
      <c r="V463" s="40" t="n"/>
      <c r="W463" s="40" t="n"/>
      <c r="X463" s="40" t="n"/>
      <c r="Y463" s="40" t="n"/>
      <c r="Z463" s="43" t="n"/>
      <c r="AA463" s="43">
        <f>IF($A463="","",IF(OR($B463="",$E463="",$K463="",$O463="",$S463=""),"⚠ بيانات ناقصة","مكتمل"))</f>
        <v/>
      </c>
      <c r="AB463" s="44">
        <f>IF(OR($A463="",$Q463=""),"",$Q463-TODAY())</f>
        <v/>
      </c>
      <c r="AC463" s="111">
        <f>IF(OR($A463="",$O463=""),"",IFERROR(YEARFRAC($O463,TODAY(),1),"")</f>
        <v/>
      </c>
    </row>
    <row r="464">
      <c r="A464" s="46" t="n"/>
      <c r="B464" s="47" t="n"/>
      <c r="C464" s="47" t="n"/>
      <c r="D464" s="112" t="n"/>
      <c r="E464" s="46" t="n"/>
      <c r="F464" s="47" t="n"/>
      <c r="G464" s="47" t="n"/>
      <c r="H464" s="47" t="n"/>
      <c r="I464" s="47" t="n"/>
      <c r="J464" s="47" t="n"/>
      <c r="K464" s="47" t="n"/>
      <c r="L464" s="47" t="n"/>
      <c r="M464" s="47" t="n"/>
      <c r="N464" s="47" t="n"/>
      <c r="O464" s="112" t="n"/>
      <c r="P464" s="112" t="n"/>
      <c r="Q464" s="112" t="n"/>
      <c r="R464" s="47" t="n"/>
      <c r="S464" s="49" t="n"/>
      <c r="T464" s="49" t="n"/>
      <c r="U464" s="47" t="n"/>
      <c r="V464" s="47" t="n"/>
      <c r="W464" s="47" t="n"/>
      <c r="X464" s="47" t="n"/>
      <c r="Y464" s="47" t="n"/>
      <c r="Z464" s="50" t="n"/>
      <c r="AA464" s="50">
        <f>IF($A464="","",IF(OR($B464="",$E464="",$K464="",$O464="",$S464=""),"⚠ بيانات ناقصة","مكتمل"))</f>
        <v/>
      </c>
      <c r="AB464" s="51">
        <f>IF(OR($A464="",$Q464=""),"",$Q464-TODAY())</f>
        <v/>
      </c>
      <c r="AC464" s="113">
        <f>IF(OR($A464="",$O464=""),"",IFERROR(YEARFRAC($O464,TODAY(),1),"")</f>
        <v/>
      </c>
    </row>
    <row r="465">
      <c r="A465" s="39" t="n"/>
      <c r="B465" s="40" t="n"/>
      <c r="C465" s="40" t="n"/>
      <c r="D465" s="110" t="n"/>
      <c r="E465" s="39" t="n"/>
      <c r="F465" s="40" t="n"/>
      <c r="G465" s="40" t="n"/>
      <c r="H465" s="40" t="n"/>
      <c r="I465" s="40" t="n"/>
      <c r="J465" s="40" t="n"/>
      <c r="K465" s="40" t="n"/>
      <c r="L465" s="40" t="n"/>
      <c r="M465" s="40" t="n"/>
      <c r="N465" s="40" t="n"/>
      <c r="O465" s="110" t="n"/>
      <c r="P465" s="110" t="n"/>
      <c r="Q465" s="110" t="n"/>
      <c r="R465" s="40" t="n"/>
      <c r="S465" s="42" t="n"/>
      <c r="T465" s="42" t="n"/>
      <c r="U465" s="40" t="n"/>
      <c r="V465" s="40" t="n"/>
      <c r="W465" s="40" t="n"/>
      <c r="X465" s="40" t="n"/>
      <c r="Y465" s="40" t="n"/>
      <c r="Z465" s="43" t="n"/>
      <c r="AA465" s="43">
        <f>IF($A465="","",IF(OR($B465="",$E465="",$K465="",$O465="",$S465=""),"⚠ بيانات ناقصة","مكتمل"))</f>
        <v/>
      </c>
      <c r="AB465" s="44">
        <f>IF(OR($A465="",$Q465=""),"",$Q465-TODAY())</f>
        <v/>
      </c>
      <c r="AC465" s="111">
        <f>IF(OR($A465="",$O465=""),"",IFERROR(YEARFRAC($O465,TODAY(),1),"")</f>
        <v/>
      </c>
    </row>
    <row r="466">
      <c r="A466" s="46" t="n"/>
      <c r="B466" s="47" t="n"/>
      <c r="C466" s="47" t="n"/>
      <c r="D466" s="112" t="n"/>
      <c r="E466" s="46" t="n"/>
      <c r="F466" s="47" t="n"/>
      <c r="G466" s="47" t="n"/>
      <c r="H466" s="47" t="n"/>
      <c r="I466" s="47" t="n"/>
      <c r="J466" s="47" t="n"/>
      <c r="K466" s="47" t="n"/>
      <c r="L466" s="47" t="n"/>
      <c r="M466" s="47" t="n"/>
      <c r="N466" s="47" t="n"/>
      <c r="O466" s="112" t="n"/>
      <c r="P466" s="112" t="n"/>
      <c r="Q466" s="112" t="n"/>
      <c r="R466" s="47" t="n"/>
      <c r="S466" s="49" t="n"/>
      <c r="T466" s="49" t="n"/>
      <c r="U466" s="47" t="n"/>
      <c r="V466" s="47" t="n"/>
      <c r="W466" s="47" t="n"/>
      <c r="X466" s="47" t="n"/>
      <c r="Y466" s="47" t="n"/>
      <c r="Z466" s="50" t="n"/>
      <c r="AA466" s="50">
        <f>IF($A466="","",IF(OR($B466="",$E466="",$K466="",$O466="",$S466=""),"⚠ بيانات ناقصة","مكتمل"))</f>
        <v/>
      </c>
      <c r="AB466" s="51">
        <f>IF(OR($A466="",$Q466=""),"",$Q466-TODAY())</f>
        <v/>
      </c>
      <c r="AC466" s="113">
        <f>IF(OR($A466="",$O466=""),"",IFERROR(YEARFRAC($O466,TODAY(),1),"")</f>
        <v/>
      </c>
    </row>
    <row r="467">
      <c r="A467" s="39" t="n"/>
      <c r="B467" s="40" t="n"/>
      <c r="C467" s="40" t="n"/>
      <c r="D467" s="110" t="n"/>
      <c r="E467" s="39" t="n"/>
      <c r="F467" s="40" t="n"/>
      <c r="G467" s="40" t="n"/>
      <c r="H467" s="40" t="n"/>
      <c r="I467" s="40" t="n"/>
      <c r="J467" s="40" t="n"/>
      <c r="K467" s="40" t="n"/>
      <c r="L467" s="40" t="n"/>
      <c r="M467" s="40" t="n"/>
      <c r="N467" s="40" t="n"/>
      <c r="O467" s="110" t="n"/>
      <c r="P467" s="110" t="n"/>
      <c r="Q467" s="110" t="n"/>
      <c r="R467" s="40" t="n"/>
      <c r="S467" s="42" t="n"/>
      <c r="T467" s="42" t="n"/>
      <c r="U467" s="40" t="n"/>
      <c r="V467" s="40" t="n"/>
      <c r="W467" s="40" t="n"/>
      <c r="X467" s="40" t="n"/>
      <c r="Y467" s="40" t="n"/>
      <c r="Z467" s="43" t="n"/>
      <c r="AA467" s="43">
        <f>IF($A467="","",IF(OR($B467="",$E467="",$K467="",$O467="",$S467=""),"⚠ بيانات ناقصة","مكتمل"))</f>
        <v/>
      </c>
      <c r="AB467" s="44">
        <f>IF(OR($A467="",$Q467=""),"",$Q467-TODAY())</f>
        <v/>
      </c>
      <c r="AC467" s="111">
        <f>IF(OR($A467="",$O467=""),"",IFERROR(YEARFRAC($O467,TODAY(),1),"")</f>
        <v/>
      </c>
    </row>
    <row r="468">
      <c r="A468" s="46" t="n"/>
      <c r="B468" s="47" t="n"/>
      <c r="C468" s="47" t="n"/>
      <c r="D468" s="112" t="n"/>
      <c r="E468" s="46" t="n"/>
      <c r="F468" s="47" t="n"/>
      <c r="G468" s="47" t="n"/>
      <c r="H468" s="47" t="n"/>
      <c r="I468" s="47" t="n"/>
      <c r="J468" s="47" t="n"/>
      <c r="K468" s="47" t="n"/>
      <c r="L468" s="47" t="n"/>
      <c r="M468" s="47" t="n"/>
      <c r="N468" s="47" t="n"/>
      <c r="O468" s="112" t="n"/>
      <c r="P468" s="112" t="n"/>
      <c r="Q468" s="112" t="n"/>
      <c r="R468" s="47" t="n"/>
      <c r="S468" s="49" t="n"/>
      <c r="T468" s="49" t="n"/>
      <c r="U468" s="47" t="n"/>
      <c r="V468" s="47" t="n"/>
      <c r="W468" s="47" t="n"/>
      <c r="X468" s="47" t="n"/>
      <c r="Y468" s="47" t="n"/>
      <c r="Z468" s="50" t="n"/>
      <c r="AA468" s="50">
        <f>IF($A468="","",IF(OR($B468="",$E468="",$K468="",$O468="",$S468=""),"⚠ بيانات ناقصة","مكتمل"))</f>
        <v/>
      </c>
      <c r="AB468" s="51">
        <f>IF(OR($A468="",$Q468=""),"",$Q468-TODAY())</f>
        <v/>
      </c>
      <c r="AC468" s="113">
        <f>IF(OR($A468="",$O468=""),"",IFERROR(YEARFRAC($O468,TODAY(),1),"")</f>
        <v/>
      </c>
    </row>
    <row r="469">
      <c r="A469" s="39" t="n"/>
      <c r="B469" s="40" t="n"/>
      <c r="C469" s="40" t="n"/>
      <c r="D469" s="110" t="n"/>
      <c r="E469" s="39" t="n"/>
      <c r="F469" s="40" t="n"/>
      <c r="G469" s="40" t="n"/>
      <c r="H469" s="40" t="n"/>
      <c r="I469" s="40" t="n"/>
      <c r="J469" s="40" t="n"/>
      <c r="K469" s="40" t="n"/>
      <c r="L469" s="40" t="n"/>
      <c r="M469" s="40" t="n"/>
      <c r="N469" s="40" t="n"/>
      <c r="O469" s="110" t="n"/>
      <c r="P469" s="110" t="n"/>
      <c r="Q469" s="110" t="n"/>
      <c r="R469" s="40" t="n"/>
      <c r="S469" s="42" t="n"/>
      <c r="T469" s="42" t="n"/>
      <c r="U469" s="40" t="n"/>
      <c r="V469" s="40" t="n"/>
      <c r="W469" s="40" t="n"/>
      <c r="X469" s="40" t="n"/>
      <c r="Y469" s="40" t="n"/>
      <c r="Z469" s="43" t="n"/>
      <c r="AA469" s="43">
        <f>IF($A469="","",IF(OR($B469="",$E469="",$K469="",$O469="",$S469=""),"⚠ بيانات ناقصة","مكتمل"))</f>
        <v/>
      </c>
      <c r="AB469" s="44">
        <f>IF(OR($A469="",$Q469=""),"",$Q469-TODAY())</f>
        <v/>
      </c>
      <c r="AC469" s="111">
        <f>IF(OR($A469="",$O469=""),"",IFERROR(YEARFRAC($O469,TODAY(),1),"")</f>
        <v/>
      </c>
    </row>
    <row r="470">
      <c r="A470" s="46" t="n"/>
      <c r="B470" s="47" t="n"/>
      <c r="C470" s="47" t="n"/>
      <c r="D470" s="112" t="n"/>
      <c r="E470" s="46" t="n"/>
      <c r="F470" s="47" t="n"/>
      <c r="G470" s="47" t="n"/>
      <c r="H470" s="47" t="n"/>
      <c r="I470" s="47" t="n"/>
      <c r="J470" s="47" t="n"/>
      <c r="K470" s="47" t="n"/>
      <c r="L470" s="47" t="n"/>
      <c r="M470" s="47" t="n"/>
      <c r="N470" s="47" t="n"/>
      <c r="O470" s="112" t="n"/>
      <c r="P470" s="112" t="n"/>
      <c r="Q470" s="112" t="n"/>
      <c r="R470" s="47" t="n"/>
      <c r="S470" s="49" t="n"/>
      <c r="T470" s="49" t="n"/>
      <c r="U470" s="47" t="n"/>
      <c r="V470" s="47" t="n"/>
      <c r="W470" s="47" t="n"/>
      <c r="X470" s="47" t="n"/>
      <c r="Y470" s="47" t="n"/>
      <c r="Z470" s="50" t="n"/>
      <c r="AA470" s="50">
        <f>IF($A470="","",IF(OR($B470="",$E470="",$K470="",$O470="",$S470=""),"⚠ بيانات ناقصة","مكتمل"))</f>
        <v/>
      </c>
      <c r="AB470" s="51">
        <f>IF(OR($A470="",$Q470=""),"",$Q470-TODAY())</f>
        <v/>
      </c>
      <c r="AC470" s="113">
        <f>IF(OR($A470="",$O470=""),"",IFERROR(YEARFRAC($O470,TODAY(),1),"")</f>
        <v/>
      </c>
    </row>
    <row r="471">
      <c r="A471" s="39" t="n"/>
      <c r="B471" s="40" t="n"/>
      <c r="C471" s="40" t="n"/>
      <c r="D471" s="110" t="n"/>
      <c r="E471" s="39" t="n"/>
      <c r="F471" s="40" t="n"/>
      <c r="G471" s="40" t="n"/>
      <c r="H471" s="40" t="n"/>
      <c r="I471" s="40" t="n"/>
      <c r="J471" s="40" t="n"/>
      <c r="K471" s="40" t="n"/>
      <c r="L471" s="40" t="n"/>
      <c r="M471" s="40" t="n"/>
      <c r="N471" s="40" t="n"/>
      <c r="O471" s="110" t="n"/>
      <c r="P471" s="110" t="n"/>
      <c r="Q471" s="110" t="n"/>
      <c r="R471" s="40" t="n"/>
      <c r="S471" s="42" t="n"/>
      <c r="T471" s="42" t="n"/>
      <c r="U471" s="40" t="n"/>
      <c r="V471" s="40" t="n"/>
      <c r="W471" s="40" t="n"/>
      <c r="X471" s="40" t="n"/>
      <c r="Y471" s="40" t="n"/>
      <c r="Z471" s="43" t="n"/>
      <c r="AA471" s="43">
        <f>IF($A471="","",IF(OR($B471="",$E471="",$K471="",$O471="",$S471=""),"⚠ بيانات ناقصة","مكتمل"))</f>
        <v/>
      </c>
      <c r="AB471" s="44">
        <f>IF(OR($A471="",$Q471=""),"",$Q471-TODAY())</f>
        <v/>
      </c>
      <c r="AC471" s="111">
        <f>IF(OR($A471="",$O471=""),"",IFERROR(YEARFRAC($O471,TODAY(),1),"")</f>
        <v/>
      </c>
    </row>
    <row r="472">
      <c r="A472" s="46" t="n"/>
      <c r="B472" s="47" t="n"/>
      <c r="C472" s="47" t="n"/>
      <c r="D472" s="112" t="n"/>
      <c r="E472" s="46" t="n"/>
      <c r="F472" s="47" t="n"/>
      <c r="G472" s="47" t="n"/>
      <c r="H472" s="47" t="n"/>
      <c r="I472" s="47" t="n"/>
      <c r="J472" s="47" t="n"/>
      <c r="K472" s="47" t="n"/>
      <c r="L472" s="47" t="n"/>
      <c r="M472" s="47" t="n"/>
      <c r="N472" s="47" t="n"/>
      <c r="O472" s="112" t="n"/>
      <c r="P472" s="112" t="n"/>
      <c r="Q472" s="112" t="n"/>
      <c r="R472" s="47" t="n"/>
      <c r="S472" s="49" t="n"/>
      <c r="T472" s="49" t="n"/>
      <c r="U472" s="47" t="n"/>
      <c r="V472" s="47" t="n"/>
      <c r="W472" s="47" t="n"/>
      <c r="X472" s="47" t="n"/>
      <c r="Y472" s="47" t="n"/>
      <c r="Z472" s="50" t="n"/>
      <c r="AA472" s="50">
        <f>IF($A472="","",IF(OR($B472="",$E472="",$K472="",$O472="",$S472=""),"⚠ بيانات ناقصة","مكتمل"))</f>
        <v/>
      </c>
      <c r="AB472" s="51">
        <f>IF(OR($A472="",$Q472=""),"",$Q472-TODAY())</f>
        <v/>
      </c>
      <c r="AC472" s="113">
        <f>IF(OR($A472="",$O472=""),"",IFERROR(YEARFRAC($O472,TODAY(),1),"")</f>
        <v/>
      </c>
    </row>
    <row r="473">
      <c r="A473" s="39" t="n"/>
      <c r="B473" s="40" t="n"/>
      <c r="C473" s="40" t="n"/>
      <c r="D473" s="110" t="n"/>
      <c r="E473" s="39" t="n"/>
      <c r="F473" s="40" t="n"/>
      <c r="G473" s="40" t="n"/>
      <c r="H473" s="40" t="n"/>
      <c r="I473" s="40" t="n"/>
      <c r="J473" s="40" t="n"/>
      <c r="K473" s="40" t="n"/>
      <c r="L473" s="40" t="n"/>
      <c r="M473" s="40" t="n"/>
      <c r="N473" s="40" t="n"/>
      <c r="O473" s="110" t="n"/>
      <c r="P473" s="110" t="n"/>
      <c r="Q473" s="110" t="n"/>
      <c r="R473" s="40" t="n"/>
      <c r="S473" s="42" t="n"/>
      <c r="T473" s="42" t="n"/>
      <c r="U473" s="40" t="n"/>
      <c r="V473" s="40" t="n"/>
      <c r="W473" s="40" t="n"/>
      <c r="X473" s="40" t="n"/>
      <c r="Y473" s="40" t="n"/>
      <c r="Z473" s="43" t="n"/>
      <c r="AA473" s="43">
        <f>IF($A473="","",IF(OR($B473="",$E473="",$K473="",$O473="",$S473=""),"⚠ بيانات ناقصة","مكتمل"))</f>
        <v/>
      </c>
      <c r="AB473" s="44">
        <f>IF(OR($A473="",$Q473=""),"",$Q473-TODAY())</f>
        <v/>
      </c>
      <c r="AC473" s="111">
        <f>IF(OR($A473="",$O473=""),"",IFERROR(YEARFRAC($O473,TODAY(),1),"")</f>
        <v/>
      </c>
    </row>
    <row r="474">
      <c r="A474" s="46" t="n"/>
      <c r="B474" s="47" t="n"/>
      <c r="C474" s="47" t="n"/>
      <c r="D474" s="112" t="n"/>
      <c r="E474" s="46" t="n"/>
      <c r="F474" s="47" t="n"/>
      <c r="G474" s="47" t="n"/>
      <c r="H474" s="47" t="n"/>
      <c r="I474" s="47" t="n"/>
      <c r="J474" s="47" t="n"/>
      <c r="K474" s="47" t="n"/>
      <c r="L474" s="47" t="n"/>
      <c r="M474" s="47" t="n"/>
      <c r="N474" s="47" t="n"/>
      <c r="O474" s="112" t="n"/>
      <c r="P474" s="112" t="n"/>
      <c r="Q474" s="112" t="n"/>
      <c r="R474" s="47" t="n"/>
      <c r="S474" s="49" t="n"/>
      <c r="T474" s="49" t="n"/>
      <c r="U474" s="47" t="n"/>
      <c r="V474" s="47" t="n"/>
      <c r="W474" s="47" t="n"/>
      <c r="X474" s="47" t="n"/>
      <c r="Y474" s="47" t="n"/>
      <c r="Z474" s="50" t="n"/>
      <c r="AA474" s="50">
        <f>IF($A474="","",IF(OR($B474="",$E474="",$K474="",$O474="",$S474=""),"⚠ بيانات ناقصة","مكتمل"))</f>
        <v/>
      </c>
      <c r="AB474" s="51">
        <f>IF(OR($A474="",$Q474=""),"",$Q474-TODAY())</f>
        <v/>
      </c>
      <c r="AC474" s="113">
        <f>IF(OR($A474="",$O474=""),"",IFERROR(YEARFRAC($O474,TODAY(),1),"")</f>
        <v/>
      </c>
    </row>
    <row r="475">
      <c r="A475" s="39" t="n"/>
      <c r="B475" s="40" t="n"/>
      <c r="C475" s="40" t="n"/>
      <c r="D475" s="110" t="n"/>
      <c r="E475" s="39" t="n"/>
      <c r="F475" s="40" t="n"/>
      <c r="G475" s="40" t="n"/>
      <c r="H475" s="40" t="n"/>
      <c r="I475" s="40" t="n"/>
      <c r="J475" s="40" t="n"/>
      <c r="K475" s="40" t="n"/>
      <c r="L475" s="40" t="n"/>
      <c r="M475" s="40" t="n"/>
      <c r="N475" s="40" t="n"/>
      <c r="O475" s="110" t="n"/>
      <c r="P475" s="110" t="n"/>
      <c r="Q475" s="110" t="n"/>
      <c r="R475" s="40" t="n"/>
      <c r="S475" s="42" t="n"/>
      <c r="T475" s="42" t="n"/>
      <c r="U475" s="40" t="n"/>
      <c r="V475" s="40" t="n"/>
      <c r="W475" s="40" t="n"/>
      <c r="X475" s="40" t="n"/>
      <c r="Y475" s="40" t="n"/>
      <c r="Z475" s="43" t="n"/>
      <c r="AA475" s="43">
        <f>IF($A475="","",IF(OR($B475="",$E475="",$K475="",$O475="",$S475=""),"⚠ بيانات ناقصة","مكتمل"))</f>
        <v/>
      </c>
      <c r="AB475" s="44">
        <f>IF(OR($A475="",$Q475=""),"",$Q475-TODAY())</f>
        <v/>
      </c>
      <c r="AC475" s="111">
        <f>IF(OR($A475="",$O475=""),"",IFERROR(YEARFRAC($O475,TODAY(),1),"")</f>
        <v/>
      </c>
    </row>
    <row r="476">
      <c r="A476" s="46" t="n"/>
      <c r="B476" s="47" t="n"/>
      <c r="C476" s="47" t="n"/>
      <c r="D476" s="112" t="n"/>
      <c r="E476" s="46" t="n"/>
      <c r="F476" s="47" t="n"/>
      <c r="G476" s="47" t="n"/>
      <c r="H476" s="47" t="n"/>
      <c r="I476" s="47" t="n"/>
      <c r="J476" s="47" t="n"/>
      <c r="K476" s="47" t="n"/>
      <c r="L476" s="47" t="n"/>
      <c r="M476" s="47" t="n"/>
      <c r="N476" s="47" t="n"/>
      <c r="O476" s="112" t="n"/>
      <c r="P476" s="112" t="n"/>
      <c r="Q476" s="112" t="n"/>
      <c r="R476" s="47" t="n"/>
      <c r="S476" s="49" t="n"/>
      <c r="T476" s="49" t="n"/>
      <c r="U476" s="47" t="n"/>
      <c r="V476" s="47" t="n"/>
      <c r="W476" s="47" t="n"/>
      <c r="X476" s="47" t="n"/>
      <c r="Y476" s="47" t="n"/>
      <c r="Z476" s="50" t="n"/>
      <c r="AA476" s="50">
        <f>IF($A476="","",IF(OR($B476="",$E476="",$K476="",$O476="",$S476=""),"⚠ بيانات ناقصة","مكتمل"))</f>
        <v/>
      </c>
      <c r="AB476" s="51">
        <f>IF(OR($A476="",$Q476=""),"",$Q476-TODAY())</f>
        <v/>
      </c>
      <c r="AC476" s="113">
        <f>IF(OR($A476="",$O476=""),"",IFERROR(YEARFRAC($O476,TODAY(),1),"")</f>
        <v/>
      </c>
    </row>
    <row r="477">
      <c r="A477" s="39" t="n"/>
      <c r="B477" s="40" t="n"/>
      <c r="C477" s="40" t="n"/>
      <c r="D477" s="110" t="n"/>
      <c r="E477" s="39" t="n"/>
      <c r="F477" s="40" t="n"/>
      <c r="G477" s="40" t="n"/>
      <c r="H477" s="40" t="n"/>
      <c r="I477" s="40" t="n"/>
      <c r="J477" s="40" t="n"/>
      <c r="K477" s="40" t="n"/>
      <c r="L477" s="40" t="n"/>
      <c r="M477" s="40" t="n"/>
      <c r="N477" s="40" t="n"/>
      <c r="O477" s="110" t="n"/>
      <c r="P477" s="110" t="n"/>
      <c r="Q477" s="110" t="n"/>
      <c r="R477" s="40" t="n"/>
      <c r="S477" s="42" t="n"/>
      <c r="T477" s="42" t="n"/>
      <c r="U477" s="40" t="n"/>
      <c r="V477" s="40" t="n"/>
      <c r="W477" s="40" t="n"/>
      <c r="X477" s="40" t="n"/>
      <c r="Y477" s="40" t="n"/>
      <c r="Z477" s="43" t="n"/>
      <c r="AA477" s="43">
        <f>IF($A477="","",IF(OR($B477="",$E477="",$K477="",$O477="",$S477=""),"⚠ بيانات ناقصة","مكتمل"))</f>
        <v/>
      </c>
      <c r="AB477" s="44">
        <f>IF(OR($A477="",$Q477=""),"",$Q477-TODAY())</f>
        <v/>
      </c>
      <c r="AC477" s="111">
        <f>IF(OR($A477="",$O477=""),"",IFERROR(YEARFRAC($O477,TODAY(),1),"")</f>
        <v/>
      </c>
    </row>
    <row r="478">
      <c r="A478" s="46" t="n"/>
      <c r="B478" s="47" t="n"/>
      <c r="C478" s="47" t="n"/>
      <c r="D478" s="112" t="n"/>
      <c r="E478" s="46" t="n"/>
      <c r="F478" s="47" t="n"/>
      <c r="G478" s="47" t="n"/>
      <c r="H478" s="47" t="n"/>
      <c r="I478" s="47" t="n"/>
      <c r="J478" s="47" t="n"/>
      <c r="K478" s="47" t="n"/>
      <c r="L478" s="47" t="n"/>
      <c r="M478" s="47" t="n"/>
      <c r="N478" s="47" t="n"/>
      <c r="O478" s="112" t="n"/>
      <c r="P478" s="112" t="n"/>
      <c r="Q478" s="112" t="n"/>
      <c r="R478" s="47" t="n"/>
      <c r="S478" s="49" t="n"/>
      <c r="T478" s="49" t="n"/>
      <c r="U478" s="47" t="n"/>
      <c r="V478" s="47" t="n"/>
      <c r="W478" s="47" t="n"/>
      <c r="X478" s="47" t="n"/>
      <c r="Y478" s="47" t="n"/>
      <c r="Z478" s="50" t="n"/>
      <c r="AA478" s="50">
        <f>IF($A478="","",IF(OR($B478="",$E478="",$K478="",$O478="",$S478=""),"⚠ بيانات ناقصة","مكتمل"))</f>
        <v/>
      </c>
      <c r="AB478" s="51">
        <f>IF(OR($A478="",$Q478=""),"",$Q478-TODAY())</f>
        <v/>
      </c>
      <c r="AC478" s="113">
        <f>IF(OR($A478="",$O478=""),"",IFERROR(YEARFRAC($O478,TODAY(),1),"")</f>
        <v/>
      </c>
    </row>
    <row r="479">
      <c r="A479" s="39" t="n"/>
      <c r="B479" s="40" t="n"/>
      <c r="C479" s="40" t="n"/>
      <c r="D479" s="110" t="n"/>
      <c r="E479" s="39" t="n"/>
      <c r="F479" s="40" t="n"/>
      <c r="G479" s="40" t="n"/>
      <c r="H479" s="40" t="n"/>
      <c r="I479" s="40" t="n"/>
      <c r="J479" s="40" t="n"/>
      <c r="K479" s="40" t="n"/>
      <c r="L479" s="40" t="n"/>
      <c r="M479" s="40" t="n"/>
      <c r="N479" s="40" t="n"/>
      <c r="O479" s="110" t="n"/>
      <c r="P479" s="110" t="n"/>
      <c r="Q479" s="110" t="n"/>
      <c r="R479" s="40" t="n"/>
      <c r="S479" s="42" t="n"/>
      <c r="T479" s="42" t="n"/>
      <c r="U479" s="40" t="n"/>
      <c r="V479" s="40" t="n"/>
      <c r="W479" s="40" t="n"/>
      <c r="X479" s="40" t="n"/>
      <c r="Y479" s="40" t="n"/>
      <c r="Z479" s="43" t="n"/>
      <c r="AA479" s="43">
        <f>IF($A479="","",IF(OR($B479="",$E479="",$K479="",$O479="",$S479=""),"⚠ بيانات ناقصة","مكتمل"))</f>
        <v/>
      </c>
      <c r="AB479" s="44">
        <f>IF(OR($A479="",$Q479=""),"",$Q479-TODAY())</f>
        <v/>
      </c>
      <c r="AC479" s="111">
        <f>IF(OR($A479="",$O479=""),"",IFERROR(YEARFRAC($O479,TODAY(),1),"")</f>
        <v/>
      </c>
    </row>
    <row r="480">
      <c r="A480" s="46" t="n"/>
      <c r="B480" s="47" t="n"/>
      <c r="C480" s="47" t="n"/>
      <c r="D480" s="112" t="n"/>
      <c r="E480" s="46" t="n"/>
      <c r="F480" s="47" t="n"/>
      <c r="G480" s="47" t="n"/>
      <c r="H480" s="47" t="n"/>
      <c r="I480" s="47" t="n"/>
      <c r="J480" s="47" t="n"/>
      <c r="K480" s="47" t="n"/>
      <c r="L480" s="47" t="n"/>
      <c r="M480" s="47" t="n"/>
      <c r="N480" s="47" t="n"/>
      <c r="O480" s="112" t="n"/>
      <c r="P480" s="112" t="n"/>
      <c r="Q480" s="112" t="n"/>
      <c r="R480" s="47" t="n"/>
      <c r="S480" s="49" t="n"/>
      <c r="T480" s="49" t="n"/>
      <c r="U480" s="47" t="n"/>
      <c r="V480" s="47" t="n"/>
      <c r="W480" s="47" t="n"/>
      <c r="X480" s="47" t="n"/>
      <c r="Y480" s="47" t="n"/>
      <c r="Z480" s="50" t="n"/>
      <c r="AA480" s="50">
        <f>IF($A480="","",IF(OR($B480="",$E480="",$K480="",$O480="",$S480=""),"⚠ بيانات ناقصة","مكتمل"))</f>
        <v/>
      </c>
      <c r="AB480" s="51">
        <f>IF(OR($A480="",$Q480=""),"",$Q480-TODAY())</f>
        <v/>
      </c>
      <c r="AC480" s="113">
        <f>IF(OR($A480="",$O480=""),"",IFERROR(YEARFRAC($O480,TODAY(),1),"")</f>
        <v/>
      </c>
    </row>
    <row r="481">
      <c r="A481" s="39" t="n"/>
      <c r="B481" s="40" t="n"/>
      <c r="C481" s="40" t="n"/>
      <c r="D481" s="110" t="n"/>
      <c r="E481" s="39" t="n"/>
      <c r="F481" s="40" t="n"/>
      <c r="G481" s="40" t="n"/>
      <c r="H481" s="40" t="n"/>
      <c r="I481" s="40" t="n"/>
      <c r="J481" s="40" t="n"/>
      <c r="K481" s="40" t="n"/>
      <c r="L481" s="40" t="n"/>
      <c r="M481" s="40" t="n"/>
      <c r="N481" s="40" t="n"/>
      <c r="O481" s="110" t="n"/>
      <c r="P481" s="110" t="n"/>
      <c r="Q481" s="110" t="n"/>
      <c r="R481" s="40" t="n"/>
      <c r="S481" s="42" t="n"/>
      <c r="T481" s="42" t="n"/>
      <c r="U481" s="40" t="n"/>
      <c r="V481" s="40" t="n"/>
      <c r="W481" s="40" t="n"/>
      <c r="X481" s="40" t="n"/>
      <c r="Y481" s="40" t="n"/>
      <c r="Z481" s="43" t="n"/>
      <c r="AA481" s="43">
        <f>IF($A481="","",IF(OR($B481="",$E481="",$K481="",$O481="",$S481=""),"⚠ بيانات ناقصة","مكتمل"))</f>
        <v/>
      </c>
      <c r="AB481" s="44">
        <f>IF(OR($A481="",$Q481=""),"",$Q481-TODAY())</f>
        <v/>
      </c>
      <c r="AC481" s="111">
        <f>IF(OR($A481="",$O481=""),"",IFERROR(YEARFRAC($O481,TODAY(),1),"")</f>
        <v/>
      </c>
    </row>
    <row r="482">
      <c r="A482" s="46" t="n"/>
      <c r="B482" s="47" t="n"/>
      <c r="C482" s="47" t="n"/>
      <c r="D482" s="112" t="n"/>
      <c r="E482" s="46" t="n"/>
      <c r="F482" s="47" t="n"/>
      <c r="G482" s="47" t="n"/>
      <c r="H482" s="47" t="n"/>
      <c r="I482" s="47" t="n"/>
      <c r="J482" s="47" t="n"/>
      <c r="K482" s="47" t="n"/>
      <c r="L482" s="47" t="n"/>
      <c r="M482" s="47" t="n"/>
      <c r="N482" s="47" t="n"/>
      <c r="O482" s="112" t="n"/>
      <c r="P482" s="112" t="n"/>
      <c r="Q482" s="112" t="n"/>
      <c r="R482" s="47" t="n"/>
      <c r="S482" s="49" t="n"/>
      <c r="T482" s="49" t="n"/>
      <c r="U482" s="47" t="n"/>
      <c r="V482" s="47" t="n"/>
      <c r="W482" s="47" t="n"/>
      <c r="X482" s="47" t="n"/>
      <c r="Y482" s="47" t="n"/>
      <c r="Z482" s="50" t="n"/>
      <c r="AA482" s="50">
        <f>IF($A482="","",IF(OR($B482="",$E482="",$K482="",$O482="",$S482=""),"⚠ بيانات ناقصة","مكتمل"))</f>
        <v/>
      </c>
      <c r="AB482" s="51">
        <f>IF(OR($A482="",$Q482=""),"",$Q482-TODAY())</f>
        <v/>
      </c>
      <c r="AC482" s="113">
        <f>IF(OR($A482="",$O482=""),"",IFERROR(YEARFRAC($O482,TODAY(),1),"")</f>
        <v/>
      </c>
    </row>
    <row r="483">
      <c r="A483" s="39" t="n"/>
      <c r="B483" s="40" t="n"/>
      <c r="C483" s="40" t="n"/>
      <c r="D483" s="110" t="n"/>
      <c r="E483" s="39" t="n"/>
      <c r="F483" s="40" t="n"/>
      <c r="G483" s="40" t="n"/>
      <c r="H483" s="40" t="n"/>
      <c r="I483" s="40" t="n"/>
      <c r="J483" s="40" t="n"/>
      <c r="K483" s="40" t="n"/>
      <c r="L483" s="40" t="n"/>
      <c r="M483" s="40" t="n"/>
      <c r="N483" s="40" t="n"/>
      <c r="O483" s="110" t="n"/>
      <c r="P483" s="110" t="n"/>
      <c r="Q483" s="110" t="n"/>
      <c r="R483" s="40" t="n"/>
      <c r="S483" s="42" t="n"/>
      <c r="T483" s="42" t="n"/>
      <c r="U483" s="40" t="n"/>
      <c r="V483" s="40" t="n"/>
      <c r="W483" s="40" t="n"/>
      <c r="X483" s="40" t="n"/>
      <c r="Y483" s="40" t="n"/>
      <c r="Z483" s="43" t="n"/>
      <c r="AA483" s="43">
        <f>IF($A483="","",IF(OR($B483="",$E483="",$K483="",$O483="",$S483=""),"⚠ بيانات ناقصة","مكتمل"))</f>
        <v/>
      </c>
      <c r="AB483" s="44">
        <f>IF(OR($A483="",$Q483=""),"",$Q483-TODAY())</f>
        <v/>
      </c>
      <c r="AC483" s="111">
        <f>IF(OR($A483="",$O483=""),"",IFERROR(YEARFRAC($O483,TODAY(),1),"")</f>
        <v/>
      </c>
    </row>
    <row r="484">
      <c r="A484" s="46" t="n"/>
      <c r="B484" s="47" t="n"/>
      <c r="C484" s="47" t="n"/>
      <c r="D484" s="112" t="n"/>
      <c r="E484" s="46" t="n"/>
      <c r="F484" s="47" t="n"/>
      <c r="G484" s="47" t="n"/>
      <c r="H484" s="47" t="n"/>
      <c r="I484" s="47" t="n"/>
      <c r="J484" s="47" t="n"/>
      <c r="K484" s="47" t="n"/>
      <c r="L484" s="47" t="n"/>
      <c r="M484" s="47" t="n"/>
      <c r="N484" s="47" t="n"/>
      <c r="O484" s="112" t="n"/>
      <c r="P484" s="112" t="n"/>
      <c r="Q484" s="112" t="n"/>
      <c r="R484" s="47" t="n"/>
      <c r="S484" s="49" t="n"/>
      <c r="T484" s="49" t="n"/>
      <c r="U484" s="47" t="n"/>
      <c r="V484" s="47" t="n"/>
      <c r="W484" s="47" t="n"/>
      <c r="X484" s="47" t="n"/>
      <c r="Y484" s="47" t="n"/>
      <c r="Z484" s="50" t="n"/>
      <c r="AA484" s="50">
        <f>IF($A484="","",IF(OR($B484="",$E484="",$K484="",$O484="",$S484=""),"⚠ بيانات ناقصة","مكتمل"))</f>
        <v/>
      </c>
      <c r="AB484" s="51">
        <f>IF(OR($A484="",$Q484=""),"",$Q484-TODAY())</f>
        <v/>
      </c>
      <c r="AC484" s="113">
        <f>IF(OR($A484="",$O484=""),"",IFERROR(YEARFRAC($O484,TODAY(),1),"")</f>
        <v/>
      </c>
    </row>
    <row r="485">
      <c r="A485" s="39" t="n"/>
      <c r="B485" s="40" t="n"/>
      <c r="C485" s="40" t="n"/>
      <c r="D485" s="110" t="n"/>
      <c r="E485" s="39" t="n"/>
      <c r="F485" s="40" t="n"/>
      <c r="G485" s="40" t="n"/>
      <c r="H485" s="40" t="n"/>
      <c r="I485" s="40" t="n"/>
      <c r="J485" s="40" t="n"/>
      <c r="K485" s="40" t="n"/>
      <c r="L485" s="40" t="n"/>
      <c r="M485" s="40" t="n"/>
      <c r="N485" s="40" t="n"/>
      <c r="O485" s="110" t="n"/>
      <c r="P485" s="110" t="n"/>
      <c r="Q485" s="110" t="n"/>
      <c r="R485" s="40" t="n"/>
      <c r="S485" s="42" t="n"/>
      <c r="T485" s="42" t="n"/>
      <c r="U485" s="40" t="n"/>
      <c r="V485" s="40" t="n"/>
      <c r="W485" s="40" t="n"/>
      <c r="X485" s="40" t="n"/>
      <c r="Y485" s="40" t="n"/>
      <c r="Z485" s="43" t="n"/>
      <c r="AA485" s="43">
        <f>IF($A485="","",IF(OR($B485="",$E485="",$K485="",$O485="",$S485=""),"⚠ بيانات ناقصة","مكتمل"))</f>
        <v/>
      </c>
      <c r="AB485" s="44">
        <f>IF(OR($A485="",$Q485=""),"",$Q485-TODAY())</f>
        <v/>
      </c>
      <c r="AC485" s="111">
        <f>IF(OR($A485="",$O485=""),"",IFERROR(YEARFRAC($O485,TODAY(),1),"")</f>
        <v/>
      </c>
    </row>
    <row r="486">
      <c r="A486" s="46" t="n"/>
      <c r="B486" s="47" t="n"/>
      <c r="C486" s="47" t="n"/>
      <c r="D486" s="112" t="n"/>
      <c r="E486" s="46" t="n"/>
      <c r="F486" s="47" t="n"/>
      <c r="G486" s="47" t="n"/>
      <c r="H486" s="47" t="n"/>
      <c r="I486" s="47" t="n"/>
      <c r="J486" s="47" t="n"/>
      <c r="K486" s="47" t="n"/>
      <c r="L486" s="47" t="n"/>
      <c r="M486" s="47" t="n"/>
      <c r="N486" s="47" t="n"/>
      <c r="O486" s="112" t="n"/>
      <c r="P486" s="112" t="n"/>
      <c r="Q486" s="112" t="n"/>
      <c r="R486" s="47" t="n"/>
      <c r="S486" s="49" t="n"/>
      <c r="T486" s="49" t="n"/>
      <c r="U486" s="47" t="n"/>
      <c r="V486" s="47" t="n"/>
      <c r="W486" s="47" t="n"/>
      <c r="X486" s="47" t="n"/>
      <c r="Y486" s="47" t="n"/>
      <c r="Z486" s="50" t="n"/>
      <c r="AA486" s="50">
        <f>IF($A486="","",IF(OR($B486="",$E486="",$K486="",$O486="",$S486=""),"⚠ بيانات ناقصة","مكتمل"))</f>
        <v/>
      </c>
      <c r="AB486" s="51">
        <f>IF(OR($A486="",$Q486=""),"",$Q486-TODAY())</f>
        <v/>
      </c>
      <c r="AC486" s="113">
        <f>IF(OR($A486="",$O486=""),"",IFERROR(YEARFRAC($O486,TODAY(),1),"")</f>
        <v/>
      </c>
    </row>
    <row r="487">
      <c r="A487" s="39" t="n"/>
      <c r="B487" s="40" t="n"/>
      <c r="C487" s="40" t="n"/>
      <c r="D487" s="110" t="n"/>
      <c r="E487" s="39" t="n"/>
      <c r="F487" s="40" t="n"/>
      <c r="G487" s="40" t="n"/>
      <c r="H487" s="40" t="n"/>
      <c r="I487" s="40" t="n"/>
      <c r="J487" s="40" t="n"/>
      <c r="K487" s="40" t="n"/>
      <c r="L487" s="40" t="n"/>
      <c r="M487" s="40" t="n"/>
      <c r="N487" s="40" t="n"/>
      <c r="O487" s="110" t="n"/>
      <c r="P487" s="110" t="n"/>
      <c r="Q487" s="110" t="n"/>
      <c r="R487" s="40" t="n"/>
      <c r="S487" s="42" t="n"/>
      <c r="T487" s="42" t="n"/>
      <c r="U487" s="40" t="n"/>
      <c r="V487" s="40" t="n"/>
      <c r="W487" s="40" t="n"/>
      <c r="X487" s="40" t="n"/>
      <c r="Y487" s="40" t="n"/>
      <c r="Z487" s="43" t="n"/>
      <c r="AA487" s="43">
        <f>IF($A487="","",IF(OR($B487="",$E487="",$K487="",$O487="",$S487=""),"⚠ بيانات ناقصة","مكتمل"))</f>
        <v/>
      </c>
      <c r="AB487" s="44">
        <f>IF(OR($A487="",$Q487=""),"",$Q487-TODAY())</f>
        <v/>
      </c>
      <c r="AC487" s="111">
        <f>IF(OR($A487="",$O487=""),"",IFERROR(YEARFRAC($O487,TODAY(),1),"")</f>
        <v/>
      </c>
    </row>
    <row r="488">
      <c r="A488" s="46" t="n"/>
      <c r="B488" s="47" t="n"/>
      <c r="C488" s="47" t="n"/>
      <c r="D488" s="112" t="n"/>
      <c r="E488" s="46" t="n"/>
      <c r="F488" s="47" t="n"/>
      <c r="G488" s="47" t="n"/>
      <c r="H488" s="47" t="n"/>
      <c r="I488" s="47" t="n"/>
      <c r="J488" s="47" t="n"/>
      <c r="K488" s="47" t="n"/>
      <c r="L488" s="47" t="n"/>
      <c r="M488" s="47" t="n"/>
      <c r="N488" s="47" t="n"/>
      <c r="O488" s="112" t="n"/>
      <c r="P488" s="112" t="n"/>
      <c r="Q488" s="112" t="n"/>
      <c r="R488" s="47" t="n"/>
      <c r="S488" s="49" t="n"/>
      <c r="T488" s="49" t="n"/>
      <c r="U488" s="47" t="n"/>
      <c r="V488" s="47" t="n"/>
      <c r="W488" s="47" t="n"/>
      <c r="X488" s="47" t="n"/>
      <c r="Y488" s="47" t="n"/>
      <c r="Z488" s="50" t="n"/>
      <c r="AA488" s="50">
        <f>IF($A488="","",IF(OR($B488="",$E488="",$K488="",$O488="",$S488=""),"⚠ بيانات ناقصة","مكتمل"))</f>
        <v/>
      </c>
      <c r="AB488" s="51">
        <f>IF(OR($A488="",$Q488=""),"",$Q488-TODAY())</f>
        <v/>
      </c>
      <c r="AC488" s="113">
        <f>IF(OR($A488="",$O488=""),"",IFERROR(YEARFRAC($O488,TODAY(),1),"")</f>
        <v/>
      </c>
    </row>
    <row r="489">
      <c r="A489" s="39" t="n"/>
      <c r="B489" s="40" t="n"/>
      <c r="C489" s="40" t="n"/>
      <c r="D489" s="110" t="n"/>
      <c r="E489" s="39" t="n"/>
      <c r="F489" s="40" t="n"/>
      <c r="G489" s="40" t="n"/>
      <c r="H489" s="40" t="n"/>
      <c r="I489" s="40" t="n"/>
      <c r="J489" s="40" t="n"/>
      <c r="K489" s="40" t="n"/>
      <c r="L489" s="40" t="n"/>
      <c r="M489" s="40" t="n"/>
      <c r="N489" s="40" t="n"/>
      <c r="O489" s="110" t="n"/>
      <c r="P489" s="110" t="n"/>
      <c r="Q489" s="110" t="n"/>
      <c r="R489" s="40" t="n"/>
      <c r="S489" s="42" t="n"/>
      <c r="T489" s="42" t="n"/>
      <c r="U489" s="40" t="n"/>
      <c r="V489" s="40" t="n"/>
      <c r="W489" s="40" t="n"/>
      <c r="X489" s="40" t="n"/>
      <c r="Y489" s="40" t="n"/>
      <c r="Z489" s="43" t="n"/>
      <c r="AA489" s="43">
        <f>IF($A489="","",IF(OR($B489="",$E489="",$K489="",$O489="",$S489=""),"⚠ بيانات ناقصة","مكتمل"))</f>
        <v/>
      </c>
      <c r="AB489" s="44">
        <f>IF(OR($A489="",$Q489=""),"",$Q489-TODAY())</f>
        <v/>
      </c>
      <c r="AC489" s="111">
        <f>IF(OR($A489="",$O489=""),"",IFERROR(YEARFRAC($O489,TODAY(),1),"")</f>
        <v/>
      </c>
    </row>
    <row r="490">
      <c r="A490" s="46" t="n"/>
      <c r="B490" s="47" t="n"/>
      <c r="C490" s="47" t="n"/>
      <c r="D490" s="112" t="n"/>
      <c r="E490" s="46" t="n"/>
      <c r="F490" s="47" t="n"/>
      <c r="G490" s="47" t="n"/>
      <c r="H490" s="47" t="n"/>
      <c r="I490" s="47" t="n"/>
      <c r="J490" s="47" t="n"/>
      <c r="K490" s="47" t="n"/>
      <c r="L490" s="47" t="n"/>
      <c r="M490" s="47" t="n"/>
      <c r="N490" s="47" t="n"/>
      <c r="O490" s="112" t="n"/>
      <c r="P490" s="112" t="n"/>
      <c r="Q490" s="112" t="n"/>
      <c r="R490" s="47" t="n"/>
      <c r="S490" s="49" t="n"/>
      <c r="T490" s="49" t="n"/>
      <c r="U490" s="47" t="n"/>
      <c r="V490" s="47" t="n"/>
      <c r="W490" s="47" t="n"/>
      <c r="X490" s="47" t="n"/>
      <c r="Y490" s="47" t="n"/>
      <c r="Z490" s="50" t="n"/>
      <c r="AA490" s="50">
        <f>IF($A490="","",IF(OR($B490="",$E490="",$K490="",$O490="",$S490=""),"⚠ بيانات ناقصة","مكتمل"))</f>
        <v/>
      </c>
      <c r="AB490" s="51">
        <f>IF(OR($A490="",$Q490=""),"",$Q490-TODAY())</f>
        <v/>
      </c>
      <c r="AC490" s="113">
        <f>IF(OR($A490="",$O490=""),"",IFERROR(YEARFRAC($O490,TODAY(),1),"")</f>
        <v/>
      </c>
    </row>
    <row r="491">
      <c r="A491" s="39" t="n"/>
      <c r="B491" s="40" t="n"/>
      <c r="C491" s="40" t="n"/>
      <c r="D491" s="110" t="n"/>
      <c r="E491" s="39" t="n"/>
      <c r="F491" s="40" t="n"/>
      <c r="G491" s="40" t="n"/>
      <c r="H491" s="40" t="n"/>
      <c r="I491" s="40" t="n"/>
      <c r="J491" s="40" t="n"/>
      <c r="K491" s="40" t="n"/>
      <c r="L491" s="40" t="n"/>
      <c r="M491" s="40" t="n"/>
      <c r="N491" s="40" t="n"/>
      <c r="O491" s="110" t="n"/>
      <c r="P491" s="110" t="n"/>
      <c r="Q491" s="110" t="n"/>
      <c r="R491" s="40" t="n"/>
      <c r="S491" s="42" t="n"/>
      <c r="T491" s="42" t="n"/>
      <c r="U491" s="40" t="n"/>
      <c r="V491" s="40" t="n"/>
      <c r="W491" s="40" t="n"/>
      <c r="X491" s="40" t="n"/>
      <c r="Y491" s="40" t="n"/>
      <c r="Z491" s="43" t="n"/>
      <c r="AA491" s="43">
        <f>IF($A491="","",IF(OR($B491="",$E491="",$K491="",$O491="",$S491=""),"⚠ بيانات ناقصة","مكتمل"))</f>
        <v/>
      </c>
      <c r="AB491" s="44">
        <f>IF(OR($A491="",$Q491=""),"",$Q491-TODAY())</f>
        <v/>
      </c>
      <c r="AC491" s="111">
        <f>IF(OR($A491="",$O491=""),"",IFERROR(YEARFRAC($O491,TODAY(),1),"")</f>
        <v/>
      </c>
    </row>
    <row r="492">
      <c r="A492" s="46" t="n"/>
      <c r="B492" s="47" t="n"/>
      <c r="C492" s="47" t="n"/>
      <c r="D492" s="112" t="n"/>
      <c r="E492" s="46" t="n"/>
      <c r="F492" s="47" t="n"/>
      <c r="G492" s="47" t="n"/>
      <c r="H492" s="47" t="n"/>
      <c r="I492" s="47" t="n"/>
      <c r="J492" s="47" t="n"/>
      <c r="K492" s="47" t="n"/>
      <c r="L492" s="47" t="n"/>
      <c r="M492" s="47" t="n"/>
      <c r="N492" s="47" t="n"/>
      <c r="O492" s="112" t="n"/>
      <c r="P492" s="112" t="n"/>
      <c r="Q492" s="112" t="n"/>
      <c r="R492" s="47" t="n"/>
      <c r="S492" s="49" t="n"/>
      <c r="T492" s="49" t="n"/>
      <c r="U492" s="47" t="n"/>
      <c r="V492" s="47" t="n"/>
      <c r="W492" s="47" t="n"/>
      <c r="X492" s="47" t="n"/>
      <c r="Y492" s="47" t="n"/>
      <c r="Z492" s="50" t="n"/>
      <c r="AA492" s="50">
        <f>IF($A492="","",IF(OR($B492="",$E492="",$K492="",$O492="",$S492=""),"⚠ بيانات ناقصة","مكتمل"))</f>
        <v/>
      </c>
      <c r="AB492" s="51">
        <f>IF(OR($A492="",$Q492=""),"",$Q492-TODAY())</f>
        <v/>
      </c>
      <c r="AC492" s="113">
        <f>IF(OR($A492="",$O492=""),"",IFERROR(YEARFRAC($O492,TODAY(),1),"")</f>
        <v/>
      </c>
    </row>
    <row r="493">
      <c r="A493" s="39" t="n"/>
      <c r="B493" s="40" t="n"/>
      <c r="C493" s="40" t="n"/>
      <c r="D493" s="110" t="n"/>
      <c r="E493" s="39" t="n"/>
      <c r="F493" s="40" t="n"/>
      <c r="G493" s="40" t="n"/>
      <c r="H493" s="40" t="n"/>
      <c r="I493" s="40" t="n"/>
      <c r="J493" s="40" t="n"/>
      <c r="K493" s="40" t="n"/>
      <c r="L493" s="40" t="n"/>
      <c r="M493" s="40" t="n"/>
      <c r="N493" s="40" t="n"/>
      <c r="O493" s="110" t="n"/>
      <c r="P493" s="110" t="n"/>
      <c r="Q493" s="110" t="n"/>
      <c r="R493" s="40" t="n"/>
      <c r="S493" s="42" t="n"/>
      <c r="T493" s="42" t="n"/>
      <c r="U493" s="40" t="n"/>
      <c r="V493" s="40" t="n"/>
      <c r="W493" s="40" t="n"/>
      <c r="X493" s="40" t="n"/>
      <c r="Y493" s="40" t="n"/>
      <c r="Z493" s="43" t="n"/>
      <c r="AA493" s="43">
        <f>IF($A493="","",IF(OR($B493="",$E493="",$K493="",$O493="",$S493=""),"⚠ بيانات ناقصة","مكتمل"))</f>
        <v/>
      </c>
      <c r="AB493" s="44">
        <f>IF(OR($A493="",$Q493=""),"",$Q493-TODAY())</f>
        <v/>
      </c>
      <c r="AC493" s="111">
        <f>IF(OR($A493="",$O493=""),"",IFERROR(YEARFRAC($O493,TODAY(),1),"")</f>
        <v/>
      </c>
    </row>
    <row r="494">
      <c r="A494" s="46" t="n"/>
      <c r="B494" s="47" t="n"/>
      <c r="C494" s="47" t="n"/>
      <c r="D494" s="112" t="n"/>
      <c r="E494" s="46" t="n"/>
      <c r="F494" s="47" t="n"/>
      <c r="G494" s="47" t="n"/>
      <c r="H494" s="47" t="n"/>
      <c r="I494" s="47" t="n"/>
      <c r="J494" s="47" t="n"/>
      <c r="K494" s="47" t="n"/>
      <c r="L494" s="47" t="n"/>
      <c r="M494" s="47" t="n"/>
      <c r="N494" s="47" t="n"/>
      <c r="O494" s="112" t="n"/>
      <c r="P494" s="112" t="n"/>
      <c r="Q494" s="112" t="n"/>
      <c r="R494" s="47" t="n"/>
      <c r="S494" s="49" t="n"/>
      <c r="T494" s="49" t="n"/>
      <c r="U494" s="47" t="n"/>
      <c r="V494" s="47" t="n"/>
      <c r="W494" s="47" t="n"/>
      <c r="X494" s="47" t="n"/>
      <c r="Y494" s="47" t="n"/>
      <c r="Z494" s="50" t="n"/>
      <c r="AA494" s="50">
        <f>IF($A494="","",IF(OR($B494="",$E494="",$K494="",$O494="",$S494=""),"⚠ بيانات ناقصة","مكتمل"))</f>
        <v/>
      </c>
      <c r="AB494" s="51">
        <f>IF(OR($A494="",$Q494=""),"",$Q494-TODAY())</f>
        <v/>
      </c>
      <c r="AC494" s="113">
        <f>IF(OR($A494="",$O494=""),"",IFERROR(YEARFRAC($O494,TODAY(),1),"")</f>
        <v/>
      </c>
    </row>
    <row r="495">
      <c r="A495" s="39" t="n"/>
      <c r="B495" s="40" t="n"/>
      <c r="C495" s="40" t="n"/>
      <c r="D495" s="110" t="n"/>
      <c r="E495" s="39" t="n"/>
      <c r="F495" s="40" t="n"/>
      <c r="G495" s="40" t="n"/>
      <c r="H495" s="40" t="n"/>
      <c r="I495" s="40" t="n"/>
      <c r="J495" s="40" t="n"/>
      <c r="K495" s="40" t="n"/>
      <c r="L495" s="40" t="n"/>
      <c r="M495" s="40" t="n"/>
      <c r="N495" s="40" t="n"/>
      <c r="O495" s="110" t="n"/>
      <c r="P495" s="110" t="n"/>
      <c r="Q495" s="110" t="n"/>
      <c r="R495" s="40" t="n"/>
      <c r="S495" s="42" t="n"/>
      <c r="T495" s="42" t="n"/>
      <c r="U495" s="40" t="n"/>
      <c r="V495" s="40" t="n"/>
      <c r="W495" s="40" t="n"/>
      <c r="X495" s="40" t="n"/>
      <c r="Y495" s="40" t="n"/>
      <c r="Z495" s="43" t="n"/>
      <c r="AA495" s="43">
        <f>IF($A495="","",IF(OR($B495="",$E495="",$K495="",$O495="",$S495=""),"⚠ بيانات ناقصة","مكتمل"))</f>
        <v/>
      </c>
      <c r="AB495" s="44">
        <f>IF(OR($A495="",$Q495=""),"",$Q495-TODAY())</f>
        <v/>
      </c>
      <c r="AC495" s="111">
        <f>IF(OR($A495="",$O495=""),"",IFERROR(YEARFRAC($O495,TODAY(),1),"")</f>
        <v/>
      </c>
    </row>
    <row r="496">
      <c r="A496" s="46" t="n"/>
      <c r="B496" s="47" t="n"/>
      <c r="C496" s="47" t="n"/>
      <c r="D496" s="112" t="n"/>
      <c r="E496" s="46" t="n"/>
      <c r="F496" s="47" t="n"/>
      <c r="G496" s="47" t="n"/>
      <c r="H496" s="47" t="n"/>
      <c r="I496" s="47" t="n"/>
      <c r="J496" s="47" t="n"/>
      <c r="K496" s="47" t="n"/>
      <c r="L496" s="47" t="n"/>
      <c r="M496" s="47" t="n"/>
      <c r="N496" s="47" t="n"/>
      <c r="O496" s="112" t="n"/>
      <c r="P496" s="112" t="n"/>
      <c r="Q496" s="112" t="n"/>
      <c r="R496" s="47" t="n"/>
      <c r="S496" s="49" t="n"/>
      <c r="T496" s="49" t="n"/>
      <c r="U496" s="47" t="n"/>
      <c r="V496" s="47" t="n"/>
      <c r="W496" s="47" t="n"/>
      <c r="X496" s="47" t="n"/>
      <c r="Y496" s="47" t="n"/>
      <c r="Z496" s="50" t="n"/>
      <c r="AA496" s="50">
        <f>IF($A496="","",IF(OR($B496="",$E496="",$K496="",$O496="",$S496=""),"⚠ بيانات ناقصة","مكتمل"))</f>
        <v/>
      </c>
      <c r="AB496" s="51">
        <f>IF(OR($A496="",$Q496=""),"",$Q496-TODAY())</f>
        <v/>
      </c>
      <c r="AC496" s="113">
        <f>IF(OR($A496="",$O496=""),"",IFERROR(YEARFRAC($O496,TODAY(),1),"")</f>
        <v/>
      </c>
    </row>
    <row r="497">
      <c r="A497" s="39" t="n"/>
      <c r="B497" s="40" t="n"/>
      <c r="C497" s="40" t="n"/>
      <c r="D497" s="110" t="n"/>
      <c r="E497" s="39" t="n"/>
      <c r="F497" s="40" t="n"/>
      <c r="G497" s="40" t="n"/>
      <c r="H497" s="40" t="n"/>
      <c r="I497" s="40" t="n"/>
      <c r="J497" s="40" t="n"/>
      <c r="K497" s="40" t="n"/>
      <c r="L497" s="40" t="n"/>
      <c r="M497" s="40" t="n"/>
      <c r="N497" s="40" t="n"/>
      <c r="O497" s="110" t="n"/>
      <c r="P497" s="110" t="n"/>
      <c r="Q497" s="110" t="n"/>
      <c r="R497" s="40" t="n"/>
      <c r="S497" s="42" t="n"/>
      <c r="T497" s="42" t="n"/>
      <c r="U497" s="40" t="n"/>
      <c r="V497" s="40" t="n"/>
      <c r="W497" s="40" t="n"/>
      <c r="X497" s="40" t="n"/>
      <c r="Y497" s="40" t="n"/>
      <c r="Z497" s="43" t="n"/>
      <c r="AA497" s="43">
        <f>IF($A497="","",IF(OR($B497="",$E497="",$K497="",$O497="",$S497=""),"⚠ بيانات ناقصة","مكتمل"))</f>
        <v/>
      </c>
      <c r="AB497" s="44">
        <f>IF(OR($A497="",$Q497=""),"",$Q497-TODAY())</f>
        <v/>
      </c>
      <c r="AC497" s="111">
        <f>IF(OR($A497="",$O497=""),"",IFERROR(YEARFRAC($O497,TODAY(),1),"")</f>
        <v/>
      </c>
    </row>
    <row r="498">
      <c r="A498" s="46" t="n"/>
      <c r="B498" s="47" t="n"/>
      <c r="C498" s="47" t="n"/>
      <c r="D498" s="112" t="n"/>
      <c r="E498" s="46" t="n"/>
      <c r="F498" s="47" t="n"/>
      <c r="G498" s="47" t="n"/>
      <c r="H498" s="47" t="n"/>
      <c r="I498" s="47" t="n"/>
      <c r="J498" s="47" t="n"/>
      <c r="K498" s="47" t="n"/>
      <c r="L498" s="47" t="n"/>
      <c r="M498" s="47" t="n"/>
      <c r="N498" s="47" t="n"/>
      <c r="O498" s="112" t="n"/>
      <c r="P498" s="112" t="n"/>
      <c r="Q498" s="112" t="n"/>
      <c r="R498" s="47" t="n"/>
      <c r="S498" s="49" t="n"/>
      <c r="T498" s="49" t="n"/>
      <c r="U498" s="47" t="n"/>
      <c r="V498" s="47" t="n"/>
      <c r="W498" s="47" t="n"/>
      <c r="X498" s="47" t="n"/>
      <c r="Y498" s="47" t="n"/>
      <c r="Z498" s="50" t="n"/>
      <c r="AA498" s="50">
        <f>IF($A498="","",IF(OR($B498="",$E498="",$K498="",$O498="",$S498=""),"⚠ بيانات ناقصة","مكتمل"))</f>
        <v/>
      </c>
      <c r="AB498" s="51">
        <f>IF(OR($A498="",$Q498=""),"",$Q498-TODAY())</f>
        <v/>
      </c>
      <c r="AC498" s="113">
        <f>IF(OR($A498="",$O498=""),"",IFERROR(YEARFRAC($O498,TODAY(),1),"")</f>
        <v/>
      </c>
    </row>
    <row r="499">
      <c r="A499" s="39" t="n"/>
      <c r="B499" s="40" t="n"/>
      <c r="C499" s="40" t="n"/>
      <c r="D499" s="110" t="n"/>
      <c r="E499" s="39" t="n"/>
      <c r="F499" s="40" t="n"/>
      <c r="G499" s="40" t="n"/>
      <c r="H499" s="40" t="n"/>
      <c r="I499" s="40" t="n"/>
      <c r="J499" s="40" t="n"/>
      <c r="K499" s="40" t="n"/>
      <c r="L499" s="40" t="n"/>
      <c r="M499" s="40" t="n"/>
      <c r="N499" s="40" t="n"/>
      <c r="O499" s="110" t="n"/>
      <c r="P499" s="110" t="n"/>
      <c r="Q499" s="110" t="n"/>
      <c r="R499" s="40" t="n"/>
      <c r="S499" s="42" t="n"/>
      <c r="T499" s="42" t="n"/>
      <c r="U499" s="40" t="n"/>
      <c r="V499" s="40" t="n"/>
      <c r="W499" s="40" t="n"/>
      <c r="X499" s="40" t="n"/>
      <c r="Y499" s="40" t="n"/>
      <c r="Z499" s="43" t="n"/>
      <c r="AA499" s="43">
        <f>IF($A499="","",IF(OR($B499="",$E499="",$K499="",$O499="",$S499=""),"⚠ بيانات ناقصة","مكتمل"))</f>
        <v/>
      </c>
      <c r="AB499" s="44">
        <f>IF(OR($A499="",$Q499=""),"",$Q499-TODAY())</f>
        <v/>
      </c>
      <c r="AC499" s="111">
        <f>IF(OR($A499="",$O499=""),"",IFERROR(YEARFRAC($O499,TODAY(),1),"")</f>
        <v/>
      </c>
    </row>
    <row r="500">
      <c r="A500" s="46" t="n"/>
      <c r="B500" s="47" t="n"/>
      <c r="C500" s="47" t="n"/>
      <c r="D500" s="112" t="n"/>
      <c r="E500" s="46" t="n"/>
      <c r="F500" s="47" t="n"/>
      <c r="G500" s="47" t="n"/>
      <c r="H500" s="47" t="n"/>
      <c r="I500" s="47" t="n"/>
      <c r="J500" s="47" t="n"/>
      <c r="K500" s="47" t="n"/>
      <c r="L500" s="47" t="n"/>
      <c r="M500" s="47" t="n"/>
      <c r="N500" s="47" t="n"/>
      <c r="O500" s="112" t="n"/>
      <c r="P500" s="112" t="n"/>
      <c r="Q500" s="112" t="n"/>
      <c r="R500" s="47" t="n"/>
      <c r="S500" s="49" t="n"/>
      <c r="T500" s="49" t="n"/>
      <c r="U500" s="47" t="n"/>
      <c r="V500" s="47" t="n"/>
      <c r="W500" s="47" t="n"/>
      <c r="X500" s="47" t="n"/>
      <c r="Y500" s="47" t="n"/>
      <c r="Z500" s="50" t="n"/>
      <c r="AA500" s="50">
        <f>IF($A500="","",IF(OR($B500="",$E500="",$K500="",$O500="",$S500=""),"⚠ بيانات ناقصة","مكتمل"))</f>
        <v/>
      </c>
      <c r="AB500" s="51">
        <f>IF(OR($A500="",$Q500=""),"",$Q500-TODAY())</f>
        <v/>
      </c>
      <c r="AC500" s="113">
        <f>IF(OR($A500="",$O500=""),"",IFERROR(YEARFRAC($O500,TODAY(),1),"")</f>
        <v/>
      </c>
    </row>
    <row r="501">
      <c r="A501" s="39" t="n"/>
      <c r="B501" s="40" t="n"/>
      <c r="C501" s="40" t="n"/>
      <c r="D501" s="110" t="n"/>
      <c r="E501" s="39" t="n"/>
      <c r="F501" s="40" t="n"/>
      <c r="G501" s="40" t="n"/>
      <c r="H501" s="40" t="n"/>
      <c r="I501" s="40" t="n"/>
      <c r="J501" s="40" t="n"/>
      <c r="K501" s="40" t="n"/>
      <c r="L501" s="40" t="n"/>
      <c r="M501" s="40" t="n"/>
      <c r="N501" s="40" t="n"/>
      <c r="O501" s="110" t="n"/>
      <c r="P501" s="110" t="n"/>
      <c r="Q501" s="110" t="n"/>
      <c r="R501" s="40" t="n"/>
      <c r="S501" s="42" t="n"/>
      <c r="T501" s="42" t="n"/>
      <c r="U501" s="40" t="n"/>
      <c r="V501" s="40" t="n"/>
      <c r="W501" s="40" t="n"/>
      <c r="X501" s="40" t="n"/>
      <c r="Y501" s="40" t="n"/>
      <c r="Z501" s="43" t="n"/>
      <c r="AA501" s="43">
        <f>IF($A501="","",IF(OR($B501="",$E501="",$K501="",$O501="",$S501=""),"⚠ بيانات ناقصة","مكتمل"))</f>
        <v/>
      </c>
      <c r="AB501" s="44">
        <f>IF(OR($A501="",$Q501=""),"",$Q501-TODAY())</f>
        <v/>
      </c>
      <c r="AC501" s="111">
        <f>IF(OR($A501="",$O501=""),"",IFERROR(YEARFRAC($O501,TODAY(),1),"")</f>
        <v/>
      </c>
    </row>
    <row r="502">
      <c r="A502" s="46" t="n"/>
      <c r="B502" s="47" t="n"/>
      <c r="C502" s="47" t="n"/>
      <c r="D502" s="112" t="n"/>
      <c r="E502" s="46" t="n"/>
      <c r="F502" s="47" t="n"/>
      <c r="G502" s="47" t="n"/>
      <c r="H502" s="47" t="n"/>
      <c r="I502" s="47" t="n"/>
      <c r="J502" s="47" t="n"/>
      <c r="K502" s="47" t="n"/>
      <c r="L502" s="47" t="n"/>
      <c r="M502" s="47" t="n"/>
      <c r="N502" s="47" t="n"/>
      <c r="O502" s="112" t="n"/>
      <c r="P502" s="112" t="n"/>
      <c r="Q502" s="112" t="n"/>
      <c r="R502" s="47" t="n"/>
      <c r="S502" s="49" t="n"/>
      <c r="T502" s="49" t="n"/>
      <c r="U502" s="47" t="n"/>
      <c r="V502" s="47" t="n"/>
      <c r="W502" s="47" t="n"/>
      <c r="X502" s="47" t="n"/>
      <c r="Y502" s="47" t="n"/>
      <c r="Z502" s="50" t="n"/>
      <c r="AA502" s="50">
        <f>IF($A502="","",IF(OR($B502="",$E502="",$K502="",$O502="",$S502=""),"⚠ بيانات ناقصة","مكتمل"))</f>
        <v/>
      </c>
      <c r="AB502" s="51">
        <f>IF(OR($A502="",$Q502=""),"",$Q502-TODAY())</f>
        <v/>
      </c>
      <c r="AC502" s="113">
        <f>IF(OR($A502="",$O502=""),"",IFERROR(YEARFRAC($O502,TODAY(),1),"")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C605"/>
  <autoFilter ref="A2:AC502"/>
  <mergeCells count="1">
    <mergeCell ref="A1:AC1"/>
  </mergeCells>
  <conditionalFormatting sqref="AA3:AA502">
    <cfRule type="cellIs" priority="1" operator="equal" dxfId="1">
      <formula>"⚠ بيانات ناقصة"</formula>
    </cfRule>
    <cfRule type="cellIs" priority="2" operator="equal" dxfId="2">
      <formula>"مكتمل"</formula>
    </cfRule>
  </conditionalFormatting>
  <conditionalFormatting sqref="Q3:Q502">
    <cfRule type="expression" priority="3" dxfId="1">
      <formula>AND($Q3&lt;&gt;"",$Q3-TODAY()&lt;=تنبيه_انتهاء_العقد,$Q3&gt;=TODAY())</formula>
    </cfRule>
    <cfRule type="expression" priority="4" dxfId="3">
      <formula>AND($Q3&lt;&gt;"",$Q3&lt;TODAY())</formula>
    </cfRule>
  </conditionalFormatting>
  <conditionalFormatting sqref="R3:R502">
    <cfRule type="cellIs" priority="5" operator="equal" dxfId="2">
      <formula>"نشط"</formula>
    </cfRule>
    <cfRule type="cellIs" priority="6" operator="equal" dxfId="3">
      <formula>"منتهي الخدمة"</formula>
    </cfRule>
  </conditionalFormatting>
  <dataValidations count="7">
    <dataValidation sqref="K3:K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=قائمة_الإدارات</formula1>
    </dataValidation>
    <dataValidation sqref="L3:L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=قائمة_الأقسام</formula1>
    </dataValidation>
    <dataValidation sqref="J3:J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=قائمة_المسميات</formula1>
    </dataValidation>
    <dataValidation sqref="N3:N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=قائمة_أنواع_التوظيف</formula1>
    </dataValidation>
    <dataValidation sqref="R3:R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=قائمة_حالات_الموظف</formula1>
    </dataValidation>
    <dataValidation sqref="C3:C502" showDropDown="0" showInputMessage="0" showErrorMessage="0" allowBlank="1" type="list">
      <formula1>"ذكر,أنثى"</formula1>
    </dataValidation>
    <dataValidation sqref="A3:A502" showDropDown="0" showInputMessage="0" showErrorMessage="1" allowBlank="1" errorTitle="تنبيه" error="الرقم الوظيفي مكرر. يجب أن يكون فريدًا." type="custom" errorStyle="warning">
      <formula1>COUNTIF($A$3:$A$502,$A3)&lt;=1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00708C"/>
    <outlinePr summaryBelow="1" summaryRight="1"/>
    <pageSetUpPr fitToPage="1"/>
  </sheetPr>
  <dimension ref="A1:Q502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  <col width="14" customWidth="1" min="10" max="10"/>
    <col width="12" customWidth="1" min="11" max="11"/>
    <col width="14" customWidth="1" min="12" max="12"/>
    <col width="14" customWidth="1" min="13" max="13"/>
    <col width="12" customWidth="1" min="14" max="14"/>
    <col width="26" customWidth="1" min="15" max="15"/>
  </cols>
  <sheetData>
    <row r="1" ht="32" customHeight="1">
      <c r="A1" s="1" t="inlineStr">
        <is>
          <t>الحضور  —  نموذج إدخال</t>
        </is>
      </c>
    </row>
    <row r="2" ht="42" customHeight="1">
      <c r="A2" s="38" t="inlineStr">
        <is>
          <t>الرقم الوظيفي</t>
        </is>
      </c>
      <c r="B2" s="38" t="inlineStr">
        <is>
          <t>اسم الموظف</t>
        </is>
      </c>
      <c r="C2" s="38" t="inlineStr">
        <is>
          <t>التاريخ</t>
        </is>
      </c>
      <c r="D2" s="38" t="inlineStr">
        <is>
          <t>يوم الأسبوع</t>
        </is>
      </c>
      <c r="E2" s="38" t="inlineStr">
        <is>
          <t>وقت الحضور</t>
        </is>
      </c>
      <c r="F2" s="38" t="inlineStr">
        <is>
          <t>وقت الانصراف</t>
        </is>
      </c>
      <c r="G2" s="38" t="inlineStr">
        <is>
          <t>بداية الدوام الرسمي</t>
        </is>
      </c>
      <c r="H2" s="38" t="inlineStr">
        <is>
          <t>نهاية الدوام الرسمي</t>
        </is>
      </c>
      <c r="I2" s="38" t="inlineStr">
        <is>
          <t>مدة الاستراحة (ساعة)</t>
        </is>
      </c>
      <c r="J2" s="38" t="inlineStr">
        <is>
          <t>ساعات العمل الفعلية</t>
        </is>
      </c>
      <c r="K2" s="38" t="inlineStr">
        <is>
          <t>ساعات التأخير</t>
        </is>
      </c>
      <c r="L2" s="38" t="inlineStr">
        <is>
          <t>ساعات الانصراف المبكر</t>
        </is>
      </c>
      <c r="M2" s="38" t="inlineStr">
        <is>
          <t>ساعات العمل الإضافي</t>
        </is>
      </c>
      <c r="N2" s="38" t="inlineStr">
        <is>
          <t>حالة الدوام</t>
        </is>
      </c>
      <c r="O2" s="38" t="inlineStr">
        <is>
          <t>الملاحظات</t>
        </is>
      </c>
    </row>
    <row r="3">
      <c r="A3" s="40" t="n"/>
      <c r="B3" s="43">
        <f>IFERROR(INDEX(الموظفون_الاسم,MATCH($A3,الموظفون_الرقم,0)),"")</f>
        <v/>
      </c>
      <c r="C3" s="110" t="n"/>
      <c r="D3" s="43">
        <f>IF($C3="","",IFERROR(INDEX(قائمة_أيام_الأسبوع,WEEKDAY($C3,1)),""))</f>
        <v/>
      </c>
      <c r="E3" s="114" t="n"/>
      <c r="F3" s="114" t="n"/>
      <c r="G3" s="115">
        <f>IF($A3="","",بداية_الدوام)</f>
        <v/>
      </c>
      <c r="H3" s="115">
        <f>IF($A3="","",نهاية_الدوام)</f>
        <v/>
      </c>
      <c r="I3" s="55">
        <f>IF($A3="","",مدة_الاستراحة/60)</f>
        <v/>
      </c>
      <c r="J3" s="55">
        <f>IF(OR($A3="",$E3="",$F3=""),"",IF(OR($N3="حاضر",$N3="دوام جزئي"),MAX(0,MOD($F3-$E3,1)*24-$I3),0))</f>
        <v/>
      </c>
      <c r="K3" s="55">
        <f>IF(OR($A3="",$E3=""),"",IF(AND(احتساب_التأخير="نعم",OR($N3="حاضر",$N3="دوام جزئي"),$E3&gt;$G3+دقائق_السماح/1440),($E3-$G3-دقائق_السماح/1440)*24,0))</f>
        <v/>
      </c>
      <c r="L3" s="55">
        <f>IF(OR($A3="",$F3=""),"",IF(AND(OR($N3="حاضر",$N3="دوام جزئي"),$F3&lt;$H3),($H3-$F3)*24,0))</f>
        <v/>
      </c>
      <c r="M3" s="55">
        <f>IF(OR($A3="",$F3=""),"",IF(AND(احتساب_العمل_الإضافي="نعم",OR($N3="حاضر",$N3="دوام جزئي"),$F3&gt;$H3,($F3-$H3)*24*60&gt;=حد_العمل_الإضافي_دقيقة),($F3-$H3)*24,0))</f>
        <v/>
      </c>
      <c r="N3" s="40" t="n"/>
      <c r="O3" s="40" t="n"/>
      <c r="Q3">
        <f>IF(AND(ISNUMBER($K3),$K3&gt;0),SUMPRODUCT(ISNUMBER($K$3:$K$502)*($K$3:$K$502&gt;0)*(ROW($K$3:$K$502)&lt;=ROW())),"")</f>
        <v/>
      </c>
    </row>
    <row r="4">
      <c r="A4" s="47" t="n"/>
      <c r="B4" s="50">
        <f>IFERROR(INDEX(الموظفون_الاسم,MATCH($A4,الموظفون_الرقم,0)),"")</f>
        <v/>
      </c>
      <c r="C4" s="112" t="n"/>
      <c r="D4" s="50">
        <f>IF($C4="","",IFERROR(INDEX(قائمة_أيام_الأسبوع,WEEKDAY($C4,1)),""))</f>
        <v/>
      </c>
      <c r="E4" s="116" t="n"/>
      <c r="F4" s="116" t="n"/>
      <c r="G4" s="117">
        <f>IF($A4="","",بداية_الدوام)</f>
        <v/>
      </c>
      <c r="H4" s="117">
        <f>IF($A4="","",نهاية_الدوام)</f>
        <v/>
      </c>
      <c r="I4" s="58">
        <f>IF($A4="","",مدة_الاستراحة/60)</f>
        <v/>
      </c>
      <c r="J4" s="58">
        <f>IF(OR($A4="",$E4="",$F4=""),"",IF(OR($N4="حاضر",$N4="دوام جزئي"),MAX(0,MOD($F4-$E4,1)*24-$I4),0))</f>
        <v/>
      </c>
      <c r="K4" s="58">
        <f>IF(OR($A4="",$E4=""),"",IF(AND(احتساب_التأخير="نعم",OR($N4="حاضر",$N4="دوام جزئي"),$E4&gt;$G4+دقائق_السماح/1440),($E4-$G4-دقائق_السماح/1440)*24,0))</f>
        <v/>
      </c>
      <c r="L4" s="58">
        <f>IF(OR($A4="",$F4=""),"",IF(AND(OR($N4="حاضر",$N4="دوام جزئي"),$F4&lt;$H4),($H4-$F4)*24,0))</f>
        <v/>
      </c>
      <c r="M4" s="58">
        <f>IF(OR($A4="",$F4=""),"",IF(AND(احتساب_العمل_الإضافي="نعم",OR($N4="حاضر",$N4="دوام جزئي"),$F4&gt;$H4,($F4-$H4)*24*60&gt;=حد_العمل_الإضافي_دقيقة),($F4-$H4)*24,0))</f>
        <v/>
      </c>
      <c r="N4" s="47" t="n"/>
      <c r="O4" s="47" t="n"/>
      <c r="Q4">
        <f>IF(AND(ISNUMBER($K4),$K4&gt;0),SUMPRODUCT(ISNUMBER($K$3:$K$502)*($K$3:$K$502&gt;0)*(ROW($K$3:$K$502)&lt;=ROW())),"")</f>
        <v/>
      </c>
    </row>
    <row r="5">
      <c r="A5" s="40" t="n"/>
      <c r="B5" s="43">
        <f>IFERROR(INDEX(الموظفون_الاسم,MATCH($A5,الموظفون_الرقم,0)),"")</f>
        <v/>
      </c>
      <c r="C5" s="110" t="n"/>
      <c r="D5" s="43">
        <f>IF($C5="","",IFERROR(INDEX(قائمة_أيام_الأسبوع,WEEKDAY($C5,1)),""))</f>
        <v/>
      </c>
      <c r="E5" s="114" t="n"/>
      <c r="F5" s="114" t="n"/>
      <c r="G5" s="115">
        <f>IF($A5="","",بداية_الدوام)</f>
        <v/>
      </c>
      <c r="H5" s="115">
        <f>IF($A5="","",نهاية_الدوام)</f>
        <v/>
      </c>
      <c r="I5" s="55">
        <f>IF($A5="","",مدة_الاستراحة/60)</f>
        <v/>
      </c>
      <c r="J5" s="55">
        <f>IF(OR($A5="",$E5="",$F5=""),"",IF(OR($N5="حاضر",$N5="دوام جزئي"),MAX(0,MOD($F5-$E5,1)*24-$I5),0))</f>
        <v/>
      </c>
      <c r="K5" s="55">
        <f>IF(OR($A5="",$E5=""),"",IF(AND(احتساب_التأخير="نعم",OR($N5="حاضر",$N5="دوام جزئي"),$E5&gt;$G5+دقائق_السماح/1440),($E5-$G5-دقائق_السماح/1440)*24,0))</f>
        <v/>
      </c>
      <c r="L5" s="55">
        <f>IF(OR($A5="",$F5=""),"",IF(AND(OR($N5="حاضر",$N5="دوام جزئي"),$F5&lt;$H5),($H5-$F5)*24,0))</f>
        <v/>
      </c>
      <c r="M5" s="55">
        <f>IF(OR($A5="",$F5=""),"",IF(AND(احتساب_العمل_الإضافي="نعم",OR($N5="حاضر",$N5="دوام جزئي"),$F5&gt;$H5,($F5-$H5)*24*60&gt;=حد_العمل_الإضافي_دقيقة),($F5-$H5)*24,0))</f>
        <v/>
      </c>
      <c r="N5" s="40" t="n"/>
      <c r="O5" s="40" t="n"/>
      <c r="Q5">
        <f>IF(AND(ISNUMBER($K5),$K5&gt;0),SUMPRODUCT(ISNUMBER($K$3:$K$502)*($K$3:$K$502&gt;0)*(ROW($K$3:$K$502)&lt;=ROW())),"")</f>
        <v/>
      </c>
    </row>
    <row r="6">
      <c r="A6" s="47" t="n"/>
      <c r="B6" s="50">
        <f>IFERROR(INDEX(الموظفون_الاسم,MATCH($A6,الموظفون_الرقم,0)),"")</f>
        <v/>
      </c>
      <c r="C6" s="112" t="n"/>
      <c r="D6" s="50">
        <f>IF($C6="","",IFERROR(INDEX(قائمة_أيام_الأسبوع,WEEKDAY($C6,1)),""))</f>
        <v/>
      </c>
      <c r="E6" s="116" t="n"/>
      <c r="F6" s="116" t="n"/>
      <c r="G6" s="117">
        <f>IF($A6="","",بداية_الدوام)</f>
        <v/>
      </c>
      <c r="H6" s="117">
        <f>IF($A6="","",نهاية_الدوام)</f>
        <v/>
      </c>
      <c r="I6" s="58">
        <f>IF($A6="","",مدة_الاستراحة/60)</f>
        <v/>
      </c>
      <c r="J6" s="58">
        <f>IF(OR($A6="",$E6="",$F6=""),"",IF(OR($N6="حاضر",$N6="دوام جزئي"),MAX(0,MOD($F6-$E6,1)*24-$I6),0))</f>
        <v/>
      </c>
      <c r="K6" s="58">
        <f>IF(OR($A6="",$E6=""),"",IF(AND(احتساب_التأخير="نعم",OR($N6="حاضر",$N6="دوام جزئي"),$E6&gt;$G6+دقائق_السماح/1440),($E6-$G6-دقائق_السماح/1440)*24,0))</f>
        <v/>
      </c>
      <c r="L6" s="58">
        <f>IF(OR($A6="",$F6=""),"",IF(AND(OR($N6="حاضر",$N6="دوام جزئي"),$F6&lt;$H6),($H6-$F6)*24,0))</f>
        <v/>
      </c>
      <c r="M6" s="58">
        <f>IF(OR($A6="",$F6=""),"",IF(AND(احتساب_العمل_الإضافي="نعم",OR($N6="حاضر",$N6="دوام جزئي"),$F6&gt;$H6,($F6-$H6)*24*60&gt;=حد_العمل_الإضافي_دقيقة),($F6-$H6)*24,0))</f>
        <v/>
      </c>
      <c r="N6" s="47" t="n"/>
      <c r="O6" s="47" t="n"/>
      <c r="Q6">
        <f>IF(AND(ISNUMBER($K6),$K6&gt;0),SUMPRODUCT(ISNUMBER($K$3:$K$502)*($K$3:$K$502&gt;0)*(ROW($K$3:$K$502)&lt;=ROW())),"")</f>
        <v/>
      </c>
    </row>
    <row r="7">
      <c r="A7" s="40" t="n"/>
      <c r="B7" s="43">
        <f>IFERROR(INDEX(الموظفون_الاسم,MATCH($A7,الموظفون_الرقم,0)),"")</f>
        <v/>
      </c>
      <c r="C7" s="110" t="n"/>
      <c r="D7" s="43">
        <f>IF($C7="","",IFERROR(INDEX(قائمة_أيام_الأسبوع,WEEKDAY($C7,1)),""))</f>
        <v/>
      </c>
      <c r="E7" s="114" t="n"/>
      <c r="F7" s="114" t="n"/>
      <c r="G7" s="115">
        <f>IF($A7="","",بداية_الدوام)</f>
        <v/>
      </c>
      <c r="H7" s="115">
        <f>IF($A7="","",نهاية_الدوام)</f>
        <v/>
      </c>
      <c r="I7" s="55">
        <f>IF($A7="","",مدة_الاستراحة/60)</f>
        <v/>
      </c>
      <c r="J7" s="55">
        <f>IF(OR($A7="",$E7="",$F7=""),"",IF(OR($N7="حاضر",$N7="دوام جزئي"),MAX(0,MOD($F7-$E7,1)*24-$I7),0))</f>
        <v/>
      </c>
      <c r="K7" s="55">
        <f>IF(OR($A7="",$E7=""),"",IF(AND(احتساب_التأخير="نعم",OR($N7="حاضر",$N7="دوام جزئي"),$E7&gt;$G7+دقائق_السماح/1440),($E7-$G7-دقائق_السماح/1440)*24,0))</f>
        <v/>
      </c>
      <c r="L7" s="55">
        <f>IF(OR($A7="",$F7=""),"",IF(AND(OR($N7="حاضر",$N7="دوام جزئي"),$F7&lt;$H7),($H7-$F7)*24,0))</f>
        <v/>
      </c>
      <c r="M7" s="55">
        <f>IF(OR($A7="",$F7=""),"",IF(AND(احتساب_العمل_الإضافي="نعم",OR($N7="حاضر",$N7="دوام جزئي"),$F7&gt;$H7,($F7-$H7)*24*60&gt;=حد_العمل_الإضافي_دقيقة),($F7-$H7)*24,0))</f>
        <v/>
      </c>
      <c r="N7" s="40" t="n"/>
      <c r="O7" s="40" t="n"/>
      <c r="Q7">
        <f>IF(AND(ISNUMBER($K7),$K7&gt;0),SUMPRODUCT(ISNUMBER($K$3:$K$502)*($K$3:$K$502&gt;0)*(ROW($K$3:$K$502)&lt;=ROW())),"")</f>
        <v/>
      </c>
    </row>
    <row r="8">
      <c r="A8" s="47" t="n"/>
      <c r="B8" s="50">
        <f>IFERROR(INDEX(الموظفون_الاسم,MATCH($A8,الموظفون_الرقم,0)),"")</f>
        <v/>
      </c>
      <c r="C8" s="112" t="n"/>
      <c r="D8" s="50">
        <f>IF($C8="","",IFERROR(INDEX(قائمة_أيام_الأسبوع,WEEKDAY($C8,1)),""))</f>
        <v/>
      </c>
      <c r="E8" s="116" t="n"/>
      <c r="F8" s="116" t="n"/>
      <c r="G8" s="117">
        <f>IF($A8="","",بداية_الدوام)</f>
        <v/>
      </c>
      <c r="H8" s="117">
        <f>IF($A8="","",نهاية_الدوام)</f>
        <v/>
      </c>
      <c r="I8" s="58">
        <f>IF($A8="","",مدة_الاستراحة/60)</f>
        <v/>
      </c>
      <c r="J8" s="58">
        <f>IF(OR($A8="",$E8="",$F8=""),"",IF(OR($N8="حاضر",$N8="دوام جزئي"),MAX(0,MOD($F8-$E8,1)*24-$I8),0))</f>
        <v/>
      </c>
      <c r="K8" s="58">
        <f>IF(OR($A8="",$E8=""),"",IF(AND(احتساب_التأخير="نعم",OR($N8="حاضر",$N8="دوام جزئي"),$E8&gt;$G8+دقائق_السماح/1440),($E8-$G8-دقائق_السماح/1440)*24,0))</f>
        <v/>
      </c>
      <c r="L8" s="58">
        <f>IF(OR($A8="",$F8=""),"",IF(AND(OR($N8="حاضر",$N8="دوام جزئي"),$F8&lt;$H8),($H8-$F8)*24,0))</f>
        <v/>
      </c>
      <c r="M8" s="58">
        <f>IF(OR($A8="",$F8=""),"",IF(AND(احتساب_العمل_الإضافي="نعم",OR($N8="حاضر",$N8="دوام جزئي"),$F8&gt;$H8,($F8-$H8)*24*60&gt;=حد_العمل_الإضافي_دقيقة),($F8-$H8)*24,0))</f>
        <v/>
      </c>
      <c r="N8" s="47" t="n"/>
      <c r="O8" s="47" t="n"/>
      <c r="Q8">
        <f>IF(AND(ISNUMBER($K8),$K8&gt;0),SUMPRODUCT(ISNUMBER($K$3:$K$502)*($K$3:$K$502&gt;0)*(ROW($K$3:$K$502)&lt;=ROW())),"")</f>
        <v/>
      </c>
    </row>
    <row r="9">
      <c r="A9" s="40" t="n"/>
      <c r="B9" s="43">
        <f>IFERROR(INDEX(الموظفون_الاسم,MATCH($A9,الموظفون_الرقم,0)),"")</f>
        <v/>
      </c>
      <c r="C9" s="110" t="n"/>
      <c r="D9" s="43">
        <f>IF($C9="","",IFERROR(INDEX(قائمة_أيام_الأسبوع,WEEKDAY($C9,1)),""))</f>
        <v/>
      </c>
      <c r="E9" s="114" t="n"/>
      <c r="F9" s="114" t="n"/>
      <c r="G9" s="115">
        <f>IF($A9="","",بداية_الدوام)</f>
        <v/>
      </c>
      <c r="H9" s="115">
        <f>IF($A9="","",نهاية_الدوام)</f>
        <v/>
      </c>
      <c r="I9" s="55">
        <f>IF($A9="","",مدة_الاستراحة/60)</f>
        <v/>
      </c>
      <c r="J9" s="55">
        <f>IF(OR($A9="",$E9="",$F9=""),"",IF(OR($N9="حاضر",$N9="دوام جزئي"),MAX(0,MOD($F9-$E9,1)*24-$I9),0))</f>
        <v/>
      </c>
      <c r="K9" s="55">
        <f>IF(OR($A9="",$E9=""),"",IF(AND(احتساب_التأخير="نعم",OR($N9="حاضر",$N9="دوام جزئي"),$E9&gt;$G9+دقائق_السماح/1440),($E9-$G9-دقائق_السماح/1440)*24,0))</f>
        <v/>
      </c>
      <c r="L9" s="55">
        <f>IF(OR($A9="",$F9=""),"",IF(AND(OR($N9="حاضر",$N9="دوام جزئي"),$F9&lt;$H9),($H9-$F9)*24,0))</f>
        <v/>
      </c>
      <c r="M9" s="55">
        <f>IF(OR($A9="",$F9=""),"",IF(AND(احتساب_العمل_الإضافي="نعم",OR($N9="حاضر",$N9="دوام جزئي"),$F9&gt;$H9,($F9-$H9)*24*60&gt;=حد_العمل_الإضافي_دقيقة),($F9-$H9)*24,0))</f>
        <v/>
      </c>
      <c r="N9" s="40" t="n"/>
      <c r="O9" s="40" t="n"/>
      <c r="Q9">
        <f>IF(AND(ISNUMBER($K9),$K9&gt;0),SUMPRODUCT(ISNUMBER($K$3:$K$502)*($K$3:$K$502&gt;0)*(ROW($K$3:$K$502)&lt;=ROW())),"")</f>
        <v/>
      </c>
    </row>
    <row r="10">
      <c r="A10" s="47" t="n"/>
      <c r="B10" s="50">
        <f>IFERROR(INDEX(الموظفون_الاسم,MATCH($A10,الموظفون_الرقم,0)),"")</f>
        <v/>
      </c>
      <c r="C10" s="112" t="n"/>
      <c r="D10" s="50">
        <f>IF($C10="","",IFERROR(INDEX(قائمة_أيام_الأسبوع,WEEKDAY($C10,1)),""))</f>
        <v/>
      </c>
      <c r="E10" s="116" t="n"/>
      <c r="F10" s="116" t="n"/>
      <c r="G10" s="117">
        <f>IF($A10="","",بداية_الدوام)</f>
        <v/>
      </c>
      <c r="H10" s="117">
        <f>IF($A10="","",نهاية_الدوام)</f>
        <v/>
      </c>
      <c r="I10" s="58">
        <f>IF($A10="","",مدة_الاستراحة/60)</f>
        <v/>
      </c>
      <c r="J10" s="58">
        <f>IF(OR($A10="",$E10="",$F10=""),"",IF(OR($N10="حاضر",$N10="دوام جزئي"),MAX(0,MOD($F10-$E10,1)*24-$I10),0))</f>
        <v/>
      </c>
      <c r="K10" s="58">
        <f>IF(OR($A10="",$E10=""),"",IF(AND(احتساب_التأخير="نعم",OR($N10="حاضر",$N10="دوام جزئي"),$E10&gt;$G10+دقائق_السماح/1440),($E10-$G10-دقائق_السماح/1440)*24,0))</f>
        <v/>
      </c>
      <c r="L10" s="58">
        <f>IF(OR($A10="",$F10=""),"",IF(AND(OR($N10="حاضر",$N10="دوام جزئي"),$F10&lt;$H10),($H10-$F10)*24,0))</f>
        <v/>
      </c>
      <c r="M10" s="58">
        <f>IF(OR($A10="",$F10=""),"",IF(AND(احتساب_العمل_الإضافي="نعم",OR($N10="حاضر",$N10="دوام جزئي"),$F10&gt;$H10,($F10-$H10)*24*60&gt;=حد_العمل_الإضافي_دقيقة),($F10-$H10)*24,0))</f>
        <v/>
      </c>
      <c r="N10" s="47" t="n"/>
      <c r="O10" s="47" t="n"/>
      <c r="Q10">
        <f>IF(AND(ISNUMBER($K10),$K10&gt;0),SUMPRODUCT(ISNUMBER($K$3:$K$502)*($K$3:$K$502&gt;0)*(ROW($K$3:$K$502)&lt;=ROW())),"")</f>
        <v/>
      </c>
    </row>
    <row r="11">
      <c r="A11" s="40" t="n"/>
      <c r="B11" s="43">
        <f>IFERROR(INDEX(الموظفون_الاسم,MATCH($A11,الموظفون_الرقم,0)),"")</f>
        <v/>
      </c>
      <c r="C11" s="110" t="n"/>
      <c r="D11" s="43">
        <f>IF($C11="","",IFERROR(INDEX(قائمة_أيام_الأسبوع,WEEKDAY($C11,1)),""))</f>
        <v/>
      </c>
      <c r="E11" s="114" t="n"/>
      <c r="F11" s="114" t="n"/>
      <c r="G11" s="115">
        <f>IF($A11="","",بداية_الدوام)</f>
        <v/>
      </c>
      <c r="H11" s="115">
        <f>IF($A11="","",نهاية_الدوام)</f>
        <v/>
      </c>
      <c r="I11" s="55">
        <f>IF($A11="","",مدة_الاستراحة/60)</f>
        <v/>
      </c>
      <c r="J11" s="55">
        <f>IF(OR($A11="",$E11="",$F11=""),"",IF(OR($N11="حاضر",$N11="دوام جزئي"),MAX(0,MOD($F11-$E11,1)*24-$I11),0))</f>
        <v/>
      </c>
      <c r="K11" s="55">
        <f>IF(OR($A11="",$E11=""),"",IF(AND(احتساب_التأخير="نعم",OR($N11="حاضر",$N11="دوام جزئي"),$E11&gt;$G11+دقائق_السماح/1440),($E11-$G11-دقائق_السماح/1440)*24,0))</f>
        <v/>
      </c>
      <c r="L11" s="55">
        <f>IF(OR($A11="",$F11=""),"",IF(AND(OR($N11="حاضر",$N11="دوام جزئي"),$F11&lt;$H11),($H11-$F11)*24,0))</f>
        <v/>
      </c>
      <c r="M11" s="55">
        <f>IF(OR($A11="",$F11=""),"",IF(AND(احتساب_العمل_الإضافي="نعم",OR($N11="حاضر",$N11="دوام جزئي"),$F11&gt;$H11,($F11-$H11)*24*60&gt;=حد_العمل_الإضافي_دقيقة),($F11-$H11)*24,0))</f>
        <v/>
      </c>
      <c r="N11" s="40" t="n"/>
      <c r="O11" s="40" t="n"/>
      <c r="Q11">
        <f>IF(AND(ISNUMBER($K11),$K11&gt;0),SUMPRODUCT(ISNUMBER($K$3:$K$502)*($K$3:$K$502&gt;0)*(ROW($K$3:$K$502)&lt;=ROW())),"")</f>
        <v/>
      </c>
    </row>
    <row r="12">
      <c r="A12" s="47" t="n"/>
      <c r="B12" s="50">
        <f>IFERROR(INDEX(الموظفون_الاسم,MATCH($A12,الموظفون_الرقم,0)),"")</f>
        <v/>
      </c>
      <c r="C12" s="112" t="n"/>
      <c r="D12" s="50">
        <f>IF($C12="","",IFERROR(INDEX(قائمة_أيام_الأسبوع,WEEKDAY($C12,1)),""))</f>
        <v/>
      </c>
      <c r="E12" s="116" t="n"/>
      <c r="F12" s="116" t="n"/>
      <c r="G12" s="117">
        <f>IF($A12="","",بداية_الدوام)</f>
        <v/>
      </c>
      <c r="H12" s="117">
        <f>IF($A12="","",نهاية_الدوام)</f>
        <v/>
      </c>
      <c r="I12" s="58">
        <f>IF($A12="","",مدة_الاستراحة/60)</f>
        <v/>
      </c>
      <c r="J12" s="58">
        <f>IF(OR($A12="",$E12="",$F12=""),"",IF(OR($N12="حاضر",$N12="دوام جزئي"),MAX(0,MOD($F12-$E12,1)*24-$I12),0))</f>
        <v/>
      </c>
      <c r="K12" s="58">
        <f>IF(OR($A12="",$E12=""),"",IF(AND(احتساب_التأخير="نعم",OR($N12="حاضر",$N12="دوام جزئي"),$E12&gt;$G12+دقائق_السماح/1440),($E12-$G12-دقائق_السماح/1440)*24,0))</f>
        <v/>
      </c>
      <c r="L12" s="58">
        <f>IF(OR($A12="",$F12=""),"",IF(AND(OR($N12="حاضر",$N12="دوام جزئي"),$F12&lt;$H12),($H12-$F12)*24,0))</f>
        <v/>
      </c>
      <c r="M12" s="58">
        <f>IF(OR($A12="",$F12=""),"",IF(AND(احتساب_العمل_الإضافي="نعم",OR($N12="حاضر",$N12="دوام جزئي"),$F12&gt;$H12,($F12-$H12)*24*60&gt;=حد_العمل_الإضافي_دقيقة),($F12-$H12)*24,0))</f>
        <v/>
      </c>
      <c r="N12" s="47" t="n"/>
      <c r="O12" s="47" t="n"/>
      <c r="Q12">
        <f>IF(AND(ISNUMBER($K12),$K12&gt;0),SUMPRODUCT(ISNUMBER($K$3:$K$502)*($K$3:$K$502&gt;0)*(ROW($K$3:$K$502)&lt;=ROW())),"")</f>
        <v/>
      </c>
    </row>
    <row r="13">
      <c r="A13" s="40" t="n"/>
      <c r="B13" s="43">
        <f>IFERROR(INDEX(الموظفون_الاسم,MATCH($A13,الموظفون_الرقم,0)),"")</f>
        <v/>
      </c>
      <c r="C13" s="110" t="n"/>
      <c r="D13" s="43">
        <f>IF($C13="","",IFERROR(INDEX(قائمة_أيام_الأسبوع,WEEKDAY($C13,1)),""))</f>
        <v/>
      </c>
      <c r="E13" s="114" t="n"/>
      <c r="F13" s="114" t="n"/>
      <c r="G13" s="115">
        <f>IF($A13="","",بداية_الدوام)</f>
        <v/>
      </c>
      <c r="H13" s="115">
        <f>IF($A13="","",نهاية_الدوام)</f>
        <v/>
      </c>
      <c r="I13" s="55">
        <f>IF($A13="","",مدة_الاستراحة/60)</f>
        <v/>
      </c>
      <c r="J13" s="55">
        <f>IF(OR($A13="",$E13="",$F13=""),"",IF(OR($N13="حاضر",$N13="دوام جزئي"),MAX(0,MOD($F13-$E13,1)*24-$I13),0))</f>
        <v/>
      </c>
      <c r="K13" s="55">
        <f>IF(OR($A13="",$E13=""),"",IF(AND(احتساب_التأخير="نعم",OR($N13="حاضر",$N13="دوام جزئي"),$E13&gt;$G13+دقائق_السماح/1440),($E13-$G13-دقائق_السماح/1440)*24,0))</f>
        <v/>
      </c>
      <c r="L13" s="55">
        <f>IF(OR($A13="",$F13=""),"",IF(AND(OR($N13="حاضر",$N13="دوام جزئي"),$F13&lt;$H13),($H13-$F13)*24,0))</f>
        <v/>
      </c>
      <c r="M13" s="55">
        <f>IF(OR($A13="",$F13=""),"",IF(AND(احتساب_العمل_الإضافي="نعم",OR($N13="حاضر",$N13="دوام جزئي"),$F13&gt;$H13,($F13-$H13)*24*60&gt;=حد_العمل_الإضافي_دقيقة),($F13-$H13)*24,0))</f>
        <v/>
      </c>
      <c r="N13" s="40" t="n"/>
      <c r="O13" s="40" t="n"/>
      <c r="Q13">
        <f>IF(AND(ISNUMBER($K13),$K13&gt;0),SUMPRODUCT(ISNUMBER($K$3:$K$502)*($K$3:$K$502&gt;0)*(ROW($K$3:$K$502)&lt;=ROW())),"")</f>
        <v/>
      </c>
    </row>
    <row r="14">
      <c r="A14" s="47" t="n"/>
      <c r="B14" s="50">
        <f>IFERROR(INDEX(الموظفون_الاسم,MATCH($A14,الموظفون_الرقم,0)),"")</f>
        <v/>
      </c>
      <c r="C14" s="112" t="n"/>
      <c r="D14" s="50">
        <f>IF($C14="","",IFERROR(INDEX(قائمة_أيام_الأسبوع,WEEKDAY($C14,1)),""))</f>
        <v/>
      </c>
      <c r="E14" s="116" t="n"/>
      <c r="F14" s="116" t="n"/>
      <c r="G14" s="117">
        <f>IF($A14="","",بداية_الدوام)</f>
        <v/>
      </c>
      <c r="H14" s="117">
        <f>IF($A14="","",نهاية_الدوام)</f>
        <v/>
      </c>
      <c r="I14" s="58">
        <f>IF($A14="","",مدة_الاستراحة/60)</f>
        <v/>
      </c>
      <c r="J14" s="58">
        <f>IF(OR($A14="",$E14="",$F14=""),"",IF(OR($N14="حاضر",$N14="دوام جزئي"),MAX(0,MOD($F14-$E14,1)*24-$I14),0))</f>
        <v/>
      </c>
      <c r="K14" s="58">
        <f>IF(OR($A14="",$E14=""),"",IF(AND(احتساب_التأخير="نعم",OR($N14="حاضر",$N14="دوام جزئي"),$E14&gt;$G14+دقائق_السماح/1440),($E14-$G14-دقائق_السماح/1440)*24,0))</f>
        <v/>
      </c>
      <c r="L14" s="58">
        <f>IF(OR($A14="",$F14=""),"",IF(AND(OR($N14="حاضر",$N14="دوام جزئي"),$F14&lt;$H14),($H14-$F14)*24,0))</f>
        <v/>
      </c>
      <c r="M14" s="58">
        <f>IF(OR($A14="",$F14=""),"",IF(AND(احتساب_العمل_الإضافي="نعم",OR($N14="حاضر",$N14="دوام جزئي"),$F14&gt;$H14,($F14-$H14)*24*60&gt;=حد_العمل_الإضافي_دقيقة),($F14-$H14)*24,0))</f>
        <v/>
      </c>
      <c r="N14" s="47" t="n"/>
      <c r="O14" s="47" t="n"/>
      <c r="Q14">
        <f>IF(AND(ISNUMBER($K14),$K14&gt;0),SUMPRODUCT(ISNUMBER($K$3:$K$502)*($K$3:$K$502&gt;0)*(ROW($K$3:$K$502)&lt;=ROW())),"")</f>
        <v/>
      </c>
    </row>
    <row r="15">
      <c r="A15" s="40" t="n"/>
      <c r="B15" s="43">
        <f>IFERROR(INDEX(الموظفون_الاسم,MATCH($A15,الموظفون_الرقم,0)),"")</f>
        <v/>
      </c>
      <c r="C15" s="110" t="n"/>
      <c r="D15" s="43">
        <f>IF($C15="","",IFERROR(INDEX(قائمة_أيام_الأسبوع,WEEKDAY($C15,1)),""))</f>
        <v/>
      </c>
      <c r="E15" s="114" t="n"/>
      <c r="F15" s="114" t="n"/>
      <c r="G15" s="115">
        <f>IF($A15="","",بداية_الدوام)</f>
        <v/>
      </c>
      <c r="H15" s="115">
        <f>IF($A15="","",نهاية_الدوام)</f>
        <v/>
      </c>
      <c r="I15" s="55">
        <f>IF($A15="","",مدة_الاستراحة/60)</f>
        <v/>
      </c>
      <c r="J15" s="55">
        <f>IF(OR($A15="",$E15="",$F15=""),"",IF(OR($N15="حاضر",$N15="دوام جزئي"),MAX(0,MOD($F15-$E15,1)*24-$I15),0))</f>
        <v/>
      </c>
      <c r="K15" s="55">
        <f>IF(OR($A15="",$E15=""),"",IF(AND(احتساب_التأخير="نعم",OR($N15="حاضر",$N15="دوام جزئي"),$E15&gt;$G15+دقائق_السماح/1440),($E15-$G15-دقائق_السماح/1440)*24,0))</f>
        <v/>
      </c>
      <c r="L15" s="55">
        <f>IF(OR($A15="",$F15=""),"",IF(AND(OR($N15="حاضر",$N15="دوام جزئي"),$F15&lt;$H15),($H15-$F15)*24,0))</f>
        <v/>
      </c>
      <c r="M15" s="55">
        <f>IF(OR($A15="",$F15=""),"",IF(AND(احتساب_العمل_الإضافي="نعم",OR($N15="حاضر",$N15="دوام جزئي"),$F15&gt;$H15,($F15-$H15)*24*60&gt;=حد_العمل_الإضافي_دقيقة),($F15-$H15)*24,0))</f>
        <v/>
      </c>
      <c r="N15" s="40" t="n"/>
      <c r="O15" s="40" t="n"/>
      <c r="Q15">
        <f>IF(AND(ISNUMBER($K15),$K15&gt;0),SUMPRODUCT(ISNUMBER($K$3:$K$502)*($K$3:$K$502&gt;0)*(ROW($K$3:$K$502)&lt;=ROW())),"")</f>
        <v/>
      </c>
    </row>
    <row r="16">
      <c r="A16" s="47" t="n"/>
      <c r="B16" s="50">
        <f>IFERROR(INDEX(الموظفون_الاسم,MATCH($A16,الموظفون_الرقم,0)),"")</f>
        <v/>
      </c>
      <c r="C16" s="112" t="n"/>
      <c r="D16" s="50">
        <f>IF($C16="","",IFERROR(INDEX(قائمة_أيام_الأسبوع,WEEKDAY($C16,1)),""))</f>
        <v/>
      </c>
      <c r="E16" s="116" t="n"/>
      <c r="F16" s="116" t="n"/>
      <c r="G16" s="117">
        <f>IF($A16="","",بداية_الدوام)</f>
        <v/>
      </c>
      <c r="H16" s="117">
        <f>IF($A16="","",نهاية_الدوام)</f>
        <v/>
      </c>
      <c r="I16" s="58">
        <f>IF($A16="","",مدة_الاستراحة/60)</f>
        <v/>
      </c>
      <c r="J16" s="58">
        <f>IF(OR($A16="",$E16="",$F16=""),"",IF(OR($N16="حاضر",$N16="دوام جزئي"),MAX(0,MOD($F16-$E16,1)*24-$I16),0))</f>
        <v/>
      </c>
      <c r="K16" s="58">
        <f>IF(OR($A16="",$E16=""),"",IF(AND(احتساب_التأخير="نعم",OR($N16="حاضر",$N16="دوام جزئي"),$E16&gt;$G16+دقائق_السماح/1440),($E16-$G16-دقائق_السماح/1440)*24,0))</f>
        <v/>
      </c>
      <c r="L16" s="58">
        <f>IF(OR($A16="",$F16=""),"",IF(AND(OR($N16="حاضر",$N16="دوام جزئي"),$F16&lt;$H16),($H16-$F16)*24,0))</f>
        <v/>
      </c>
      <c r="M16" s="58">
        <f>IF(OR($A16="",$F16=""),"",IF(AND(احتساب_العمل_الإضافي="نعم",OR($N16="حاضر",$N16="دوام جزئي"),$F16&gt;$H16,($F16-$H16)*24*60&gt;=حد_العمل_الإضافي_دقيقة),($F16-$H16)*24,0))</f>
        <v/>
      </c>
      <c r="N16" s="47" t="n"/>
      <c r="O16" s="47" t="n"/>
      <c r="Q16">
        <f>IF(AND(ISNUMBER($K16),$K16&gt;0),SUMPRODUCT(ISNUMBER($K$3:$K$502)*($K$3:$K$502&gt;0)*(ROW($K$3:$K$502)&lt;=ROW())),"")</f>
        <v/>
      </c>
    </row>
    <row r="17">
      <c r="A17" s="40" t="n"/>
      <c r="B17" s="43">
        <f>IFERROR(INDEX(الموظفون_الاسم,MATCH($A17,الموظفون_الرقم,0)),"")</f>
        <v/>
      </c>
      <c r="C17" s="110" t="n"/>
      <c r="D17" s="43">
        <f>IF($C17="","",IFERROR(INDEX(قائمة_أيام_الأسبوع,WEEKDAY($C17,1)),""))</f>
        <v/>
      </c>
      <c r="E17" s="114" t="n"/>
      <c r="F17" s="114" t="n"/>
      <c r="G17" s="115">
        <f>IF($A17="","",بداية_الدوام)</f>
        <v/>
      </c>
      <c r="H17" s="115">
        <f>IF($A17="","",نهاية_الدوام)</f>
        <v/>
      </c>
      <c r="I17" s="55">
        <f>IF($A17="","",مدة_الاستراحة/60)</f>
        <v/>
      </c>
      <c r="J17" s="55">
        <f>IF(OR($A17="",$E17="",$F17=""),"",IF(OR($N17="حاضر",$N17="دوام جزئي"),MAX(0,MOD($F17-$E17,1)*24-$I17),0))</f>
        <v/>
      </c>
      <c r="K17" s="55">
        <f>IF(OR($A17="",$E17=""),"",IF(AND(احتساب_التأخير="نعم",OR($N17="حاضر",$N17="دوام جزئي"),$E17&gt;$G17+دقائق_السماح/1440),($E17-$G17-دقائق_السماح/1440)*24,0))</f>
        <v/>
      </c>
      <c r="L17" s="55">
        <f>IF(OR($A17="",$F17=""),"",IF(AND(OR($N17="حاضر",$N17="دوام جزئي"),$F17&lt;$H17),($H17-$F17)*24,0))</f>
        <v/>
      </c>
      <c r="M17" s="55">
        <f>IF(OR($A17="",$F17=""),"",IF(AND(احتساب_العمل_الإضافي="نعم",OR($N17="حاضر",$N17="دوام جزئي"),$F17&gt;$H17,($F17-$H17)*24*60&gt;=حد_العمل_الإضافي_دقيقة),($F17-$H17)*24,0))</f>
        <v/>
      </c>
      <c r="N17" s="40" t="n"/>
      <c r="O17" s="40" t="n"/>
      <c r="Q17">
        <f>IF(AND(ISNUMBER($K17),$K17&gt;0),SUMPRODUCT(ISNUMBER($K$3:$K$502)*($K$3:$K$502&gt;0)*(ROW($K$3:$K$502)&lt;=ROW())),"")</f>
        <v/>
      </c>
    </row>
    <row r="18">
      <c r="A18" s="47" t="n"/>
      <c r="B18" s="50">
        <f>IFERROR(INDEX(الموظفون_الاسم,MATCH($A18,الموظفون_الرقم,0)),"")</f>
        <v/>
      </c>
      <c r="C18" s="112" t="n"/>
      <c r="D18" s="50">
        <f>IF($C18="","",IFERROR(INDEX(قائمة_أيام_الأسبوع,WEEKDAY($C18,1)),""))</f>
        <v/>
      </c>
      <c r="E18" s="116" t="n"/>
      <c r="F18" s="116" t="n"/>
      <c r="G18" s="117">
        <f>IF($A18="","",بداية_الدوام)</f>
        <v/>
      </c>
      <c r="H18" s="117">
        <f>IF($A18="","",نهاية_الدوام)</f>
        <v/>
      </c>
      <c r="I18" s="58">
        <f>IF($A18="","",مدة_الاستراحة/60)</f>
        <v/>
      </c>
      <c r="J18" s="58">
        <f>IF(OR($A18="",$E18="",$F18=""),"",IF(OR($N18="حاضر",$N18="دوام جزئي"),MAX(0,MOD($F18-$E18,1)*24-$I18),0))</f>
        <v/>
      </c>
      <c r="K18" s="58">
        <f>IF(OR($A18="",$E18=""),"",IF(AND(احتساب_التأخير="نعم",OR($N18="حاضر",$N18="دوام جزئي"),$E18&gt;$G18+دقائق_السماح/1440),($E18-$G18-دقائق_السماح/1440)*24,0))</f>
        <v/>
      </c>
      <c r="L18" s="58">
        <f>IF(OR($A18="",$F18=""),"",IF(AND(OR($N18="حاضر",$N18="دوام جزئي"),$F18&lt;$H18),($H18-$F18)*24,0))</f>
        <v/>
      </c>
      <c r="M18" s="58">
        <f>IF(OR($A18="",$F18=""),"",IF(AND(احتساب_العمل_الإضافي="نعم",OR($N18="حاضر",$N18="دوام جزئي"),$F18&gt;$H18,($F18-$H18)*24*60&gt;=حد_العمل_الإضافي_دقيقة),($F18-$H18)*24,0))</f>
        <v/>
      </c>
      <c r="N18" s="47" t="n"/>
      <c r="O18" s="47" t="n"/>
      <c r="Q18">
        <f>IF(AND(ISNUMBER($K18),$K18&gt;0),SUMPRODUCT(ISNUMBER($K$3:$K$502)*($K$3:$K$502&gt;0)*(ROW($K$3:$K$502)&lt;=ROW())),"")</f>
        <v/>
      </c>
    </row>
    <row r="19">
      <c r="A19" s="40" t="n"/>
      <c r="B19" s="43">
        <f>IFERROR(INDEX(الموظفون_الاسم,MATCH($A19,الموظفون_الرقم,0)),"")</f>
        <v/>
      </c>
      <c r="C19" s="110" t="n"/>
      <c r="D19" s="43">
        <f>IF($C19="","",IFERROR(INDEX(قائمة_أيام_الأسبوع,WEEKDAY($C19,1)),""))</f>
        <v/>
      </c>
      <c r="E19" s="114" t="n"/>
      <c r="F19" s="114" t="n"/>
      <c r="G19" s="115">
        <f>IF($A19="","",بداية_الدوام)</f>
        <v/>
      </c>
      <c r="H19" s="115">
        <f>IF($A19="","",نهاية_الدوام)</f>
        <v/>
      </c>
      <c r="I19" s="55">
        <f>IF($A19="","",مدة_الاستراحة/60)</f>
        <v/>
      </c>
      <c r="J19" s="55">
        <f>IF(OR($A19="",$E19="",$F19=""),"",IF(OR($N19="حاضر",$N19="دوام جزئي"),MAX(0,MOD($F19-$E19,1)*24-$I19),0))</f>
        <v/>
      </c>
      <c r="K19" s="55">
        <f>IF(OR($A19="",$E19=""),"",IF(AND(احتساب_التأخير="نعم",OR($N19="حاضر",$N19="دوام جزئي"),$E19&gt;$G19+دقائق_السماح/1440),($E19-$G19-دقائق_السماح/1440)*24,0))</f>
        <v/>
      </c>
      <c r="L19" s="55">
        <f>IF(OR($A19="",$F19=""),"",IF(AND(OR($N19="حاضر",$N19="دوام جزئي"),$F19&lt;$H19),($H19-$F19)*24,0))</f>
        <v/>
      </c>
      <c r="M19" s="55">
        <f>IF(OR($A19="",$F19=""),"",IF(AND(احتساب_العمل_الإضافي="نعم",OR($N19="حاضر",$N19="دوام جزئي"),$F19&gt;$H19,($F19-$H19)*24*60&gt;=حد_العمل_الإضافي_دقيقة),($F19-$H19)*24,0))</f>
        <v/>
      </c>
      <c r="N19" s="40" t="n"/>
      <c r="O19" s="40" t="n"/>
      <c r="Q19">
        <f>IF(AND(ISNUMBER($K19),$K19&gt;0),SUMPRODUCT(ISNUMBER($K$3:$K$502)*($K$3:$K$502&gt;0)*(ROW($K$3:$K$502)&lt;=ROW())),"")</f>
        <v/>
      </c>
    </row>
    <row r="20">
      <c r="A20" s="47" t="n"/>
      <c r="B20" s="50">
        <f>IFERROR(INDEX(الموظفون_الاسم,MATCH($A20,الموظفون_الرقم,0)),"")</f>
        <v/>
      </c>
      <c r="C20" s="112" t="n"/>
      <c r="D20" s="50">
        <f>IF($C20="","",IFERROR(INDEX(قائمة_أيام_الأسبوع,WEEKDAY($C20,1)),""))</f>
        <v/>
      </c>
      <c r="E20" s="116" t="n"/>
      <c r="F20" s="116" t="n"/>
      <c r="G20" s="117">
        <f>IF($A20="","",بداية_الدوام)</f>
        <v/>
      </c>
      <c r="H20" s="117">
        <f>IF($A20="","",نهاية_الدوام)</f>
        <v/>
      </c>
      <c r="I20" s="58">
        <f>IF($A20="","",مدة_الاستراحة/60)</f>
        <v/>
      </c>
      <c r="J20" s="58">
        <f>IF(OR($A20="",$E20="",$F20=""),"",IF(OR($N20="حاضر",$N20="دوام جزئي"),MAX(0,MOD($F20-$E20,1)*24-$I20),0))</f>
        <v/>
      </c>
      <c r="K20" s="58">
        <f>IF(OR($A20="",$E20=""),"",IF(AND(احتساب_التأخير="نعم",OR($N20="حاضر",$N20="دوام جزئي"),$E20&gt;$G20+دقائق_السماح/1440),($E20-$G20-دقائق_السماح/1440)*24,0))</f>
        <v/>
      </c>
      <c r="L20" s="58">
        <f>IF(OR($A20="",$F20=""),"",IF(AND(OR($N20="حاضر",$N20="دوام جزئي"),$F20&lt;$H20),($H20-$F20)*24,0))</f>
        <v/>
      </c>
      <c r="M20" s="58">
        <f>IF(OR($A20="",$F20=""),"",IF(AND(احتساب_العمل_الإضافي="نعم",OR($N20="حاضر",$N20="دوام جزئي"),$F20&gt;$H20,($F20-$H20)*24*60&gt;=حد_العمل_الإضافي_دقيقة),($F20-$H20)*24,0))</f>
        <v/>
      </c>
      <c r="N20" s="47" t="n"/>
      <c r="O20" s="47" t="n"/>
      <c r="Q20">
        <f>IF(AND(ISNUMBER($K20),$K20&gt;0),SUMPRODUCT(ISNUMBER($K$3:$K$502)*($K$3:$K$502&gt;0)*(ROW($K$3:$K$502)&lt;=ROW())),"")</f>
        <v/>
      </c>
    </row>
    <row r="21">
      <c r="A21" s="40" t="n"/>
      <c r="B21" s="43">
        <f>IFERROR(INDEX(الموظفون_الاسم,MATCH($A21,الموظفون_الرقم,0)),"")</f>
        <v/>
      </c>
      <c r="C21" s="110" t="n"/>
      <c r="D21" s="43">
        <f>IF($C21="","",IFERROR(INDEX(قائمة_أيام_الأسبوع,WEEKDAY($C21,1)),""))</f>
        <v/>
      </c>
      <c r="E21" s="114" t="n"/>
      <c r="F21" s="114" t="n"/>
      <c r="G21" s="115">
        <f>IF($A21="","",بداية_الدوام)</f>
        <v/>
      </c>
      <c r="H21" s="115">
        <f>IF($A21="","",نهاية_الدوام)</f>
        <v/>
      </c>
      <c r="I21" s="55">
        <f>IF($A21="","",مدة_الاستراحة/60)</f>
        <v/>
      </c>
      <c r="J21" s="55">
        <f>IF(OR($A21="",$E21="",$F21=""),"",IF(OR($N21="حاضر",$N21="دوام جزئي"),MAX(0,MOD($F21-$E21,1)*24-$I21),0))</f>
        <v/>
      </c>
      <c r="K21" s="55">
        <f>IF(OR($A21="",$E21=""),"",IF(AND(احتساب_التأخير="نعم",OR($N21="حاضر",$N21="دوام جزئي"),$E21&gt;$G21+دقائق_السماح/1440),($E21-$G21-دقائق_السماح/1440)*24,0))</f>
        <v/>
      </c>
      <c r="L21" s="55">
        <f>IF(OR($A21="",$F21=""),"",IF(AND(OR($N21="حاضر",$N21="دوام جزئي"),$F21&lt;$H21),($H21-$F21)*24,0))</f>
        <v/>
      </c>
      <c r="M21" s="55">
        <f>IF(OR($A21="",$F21=""),"",IF(AND(احتساب_العمل_الإضافي="نعم",OR($N21="حاضر",$N21="دوام جزئي"),$F21&gt;$H21,($F21-$H21)*24*60&gt;=حد_العمل_الإضافي_دقيقة),($F21-$H21)*24,0))</f>
        <v/>
      </c>
      <c r="N21" s="40" t="n"/>
      <c r="O21" s="40" t="n"/>
      <c r="Q21">
        <f>IF(AND(ISNUMBER($K21),$K21&gt;0),SUMPRODUCT(ISNUMBER($K$3:$K$502)*($K$3:$K$502&gt;0)*(ROW($K$3:$K$502)&lt;=ROW())),"")</f>
        <v/>
      </c>
    </row>
    <row r="22">
      <c r="A22" s="47" t="n"/>
      <c r="B22" s="50">
        <f>IFERROR(INDEX(الموظفون_الاسم,MATCH($A22,الموظفون_الرقم,0)),"")</f>
        <v/>
      </c>
      <c r="C22" s="112" t="n"/>
      <c r="D22" s="50">
        <f>IF($C22="","",IFERROR(INDEX(قائمة_أيام_الأسبوع,WEEKDAY($C22,1)),""))</f>
        <v/>
      </c>
      <c r="E22" s="116" t="n"/>
      <c r="F22" s="116" t="n"/>
      <c r="G22" s="117">
        <f>IF($A22="","",بداية_الدوام)</f>
        <v/>
      </c>
      <c r="H22" s="117">
        <f>IF($A22="","",نهاية_الدوام)</f>
        <v/>
      </c>
      <c r="I22" s="58">
        <f>IF($A22="","",مدة_الاستراحة/60)</f>
        <v/>
      </c>
      <c r="J22" s="58">
        <f>IF(OR($A22="",$E22="",$F22=""),"",IF(OR($N22="حاضر",$N22="دوام جزئي"),MAX(0,MOD($F22-$E22,1)*24-$I22),0))</f>
        <v/>
      </c>
      <c r="K22" s="58">
        <f>IF(OR($A22="",$E22=""),"",IF(AND(احتساب_التأخير="نعم",OR($N22="حاضر",$N22="دوام جزئي"),$E22&gt;$G22+دقائق_السماح/1440),($E22-$G22-دقائق_السماح/1440)*24,0))</f>
        <v/>
      </c>
      <c r="L22" s="58">
        <f>IF(OR($A22="",$F22=""),"",IF(AND(OR($N22="حاضر",$N22="دوام جزئي"),$F22&lt;$H22),($H22-$F22)*24,0))</f>
        <v/>
      </c>
      <c r="M22" s="58">
        <f>IF(OR($A22="",$F22=""),"",IF(AND(احتساب_العمل_الإضافي="نعم",OR($N22="حاضر",$N22="دوام جزئي"),$F22&gt;$H22,($F22-$H22)*24*60&gt;=حد_العمل_الإضافي_دقيقة),($F22-$H22)*24,0))</f>
        <v/>
      </c>
      <c r="N22" s="47" t="n"/>
      <c r="O22" s="47" t="n"/>
      <c r="Q22">
        <f>IF(AND(ISNUMBER($K22),$K22&gt;0),SUMPRODUCT(ISNUMBER($K$3:$K$502)*($K$3:$K$502&gt;0)*(ROW($K$3:$K$502)&lt;=ROW())),"")</f>
        <v/>
      </c>
    </row>
    <row r="23">
      <c r="A23" s="40" t="n"/>
      <c r="B23" s="43">
        <f>IFERROR(INDEX(الموظفون_الاسم,MATCH($A23,الموظفون_الرقم,0)),"")</f>
        <v/>
      </c>
      <c r="C23" s="110" t="n"/>
      <c r="D23" s="43">
        <f>IF($C23="","",IFERROR(INDEX(قائمة_أيام_الأسبوع,WEEKDAY($C23,1)),""))</f>
        <v/>
      </c>
      <c r="E23" s="114" t="n"/>
      <c r="F23" s="114" t="n"/>
      <c r="G23" s="115">
        <f>IF($A23="","",بداية_الدوام)</f>
        <v/>
      </c>
      <c r="H23" s="115">
        <f>IF($A23="","",نهاية_الدوام)</f>
        <v/>
      </c>
      <c r="I23" s="55">
        <f>IF($A23="","",مدة_الاستراحة/60)</f>
        <v/>
      </c>
      <c r="J23" s="55">
        <f>IF(OR($A23="",$E23="",$F23=""),"",IF(OR($N23="حاضر",$N23="دوام جزئي"),MAX(0,MOD($F23-$E23,1)*24-$I23),0))</f>
        <v/>
      </c>
      <c r="K23" s="55">
        <f>IF(OR($A23="",$E23=""),"",IF(AND(احتساب_التأخير="نعم",OR($N23="حاضر",$N23="دوام جزئي"),$E23&gt;$G23+دقائق_السماح/1440),($E23-$G23-دقائق_السماح/1440)*24,0))</f>
        <v/>
      </c>
      <c r="L23" s="55">
        <f>IF(OR($A23="",$F23=""),"",IF(AND(OR($N23="حاضر",$N23="دوام جزئي"),$F23&lt;$H23),($H23-$F23)*24,0))</f>
        <v/>
      </c>
      <c r="M23" s="55">
        <f>IF(OR($A23="",$F23=""),"",IF(AND(احتساب_العمل_الإضافي="نعم",OR($N23="حاضر",$N23="دوام جزئي"),$F23&gt;$H23,($F23-$H23)*24*60&gt;=حد_العمل_الإضافي_دقيقة),($F23-$H23)*24,0))</f>
        <v/>
      </c>
      <c r="N23" s="40" t="n"/>
      <c r="O23" s="40" t="n"/>
      <c r="Q23">
        <f>IF(AND(ISNUMBER($K23),$K23&gt;0),SUMPRODUCT(ISNUMBER($K$3:$K$502)*($K$3:$K$502&gt;0)*(ROW($K$3:$K$502)&lt;=ROW())),"")</f>
        <v/>
      </c>
    </row>
    <row r="24">
      <c r="A24" s="47" t="n"/>
      <c r="B24" s="50">
        <f>IFERROR(INDEX(الموظفون_الاسم,MATCH($A24,الموظفون_الرقم,0)),"")</f>
        <v/>
      </c>
      <c r="C24" s="112" t="n"/>
      <c r="D24" s="50">
        <f>IF($C24="","",IFERROR(INDEX(قائمة_أيام_الأسبوع,WEEKDAY($C24,1)),""))</f>
        <v/>
      </c>
      <c r="E24" s="116" t="n"/>
      <c r="F24" s="116" t="n"/>
      <c r="G24" s="117">
        <f>IF($A24="","",بداية_الدوام)</f>
        <v/>
      </c>
      <c r="H24" s="117">
        <f>IF($A24="","",نهاية_الدوام)</f>
        <v/>
      </c>
      <c r="I24" s="58">
        <f>IF($A24="","",مدة_الاستراحة/60)</f>
        <v/>
      </c>
      <c r="J24" s="58">
        <f>IF(OR($A24="",$E24="",$F24=""),"",IF(OR($N24="حاضر",$N24="دوام جزئي"),MAX(0,MOD($F24-$E24,1)*24-$I24),0))</f>
        <v/>
      </c>
      <c r="K24" s="58">
        <f>IF(OR($A24="",$E24=""),"",IF(AND(احتساب_التأخير="نعم",OR($N24="حاضر",$N24="دوام جزئي"),$E24&gt;$G24+دقائق_السماح/1440),($E24-$G24-دقائق_السماح/1440)*24,0))</f>
        <v/>
      </c>
      <c r="L24" s="58">
        <f>IF(OR($A24="",$F24=""),"",IF(AND(OR($N24="حاضر",$N24="دوام جزئي"),$F24&lt;$H24),($H24-$F24)*24,0))</f>
        <v/>
      </c>
      <c r="M24" s="58">
        <f>IF(OR($A24="",$F24=""),"",IF(AND(احتساب_العمل_الإضافي="نعم",OR($N24="حاضر",$N24="دوام جزئي"),$F24&gt;$H24,($F24-$H24)*24*60&gt;=حد_العمل_الإضافي_دقيقة),($F24-$H24)*24,0))</f>
        <v/>
      </c>
      <c r="N24" s="47" t="n"/>
      <c r="O24" s="47" t="n"/>
      <c r="Q24">
        <f>IF(AND(ISNUMBER($K24),$K24&gt;0),SUMPRODUCT(ISNUMBER($K$3:$K$502)*($K$3:$K$502&gt;0)*(ROW($K$3:$K$502)&lt;=ROW())),"")</f>
        <v/>
      </c>
    </row>
    <row r="25">
      <c r="A25" s="40" t="n"/>
      <c r="B25" s="43">
        <f>IFERROR(INDEX(الموظفون_الاسم,MATCH($A25,الموظفون_الرقم,0)),"")</f>
        <v/>
      </c>
      <c r="C25" s="110" t="n"/>
      <c r="D25" s="43">
        <f>IF($C25="","",IFERROR(INDEX(قائمة_أيام_الأسبوع,WEEKDAY($C25,1)),""))</f>
        <v/>
      </c>
      <c r="E25" s="114" t="n"/>
      <c r="F25" s="114" t="n"/>
      <c r="G25" s="115">
        <f>IF($A25="","",بداية_الدوام)</f>
        <v/>
      </c>
      <c r="H25" s="115">
        <f>IF($A25="","",نهاية_الدوام)</f>
        <v/>
      </c>
      <c r="I25" s="55">
        <f>IF($A25="","",مدة_الاستراحة/60)</f>
        <v/>
      </c>
      <c r="J25" s="55">
        <f>IF(OR($A25="",$E25="",$F25=""),"",IF(OR($N25="حاضر",$N25="دوام جزئي"),MAX(0,MOD($F25-$E25,1)*24-$I25),0))</f>
        <v/>
      </c>
      <c r="K25" s="55">
        <f>IF(OR($A25="",$E25=""),"",IF(AND(احتساب_التأخير="نعم",OR($N25="حاضر",$N25="دوام جزئي"),$E25&gt;$G25+دقائق_السماح/1440),($E25-$G25-دقائق_السماح/1440)*24,0))</f>
        <v/>
      </c>
      <c r="L25" s="55">
        <f>IF(OR($A25="",$F25=""),"",IF(AND(OR($N25="حاضر",$N25="دوام جزئي"),$F25&lt;$H25),($H25-$F25)*24,0))</f>
        <v/>
      </c>
      <c r="M25" s="55">
        <f>IF(OR($A25="",$F25=""),"",IF(AND(احتساب_العمل_الإضافي="نعم",OR($N25="حاضر",$N25="دوام جزئي"),$F25&gt;$H25,($F25-$H25)*24*60&gt;=حد_العمل_الإضافي_دقيقة),($F25-$H25)*24,0))</f>
        <v/>
      </c>
      <c r="N25" s="40" t="n"/>
      <c r="O25" s="40" t="n"/>
      <c r="Q25">
        <f>IF(AND(ISNUMBER($K25),$K25&gt;0),SUMPRODUCT(ISNUMBER($K$3:$K$502)*($K$3:$K$502&gt;0)*(ROW($K$3:$K$502)&lt;=ROW())),"")</f>
        <v/>
      </c>
    </row>
    <row r="26">
      <c r="A26" s="47" t="n"/>
      <c r="B26" s="50">
        <f>IFERROR(INDEX(الموظفون_الاسم,MATCH($A26,الموظفون_الرقم,0)),"")</f>
        <v/>
      </c>
      <c r="C26" s="112" t="n"/>
      <c r="D26" s="50">
        <f>IF($C26="","",IFERROR(INDEX(قائمة_أيام_الأسبوع,WEEKDAY($C26,1)),""))</f>
        <v/>
      </c>
      <c r="E26" s="116" t="n"/>
      <c r="F26" s="116" t="n"/>
      <c r="G26" s="117">
        <f>IF($A26="","",بداية_الدوام)</f>
        <v/>
      </c>
      <c r="H26" s="117">
        <f>IF($A26="","",نهاية_الدوام)</f>
        <v/>
      </c>
      <c r="I26" s="58">
        <f>IF($A26="","",مدة_الاستراحة/60)</f>
        <v/>
      </c>
      <c r="J26" s="58">
        <f>IF(OR($A26="",$E26="",$F26=""),"",IF(OR($N26="حاضر",$N26="دوام جزئي"),MAX(0,MOD($F26-$E26,1)*24-$I26),0))</f>
        <v/>
      </c>
      <c r="K26" s="58">
        <f>IF(OR($A26="",$E26=""),"",IF(AND(احتساب_التأخير="نعم",OR($N26="حاضر",$N26="دوام جزئي"),$E26&gt;$G26+دقائق_السماح/1440),($E26-$G26-دقائق_السماح/1440)*24,0))</f>
        <v/>
      </c>
      <c r="L26" s="58">
        <f>IF(OR($A26="",$F26=""),"",IF(AND(OR($N26="حاضر",$N26="دوام جزئي"),$F26&lt;$H26),($H26-$F26)*24,0))</f>
        <v/>
      </c>
      <c r="M26" s="58">
        <f>IF(OR($A26="",$F26=""),"",IF(AND(احتساب_العمل_الإضافي="نعم",OR($N26="حاضر",$N26="دوام جزئي"),$F26&gt;$H26,($F26-$H26)*24*60&gt;=حد_العمل_الإضافي_دقيقة),($F26-$H26)*24,0))</f>
        <v/>
      </c>
      <c r="N26" s="47" t="n"/>
      <c r="O26" s="47" t="n"/>
      <c r="Q26">
        <f>IF(AND(ISNUMBER($K26),$K26&gt;0),SUMPRODUCT(ISNUMBER($K$3:$K$502)*($K$3:$K$502&gt;0)*(ROW($K$3:$K$502)&lt;=ROW())),"")</f>
        <v/>
      </c>
    </row>
    <row r="27">
      <c r="A27" s="40" t="n"/>
      <c r="B27" s="43">
        <f>IFERROR(INDEX(الموظفون_الاسم,MATCH($A27,الموظفون_الرقم,0)),"")</f>
        <v/>
      </c>
      <c r="C27" s="110" t="n"/>
      <c r="D27" s="43">
        <f>IF($C27="","",IFERROR(INDEX(قائمة_أيام_الأسبوع,WEEKDAY($C27,1)),""))</f>
        <v/>
      </c>
      <c r="E27" s="114" t="n"/>
      <c r="F27" s="114" t="n"/>
      <c r="G27" s="115">
        <f>IF($A27="","",بداية_الدوام)</f>
        <v/>
      </c>
      <c r="H27" s="115">
        <f>IF($A27="","",نهاية_الدوام)</f>
        <v/>
      </c>
      <c r="I27" s="55">
        <f>IF($A27="","",مدة_الاستراحة/60)</f>
        <v/>
      </c>
      <c r="J27" s="55">
        <f>IF(OR($A27="",$E27="",$F27=""),"",IF(OR($N27="حاضر",$N27="دوام جزئي"),MAX(0,MOD($F27-$E27,1)*24-$I27),0))</f>
        <v/>
      </c>
      <c r="K27" s="55">
        <f>IF(OR($A27="",$E27=""),"",IF(AND(احتساب_التأخير="نعم",OR($N27="حاضر",$N27="دوام جزئي"),$E27&gt;$G27+دقائق_السماح/1440),($E27-$G27-دقائق_السماح/1440)*24,0))</f>
        <v/>
      </c>
      <c r="L27" s="55">
        <f>IF(OR($A27="",$F27=""),"",IF(AND(OR($N27="حاضر",$N27="دوام جزئي"),$F27&lt;$H27),($H27-$F27)*24,0))</f>
        <v/>
      </c>
      <c r="M27" s="55">
        <f>IF(OR($A27="",$F27=""),"",IF(AND(احتساب_العمل_الإضافي="نعم",OR($N27="حاضر",$N27="دوام جزئي"),$F27&gt;$H27,($F27-$H27)*24*60&gt;=حد_العمل_الإضافي_دقيقة),($F27-$H27)*24,0))</f>
        <v/>
      </c>
      <c r="N27" s="40" t="n"/>
      <c r="O27" s="40" t="n"/>
      <c r="Q27">
        <f>IF(AND(ISNUMBER($K27),$K27&gt;0),SUMPRODUCT(ISNUMBER($K$3:$K$502)*($K$3:$K$502&gt;0)*(ROW($K$3:$K$502)&lt;=ROW())),"")</f>
        <v/>
      </c>
    </row>
    <row r="28">
      <c r="A28" s="47" t="n"/>
      <c r="B28" s="50">
        <f>IFERROR(INDEX(الموظفون_الاسم,MATCH($A28,الموظفون_الرقم,0)),"")</f>
        <v/>
      </c>
      <c r="C28" s="112" t="n"/>
      <c r="D28" s="50">
        <f>IF($C28="","",IFERROR(INDEX(قائمة_أيام_الأسبوع,WEEKDAY($C28,1)),""))</f>
        <v/>
      </c>
      <c r="E28" s="116" t="n"/>
      <c r="F28" s="116" t="n"/>
      <c r="G28" s="117">
        <f>IF($A28="","",بداية_الدوام)</f>
        <v/>
      </c>
      <c r="H28" s="117">
        <f>IF($A28="","",نهاية_الدوام)</f>
        <v/>
      </c>
      <c r="I28" s="58">
        <f>IF($A28="","",مدة_الاستراحة/60)</f>
        <v/>
      </c>
      <c r="J28" s="58">
        <f>IF(OR($A28="",$E28="",$F28=""),"",IF(OR($N28="حاضر",$N28="دوام جزئي"),MAX(0,MOD($F28-$E28,1)*24-$I28),0))</f>
        <v/>
      </c>
      <c r="K28" s="58">
        <f>IF(OR($A28="",$E28=""),"",IF(AND(احتساب_التأخير="نعم",OR($N28="حاضر",$N28="دوام جزئي"),$E28&gt;$G28+دقائق_السماح/1440),($E28-$G28-دقائق_السماح/1440)*24,0))</f>
        <v/>
      </c>
      <c r="L28" s="58">
        <f>IF(OR($A28="",$F28=""),"",IF(AND(OR($N28="حاضر",$N28="دوام جزئي"),$F28&lt;$H28),($H28-$F28)*24,0))</f>
        <v/>
      </c>
      <c r="M28" s="58">
        <f>IF(OR($A28="",$F28=""),"",IF(AND(احتساب_العمل_الإضافي="نعم",OR($N28="حاضر",$N28="دوام جزئي"),$F28&gt;$H28,($F28-$H28)*24*60&gt;=حد_العمل_الإضافي_دقيقة),($F28-$H28)*24,0))</f>
        <v/>
      </c>
      <c r="N28" s="47" t="n"/>
      <c r="O28" s="47" t="n"/>
      <c r="Q28">
        <f>IF(AND(ISNUMBER($K28),$K28&gt;0),SUMPRODUCT(ISNUMBER($K$3:$K$502)*($K$3:$K$502&gt;0)*(ROW($K$3:$K$502)&lt;=ROW())),"")</f>
        <v/>
      </c>
    </row>
    <row r="29">
      <c r="A29" s="40" t="n"/>
      <c r="B29" s="43">
        <f>IFERROR(INDEX(الموظفون_الاسم,MATCH($A29,الموظفون_الرقم,0)),"")</f>
        <v/>
      </c>
      <c r="C29" s="110" t="n"/>
      <c r="D29" s="43">
        <f>IF($C29="","",IFERROR(INDEX(قائمة_أيام_الأسبوع,WEEKDAY($C29,1)),""))</f>
        <v/>
      </c>
      <c r="E29" s="114" t="n"/>
      <c r="F29" s="114" t="n"/>
      <c r="G29" s="115">
        <f>IF($A29="","",بداية_الدوام)</f>
        <v/>
      </c>
      <c r="H29" s="115">
        <f>IF($A29="","",نهاية_الدوام)</f>
        <v/>
      </c>
      <c r="I29" s="55">
        <f>IF($A29="","",مدة_الاستراحة/60)</f>
        <v/>
      </c>
      <c r="J29" s="55">
        <f>IF(OR($A29="",$E29="",$F29=""),"",IF(OR($N29="حاضر",$N29="دوام جزئي"),MAX(0,MOD($F29-$E29,1)*24-$I29),0))</f>
        <v/>
      </c>
      <c r="K29" s="55">
        <f>IF(OR($A29="",$E29=""),"",IF(AND(احتساب_التأخير="نعم",OR($N29="حاضر",$N29="دوام جزئي"),$E29&gt;$G29+دقائق_السماح/1440),($E29-$G29-دقائق_السماح/1440)*24,0))</f>
        <v/>
      </c>
      <c r="L29" s="55">
        <f>IF(OR($A29="",$F29=""),"",IF(AND(OR($N29="حاضر",$N29="دوام جزئي"),$F29&lt;$H29),($H29-$F29)*24,0))</f>
        <v/>
      </c>
      <c r="M29" s="55">
        <f>IF(OR($A29="",$F29=""),"",IF(AND(احتساب_العمل_الإضافي="نعم",OR($N29="حاضر",$N29="دوام جزئي"),$F29&gt;$H29,($F29-$H29)*24*60&gt;=حد_العمل_الإضافي_دقيقة),($F29-$H29)*24,0))</f>
        <v/>
      </c>
      <c r="N29" s="40" t="n"/>
      <c r="O29" s="40" t="n"/>
      <c r="Q29">
        <f>IF(AND(ISNUMBER($K29),$K29&gt;0),SUMPRODUCT(ISNUMBER($K$3:$K$502)*($K$3:$K$502&gt;0)*(ROW($K$3:$K$502)&lt;=ROW())),"")</f>
        <v/>
      </c>
    </row>
    <row r="30">
      <c r="A30" s="47" t="n"/>
      <c r="B30" s="50">
        <f>IFERROR(INDEX(الموظفون_الاسم,MATCH($A30,الموظفون_الرقم,0)),"")</f>
        <v/>
      </c>
      <c r="C30" s="112" t="n"/>
      <c r="D30" s="50">
        <f>IF($C30="","",IFERROR(INDEX(قائمة_أيام_الأسبوع,WEEKDAY($C30,1)),""))</f>
        <v/>
      </c>
      <c r="E30" s="116" t="n"/>
      <c r="F30" s="116" t="n"/>
      <c r="G30" s="117">
        <f>IF($A30="","",بداية_الدوام)</f>
        <v/>
      </c>
      <c r="H30" s="117">
        <f>IF($A30="","",نهاية_الدوام)</f>
        <v/>
      </c>
      <c r="I30" s="58">
        <f>IF($A30="","",مدة_الاستراحة/60)</f>
        <v/>
      </c>
      <c r="J30" s="58">
        <f>IF(OR($A30="",$E30="",$F30=""),"",IF(OR($N30="حاضر",$N30="دوام جزئي"),MAX(0,MOD($F30-$E30,1)*24-$I30),0))</f>
        <v/>
      </c>
      <c r="K30" s="58">
        <f>IF(OR($A30="",$E30=""),"",IF(AND(احتساب_التأخير="نعم",OR($N30="حاضر",$N30="دوام جزئي"),$E30&gt;$G30+دقائق_السماح/1440),($E30-$G30-دقائق_السماح/1440)*24,0))</f>
        <v/>
      </c>
      <c r="L30" s="58">
        <f>IF(OR($A30="",$F30=""),"",IF(AND(OR($N30="حاضر",$N30="دوام جزئي"),$F30&lt;$H30),($H30-$F30)*24,0))</f>
        <v/>
      </c>
      <c r="M30" s="58">
        <f>IF(OR($A30="",$F30=""),"",IF(AND(احتساب_العمل_الإضافي="نعم",OR($N30="حاضر",$N30="دوام جزئي"),$F30&gt;$H30,($F30-$H30)*24*60&gt;=حد_العمل_الإضافي_دقيقة),($F30-$H30)*24,0))</f>
        <v/>
      </c>
      <c r="N30" s="47" t="n"/>
      <c r="O30" s="47" t="n"/>
      <c r="Q30">
        <f>IF(AND(ISNUMBER($K30),$K30&gt;0),SUMPRODUCT(ISNUMBER($K$3:$K$502)*($K$3:$K$502&gt;0)*(ROW($K$3:$K$502)&lt;=ROW())),"")</f>
        <v/>
      </c>
    </row>
    <row r="31">
      <c r="A31" s="40" t="n"/>
      <c r="B31" s="43">
        <f>IFERROR(INDEX(الموظفون_الاسم,MATCH($A31,الموظفون_الرقم,0)),"")</f>
        <v/>
      </c>
      <c r="C31" s="110" t="n"/>
      <c r="D31" s="43">
        <f>IF($C31="","",IFERROR(INDEX(قائمة_أيام_الأسبوع,WEEKDAY($C31,1)),""))</f>
        <v/>
      </c>
      <c r="E31" s="114" t="n"/>
      <c r="F31" s="114" t="n"/>
      <c r="G31" s="115">
        <f>IF($A31="","",بداية_الدوام)</f>
        <v/>
      </c>
      <c r="H31" s="115">
        <f>IF($A31="","",نهاية_الدوام)</f>
        <v/>
      </c>
      <c r="I31" s="55">
        <f>IF($A31="","",مدة_الاستراحة/60)</f>
        <v/>
      </c>
      <c r="J31" s="55">
        <f>IF(OR($A31="",$E31="",$F31=""),"",IF(OR($N31="حاضر",$N31="دوام جزئي"),MAX(0,MOD($F31-$E31,1)*24-$I31),0))</f>
        <v/>
      </c>
      <c r="K31" s="55">
        <f>IF(OR($A31="",$E31=""),"",IF(AND(احتساب_التأخير="نعم",OR($N31="حاضر",$N31="دوام جزئي"),$E31&gt;$G31+دقائق_السماح/1440),($E31-$G31-دقائق_السماح/1440)*24,0))</f>
        <v/>
      </c>
      <c r="L31" s="55">
        <f>IF(OR($A31="",$F31=""),"",IF(AND(OR($N31="حاضر",$N31="دوام جزئي"),$F31&lt;$H31),($H31-$F31)*24,0))</f>
        <v/>
      </c>
      <c r="M31" s="55">
        <f>IF(OR($A31="",$F31=""),"",IF(AND(احتساب_العمل_الإضافي="نعم",OR($N31="حاضر",$N31="دوام جزئي"),$F31&gt;$H31,($F31-$H31)*24*60&gt;=حد_العمل_الإضافي_دقيقة),($F31-$H31)*24,0))</f>
        <v/>
      </c>
      <c r="N31" s="40" t="n"/>
      <c r="O31" s="40" t="n"/>
      <c r="Q31">
        <f>IF(AND(ISNUMBER($K31),$K31&gt;0),SUMPRODUCT(ISNUMBER($K$3:$K$502)*($K$3:$K$502&gt;0)*(ROW($K$3:$K$502)&lt;=ROW())),"")</f>
        <v/>
      </c>
    </row>
    <row r="32">
      <c r="A32" s="47" t="n"/>
      <c r="B32" s="50">
        <f>IFERROR(INDEX(الموظفون_الاسم,MATCH($A32,الموظفون_الرقم,0)),"")</f>
        <v/>
      </c>
      <c r="C32" s="112" t="n"/>
      <c r="D32" s="50">
        <f>IF($C32="","",IFERROR(INDEX(قائمة_أيام_الأسبوع,WEEKDAY($C32,1)),""))</f>
        <v/>
      </c>
      <c r="E32" s="116" t="n"/>
      <c r="F32" s="116" t="n"/>
      <c r="G32" s="117">
        <f>IF($A32="","",بداية_الدوام)</f>
        <v/>
      </c>
      <c r="H32" s="117">
        <f>IF($A32="","",نهاية_الدوام)</f>
        <v/>
      </c>
      <c r="I32" s="58">
        <f>IF($A32="","",مدة_الاستراحة/60)</f>
        <v/>
      </c>
      <c r="J32" s="58">
        <f>IF(OR($A32="",$E32="",$F32=""),"",IF(OR($N32="حاضر",$N32="دوام جزئي"),MAX(0,MOD($F32-$E32,1)*24-$I32),0))</f>
        <v/>
      </c>
      <c r="K32" s="58">
        <f>IF(OR($A32="",$E32=""),"",IF(AND(احتساب_التأخير="نعم",OR($N32="حاضر",$N32="دوام جزئي"),$E32&gt;$G32+دقائق_السماح/1440),($E32-$G32-دقائق_السماح/1440)*24,0))</f>
        <v/>
      </c>
      <c r="L32" s="58">
        <f>IF(OR($A32="",$F32=""),"",IF(AND(OR($N32="حاضر",$N32="دوام جزئي"),$F32&lt;$H32),($H32-$F32)*24,0))</f>
        <v/>
      </c>
      <c r="M32" s="58">
        <f>IF(OR($A32="",$F32=""),"",IF(AND(احتساب_العمل_الإضافي="نعم",OR($N32="حاضر",$N32="دوام جزئي"),$F32&gt;$H32,($F32-$H32)*24*60&gt;=حد_العمل_الإضافي_دقيقة),($F32-$H32)*24,0))</f>
        <v/>
      </c>
      <c r="N32" s="47" t="n"/>
      <c r="O32" s="47" t="n"/>
      <c r="Q32">
        <f>IF(AND(ISNUMBER($K32),$K32&gt;0),SUMPRODUCT(ISNUMBER($K$3:$K$502)*($K$3:$K$502&gt;0)*(ROW($K$3:$K$502)&lt;=ROW())),"")</f>
        <v/>
      </c>
    </row>
    <row r="33">
      <c r="A33" s="40" t="n"/>
      <c r="B33" s="43">
        <f>IFERROR(INDEX(الموظفون_الاسم,MATCH($A33,الموظفون_الرقم,0)),"")</f>
        <v/>
      </c>
      <c r="C33" s="110" t="n"/>
      <c r="D33" s="43">
        <f>IF($C33="","",IFERROR(INDEX(قائمة_أيام_الأسبوع,WEEKDAY($C33,1)),""))</f>
        <v/>
      </c>
      <c r="E33" s="114" t="n"/>
      <c r="F33" s="114" t="n"/>
      <c r="G33" s="115">
        <f>IF($A33="","",بداية_الدوام)</f>
        <v/>
      </c>
      <c r="H33" s="115">
        <f>IF($A33="","",نهاية_الدوام)</f>
        <v/>
      </c>
      <c r="I33" s="55">
        <f>IF($A33="","",مدة_الاستراحة/60)</f>
        <v/>
      </c>
      <c r="J33" s="55">
        <f>IF(OR($A33="",$E33="",$F33=""),"",IF(OR($N33="حاضر",$N33="دوام جزئي"),MAX(0,MOD($F33-$E33,1)*24-$I33),0))</f>
        <v/>
      </c>
      <c r="K33" s="55">
        <f>IF(OR($A33="",$E33=""),"",IF(AND(احتساب_التأخير="نعم",OR($N33="حاضر",$N33="دوام جزئي"),$E33&gt;$G33+دقائق_السماح/1440),($E33-$G33-دقائق_السماح/1440)*24,0))</f>
        <v/>
      </c>
      <c r="L33" s="55">
        <f>IF(OR($A33="",$F33=""),"",IF(AND(OR($N33="حاضر",$N33="دوام جزئي"),$F33&lt;$H33),($H33-$F33)*24,0))</f>
        <v/>
      </c>
      <c r="M33" s="55">
        <f>IF(OR($A33="",$F33=""),"",IF(AND(احتساب_العمل_الإضافي="نعم",OR($N33="حاضر",$N33="دوام جزئي"),$F33&gt;$H33,($F33-$H33)*24*60&gt;=حد_العمل_الإضافي_دقيقة),($F33-$H33)*24,0))</f>
        <v/>
      </c>
      <c r="N33" s="40" t="n"/>
      <c r="O33" s="40" t="n"/>
      <c r="Q33">
        <f>IF(AND(ISNUMBER($K33),$K33&gt;0),SUMPRODUCT(ISNUMBER($K$3:$K$502)*($K$3:$K$502&gt;0)*(ROW($K$3:$K$502)&lt;=ROW())),"")</f>
        <v/>
      </c>
    </row>
    <row r="34">
      <c r="A34" s="47" t="n"/>
      <c r="B34" s="50">
        <f>IFERROR(INDEX(الموظفون_الاسم,MATCH($A34,الموظفون_الرقم,0)),"")</f>
        <v/>
      </c>
      <c r="C34" s="112" t="n"/>
      <c r="D34" s="50">
        <f>IF($C34="","",IFERROR(INDEX(قائمة_أيام_الأسبوع,WEEKDAY($C34,1)),""))</f>
        <v/>
      </c>
      <c r="E34" s="116" t="n"/>
      <c r="F34" s="116" t="n"/>
      <c r="G34" s="117">
        <f>IF($A34="","",بداية_الدوام)</f>
        <v/>
      </c>
      <c r="H34" s="117">
        <f>IF($A34="","",نهاية_الدوام)</f>
        <v/>
      </c>
      <c r="I34" s="58">
        <f>IF($A34="","",مدة_الاستراحة/60)</f>
        <v/>
      </c>
      <c r="J34" s="58">
        <f>IF(OR($A34="",$E34="",$F34=""),"",IF(OR($N34="حاضر",$N34="دوام جزئي"),MAX(0,MOD($F34-$E34,1)*24-$I34),0))</f>
        <v/>
      </c>
      <c r="K34" s="58">
        <f>IF(OR($A34="",$E34=""),"",IF(AND(احتساب_التأخير="نعم",OR($N34="حاضر",$N34="دوام جزئي"),$E34&gt;$G34+دقائق_السماح/1440),($E34-$G34-دقائق_السماح/1440)*24,0))</f>
        <v/>
      </c>
      <c r="L34" s="58">
        <f>IF(OR($A34="",$F34=""),"",IF(AND(OR($N34="حاضر",$N34="دوام جزئي"),$F34&lt;$H34),($H34-$F34)*24,0))</f>
        <v/>
      </c>
      <c r="M34" s="58">
        <f>IF(OR($A34="",$F34=""),"",IF(AND(احتساب_العمل_الإضافي="نعم",OR($N34="حاضر",$N34="دوام جزئي"),$F34&gt;$H34,($F34-$H34)*24*60&gt;=حد_العمل_الإضافي_دقيقة),($F34-$H34)*24,0))</f>
        <v/>
      </c>
      <c r="N34" s="47" t="n"/>
      <c r="O34" s="47" t="n"/>
      <c r="Q34">
        <f>IF(AND(ISNUMBER($K34),$K34&gt;0),SUMPRODUCT(ISNUMBER($K$3:$K$502)*($K$3:$K$502&gt;0)*(ROW($K$3:$K$502)&lt;=ROW())),"")</f>
        <v/>
      </c>
    </row>
    <row r="35">
      <c r="A35" s="40" t="n"/>
      <c r="B35" s="43">
        <f>IFERROR(INDEX(الموظفون_الاسم,MATCH($A35,الموظفون_الرقم,0)),"")</f>
        <v/>
      </c>
      <c r="C35" s="110" t="n"/>
      <c r="D35" s="43">
        <f>IF($C35="","",IFERROR(INDEX(قائمة_أيام_الأسبوع,WEEKDAY($C35,1)),""))</f>
        <v/>
      </c>
      <c r="E35" s="114" t="n"/>
      <c r="F35" s="114" t="n"/>
      <c r="G35" s="115">
        <f>IF($A35="","",بداية_الدوام)</f>
        <v/>
      </c>
      <c r="H35" s="115">
        <f>IF($A35="","",نهاية_الدوام)</f>
        <v/>
      </c>
      <c r="I35" s="55">
        <f>IF($A35="","",مدة_الاستراحة/60)</f>
        <v/>
      </c>
      <c r="J35" s="55">
        <f>IF(OR($A35="",$E35="",$F35=""),"",IF(OR($N35="حاضر",$N35="دوام جزئي"),MAX(0,MOD($F35-$E35,1)*24-$I35),0))</f>
        <v/>
      </c>
      <c r="K35" s="55">
        <f>IF(OR($A35="",$E35=""),"",IF(AND(احتساب_التأخير="نعم",OR($N35="حاضر",$N35="دوام جزئي"),$E35&gt;$G35+دقائق_السماح/1440),($E35-$G35-دقائق_السماح/1440)*24,0))</f>
        <v/>
      </c>
      <c r="L35" s="55">
        <f>IF(OR($A35="",$F35=""),"",IF(AND(OR($N35="حاضر",$N35="دوام جزئي"),$F35&lt;$H35),($H35-$F35)*24,0))</f>
        <v/>
      </c>
      <c r="M35" s="55">
        <f>IF(OR($A35="",$F35=""),"",IF(AND(احتساب_العمل_الإضافي="نعم",OR($N35="حاضر",$N35="دوام جزئي"),$F35&gt;$H35,($F35-$H35)*24*60&gt;=حد_العمل_الإضافي_دقيقة),($F35-$H35)*24,0))</f>
        <v/>
      </c>
      <c r="N35" s="40" t="n"/>
      <c r="O35" s="40" t="n"/>
      <c r="Q35">
        <f>IF(AND(ISNUMBER($K35),$K35&gt;0),SUMPRODUCT(ISNUMBER($K$3:$K$502)*($K$3:$K$502&gt;0)*(ROW($K$3:$K$502)&lt;=ROW())),"")</f>
        <v/>
      </c>
    </row>
    <row r="36">
      <c r="A36" s="47" t="n"/>
      <c r="B36" s="50">
        <f>IFERROR(INDEX(الموظفون_الاسم,MATCH($A36,الموظفون_الرقم,0)),"")</f>
        <v/>
      </c>
      <c r="C36" s="112" t="n"/>
      <c r="D36" s="50">
        <f>IF($C36="","",IFERROR(INDEX(قائمة_أيام_الأسبوع,WEEKDAY($C36,1)),""))</f>
        <v/>
      </c>
      <c r="E36" s="116" t="n"/>
      <c r="F36" s="116" t="n"/>
      <c r="G36" s="117">
        <f>IF($A36="","",بداية_الدوام)</f>
        <v/>
      </c>
      <c r="H36" s="117">
        <f>IF($A36="","",نهاية_الدوام)</f>
        <v/>
      </c>
      <c r="I36" s="58">
        <f>IF($A36="","",مدة_الاستراحة/60)</f>
        <v/>
      </c>
      <c r="J36" s="58">
        <f>IF(OR($A36="",$E36="",$F36=""),"",IF(OR($N36="حاضر",$N36="دوام جزئي"),MAX(0,MOD($F36-$E36,1)*24-$I36),0))</f>
        <v/>
      </c>
      <c r="K36" s="58">
        <f>IF(OR($A36="",$E36=""),"",IF(AND(احتساب_التأخير="نعم",OR($N36="حاضر",$N36="دوام جزئي"),$E36&gt;$G36+دقائق_السماح/1440),($E36-$G36-دقائق_السماح/1440)*24,0))</f>
        <v/>
      </c>
      <c r="L36" s="58">
        <f>IF(OR($A36="",$F36=""),"",IF(AND(OR($N36="حاضر",$N36="دوام جزئي"),$F36&lt;$H36),($H36-$F36)*24,0))</f>
        <v/>
      </c>
      <c r="M36" s="58">
        <f>IF(OR($A36="",$F36=""),"",IF(AND(احتساب_العمل_الإضافي="نعم",OR($N36="حاضر",$N36="دوام جزئي"),$F36&gt;$H36,($F36-$H36)*24*60&gt;=حد_العمل_الإضافي_دقيقة),($F36-$H36)*24,0))</f>
        <v/>
      </c>
      <c r="N36" s="47" t="n"/>
      <c r="O36" s="47" t="n"/>
      <c r="Q36">
        <f>IF(AND(ISNUMBER($K36),$K36&gt;0),SUMPRODUCT(ISNUMBER($K$3:$K$502)*($K$3:$K$502&gt;0)*(ROW($K$3:$K$502)&lt;=ROW())),"")</f>
        <v/>
      </c>
    </row>
    <row r="37">
      <c r="A37" s="40" t="n"/>
      <c r="B37" s="43">
        <f>IFERROR(INDEX(الموظفون_الاسم,MATCH($A37,الموظفون_الرقم,0)),"")</f>
        <v/>
      </c>
      <c r="C37" s="110" t="n"/>
      <c r="D37" s="43">
        <f>IF($C37="","",IFERROR(INDEX(قائمة_أيام_الأسبوع,WEEKDAY($C37,1)),""))</f>
        <v/>
      </c>
      <c r="E37" s="114" t="n"/>
      <c r="F37" s="114" t="n"/>
      <c r="G37" s="115">
        <f>IF($A37="","",بداية_الدوام)</f>
        <v/>
      </c>
      <c r="H37" s="115">
        <f>IF($A37="","",نهاية_الدوام)</f>
        <v/>
      </c>
      <c r="I37" s="55">
        <f>IF($A37="","",مدة_الاستراحة/60)</f>
        <v/>
      </c>
      <c r="J37" s="55">
        <f>IF(OR($A37="",$E37="",$F37=""),"",IF(OR($N37="حاضر",$N37="دوام جزئي"),MAX(0,MOD($F37-$E37,1)*24-$I37),0))</f>
        <v/>
      </c>
      <c r="K37" s="55">
        <f>IF(OR($A37="",$E37=""),"",IF(AND(احتساب_التأخير="نعم",OR($N37="حاضر",$N37="دوام جزئي"),$E37&gt;$G37+دقائق_السماح/1440),($E37-$G37-دقائق_السماح/1440)*24,0))</f>
        <v/>
      </c>
      <c r="L37" s="55">
        <f>IF(OR($A37="",$F37=""),"",IF(AND(OR($N37="حاضر",$N37="دوام جزئي"),$F37&lt;$H37),($H37-$F37)*24,0))</f>
        <v/>
      </c>
      <c r="M37" s="55">
        <f>IF(OR($A37="",$F37=""),"",IF(AND(احتساب_العمل_الإضافي="نعم",OR($N37="حاضر",$N37="دوام جزئي"),$F37&gt;$H37,($F37-$H37)*24*60&gt;=حد_العمل_الإضافي_دقيقة),($F37-$H37)*24,0))</f>
        <v/>
      </c>
      <c r="N37" s="40" t="n"/>
      <c r="O37" s="40" t="n"/>
      <c r="Q37">
        <f>IF(AND(ISNUMBER($K37),$K37&gt;0),SUMPRODUCT(ISNUMBER($K$3:$K$502)*($K$3:$K$502&gt;0)*(ROW($K$3:$K$502)&lt;=ROW())),"")</f>
        <v/>
      </c>
    </row>
    <row r="38">
      <c r="A38" s="47" t="n"/>
      <c r="B38" s="50">
        <f>IFERROR(INDEX(الموظفون_الاسم,MATCH($A38,الموظفون_الرقم,0)),"")</f>
        <v/>
      </c>
      <c r="C38" s="112" t="n"/>
      <c r="D38" s="50">
        <f>IF($C38="","",IFERROR(INDEX(قائمة_أيام_الأسبوع,WEEKDAY($C38,1)),""))</f>
        <v/>
      </c>
      <c r="E38" s="116" t="n"/>
      <c r="F38" s="116" t="n"/>
      <c r="G38" s="117">
        <f>IF($A38="","",بداية_الدوام)</f>
        <v/>
      </c>
      <c r="H38" s="117">
        <f>IF($A38="","",نهاية_الدوام)</f>
        <v/>
      </c>
      <c r="I38" s="58">
        <f>IF($A38="","",مدة_الاستراحة/60)</f>
        <v/>
      </c>
      <c r="J38" s="58">
        <f>IF(OR($A38="",$E38="",$F38=""),"",IF(OR($N38="حاضر",$N38="دوام جزئي"),MAX(0,MOD($F38-$E38,1)*24-$I38),0))</f>
        <v/>
      </c>
      <c r="K38" s="58">
        <f>IF(OR($A38="",$E38=""),"",IF(AND(احتساب_التأخير="نعم",OR($N38="حاضر",$N38="دوام جزئي"),$E38&gt;$G38+دقائق_السماح/1440),($E38-$G38-دقائق_السماح/1440)*24,0))</f>
        <v/>
      </c>
      <c r="L38" s="58">
        <f>IF(OR($A38="",$F38=""),"",IF(AND(OR($N38="حاضر",$N38="دوام جزئي"),$F38&lt;$H38),($H38-$F38)*24,0))</f>
        <v/>
      </c>
      <c r="M38" s="58">
        <f>IF(OR($A38="",$F38=""),"",IF(AND(احتساب_العمل_الإضافي="نعم",OR($N38="حاضر",$N38="دوام جزئي"),$F38&gt;$H38,($F38-$H38)*24*60&gt;=حد_العمل_الإضافي_دقيقة),($F38-$H38)*24,0))</f>
        <v/>
      </c>
      <c r="N38" s="47" t="n"/>
      <c r="O38" s="47" t="n"/>
      <c r="Q38">
        <f>IF(AND(ISNUMBER($K38),$K38&gt;0),SUMPRODUCT(ISNUMBER($K$3:$K$502)*($K$3:$K$502&gt;0)*(ROW($K$3:$K$502)&lt;=ROW())),"")</f>
        <v/>
      </c>
    </row>
    <row r="39">
      <c r="A39" s="40" t="n"/>
      <c r="B39" s="43">
        <f>IFERROR(INDEX(الموظفون_الاسم,MATCH($A39,الموظفون_الرقم,0)),"")</f>
        <v/>
      </c>
      <c r="C39" s="110" t="n"/>
      <c r="D39" s="43">
        <f>IF($C39="","",IFERROR(INDEX(قائمة_أيام_الأسبوع,WEEKDAY($C39,1)),""))</f>
        <v/>
      </c>
      <c r="E39" s="114" t="n"/>
      <c r="F39" s="114" t="n"/>
      <c r="G39" s="115">
        <f>IF($A39="","",بداية_الدوام)</f>
        <v/>
      </c>
      <c r="H39" s="115">
        <f>IF($A39="","",نهاية_الدوام)</f>
        <v/>
      </c>
      <c r="I39" s="55">
        <f>IF($A39="","",مدة_الاستراحة/60)</f>
        <v/>
      </c>
      <c r="J39" s="55">
        <f>IF(OR($A39="",$E39="",$F39=""),"",IF(OR($N39="حاضر",$N39="دوام جزئي"),MAX(0,MOD($F39-$E39,1)*24-$I39),0))</f>
        <v/>
      </c>
      <c r="K39" s="55">
        <f>IF(OR($A39="",$E39=""),"",IF(AND(احتساب_التأخير="نعم",OR($N39="حاضر",$N39="دوام جزئي"),$E39&gt;$G39+دقائق_السماح/1440),($E39-$G39-دقائق_السماح/1440)*24,0))</f>
        <v/>
      </c>
      <c r="L39" s="55">
        <f>IF(OR($A39="",$F39=""),"",IF(AND(OR($N39="حاضر",$N39="دوام جزئي"),$F39&lt;$H39),($H39-$F39)*24,0))</f>
        <v/>
      </c>
      <c r="M39" s="55">
        <f>IF(OR($A39="",$F39=""),"",IF(AND(احتساب_العمل_الإضافي="نعم",OR($N39="حاضر",$N39="دوام جزئي"),$F39&gt;$H39,($F39-$H39)*24*60&gt;=حد_العمل_الإضافي_دقيقة),($F39-$H39)*24,0))</f>
        <v/>
      </c>
      <c r="N39" s="40" t="n"/>
      <c r="O39" s="40" t="n"/>
      <c r="Q39">
        <f>IF(AND(ISNUMBER($K39),$K39&gt;0),SUMPRODUCT(ISNUMBER($K$3:$K$502)*($K$3:$K$502&gt;0)*(ROW($K$3:$K$502)&lt;=ROW())),"")</f>
        <v/>
      </c>
    </row>
    <row r="40">
      <c r="A40" s="47" t="n"/>
      <c r="B40" s="50">
        <f>IFERROR(INDEX(الموظفون_الاسم,MATCH($A40,الموظفون_الرقم,0)),"")</f>
        <v/>
      </c>
      <c r="C40" s="112" t="n"/>
      <c r="D40" s="50">
        <f>IF($C40="","",IFERROR(INDEX(قائمة_أيام_الأسبوع,WEEKDAY($C40,1)),""))</f>
        <v/>
      </c>
      <c r="E40" s="116" t="n"/>
      <c r="F40" s="116" t="n"/>
      <c r="G40" s="117">
        <f>IF($A40="","",بداية_الدوام)</f>
        <v/>
      </c>
      <c r="H40" s="117">
        <f>IF($A40="","",نهاية_الدوام)</f>
        <v/>
      </c>
      <c r="I40" s="58">
        <f>IF($A40="","",مدة_الاستراحة/60)</f>
        <v/>
      </c>
      <c r="J40" s="58">
        <f>IF(OR($A40="",$E40="",$F40=""),"",IF(OR($N40="حاضر",$N40="دوام جزئي"),MAX(0,MOD($F40-$E40,1)*24-$I40),0))</f>
        <v/>
      </c>
      <c r="K40" s="58">
        <f>IF(OR($A40="",$E40=""),"",IF(AND(احتساب_التأخير="نعم",OR($N40="حاضر",$N40="دوام جزئي"),$E40&gt;$G40+دقائق_السماح/1440),($E40-$G40-دقائق_السماح/1440)*24,0))</f>
        <v/>
      </c>
      <c r="L40" s="58">
        <f>IF(OR($A40="",$F40=""),"",IF(AND(OR($N40="حاضر",$N40="دوام جزئي"),$F40&lt;$H40),($H40-$F40)*24,0))</f>
        <v/>
      </c>
      <c r="M40" s="58">
        <f>IF(OR($A40="",$F40=""),"",IF(AND(احتساب_العمل_الإضافي="نعم",OR($N40="حاضر",$N40="دوام جزئي"),$F40&gt;$H40,($F40-$H40)*24*60&gt;=حد_العمل_الإضافي_دقيقة),($F40-$H40)*24,0))</f>
        <v/>
      </c>
      <c r="N40" s="47" t="n"/>
      <c r="O40" s="47" t="n"/>
      <c r="Q40">
        <f>IF(AND(ISNUMBER($K40),$K40&gt;0),SUMPRODUCT(ISNUMBER($K$3:$K$502)*($K$3:$K$502&gt;0)*(ROW($K$3:$K$502)&lt;=ROW())),"")</f>
        <v/>
      </c>
    </row>
    <row r="41">
      <c r="A41" s="40" t="n"/>
      <c r="B41" s="43">
        <f>IFERROR(INDEX(الموظفون_الاسم,MATCH($A41,الموظفون_الرقم,0)),"")</f>
        <v/>
      </c>
      <c r="C41" s="110" t="n"/>
      <c r="D41" s="43">
        <f>IF($C41="","",IFERROR(INDEX(قائمة_أيام_الأسبوع,WEEKDAY($C41,1)),""))</f>
        <v/>
      </c>
      <c r="E41" s="114" t="n"/>
      <c r="F41" s="114" t="n"/>
      <c r="G41" s="115">
        <f>IF($A41="","",بداية_الدوام)</f>
        <v/>
      </c>
      <c r="H41" s="115">
        <f>IF($A41="","",نهاية_الدوام)</f>
        <v/>
      </c>
      <c r="I41" s="55">
        <f>IF($A41="","",مدة_الاستراحة/60)</f>
        <v/>
      </c>
      <c r="J41" s="55">
        <f>IF(OR($A41="",$E41="",$F41=""),"",IF(OR($N41="حاضر",$N41="دوام جزئي"),MAX(0,MOD($F41-$E41,1)*24-$I41),0))</f>
        <v/>
      </c>
      <c r="K41" s="55">
        <f>IF(OR($A41="",$E41=""),"",IF(AND(احتساب_التأخير="نعم",OR($N41="حاضر",$N41="دوام جزئي"),$E41&gt;$G41+دقائق_السماح/1440),($E41-$G41-دقائق_السماح/1440)*24,0))</f>
        <v/>
      </c>
      <c r="L41" s="55">
        <f>IF(OR($A41="",$F41=""),"",IF(AND(OR($N41="حاضر",$N41="دوام جزئي"),$F41&lt;$H41),($H41-$F41)*24,0))</f>
        <v/>
      </c>
      <c r="M41" s="55">
        <f>IF(OR($A41="",$F41=""),"",IF(AND(احتساب_العمل_الإضافي="نعم",OR($N41="حاضر",$N41="دوام جزئي"),$F41&gt;$H41,($F41-$H41)*24*60&gt;=حد_العمل_الإضافي_دقيقة),($F41-$H41)*24,0))</f>
        <v/>
      </c>
      <c r="N41" s="40" t="n"/>
      <c r="O41" s="40" t="n"/>
      <c r="Q41">
        <f>IF(AND(ISNUMBER($K41),$K41&gt;0),SUMPRODUCT(ISNUMBER($K$3:$K$502)*($K$3:$K$502&gt;0)*(ROW($K$3:$K$502)&lt;=ROW())),"")</f>
        <v/>
      </c>
    </row>
    <row r="42">
      <c r="A42" s="47" t="n"/>
      <c r="B42" s="50">
        <f>IFERROR(INDEX(الموظفون_الاسم,MATCH($A42,الموظفون_الرقم,0)),"")</f>
        <v/>
      </c>
      <c r="C42" s="112" t="n"/>
      <c r="D42" s="50">
        <f>IF($C42="","",IFERROR(INDEX(قائمة_أيام_الأسبوع,WEEKDAY($C42,1)),""))</f>
        <v/>
      </c>
      <c r="E42" s="116" t="n"/>
      <c r="F42" s="116" t="n"/>
      <c r="G42" s="117">
        <f>IF($A42="","",بداية_الدوام)</f>
        <v/>
      </c>
      <c r="H42" s="117">
        <f>IF($A42="","",نهاية_الدوام)</f>
        <v/>
      </c>
      <c r="I42" s="58">
        <f>IF($A42="","",مدة_الاستراحة/60)</f>
        <v/>
      </c>
      <c r="J42" s="58">
        <f>IF(OR($A42="",$E42="",$F42=""),"",IF(OR($N42="حاضر",$N42="دوام جزئي"),MAX(0,MOD($F42-$E42,1)*24-$I42),0))</f>
        <v/>
      </c>
      <c r="K42" s="58">
        <f>IF(OR($A42="",$E42=""),"",IF(AND(احتساب_التأخير="نعم",OR($N42="حاضر",$N42="دوام جزئي"),$E42&gt;$G42+دقائق_السماح/1440),($E42-$G42-دقائق_السماح/1440)*24,0))</f>
        <v/>
      </c>
      <c r="L42" s="58">
        <f>IF(OR($A42="",$F42=""),"",IF(AND(OR($N42="حاضر",$N42="دوام جزئي"),$F42&lt;$H42),($H42-$F42)*24,0))</f>
        <v/>
      </c>
      <c r="M42" s="58">
        <f>IF(OR($A42="",$F42=""),"",IF(AND(احتساب_العمل_الإضافي="نعم",OR($N42="حاضر",$N42="دوام جزئي"),$F42&gt;$H42,($F42-$H42)*24*60&gt;=حد_العمل_الإضافي_دقيقة),($F42-$H42)*24,0))</f>
        <v/>
      </c>
      <c r="N42" s="47" t="n"/>
      <c r="O42" s="47" t="n"/>
      <c r="Q42">
        <f>IF(AND(ISNUMBER($K42),$K42&gt;0),SUMPRODUCT(ISNUMBER($K$3:$K$502)*($K$3:$K$502&gt;0)*(ROW($K$3:$K$502)&lt;=ROW())),"")</f>
        <v/>
      </c>
    </row>
    <row r="43">
      <c r="A43" s="40" t="n"/>
      <c r="B43" s="43">
        <f>IFERROR(INDEX(الموظفون_الاسم,MATCH($A43,الموظفون_الرقم,0)),"")</f>
        <v/>
      </c>
      <c r="C43" s="110" t="n"/>
      <c r="D43" s="43">
        <f>IF($C43="","",IFERROR(INDEX(قائمة_أيام_الأسبوع,WEEKDAY($C43,1)),""))</f>
        <v/>
      </c>
      <c r="E43" s="114" t="n"/>
      <c r="F43" s="114" t="n"/>
      <c r="G43" s="115">
        <f>IF($A43="","",بداية_الدوام)</f>
        <v/>
      </c>
      <c r="H43" s="115">
        <f>IF($A43="","",نهاية_الدوام)</f>
        <v/>
      </c>
      <c r="I43" s="55">
        <f>IF($A43="","",مدة_الاستراحة/60)</f>
        <v/>
      </c>
      <c r="J43" s="55">
        <f>IF(OR($A43="",$E43="",$F43=""),"",IF(OR($N43="حاضر",$N43="دوام جزئي"),MAX(0,MOD($F43-$E43,1)*24-$I43),0))</f>
        <v/>
      </c>
      <c r="K43" s="55">
        <f>IF(OR($A43="",$E43=""),"",IF(AND(احتساب_التأخير="نعم",OR($N43="حاضر",$N43="دوام جزئي"),$E43&gt;$G43+دقائق_السماح/1440),($E43-$G43-دقائق_السماح/1440)*24,0))</f>
        <v/>
      </c>
      <c r="L43" s="55">
        <f>IF(OR($A43="",$F43=""),"",IF(AND(OR($N43="حاضر",$N43="دوام جزئي"),$F43&lt;$H43),($H43-$F43)*24,0))</f>
        <v/>
      </c>
      <c r="M43" s="55">
        <f>IF(OR($A43="",$F43=""),"",IF(AND(احتساب_العمل_الإضافي="نعم",OR($N43="حاضر",$N43="دوام جزئي"),$F43&gt;$H43,($F43-$H43)*24*60&gt;=حد_العمل_الإضافي_دقيقة),($F43-$H43)*24,0))</f>
        <v/>
      </c>
      <c r="N43" s="40" t="n"/>
      <c r="O43" s="40" t="n"/>
      <c r="Q43">
        <f>IF(AND(ISNUMBER($K43),$K43&gt;0),SUMPRODUCT(ISNUMBER($K$3:$K$502)*($K$3:$K$502&gt;0)*(ROW($K$3:$K$502)&lt;=ROW())),"")</f>
        <v/>
      </c>
    </row>
    <row r="44">
      <c r="A44" s="47" t="n"/>
      <c r="B44" s="50">
        <f>IFERROR(INDEX(الموظفون_الاسم,MATCH($A44,الموظفون_الرقم,0)),"")</f>
        <v/>
      </c>
      <c r="C44" s="112" t="n"/>
      <c r="D44" s="50">
        <f>IF($C44="","",IFERROR(INDEX(قائمة_أيام_الأسبوع,WEEKDAY($C44,1)),""))</f>
        <v/>
      </c>
      <c r="E44" s="116" t="n"/>
      <c r="F44" s="116" t="n"/>
      <c r="G44" s="117">
        <f>IF($A44="","",بداية_الدوام)</f>
        <v/>
      </c>
      <c r="H44" s="117">
        <f>IF($A44="","",نهاية_الدوام)</f>
        <v/>
      </c>
      <c r="I44" s="58">
        <f>IF($A44="","",مدة_الاستراحة/60)</f>
        <v/>
      </c>
      <c r="J44" s="58">
        <f>IF(OR($A44="",$E44="",$F44=""),"",IF(OR($N44="حاضر",$N44="دوام جزئي"),MAX(0,MOD($F44-$E44,1)*24-$I44),0))</f>
        <v/>
      </c>
      <c r="K44" s="58">
        <f>IF(OR($A44="",$E44=""),"",IF(AND(احتساب_التأخير="نعم",OR($N44="حاضر",$N44="دوام جزئي"),$E44&gt;$G44+دقائق_السماح/1440),($E44-$G44-دقائق_السماح/1440)*24,0))</f>
        <v/>
      </c>
      <c r="L44" s="58">
        <f>IF(OR($A44="",$F44=""),"",IF(AND(OR($N44="حاضر",$N44="دوام جزئي"),$F44&lt;$H44),($H44-$F44)*24,0))</f>
        <v/>
      </c>
      <c r="M44" s="58">
        <f>IF(OR($A44="",$F44=""),"",IF(AND(احتساب_العمل_الإضافي="نعم",OR($N44="حاضر",$N44="دوام جزئي"),$F44&gt;$H44,($F44-$H44)*24*60&gt;=حد_العمل_الإضافي_دقيقة),($F44-$H44)*24,0))</f>
        <v/>
      </c>
      <c r="N44" s="47" t="n"/>
      <c r="O44" s="47" t="n"/>
      <c r="Q44">
        <f>IF(AND(ISNUMBER($K44),$K44&gt;0),SUMPRODUCT(ISNUMBER($K$3:$K$502)*($K$3:$K$502&gt;0)*(ROW($K$3:$K$502)&lt;=ROW())),"")</f>
        <v/>
      </c>
    </row>
    <row r="45">
      <c r="A45" s="40" t="n"/>
      <c r="B45" s="43">
        <f>IFERROR(INDEX(الموظفون_الاسم,MATCH($A45,الموظفون_الرقم,0)),"")</f>
        <v/>
      </c>
      <c r="C45" s="110" t="n"/>
      <c r="D45" s="43">
        <f>IF($C45="","",IFERROR(INDEX(قائمة_أيام_الأسبوع,WEEKDAY($C45,1)),""))</f>
        <v/>
      </c>
      <c r="E45" s="114" t="n"/>
      <c r="F45" s="114" t="n"/>
      <c r="G45" s="115">
        <f>IF($A45="","",بداية_الدوام)</f>
        <v/>
      </c>
      <c r="H45" s="115">
        <f>IF($A45="","",نهاية_الدوام)</f>
        <v/>
      </c>
      <c r="I45" s="55">
        <f>IF($A45="","",مدة_الاستراحة/60)</f>
        <v/>
      </c>
      <c r="J45" s="55">
        <f>IF(OR($A45="",$E45="",$F45=""),"",IF(OR($N45="حاضر",$N45="دوام جزئي"),MAX(0,MOD($F45-$E45,1)*24-$I45),0))</f>
        <v/>
      </c>
      <c r="K45" s="55">
        <f>IF(OR($A45="",$E45=""),"",IF(AND(احتساب_التأخير="نعم",OR($N45="حاضر",$N45="دوام جزئي"),$E45&gt;$G45+دقائق_السماح/1440),($E45-$G45-دقائق_السماح/1440)*24,0))</f>
        <v/>
      </c>
      <c r="L45" s="55">
        <f>IF(OR($A45="",$F45=""),"",IF(AND(OR($N45="حاضر",$N45="دوام جزئي"),$F45&lt;$H45),($H45-$F45)*24,0))</f>
        <v/>
      </c>
      <c r="M45" s="55">
        <f>IF(OR($A45="",$F45=""),"",IF(AND(احتساب_العمل_الإضافي="نعم",OR($N45="حاضر",$N45="دوام جزئي"),$F45&gt;$H45,($F45-$H45)*24*60&gt;=حد_العمل_الإضافي_دقيقة),($F45-$H45)*24,0))</f>
        <v/>
      </c>
      <c r="N45" s="40" t="n"/>
      <c r="O45" s="40" t="n"/>
      <c r="Q45">
        <f>IF(AND(ISNUMBER($K45),$K45&gt;0),SUMPRODUCT(ISNUMBER($K$3:$K$502)*($K$3:$K$502&gt;0)*(ROW($K$3:$K$502)&lt;=ROW())),"")</f>
        <v/>
      </c>
    </row>
    <row r="46">
      <c r="A46" s="47" t="n"/>
      <c r="B46" s="50">
        <f>IFERROR(INDEX(الموظفون_الاسم,MATCH($A46,الموظفون_الرقم,0)),"")</f>
        <v/>
      </c>
      <c r="C46" s="112" t="n"/>
      <c r="D46" s="50">
        <f>IF($C46="","",IFERROR(INDEX(قائمة_أيام_الأسبوع,WEEKDAY($C46,1)),""))</f>
        <v/>
      </c>
      <c r="E46" s="116" t="n"/>
      <c r="F46" s="116" t="n"/>
      <c r="G46" s="117">
        <f>IF($A46="","",بداية_الدوام)</f>
        <v/>
      </c>
      <c r="H46" s="117">
        <f>IF($A46="","",نهاية_الدوام)</f>
        <v/>
      </c>
      <c r="I46" s="58">
        <f>IF($A46="","",مدة_الاستراحة/60)</f>
        <v/>
      </c>
      <c r="J46" s="58">
        <f>IF(OR($A46="",$E46="",$F46=""),"",IF(OR($N46="حاضر",$N46="دوام جزئي"),MAX(0,MOD($F46-$E46,1)*24-$I46),0))</f>
        <v/>
      </c>
      <c r="K46" s="58">
        <f>IF(OR($A46="",$E46=""),"",IF(AND(احتساب_التأخير="نعم",OR($N46="حاضر",$N46="دوام جزئي"),$E46&gt;$G46+دقائق_السماح/1440),($E46-$G46-دقائق_السماح/1440)*24,0))</f>
        <v/>
      </c>
      <c r="L46" s="58">
        <f>IF(OR($A46="",$F46=""),"",IF(AND(OR($N46="حاضر",$N46="دوام جزئي"),$F46&lt;$H46),($H46-$F46)*24,0))</f>
        <v/>
      </c>
      <c r="M46" s="58">
        <f>IF(OR($A46="",$F46=""),"",IF(AND(احتساب_العمل_الإضافي="نعم",OR($N46="حاضر",$N46="دوام جزئي"),$F46&gt;$H46,($F46-$H46)*24*60&gt;=حد_العمل_الإضافي_دقيقة),($F46-$H46)*24,0))</f>
        <v/>
      </c>
      <c r="N46" s="47" t="n"/>
      <c r="O46" s="47" t="n"/>
      <c r="Q46">
        <f>IF(AND(ISNUMBER($K46),$K46&gt;0),SUMPRODUCT(ISNUMBER($K$3:$K$502)*($K$3:$K$502&gt;0)*(ROW($K$3:$K$502)&lt;=ROW())),"")</f>
        <v/>
      </c>
    </row>
    <row r="47">
      <c r="A47" s="40" t="n"/>
      <c r="B47" s="43">
        <f>IFERROR(INDEX(الموظفون_الاسم,MATCH($A47,الموظفون_الرقم,0)),"")</f>
        <v/>
      </c>
      <c r="C47" s="110" t="n"/>
      <c r="D47" s="43">
        <f>IF($C47="","",IFERROR(INDEX(قائمة_أيام_الأسبوع,WEEKDAY($C47,1)),""))</f>
        <v/>
      </c>
      <c r="E47" s="114" t="n"/>
      <c r="F47" s="114" t="n"/>
      <c r="G47" s="115">
        <f>IF($A47="","",بداية_الدوام)</f>
        <v/>
      </c>
      <c r="H47" s="115">
        <f>IF($A47="","",نهاية_الدوام)</f>
        <v/>
      </c>
      <c r="I47" s="55">
        <f>IF($A47="","",مدة_الاستراحة/60)</f>
        <v/>
      </c>
      <c r="J47" s="55">
        <f>IF(OR($A47="",$E47="",$F47=""),"",IF(OR($N47="حاضر",$N47="دوام جزئي"),MAX(0,MOD($F47-$E47,1)*24-$I47),0))</f>
        <v/>
      </c>
      <c r="K47" s="55">
        <f>IF(OR($A47="",$E47=""),"",IF(AND(احتساب_التأخير="نعم",OR($N47="حاضر",$N47="دوام جزئي"),$E47&gt;$G47+دقائق_السماح/1440),($E47-$G47-دقائق_السماح/1440)*24,0))</f>
        <v/>
      </c>
      <c r="L47" s="55">
        <f>IF(OR($A47="",$F47=""),"",IF(AND(OR($N47="حاضر",$N47="دوام جزئي"),$F47&lt;$H47),($H47-$F47)*24,0))</f>
        <v/>
      </c>
      <c r="M47" s="55">
        <f>IF(OR($A47="",$F47=""),"",IF(AND(احتساب_العمل_الإضافي="نعم",OR($N47="حاضر",$N47="دوام جزئي"),$F47&gt;$H47,($F47-$H47)*24*60&gt;=حد_العمل_الإضافي_دقيقة),($F47-$H47)*24,0))</f>
        <v/>
      </c>
      <c r="N47" s="40" t="n"/>
      <c r="O47" s="40" t="n"/>
      <c r="Q47">
        <f>IF(AND(ISNUMBER($K47),$K47&gt;0),SUMPRODUCT(ISNUMBER($K$3:$K$502)*($K$3:$K$502&gt;0)*(ROW($K$3:$K$502)&lt;=ROW())),"")</f>
        <v/>
      </c>
    </row>
    <row r="48">
      <c r="A48" s="47" t="n"/>
      <c r="B48" s="50">
        <f>IFERROR(INDEX(الموظفون_الاسم,MATCH($A48,الموظفون_الرقم,0)),"")</f>
        <v/>
      </c>
      <c r="C48" s="112" t="n"/>
      <c r="D48" s="50">
        <f>IF($C48="","",IFERROR(INDEX(قائمة_أيام_الأسبوع,WEEKDAY($C48,1)),""))</f>
        <v/>
      </c>
      <c r="E48" s="116" t="n"/>
      <c r="F48" s="116" t="n"/>
      <c r="G48" s="117">
        <f>IF($A48="","",بداية_الدوام)</f>
        <v/>
      </c>
      <c r="H48" s="117">
        <f>IF($A48="","",نهاية_الدوام)</f>
        <v/>
      </c>
      <c r="I48" s="58">
        <f>IF($A48="","",مدة_الاستراحة/60)</f>
        <v/>
      </c>
      <c r="J48" s="58">
        <f>IF(OR($A48="",$E48="",$F48=""),"",IF(OR($N48="حاضر",$N48="دوام جزئي"),MAX(0,MOD($F48-$E48,1)*24-$I48),0))</f>
        <v/>
      </c>
      <c r="K48" s="58">
        <f>IF(OR($A48="",$E48=""),"",IF(AND(احتساب_التأخير="نعم",OR($N48="حاضر",$N48="دوام جزئي"),$E48&gt;$G48+دقائق_السماح/1440),($E48-$G48-دقائق_السماح/1440)*24,0))</f>
        <v/>
      </c>
      <c r="L48" s="58">
        <f>IF(OR($A48="",$F48=""),"",IF(AND(OR($N48="حاضر",$N48="دوام جزئي"),$F48&lt;$H48),($H48-$F48)*24,0))</f>
        <v/>
      </c>
      <c r="M48" s="58">
        <f>IF(OR($A48="",$F48=""),"",IF(AND(احتساب_العمل_الإضافي="نعم",OR($N48="حاضر",$N48="دوام جزئي"),$F48&gt;$H48,($F48-$H48)*24*60&gt;=حد_العمل_الإضافي_دقيقة),($F48-$H48)*24,0))</f>
        <v/>
      </c>
      <c r="N48" s="47" t="n"/>
      <c r="O48" s="47" t="n"/>
      <c r="Q48">
        <f>IF(AND(ISNUMBER($K48),$K48&gt;0),SUMPRODUCT(ISNUMBER($K$3:$K$502)*($K$3:$K$502&gt;0)*(ROW($K$3:$K$502)&lt;=ROW())),"")</f>
        <v/>
      </c>
    </row>
    <row r="49">
      <c r="A49" s="40" t="n"/>
      <c r="B49" s="43">
        <f>IFERROR(INDEX(الموظفون_الاسم,MATCH($A49,الموظفون_الرقم,0)),"")</f>
        <v/>
      </c>
      <c r="C49" s="110" t="n"/>
      <c r="D49" s="43">
        <f>IF($C49="","",IFERROR(INDEX(قائمة_أيام_الأسبوع,WEEKDAY($C49,1)),""))</f>
        <v/>
      </c>
      <c r="E49" s="114" t="n"/>
      <c r="F49" s="114" t="n"/>
      <c r="G49" s="115">
        <f>IF($A49="","",بداية_الدوام)</f>
        <v/>
      </c>
      <c r="H49" s="115">
        <f>IF($A49="","",نهاية_الدوام)</f>
        <v/>
      </c>
      <c r="I49" s="55">
        <f>IF($A49="","",مدة_الاستراحة/60)</f>
        <v/>
      </c>
      <c r="J49" s="55">
        <f>IF(OR($A49="",$E49="",$F49=""),"",IF(OR($N49="حاضر",$N49="دوام جزئي"),MAX(0,MOD($F49-$E49,1)*24-$I49),0))</f>
        <v/>
      </c>
      <c r="K49" s="55">
        <f>IF(OR($A49="",$E49=""),"",IF(AND(احتساب_التأخير="نعم",OR($N49="حاضر",$N49="دوام جزئي"),$E49&gt;$G49+دقائق_السماح/1440),($E49-$G49-دقائق_السماح/1440)*24,0))</f>
        <v/>
      </c>
      <c r="L49" s="55">
        <f>IF(OR($A49="",$F49=""),"",IF(AND(OR($N49="حاضر",$N49="دوام جزئي"),$F49&lt;$H49),($H49-$F49)*24,0))</f>
        <v/>
      </c>
      <c r="M49" s="55">
        <f>IF(OR($A49="",$F49=""),"",IF(AND(احتساب_العمل_الإضافي="نعم",OR($N49="حاضر",$N49="دوام جزئي"),$F49&gt;$H49,($F49-$H49)*24*60&gt;=حد_العمل_الإضافي_دقيقة),($F49-$H49)*24,0))</f>
        <v/>
      </c>
      <c r="N49" s="40" t="n"/>
      <c r="O49" s="40" t="n"/>
      <c r="Q49">
        <f>IF(AND(ISNUMBER($K49),$K49&gt;0),SUMPRODUCT(ISNUMBER($K$3:$K$502)*($K$3:$K$502&gt;0)*(ROW($K$3:$K$502)&lt;=ROW())),"")</f>
        <v/>
      </c>
    </row>
    <row r="50">
      <c r="A50" s="47" t="n"/>
      <c r="B50" s="50">
        <f>IFERROR(INDEX(الموظفون_الاسم,MATCH($A50,الموظفون_الرقم,0)),"")</f>
        <v/>
      </c>
      <c r="C50" s="112" t="n"/>
      <c r="D50" s="50">
        <f>IF($C50="","",IFERROR(INDEX(قائمة_أيام_الأسبوع,WEEKDAY($C50,1)),""))</f>
        <v/>
      </c>
      <c r="E50" s="116" t="n"/>
      <c r="F50" s="116" t="n"/>
      <c r="G50" s="117">
        <f>IF($A50="","",بداية_الدوام)</f>
        <v/>
      </c>
      <c r="H50" s="117">
        <f>IF($A50="","",نهاية_الدوام)</f>
        <v/>
      </c>
      <c r="I50" s="58">
        <f>IF($A50="","",مدة_الاستراحة/60)</f>
        <v/>
      </c>
      <c r="J50" s="58">
        <f>IF(OR($A50="",$E50="",$F50=""),"",IF(OR($N50="حاضر",$N50="دوام جزئي"),MAX(0,MOD($F50-$E50,1)*24-$I50),0))</f>
        <v/>
      </c>
      <c r="K50" s="58">
        <f>IF(OR($A50="",$E50=""),"",IF(AND(احتساب_التأخير="نعم",OR($N50="حاضر",$N50="دوام جزئي"),$E50&gt;$G50+دقائق_السماح/1440),($E50-$G50-دقائق_السماح/1440)*24,0))</f>
        <v/>
      </c>
      <c r="L50" s="58">
        <f>IF(OR($A50="",$F50=""),"",IF(AND(OR($N50="حاضر",$N50="دوام جزئي"),$F50&lt;$H50),($H50-$F50)*24,0))</f>
        <v/>
      </c>
      <c r="M50" s="58">
        <f>IF(OR($A50="",$F50=""),"",IF(AND(احتساب_العمل_الإضافي="نعم",OR($N50="حاضر",$N50="دوام جزئي"),$F50&gt;$H50,($F50-$H50)*24*60&gt;=حد_العمل_الإضافي_دقيقة),($F50-$H50)*24,0))</f>
        <v/>
      </c>
      <c r="N50" s="47" t="n"/>
      <c r="O50" s="47" t="n"/>
      <c r="Q50">
        <f>IF(AND(ISNUMBER($K50),$K50&gt;0),SUMPRODUCT(ISNUMBER($K$3:$K$502)*($K$3:$K$502&gt;0)*(ROW($K$3:$K$502)&lt;=ROW())),"")</f>
        <v/>
      </c>
    </row>
    <row r="51">
      <c r="A51" s="40" t="n"/>
      <c r="B51" s="43">
        <f>IFERROR(INDEX(الموظفون_الاسم,MATCH($A51,الموظفون_الرقم,0)),"")</f>
        <v/>
      </c>
      <c r="C51" s="110" t="n"/>
      <c r="D51" s="43">
        <f>IF($C51="","",IFERROR(INDEX(قائمة_أيام_الأسبوع,WEEKDAY($C51,1)),""))</f>
        <v/>
      </c>
      <c r="E51" s="114" t="n"/>
      <c r="F51" s="114" t="n"/>
      <c r="G51" s="115">
        <f>IF($A51="","",بداية_الدوام)</f>
        <v/>
      </c>
      <c r="H51" s="115">
        <f>IF($A51="","",نهاية_الدوام)</f>
        <v/>
      </c>
      <c r="I51" s="55">
        <f>IF($A51="","",مدة_الاستراحة/60)</f>
        <v/>
      </c>
      <c r="J51" s="55">
        <f>IF(OR($A51="",$E51="",$F51=""),"",IF(OR($N51="حاضر",$N51="دوام جزئي"),MAX(0,MOD($F51-$E51,1)*24-$I51),0))</f>
        <v/>
      </c>
      <c r="K51" s="55">
        <f>IF(OR($A51="",$E51=""),"",IF(AND(احتساب_التأخير="نعم",OR($N51="حاضر",$N51="دوام جزئي"),$E51&gt;$G51+دقائق_السماح/1440),($E51-$G51-دقائق_السماح/1440)*24,0))</f>
        <v/>
      </c>
      <c r="L51" s="55">
        <f>IF(OR($A51="",$F51=""),"",IF(AND(OR($N51="حاضر",$N51="دوام جزئي"),$F51&lt;$H51),($H51-$F51)*24,0))</f>
        <v/>
      </c>
      <c r="M51" s="55">
        <f>IF(OR($A51="",$F51=""),"",IF(AND(احتساب_العمل_الإضافي="نعم",OR($N51="حاضر",$N51="دوام جزئي"),$F51&gt;$H51,($F51-$H51)*24*60&gt;=حد_العمل_الإضافي_دقيقة),($F51-$H51)*24,0))</f>
        <v/>
      </c>
      <c r="N51" s="40" t="n"/>
      <c r="O51" s="40" t="n"/>
      <c r="Q51">
        <f>IF(AND(ISNUMBER($K51),$K51&gt;0),SUMPRODUCT(ISNUMBER($K$3:$K$502)*($K$3:$K$502&gt;0)*(ROW($K$3:$K$502)&lt;=ROW())),"")</f>
        <v/>
      </c>
    </row>
    <row r="52">
      <c r="A52" s="47" t="n"/>
      <c r="B52" s="50">
        <f>IFERROR(INDEX(الموظفون_الاسم,MATCH($A52,الموظفون_الرقم,0)),"")</f>
        <v/>
      </c>
      <c r="C52" s="112" t="n"/>
      <c r="D52" s="50">
        <f>IF($C52="","",IFERROR(INDEX(قائمة_أيام_الأسبوع,WEEKDAY($C52,1)),""))</f>
        <v/>
      </c>
      <c r="E52" s="116" t="n"/>
      <c r="F52" s="116" t="n"/>
      <c r="G52" s="117">
        <f>IF($A52="","",بداية_الدوام)</f>
        <v/>
      </c>
      <c r="H52" s="117">
        <f>IF($A52="","",نهاية_الدوام)</f>
        <v/>
      </c>
      <c r="I52" s="58">
        <f>IF($A52="","",مدة_الاستراحة/60)</f>
        <v/>
      </c>
      <c r="J52" s="58">
        <f>IF(OR($A52="",$E52="",$F52=""),"",IF(OR($N52="حاضر",$N52="دوام جزئي"),MAX(0,MOD($F52-$E52,1)*24-$I52),0))</f>
        <v/>
      </c>
      <c r="K52" s="58">
        <f>IF(OR($A52="",$E52=""),"",IF(AND(احتساب_التأخير="نعم",OR($N52="حاضر",$N52="دوام جزئي"),$E52&gt;$G52+دقائق_السماح/1440),($E52-$G52-دقائق_السماح/1440)*24,0))</f>
        <v/>
      </c>
      <c r="L52" s="58">
        <f>IF(OR($A52="",$F52=""),"",IF(AND(OR($N52="حاضر",$N52="دوام جزئي"),$F52&lt;$H52),($H52-$F52)*24,0))</f>
        <v/>
      </c>
      <c r="M52" s="58">
        <f>IF(OR($A52="",$F52=""),"",IF(AND(احتساب_العمل_الإضافي="نعم",OR($N52="حاضر",$N52="دوام جزئي"),$F52&gt;$H52,($F52-$H52)*24*60&gt;=حد_العمل_الإضافي_دقيقة),($F52-$H52)*24,0))</f>
        <v/>
      </c>
      <c r="N52" s="47" t="n"/>
      <c r="O52" s="47" t="n"/>
      <c r="Q52">
        <f>IF(AND(ISNUMBER($K52),$K52&gt;0),SUMPRODUCT(ISNUMBER($K$3:$K$502)*($K$3:$K$502&gt;0)*(ROW($K$3:$K$502)&lt;=ROW())),"")</f>
        <v/>
      </c>
    </row>
    <row r="53">
      <c r="A53" s="40" t="n"/>
      <c r="B53" s="43">
        <f>IFERROR(INDEX(الموظفون_الاسم,MATCH($A53,الموظفون_الرقم,0)),"")</f>
        <v/>
      </c>
      <c r="C53" s="110" t="n"/>
      <c r="D53" s="43">
        <f>IF($C53="","",IFERROR(INDEX(قائمة_أيام_الأسبوع,WEEKDAY($C53,1)),""))</f>
        <v/>
      </c>
      <c r="E53" s="114" t="n"/>
      <c r="F53" s="114" t="n"/>
      <c r="G53" s="115">
        <f>IF($A53="","",بداية_الدوام)</f>
        <v/>
      </c>
      <c r="H53" s="115">
        <f>IF($A53="","",نهاية_الدوام)</f>
        <v/>
      </c>
      <c r="I53" s="55">
        <f>IF($A53="","",مدة_الاستراحة/60)</f>
        <v/>
      </c>
      <c r="J53" s="55">
        <f>IF(OR($A53="",$E53="",$F53=""),"",IF(OR($N53="حاضر",$N53="دوام جزئي"),MAX(0,MOD($F53-$E53,1)*24-$I53),0))</f>
        <v/>
      </c>
      <c r="K53" s="55">
        <f>IF(OR($A53="",$E53=""),"",IF(AND(احتساب_التأخير="نعم",OR($N53="حاضر",$N53="دوام جزئي"),$E53&gt;$G53+دقائق_السماح/1440),($E53-$G53-دقائق_السماح/1440)*24,0))</f>
        <v/>
      </c>
      <c r="L53" s="55">
        <f>IF(OR($A53="",$F53=""),"",IF(AND(OR($N53="حاضر",$N53="دوام جزئي"),$F53&lt;$H53),($H53-$F53)*24,0))</f>
        <v/>
      </c>
      <c r="M53" s="55">
        <f>IF(OR($A53="",$F53=""),"",IF(AND(احتساب_العمل_الإضافي="نعم",OR($N53="حاضر",$N53="دوام جزئي"),$F53&gt;$H53,($F53-$H53)*24*60&gt;=حد_العمل_الإضافي_دقيقة),($F53-$H53)*24,0))</f>
        <v/>
      </c>
      <c r="N53" s="40" t="n"/>
      <c r="O53" s="40" t="n"/>
      <c r="Q53">
        <f>IF(AND(ISNUMBER($K53),$K53&gt;0),SUMPRODUCT(ISNUMBER($K$3:$K$502)*($K$3:$K$502&gt;0)*(ROW($K$3:$K$502)&lt;=ROW())),"")</f>
        <v/>
      </c>
    </row>
    <row r="54">
      <c r="A54" s="47" t="n"/>
      <c r="B54" s="50">
        <f>IFERROR(INDEX(الموظفون_الاسم,MATCH($A54,الموظفون_الرقم,0)),"")</f>
        <v/>
      </c>
      <c r="C54" s="112" t="n"/>
      <c r="D54" s="50">
        <f>IF($C54="","",IFERROR(INDEX(قائمة_أيام_الأسبوع,WEEKDAY($C54,1)),""))</f>
        <v/>
      </c>
      <c r="E54" s="116" t="n"/>
      <c r="F54" s="116" t="n"/>
      <c r="G54" s="117">
        <f>IF($A54="","",بداية_الدوام)</f>
        <v/>
      </c>
      <c r="H54" s="117">
        <f>IF($A54="","",نهاية_الدوام)</f>
        <v/>
      </c>
      <c r="I54" s="58">
        <f>IF($A54="","",مدة_الاستراحة/60)</f>
        <v/>
      </c>
      <c r="J54" s="58">
        <f>IF(OR($A54="",$E54="",$F54=""),"",IF(OR($N54="حاضر",$N54="دوام جزئي"),MAX(0,MOD($F54-$E54,1)*24-$I54),0))</f>
        <v/>
      </c>
      <c r="K54" s="58">
        <f>IF(OR($A54="",$E54=""),"",IF(AND(احتساب_التأخير="نعم",OR($N54="حاضر",$N54="دوام جزئي"),$E54&gt;$G54+دقائق_السماح/1440),($E54-$G54-دقائق_السماح/1440)*24,0))</f>
        <v/>
      </c>
      <c r="L54" s="58">
        <f>IF(OR($A54="",$F54=""),"",IF(AND(OR($N54="حاضر",$N54="دوام جزئي"),$F54&lt;$H54),($H54-$F54)*24,0))</f>
        <v/>
      </c>
      <c r="M54" s="58">
        <f>IF(OR($A54="",$F54=""),"",IF(AND(احتساب_العمل_الإضافي="نعم",OR($N54="حاضر",$N54="دوام جزئي"),$F54&gt;$H54,($F54-$H54)*24*60&gt;=حد_العمل_الإضافي_دقيقة),($F54-$H54)*24,0))</f>
        <v/>
      </c>
      <c r="N54" s="47" t="n"/>
      <c r="O54" s="47" t="n"/>
      <c r="Q54">
        <f>IF(AND(ISNUMBER($K54),$K54&gt;0),SUMPRODUCT(ISNUMBER($K$3:$K$502)*($K$3:$K$502&gt;0)*(ROW($K$3:$K$502)&lt;=ROW())),"")</f>
        <v/>
      </c>
    </row>
    <row r="55">
      <c r="A55" s="40" t="n"/>
      <c r="B55" s="43">
        <f>IFERROR(INDEX(الموظفون_الاسم,MATCH($A55,الموظفون_الرقم,0)),"")</f>
        <v/>
      </c>
      <c r="C55" s="110" t="n"/>
      <c r="D55" s="43">
        <f>IF($C55="","",IFERROR(INDEX(قائمة_أيام_الأسبوع,WEEKDAY($C55,1)),""))</f>
        <v/>
      </c>
      <c r="E55" s="114" t="n"/>
      <c r="F55" s="114" t="n"/>
      <c r="G55" s="115">
        <f>IF($A55="","",بداية_الدوام)</f>
        <v/>
      </c>
      <c r="H55" s="115">
        <f>IF($A55="","",نهاية_الدوام)</f>
        <v/>
      </c>
      <c r="I55" s="55">
        <f>IF($A55="","",مدة_الاستراحة/60)</f>
        <v/>
      </c>
      <c r="J55" s="55">
        <f>IF(OR($A55="",$E55="",$F55=""),"",IF(OR($N55="حاضر",$N55="دوام جزئي"),MAX(0,MOD($F55-$E55,1)*24-$I55),0))</f>
        <v/>
      </c>
      <c r="K55" s="55">
        <f>IF(OR($A55="",$E55=""),"",IF(AND(احتساب_التأخير="نعم",OR($N55="حاضر",$N55="دوام جزئي"),$E55&gt;$G55+دقائق_السماح/1440),($E55-$G55-دقائق_السماح/1440)*24,0))</f>
        <v/>
      </c>
      <c r="L55" s="55">
        <f>IF(OR($A55="",$F55=""),"",IF(AND(OR($N55="حاضر",$N55="دوام جزئي"),$F55&lt;$H55),($H55-$F55)*24,0))</f>
        <v/>
      </c>
      <c r="M55" s="55">
        <f>IF(OR($A55="",$F55=""),"",IF(AND(احتساب_العمل_الإضافي="نعم",OR($N55="حاضر",$N55="دوام جزئي"),$F55&gt;$H55,($F55-$H55)*24*60&gt;=حد_العمل_الإضافي_دقيقة),($F55-$H55)*24,0))</f>
        <v/>
      </c>
      <c r="N55" s="40" t="n"/>
      <c r="O55" s="40" t="n"/>
      <c r="Q55">
        <f>IF(AND(ISNUMBER($K55),$K55&gt;0),SUMPRODUCT(ISNUMBER($K$3:$K$502)*($K$3:$K$502&gt;0)*(ROW($K$3:$K$502)&lt;=ROW())),"")</f>
        <v/>
      </c>
    </row>
    <row r="56">
      <c r="A56" s="47" t="n"/>
      <c r="B56" s="50">
        <f>IFERROR(INDEX(الموظفون_الاسم,MATCH($A56,الموظفون_الرقم,0)),"")</f>
        <v/>
      </c>
      <c r="C56" s="112" t="n"/>
      <c r="D56" s="50">
        <f>IF($C56="","",IFERROR(INDEX(قائمة_أيام_الأسبوع,WEEKDAY($C56,1)),""))</f>
        <v/>
      </c>
      <c r="E56" s="116" t="n"/>
      <c r="F56" s="116" t="n"/>
      <c r="G56" s="117">
        <f>IF($A56="","",بداية_الدوام)</f>
        <v/>
      </c>
      <c r="H56" s="117">
        <f>IF($A56="","",نهاية_الدوام)</f>
        <v/>
      </c>
      <c r="I56" s="58">
        <f>IF($A56="","",مدة_الاستراحة/60)</f>
        <v/>
      </c>
      <c r="J56" s="58">
        <f>IF(OR($A56="",$E56="",$F56=""),"",IF(OR($N56="حاضر",$N56="دوام جزئي"),MAX(0,MOD($F56-$E56,1)*24-$I56),0))</f>
        <v/>
      </c>
      <c r="K56" s="58">
        <f>IF(OR($A56="",$E56=""),"",IF(AND(احتساب_التأخير="نعم",OR($N56="حاضر",$N56="دوام جزئي"),$E56&gt;$G56+دقائق_السماح/1440),($E56-$G56-دقائق_السماح/1440)*24,0))</f>
        <v/>
      </c>
      <c r="L56" s="58">
        <f>IF(OR($A56="",$F56=""),"",IF(AND(OR($N56="حاضر",$N56="دوام جزئي"),$F56&lt;$H56),($H56-$F56)*24,0))</f>
        <v/>
      </c>
      <c r="M56" s="58">
        <f>IF(OR($A56="",$F56=""),"",IF(AND(احتساب_العمل_الإضافي="نعم",OR($N56="حاضر",$N56="دوام جزئي"),$F56&gt;$H56,($F56-$H56)*24*60&gt;=حد_العمل_الإضافي_دقيقة),($F56-$H56)*24,0))</f>
        <v/>
      </c>
      <c r="N56" s="47" t="n"/>
      <c r="O56" s="47" t="n"/>
      <c r="Q56">
        <f>IF(AND(ISNUMBER($K56),$K56&gt;0),SUMPRODUCT(ISNUMBER($K$3:$K$502)*($K$3:$K$502&gt;0)*(ROW($K$3:$K$502)&lt;=ROW())),"")</f>
        <v/>
      </c>
    </row>
    <row r="57">
      <c r="A57" s="40" t="n"/>
      <c r="B57" s="43">
        <f>IFERROR(INDEX(الموظفون_الاسم,MATCH($A57,الموظفون_الرقم,0)),"")</f>
        <v/>
      </c>
      <c r="C57" s="110" t="n"/>
      <c r="D57" s="43">
        <f>IF($C57="","",IFERROR(INDEX(قائمة_أيام_الأسبوع,WEEKDAY($C57,1)),""))</f>
        <v/>
      </c>
      <c r="E57" s="114" t="n"/>
      <c r="F57" s="114" t="n"/>
      <c r="G57" s="115">
        <f>IF($A57="","",بداية_الدوام)</f>
        <v/>
      </c>
      <c r="H57" s="115">
        <f>IF($A57="","",نهاية_الدوام)</f>
        <v/>
      </c>
      <c r="I57" s="55">
        <f>IF($A57="","",مدة_الاستراحة/60)</f>
        <v/>
      </c>
      <c r="J57" s="55">
        <f>IF(OR($A57="",$E57="",$F57=""),"",IF(OR($N57="حاضر",$N57="دوام جزئي"),MAX(0,MOD($F57-$E57,1)*24-$I57),0))</f>
        <v/>
      </c>
      <c r="K57" s="55">
        <f>IF(OR($A57="",$E57=""),"",IF(AND(احتساب_التأخير="نعم",OR($N57="حاضر",$N57="دوام جزئي"),$E57&gt;$G57+دقائق_السماح/1440),($E57-$G57-دقائق_السماح/1440)*24,0))</f>
        <v/>
      </c>
      <c r="L57" s="55">
        <f>IF(OR($A57="",$F57=""),"",IF(AND(OR($N57="حاضر",$N57="دوام جزئي"),$F57&lt;$H57),($H57-$F57)*24,0))</f>
        <v/>
      </c>
      <c r="M57" s="55">
        <f>IF(OR($A57="",$F57=""),"",IF(AND(احتساب_العمل_الإضافي="نعم",OR($N57="حاضر",$N57="دوام جزئي"),$F57&gt;$H57,($F57-$H57)*24*60&gt;=حد_العمل_الإضافي_دقيقة),($F57-$H57)*24,0))</f>
        <v/>
      </c>
      <c r="N57" s="40" t="n"/>
      <c r="O57" s="40" t="n"/>
      <c r="Q57">
        <f>IF(AND(ISNUMBER($K57),$K57&gt;0),SUMPRODUCT(ISNUMBER($K$3:$K$502)*($K$3:$K$502&gt;0)*(ROW($K$3:$K$502)&lt;=ROW())),"")</f>
        <v/>
      </c>
    </row>
    <row r="58">
      <c r="A58" s="47" t="n"/>
      <c r="B58" s="50">
        <f>IFERROR(INDEX(الموظفون_الاسم,MATCH($A58,الموظفون_الرقم,0)),"")</f>
        <v/>
      </c>
      <c r="C58" s="112" t="n"/>
      <c r="D58" s="50">
        <f>IF($C58="","",IFERROR(INDEX(قائمة_أيام_الأسبوع,WEEKDAY($C58,1)),""))</f>
        <v/>
      </c>
      <c r="E58" s="116" t="n"/>
      <c r="F58" s="116" t="n"/>
      <c r="G58" s="117">
        <f>IF($A58="","",بداية_الدوام)</f>
        <v/>
      </c>
      <c r="H58" s="117">
        <f>IF($A58="","",نهاية_الدوام)</f>
        <v/>
      </c>
      <c r="I58" s="58">
        <f>IF($A58="","",مدة_الاستراحة/60)</f>
        <v/>
      </c>
      <c r="J58" s="58">
        <f>IF(OR($A58="",$E58="",$F58=""),"",IF(OR($N58="حاضر",$N58="دوام جزئي"),MAX(0,MOD($F58-$E58,1)*24-$I58),0))</f>
        <v/>
      </c>
      <c r="K58" s="58">
        <f>IF(OR($A58="",$E58=""),"",IF(AND(احتساب_التأخير="نعم",OR($N58="حاضر",$N58="دوام جزئي"),$E58&gt;$G58+دقائق_السماح/1440),($E58-$G58-دقائق_السماح/1440)*24,0))</f>
        <v/>
      </c>
      <c r="L58" s="58">
        <f>IF(OR($A58="",$F58=""),"",IF(AND(OR($N58="حاضر",$N58="دوام جزئي"),$F58&lt;$H58),($H58-$F58)*24,0))</f>
        <v/>
      </c>
      <c r="M58" s="58">
        <f>IF(OR($A58="",$F58=""),"",IF(AND(احتساب_العمل_الإضافي="نعم",OR($N58="حاضر",$N58="دوام جزئي"),$F58&gt;$H58,($F58-$H58)*24*60&gt;=حد_العمل_الإضافي_دقيقة),($F58-$H58)*24,0))</f>
        <v/>
      </c>
      <c r="N58" s="47" t="n"/>
      <c r="O58" s="47" t="n"/>
      <c r="Q58">
        <f>IF(AND(ISNUMBER($K58),$K58&gt;0),SUMPRODUCT(ISNUMBER($K$3:$K$502)*($K$3:$K$502&gt;0)*(ROW($K$3:$K$502)&lt;=ROW())),"")</f>
        <v/>
      </c>
    </row>
    <row r="59">
      <c r="A59" s="40" t="n"/>
      <c r="B59" s="43">
        <f>IFERROR(INDEX(الموظفون_الاسم,MATCH($A59,الموظفون_الرقم,0)),"")</f>
        <v/>
      </c>
      <c r="C59" s="110" t="n"/>
      <c r="D59" s="43">
        <f>IF($C59="","",IFERROR(INDEX(قائمة_أيام_الأسبوع,WEEKDAY($C59,1)),""))</f>
        <v/>
      </c>
      <c r="E59" s="114" t="n"/>
      <c r="F59" s="114" t="n"/>
      <c r="G59" s="115">
        <f>IF($A59="","",بداية_الدوام)</f>
        <v/>
      </c>
      <c r="H59" s="115">
        <f>IF($A59="","",نهاية_الدوام)</f>
        <v/>
      </c>
      <c r="I59" s="55">
        <f>IF($A59="","",مدة_الاستراحة/60)</f>
        <v/>
      </c>
      <c r="J59" s="55">
        <f>IF(OR($A59="",$E59="",$F59=""),"",IF(OR($N59="حاضر",$N59="دوام جزئي"),MAX(0,MOD($F59-$E59,1)*24-$I59),0))</f>
        <v/>
      </c>
      <c r="K59" s="55">
        <f>IF(OR($A59="",$E59=""),"",IF(AND(احتساب_التأخير="نعم",OR($N59="حاضر",$N59="دوام جزئي"),$E59&gt;$G59+دقائق_السماح/1440),($E59-$G59-دقائق_السماح/1440)*24,0))</f>
        <v/>
      </c>
      <c r="L59" s="55">
        <f>IF(OR($A59="",$F59=""),"",IF(AND(OR($N59="حاضر",$N59="دوام جزئي"),$F59&lt;$H59),($H59-$F59)*24,0))</f>
        <v/>
      </c>
      <c r="M59" s="55">
        <f>IF(OR($A59="",$F59=""),"",IF(AND(احتساب_العمل_الإضافي="نعم",OR($N59="حاضر",$N59="دوام جزئي"),$F59&gt;$H59,($F59-$H59)*24*60&gt;=حد_العمل_الإضافي_دقيقة),($F59-$H59)*24,0))</f>
        <v/>
      </c>
      <c r="N59" s="40" t="n"/>
      <c r="O59" s="40" t="n"/>
      <c r="Q59">
        <f>IF(AND(ISNUMBER($K59),$K59&gt;0),SUMPRODUCT(ISNUMBER($K$3:$K$502)*($K$3:$K$502&gt;0)*(ROW($K$3:$K$502)&lt;=ROW())),"")</f>
        <v/>
      </c>
    </row>
    <row r="60">
      <c r="A60" s="47" t="n"/>
      <c r="B60" s="50">
        <f>IFERROR(INDEX(الموظفون_الاسم,MATCH($A60,الموظفون_الرقم,0)),"")</f>
        <v/>
      </c>
      <c r="C60" s="112" t="n"/>
      <c r="D60" s="50">
        <f>IF($C60="","",IFERROR(INDEX(قائمة_أيام_الأسبوع,WEEKDAY($C60,1)),""))</f>
        <v/>
      </c>
      <c r="E60" s="116" t="n"/>
      <c r="F60" s="116" t="n"/>
      <c r="G60" s="117">
        <f>IF($A60="","",بداية_الدوام)</f>
        <v/>
      </c>
      <c r="H60" s="117">
        <f>IF($A60="","",نهاية_الدوام)</f>
        <v/>
      </c>
      <c r="I60" s="58">
        <f>IF($A60="","",مدة_الاستراحة/60)</f>
        <v/>
      </c>
      <c r="J60" s="58">
        <f>IF(OR($A60="",$E60="",$F60=""),"",IF(OR($N60="حاضر",$N60="دوام جزئي"),MAX(0,MOD($F60-$E60,1)*24-$I60),0))</f>
        <v/>
      </c>
      <c r="K60" s="58">
        <f>IF(OR($A60="",$E60=""),"",IF(AND(احتساب_التأخير="نعم",OR($N60="حاضر",$N60="دوام جزئي"),$E60&gt;$G60+دقائق_السماح/1440),($E60-$G60-دقائق_السماح/1440)*24,0))</f>
        <v/>
      </c>
      <c r="L60" s="58">
        <f>IF(OR($A60="",$F60=""),"",IF(AND(OR($N60="حاضر",$N60="دوام جزئي"),$F60&lt;$H60),($H60-$F60)*24,0))</f>
        <v/>
      </c>
      <c r="M60" s="58">
        <f>IF(OR($A60="",$F60=""),"",IF(AND(احتساب_العمل_الإضافي="نعم",OR($N60="حاضر",$N60="دوام جزئي"),$F60&gt;$H60,($F60-$H60)*24*60&gt;=حد_العمل_الإضافي_دقيقة),($F60-$H60)*24,0))</f>
        <v/>
      </c>
      <c r="N60" s="47" t="n"/>
      <c r="O60" s="47" t="n"/>
      <c r="Q60">
        <f>IF(AND(ISNUMBER($K60),$K60&gt;0),SUMPRODUCT(ISNUMBER($K$3:$K$502)*($K$3:$K$502&gt;0)*(ROW($K$3:$K$502)&lt;=ROW())),"")</f>
        <v/>
      </c>
    </row>
    <row r="61">
      <c r="A61" s="40" t="n"/>
      <c r="B61" s="43">
        <f>IFERROR(INDEX(الموظفون_الاسم,MATCH($A61,الموظفون_الرقم,0)),"")</f>
        <v/>
      </c>
      <c r="C61" s="110" t="n"/>
      <c r="D61" s="43">
        <f>IF($C61="","",IFERROR(INDEX(قائمة_أيام_الأسبوع,WEEKDAY($C61,1)),""))</f>
        <v/>
      </c>
      <c r="E61" s="114" t="n"/>
      <c r="F61" s="114" t="n"/>
      <c r="G61" s="115">
        <f>IF($A61="","",بداية_الدوام)</f>
        <v/>
      </c>
      <c r="H61" s="115">
        <f>IF($A61="","",نهاية_الدوام)</f>
        <v/>
      </c>
      <c r="I61" s="55">
        <f>IF($A61="","",مدة_الاستراحة/60)</f>
        <v/>
      </c>
      <c r="J61" s="55">
        <f>IF(OR($A61="",$E61="",$F61=""),"",IF(OR($N61="حاضر",$N61="دوام جزئي"),MAX(0,MOD($F61-$E61,1)*24-$I61),0))</f>
        <v/>
      </c>
      <c r="K61" s="55">
        <f>IF(OR($A61="",$E61=""),"",IF(AND(احتساب_التأخير="نعم",OR($N61="حاضر",$N61="دوام جزئي"),$E61&gt;$G61+دقائق_السماح/1440),($E61-$G61-دقائق_السماح/1440)*24,0))</f>
        <v/>
      </c>
      <c r="L61" s="55">
        <f>IF(OR($A61="",$F61=""),"",IF(AND(OR($N61="حاضر",$N61="دوام جزئي"),$F61&lt;$H61),($H61-$F61)*24,0))</f>
        <v/>
      </c>
      <c r="M61" s="55">
        <f>IF(OR($A61="",$F61=""),"",IF(AND(احتساب_العمل_الإضافي="نعم",OR($N61="حاضر",$N61="دوام جزئي"),$F61&gt;$H61,($F61-$H61)*24*60&gt;=حد_العمل_الإضافي_دقيقة),($F61-$H61)*24,0))</f>
        <v/>
      </c>
      <c r="N61" s="40" t="n"/>
      <c r="O61" s="40" t="n"/>
      <c r="Q61">
        <f>IF(AND(ISNUMBER($K61),$K61&gt;0),SUMPRODUCT(ISNUMBER($K$3:$K$502)*($K$3:$K$502&gt;0)*(ROW($K$3:$K$502)&lt;=ROW())),"")</f>
        <v/>
      </c>
    </row>
    <row r="62">
      <c r="A62" s="47" t="n"/>
      <c r="B62" s="50">
        <f>IFERROR(INDEX(الموظفون_الاسم,MATCH($A62,الموظفون_الرقم,0)),"")</f>
        <v/>
      </c>
      <c r="C62" s="112" t="n"/>
      <c r="D62" s="50">
        <f>IF($C62="","",IFERROR(INDEX(قائمة_أيام_الأسبوع,WEEKDAY($C62,1)),""))</f>
        <v/>
      </c>
      <c r="E62" s="116" t="n"/>
      <c r="F62" s="116" t="n"/>
      <c r="G62" s="117">
        <f>IF($A62="","",بداية_الدوام)</f>
        <v/>
      </c>
      <c r="H62" s="117">
        <f>IF($A62="","",نهاية_الدوام)</f>
        <v/>
      </c>
      <c r="I62" s="58">
        <f>IF($A62="","",مدة_الاستراحة/60)</f>
        <v/>
      </c>
      <c r="J62" s="58">
        <f>IF(OR($A62="",$E62="",$F62=""),"",IF(OR($N62="حاضر",$N62="دوام جزئي"),MAX(0,MOD($F62-$E62,1)*24-$I62),0))</f>
        <v/>
      </c>
      <c r="K62" s="58">
        <f>IF(OR($A62="",$E62=""),"",IF(AND(احتساب_التأخير="نعم",OR($N62="حاضر",$N62="دوام جزئي"),$E62&gt;$G62+دقائق_السماح/1440),($E62-$G62-دقائق_السماح/1440)*24,0))</f>
        <v/>
      </c>
      <c r="L62" s="58">
        <f>IF(OR($A62="",$F62=""),"",IF(AND(OR($N62="حاضر",$N62="دوام جزئي"),$F62&lt;$H62),($H62-$F62)*24,0))</f>
        <v/>
      </c>
      <c r="M62" s="58">
        <f>IF(OR($A62="",$F62=""),"",IF(AND(احتساب_العمل_الإضافي="نعم",OR($N62="حاضر",$N62="دوام جزئي"),$F62&gt;$H62,($F62-$H62)*24*60&gt;=حد_العمل_الإضافي_دقيقة),($F62-$H62)*24,0))</f>
        <v/>
      </c>
      <c r="N62" s="47" t="n"/>
      <c r="O62" s="47" t="n"/>
      <c r="Q62">
        <f>IF(AND(ISNUMBER($K62),$K62&gt;0),SUMPRODUCT(ISNUMBER($K$3:$K$502)*($K$3:$K$502&gt;0)*(ROW($K$3:$K$502)&lt;=ROW())),"")</f>
        <v/>
      </c>
    </row>
    <row r="63">
      <c r="A63" s="40" t="n"/>
      <c r="B63" s="43">
        <f>IFERROR(INDEX(الموظفون_الاسم,MATCH($A63,الموظفون_الرقم,0)),"")</f>
        <v/>
      </c>
      <c r="C63" s="110" t="n"/>
      <c r="D63" s="43">
        <f>IF($C63="","",IFERROR(INDEX(قائمة_أيام_الأسبوع,WEEKDAY($C63,1)),""))</f>
        <v/>
      </c>
      <c r="E63" s="114" t="n"/>
      <c r="F63" s="114" t="n"/>
      <c r="G63" s="115">
        <f>IF($A63="","",بداية_الدوام)</f>
        <v/>
      </c>
      <c r="H63" s="115">
        <f>IF($A63="","",نهاية_الدوام)</f>
        <v/>
      </c>
      <c r="I63" s="55">
        <f>IF($A63="","",مدة_الاستراحة/60)</f>
        <v/>
      </c>
      <c r="J63" s="55">
        <f>IF(OR($A63="",$E63="",$F63=""),"",IF(OR($N63="حاضر",$N63="دوام جزئي"),MAX(0,MOD($F63-$E63,1)*24-$I63),0))</f>
        <v/>
      </c>
      <c r="K63" s="55">
        <f>IF(OR($A63="",$E63=""),"",IF(AND(احتساب_التأخير="نعم",OR($N63="حاضر",$N63="دوام جزئي"),$E63&gt;$G63+دقائق_السماح/1440),($E63-$G63-دقائق_السماح/1440)*24,0))</f>
        <v/>
      </c>
      <c r="L63" s="55">
        <f>IF(OR($A63="",$F63=""),"",IF(AND(OR($N63="حاضر",$N63="دوام جزئي"),$F63&lt;$H63),($H63-$F63)*24,0))</f>
        <v/>
      </c>
      <c r="M63" s="55">
        <f>IF(OR($A63="",$F63=""),"",IF(AND(احتساب_العمل_الإضافي="نعم",OR($N63="حاضر",$N63="دوام جزئي"),$F63&gt;$H63,($F63-$H63)*24*60&gt;=حد_العمل_الإضافي_دقيقة),($F63-$H63)*24,0))</f>
        <v/>
      </c>
      <c r="N63" s="40" t="n"/>
      <c r="O63" s="40" t="n"/>
      <c r="Q63">
        <f>IF(AND(ISNUMBER($K63),$K63&gt;0),SUMPRODUCT(ISNUMBER($K$3:$K$502)*($K$3:$K$502&gt;0)*(ROW($K$3:$K$502)&lt;=ROW())),"")</f>
        <v/>
      </c>
    </row>
    <row r="64">
      <c r="A64" s="47" t="n"/>
      <c r="B64" s="50">
        <f>IFERROR(INDEX(الموظفون_الاسم,MATCH($A64,الموظفون_الرقم,0)),"")</f>
        <v/>
      </c>
      <c r="C64" s="112" t="n"/>
      <c r="D64" s="50">
        <f>IF($C64="","",IFERROR(INDEX(قائمة_أيام_الأسبوع,WEEKDAY($C64,1)),""))</f>
        <v/>
      </c>
      <c r="E64" s="116" t="n"/>
      <c r="F64" s="116" t="n"/>
      <c r="G64" s="117">
        <f>IF($A64="","",بداية_الدوام)</f>
        <v/>
      </c>
      <c r="H64" s="117">
        <f>IF($A64="","",نهاية_الدوام)</f>
        <v/>
      </c>
      <c r="I64" s="58">
        <f>IF($A64="","",مدة_الاستراحة/60)</f>
        <v/>
      </c>
      <c r="J64" s="58">
        <f>IF(OR($A64="",$E64="",$F64=""),"",IF(OR($N64="حاضر",$N64="دوام جزئي"),MAX(0,MOD($F64-$E64,1)*24-$I64),0))</f>
        <v/>
      </c>
      <c r="K64" s="58">
        <f>IF(OR($A64="",$E64=""),"",IF(AND(احتساب_التأخير="نعم",OR($N64="حاضر",$N64="دوام جزئي"),$E64&gt;$G64+دقائق_السماح/1440),($E64-$G64-دقائق_السماح/1440)*24,0))</f>
        <v/>
      </c>
      <c r="L64" s="58">
        <f>IF(OR($A64="",$F64=""),"",IF(AND(OR($N64="حاضر",$N64="دوام جزئي"),$F64&lt;$H64),($H64-$F64)*24,0))</f>
        <v/>
      </c>
      <c r="M64" s="58">
        <f>IF(OR($A64="",$F64=""),"",IF(AND(احتساب_العمل_الإضافي="نعم",OR($N64="حاضر",$N64="دوام جزئي"),$F64&gt;$H64,($F64-$H64)*24*60&gt;=حد_العمل_الإضافي_دقيقة),($F64-$H64)*24,0))</f>
        <v/>
      </c>
      <c r="N64" s="47" t="n"/>
      <c r="O64" s="47" t="n"/>
      <c r="Q64">
        <f>IF(AND(ISNUMBER($K64),$K64&gt;0),SUMPRODUCT(ISNUMBER($K$3:$K$502)*($K$3:$K$502&gt;0)*(ROW($K$3:$K$502)&lt;=ROW())),"")</f>
        <v/>
      </c>
    </row>
    <row r="65">
      <c r="A65" s="40" t="n"/>
      <c r="B65" s="43">
        <f>IFERROR(INDEX(الموظفون_الاسم,MATCH($A65,الموظفون_الرقم,0)),"")</f>
        <v/>
      </c>
      <c r="C65" s="110" t="n"/>
      <c r="D65" s="43">
        <f>IF($C65="","",IFERROR(INDEX(قائمة_أيام_الأسبوع,WEEKDAY($C65,1)),""))</f>
        <v/>
      </c>
      <c r="E65" s="114" t="n"/>
      <c r="F65" s="114" t="n"/>
      <c r="G65" s="115">
        <f>IF($A65="","",بداية_الدوام)</f>
        <v/>
      </c>
      <c r="H65" s="115">
        <f>IF($A65="","",نهاية_الدوام)</f>
        <v/>
      </c>
      <c r="I65" s="55">
        <f>IF($A65="","",مدة_الاستراحة/60)</f>
        <v/>
      </c>
      <c r="J65" s="55">
        <f>IF(OR($A65="",$E65="",$F65=""),"",IF(OR($N65="حاضر",$N65="دوام جزئي"),MAX(0,MOD($F65-$E65,1)*24-$I65),0))</f>
        <v/>
      </c>
      <c r="K65" s="55">
        <f>IF(OR($A65="",$E65=""),"",IF(AND(احتساب_التأخير="نعم",OR($N65="حاضر",$N65="دوام جزئي"),$E65&gt;$G65+دقائق_السماح/1440),($E65-$G65-دقائق_السماح/1440)*24,0))</f>
        <v/>
      </c>
      <c r="L65" s="55">
        <f>IF(OR($A65="",$F65=""),"",IF(AND(OR($N65="حاضر",$N65="دوام جزئي"),$F65&lt;$H65),($H65-$F65)*24,0))</f>
        <v/>
      </c>
      <c r="M65" s="55">
        <f>IF(OR($A65="",$F65=""),"",IF(AND(احتساب_العمل_الإضافي="نعم",OR($N65="حاضر",$N65="دوام جزئي"),$F65&gt;$H65,($F65-$H65)*24*60&gt;=حد_العمل_الإضافي_دقيقة),($F65-$H65)*24,0))</f>
        <v/>
      </c>
      <c r="N65" s="40" t="n"/>
      <c r="O65" s="40" t="n"/>
      <c r="Q65">
        <f>IF(AND(ISNUMBER($K65),$K65&gt;0),SUMPRODUCT(ISNUMBER($K$3:$K$502)*($K$3:$K$502&gt;0)*(ROW($K$3:$K$502)&lt;=ROW())),"")</f>
        <v/>
      </c>
    </row>
    <row r="66">
      <c r="A66" s="47" t="n"/>
      <c r="B66" s="50">
        <f>IFERROR(INDEX(الموظفون_الاسم,MATCH($A66,الموظفون_الرقم,0)),"")</f>
        <v/>
      </c>
      <c r="C66" s="112" t="n"/>
      <c r="D66" s="50">
        <f>IF($C66="","",IFERROR(INDEX(قائمة_أيام_الأسبوع,WEEKDAY($C66,1)),""))</f>
        <v/>
      </c>
      <c r="E66" s="116" t="n"/>
      <c r="F66" s="116" t="n"/>
      <c r="G66" s="117">
        <f>IF($A66="","",بداية_الدوام)</f>
        <v/>
      </c>
      <c r="H66" s="117">
        <f>IF($A66="","",نهاية_الدوام)</f>
        <v/>
      </c>
      <c r="I66" s="58">
        <f>IF($A66="","",مدة_الاستراحة/60)</f>
        <v/>
      </c>
      <c r="J66" s="58">
        <f>IF(OR($A66="",$E66="",$F66=""),"",IF(OR($N66="حاضر",$N66="دوام جزئي"),MAX(0,MOD($F66-$E66,1)*24-$I66),0))</f>
        <v/>
      </c>
      <c r="K66" s="58">
        <f>IF(OR($A66="",$E66=""),"",IF(AND(احتساب_التأخير="نعم",OR($N66="حاضر",$N66="دوام جزئي"),$E66&gt;$G66+دقائق_السماح/1440),($E66-$G66-دقائق_السماح/1440)*24,0))</f>
        <v/>
      </c>
      <c r="L66" s="58">
        <f>IF(OR($A66="",$F66=""),"",IF(AND(OR($N66="حاضر",$N66="دوام جزئي"),$F66&lt;$H66),($H66-$F66)*24,0))</f>
        <v/>
      </c>
      <c r="M66" s="58">
        <f>IF(OR($A66="",$F66=""),"",IF(AND(احتساب_العمل_الإضافي="نعم",OR($N66="حاضر",$N66="دوام جزئي"),$F66&gt;$H66,($F66-$H66)*24*60&gt;=حد_العمل_الإضافي_دقيقة),($F66-$H66)*24,0))</f>
        <v/>
      </c>
      <c r="N66" s="47" t="n"/>
      <c r="O66" s="47" t="n"/>
      <c r="Q66">
        <f>IF(AND(ISNUMBER($K66),$K66&gt;0),SUMPRODUCT(ISNUMBER($K$3:$K$502)*($K$3:$K$502&gt;0)*(ROW($K$3:$K$502)&lt;=ROW())),"")</f>
        <v/>
      </c>
    </row>
    <row r="67">
      <c r="A67" s="40" t="n"/>
      <c r="B67" s="43">
        <f>IFERROR(INDEX(الموظفون_الاسم,MATCH($A67,الموظفون_الرقم,0)),"")</f>
        <v/>
      </c>
      <c r="C67" s="110" t="n"/>
      <c r="D67" s="43">
        <f>IF($C67="","",IFERROR(INDEX(قائمة_أيام_الأسبوع,WEEKDAY($C67,1)),""))</f>
        <v/>
      </c>
      <c r="E67" s="114" t="n"/>
      <c r="F67" s="114" t="n"/>
      <c r="G67" s="115">
        <f>IF($A67="","",بداية_الدوام)</f>
        <v/>
      </c>
      <c r="H67" s="115">
        <f>IF($A67="","",نهاية_الدوام)</f>
        <v/>
      </c>
      <c r="I67" s="55">
        <f>IF($A67="","",مدة_الاستراحة/60)</f>
        <v/>
      </c>
      <c r="J67" s="55">
        <f>IF(OR($A67="",$E67="",$F67=""),"",IF(OR($N67="حاضر",$N67="دوام جزئي"),MAX(0,MOD($F67-$E67,1)*24-$I67),0))</f>
        <v/>
      </c>
      <c r="K67" s="55">
        <f>IF(OR($A67="",$E67=""),"",IF(AND(احتساب_التأخير="نعم",OR($N67="حاضر",$N67="دوام جزئي"),$E67&gt;$G67+دقائق_السماح/1440),($E67-$G67-دقائق_السماح/1440)*24,0))</f>
        <v/>
      </c>
      <c r="L67" s="55">
        <f>IF(OR($A67="",$F67=""),"",IF(AND(OR($N67="حاضر",$N67="دوام جزئي"),$F67&lt;$H67),($H67-$F67)*24,0))</f>
        <v/>
      </c>
      <c r="M67" s="55">
        <f>IF(OR($A67="",$F67=""),"",IF(AND(احتساب_العمل_الإضافي="نعم",OR($N67="حاضر",$N67="دوام جزئي"),$F67&gt;$H67,($F67-$H67)*24*60&gt;=حد_العمل_الإضافي_دقيقة),($F67-$H67)*24,0))</f>
        <v/>
      </c>
      <c r="N67" s="40" t="n"/>
      <c r="O67" s="40" t="n"/>
      <c r="Q67">
        <f>IF(AND(ISNUMBER($K67),$K67&gt;0),SUMPRODUCT(ISNUMBER($K$3:$K$502)*($K$3:$K$502&gt;0)*(ROW($K$3:$K$502)&lt;=ROW())),"")</f>
        <v/>
      </c>
    </row>
    <row r="68">
      <c r="A68" s="47" t="n"/>
      <c r="B68" s="50">
        <f>IFERROR(INDEX(الموظفون_الاسم,MATCH($A68,الموظفون_الرقم,0)),"")</f>
        <v/>
      </c>
      <c r="C68" s="112" t="n"/>
      <c r="D68" s="50">
        <f>IF($C68="","",IFERROR(INDEX(قائمة_أيام_الأسبوع,WEEKDAY($C68,1)),""))</f>
        <v/>
      </c>
      <c r="E68" s="116" t="n"/>
      <c r="F68" s="116" t="n"/>
      <c r="G68" s="117">
        <f>IF($A68="","",بداية_الدوام)</f>
        <v/>
      </c>
      <c r="H68" s="117">
        <f>IF($A68="","",نهاية_الدوام)</f>
        <v/>
      </c>
      <c r="I68" s="58">
        <f>IF($A68="","",مدة_الاستراحة/60)</f>
        <v/>
      </c>
      <c r="J68" s="58">
        <f>IF(OR($A68="",$E68="",$F68=""),"",IF(OR($N68="حاضر",$N68="دوام جزئي"),MAX(0,MOD($F68-$E68,1)*24-$I68),0))</f>
        <v/>
      </c>
      <c r="K68" s="58">
        <f>IF(OR($A68="",$E68=""),"",IF(AND(احتساب_التأخير="نعم",OR($N68="حاضر",$N68="دوام جزئي"),$E68&gt;$G68+دقائق_السماح/1440),($E68-$G68-دقائق_السماح/1440)*24,0))</f>
        <v/>
      </c>
      <c r="L68" s="58">
        <f>IF(OR($A68="",$F68=""),"",IF(AND(OR($N68="حاضر",$N68="دوام جزئي"),$F68&lt;$H68),($H68-$F68)*24,0))</f>
        <v/>
      </c>
      <c r="M68" s="58">
        <f>IF(OR($A68="",$F68=""),"",IF(AND(احتساب_العمل_الإضافي="نعم",OR($N68="حاضر",$N68="دوام جزئي"),$F68&gt;$H68,($F68-$H68)*24*60&gt;=حد_العمل_الإضافي_دقيقة),($F68-$H68)*24,0))</f>
        <v/>
      </c>
      <c r="N68" s="47" t="n"/>
      <c r="O68" s="47" t="n"/>
      <c r="Q68">
        <f>IF(AND(ISNUMBER($K68),$K68&gt;0),SUMPRODUCT(ISNUMBER($K$3:$K$502)*($K$3:$K$502&gt;0)*(ROW($K$3:$K$502)&lt;=ROW())),"")</f>
        <v/>
      </c>
    </row>
    <row r="69">
      <c r="A69" s="40" t="n"/>
      <c r="B69" s="43">
        <f>IFERROR(INDEX(الموظفون_الاسم,MATCH($A69,الموظفون_الرقم,0)),"")</f>
        <v/>
      </c>
      <c r="C69" s="110" t="n"/>
      <c r="D69" s="43">
        <f>IF($C69="","",IFERROR(INDEX(قائمة_أيام_الأسبوع,WEEKDAY($C69,1)),""))</f>
        <v/>
      </c>
      <c r="E69" s="114" t="n"/>
      <c r="F69" s="114" t="n"/>
      <c r="G69" s="115">
        <f>IF($A69="","",بداية_الدوام)</f>
        <v/>
      </c>
      <c r="H69" s="115">
        <f>IF($A69="","",نهاية_الدوام)</f>
        <v/>
      </c>
      <c r="I69" s="55">
        <f>IF($A69="","",مدة_الاستراحة/60)</f>
        <v/>
      </c>
      <c r="J69" s="55">
        <f>IF(OR($A69="",$E69="",$F69=""),"",IF(OR($N69="حاضر",$N69="دوام جزئي"),MAX(0,MOD($F69-$E69,1)*24-$I69),0))</f>
        <v/>
      </c>
      <c r="K69" s="55">
        <f>IF(OR($A69="",$E69=""),"",IF(AND(احتساب_التأخير="نعم",OR($N69="حاضر",$N69="دوام جزئي"),$E69&gt;$G69+دقائق_السماح/1440),($E69-$G69-دقائق_السماح/1440)*24,0))</f>
        <v/>
      </c>
      <c r="L69" s="55">
        <f>IF(OR($A69="",$F69=""),"",IF(AND(OR($N69="حاضر",$N69="دوام جزئي"),$F69&lt;$H69),($H69-$F69)*24,0))</f>
        <v/>
      </c>
      <c r="M69" s="55">
        <f>IF(OR($A69="",$F69=""),"",IF(AND(احتساب_العمل_الإضافي="نعم",OR($N69="حاضر",$N69="دوام جزئي"),$F69&gt;$H69,($F69-$H69)*24*60&gt;=حد_العمل_الإضافي_دقيقة),($F69-$H69)*24,0))</f>
        <v/>
      </c>
      <c r="N69" s="40" t="n"/>
      <c r="O69" s="40" t="n"/>
      <c r="Q69">
        <f>IF(AND(ISNUMBER($K69),$K69&gt;0),SUMPRODUCT(ISNUMBER($K$3:$K$502)*($K$3:$K$502&gt;0)*(ROW($K$3:$K$502)&lt;=ROW())),"")</f>
        <v/>
      </c>
    </row>
    <row r="70">
      <c r="A70" s="47" t="n"/>
      <c r="B70" s="50">
        <f>IFERROR(INDEX(الموظفون_الاسم,MATCH($A70,الموظفون_الرقم,0)),"")</f>
        <v/>
      </c>
      <c r="C70" s="112" t="n"/>
      <c r="D70" s="50">
        <f>IF($C70="","",IFERROR(INDEX(قائمة_أيام_الأسبوع,WEEKDAY($C70,1)),""))</f>
        <v/>
      </c>
      <c r="E70" s="116" t="n"/>
      <c r="F70" s="116" t="n"/>
      <c r="G70" s="117">
        <f>IF($A70="","",بداية_الدوام)</f>
        <v/>
      </c>
      <c r="H70" s="117">
        <f>IF($A70="","",نهاية_الدوام)</f>
        <v/>
      </c>
      <c r="I70" s="58">
        <f>IF($A70="","",مدة_الاستراحة/60)</f>
        <v/>
      </c>
      <c r="J70" s="58">
        <f>IF(OR($A70="",$E70="",$F70=""),"",IF(OR($N70="حاضر",$N70="دوام جزئي"),MAX(0,MOD($F70-$E70,1)*24-$I70),0))</f>
        <v/>
      </c>
      <c r="K70" s="58">
        <f>IF(OR($A70="",$E70=""),"",IF(AND(احتساب_التأخير="نعم",OR($N70="حاضر",$N70="دوام جزئي"),$E70&gt;$G70+دقائق_السماح/1440),($E70-$G70-دقائق_السماح/1440)*24,0))</f>
        <v/>
      </c>
      <c r="L70" s="58">
        <f>IF(OR($A70="",$F70=""),"",IF(AND(OR($N70="حاضر",$N70="دوام جزئي"),$F70&lt;$H70),($H70-$F70)*24,0))</f>
        <v/>
      </c>
      <c r="M70" s="58">
        <f>IF(OR($A70="",$F70=""),"",IF(AND(احتساب_العمل_الإضافي="نعم",OR($N70="حاضر",$N70="دوام جزئي"),$F70&gt;$H70,($F70-$H70)*24*60&gt;=حد_العمل_الإضافي_دقيقة),($F70-$H70)*24,0))</f>
        <v/>
      </c>
      <c r="N70" s="47" t="n"/>
      <c r="O70" s="47" t="n"/>
      <c r="Q70">
        <f>IF(AND(ISNUMBER($K70),$K70&gt;0),SUMPRODUCT(ISNUMBER($K$3:$K$502)*($K$3:$K$502&gt;0)*(ROW($K$3:$K$502)&lt;=ROW())),"")</f>
        <v/>
      </c>
    </row>
    <row r="71">
      <c r="A71" s="40" t="n"/>
      <c r="B71" s="43">
        <f>IFERROR(INDEX(الموظفون_الاسم,MATCH($A71,الموظفون_الرقم,0)),"")</f>
        <v/>
      </c>
      <c r="C71" s="110" t="n"/>
      <c r="D71" s="43">
        <f>IF($C71="","",IFERROR(INDEX(قائمة_أيام_الأسبوع,WEEKDAY($C71,1)),""))</f>
        <v/>
      </c>
      <c r="E71" s="114" t="n"/>
      <c r="F71" s="114" t="n"/>
      <c r="G71" s="115">
        <f>IF($A71="","",بداية_الدوام)</f>
        <v/>
      </c>
      <c r="H71" s="115">
        <f>IF($A71="","",نهاية_الدوام)</f>
        <v/>
      </c>
      <c r="I71" s="55">
        <f>IF($A71="","",مدة_الاستراحة/60)</f>
        <v/>
      </c>
      <c r="J71" s="55">
        <f>IF(OR($A71="",$E71="",$F71=""),"",IF(OR($N71="حاضر",$N71="دوام جزئي"),MAX(0,MOD($F71-$E71,1)*24-$I71),0))</f>
        <v/>
      </c>
      <c r="K71" s="55">
        <f>IF(OR($A71="",$E71=""),"",IF(AND(احتساب_التأخير="نعم",OR($N71="حاضر",$N71="دوام جزئي"),$E71&gt;$G71+دقائق_السماح/1440),($E71-$G71-دقائق_السماح/1440)*24,0))</f>
        <v/>
      </c>
      <c r="L71" s="55">
        <f>IF(OR($A71="",$F71=""),"",IF(AND(OR($N71="حاضر",$N71="دوام جزئي"),$F71&lt;$H71),($H71-$F71)*24,0))</f>
        <v/>
      </c>
      <c r="M71" s="55">
        <f>IF(OR($A71="",$F71=""),"",IF(AND(احتساب_العمل_الإضافي="نعم",OR($N71="حاضر",$N71="دوام جزئي"),$F71&gt;$H71,($F71-$H71)*24*60&gt;=حد_العمل_الإضافي_دقيقة),($F71-$H71)*24,0))</f>
        <v/>
      </c>
      <c r="N71" s="40" t="n"/>
      <c r="O71" s="40" t="n"/>
      <c r="Q71">
        <f>IF(AND(ISNUMBER($K71),$K71&gt;0),SUMPRODUCT(ISNUMBER($K$3:$K$502)*($K$3:$K$502&gt;0)*(ROW($K$3:$K$502)&lt;=ROW())),"")</f>
        <v/>
      </c>
    </row>
    <row r="72">
      <c r="A72" s="47" t="n"/>
      <c r="B72" s="50">
        <f>IFERROR(INDEX(الموظفون_الاسم,MATCH($A72,الموظفون_الرقم,0)),"")</f>
        <v/>
      </c>
      <c r="C72" s="112" t="n"/>
      <c r="D72" s="50">
        <f>IF($C72="","",IFERROR(INDEX(قائمة_أيام_الأسبوع,WEEKDAY($C72,1)),""))</f>
        <v/>
      </c>
      <c r="E72" s="116" t="n"/>
      <c r="F72" s="116" t="n"/>
      <c r="G72" s="117">
        <f>IF($A72="","",بداية_الدوام)</f>
        <v/>
      </c>
      <c r="H72" s="117">
        <f>IF($A72="","",نهاية_الدوام)</f>
        <v/>
      </c>
      <c r="I72" s="58">
        <f>IF($A72="","",مدة_الاستراحة/60)</f>
        <v/>
      </c>
      <c r="J72" s="58">
        <f>IF(OR($A72="",$E72="",$F72=""),"",IF(OR($N72="حاضر",$N72="دوام جزئي"),MAX(0,MOD($F72-$E72,1)*24-$I72),0))</f>
        <v/>
      </c>
      <c r="K72" s="58">
        <f>IF(OR($A72="",$E72=""),"",IF(AND(احتساب_التأخير="نعم",OR($N72="حاضر",$N72="دوام جزئي"),$E72&gt;$G72+دقائق_السماح/1440),($E72-$G72-دقائق_السماح/1440)*24,0))</f>
        <v/>
      </c>
      <c r="L72" s="58">
        <f>IF(OR($A72="",$F72=""),"",IF(AND(OR($N72="حاضر",$N72="دوام جزئي"),$F72&lt;$H72),($H72-$F72)*24,0))</f>
        <v/>
      </c>
      <c r="M72" s="58">
        <f>IF(OR($A72="",$F72=""),"",IF(AND(احتساب_العمل_الإضافي="نعم",OR($N72="حاضر",$N72="دوام جزئي"),$F72&gt;$H72,($F72-$H72)*24*60&gt;=حد_العمل_الإضافي_دقيقة),($F72-$H72)*24,0))</f>
        <v/>
      </c>
      <c r="N72" s="47" t="n"/>
      <c r="O72" s="47" t="n"/>
      <c r="Q72">
        <f>IF(AND(ISNUMBER($K72),$K72&gt;0),SUMPRODUCT(ISNUMBER($K$3:$K$502)*($K$3:$K$502&gt;0)*(ROW($K$3:$K$502)&lt;=ROW())),"")</f>
        <v/>
      </c>
    </row>
    <row r="73">
      <c r="A73" s="40" t="n"/>
      <c r="B73" s="43">
        <f>IFERROR(INDEX(الموظفون_الاسم,MATCH($A73,الموظفون_الرقم,0)),"")</f>
        <v/>
      </c>
      <c r="C73" s="110" t="n"/>
      <c r="D73" s="43">
        <f>IF($C73="","",IFERROR(INDEX(قائمة_أيام_الأسبوع,WEEKDAY($C73,1)),""))</f>
        <v/>
      </c>
      <c r="E73" s="114" t="n"/>
      <c r="F73" s="114" t="n"/>
      <c r="G73" s="115">
        <f>IF($A73="","",بداية_الدوام)</f>
        <v/>
      </c>
      <c r="H73" s="115">
        <f>IF($A73="","",نهاية_الدوام)</f>
        <v/>
      </c>
      <c r="I73" s="55">
        <f>IF($A73="","",مدة_الاستراحة/60)</f>
        <v/>
      </c>
      <c r="J73" s="55">
        <f>IF(OR($A73="",$E73="",$F73=""),"",IF(OR($N73="حاضر",$N73="دوام جزئي"),MAX(0,MOD($F73-$E73,1)*24-$I73),0))</f>
        <v/>
      </c>
      <c r="K73" s="55">
        <f>IF(OR($A73="",$E73=""),"",IF(AND(احتساب_التأخير="نعم",OR($N73="حاضر",$N73="دوام جزئي"),$E73&gt;$G73+دقائق_السماح/1440),($E73-$G73-دقائق_السماح/1440)*24,0))</f>
        <v/>
      </c>
      <c r="L73" s="55">
        <f>IF(OR($A73="",$F73=""),"",IF(AND(OR($N73="حاضر",$N73="دوام جزئي"),$F73&lt;$H73),($H73-$F73)*24,0))</f>
        <v/>
      </c>
      <c r="M73" s="55">
        <f>IF(OR($A73="",$F73=""),"",IF(AND(احتساب_العمل_الإضافي="نعم",OR($N73="حاضر",$N73="دوام جزئي"),$F73&gt;$H73,($F73-$H73)*24*60&gt;=حد_العمل_الإضافي_دقيقة),($F73-$H73)*24,0))</f>
        <v/>
      </c>
      <c r="N73" s="40" t="n"/>
      <c r="O73" s="40" t="n"/>
      <c r="Q73">
        <f>IF(AND(ISNUMBER($K73),$K73&gt;0),SUMPRODUCT(ISNUMBER($K$3:$K$502)*($K$3:$K$502&gt;0)*(ROW($K$3:$K$502)&lt;=ROW())),"")</f>
        <v/>
      </c>
    </row>
    <row r="74">
      <c r="A74" s="47" t="n"/>
      <c r="B74" s="50">
        <f>IFERROR(INDEX(الموظفون_الاسم,MATCH($A74,الموظفون_الرقم,0)),"")</f>
        <v/>
      </c>
      <c r="C74" s="112" t="n"/>
      <c r="D74" s="50">
        <f>IF($C74="","",IFERROR(INDEX(قائمة_أيام_الأسبوع,WEEKDAY($C74,1)),""))</f>
        <v/>
      </c>
      <c r="E74" s="116" t="n"/>
      <c r="F74" s="116" t="n"/>
      <c r="G74" s="117">
        <f>IF($A74="","",بداية_الدوام)</f>
        <v/>
      </c>
      <c r="H74" s="117">
        <f>IF($A74="","",نهاية_الدوام)</f>
        <v/>
      </c>
      <c r="I74" s="58">
        <f>IF($A74="","",مدة_الاستراحة/60)</f>
        <v/>
      </c>
      <c r="J74" s="58">
        <f>IF(OR($A74="",$E74="",$F74=""),"",IF(OR($N74="حاضر",$N74="دوام جزئي"),MAX(0,MOD($F74-$E74,1)*24-$I74),0))</f>
        <v/>
      </c>
      <c r="K74" s="58">
        <f>IF(OR($A74="",$E74=""),"",IF(AND(احتساب_التأخير="نعم",OR($N74="حاضر",$N74="دوام جزئي"),$E74&gt;$G74+دقائق_السماح/1440),($E74-$G74-دقائق_السماح/1440)*24,0))</f>
        <v/>
      </c>
      <c r="L74" s="58">
        <f>IF(OR($A74="",$F74=""),"",IF(AND(OR($N74="حاضر",$N74="دوام جزئي"),$F74&lt;$H74),($H74-$F74)*24,0))</f>
        <v/>
      </c>
      <c r="M74" s="58">
        <f>IF(OR($A74="",$F74=""),"",IF(AND(احتساب_العمل_الإضافي="نعم",OR($N74="حاضر",$N74="دوام جزئي"),$F74&gt;$H74,($F74-$H74)*24*60&gt;=حد_العمل_الإضافي_دقيقة),($F74-$H74)*24,0))</f>
        <v/>
      </c>
      <c r="N74" s="47" t="n"/>
      <c r="O74" s="47" t="n"/>
      <c r="Q74">
        <f>IF(AND(ISNUMBER($K74),$K74&gt;0),SUMPRODUCT(ISNUMBER($K$3:$K$502)*($K$3:$K$502&gt;0)*(ROW($K$3:$K$502)&lt;=ROW())),"")</f>
        <v/>
      </c>
    </row>
    <row r="75">
      <c r="A75" s="40" t="n"/>
      <c r="B75" s="43">
        <f>IFERROR(INDEX(الموظفون_الاسم,MATCH($A75,الموظفون_الرقم,0)),"")</f>
        <v/>
      </c>
      <c r="C75" s="110" t="n"/>
      <c r="D75" s="43">
        <f>IF($C75="","",IFERROR(INDEX(قائمة_أيام_الأسبوع,WEEKDAY($C75,1)),""))</f>
        <v/>
      </c>
      <c r="E75" s="114" t="n"/>
      <c r="F75" s="114" t="n"/>
      <c r="G75" s="115">
        <f>IF($A75="","",بداية_الدوام)</f>
        <v/>
      </c>
      <c r="H75" s="115">
        <f>IF($A75="","",نهاية_الدوام)</f>
        <v/>
      </c>
      <c r="I75" s="55">
        <f>IF($A75="","",مدة_الاستراحة/60)</f>
        <v/>
      </c>
      <c r="J75" s="55">
        <f>IF(OR($A75="",$E75="",$F75=""),"",IF(OR($N75="حاضر",$N75="دوام جزئي"),MAX(0,MOD($F75-$E75,1)*24-$I75),0))</f>
        <v/>
      </c>
      <c r="K75" s="55">
        <f>IF(OR($A75="",$E75=""),"",IF(AND(احتساب_التأخير="نعم",OR($N75="حاضر",$N75="دوام جزئي"),$E75&gt;$G75+دقائق_السماح/1440),($E75-$G75-دقائق_السماح/1440)*24,0))</f>
        <v/>
      </c>
      <c r="L75" s="55">
        <f>IF(OR($A75="",$F75=""),"",IF(AND(OR($N75="حاضر",$N75="دوام جزئي"),$F75&lt;$H75),($H75-$F75)*24,0))</f>
        <v/>
      </c>
      <c r="M75" s="55">
        <f>IF(OR($A75="",$F75=""),"",IF(AND(احتساب_العمل_الإضافي="نعم",OR($N75="حاضر",$N75="دوام جزئي"),$F75&gt;$H75,($F75-$H75)*24*60&gt;=حد_العمل_الإضافي_دقيقة),($F75-$H75)*24,0))</f>
        <v/>
      </c>
      <c r="N75" s="40" t="n"/>
      <c r="O75" s="40" t="n"/>
      <c r="Q75">
        <f>IF(AND(ISNUMBER($K75),$K75&gt;0),SUMPRODUCT(ISNUMBER($K$3:$K$502)*($K$3:$K$502&gt;0)*(ROW($K$3:$K$502)&lt;=ROW())),"")</f>
        <v/>
      </c>
    </row>
    <row r="76">
      <c r="A76" s="47" t="n"/>
      <c r="B76" s="50">
        <f>IFERROR(INDEX(الموظفون_الاسم,MATCH($A76,الموظفون_الرقم,0)),"")</f>
        <v/>
      </c>
      <c r="C76" s="112" t="n"/>
      <c r="D76" s="50">
        <f>IF($C76="","",IFERROR(INDEX(قائمة_أيام_الأسبوع,WEEKDAY($C76,1)),""))</f>
        <v/>
      </c>
      <c r="E76" s="116" t="n"/>
      <c r="F76" s="116" t="n"/>
      <c r="G76" s="117">
        <f>IF($A76="","",بداية_الدوام)</f>
        <v/>
      </c>
      <c r="H76" s="117">
        <f>IF($A76="","",نهاية_الدوام)</f>
        <v/>
      </c>
      <c r="I76" s="58">
        <f>IF($A76="","",مدة_الاستراحة/60)</f>
        <v/>
      </c>
      <c r="J76" s="58">
        <f>IF(OR($A76="",$E76="",$F76=""),"",IF(OR($N76="حاضر",$N76="دوام جزئي"),MAX(0,MOD($F76-$E76,1)*24-$I76),0))</f>
        <v/>
      </c>
      <c r="K76" s="58">
        <f>IF(OR($A76="",$E76=""),"",IF(AND(احتساب_التأخير="نعم",OR($N76="حاضر",$N76="دوام جزئي"),$E76&gt;$G76+دقائق_السماح/1440),($E76-$G76-دقائق_السماح/1440)*24,0))</f>
        <v/>
      </c>
      <c r="L76" s="58">
        <f>IF(OR($A76="",$F76=""),"",IF(AND(OR($N76="حاضر",$N76="دوام جزئي"),$F76&lt;$H76),($H76-$F76)*24,0))</f>
        <v/>
      </c>
      <c r="M76" s="58">
        <f>IF(OR($A76="",$F76=""),"",IF(AND(احتساب_العمل_الإضافي="نعم",OR($N76="حاضر",$N76="دوام جزئي"),$F76&gt;$H76,($F76-$H76)*24*60&gt;=حد_العمل_الإضافي_دقيقة),($F76-$H76)*24,0))</f>
        <v/>
      </c>
      <c r="N76" s="47" t="n"/>
      <c r="O76" s="47" t="n"/>
      <c r="Q76">
        <f>IF(AND(ISNUMBER($K76),$K76&gt;0),SUMPRODUCT(ISNUMBER($K$3:$K$502)*($K$3:$K$502&gt;0)*(ROW($K$3:$K$502)&lt;=ROW())),"")</f>
        <v/>
      </c>
    </row>
    <row r="77">
      <c r="A77" s="40" t="n"/>
      <c r="B77" s="43">
        <f>IFERROR(INDEX(الموظفون_الاسم,MATCH($A77,الموظفون_الرقم,0)),"")</f>
        <v/>
      </c>
      <c r="C77" s="110" t="n"/>
      <c r="D77" s="43">
        <f>IF($C77="","",IFERROR(INDEX(قائمة_أيام_الأسبوع,WEEKDAY($C77,1)),""))</f>
        <v/>
      </c>
      <c r="E77" s="114" t="n"/>
      <c r="F77" s="114" t="n"/>
      <c r="G77" s="115">
        <f>IF($A77="","",بداية_الدوام)</f>
        <v/>
      </c>
      <c r="H77" s="115">
        <f>IF($A77="","",نهاية_الدوام)</f>
        <v/>
      </c>
      <c r="I77" s="55">
        <f>IF($A77="","",مدة_الاستراحة/60)</f>
        <v/>
      </c>
      <c r="J77" s="55">
        <f>IF(OR($A77="",$E77="",$F77=""),"",IF(OR($N77="حاضر",$N77="دوام جزئي"),MAX(0,MOD($F77-$E77,1)*24-$I77),0))</f>
        <v/>
      </c>
      <c r="K77" s="55">
        <f>IF(OR($A77="",$E77=""),"",IF(AND(احتساب_التأخير="نعم",OR($N77="حاضر",$N77="دوام جزئي"),$E77&gt;$G77+دقائق_السماح/1440),($E77-$G77-دقائق_السماح/1440)*24,0))</f>
        <v/>
      </c>
      <c r="L77" s="55">
        <f>IF(OR($A77="",$F77=""),"",IF(AND(OR($N77="حاضر",$N77="دوام جزئي"),$F77&lt;$H77),($H77-$F77)*24,0))</f>
        <v/>
      </c>
      <c r="M77" s="55">
        <f>IF(OR($A77="",$F77=""),"",IF(AND(احتساب_العمل_الإضافي="نعم",OR($N77="حاضر",$N77="دوام جزئي"),$F77&gt;$H77,($F77-$H77)*24*60&gt;=حد_العمل_الإضافي_دقيقة),($F77-$H77)*24,0))</f>
        <v/>
      </c>
      <c r="N77" s="40" t="n"/>
      <c r="O77" s="40" t="n"/>
      <c r="Q77">
        <f>IF(AND(ISNUMBER($K77),$K77&gt;0),SUMPRODUCT(ISNUMBER($K$3:$K$502)*($K$3:$K$502&gt;0)*(ROW($K$3:$K$502)&lt;=ROW())),"")</f>
        <v/>
      </c>
    </row>
    <row r="78">
      <c r="A78" s="47" t="n"/>
      <c r="B78" s="50">
        <f>IFERROR(INDEX(الموظفون_الاسم,MATCH($A78,الموظفون_الرقم,0)),"")</f>
        <v/>
      </c>
      <c r="C78" s="112" t="n"/>
      <c r="D78" s="50">
        <f>IF($C78="","",IFERROR(INDEX(قائمة_أيام_الأسبوع,WEEKDAY($C78,1)),""))</f>
        <v/>
      </c>
      <c r="E78" s="116" t="n"/>
      <c r="F78" s="116" t="n"/>
      <c r="G78" s="117">
        <f>IF($A78="","",بداية_الدوام)</f>
        <v/>
      </c>
      <c r="H78" s="117">
        <f>IF($A78="","",نهاية_الدوام)</f>
        <v/>
      </c>
      <c r="I78" s="58">
        <f>IF($A78="","",مدة_الاستراحة/60)</f>
        <v/>
      </c>
      <c r="J78" s="58">
        <f>IF(OR($A78="",$E78="",$F78=""),"",IF(OR($N78="حاضر",$N78="دوام جزئي"),MAX(0,MOD($F78-$E78,1)*24-$I78),0))</f>
        <v/>
      </c>
      <c r="K78" s="58">
        <f>IF(OR($A78="",$E78=""),"",IF(AND(احتساب_التأخير="نعم",OR($N78="حاضر",$N78="دوام جزئي"),$E78&gt;$G78+دقائق_السماح/1440),($E78-$G78-دقائق_السماح/1440)*24,0))</f>
        <v/>
      </c>
      <c r="L78" s="58">
        <f>IF(OR($A78="",$F78=""),"",IF(AND(OR($N78="حاضر",$N78="دوام جزئي"),$F78&lt;$H78),($H78-$F78)*24,0))</f>
        <v/>
      </c>
      <c r="M78" s="58">
        <f>IF(OR($A78="",$F78=""),"",IF(AND(احتساب_العمل_الإضافي="نعم",OR($N78="حاضر",$N78="دوام جزئي"),$F78&gt;$H78,($F78-$H78)*24*60&gt;=حد_العمل_الإضافي_دقيقة),($F78-$H78)*24,0))</f>
        <v/>
      </c>
      <c r="N78" s="47" t="n"/>
      <c r="O78" s="47" t="n"/>
      <c r="Q78">
        <f>IF(AND(ISNUMBER($K78),$K78&gt;0),SUMPRODUCT(ISNUMBER($K$3:$K$502)*($K$3:$K$502&gt;0)*(ROW($K$3:$K$502)&lt;=ROW())),"")</f>
        <v/>
      </c>
    </row>
    <row r="79">
      <c r="A79" s="40" t="n"/>
      <c r="B79" s="43">
        <f>IFERROR(INDEX(الموظفون_الاسم,MATCH($A79,الموظفون_الرقم,0)),"")</f>
        <v/>
      </c>
      <c r="C79" s="110" t="n"/>
      <c r="D79" s="43">
        <f>IF($C79="","",IFERROR(INDEX(قائمة_أيام_الأسبوع,WEEKDAY($C79,1)),""))</f>
        <v/>
      </c>
      <c r="E79" s="114" t="n"/>
      <c r="F79" s="114" t="n"/>
      <c r="G79" s="115">
        <f>IF($A79="","",بداية_الدوام)</f>
        <v/>
      </c>
      <c r="H79" s="115">
        <f>IF($A79="","",نهاية_الدوام)</f>
        <v/>
      </c>
      <c r="I79" s="55">
        <f>IF($A79="","",مدة_الاستراحة/60)</f>
        <v/>
      </c>
      <c r="J79" s="55">
        <f>IF(OR($A79="",$E79="",$F79=""),"",IF(OR($N79="حاضر",$N79="دوام جزئي"),MAX(0,MOD($F79-$E79,1)*24-$I79),0))</f>
        <v/>
      </c>
      <c r="K79" s="55">
        <f>IF(OR($A79="",$E79=""),"",IF(AND(احتساب_التأخير="نعم",OR($N79="حاضر",$N79="دوام جزئي"),$E79&gt;$G79+دقائق_السماح/1440),($E79-$G79-دقائق_السماح/1440)*24,0))</f>
        <v/>
      </c>
      <c r="L79" s="55">
        <f>IF(OR($A79="",$F79=""),"",IF(AND(OR($N79="حاضر",$N79="دوام جزئي"),$F79&lt;$H79),($H79-$F79)*24,0))</f>
        <v/>
      </c>
      <c r="M79" s="55">
        <f>IF(OR($A79="",$F79=""),"",IF(AND(احتساب_العمل_الإضافي="نعم",OR($N79="حاضر",$N79="دوام جزئي"),$F79&gt;$H79,($F79-$H79)*24*60&gt;=حد_العمل_الإضافي_دقيقة),($F79-$H79)*24,0))</f>
        <v/>
      </c>
      <c r="N79" s="40" t="n"/>
      <c r="O79" s="40" t="n"/>
      <c r="Q79">
        <f>IF(AND(ISNUMBER($K79),$K79&gt;0),SUMPRODUCT(ISNUMBER($K$3:$K$502)*($K$3:$K$502&gt;0)*(ROW($K$3:$K$502)&lt;=ROW())),"")</f>
        <v/>
      </c>
    </row>
    <row r="80">
      <c r="A80" s="47" t="n"/>
      <c r="B80" s="50">
        <f>IFERROR(INDEX(الموظفون_الاسم,MATCH($A80,الموظفون_الرقم,0)),"")</f>
        <v/>
      </c>
      <c r="C80" s="112" t="n"/>
      <c r="D80" s="50">
        <f>IF($C80="","",IFERROR(INDEX(قائمة_أيام_الأسبوع,WEEKDAY($C80,1)),""))</f>
        <v/>
      </c>
      <c r="E80" s="116" t="n"/>
      <c r="F80" s="116" t="n"/>
      <c r="G80" s="117">
        <f>IF($A80="","",بداية_الدوام)</f>
        <v/>
      </c>
      <c r="H80" s="117">
        <f>IF($A80="","",نهاية_الدوام)</f>
        <v/>
      </c>
      <c r="I80" s="58">
        <f>IF($A80="","",مدة_الاستراحة/60)</f>
        <v/>
      </c>
      <c r="J80" s="58">
        <f>IF(OR($A80="",$E80="",$F80=""),"",IF(OR($N80="حاضر",$N80="دوام جزئي"),MAX(0,MOD($F80-$E80,1)*24-$I80),0))</f>
        <v/>
      </c>
      <c r="K80" s="58">
        <f>IF(OR($A80="",$E80=""),"",IF(AND(احتساب_التأخير="نعم",OR($N80="حاضر",$N80="دوام جزئي"),$E80&gt;$G80+دقائق_السماح/1440),($E80-$G80-دقائق_السماح/1440)*24,0))</f>
        <v/>
      </c>
      <c r="L80" s="58">
        <f>IF(OR($A80="",$F80=""),"",IF(AND(OR($N80="حاضر",$N80="دوام جزئي"),$F80&lt;$H80),($H80-$F80)*24,0))</f>
        <v/>
      </c>
      <c r="M80" s="58">
        <f>IF(OR($A80="",$F80=""),"",IF(AND(احتساب_العمل_الإضافي="نعم",OR($N80="حاضر",$N80="دوام جزئي"),$F80&gt;$H80,($F80-$H80)*24*60&gt;=حد_العمل_الإضافي_دقيقة),($F80-$H80)*24,0))</f>
        <v/>
      </c>
      <c r="N80" s="47" t="n"/>
      <c r="O80" s="47" t="n"/>
      <c r="Q80">
        <f>IF(AND(ISNUMBER($K80),$K80&gt;0),SUMPRODUCT(ISNUMBER($K$3:$K$502)*($K$3:$K$502&gt;0)*(ROW($K$3:$K$502)&lt;=ROW())),"")</f>
        <v/>
      </c>
    </row>
    <row r="81">
      <c r="A81" s="40" t="n"/>
      <c r="B81" s="43">
        <f>IFERROR(INDEX(الموظفون_الاسم,MATCH($A81,الموظفون_الرقم,0)),"")</f>
        <v/>
      </c>
      <c r="C81" s="110" t="n"/>
      <c r="D81" s="43">
        <f>IF($C81="","",IFERROR(INDEX(قائمة_أيام_الأسبوع,WEEKDAY($C81,1)),""))</f>
        <v/>
      </c>
      <c r="E81" s="114" t="n"/>
      <c r="F81" s="114" t="n"/>
      <c r="G81" s="115">
        <f>IF($A81="","",بداية_الدوام)</f>
        <v/>
      </c>
      <c r="H81" s="115">
        <f>IF($A81="","",نهاية_الدوام)</f>
        <v/>
      </c>
      <c r="I81" s="55">
        <f>IF($A81="","",مدة_الاستراحة/60)</f>
        <v/>
      </c>
      <c r="J81" s="55">
        <f>IF(OR($A81="",$E81="",$F81=""),"",IF(OR($N81="حاضر",$N81="دوام جزئي"),MAX(0,MOD($F81-$E81,1)*24-$I81),0))</f>
        <v/>
      </c>
      <c r="K81" s="55">
        <f>IF(OR($A81="",$E81=""),"",IF(AND(احتساب_التأخير="نعم",OR($N81="حاضر",$N81="دوام جزئي"),$E81&gt;$G81+دقائق_السماح/1440),($E81-$G81-دقائق_السماح/1440)*24,0))</f>
        <v/>
      </c>
      <c r="L81" s="55">
        <f>IF(OR($A81="",$F81=""),"",IF(AND(OR($N81="حاضر",$N81="دوام جزئي"),$F81&lt;$H81),($H81-$F81)*24,0))</f>
        <v/>
      </c>
      <c r="M81" s="55">
        <f>IF(OR($A81="",$F81=""),"",IF(AND(احتساب_العمل_الإضافي="نعم",OR($N81="حاضر",$N81="دوام جزئي"),$F81&gt;$H81,($F81-$H81)*24*60&gt;=حد_العمل_الإضافي_دقيقة),($F81-$H81)*24,0))</f>
        <v/>
      </c>
      <c r="N81" s="40" t="n"/>
      <c r="O81" s="40" t="n"/>
      <c r="Q81">
        <f>IF(AND(ISNUMBER($K81),$K81&gt;0),SUMPRODUCT(ISNUMBER($K$3:$K$502)*($K$3:$K$502&gt;0)*(ROW($K$3:$K$502)&lt;=ROW())),"")</f>
        <v/>
      </c>
    </row>
    <row r="82">
      <c r="A82" s="47" t="n"/>
      <c r="B82" s="50">
        <f>IFERROR(INDEX(الموظفون_الاسم,MATCH($A82,الموظفون_الرقم,0)),"")</f>
        <v/>
      </c>
      <c r="C82" s="112" t="n"/>
      <c r="D82" s="50">
        <f>IF($C82="","",IFERROR(INDEX(قائمة_أيام_الأسبوع,WEEKDAY($C82,1)),""))</f>
        <v/>
      </c>
      <c r="E82" s="116" t="n"/>
      <c r="F82" s="116" t="n"/>
      <c r="G82" s="117">
        <f>IF($A82="","",بداية_الدوام)</f>
        <v/>
      </c>
      <c r="H82" s="117">
        <f>IF($A82="","",نهاية_الدوام)</f>
        <v/>
      </c>
      <c r="I82" s="58">
        <f>IF($A82="","",مدة_الاستراحة/60)</f>
        <v/>
      </c>
      <c r="J82" s="58">
        <f>IF(OR($A82="",$E82="",$F82=""),"",IF(OR($N82="حاضر",$N82="دوام جزئي"),MAX(0,MOD($F82-$E82,1)*24-$I82),0))</f>
        <v/>
      </c>
      <c r="K82" s="58">
        <f>IF(OR($A82="",$E82=""),"",IF(AND(احتساب_التأخير="نعم",OR($N82="حاضر",$N82="دوام جزئي"),$E82&gt;$G82+دقائق_السماح/1440),($E82-$G82-دقائق_السماح/1440)*24,0))</f>
        <v/>
      </c>
      <c r="L82" s="58">
        <f>IF(OR($A82="",$F82=""),"",IF(AND(OR($N82="حاضر",$N82="دوام جزئي"),$F82&lt;$H82),($H82-$F82)*24,0))</f>
        <v/>
      </c>
      <c r="M82" s="58">
        <f>IF(OR($A82="",$F82=""),"",IF(AND(احتساب_العمل_الإضافي="نعم",OR($N82="حاضر",$N82="دوام جزئي"),$F82&gt;$H82,($F82-$H82)*24*60&gt;=حد_العمل_الإضافي_دقيقة),($F82-$H82)*24,0))</f>
        <v/>
      </c>
      <c r="N82" s="47" t="n"/>
      <c r="O82" s="47" t="n"/>
      <c r="Q82">
        <f>IF(AND(ISNUMBER($K82),$K82&gt;0),SUMPRODUCT(ISNUMBER($K$3:$K$502)*($K$3:$K$502&gt;0)*(ROW($K$3:$K$502)&lt;=ROW())),"")</f>
        <v/>
      </c>
    </row>
    <row r="83">
      <c r="A83" s="40" t="n"/>
      <c r="B83" s="43">
        <f>IFERROR(INDEX(الموظفون_الاسم,MATCH($A83,الموظفون_الرقم,0)),"")</f>
        <v/>
      </c>
      <c r="C83" s="110" t="n"/>
      <c r="D83" s="43">
        <f>IF($C83="","",IFERROR(INDEX(قائمة_أيام_الأسبوع,WEEKDAY($C83,1)),""))</f>
        <v/>
      </c>
      <c r="E83" s="114" t="n"/>
      <c r="F83" s="114" t="n"/>
      <c r="G83" s="115">
        <f>IF($A83="","",بداية_الدوام)</f>
        <v/>
      </c>
      <c r="H83" s="115">
        <f>IF($A83="","",نهاية_الدوام)</f>
        <v/>
      </c>
      <c r="I83" s="55">
        <f>IF($A83="","",مدة_الاستراحة/60)</f>
        <v/>
      </c>
      <c r="J83" s="55">
        <f>IF(OR($A83="",$E83="",$F83=""),"",IF(OR($N83="حاضر",$N83="دوام جزئي"),MAX(0,MOD($F83-$E83,1)*24-$I83),0))</f>
        <v/>
      </c>
      <c r="K83" s="55">
        <f>IF(OR($A83="",$E83=""),"",IF(AND(احتساب_التأخير="نعم",OR($N83="حاضر",$N83="دوام جزئي"),$E83&gt;$G83+دقائق_السماح/1440),($E83-$G83-دقائق_السماح/1440)*24,0))</f>
        <v/>
      </c>
      <c r="L83" s="55">
        <f>IF(OR($A83="",$F83=""),"",IF(AND(OR($N83="حاضر",$N83="دوام جزئي"),$F83&lt;$H83),($H83-$F83)*24,0))</f>
        <v/>
      </c>
      <c r="M83" s="55">
        <f>IF(OR($A83="",$F83=""),"",IF(AND(احتساب_العمل_الإضافي="نعم",OR($N83="حاضر",$N83="دوام جزئي"),$F83&gt;$H83,($F83-$H83)*24*60&gt;=حد_العمل_الإضافي_دقيقة),($F83-$H83)*24,0))</f>
        <v/>
      </c>
      <c r="N83" s="40" t="n"/>
      <c r="O83" s="40" t="n"/>
      <c r="Q83">
        <f>IF(AND(ISNUMBER($K83),$K83&gt;0),SUMPRODUCT(ISNUMBER($K$3:$K$502)*($K$3:$K$502&gt;0)*(ROW($K$3:$K$502)&lt;=ROW())),"")</f>
        <v/>
      </c>
    </row>
    <row r="84">
      <c r="A84" s="47" t="n"/>
      <c r="B84" s="50">
        <f>IFERROR(INDEX(الموظفون_الاسم,MATCH($A84,الموظفون_الرقم,0)),"")</f>
        <v/>
      </c>
      <c r="C84" s="112" t="n"/>
      <c r="D84" s="50">
        <f>IF($C84="","",IFERROR(INDEX(قائمة_أيام_الأسبوع,WEEKDAY($C84,1)),""))</f>
        <v/>
      </c>
      <c r="E84" s="116" t="n"/>
      <c r="F84" s="116" t="n"/>
      <c r="G84" s="117">
        <f>IF($A84="","",بداية_الدوام)</f>
        <v/>
      </c>
      <c r="H84" s="117">
        <f>IF($A84="","",نهاية_الدوام)</f>
        <v/>
      </c>
      <c r="I84" s="58">
        <f>IF($A84="","",مدة_الاستراحة/60)</f>
        <v/>
      </c>
      <c r="J84" s="58">
        <f>IF(OR($A84="",$E84="",$F84=""),"",IF(OR($N84="حاضر",$N84="دوام جزئي"),MAX(0,MOD($F84-$E84,1)*24-$I84),0))</f>
        <v/>
      </c>
      <c r="K84" s="58">
        <f>IF(OR($A84="",$E84=""),"",IF(AND(احتساب_التأخير="نعم",OR($N84="حاضر",$N84="دوام جزئي"),$E84&gt;$G84+دقائق_السماح/1440),($E84-$G84-دقائق_السماح/1440)*24,0))</f>
        <v/>
      </c>
      <c r="L84" s="58">
        <f>IF(OR($A84="",$F84=""),"",IF(AND(OR($N84="حاضر",$N84="دوام جزئي"),$F84&lt;$H84),($H84-$F84)*24,0))</f>
        <v/>
      </c>
      <c r="M84" s="58">
        <f>IF(OR($A84="",$F84=""),"",IF(AND(احتساب_العمل_الإضافي="نعم",OR($N84="حاضر",$N84="دوام جزئي"),$F84&gt;$H84,($F84-$H84)*24*60&gt;=حد_العمل_الإضافي_دقيقة),($F84-$H84)*24,0))</f>
        <v/>
      </c>
      <c r="N84" s="47" t="n"/>
      <c r="O84" s="47" t="n"/>
      <c r="Q84">
        <f>IF(AND(ISNUMBER($K84),$K84&gt;0),SUMPRODUCT(ISNUMBER($K$3:$K$502)*($K$3:$K$502&gt;0)*(ROW($K$3:$K$502)&lt;=ROW())),"")</f>
        <v/>
      </c>
    </row>
    <row r="85">
      <c r="A85" s="40" t="n"/>
      <c r="B85" s="43">
        <f>IFERROR(INDEX(الموظفون_الاسم,MATCH($A85,الموظفون_الرقم,0)),"")</f>
        <v/>
      </c>
      <c r="C85" s="110" t="n"/>
      <c r="D85" s="43">
        <f>IF($C85="","",IFERROR(INDEX(قائمة_أيام_الأسبوع,WEEKDAY($C85,1)),""))</f>
        <v/>
      </c>
      <c r="E85" s="114" t="n"/>
      <c r="F85" s="114" t="n"/>
      <c r="G85" s="115">
        <f>IF($A85="","",بداية_الدوام)</f>
        <v/>
      </c>
      <c r="H85" s="115">
        <f>IF($A85="","",نهاية_الدوام)</f>
        <v/>
      </c>
      <c r="I85" s="55">
        <f>IF($A85="","",مدة_الاستراحة/60)</f>
        <v/>
      </c>
      <c r="J85" s="55">
        <f>IF(OR($A85="",$E85="",$F85=""),"",IF(OR($N85="حاضر",$N85="دوام جزئي"),MAX(0,MOD($F85-$E85,1)*24-$I85),0))</f>
        <v/>
      </c>
      <c r="K85" s="55">
        <f>IF(OR($A85="",$E85=""),"",IF(AND(احتساب_التأخير="نعم",OR($N85="حاضر",$N85="دوام جزئي"),$E85&gt;$G85+دقائق_السماح/1440),($E85-$G85-دقائق_السماح/1440)*24,0))</f>
        <v/>
      </c>
      <c r="L85" s="55">
        <f>IF(OR($A85="",$F85=""),"",IF(AND(OR($N85="حاضر",$N85="دوام جزئي"),$F85&lt;$H85),($H85-$F85)*24,0))</f>
        <v/>
      </c>
      <c r="M85" s="55">
        <f>IF(OR($A85="",$F85=""),"",IF(AND(احتساب_العمل_الإضافي="نعم",OR($N85="حاضر",$N85="دوام جزئي"),$F85&gt;$H85,($F85-$H85)*24*60&gt;=حد_العمل_الإضافي_دقيقة),($F85-$H85)*24,0))</f>
        <v/>
      </c>
      <c r="N85" s="40" t="n"/>
      <c r="O85" s="40" t="n"/>
      <c r="Q85">
        <f>IF(AND(ISNUMBER($K85),$K85&gt;0),SUMPRODUCT(ISNUMBER($K$3:$K$502)*($K$3:$K$502&gt;0)*(ROW($K$3:$K$502)&lt;=ROW())),"")</f>
        <v/>
      </c>
    </row>
    <row r="86">
      <c r="A86" s="47" t="n"/>
      <c r="B86" s="50">
        <f>IFERROR(INDEX(الموظفون_الاسم,MATCH($A86,الموظفون_الرقم,0)),"")</f>
        <v/>
      </c>
      <c r="C86" s="112" t="n"/>
      <c r="D86" s="50">
        <f>IF($C86="","",IFERROR(INDEX(قائمة_أيام_الأسبوع,WEEKDAY($C86,1)),""))</f>
        <v/>
      </c>
      <c r="E86" s="116" t="n"/>
      <c r="F86" s="116" t="n"/>
      <c r="G86" s="117">
        <f>IF($A86="","",بداية_الدوام)</f>
        <v/>
      </c>
      <c r="H86" s="117">
        <f>IF($A86="","",نهاية_الدوام)</f>
        <v/>
      </c>
      <c r="I86" s="58">
        <f>IF($A86="","",مدة_الاستراحة/60)</f>
        <v/>
      </c>
      <c r="J86" s="58">
        <f>IF(OR($A86="",$E86="",$F86=""),"",IF(OR($N86="حاضر",$N86="دوام جزئي"),MAX(0,MOD($F86-$E86,1)*24-$I86),0))</f>
        <v/>
      </c>
      <c r="K86" s="58">
        <f>IF(OR($A86="",$E86=""),"",IF(AND(احتساب_التأخير="نعم",OR($N86="حاضر",$N86="دوام جزئي"),$E86&gt;$G86+دقائق_السماح/1440),($E86-$G86-دقائق_السماح/1440)*24,0))</f>
        <v/>
      </c>
      <c r="L86" s="58">
        <f>IF(OR($A86="",$F86=""),"",IF(AND(OR($N86="حاضر",$N86="دوام جزئي"),$F86&lt;$H86),($H86-$F86)*24,0))</f>
        <v/>
      </c>
      <c r="M86" s="58">
        <f>IF(OR($A86="",$F86=""),"",IF(AND(احتساب_العمل_الإضافي="نعم",OR($N86="حاضر",$N86="دوام جزئي"),$F86&gt;$H86,($F86-$H86)*24*60&gt;=حد_العمل_الإضافي_دقيقة),($F86-$H86)*24,0))</f>
        <v/>
      </c>
      <c r="N86" s="47" t="n"/>
      <c r="O86" s="47" t="n"/>
      <c r="Q86">
        <f>IF(AND(ISNUMBER($K86),$K86&gt;0),SUMPRODUCT(ISNUMBER($K$3:$K$502)*($K$3:$K$502&gt;0)*(ROW($K$3:$K$502)&lt;=ROW())),"")</f>
        <v/>
      </c>
    </row>
    <row r="87">
      <c r="A87" s="40" t="n"/>
      <c r="B87" s="43">
        <f>IFERROR(INDEX(الموظفون_الاسم,MATCH($A87,الموظفون_الرقم,0)),"")</f>
        <v/>
      </c>
      <c r="C87" s="110" t="n"/>
      <c r="D87" s="43">
        <f>IF($C87="","",IFERROR(INDEX(قائمة_أيام_الأسبوع,WEEKDAY($C87,1)),""))</f>
        <v/>
      </c>
      <c r="E87" s="114" t="n"/>
      <c r="F87" s="114" t="n"/>
      <c r="G87" s="115">
        <f>IF($A87="","",بداية_الدوام)</f>
        <v/>
      </c>
      <c r="H87" s="115">
        <f>IF($A87="","",نهاية_الدوام)</f>
        <v/>
      </c>
      <c r="I87" s="55">
        <f>IF($A87="","",مدة_الاستراحة/60)</f>
        <v/>
      </c>
      <c r="J87" s="55">
        <f>IF(OR($A87="",$E87="",$F87=""),"",IF(OR($N87="حاضر",$N87="دوام جزئي"),MAX(0,MOD($F87-$E87,1)*24-$I87),0))</f>
        <v/>
      </c>
      <c r="K87" s="55">
        <f>IF(OR($A87="",$E87=""),"",IF(AND(احتساب_التأخير="نعم",OR($N87="حاضر",$N87="دوام جزئي"),$E87&gt;$G87+دقائق_السماح/1440),($E87-$G87-دقائق_السماح/1440)*24,0))</f>
        <v/>
      </c>
      <c r="L87" s="55">
        <f>IF(OR($A87="",$F87=""),"",IF(AND(OR($N87="حاضر",$N87="دوام جزئي"),$F87&lt;$H87),($H87-$F87)*24,0))</f>
        <v/>
      </c>
      <c r="M87" s="55">
        <f>IF(OR($A87="",$F87=""),"",IF(AND(احتساب_العمل_الإضافي="نعم",OR($N87="حاضر",$N87="دوام جزئي"),$F87&gt;$H87,($F87-$H87)*24*60&gt;=حد_العمل_الإضافي_دقيقة),($F87-$H87)*24,0))</f>
        <v/>
      </c>
      <c r="N87" s="40" t="n"/>
      <c r="O87" s="40" t="n"/>
      <c r="Q87">
        <f>IF(AND(ISNUMBER($K87),$K87&gt;0),SUMPRODUCT(ISNUMBER($K$3:$K$502)*($K$3:$K$502&gt;0)*(ROW($K$3:$K$502)&lt;=ROW())),"")</f>
        <v/>
      </c>
    </row>
    <row r="88">
      <c r="A88" s="47" t="n"/>
      <c r="B88" s="50">
        <f>IFERROR(INDEX(الموظفون_الاسم,MATCH($A88,الموظفون_الرقم,0)),"")</f>
        <v/>
      </c>
      <c r="C88" s="112" t="n"/>
      <c r="D88" s="50">
        <f>IF($C88="","",IFERROR(INDEX(قائمة_أيام_الأسبوع,WEEKDAY($C88,1)),""))</f>
        <v/>
      </c>
      <c r="E88" s="116" t="n"/>
      <c r="F88" s="116" t="n"/>
      <c r="G88" s="117">
        <f>IF($A88="","",بداية_الدوام)</f>
        <v/>
      </c>
      <c r="H88" s="117">
        <f>IF($A88="","",نهاية_الدوام)</f>
        <v/>
      </c>
      <c r="I88" s="58">
        <f>IF($A88="","",مدة_الاستراحة/60)</f>
        <v/>
      </c>
      <c r="J88" s="58">
        <f>IF(OR($A88="",$E88="",$F88=""),"",IF(OR($N88="حاضر",$N88="دوام جزئي"),MAX(0,MOD($F88-$E88,1)*24-$I88),0))</f>
        <v/>
      </c>
      <c r="K88" s="58">
        <f>IF(OR($A88="",$E88=""),"",IF(AND(احتساب_التأخير="نعم",OR($N88="حاضر",$N88="دوام جزئي"),$E88&gt;$G88+دقائق_السماح/1440),($E88-$G88-دقائق_السماح/1440)*24,0))</f>
        <v/>
      </c>
      <c r="L88" s="58">
        <f>IF(OR($A88="",$F88=""),"",IF(AND(OR($N88="حاضر",$N88="دوام جزئي"),$F88&lt;$H88),($H88-$F88)*24,0))</f>
        <v/>
      </c>
      <c r="M88" s="58">
        <f>IF(OR($A88="",$F88=""),"",IF(AND(احتساب_العمل_الإضافي="نعم",OR($N88="حاضر",$N88="دوام جزئي"),$F88&gt;$H88,($F88-$H88)*24*60&gt;=حد_العمل_الإضافي_دقيقة),($F88-$H88)*24,0))</f>
        <v/>
      </c>
      <c r="N88" s="47" t="n"/>
      <c r="O88" s="47" t="n"/>
      <c r="Q88">
        <f>IF(AND(ISNUMBER($K88),$K88&gt;0),SUMPRODUCT(ISNUMBER($K$3:$K$502)*($K$3:$K$502&gt;0)*(ROW($K$3:$K$502)&lt;=ROW())),"")</f>
        <v/>
      </c>
    </row>
    <row r="89">
      <c r="A89" s="40" t="n"/>
      <c r="B89" s="43">
        <f>IFERROR(INDEX(الموظفون_الاسم,MATCH($A89,الموظفون_الرقم,0)),"")</f>
        <v/>
      </c>
      <c r="C89" s="110" t="n"/>
      <c r="D89" s="43">
        <f>IF($C89="","",IFERROR(INDEX(قائمة_أيام_الأسبوع,WEEKDAY($C89,1)),""))</f>
        <v/>
      </c>
      <c r="E89" s="114" t="n"/>
      <c r="F89" s="114" t="n"/>
      <c r="G89" s="115">
        <f>IF($A89="","",بداية_الدوام)</f>
        <v/>
      </c>
      <c r="H89" s="115">
        <f>IF($A89="","",نهاية_الدوام)</f>
        <v/>
      </c>
      <c r="I89" s="55">
        <f>IF($A89="","",مدة_الاستراحة/60)</f>
        <v/>
      </c>
      <c r="J89" s="55">
        <f>IF(OR($A89="",$E89="",$F89=""),"",IF(OR($N89="حاضر",$N89="دوام جزئي"),MAX(0,MOD($F89-$E89,1)*24-$I89),0))</f>
        <v/>
      </c>
      <c r="K89" s="55">
        <f>IF(OR($A89="",$E89=""),"",IF(AND(احتساب_التأخير="نعم",OR($N89="حاضر",$N89="دوام جزئي"),$E89&gt;$G89+دقائق_السماح/1440),($E89-$G89-دقائق_السماح/1440)*24,0))</f>
        <v/>
      </c>
      <c r="L89" s="55">
        <f>IF(OR($A89="",$F89=""),"",IF(AND(OR($N89="حاضر",$N89="دوام جزئي"),$F89&lt;$H89),($H89-$F89)*24,0))</f>
        <v/>
      </c>
      <c r="M89" s="55">
        <f>IF(OR($A89="",$F89=""),"",IF(AND(احتساب_العمل_الإضافي="نعم",OR($N89="حاضر",$N89="دوام جزئي"),$F89&gt;$H89,($F89-$H89)*24*60&gt;=حد_العمل_الإضافي_دقيقة),($F89-$H89)*24,0))</f>
        <v/>
      </c>
      <c r="N89" s="40" t="n"/>
      <c r="O89" s="40" t="n"/>
      <c r="Q89">
        <f>IF(AND(ISNUMBER($K89),$K89&gt;0),SUMPRODUCT(ISNUMBER($K$3:$K$502)*($K$3:$K$502&gt;0)*(ROW($K$3:$K$502)&lt;=ROW())),"")</f>
        <v/>
      </c>
    </row>
    <row r="90">
      <c r="A90" s="47" t="n"/>
      <c r="B90" s="50">
        <f>IFERROR(INDEX(الموظفون_الاسم,MATCH($A90,الموظفون_الرقم,0)),"")</f>
        <v/>
      </c>
      <c r="C90" s="112" t="n"/>
      <c r="D90" s="50">
        <f>IF($C90="","",IFERROR(INDEX(قائمة_أيام_الأسبوع,WEEKDAY($C90,1)),""))</f>
        <v/>
      </c>
      <c r="E90" s="116" t="n"/>
      <c r="F90" s="116" t="n"/>
      <c r="G90" s="117">
        <f>IF($A90="","",بداية_الدوام)</f>
        <v/>
      </c>
      <c r="H90" s="117">
        <f>IF($A90="","",نهاية_الدوام)</f>
        <v/>
      </c>
      <c r="I90" s="58">
        <f>IF($A90="","",مدة_الاستراحة/60)</f>
        <v/>
      </c>
      <c r="J90" s="58">
        <f>IF(OR($A90="",$E90="",$F90=""),"",IF(OR($N90="حاضر",$N90="دوام جزئي"),MAX(0,MOD($F90-$E90,1)*24-$I90),0))</f>
        <v/>
      </c>
      <c r="K90" s="58">
        <f>IF(OR($A90="",$E90=""),"",IF(AND(احتساب_التأخير="نعم",OR($N90="حاضر",$N90="دوام جزئي"),$E90&gt;$G90+دقائق_السماح/1440),($E90-$G90-دقائق_السماح/1440)*24,0))</f>
        <v/>
      </c>
      <c r="L90" s="58">
        <f>IF(OR($A90="",$F90=""),"",IF(AND(OR($N90="حاضر",$N90="دوام جزئي"),$F90&lt;$H90),($H90-$F90)*24,0))</f>
        <v/>
      </c>
      <c r="M90" s="58">
        <f>IF(OR($A90="",$F90=""),"",IF(AND(احتساب_العمل_الإضافي="نعم",OR($N90="حاضر",$N90="دوام جزئي"),$F90&gt;$H90,($F90-$H90)*24*60&gt;=حد_العمل_الإضافي_دقيقة),($F90-$H90)*24,0))</f>
        <v/>
      </c>
      <c r="N90" s="47" t="n"/>
      <c r="O90" s="47" t="n"/>
      <c r="Q90">
        <f>IF(AND(ISNUMBER($K90),$K90&gt;0),SUMPRODUCT(ISNUMBER($K$3:$K$502)*($K$3:$K$502&gt;0)*(ROW($K$3:$K$502)&lt;=ROW())),"")</f>
        <v/>
      </c>
    </row>
    <row r="91">
      <c r="A91" s="40" t="n"/>
      <c r="B91" s="43">
        <f>IFERROR(INDEX(الموظفون_الاسم,MATCH($A91,الموظفون_الرقم,0)),"")</f>
        <v/>
      </c>
      <c r="C91" s="110" t="n"/>
      <c r="D91" s="43">
        <f>IF($C91="","",IFERROR(INDEX(قائمة_أيام_الأسبوع,WEEKDAY($C91,1)),""))</f>
        <v/>
      </c>
      <c r="E91" s="114" t="n"/>
      <c r="F91" s="114" t="n"/>
      <c r="G91" s="115">
        <f>IF($A91="","",بداية_الدوام)</f>
        <v/>
      </c>
      <c r="H91" s="115">
        <f>IF($A91="","",نهاية_الدوام)</f>
        <v/>
      </c>
      <c r="I91" s="55">
        <f>IF($A91="","",مدة_الاستراحة/60)</f>
        <v/>
      </c>
      <c r="J91" s="55">
        <f>IF(OR($A91="",$E91="",$F91=""),"",IF(OR($N91="حاضر",$N91="دوام جزئي"),MAX(0,MOD($F91-$E91,1)*24-$I91),0))</f>
        <v/>
      </c>
      <c r="K91" s="55">
        <f>IF(OR($A91="",$E91=""),"",IF(AND(احتساب_التأخير="نعم",OR($N91="حاضر",$N91="دوام جزئي"),$E91&gt;$G91+دقائق_السماح/1440),($E91-$G91-دقائق_السماح/1440)*24,0))</f>
        <v/>
      </c>
      <c r="L91" s="55">
        <f>IF(OR($A91="",$F91=""),"",IF(AND(OR($N91="حاضر",$N91="دوام جزئي"),$F91&lt;$H91),($H91-$F91)*24,0))</f>
        <v/>
      </c>
      <c r="M91" s="55">
        <f>IF(OR($A91="",$F91=""),"",IF(AND(احتساب_العمل_الإضافي="نعم",OR($N91="حاضر",$N91="دوام جزئي"),$F91&gt;$H91,($F91-$H91)*24*60&gt;=حد_العمل_الإضافي_دقيقة),($F91-$H91)*24,0))</f>
        <v/>
      </c>
      <c r="N91" s="40" t="n"/>
      <c r="O91" s="40" t="n"/>
      <c r="Q91">
        <f>IF(AND(ISNUMBER($K91),$K91&gt;0),SUMPRODUCT(ISNUMBER($K$3:$K$502)*($K$3:$K$502&gt;0)*(ROW($K$3:$K$502)&lt;=ROW())),"")</f>
        <v/>
      </c>
    </row>
    <row r="92">
      <c r="A92" s="47" t="n"/>
      <c r="B92" s="50">
        <f>IFERROR(INDEX(الموظفون_الاسم,MATCH($A92,الموظفون_الرقم,0)),"")</f>
        <v/>
      </c>
      <c r="C92" s="112" t="n"/>
      <c r="D92" s="50">
        <f>IF($C92="","",IFERROR(INDEX(قائمة_أيام_الأسبوع,WEEKDAY($C92,1)),""))</f>
        <v/>
      </c>
      <c r="E92" s="116" t="n"/>
      <c r="F92" s="116" t="n"/>
      <c r="G92" s="117">
        <f>IF($A92="","",بداية_الدوام)</f>
        <v/>
      </c>
      <c r="H92" s="117">
        <f>IF($A92="","",نهاية_الدوام)</f>
        <v/>
      </c>
      <c r="I92" s="58">
        <f>IF($A92="","",مدة_الاستراحة/60)</f>
        <v/>
      </c>
      <c r="J92" s="58">
        <f>IF(OR($A92="",$E92="",$F92=""),"",IF(OR($N92="حاضر",$N92="دوام جزئي"),MAX(0,MOD($F92-$E92,1)*24-$I92),0))</f>
        <v/>
      </c>
      <c r="K92" s="58">
        <f>IF(OR($A92="",$E92=""),"",IF(AND(احتساب_التأخير="نعم",OR($N92="حاضر",$N92="دوام جزئي"),$E92&gt;$G92+دقائق_السماح/1440),($E92-$G92-دقائق_السماح/1440)*24,0))</f>
        <v/>
      </c>
      <c r="L92" s="58">
        <f>IF(OR($A92="",$F92=""),"",IF(AND(OR($N92="حاضر",$N92="دوام جزئي"),$F92&lt;$H92),($H92-$F92)*24,0))</f>
        <v/>
      </c>
      <c r="M92" s="58">
        <f>IF(OR($A92="",$F92=""),"",IF(AND(احتساب_العمل_الإضافي="نعم",OR($N92="حاضر",$N92="دوام جزئي"),$F92&gt;$H92,($F92-$H92)*24*60&gt;=حد_العمل_الإضافي_دقيقة),($F92-$H92)*24,0))</f>
        <v/>
      </c>
      <c r="N92" s="47" t="n"/>
      <c r="O92" s="47" t="n"/>
      <c r="Q92">
        <f>IF(AND(ISNUMBER($K92),$K92&gt;0),SUMPRODUCT(ISNUMBER($K$3:$K$502)*($K$3:$K$502&gt;0)*(ROW($K$3:$K$502)&lt;=ROW())),"")</f>
        <v/>
      </c>
    </row>
    <row r="93">
      <c r="A93" s="40" t="n"/>
      <c r="B93" s="43">
        <f>IFERROR(INDEX(الموظفون_الاسم,MATCH($A93,الموظفون_الرقم,0)),"")</f>
        <v/>
      </c>
      <c r="C93" s="110" t="n"/>
      <c r="D93" s="43">
        <f>IF($C93="","",IFERROR(INDEX(قائمة_أيام_الأسبوع,WEEKDAY($C93,1)),""))</f>
        <v/>
      </c>
      <c r="E93" s="114" t="n"/>
      <c r="F93" s="114" t="n"/>
      <c r="G93" s="115">
        <f>IF($A93="","",بداية_الدوام)</f>
        <v/>
      </c>
      <c r="H93" s="115">
        <f>IF($A93="","",نهاية_الدوام)</f>
        <v/>
      </c>
      <c r="I93" s="55">
        <f>IF($A93="","",مدة_الاستراحة/60)</f>
        <v/>
      </c>
      <c r="J93" s="55">
        <f>IF(OR($A93="",$E93="",$F93=""),"",IF(OR($N93="حاضر",$N93="دوام جزئي"),MAX(0,MOD($F93-$E93,1)*24-$I93),0))</f>
        <v/>
      </c>
      <c r="K93" s="55">
        <f>IF(OR($A93="",$E93=""),"",IF(AND(احتساب_التأخير="نعم",OR($N93="حاضر",$N93="دوام جزئي"),$E93&gt;$G93+دقائق_السماح/1440),($E93-$G93-دقائق_السماح/1440)*24,0))</f>
        <v/>
      </c>
      <c r="L93" s="55">
        <f>IF(OR($A93="",$F93=""),"",IF(AND(OR($N93="حاضر",$N93="دوام جزئي"),$F93&lt;$H93),($H93-$F93)*24,0))</f>
        <v/>
      </c>
      <c r="M93" s="55">
        <f>IF(OR($A93="",$F93=""),"",IF(AND(احتساب_العمل_الإضافي="نعم",OR($N93="حاضر",$N93="دوام جزئي"),$F93&gt;$H93,($F93-$H93)*24*60&gt;=حد_العمل_الإضافي_دقيقة),($F93-$H93)*24,0))</f>
        <v/>
      </c>
      <c r="N93" s="40" t="n"/>
      <c r="O93" s="40" t="n"/>
      <c r="Q93">
        <f>IF(AND(ISNUMBER($K93),$K93&gt;0),SUMPRODUCT(ISNUMBER($K$3:$K$502)*($K$3:$K$502&gt;0)*(ROW($K$3:$K$502)&lt;=ROW())),"")</f>
        <v/>
      </c>
    </row>
    <row r="94">
      <c r="A94" s="47" t="n"/>
      <c r="B94" s="50">
        <f>IFERROR(INDEX(الموظفون_الاسم,MATCH($A94,الموظفون_الرقم,0)),"")</f>
        <v/>
      </c>
      <c r="C94" s="112" t="n"/>
      <c r="D94" s="50">
        <f>IF($C94="","",IFERROR(INDEX(قائمة_أيام_الأسبوع,WEEKDAY($C94,1)),""))</f>
        <v/>
      </c>
      <c r="E94" s="116" t="n"/>
      <c r="F94" s="116" t="n"/>
      <c r="G94" s="117">
        <f>IF($A94="","",بداية_الدوام)</f>
        <v/>
      </c>
      <c r="H94" s="117">
        <f>IF($A94="","",نهاية_الدوام)</f>
        <v/>
      </c>
      <c r="I94" s="58">
        <f>IF($A94="","",مدة_الاستراحة/60)</f>
        <v/>
      </c>
      <c r="J94" s="58">
        <f>IF(OR($A94="",$E94="",$F94=""),"",IF(OR($N94="حاضر",$N94="دوام جزئي"),MAX(0,MOD($F94-$E94,1)*24-$I94),0))</f>
        <v/>
      </c>
      <c r="K94" s="58">
        <f>IF(OR($A94="",$E94=""),"",IF(AND(احتساب_التأخير="نعم",OR($N94="حاضر",$N94="دوام جزئي"),$E94&gt;$G94+دقائق_السماح/1440),($E94-$G94-دقائق_السماح/1440)*24,0))</f>
        <v/>
      </c>
      <c r="L94" s="58">
        <f>IF(OR($A94="",$F94=""),"",IF(AND(OR($N94="حاضر",$N94="دوام جزئي"),$F94&lt;$H94),($H94-$F94)*24,0))</f>
        <v/>
      </c>
      <c r="M94" s="58">
        <f>IF(OR($A94="",$F94=""),"",IF(AND(احتساب_العمل_الإضافي="نعم",OR($N94="حاضر",$N94="دوام جزئي"),$F94&gt;$H94,($F94-$H94)*24*60&gt;=حد_العمل_الإضافي_دقيقة),($F94-$H94)*24,0))</f>
        <v/>
      </c>
      <c r="N94" s="47" t="n"/>
      <c r="O94" s="47" t="n"/>
      <c r="Q94">
        <f>IF(AND(ISNUMBER($K94),$K94&gt;0),SUMPRODUCT(ISNUMBER($K$3:$K$502)*($K$3:$K$502&gt;0)*(ROW($K$3:$K$502)&lt;=ROW())),"")</f>
        <v/>
      </c>
    </row>
    <row r="95">
      <c r="A95" s="40" t="n"/>
      <c r="B95" s="43">
        <f>IFERROR(INDEX(الموظفون_الاسم,MATCH($A95,الموظفون_الرقم,0)),"")</f>
        <v/>
      </c>
      <c r="C95" s="110" t="n"/>
      <c r="D95" s="43">
        <f>IF($C95="","",IFERROR(INDEX(قائمة_أيام_الأسبوع,WEEKDAY($C95,1)),""))</f>
        <v/>
      </c>
      <c r="E95" s="114" t="n"/>
      <c r="F95" s="114" t="n"/>
      <c r="G95" s="115">
        <f>IF($A95="","",بداية_الدوام)</f>
        <v/>
      </c>
      <c r="H95" s="115">
        <f>IF($A95="","",نهاية_الدوام)</f>
        <v/>
      </c>
      <c r="I95" s="55">
        <f>IF($A95="","",مدة_الاستراحة/60)</f>
        <v/>
      </c>
      <c r="J95" s="55">
        <f>IF(OR($A95="",$E95="",$F95=""),"",IF(OR($N95="حاضر",$N95="دوام جزئي"),MAX(0,MOD($F95-$E95,1)*24-$I95),0))</f>
        <v/>
      </c>
      <c r="K95" s="55">
        <f>IF(OR($A95="",$E95=""),"",IF(AND(احتساب_التأخير="نعم",OR($N95="حاضر",$N95="دوام جزئي"),$E95&gt;$G95+دقائق_السماح/1440),($E95-$G95-دقائق_السماح/1440)*24,0))</f>
        <v/>
      </c>
      <c r="L95" s="55">
        <f>IF(OR($A95="",$F95=""),"",IF(AND(OR($N95="حاضر",$N95="دوام جزئي"),$F95&lt;$H95),($H95-$F95)*24,0))</f>
        <v/>
      </c>
      <c r="M95" s="55">
        <f>IF(OR($A95="",$F95=""),"",IF(AND(احتساب_العمل_الإضافي="نعم",OR($N95="حاضر",$N95="دوام جزئي"),$F95&gt;$H95,($F95-$H95)*24*60&gt;=حد_العمل_الإضافي_دقيقة),($F95-$H95)*24,0))</f>
        <v/>
      </c>
      <c r="N95" s="40" t="n"/>
      <c r="O95" s="40" t="n"/>
      <c r="Q95">
        <f>IF(AND(ISNUMBER($K95),$K95&gt;0),SUMPRODUCT(ISNUMBER($K$3:$K$502)*($K$3:$K$502&gt;0)*(ROW($K$3:$K$502)&lt;=ROW())),"")</f>
        <v/>
      </c>
    </row>
    <row r="96">
      <c r="A96" s="47" t="n"/>
      <c r="B96" s="50">
        <f>IFERROR(INDEX(الموظفون_الاسم,MATCH($A96,الموظفون_الرقم,0)),"")</f>
        <v/>
      </c>
      <c r="C96" s="112" t="n"/>
      <c r="D96" s="50">
        <f>IF($C96="","",IFERROR(INDEX(قائمة_أيام_الأسبوع,WEEKDAY($C96,1)),""))</f>
        <v/>
      </c>
      <c r="E96" s="116" t="n"/>
      <c r="F96" s="116" t="n"/>
      <c r="G96" s="117">
        <f>IF($A96="","",بداية_الدوام)</f>
        <v/>
      </c>
      <c r="H96" s="117">
        <f>IF($A96="","",نهاية_الدوام)</f>
        <v/>
      </c>
      <c r="I96" s="58">
        <f>IF($A96="","",مدة_الاستراحة/60)</f>
        <v/>
      </c>
      <c r="J96" s="58">
        <f>IF(OR($A96="",$E96="",$F96=""),"",IF(OR($N96="حاضر",$N96="دوام جزئي"),MAX(0,MOD($F96-$E96,1)*24-$I96),0))</f>
        <v/>
      </c>
      <c r="K96" s="58">
        <f>IF(OR($A96="",$E96=""),"",IF(AND(احتساب_التأخير="نعم",OR($N96="حاضر",$N96="دوام جزئي"),$E96&gt;$G96+دقائق_السماح/1440),($E96-$G96-دقائق_السماح/1440)*24,0))</f>
        <v/>
      </c>
      <c r="L96" s="58">
        <f>IF(OR($A96="",$F96=""),"",IF(AND(OR($N96="حاضر",$N96="دوام جزئي"),$F96&lt;$H96),($H96-$F96)*24,0))</f>
        <v/>
      </c>
      <c r="M96" s="58">
        <f>IF(OR($A96="",$F96=""),"",IF(AND(احتساب_العمل_الإضافي="نعم",OR($N96="حاضر",$N96="دوام جزئي"),$F96&gt;$H96,($F96-$H96)*24*60&gt;=حد_العمل_الإضافي_دقيقة),($F96-$H96)*24,0))</f>
        <v/>
      </c>
      <c r="N96" s="47" t="n"/>
      <c r="O96" s="47" t="n"/>
      <c r="Q96">
        <f>IF(AND(ISNUMBER($K96),$K96&gt;0),SUMPRODUCT(ISNUMBER($K$3:$K$502)*($K$3:$K$502&gt;0)*(ROW($K$3:$K$502)&lt;=ROW())),"")</f>
        <v/>
      </c>
    </row>
    <row r="97">
      <c r="A97" s="40" t="n"/>
      <c r="B97" s="43">
        <f>IFERROR(INDEX(الموظفون_الاسم,MATCH($A97,الموظفون_الرقم,0)),"")</f>
        <v/>
      </c>
      <c r="C97" s="110" t="n"/>
      <c r="D97" s="43">
        <f>IF($C97="","",IFERROR(INDEX(قائمة_أيام_الأسبوع,WEEKDAY($C97,1)),""))</f>
        <v/>
      </c>
      <c r="E97" s="114" t="n"/>
      <c r="F97" s="114" t="n"/>
      <c r="G97" s="115">
        <f>IF($A97="","",بداية_الدوام)</f>
        <v/>
      </c>
      <c r="H97" s="115">
        <f>IF($A97="","",نهاية_الدوام)</f>
        <v/>
      </c>
      <c r="I97" s="55">
        <f>IF($A97="","",مدة_الاستراحة/60)</f>
        <v/>
      </c>
      <c r="J97" s="55">
        <f>IF(OR($A97="",$E97="",$F97=""),"",IF(OR($N97="حاضر",$N97="دوام جزئي"),MAX(0,MOD($F97-$E97,1)*24-$I97),0))</f>
        <v/>
      </c>
      <c r="K97" s="55">
        <f>IF(OR($A97="",$E97=""),"",IF(AND(احتساب_التأخير="نعم",OR($N97="حاضر",$N97="دوام جزئي"),$E97&gt;$G97+دقائق_السماح/1440),($E97-$G97-دقائق_السماح/1440)*24,0))</f>
        <v/>
      </c>
      <c r="L97" s="55">
        <f>IF(OR($A97="",$F97=""),"",IF(AND(OR($N97="حاضر",$N97="دوام جزئي"),$F97&lt;$H97),($H97-$F97)*24,0))</f>
        <v/>
      </c>
      <c r="M97" s="55">
        <f>IF(OR($A97="",$F97=""),"",IF(AND(احتساب_العمل_الإضافي="نعم",OR($N97="حاضر",$N97="دوام جزئي"),$F97&gt;$H97,($F97-$H97)*24*60&gt;=حد_العمل_الإضافي_دقيقة),($F97-$H97)*24,0))</f>
        <v/>
      </c>
      <c r="N97" s="40" t="n"/>
      <c r="O97" s="40" t="n"/>
      <c r="Q97">
        <f>IF(AND(ISNUMBER($K97),$K97&gt;0),SUMPRODUCT(ISNUMBER($K$3:$K$502)*($K$3:$K$502&gt;0)*(ROW($K$3:$K$502)&lt;=ROW())),"")</f>
        <v/>
      </c>
    </row>
    <row r="98">
      <c r="A98" s="47" t="n"/>
      <c r="B98" s="50">
        <f>IFERROR(INDEX(الموظفون_الاسم,MATCH($A98,الموظفون_الرقم,0)),"")</f>
        <v/>
      </c>
      <c r="C98" s="112" t="n"/>
      <c r="D98" s="50">
        <f>IF($C98="","",IFERROR(INDEX(قائمة_أيام_الأسبوع,WEEKDAY($C98,1)),""))</f>
        <v/>
      </c>
      <c r="E98" s="116" t="n"/>
      <c r="F98" s="116" t="n"/>
      <c r="G98" s="117">
        <f>IF($A98="","",بداية_الدوام)</f>
        <v/>
      </c>
      <c r="H98" s="117">
        <f>IF($A98="","",نهاية_الدوام)</f>
        <v/>
      </c>
      <c r="I98" s="58">
        <f>IF($A98="","",مدة_الاستراحة/60)</f>
        <v/>
      </c>
      <c r="J98" s="58">
        <f>IF(OR($A98="",$E98="",$F98=""),"",IF(OR($N98="حاضر",$N98="دوام جزئي"),MAX(0,MOD($F98-$E98,1)*24-$I98),0))</f>
        <v/>
      </c>
      <c r="K98" s="58">
        <f>IF(OR($A98="",$E98=""),"",IF(AND(احتساب_التأخير="نعم",OR($N98="حاضر",$N98="دوام جزئي"),$E98&gt;$G98+دقائق_السماح/1440),($E98-$G98-دقائق_السماح/1440)*24,0))</f>
        <v/>
      </c>
      <c r="L98" s="58">
        <f>IF(OR($A98="",$F98=""),"",IF(AND(OR($N98="حاضر",$N98="دوام جزئي"),$F98&lt;$H98),($H98-$F98)*24,0))</f>
        <v/>
      </c>
      <c r="M98" s="58">
        <f>IF(OR($A98="",$F98=""),"",IF(AND(احتساب_العمل_الإضافي="نعم",OR($N98="حاضر",$N98="دوام جزئي"),$F98&gt;$H98,($F98-$H98)*24*60&gt;=حد_العمل_الإضافي_دقيقة),($F98-$H98)*24,0))</f>
        <v/>
      </c>
      <c r="N98" s="47" t="n"/>
      <c r="O98" s="47" t="n"/>
      <c r="Q98">
        <f>IF(AND(ISNUMBER($K98),$K98&gt;0),SUMPRODUCT(ISNUMBER($K$3:$K$502)*($K$3:$K$502&gt;0)*(ROW($K$3:$K$502)&lt;=ROW())),"")</f>
        <v/>
      </c>
    </row>
    <row r="99">
      <c r="A99" s="40" t="n"/>
      <c r="B99" s="43">
        <f>IFERROR(INDEX(الموظفون_الاسم,MATCH($A99,الموظفون_الرقم,0)),"")</f>
        <v/>
      </c>
      <c r="C99" s="110" t="n"/>
      <c r="D99" s="43">
        <f>IF($C99="","",IFERROR(INDEX(قائمة_أيام_الأسبوع,WEEKDAY($C99,1)),""))</f>
        <v/>
      </c>
      <c r="E99" s="114" t="n"/>
      <c r="F99" s="114" t="n"/>
      <c r="G99" s="115">
        <f>IF($A99="","",بداية_الدوام)</f>
        <v/>
      </c>
      <c r="H99" s="115">
        <f>IF($A99="","",نهاية_الدوام)</f>
        <v/>
      </c>
      <c r="I99" s="55">
        <f>IF($A99="","",مدة_الاستراحة/60)</f>
        <v/>
      </c>
      <c r="J99" s="55">
        <f>IF(OR($A99="",$E99="",$F99=""),"",IF(OR($N99="حاضر",$N99="دوام جزئي"),MAX(0,MOD($F99-$E99,1)*24-$I99),0))</f>
        <v/>
      </c>
      <c r="K99" s="55">
        <f>IF(OR($A99="",$E99=""),"",IF(AND(احتساب_التأخير="نعم",OR($N99="حاضر",$N99="دوام جزئي"),$E99&gt;$G99+دقائق_السماح/1440),($E99-$G99-دقائق_السماح/1440)*24,0))</f>
        <v/>
      </c>
      <c r="L99" s="55">
        <f>IF(OR($A99="",$F99=""),"",IF(AND(OR($N99="حاضر",$N99="دوام جزئي"),$F99&lt;$H99),($H99-$F99)*24,0))</f>
        <v/>
      </c>
      <c r="M99" s="55">
        <f>IF(OR($A99="",$F99=""),"",IF(AND(احتساب_العمل_الإضافي="نعم",OR($N99="حاضر",$N99="دوام جزئي"),$F99&gt;$H99,($F99-$H99)*24*60&gt;=حد_العمل_الإضافي_دقيقة),($F99-$H99)*24,0))</f>
        <v/>
      </c>
      <c r="N99" s="40" t="n"/>
      <c r="O99" s="40" t="n"/>
      <c r="Q99">
        <f>IF(AND(ISNUMBER($K99),$K99&gt;0),SUMPRODUCT(ISNUMBER($K$3:$K$502)*($K$3:$K$502&gt;0)*(ROW($K$3:$K$502)&lt;=ROW())),"")</f>
        <v/>
      </c>
    </row>
    <row r="100">
      <c r="A100" s="47" t="n"/>
      <c r="B100" s="50">
        <f>IFERROR(INDEX(الموظفون_الاسم,MATCH($A100,الموظفون_الرقم,0)),"")</f>
        <v/>
      </c>
      <c r="C100" s="112" t="n"/>
      <c r="D100" s="50">
        <f>IF($C100="","",IFERROR(INDEX(قائمة_أيام_الأسبوع,WEEKDAY($C100,1)),""))</f>
        <v/>
      </c>
      <c r="E100" s="116" t="n"/>
      <c r="F100" s="116" t="n"/>
      <c r="G100" s="117">
        <f>IF($A100="","",بداية_الدوام)</f>
        <v/>
      </c>
      <c r="H100" s="117">
        <f>IF($A100="","",نهاية_الدوام)</f>
        <v/>
      </c>
      <c r="I100" s="58">
        <f>IF($A100="","",مدة_الاستراحة/60)</f>
        <v/>
      </c>
      <c r="J100" s="58">
        <f>IF(OR($A100="",$E100="",$F100=""),"",IF(OR($N100="حاضر",$N100="دوام جزئي"),MAX(0,MOD($F100-$E100,1)*24-$I100),0))</f>
        <v/>
      </c>
      <c r="K100" s="58">
        <f>IF(OR($A100="",$E100=""),"",IF(AND(احتساب_التأخير="نعم",OR($N100="حاضر",$N100="دوام جزئي"),$E100&gt;$G100+دقائق_السماح/1440),($E100-$G100-دقائق_السماح/1440)*24,0))</f>
        <v/>
      </c>
      <c r="L100" s="58">
        <f>IF(OR($A100="",$F100=""),"",IF(AND(OR($N100="حاضر",$N100="دوام جزئي"),$F100&lt;$H100),($H100-$F100)*24,0))</f>
        <v/>
      </c>
      <c r="M100" s="58">
        <f>IF(OR($A100="",$F100=""),"",IF(AND(احتساب_العمل_الإضافي="نعم",OR($N100="حاضر",$N100="دوام جزئي"),$F100&gt;$H100,($F100-$H100)*24*60&gt;=حد_العمل_الإضافي_دقيقة),($F100-$H100)*24,0))</f>
        <v/>
      </c>
      <c r="N100" s="47" t="n"/>
      <c r="O100" s="47" t="n"/>
      <c r="Q100">
        <f>IF(AND(ISNUMBER($K100),$K100&gt;0),SUMPRODUCT(ISNUMBER($K$3:$K$502)*($K$3:$K$502&gt;0)*(ROW($K$3:$K$502)&lt;=ROW())),"")</f>
        <v/>
      </c>
    </row>
    <row r="101">
      <c r="A101" s="40" t="n"/>
      <c r="B101" s="43">
        <f>IFERROR(INDEX(الموظفون_الاسم,MATCH($A101,الموظفون_الرقم,0)),"")</f>
        <v/>
      </c>
      <c r="C101" s="110" t="n"/>
      <c r="D101" s="43">
        <f>IF($C101="","",IFERROR(INDEX(قائمة_أيام_الأسبوع,WEEKDAY($C101,1)),""))</f>
        <v/>
      </c>
      <c r="E101" s="114" t="n"/>
      <c r="F101" s="114" t="n"/>
      <c r="G101" s="115">
        <f>IF($A101="","",بداية_الدوام)</f>
        <v/>
      </c>
      <c r="H101" s="115">
        <f>IF($A101="","",نهاية_الدوام)</f>
        <v/>
      </c>
      <c r="I101" s="55">
        <f>IF($A101="","",مدة_الاستراحة/60)</f>
        <v/>
      </c>
      <c r="J101" s="55">
        <f>IF(OR($A101="",$E101="",$F101=""),"",IF(OR($N101="حاضر",$N101="دوام جزئي"),MAX(0,MOD($F101-$E101,1)*24-$I101),0))</f>
        <v/>
      </c>
      <c r="K101" s="55">
        <f>IF(OR($A101="",$E101=""),"",IF(AND(احتساب_التأخير="نعم",OR($N101="حاضر",$N101="دوام جزئي"),$E101&gt;$G101+دقائق_السماح/1440),($E101-$G101-دقائق_السماح/1440)*24,0))</f>
        <v/>
      </c>
      <c r="L101" s="55">
        <f>IF(OR($A101="",$F101=""),"",IF(AND(OR($N101="حاضر",$N101="دوام جزئي"),$F101&lt;$H101),($H101-$F101)*24,0))</f>
        <v/>
      </c>
      <c r="M101" s="55">
        <f>IF(OR($A101="",$F101=""),"",IF(AND(احتساب_العمل_الإضافي="نعم",OR($N101="حاضر",$N101="دوام جزئي"),$F101&gt;$H101,($F101-$H101)*24*60&gt;=حد_العمل_الإضافي_دقيقة),($F101-$H101)*24,0))</f>
        <v/>
      </c>
      <c r="N101" s="40" t="n"/>
      <c r="O101" s="40" t="n"/>
      <c r="Q101">
        <f>IF(AND(ISNUMBER($K101),$K101&gt;0),SUMPRODUCT(ISNUMBER($K$3:$K$502)*($K$3:$K$502&gt;0)*(ROW($K$3:$K$502)&lt;=ROW())),"")</f>
        <v/>
      </c>
    </row>
    <row r="102">
      <c r="A102" s="47" t="n"/>
      <c r="B102" s="50">
        <f>IFERROR(INDEX(الموظفون_الاسم,MATCH($A102,الموظفون_الرقم,0)),"")</f>
        <v/>
      </c>
      <c r="C102" s="112" t="n"/>
      <c r="D102" s="50">
        <f>IF($C102="","",IFERROR(INDEX(قائمة_أيام_الأسبوع,WEEKDAY($C102,1)),""))</f>
        <v/>
      </c>
      <c r="E102" s="116" t="n"/>
      <c r="F102" s="116" t="n"/>
      <c r="G102" s="117">
        <f>IF($A102="","",بداية_الدوام)</f>
        <v/>
      </c>
      <c r="H102" s="117">
        <f>IF($A102="","",نهاية_الدوام)</f>
        <v/>
      </c>
      <c r="I102" s="58">
        <f>IF($A102="","",مدة_الاستراحة/60)</f>
        <v/>
      </c>
      <c r="J102" s="58">
        <f>IF(OR($A102="",$E102="",$F102=""),"",IF(OR($N102="حاضر",$N102="دوام جزئي"),MAX(0,MOD($F102-$E102,1)*24-$I102),0))</f>
        <v/>
      </c>
      <c r="K102" s="58">
        <f>IF(OR($A102="",$E102=""),"",IF(AND(احتساب_التأخير="نعم",OR($N102="حاضر",$N102="دوام جزئي"),$E102&gt;$G102+دقائق_السماح/1440),($E102-$G102-دقائق_السماح/1440)*24,0))</f>
        <v/>
      </c>
      <c r="L102" s="58">
        <f>IF(OR($A102="",$F102=""),"",IF(AND(OR($N102="حاضر",$N102="دوام جزئي"),$F102&lt;$H102),($H102-$F102)*24,0))</f>
        <v/>
      </c>
      <c r="M102" s="58">
        <f>IF(OR($A102="",$F102=""),"",IF(AND(احتساب_العمل_الإضافي="نعم",OR($N102="حاضر",$N102="دوام جزئي"),$F102&gt;$H102,($F102-$H102)*24*60&gt;=حد_العمل_الإضافي_دقيقة),($F102-$H102)*24,0))</f>
        <v/>
      </c>
      <c r="N102" s="47" t="n"/>
      <c r="O102" s="47" t="n"/>
      <c r="Q102">
        <f>IF(AND(ISNUMBER($K102),$K102&gt;0),SUMPRODUCT(ISNUMBER($K$3:$K$502)*($K$3:$K$502&gt;0)*(ROW($K$3:$K$502)&lt;=ROW())),"")</f>
        <v/>
      </c>
    </row>
    <row r="103">
      <c r="A103" s="40" t="n"/>
      <c r="B103" s="43">
        <f>IFERROR(INDEX(الموظفون_الاسم,MATCH($A103,الموظفون_الرقم,0)),"")</f>
        <v/>
      </c>
      <c r="C103" s="110" t="n"/>
      <c r="D103" s="43">
        <f>IF($C103="","",IFERROR(INDEX(قائمة_أيام_الأسبوع,WEEKDAY($C103,1)),""))</f>
        <v/>
      </c>
      <c r="E103" s="114" t="n"/>
      <c r="F103" s="114" t="n"/>
      <c r="G103" s="115">
        <f>IF($A103="","",بداية_الدوام)</f>
        <v/>
      </c>
      <c r="H103" s="115">
        <f>IF($A103="","",نهاية_الدوام)</f>
        <v/>
      </c>
      <c r="I103" s="55">
        <f>IF($A103="","",مدة_الاستراحة/60)</f>
        <v/>
      </c>
      <c r="J103" s="55">
        <f>IF(OR($A103="",$E103="",$F103=""),"",IF(OR($N103="حاضر",$N103="دوام جزئي"),MAX(0,MOD($F103-$E103,1)*24-$I103),0))</f>
        <v/>
      </c>
      <c r="K103" s="55">
        <f>IF(OR($A103="",$E103=""),"",IF(AND(احتساب_التأخير="نعم",OR($N103="حاضر",$N103="دوام جزئي"),$E103&gt;$G103+دقائق_السماح/1440),($E103-$G103-دقائق_السماح/1440)*24,0))</f>
        <v/>
      </c>
      <c r="L103" s="55">
        <f>IF(OR($A103="",$F103=""),"",IF(AND(OR($N103="حاضر",$N103="دوام جزئي"),$F103&lt;$H103),($H103-$F103)*24,0))</f>
        <v/>
      </c>
      <c r="M103" s="55">
        <f>IF(OR($A103="",$F103=""),"",IF(AND(احتساب_العمل_الإضافي="نعم",OR($N103="حاضر",$N103="دوام جزئي"),$F103&gt;$H103,($F103-$H103)*24*60&gt;=حد_العمل_الإضافي_دقيقة),($F103-$H103)*24,0))</f>
        <v/>
      </c>
      <c r="N103" s="40" t="n"/>
      <c r="O103" s="40" t="n"/>
      <c r="Q103">
        <f>IF(AND(ISNUMBER($K103),$K103&gt;0),SUMPRODUCT(ISNUMBER($K$3:$K$502)*($K$3:$K$502&gt;0)*(ROW($K$3:$K$502)&lt;=ROW())),"")</f>
        <v/>
      </c>
    </row>
    <row r="104">
      <c r="A104" s="47" t="n"/>
      <c r="B104" s="50">
        <f>IFERROR(INDEX(الموظفون_الاسم,MATCH($A104,الموظفون_الرقم,0)),"")</f>
        <v/>
      </c>
      <c r="C104" s="112" t="n"/>
      <c r="D104" s="50">
        <f>IF($C104="","",IFERROR(INDEX(قائمة_أيام_الأسبوع,WEEKDAY($C104,1)),""))</f>
        <v/>
      </c>
      <c r="E104" s="116" t="n"/>
      <c r="F104" s="116" t="n"/>
      <c r="G104" s="117">
        <f>IF($A104="","",بداية_الدوام)</f>
        <v/>
      </c>
      <c r="H104" s="117">
        <f>IF($A104="","",نهاية_الدوام)</f>
        <v/>
      </c>
      <c r="I104" s="58">
        <f>IF($A104="","",مدة_الاستراحة/60)</f>
        <v/>
      </c>
      <c r="J104" s="58">
        <f>IF(OR($A104="",$E104="",$F104=""),"",IF(OR($N104="حاضر",$N104="دوام جزئي"),MAX(0,MOD($F104-$E104,1)*24-$I104),0))</f>
        <v/>
      </c>
      <c r="K104" s="58">
        <f>IF(OR($A104="",$E104=""),"",IF(AND(احتساب_التأخير="نعم",OR($N104="حاضر",$N104="دوام جزئي"),$E104&gt;$G104+دقائق_السماح/1440),($E104-$G104-دقائق_السماح/1440)*24,0))</f>
        <v/>
      </c>
      <c r="L104" s="58">
        <f>IF(OR($A104="",$F104=""),"",IF(AND(OR($N104="حاضر",$N104="دوام جزئي"),$F104&lt;$H104),($H104-$F104)*24,0))</f>
        <v/>
      </c>
      <c r="M104" s="58">
        <f>IF(OR($A104="",$F104=""),"",IF(AND(احتساب_العمل_الإضافي="نعم",OR($N104="حاضر",$N104="دوام جزئي"),$F104&gt;$H104,($F104-$H104)*24*60&gt;=حد_العمل_الإضافي_دقيقة),($F104-$H104)*24,0))</f>
        <v/>
      </c>
      <c r="N104" s="47" t="n"/>
      <c r="O104" s="47" t="n"/>
      <c r="Q104">
        <f>IF(AND(ISNUMBER($K104),$K104&gt;0),SUMPRODUCT(ISNUMBER($K$3:$K$502)*($K$3:$K$502&gt;0)*(ROW($K$3:$K$502)&lt;=ROW())),"")</f>
        <v/>
      </c>
    </row>
    <row r="105">
      <c r="A105" s="40" t="n"/>
      <c r="B105" s="43">
        <f>IFERROR(INDEX(الموظفون_الاسم,MATCH($A105,الموظفون_الرقم,0)),"")</f>
        <v/>
      </c>
      <c r="C105" s="110" t="n"/>
      <c r="D105" s="43">
        <f>IF($C105="","",IFERROR(INDEX(قائمة_أيام_الأسبوع,WEEKDAY($C105,1)),""))</f>
        <v/>
      </c>
      <c r="E105" s="114" t="n"/>
      <c r="F105" s="114" t="n"/>
      <c r="G105" s="115">
        <f>IF($A105="","",بداية_الدوام)</f>
        <v/>
      </c>
      <c r="H105" s="115">
        <f>IF($A105="","",نهاية_الدوام)</f>
        <v/>
      </c>
      <c r="I105" s="55">
        <f>IF($A105="","",مدة_الاستراحة/60)</f>
        <v/>
      </c>
      <c r="J105" s="55">
        <f>IF(OR($A105="",$E105="",$F105=""),"",IF(OR($N105="حاضر",$N105="دوام جزئي"),MAX(0,MOD($F105-$E105,1)*24-$I105),0))</f>
        <v/>
      </c>
      <c r="K105" s="55">
        <f>IF(OR($A105="",$E105=""),"",IF(AND(احتساب_التأخير="نعم",OR($N105="حاضر",$N105="دوام جزئي"),$E105&gt;$G105+دقائق_السماح/1440),($E105-$G105-دقائق_السماح/1440)*24,0))</f>
        <v/>
      </c>
      <c r="L105" s="55">
        <f>IF(OR($A105="",$F105=""),"",IF(AND(OR($N105="حاضر",$N105="دوام جزئي"),$F105&lt;$H105),($H105-$F105)*24,0))</f>
        <v/>
      </c>
      <c r="M105" s="55">
        <f>IF(OR($A105="",$F105=""),"",IF(AND(احتساب_العمل_الإضافي="نعم",OR($N105="حاضر",$N105="دوام جزئي"),$F105&gt;$H105,($F105-$H105)*24*60&gt;=حد_العمل_الإضافي_دقيقة),($F105-$H105)*24,0))</f>
        <v/>
      </c>
      <c r="N105" s="40" t="n"/>
      <c r="O105" s="40" t="n"/>
      <c r="Q105">
        <f>IF(AND(ISNUMBER($K105),$K105&gt;0),SUMPRODUCT(ISNUMBER($K$3:$K$502)*($K$3:$K$502&gt;0)*(ROW($K$3:$K$502)&lt;=ROW())),"")</f>
        <v/>
      </c>
    </row>
    <row r="106">
      <c r="A106" s="47" t="n"/>
      <c r="B106" s="50">
        <f>IFERROR(INDEX(الموظفون_الاسم,MATCH($A106,الموظفون_الرقم,0)),"")</f>
        <v/>
      </c>
      <c r="C106" s="112" t="n"/>
      <c r="D106" s="50">
        <f>IF($C106="","",IFERROR(INDEX(قائمة_أيام_الأسبوع,WEEKDAY($C106,1)),""))</f>
        <v/>
      </c>
      <c r="E106" s="116" t="n"/>
      <c r="F106" s="116" t="n"/>
      <c r="G106" s="117">
        <f>IF($A106="","",بداية_الدوام)</f>
        <v/>
      </c>
      <c r="H106" s="117">
        <f>IF($A106="","",نهاية_الدوام)</f>
        <v/>
      </c>
      <c r="I106" s="58">
        <f>IF($A106="","",مدة_الاستراحة/60)</f>
        <v/>
      </c>
      <c r="J106" s="58">
        <f>IF(OR($A106="",$E106="",$F106=""),"",IF(OR($N106="حاضر",$N106="دوام جزئي"),MAX(0,MOD($F106-$E106,1)*24-$I106),0))</f>
        <v/>
      </c>
      <c r="K106" s="58">
        <f>IF(OR($A106="",$E106=""),"",IF(AND(احتساب_التأخير="نعم",OR($N106="حاضر",$N106="دوام جزئي"),$E106&gt;$G106+دقائق_السماح/1440),($E106-$G106-دقائق_السماح/1440)*24,0))</f>
        <v/>
      </c>
      <c r="L106" s="58">
        <f>IF(OR($A106="",$F106=""),"",IF(AND(OR($N106="حاضر",$N106="دوام جزئي"),$F106&lt;$H106),($H106-$F106)*24,0))</f>
        <v/>
      </c>
      <c r="M106" s="58">
        <f>IF(OR($A106="",$F106=""),"",IF(AND(احتساب_العمل_الإضافي="نعم",OR($N106="حاضر",$N106="دوام جزئي"),$F106&gt;$H106,($F106-$H106)*24*60&gt;=حد_العمل_الإضافي_دقيقة),($F106-$H106)*24,0))</f>
        <v/>
      </c>
      <c r="N106" s="47" t="n"/>
      <c r="O106" s="47" t="n"/>
      <c r="Q106">
        <f>IF(AND(ISNUMBER($K106),$K106&gt;0),SUMPRODUCT(ISNUMBER($K$3:$K$502)*($K$3:$K$502&gt;0)*(ROW($K$3:$K$502)&lt;=ROW())),"")</f>
        <v/>
      </c>
    </row>
    <row r="107">
      <c r="A107" s="40" t="n"/>
      <c r="B107" s="43">
        <f>IFERROR(INDEX(الموظفون_الاسم,MATCH($A107,الموظفون_الرقم,0)),"")</f>
        <v/>
      </c>
      <c r="C107" s="110" t="n"/>
      <c r="D107" s="43">
        <f>IF($C107="","",IFERROR(INDEX(قائمة_أيام_الأسبوع,WEEKDAY($C107,1)),""))</f>
        <v/>
      </c>
      <c r="E107" s="114" t="n"/>
      <c r="F107" s="114" t="n"/>
      <c r="G107" s="115">
        <f>IF($A107="","",بداية_الدوام)</f>
        <v/>
      </c>
      <c r="H107" s="115">
        <f>IF($A107="","",نهاية_الدوام)</f>
        <v/>
      </c>
      <c r="I107" s="55">
        <f>IF($A107="","",مدة_الاستراحة/60)</f>
        <v/>
      </c>
      <c r="J107" s="55">
        <f>IF(OR($A107="",$E107="",$F107=""),"",IF(OR($N107="حاضر",$N107="دوام جزئي"),MAX(0,MOD($F107-$E107,1)*24-$I107),0))</f>
        <v/>
      </c>
      <c r="K107" s="55">
        <f>IF(OR($A107="",$E107=""),"",IF(AND(احتساب_التأخير="نعم",OR($N107="حاضر",$N107="دوام جزئي"),$E107&gt;$G107+دقائق_السماح/1440),($E107-$G107-دقائق_السماح/1440)*24,0))</f>
        <v/>
      </c>
      <c r="L107" s="55">
        <f>IF(OR($A107="",$F107=""),"",IF(AND(OR($N107="حاضر",$N107="دوام جزئي"),$F107&lt;$H107),($H107-$F107)*24,0))</f>
        <v/>
      </c>
      <c r="M107" s="55">
        <f>IF(OR($A107="",$F107=""),"",IF(AND(احتساب_العمل_الإضافي="نعم",OR($N107="حاضر",$N107="دوام جزئي"),$F107&gt;$H107,($F107-$H107)*24*60&gt;=حد_العمل_الإضافي_دقيقة),($F107-$H107)*24,0))</f>
        <v/>
      </c>
      <c r="N107" s="40" t="n"/>
      <c r="O107" s="40" t="n"/>
      <c r="Q107">
        <f>IF(AND(ISNUMBER($K107),$K107&gt;0),SUMPRODUCT(ISNUMBER($K$3:$K$502)*($K$3:$K$502&gt;0)*(ROW($K$3:$K$502)&lt;=ROW())),"")</f>
        <v/>
      </c>
    </row>
    <row r="108">
      <c r="A108" s="47" t="n"/>
      <c r="B108" s="50">
        <f>IFERROR(INDEX(الموظفون_الاسم,MATCH($A108,الموظفون_الرقم,0)),"")</f>
        <v/>
      </c>
      <c r="C108" s="112" t="n"/>
      <c r="D108" s="50">
        <f>IF($C108="","",IFERROR(INDEX(قائمة_أيام_الأسبوع,WEEKDAY($C108,1)),""))</f>
        <v/>
      </c>
      <c r="E108" s="116" t="n"/>
      <c r="F108" s="116" t="n"/>
      <c r="G108" s="117">
        <f>IF($A108="","",بداية_الدوام)</f>
        <v/>
      </c>
      <c r="H108" s="117">
        <f>IF($A108="","",نهاية_الدوام)</f>
        <v/>
      </c>
      <c r="I108" s="58">
        <f>IF($A108="","",مدة_الاستراحة/60)</f>
        <v/>
      </c>
      <c r="J108" s="58">
        <f>IF(OR($A108="",$E108="",$F108=""),"",IF(OR($N108="حاضر",$N108="دوام جزئي"),MAX(0,MOD($F108-$E108,1)*24-$I108),0))</f>
        <v/>
      </c>
      <c r="K108" s="58">
        <f>IF(OR($A108="",$E108=""),"",IF(AND(احتساب_التأخير="نعم",OR($N108="حاضر",$N108="دوام جزئي"),$E108&gt;$G108+دقائق_السماح/1440),($E108-$G108-دقائق_السماح/1440)*24,0))</f>
        <v/>
      </c>
      <c r="L108" s="58">
        <f>IF(OR($A108="",$F108=""),"",IF(AND(OR($N108="حاضر",$N108="دوام جزئي"),$F108&lt;$H108),($H108-$F108)*24,0))</f>
        <v/>
      </c>
      <c r="M108" s="58">
        <f>IF(OR($A108="",$F108=""),"",IF(AND(احتساب_العمل_الإضافي="نعم",OR($N108="حاضر",$N108="دوام جزئي"),$F108&gt;$H108,($F108-$H108)*24*60&gt;=حد_العمل_الإضافي_دقيقة),($F108-$H108)*24,0))</f>
        <v/>
      </c>
      <c r="N108" s="47" t="n"/>
      <c r="O108" s="47" t="n"/>
      <c r="Q108">
        <f>IF(AND(ISNUMBER($K108),$K108&gt;0),SUMPRODUCT(ISNUMBER($K$3:$K$502)*($K$3:$K$502&gt;0)*(ROW($K$3:$K$502)&lt;=ROW())),"")</f>
        <v/>
      </c>
    </row>
    <row r="109">
      <c r="A109" s="40" t="n"/>
      <c r="B109" s="43">
        <f>IFERROR(INDEX(الموظفون_الاسم,MATCH($A109,الموظفون_الرقم,0)),"")</f>
        <v/>
      </c>
      <c r="C109" s="110" t="n"/>
      <c r="D109" s="43">
        <f>IF($C109="","",IFERROR(INDEX(قائمة_أيام_الأسبوع,WEEKDAY($C109,1)),""))</f>
        <v/>
      </c>
      <c r="E109" s="114" t="n"/>
      <c r="F109" s="114" t="n"/>
      <c r="G109" s="115">
        <f>IF($A109="","",بداية_الدوام)</f>
        <v/>
      </c>
      <c r="H109" s="115">
        <f>IF($A109="","",نهاية_الدوام)</f>
        <v/>
      </c>
      <c r="I109" s="55">
        <f>IF($A109="","",مدة_الاستراحة/60)</f>
        <v/>
      </c>
      <c r="J109" s="55">
        <f>IF(OR($A109="",$E109="",$F109=""),"",IF(OR($N109="حاضر",$N109="دوام جزئي"),MAX(0,MOD($F109-$E109,1)*24-$I109),0))</f>
        <v/>
      </c>
      <c r="K109" s="55">
        <f>IF(OR($A109="",$E109=""),"",IF(AND(احتساب_التأخير="نعم",OR($N109="حاضر",$N109="دوام جزئي"),$E109&gt;$G109+دقائق_السماح/1440),($E109-$G109-دقائق_السماح/1440)*24,0))</f>
        <v/>
      </c>
      <c r="L109" s="55">
        <f>IF(OR($A109="",$F109=""),"",IF(AND(OR($N109="حاضر",$N109="دوام جزئي"),$F109&lt;$H109),($H109-$F109)*24,0))</f>
        <v/>
      </c>
      <c r="M109" s="55">
        <f>IF(OR($A109="",$F109=""),"",IF(AND(احتساب_العمل_الإضافي="نعم",OR($N109="حاضر",$N109="دوام جزئي"),$F109&gt;$H109,($F109-$H109)*24*60&gt;=حد_العمل_الإضافي_دقيقة),($F109-$H109)*24,0))</f>
        <v/>
      </c>
      <c r="N109" s="40" t="n"/>
      <c r="O109" s="40" t="n"/>
      <c r="Q109">
        <f>IF(AND(ISNUMBER($K109),$K109&gt;0),SUMPRODUCT(ISNUMBER($K$3:$K$502)*($K$3:$K$502&gt;0)*(ROW($K$3:$K$502)&lt;=ROW())),"")</f>
        <v/>
      </c>
    </row>
    <row r="110">
      <c r="A110" s="47" t="n"/>
      <c r="B110" s="50">
        <f>IFERROR(INDEX(الموظفون_الاسم,MATCH($A110,الموظفون_الرقم,0)),"")</f>
        <v/>
      </c>
      <c r="C110" s="112" t="n"/>
      <c r="D110" s="50">
        <f>IF($C110="","",IFERROR(INDEX(قائمة_أيام_الأسبوع,WEEKDAY($C110,1)),""))</f>
        <v/>
      </c>
      <c r="E110" s="116" t="n"/>
      <c r="F110" s="116" t="n"/>
      <c r="G110" s="117">
        <f>IF($A110="","",بداية_الدوام)</f>
        <v/>
      </c>
      <c r="H110" s="117">
        <f>IF($A110="","",نهاية_الدوام)</f>
        <v/>
      </c>
      <c r="I110" s="58">
        <f>IF($A110="","",مدة_الاستراحة/60)</f>
        <v/>
      </c>
      <c r="J110" s="58">
        <f>IF(OR($A110="",$E110="",$F110=""),"",IF(OR($N110="حاضر",$N110="دوام جزئي"),MAX(0,MOD($F110-$E110,1)*24-$I110),0))</f>
        <v/>
      </c>
      <c r="K110" s="58">
        <f>IF(OR($A110="",$E110=""),"",IF(AND(احتساب_التأخير="نعم",OR($N110="حاضر",$N110="دوام جزئي"),$E110&gt;$G110+دقائق_السماح/1440),($E110-$G110-دقائق_السماح/1440)*24,0))</f>
        <v/>
      </c>
      <c r="L110" s="58">
        <f>IF(OR($A110="",$F110=""),"",IF(AND(OR($N110="حاضر",$N110="دوام جزئي"),$F110&lt;$H110),($H110-$F110)*24,0))</f>
        <v/>
      </c>
      <c r="M110" s="58">
        <f>IF(OR($A110="",$F110=""),"",IF(AND(احتساب_العمل_الإضافي="نعم",OR($N110="حاضر",$N110="دوام جزئي"),$F110&gt;$H110,($F110-$H110)*24*60&gt;=حد_العمل_الإضافي_دقيقة),($F110-$H110)*24,0))</f>
        <v/>
      </c>
      <c r="N110" s="47" t="n"/>
      <c r="O110" s="47" t="n"/>
      <c r="Q110">
        <f>IF(AND(ISNUMBER($K110),$K110&gt;0),SUMPRODUCT(ISNUMBER($K$3:$K$502)*($K$3:$K$502&gt;0)*(ROW($K$3:$K$502)&lt;=ROW())),"")</f>
        <v/>
      </c>
    </row>
    <row r="111">
      <c r="A111" s="40" t="n"/>
      <c r="B111" s="43">
        <f>IFERROR(INDEX(الموظفون_الاسم,MATCH($A111,الموظفون_الرقم,0)),"")</f>
        <v/>
      </c>
      <c r="C111" s="110" t="n"/>
      <c r="D111" s="43">
        <f>IF($C111="","",IFERROR(INDEX(قائمة_أيام_الأسبوع,WEEKDAY($C111,1)),""))</f>
        <v/>
      </c>
      <c r="E111" s="114" t="n"/>
      <c r="F111" s="114" t="n"/>
      <c r="G111" s="115">
        <f>IF($A111="","",بداية_الدوام)</f>
        <v/>
      </c>
      <c r="H111" s="115">
        <f>IF($A111="","",نهاية_الدوام)</f>
        <v/>
      </c>
      <c r="I111" s="55">
        <f>IF($A111="","",مدة_الاستراحة/60)</f>
        <v/>
      </c>
      <c r="J111" s="55">
        <f>IF(OR($A111="",$E111="",$F111=""),"",IF(OR($N111="حاضر",$N111="دوام جزئي"),MAX(0,MOD($F111-$E111,1)*24-$I111),0))</f>
        <v/>
      </c>
      <c r="K111" s="55">
        <f>IF(OR($A111="",$E111=""),"",IF(AND(احتساب_التأخير="نعم",OR($N111="حاضر",$N111="دوام جزئي"),$E111&gt;$G111+دقائق_السماح/1440),($E111-$G111-دقائق_السماح/1440)*24,0))</f>
        <v/>
      </c>
      <c r="L111" s="55">
        <f>IF(OR($A111="",$F111=""),"",IF(AND(OR($N111="حاضر",$N111="دوام جزئي"),$F111&lt;$H111),($H111-$F111)*24,0))</f>
        <v/>
      </c>
      <c r="M111" s="55">
        <f>IF(OR($A111="",$F111=""),"",IF(AND(احتساب_العمل_الإضافي="نعم",OR($N111="حاضر",$N111="دوام جزئي"),$F111&gt;$H111,($F111-$H111)*24*60&gt;=حد_العمل_الإضافي_دقيقة),($F111-$H111)*24,0))</f>
        <v/>
      </c>
      <c r="N111" s="40" t="n"/>
      <c r="O111" s="40" t="n"/>
      <c r="Q111">
        <f>IF(AND(ISNUMBER($K111),$K111&gt;0),SUMPRODUCT(ISNUMBER($K$3:$K$502)*($K$3:$K$502&gt;0)*(ROW($K$3:$K$502)&lt;=ROW())),"")</f>
        <v/>
      </c>
    </row>
    <row r="112">
      <c r="A112" s="47" t="n"/>
      <c r="B112" s="50">
        <f>IFERROR(INDEX(الموظفون_الاسم,MATCH($A112,الموظفون_الرقم,0)),"")</f>
        <v/>
      </c>
      <c r="C112" s="112" t="n"/>
      <c r="D112" s="50">
        <f>IF($C112="","",IFERROR(INDEX(قائمة_أيام_الأسبوع,WEEKDAY($C112,1)),""))</f>
        <v/>
      </c>
      <c r="E112" s="116" t="n"/>
      <c r="F112" s="116" t="n"/>
      <c r="G112" s="117">
        <f>IF($A112="","",بداية_الدوام)</f>
        <v/>
      </c>
      <c r="H112" s="117">
        <f>IF($A112="","",نهاية_الدوام)</f>
        <v/>
      </c>
      <c r="I112" s="58">
        <f>IF($A112="","",مدة_الاستراحة/60)</f>
        <v/>
      </c>
      <c r="J112" s="58">
        <f>IF(OR($A112="",$E112="",$F112=""),"",IF(OR($N112="حاضر",$N112="دوام جزئي"),MAX(0,MOD($F112-$E112,1)*24-$I112),0))</f>
        <v/>
      </c>
      <c r="K112" s="58">
        <f>IF(OR($A112="",$E112=""),"",IF(AND(احتساب_التأخير="نعم",OR($N112="حاضر",$N112="دوام جزئي"),$E112&gt;$G112+دقائق_السماح/1440),($E112-$G112-دقائق_السماح/1440)*24,0))</f>
        <v/>
      </c>
      <c r="L112" s="58">
        <f>IF(OR($A112="",$F112=""),"",IF(AND(OR($N112="حاضر",$N112="دوام جزئي"),$F112&lt;$H112),($H112-$F112)*24,0))</f>
        <v/>
      </c>
      <c r="M112" s="58">
        <f>IF(OR($A112="",$F112=""),"",IF(AND(احتساب_العمل_الإضافي="نعم",OR($N112="حاضر",$N112="دوام جزئي"),$F112&gt;$H112,($F112-$H112)*24*60&gt;=حد_العمل_الإضافي_دقيقة),($F112-$H112)*24,0))</f>
        <v/>
      </c>
      <c r="N112" s="47" t="n"/>
      <c r="O112" s="47" t="n"/>
      <c r="Q112">
        <f>IF(AND(ISNUMBER($K112),$K112&gt;0),SUMPRODUCT(ISNUMBER($K$3:$K$502)*($K$3:$K$502&gt;0)*(ROW($K$3:$K$502)&lt;=ROW())),"")</f>
        <v/>
      </c>
    </row>
    <row r="113">
      <c r="A113" s="40" t="n"/>
      <c r="B113" s="43">
        <f>IFERROR(INDEX(الموظفون_الاسم,MATCH($A113,الموظفون_الرقم,0)),"")</f>
        <v/>
      </c>
      <c r="C113" s="110" t="n"/>
      <c r="D113" s="43">
        <f>IF($C113="","",IFERROR(INDEX(قائمة_أيام_الأسبوع,WEEKDAY($C113,1)),""))</f>
        <v/>
      </c>
      <c r="E113" s="114" t="n"/>
      <c r="F113" s="114" t="n"/>
      <c r="G113" s="115">
        <f>IF($A113="","",بداية_الدوام)</f>
        <v/>
      </c>
      <c r="H113" s="115">
        <f>IF($A113="","",نهاية_الدوام)</f>
        <v/>
      </c>
      <c r="I113" s="55">
        <f>IF($A113="","",مدة_الاستراحة/60)</f>
        <v/>
      </c>
      <c r="J113" s="55">
        <f>IF(OR($A113="",$E113="",$F113=""),"",IF(OR($N113="حاضر",$N113="دوام جزئي"),MAX(0,MOD($F113-$E113,1)*24-$I113),0))</f>
        <v/>
      </c>
      <c r="K113" s="55">
        <f>IF(OR($A113="",$E113=""),"",IF(AND(احتساب_التأخير="نعم",OR($N113="حاضر",$N113="دوام جزئي"),$E113&gt;$G113+دقائق_السماح/1440),($E113-$G113-دقائق_السماح/1440)*24,0))</f>
        <v/>
      </c>
      <c r="L113" s="55">
        <f>IF(OR($A113="",$F113=""),"",IF(AND(OR($N113="حاضر",$N113="دوام جزئي"),$F113&lt;$H113),($H113-$F113)*24,0))</f>
        <v/>
      </c>
      <c r="M113" s="55">
        <f>IF(OR($A113="",$F113=""),"",IF(AND(احتساب_العمل_الإضافي="نعم",OR($N113="حاضر",$N113="دوام جزئي"),$F113&gt;$H113,($F113-$H113)*24*60&gt;=حد_العمل_الإضافي_دقيقة),($F113-$H113)*24,0))</f>
        <v/>
      </c>
      <c r="N113" s="40" t="n"/>
      <c r="O113" s="40" t="n"/>
      <c r="Q113">
        <f>IF(AND(ISNUMBER($K113),$K113&gt;0),SUMPRODUCT(ISNUMBER($K$3:$K$502)*($K$3:$K$502&gt;0)*(ROW($K$3:$K$502)&lt;=ROW())),"")</f>
        <v/>
      </c>
    </row>
    <row r="114">
      <c r="A114" s="47" t="n"/>
      <c r="B114" s="50">
        <f>IFERROR(INDEX(الموظفون_الاسم,MATCH($A114,الموظفون_الرقم,0)),"")</f>
        <v/>
      </c>
      <c r="C114" s="112" t="n"/>
      <c r="D114" s="50">
        <f>IF($C114="","",IFERROR(INDEX(قائمة_أيام_الأسبوع,WEEKDAY($C114,1)),""))</f>
        <v/>
      </c>
      <c r="E114" s="116" t="n"/>
      <c r="F114" s="116" t="n"/>
      <c r="G114" s="117">
        <f>IF($A114="","",بداية_الدوام)</f>
        <v/>
      </c>
      <c r="H114" s="117">
        <f>IF($A114="","",نهاية_الدوام)</f>
        <v/>
      </c>
      <c r="I114" s="58">
        <f>IF($A114="","",مدة_الاستراحة/60)</f>
        <v/>
      </c>
      <c r="J114" s="58">
        <f>IF(OR($A114="",$E114="",$F114=""),"",IF(OR($N114="حاضر",$N114="دوام جزئي"),MAX(0,MOD($F114-$E114,1)*24-$I114),0))</f>
        <v/>
      </c>
      <c r="K114" s="58">
        <f>IF(OR($A114="",$E114=""),"",IF(AND(احتساب_التأخير="نعم",OR($N114="حاضر",$N114="دوام جزئي"),$E114&gt;$G114+دقائق_السماح/1440),($E114-$G114-دقائق_السماح/1440)*24,0))</f>
        <v/>
      </c>
      <c r="L114" s="58">
        <f>IF(OR($A114="",$F114=""),"",IF(AND(OR($N114="حاضر",$N114="دوام جزئي"),$F114&lt;$H114),($H114-$F114)*24,0))</f>
        <v/>
      </c>
      <c r="M114" s="58">
        <f>IF(OR($A114="",$F114=""),"",IF(AND(احتساب_العمل_الإضافي="نعم",OR($N114="حاضر",$N114="دوام جزئي"),$F114&gt;$H114,($F114-$H114)*24*60&gt;=حد_العمل_الإضافي_دقيقة),($F114-$H114)*24,0))</f>
        <v/>
      </c>
      <c r="N114" s="47" t="n"/>
      <c r="O114" s="47" t="n"/>
      <c r="Q114">
        <f>IF(AND(ISNUMBER($K114),$K114&gt;0),SUMPRODUCT(ISNUMBER($K$3:$K$502)*($K$3:$K$502&gt;0)*(ROW($K$3:$K$502)&lt;=ROW())),"")</f>
        <v/>
      </c>
    </row>
    <row r="115">
      <c r="A115" s="40" t="n"/>
      <c r="B115" s="43">
        <f>IFERROR(INDEX(الموظفون_الاسم,MATCH($A115,الموظفون_الرقم,0)),"")</f>
        <v/>
      </c>
      <c r="C115" s="110" t="n"/>
      <c r="D115" s="43">
        <f>IF($C115="","",IFERROR(INDEX(قائمة_أيام_الأسبوع,WEEKDAY($C115,1)),""))</f>
        <v/>
      </c>
      <c r="E115" s="114" t="n"/>
      <c r="F115" s="114" t="n"/>
      <c r="G115" s="115">
        <f>IF($A115="","",بداية_الدوام)</f>
        <v/>
      </c>
      <c r="H115" s="115">
        <f>IF($A115="","",نهاية_الدوام)</f>
        <v/>
      </c>
      <c r="I115" s="55">
        <f>IF($A115="","",مدة_الاستراحة/60)</f>
        <v/>
      </c>
      <c r="J115" s="55">
        <f>IF(OR($A115="",$E115="",$F115=""),"",IF(OR($N115="حاضر",$N115="دوام جزئي"),MAX(0,MOD($F115-$E115,1)*24-$I115),0))</f>
        <v/>
      </c>
      <c r="K115" s="55">
        <f>IF(OR($A115="",$E115=""),"",IF(AND(احتساب_التأخير="نعم",OR($N115="حاضر",$N115="دوام جزئي"),$E115&gt;$G115+دقائق_السماح/1440),($E115-$G115-دقائق_السماح/1440)*24,0))</f>
        <v/>
      </c>
      <c r="L115" s="55">
        <f>IF(OR($A115="",$F115=""),"",IF(AND(OR($N115="حاضر",$N115="دوام جزئي"),$F115&lt;$H115),($H115-$F115)*24,0))</f>
        <v/>
      </c>
      <c r="M115" s="55">
        <f>IF(OR($A115="",$F115=""),"",IF(AND(احتساب_العمل_الإضافي="نعم",OR($N115="حاضر",$N115="دوام جزئي"),$F115&gt;$H115,($F115-$H115)*24*60&gt;=حد_العمل_الإضافي_دقيقة),($F115-$H115)*24,0))</f>
        <v/>
      </c>
      <c r="N115" s="40" t="n"/>
      <c r="O115" s="40" t="n"/>
      <c r="Q115">
        <f>IF(AND(ISNUMBER($K115),$K115&gt;0),SUMPRODUCT(ISNUMBER($K$3:$K$502)*($K$3:$K$502&gt;0)*(ROW($K$3:$K$502)&lt;=ROW())),"")</f>
        <v/>
      </c>
    </row>
    <row r="116">
      <c r="A116" s="47" t="n"/>
      <c r="B116" s="50">
        <f>IFERROR(INDEX(الموظفون_الاسم,MATCH($A116,الموظفون_الرقم,0)),"")</f>
        <v/>
      </c>
      <c r="C116" s="112" t="n"/>
      <c r="D116" s="50">
        <f>IF($C116="","",IFERROR(INDEX(قائمة_أيام_الأسبوع,WEEKDAY($C116,1)),""))</f>
        <v/>
      </c>
      <c r="E116" s="116" t="n"/>
      <c r="F116" s="116" t="n"/>
      <c r="G116" s="117">
        <f>IF($A116="","",بداية_الدوام)</f>
        <v/>
      </c>
      <c r="H116" s="117">
        <f>IF($A116="","",نهاية_الدوام)</f>
        <v/>
      </c>
      <c r="I116" s="58">
        <f>IF($A116="","",مدة_الاستراحة/60)</f>
        <v/>
      </c>
      <c r="J116" s="58">
        <f>IF(OR($A116="",$E116="",$F116=""),"",IF(OR($N116="حاضر",$N116="دوام جزئي"),MAX(0,MOD($F116-$E116,1)*24-$I116),0))</f>
        <v/>
      </c>
      <c r="K116" s="58">
        <f>IF(OR($A116="",$E116=""),"",IF(AND(احتساب_التأخير="نعم",OR($N116="حاضر",$N116="دوام جزئي"),$E116&gt;$G116+دقائق_السماح/1440),($E116-$G116-دقائق_السماح/1440)*24,0))</f>
        <v/>
      </c>
      <c r="L116" s="58">
        <f>IF(OR($A116="",$F116=""),"",IF(AND(OR($N116="حاضر",$N116="دوام جزئي"),$F116&lt;$H116),($H116-$F116)*24,0))</f>
        <v/>
      </c>
      <c r="M116" s="58">
        <f>IF(OR($A116="",$F116=""),"",IF(AND(احتساب_العمل_الإضافي="نعم",OR($N116="حاضر",$N116="دوام جزئي"),$F116&gt;$H116,($F116-$H116)*24*60&gt;=حد_العمل_الإضافي_دقيقة),($F116-$H116)*24,0))</f>
        <v/>
      </c>
      <c r="N116" s="47" t="n"/>
      <c r="O116" s="47" t="n"/>
      <c r="Q116">
        <f>IF(AND(ISNUMBER($K116),$K116&gt;0),SUMPRODUCT(ISNUMBER($K$3:$K$502)*($K$3:$K$502&gt;0)*(ROW($K$3:$K$502)&lt;=ROW())),"")</f>
        <v/>
      </c>
    </row>
    <row r="117">
      <c r="A117" s="40" t="n"/>
      <c r="B117" s="43">
        <f>IFERROR(INDEX(الموظفون_الاسم,MATCH($A117,الموظفون_الرقم,0)),"")</f>
        <v/>
      </c>
      <c r="C117" s="110" t="n"/>
      <c r="D117" s="43">
        <f>IF($C117="","",IFERROR(INDEX(قائمة_أيام_الأسبوع,WEEKDAY($C117,1)),""))</f>
        <v/>
      </c>
      <c r="E117" s="114" t="n"/>
      <c r="F117" s="114" t="n"/>
      <c r="G117" s="115">
        <f>IF($A117="","",بداية_الدوام)</f>
        <v/>
      </c>
      <c r="H117" s="115">
        <f>IF($A117="","",نهاية_الدوام)</f>
        <v/>
      </c>
      <c r="I117" s="55">
        <f>IF($A117="","",مدة_الاستراحة/60)</f>
        <v/>
      </c>
      <c r="J117" s="55">
        <f>IF(OR($A117="",$E117="",$F117=""),"",IF(OR($N117="حاضر",$N117="دوام جزئي"),MAX(0,MOD($F117-$E117,1)*24-$I117),0))</f>
        <v/>
      </c>
      <c r="K117" s="55">
        <f>IF(OR($A117="",$E117=""),"",IF(AND(احتساب_التأخير="نعم",OR($N117="حاضر",$N117="دوام جزئي"),$E117&gt;$G117+دقائق_السماح/1440),($E117-$G117-دقائق_السماح/1440)*24,0))</f>
        <v/>
      </c>
      <c r="L117" s="55">
        <f>IF(OR($A117="",$F117=""),"",IF(AND(OR($N117="حاضر",$N117="دوام جزئي"),$F117&lt;$H117),($H117-$F117)*24,0))</f>
        <v/>
      </c>
      <c r="M117" s="55">
        <f>IF(OR($A117="",$F117=""),"",IF(AND(احتساب_العمل_الإضافي="نعم",OR($N117="حاضر",$N117="دوام جزئي"),$F117&gt;$H117,($F117-$H117)*24*60&gt;=حد_العمل_الإضافي_دقيقة),($F117-$H117)*24,0))</f>
        <v/>
      </c>
      <c r="N117" s="40" t="n"/>
      <c r="O117" s="40" t="n"/>
      <c r="Q117">
        <f>IF(AND(ISNUMBER($K117),$K117&gt;0),SUMPRODUCT(ISNUMBER($K$3:$K$502)*($K$3:$K$502&gt;0)*(ROW($K$3:$K$502)&lt;=ROW())),"")</f>
        <v/>
      </c>
    </row>
    <row r="118">
      <c r="A118" s="47" t="n"/>
      <c r="B118" s="50">
        <f>IFERROR(INDEX(الموظفون_الاسم,MATCH($A118,الموظفون_الرقم,0)),"")</f>
        <v/>
      </c>
      <c r="C118" s="112" t="n"/>
      <c r="D118" s="50">
        <f>IF($C118="","",IFERROR(INDEX(قائمة_أيام_الأسبوع,WEEKDAY($C118,1)),""))</f>
        <v/>
      </c>
      <c r="E118" s="116" t="n"/>
      <c r="F118" s="116" t="n"/>
      <c r="G118" s="117">
        <f>IF($A118="","",بداية_الدوام)</f>
        <v/>
      </c>
      <c r="H118" s="117">
        <f>IF($A118="","",نهاية_الدوام)</f>
        <v/>
      </c>
      <c r="I118" s="58">
        <f>IF($A118="","",مدة_الاستراحة/60)</f>
        <v/>
      </c>
      <c r="J118" s="58">
        <f>IF(OR($A118="",$E118="",$F118=""),"",IF(OR($N118="حاضر",$N118="دوام جزئي"),MAX(0,MOD($F118-$E118,1)*24-$I118),0))</f>
        <v/>
      </c>
      <c r="K118" s="58">
        <f>IF(OR($A118="",$E118=""),"",IF(AND(احتساب_التأخير="نعم",OR($N118="حاضر",$N118="دوام جزئي"),$E118&gt;$G118+دقائق_السماح/1440),($E118-$G118-دقائق_السماح/1440)*24,0))</f>
        <v/>
      </c>
      <c r="L118" s="58">
        <f>IF(OR($A118="",$F118=""),"",IF(AND(OR($N118="حاضر",$N118="دوام جزئي"),$F118&lt;$H118),($H118-$F118)*24,0))</f>
        <v/>
      </c>
      <c r="M118" s="58">
        <f>IF(OR($A118="",$F118=""),"",IF(AND(احتساب_العمل_الإضافي="نعم",OR($N118="حاضر",$N118="دوام جزئي"),$F118&gt;$H118,($F118-$H118)*24*60&gt;=حد_العمل_الإضافي_دقيقة),($F118-$H118)*24,0))</f>
        <v/>
      </c>
      <c r="N118" s="47" t="n"/>
      <c r="O118" s="47" t="n"/>
      <c r="Q118">
        <f>IF(AND(ISNUMBER($K118),$K118&gt;0),SUMPRODUCT(ISNUMBER($K$3:$K$502)*($K$3:$K$502&gt;0)*(ROW($K$3:$K$502)&lt;=ROW())),"")</f>
        <v/>
      </c>
    </row>
    <row r="119">
      <c r="A119" s="40" t="n"/>
      <c r="B119" s="43">
        <f>IFERROR(INDEX(الموظفون_الاسم,MATCH($A119,الموظفون_الرقم,0)),"")</f>
        <v/>
      </c>
      <c r="C119" s="110" t="n"/>
      <c r="D119" s="43">
        <f>IF($C119="","",IFERROR(INDEX(قائمة_أيام_الأسبوع,WEEKDAY($C119,1)),""))</f>
        <v/>
      </c>
      <c r="E119" s="114" t="n"/>
      <c r="F119" s="114" t="n"/>
      <c r="G119" s="115">
        <f>IF($A119="","",بداية_الدوام)</f>
        <v/>
      </c>
      <c r="H119" s="115">
        <f>IF($A119="","",نهاية_الدوام)</f>
        <v/>
      </c>
      <c r="I119" s="55">
        <f>IF($A119="","",مدة_الاستراحة/60)</f>
        <v/>
      </c>
      <c r="J119" s="55">
        <f>IF(OR($A119="",$E119="",$F119=""),"",IF(OR($N119="حاضر",$N119="دوام جزئي"),MAX(0,MOD($F119-$E119,1)*24-$I119),0))</f>
        <v/>
      </c>
      <c r="K119" s="55">
        <f>IF(OR($A119="",$E119=""),"",IF(AND(احتساب_التأخير="نعم",OR($N119="حاضر",$N119="دوام جزئي"),$E119&gt;$G119+دقائق_السماح/1440),($E119-$G119-دقائق_السماح/1440)*24,0))</f>
        <v/>
      </c>
      <c r="L119" s="55">
        <f>IF(OR($A119="",$F119=""),"",IF(AND(OR($N119="حاضر",$N119="دوام جزئي"),$F119&lt;$H119),($H119-$F119)*24,0))</f>
        <v/>
      </c>
      <c r="M119" s="55">
        <f>IF(OR($A119="",$F119=""),"",IF(AND(احتساب_العمل_الإضافي="نعم",OR($N119="حاضر",$N119="دوام جزئي"),$F119&gt;$H119,($F119-$H119)*24*60&gt;=حد_العمل_الإضافي_دقيقة),($F119-$H119)*24,0))</f>
        <v/>
      </c>
      <c r="N119" s="40" t="n"/>
      <c r="O119" s="40" t="n"/>
      <c r="Q119">
        <f>IF(AND(ISNUMBER($K119),$K119&gt;0),SUMPRODUCT(ISNUMBER($K$3:$K$502)*($K$3:$K$502&gt;0)*(ROW($K$3:$K$502)&lt;=ROW())),"")</f>
        <v/>
      </c>
    </row>
    <row r="120">
      <c r="A120" s="47" t="n"/>
      <c r="B120" s="50">
        <f>IFERROR(INDEX(الموظفون_الاسم,MATCH($A120,الموظفون_الرقم,0)),"")</f>
        <v/>
      </c>
      <c r="C120" s="112" t="n"/>
      <c r="D120" s="50">
        <f>IF($C120="","",IFERROR(INDEX(قائمة_أيام_الأسبوع,WEEKDAY($C120,1)),""))</f>
        <v/>
      </c>
      <c r="E120" s="116" t="n"/>
      <c r="F120" s="116" t="n"/>
      <c r="G120" s="117">
        <f>IF($A120="","",بداية_الدوام)</f>
        <v/>
      </c>
      <c r="H120" s="117">
        <f>IF($A120="","",نهاية_الدوام)</f>
        <v/>
      </c>
      <c r="I120" s="58">
        <f>IF($A120="","",مدة_الاستراحة/60)</f>
        <v/>
      </c>
      <c r="J120" s="58">
        <f>IF(OR($A120="",$E120="",$F120=""),"",IF(OR($N120="حاضر",$N120="دوام جزئي"),MAX(0,MOD($F120-$E120,1)*24-$I120),0))</f>
        <v/>
      </c>
      <c r="K120" s="58">
        <f>IF(OR($A120="",$E120=""),"",IF(AND(احتساب_التأخير="نعم",OR($N120="حاضر",$N120="دوام جزئي"),$E120&gt;$G120+دقائق_السماح/1440),($E120-$G120-دقائق_السماح/1440)*24,0))</f>
        <v/>
      </c>
      <c r="L120" s="58">
        <f>IF(OR($A120="",$F120=""),"",IF(AND(OR($N120="حاضر",$N120="دوام جزئي"),$F120&lt;$H120),($H120-$F120)*24,0))</f>
        <v/>
      </c>
      <c r="M120" s="58">
        <f>IF(OR($A120="",$F120=""),"",IF(AND(احتساب_العمل_الإضافي="نعم",OR($N120="حاضر",$N120="دوام جزئي"),$F120&gt;$H120,($F120-$H120)*24*60&gt;=حد_العمل_الإضافي_دقيقة),($F120-$H120)*24,0))</f>
        <v/>
      </c>
      <c r="N120" s="47" t="n"/>
      <c r="O120" s="47" t="n"/>
      <c r="Q120">
        <f>IF(AND(ISNUMBER($K120),$K120&gt;0),SUMPRODUCT(ISNUMBER($K$3:$K$502)*($K$3:$K$502&gt;0)*(ROW($K$3:$K$502)&lt;=ROW())),"")</f>
        <v/>
      </c>
    </row>
    <row r="121">
      <c r="A121" s="40" t="n"/>
      <c r="B121" s="43">
        <f>IFERROR(INDEX(الموظفون_الاسم,MATCH($A121,الموظفون_الرقم,0)),"")</f>
        <v/>
      </c>
      <c r="C121" s="110" t="n"/>
      <c r="D121" s="43">
        <f>IF($C121="","",IFERROR(INDEX(قائمة_أيام_الأسبوع,WEEKDAY($C121,1)),""))</f>
        <v/>
      </c>
      <c r="E121" s="114" t="n"/>
      <c r="F121" s="114" t="n"/>
      <c r="G121" s="115">
        <f>IF($A121="","",بداية_الدوام)</f>
        <v/>
      </c>
      <c r="H121" s="115">
        <f>IF($A121="","",نهاية_الدوام)</f>
        <v/>
      </c>
      <c r="I121" s="55">
        <f>IF($A121="","",مدة_الاستراحة/60)</f>
        <v/>
      </c>
      <c r="J121" s="55">
        <f>IF(OR($A121="",$E121="",$F121=""),"",IF(OR($N121="حاضر",$N121="دوام جزئي"),MAX(0,MOD($F121-$E121,1)*24-$I121),0))</f>
        <v/>
      </c>
      <c r="K121" s="55">
        <f>IF(OR($A121="",$E121=""),"",IF(AND(احتساب_التأخير="نعم",OR($N121="حاضر",$N121="دوام جزئي"),$E121&gt;$G121+دقائق_السماح/1440),($E121-$G121-دقائق_السماح/1440)*24,0))</f>
        <v/>
      </c>
      <c r="L121" s="55">
        <f>IF(OR($A121="",$F121=""),"",IF(AND(OR($N121="حاضر",$N121="دوام جزئي"),$F121&lt;$H121),($H121-$F121)*24,0))</f>
        <v/>
      </c>
      <c r="M121" s="55">
        <f>IF(OR($A121="",$F121=""),"",IF(AND(احتساب_العمل_الإضافي="نعم",OR($N121="حاضر",$N121="دوام جزئي"),$F121&gt;$H121,($F121-$H121)*24*60&gt;=حد_العمل_الإضافي_دقيقة),($F121-$H121)*24,0))</f>
        <v/>
      </c>
      <c r="N121" s="40" t="n"/>
      <c r="O121" s="40" t="n"/>
      <c r="Q121">
        <f>IF(AND(ISNUMBER($K121),$K121&gt;0),SUMPRODUCT(ISNUMBER($K$3:$K$502)*($K$3:$K$502&gt;0)*(ROW($K$3:$K$502)&lt;=ROW())),"")</f>
        <v/>
      </c>
    </row>
    <row r="122">
      <c r="A122" s="47" t="n"/>
      <c r="B122" s="50">
        <f>IFERROR(INDEX(الموظفون_الاسم,MATCH($A122,الموظفون_الرقم,0)),"")</f>
        <v/>
      </c>
      <c r="C122" s="112" t="n"/>
      <c r="D122" s="50">
        <f>IF($C122="","",IFERROR(INDEX(قائمة_أيام_الأسبوع,WEEKDAY($C122,1)),""))</f>
        <v/>
      </c>
      <c r="E122" s="116" t="n"/>
      <c r="F122" s="116" t="n"/>
      <c r="G122" s="117">
        <f>IF($A122="","",بداية_الدوام)</f>
        <v/>
      </c>
      <c r="H122" s="117">
        <f>IF($A122="","",نهاية_الدوام)</f>
        <v/>
      </c>
      <c r="I122" s="58">
        <f>IF($A122="","",مدة_الاستراحة/60)</f>
        <v/>
      </c>
      <c r="J122" s="58">
        <f>IF(OR($A122="",$E122="",$F122=""),"",IF(OR($N122="حاضر",$N122="دوام جزئي"),MAX(0,MOD($F122-$E122,1)*24-$I122),0))</f>
        <v/>
      </c>
      <c r="K122" s="58">
        <f>IF(OR($A122="",$E122=""),"",IF(AND(احتساب_التأخير="نعم",OR($N122="حاضر",$N122="دوام جزئي"),$E122&gt;$G122+دقائق_السماح/1440),($E122-$G122-دقائق_السماح/1440)*24,0))</f>
        <v/>
      </c>
      <c r="L122" s="58">
        <f>IF(OR($A122="",$F122=""),"",IF(AND(OR($N122="حاضر",$N122="دوام جزئي"),$F122&lt;$H122),($H122-$F122)*24,0))</f>
        <v/>
      </c>
      <c r="M122" s="58">
        <f>IF(OR($A122="",$F122=""),"",IF(AND(احتساب_العمل_الإضافي="نعم",OR($N122="حاضر",$N122="دوام جزئي"),$F122&gt;$H122,($F122-$H122)*24*60&gt;=حد_العمل_الإضافي_دقيقة),($F122-$H122)*24,0))</f>
        <v/>
      </c>
      <c r="N122" s="47" t="n"/>
      <c r="O122" s="47" t="n"/>
      <c r="Q122">
        <f>IF(AND(ISNUMBER($K122),$K122&gt;0),SUMPRODUCT(ISNUMBER($K$3:$K$502)*($K$3:$K$502&gt;0)*(ROW($K$3:$K$502)&lt;=ROW())),"")</f>
        <v/>
      </c>
    </row>
    <row r="123">
      <c r="A123" s="40" t="n"/>
      <c r="B123" s="43">
        <f>IFERROR(INDEX(الموظفون_الاسم,MATCH($A123,الموظفون_الرقم,0)),"")</f>
        <v/>
      </c>
      <c r="C123" s="110" t="n"/>
      <c r="D123" s="43">
        <f>IF($C123="","",IFERROR(INDEX(قائمة_أيام_الأسبوع,WEEKDAY($C123,1)),""))</f>
        <v/>
      </c>
      <c r="E123" s="114" t="n"/>
      <c r="F123" s="114" t="n"/>
      <c r="G123" s="115">
        <f>IF($A123="","",بداية_الدوام)</f>
        <v/>
      </c>
      <c r="H123" s="115">
        <f>IF($A123="","",نهاية_الدوام)</f>
        <v/>
      </c>
      <c r="I123" s="55">
        <f>IF($A123="","",مدة_الاستراحة/60)</f>
        <v/>
      </c>
      <c r="J123" s="55">
        <f>IF(OR($A123="",$E123="",$F123=""),"",IF(OR($N123="حاضر",$N123="دوام جزئي"),MAX(0,MOD($F123-$E123,1)*24-$I123),0))</f>
        <v/>
      </c>
      <c r="K123" s="55">
        <f>IF(OR($A123="",$E123=""),"",IF(AND(احتساب_التأخير="نعم",OR($N123="حاضر",$N123="دوام جزئي"),$E123&gt;$G123+دقائق_السماح/1440),($E123-$G123-دقائق_السماح/1440)*24,0))</f>
        <v/>
      </c>
      <c r="L123" s="55">
        <f>IF(OR($A123="",$F123=""),"",IF(AND(OR($N123="حاضر",$N123="دوام جزئي"),$F123&lt;$H123),($H123-$F123)*24,0))</f>
        <v/>
      </c>
      <c r="M123" s="55">
        <f>IF(OR($A123="",$F123=""),"",IF(AND(احتساب_العمل_الإضافي="نعم",OR($N123="حاضر",$N123="دوام جزئي"),$F123&gt;$H123,($F123-$H123)*24*60&gt;=حد_العمل_الإضافي_دقيقة),($F123-$H123)*24,0))</f>
        <v/>
      </c>
      <c r="N123" s="40" t="n"/>
      <c r="O123" s="40" t="n"/>
      <c r="Q123">
        <f>IF(AND(ISNUMBER($K123),$K123&gt;0),SUMPRODUCT(ISNUMBER($K$3:$K$502)*($K$3:$K$502&gt;0)*(ROW($K$3:$K$502)&lt;=ROW())),"")</f>
        <v/>
      </c>
    </row>
    <row r="124">
      <c r="A124" s="47" t="n"/>
      <c r="B124" s="50">
        <f>IFERROR(INDEX(الموظفون_الاسم,MATCH($A124,الموظفون_الرقم,0)),"")</f>
        <v/>
      </c>
      <c r="C124" s="112" t="n"/>
      <c r="D124" s="50">
        <f>IF($C124="","",IFERROR(INDEX(قائمة_أيام_الأسبوع,WEEKDAY($C124,1)),""))</f>
        <v/>
      </c>
      <c r="E124" s="116" t="n"/>
      <c r="F124" s="116" t="n"/>
      <c r="G124" s="117">
        <f>IF($A124="","",بداية_الدوام)</f>
        <v/>
      </c>
      <c r="H124" s="117">
        <f>IF($A124="","",نهاية_الدوام)</f>
        <v/>
      </c>
      <c r="I124" s="58">
        <f>IF($A124="","",مدة_الاستراحة/60)</f>
        <v/>
      </c>
      <c r="J124" s="58">
        <f>IF(OR($A124="",$E124="",$F124=""),"",IF(OR($N124="حاضر",$N124="دوام جزئي"),MAX(0,MOD($F124-$E124,1)*24-$I124),0))</f>
        <v/>
      </c>
      <c r="K124" s="58">
        <f>IF(OR($A124="",$E124=""),"",IF(AND(احتساب_التأخير="نعم",OR($N124="حاضر",$N124="دوام جزئي"),$E124&gt;$G124+دقائق_السماح/1440),($E124-$G124-دقائق_السماح/1440)*24,0))</f>
        <v/>
      </c>
      <c r="L124" s="58">
        <f>IF(OR($A124="",$F124=""),"",IF(AND(OR($N124="حاضر",$N124="دوام جزئي"),$F124&lt;$H124),($H124-$F124)*24,0))</f>
        <v/>
      </c>
      <c r="M124" s="58">
        <f>IF(OR($A124="",$F124=""),"",IF(AND(احتساب_العمل_الإضافي="نعم",OR($N124="حاضر",$N124="دوام جزئي"),$F124&gt;$H124,($F124-$H124)*24*60&gt;=حد_العمل_الإضافي_دقيقة),($F124-$H124)*24,0))</f>
        <v/>
      </c>
      <c r="N124" s="47" t="n"/>
      <c r="O124" s="47" t="n"/>
      <c r="Q124">
        <f>IF(AND(ISNUMBER($K124),$K124&gt;0),SUMPRODUCT(ISNUMBER($K$3:$K$502)*($K$3:$K$502&gt;0)*(ROW($K$3:$K$502)&lt;=ROW())),"")</f>
        <v/>
      </c>
    </row>
    <row r="125">
      <c r="A125" s="40" t="n"/>
      <c r="B125" s="43">
        <f>IFERROR(INDEX(الموظفون_الاسم,MATCH($A125,الموظفون_الرقم,0)),"")</f>
        <v/>
      </c>
      <c r="C125" s="110" t="n"/>
      <c r="D125" s="43">
        <f>IF($C125="","",IFERROR(INDEX(قائمة_أيام_الأسبوع,WEEKDAY($C125,1)),""))</f>
        <v/>
      </c>
      <c r="E125" s="114" t="n"/>
      <c r="F125" s="114" t="n"/>
      <c r="G125" s="115">
        <f>IF($A125="","",بداية_الدوام)</f>
        <v/>
      </c>
      <c r="H125" s="115">
        <f>IF($A125="","",نهاية_الدوام)</f>
        <v/>
      </c>
      <c r="I125" s="55">
        <f>IF($A125="","",مدة_الاستراحة/60)</f>
        <v/>
      </c>
      <c r="J125" s="55">
        <f>IF(OR($A125="",$E125="",$F125=""),"",IF(OR($N125="حاضر",$N125="دوام جزئي"),MAX(0,MOD($F125-$E125,1)*24-$I125),0))</f>
        <v/>
      </c>
      <c r="K125" s="55">
        <f>IF(OR($A125="",$E125=""),"",IF(AND(احتساب_التأخير="نعم",OR($N125="حاضر",$N125="دوام جزئي"),$E125&gt;$G125+دقائق_السماح/1440),($E125-$G125-دقائق_السماح/1440)*24,0))</f>
        <v/>
      </c>
      <c r="L125" s="55">
        <f>IF(OR($A125="",$F125=""),"",IF(AND(OR($N125="حاضر",$N125="دوام جزئي"),$F125&lt;$H125),($H125-$F125)*24,0))</f>
        <v/>
      </c>
      <c r="M125" s="55">
        <f>IF(OR($A125="",$F125=""),"",IF(AND(احتساب_العمل_الإضافي="نعم",OR($N125="حاضر",$N125="دوام جزئي"),$F125&gt;$H125,($F125-$H125)*24*60&gt;=حد_العمل_الإضافي_دقيقة),($F125-$H125)*24,0))</f>
        <v/>
      </c>
      <c r="N125" s="40" t="n"/>
      <c r="O125" s="40" t="n"/>
      <c r="Q125">
        <f>IF(AND(ISNUMBER($K125),$K125&gt;0),SUMPRODUCT(ISNUMBER($K$3:$K$502)*($K$3:$K$502&gt;0)*(ROW($K$3:$K$502)&lt;=ROW())),"")</f>
        <v/>
      </c>
    </row>
    <row r="126">
      <c r="A126" s="47" t="n"/>
      <c r="B126" s="50">
        <f>IFERROR(INDEX(الموظفون_الاسم,MATCH($A126,الموظفون_الرقم,0)),"")</f>
        <v/>
      </c>
      <c r="C126" s="112" t="n"/>
      <c r="D126" s="50">
        <f>IF($C126="","",IFERROR(INDEX(قائمة_أيام_الأسبوع,WEEKDAY($C126,1)),""))</f>
        <v/>
      </c>
      <c r="E126" s="116" t="n"/>
      <c r="F126" s="116" t="n"/>
      <c r="G126" s="117">
        <f>IF($A126="","",بداية_الدوام)</f>
        <v/>
      </c>
      <c r="H126" s="117">
        <f>IF($A126="","",نهاية_الدوام)</f>
        <v/>
      </c>
      <c r="I126" s="58">
        <f>IF($A126="","",مدة_الاستراحة/60)</f>
        <v/>
      </c>
      <c r="J126" s="58">
        <f>IF(OR($A126="",$E126="",$F126=""),"",IF(OR($N126="حاضر",$N126="دوام جزئي"),MAX(0,MOD($F126-$E126,1)*24-$I126),0))</f>
        <v/>
      </c>
      <c r="K126" s="58">
        <f>IF(OR($A126="",$E126=""),"",IF(AND(احتساب_التأخير="نعم",OR($N126="حاضر",$N126="دوام جزئي"),$E126&gt;$G126+دقائق_السماح/1440),($E126-$G126-دقائق_السماح/1440)*24,0))</f>
        <v/>
      </c>
      <c r="L126" s="58">
        <f>IF(OR($A126="",$F126=""),"",IF(AND(OR($N126="حاضر",$N126="دوام جزئي"),$F126&lt;$H126),($H126-$F126)*24,0))</f>
        <v/>
      </c>
      <c r="M126" s="58">
        <f>IF(OR($A126="",$F126=""),"",IF(AND(احتساب_العمل_الإضافي="نعم",OR($N126="حاضر",$N126="دوام جزئي"),$F126&gt;$H126,($F126-$H126)*24*60&gt;=حد_العمل_الإضافي_دقيقة),($F126-$H126)*24,0))</f>
        <v/>
      </c>
      <c r="N126" s="47" t="n"/>
      <c r="O126" s="47" t="n"/>
      <c r="Q126">
        <f>IF(AND(ISNUMBER($K126),$K126&gt;0),SUMPRODUCT(ISNUMBER($K$3:$K$502)*($K$3:$K$502&gt;0)*(ROW($K$3:$K$502)&lt;=ROW())),"")</f>
        <v/>
      </c>
    </row>
    <row r="127">
      <c r="A127" s="40" t="n"/>
      <c r="B127" s="43">
        <f>IFERROR(INDEX(الموظفون_الاسم,MATCH($A127,الموظفون_الرقم,0)),"")</f>
        <v/>
      </c>
      <c r="C127" s="110" t="n"/>
      <c r="D127" s="43">
        <f>IF($C127="","",IFERROR(INDEX(قائمة_أيام_الأسبوع,WEEKDAY($C127,1)),""))</f>
        <v/>
      </c>
      <c r="E127" s="114" t="n"/>
      <c r="F127" s="114" t="n"/>
      <c r="G127" s="115">
        <f>IF($A127="","",بداية_الدوام)</f>
        <v/>
      </c>
      <c r="H127" s="115">
        <f>IF($A127="","",نهاية_الدوام)</f>
        <v/>
      </c>
      <c r="I127" s="55">
        <f>IF($A127="","",مدة_الاستراحة/60)</f>
        <v/>
      </c>
      <c r="J127" s="55">
        <f>IF(OR($A127="",$E127="",$F127=""),"",IF(OR($N127="حاضر",$N127="دوام جزئي"),MAX(0,MOD($F127-$E127,1)*24-$I127),0))</f>
        <v/>
      </c>
      <c r="K127" s="55">
        <f>IF(OR($A127="",$E127=""),"",IF(AND(احتساب_التأخير="نعم",OR($N127="حاضر",$N127="دوام جزئي"),$E127&gt;$G127+دقائق_السماح/1440),($E127-$G127-دقائق_السماح/1440)*24,0))</f>
        <v/>
      </c>
      <c r="L127" s="55">
        <f>IF(OR($A127="",$F127=""),"",IF(AND(OR($N127="حاضر",$N127="دوام جزئي"),$F127&lt;$H127),($H127-$F127)*24,0))</f>
        <v/>
      </c>
      <c r="M127" s="55">
        <f>IF(OR($A127="",$F127=""),"",IF(AND(احتساب_العمل_الإضافي="نعم",OR($N127="حاضر",$N127="دوام جزئي"),$F127&gt;$H127,($F127-$H127)*24*60&gt;=حد_العمل_الإضافي_دقيقة),($F127-$H127)*24,0))</f>
        <v/>
      </c>
      <c r="N127" s="40" t="n"/>
      <c r="O127" s="40" t="n"/>
      <c r="Q127">
        <f>IF(AND(ISNUMBER($K127),$K127&gt;0),SUMPRODUCT(ISNUMBER($K$3:$K$502)*($K$3:$K$502&gt;0)*(ROW($K$3:$K$502)&lt;=ROW())),"")</f>
        <v/>
      </c>
    </row>
    <row r="128">
      <c r="A128" s="47" t="n"/>
      <c r="B128" s="50">
        <f>IFERROR(INDEX(الموظفون_الاسم,MATCH($A128,الموظفون_الرقم,0)),"")</f>
        <v/>
      </c>
      <c r="C128" s="112" t="n"/>
      <c r="D128" s="50">
        <f>IF($C128="","",IFERROR(INDEX(قائمة_أيام_الأسبوع,WEEKDAY($C128,1)),""))</f>
        <v/>
      </c>
      <c r="E128" s="116" t="n"/>
      <c r="F128" s="116" t="n"/>
      <c r="G128" s="117">
        <f>IF($A128="","",بداية_الدوام)</f>
        <v/>
      </c>
      <c r="H128" s="117">
        <f>IF($A128="","",نهاية_الدوام)</f>
        <v/>
      </c>
      <c r="I128" s="58">
        <f>IF($A128="","",مدة_الاستراحة/60)</f>
        <v/>
      </c>
      <c r="J128" s="58">
        <f>IF(OR($A128="",$E128="",$F128=""),"",IF(OR($N128="حاضر",$N128="دوام جزئي"),MAX(0,MOD($F128-$E128,1)*24-$I128),0))</f>
        <v/>
      </c>
      <c r="K128" s="58">
        <f>IF(OR($A128="",$E128=""),"",IF(AND(احتساب_التأخير="نعم",OR($N128="حاضر",$N128="دوام جزئي"),$E128&gt;$G128+دقائق_السماح/1440),($E128-$G128-دقائق_السماح/1440)*24,0))</f>
        <v/>
      </c>
      <c r="L128" s="58">
        <f>IF(OR($A128="",$F128=""),"",IF(AND(OR($N128="حاضر",$N128="دوام جزئي"),$F128&lt;$H128),($H128-$F128)*24,0))</f>
        <v/>
      </c>
      <c r="M128" s="58">
        <f>IF(OR($A128="",$F128=""),"",IF(AND(احتساب_العمل_الإضافي="نعم",OR($N128="حاضر",$N128="دوام جزئي"),$F128&gt;$H128,($F128-$H128)*24*60&gt;=حد_العمل_الإضافي_دقيقة),($F128-$H128)*24,0))</f>
        <v/>
      </c>
      <c r="N128" s="47" t="n"/>
      <c r="O128" s="47" t="n"/>
      <c r="Q128">
        <f>IF(AND(ISNUMBER($K128),$K128&gt;0),SUMPRODUCT(ISNUMBER($K$3:$K$502)*($K$3:$K$502&gt;0)*(ROW($K$3:$K$502)&lt;=ROW())),"")</f>
        <v/>
      </c>
    </row>
    <row r="129">
      <c r="A129" s="40" t="n"/>
      <c r="B129" s="43">
        <f>IFERROR(INDEX(الموظفون_الاسم,MATCH($A129,الموظفون_الرقم,0)),"")</f>
        <v/>
      </c>
      <c r="C129" s="110" t="n"/>
      <c r="D129" s="43">
        <f>IF($C129="","",IFERROR(INDEX(قائمة_أيام_الأسبوع,WEEKDAY($C129,1)),""))</f>
        <v/>
      </c>
      <c r="E129" s="114" t="n"/>
      <c r="F129" s="114" t="n"/>
      <c r="G129" s="115">
        <f>IF($A129="","",بداية_الدوام)</f>
        <v/>
      </c>
      <c r="H129" s="115">
        <f>IF($A129="","",نهاية_الدوام)</f>
        <v/>
      </c>
      <c r="I129" s="55">
        <f>IF($A129="","",مدة_الاستراحة/60)</f>
        <v/>
      </c>
      <c r="J129" s="55">
        <f>IF(OR($A129="",$E129="",$F129=""),"",IF(OR($N129="حاضر",$N129="دوام جزئي"),MAX(0,MOD($F129-$E129,1)*24-$I129),0))</f>
        <v/>
      </c>
      <c r="K129" s="55">
        <f>IF(OR($A129="",$E129=""),"",IF(AND(احتساب_التأخير="نعم",OR($N129="حاضر",$N129="دوام جزئي"),$E129&gt;$G129+دقائق_السماح/1440),($E129-$G129-دقائق_السماح/1440)*24,0))</f>
        <v/>
      </c>
      <c r="L129" s="55">
        <f>IF(OR($A129="",$F129=""),"",IF(AND(OR($N129="حاضر",$N129="دوام جزئي"),$F129&lt;$H129),($H129-$F129)*24,0))</f>
        <v/>
      </c>
      <c r="M129" s="55">
        <f>IF(OR($A129="",$F129=""),"",IF(AND(احتساب_العمل_الإضافي="نعم",OR($N129="حاضر",$N129="دوام جزئي"),$F129&gt;$H129,($F129-$H129)*24*60&gt;=حد_العمل_الإضافي_دقيقة),($F129-$H129)*24,0))</f>
        <v/>
      </c>
      <c r="N129" s="40" t="n"/>
      <c r="O129" s="40" t="n"/>
      <c r="Q129">
        <f>IF(AND(ISNUMBER($K129),$K129&gt;0),SUMPRODUCT(ISNUMBER($K$3:$K$502)*($K$3:$K$502&gt;0)*(ROW($K$3:$K$502)&lt;=ROW())),"")</f>
        <v/>
      </c>
    </row>
    <row r="130">
      <c r="A130" s="47" t="n"/>
      <c r="B130" s="50">
        <f>IFERROR(INDEX(الموظفون_الاسم,MATCH($A130,الموظفون_الرقم,0)),"")</f>
        <v/>
      </c>
      <c r="C130" s="112" t="n"/>
      <c r="D130" s="50">
        <f>IF($C130="","",IFERROR(INDEX(قائمة_أيام_الأسبوع,WEEKDAY($C130,1)),""))</f>
        <v/>
      </c>
      <c r="E130" s="116" t="n"/>
      <c r="F130" s="116" t="n"/>
      <c r="G130" s="117">
        <f>IF($A130="","",بداية_الدوام)</f>
        <v/>
      </c>
      <c r="H130" s="117">
        <f>IF($A130="","",نهاية_الدوام)</f>
        <v/>
      </c>
      <c r="I130" s="58">
        <f>IF($A130="","",مدة_الاستراحة/60)</f>
        <v/>
      </c>
      <c r="J130" s="58">
        <f>IF(OR($A130="",$E130="",$F130=""),"",IF(OR($N130="حاضر",$N130="دوام جزئي"),MAX(0,MOD($F130-$E130,1)*24-$I130),0))</f>
        <v/>
      </c>
      <c r="K130" s="58">
        <f>IF(OR($A130="",$E130=""),"",IF(AND(احتساب_التأخير="نعم",OR($N130="حاضر",$N130="دوام جزئي"),$E130&gt;$G130+دقائق_السماح/1440),($E130-$G130-دقائق_السماح/1440)*24,0))</f>
        <v/>
      </c>
      <c r="L130" s="58">
        <f>IF(OR($A130="",$F130=""),"",IF(AND(OR($N130="حاضر",$N130="دوام جزئي"),$F130&lt;$H130),($H130-$F130)*24,0))</f>
        <v/>
      </c>
      <c r="M130" s="58">
        <f>IF(OR($A130="",$F130=""),"",IF(AND(احتساب_العمل_الإضافي="نعم",OR($N130="حاضر",$N130="دوام جزئي"),$F130&gt;$H130,($F130-$H130)*24*60&gt;=حد_العمل_الإضافي_دقيقة),($F130-$H130)*24,0))</f>
        <v/>
      </c>
      <c r="N130" s="47" t="n"/>
      <c r="O130" s="47" t="n"/>
      <c r="Q130">
        <f>IF(AND(ISNUMBER($K130),$K130&gt;0),SUMPRODUCT(ISNUMBER($K$3:$K$502)*($K$3:$K$502&gt;0)*(ROW($K$3:$K$502)&lt;=ROW())),"")</f>
        <v/>
      </c>
    </row>
    <row r="131">
      <c r="A131" s="40" t="n"/>
      <c r="B131" s="43">
        <f>IFERROR(INDEX(الموظفون_الاسم,MATCH($A131,الموظفون_الرقم,0)),"")</f>
        <v/>
      </c>
      <c r="C131" s="110" t="n"/>
      <c r="D131" s="43">
        <f>IF($C131="","",IFERROR(INDEX(قائمة_أيام_الأسبوع,WEEKDAY($C131,1)),""))</f>
        <v/>
      </c>
      <c r="E131" s="114" t="n"/>
      <c r="F131" s="114" t="n"/>
      <c r="G131" s="115">
        <f>IF($A131="","",بداية_الدوام)</f>
        <v/>
      </c>
      <c r="H131" s="115">
        <f>IF($A131="","",نهاية_الدوام)</f>
        <v/>
      </c>
      <c r="I131" s="55">
        <f>IF($A131="","",مدة_الاستراحة/60)</f>
        <v/>
      </c>
      <c r="J131" s="55">
        <f>IF(OR($A131="",$E131="",$F131=""),"",IF(OR($N131="حاضر",$N131="دوام جزئي"),MAX(0,MOD($F131-$E131,1)*24-$I131),0))</f>
        <v/>
      </c>
      <c r="K131" s="55">
        <f>IF(OR($A131="",$E131=""),"",IF(AND(احتساب_التأخير="نعم",OR($N131="حاضر",$N131="دوام جزئي"),$E131&gt;$G131+دقائق_السماح/1440),($E131-$G131-دقائق_السماح/1440)*24,0))</f>
        <v/>
      </c>
      <c r="L131" s="55">
        <f>IF(OR($A131="",$F131=""),"",IF(AND(OR($N131="حاضر",$N131="دوام جزئي"),$F131&lt;$H131),($H131-$F131)*24,0))</f>
        <v/>
      </c>
      <c r="M131" s="55">
        <f>IF(OR($A131="",$F131=""),"",IF(AND(احتساب_العمل_الإضافي="نعم",OR($N131="حاضر",$N131="دوام جزئي"),$F131&gt;$H131,($F131-$H131)*24*60&gt;=حد_العمل_الإضافي_دقيقة),($F131-$H131)*24,0))</f>
        <v/>
      </c>
      <c r="N131" s="40" t="n"/>
      <c r="O131" s="40" t="n"/>
      <c r="Q131">
        <f>IF(AND(ISNUMBER($K131),$K131&gt;0),SUMPRODUCT(ISNUMBER($K$3:$K$502)*($K$3:$K$502&gt;0)*(ROW($K$3:$K$502)&lt;=ROW())),"")</f>
        <v/>
      </c>
    </row>
    <row r="132">
      <c r="A132" s="47" t="n"/>
      <c r="B132" s="50">
        <f>IFERROR(INDEX(الموظفون_الاسم,MATCH($A132,الموظفون_الرقم,0)),"")</f>
        <v/>
      </c>
      <c r="C132" s="112" t="n"/>
      <c r="D132" s="50">
        <f>IF($C132="","",IFERROR(INDEX(قائمة_أيام_الأسبوع,WEEKDAY($C132,1)),""))</f>
        <v/>
      </c>
      <c r="E132" s="116" t="n"/>
      <c r="F132" s="116" t="n"/>
      <c r="G132" s="117">
        <f>IF($A132="","",بداية_الدوام)</f>
        <v/>
      </c>
      <c r="H132" s="117">
        <f>IF($A132="","",نهاية_الدوام)</f>
        <v/>
      </c>
      <c r="I132" s="58">
        <f>IF($A132="","",مدة_الاستراحة/60)</f>
        <v/>
      </c>
      <c r="J132" s="58">
        <f>IF(OR($A132="",$E132="",$F132=""),"",IF(OR($N132="حاضر",$N132="دوام جزئي"),MAX(0,MOD($F132-$E132,1)*24-$I132),0))</f>
        <v/>
      </c>
      <c r="K132" s="58">
        <f>IF(OR($A132="",$E132=""),"",IF(AND(احتساب_التأخير="نعم",OR($N132="حاضر",$N132="دوام جزئي"),$E132&gt;$G132+دقائق_السماح/1440),($E132-$G132-دقائق_السماح/1440)*24,0))</f>
        <v/>
      </c>
      <c r="L132" s="58">
        <f>IF(OR($A132="",$F132=""),"",IF(AND(OR($N132="حاضر",$N132="دوام جزئي"),$F132&lt;$H132),($H132-$F132)*24,0))</f>
        <v/>
      </c>
      <c r="M132" s="58">
        <f>IF(OR($A132="",$F132=""),"",IF(AND(احتساب_العمل_الإضافي="نعم",OR($N132="حاضر",$N132="دوام جزئي"),$F132&gt;$H132,($F132-$H132)*24*60&gt;=حد_العمل_الإضافي_دقيقة),($F132-$H132)*24,0))</f>
        <v/>
      </c>
      <c r="N132" s="47" t="n"/>
      <c r="O132" s="47" t="n"/>
      <c r="Q132">
        <f>IF(AND(ISNUMBER($K132),$K132&gt;0),SUMPRODUCT(ISNUMBER($K$3:$K$502)*($K$3:$K$502&gt;0)*(ROW($K$3:$K$502)&lt;=ROW())),"")</f>
        <v/>
      </c>
    </row>
    <row r="133">
      <c r="A133" s="40" t="n"/>
      <c r="B133" s="43">
        <f>IFERROR(INDEX(الموظفون_الاسم,MATCH($A133,الموظفون_الرقم,0)),"")</f>
        <v/>
      </c>
      <c r="C133" s="110" t="n"/>
      <c r="D133" s="43">
        <f>IF($C133="","",IFERROR(INDEX(قائمة_أيام_الأسبوع,WEEKDAY($C133,1)),""))</f>
        <v/>
      </c>
      <c r="E133" s="114" t="n"/>
      <c r="F133" s="114" t="n"/>
      <c r="G133" s="115">
        <f>IF($A133="","",بداية_الدوام)</f>
        <v/>
      </c>
      <c r="H133" s="115">
        <f>IF($A133="","",نهاية_الدوام)</f>
        <v/>
      </c>
      <c r="I133" s="55">
        <f>IF($A133="","",مدة_الاستراحة/60)</f>
        <v/>
      </c>
      <c r="J133" s="55">
        <f>IF(OR($A133="",$E133="",$F133=""),"",IF(OR($N133="حاضر",$N133="دوام جزئي"),MAX(0,MOD($F133-$E133,1)*24-$I133),0))</f>
        <v/>
      </c>
      <c r="K133" s="55">
        <f>IF(OR($A133="",$E133=""),"",IF(AND(احتساب_التأخير="نعم",OR($N133="حاضر",$N133="دوام جزئي"),$E133&gt;$G133+دقائق_السماح/1440),($E133-$G133-دقائق_السماح/1440)*24,0))</f>
        <v/>
      </c>
      <c r="L133" s="55">
        <f>IF(OR($A133="",$F133=""),"",IF(AND(OR($N133="حاضر",$N133="دوام جزئي"),$F133&lt;$H133),($H133-$F133)*24,0))</f>
        <v/>
      </c>
      <c r="M133" s="55">
        <f>IF(OR($A133="",$F133=""),"",IF(AND(احتساب_العمل_الإضافي="نعم",OR($N133="حاضر",$N133="دوام جزئي"),$F133&gt;$H133,($F133-$H133)*24*60&gt;=حد_العمل_الإضافي_دقيقة),($F133-$H133)*24,0))</f>
        <v/>
      </c>
      <c r="N133" s="40" t="n"/>
      <c r="O133" s="40" t="n"/>
      <c r="Q133">
        <f>IF(AND(ISNUMBER($K133),$K133&gt;0),SUMPRODUCT(ISNUMBER($K$3:$K$502)*($K$3:$K$502&gt;0)*(ROW($K$3:$K$502)&lt;=ROW())),"")</f>
        <v/>
      </c>
    </row>
    <row r="134">
      <c r="A134" s="47" t="n"/>
      <c r="B134" s="50">
        <f>IFERROR(INDEX(الموظفون_الاسم,MATCH($A134,الموظفون_الرقم,0)),"")</f>
        <v/>
      </c>
      <c r="C134" s="112" t="n"/>
      <c r="D134" s="50">
        <f>IF($C134="","",IFERROR(INDEX(قائمة_أيام_الأسبوع,WEEKDAY($C134,1)),""))</f>
        <v/>
      </c>
      <c r="E134" s="116" t="n"/>
      <c r="F134" s="116" t="n"/>
      <c r="G134" s="117">
        <f>IF($A134="","",بداية_الدوام)</f>
        <v/>
      </c>
      <c r="H134" s="117">
        <f>IF($A134="","",نهاية_الدوام)</f>
        <v/>
      </c>
      <c r="I134" s="58">
        <f>IF($A134="","",مدة_الاستراحة/60)</f>
        <v/>
      </c>
      <c r="J134" s="58">
        <f>IF(OR($A134="",$E134="",$F134=""),"",IF(OR($N134="حاضر",$N134="دوام جزئي"),MAX(0,MOD($F134-$E134,1)*24-$I134),0))</f>
        <v/>
      </c>
      <c r="K134" s="58">
        <f>IF(OR($A134="",$E134=""),"",IF(AND(احتساب_التأخير="نعم",OR($N134="حاضر",$N134="دوام جزئي"),$E134&gt;$G134+دقائق_السماح/1440),($E134-$G134-دقائق_السماح/1440)*24,0))</f>
        <v/>
      </c>
      <c r="L134" s="58">
        <f>IF(OR($A134="",$F134=""),"",IF(AND(OR($N134="حاضر",$N134="دوام جزئي"),$F134&lt;$H134),($H134-$F134)*24,0))</f>
        <v/>
      </c>
      <c r="M134" s="58">
        <f>IF(OR($A134="",$F134=""),"",IF(AND(احتساب_العمل_الإضافي="نعم",OR($N134="حاضر",$N134="دوام جزئي"),$F134&gt;$H134,($F134-$H134)*24*60&gt;=حد_العمل_الإضافي_دقيقة),($F134-$H134)*24,0))</f>
        <v/>
      </c>
      <c r="N134" s="47" t="n"/>
      <c r="O134" s="47" t="n"/>
      <c r="Q134">
        <f>IF(AND(ISNUMBER($K134),$K134&gt;0),SUMPRODUCT(ISNUMBER($K$3:$K$502)*($K$3:$K$502&gt;0)*(ROW($K$3:$K$502)&lt;=ROW())),"")</f>
        <v/>
      </c>
    </row>
    <row r="135">
      <c r="A135" s="40" t="n"/>
      <c r="B135" s="43">
        <f>IFERROR(INDEX(الموظفون_الاسم,MATCH($A135,الموظفون_الرقم,0)),"")</f>
        <v/>
      </c>
      <c r="C135" s="110" t="n"/>
      <c r="D135" s="43">
        <f>IF($C135="","",IFERROR(INDEX(قائمة_أيام_الأسبوع,WEEKDAY($C135,1)),""))</f>
        <v/>
      </c>
      <c r="E135" s="114" t="n"/>
      <c r="F135" s="114" t="n"/>
      <c r="G135" s="115">
        <f>IF($A135="","",بداية_الدوام)</f>
        <v/>
      </c>
      <c r="H135" s="115">
        <f>IF($A135="","",نهاية_الدوام)</f>
        <v/>
      </c>
      <c r="I135" s="55">
        <f>IF($A135="","",مدة_الاستراحة/60)</f>
        <v/>
      </c>
      <c r="J135" s="55">
        <f>IF(OR($A135="",$E135="",$F135=""),"",IF(OR($N135="حاضر",$N135="دوام جزئي"),MAX(0,MOD($F135-$E135,1)*24-$I135),0))</f>
        <v/>
      </c>
      <c r="K135" s="55">
        <f>IF(OR($A135="",$E135=""),"",IF(AND(احتساب_التأخير="نعم",OR($N135="حاضر",$N135="دوام جزئي"),$E135&gt;$G135+دقائق_السماح/1440),($E135-$G135-دقائق_السماح/1440)*24,0))</f>
        <v/>
      </c>
      <c r="L135" s="55">
        <f>IF(OR($A135="",$F135=""),"",IF(AND(OR($N135="حاضر",$N135="دوام جزئي"),$F135&lt;$H135),($H135-$F135)*24,0))</f>
        <v/>
      </c>
      <c r="M135" s="55">
        <f>IF(OR($A135="",$F135=""),"",IF(AND(احتساب_العمل_الإضافي="نعم",OR($N135="حاضر",$N135="دوام جزئي"),$F135&gt;$H135,($F135-$H135)*24*60&gt;=حد_العمل_الإضافي_دقيقة),($F135-$H135)*24,0))</f>
        <v/>
      </c>
      <c r="N135" s="40" t="n"/>
      <c r="O135" s="40" t="n"/>
      <c r="Q135">
        <f>IF(AND(ISNUMBER($K135),$K135&gt;0),SUMPRODUCT(ISNUMBER($K$3:$K$502)*($K$3:$K$502&gt;0)*(ROW($K$3:$K$502)&lt;=ROW())),"")</f>
        <v/>
      </c>
    </row>
    <row r="136">
      <c r="A136" s="47" t="n"/>
      <c r="B136" s="50">
        <f>IFERROR(INDEX(الموظفون_الاسم,MATCH($A136,الموظفون_الرقم,0)),"")</f>
        <v/>
      </c>
      <c r="C136" s="112" t="n"/>
      <c r="D136" s="50">
        <f>IF($C136="","",IFERROR(INDEX(قائمة_أيام_الأسبوع,WEEKDAY($C136,1)),""))</f>
        <v/>
      </c>
      <c r="E136" s="116" t="n"/>
      <c r="F136" s="116" t="n"/>
      <c r="G136" s="117">
        <f>IF($A136="","",بداية_الدوام)</f>
        <v/>
      </c>
      <c r="H136" s="117">
        <f>IF($A136="","",نهاية_الدوام)</f>
        <v/>
      </c>
      <c r="I136" s="58">
        <f>IF($A136="","",مدة_الاستراحة/60)</f>
        <v/>
      </c>
      <c r="J136" s="58">
        <f>IF(OR($A136="",$E136="",$F136=""),"",IF(OR($N136="حاضر",$N136="دوام جزئي"),MAX(0,MOD($F136-$E136,1)*24-$I136),0))</f>
        <v/>
      </c>
      <c r="K136" s="58">
        <f>IF(OR($A136="",$E136=""),"",IF(AND(احتساب_التأخير="نعم",OR($N136="حاضر",$N136="دوام جزئي"),$E136&gt;$G136+دقائق_السماح/1440),($E136-$G136-دقائق_السماح/1440)*24,0))</f>
        <v/>
      </c>
      <c r="L136" s="58">
        <f>IF(OR($A136="",$F136=""),"",IF(AND(OR($N136="حاضر",$N136="دوام جزئي"),$F136&lt;$H136),($H136-$F136)*24,0))</f>
        <v/>
      </c>
      <c r="M136" s="58">
        <f>IF(OR($A136="",$F136=""),"",IF(AND(احتساب_العمل_الإضافي="نعم",OR($N136="حاضر",$N136="دوام جزئي"),$F136&gt;$H136,($F136-$H136)*24*60&gt;=حد_العمل_الإضافي_دقيقة),($F136-$H136)*24,0))</f>
        <v/>
      </c>
      <c r="N136" s="47" t="n"/>
      <c r="O136" s="47" t="n"/>
      <c r="Q136">
        <f>IF(AND(ISNUMBER($K136),$K136&gt;0),SUMPRODUCT(ISNUMBER($K$3:$K$502)*($K$3:$K$502&gt;0)*(ROW($K$3:$K$502)&lt;=ROW())),"")</f>
        <v/>
      </c>
    </row>
    <row r="137">
      <c r="A137" s="40" t="n"/>
      <c r="B137" s="43">
        <f>IFERROR(INDEX(الموظفون_الاسم,MATCH($A137,الموظفون_الرقم,0)),"")</f>
        <v/>
      </c>
      <c r="C137" s="110" t="n"/>
      <c r="D137" s="43">
        <f>IF($C137="","",IFERROR(INDEX(قائمة_أيام_الأسبوع,WEEKDAY($C137,1)),""))</f>
        <v/>
      </c>
      <c r="E137" s="114" t="n"/>
      <c r="F137" s="114" t="n"/>
      <c r="G137" s="115">
        <f>IF($A137="","",بداية_الدوام)</f>
        <v/>
      </c>
      <c r="H137" s="115">
        <f>IF($A137="","",نهاية_الدوام)</f>
        <v/>
      </c>
      <c r="I137" s="55">
        <f>IF($A137="","",مدة_الاستراحة/60)</f>
        <v/>
      </c>
      <c r="J137" s="55">
        <f>IF(OR($A137="",$E137="",$F137=""),"",IF(OR($N137="حاضر",$N137="دوام جزئي"),MAX(0,MOD($F137-$E137,1)*24-$I137),0))</f>
        <v/>
      </c>
      <c r="K137" s="55">
        <f>IF(OR($A137="",$E137=""),"",IF(AND(احتساب_التأخير="نعم",OR($N137="حاضر",$N137="دوام جزئي"),$E137&gt;$G137+دقائق_السماح/1440),($E137-$G137-دقائق_السماح/1440)*24,0))</f>
        <v/>
      </c>
      <c r="L137" s="55">
        <f>IF(OR($A137="",$F137=""),"",IF(AND(OR($N137="حاضر",$N137="دوام جزئي"),$F137&lt;$H137),($H137-$F137)*24,0))</f>
        <v/>
      </c>
      <c r="M137" s="55">
        <f>IF(OR($A137="",$F137=""),"",IF(AND(احتساب_العمل_الإضافي="نعم",OR($N137="حاضر",$N137="دوام جزئي"),$F137&gt;$H137,($F137-$H137)*24*60&gt;=حد_العمل_الإضافي_دقيقة),($F137-$H137)*24,0))</f>
        <v/>
      </c>
      <c r="N137" s="40" t="n"/>
      <c r="O137" s="40" t="n"/>
      <c r="Q137">
        <f>IF(AND(ISNUMBER($K137),$K137&gt;0),SUMPRODUCT(ISNUMBER($K$3:$K$502)*($K$3:$K$502&gt;0)*(ROW($K$3:$K$502)&lt;=ROW())),"")</f>
        <v/>
      </c>
    </row>
    <row r="138">
      <c r="A138" s="47" t="n"/>
      <c r="B138" s="50">
        <f>IFERROR(INDEX(الموظفون_الاسم,MATCH($A138,الموظفون_الرقم,0)),"")</f>
        <v/>
      </c>
      <c r="C138" s="112" t="n"/>
      <c r="D138" s="50">
        <f>IF($C138="","",IFERROR(INDEX(قائمة_أيام_الأسبوع,WEEKDAY($C138,1)),""))</f>
        <v/>
      </c>
      <c r="E138" s="116" t="n"/>
      <c r="F138" s="116" t="n"/>
      <c r="G138" s="117">
        <f>IF($A138="","",بداية_الدوام)</f>
        <v/>
      </c>
      <c r="H138" s="117">
        <f>IF($A138="","",نهاية_الدوام)</f>
        <v/>
      </c>
      <c r="I138" s="58">
        <f>IF($A138="","",مدة_الاستراحة/60)</f>
        <v/>
      </c>
      <c r="J138" s="58">
        <f>IF(OR($A138="",$E138="",$F138=""),"",IF(OR($N138="حاضر",$N138="دوام جزئي"),MAX(0,MOD($F138-$E138,1)*24-$I138),0))</f>
        <v/>
      </c>
      <c r="K138" s="58">
        <f>IF(OR($A138="",$E138=""),"",IF(AND(احتساب_التأخير="نعم",OR($N138="حاضر",$N138="دوام جزئي"),$E138&gt;$G138+دقائق_السماح/1440),($E138-$G138-دقائق_السماح/1440)*24,0))</f>
        <v/>
      </c>
      <c r="L138" s="58">
        <f>IF(OR($A138="",$F138=""),"",IF(AND(OR($N138="حاضر",$N138="دوام جزئي"),$F138&lt;$H138),($H138-$F138)*24,0))</f>
        <v/>
      </c>
      <c r="M138" s="58">
        <f>IF(OR($A138="",$F138=""),"",IF(AND(احتساب_العمل_الإضافي="نعم",OR($N138="حاضر",$N138="دوام جزئي"),$F138&gt;$H138,($F138-$H138)*24*60&gt;=حد_العمل_الإضافي_دقيقة),($F138-$H138)*24,0))</f>
        <v/>
      </c>
      <c r="N138" s="47" t="n"/>
      <c r="O138" s="47" t="n"/>
      <c r="Q138">
        <f>IF(AND(ISNUMBER($K138),$K138&gt;0),SUMPRODUCT(ISNUMBER($K$3:$K$502)*($K$3:$K$502&gt;0)*(ROW($K$3:$K$502)&lt;=ROW())),"")</f>
        <v/>
      </c>
    </row>
    <row r="139">
      <c r="A139" s="40" t="n"/>
      <c r="B139" s="43">
        <f>IFERROR(INDEX(الموظفون_الاسم,MATCH($A139,الموظفون_الرقم,0)),"")</f>
        <v/>
      </c>
      <c r="C139" s="110" t="n"/>
      <c r="D139" s="43">
        <f>IF($C139="","",IFERROR(INDEX(قائمة_أيام_الأسبوع,WEEKDAY($C139,1)),""))</f>
        <v/>
      </c>
      <c r="E139" s="114" t="n"/>
      <c r="F139" s="114" t="n"/>
      <c r="G139" s="115">
        <f>IF($A139="","",بداية_الدوام)</f>
        <v/>
      </c>
      <c r="H139" s="115">
        <f>IF($A139="","",نهاية_الدوام)</f>
        <v/>
      </c>
      <c r="I139" s="55">
        <f>IF($A139="","",مدة_الاستراحة/60)</f>
        <v/>
      </c>
      <c r="J139" s="55">
        <f>IF(OR($A139="",$E139="",$F139=""),"",IF(OR($N139="حاضر",$N139="دوام جزئي"),MAX(0,MOD($F139-$E139,1)*24-$I139),0))</f>
        <v/>
      </c>
      <c r="K139" s="55">
        <f>IF(OR($A139="",$E139=""),"",IF(AND(احتساب_التأخير="نعم",OR($N139="حاضر",$N139="دوام جزئي"),$E139&gt;$G139+دقائق_السماح/1440),($E139-$G139-دقائق_السماح/1440)*24,0))</f>
        <v/>
      </c>
      <c r="L139" s="55">
        <f>IF(OR($A139="",$F139=""),"",IF(AND(OR($N139="حاضر",$N139="دوام جزئي"),$F139&lt;$H139),($H139-$F139)*24,0))</f>
        <v/>
      </c>
      <c r="M139" s="55">
        <f>IF(OR($A139="",$F139=""),"",IF(AND(احتساب_العمل_الإضافي="نعم",OR($N139="حاضر",$N139="دوام جزئي"),$F139&gt;$H139,($F139-$H139)*24*60&gt;=حد_العمل_الإضافي_دقيقة),($F139-$H139)*24,0))</f>
        <v/>
      </c>
      <c r="N139" s="40" t="n"/>
      <c r="O139" s="40" t="n"/>
      <c r="Q139">
        <f>IF(AND(ISNUMBER($K139),$K139&gt;0),SUMPRODUCT(ISNUMBER($K$3:$K$502)*($K$3:$K$502&gt;0)*(ROW($K$3:$K$502)&lt;=ROW())),"")</f>
        <v/>
      </c>
    </row>
    <row r="140">
      <c r="A140" s="47" t="n"/>
      <c r="B140" s="50">
        <f>IFERROR(INDEX(الموظفون_الاسم,MATCH($A140,الموظفون_الرقم,0)),"")</f>
        <v/>
      </c>
      <c r="C140" s="112" t="n"/>
      <c r="D140" s="50">
        <f>IF($C140="","",IFERROR(INDEX(قائمة_أيام_الأسبوع,WEEKDAY($C140,1)),""))</f>
        <v/>
      </c>
      <c r="E140" s="116" t="n"/>
      <c r="F140" s="116" t="n"/>
      <c r="G140" s="117">
        <f>IF($A140="","",بداية_الدوام)</f>
        <v/>
      </c>
      <c r="H140" s="117">
        <f>IF($A140="","",نهاية_الدوام)</f>
        <v/>
      </c>
      <c r="I140" s="58">
        <f>IF($A140="","",مدة_الاستراحة/60)</f>
        <v/>
      </c>
      <c r="J140" s="58">
        <f>IF(OR($A140="",$E140="",$F140=""),"",IF(OR($N140="حاضر",$N140="دوام جزئي"),MAX(0,MOD($F140-$E140,1)*24-$I140),0))</f>
        <v/>
      </c>
      <c r="K140" s="58">
        <f>IF(OR($A140="",$E140=""),"",IF(AND(احتساب_التأخير="نعم",OR($N140="حاضر",$N140="دوام جزئي"),$E140&gt;$G140+دقائق_السماح/1440),($E140-$G140-دقائق_السماح/1440)*24,0))</f>
        <v/>
      </c>
      <c r="L140" s="58">
        <f>IF(OR($A140="",$F140=""),"",IF(AND(OR($N140="حاضر",$N140="دوام جزئي"),$F140&lt;$H140),($H140-$F140)*24,0))</f>
        <v/>
      </c>
      <c r="M140" s="58">
        <f>IF(OR($A140="",$F140=""),"",IF(AND(احتساب_العمل_الإضافي="نعم",OR($N140="حاضر",$N140="دوام جزئي"),$F140&gt;$H140,($F140-$H140)*24*60&gt;=حد_العمل_الإضافي_دقيقة),($F140-$H140)*24,0))</f>
        <v/>
      </c>
      <c r="N140" s="47" t="n"/>
      <c r="O140" s="47" t="n"/>
      <c r="Q140">
        <f>IF(AND(ISNUMBER($K140),$K140&gt;0),SUMPRODUCT(ISNUMBER($K$3:$K$502)*($K$3:$K$502&gt;0)*(ROW($K$3:$K$502)&lt;=ROW())),"")</f>
        <v/>
      </c>
    </row>
    <row r="141">
      <c r="A141" s="40" t="n"/>
      <c r="B141" s="43">
        <f>IFERROR(INDEX(الموظفون_الاسم,MATCH($A141,الموظفون_الرقم,0)),"")</f>
        <v/>
      </c>
      <c r="C141" s="110" t="n"/>
      <c r="D141" s="43">
        <f>IF($C141="","",IFERROR(INDEX(قائمة_أيام_الأسبوع,WEEKDAY($C141,1)),""))</f>
        <v/>
      </c>
      <c r="E141" s="114" t="n"/>
      <c r="F141" s="114" t="n"/>
      <c r="G141" s="115">
        <f>IF($A141="","",بداية_الدوام)</f>
        <v/>
      </c>
      <c r="H141" s="115">
        <f>IF($A141="","",نهاية_الدوام)</f>
        <v/>
      </c>
      <c r="I141" s="55">
        <f>IF($A141="","",مدة_الاستراحة/60)</f>
        <v/>
      </c>
      <c r="J141" s="55">
        <f>IF(OR($A141="",$E141="",$F141=""),"",IF(OR($N141="حاضر",$N141="دوام جزئي"),MAX(0,MOD($F141-$E141,1)*24-$I141),0))</f>
        <v/>
      </c>
      <c r="K141" s="55">
        <f>IF(OR($A141="",$E141=""),"",IF(AND(احتساب_التأخير="نعم",OR($N141="حاضر",$N141="دوام جزئي"),$E141&gt;$G141+دقائق_السماح/1440),($E141-$G141-دقائق_السماح/1440)*24,0))</f>
        <v/>
      </c>
      <c r="L141" s="55">
        <f>IF(OR($A141="",$F141=""),"",IF(AND(OR($N141="حاضر",$N141="دوام جزئي"),$F141&lt;$H141),($H141-$F141)*24,0))</f>
        <v/>
      </c>
      <c r="M141" s="55">
        <f>IF(OR($A141="",$F141=""),"",IF(AND(احتساب_العمل_الإضافي="نعم",OR($N141="حاضر",$N141="دوام جزئي"),$F141&gt;$H141,($F141-$H141)*24*60&gt;=حد_العمل_الإضافي_دقيقة),($F141-$H141)*24,0))</f>
        <v/>
      </c>
      <c r="N141" s="40" t="n"/>
      <c r="O141" s="40" t="n"/>
      <c r="Q141">
        <f>IF(AND(ISNUMBER($K141),$K141&gt;0),SUMPRODUCT(ISNUMBER($K$3:$K$502)*($K$3:$K$502&gt;0)*(ROW($K$3:$K$502)&lt;=ROW())),"")</f>
        <v/>
      </c>
    </row>
    <row r="142">
      <c r="A142" s="47" t="n"/>
      <c r="B142" s="50">
        <f>IFERROR(INDEX(الموظفون_الاسم,MATCH($A142,الموظفون_الرقم,0)),"")</f>
        <v/>
      </c>
      <c r="C142" s="112" t="n"/>
      <c r="D142" s="50">
        <f>IF($C142="","",IFERROR(INDEX(قائمة_أيام_الأسبوع,WEEKDAY($C142,1)),""))</f>
        <v/>
      </c>
      <c r="E142" s="116" t="n"/>
      <c r="F142" s="116" t="n"/>
      <c r="G142" s="117">
        <f>IF($A142="","",بداية_الدوام)</f>
        <v/>
      </c>
      <c r="H142" s="117">
        <f>IF($A142="","",نهاية_الدوام)</f>
        <v/>
      </c>
      <c r="I142" s="58">
        <f>IF($A142="","",مدة_الاستراحة/60)</f>
        <v/>
      </c>
      <c r="J142" s="58">
        <f>IF(OR($A142="",$E142="",$F142=""),"",IF(OR($N142="حاضر",$N142="دوام جزئي"),MAX(0,MOD($F142-$E142,1)*24-$I142),0))</f>
        <v/>
      </c>
      <c r="K142" s="58">
        <f>IF(OR($A142="",$E142=""),"",IF(AND(احتساب_التأخير="نعم",OR($N142="حاضر",$N142="دوام جزئي"),$E142&gt;$G142+دقائق_السماح/1440),($E142-$G142-دقائق_السماح/1440)*24,0))</f>
        <v/>
      </c>
      <c r="L142" s="58">
        <f>IF(OR($A142="",$F142=""),"",IF(AND(OR($N142="حاضر",$N142="دوام جزئي"),$F142&lt;$H142),($H142-$F142)*24,0))</f>
        <v/>
      </c>
      <c r="M142" s="58">
        <f>IF(OR($A142="",$F142=""),"",IF(AND(احتساب_العمل_الإضافي="نعم",OR($N142="حاضر",$N142="دوام جزئي"),$F142&gt;$H142,($F142-$H142)*24*60&gt;=حد_العمل_الإضافي_دقيقة),($F142-$H142)*24,0))</f>
        <v/>
      </c>
      <c r="N142" s="47" t="n"/>
      <c r="O142" s="47" t="n"/>
      <c r="Q142">
        <f>IF(AND(ISNUMBER($K142),$K142&gt;0),SUMPRODUCT(ISNUMBER($K$3:$K$502)*($K$3:$K$502&gt;0)*(ROW($K$3:$K$502)&lt;=ROW())),"")</f>
        <v/>
      </c>
    </row>
    <row r="143">
      <c r="A143" s="40" t="n"/>
      <c r="B143" s="43">
        <f>IFERROR(INDEX(الموظفون_الاسم,MATCH($A143,الموظفون_الرقم,0)),"")</f>
        <v/>
      </c>
      <c r="C143" s="110" t="n"/>
      <c r="D143" s="43">
        <f>IF($C143="","",IFERROR(INDEX(قائمة_أيام_الأسبوع,WEEKDAY($C143,1)),""))</f>
        <v/>
      </c>
      <c r="E143" s="114" t="n"/>
      <c r="F143" s="114" t="n"/>
      <c r="G143" s="115">
        <f>IF($A143="","",بداية_الدوام)</f>
        <v/>
      </c>
      <c r="H143" s="115">
        <f>IF($A143="","",نهاية_الدوام)</f>
        <v/>
      </c>
      <c r="I143" s="55">
        <f>IF($A143="","",مدة_الاستراحة/60)</f>
        <v/>
      </c>
      <c r="J143" s="55">
        <f>IF(OR($A143="",$E143="",$F143=""),"",IF(OR($N143="حاضر",$N143="دوام جزئي"),MAX(0,MOD($F143-$E143,1)*24-$I143),0))</f>
        <v/>
      </c>
      <c r="K143" s="55">
        <f>IF(OR($A143="",$E143=""),"",IF(AND(احتساب_التأخير="نعم",OR($N143="حاضر",$N143="دوام جزئي"),$E143&gt;$G143+دقائق_السماح/1440),($E143-$G143-دقائق_السماح/1440)*24,0))</f>
        <v/>
      </c>
      <c r="L143" s="55">
        <f>IF(OR($A143="",$F143=""),"",IF(AND(OR($N143="حاضر",$N143="دوام جزئي"),$F143&lt;$H143),($H143-$F143)*24,0))</f>
        <v/>
      </c>
      <c r="M143" s="55">
        <f>IF(OR($A143="",$F143=""),"",IF(AND(احتساب_العمل_الإضافي="نعم",OR($N143="حاضر",$N143="دوام جزئي"),$F143&gt;$H143,($F143-$H143)*24*60&gt;=حد_العمل_الإضافي_دقيقة),($F143-$H143)*24,0))</f>
        <v/>
      </c>
      <c r="N143" s="40" t="n"/>
      <c r="O143" s="40" t="n"/>
      <c r="Q143">
        <f>IF(AND(ISNUMBER($K143),$K143&gt;0),SUMPRODUCT(ISNUMBER($K$3:$K$502)*($K$3:$K$502&gt;0)*(ROW($K$3:$K$502)&lt;=ROW())),"")</f>
        <v/>
      </c>
    </row>
    <row r="144">
      <c r="A144" s="47" t="n"/>
      <c r="B144" s="50">
        <f>IFERROR(INDEX(الموظفون_الاسم,MATCH($A144,الموظفون_الرقم,0)),"")</f>
        <v/>
      </c>
      <c r="C144" s="112" t="n"/>
      <c r="D144" s="50">
        <f>IF($C144="","",IFERROR(INDEX(قائمة_أيام_الأسبوع,WEEKDAY($C144,1)),""))</f>
        <v/>
      </c>
      <c r="E144" s="116" t="n"/>
      <c r="F144" s="116" t="n"/>
      <c r="G144" s="117">
        <f>IF($A144="","",بداية_الدوام)</f>
        <v/>
      </c>
      <c r="H144" s="117">
        <f>IF($A144="","",نهاية_الدوام)</f>
        <v/>
      </c>
      <c r="I144" s="58">
        <f>IF($A144="","",مدة_الاستراحة/60)</f>
        <v/>
      </c>
      <c r="J144" s="58">
        <f>IF(OR($A144="",$E144="",$F144=""),"",IF(OR($N144="حاضر",$N144="دوام جزئي"),MAX(0,MOD($F144-$E144,1)*24-$I144),0))</f>
        <v/>
      </c>
      <c r="K144" s="58">
        <f>IF(OR($A144="",$E144=""),"",IF(AND(احتساب_التأخير="نعم",OR($N144="حاضر",$N144="دوام جزئي"),$E144&gt;$G144+دقائق_السماح/1440),($E144-$G144-دقائق_السماح/1440)*24,0))</f>
        <v/>
      </c>
      <c r="L144" s="58">
        <f>IF(OR($A144="",$F144=""),"",IF(AND(OR($N144="حاضر",$N144="دوام جزئي"),$F144&lt;$H144),($H144-$F144)*24,0))</f>
        <v/>
      </c>
      <c r="M144" s="58">
        <f>IF(OR($A144="",$F144=""),"",IF(AND(احتساب_العمل_الإضافي="نعم",OR($N144="حاضر",$N144="دوام جزئي"),$F144&gt;$H144,($F144-$H144)*24*60&gt;=حد_العمل_الإضافي_دقيقة),($F144-$H144)*24,0))</f>
        <v/>
      </c>
      <c r="N144" s="47" t="n"/>
      <c r="O144" s="47" t="n"/>
      <c r="Q144">
        <f>IF(AND(ISNUMBER($K144),$K144&gt;0),SUMPRODUCT(ISNUMBER($K$3:$K$502)*($K$3:$K$502&gt;0)*(ROW($K$3:$K$502)&lt;=ROW())),"")</f>
        <v/>
      </c>
    </row>
    <row r="145">
      <c r="A145" s="40" t="n"/>
      <c r="B145" s="43">
        <f>IFERROR(INDEX(الموظفون_الاسم,MATCH($A145,الموظفون_الرقم,0)),"")</f>
        <v/>
      </c>
      <c r="C145" s="110" t="n"/>
      <c r="D145" s="43">
        <f>IF($C145="","",IFERROR(INDEX(قائمة_أيام_الأسبوع,WEEKDAY($C145,1)),""))</f>
        <v/>
      </c>
      <c r="E145" s="114" t="n"/>
      <c r="F145" s="114" t="n"/>
      <c r="G145" s="115">
        <f>IF($A145="","",بداية_الدوام)</f>
        <v/>
      </c>
      <c r="H145" s="115">
        <f>IF($A145="","",نهاية_الدوام)</f>
        <v/>
      </c>
      <c r="I145" s="55">
        <f>IF($A145="","",مدة_الاستراحة/60)</f>
        <v/>
      </c>
      <c r="J145" s="55">
        <f>IF(OR($A145="",$E145="",$F145=""),"",IF(OR($N145="حاضر",$N145="دوام جزئي"),MAX(0,MOD($F145-$E145,1)*24-$I145),0))</f>
        <v/>
      </c>
      <c r="K145" s="55">
        <f>IF(OR($A145="",$E145=""),"",IF(AND(احتساب_التأخير="نعم",OR($N145="حاضر",$N145="دوام جزئي"),$E145&gt;$G145+دقائق_السماح/1440),($E145-$G145-دقائق_السماح/1440)*24,0))</f>
        <v/>
      </c>
      <c r="L145" s="55">
        <f>IF(OR($A145="",$F145=""),"",IF(AND(OR($N145="حاضر",$N145="دوام جزئي"),$F145&lt;$H145),($H145-$F145)*24,0))</f>
        <v/>
      </c>
      <c r="M145" s="55">
        <f>IF(OR($A145="",$F145=""),"",IF(AND(احتساب_العمل_الإضافي="نعم",OR($N145="حاضر",$N145="دوام جزئي"),$F145&gt;$H145,($F145-$H145)*24*60&gt;=حد_العمل_الإضافي_دقيقة),($F145-$H145)*24,0))</f>
        <v/>
      </c>
      <c r="N145" s="40" t="n"/>
      <c r="O145" s="40" t="n"/>
      <c r="Q145">
        <f>IF(AND(ISNUMBER($K145),$K145&gt;0),SUMPRODUCT(ISNUMBER($K$3:$K$502)*($K$3:$K$502&gt;0)*(ROW($K$3:$K$502)&lt;=ROW())),"")</f>
        <v/>
      </c>
    </row>
    <row r="146">
      <c r="A146" s="47" t="n"/>
      <c r="B146" s="50">
        <f>IFERROR(INDEX(الموظفون_الاسم,MATCH($A146,الموظفون_الرقم,0)),"")</f>
        <v/>
      </c>
      <c r="C146" s="112" t="n"/>
      <c r="D146" s="50">
        <f>IF($C146="","",IFERROR(INDEX(قائمة_أيام_الأسبوع,WEEKDAY($C146,1)),""))</f>
        <v/>
      </c>
      <c r="E146" s="116" t="n"/>
      <c r="F146" s="116" t="n"/>
      <c r="G146" s="117">
        <f>IF($A146="","",بداية_الدوام)</f>
        <v/>
      </c>
      <c r="H146" s="117">
        <f>IF($A146="","",نهاية_الدوام)</f>
        <v/>
      </c>
      <c r="I146" s="58">
        <f>IF($A146="","",مدة_الاستراحة/60)</f>
        <v/>
      </c>
      <c r="J146" s="58">
        <f>IF(OR($A146="",$E146="",$F146=""),"",IF(OR($N146="حاضر",$N146="دوام جزئي"),MAX(0,MOD($F146-$E146,1)*24-$I146),0))</f>
        <v/>
      </c>
      <c r="K146" s="58">
        <f>IF(OR($A146="",$E146=""),"",IF(AND(احتساب_التأخير="نعم",OR($N146="حاضر",$N146="دوام جزئي"),$E146&gt;$G146+دقائق_السماح/1440),($E146-$G146-دقائق_السماح/1440)*24,0))</f>
        <v/>
      </c>
      <c r="L146" s="58">
        <f>IF(OR($A146="",$F146=""),"",IF(AND(OR($N146="حاضر",$N146="دوام جزئي"),$F146&lt;$H146),($H146-$F146)*24,0))</f>
        <v/>
      </c>
      <c r="M146" s="58">
        <f>IF(OR($A146="",$F146=""),"",IF(AND(احتساب_العمل_الإضافي="نعم",OR($N146="حاضر",$N146="دوام جزئي"),$F146&gt;$H146,($F146-$H146)*24*60&gt;=حد_العمل_الإضافي_دقيقة),($F146-$H146)*24,0))</f>
        <v/>
      </c>
      <c r="N146" s="47" t="n"/>
      <c r="O146" s="47" t="n"/>
      <c r="Q146">
        <f>IF(AND(ISNUMBER($K146),$K146&gt;0),SUMPRODUCT(ISNUMBER($K$3:$K$502)*($K$3:$K$502&gt;0)*(ROW($K$3:$K$502)&lt;=ROW())),"")</f>
        <v/>
      </c>
    </row>
    <row r="147">
      <c r="A147" s="40" t="n"/>
      <c r="B147" s="43">
        <f>IFERROR(INDEX(الموظفون_الاسم,MATCH($A147,الموظفون_الرقم,0)),"")</f>
        <v/>
      </c>
      <c r="C147" s="110" t="n"/>
      <c r="D147" s="43">
        <f>IF($C147="","",IFERROR(INDEX(قائمة_أيام_الأسبوع,WEEKDAY($C147,1)),""))</f>
        <v/>
      </c>
      <c r="E147" s="114" t="n"/>
      <c r="F147" s="114" t="n"/>
      <c r="G147" s="115">
        <f>IF($A147="","",بداية_الدوام)</f>
        <v/>
      </c>
      <c r="H147" s="115">
        <f>IF($A147="","",نهاية_الدوام)</f>
        <v/>
      </c>
      <c r="I147" s="55">
        <f>IF($A147="","",مدة_الاستراحة/60)</f>
        <v/>
      </c>
      <c r="J147" s="55">
        <f>IF(OR($A147="",$E147="",$F147=""),"",IF(OR($N147="حاضر",$N147="دوام جزئي"),MAX(0,MOD($F147-$E147,1)*24-$I147),0))</f>
        <v/>
      </c>
      <c r="K147" s="55">
        <f>IF(OR($A147="",$E147=""),"",IF(AND(احتساب_التأخير="نعم",OR($N147="حاضر",$N147="دوام جزئي"),$E147&gt;$G147+دقائق_السماح/1440),($E147-$G147-دقائق_السماح/1440)*24,0))</f>
        <v/>
      </c>
      <c r="L147" s="55">
        <f>IF(OR($A147="",$F147=""),"",IF(AND(OR($N147="حاضر",$N147="دوام جزئي"),$F147&lt;$H147),($H147-$F147)*24,0))</f>
        <v/>
      </c>
      <c r="M147" s="55">
        <f>IF(OR($A147="",$F147=""),"",IF(AND(احتساب_العمل_الإضافي="نعم",OR($N147="حاضر",$N147="دوام جزئي"),$F147&gt;$H147,($F147-$H147)*24*60&gt;=حد_العمل_الإضافي_دقيقة),($F147-$H147)*24,0))</f>
        <v/>
      </c>
      <c r="N147" s="40" t="n"/>
      <c r="O147" s="40" t="n"/>
      <c r="Q147">
        <f>IF(AND(ISNUMBER($K147),$K147&gt;0),SUMPRODUCT(ISNUMBER($K$3:$K$502)*($K$3:$K$502&gt;0)*(ROW($K$3:$K$502)&lt;=ROW())),"")</f>
        <v/>
      </c>
    </row>
    <row r="148">
      <c r="A148" s="47" t="n"/>
      <c r="B148" s="50">
        <f>IFERROR(INDEX(الموظفون_الاسم,MATCH($A148,الموظفون_الرقم,0)),"")</f>
        <v/>
      </c>
      <c r="C148" s="112" t="n"/>
      <c r="D148" s="50">
        <f>IF($C148="","",IFERROR(INDEX(قائمة_أيام_الأسبوع,WEEKDAY($C148,1)),""))</f>
        <v/>
      </c>
      <c r="E148" s="116" t="n"/>
      <c r="F148" s="116" t="n"/>
      <c r="G148" s="117">
        <f>IF($A148="","",بداية_الدوام)</f>
        <v/>
      </c>
      <c r="H148" s="117">
        <f>IF($A148="","",نهاية_الدوام)</f>
        <v/>
      </c>
      <c r="I148" s="58">
        <f>IF($A148="","",مدة_الاستراحة/60)</f>
        <v/>
      </c>
      <c r="J148" s="58">
        <f>IF(OR($A148="",$E148="",$F148=""),"",IF(OR($N148="حاضر",$N148="دوام جزئي"),MAX(0,MOD($F148-$E148,1)*24-$I148),0))</f>
        <v/>
      </c>
      <c r="K148" s="58">
        <f>IF(OR($A148="",$E148=""),"",IF(AND(احتساب_التأخير="نعم",OR($N148="حاضر",$N148="دوام جزئي"),$E148&gt;$G148+دقائق_السماح/1440),($E148-$G148-دقائق_السماح/1440)*24,0))</f>
        <v/>
      </c>
      <c r="L148" s="58">
        <f>IF(OR($A148="",$F148=""),"",IF(AND(OR($N148="حاضر",$N148="دوام جزئي"),$F148&lt;$H148),($H148-$F148)*24,0))</f>
        <v/>
      </c>
      <c r="M148" s="58">
        <f>IF(OR($A148="",$F148=""),"",IF(AND(احتساب_العمل_الإضافي="نعم",OR($N148="حاضر",$N148="دوام جزئي"),$F148&gt;$H148,($F148-$H148)*24*60&gt;=حد_العمل_الإضافي_دقيقة),($F148-$H148)*24,0))</f>
        <v/>
      </c>
      <c r="N148" s="47" t="n"/>
      <c r="O148" s="47" t="n"/>
      <c r="Q148">
        <f>IF(AND(ISNUMBER($K148),$K148&gt;0),SUMPRODUCT(ISNUMBER($K$3:$K$502)*($K$3:$K$502&gt;0)*(ROW($K$3:$K$502)&lt;=ROW())),"")</f>
        <v/>
      </c>
    </row>
    <row r="149">
      <c r="A149" s="40" t="n"/>
      <c r="B149" s="43">
        <f>IFERROR(INDEX(الموظفون_الاسم,MATCH($A149,الموظفون_الرقم,0)),"")</f>
        <v/>
      </c>
      <c r="C149" s="110" t="n"/>
      <c r="D149" s="43">
        <f>IF($C149="","",IFERROR(INDEX(قائمة_أيام_الأسبوع,WEEKDAY($C149,1)),""))</f>
        <v/>
      </c>
      <c r="E149" s="114" t="n"/>
      <c r="F149" s="114" t="n"/>
      <c r="G149" s="115">
        <f>IF($A149="","",بداية_الدوام)</f>
        <v/>
      </c>
      <c r="H149" s="115">
        <f>IF($A149="","",نهاية_الدوام)</f>
        <v/>
      </c>
      <c r="I149" s="55">
        <f>IF($A149="","",مدة_الاستراحة/60)</f>
        <v/>
      </c>
      <c r="J149" s="55">
        <f>IF(OR($A149="",$E149="",$F149=""),"",IF(OR($N149="حاضر",$N149="دوام جزئي"),MAX(0,MOD($F149-$E149,1)*24-$I149),0))</f>
        <v/>
      </c>
      <c r="K149" s="55">
        <f>IF(OR($A149="",$E149=""),"",IF(AND(احتساب_التأخير="نعم",OR($N149="حاضر",$N149="دوام جزئي"),$E149&gt;$G149+دقائق_السماح/1440),($E149-$G149-دقائق_السماح/1440)*24,0))</f>
        <v/>
      </c>
      <c r="L149" s="55">
        <f>IF(OR($A149="",$F149=""),"",IF(AND(OR($N149="حاضر",$N149="دوام جزئي"),$F149&lt;$H149),($H149-$F149)*24,0))</f>
        <v/>
      </c>
      <c r="M149" s="55">
        <f>IF(OR($A149="",$F149=""),"",IF(AND(احتساب_العمل_الإضافي="نعم",OR($N149="حاضر",$N149="دوام جزئي"),$F149&gt;$H149,($F149-$H149)*24*60&gt;=حد_العمل_الإضافي_دقيقة),($F149-$H149)*24,0))</f>
        <v/>
      </c>
      <c r="N149" s="40" t="n"/>
      <c r="O149" s="40" t="n"/>
      <c r="Q149">
        <f>IF(AND(ISNUMBER($K149),$K149&gt;0),SUMPRODUCT(ISNUMBER($K$3:$K$502)*($K$3:$K$502&gt;0)*(ROW($K$3:$K$502)&lt;=ROW())),"")</f>
        <v/>
      </c>
    </row>
    <row r="150">
      <c r="A150" s="47" t="n"/>
      <c r="B150" s="50">
        <f>IFERROR(INDEX(الموظفون_الاسم,MATCH($A150,الموظفون_الرقم,0)),"")</f>
        <v/>
      </c>
      <c r="C150" s="112" t="n"/>
      <c r="D150" s="50">
        <f>IF($C150="","",IFERROR(INDEX(قائمة_أيام_الأسبوع,WEEKDAY($C150,1)),""))</f>
        <v/>
      </c>
      <c r="E150" s="116" t="n"/>
      <c r="F150" s="116" t="n"/>
      <c r="G150" s="117">
        <f>IF($A150="","",بداية_الدوام)</f>
        <v/>
      </c>
      <c r="H150" s="117">
        <f>IF($A150="","",نهاية_الدوام)</f>
        <v/>
      </c>
      <c r="I150" s="58">
        <f>IF($A150="","",مدة_الاستراحة/60)</f>
        <v/>
      </c>
      <c r="J150" s="58">
        <f>IF(OR($A150="",$E150="",$F150=""),"",IF(OR($N150="حاضر",$N150="دوام جزئي"),MAX(0,MOD($F150-$E150,1)*24-$I150),0))</f>
        <v/>
      </c>
      <c r="K150" s="58">
        <f>IF(OR($A150="",$E150=""),"",IF(AND(احتساب_التأخير="نعم",OR($N150="حاضر",$N150="دوام جزئي"),$E150&gt;$G150+دقائق_السماح/1440),($E150-$G150-دقائق_السماح/1440)*24,0))</f>
        <v/>
      </c>
      <c r="L150" s="58">
        <f>IF(OR($A150="",$F150=""),"",IF(AND(OR($N150="حاضر",$N150="دوام جزئي"),$F150&lt;$H150),($H150-$F150)*24,0))</f>
        <v/>
      </c>
      <c r="M150" s="58">
        <f>IF(OR($A150="",$F150=""),"",IF(AND(احتساب_العمل_الإضافي="نعم",OR($N150="حاضر",$N150="دوام جزئي"),$F150&gt;$H150,($F150-$H150)*24*60&gt;=حد_العمل_الإضافي_دقيقة),($F150-$H150)*24,0))</f>
        <v/>
      </c>
      <c r="N150" s="47" t="n"/>
      <c r="O150" s="47" t="n"/>
      <c r="Q150">
        <f>IF(AND(ISNUMBER($K150),$K150&gt;0),SUMPRODUCT(ISNUMBER($K$3:$K$502)*($K$3:$K$502&gt;0)*(ROW($K$3:$K$502)&lt;=ROW())),"")</f>
        <v/>
      </c>
    </row>
    <row r="151">
      <c r="A151" s="40" t="n"/>
      <c r="B151" s="43">
        <f>IFERROR(INDEX(الموظفون_الاسم,MATCH($A151,الموظفون_الرقم,0)),"")</f>
        <v/>
      </c>
      <c r="C151" s="110" t="n"/>
      <c r="D151" s="43">
        <f>IF($C151="","",IFERROR(INDEX(قائمة_أيام_الأسبوع,WEEKDAY($C151,1)),""))</f>
        <v/>
      </c>
      <c r="E151" s="114" t="n"/>
      <c r="F151" s="114" t="n"/>
      <c r="G151" s="115">
        <f>IF($A151="","",بداية_الدوام)</f>
        <v/>
      </c>
      <c r="H151" s="115">
        <f>IF($A151="","",نهاية_الدوام)</f>
        <v/>
      </c>
      <c r="I151" s="55">
        <f>IF($A151="","",مدة_الاستراحة/60)</f>
        <v/>
      </c>
      <c r="J151" s="55">
        <f>IF(OR($A151="",$E151="",$F151=""),"",IF(OR($N151="حاضر",$N151="دوام جزئي"),MAX(0,MOD($F151-$E151,1)*24-$I151),0))</f>
        <v/>
      </c>
      <c r="K151" s="55">
        <f>IF(OR($A151="",$E151=""),"",IF(AND(احتساب_التأخير="نعم",OR($N151="حاضر",$N151="دوام جزئي"),$E151&gt;$G151+دقائق_السماح/1440),($E151-$G151-دقائق_السماح/1440)*24,0))</f>
        <v/>
      </c>
      <c r="L151" s="55">
        <f>IF(OR($A151="",$F151=""),"",IF(AND(OR($N151="حاضر",$N151="دوام جزئي"),$F151&lt;$H151),($H151-$F151)*24,0))</f>
        <v/>
      </c>
      <c r="M151" s="55">
        <f>IF(OR($A151="",$F151=""),"",IF(AND(احتساب_العمل_الإضافي="نعم",OR($N151="حاضر",$N151="دوام جزئي"),$F151&gt;$H151,($F151-$H151)*24*60&gt;=حد_العمل_الإضافي_دقيقة),($F151-$H151)*24,0))</f>
        <v/>
      </c>
      <c r="N151" s="40" t="n"/>
      <c r="O151" s="40" t="n"/>
      <c r="Q151">
        <f>IF(AND(ISNUMBER($K151),$K151&gt;0),SUMPRODUCT(ISNUMBER($K$3:$K$502)*($K$3:$K$502&gt;0)*(ROW($K$3:$K$502)&lt;=ROW())),"")</f>
        <v/>
      </c>
    </row>
    <row r="152">
      <c r="A152" s="47" t="n"/>
      <c r="B152" s="50">
        <f>IFERROR(INDEX(الموظفون_الاسم,MATCH($A152,الموظفون_الرقم,0)),"")</f>
        <v/>
      </c>
      <c r="C152" s="112" t="n"/>
      <c r="D152" s="50">
        <f>IF($C152="","",IFERROR(INDEX(قائمة_أيام_الأسبوع,WEEKDAY($C152,1)),""))</f>
        <v/>
      </c>
      <c r="E152" s="116" t="n"/>
      <c r="F152" s="116" t="n"/>
      <c r="G152" s="117">
        <f>IF($A152="","",بداية_الدوام)</f>
        <v/>
      </c>
      <c r="H152" s="117">
        <f>IF($A152="","",نهاية_الدوام)</f>
        <v/>
      </c>
      <c r="I152" s="58">
        <f>IF($A152="","",مدة_الاستراحة/60)</f>
        <v/>
      </c>
      <c r="J152" s="58">
        <f>IF(OR($A152="",$E152="",$F152=""),"",IF(OR($N152="حاضر",$N152="دوام جزئي"),MAX(0,MOD($F152-$E152,1)*24-$I152),0))</f>
        <v/>
      </c>
      <c r="K152" s="58">
        <f>IF(OR($A152="",$E152=""),"",IF(AND(احتساب_التأخير="نعم",OR($N152="حاضر",$N152="دوام جزئي"),$E152&gt;$G152+دقائق_السماح/1440),($E152-$G152-دقائق_السماح/1440)*24,0))</f>
        <v/>
      </c>
      <c r="L152" s="58">
        <f>IF(OR($A152="",$F152=""),"",IF(AND(OR($N152="حاضر",$N152="دوام جزئي"),$F152&lt;$H152),($H152-$F152)*24,0))</f>
        <v/>
      </c>
      <c r="M152" s="58">
        <f>IF(OR($A152="",$F152=""),"",IF(AND(احتساب_العمل_الإضافي="نعم",OR($N152="حاضر",$N152="دوام جزئي"),$F152&gt;$H152,($F152-$H152)*24*60&gt;=حد_العمل_الإضافي_دقيقة),($F152-$H152)*24,0))</f>
        <v/>
      </c>
      <c r="N152" s="47" t="n"/>
      <c r="O152" s="47" t="n"/>
      <c r="Q152">
        <f>IF(AND(ISNUMBER($K152),$K152&gt;0),SUMPRODUCT(ISNUMBER($K$3:$K$502)*($K$3:$K$502&gt;0)*(ROW($K$3:$K$502)&lt;=ROW())),"")</f>
        <v/>
      </c>
    </row>
    <row r="153">
      <c r="A153" s="40" t="n"/>
      <c r="B153" s="43">
        <f>IFERROR(INDEX(الموظفون_الاسم,MATCH($A153,الموظفون_الرقم,0)),"")</f>
        <v/>
      </c>
      <c r="C153" s="110" t="n"/>
      <c r="D153" s="43">
        <f>IF($C153="","",IFERROR(INDEX(قائمة_أيام_الأسبوع,WEEKDAY($C153,1)),""))</f>
        <v/>
      </c>
      <c r="E153" s="114" t="n"/>
      <c r="F153" s="114" t="n"/>
      <c r="G153" s="115">
        <f>IF($A153="","",بداية_الدوام)</f>
        <v/>
      </c>
      <c r="H153" s="115">
        <f>IF($A153="","",نهاية_الدوام)</f>
        <v/>
      </c>
      <c r="I153" s="55">
        <f>IF($A153="","",مدة_الاستراحة/60)</f>
        <v/>
      </c>
      <c r="J153" s="55">
        <f>IF(OR($A153="",$E153="",$F153=""),"",IF(OR($N153="حاضر",$N153="دوام جزئي"),MAX(0,MOD($F153-$E153,1)*24-$I153),0))</f>
        <v/>
      </c>
      <c r="K153" s="55">
        <f>IF(OR($A153="",$E153=""),"",IF(AND(احتساب_التأخير="نعم",OR($N153="حاضر",$N153="دوام جزئي"),$E153&gt;$G153+دقائق_السماح/1440),($E153-$G153-دقائق_السماح/1440)*24,0))</f>
        <v/>
      </c>
      <c r="L153" s="55">
        <f>IF(OR($A153="",$F153=""),"",IF(AND(OR($N153="حاضر",$N153="دوام جزئي"),$F153&lt;$H153),($H153-$F153)*24,0))</f>
        <v/>
      </c>
      <c r="M153" s="55">
        <f>IF(OR($A153="",$F153=""),"",IF(AND(احتساب_العمل_الإضافي="نعم",OR($N153="حاضر",$N153="دوام جزئي"),$F153&gt;$H153,($F153-$H153)*24*60&gt;=حد_العمل_الإضافي_دقيقة),($F153-$H153)*24,0))</f>
        <v/>
      </c>
      <c r="N153" s="40" t="n"/>
      <c r="O153" s="40" t="n"/>
      <c r="Q153">
        <f>IF(AND(ISNUMBER($K153),$K153&gt;0),SUMPRODUCT(ISNUMBER($K$3:$K$502)*($K$3:$K$502&gt;0)*(ROW($K$3:$K$502)&lt;=ROW())),"")</f>
        <v/>
      </c>
    </row>
    <row r="154">
      <c r="A154" s="47" t="n"/>
      <c r="B154" s="50">
        <f>IFERROR(INDEX(الموظفون_الاسم,MATCH($A154,الموظفون_الرقم,0)),"")</f>
        <v/>
      </c>
      <c r="C154" s="112" t="n"/>
      <c r="D154" s="50">
        <f>IF($C154="","",IFERROR(INDEX(قائمة_أيام_الأسبوع,WEEKDAY($C154,1)),""))</f>
        <v/>
      </c>
      <c r="E154" s="116" t="n"/>
      <c r="F154" s="116" t="n"/>
      <c r="G154" s="117">
        <f>IF($A154="","",بداية_الدوام)</f>
        <v/>
      </c>
      <c r="H154" s="117">
        <f>IF($A154="","",نهاية_الدوام)</f>
        <v/>
      </c>
      <c r="I154" s="58">
        <f>IF($A154="","",مدة_الاستراحة/60)</f>
        <v/>
      </c>
      <c r="J154" s="58">
        <f>IF(OR($A154="",$E154="",$F154=""),"",IF(OR($N154="حاضر",$N154="دوام جزئي"),MAX(0,MOD($F154-$E154,1)*24-$I154),0))</f>
        <v/>
      </c>
      <c r="K154" s="58">
        <f>IF(OR($A154="",$E154=""),"",IF(AND(احتساب_التأخير="نعم",OR($N154="حاضر",$N154="دوام جزئي"),$E154&gt;$G154+دقائق_السماح/1440),($E154-$G154-دقائق_السماح/1440)*24,0))</f>
        <v/>
      </c>
      <c r="L154" s="58">
        <f>IF(OR($A154="",$F154=""),"",IF(AND(OR($N154="حاضر",$N154="دوام جزئي"),$F154&lt;$H154),($H154-$F154)*24,0))</f>
        <v/>
      </c>
      <c r="M154" s="58">
        <f>IF(OR($A154="",$F154=""),"",IF(AND(احتساب_العمل_الإضافي="نعم",OR($N154="حاضر",$N154="دوام جزئي"),$F154&gt;$H154,($F154-$H154)*24*60&gt;=حد_العمل_الإضافي_دقيقة),($F154-$H154)*24,0))</f>
        <v/>
      </c>
      <c r="N154" s="47" t="n"/>
      <c r="O154" s="47" t="n"/>
      <c r="Q154">
        <f>IF(AND(ISNUMBER($K154),$K154&gt;0),SUMPRODUCT(ISNUMBER($K$3:$K$502)*($K$3:$K$502&gt;0)*(ROW($K$3:$K$502)&lt;=ROW())),"")</f>
        <v/>
      </c>
    </row>
    <row r="155">
      <c r="A155" s="40" t="n"/>
      <c r="B155" s="43">
        <f>IFERROR(INDEX(الموظفون_الاسم,MATCH($A155,الموظفون_الرقم,0)),"")</f>
        <v/>
      </c>
      <c r="C155" s="110" t="n"/>
      <c r="D155" s="43">
        <f>IF($C155="","",IFERROR(INDEX(قائمة_أيام_الأسبوع,WEEKDAY($C155,1)),""))</f>
        <v/>
      </c>
      <c r="E155" s="114" t="n"/>
      <c r="F155" s="114" t="n"/>
      <c r="G155" s="115">
        <f>IF($A155="","",بداية_الدوام)</f>
        <v/>
      </c>
      <c r="H155" s="115">
        <f>IF($A155="","",نهاية_الدوام)</f>
        <v/>
      </c>
      <c r="I155" s="55">
        <f>IF($A155="","",مدة_الاستراحة/60)</f>
        <v/>
      </c>
      <c r="J155" s="55">
        <f>IF(OR($A155="",$E155="",$F155=""),"",IF(OR($N155="حاضر",$N155="دوام جزئي"),MAX(0,MOD($F155-$E155,1)*24-$I155),0))</f>
        <v/>
      </c>
      <c r="K155" s="55">
        <f>IF(OR($A155="",$E155=""),"",IF(AND(احتساب_التأخير="نعم",OR($N155="حاضر",$N155="دوام جزئي"),$E155&gt;$G155+دقائق_السماح/1440),($E155-$G155-دقائق_السماح/1440)*24,0))</f>
        <v/>
      </c>
      <c r="L155" s="55">
        <f>IF(OR($A155="",$F155=""),"",IF(AND(OR($N155="حاضر",$N155="دوام جزئي"),$F155&lt;$H155),($H155-$F155)*24,0))</f>
        <v/>
      </c>
      <c r="M155" s="55">
        <f>IF(OR($A155="",$F155=""),"",IF(AND(احتساب_العمل_الإضافي="نعم",OR($N155="حاضر",$N155="دوام جزئي"),$F155&gt;$H155,($F155-$H155)*24*60&gt;=حد_العمل_الإضافي_دقيقة),($F155-$H155)*24,0))</f>
        <v/>
      </c>
      <c r="N155" s="40" t="n"/>
      <c r="O155" s="40" t="n"/>
      <c r="Q155">
        <f>IF(AND(ISNUMBER($K155),$K155&gt;0),SUMPRODUCT(ISNUMBER($K$3:$K$502)*($K$3:$K$502&gt;0)*(ROW($K$3:$K$502)&lt;=ROW())),"")</f>
        <v/>
      </c>
    </row>
    <row r="156">
      <c r="A156" s="47" t="n"/>
      <c r="B156" s="50">
        <f>IFERROR(INDEX(الموظفون_الاسم,MATCH($A156,الموظفون_الرقم,0)),"")</f>
        <v/>
      </c>
      <c r="C156" s="112" t="n"/>
      <c r="D156" s="50">
        <f>IF($C156="","",IFERROR(INDEX(قائمة_أيام_الأسبوع,WEEKDAY($C156,1)),""))</f>
        <v/>
      </c>
      <c r="E156" s="116" t="n"/>
      <c r="F156" s="116" t="n"/>
      <c r="G156" s="117">
        <f>IF($A156="","",بداية_الدوام)</f>
        <v/>
      </c>
      <c r="H156" s="117">
        <f>IF($A156="","",نهاية_الدوام)</f>
        <v/>
      </c>
      <c r="I156" s="58">
        <f>IF($A156="","",مدة_الاستراحة/60)</f>
        <v/>
      </c>
      <c r="J156" s="58">
        <f>IF(OR($A156="",$E156="",$F156=""),"",IF(OR($N156="حاضر",$N156="دوام جزئي"),MAX(0,MOD($F156-$E156,1)*24-$I156),0))</f>
        <v/>
      </c>
      <c r="K156" s="58">
        <f>IF(OR($A156="",$E156=""),"",IF(AND(احتساب_التأخير="نعم",OR($N156="حاضر",$N156="دوام جزئي"),$E156&gt;$G156+دقائق_السماح/1440),($E156-$G156-دقائق_السماح/1440)*24,0))</f>
        <v/>
      </c>
      <c r="L156" s="58">
        <f>IF(OR($A156="",$F156=""),"",IF(AND(OR($N156="حاضر",$N156="دوام جزئي"),$F156&lt;$H156),($H156-$F156)*24,0))</f>
        <v/>
      </c>
      <c r="M156" s="58">
        <f>IF(OR($A156="",$F156=""),"",IF(AND(احتساب_العمل_الإضافي="نعم",OR($N156="حاضر",$N156="دوام جزئي"),$F156&gt;$H156,($F156-$H156)*24*60&gt;=حد_العمل_الإضافي_دقيقة),($F156-$H156)*24,0))</f>
        <v/>
      </c>
      <c r="N156" s="47" t="n"/>
      <c r="O156" s="47" t="n"/>
      <c r="Q156">
        <f>IF(AND(ISNUMBER($K156),$K156&gt;0),SUMPRODUCT(ISNUMBER($K$3:$K$502)*($K$3:$K$502&gt;0)*(ROW($K$3:$K$502)&lt;=ROW())),"")</f>
        <v/>
      </c>
    </row>
    <row r="157">
      <c r="A157" s="40" t="n"/>
      <c r="B157" s="43">
        <f>IFERROR(INDEX(الموظفون_الاسم,MATCH($A157,الموظفون_الرقم,0)),"")</f>
        <v/>
      </c>
      <c r="C157" s="110" t="n"/>
      <c r="D157" s="43">
        <f>IF($C157="","",IFERROR(INDEX(قائمة_أيام_الأسبوع,WEEKDAY($C157,1)),""))</f>
        <v/>
      </c>
      <c r="E157" s="114" t="n"/>
      <c r="F157" s="114" t="n"/>
      <c r="G157" s="115">
        <f>IF($A157="","",بداية_الدوام)</f>
        <v/>
      </c>
      <c r="H157" s="115">
        <f>IF($A157="","",نهاية_الدوام)</f>
        <v/>
      </c>
      <c r="I157" s="55">
        <f>IF($A157="","",مدة_الاستراحة/60)</f>
        <v/>
      </c>
      <c r="J157" s="55">
        <f>IF(OR($A157="",$E157="",$F157=""),"",IF(OR($N157="حاضر",$N157="دوام جزئي"),MAX(0,MOD($F157-$E157,1)*24-$I157),0))</f>
        <v/>
      </c>
      <c r="K157" s="55">
        <f>IF(OR($A157="",$E157=""),"",IF(AND(احتساب_التأخير="نعم",OR($N157="حاضر",$N157="دوام جزئي"),$E157&gt;$G157+دقائق_السماح/1440),($E157-$G157-دقائق_السماح/1440)*24,0))</f>
        <v/>
      </c>
      <c r="L157" s="55">
        <f>IF(OR($A157="",$F157=""),"",IF(AND(OR($N157="حاضر",$N157="دوام جزئي"),$F157&lt;$H157),($H157-$F157)*24,0))</f>
        <v/>
      </c>
      <c r="M157" s="55">
        <f>IF(OR($A157="",$F157=""),"",IF(AND(احتساب_العمل_الإضافي="نعم",OR($N157="حاضر",$N157="دوام جزئي"),$F157&gt;$H157,($F157-$H157)*24*60&gt;=حد_العمل_الإضافي_دقيقة),($F157-$H157)*24,0))</f>
        <v/>
      </c>
      <c r="N157" s="40" t="n"/>
      <c r="O157" s="40" t="n"/>
      <c r="Q157">
        <f>IF(AND(ISNUMBER($K157),$K157&gt;0),SUMPRODUCT(ISNUMBER($K$3:$K$502)*($K$3:$K$502&gt;0)*(ROW($K$3:$K$502)&lt;=ROW())),"")</f>
        <v/>
      </c>
    </row>
    <row r="158">
      <c r="A158" s="47" t="n"/>
      <c r="B158" s="50">
        <f>IFERROR(INDEX(الموظفون_الاسم,MATCH($A158,الموظفون_الرقم,0)),"")</f>
        <v/>
      </c>
      <c r="C158" s="112" t="n"/>
      <c r="D158" s="50">
        <f>IF($C158="","",IFERROR(INDEX(قائمة_أيام_الأسبوع,WEEKDAY($C158,1)),""))</f>
        <v/>
      </c>
      <c r="E158" s="116" t="n"/>
      <c r="F158" s="116" t="n"/>
      <c r="G158" s="117">
        <f>IF($A158="","",بداية_الدوام)</f>
        <v/>
      </c>
      <c r="H158" s="117">
        <f>IF($A158="","",نهاية_الدوام)</f>
        <v/>
      </c>
      <c r="I158" s="58">
        <f>IF($A158="","",مدة_الاستراحة/60)</f>
        <v/>
      </c>
      <c r="J158" s="58">
        <f>IF(OR($A158="",$E158="",$F158=""),"",IF(OR($N158="حاضر",$N158="دوام جزئي"),MAX(0,MOD($F158-$E158,1)*24-$I158),0))</f>
        <v/>
      </c>
      <c r="K158" s="58">
        <f>IF(OR($A158="",$E158=""),"",IF(AND(احتساب_التأخير="نعم",OR($N158="حاضر",$N158="دوام جزئي"),$E158&gt;$G158+دقائق_السماح/1440),($E158-$G158-دقائق_السماح/1440)*24,0))</f>
        <v/>
      </c>
      <c r="L158" s="58">
        <f>IF(OR($A158="",$F158=""),"",IF(AND(OR($N158="حاضر",$N158="دوام جزئي"),$F158&lt;$H158),($H158-$F158)*24,0))</f>
        <v/>
      </c>
      <c r="M158" s="58">
        <f>IF(OR($A158="",$F158=""),"",IF(AND(احتساب_العمل_الإضافي="نعم",OR($N158="حاضر",$N158="دوام جزئي"),$F158&gt;$H158,($F158-$H158)*24*60&gt;=حد_العمل_الإضافي_دقيقة),($F158-$H158)*24,0))</f>
        <v/>
      </c>
      <c r="N158" s="47" t="n"/>
      <c r="O158" s="47" t="n"/>
      <c r="Q158">
        <f>IF(AND(ISNUMBER($K158),$K158&gt;0),SUMPRODUCT(ISNUMBER($K$3:$K$502)*($K$3:$K$502&gt;0)*(ROW($K$3:$K$502)&lt;=ROW())),"")</f>
        <v/>
      </c>
    </row>
    <row r="159">
      <c r="A159" s="40" t="n"/>
      <c r="B159" s="43">
        <f>IFERROR(INDEX(الموظفون_الاسم,MATCH($A159,الموظفون_الرقم,0)),"")</f>
        <v/>
      </c>
      <c r="C159" s="110" t="n"/>
      <c r="D159" s="43">
        <f>IF($C159="","",IFERROR(INDEX(قائمة_أيام_الأسبوع,WEEKDAY($C159,1)),""))</f>
        <v/>
      </c>
      <c r="E159" s="114" t="n"/>
      <c r="F159" s="114" t="n"/>
      <c r="G159" s="115">
        <f>IF($A159="","",بداية_الدوام)</f>
        <v/>
      </c>
      <c r="H159" s="115">
        <f>IF($A159="","",نهاية_الدوام)</f>
        <v/>
      </c>
      <c r="I159" s="55">
        <f>IF($A159="","",مدة_الاستراحة/60)</f>
        <v/>
      </c>
      <c r="J159" s="55">
        <f>IF(OR($A159="",$E159="",$F159=""),"",IF(OR($N159="حاضر",$N159="دوام جزئي"),MAX(0,MOD($F159-$E159,1)*24-$I159),0))</f>
        <v/>
      </c>
      <c r="K159" s="55">
        <f>IF(OR($A159="",$E159=""),"",IF(AND(احتساب_التأخير="نعم",OR($N159="حاضر",$N159="دوام جزئي"),$E159&gt;$G159+دقائق_السماح/1440),($E159-$G159-دقائق_السماح/1440)*24,0))</f>
        <v/>
      </c>
      <c r="L159" s="55">
        <f>IF(OR($A159="",$F159=""),"",IF(AND(OR($N159="حاضر",$N159="دوام جزئي"),$F159&lt;$H159),($H159-$F159)*24,0))</f>
        <v/>
      </c>
      <c r="M159" s="55">
        <f>IF(OR($A159="",$F159=""),"",IF(AND(احتساب_العمل_الإضافي="نعم",OR($N159="حاضر",$N159="دوام جزئي"),$F159&gt;$H159,($F159-$H159)*24*60&gt;=حد_العمل_الإضافي_دقيقة),($F159-$H159)*24,0))</f>
        <v/>
      </c>
      <c r="N159" s="40" t="n"/>
      <c r="O159" s="40" t="n"/>
      <c r="Q159">
        <f>IF(AND(ISNUMBER($K159),$K159&gt;0),SUMPRODUCT(ISNUMBER($K$3:$K$502)*($K$3:$K$502&gt;0)*(ROW($K$3:$K$502)&lt;=ROW())),"")</f>
        <v/>
      </c>
    </row>
    <row r="160">
      <c r="A160" s="47" t="n"/>
      <c r="B160" s="50">
        <f>IFERROR(INDEX(الموظفون_الاسم,MATCH($A160,الموظفون_الرقم,0)),"")</f>
        <v/>
      </c>
      <c r="C160" s="112" t="n"/>
      <c r="D160" s="50">
        <f>IF($C160="","",IFERROR(INDEX(قائمة_أيام_الأسبوع,WEEKDAY($C160,1)),""))</f>
        <v/>
      </c>
      <c r="E160" s="116" t="n"/>
      <c r="F160" s="116" t="n"/>
      <c r="G160" s="117">
        <f>IF($A160="","",بداية_الدوام)</f>
        <v/>
      </c>
      <c r="H160" s="117">
        <f>IF($A160="","",نهاية_الدوام)</f>
        <v/>
      </c>
      <c r="I160" s="58">
        <f>IF($A160="","",مدة_الاستراحة/60)</f>
        <v/>
      </c>
      <c r="J160" s="58">
        <f>IF(OR($A160="",$E160="",$F160=""),"",IF(OR($N160="حاضر",$N160="دوام جزئي"),MAX(0,MOD($F160-$E160,1)*24-$I160),0))</f>
        <v/>
      </c>
      <c r="K160" s="58">
        <f>IF(OR($A160="",$E160=""),"",IF(AND(احتساب_التأخير="نعم",OR($N160="حاضر",$N160="دوام جزئي"),$E160&gt;$G160+دقائق_السماح/1440),($E160-$G160-دقائق_السماح/1440)*24,0))</f>
        <v/>
      </c>
      <c r="L160" s="58">
        <f>IF(OR($A160="",$F160=""),"",IF(AND(OR($N160="حاضر",$N160="دوام جزئي"),$F160&lt;$H160),($H160-$F160)*24,0))</f>
        <v/>
      </c>
      <c r="M160" s="58">
        <f>IF(OR($A160="",$F160=""),"",IF(AND(احتساب_العمل_الإضافي="نعم",OR($N160="حاضر",$N160="دوام جزئي"),$F160&gt;$H160,($F160-$H160)*24*60&gt;=حد_العمل_الإضافي_دقيقة),($F160-$H160)*24,0))</f>
        <v/>
      </c>
      <c r="N160" s="47" t="n"/>
      <c r="O160" s="47" t="n"/>
      <c r="Q160">
        <f>IF(AND(ISNUMBER($K160),$K160&gt;0),SUMPRODUCT(ISNUMBER($K$3:$K$502)*($K$3:$K$502&gt;0)*(ROW($K$3:$K$502)&lt;=ROW())),"")</f>
        <v/>
      </c>
    </row>
    <row r="161">
      <c r="A161" s="40" t="n"/>
      <c r="B161" s="43">
        <f>IFERROR(INDEX(الموظفون_الاسم,MATCH($A161,الموظفون_الرقم,0)),"")</f>
        <v/>
      </c>
      <c r="C161" s="110" t="n"/>
      <c r="D161" s="43">
        <f>IF($C161="","",IFERROR(INDEX(قائمة_أيام_الأسبوع,WEEKDAY($C161,1)),""))</f>
        <v/>
      </c>
      <c r="E161" s="114" t="n"/>
      <c r="F161" s="114" t="n"/>
      <c r="G161" s="115">
        <f>IF($A161="","",بداية_الدوام)</f>
        <v/>
      </c>
      <c r="H161" s="115">
        <f>IF($A161="","",نهاية_الدوام)</f>
        <v/>
      </c>
      <c r="I161" s="55">
        <f>IF($A161="","",مدة_الاستراحة/60)</f>
        <v/>
      </c>
      <c r="J161" s="55">
        <f>IF(OR($A161="",$E161="",$F161=""),"",IF(OR($N161="حاضر",$N161="دوام جزئي"),MAX(0,MOD($F161-$E161,1)*24-$I161),0))</f>
        <v/>
      </c>
      <c r="K161" s="55">
        <f>IF(OR($A161="",$E161=""),"",IF(AND(احتساب_التأخير="نعم",OR($N161="حاضر",$N161="دوام جزئي"),$E161&gt;$G161+دقائق_السماح/1440),($E161-$G161-دقائق_السماح/1440)*24,0))</f>
        <v/>
      </c>
      <c r="L161" s="55">
        <f>IF(OR($A161="",$F161=""),"",IF(AND(OR($N161="حاضر",$N161="دوام جزئي"),$F161&lt;$H161),($H161-$F161)*24,0))</f>
        <v/>
      </c>
      <c r="M161" s="55">
        <f>IF(OR($A161="",$F161=""),"",IF(AND(احتساب_العمل_الإضافي="نعم",OR($N161="حاضر",$N161="دوام جزئي"),$F161&gt;$H161,($F161-$H161)*24*60&gt;=حد_العمل_الإضافي_دقيقة),($F161-$H161)*24,0))</f>
        <v/>
      </c>
      <c r="N161" s="40" t="n"/>
      <c r="O161" s="40" t="n"/>
      <c r="Q161">
        <f>IF(AND(ISNUMBER($K161),$K161&gt;0),SUMPRODUCT(ISNUMBER($K$3:$K$502)*($K$3:$K$502&gt;0)*(ROW($K$3:$K$502)&lt;=ROW())),"")</f>
        <v/>
      </c>
    </row>
    <row r="162">
      <c r="A162" s="47" t="n"/>
      <c r="B162" s="50">
        <f>IFERROR(INDEX(الموظفون_الاسم,MATCH($A162,الموظفون_الرقم,0)),"")</f>
        <v/>
      </c>
      <c r="C162" s="112" t="n"/>
      <c r="D162" s="50">
        <f>IF($C162="","",IFERROR(INDEX(قائمة_أيام_الأسبوع,WEEKDAY($C162,1)),""))</f>
        <v/>
      </c>
      <c r="E162" s="116" t="n"/>
      <c r="F162" s="116" t="n"/>
      <c r="G162" s="117">
        <f>IF($A162="","",بداية_الدوام)</f>
        <v/>
      </c>
      <c r="H162" s="117">
        <f>IF($A162="","",نهاية_الدوام)</f>
        <v/>
      </c>
      <c r="I162" s="58">
        <f>IF($A162="","",مدة_الاستراحة/60)</f>
        <v/>
      </c>
      <c r="J162" s="58">
        <f>IF(OR($A162="",$E162="",$F162=""),"",IF(OR($N162="حاضر",$N162="دوام جزئي"),MAX(0,MOD($F162-$E162,1)*24-$I162),0))</f>
        <v/>
      </c>
      <c r="K162" s="58">
        <f>IF(OR($A162="",$E162=""),"",IF(AND(احتساب_التأخير="نعم",OR($N162="حاضر",$N162="دوام جزئي"),$E162&gt;$G162+دقائق_السماح/1440),($E162-$G162-دقائق_السماح/1440)*24,0))</f>
        <v/>
      </c>
      <c r="L162" s="58">
        <f>IF(OR($A162="",$F162=""),"",IF(AND(OR($N162="حاضر",$N162="دوام جزئي"),$F162&lt;$H162),($H162-$F162)*24,0))</f>
        <v/>
      </c>
      <c r="M162" s="58">
        <f>IF(OR($A162="",$F162=""),"",IF(AND(احتساب_العمل_الإضافي="نعم",OR($N162="حاضر",$N162="دوام جزئي"),$F162&gt;$H162,($F162-$H162)*24*60&gt;=حد_العمل_الإضافي_دقيقة),($F162-$H162)*24,0))</f>
        <v/>
      </c>
      <c r="N162" s="47" t="n"/>
      <c r="O162" s="47" t="n"/>
      <c r="Q162">
        <f>IF(AND(ISNUMBER($K162),$K162&gt;0),SUMPRODUCT(ISNUMBER($K$3:$K$502)*($K$3:$K$502&gt;0)*(ROW($K$3:$K$502)&lt;=ROW())),"")</f>
        <v/>
      </c>
    </row>
    <row r="163">
      <c r="A163" s="40" t="n"/>
      <c r="B163" s="43">
        <f>IFERROR(INDEX(الموظفون_الاسم,MATCH($A163,الموظفون_الرقم,0)),"")</f>
        <v/>
      </c>
      <c r="C163" s="110" t="n"/>
      <c r="D163" s="43">
        <f>IF($C163="","",IFERROR(INDEX(قائمة_أيام_الأسبوع,WEEKDAY($C163,1)),""))</f>
        <v/>
      </c>
      <c r="E163" s="114" t="n"/>
      <c r="F163" s="114" t="n"/>
      <c r="G163" s="115">
        <f>IF($A163="","",بداية_الدوام)</f>
        <v/>
      </c>
      <c r="H163" s="115">
        <f>IF($A163="","",نهاية_الدوام)</f>
        <v/>
      </c>
      <c r="I163" s="55">
        <f>IF($A163="","",مدة_الاستراحة/60)</f>
        <v/>
      </c>
      <c r="J163" s="55">
        <f>IF(OR($A163="",$E163="",$F163=""),"",IF(OR($N163="حاضر",$N163="دوام جزئي"),MAX(0,MOD($F163-$E163,1)*24-$I163),0))</f>
        <v/>
      </c>
      <c r="K163" s="55">
        <f>IF(OR($A163="",$E163=""),"",IF(AND(احتساب_التأخير="نعم",OR($N163="حاضر",$N163="دوام جزئي"),$E163&gt;$G163+دقائق_السماح/1440),($E163-$G163-دقائق_السماح/1440)*24,0))</f>
        <v/>
      </c>
      <c r="L163" s="55">
        <f>IF(OR($A163="",$F163=""),"",IF(AND(OR($N163="حاضر",$N163="دوام جزئي"),$F163&lt;$H163),($H163-$F163)*24,0))</f>
        <v/>
      </c>
      <c r="M163" s="55">
        <f>IF(OR($A163="",$F163=""),"",IF(AND(احتساب_العمل_الإضافي="نعم",OR($N163="حاضر",$N163="دوام جزئي"),$F163&gt;$H163,($F163-$H163)*24*60&gt;=حد_العمل_الإضافي_دقيقة),($F163-$H163)*24,0))</f>
        <v/>
      </c>
      <c r="N163" s="40" t="n"/>
      <c r="O163" s="40" t="n"/>
      <c r="Q163">
        <f>IF(AND(ISNUMBER($K163),$K163&gt;0),SUMPRODUCT(ISNUMBER($K$3:$K$502)*($K$3:$K$502&gt;0)*(ROW($K$3:$K$502)&lt;=ROW())),"")</f>
        <v/>
      </c>
    </row>
    <row r="164">
      <c r="A164" s="47" t="n"/>
      <c r="B164" s="50">
        <f>IFERROR(INDEX(الموظفون_الاسم,MATCH($A164,الموظفون_الرقم,0)),"")</f>
        <v/>
      </c>
      <c r="C164" s="112" t="n"/>
      <c r="D164" s="50">
        <f>IF($C164="","",IFERROR(INDEX(قائمة_أيام_الأسبوع,WEEKDAY($C164,1)),""))</f>
        <v/>
      </c>
      <c r="E164" s="116" t="n"/>
      <c r="F164" s="116" t="n"/>
      <c r="G164" s="117">
        <f>IF($A164="","",بداية_الدوام)</f>
        <v/>
      </c>
      <c r="H164" s="117">
        <f>IF($A164="","",نهاية_الدوام)</f>
        <v/>
      </c>
      <c r="I164" s="58">
        <f>IF($A164="","",مدة_الاستراحة/60)</f>
        <v/>
      </c>
      <c r="J164" s="58">
        <f>IF(OR($A164="",$E164="",$F164=""),"",IF(OR($N164="حاضر",$N164="دوام جزئي"),MAX(0,MOD($F164-$E164,1)*24-$I164),0))</f>
        <v/>
      </c>
      <c r="K164" s="58">
        <f>IF(OR($A164="",$E164=""),"",IF(AND(احتساب_التأخير="نعم",OR($N164="حاضر",$N164="دوام جزئي"),$E164&gt;$G164+دقائق_السماح/1440),($E164-$G164-دقائق_السماح/1440)*24,0))</f>
        <v/>
      </c>
      <c r="L164" s="58">
        <f>IF(OR($A164="",$F164=""),"",IF(AND(OR($N164="حاضر",$N164="دوام جزئي"),$F164&lt;$H164),($H164-$F164)*24,0))</f>
        <v/>
      </c>
      <c r="M164" s="58">
        <f>IF(OR($A164="",$F164=""),"",IF(AND(احتساب_العمل_الإضافي="نعم",OR($N164="حاضر",$N164="دوام جزئي"),$F164&gt;$H164,($F164-$H164)*24*60&gt;=حد_العمل_الإضافي_دقيقة),($F164-$H164)*24,0))</f>
        <v/>
      </c>
      <c r="N164" s="47" t="n"/>
      <c r="O164" s="47" t="n"/>
      <c r="Q164">
        <f>IF(AND(ISNUMBER($K164),$K164&gt;0),SUMPRODUCT(ISNUMBER($K$3:$K$502)*($K$3:$K$502&gt;0)*(ROW($K$3:$K$502)&lt;=ROW())),"")</f>
        <v/>
      </c>
    </row>
    <row r="165">
      <c r="A165" s="40" t="n"/>
      <c r="B165" s="43">
        <f>IFERROR(INDEX(الموظفون_الاسم,MATCH($A165,الموظفون_الرقم,0)),"")</f>
        <v/>
      </c>
      <c r="C165" s="110" t="n"/>
      <c r="D165" s="43">
        <f>IF($C165="","",IFERROR(INDEX(قائمة_أيام_الأسبوع,WEEKDAY($C165,1)),""))</f>
        <v/>
      </c>
      <c r="E165" s="114" t="n"/>
      <c r="F165" s="114" t="n"/>
      <c r="G165" s="115">
        <f>IF($A165="","",بداية_الدوام)</f>
        <v/>
      </c>
      <c r="H165" s="115">
        <f>IF($A165="","",نهاية_الدوام)</f>
        <v/>
      </c>
      <c r="I165" s="55">
        <f>IF($A165="","",مدة_الاستراحة/60)</f>
        <v/>
      </c>
      <c r="J165" s="55">
        <f>IF(OR($A165="",$E165="",$F165=""),"",IF(OR($N165="حاضر",$N165="دوام جزئي"),MAX(0,MOD($F165-$E165,1)*24-$I165),0))</f>
        <v/>
      </c>
      <c r="K165" s="55">
        <f>IF(OR($A165="",$E165=""),"",IF(AND(احتساب_التأخير="نعم",OR($N165="حاضر",$N165="دوام جزئي"),$E165&gt;$G165+دقائق_السماح/1440),($E165-$G165-دقائق_السماح/1440)*24,0))</f>
        <v/>
      </c>
      <c r="L165" s="55">
        <f>IF(OR($A165="",$F165=""),"",IF(AND(OR($N165="حاضر",$N165="دوام جزئي"),$F165&lt;$H165),($H165-$F165)*24,0))</f>
        <v/>
      </c>
      <c r="M165" s="55">
        <f>IF(OR($A165="",$F165=""),"",IF(AND(احتساب_العمل_الإضافي="نعم",OR($N165="حاضر",$N165="دوام جزئي"),$F165&gt;$H165,($F165-$H165)*24*60&gt;=حد_العمل_الإضافي_دقيقة),($F165-$H165)*24,0))</f>
        <v/>
      </c>
      <c r="N165" s="40" t="n"/>
      <c r="O165" s="40" t="n"/>
      <c r="Q165">
        <f>IF(AND(ISNUMBER($K165),$K165&gt;0),SUMPRODUCT(ISNUMBER($K$3:$K$502)*($K$3:$K$502&gt;0)*(ROW($K$3:$K$502)&lt;=ROW())),"")</f>
        <v/>
      </c>
    </row>
    <row r="166">
      <c r="A166" s="47" t="n"/>
      <c r="B166" s="50">
        <f>IFERROR(INDEX(الموظفون_الاسم,MATCH($A166,الموظفون_الرقم,0)),"")</f>
        <v/>
      </c>
      <c r="C166" s="112" t="n"/>
      <c r="D166" s="50">
        <f>IF($C166="","",IFERROR(INDEX(قائمة_أيام_الأسبوع,WEEKDAY($C166,1)),""))</f>
        <v/>
      </c>
      <c r="E166" s="116" t="n"/>
      <c r="F166" s="116" t="n"/>
      <c r="G166" s="117">
        <f>IF($A166="","",بداية_الدوام)</f>
        <v/>
      </c>
      <c r="H166" s="117">
        <f>IF($A166="","",نهاية_الدوام)</f>
        <v/>
      </c>
      <c r="I166" s="58">
        <f>IF($A166="","",مدة_الاستراحة/60)</f>
        <v/>
      </c>
      <c r="J166" s="58">
        <f>IF(OR($A166="",$E166="",$F166=""),"",IF(OR($N166="حاضر",$N166="دوام جزئي"),MAX(0,MOD($F166-$E166,1)*24-$I166),0))</f>
        <v/>
      </c>
      <c r="K166" s="58">
        <f>IF(OR($A166="",$E166=""),"",IF(AND(احتساب_التأخير="نعم",OR($N166="حاضر",$N166="دوام جزئي"),$E166&gt;$G166+دقائق_السماح/1440),($E166-$G166-دقائق_السماح/1440)*24,0))</f>
        <v/>
      </c>
      <c r="L166" s="58">
        <f>IF(OR($A166="",$F166=""),"",IF(AND(OR($N166="حاضر",$N166="دوام جزئي"),$F166&lt;$H166),($H166-$F166)*24,0))</f>
        <v/>
      </c>
      <c r="M166" s="58">
        <f>IF(OR($A166="",$F166=""),"",IF(AND(احتساب_العمل_الإضافي="نعم",OR($N166="حاضر",$N166="دوام جزئي"),$F166&gt;$H166,($F166-$H166)*24*60&gt;=حد_العمل_الإضافي_دقيقة),($F166-$H166)*24,0))</f>
        <v/>
      </c>
      <c r="N166" s="47" t="n"/>
      <c r="O166" s="47" t="n"/>
      <c r="Q166">
        <f>IF(AND(ISNUMBER($K166),$K166&gt;0),SUMPRODUCT(ISNUMBER($K$3:$K$502)*($K$3:$K$502&gt;0)*(ROW($K$3:$K$502)&lt;=ROW())),"")</f>
        <v/>
      </c>
    </row>
    <row r="167">
      <c r="A167" s="40" t="n"/>
      <c r="B167" s="43">
        <f>IFERROR(INDEX(الموظفون_الاسم,MATCH($A167,الموظفون_الرقم,0)),"")</f>
        <v/>
      </c>
      <c r="C167" s="110" t="n"/>
      <c r="D167" s="43">
        <f>IF($C167="","",IFERROR(INDEX(قائمة_أيام_الأسبوع,WEEKDAY($C167,1)),""))</f>
        <v/>
      </c>
      <c r="E167" s="114" t="n"/>
      <c r="F167" s="114" t="n"/>
      <c r="G167" s="115">
        <f>IF($A167="","",بداية_الدوام)</f>
        <v/>
      </c>
      <c r="H167" s="115">
        <f>IF($A167="","",نهاية_الدوام)</f>
        <v/>
      </c>
      <c r="I167" s="55">
        <f>IF($A167="","",مدة_الاستراحة/60)</f>
        <v/>
      </c>
      <c r="J167" s="55">
        <f>IF(OR($A167="",$E167="",$F167=""),"",IF(OR($N167="حاضر",$N167="دوام جزئي"),MAX(0,MOD($F167-$E167,1)*24-$I167),0))</f>
        <v/>
      </c>
      <c r="K167" s="55">
        <f>IF(OR($A167="",$E167=""),"",IF(AND(احتساب_التأخير="نعم",OR($N167="حاضر",$N167="دوام جزئي"),$E167&gt;$G167+دقائق_السماح/1440),($E167-$G167-دقائق_السماح/1440)*24,0))</f>
        <v/>
      </c>
      <c r="L167" s="55">
        <f>IF(OR($A167="",$F167=""),"",IF(AND(OR($N167="حاضر",$N167="دوام جزئي"),$F167&lt;$H167),($H167-$F167)*24,0))</f>
        <v/>
      </c>
      <c r="M167" s="55">
        <f>IF(OR($A167="",$F167=""),"",IF(AND(احتساب_العمل_الإضافي="نعم",OR($N167="حاضر",$N167="دوام جزئي"),$F167&gt;$H167,($F167-$H167)*24*60&gt;=حد_العمل_الإضافي_دقيقة),($F167-$H167)*24,0))</f>
        <v/>
      </c>
      <c r="N167" s="40" t="n"/>
      <c r="O167" s="40" t="n"/>
      <c r="Q167">
        <f>IF(AND(ISNUMBER($K167),$K167&gt;0),SUMPRODUCT(ISNUMBER($K$3:$K$502)*($K$3:$K$502&gt;0)*(ROW($K$3:$K$502)&lt;=ROW())),"")</f>
        <v/>
      </c>
    </row>
    <row r="168">
      <c r="A168" s="47" t="n"/>
      <c r="B168" s="50">
        <f>IFERROR(INDEX(الموظفون_الاسم,MATCH($A168,الموظفون_الرقم,0)),"")</f>
        <v/>
      </c>
      <c r="C168" s="112" t="n"/>
      <c r="D168" s="50">
        <f>IF($C168="","",IFERROR(INDEX(قائمة_أيام_الأسبوع,WEEKDAY($C168,1)),""))</f>
        <v/>
      </c>
      <c r="E168" s="116" t="n"/>
      <c r="F168" s="116" t="n"/>
      <c r="G168" s="117">
        <f>IF($A168="","",بداية_الدوام)</f>
        <v/>
      </c>
      <c r="H168" s="117">
        <f>IF($A168="","",نهاية_الدوام)</f>
        <v/>
      </c>
      <c r="I168" s="58">
        <f>IF($A168="","",مدة_الاستراحة/60)</f>
        <v/>
      </c>
      <c r="J168" s="58">
        <f>IF(OR($A168="",$E168="",$F168=""),"",IF(OR($N168="حاضر",$N168="دوام جزئي"),MAX(0,MOD($F168-$E168,1)*24-$I168),0))</f>
        <v/>
      </c>
      <c r="K168" s="58">
        <f>IF(OR($A168="",$E168=""),"",IF(AND(احتساب_التأخير="نعم",OR($N168="حاضر",$N168="دوام جزئي"),$E168&gt;$G168+دقائق_السماح/1440),($E168-$G168-دقائق_السماح/1440)*24,0))</f>
        <v/>
      </c>
      <c r="L168" s="58">
        <f>IF(OR($A168="",$F168=""),"",IF(AND(OR($N168="حاضر",$N168="دوام جزئي"),$F168&lt;$H168),($H168-$F168)*24,0))</f>
        <v/>
      </c>
      <c r="M168" s="58">
        <f>IF(OR($A168="",$F168=""),"",IF(AND(احتساب_العمل_الإضافي="نعم",OR($N168="حاضر",$N168="دوام جزئي"),$F168&gt;$H168,($F168-$H168)*24*60&gt;=حد_العمل_الإضافي_دقيقة),($F168-$H168)*24,0))</f>
        <v/>
      </c>
      <c r="N168" s="47" t="n"/>
      <c r="O168" s="47" t="n"/>
      <c r="Q168">
        <f>IF(AND(ISNUMBER($K168),$K168&gt;0),SUMPRODUCT(ISNUMBER($K$3:$K$502)*($K$3:$K$502&gt;0)*(ROW($K$3:$K$502)&lt;=ROW())),"")</f>
        <v/>
      </c>
    </row>
    <row r="169">
      <c r="A169" s="40" t="n"/>
      <c r="B169" s="43">
        <f>IFERROR(INDEX(الموظفون_الاسم,MATCH($A169,الموظفون_الرقم,0)),"")</f>
        <v/>
      </c>
      <c r="C169" s="110" t="n"/>
      <c r="D169" s="43">
        <f>IF($C169="","",IFERROR(INDEX(قائمة_أيام_الأسبوع,WEEKDAY($C169,1)),""))</f>
        <v/>
      </c>
      <c r="E169" s="114" t="n"/>
      <c r="F169" s="114" t="n"/>
      <c r="G169" s="115">
        <f>IF($A169="","",بداية_الدوام)</f>
        <v/>
      </c>
      <c r="H169" s="115">
        <f>IF($A169="","",نهاية_الدوام)</f>
        <v/>
      </c>
      <c r="I169" s="55">
        <f>IF($A169="","",مدة_الاستراحة/60)</f>
        <v/>
      </c>
      <c r="J169" s="55">
        <f>IF(OR($A169="",$E169="",$F169=""),"",IF(OR($N169="حاضر",$N169="دوام جزئي"),MAX(0,MOD($F169-$E169,1)*24-$I169),0))</f>
        <v/>
      </c>
      <c r="K169" s="55">
        <f>IF(OR($A169="",$E169=""),"",IF(AND(احتساب_التأخير="نعم",OR($N169="حاضر",$N169="دوام جزئي"),$E169&gt;$G169+دقائق_السماح/1440),($E169-$G169-دقائق_السماح/1440)*24,0))</f>
        <v/>
      </c>
      <c r="L169" s="55">
        <f>IF(OR($A169="",$F169=""),"",IF(AND(OR($N169="حاضر",$N169="دوام جزئي"),$F169&lt;$H169),($H169-$F169)*24,0))</f>
        <v/>
      </c>
      <c r="M169" s="55">
        <f>IF(OR($A169="",$F169=""),"",IF(AND(احتساب_العمل_الإضافي="نعم",OR($N169="حاضر",$N169="دوام جزئي"),$F169&gt;$H169,($F169-$H169)*24*60&gt;=حد_العمل_الإضافي_دقيقة),($F169-$H169)*24,0))</f>
        <v/>
      </c>
      <c r="N169" s="40" t="n"/>
      <c r="O169" s="40" t="n"/>
      <c r="Q169">
        <f>IF(AND(ISNUMBER($K169),$K169&gt;0),SUMPRODUCT(ISNUMBER($K$3:$K$502)*($K$3:$K$502&gt;0)*(ROW($K$3:$K$502)&lt;=ROW())),"")</f>
        <v/>
      </c>
    </row>
    <row r="170">
      <c r="A170" s="47" t="n"/>
      <c r="B170" s="50">
        <f>IFERROR(INDEX(الموظفون_الاسم,MATCH($A170,الموظفون_الرقم,0)),"")</f>
        <v/>
      </c>
      <c r="C170" s="112" t="n"/>
      <c r="D170" s="50">
        <f>IF($C170="","",IFERROR(INDEX(قائمة_أيام_الأسبوع,WEEKDAY($C170,1)),""))</f>
        <v/>
      </c>
      <c r="E170" s="116" t="n"/>
      <c r="F170" s="116" t="n"/>
      <c r="G170" s="117">
        <f>IF($A170="","",بداية_الدوام)</f>
        <v/>
      </c>
      <c r="H170" s="117">
        <f>IF($A170="","",نهاية_الدوام)</f>
        <v/>
      </c>
      <c r="I170" s="58">
        <f>IF($A170="","",مدة_الاستراحة/60)</f>
        <v/>
      </c>
      <c r="J170" s="58">
        <f>IF(OR($A170="",$E170="",$F170=""),"",IF(OR($N170="حاضر",$N170="دوام جزئي"),MAX(0,MOD($F170-$E170,1)*24-$I170),0))</f>
        <v/>
      </c>
      <c r="K170" s="58">
        <f>IF(OR($A170="",$E170=""),"",IF(AND(احتساب_التأخير="نعم",OR($N170="حاضر",$N170="دوام جزئي"),$E170&gt;$G170+دقائق_السماح/1440),($E170-$G170-دقائق_السماح/1440)*24,0))</f>
        <v/>
      </c>
      <c r="L170" s="58">
        <f>IF(OR($A170="",$F170=""),"",IF(AND(OR($N170="حاضر",$N170="دوام جزئي"),$F170&lt;$H170),($H170-$F170)*24,0))</f>
        <v/>
      </c>
      <c r="M170" s="58">
        <f>IF(OR($A170="",$F170=""),"",IF(AND(احتساب_العمل_الإضافي="نعم",OR($N170="حاضر",$N170="دوام جزئي"),$F170&gt;$H170,($F170-$H170)*24*60&gt;=حد_العمل_الإضافي_دقيقة),($F170-$H170)*24,0))</f>
        <v/>
      </c>
      <c r="N170" s="47" t="n"/>
      <c r="O170" s="47" t="n"/>
      <c r="Q170">
        <f>IF(AND(ISNUMBER($K170),$K170&gt;0),SUMPRODUCT(ISNUMBER($K$3:$K$502)*($K$3:$K$502&gt;0)*(ROW($K$3:$K$502)&lt;=ROW())),"")</f>
        <v/>
      </c>
    </row>
    <row r="171">
      <c r="A171" s="40" t="n"/>
      <c r="B171" s="43">
        <f>IFERROR(INDEX(الموظفون_الاسم,MATCH($A171,الموظفون_الرقم,0)),"")</f>
        <v/>
      </c>
      <c r="C171" s="110" t="n"/>
      <c r="D171" s="43">
        <f>IF($C171="","",IFERROR(INDEX(قائمة_أيام_الأسبوع,WEEKDAY($C171,1)),""))</f>
        <v/>
      </c>
      <c r="E171" s="114" t="n"/>
      <c r="F171" s="114" t="n"/>
      <c r="G171" s="115">
        <f>IF($A171="","",بداية_الدوام)</f>
        <v/>
      </c>
      <c r="H171" s="115">
        <f>IF($A171="","",نهاية_الدوام)</f>
        <v/>
      </c>
      <c r="I171" s="55">
        <f>IF($A171="","",مدة_الاستراحة/60)</f>
        <v/>
      </c>
      <c r="J171" s="55">
        <f>IF(OR($A171="",$E171="",$F171=""),"",IF(OR($N171="حاضر",$N171="دوام جزئي"),MAX(0,MOD($F171-$E171,1)*24-$I171),0))</f>
        <v/>
      </c>
      <c r="K171" s="55">
        <f>IF(OR($A171="",$E171=""),"",IF(AND(احتساب_التأخير="نعم",OR($N171="حاضر",$N171="دوام جزئي"),$E171&gt;$G171+دقائق_السماح/1440),($E171-$G171-دقائق_السماح/1440)*24,0))</f>
        <v/>
      </c>
      <c r="L171" s="55">
        <f>IF(OR($A171="",$F171=""),"",IF(AND(OR($N171="حاضر",$N171="دوام جزئي"),$F171&lt;$H171),($H171-$F171)*24,0))</f>
        <v/>
      </c>
      <c r="M171" s="55">
        <f>IF(OR($A171="",$F171=""),"",IF(AND(احتساب_العمل_الإضافي="نعم",OR($N171="حاضر",$N171="دوام جزئي"),$F171&gt;$H171,($F171-$H171)*24*60&gt;=حد_العمل_الإضافي_دقيقة),($F171-$H171)*24,0))</f>
        <v/>
      </c>
      <c r="N171" s="40" t="n"/>
      <c r="O171" s="40" t="n"/>
      <c r="Q171">
        <f>IF(AND(ISNUMBER($K171),$K171&gt;0),SUMPRODUCT(ISNUMBER($K$3:$K$502)*($K$3:$K$502&gt;0)*(ROW($K$3:$K$502)&lt;=ROW())),"")</f>
        <v/>
      </c>
    </row>
    <row r="172">
      <c r="A172" s="47" t="n"/>
      <c r="B172" s="50">
        <f>IFERROR(INDEX(الموظفون_الاسم,MATCH($A172,الموظفون_الرقم,0)),"")</f>
        <v/>
      </c>
      <c r="C172" s="112" t="n"/>
      <c r="D172" s="50">
        <f>IF($C172="","",IFERROR(INDEX(قائمة_أيام_الأسبوع,WEEKDAY($C172,1)),""))</f>
        <v/>
      </c>
      <c r="E172" s="116" t="n"/>
      <c r="F172" s="116" t="n"/>
      <c r="G172" s="117">
        <f>IF($A172="","",بداية_الدوام)</f>
        <v/>
      </c>
      <c r="H172" s="117">
        <f>IF($A172="","",نهاية_الدوام)</f>
        <v/>
      </c>
      <c r="I172" s="58">
        <f>IF($A172="","",مدة_الاستراحة/60)</f>
        <v/>
      </c>
      <c r="J172" s="58">
        <f>IF(OR($A172="",$E172="",$F172=""),"",IF(OR($N172="حاضر",$N172="دوام جزئي"),MAX(0,MOD($F172-$E172,1)*24-$I172),0))</f>
        <v/>
      </c>
      <c r="K172" s="58">
        <f>IF(OR($A172="",$E172=""),"",IF(AND(احتساب_التأخير="نعم",OR($N172="حاضر",$N172="دوام جزئي"),$E172&gt;$G172+دقائق_السماح/1440),($E172-$G172-دقائق_السماح/1440)*24,0))</f>
        <v/>
      </c>
      <c r="L172" s="58">
        <f>IF(OR($A172="",$F172=""),"",IF(AND(OR($N172="حاضر",$N172="دوام جزئي"),$F172&lt;$H172),($H172-$F172)*24,0))</f>
        <v/>
      </c>
      <c r="M172" s="58">
        <f>IF(OR($A172="",$F172=""),"",IF(AND(احتساب_العمل_الإضافي="نعم",OR($N172="حاضر",$N172="دوام جزئي"),$F172&gt;$H172,($F172-$H172)*24*60&gt;=حد_العمل_الإضافي_دقيقة),($F172-$H172)*24,0))</f>
        <v/>
      </c>
      <c r="N172" s="47" t="n"/>
      <c r="O172" s="47" t="n"/>
      <c r="Q172">
        <f>IF(AND(ISNUMBER($K172),$K172&gt;0),SUMPRODUCT(ISNUMBER($K$3:$K$502)*($K$3:$K$502&gt;0)*(ROW($K$3:$K$502)&lt;=ROW())),"")</f>
        <v/>
      </c>
    </row>
    <row r="173">
      <c r="A173" s="40" t="n"/>
      <c r="B173" s="43">
        <f>IFERROR(INDEX(الموظفون_الاسم,MATCH($A173,الموظفون_الرقم,0)),"")</f>
        <v/>
      </c>
      <c r="C173" s="110" t="n"/>
      <c r="D173" s="43">
        <f>IF($C173="","",IFERROR(INDEX(قائمة_أيام_الأسبوع,WEEKDAY($C173,1)),""))</f>
        <v/>
      </c>
      <c r="E173" s="114" t="n"/>
      <c r="F173" s="114" t="n"/>
      <c r="G173" s="115">
        <f>IF($A173="","",بداية_الدوام)</f>
        <v/>
      </c>
      <c r="H173" s="115">
        <f>IF($A173="","",نهاية_الدوام)</f>
        <v/>
      </c>
      <c r="I173" s="55">
        <f>IF($A173="","",مدة_الاستراحة/60)</f>
        <v/>
      </c>
      <c r="J173" s="55">
        <f>IF(OR($A173="",$E173="",$F173=""),"",IF(OR($N173="حاضر",$N173="دوام جزئي"),MAX(0,MOD($F173-$E173,1)*24-$I173),0))</f>
        <v/>
      </c>
      <c r="K173" s="55">
        <f>IF(OR($A173="",$E173=""),"",IF(AND(احتساب_التأخير="نعم",OR($N173="حاضر",$N173="دوام جزئي"),$E173&gt;$G173+دقائق_السماح/1440),($E173-$G173-دقائق_السماح/1440)*24,0))</f>
        <v/>
      </c>
      <c r="L173" s="55">
        <f>IF(OR($A173="",$F173=""),"",IF(AND(OR($N173="حاضر",$N173="دوام جزئي"),$F173&lt;$H173),($H173-$F173)*24,0))</f>
        <v/>
      </c>
      <c r="M173" s="55">
        <f>IF(OR($A173="",$F173=""),"",IF(AND(احتساب_العمل_الإضافي="نعم",OR($N173="حاضر",$N173="دوام جزئي"),$F173&gt;$H173,($F173-$H173)*24*60&gt;=حد_العمل_الإضافي_دقيقة),($F173-$H173)*24,0))</f>
        <v/>
      </c>
      <c r="N173" s="40" t="n"/>
      <c r="O173" s="40" t="n"/>
      <c r="Q173">
        <f>IF(AND(ISNUMBER($K173),$K173&gt;0),SUMPRODUCT(ISNUMBER($K$3:$K$502)*($K$3:$K$502&gt;0)*(ROW($K$3:$K$502)&lt;=ROW())),"")</f>
        <v/>
      </c>
    </row>
    <row r="174">
      <c r="A174" s="47" t="n"/>
      <c r="B174" s="50">
        <f>IFERROR(INDEX(الموظفون_الاسم,MATCH($A174,الموظفون_الرقم,0)),"")</f>
        <v/>
      </c>
      <c r="C174" s="112" t="n"/>
      <c r="D174" s="50">
        <f>IF($C174="","",IFERROR(INDEX(قائمة_أيام_الأسبوع,WEEKDAY($C174,1)),""))</f>
        <v/>
      </c>
      <c r="E174" s="116" t="n"/>
      <c r="F174" s="116" t="n"/>
      <c r="G174" s="117">
        <f>IF($A174="","",بداية_الدوام)</f>
        <v/>
      </c>
      <c r="H174" s="117">
        <f>IF($A174="","",نهاية_الدوام)</f>
        <v/>
      </c>
      <c r="I174" s="58">
        <f>IF($A174="","",مدة_الاستراحة/60)</f>
        <v/>
      </c>
      <c r="J174" s="58">
        <f>IF(OR($A174="",$E174="",$F174=""),"",IF(OR($N174="حاضر",$N174="دوام جزئي"),MAX(0,MOD($F174-$E174,1)*24-$I174),0))</f>
        <v/>
      </c>
      <c r="K174" s="58">
        <f>IF(OR($A174="",$E174=""),"",IF(AND(احتساب_التأخير="نعم",OR($N174="حاضر",$N174="دوام جزئي"),$E174&gt;$G174+دقائق_السماح/1440),($E174-$G174-دقائق_السماح/1440)*24,0))</f>
        <v/>
      </c>
      <c r="L174" s="58">
        <f>IF(OR($A174="",$F174=""),"",IF(AND(OR($N174="حاضر",$N174="دوام جزئي"),$F174&lt;$H174),($H174-$F174)*24,0))</f>
        <v/>
      </c>
      <c r="M174" s="58">
        <f>IF(OR($A174="",$F174=""),"",IF(AND(احتساب_العمل_الإضافي="نعم",OR($N174="حاضر",$N174="دوام جزئي"),$F174&gt;$H174,($F174-$H174)*24*60&gt;=حد_العمل_الإضافي_دقيقة),($F174-$H174)*24,0))</f>
        <v/>
      </c>
      <c r="N174" s="47" t="n"/>
      <c r="O174" s="47" t="n"/>
      <c r="Q174">
        <f>IF(AND(ISNUMBER($K174),$K174&gt;0),SUMPRODUCT(ISNUMBER($K$3:$K$502)*($K$3:$K$502&gt;0)*(ROW($K$3:$K$502)&lt;=ROW())),"")</f>
        <v/>
      </c>
    </row>
    <row r="175">
      <c r="A175" s="40" t="n"/>
      <c r="B175" s="43">
        <f>IFERROR(INDEX(الموظفون_الاسم,MATCH($A175,الموظفون_الرقم,0)),"")</f>
        <v/>
      </c>
      <c r="C175" s="110" t="n"/>
      <c r="D175" s="43">
        <f>IF($C175="","",IFERROR(INDEX(قائمة_أيام_الأسبوع,WEEKDAY($C175,1)),""))</f>
        <v/>
      </c>
      <c r="E175" s="114" t="n"/>
      <c r="F175" s="114" t="n"/>
      <c r="G175" s="115">
        <f>IF($A175="","",بداية_الدوام)</f>
        <v/>
      </c>
      <c r="H175" s="115">
        <f>IF($A175="","",نهاية_الدوام)</f>
        <v/>
      </c>
      <c r="I175" s="55">
        <f>IF($A175="","",مدة_الاستراحة/60)</f>
        <v/>
      </c>
      <c r="J175" s="55">
        <f>IF(OR($A175="",$E175="",$F175=""),"",IF(OR($N175="حاضر",$N175="دوام جزئي"),MAX(0,MOD($F175-$E175,1)*24-$I175),0))</f>
        <v/>
      </c>
      <c r="K175" s="55">
        <f>IF(OR($A175="",$E175=""),"",IF(AND(احتساب_التأخير="نعم",OR($N175="حاضر",$N175="دوام جزئي"),$E175&gt;$G175+دقائق_السماح/1440),($E175-$G175-دقائق_السماح/1440)*24,0))</f>
        <v/>
      </c>
      <c r="L175" s="55">
        <f>IF(OR($A175="",$F175=""),"",IF(AND(OR($N175="حاضر",$N175="دوام جزئي"),$F175&lt;$H175),($H175-$F175)*24,0))</f>
        <v/>
      </c>
      <c r="M175" s="55">
        <f>IF(OR($A175="",$F175=""),"",IF(AND(احتساب_العمل_الإضافي="نعم",OR($N175="حاضر",$N175="دوام جزئي"),$F175&gt;$H175,($F175-$H175)*24*60&gt;=حد_العمل_الإضافي_دقيقة),($F175-$H175)*24,0))</f>
        <v/>
      </c>
      <c r="N175" s="40" t="n"/>
      <c r="O175" s="40" t="n"/>
      <c r="Q175">
        <f>IF(AND(ISNUMBER($K175),$K175&gt;0),SUMPRODUCT(ISNUMBER($K$3:$K$502)*($K$3:$K$502&gt;0)*(ROW($K$3:$K$502)&lt;=ROW())),"")</f>
        <v/>
      </c>
    </row>
    <row r="176">
      <c r="A176" s="47" t="n"/>
      <c r="B176" s="50">
        <f>IFERROR(INDEX(الموظفون_الاسم,MATCH($A176,الموظفون_الرقم,0)),"")</f>
        <v/>
      </c>
      <c r="C176" s="112" t="n"/>
      <c r="D176" s="50">
        <f>IF($C176="","",IFERROR(INDEX(قائمة_أيام_الأسبوع,WEEKDAY($C176,1)),""))</f>
        <v/>
      </c>
      <c r="E176" s="116" t="n"/>
      <c r="F176" s="116" t="n"/>
      <c r="G176" s="117">
        <f>IF($A176="","",بداية_الدوام)</f>
        <v/>
      </c>
      <c r="H176" s="117">
        <f>IF($A176="","",نهاية_الدوام)</f>
        <v/>
      </c>
      <c r="I176" s="58">
        <f>IF($A176="","",مدة_الاستراحة/60)</f>
        <v/>
      </c>
      <c r="J176" s="58">
        <f>IF(OR($A176="",$E176="",$F176=""),"",IF(OR($N176="حاضر",$N176="دوام جزئي"),MAX(0,MOD($F176-$E176,1)*24-$I176),0))</f>
        <v/>
      </c>
      <c r="K176" s="58">
        <f>IF(OR($A176="",$E176=""),"",IF(AND(احتساب_التأخير="نعم",OR($N176="حاضر",$N176="دوام جزئي"),$E176&gt;$G176+دقائق_السماح/1440),($E176-$G176-دقائق_السماح/1440)*24,0))</f>
        <v/>
      </c>
      <c r="L176" s="58">
        <f>IF(OR($A176="",$F176=""),"",IF(AND(OR($N176="حاضر",$N176="دوام جزئي"),$F176&lt;$H176),($H176-$F176)*24,0))</f>
        <v/>
      </c>
      <c r="M176" s="58">
        <f>IF(OR($A176="",$F176=""),"",IF(AND(احتساب_العمل_الإضافي="نعم",OR($N176="حاضر",$N176="دوام جزئي"),$F176&gt;$H176,($F176-$H176)*24*60&gt;=حد_العمل_الإضافي_دقيقة),($F176-$H176)*24,0))</f>
        <v/>
      </c>
      <c r="N176" s="47" t="n"/>
      <c r="O176" s="47" t="n"/>
      <c r="Q176">
        <f>IF(AND(ISNUMBER($K176),$K176&gt;0),SUMPRODUCT(ISNUMBER($K$3:$K$502)*($K$3:$K$502&gt;0)*(ROW($K$3:$K$502)&lt;=ROW())),"")</f>
        <v/>
      </c>
    </row>
    <row r="177">
      <c r="A177" s="40" t="n"/>
      <c r="B177" s="43">
        <f>IFERROR(INDEX(الموظفون_الاسم,MATCH($A177,الموظفون_الرقم,0)),"")</f>
        <v/>
      </c>
      <c r="C177" s="110" t="n"/>
      <c r="D177" s="43">
        <f>IF($C177="","",IFERROR(INDEX(قائمة_أيام_الأسبوع,WEEKDAY($C177,1)),""))</f>
        <v/>
      </c>
      <c r="E177" s="114" t="n"/>
      <c r="F177" s="114" t="n"/>
      <c r="G177" s="115">
        <f>IF($A177="","",بداية_الدوام)</f>
        <v/>
      </c>
      <c r="H177" s="115">
        <f>IF($A177="","",نهاية_الدوام)</f>
        <v/>
      </c>
      <c r="I177" s="55">
        <f>IF($A177="","",مدة_الاستراحة/60)</f>
        <v/>
      </c>
      <c r="J177" s="55">
        <f>IF(OR($A177="",$E177="",$F177=""),"",IF(OR($N177="حاضر",$N177="دوام جزئي"),MAX(0,MOD($F177-$E177,1)*24-$I177),0))</f>
        <v/>
      </c>
      <c r="K177" s="55">
        <f>IF(OR($A177="",$E177=""),"",IF(AND(احتساب_التأخير="نعم",OR($N177="حاضر",$N177="دوام جزئي"),$E177&gt;$G177+دقائق_السماح/1440),($E177-$G177-دقائق_السماح/1440)*24,0))</f>
        <v/>
      </c>
      <c r="L177" s="55">
        <f>IF(OR($A177="",$F177=""),"",IF(AND(OR($N177="حاضر",$N177="دوام جزئي"),$F177&lt;$H177),($H177-$F177)*24,0))</f>
        <v/>
      </c>
      <c r="M177" s="55">
        <f>IF(OR($A177="",$F177=""),"",IF(AND(احتساب_العمل_الإضافي="نعم",OR($N177="حاضر",$N177="دوام جزئي"),$F177&gt;$H177,($F177-$H177)*24*60&gt;=حد_العمل_الإضافي_دقيقة),($F177-$H177)*24,0))</f>
        <v/>
      </c>
      <c r="N177" s="40" t="n"/>
      <c r="O177" s="40" t="n"/>
      <c r="Q177">
        <f>IF(AND(ISNUMBER($K177),$K177&gt;0),SUMPRODUCT(ISNUMBER($K$3:$K$502)*($K$3:$K$502&gt;0)*(ROW($K$3:$K$502)&lt;=ROW())),"")</f>
        <v/>
      </c>
    </row>
    <row r="178">
      <c r="A178" s="47" t="n"/>
      <c r="B178" s="50">
        <f>IFERROR(INDEX(الموظفون_الاسم,MATCH($A178,الموظفون_الرقم,0)),"")</f>
        <v/>
      </c>
      <c r="C178" s="112" t="n"/>
      <c r="D178" s="50">
        <f>IF($C178="","",IFERROR(INDEX(قائمة_أيام_الأسبوع,WEEKDAY($C178,1)),""))</f>
        <v/>
      </c>
      <c r="E178" s="116" t="n"/>
      <c r="F178" s="116" t="n"/>
      <c r="G178" s="117">
        <f>IF($A178="","",بداية_الدوام)</f>
        <v/>
      </c>
      <c r="H178" s="117">
        <f>IF($A178="","",نهاية_الدوام)</f>
        <v/>
      </c>
      <c r="I178" s="58">
        <f>IF($A178="","",مدة_الاستراحة/60)</f>
        <v/>
      </c>
      <c r="J178" s="58">
        <f>IF(OR($A178="",$E178="",$F178=""),"",IF(OR($N178="حاضر",$N178="دوام جزئي"),MAX(0,MOD($F178-$E178,1)*24-$I178),0))</f>
        <v/>
      </c>
      <c r="K178" s="58">
        <f>IF(OR($A178="",$E178=""),"",IF(AND(احتساب_التأخير="نعم",OR($N178="حاضر",$N178="دوام جزئي"),$E178&gt;$G178+دقائق_السماح/1440),($E178-$G178-دقائق_السماح/1440)*24,0))</f>
        <v/>
      </c>
      <c r="L178" s="58">
        <f>IF(OR($A178="",$F178=""),"",IF(AND(OR($N178="حاضر",$N178="دوام جزئي"),$F178&lt;$H178),($H178-$F178)*24,0))</f>
        <v/>
      </c>
      <c r="M178" s="58">
        <f>IF(OR($A178="",$F178=""),"",IF(AND(احتساب_العمل_الإضافي="نعم",OR($N178="حاضر",$N178="دوام جزئي"),$F178&gt;$H178,($F178-$H178)*24*60&gt;=حد_العمل_الإضافي_دقيقة),($F178-$H178)*24,0))</f>
        <v/>
      </c>
      <c r="N178" s="47" t="n"/>
      <c r="O178" s="47" t="n"/>
      <c r="Q178">
        <f>IF(AND(ISNUMBER($K178),$K178&gt;0),SUMPRODUCT(ISNUMBER($K$3:$K$502)*($K$3:$K$502&gt;0)*(ROW($K$3:$K$502)&lt;=ROW())),"")</f>
        <v/>
      </c>
    </row>
    <row r="179">
      <c r="A179" s="40" t="n"/>
      <c r="B179" s="43">
        <f>IFERROR(INDEX(الموظفون_الاسم,MATCH($A179,الموظفون_الرقم,0)),"")</f>
        <v/>
      </c>
      <c r="C179" s="110" t="n"/>
      <c r="D179" s="43">
        <f>IF($C179="","",IFERROR(INDEX(قائمة_أيام_الأسبوع,WEEKDAY($C179,1)),""))</f>
        <v/>
      </c>
      <c r="E179" s="114" t="n"/>
      <c r="F179" s="114" t="n"/>
      <c r="G179" s="115">
        <f>IF($A179="","",بداية_الدوام)</f>
        <v/>
      </c>
      <c r="H179" s="115">
        <f>IF($A179="","",نهاية_الدوام)</f>
        <v/>
      </c>
      <c r="I179" s="55">
        <f>IF($A179="","",مدة_الاستراحة/60)</f>
        <v/>
      </c>
      <c r="J179" s="55">
        <f>IF(OR($A179="",$E179="",$F179=""),"",IF(OR($N179="حاضر",$N179="دوام جزئي"),MAX(0,MOD($F179-$E179,1)*24-$I179),0))</f>
        <v/>
      </c>
      <c r="K179" s="55">
        <f>IF(OR($A179="",$E179=""),"",IF(AND(احتساب_التأخير="نعم",OR($N179="حاضر",$N179="دوام جزئي"),$E179&gt;$G179+دقائق_السماح/1440),($E179-$G179-دقائق_السماح/1440)*24,0))</f>
        <v/>
      </c>
      <c r="L179" s="55">
        <f>IF(OR($A179="",$F179=""),"",IF(AND(OR($N179="حاضر",$N179="دوام جزئي"),$F179&lt;$H179),($H179-$F179)*24,0))</f>
        <v/>
      </c>
      <c r="M179" s="55">
        <f>IF(OR($A179="",$F179=""),"",IF(AND(احتساب_العمل_الإضافي="نعم",OR($N179="حاضر",$N179="دوام جزئي"),$F179&gt;$H179,($F179-$H179)*24*60&gt;=حد_العمل_الإضافي_دقيقة),($F179-$H179)*24,0))</f>
        <v/>
      </c>
      <c r="N179" s="40" t="n"/>
      <c r="O179" s="40" t="n"/>
      <c r="Q179">
        <f>IF(AND(ISNUMBER($K179),$K179&gt;0),SUMPRODUCT(ISNUMBER($K$3:$K$502)*($K$3:$K$502&gt;0)*(ROW($K$3:$K$502)&lt;=ROW())),"")</f>
        <v/>
      </c>
    </row>
    <row r="180">
      <c r="A180" s="47" t="n"/>
      <c r="B180" s="50">
        <f>IFERROR(INDEX(الموظفون_الاسم,MATCH($A180,الموظفون_الرقم,0)),"")</f>
        <v/>
      </c>
      <c r="C180" s="112" t="n"/>
      <c r="D180" s="50">
        <f>IF($C180="","",IFERROR(INDEX(قائمة_أيام_الأسبوع,WEEKDAY($C180,1)),""))</f>
        <v/>
      </c>
      <c r="E180" s="116" t="n"/>
      <c r="F180" s="116" t="n"/>
      <c r="G180" s="117">
        <f>IF($A180="","",بداية_الدوام)</f>
        <v/>
      </c>
      <c r="H180" s="117">
        <f>IF($A180="","",نهاية_الدوام)</f>
        <v/>
      </c>
      <c r="I180" s="58">
        <f>IF($A180="","",مدة_الاستراحة/60)</f>
        <v/>
      </c>
      <c r="J180" s="58">
        <f>IF(OR($A180="",$E180="",$F180=""),"",IF(OR($N180="حاضر",$N180="دوام جزئي"),MAX(0,MOD($F180-$E180,1)*24-$I180),0))</f>
        <v/>
      </c>
      <c r="K180" s="58">
        <f>IF(OR($A180="",$E180=""),"",IF(AND(احتساب_التأخير="نعم",OR($N180="حاضر",$N180="دوام جزئي"),$E180&gt;$G180+دقائق_السماح/1440),($E180-$G180-دقائق_السماح/1440)*24,0))</f>
        <v/>
      </c>
      <c r="L180" s="58">
        <f>IF(OR($A180="",$F180=""),"",IF(AND(OR($N180="حاضر",$N180="دوام جزئي"),$F180&lt;$H180),($H180-$F180)*24,0))</f>
        <v/>
      </c>
      <c r="M180" s="58">
        <f>IF(OR($A180="",$F180=""),"",IF(AND(احتساب_العمل_الإضافي="نعم",OR($N180="حاضر",$N180="دوام جزئي"),$F180&gt;$H180,($F180-$H180)*24*60&gt;=حد_العمل_الإضافي_دقيقة),($F180-$H180)*24,0))</f>
        <v/>
      </c>
      <c r="N180" s="47" t="n"/>
      <c r="O180" s="47" t="n"/>
      <c r="Q180">
        <f>IF(AND(ISNUMBER($K180),$K180&gt;0),SUMPRODUCT(ISNUMBER($K$3:$K$502)*($K$3:$K$502&gt;0)*(ROW($K$3:$K$502)&lt;=ROW())),"")</f>
        <v/>
      </c>
    </row>
    <row r="181">
      <c r="A181" s="40" t="n"/>
      <c r="B181" s="43">
        <f>IFERROR(INDEX(الموظفون_الاسم,MATCH($A181,الموظفون_الرقم,0)),"")</f>
        <v/>
      </c>
      <c r="C181" s="110" t="n"/>
      <c r="D181" s="43">
        <f>IF($C181="","",IFERROR(INDEX(قائمة_أيام_الأسبوع,WEEKDAY($C181,1)),""))</f>
        <v/>
      </c>
      <c r="E181" s="114" t="n"/>
      <c r="F181" s="114" t="n"/>
      <c r="G181" s="115">
        <f>IF($A181="","",بداية_الدوام)</f>
        <v/>
      </c>
      <c r="H181" s="115">
        <f>IF($A181="","",نهاية_الدوام)</f>
        <v/>
      </c>
      <c r="I181" s="55">
        <f>IF($A181="","",مدة_الاستراحة/60)</f>
        <v/>
      </c>
      <c r="J181" s="55">
        <f>IF(OR($A181="",$E181="",$F181=""),"",IF(OR($N181="حاضر",$N181="دوام جزئي"),MAX(0,MOD($F181-$E181,1)*24-$I181),0))</f>
        <v/>
      </c>
      <c r="K181" s="55">
        <f>IF(OR($A181="",$E181=""),"",IF(AND(احتساب_التأخير="نعم",OR($N181="حاضر",$N181="دوام جزئي"),$E181&gt;$G181+دقائق_السماح/1440),($E181-$G181-دقائق_السماح/1440)*24,0))</f>
        <v/>
      </c>
      <c r="L181" s="55">
        <f>IF(OR($A181="",$F181=""),"",IF(AND(OR($N181="حاضر",$N181="دوام جزئي"),$F181&lt;$H181),($H181-$F181)*24,0))</f>
        <v/>
      </c>
      <c r="M181" s="55">
        <f>IF(OR($A181="",$F181=""),"",IF(AND(احتساب_العمل_الإضافي="نعم",OR($N181="حاضر",$N181="دوام جزئي"),$F181&gt;$H181,($F181-$H181)*24*60&gt;=حد_العمل_الإضافي_دقيقة),($F181-$H181)*24,0))</f>
        <v/>
      </c>
      <c r="N181" s="40" t="n"/>
      <c r="O181" s="40" t="n"/>
      <c r="Q181">
        <f>IF(AND(ISNUMBER($K181),$K181&gt;0),SUMPRODUCT(ISNUMBER($K$3:$K$502)*($K$3:$K$502&gt;0)*(ROW($K$3:$K$502)&lt;=ROW())),"")</f>
        <v/>
      </c>
    </row>
    <row r="182">
      <c r="A182" s="47" t="n"/>
      <c r="B182" s="50">
        <f>IFERROR(INDEX(الموظفون_الاسم,MATCH($A182,الموظفون_الرقم,0)),"")</f>
        <v/>
      </c>
      <c r="C182" s="112" t="n"/>
      <c r="D182" s="50">
        <f>IF($C182="","",IFERROR(INDEX(قائمة_أيام_الأسبوع,WEEKDAY($C182,1)),""))</f>
        <v/>
      </c>
      <c r="E182" s="116" t="n"/>
      <c r="F182" s="116" t="n"/>
      <c r="G182" s="117">
        <f>IF($A182="","",بداية_الدوام)</f>
        <v/>
      </c>
      <c r="H182" s="117">
        <f>IF($A182="","",نهاية_الدوام)</f>
        <v/>
      </c>
      <c r="I182" s="58">
        <f>IF($A182="","",مدة_الاستراحة/60)</f>
        <v/>
      </c>
      <c r="J182" s="58">
        <f>IF(OR($A182="",$E182="",$F182=""),"",IF(OR($N182="حاضر",$N182="دوام جزئي"),MAX(0,MOD($F182-$E182,1)*24-$I182),0))</f>
        <v/>
      </c>
      <c r="K182" s="58">
        <f>IF(OR($A182="",$E182=""),"",IF(AND(احتساب_التأخير="نعم",OR($N182="حاضر",$N182="دوام جزئي"),$E182&gt;$G182+دقائق_السماح/1440),($E182-$G182-دقائق_السماح/1440)*24,0))</f>
        <v/>
      </c>
      <c r="L182" s="58">
        <f>IF(OR($A182="",$F182=""),"",IF(AND(OR($N182="حاضر",$N182="دوام جزئي"),$F182&lt;$H182),($H182-$F182)*24,0))</f>
        <v/>
      </c>
      <c r="M182" s="58">
        <f>IF(OR($A182="",$F182=""),"",IF(AND(احتساب_العمل_الإضافي="نعم",OR($N182="حاضر",$N182="دوام جزئي"),$F182&gt;$H182,($F182-$H182)*24*60&gt;=حد_العمل_الإضافي_دقيقة),($F182-$H182)*24,0))</f>
        <v/>
      </c>
      <c r="N182" s="47" t="n"/>
      <c r="O182" s="47" t="n"/>
      <c r="Q182">
        <f>IF(AND(ISNUMBER($K182),$K182&gt;0),SUMPRODUCT(ISNUMBER($K$3:$K$502)*($K$3:$K$502&gt;0)*(ROW($K$3:$K$502)&lt;=ROW())),"")</f>
        <v/>
      </c>
    </row>
    <row r="183">
      <c r="A183" s="40" t="n"/>
      <c r="B183" s="43">
        <f>IFERROR(INDEX(الموظفون_الاسم,MATCH($A183,الموظفون_الرقم,0)),"")</f>
        <v/>
      </c>
      <c r="C183" s="110" t="n"/>
      <c r="D183" s="43">
        <f>IF($C183="","",IFERROR(INDEX(قائمة_أيام_الأسبوع,WEEKDAY($C183,1)),""))</f>
        <v/>
      </c>
      <c r="E183" s="114" t="n"/>
      <c r="F183" s="114" t="n"/>
      <c r="G183" s="115">
        <f>IF($A183="","",بداية_الدوام)</f>
        <v/>
      </c>
      <c r="H183" s="115">
        <f>IF($A183="","",نهاية_الدوام)</f>
        <v/>
      </c>
      <c r="I183" s="55">
        <f>IF($A183="","",مدة_الاستراحة/60)</f>
        <v/>
      </c>
      <c r="J183" s="55">
        <f>IF(OR($A183="",$E183="",$F183=""),"",IF(OR($N183="حاضر",$N183="دوام جزئي"),MAX(0,MOD($F183-$E183,1)*24-$I183),0))</f>
        <v/>
      </c>
      <c r="K183" s="55">
        <f>IF(OR($A183="",$E183=""),"",IF(AND(احتساب_التأخير="نعم",OR($N183="حاضر",$N183="دوام جزئي"),$E183&gt;$G183+دقائق_السماح/1440),($E183-$G183-دقائق_السماح/1440)*24,0))</f>
        <v/>
      </c>
      <c r="L183" s="55">
        <f>IF(OR($A183="",$F183=""),"",IF(AND(OR($N183="حاضر",$N183="دوام جزئي"),$F183&lt;$H183),($H183-$F183)*24,0))</f>
        <v/>
      </c>
      <c r="M183" s="55">
        <f>IF(OR($A183="",$F183=""),"",IF(AND(احتساب_العمل_الإضافي="نعم",OR($N183="حاضر",$N183="دوام جزئي"),$F183&gt;$H183,($F183-$H183)*24*60&gt;=حد_العمل_الإضافي_دقيقة),($F183-$H183)*24,0))</f>
        <v/>
      </c>
      <c r="N183" s="40" t="n"/>
      <c r="O183" s="40" t="n"/>
      <c r="Q183">
        <f>IF(AND(ISNUMBER($K183),$K183&gt;0),SUMPRODUCT(ISNUMBER($K$3:$K$502)*($K$3:$K$502&gt;0)*(ROW($K$3:$K$502)&lt;=ROW())),"")</f>
        <v/>
      </c>
    </row>
    <row r="184">
      <c r="A184" s="47" t="n"/>
      <c r="B184" s="50">
        <f>IFERROR(INDEX(الموظفون_الاسم,MATCH($A184,الموظفون_الرقم,0)),"")</f>
        <v/>
      </c>
      <c r="C184" s="112" t="n"/>
      <c r="D184" s="50">
        <f>IF($C184="","",IFERROR(INDEX(قائمة_أيام_الأسبوع,WEEKDAY($C184,1)),""))</f>
        <v/>
      </c>
      <c r="E184" s="116" t="n"/>
      <c r="F184" s="116" t="n"/>
      <c r="G184" s="117">
        <f>IF($A184="","",بداية_الدوام)</f>
        <v/>
      </c>
      <c r="H184" s="117">
        <f>IF($A184="","",نهاية_الدوام)</f>
        <v/>
      </c>
      <c r="I184" s="58">
        <f>IF($A184="","",مدة_الاستراحة/60)</f>
        <v/>
      </c>
      <c r="J184" s="58">
        <f>IF(OR($A184="",$E184="",$F184=""),"",IF(OR($N184="حاضر",$N184="دوام جزئي"),MAX(0,MOD($F184-$E184,1)*24-$I184),0))</f>
        <v/>
      </c>
      <c r="K184" s="58">
        <f>IF(OR($A184="",$E184=""),"",IF(AND(احتساب_التأخير="نعم",OR($N184="حاضر",$N184="دوام جزئي"),$E184&gt;$G184+دقائق_السماح/1440),($E184-$G184-دقائق_السماح/1440)*24,0))</f>
        <v/>
      </c>
      <c r="L184" s="58">
        <f>IF(OR($A184="",$F184=""),"",IF(AND(OR($N184="حاضر",$N184="دوام جزئي"),$F184&lt;$H184),($H184-$F184)*24,0))</f>
        <v/>
      </c>
      <c r="M184" s="58">
        <f>IF(OR($A184="",$F184=""),"",IF(AND(احتساب_العمل_الإضافي="نعم",OR($N184="حاضر",$N184="دوام جزئي"),$F184&gt;$H184,($F184-$H184)*24*60&gt;=حد_العمل_الإضافي_دقيقة),($F184-$H184)*24,0))</f>
        <v/>
      </c>
      <c r="N184" s="47" t="n"/>
      <c r="O184" s="47" t="n"/>
      <c r="Q184">
        <f>IF(AND(ISNUMBER($K184),$K184&gt;0),SUMPRODUCT(ISNUMBER($K$3:$K$502)*($K$3:$K$502&gt;0)*(ROW($K$3:$K$502)&lt;=ROW())),"")</f>
        <v/>
      </c>
    </row>
    <row r="185">
      <c r="A185" s="40" t="n"/>
      <c r="B185" s="43">
        <f>IFERROR(INDEX(الموظفون_الاسم,MATCH($A185,الموظفون_الرقم,0)),"")</f>
        <v/>
      </c>
      <c r="C185" s="110" t="n"/>
      <c r="D185" s="43">
        <f>IF($C185="","",IFERROR(INDEX(قائمة_أيام_الأسبوع,WEEKDAY($C185,1)),""))</f>
        <v/>
      </c>
      <c r="E185" s="114" t="n"/>
      <c r="F185" s="114" t="n"/>
      <c r="G185" s="115">
        <f>IF($A185="","",بداية_الدوام)</f>
        <v/>
      </c>
      <c r="H185" s="115">
        <f>IF($A185="","",نهاية_الدوام)</f>
        <v/>
      </c>
      <c r="I185" s="55">
        <f>IF($A185="","",مدة_الاستراحة/60)</f>
        <v/>
      </c>
      <c r="J185" s="55">
        <f>IF(OR($A185="",$E185="",$F185=""),"",IF(OR($N185="حاضر",$N185="دوام جزئي"),MAX(0,MOD($F185-$E185,1)*24-$I185),0))</f>
        <v/>
      </c>
      <c r="K185" s="55">
        <f>IF(OR($A185="",$E185=""),"",IF(AND(احتساب_التأخير="نعم",OR($N185="حاضر",$N185="دوام جزئي"),$E185&gt;$G185+دقائق_السماح/1440),($E185-$G185-دقائق_السماح/1440)*24,0))</f>
        <v/>
      </c>
      <c r="L185" s="55">
        <f>IF(OR($A185="",$F185=""),"",IF(AND(OR($N185="حاضر",$N185="دوام جزئي"),$F185&lt;$H185),($H185-$F185)*24,0))</f>
        <v/>
      </c>
      <c r="M185" s="55">
        <f>IF(OR($A185="",$F185=""),"",IF(AND(احتساب_العمل_الإضافي="نعم",OR($N185="حاضر",$N185="دوام جزئي"),$F185&gt;$H185,($F185-$H185)*24*60&gt;=حد_العمل_الإضافي_دقيقة),($F185-$H185)*24,0))</f>
        <v/>
      </c>
      <c r="N185" s="40" t="n"/>
      <c r="O185" s="40" t="n"/>
      <c r="Q185">
        <f>IF(AND(ISNUMBER($K185),$K185&gt;0),SUMPRODUCT(ISNUMBER($K$3:$K$502)*($K$3:$K$502&gt;0)*(ROW($K$3:$K$502)&lt;=ROW())),"")</f>
        <v/>
      </c>
    </row>
    <row r="186">
      <c r="A186" s="47" t="n"/>
      <c r="B186" s="50">
        <f>IFERROR(INDEX(الموظفون_الاسم,MATCH($A186,الموظفون_الرقم,0)),"")</f>
        <v/>
      </c>
      <c r="C186" s="112" t="n"/>
      <c r="D186" s="50">
        <f>IF($C186="","",IFERROR(INDEX(قائمة_أيام_الأسبوع,WEEKDAY($C186,1)),""))</f>
        <v/>
      </c>
      <c r="E186" s="116" t="n"/>
      <c r="F186" s="116" t="n"/>
      <c r="G186" s="117">
        <f>IF($A186="","",بداية_الدوام)</f>
        <v/>
      </c>
      <c r="H186" s="117">
        <f>IF($A186="","",نهاية_الدوام)</f>
        <v/>
      </c>
      <c r="I186" s="58">
        <f>IF($A186="","",مدة_الاستراحة/60)</f>
        <v/>
      </c>
      <c r="J186" s="58">
        <f>IF(OR($A186="",$E186="",$F186=""),"",IF(OR($N186="حاضر",$N186="دوام جزئي"),MAX(0,MOD($F186-$E186,1)*24-$I186),0))</f>
        <v/>
      </c>
      <c r="K186" s="58">
        <f>IF(OR($A186="",$E186=""),"",IF(AND(احتساب_التأخير="نعم",OR($N186="حاضر",$N186="دوام جزئي"),$E186&gt;$G186+دقائق_السماح/1440),($E186-$G186-دقائق_السماح/1440)*24,0))</f>
        <v/>
      </c>
      <c r="L186" s="58">
        <f>IF(OR($A186="",$F186=""),"",IF(AND(OR($N186="حاضر",$N186="دوام جزئي"),$F186&lt;$H186),($H186-$F186)*24,0))</f>
        <v/>
      </c>
      <c r="M186" s="58">
        <f>IF(OR($A186="",$F186=""),"",IF(AND(احتساب_العمل_الإضافي="نعم",OR($N186="حاضر",$N186="دوام جزئي"),$F186&gt;$H186,($F186-$H186)*24*60&gt;=حد_العمل_الإضافي_دقيقة),($F186-$H186)*24,0))</f>
        <v/>
      </c>
      <c r="N186" s="47" t="n"/>
      <c r="O186" s="47" t="n"/>
      <c r="Q186">
        <f>IF(AND(ISNUMBER($K186),$K186&gt;0),SUMPRODUCT(ISNUMBER($K$3:$K$502)*($K$3:$K$502&gt;0)*(ROW($K$3:$K$502)&lt;=ROW())),"")</f>
        <v/>
      </c>
    </row>
    <row r="187">
      <c r="A187" s="40" t="n"/>
      <c r="B187" s="43">
        <f>IFERROR(INDEX(الموظفون_الاسم,MATCH($A187,الموظفون_الرقم,0)),"")</f>
        <v/>
      </c>
      <c r="C187" s="110" t="n"/>
      <c r="D187" s="43">
        <f>IF($C187="","",IFERROR(INDEX(قائمة_أيام_الأسبوع,WEEKDAY($C187,1)),""))</f>
        <v/>
      </c>
      <c r="E187" s="114" t="n"/>
      <c r="F187" s="114" t="n"/>
      <c r="G187" s="115">
        <f>IF($A187="","",بداية_الدوام)</f>
        <v/>
      </c>
      <c r="H187" s="115">
        <f>IF($A187="","",نهاية_الدوام)</f>
        <v/>
      </c>
      <c r="I187" s="55">
        <f>IF($A187="","",مدة_الاستراحة/60)</f>
        <v/>
      </c>
      <c r="J187" s="55">
        <f>IF(OR($A187="",$E187="",$F187=""),"",IF(OR($N187="حاضر",$N187="دوام جزئي"),MAX(0,MOD($F187-$E187,1)*24-$I187),0))</f>
        <v/>
      </c>
      <c r="K187" s="55">
        <f>IF(OR($A187="",$E187=""),"",IF(AND(احتساب_التأخير="نعم",OR($N187="حاضر",$N187="دوام جزئي"),$E187&gt;$G187+دقائق_السماح/1440),($E187-$G187-دقائق_السماح/1440)*24,0))</f>
        <v/>
      </c>
      <c r="L187" s="55">
        <f>IF(OR($A187="",$F187=""),"",IF(AND(OR($N187="حاضر",$N187="دوام جزئي"),$F187&lt;$H187),($H187-$F187)*24,0))</f>
        <v/>
      </c>
      <c r="M187" s="55">
        <f>IF(OR($A187="",$F187=""),"",IF(AND(احتساب_العمل_الإضافي="نعم",OR($N187="حاضر",$N187="دوام جزئي"),$F187&gt;$H187,($F187-$H187)*24*60&gt;=حد_العمل_الإضافي_دقيقة),($F187-$H187)*24,0))</f>
        <v/>
      </c>
      <c r="N187" s="40" t="n"/>
      <c r="O187" s="40" t="n"/>
      <c r="Q187">
        <f>IF(AND(ISNUMBER($K187),$K187&gt;0),SUMPRODUCT(ISNUMBER($K$3:$K$502)*($K$3:$K$502&gt;0)*(ROW($K$3:$K$502)&lt;=ROW())),"")</f>
        <v/>
      </c>
    </row>
    <row r="188">
      <c r="A188" s="47" t="n"/>
      <c r="B188" s="50">
        <f>IFERROR(INDEX(الموظفون_الاسم,MATCH($A188,الموظفون_الرقم,0)),"")</f>
        <v/>
      </c>
      <c r="C188" s="112" t="n"/>
      <c r="D188" s="50">
        <f>IF($C188="","",IFERROR(INDEX(قائمة_أيام_الأسبوع,WEEKDAY($C188,1)),""))</f>
        <v/>
      </c>
      <c r="E188" s="116" t="n"/>
      <c r="F188" s="116" t="n"/>
      <c r="G188" s="117">
        <f>IF($A188="","",بداية_الدوام)</f>
        <v/>
      </c>
      <c r="H188" s="117">
        <f>IF($A188="","",نهاية_الدوام)</f>
        <v/>
      </c>
      <c r="I188" s="58">
        <f>IF($A188="","",مدة_الاستراحة/60)</f>
        <v/>
      </c>
      <c r="J188" s="58">
        <f>IF(OR($A188="",$E188="",$F188=""),"",IF(OR($N188="حاضر",$N188="دوام جزئي"),MAX(0,MOD($F188-$E188,1)*24-$I188),0))</f>
        <v/>
      </c>
      <c r="K188" s="58">
        <f>IF(OR($A188="",$E188=""),"",IF(AND(احتساب_التأخير="نعم",OR($N188="حاضر",$N188="دوام جزئي"),$E188&gt;$G188+دقائق_السماح/1440),($E188-$G188-دقائق_السماح/1440)*24,0))</f>
        <v/>
      </c>
      <c r="L188" s="58">
        <f>IF(OR($A188="",$F188=""),"",IF(AND(OR($N188="حاضر",$N188="دوام جزئي"),$F188&lt;$H188),($H188-$F188)*24,0))</f>
        <v/>
      </c>
      <c r="M188" s="58">
        <f>IF(OR($A188="",$F188=""),"",IF(AND(احتساب_العمل_الإضافي="نعم",OR($N188="حاضر",$N188="دوام جزئي"),$F188&gt;$H188,($F188-$H188)*24*60&gt;=حد_العمل_الإضافي_دقيقة),($F188-$H188)*24,0))</f>
        <v/>
      </c>
      <c r="N188" s="47" t="n"/>
      <c r="O188" s="47" t="n"/>
      <c r="Q188">
        <f>IF(AND(ISNUMBER($K188),$K188&gt;0),SUMPRODUCT(ISNUMBER($K$3:$K$502)*($K$3:$K$502&gt;0)*(ROW($K$3:$K$502)&lt;=ROW())),"")</f>
        <v/>
      </c>
    </row>
    <row r="189">
      <c r="A189" s="40" t="n"/>
      <c r="B189" s="43">
        <f>IFERROR(INDEX(الموظفون_الاسم,MATCH($A189,الموظفون_الرقم,0)),"")</f>
        <v/>
      </c>
      <c r="C189" s="110" t="n"/>
      <c r="D189" s="43">
        <f>IF($C189="","",IFERROR(INDEX(قائمة_أيام_الأسبوع,WEEKDAY($C189,1)),""))</f>
        <v/>
      </c>
      <c r="E189" s="114" t="n"/>
      <c r="F189" s="114" t="n"/>
      <c r="G189" s="115">
        <f>IF($A189="","",بداية_الدوام)</f>
        <v/>
      </c>
      <c r="H189" s="115">
        <f>IF($A189="","",نهاية_الدوام)</f>
        <v/>
      </c>
      <c r="I189" s="55">
        <f>IF($A189="","",مدة_الاستراحة/60)</f>
        <v/>
      </c>
      <c r="J189" s="55">
        <f>IF(OR($A189="",$E189="",$F189=""),"",IF(OR($N189="حاضر",$N189="دوام جزئي"),MAX(0,MOD($F189-$E189,1)*24-$I189),0))</f>
        <v/>
      </c>
      <c r="K189" s="55">
        <f>IF(OR($A189="",$E189=""),"",IF(AND(احتساب_التأخير="نعم",OR($N189="حاضر",$N189="دوام جزئي"),$E189&gt;$G189+دقائق_السماح/1440),($E189-$G189-دقائق_السماح/1440)*24,0))</f>
        <v/>
      </c>
      <c r="L189" s="55">
        <f>IF(OR($A189="",$F189=""),"",IF(AND(OR($N189="حاضر",$N189="دوام جزئي"),$F189&lt;$H189),($H189-$F189)*24,0))</f>
        <v/>
      </c>
      <c r="M189" s="55">
        <f>IF(OR($A189="",$F189=""),"",IF(AND(احتساب_العمل_الإضافي="نعم",OR($N189="حاضر",$N189="دوام جزئي"),$F189&gt;$H189,($F189-$H189)*24*60&gt;=حد_العمل_الإضافي_دقيقة),($F189-$H189)*24,0))</f>
        <v/>
      </c>
      <c r="N189" s="40" t="n"/>
      <c r="O189" s="40" t="n"/>
      <c r="Q189">
        <f>IF(AND(ISNUMBER($K189),$K189&gt;0),SUMPRODUCT(ISNUMBER($K$3:$K$502)*($K$3:$K$502&gt;0)*(ROW($K$3:$K$502)&lt;=ROW())),"")</f>
        <v/>
      </c>
    </row>
    <row r="190">
      <c r="A190" s="47" t="n"/>
      <c r="B190" s="50">
        <f>IFERROR(INDEX(الموظفون_الاسم,MATCH($A190,الموظفون_الرقم,0)),"")</f>
        <v/>
      </c>
      <c r="C190" s="112" t="n"/>
      <c r="D190" s="50">
        <f>IF($C190="","",IFERROR(INDEX(قائمة_أيام_الأسبوع,WEEKDAY($C190,1)),""))</f>
        <v/>
      </c>
      <c r="E190" s="116" t="n"/>
      <c r="F190" s="116" t="n"/>
      <c r="G190" s="117">
        <f>IF($A190="","",بداية_الدوام)</f>
        <v/>
      </c>
      <c r="H190" s="117">
        <f>IF($A190="","",نهاية_الدوام)</f>
        <v/>
      </c>
      <c r="I190" s="58">
        <f>IF($A190="","",مدة_الاستراحة/60)</f>
        <v/>
      </c>
      <c r="J190" s="58">
        <f>IF(OR($A190="",$E190="",$F190=""),"",IF(OR($N190="حاضر",$N190="دوام جزئي"),MAX(0,MOD($F190-$E190,1)*24-$I190),0))</f>
        <v/>
      </c>
      <c r="K190" s="58">
        <f>IF(OR($A190="",$E190=""),"",IF(AND(احتساب_التأخير="نعم",OR($N190="حاضر",$N190="دوام جزئي"),$E190&gt;$G190+دقائق_السماح/1440),($E190-$G190-دقائق_السماح/1440)*24,0))</f>
        <v/>
      </c>
      <c r="L190" s="58">
        <f>IF(OR($A190="",$F190=""),"",IF(AND(OR($N190="حاضر",$N190="دوام جزئي"),$F190&lt;$H190),($H190-$F190)*24,0))</f>
        <v/>
      </c>
      <c r="M190" s="58">
        <f>IF(OR($A190="",$F190=""),"",IF(AND(احتساب_العمل_الإضافي="نعم",OR($N190="حاضر",$N190="دوام جزئي"),$F190&gt;$H190,($F190-$H190)*24*60&gt;=حد_العمل_الإضافي_دقيقة),($F190-$H190)*24,0))</f>
        <v/>
      </c>
      <c r="N190" s="47" t="n"/>
      <c r="O190" s="47" t="n"/>
      <c r="Q190">
        <f>IF(AND(ISNUMBER($K190),$K190&gt;0),SUMPRODUCT(ISNUMBER($K$3:$K$502)*($K$3:$K$502&gt;0)*(ROW($K$3:$K$502)&lt;=ROW())),"")</f>
        <v/>
      </c>
    </row>
    <row r="191">
      <c r="A191" s="40" t="n"/>
      <c r="B191" s="43">
        <f>IFERROR(INDEX(الموظفون_الاسم,MATCH($A191,الموظفون_الرقم,0)),"")</f>
        <v/>
      </c>
      <c r="C191" s="110" t="n"/>
      <c r="D191" s="43">
        <f>IF($C191="","",IFERROR(INDEX(قائمة_أيام_الأسبوع,WEEKDAY($C191,1)),""))</f>
        <v/>
      </c>
      <c r="E191" s="114" t="n"/>
      <c r="F191" s="114" t="n"/>
      <c r="G191" s="115">
        <f>IF($A191="","",بداية_الدوام)</f>
        <v/>
      </c>
      <c r="H191" s="115">
        <f>IF($A191="","",نهاية_الدوام)</f>
        <v/>
      </c>
      <c r="I191" s="55">
        <f>IF($A191="","",مدة_الاستراحة/60)</f>
        <v/>
      </c>
      <c r="J191" s="55">
        <f>IF(OR($A191="",$E191="",$F191=""),"",IF(OR($N191="حاضر",$N191="دوام جزئي"),MAX(0,MOD($F191-$E191,1)*24-$I191),0))</f>
        <v/>
      </c>
      <c r="K191" s="55">
        <f>IF(OR($A191="",$E191=""),"",IF(AND(احتساب_التأخير="نعم",OR($N191="حاضر",$N191="دوام جزئي"),$E191&gt;$G191+دقائق_السماح/1440),($E191-$G191-دقائق_السماح/1440)*24,0))</f>
        <v/>
      </c>
      <c r="L191" s="55">
        <f>IF(OR($A191="",$F191=""),"",IF(AND(OR($N191="حاضر",$N191="دوام جزئي"),$F191&lt;$H191),($H191-$F191)*24,0))</f>
        <v/>
      </c>
      <c r="M191" s="55">
        <f>IF(OR($A191="",$F191=""),"",IF(AND(احتساب_العمل_الإضافي="نعم",OR($N191="حاضر",$N191="دوام جزئي"),$F191&gt;$H191,($F191-$H191)*24*60&gt;=حد_العمل_الإضافي_دقيقة),($F191-$H191)*24,0))</f>
        <v/>
      </c>
      <c r="N191" s="40" t="n"/>
      <c r="O191" s="40" t="n"/>
      <c r="Q191">
        <f>IF(AND(ISNUMBER($K191),$K191&gt;0),SUMPRODUCT(ISNUMBER($K$3:$K$502)*($K$3:$K$502&gt;0)*(ROW($K$3:$K$502)&lt;=ROW())),"")</f>
        <v/>
      </c>
    </row>
    <row r="192">
      <c r="A192" s="47" t="n"/>
      <c r="B192" s="50">
        <f>IFERROR(INDEX(الموظفون_الاسم,MATCH($A192,الموظفون_الرقم,0)),"")</f>
        <v/>
      </c>
      <c r="C192" s="112" t="n"/>
      <c r="D192" s="50">
        <f>IF($C192="","",IFERROR(INDEX(قائمة_أيام_الأسبوع,WEEKDAY($C192,1)),""))</f>
        <v/>
      </c>
      <c r="E192" s="116" t="n"/>
      <c r="F192" s="116" t="n"/>
      <c r="G192" s="117">
        <f>IF($A192="","",بداية_الدوام)</f>
        <v/>
      </c>
      <c r="H192" s="117">
        <f>IF($A192="","",نهاية_الدوام)</f>
        <v/>
      </c>
      <c r="I192" s="58">
        <f>IF($A192="","",مدة_الاستراحة/60)</f>
        <v/>
      </c>
      <c r="J192" s="58">
        <f>IF(OR($A192="",$E192="",$F192=""),"",IF(OR($N192="حاضر",$N192="دوام جزئي"),MAX(0,MOD($F192-$E192,1)*24-$I192),0))</f>
        <v/>
      </c>
      <c r="K192" s="58">
        <f>IF(OR($A192="",$E192=""),"",IF(AND(احتساب_التأخير="نعم",OR($N192="حاضر",$N192="دوام جزئي"),$E192&gt;$G192+دقائق_السماح/1440),($E192-$G192-دقائق_السماح/1440)*24,0))</f>
        <v/>
      </c>
      <c r="L192" s="58">
        <f>IF(OR($A192="",$F192=""),"",IF(AND(OR($N192="حاضر",$N192="دوام جزئي"),$F192&lt;$H192),($H192-$F192)*24,0))</f>
        <v/>
      </c>
      <c r="M192" s="58">
        <f>IF(OR($A192="",$F192=""),"",IF(AND(احتساب_العمل_الإضافي="نعم",OR($N192="حاضر",$N192="دوام جزئي"),$F192&gt;$H192,($F192-$H192)*24*60&gt;=حد_العمل_الإضافي_دقيقة),($F192-$H192)*24,0))</f>
        <v/>
      </c>
      <c r="N192" s="47" t="n"/>
      <c r="O192" s="47" t="n"/>
      <c r="Q192">
        <f>IF(AND(ISNUMBER($K192),$K192&gt;0),SUMPRODUCT(ISNUMBER($K$3:$K$502)*($K$3:$K$502&gt;0)*(ROW($K$3:$K$502)&lt;=ROW())),"")</f>
        <v/>
      </c>
    </row>
    <row r="193">
      <c r="A193" s="40" t="n"/>
      <c r="B193" s="43">
        <f>IFERROR(INDEX(الموظفون_الاسم,MATCH($A193,الموظفون_الرقم,0)),"")</f>
        <v/>
      </c>
      <c r="C193" s="110" t="n"/>
      <c r="D193" s="43">
        <f>IF($C193="","",IFERROR(INDEX(قائمة_أيام_الأسبوع,WEEKDAY($C193,1)),""))</f>
        <v/>
      </c>
      <c r="E193" s="114" t="n"/>
      <c r="F193" s="114" t="n"/>
      <c r="G193" s="115">
        <f>IF($A193="","",بداية_الدوام)</f>
        <v/>
      </c>
      <c r="H193" s="115">
        <f>IF($A193="","",نهاية_الدوام)</f>
        <v/>
      </c>
      <c r="I193" s="55">
        <f>IF($A193="","",مدة_الاستراحة/60)</f>
        <v/>
      </c>
      <c r="J193" s="55">
        <f>IF(OR($A193="",$E193="",$F193=""),"",IF(OR($N193="حاضر",$N193="دوام جزئي"),MAX(0,MOD($F193-$E193,1)*24-$I193),0))</f>
        <v/>
      </c>
      <c r="K193" s="55">
        <f>IF(OR($A193="",$E193=""),"",IF(AND(احتساب_التأخير="نعم",OR($N193="حاضر",$N193="دوام جزئي"),$E193&gt;$G193+دقائق_السماح/1440),($E193-$G193-دقائق_السماح/1440)*24,0))</f>
        <v/>
      </c>
      <c r="L193" s="55">
        <f>IF(OR($A193="",$F193=""),"",IF(AND(OR($N193="حاضر",$N193="دوام جزئي"),$F193&lt;$H193),($H193-$F193)*24,0))</f>
        <v/>
      </c>
      <c r="M193" s="55">
        <f>IF(OR($A193="",$F193=""),"",IF(AND(احتساب_العمل_الإضافي="نعم",OR($N193="حاضر",$N193="دوام جزئي"),$F193&gt;$H193,($F193-$H193)*24*60&gt;=حد_العمل_الإضافي_دقيقة),($F193-$H193)*24,0))</f>
        <v/>
      </c>
      <c r="N193" s="40" t="n"/>
      <c r="O193" s="40" t="n"/>
      <c r="Q193">
        <f>IF(AND(ISNUMBER($K193),$K193&gt;0),SUMPRODUCT(ISNUMBER($K$3:$K$502)*($K$3:$K$502&gt;0)*(ROW($K$3:$K$502)&lt;=ROW())),"")</f>
        <v/>
      </c>
    </row>
    <row r="194">
      <c r="A194" s="47" t="n"/>
      <c r="B194" s="50">
        <f>IFERROR(INDEX(الموظفون_الاسم,MATCH($A194,الموظفون_الرقم,0)),"")</f>
        <v/>
      </c>
      <c r="C194" s="112" t="n"/>
      <c r="D194" s="50">
        <f>IF($C194="","",IFERROR(INDEX(قائمة_أيام_الأسبوع,WEEKDAY($C194,1)),""))</f>
        <v/>
      </c>
      <c r="E194" s="116" t="n"/>
      <c r="F194" s="116" t="n"/>
      <c r="G194" s="117">
        <f>IF($A194="","",بداية_الدوام)</f>
        <v/>
      </c>
      <c r="H194" s="117">
        <f>IF($A194="","",نهاية_الدوام)</f>
        <v/>
      </c>
      <c r="I194" s="58">
        <f>IF($A194="","",مدة_الاستراحة/60)</f>
        <v/>
      </c>
      <c r="J194" s="58">
        <f>IF(OR($A194="",$E194="",$F194=""),"",IF(OR($N194="حاضر",$N194="دوام جزئي"),MAX(0,MOD($F194-$E194,1)*24-$I194),0))</f>
        <v/>
      </c>
      <c r="K194" s="58">
        <f>IF(OR($A194="",$E194=""),"",IF(AND(احتساب_التأخير="نعم",OR($N194="حاضر",$N194="دوام جزئي"),$E194&gt;$G194+دقائق_السماح/1440),($E194-$G194-دقائق_السماح/1440)*24,0))</f>
        <v/>
      </c>
      <c r="L194" s="58">
        <f>IF(OR($A194="",$F194=""),"",IF(AND(OR($N194="حاضر",$N194="دوام جزئي"),$F194&lt;$H194),($H194-$F194)*24,0))</f>
        <v/>
      </c>
      <c r="M194" s="58">
        <f>IF(OR($A194="",$F194=""),"",IF(AND(احتساب_العمل_الإضافي="نعم",OR($N194="حاضر",$N194="دوام جزئي"),$F194&gt;$H194,($F194-$H194)*24*60&gt;=حد_العمل_الإضافي_دقيقة),($F194-$H194)*24,0))</f>
        <v/>
      </c>
      <c r="N194" s="47" t="n"/>
      <c r="O194" s="47" t="n"/>
      <c r="Q194">
        <f>IF(AND(ISNUMBER($K194),$K194&gt;0),SUMPRODUCT(ISNUMBER($K$3:$K$502)*($K$3:$K$502&gt;0)*(ROW($K$3:$K$502)&lt;=ROW())),"")</f>
        <v/>
      </c>
    </row>
    <row r="195">
      <c r="A195" s="40" t="n"/>
      <c r="B195" s="43">
        <f>IFERROR(INDEX(الموظفون_الاسم,MATCH($A195,الموظفون_الرقم,0)),"")</f>
        <v/>
      </c>
      <c r="C195" s="110" t="n"/>
      <c r="D195" s="43">
        <f>IF($C195="","",IFERROR(INDEX(قائمة_أيام_الأسبوع,WEEKDAY($C195,1)),""))</f>
        <v/>
      </c>
      <c r="E195" s="114" t="n"/>
      <c r="F195" s="114" t="n"/>
      <c r="G195" s="115">
        <f>IF($A195="","",بداية_الدوام)</f>
        <v/>
      </c>
      <c r="H195" s="115">
        <f>IF($A195="","",نهاية_الدوام)</f>
        <v/>
      </c>
      <c r="I195" s="55">
        <f>IF($A195="","",مدة_الاستراحة/60)</f>
        <v/>
      </c>
      <c r="J195" s="55">
        <f>IF(OR($A195="",$E195="",$F195=""),"",IF(OR($N195="حاضر",$N195="دوام جزئي"),MAX(0,MOD($F195-$E195,1)*24-$I195),0))</f>
        <v/>
      </c>
      <c r="K195" s="55">
        <f>IF(OR($A195="",$E195=""),"",IF(AND(احتساب_التأخير="نعم",OR($N195="حاضر",$N195="دوام جزئي"),$E195&gt;$G195+دقائق_السماح/1440),($E195-$G195-دقائق_السماح/1440)*24,0))</f>
        <v/>
      </c>
      <c r="L195" s="55">
        <f>IF(OR($A195="",$F195=""),"",IF(AND(OR($N195="حاضر",$N195="دوام جزئي"),$F195&lt;$H195),($H195-$F195)*24,0))</f>
        <v/>
      </c>
      <c r="M195" s="55">
        <f>IF(OR($A195="",$F195=""),"",IF(AND(احتساب_العمل_الإضافي="نعم",OR($N195="حاضر",$N195="دوام جزئي"),$F195&gt;$H195,($F195-$H195)*24*60&gt;=حد_العمل_الإضافي_دقيقة),($F195-$H195)*24,0))</f>
        <v/>
      </c>
      <c r="N195" s="40" t="n"/>
      <c r="O195" s="40" t="n"/>
      <c r="Q195">
        <f>IF(AND(ISNUMBER($K195),$K195&gt;0),SUMPRODUCT(ISNUMBER($K$3:$K$502)*($K$3:$K$502&gt;0)*(ROW($K$3:$K$502)&lt;=ROW())),"")</f>
        <v/>
      </c>
    </row>
    <row r="196">
      <c r="A196" s="47" t="n"/>
      <c r="B196" s="50">
        <f>IFERROR(INDEX(الموظفون_الاسم,MATCH($A196,الموظفون_الرقم,0)),"")</f>
        <v/>
      </c>
      <c r="C196" s="112" t="n"/>
      <c r="D196" s="50">
        <f>IF($C196="","",IFERROR(INDEX(قائمة_أيام_الأسبوع,WEEKDAY($C196,1)),""))</f>
        <v/>
      </c>
      <c r="E196" s="116" t="n"/>
      <c r="F196" s="116" t="n"/>
      <c r="G196" s="117">
        <f>IF($A196="","",بداية_الدوام)</f>
        <v/>
      </c>
      <c r="H196" s="117">
        <f>IF($A196="","",نهاية_الدوام)</f>
        <v/>
      </c>
      <c r="I196" s="58">
        <f>IF($A196="","",مدة_الاستراحة/60)</f>
        <v/>
      </c>
      <c r="J196" s="58">
        <f>IF(OR($A196="",$E196="",$F196=""),"",IF(OR($N196="حاضر",$N196="دوام جزئي"),MAX(0,MOD($F196-$E196,1)*24-$I196),0))</f>
        <v/>
      </c>
      <c r="K196" s="58">
        <f>IF(OR($A196="",$E196=""),"",IF(AND(احتساب_التأخير="نعم",OR($N196="حاضر",$N196="دوام جزئي"),$E196&gt;$G196+دقائق_السماح/1440),($E196-$G196-دقائق_السماح/1440)*24,0))</f>
        <v/>
      </c>
      <c r="L196" s="58">
        <f>IF(OR($A196="",$F196=""),"",IF(AND(OR($N196="حاضر",$N196="دوام جزئي"),$F196&lt;$H196),($H196-$F196)*24,0))</f>
        <v/>
      </c>
      <c r="M196" s="58">
        <f>IF(OR($A196="",$F196=""),"",IF(AND(احتساب_العمل_الإضافي="نعم",OR($N196="حاضر",$N196="دوام جزئي"),$F196&gt;$H196,($F196-$H196)*24*60&gt;=حد_العمل_الإضافي_دقيقة),($F196-$H196)*24,0))</f>
        <v/>
      </c>
      <c r="N196" s="47" t="n"/>
      <c r="O196" s="47" t="n"/>
      <c r="Q196">
        <f>IF(AND(ISNUMBER($K196),$K196&gt;0),SUMPRODUCT(ISNUMBER($K$3:$K$502)*($K$3:$K$502&gt;0)*(ROW($K$3:$K$502)&lt;=ROW())),"")</f>
        <v/>
      </c>
    </row>
    <row r="197">
      <c r="A197" s="40" t="n"/>
      <c r="B197" s="43">
        <f>IFERROR(INDEX(الموظفون_الاسم,MATCH($A197,الموظفون_الرقم,0)),"")</f>
        <v/>
      </c>
      <c r="C197" s="110" t="n"/>
      <c r="D197" s="43">
        <f>IF($C197="","",IFERROR(INDEX(قائمة_أيام_الأسبوع,WEEKDAY($C197,1)),""))</f>
        <v/>
      </c>
      <c r="E197" s="114" t="n"/>
      <c r="F197" s="114" t="n"/>
      <c r="G197" s="115">
        <f>IF($A197="","",بداية_الدوام)</f>
        <v/>
      </c>
      <c r="H197" s="115">
        <f>IF($A197="","",نهاية_الدوام)</f>
        <v/>
      </c>
      <c r="I197" s="55">
        <f>IF($A197="","",مدة_الاستراحة/60)</f>
        <v/>
      </c>
      <c r="J197" s="55">
        <f>IF(OR($A197="",$E197="",$F197=""),"",IF(OR($N197="حاضر",$N197="دوام جزئي"),MAX(0,MOD($F197-$E197,1)*24-$I197),0))</f>
        <v/>
      </c>
      <c r="K197" s="55">
        <f>IF(OR($A197="",$E197=""),"",IF(AND(احتساب_التأخير="نعم",OR($N197="حاضر",$N197="دوام جزئي"),$E197&gt;$G197+دقائق_السماح/1440),($E197-$G197-دقائق_السماح/1440)*24,0))</f>
        <v/>
      </c>
      <c r="L197" s="55">
        <f>IF(OR($A197="",$F197=""),"",IF(AND(OR($N197="حاضر",$N197="دوام جزئي"),$F197&lt;$H197),($H197-$F197)*24,0))</f>
        <v/>
      </c>
      <c r="M197" s="55">
        <f>IF(OR($A197="",$F197=""),"",IF(AND(احتساب_العمل_الإضافي="نعم",OR($N197="حاضر",$N197="دوام جزئي"),$F197&gt;$H197,($F197-$H197)*24*60&gt;=حد_العمل_الإضافي_دقيقة),($F197-$H197)*24,0))</f>
        <v/>
      </c>
      <c r="N197" s="40" t="n"/>
      <c r="O197" s="40" t="n"/>
      <c r="Q197">
        <f>IF(AND(ISNUMBER($K197),$K197&gt;0),SUMPRODUCT(ISNUMBER($K$3:$K$502)*($K$3:$K$502&gt;0)*(ROW($K$3:$K$502)&lt;=ROW())),"")</f>
        <v/>
      </c>
    </row>
    <row r="198">
      <c r="A198" s="47" t="n"/>
      <c r="B198" s="50">
        <f>IFERROR(INDEX(الموظفون_الاسم,MATCH($A198,الموظفون_الرقم,0)),"")</f>
        <v/>
      </c>
      <c r="C198" s="112" t="n"/>
      <c r="D198" s="50">
        <f>IF($C198="","",IFERROR(INDEX(قائمة_أيام_الأسبوع,WEEKDAY($C198,1)),""))</f>
        <v/>
      </c>
      <c r="E198" s="116" t="n"/>
      <c r="F198" s="116" t="n"/>
      <c r="G198" s="117">
        <f>IF($A198="","",بداية_الدوام)</f>
        <v/>
      </c>
      <c r="H198" s="117">
        <f>IF($A198="","",نهاية_الدوام)</f>
        <v/>
      </c>
      <c r="I198" s="58">
        <f>IF($A198="","",مدة_الاستراحة/60)</f>
        <v/>
      </c>
      <c r="J198" s="58">
        <f>IF(OR($A198="",$E198="",$F198=""),"",IF(OR($N198="حاضر",$N198="دوام جزئي"),MAX(0,MOD($F198-$E198,1)*24-$I198),0))</f>
        <v/>
      </c>
      <c r="K198" s="58">
        <f>IF(OR($A198="",$E198=""),"",IF(AND(احتساب_التأخير="نعم",OR($N198="حاضر",$N198="دوام جزئي"),$E198&gt;$G198+دقائق_السماح/1440),($E198-$G198-دقائق_السماح/1440)*24,0))</f>
        <v/>
      </c>
      <c r="L198" s="58">
        <f>IF(OR($A198="",$F198=""),"",IF(AND(OR($N198="حاضر",$N198="دوام جزئي"),$F198&lt;$H198),($H198-$F198)*24,0))</f>
        <v/>
      </c>
      <c r="M198" s="58">
        <f>IF(OR($A198="",$F198=""),"",IF(AND(احتساب_العمل_الإضافي="نعم",OR($N198="حاضر",$N198="دوام جزئي"),$F198&gt;$H198,($F198-$H198)*24*60&gt;=حد_العمل_الإضافي_دقيقة),($F198-$H198)*24,0))</f>
        <v/>
      </c>
      <c r="N198" s="47" t="n"/>
      <c r="O198" s="47" t="n"/>
      <c r="Q198">
        <f>IF(AND(ISNUMBER($K198),$K198&gt;0),SUMPRODUCT(ISNUMBER($K$3:$K$502)*($K$3:$K$502&gt;0)*(ROW($K$3:$K$502)&lt;=ROW())),"")</f>
        <v/>
      </c>
    </row>
    <row r="199">
      <c r="A199" s="40" t="n"/>
      <c r="B199" s="43">
        <f>IFERROR(INDEX(الموظفون_الاسم,MATCH($A199,الموظفون_الرقم,0)),"")</f>
        <v/>
      </c>
      <c r="C199" s="110" t="n"/>
      <c r="D199" s="43">
        <f>IF($C199="","",IFERROR(INDEX(قائمة_أيام_الأسبوع,WEEKDAY($C199,1)),""))</f>
        <v/>
      </c>
      <c r="E199" s="114" t="n"/>
      <c r="F199" s="114" t="n"/>
      <c r="G199" s="115">
        <f>IF($A199="","",بداية_الدوام)</f>
        <v/>
      </c>
      <c r="H199" s="115">
        <f>IF($A199="","",نهاية_الدوام)</f>
        <v/>
      </c>
      <c r="I199" s="55">
        <f>IF($A199="","",مدة_الاستراحة/60)</f>
        <v/>
      </c>
      <c r="J199" s="55">
        <f>IF(OR($A199="",$E199="",$F199=""),"",IF(OR($N199="حاضر",$N199="دوام جزئي"),MAX(0,MOD($F199-$E199,1)*24-$I199),0))</f>
        <v/>
      </c>
      <c r="K199" s="55">
        <f>IF(OR($A199="",$E199=""),"",IF(AND(احتساب_التأخير="نعم",OR($N199="حاضر",$N199="دوام جزئي"),$E199&gt;$G199+دقائق_السماح/1440),($E199-$G199-دقائق_السماح/1440)*24,0))</f>
        <v/>
      </c>
      <c r="L199" s="55">
        <f>IF(OR($A199="",$F199=""),"",IF(AND(OR($N199="حاضر",$N199="دوام جزئي"),$F199&lt;$H199),($H199-$F199)*24,0))</f>
        <v/>
      </c>
      <c r="M199" s="55">
        <f>IF(OR($A199="",$F199=""),"",IF(AND(احتساب_العمل_الإضافي="نعم",OR($N199="حاضر",$N199="دوام جزئي"),$F199&gt;$H199,($F199-$H199)*24*60&gt;=حد_العمل_الإضافي_دقيقة),($F199-$H199)*24,0))</f>
        <v/>
      </c>
      <c r="N199" s="40" t="n"/>
      <c r="O199" s="40" t="n"/>
      <c r="Q199">
        <f>IF(AND(ISNUMBER($K199),$K199&gt;0),SUMPRODUCT(ISNUMBER($K$3:$K$502)*($K$3:$K$502&gt;0)*(ROW($K$3:$K$502)&lt;=ROW())),"")</f>
        <v/>
      </c>
    </row>
    <row r="200">
      <c r="A200" s="47" t="n"/>
      <c r="B200" s="50">
        <f>IFERROR(INDEX(الموظفون_الاسم,MATCH($A200,الموظفون_الرقم,0)),"")</f>
        <v/>
      </c>
      <c r="C200" s="112" t="n"/>
      <c r="D200" s="50">
        <f>IF($C200="","",IFERROR(INDEX(قائمة_أيام_الأسبوع,WEEKDAY($C200,1)),""))</f>
        <v/>
      </c>
      <c r="E200" s="116" t="n"/>
      <c r="F200" s="116" t="n"/>
      <c r="G200" s="117">
        <f>IF($A200="","",بداية_الدوام)</f>
        <v/>
      </c>
      <c r="H200" s="117">
        <f>IF($A200="","",نهاية_الدوام)</f>
        <v/>
      </c>
      <c r="I200" s="58">
        <f>IF($A200="","",مدة_الاستراحة/60)</f>
        <v/>
      </c>
      <c r="J200" s="58">
        <f>IF(OR($A200="",$E200="",$F200=""),"",IF(OR($N200="حاضر",$N200="دوام جزئي"),MAX(0,MOD($F200-$E200,1)*24-$I200),0))</f>
        <v/>
      </c>
      <c r="K200" s="58">
        <f>IF(OR($A200="",$E200=""),"",IF(AND(احتساب_التأخير="نعم",OR($N200="حاضر",$N200="دوام جزئي"),$E200&gt;$G200+دقائق_السماح/1440),($E200-$G200-دقائق_السماح/1440)*24,0))</f>
        <v/>
      </c>
      <c r="L200" s="58">
        <f>IF(OR($A200="",$F200=""),"",IF(AND(OR($N200="حاضر",$N200="دوام جزئي"),$F200&lt;$H200),($H200-$F200)*24,0))</f>
        <v/>
      </c>
      <c r="M200" s="58">
        <f>IF(OR($A200="",$F200=""),"",IF(AND(احتساب_العمل_الإضافي="نعم",OR($N200="حاضر",$N200="دوام جزئي"),$F200&gt;$H200,($F200-$H200)*24*60&gt;=حد_العمل_الإضافي_دقيقة),($F200-$H200)*24,0))</f>
        <v/>
      </c>
      <c r="N200" s="47" t="n"/>
      <c r="O200" s="47" t="n"/>
      <c r="Q200">
        <f>IF(AND(ISNUMBER($K200),$K200&gt;0),SUMPRODUCT(ISNUMBER($K$3:$K$502)*($K$3:$K$502&gt;0)*(ROW($K$3:$K$502)&lt;=ROW())),"")</f>
        <v/>
      </c>
    </row>
    <row r="201">
      <c r="A201" s="40" t="n"/>
      <c r="B201" s="43">
        <f>IFERROR(INDEX(الموظفون_الاسم,MATCH($A201,الموظفون_الرقم,0)),"")</f>
        <v/>
      </c>
      <c r="C201" s="110" t="n"/>
      <c r="D201" s="43">
        <f>IF($C201="","",IFERROR(INDEX(قائمة_أيام_الأسبوع,WEEKDAY($C201,1)),""))</f>
        <v/>
      </c>
      <c r="E201" s="114" t="n"/>
      <c r="F201" s="114" t="n"/>
      <c r="G201" s="115">
        <f>IF($A201="","",بداية_الدوام)</f>
        <v/>
      </c>
      <c r="H201" s="115">
        <f>IF($A201="","",نهاية_الدوام)</f>
        <v/>
      </c>
      <c r="I201" s="55">
        <f>IF($A201="","",مدة_الاستراحة/60)</f>
        <v/>
      </c>
      <c r="J201" s="55">
        <f>IF(OR($A201="",$E201="",$F201=""),"",IF(OR($N201="حاضر",$N201="دوام جزئي"),MAX(0,MOD($F201-$E201,1)*24-$I201),0))</f>
        <v/>
      </c>
      <c r="K201" s="55">
        <f>IF(OR($A201="",$E201=""),"",IF(AND(احتساب_التأخير="نعم",OR($N201="حاضر",$N201="دوام جزئي"),$E201&gt;$G201+دقائق_السماح/1440),($E201-$G201-دقائق_السماح/1440)*24,0))</f>
        <v/>
      </c>
      <c r="L201" s="55">
        <f>IF(OR($A201="",$F201=""),"",IF(AND(OR($N201="حاضر",$N201="دوام جزئي"),$F201&lt;$H201),($H201-$F201)*24,0))</f>
        <v/>
      </c>
      <c r="M201" s="55">
        <f>IF(OR($A201="",$F201=""),"",IF(AND(احتساب_العمل_الإضافي="نعم",OR($N201="حاضر",$N201="دوام جزئي"),$F201&gt;$H201,($F201-$H201)*24*60&gt;=حد_العمل_الإضافي_دقيقة),($F201-$H201)*24,0))</f>
        <v/>
      </c>
      <c r="N201" s="40" t="n"/>
      <c r="O201" s="40" t="n"/>
      <c r="Q201">
        <f>IF(AND(ISNUMBER($K201),$K201&gt;0),SUMPRODUCT(ISNUMBER($K$3:$K$502)*($K$3:$K$502&gt;0)*(ROW($K$3:$K$502)&lt;=ROW())),"")</f>
        <v/>
      </c>
    </row>
    <row r="202">
      <c r="A202" s="47" t="n"/>
      <c r="B202" s="50">
        <f>IFERROR(INDEX(الموظفون_الاسم,MATCH($A202,الموظفون_الرقم,0)),"")</f>
        <v/>
      </c>
      <c r="C202" s="112" t="n"/>
      <c r="D202" s="50">
        <f>IF($C202="","",IFERROR(INDEX(قائمة_أيام_الأسبوع,WEEKDAY($C202,1)),""))</f>
        <v/>
      </c>
      <c r="E202" s="116" t="n"/>
      <c r="F202" s="116" t="n"/>
      <c r="G202" s="117">
        <f>IF($A202="","",بداية_الدوام)</f>
        <v/>
      </c>
      <c r="H202" s="117">
        <f>IF($A202="","",نهاية_الدوام)</f>
        <v/>
      </c>
      <c r="I202" s="58">
        <f>IF($A202="","",مدة_الاستراحة/60)</f>
        <v/>
      </c>
      <c r="J202" s="58">
        <f>IF(OR($A202="",$E202="",$F202=""),"",IF(OR($N202="حاضر",$N202="دوام جزئي"),MAX(0,MOD($F202-$E202,1)*24-$I202),0))</f>
        <v/>
      </c>
      <c r="K202" s="58">
        <f>IF(OR($A202="",$E202=""),"",IF(AND(احتساب_التأخير="نعم",OR($N202="حاضر",$N202="دوام جزئي"),$E202&gt;$G202+دقائق_السماح/1440),($E202-$G202-دقائق_السماح/1440)*24,0))</f>
        <v/>
      </c>
      <c r="L202" s="58">
        <f>IF(OR($A202="",$F202=""),"",IF(AND(OR($N202="حاضر",$N202="دوام جزئي"),$F202&lt;$H202),($H202-$F202)*24,0))</f>
        <v/>
      </c>
      <c r="M202" s="58">
        <f>IF(OR($A202="",$F202=""),"",IF(AND(احتساب_العمل_الإضافي="نعم",OR($N202="حاضر",$N202="دوام جزئي"),$F202&gt;$H202,($F202-$H202)*24*60&gt;=حد_العمل_الإضافي_دقيقة),($F202-$H202)*24,0))</f>
        <v/>
      </c>
      <c r="N202" s="47" t="n"/>
      <c r="O202" s="47" t="n"/>
      <c r="Q202">
        <f>IF(AND(ISNUMBER($K202),$K202&gt;0),SUMPRODUCT(ISNUMBER($K$3:$K$502)*($K$3:$K$502&gt;0)*(ROW($K$3:$K$502)&lt;=ROW())),"")</f>
        <v/>
      </c>
    </row>
    <row r="203">
      <c r="A203" s="40" t="n"/>
      <c r="B203" s="43">
        <f>IFERROR(INDEX(الموظفون_الاسم,MATCH($A203,الموظفون_الرقم,0)),"")</f>
        <v/>
      </c>
      <c r="C203" s="110" t="n"/>
      <c r="D203" s="43">
        <f>IF($C203="","",IFERROR(INDEX(قائمة_أيام_الأسبوع,WEEKDAY($C203,1)),""))</f>
        <v/>
      </c>
      <c r="E203" s="114" t="n"/>
      <c r="F203" s="114" t="n"/>
      <c r="G203" s="115">
        <f>IF($A203="","",بداية_الدوام)</f>
        <v/>
      </c>
      <c r="H203" s="115">
        <f>IF($A203="","",نهاية_الدوام)</f>
        <v/>
      </c>
      <c r="I203" s="55">
        <f>IF($A203="","",مدة_الاستراحة/60)</f>
        <v/>
      </c>
      <c r="J203" s="55">
        <f>IF(OR($A203="",$E203="",$F203=""),"",IF(OR($N203="حاضر",$N203="دوام جزئي"),MAX(0,MOD($F203-$E203,1)*24-$I203),0))</f>
        <v/>
      </c>
      <c r="K203" s="55">
        <f>IF(OR($A203="",$E203=""),"",IF(AND(احتساب_التأخير="نعم",OR($N203="حاضر",$N203="دوام جزئي"),$E203&gt;$G203+دقائق_السماح/1440),($E203-$G203-دقائق_السماح/1440)*24,0))</f>
        <v/>
      </c>
      <c r="L203" s="55">
        <f>IF(OR($A203="",$F203=""),"",IF(AND(OR($N203="حاضر",$N203="دوام جزئي"),$F203&lt;$H203),($H203-$F203)*24,0))</f>
        <v/>
      </c>
      <c r="M203" s="55">
        <f>IF(OR($A203="",$F203=""),"",IF(AND(احتساب_العمل_الإضافي="نعم",OR($N203="حاضر",$N203="دوام جزئي"),$F203&gt;$H203,($F203-$H203)*24*60&gt;=حد_العمل_الإضافي_دقيقة),($F203-$H203)*24,0))</f>
        <v/>
      </c>
      <c r="N203" s="40" t="n"/>
      <c r="O203" s="40" t="n"/>
      <c r="Q203">
        <f>IF(AND(ISNUMBER($K203),$K203&gt;0),SUMPRODUCT(ISNUMBER($K$3:$K$502)*($K$3:$K$502&gt;0)*(ROW($K$3:$K$502)&lt;=ROW())),"")</f>
        <v/>
      </c>
    </row>
    <row r="204">
      <c r="A204" s="47" t="n"/>
      <c r="B204" s="50">
        <f>IFERROR(INDEX(الموظفون_الاسم,MATCH($A204,الموظفون_الرقم,0)),"")</f>
        <v/>
      </c>
      <c r="C204" s="112" t="n"/>
      <c r="D204" s="50">
        <f>IF($C204="","",IFERROR(INDEX(قائمة_أيام_الأسبوع,WEEKDAY($C204,1)),""))</f>
        <v/>
      </c>
      <c r="E204" s="116" t="n"/>
      <c r="F204" s="116" t="n"/>
      <c r="G204" s="117">
        <f>IF($A204="","",بداية_الدوام)</f>
        <v/>
      </c>
      <c r="H204" s="117">
        <f>IF($A204="","",نهاية_الدوام)</f>
        <v/>
      </c>
      <c r="I204" s="58">
        <f>IF($A204="","",مدة_الاستراحة/60)</f>
        <v/>
      </c>
      <c r="J204" s="58">
        <f>IF(OR($A204="",$E204="",$F204=""),"",IF(OR($N204="حاضر",$N204="دوام جزئي"),MAX(0,MOD($F204-$E204,1)*24-$I204),0))</f>
        <v/>
      </c>
      <c r="K204" s="58">
        <f>IF(OR($A204="",$E204=""),"",IF(AND(احتساب_التأخير="نعم",OR($N204="حاضر",$N204="دوام جزئي"),$E204&gt;$G204+دقائق_السماح/1440),($E204-$G204-دقائق_السماح/1440)*24,0))</f>
        <v/>
      </c>
      <c r="L204" s="58">
        <f>IF(OR($A204="",$F204=""),"",IF(AND(OR($N204="حاضر",$N204="دوام جزئي"),$F204&lt;$H204),($H204-$F204)*24,0))</f>
        <v/>
      </c>
      <c r="M204" s="58">
        <f>IF(OR($A204="",$F204=""),"",IF(AND(احتساب_العمل_الإضافي="نعم",OR($N204="حاضر",$N204="دوام جزئي"),$F204&gt;$H204,($F204-$H204)*24*60&gt;=حد_العمل_الإضافي_دقيقة),($F204-$H204)*24,0))</f>
        <v/>
      </c>
      <c r="N204" s="47" t="n"/>
      <c r="O204" s="47" t="n"/>
      <c r="Q204">
        <f>IF(AND(ISNUMBER($K204),$K204&gt;0),SUMPRODUCT(ISNUMBER($K$3:$K$502)*($K$3:$K$502&gt;0)*(ROW($K$3:$K$502)&lt;=ROW())),"")</f>
        <v/>
      </c>
    </row>
    <row r="205">
      <c r="A205" s="40" t="n"/>
      <c r="B205" s="43">
        <f>IFERROR(INDEX(الموظفون_الاسم,MATCH($A205,الموظفون_الرقم,0)),"")</f>
        <v/>
      </c>
      <c r="C205" s="110" t="n"/>
      <c r="D205" s="43">
        <f>IF($C205="","",IFERROR(INDEX(قائمة_أيام_الأسبوع,WEEKDAY($C205,1)),""))</f>
        <v/>
      </c>
      <c r="E205" s="114" t="n"/>
      <c r="F205" s="114" t="n"/>
      <c r="G205" s="115">
        <f>IF($A205="","",بداية_الدوام)</f>
        <v/>
      </c>
      <c r="H205" s="115">
        <f>IF($A205="","",نهاية_الدوام)</f>
        <v/>
      </c>
      <c r="I205" s="55">
        <f>IF($A205="","",مدة_الاستراحة/60)</f>
        <v/>
      </c>
      <c r="J205" s="55">
        <f>IF(OR($A205="",$E205="",$F205=""),"",IF(OR($N205="حاضر",$N205="دوام جزئي"),MAX(0,MOD($F205-$E205,1)*24-$I205),0))</f>
        <v/>
      </c>
      <c r="K205" s="55">
        <f>IF(OR($A205="",$E205=""),"",IF(AND(احتساب_التأخير="نعم",OR($N205="حاضر",$N205="دوام جزئي"),$E205&gt;$G205+دقائق_السماح/1440),($E205-$G205-دقائق_السماح/1440)*24,0))</f>
        <v/>
      </c>
      <c r="L205" s="55">
        <f>IF(OR($A205="",$F205=""),"",IF(AND(OR($N205="حاضر",$N205="دوام جزئي"),$F205&lt;$H205),($H205-$F205)*24,0))</f>
        <v/>
      </c>
      <c r="M205" s="55">
        <f>IF(OR($A205="",$F205=""),"",IF(AND(احتساب_العمل_الإضافي="نعم",OR($N205="حاضر",$N205="دوام جزئي"),$F205&gt;$H205,($F205-$H205)*24*60&gt;=حد_العمل_الإضافي_دقيقة),($F205-$H205)*24,0))</f>
        <v/>
      </c>
      <c r="N205" s="40" t="n"/>
      <c r="O205" s="40" t="n"/>
      <c r="Q205">
        <f>IF(AND(ISNUMBER($K205),$K205&gt;0),SUMPRODUCT(ISNUMBER($K$3:$K$502)*($K$3:$K$502&gt;0)*(ROW($K$3:$K$502)&lt;=ROW())),"")</f>
        <v/>
      </c>
    </row>
    <row r="206">
      <c r="A206" s="47" t="n"/>
      <c r="B206" s="50">
        <f>IFERROR(INDEX(الموظفون_الاسم,MATCH($A206,الموظفون_الرقم,0)),"")</f>
        <v/>
      </c>
      <c r="C206" s="112" t="n"/>
      <c r="D206" s="50">
        <f>IF($C206="","",IFERROR(INDEX(قائمة_أيام_الأسبوع,WEEKDAY($C206,1)),""))</f>
        <v/>
      </c>
      <c r="E206" s="116" t="n"/>
      <c r="F206" s="116" t="n"/>
      <c r="G206" s="117">
        <f>IF($A206="","",بداية_الدوام)</f>
        <v/>
      </c>
      <c r="H206" s="117">
        <f>IF($A206="","",نهاية_الدوام)</f>
        <v/>
      </c>
      <c r="I206" s="58">
        <f>IF($A206="","",مدة_الاستراحة/60)</f>
        <v/>
      </c>
      <c r="J206" s="58">
        <f>IF(OR($A206="",$E206="",$F206=""),"",IF(OR($N206="حاضر",$N206="دوام جزئي"),MAX(0,MOD($F206-$E206,1)*24-$I206),0))</f>
        <v/>
      </c>
      <c r="K206" s="58">
        <f>IF(OR($A206="",$E206=""),"",IF(AND(احتساب_التأخير="نعم",OR($N206="حاضر",$N206="دوام جزئي"),$E206&gt;$G206+دقائق_السماح/1440),($E206-$G206-دقائق_السماح/1440)*24,0))</f>
        <v/>
      </c>
      <c r="L206" s="58">
        <f>IF(OR($A206="",$F206=""),"",IF(AND(OR($N206="حاضر",$N206="دوام جزئي"),$F206&lt;$H206),($H206-$F206)*24,0))</f>
        <v/>
      </c>
      <c r="M206" s="58">
        <f>IF(OR($A206="",$F206=""),"",IF(AND(احتساب_العمل_الإضافي="نعم",OR($N206="حاضر",$N206="دوام جزئي"),$F206&gt;$H206,($F206-$H206)*24*60&gt;=حد_العمل_الإضافي_دقيقة),($F206-$H206)*24,0))</f>
        <v/>
      </c>
      <c r="N206" s="47" t="n"/>
      <c r="O206" s="47" t="n"/>
      <c r="Q206">
        <f>IF(AND(ISNUMBER($K206),$K206&gt;0),SUMPRODUCT(ISNUMBER($K$3:$K$502)*($K$3:$K$502&gt;0)*(ROW($K$3:$K$502)&lt;=ROW())),"")</f>
        <v/>
      </c>
    </row>
    <row r="207">
      <c r="A207" s="40" t="n"/>
      <c r="B207" s="43">
        <f>IFERROR(INDEX(الموظفون_الاسم,MATCH($A207,الموظفون_الرقم,0)),"")</f>
        <v/>
      </c>
      <c r="C207" s="110" t="n"/>
      <c r="D207" s="43">
        <f>IF($C207="","",IFERROR(INDEX(قائمة_أيام_الأسبوع,WEEKDAY($C207,1)),""))</f>
        <v/>
      </c>
      <c r="E207" s="114" t="n"/>
      <c r="F207" s="114" t="n"/>
      <c r="G207" s="115">
        <f>IF($A207="","",بداية_الدوام)</f>
        <v/>
      </c>
      <c r="H207" s="115">
        <f>IF($A207="","",نهاية_الدوام)</f>
        <v/>
      </c>
      <c r="I207" s="55">
        <f>IF($A207="","",مدة_الاستراحة/60)</f>
        <v/>
      </c>
      <c r="J207" s="55">
        <f>IF(OR($A207="",$E207="",$F207=""),"",IF(OR($N207="حاضر",$N207="دوام جزئي"),MAX(0,MOD($F207-$E207,1)*24-$I207),0))</f>
        <v/>
      </c>
      <c r="K207" s="55">
        <f>IF(OR($A207="",$E207=""),"",IF(AND(احتساب_التأخير="نعم",OR($N207="حاضر",$N207="دوام جزئي"),$E207&gt;$G207+دقائق_السماح/1440),($E207-$G207-دقائق_السماح/1440)*24,0))</f>
        <v/>
      </c>
      <c r="L207" s="55">
        <f>IF(OR($A207="",$F207=""),"",IF(AND(OR($N207="حاضر",$N207="دوام جزئي"),$F207&lt;$H207),($H207-$F207)*24,0))</f>
        <v/>
      </c>
      <c r="M207" s="55">
        <f>IF(OR($A207="",$F207=""),"",IF(AND(احتساب_العمل_الإضافي="نعم",OR($N207="حاضر",$N207="دوام جزئي"),$F207&gt;$H207,($F207-$H207)*24*60&gt;=حد_العمل_الإضافي_دقيقة),($F207-$H207)*24,0))</f>
        <v/>
      </c>
      <c r="N207" s="40" t="n"/>
      <c r="O207" s="40" t="n"/>
      <c r="Q207">
        <f>IF(AND(ISNUMBER($K207),$K207&gt;0),SUMPRODUCT(ISNUMBER($K$3:$K$502)*($K$3:$K$502&gt;0)*(ROW($K$3:$K$502)&lt;=ROW())),"")</f>
        <v/>
      </c>
    </row>
    <row r="208">
      <c r="A208" s="47" t="n"/>
      <c r="B208" s="50">
        <f>IFERROR(INDEX(الموظفون_الاسم,MATCH($A208,الموظفون_الرقم,0)),"")</f>
        <v/>
      </c>
      <c r="C208" s="112" t="n"/>
      <c r="D208" s="50">
        <f>IF($C208="","",IFERROR(INDEX(قائمة_أيام_الأسبوع,WEEKDAY($C208,1)),""))</f>
        <v/>
      </c>
      <c r="E208" s="116" t="n"/>
      <c r="F208" s="116" t="n"/>
      <c r="G208" s="117">
        <f>IF($A208="","",بداية_الدوام)</f>
        <v/>
      </c>
      <c r="H208" s="117">
        <f>IF($A208="","",نهاية_الدوام)</f>
        <v/>
      </c>
      <c r="I208" s="58">
        <f>IF($A208="","",مدة_الاستراحة/60)</f>
        <v/>
      </c>
      <c r="J208" s="58">
        <f>IF(OR($A208="",$E208="",$F208=""),"",IF(OR($N208="حاضر",$N208="دوام جزئي"),MAX(0,MOD($F208-$E208,1)*24-$I208),0))</f>
        <v/>
      </c>
      <c r="K208" s="58">
        <f>IF(OR($A208="",$E208=""),"",IF(AND(احتساب_التأخير="نعم",OR($N208="حاضر",$N208="دوام جزئي"),$E208&gt;$G208+دقائق_السماح/1440),($E208-$G208-دقائق_السماح/1440)*24,0))</f>
        <v/>
      </c>
      <c r="L208" s="58">
        <f>IF(OR($A208="",$F208=""),"",IF(AND(OR($N208="حاضر",$N208="دوام جزئي"),$F208&lt;$H208),($H208-$F208)*24,0))</f>
        <v/>
      </c>
      <c r="M208" s="58">
        <f>IF(OR($A208="",$F208=""),"",IF(AND(احتساب_العمل_الإضافي="نعم",OR($N208="حاضر",$N208="دوام جزئي"),$F208&gt;$H208,($F208-$H208)*24*60&gt;=حد_العمل_الإضافي_دقيقة),($F208-$H208)*24,0))</f>
        <v/>
      </c>
      <c r="N208" s="47" t="n"/>
      <c r="O208" s="47" t="n"/>
      <c r="Q208">
        <f>IF(AND(ISNUMBER($K208),$K208&gt;0),SUMPRODUCT(ISNUMBER($K$3:$K$502)*($K$3:$K$502&gt;0)*(ROW($K$3:$K$502)&lt;=ROW())),"")</f>
        <v/>
      </c>
    </row>
    <row r="209">
      <c r="A209" s="40" t="n"/>
      <c r="B209" s="43">
        <f>IFERROR(INDEX(الموظفون_الاسم,MATCH($A209,الموظفون_الرقم,0)),"")</f>
        <v/>
      </c>
      <c r="C209" s="110" t="n"/>
      <c r="D209" s="43">
        <f>IF($C209="","",IFERROR(INDEX(قائمة_أيام_الأسبوع,WEEKDAY($C209,1)),""))</f>
        <v/>
      </c>
      <c r="E209" s="114" t="n"/>
      <c r="F209" s="114" t="n"/>
      <c r="G209" s="115">
        <f>IF($A209="","",بداية_الدوام)</f>
        <v/>
      </c>
      <c r="H209" s="115">
        <f>IF($A209="","",نهاية_الدوام)</f>
        <v/>
      </c>
      <c r="I209" s="55">
        <f>IF($A209="","",مدة_الاستراحة/60)</f>
        <v/>
      </c>
      <c r="J209" s="55">
        <f>IF(OR($A209="",$E209="",$F209=""),"",IF(OR($N209="حاضر",$N209="دوام جزئي"),MAX(0,MOD($F209-$E209,1)*24-$I209),0))</f>
        <v/>
      </c>
      <c r="K209" s="55">
        <f>IF(OR($A209="",$E209=""),"",IF(AND(احتساب_التأخير="نعم",OR($N209="حاضر",$N209="دوام جزئي"),$E209&gt;$G209+دقائق_السماح/1440),($E209-$G209-دقائق_السماح/1440)*24,0))</f>
        <v/>
      </c>
      <c r="L209" s="55">
        <f>IF(OR($A209="",$F209=""),"",IF(AND(OR($N209="حاضر",$N209="دوام جزئي"),$F209&lt;$H209),($H209-$F209)*24,0))</f>
        <v/>
      </c>
      <c r="M209" s="55">
        <f>IF(OR($A209="",$F209=""),"",IF(AND(احتساب_العمل_الإضافي="نعم",OR($N209="حاضر",$N209="دوام جزئي"),$F209&gt;$H209,($F209-$H209)*24*60&gt;=حد_العمل_الإضافي_دقيقة),($F209-$H209)*24,0))</f>
        <v/>
      </c>
      <c r="N209" s="40" t="n"/>
      <c r="O209" s="40" t="n"/>
      <c r="Q209">
        <f>IF(AND(ISNUMBER($K209),$K209&gt;0),SUMPRODUCT(ISNUMBER($K$3:$K$502)*($K$3:$K$502&gt;0)*(ROW($K$3:$K$502)&lt;=ROW())),"")</f>
        <v/>
      </c>
    </row>
    <row r="210">
      <c r="A210" s="47" t="n"/>
      <c r="B210" s="50">
        <f>IFERROR(INDEX(الموظفون_الاسم,MATCH($A210,الموظفون_الرقم,0)),"")</f>
        <v/>
      </c>
      <c r="C210" s="112" t="n"/>
      <c r="D210" s="50">
        <f>IF($C210="","",IFERROR(INDEX(قائمة_أيام_الأسبوع,WEEKDAY($C210,1)),""))</f>
        <v/>
      </c>
      <c r="E210" s="116" t="n"/>
      <c r="F210" s="116" t="n"/>
      <c r="G210" s="117">
        <f>IF($A210="","",بداية_الدوام)</f>
        <v/>
      </c>
      <c r="H210" s="117">
        <f>IF($A210="","",نهاية_الدوام)</f>
        <v/>
      </c>
      <c r="I210" s="58">
        <f>IF($A210="","",مدة_الاستراحة/60)</f>
        <v/>
      </c>
      <c r="J210" s="58">
        <f>IF(OR($A210="",$E210="",$F210=""),"",IF(OR($N210="حاضر",$N210="دوام جزئي"),MAX(0,MOD($F210-$E210,1)*24-$I210),0))</f>
        <v/>
      </c>
      <c r="K210" s="58">
        <f>IF(OR($A210="",$E210=""),"",IF(AND(احتساب_التأخير="نعم",OR($N210="حاضر",$N210="دوام جزئي"),$E210&gt;$G210+دقائق_السماح/1440),($E210-$G210-دقائق_السماح/1440)*24,0))</f>
        <v/>
      </c>
      <c r="L210" s="58">
        <f>IF(OR($A210="",$F210=""),"",IF(AND(OR($N210="حاضر",$N210="دوام جزئي"),$F210&lt;$H210),($H210-$F210)*24,0))</f>
        <v/>
      </c>
      <c r="M210" s="58">
        <f>IF(OR($A210="",$F210=""),"",IF(AND(احتساب_العمل_الإضافي="نعم",OR($N210="حاضر",$N210="دوام جزئي"),$F210&gt;$H210,($F210-$H210)*24*60&gt;=حد_العمل_الإضافي_دقيقة),($F210-$H210)*24,0))</f>
        <v/>
      </c>
      <c r="N210" s="47" t="n"/>
      <c r="O210" s="47" t="n"/>
      <c r="Q210">
        <f>IF(AND(ISNUMBER($K210),$K210&gt;0),SUMPRODUCT(ISNUMBER($K$3:$K$502)*($K$3:$K$502&gt;0)*(ROW($K$3:$K$502)&lt;=ROW())),"")</f>
        <v/>
      </c>
    </row>
    <row r="211">
      <c r="A211" s="40" t="n"/>
      <c r="B211" s="43">
        <f>IFERROR(INDEX(الموظفون_الاسم,MATCH($A211,الموظفون_الرقم,0)),"")</f>
        <v/>
      </c>
      <c r="C211" s="110" t="n"/>
      <c r="D211" s="43">
        <f>IF($C211="","",IFERROR(INDEX(قائمة_أيام_الأسبوع,WEEKDAY($C211,1)),""))</f>
        <v/>
      </c>
      <c r="E211" s="114" t="n"/>
      <c r="F211" s="114" t="n"/>
      <c r="G211" s="115">
        <f>IF($A211="","",بداية_الدوام)</f>
        <v/>
      </c>
      <c r="H211" s="115">
        <f>IF($A211="","",نهاية_الدوام)</f>
        <v/>
      </c>
      <c r="I211" s="55">
        <f>IF($A211="","",مدة_الاستراحة/60)</f>
        <v/>
      </c>
      <c r="J211" s="55">
        <f>IF(OR($A211="",$E211="",$F211=""),"",IF(OR($N211="حاضر",$N211="دوام جزئي"),MAX(0,MOD($F211-$E211,1)*24-$I211),0))</f>
        <v/>
      </c>
      <c r="K211" s="55">
        <f>IF(OR($A211="",$E211=""),"",IF(AND(احتساب_التأخير="نعم",OR($N211="حاضر",$N211="دوام جزئي"),$E211&gt;$G211+دقائق_السماح/1440),($E211-$G211-دقائق_السماح/1440)*24,0))</f>
        <v/>
      </c>
      <c r="L211" s="55">
        <f>IF(OR($A211="",$F211=""),"",IF(AND(OR($N211="حاضر",$N211="دوام جزئي"),$F211&lt;$H211),($H211-$F211)*24,0))</f>
        <v/>
      </c>
      <c r="M211" s="55">
        <f>IF(OR($A211="",$F211=""),"",IF(AND(احتساب_العمل_الإضافي="نعم",OR($N211="حاضر",$N211="دوام جزئي"),$F211&gt;$H211,($F211-$H211)*24*60&gt;=حد_العمل_الإضافي_دقيقة),($F211-$H211)*24,0))</f>
        <v/>
      </c>
      <c r="N211" s="40" t="n"/>
      <c r="O211" s="40" t="n"/>
      <c r="Q211">
        <f>IF(AND(ISNUMBER($K211),$K211&gt;0),SUMPRODUCT(ISNUMBER($K$3:$K$502)*($K$3:$K$502&gt;0)*(ROW($K$3:$K$502)&lt;=ROW())),"")</f>
        <v/>
      </c>
    </row>
    <row r="212">
      <c r="A212" s="47" t="n"/>
      <c r="B212" s="50">
        <f>IFERROR(INDEX(الموظفون_الاسم,MATCH($A212,الموظفون_الرقم,0)),"")</f>
        <v/>
      </c>
      <c r="C212" s="112" t="n"/>
      <c r="D212" s="50">
        <f>IF($C212="","",IFERROR(INDEX(قائمة_أيام_الأسبوع,WEEKDAY($C212,1)),""))</f>
        <v/>
      </c>
      <c r="E212" s="116" t="n"/>
      <c r="F212" s="116" t="n"/>
      <c r="G212" s="117">
        <f>IF($A212="","",بداية_الدوام)</f>
        <v/>
      </c>
      <c r="H212" s="117">
        <f>IF($A212="","",نهاية_الدوام)</f>
        <v/>
      </c>
      <c r="I212" s="58">
        <f>IF($A212="","",مدة_الاستراحة/60)</f>
        <v/>
      </c>
      <c r="J212" s="58">
        <f>IF(OR($A212="",$E212="",$F212=""),"",IF(OR($N212="حاضر",$N212="دوام جزئي"),MAX(0,MOD($F212-$E212,1)*24-$I212),0))</f>
        <v/>
      </c>
      <c r="K212" s="58">
        <f>IF(OR($A212="",$E212=""),"",IF(AND(احتساب_التأخير="نعم",OR($N212="حاضر",$N212="دوام جزئي"),$E212&gt;$G212+دقائق_السماح/1440),($E212-$G212-دقائق_السماح/1440)*24,0))</f>
        <v/>
      </c>
      <c r="L212" s="58">
        <f>IF(OR($A212="",$F212=""),"",IF(AND(OR($N212="حاضر",$N212="دوام جزئي"),$F212&lt;$H212),($H212-$F212)*24,0))</f>
        <v/>
      </c>
      <c r="M212" s="58">
        <f>IF(OR($A212="",$F212=""),"",IF(AND(احتساب_العمل_الإضافي="نعم",OR($N212="حاضر",$N212="دوام جزئي"),$F212&gt;$H212,($F212-$H212)*24*60&gt;=حد_العمل_الإضافي_دقيقة),($F212-$H212)*24,0))</f>
        <v/>
      </c>
      <c r="N212" s="47" t="n"/>
      <c r="O212" s="47" t="n"/>
      <c r="Q212">
        <f>IF(AND(ISNUMBER($K212),$K212&gt;0),SUMPRODUCT(ISNUMBER($K$3:$K$502)*($K$3:$K$502&gt;0)*(ROW($K$3:$K$502)&lt;=ROW())),"")</f>
        <v/>
      </c>
    </row>
    <row r="213">
      <c r="A213" s="40" t="n"/>
      <c r="B213" s="43">
        <f>IFERROR(INDEX(الموظفون_الاسم,MATCH($A213,الموظفون_الرقم,0)),"")</f>
        <v/>
      </c>
      <c r="C213" s="110" t="n"/>
      <c r="D213" s="43">
        <f>IF($C213="","",IFERROR(INDEX(قائمة_أيام_الأسبوع,WEEKDAY($C213,1)),""))</f>
        <v/>
      </c>
      <c r="E213" s="114" t="n"/>
      <c r="F213" s="114" t="n"/>
      <c r="G213" s="115">
        <f>IF($A213="","",بداية_الدوام)</f>
        <v/>
      </c>
      <c r="H213" s="115">
        <f>IF($A213="","",نهاية_الدوام)</f>
        <v/>
      </c>
      <c r="I213" s="55">
        <f>IF($A213="","",مدة_الاستراحة/60)</f>
        <v/>
      </c>
      <c r="J213" s="55">
        <f>IF(OR($A213="",$E213="",$F213=""),"",IF(OR($N213="حاضر",$N213="دوام جزئي"),MAX(0,MOD($F213-$E213,1)*24-$I213),0))</f>
        <v/>
      </c>
      <c r="K213" s="55">
        <f>IF(OR($A213="",$E213=""),"",IF(AND(احتساب_التأخير="نعم",OR($N213="حاضر",$N213="دوام جزئي"),$E213&gt;$G213+دقائق_السماح/1440),($E213-$G213-دقائق_السماح/1440)*24,0))</f>
        <v/>
      </c>
      <c r="L213" s="55">
        <f>IF(OR($A213="",$F213=""),"",IF(AND(OR($N213="حاضر",$N213="دوام جزئي"),$F213&lt;$H213),($H213-$F213)*24,0))</f>
        <v/>
      </c>
      <c r="M213" s="55">
        <f>IF(OR($A213="",$F213=""),"",IF(AND(احتساب_العمل_الإضافي="نعم",OR($N213="حاضر",$N213="دوام جزئي"),$F213&gt;$H213,($F213-$H213)*24*60&gt;=حد_العمل_الإضافي_دقيقة),($F213-$H213)*24,0))</f>
        <v/>
      </c>
      <c r="N213" s="40" t="n"/>
      <c r="O213" s="40" t="n"/>
      <c r="Q213">
        <f>IF(AND(ISNUMBER($K213),$K213&gt;0),SUMPRODUCT(ISNUMBER($K$3:$K$502)*($K$3:$K$502&gt;0)*(ROW($K$3:$K$502)&lt;=ROW())),"")</f>
        <v/>
      </c>
    </row>
    <row r="214">
      <c r="A214" s="47" t="n"/>
      <c r="B214" s="50">
        <f>IFERROR(INDEX(الموظفون_الاسم,MATCH($A214,الموظفون_الرقم,0)),"")</f>
        <v/>
      </c>
      <c r="C214" s="112" t="n"/>
      <c r="D214" s="50">
        <f>IF($C214="","",IFERROR(INDEX(قائمة_أيام_الأسبوع,WEEKDAY($C214,1)),""))</f>
        <v/>
      </c>
      <c r="E214" s="116" t="n"/>
      <c r="F214" s="116" t="n"/>
      <c r="G214" s="117">
        <f>IF($A214="","",بداية_الدوام)</f>
        <v/>
      </c>
      <c r="H214" s="117">
        <f>IF($A214="","",نهاية_الدوام)</f>
        <v/>
      </c>
      <c r="I214" s="58">
        <f>IF($A214="","",مدة_الاستراحة/60)</f>
        <v/>
      </c>
      <c r="J214" s="58">
        <f>IF(OR($A214="",$E214="",$F214=""),"",IF(OR($N214="حاضر",$N214="دوام جزئي"),MAX(0,MOD($F214-$E214,1)*24-$I214),0))</f>
        <v/>
      </c>
      <c r="K214" s="58">
        <f>IF(OR($A214="",$E214=""),"",IF(AND(احتساب_التأخير="نعم",OR($N214="حاضر",$N214="دوام جزئي"),$E214&gt;$G214+دقائق_السماح/1440),($E214-$G214-دقائق_السماح/1440)*24,0))</f>
        <v/>
      </c>
      <c r="L214" s="58">
        <f>IF(OR($A214="",$F214=""),"",IF(AND(OR($N214="حاضر",$N214="دوام جزئي"),$F214&lt;$H214),($H214-$F214)*24,0))</f>
        <v/>
      </c>
      <c r="M214" s="58">
        <f>IF(OR($A214="",$F214=""),"",IF(AND(احتساب_العمل_الإضافي="نعم",OR($N214="حاضر",$N214="دوام جزئي"),$F214&gt;$H214,($F214-$H214)*24*60&gt;=حد_العمل_الإضافي_دقيقة),($F214-$H214)*24,0))</f>
        <v/>
      </c>
      <c r="N214" s="47" t="n"/>
      <c r="O214" s="47" t="n"/>
      <c r="Q214">
        <f>IF(AND(ISNUMBER($K214),$K214&gt;0),SUMPRODUCT(ISNUMBER($K$3:$K$502)*($K$3:$K$502&gt;0)*(ROW($K$3:$K$502)&lt;=ROW())),"")</f>
        <v/>
      </c>
    </row>
    <row r="215">
      <c r="A215" s="40" t="n"/>
      <c r="B215" s="43">
        <f>IFERROR(INDEX(الموظفون_الاسم,MATCH($A215,الموظفون_الرقم,0)),"")</f>
        <v/>
      </c>
      <c r="C215" s="110" t="n"/>
      <c r="D215" s="43">
        <f>IF($C215="","",IFERROR(INDEX(قائمة_أيام_الأسبوع,WEEKDAY($C215,1)),""))</f>
        <v/>
      </c>
      <c r="E215" s="114" t="n"/>
      <c r="F215" s="114" t="n"/>
      <c r="G215" s="115">
        <f>IF($A215="","",بداية_الدوام)</f>
        <v/>
      </c>
      <c r="H215" s="115">
        <f>IF($A215="","",نهاية_الدوام)</f>
        <v/>
      </c>
      <c r="I215" s="55">
        <f>IF($A215="","",مدة_الاستراحة/60)</f>
        <v/>
      </c>
      <c r="J215" s="55">
        <f>IF(OR($A215="",$E215="",$F215=""),"",IF(OR($N215="حاضر",$N215="دوام جزئي"),MAX(0,MOD($F215-$E215,1)*24-$I215),0))</f>
        <v/>
      </c>
      <c r="K215" s="55">
        <f>IF(OR($A215="",$E215=""),"",IF(AND(احتساب_التأخير="نعم",OR($N215="حاضر",$N215="دوام جزئي"),$E215&gt;$G215+دقائق_السماح/1440),($E215-$G215-دقائق_السماح/1440)*24,0))</f>
        <v/>
      </c>
      <c r="L215" s="55">
        <f>IF(OR($A215="",$F215=""),"",IF(AND(OR($N215="حاضر",$N215="دوام جزئي"),$F215&lt;$H215),($H215-$F215)*24,0))</f>
        <v/>
      </c>
      <c r="M215" s="55">
        <f>IF(OR($A215="",$F215=""),"",IF(AND(احتساب_العمل_الإضافي="نعم",OR($N215="حاضر",$N215="دوام جزئي"),$F215&gt;$H215,($F215-$H215)*24*60&gt;=حد_العمل_الإضافي_دقيقة),($F215-$H215)*24,0))</f>
        <v/>
      </c>
      <c r="N215" s="40" t="n"/>
      <c r="O215" s="40" t="n"/>
      <c r="Q215">
        <f>IF(AND(ISNUMBER($K215),$K215&gt;0),SUMPRODUCT(ISNUMBER($K$3:$K$502)*($K$3:$K$502&gt;0)*(ROW($K$3:$K$502)&lt;=ROW())),"")</f>
        <v/>
      </c>
    </row>
    <row r="216">
      <c r="A216" s="47" t="n"/>
      <c r="B216" s="50">
        <f>IFERROR(INDEX(الموظفون_الاسم,MATCH($A216,الموظفون_الرقم,0)),"")</f>
        <v/>
      </c>
      <c r="C216" s="112" t="n"/>
      <c r="D216" s="50">
        <f>IF($C216="","",IFERROR(INDEX(قائمة_أيام_الأسبوع,WEEKDAY($C216,1)),""))</f>
        <v/>
      </c>
      <c r="E216" s="116" t="n"/>
      <c r="F216" s="116" t="n"/>
      <c r="G216" s="117">
        <f>IF($A216="","",بداية_الدوام)</f>
        <v/>
      </c>
      <c r="H216" s="117">
        <f>IF($A216="","",نهاية_الدوام)</f>
        <v/>
      </c>
      <c r="I216" s="58">
        <f>IF($A216="","",مدة_الاستراحة/60)</f>
        <v/>
      </c>
      <c r="J216" s="58">
        <f>IF(OR($A216="",$E216="",$F216=""),"",IF(OR($N216="حاضر",$N216="دوام جزئي"),MAX(0,MOD($F216-$E216,1)*24-$I216),0))</f>
        <v/>
      </c>
      <c r="K216" s="58">
        <f>IF(OR($A216="",$E216=""),"",IF(AND(احتساب_التأخير="نعم",OR($N216="حاضر",$N216="دوام جزئي"),$E216&gt;$G216+دقائق_السماح/1440),($E216-$G216-دقائق_السماح/1440)*24,0))</f>
        <v/>
      </c>
      <c r="L216" s="58">
        <f>IF(OR($A216="",$F216=""),"",IF(AND(OR($N216="حاضر",$N216="دوام جزئي"),$F216&lt;$H216),($H216-$F216)*24,0))</f>
        <v/>
      </c>
      <c r="M216" s="58">
        <f>IF(OR($A216="",$F216=""),"",IF(AND(احتساب_العمل_الإضافي="نعم",OR($N216="حاضر",$N216="دوام جزئي"),$F216&gt;$H216,($F216-$H216)*24*60&gt;=حد_العمل_الإضافي_دقيقة),($F216-$H216)*24,0))</f>
        <v/>
      </c>
      <c r="N216" s="47" t="n"/>
      <c r="O216" s="47" t="n"/>
      <c r="Q216">
        <f>IF(AND(ISNUMBER($K216),$K216&gt;0),SUMPRODUCT(ISNUMBER($K$3:$K$502)*($K$3:$K$502&gt;0)*(ROW($K$3:$K$502)&lt;=ROW())),"")</f>
        <v/>
      </c>
    </row>
    <row r="217">
      <c r="A217" s="40" t="n"/>
      <c r="B217" s="43">
        <f>IFERROR(INDEX(الموظفون_الاسم,MATCH($A217,الموظفون_الرقم,0)),"")</f>
        <v/>
      </c>
      <c r="C217" s="110" t="n"/>
      <c r="D217" s="43">
        <f>IF($C217="","",IFERROR(INDEX(قائمة_أيام_الأسبوع,WEEKDAY($C217,1)),""))</f>
        <v/>
      </c>
      <c r="E217" s="114" t="n"/>
      <c r="F217" s="114" t="n"/>
      <c r="G217" s="115">
        <f>IF($A217="","",بداية_الدوام)</f>
        <v/>
      </c>
      <c r="H217" s="115">
        <f>IF($A217="","",نهاية_الدوام)</f>
        <v/>
      </c>
      <c r="I217" s="55">
        <f>IF($A217="","",مدة_الاستراحة/60)</f>
        <v/>
      </c>
      <c r="J217" s="55">
        <f>IF(OR($A217="",$E217="",$F217=""),"",IF(OR($N217="حاضر",$N217="دوام جزئي"),MAX(0,MOD($F217-$E217,1)*24-$I217),0))</f>
        <v/>
      </c>
      <c r="K217" s="55">
        <f>IF(OR($A217="",$E217=""),"",IF(AND(احتساب_التأخير="نعم",OR($N217="حاضر",$N217="دوام جزئي"),$E217&gt;$G217+دقائق_السماح/1440),($E217-$G217-دقائق_السماح/1440)*24,0))</f>
        <v/>
      </c>
      <c r="L217" s="55">
        <f>IF(OR($A217="",$F217=""),"",IF(AND(OR($N217="حاضر",$N217="دوام جزئي"),$F217&lt;$H217),($H217-$F217)*24,0))</f>
        <v/>
      </c>
      <c r="M217" s="55">
        <f>IF(OR($A217="",$F217=""),"",IF(AND(احتساب_العمل_الإضافي="نعم",OR($N217="حاضر",$N217="دوام جزئي"),$F217&gt;$H217,($F217-$H217)*24*60&gt;=حد_العمل_الإضافي_دقيقة),($F217-$H217)*24,0))</f>
        <v/>
      </c>
      <c r="N217" s="40" t="n"/>
      <c r="O217" s="40" t="n"/>
      <c r="Q217">
        <f>IF(AND(ISNUMBER($K217),$K217&gt;0),SUMPRODUCT(ISNUMBER($K$3:$K$502)*($K$3:$K$502&gt;0)*(ROW($K$3:$K$502)&lt;=ROW())),"")</f>
        <v/>
      </c>
    </row>
    <row r="218">
      <c r="A218" s="47" t="n"/>
      <c r="B218" s="50">
        <f>IFERROR(INDEX(الموظفون_الاسم,MATCH($A218,الموظفون_الرقم,0)),"")</f>
        <v/>
      </c>
      <c r="C218" s="112" t="n"/>
      <c r="D218" s="50">
        <f>IF($C218="","",IFERROR(INDEX(قائمة_أيام_الأسبوع,WEEKDAY($C218,1)),""))</f>
        <v/>
      </c>
      <c r="E218" s="116" t="n"/>
      <c r="F218" s="116" t="n"/>
      <c r="G218" s="117">
        <f>IF($A218="","",بداية_الدوام)</f>
        <v/>
      </c>
      <c r="H218" s="117">
        <f>IF($A218="","",نهاية_الدوام)</f>
        <v/>
      </c>
      <c r="I218" s="58">
        <f>IF($A218="","",مدة_الاستراحة/60)</f>
        <v/>
      </c>
      <c r="J218" s="58">
        <f>IF(OR($A218="",$E218="",$F218=""),"",IF(OR($N218="حاضر",$N218="دوام جزئي"),MAX(0,MOD($F218-$E218,1)*24-$I218),0))</f>
        <v/>
      </c>
      <c r="K218" s="58">
        <f>IF(OR($A218="",$E218=""),"",IF(AND(احتساب_التأخير="نعم",OR($N218="حاضر",$N218="دوام جزئي"),$E218&gt;$G218+دقائق_السماح/1440),($E218-$G218-دقائق_السماح/1440)*24,0))</f>
        <v/>
      </c>
      <c r="L218" s="58">
        <f>IF(OR($A218="",$F218=""),"",IF(AND(OR($N218="حاضر",$N218="دوام جزئي"),$F218&lt;$H218),($H218-$F218)*24,0))</f>
        <v/>
      </c>
      <c r="M218" s="58">
        <f>IF(OR($A218="",$F218=""),"",IF(AND(احتساب_العمل_الإضافي="نعم",OR($N218="حاضر",$N218="دوام جزئي"),$F218&gt;$H218,($F218-$H218)*24*60&gt;=حد_العمل_الإضافي_دقيقة),($F218-$H218)*24,0))</f>
        <v/>
      </c>
      <c r="N218" s="47" t="n"/>
      <c r="O218" s="47" t="n"/>
      <c r="Q218">
        <f>IF(AND(ISNUMBER($K218),$K218&gt;0),SUMPRODUCT(ISNUMBER($K$3:$K$502)*($K$3:$K$502&gt;0)*(ROW($K$3:$K$502)&lt;=ROW())),"")</f>
        <v/>
      </c>
    </row>
    <row r="219">
      <c r="A219" s="40" t="n"/>
      <c r="B219" s="43">
        <f>IFERROR(INDEX(الموظفون_الاسم,MATCH($A219,الموظفون_الرقم,0)),"")</f>
        <v/>
      </c>
      <c r="C219" s="110" t="n"/>
      <c r="D219" s="43">
        <f>IF($C219="","",IFERROR(INDEX(قائمة_أيام_الأسبوع,WEEKDAY($C219,1)),""))</f>
        <v/>
      </c>
      <c r="E219" s="114" t="n"/>
      <c r="F219" s="114" t="n"/>
      <c r="G219" s="115">
        <f>IF($A219="","",بداية_الدوام)</f>
        <v/>
      </c>
      <c r="H219" s="115">
        <f>IF($A219="","",نهاية_الدوام)</f>
        <v/>
      </c>
      <c r="I219" s="55">
        <f>IF($A219="","",مدة_الاستراحة/60)</f>
        <v/>
      </c>
      <c r="J219" s="55">
        <f>IF(OR($A219="",$E219="",$F219=""),"",IF(OR($N219="حاضر",$N219="دوام جزئي"),MAX(0,MOD($F219-$E219,1)*24-$I219),0))</f>
        <v/>
      </c>
      <c r="K219" s="55">
        <f>IF(OR($A219="",$E219=""),"",IF(AND(احتساب_التأخير="نعم",OR($N219="حاضر",$N219="دوام جزئي"),$E219&gt;$G219+دقائق_السماح/1440),($E219-$G219-دقائق_السماح/1440)*24,0))</f>
        <v/>
      </c>
      <c r="L219" s="55">
        <f>IF(OR($A219="",$F219=""),"",IF(AND(OR($N219="حاضر",$N219="دوام جزئي"),$F219&lt;$H219),($H219-$F219)*24,0))</f>
        <v/>
      </c>
      <c r="M219" s="55">
        <f>IF(OR($A219="",$F219=""),"",IF(AND(احتساب_العمل_الإضافي="نعم",OR($N219="حاضر",$N219="دوام جزئي"),$F219&gt;$H219,($F219-$H219)*24*60&gt;=حد_العمل_الإضافي_دقيقة),($F219-$H219)*24,0))</f>
        <v/>
      </c>
      <c r="N219" s="40" t="n"/>
      <c r="O219" s="40" t="n"/>
      <c r="Q219">
        <f>IF(AND(ISNUMBER($K219),$K219&gt;0),SUMPRODUCT(ISNUMBER($K$3:$K$502)*($K$3:$K$502&gt;0)*(ROW($K$3:$K$502)&lt;=ROW())),"")</f>
        <v/>
      </c>
    </row>
    <row r="220">
      <c r="A220" s="47" t="n"/>
      <c r="B220" s="50">
        <f>IFERROR(INDEX(الموظفون_الاسم,MATCH($A220,الموظفون_الرقم,0)),"")</f>
        <v/>
      </c>
      <c r="C220" s="112" t="n"/>
      <c r="D220" s="50">
        <f>IF($C220="","",IFERROR(INDEX(قائمة_أيام_الأسبوع,WEEKDAY($C220,1)),""))</f>
        <v/>
      </c>
      <c r="E220" s="116" t="n"/>
      <c r="F220" s="116" t="n"/>
      <c r="G220" s="117">
        <f>IF($A220="","",بداية_الدوام)</f>
        <v/>
      </c>
      <c r="H220" s="117">
        <f>IF($A220="","",نهاية_الدوام)</f>
        <v/>
      </c>
      <c r="I220" s="58">
        <f>IF($A220="","",مدة_الاستراحة/60)</f>
        <v/>
      </c>
      <c r="J220" s="58">
        <f>IF(OR($A220="",$E220="",$F220=""),"",IF(OR($N220="حاضر",$N220="دوام جزئي"),MAX(0,MOD($F220-$E220,1)*24-$I220),0))</f>
        <v/>
      </c>
      <c r="K220" s="58">
        <f>IF(OR($A220="",$E220=""),"",IF(AND(احتساب_التأخير="نعم",OR($N220="حاضر",$N220="دوام جزئي"),$E220&gt;$G220+دقائق_السماح/1440),($E220-$G220-دقائق_السماح/1440)*24,0))</f>
        <v/>
      </c>
      <c r="L220" s="58">
        <f>IF(OR($A220="",$F220=""),"",IF(AND(OR($N220="حاضر",$N220="دوام جزئي"),$F220&lt;$H220),($H220-$F220)*24,0))</f>
        <v/>
      </c>
      <c r="M220" s="58">
        <f>IF(OR($A220="",$F220=""),"",IF(AND(احتساب_العمل_الإضافي="نعم",OR($N220="حاضر",$N220="دوام جزئي"),$F220&gt;$H220,($F220-$H220)*24*60&gt;=حد_العمل_الإضافي_دقيقة),($F220-$H220)*24,0))</f>
        <v/>
      </c>
      <c r="N220" s="47" t="n"/>
      <c r="O220" s="47" t="n"/>
      <c r="Q220">
        <f>IF(AND(ISNUMBER($K220),$K220&gt;0),SUMPRODUCT(ISNUMBER($K$3:$K$502)*($K$3:$K$502&gt;0)*(ROW($K$3:$K$502)&lt;=ROW())),"")</f>
        <v/>
      </c>
    </row>
    <row r="221">
      <c r="A221" s="40" t="n"/>
      <c r="B221" s="43">
        <f>IFERROR(INDEX(الموظفون_الاسم,MATCH($A221,الموظفون_الرقم,0)),"")</f>
        <v/>
      </c>
      <c r="C221" s="110" t="n"/>
      <c r="D221" s="43">
        <f>IF($C221="","",IFERROR(INDEX(قائمة_أيام_الأسبوع,WEEKDAY($C221,1)),""))</f>
        <v/>
      </c>
      <c r="E221" s="114" t="n"/>
      <c r="F221" s="114" t="n"/>
      <c r="G221" s="115">
        <f>IF($A221="","",بداية_الدوام)</f>
        <v/>
      </c>
      <c r="H221" s="115">
        <f>IF($A221="","",نهاية_الدوام)</f>
        <v/>
      </c>
      <c r="I221" s="55">
        <f>IF($A221="","",مدة_الاستراحة/60)</f>
        <v/>
      </c>
      <c r="J221" s="55">
        <f>IF(OR($A221="",$E221="",$F221=""),"",IF(OR($N221="حاضر",$N221="دوام جزئي"),MAX(0,MOD($F221-$E221,1)*24-$I221),0))</f>
        <v/>
      </c>
      <c r="K221" s="55">
        <f>IF(OR($A221="",$E221=""),"",IF(AND(احتساب_التأخير="نعم",OR($N221="حاضر",$N221="دوام جزئي"),$E221&gt;$G221+دقائق_السماح/1440),($E221-$G221-دقائق_السماح/1440)*24,0))</f>
        <v/>
      </c>
      <c r="L221" s="55">
        <f>IF(OR($A221="",$F221=""),"",IF(AND(OR($N221="حاضر",$N221="دوام جزئي"),$F221&lt;$H221),($H221-$F221)*24,0))</f>
        <v/>
      </c>
      <c r="M221" s="55">
        <f>IF(OR($A221="",$F221=""),"",IF(AND(احتساب_العمل_الإضافي="نعم",OR($N221="حاضر",$N221="دوام جزئي"),$F221&gt;$H221,($F221-$H221)*24*60&gt;=حد_العمل_الإضافي_دقيقة),($F221-$H221)*24,0))</f>
        <v/>
      </c>
      <c r="N221" s="40" t="n"/>
      <c r="O221" s="40" t="n"/>
      <c r="Q221">
        <f>IF(AND(ISNUMBER($K221),$K221&gt;0),SUMPRODUCT(ISNUMBER($K$3:$K$502)*($K$3:$K$502&gt;0)*(ROW($K$3:$K$502)&lt;=ROW())),"")</f>
        <v/>
      </c>
    </row>
    <row r="222">
      <c r="A222" s="47" t="n"/>
      <c r="B222" s="50">
        <f>IFERROR(INDEX(الموظفون_الاسم,MATCH($A222,الموظفون_الرقم,0)),"")</f>
        <v/>
      </c>
      <c r="C222" s="112" t="n"/>
      <c r="D222" s="50">
        <f>IF($C222="","",IFERROR(INDEX(قائمة_أيام_الأسبوع,WEEKDAY($C222,1)),""))</f>
        <v/>
      </c>
      <c r="E222" s="116" t="n"/>
      <c r="F222" s="116" t="n"/>
      <c r="G222" s="117">
        <f>IF($A222="","",بداية_الدوام)</f>
        <v/>
      </c>
      <c r="H222" s="117">
        <f>IF($A222="","",نهاية_الدوام)</f>
        <v/>
      </c>
      <c r="I222" s="58">
        <f>IF($A222="","",مدة_الاستراحة/60)</f>
        <v/>
      </c>
      <c r="J222" s="58">
        <f>IF(OR($A222="",$E222="",$F222=""),"",IF(OR($N222="حاضر",$N222="دوام جزئي"),MAX(0,MOD($F222-$E222,1)*24-$I222),0))</f>
        <v/>
      </c>
      <c r="K222" s="58">
        <f>IF(OR($A222="",$E222=""),"",IF(AND(احتساب_التأخير="نعم",OR($N222="حاضر",$N222="دوام جزئي"),$E222&gt;$G222+دقائق_السماح/1440),($E222-$G222-دقائق_السماح/1440)*24,0))</f>
        <v/>
      </c>
      <c r="L222" s="58">
        <f>IF(OR($A222="",$F222=""),"",IF(AND(OR($N222="حاضر",$N222="دوام جزئي"),$F222&lt;$H222),($H222-$F222)*24,0))</f>
        <v/>
      </c>
      <c r="M222" s="58">
        <f>IF(OR($A222="",$F222=""),"",IF(AND(احتساب_العمل_الإضافي="نعم",OR($N222="حاضر",$N222="دوام جزئي"),$F222&gt;$H222,($F222-$H222)*24*60&gt;=حد_العمل_الإضافي_دقيقة),($F222-$H222)*24,0))</f>
        <v/>
      </c>
      <c r="N222" s="47" t="n"/>
      <c r="O222" s="47" t="n"/>
      <c r="Q222">
        <f>IF(AND(ISNUMBER($K222),$K222&gt;0),SUMPRODUCT(ISNUMBER($K$3:$K$502)*($K$3:$K$502&gt;0)*(ROW($K$3:$K$502)&lt;=ROW())),"")</f>
        <v/>
      </c>
    </row>
    <row r="223">
      <c r="A223" s="40" t="n"/>
      <c r="B223" s="43">
        <f>IFERROR(INDEX(الموظفون_الاسم,MATCH($A223,الموظفون_الرقم,0)),"")</f>
        <v/>
      </c>
      <c r="C223" s="110" t="n"/>
      <c r="D223" s="43">
        <f>IF($C223="","",IFERROR(INDEX(قائمة_أيام_الأسبوع,WEEKDAY($C223,1)),""))</f>
        <v/>
      </c>
      <c r="E223" s="114" t="n"/>
      <c r="F223" s="114" t="n"/>
      <c r="G223" s="115">
        <f>IF($A223="","",بداية_الدوام)</f>
        <v/>
      </c>
      <c r="H223" s="115">
        <f>IF($A223="","",نهاية_الدوام)</f>
        <v/>
      </c>
      <c r="I223" s="55">
        <f>IF($A223="","",مدة_الاستراحة/60)</f>
        <v/>
      </c>
      <c r="J223" s="55">
        <f>IF(OR($A223="",$E223="",$F223=""),"",IF(OR($N223="حاضر",$N223="دوام جزئي"),MAX(0,MOD($F223-$E223,1)*24-$I223),0))</f>
        <v/>
      </c>
      <c r="K223" s="55">
        <f>IF(OR($A223="",$E223=""),"",IF(AND(احتساب_التأخير="نعم",OR($N223="حاضر",$N223="دوام جزئي"),$E223&gt;$G223+دقائق_السماح/1440),($E223-$G223-دقائق_السماح/1440)*24,0))</f>
        <v/>
      </c>
      <c r="L223" s="55">
        <f>IF(OR($A223="",$F223=""),"",IF(AND(OR($N223="حاضر",$N223="دوام جزئي"),$F223&lt;$H223),($H223-$F223)*24,0))</f>
        <v/>
      </c>
      <c r="M223" s="55">
        <f>IF(OR($A223="",$F223=""),"",IF(AND(احتساب_العمل_الإضافي="نعم",OR($N223="حاضر",$N223="دوام جزئي"),$F223&gt;$H223,($F223-$H223)*24*60&gt;=حد_العمل_الإضافي_دقيقة),($F223-$H223)*24,0))</f>
        <v/>
      </c>
      <c r="N223" s="40" t="n"/>
      <c r="O223" s="40" t="n"/>
      <c r="Q223">
        <f>IF(AND(ISNUMBER($K223),$K223&gt;0),SUMPRODUCT(ISNUMBER($K$3:$K$502)*($K$3:$K$502&gt;0)*(ROW($K$3:$K$502)&lt;=ROW())),"")</f>
        <v/>
      </c>
    </row>
    <row r="224">
      <c r="A224" s="47" t="n"/>
      <c r="B224" s="50">
        <f>IFERROR(INDEX(الموظفون_الاسم,MATCH($A224,الموظفون_الرقم,0)),"")</f>
        <v/>
      </c>
      <c r="C224" s="112" t="n"/>
      <c r="D224" s="50">
        <f>IF($C224="","",IFERROR(INDEX(قائمة_أيام_الأسبوع,WEEKDAY($C224,1)),""))</f>
        <v/>
      </c>
      <c r="E224" s="116" t="n"/>
      <c r="F224" s="116" t="n"/>
      <c r="G224" s="117">
        <f>IF($A224="","",بداية_الدوام)</f>
        <v/>
      </c>
      <c r="H224" s="117">
        <f>IF($A224="","",نهاية_الدوام)</f>
        <v/>
      </c>
      <c r="I224" s="58">
        <f>IF($A224="","",مدة_الاستراحة/60)</f>
        <v/>
      </c>
      <c r="J224" s="58">
        <f>IF(OR($A224="",$E224="",$F224=""),"",IF(OR($N224="حاضر",$N224="دوام جزئي"),MAX(0,MOD($F224-$E224,1)*24-$I224),0))</f>
        <v/>
      </c>
      <c r="K224" s="58">
        <f>IF(OR($A224="",$E224=""),"",IF(AND(احتساب_التأخير="نعم",OR($N224="حاضر",$N224="دوام جزئي"),$E224&gt;$G224+دقائق_السماح/1440),($E224-$G224-دقائق_السماح/1440)*24,0))</f>
        <v/>
      </c>
      <c r="L224" s="58">
        <f>IF(OR($A224="",$F224=""),"",IF(AND(OR($N224="حاضر",$N224="دوام جزئي"),$F224&lt;$H224),($H224-$F224)*24,0))</f>
        <v/>
      </c>
      <c r="M224" s="58">
        <f>IF(OR($A224="",$F224=""),"",IF(AND(احتساب_العمل_الإضافي="نعم",OR($N224="حاضر",$N224="دوام جزئي"),$F224&gt;$H224,($F224-$H224)*24*60&gt;=حد_العمل_الإضافي_دقيقة),($F224-$H224)*24,0))</f>
        <v/>
      </c>
      <c r="N224" s="47" t="n"/>
      <c r="O224" s="47" t="n"/>
      <c r="Q224">
        <f>IF(AND(ISNUMBER($K224),$K224&gt;0),SUMPRODUCT(ISNUMBER($K$3:$K$502)*($K$3:$K$502&gt;0)*(ROW($K$3:$K$502)&lt;=ROW())),"")</f>
        <v/>
      </c>
    </row>
    <row r="225">
      <c r="A225" s="40" t="n"/>
      <c r="B225" s="43">
        <f>IFERROR(INDEX(الموظفون_الاسم,MATCH($A225,الموظفون_الرقم,0)),"")</f>
        <v/>
      </c>
      <c r="C225" s="110" t="n"/>
      <c r="D225" s="43">
        <f>IF($C225="","",IFERROR(INDEX(قائمة_أيام_الأسبوع,WEEKDAY($C225,1)),""))</f>
        <v/>
      </c>
      <c r="E225" s="114" t="n"/>
      <c r="F225" s="114" t="n"/>
      <c r="G225" s="115">
        <f>IF($A225="","",بداية_الدوام)</f>
        <v/>
      </c>
      <c r="H225" s="115">
        <f>IF($A225="","",نهاية_الدوام)</f>
        <v/>
      </c>
      <c r="I225" s="55">
        <f>IF($A225="","",مدة_الاستراحة/60)</f>
        <v/>
      </c>
      <c r="J225" s="55">
        <f>IF(OR($A225="",$E225="",$F225=""),"",IF(OR($N225="حاضر",$N225="دوام جزئي"),MAX(0,MOD($F225-$E225,1)*24-$I225),0))</f>
        <v/>
      </c>
      <c r="K225" s="55">
        <f>IF(OR($A225="",$E225=""),"",IF(AND(احتساب_التأخير="نعم",OR($N225="حاضر",$N225="دوام جزئي"),$E225&gt;$G225+دقائق_السماح/1440),($E225-$G225-دقائق_السماح/1440)*24,0))</f>
        <v/>
      </c>
      <c r="L225" s="55">
        <f>IF(OR($A225="",$F225=""),"",IF(AND(OR($N225="حاضر",$N225="دوام جزئي"),$F225&lt;$H225),($H225-$F225)*24,0))</f>
        <v/>
      </c>
      <c r="M225" s="55">
        <f>IF(OR($A225="",$F225=""),"",IF(AND(احتساب_العمل_الإضافي="نعم",OR($N225="حاضر",$N225="دوام جزئي"),$F225&gt;$H225,($F225-$H225)*24*60&gt;=حد_العمل_الإضافي_دقيقة),($F225-$H225)*24,0))</f>
        <v/>
      </c>
      <c r="N225" s="40" t="n"/>
      <c r="O225" s="40" t="n"/>
      <c r="Q225">
        <f>IF(AND(ISNUMBER($K225),$K225&gt;0),SUMPRODUCT(ISNUMBER($K$3:$K$502)*($K$3:$K$502&gt;0)*(ROW($K$3:$K$502)&lt;=ROW())),"")</f>
        <v/>
      </c>
    </row>
    <row r="226">
      <c r="A226" s="47" t="n"/>
      <c r="B226" s="50">
        <f>IFERROR(INDEX(الموظفون_الاسم,MATCH($A226,الموظفون_الرقم,0)),"")</f>
        <v/>
      </c>
      <c r="C226" s="112" t="n"/>
      <c r="D226" s="50">
        <f>IF($C226="","",IFERROR(INDEX(قائمة_أيام_الأسبوع,WEEKDAY($C226,1)),""))</f>
        <v/>
      </c>
      <c r="E226" s="116" t="n"/>
      <c r="F226" s="116" t="n"/>
      <c r="G226" s="117">
        <f>IF($A226="","",بداية_الدوام)</f>
        <v/>
      </c>
      <c r="H226" s="117">
        <f>IF($A226="","",نهاية_الدوام)</f>
        <v/>
      </c>
      <c r="I226" s="58">
        <f>IF($A226="","",مدة_الاستراحة/60)</f>
        <v/>
      </c>
      <c r="J226" s="58">
        <f>IF(OR($A226="",$E226="",$F226=""),"",IF(OR($N226="حاضر",$N226="دوام جزئي"),MAX(0,MOD($F226-$E226,1)*24-$I226),0))</f>
        <v/>
      </c>
      <c r="K226" s="58">
        <f>IF(OR($A226="",$E226=""),"",IF(AND(احتساب_التأخير="نعم",OR($N226="حاضر",$N226="دوام جزئي"),$E226&gt;$G226+دقائق_السماح/1440),($E226-$G226-دقائق_السماح/1440)*24,0))</f>
        <v/>
      </c>
      <c r="L226" s="58">
        <f>IF(OR($A226="",$F226=""),"",IF(AND(OR($N226="حاضر",$N226="دوام جزئي"),$F226&lt;$H226),($H226-$F226)*24,0))</f>
        <v/>
      </c>
      <c r="M226" s="58">
        <f>IF(OR($A226="",$F226=""),"",IF(AND(احتساب_العمل_الإضافي="نعم",OR($N226="حاضر",$N226="دوام جزئي"),$F226&gt;$H226,($F226-$H226)*24*60&gt;=حد_العمل_الإضافي_دقيقة),($F226-$H226)*24,0))</f>
        <v/>
      </c>
      <c r="N226" s="47" t="n"/>
      <c r="O226" s="47" t="n"/>
      <c r="Q226">
        <f>IF(AND(ISNUMBER($K226),$K226&gt;0),SUMPRODUCT(ISNUMBER($K$3:$K$502)*($K$3:$K$502&gt;0)*(ROW($K$3:$K$502)&lt;=ROW())),"")</f>
        <v/>
      </c>
    </row>
    <row r="227">
      <c r="A227" s="40" t="n"/>
      <c r="B227" s="43">
        <f>IFERROR(INDEX(الموظفون_الاسم,MATCH($A227,الموظفون_الرقم,0)),"")</f>
        <v/>
      </c>
      <c r="C227" s="110" t="n"/>
      <c r="D227" s="43">
        <f>IF($C227="","",IFERROR(INDEX(قائمة_أيام_الأسبوع,WEEKDAY($C227,1)),""))</f>
        <v/>
      </c>
      <c r="E227" s="114" t="n"/>
      <c r="F227" s="114" t="n"/>
      <c r="G227" s="115">
        <f>IF($A227="","",بداية_الدوام)</f>
        <v/>
      </c>
      <c r="H227" s="115">
        <f>IF($A227="","",نهاية_الدوام)</f>
        <v/>
      </c>
      <c r="I227" s="55">
        <f>IF($A227="","",مدة_الاستراحة/60)</f>
        <v/>
      </c>
      <c r="J227" s="55">
        <f>IF(OR($A227="",$E227="",$F227=""),"",IF(OR($N227="حاضر",$N227="دوام جزئي"),MAX(0,MOD($F227-$E227,1)*24-$I227),0))</f>
        <v/>
      </c>
      <c r="K227" s="55">
        <f>IF(OR($A227="",$E227=""),"",IF(AND(احتساب_التأخير="نعم",OR($N227="حاضر",$N227="دوام جزئي"),$E227&gt;$G227+دقائق_السماح/1440),($E227-$G227-دقائق_السماح/1440)*24,0))</f>
        <v/>
      </c>
      <c r="L227" s="55">
        <f>IF(OR($A227="",$F227=""),"",IF(AND(OR($N227="حاضر",$N227="دوام جزئي"),$F227&lt;$H227),($H227-$F227)*24,0))</f>
        <v/>
      </c>
      <c r="M227" s="55">
        <f>IF(OR($A227="",$F227=""),"",IF(AND(احتساب_العمل_الإضافي="نعم",OR($N227="حاضر",$N227="دوام جزئي"),$F227&gt;$H227,($F227-$H227)*24*60&gt;=حد_العمل_الإضافي_دقيقة),($F227-$H227)*24,0))</f>
        <v/>
      </c>
      <c r="N227" s="40" t="n"/>
      <c r="O227" s="40" t="n"/>
      <c r="Q227">
        <f>IF(AND(ISNUMBER($K227),$K227&gt;0),SUMPRODUCT(ISNUMBER($K$3:$K$502)*($K$3:$K$502&gt;0)*(ROW($K$3:$K$502)&lt;=ROW())),"")</f>
        <v/>
      </c>
    </row>
    <row r="228">
      <c r="A228" s="47" t="n"/>
      <c r="B228" s="50">
        <f>IFERROR(INDEX(الموظفون_الاسم,MATCH($A228,الموظفون_الرقم,0)),"")</f>
        <v/>
      </c>
      <c r="C228" s="112" t="n"/>
      <c r="D228" s="50">
        <f>IF($C228="","",IFERROR(INDEX(قائمة_أيام_الأسبوع,WEEKDAY($C228,1)),""))</f>
        <v/>
      </c>
      <c r="E228" s="116" t="n"/>
      <c r="F228" s="116" t="n"/>
      <c r="G228" s="117">
        <f>IF($A228="","",بداية_الدوام)</f>
        <v/>
      </c>
      <c r="H228" s="117">
        <f>IF($A228="","",نهاية_الدوام)</f>
        <v/>
      </c>
      <c r="I228" s="58">
        <f>IF($A228="","",مدة_الاستراحة/60)</f>
        <v/>
      </c>
      <c r="J228" s="58">
        <f>IF(OR($A228="",$E228="",$F228=""),"",IF(OR($N228="حاضر",$N228="دوام جزئي"),MAX(0,MOD($F228-$E228,1)*24-$I228),0))</f>
        <v/>
      </c>
      <c r="K228" s="58">
        <f>IF(OR($A228="",$E228=""),"",IF(AND(احتساب_التأخير="نعم",OR($N228="حاضر",$N228="دوام جزئي"),$E228&gt;$G228+دقائق_السماح/1440),($E228-$G228-دقائق_السماح/1440)*24,0))</f>
        <v/>
      </c>
      <c r="L228" s="58">
        <f>IF(OR($A228="",$F228=""),"",IF(AND(OR($N228="حاضر",$N228="دوام جزئي"),$F228&lt;$H228),($H228-$F228)*24,0))</f>
        <v/>
      </c>
      <c r="M228" s="58">
        <f>IF(OR($A228="",$F228=""),"",IF(AND(احتساب_العمل_الإضافي="نعم",OR($N228="حاضر",$N228="دوام جزئي"),$F228&gt;$H228,($F228-$H228)*24*60&gt;=حد_العمل_الإضافي_دقيقة),($F228-$H228)*24,0))</f>
        <v/>
      </c>
      <c r="N228" s="47" t="n"/>
      <c r="O228" s="47" t="n"/>
      <c r="Q228">
        <f>IF(AND(ISNUMBER($K228),$K228&gt;0),SUMPRODUCT(ISNUMBER($K$3:$K$502)*($K$3:$K$502&gt;0)*(ROW($K$3:$K$502)&lt;=ROW())),"")</f>
        <v/>
      </c>
    </row>
    <row r="229">
      <c r="A229" s="40" t="n"/>
      <c r="B229" s="43">
        <f>IFERROR(INDEX(الموظفون_الاسم,MATCH($A229,الموظفون_الرقم,0)),"")</f>
        <v/>
      </c>
      <c r="C229" s="110" t="n"/>
      <c r="D229" s="43">
        <f>IF($C229="","",IFERROR(INDEX(قائمة_أيام_الأسبوع,WEEKDAY($C229,1)),""))</f>
        <v/>
      </c>
      <c r="E229" s="114" t="n"/>
      <c r="F229" s="114" t="n"/>
      <c r="G229" s="115">
        <f>IF($A229="","",بداية_الدوام)</f>
        <v/>
      </c>
      <c r="H229" s="115">
        <f>IF($A229="","",نهاية_الدوام)</f>
        <v/>
      </c>
      <c r="I229" s="55">
        <f>IF($A229="","",مدة_الاستراحة/60)</f>
        <v/>
      </c>
      <c r="J229" s="55">
        <f>IF(OR($A229="",$E229="",$F229=""),"",IF(OR($N229="حاضر",$N229="دوام جزئي"),MAX(0,MOD($F229-$E229,1)*24-$I229),0))</f>
        <v/>
      </c>
      <c r="K229" s="55">
        <f>IF(OR($A229="",$E229=""),"",IF(AND(احتساب_التأخير="نعم",OR($N229="حاضر",$N229="دوام جزئي"),$E229&gt;$G229+دقائق_السماح/1440),($E229-$G229-دقائق_السماح/1440)*24,0))</f>
        <v/>
      </c>
      <c r="L229" s="55">
        <f>IF(OR($A229="",$F229=""),"",IF(AND(OR($N229="حاضر",$N229="دوام جزئي"),$F229&lt;$H229),($H229-$F229)*24,0))</f>
        <v/>
      </c>
      <c r="M229" s="55">
        <f>IF(OR($A229="",$F229=""),"",IF(AND(احتساب_العمل_الإضافي="نعم",OR($N229="حاضر",$N229="دوام جزئي"),$F229&gt;$H229,($F229-$H229)*24*60&gt;=حد_العمل_الإضافي_دقيقة),($F229-$H229)*24,0))</f>
        <v/>
      </c>
      <c r="N229" s="40" t="n"/>
      <c r="O229" s="40" t="n"/>
      <c r="Q229">
        <f>IF(AND(ISNUMBER($K229),$K229&gt;0),SUMPRODUCT(ISNUMBER($K$3:$K$502)*($K$3:$K$502&gt;0)*(ROW($K$3:$K$502)&lt;=ROW())),"")</f>
        <v/>
      </c>
    </row>
    <row r="230">
      <c r="A230" s="47" t="n"/>
      <c r="B230" s="50">
        <f>IFERROR(INDEX(الموظفون_الاسم,MATCH($A230,الموظفون_الرقم,0)),"")</f>
        <v/>
      </c>
      <c r="C230" s="112" t="n"/>
      <c r="D230" s="50">
        <f>IF($C230="","",IFERROR(INDEX(قائمة_أيام_الأسبوع,WEEKDAY($C230,1)),""))</f>
        <v/>
      </c>
      <c r="E230" s="116" t="n"/>
      <c r="F230" s="116" t="n"/>
      <c r="G230" s="117">
        <f>IF($A230="","",بداية_الدوام)</f>
        <v/>
      </c>
      <c r="H230" s="117">
        <f>IF($A230="","",نهاية_الدوام)</f>
        <v/>
      </c>
      <c r="I230" s="58">
        <f>IF($A230="","",مدة_الاستراحة/60)</f>
        <v/>
      </c>
      <c r="J230" s="58">
        <f>IF(OR($A230="",$E230="",$F230=""),"",IF(OR($N230="حاضر",$N230="دوام جزئي"),MAX(0,MOD($F230-$E230,1)*24-$I230),0))</f>
        <v/>
      </c>
      <c r="K230" s="58">
        <f>IF(OR($A230="",$E230=""),"",IF(AND(احتساب_التأخير="نعم",OR($N230="حاضر",$N230="دوام جزئي"),$E230&gt;$G230+دقائق_السماح/1440),($E230-$G230-دقائق_السماح/1440)*24,0))</f>
        <v/>
      </c>
      <c r="L230" s="58">
        <f>IF(OR($A230="",$F230=""),"",IF(AND(OR($N230="حاضر",$N230="دوام جزئي"),$F230&lt;$H230),($H230-$F230)*24,0))</f>
        <v/>
      </c>
      <c r="M230" s="58">
        <f>IF(OR($A230="",$F230=""),"",IF(AND(احتساب_العمل_الإضافي="نعم",OR($N230="حاضر",$N230="دوام جزئي"),$F230&gt;$H230,($F230-$H230)*24*60&gt;=حد_العمل_الإضافي_دقيقة),($F230-$H230)*24,0))</f>
        <v/>
      </c>
      <c r="N230" s="47" t="n"/>
      <c r="O230" s="47" t="n"/>
      <c r="Q230">
        <f>IF(AND(ISNUMBER($K230),$K230&gt;0),SUMPRODUCT(ISNUMBER($K$3:$K$502)*($K$3:$K$502&gt;0)*(ROW($K$3:$K$502)&lt;=ROW())),"")</f>
        <v/>
      </c>
    </row>
    <row r="231">
      <c r="A231" s="40" t="n"/>
      <c r="B231" s="43">
        <f>IFERROR(INDEX(الموظفون_الاسم,MATCH($A231,الموظفون_الرقم,0)),"")</f>
        <v/>
      </c>
      <c r="C231" s="110" t="n"/>
      <c r="D231" s="43">
        <f>IF($C231="","",IFERROR(INDEX(قائمة_أيام_الأسبوع,WEEKDAY($C231,1)),""))</f>
        <v/>
      </c>
      <c r="E231" s="114" t="n"/>
      <c r="F231" s="114" t="n"/>
      <c r="G231" s="115">
        <f>IF($A231="","",بداية_الدوام)</f>
        <v/>
      </c>
      <c r="H231" s="115">
        <f>IF($A231="","",نهاية_الدوام)</f>
        <v/>
      </c>
      <c r="I231" s="55">
        <f>IF($A231="","",مدة_الاستراحة/60)</f>
        <v/>
      </c>
      <c r="J231" s="55">
        <f>IF(OR($A231="",$E231="",$F231=""),"",IF(OR($N231="حاضر",$N231="دوام جزئي"),MAX(0,MOD($F231-$E231,1)*24-$I231),0))</f>
        <v/>
      </c>
      <c r="K231" s="55">
        <f>IF(OR($A231="",$E231=""),"",IF(AND(احتساب_التأخير="نعم",OR($N231="حاضر",$N231="دوام جزئي"),$E231&gt;$G231+دقائق_السماح/1440),($E231-$G231-دقائق_السماح/1440)*24,0))</f>
        <v/>
      </c>
      <c r="L231" s="55">
        <f>IF(OR($A231="",$F231=""),"",IF(AND(OR($N231="حاضر",$N231="دوام جزئي"),$F231&lt;$H231),($H231-$F231)*24,0))</f>
        <v/>
      </c>
      <c r="M231" s="55">
        <f>IF(OR($A231="",$F231=""),"",IF(AND(احتساب_العمل_الإضافي="نعم",OR($N231="حاضر",$N231="دوام جزئي"),$F231&gt;$H231,($F231-$H231)*24*60&gt;=حد_العمل_الإضافي_دقيقة),($F231-$H231)*24,0))</f>
        <v/>
      </c>
      <c r="N231" s="40" t="n"/>
      <c r="O231" s="40" t="n"/>
      <c r="Q231">
        <f>IF(AND(ISNUMBER($K231),$K231&gt;0),SUMPRODUCT(ISNUMBER($K$3:$K$502)*($K$3:$K$502&gt;0)*(ROW($K$3:$K$502)&lt;=ROW())),"")</f>
        <v/>
      </c>
    </row>
    <row r="232">
      <c r="A232" s="47" t="n"/>
      <c r="B232" s="50">
        <f>IFERROR(INDEX(الموظفون_الاسم,MATCH($A232,الموظفون_الرقم,0)),"")</f>
        <v/>
      </c>
      <c r="C232" s="112" t="n"/>
      <c r="D232" s="50">
        <f>IF($C232="","",IFERROR(INDEX(قائمة_أيام_الأسبوع,WEEKDAY($C232,1)),""))</f>
        <v/>
      </c>
      <c r="E232" s="116" t="n"/>
      <c r="F232" s="116" t="n"/>
      <c r="G232" s="117">
        <f>IF($A232="","",بداية_الدوام)</f>
        <v/>
      </c>
      <c r="H232" s="117">
        <f>IF($A232="","",نهاية_الدوام)</f>
        <v/>
      </c>
      <c r="I232" s="58">
        <f>IF($A232="","",مدة_الاستراحة/60)</f>
        <v/>
      </c>
      <c r="J232" s="58">
        <f>IF(OR($A232="",$E232="",$F232=""),"",IF(OR($N232="حاضر",$N232="دوام جزئي"),MAX(0,MOD($F232-$E232,1)*24-$I232),0))</f>
        <v/>
      </c>
      <c r="K232" s="58">
        <f>IF(OR($A232="",$E232=""),"",IF(AND(احتساب_التأخير="نعم",OR($N232="حاضر",$N232="دوام جزئي"),$E232&gt;$G232+دقائق_السماح/1440),($E232-$G232-دقائق_السماح/1440)*24,0))</f>
        <v/>
      </c>
      <c r="L232" s="58">
        <f>IF(OR($A232="",$F232=""),"",IF(AND(OR($N232="حاضر",$N232="دوام جزئي"),$F232&lt;$H232),($H232-$F232)*24,0))</f>
        <v/>
      </c>
      <c r="M232" s="58">
        <f>IF(OR($A232="",$F232=""),"",IF(AND(احتساب_العمل_الإضافي="نعم",OR($N232="حاضر",$N232="دوام جزئي"),$F232&gt;$H232,($F232-$H232)*24*60&gt;=حد_العمل_الإضافي_دقيقة),($F232-$H232)*24,0))</f>
        <v/>
      </c>
      <c r="N232" s="47" t="n"/>
      <c r="O232" s="47" t="n"/>
      <c r="Q232">
        <f>IF(AND(ISNUMBER($K232),$K232&gt;0),SUMPRODUCT(ISNUMBER($K$3:$K$502)*($K$3:$K$502&gt;0)*(ROW($K$3:$K$502)&lt;=ROW())),"")</f>
        <v/>
      </c>
    </row>
    <row r="233">
      <c r="A233" s="40" t="n"/>
      <c r="B233" s="43">
        <f>IFERROR(INDEX(الموظفون_الاسم,MATCH($A233,الموظفون_الرقم,0)),"")</f>
        <v/>
      </c>
      <c r="C233" s="110" t="n"/>
      <c r="D233" s="43">
        <f>IF($C233="","",IFERROR(INDEX(قائمة_أيام_الأسبوع,WEEKDAY($C233,1)),""))</f>
        <v/>
      </c>
      <c r="E233" s="114" t="n"/>
      <c r="F233" s="114" t="n"/>
      <c r="G233" s="115">
        <f>IF($A233="","",بداية_الدوام)</f>
        <v/>
      </c>
      <c r="H233" s="115">
        <f>IF($A233="","",نهاية_الدوام)</f>
        <v/>
      </c>
      <c r="I233" s="55">
        <f>IF($A233="","",مدة_الاستراحة/60)</f>
        <v/>
      </c>
      <c r="J233" s="55">
        <f>IF(OR($A233="",$E233="",$F233=""),"",IF(OR($N233="حاضر",$N233="دوام جزئي"),MAX(0,MOD($F233-$E233,1)*24-$I233),0))</f>
        <v/>
      </c>
      <c r="K233" s="55">
        <f>IF(OR($A233="",$E233=""),"",IF(AND(احتساب_التأخير="نعم",OR($N233="حاضر",$N233="دوام جزئي"),$E233&gt;$G233+دقائق_السماح/1440),($E233-$G233-دقائق_السماح/1440)*24,0))</f>
        <v/>
      </c>
      <c r="L233" s="55">
        <f>IF(OR($A233="",$F233=""),"",IF(AND(OR($N233="حاضر",$N233="دوام جزئي"),$F233&lt;$H233),($H233-$F233)*24,0))</f>
        <v/>
      </c>
      <c r="M233" s="55">
        <f>IF(OR($A233="",$F233=""),"",IF(AND(احتساب_العمل_الإضافي="نعم",OR($N233="حاضر",$N233="دوام جزئي"),$F233&gt;$H233,($F233-$H233)*24*60&gt;=حد_العمل_الإضافي_دقيقة),($F233-$H233)*24,0))</f>
        <v/>
      </c>
      <c r="N233" s="40" t="n"/>
      <c r="O233" s="40" t="n"/>
      <c r="Q233">
        <f>IF(AND(ISNUMBER($K233),$K233&gt;0),SUMPRODUCT(ISNUMBER($K$3:$K$502)*($K$3:$K$502&gt;0)*(ROW($K$3:$K$502)&lt;=ROW())),"")</f>
        <v/>
      </c>
    </row>
    <row r="234">
      <c r="A234" s="47" t="n"/>
      <c r="B234" s="50">
        <f>IFERROR(INDEX(الموظفون_الاسم,MATCH($A234,الموظفون_الرقم,0)),"")</f>
        <v/>
      </c>
      <c r="C234" s="112" t="n"/>
      <c r="D234" s="50">
        <f>IF($C234="","",IFERROR(INDEX(قائمة_أيام_الأسبوع,WEEKDAY($C234,1)),""))</f>
        <v/>
      </c>
      <c r="E234" s="116" t="n"/>
      <c r="F234" s="116" t="n"/>
      <c r="G234" s="117">
        <f>IF($A234="","",بداية_الدوام)</f>
        <v/>
      </c>
      <c r="H234" s="117">
        <f>IF($A234="","",نهاية_الدوام)</f>
        <v/>
      </c>
      <c r="I234" s="58">
        <f>IF($A234="","",مدة_الاستراحة/60)</f>
        <v/>
      </c>
      <c r="J234" s="58">
        <f>IF(OR($A234="",$E234="",$F234=""),"",IF(OR($N234="حاضر",$N234="دوام جزئي"),MAX(0,MOD($F234-$E234,1)*24-$I234),0))</f>
        <v/>
      </c>
      <c r="K234" s="58">
        <f>IF(OR($A234="",$E234=""),"",IF(AND(احتساب_التأخير="نعم",OR($N234="حاضر",$N234="دوام جزئي"),$E234&gt;$G234+دقائق_السماح/1440),($E234-$G234-دقائق_السماح/1440)*24,0))</f>
        <v/>
      </c>
      <c r="L234" s="58">
        <f>IF(OR($A234="",$F234=""),"",IF(AND(OR($N234="حاضر",$N234="دوام جزئي"),$F234&lt;$H234),($H234-$F234)*24,0))</f>
        <v/>
      </c>
      <c r="M234" s="58">
        <f>IF(OR($A234="",$F234=""),"",IF(AND(احتساب_العمل_الإضافي="نعم",OR($N234="حاضر",$N234="دوام جزئي"),$F234&gt;$H234,($F234-$H234)*24*60&gt;=حد_العمل_الإضافي_دقيقة),($F234-$H234)*24,0))</f>
        <v/>
      </c>
      <c r="N234" s="47" t="n"/>
      <c r="O234" s="47" t="n"/>
      <c r="Q234">
        <f>IF(AND(ISNUMBER($K234),$K234&gt;0),SUMPRODUCT(ISNUMBER($K$3:$K$502)*($K$3:$K$502&gt;0)*(ROW($K$3:$K$502)&lt;=ROW())),"")</f>
        <v/>
      </c>
    </row>
    <row r="235">
      <c r="A235" s="40" t="n"/>
      <c r="B235" s="43">
        <f>IFERROR(INDEX(الموظفون_الاسم,MATCH($A235,الموظفون_الرقم,0)),"")</f>
        <v/>
      </c>
      <c r="C235" s="110" t="n"/>
      <c r="D235" s="43">
        <f>IF($C235="","",IFERROR(INDEX(قائمة_أيام_الأسبوع,WEEKDAY($C235,1)),""))</f>
        <v/>
      </c>
      <c r="E235" s="114" t="n"/>
      <c r="F235" s="114" t="n"/>
      <c r="G235" s="115">
        <f>IF($A235="","",بداية_الدوام)</f>
        <v/>
      </c>
      <c r="H235" s="115">
        <f>IF($A235="","",نهاية_الدوام)</f>
        <v/>
      </c>
      <c r="I235" s="55">
        <f>IF($A235="","",مدة_الاستراحة/60)</f>
        <v/>
      </c>
      <c r="J235" s="55">
        <f>IF(OR($A235="",$E235="",$F235=""),"",IF(OR($N235="حاضر",$N235="دوام جزئي"),MAX(0,MOD($F235-$E235,1)*24-$I235),0))</f>
        <v/>
      </c>
      <c r="K235" s="55">
        <f>IF(OR($A235="",$E235=""),"",IF(AND(احتساب_التأخير="نعم",OR($N235="حاضر",$N235="دوام جزئي"),$E235&gt;$G235+دقائق_السماح/1440),($E235-$G235-دقائق_السماح/1440)*24,0))</f>
        <v/>
      </c>
      <c r="L235" s="55">
        <f>IF(OR($A235="",$F235=""),"",IF(AND(OR($N235="حاضر",$N235="دوام جزئي"),$F235&lt;$H235),($H235-$F235)*24,0))</f>
        <v/>
      </c>
      <c r="M235" s="55">
        <f>IF(OR($A235="",$F235=""),"",IF(AND(احتساب_العمل_الإضافي="نعم",OR($N235="حاضر",$N235="دوام جزئي"),$F235&gt;$H235,($F235-$H235)*24*60&gt;=حد_العمل_الإضافي_دقيقة),($F235-$H235)*24,0))</f>
        <v/>
      </c>
      <c r="N235" s="40" t="n"/>
      <c r="O235" s="40" t="n"/>
      <c r="Q235">
        <f>IF(AND(ISNUMBER($K235),$K235&gt;0),SUMPRODUCT(ISNUMBER($K$3:$K$502)*($K$3:$K$502&gt;0)*(ROW($K$3:$K$502)&lt;=ROW())),"")</f>
        <v/>
      </c>
    </row>
    <row r="236">
      <c r="A236" s="47" t="n"/>
      <c r="B236" s="50">
        <f>IFERROR(INDEX(الموظفون_الاسم,MATCH($A236,الموظفون_الرقم,0)),"")</f>
        <v/>
      </c>
      <c r="C236" s="112" t="n"/>
      <c r="D236" s="50">
        <f>IF($C236="","",IFERROR(INDEX(قائمة_أيام_الأسبوع,WEEKDAY($C236,1)),""))</f>
        <v/>
      </c>
      <c r="E236" s="116" t="n"/>
      <c r="F236" s="116" t="n"/>
      <c r="G236" s="117">
        <f>IF($A236="","",بداية_الدوام)</f>
        <v/>
      </c>
      <c r="H236" s="117">
        <f>IF($A236="","",نهاية_الدوام)</f>
        <v/>
      </c>
      <c r="I236" s="58">
        <f>IF($A236="","",مدة_الاستراحة/60)</f>
        <v/>
      </c>
      <c r="J236" s="58">
        <f>IF(OR($A236="",$E236="",$F236=""),"",IF(OR($N236="حاضر",$N236="دوام جزئي"),MAX(0,MOD($F236-$E236,1)*24-$I236),0))</f>
        <v/>
      </c>
      <c r="K236" s="58">
        <f>IF(OR($A236="",$E236=""),"",IF(AND(احتساب_التأخير="نعم",OR($N236="حاضر",$N236="دوام جزئي"),$E236&gt;$G236+دقائق_السماح/1440),($E236-$G236-دقائق_السماح/1440)*24,0))</f>
        <v/>
      </c>
      <c r="L236" s="58">
        <f>IF(OR($A236="",$F236=""),"",IF(AND(OR($N236="حاضر",$N236="دوام جزئي"),$F236&lt;$H236),($H236-$F236)*24,0))</f>
        <v/>
      </c>
      <c r="M236" s="58">
        <f>IF(OR($A236="",$F236=""),"",IF(AND(احتساب_العمل_الإضافي="نعم",OR($N236="حاضر",$N236="دوام جزئي"),$F236&gt;$H236,($F236-$H236)*24*60&gt;=حد_العمل_الإضافي_دقيقة),($F236-$H236)*24,0))</f>
        <v/>
      </c>
      <c r="N236" s="47" t="n"/>
      <c r="O236" s="47" t="n"/>
      <c r="Q236">
        <f>IF(AND(ISNUMBER($K236),$K236&gt;0),SUMPRODUCT(ISNUMBER($K$3:$K$502)*($K$3:$K$502&gt;0)*(ROW($K$3:$K$502)&lt;=ROW())),"")</f>
        <v/>
      </c>
    </row>
    <row r="237">
      <c r="A237" s="40" t="n"/>
      <c r="B237" s="43">
        <f>IFERROR(INDEX(الموظفون_الاسم,MATCH($A237,الموظفون_الرقم,0)),"")</f>
        <v/>
      </c>
      <c r="C237" s="110" t="n"/>
      <c r="D237" s="43">
        <f>IF($C237="","",IFERROR(INDEX(قائمة_أيام_الأسبوع,WEEKDAY($C237,1)),""))</f>
        <v/>
      </c>
      <c r="E237" s="114" t="n"/>
      <c r="F237" s="114" t="n"/>
      <c r="G237" s="115">
        <f>IF($A237="","",بداية_الدوام)</f>
        <v/>
      </c>
      <c r="H237" s="115">
        <f>IF($A237="","",نهاية_الدوام)</f>
        <v/>
      </c>
      <c r="I237" s="55">
        <f>IF($A237="","",مدة_الاستراحة/60)</f>
        <v/>
      </c>
      <c r="J237" s="55">
        <f>IF(OR($A237="",$E237="",$F237=""),"",IF(OR($N237="حاضر",$N237="دوام جزئي"),MAX(0,MOD($F237-$E237,1)*24-$I237),0))</f>
        <v/>
      </c>
      <c r="K237" s="55">
        <f>IF(OR($A237="",$E237=""),"",IF(AND(احتساب_التأخير="نعم",OR($N237="حاضر",$N237="دوام جزئي"),$E237&gt;$G237+دقائق_السماح/1440),($E237-$G237-دقائق_السماح/1440)*24,0))</f>
        <v/>
      </c>
      <c r="L237" s="55">
        <f>IF(OR($A237="",$F237=""),"",IF(AND(OR($N237="حاضر",$N237="دوام جزئي"),$F237&lt;$H237),($H237-$F237)*24,0))</f>
        <v/>
      </c>
      <c r="M237" s="55">
        <f>IF(OR($A237="",$F237=""),"",IF(AND(احتساب_العمل_الإضافي="نعم",OR($N237="حاضر",$N237="دوام جزئي"),$F237&gt;$H237,($F237-$H237)*24*60&gt;=حد_العمل_الإضافي_دقيقة),($F237-$H237)*24,0))</f>
        <v/>
      </c>
      <c r="N237" s="40" t="n"/>
      <c r="O237" s="40" t="n"/>
      <c r="Q237">
        <f>IF(AND(ISNUMBER($K237),$K237&gt;0),SUMPRODUCT(ISNUMBER($K$3:$K$502)*($K$3:$K$502&gt;0)*(ROW($K$3:$K$502)&lt;=ROW())),"")</f>
        <v/>
      </c>
    </row>
    <row r="238">
      <c r="A238" s="47" t="n"/>
      <c r="B238" s="50">
        <f>IFERROR(INDEX(الموظفون_الاسم,MATCH($A238,الموظفون_الرقم,0)),"")</f>
        <v/>
      </c>
      <c r="C238" s="112" t="n"/>
      <c r="D238" s="50">
        <f>IF($C238="","",IFERROR(INDEX(قائمة_أيام_الأسبوع,WEEKDAY($C238,1)),""))</f>
        <v/>
      </c>
      <c r="E238" s="116" t="n"/>
      <c r="F238" s="116" t="n"/>
      <c r="G238" s="117">
        <f>IF($A238="","",بداية_الدوام)</f>
        <v/>
      </c>
      <c r="H238" s="117">
        <f>IF($A238="","",نهاية_الدوام)</f>
        <v/>
      </c>
      <c r="I238" s="58">
        <f>IF($A238="","",مدة_الاستراحة/60)</f>
        <v/>
      </c>
      <c r="J238" s="58">
        <f>IF(OR($A238="",$E238="",$F238=""),"",IF(OR($N238="حاضر",$N238="دوام جزئي"),MAX(0,MOD($F238-$E238,1)*24-$I238),0))</f>
        <v/>
      </c>
      <c r="K238" s="58">
        <f>IF(OR($A238="",$E238=""),"",IF(AND(احتساب_التأخير="نعم",OR($N238="حاضر",$N238="دوام جزئي"),$E238&gt;$G238+دقائق_السماح/1440),($E238-$G238-دقائق_السماح/1440)*24,0))</f>
        <v/>
      </c>
      <c r="L238" s="58">
        <f>IF(OR($A238="",$F238=""),"",IF(AND(OR($N238="حاضر",$N238="دوام جزئي"),$F238&lt;$H238),($H238-$F238)*24,0))</f>
        <v/>
      </c>
      <c r="M238" s="58">
        <f>IF(OR($A238="",$F238=""),"",IF(AND(احتساب_العمل_الإضافي="نعم",OR($N238="حاضر",$N238="دوام جزئي"),$F238&gt;$H238,($F238-$H238)*24*60&gt;=حد_العمل_الإضافي_دقيقة),($F238-$H238)*24,0))</f>
        <v/>
      </c>
      <c r="N238" s="47" t="n"/>
      <c r="O238" s="47" t="n"/>
      <c r="Q238">
        <f>IF(AND(ISNUMBER($K238),$K238&gt;0),SUMPRODUCT(ISNUMBER($K$3:$K$502)*($K$3:$K$502&gt;0)*(ROW($K$3:$K$502)&lt;=ROW())),"")</f>
        <v/>
      </c>
    </row>
    <row r="239">
      <c r="A239" s="40" t="n"/>
      <c r="B239" s="43">
        <f>IFERROR(INDEX(الموظفون_الاسم,MATCH($A239,الموظفون_الرقم,0)),"")</f>
        <v/>
      </c>
      <c r="C239" s="110" t="n"/>
      <c r="D239" s="43">
        <f>IF($C239="","",IFERROR(INDEX(قائمة_أيام_الأسبوع,WEEKDAY($C239,1)),""))</f>
        <v/>
      </c>
      <c r="E239" s="114" t="n"/>
      <c r="F239" s="114" t="n"/>
      <c r="G239" s="115">
        <f>IF($A239="","",بداية_الدوام)</f>
        <v/>
      </c>
      <c r="H239" s="115">
        <f>IF($A239="","",نهاية_الدوام)</f>
        <v/>
      </c>
      <c r="I239" s="55">
        <f>IF($A239="","",مدة_الاستراحة/60)</f>
        <v/>
      </c>
      <c r="J239" s="55">
        <f>IF(OR($A239="",$E239="",$F239=""),"",IF(OR($N239="حاضر",$N239="دوام جزئي"),MAX(0,MOD($F239-$E239,1)*24-$I239),0))</f>
        <v/>
      </c>
      <c r="K239" s="55">
        <f>IF(OR($A239="",$E239=""),"",IF(AND(احتساب_التأخير="نعم",OR($N239="حاضر",$N239="دوام جزئي"),$E239&gt;$G239+دقائق_السماح/1440),($E239-$G239-دقائق_السماح/1440)*24,0))</f>
        <v/>
      </c>
      <c r="L239" s="55">
        <f>IF(OR($A239="",$F239=""),"",IF(AND(OR($N239="حاضر",$N239="دوام جزئي"),$F239&lt;$H239),($H239-$F239)*24,0))</f>
        <v/>
      </c>
      <c r="M239" s="55">
        <f>IF(OR($A239="",$F239=""),"",IF(AND(احتساب_العمل_الإضافي="نعم",OR($N239="حاضر",$N239="دوام جزئي"),$F239&gt;$H239,($F239-$H239)*24*60&gt;=حد_العمل_الإضافي_دقيقة),($F239-$H239)*24,0))</f>
        <v/>
      </c>
      <c r="N239" s="40" t="n"/>
      <c r="O239" s="40" t="n"/>
      <c r="Q239">
        <f>IF(AND(ISNUMBER($K239),$K239&gt;0),SUMPRODUCT(ISNUMBER($K$3:$K$502)*($K$3:$K$502&gt;0)*(ROW($K$3:$K$502)&lt;=ROW())),"")</f>
        <v/>
      </c>
    </row>
    <row r="240">
      <c r="A240" s="47" t="n"/>
      <c r="B240" s="50">
        <f>IFERROR(INDEX(الموظفون_الاسم,MATCH($A240,الموظفون_الرقم,0)),"")</f>
        <v/>
      </c>
      <c r="C240" s="112" t="n"/>
      <c r="D240" s="50">
        <f>IF($C240="","",IFERROR(INDEX(قائمة_أيام_الأسبوع,WEEKDAY($C240,1)),""))</f>
        <v/>
      </c>
      <c r="E240" s="116" t="n"/>
      <c r="F240" s="116" t="n"/>
      <c r="G240" s="117">
        <f>IF($A240="","",بداية_الدوام)</f>
        <v/>
      </c>
      <c r="H240" s="117">
        <f>IF($A240="","",نهاية_الدوام)</f>
        <v/>
      </c>
      <c r="I240" s="58">
        <f>IF($A240="","",مدة_الاستراحة/60)</f>
        <v/>
      </c>
      <c r="J240" s="58">
        <f>IF(OR($A240="",$E240="",$F240=""),"",IF(OR($N240="حاضر",$N240="دوام جزئي"),MAX(0,MOD($F240-$E240,1)*24-$I240),0))</f>
        <v/>
      </c>
      <c r="K240" s="58">
        <f>IF(OR($A240="",$E240=""),"",IF(AND(احتساب_التأخير="نعم",OR($N240="حاضر",$N240="دوام جزئي"),$E240&gt;$G240+دقائق_السماح/1440),($E240-$G240-دقائق_السماح/1440)*24,0))</f>
        <v/>
      </c>
      <c r="L240" s="58">
        <f>IF(OR($A240="",$F240=""),"",IF(AND(OR($N240="حاضر",$N240="دوام جزئي"),$F240&lt;$H240),($H240-$F240)*24,0))</f>
        <v/>
      </c>
      <c r="M240" s="58">
        <f>IF(OR($A240="",$F240=""),"",IF(AND(احتساب_العمل_الإضافي="نعم",OR($N240="حاضر",$N240="دوام جزئي"),$F240&gt;$H240,($F240-$H240)*24*60&gt;=حد_العمل_الإضافي_دقيقة),($F240-$H240)*24,0))</f>
        <v/>
      </c>
      <c r="N240" s="47" t="n"/>
      <c r="O240" s="47" t="n"/>
      <c r="Q240">
        <f>IF(AND(ISNUMBER($K240),$K240&gt;0),SUMPRODUCT(ISNUMBER($K$3:$K$502)*($K$3:$K$502&gt;0)*(ROW($K$3:$K$502)&lt;=ROW())),"")</f>
        <v/>
      </c>
    </row>
    <row r="241">
      <c r="A241" s="40" t="n"/>
      <c r="B241" s="43">
        <f>IFERROR(INDEX(الموظفون_الاسم,MATCH($A241,الموظفون_الرقم,0)),"")</f>
        <v/>
      </c>
      <c r="C241" s="110" t="n"/>
      <c r="D241" s="43">
        <f>IF($C241="","",IFERROR(INDEX(قائمة_أيام_الأسبوع,WEEKDAY($C241,1)),""))</f>
        <v/>
      </c>
      <c r="E241" s="114" t="n"/>
      <c r="F241" s="114" t="n"/>
      <c r="G241" s="115">
        <f>IF($A241="","",بداية_الدوام)</f>
        <v/>
      </c>
      <c r="H241" s="115">
        <f>IF($A241="","",نهاية_الدوام)</f>
        <v/>
      </c>
      <c r="I241" s="55">
        <f>IF($A241="","",مدة_الاستراحة/60)</f>
        <v/>
      </c>
      <c r="J241" s="55">
        <f>IF(OR($A241="",$E241="",$F241=""),"",IF(OR($N241="حاضر",$N241="دوام جزئي"),MAX(0,MOD($F241-$E241,1)*24-$I241),0))</f>
        <v/>
      </c>
      <c r="K241" s="55">
        <f>IF(OR($A241="",$E241=""),"",IF(AND(احتساب_التأخير="نعم",OR($N241="حاضر",$N241="دوام جزئي"),$E241&gt;$G241+دقائق_السماح/1440),($E241-$G241-دقائق_السماح/1440)*24,0))</f>
        <v/>
      </c>
      <c r="L241" s="55">
        <f>IF(OR($A241="",$F241=""),"",IF(AND(OR($N241="حاضر",$N241="دوام جزئي"),$F241&lt;$H241),($H241-$F241)*24,0))</f>
        <v/>
      </c>
      <c r="M241" s="55">
        <f>IF(OR($A241="",$F241=""),"",IF(AND(احتساب_العمل_الإضافي="نعم",OR($N241="حاضر",$N241="دوام جزئي"),$F241&gt;$H241,($F241-$H241)*24*60&gt;=حد_العمل_الإضافي_دقيقة),($F241-$H241)*24,0))</f>
        <v/>
      </c>
      <c r="N241" s="40" t="n"/>
      <c r="O241" s="40" t="n"/>
      <c r="Q241">
        <f>IF(AND(ISNUMBER($K241),$K241&gt;0),SUMPRODUCT(ISNUMBER($K$3:$K$502)*($K$3:$K$502&gt;0)*(ROW($K$3:$K$502)&lt;=ROW())),"")</f>
        <v/>
      </c>
    </row>
    <row r="242">
      <c r="A242" s="47" t="n"/>
      <c r="B242" s="50">
        <f>IFERROR(INDEX(الموظفون_الاسم,MATCH($A242,الموظفون_الرقم,0)),"")</f>
        <v/>
      </c>
      <c r="C242" s="112" t="n"/>
      <c r="D242" s="50">
        <f>IF($C242="","",IFERROR(INDEX(قائمة_أيام_الأسبوع,WEEKDAY($C242,1)),""))</f>
        <v/>
      </c>
      <c r="E242" s="116" t="n"/>
      <c r="F242" s="116" t="n"/>
      <c r="G242" s="117">
        <f>IF($A242="","",بداية_الدوام)</f>
        <v/>
      </c>
      <c r="H242" s="117">
        <f>IF($A242="","",نهاية_الدوام)</f>
        <v/>
      </c>
      <c r="I242" s="58">
        <f>IF($A242="","",مدة_الاستراحة/60)</f>
        <v/>
      </c>
      <c r="J242" s="58">
        <f>IF(OR($A242="",$E242="",$F242=""),"",IF(OR($N242="حاضر",$N242="دوام جزئي"),MAX(0,MOD($F242-$E242,1)*24-$I242),0))</f>
        <v/>
      </c>
      <c r="K242" s="58">
        <f>IF(OR($A242="",$E242=""),"",IF(AND(احتساب_التأخير="نعم",OR($N242="حاضر",$N242="دوام جزئي"),$E242&gt;$G242+دقائق_السماح/1440),($E242-$G242-دقائق_السماح/1440)*24,0))</f>
        <v/>
      </c>
      <c r="L242" s="58">
        <f>IF(OR($A242="",$F242=""),"",IF(AND(OR($N242="حاضر",$N242="دوام جزئي"),$F242&lt;$H242),($H242-$F242)*24,0))</f>
        <v/>
      </c>
      <c r="M242" s="58">
        <f>IF(OR($A242="",$F242=""),"",IF(AND(احتساب_العمل_الإضافي="نعم",OR($N242="حاضر",$N242="دوام جزئي"),$F242&gt;$H242,($F242-$H242)*24*60&gt;=حد_العمل_الإضافي_دقيقة),($F242-$H242)*24,0))</f>
        <v/>
      </c>
      <c r="N242" s="47" t="n"/>
      <c r="O242" s="47" t="n"/>
      <c r="Q242">
        <f>IF(AND(ISNUMBER($K242),$K242&gt;0),SUMPRODUCT(ISNUMBER($K$3:$K$502)*($K$3:$K$502&gt;0)*(ROW($K$3:$K$502)&lt;=ROW())),"")</f>
        <v/>
      </c>
    </row>
    <row r="243">
      <c r="A243" s="40" t="n"/>
      <c r="B243" s="43">
        <f>IFERROR(INDEX(الموظفون_الاسم,MATCH($A243,الموظفون_الرقم,0)),"")</f>
        <v/>
      </c>
      <c r="C243" s="110" t="n"/>
      <c r="D243" s="43">
        <f>IF($C243="","",IFERROR(INDEX(قائمة_أيام_الأسبوع,WEEKDAY($C243,1)),""))</f>
        <v/>
      </c>
      <c r="E243" s="114" t="n"/>
      <c r="F243" s="114" t="n"/>
      <c r="G243" s="115">
        <f>IF($A243="","",بداية_الدوام)</f>
        <v/>
      </c>
      <c r="H243" s="115">
        <f>IF($A243="","",نهاية_الدوام)</f>
        <v/>
      </c>
      <c r="I243" s="55">
        <f>IF($A243="","",مدة_الاستراحة/60)</f>
        <v/>
      </c>
      <c r="J243" s="55">
        <f>IF(OR($A243="",$E243="",$F243=""),"",IF(OR($N243="حاضر",$N243="دوام جزئي"),MAX(0,MOD($F243-$E243,1)*24-$I243),0))</f>
        <v/>
      </c>
      <c r="K243" s="55">
        <f>IF(OR($A243="",$E243=""),"",IF(AND(احتساب_التأخير="نعم",OR($N243="حاضر",$N243="دوام جزئي"),$E243&gt;$G243+دقائق_السماح/1440),($E243-$G243-دقائق_السماح/1440)*24,0))</f>
        <v/>
      </c>
      <c r="L243" s="55">
        <f>IF(OR($A243="",$F243=""),"",IF(AND(OR($N243="حاضر",$N243="دوام جزئي"),$F243&lt;$H243),($H243-$F243)*24,0))</f>
        <v/>
      </c>
      <c r="M243" s="55">
        <f>IF(OR($A243="",$F243=""),"",IF(AND(احتساب_العمل_الإضافي="نعم",OR($N243="حاضر",$N243="دوام جزئي"),$F243&gt;$H243,($F243-$H243)*24*60&gt;=حد_العمل_الإضافي_دقيقة),($F243-$H243)*24,0))</f>
        <v/>
      </c>
      <c r="N243" s="40" t="n"/>
      <c r="O243" s="40" t="n"/>
      <c r="Q243">
        <f>IF(AND(ISNUMBER($K243),$K243&gt;0),SUMPRODUCT(ISNUMBER($K$3:$K$502)*($K$3:$K$502&gt;0)*(ROW($K$3:$K$502)&lt;=ROW())),"")</f>
        <v/>
      </c>
    </row>
    <row r="244">
      <c r="A244" s="47" t="n"/>
      <c r="B244" s="50">
        <f>IFERROR(INDEX(الموظفون_الاسم,MATCH($A244,الموظفون_الرقم,0)),"")</f>
        <v/>
      </c>
      <c r="C244" s="112" t="n"/>
      <c r="D244" s="50">
        <f>IF($C244="","",IFERROR(INDEX(قائمة_أيام_الأسبوع,WEEKDAY($C244,1)),""))</f>
        <v/>
      </c>
      <c r="E244" s="116" t="n"/>
      <c r="F244" s="116" t="n"/>
      <c r="G244" s="117">
        <f>IF($A244="","",بداية_الدوام)</f>
        <v/>
      </c>
      <c r="H244" s="117">
        <f>IF($A244="","",نهاية_الدوام)</f>
        <v/>
      </c>
      <c r="I244" s="58">
        <f>IF($A244="","",مدة_الاستراحة/60)</f>
        <v/>
      </c>
      <c r="J244" s="58">
        <f>IF(OR($A244="",$E244="",$F244=""),"",IF(OR($N244="حاضر",$N244="دوام جزئي"),MAX(0,MOD($F244-$E244,1)*24-$I244),0))</f>
        <v/>
      </c>
      <c r="K244" s="58">
        <f>IF(OR($A244="",$E244=""),"",IF(AND(احتساب_التأخير="نعم",OR($N244="حاضر",$N244="دوام جزئي"),$E244&gt;$G244+دقائق_السماح/1440),($E244-$G244-دقائق_السماح/1440)*24,0))</f>
        <v/>
      </c>
      <c r="L244" s="58">
        <f>IF(OR($A244="",$F244=""),"",IF(AND(OR($N244="حاضر",$N244="دوام جزئي"),$F244&lt;$H244),($H244-$F244)*24,0))</f>
        <v/>
      </c>
      <c r="M244" s="58">
        <f>IF(OR($A244="",$F244=""),"",IF(AND(احتساب_العمل_الإضافي="نعم",OR($N244="حاضر",$N244="دوام جزئي"),$F244&gt;$H244,($F244-$H244)*24*60&gt;=حد_العمل_الإضافي_دقيقة),($F244-$H244)*24,0))</f>
        <v/>
      </c>
      <c r="N244" s="47" t="n"/>
      <c r="O244" s="47" t="n"/>
      <c r="Q244">
        <f>IF(AND(ISNUMBER($K244),$K244&gt;0),SUMPRODUCT(ISNUMBER($K$3:$K$502)*($K$3:$K$502&gt;0)*(ROW($K$3:$K$502)&lt;=ROW())),"")</f>
        <v/>
      </c>
    </row>
    <row r="245">
      <c r="A245" s="40" t="n"/>
      <c r="B245" s="43">
        <f>IFERROR(INDEX(الموظفون_الاسم,MATCH($A245,الموظفون_الرقم,0)),"")</f>
        <v/>
      </c>
      <c r="C245" s="110" t="n"/>
      <c r="D245" s="43">
        <f>IF($C245="","",IFERROR(INDEX(قائمة_أيام_الأسبوع,WEEKDAY($C245,1)),""))</f>
        <v/>
      </c>
      <c r="E245" s="114" t="n"/>
      <c r="F245" s="114" t="n"/>
      <c r="G245" s="115">
        <f>IF($A245="","",بداية_الدوام)</f>
        <v/>
      </c>
      <c r="H245" s="115">
        <f>IF($A245="","",نهاية_الدوام)</f>
        <v/>
      </c>
      <c r="I245" s="55">
        <f>IF($A245="","",مدة_الاستراحة/60)</f>
        <v/>
      </c>
      <c r="J245" s="55">
        <f>IF(OR($A245="",$E245="",$F245=""),"",IF(OR($N245="حاضر",$N245="دوام جزئي"),MAX(0,MOD($F245-$E245,1)*24-$I245),0))</f>
        <v/>
      </c>
      <c r="K245" s="55">
        <f>IF(OR($A245="",$E245=""),"",IF(AND(احتساب_التأخير="نعم",OR($N245="حاضر",$N245="دوام جزئي"),$E245&gt;$G245+دقائق_السماح/1440),($E245-$G245-دقائق_السماح/1440)*24,0))</f>
        <v/>
      </c>
      <c r="L245" s="55">
        <f>IF(OR($A245="",$F245=""),"",IF(AND(OR($N245="حاضر",$N245="دوام جزئي"),$F245&lt;$H245),($H245-$F245)*24,0))</f>
        <v/>
      </c>
      <c r="M245" s="55">
        <f>IF(OR($A245="",$F245=""),"",IF(AND(احتساب_العمل_الإضافي="نعم",OR($N245="حاضر",$N245="دوام جزئي"),$F245&gt;$H245,($F245-$H245)*24*60&gt;=حد_العمل_الإضافي_دقيقة),($F245-$H245)*24,0))</f>
        <v/>
      </c>
      <c r="N245" s="40" t="n"/>
      <c r="O245" s="40" t="n"/>
      <c r="Q245">
        <f>IF(AND(ISNUMBER($K245),$K245&gt;0),SUMPRODUCT(ISNUMBER($K$3:$K$502)*($K$3:$K$502&gt;0)*(ROW($K$3:$K$502)&lt;=ROW())),"")</f>
        <v/>
      </c>
    </row>
    <row r="246">
      <c r="A246" s="47" t="n"/>
      <c r="B246" s="50">
        <f>IFERROR(INDEX(الموظفون_الاسم,MATCH($A246,الموظفون_الرقم,0)),"")</f>
        <v/>
      </c>
      <c r="C246" s="112" t="n"/>
      <c r="D246" s="50">
        <f>IF($C246="","",IFERROR(INDEX(قائمة_أيام_الأسبوع,WEEKDAY($C246,1)),""))</f>
        <v/>
      </c>
      <c r="E246" s="116" t="n"/>
      <c r="F246" s="116" t="n"/>
      <c r="G246" s="117">
        <f>IF($A246="","",بداية_الدوام)</f>
        <v/>
      </c>
      <c r="H246" s="117">
        <f>IF($A246="","",نهاية_الدوام)</f>
        <v/>
      </c>
      <c r="I246" s="58">
        <f>IF($A246="","",مدة_الاستراحة/60)</f>
        <v/>
      </c>
      <c r="J246" s="58">
        <f>IF(OR($A246="",$E246="",$F246=""),"",IF(OR($N246="حاضر",$N246="دوام جزئي"),MAX(0,MOD($F246-$E246,1)*24-$I246),0))</f>
        <v/>
      </c>
      <c r="K246" s="58">
        <f>IF(OR($A246="",$E246=""),"",IF(AND(احتساب_التأخير="نعم",OR($N246="حاضر",$N246="دوام جزئي"),$E246&gt;$G246+دقائق_السماح/1440),($E246-$G246-دقائق_السماح/1440)*24,0))</f>
        <v/>
      </c>
      <c r="L246" s="58">
        <f>IF(OR($A246="",$F246=""),"",IF(AND(OR($N246="حاضر",$N246="دوام جزئي"),$F246&lt;$H246),($H246-$F246)*24,0))</f>
        <v/>
      </c>
      <c r="M246" s="58">
        <f>IF(OR($A246="",$F246=""),"",IF(AND(احتساب_العمل_الإضافي="نعم",OR($N246="حاضر",$N246="دوام جزئي"),$F246&gt;$H246,($F246-$H246)*24*60&gt;=حد_العمل_الإضافي_دقيقة),($F246-$H246)*24,0))</f>
        <v/>
      </c>
      <c r="N246" s="47" t="n"/>
      <c r="O246" s="47" t="n"/>
      <c r="Q246">
        <f>IF(AND(ISNUMBER($K246),$K246&gt;0),SUMPRODUCT(ISNUMBER($K$3:$K$502)*($K$3:$K$502&gt;0)*(ROW($K$3:$K$502)&lt;=ROW())),"")</f>
        <v/>
      </c>
    </row>
    <row r="247">
      <c r="A247" s="40" t="n"/>
      <c r="B247" s="43">
        <f>IFERROR(INDEX(الموظفون_الاسم,MATCH($A247,الموظفون_الرقم,0)),"")</f>
        <v/>
      </c>
      <c r="C247" s="110" t="n"/>
      <c r="D247" s="43">
        <f>IF($C247="","",IFERROR(INDEX(قائمة_أيام_الأسبوع,WEEKDAY($C247,1)),""))</f>
        <v/>
      </c>
      <c r="E247" s="114" t="n"/>
      <c r="F247" s="114" t="n"/>
      <c r="G247" s="115">
        <f>IF($A247="","",بداية_الدوام)</f>
        <v/>
      </c>
      <c r="H247" s="115">
        <f>IF($A247="","",نهاية_الدوام)</f>
        <v/>
      </c>
      <c r="I247" s="55">
        <f>IF($A247="","",مدة_الاستراحة/60)</f>
        <v/>
      </c>
      <c r="J247" s="55">
        <f>IF(OR($A247="",$E247="",$F247=""),"",IF(OR($N247="حاضر",$N247="دوام جزئي"),MAX(0,MOD($F247-$E247,1)*24-$I247),0))</f>
        <v/>
      </c>
      <c r="K247" s="55">
        <f>IF(OR($A247="",$E247=""),"",IF(AND(احتساب_التأخير="نعم",OR($N247="حاضر",$N247="دوام جزئي"),$E247&gt;$G247+دقائق_السماح/1440),($E247-$G247-دقائق_السماح/1440)*24,0))</f>
        <v/>
      </c>
      <c r="L247" s="55">
        <f>IF(OR($A247="",$F247=""),"",IF(AND(OR($N247="حاضر",$N247="دوام جزئي"),$F247&lt;$H247),($H247-$F247)*24,0))</f>
        <v/>
      </c>
      <c r="M247" s="55">
        <f>IF(OR($A247="",$F247=""),"",IF(AND(احتساب_العمل_الإضافي="نعم",OR($N247="حاضر",$N247="دوام جزئي"),$F247&gt;$H247,($F247-$H247)*24*60&gt;=حد_العمل_الإضافي_دقيقة),($F247-$H247)*24,0))</f>
        <v/>
      </c>
      <c r="N247" s="40" t="n"/>
      <c r="O247" s="40" t="n"/>
      <c r="Q247">
        <f>IF(AND(ISNUMBER($K247),$K247&gt;0),SUMPRODUCT(ISNUMBER($K$3:$K$502)*($K$3:$K$502&gt;0)*(ROW($K$3:$K$502)&lt;=ROW())),"")</f>
        <v/>
      </c>
    </row>
    <row r="248">
      <c r="A248" s="47" t="n"/>
      <c r="B248" s="50">
        <f>IFERROR(INDEX(الموظفون_الاسم,MATCH($A248,الموظفون_الرقم,0)),"")</f>
        <v/>
      </c>
      <c r="C248" s="112" t="n"/>
      <c r="D248" s="50">
        <f>IF($C248="","",IFERROR(INDEX(قائمة_أيام_الأسبوع,WEEKDAY($C248,1)),""))</f>
        <v/>
      </c>
      <c r="E248" s="116" t="n"/>
      <c r="F248" s="116" t="n"/>
      <c r="G248" s="117">
        <f>IF($A248="","",بداية_الدوام)</f>
        <v/>
      </c>
      <c r="H248" s="117">
        <f>IF($A248="","",نهاية_الدوام)</f>
        <v/>
      </c>
      <c r="I248" s="58">
        <f>IF($A248="","",مدة_الاستراحة/60)</f>
        <v/>
      </c>
      <c r="J248" s="58">
        <f>IF(OR($A248="",$E248="",$F248=""),"",IF(OR($N248="حاضر",$N248="دوام جزئي"),MAX(0,MOD($F248-$E248,1)*24-$I248),0))</f>
        <v/>
      </c>
      <c r="K248" s="58">
        <f>IF(OR($A248="",$E248=""),"",IF(AND(احتساب_التأخير="نعم",OR($N248="حاضر",$N248="دوام جزئي"),$E248&gt;$G248+دقائق_السماح/1440),($E248-$G248-دقائق_السماح/1440)*24,0))</f>
        <v/>
      </c>
      <c r="L248" s="58">
        <f>IF(OR($A248="",$F248=""),"",IF(AND(OR($N248="حاضر",$N248="دوام جزئي"),$F248&lt;$H248),($H248-$F248)*24,0))</f>
        <v/>
      </c>
      <c r="M248" s="58">
        <f>IF(OR($A248="",$F248=""),"",IF(AND(احتساب_العمل_الإضافي="نعم",OR($N248="حاضر",$N248="دوام جزئي"),$F248&gt;$H248,($F248-$H248)*24*60&gt;=حد_العمل_الإضافي_دقيقة),($F248-$H248)*24,0))</f>
        <v/>
      </c>
      <c r="N248" s="47" t="n"/>
      <c r="O248" s="47" t="n"/>
      <c r="Q248">
        <f>IF(AND(ISNUMBER($K248),$K248&gt;0),SUMPRODUCT(ISNUMBER($K$3:$K$502)*($K$3:$K$502&gt;0)*(ROW($K$3:$K$502)&lt;=ROW())),"")</f>
        <v/>
      </c>
    </row>
    <row r="249">
      <c r="A249" s="40" t="n"/>
      <c r="B249" s="43">
        <f>IFERROR(INDEX(الموظفون_الاسم,MATCH($A249,الموظفون_الرقم,0)),"")</f>
        <v/>
      </c>
      <c r="C249" s="110" t="n"/>
      <c r="D249" s="43">
        <f>IF($C249="","",IFERROR(INDEX(قائمة_أيام_الأسبوع,WEEKDAY($C249,1)),""))</f>
        <v/>
      </c>
      <c r="E249" s="114" t="n"/>
      <c r="F249" s="114" t="n"/>
      <c r="G249" s="115">
        <f>IF($A249="","",بداية_الدوام)</f>
        <v/>
      </c>
      <c r="H249" s="115">
        <f>IF($A249="","",نهاية_الدوام)</f>
        <v/>
      </c>
      <c r="I249" s="55">
        <f>IF($A249="","",مدة_الاستراحة/60)</f>
        <v/>
      </c>
      <c r="J249" s="55">
        <f>IF(OR($A249="",$E249="",$F249=""),"",IF(OR($N249="حاضر",$N249="دوام جزئي"),MAX(0,MOD($F249-$E249,1)*24-$I249),0))</f>
        <v/>
      </c>
      <c r="K249" s="55">
        <f>IF(OR($A249="",$E249=""),"",IF(AND(احتساب_التأخير="نعم",OR($N249="حاضر",$N249="دوام جزئي"),$E249&gt;$G249+دقائق_السماح/1440),($E249-$G249-دقائق_السماح/1440)*24,0))</f>
        <v/>
      </c>
      <c r="L249" s="55">
        <f>IF(OR($A249="",$F249=""),"",IF(AND(OR($N249="حاضر",$N249="دوام جزئي"),$F249&lt;$H249),($H249-$F249)*24,0))</f>
        <v/>
      </c>
      <c r="M249" s="55">
        <f>IF(OR($A249="",$F249=""),"",IF(AND(احتساب_العمل_الإضافي="نعم",OR($N249="حاضر",$N249="دوام جزئي"),$F249&gt;$H249,($F249-$H249)*24*60&gt;=حد_العمل_الإضافي_دقيقة),($F249-$H249)*24,0))</f>
        <v/>
      </c>
      <c r="N249" s="40" t="n"/>
      <c r="O249" s="40" t="n"/>
      <c r="Q249">
        <f>IF(AND(ISNUMBER($K249),$K249&gt;0),SUMPRODUCT(ISNUMBER($K$3:$K$502)*($K$3:$K$502&gt;0)*(ROW($K$3:$K$502)&lt;=ROW())),"")</f>
        <v/>
      </c>
    </row>
    <row r="250">
      <c r="A250" s="47" t="n"/>
      <c r="B250" s="50">
        <f>IFERROR(INDEX(الموظفون_الاسم,MATCH($A250,الموظفون_الرقم,0)),"")</f>
        <v/>
      </c>
      <c r="C250" s="112" t="n"/>
      <c r="D250" s="50">
        <f>IF($C250="","",IFERROR(INDEX(قائمة_أيام_الأسبوع,WEEKDAY($C250,1)),""))</f>
        <v/>
      </c>
      <c r="E250" s="116" t="n"/>
      <c r="F250" s="116" t="n"/>
      <c r="G250" s="117">
        <f>IF($A250="","",بداية_الدوام)</f>
        <v/>
      </c>
      <c r="H250" s="117">
        <f>IF($A250="","",نهاية_الدوام)</f>
        <v/>
      </c>
      <c r="I250" s="58">
        <f>IF($A250="","",مدة_الاستراحة/60)</f>
        <v/>
      </c>
      <c r="J250" s="58">
        <f>IF(OR($A250="",$E250="",$F250=""),"",IF(OR($N250="حاضر",$N250="دوام جزئي"),MAX(0,MOD($F250-$E250,1)*24-$I250),0))</f>
        <v/>
      </c>
      <c r="K250" s="58">
        <f>IF(OR($A250="",$E250=""),"",IF(AND(احتساب_التأخير="نعم",OR($N250="حاضر",$N250="دوام جزئي"),$E250&gt;$G250+دقائق_السماح/1440),($E250-$G250-دقائق_السماح/1440)*24,0))</f>
        <v/>
      </c>
      <c r="L250" s="58">
        <f>IF(OR($A250="",$F250=""),"",IF(AND(OR($N250="حاضر",$N250="دوام جزئي"),$F250&lt;$H250),($H250-$F250)*24,0))</f>
        <v/>
      </c>
      <c r="M250" s="58">
        <f>IF(OR($A250="",$F250=""),"",IF(AND(احتساب_العمل_الإضافي="نعم",OR($N250="حاضر",$N250="دوام جزئي"),$F250&gt;$H250,($F250-$H250)*24*60&gt;=حد_العمل_الإضافي_دقيقة),($F250-$H250)*24,0))</f>
        <v/>
      </c>
      <c r="N250" s="47" t="n"/>
      <c r="O250" s="47" t="n"/>
      <c r="Q250">
        <f>IF(AND(ISNUMBER($K250),$K250&gt;0),SUMPRODUCT(ISNUMBER($K$3:$K$502)*($K$3:$K$502&gt;0)*(ROW($K$3:$K$502)&lt;=ROW())),"")</f>
        <v/>
      </c>
    </row>
    <row r="251">
      <c r="A251" s="40" t="n"/>
      <c r="B251" s="43">
        <f>IFERROR(INDEX(الموظفون_الاسم,MATCH($A251,الموظفون_الرقم,0)),"")</f>
        <v/>
      </c>
      <c r="C251" s="110" t="n"/>
      <c r="D251" s="43">
        <f>IF($C251="","",IFERROR(INDEX(قائمة_أيام_الأسبوع,WEEKDAY($C251,1)),""))</f>
        <v/>
      </c>
      <c r="E251" s="114" t="n"/>
      <c r="F251" s="114" t="n"/>
      <c r="G251" s="115">
        <f>IF($A251="","",بداية_الدوام)</f>
        <v/>
      </c>
      <c r="H251" s="115">
        <f>IF($A251="","",نهاية_الدوام)</f>
        <v/>
      </c>
      <c r="I251" s="55">
        <f>IF($A251="","",مدة_الاستراحة/60)</f>
        <v/>
      </c>
      <c r="J251" s="55">
        <f>IF(OR($A251="",$E251="",$F251=""),"",IF(OR($N251="حاضر",$N251="دوام جزئي"),MAX(0,MOD($F251-$E251,1)*24-$I251),0))</f>
        <v/>
      </c>
      <c r="K251" s="55">
        <f>IF(OR($A251="",$E251=""),"",IF(AND(احتساب_التأخير="نعم",OR($N251="حاضر",$N251="دوام جزئي"),$E251&gt;$G251+دقائق_السماح/1440),($E251-$G251-دقائق_السماح/1440)*24,0))</f>
        <v/>
      </c>
      <c r="L251" s="55">
        <f>IF(OR($A251="",$F251=""),"",IF(AND(OR($N251="حاضر",$N251="دوام جزئي"),$F251&lt;$H251),($H251-$F251)*24,0))</f>
        <v/>
      </c>
      <c r="M251" s="55">
        <f>IF(OR($A251="",$F251=""),"",IF(AND(احتساب_العمل_الإضافي="نعم",OR($N251="حاضر",$N251="دوام جزئي"),$F251&gt;$H251,($F251-$H251)*24*60&gt;=حد_العمل_الإضافي_دقيقة),($F251-$H251)*24,0))</f>
        <v/>
      </c>
      <c r="N251" s="40" t="n"/>
      <c r="O251" s="40" t="n"/>
      <c r="Q251">
        <f>IF(AND(ISNUMBER($K251),$K251&gt;0),SUMPRODUCT(ISNUMBER($K$3:$K$502)*($K$3:$K$502&gt;0)*(ROW($K$3:$K$502)&lt;=ROW())),"")</f>
        <v/>
      </c>
    </row>
    <row r="252">
      <c r="A252" s="47" t="n"/>
      <c r="B252" s="50">
        <f>IFERROR(INDEX(الموظفون_الاسم,MATCH($A252,الموظفون_الرقم,0)),"")</f>
        <v/>
      </c>
      <c r="C252" s="112" t="n"/>
      <c r="D252" s="50">
        <f>IF($C252="","",IFERROR(INDEX(قائمة_أيام_الأسبوع,WEEKDAY($C252,1)),""))</f>
        <v/>
      </c>
      <c r="E252" s="116" t="n"/>
      <c r="F252" s="116" t="n"/>
      <c r="G252" s="117">
        <f>IF($A252="","",بداية_الدوام)</f>
        <v/>
      </c>
      <c r="H252" s="117">
        <f>IF($A252="","",نهاية_الدوام)</f>
        <v/>
      </c>
      <c r="I252" s="58">
        <f>IF($A252="","",مدة_الاستراحة/60)</f>
        <v/>
      </c>
      <c r="J252" s="58">
        <f>IF(OR($A252="",$E252="",$F252=""),"",IF(OR($N252="حاضر",$N252="دوام جزئي"),MAX(0,MOD($F252-$E252,1)*24-$I252),0))</f>
        <v/>
      </c>
      <c r="K252" s="58">
        <f>IF(OR($A252="",$E252=""),"",IF(AND(احتساب_التأخير="نعم",OR($N252="حاضر",$N252="دوام جزئي"),$E252&gt;$G252+دقائق_السماح/1440),($E252-$G252-دقائق_السماح/1440)*24,0))</f>
        <v/>
      </c>
      <c r="L252" s="58">
        <f>IF(OR($A252="",$F252=""),"",IF(AND(OR($N252="حاضر",$N252="دوام جزئي"),$F252&lt;$H252),($H252-$F252)*24,0))</f>
        <v/>
      </c>
      <c r="M252" s="58">
        <f>IF(OR($A252="",$F252=""),"",IF(AND(احتساب_العمل_الإضافي="نعم",OR($N252="حاضر",$N252="دوام جزئي"),$F252&gt;$H252,($F252-$H252)*24*60&gt;=حد_العمل_الإضافي_دقيقة),($F252-$H252)*24,0))</f>
        <v/>
      </c>
      <c r="N252" s="47" t="n"/>
      <c r="O252" s="47" t="n"/>
      <c r="Q252">
        <f>IF(AND(ISNUMBER($K252),$K252&gt;0),SUMPRODUCT(ISNUMBER($K$3:$K$502)*($K$3:$K$502&gt;0)*(ROW($K$3:$K$502)&lt;=ROW())),"")</f>
        <v/>
      </c>
    </row>
    <row r="253">
      <c r="A253" s="40" t="n"/>
      <c r="B253" s="43">
        <f>IFERROR(INDEX(الموظفون_الاسم,MATCH($A253,الموظفون_الرقم,0)),"")</f>
        <v/>
      </c>
      <c r="C253" s="110" t="n"/>
      <c r="D253" s="43">
        <f>IF($C253="","",IFERROR(INDEX(قائمة_أيام_الأسبوع,WEEKDAY($C253,1)),""))</f>
        <v/>
      </c>
      <c r="E253" s="114" t="n"/>
      <c r="F253" s="114" t="n"/>
      <c r="G253" s="115">
        <f>IF($A253="","",بداية_الدوام)</f>
        <v/>
      </c>
      <c r="H253" s="115">
        <f>IF($A253="","",نهاية_الدوام)</f>
        <v/>
      </c>
      <c r="I253" s="55">
        <f>IF($A253="","",مدة_الاستراحة/60)</f>
        <v/>
      </c>
      <c r="J253" s="55">
        <f>IF(OR($A253="",$E253="",$F253=""),"",IF(OR($N253="حاضر",$N253="دوام جزئي"),MAX(0,MOD($F253-$E253,1)*24-$I253),0))</f>
        <v/>
      </c>
      <c r="K253" s="55">
        <f>IF(OR($A253="",$E253=""),"",IF(AND(احتساب_التأخير="نعم",OR($N253="حاضر",$N253="دوام جزئي"),$E253&gt;$G253+دقائق_السماح/1440),($E253-$G253-دقائق_السماح/1440)*24,0))</f>
        <v/>
      </c>
      <c r="L253" s="55">
        <f>IF(OR($A253="",$F253=""),"",IF(AND(OR($N253="حاضر",$N253="دوام جزئي"),$F253&lt;$H253),($H253-$F253)*24,0))</f>
        <v/>
      </c>
      <c r="M253" s="55">
        <f>IF(OR($A253="",$F253=""),"",IF(AND(احتساب_العمل_الإضافي="نعم",OR($N253="حاضر",$N253="دوام جزئي"),$F253&gt;$H253,($F253-$H253)*24*60&gt;=حد_العمل_الإضافي_دقيقة),($F253-$H253)*24,0))</f>
        <v/>
      </c>
      <c r="N253" s="40" t="n"/>
      <c r="O253" s="40" t="n"/>
      <c r="Q253">
        <f>IF(AND(ISNUMBER($K253),$K253&gt;0),SUMPRODUCT(ISNUMBER($K$3:$K$502)*($K$3:$K$502&gt;0)*(ROW($K$3:$K$502)&lt;=ROW())),"")</f>
        <v/>
      </c>
    </row>
    <row r="254">
      <c r="A254" s="47" t="n"/>
      <c r="B254" s="50">
        <f>IFERROR(INDEX(الموظفون_الاسم,MATCH($A254,الموظفون_الرقم,0)),"")</f>
        <v/>
      </c>
      <c r="C254" s="112" t="n"/>
      <c r="D254" s="50">
        <f>IF($C254="","",IFERROR(INDEX(قائمة_أيام_الأسبوع,WEEKDAY($C254,1)),""))</f>
        <v/>
      </c>
      <c r="E254" s="116" t="n"/>
      <c r="F254" s="116" t="n"/>
      <c r="G254" s="117">
        <f>IF($A254="","",بداية_الدوام)</f>
        <v/>
      </c>
      <c r="H254" s="117">
        <f>IF($A254="","",نهاية_الدوام)</f>
        <v/>
      </c>
      <c r="I254" s="58">
        <f>IF($A254="","",مدة_الاستراحة/60)</f>
        <v/>
      </c>
      <c r="J254" s="58">
        <f>IF(OR($A254="",$E254="",$F254=""),"",IF(OR($N254="حاضر",$N254="دوام جزئي"),MAX(0,MOD($F254-$E254,1)*24-$I254),0))</f>
        <v/>
      </c>
      <c r="K254" s="58">
        <f>IF(OR($A254="",$E254=""),"",IF(AND(احتساب_التأخير="نعم",OR($N254="حاضر",$N254="دوام جزئي"),$E254&gt;$G254+دقائق_السماح/1440),($E254-$G254-دقائق_السماح/1440)*24,0))</f>
        <v/>
      </c>
      <c r="L254" s="58">
        <f>IF(OR($A254="",$F254=""),"",IF(AND(OR($N254="حاضر",$N254="دوام جزئي"),$F254&lt;$H254),($H254-$F254)*24,0))</f>
        <v/>
      </c>
      <c r="M254" s="58">
        <f>IF(OR($A254="",$F254=""),"",IF(AND(احتساب_العمل_الإضافي="نعم",OR($N254="حاضر",$N254="دوام جزئي"),$F254&gt;$H254,($F254-$H254)*24*60&gt;=حد_العمل_الإضافي_دقيقة),($F254-$H254)*24,0))</f>
        <v/>
      </c>
      <c r="N254" s="47" t="n"/>
      <c r="O254" s="47" t="n"/>
      <c r="Q254">
        <f>IF(AND(ISNUMBER($K254),$K254&gt;0),SUMPRODUCT(ISNUMBER($K$3:$K$502)*($K$3:$K$502&gt;0)*(ROW($K$3:$K$502)&lt;=ROW())),"")</f>
        <v/>
      </c>
    </row>
    <row r="255">
      <c r="A255" s="40" t="n"/>
      <c r="B255" s="43">
        <f>IFERROR(INDEX(الموظفون_الاسم,MATCH($A255,الموظفون_الرقم,0)),"")</f>
        <v/>
      </c>
      <c r="C255" s="110" t="n"/>
      <c r="D255" s="43">
        <f>IF($C255="","",IFERROR(INDEX(قائمة_أيام_الأسبوع,WEEKDAY($C255,1)),""))</f>
        <v/>
      </c>
      <c r="E255" s="114" t="n"/>
      <c r="F255" s="114" t="n"/>
      <c r="G255" s="115">
        <f>IF($A255="","",بداية_الدوام)</f>
        <v/>
      </c>
      <c r="H255" s="115">
        <f>IF($A255="","",نهاية_الدوام)</f>
        <v/>
      </c>
      <c r="I255" s="55">
        <f>IF($A255="","",مدة_الاستراحة/60)</f>
        <v/>
      </c>
      <c r="J255" s="55">
        <f>IF(OR($A255="",$E255="",$F255=""),"",IF(OR($N255="حاضر",$N255="دوام جزئي"),MAX(0,MOD($F255-$E255,1)*24-$I255),0))</f>
        <v/>
      </c>
      <c r="K255" s="55">
        <f>IF(OR($A255="",$E255=""),"",IF(AND(احتساب_التأخير="نعم",OR($N255="حاضر",$N255="دوام جزئي"),$E255&gt;$G255+دقائق_السماح/1440),($E255-$G255-دقائق_السماح/1440)*24,0))</f>
        <v/>
      </c>
      <c r="L255" s="55">
        <f>IF(OR($A255="",$F255=""),"",IF(AND(OR($N255="حاضر",$N255="دوام جزئي"),$F255&lt;$H255),($H255-$F255)*24,0))</f>
        <v/>
      </c>
      <c r="M255" s="55">
        <f>IF(OR($A255="",$F255=""),"",IF(AND(احتساب_العمل_الإضافي="نعم",OR($N255="حاضر",$N255="دوام جزئي"),$F255&gt;$H255,($F255-$H255)*24*60&gt;=حد_العمل_الإضافي_دقيقة),($F255-$H255)*24,0))</f>
        <v/>
      </c>
      <c r="N255" s="40" t="n"/>
      <c r="O255" s="40" t="n"/>
      <c r="Q255">
        <f>IF(AND(ISNUMBER($K255),$K255&gt;0),SUMPRODUCT(ISNUMBER($K$3:$K$502)*($K$3:$K$502&gt;0)*(ROW($K$3:$K$502)&lt;=ROW())),"")</f>
        <v/>
      </c>
    </row>
    <row r="256">
      <c r="A256" s="47" t="n"/>
      <c r="B256" s="50">
        <f>IFERROR(INDEX(الموظفون_الاسم,MATCH($A256,الموظفون_الرقم,0)),"")</f>
        <v/>
      </c>
      <c r="C256" s="112" t="n"/>
      <c r="D256" s="50">
        <f>IF($C256="","",IFERROR(INDEX(قائمة_أيام_الأسبوع,WEEKDAY($C256,1)),""))</f>
        <v/>
      </c>
      <c r="E256" s="116" t="n"/>
      <c r="F256" s="116" t="n"/>
      <c r="G256" s="117">
        <f>IF($A256="","",بداية_الدوام)</f>
        <v/>
      </c>
      <c r="H256" s="117">
        <f>IF($A256="","",نهاية_الدوام)</f>
        <v/>
      </c>
      <c r="I256" s="58">
        <f>IF($A256="","",مدة_الاستراحة/60)</f>
        <v/>
      </c>
      <c r="J256" s="58">
        <f>IF(OR($A256="",$E256="",$F256=""),"",IF(OR($N256="حاضر",$N256="دوام جزئي"),MAX(0,MOD($F256-$E256,1)*24-$I256),0))</f>
        <v/>
      </c>
      <c r="K256" s="58">
        <f>IF(OR($A256="",$E256=""),"",IF(AND(احتساب_التأخير="نعم",OR($N256="حاضر",$N256="دوام جزئي"),$E256&gt;$G256+دقائق_السماح/1440),($E256-$G256-دقائق_السماح/1440)*24,0))</f>
        <v/>
      </c>
      <c r="L256" s="58">
        <f>IF(OR($A256="",$F256=""),"",IF(AND(OR($N256="حاضر",$N256="دوام جزئي"),$F256&lt;$H256),($H256-$F256)*24,0))</f>
        <v/>
      </c>
      <c r="M256" s="58">
        <f>IF(OR($A256="",$F256=""),"",IF(AND(احتساب_العمل_الإضافي="نعم",OR($N256="حاضر",$N256="دوام جزئي"),$F256&gt;$H256,($F256-$H256)*24*60&gt;=حد_العمل_الإضافي_دقيقة),($F256-$H256)*24,0))</f>
        <v/>
      </c>
      <c r="N256" s="47" t="n"/>
      <c r="O256" s="47" t="n"/>
      <c r="Q256">
        <f>IF(AND(ISNUMBER($K256),$K256&gt;0),SUMPRODUCT(ISNUMBER($K$3:$K$502)*($K$3:$K$502&gt;0)*(ROW($K$3:$K$502)&lt;=ROW())),"")</f>
        <v/>
      </c>
    </row>
    <row r="257">
      <c r="A257" s="40" t="n"/>
      <c r="B257" s="43">
        <f>IFERROR(INDEX(الموظفون_الاسم,MATCH($A257,الموظفون_الرقم,0)),"")</f>
        <v/>
      </c>
      <c r="C257" s="110" t="n"/>
      <c r="D257" s="43">
        <f>IF($C257="","",IFERROR(INDEX(قائمة_أيام_الأسبوع,WEEKDAY($C257,1)),""))</f>
        <v/>
      </c>
      <c r="E257" s="114" t="n"/>
      <c r="F257" s="114" t="n"/>
      <c r="G257" s="115">
        <f>IF($A257="","",بداية_الدوام)</f>
        <v/>
      </c>
      <c r="H257" s="115">
        <f>IF($A257="","",نهاية_الدوام)</f>
        <v/>
      </c>
      <c r="I257" s="55">
        <f>IF($A257="","",مدة_الاستراحة/60)</f>
        <v/>
      </c>
      <c r="J257" s="55">
        <f>IF(OR($A257="",$E257="",$F257=""),"",IF(OR($N257="حاضر",$N257="دوام جزئي"),MAX(0,MOD($F257-$E257,1)*24-$I257),0))</f>
        <v/>
      </c>
      <c r="K257" s="55">
        <f>IF(OR($A257="",$E257=""),"",IF(AND(احتساب_التأخير="نعم",OR($N257="حاضر",$N257="دوام جزئي"),$E257&gt;$G257+دقائق_السماح/1440),($E257-$G257-دقائق_السماح/1440)*24,0))</f>
        <v/>
      </c>
      <c r="L257" s="55">
        <f>IF(OR($A257="",$F257=""),"",IF(AND(OR($N257="حاضر",$N257="دوام جزئي"),$F257&lt;$H257),($H257-$F257)*24,0))</f>
        <v/>
      </c>
      <c r="M257" s="55">
        <f>IF(OR($A257="",$F257=""),"",IF(AND(احتساب_العمل_الإضافي="نعم",OR($N257="حاضر",$N257="دوام جزئي"),$F257&gt;$H257,($F257-$H257)*24*60&gt;=حد_العمل_الإضافي_دقيقة),($F257-$H257)*24,0))</f>
        <v/>
      </c>
      <c r="N257" s="40" t="n"/>
      <c r="O257" s="40" t="n"/>
      <c r="Q257">
        <f>IF(AND(ISNUMBER($K257),$K257&gt;0),SUMPRODUCT(ISNUMBER($K$3:$K$502)*($K$3:$K$502&gt;0)*(ROW($K$3:$K$502)&lt;=ROW())),"")</f>
        <v/>
      </c>
    </row>
    <row r="258">
      <c r="A258" s="47" t="n"/>
      <c r="B258" s="50">
        <f>IFERROR(INDEX(الموظفون_الاسم,MATCH($A258,الموظفون_الرقم,0)),"")</f>
        <v/>
      </c>
      <c r="C258" s="112" t="n"/>
      <c r="D258" s="50">
        <f>IF($C258="","",IFERROR(INDEX(قائمة_أيام_الأسبوع,WEEKDAY($C258,1)),""))</f>
        <v/>
      </c>
      <c r="E258" s="116" t="n"/>
      <c r="F258" s="116" t="n"/>
      <c r="G258" s="117">
        <f>IF($A258="","",بداية_الدوام)</f>
        <v/>
      </c>
      <c r="H258" s="117">
        <f>IF($A258="","",نهاية_الدوام)</f>
        <v/>
      </c>
      <c r="I258" s="58">
        <f>IF($A258="","",مدة_الاستراحة/60)</f>
        <v/>
      </c>
      <c r="J258" s="58">
        <f>IF(OR($A258="",$E258="",$F258=""),"",IF(OR($N258="حاضر",$N258="دوام جزئي"),MAX(0,MOD($F258-$E258,1)*24-$I258),0))</f>
        <v/>
      </c>
      <c r="K258" s="58">
        <f>IF(OR($A258="",$E258=""),"",IF(AND(احتساب_التأخير="نعم",OR($N258="حاضر",$N258="دوام جزئي"),$E258&gt;$G258+دقائق_السماح/1440),($E258-$G258-دقائق_السماح/1440)*24,0))</f>
        <v/>
      </c>
      <c r="L258" s="58">
        <f>IF(OR($A258="",$F258=""),"",IF(AND(OR($N258="حاضر",$N258="دوام جزئي"),$F258&lt;$H258),($H258-$F258)*24,0))</f>
        <v/>
      </c>
      <c r="M258" s="58">
        <f>IF(OR($A258="",$F258=""),"",IF(AND(احتساب_العمل_الإضافي="نعم",OR($N258="حاضر",$N258="دوام جزئي"),$F258&gt;$H258,($F258-$H258)*24*60&gt;=حد_العمل_الإضافي_دقيقة),($F258-$H258)*24,0))</f>
        <v/>
      </c>
      <c r="N258" s="47" t="n"/>
      <c r="O258" s="47" t="n"/>
      <c r="Q258">
        <f>IF(AND(ISNUMBER($K258),$K258&gt;0),SUMPRODUCT(ISNUMBER($K$3:$K$502)*($K$3:$K$502&gt;0)*(ROW($K$3:$K$502)&lt;=ROW())),"")</f>
        <v/>
      </c>
    </row>
    <row r="259">
      <c r="A259" s="40" t="n"/>
      <c r="B259" s="43">
        <f>IFERROR(INDEX(الموظفون_الاسم,MATCH($A259,الموظفون_الرقم,0)),"")</f>
        <v/>
      </c>
      <c r="C259" s="110" t="n"/>
      <c r="D259" s="43">
        <f>IF($C259="","",IFERROR(INDEX(قائمة_أيام_الأسبوع,WEEKDAY($C259,1)),""))</f>
        <v/>
      </c>
      <c r="E259" s="114" t="n"/>
      <c r="F259" s="114" t="n"/>
      <c r="G259" s="115">
        <f>IF($A259="","",بداية_الدوام)</f>
        <v/>
      </c>
      <c r="H259" s="115">
        <f>IF($A259="","",نهاية_الدوام)</f>
        <v/>
      </c>
      <c r="I259" s="55">
        <f>IF($A259="","",مدة_الاستراحة/60)</f>
        <v/>
      </c>
      <c r="J259" s="55">
        <f>IF(OR($A259="",$E259="",$F259=""),"",IF(OR($N259="حاضر",$N259="دوام جزئي"),MAX(0,MOD($F259-$E259,1)*24-$I259),0))</f>
        <v/>
      </c>
      <c r="K259" s="55">
        <f>IF(OR($A259="",$E259=""),"",IF(AND(احتساب_التأخير="نعم",OR($N259="حاضر",$N259="دوام جزئي"),$E259&gt;$G259+دقائق_السماح/1440),($E259-$G259-دقائق_السماح/1440)*24,0))</f>
        <v/>
      </c>
      <c r="L259" s="55">
        <f>IF(OR($A259="",$F259=""),"",IF(AND(OR($N259="حاضر",$N259="دوام جزئي"),$F259&lt;$H259),($H259-$F259)*24,0))</f>
        <v/>
      </c>
      <c r="M259" s="55">
        <f>IF(OR($A259="",$F259=""),"",IF(AND(احتساب_العمل_الإضافي="نعم",OR($N259="حاضر",$N259="دوام جزئي"),$F259&gt;$H259,($F259-$H259)*24*60&gt;=حد_العمل_الإضافي_دقيقة),($F259-$H259)*24,0))</f>
        <v/>
      </c>
      <c r="N259" s="40" t="n"/>
      <c r="O259" s="40" t="n"/>
      <c r="Q259">
        <f>IF(AND(ISNUMBER($K259),$K259&gt;0),SUMPRODUCT(ISNUMBER($K$3:$K$502)*($K$3:$K$502&gt;0)*(ROW($K$3:$K$502)&lt;=ROW())),"")</f>
        <v/>
      </c>
    </row>
    <row r="260">
      <c r="A260" s="47" t="n"/>
      <c r="B260" s="50">
        <f>IFERROR(INDEX(الموظفون_الاسم,MATCH($A260,الموظفون_الرقم,0)),"")</f>
        <v/>
      </c>
      <c r="C260" s="112" t="n"/>
      <c r="D260" s="50">
        <f>IF($C260="","",IFERROR(INDEX(قائمة_أيام_الأسبوع,WEEKDAY($C260,1)),""))</f>
        <v/>
      </c>
      <c r="E260" s="116" t="n"/>
      <c r="F260" s="116" t="n"/>
      <c r="G260" s="117">
        <f>IF($A260="","",بداية_الدوام)</f>
        <v/>
      </c>
      <c r="H260" s="117">
        <f>IF($A260="","",نهاية_الدوام)</f>
        <v/>
      </c>
      <c r="I260" s="58">
        <f>IF($A260="","",مدة_الاستراحة/60)</f>
        <v/>
      </c>
      <c r="J260" s="58">
        <f>IF(OR($A260="",$E260="",$F260=""),"",IF(OR($N260="حاضر",$N260="دوام جزئي"),MAX(0,MOD($F260-$E260,1)*24-$I260),0))</f>
        <v/>
      </c>
      <c r="K260" s="58">
        <f>IF(OR($A260="",$E260=""),"",IF(AND(احتساب_التأخير="نعم",OR($N260="حاضر",$N260="دوام جزئي"),$E260&gt;$G260+دقائق_السماح/1440),($E260-$G260-دقائق_السماح/1440)*24,0))</f>
        <v/>
      </c>
      <c r="L260" s="58">
        <f>IF(OR($A260="",$F260=""),"",IF(AND(OR($N260="حاضر",$N260="دوام جزئي"),$F260&lt;$H260),($H260-$F260)*24,0))</f>
        <v/>
      </c>
      <c r="M260" s="58">
        <f>IF(OR($A260="",$F260=""),"",IF(AND(احتساب_العمل_الإضافي="نعم",OR($N260="حاضر",$N260="دوام جزئي"),$F260&gt;$H260,($F260-$H260)*24*60&gt;=حد_العمل_الإضافي_دقيقة),($F260-$H260)*24,0))</f>
        <v/>
      </c>
      <c r="N260" s="47" t="n"/>
      <c r="O260" s="47" t="n"/>
      <c r="Q260">
        <f>IF(AND(ISNUMBER($K260),$K260&gt;0),SUMPRODUCT(ISNUMBER($K$3:$K$502)*($K$3:$K$502&gt;0)*(ROW($K$3:$K$502)&lt;=ROW())),"")</f>
        <v/>
      </c>
    </row>
    <row r="261">
      <c r="A261" s="40" t="n"/>
      <c r="B261" s="43">
        <f>IFERROR(INDEX(الموظفون_الاسم,MATCH($A261,الموظفون_الرقم,0)),"")</f>
        <v/>
      </c>
      <c r="C261" s="110" t="n"/>
      <c r="D261" s="43">
        <f>IF($C261="","",IFERROR(INDEX(قائمة_أيام_الأسبوع,WEEKDAY($C261,1)),""))</f>
        <v/>
      </c>
      <c r="E261" s="114" t="n"/>
      <c r="F261" s="114" t="n"/>
      <c r="G261" s="115">
        <f>IF($A261="","",بداية_الدوام)</f>
        <v/>
      </c>
      <c r="H261" s="115">
        <f>IF($A261="","",نهاية_الدوام)</f>
        <v/>
      </c>
      <c r="I261" s="55">
        <f>IF($A261="","",مدة_الاستراحة/60)</f>
        <v/>
      </c>
      <c r="J261" s="55">
        <f>IF(OR($A261="",$E261="",$F261=""),"",IF(OR($N261="حاضر",$N261="دوام جزئي"),MAX(0,MOD($F261-$E261,1)*24-$I261),0))</f>
        <v/>
      </c>
      <c r="K261" s="55">
        <f>IF(OR($A261="",$E261=""),"",IF(AND(احتساب_التأخير="نعم",OR($N261="حاضر",$N261="دوام جزئي"),$E261&gt;$G261+دقائق_السماح/1440),($E261-$G261-دقائق_السماح/1440)*24,0))</f>
        <v/>
      </c>
      <c r="L261" s="55">
        <f>IF(OR($A261="",$F261=""),"",IF(AND(OR($N261="حاضر",$N261="دوام جزئي"),$F261&lt;$H261),($H261-$F261)*24,0))</f>
        <v/>
      </c>
      <c r="M261" s="55">
        <f>IF(OR($A261="",$F261=""),"",IF(AND(احتساب_العمل_الإضافي="نعم",OR($N261="حاضر",$N261="دوام جزئي"),$F261&gt;$H261,($F261-$H261)*24*60&gt;=حد_العمل_الإضافي_دقيقة),($F261-$H261)*24,0))</f>
        <v/>
      </c>
      <c r="N261" s="40" t="n"/>
      <c r="O261" s="40" t="n"/>
      <c r="Q261">
        <f>IF(AND(ISNUMBER($K261),$K261&gt;0),SUMPRODUCT(ISNUMBER($K$3:$K$502)*($K$3:$K$502&gt;0)*(ROW($K$3:$K$502)&lt;=ROW())),"")</f>
        <v/>
      </c>
    </row>
    <row r="262">
      <c r="A262" s="47" t="n"/>
      <c r="B262" s="50">
        <f>IFERROR(INDEX(الموظفون_الاسم,MATCH($A262,الموظفون_الرقم,0)),"")</f>
        <v/>
      </c>
      <c r="C262" s="112" t="n"/>
      <c r="D262" s="50">
        <f>IF($C262="","",IFERROR(INDEX(قائمة_أيام_الأسبوع,WEEKDAY($C262,1)),""))</f>
        <v/>
      </c>
      <c r="E262" s="116" t="n"/>
      <c r="F262" s="116" t="n"/>
      <c r="G262" s="117">
        <f>IF($A262="","",بداية_الدوام)</f>
        <v/>
      </c>
      <c r="H262" s="117">
        <f>IF($A262="","",نهاية_الدوام)</f>
        <v/>
      </c>
      <c r="I262" s="58">
        <f>IF($A262="","",مدة_الاستراحة/60)</f>
        <v/>
      </c>
      <c r="J262" s="58">
        <f>IF(OR($A262="",$E262="",$F262=""),"",IF(OR($N262="حاضر",$N262="دوام جزئي"),MAX(0,MOD($F262-$E262,1)*24-$I262),0))</f>
        <v/>
      </c>
      <c r="K262" s="58">
        <f>IF(OR($A262="",$E262=""),"",IF(AND(احتساب_التأخير="نعم",OR($N262="حاضر",$N262="دوام جزئي"),$E262&gt;$G262+دقائق_السماح/1440),($E262-$G262-دقائق_السماح/1440)*24,0))</f>
        <v/>
      </c>
      <c r="L262" s="58">
        <f>IF(OR($A262="",$F262=""),"",IF(AND(OR($N262="حاضر",$N262="دوام جزئي"),$F262&lt;$H262),($H262-$F262)*24,0))</f>
        <v/>
      </c>
      <c r="M262" s="58">
        <f>IF(OR($A262="",$F262=""),"",IF(AND(احتساب_العمل_الإضافي="نعم",OR($N262="حاضر",$N262="دوام جزئي"),$F262&gt;$H262,($F262-$H262)*24*60&gt;=حد_العمل_الإضافي_دقيقة),($F262-$H262)*24,0))</f>
        <v/>
      </c>
      <c r="N262" s="47" t="n"/>
      <c r="O262" s="47" t="n"/>
      <c r="Q262">
        <f>IF(AND(ISNUMBER($K262),$K262&gt;0),SUMPRODUCT(ISNUMBER($K$3:$K$502)*($K$3:$K$502&gt;0)*(ROW($K$3:$K$502)&lt;=ROW())),"")</f>
        <v/>
      </c>
    </row>
    <row r="263">
      <c r="A263" s="40" t="n"/>
      <c r="B263" s="43">
        <f>IFERROR(INDEX(الموظفون_الاسم,MATCH($A263,الموظفون_الرقم,0)),"")</f>
        <v/>
      </c>
      <c r="C263" s="110" t="n"/>
      <c r="D263" s="43">
        <f>IF($C263="","",IFERROR(INDEX(قائمة_أيام_الأسبوع,WEEKDAY($C263,1)),""))</f>
        <v/>
      </c>
      <c r="E263" s="114" t="n"/>
      <c r="F263" s="114" t="n"/>
      <c r="G263" s="115">
        <f>IF($A263="","",بداية_الدوام)</f>
        <v/>
      </c>
      <c r="H263" s="115">
        <f>IF($A263="","",نهاية_الدوام)</f>
        <v/>
      </c>
      <c r="I263" s="55">
        <f>IF($A263="","",مدة_الاستراحة/60)</f>
        <v/>
      </c>
      <c r="J263" s="55">
        <f>IF(OR($A263="",$E263="",$F263=""),"",IF(OR($N263="حاضر",$N263="دوام جزئي"),MAX(0,MOD($F263-$E263,1)*24-$I263),0))</f>
        <v/>
      </c>
      <c r="K263" s="55">
        <f>IF(OR($A263="",$E263=""),"",IF(AND(احتساب_التأخير="نعم",OR($N263="حاضر",$N263="دوام جزئي"),$E263&gt;$G263+دقائق_السماح/1440),($E263-$G263-دقائق_السماح/1440)*24,0))</f>
        <v/>
      </c>
      <c r="L263" s="55">
        <f>IF(OR($A263="",$F263=""),"",IF(AND(OR($N263="حاضر",$N263="دوام جزئي"),$F263&lt;$H263),($H263-$F263)*24,0))</f>
        <v/>
      </c>
      <c r="M263" s="55">
        <f>IF(OR($A263="",$F263=""),"",IF(AND(احتساب_العمل_الإضافي="نعم",OR($N263="حاضر",$N263="دوام جزئي"),$F263&gt;$H263,($F263-$H263)*24*60&gt;=حد_العمل_الإضافي_دقيقة),($F263-$H263)*24,0))</f>
        <v/>
      </c>
      <c r="N263" s="40" t="n"/>
      <c r="O263" s="40" t="n"/>
      <c r="Q263">
        <f>IF(AND(ISNUMBER($K263),$K263&gt;0),SUMPRODUCT(ISNUMBER($K$3:$K$502)*($K$3:$K$502&gt;0)*(ROW($K$3:$K$502)&lt;=ROW())),"")</f>
        <v/>
      </c>
    </row>
    <row r="264">
      <c r="A264" s="47" t="n"/>
      <c r="B264" s="50">
        <f>IFERROR(INDEX(الموظفون_الاسم,MATCH($A264,الموظفون_الرقم,0)),"")</f>
        <v/>
      </c>
      <c r="C264" s="112" t="n"/>
      <c r="D264" s="50">
        <f>IF($C264="","",IFERROR(INDEX(قائمة_أيام_الأسبوع,WEEKDAY($C264,1)),""))</f>
        <v/>
      </c>
      <c r="E264" s="116" t="n"/>
      <c r="F264" s="116" t="n"/>
      <c r="G264" s="117">
        <f>IF($A264="","",بداية_الدوام)</f>
        <v/>
      </c>
      <c r="H264" s="117">
        <f>IF($A264="","",نهاية_الدوام)</f>
        <v/>
      </c>
      <c r="I264" s="58">
        <f>IF($A264="","",مدة_الاستراحة/60)</f>
        <v/>
      </c>
      <c r="J264" s="58">
        <f>IF(OR($A264="",$E264="",$F264=""),"",IF(OR($N264="حاضر",$N264="دوام جزئي"),MAX(0,MOD($F264-$E264,1)*24-$I264),0))</f>
        <v/>
      </c>
      <c r="K264" s="58">
        <f>IF(OR($A264="",$E264=""),"",IF(AND(احتساب_التأخير="نعم",OR($N264="حاضر",$N264="دوام جزئي"),$E264&gt;$G264+دقائق_السماح/1440),($E264-$G264-دقائق_السماح/1440)*24,0))</f>
        <v/>
      </c>
      <c r="L264" s="58">
        <f>IF(OR($A264="",$F264=""),"",IF(AND(OR($N264="حاضر",$N264="دوام جزئي"),$F264&lt;$H264),($H264-$F264)*24,0))</f>
        <v/>
      </c>
      <c r="M264" s="58">
        <f>IF(OR($A264="",$F264=""),"",IF(AND(احتساب_العمل_الإضافي="نعم",OR($N264="حاضر",$N264="دوام جزئي"),$F264&gt;$H264,($F264-$H264)*24*60&gt;=حد_العمل_الإضافي_دقيقة),($F264-$H264)*24,0))</f>
        <v/>
      </c>
      <c r="N264" s="47" t="n"/>
      <c r="O264" s="47" t="n"/>
      <c r="Q264">
        <f>IF(AND(ISNUMBER($K264),$K264&gt;0),SUMPRODUCT(ISNUMBER($K$3:$K$502)*($K$3:$K$502&gt;0)*(ROW($K$3:$K$502)&lt;=ROW())),"")</f>
        <v/>
      </c>
    </row>
    <row r="265">
      <c r="A265" s="40" t="n"/>
      <c r="B265" s="43">
        <f>IFERROR(INDEX(الموظفون_الاسم,MATCH($A265,الموظفون_الرقم,0)),"")</f>
        <v/>
      </c>
      <c r="C265" s="110" t="n"/>
      <c r="D265" s="43">
        <f>IF($C265="","",IFERROR(INDEX(قائمة_أيام_الأسبوع,WEEKDAY($C265,1)),""))</f>
        <v/>
      </c>
      <c r="E265" s="114" t="n"/>
      <c r="F265" s="114" t="n"/>
      <c r="G265" s="115">
        <f>IF($A265="","",بداية_الدوام)</f>
        <v/>
      </c>
      <c r="H265" s="115">
        <f>IF($A265="","",نهاية_الدوام)</f>
        <v/>
      </c>
      <c r="I265" s="55">
        <f>IF($A265="","",مدة_الاستراحة/60)</f>
        <v/>
      </c>
      <c r="J265" s="55">
        <f>IF(OR($A265="",$E265="",$F265=""),"",IF(OR($N265="حاضر",$N265="دوام جزئي"),MAX(0,MOD($F265-$E265,1)*24-$I265),0))</f>
        <v/>
      </c>
      <c r="K265" s="55">
        <f>IF(OR($A265="",$E265=""),"",IF(AND(احتساب_التأخير="نعم",OR($N265="حاضر",$N265="دوام جزئي"),$E265&gt;$G265+دقائق_السماح/1440),($E265-$G265-دقائق_السماح/1440)*24,0))</f>
        <v/>
      </c>
      <c r="L265" s="55">
        <f>IF(OR($A265="",$F265=""),"",IF(AND(OR($N265="حاضر",$N265="دوام جزئي"),$F265&lt;$H265),($H265-$F265)*24,0))</f>
        <v/>
      </c>
      <c r="M265" s="55">
        <f>IF(OR($A265="",$F265=""),"",IF(AND(احتساب_العمل_الإضافي="نعم",OR($N265="حاضر",$N265="دوام جزئي"),$F265&gt;$H265,($F265-$H265)*24*60&gt;=حد_العمل_الإضافي_دقيقة),($F265-$H265)*24,0))</f>
        <v/>
      </c>
      <c r="N265" s="40" t="n"/>
      <c r="O265" s="40" t="n"/>
      <c r="Q265">
        <f>IF(AND(ISNUMBER($K265),$K265&gt;0),SUMPRODUCT(ISNUMBER($K$3:$K$502)*($K$3:$K$502&gt;0)*(ROW($K$3:$K$502)&lt;=ROW())),"")</f>
        <v/>
      </c>
    </row>
    <row r="266">
      <c r="A266" s="47" t="n"/>
      <c r="B266" s="50">
        <f>IFERROR(INDEX(الموظفون_الاسم,MATCH($A266,الموظفون_الرقم,0)),"")</f>
        <v/>
      </c>
      <c r="C266" s="112" t="n"/>
      <c r="D266" s="50">
        <f>IF($C266="","",IFERROR(INDEX(قائمة_أيام_الأسبوع,WEEKDAY($C266,1)),""))</f>
        <v/>
      </c>
      <c r="E266" s="116" t="n"/>
      <c r="F266" s="116" t="n"/>
      <c r="G266" s="117">
        <f>IF($A266="","",بداية_الدوام)</f>
        <v/>
      </c>
      <c r="H266" s="117">
        <f>IF($A266="","",نهاية_الدوام)</f>
        <v/>
      </c>
      <c r="I266" s="58">
        <f>IF($A266="","",مدة_الاستراحة/60)</f>
        <v/>
      </c>
      <c r="J266" s="58">
        <f>IF(OR($A266="",$E266="",$F266=""),"",IF(OR($N266="حاضر",$N266="دوام جزئي"),MAX(0,MOD($F266-$E266,1)*24-$I266),0))</f>
        <v/>
      </c>
      <c r="K266" s="58">
        <f>IF(OR($A266="",$E266=""),"",IF(AND(احتساب_التأخير="نعم",OR($N266="حاضر",$N266="دوام جزئي"),$E266&gt;$G266+دقائق_السماح/1440),($E266-$G266-دقائق_السماح/1440)*24,0))</f>
        <v/>
      </c>
      <c r="L266" s="58">
        <f>IF(OR($A266="",$F266=""),"",IF(AND(OR($N266="حاضر",$N266="دوام جزئي"),$F266&lt;$H266),($H266-$F266)*24,0))</f>
        <v/>
      </c>
      <c r="M266" s="58">
        <f>IF(OR($A266="",$F266=""),"",IF(AND(احتساب_العمل_الإضافي="نعم",OR($N266="حاضر",$N266="دوام جزئي"),$F266&gt;$H266,($F266-$H266)*24*60&gt;=حد_العمل_الإضافي_دقيقة),($F266-$H266)*24,0))</f>
        <v/>
      </c>
      <c r="N266" s="47" t="n"/>
      <c r="O266" s="47" t="n"/>
      <c r="Q266">
        <f>IF(AND(ISNUMBER($K266),$K266&gt;0),SUMPRODUCT(ISNUMBER($K$3:$K$502)*($K$3:$K$502&gt;0)*(ROW($K$3:$K$502)&lt;=ROW())),"")</f>
        <v/>
      </c>
    </row>
    <row r="267">
      <c r="A267" s="40" t="n"/>
      <c r="B267" s="43">
        <f>IFERROR(INDEX(الموظفون_الاسم,MATCH($A267,الموظفون_الرقم,0)),"")</f>
        <v/>
      </c>
      <c r="C267" s="110" t="n"/>
      <c r="D267" s="43">
        <f>IF($C267="","",IFERROR(INDEX(قائمة_أيام_الأسبوع,WEEKDAY($C267,1)),""))</f>
        <v/>
      </c>
      <c r="E267" s="114" t="n"/>
      <c r="F267" s="114" t="n"/>
      <c r="G267" s="115">
        <f>IF($A267="","",بداية_الدوام)</f>
        <v/>
      </c>
      <c r="H267" s="115">
        <f>IF($A267="","",نهاية_الدوام)</f>
        <v/>
      </c>
      <c r="I267" s="55">
        <f>IF($A267="","",مدة_الاستراحة/60)</f>
        <v/>
      </c>
      <c r="J267" s="55">
        <f>IF(OR($A267="",$E267="",$F267=""),"",IF(OR($N267="حاضر",$N267="دوام جزئي"),MAX(0,MOD($F267-$E267,1)*24-$I267),0))</f>
        <v/>
      </c>
      <c r="K267" s="55">
        <f>IF(OR($A267="",$E267=""),"",IF(AND(احتساب_التأخير="نعم",OR($N267="حاضر",$N267="دوام جزئي"),$E267&gt;$G267+دقائق_السماح/1440),($E267-$G267-دقائق_السماح/1440)*24,0))</f>
        <v/>
      </c>
      <c r="L267" s="55">
        <f>IF(OR($A267="",$F267=""),"",IF(AND(OR($N267="حاضر",$N267="دوام جزئي"),$F267&lt;$H267),($H267-$F267)*24,0))</f>
        <v/>
      </c>
      <c r="M267" s="55">
        <f>IF(OR($A267="",$F267=""),"",IF(AND(احتساب_العمل_الإضافي="نعم",OR($N267="حاضر",$N267="دوام جزئي"),$F267&gt;$H267,($F267-$H267)*24*60&gt;=حد_العمل_الإضافي_دقيقة),($F267-$H267)*24,0))</f>
        <v/>
      </c>
      <c r="N267" s="40" t="n"/>
      <c r="O267" s="40" t="n"/>
      <c r="Q267">
        <f>IF(AND(ISNUMBER($K267),$K267&gt;0),SUMPRODUCT(ISNUMBER($K$3:$K$502)*($K$3:$K$502&gt;0)*(ROW($K$3:$K$502)&lt;=ROW())),"")</f>
        <v/>
      </c>
    </row>
    <row r="268">
      <c r="A268" s="47" t="n"/>
      <c r="B268" s="50">
        <f>IFERROR(INDEX(الموظفون_الاسم,MATCH($A268,الموظفون_الرقم,0)),"")</f>
        <v/>
      </c>
      <c r="C268" s="112" t="n"/>
      <c r="D268" s="50">
        <f>IF($C268="","",IFERROR(INDEX(قائمة_أيام_الأسبوع,WEEKDAY($C268,1)),""))</f>
        <v/>
      </c>
      <c r="E268" s="116" t="n"/>
      <c r="F268" s="116" t="n"/>
      <c r="G268" s="117">
        <f>IF($A268="","",بداية_الدوام)</f>
        <v/>
      </c>
      <c r="H268" s="117">
        <f>IF($A268="","",نهاية_الدوام)</f>
        <v/>
      </c>
      <c r="I268" s="58">
        <f>IF($A268="","",مدة_الاستراحة/60)</f>
        <v/>
      </c>
      <c r="J268" s="58">
        <f>IF(OR($A268="",$E268="",$F268=""),"",IF(OR($N268="حاضر",$N268="دوام جزئي"),MAX(0,MOD($F268-$E268,1)*24-$I268),0))</f>
        <v/>
      </c>
      <c r="K268" s="58">
        <f>IF(OR($A268="",$E268=""),"",IF(AND(احتساب_التأخير="نعم",OR($N268="حاضر",$N268="دوام جزئي"),$E268&gt;$G268+دقائق_السماح/1440),($E268-$G268-دقائق_السماح/1440)*24,0))</f>
        <v/>
      </c>
      <c r="L268" s="58">
        <f>IF(OR($A268="",$F268=""),"",IF(AND(OR($N268="حاضر",$N268="دوام جزئي"),$F268&lt;$H268),($H268-$F268)*24,0))</f>
        <v/>
      </c>
      <c r="M268" s="58">
        <f>IF(OR($A268="",$F268=""),"",IF(AND(احتساب_العمل_الإضافي="نعم",OR($N268="حاضر",$N268="دوام جزئي"),$F268&gt;$H268,($F268-$H268)*24*60&gt;=حد_العمل_الإضافي_دقيقة),($F268-$H268)*24,0))</f>
        <v/>
      </c>
      <c r="N268" s="47" t="n"/>
      <c r="O268" s="47" t="n"/>
      <c r="Q268">
        <f>IF(AND(ISNUMBER($K268),$K268&gt;0),SUMPRODUCT(ISNUMBER($K$3:$K$502)*($K$3:$K$502&gt;0)*(ROW($K$3:$K$502)&lt;=ROW())),"")</f>
        <v/>
      </c>
    </row>
    <row r="269">
      <c r="A269" s="40" t="n"/>
      <c r="B269" s="43">
        <f>IFERROR(INDEX(الموظفون_الاسم,MATCH($A269,الموظفون_الرقم,0)),"")</f>
        <v/>
      </c>
      <c r="C269" s="110" t="n"/>
      <c r="D269" s="43">
        <f>IF($C269="","",IFERROR(INDEX(قائمة_أيام_الأسبوع,WEEKDAY($C269,1)),""))</f>
        <v/>
      </c>
      <c r="E269" s="114" t="n"/>
      <c r="F269" s="114" t="n"/>
      <c r="G269" s="115">
        <f>IF($A269="","",بداية_الدوام)</f>
        <v/>
      </c>
      <c r="H269" s="115">
        <f>IF($A269="","",نهاية_الدوام)</f>
        <v/>
      </c>
      <c r="I269" s="55">
        <f>IF($A269="","",مدة_الاستراحة/60)</f>
        <v/>
      </c>
      <c r="J269" s="55">
        <f>IF(OR($A269="",$E269="",$F269=""),"",IF(OR($N269="حاضر",$N269="دوام جزئي"),MAX(0,MOD($F269-$E269,1)*24-$I269),0))</f>
        <v/>
      </c>
      <c r="K269" s="55">
        <f>IF(OR($A269="",$E269=""),"",IF(AND(احتساب_التأخير="نعم",OR($N269="حاضر",$N269="دوام جزئي"),$E269&gt;$G269+دقائق_السماح/1440),($E269-$G269-دقائق_السماح/1440)*24,0))</f>
        <v/>
      </c>
      <c r="L269" s="55">
        <f>IF(OR($A269="",$F269=""),"",IF(AND(OR($N269="حاضر",$N269="دوام جزئي"),$F269&lt;$H269),($H269-$F269)*24,0))</f>
        <v/>
      </c>
      <c r="M269" s="55">
        <f>IF(OR($A269="",$F269=""),"",IF(AND(احتساب_العمل_الإضافي="نعم",OR($N269="حاضر",$N269="دوام جزئي"),$F269&gt;$H269,($F269-$H269)*24*60&gt;=حد_العمل_الإضافي_دقيقة),($F269-$H269)*24,0))</f>
        <v/>
      </c>
      <c r="N269" s="40" t="n"/>
      <c r="O269" s="40" t="n"/>
      <c r="Q269">
        <f>IF(AND(ISNUMBER($K269),$K269&gt;0),SUMPRODUCT(ISNUMBER($K$3:$K$502)*($K$3:$K$502&gt;0)*(ROW($K$3:$K$502)&lt;=ROW())),"")</f>
        <v/>
      </c>
    </row>
    <row r="270">
      <c r="A270" s="47" t="n"/>
      <c r="B270" s="50">
        <f>IFERROR(INDEX(الموظفون_الاسم,MATCH($A270,الموظفون_الرقم,0)),"")</f>
        <v/>
      </c>
      <c r="C270" s="112" t="n"/>
      <c r="D270" s="50">
        <f>IF($C270="","",IFERROR(INDEX(قائمة_أيام_الأسبوع,WEEKDAY($C270,1)),""))</f>
        <v/>
      </c>
      <c r="E270" s="116" t="n"/>
      <c r="F270" s="116" t="n"/>
      <c r="G270" s="117">
        <f>IF($A270="","",بداية_الدوام)</f>
        <v/>
      </c>
      <c r="H270" s="117">
        <f>IF($A270="","",نهاية_الدوام)</f>
        <v/>
      </c>
      <c r="I270" s="58">
        <f>IF($A270="","",مدة_الاستراحة/60)</f>
        <v/>
      </c>
      <c r="J270" s="58">
        <f>IF(OR($A270="",$E270="",$F270=""),"",IF(OR($N270="حاضر",$N270="دوام جزئي"),MAX(0,MOD($F270-$E270,1)*24-$I270),0))</f>
        <v/>
      </c>
      <c r="K270" s="58">
        <f>IF(OR($A270="",$E270=""),"",IF(AND(احتساب_التأخير="نعم",OR($N270="حاضر",$N270="دوام جزئي"),$E270&gt;$G270+دقائق_السماح/1440),($E270-$G270-دقائق_السماح/1440)*24,0))</f>
        <v/>
      </c>
      <c r="L270" s="58">
        <f>IF(OR($A270="",$F270=""),"",IF(AND(OR($N270="حاضر",$N270="دوام جزئي"),$F270&lt;$H270),($H270-$F270)*24,0))</f>
        <v/>
      </c>
      <c r="M270" s="58">
        <f>IF(OR($A270="",$F270=""),"",IF(AND(احتساب_العمل_الإضافي="نعم",OR($N270="حاضر",$N270="دوام جزئي"),$F270&gt;$H270,($F270-$H270)*24*60&gt;=حد_العمل_الإضافي_دقيقة),($F270-$H270)*24,0))</f>
        <v/>
      </c>
      <c r="N270" s="47" t="n"/>
      <c r="O270" s="47" t="n"/>
      <c r="Q270">
        <f>IF(AND(ISNUMBER($K270),$K270&gt;0),SUMPRODUCT(ISNUMBER($K$3:$K$502)*($K$3:$K$502&gt;0)*(ROW($K$3:$K$502)&lt;=ROW())),"")</f>
        <v/>
      </c>
    </row>
    <row r="271">
      <c r="A271" s="40" t="n"/>
      <c r="B271" s="43">
        <f>IFERROR(INDEX(الموظفون_الاسم,MATCH($A271,الموظفون_الرقم,0)),"")</f>
        <v/>
      </c>
      <c r="C271" s="110" t="n"/>
      <c r="D271" s="43">
        <f>IF($C271="","",IFERROR(INDEX(قائمة_أيام_الأسبوع,WEEKDAY($C271,1)),""))</f>
        <v/>
      </c>
      <c r="E271" s="114" t="n"/>
      <c r="F271" s="114" t="n"/>
      <c r="G271" s="115">
        <f>IF($A271="","",بداية_الدوام)</f>
        <v/>
      </c>
      <c r="H271" s="115">
        <f>IF($A271="","",نهاية_الدوام)</f>
        <v/>
      </c>
      <c r="I271" s="55">
        <f>IF($A271="","",مدة_الاستراحة/60)</f>
        <v/>
      </c>
      <c r="J271" s="55">
        <f>IF(OR($A271="",$E271="",$F271=""),"",IF(OR($N271="حاضر",$N271="دوام جزئي"),MAX(0,MOD($F271-$E271,1)*24-$I271),0))</f>
        <v/>
      </c>
      <c r="K271" s="55">
        <f>IF(OR($A271="",$E271=""),"",IF(AND(احتساب_التأخير="نعم",OR($N271="حاضر",$N271="دوام جزئي"),$E271&gt;$G271+دقائق_السماح/1440),($E271-$G271-دقائق_السماح/1440)*24,0))</f>
        <v/>
      </c>
      <c r="L271" s="55">
        <f>IF(OR($A271="",$F271=""),"",IF(AND(OR($N271="حاضر",$N271="دوام جزئي"),$F271&lt;$H271),($H271-$F271)*24,0))</f>
        <v/>
      </c>
      <c r="M271" s="55">
        <f>IF(OR($A271="",$F271=""),"",IF(AND(احتساب_العمل_الإضافي="نعم",OR($N271="حاضر",$N271="دوام جزئي"),$F271&gt;$H271,($F271-$H271)*24*60&gt;=حد_العمل_الإضافي_دقيقة),($F271-$H271)*24,0))</f>
        <v/>
      </c>
      <c r="N271" s="40" t="n"/>
      <c r="O271" s="40" t="n"/>
      <c r="Q271">
        <f>IF(AND(ISNUMBER($K271),$K271&gt;0),SUMPRODUCT(ISNUMBER($K$3:$K$502)*($K$3:$K$502&gt;0)*(ROW($K$3:$K$502)&lt;=ROW())),"")</f>
        <v/>
      </c>
    </row>
    <row r="272">
      <c r="A272" s="47" t="n"/>
      <c r="B272" s="50">
        <f>IFERROR(INDEX(الموظفون_الاسم,MATCH($A272,الموظفون_الرقم,0)),"")</f>
        <v/>
      </c>
      <c r="C272" s="112" t="n"/>
      <c r="D272" s="50">
        <f>IF($C272="","",IFERROR(INDEX(قائمة_أيام_الأسبوع,WEEKDAY($C272,1)),""))</f>
        <v/>
      </c>
      <c r="E272" s="116" t="n"/>
      <c r="F272" s="116" t="n"/>
      <c r="G272" s="117">
        <f>IF($A272="","",بداية_الدوام)</f>
        <v/>
      </c>
      <c r="H272" s="117">
        <f>IF($A272="","",نهاية_الدوام)</f>
        <v/>
      </c>
      <c r="I272" s="58">
        <f>IF($A272="","",مدة_الاستراحة/60)</f>
        <v/>
      </c>
      <c r="J272" s="58">
        <f>IF(OR($A272="",$E272="",$F272=""),"",IF(OR($N272="حاضر",$N272="دوام جزئي"),MAX(0,MOD($F272-$E272,1)*24-$I272),0))</f>
        <v/>
      </c>
      <c r="K272" s="58">
        <f>IF(OR($A272="",$E272=""),"",IF(AND(احتساب_التأخير="نعم",OR($N272="حاضر",$N272="دوام جزئي"),$E272&gt;$G272+دقائق_السماح/1440),($E272-$G272-دقائق_السماح/1440)*24,0))</f>
        <v/>
      </c>
      <c r="L272" s="58">
        <f>IF(OR($A272="",$F272=""),"",IF(AND(OR($N272="حاضر",$N272="دوام جزئي"),$F272&lt;$H272),($H272-$F272)*24,0))</f>
        <v/>
      </c>
      <c r="M272" s="58">
        <f>IF(OR($A272="",$F272=""),"",IF(AND(احتساب_العمل_الإضافي="نعم",OR($N272="حاضر",$N272="دوام جزئي"),$F272&gt;$H272,($F272-$H272)*24*60&gt;=حد_العمل_الإضافي_دقيقة),($F272-$H272)*24,0))</f>
        <v/>
      </c>
      <c r="N272" s="47" t="n"/>
      <c r="O272" s="47" t="n"/>
      <c r="Q272">
        <f>IF(AND(ISNUMBER($K272),$K272&gt;0),SUMPRODUCT(ISNUMBER($K$3:$K$502)*($K$3:$K$502&gt;0)*(ROW($K$3:$K$502)&lt;=ROW())),"")</f>
        <v/>
      </c>
    </row>
    <row r="273">
      <c r="A273" s="40" t="n"/>
      <c r="B273" s="43">
        <f>IFERROR(INDEX(الموظفون_الاسم,MATCH($A273,الموظفون_الرقم,0)),"")</f>
        <v/>
      </c>
      <c r="C273" s="110" t="n"/>
      <c r="D273" s="43">
        <f>IF($C273="","",IFERROR(INDEX(قائمة_أيام_الأسبوع,WEEKDAY($C273,1)),""))</f>
        <v/>
      </c>
      <c r="E273" s="114" t="n"/>
      <c r="F273" s="114" t="n"/>
      <c r="G273" s="115">
        <f>IF($A273="","",بداية_الدوام)</f>
        <v/>
      </c>
      <c r="H273" s="115">
        <f>IF($A273="","",نهاية_الدوام)</f>
        <v/>
      </c>
      <c r="I273" s="55">
        <f>IF($A273="","",مدة_الاستراحة/60)</f>
        <v/>
      </c>
      <c r="J273" s="55">
        <f>IF(OR($A273="",$E273="",$F273=""),"",IF(OR($N273="حاضر",$N273="دوام جزئي"),MAX(0,MOD($F273-$E273,1)*24-$I273),0))</f>
        <v/>
      </c>
      <c r="K273" s="55">
        <f>IF(OR($A273="",$E273=""),"",IF(AND(احتساب_التأخير="نعم",OR($N273="حاضر",$N273="دوام جزئي"),$E273&gt;$G273+دقائق_السماح/1440),($E273-$G273-دقائق_السماح/1440)*24,0))</f>
        <v/>
      </c>
      <c r="L273" s="55">
        <f>IF(OR($A273="",$F273=""),"",IF(AND(OR($N273="حاضر",$N273="دوام جزئي"),$F273&lt;$H273),($H273-$F273)*24,0))</f>
        <v/>
      </c>
      <c r="M273" s="55">
        <f>IF(OR($A273="",$F273=""),"",IF(AND(احتساب_العمل_الإضافي="نعم",OR($N273="حاضر",$N273="دوام جزئي"),$F273&gt;$H273,($F273-$H273)*24*60&gt;=حد_العمل_الإضافي_دقيقة),($F273-$H273)*24,0))</f>
        <v/>
      </c>
      <c r="N273" s="40" t="n"/>
      <c r="O273" s="40" t="n"/>
      <c r="Q273">
        <f>IF(AND(ISNUMBER($K273),$K273&gt;0),SUMPRODUCT(ISNUMBER($K$3:$K$502)*($K$3:$K$502&gt;0)*(ROW($K$3:$K$502)&lt;=ROW())),"")</f>
        <v/>
      </c>
    </row>
    <row r="274">
      <c r="A274" s="47" t="n"/>
      <c r="B274" s="50">
        <f>IFERROR(INDEX(الموظفون_الاسم,MATCH($A274,الموظفون_الرقم,0)),"")</f>
        <v/>
      </c>
      <c r="C274" s="112" t="n"/>
      <c r="D274" s="50">
        <f>IF($C274="","",IFERROR(INDEX(قائمة_أيام_الأسبوع,WEEKDAY($C274,1)),""))</f>
        <v/>
      </c>
      <c r="E274" s="116" t="n"/>
      <c r="F274" s="116" t="n"/>
      <c r="G274" s="117">
        <f>IF($A274="","",بداية_الدوام)</f>
        <v/>
      </c>
      <c r="H274" s="117">
        <f>IF($A274="","",نهاية_الدوام)</f>
        <v/>
      </c>
      <c r="I274" s="58">
        <f>IF($A274="","",مدة_الاستراحة/60)</f>
        <v/>
      </c>
      <c r="J274" s="58">
        <f>IF(OR($A274="",$E274="",$F274=""),"",IF(OR($N274="حاضر",$N274="دوام جزئي"),MAX(0,MOD($F274-$E274,1)*24-$I274),0))</f>
        <v/>
      </c>
      <c r="K274" s="58">
        <f>IF(OR($A274="",$E274=""),"",IF(AND(احتساب_التأخير="نعم",OR($N274="حاضر",$N274="دوام جزئي"),$E274&gt;$G274+دقائق_السماح/1440),($E274-$G274-دقائق_السماح/1440)*24,0))</f>
        <v/>
      </c>
      <c r="L274" s="58">
        <f>IF(OR($A274="",$F274=""),"",IF(AND(OR($N274="حاضر",$N274="دوام جزئي"),$F274&lt;$H274),($H274-$F274)*24,0))</f>
        <v/>
      </c>
      <c r="M274" s="58">
        <f>IF(OR($A274="",$F274=""),"",IF(AND(احتساب_العمل_الإضافي="نعم",OR($N274="حاضر",$N274="دوام جزئي"),$F274&gt;$H274,($F274-$H274)*24*60&gt;=حد_العمل_الإضافي_دقيقة),($F274-$H274)*24,0))</f>
        <v/>
      </c>
      <c r="N274" s="47" t="n"/>
      <c r="O274" s="47" t="n"/>
      <c r="Q274">
        <f>IF(AND(ISNUMBER($K274),$K274&gt;0),SUMPRODUCT(ISNUMBER($K$3:$K$502)*($K$3:$K$502&gt;0)*(ROW($K$3:$K$502)&lt;=ROW())),"")</f>
        <v/>
      </c>
    </row>
    <row r="275">
      <c r="A275" s="40" t="n"/>
      <c r="B275" s="43">
        <f>IFERROR(INDEX(الموظفون_الاسم,MATCH($A275,الموظفون_الرقم,0)),"")</f>
        <v/>
      </c>
      <c r="C275" s="110" t="n"/>
      <c r="D275" s="43">
        <f>IF($C275="","",IFERROR(INDEX(قائمة_أيام_الأسبوع,WEEKDAY($C275,1)),""))</f>
        <v/>
      </c>
      <c r="E275" s="114" t="n"/>
      <c r="F275" s="114" t="n"/>
      <c r="G275" s="115">
        <f>IF($A275="","",بداية_الدوام)</f>
        <v/>
      </c>
      <c r="H275" s="115">
        <f>IF($A275="","",نهاية_الدوام)</f>
        <v/>
      </c>
      <c r="I275" s="55">
        <f>IF($A275="","",مدة_الاستراحة/60)</f>
        <v/>
      </c>
      <c r="J275" s="55">
        <f>IF(OR($A275="",$E275="",$F275=""),"",IF(OR($N275="حاضر",$N275="دوام جزئي"),MAX(0,MOD($F275-$E275,1)*24-$I275),0))</f>
        <v/>
      </c>
      <c r="K275" s="55">
        <f>IF(OR($A275="",$E275=""),"",IF(AND(احتساب_التأخير="نعم",OR($N275="حاضر",$N275="دوام جزئي"),$E275&gt;$G275+دقائق_السماح/1440),($E275-$G275-دقائق_السماح/1440)*24,0))</f>
        <v/>
      </c>
      <c r="L275" s="55">
        <f>IF(OR($A275="",$F275=""),"",IF(AND(OR($N275="حاضر",$N275="دوام جزئي"),$F275&lt;$H275),($H275-$F275)*24,0))</f>
        <v/>
      </c>
      <c r="M275" s="55">
        <f>IF(OR($A275="",$F275=""),"",IF(AND(احتساب_العمل_الإضافي="نعم",OR($N275="حاضر",$N275="دوام جزئي"),$F275&gt;$H275,($F275-$H275)*24*60&gt;=حد_العمل_الإضافي_دقيقة),($F275-$H275)*24,0))</f>
        <v/>
      </c>
      <c r="N275" s="40" t="n"/>
      <c r="O275" s="40" t="n"/>
      <c r="Q275">
        <f>IF(AND(ISNUMBER($K275),$K275&gt;0),SUMPRODUCT(ISNUMBER($K$3:$K$502)*($K$3:$K$502&gt;0)*(ROW($K$3:$K$502)&lt;=ROW())),"")</f>
        <v/>
      </c>
    </row>
    <row r="276">
      <c r="A276" s="47" t="n"/>
      <c r="B276" s="50">
        <f>IFERROR(INDEX(الموظفون_الاسم,MATCH($A276,الموظفون_الرقم,0)),"")</f>
        <v/>
      </c>
      <c r="C276" s="112" t="n"/>
      <c r="D276" s="50">
        <f>IF($C276="","",IFERROR(INDEX(قائمة_أيام_الأسبوع,WEEKDAY($C276,1)),""))</f>
        <v/>
      </c>
      <c r="E276" s="116" t="n"/>
      <c r="F276" s="116" t="n"/>
      <c r="G276" s="117">
        <f>IF($A276="","",بداية_الدوام)</f>
        <v/>
      </c>
      <c r="H276" s="117">
        <f>IF($A276="","",نهاية_الدوام)</f>
        <v/>
      </c>
      <c r="I276" s="58">
        <f>IF($A276="","",مدة_الاستراحة/60)</f>
        <v/>
      </c>
      <c r="J276" s="58">
        <f>IF(OR($A276="",$E276="",$F276=""),"",IF(OR($N276="حاضر",$N276="دوام جزئي"),MAX(0,MOD($F276-$E276,1)*24-$I276),0))</f>
        <v/>
      </c>
      <c r="K276" s="58">
        <f>IF(OR($A276="",$E276=""),"",IF(AND(احتساب_التأخير="نعم",OR($N276="حاضر",$N276="دوام جزئي"),$E276&gt;$G276+دقائق_السماح/1440),($E276-$G276-دقائق_السماح/1440)*24,0))</f>
        <v/>
      </c>
      <c r="L276" s="58">
        <f>IF(OR($A276="",$F276=""),"",IF(AND(OR($N276="حاضر",$N276="دوام جزئي"),$F276&lt;$H276),($H276-$F276)*24,0))</f>
        <v/>
      </c>
      <c r="M276" s="58">
        <f>IF(OR($A276="",$F276=""),"",IF(AND(احتساب_العمل_الإضافي="نعم",OR($N276="حاضر",$N276="دوام جزئي"),$F276&gt;$H276,($F276-$H276)*24*60&gt;=حد_العمل_الإضافي_دقيقة),($F276-$H276)*24,0))</f>
        <v/>
      </c>
      <c r="N276" s="47" t="n"/>
      <c r="O276" s="47" t="n"/>
      <c r="Q276">
        <f>IF(AND(ISNUMBER($K276),$K276&gt;0),SUMPRODUCT(ISNUMBER($K$3:$K$502)*($K$3:$K$502&gt;0)*(ROW($K$3:$K$502)&lt;=ROW())),"")</f>
        <v/>
      </c>
    </row>
    <row r="277">
      <c r="A277" s="40" t="n"/>
      <c r="B277" s="43">
        <f>IFERROR(INDEX(الموظفون_الاسم,MATCH($A277,الموظفون_الرقم,0)),"")</f>
        <v/>
      </c>
      <c r="C277" s="110" t="n"/>
      <c r="D277" s="43">
        <f>IF($C277="","",IFERROR(INDEX(قائمة_أيام_الأسبوع,WEEKDAY($C277,1)),""))</f>
        <v/>
      </c>
      <c r="E277" s="114" t="n"/>
      <c r="F277" s="114" t="n"/>
      <c r="G277" s="115">
        <f>IF($A277="","",بداية_الدوام)</f>
        <v/>
      </c>
      <c r="H277" s="115">
        <f>IF($A277="","",نهاية_الدوام)</f>
        <v/>
      </c>
      <c r="I277" s="55">
        <f>IF($A277="","",مدة_الاستراحة/60)</f>
        <v/>
      </c>
      <c r="J277" s="55">
        <f>IF(OR($A277="",$E277="",$F277=""),"",IF(OR($N277="حاضر",$N277="دوام جزئي"),MAX(0,MOD($F277-$E277,1)*24-$I277),0))</f>
        <v/>
      </c>
      <c r="K277" s="55">
        <f>IF(OR($A277="",$E277=""),"",IF(AND(احتساب_التأخير="نعم",OR($N277="حاضر",$N277="دوام جزئي"),$E277&gt;$G277+دقائق_السماح/1440),($E277-$G277-دقائق_السماح/1440)*24,0))</f>
        <v/>
      </c>
      <c r="L277" s="55">
        <f>IF(OR($A277="",$F277=""),"",IF(AND(OR($N277="حاضر",$N277="دوام جزئي"),$F277&lt;$H277),($H277-$F277)*24,0))</f>
        <v/>
      </c>
      <c r="M277" s="55">
        <f>IF(OR($A277="",$F277=""),"",IF(AND(احتساب_العمل_الإضافي="نعم",OR($N277="حاضر",$N277="دوام جزئي"),$F277&gt;$H277,($F277-$H277)*24*60&gt;=حد_العمل_الإضافي_دقيقة),($F277-$H277)*24,0))</f>
        <v/>
      </c>
      <c r="N277" s="40" t="n"/>
      <c r="O277" s="40" t="n"/>
      <c r="Q277">
        <f>IF(AND(ISNUMBER($K277),$K277&gt;0),SUMPRODUCT(ISNUMBER($K$3:$K$502)*($K$3:$K$502&gt;0)*(ROW($K$3:$K$502)&lt;=ROW())),"")</f>
        <v/>
      </c>
    </row>
    <row r="278">
      <c r="A278" s="47" t="n"/>
      <c r="B278" s="50">
        <f>IFERROR(INDEX(الموظفون_الاسم,MATCH($A278,الموظفون_الرقم,0)),"")</f>
        <v/>
      </c>
      <c r="C278" s="112" t="n"/>
      <c r="D278" s="50">
        <f>IF($C278="","",IFERROR(INDEX(قائمة_أيام_الأسبوع,WEEKDAY($C278,1)),""))</f>
        <v/>
      </c>
      <c r="E278" s="116" t="n"/>
      <c r="F278" s="116" t="n"/>
      <c r="G278" s="117">
        <f>IF($A278="","",بداية_الدوام)</f>
        <v/>
      </c>
      <c r="H278" s="117">
        <f>IF($A278="","",نهاية_الدوام)</f>
        <v/>
      </c>
      <c r="I278" s="58">
        <f>IF($A278="","",مدة_الاستراحة/60)</f>
        <v/>
      </c>
      <c r="J278" s="58">
        <f>IF(OR($A278="",$E278="",$F278=""),"",IF(OR($N278="حاضر",$N278="دوام جزئي"),MAX(0,MOD($F278-$E278,1)*24-$I278),0))</f>
        <v/>
      </c>
      <c r="K278" s="58">
        <f>IF(OR($A278="",$E278=""),"",IF(AND(احتساب_التأخير="نعم",OR($N278="حاضر",$N278="دوام جزئي"),$E278&gt;$G278+دقائق_السماح/1440),($E278-$G278-دقائق_السماح/1440)*24,0))</f>
        <v/>
      </c>
      <c r="L278" s="58">
        <f>IF(OR($A278="",$F278=""),"",IF(AND(OR($N278="حاضر",$N278="دوام جزئي"),$F278&lt;$H278),($H278-$F278)*24,0))</f>
        <v/>
      </c>
      <c r="M278" s="58">
        <f>IF(OR($A278="",$F278=""),"",IF(AND(احتساب_العمل_الإضافي="نعم",OR($N278="حاضر",$N278="دوام جزئي"),$F278&gt;$H278,($F278-$H278)*24*60&gt;=حد_العمل_الإضافي_دقيقة),($F278-$H278)*24,0))</f>
        <v/>
      </c>
      <c r="N278" s="47" t="n"/>
      <c r="O278" s="47" t="n"/>
      <c r="Q278">
        <f>IF(AND(ISNUMBER($K278),$K278&gt;0),SUMPRODUCT(ISNUMBER($K$3:$K$502)*($K$3:$K$502&gt;0)*(ROW($K$3:$K$502)&lt;=ROW())),"")</f>
        <v/>
      </c>
    </row>
    <row r="279">
      <c r="A279" s="40" t="n"/>
      <c r="B279" s="43">
        <f>IFERROR(INDEX(الموظفون_الاسم,MATCH($A279,الموظفون_الرقم,0)),"")</f>
        <v/>
      </c>
      <c r="C279" s="110" t="n"/>
      <c r="D279" s="43">
        <f>IF($C279="","",IFERROR(INDEX(قائمة_أيام_الأسبوع,WEEKDAY($C279,1)),""))</f>
        <v/>
      </c>
      <c r="E279" s="114" t="n"/>
      <c r="F279" s="114" t="n"/>
      <c r="G279" s="115">
        <f>IF($A279="","",بداية_الدوام)</f>
        <v/>
      </c>
      <c r="H279" s="115">
        <f>IF($A279="","",نهاية_الدوام)</f>
        <v/>
      </c>
      <c r="I279" s="55">
        <f>IF($A279="","",مدة_الاستراحة/60)</f>
        <v/>
      </c>
      <c r="J279" s="55">
        <f>IF(OR($A279="",$E279="",$F279=""),"",IF(OR($N279="حاضر",$N279="دوام جزئي"),MAX(0,MOD($F279-$E279,1)*24-$I279),0))</f>
        <v/>
      </c>
      <c r="K279" s="55">
        <f>IF(OR($A279="",$E279=""),"",IF(AND(احتساب_التأخير="نعم",OR($N279="حاضر",$N279="دوام جزئي"),$E279&gt;$G279+دقائق_السماح/1440),($E279-$G279-دقائق_السماح/1440)*24,0))</f>
        <v/>
      </c>
      <c r="L279" s="55">
        <f>IF(OR($A279="",$F279=""),"",IF(AND(OR($N279="حاضر",$N279="دوام جزئي"),$F279&lt;$H279),($H279-$F279)*24,0))</f>
        <v/>
      </c>
      <c r="M279" s="55">
        <f>IF(OR($A279="",$F279=""),"",IF(AND(احتساب_العمل_الإضافي="نعم",OR($N279="حاضر",$N279="دوام جزئي"),$F279&gt;$H279,($F279-$H279)*24*60&gt;=حد_العمل_الإضافي_دقيقة),($F279-$H279)*24,0))</f>
        <v/>
      </c>
      <c r="N279" s="40" t="n"/>
      <c r="O279" s="40" t="n"/>
      <c r="Q279">
        <f>IF(AND(ISNUMBER($K279),$K279&gt;0),SUMPRODUCT(ISNUMBER($K$3:$K$502)*($K$3:$K$502&gt;0)*(ROW($K$3:$K$502)&lt;=ROW())),"")</f>
        <v/>
      </c>
    </row>
    <row r="280">
      <c r="A280" s="47" t="n"/>
      <c r="B280" s="50">
        <f>IFERROR(INDEX(الموظفون_الاسم,MATCH($A280,الموظفون_الرقم,0)),"")</f>
        <v/>
      </c>
      <c r="C280" s="112" t="n"/>
      <c r="D280" s="50">
        <f>IF($C280="","",IFERROR(INDEX(قائمة_أيام_الأسبوع,WEEKDAY($C280,1)),""))</f>
        <v/>
      </c>
      <c r="E280" s="116" t="n"/>
      <c r="F280" s="116" t="n"/>
      <c r="G280" s="117">
        <f>IF($A280="","",بداية_الدوام)</f>
        <v/>
      </c>
      <c r="H280" s="117">
        <f>IF($A280="","",نهاية_الدوام)</f>
        <v/>
      </c>
      <c r="I280" s="58">
        <f>IF($A280="","",مدة_الاستراحة/60)</f>
        <v/>
      </c>
      <c r="J280" s="58">
        <f>IF(OR($A280="",$E280="",$F280=""),"",IF(OR($N280="حاضر",$N280="دوام جزئي"),MAX(0,MOD($F280-$E280,1)*24-$I280),0))</f>
        <v/>
      </c>
      <c r="K280" s="58">
        <f>IF(OR($A280="",$E280=""),"",IF(AND(احتساب_التأخير="نعم",OR($N280="حاضر",$N280="دوام جزئي"),$E280&gt;$G280+دقائق_السماح/1440),($E280-$G280-دقائق_السماح/1440)*24,0))</f>
        <v/>
      </c>
      <c r="L280" s="58">
        <f>IF(OR($A280="",$F280=""),"",IF(AND(OR($N280="حاضر",$N280="دوام جزئي"),$F280&lt;$H280),($H280-$F280)*24,0))</f>
        <v/>
      </c>
      <c r="M280" s="58">
        <f>IF(OR($A280="",$F280=""),"",IF(AND(احتساب_العمل_الإضافي="نعم",OR($N280="حاضر",$N280="دوام جزئي"),$F280&gt;$H280,($F280-$H280)*24*60&gt;=حد_العمل_الإضافي_دقيقة),($F280-$H280)*24,0))</f>
        <v/>
      </c>
      <c r="N280" s="47" t="n"/>
      <c r="O280" s="47" t="n"/>
      <c r="Q280">
        <f>IF(AND(ISNUMBER($K280),$K280&gt;0),SUMPRODUCT(ISNUMBER($K$3:$K$502)*($K$3:$K$502&gt;0)*(ROW($K$3:$K$502)&lt;=ROW())),"")</f>
        <v/>
      </c>
    </row>
    <row r="281">
      <c r="A281" s="40" t="n"/>
      <c r="B281" s="43">
        <f>IFERROR(INDEX(الموظفون_الاسم,MATCH($A281,الموظفون_الرقم,0)),"")</f>
        <v/>
      </c>
      <c r="C281" s="110" t="n"/>
      <c r="D281" s="43">
        <f>IF($C281="","",IFERROR(INDEX(قائمة_أيام_الأسبوع,WEEKDAY($C281,1)),""))</f>
        <v/>
      </c>
      <c r="E281" s="114" t="n"/>
      <c r="F281" s="114" t="n"/>
      <c r="G281" s="115">
        <f>IF($A281="","",بداية_الدوام)</f>
        <v/>
      </c>
      <c r="H281" s="115">
        <f>IF($A281="","",نهاية_الدوام)</f>
        <v/>
      </c>
      <c r="I281" s="55">
        <f>IF($A281="","",مدة_الاستراحة/60)</f>
        <v/>
      </c>
      <c r="J281" s="55">
        <f>IF(OR($A281="",$E281="",$F281=""),"",IF(OR($N281="حاضر",$N281="دوام جزئي"),MAX(0,MOD($F281-$E281,1)*24-$I281),0))</f>
        <v/>
      </c>
      <c r="K281" s="55">
        <f>IF(OR($A281="",$E281=""),"",IF(AND(احتساب_التأخير="نعم",OR($N281="حاضر",$N281="دوام جزئي"),$E281&gt;$G281+دقائق_السماح/1440),($E281-$G281-دقائق_السماح/1440)*24,0))</f>
        <v/>
      </c>
      <c r="L281" s="55">
        <f>IF(OR($A281="",$F281=""),"",IF(AND(OR($N281="حاضر",$N281="دوام جزئي"),$F281&lt;$H281),($H281-$F281)*24,0))</f>
        <v/>
      </c>
      <c r="M281" s="55">
        <f>IF(OR($A281="",$F281=""),"",IF(AND(احتساب_العمل_الإضافي="نعم",OR($N281="حاضر",$N281="دوام جزئي"),$F281&gt;$H281,($F281-$H281)*24*60&gt;=حد_العمل_الإضافي_دقيقة),($F281-$H281)*24,0))</f>
        <v/>
      </c>
      <c r="N281" s="40" t="n"/>
      <c r="O281" s="40" t="n"/>
      <c r="Q281">
        <f>IF(AND(ISNUMBER($K281),$K281&gt;0),SUMPRODUCT(ISNUMBER($K$3:$K$502)*($K$3:$K$502&gt;0)*(ROW($K$3:$K$502)&lt;=ROW())),"")</f>
        <v/>
      </c>
    </row>
    <row r="282">
      <c r="A282" s="47" t="n"/>
      <c r="B282" s="50">
        <f>IFERROR(INDEX(الموظفون_الاسم,MATCH($A282,الموظفون_الرقم,0)),"")</f>
        <v/>
      </c>
      <c r="C282" s="112" t="n"/>
      <c r="D282" s="50">
        <f>IF($C282="","",IFERROR(INDEX(قائمة_أيام_الأسبوع,WEEKDAY($C282,1)),""))</f>
        <v/>
      </c>
      <c r="E282" s="116" t="n"/>
      <c r="F282" s="116" t="n"/>
      <c r="G282" s="117">
        <f>IF($A282="","",بداية_الدوام)</f>
        <v/>
      </c>
      <c r="H282" s="117">
        <f>IF($A282="","",نهاية_الدوام)</f>
        <v/>
      </c>
      <c r="I282" s="58">
        <f>IF($A282="","",مدة_الاستراحة/60)</f>
        <v/>
      </c>
      <c r="J282" s="58">
        <f>IF(OR($A282="",$E282="",$F282=""),"",IF(OR($N282="حاضر",$N282="دوام جزئي"),MAX(0,MOD($F282-$E282,1)*24-$I282),0))</f>
        <v/>
      </c>
      <c r="K282" s="58">
        <f>IF(OR($A282="",$E282=""),"",IF(AND(احتساب_التأخير="نعم",OR($N282="حاضر",$N282="دوام جزئي"),$E282&gt;$G282+دقائق_السماح/1440),($E282-$G282-دقائق_السماح/1440)*24,0))</f>
        <v/>
      </c>
      <c r="L282" s="58">
        <f>IF(OR($A282="",$F282=""),"",IF(AND(OR($N282="حاضر",$N282="دوام جزئي"),$F282&lt;$H282),($H282-$F282)*24,0))</f>
        <v/>
      </c>
      <c r="M282" s="58">
        <f>IF(OR($A282="",$F282=""),"",IF(AND(احتساب_العمل_الإضافي="نعم",OR($N282="حاضر",$N282="دوام جزئي"),$F282&gt;$H282,($F282-$H282)*24*60&gt;=حد_العمل_الإضافي_دقيقة),($F282-$H282)*24,0))</f>
        <v/>
      </c>
      <c r="N282" s="47" t="n"/>
      <c r="O282" s="47" t="n"/>
      <c r="Q282">
        <f>IF(AND(ISNUMBER($K282),$K282&gt;0),SUMPRODUCT(ISNUMBER($K$3:$K$502)*($K$3:$K$502&gt;0)*(ROW($K$3:$K$502)&lt;=ROW())),"")</f>
        <v/>
      </c>
    </row>
    <row r="283">
      <c r="A283" s="40" t="n"/>
      <c r="B283" s="43">
        <f>IFERROR(INDEX(الموظفون_الاسم,MATCH($A283,الموظفون_الرقم,0)),"")</f>
        <v/>
      </c>
      <c r="C283" s="110" t="n"/>
      <c r="D283" s="43">
        <f>IF($C283="","",IFERROR(INDEX(قائمة_أيام_الأسبوع,WEEKDAY($C283,1)),""))</f>
        <v/>
      </c>
      <c r="E283" s="114" t="n"/>
      <c r="F283" s="114" t="n"/>
      <c r="G283" s="115">
        <f>IF($A283="","",بداية_الدوام)</f>
        <v/>
      </c>
      <c r="H283" s="115">
        <f>IF($A283="","",نهاية_الدوام)</f>
        <v/>
      </c>
      <c r="I283" s="55">
        <f>IF($A283="","",مدة_الاستراحة/60)</f>
        <v/>
      </c>
      <c r="J283" s="55">
        <f>IF(OR($A283="",$E283="",$F283=""),"",IF(OR($N283="حاضر",$N283="دوام جزئي"),MAX(0,MOD($F283-$E283,1)*24-$I283),0))</f>
        <v/>
      </c>
      <c r="K283" s="55">
        <f>IF(OR($A283="",$E283=""),"",IF(AND(احتساب_التأخير="نعم",OR($N283="حاضر",$N283="دوام جزئي"),$E283&gt;$G283+دقائق_السماح/1440),($E283-$G283-دقائق_السماح/1440)*24,0))</f>
        <v/>
      </c>
      <c r="L283" s="55">
        <f>IF(OR($A283="",$F283=""),"",IF(AND(OR($N283="حاضر",$N283="دوام جزئي"),$F283&lt;$H283),($H283-$F283)*24,0))</f>
        <v/>
      </c>
      <c r="M283" s="55">
        <f>IF(OR($A283="",$F283=""),"",IF(AND(احتساب_العمل_الإضافي="نعم",OR($N283="حاضر",$N283="دوام جزئي"),$F283&gt;$H283,($F283-$H283)*24*60&gt;=حد_العمل_الإضافي_دقيقة),($F283-$H283)*24,0))</f>
        <v/>
      </c>
      <c r="N283" s="40" t="n"/>
      <c r="O283" s="40" t="n"/>
      <c r="Q283">
        <f>IF(AND(ISNUMBER($K283),$K283&gt;0),SUMPRODUCT(ISNUMBER($K$3:$K$502)*($K$3:$K$502&gt;0)*(ROW($K$3:$K$502)&lt;=ROW())),"")</f>
        <v/>
      </c>
    </row>
    <row r="284">
      <c r="A284" s="47" t="n"/>
      <c r="B284" s="50">
        <f>IFERROR(INDEX(الموظفون_الاسم,MATCH($A284,الموظفون_الرقم,0)),"")</f>
        <v/>
      </c>
      <c r="C284" s="112" t="n"/>
      <c r="D284" s="50">
        <f>IF($C284="","",IFERROR(INDEX(قائمة_أيام_الأسبوع,WEEKDAY($C284,1)),""))</f>
        <v/>
      </c>
      <c r="E284" s="116" t="n"/>
      <c r="F284" s="116" t="n"/>
      <c r="G284" s="117">
        <f>IF($A284="","",بداية_الدوام)</f>
        <v/>
      </c>
      <c r="H284" s="117">
        <f>IF($A284="","",نهاية_الدوام)</f>
        <v/>
      </c>
      <c r="I284" s="58">
        <f>IF($A284="","",مدة_الاستراحة/60)</f>
        <v/>
      </c>
      <c r="J284" s="58">
        <f>IF(OR($A284="",$E284="",$F284=""),"",IF(OR($N284="حاضر",$N284="دوام جزئي"),MAX(0,MOD($F284-$E284,1)*24-$I284),0))</f>
        <v/>
      </c>
      <c r="K284" s="58">
        <f>IF(OR($A284="",$E284=""),"",IF(AND(احتساب_التأخير="نعم",OR($N284="حاضر",$N284="دوام جزئي"),$E284&gt;$G284+دقائق_السماح/1440),($E284-$G284-دقائق_السماح/1440)*24,0))</f>
        <v/>
      </c>
      <c r="L284" s="58">
        <f>IF(OR($A284="",$F284=""),"",IF(AND(OR($N284="حاضر",$N284="دوام جزئي"),$F284&lt;$H284),($H284-$F284)*24,0))</f>
        <v/>
      </c>
      <c r="M284" s="58">
        <f>IF(OR($A284="",$F284=""),"",IF(AND(احتساب_العمل_الإضافي="نعم",OR($N284="حاضر",$N284="دوام جزئي"),$F284&gt;$H284,($F284-$H284)*24*60&gt;=حد_العمل_الإضافي_دقيقة),($F284-$H284)*24,0))</f>
        <v/>
      </c>
      <c r="N284" s="47" t="n"/>
      <c r="O284" s="47" t="n"/>
      <c r="Q284">
        <f>IF(AND(ISNUMBER($K284),$K284&gt;0),SUMPRODUCT(ISNUMBER($K$3:$K$502)*($K$3:$K$502&gt;0)*(ROW($K$3:$K$502)&lt;=ROW())),"")</f>
        <v/>
      </c>
    </row>
    <row r="285">
      <c r="A285" s="40" t="n"/>
      <c r="B285" s="43">
        <f>IFERROR(INDEX(الموظفون_الاسم,MATCH($A285,الموظفون_الرقم,0)),"")</f>
        <v/>
      </c>
      <c r="C285" s="110" t="n"/>
      <c r="D285" s="43">
        <f>IF($C285="","",IFERROR(INDEX(قائمة_أيام_الأسبوع,WEEKDAY($C285,1)),""))</f>
        <v/>
      </c>
      <c r="E285" s="114" t="n"/>
      <c r="F285" s="114" t="n"/>
      <c r="G285" s="115">
        <f>IF($A285="","",بداية_الدوام)</f>
        <v/>
      </c>
      <c r="H285" s="115">
        <f>IF($A285="","",نهاية_الدوام)</f>
        <v/>
      </c>
      <c r="I285" s="55">
        <f>IF($A285="","",مدة_الاستراحة/60)</f>
        <v/>
      </c>
      <c r="J285" s="55">
        <f>IF(OR($A285="",$E285="",$F285=""),"",IF(OR($N285="حاضر",$N285="دوام جزئي"),MAX(0,MOD($F285-$E285,1)*24-$I285),0))</f>
        <v/>
      </c>
      <c r="K285" s="55">
        <f>IF(OR($A285="",$E285=""),"",IF(AND(احتساب_التأخير="نعم",OR($N285="حاضر",$N285="دوام جزئي"),$E285&gt;$G285+دقائق_السماح/1440),($E285-$G285-دقائق_السماح/1440)*24,0))</f>
        <v/>
      </c>
      <c r="L285" s="55">
        <f>IF(OR($A285="",$F285=""),"",IF(AND(OR($N285="حاضر",$N285="دوام جزئي"),$F285&lt;$H285),($H285-$F285)*24,0))</f>
        <v/>
      </c>
      <c r="M285" s="55">
        <f>IF(OR($A285="",$F285=""),"",IF(AND(احتساب_العمل_الإضافي="نعم",OR($N285="حاضر",$N285="دوام جزئي"),$F285&gt;$H285,($F285-$H285)*24*60&gt;=حد_العمل_الإضافي_دقيقة),($F285-$H285)*24,0))</f>
        <v/>
      </c>
      <c r="N285" s="40" t="n"/>
      <c r="O285" s="40" t="n"/>
      <c r="Q285">
        <f>IF(AND(ISNUMBER($K285),$K285&gt;0),SUMPRODUCT(ISNUMBER($K$3:$K$502)*($K$3:$K$502&gt;0)*(ROW($K$3:$K$502)&lt;=ROW())),"")</f>
        <v/>
      </c>
    </row>
    <row r="286">
      <c r="A286" s="47" t="n"/>
      <c r="B286" s="50">
        <f>IFERROR(INDEX(الموظفون_الاسم,MATCH($A286,الموظفون_الرقم,0)),"")</f>
        <v/>
      </c>
      <c r="C286" s="112" t="n"/>
      <c r="D286" s="50">
        <f>IF($C286="","",IFERROR(INDEX(قائمة_أيام_الأسبوع,WEEKDAY($C286,1)),""))</f>
        <v/>
      </c>
      <c r="E286" s="116" t="n"/>
      <c r="F286" s="116" t="n"/>
      <c r="G286" s="117">
        <f>IF($A286="","",بداية_الدوام)</f>
        <v/>
      </c>
      <c r="H286" s="117">
        <f>IF($A286="","",نهاية_الدوام)</f>
        <v/>
      </c>
      <c r="I286" s="58">
        <f>IF($A286="","",مدة_الاستراحة/60)</f>
        <v/>
      </c>
      <c r="J286" s="58">
        <f>IF(OR($A286="",$E286="",$F286=""),"",IF(OR($N286="حاضر",$N286="دوام جزئي"),MAX(0,MOD($F286-$E286,1)*24-$I286),0))</f>
        <v/>
      </c>
      <c r="K286" s="58">
        <f>IF(OR($A286="",$E286=""),"",IF(AND(احتساب_التأخير="نعم",OR($N286="حاضر",$N286="دوام جزئي"),$E286&gt;$G286+دقائق_السماح/1440),($E286-$G286-دقائق_السماح/1440)*24,0))</f>
        <v/>
      </c>
      <c r="L286" s="58">
        <f>IF(OR($A286="",$F286=""),"",IF(AND(OR($N286="حاضر",$N286="دوام جزئي"),$F286&lt;$H286),($H286-$F286)*24,0))</f>
        <v/>
      </c>
      <c r="M286" s="58">
        <f>IF(OR($A286="",$F286=""),"",IF(AND(احتساب_العمل_الإضافي="نعم",OR($N286="حاضر",$N286="دوام جزئي"),$F286&gt;$H286,($F286-$H286)*24*60&gt;=حد_العمل_الإضافي_دقيقة),($F286-$H286)*24,0))</f>
        <v/>
      </c>
      <c r="N286" s="47" t="n"/>
      <c r="O286" s="47" t="n"/>
      <c r="Q286">
        <f>IF(AND(ISNUMBER($K286),$K286&gt;0),SUMPRODUCT(ISNUMBER($K$3:$K$502)*($K$3:$K$502&gt;0)*(ROW($K$3:$K$502)&lt;=ROW())),"")</f>
        <v/>
      </c>
    </row>
    <row r="287">
      <c r="A287" s="40" t="n"/>
      <c r="B287" s="43">
        <f>IFERROR(INDEX(الموظفون_الاسم,MATCH($A287,الموظفون_الرقم,0)),"")</f>
        <v/>
      </c>
      <c r="C287" s="110" t="n"/>
      <c r="D287" s="43">
        <f>IF($C287="","",IFERROR(INDEX(قائمة_أيام_الأسبوع,WEEKDAY($C287,1)),""))</f>
        <v/>
      </c>
      <c r="E287" s="114" t="n"/>
      <c r="F287" s="114" t="n"/>
      <c r="G287" s="115">
        <f>IF($A287="","",بداية_الدوام)</f>
        <v/>
      </c>
      <c r="H287" s="115">
        <f>IF($A287="","",نهاية_الدوام)</f>
        <v/>
      </c>
      <c r="I287" s="55">
        <f>IF($A287="","",مدة_الاستراحة/60)</f>
        <v/>
      </c>
      <c r="J287" s="55">
        <f>IF(OR($A287="",$E287="",$F287=""),"",IF(OR($N287="حاضر",$N287="دوام جزئي"),MAX(0,MOD($F287-$E287,1)*24-$I287),0))</f>
        <v/>
      </c>
      <c r="K287" s="55">
        <f>IF(OR($A287="",$E287=""),"",IF(AND(احتساب_التأخير="نعم",OR($N287="حاضر",$N287="دوام جزئي"),$E287&gt;$G287+دقائق_السماح/1440),($E287-$G287-دقائق_السماح/1440)*24,0))</f>
        <v/>
      </c>
      <c r="L287" s="55">
        <f>IF(OR($A287="",$F287=""),"",IF(AND(OR($N287="حاضر",$N287="دوام جزئي"),$F287&lt;$H287),($H287-$F287)*24,0))</f>
        <v/>
      </c>
      <c r="M287" s="55">
        <f>IF(OR($A287="",$F287=""),"",IF(AND(احتساب_العمل_الإضافي="نعم",OR($N287="حاضر",$N287="دوام جزئي"),$F287&gt;$H287,($F287-$H287)*24*60&gt;=حد_العمل_الإضافي_دقيقة),($F287-$H287)*24,0))</f>
        <v/>
      </c>
      <c r="N287" s="40" t="n"/>
      <c r="O287" s="40" t="n"/>
      <c r="Q287">
        <f>IF(AND(ISNUMBER($K287),$K287&gt;0),SUMPRODUCT(ISNUMBER($K$3:$K$502)*($K$3:$K$502&gt;0)*(ROW($K$3:$K$502)&lt;=ROW())),"")</f>
        <v/>
      </c>
    </row>
    <row r="288">
      <c r="A288" s="47" t="n"/>
      <c r="B288" s="50">
        <f>IFERROR(INDEX(الموظفون_الاسم,MATCH($A288,الموظفون_الرقم,0)),"")</f>
        <v/>
      </c>
      <c r="C288" s="112" t="n"/>
      <c r="D288" s="50">
        <f>IF($C288="","",IFERROR(INDEX(قائمة_أيام_الأسبوع,WEEKDAY($C288,1)),""))</f>
        <v/>
      </c>
      <c r="E288" s="116" t="n"/>
      <c r="F288" s="116" t="n"/>
      <c r="G288" s="117">
        <f>IF($A288="","",بداية_الدوام)</f>
        <v/>
      </c>
      <c r="H288" s="117">
        <f>IF($A288="","",نهاية_الدوام)</f>
        <v/>
      </c>
      <c r="I288" s="58">
        <f>IF($A288="","",مدة_الاستراحة/60)</f>
        <v/>
      </c>
      <c r="J288" s="58">
        <f>IF(OR($A288="",$E288="",$F288=""),"",IF(OR($N288="حاضر",$N288="دوام جزئي"),MAX(0,MOD($F288-$E288,1)*24-$I288),0))</f>
        <v/>
      </c>
      <c r="K288" s="58">
        <f>IF(OR($A288="",$E288=""),"",IF(AND(احتساب_التأخير="نعم",OR($N288="حاضر",$N288="دوام جزئي"),$E288&gt;$G288+دقائق_السماح/1440),($E288-$G288-دقائق_السماح/1440)*24,0))</f>
        <v/>
      </c>
      <c r="L288" s="58">
        <f>IF(OR($A288="",$F288=""),"",IF(AND(OR($N288="حاضر",$N288="دوام جزئي"),$F288&lt;$H288),($H288-$F288)*24,0))</f>
        <v/>
      </c>
      <c r="M288" s="58">
        <f>IF(OR($A288="",$F288=""),"",IF(AND(احتساب_العمل_الإضافي="نعم",OR($N288="حاضر",$N288="دوام جزئي"),$F288&gt;$H288,($F288-$H288)*24*60&gt;=حد_العمل_الإضافي_دقيقة),($F288-$H288)*24,0))</f>
        <v/>
      </c>
      <c r="N288" s="47" t="n"/>
      <c r="O288" s="47" t="n"/>
      <c r="Q288">
        <f>IF(AND(ISNUMBER($K288),$K288&gt;0),SUMPRODUCT(ISNUMBER($K$3:$K$502)*($K$3:$K$502&gt;0)*(ROW($K$3:$K$502)&lt;=ROW())),"")</f>
        <v/>
      </c>
    </row>
    <row r="289">
      <c r="A289" s="40" t="n"/>
      <c r="B289" s="43">
        <f>IFERROR(INDEX(الموظفون_الاسم,MATCH($A289,الموظفون_الرقم,0)),"")</f>
        <v/>
      </c>
      <c r="C289" s="110" t="n"/>
      <c r="D289" s="43">
        <f>IF($C289="","",IFERROR(INDEX(قائمة_أيام_الأسبوع,WEEKDAY($C289,1)),""))</f>
        <v/>
      </c>
      <c r="E289" s="114" t="n"/>
      <c r="F289" s="114" t="n"/>
      <c r="G289" s="115">
        <f>IF($A289="","",بداية_الدوام)</f>
        <v/>
      </c>
      <c r="H289" s="115">
        <f>IF($A289="","",نهاية_الدوام)</f>
        <v/>
      </c>
      <c r="I289" s="55">
        <f>IF($A289="","",مدة_الاستراحة/60)</f>
        <v/>
      </c>
      <c r="J289" s="55">
        <f>IF(OR($A289="",$E289="",$F289=""),"",IF(OR($N289="حاضر",$N289="دوام جزئي"),MAX(0,MOD($F289-$E289,1)*24-$I289),0))</f>
        <v/>
      </c>
      <c r="K289" s="55">
        <f>IF(OR($A289="",$E289=""),"",IF(AND(احتساب_التأخير="نعم",OR($N289="حاضر",$N289="دوام جزئي"),$E289&gt;$G289+دقائق_السماح/1440),($E289-$G289-دقائق_السماح/1440)*24,0))</f>
        <v/>
      </c>
      <c r="L289" s="55">
        <f>IF(OR($A289="",$F289=""),"",IF(AND(OR($N289="حاضر",$N289="دوام جزئي"),$F289&lt;$H289),($H289-$F289)*24,0))</f>
        <v/>
      </c>
      <c r="M289" s="55">
        <f>IF(OR($A289="",$F289=""),"",IF(AND(احتساب_العمل_الإضافي="نعم",OR($N289="حاضر",$N289="دوام جزئي"),$F289&gt;$H289,($F289-$H289)*24*60&gt;=حد_العمل_الإضافي_دقيقة),($F289-$H289)*24,0))</f>
        <v/>
      </c>
      <c r="N289" s="40" t="n"/>
      <c r="O289" s="40" t="n"/>
      <c r="Q289">
        <f>IF(AND(ISNUMBER($K289),$K289&gt;0),SUMPRODUCT(ISNUMBER($K$3:$K$502)*($K$3:$K$502&gt;0)*(ROW($K$3:$K$502)&lt;=ROW())),"")</f>
        <v/>
      </c>
    </row>
    <row r="290">
      <c r="A290" s="47" t="n"/>
      <c r="B290" s="50">
        <f>IFERROR(INDEX(الموظفون_الاسم,MATCH($A290,الموظفون_الرقم,0)),"")</f>
        <v/>
      </c>
      <c r="C290" s="112" t="n"/>
      <c r="D290" s="50">
        <f>IF($C290="","",IFERROR(INDEX(قائمة_أيام_الأسبوع,WEEKDAY($C290,1)),""))</f>
        <v/>
      </c>
      <c r="E290" s="116" t="n"/>
      <c r="F290" s="116" t="n"/>
      <c r="G290" s="117">
        <f>IF($A290="","",بداية_الدوام)</f>
        <v/>
      </c>
      <c r="H290" s="117">
        <f>IF($A290="","",نهاية_الدوام)</f>
        <v/>
      </c>
      <c r="I290" s="58">
        <f>IF($A290="","",مدة_الاستراحة/60)</f>
        <v/>
      </c>
      <c r="J290" s="58">
        <f>IF(OR($A290="",$E290="",$F290=""),"",IF(OR($N290="حاضر",$N290="دوام جزئي"),MAX(0,MOD($F290-$E290,1)*24-$I290),0))</f>
        <v/>
      </c>
      <c r="K290" s="58">
        <f>IF(OR($A290="",$E290=""),"",IF(AND(احتساب_التأخير="نعم",OR($N290="حاضر",$N290="دوام جزئي"),$E290&gt;$G290+دقائق_السماح/1440),($E290-$G290-دقائق_السماح/1440)*24,0))</f>
        <v/>
      </c>
      <c r="L290" s="58">
        <f>IF(OR($A290="",$F290=""),"",IF(AND(OR($N290="حاضر",$N290="دوام جزئي"),$F290&lt;$H290),($H290-$F290)*24,0))</f>
        <v/>
      </c>
      <c r="M290" s="58">
        <f>IF(OR($A290="",$F290=""),"",IF(AND(احتساب_العمل_الإضافي="نعم",OR($N290="حاضر",$N290="دوام جزئي"),$F290&gt;$H290,($F290-$H290)*24*60&gt;=حد_العمل_الإضافي_دقيقة),($F290-$H290)*24,0))</f>
        <v/>
      </c>
      <c r="N290" s="47" t="n"/>
      <c r="O290" s="47" t="n"/>
      <c r="Q290">
        <f>IF(AND(ISNUMBER($K290),$K290&gt;0),SUMPRODUCT(ISNUMBER($K$3:$K$502)*($K$3:$K$502&gt;0)*(ROW($K$3:$K$502)&lt;=ROW())),"")</f>
        <v/>
      </c>
    </row>
    <row r="291">
      <c r="A291" s="40" t="n"/>
      <c r="B291" s="43">
        <f>IFERROR(INDEX(الموظفون_الاسم,MATCH($A291,الموظفون_الرقم,0)),"")</f>
        <v/>
      </c>
      <c r="C291" s="110" t="n"/>
      <c r="D291" s="43">
        <f>IF($C291="","",IFERROR(INDEX(قائمة_أيام_الأسبوع,WEEKDAY($C291,1)),""))</f>
        <v/>
      </c>
      <c r="E291" s="114" t="n"/>
      <c r="F291" s="114" t="n"/>
      <c r="G291" s="115">
        <f>IF($A291="","",بداية_الدوام)</f>
        <v/>
      </c>
      <c r="H291" s="115">
        <f>IF($A291="","",نهاية_الدوام)</f>
        <v/>
      </c>
      <c r="I291" s="55">
        <f>IF($A291="","",مدة_الاستراحة/60)</f>
        <v/>
      </c>
      <c r="J291" s="55">
        <f>IF(OR($A291="",$E291="",$F291=""),"",IF(OR($N291="حاضر",$N291="دوام جزئي"),MAX(0,MOD($F291-$E291,1)*24-$I291),0))</f>
        <v/>
      </c>
      <c r="K291" s="55">
        <f>IF(OR($A291="",$E291=""),"",IF(AND(احتساب_التأخير="نعم",OR($N291="حاضر",$N291="دوام جزئي"),$E291&gt;$G291+دقائق_السماح/1440),($E291-$G291-دقائق_السماح/1440)*24,0))</f>
        <v/>
      </c>
      <c r="L291" s="55">
        <f>IF(OR($A291="",$F291=""),"",IF(AND(OR($N291="حاضر",$N291="دوام جزئي"),$F291&lt;$H291),($H291-$F291)*24,0))</f>
        <v/>
      </c>
      <c r="M291" s="55">
        <f>IF(OR($A291="",$F291=""),"",IF(AND(احتساب_العمل_الإضافي="نعم",OR($N291="حاضر",$N291="دوام جزئي"),$F291&gt;$H291,($F291-$H291)*24*60&gt;=حد_العمل_الإضافي_دقيقة),($F291-$H291)*24,0))</f>
        <v/>
      </c>
      <c r="N291" s="40" t="n"/>
      <c r="O291" s="40" t="n"/>
      <c r="Q291">
        <f>IF(AND(ISNUMBER($K291),$K291&gt;0),SUMPRODUCT(ISNUMBER($K$3:$K$502)*($K$3:$K$502&gt;0)*(ROW($K$3:$K$502)&lt;=ROW())),"")</f>
        <v/>
      </c>
    </row>
    <row r="292">
      <c r="A292" s="47" t="n"/>
      <c r="B292" s="50">
        <f>IFERROR(INDEX(الموظفون_الاسم,MATCH($A292,الموظفون_الرقم,0)),"")</f>
        <v/>
      </c>
      <c r="C292" s="112" t="n"/>
      <c r="D292" s="50">
        <f>IF($C292="","",IFERROR(INDEX(قائمة_أيام_الأسبوع,WEEKDAY($C292,1)),""))</f>
        <v/>
      </c>
      <c r="E292" s="116" t="n"/>
      <c r="F292" s="116" t="n"/>
      <c r="G292" s="117">
        <f>IF($A292="","",بداية_الدوام)</f>
        <v/>
      </c>
      <c r="H292" s="117">
        <f>IF($A292="","",نهاية_الدوام)</f>
        <v/>
      </c>
      <c r="I292" s="58">
        <f>IF($A292="","",مدة_الاستراحة/60)</f>
        <v/>
      </c>
      <c r="J292" s="58">
        <f>IF(OR($A292="",$E292="",$F292=""),"",IF(OR($N292="حاضر",$N292="دوام جزئي"),MAX(0,MOD($F292-$E292,1)*24-$I292),0))</f>
        <v/>
      </c>
      <c r="K292" s="58">
        <f>IF(OR($A292="",$E292=""),"",IF(AND(احتساب_التأخير="نعم",OR($N292="حاضر",$N292="دوام جزئي"),$E292&gt;$G292+دقائق_السماح/1440),($E292-$G292-دقائق_السماح/1440)*24,0))</f>
        <v/>
      </c>
      <c r="L292" s="58">
        <f>IF(OR($A292="",$F292=""),"",IF(AND(OR($N292="حاضر",$N292="دوام جزئي"),$F292&lt;$H292),($H292-$F292)*24,0))</f>
        <v/>
      </c>
      <c r="M292" s="58">
        <f>IF(OR($A292="",$F292=""),"",IF(AND(احتساب_العمل_الإضافي="نعم",OR($N292="حاضر",$N292="دوام جزئي"),$F292&gt;$H292,($F292-$H292)*24*60&gt;=حد_العمل_الإضافي_دقيقة),($F292-$H292)*24,0))</f>
        <v/>
      </c>
      <c r="N292" s="47" t="n"/>
      <c r="O292" s="47" t="n"/>
      <c r="Q292">
        <f>IF(AND(ISNUMBER($K292),$K292&gt;0),SUMPRODUCT(ISNUMBER($K$3:$K$502)*($K$3:$K$502&gt;0)*(ROW($K$3:$K$502)&lt;=ROW())),"")</f>
        <v/>
      </c>
    </row>
    <row r="293">
      <c r="A293" s="40" t="n"/>
      <c r="B293" s="43">
        <f>IFERROR(INDEX(الموظفون_الاسم,MATCH($A293,الموظفون_الرقم,0)),"")</f>
        <v/>
      </c>
      <c r="C293" s="110" t="n"/>
      <c r="D293" s="43">
        <f>IF($C293="","",IFERROR(INDEX(قائمة_أيام_الأسبوع,WEEKDAY($C293,1)),""))</f>
        <v/>
      </c>
      <c r="E293" s="114" t="n"/>
      <c r="F293" s="114" t="n"/>
      <c r="G293" s="115">
        <f>IF($A293="","",بداية_الدوام)</f>
        <v/>
      </c>
      <c r="H293" s="115">
        <f>IF($A293="","",نهاية_الدوام)</f>
        <v/>
      </c>
      <c r="I293" s="55">
        <f>IF($A293="","",مدة_الاستراحة/60)</f>
        <v/>
      </c>
      <c r="J293" s="55">
        <f>IF(OR($A293="",$E293="",$F293=""),"",IF(OR($N293="حاضر",$N293="دوام جزئي"),MAX(0,MOD($F293-$E293,1)*24-$I293),0))</f>
        <v/>
      </c>
      <c r="K293" s="55">
        <f>IF(OR($A293="",$E293=""),"",IF(AND(احتساب_التأخير="نعم",OR($N293="حاضر",$N293="دوام جزئي"),$E293&gt;$G293+دقائق_السماح/1440),($E293-$G293-دقائق_السماح/1440)*24,0))</f>
        <v/>
      </c>
      <c r="L293" s="55">
        <f>IF(OR($A293="",$F293=""),"",IF(AND(OR($N293="حاضر",$N293="دوام جزئي"),$F293&lt;$H293),($H293-$F293)*24,0))</f>
        <v/>
      </c>
      <c r="M293" s="55">
        <f>IF(OR($A293="",$F293=""),"",IF(AND(احتساب_العمل_الإضافي="نعم",OR($N293="حاضر",$N293="دوام جزئي"),$F293&gt;$H293,($F293-$H293)*24*60&gt;=حد_العمل_الإضافي_دقيقة),($F293-$H293)*24,0))</f>
        <v/>
      </c>
      <c r="N293" s="40" t="n"/>
      <c r="O293" s="40" t="n"/>
      <c r="Q293">
        <f>IF(AND(ISNUMBER($K293),$K293&gt;0),SUMPRODUCT(ISNUMBER($K$3:$K$502)*($K$3:$K$502&gt;0)*(ROW($K$3:$K$502)&lt;=ROW())),"")</f>
        <v/>
      </c>
    </row>
    <row r="294">
      <c r="A294" s="47" t="n"/>
      <c r="B294" s="50">
        <f>IFERROR(INDEX(الموظفون_الاسم,MATCH($A294,الموظفون_الرقم,0)),"")</f>
        <v/>
      </c>
      <c r="C294" s="112" t="n"/>
      <c r="D294" s="50">
        <f>IF($C294="","",IFERROR(INDEX(قائمة_أيام_الأسبوع,WEEKDAY($C294,1)),""))</f>
        <v/>
      </c>
      <c r="E294" s="116" t="n"/>
      <c r="F294" s="116" t="n"/>
      <c r="G294" s="117">
        <f>IF($A294="","",بداية_الدوام)</f>
        <v/>
      </c>
      <c r="H294" s="117">
        <f>IF($A294="","",نهاية_الدوام)</f>
        <v/>
      </c>
      <c r="I294" s="58">
        <f>IF($A294="","",مدة_الاستراحة/60)</f>
        <v/>
      </c>
      <c r="J294" s="58">
        <f>IF(OR($A294="",$E294="",$F294=""),"",IF(OR($N294="حاضر",$N294="دوام جزئي"),MAX(0,MOD($F294-$E294,1)*24-$I294),0))</f>
        <v/>
      </c>
      <c r="K294" s="58">
        <f>IF(OR($A294="",$E294=""),"",IF(AND(احتساب_التأخير="نعم",OR($N294="حاضر",$N294="دوام جزئي"),$E294&gt;$G294+دقائق_السماح/1440),($E294-$G294-دقائق_السماح/1440)*24,0))</f>
        <v/>
      </c>
      <c r="L294" s="58">
        <f>IF(OR($A294="",$F294=""),"",IF(AND(OR($N294="حاضر",$N294="دوام جزئي"),$F294&lt;$H294),($H294-$F294)*24,0))</f>
        <v/>
      </c>
      <c r="M294" s="58">
        <f>IF(OR($A294="",$F294=""),"",IF(AND(احتساب_العمل_الإضافي="نعم",OR($N294="حاضر",$N294="دوام جزئي"),$F294&gt;$H294,($F294-$H294)*24*60&gt;=حد_العمل_الإضافي_دقيقة),($F294-$H294)*24,0))</f>
        <v/>
      </c>
      <c r="N294" s="47" t="n"/>
      <c r="O294" s="47" t="n"/>
      <c r="Q294">
        <f>IF(AND(ISNUMBER($K294),$K294&gt;0),SUMPRODUCT(ISNUMBER($K$3:$K$502)*($K$3:$K$502&gt;0)*(ROW($K$3:$K$502)&lt;=ROW())),"")</f>
        <v/>
      </c>
    </row>
    <row r="295">
      <c r="A295" s="40" t="n"/>
      <c r="B295" s="43">
        <f>IFERROR(INDEX(الموظفون_الاسم,MATCH($A295,الموظفون_الرقم,0)),"")</f>
        <v/>
      </c>
      <c r="C295" s="110" t="n"/>
      <c r="D295" s="43">
        <f>IF($C295="","",IFERROR(INDEX(قائمة_أيام_الأسبوع,WEEKDAY($C295,1)),""))</f>
        <v/>
      </c>
      <c r="E295" s="114" t="n"/>
      <c r="F295" s="114" t="n"/>
      <c r="G295" s="115">
        <f>IF($A295="","",بداية_الدوام)</f>
        <v/>
      </c>
      <c r="H295" s="115">
        <f>IF($A295="","",نهاية_الدوام)</f>
        <v/>
      </c>
      <c r="I295" s="55">
        <f>IF($A295="","",مدة_الاستراحة/60)</f>
        <v/>
      </c>
      <c r="J295" s="55">
        <f>IF(OR($A295="",$E295="",$F295=""),"",IF(OR($N295="حاضر",$N295="دوام جزئي"),MAX(0,MOD($F295-$E295,1)*24-$I295),0))</f>
        <v/>
      </c>
      <c r="K295" s="55">
        <f>IF(OR($A295="",$E295=""),"",IF(AND(احتساب_التأخير="نعم",OR($N295="حاضر",$N295="دوام جزئي"),$E295&gt;$G295+دقائق_السماح/1440),($E295-$G295-دقائق_السماح/1440)*24,0))</f>
        <v/>
      </c>
      <c r="L295" s="55">
        <f>IF(OR($A295="",$F295=""),"",IF(AND(OR($N295="حاضر",$N295="دوام جزئي"),$F295&lt;$H295),($H295-$F295)*24,0))</f>
        <v/>
      </c>
      <c r="M295" s="55">
        <f>IF(OR($A295="",$F295=""),"",IF(AND(احتساب_العمل_الإضافي="نعم",OR($N295="حاضر",$N295="دوام جزئي"),$F295&gt;$H295,($F295-$H295)*24*60&gt;=حد_العمل_الإضافي_دقيقة),($F295-$H295)*24,0))</f>
        <v/>
      </c>
      <c r="N295" s="40" t="n"/>
      <c r="O295" s="40" t="n"/>
      <c r="Q295">
        <f>IF(AND(ISNUMBER($K295),$K295&gt;0),SUMPRODUCT(ISNUMBER($K$3:$K$502)*($K$3:$K$502&gt;0)*(ROW($K$3:$K$502)&lt;=ROW())),"")</f>
        <v/>
      </c>
    </row>
    <row r="296">
      <c r="A296" s="47" t="n"/>
      <c r="B296" s="50">
        <f>IFERROR(INDEX(الموظفون_الاسم,MATCH($A296,الموظفون_الرقم,0)),"")</f>
        <v/>
      </c>
      <c r="C296" s="112" t="n"/>
      <c r="D296" s="50">
        <f>IF($C296="","",IFERROR(INDEX(قائمة_أيام_الأسبوع,WEEKDAY($C296,1)),""))</f>
        <v/>
      </c>
      <c r="E296" s="116" t="n"/>
      <c r="F296" s="116" t="n"/>
      <c r="G296" s="117">
        <f>IF($A296="","",بداية_الدوام)</f>
        <v/>
      </c>
      <c r="H296" s="117">
        <f>IF($A296="","",نهاية_الدوام)</f>
        <v/>
      </c>
      <c r="I296" s="58">
        <f>IF($A296="","",مدة_الاستراحة/60)</f>
        <v/>
      </c>
      <c r="J296" s="58">
        <f>IF(OR($A296="",$E296="",$F296=""),"",IF(OR($N296="حاضر",$N296="دوام جزئي"),MAX(0,MOD($F296-$E296,1)*24-$I296),0))</f>
        <v/>
      </c>
      <c r="K296" s="58">
        <f>IF(OR($A296="",$E296=""),"",IF(AND(احتساب_التأخير="نعم",OR($N296="حاضر",$N296="دوام جزئي"),$E296&gt;$G296+دقائق_السماح/1440),($E296-$G296-دقائق_السماح/1440)*24,0))</f>
        <v/>
      </c>
      <c r="L296" s="58">
        <f>IF(OR($A296="",$F296=""),"",IF(AND(OR($N296="حاضر",$N296="دوام جزئي"),$F296&lt;$H296),($H296-$F296)*24,0))</f>
        <v/>
      </c>
      <c r="M296" s="58">
        <f>IF(OR($A296="",$F296=""),"",IF(AND(احتساب_العمل_الإضافي="نعم",OR($N296="حاضر",$N296="دوام جزئي"),$F296&gt;$H296,($F296-$H296)*24*60&gt;=حد_العمل_الإضافي_دقيقة),($F296-$H296)*24,0))</f>
        <v/>
      </c>
      <c r="N296" s="47" t="n"/>
      <c r="O296" s="47" t="n"/>
      <c r="Q296">
        <f>IF(AND(ISNUMBER($K296),$K296&gt;0),SUMPRODUCT(ISNUMBER($K$3:$K$502)*($K$3:$K$502&gt;0)*(ROW($K$3:$K$502)&lt;=ROW())),"")</f>
        <v/>
      </c>
    </row>
    <row r="297">
      <c r="A297" s="40" t="n"/>
      <c r="B297" s="43">
        <f>IFERROR(INDEX(الموظفون_الاسم,MATCH($A297,الموظفون_الرقم,0)),"")</f>
        <v/>
      </c>
      <c r="C297" s="110" t="n"/>
      <c r="D297" s="43">
        <f>IF($C297="","",IFERROR(INDEX(قائمة_أيام_الأسبوع,WEEKDAY($C297,1)),""))</f>
        <v/>
      </c>
      <c r="E297" s="114" t="n"/>
      <c r="F297" s="114" t="n"/>
      <c r="G297" s="115">
        <f>IF($A297="","",بداية_الدوام)</f>
        <v/>
      </c>
      <c r="H297" s="115">
        <f>IF($A297="","",نهاية_الدوام)</f>
        <v/>
      </c>
      <c r="I297" s="55">
        <f>IF($A297="","",مدة_الاستراحة/60)</f>
        <v/>
      </c>
      <c r="J297" s="55">
        <f>IF(OR($A297="",$E297="",$F297=""),"",IF(OR($N297="حاضر",$N297="دوام جزئي"),MAX(0,MOD($F297-$E297,1)*24-$I297),0))</f>
        <v/>
      </c>
      <c r="K297" s="55">
        <f>IF(OR($A297="",$E297=""),"",IF(AND(احتساب_التأخير="نعم",OR($N297="حاضر",$N297="دوام جزئي"),$E297&gt;$G297+دقائق_السماح/1440),($E297-$G297-دقائق_السماح/1440)*24,0))</f>
        <v/>
      </c>
      <c r="L297" s="55">
        <f>IF(OR($A297="",$F297=""),"",IF(AND(OR($N297="حاضر",$N297="دوام جزئي"),$F297&lt;$H297),($H297-$F297)*24,0))</f>
        <v/>
      </c>
      <c r="M297" s="55">
        <f>IF(OR($A297="",$F297=""),"",IF(AND(احتساب_العمل_الإضافي="نعم",OR($N297="حاضر",$N297="دوام جزئي"),$F297&gt;$H297,($F297-$H297)*24*60&gt;=حد_العمل_الإضافي_دقيقة),($F297-$H297)*24,0))</f>
        <v/>
      </c>
      <c r="N297" s="40" t="n"/>
      <c r="O297" s="40" t="n"/>
      <c r="Q297">
        <f>IF(AND(ISNUMBER($K297),$K297&gt;0),SUMPRODUCT(ISNUMBER($K$3:$K$502)*($K$3:$K$502&gt;0)*(ROW($K$3:$K$502)&lt;=ROW())),"")</f>
        <v/>
      </c>
    </row>
    <row r="298">
      <c r="A298" s="47" t="n"/>
      <c r="B298" s="50">
        <f>IFERROR(INDEX(الموظفون_الاسم,MATCH($A298,الموظفون_الرقم,0)),"")</f>
        <v/>
      </c>
      <c r="C298" s="112" t="n"/>
      <c r="D298" s="50">
        <f>IF($C298="","",IFERROR(INDEX(قائمة_أيام_الأسبوع,WEEKDAY($C298,1)),""))</f>
        <v/>
      </c>
      <c r="E298" s="116" t="n"/>
      <c r="F298" s="116" t="n"/>
      <c r="G298" s="117">
        <f>IF($A298="","",بداية_الدوام)</f>
        <v/>
      </c>
      <c r="H298" s="117">
        <f>IF($A298="","",نهاية_الدوام)</f>
        <v/>
      </c>
      <c r="I298" s="58">
        <f>IF($A298="","",مدة_الاستراحة/60)</f>
        <v/>
      </c>
      <c r="J298" s="58">
        <f>IF(OR($A298="",$E298="",$F298=""),"",IF(OR($N298="حاضر",$N298="دوام جزئي"),MAX(0,MOD($F298-$E298,1)*24-$I298),0))</f>
        <v/>
      </c>
      <c r="K298" s="58">
        <f>IF(OR($A298="",$E298=""),"",IF(AND(احتساب_التأخير="نعم",OR($N298="حاضر",$N298="دوام جزئي"),$E298&gt;$G298+دقائق_السماح/1440),($E298-$G298-دقائق_السماح/1440)*24,0))</f>
        <v/>
      </c>
      <c r="L298" s="58">
        <f>IF(OR($A298="",$F298=""),"",IF(AND(OR($N298="حاضر",$N298="دوام جزئي"),$F298&lt;$H298),($H298-$F298)*24,0))</f>
        <v/>
      </c>
      <c r="M298" s="58">
        <f>IF(OR($A298="",$F298=""),"",IF(AND(احتساب_العمل_الإضافي="نعم",OR($N298="حاضر",$N298="دوام جزئي"),$F298&gt;$H298,($F298-$H298)*24*60&gt;=حد_العمل_الإضافي_دقيقة),($F298-$H298)*24,0))</f>
        <v/>
      </c>
      <c r="N298" s="47" t="n"/>
      <c r="O298" s="47" t="n"/>
      <c r="Q298">
        <f>IF(AND(ISNUMBER($K298),$K298&gt;0),SUMPRODUCT(ISNUMBER($K$3:$K$502)*($K$3:$K$502&gt;0)*(ROW($K$3:$K$502)&lt;=ROW())),"")</f>
        <v/>
      </c>
    </row>
    <row r="299">
      <c r="A299" s="40" t="n"/>
      <c r="B299" s="43">
        <f>IFERROR(INDEX(الموظفون_الاسم,MATCH($A299,الموظفون_الرقم,0)),"")</f>
        <v/>
      </c>
      <c r="C299" s="110" t="n"/>
      <c r="D299" s="43">
        <f>IF($C299="","",IFERROR(INDEX(قائمة_أيام_الأسبوع,WEEKDAY($C299,1)),""))</f>
        <v/>
      </c>
      <c r="E299" s="114" t="n"/>
      <c r="F299" s="114" t="n"/>
      <c r="G299" s="115">
        <f>IF($A299="","",بداية_الدوام)</f>
        <v/>
      </c>
      <c r="H299" s="115">
        <f>IF($A299="","",نهاية_الدوام)</f>
        <v/>
      </c>
      <c r="I299" s="55">
        <f>IF($A299="","",مدة_الاستراحة/60)</f>
        <v/>
      </c>
      <c r="J299" s="55">
        <f>IF(OR($A299="",$E299="",$F299=""),"",IF(OR($N299="حاضر",$N299="دوام جزئي"),MAX(0,MOD($F299-$E299,1)*24-$I299),0))</f>
        <v/>
      </c>
      <c r="K299" s="55">
        <f>IF(OR($A299="",$E299=""),"",IF(AND(احتساب_التأخير="نعم",OR($N299="حاضر",$N299="دوام جزئي"),$E299&gt;$G299+دقائق_السماح/1440),($E299-$G299-دقائق_السماح/1440)*24,0))</f>
        <v/>
      </c>
      <c r="L299" s="55">
        <f>IF(OR($A299="",$F299=""),"",IF(AND(OR($N299="حاضر",$N299="دوام جزئي"),$F299&lt;$H299),($H299-$F299)*24,0))</f>
        <v/>
      </c>
      <c r="M299" s="55">
        <f>IF(OR($A299="",$F299=""),"",IF(AND(احتساب_العمل_الإضافي="نعم",OR($N299="حاضر",$N299="دوام جزئي"),$F299&gt;$H299,($F299-$H299)*24*60&gt;=حد_العمل_الإضافي_دقيقة),($F299-$H299)*24,0))</f>
        <v/>
      </c>
      <c r="N299" s="40" t="n"/>
      <c r="O299" s="40" t="n"/>
      <c r="Q299">
        <f>IF(AND(ISNUMBER($K299),$K299&gt;0),SUMPRODUCT(ISNUMBER($K$3:$K$502)*($K$3:$K$502&gt;0)*(ROW($K$3:$K$502)&lt;=ROW())),"")</f>
        <v/>
      </c>
    </row>
    <row r="300">
      <c r="A300" s="47" t="n"/>
      <c r="B300" s="50">
        <f>IFERROR(INDEX(الموظفون_الاسم,MATCH($A300,الموظفون_الرقم,0)),"")</f>
        <v/>
      </c>
      <c r="C300" s="112" t="n"/>
      <c r="D300" s="50">
        <f>IF($C300="","",IFERROR(INDEX(قائمة_أيام_الأسبوع,WEEKDAY($C300,1)),""))</f>
        <v/>
      </c>
      <c r="E300" s="116" t="n"/>
      <c r="F300" s="116" t="n"/>
      <c r="G300" s="117">
        <f>IF($A300="","",بداية_الدوام)</f>
        <v/>
      </c>
      <c r="H300" s="117">
        <f>IF($A300="","",نهاية_الدوام)</f>
        <v/>
      </c>
      <c r="I300" s="58">
        <f>IF($A300="","",مدة_الاستراحة/60)</f>
        <v/>
      </c>
      <c r="J300" s="58">
        <f>IF(OR($A300="",$E300="",$F300=""),"",IF(OR($N300="حاضر",$N300="دوام جزئي"),MAX(0,MOD($F300-$E300,1)*24-$I300),0))</f>
        <v/>
      </c>
      <c r="K300" s="58">
        <f>IF(OR($A300="",$E300=""),"",IF(AND(احتساب_التأخير="نعم",OR($N300="حاضر",$N300="دوام جزئي"),$E300&gt;$G300+دقائق_السماح/1440),($E300-$G300-دقائق_السماح/1440)*24,0))</f>
        <v/>
      </c>
      <c r="L300" s="58">
        <f>IF(OR($A300="",$F300=""),"",IF(AND(OR($N300="حاضر",$N300="دوام جزئي"),$F300&lt;$H300),($H300-$F300)*24,0))</f>
        <v/>
      </c>
      <c r="M300" s="58">
        <f>IF(OR($A300="",$F300=""),"",IF(AND(احتساب_العمل_الإضافي="نعم",OR($N300="حاضر",$N300="دوام جزئي"),$F300&gt;$H300,($F300-$H300)*24*60&gt;=حد_العمل_الإضافي_دقيقة),($F300-$H300)*24,0))</f>
        <v/>
      </c>
      <c r="N300" s="47" t="n"/>
      <c r="O300" s="47" t="n"/>
      <c r="Q300">
        <f>IF(AND(ISNUMBER($K300),$K300&gt;0),SUMPRODUCT(ISNUMBER($K$3:$K$502)*($K$3:$K$502&gt;0)*(ROW($K$3:$K$502)&lt;=ROW())),"")</f>
        <v/>
      </c>
    </row>
    <row r="301">
      <c r="A301" s="40" t="n"/>
      <c r="B301" s="43">
        <f>IFERROR(INDEX(الموظفون_الاسم,MATCH($A301,الموظفون_الرقم,0)),"")</f>
        <v/>
      </c>
      <c r="C301" s="110" t="n"/>
      <c r="D301" s="43">
        <f>IF($C301="","",IFERROR(INDEX(قائمة_أيام_الأسبوع,WEEKDAY($C301,1)),""))</f>
        <v/>
      </c>
      <c r="E301" s="114" t="n"/>
      <c r="F301" s="114" t="n"/>
      <c r="G301" s="115">
        <f>IF($A301="","",بداية_الدوام)</f>
        <v/>
      </c>
      <c r="H301" s="115">
        <f>IF($A301="","",نهاية_الدوام)</f>
        <v/>
      </c>
      <c r="I301" s="55">
        <f>IF($A301="","",مدة_الاستراحة/60)</f>
        <v/>
      </c>
      <c r="J301" s="55">
        <f>IF(OR($A301="",$E301="",$F301=""),"",IF(OR($N301="حاضر",$N301="دوام جزئي"),MAX(0,MOD($F301-$E301,1)*24-$I301),0))</f>
        <v/>
      </c>
      <c r="K301" s="55">
        <f>IF(OR($A301="",$E301=""),"",IF(AND(احتساب_التأخير="نعم",OR($N301="حاضر",$N301="دوام جزئي"),$E301&gt;$G301+دقائق_السماح/1440),($E301-$G301-دقائق_السماح/1440)*24,0))</f>
        <v/>
      </c>
      <c r="L301" s="55">
        <f>IF(OR($A301="",$F301=""),"",IF(AND(OR($N301="حاضر",$N301="دوام جزئي"),$F301&lt;$H301),($H301-$F301)*24,0))</f>
        <v/>
      </c>
      <c r="M301" s="55">
        <f>IF(OR($A301="",$F301=""),"",IF(AND(احتساب_العمل_الإضافي="نعم",OR($N301="حاضر",$N301="دوام جزئي"),$F301&gt;$H301,($F301-$H301)*24*60&gt;=حد_العمل_الإضافي_دقيقة),($F301-$H301)*24,0))</f>
        <v/>
      </c>
      <c r="N301" s="40" t="n"/>
      <c r="O301" s="40" t="n"/>
      <c r="Q301">
        <f>IF(AND(ISNUMBER($K301),$K301&gt;0),SUMPRODUCT(ISNUMBER($K$3:$K$502)*($K$3:$K$502&gt;0)*(ROW($K$3:$K$502)&lt;=ROW())),"")</f>
        <v/>
      </c>
    </row>
    <row r="302">
      <c r="A302" s="47" t="n"/>
      <c r="B302" s="50">
        <f>IFERROR(INDEX(الموظفون_الاسم,MATCH($A302,الموظفون_الرقم,0)),"")</f>
        <v/>
      </c>
      <c r="C302" s="112" t="n"/>
      <c r="D302" s="50">
        <f>IF($C302="","",IFERROR(INDEX(قائمة_أيام_الأسبوع,WEEKDAY($C302,1)),""))</f>
        <v/>
      </c>
      <c r="E302" s="116" t="n"/>
      <c r="F302" s="116" t="n"/>
      <c r="G302" s="117">
        <f>IF($A302="","",بداية_الدوام)</f>
        <v/>
      </c>
      <c r="H302" s="117">
        <f>IF($A302="","",نهاية_الدوام)</f>
        <v/>
      </c>
      <c r="I302" s="58">
        <f>IF($A302="","",مدة_الاستراحة/60)</f>
        <v/>
      </c>
      <c r="J302" s="58">
        <f>IF(OR($A302="",$E302="",$F302=""),"",IF(OR($N302="حاضر",$N302="دوام جزئي"),MAX(0,MOD($F302-$E302,1)*24-$I302),0))</f>
        <v/>
      </c>
      <c r="K302" s="58">
        <f>IF(OR($A302="",$E302=""),"",IF(AND(احتساب_التأخير="نعم",OR($N302="حاضر",$N302="دوام جزئي"),$E302&gt;$G302+دقائق_السماح/1440),($E302-$G302-دقائق_السماح/1440)*24,0))</f>
        <v/>
      </c>
      <c r="L302" s="58">
        <f>IF(OR($A302="",$F302=""),"",IF(AND(OR($N302="حاضر",$N302="دوام جزئي"),$F302&lt;$H302),($H302-$F302)*24,0))</f>
        <v/>
      </c>
      <c r="M302" s="58">
        <f>IF(OR($A302="",$F302=""),"",IF(AND(احتساب_العمل_الإضافي="نعم",OR($N302="حاضر",$N302="دوام جزئي"),$F302&gt;$H302,($F302-$H302)*24*60&gt;=حد_العمل_الإضافي_دقيقة),($F302-$H302)*24,0))</f>
        <v/>
      </c>
      <c r="N302" s="47" t="n"/>
      <c r="O302" s="47" t="n"/>
      <c r="Q302">
        <f>IF(AND(ISNUMBER($K302),$K302&gt;0),SUMPRODUCT(ISNUMBER($K$3:$K$502)*($K$3:$K$502&gt;0)*(ROW($K$3:$K$502)&lt;=ROW())),"")</f>
        <v/>
      </c>
    </row>
    <row r="303">
      <c r="A303" s="40" t="n"/>
      <c r="B303" s="43">
        <f>IFERROR(INDEX(الموظفون_الاسم,MATCH($A303,الموظفون_الرقم,0)),"")</f>
        <v/>
      </c>
      <c r="C303" s="110" t="n"/>
      <c r="D303" s="43">
        <f>IF($C303="","",IFERROR(INDEX(قائمة_أيام_الأسبوع,WEEKDAY($C303,1)),""))</f>
        <v/>
      </c>
      <c r="E303" s="114" t="n"/>
      <c r="F303" s="114" t="n"/>
      <c r="G303" s="115">
        <f>IF($A303="","",بداية_الدوام)</f>
        <v/>
      </c>
      <c r="H303" s="115">
        <f>IF($A303="","",نهاية_الدوام)</f>
        <v/>
      </c>
      <c r="I303" s="55">
        <f>IF($A303="","",مدة_الاستراحة/60)</f>
        <v/>
      </c>
      <c r="J303" s="55">
        <f>IF(OR($A303="",$E303="",$F303=""),"",IF(OR($N303="حاضر",$N303="دوام جزئي"),MAX(0,MOD($F303-$E303,1)*24-$I303),0))</f>
        <v/>
      </c>
      <c r="K303" s="55">
        <f>IF(OR($A303="",$E303=""),"",IF(AND(احتساب_التأخير="نعم",OR($N303="حاضر",$N303="دوام جزئي"),$E303&gt;$G303+دقائق_السماح/1440),($E303-$G303-دقائق_السماح/1440)*24,0))</f>
        <v/>
      </c>
      <c r="L303" s="55">
        <f>IF(OR($A303="",$F303=""),"",IF(AND(OR($N303="حاضر",$N303="دوام جزئي"),$F303&lt;$H303),($H303-$F303)*24,0))</f>
        <v/>
      </c>
      <c r="M303" s="55">
        <f>IF(OR($A303="",$F303=""),"",IF(AND(احتساب_العمل_الإضافي="نعم",OR($N303="حاضر",$N303="دوام جزئي"),$F303&gt;$H303,($F303-$H303)*24*60&gt;=حد_العمل_الإضافي_دقيقة),($F303-$H303)*24,0))</f>
        <v/>
      </c>
      <c r="N303" s="40" t="n"/>
      <c r="O303" s="40" t="n"/>
      <c r="Q303">
        <f>IF(AND(ISNUMBER($K303),$K303&gt;0),SUMPRODUCT(ISNUMBER($K$3:$K$502)*($K$3:$K$502&gt;0)*(ROW($K$3:$K$502)&lt;=ROW())),"")</f>
        <v/>
      </c>
    </row>
    <row r="304">
      <c r="A304" s="47" t="n"/>
      <c r="B304" s="50">
        <f>IFERROR(INDEX(الموظفون_الاسم,MATCH($A304,الموظفون_الرقم,0)),"")</f>
        <v/>
      </c>
      <c r="C304" s="112" t="n"/>
      <c r="D304" s="50">
        <f>IF($C304="","",IFERROR(INDEX(قائمة_أيام_الأسبوع,WEEKDAY($C304,1)),""))</f>
        <v/>
      </c>
      <c r="E304" s="116" t="n"/>
      <c r="F304" s="116" t="n"/>
      <c r="G304" s="117">
        <f>IF($A304="","",بداية_الدوام)</f>
        <v/>
      </c>
      <c r="H304" s="117">
        <f>IF($A304="","",نهاية_الدوام)</f>
        <v/>
      </c>
      <c r="I304" s="58">
        <f>IF($A304="","",مدة_الاستراحة/60)</f>
        <v/>
      </c>
      <c r="J304" s="58">
        <f>IF(OR($A304="",$E304="",$F304=""),"",IF(OR($N304="حاضر",$N304="دوام جزئي"),MAX(0,MOD($F304-$E304,1)*24-$I304),0))</f>
        <v/>
      </c>
      <c r="K304" s="58">
        <f>IF(OR($A304="",$E304=""),"",IF(AND(احتساب_التأخير="نعم",OR($N304="حاضر",$N304="دوام جزئي"),$E304&gt;$G304+دقائق_السماح/1440),($E304-$G304-دقائق_السماح/1440)*24,0))</f>
        <v/>
      </c>
      <c r="L304" s="58">
        <f>IF(OR($A304="",$F304=""),"",IF(AND(OR($N304="حاضر",$N304="دوام جزئي"),$F304&lt;$H304),($H304-$F304)*24,0))</f>
        <v/>
      </c>
      <c r="M304" s="58">
        <f>IF(OR($A304="",$F304=""),"",IF(AND(احتساب_العمل_الإضافي="نعم",OR($N304="حاضر",$N304="دوام جزئي"),$F304&gt;$H304,($F304-$H304)*24*60&gt;=حد_العمل_الإضافي_دقيقة),($F304-$H304)*24,0))</f>
        <v/>
      </c>
      <c r="N304" s="47" t="n"/>
      <c r="O304" s="47" t="n"/>
      <c r="Q304">
        <f>IF(AND(ISNUMBER($K304),$K304&gt;0),SUMPRODUCT(ISNUMBER($K$3:$K$502)*($K$3:$K$502&gt;0)*(ROW($K$3:$K$502)&lt;=ROW())),"")</f>
        <v/>
      </c>
    </row>
    <row r="305">
      <c r="A305" s="40" t="n"/>
      <c r="B305" s="43">
        <f>IFERROR(INDEX(الموظفون_الاسم,MATCH($A305,الموظفون_الرقم,0)),"")</f>
        <v/>
      </c>
      <c r="C305" s="110" t="n"/>
      <c r="D305" s="43">
        <f>IF($C305="","",IFERROR(INDEX(قائمة_أيام_الأسبوع,WEEKDAY($C305,1)),""))</f>
        <v/>
      </c>
      <c r="E305" s="114" t="n"/>
      <c r="F305" s="114" t="n"/>
      <c r="G305" s="115">
        <f>IF($A305="","",بداية_الدوام)</f>
        <v/>
      </c>
      <c r="H305" s="115">
        <f>IF($A305="","",نهاية_الدوام)</f>
        <v/>
      </c>
      <c r="I305" s="55">
        <f>IF($A305="","",مدة_الاستراحة/60)</f>
        <v/>
      </c>
      <c r="J305" s="55">
        <f>IF(OR($A305="",$E305="",$F305=""),"",IF(OR($N305="حاضر",$N305="دوام جزئي"),MAX(0,MOD($F305-$E305,1)*24-$I305),0))</f>
        <v/>
      </c>
      <c r="K305" s="55">
        <f>IF(OR($A305="",$E305=""),"",IF(AND(احتساب_التأخير="نعم",OR($N305="حاضر",$N305="دوام جزئي"),$E305&gt;$G305+دقائق_السماح/1440),($E305-$G305-دقائق_السماح/1440)*24,0))</f>
        <v/>
      </c>
      <c r="L305" s="55">
        <f>IF(OR($A305="",$F305=""),"",IF(AND(OR($N305="حاضر",$N305="دوام جزئي"),$F305&lt;$H305),($H305-$F305)*24,0))</f>
        <v/>
      </c>
      <c r="M305" s="55">
        <f>IF(OR($A305="",$F305=""),"",IF(AND(احتساب_العمل_الإضافي="نعم",OR($N305="حاضر",$N305="دوام جزئي"),$F305&gt;$H305,($F305-$H305)*24*60&gt;=حد_العمل_الإضافي_دقيقة),($F305-$H305)*24,0))</f>
        <v/>
      </c>
      <c r="N305" s="40" t="n"/>
      <c r="O305" s="40" t="n"/>
      <c r="Q305">
        <f>IF(AND(ISNUMBER($K305),$K305&gt;0),SUMPRODUCT(ISNUMBER($K$3:$K$502)*($K$3:$K$502&gt;0)*(ROW($K$3:$K$502)&lt;=ROW())),"")</f>
        <v/>
      </c>
    </row>
    <row r="306">
      <c r="A306" s="47" t="n"/>
      <c r="B306" s="50">
        <f>IFERROR(INDEX(الموظفون_الاسم,MATCH($A306,الموظفون_الرقم,0)),"")</f>
        <v/>
      </c>
      <c r="C306" s="112" t="n"/>
      <c r="D306" s="50">
        <f>IF($C306="","",IFERROR(INDEX(قائمة_أيام_الأسبوع,WEEKDAY($C306,1)),""))</f>
        <v/>
      </c>
      <c r="E306" s="116" t="n"/>
      <c r="F306" s="116" t="n"/>
      <c r="G306" s="117">
        <f>IF($A306="","",بداية_الدوام)</f>
        <v/>
      </c>
      <c r="H306" s="117">
        <f>IF($A306="","",نهاية_الدوام)</f>
        <v/>
      </c>
      <c r="I306" s="58">
        <f>IF($A306="","",مدة_الاستراحة/60)</f>
        <v/>
      </c>
      <c r="J306" s="58">
        <f>IF(OR($A306="",$E306="",$F306=""),"",IF(OR($N306="حاضر",$N306="دوام جزئي"),MAX(0,MOD($F306-$E306,1)*24-$I306),0))</f>
        <v/>
      </c>
      <c r="K306" s="58">
        <f>IF(OR($A306="",$E306=""),"",IF(AND(احتساب_التأخير="نعم",OR($N306="حاضر",$N306="دوام جزئي"),$E306&gt;$G306+دقائق_السماح/1440),($E306-$G306-دقائق_السماح/1440)*24,0))</f>
        <v/>
      </c>
      <c r="L306" s="58">
        <f>IF(OR($A306="",$F306=""),"",IF(AND(OR($N306="حاضر",$N306="دوام جزئي"),$F306&lt;$H306),($H306-$F306)*24,0))</f>
        <v/>
      </c>
      <c r="M306" s="58">
        <f>IF(OR($A306="",$F306=""),"",IF(AND(احتساب_العمل_الإضافي="نعم",OR($N306="حاضر",$N306="دوام جزئي"),$F306&gt;$H306,($F306-$H306)*24*60&gt;=حد_العمل_الإضافي_دقيقة),($F306-$H306)*24,0))</f>
        <v/>
      </c>
      <c r="N306" s="47" t="n"/>
      <c r="O306" s="47" t="n"/>
      <c r="Q306">
        <f>IF(AND(ISNUMBER($K306),$K306&gt;0),SUMPRODUCT(ISNUMBER($K$3:$K$502)*($K$3:$K$502&gt;0)*(ROW($K$3:$K$502)&lt;=ROW())),"")</f>
        <v/>
      </c>
    </row>
    <row r="307">
      <c r="A307" s="40" t="n"/>
      <c r="B307" s="43">
        <f>IFERROR(INDEX(الموظفون_الاسم,MATCH($A307,الموظفون_الرقم,0)),"")</f>
        <v/>
      </c>
      <c r="C307" s="110" t="n"/>
      <c r="D307" s="43">
        <f>IF($C307="","",IFERROR(INDEX(قائمة_أيام_الأسبوع,WEEKDAY($C307,1)),""))</f>
        <v/>
      </c>
      <c r="E307" s="114" t="n"/>
      <c r="F307" s="114" t="n"/>
      <c r="G307" s="115">
        <f>IF($A307="","",بداية_الدوام)</f>
        <v/>
      </c>
      <c r="H307" s="115">
        <f>IF($A307="","",نهاية_الدوام)</f>
        <v/>
      </c>
      <c r="I307" s="55">
        <f>IF($A307="","",مدة_الاستراحة/60)</f>
        <v/>
      </c>
      <c r="J307" s="55">
        <f>IF(OR($A307="",$E307="",$F307=""),"",IF(OR($N307="حاضر",$N307="دوام جزئي"),MAX(0,MOD($F307-$E307,1)*24-$I307),0))</f>
        <v/>
      </c>
      <c r="K307" s="55">
        <f>IF(OR($A307="",$E307=""),"",IF(AND(احتساب_التأخير="نعم",OR($N307="حاضر",$N307="دوام جزئي"),$E307&gt;$G307+دقائق_السماح/1440),($E307-$G307-دقائق_السماح/1440)*24,0))</f>
        <v/>
      </c>
      <c r="L307" s="55">
        <f>IF(OR($A307="",$F307=""),"",IF(AND(OR($N307="حاضر",$N307="دوام جزئي"),$F307&lt;$H307),($H307-$F307)*24,0))</f>
        <v/>
      </c>
      <c r="M307" s="55">
        <f>IF(OR($A307="",$F307=""),"",IF(AND(احتساب_العمل_الإضافي="نعم",OR($N307="حاضر",$N307="دوام جزئي"),$F307&gt;$H307,($F307-$H307)*24*60&gt;=حد_العمل_الإضافي_دقيقة),($F307-$H307)*24,0))</f>
        <v/>
      </c>
      <c r="N307" s="40" t="n"/>
      <c r="O307" s="40" t="n"/>
      <c r="Q307">
        <f>IF(AND(ISNUMBER($K307),$K307&gt;0),SUMPRODUCT(ISNUMBER($K$3:$K$502)*($K$3:$K$502&gt;0)*(ROW($K$3:$K$502)&lt;=ROW())),"")</f>
        <v/>
      </c>
    </row>
    <row r="308">
      <c r="A308" s="47" t="n"/>
      <c r="B308" s="50">
        <f>IFERROR(INDEX(الموظفون_الاسم,MATCH($A308,الموظفون_الرقم,0)),"")</f>
        <v/>
      </c>
      <c r="C308" s="112" t="n"/>
      <c r="D308" s="50">
        <f>IF($C308="","",IFERROR(INDEX(قائمة_أيام_الأسبوع,WEEKDAY($C308,1)),""))</f>
        <v/>
      </c>
      <c r="E308" s="116" t="n"/>
      <c r="F308" s="116" t="n"/>
      <c r="G308" s="117">
        <f>IF($A308="","",بداية_الدوام)</f>
        <v/>
      </c>
      <c r="H308" s="117">
        <f>IF($A308="","",نهاية_الدوام)</f>
        <v/>
      </c>
      <c r="I308" s="58">
        <f>IF($A308="","",مدة_الاستراحة/60)</f>
        <v/>
      </c>
      <c r="J308" s="58">
        <f>IF(OR($A308="",$E308="",$F308=""),"",IF(OR($N308="حاضر",$N308="دوام جزئي"),MAX(0,MOD($F308-$E308,1)*24-$I308),0))</f>
        <v/>
      </c>
      <c r="K308" s="58">
        <f>IF(OR($A308="",$E308=""),"",IF(AND(احتساب_التأخير="نعم",OR($N308="حاضر",$N308="دوام جزئي"),$E308&gt;$G308+دقائق_السماح/1440),($E308-$G308-دقائق_السماح/1440)*24,0))</f>
        <v/>
      </c>
      <c r="L308" s="58">
        <f>IF(OR($A308="",$F308=""),"",IF(AND(OR($N308="حاضر",$N308="دوام جزئي"),$F308&lt;$H308),($H308-$F308)*24,0))</f>
        <v/>
      </c>
      <c r="M308" s="58">
        <f>IF(OR($A308="",$F308=""),"",IF(AND(احتساب_العمل_الإضافي="نعم",OR($N308="حاضر",$N308="دوام جزئي"),$F308&gt;$H308,($F308-$H308)*24*60&gt;=حد_العمل_الإضافي_دقيقة),($F308-$H308)*24,0))</f>
        <v/>
      </c>
      <c r="N308" s="47" t="n"/>
      <c r="O308" s="47" t="n"/>
      <c r="Q308">
        <f>IF(AND(ISNUMBER($K308),$K308&gt;0),SUMPRODUCT(ISNUMBER($K$3:$K$502)*($K$3:$K$502&gt;0)*(ROW($K$3:$K$502)&lt;=ROW())),"")</f>
        <v/>
      </c>
    </row>
    <row r="309">
      <c r="A309" s="40" t="n"/>
      <c r="B309" s="43">
        <f>IFERROR(INDEX(الموظفون_الاسم,MATCH($A309,الموظفون_الرقم,0)),"")</f>
        <v/>
      </c>
      <c r="C309" s="110" t="n"/>
      <c r="D309" s="43">
        <f>IF($C309="","",IFERROR(INDEX(قائمة_أيام_الأسبوع,WEEKDAY($C309,1)),""))</f>
        <v/>
      </c>
      <c r="E309" s="114" t="n"/>
      <c r="F309" s="114" t="n"/>
      <c r="G309" s="115">
        <f>IF($A309="","",بداية_الدوام)</f>
        <v/>
      </c>
      <c r="H309" s="115">
        <f>IF($A309="","",نهاية_الدوام)</f>
        <v/>
      </c>
      <c r="I309" s="55">
        <f>IF($A309="","",مدة_الاستراحة/60)</f>
        <v/>
      </c>
      <c r="J309" s="55">
        <f>IF(OR($A309="",$E309="",$F309=""),"",IF(OR($N309="حاضر",$N309="دوام جزئي"),MAX(0,MOD($F309-$E309,1)*24-$I309),0))</f>
        <v/>
      </c>
      <c r="K309" s="55">
        <f>IF(OR($A309="",$E309=""),"",IF(AND(احتساب_التأخير="نعم",OR($N309="حاضر",$N309="دوام جزئي"),$E309&gt;$G309+دقائق_السماح/1440),($E309-$G309-دقائق_السماح/1440)*24,0))</f>
        <v/>
      </c>
      <c r="L309" s="55">
        <f>IF(OR($A309="",$F309=""),"",IF(AND(OR($N309="حاضر",$N309="دوام جزئي"),$F309&lt;$H309),($H309-$F309)*24,0))</f>
        <v/>
      </c>
      <c r="M309" s="55">
        <f>IF(OR($A309="",$F309=""),"",IF(AND(احتساب_العمل_الإضافي="نعم",OR($N309="حاضر",$N309="دوام جزئي"),$F309&gt;$H309,($F309-$H309)*24*60&gt;=حد_العمل_الإضافي_دقيقة),($F309-$H309)*24,0))</f>
        <v/>
      </c>
      <c r="N309" s="40" t="n"/>
      <c r="O309" s="40" t="n"/>
      <c r="Q309">
        <f>IF(AND(ISNUMBER($K309),$K309&gt;0),SUMPRODUCT(ISNUMBER($K$3:$K$502)*($K$3:$K$502&gt;0)*(ROW($K$3:$K$502)&lt;=ROW())),"")</f>
        <v/>
      </c>
    </row>
    <row r="310">
      <c r="A310" s="47" t="n"/>
      <c r="B310" s="50">
        <f>IFERROR(INDEX(الموظفون_الاسم,MATCH($A310,الموظفون_الرقم,0)),"")</f>
        <v/>
      </c>
      <c r="C310" s="112" t="n"/>
      <c r="D310" s="50">
        <f>IF($C310="","",IFERROR(INDEX(قائمة_أيام_الأسبوع,WEEKDAY($C310,1)),""))</f>
        <v/>
      </c>
      <c r="E310" s="116" t="n"/>
      <c r="F310" s="116" t="n"/>
      <c r="G310" s="117">
        <f>IF($A310="","",بداية_الدوام)</f>
        <v/>
      </c>
      <c r="H310" s="117">
        <f>IF($A310="","",نهاية_الدوام)</f>
        <v/>
      </c>
      <c r="I310" s="58">
        <f>IF($A310="","",مدة_الاستراحة/60)</f>
        <v/>
      </c>
      <c r="J310" s="58">
        <f>IF(OR($A310="",$E310="",$F310=""),"",IF(OR($N310="حاضر",$N310="دوام جزئي"),MAX(0,MOD($F310-$E310,1)*24-$I310),0))</f>
        <v/>
      </c>
      <c r="K310" s="58">
        <f>IF(OR($A310="",$E310=""),"",IF(AND(احتساب_التأخير="نعم",OR($N310="حاضر",$N310="دوام جزئي"),$E310&gt;$G310+دقائق_السماح/1440),($E310-$G310-دقائق_السماح/1440)*24,0))</f>
        <v/>
      </c>
      <c r="L310" s="58">
        <f>IF(OR($A310="",$F310=""),"",IF(AND(OR($N310="حاضر",$N310="دوام جزئي"),$F310&lt;$H310),($H310-$F310)*24,0))</f>
        <v/>
      </c>
      <c r="M310" s="58">
        <f>IF(OR($A310="",$F310=""),"",IF(AND(احتساب_العمل_الإضافي="نعم",OR($N310="حاضر",$N310="دوام جزئي"),$F310&gt;$H310,($F310-$H310)*24*60&gt;=حد_العمل_الإضافي_دقيقة),($F310-$H310)*24,0))</f>
        <v/>
      </c>
      <c r="N310" s="47" t="n"/>
      <c r="O310" s="47" t="n"/>
      <c r="Q310">
        <f>IF(AND(ISNUMBER($K310),$K310&gt;0),SUMPRODUCT(ISNUMBER($K$3:$K$502)*($K$3:$K$502&gt;0)*(ROW($K$3:$K$502)&lt;=ROW())),"")</f>
        <v/>
      </c>
    </row>
    <row r="311">
      <c r="A311" s="40" t="n"/>
      <c r="B311" s="43">
        <f>IFERROR(INDEX(الموظفون_الاسم,MATCH($A311,الموظفون_الرقم,0)),"")</f>
        <v/>
      </c>
      <c r="C311" s="110" t="n"/>
      <c r="D311" s="43">
        <f>IF($C311="","",IFERROR(INDEX(قائمة_أيام_الأسبوع,WEEKDAY($C311,1)),""))</f>
        <v/>
      </c>
      <c r="E311" s="114" t="n"/>
      <c r="F311" s="114" t="n"/>
      <c r="G311" s="115">
        <f>IF($A311="","",بداية_الدوام)</f>
        <v/>
      </c>
      <c r="H311" s="115">
        <f>IF($A311="","",نهاية_الدوام)</f>
        <v/>
      </c>
      <c r="I311" s="55">
        <f>IF($A311="","",مدة_الاستراحة/60)</f>
        <v/>
      </c>
      <c r="J311" s="55">
        <f>IF(OR($A311="",$E311="",$F311=""),"",IF(OR($N311="حاضر",$N311="دوام جزئي"),MAX(0,MOD($F311-$E311,1)*24-$I311),0))</f>
        <v/>
      </c>
      <c r="K311" s="55">
        <f>IF(OR($A311="",$E311=""),"",IF(AND(احتساب_التأخير="نعم",OR($N311="حاضر",$N311="دوام جزئي"),$E311&gt;$G311+دقائق_السماح/1440),($E311-$G311-دقائق_السماح/1440)*24,0))</f>
        <v/>
      </c>
      <c r="L311" s="55">
        <f>IF(OR($A311="",$F311=""),"",IF(AND(OR($N311="حاضر",$N311="دوام جزئي"),$F311&lt;$H311),($H311-$F311)*24,0))</f>
        <v/>
      </c>
      <c r="M311" s="55">
        <f>IF(OR($A311="",$F311=""),"",IF(AND(احتساب_العمل_الإضافي="نعم",OR($N311="حاضر",$N311="دوام جزئي"),$F311&gt;$H311,($F311-$H311)*24*60&gt;=حد_العمل_الإضافي_دقيقة),($F311-$H311)*24,0))</f>
        <v/>
      </c>
      <c r="N311" s="40" t="n"/>
      <c r="O311" s="40" t="n"/>
      <c r="Q311">
        <f>IF(AND(ISNUMBER($K311),$K311&gt;0),SUMPRODUCT(ISNUMBER($K$3:$K$502)*($K$3:$K$502&gt;0)*(ROW($K$3:$K$502)&lt;=ROW())),"")</f>
        <v/>
      </c>
    </row>
    <row r="312">
      <c r="A312" s="47" t="n"/>
      <c r="B312" s="50">
        <f>IFERROR(INDEX(الموظفون_الاسم,MATCH($A312,الموظفون_الرقم,0)),"")</f>
        <v/>
      </c>
      <c r="C312" s="112" t="n"/>
      <c r="D312" s="50">
        <f>IF($C312="","",IFERROR(INDEX(قائمة_أيام_الأسبوع,WEEKDAY($C312,1)),""))</f>
        <v/>
      </c>
      <c r="E312" s="116" t="n"/>
      <c r="F312" s="116" t="n"/>
      <c r="G312" s="117">
        <f>IF($A312="","",بداية_الدوام)</f>
        <v/>
      </c>
      <c r="H312" s="117">
        <f>IF($A312="","",نهاية_الدوام)</f>
        <v/>
      </c>
      <c r="I312" s="58">
        <f>IF($A312="","",مدة_الاستراحة/60)</f>
        <v/>
      </c>
      <c r="J312" s="58">
        <f>IF(OR($A312="",$E312="",$F312=""),"",IF(OR($N312="حاضر",$N312="دوام جزئي"),MAX(0,MOD($F312-$E312,1)*24-$I312),0))</f>
        <v/>
      </c>
      <c r="K312" s="58">
        <f>IF(OR($A312="",$E312=""),"",IF(AND(احتساب_التأخير="نعم",OR($N312="حاضر",$N312="دوام جزئي"),$E312&gt;$G312+دقائق_السماح/1440),($E312-$G312-دقائق_السماح/1440)*24,0))</f>
        <v/>
      </c>
      <c r="L312" s="58">
        <f>IF(OR($A312="",$F312=""),"",IF(AND(OR($N312="حاضر",$N312="دوام جزئي"),$F312&lt;$H312),($H312-$F312)*24,0))</f>
        <v/>
      </c>
      <c r="M312" s="58">
        <f>IF(OR($A312="",$F312=""),"",IF(AND(احتساب_العمل_الإضافي="نعم",OR($N312="حاضر",$N312="دوام جزئي"),$F312&gt;$H312,($F312-$H312)*24*60&gt;=حد_العمل_الإضافي_دقيقة),($F312-$H312)*24,0))</f>
        <v/>
      </c>
      <c r="N312" s="47" t="n"/>
      <c r="O312" s="47" t="n"/>
      <c r="Q312">
        <f>IF(AND(ISNUMBER($K312),$K312&gt;0),SUMPRODUCT(ISNUMBER($K$3:$K$502)*($K$3:$K$502&gt;0)*(ROW($K$3:$K$502)&lt;=ROW())),"")</f>
        <v/>
      </c>
    </row>
    <row r="313">
      <c r="A313" s="40" t="n"/>
      <c r="B313" s="43">
        <f>IFERROR(INDEX(الموظفون_الاسم,MATCH($A313,الموظفون_الرقم,0)),"")</f>
        <v/>
      </c>
      <c r="C313" s="110" t="n"/>
      <c r="D313" s="43">
        <f>IF($C313="","",IFERROR(INDEX(قائمة_أيام_الأسبوع,WEEKDAY($C313,1)),""))</f>
        <v/>
      </c>
      <c r="E313" s="114" t="n"/>
      <c r="F313" s="114" t="n"/>
      <c r="G313" s="115">
        <f>IF($A313="","",بداية_الدوام)</f>
        <v/>
      </c>
      <c r="H313" s="115">
        <f>IF($A313="","",نهاية_الدوام)</f>
        <v/>
      </c>
      <c r="I313" s="55">
        <f>IF($A313="","",مدة_الاستراحة/60)</f>
        <v/>
      </c>
      <c r="J313" s="55">
        <f>IF(OR($A313="",$E313="",$F313=""),"",IF(OR($N313="حاضر",$N313="دوام جزئي"),MAX(0,MOD($F313-$E313,1)*24-$I313),0))</f>
        <v/>
      </c>
      <c r="K313" s="55">
        <f>IF(OR($A313="",$E313=""),"",IF(AND(احتساب_التأخير="نعم",OR($N313="حاضر",$N313="دوام جزئي"),$E313&gt;$G313+دقائق_السماح/1440),($E313-$G313-دقائق_السماح/1440)*24,0))</f>
        <v/>
      </c>
      <c r="L313" s="55">
        <f>IF(OR($A313="",$F313=""),"",IF(AND(OR($N313="حاضر",$N313="دوام جزئي"),$F313&lt;$H313),($H313-$F313)*24,0))</f>
        <v/>
      </c>
      <c r="M313" s="55">
        <f>IF(OR($A313="",$F313=""),"",IF(AND(احتساب_العمل_الإضافي="نعم",OR($N313="حاضر",$N313="دوام جزئي"),$F313&gt;$H313,($F313-$H313)*24*60&gt;=حد_العمل_الإضافي_دقيقة),($F313-$H313)*24,0))</f>
        <v/>
      </c>
      <c r="N313" s="40" t="n"/>
      <c r="O313" s="40" t="n"/>
      <c r="Q313">
        <f>IF(AND(ISNUMBER($K313),$K313&gt;0),SUMPRODUCT(ISNUMBER($K$3:$K$502)*($K$3:$K$502&gt;0)*(ROW($K$3:$K$502)&lt;=ROW())),"")</f>
        <v/>
      </c>
    </row>
    <row r="314">
      <c r="A314" s="47" t="n"/>
      <c r="B314" s="50">
        <f>IFERROR(INDEX(الموظفون_الاسم,MATCH($A314,الموظفون_الرقم,0)),"")</f>
        <v/>
      </c>
      <c r="C314" s="112" t="n"/>
      <c r="D314" s="50">
        <f>IF($C314="","",IFERROR(INDEX(قائمة_أيام_الأسبوع,WEEKDAY($C314,1)),""))</f>
        <v/>
      </c>
      <c r="E314" s="116" t="n"/>
      <c r="F314" s="116" t="n"/>
      <c r="G314" s="117">
        <f>IF($A314="","",بداية_الدوام)</f>
        <v/>
      </c>
      <c r="H314" s="117">
        <f>IF($A314="","",نهاية_الدوام)</f>
        <v/>
      </c>
      <c r="I314" s="58">
        <f>IF($A314="","",مدة_الاستراحة/60)</f>
        <v/>
      </c>
      <c r="J314" s="58">
        <f>IF(OR($A314="",$E314="",$F314=""),"",IF(OR($N314="حاضر",$N314="دوام جزئي"),MAX(0,MOD($F314-$E314,1)*24-$I314),0))</f>
        <v/>
      </c>
      <c r="K314" s="58">
        <f>IF(OR($A314="",$E314=""),"",IF(AND(احتساب_التأخير="نعم",OR($N314="حاضر",$N314="دوام جزئي"),$E314&gt;$G314+دقائق_السماح/1440),($E314-$G314-دقائق_السماح/1440)*24,0))</f>
        <v/>
      </c>
      <c r="L314" s="58">
        <f>IF(OR($A314="",$F314=""),"",IF(AND(OR($N314="حاضر",$N314="دوام جزئي"),$F314&lt;$H314),($H314-$F314)*24,0))</f>
        <v/>
      </c>
      <c r="M314" s="58">
        <f>IF(OR($A314="",$F314=""),"",IF(AND(احتساب_العمل_الإضافي="نعم",OR($N314="حاضر",$N314="دوام جزئي"),$F314&gt;$H314,($F314-$H314)*24*60&gt;=حد_العمل_الإضافي_دقيقة),($F314-$H314)*24,0))</f>
        <v/>
      </c>
      <c r="N314" s="47" t="n"/>
      <c r="O314" s="47" t="n"/>
      <c r="Q314">
        <f>IF(AND(ISNUMBER($K314),$K314&gt;0),SUMPRODUCT(ISNUMBER($K$3:$K$502)*($K$3:$K$502&gt;0)*(ROW($K$3:$K$502)&lt;=ROW())),"")</f>
        <v/>
      </c>
    </row>
    <row r="315">
      <c r="A315" s="40" t="n"/>
      <c r="B315" s="43">
        <f>IFERROR(INDEX(الموظفون_الاسم,MATCH($A315,الموظفون_الرقم,0)),"")</f>
        <v/>
      </c>
      <c r="C315" s="110" t="n"/>
      <c r="D315" s="43">
        <f>IF($C315="","",IFERROR(INDEX(قائمة_أيام_الأسبوع,WEEKDAY($C315,1)),""))</f>
        <v/>
      </c>
      <c r="E315" s="114" t="n"/>
      <c r="F315" s="114" t="n"/>
      <c r="G315" s="115">
        <f>IF($A315="","",بداية_الدوام)</f>
        <v/>
      </c>
      <c r="H315" s="115">
        <f>IF($A315="","",نهاية_الدوام)</f>
        <v/>
      </c>
      <c r="I315" s="55">
        <f>IF($A315="","",مدة_الاستراحة/60)</f>
        <v/>
      </c>
      <c r="J315" s="55">
        <f>IF(OR($A315="",$E315="",$F315=""),"",IF(OR($N315="حاضر",$N315="دوام جزئي"),MAX(0,MOD($F315-$E315,1)*24-$I315),0))</f>
        <v/>
      </c>
      <c r="K315" s="55">
        <f>IF(OR($A315="",$E315=""),"",IF(AND(احتساب_التأخير="نعم",OR($N315="حاضر",$N315="دوام جزئي"),$E315&gt;$G315+دقائق_السماح/1440),($E315-$G315-دقائق_السماح/1440)*24,0))</f>
        <v/>
      </c>
      <c r="L315" s="55">
        <f>IF(OR($A315="",$F315=""),"",IF(AND(OR($N315="حاضر",$N315="دوام جزئي"),$F315&lt;$H315),($H315-$F315)*24,0))</f>
        <v/>
      </c>
      <c r="M315" s="55">
        <f>IF(OR($A315="",$F315=""),"",IF(AND(احتساب_العمل_الإضافي="نعم",OR($N315="حاضر",$N315="دوام جزئي"),$F315&gt;$H315,($F315-$H315)*24*60&gt;=حد_العمل_الإضافي_دقيقة),($F315-$H315)*24,0))</f>
        <v/>
      </c>
      <c r="N315" s="40" t="n"/>
      <c r="O315" s="40" t="n"/>
      <c r="Q315">
        <f>IF(AND(ISNUMBER($K315),$K315&gt;0),SUMPRODUCT(ISNUMBER($K$3:$K$502)*($K$3:$K$502&gt;0)*(ROW($K$3:$K$502)&lt;=ROW())),"")</f>
        <v/>
      </c>
    </row>
    <row r="316">
      <c r="A316" s="47" t="n"/>
      <c r="B316" s="50">
        <f>IFERROR(INDEX(الموظفون_الاسم,MATCH($A316,الموظفون_الرقم,0)),"")</f>
        <v/>
      </c>
      <c r="C316" s="112" t="n"/>
      <c r="D316" s="50">
        <f>IF($C316="","",IFERROR(INDEX(قائمة_أيام_الأسبوع,WEEKDAY($C316,1)),""))</f>
        <v/>
      </c>
      <c r="E316" s="116" t="n"/>
      <c r="F316" s="116" t="n"/>
      <c r="G316" s="117">
        <f>IF($A316="","",بداية_الدوام)</f>
        <v/>
      </c>
      <c r="H316" s="117">
        <f>IF($A316="","",نهاية_الدوام)</f>
        <v/>
      </c>
      <c r="I316" s="58">
        <f>IF($A316="","",مدة_الاستراحة/60)</f>
        <v/>
      </c>
      <c r="J316" s="58">
        <f>IF(OR($A316="",$E316="",$F316=""),"",IF(OR($N316="حاضر",$N316="دوام جزئي"),MAX(0,MOD($F316-$E316,1)*24-$I316),0))</f>
        <v/>
      </c>
      <c r="K316" s="58">
        <f>IF(OR($A316="",$E316=""),"",IF(AND(احتساب_التأخير="نعم",OR($N316="حاضر",$N316="دوام جزئي"),$E316&gt;$G316+دقائق_السماح/1440),($E316-$G316-دقائق_السماح/1440)*24,0))</f>
        <v/>
      </c>
      <c r="L316" s="58">
        <f>IF(OR($A316="",$F316=""),"",IF(AND(OR($N316="حاضر",$N316="دوام جزئي"),$F316&lt;$H316),($H316-$F316)*24,0))</f>
        <v/>
      </c>
      <c r="M316" s="58">
        <f>IF(OR($A316="",$F316=""),"",IF(AND(احتساب_العمل_الإضافي="نعم",OR($N316="حاضر",$N316="دوام جزئي"),$F316&gt;$H316,($F316-$H316)*24*60&gt;=حد_العمل_الإضافي_دقيقة),($F316-$H316)*24,0))</f>
        <v/>
      </c>
      <c r="N316" s="47" t="n"/>
      <c r="O316" s="47" t="n"/>
      <c r="Q316">
        <f>IF(AND(ISNUMBER($K316),$K316&gt;0),SUMPRODUCT(ISNUMBER($K$3:$K$502)*($K$3:$K$502&gt;0)*(ROW($K$3:$K$502)&lt;=ROW())),"")</f>
        <v/>
      </c>
    </row>
    <row r="317">
      <c r="A317" s="40" t="n"/>
      <c r="B317" s="43">
        <f>IFERROR(INDEX(الموظفون_الاسم,MATCH($A317,الموظفون_الرقم,0)),"")</f>
        <v/>
      </c>
      <c r="C317" s="110" t="n"/>
      <c r="D317" s="43">
        <f>IF($C317="","",IFERROR(INDEX(قائمة_أيام_الأسبوع,WEEKDAY($C317,1)),""))</f>
        <v/>
      </c>
      <c r="E317" s="114" t="n"/>
      <c r="F317" s="114" t="n"/>
      <c r="G317" s="115">
        <f>IF($A317="","",بداية_الدوام)</f>
        <v/>
      </c>
      <c r="H317" s="115">
        <f>IF($A317="","",نهاية_الدوام)</f>
        <v/>
      </c>
      <c r="I317" s="55">
        <f>IF($A317="","",مدة_الاستراحة/60)</f>
        <v/>
      </c>
      <c r="J317" s="55">
        <f>IF(OR($A317="",$E317="",$F317=""),"",IF(OR($N317="حاضر",$N317="دوام جزئي"),MAX(0,MOD($F317-$E317,1)*24-$I317),0))</f>
        <v/>
      </c>
      <c r="K317" s="55">
        <f>IF(OR($A317="",$E317=""),"",IF(AND(احتساب_التأخير="نعم",OR($N317="حاضر",$N317="دوام جزئي"),$E317&gt;$G317+دقائق_السماح/1440),($E317-$G317-دقائق_السماح/1440)*24,0))</f>
        <v/>
      </c>
      <c r="L317" s="55">
        <f>IF(OR($A317="",$F317=""),"",IF(AND(OR($N317="حاضر",$N317="دوام جزئي"),$F317&lt;$H317),($H317-$F317)*24,0))</f>
        <v/>
      </c>
      <c r="M317" s="55">
        <f>IF(OR($A317="",$F317=""),"",IF(AND(احتساب_العمل_الإضافي="نعم",OR($N317="حاضر",$N317="دوام جزئي"),$F317&gt;$H317,($F317-$H317)*24*60&gt;=حد_العمل_الإضافي_دقيقة),($F317-$H317)*24,0))</f>
        <v/>
      </c>
      <c r="N317" s="40" t="n"/>
      <c r="O317" s="40" t="n"/>
      <c r="Q317">
        <f>IF(AND(ISNUMBER($K317),$K317&gt;0),SUMPRODUCT(ISNUMBER($K$3:$K$502)*($K$3:$K$502&gt;0)*(ROW($K$3:$K$502)&lt;=ROW())),"")</f>
        <v/>
      </c>
    </row>
    <row r="318">
      <c r="A318" s="47" t="n"/>
      <c r="B318" s="50">
        <f>IFERROR(INDEX(الموظفون_الاسم,MATCH($A318,الموظفون_الرقم,0)),"")</f>
        <v/>
      </c>
      <c r="C318" s="112" t="n"/>
      <c r="D318" s="50">
        <f>IF($C318="","",IFERROR(INDEX(قائمة_أيام_الأسبوع,WEEKDAY($C318,1)),""))</f>
        <v/>
      </c>
      <c r="E318" s="116" t="n"/>
      <c r="F318" s="116" t="n"/>
      <c r="G318" s="117">
        <f>IF($A318="","",بداية_الدوام)</f>
        <v/>
      </c>
      <c r="H318" s="117">
        <f>IF($A318="","",نهاية_الدوام)</f>
        <v/>
      </c>
      <c r="I318" s="58">
        <f>IF($A318="","",مدة_الاستراحة/60)</f>
        <v/>
      </c>
      <c r="J318" s="58">
        <f>IF(OR($A318="",$E318="",$F318=""),"",IF(OR($N318="حاضر",$N318="دوام جزئي"),MAX(0,MOD($F318-$E318,1)*24-$I318),0))</f>
        <v/>
      </c>
      <c r="K318" s="58">
        <f>IF(OR($A318="",$E318=""),"",IF(AND(احتساب_التأخير="نعم",OR($N318="حاضر",$N318="دوام جزئي"),$E318&gt;$G318+دقائق_السماح/1440),($E318-$G318-دقائق_السماح/1440)*24,0))</f>
        <v/>
      </c>
      <c r="L318" s="58">
        <f>IF(OR($A318="",$F318=""),"",IF(AND(OR($N318="حاضر",$N318="دوام جزئي"),$F318&lt;$H318),($H318-$F318)*24,0))</f>
        <v/>
      </c>
      <c r="M318" s="58">
        <f>IF(OR($A318="",$F318=""),"",IF(AND(احتساب_العمل_الإضافي="نعم",OR($N318="حاضر",$N318="دوام جزئي"),$F318&gt;$H318,($F318-$H318)*24*60&gt;=حد_العمل_الإضافي_دقيقة),($F318-$H318)*24,0))</f>
        <v/>
      </c>
      <c r="N318" s="47" t="n"/>
      <c r="O318" s="47" t="n"/>
      <c r="Q318">
        <f>IF(AND(ISNUMBER($K318),$K318&gt;0),SUMPRODUCT(ISNUMBER($K$3:$K$502)*($K$3:$K$502&gt;0)*(ROW($K$3:$K$502)&lt;=ROW())),"")</f>
        <v/>
      </c>
    </row>
    <row r="319">
      <c r="A319" s="40" t="n"/>
      <c r="B319" s="43">
        <f>IFERROR(INDEX(الموظفون_الاسم,MATCH($A319,الموظفون_الرقم,0)),"")</f>
        <v/>
      </c>
      <c r="C319" s="110" t="n"/>
      <c r="D319" s="43">
        <f>IF($C319="","",IFERROR(INDEX(قائمة_أيام_الأسبوع,WEEKDAY($C319,1)),""))</f>
        <v/>
      </c>
      <c r="E319" s="114" t="n"/>
      <c r="F319" s="114" t="n"/>
      <c r="G319" s="115">
        <f>IF($A319="","",بداية_الدوام)</f>
        <v/>
      </c>
      <c r="H319" s="115">
        <f>IF($A319="","",نهاية_الدوام)</f>
        <v/>
      </c>
      <c r="I319" s="55">
        <f>IF($A319="","",مدة_الاستراحة/60)</f>
        <v/>
      </c>
      <c r="J319" s="55">
        <f>IF(OR($A319="",$E319="",$F319=""),"",IF(OR($N319="حاضر",$N319="دوام جزئي"),MAX(0,MOD($F319-$E319,1)*24-$I319),0))</f>
        <v/>
      </c>
      <c r="K319" s="55">
        <f>IF(OR($A319="",$E319=""),"",IF(AND(احتساب_التأخير="نعم",OR($N319="حاضر",$N319="دوام جزئي"),$E319&gt;$G319+دقائق_السماح/1440),($E319-$G319-دقائق_السماح/1440)*24,0))</f>
        <v/>
      </c>
      <c r="L319" s="55">
        <f>IF(OR($A319="",$F319=""),"",IF(AND(OR($N319="حاضر",$N319="دوام جزئي"),$F319&lt;$H319),($H319-$F319)*24,0))</f>
        <v/>
      </c>
      <c r="M319" s="55">
        <f>IF(OR($A319="",$F319=""),"",IF(AND(احتساب_العمل_الإضافي="نعم",OR($N319="حاضر",$N319="دوام جزئي"),$F319&gt;$H319,($F319-$H319)*24*60&gt;=حد_العمل_الإضافي_دقيقة),($F319-$H319)*24,0))</f>
        <v/>
      </c>
      <c r="N319" s="40" t="n"/>
      <c r="O319" s="40" t="n"/>
      <c r="Q319">
        <f>IF(AND(ISNUMBER($K319),$K319&gt;0),SUMPRODUCT(ISNUMBER($K$3:$K$502)*($K$3:$K$502&gt;0)*(ROW($K$3:$K$502)&lt;=ROW())),"")</f>
        <v/>
      </c>
    </row>
    <row r="320">
      <c r="A320" s="47" t="n"/>
      <c r="B320" s="50">
        <f>IFERROR(INDEX(الموظفون_الاسم,MATCH($A320,الموظفون_الرقم,0)),"")</f>
        <v/>
      </c>
      <c r="C320" s="112" t="n"/>
      <c r="D320" s="50">
        <f>IF($C320="","",IFERROR(INDEX(قائمة_أيام_الأسبوع,WEEKDAY($C320,1)),""))</f>
        <v/>
      </c>
      <c r="E320" s="116" t="n"/>
      <c r="F320" s="116" t="n"/>
      <c r="G320" s="117">
        <f>IF($A320="","",بداية_الدوام)</f>
        <v/>
      </c>
      <c r="H320" s="117">
        <f>IF($A320="","",نهاية_الدوام)</f>
        <v/>
      </c>
      <c r="I320" s="58">
        <f>IF($A320="","",مدة_الاستراحة/60)</f>
        <v/>
      </c>
      <c r="J320" s="58">
        <f>IF(OR($A320="",$E320="",$F320=""),"",IF(OR($N320="حاضر",$N320="دوام جزئي"),MAX(0,MOD($F320-$E320,1)*24-$I320),0))</f>
        <v/>
      </c>
      <c r="K320" s="58">
        <f>IF(OR($A320="",$E320=""),"",IF(AND(احتساب_التأخير="نعم",OR($N320="حاضر",$N320="دوام جزئي"),$E320&gt;$G320+دقائق_السماح/1440),($E320-$G320-دقائق_السماح/1440)*24,0))</f>
        <v/>
      </c>
      <c r="L320" s="58">
        <f>IF(OR($A320="",$F320=""),"",IF(AND(OR($N320="حاضر",$N320="دوام جزئي"),$F320&lt;$H320),($H320-$F320)*24,0))</f>
        <v/>
      </c>
      <c r="M320" s="58">
        <f>IF(OR($A320="",$F320=""),"",IF(AND(احتساب_العمل_الإضافي="نعم",OR($N320="حاضر",$N320="دوام جزئي"),$F320&gt;$H320,($F320-$H320)*24*60&gt;=حد_العمل_الإضافي_دقيقة),($F320-$H320)*24,0))</f>
        <v/>
      </c>
      <c r="N320" s="47" t="n"/>
      <c r="O320" s="47" t="n"/>
      <c r="Q320">
        <f>IF(AND(ISNUMBER($K320),$K320&gt;0),SUMPRODUCT(ISNUMBER($K$3:$K$502)*($K$3:$K$502&gt;0)*(ROW($K$3:$K$502)&lt;=ROW())),"")</f>
        <v/>
      </c>
    </row>
    <row r="321">
      <c r="A321" s="40" t="n"/>
      <c r="B321" s="43">
        <f>IFERROR(INDEX(الموظفون_الاسم,MATCH($A321,الموظفون_الرقم,0)),"")</f>
        <v/>
      </c>
      <c r="C321" s="110" t="n"/>
      <c r="D321" s="43">
        <f>IF($C321="","",IFERROR(INDEX(قائمة_أيام_الأسبوع,WEEKDAY($C321,1)),""))</f>
        <v/>
      </c>
      <c r="E321" s="114" t="n"/>
      <c r="F321" s="114" t="n"/>
      <c r="G321" s="115">
        <f>IF($A321="","",بداية_الدوام)</f>
        <v/>
      </c>
      <c r="H321" s="115">
        <f>IF($A321="","",نهاية_الدوام)</f>
        <v/>
      </c>
      <c r="I321" s="55">
        <f>IF($A321="","",مدة_الاستراحة/60)</f>
        <v/>
      </c>
      <c r="J321" s="55">
        <f>IF(OR($A321="",$E321="",$F321=""),"",IF(OR($N321="حاضر",$N321="دوام جزئي"),MAX(0,MOD($F321-$E321,1)*24-$I321),0))</f>
        <v/>
      </c>
      <c r="K321" s="55">
        <f>IF(OR($A321="",$E321=""),"",IF(AND(احتساب_التأخير="نعم",OR($N321="حاضر",$N321="دوام جزئي"),$E321&gt;$G321+دقائق_السماح/1440),($E321-$G321-دقائق_السماح/1440)*24,0))</f>
        <v/>
      </c>
      <c r="L321" s="55">
        <f>IF(OR($A321="",$F321=""),"",IF(AND(OR($N321="حاضر",$N321="دوام جزئي"),$F321&lt;$H321),($H321-$F321)*24,0))</f>
        <v/>
      </c>
      <c r="M321" s="55">
        <f>IF(OR($A321="",$F321=""),"",IF(AND(احتساب_العمل_الإضافي="نعم",OR($N321="حاضر",$N321="دوام جزئي"),$F321&gt;$H321,($F321-$H321)*24*60&gt;=حد_العمل_الإضافي_دقيقة),($F321-$H321)*24,0))</f>
        <v/>
      </c>
      <c r="N321" s="40" t="n"/>
      <c r="O321" s="40" t="n"/>
      <c r="Q321">
        <f>IF(AND(ISNUMBER($K321),$K321&gt;0),SUMPRODUCT(ISNUMBER($K$3:$K$502)*($K$3:$K$502&gt;0)*(ROW($K$3:$K$502)&lt;=ROW())),"")</f>
        <v/>
      </c>
    </row>
    <row r="322">
      <c r="A322" s="47" t="n"/>
      <c r="B322" s="50">
        <f>IFERROR(INDEX(الموظفون_الاسم,MATCH($A322,الموظفون_الرقم,0)),"")</f>
        <v/>
      </c>
      <c r="C322" s="112" t="n"/>
      <c r="D322" s="50">
        <f>IF($C322="","",IFERROR(INDEX(قائمة_أيام_الأسبوع,WEEKDAY($C322,1)),""))</f>
        <v/>
      </c>
      <c r="E322" s="116" t="n"/>
      <c r="F322" s="116" t="n"/>
      <c r="G322" s="117">
        <f>IF($A322="","",بداية_الدوام)</f>
        <v/>
      </c>
      <c r="H322" s="117">
        <f>IF($A322="","",نهاية_الدوام)</f>
        <v/>
      </c>
      <c r="I322" s="58">
        <f>IF($A322="","",مدة_الاستراحة/60)</f>
        <v/>
      </c>
      <c r="J322" s="58">
        <f>IF(OR($A322="",$E322="",$F322=""),"",IF(OR($N322="حاضر",$N322="دوام جزئي"),MAX(0,MOD($F322-$E322,1)*24-$I322),0))</f>
        <v/>
      </c>
      <c r="K322" s="58">
        <f>IF(OR($A322="",$E322=""),"",IF(AND(احتساب_التأخير="نعم",OR($N322="حاضر",$N322="دوام جزئي"),$E322&gt;$G322+دقائق_السماح/1440),($E322-$G322-دقائق_السماح/1440)*24,0))</f>
        <v/>
      </c>
      <c r="L322" s="58">
        <f>IF(OR($A322="",$F322=""),"",IF(AND(OR($N322="حاضر",$N322="دوام جزئي"),$F322&lt;$H322),($H322-$F322)*24,0))</f>
        <v/>
      </c>
      <c r="M322" s="58">
        <f>IF(OR($A322="",$F322=""),"",IF(AND(احتساب_العمل_الإضافي="نعم",OR($N322="حاضر",$N322="دوام جزئي"),$F322&gt;$H322,($F322-$H322)*24*60&gt;=حد_العمل_الإضافي_دقيقة),($F322-$H322)*24,0))</f>
        <v/>
      </c>
      <c r="N322" s="47" t="n"/>
      <c r="O322" s="47" t="n"/>
      <c r="Q322">
        <f>IF(AND(ISNUMBER($K322),$K322&gt;0),SUMPRODUCT(ISNUMBER($K$3:$K$502)*($K$3:$K$502&gt;0)*(ROW($K$3:$K$502)&lt;=ROW())),"")</f>
        <v/>
      </c>
    </row>
    <row r="323">
      <c r="A323" s="40" t="n"/>
      <c r="B323" s="43">
        <f>IFERROR(INDEX(الموظفون_الاسم,MATCH($A323,الموظفون_الرقم,0)),"")</f>
        <v/>
      </c>
      <c r="C323" s="110" t="n"/>
      <c r="D323" s="43">
        <f>IF($C323="","",IFERROR(INDEX(قائمة_أيام_الأسبوع,WEEKDAY($C323,1)),""))</f>
        <v/>
      </c>
      <c r="E323" s="114" t="n"/>
      <c r="F323" s="114" t="n"/>
      <c r="G323" s="115">
        <f>IF($A323="","",بداية_الدوام)</f>
        <v/>
      </c>
      <c r="H323" s="115">
        <f>IF($A323="","",نهاية_الدوام)</f>
        <v/>
      </c>
      <c r="I323" s="55">
        <f>IF($A323="","",مدة_الاستراحة/60)</f>
        <v/>
      </c>
      <c r="J323" s="55">
        <f>IF(OR($A323="",$E323="",$F323=""),"",IF(OR($N323="حاضر",$N323="دوام جزئي"),MAX(0,MOD($F323-$E323,1)*24-$I323),0))</f>
        <v/>
      </c>
      <c r="K323" s="55">
        <f>IF(OR($A323="",$E323=""),"",IF(AND(احتساب_التأخير="نعم",OR($N323="حاضر",$N323="دوام جزئي"),$E323&gt;$G323+دقائق_السماح/1440),($E323-$G323-دقائق_السماح/1440)*24,0))</f>
        <v/>
      </c>
      <c r="L323" s="55">
        <f>IF(OR($A323="",$F323=""),"",IF(AND(OR($N323="حاضر",$N323="دوام جزئي"),$F323&lt;$H323),($H323-$F323)*24,0))</f>
        <v/>
      </c>
      <c r="M323" s="55">
        <f>IF(OR($A323="",$F323=""),"",IF(AND(احتساب_العمل_الإضافي="نعم",OR($N323="حاضر",$N323="دوام جزئي"),$F323&gt;$H323,($F323-$H323)*24*60&gt;=حد_العمل_الإضافي_دقيقة),($F323-$H323)*24,0))</f>
        <v/>
      </c>
      <c r="N323" s="40" t="n"/>
      <c r="O323" s="40" t="n"/>
      <c r="Q323">
        <f>IF(AND(ISNUMBER($K323),$K323&gt;0),SUMPRODUCT(ISNUMBER($K$3:$K$502)*($K$3:$K$502&gt;0)*(ROW($K$3:$K$502)&lt;=ROW())),"")</f>
        <v/>
      </c>
    </row>
    <row r="324">
      <c r="A324" s="47" t="n"/>
      <c r="B324" s="50">
        <f>IFERROR(INDEX(الموظفون_الاسم,MATCH($A324,الموظفون_الرقم,0)),"")</f>
        <v/>
      </c>
      <c r="C324" s="112" t="n"/>
      <c r="D324" s="50">
        <f>IF($C324="","",IFERROR(INDEX(قائمة_أيام_الأسبوع,WEEKDAY($C324,1)),""))</f>
        <v/>
      </c>
      <c r="E324" s="116" t="n"/>
      <c r="F324" s="116" t="n"/>
      <c r="G324" s="117">
        <f>IF($A324="","",بداية_الدوام)</f>
        <v/>
      </c>
      <c r="H324" s="117">
        <f>IF($A324="","",نهاية_الدوام)</f>
        <v/>
      </c>
      <c r="I324" s="58">
        <f>IF($A324="","",مدة_الاستراحة/60)</f>
        <v/>
      </c>
      <c r="J324" s="58">
        <f>IF(OR($A324="",$E324="",$F324=""),"",IF(OR($N324="حاضر",$N324="دوام جزئي"),MAX(0,MOD($F324-$E324,1)*24-$I324),0))</f>
        <v/>
      </c>
      <c r="K324" s="58">
        <f>IF(OR($A324="",$E324=""),"",IF(AND(احتساب_التأخير="نعم",OR($N324="حاضر",$N324="دوام جزئي"),$E324&gt;$G324+دقائق_السماح/1440),($E324-$G324-دقائق_السماح/1440)*24,0))</f>
        <v/>
      </c>
      <c r="L324" s="58">
        <f>IF(OR($A324="",$F324=""),"",IF(AND(OR($N324="حاضر",$N324="دوام جزئي"),$F324&lt;$H324),($H324-$F324)*24,0))</f>
        <v/>
      </c>
      <c r="M324" s="58">
        <f>IF(OR($A324="",$F324=""),"",IF(AND(احتساب_العمل_الإضافي="نعم",OR($N324="حاضر",$N324="دوام جزئي"),$F324&gt;$H324,($F324-$H324)*24*60&gt;=حد_العمل_الإضافي_دقيقة),($F324-$H324)*24,0))</f>
        <v/>
      </c>
      <c r="N324" s="47" t="n"/>
      <c r="O324" s="47" t="n"/>
      <c r="Q324">
        <f>IF(AND(ISNUMBER($K324),$K324&gt;0),SUMPRODUCT(ISNUMBER($K$3:$K$502)*($K$3:$K$502&gt;0)*(ROW($K$3:$K$502)&lt;=ROW())),"")</f>
        <v/>
      </c>
    </row>
    <row r="325">
      <c r="A325" s="40" t="n"/>
      <c r="B325" s="43">
        <f>IFERROR(INDEX(الموظفون_الاسم,MATCH($A325,الموظفون_الرقم,0)),"")</f>
        <v/>
      </c>
      <c r="C325" s="110" t="n"/>
      <c r="D325" s="43">
        <f>IF($C325="","",IFERROR(INDEX(قائمة_أيام_الأسبوع,WEEKDAY($C325,1)),""))</f>
        <v/>
      </c>
      <c r="E325" s="114" t="n"/>
      <c r="F325" s="114" t="n"/>
      <c r="G325" s="115">
        <f>IF($A325="","",بداية_الدوام)</f>
        <v/>
      </c>
      <c r="H325" s="115">
        <f>IF($A325="","",نهاية_الدوام)</f>
        <v/>
      </c>
      <c r="I325" s="55">
        <f>IF($A325="","",مدة_الاستراحة/60)</f>
        <v/>
      </c>
      <c r="J325" s="55">
        <f>IF(OR($A325="",$E325="",$F325=""),"",IF(OR($N325="حاضر",$N325="دوام جزئي"),MAX(0,MOD($F325-$E325,1)*24-$I325),0))</f>
        <v/>
      </c>
      <c r="K325" s="55">
        <f>IF(OR($A325="",$E325=""),"",IF(AND(احتساب_التأخير="نعم",OR($N325="حاضر",$N325="دوام جزئي"),$E325&gt;$G325+دقائق_السماح/1440),($E325-$G325-دقائق_السماح/1440)*24,0))</f>
        <v/>
      </c>
      <c r="L325" s="55">
        <f>IF(OR($A325="",$F325=""),"",IF(AND(OR($N325="حاضر",$N325="دوام جزئي"),$F325&lt;$H325),($H325-$F325)*24,0))</f>
        <v/>
      </c>
      <c r="M325" s="55">
        <f>IF(OR($A325="",$F325=""),"",IF(AND(احتساب_العمل_الإضافي="نعم",OR($N325="حاضر",$N325="دوام جزئي"),$F325&gt;$H325,($F325-$H325)*24*60&gt;=حد_العمل_الإضافي_دقيقة),($F325-$H325)*24,0))</f>
        <v/>
      </c>
      <c r="N325" s="40" t="n"/>
      <c r="O325" s="40" t="n"/>
      <c r="Q325">
        <f>IF(AND(ISNUMBER($K325),$K325&gt;0),SUMPRODUCT(ISNUMBER($K$3:$K$502)*($K$3:$K$502&gt;0)*(ROW($K$3:$K$502)&lt;=ROW())),"")</f>
        <v/>
      </c>
    </row>
    <row r="326">
      <c r="A326" s="47" t="n"/>
      <c r="B326" s="50">
        <f>IFERROR(INDEX(الموظفون_الاسم,MATCH($A326,الموظفون_الرقم,0)),"")</f>
        <v/>
      </c>
      <c r="C326" s="112" t="n"/>
      <c r="D326" s="50">
        <f>IF($C326="","",IFERROR(INDEX(قائمة_أيام_الأسبوع,WEEKDAY($C326,1)),""))</f>
        <v/>
      </c>
      <c r="E326" s="116" t="n"/>
      <c r="F326" s="116" t="n"/>
      <c r="G326" s="117">
        <f>IF($A326="","",بداية_الدوام)</f>
        <v/>
      </c>
      <c r="H326" s="117">
        <f>IF($A326="","",نهاية_الدوام)</f>
        <v/>
      </c>
      <c r="I326" s="58">
        <f>IF($A326="","",مدة_الاستراحة/60)</f>
        <v/>
      </c>
      <c r="J326" s="58">
        <f>IF(OR($A326="",$E326="",$F326=""),"",IF(OR($N326="حاضر",$N326="دوام جزئي"),MAX(0,MOD($F326-$E326,1)*24-$I326),0))</f>
        <v/>
      </c>
      <c r="K326" s="58">
        <f>IF(OR($A326="",$E326=""),"",IF(AND(احتساب_التأخير="نعم",OR($N326="حاضر",$N326="دوام جزئي"),$E326&gt;$G326+دقائق_السماح/1440),($E326-$G326-دقائق_السماح/1440)*24,0))</f>
        <v/>
      </c>
      <c r="L326" s="58">
        <f>IF(OR($A326="",$F326=""),"",IF(AND(OR($N326="حاضر",$N326="دوام جزئي"),$F326&lt;$H326),($H326-$F326)*24,0))</f>
        <v/>
      </c>
      <c r="M326" s="58">
        <f>IF(OR($A326="",$F326=""),"",IF(AND(احتساب_العمل_الإضافي="نعم",OR($N326="حاضر",$N326="دوام جزئي"),$F326&gt;$H326,($F326-$H326)*24*60&gt;=حد_العمل_الإضافي_دقيقة),($F326-$H326)*24,0))</f>
        <v/>
      </c>
      <c r="N326" s="47" t="n"/>
      <c r="O326" s="47" t="n"/>
      <c r="Q326">
        <f>IF(AND(ISNUMBER($K326),$K326&gt;0),SUMPRODUCT(ISNUMBER($K$3:$K$502)*($K$3:$K$502&gt;0)*(ROW($K$3:$K$502)&lt;=ROW())),"")</f>
        <v/>
      </c>
    </row>
    <row r="327">
      <c r="A327" s="40" t="n"/>
      <c r="B327" s="43">
        <f>IFERROR(INDEX(الموظفون_الاسم,MATCH($A327,الموظفون_الرقم,0)),"")</f>
        <v/>
      </c>
      <c r="C327" s="110" t="n"/>
      <c r="D327" s="43">
        <f>IF($C327="","",IFERROR(INDEX(قائمة_أيام_الأسبوع,WEEKDAY($C327,1)),""))</f>
        <v/>
      </c>
      <c r="E327" s="114" t="n"/>
      <c r="F327" s="114" t="n"/>
      <c r="G327" s="115">
        <f>IF($A327="","",بداية_الدوام)</f>
        <v/>
      </c>
      <c r="H327" s="115">
        <f>IF($A327="","",نهاية_الدوام)</f>
        <v/>
      </c>
      <c r="I327" s="55">
        <f>IF($A327="","",مدة_الاستراحة/60)</f>
        <v/>
      </c>
      <c r="J327" s="55">
        <f>IF(OR($A327="",$E327="",$F327=""),"",IF(OR($N327="حاضر",$N327="دوام جزئي"),MAX(0,MOD($F327-$E327,1)*24-$I327),0))</f>
        <v/>
      </c>
      <c r="K327" s="55">
        <f>IF(OR($A327="",$E327=""),"",IF(AND(احتساب_التأخير="نعم",OR($N327="حاضر",$N327="دوام جزئي"),$E327&gt;$G327+دقائق_السماح/1440),($E327-$G327-دقائق_السماح/1440)*24,0))</f>
        <v/>
      </c>
      <c r="L327" s="55">
        <f>IF(OR($A327="",$F327=""),"",IF(AND(OR($N327="حاضر",$N327="دوام جزئي"),$F327&lt;$H327),($H327-$F327)*24,0))</f>
        <v/>
      </c>
      <c r="M327" s="55">
        <f>IF(OR($A327="",$F327=""),"",IF(AND(احتساب_العمل_الإضافي="نعم",OR($N327="حاضر",$N327="دوام جزئي"),$F327&gt;$H327,($F327-$H327)*24*60&gt;=حد_العمل_الإضافي_دقيقة),($F327-$H327)*24,0))</f>
        <v/>
      </c>
      <c r="N327" s="40" t="n"/>
      <c r="O327" s="40" t="n"/>
      <c r="Q327">
        <f>IF(AND(ISNUMBER($K327),$K327&gt;0),SUMPRODUCT(ISNUMBER($K$3:$K$502)*($K$3:$K$502&gt;0)*(ROW($K$3:$K$502)&lt;=ROW())),"")</f>
        <v/>
      </c>
    </row>
    <row r="328">
      <c r="A328" s="47" t="n"/>
      <c r="B328" s="50">
        <f>IFERROR(INDEX(الموظفون_الاسم,MATCH($A328,الموظفون_الرقم,0)),"")</f>
        <v/>
      </c>
      <c r="C328" s="112" t="n"/>
      <c r="D328" s="50">
        <f>IF($C328="","",IFERROR(INDEX(قائمة_أيام_الأسبوع,WEEKDAY($C328,1)),""))</f>
        <v/>
      </c>
      <c r="E328" s="116" t="n"/>
      <c r="F328" s="116" t="n"/>
      <c r="G328" s="117">
        <f>IF($A328="","",بداية_الدوام)</f>
        <v/>
      </c>
      <c r="H328" s="117">
        <f>IF($A328="","",نهاية_الدوام)</f>
        <v/>
      </c>
      <c r="I328" s="58">
        <f>IF($A328="","",مدة_الاستراحة/60)</f>
        <v/>
      </c>
      <c r="J328" s="58">
        <f>IF(OR($A328="",$E328="",$F328=""),"",IF(OR($N328="حاضر",$N328="دوام جزئي"),MAX(0,MOD($F328-$E328,1)*24-$I328),0))</f>
        <v/>
      </c>
      <c r="K328" s="58">
        <f>IF(OR($A328="",$E328=""),"",IF(AND(احتساب_التأخير="نعم",OR($N328="حاضر",$N328="دوام جزئي"),$E328&gt;$G328+دقائق_السماح/1440),($E328-$G328-دقائق_السماح/1440)*24,0))</f>
        <v/>
      </c>
      <c r="L328" s="58">
        <f>IF(OR($A328="",$F328=""),"",IF(AND(OR($N328="حاضر",$N328="دوام جزئي"),$F328&lt;$H328),($H328-$F328)*24,0))</f>
        <v/>
      </c>
      <c r="M328" s="58">
        <f>IF(OR($A328="",$F328=""),"",IF(AND(احتساب_العمل_الإضافي="نعم",OR($N328="حاضر",$N328="دوام جزئي"),$F328&gt;$H328,($F328-$H328)*24*60&gt;=حد_العمل_الإضافي_دقيقة),($F328-$H328)*24,0))</f>
        <v/>
      </c>
      <c r="N328" s="47" t="n"/>
      <c r="O328" s="47" t="n"/>
      <c r="Q328">
        <f>IF(AND(ISNUMBER($K328),$K328&gt;0),SUMPRODUCT(ISNUMBER($K$3:$K$502)*($K$3:$K$502&gt;0)*(ROW($K$3:$K$502)&lt;=ROW())),"")</f>
        <v/>
      </c>
    </row>
    <row r="329">
      <c r="A329" s="40" t="n"/>
      <c r="B329" s="43">
        <f>IFERROR(INDEX(الموظفون_الاسم,MATCH($A329,الموظفون_الرقم,0)),"")</f>
        <v/>
      </c>
      <c r="C329" s="110" t="n"/>
      <c r="D329" s="43">
        <f>IF($C329="","",IFERROR(INDEX(قائمة_أيام_الأسبوع,WEEKDAY($C329,1)),""))</f>
        <v/>
      </c>
      <c r="E329" s="114" t="n"/>
      <c r="F329" s="114" t="n"/>
      <c r="G329" s="115">
        <f>IF($A329="","",بداية_الدوام)</f>
        <v/>
      </c>
      <c r="H329" s="115">
        <f>IF($A329="","",نهاية_الدوام)</f>
        <v/>
      </c>
      <c r="I329" s="55">
        <f>IF($A329="","",مدة_الاستراحة/60)</f>
        <v/>
      </c>
      <c r="J329" s="55">
        <f>IF(OR($A329="",$E329="",$F329=""),"",IF(OR($N329="حاضر",$N329="دوام جزئي"),MAX(0,MOD($F329-$E329,1)*24-$I329),0))</f>
        <v/>
      </c>
      <c r="K329" s="55">
        <f>IF(OR($A329="",$E329=""),"",IF(AND(احتساب_التأخير="نعم",OR($N329="حاضر",$N329="دوام جزئي"),$E329&gt;$G329+دقائق_السماح/1440),($E329-$G329-دقائق_السماح/1440)*24,0))</f>
        <v/>
      </c>
      <c r="L329" s="55">
        <f>IF(OR($A329="",$F329=""),"",IF(AND(OR($N329="حاضر",$N329="دوام جزئي"),$F329&lt;$H329),($H329-$F329)*24,0))</f>
        <v/>
      </c>
      <c r="M329" s="55">
        <f>IF(OR($A329="",$F329=""),"",IF(AND(احتساب_العمل_الإضافي="نعم",OR($N329="حاضر",$N329="دوام جزئي"),$F329&gt;$H329,($F329-$H329)*24*60&gt;=حد_العمل_الإضافي_دقيقة),($F329-$H329)*24,0))</f>
        <v/>
      </c>
      <c r="N329" s="40" t="n"/>
      <c r="O329" s="40" t="n"/>
      <c r="Q329">
        <f>IF(AND(ISNUMBER($K329),$K329&gt;0),SUMPRODUCT(ISNUMBER($K$3:$K$502)*($K$3:$K$502&gt;0)*(ROW($K$3:$K$502)&lt;=ROW())),"")</f>
        <v/>
      </c>
    </row>
    <row r="330">
      <c r="A330" s="47" t="n"/>
      <c r="B330" s="50">
        <f>IFERROR(INDEX(الموظفون_الاسم,MATCH($A330,الموظفون_الرقم,0)),"")</f>
        <v/>
      </c>
      <c r="C330" s="112" t="n"/>
      <c r="D330" s="50">
        <f>IF($C330="","",IFERROR(INDEX(قائمة_أيام_الأسبوع,WEEKDAY($C330,1)),""))</f>
        <v/>
      </c>
      <c r="E330" s="116" t="n"/>
      <c r="F330" s="116" t="n"/>
      <c r="G330" s="117">
        <f>IF($A330="","",بداية_الدوام)</f>
        <v/>
      </c>
      <c r="H330" s="117">
        <f>IF($A330="","",نهاية_الدوام)</f>
        <v/>
      </c>
      <c r="I330" s="58">
        <f>IF($A330="","",مدة_الاستراحة/60)</f>
        <v/>
      </c>
      <c r="J330" s="58">
        <f>IF(OR($A330="",$E330="",$F330=""),"",IF(OR($N330="حاضر",$N330="دوام جزئي"),MAX(0,MOD($F330-$E330,1)*24-$I330),0))</f>
        <v/>
      </c>
      <c r="K330" s="58">
        <f>IF(OR($A330="",$E330=""),"",IF(AND(احتساب_التأخير="نعم",OR($N330="حاضر",$N330="دوام جزئي"),$E330&gt;$G330+دقائق_السماح/1440),($E330-$G330-دقائق_السماح/1440)*24,0))</f>
        <v/>
      </c>
      <c r="L330" s="58">
        <f>IF(OR($A330="",$F330=""),"",IF(AND(OR($N330="حاضر",$N330="دوام جزئي"),$F330&lt;$H330),($H330-$F330)*24,0))</f>
        <v/>
      </c>
      <c r="M330" s="58">
        <f>IF(OR($A330="",$F330=""),"",IF(AND(احتساب_العمل_الإضافي="نعم",OR($N330="حاضر",$N330="دوام جزئي"),$F330&gt;$H330,($F330-$H330)*24*60&gt;=حد_العمل_الإضافي_دقيقة),($F330-$H330)*24,0))</f>
        <v/>
      </c>
      <c r="N330" s="47" t="n"/>
      <c r="O330" s="47" t="n"/>
      <c r="Q330">
        <f>IF(AND(ISNUMBER($K330),$K330&gt;0),SUMPRODUCT(ISNUMBER($K$3:$K$502)*($K$3:$K$502&gt;0)*(ROW($K$3:$K$502)&lt;=ROW())),"")</f>
        <v/>
      </c>
    </row>
    <row r="331">
      <c r="A331" s="40" t="n"/>
      <c r="B331" s="43">
        <f>IFERROR(INDEX(الموظفون_الاسم,MATCH($A331,الموظفون_الرقم,0)),"")</f>
        <v/>
      </c>
      <c r="C331" s="110" t="n"/>
      <c r="D331" s="43">
        <f>IF($C331="","",IFERROR(INDEX(قائمة_أيام_الأسبوع,WEEKDAY($C331,1)),""))</f>
        <v/>
      </c>
      <c r="E331" s="114" t="n"/>
      <c r="F331" s="114" t="n"/>
      <c r="G331" s="115">
        <f>IF($A331="","",بداية_الدوام)</f>
        <v/>
      </c>
      <c r="H331" s="115">
        <f>IF($A331="","",نهاية_الدوام)</f>
        <v/>
      </c>
      <c r="I331" s="55">
        <f>IF($A331="","",مدة_الاستراحة/60)</f>
        <v/>
      </c>
      <c r="J331" s="55">
        <f>IF(OR($A331="",$E331="",$F331=""),"",IF(OR($N331="حاضر",$N331="دوام جزئي"),MAX(0,MOD($F331-$E331,1)*24-$I331),0))</f>
        <v/>
      </c>
      <c r="K331" s="55">
        <f>IF(OR($A331="",$E331=""),"",IF(AND(احتساب_التأخير="نعم",OR($N331="حاضر",$N331="دوام جزئي"),$E331&gt;$G331+دقائق_السماح/1440),($E331-$G331-دقائق_السماح/1440)*24,0))</f>
        <v/>
      </c>
      <c r="L331" s="55">
        <f>IF(OR($A331="",$F331=""),"",IF(AND(OR($N331="حاضر",$N331="دوام جزئي"),$F331&lt;$H331),($H331-$F331)*24,0))</f>
        <v/>
      </c>
      <c r="M331" s="55">
        <f>IF(OR($A331="",$F331=""),"",IF(AND(احتساب_العمل_الإضافي="نعم",OR($N331="حاضر",$N331="دوام جزئي"),$F331&gt;$H331,($F331-$H331)*24*60&gt;=حد_العمل_الإضافي_دقيقة),($F331-$H331)*24,0))</f>
        <v/>
      </c>
      <c r="N331" s="40" t="n"/>
      <c r="O331" s="40" t="n"/>
      <c r="Q331">
        <f>IF(AND(ISNUMBER($K331),$K331&gt;0),SUMPRODUCT(ISNUMBER($K$3:$K$502)*($K$3:$K$502&gt;0)*(ROW($K$3:$K$502)&lt;=ROW())),"")</f>
        <v/>
      </c>
    </row>
    <row r="332">
      <c r="A332" s="47" t="n"/>
      <c r="B332" s="50">
        <f>IFERROR(INDEX(الموظفون_الاسم,MATCH($A332,الموظفون_الرقم,0)),"")</f>
        <v/>
      </c>
      <c r="C332" s="112" t="n"/>
      <c r="D332" s="50">
        <f>IF($C332="","",IFERROR(INDEX(قائمة_أيام_الأسبوع,WEEKDAY($C332,1)),""))</f>
        <v/>
      </c>
      <c r="E332" s="116" t="n"/>
      <c r="F332" s="116" t="n"/>
      <c r="G332" s="117">
        <f>IF($A332="","",بداية_الدوام)</f>
        <v/>
      </c>
      <c r="H332" s="117">
        <f>IF($A332="","",نهاية_الدوام)</f>
        <v/>
      </c>
      <c r="I332" s="58">
        <f>IF($A332="","",مدة_الاستراحة/60)</f>
        <v/>
      </c>
      <c r="J332" s="58">
        <f>IF(OR($A332="",$E332="",$F332=""),"",IF(OR($N332="حاضر",$N332="دوام جزئي"),MAX(0,MOD($F332-$E332,1)*24-$I332),0))</f>
        <v/>
      </c>
      <c r="K332" s="58">
        <f>IF(OR($A332="",$E332=""),"",IF(AND(احتساب_التأخير="نعم",OR($N332="حاضر",$N332="دوام جزئي"),$E332&gt;$G332+دقائق_السماح/1440),($E332-$G332-دقائق_السماح/1440)*24,0))</f>
        <v/>
      </c>
      <c r="L332" s="58">
        <f>IF(OR($A332="",$F332=""),"",IF(AND(OR($N332="حاضر",$N332="دوام جزئي"),$F332&lt;$H332),($H332-$F332)*24,0))</f>
        <v/>
      </c>
      <c r="M332" s="58">
        <f>IF(OR($A332="",$F332=""),"",IF(AND(احتساب_العمل_الإضافي="نعم",OR($N332="حاضر",$N332="دوام جزئي"),$F332&gt;$H332,($F332-$H332)*24*60&gt;=حد_العمل_الإضافي_دقيقة),($F332-$H332)*24,0))</f>
        <v/>
      </c>
      <c r="N332" s="47" t="n"/>
      <c r="O332" s="47" t="n"/>
      <c r="Q332">
        <f>IF(AND(ISNUMBER($K332),$K332&gt;0),SUMPRODUCT(ISNUMBER($K$3:$K$502)*($K$3:$K$502&gt;0)*(ROW($K$3:$K$502)&lt;=ROW())),"")</f>
        <v/>
      </c>
    </row>
    <row r="333">
      <c r="A333" s="40" t="n"/>
      <c r="B333" s="43">
        <f>IFERROR(INDEX(الموظفون_الاسم,MATCH($A333,الموظفون_الرقم,0)),"")</f>
        <v/>
      </c>
      <c r="C333" s="110" t="n"/>
      <c r="D333" s="43">
        <f>IF($C333="","",IFERROR(INDEX(قائمة_أيام_الأسبوع,WEEKDAY($C333,1)),""))</f>
        <v/>
      </c>
      <c r="E333" s="114" t="n"/>
      <c r="F333" s="114" t="n"/>
      <c r="G333" s="115">
        <f>IF($A333="","",بداية_الدوام)</f>
        <v/>
      </c>
      <c r="H333" s="115">
        <f>IF($A333="","",نهاية_الدوام)</f>
        <v/>
      </c>
      <c r="I333" s="55">
        <f>IF($A333="","",مدة_الاستراحة/60)</f>
        <v/>
      </c>
      <c r="J333" s="55">
        <f>IF(OR($A333="",$E333="",$F333=""),"",IF(OR($N333="حاضر",$N333="دوام جزئي"),MAX(0,MOD($F333-$E333,1)*24-$I333),0))</f>
        <v/>
      </c>
      <c r="K333" s="55">
        <f>IF(OR($A333="",$E333=""),"",IF(AND(احتساب_التأخير="نعم",OR($N333="حاضر",$N333="دوام جزئي"),$E333&gt;$G333+دقائق_السماح/1440),($E333-$G333-دقائق_السماح/1440)*24,0))</f>
        <v/>
      </c>
      <c r="L333" s="55">
        <f>IF(OR($A333="",$F333=""),"",IF(AND(OR($N333="حاضر",$N333="دوام جزئي"),$F333&lt;$H333),($H333-$F333)*24,0))</f>
        <v/>
      </c>
      <c r="M333" s="55">
        <f>IF(OR($A333="",$F333=""),"",IF(AND(احتساب_العمل_الإضافي="نعم",OR($N333="حاضر",$N333="دوام جزئي"),$F333&gt;$H333,($F333-$H333)*24*60&gt;=حد_العمل_الإضافي_دقيقة),($F333-$H333)*24,0))</f>
        <v/>
      </c>
      <c r="N333" s="40" t="n"/>
      <c r="O333" s="40" t="n"/>
      <c r="Q333">
        <f>IF(AND(ISNUMBER($K333),$K333&gt;0),SUMPRODUCT(ISNUMBER($K$3:$K$502)*($K$3:$K$502&gt;0)*(ROW($K$3:$K$502)&lt;=ROW())),"")</f>
        <v/>
      </c>
    </row>
    <row r="334">
      <c r="A334" s="47" t="n"/>
      <c r="B334" s="50">
        <f>IFERROR(INDEX(الموظفون_الاسم,MATCH($A334,الموظفون_الرقم,0)),"")</f>
        <v/>
      </c>
      <c r="C334" s="112" t="n"/>
      <c r="D334" s="50">
        <f>IF($C334="","",IFERROR(INDEX(قائمة_أيام_الأسبوع,WEEKDAY($C334,1)),""))</f>
        <v/>
      </c>
      <c r="E334" s="116" t="n"/>
      <c r="F334" s="116" t="n"/>
      <c r="G334" s="117">
        <f>IF($A334="","",بداية_الدوام)</f>
        <v/>
      </c>
      <c r="H334" s="117">
        <f>IF($A334="","",نهاية_الدوام)</f>
        <v/>
      </c>
      <c r="I334" s="58">
        <f>IF($A334="","",مدة_الاستراحة/60)</f>
        <v/>
      </c>
      <c r="J334" s="58">
        <f>IF(OR($A334="",$E334="",$F334=""),"",IF(OR($N334="حاضر",$N334="دوام جزئي"),MAX(0,MOD($F334-$E334,1)*24-$I334),0))</f>
        <v/>
      </c>
      <c r="K334" s="58">
        <f>IF(OR($A334="",$E334=""),"",IF(AND(احتساب_التأخير="نعم",OR($N334="حاضر",$N334="دوام جزئي"),$E334&gt;$G334+دقائق_السماح/1440),($E334-$G334-دقائق_السماح/1440)*24,0))</f>
        <v/>
      </c>
      <c r="L334" s="58">
        <f>IF(OR($A334="",$F334=""),"",IF(AND(OR($N334="حاضر",$N334="دوام جزئي"),$F334&lt;$H334),($H334-$F334)*24,0))</f>
        <v/>
      </c>
      <c r="M334" s="58">
        <f>IF(OR($A334="",$F334=""),"",IF(AND(احتساب_العمل_الإضافي="نعم",OR($N334="حاضر",$N334="دوام جزئي"),$F334&gt;$H334,($F334-$H334)*24*60&gt;=حد_العمل_الإضافي_دقيقة),($F334-$H334)*24,0))</f>
        <v/>
      </c>
      <c r="N334" s="47" t="n"/>
      <c r="O334" s="47" t="n"/>
      <c r="Q334">
        <f>IF(AND(ISNUMBER($K334),$K334&gt;0),SUMPRODUCT(ISNUMBER($K$3:$K$502)*($K$3:$K$502&gt;0)*(ROW($K$3:$K$502)&lt;=ROW())),"")</f>
        <v/>
      </c>
    </row>
    <row r="335">
      <c r="A335" s="40" t="n"/>
      <c r="B335" s="43">
        <f>IFERROR(INDEX(الموظفون_الاسم,MATCH($A335,الموظفون_الرقم,0)),"")</f>
        <v/>
      </c>
      <c r="C335" s="110" t="n"/>
      <c r="D335" s="43">
        <f>IF($C335="","",IFERROR(INDEX(قائمة_أيام_الأسبوع,WEEKDAY($C335,1)),""))</f>
        <v/>
      </c>
      <c r="E335" s="114" t="n"/>
      <c r="F335" s="114" t="n"/>
      <c r="G335" s="115">
        <f>IF($A335="","",بداية_الدوام)</f>
        <v/>
      </c>
      <c r="H335" s="115">
        <f>IF($A335="","",نهاية_الدوام)</f>
        <v/>
      </c>
      <c r="I335" s="55">
        <f>IF($A335="","",مدة_الاستراحة/60)</f>
        <v/>
      </c>
      <c r="J335" s="55">
        <f>IF(OR($A335="",$E335="",$F335=""),"",IF(OR($N335="حاضر",$N335="دوام جزئي"),MAX(0,MOD($F335-$E335,1)*24-$I335),0))</f>
        <v/>
      </c>
      <c r="K335" s="55">
        <f>IF(OR($A335="",$E335=""),"",IF(AND(احتساب_التأخير="نعم",OR($N335="حاضر",$N335="دوام جزئي"),$E335&gt;$G335+دقائق_السماح/1440),($E335-$G335-دقائق_السماح/1440)*24,0))</f>
        <v/>
      </c>
      <c r="L335" s="55">
        <f>IF(OR($A335="",$F335=""),"",IF(AND(OR($N335="حاضر",$N335="دوام جزئي"),$F335&lt;$H335),($H335-$F335)*24,0))</f>
        <v/>
      </c>
      <c r="M335" s="55">
        <f>IF(OR($A335="",$F335=""),"",IF(AND(احتساب_العمل_الإضافي="نعم",OR($N335="حاضر",$N335="دوام جزئي"),$F335&gt;$H335,($F335-$H335)*24*60&gt;=حد_العمل_الإضافي_دقيقة),($F335-$H335)*24,0))</f>
        <v/>
      </c>
      <c r="N335" s="40" t="n"/>
      <c r="O335" s="40" t="n"/>
      <c r="Q335">
        <f>IF(AND(ISNUMBER($K335),$K335&gt;0),SUMPRODUCT(ISNUMBER($K$3:$K$502)*($K$3:$K$502&gt;0)*(ROW($K$3:$K$502)&lt;=ROW())),"")</f>
        <v/>
      </c>
    </row>
    <row r="336">
      <c r="A336" s="47" t="n"/>
      <c r="B336" s="50">
        <f>IFERROR(INDEX(الموظفون_الاسم,MATCH($A336,الموظفون_الرقم,0)),"")</f>
        <v/>
      </c>
      <c r="C336" s="112" t="n"/>
      <c r="D336" s="50">
        <f>IF($C336="","",IFERROR(INDEX(قائمة_أيام_الأسبوع,WEEKDAY($C336,1)),""))</f>
        <v/>
      </c>
      <c r="E336" s="116" t="n"/>
      <c r="F336" s="116" t="n"/>
      <c r="G336" s="117">
        <f>IF($A336="","",بداية_الدوام)</f>
        <v/>
      </c>
      <c r="H336" s="117">
        <f>IF($A336="","",نهاية_الدوام)</f>
        <v/>
      </c>
      <c r="I336" s="58">
        <f>IF($A336="","",مدة_الاستراحة/60)</f>
        <v/>
      </c>
      <c r="J336" s="58">
        <f>IF(OR($A336="",$E336="",$F336=""),"",IF(OR($N336="حاضر",$N336="دوام جزئي"),MAX(0,MOD($F336-$E336,1)*24-$I336),0))</f>
        <v/>
      </c>
      <c r="K336" s="58">
        <f>IF(OR($A336="",$E336=""),"",IF(AND(احتساب_التأخير="نعم",OR($N336="حاضر",$N336="دوام جزئي"),$E336&gt;$G336+دقائق_السماح/1440),($E336-$G336-دقائق_السماح/1440)*24,0))</f>
        <v/>
      </c>
      <c r="L336" s="58">
        <f>IF(OR($A336="",$F336=""),"",IF(AND(OR($N336="حاضر",$N336="دوام جزئي"),$F336&lt;$H336),($H336-$F336)*24,0))</f>
        <v/>
      </c>
      <c r="M336" s="58">
        <f>IF(OR($A336="",$F336=""),"",IF(AND(احتساب_العمل_الإضافي="نعم",OR($N336="حاضر",$N336="دوام جزئي"),$F336&gt;$H336,($F336-$H336)*24*60&gt;=حد_العمل_الإضافي_دقيقة),($F336-$H336)*24,0))</f>
        <v/>
      </c>
      <c r="N336" s="47" t="n"/>
      <c r="O336" s="47" t="n"/>
      <c r="Q336">
        <f>IF(AND(ISNUMBER($K336),$K336&gt;0),SUMPRODUCT(ISNUMBER($K$3:$K$502)*($K$3:$K$502&gt;0)*(ROW($K$3:$K$502)&lt;=ROW())),"")</f>
        <v/>
      </c>
    </row>
    <row r="337">
      <c r="A337" s="40" t="n"/>
      <c r="B337" s="43">
        <f>IFERROR(INDEX(الموظفون_الاسم,MATCH($A337,الموظفون_الرقم,0)),"")</f>
        <v/>
      </c>
      <c r="C337" s="110" t="n"/>
      <c r="D337" s="43">
        <f>IF($C337="","",IFERROR(INDEX(قائمة_أيام_الأسبوع,WEEKDAY($C337,1)),""))</f>
        <v/>
      </c>
      <c r="E337" s="114" t="n"/>
      <c r="F337" s="114" t="n"/>
      <c r="G337" s="115">
        <f>IF($A337="","",بداية_الدوام)</f>
        <v/>
      </c>
      <c r="H337" s="115">
        <f>IF($A337="","",نهاية_الدوام)</f>
        <v/>
      </c>
      <c r="I337" s="55">
        <f>IF($A337="","",مدة_الاستراحة/60)</f>
        <v/>
      </c>
      <c r="J337" s="55">
        <f>IF(OR($A337="",$E337="",$F337=""),"",IF(OR($N337="حاضر",$N337="دوام جزئي"),MAX(0,MOD($F337-$E337,1)*24-$I337),0))</f>
        <v/>
      </c>
      <c r="K337" s="55">
        <f>IF(OR($A337="",$E337=""),"",IF(AND(احتساب_التأخير="نعم",OR($N337="حاضر",$N337="دوام جزئي"),$E337&gt;$G337+دقائق_السماح/1440),($E337-$G337-دقائق_السماح/1440)*24,0))</f>
        <v/>
      </c>
      <c r="L337" s="55">
        <f>IF(OR($A337="",$F337=""),"",IF(AND(OR($N337="حاضر",$N337="دوام جزئي"),$F337&lt;$H337),($H337-$F337)*24,0))</f>
        <v/>
      </c>
      <c r="M337" s="55">
        <f>IF(OR($A337="",$F337=""),"",IF(AND(احتساب_العمل_الإضافي="نعم",OR($N337="حاضر",$N337="دوام جزئي"),$F337&gt;$H337,($F337-$H337)*24*60&gt;=حد_العمل_الإضافي_دقيقة),($F337-$H337)*24,0))</f>
        <v/>
      </c>
      <c r="N337" s="40" t="n"/>
      <c r="O337" s="40" t="n"/>
      <c r="Q337">
        <f>IF(AND(ISNUMBER($K337),$K337&gt;0),SUMPRODUCT(ISNUMBER($K$3:$K$502)*($K$3:$K$502&gt;0)*(ROW($K$3:$K$502)&lt;=ROW())),"")</f>
        <v/>
      </c>
    </row>
    <row r="338">
      <c r="A338" s="47" t="n"/>
      <c r="B338" s="50">
        <f>IFERROR(INDEX(الموظفون_الاسم,MATCH($A338,الموظفون_الرقم,0)),"")</f>
        <v/>
      </c>
      <c r="C338" s="112" t="n"/>
      <c r="D338" s="50">
        <f>IF($C338="","",IFERROR(INDEX(قائمة_أيام_الأسبوع,WEEKDAY($C338,1)),""))</f>
        <v/>
      </c>
      <c r="E338" s="116" t="n"/>
      <c r="F338" s="116" t="n"/>
      <c r="G338" s="117">
        <f>IF($A338="","",بداية_الدوام)</f>
        <v/>
      </c>
      <c r="H338" s="117">
        <f>IF($A338="","",نهاية_الدوام)</f>
        <v/>
      </c>
      <c r="I338" s="58">
        <f>IF($A338="","",مدة_الاستراحة/60)</f>
        <v/>
      </c>
      <c r="J338" s="58">
        <f>IF(OR($A338="",$E338="",$F338=""),"",IF(OR($N338="حاضر",$N338="دوام جزئي"),MAX(0,MOD($F338-$E338,1)*24-$I338),0))</f>
        <v/>
      </c>
      <c r="K338" s="58">
        <f>IF(OR($A338="",$E338=""),"",IF(AND(احتساب_التأخير="نعم",OR($N338="حاضر",$N338="دوام جزئي"),$E338&gt;$G338+دقائق_السماح/1440),($E338-$G338-دقائق_السماح/1440)*24,0))</f>
        <v/>
      </c>
      <c r="L338" s="58">
        <f>IF(OR($A338="",$F338=""),"",IF(AND(OR($N338="حاضر",$N338="دوام جزئي"),$F338&lt;$H338),($H338-$F338)*24,0))</f>
        <v/>
      </c>
      <c r="M338" s="58">
        <f>IF(OR($A338="",$F338=""),"",IF(AND(احتساب_العمل_الإضافي="نعم",OR($N338="حاضر",$N338="دوام جزئي"),$F338&gt;$H338,($F338-$H338)*24*60&gt;=حد_العمل_الإضافي_دقيقة),($F338-$H338)*24,0))</f>
        <v/>
      </c>
      <c r="N338" s="47" t="n"/>
      <c r="O338" s="47" t="n"/>
      <c r="Q338">
        <f>IF(AND(ISNUMBER($K338),$K338&gt;0),SUMPRODUCT(ISNUMBER($K$3:$K$502)*($K$3:$K$502&gt;0)*(ROW($K$3:$K$502)&lt;=ROW())),"")</f>
        <v/>
      </c>
    </row>
    <row r="339">
      <c r="A339" s="40" t="n"/>
      <c r="B339" s="43">
        <f>IFERROR(INDEX(الموظفون_الاسم,MATCH($A339,الموظفون_الرقم,0)),"")</f>
        <v/>
      </c>
      <c r="C339" s="110" t="n"/>
      <c r="D339" s="43">
        <f>IF($C339="","",IFERROR(INDEX(قائمة_أيام_الأسبوع,WEEKDAY($C339,1)),""))</f>
        <v/>
      </c>
      <c r="E339" s="114" t="n"/>
      <c r="F339" s="114" t="n"/>
      <c r="G339" s="115">
        <f>IF($A339="","",بداية_الدوام)</f>
        <v/>
      </c>
      <c r="H339" s="115">
        <f>IF($A339="","",نهاية_الدوام)</f>
        <v/>
      </c>
      <c r="I339" s="55">
        <f>IF($A339="","",مدة_الاستراحة/60)</f>
        <v/>
      </c>
      <c r="J339" s="55">
        <f>IF(OR($A339="",$E339="",$F339=""),"",IF(OR($N339="حاضر",$N339="دوام جزئي"),MAX(0,MOD($F339-$E339,1)*24-$I339),0))</f>
        <v/>
      </c>
      <c r="K339" s="55">
        <f>IF(OR($A339="",$E339=""),"",IF(AND(احتساب_التأخير="نعم",OR($N339="حاضر",$N339="دوام جزئي"),$E339&gt;$G339+دقائق_السماح/1440),($E339-$G339-دقائق_السماح/1440)*24,0))</f>
        <v/>
      </c>
      <c r="L339" s="55">
        <f>IF(OR($A339="",$F339=""),"",IF(AND(OR($N339="حاضر",$N339="دوام جزئي"),$F339&lt;$H339),($H339-$F339)*24,0))</f>
        <v/>
      </c>
      <c r="M339" s="55">
        <f>IF(OR($A339="",$F339=""),"",IF(AND(احتساب_العمل_الإضافي="نعم",OR($N339="حاضر",$N339="دوام جزئي"),$F339&gt;$H339,($F339-$H339)*24*60&gt;=حد_العمل_الإضافي_دقيقة),($F339-$H339)*24,0))</f>
        <v/>
      </c>
      <c r="N339" s="40" t="n"/>
      <c r="O339" s="40" t="n"/>
      <c r="Q339">
        <f>IF(AND(ISNUMBER($K339),$K339&gt;0),SUMPRODUCT(ISNUMBER($K$3:$K$502)*($K$3:$K$502&gt;0)*(ROW($K$3:$K$502)&lt;=ROW())),"")</f>
        <v/>
      </c>
    </row>
    <row r="340">
      <c r="A340" s="47" t="n"/>
      <c r="B340" s="50">
        <f>IFERROR(INDEX(الموظفون_الاسم,MATCH($A340,الموظفون_الرقم,0)),"")</f>
        <v/>
      </c>
      <c r="C340" s="112" t="n"/>
      <c r="D340" s="50">
        <f>IF($C340="","",IFERROR(INDEX(قائمة_أيام_الأسبوع,WEEKDAY($C340,1)),""))</f>
        <v/>
      </c>
      <c r="E340" s="116" t="n"/>
      <c r="F340" s="116" t="n"/>
      <c r="G340" s="117">
        <f>IF($A340="","",بداية_الدوام)</f>
        <v/>
      </c>
      <c r="H340" s="117">
        <f>IF($A340="","",نهاية_الدوام)</f>
        <v/>
      </c>
      <c r="I340" s="58">
        <f>IF($A340="","",مدة_الاستراحة/60)</f>
        <v/>
      </c>
      <c r="J340" s="58">
        <f>IF(OR($A340="",$E340="",$F340=""),"",IF(OR($N340="حاضر",$N340="دوام جزئي"),MAX(0,MOD($F340-$E340,1)*24-$I340),0))</f>
        <v/>
      </c>
      <c r="K340" s="58">
        <f>IF(OR($A340="",$E340=""),"",IF(AND(احتساب_التأخير="نعم",OR($N340="حاضر",$N340="دوام جزئي"),$E340&gt;$G340+دقائق_السماح/1440),($E340-$G340-دقائق_السماح/1440)*24,0))</f>
        <v/>
      </c>
      <c r="L340" s="58">
        <f>IF(OR($A340="",$F340=""),"",IF(AND(OR($N340="حاضر",$N340="دوام جزئي"),$F340&lt;$H340),($H340-$F340)*24,0))</f>
        <v/>
      </c>
      <c r="M340" s="58">
        <f>IF(OR($A340="",$F340=""),"",IF(AND(احتساب_العمل_الإضافي="نعم",OR($N340="حاضر",$N340="دوام جزئي"),$F340&gt;$H340,($F340-$H340)*24*60&gt;=حد_العمل_الإضافي_دقيقة),($F340-$H340)*24,0))</f>
        <v/>
      </c>
      <c r="N340" s="47" t="n"/>
      <c r="O340" s="47" t="n"/>
      <c r="Q340">
        <f>IF(AND(ISNUMBER($K340),$K340&gt;0),SUMPRODUCT(ISNUMBER($K$3:$K$502)*($K$3:$K$502&gt;0)*(ROW($K$3:$K$502)&lt;=ROW())),"")</f>
        <v/>
      </c>
    </row>
    <row r="341">
      <c r="A341" s="40" t="n"/>
      <c r="B341" s="43">
        <f>IFERROR(INDEX(الموظفون_الاسم,MATCH($A341,الموظفون_الرقم,0)),"")</f>
        <v/>
      </c>
      <c r="C341" s="110" t="n"/>
      <c r="D341" s="43">
        <f>IF($C341="","",IFERROR(INDEX(قائمة_أيام_الأسبوع,WEEKDAY($C341,1)),""))</f>
        <v/>
      </c>
      <c r="E341" s="114" t="n"/>
      <c r="F341" s="114" t="n"/>
      <c r="G341" s="115">
        <f>IF($A341="","",بداية_الدوام)</f>
        <v/>
      </c>
      <c r="H341" s="115">
        <f>IF($A341="","",نهاية_الدوام)</f>
        <v/>
      </c>
      <c r="I341" s="55">
        <f>IF($A341="","",مدة_الاستراحة/60)</f>
        <v/>
      </c>
      <c r="J341" s="55">
        <f>IF(OR($A341="",$E341="",$F341=""),"",IF(OR($N341="حاضر",$N341="دوام جزئي"),MAX(0,MOD($F341-$E341,1)*24-$I341),0))</f>
        <v/>
      </c>
      <c r="K341" s="55">
        <f>IF(OR($A341="",$E341=""),"",IF(AND(احتساب_التأخير="نعم",OR($N341="حاضر",$N341="دوام جزئي"),$E341&gt;$G341+دقائق_السماح/1440),($E341-$G341-دقائق_السماح/1440)*24,0))</f>
        <v/>
      </c>
      <c r="L341" s="55">
        <f>IF(OR($A341="",$F341=""),"",IF(AND(OR($N341="حاضر",$N341="دوام جزئي"),$F341&lt;$H341),($H341-$F341)*24,0))</f>
        <v/>
      </c>
      <c r="M341" s="55">
        <f>IF(OR($A341="",$F341=""),"",IF(AND(احتساب_العمل_الإضافي="نعم",OR($N341="حاضر",$N341="دوام جزئي"),$F341&gt;$H341,($F341-$H341)*24*60&gt;=حد_العمل_الإضافي_دقيقة),($F341-$H341)*24,0))</f>
        <v/>
      </c>
      <c r="N341" s="40" t="n"/>
      <c r="O341" s="40" t="n"/>
      <c r="Q341">
        <f>IF(AND(ISNUMBER($K341),$K341&gt;0),SUMPRODUCT(ISNUMBER($K$3:$K$502)*($K$3:$K$502&gt;0)*(ROW($K$3:$K$502)&lt;=ROW())),"")</f>
        <v/>
      </c>
    </row>
    <row r="342">
      <c r="A342" s="47" t="n"/>
      <c r="B342" s="50">
        <f>IFERROR(INDEX(الموظفون_الاسم,MATCH($A342,الموظفون_الرقم,0)),"")</f>
        <v/>
      </c>
      <c r="C342" s="112" t="n"/>
      <c r="D342" s="50">
        <f>IF($C342="","",IFERROR(INDEX(قائمة_أيام_الأسبوع,WEEKDAY($C342,1)),""))</f>
        <v/>
      </c>
      <c r="E342" s="116" t="n"/>
      <c r="F342" s="116" t="n"/>
      <c r="G342" s="117">
        <f>IF($A342="","",بداية_الدوام)</f>
        <v/>
      </c>
      <c r="H342" s="117">
        <f>IF($A342="","",نهاية_الدوام)</f>
        <v/>
      </c>
      <c r="I342" s="58">
        <f>IF($A342="","",مدة_الاستراحة/60)</f>
        <v/>
      </c>
      <c r="J342" s="58">
        <f>IF(OR($A342="",$E342="",$F342=""),"",IF(OR($N342="حاضر",$N342="دوام جزئي"),MAX(0,MOD($F342-$E342,1)*24-$I342),0))</f>
        <v/>
      </c>
      <c r="K342" s="58">
        <f>IF(OR($A342="",$E342=""),"",IF(AND(احتساب_التأخير="نعم",OR($N342="حاضر",$N342="دوام جزئي"),$E342&gt;$G342+دقائق_السماح/1440),($E342-$G342-دقائق_السماح/1440)*24,0))</f>
        <v/>
      </c>
      <c r="L342" s="58">
        <f>IF(OR($A342="",$F342=""),"",IF(AND(OR($N342="حاضر",$N342="دوام جزئي"),$F342&lt;$H342),($H342-$F342)*24,0))</f>
        <v/>
      </c>
      <c r="M342" s="58">
        <f>IF(OR($A342="",$F342=""),"",IF(AND(احتساب_العمل_الإضافي="نعم",OR($N342="حاضر",$N342="دوام جزئي"),$F342&gt;$H342,($F342-$H342)*24*60&gt;=حد_العمل_الإضافي_دقيقة),($F342-$H342)*24,0))</f>
        <v/>
      </c>
      <c r="N342" s="47" t="n"/>
      <c r="O342" s="47" t="n"/>
      <c r="Q342">
        <f>IF(AND(ISNUMBER($K342),$K342&gt;0),SUMPRODUCT(ISNUMBER($K$3:$K$502)*($K$3:$K$502&gt;0)*(ROW($K$3:$K$502)&lt;=ROW())),"")</f>
        <v/>
      </c>
    </row>
    <row r="343">
      <c r="A343" s="40" t="n"/>
      <c r="B343" s="43">
        <f>IFERROR(INDEX(الموظفون_الاسم,MATCH($A343,الموظفون_الرقم,0)),"")</f>
        <v/>
      </c>
      <c r="C343" s="110" t="n"/>
      <c r="D343" s="43">
        <f>IF($C343="","",IFERROR(INDEX(قائمة_أيام_الأسبوع,WEEKDAY($C343,1)),""))</f>
        <v/>
      </c>
      <c r="E343" s="114" t="n"/>
      <c r="F343" s="114" t="n"/>
      <c r="G343" s="115">
        <f>IF($A343="","",بداية_الدوام)</f>
        <v/>
      </c>
      <c r="H343" s="115">
        <f>IF($A343="","",نهاية_الدوام)</f>
        <v/>
      </c>
      <c r="I343" s="55">
        <f>IF($A343="","",مدة_الاستراحة/60)</f>
        <v/>
      </c>
      <c r="J343" s="55">
        <f>IF(OR($A343="",$E343="",$F343=""),"",IF(OR($N343="حاضر",$N343="دوام جزئي"),MAX(0,MOD($F343-$E343,1)*24-$I343),0))</f>
        <v/>
      </c>
      <c r="K343" s="55">
        <f>IF(OR($A343="",$E343=""),"",IF(AND(احتساب_التأخير="نعم",OR($N343="حاضر",$N343="دوام جزئي"),$E343&gt;$G343+دقائق_السماح/1440),($E343-$G343-دقائق_السماح/1440)*24,0))</f>
        <v/>
      </c>
      <c r="L343" s="55">
        <f>IF(OR($A343="",$F343=""),"",IF(AND(OR($N343="حاضر",$N343="دوام جزئي"),$F343&lt;$H343),($H343-$F343)*24,0))</f>
        <v/>
      </c>
      <c r="M343" s="55">
        <f>IF(OR($A343="",$F343=""),"",IF(AND(احتساب_العمل_الإضافي="نعم",OR($N343="حاضر",$N343="دوام جزئي"),$F343&gt;$H343,($F343-$H343)*24*60&gt;=حد_العمل_الإضافي_دقيقة),($F343-$H343)*24,0))</f>
        <v/>
      </c>
      <c r="N343" s="40" t="n"/>
      <c r="O343" s="40" t="n"/>
      <c r="Q343">
        <f>IF(AND(ISNUMBER($K343),$K343&gt;0),SUMPRODUCT(ISNUMBER($K$3:$K$502)*($K$3:$K$502&gt;0)*(ROW($K$3:$K$502)&lt;=ROW())),"")</f>
        <v/>
      </c>
    </row>
    <row r="344">
      <c r="A344" s="47" t="n"/>
      <c r="B344" s="50">
        <f>IFERROR(INDEX(الموظفون_الاسم,MATCH($A344,الموظفون_الرقم,0)),"")</f>
        <v/>
      </c>
      <c r="C344" s="112" t="n"/>
      <c r="D344" s="50">
        <f>IF($C344="","",IFERROR(INDEX(قائمة_أيام_الأسبوع,WEEKDAY($C344,1)),""))</f>
        <v/>
      </c>
      <c r="E344" s="116" t="n"/>
      <c r="F344" s="116" t="n"/>
      <c r="G344" s="117">
        <f>IF($A344="","",بداية_الدوام)</f>
        <v/>
      </c>
      <c r="H344" s="117">
        <f>IF($A344="","",نهاية_الدوام)</f>
        <v/>
      </c>
      <c r="I344" s="58">
        <f>IF($A344="","",مدة_الاستراحة/60)</f>
        <v/>
      </c>
      <c r="J344" s="58">
        <f>IF(OR($A344="",$E344="",$F344=""),"",IF(OR($N344="حاضر",$N344="دوام جزئي"),MAX(0,MOD($F344-$E344,1)*24-$I344),0))</f>
        <v/>
      </c>
      <c r="K344" s="58">
        <f>IF(OR($A344="",$E344=""),"",IF(AND(احتساب_التأخير="نعم",OR($N344="حاضر",$N344="دوام جزئي"),$E344&gt;$G344+دقائق_السماح/1440),($E344-$G344-دقائق_السماح/1440)*24,0))</f>
        <v/>
      </c>
      <c r="L344" s="58">
        <f>IF(OR($A344="",$F344=""),"",IF(AND(OR($N344="حاضر",$N344="دوام جزئي"),$F344&lt;$H344),($H344-$F344)*24,0))</f>
        <v/>
      </c>
      <c r="M344" s="58">
        <f>IF(OR($A344="",$F344=""),"",IF(AND(احتساب_العمل_الإضافي="نعم",OR($N344="حاضر",$N344="دوام جزئي"),$F344&gt;$H344,($F344-$H344)*24*60&gt;=حد_العمل_الإضافي_دقيقة),($F344-$H344)*24,0))</f>
        <v/>
      </c>
      <c r="N344" s="47" t="n"/>
      <c r="O344" s="47" t="n"/>
      <c r="Q344">
        <f>IF(AND(ISNUMBER($K344),$K344&gt;0),SUMPRODUCT(ISNUMBER($K$3:$K$502)*($K$3:$K$502&gt;0)*(ROW($K$3:$K$502)&lt;=ROW())),"")</f>
        <v/>
      </c>
    </row>
    <row r="345">
      <c r="A345" s="40" t="n"/>
      <c r="B345" s="43">
        <f>IFERROR(INDEX(الموظفون_الاسم,MATCH($A345,الموظفون_الرقم,0)),"")</f>
        <v/>
      </c>
      <c r="C345" s="110" t="n"/>
      <c r="D345" s="43">
        <f>IF($C345="","",IFERROR(INDEX(قائمة_أيام_الأسبوع,WEEKDAY($C345,1)),""))</f>
        <v/>
      </c>
      <c r="E345" s="114" t="n"/>
      <c r="F345" s="114" t="n"/>
      <c r="G345" s="115">
        <f>IF($A345="","",بداية_الدوام)</f>
        <v/>
      </c>
      <c r="H345" s="115">
        <f>IF($A345="","",نهاية_الدوام)</f>
        <v/>
      </c>
      <c r="I345" s="55">
        <f>IF($A345="","",مدة_الاستراحة/60)</f>
        <v/>
      </c>
      <c r="J345" s="55">
        <f>IF(OR($A345="",$E345="",$F345=""),"",IF(OR($N345="حاضر",$N345="دوام جزئي"),MAX(0,MOD($F345-$E345,1)*24-$I345),0))</f>
        <v/>
      </c>
      <c r="K345" s="55">
        <f>IF(OR($A345="",$E345=""),"",IF(AND(احتساب_التأخير="نعم",OR($N345="حاضر",$N345="دوام جزئي"),$E345&gt;$G345+دقائق_السماح/1440),($E345-$G345-دقائق_السماح/1440)*24,0))</f>
        <v/>
      </c>
      <c r="L345" s="55">
        <f>IF(OR($A345="",$F345=""),"",IF(AND(OR($N345="حاضر",$N345="دوام جزئي"),$F345&lt;$H345),($H345-$F345)*24,0))</f>
        <v/>
      </c>
      <c r="M345" s="55">
        <f>IF(OR($A345="",$F345=""),"",IF(AND(احتساب_العمل_الإضافي="نعم",OR($N345="حاضر",$N345="دوام جزئي"),$F345&gt;$H345,($F345-$H345)*24*60&gt;=حد_العمل_الإضافي_دقيقة),($F345-$H345)*24,0))</f>
        <v/>
      </c>
      <c r="N345" s="40" t="n"/>
      <c r="O345" s="40" t="n"/>
      <c r="Q345">
        <f>IF(AND(ISNUMBER($K345),$K345&gt;0),SUMPRODUCT(ISNUMBER($K$3:$K$502)*($K$3:$K$502&gt;0)*(ROW($K$3:$K$502)&lt;=ROW())),"")</f>
        <v/>
      </c>
    </row>
    <row r="346">
      <c r="A346" s="47" t="n"/>
      <c r="B346" s="50">
        <f>IFERROR(INDEX(الموظفون_الاسم,MATCH($A346,الموظفون_الرقم,0)),"")</f>
        <v/>
      </c>
      <c r="C346" s="112" t="n"/>
      <c r="D346" s="50">
        <f>IF($C346="","",IFERROR(INDEX(قائمة_أيام_الأسبوع,WEEKDAY($C346,1)),""))</f>
        <v/>
      </c>
      <c r="E346" s="116" t="n"/>
      <c r="F346" s="116" t="n"/>
      <c r="G346" s="117">
        <f>IF($A346="","",بداية_الدوام)</f>
        <v/>
      </c>
      <c r="H346" s="117">
        <f>IF($A346="","",نهاية_الدوام)</f>
        <v/>
      </c>
      <c r="I346" s="58">
        <f>IF($A346="","",مدة_الاستراحة/60)</f>
        <v/>
      </c>
      <c r="J346" s="58">
        <f>IF(OR($A346="",$E346="",$F346=""),"",IF(OR($N346="حاضر",$N346="دوام جزئي"),MAX(0,MOD($F346-$E346,1)*24-$I346),0))</f>
        <v/>
      </c>
      <c r="K346" s="58">
        <f>IF(OR($A346="",$E346=""),"",IF(AND(احتساب_التأخير="نعم",OR($N346="حاضر",$N346="دوام جزئي"),$E346&gt;$G346+دقائق_السماح/1440),($E346-$G346-دقائق_السماح/1440)*24,0))</f>
        <v/>
      </c>
      <c r="L346" s="58">
        <f>IF(OR($A346="",$F346=""),"",IF(AND(OR($N346="حاضر",$N346="دوام جزئي"),$F346&lt;$H346),($H346-$F346)*24,0))</f>
        <v/>
      </c>
      <c r="M346" s="58">
        <f>IF(OR($A346="",$F346=""),"",IF(AND(احتساب_العمل_الإضافي="نعم",OR($N346="حاضر",$N346="دوام جزئي"),$F346&gt;$H346,($F346-$H346)*24*60&gt;=حد_العمل_الإضافي_دقيقة),($F346-$H346)*24,0))</f>
        <v/>
      </c>
      <c r="N346" s="47" t="n"/>
      <c r="O346" s="47" t="n"/>
      <c r="Q346">
        <f>IF(AND(ISNUMBER($K346),$K346&gt;0),SUMPRODUCT(ISNUMBER($K$3:$K$502)*($K$3:$K$502&gt;0)*(ROW($K$3:$K$502)&lt;=ROW())),"")</f>
        <v/>
      </c>
    </row>
    <row r="347">
      <c r="A347" s="40" t="n"/>
      <c r="B347" s="43">
        <f>IFERROR(INDEX(الموظفون_الاسم,MATCH($A347,الموظفون_الرقم,0)),"")</f>
        <v/>
      </c>
      <c r="C347" s="110" t="n"/>
      <c r="D347" s="43">
        <f>IF($C347="","",IFERROR(INDEX(قائمة_أيام_الأسبوع,WEEKDAY($C347,1)),""))</f>
        <v/>
      </c>
      <c r="E347" s="114" t="n"/>
      <c r="F347" s="114" t="n"/>
      <c r="G347" s="115">
        <f>IF($A347="","",بداية_الدوام)</f>
        <v/>
      </c>
      <c r="H347" s="115">
        <f>IF($A347="","",نهاية_الدوام)</f>
        <v/>
      </c>
      <c r="I347" s="55">
        <f>IF($A347="","",مدة_الاستراحة/60)</f>
        <v/>
      </c>
      <c r="J347" s="55">
        <f>IF(OR($A347="",$E347="",$F347=""),"",IF(OR($N347="حاضر",$N347="دوام جزئي"),MAX(0,MOD($F347-$E347,1)*24-$I347),0))</f>
        <v/>
      </c>
      <c r="K347" s="55">
        <f>IF(OR($A347="",$E347=""),"",IF(AND(احتساب_التأخير="نعم",OR($N347="حاضر",$N347="دوام جزئي"),$E347&gt;$G347+دقائق_السماح/1440),($E347-$G347-دقائق_السماح/1440)*24,0))</f>
        <v/>
      </c>
      <c r="L347" s="55">
        <f>IF(OR($A347="",$F347=""),"",IF(AND(OR($N347="حاضر",$N347="دوام جزئي"),$F347&lt;$H347),($H347-$F347)*24,0))</f>
        <v/>
      </c>
      <c r="M347" s="55">
        <f>IF(OR($A347="",$F347=""),"",IF(AND(احتساب_العمل_الإضافي="نعم",OR($N347="حاضر",$N347="دوام جزئي"),$F347&gt;$H347,($F347-$H347)*24*60&gt;=حد_العمل_الإضافي_دقيقة),($F347-$H347)*24,0))</f>
        <v/>
      </c>
      <c r="N347" s="40" t="n"/>
      <c r="O347" s="40" t="n"/>
      <c r="Q347">
        <f>IF(AND(ISNUMBER($K347),$K347&gt;0),SUMPRODUCT(ISNUMBER($K$3:$K$502)*($K$3:$K$502&gt;0)*(ROW($K$3:$K$502)&lt;=ROW())),"")</f>
        <v/>
      </c>
    </row>
    <row r="348">
      <c r="A348" s="47" t="n"/>
      <c r="B348" s="50">
        <f>IFERROR(INDEX(الموظفون_الاسم,MATCH($A348,الموظفون_الرقم,0)),"")</f>
        <v/>
      </c>
      <c r="C348" s="112" t="n"/>
      <c r="D348" s="50">
        <f>IF($C348="","",IFERROR(INDEX(قائمة_أيام_الأسبوع,WEEKDAY($C348,1)),""))</f>
        <v/>
      </c>
      <c r="E348" s="116" t="n"/>
      <c r="F348" s="116" t="n"/>
      <c r="G348" s="117">
        <f>IF($A348="","",بداية_الدوام)</f>
        <v/>
      </c>
      <c r="H348" s="117">
        <f>IF($A348="","",نهاية_الدوام)</f>
        <v/>
      </c>
      <c r="I348" s="58">
        <f>IF($A348="","",مدة_الاستراحة/60)</f>
        <v/>
      </c>
      <c r="J348" s="58">
        <f>IF(OR($A348="",$E348="",$F348=""),"",IF(OR($N348="حاضر",$N348="دوام جزئي"),MAX(0,MOD($F348-$E348,1)*24-$I348),0))</f>
        <v/>
      </c>
      <c r="K348" s="58">
        <f>IF(OR($A348="",$E348=""),"",IF(AND(احتساب_التأخير="نعم",OR($N348="حاضر",$N348="دوام جزئي"),$E348&gt;$G348+دقائق_السماح/1440),($E348-$G348-دقائق_السماح/1440)*24,0))</f>
        <v/>
      </c>
      <c r="L348" s="58">
        <f>IF(OR($A348="",$F348=""),"",IF(AND(OR($N348="حاضر",$N348="دوام جزئي"),$F348&lt;$H348),($H348-$F348)*24,0))</f>
        <v/>
      </c>
      <c r="M348" s="58">
        <f>IF(OR($A348="",$F348=""),"",IF(AND(احتساب_العمل_الإضافي="نعم",OR($N348="حاضر",$N348="دوام جزئي"),$F348&gt;$H348,($F348-$H348)*24*60&gt;=حد_العمل_الإضافي_دقيقة),($F348-$H348)*24,0))</f>
        <v/>
      </c>
      <c r="N348" s="47" t="n"/>
      <c r="O348" s="47" t="n"/>
      <c r="Q348">
        <f>IF(AND(ISNUMBER($K348),$K348&gt;0),SUMPRODUCT(ISNUMBER($K$3:$K$502)*($K$3:$K$502&gt;0)*(ROW($K$3:$K$502)&lt;=ROW())),"")</f>
        <v/>
      </c>
    </row>
    <row r="349">
      <c r="A349" s="40" t="n"/>
      <c r="B349" s="43">
        <f>IFERROR(INDEX(الموظفون_الاسم,MATCH($A349,الموظفون_الرقم,0)),"")</f>
        <v/>
      </c>
      <c r="C349" s="110" t="n"/>
      <c r="D349" s="43">
        <f>IF($C349="","",IFERROR(INDEX(قائمة_أيام_الأسبوع,WEEKDAY($C349,1)),""))</f>
        <v/>
      </c>
      <c r="E349" s="114" t="n"/>
      <c r="F349" s="114" t="n"/>
      <c r="G349" s="115">
        <f>IF($A349="","",بداية_الدوام)</f>
        <v/>
      </c>
      <c r="H349" s="115">
        <f>IF($A349="","",نهاية_الدوام)</f>
        <v/>
      </c>
      <c r="I349" s="55">
        <f>IF($A349="","",مدة_الاستراحة/60)</f>
        <v/>
      </c>
      <c r="J349" s="55">
        <f>IF(OR($A349="",$E349="",$F349=""),"",IF(OR($N349="حاضر",$N349="دوام جزئي"),MAX(0,MOD($F349-$E349,1)*24-$I349),0))</f>
        <v/>
      </c>
      <c r="K349" s="55">
        <f>IF(OR($A349="",$E349=""),"",IF(AND(احتساب_التأخير="نعم",OR($N349="حاضر",$N349="دوام جزئي"),$E349&gt;$G349+دقائق_السماح/1440),($E349-$G349-دقائق_السماح/1440)*24,0))</f>
        <v/>
      </c>
      <c r="L349" s="55">
        <f>IF(OR($A349="",$F349=""),"",IF(AND(OR($N349="حاضر",$N349="دوام جزئي"),$F349&lt;$H349),($H349-$F349)*24,0))</f>
        <v/>
      </c>
      <c r="M349" s="55">
        <f>IF(OR($A349="",$F349=""),"",IF(AND(احتساب_العمل_الإضافي="نعم",OR($N349="حاضر",$N349="دوام جزئي"),$F349&gt;$H349,($F349-$H349)*24*60&gt;=حد_العمل_الإضافي_دقيقة),($F349-$H349)*24,0))</f>
        <v/>
      </c>
      <c r="N349" s="40" t="n"/>
      <c r="O349" s="40" t="n"/>
      <c r="Q349">
        <f>IF(AND(ISNUMBER($K349),$K349&gt;0),SUMPRODUCT(ISNUMBER($K$3:$K$502)*($K$3:$K$502&gt;0)*(ROW($K$3:$K$502)&lt;=ROW())),"")</f>
        <v/>
      </c>
    </row>
    <row r="350">
      <c r="A350" s="47" t="n"/>
      <c r="B350" s="50">
        <f>IFERROR(INDEX(الموظفون_الاسم,MATCH($A350,الموظفون_الرقم,0)),"")</f>
        <v/>
      </c>
      <c r="C350" s="112" t="n"/>
      <c r="D350" s="50">
        <f>IF($C350="","",IFERROR(INDEX(قائمة_أيام_الأسبوع,WEEKDAY($C350,1)),""))</f>
        <v/>
      </c>
      <c r="E350" s="116" t="n"/>
      <c r="F350" s="116" t="n"/>
      <c r="G350" s="117">
        <f>IF($A350="","",بداية_الدوام)</f>
        <v/>
      </c>
      <c r="H350" s="117">
        <f>IF($A350="","",نهاية_الدوام)</f>
        <v/>
      </c>
      <c r="I350" s="58">
        <f>IF($A350="","",مدة_الاستراحة/60)</f>
        <v/>
      </c>
      <c r="J350" s="58">
        <f>IF(OR($A350="",$E350="",$F350=""),"",IF(OR($N350="حاضر",$N350="دوام جزئي"),MAX(0,MOD($F350-$E350,1)*24-$I350),0))</f>
        <v/>
      </c>
      <c r="K350" s="58">
        <f>IF(OR($A350="",$E350=""),"",IF(AND(احتساب_التأخير="نعم",OR($N350="حاضر",$N350="دوام جزئي"),$E350&gt;$G350+دقائق_السماح/1440),($E350-$G350-دقائق_السماح/1440)*24,0))</f>
        <v/>
      </c>
      <c r="L350" s="58">
        <f>IF(OR($A350="",$F350=""),"",IF(AND(OR($N350="حاضر",$N350="دوام جزئي"),$F350&lt;$H350),($H350-$F350)*24,0))</f>
        <v/>
      </c>
      <c r="M350" s="58">
        <f>IF(OR($A350="",$F350=""),"",IF(AND(احتساب_العمل_الإضافي="نعم",OR($N350="حاضر",$N350="دوام جزئي"),$F350&gt;$H350,($F350-$H350)*24*60&gt;=حد_العمل_الإضافي_دقيقة),($F350-$H350)*24,0))</f>
        <v/>
      </c>
      <c r="N350" s="47" t="n"/>
      <c r="O350" s="47" t="n"/>
      <c r="Q350">
        <f>IF(AND(ISNUMBER($K350),$K350&gt;0),SUMPRODUCT(ISNUMBER($K$3:$K$502)*($K$3:$K$502&gt;0)*(ROW($K$3:$K$502)&lt;=ROW())),"")</f>
        <v/>
      </c>
    </row>
    <row r="351">
      <c r="A351" s="40" t="n"/>
      <c r="B351" s="43">
        <f>IFERROR(INDEX(الموظفون_الاسم,MATCH($A351,الموظفون_الرقم,0)),"")</f>
        <v/>
      </c>
      <c r="C351" s="110" t="n"/>
      <c r="D351" s="43">
        <f>IF($C351="","",IFERROR(INDEX(قائمة_أيام_الأسبوع,WEEKDAY($C351,1)),""))</f>
        <v/>
      </c>
      <c r="E351" s="114" t="n"/>
      <c r="F351" s="114" t="n"/>
      <c r="G351" s="115">
        <f>IF($A351="","",بداية_الدوام)</f>
        <v/>
      </c>
      <c r="H351" s="115">
        <f>IF($A351="","",نهاية_الدوام)</f>
        <v/>
      </c>
      <c r="I351" s="55">
        <f>IF($A351="","",مدة_الاستراحة/60)</f>
        <v/>
      </c>
      <c r="J351" s="55">
        <f>IF(OR($A351="",$E351="",$F351=""),"",IF(OR($N351="حاضر",$N351="دوام جزئي"),MAX(0,MOD($F351-$E351,1)*24-$I351),0))</f>
        <v/>
      </c>
      <c r="K351" s="55">
        <f>IF(OR($A351="",$E351=""),"",IF(AND(احتساب_التأخير="نعم",OR($N351="حاضر",$N351="دوام جزئي"),$E351&gt;$G351+دقائق_السماح/1440),($E351-$G351-دقائق_السماح/1440)*24,0))</f>
        <v/>
      </c>
      <c r="L351" s="55">
        <f>IF(OR($A351="",$F351=""),"",IF(AND(OR($N351="حاضر",$N351="دوام جزئي"),$F351&lt;$H351),($H351-$F351)*24,0))</f>
        <v/>
      </c>
      <c r="M351" s="55">
        <f>IF(OR($A351="",$F351=""),"",IF(AND(احتساب_العمل_الإضافي="نعم",OR($N351="حاضر",$N351="دوام جزئي"),$F351&gt;$H351,($F351-$H351)*24*60&gt;=حد_العمل_الإضافي_دقيقة),($F351-$H351)*24,0))</f>
        <v/>
      </c>
      <c r="N351" s="40" t="n"/>
      <c r="O351" s="40" t="n"/>
      <c r="Q351">
        <f>IF(AND(ISNUMBER($K351),$K351&gt;0),SUMPRODUCT(ISNUMBER($K$3:$K$502)*($K$3:$K$502&gt;0)*(ROW($K$3:$K$502)&lt;=ROW())),"")</f>
        <v/>
      </c>
    </row>
    <row r="352">
      <c r="A352" s="47" t="n"/>
      <c r="B352" s="50">
        <f>IFERROR(INDEX(الموظفون_الاسم,MATCH($A352,الموظفون_الرقم,0)),"")</f>
        <v/>
      </c>
      <c r="C352" s="112" t="n"/>
      <c r="D352" s="50">
        <f>IF($C352="","",IFERROR(INDEX(قائمة_أيام_الأسبوع,WEEKDAY($C352,1)),""))</f>
        <v/>
      </c>
      <c r="E352" s="116" t="n"/>
      <c r="F352" s="116" t="n"/>
      <c r="G352" s="117">
        <f>IF($A352="","",بداية_الدوام)</f>
        <v/>
      </c>
      <c r="H352" s="117">
        <f>IF($A352="","",نهاية_الدوام)</f>
        <v/>
      </c>
      <c r="I352" s="58">
        <f>IF($A352="","",مدة_الاستراحة/60)</f>
        <v/>
      </c>
      <c r="J352" s="58">
        <f>IF(OR($A352="",$E352="",$F352=""),"",IF(OR($N352="حاضر",$N352="دوام جزئي"),MAX(0,MOD($F352-$E352,1)*24-$I352),0))</f>
        <v/>
      </c>
      <c r="K352" s="58">
        <f>IF(OR($A352="",$E352=""),"",IF(AND(احتساب_التأخير="نعم",OR($N352="حاضر",$N352="دوام جزئي"),$E352&gt;$G352+دقائق_السماح/1440),($E352-$G352-دقائق_السماح/1440)*24,0))</f>
        <v/>
      </c>
      <c r="L352" s="58">
        <f>IF(OR($A352="",$F352=""),"",IF(AND(OR($N352="حاضر",$N352="دوام جزئي"),$F352&lt;$H352),($H352-$F352)*24,0))</f>
        <v/>
      </c>
      <c r="M352" s="58">
        <f>IF(OR($A352="",$F352=""),"",IF(AND(احتساب_العمل_الإضافي="نعم",OR($N352="حاضر",$N352="دوام جزئي"),$F352&gt;$H352,($F352-$H352)*24*60&gt;=حد_العمل_الإضافي_دقيقة),($F352-$H352)*24,0))</f>
        <v/>
      </c>
      <c r="N352" s="47" t="n"/>
      <c r="O352" s="47" t="n"/>
      <c r="Q352">
        <f>IF(AND(ISNUMBER($K352),$K352&gt;0),SUMPRODUCT(ISNUMBER($K$3:$K$502)*($K$3:$K$502&gt;0)*(ROW($K$3:$K$502)&lt;=ROW())),"")</f>
        <v/>
      </c>
    </row>
    <row r="353">
      <c r="A353" s="40" t="n"/>
      <c r="B353" s="43">
        <f>IFERROR(INDEX(الموظفون_الاسم,MATCH($A353,الموظفون_الرقم,0)),"")</f>
        <v/>
      </c>
      <c r="C353" s="110" t="n"/>
      <c r="D353" s="43">
        <f>IF($C353="","",IFERROR(INDEX(قائمة_أيام_الأسبوع,WEEKDAY($C353,1)),""))</f>
        <v/>
      </c>
      <c r="E353" s="114" t="n"/>
      <c r="F353" s="114" t="n"/>
      <c r="G353" s="115">
        <f>IF($A353="","",بداية_الدوام)</f>
        <v/>
      </c>
      <c r="H353" s="115">
        <f>IF($A353="","",نهاية_الدوام)</f>
        <v/>
      </c>
      <c r="I353" s="55">
        <f>IF($A353="","",مدة_الاستراحة/60)</f>
        <v/>
      </c>
      <c r="J353" s="55">
        <f>IF(OR($A353="",$E353="",$F353=""),"",IF(OR($N353="حاضر",$N353="دوام جزئي"),MAX(0,MOD($F353-$E353,1)*24-$I353),0))</f>
        <v/>
      </c>
      <c r="K353" s="55">
        <f>IF(OR($A353="",$E353=""),"",IF(AND(احتساب_التأخير="نعم",OR($N353="حاضر",$N353="دوام جزئي"),$E353&gt;$G353+دقائق_السماح/1440),($E353-$G353-دقائق_السماح/1440)*24,0))</f>
        <v/>
      </c>
      <c r="L353" s="55">
        <f>IF(OR($A353="",$F353=""),"",IF(AND(OR($N353="حاضر",$N353="دوام جزئي"),$F353&lt;$H353),($H353-$F353)*24,0))</f>
        <v/>
      </c>
      <c r="M353" s="55">
        <f>IF(OR($A353="",$F353=""),"",IF(AND(احتساب_العمل_الإضافي="نعم",OR($N353="حاضر",$N353="دوام جزئي"),$F353&gt;$H353,($F353-$H353)*24*60&gt;=حد_العمل_الإضافي_دقيقة),($F353-$H353)*24,0))</f>
        <v/>
      </c>
      <c r="N353" s="40" t="n"/>
      <c r="O353" s="40" t="n"/>
      <c r="Q353">
        <f>IF(AND(ISNUMBER($K353),$K353&gt;0),SUMPRODUCT(ISNUMBER($K$3:$K$502)*($K$3:$K$502&gt;0)*(ROW($K$3:$K$502)&lt;=ROW())),"")</f>
        <v/>
      </c>
    </row>
    <row r="354">
      <c r="A354" s="47" t="n"/>
      <c r="B354" s="50">
        <f>IFERROR(INDEX(الموظفون_الاسم,MATCH($A354,الموظفون_الرقم,0)),"")</f>
        <v/>
      </c>
      <c r="C354" s="112" t="n"/>
      <c r="D354" s="50">
        <f>IF($C354="","",IFERROR(INDEX(قائمة_أيام_الأسبوع,WEEKDAY($C354,1)),""))</f>
        <v/>
      </c>
      <c r="E354" s="116" t="n"/>
      <c r="F354" s="116" t="n"/>
      <c r="G354" s="117">
        <f>IF($A354="","",بداية_الدوام)</f>
        <v/>
      </c>
      <c r="H354" s="117">
        <f>IF($A354="","",نهاية_الدوام)</f>
        <v/>
      </c>
      <c r="I354" s="58">
        <f>IF($A354="","",مدة_الاستراحة/60)</f>
        <v/>
      </c>
      <c r="J354" s="58">
        <f>IF(OR($A354="",$E354="",$F354=""),"",IF(OR($N354="حاضر",$N354="دوام جزئي"),MAX(0,MOD($F354-$E354,1)*24-$I354),0))</f>
        <v/>
      </c>
      <c r="K354" s="58">
        <f>IF(OR($A354="",$E354=""),"",IF(AND(احتساب_التأخير="نعم",OR($N354="حاضر",$N354="دوام جزئي"),$E354&gt;$G354+دقائق_السماح/1440),($E354-$G354-دقائق_السماح/1440)*24,0))</f>
        <v/>
      </c>
      <c r="L354" s="58">
        <f>IF(OR($A354="",$F354=""),"",IF(AND(OR($N354="حاضر",$N354="دوام جزئي"),$F354&lt;$H354),($H354-$F354)*24,0))</f>
        <v/>
      </c>
      <c r="M354" s="58">
        <f>IF(OR($A354="",$F354=""),"",IF(AND(احتساب_العمل_الإضافي="نعم",OR($N354="حاضر",$N354="دوام جزئي"),$F354&gt;$H354,($F354-$H354)*24*60&gt;=حد_العمل_الإضافي_دقيقة),($F354-$H354)*24,0))</f>
        <v/>
      </c>
      <c r="N354" s="47" t="n"/>
      <c r="O354" s="47" t="n"/>
      <c r="Q354">
        <f>IF(AND(ISNUMBER($K354),$K354&gt;0),SUMPRODUCT(ISNUMBER($K$3:$K$502)*($K$3:$K$502&gt;0)*(ROW($K$3:$K$502)&lt;=ROW())),"")</f>
        <v/>
      </c>
    </row>
    <row r="355">
      <c r="A355" s="40" t="n"/>
      <c r="B355" s="43">
        <f>IFERROR(INDEX(الموظفون_الاسم,MATCH($A355,الموظفون_الرقم,0)),"")</f>
        <v/>
      </c>
      <c r="C355" s="110" t="n"/>
      <c r="D355" s="43">
        <f>IF($C355="","",IFERROR(INDEX(قائمة_أيام_الأسبوع,WEEKDAY($C355,1)),""))</f>
        <v/>
      </c>
      <c r="E355" s="114" t="n"/>
      <c r="F355" s="114" t="n"/>
      <c r="G355" s="115">
        <f>IF($A355="","",بداية_الدوام)</f>
        <v/>
      </c>
      <c r="H355" s="115">
        <f>IF($A355="","",نهاية_الدوام)</f>
        <v/>
      </c>
      <c r="I355" s="55">
        <f>IF($A355="","",مدة_الاستراحة/60)</f>
        <v/>
      </c>
      <c r="J355" s="55">
        <f>IF(OR($A355="",$E355="",$F355=""),"",IF(OR($N355="حاضر",$N355="دوام جزئي"),MAX(0,MOD($F355-$E355,1)*24-$I355),0))</f>
        <v/>
      </c>
      <c r="K355" s="55">
        <f>IF(OR($A355="",$E355=""),"",IF(AND(احتساب_التأخير="نعم",OR($N355="حاضر",$N355="دوام جزئي"),$E355&gt;$G355+دقائق_السماح/1440),($E355-$G355-دقائق_السماح/1440)*24,0))</f>
        <v/>
      </c>
      <c r="L355" s="55">
        <f>IF(OR($A355="",$F355=""),"",IF(AND(OR($N355="حاضر",$N355="دوام جزئي"),$F355&lt;$H355),($H355-$F355)*24,0))</f>
        <v/>
      </c>
      <c r="M355" s="55">
        <f>IF(OR($A355="",$F355=""),"",IF(AND(احتساب_العمل_الإضافي="نعم",OR($N355="حاضر",$N355="دوام جزئي"),$F355&gt;$H355,($F355-$H355)*24*60&gt;=حد_العمل_الإضافي_دقيقة),($F355-$H355)*24,0))</f>
        <v/>
      </c>
      <c r="N355" s="40" t="n"/>
      <c r="O355" s="40" t="n"/>
      <c r="Q355">
        <f>IF(AND(ISNUMBER($K355),$K355&gt;0),SUMPRODUCT(ISNUMBER($K$3:$K$502)*($K$3:$K$502&gt;0)*(ROW($K$3:$K$502)&lt;=ROW())),"")</f>
        <v/>
      </c>
    </row>
    <row r="356">
      <c r="A356" s="47" t="n"/>
      <c r="B356" s="50">
        <f>IFERROR(INDEX(الموظفون_الاسم,MATCH($A356,الموظفون_الرقم,0)),"")</f>
        <v/>
      </c>
      <c r="C356" s="112" t="n"/>
      <c r="D356" s="50">
        <f>IF($C356="","",IFERROR(INDEX(قائمة_أيام_الأسبوع,WEEKDAY($C356,1)),""))</f>
        <v/>
      </c>
      <c r="E356" s="116" t="n"/>
      <c r="F356" s="116" t="n"/>
      <c r="G356" s="117">
        <f>IF($A356="","",بداية_الدوام)</f>
        <v/>
      </c>
      <c r="H356" s="117">
        <f>IF($A356="","",نهاية_الدوام)</f>
        <v/>
      </c>
      <c r="I356" s="58">
        <f>IF($A356="","",مدة_الاستراحة/60)</f>
        <v/>
      </c>
      <c r="J356" s="58">
        <f>IF(OR($A356="",$E356="",$F356=""),"",IF(OR($N356="حاضر",$N356="دوام جزئي"),MAX(0,MOD($F356-$E356,1)*24-$I356),0))</f>
        <v/>
      </c>
      <c r="K356" s="58">
        <f>IF(OR($A356="",$E356=""),"",IF(AND(احتساب_التأخير="نعم",OR($N356="حاضر",$N356="دوام جزئي"),$E356&gt;$G356+دقائق_السماح/1440),($E356-$G356-دقائق_السماح/1440)*24,0))</f>
        <v/>
      </c>
      <c r="L356" s="58">
        <f>IF(OR($A356="",$F356=""),"",IF(AND(OR($N356="حاضر",$N356="دوام جزئي"),$F356&lt;$H356),($H356-$F356)*24,0))</f>
        <v/>
      </c>
      <c r="M356" s="58">
        <f>IF(OR($A356="",$F356=""),"",IF(AND(احتساب_العمل_الإضافي="نعم",OR($N356="حاضر",$N356="دوام جزئي"),$F356&gt;$H356,($F356-$H356)*24*60&gt;=حد_العمل_الإضافي_دقيقة),($F356-$H356)*24,0))</f>
        <v/>
      </c>
      <c r="N356" s="47" t="n"/>
      <c r="O356" s="47" t="n"/>
      <c r="Q356">
        <f>IF(AND(ISNUMBER($K356),$K356&gt;0),SUMPRODUCT(ISNUMBER($K$3:$K$502)*($K$3:$K$502&gt;0)*(ROW($K$3:$K$502)&lt;=ROW())),"")</f>
        <v/>
      </c>
    </row>
    <row r="357">
      <c r="A357" s="40" t="n"/>
      <c r="B357" s="43">
        <f>IFERROR(INDEX(الموظفون_الاسم,MATCH($A357,الموظفون_الرقم,0)),"")</f>
        <v/>
      </c>
      <c r="C357" s="110" t="n"/>
      <c r="D357" s="43">
        <f>IF($C357="","",IFERROR(INDEX(قائمة_أيام_الأسبوع,WEEKDAY($C357,1)),""))</f>
        <v/>
      </c>
      <c r="E357" s="114" t="n"/>
      <c r="F357" s="114" t="n"/>
      <c r="G357" s="115">
        <f>IF($A357="","",بداية_الدوام)</f>
        <v/>
      </c>
      <c r="H357" s="115">
        <f>IF($A357="","",نهاية_الدوام)</f>
        <v/>
      </c>
      <c r="I357" s="55">
        <f>IF($A357="","",مدة_الاستراحة/60)</f>
        <v/>
      </c>
      <c r="J357" s="55">
        <f>IF(OR($A357="",$E357="",$F357=""),"",IF(OR($N357="حاضر",$N357="دوام جزئي"),MAX(0,MOD($F357-$E357,1)*24-$I357),0))</f>
        <v/>
      </c>
      <c r="K357" s="55">
        <f>IF(OR($A357="",$E357=""),"",IF(AND(احتساب_التأخير="نعم",OR($N357="حاضر",$N357="دوام جزئي"),$E357&gt;$G357+دقائق_السماح/1440),($E357-$G357-دقائق_السماح/1440)*24,0))</f>
        <v/>
      </c>
      <c r="L357" s="55">
        <f>IF(OR($A357="",$F357=""),"",IF(AND(OR($N357="حاضر",$N357="دوام جزئي"),$F357&lt;$H357),($H357-$F357)*24,0))</f>
        <v/>
      </c>
      <c r="M357" s="55">
        <f>IF(OR($A357="",$F357=""),"",IF(AND(احتساب_العمل_الإضافي="نعم",OR($N357="حاضر",$N357="دوام جزئي"),$F357&gt;$H357,($F357-$H357)*24*60&gt;=حد_العمل_الإضافي_دقيقة),($F357-$H357)*24,0))</f>
        <v/>
      </c>
      <c r="N357" s="40" t="n"/>
      <c r="O357" s="40" t="n"/>
      <c r="Q357">
        <f>IF(AND(ISNUMBER($K357),$K357&gt;0),SUMPRODUCT(ISNUMBER($K$3:$K$502)*($K$3:$K$502&gt;0)*(ROW($K$3:$K$502)&lt;=ROW())),"")</f>
        <v/>
      </c>
    </row>
    <row r="358">
      <c r="A358" s="47" t="n"/>
      <c r="B358" s="50">
        <f>IFERROR(INDEX(الموظفون_الاسم,MATCH($A358,الموظفون_الرقم,0)),"")</f>
        <v/>
      </c>
      <c r="C358" s="112" t="n"/>
      <c r="D358" s="50">
        <f>IF($C358="","",IFERROR(INDEX(قائمة_أيام_الأسبوع,WEEKDAY($C358,1)),""))</f>
        <v/>
      </c>
      <c r="E358" s="116" t="n"/>
      <c r="F358" s="116" t="n"/>
      <c r="G358" s="117">
        <f>IF($A358="","",بداية_الدوام)</f>
        <v/>
      </c>
      <c r="H358" s="117">
        <f>IF($A358="","",نهاية_الدوام)</f>
        <v/>
      </c>
      <c r="I358" s="58">
        <f>IF($A358="","",مدة_الاستراحة/60)</f>
        <v/>
      </c>
      <c r="J358" s="58">
        <f>IF(OR($A358="",$E358="",$F358=""),"",IF(OR($N358="حاضر",$N358="دوام جزئي"),MAX(0,MOD($F358-$E358,1)*24-$I358),0))</f>
        <v/>
      </c>
      <c r="K358" s="58">
        <f>IF(OR($A358="",$E358=""),"",IF(AND(احتساب_التأخير="نعم",OR($N358="حاضر",$N358="دوام جزئي"),$E358&gt;$G358+دقائق_السماح/1440),($E358-$G358-دقائق_السماح/1440)*24,0))</f>
        <v/>
      </c>
      <c r="L358" s="58">
        <f>IF(OR($A358="",$F358=""),"",IF(AND(OR($N358="حاضر",$N358="دوام جزئي"),$F358&lt;$H358),($H358-$F358)*24,0))</f>
        <v/>
      </c>
      <c r="M358" s="58">
        <f>IF(OR($A358="",$F358=""),"",IF(AND(احتساب_العمل_الإضافي="نعم",OR($N358="حاضر",$N358="دوام جزئي"),$F358&gt;$H358,($F358-$H358)*24*60&gt;=حد_العمل_الإضافي_دقيقة),($F358-$H358)*24,0))</f>
        <v/>
      </c>
      <c r="N358" s="47" t="n"/>
      <c r="O358" s="47" t="n"/>
      <c r="Q358">
        <f>IF(AND(ISNUMBER($K358),$K358&gt;0),SUMPRODUCT(ISNUMBER($K$3:$K$502)*($K$3:$K$502&gt;0)*(ROW($K$3:$K$502)&lt;=ROW())),"")</f>
        <v/>
      </c>
    </row>
    <row r="359">
      <c r="A359" s="40" t="n"/>
      <c r="B359" s="43">
        <f>IFERROR(INDEX(الموظفون_الاسم,MATCH($A359,الموظفون_الرقم,0)),"")</f>
        <v/>
      </c>
      <c r="C359" s="110" t="n"/>
      <c r="D359" s="43">
        <f>IF($C359="","",IFERROR(INDEX(قائمة_أيام_الأسبوع,WEEKDAY($C359,1)),""))</f>
        <v/>
      </c>
      <c r="E359" s="114" t="n"/>
      <c r="F359" s="114" t="n"/>
      <c r="G359" s="115">
        <f>IF($A359="","",بداية_الدوام)</f>
        <v/>
      </c>
      <c r="H359" s="115">
        <f>IF($A359="","",نهاية_الدوام)</f>
        <v/>
      </c>
      <c r="I359" s="55">
        <f>IF($A359="","",مدة_الاستراحة/60)</f>
        <v/>
      </c>
      <c r="J359" s="55">
        <f>IF(OR($A359="",$E359="",$F359=""),"",IF(OR($N359="حاضر",$N359="دوام جزئي"),MAX(0,MOD($F359-$E359,1)*24-$I359),0))</f>
        <v/>
      </c>
      <c r="K359" s="55">
        <f>IF(OR($A359="",$E359=""),"",IF(AND(احتساب_التأخير="نعم",OR($N359="حاضر",$N359="دوام جزئي"),$E359&gt;$G359+دقائق_السماح/1440),($E359-$G359-دقائق_السماح/1440)*24,0))</f>
        <v/>
      </c>
      <c r="L359" s="55">
        <f>IF(OR($A359="",$F359=""),"",IF(AND(OR($N359="حاضر",$N359="دوام جزئي"),$F359&lt;$H359),($H359-$F359)*24,0))</f>
        <v/>
      </c>
      <c r="M359" s="55">
        <f>IF(OR($A359="",$F359=""),"",IF(AND(احتساب_العمل_الإضافي="نعم",OR($N359="حاضر",$N359="دوام جزئي"),$F359&gt;$H359,($F359-$H359)*24*60&gt;=حد_العمل_الإضافي_دقيقة),($F359-$H359)*24,0))</f>
        <v/>
      </c>
      <c r="N359" s="40" t="n"/>
      <c r="O359" s="40" t="n"/>
      <c r="Q359">
        <f>IF(AND(ISNUMBER($K359),$K359&gt;0),SUMPRODUCT(ISNUMBER($K$3:$K$502)*($K$3:$K$502&gt;0)*(ROW($K$3:$K$502)&lt;=ROW())),"")</f>
        <v/>
      </c>
    </row>
    <row r="360">
      <c r="A360" s="47" t="n"/>
      <c r="B360" s="50">
        <f>IFERROR(INDEX(الموظفون_الاسم,MATCH($A360,الموظفون_الرقم,0)),"")</f>
        <v/>
      </c>
      <c r="C360" s="112" t="n"/>
      <c r="D360" s="50">
        <f>IF($C360="","",IFERROR(INDEX(قائمة_أيام_الأسبوع,WEEKDAY($C360,1)),""))</f>
        <v/>
      </c>
      <c r="E360" s="116" t="n"/>
      <c r="F360" s="116" t="n"/>
      <c r="G360" s="117">
        <f>IF($A360="","",بداية_الدوام)</f>
        <v/>
      </c>
      <c r="H360" s="117">
        <f>IF($A360="","",نهاية_الدوام)</f>
        <v/>
      </c>
      <c r="I360" s="58">
        <f>IF($A360="","",مدة_الاستراحة/60)</f>
        <v/>
      </c>
      <c r="J360" s="58">
        <f>IF(OR($A360="",$E360="",$F360=""),"",IF(OR($N360="حاضر",$N360="دوام جزئي"),MAX(0,MOD($F360-$E360,1)*24-$I360),0))</f>
        <v/>
      </c>
      <c r="K360" s="58">
        <f>IF(OR($A360="",$E360=""),"",IF(AND(احتساب_التأخير="نعم",OR($N360="حاضر",$N360="دوام جزئي"),$E360&gt;$G360+دقائق_السماح/1440),($E360-$G360-دقائق_السماح/1440)*24,0))</f>
        <v/>
      </c>
      <c r="L360" s="58">
        <f>IF(OR($A360="",$F360=""),"",IF(AND(OR($N360="حاضر",$N360="دوام جزئي"),$F360&lt;$H360),($H360-$F360)*24,0))</f>
        <v/>
      </c>
      <c r="M360" s="58">
        <f>IF(OR($A360="",$F360=""),"",IF(AND(احتساب_العمل_الإضافي="نعم",OR($N360="حاضر",$N360="دوام جزئي"),$F360&gt;$H360,($F360-$H360)*24*60&gt;=حد_العمل_الإضافي_دقيقة),($F360-$H360)*24,0))</f>
        <v/>
      </c>
      <c r="N360" s="47" t="n"/>
      <c r="O360" s="47" t="n"/>
      <c r="Q360">
        <f>IF(AND(ISNUMBER($K360),$K360&gt;0),SUMPRODUCT(ISNUMBER($K$3:$K$502)*($K$3:$K$502&gt;0)*(ROW($K$3:$K$502)&lt;=ROW())),"")</f>
        <v/>
      </c>
    </row>
    <row r="361">
      <c r="A361" s="40" t="n"/>
      <c r="B361" s="43">
        <f>IFERROR(INDEX(الموظفون_الاسم,MATCH($A361,الموظفون_الرقم,0)),"")</f>
        <v/>
      </c>
      <c r="C361" s="110" t="n"/>
      <c r="D361" s="43">
        <f>IF($C361="","",IFERROR(INDEX(قائمة_أيام_الأسبوع,WEEKDAY($C361,1)),""))</f>
        <v/>
      </c>
      <c r="E361" s="114" t="n"/>
      <c r="F361" s="114" t="n"/>
      <c r="G361" s="115">
        <f>IF($A361="","",بداية_الدوام)</f>
        <v/>
      </c>
      <c r="H361" s="115">
        <f>IF($A361="","",نهاية_الدوام)</f>
        <v/>
      </c>
      <c r="I361" s="55">
        <f>IF($A361="","",مدة_الاستراحة/60)</f>
        <v/>
      </c>
      <c r="J361" s="55">
        <f>IF(OR($A361="",$E361="",$F361=""),"",IF(OR($N361="حاضر",$N361="دوام جزئي"),MAX(0,MOD($F361-$E361,1)*24-$I361),0))</f>
        <v/>
      </c>
      <c r="K361" s="55">
        <f>IF(OR($A361="",$E361=""),"",IF(AND(احتساب_التأخير="نعم",OR($N361="حاضر",$N361="دوام جزئي"),$E361&gt;$G361+دقائق_السماح/1440),($E361-$G361-دقائق_السماح/1440)*24,0))</f>
        <v/>
      </c>
      <c r="L361" s="55">
        <f>IF(OR($A361="",$F361=""),"",IF(AND(OR($N361="حاضر",$N361="دوام جزئي"),$F361&lt;$H361),($H361-$F361)*24,0))</f>
        <v/>
      </c>
      <c r="M361" s="55">
        <f>IF(OR($A361="",$F361=""),"",IF(AND(احتساب_العمل_الإضافي="نعم",OR($N361="حاضر",$N361="دوام جزئي"),$F361&gt;$H361,($F361-$H361)*24*60&gt;=حد_العمل_الإضافي_دقيقة),($F361-$H361)*24,0))</f>
        <v/>
      </c>
      <c r="N361" s="40" t="n"/>
      <c r="O361" s="40" t="n"/>
      <c r="Q361">
        <f>IF(AND(ISNUMBER($K361),$K361&gt;0),SUMPRODUCT(ISNUMBER($K$3:$K$502)*($K$3:$K$502&gt;0)*(ROW($K$3:$K$502)&lt;=ROW())),"")</f>
        <v/>
      </c>
    </row>
    <row r="362">
      <c r="A362" s="47" t="n"/>
      <c r="B362" s="50">
        <f>IFERROR(INDEX(الموظفون_الاسم,MATCH($A362,الموظفون_الرقم,0)),"")</f>
        <v/>
      </c>
      <c r="C362" s="112" t="n"/>
      <c r="D362" s="50">
        <f>IF($C362="","",IFERROR(INDEX(قائمة_أيام_الأسبوع,WEEKDAY($C362,1)),""))</f>
        <v/>
      </c>
      <c r="E362" s="116" t="n"/>
      <c r="F362" s="116" t="n"/>
      <c r="G362" s="117">
        <f>IF($A362="","",بداية_الدوام)</f>
        <v/>
      </c>
      <c r="H362" s="117">
        <f>IF($A362="","",نهاية_الدوام)</f>
        <v/>
      </c>
      <c r="I362" s="58">
        <f>IF($A362="","",مدة_الاستراحة/60)</f>
        <v/>
      </c>
      <c r="J362" s="58">
        <f>IF(OR($A362="",$E362="",$F362=""),"",IF(OR($N362="حاضر",$N362="دوام جزئي"),MAX(0,MOD($F362-$E362,1)*24-$I362),0))</f>
        <v/>
      </c>
      <c r="K362" s="58">
        <f>IF(OR($A362="",$E362=""),"",IF(AND(احتساب_التأخير="نعم",OR($N362="حاضر",$N362="دوام جزئي"),$E362&gt;$G362+دقائق_السماح/1440),($E362-$G362-دقائق_السماح/1440)*24,0))</f>
        <v/>
      </c>
      <c r="L362" s="58">
        <f>IF(OR($A362="",$F362=""),"",IF(AND(OR($N362="حاضر",$N362="دوام جزئي"),$F362&lt;$H362),($H362-$F362)*24,0))</f>
        <v/>
      </c>
      <c r="M362" s="58">
        <f>IF(OR($A362="",$F362=""),"",IF(AND(احتساب_العمل_الإضافي="نعم",OR($N362="حاضر",$N362="دوام جزئي"),$F362&gt;$H362,($F362-$H362)*24*60&gt;=حد_العمل_الإضافي_دقيقة),($F362-$H362)*24,0))</f>
        <v/>
      </c>
      <c r="N362" s="47" t="n"/>
      <c r="O362" s="47" t="n"/>
      <c r="Q362">
        <f>IF(AND(ISNUMBER($K362),$K362&gt;0),SUMPRODUCT(ISNUMBER($K$3:$K$502)*($K$3:$K$502&gt;0)*(ROW($K$3:$K$502)&lt;=ROW())),"")</f>
        <v/>
      </c>
    </row>
    <row r="363">
      <c r="A363" s="40" t="n"/>
      <c r="B363" s="43">
        <f>IFERROR(INDEX(الموظفون_الاسم,MATCH($A363,الموظفون_الرقم,0)),"")</f>
        <v/>
      </c>
      <c r="C363" s="110" t="n"/>
      <c r="D363" s="43">
        <f>IF($C363="","",IFERROR(INDEX(قائمة_أيام_الأسبوع,WEEKDAY($C363,1)),""))</f>
        <v/>
      </c>
      <c r="E363" s="114" t="n"/>
      <c r="F363" s="114" t="n"/>
      <c r="G363" s="115">
        <f>IF($A363="","",بداية_الدوام)</f>
        <v/>
      </c>
      <c r="H363" s="115">
        <f>IF($A363="","",نهاية_الدوام)</f>
        <v/>
      </c>
      <c r="I363" s="55">
        <f>IF($A363="","",مدة_الاستراحة/60)</f>
        <v/>
      </c>
      <c r="J363" s="55">
        <f>IF(OR($A363="",$E363="",$F363=""),"",IF(OR($N363="حاضر",$N363="دوام جزئي"),MAX(0,MOD($F363-$E363,1)*24-$I363),0))</f>
        <v/>
      </c>
      <c r="K363" s="55">
        <f>IF(OR($A363="",$E363=""),"",IF(AND(احتساب_التأخير="نعم",OR($N363="حاضر",$N363="دوام جزئي"),$E363&gt;$G363+دقائق_السماح/1440),($E363-$G363-دقائق_السماح/1440)*24,0))</f>
        <v/>
      </c>
      <c r="L363" s="55">
        <f>IF(OR($A363="",$F363=""),"",IF(AND(OR($N363="حاضر",$N363="دوام جزئي"),$F363&lt;$H363),($H363-$F363)*24,0))</f>
        <v/>
      </c>
      <c r="M363" s="55">
        <f>IF(OR($A363="",$F363=""),"",IF(AND(احتساب_العمل_الإضافي="نعم",OR($N363="حاضر",$N363="دوام جزئي"),$F363&gt;$H363,($F363-$H363)*24*60&gt;=حد_العمل_الإضافي_دقيقة),($F363-$H363)*24,0))</f>
        <v/>
      </c>
      <c r="N363" s="40" t="n"/>
      <c r="O363" s="40" t="n"/>
      <c r="Q363">
        <f>IF(AND(ISNUMBER($K363),$K363&gt;0),SUMPRODUCT(ISNUMBER($K$3:$K$502)*($K$3:$K$502&gt;0)*(ROW($K$3:$K$502)&lt;=ROW())),"")</f>
        <v/>
      </c>
    </row>
    <row r="364">
      <c r="A364" s="47" t="n"/>
      <c r="B364" s="50">
        <f>IFERROR(INDEX(الموظفون_الاسم,MATCH($A364,الموظفون_الرقم,0)),"")</f>
        <v/>
      </c>
      <c r="C364" s="112" t="n"/>
      <c r="D364" s="50">
        <f>IF($C364="","",IFERROR(INDEX(قائمة_أيام_الأسبوع,WEEKDAY($C364,1)),""))</f>
        <v/>
      </c>
      <c r="E364" s="116" t="n"/>
      <c r="F364" s="116" t="n"/>
      <c r="G364" s="117">
        <f>IF($A364="","",بداية_الدوام)</f>
        <v/>
      </c>
      <c r="H364" s="117">
        <f>IF($A364="","",نهاية_الدوام)</f>
        <v/>
      </c>
      <c r="I364" s="58">
        <f>IF($A364="","",مدة_الاستراحة/60)</f>
        <v/>
      </c>
      <c r="J364" s="58">
        <f>IF(OR($A364="",$E364="",$F364=""),"",IF(OR($N364="حاضر",$N364="دوام جزئي"),MAX(0,MOD($F364-$E364,1)*24-$I364),0))</f>
        <v/>
      </c>
      <c r="K364" s="58">
        <f>IF(OR($A364="",$E364=""),"",IF(AND(احتساب_التأخير="نعم",OR($N364="حاضر",$N364="دوام جزئي"),$E364&gt;$G364+دقائق_السماح/1440),($E364-$G364-دقائق_السماح/1440)*24,0))</f>
        <v/>
      </c>
      <c r="L364" s="58">
        <f>IF(OR($A364="",$F364=""),"",IF(AND(OR($N364="حاضر",$N364="دوام جزئي"),$F364&lt;$H364),($H364-$F364)*24,0))</f>
        <v/>
      </c>
      <c r="M364" s="58">
        <f>IF(OR($A364="",$F364=""),"",IF(AND(احتساب_العمل_الإضافي="نعم",OR($N364="حاضر",$N364="دوام جزئي"),$F364&gt;$H364,($F364-$H364)*24*60&gt;=حد_العمل_الإضافي_دقيقة),($F364-$H364)*24,0))</f>
        <v/>
      </c>
      <c r="N364" s="47" t="n"/>
      <c r="O364" s="47" t="n"/>
      <c r="Q364">
        <f>IF(AND(ISNUMBER($K364),$K364&gt;0),SUMPRODUCT(ISNUMBER($K$3:$K$502)*($K$3:$K$502&gt;0)*(ROW($K$3:$K$502)&lt;=ROW())),"")</f>
        <v/>
      </c>
    </row>
    <row r="365">
      <c r="A365" s="40" t="n"/>
      <c r="B365" s="43">
        <f>IFERROR(INDEX(الموظفون_الاسم,MATCH($A365,الموظفون_الرقم,0)),"")</f>
        <v/>
      </c>
      <c r="C365" s="110" t="n"/>
      <c r="D365" s="43">
        <f>IF($C365="","",IFERROR(INDEX(قائمة_أيام_الأسبوع,WEEKDAY($C365,1)),""))</f>
        <v/>
      </c>
      <c r="E365" s="114" t="n"/>
      <c r="F365" s="114" t="n"/>
      <c r="G365" s="115">
        <f>IF($A365="","",بداية_الدوام)</f>
        <v/>
      </c>
      <c r="H365" s="115">
        <f>IF($A365="","",نهاية_الدوام)</f>
        <v/>
      </c>
      <c r="I365" s="55">
        <f>IF($A365="","",مدة_الاستراحة/60)</f>
        <v/>
      </c>
      <c r="J365" s="55">
        <f>IF(OR($A365="",$E365="",$F365=""),"",IF(OR($N365="حاضر",$N365="دوام جزئي"),MAX(0,MOD($F365-$E365,1)*24-$I365),0))</f>
        <v/>
      </c>
      <c r="K365" s="55">
        <f>IF(OR($A365="",$E365=""),"",IF(AND(احتساب_التأخير="نعم",OR($N365="حاضر",$N365="دوام جزئي"),$E365&gt;$G365+دقائق_السماح/1440),($E365-$G365-دقائق_السماح/1440)*24,0))</f>
        <v/>
      </c>
      <c r="L365" s="55">
        <f>IF(OR($A365="",$F365=""),"",IF(AND(OR($N365="حاضر",$N365="دوام جزئي"),$F365&lt;$H365),($H365-$F365)*24,0))</f>
        <v/>
      </c>
      <c r="M365" s="55">
        <f>IF(OR($A365="",$F365=""),"",IF(AND(احتساب_العمل_الإضافي="نعم",OR($N365="حاضر",$N365="دوام جزئي"),$F365&gt;$H365,($F365-$H365)*24*60&gt;=حد_العمل_الإضافي_دقيقة),($F365-$H365)*24,0))</f>
        <v/>
      </c>
      <c r="N365" s="40" t="n"/>
      <c r="O365" s="40" t="n"/>
      <c r="Q365">
        <f>IF(AND(ISNUMBER($K365),$K365&gt;0),SUMPRODUCT(ISNUMBER($K$3:$K$502)*($K$3:$K$502&gt;0)*(ROW($K$3:$K$502)&lt;=ROW())),"")</f>
        <v/>
      </c>
    </row>
    <row r="366">
      <c r="A366" s="47" t="n"/>
      <c r="B366" s="50">
        <f>IFERROR(INDEX(الموظفون_الاسم,MATCH($A366,الموظفون_الرقم,0)),"")</f>
        <v/>
      </c>
      <c r="C366" s="112" t="n"/>
      <c r="D366" s="50">
        <f>IF($C366="","",IFERROR(INDEX(قائمة_أيام_الأسبوع,WEEKDAY($C366,1)),""))</f>
        <v/>
      </c>
      <c r="E366" s="116" t="n"/>
      <c r="F366" s="116" t="n"/>
      <c r="G366" s="117">
        <f>IF($A366="","",بداية_الدوام)</f>
        <v/>
      </c>
      <c r="H366" s="117">
        <f>IF($A366="","",نهاية_الدوام)</f>
        <v/>
      </c>
      <c r="I366" s="58">
        <f>IF($A366="","",مدة_الاستراحة/60)</f>
        <v/>
      </c>
      <c r="J366" s="58">
        <f>IF(OR($A366="",$E366="",$F366=""),"",IF(OR($N366="حاضر",$N366="دوام جزئي"),MAX(0,MOD($F366-$E366,1)*24-$I366),0))</f>
        <v/>
      </c>
      <c r="K366" s="58">
        <f>IF(OR($A366="",$E366=""),"",IF(AND(احتساب_التأخير="نعم",OR($N366="حاضر",$N366="دوام جزئي"),$E366&gt;$G366+دقائق_السماح/1440),($E366-$G366-دقائق_السماح/1440)*24,0))</f>
        <v/>
      </c>
      <c r="L366" s="58">
        <f>IF(OR($A366="",$F366=""),"",IF(AND(OR($N366="حاضر",$N366="دوام جزئي"),$F366&lt;$H366),($H366-$F366)*24,0))</f>
        <v/>
      </c>
      <c r="M366" s="58">
        <f>IF(OR($A366="",$F366=""),"",IF(AND(احتساب_العمل_الإضافي="نعم",OR($N366="حاضر",$N366="دوام جزئي"),$F366&gt;$H366,($F366-$H366)*24*60&gt;=حد_العمل_الإضافي_دقيقة),($F366-$H366)*24,0))</f>
        <v/>
      </c>
      <c r="N366" s="47" t="n"/>
      <c r="O366" s="47" t="n"/>
      <c r="Q366">
        <f>IF(AND(ISNUMBER($K366),$K366&gt;0),SUMPRODUCT(ISNUMBER($K$3:$K$502)*($K$3:$K$502&gt;0)*(ROW($K$3:$K$502)&lt;=ROW())),"")</f>
        <v/>
      </c>
    </row>
    <row r="367">
      <c r="A367" s="40" t="n"/>
      <c r="B367" s="43">
        <f>IFERROR(INDEX(الموظفون_الاسم,MATCH($A367,الموظفون_الرقم,0)),"")</f>
        <v/>
      </c>
      <c r="C367" s="110" t="n"/>
      <c r="D367" s="43">
        <f>IF($C367="","",IFERROR(INDEX(قائمة_أيام_الأسبوع,WEEKDAY($C367,1)),""))</f>
        <v/>
      </c>
      <c r="E367" s="114" t="n"/>
      <c r="F367" s="114" t="n"/>
      <c r="G367" s="115">
        <f>IF($A367="","",بداية_الدوام)</f>
        <v/>
      </c>
      <c r="H367" s="115">
        <f>IF($A367="","",نهاية_الدوام)</f>
        <v/>
      </c>
      <c r="I367" s="55">
        <f>IF($A367="","",مدة_الاستراحة/60)</f>
        <v/>
      </c>
      <c r="J367" s="55">
        <f>IF(OR($A367="",$E367="",$F367=""),"",IF(OR($N367="حاضر",$N367="دوام جزئي"),MAX(0,MOD($F367-$E367,1)*24-$I367),0))</f>
        <v/>
      </c>
      <c r="K367" s="55">
        <f>IF(OR($A367="",$E367=""),"",IF(AND(احتساب_التأخير="نعم",OR($N367="حاضر",$N367="دوام جزئي"),$E367&gt;$G367+دقائق_السماح/1440),($E367-$G367-دقائق_السماح/1440)*24,0))</f>
        <v/>
      </c>
      <c r="L367" s="55">
        <f>IF(OR($A367="",$F367=""),"",IF(AND(OR($N367="حاضر",$N367="دوام جزئي"),$F367&lt;$H367),($H367-$F367)*24,0))</f>
        <v/>
      </c>
      <c r="M367" s="55">
        <f>IF(OR($A367="",$F367=""),"",IF(AND(احتساب_العمل_الإضافي="نعم",OR($N367="حاضر",$N367="دوام جزئي"),$F367&gt;$H367,($F367-$H367)*24*60&gt;=حد_العمل_الإضافي_دقيقة),($F367-$H367)*24,0))</f>
        <v/>
      </c>
      <c r="N367" s="40" t="n"/>
      <c r="O367" s="40" t="n"/>
      <c r="Q367">
        <f>IF(AND(ISNUMBER($K367),$K367&gt;0),SUMPRODUCT(ISNUMBER($K$3:$K$502)*($K$3:$K$502&gt;0)*(ROW($K$3:$K$502)&lt;=ROW())),"")</f>
        <v/>
      </c>
    </row>
    <row r="368">
      <c r="A368" s="47" t="n"/>
      <c r="B368" s="50">
        <f>IFERROR(INDEX(الموظفون_الاسم,MATCH($A368,الموظفون_الرقم,0)),"")</f>
        <v/>
      </c>
      <c r="C368" s="112" t="n"/>
      <c r="D368" s="50">
        <f>IF($C368="","",IFERROR(INDEX(قائمة_أيام_الأسبوع,WEEKDAY($C368,1)),""))</f>
        <v/>
      </c>
      <c r="E368" s="116" t="n"/>
      <c r="F368" s="116" t="n"/>
      <c r="G368" s="117">
        <f>IF($A368="","",بداية_الدوام)</f>
        <v/>
      </c>
      <c r="H368" s="117">
        <f>IF($A368="","",نهاية_الدوام)</f>
        <v/>
      </c>
      <c r="I368" s="58">
        <f>IF($A368="","",مدة_الاستراحة/60)</f>
        <v/>
      </c>
      <c r="J368" s="58">
        <f>IF(OR($A368="",$E368="",$F368=""),"",IF(OR($N368="حاضر",$N368="دوام جزئي"),MAX(0,MOD($F368-$E368,1)*24-$I368),0))</f>
        <v/>
      </c>
      <c r="K368" s="58">
        <f>IF(OR($A368="",$E368=""),"",IF(AND(احتساب_التأخير="نعم",OR($N368="حاضر",$N368="دوام جزئي"),$E368&gt;$G368+دقائق_السماح/1440),($E368-$G368-دقائق_السماح/1440)*24,0))</f>
        <v/>
      </c>
      <c r="L368" s="58">
        <f>IF(OR($A368="",$F368=""),"",IF(AND(OR($N368="حاضر",$N368="دوام جزئي"),$F368&lt;$H368),($H368-$F368)*24,0))</f>
        <v/>
      </c>
      <c r="M368" s="58">
        <f>IF(OR($A368="",$F368=""),"",IF(AND(احتساب_العمل_الإضافي="نعم",OR($N368="حاضر",$N368="دوام جزئي"),$F368&gt;$H368,($F368-$H368)*24*60&gt;=حد_العمل_الإضافي_دقيقة),($F368-$H368)*24,0))</f>
        <v/>
      </c>
      <c r="N368" s="47" t="n"/>
      <c r="O368" s="47" t="n"/>
      <c r="Q368">
        <f>IF(AND(ISNUMBER($K368),$K368&gt;0),SUMPRODUCT(ISNUMBER($K$3:$K$502)*($K$3:$K$502&gt;0)*(ROW($K$3:$K$502)&lt;=ROW())),"")</f>
        <v/>
      </c>
    </row>
    <row r="369">
      <c r="A369" s="40" t="n"/>
      <c r="B369" s="43">
        <f>IFERROR(INDEX(الموظفون_الاسم,MATCH($A369,الموظفون_الرقم,0)),"")</f>
        <v/>
      </c>
      <c r="C369" s="110" t="n"/>
      <c r="D369" s="43">
        <f>IF($C369="","",IFERROR(INDEX(قائمة_أيام_الأسبوع,WEEKDAY($C369,1)),""))</f>
        <v/>
      </c>
      <c r="E369" s="114" t="n"/>
      <c r="F369" s="114" t="n"/>
      <c r="G369" s="115">
        <f>IF($A369="","",بداية_الدوام)</f>
        <v/>
      </c>
      <c r="H369" s="115">
        <f>IF($A369="","",نهاية_الدوام)</f>
        <v/>
      </c>
      <c r="I369" s="55">
        <f>IF($A369="","",مدة_الاستراحة/60)</f>
        <v/>
      </c>
      <c r="J369" s="55">
        <f>IF(OR($A369="",$E369="",$F369=""),"",IF(OR($N369="حاضر",$N369="دوام جزئي"),MAX(0,MOD($F369-$E369,1)*24-$I369),0))</f>
        <v/>
      </c>
      <c r="K369" s="55">
        <f>IF(OR($A369="",$E369=""),"",IF(AND(احتساب_التأخير="نعم",OR($N369="حاضر",$N369="دوام جزئي"),$E369&gt;$G369+دقائق_السماح/1440),($E369-$G369-دقائق_السماح/1440)*24,0))</f>
        <v/>
      </c>
      <c r="L369" s="55">
        <f>IF(OR($A369="",$F369=""),"",IF(AND(OR($N369="حاضر",$N369="دوام جزئي"),$F369&lt;$H369),($H369-$F369)*24,0))</f>
        <v/>
      </c>
      <c r="M369" s="55">
        <f>IF(OR($A369="",$F369=""),"",IF(AND(احتساب_العمل_الإضافي="نعم",OR($N369="حاضر",$N369="دوام جزئي"),$F369&gt;$H369,($F369-$H369)*24*60&gt;=حد_العمل_الإضافي_دقيقة),($F369-$H369)*24,0))</f>
        <v/>
      </c>
      <c r="N369" s="40" t="n"/>
      <c r="O369" s="40" t="n"/>
      <c r="Q369">
        <f>IF(AND(ISNUMBER($K369),$K369&gt;0),SUMPRODUCT(ISNUMBER($K$3:$K$502)*($K$3:$K$502&gt;0)*(ROW($K$3:$K$502)&lt;=ROW())),"")</f>
        <v/>
      </c>
    </row>
    <row r="370">
      <c r="A370" s="47" t="n"/>
      <c r="B370" s="50">
        <f>IFERROR(INDEX(الموظفون_الاسم,MATCH($A370,الموظفون_الرقم,0)),"")</f>
        <v/>
      </c>
      <c r="C370" s="112" t="n"/>
      <c r="D370" s="50">
        <f>IF($C370="","",IFERROR(INDEX(قائمة_أيام_الأسبوع,WEEKDAY($C370,1)),""))</f>
        <v/>
      </c>
      <c r="E370" s="116" t="n"/>
      <c r="F370" s="116" t="n"/>
      <c r="G370" s="117">
        <f>IF($A370="","",بداية_الدوام)</f>
        <v/>
      </c>
      <c r="H370" s="117">
        <f>IF($A370="","",نهاية_الدوام)</f>
        <v/>
      </c>
      <c r="I370" s="58">
        <f>IF($A370="","",مدة_الاستراحة/60)</f>
        <v/>
      </c>
      <c r="J370" s="58">
        <f>IF(OR($A370="",$E370="",$F370=""),"",IF(OR($N370="حاضر",$N370="دوام جزئي"),MAX(0,MOD($F370-$E370,1)*24-$I370),0))</f>
        <v/>
      </c>
      <c r="K370" s="58">
        <f>IF(OR($A370="",$E370=""),"",IF(AND(احتساب_التأخير="نعم",OR($N370="حاضر",$N370="دوام جزئي"),$E370&gt;$G370+دقائق_السماح/1440),($E370-$G370-دقائق_السماح/1440)*24,0))</f>
        <v/>
      </c>
      <c r="L370" s="58">
        <f>IF(OR($A370="",$F370=""),"",IF(AND(OR($N370="حاضر",$N370="دوام جزئي"),$F370&lt;$H370),($H370-$F370)*24,0))</f>
        <v/>
      </c>
      <c r="M370" s="58">
        <f>IF(OR($A370="",$F370=""),"",IF(AND(احتساب_العمل_الإضافي="نعم",OR($N370="حاضر",$N370="دوام جزئي"),$F370&gt;$H370,($F370-$H370)*24*60&gt;=حد_العمل_الإضافي_دقيقة),($F370-$H370)*24,0))</f>
        <v/>
      </c>
      <c r="N370" s="47" t="n"/>
      <c r="O370" s="47" t="n"/>
      <c r="Q370">
        <f>IF(AND(ISNUMBER($K370),$K370&gt;0),SUMPRODUCT(ISNUMBER($K$3:$K$502)*($K$3:$K$502&gt;0)*(ROW($K$3:$K$502)&lt;=ROW())),"")</f>
        <v/>
      </c>
    </row>
    <row r="371">
      <c r="A371" s="40" t="n"/>
      <c r="B371" s="43">
        <f>IFERROR(INDEX(الموظفون_الاسم,MATCH($A371,الموظفون_الرقم,0)),"")</f>
        <v/>
      </c>
      <c r="C371" s="110" t="n"/>
      <c r="D371" s="43">
        <f>IF($C371="","",IFERROR(INDEX(قائمة_أيام_الأسبوع,WEEKDAY($C371,1)),""))</f>
        <v/>
      </c>
      <c r="E371" s="114" t="n"/>
      <c r="F371" s="114" t="n"/>
      <c r="G371" s="115">
        <f>IF($A371="","",بداية_الدوام)</f>
        <v/>
      </c>
      <c r="H371" s="115">
        <f>IF($A371="","",نهاية_الدوام)</f>
        <v/>
      </c>
      <c r="I371" s="55">
        <f>IF($A371="","",مدة_الاستراحة/60)</f>
        <v/>
      </c>
      <c r="J371" s="55">
        <f>IF(OR($A371="",$E371="",$F371=""),"",IF(OR($N371="حاضر",$N371="دوام جزئي"),MAX(0,MOD($F371-$E371,1)*24-$I371),0))</f>
        <v/>
      </c>
      <c r="K371" s="55">
        <f>IF(OR($A371="",$E371=""),"",IF(AND(احتساب_التأخير="نعم",OR($N371="حاضر",$N371="دوام جزئي"),$E371&gt;$G371+دقائق_السماح/1440),($E371-$G371-دقائق_السماح/1440)*24,0))</f>
        <v/>
      </c>
      <c r="L371" s="55">
        <f>IF(OR($A371="",$F371=""),"",IF(AND(OR($N371="حاضر",$N371="دوام جزئي"),$F371&lt;$H371),($H371-$F371)*24,0))</f>
        <v/>
      </c>
      <c r="M371" s="55">
        <f>IF(OR($A371="",$F371=""),"",IF(AND(احتساب_العمل_الإضافي="نعم",OR($N371="حاضر",$N371="دوام جزئي"),$F371&gt;$H371,($F371-$H371)*24*60&gt;=حد_العمل_الإضافي_دقيقة),($F371-$H371)*24,0))</f>
        <v/>
      </c>
      <c r="N371" s="40" t="n"/>
      <c r="O371" s="40" t="n"/>
      <c r="Q371">
        <f>IF(AND(ISNUMBER($K371),$K371&gt;0),SUMPRODUCT(ISNUMBER($K$3:$K$502)*($K$3:$K$502&gt;0)*(ROW($K$3:$K$502)&lt;=ROW())),"")</f>
        <v/>
      </c>
    </row>
    <row r="372">
      <c r="A372" s="47" t="n"/>
      <c r="B372" s="50">
        <f>IFERROR(INDEX(الموظفون_الاسم,MATCH($A372,الموظفون_الرقم,0)),"")</f>
        <v/>
      </c>
      <c r="C372" s="112" t="n"/>
      <c r="D372" s="50">
        <f>IF($C372="","",IFERROR(INDEX(قائمة_أيام_الأسبوع,WEEKDAY($C372,1)),""))</f>
        <v/>
      </c>
      <c r="E372" s="116" t="n"/>
      <c r="F372" s="116" t="n"/>
      <c r="G372" s="117">
        <f>IF($A372="","",بداية_الدوام)</f>
        <v/>
      </c>
      <c r="H372" s="117">
        <f>IF($A372="","",نهاية_الدوام)</f>
        <v/>
      </c>
      <c r="I372" s="58">
        <f>IF($A372="","",مدة_الاستراحة/60)</f>
        <v/>
      </c>
      <c r="J372" s="58">
        <f>IF(OR($A372="",$E372="",$F372=""),"",IF(OR($N372="حاضر",$N372="دوام جزئي"),MAX(0,MOD($F372-$E372,1)*24-$I372),0))</f>
        <v/>
      </c>
      <c r="K372" s="58">
        <f>IF(OR($A372="",$E372=""),"",IF(AND(احتساب_التأخير="نعم",OR($N372="حاضر",$N372="دوام جزئي"),$E372&gt;$G372+دقائق_السماح/1440),($E372-$G372-دقائق_السماح/1440)*24,0))</f>
        <v/>
      </c>
      <c r="L372" s="58">
        <f>IF(OR($A372="",$F372=""),"",IF(AND(OR($N372="حاضر",$N372="دوام جزئي"),$F372&lt;$H372),($H372-$F372)*24,0))</f>
        <v/>
      </c>
      <c r="M372" s="58">
        <f>IF(OR($A372="",$F372=""),"",IF(AND(احتساب_العمل_الإضافي="نعم",OR($N372="حاضر",$N372="دوام جزئي"),$F372&gt;$H372,($F372-$H372)*24*60&gt;=حد_العمل_الإضافي_دقيقة),($F372-$H372)*24,0))</f>
        <v/>
      </c>
      <c r="N372" s="47" t="n"/>
      <c r="O372" s="47" t="n"/>
      <c r="Q372">
        <f>IF(AND(ISNUMBER($K372),$K372&gt;0),SUMPRODUCT(ISNUMBER($K$3:$K$502)*($K$3:$K$502&gt;0)*(ROW($K$3:$K$502)&lt;=ROW())),"")</f>
        <v/>
      </c>
    </row>
    <row r="373">
      <c r="A373" s="40" t="n"/>
      <c r="B373" s="43">
        <f>IFERROR(INDEX(الموظفون_الاسم,MATCH($A373,الموظفون_الرقم,0)),"")</f>
        <v/>
      </c>
      <c r="C373" s="110" t="n"/>
      <c r="D373" s="43">
        <f>IF($C373="","",IFERROR(INDEX(قائمة_أيام_الأسبوع,WEEKDAY($C373,1)),""))</f>
        <v/>
      </c>
      <c r="E373" s="114" t="n"/>
      <c r="F373" s="114" t="n"/>
      <c r="G373" s="115">
        <f>IF($A373="","",بداية_الدوام)</f>
        <v/>
      </c>
      <c r="H373" s="115">
        <f>IF($A373="","",نهاية_الدوام)</f>
        <v/>
      </c>
      <c r="I373" s="55">
        <f>IF($A373="","",مدة_الاستراحة/60)</f>
        <v/>
      </c>
      <c r="J373" s="55">
        <f>IF(OR($A373="",$E373="",$F373=""),"",IF(OR($N373="حاضر",$N373="دوام جزئي"),MAX(0,MOD($F373-$E373,1)*24-$I373),0))</f>
        <v/>
      </c>
      <c r="K373" s="55">
        <f>IF(OR($A373="",$E373=""),"",IF(AND(احتساب_التأخير="نعم",OR($N373="حاضر",$N373="دوام جزئي"),$E373&gt;$G373+دقائق_السماح/1440),($E373-$G373-دقائق_السماح/1440)*24,0))</f>
        <v/>
      </c>
      <c r="L373" s="55">
        <f>IF(OR($A373="",$F373=""),"",IF(AND(OR($N373="حاضر",$N373="دوام جزئي"),$F373&lt;$H373),($H373-$F373)*24,0))</f>
        <v/>
      </c>
      <c r="M373" s="55">
        <f>IF(OR($A373="",$F373=""),"",IF(AND(احتساب_العمل_الإضافي="نعم",OR($N373="حاضر",$N373="دوام جزئي"),$F373&gt;$H373,($F373-$H373)*24*60&gt;=حد_العمل_الإضافي_دقيقة),($F373-$H373)*24,0))</f>
        <v/>
      </c>
      <c r="N373" s="40" t="n"/>
      <c r="O373" s="40" t="n"/>
      <c r="Q373">
        <f>IF(AND(ISNUMBER($K373),$K373&gt;0),SUMPRODUCT(ISNUMBER($K$3:$K$502)*($K$3:$K$502&gt;0)*(ROW($K$3:$K$502)&lt;=ROW())),"")</f>
        <v/>
      </c>
    </row>
    <row r="374">
      <c r="A374" s="47" t="n"/>
      <c r="B374" s="50">
        <f>IFERROR(INDEX(الموظفون_الاسم,MATCH($A374,الموظفون_الرقم,0)),"")</f>
        <v/>
      </c>
      <c r="C374" s="112" t="n"/>
      <c r="D374" s="50">
        <f>IF($C374="","",IFERROR(INDEX(قائمة_أيام_الأسبوع,WEEKDAY($C374,1)),""))</f>
        <v/>
      </c>
      <c r="E374" s="116" t="n"/>
      <c r="F374" s="116" t="n"/>
      <c r="G374" s="117">
        <f>IF($A374="","",بداية_الدوام)</f>
        <v/>
      </c>
      <c r="H374" s="117">
        <f>IF($A374="","",نهاية_الدوام)</f>
        <v/>
      </c>
      <c r="I374" s="58">
        <f>IF($A374="","",مدة_الاستراحة/60)</f>
        <v/>
      </c>
      <c r="J374" s="58">
        <f>IF(OR($A374="",$E374="",$F374=""),"",IF(OR($N374="حاضر",$N374="دوام جزئي"),MAX(0,MOD($F374-$E374,1)*24-$I374),0))</f>
        <v/>
      </c>
      <c r="K374" s="58">
        <f>IF(OR($A374="",$E374=""),"",IF(AND(احتساب_التأخير="نعم",OR($N374="حاضر",$N374="دوام جزئي"),$E374&gt;$G374+دقائق_السماح/1440),($E374-$G374-دقائق_السماح/1440)*24,0))</f>
        <v/>
      </c>
      <c r="L374" s="58">
        <f>IF(OR($A374="",$F374=""),"",IF(AND(OR($N374="حاضر",$N374="دوام جزئي"),$F374&lt;$H374),($H374-$F374)*24,0))</f>
        <v/>
      </c>
      <c r="M374" s="58">
        <f>IF(OR($A374="",$F374=""),"",IF(AND(احتساب_العمل_الإضافي="نعم",OR($N374="حاضر",$N374="دوام جزئي"),$F374&gt;$H374,($F374-$H374)*24*60&gt;=حد_العمل_الإضافي_دقيقة),($F374-$H374)*24,0))</f>
        <v/>
      </c>
      <c r="N374" s="47" t="n"/>
      <c r="O374" s="47" t="n"/>
      <c r="Q374">
        <f>IF(AND(ISNUMBER($K374),$K374&gt;0),SUMPRODUCT(ISNUMBER($K$3:$K$502)*($K$3:$K$502&gt;0)*(ROW($K$3:$K$502)&lt;=ROW())),"")</f>
        <v/>
      </c>
    </row>
    <row r="375">
      <c r="A375" s="40" t="n"/>
      <c r="B375" s="43">
        <f>IFERROR(INDEX(الموظفون_الاسم,MATCH($A375,الموظفون_الرقم,0)),"")</f>
        <v/>
      </c>
      <c r="C375" s="110" t="n"/>
      <c r="D375" s="43">
        <f>IF($C375="","",IFERROR(INDEX(قائمة_أيام_الأسبوع,WEEKDAY($C375,1)),""))</f>
        <v/>
      </c>
      <c r="E375" s="114" t="n"/>
      <c r="F375" s="114" t="n"/>
      <c r="G375" s="115">
        <f>IF($A375="","",بداية_الدوام)</f>
        <v/>
      </c>
      <c r="H375" s="115">
        <f>IF($A375="","",نهاية_الدوام)</f>
        <v/>
      </c>
      <c r="I375" s="55">
        <f>IF($A375="","",مدة_الاستراحة/60)</f>
        <v/>
      </c>
      <c r="J375" s="55">
        <f>IF(OR($A375="",$E375="",$F375=""),"",IF(OR($N375="حاضر",$N375="دوام جزئي"),MAX(0,MOD($F375-$E375,1)*24-$I375),0))</f>
        <v/>
      </c>
      <c r="K375" s="55">
        <f>IF(OR($A375="",$E375=""),"",IF(AND(احتساب_التأخير="نعم",OR($N375="حاضر",$N375="دوام جزئي"),$E375&gt;$G375+دقائق_السماح/1440),($E375-$G375-دقائق_السماح/1440)*24,0))</f>
        <v/>
      </c>
      <c r="L375" s="55">
        <f>IF(OR($A375="",$F375=""),"",IF(AND(OR($N375="حاضر",$N375="دوام جزئي"),$F375&lt;$H375),($H375-$F375)*24,0))</f>
        <v/>
      </c>
      <c r="M375" s="55">
        <f>IF(OR($A375="",$F375=""),"",IF(AND(احتساب_العمل_الإضافي="نعم",OR($N375="حاضر",$N375="دوام جزئي"),$F375&gt;$H375,($F375-$H375)*24*60&gt;=حد_العمل_الإضافي_دقيقة),($F375-$H375)*24,0))</f>
        <v/>
      </c>
      <c r="N375" s="40" t="n"/>
      <c r="O375" s="40" t="n"/>
      <c r="Q375">
        <f>IF(AND(ISNUMBER($K375),$K375&gt;0),SUMPRODUCT(ISNUMBER($K$3:$K$502)*($K$3:$K$502&gt;0)*(ROW($K$3:$K$502)&lt;=ROW())),"")</f>
        <v/>
      </c>
    </row>
    <row r="376">
      <c r="A376" s="47" t="n"/>
      <c r="B376" s="50">
        <f>IFERROR(INDEX(الموظفون_الاسم,MATCH($A376,الموظفون_الرقم,0)),"")</f>
        <v/>
      </c>
      <c r="C376" s="112" t="n"/>
      <c r="D376" s="50">
        <f>IF($C376="","",IFERROR(INDEX(قائمة_أيام_الأسبوع,WEEKDAY($C376,1)),""))</f>
        <v/>
      </c>
      <c r="E376" s="116" t="n"/>
      <c r="F376" s="116" t="n"/>
      <c r="G376" s="117">
        <f>IF($A376="","",بداية_الدوام)</f>
        <v/>
      </c>
      <c r="H376" s="117">
        <f>IF($A376="","",نهاية_الدوام)</f>
        <v/>
      </c>
      <c r="I376" s="58">
        <f>IF($A376="","",مدة_الاستراحة/60)</f>
        <v/>
      </c>
      <c r="J376" s="58">
        <f>IF(OR($A376="",$E376="",$F376=""),"",IF(OR($N376="حاضر",$N376="دوام جزئي"),MAX(0,MOD($F376-$E376,1)*24-$I376),0))</f>
        <v/>
      </c>
      <c r="K376" s="58">
        <f>IF(OR($A376="",$E376=""),"",IF(AND(احتساب_التأخير="نعم",OR($N376="حاضر",$N376="دوام جزئي"),$E376&gt;$G376+دقائق_السماح/1440),($E376-$G376-دقائق_السماح/1440)*24,0))</f>
        <v/>
      </c>
      <c r="L376" s="58">
        <f>IF(OR($A376="",$F376=""),"",IF(AND(OR($N376="حاضر",$N376="دوام جزئي"),$F376&lt;$H376),($H376-$F376)*24,0))</f>
        <v/>
      </c>
      <c r="M376" s="58">
        <f>IF(OR($A376="",$F376=""),"",IF(AND(احتساب_العمل_الإضافي="نعم",OR($N376="حاضر",$N376="دوام جزئي"),$F376&gt;$H376,($F376-$H376)*24*60&gt;=حد_العمل_الإضافي_دقيقة),($F376-$H376)*24,0))</f>
        <v/>
      </c>
      <c r="N376" s="47" t="n"/>
      <c r="O376" s="47" t="n"/>
      <c r="Q376">
        <f>IF(AND(ISNUMBER($K376),$K376&gt;0),SUMPRODUCT(ISNUMBER($K$3:$K$502)*($K$3:$K$502&gt;0)*(ROW($K$3:$K$502)&lt;=ROW())),"")</f>
        <v/>
      </c>
    </row>
    <row r="377">
      <c r="A377" s="40" t="n"/>
      <c r="B377" s="43">
        <f>IFERROR(INDEX(الموظفون_الاسم,MATCH($A377,الموظفون_الرقم,0)),"")</f>
        <v/>
      </c>
      <c r="C377" s="110" t="n"/>
      <c r="D377" s="43">
        <f>IF($C377="","",IFERROR(INDEX(قائمة_أيام_الأسبوع,WEEKDAY($C377,1)),""))</f>
        <v/>
      </c>
      <c r="E377" s="114" t="n"/>
      <c r="F377" s="114" t="n"/>
      <c r="G377" s="115">
        <f>IF($A377="","",بداية_الدوام)</f>
        <v/>
      </c>
      <c r="H377" s="115">
        <f>IF($A377="","",نهاية_الدوام)</f>
        <v/>
      </c>
      <c r="I377" s="55">
        <f>IF($A377="","",مدة_الاستراحة/60)</f>
        <v/>
      </c>
      <c r="J377" s="55">
        <f>IF(OR($A377="",$E377="",$F377=""),"",IF(OR($N377="حاضر",$N377="دوام جزئي"),MAX(0,MOD($F377-$E377,1)*24-$I377),0))</f>
        <v/>
      </c>
      <c r="K377" s="55">
        <f>IF(OR($A377="",$E377=""),"",IF(AND(احتساب_التأخير="نعم",OR($N377="حاضر",$N377="دوام جزئي"),$E377&gt;$G377+دقائق_السماح/1440),($E377-$G377-دقائق_السماح/1440)*24,0))</f>
        <v/>
      </c>
      <c r="L377" s="55">
        <f>IF(OR($A377="",$F377=""),"",IF(AND(OR($N377="حاضر",$N377="دوام جزئي"),$F377&lt;$H377),($H377-$F377)*24,0))</f>
        <v/>
      </c>
      <c r="M377" s="55">
        <f>IF(OR($A377="",$F377=""),"",IF(AND(احتساب_العمل_الإضافي="نعم",OR($N377="حاضر",$N377="دوام جزئي"),$F377&gt;$H377,($F377-$H377)*24*60&gt;=حد_العمل_الإضافي_دقيقة),($F377-$H377)*24,0))</f>
        <v/>
      </c>
      <c r="N377" s="40" t="n"/>
      <c r="O377" s="40" t="n"/>
      <c r="Q377">
        <f>IF(AND(ISNUMBER($K377),$K377&gt;0),SUMPRODUCT(ISNUMBER($K$3:$K$502)*($K$3:$K$502&gt;0)*(ROW($K$3:$K$502)&lt;=ROW())),"")</f>
        <v/>
      </c>
    </row>
    <row r="378">
      <c r="A378" s="47" t="n"/>
      <c r="B378" s="50">
        <f>IFERROR(INDEX(الموظفون_الاسم,MATCH($A378,الموظفون_الرقم,0)),"")</f>
        <v/>
      </c>
      <c r="C378" s="112" t="n"/>
      <c r="D378" s="50">
        <f>IF($C378="","",IFERROR(INDEX(قائمة_أيام_الأسبوع,WEEKDAY($C378,1)),""))</f>
        <v/>
      </c>
      <c r="E378" s="116" t="n"/>
      <c r="F378" s="116" t="n"/>
      <c r="G378" s="117">
        <f>IF($A378="","",بداية_الدوام)</f>
        <v/>
      </c>
      <c r="H378" s="117">
        <f>IF($A378="","",نهاية_الدوام)</f>
        <v/>
      </c>
      <c r="I378" s="58">
        <f>IF($A378="","",مدة_الاستراحة/60)</f>
        <v/>
      </c>
      <c r="J378" s="58">
        <f>IF(OR($A378="",$E378="",$F378=""),"",IF(OR($N378="حاضر",$N378="دوام جزئي"),MAX(0,MOD($F378-$E378,1)*24-$I378),0))</f>
        <v/>
      </c>
      <c r="K378" s="58">
        <f>IF(OR($A378="",$E378=""),"",IF(AND(احتساب_التأخير="نعم",OR($N378="حاضر",$N378="دوام جزئي"),$E378&gt;$G378+دقائق_السماح/1440),($E378-$G378-دقائق_السماح/1440)*24,0))</f>
        <v/>
      </c>
      <c r="L378" s="58">
        <f>IF(OR($A378="",$F378=""),"",IF(AND(OR($N378="حاضر",$N378="دوام جزئي"),$F378&lt;$H378),($H378-$F378)*24,0))</f>
        <v/>
      </c>
      <c r="M378" s="58">
        <f>IF(OR($A378="",$F378=""),"",IF(AND(احتساب_العمل_الإضافي="نعم",OR($N378="حاضر",$N378="دوام جزئي"),$F378&gt;$H378,($F378-$H378)*24*60&gt;=حد_العمل_الإضافي_دقيقة),($F378-$H378)*24,0))</f>
        <v/>
      </c>
      <c r="N378" s="47" t="n"/>
      <c r="O378" s="47" t="n"/>
      <c r="Q378">
        <f>IF(AND(ISNUMBER($K378),$K378&gt;0),SUMPRODUCT(ISNUMBER($K$3:$K$502)*($K$3:$K$502&gt;0)*(ROW($K$3:$K$502)&lt;=ROW())),"")</f>
        <v/>
      </c>
    </row>
    <row r="379">
      <c r="A379" s="40" t="n"/>
      <c r="B379" s="43">
        <f>IFERROR(INDEX(الموظفون_الاسم,MATCH($A379,الموظفون_الرقم,0)),"")</f>
        <v/>
      </c>
      <c r="C379" s="110" t="n"/>
      <c r="D379" s="43">
        <f>IF($C379="","",IFERROR(INDEX(قائمة_أيام_الأسبوع,WEEKDAY($C379,1)),""))</f>
        <v/>
      </c>
      <c r="E379" s="114" t="n"/>
      <c r="F379" s="114" t="n"/>
      <c r="G379" s="115">
        <f>IF($A379="","",بداية_الدوام)</f>
        <v/>
      </c>
      <c r="H379" s="115">
        <f>IF($A379="","",نهاية_الدوام)</f>
        <v/>
      </c>
      <c r="I379" s="55">
        <f>IF($A379="","",مدة_الاستراحة/60)</f>
        <v/>
      </c>
      <c r="J379" s="55">
        <f>IF(OR($A379="",$E379="",$F379=""),"",IF(OR($N379="حاضر",$N379="دوام جزئي"),MAX(0,MOD($F379-$E379,1)*24-$I379),0))</f>
        <v/>
      </c>
      <c r="K379" s="55">
        <f>IF(OR($A379="",$E379=""),"",IF(AND(احتساب_التأخير="نعم",OR($N379="حاضر",$N379="دوام جزئي"),$E379&gt;$G379+دقائق_السماح/1440),($E379-$G379-دقائق_السماح/1440)*24,0))</f>
        <v/>
      </c>
      <c r="L379" s="55">
        <f>IF(OR($A379="",$F379=""),"",IF(AND(OR($N379="حاضر",$N379="دوام جزئي"),$F379&lt;$H379),($H379-$F379)*24,0))</f>
        <v/>
      </c>
      <c r="M379" s="55">
        <f>IF(OR($A379="",$F379=""),"",IF(AND(احتساب_العمل_الإضافي="نعم",OR($N379="حاضر",$N379="دوام جزئي"),$F379&gt;$H379,($F379-$H379)*24*60&gt;=حد_العمل_الإضافي_دقيقة),($F379-$H379)*24,0))</f>
        <v/>
      </c>
      <c r="N379" s="40" t="n"/>
      <c r="O379" s="40" t="n"/>
      <c r="Q379">
        <f>IF(AND(ISNUMBER($K379),$K379&gt;0),SUMPRODUCT(ISNUMBER($K$3:$K$502)*($K$3:$K$502&gt;0)*(ROW($K$3:$K$502)&lt;=ROW())),"")</f>
        <v/>
      </c>
    </row>
    <row r="380">
      <c r="A380" s="47" t="n"/>
      <c r="B380" s="50">
        <f>IFERROR(INDEX(الموظفون_الاسم,MATCH($A380,الموظفون_الرقم,0)),"")</f>
        <v/>
      </c>
      <c r="C380" s="112" t="n"/>
      <c r="D380" s="50">
        <f>IF($C380="","",IFERROR(INDEX(قائمة_أيام_الأسبوع,WEEKDAY($C380,1)),""))</f>
        <v/>
      </c>
      <c r="E380" s="116" t="n"/>
      <c r="F380" s="116" t="n"/>
      <c r="G380" s="117">
        <f>IF($A380="","",بداية_الدوام)</f>
        <v/>
      </c>
      <c r="H380" s="117">
        <f>IF($A380="","",نهاية_الدوام)</f>
        <v/>
      </c>
      <c r="I380" s="58">
        <f>IF($A380="","",مدة_الاستراحة/60)</f>
        <v/>
      </c>
      <c r="J380" s="58">
        <f>IF(OR($A380="",$E380="",$F380=""),"",IF(OR($N380="حاضر",$N380="دوام جزئي"),MAX(0,MOD($F380-$E380,1)*24-$I380),0))</f>
        <v/>
      </c>
      <c r="K380" s="58">
        <f>IF(OR($A380="",$E380=""),"",IF(AND(احتساب_التأخير="نعم",OR($N380="حاضر",$N380="دوام جزئي"),$E380&gt;$G380+دقائق_السماح/1440),($E380-$G380-دقائق_السماح/1440)*24,0))</f>
        <v/>
      </c>
      <c r="L380" s="58">
        <f>IF(OR($A380="",$F380=""),"",IF(AND(OR($N380="حاضر",$N380="دوام جزئي"),$F380&lt;$H380),($H380-$F380)*24,0))</f>
        <v/>
      </c>
      <c r="M380" s="58">
        <f>IF(OR($A380="",$F380=""),"",IF(AND(احتساب_العمل_الإضافي="نعم",OR($N380="حاضر",$N380="دوام جزئي"),$F380&gt;$H380,($F380-$H380)*24*60&gt;=حد_العمل_الإضافي_دقيقة),($F380-$H380)*24,0))</f>
        <v/>
      </c>
      <c r="N380" s="47" t="n"/>
      <c r="O380" s="47" t="n"/>
      <c r="Q380">
        <f>IF(AND(ISNUMBER($K380),$K380&gt;0),SUMPRODUCT(ISNUMBER($K$3:$K$502)*($K$3:$K$502&gt;0)*(ROW($K$3:$K$502)&lt;=ROW())),"")</f>
        <v/>
      </c>
    </row>
    <row r="381">
      <c r="A381" s="40" t="n"/>
      <c r="B381" s="43">
        <f>IFERROR(INDEX(الموظفون_الاسم,MATCH($A381,الموظفون_الرقم,0)),"")</f>
        <v/>
      </c>
      <c r="C381" s="110" t="n"/>
      <c r="D381" s="43">
        <f>IF($C381="","",IFERROR(INDEX(قائمة_أيام_الأسبوع,WEEKDAY($C381,1)),""))</f>
        <v/>
      </c>
      <c r="E381" s="114" t="n"/>
      <c r="F381" s="114" t="n"/>
      <c r="G381" s="115">
        <f>IF($A381="","",بداية_الدوام)</f>
        <v/>
      </c>
      <c r="H381" s="115">
        <f>IF($A381="","",نهاية_الدوام)</f>
        <v/>
      </c>
      <c r="I381" s="55">
        <f>IF($A381="","",مدة_الاستراحة/60)</f>
        <v/>
      </c>
      <c r="J381" s="55">
        <f>IF(OR($A381="",$E381="",$F381=""),"",IF(OR($N381="حاضر",$N381="دوام جزئي"),MAX(0,MOD($F381-$E381,1)*24-$I381),0))</f>
        <v/>
      </c>
      <c r="K381" s="55">
        <f>IF(OR($A381="",$E381=""),"",IF(AND(احتساب_التأخير="نعم",OR($N381="حاضر",$N381="دوام جزئي"),$E381&gt;$G381+دقائق_السماح/1440),($E381-$G381-دقائق_السماح/1440)*24,0))</f>
        <v/>
      </c>
      <c r="L381" s="55">
        <f>IF(OR($A381="",$F381=""),"",IF(AND(OR($N381="حاضر",$N381="دوام جزئي"),$F381&lt;$H381),($H381-$F381)*24,0))</f>
        <v/>
      </c>
      <c r="M381" s="55">
        <f>IF(OR($A381="",$F381=""),"",IF(AND(احتساب_العمل_الإضافي="نعم",OR($N381="حاضر",$N381="دوام جزئي"),$F381&gt;$H381,($F381-$H381)*24*60&gt;=حد_العمل_الإضافي_دقيقة),($F381-$H381)*24,0))</f>
        <v/>
      </c>
      <c r="N381" s="40" t="n"/>
      <c r="O381" s="40" t="n"/>
      <c r="Q381">
        <f>IF(AND(ISNUMBER($K381),$K381&gt;0),SUMPRODUCT(ISNUMBER($K$3:$K$502)*($K$3:$K$502&gt;0)*(ROW($K$3:$K$502)&lt;=ROW())),"")</f>
        <v/>
      </c>
    </row>
    <row r="382">
      <c r="A382" s="47" t="n"/>
      <c r="B382" s="50">
        <f>IFERROR(INDEX(الموظفون_الاسم,MATCH($A382,الموظفون_الرقم,0)),"")</f>
        <v/>
      </c>
      <c r="C382" s="112" t="n"/>
      <c r="D382" s="50">
        <f>IF($C382="","",IFERROR(INDEX(قائمة_أيام_الأسبوع,WEEKDAY($C382,1)),""))</f>
        <v/>
      </c>
      <c r="E382" s="116" t="n"/>
      <c r="F382" s="116" t="n"/>
      <c r="G382" s="117">
        <f>IF($A382="","",بداية_الدوام)</f>
        <v/>
      </c>
      <c r="H382" s="117">
        <f>IF($A382="","",نهاية_الدوام)</f>
        <v/>
      </c>
      <c r="I382" s="58">
        <f>IF($A382="","",مدة_الاستراحة/60)</f>
        <v/>
      </c>
      <c r="J382" s="58">
        <f>IF(OR($A382="",$E382="",$F382=""),"",IF(OR($N382="حاضر",$N382="دوام جزئي"),MAX(0,MOD($F382-$E382,1)*24-$I382),0))</f>
        <v/>
      </c>
      <c r="K382" s="58">
        <f>IF(OR($A382="",$E382=""),"",IF(AND(احتساب_التأخير="نعم",OR($N382="حاضر",$N382="دوام جزئي"),$E382&gt;$G382+دقائق_السماح/1440),($E382-$G382-دقائق_السماح/1440)*24,0))</f>
        <v/>
      </c>
      <c r="L382" s="58">
        <f>IF(OR($A382="",$F382=""),"",IF(AND(OR($N382="حاضر",$N382="دوام جزئي"),$F382&lt;$H382),($H382-$F382)*24,0))</f>
        <v/>
      </c>
      <c r="M382" s="58">
        <f>IF(OR($A382="",$F382=""),"",IF(AND(احتساب_العمل_الإضافي="نعم",OR($N382="حاضر",$N382="دوام جزئي"),$F382&gt;$H382,($F382-$H382)*24*60&gt;=حد_العمل_الإضافي_دقيقة),($F382-$H382)*24,0))</f>
        <v/>
      </c>
      <c r="N382" s="47" t="n"/>
      <c r="O382" s="47" t="n"/>
      <c r="Q382">
        <f>IF(AND(ISNUMBER($K382),$K382&gt;0),SUMPRODUCT(ISNUMBER($K$3:$K$502)*($K$3:$K$502&gt;0)*(ROW($K$3:$K$502)&lt;=ROW())),"")</f>
        <v/>
      </c>
    </row>
    <row r="383">
      <c r="A383" s="40" t="n"/>
      <c r="B383" s="43">
        <f>IFERROR(INDEX(الموظفون_الاسم,MATCH($A383,الموظفون_الرقم,0)),"")</f>
        <v/>
      </c>
      <c r="C383" s="110" t="n"/>
      <c r="D383" s="43">
        <f>IF($C383="","",IFERROR(INDEX(قائمة_أيام_الأسبوع,WEEKDAY($C383,1)),""))</f>
        <v/>
      </c>
      <c r="E383" s="114" t="n"/>
      <c r="F383" s="114" t="n"/>
      <c r="G383" s="115">
        <f>IF($A383="","",بداية_الدوام)</f>
        <v/>
      </c>
      <c r="H383" s="115">
        <f>IF($A383="","",نهاية_الدوام)</f>
        <v/>
      </c>
      <c r="I383" s="55">
        <f>IF($A383="","",مدة_الاستراحة/60)</f>
        <v/>
      </c>
      <c r="J383" s="55">
        <f>IF(OR($A383="",$E383="",$F383=""),"",IF(OR($N383="حاضر",$N383="دوام جزئي"),MAX(0,MOD($F383-$E383,1)*24-$I383),0))</f>
        <v/>
      </c>
      <c r="K383" s="55">
        <f>IF(OR($A383="",$E383=""),"",IF(AND(احتساب_التأخير="نعم",OR($N383="حاضر",$N383="دوام جزئي"),$E383&gt;$G383+دقائق_السماح/1440),($E383-$G383-دقائق_السماح/1440)*24,0))</f>
        <v/>
      </c>
      <c r="L383" s="55">
        <f>IF(OR($A383="",$F383=""),"",IF(AND(OR($N383="حاضر",$N383="دوام جزئي"),$F383&lt;$H383),($H383-$F383)*24,0))</f>
        <v/>
      </c>
      <c r="M383" s="55">
        <f>IF(OR($A383="",$F383=""),"",IF(AND(احتساب_العمل_الإضافي="نعم",OR($N383="حاضر",$N383="دوام جزئي"),$F383&gt;$H383,($F383-$H383)*24*60&gt;=حد_العمل_الإضافي_دقيقة),($F383-$H383)*24,0))</f>
        <v/>
      </c>
      <c r="N383" s="40" t="n"/>
      <c r="O383" s="40" t="n"/>
      <c r="Q383">
        <f>IF(AND(ISNUMBER($K383),$K383&gt;0),SUMPRODUCT(ISNUMBER($K$3:$K$502)*($K$3:$K$502&gt;0)*(ROW($K$3:$K$502)&lt;=ROW())),"")</f>
        <v/>
      </c>
    </row>
    <row r="384">
      <c r="A384" s="47" t="n"/>
      <c r="B384" s="50">
        <f>IFERROR(INDEX(الموظفون_الاسم,MATCH($A384,الموظفون_الرقم,0)),"")</f>
        <v/>
      </c>
      <c r="C384" s="112" t="n"/>
      <c r="D384" s="50">
        <f>IF($C384="","",IFERROR(INDEX(قائمة_أيام_الأسبوع,WEEKDAY($C384,1)),""))</f>
        <v/>
      </c>
      <c r="E384" s="116" t="n"/>
      <c r="F384" s="116" t="n"/>
      <c r="G384" s="117">
        <f>IF($A384="","",بداية_الدوام)</f>
        <v/>
      </c>
      <c r="H384" s="117">
        <f>IF($A384="","",نهاية_الدوام)</f>
        <v/>
      </c>
      <c r="I384" s="58">
        <f>IF($A384="","",مدة_الاستراحة/60)</f>
        <v/>
      </c>
      <c r="J384" s="58">
        <f>IF(OR($A384="",$E384="",$F384=""),"",IF(OR($N384="حاضر",$N384="دوام جزئي"),MAX(0,MOD($F384-$E384,1)*24-$I384),0))</f>
        <v/>
      </c>
      <c r="K384" s="58">
        <f>IF(OR($A384="",$E384=""),"",IF(AND(احتساب_التأخير="نعم",OR($N384="حاضر",$N384="دوام جزئي"),$E384&gt;$G384+دقائق_السماح/1440),($E384-$G384-دقائق_السماح/1440)*24,0))</f>
        <v/>
      </c>
      <c r="L384" s="58">
        <f>IF(OR($A384="",$F384=""),"",IF(AND(OR($N384="حاضر",$N384="دوام جزئي"),$F384&lt;$H384),($H384-$F384)*24,0))</f>
        <v/>
      </c>
      <c r="M384" s="58">
        <f>IF(OR($A384="",$F384=""),"",IF(AND(احتساب_العمل_الإضافي="نعم",OR($N384="حاضر",$N384="دوام جزئي"),$F384&gt;$H384,($F384-$H384)*24*60&gt;=حد_العمل_الإضافي_دقيقة),($F384-$H384)*24,0))</f>
        <v/>
      </c>
      <c r="N384" s="47" t="n"/>
      <c r="O384" s="47" t="n"/>
      <c r="Q384">
        <f>IF(AND(ISNUMBER($K384),$K384&gt;0),SUMPRODUCT(ISNUMBER($K$3:$K$502)*($K$3:$K$502&gt;0)*(ROW($K$3:$K$502)&lt;=ROW())),"")</f>
        <v/>
      </c>
    </row>
    <row r="385">
      <c r="A385" s="40" t="n"/>
      <c r="B385" s="43">
        <f>IFERROR(INDEX(الموظفون_الاسم,MATCH($A385,الموظفون_الرقم,0)),"")</f>
        <v/>
      </c>
      <c r="C385" s="110" t="n"/>
      <c r="D385" s="43">
        <f>IF($C385="","",IFERROR(INDEX(قائمة_أيام_الأسبوع,WEEKDAY($C385,1)),""))</f>
        <v/>
      </c>
      <c r="E385" s="114" t="n"/>
      <c r="F385" s="114" t="n"/>
      <c r="G385" s="115">
        <f>IF($A385="","",بداية_الدوام)</f>
        <v/>
      </c>
      <c r="H385" s="115">
        <f>IF($A385="","",نهاية_الدوام)</f>
        <v/>
      </c>
      <c r="I385" s="55">
        <f>IF($A385="","",مدة_الاستراحة/60)</f>
        <v/>
      </c>
      <c r="J385" s="55">
        <f>IF(OR($A385="",$E385="",$F385=""),"",IF(OR($N385="حاضر",$N385="دوام جزئي"),MAX(0,MOD($F385-$E385,1)*24-$I385),0))</f>
        <v/>
      </c>
      <c r="K385" s="55">
        <f>IF(OR($A385="",$E385=""),"",IF(AND(احتساب_التأخير="نعم",OR($N385="حاضر",$N385="دوام جزئي"),$E385&gt;$G385+دقائق_السماح/1440),($E385-$G385-دقائق_السماح/1440)*24,0))</f>
        <v/>
      </c>
      <c r="L385" s="55">
        <f>IF(OR($A385="",$F385=""),"",IF(AND(OR($N385="حاضر",$N385="دوام جزئي"),$F385&lt;$H385),($H385-$F385)*24,0))</f>
        <v/>
      </c>
      <c r="M385" s="55">
        <f>IF(OR($A385="",$F385=""),"",IF(AND(احتساب_العمل_الإضافي="نعم",OR($N385="حاضر",$N385="دوام جزئي"),$F385&gt;$H385,($F385-$H385)*24*60&gt;=حد_العمل_الإضافي_دقيقة),($F385-$H385)*24,0))</f>
        <v/>
      </c>
      <c r="N385" s="40" t="n"/>
      <c r="O385" s="40" t="n"/>
      <c r="Q385">
        <f>IF(AND(ISNUMBER($K385),$K385&gt;0),SUMPRODUCT(ISNUMBER($K$3:$K$502)*($K$3:$K$502&gt;0)*(ROW($K$3:$K$502)&lt;=ROW())),"")</f>
        <v/>
      </c>
    </row>
    <row r="386">
      <c r="A386" s="47" t="n"/>
      <c r="B386" s="50">
        <f>IFERROR(INDEX(الموظفون_الاسم,MATCH($A386,الموظفون_الرقم,0)),"")</f>
        <v/>
      </c>
      <c r="C386" s="112" t="n"/>
      <c r="D386" s="50">
        <f>IF($C386="","",IFERROR(INDEX(قائمة_أيام_الأسبوع,WEEKDAY($C386,1)),""))</f>
        <v/>
      </c>
      <c r="E386" s="116" t="n"/>
      <c r="F386" s="116" t="n"/>
      <c r="G386" s="117">
        <f>IF($A386="","",بداية_الدوام)</f>
        <v/>
      </c>
      <c r="H386" s="117">
        <f>IF($A386="","",نهاية_الدوام)</f>
        <v/>
      </c>
      <c r="I386" s="58">
        <f>IF($A386="","",مدة_الاستراحة/60)</f>
        <v/>
      </c>
      <c r="J386" s="58">
        <f>IF(OR($A386="",$E386="",$F386=""),"",IF(OR($N386="حاضر",$N386="دوام جزئي"),MAX(0,MOD($F386-$E386,1)*24-$I386),0))</f>
        <v/>
      </c>
      <c r="K386" s="58">
        <f>IF(OR($A386="",$E386=""),"",IF(AND(احتساب_التأخير="نعم",OR($N386="حاضر",$N386="دوام جزئي"),$E386&gt;$G386+دقائق_السماح/1440),($E386-$G386-دقائق_السماح/1440)*24,0))</f>
        <v/>
      </c>
      <c r="L386" s="58">
        <f>IF(OR($A386="",$F386=""),"",IF(AND(OR($N386="حاضر",$N386="دوام جزئي"),$F386&lt;$H386),($H386-$F386)*24,0))</f>
        <v/>
      </c>
      <c r="M386" s="58">
        <f>IF(OR($A386="",$F386=""),"",IF(AND(احتساب_العمل_الإضافي="نعم",OR($N386="حاضر",$N386="دوام جزئي"),$F386&gt;$H386,($F386-$H386)*24*60&gt;=حد_العمل_الإضافي_دقيقة),($F386-$H386)*24,0))</f>
        <v/>
      </c>
      <c r="N386" s="47" t="n"/>
      <c r="O386" s="47" t="n"/>
      <c r="Q386">
        <f>IF(AND(ISNUMBER($K386),$K386&gt;0),SUMPRODUCT(ISNUMBER($K$3:$K$502)*($K$3:$K$502&gt;0)*(ROW($K$3:$K$502)&lt;=ROW())),"")</f>
        <v/>
      </c>
    </row>
    <row r="387">
      <c r="A387" s="40" t="n"/>
      <c r="B387" s="43">
        <f>IFERROR(INDEX(الموظفون_الاسم,MATCH($A387,الموظفون_الرقم,0)),"")</f>
        <v/>
      </c>
      <c r="C387" s="110" t="n"/>
      <c r="D387" s="43">
        <f>IF($C387="","",IFERROR(INDEX(قائمة_أيام_الأسبوع,WEEKDAY($C387,1)),""))</f>
        <v/>
      </c>
      <c r="E387" s="114" t="n"/>
      <c r="F387" s="114" t="n"/>
      <c r="G387" s="115">
        <f>IF($A387="","",بداية_الدوام)</f>
        <v/>
      </c>
      <c r="H387" s="115">
        <f>IF($A387="","",نهاية_الدوام)</f>
        <v/>
      </c>
      <c r="I387" s="55">
        <f>IF($A387="","",مدة_الاستراحة/60)</f>
        <v/>
      </c>
      <c r="J387" s="55">
        <f>IF(OR($A387="",$E387="",$F387=""),"",IF(OR($N387="حاضر",$N387="دوام جزئي"),MAX(0,MOD($F387-$E387,1)*24-$I387),0))</f>
        <v/>
      </c>
      <c r="K387" s="55">
        <f>IF(OR($A387="",$E387=""),"",IF(AND(احتساب_التأخير="نعم",OR($N387="حاضر",$N387="دوام جزئي"),$E387&gt;$G387+دقائق_السماح/1440),($E387-$G387-دقائق_السماح/1440)*24,0))</f>
        <v/>
      </c>
      <c r="L387" s="55">
        <f>IF(OR($A387="",$F387=""),"",IF(AND(OR($N387="حاضر",$N387="دوام جزئي"),$F387&lt;$H387),($H387-$F387)*24,0))</f>
        <v/>
      </c>
      <c r="M387" s="55">
        <f>IF(OR($A387="",$F387=""),"",IF(AND(احتساب_العمل_الإضافي="نعم",OR($N387="حاضر",$N387="دوام جزئي"),$F387&gt;$H387,($F387-$H387)*24*60&gt;=حد_العمل_الإضافي_دقيقة),($F387-$H387)*24,0))</f>
        <v/>
      </c>
      <c r="N387" s="40" t="n"/>
      <c r="O387" s="40" t="n"/>
      <c r="Q387">
        <f>IF(AND(ISNUMBER($K387),$K387&gt;0),SUMPRODUCT(ISNUMBER($K$3:$K$502)*($K$3:$K$502&gt;0)*(ROW($K$3:$K$502)&lt;=ROW())),"")</f>
        <v/>
      </c>
    </row>
    <row r="388">
      <c r="A388" s="47" t="n"/>
      <c r="B388" s="50">
        <f>IFERROR(INDEX(الموظفون_الاسم,MATCH($A388,الموظفون_الرقم,0)),"")</f>
        <v/>
      </c>
      <c r="C388" s="112" t="n"/>
      <c r="D388" s="50">
        <f>IF($C388="","",IFERROR(INDEX(قائمة_أيام_الأسبوع,WEEKDAY($C388,1)),""))</f>
        <v/>
      </c>
      <c r="E388" s="116" t="n"/>
      <c r="F388" s="116" t="n"/>
      <c r="G388" s="117">
        <f>IF($A388="","",بداية_الدوام)</f>
        <v/>
      </c>
      <c r="H388" s="117">
        <f>IF($A388="","",نهاية_الدوام)</f>
        <v/>
      </c>
      <c r="I388" s="58">
        <f>IF($A388="","",مدة_الاستراحة/60)</f>
        <v/>
      </c>
      <c r="J388" s="58">
        <f>IF(OR($A388="",$E388="",$F388=""),"",IF(OR($N388="حاضر",$N388="دوام جزئي"),MAX(0,MOD($F388-$E388,1)*24-$I388),0))</f>
        <v/>
      </c>
      <c r="K388" s="58">
        <f>IF(OR($A388="",$E388=""),"",IF(AND(احتساب_التأخير="نعم",OR($N388="حاضر",$N388="دوام جزئي"),$E388&gt;$G388+دقائق_السماح/1440),($E388-$G388-دقائق_السماح/1440)*24,0))</f>
        <v/>
      </c>
      <c r="L388" s="58">
        <f>IF(OR($A388="",$F388=""),"",IF(AND(OR($N388="حاضر",$N388="دوام جزئي"),$F388&lt;$H388),($H388-$F388)*24,0))</f>
        <v/>
      </c>
      <c r="M388" s="58">
        <f>IF(OR($A388="",$F388=""),"",IF(AND(احتساب_العمل_الإضافي="نعم",OR($N388="حاضر",$N388="دوام جزئي"),$F388&gt;$H388,($F388-$H388)*24*60&gt;=حد_العمل_الإضافي_دقيقة),($F388-$H388)*24,0))</f>
        <v/>
      </c>
      <c r="N388" s="47" t="n"/>
      <c r="O388" s="47" t="n"/>
      <c r="Q388">
        <f>IF(AND(ISNUMBER($K388),$K388&gt;0),SUMPRODUCT(ISNUMBER($K$3:$K$502)*($K$3:$K$502&gt;0)*(ROW($K$3:$K$502)&lt;=ROW())),"")</f>
        <v/>
      </c>
    </row>
    <row r="389">
      <c r="A389" s="40" t="n"/>
      <c r="B389" s="43">
        <f>IFERROR(INDEX(الموظفون_الاسم,MATCH($A389,الموظفون_الرقم,0)),"")</f>
        <v/>
      </c>
      <c r="C389" s="110" t="n"/>
      <c r="D389" s="43">
        <f>IF($C389="","",IFERROR(INDEX(قائمة_أيام_الأسبوع,WEEKDAY($C389,1)),""))</f>
        <v/>
      </c>
      <c r="E389" s="114" t="n"/>
      <c r="F389" s="114" t="n"/>
      <c r="G389" s="115">
        <f>IF($A389="","",بداية_الدوام)</f>
        <v/>
      </c>
      <c r="H389" s="115">
        <f>IF($A389="","",نهاية_الدوام)</f>
        <v/>
      </c>
      <c r="I389" s="55">
        <f>IF($A389="","",مدة_الاستراحة/60)</f>
        <v/>
      </c>
      <c r="J389" s="55">
        <f>IF(OR($A389="",$E389="",$F389=""),"",IF(OR($N389="حاضر",$N389="دوام جزئي"),MAX(0,MOD($F389-$E389,1)*24-$I389),0))</f>
        <v/>
      </c>
      <c r="K389" s="55">
        <f>IF(OR($A389="",$E389=""),"",IF(AND(احتساب_التأخير="نعم",OR($N389="حاضر",$N389="دوام جزئي"),$E389&gt;$G389+دقائق_السماح/1440),($E389-$G389-دقائق_السماح/1440)*24,0))</f>
        <v/>
      </c>
      <c r="L389" s="55">
        <f>IF(OR($A389="",$F389=""),"",IF(AND(OR($N389="حاضر",$N389="دوام جزئي"),$F389&lt;$H389),($H389-$F389)*24,0))</f>
        <v/>
      </c>
      <c r="M389" s="55">
        <f>IF(OR($A389="",$F389=""),"",IF(AND(احتساب_العمل_الإضافي="نعم",OR($N389="حاضر",$N389="دوام جزئي"),$F389&gt;$H389,($F389-$H389)*24*60&gt;=حد_العمل_الإضافي_دقيقة),($F389-$H389)*24,0))</f>
        <v/>
      </c>
      <c r="N389" s="40" t="n"/>
      <c r="O389" s="40" t="n"/>
      <c r="Q389">
        <f>IF(AND(ISNUMBER($K389),$K389&gt;0),SUMPRODUCT(ISNUMBER($K$3:$K$502)*($K$3:$K$502&gt;0)*(ROW($K$3:$K$502)&lt;=ROW())),"")</f>
        <v/>
      </c>
    </row>
    <row r="390">
      <c r="A390" s="47" t="n"/>
      <c r="B390" s="50">
        <f>IFERROR(INDEX(الموظفون_الاسم,MATCH($A390,الموظفون_الرقم,0)),"")</f>
        <v/>
      </c>
      <c r="C390" s="112" t="n"/>
      <c r="D390" s="50">
        <f>IF($C390="","",IFERROR(INDEX(قائمة_أيام_الأسبوع,WEEKDAY($C390,1)),""))</f>
        <v/>
      </c>
      <c r="E390" s="116" t="n"/>
      <c r="F390" s="116" t="n"/>
      <c r="G390" s="117">
        <f>IF($A390="","",بداية_الدوام)</f>
        <v/>
      </c>
      <c r="H390" s="117">
        <f>IF($A390="","",نهاية_الدوام)</f>
        <v/>
      </c>
      <c r="I390" s="58">
        <f>IF($A390="","",مدة_الاستراحة/60)</f>
        <v/>
      </c>
      <c r="J390" s="58">
        <f>IF(OR($A390="",$E390="",$F390=""),"",IF(OR($N390="حاضر",$N390="دوام جزئي"),MAX(0,MOD($F390-$E390,1)*24-$I390),0))</f>
        <v/>
      </c>
      <c r="K390" s="58">
        <f>IF(OR($A390="",$E390=""),"",IF(AND(احتساب_التأخير="نعم",OR($N390="حاضر",$N390="دوام جزئي"),$E390&gt;$G390+دقائق_السماح/1440),($E390-$G390-دقائق_السماح/1440)*24,0))</f>
        <v/>
      </c>
      <c r="L390" s="58">
        <f>IF(OR($A390="",$F390=""),"",IF(AND(OR($N390="حاضر",$N390="دوام جزئي"),$F390&lt;$H390),($H390-$F390)*24,0))</f>
        <v/>
      </c>
      <c r="M390" s="58">
        <f>IF(OR($A390="",$F390=""),"",IF(AND(احتساب_العمل_الإضافي="نعم",OR($N390="حاضر",$N390="دوام جزئي"),$F390&gt;$H390,($F390-$H390)*24*60&gt;=حد_العمل_الإضافي_دقيقة),($F390-$H390)*24,0))</f>
        <v/>
      </c>
      <c r="N390" s="47" t="n"/>
      <c r="O390" s="47" t="n"/>
      <c r="Q390">
        <f>IF(AND(ISNUMBER($K390),$K390&gt;0),SUMPRODUCT(ISNUMBER($K$3:$K$502)*($K$3:$K$502&gt;0)*(ROW($K$3:$K$502)&lt;=ROW())),"")</f>
        <v/>
      </c>
    </row>
    <row r="391">
      <c r="A391" s="40" t="n"/>
      <c r="B391" s="43">
        <f>IFERROR(INDEX(الموظفون_الاسم,MATCH($A391,الموظفون_الرقم,0)),"")</f>
        <v/>
      </c>
      <c r="C391" s="110" t="n"/>
      <c r="D391" s="43">
        <f>IF($C391="","",IFERROR(INDEX(قائمة_أيام_الأسبوع,WEEKDAY($C391,1)),""))</f>
        <v/>
      </c>
      <c r="E391" s="114" t="n"/>
      <c r="F391" s="114" t="n"/>
      <c r="G391" s="115">
        <f>IF($A391="","",بداية_الدوام)</f>
        <v/>
      </c>
      <c r="H391" s="115">
        <f>IF($A391="","",نهاية_الدوام)</f>
        <v/>
      </c>
      <c r="I391" s="55">
        <f>IF($A391="","",مدة_الاستراحة/60)</f>
        <v/>
      </c>
      <c r="J391" s="55">
        <f>IF(OR($A391="",$E391="",$F391=""),"",IF(OR($N391="حاضر",$N391="دوام جزئي"),MAX(0,MOD($F391-$E391,1)*24-$I391),0))</f>
        <v/>
      </c>
      <c r="K391" s="55">
        <f>IF(OR($A391="",$E391=""),"",IF(AND(احتساب_التأخير="نعم",OR($N391="حاضر",$N391="دوام جزئي"),$E391&gt;$G391+دقائق_السماح/1440),($E391-$G391-دقائق_السماح/1440)*24,0))</f>
        <v/>
      </c>
      <c r="L391" s="55">
        <f>IF(OR($A391="",$F391=""),"",IF(AND(OR($N391="حاضر",$N391="دوام جزئي"),$F391&lt;$H391),($H391-$F391)*24,0))</f>
        <v/>
      </c>
      <c r="M391" s="55">
        <f>IF(OR($A391="",$F391=""),"",IF(AND(احتساب_العمل_الإضافي="نعم",OR($N391="حاضر",$N391="دوام جزئي"),$F391&gt;$H391,($F391-$H391)*24*60&gt;=حد_العمل_الإضافي_دقيقة),($F391-$H391)*24,0))</f>
        <v/>
      </c>
      <c r="N391" s="40" t="n"/>
      <c r="O391" s="40" t="n"/>
      <c r="Q391">
        <f>IF(AND(ISNUMBER($K391),$K391&gt;0),SUMPRODUCT(ISNUMBER($K$3:$K$502)*($K$3:$K$502&gt;0)*(ROW($K$3:$K$502)&lt;=ROW())),"")</f>
        <v/>
      </c>
    </row>
    <row r="392">
      <c r="A392" s="47" t="n"/>
      <c r="B392" s="50">
        <f>IFERROR(INDEX(الموظفون_الاسم,MATCH($A392,الموظفون_الرقم,0)),"")</f>
        <v/>
      </c>
      <c r="C392" s="112" t="n"/>
      <c r="D392" s="50">
        <f>IF($C392="","",IFERROR(INDEX(قائمة_أيام_الأسبوع,WEEKDAY($C392,1)),""))</f>
        <v/>
      </c>
      <c r="E392" s="116" t="n"/>
      <c r="F392" s="116" t="n"/>
      <c r="G392" s="117">
        <f>IF($A392="","",بداية_الدوام)</f>
        <v/>
      </c>
      <c r="H392" s="117">
        <f>IF($A392="","",نهاية_الدوام)</f>
        <v/>
      </c>
      <c r="I392" s="58">
        <f>IF($A392="","",مدة_الاستراحة/60)</f>
        <v/>
      </c>
      <c r="J392" s="58">
        <f>IF(OR($A392="",$E392="",$F392=""),"",IF(OR($N392="حاضر",$N392="دوام جزئي"),MAX(0,MOD($F392-$E392,1)*24-$I392),0))</f>
        <v/>
      </c>
      <c r="K392" s="58">
        <f>IF(OR($A392="",$E392=""),"",IF(AND(احتساب_التأخير="نعم",OR($N392="حاضر",$N392="دوام جزئي"),$E392&gt;$G392+دقائق_السماح/1440),($E392-$G392-دقائق_السماح/1440)*24,0))</f>
        <v/>
      </c>
      <c r="L392" s="58">
        <f>IF(OR($A392="",$F392=""),"",IF(AND(OR($N392="حاضر",$N392="دوام جزئي"),$F392&lt;$H392),($H392-$F392)*24,0))</f>
        <v/>
      </c>
      <c r="M392" s="58">
        <f>IF(OR($A392="",$F392=""),"",IF(AND(احتساب_العمل_الإضافي="نعم",OR($N392="حاضر",$N392="دوام جزئي"),$F392&gt;$H392,($F392-$H392)*24*60&gt;=حد_العمل_الإضافي_دقيقة),($F392-$H392)*24,0))</f>
        <v/>
      </c>
      <c r="N392" s="47" t="n"/>
      <c r="O392" s="47" t="n"/>
      <c r="Q392">
        <f>IF(AND(ISNUMBER($K392),$K392&gt;0),SUMPRODUCT(ISNUMBER($K$3:$K$502)*($K$3:$K$502&gt;0)*(ROW($K$3:$K$502)&lt;=ROW())),"")</f>
        <v/>
      </c>
    </row>
    <row r="393">
      <c r="A393" s="40" t="n"/>
      <c r="B393" s="43">
        <f>IFERROR(INDEX(الموظفون_الاسم,MATCH($A393,الموظفون_الرقم,0)),"")</f>
        <v/>
      </c>
      <c r="C393" s="110" t="n"/>
      <c r="D393" s="43">
        <f>IF($C393="","",IFERROR(INDEX(قائمة_أيام_الأسبوع,WEEKDAY($C393,1)),""))</f>
        <v/>
      </c>
      <c r="E393" s="114" t="n"/>
      <c r="F393" s="114" t="n"/>
      <c r="G393" s="115">
        <f>IF($A393="","",بداية_الدوام)</f>
        <v/>
      </c>
      <c r="H393" s="115">
        <f>IF($A393="","",نهاية_الدوام)</f>
        <v/>
      </c>
      <c r="I393" s="55">
        <f>IF($A393="","",مدة_الاستراحة/60)</f>
        <v/>
      </c>
      <c r="J393" s="55">
        <f>IF(OR($A393="",$E393="",$F393=""),"",IF(OR($N393="حاضر",$N393="دوام جزئي"),MAX(0,MOD($F393-$E393,1)*24-$I393),0))</f>
        <v/>
      </c>
      <c r="K393" s="55">
        <f>IF(OR($A393="",$E393=""),"",IF(AND(احتساب_التأخير="نعم",OR($N393="حاضر",$N393="دوام جزئي"),$E393&gt;$G393+دقائق_السماح/1440),($E393-$G393-دقائق_السماح/1440)*24,0))</f>
        <v/>
      </c>
      <c r="L393" s="55">
        <f>IF(OR($A393="",$F393=""),"",IF(AND(OR($N393="حاضر",$N393="دوام جزئي"),$F393&lt;$H393),($H393-$F393)*24,0))</f>
        <v/>
      </c>
      <c r="M393" s="55">
        <f>IF(OR($A393="",$F393=""),"",IF(AND(احتساب_العمل_الإضافي="نعم",OR($N393="حاضر",$N393="دوام جزئي"),$F393&gt;$H393,($F393-$H393)*24*60&gt;=حد_العمل_الإضافي_دقيقة),($F393-$H393)*24,0))</f>
        <v/>
      </c>
      <c r="N393" s="40" t="n"/>
      <c r="O393" s="40" t="n"/>
      <c r="Q393">
        <f>IF(AND(ISNUMBER($K393),$K393&gt;0),SUMPRODUCT(ISNUMBER($K$3:$K$502)*($K$3:$K$502&gt;0)*(ROW($K$3:$K$502)&lt;=ROW())),"")</f>
        <v/>
      </c>
    </row>
    <row r="394">
      <c r="A394" s="47" t="n"/>
      <c r="B394" s="50">
        <f>IFERROR(INDEX(الموظفون_الاسم,MATCH($A394,الموظفون_الرقم,0)),"")</f>
        <v/>
      </c>
      <c r="C394" s="112" t="n"/>
      <c r="D394" s="50">
        <f>IF($C394="","",IFERROR(INDEX(قائمة_أيام_الأسبوع,WEEKDAY($C394,1)),""))</f>
        <v/>
      </c>
      <c r="E394" s="116" t="n"/>
      <c r="F394" s="116" t="n"/>
      <c r="G394" s="117">
        <f>IF($A394="","",بداية_الدوام)</f>
        <v/>
      </c>
      <c r="H394" s="117">
        <f>IF($A394="","",نهاية_الدوام)</f>
        <v/>
      </c>
      <c r="I394" s="58">
        <f>IF($A394="","",مدة_الاستراحة/60)</f>
        <v/>
      </c>
      <c r="J394" s="58">
        <f>IF(OR($A394="",$E394="",$F394=""),"",IF(OR($N394="حاضر",$N394="دوام جزئي"),MAX(0,MOD($F394-$E394,1)*24-$I394),0))</f>
        <v/>
      </c>
      <c r="K394" s="58">
        <f>IF(OR($A394="",$E394=""),"",IF(AND(احتساب_التأخير="نعم",OR($N394="حاضر",$N394="دوام جزئي"),$E394&gt;$G394+دقائق_السماح/1440),($E394-$G394-دقائق_السماح/1440)*24,0))</f>
        <v/>
      </c>
      <c r="L394" s="58">
        <f>IF(OR($A394="",$F394=""),"",IF(AND(OR($N394="حاضر",$N394="دوام جزئي"),$F394&lt;$H394),($H394-$F394)*24,0))</f>
        <v/>
      </c>
      <c r="M394" s="58">
        <f>IF(OR($A394="",$F394=""),"",IF(AND(احتساب_العمل_الإضافي="نعم",OR($N394="حاضر",$N394="دوام جزئي"),$F394&gt;$H394,($F394-$H394)*24*60&gt;=حد_العمل_الإضافي_دقيقة),($F394-$H394)*24,0))</f>
        <v/>
      </c>
      <c r="N394" s="47" t="n"/>
      <c r="O394" s="47" t="n"/>
      <c r="Q394">
        <f>IF(AND(ISNUMBER($K394),$K394&gt;0),SUMPRODUCT(ISNUMBER($K$3:$K$502)*($K$3:$K$502&gt;0)*(ROW($K$3:$K$502)&lt;=ROW())),"")</f>
        <v/>
      </c>
    </row>
    <row r="395">
      <c r="A395" s="40" t="n"/>
      <c r="B395" s="43">
        <f>IFERROR(INDEX(الموظفون_الاسم,MATCH($A395,الموظفون_الرقم,0)),"")</f>
        <v/>
      </c>
      <c r="C395" s="110" t="n"/>
      <c r="D395" s="43">
        <f>IF($C395="","",IFERROR(INDEX(قائمة_أيام_الأسبوع,WEEKDAY($C395,1)),""))</f>
        <v/>
      </c>
      <c r="E395" s="114" t="n"/>
      <c r="F395" s="114" t="n"/>
      <c r="G395" s="115">
        <f>IF($A395="","",بداية_الدوام)</f>
        <v/>
      </c>
      <c r="H395" s="115">
        <f>IF($A395="","",نهاية_الدوام)</f>
        <v/>
      </c>
      <c r="I395" s="55">
        <f>IF($A395="","",مدة_الاستراحة/60)</f>
        <v/>
      </c>
      <c r="J395" s="55">
        <f>IF(OR($A395="",$E395="",$F395=""),"",IF(OR($N395="حاضر",$N395="دوام جزئي"),MAX(0,MOD($F395-$E395,1)*24-$I395),0))</f>
        <v/>
      </c>
      <c r="K395" s="55">
        <f>IF(OR($A395="",$E395=""),"",IF(AND(احتساب_التأخير="نعم",OR($N395="حاضر",$N395="دوام جزئي"),$E395&gt;$G395+دقائق_السماح/1440),($E395-$G395-دقائق_السماح/1440)*24,0))</f>
        <v/>
      </c>
      <c r="L395" s="55">
        <f>IF(OR($A395="",$F395=""),"",IF(AND(OR($N395="حاضر",$N395="دوام جزئي"),$F395&lt;$H395),($H395-$F395)*24,0))</f>
        <v/>
      </c>
      <c r="M395" s="55">
        <f>IF(OR($A395="",$F395=""),"",IF(AND(احتساب_العمل_الإضافي="نعم",OR($N395="حاضر",$N395="دوام جزئي"),$F395&gt;$H395,($F395-$H395)*24*60&gt;=حد_العمل_الإضافي_دقيقة),($F395-$H395)*24,0))</f>
        <v/>
      </c>
      <c r="N395" s="40" t="n"/>
      <c r="O395" s="40" t="n"/>
      <c r="Q395">
        <f>IF(AND(ISNUMBER($K395),$K395&gt;0),SUMPRODUCT(ISNUMBER($K$3:$K$502)*($K$3:$K$502&gt;0)*(ROW($K$3:$K$502)&lt;=ROW())),"")</f>
        <v/>
      </c>
    </row>
    <row r="396">
      <c r="A396" s="47" t="n"/>
      <c r="B396" s="50">
        <f>IFERROR(INDEX(الموظفون_الاسم,MATCH($A396,الموظفون_الرقم,0)),"")</f>
        <v/>
      </c>
      <c r="C396" s="112" t="n"/>
      <c r="D396" s="50">
        <f>IF($C396="","",IFERROR(INDEX(قائمة_أيام_الأسبوع,WEEKDAY($C396,1)),""))</f>
        <v/>
      </c>
      <c r="E396" s="116" t="n"/>
      <c r="F396" s="116" t="n"/>
      <c r="G396" s="117">
        <f>IF($A396="","",بداية_الدوام)</f>
        <v/>
      </c>
      <c r="H396" s="117">
        <f>IF($A396="","",نهاية_الدوام)</f>
        <v/>
      </c>
      <c r="I396" s="58">
        <f>IF($A396="","",مدة_الاستراحة/60)</f>
        <v/>
      </c>
      <c r="J396" s="58">
        <f>IF(OR($A396="",$E396="",$F396=""),"",IF(OR($N396="حاضر",$N396="دوام جزئي"),MAX(0,MOD($F396-$E396,1)*24-$I396),0))</f>
        <v/>
      </c>
      <c r="K396" s="58">
        <f>IF(OR($A396="",$E396=""),"",IF(AND(احتساب_التأخير="نعم",OR($N396="حاضر",$N396="دوام جزئي"),$E396&gt;$G396+دقائق_السماح/1440),($E396-$G396-دقائق_السماح/1440)*24,0))</f>
        <v/>
      </c>
      <c r="L396" s="58">
        <f>IF(OR($A396="",$F396=""),"",IF(AND(OR($N396="حاضر",$N396="دوام جزئي"),$F396&lt;$H396),($H396-$F396)*24,0))</f>
        <v/>
      </c>
      <c r="M396" s="58">
        <f>IF(OR($A396="",$F396=""),"",IF(AND(احتساب_العمل_الإضافي="نعم",OR($N396="حاضر",$N396="دوام جزئي"),$F396&gt;$H396,($F396-$H396)*24*60&gt;=حد_العمل_الإضافي_دقيقة),($F396-$H396)*24,0))</f>
        <v/>
      </c>
      <c r="N396" s="47" t="n"/>
      <c r="O396" s="47" t="n"/>
      <c r="Q396">
        <f>IF(AND(ISNUMBER($K396),$K396&gt;0),SUMPRODUCT(ISNUMBER($K$3:$K$502)*($K$3:$K$502&gt;0)*(ROW($K$3:$K$502)&lt;=ROW())),"")</f>
        <v/>
      </c>
    </row>
    <row r="397">
      <c r="A397" s="40" t="n"/>
      <c r="B397" s="43">
        <f>IFERROR(INDEX(الموظفون_الاسم,MATCH($A397,الموظفون_الرقم,0)),"")</f>
        <v/>
      </c>
      <c r="C397" s="110" t="n"/>
      <c r="D397" s="43">
        <f>IF($C397="","",IFERROR(INDEX(قائمة_أيام_الأسبوع,WEEKDAY($C397,1)),""))</f>
        <v/>
      </c>
      <c r="E397" s="114" t="n"/>
      <c r="F397" s="114" t="n"/>
      <c r="G397" s="115">
        <f>IF($A397="","",بداية_الدوام)</f>
        <v/>
      </c>
      <c r="H397" s="115">
        <f>IF($A397="","",نهاية_الدوام)</f>
        <v/>
      </c>
      <c r="I397" s="55">
        <f>IF($A397="","",مدة_الاستراحة/60)</f>
        <v/>
      </c>
      <c r="J397" s="55">
        <f>IF(OR($A397="",$E397="",$F397=""),"",IF(OR($N397="حاضر",$N397="دوام جزئي"),MAX(0,MOD($F397-$E397,1)*24-$I397),0))</f>
        <v/>
      </c>
      <c r="K397" s="55">
        <f>IF(OR($A397="",$E397=""),"",IF(AND(احتساب_التأخير="نعم",OR($N397="حاضر",$N397="دوام جزئي"),$E397&gt;$G397+دقائق_السماح/1440),($E397-$G397-دقائق_السماح/1440)*24,0))</f>
        <v/>
      </c>
      <c r="L397" s="55">
        <f>IF(OR($A397="",$F397=""),"",IF(AND(OR($N397="حاضر",$N397="دوام جزئي"),$F397&lt;$H397),($H397-$F397)*24,0))</f>
        <v/>
      </c>
      <c r="M397" s="55">
        <f>IF(OR($A397="",$F397=""),"",IF(AND(احتساب_العمل_الإضافي="نعم",OR($N397="حاضر",$N397="دوام جزئي"),$F397&gt;$H397,($F397-$H397)*24*60&gt;=حد_العمل_الإضافي_دقيقة),($F397-$H397)*24,0))</f>
        <v/>
      </c>
      <c r="N397" s="40" t="n"/>
      <c r="O397" s="40" t="n"/>
      <c r="Q397">
        <f>IF(AND(ISNUMBER($K397),$K397&gt;0),SUMPRODUCT(ISNUMBER($K$3:$K$502)*($K$3:$K$502&gt;0)*(ROW($K$3:$K$502)&lt;=ROW())),"")</f>
        <v/>
      </c>
    </row>
    <row r="398">
      <c r="A398" s="47" t="n"/>
      <c r="B398" s="50">
        <f>IFERROR(INDEX(الموظفون_الاسم,MATCH($A398,الموظفون_الرقم,0)),"")</f>
        <v/>
      </c>
      <c r="C398" s="112" t="n"/>
      <c r="D398" s="50">
        <f>IF($C398="","",IFERROR(INDEX(قائمة_أيام_الأسبوع,WEEKDAY($C398,1)),""))</f>
        <v/>
      </c>
      <c r="E398" s="116" t="n"/>
      <c r="F398" s="116" t="n"/>
      <c r="G398" s="117">
        <f>IF($A398="","",بداية_الدوام)</f>
        <v/>
      </c>
      <c r="H398" s="117">
        <f>IF($A398="","",نهاية_الدوام)</f>
        <v/>
      </c>
      <c r="I398" s="58">
        <f>IF($A398="","",مدة_الاستراحة/60)</f>
        <v/>
      </c>
      <c r="J398" s="58">
        <f>IF(OR($A398="",$E398="",$F398=""),"",IF(OR($N398="حاضر",$N398="دوام جزئي"),MAX(0,MOD($F398-$E398,1)*24-$I398),0))</f>
        <v/>
      </c>
      <c r="K398" s="58">
        <f>IF(OR($A398="",$E398=""),"",IF(AND(احتساب_التأخير="نعم",OR($N398="حاضر",$N398="دوام جزئي"),$E398&gt;$G398+دقائق_السماح/1440),($E398-$G398-دقائق_السماح/1440)*24,0))</f>
        <v/>
      </c>
      <c r="L398" s="58">
        <f>IF(OR($A398="",$F398=""),"",IF(AND(OR($N398="حاضر",$N398="دوام جزئي"),$F398&lt;$H398),($H398-$F398)*24,0))</f>
        <v/>
      </c>
      <c r="M398" s="58">
        <f>IF(OR($A398="",$F398=""),"",IF(AND(احتساب_العمل_الإضافي="نعم",OR($N398="حاضر",$N398="دوام جزئي"),$F398&gt;$H398,($F398-$H398)*24*60&gt;=حد_العمل_الإضافي_دقيقة),($F398-$H398)*24,0))</f>
        <v/>
      </c>
      <c r="N398" s="47" t="n"/>
      <c r="O398" s="47" t="n"/>
      <c r="Q398">
        <f>IF(AND(ISNUMBER($K398),$K398&gt;0),SUMPRODUCT(ISNUMBER($K$3:$K$502)*($K$3:$K$502&gt;0)*(ROW($K$3:$K$502)&lt;=ROW())),"")</f>
        <v/>
      </c>
    </row>
    <row r="399">
      <c r="A399" s="40" t="n"/>
      <c r="B399" s="43">
        <f>IFERROR(INDEX(الموظفون_الاسم,MATCH($A399,الموظفون_الرقم,0)),"")</f>
        <v/>
      </c>
      <c r="C399" s="110" t="n"/>
      <c r="D399" s="43">
        <f>IF($C399="","",IFERROR(INDEX(قائمة_أيام_الأسبوع,WEEKDAY($C399,1)),""))</f>
        <v/>
      </c>
      <c r="E399" s="114" t="n"/>
      <c r="F399" s="114" t="n"/>
      <c r="G399" s="115">
        <f>IF($A399="","",بداية_الدوام)</f>
        <v/>
      </c>
      <c r="H399" s="115">
        <f>IF($A399="","",نهاية_الدوام)</f>
        <v/>
      </c>
      <c r="I399" s="55">
        <f>IF($A399="","",مدة_الاستراحة/60)</f>
        <v/>
      </c>
      <c r="J399" s="55">
        <f>IF(OR($A399="",$E399="",$F399=""),"",IF(OR($N399="حاضر",$N399="دوام جزئي"),MAX(0,MOD($F399-$E399,1)*24-$I399),0))</f>
        <v/>
      </c>
      <c r="K399" s="55">
        <f>IF(OR($A399="",$E399=""),"",IF(AND(احتساب_التأخير="نعم",OR($N399="حاضر",$N399="دوام جزئي"),$E399&gt;$G399+دقائق_السماح/1440),($E399-$G399-دقائق_السماح/1440)*24,0))</f>
        <v/>
      </c>
      <c r="L399" s="55">
        <f>IF(OR($A399="",$F399=""),"",IF(AND(OR($N399="حاضر",$N399="دوام جزئي"),$F399&lt;$H399),($H399-$F399)*24,0))</f>
        <v/>
      </c>
      <c r="M399" s="55">
        <f>IF(OR($A399="",$F399=""),"",IF(AND(احتساب_العمل_الإضافي="نعم",OR($N399="حاضر",$N399="دوام جزئي"),$F399&gt;$H399,($F399-$H399)*24*60&gt;=حد_العمل_الإضافي_دقيقة),($F399-$H399)*24,0))</f>
        <v/>
      </c>
      <c r="N399" s="40" t="n"/>
      <c r="O399" s="40" t="n"/>
      <c r="Q399">
        <f>IF(AND(ISNUMBER($K399),$K399&gt;0),SUMPRODUCT(ISNUMBER($K$3:$K$502)*($K$3:$K$502&gt;0)*(ROW($K$3:$K$502)&lt;=ROW())),"")</f>
        <v/>
      </c>
    </row>
    <row r="400">
      <c r="A400" s="47" t="n"/>
      <c r="B400" s="50">
        <f>IFERROR(INDEX(الموظفون_الاسم,MATCH($A400,الموظفون_الرقم,0)),"")</f>
        <v/>
      </c>
      <c r="C400" s="112" t="n"/>
      <c r="D400" s="50">
        <f>IF($C400="","",IFERROR(INDEX(قائمة_أيام_الأسبوع,WEEKDAY($C400,1)),""))</f>
        <v/>
      </c>
      <c r="E400" s="116" t="n"/>
      <c r="F400" s="116" t="n"/>
      <c r="G400" s="117">
        <f>IF($A400="","",بداية_الدوام)</f>
        <v/>
      </c>
      <c r="H400" s="117">
        <f>IF($A400="","",نهاية_الدوام)</f>
        <v/>
      </c>
      <c r="I400" s="58">
        <f>IF($A400="","",مدة_الاستراحة/60)</f>
        <v/>
      </c>
      <c r="J400" s="58">
        <f>IF(OR($A400="",$E400="",$F400=""),"",IF(OR($N400="حاضر",$N400="دوام جزئي"),MAX(0,MOD($F400-$E400,1)*24-$I400),0))</f>
        <v/>
      </c>
      <c r="K400" s="58">
        <f>IF(OR($A400="",$E400=""),"",IF(AND(احتساب_التأخير="نعم",OR($N400="حاضر",$N400="دوام جزئي"),$E400&gt;$G400+دقائق_السماح/1440),($E400-$G400-دقائق_السماح/1440)*24,0))</f>
        <v/>
      </c>
      <c r="L400" s="58">
        <f>IF(OR($A400="",$F400=""),"",IF(AND(OR($N400="حاضر",$N400="دوام جزئي"),$F400&lt;$H400),($H400-$F400)*24,0))</f>
        <v/>
      </c>
      <c r="M400" s="58">
        <f>IF(OR($A400="",$F400=""),"",IF(AND(احتساب_العمل_الإضافي="نعم",OR($N400="حاضر",$N400="دوام جزئي"),$F400&gt;$H400,($F400-$H400)*24*60&gt;=حد_العمل_الإضافي_دقيقة),($F400-$H400)*24,0))</f>
        <v/>
      </c>
      <c r="N400" s="47" t="n"/>
      <c r="O400" s="47" t="n"/>
      <c r="Q400">
        <f>IF(AND(ISNUMBER($K400),$K400&gt;0),SUMPRODUCT(ISNUMBER($K$3:$K$502)*($K$3:$K$502&gt;0)*(ROW($K$3:$K$502)&lt;=ROW())),"")</f>
        <v/>
      </c>
    </row>
    <row r="401">
      <c r="A401" s="40" t="n"/>
      <c r="B401" s="43">
        <f>IFERROR(INDEX(الموظفون_الاسم,MATCH($A401,الموظفون_الرقم,0)),"")</f>
        <v/>
      </c>
      <c r="C401" s="110" t="n"/>
      <c r="D401" s="43">
        <f>IF($C401="","",IFERROR(INDEX(قائمة_أيام_الأسبوع,WEEKDAY($C401,1)),""))</f>
        <v/>
      </c>
      <c r="E401" s="114" t="n"/>
      <c r="F401" s="114" t="n"/>
      <c r="G401" s="115">
        <f>IF($A401="","",بداية_الدوام)</f>
        <v/>
      </c>
      <c r="H401" s="115">
        <f>IF($A401="","",نهاية_الدوام)</f>
        <v/>
      </c>
      <c r="I401" s="55">
        <f>IF($A401="","",مدة_الاستراحة/60)</f>
        <v/>
      </c>
      <c r="J401" s="55">
        <f>IF(OR($A401="",$E401="",$F401=""),"",IF(OR($N401="حاضر",$N401="دوام جزئي"),MAX(0,MOD($F401-$E401,1)*24-$I401),0))</f>
        <v/>
      </c>
      <c r="K401" s="55">
        <f>IF(OR($A401="",$E401=""),"",IF(AND(احتساب_التأخير="نعم",OR($N401="حاضر",$N401="دوام جزئي"),$E401&gt;$G401+دقائق_السماح/1440),($E401-$G401-دقائق_السماح/1440)*24,0))</f>
        <v/>
      </c>
      <c r="L401" s="55">
        <f>IF(OR($A401="",$F401=""),"",IF(AND(OR($N401="حاضر",$N401="دوام جزئي"),$F401&lt;$H401),($H401-$F401)*24,0))</f>
        <v/>
      </c>
      <c r="M401" s="55">
        <f>IF(OR($A401="",$F401=""),"",IF(AND(احتساب_العمل_الإضافي="نعم",OR($N401="حاضر",$N401="دوام جزئي"),$F401&gt;$H401,($F401-$H401)*24*60&gt;=حد_العمل_الإضافي_دقيقة),($F401-$H401)*24,0))</f>
        <v/>
      </c>
      <c r="N401" s="40" t="n"/>
      <c r="O401" s="40" t="n"/>
      <c r="Q401">
        <f>IF(AND(ISNUMBER($K401),$K401&gt;0),SUMPRODUCT(ISNUMBER($K$3:$K$502)*($K$3:$K$502&gt;0)*(ROW($K$3:$K$502)&lt;=ROW())),"")</f>
        <v/>
      </c>
    </row>
    <row r="402">
      <c r="A402" s="47" t="n"/>
      <c r="B402" s="50">
        <f>IFERROR(INDEX(الموظفون_الاسم,MATCH($A402,الموظفون_الرقم,0)),"")</f>
        <v/>
      </c>
      <c r="C402" s="112" t="n"/>
      <c r="D402" s="50">
        <f>IF($C402="","",IFERROR(INDEX(قائمة_أيام_الأسبوع,WEEKDAY($C402,1)),""))</f>
        <v/>
      </c>
      <c r="E402" s="116" t="n"/>
      <c r="F402" s="116" t="n"/>
      <c r="G402" s="117">
        <f>IF($A402="","",بداية_الدوام)</f>
        <v/>
      </c>
      <c r="H402" s="117">
        <f>IF($A402="","",نهاية_الدوام)</f>
        <v/>
      </c>
      <c r="I402" s="58">
        <f>IF($A402="","",مدة_الاستراحة/60)</f>
        <v/>
      </c>
      <c r="J402" s="58">
        <f>IF(OR($A402="",$E402="",$F402=""),"",IF(OR($N402="حاضر",$N402="دوام جزئي"),MAX(0,MOD($F402-$E402,1)*24-$I402),0))</f>
        <v/>
      </c>
      <c r="K402" s="58">
        <f>IF(OR($A402="",$E402=""),"",IF(AND(احتساب_التأخير="نعم",OR($N402="حاضر",$N402="دوام جزئي"),$E402&gt;$G402+دقائق_السماح/1440),($E402-$G402-دقائق_السماح/1440)*24,0))</f>
        <v/>
      </c>
      <c r="L402" s="58">
        <f>IF(OR($A402="",$F402=""),"",IF(AND(OR($N402="حاضر",$N402="دوام جزئي"),$F402&lt;$H402),($H402-$F402)*24,0))</f>
        <v/>
      </c>
      <c r="M402" s="58">
        <f>IF(OR($A402="",$F402=""),"",IF(AND(احتساب_العمل_الإضافي="نعم",OR($N402="حاضر",$N402="دوام جزئي"),$F402&gt;$H402,($F402-$H402)*24*60&gt;=حد_العمل_الإضافي_دقيقة),($F402-$H402)*24,0))</f>
        <v/>
      </c>
      <c r="N402" s="47" t="n"/>
      <c r="O402" s="47" t="n"/>
      <c r="Q402">
        <f>IF(AND(ISNUMBER($K402),$K402&gt;0),SUMPRODUCT(ISNUMBER($K$3:$K$502)*($K$3:$K$502&gt;0)*(ROW($K$3:$K$502)&lt;=ROW())),"")</f>
        <v/>
      </c>
    </row>
    <row r="403">
      <c r="A403" s="40" t="n"/>
      <c r="B403" s="43">
        <f>IFERROR(INDEX(الموظفون_الاسم,MATCH($A403,الموظفون_الرقم,0)),"")</f>
        <v/>
      </c>
      <c r="C403" s="110" t="n"/>
      <c r="D403" s="43">
        <f>IF($C403="","",IFERROR(INDEX(قائمة_أيام_الأسبوع,WEEKDAY($C403,1)),""))</f>
        <v/>
      </c>
      <c r="E403" s="114" t="n"/>
      <c r="F403" s="114" t="n"/>
      <c r="G403" s="115">
        <f>IF($A403="","",بداية_الدوام)</f>
        <v/>
      </c>
      <c r="H403" s="115">
        <f>IF($A403="","",نهاية_الدوام)</f>
        <v/>
      </c>
      <c r="I403" s="55">
        <f>IF($A403="","",مدة_الاستراحة/60)</f>
        <v/>
      </c>
      <c r="J403" s="55">
        <f>IF(OR($A403="",$E403="",$F403=""),"",IF(OR($N403="حاضر",$N403="دوام جزئي"),MAX(0,MOD($F403-$E403,1)*24-$I403),0))</f>
        <v/>
      </c>
      <c r="K403" s="55">
        <f>IF(OR($A403="",$E403=""),"",IF(AND(احتساب_التأخير="نعم",OR($N403="حاضر",$N403="دوام جزئي"),$E403&gt;$G403+دقائق_السماح/1440),($E403-$G403-دقائق_السماح/1440)*24,0))</f>
        <v/>
      </c>
      <c r="L403" s="55">
        <f>IF(OR($A403="",$F403=""),"",IF(AND(OR($N403="حاضر",$N403="دوام جزئي"),$F403&lt;$H403),($H403-$F403)*24,0))</f>
        <v/>
      </c>
      <c r="M403" s="55">
        <f>IF(OR($A403="",$F403=""),"",IF(AND(احتساب_العمل_الإضافي="نعم",OR($N403="حاضر",$N403="دوام جزئي"),$F403&gt;$H403,($F403-$H403)*24*60&gt;=حد_العمل_الإضافي_دقيقة),($F403-$H403)*24,0))</f>
        <v/>
      </c>
      <c r="N403" s="40" t="n"/>
      <c r="O403" s="40" t="n"/>
      <c r="Q403">
        <f>IF(AND(ISNUMBER($K403),$K403&gt;0),SUMPRODUCT(ISNUMBER($K$3:$K$502)*($K$3:$K$502&gt;0)*(ROW($K$3:$K$502)&lt;=ROW())),"")</f>
        <v/>
      </c>
    </row>
    <row r="404">
      <c r="A404" s="47" t="n"/>
      <c r="B404" s="50">
        <f>IFERROR(INDEX(الموظفون_الاسم,MATCH($A404,الموظفون_الرقم,0)),"")</f>
        <v/>
      </c>
      <c r="C404" s="112" t="n"/>
      <c r="D404" s="50">
        <f>IF($C404="","",IFERROR(INDEX(قائمة_أيام_الأسبوع,WEEKDAY($C404,1)),""))</f>
        <v/>
      </c>
      <c r="E404" s="116" t="n"/>
      <c r="F404" s="116" t="n"/>
      <c r="G404" s="117">
        <f>IF($A404="","",بداية_الدوام)</f>
        <v/>
      </c>
      <c r="H404" s="117">
        <f>IF($A404="","",نهاية_الدوام)</f>
        <v/>
      </c>
      <c r="I404" s="58">
        <f>IF($A404="","",مدة_الاستراحة/60)</f>
        <v/>
      </c>
      <c r="J404" s="58">
        <f>IF(OR($A404="",$E404="",$F404=""),"",IF(OR($N404="حاضر",$N404="دوام جزئي"),MAX(0,MOD($F404-$E404,1)*24-$I404),0))</f>
        <v/>
      </c>
      <c r="K404" s="58">
        <f>IF(OR($A404="",$E404=""),"",IF(AND(احتساب_التأخير="نعم",OR($N404="حاضر",$N404="دوام جزئي"),$E404&gt;$G404+دقائق_السماح/1440),($E404-$G404-دقائق_السماح/1440)*24,0))</f>
        <v/>
      </c>
      <c r="L404" s="58">
        <f>IF(OR($A404="",$F404=""),"",IF(AND(OR($N404="حاضر",$N404="دوام جزئي"),$F404&lt;$H404),($H404-$F404)*24,0))</f>
        <v/>
      </c>
      <c r="M404" s="58">
        <f>IF(OR($A404="",$F404=""),"",IF(AND(احتساب_العمل_الإضافي="نعم",OR($N404="حاضر",$N404="دوام جزئي"),$F404&gt;$H404,($F404-$H404)*24*60&gt;=حد_العمل_الإضافي_دقيقة),($F404-$H404)*24,0))</f>
        <v/>
      </c>
      <c r="N404" s="47" t="n"/>
      <c r="O404" s="47" t="n"/>
      <c r="Q404">
        <f>IF(AND(ISNUMBER($K404),$K404&gt;0),SUMPRODUCT(ISNUMBER($K$3:$K$502)*($K$3:$K$502&gt;0)*(ROW($K$3:$K$502)&lt;=ROW())),"")</f>
        <v/>
      </c>
    </row>
    <row r="405">
      <c r="A405" s="40" t="n"/>
      <c r="B405" s="43">
        <f>IFERROR(INDEX(الموظفون_الاسم,MATCH($A405,الموظفون_الرقم,0)),"")</f>
        <v/>
      </c>
      <c r="C405" s="110" t="n"/>
      <c r="D405" s="43">
        <f>IF($C405="","",IFERROR(INDEX(قائمة_أيام_الأسبوع,WEEKDAY($C405,1)),""))</f>
        <v/>
      </c>
      <c r="E405" s="114" t="n"/>
      <c r="F405" s="114" t="n"/>
      <c r="G405" s="115">
        <f>IF($A405="","",بداية_الدوام)</f>
        <v/>
      </c>
      <c r="H405" s="115">
        <f>IF($A405="","",نهاية_الدوام)</f>
        <v/>
      </c>
      <c r="I405" s="55">
        <f>IF($A405="","",مدة_الاستراحة/60)</f>
        <v/>
      </c>
      <c r="J405" s="55">
        <f>IF(OR($A405="",$E405="",$F405=""),"",IF(OR($N405="حاضر",$N405="دوام جزئي"),MAX(0,MOD($F405-$E405,1)*24-$I405),0))</f>
        <v/>
      </c>
      <c r="K405" s="55">
        <f>IF(OR($A405="",$E405=""),"",IF(AND(احتساب_التأخير="نعم",OR($N405="حاضر",$N405="دوام جزئي"),$E405&gt;$G405+دقائق_السماح/1440),($E405-$G405-دقائق_السماح/1440)*24,0))</f>
        <v/>
      </c>
      <c r="L405" s="55">
        <f>IF(OR($A405="",$F405=""),"",IF(AND(OR($N405="حاضر",$N405="دوام جزئي"),$F405&lt;$H405),($H405-$F405)*24,0))</f>
        <v/>
      </c>
      <c r="M405" s="55">
        <f>IF(OR($A405="",$F405=""),"",IF(AND(احتساب_العمل_الإضافي="نعم",OR($N405="حاضر",$N405="دوام جزئي"),$F405&gt;$H405,($F405-$H405)*24*60&gt;=حد_العمل_الإضافي_دقيقة),($F405-$H405)*24,0))</f>
        <v/>
      </c>
      <c r="N405" s="40" t="n"/>
      <c r="O405" s="40" t="n"/>
      <c r="Q405">
        <f>IF(AND(ISNUMBER($K405),$K405&gt;0),SUMPRODUCT(ISNUMBER($K$3:$K$502)*($K$3:$K$502&gt;0)*(ROW($K$3:$K$502)&lt;=ROW())),"")</f>
        <v/>
      </c>
    </row>
    <row r="406">
      <c r="A406" s="47" t="n"/>
      <c r="B406" s="50">
        <f>IFERROR(INDEX(الموظفون_الاسم,MATCH($A406,الموظفون_الرقم,0)),"")</f>
        <v/>
      </c>
      <c r="C406" s="112" t="n"/>
      <c r="D406" s="50">
        <f>IF($C406="","",IFERROR(INDEX(قائمة_أيام_الأسبوع,WEEKDAY($C406,1)),""))</f>
        <v/>
      </c>
      <c r="E406" s="116" t="n"/>
      <c r="F406" s="116" t="n"/>
      <c r="G406" s="117">
        <f>IF($A406="","",بداية_الدوام)</f>
        <v/>
      </c>
      <c r="H406" s="117">
        <f>IF($A406="","",نهاية_الدوام)</f>
        <v/>
      </c>
      <c r="I406" s="58">
        <f>IF($A406="","",مدة_الاستراحة/60)</f>
        <v/>
      </c>
      <c r="J406" s="58">
        <f>IF(OR($A406="",$E406="",$F406=""),"",IF(OR($N406="حاضر",$N406="دوام جزئي"),MAX(0,MOD($F406-$E406,1)*24-$I406),0))</f>
        <v/>
      </c>
      <c r="K406" s="58">
        <f>IF(OR($A406="",$E406=""),"",IF(AND(احتساب_التأخير="نعم",OR($N406="حاضر",$N406="دوام جزئي"),$E406&gt;$G406+دقائق_السماح/1440),($E406-$G406-دقائق_السماح/1440)*24,0))</f>
        <v/>
      </c>
      <c r="L406" s="58">
        <f>IF(OR($A406="",$F406=""),"",IF(AND(OR($N406="حاضر",$N406="دوام جزئي"),$F406&lt;$H406),($H406-$F406)*24,0))</f>
        <v/>
      </c>
      <c r="M406" s="58">
        <f>IF(OR($A406="",$F406=""),"",IF(AND(احتساب_العمل_الإضافي="نعم",OR($N406="حاضر",$N406="دوام جزئي"),$F406&gt;$H406,($F406-$H406)*24*60&gt;=حد_العمل_الإضافي_دقيقة),($F406-$H406)*24,0))</f>
        <v/>
      </c>
      <c r="N406" s="47" t="n"/>
      <c r="O406" s="47" t="n"/>
      <c r="Q406">
        <f>IF(AND(ISNUMBER($K406),$K406&gt;0),SUMPRODUCT(ISNUMBER($K$3:$K$502)*($K$3:$K$502&gt;0)*(ROW($K$3:$K$502)&lt;=ROW())),"")</f>
        <v/>
      </c>
    </row>
    <row r="407">
      <c r="A407" s="40" t="n"/>
      <c r="B407" s="43">
        <f>IFERROR(INDEX(الموظفون_الاسم,MATCH($A407,الموظفون_الرقم,0)),"")</f>
        <v/>
      </c>
      <c r="C407" s="110" t="n"/>
      <c r="D407" s="43">
        <f>IF($C407="","",IFERROR(INDEX(قائمة_أيام_الأسبوع,WEEKDAY($C407,1)),""))</f>
        <v/>
      </c>
      <c r="E407" s="114" t="n"/>
      <c r="F407" s="114" t="n"/>
      <c r="G407" s="115">
        <f>IF($A407="","",بداية_الدوام)</f>
        <v/>
      </c>
      <c r="H407" s="115">
        <f>IF($A407="","",نهاية_الدوام)</f>
        <v/>
      </c>
      <c r="I407" s="55">
        <f>IF($A407="","",مدة_الاستراحة/60)</f>
        <v/>
      </c>
      <c r="J407" s="55">
        <f>IF(OR($A407="",$E407="",$F407=""),"",IF(OR($N407="حاضر",$N407="دوام جزئي"),MAX(0,MOD($F407-$E407,1)*24-$I407),0))</f>
        <v/>
      </c>
      <c r="K407" s="55">
        <f>IF(OR($A407="",$E407=""),"",IF(AND(احتساب_التأخير="نعم",OR($N407="حاضر",$N407="دوام جزئي"),$E407&gt;$G407+دقائق_السماح/1440),($E407-$G407-دقائق_السماح/1440)*24,0))</f>
        <v/>
      </c>
      <c r="L407" s="55">
        <f>IF(OR($A407="",$F407=""),"",IF(AND(OR($N407="حاضر",$N407="دوام جزئي"),$F407&lt;$H407),($H407-$F407)*24,0))</f>
        <v/>
      </c>
      <c r="M407" s="55">
        <f>IF(OR($A407="",$F407=""),"",IF(AND(احتساب_العمل_الإضافي="نعم",OR($N407="حاضر",$N407="دوام جزئي"),$F407&gt;$H407,($F407-$H407)*24*60&gt;=حد_العمل_الإضافي_دقيقة),($F407-$H407)*24,0))</f>
        <v/>
      </c>
      <c r="N407" s="40" t="n"/>
      <c r="O407" s="40" t="n"/>
      <c r="Q407">
        <f>IF(AND(ISNUMBER($K407),$K407&gt;0),SUMPRODUCT(ISNUMBER($K$3:$K$502)*($K$3:$K$502&gt;0)*(ROW($K$3:$K$502)&lt;=ROW())),"")</f>
        <v/>
      </c>
    </row>
    <row r="408">
      <c r="A408" s="47" t="n"/>
      <c r="B408" s="50">
        <f>IFERROR(INDEX(الموظفون_الاسم,MATCH($A408,الموظفون_الرقم,0)),"")</f>
        <v/>
      </c>
      <c r="C408" s="112" t="n"/>
      <c r="D408" s="50">
        <f>IF($C408="","",IFERROR(INDEX(قائمة_أيام_الأسبوع,WEEKDAY($C408,1)),""))</f>
        <v/>
      </c>
      <c r="E408" s="116" t="n"/>
      <c r="F408" s="116" t="n"/>
      <c r="G408" s="117">
        <f>IF($A408="","",بداية_الدوام)</f>
        <v/>
      </c>
      <c r="H408" s="117">
        <f>IF($A408="","",نهاية_الدوام)</f>
        <v/>
      </c>
      <c r="I408" s="58">
        <f>IF($A408="","",مدة_الاستراحة/60)</f>
        <v/>
      </c>
      <c r="J408" s="58">
        <f>IF(OR($A408="",$E408="",$F408=""),"",IF(OR($N408="حاضر",$N408="دوام جزئي"),MAX(0,MOD($F408-$E408,1)*24-$I408),0))</f>
        <v/>
      </c>
      <c r="K408" s="58">
        <f>IF(OR($A408="",$E408=""),"",IF(AND(احتساب_التأخير="نعم",OR($N408="حاضر",$N408="دوام جزئي"),$E408&gt;$G408+دقائق_السماح/1440),($E408-$G408-دقائق_السماح/1440)*24,0))</f>
        <v/>
      </c>
      <c r="L408" s="58">
        <f>IF(OR($A408="",$F408=""),"",IF(AND(OR($N408="حاضر",$N408="دوام جزئي"),$F408&lt;$H408),($H408-$F408)*24,0))</f>
        <v/>
      </c>
      <c r="M408" s="58">
        <f>IF(OR($A408="",$F408=""),"",IF(AND(احتساب_العمل_الإضافي="نعم",OR($N408="حاضر",$N408="دوام جزئي"),$F408&gt;$H408,($F408-$H408)*24*60&gt;=حد_العمل_الإضافي_دقيقة),($F408-$H408)*24,0))</f>
        <v/>
      </c>
      <c r="N408" s="47" t="n"/>
      <c r="O408" s="47" t="n"/>
      <c r="Q408">
        <f>IF(AND(ISNUMBER($K408),$K408&gt;0),SUMPRODUCT(ISNUMBER($K$3:$K$502)*($K$3:$K$502&gt;0)*(ROW($K$3:$K$502)&lt;=ROW())),"")</f>
        <v/>
      </c>
    </row>
    <row r="409">
      <c r="A409" s="40" t="n"/>
      <c r="B409" s="43">
        <f>IFERROR(INDEX(الموظفون_الاسم,MATCH($A409,الموظفون_الرقم,0)),"")</f>
        <v/>
      </c>
      <c r="C409" s="110" t="n"/>
      <c r="D409" s="43">
        <f>IF($C409="","",IFERROR(INDEX(قائمة_أيام_الأسبوع,WEEKDAY($C409,1)),""))</f>
        <v/>
      </c>
      <c r="E409" s="114" t="n"/>
      <c r="F409" s="114" t="n"/>
      <c r="G409" s="115">
        <f>IF($A409="","",بداية_الدوام)</f>
        <v/>
      </c>
      <c r="H409" s="115">
        <f>IF($A409="","",نهاية_الدوام)</f>
        <v/>
      </c>
      <c r="I409" s="55">
        <f>IF($A409="","",مدة_الاستراحة/60)</f>
        <v/>
      </c>
      <c r="J409" s="55">
        <f>IF(OR($A409="",$E409="",$F409=""),"",IF(OR($N409="حاضر",$N409="دوام جزئي"),MAX(0,MOD($F409-$E409,1)*24-$I409),0))</f>
        <v/>
      </c>
      <c r="K409" s="55">
        <f>IF(OR($A409="",$E409=""),"",IF(AND(احتساب_التأخير="نعم",OR($N409="حاضر",$N409="دوام جزئي"),$E409&gt;$G409+دقائق_السماح/1440),($E409-$G409-دقائق_السماح/1440)*24,0))</f>
        <v/>
      </c>
      <c r="L409" s="55">
        <f>IF(OR($A409="",$F409=""),"",IF(AND(OR($N409="حاضر",$N409="دوام جزئي"),$F409&lt;$H409),($H409-$F409)*24,0))</f>
        <v/>
      </c>
      <c r="M409" s="55">
        <f>IF(OR($A409="",$F409=""),"",IF(AND(احتساب_العمل_الإضافي="نعم",OR($N409="حاضر",$N409="دوام جزئي"),$F409&gt;$H409,($F409-$H409)*24*60&gt;=حد_العمل_الإضافي_دقيقة),($F409-$H409)*24,0))</f>
        <v/>
      </c>
      <c r="N409" s="40" t="n"/>
      <c r="O409" s="40" t="n"/>
      <c r="Q409">
        <f>IF(AND(ISNUMBER($K409),$K409&gt;0),SUMPRODUCT(ISNUMBER($K$3:$K$502)*($K$3:$K$502&gt;0)*(ROW($K$3:$K$502)&lt;=ROW())),"")</f>
        <v/>
      </c>
    </row>
    <row r="410">
      <c r="A410" s="47" t="n"/>
      <c r="B410" s="50">
        <f>IFERROR(INDEX(الموظفون_الاسم,MATCH($A410,الموظفون_الرقم,0)),"")</f>
        <v/>
      </c>
      <c r="C410" s="112" t="n"/>
      <c r="D410" s="50">
        <f>IF($C410="","",IFERROR(INDEX(قائمة_أيام_الأسبوع,WEEKDAY($C410,1)),""))</f>
        <v/>
      </c>
      <c r="E410" s="116" t="n"/>
      <c r="F410" s="116" t="n"/>
      <c r="G410" s="117">
        <f>IF($A410="","",بداية_الدوام)</f>
        <v/>
      </c>
      <c r="H410" s="117">
        <f>IF($A410="","",نهاية_الدوام)</f>
        <v/>
      </c>
      <c r="I410" s="58">
        <f>IF($A410="","",مدة_الاستراحة/60)</f>
        <v/>
      </c>
      <c r="J410" s="58">
        <f>IF(OR($A410="",$E410="",$F410=""),"",IF(OR($N410="حاضر",$N410="دوام جزئي"),MAX(0,MOD($F410-$E410,1)*24-$I410),0))</f>
        <v/>
      </c>
      <c r="K410" s="58">
        <f>IF(OR($A410="",$E410=""),"",IF(AND(احتساب_التأخير="نعم",OR($N410="حاضر",$N410="دوام جزئي"),$E410&gt;$G410+دقائق_السماح/1440),($E410-$G410-دقائق_السماح/1440)*24,0))</f>
        <v/>
      </c>
      <c r="L410" s="58">
        <f>IF(OR($A410="",$F410=""),"",IF(AND(OR($N410="حاضر",$N410="دوام جزئي"),$F410&lt;$H410),($H410-$F410)*24,0))</f>
        <v/>
      </c>
      <c r="M410" s="58">
        <f>IF(OR($A410="",$F410=""),"",IF(AND(احتساب_العمل_الإضافي="نعم",OR($N410="حاضر",$N410="دوام جزئي"),$F410&gt;$H410,($F410-$H410)*24*60&gt;=حد_العمل_الإضافي_دقيقة),($F410-$H410)*24,0))</f>
        <v/>
      </c>
      <c r="N410" s="47" t="n"/>
      <c r="O410" s="47" t="n"/>
      <c r="Q410">
        <f>IF(AND(ISNUMBER($K410),$K410&gt;0),SUMPRODUCT(ISNUMBER($K$3:$K$502)*($K$3:$K$502&gt;0)*(ROW($K$3:$K$502)&lt;=ROW())),"")</f>
        <v/>
      </c>
    </row>
    <row r="411">
      <c r="A411" s="40" t="n"/>
      <c r="B411" s="43">
        <f>IFERROR(INDEX(الموظفون_الاسم,MATCH($A411,الموظفون_الرقم,0)),"")</f>
        <v/>
      </c>
      <c r="C411" s="110" t="n"/>
      <c r="D411" s="43">
        <f>IF($C411="","",IFERROR(INDEX(قائمة_أيام_الأسبوع,WEEKDAY($C411,1)),""))</f>
        <v/>
      </c>
      <c r="E411" s="114" t="n"/>
      <c r="F411" s="114" t="n"/>
      <c r="G411" s="115">
        <f>IF($A411="","",بداية_الدوام)</f>
        <v/>
      </c>
      <c r="H411" s="115">
        <f>IF($A411="","",نهاية_الدوام)</f>
        <v/>
      </c>
      <c r="I411" s="55">
        <f>IF($A411="","",مدة_الاستراحة/60)</f>
        <v/>
      </c>
      <c r="J411" s="55">
        <f>IF(OR($A411="",$E411="",$F411=""),"",IF(OR($N411="حاضر",$N411="دوام جزئي"),MAX(0,MOD($F411-$E411,1)*24-$I411),0))</f>
        <v/>
      </c>
      <c r="K411" s="55">
        <f>IF(OR($A411="",$E411=""),"",IF(AND(احتساب_التأخير="نعم",OR($N411="حاضر",$N411="دوام جزئي"),$E411&gt;$G411+دقائق_السماح/1440),($E411-$G411-دقائق_السماح/1440)*24,0))</f>
        <v/>
      </c>
      <c r="L411" s="55">
        <f>IF(OR($A411="",$F411=""),"",IF(AND(OR($N411="حاضر",$N411="دوام جزئي"),$F411&lt;$H411),($H411-$F411)*24,0))</f>
        <v/>
      </c>
      <c r="M411" s="55">
        <f>IF(OR($A411="",$F411=""),"",IF(AND(احتساب_العمل_الإضافي="نعم",OR($N411="حاضر",$N411="دوام جزئي"),$F411&gt;$H411,($F411-$H411)*24*60&gt;=حد_العمل_الإضافي_دقيقة),($F411-$H411)*24,0))</f>
        <v/>
      </c>
      <c r="N411" s="40" t="n"/>
      <c r="O411" s="40" t="n"/>
      <c r="Q411">
        <f>IF(AND(ISNUMBER($K411),$K411&gt;0),SUMPRODUCT(ISNUMBER($K$3:$K$502)*($K$3:$K$502&gt;0)*(ROW($K$3:$K$502)&lt;=ROW())),"")</f>
        <v/>
      </c>
    </row>
    <row r="412">
      <c r="A412" s="47" t="n"/>
      <c r="B412" s="50">
        <f>IFERROR(INDEX(الموظفون_الاسم,MATCH($A412,الموظفون_الرقم,0)),"")</f>
        <v/>
      </c>
      <c r="C412" s="112" t="n"/>
      <c r="D412" s="50">
        <f>IF($C412="","",IFERROR(INDEX(قائمة_أيام_الأسبوع,WEEKDAY($C412,1)),""))</f>
        <v/>
      </c>
      <c r="E412" s="116" t="n"/>
      <c r="F412" s="116" t="n"/>
      <c r="G412" s="117">
        <f>IF($A412="","",بداية_الدوام)</f>
        <v/>
      </c>
      <c r="H412" s="117">
        <f>IF($A412="","",نهاية_الدوام)</f>
        <v/>
      </c>
      <c r="I412" s="58">
        <f>IF($A412="","",مدة_الاستراحة/60)</f>
        <v/>
      </c>
      <c r="J412" s="58">
        <f>IF(OR($A412="",$E412="",$F412=""),"",IF(OR($N412="حاضر",$N412="دوام جزئي"),MAX(0,MOD($F412-$E412,1)*24-$I412),0))</f>
        <v/>
      </c>
      <c r="K412" s="58">
        <f>IF(OR($A412="",$E412=""),"",IF(AND(احتساب_التأخير="نعم",OR($N412="حاضر",$N412="دوام جزئي"),$E412&gt;$G412+دقائق_السماح/1440),($E412-$G412-دقائق_السماح/1440)*24,0))</f>
        <v/>
      </c>
      <c r="L412" s="58">
        <f>IF(OR($A412="",$F412=""),"",IF(AND(OR($N412="حاضر",$N412="دوام جزئي"),$F412&lt;$H412),($H412-$F412)*24,0))</f>
        <v/>
      </c>
      <c r="M412" s="58">
        <f>IF(OR($A412="",$F412=""),"",IF(AND(احتساب_العمل_الإضافي="نعم",OR($N412="حاضر",$N412="دوام جزئي"),$F412&gt;$H412,($F412-$H412)*24*60&gt;=حد_العمل_الإضافي_دقيقة),($F412-$H412)*24,0))</f>
        <v/>
      </c>
      <c r="N412" s="47" t="n"/>
      <c r="O412" s="47" t="n"/>
      <c r="Q412">
        <f>IF(AND(ISNUMBER($K412),$K412&gt;0),SUMPRODUCT(ISNUMBER($K$3:$K$502)*($K$3:$K$502&gt;0)*(ROW($K$3:$K$502)&lt;=ROW())),"")</f>
        <v/>
      </c>
    </row>
    <row r="413">
      <c r="A413" s="40" t="n"/>
      <c r="B413" s="43">
        <f>IFERROR(INDEX(الموظفون_الاسم,MATCH($A413,الموظفون_الرقم,0)),"")</f>
        <v/>
      </c>
      <c r="C413" s="110" t="n"/>
      <c r="D413" s="43">
        <f>IF($C413="","",IFERROR(INDEX(قائمة_أيام_الأسبوع,WEEKDAY($C413,1)),""))</f>
        <v/>
      </c>
      <c r="E413" s="114" t="n"/>
      <c r="F413" s="114" t="n"/>
      <c r="G413" s="115">
        <f>IF($A413="","",بداية_الدوام)</f>
        <v/>
      </c>
      <c r="H413" s="115">
        <f>IF($A413="","",نهاية_الدوام)</f>
        <v/>
      </c>
      <c r="I413" s="55">
        <f>IF($A413="","",مدة_الاستراحة/60)</f>
        <v/>
      </c>
      <c r="J413" s="55">
        <f>IF(OR($A413="",$E413="",$F413=""),"",IF(OR($N413="حاضر",$N413="دوام جزئي"),MAX(0,MOD($F413-$E413,1)*24-$I413),0))</f>
        <v/>
      </c>
      <c r="K413" s="55">
        <f>IF(OR($A413="",$E413=""),"",IF(AND(احتساب_التأخير="نعم",OR($N413="حاضر",$N413="دوام جزئي"),$E413&gt;$G413+دقائق_السماح/1440),($E413-$G413-دقائق_السماح/1440)*24,0))</f>
        <v/>
      </c>
      <c r="L413" s="55">
        <f>IF(OR($A413="",$F413=""),"",IF(AND(OR($N413="حاضر",$N413="دوام جزئي"),$F413&lt;$H413),($H413-$F413)*24,0))</f>
        <v/>
      </c>
      <c r="M413" s="55">
        <f>IF(OR($A413="",$F413=""),"",IF(AND(احتساب_العمل_الإضافي="نعم",OR($N413="حاضر",$N413="دوام جزئي"),$F413&gt;$H413,($F413-$H413)*24*60&gt;=حد_العمل_الإضافي_دقيقة),($F413-$H413)*24,0))</f>
        <v/>
      </c>
      <c r="N413" s="40" t="n"/>
      <c r="O413" s="40" t="n"/>
      <c r="Q413">
        <f>IF(AND(ISNUMBER($K413),$K413&gt;0),SUMPRODUCT(ISNUMBER($K$3:$K$502)*($K$3:$K$502&gt;0)*(ROW($K$3:$K$502)&lt;=ROW())),"")</f>
        <v/>
      </c>
    </row>
    <row r="414">
      <c r="A414" s="47" t="n"/>
      <c r="B414" s="50">
        <f>IFERROR(INDEX(الموظفون_الاسم,MATCH($A414,الموظفون_الرقم,0)),"")</f>
        <v/>
      </c>
      <c r="C414" s="112" t="n"/>
      <c r="D414" s="50">
        <f>IF($C414="","",IFERROR(INDEX(قائمة_أيام_الأسبوع,WEEKDAY($C414,1)),""))</f>
        <v/>
      </c>
      <c r="E414" s="116" t="n"/>
      <c r="F414" s="116" t="n"/>
      <c r="G414" s="117">
        <f>IF($A414="","",بداية_الدوام)</f>
        <v/>
      </c>
      <c r="H414" s="117">
        <f>IF($A414="","",نهاية_الدوام)</f>
        <v/>
      </c>
      <c r="I414" s="58">
        <f>IF($A414="","",مدة_الاستراحة/60)</f>
        <v/>
      </c>
      <c r="J414" s="58">
        <f>IF(OR($A414="",$E414="",$F414=""),"",IF(OR($N414="حاضر",$N414="دوام جزئي"),MAX(0,MOD($F414-$E414,1)*24-$I414),0))</f>
        <v/>
      </c>
      <c r="K414" s="58">
        <f>IF(OR($A414="",$E414=""),"",IF(AND(احتساب_التأخير="نعم",OR($N414="حاضر",$N414="دوام جزئي"),$E414&gt;$G414+دقائق_السماح/1440),($E414-$G414-دقائق_السماح/1440)*24,0))</f>
        <v/>
      </c>
      <c r="L414" s="58">
        <f>IF(OR($A414="",$F414=""),"",IF(AND(OR($N414="حاضر",$N414="دوام جزئي"),$F414&lt;$H414),($H414-$F414)*24,0))</f>
        <v/>
      </c>
      <c r="M414" s="58">
        <f>IF(OR($A414="",$F414=""),"",IF(AND(احتساب_العمل_الإضافي="نعم",OR($N414="حاضر",$N414="دوام جزئي"),$F414&gt;$H414,($F414-$H414)*24*60&gt;=حد_العمل_الإضافي_دقيقة),($F414-$H414)*24,0))</f>
        <v/>
      </c>
      <c r="N414" s="47" t="n"/>
      <c r="O414" s="47" t="n"/>
      <c r="Q414">
        <f>IF(AND(ISNUMBER($K414),$K414&gt;0),SUMPRODUCT(ISNUMBER($K$3:$K$502)*($K$3:$K$502&gt;0)*(ROW($K$3:$K$502)&lt;=ROW())),"")</f>
        <v/>
      </c>
    </row>
    <row r="415">
      <c r="A415" s="40" t="n"/>
      <c r="B415" s="43">
        <f>IFERROR(INDEX(الموظفون_الاسم,MATCH($A415,الموظفون_الرقم,0)),"")</f>
        <v/>
      </c>
      <c r="C415" s="110" t="n"/>
      <c r="D415" s="43">
        <f>IF($C415="","",IFERROR(INDEX(قائمة_أيام_الأسبوع,WEEKDAY($C415,1)),""))</f>
        <v/>
      </c>
      <c r="E415" s="114" t="n"/>
      <c r="F415" s="114" t="n"/>
      <c r="G415" s="115">
        <f>IF($A415="","",بداية_الدوام)</f>
        <v/>
      </c>
      <c r="H415" s="115">
        <f>IF($A415="","",نهاية_الدوام)</f>
        <v/>
      </c>
      <c r="I415" s="55">
        <f>IF($A415="","",مدة_الاستراحة/60)</f>
        <v/>
      </c>
      <c r="J415" s="55">
        <f>IF(OR($A415="",$E415="",$F415=""),"",IF(OR($N415="حاضر",$N415="دوام جزئي"),MAX(0,MOD($F415-$E415,1)*24-$I415),0))</f>
        <v/>
      </c>
      <c r="K415" s="55">
        <f>IF(OR($A415="",$E415=""),"",IF(AND(احتساب_التأخير="نعم",OR($N415="حاضر",$N415="دوام جزئي"),$E415&gt;$G415+دقائق_السماح/1440),($E415-$G415-دقائق_السماح/1440)*24,0))</f>
        <v/>
      </c>
      <c r="L415" s="55">
        <f>IF(OR($A415="",$F415=""),"",IF(AND(OR($N415="حاضر",$N415="دوام جزئي"),$F415&lt;$H415),($H415-$F415)*24,0))</f>
        <v/>
      </c>
      <c r="M415" s="55">
        <f>IF(OR($A415="",$F415=""),"",IF(AND(احتساب_العمل_الإضافي="نعم",OR($N415="حاضر",$N415="دوام جزئي"),$F415&gt;$H415,($F415-$H415)*24*60&gt;=حد_العمل_الإضافي_دقيقة),($F415-$H415)*24,0))</f>
        <v/>
      </c>
      <c r="N415" s="40" t="n"/>
      <c r="O415" s="40" t="n"/>
      <c r="Q415">
        <f>IF(AND(ISNUMBER($K415),$K415&gt;0),SUMPRODUCT(ISNUMBER($K$3:$K$502)*($K$3:$K$502&gt;0)*(ROW($K$3:$K$502)&lt;=ROW())),"")</f>
        <v/>
      </c>
    </row>
    <row r="416">
      <c r="A416" s="47" t="n"/>
      <c r="B416" s="50">
        <f>IFERROR(INDEX(الموظفون_الاسم,MATCH($A416,الموظفون_الرقم,0)),"")</f>
        <v/>
      </c>
      <c r="C416" s="112" t="n"/>
      <c r="D416" s="50">
        <f>IF($C416="","",IFERROR(INDEX(قائمة_أيام_الأسبوع,WEEKDAY($C416,1)),""))</f>
        <v/>
      </c>
      <c r="E416" s="116" t="n"/>
      <c r="F416" s="116" t="n"/>
      <c r="G416" s="117">
        <f>IF($A416="","",بداية_الدوام)</f>
        <v/>
      </c>
      <c r="H416" s="117">
        <f>IF($A416="","",نهاية_الدوام)</f>
        <v/>
      </c>
      <c r="I416" s="58">
        <f>IF($A416="","",مدة_الاستراحة/60)</f>
        <v/>
      </c>
      <c r="J416" s="58">
        <f>IF(OR($A416="",$E416="",$F416=""),"",IF(OR($N416="حاضر",$N416="دوام جزئي"),MAX(0,MOD($F416-$E416,1)*24-$I416),0))</f>
        <v/>
      </c>
      <c r="K416" s="58">
        <f>IF(OR($A416="",$E416=""),"",IF(AND(احتساب_التأخير="نعم",OR($N416="حاضر",$N416="دوام جزئي"),$E416&gt;$G416+دقائق_السماح/1440),($E416-$G416-دقائق_السماح/1440)*24,0))</f>
        <v/>
      </c>
      <c r="L416" s="58">
        <f>IF(OR($A416="",$F416=""),"",IF(AND(OR($N416="حاضر",$N416="دوام جزئي"),$F416&lt;$H416),($H416-$F416)*24,0))</f>
        <v/>
      </c>
      <c r="M416" s="58">
        <f>IF(OR($A416="",$F416=""),"",IF(AND(احتساب_العمل_الإضافي="نعم",OR($N416="حاضر",$N416="دوام جزئي"),$F416&gt;$H416,($F416-$H416)*24*60&gt;=حد_العمل_الإضافي_دقيقة),($F416-$H416)*24,0))</f>
        <v/>
      </c>
      <c r="N416" s="47" t="n"/>
      <c r="O416" s="47" t="n"/>
      <c r="Q416">
        <f>IF(AND(ISNUMBER($K416),$K416&gt;0),SUMPRODUCT(ISNUMBER($K$3:$K$502)*($K$3:$K$502&gt;0)*(ROW($K$3:$K$502)&lt;=ROW())),"")</f>
        <v/>
      </c>
    </row>
    <row r="417">
      <c r="A417" s="40" t="n"/>
      <c r="B417" s="43">
        <f>IFERROR(INDEX(الموظفون_الاسم,MATCH($A417,الموظفون_الرقم,0)),"")</f>
        <v/>
      </c>
      <c r="C417" s="110" t="n"/>
      <c r="D417" s="43">
        <f>IF($C417="","",IFERROR(INDEX(قائمة_أيام_الأسبوع,WEEKDAY($C417,1)),""))</f>
        <v/>
      </c>
      <c r="E417" s="114" t="n"/>
      <c r="F417" s="114" t="n"/>
      <c r="G417" s="115">
        <f>IF($A417="","",بداية_الدوام)</f>
        <v/>
      </c>
      <c r="H417" s="115">
        <f>IF($A417="","",نهاية_الدوام)</f>
        <v/>
      </c>
      <c r="I417" s="55">
        <f>IF($A417="","",مدة_الاستراحة/60)</f>
        <v/>
      </c>
      <c r="J417" s="55">
        <f>IF(OR($A417="",$E417="",$F417=""),"",IF(OR($N417="حاضر",$N417="دوام جزئي"),MAX(0,MOD($F417-$E417,1)*24-$I417),0))</f>
        <v/>
      </c>
      <c r="K417" s="55">
        <f>IF(OR($A417="",$E417=""),"",IF(AND(احتساب_التأخير="نعم",OR($N417="حاضر",$N417="دوام جزئي"),$E417&gt;$G417+دقائق_السماح/1440),($E417-$G417-دقائق_السماح/1440)*24,0))</f>
        <v/>
      </c>
      <c r="L417" s="55">
        <f>IF(OR($A417="",$F417=""),"",IF(AND(OR($N417="حاضر",$N417="دوام جزئي"),$F417&lt;$H417),($H417-$F417)*24,0))</f>
        <v/>
      </c>
      <c r="M417" s="55">
        <f>IF(OR($A417="",$F417=""),"",IF(AND(احتساب_العمل_الإضافي="نعم",OR($N417="حاضر",$N417="دوام جزئي"),$F417&gt;$H417,($F417-$H417)*24*60&gt;=حد_العمل_الإضافي_دقيقة),($F417-$H417)*24,0))</f>
        <v/>
      </c>
      <c r="N417" s="40" t="n"/>
      <c r="O417" s="40" t="n"/>
      <c r="Q417">
        <f>IF(AND(ISNUMBER($K417),$K417&gt;0),SUMPRODUCT(ISNUMBER($K$3:$K$502)*($K$3:$K$502&gt;0)*(ROW($K$3:$K$502)&lt;=ROW())),"")</f>
        <v/>
      </c>
    </row>
    <row r="418">
      <c r="A418" s="47" t="n"/>
      <c r="B418" s="50">
        <f>IFERROR(INDEX(الموظفون_الاسم,MATCH($A418,الموظفون_الرقم,0)),"")</f>
        <v/>
      </c>
      <c r="C418" s="112" t="n"/>
      <c r="D418" s="50">
        <f>IF($C418="","",IFERROR(INDEX(قائمة_أيام_الأسبوع,WEEKDAY($C418,1)),""))</f>
        <v/>
      </c>
      <c r="E418" s="116" t="n"/>
      <c r="F418" s="116" t="n"/>
      <c r="G418" s="117">
        <f>IF($A418="","",بداية_الدوام)</f>
        <v/>
      </c>
      <c r="H418" s="117">
        <f>IF($A418="","",نهاية_الدوام)</f>
        <v/>
      </c>
      <c r="I418" s="58">
        <f>IF($A418="","",مدة_الاستراحة/60)</f>
        <v/>
      </c>
      <c r="J418" s="58">
        <f>IF(OR($A418="",$E418="",$F418=""),"",IF(OR($N418="حاضر",$N418="دوام جزئي"),MAX(0,MOD($F418-$E418,1)*24-$I418),0))</f>
        <v/>
      </c>
      <c r="K418" s="58">
        <f>IF(OR($A418="",$E418=""),"",IF(AND(احتساب_التأخير="نعم",OR($N418="حاضر",$N418="دوام جزئي"),$E418&gt;$G418+دقائق_السماح/1440),($E418-$G418-دقائق_السماح/1440)*24,0))</f>
        <v/>
      </c>
      <c r="L418" s="58">
        <f>IF(OR($A418="",$F418=""),"",IF(AND(OR($N418="حاضر",$N418="دوام جزئي"),$F418&lt;$H418),($H418-$F418)*24,0))</f>
        <v/>
      </c>
      <c r="M418" s="58">
        <f>IF(OR($A418="",$F418=""),"",IF(AND(احتساب_العمل_الإضافي="نعم",OR($N418="حاضر",$N418="دوام جزئي"),$F418&gt;$H418,($F418-$H418)*24*60&gt;=حد_العمل_الإضافي_دقيقة),($F418-$H418)*24,0))</f>
        <v/>
      </c>
      <c r="N418" s="47" t="n"/>
      <c r="O418" s="47" t="n"/>
      <c r="Q418">
        <f>IF(AND(ISNUMBER($K418),$K418&gt;0),SUMPRODUCT(ISNUMBER($K$3:$K$502)*($K$3:$K$502&gt;0)*(ROW($K$3:$K$502)&lt;=ROW())),"")</f>
        <v/>
      </c>
    </row>
    <row r="419">
      <c r="A419" s="40" t="n"/>
      <c r="B419" s="43">
        <f>IFERROR(INDEX(الموظفون_الاسم,MATCH($A419,الموظفون_الرقم,0)),"")</f>
        <v/>
      </c>
      <c r="C419" s="110" t="n"/>
      <c r="D419" s="43">
        <f>IF($C419="","",IFERROR(INDEX(قائمة_أيام_الأسبوع,WEEKDAY($C419,1)),""))</f>
        <v/>
      </c>
      <c r="E419" s="114" t="n"/>
      <c r="F419" s="114" t="n"/>
      <c r="G419" s="115">
        <f>IF($A419="","",بداية_الدوام)</f>
        <v/>
      </c>
      <c r="H419" s="115">
        <f>IF($A419="","",نهاية_الدوام)</f>
        <v/>
      </c>
      <c r="I419" s="55">
        <f>IF($A419="","",مدة_الاستراحة/60)</f>
        <v/>
      </c>
      <c r="J419" s="55">
        <f>IF(OR($A419="",$E419="",$F419=""),"",IF(OR($N419="حاضر",$N419="دوام جزئي"),MAX(0,MOD($F419-$E419,1)*24-$I419),0))</f>
        <v/>
      </c>
      <c r="K419" s="55">
        <f>IF(OR($A419="",$E419=""),"",IF(AND(احتساب_التأخير="نعم",OR($N419="حاضر",$N419="دوام جزئي"),$E419&gt;$G419+دقائق_السماح/1440),($E419-$G419-دقائق_السماح/1440)*24,0))</f>
        <v/>
      </c>
      <c r="L419" s="55">
        <f>IF(OR($A419="",$F419=""),"",IF(AND(OR($N419="حاضر",$N419="دوام جزئي"),$F419&lt;$H419),($H419-$F419)*24,0))</f>
        <v/>
      </c>
      <c r="M419" s="55">
        <f>IF(OR($A419="",$F419=""),"",IF(AND(احتساب_العمل_الإضافي="نعم",OR($N419="حاضر",$N419="دوام جزئي"),$F419&gt;$H419,($F419-$H419)*24*60&gt;=حد_العمل_الإضافي_دقيقة),($F419-$H419)*24,0))</f>
        <v/>
      </c>
      <c r="N419" s="40" t="n"/>
      <c r="O419" s="40" t="n"/>
      <c r="Q419">
        <f>IF(AND(ISNUMBER($K419),$K419&gt;0),SUMPRODUCT(ISNUMBER($K$3:$K$502)*($K$3:$K$502&gt;0)*(ROW($K$3:$K$502)&lt;=ROW())),"")</f>
        <v/>
      </c>
    </row>
    <row r="420">
      <c r="A420" s="47" t="n"/>
      <c r="B420" s="50">
        <f>IFERROR(INDEX(الموظفون_الاسم,MATCH($A420,الموظفون_الرقم,0)),"")</f>
        <v/>
      </c>
      <c r="C420" s="112" t="n"/>
      <c r="D420" s="50">
        <f>IF($C420="","",IFERROR(INDEX(قائمة_أيام_الأسبوع,WEEKDAY($C420,1)),""))</f>
        <v/>
      </c>
      <c r="E420" s="116" t="n"/>
      <c r="F420" s="116" t="n"/>
      <c r="G420" s="117">
        <f>IF($A420="","",بداية_الدوام)</f>
        <v/>
      </c>
      <c r="H420" s="117">
        <f>IF($A420="","",نهاية_الدوام)</f>
        <v/>
      </c>
      <c r="I420" s="58">
        <f>IF($A420="","",مدة_الاستراحة/60)</f>
        <v/>
      </c>
      <c r="J420" s="58">
        <f>IF(OR($A420="",$E420="",$F420=""),"",IF(OR($N420="حاضر",$N420="دوام جزئي"),MAX(0,MOD($F420-$E420,1)*24-$I420),0))</f>
        <v/>
      </c>
      <c r="K420" s="58">
        <f>IF(OR($A420="",$E420=""),"",IF(AND(احتساب_التأخير="نعم",OR($N420="حاضر",$N420="دوام جزئي"),$E420&gt;$G420+دقائق_السماح/1440),($E420-$G420-دقائق_السماح/1440)*24,0))</f>
        <v/>
      </c>
      <c r="L420" s="58">
        <f>IF(OR($A420="",$F420=""),"",IF(AND(OR($N420="حاضر",$N420="دوام جزئي"),$F420&lt;$H420),($H420-$F420)*24,0))</f>
        <v/>
      </c>
      <c r="M420" s="58">
        <f>IF(OR($A420="",$F420=""),"",IF(AND(احتساب_العمل_الإضافي="نعم",OR($N420="حاضر",$N420="دوام جزئي"),$F420&gt;$H420,($F420-$H420)*24*60&gt;=حد_العمل_الإضافي_دقيقة),($F420-$H420)*24,0))</f>
        <v/>
      </c>
      <c r="N420" s="47" t="n"/>
      <c r="O420" s="47" t="n"/>
      <c r="Q420">
        <f>IF(AND(ISNUMBER($K420),$K420&gt;0),SUMPRODUCT(ISNUMBER($K$3:$K$502)*($K$3:$K$502&gt;0)*(ROW($K$3:$K$502)&lt;=ROW())),"")</f>
        <v/>
      </c>
    </row>
    <row r="421">
      <c r="A421" s="40" t="n"/>
      <c r="B421" s="43">
        <f>IFERROR(INDEX(الموظفون_الاسم,MATCH($A421,الموظفون_الرقم,0)),"")</f>
        <v/>
      </c>
      <c r="C421" s="110" t="n"/>
      <c r="D421" s="43">
        <f>IF($C421="","",IFERROR(INDEX(قائمة_أيام_الأسبوع,WEEKDAY($C421,1)),""))</f>
        <v/>
      </c>
      <c r="E421" s="114" t="n"/>
      <c r="F421" s="114" t="n"/>
      <c r="G421" s="115">
        <f>IF($A421="","",بداية_الدوام)</f>
        <v/>
      </c>
      <c r="H421" s="115">
        <f>IF($A421="","",نهاية_الدوام)</f>
        <v/>
      </c>
      <c r="I421" s="55">
        <f>IF($A421="","",مدة_الاستراحة/60)</f>
        <v/>
      </c>
      <c r="J421" s="55">
        <f>IF(OR($A421="",$E421="",$F421=""),"",IF(OR($N421="حاضر",$N421="دوام جزئي"),MAX(0,MOD($F421-$E421,1)*24-$I421),0))</f>
        <v/>
      </c>
      <c r="K421" s="55">
        <f>IF(OR($A421="",$E421=""),"",IF(AND(احتساب_التأخير="نعم",OR($N421="حاضر",$N421="دوام جزئي"),$E421&gt;$G421+دقائق_السماح/1440),($E421-$G421-دقائق_السماح/1440)*24,0))</f>
        <v/>
      </c>
      <c r="L421" s="55">
        <f>IF(OR($A421="",$F421=""),"",IF(AND(OR($N421="حاضر",$N421="دوام جزئي"),$F421&lt;$H421),($H421-$F421)*24,0))</f>
        <v/>
      </c>
      <c r="M421" s="55">
        <f>IF(OR($A421="",$F421=""),"",IF(AND(احتساب_العمل_الإضافي="نعم",OR($N421="حاضر",$N421="دوام جزئي"),$F421&gt;$H421,($F421-$H421)*24*60&gt;=حد_العمل_الإضافي_دقيقة),($F421-$H421)*24,0))</f>
        <v/>
      </c>
      <c r="N421" s="40" t="n"/>
      <c r="O421" s="40" t="n"/>
      <c r="Q421">
        <f>IF(AND(ISNUMBER($K421),$K421&gt;0),SUMPRODUCT(ISNUMBER($K$3:$K$502)*($K$3:$K$502&gt;0)*(ROW($K$3:$K$502)&lt;=ROW())),"")</f>
        <v/>
      </c>
    </row>
    <row r="422">
      <c r="A422" s="47" t="n"/>
      <c r="B422" s="50">
        <f>IFERROR(INDEX(الموظفون_الاسم,MATCH($A422,الموظفون_الرقم,0)),"")</f>
        <v/>
      </c>
      <c r="C422" s="112" t="n"/>
      <c r="D422" s="50">
        <f>IF($C422="","",IFERROR(INDEX(قائمة_أيام_الأسبوع,WEEKDAY($C422,1)),""))</f>
        <v/>
      </c>
      <c r="E422" s="116" t="n"/>
      <c r="F422" s="116" t="n"/>
      <c r="G422" s="117">
        <f>IF($A422="","",بداية_الدوام)</f>
        <v/>
      </c>
      <c r="H422" s="117">
        <f>IF($A422="","",نهاية_الدوام)</f>
        <v/>
      </c>
      <c r="I422" s="58">
        <f>IF($A422="","",مدة_الاستراحة/60)</f>
        <v/>
      </c>
      <c r="J422" s="58">
        <f>IF(OR($A422="",$E422="",$F422=""),"",IF(OR($N422="حاضر",$N422="دوام جزئي"),MAX(0,MOD($F422-$E422,1)*24-$I422),0))</f>
        <v/>
      </c>
      <c r="K422" s="58">
        <f>IF(OR($A422="",$E422=""),"",IF(AND(احتساب_التأخير="نعم",OR($N422="حاضر",$N422="دوام جزئي"),$E422&gt;$G422+دقائق_السماح/1440),($E422-$G422-دقائق_السماح/1440)*24,0))</f>
        <v/>
      </c>
      <c r="L422" s="58">
        <f>IF(OR($A422="",$F422=""),"",IF(AND(OR($N422="حاضر",$N422="دوام جزئي"),$F422&lt;$H422),($H422-$F422)*24,0))</f>
        <v/>
      </c>
      <c r="M422" s="58">
        <f>IF(OR($A422="",$F422=""),"",IF(AND(احتساب_العمل_الإضافي="نعم",OR($N422="حاضر",$N422="دوام جزئي"),$F422&gt;$H422,($F422-$H422)*24*60&gt;=حد_العمل_الإضافي_دقيقة),($F422-$H422)*24,0))</f>
        <v/>
      </c>
      <c r="N422" s="47" t="n"/>
      <c r="O422" s="47" t="n"/>
      <c r="Q422">
        <f>IF(AND(ISNUMBER($K422),$K422&gt;0),SUMPRODUCT(ISNUMBER($K$3:$K$502)*($K$3:$K$502&gt;0)*(ROW($K$3:$K$502)&lt;=ROW())),"")</f>
        <v/>
      </c>
    </row>
    <row r="423">
      <c r="A423" s="40" t="n"/>
      <c r="B423" s="43">
        <f>IFERROR(INDEX(الموظفون_الاسم,MATCH($A423,الموظفون_الرقم,0)),"")</f>
        <v/>
      </c>
      <c r="C423" s="110" t="n"/>
      <c r="D423" s="43">
        <f>IF($C423="","",IFERROR(INDEX(قائمة_أيام_الأسبوع,WEEKDAY($C423,1)),""))</f>
        <v/>
      </c>
      <c r="E423" s="114" t="n"/>
      <c r="F423" s="114" t="n"/>
      <c r="G423" s="115">
        <f>IF($A423="","",بداية_الدوام)</f>
        <v/>
      </c>
      <c r="H423" s="115">
        <f>IF($A423="","",نهاية_الدوام)</f>
        <v/>
      </c>
      <c r="I423" s="55">
        <f>IF($A423="","",مدة_الاستراحة/60)</f>
        <v/>
      </c>
      <c r="J423" s="55">
        <f>IF(OR($A423="",$E423="",$F423=""),"",IF(OR($N423="حاضر",$N423="دوام جزئي"),MAX(0,MOD($F423-$E423,1)*24-$I423),0))</f>
        <v/>
      </c>
      <c r="K423" s="55">
        <f>IF(OR($A423="",$E423=""),"",IF(AND(احتساب_التأخير="نعم",OR($N423="حاضر",$N423="دوام جزئي"),$E423&gt;$G423+دقائق_السماح/1440),($E423-$G423-دقائق_السماح/1440)*24,0))</f>
        <v/>
      </c>
      <c r="L423" s="55">
        <f>IF(OR($A423="",$F423=""),"",IF(AND(OR($N423="حاضر",$N423="دوام جزئي"),$F423&lt;$H423),($H423-$F423)*24,0))</f>
        <v/>
      </c>
      <c r="M423" s="55">
        <f>IF(OR($A423="",$F423=""),"",IF(AND(احتساب_العمل_الإضافي="نعم",OR($N423="حاضر",$N423="دوام جزئي"),$F423&gt;$H423,($F423-$H423)*24*60&gt;=حد_العمل_الإضافي_دقيقة),($F423-$H423)*24,0))</f>
        <v/>
      </c>
      <c r="N423" s="40" t="n"/>
      <c r="O423" s="40" t="n"/>
      <c r="Q423">
        <f>IF(AND(ISNUMBER($K423),$K423&gt;0),SUMPRODUCT(ISNUMBER($K$3:$K$502)*($K$3:$K$502&gt;0)*(ROW($K$3:$K$502)&lt;=ROW())),"")</f>
        <v/>
      </c>
    </row>
    <row r="424">
      <c r="A424" s="47" t="n"/>
      <c r="B424" s="50">
        <f>IFERROR(INDEX(الموظفون_الاسم,MATCH($A424,الموظفون_الرقم,0)),"")</f>
        <v/>
      </c>
      <c r="C424" s="112" t="n"/>
      <c r="D424" s="50">
        <f>IF($C424="","",IFERROR(INDEX(قائمة_أيام_الأسبوع,WEEKDAY($C424,1)),""))</f>
        <v/>
      </c>
      <c r="E424" s="116" t="n"/>
      <c r="F424" s="116" t="n"/>
      <c r="G424" s="117">
        <f>IF($A424="","",بداية_الدوام)</f>
        <v/>
      </c>
      <c r="H424" s="117">
        <f>IF($A424="","",نهاية_الدوام)</f>
        <v/>
      </c>
      <c r="I424" s="58">
        <f>IF($A424="","",مدة_الاستراحة/60)</f>
        <v/>
      </c>
      <c r="J424" s="58">
        <f>IF(OR($A424="",$E424="",$F424=""),"",IF(OR($N424="حاضر",$N424="دوام جزئي"),MAX(0,MOD($F424-$E424,1)*24-$I424),0))</f>
        <v/>
      </c>
      <c r="K424" s="58">
        <f>IF(OR($A424="",$E424=""),"",IF(AND(احتساب_التأخير="نعم",OR($N424="حاضر",$N424="دوام جزئي"),$E424&gt;$G424+دقائق_السماح/1440),($E424-$G424-دقائق_السماح/1440)*24,0))</f>
        <v/>
      </c>
      <c r="L424" s="58">
        <f>IF(OR($A424="",$F424=""),"",IF(AND(OR($N424="حاضر",$N424="دوام جزئي"),$F424&lt;$H424),($H424-$F424)*24,0))</f>
        <v/>
      </c>
      <c r="M424" s="58">
        <f>IF(OR($A424="",$F424=""),"",IF(AND(احتساب_العمل_الإضافي="نعم",OR($N424="حاضر",$N424="دوام جزئي"),$F424&gt;$H424,($F424-$H424)*24*60&gt;=حد_العمل_الإضافي_دقيقة),($F424-$H424)*24,0))</f>
        <v/>
      </c>
      <c r="N424" s="47" t="n"/>
      <c r="O424" s="47" t="n"/>
      <c r="Q424">
        <f>IF(AND(ISNUMBER($K424),$K424&gt;0),SUMPRODUCT(ISNUMBER($K$3:$K$502)*($K$3:$K$502&gt;0)*(ROW($K$3:$K$502)&lt;=ROW())),"")</f>
        <v/>
      </c>
    </row>
    <row r="425">
      <c r="A425" s="40" t="n"/>
      <c r="B425" s="43">
        <f>IFERROR(INDEX(الموظفون_الاسم,MATCH($A425,الموظفون_الرقم,0)),"")</f>
        <v/>
      </c>
      <c r="C425" s="110" t="n"/>
      <c r="D425" s="43">
        <f>IF($C425="","",IFERROR(INDEX(قائمة_أيام_الأسبوع,WEEKDAY($C425,1)),""))</f>
        <v/>
      </c>
      <c r="E425" s="114" t="n"/>
      <c r="F425" s="114" t="n"/>
      <c r="G425" s="115">
        <f>IF($A425="","",بداية_الدوام)</f>
        <v/>
      </c>
      <c r="H425" s="115">
        <f>IF($A425="","",نهاية_الدوام)</f>
        <v/>
      </c>
      <c r="I425" s="55">
        <f>IF($A425="","",مدة_الاستراحة/60)</f>
        <v/>
      </c>
      <c r="J425" s="55">
        <f>IF(OR($A425="",$E425="",$F425=""),"",IF(OR($N425="حاضر",$N425="دوام جزئي"),MAX(0,MOD($F425-$E425,1)*24-$I425),0))</f>
        <v/>
      </c>
      <c r="K425" s="55">
        <f>IF(OR($A425="",$E425=""),"",IF(AND(احتساب_التأخير="نعم",OR($N425="حاضر",$N425="دوام جزئي"),$E425&gt;$G425+دقائق_السماح/1440),($E425-$G425-دقائق_السماح/1440)*24,0))</f>
        <v/>
      </c>
      <c r="L425" s="55">
        <f>IF(OR($A425="",$F425=""),"",IF(AND(OR($N425="حاضر",$N425="دوام جزئي"),$F425&lt;$H425),($H425-$F425)*24,0))</f>
        <v/>
      </c>
      <c r="M425" s="55">
        <f>IF(OR($A425="",$F425=""),"",IF(AND(احتساب_العمل_الإضافي="نعم",OR($N425="حاضر",$N425="دوام جزئي"),$F425&gt;$H425,($F425-$H425)*24*60&gt;=حد_العمل_الإضافي_دقيقة),($F425-$H425)*24,0))</f>
        <v/>
      </c>
      <c r="N425" s="40" t="n"/>
      <c r="O425" s="40" t="n"/>
      <c r="Q425">
        <f>IF(AND(ISNUMBER($K425),$K425&gt;0),SUMPRODUCT(ISNUMBER($K$3:$K$502)*($K$3:$K$502&gt;0)*(ROW($K$3:$K$502)&lt;=ROW())),"")</f>
        <v/>
      </c>
    </row>
    <row r="426">
      <c r="A426" s="47" t="n"/>
      <c r="B426" s="50">
        <f>IFERROR(INDEX(الموظفون_الاسم,MATCH($A426,الموظفون_الرقم,0)),"")</f>
        <v/>
      </c>
      <c r="C426" s="112" t="n"/>
      <c r="D426" s="50">
        <f>IF($C426="","",IFERROR(INDEX(قائمة_أيام_الأسبوع,WEEKDAY($C426,1)),""))</f>
        <v/>
      </c>
      <c r="E426" s="116" t="n"/>
      <c r="F426" s="116" t="n"/>
      <c r="G426" s="117">
        <f>IF($A426="","",بداية_الدوام)</f>
        <v/>
      </c>
      <c r="H426" s="117">
        <f>IF($A426="","",نهاية_الدوام)</f>
        <v/>
      </c>
      <c r="I426" s="58">
        <f>IF($A426="","",مدة_الاستراحة/60)</f>
        <v/>
      </c>
      <c r="J426" s="58">
        <f>IF(OR($A426="",$E426="",$F426=""),"",IF(OR($N426="حاضر",$N426="دوام جزئي"),MAX(0,MOD($F426-$E426,1)*24-$I426),0))</f>
        <v/>
      </c>
      <c r="K426" s="58">
        <f>IF(OR($A426="",$E426=""),"",IF(AND(احتساب_التأخير="نعم",OR($N426="حاضر",$N426="دوام جزئي"),$E426&gt;$G426+دقائق_السماح/1440),($E426-$G426-دقائق_السماح/1440)*24,0))</f>
        <v/>
      </c>
      <c r="L426" s="58">
        <f>IF(OR($A426="",$F426=""),"",IF(AND(OR($N426="حاضر",$N426="دوام جزئي"),$F426&lt;$H426),($H426-$F426)*24,0))</f>
        <v/>
      </c>
      <c r="M426" s="58">
        <f>IF(OR($A426="",$F426=""),"",IF(AND(احتساب_العمل_الإضافي="نعم",OR($N426="حاضر",$N426="دوام جزئي"),$F426&gt;$H426,($F426-$H426)*24*60&gt;=حد_العمل_الإضافي_دقيقة),($F426-$H426)*24,0))</f>
        <v/>
      </c>
      <c r="N426" s="47" t="n"/>
      <c r="O426" s="47" t="n"/>
      <c r="Q426">
        <f>IF(AND(ISNUMBER($K426),$K426&gt;0),SUMPRODUCT(ISNUMBER($K$3:$K$502)*($K$3:$K$502&gt;0)*(ROW($K$3:$K$502)&lt;=ROW())),"")</f>
        <v/>
      </c>
    </row>
    <row r="427">
      <c r="A427" s="40" t="n"/>
      <c r="B427" s="43">
        <f>IFERROR(INDEX(الموظفون_الاسم,MATCH($A427,الموظفون_الرقم,0)),"")</f>
        <v/>
      </c>
      <c r="C427" s="110" t="n"/>
      <c r="D427" s="43">
        <f>IF($C427="","",IFERROR(INDEX(قائمة_أيام_الأسبوع,WEEKDAY($C427,1)),""))</f>
        <v/>
      </c>
      <c r="E427" s="114" t="n"/>
      <c r="F427" s="114" t="n"/>
      <c r="G427" s="115">
        <f>IF($A427="","",بداية_الدوام)</f>
        <v/>
      </c>
      <c r="H427" s="115">
        <f>IF($A427="","",نهاية_الدوام)</f>
        <v/>
      </c>
      <c r="I427" s="55">
        <f>IF($A427="","",مدة_الاستراحة/60)</f>
        <v/>
      </c>
      <c r="J427" s="55">
        <f>IF(OR($A427="",$E427="",$F427=""),"",IF(OR($N427="حاضر",$N427="دوام جزئي"),MAX(0,MOD($F427-$E427,1)*24-$I427),0))</f>
        <v/>
      </c>
      <c r="K427" s="55">
        <f>IF(OR($A427="",$E427=""),"",IF(AND(احتساب_التأخير="نعم",OR($N427="حاضر",$N427="دوام جزئي"),$E427&gt;$G427+دقائق_السماح/1440),($E427-$G427-دقائق_السماح/1440)*24,0))</f>
        <v/>
      </c>
      <c r="L427" s="55">
        <f>IF(OR($A427="",$F427=""),"",IF(AND(OR($N427="حاضر",$N427="دوام جزئي"),$F427&lt;$H427),($H427-$F427)*24,0))</f>
        <v/>
      </c>
      <c r="M427" s="55">
        <f>IF(OR($A427="",$F427=""),"",IF(AND(احتساب_العمل_الإضافي="نعم",OR($N427="حاضر",$N427="دوام جزئي"),$F427&gt;$H427,($F427-$H427)*24*60&gt;=حد_العمل_الإضافي_دقيقة),($F427-$H427)*24,0))</f>
        <v/>
      </c>
      <c r="N427" s="40" t="n"/>
      <c r="O427" s="40" t="n"/>
      <c r="Q427">
        <f>IF(AND(ISNUMBER($K427),$K427&gt;0),SUMPRODUCT(ISNUMBER($K$3:$K$502)*($K$3:$K$502&gt;0)*(ROW($K$3:$K$502)&lt;=ROW())),"")</f>
        <v/>
      </c>
    </row>
    <row r="428">
      <c r="A428" s="47" t="n"/>
      <c r="B428" s="50">
        <f>IFERROR(INDEX(الموظفون_الاسم,MATCH($A428,الموظفون_الرقم,0)),"")</f>
        <v/>
      </c>
      <c r="C428" s="112" t="n"/>
      <c r="D428" s="50">
        <f>IF($C428="","",IFERROR(INDEX(قائمة_أيام_الأسبوع,WEEKDAY($C428,1)),""))</f>
        <v/>
      </c>
      <c r="E428" s="116" t="n"/>
      <c r="F428" s="116" t="n"/>
      <c r="G428" s="117">
        <f>IF($A428="","",بداية_الدوام)</f>
        <v/>
      </c>
      <c r="H428" s="117">
        <f>IF($A428="","",نهاية_الدوام)</f>
        <v/>
      </c>
      <c r="I428" s="58">
        <f>IF($A428="","",مدة_الاستراحة/60)</f>
        <v/>
      </c>
      <c r="J428" s="58">
        <f>IF(OR($A428="",$E428="",$F428=""),"",IF(OR($N428="حاضر",$N428="دوام جزئي"),MAX(0,MOD($F428-$E428,1)*24-$I428),0))</f>
        <v/>
      </c>
      <c r="K428" s="58">
        <f>IF(OR($A428="",$E428=""),"",IF(AND(احتساب_التأخير="نعم",OR($N428="حاضر",$N428="دوام جزئي"),$E428&gt;$G428+دقائق_السماح/1440),($E428-$G428-دقائق_السماح/1440)*24,0))</f>
        <v/>
      </c>
      <c r="L428" s="58">
        <f>IF(OR($A428="",$F428=""),"",IF(AND(OR($N428="حاضر",$N428="دوام جزئي"),$F428&lt;$H428),($H428-$F428)*24,0))</f>
        <v/>
      </c>
      <c r="M428" s="58">
        <f>IF(OR($A428="",$F428=""),"",IF(AND(احتساب_العمل_الإضافي="نعم",OR($N428="حاضر",$N428="دوام جزئي"),$F428&gt;$H428,($F428-$H428)*24*60&gt;=حد_العمل_الإضافي_دقيقة),($F428-$H428)*24,0))</f>
        <v/>
      </c>
      <c r="N428" s="47" t="n"/>
      <c r="O428" s="47" t="n"/>
      <c r="Q428">
        <f>IF(AND(ISNUMBER($K428),$K428&gt;0),SUMPRODUCT(ISNUMBER($K$3:$K$502)*($K$3:$K$502&gt;0)*(ROW($K$3:$K$502)&lt;=ROW())),"")</f>
        <v/>
      </c>
    </row>
    <row r="429">
      <c r="A429" s="40" t="n"/>
      <c r="B429" s="43">
        <f>IFERROR(INDEX(الموظفون_الاسم,MATCH($A429,الموظفون_الرقم,0)),"")</f>
        <v/>
      </c>
      <c r="C429" s="110" t="n"/>
      <c r="D429" s="43">
        <f>IF($C429="","",IFERROR(INDEX(قائمة_أيام_الأسبوع,WEEKDAY($C429,1)),""))</f>
        <v/>
      </c>
      <c r="E429" s="114" t="n"/>
      <c r="F429" s="114" t="n"/>
      <c r="G429" s="115">
        <f>IF($A429="","",بداية_الدوام)</f>
        <v/>
      </c>
      <c r="H429" s="115">
        <f>IF($A429="","",نهاية_الدوام)</f>
        <v/>
      </c>
      <c r="I429" s="55">
        <f>IF($A429="","",مدة_الاستراحة/60)</f>
        <v/>
      </c>
      <c r="J429" s="55">
        <f>IF(OR($A429="",$E429="",$F429=""),"",IF(OR($N429="حاضر",$N429="دوام جزئي"),MAX(0,MOD($F429-$E429,1)*24-$I429),0))</f>
        <v/>
      </c>
      <c r="K429" s="55">
        <f>IF(OR($A429="",$E429=""),"",IF(AND(احتساب_التأخير="نعم",OR($N429="حاضر",$N429="دوام جزئي"),$E429&gt;$G429+دقائق_السماح/1440),($E429-$G429-دقائق_السماح/1440)*24,0))</f>
        <v/>
      </c>
      <c r="L429" s="55">
        <f>IF(OR($A429="",$F429=""),"",IF(AND(OR($N429="حاضر",$N429="دوام جزئي"),$F429&lt;$H429),($H429-$F429)*24,0))</f>
        <v/>
      </c>
      <c r="M429" s="55">
        <f>IF(OR($A429="",$F429=""),"",IF(AND(احتساب_العمل_الإضافي="نعم",OR($N429="حاضر",$N429="دوام جزئي"),$F429&gt;$H429,($F429-$H429)*24*60&gt;=حد_العمل_الإضافي_دقيقة),($F429-$H429)*24,0))</f>
        <v/>
      </c>
      <c r="N429" s="40" t="n"/>
      <c r="O429" s="40" t="n"/>
      <c r="Q429">
        <f>IF(AND(ISNUMBER($K429),$K429&gt;0),SUMPRODUCT(ISNUMBER($K$3:$K$502)*($K$3:$K$502&gt;0)*(ROW($K$3:$K$502)&lt;=ROW())),"")</f>
        <v/>
      </c>
    </row>
    <row r="430">
      <c r="A430" s="47" t="n"/>
      <c r="B430" s="50">
        <f>IFERROR(INDEX(الموظفون_الاسم,MATCH($A430,الموظفون_الرقم,0)),"")</f>
        <v/>
      </c>
      <c r="C430" s="112" t="n"/>
      <c r="D430" s="50">
        <f>IF($C430="","",IFERROR(INDEX(قائمة_أيام_الأسبوع,WEEKDAY($C430,1)),""))</f>
        <v/>
      </c>
      <c r="E430" s="116" t="n"/>
      <c r="F430" s="116" t="n"/>
      <c r="G430" s="117">
        <f>IF($A430="","",بداية_الدوام)</f>
        <v/>
      </c>
      <c r="H430" s="117">
        <f>IF($A430="","",نهاية_الدوام)</f>
        <v/>
      </c>
      <c r="I430" s="58">
        <f>IF($A430="","",مدة_الاستراحة/60)</f>
        <v/>
      </c>
      <c r="J430" s="58">
        <f>IF(OR($A430="",$E430="",$F430=""),"",IF(OR($N430="حاضر",$N430="دوام جزئي"),MAX(0,MOD($F430-$E430,1)*24-$I430),0))</f>
        <v/>
      </c>
      <c r="K430" s="58">
        <f>IF(OR($A430="",$E430=""),"",IF(AND(احتساب_التأخير="نعم",OR($N430="حاضر",$N430="دوام جزئي"),$E430&gt;$G430+دقائق_السماح/1440),($E430-$G430-دقائق_السماح/1440)*24,0))</f>
        <v/>
      </c>
      <c r="L430" s="58">
        <f>IF(OR($A430="",$F430=""),"",IF(AND(OR($N430="حاضر",$N430="دوام جزئي"),$F430&lt;$H430),($H430-$F430)*24,0))</f>
        <v/>
      </c>
      <c r="M430" s="58">
        <f>IF(OR($A430="",$F430=""),"",IF(AND(احتساب_العمل_الإضافي="نعم",OR($N430="حاضر",$N430="دوام جزئي"),$F430&gt;$H430,($F430-$H430)*24*60&gt;=حد_العمل_الإضافي_دقيقة),($F430-$H430)*24,0))</f>
        <v/>
      </c>
      <c r="N430" s="47" t="n"/>
      <c r="O430" s="47" t="n"/>
      <c r="Q430">
        <f>IF(AND(ISNUMBER($K430),$K430&gt;0),SUMPRODUCT(ISNUMBER($K$3:$K$502)*($K$3:$K$502&gt;0)*(ROW($K$3:$K$502)&lt;=ROW())),"")</f>
        <v/>
      </c>
    </row>
    <row r="431">
      <c r="A431" s="40" t="n"/>
      <c r="B431" s="43">
        <f>IFERROR(INDEX(الموظفون_الاسم,MATCH($A431,الموظفون_الرقم,0)),"")</f>
        <v/>
      </c>
      <c r="C431" s="110" t="n"/>
      <c r="D431" s="43">
        <f>IF($C431="","",IFERROR(INDEX(قائمة_أيام_الأسبوع,WEEKDAY($C431,1)),""))</f>
        <v/>
      </c>
      <c r="E431" s="114" t="n"/>
      <c r="F431" s="114" t="n"/>
      <c r="G431" s="115">
        <f>IF($A431="","",بداية_الدوام)</f>
        <v/>
      </c>
      <c r="H431" s="115">
        <f>IF($A431="","",نهاية_الدوام)</f>
        <v/>
      </c>
      <c r="I431" s="55">
        <f>IF($A431="","",مدة_الاستراحة/60)</f>
        <v/>
      </c>
      <c r="J431" s="55">
        <f>IF(OR($A431="",$E431="",$F431=""),"",IF(OR($N431="حاضر",$N431="دوام جزئي"),MAX(0,MOD($F431-$E431,1)*24-$I431),0))</f>
        <v/>
      </c>
      <c r="K431" s="55">
        <f>IF(OR($A431="",$E431=""),"",IF(AND(احتساب_التأخير="نعم",OR($N431="حاضر",$N431="دوام جزئي"),$E431&gt;$G431+دقائق_السماح/1440),($E431-$G431-دقائق_السماح/1440)*24,0))</f>
        <v/>
      </c>
      <c r="L431" s="55">
        <f>IF(OR($A431="",$F431=""),"",IF(AND(OR($N431="حاضر",$N431="دوام جزئي"),$F431&lt;$H431),($H431-$F431)*24,0))</f>
        <v/>
      </c>
      <c r="M431" s="55">
        <f>IF(OR($A431="",$F431=""),"",IF(AND(احتساب_العمل_الإضافي="نعم",OR($N431="حاضر",$N431="دوام جزئي"),$F431&gt;$H431,($F431-$H431)*24*60&gt;=حد_العمل_الإضافي_دقيقة),($F431-$H431)*24,0))</f>
        <v/>
      </c>
      <c r="N431" s="40" t="n"/>
      <c r="O431" s="40" t="n"/>
      <c r="Q431">
        <f>IF(AND(ISNUMBER($K431),$K431&gt;0),SUMPRODUCT(ISNUMBER($K$3:$K$502)*($K$3:$K$502&gt;0)*(ROW($K$3:$K$502)&lt;=ROW())),"")</f>
        <v/>
      </c>
    </row>
    <row r="432">
      <c r="A432" s="47" t="n"/>
      <c r="B432" s="50">
        <f>IFERROR(INDEX(الموظفون_الاسم,MATCH($A432,الموظفون_الرقم,0)),"")</f>
        <v/>
      </c>
      <c r="C432" s="112" t="n"/>
      <c r="D432" s="50">
        <f>IF($C432="","",IFERROR(INDEX(قائمة_أيام_الأسبوع,WEEKDAY($C432,1)),""))</f>
        <v/>
      </c>
      <c r="E432" s="116" t="n"/>
      <c r="F432" s="116" t="n"/>
      <c r="G432" s="117">
        <f>IF($A432="","",بداية_الدوام)</f>
        <v/>
      </c>
      <c r="H432" s="117">
        <f>IF($A432="","",نهاية_الدوام)</f>
        <v/>
      </c>
      <c r="I432" s="58">
        <f>IF($A432="","",مدة_الاستراحة/60)</f>
        <v/>
      </c>
      <c r="J432" s="58">
        <f>IF(OR($A432="",$E432="",$F432=""),"",IF(OR($N432="حاضر",$N432="دوام جزئي"),MAX(0,MOD($F432-$E432,1)*24-$I432),0))</f>
        <v/>
      </c>
      <c r="K432" s="58">
        <f>IF(OR($A432="",$E432=""),"",IF(AND(احتساب_التأخير="نعم",OR($N432="حاضر",$N432="دوام جزئي"),$E432&gt;$G432+دقائق_السماح/1440),($E432-$G432-دقائق_السماح/1440)*24,0))</f>
        <v/>
      </c>
      <c r="L432" s="58">
        <f>IF(OR($A432="",$F432=""),"",IF(AND(OR($N432="حاضر",$N432="دوام جزئي"),$F432&lt;$H432),($H432-$F432)*24,0))</f>
        <v/>
      </c>
      <c r="M432" s="58">
        <f>IF(OR($A432="",$F432=""),"",IF(AND(احتساب_العمل_الإضافي="نعم",OR($N432="حاضر",$N432="دوام جزئي"),$F432&gt;$H432,($F432-$H432)*24*60&gt;=حد_العمل_الإضافي_دقيقة),($F432-$H432)*24,0))</f>
        <v/>
      </c>
      <c r="N432" s="47" t="n"/>
      <c r="O432" s="47" t="n"/>
      <c r="Q432">
        <f>IF(AND(ISNUMBER($K432),$K432&gt;0),SUMPRODUCT(ISNUMBER($K$3:$K$502)*($K$3:$K$502&gt;0)*(ROW($K$3:$K$502)&lt;=ROW())),"")</f>
        <v/>
      </c>
    </row>
    <row r="433">
      <c r="A433" s="40" t="n"/>
      <c r="B433" s="43">
        <f>IFERROR(INDEX(الموظفون_الاسم,MATCH($A433,الموظفون_الرقم,0)),"")</f>
        <v/>
      </c>
      <c r="C433" s="110" t="n"/>
      <c r="D433" s="43">
        <f>IF($C433="","",IFERROR(INDEX(قائمة_أيام_الأسبوع,WEEKDAY($C433,1)),""))</f>
        <v/>
      </c>
      <c r="E433" s="114" t="n"/>
      <c r="F433" s="114" t="n"/>
      <c r="G433" s="115">
        <f>IF($A433="","",بداية_الدوام)</f>
        <v/>
      </c>
      <c r="H433" s="115">
        <f>IF($A433="","",نهاية_الدوام)</f>
        <v/>
      </c>
      <c r="I433" s="55">
        <f>IF($A433="","",مدة_الاستراحة/60)</f>
        <v/>
      </c>
      <c r="J433" s="55">
        <f>IF(OR($A433="",$E433="",$F433=""),"",IF(OR($N433="حاضر",$N433="دوام جزئي"),MAX(0,MOD($F433-$E433,1)*24-$I433),0))</f>
        <v/>
      </c>
      <c r="K433" s="55">
        <f>IF(OR($A433="",$E433=""),"",IF(AND(احتساب_التأخير="نعم",OR($N433="حاضر",$N433="دوام جزئي"),$E433&gt;$G433+دقائق_السماح/1440),($E433-$G433-دقائق_السماح/1440)*24,0))</f>
        <v/>
      </c>
      <c r="L433" s="55">
        <f>IF(OR($A433="",$F433=""),"",IF(AND(OR($N433="حاضر",$N433="دوام جزئي"),$F433&lt;$H433),($H433-$F433)*24,0))</f>
        <v/>
      </c>
      <c r="M433" s="55">
        <f>IF(OR($A433="",$F433=""),"",IF(AND(احتساب_العمل_الإضافي="نعم",OR($N433="حاضر",$N433="دوام جزئي"),$F433&gt;$H433,($F433-$H433)*24*60&gt;=حد_العمل_الإضافي_دقيقة),($F433-$H433)*24,0))</f>
        <v/>
      </c>
      <c r="N433" s="40" t="n"/>
      <c r="O433" s="40" t="n"/>
      <c r="Q433">
        <f>IF(AND(ISNUMBER($K433),$K433&gt;0),SUMPRODUCT(ISNUMBER($K$3:$K$502)*($K$3:$K$502&gt;0)*(ROW($K$3:$K$502)&lt;=ROW())),"")</f>
        <v/>
      </c>
    </row>
    <row r="434">
      <c r="A434" s="47" t="n"/>
      <c r="B434" s="50">
        <f>IFERROR(INDEX(الموظفون_الاسم,MATCH($A434,الموظفون_الرقم,0)),"")</f>
        <v/>
      </c>
      <c r="C434" s="112" t="n"/>
      <c r="D434" s="50">
        <f>IF($C434="","",IFERROR(INDEX(قائمة_أيام_الأسبوع,WEEKDAY($C434,1)),""))</f>
        <v/>
      </c>
      <c r="E434" s="116" t="n"/>
      <c r="F434" s="116" t="n"/>
      <c r="G434" s="117">
        <f>IF($A434="","",بداية_الدوام)</f>
        <v/>
      </c>
      <c r="H434" s="117">
        <f>IF($A434="","",نهاية_الدوام)</f>
        <v/>
      </c>
      <c r="I434" s="58">
        <f>IF($A434="","",مدة_الاستراحة/60)</f>
        <v/>
      </c>
      <c r="J434" s="58">
        <f>IF(OR($A434="",$E434="",$F434=""),"",IF(OR($N434="حاضر",$N434="دوام جزئي"),MAX(0,MOD($F434-$E434,1)*24-$I434),0))</f>
        <v/>
      </c>
      <c r="K434" s="58">
        <f>IF(OR($A434="",$E434=""),"",IF(AND(احتساب_التأخير="نعم",OR($N434="حاضر",$N434="دوام جزئي"),$E434&gt;$G434+دقائق_السماح/1440),($E434-$G434-دقائق_السماح/1440)*24,0))</f>
        <v/>
      </c>
      <c r="L434" s="58">
        <f>IF(OR($A434="",$F434=""),"",IF(AND(OR($N434="حاضر",$N434="دوام جزئي"),$F434&lt;$H434),($H434-$F434)*24,0))</f>
        <v/>
      </c>
      <c r="M434" s="58">
        <f>IF(OR($A434="",$F434=""),"",IF(AND(احتساب_العمل_الإضافي="نعم",OR($N434="حاضر",$N434="دوام جزئي"),$F434&gt;$H434,($F434-$H434)*24*60&gt;=حد_العمل_الإضافي_دقيقة),($F434-$H434)*24,0))</f>
        <v/>
      </c>
      <c r="N434" s="47" t="n"/>
      <c r="O434" s="47" t="n"/>
      <c r="Q434">
        <f>IF(AND(ISNUMBER($K434),$K434&gt;0),SUMPRODUCT(ISNUMBER($K$3:$K$502)*($K$3:$K$502&gt;0)*(ROW($K$3:$K$502)&lt;=ROW())),"")</f>
        <v/>
      </c>
    </row>
    <row r="435">
      <c r="A435" s="40" t="n"/>
      <c r="B435" s="43">
        <f>IFERROR(INDEX(الموظفون_الاسم,MATCH($A435,الموظفون_الرقم,0)),"")</f>
        <v/>
      </c>
      <c r="C435" s="110" t="n"/>
      <c r="D435" s="43">
        <f>IF($C435="","",IFERROR(INDEX(قائمة_أيام_الأسبوع,WEEKDAY($C435,1)),""))</f>
        <v/>
      </c>
      <c r="E435" s="114" t="n"/>
      <c r="F435" s="114" t="n"/>
      <c r="G435" s="115">
        <f>IF($A435="","",بداية_الدوام)</f>
        <v/>
      </c>
      <c r="H435" s="115">
        <f>IF($A435="","",نهاية_الدوام)</f>
        <v/>
      </c>
      <c r="I435" s="55">
        <f>IF($A435="","",مدة_الاستراحة/60)</f>
        <v/>
      </c>
      <c r="J435" s="55">
        <f>IF(OR($A435="",$E435="",$F435=""),"",IF(OR($N435="حاضر",$N435="دوام جزئي"),MAX(0,MOD($F435-$E435,1)*24-$I435),0))</f>
        <v/>
      </c>
      <c r="K435" s="55">
        <f>IF(OR($A435="",$E435=""),"",IF(AND(احتساب_التأخير="نعم",OR($N435="حاضر",$N435="دوام جزئي"),$E435&gt;$G435+دقائق_السماح/1440),($E435-$G435-دقائق_السماح/1440)*24,0))</f>
        <v/>
      </c>
      <c r="L435" s="55">
        <f>IF(OR($A435="",$F435=""),"",IF(AND(OR($N435="حاضر",$N435="دوام جزئي"),$F435&lt;$H435),($H435-$F435)*24,0))</f>
        <v/>
      </c>
      <c r="M435" s="55">
        <f>IF(OR($A435="",$F435=""),"",IF(AND(احتساب_العمل_الإضافي="نعم",OR($N435="حاضر",$N435="دوام جزئي"),$F435&gt;$H435,($F435-$H435)*24*60&gt;=حد_العمل_الإضافي_دقيقة),($F435-$H435)*24,0))</f>
        <v/>
      </c>
      <c r="N435" s="40" t="n"/>
      <c r="O435" s="40" t="n"/>
      <c r="Q435">
        <f>IF(AND(ISNUMBER($K435),$K435&gt;0),SUMPRODUCT(ISNUMBER($K$3:$K$502)*($K$3:$K$502&gt;0)*(ROW($K$3:$K$502)&lt;=ROW())),"")</f>
        <v/>
      </c>
    </row>
    <row r="436">
      <c r="A436" s="47" t="n"/>
      <c r="B436" s="50">
        <f>IFERROR(INDEX(الموظفون_الاسم,MATCH($A436,الموظفون_الرقم,0)),"")</f>
        <v/>
      </c>
      <c r="C436" s="112" t="n"/>
      <c r="D436" s="50">
        <f>IF($C436="","",IFERROR(INDEX(قائمة_أيام_الأسبوع,WEEKDAY($C436,1)),""))</f>
        <v/>
      </c>
      <c r="E436" s="116" t="n"/>
      <c r="F436" s="116" t="n"/>
      <c r="G436" s="117">
        <f>IF($A436="","",بداية_الدوام)</f>
        <v/>
      </c>
      <c r="H436" s="117">
        <f>IF($A436="","",نهاية_الدوام)</f>
        <v/>
      </c>
      <c r="I436" s="58">
        <f>IF($A436="","",مدة_الاستراحة/60)</f>
        <v/>
      </c>
      <c r="J436" s="58">
        <f>IF(OR($A436="",$E436="",$F436=""),"",IF(OR($N436="حاضر",$N436="دوام جزئي"),MAX(0,MOD($F436-$E436,1)*24-$I436),0))</f>
        <v/>
      </c>
      <c r="K436" s="58">
        <f>IF(OR($A436="",$E436=""),"",IF(AND(احتساب_التأخير="نعم",OR($N436="حاضر",$N436="دوام جزئي"),$E436&gt;$G436+دقائق_السماح/1440),($E436-$G436-دقائق_السماح/1440)*24,0))</f>
        <v/>
      </c>
      <c r="L436" s="58">
        <f>IF(OR($A436="",$F436=""),"",IF(AND(OR($N436="حاضر",$N436="دوام جزئي"),$F436&lt;$H436),($H436-$F436)*24,0))</f>
        <v/>
      </c>
      <c r="M436" s="58">
        <f>IF(OR($A436="",$F436=""),"",IF(AND(احتساب_العمل_الإضافي="نعم",OR($N436="حاضر",$N436="دوام جزئي"),$F436&gt;$H436,($F436-$H436)*24*60&gt;=حد_العمل_الإضافي_دقيقة),($F436-$H436)*24,0))</f>
        <v/>
      </c>
      <c r="N436" s="47" t="n"/>
      <c r="O436" s="47" t="n"/>
      <c r="Q436">
        <f>IF(AND(ISNUMBER($K436),$K436&gt;0),SUMPRODUCT(ISNUMBER($K$3:$K$502)*($K$3:$K$502&gt;0)*(ROW($K$3:$K$502)&lt;=ROW())),"")</f>
        <v/>
      </c>
    </row>
    <row r="437">
      <c r="A437" s="40" t="n"/>
      <c r="B437" s="43">
        <f>IFERROR(INDEX(الموظفون_الاسم,MATCH($A437,الموظفون_الرقم,0)),"")</f>
        <v/>
      </c>
      <c r="C437" s="110" t="n"/>
      <c r="D437" s="43">
        <f>IF($C437="","",IFERROR(INDEX(قائمة_أيام_الأسبوع,WEEKDAY($C437,1)),""))</f>
        <v/>
      </c>
      <c r="E437" s="114" t="n"/>
      <c r="F437" s="114" t="n"/>
      <c r="G437" s="115">
        <f>IF($A437="","",بداية_الدوام)</f>
        <v/>
      </c>
      <c r="H437" s="115">
        <f>IF($A437="","",نهاية_الدوام)</f>
        <v/>
      </c>
      <c r="I437" s="55">
        <f>IF($A437="","",مدة_الاستراحة/60)</f>
        <v/>
      </c>
      <c r="J437" s="55">
        <f>IF(OR($A437="",$E437="",$F437=""),"",IF(OR($N437="حاضر",$N437="دوام جزئي"),MAX(0,MOD($F437-$E437,1)*24-$I437),0))</f>
        <v/>
      </c>
      <c r="K437" s="55">
        <f>IF(OR($A437="",$E437=""),"",IF(AND(احتساب_التأخير="نعم",OR($N437="حاضر",$N437="دوام جزئي"),$E437&gt;$G437+دقائق_السماح/1440),($E437-$G437-دقائق_السماح/1440)*24,0))</f>
        <v/>
      </c>
      <c r="L437" s="55">
        <f>IF(OR($A437="",$F437=""),"",IF(AND(OR($N437="حاضر",$N437="دوام جزئي"),$F437&lt;$H437),($H437-$F437)*24,0))</f>
        <v/>
      </c>
      <c r="M437" s="55">
        <f>IF(OR($A437="",$F437=""),"",IF(AND(احتساب_العمل_الإضافي="نعم",OR($N437="حاضر",$N437="دوام جزئي"),$F437&gt;$H437,($F437-$H437)*24*60&gt;=حد_العمل_الإضافي_دقيقة),($F437-$H437)*24,0))</f>
        <v/>
      </c>
      <c r="N437" s="40" t="n"/>
      <c r="O437" s="40" t="n"/>
      <c r="Q437">
        <f>IF(AND(ISNUMBER($K437),$K437&gt;0),SUMPRODUCT(ISNUMBER($K$3:$K$502)*($K$3:$K$502&gt;0)*(ROW($K$3:$K$502)&lt;=ROW())),"")</f>
        <v/>
      </c>
    </row>
    <row r="438">
      <c r="A438" s="47" t="n"/>
      <c r="B438" s="50">
        <f>IFERROR(INDEX(الموظفون_الاسم,MATCH($A438,الموظفون_الرقم,0)),"")</f>
        <v/>
      </c>
      <c r="C438" s="112" t="n"/>
      <c r="D438" s="50">
        <f>IF($C438="","",IFERROR(INDEX(قائمة_أيام_الأسبوع,WEEKDAY($C438,1)),""))</f>
        <v/>
      </c>
      <c r="E438" s="116" t="n"/>
      <c r="F438" s="116" t="n"/>
      <c r="G438" s="117">
        <f>IF($A438="","",بداية_الدوام)</f>
        <v/>
      </c>
      <c r="H438" s="117">
        <f>IF($A438="","",نهاية_الدوام)</f>
        <v/>
      </c>
      <c r="I438" s="58">
        <f>IF($A438="","",مدة_الاستراحة/60)</f>
        <v/>
      </c>
      <c r="J438" s="58">
        <f>IF(OR($A438="",$E438="",$F438=""),"",IF(OR($N438="حاضر",$N438="دوام جزئي"),MAX(0,MOD($F438-$E438,1)*24-$I438),0))</f>
        <v/>
      </c>
      <c r="K438" s="58">
        <f>IF(OR($A438="",$E438=""),"",IF(AND(احتساب_التأخير="نعم",OR($N438="حاضر",$N438="دوام جزئي"),$E438&gt;$G438+دقائق_السماح/1440),($E438-$G438-دقائق_السماح/1440)*24,0))</f>
        <v/>
      </c>
      <c r="L438" s="58">
        <f>IF(OR($A438="",$F438=""),"",IF(AND(OR($N438="حاضر",$N438="دوام جزئي"),$F438&lt;$H438),($H438-$F438)*24,0))</f>
        <v/>
      </c>
      <c r="M438" s="58">
        <f>IF(OR($A438="",$F438=""),"",IF(AND(احتساب_العمل_الإضافي="نعم",OR($N438="حاضر",$N438="دوام جزئي"),$F438&gt;$H438,($F438-$H438)*24*60&gt;=حد_العمل_الإضافي_دقيقة),($F438-$H438)*24,0))</f>
        <v/>
      </c>
      <c r="N438" s="47" t="n"/>
      <c r="O438" s="47" t="n"/>
      <c r="Q438">
        <f>IF(AND(ISNUMBER($K438),$K438&gt;0),SUMPRODUCT(ISNUMBER($K$3:$K$502)*($K$3:$K$502&gt;0)*(ROW($K$3:$K$502)&lt;=ROW())),"")</f>
        <v/>
      </c>
    </row>
    <row r="439">
      <c r="A439" s="40" t="n"/>
      <c r="B439" s="43">
        <f>IFERROR(INDEX(الموظفون_الاسم,MATCH($A439,الموظفون_الرقم,0)),"")</f>
        <v/>
      </c>
      <c r="C439" s="110" t="n"/>
      <c r="D439" s="43">
        <f>IF($C439="","",IFERROR(INDEX(قائمة_أيام_الأسبوع,WEEKDAY($C439,1)),""))</f>
        <v/>
      </c>
      <c r="E439" s="114" t="n"/>
      <c r="F439" s="114" t="n"/>
      <c r="G439" s="115">
        <f>IF($A439="","",بداية_الدوام)</f>
        <v/>
      </c>
      <c r="H439" s="115">
        <f>IF($A439="","",نهاية_الدوام)</f>
        <v/>
      </c>
      <c r="I439" s="55">
        <f>IF($A439="","",مدة_الاستراحة/60)</f>
        <v/>
      </c>
      <c r="J439" s="55">
        <f>IF(OR($A439="",$E439="",$F439=""),"",IF(OR($N439="حاضر",$N439="دوام جزئي"),MAX(0,MOD($F439-$E439,1)*24-$I439),0))</f>
        <v/>
      </c>
      <c r="K439" s="55">
        <f>IF(OR($A439="",$E439=""),"",IF(AND(احتساب_التأخير="نعم",OR($N439="حاضر",$N439="دوام جزئي"),$E439&gt;$G439+دقائق_السماح/1440),($E439-$G439-دقائق_السماح/1440)*24,0))</f>
        <v/>
      </c>
      <c r="L439" s="55">
        <f>IF(OR($A439="",$F439=""),"",IF(AND(OR($N439="حاضر",$N439="دوام جزئي"),$F439&lt;$H439),($H439-$F439)*24,0))</f>
        <v/>
      </c>
      <c r="M439" s="55">
        <f>IF(OR($A439="",$F439=""),"",IF(AND(احتساب_العمل_الإضافي="نعم",OR($N439="حاضر",$N439="دوام جزئي"),$F439&gt;$H439,($F439-$H439)*24*60&gt;=حد_العمل_الإضافي_دقيقة),($F439-$H439)*24,0))</f>
        <v/>
      </c>
      <c r="N439" s="40" t="n"/>
      <c r="O439" s="40" t="n"/>
      <c r="Q439">
        <f>IF(AND(ISNUMBER($K439),$K439&gt;0),SUMPRODUCT(ISNUMBER($K$3:$K$502)*($K$3:$K$502&gt;0)*(ROW($K$3:$K$502)&lt;=ROW())),"")</f>
        <v/>
      </c>
    </row>
    <row r="440">
      <c r="A440" s="47" t="n"/>
      <c r="B440" s="50">
        <f>IFERROR(INDEX(الموظفون_الاسم,MATCH($A440,الموظفون_الرقم,0)),"")</f>
        <v/>
      </c>
      <c r="C440" s="112" t="n"/>
      <c r="D440" s="50">
        <f>IF($C440="","",IFERROR(INDEX(قائمة_أيام_الأسبوع,WEEKDAY($C440,1)),""))</f>
        <v/>
      </c>
      <c r="E440" s="116" t="n"/>
      <c r="F440" s="116" t="n"/>
      <c r="G440" s="117">
        <f>IF($A440="","",بداية_الدوام)</f>
        <v/>
      </c>
      <c r="H440" s="117">
        <f>IF($A440="","",نهاية_الدوام)</f>
        <v/>
      </c>
      <c r="I440" s="58">
        <f>IF($A440="","",مدة_الاستراحة/60)</f>
        <v/>
      </c>
      <c r="J440" s="58">
        <f>IF(OR($A440="",$E440="",$F440=""),"",IF(OR($N440="حاضر",$N440="دوام جزئي"),MAX(0,MOD($F440-$E440,1)*24-$I440),0))</f>
        <v/>
      </c>
      <c r="K440" s="58">
        <f>IF(OR($A440="",$E440=""),"",IF(AND(احتساب_التأخير="نعم",OR($N440="حاضر",$N440="دوام جزئي"),$E440&gt;$G440+دقائق_السماح/1440),($E440-$G440-دقائق_السماح/1440)*24,0))</f>
        <v/>
      </c>
      <c r="L440" s="58">
        <f>IF(OR($A440="",$F440=""),"",IF(AND(OR($N440="حاضر",$N440="دوام جزئي"),$F440&lt;$H440),($H440-$F440)*24,0))</f>
        <v/>
      </c>
      <c r="M440" s="58">
        <f>IF(OR($A440="",$F440=""),"",IF(AND(احتساب_العمل_الإضافي="نعم",OR($N440="حاضر",$N440="دوام جزئي"),$F440&gt;$H440,($F440-$H440)*24*60&gt;=حد_العمل_الإضافي_دقيقة),($F440-$H440)*24,0))</f>
        <v/>
      </c>
      <c r="N440" s="47" t="n"/>
      <c r="O440" s="47" t="n"/>
      <c r="Q440">
        <f>IF(AND(ISNUMBER($K440),$K440&gt;0),SUMPRODUCT(ISNUMBER($K$3:$K$502)*($K$3:$K$502&gt;0)*(ROW($K$3:$K$502)&lt;=ROW())),"")</f>
        <v/>
      </c>
    </row>
    <row r="441">
      <c r="A441" s="40" t="n"/>
      <c r="B441" s="43">
        <f>IFERROR(INDEX(الموظفون_الاسم,MATCH($A441,الموظفون_الرقم,0)),"")</f>
        <v/>
      </c>
      <c r="C441" s="110" t="n"/>
      <c r="D441" s="43">
        <f>IF($C441="","",IFERROR(INDEX(قائمة_أيام_الأسبوع,WEEKDAY($C441,1)),""))</f>
        <v/>
      </c>
      <c r="E441" s="114" t="n"/>
      <c r="F441" s="114" t="n"/>
      <c r="G441" s="115">
        <f>IF($A441="","",بداية_الدوام)</f>
        <v/>
      </c>
      <c r="H441" s="115">
        <f>IF($A441="","",نهاية_الدوام)</f>
        <v/>
      </c>
      <c r="I441" s="55">
        <f>IF($A441="","",مدة_الاستراحة/60)</f>
        <v/>
      </c>
      <c r="J441" s="55">
        <f>IF(OR($A441="",$E441="",$F441=""),"",IF(OR($N441="حاضر",$N441="دوام جزئي"),MAX(0,MOD($F441-$E441,1)*24-$I441),0))</f>
        <v/>
      </c>
      <c r="K441" s="55">
        <f>IF(OR($A441="",$E441=""),"",IF(AND(احتساب_التأخير="نعم",OR($N441="حاضر",$N441="دوام جزئي"),$E441&gt;$G441+دقائق_السماح/1440),($E441-$G441-دقائق_السماح/1440)*24,0))</f>
        <v/>
      </c>
      <c r="L441" s="55">
        <f>IF(OR($A441="",$F441=""),"",IF(AND(OR($N441="حاضر",$N441="دوام جزئي"),$F441&lt;$H441),($H441-$F441)*24,0))</f>
        <v/>
      </c>
      <c r="M441" s="55">
        <f>IF(OR($A441="",$F441=""),"",IF(AND(احتساب_العمل_الإضافي="نعم",OR($N441="حاضر",$N441="دوام جزئي"),$F441&gt;$H441,($F441-$H441)*24*60&gt;=حد_العمل_الإضافي_دقيقة),($F441-$H441)*24,0))</f>
        <v/>
      </c>
      <c r="N441" s="40" t="n"/>
      <c r="O441" s="40" t="n"/>
      <c r="Q441">
        <f>IF(AND(ISNUMBER($K441),$K441&gt;0),SUMPRODUCT(ISNUMBER($K$3:$K$502)*($K$3:$K$502&gt;0)*(ROW($K$3:$K$502)&lt;=ROW())),"")</f>
        <v/>
      </c>
    </row>
    <row r="442">
      <c r="A442" s="47" t="n"/>
      <c r="B442" s="50">
        <f>IFERROR(INDEX(الموظفون_الاسم,MATCH($A442,الموظفون_الرقم,0)),"")</f>
        <v/>
      </c>
      <c r="C442" s="112" t="n"/>
      <c r="D442" s="50">
        <f>IF($C442="","",IFERROR(INDEX(قائمة_أيام_الأسبوع,WEEKDAY($C442,1)),""))</f>
        <v/>
      </c>
      <c r="E442" s="116" t="n"/>
      <c r="F442" s="116" t="n"/>
      <c r="G442" s="117">
        <f>IF($A442="","",بداية_الدوام)</f>
        <v/>
      </c>
      <c r="H442" s="117">
        <f>IF($A442="","",نهاية_الدوام)</f>
        <v/>
      </c>
      <c r="I442" s="58">
        <f>IF($A442="","",مدة_الاستراحة/60)</f>
        <v/>
      </c>
      <c r="J442" s="58">
        <f>IF(OR($A442="",$E442="",$F442=""),"",IF(OR($N442="حاضر",$N442="دوام جزئي"),MAX(0,MOD($F442-$E442,1)*24-$I442),0))</f>
        <v/>
      </c>
      <c r="K442" s="58">
        <f>IF(OR($A442="",$E442=""),"",IF(AND(احتساب_التأخير="نعم",OR($N442="حاضر",$N442="دوام جزئي"),$E442&gt;$G442+دقائق_السماح/1440),($E442-$G442-دقائق_السماح/1440)*24,0))</f>
        <v/>
      </c>
      <c r="L442" s="58">
        <f>IF(OR($A442="",$F442=""),"",IF(AND(OR($N442="حاضر",$N442="دوام جزئي"),$F442&lt;$H442),($H442-$F442)*24,0))</f>
        <v/>
      </c>
      <c r="M442" s="58">
        <f>IF(OR($A442="",$F442=""),"",IF(AND(احتساب_العمل_الإضافي="نعم",OR($N442="حاضر",$N442="دوام جزئي"),$F442&gt;$H442,($F442-$H442)*24*60&gt;=حد_العمل_الإضافي_دقيقة),($F442-$H442)*24,0))</f>
        <v/>
      </c>
      <c r="N442" s="47" t="n"/>
      <c r="O442" s="47" t="n"/>
      <c r="Q442">
        <f>IF(AND(ISNUMBER($K442),$K442&gt;0),SUMPRODUCT(ISNUMBER($K$3:$K$502)*($K$3:$K$502&gt;0)*(ROW($K$3:$K$502)&lt;=ROW())),"")</f>
        <v/>
      </c>
    </row>
    <row r="443">
      <c r="A443" s="40" t="n"/>
      <c r="B443" s="43">
        <f>IFERROR(INDEX(الموظفون_الاسم,MATCH($A443,الموظفون_الرقم,0)),"")</f>
        <v/>
      </c>
      <c r="C443" s="110" t="n"/>
      <c r="D443" s="43">
        <f>IF($C443="","",IFERROR(INDEX(قائمة_أيام_الأسبوع,WEEKDAY($C443,1)),""))</f>
        <v/>
      </c>
      <c r="E443" s="114" t="n"/>
      <c r="F443" s="114" t="n"/>
      <c r="G443" s="115">
        <f>IF($A443="","",بداية_الدوام)</f>
        <v/>
      </c>
      <c r="H443" s="115">
        <f>IF($A443="","",نهاية_الدوام)</f>
        <v/>
      </c>
      <c r="I443" s="55">
        <f>IF($A443="","",مدة_الاستراحة/60)</f>
        <v/>
      </c>
      <c r="J443" s="55">
        <f>IF(OR($A443="",$E443="",$F443=""),"",IF(OR($N443="حاضر",$N443="دوام جزئي"),MAX(0,MOD($F443-$E443,1)*24-$I443),0))</f>
        <v/>
      </c>
      <c r="K443" s="55">
        <f>IF(OR($A443="",$E443=""),"",IF(AND(احتساب_التأخير="نعم",OR($N443="حاضر",$N443="دوام جزئي"),$E443&gt;$G443+دقائق_السماح/1440),($E443-$G443-دقائق_السماح/1440)*24,0))</f>
        <v/>
      </c>
      <c r="L443" s="55">
        <f>IF(OR($A443="",$F443=""),"",IF(AND(OR($N443="حاضر",$N443="دوام جزئي"),$F443&lt;$H443),($H443-$F443)*24,0))</f>
        <v/>
      </c>
      <c r="M443" s="55">
        <f>IF(OR($A443="",$F443=""),"",IF(AND(احتساب_العمل_الإضافي="نعم",OR($N443="حاضر",$N443="دوام جزئي"),$F443&gt;$H443,($F443-$H443)*24*60&gt;=حد_العمل_الإضافي_دقيقة),($F443-$H443)*24,0))</f>
        <v/>
      </c>
      <c r="N443" s="40" t="n"/>
      <c r="O443" s="40" t="n"/>
      <c r="Q443">
        <f>IF(AND(ISNUMBER($K443),$K443&gt;0),SUMPRODUCT(ISNUMBER($K$3:$K$502)*($K$3:$K$502&gt;0)*(ROW($K$3:$K$502)&lt;=ROW())),"")</f>
        <v/>
      </c>
    </row>
    <row r="444">
      <c r="A444" s="47" t="n"/>
      <c r="B444" s="50">
        <f>IFERROR(INDEX(الموظفون_الاسم,MATCH($A444,الموظفون_الرقم,0)),"")</f>
        <v/>
      </c>
      <c r="C444" s="112" t="n"/>
      <c r="D444" s="50">
        <f>IF($C444="","",IFERROR(INDEX(قائمة_أيام_الأسبوع,WEEKDAY($C444,1)),""))</f>
        <v/>
      </c>
      <c r="E444" s="116" t="n"/>
      <c r="F444" s="116" t="n"/>
      <c r="G444" s="117">
        <f>IF($A444="","",بداية_الدوام)</f>
        <v/>
      </c>
      <c r="H444" s="117">
        <f>IF($A444="","",نهاية_الدوام)</f>
        <v/>
      </c>
      <c r="I444" s="58">
        <f>IF($A444="","",مدة_الاستراحة/60)</f>
        <v/>
      </c>
      <c r="J444" s="58">
        <f>IF(OR($A444="",$E444="",$F444=""),"",IF(OR($N444="حاضر",$N444="دوام جزئي"),MAX(0,MOD($F444-$E444,1)*24-$I444),0))</f>
        <v/>
      </c>
      <c r="K444" s="58">
        <f>IF(OR($A444="",$E444=""),"",IF(AND(احتساب_التأخير="نعم",OR($N444="حاضر",$N444="دوام جزئي"),$E444&gt;$G444+دقائق_السماح/1440),($E444-$G444-دقائق_السماح/1440)*24,0))</f>
        <v/>
      </c>
      <c r="L444" s="58">
        <f>IF(OR($A444="",$F444=""),"",IF(AND(OR($N444="حاضر",$N444="دوام جزئي"),$F444&lt;$H444),($H444-$F444)*24,0))</f>
        <v/>
      </c>
      <c r="M444" s="58">
        <f>IF(OR($A444="",$F444=""),"",IF(AND(احتساب_العمل_الإضافي="نعم",OR($N444="حاضر",$N444="دوام جزئي"),$F444&gt;$H444,($F444-$H444)*24*60&gt;=حد_العمل_الإضافي_دقيقة),($F444-$H444)*24,0))</f>
        <v/>
      </c>
      <c r="N444" s="47" t="n"/>
      <c r="O444" s="47" t="n"/>
      <c r="Q444">
        <f>IF(AND(ISNUMBER($K444),$K444&gt;0),SUMPRODUCT(ISNUMBER($K$3:$K$502)*($K$3:$K$502&gt;0)*(ROW($K$3:$K$502)&lt;=ROW())),"")</f>
        <v/>
      </c>
    </row>
    <row r="445">
      <c r="A445" s="40" t="n"/>
      <c r="B445" s="43">
        <f>IFERROR(INDEX(الموظفون_الاسم,MATCH($A445,الموظفون_الرقم,0)),"")</f>
        <v/>
      </c>
      <c r="C445" s="110" t="n"/>
      <c r="D445" s="43">
        <f>IF($C445="","",IFERROR(INDEX(قائمة_أيام_الأسبوع,WEEKDAY($C445,1)),""))</f>
        <v/>
      </c>
      <c r="E445" s="114" t="n"/>
      <c r="F445" s="114" t="n"/>
      <c r="G445" s="115">
        <f>IF($A445="","",بداية_الدوام)</f>
        <v/>
      </c>
      <c r="H445" s="115">
        <f>IF($A445="","",نهاية_الدوام)</f>
        <v/>
      </c>
      <c r="I445" s="55">
        <f>IF($A445="","",مدة_الاستراحة/60)</f>
        <v/>
      </c>
      <c r="J445" s="55">
        <f>IF(OR($A445="",$E445="",$F445=""),"",IF(OR($N445="حاضر",$N445="دوام جزئي"),MAX(0,MOD($F445-$E445,1)*24-$I445),0))</f>
        <v/>
      </c>
      <c r="K445" s="55">
        <f>IF(OR($A445="",$E445=""),"",IF(AND(احتساب_التأخير="نعم",OR($N445="حاضر",$N445="دوام جزئي"),$E445&gt;$G445+دقائق_السماح/1440),($E445-$G445-دقائق_السماح/1440)*24,0))</f>
        <v/>
      </c>
      <c r="L445" s="55">
        <f>IF(OR($A445="",$F445=""),"",IF(AND(OR($N445="حاضر",$N445="دوام جزئي"),$F445&lt;$H445),($H445-$F445)*24,0))</f>
        <v/>
      </c>
      <c r="M445" s="55">
        <f>IF(OR($A445="",$F445=""),"",IF(AND(احتساب_العمل_الإضافي="نعم",OR($N445="حاضر",$N445="دوام جزئي"),$F445&gt;$H445,($F445-$H445)*24*60&gt;=حد_العمل_الإضافي_دقيقة),($F445-$H445)*24,0))</f>
        <v/>
      </c>
      <c r="N445" s="40" t="n"/>
      <c r="O445" s="40" t="n"/>
      <c r="Q445">
        <f>IF(AND(ISNUMBER($K445),$K445&gt;0),SUMPRODUCT(ISNUMBER($K$3:$K$502)*($K$3:$K$502&gt;0)*(ROW($K$3:$K$502)&lt;=ROW())),"")</f>
        <v/>
      </c>
    </row>
    <row r="446">
      <c r="A446" s="47" t="n"/>
      <c r="B446" s="50">
        <f>IFERROR(INDEX(الموظفون_الاسم,MATCH($A446,الموظفون_الرقم,0)),"")</f>
        <v/>
      </c>
      <c r="C446" s="112" t="n"/>
      <c r="D446" s="50">
        <f>IF($C446="","",IFERROR(INDEX(قائمة_أيام_الأسبوع,WEEKDAY($C446,1)),""))</f>
        <v/>
      </c>
      <c r="E446" s="116" t="n"/>
      <c r="F446" s="116" t="n"/>
      <c r="G446" s="117">
        <f>IF($A446="","",بداية_الدوام)</f>
        <v/>
      </c>
      <c r="H446" s="117">
        <f>IF($A446="","",نهاية_الدوام)</f>
        <v/>
      </c>
      <c r="I446" s="58">
        <f>IF($A446="","",مدة_الاستراحة/60)</f>
        <v/>
      </c>
      <c r="J446" s="58">
        <f>IF(OR($A446="",$E446="",$F446=""),"",IF(OR($N446="حاضر",$N446="دوام جزئي"),MAX(0,MOD($F446-$E446,1)*24-$I446),0))</f>
        <v/>
      </c>
      <c r="K446" s="58">
        <f>IF(OR($A446="",$E446=""),"",IF(AND(احتساب_التأخير="نعم",OR($N446="حاضر",$N446="دوام جزئي"),$E446&gt;$G446+دقائق_السماح/1440),($E446-$G446-دقائق_السماح/1440)*24,0))</f>
        <v/>
      </c>
      <c r="L446" s="58">
        <f>IF(OR($A446="",$F446=""),"",IF(AND(OR($N446="حاضر",$N446="دوام جزئي"),$F446&lt;$H446),($H446-$F446)*24,0))</f>
        <v/>
      </c>
      <c r="M446" s="58">
        <f>IF(OR($A446="",$F446=""),"",IF(AND(احتساب_العمل_الإضافي="نعم",OR($N446="حاضر",$N446="دوام جزئي"),$F446&gt;$H446,($F446-$H446)*24*60&gt;=حد_العمل_الإضافي_دقيقة),($F446-$H446)*24,0))</f>
        <v/>
      </c>
      <c r="N446" s="47" t="n"/>
      <c r="O446" s="47" t="n"/>
      <c r="Q446">
        <f>IF(AND(ISNUMBER($K446),$K446&gt;0),SUMPRODUCT(ISNUMBER($K$3:$K$502)*($K$3:$K$502&gt;0)*(ROW($K$3:$K$502)&lt;=ROW())),"")</f>
        <v/>
      </c>
    </row>
    <row r="447">
      <c r="A447" s="40" t="n"/>
      <c r="B447" s="43">
        <f>IFERROR(INDEX(الموظفون_الاسم,MATCH($A447,الموظفون_الرقم,0)),"")</f>
        <v/>
      </c>
      <c r="C447" s="110" t="n"/>
      <c r="D447" s="43">
        <f>IF($C447="","",IFERROR(INDEX(قائمة_أيام_الأسبوع,WEEKDAY($C447,1)),""))</f>
        <v/>
      </c>
      <c r="E447" s="114" t="n"/>
      <c r="F447" s="114" t="n"/>
      <c r="G447" s="115">
        <f>IF($A447="","",بداية_الدوام)</f>
        <v/>
      </c>
      <c r="H447" s="115">
        <f>IF($A447="","",نهاية_الدوام)</f>
        <v/>
      </c>
      <c r="I447" s="55">
        <f>IF($A447="","",مدة_الاستراحة/60)</f>
        <v/>
      </c>
      <c r="J447" s="55">
        <f>IF(OR($A447="",$E447="",$F447=""),"",IF(OR($N447="حاضر",$N447="دوام جزئي"),MAX(0,MOD($F447-$E447,1)*24-$I447),0))</f>
        <v/>
      </c>
      <c r="K447" s="55">
        <f>IF(OR($A447="",$E447=""),"",IF(AND(احتساب_التأخير="نعم",OR($N447="حاضر",$N447="دوام جزئي"),$E447&gt;$G447+دقائق_السماح/1440),($E447-$G447-دقائق_السماح/1440)*24,0))</f>
        <v/>
      </c>
      <c r="L447" s="55">
        <f>IF(OR($A447="",$F447=""),"",IF(AND(OR($N447="حاضر",$N447="دوام جزئي"),$F447&lt;$H447),($H447-$F447)*24,0))</f>
        <v/>
      </c>
      <c r="M447" s="55">
        <f>IF(OR($A447="",$F447=""),"",IF(AND(احتساب_العمل_الإضافي="نعم",OR($N447="حاضر",$N447="دوام جزئي"),$F447&gt;$H447,($F447-$H447)*24*60&gt;=حد_العمل_الإضافي_دقيقة),($F447-$H447)*24,0))</f>
        <v/>
      </c>
      <c r="N447" s="40" t="n"/>
      <c r="O447" s="40" t="n"/>
      <c r="Q447">
        <f>IF(AND(ISNUMBER($K447),$K447&gt;0),SUMPRODUCT(ISNUMBER($K$3:$K$502)*($K$3:$K$502&gt;0)*(ROW($K$3:$K$502)&lt;=ROW())),"")</f>
        <v/>
      </c>
    </row>
    <row r="448">
      <c r="A448" s="47" t="n"/>
      <c r="B448" s="50">
        <f>IFERROR(INDEX(الموظفون_الاسم,MATCH($A448,الموظفون_الرقم,0)),"")</f>
        <v/>
      </c>
      <c r="C448" s="112" t="n"/>
      <c r="D448" s="50">
        <f>IF($C448="","",IFERROR(INDEX(قائمة_أيام_الأسبوع,WEEKDAY($C448,1)),""))</f>
        <v/>
      </c>
      <c r="E448" s="116" t="n"/>
      <c r="F448" s="116" t="n"/>
      <c r="G448" s="117">
        <f>IF($A448="","",بداية_الدوام)</f>
        <v/>
      </c>
      <c r="H448" s="117">
        <f>IF($A448="","",نهاية_الدوام)</f>
        <v/>
      </c>
      <c r="I448" s="58">
        <f>IF($A448="","",مدة_الاستراحة/60)</f>
        <v/>
      </c>
      <c r="J448" s="58">
        <f>IF(OR($A448="",$E448="",$F448=""),"",IF(OR($N448="حاضر",$N448="دوام جزئي"),MAX(0,MOD($F448-$E448,1)*24-$I448),0))</f>
        <v/>
      </c>
      <c r="K448" s="58">
        <f>IF(OR($A448="",$E448=""),"",IF(AND(احتساب_التأخير="نعم",OR($N448="حاضر",$N448="دوام جزئي"),$E448&gt;$G448+دقائق_السماح/1440),($E448-$G448-دقائق_السماح/1440)*24,0))</f>
        <v/>
      </c>
      <c r="L448" s="58">
        <f>IF(OR($A448="",$F448=""),"",IF(AND(OR($N448="حاضر",$N448="دوام جزئي"),$F448&lt;$H448),($H448-$F448)*24,0))</f>
        <v/>
      </c>
      <c r="M448" s="58">
        <f>IF(OR($A448="",$F448=""),"",IF(AND(احتساب_العمل_الإضافي="نعم",OR($N448="حاضر",$N448="دوام جزئي"),$F448&gt;$H448,($F448-$H448)*24*60&gt;=حد_العمل_الإضافي_دقيقة),($F448-$H448)*24,0))</f>
        <v/>
      </c>
      <c r="N448" s="47" t="n"/>
      <c r="O448" s="47" t="n"/>
      <c r="Q448">
        <f>IF(AND(ISNUMBER($K448),$K448&gt;0),SUMPRODUCT(ISNUMBER($K$3:$K$502)*($K$3:$K$502&gt;0)*(ROW($K$3:$K$502)&lt;=ROW())),"")</f>
        <v/>
      </c>
    </row>
    <row r="449">
      <c r="A449" s="40" t="n"/>
      <c r="B449" s="43">
        <f>IFERROR(INDEX(الموظفون_الاسم,MATCH($A449,الموظفون_الرقم,0)),"")</f>
        <v/>
      </c>
      <c r="C449" s="110" t="n"/>
      <c r="D449" s="43">
        <f>IF($C449="","",IFERROR(INDEX(قائمة_أيام_الأسبوع,WEEKDAY($C449,1)),""))</f>
        <v/>
      </c>
      <c r="E449" s="114" t="n"/>
      <c r="F449" s="114" t="n"/>
      <c r="G449" s="115">
        <f>IF($A449="","",بداية_الدوام)</f>
        <v/>
      </c>
      <c r="H449" s="115">
        <f>IF($A449="","",نهاية_الدوام)</f>
        <v/>
      </c>
      <c r="I449" s="55">
        <f>IF($A449="","",مدة_الاستراحة/60)</f>
        <v/>
      </c>
      <c r="J449" s="55">
        <f>IF(OR($A449="",$E449="",$F449=""),"",IF(OR($N449="حاضر",$N449="دوام جزئي"),MAX(0,MOD($F449-$E449,1)*24-$I449),0))</f>
        <v/>
      </c>
      <c r="K449" s="55">
        <f>IF(OR($A449="",$E449=""),"",IF(AND(احتساب_التأخير="نعم",OR($N449="حاضر",$N449="دوام جزئي"),$E449&gt;$G449+دقائق_السماح/1440),($E449-$G449-دقائق_السماح/1440)*24,0))</f>
        <v/>
      </c>
      <c r="L449" s="55">
        <f>IF(OR($A449="",$F449=""),"",IF(AND(OR($N449="حاضر",$N449="دوام جزئي"),$F449&lt;$H449),($H449-$F449)*24,0))</f>
        <v/>
      </c>
      <c r="M449" s="55">
        <f>IF(OR($A449="",$F449=""),"",IF(AND(احتساب_العمل_الإضافي="نعم",OR($N449="حاضر",$N449="دوام جزئي"),$F449&gt;$H449,($F449-$H449)*24*60&gt;=حد_العمل_الإضافي_دقيقة),($F449-$H449)*24,0))</f>
        <v/>
      </c>
      <c r="N449" s="40" t="n"/>
      <c r="O449" s="40" t="n"/>
      <c r="Q449">
        <f>IF(AND(ISNUMBER($K449),$K449&gt;0),SUMPRODUCT(ISNUMBER($K$3:$K$502)*($K$3:$K$502&gt;0)*(ROW($K$3:$K$502)&lt;=ROW())),"")</f>
        <v/>
      </c>
    </row>
    <row r="450">
      <c r="A450" s="47" t="n"/>
      <c r="B450" s="50">
        <f>IFERROR(INDEX(الموظفون_الاسم,MATCH($A450,الموظفون_الرقم,0)),"")</f>
        <v/>
      </c>
      <c r="C450" s="112" t="n"/>
      <c r="D450" s="50">
        <f>IF($C450="","",IFERROR(INDEX(قائمة_أيام_الأسبوع,WEEKDAY($C450,1)),""))</f>
        <v/>
      </c>
      <c r="E450" s="116" t="n"/>
      <c r="F450" s="116" t="n"/>
      <c r="G450" s="117">
        <f>IF($A450="","",بداية_الدوام)</f>
        <v/>
      </c>
      <c r="H450" s="117">
        <f>IF($A450="","",نهاية_الدوام)</f>
        <v/>
      </c>
      <c r="I450" s="58">
        <f>IF($A450="","",مدة_الاستراحة/60)</f>
        <v/>
      </c>
      <c r="J450" s="58">
        <f>IF(OR($A450="",$E450="",$F450=""),"",IF(OR($N450="حاضر",$N450="دوام جزئي"),MAX(0,MOD($F450-$E450,1)*24-$I450),0))</f>
        <v/>
      </c>
      <c r="K450" s="58">
        <f>IF(OR($A450="",$E450=""),"",IF(AND(احتساب_التأخير="نعم",OR($N450="حاضر",$N450="دوام جزئي"),$E450&gt;$G450+دقائق_السماح/1440),($E450-$G450-دقائق_السماح/1440)*24,0))</f>
        <v/>
      </c>
      <c r="L450" s="58">
        <f>IF(OR($A450="",$F450=""),"",IF(AND(OR($N450="حاضر",$N450="دوام جزئي"),$F450&lt;$H450),($H450-$F450)*24,0))</f>
        <v/>
      </c>
      <c r="M450" s="58">
        <f>IF(OR($A450="",$F450=""),"",IF(AND(احتساب_العمل_الإضافي="نعم",OR($N450="حاضر",$N450="دوام جزئي"),$F450&gt;$H450,($F450-$H450)*24*60&gt;=حد_العمل_الإضافي_دقيقة),($F450-$H450)*24,0))</f>
        <v/>
      </c>
      <c r="N450" s="47" t="n"/>
      <c r="O450" s="47" t="n"/>
      <c r="Q450">
        <f>IF(AND(ISNUMBER($K450),$K450&gt;0),SUMPRODUCT(ISNUMBER($K$3:$K$502)*($K$3:$K$502&gt;0)*(ROW($K$3:$K$502)&lt;=ROW())),"")</f>
        <v/>
      </c>
    </row>
    <row r="451">
      <c r="A451" s="40" t="n"/>
      <c r="B451" s="43">
        <f>IFERROR(INDEX(الموظفون_الاسم,MATCH($A451,الموظفون_الرقم,0)),"")</f>
        <v/>
      </c>
      <c r="C451" s="110" t="n"/>
      <c r="D451" s="43">
        <f>IF($C451="","",IFERROR(INDEX(قائمة_أيام_الأسبوع,WEEKDAY($C451,1)),""))</f>
        <v/>
      </c>
      <c r="E451" s="114" t="n"/>
      <c r="F451" s="114" t="n"/>
      <c r="G451" s="115">
        <f>IF($A451="","",بداية_الدوام)</f>
        <v/>
      </c>
      <c r="H451" s="115">
        <f>IF($A451="","",نهاية_الدوام)</f>
        <v/>
      </c>
      <c r="I451" s="55">
        <f>IF($A451="","",مدة_الاستراحة/60)</f>
        <v/>
      </c>
      <c r="J451" s="55">
        <f>IF(OR($A451="",$E451="",$F451=""),"",IF(OR($N451="حاضر",$N451="دوام جزئي"),MAX(0,MOD($F451-$E451,1)*24-$I451),0))</f>
        <v/>
      </c>
      <c r="K451" s="55">
        <f>IF(OR($A451="",$E451=""),"",IF(AND(احتساب_التأخير="نعم",OR($N451="حاضر",$N451="دوام جزئي"),$E451&gt;$G451+دقائق_السماح/1440),($E451-$G451-دقائق_السماح/1440)*24,0))</f>
        <v/>
      </c>
      <c r="L451" s="55">
        <f>IF(OR($A451="",$F451=""),"",IF(AND(OR($N451="حاضر",$N451="دوام جزئي"),$F451&lt;$H451),($H451-$F451)*24,0))</f>
        <v/>
      </c>
      <c r="M451" s="55">
        <f>IF(OR($A451="",$F451=""),"",IF(AND(احتساب_العمل_الإضافي="نعم",OR($N451="حاضر",$N451="دوام جزئي"),$F451&gt;$H451,($F451-$H451)*24*60&gt;=حد_العمل_الإضافي_دقيقة),($F451-$H451)*24,0))</f>
        <v/>
      </c>
      <c r="N451" s="40" t="n"/>
      <c r="O451" s="40" t="n"/>
      <c r="Q451">
        <f>IF(AND(ISNUMBER($K451),$K451&gt;0),SUMPRODUCT(ISNUMBER($K$3:$K$502)*($K$3:$K$502&gt;0)*(ROW($K$3:$K$502)&lt;=ROW())),"")</f>
        <v/>
      </c>
    </row>
    <row r="452">
      <c r="A452" s="47" t="n"/>
      <c r="B452" s="50">
        <f>IFERROR(INDEX(الموظفون_الاسم,MATCH($A452,الموظفون_الرقم,0)),"")</f>
        <v/>
      </c>
      <c r="C452" s="112" t="n"/>
      <c r="D452" s="50">
        <f>IF($C452="","",IFERROR(INDEX(قائمة_أيام_الأسبوع,WEEKDAY($C452,1)),""))</f>
        <v/>
      </c>
      <c r="E452" s="116" t="n"/>
      <c r="F452" s="116" t="n"/>
      <c r="G452" s="117">
        <f>IF($A452="","",بداية_الدوام)</f>
        <v/>
      </c>
      <c r="H452" s="117">
        <f>IF($A452="","",نهاية_الدوام)</f>
        <v/>
      </c>
      <c r="I452" s="58">
        <f>IF($A452="","",مدة_الاستراحة/60)</f>
        <v/>
      </c>
      <c r="J452" s="58">
        <f>IF(OR($A452="",$E452="",$F452=""),"",IF(OR($N452="حاضر",$N452="دوام جزئي"),MAX(0,MOD($F452-$E452,1)*24-$I452),0))</f>
        <v/>
      </c>
      <c r="K452" s="58">
        <f>IF(OR($A452="",$E452=""),"",IF(AND(احتساب_التأخير="نعم",OR($N452="حاضر",$N452="دوام جزئي"),$E452&gt;$G452+دقائق_السماح/1440),($E452-$G452-دقائق_السماح/1440)*24,0))</f>
        <v/>
      </c>
      <c r="L452" s="58">
        <f>IF(OR($A452="",$F452=""),"",IF(AND(OR($N452="حاضر",$N452="دوام جزئي"),$F452&lt;$H452),($H452-$F452)*24,0))</f>
        <v/>
      </c>
      <c r="M452" s="58">
        <f>IF(OR($A452="",$F452=""),"",IF(AND(احتساب_العمل_الإضافي="نعم",OR($N452="حاضر",$N452="دوام جزئي"),$F452&gt;$H452,($F452-$H452)*24*60&gt;=حد_العمل_الإضافي_دقيقة),($F452-$H452)*24,0))</f>
        <v/>
      </c>
      <c r="N452" s="47" t="n"/>
      <c r="O452" s="47" t="n"/>
      <c r="Q452">
        <f>IF(AND(ISNUMBER($K452),$K452&gt;0),SUMPRODUCT(ISNUMBER($K$3:$K$502)*($K$3:$K$502&gt;0)*(ROW($K$3:$K$502)&lt;=ROW())),"")</f>
        <v/>
      </c>
    </row>
    <row r="453">
      <c r="A453" s="40" t="n"/>
      <c r="B453" s="43">
        <f>IFERROR(INDEX(الموظفون_الاسم,MATCH($A453,الموظفون_الرقم,0)),"")</f>
        <v/>
      </c>
      <c r="C453" s="110" t="n"/>
      <c r="D453" s="43">
        <f>IF($C453="","",IFERROR(INDEX(قائمة_أيام_الأسبوع,WEEKDAY($C453,1)),""))</f>
        <v/>
      </c>
      <c r="E453" s="114" t="n"/>
      <c r="F453" s="114" t="n"/>
      <c r="G453" s="115">
        <f>IF($A453="","",بداية_الدوام)</f>
        <v/>
      </c>
      <c r="H453" s="115">
        <f>IF($A453="","",نهاية_الدوام)</f>
        <v/>
      </c>
      <c r="I453" s="55">
        <f>IF($A453="","",مدة_الاستراحة/60)</f>
        <v/>
      </c>
      <c r="J453" s="55">
        <f>IF(OR($A453="",$E453="",$F453=""),"",IF(OR($N453="حاضر",$N453="دوام جزئي"),MAX(0,MOD($F453-$E453,1)*24-$I453),0))</f>
        <v/>
      </c>
      <c r="K453" s="55">
        <f>IF(OR($A453="",$E453=""),"",IF(AND(احتساب_التأخير="نعم",OR($N453="حاضر",$N453="دوام جزئي"),$E453&gt;$G453+دقائق_السماح/1440),($E453-$G453-دقائق_السماح/1440)*24,0))</f>
        <v/>
      </c>
      <c r="L453" s="55">
        <f>IF(OR($A453="",$F453=""),"",IF(AND(OR($N453="حاضر",$N453="دوام جزئي"),$F453&lt;$H453),($H453-$F453)*24,0))</f>
        <v/>
      </c>
      <c r="M453" s="55">
        <f>IF(OR($A453="",$F453=""),"",IF(AND(احتساب_العمل_الإضافي="نعم",OR($N453="حاضر",$N453="دوام جزئي"),$F453&gt;$H453,($F453-$H453)*24*60&gt;=حد_العمل_الإضافي_دقيقة),($F453-$H453)*24,0))</f>
        <v/>
      </c>
      <c r="N453" s="40" t="n"/>
      <c r="O453" s="40" t="n"/>
      <c r="Q453">
        <f>IF(AND(ISNUMBER($K453),$K453&gt;0),SUMPRODUCT(ISNUMBER($K$3:$K$502)*($K$3:$K$502&gt;0)*(ROW($K$3:$K$502)&lt;=ROW())),"")</f>
        <v/>
      </c>
    </row>
    <row r="454">
      <c r="A454" s="47" t="n"/>
      <c r="B454" s="50">
        <f>IFERROR(INDEX(الموظفون_الاسم,MATCH($A454,الموظفون_الرقم,0)),"")</f>
        <v/>
      </c>
      <c r="C454" s="112" t="n"/>
      <c r="D454" s="50">
        <f>IF($C454="","",IFERROR(INDEX(قائمة_أيام_الأسبوع,WEEKDAY($C454,1)),""))</f>
        <v/>
      </c>
      <c r="E454" s="116" t="n"/>
      <c r="F454" s="116" t="n"/>
      <c r="G454" s="117">
        <f>IF($A454="","",بداية_الدوام)</f>
        <v/>
      </c>
      <c r="H454" s="117">
        <f>IF($A454="","",نهاية_الدوام)</f>
        <v/>
      </c>
      <c r="I454" s="58">
        <f>IF($A454="","",مدة_الاستراحة/60)</f>
        <v/>
      </c>
      <c r="J454" s="58">
        <f>IF(OR($A454="",$E454="",$F454=""),"",IF(OR($N454="حاضر",$N454="دوام جزئي"),MAX(0,MOD($F454-$E454,1)*24-$I454),0))</f>
        <v/>
      </c>
      <c r="K454" s="58">
        <f>IF(OR($A454="",$E454=""),"",IF(AND(احتساب_التأخير="نعم",OR($N454="حاضر",$N454="دوام جزئي"),$E454&gt;$G454+دقائق_السماح/1440),($E454-$G454-دقائق_السماح/1440)*24,0))</f>
        <v/>
      </c>
      <c r="L454" s="58">
        <f>IF(OR($A454="",$F454=""),"",IF(AND(OR($N454="حاضر",$N454="دوام جزئي"),$F454&lt;$H454),($H454-$F454)*24,0))</f>
        <v/>
      </c>
      <c r="M454" s="58">
        <f>IF(OR($A454="",$F454=""),"",IF(AND(احتساب_العمل_الإضافي="نعم",OR($N454="حاضر",$N454="دوام جزئي"),$F454&gt;$H454,($F454-$H454)*24*60&gt;=حد_العمل_الإضافي_دقيقة),($F454-$H454)*24,0))</f>
        <v/>
      </c>
      <c r="N454" s="47" t="n"/>
      <c r="O454" s="47" t="n"/>
      <c r="Q454">
        <f>IF(AND(ISNUMBER($K454),$K454&gt;0),SUMPRODUCT(ISNUMBER($K$3:$K$502)*($K$3:$K$502&gt;0)*(ROW($K$3:$K$502)&lt;=ROW())),"")</f>
        <v/>
      </c>
    </row>
    <row r="455">
      <c r="A455" s="40" t="n"/>
      <c r="B455" s="43">
        <f>IFERROR(INDEX(الموظفون_الاسم,MATCH($A455,الموظفون_الرقم,0)),"")</f>
        <v/>
      </c>
      <c r="C455" s="110" t="n"/>
      <c r="D455" s="43">
        <f>IF($C455="","",IFERROR(INDEX(قائمة_أيام_الأسبوع,WEEKDAY($C455,1)),""))</f>
        <v/>
      </c>
      <c r="E455" s="114" t="n"/>
      <c r="F455" s="114" t="n"/>
      <c r="G455" s="115">
        <f>IF($A455="","",بداية_الدوام)</f>
        <v/>
      </c>
      <c r="H455" s="115">
        <f>IF($A455="","",نهاية_الدوام)</f>
        <v/>
      </c>
      <c r="I455" s="55">
        <f>IF($A455="","",مدة_الاستراحة/60)</f>
        <v/>
      </c>
      <c r="J455" s="55">
        <f>IF(OR($A455="",$E455="",$F455=""),"",IF(OR($N455="حاضر",$N455="دوام جزئي"),MAX(0,MOD($F455-$E455,1)*24-$I455),0))</f>
        <v/>
      </c>
      <c r="K455" s="55">
        <f>IF(OR($A455="",$E455=""),"",IF(AND(احتساب_التأخير="نعم",OR($N455="حاضر",$N455="دوام جزئي"),$E455&gt;$G455+دقائق_السماح/1440),($E455-$G455-دقائق_السماح/1440)*24,0))</f>
        <v/>
      </c>
      <c r="L455" s="55">
        <f>IF(OR($A455="",$F455=""),"",IF(AND(OR($N455="حاضر",$N455="دوام جزئي"),$F455&lt;$H455),($H455-$F455)*24,0))</f>
        <v/>
      </c>
      <c r="M455" s="55">
        <f>IF(OR($A455="",$F455=""),"",IF(AND(احتساب_العمل_الإضافي="نعم",OR($N455="حاضر",$N455="دوام جزئي"),$F455&gt;$H455,($F455-$H455)*24*60&gt;=حد_العمل_الإضافي_دقيقة),($F455-$H455)*24,0))</f>
        <v/>
      </c>
      <c r="N455" s="40" t="n"/>
      <c r="O455" s="40" t="n"/>
      <c r="Q455">
        <f>IF(AND(ISNUMBER($K455),$K455&gt;0),SUMPRODUCT(ISNUMBER($K$3:$K$502)*($K$3:$K$502&gt;0)*(ROW($K$3:$K$502)&lt;=ROW())),"")</f>
        <v/>
      </c>
    </row>
    <row r="456">
      <c r="A456" s="47" t="n"/>
      <c r="B456" s="50">
        <f>IFERROR(INDEX(الموظفون_الاسم,MATCH($A456,الموظفون_الرقم,0)),"")</f>
        <v/>
      </c>
      <c r="C456" s="112" t="n"/>
      <c r="D456" s="50">
        <f>IF($C456="","",IFERROR(INDEX(قائمة_أيام_الأسبوع,WEEKDAY($C456,1)),""))</f>
        <v/>
      </c>
      <c r="E456" s="116" t="n"/>
      <c r="F456" s="116" t="n"/>
      <c r="G456" s="117">
        <f>IF($A456="","",بداية_الدوام)</f>
        <v/>
      </c>
      <c r="H456" s="117">
        <f>IF($A456="","",نهاية_الدوام)</f>
        <v/>
      </c>
      <c r="I456" s="58">
        <f>IF($A456="","",مدة_الاستراحة/60)</f>
        <v/>
      </c>
      <c r="J456" s="58">
        <f>IF(OR($A456="",$E456="",$F456=""),"",IF(OR($N456="حاضر",$N456="دوام جزئي"),MAX(0,MOD($F456-$E456,1)*24-$I456),0))</f>
        <v/>
      </c>
      <c r="K456" s="58">
        <f>IF(OR($A456="",$E456=""),"",IF(AND(احتساب_التأخير="نعم",OR($N456="حاضر",$N456="دوام جزئي"),$E456&gt;$G456+دقائق_السماح/1440),($E456-$G456-دقائق_السماح/1440)*24,0))</f>
        <v/>
      </c>
      <c r="L456" s="58">
        <f>IF(OR($A456="",$F456=""),"",IF(AND(OR($N456="حاضر",$N456="دوام جزئي"),$F456&lt;$H456),($H456-$F456)*24,0))</f>
        <v/>
      </c>
      <c r="M456" s="58">
        <f>IF(OR($A456="",$F456=""),"",IF(AND(احتساب_العمل_الإضافي="نعم",OR($N456="حاضر",$N456="دوام جزئي"),$F456&gt;$H456,($F456-$H456)*24*60&gt;=حد_العمل_الإضافي_دقيقة),($F456-$H456)*24,0))</f>
        <v/>
      </c>
      <c r="N456" s="47" t="n"/>
      <c r="O456" s="47" t="n"/>
      <c r="Q456">
        <f>IF(AND(ISNUMBER($K456),$K456&gt;0),SUMPRODUCT(ISNUMBER($K$3:$K$502)*($K$3:$K$502&gt;0)*(ROW($K$3:$K$502)&lt;=ROW())),"")</f>
        <v/>
      </c>
    </row>
    <row r="457">
      <c r="A457" s="40" t="n"/>
      <c r="B457" s="43">
        <f>IFERROR(INDEX(الموظفون_الاسم,MATCH($A457,الموظفون_الرقم,0)),"")</f>
        <v/>
      </c>
      <c r="C457" s="110" t="n"/>
      <c r="D457" s="43">
        <f>IF($C457="","",IFERROR(INDEX(قائمة_أيام_الأسبوع,WEEKDAY($C457,1)),""))</f>
        <v/>
      </c>
      <c r="E457" s="114" t="n"/>
      <c r="F457" s="114" t="n"/>
      <c r="G457" s="115">
        <f>IF($A457="","",بداية_الدوام)</f>
        <v/>
      </c>
      <c r="H457" s="115">
        <f>IF($A457="","",نهاية_الدوام)</f>
        <v/>
      </c>
      <c r="I457" s="55">
        <f>IF($A457="","",مدة_الاستراحة/60)</f>
        <v/>
      </c>
      <c r="J457" s="55">
        <f>IF(OR($A457="",$E457="",$F457=""),"",IF(OR($N457="حاضر",$N457="دوام جزئي"),MAX(0,MOD($F457-$E457,1)*24-$I457),0))</f>
        <v/>
      </c>
      <c r="K457" s="55">
        <f>IF(OR($A457="",$E457=""),"",IF(AND(احتساب_التأخير="نعم",OR($N457="حاضر",$N457="دوام جزئي"),$E457&gt;$G457+دقائق_السماح/1440),($E457-$G457-دقائق_السماح/1440)*24,0))</f>
        <v/>
      </c>
      <c r="L457" s="55">
        <f>IF(OR($A457="",$F457=""),"",IF(AND(OR($N457="حاضر",$N457="دوام جزئي"),$F457&lt;$H457),($H457-$F457)*24,0))</f>
        <v/>
      </c>
      <c r="M457" s="55">
        <f>IF(OR($A457="",$F457=""),"",IF(AND(احتساب_العمل_الإضافي="نعم",OR($N457="حاضر",$N457="دوام جزئي"),$F457&gt;$H457,($F457-$H457)*24*60&gt;=حد_العمل_الإضافي_دقيقة),($F457-$H457)*24,0))</f>
        <v/>
      </c>
      <c r="N457" s="40" t="n"/>
      <c r="O457" s="40" t="n"/>
      <c r="Q457">
        <f>IF(AND(ISNUMBER($K457),$K457&gt;0),SUMPRODUCT(ISNUMBER($K$3:$K$502)*($K$3:$K$502&gt;0)*(ROW($K$3:$K$502)&lt;=ROW())),"")</f>
        <v/>
      </c>
    </row>
    <row r="458">
      <c r="A458" s="47" t="n"/>
      <c r="B458" s="50">
        <f>IFERROR(INDEX(الموظفون_الاسم,MATCH($A458,الموظفون_الرقم,0)),"")</f>
        <v/>
      </c>
      <c r="C458" s="112" t="n"/>
      <c r="D458" s="50">
        <f>IF($C458="","",IFERROR(INDEX(قائمة_أيام_الأسبوع,WEEKDAY($C458,1)),""))</f>
        <v/>
      </c>
      <c r="E458" s="116" t="n"/>
      <c r="F458" s="116" t="n"/>
      <c r="G458" s="117">
        <f>IF($A458="","",بداية_الدوام)</f>
        <v/>
      </c>
      <c r="H458" s="117">
        <f>IF($A458="","",نهاية_الدوام)</f>
        <v/>
      </c>
      <c r="I458" s="58">
        <f>IF($A458="","",مدة_الاستراحة/60)</f>
        <v/>
      </c>
      <c r="J458" s="58">
        <f>IF(OR($A458="",$E458="",$F458=""),"",IF(OR($N458="حاضر",$N458="دوام جزئي"),MAX(0,MOD($F458-$E458,1)*24-$I458),0))</f>
        <v/>
      </c>
      <c r="K458" s="58">
        <f>IF(OR($A458="",$E458=""),"",IF(AND(احتساب_التأخير="نعم",OR($N458="حاضر",$N458="دوام جزئي"),$E458&gt;$G458+دقائق_السماح/1440),($E458-$G458-دقائق_السماح/1440)*24,0))</f>
        <v/>
      </c>
      <c r="L458" s="58">
        <f>IF(OR($A458="",$F458=""),"",IF(AND(OR($N458="حاضر",$N458="دوام جزئي"),$F458&lt;$H458),($H458-$F458)*24,0))</f>
        <v/>
      </c>
      <c r="M458" s="58">
        <f>IF(OR($A458="",$F458=""),"",IF(AND(احتساب_العمل_الإضافي="نعم",OR($N458="حاضر",$N458="دوام جزئي"),$F458&gt;$H458,($F458-$H458)*24*60&gt;=حد_العمل_الإضافي_دقيقة),($F458-$H458)*24,0))</f>
        <v/>
      </c>
      <c r="N458" s="47" t="n"/>
      <c r="O458" s="47" t="n"/>
      <c r="Q458">
        <f>IF(AND(ISNUMBER($K458),$K458&gt;0),SUMPRODUCT(ISNUMBER($K$3:$K$502)*($K$3:$K$502&gt;0)*(ROW($K$3:$K$502)&lt;=ROW())),"")</f>
        <v/>
      </c>
    </row>
    <row r="459">
      <c r="A459" s="40" t="n"/>
      <c r="B459" s="43">
        <f>IFERROR(INDEX(الموظفون_الاسم,MATCH($A459,الموظفون_الرقم,0)),"")</f>
        <v/>
      </c>
      <c r="C459" s="110" t="n"/>
      <c r="D459" s="43">
        <f>IF($C459="","",IFERROR(INDEX(قائمة_أيام_الأسبوع,WEEKDAY($C459,1)),""))</f>
        <v/>
      </c>
      <c r="E459" s="114" t="n"/>
      <c r="F459" s="114" t="n"/>
      <c r="G459" s="115">
        <f>IF($A459="","",بداية_الدوام)</f>
        <v/>
      </c>
      <c r="H459" s="115">
        <f>IF($A459="","",نهاية_الدوام)</f>
        <v/>
      </c>
      <c r="I459" s="55">
        <f>IF($A459="","",مدة_الاستراحة/60)</f>
        <v/>
      </c>
      <c r="J459" s="55">
        <f>IF(OR($A459="",$E459="",$F459=""),"",IF(OR($N459="حاضر",$N459="دوام جزئي"),MAX(0,MOD($F459-$E459,1)*24-$I459),0))</f>
        <v/>
      </c>
      <c r="K459" s="55">
        <f>IF(OR($A459="",$E459=""),"",IF(AND(احتساب_التأخير="نعم",OR($N459="حاضر",$N459="دوام جزئي"),$E459&gt;$G459+دقائق_السماح/1440),($E459-$G459-دقائق_السماح/1440)*24,0))</f>
        <v/>
      </c>
      <c r="L459" s="55">
        <f>IF(OR($A459="",$F459=""),"",IF(AND(OR($N459="حاضر",$N459="دوام جزئي"),$F459&lt;$H459),($H459-$F459)*24,0))</f>
        <v/>
      </c>
      <c r="M459" s="55">
        <f>IF(OR($A459="",$F459=""),"",IF(AND(احتساب_العمل_الإضافي="نعم",OR($N459="حاضر",$N459="دوام جزئي"),$F459&gt;$H459,($F459-$H459)*24*60&gt;=حد_العمل_الإضافي_دقيقة),($F459-$H459)*24,0))</f>
        <v/>
      </c>
      <c r="N459" s="40" t="n"/>
      <c r="O459" s="40" t="n"/>
      <c r="Q459">
        <f>IF(AND(ISNUMBER($K459),$K459&gt;0),SUMPRODUCT(ISNUMBER($K$3:$K$502)*($K$3:$K$502&gt;0)*(ROW($K$3:$K$502)&lt;=ROW())),"")</f>
        <v/>
      </c>
    </row>
    <row r="460">
      <c r="A460" s="47" t="n"/>
      <c r="B460" s="50">
        <f>IFERROR(INDEX(الموظفون_الاسم,MATCH($A460,الموظفون_الرقم,0)),"")</f>
        <v/>
      </c>
      <c r="C460" s="112" t="n"/>
      <c r="D460" s="50">
        <f>IF($C460="","",IFERROR(INDEX(قائمة_أيام_الأسبوع,WEEKDAY($C460,1)),""))</f>
        <v/>
      </c>
      <c r="E460" s="116" t="n"/>
      <c r="F460" s="116" t="n"/>
      <c r="G460" s="117">
        <f>IF($A460="","",بداية_الدوام)</f>
        <v/>
      </c>
      <c r="H460" s="117">
        <f>IF($A460="","",نهاية_الدوام)</f>
        <v/>
      </c>
      <c r="I460" s="58">
        <f>IF($A460="","",مدة_الاستراحة/60)</f>
        <v/>
      </c>
      <c r="J460" s="58">
        <f>IF(OR($A460="",$E460="",$F460=""),"",IF(OR($N460="حاضر",$N460="دوام جزئي"),MAX(0,MOD($F460-$E460,1)*24-$I460),0))</f>
        <v/>
      </c>
      <c r="K460" s="58">
        <f>IF(OR($A460="",$E460=""),"",IF(AND(احتساب_التأخير="نعم",OR($N460="حاضر",$N460="دوام جزئي"),$E460&gt;$G460+دقائق_السماح/1440),($E460-$G460-دقائق_السماح/1440)*24,0))</f>
        <v/>
      </c>
      <c r="L460" s="58">
        <f>IF(OR($A460="",$F460=""),"",IF(AND(OR($N460="حاضر",$N460="دوام جزئي"),$F460&lt;$H460),($H460-$F460)*24,0))</f>
        <v/>
      </c>
      <c r="M460" s="58">
        <f>IF(OR($A460="",$F460=""),"",IF(AND(احتساب_العمل_الإضافي="نعم",OR($N460="حاضر",$N460="دوام جزئي"),$F460&gt;$H460,($F460-$H460)*24*60&gt;=حد_العمل_الإضافي_دقيقة),($F460-$H460)*24,0))</f>
        <v/>
      </c>
      <c r="N460" s="47" t="n"/>
      <c r="O460" s="47" t="n"/>
      <c r="Q460">
        <f>IF(AND(ISNUMBER($K460),$K460&gt;0),SUMPRODUCT(ISNUMBER($K$3:$K$502)*($K$3:$K$502&gt;0)*(ROW($K$3:$K$502)&lt;=ROW())),"")</f>
        <v/>
      </c>
    </row>
    <row r="461">
      <c r="A461" s="40" t="n"/>
      <c r="B461" s="43">
        <f>IFERROR(INDEX(الموظفون_الاسم,MATCH($A461,الموظفون_الرقم,0)),"")</f>
        <v/>
      </c>
      <c r="C461" s="110" t="n"/>
      <c r="D461" s="43">
        <f>IF($C461="","",IFERROR(INDEX(قائمة_أيام_الأسبوع,WEEKDAY($C461,1)),""))</f>
        <v/>
      </c>
      <c r="E461" s="114" t="n"/>
      <c r="F461" s="114" t="n"/>
      <c r="G461" s="115">
        <f>IF($A461="","",بداية_الدوام)</f>
        <v/>
      </c>
      <c r="H461" s="115">
        <f>IF($A461="","",نهاية_الدوام)</f>
        <v/>
      </c>
      <c r="I461" s="55">
        <f>IF($A461="","",مدة_الاستراحة/60)</f>
        <v/>
      </c>
      <c r="J461" s="55">
        <f>IF(OR($A461="",$E461="",$F461=""),"",IF(OR($N461="حاضر",$N461="دوام جزئي"),MAX(0,MOD($F461-$E461,1)*24-$I461),0))</f>
        <v/>
      </c>
      <c r="K461" s="55">
        <f>IF(OR($A461="",$E461=""),"",IF(AND(احتساب_التأخير="نعم",OR($N461="حاضر",$N461="دوام جزئي"),$E461&gt;$G461+دقائق_السماح/1440),($E461-$G461-دقائق_السماح/1440)*24,0))</f>
        <v/>
      </c>
      <c r="L461" s="55">
        <f>IF(OR($A461="",$F461=""),"",IF(AND(OR($N461="حاضر",$N461="دوام جزئي"),$F461&lt;$H461),($H461-$F461)*24,0))</f>
        <v/>
      </c>
      <c r="M461" s="55">
        <f>IF(OR($A461="",$F461=""),"",IF(AND(احتساب_العمل_الإضافي="نعم",OR($N461="حاضر",$N461="دوام جزئي"),$F461&gt;$H461,($F461-$H461)*24*60&gt;=حد_العمل_الإضافي_دقيقة),($F461-$H461)*24,0))</f>
        <v/>
      </c>
      <c r="N461" s="40" t="n"/>
      <c r="O461" s="40" t="n"/>
      <c r="Q461">
        <f>IF(AND(ISNUMBER($K461),$K461&gt;0),SUMPRODUCT(ISNUMBER($K$3:$K$502)*($K$3:$K$502&gt;0)*(ROW($K$3:$K$502)&lt;=ROW())),"")</f>
        <v/>
      </c>
    </row>
    <row r="462">
      <c r="A462" s="47" t="n"/>
      <c r="B462" s="50">
        <f>IFERROR(INDEX(الموظفون_الاسم,MATCH($A462,الموظفون_الرقم,0)),"")</f>
        <v/>
      </c>
      <c r="C462" s="112" t="n"/>
      <c r="D462" s="50">
        <f>IF($C462="","",IFERROR(INDEX(قائمة_أيام_الأسبوع,WEEKDAY($C462,1)),""))</f>
        <v/>
      </c>
      <c r="E462" s="116" t="n"/>
      <c r="F462" s="116" t="n"/>
      <c r="G462" s="117">
        <f>IF($A462="","",بداية_الدوام)</f>
        <v/>
      </c>
      <c r="H462" s="117">
        <f>IF($A462="","",نهاية_الدوام)</f>
        <v/>
      </c>
      <c r="I462" s="58">
        <f>IF($A462="","",مدة_الاستراحة/60)</f>
        <v/>
      </c>
      <c r="J462" s="58">
        <f>IF(OR($A462="",$E462="",$F462=""),"",IF(OR($N462="حاضر",$N462="دوام جزئي"),MAX(0,MOD($F462-$E462,1)*24-$I462),0))</f>
        <v/>
      </c>
      <c r="K462" s="58">
        <f>IF(OR($A462="",$E462=""),"",IF(AND(احتساب_التأخير="نعم",OR($N462="حاضر",$N462="دوام جزئي"),$E462&gt;$G462+دقائق_السماح/1440),($E462-$G462-دقائق_السماح/1440)*24,0))</f>
        <v/>
      </c>
      <c r="L462" s="58">
        <f>IF(OR($A462="",$F462=""),"",IF(AND(OR($N462="حاضر",$N462="دوام جزئي"),$F462&lt;$H462),($H462-$F462)*24,0))</f>
        <v/>
      </c>
      <c r="M462" s="58">
        <f>IF(OR($A462="",$F462=""),"",IF(AND(احتساب_العمل_الإضافي="نعم",OR($N462="حاضر",$N462="دوام جزئي"),$F462&gt;$H462,($F462-$H462)*24*60&gt;=حد_العمل_الإضافي_دقيقة),($F462-$H462)*24,0))</f>
        <v/>
      </c>
      <c r="N462" s="47" t="n"/>
      <c r="O462" s="47" t="n"/>
      <c r="Q462">
        <f>IF(AND(ISNUMBER($K462),$K462&gt;0),SUMPRODUCT(ISNUMBER($K$3:$K$502)*($K$3:$K$502&gt;0)*(ROW($K$3:$K$502)&lt;=ROW())),"")</f>
        <v/>
      </c>
    </row>
    <row r="463">
      <c r="A463" s="40" t="n"/>
      <c r="B463" s="43">
        <f>IFERROR(INDEX(الموظفون_الاسم,MATCH($A463,الموظفون_الرقم,0)),"")</f>
        <v/>
      </c>
      <c r="C463" s="110" t="n"/>
      <c r="D463" s="43">
        <f>IF($C463="","",IFERROR(INDEX(قائمة_أيام_الأسبوع,WEEKDAY($C463,1)),""))</f>
        <v/>
      </c>
      <c r="E463" s="114" t="n"/>
      <c r="F463" s="114" t="n"/>
      <c r="G463" s="115">
        <f>IF($A463="","",بداية_الدوام)</f>
        <v/>
      </c>
      <c r="H463" s="115">
        <f>IF($A463="","",نهاية_الدوام)</f>
        <v/>
      </c>
      <c r="I463" s="55">
        <f>IF($A463="","",مدة_الاستراحة/60)</f>
        <v/>
      </c>
      <c r="J463" s="55">
        <f>IF(OR($A463="",$E463="",$F463=""),"",IF(OR($N463="حاضر",$N463="دوام جزئي"),MAX(0,MOD($F463-$E463,1)*24-$I463),0))</f>
        <v/>
      </c>
      <c r="K463" s="55">
        <f>IF(OR($A463="",$E463=""),"",IF(AND(احتساب_التأخير="نعم",OR($N463="حاضر",$N463="دوام جزئي"),$E463&gt;$G463+دقائق_السماح/1440),($E463-$G463-دقائق_السماح/1440)*24,0))</f>
        <v/>
      </c>
      <c r="L463" s="55">
        <f>IF(OR($A463="",$F463=""),"",IF(AND(OR($N463="حاضر",$N463="دوام جزئي"),$F463&lt;$H463),($H463-$F463)*24,0))</f>
        <v/>
      </c>
      <c r="M463" s="55">
        <f>IF(OR($A463="",$F463=""),"",IF(AND(احتساب_العمل_الإضافي="نعم",OR($N463="حاضر",$N463="دوام جزئي"),$F463&gt;$H463,($F463-$H463)*24*60&gt;=حد_العمل_الإضافي_دقيقة),($F463-$H463)*24,0))</f>
        <v/>
      </c>
      <c r="N463" s="40" t="n"/>
      <c r="O463" s="40" t="n"/>
      <c r="Q463">
        <f>IF(AND(ISNUMBER($K463),$K463&gt;0),SUMPRODUCT(ISNUMBER($K$3:$K$502)*($K$3:$K$502&gt;0)*(ROW($K$3:$K$502)&lt;=ROW())),"")</f>
        <v/>
      </c>
    </row>
    <row r="464">
      <c r="A464" s="47" t="n"/>
      <c r="B464" s="50">
        <f>IFERROR(INDEX(الموظفون_الاسم,MATCH($A464,الموظفون_الرقم,0)),"")</f>
        <v/>
      </c>
      <c r="C464" s="112" t="n"/>
      <c r="D464" s="50">
        <f>IF($C464="","",IFERROR(INDEX(قائمة_أيام_الأسبوع,WEEKDAY($C464,1)),""))</f>
        <v/>
      </c>
      <c r="E464" s="116" t="n"/>
      <c r="F464" s="116" t="n"/>
      <c r="G464" s="117">
        <f>IF($A464="","",بداية_الدوام)</f>
        <v/>
      </c>
      <c r="H464" s="117">
        <f>IF($A464="","",نهاية_الدوام)</f>
        <v/>
      </c>
      <c r="I464" s="58">
        <f>IF($A464="","",مدة_الاستراحة/60)</f>
        <v/>
      </c>
      <c r="J464" s="58">
        <f>IF(OR($A464="",$E464="",$F464=""),"",IF(OR($N464="حاضر",$N464="دوام جزئي"),MAX(0,MOD($F464-$E464,1)*24-$I464),0))</f>
        <v/>
      </c>
      <c r="K464" s="58">
        <f>IF(OR($A464="",$E464=""),"",IF(AND(احتساب_التأخير="نعم",OR($N464="حاضر",$N464="دوام جزئي"),$E464&gt;$G464+دقائق_السماح/1440),($E464-$G464-دقائق_السماح/1440)*24,0))</f>
        <v/>
      </c>
      <c r="L464" s="58">
        <f>IF(OR($A464="",$F464=""),"",IF(AND(OR($N464="حاضر",$N464="دوام جزئي"),$F464&lt;$H464),($H464-$F464)*24,0))</f>
        <v/>
      </c>
      <c r="M464" s="58">
        <f>IF(OR($A464="",$F464=""),"",IF(AND(احتساب_العمل_الإضافي="نعم",OR($N464="حاضر",$N464="دوام جزئي"),$F464&gt;$H464,($F464-$H464)*24*60&gt;=حد_العمل_الإضافي_دقيقة),($F464-$H464)*24,0))</f>
        <v/>
      </c>
      <c r="N464" s="47" t="n"/>
      <c r="O464" s="47" t="n"/>
      <c r="Q464">
        <f>IF(AND(ISNUMBER($K464),$K464&gt;0),SUMPRODUCT(ISNUMBER($K$3:$K$502)*($K$3:$K$502&gt;0)*(ROW($K$3:$K$502)&lt;=ROW())),"")</f>
        <v/>
      </c>
    </row>
    <row r="465">
      <c r="A465" s="40" t="n"/>
      <c r="B465" s="43">
        <f>IFERROR(INDEX(الموظفون_الاسم,MATCH($A465,الموظفون_الرقم,0)),"")</f>
        <v/>
      </c>
      <c r="C465" s="110" t="n"/>
      <c r="D465" s="43">
        <f>IF($C465="","",IFERROR(INDEX(قائمة_أيام_الأسبوع,WEEKDAY($C465,1)),""))</f>
        <v/>
      </c>
      <c r="E465" s="114" t="n"/>
      <c r="F465" s="114" t="n"/>
      <c r="G465" s="115">
        <f>IF($A465="","",بداية_الدوام)</f>
        <v/>
      </c>
      <c r="H465" s="115">
        <f>IF($A465="","",نهاية_الدوام)</f>
        <v/>
      </c>
      <c r="I465" s="55">
        <f>IF($A465="","",مدة_الاستراحة/60)</f>
        <v/>
      </c>
      <c r="J465" s="55">
        <f>IF(OR($A465="",$E465="",$F465=""),"",IF(OR($N465="حاضر",$N465="دوام جزئي"),MAX(0,MOD($F465-$E465,1)*24-$I465),0))</f>
        <v/>
      </c>
      <c r="K465" s="55">
        <f>IF(OR($A465="",$E465=""),"",IF(AND(احتساب_التأخير="نعم",OR($N465="حاضر",$N465="دوام جزئي"),$E465&gt;$G465+دقائق_السماح/1440),($E465-$G465-دقائق_السماح/1440)*24,0))</f>
        <v/>
      </c>
      <c r="L465" s="55">
        <f>IF(OR($A465="",$F465=""),"",IF(AND(OR($N465="حاضر",$N465="دوام جزئي"),$F465&lt;$H465),($H465-$F465)*24,0))</f>
        <v/>
      </c>
      <c r="M465" s="55">
        <f>IF(OR($A465="",$F465=""),"",IF(AND(احتساب_العمل_الإضافي="نعم",OR($N465="حاضر",$N465="دوام جزئي"),$F465&gt;$H465,($F465-$H465)*24*60&gt;=حد_العمل_الإضافي_دقيقة),($F465-$H465)*24,0))</f>
        <v/>
      </c>
      <c r="N465" s="40" t="n"/>
      <c r="O465" s="40" t="n"/>
      <c r="Q465">
        <f>IF(AND(ISNUMBER($K465),$K465&gt;0),SUMPRODUCT(ISNUMBER($K$3:$K$502)*($K$3:$K$502&gt;0)*(ROW($K$3:$K$502)&lt;=ROW())),"")</f>
        <v/>
      </c>
    </row>
    <row r="466">
      <c r="A466" s="47" t="n"/>
      <c r="B466" s="50">
        <f>IFERROR(INDEX(الموظفون_الاسم,MATCH($A466,الموظفون_الرقم,0)),"")</f>
        <v/>
      </c>
      <c r="C466" s="112" t="n"/>
      <c r="D466" s="50">
        <f>IF($C466="","",IFERROR(INDEX(قائمة_أيام_الأسبوع,WEEKDAY($C466,1)),""))</f>
        <v/>
      </c>
      <c r="E466" s="116" t="n"/>
      <c r="F466" s="116" t="n"/>
      <c r="G466" s="117">
        <f>IF($A466="","",بداية_الدوام)</f>
        <v/>
      </c>
      <c r="H466" s="117">
        <f>IF($A466="","",نهاية_الدوام)</f>
        <v/>
      </c>
      <c r="I466" s="58">
        <f>IF($A466="","",مدة_الاستراحة/60)</f>
        <v/>
      </c>
      <c r="J466" s="58">
        <f>IF(OR($A466="",$E466="",$F466=""),"",IF(OR($N466="حاضر",$N466="دوام جزئي"),MAX(0,MOD($F466-$E466,1)*24-$I466),0))</f>
        <v/>
      </c>
      <c r="K466" s="58">
        <f>IF(OR($A466="",$E466=""),"",IF(AND(احتساب_التأخير="نعم",OR($N466="حاضر",$N466="دوام جزئي"),$E466&gt;$G466+دقائق_السماح/1440),($E466-$G466-دقائق_السماح/1440)*24,0))</f>
        <v/>
      </c>
      <c r="L466" s="58">
        <f>IF(OR($A466="",$F466=""),"",IF(AND(OR($N466="حاضر",$N466="دوام جزئي"),$F466&lt;$H466),($H466-$F466)*24,0))</f>
        <v/>
      </c>
      <c r="M466" s="58">
        <f>IF(OR($A466="",$F466=""),"",IF(AND(احتساب_العمل_الإضافي="نعم",OR($N466="حاضر",$N466="دوام جزئي"),$F466&gt;$H466,($F466-$H466)*24*60&gt;=حد_العمل_الإضافي_دقيقة),($F466-$H466)*24,0))</f>
        <v/>
      </c>
      <c r="N466" s="47" t="n"/>
      <c r="O466" s="47" t="n"/>
      <c r="Q466">
        <f>IF(AND(ISNUMBER($K466),$K466&gt;0),SUMPRODUCT(ISNUMBER($K$3:$K$502)*($K$3:$K$502&gt;0)*(ROW($K$3:$K$502)&lt;=ROW())),"")</f>
        <v/>
      </c>
    </row>
    <row r="467">
      <c r="A467" s="40" t="n"/>
      <c r="B467" s="43">
        <f>IFERROR(INDEX(الموظفون_الاسم,MATCH($A467,الموظفون_الرقم,0)),"")</f>
        <v/>
      </c>
      <c r="C467" s="110" t="n"/>
      <c r="D467" s="43">
        <f>IF($C467="","",IFERROR(INDEX(قائمة_أيام_الأسبوع,WEEKDAY($C467,1)),""))</f>
        <v/>
      </c>
      <c r="E467" s="114" t="n"/>
      <c r="F467" s="114" t="n"/>
      <c r="G467" s="115">
        <f>IF($A467="","",بداية_الدوام)</f>
        <v/>
      </c>
      <c r="H467" s="115">
        <f>IF($A467="","",نهاية_الدوام)</f>
        <v/>
      </c>
      <c r="I467" s="55">
        <f>IF($A467="","",مدة_الاستراحة/60)</f>
        <v/>
      </c>
      <c r="J467" s="55">
        <f>IF(OR($A467="",$E467="",$F467=""),"",IF(OR($N467="حاضر",$N467="دوام جزئي"),MAX(0,MOD($F467-$E467,1)*24-$I467),0))</f>
        <v/>
      </c>
      <c r="K467" s="55">
        <f>IF(OR($A467="",$E467=""),"",IF(AND(احتساب_التأخير="نعم",OR($N467="حاضر",$N467="دوام جزئي"),$E467&gt;$G467+دقائق_السماح/1440),($E467-$G467-دقائق_السماح/1440)*24,0))</f>
        <v/>
      </c>
      <c r="L467" s="55">
        <f>IF(OR($A467="",$F467=""),"",IF(AND(OR($N467="حاضر",$N467="دوام جزئي"),$F467&lt;$H467),($H467-$F467)*24,0))</f>
        <v/>
      </c>
      <c r="M467" s="55">
        <f>IF(OR($A467="",$F467=""),"",IF(AND(احتساب_العمل_الإضافي="نعم",OR($N467="حاضر",$N467="دوام جزئي"),$F467&gt;$H467,($F467-$H467)*24*60&gt;=حد_العمل_الإضافي_دقيقة),($F467-$H467)*24,0))</f>
        <v/>
      </c>
      <c r="N467" s="40" t="n"/>
      <c r="O467" s="40" t="n"/>
      <c r="Q467">
        <f>IF(AND(ISNUMBER($K467),$K467&gt;0),SUMPRODUCT(ISNUMBER($K$3:$K$502)*($K$3:$K$502&gt;0)*(ROW($K$3:$K$502)&lt;=ROW())),"")</f>
        <v/>
      </c>
    </row>
    <row r="468">
      <c r="A468" s="47" t="n"/>
      <c r="B468" s="50">
        <f>IFERROR(INDEX(الموظفون_الاسم,MATCH($A468,الموظفون_الرقم,0)),"")</f>
        <v/>
      </c>
      <c r="C468" s="112" t="n"/>
      <c r="D468" s="50">
        <f>IF($C468="","",IFERROR(INDEX(قائمة_أيام_الأسبوع,WEEKDAY($C468,1)),""))</f>
        <v/>
      </c>
      <c r="E468" s="116" t="n"/>
      <c r="F468" s="116" t="n"/>
      <c r="G468" s="117">
        <f>IF($A468="","",بداية_الدوام)</f>
        <v/>
      </c>
      <c r="H468" s="117">
        <f>IF($A468="","",نهاية_الدوام)</f>
        <v/>
      </c>
      <c r="I468" s="58">
        <f>IF($A468="","",مدة_الاستراحة/60)</f>
        <v/>
      </c>
      <c r="J468" s="58">
        <f>IF(OR($A468="",$E468="",$F468=""),"",IF(OR($N468="حاضر",$N468="دوام جزئي"),MAX(0,MOD($F468-$E468,1)*24-$I468),0))</f>
        <v/>
      </c>
      <c r="K468" s="58">
        <f>IF(OR($A468="",$E468=""),"",IF(AND(احتساب_التأخير="نعم",OR($N468="حاضر",$N468="دوام جزئي"),$E468&gt;$G468+دقائق_السماح/1440),($E468-$G468-دقائق_السماح/1440)*24,0))</f>
        <v/>
      </c>
      <c r="L468" s="58">
        <f>IF(OR($A468="",$F468=""),"",IF(AND(OR($N468="حاضر",$N468="دوام جزئي"),$F468&lt;$H468),($H468-$F468)*24,0))</f>
        <v/>
      </c>
      <c r="M468" s="58">
        <f>IF(OR($A468="",$F468=""),"",IF(AND(احتساب_العمل_الإضافي="نعم",OR($N468="حاضر",$N468="دوام جزئي"),$F468&gt;$H468,($F468-$H468)*24*60&gt;=حد_العمل_الإضافي_دقيقة),($F468-$H468)*24,0))</f>
        <v/>
      </c>
      <c r="N468" s="47" t="n"/>
      <c r="O468" s="47" t="n"/>
      <c r="Q468">
        <f>IF(AND(ISNUMBER($K468),$K468&gt;0),SUMPRODUCT(ISNUMBER($K$3:$K$502)*($K$3:$K$502&gt;0)*(ROW($K$3:$K$502)&lt;=ROW())),"")</f>
        <v/>
      </c>
    </row>
    <row r="469">
      <c r="A469" s="40" t="n"/>
      <c r="B469" s="43">
        <f>IFERROR(INDEX(الموظفون_الاسم,MATCH($A469,الموظفون_الرقم,0)),"")</f>
        <v/>
      </c>
      <c r="C469" s="110" t="n"/>
      <c r="D469" s="43">
        <f>IF($C469="","",IFERROR(INDEX(قائمة_أيام_الأسبوع,WEEKDAY($C469,1)),""))</f>
        <v/>
      </c>
      <c r="E469" s="114" t="n"/>
      <c r="F469" s="114" t="n"/>
      <c r="G469" s="115">
        <f>IF($A469="","",بداية_الدوام)</f>
        <v/>
      </c>
      <c r="H469" s="115">
        <f>IF($A469="","",نهاية_الدوام)</f>
        <v/>
      </c>
      <c r="I469" s="55">
        <f>IF($A469="","",مدة_الاستراحة/60)</f>
        <v/>
      </c>
      <c r="J469" s="55">
        <f>IF(OR($A469="",$E469="",$F469=""),"",IF(OR($N469="حاضر",$N469="دوام جزئي"),MAX(0,MOD($F469-$E469,1)*24-$I469),0))</f>
        <v/>
      </c>
      <c r="K469" s="55">
        <f>IF(OR($A469="",$E469=""),"",IF(AND(احتساب_التأخير="نعم",OR($N469="حاضر",$N469="دوام جزئي"),$E469&gt;$G469+دقائق_السماح/1440),($E469-$G469-دقائق_السماح/1440)*24,0))</f>
        <v/>
      </c>
      <c r="L469" s="55">
        <f>IF(OR($A469="",$F469=""),"",IF(AND(OR($N469="حاضر",$N469="دوام جزئي"),$F469&lt;$H469),($H469-$F469)*24,0))</f>
        <v/>
      </c>
      <c r="M469" s="55">
        <f>IF(OR($A469="",$F469=""),"",IF(AND(احتساب_العمل_الإضافي="نعم",OR($N469="حاضر",$N469="دوام جزئي"),$F469&gt;$H469,($F469-$H469)*24*60&gt;=حد_العمل_الإضافي_دقيقة),($F469-$H469)*24,0))</f>
        <v/>
      </c>
      <c r="N469" s="40" t="n"/>
      <c r="O469" s="40" t="n"/>
      <c r="Q469">
        <f>IF(AND(ISNUMBER($K469),$K469&gt;0),SUMPRODUCT(ISNUMBER($K$3:$K$502)*($K$3:$K$502&gt;0)*(ROW($K$3:$K$502)&lt;=ROW())),"")</f>
        <v/>
      </c>
    </row>
    <row r="470">
      <c r="A470" s="47" t="n"/>
      <c r="B470" s="50">
        <f>IFERROR(INDEX(الموظفون_الاسم,MATCH($A470,الموظفون_الرقم,0)),"")</f>
        <v/>
      </c>
      <c r="C470" s="112" t="n"/>
      <c r="D470" s="50">
        <f>IF($C470="","",IFERROR(INDEX(قائمة_أيام_الأسبوع,WEEKDAY($C470,1)),""))</f>
        <v/>
      </c>
      <c r="E470" s="116" t="n"/>
      <c r="F470" s="116" t="n"/>
      <c r="G470" s="117">
        <f>IF($A470="","",بداية_الدوام)</f>
        <v/>
      </c>
      <c r="H470" s="117">
        <f>IF($A470="","",نهاية_الدوام)</f>
        <v/>
      </c>
      <c r="I470" s="58">
        <f>IF($A470="","",مدة_الاستراحة/60)</f>
        <v/>
      </c>
      <c r="J470" s="58">
        <f>IF(OR($A470="",$E470="",$F470=""),"",IF(OR($N470="حاضر",$N470="دوام جزئي"),MAX(0,MOD($F470-$E470,1)*24-$I470),0))</f>
        <v/>
      </c>
      <c r="K470" s="58">
        <f>IF(OR($A470="",$E470=""),"",IF(AND(احتساب_التأخير="نعم",OR($N470="حاضر",$N470="دوام جزئي"),$E470&gt;$G470+دقائق_السماح/1440),($E470-$G470-دقائق_السماح/1440)*24,0))</f>
        <v/>
      </c>
      <c r="L470" s="58">
        <f>IF(OR($A470="",$F470=""),"",IF(AND(OR($N470="حاضر",$N470="دوام جزئي"),$F470&lt;$H470),($H470-$F470)*24,0))</f>
        <v/>
      </c>
      <c r="M470" s="58">
        <f>IF(OR($A470="",$F470=""),"",IF(AND(احتساب_العمل_الإضافي="نعم",OR($N470="حاضر",$N470="دوام جزئي"),$F470&gt;$H470,($F470-$H470)*24*60&gt;=حد_العمل_الإضافي_دقيقة),($F470-$H470)*24,0))</f>
        <v/>
      </c>
      <c r="N470" s="47" t="n"/>
      <c r="O470" s="47" t="n"/>
      <c r="Q470">
        <f>IF(AND(ISNUMBER($K470),$K470&gt;0),SUMPRODUCT(ISNUMBER($K$3:$K$502)*($K$3:$K$502&gt;0)*(ROW($K$3:$K$502)&lt;=ROW())),"")</f>
        <v/>
      </c>
    </row>
    <row r="471">
      <c r="A471" s="40" t="n"/>
      <c r="B471" s="43">
        <f>IFERROR(INDEX(الموظفون_الاسم,MATCH($A471,الموظفون_الرقم,0)),"")</f>
        <v/>
      </c>
      <c r="C471" s="110" t="n"/>
      <c r="D471" s="43">
        <f>IF($C471="","",IFERROR(INDEX(قائمة_أيام_الأسبوع,WEEKDAY($C471,1)),""))</f>
        <v/>
      </c>
      <c r="E471" s="114" t="n"/>
      <c r="F471" s="114" t="n"/>
      <c r="G471" s="115">
        <f>IF($A471="","",بداية_الدوام)</f>
        <v/>
      </c>
      <c r="H471" s="115">
        <f>IF($A471="","",نهاية_الدوام)</f>
        <v/>
      </c>
      <c r="I471" s="55">
        <f>IF($A471="","",مدة_الاستراحة/60)</f>
        <v/>
      </c>
      <c r="J471" s="55">
        <f>IF(OR($A471="",$E471="",$F471=""),"",IF(OR($N471="حاضر",$N471="دوام جزئي"),MAX(0,MOD($F471-$E471,1)*24-$I471),0))</f>
        <v/>
      </c>
      <c r="K471" s="55">
        <f>IF(OR($A471="",$E471=""),"",IF(AND(احتساب_التأخير="نعم",OR($N471="حاضر",$N471="دوام جزئي"),$E471&gt;$G471+دقائق_السماح/1440),($E471-$G471-دقائق_السماح/1440)*24,0))</f>
        <v/>
      </c>
      <c r="L471" s="55">
        <f>IF(OR($A471="",$F471=""),"",IF(AND(OR($N471="حاضر",$N471="دوام جزئي"),$F471&lt;$H471),($H471-$F471)*24,0))</f>
        <v/>
      </c>
      <c r="M471" s="55">
        <f>IF(OR($A471="",$F471=""),"",IF(AND(احتساب_العمل_الإضافي="نعم",OR($N471="حاضر",$N471="دوام جزئي"),$F471&gt;$H471,($F471-$H471)*24*60&gt;=حد_العمل_الإضافي_دقيقة),($F471-$H471)*24,0))</f>
        <v/>
      </c>
      <c r="N471" s="40" t="n"/>
      <c r="O471" s="40" t="n"/>
      <c r="Q471">
        <f>IF(AND(ISNUMBER($K471),$K471&gt;0),SUMPRODUCT(ISNUMBER($K$3:$K$502)*($K$3:$K$502&gt;0)*(ROW($K$3:$K$502)&lt;=ROW())),"")</f>
        <v/>
      </c>
    </row>
    <row r="472">
      <c r="A472" s="47" t="n"/>
      <c r="B472" s="50">
        <f>IFERROR(INDEX(الموظفون_الاسم,MATCH($A472,الموظفون_الرقم,0)),"")</f>
        <v/>
      </c>
      <c r="C472" s="112" t="n"/>
      <c r="D472" s="50">
        <f>IF($C472="","",IFERROR(INDEX(قائمة_أيام_الأسبوع,WEEKDAY($C472,1)),""))</f>
        <v/>
      </c>
      <c r="E472" s="116" t="n"/>
      <c r="F472" s="116" t="n"/>
      <c r="G472" s="117">
        <f>IF($A472="","",بداية_الدوام)</f>
        <v/>
      </c>
      <c r="H472" s="117">
        <f>IF($A472="","",نهاية_الدوام)</f>
        <v/>
      </c>
      <c r="I472" s="58">
        <f>IF($A472="","",مدة_الاستراحة/60)</f>
        <v/>
      </c>
      <c r="J472" s="58">
        <f>IF(OR($A472="",$E472="",$F472=""),"",IF(OR($N472="حاضر",$N472="دوام جزئي"),MAX(0,MOD($F472-$E472,1)*24-$I472),0))</f>
        <v/>
      </c>
      <c r="K472" s="58">
        <f>IF(OR($A472="",$E472=""),"",IF(AND(احتساب_التأخير="نعم",OR($N472="حاضر",$N472="دوام جزئي"),$E472&gt;$G472+دقائق_السماح/1440),($E472-$G472-دقائق_السماح/1440)*24,0))</f>
        <v/>
      </c>
      <c r="L472" s="58">
        <f>IF(OR($A472="",$F472=""),"",IF(AND(OR($N472="حاضر",$N472="دوام جزئي"),$F472&lt;$H472),($H472-$F472)*24,0))</f>
        <v/>
      </c>
      <c r="M472" s="58">
        <f>IF(OR($A472="",$F472=""),"",IF(AND(احتساب_العمل_الإضافي="نعم",OR($N472="حاضر",$N472="دوام جزئي"),$F472&gt;$H472,($F472-$H472)*24*60&gt;=حد_العمل_الإضافي_دقيقة),($F472-$H472)*24,0))</f>
        <v/>
      </c>
      <c r="N472" s="47" t="n"/>
      <c r="O472" s="47" t="n"/>
      <c r="Q472">
        <f>IF(AND(ISNUMBER($K472),$K472&gt;0),SUMPRODUCT(ISNUMBER($K$3:$K$502)*($K$3:$K$502&gt;0)*(ROW($K$3:$K$502)&lt;=ROW())),"")</f>
        <v/>
      </c>
    </row>
    <row r="473">
      <c r="A473" s="40" t="n"/>
      <c r="B473" s="43">
        <f>IFERROR(INDEX(الموظفون_الاسم,MATCH($A473,الموظفون_الرقم,0)),"")</f>
        <v/>
      </c>
      <c r="C473" s="110" t="n"/>
      <c r="D473" s="43">
        <f>IF($C473="","",IFERROR(INDEX(قائمة_أيام_الأسبوع,WEEKDAY($C473,1)),""))</f>
        <v/>
      </c>
      <c r="E473" s="114" t="n"/>
      <c r="F473" s="114" t="n"/>
      <c r="G473" s="115">
        <f>IF($A473="","",بداية_الدوام)</f>
        <v/>
      </c>
      <c r="H473" s="115">
        <f>IF($A473="","",نهاية_الدوام)</f>
        <v/>
      </c>
      <c r="I473" s="55">
        <f>IF($A473="","",مدة_الاستراحة/60)</f>
        <v/>
      </c>
      <c r="J473" s="55">
        <f>IF(OR($A473="",$E473="",$F473=""),"",IF(OR($N473="حاضر",$N473="دوام جزئي"),MAX(0,MOD($F473-$E473,1)*24-$I473),0))</f>
        <v/>
      </c>
      <c r="K473" s="55">
        <f>IF(OR($A473="",$E473=""),"",IF(AND(احتساب_التأخير="نعم",OR($N473="حاضر",$N473="دوام جزئي"),$E473&gt;$G473+دقائق_السماح/1440),($E473-$G473-دقائق_السماح/1440)*24,0))</f>
        <v/>
      </c>
      <c r="L473" s="55">
        <f>IF(OR($A473="",$F473=""),"",IF(AND(OR($N473="حاضر",$N473="دوام جزئي"),$F473&lt;$H473),($H473-$F473)*24,0))</f>
        <v/>
      </c>
      <c r="M473" s="55">
        <f>IF(OR($A473="",$F473=""),"",IF(AND(احتساب_العمل_الإضافي="نعم",OR($N473="حاضر",$N473="دوام جزئي"),$F473&gt;$H473,($F473-$H473)*24*60&gt;=حد_العمل_الإضافي_دقيقة),($F473-$H473)*24,0))</f>
        <v/>
      </c>
      <c r="N473" s="40" t="n"/>
      <c r="O473" s="40" t="n"/>
      <c r="Q473">
        <f>IF(AND(ISNUMBER($K473),$K473&gt;0),SUMPRODUCT(ISNUMBER($K$3:$K$502)*($K$3:$K$502&gt;0)*(ROW($K$3:$K$502)&lt;=ROW())),"")</f>
        <v/>
      </c>
    </row>
    <row r="474">
      <c r="A474" s="47" t="n"/>
      <c r="B474" s="50">
        <f>IFERROR(INDEX(الموظفون_الاسم,MATCH($A474,الموظفون_الرقم,0)),"")</f>
        <v/>
      </c>
      <c r="C474" s="112" t="n"/>
      <c r="D474" s="50">
        <f>IF($C474="","",IFERROR(INDEX(قائمة_أيام_الأسبوع,WEEKDAY($C474,1)),""))</f>
        <v/>
      </c>
      <c r="E474" s="116" t="n"/>
      <c r="F474" s="116" t="n"/>
      <c r="G474" s="117">
        <f>IF($A474="","",بداية_الدوام)</f>
        <v/>
      </c>
      <c r="H474" s="117">
        <f>IF($A474="","",نهاية_الدوام)</f>
        <v/>
      </c>
      <c r="I474" s="58">
        <f>IF($A474="","",مدة_الاستراحة/60)</f>
        <v/>
      </c>
      <c r="J474" s="58">
        <f>IF(OR($A474="",$E474="",$F474=""),"",IF(OR($N474="حاضر",$N474="دوام جزئي"),MAX(0,MOD($F474-$E474,1)*24-$I474),0))</f>
        <v/>
      </c>
      <c r="K474" s="58">
        <f>IF(OR($A474="",$E474=""),"",IF(AND(احتساب_التأخير="نعم",OR($N474="حاضر",$N474="دوام جزئي"),$E474&gt;$G474+دقائق_السماح/1440),($E474-$G474-دقائق_السماح/1440)*24,0))</f>
        <v/>
      </c>
      <c r="L474" s="58">
        <f>IF(OR($A474="",$F474=""),"",IF(AND(OR($N474="حاضر",$N474="دوام جزئي"),$F474&lt;$H474),($H474-$F474)*24,0))</f>
        <v/>
      </c>
      <c r="M474" s="58">
        <f>IF(OR($A474="",$F474=""),"",IF(AND(احتساب_العمل_الإضافي="نعم",OR($N474="حاضر",$N474="دوام جزئي"),$F474&gt;$H474,($F474-$H474)*24*60&gt;=حد_العمل_الإضافي_دقيقة),($F474-$H474)*24,0))</f>
        <v/>
      </c>
      <c r="N474" s="47" t="n"/>
      <c r="O474" s="47" t="n"/>
      <c r="Q474">
        <f>IF(AND(ISNUMBER($K474),$K474&gt;0),SUMPRODUCT(ISNUMBER($K$3:$K$502)*($K$3:$K$502&gt;0)*(ROW($K$3:$K$502)&lt;=ROW())),"")</f>
        <v/>
      </c>
    </row>
    <row r="475">
      <c r="A475" s="40" t="n"/>
      <c r="B475" s="43">
        <f>IFERROR(INDEX(الموظفون_الاسم,MATCH($A475,الموظفون_الرقم,0)),"")</f>
        <v/>
      </c>
      <c r="C475" s="110" t="n"/>
      <c r="D475" s="43">
        <f>IF($C475="","",IFERROR(INDEX(قائمة_أيام_الأسبوع,WEEKDAY($C475,1)),""))</f>
        <v/>
      </c>
      <c r="E475" s="114" t="n"/>
      <c r="F475" s="114" t="n"/>
      <c r="G475" s="115">
        <f>IF($A475="","",بداية_الدوام)</f>
        <v/>
      </c>
      <c r="H475" s="115">
        <f>IF($A475="","",نهاية_الدوام)</f>
        <v/>
      </c>
      <c r="I475" s="55">
        <f>IF($A475="","",مدة_الاستراحة/60)</f>
        <v/>
      </c>
      <c r="J475" s="55">
        <f>IF(OR($A475="",$E475="",$F475=""),"",IF(OR($N475="حاضر",$N475="دوام جزئي"),MAX(0,MOD($F475-$E475,1)*24-$I475),0))</f>
        <v/>
      </c>
      <c r="K475" s="55">
        <f>IF(OR($A475="",$E475=""),"",IF(AND(احتساب_التأخير="نعم",OR($N475="حاضر",$N475="دوام جزئي"),$E475&gt;$G475+دقائق_السماح/1440),($E475-$G475-دقائق_السماح/1440)*24,0))</f>
        <v/>
      </c>
      <c r="L475" s="55">
        <f>IF(OR($A475="",$F475=""),"",IF(AND(OR($N475="حاضر",$N475="دوام جزئي"),$F475&lt;$H475),($H475-$F475)*24,0))</f>
        <v/>
      </c>
      <c r="M475" s="55">
        <f>IF(OR($A475="",$F475=""),"",IF(AND(احتساب_العمل_الإضافي="نعم",OR($N475="حاضر",$N475="دوام جزئي"),$F475&gt;$H475,($F475-$H475)*24*60&gt;=حد_العمل_الإضافي_دقيقة),($F475-$H475)*24,0))</f>
        <v/>
      </c>
      <c r="N475" s="40" t="n"/>
      <c r="O475" s="40" t="n"/>
      <c r="Q475">
        <f>IF(AND(ISNUMBER($K475),$K475&gt;0),SUMPRODUCT(ISNUMBER($K$3:$K$502)*($K$3:$K$502&gt;0)*(ROW($K$3:$K$502)&lt;=ROW())),"")</f>
        <v/>
      </c>
    </row>
    <row r="476">
      <c r="A476" s="47" t="n"/>
      <c r="B476" s="50">
        <f>IFERROR(INDEX(الموظفون_الاسم,MATCH($A476,الموظفون_الرقم,0)),"")</f>
        <v/>
      </c>
      <c r="C476" s="112" t="n"/>
      <c r="D476" s="50">
        <f>IF($C476="","",IFERROR(INDEX(قائمة_أيام_الأسبوع,WEEKDAY($C476,1)),""))</f>
        <v/>
      </c>
      <c r="E476" s="116" t="n"/>
      <c r="F476" s="116" t="n"/>
      <c r="G476" s="117">
        <f>IF($A476="","",بداية_الدوام)</f>
        <v/>
      </c>
      <c r="H476" s="117">
        <f>IF($A476="","",نهاية_الدوام)</f>
        <v/>
      </c>
      <c r="I476" s="58">
        <f>IF($A476="","",مدة_الاستراحة/60)</f>
        <v/>
      </c>
      <c r="J476" s="58">
        <f>IF(OR($A476="",$E476="",$F476=""),"",IF(OR($N476="حاضر",$N476="دوام جزئي"),MAX(0,MOD($F476-$E476,1)*24-$I476),0))</f>
        <v/>
      </c>
      <c r="K476" s="58">
        <f>IF(OR($A476="",$E476=""),"",IF(AND(احتساب_التأخير="نعم",OR($N476="حاضر",$N476="دوام جزئي"),$E476&gt;$G476+دقائق_السماح/1440),($E476-$G476-دقائق_السماح/1440)*24,0))</f>
        <v/>
      </c>
      <c r="L476" s="58">
        <f>IF(OR($A476="",$F476=""),"",IF(AND(OR($N476="حاضر",$N476="دوام جزئي"),$F476&lt;$H476),($H476-$F476)*24,0))</f>
        <v/>
      </c>
      <c r="M476" s="58">
        <f>IF(OR($A476="",$F476=""),"",IF(AND(احتساب_العمل_الإضافي="نعم",OR($N476="حاضر",$N476="دوام جزئي"),$F476&gt;$H476,($F476-$H476)*24*60&gt;=حد_العمل_الإضافي_دقيقة),($F476-$H476)*24,0))</f>
        <v/>
      </c>
      <c r="N476" s="47" t="n"/>
      <c r="O476" s="47" t="n"/>
      <c r="Q476">
        <f>IF(AND(ISNUMBER($K476),$K476&gt;0),SUMPRODUCT(ISNUMBER($K$3:$K$502)*($K$3:$K$502&gt;0)*(ROW($K$3:$K$502)&lt;=ROW())),"")</f>
        <v/>
      </c>
    </row>
    <row r="477">
      <c r="A477" s="40" t="n"/>
      <c r="B477" s="43">
        <f>IFERROR(INDEX(الموظفون_الاسم,MATCH($A477,الموظفون_الرقم,0)),"")</f>
        <v/>
      </c>
      <c r="C477" s="110" t="n"/>
      <c r="D477" s="43">
        <f>IF($C477="","",IFERROR(INDEX(قائمة_أيام_الأسبوع,WEEKDAY($C477,1)),""))</f>
        <v/>
      </c>
      <c r="E477" s="114" t="n"/>
      <c r="F477" s="114" t="n"/>
      <c r="G477" s="115">
        <f>IF($A477="","",بداية_الدوام)</f>
        <v/>
      </c>
      <c r="H477" s="115">
        <f>IF($A477="","",نهاية_الدوام)</f>
        <v/>
      </c>
      <c r="I477" s="55">
        <f>IF($A477="","",مدة_الاستراحة/60)</f>
        <v/>
      </c>
      <c r="J477" s="55">
        <f>IF(OR($A477="",$E477="",$F477=""),"",IF(OR($N477="حاضر",$N477="دوام جزئي"),MAX(0,MOD($F477-$E477,1)*24-$I477),0))</f>
        <v/>
      </c>
      <c r="K477" s="55">
        <f>IF(OR($A477="",$E477=""),"",IF(AND(احتساب_التأخير="نعم",OR($N477="حاضر",$N477="دوام جزئي"),$E477&gt;$G477+دقائق_السماح/1440),($E477-$G477-دقائق_السماح/1440)*24,0))</f>
        <v/>
      </c>
      <c r="L477" s="55">
        <f>IF(OR($A477="",$F477=""),"",IF(AND(OR($N477="حاضر",$N477="دوام جزئي"),$F477&lt;$H477),($H477-$F477)*24,0))</f>
        <v/>
      </c>
      <c r="M477" s="55">
        <f>IF(OR($A477="",$F477=""),"",IF(AND(احتساب_العمل_الإضافي="نعم",OR($N477="حاضر",$N477="دوام جزئي"),$F477&gt;$H477,($F477-$H477)*24*60&gt;=حد_العمل_الإضافي_دقيقة),($F477-$H477)*24,0))</f>
        <v/>
      </c>
      <c r="N477" s="40" t="n"/>
      <c r="O477" s="40" t="n"/>
      <c r="Q477">
        <f>IF(AND(ISNUMBER($K477),$K477&gt;0),SUMPRODUCT(ISNUMBER($K$3:$K$502)*($K$3:$K$502&gt;0)*(ROW($K$3:$K$502)&lt;=ROW())),"")</f>
        <v/>
      </c>
    </row>
    <row r="478">
      <c r="A478" s="47" t="n"/>
      <c r="B478" s="50">
        <f>IFERROR(INDEX(الموظفون_الاسم,MATCH($A478,الموظفون_الرقم,0)),"")</f>
        <v/>
      </c>
      <c r="C478" s="112" t="n"/>
      <c r="D478" s="50">
        <f>IF($C478="","",IFERROR(INDEX(قائمة_أيام_الأسبوع,WEEKDAY($C478,1)),""))</f>
        <v/>
      </c>
      <c r="E478" s="116" t="n"/>
      <c r="F478" s="116" t="n"/>
      <c r="G478" s="117">
        <f>IF($A478="","",بداية_الدوام)</f>
        <v/>
      </c>
      <c r="H478" s="117">
        <f>IF($A478="","",نهاية_الدوام)</f>
        <v/>
      </c>
      <c r="I478" s="58">
        <f>IF($A478="","",مدة_الاستراحة/60)</f>
        <v/>
      </c>
      <c r="J478" s="58">
        <f>IF(OR($A478="",$E478="",$F478=""),"",IF(OR($N478="حاضر",$N478="دوام جزئي"),MAX(0,MOD($F478-$E478,1)*24-$I478),0))</f>
        <v/>
      </c>
      <c r="K478" s="58">
        <f>IF(OR($A478="",$E478=""),"",IF(AND(احتساب_التأخير="نعم",OR($N478="حاضر",$N478="دوام جزئي"),$E478&gt;$G478+دقائق_السماح/1440),($E478-$G478-دقائق_السماح/1440)*24,0))</f>
        <v/>
      </c>
      <c r="L478" s="58">
        <f>IF(OR($A478="",$F478=""),"",IF(AND(OR($N478="حاضر",$N478="دوام جزئي"),$F478&lt;$H478),($H478-$F478)*24,0))</f>
        <v/>
      </c>
      <c r="M478" s="58">
        <f>IF(OR($A478="",$F478=""),"",IF(AND(احتساب_العمل_الإضافي="نعم",OR($N478="حاضر",$N478="دوام جزئي"),$F478&gt;$H478,($F478-$H478)*24*60&gt;=حد_العمل_الإضافي_دقيقة),($F478-$H478)*24,0))</f>
        <v/>
      </c>
      <c r="N478" s="47" t="n"/>
      <c r="O478" s="47" t="n"/>
      <c r="Q478">
        <f>IF(AND(ISNUMBER($K478),$K478&gt;0),SUMPRODUCT(ISNUMBER($K$3:$K$502)*($K$3:$K$502&gt;0)*(ROW($K$3:$K$502)&lt;=ROW())),"")</f>
        <v/>
      </c>
    </row>
    <row r="479">
      <c r="A479" s="40" t="n"/>
      <c r="B479" s="43">
        <f>IFERROR(INDEX(الموظفون_الاسم,MATCH($A479,الموظفون_الرقم,0)),"")</f>
        <v/>
      </c>
      <c r="C479" s="110" t="n"/>
      <c r="D479" s="43">
        <f>IF($C479="","",IFERROR(INDEX(قائمة_أيام_الأسبوع,WEEKDAY($C479,1)),""))</f>
        <v/>
      </c>
      <c r="E479" s="114" t="n"/>
      <c r="F479" s="114" t="n"/>
      <c r="G479" s="115">
        <f>IF($A479="","",بداية_الدوام)</f>
        <v/>
      </c>
      <c r="H479" s="115">
        <f>IF($A479="","",نهاية_الدوام)</f>
        <v/>
      </c>
      <c r="I479" s="55">
        <f>IF($A479="","",مدة_الاستراحة/60)</f>
        <v/>
      </c>
      <c r="J479" s="55">
        <f>IF(OR($A479="",$E479="",$F479=""),"",IF(OR($N479="حاضر",$N479="دوام جزئي"),MAX(0,MOD($F479-$E479,1)*24-$I479),0))</f>
        <v/>
      </c>
      <c r="K479" s="55">
        <f>IF(OR($A479="",$E479=""),"",IF(AND(احتساب_التأخير="نعم",OR($N479="حاضر",$N479="دوام جزئي"),$E479&gt;$G479+دقائق_السماح/1440),($E479-$G479-دقائق_السماح/1440)*24,0))</f>
        <v/>
      </c>
      <c r="L479" s="55">
        <f>IF(OR($A479="",$F479=""),"",IF(AND(OR($N479="حاضر",$N479="دوام جزئي"),$F479&lt;$H479),($H479-$F479)*24,0))</f>
        <v/>
      </c>
      <c r="M479" s="55">
        <f>IF(OR($A479="",$F479=""),"",IF(AND(احتساب_العمل_الإضافي="نعم",OR($N479="حاضر",$N479="دوام جزئي"),$F479&gt;$H479,($F479-$H479)*24*60&gt;=حد_العمل_الإضافي_دقيقة),($F479-$H479)*24,0))</f>
        <v/>
      </c>
      <c r="N479" s="40" t="n"/>
      <c r="O479" s="40" t="n"/>
      <c r="Q479">
        <f>IF(AND(ISNUMBER($K479),$K479&gt;0),SUMPRODUCT(ISNUMBER($K$3:$K$502)*($K$3:$K$502&gt;0)*(ROW($K$3:$K$502)&lt;=ROW())),"")</f>
        <v/>
      </c>
    </row>
    <row r="480">
      <c r="A480" s="47" t="n"/>
      <c r="B480" s="50">
        <f>IFERROR(INDEX(الموظفون_الاسم,MATCH($A480,الموظفون_الرقم,0)),"")</f>
        <v/>
      </c>
      <c r="C480" s="112" t="n"/>
      <c r="D480" s="50">
        <f>IF($C480="","",IFERROR(INDEX(قائمة_أيام_الأسبوع,WEEKDAY($C480,1)),""))</f>
        <v/>
      </c>
      <c r="E480" s="116" t="n"/>
      <c r="F480" s="116" t="n"/>
      <c r="G480" s="117">
        <f>IF($A480="","",بداية_الدوام)</f>
        <v/>
      </c>
      <c r="H480" s="117">
        <f>IF($A480="","",نهاية_الدوام)</f>
        <v/>
      </c>
      <c r="I480" s="58">
        <f>IF($A480="","",مدة_الاستراحة/60)</f>
        <v/>
      </c>
      <c r="J480" s="58">
        <f>IF(OR($A480="",$E480="",$F480=""),"",IF(OR($N480="حاضر",$N480="دوام جزئي"),MAX(0,MOD($F480-$E480,1)*24-$I480),0))</f>
        <v/>
      </c>
      <c r="K480" s="58">
        <f>IF(OR($A480="",$E480=""),"",IF(AND(احتساب_التأخير="نعم",OR($N480="حاضر",$N480="دوام جزئي"),$E480&gt;$G480+دقائق_السماح/1440),($E480-$G480-دقائق_السماح/1440)*24,0))</f>
        <v/>
      </c>
      <c r="L480" s="58">
        <f>IF(OR($A480="",$F480=""),"",IF(AND(OR($N480="حاضر",$N480="دوام جزئي"),$F480&lt;$H480),($H480-$F480)*24,0))</f>
        <v/>
      </c>
      <c r="M480" s="58">
        <f>IF(OR($A480="",$F480=""),"",IF(AND(احتساب_العمل_الإضافي="نعم",OR($N480="حاضر",$N480="دوام جزئي"),$F480&gt;$H480,($F480-$H480)*24*60&gt;=حد_العمل_الإضافي_دقيقة),($F480-$H480)*24,0))</f>
        <v/>
      </c>
      <c r="N480" s="47" t="n"/>
      <c r="O480" s="47" t="n"/>
      <c r="Q480">
        <f>IF(AND(ISNUMBER($K480),$K480&gt;0),SUMPRODUCT(ISNUMBER($K$3:$K$502)*($K$3:$K$502&gt;0)*(ROW($K$3:$K$502)&lt;=ROW())),"")</f>
        <v/>
      </c>
    </row>
    <row r="481">
      <c r="A481" s="40" t="n"/>
      <c r="B481" s="43">
        <f>IFERROR(INDEX(الموظفون_الاسم,MATCH($A481,الموظفون_الرقم,0)),"")</f>
        <v/>
      </c>
      <c r="C481" s="110" t="n"/>
      <c r="D481" s="43">
        <f>IF($C481="","",IFERROR(INDEX(قائمة_أيام_الأسبوع,WEEKDAY($C481,1)),""))</f>
        <v/>
      </c>
      <c r="E481" s="114" t="n"/>
      <c r="F481" s="114" t="n"/>
      <c r="G481" s="115">
        <f>IF($A481="","",بداية_الدوام)</f>
        <v/>
      </c>
      <c r="H481" s="115">
        <f>IF($A481="","",نهاية_الدوام)</f>
        <v/>
      </c>
      <c r="I481" s="55">
        <f>IF($A481="","",مدة_الاستراحة/60)</f>
        <v/>
      </c>
      <c r="J481" s="55">
        <f>IF(OR($A481="",$E481="",$F481=""),"",IF(OR($N481="حاضر",$N481="دوام جزئي"),MAX(0,MOD($F481-$E481,1)*24-$I481),0))</f>
        <v/>
      </c>
      <c r="K481" s="55">
        <f>IF(OR($A481="",$E481=""),"",IF(AND(احتساب_التأخير="نعم",OR($N481="حاضر",$N481="دوام جزئي"),$E481&gt;$G481+دقائق_السماح/1440),($E481-$G481-دقائق_السماح/1440)*24,0))</f>
        <v/>
      </c>
      <c r="L481" s="55">
        <f>IF(OR($A481="",$F481=""),"",IF(AND(OR($N481="حاضر",$N481="دوام جزئي"),$F481&lt;$H481),($H481-$F481)*24,0))</f>
        <v/>
      </c>
      <c r="M481" s="55">
        <f>IF(OR($A481="",$F481=""),"",IF(AND(احتساب_العمل_الإضافي="نعم",OR($N481="حاضر",$N481="دوام جزئي"),$F481&gt;$H481,($F481-$H481)*24*60&gt;=حد_العمل_الإضافي_دقيقة),($F481-$H481)*24,0))</f>
        <v/>
      </c>
      <c r="N481" s="40" t="n"/>
      <c r="O481" s="40" t="n"/>
      <c r="Q481">
        <f>IF(AND(ISNUMBER($K481),$K481&gt;0),SUMPRODUCT(ISNUMBER($K$3:$K$502)*($K$3:$K$502&gt;0)*(ROW($K$3:$K$502)&lt;=ROW())),"")</f>
        <v/>
      </c>
    </row>
    <row r="482">
      <c r="A482" s="47" t="n"/>
      <c r="B482" s="50">
        <f>IFERROR(INDEX(الموظفون_الاسم,MATCH($A482,الموظفون_الرقم,0)),"")</f>
        <v/>
      </c>
      <c r="C482" s="112" t="n"/>
      <c r="D482" s="50">
        <f>IF($C482="","",IFERROR(INDEX(قائمة_أيام_الأسبوع,WEEKDAY($C482,1)),""))</f>
        <v/>
      </c>
      <c r="E482" s="116" t="n"/>
      <c r="F482" s="116" t="n"/>
      <c r="G482" s="117">
        <f>IF($A482="","",بداية_الدوام)</f>
        <v/>
      </c>
      <c r="H482" s="117">
        <f>IF($A482="","",نهاية_الدوام)</f>
        <v/>
      </c>
      <c r="I482" s="58">
        <f>IF($A482="","",مدة_الاستراحة/60)</f>
        <v/>
      </c>
      <c r="J482" s="58">
        <f>IF(OR($A482="",$E482="",$F482=""),"",IF(OR($N482="حاضر",$N482="دوام جزئي"),MAX(0,MOD($F482-$E482,1)*24-$I482),0))</f>
        <v/>
      </c>
      <c r="K482" s="58">
        <f>IF(OR($A482="",$E482=""),"",IF(AND(احتساب_التأخير="نعم",OR($N482="حاضر",$N482="دوام جزئي"),$E482&gt;$G482+دقائق_السماح/1440),($E482-$G482-دقائق_السماح/1440)*24,0))</f>
        <v/>
      </c>
      <c r="L482" s="58">
        <f>IF(OR($A482="",$F482=""),"",IF(AND(OR($N482="حاضر",$N482="دوام جزئي"),$F482&lt;$H482),($H482-$F482)*24,0))</f>
        <v/>
      </c>
      <c r="M482" s="58">
        <f>IF(OR($A482="",$F482=""),"",IF(AND(احتساب_العمل_الإضافي="نعم",OR($N482="حاضر",$N482="دوام جزئي"),$F482&gt;$H482,($F482-$H482)*24*60&gt;=حد_العمل_الإضافي_دقيقة),($F482-$H482)*24,0))</f>
        <v/>
      </c>
      <c r="N482" s="47" t="n"/>
      <c r="O482" s="47" t="n"/>
      <c r="Q482">
        <f>IF(AND(ISNUMBER($K482),$K482&gt;0),SUMPRODUCT(ISNUMBER($K$3:$K$502)*($K$3:$K$502&gt;0)*(ROW($K$3:$K$502)&lt;=ROW())),"")</f>
        <v/>
      </c>
    </row>
    <row r="483">
      <c r="A483" s="40" t="n"/>
      <c r="B483" s="43">
        <f>IFERROR(INDEX(الموظفون_الاسم,MATCH($A483,الموظفون_الرقم,0)),"")</f>
        <v/>
      </c>
      <c r="C483" s="110" t="n"/>
      <c r="D483" s="43">
        <f>IF($C483="","",IFERROR(INDEX(قائمة_أيام_الأسبوع,WEEKDAY($C483,1)),""))</f>
        <v/>
      </c>
      <c r="E483" s="114" t="n"/>
      <c r="F483" s="114" t="n"/>
      <c r="G483" s="115">
        <f>IF($A483="","",بداية_الدوام)</f>
        <v/>
      </c>
      <c r="H483" s="115">
        <f>IF($A483="","",نهاية_الدوام)</f>
        <v/>
      </c>
      <c r="I483" s="55">
        <f>IF($A483="","",مدة_الاستراحة/60)</f>
        <v/>
      </c>
      <c r="J483" s="55">
        <f>IF(OR($A483="",$E483="",$F483=""),"",IF(OR($N483="حاضر",$N483="دوام جزئي"),MAX(0,MOD($F483-$E483,1)*24-$I483),0))</f>
        <v/>
      </c>
      <c r="K483" s="55">
        <f>IF(OR($A483="",$E483=""),"",IF(AND(احتساب_التأخير="نعم",OR($N483="حاضر",$N483="دوام جزئي"),$E483&gt;$G483+دقائق_السماح/1440),($E483-$G483-دقائق_السماح/1440)*24,0))</f>
        <v/>
      </c>
      <c r="L483" s="55">
        <f>IF(OR($A483="",$F483=""),"",IF(AND(OR($N483="حاضر",$N483="دوام جزئي"),$F483&lt;$H483),($H483-$F483)*24,0))</f>
        <v/>
      </c>
      <c r="M483" s="55">
        <f>IF(OR($A483="",$F483=""),"",IF(AND(احتساب_العمل_الإضافي="نعم",OR($N483="حاضر",$N483="دوام جزئي"),$F483&gt;$H483,($F483-$H483)*24*60&gt;=حد_العمل_الإضافي_دقيقة),($F483-$H483)*24,0))</f>
        <v/>
      </c>
      <c r="N483" s="40" t="n"/>
      <c r="O483" s="40" t="n"/>
      <c r="Q483">
        <f>IF(AND(ISNUMBER($K483),$K483&gt;0),SUMPRODUCT(ISNUMBER($K$3:$K$502)*($K$3:$K$502&gt;0)*(ROW($K$3:$K$502)&lt;=ROW())),"")</f>
        <v/>
      </c>
    </row>
    <row r="484">
      <c r="A484" s="47" t="n"/>
      <c r="B484" s="50">
        <f>IFERROR(INDEX(الموظفون_الاسم,MATCH($A484,الموظفون_الرقم,0)),"")</f>
        <v/>
      </c>
      <c r="C484" s="112" t="n"/>
      <c r="D484" s="50">
        <f>IF($C484="","",IFERROR(INDEX(قائمة_أيام_الأسبوع,WEEKDAY($C484,1)),""))</f>
        <v/>
      </c>
      <c r="E484" s="116" t="n"/>
      <c r="F484" s="116" t="n"/>
      <c r="G484" s="117">
        <f>IF($A484="","",بداية_الدوام)</f>
        <v/>
      </c>
      <c r="H484" s="117">
        <f>IF($A484="","",نهاية_الدوام)</f>
        <v/>
      </c>
      <c r="I484" s="58">
        <f>IF($A484="","",مدة_الاستراحة/60)</f>
        <v/>
      </c>
      <c r="J484" s="58">
        <f>IF(OR($A484="",$E484="",$F484=""),"",IF(OR($N484="حاضر",$N484="دوام جزئي"),MAX(0,MOD($F484-$E484,1)*24-$I484),0))</f>
        <v/>
      </c>
      <c r="K484" s="58">
        <f>IF(OR($A484="",$E484=""),"",IF(AND(احتساب_التأخير="نعم",OR($N484="حاضر",$N484="دوام جزئي"),$E484&gt;$G484+دقائق_السماح/1440),($E484-$G484-دقائق_السماح/1440)*24,0))</f>
        <v/>
      </c>
      <c r="L484" s="58">
        <f>IF(OR($A484="",$F484=""),"",IF(AND(OR($N484="حاضر",$N484="دوام جزئي"),$F484&lt;$H484),($H484-$F484)*24,0))</f>
        <v/>
      </c>
      <c r="M484" s="58">
        <f>IF(OR($A484="",$F484=""),"",IF(AND(احتساب_العمل_الإضافي="نعم",OR($N484="حاضر",$N484="دوام جزئي"),$F484&gt;$H484,($F484-$H484)*24*60&gt;=حد_العمل_الإضافي_دقيقة),($F484-$H484)*24,0))</f>
        <v/>
      </c>
      <c r="N484" s="47" t="n"/>
      <c r="O484" s="47" t="n"/>
      <c r="Q484">
        <f>IF(AND(ISNUMBER($K484),$K484&gt;0),SUMPRODUCT(ISNUMBER($K$3:$K$502)*($K$3:$K$502&gt;0)*(ROW($K$3:$K$502)&lt;=ROW())),"")</f>
        <v/>
      </c>
    </row>
    <row r="485">
      <c r="A485" s="40" t="n"/>
      <c r="B485" s="43">
        <f>IFERROR(INDEX(الموظفون_الاسم,MATCH($A485,الموظفون_الرقم,0)),"")</f>
        <v/>
      </c>
      <c r="C485" s="110" t="n"/>
      <c r="D485" s="43">
        <f>IF($C485="","",IFERROR(INDEX(قائمة_أيام_الأسبوع,WEEKDAY($C485,1)),""))</f>
        <v/>
      </c>
      <c r="E485" s="114" t="n"/>
      <c r="F485" s="114" t="n"/>
      <c r="G485" s="115">
        <f>IF($A485="","",بداية_الدوام)</f>
        <v/>
      </c>
      <c r="H485" s="115">
        <f>IF($A485="","",نهاية_الدوام)</f>
        <v/>
      </c>
      <c r="I485" s="55">
        <f>IF($A485="","",مدة_الاستراحة/60)</f>
        <v/>
      </c>
      <c r="J485" s="55">
        <f>IF(OR($A485="",$E485="",$F485=""),"",IF(OR($N485="حاضر",$N485="دوام جزئي"),MAX(0,MOD($F485-$E485,1)*24-$I485),0))</f>
        <v/>
      </c>
      <c r="K485" s="55">
        <f>IF(OR($A485="",$E485=""),"",IF(AND(احتساب_التأخير="نعم",OR($N485="حاضر",$N485="دوام جزئي"),$E485&gt;$G485+دقائق_السماح/1440),($E485-$G485-دقائق_السماح/1440)*24,0))</f>
        <v/>
      </c>
      <c r="L485" s="55">
        <f>IF(OR($A485="",$F485=""),"",IF(AND(OR($N485="حاضر",$N485="دوام جزئي"),$F485&lt;$H485),($H485-$F485)*24,0))</f>
        <v/>
      </c>
      <c r="M485" s="55">
        <f>IF(OR($A485="",$F485=""),"",IF(AND(احتساب_العمل_الإضافي="نعم",OR($N485="حاضر",$N485="دوام جزئي"),$F485&gt;$H485,($F485-$H485)*24*60&gt;=حد_العمل_الإضافي_دقيقة),($F485-$H485)*24,0))</f>
        <v/>
      </c>
      <c r="N485" s="40" t="n"/>
      <c r="O485" s="40" t="n"/>
      <c r="Q485">
        <f>IF(AND(ISNUMBER($K485),$K485&gt;0),SUMPRODUCT(ISNUMBER($K$3:$K$502)*($K$3:$K$502&gt;0)*(ROW($K$3:$K$502)&lt;=ROW())),"")</f>
        <v/>
      </c>
    </row>
    <row r="486">
      <c r="A486" s="47" t="n"/>
      <c r="B486" s="50">
        <f>IFERROR(INDEX(الموظفون_الاسم,MATCH($A486,الموظفون_الرقم,0)),"")</f>
        <v/>
      </c>
      <c r="C486" s="112" t="n"/>
      <c r="D486" s="50">
        <f>IF($C486="","",IFERROR(INDEX(قائمة_أيام_الأسبوع,WEEKDAY($C486,1)),""))</f>
        <v/>
      </c>
      <c r="E486" s="116" t="n"/>
      <c r="F486" s="116" t="n"/>
      <c r="G486" s="117">
        <f>IF($A486="","",بداية_الدوام)</f>
        <v/>
      </c>
      <c r="H486" s="117">
        <f>IF($A486="","",نهاية_الدوام)</f>
        <v/>
      </c>
      <c r="I486" s="58">
        <f>IF($A486="","",مدة_الاستراحة/60)</f>
        <v/>
      </c>
      <c r="J486" s="58">
        <f>IF(OR($A486="",$E486="",$F486=""),"",IF(OR($N486="حاضر",$N486="دوام جزئي"),MAX(0,MOD($F486-$E486,1)*24-$I486),0))</f>
        <v/>
      </c>
      <c r="K486" s="58">
        <f>IF(OR($A486="",$E486=""),"",IF(AND(احتساب_التأخير="نعم",OR($N486="حاضر",$N486="دوام جزئي"),$E486&gt;$G486+دقائق_السماح/1440),($E486-$G486-دقائق_السماح/1440)*24,0))</f>
        <v/>
      </c>
      <c r="L486" s="58">
        <f>IF(OR($A486="",$F486=""),"",IF(AND(OR($N486="حاضر",$N486="دوام جزئي"),$F486&lt;$H486),($H486-$F486)*24,0))</f>
        <v/>
      </c>
      <c r="M486" s="58">
        <f>IF(OR($A486="",$F486=""),"",IF(AND(احتساب_العمل_الإضافي="نعم",OR($N486="حاضر",$N486="دوام جزئي"),$F486&gt;$H486,($F486-$H486)*24*60&gt;=حد_العمل_الإضافي_دقيقة),($F486-$H486)*24,0))</f>
        <v/>
      </c>
      <c r="N486" s="47" t="n"/>
      <c r="O486" s="47" t="n"/>
      <c r="Q486">
        <f>IF(AND(ISNUMBER($K486),$K486&gt;0),SUMPRODUCT(ISNUMBER($K$3:$K$502)*($K$3:$K$502&gt;0)*(ROW($K$3:$K$502)&lt;=ROW())),"")</f>
        <v/>
      </c>
    </row>
    <row r="487">
      <c r="A487" s="40" t="n"/>
      <c r="B487" s="43">
        <f>IFERROR(INDEX(الموظفون_الاسم,MATCH($A487,الموظفون_الرقم,0)),"")</f>
        <v/>
      </c>
      <c r="C487" s="110" t="n"/>
      <c r="D487" s="43">
        <f>IF($C487="","",IFERROR(INDEX(قائمة_أيام_الأسبوع,WEEKDAY($C487,1)),""))</f>
        <v/>
      </c>
      <c r="E487" s="114" t="n"/>
      <c r="F487" s="114" t="n"/>
      <c r="G487" s="115">
        <f>IF($A487="","",بداية_الدوام)</f>
        <v/>
      </c>
      <c r="H487" s="115">
        <f>IF($A487="","",نهاية_الدوام)</f>
        <v/>
      </c>
      <c r="I487" s="55">
        <f>IF($A487="","",مدة_الاستراحة/60)</f>
        <v/>
      </c>
      <c r="J487" s="55">
        <f>IF(OR($A487="",$E487="",$F487=""),"",IF(OR($N487="حاضر",$N487="دوام جزئي"),MAX(0,MOD($F487-$E487,1)*24-$I487),0))</f>
        <v/>
      </c>
      <c r="K487" s="55">
        <f>IF(OR($A487="",$E487=""),"",IF(AND(احتساب_التأخير="نعم",OR($N487="حاضر",$N487="دوام جزئي"),$E487&gt;$G487+دقائق_السماح/1440),($E487-$G487-دقائق_السماح/1440)*24,0))</f>
        <v/>
      </c>
      <c r="L487" s="55">
        <f>IF(OR($A487="",$F487=""),"",IF(AND(OR($N487="حاضر",$N487="دوام جزئي"),$F487&lt;$H487),($H487-$F487)*24,0))</f>
        <v/>
      </c>
      <c r="M487" s="55">
        <f>IF(OR($A487="",$F487=""),"",IF(AND(احتساب_العمل_الإضافي="نعم",OR($N487="حاضر",$N487="دوام جزئي"),$F487&gt;$H487,($F487-$H487)*24*60&gt;=حد_العمل_الإضافي_دقيقة),($F487-$H487)*24,0))</f>
        <v/>
      </c>
      <c r="N487" s="40" t="n"/>
      <c r="O487" s="40" t="n"/>
      <c r="Q487">
        <f>IF(AND(ISNUMBER($K487),$K487&gt;0),SUMPRODUCT(ISNUMBER($K$3:$K$502)*($K$3:$K$502&gt;0)*(ROW($K$3:$K$502)&lt;=ROW())),"")</f>
        <v/>
      </c>
    </row>
    <row r="488">
      <c r="A488" s="47" t="n"/>
      <c r="B488" s="50">
        <f>IFERROR(INDEX(الموظفون_الاسم,MATCH($A488,الموظفون_الرقم,0)),"")</f>
        <v/>
      </c>
      <c r="C488" s="112" t="n"/>
      <c r="D488" s="50">
        <f>IF($C488="","",IFERROR(INDEX(قائمة_أيام_الأسبوع,WEEKDAY($C488,1)),""))</f>
        <v/>
      </c>
      <c r="E488" s="116" t="n"/>
      <c r="F488" s="116" t="n"/>
      <c r="G488" s="117">
        <f>IF($A488="","",بداية_الدوام)</f>
        <v/>
      </c>
      <c r="H488" s="117">
        <f>IF($A488="","",نهاية_الدوام)</f>
        <v/>
      </c>
      <c r="I488" s="58">
        <f>IF($A488="","",مدة_الاستراحة/60)</f>
        <v/>
      </c>
      <c r="J488" s="58">
        <f>IF(OR($A488="",$E488="",$F488=""),"",IF(OR($N488="حاضر",$N488="دوام جزئي"),MAX(0,MOD($F488-$E488,1)*24-$I488),0))</f>
        <v/>
      </c>
      <c r="K488" s="58">
        <f>IF(OR($A488="",$E488=""),"",IF(AND(احتساب_التأخير="نعم",OR($N488="حاضر",$N488="دوام جزئي"),$E488&gt;$G488+دقائق_السماح/1440),($E488-$G488-دقائق_السماح/1440)*24,0))</f>
        <v/>
      </c>
      <c r="L488" s="58">
        <f>IF(OR($A488="",$F488=""),"",IF(AND(OR($N488="حاضر",$N488="دوام جزئي"),$F488&lt;$H488),($H488-$F488)*24,0))</f>
        <v/>
      </c>
      <c r="M488" s="58">
        <f>IF(OR($A488="",$F488=""),"",IF(AND(احتساب_العمل_الإضافي="نعم",OR($N488="حاضر",$N488="دوام جزئي"),$F488&gt;$H488,($F488-$H488)*24*60&gt;=حد_العمل_الإضافي_دقيقة),($F488-$H488)*24,0))</f>
        <v/>
      </c>
      <c r="N488" s="47" t="n"/>
      <c r="O488" s="47" t="n"/>
      <c r="Q488">
        <f>IF(AND(ISNUMBER($K488),$K488&gt;0),SUMPRODUCT(ISNUMBER($K$3:$K$502)*($K$3:$K$502&gt;0)*(ROW($K$3:$K$502)&lt;=ROW())),"")</f>
        <v/>
      </c>
    </row>
    <row r="489">
      <c r="A489" s="40" t="n"/>
      <c r="B489" s="43">
        <f>IFERROR(INDEX(الموظفون_الاسم,MATCH($A489,الموظفون_الرقم,0)),"")</f>
        <v/>
      </c>
      <c r="C489" s="110" t="n"/>
      <c r="D489" s="43">
        <f>IF($C489="","",IFERROR(INDEX(قائمة_أيام_الأسبوع,WEEKDAY($C489,1)),""))</f>
        <v/>
      </c>
      <c r="E489" s="114" t="n"/>
      <c r="F489" s="114" t="n"/>
      <c r="G489" s="115">
        <f>IF($A489="","",بداية_الدوام)</f>
        <v/>
      </c>
      <c r="H489" s="115">
        <f>IF($A489="","",نهاية_الدوام)</f>
        <v/>
      </c>
      <c r="I489" s="55">
        <f>IF($A489="","",مدة_الاستراحة/60)</f>
        <v/>
      </c>
      <c r="J489" s="55">
        <f>IF(OR($A489="",$E489="",$F489=""),"",IF(OR($N489="حاضر",$N489="دوام جزئي"),MAX(0,MOD($F489-$E489,1)*24-$I489),0))</f>
        <v/>
      </c>
      <c r="K489" s="55">
        <f>IF(OR($A489="",$E489=""),"",IF(AND(احتساب_التأخير="نعم",OR($N489="حاضر",$N489="دوام جزئي"),$E489&gt;$G489+دقائق_السماح/1440),($E489-$G489-دقائق_السماح/1440)*24,0))</f>
        <v/>
      </c>
      <c r="L489" s="55">
        <f>IF(OR($A489="",$F489=""),"",IF(AND(OR($N489="حاضر",$N489="دوام جزئي"),$F489&lt;$H489),($H489-$F489)*24,0))</f>
        <v/>
      </c>
      <c r="M489" s="55">
        <f>IF(OR($A489="",$F489=""),"",IF(AND(احتساب_العمل_الإضافي="نعم",OR($N489="حاضر",$N489="دوام جزئي"),$F489&gt;$H489,($F489-$H489)*24*60&gt;=حد_العمل_الإضافي_دقيقة),($F489-$H489)*24,0))</f>
        <v/>
      </c>
      <c r="N489" s="40" t="n"/>
      <c r="O489" s="40" t="n"/>
      <c r="Q489">
        <f>IF(AND(ISNUMBER($K489),$K489&gt;0),SUMPRODUCT(ISNUMBER($K$3:$K$502)*($K$3:$K$502&gt;0)*(ROW($K$3:$K$502)&lt;=ROW())),"")</f>
        <v/>
      </c>
    </row>
    <row r="490">
      <c r="A490" s="47" t="n"/>
      <c r="B490" s="50">
        <f>IFERROR(INDEX(الموظفون_الاسم,MATCH($A490,الموظفون_الرقم,0)),"")</f>
        <v/>
      </c>
      <c r="C490" s="112" t="n"/>
      <c r="D490" s="50">
        <f>IF($C490="","",IFERROR(INDEX(قائمة_أيام_الأسبوع,WEEKDAY($C490,1)),""))</f>
        <v/>
      </c>
      <c r="E490" s="116" t="n"/>
      <c r="F490" s="116" t="n"/>
      <c r="G490" s="117">
        <f>IF($A490="","",بداية_الدوام)</f>
        <v/>
      </c>
      <c r="H490" s="117">
        <f>IF($A490="","",نهاية_الدوام)</f>
        <v/>
      </c>
      <c r="I490" s="58">
        <f>IF($A490="","",مدة_الاستراحة/60)</f>
        <v/>
      </c>
      <c r="J490" s="58">
        <f>IF(OR($A490="",$E490="",$F490=""),"",IF(OR($N490="حاضر",$N490="دوام جزئي"),MAX(0,MOD($F490-$E490,1)*24-$I490),0))</f>
        <v/>
      </c>
      <c r="K490" s="58">
        <f>IF(OR($A490="",$E490=""),"",IF(AND(احتساب_التأخير="نعم",OR($N490="حاضر",$N490="دوام جزئي"),$E490&gt;$G490+دقائق_السماح/1440),($E490-$G490-دقائق_السماح/1440)*24,0))</f>
        <v/>
      </c>
      <c r="L490" s="58">
        <f>IF(OR($A490="",$F490=""),"",IF(AND(OR($N490="حاضر",$N490="دوام جزئي"),$F490&lt;$H490),($H490-$F490)*24,0))</f>
        <v/>
      </c>
      <c r="M490" s="58">
        <f>IF(OR($A490="",$F490=""),"",IF(AND(احتساب_العمل_الإضافي="نعم",OR($N490="حاضر",$N490="دوام جزئي"),$F490&gt;$H490,($F490-$H490)*24*60&gt;=حد_العمل_الإضافي_دقيقة),($F490-$H490)*24,0))</f>
        <v/>
      </c>
      <c r="N490" s="47" t="n"/>
      <c r="O490" s="47" t="n"/>
      <c r="Q490">
        <f>IF(AND(ISNUMBER($K490),$K490&gt;0),SUMPRODUCT(ISNUMBER($K$3:$K$502)*($K$3:$K$502&gt;0)*(ROW($K$3:$K$502)&lt;=ROW())),"")</f>
        <v/>
      </c>
    </row>
    <row r="491">
      <c r="A491" s="40" t="n"/>
      <c r="B491" s="43">
        <f>IFERROR(INDEX(الموظفون_الاسم,MATCH($A491,الموظفون_الرقم,0)),"")</f>
        <v/>
      </c>
      <c r="C491" s="110" t="n"/>
      <c r="D491" s="43">
        <f>IF($C491="","",IFERROR(INDEX(قائمة_أيام_الأسبوع,WEEKDAY($C491,1)),""))</f>
        <v/>
      </c>
      <c r="E491" s="114" t="n"/>
      <c r="F491" s="114" t="n"/>
      <c r="G491" s="115">
        <f>IF($A491="","",بداية_الدوام)</f>
        <v/>
      </c>
      <c r="H491" s="115">
        <f>IF($A491="","",نهاية_الدوام)</f>
        <v/>
      </c>
      <c r="I491" s="55">
        <f>IF($A491="","",مدة_الاستراحة/60)</f>
        <v/>
      </c>
      <c r="J491" s="55">
        <f>IF(OR($A491="",$E491="",$F491=""),"",IF(OR($N491="حاضر",$N491="دوام جزئي"),MAX(0,MOD($F491-$E491,1)*24-$I491),0))</f>
        <v/>
      </c>
      <c r="K491" s="55">
        <f>IF(OR($A491="",$E491=""),"",IF(AND(احتساب_التأخير="نعم",OR($N491="حاضر",$N491="دوام جزئي"),$E491&gt;$G491+دقائق_السماح/1440),($E491-$G491-دقائق_السماح/1440)*24,0))</f>
        <v/>
      </c>
      <c r="L491" s="55">
        <f>IF(OR($A491="",$F491=""),"",IF(AND(OR($N491="حاضر",$N491="دوام جزئي"),$F491&lt;$H491),($H491-$F491)*24,0))</f>
        <v/>
      </c>
      <c r="M491" s="55">
        <f>IF(OR($A491="",$F491=""),"",IF(AND(احتساب_العمل_الإضافي="نعم",OR($N491="حاضر",$N491="دوام جزئي"),$F491&gt;$H491,($F491-$H491)*24*60&gt;=حد_العمل_الإضافي_دقيقة),($F491-$H491)*24,0))</f>
        <v/>
      </c>
      <c r="N491" s="40" t="n"/>
      <c r="O491" s="40" t="n"/>
      <c r="Q491">
        <f>IF(AND(ISNUMBER($K491),$K491&gt;0),SUMPRODUCT(ISNUMBER($K$3:$K$502)*($K$3:$K$502&gt;0)*(ROW($K$3:$K$502)&lt;=ROW())),"")</f>
        <v/>
      </c>
    </row>
    <row r="492">
      <c r="A492" s="47" t="n"/>
      <c r="B492" s="50">
        <f>IFERROR(INDEX(الموظفون_الاسم,MATCH($A492,الموظفون_الرقم,0)),"")</f>
        <v/>
      </c>
      <c r="C492" s="112" t="n"/>
      <c r="D492" s="50">
        <f>IF($C492="","",IFERROR(INDEX(قائمة_أيام_الأسبوع,WEEKDAY($C492,1)),""))</f>
        <v/>
      </c>
      <c r="E492" s="116" t="n"/>
      <c r="F492" s="116" t="n"/>
      <c r="G492" s="117">
        <f>IF($A492="","",بداية_الدوام)</f>
        <v/>
      </c>
      <c r="H492" s="117">
        <f>IF($A492="","",نهاية_الدوام)</f>
        <v/>
      </c>
      <c r="I492" s="58">
        <f>IF($A492="","",مدة_الاستراحة/60)</f>
        <v/>
      </c>
      <c r="J492" s="58">
        <f>IF(OR($A492="",$E492="",$F492=""),"",IF(OR($N492="حاضر",$N492="دوام جزئي"),MAX(0,MOD($F492-$E492,1)*24-$I492),0))</f>
        <v/>
      </c>
      <c r="K492" s="58">
        <f>IF(OR($A492="",$E492=""),"",IF(AND(احتساب_التأخير="نعم",OR($N492="حاضر",$N492="دوام جزئي"),$E492&gt;$G492+دقائق_السماح/1440),($E492-$G492-دقائق_السماح/1440)*24,0))</f>
        <v/>
      </c>
      <c r="L492" s="58">
        <f>IF(OR($A492="",$F492=""),"",IF(AND(OR($N492="حاضر",$N492="دوام جزئي"),$F492&lt;$H492),($H492-$F492)*24,0))</f>
        <v/>
      </c>
      <c r="M492" s="58">
        <f>IF(OR($A492="",$F492=""),"",IF(AND(احتساب_العمل_الإضافي="نعم",OR($N492="حاضر",$N492="دوام جزئي"),$F492&gt;$H492,($F492-$H492)*24*60&gt;=حد_العمل_الإضافي_دقيقة),($F492-$H492)*24,0))</f>
        <v/>
      </c>
      <c r="N492" s="47" t="n"/>
      <c r="O492" s="47" t="n"/>
      <c r="Q492">
        <f>IF(AND(ISNUMBER($K492),$K492&gt;0),SUMPRODUCT(ISNUMBER($K$3:$K$502)*($K$3:$K$502&gt;0)*(ROW($K$3:$K$502)&lt;=ROW())),"")</f>
        <v/>
      </c>
    </row>
    <row r="493">
      <c r="A493" s="40" t="n"/>
      <c r="B493" s="43">
        <f>IFERROR(INDEX(الموظفون_الاسم,MATCH($A493,الموظفون_الرقم,0)),"")</f>
        <v/>
      </c>
      <c r="C493" s="110" t="n"/>
      <c r="D493" s="43">
        <f>IF($C493="","",IFERROR(INDEX(قائمة_أيام_الأسبوع,WEEKDAY($C493,1)),""))</f>
        <v/>
      </c>
      <c r="E493" s="114" t="n"/>
      <c r="F493" s="114" t="n"/>
      <c r="G493" s="115">
        <f>IF($A493="","",بداية_الدوام)</f>
        <v/>
      </c>
      <c r="H493" s="115">
        <f>IF($A493="","",نهاية_الدوام)</f>
        <v/>
      </c>
      <c r="I493" s="55">
        <f>IF($A493="","",مدة_الاستراحة/60)</f>
        <v/>
      </c>
      <c r="J493" s="55">
        <f>IF(OR($A493="",$E493="",$F493=""),"",IF(OR($N493="حاضر",$N493="دوام جزئي"),MAX(0,MOD($F493-$E493,1)*24-$I493),0))</f>
        <v/>
      </c>
      <c r="K493" s="55">
        <f>IF(OR($A493="",$E493=""),"",IF(AND(احتساب_التأخير="نعم",OR($N493="حاضر",$N493="دوام جزئي"),$E493&gt;$G493+دقائق_السماح/1440),($E493-$G493-دقائق_السماح/1440)*24,0))</f>
        <v/>
      </c>
      <c r="L493" s="55">
        <f>IF(OR($A493="",$F493=""),"",IF(AND(OR($N493="حاضر",$N493="دوام جزئي"),$F493&lt;$H493),($H493-$F493)*24,0))</f>
        <v/>
      </c>
      <c r="M493" s="55">
        <f>IF(OR($A493="",$F493=""),"",IF(AND(احتساب_العمل_الإضافي="نعم",OR($N493="حاضر",$N493="دوام جزئي"),$F493&gt;$H493,($F493-$H493)*24*60&gt;=حد_العمل_الإضافي_دقيقة),($F493-$H493)*24,0))</f>
        <v/>
      </c>
      <c r="N493" s="40" t="n"/>
      <c r="O493" s="40" t="n"/>
      <c r="Q493">
        <f>IF(AND(ISNUMBER($K493),$K493&gt;0),SUMPRODUCT(ISNUMBER($K$3:$K$502)*($K$3:$K$502&gt;0)*(ROW($K$3:$K$502)&lt;=ROW())),"")</f>
        <v/>
      </c>
    </row>
    <row r="494">
      <c r="A494" s="47" t="n"/>
      <c r="B494" s="50">
        <f>IFERROR(INDEX(الموظفون_الاسم,MATCH($A494,الموظفون_الرقم,0)),"")</f>
        <v/>
      </c>
      <c r="C494" s="112" t="n"/>
      <c r="D494" s="50">
        <f>IF($C494="","",IFERROR(INDEX(قائمة_أيام_الأسبوع,WEEKDAY($C494,1)),""))</f>
        <v/>
      </c>
      <c r="E494" s="116" t="n"/>
      <c r="F494" s="116" t="n"/>
      <c r="G494" s="117">
        <f>IF($A494="","",بداية_الدوام)</f>
        <v/>
      </c>
      <c r="H494" s="117">
        <f>IF($A494="","",نهاية_الدوام)</f>
        <v/>
      </c>
      <c r="I494" s="58">
        <f>IF($A494="","",مدة_الاستراحة/60)</f>
        <v/>
      </c>
      <c r="J494" s="58">
        <f>IF(OR($A494="",$E494="",$F494=""),"",IF(OR($N494="حاضر",$N494="دوام جزئي"),MAX(0,MOD($F494-$E494,1)*24-$I494),0))</f>
        <v/>
      </c>
      <c r="K494" s="58">
        <f>IF(OR($A494="",$E494=""),"",IF(AND(احتساب_التأخير="نعم",OR($N494="حاضر",$N494="دوام جزئي"),$E494&gt;$G494+دقائق_السماح/1440),($E494-$G494-دقائق_السماح/1440)*24,0))</f>
        <v/>
      </c>
      <c r="L494" s="58">
        <f>IF(OR($A494="",$F494=""),"",IF(AND(OR($N494="حاضر",$N494="دوام جزئي"),$F494&lt;$H494),($H494-$F494)*24,0))</f>
        <v/>
      </c>
      <c r="M494" s="58">
        <f>IF(OR($A494="",$F494=""),"",IF(AND(احتساب_العمل_الإضافي="نعم",OR($N494="حاضر",$N494="دوام جزئي"),$F494&gt;$H494,($F494-$H494)*24*60&gt;=حد_العمل_الإضافي_دقيقة),($F494-$H494)*24,0))</f>
        <v/>
      </c>
      <c r="N494" s="47" t="n"/>
      <c r="O494" s="47" t="n"/>
      <c r="Q494">
        <f>IF(AND(ISNUMBER($K494),$K494&gt;0),SUMPRODUCT(ISNUMBER($K$3:$K$502)*($K$3:$K$502&gt;0)*(ROW($K$3:$K$502)&lt;=ROW())),"")</f>
        <v/>
      </c>
    </row>
    <row r="495">
      <c r="A495" s="40" t="n"/>
      <c r="B495" s="43">
        <f>IFERROR(INDEX(الموظفون_الاسم,MATCH($A495,الموظفون_الرقم,0)),"")</f>
        <v/>
      </c>
      <c r="C495" s="110" t="n"/>
      <c r="D495" s="43">
        <f>IF($C495="","",IFERROR(INDEX(قائمة_أيام_الأسبوع,WEEKDAY($C495,1)),""))</f>
        <v/>
      </c>
      <c r="E495" s="114" t="n"/>
      <c r="F495" s="114" t="n"/>
      <c r="G495" s="115">
        <f>IF($A495="","",بداية_الدوام)</f>
        <v/>
      </c>
      <c r="H495" s="115">
        <f>IF($A495="","",نهاية_الدوام)</f>
        <v/>
      </c>
      <c r="I495" s="55">
        <f>IF($A495="","",مدة_الاستراحة/60)</f>
        <v/>
      </c>
      <c r="J495" s="55">
        <f>IF(OR($A495="",$E495="",$F495=""),"",IF(OR($N495="حاضر",$N495="دوام جزئي"),MAX(0,MOD($F495-$E495,1)*24-$I495),0))</f>
        <v/>
      </c>
      <c r="K495" s="55">
        <f>IF(OR($A495="",$E495=""),"",IF(AND(احتساب_التأخير="نعم",OR($N495="حاضر",$N495="دوام جزئي"),$E495&gt;$G495+دقائق_السماح/1440),($E495-$G495-دقائق_السماح/1440)*24,0))</f>
        <v/>
      </c>
      <c r="L495" s="55">
        <f>IF(OR($A495="",$F495=""),"",IF(AND(OR($N495="حاضر",$N495="دوام جزئي"),$F495&lt;$H495),($H495-$F495)*24,0))</f>
        <v/>
      </c>
      <c r="M495" s="55">
        <f>IF(OR($A495="",$F495=""),"",IF(AND(احتساب_العمل_الإضافي="نعم",OR($N495="حاضر",$N495="دوام جزئي"),$F495&gt;$H495,($F495-$H495)*24*60&gt;=حد_العمل_الإضافي_دقيقة),($F495-$H495)*24,0))</f>
        <v/>
      </c>
      <c r="N495" s="40" t="n"/>
      <c r="O495" s="40" t="n"/>
      <c r="Q495">
        <f>IF(AND(ISNUMBER($K495),$K495&gt;0),SUMPRODUCT(ISNUMBER($K$3:$K$502)*($K$3:$K$502&gt;0)*(ROW($K$3:$K$502)&lt;=ROW())),"")</f>
        <v/>
      </c>
    </row>
    <row r="496">
      <c r="A496" s="47" t="n"/>
      <c r="B496" s="50">
        <f>IFERROR(INDEX(الموظفون_الاسم,MATCH($A496,الموظفون_الرقم,0)),"")</f>
        <v/>
      </c>
      <c r="C496" s="112" t="n"/>
      <c r="D496" s="50">
        <f>IF($C496="","",IFERROR(INDEX(قائمة_أيام_الأسبوع,WEEKDAY($C496,1)),""))</f>
        <v/>
      </c>
      <c r="E496" s="116" t="n"/>
      <c r="F496" s="116" t="n"/>
      <c r="G496" s="117">
        <f>IF($A496="","",بداية_الدوام)</f>
        <v/>
      </c>
      <c r="H496" s="117">
        <f>IF($A496="","",نهاية_الدوام)</f>
        <v/>
      </c>
      <c r="I496" s="58">
        <f>IF($A496="","",مدة_الاستراحة/60)</f>
        <v/>
      </c>
      <c r="J496" s="58">
        <f>IF(OR($A496="",$E496="",$F496=""),"",IF(OR($N496="حاضر",$N496="دوام جزئي"),MAX(0,MOD($F496-$E496,1)*24-$I496),0))</f>
        <v/>
      </c>
      <c r="K496" s="58">
        <f>IF(OR($A496="",$E496=""),"",IF(AND(احتساب_التأخير="نعم",OR($N496="حاضر",$N496="دوام جزئي"),$E496&gt;$G496+دقائق_السماح/1440),($E496-$G496-دقائق_السماح/1440)*24,0))</f>
        <v/>
      </c>
      <c r="L496" s="58">
        <f>IF(OR($A496="",$F496=""),"",IF(AND(OR($N496="حاضر",$N496="دوام جزئي"),$F496&lt;$H496),($H496-$F496)*24,0))</f>
        <v/>
      </c>
      <c r="M496" s="58">
        <f>IF(OR($A496="",$F496=""),"",IF(AND(احتساب_العمل_الإضافي="نعم",OR($N496="حاضر",$N496="دوام جزئي"),$F496&gt;$H496,($F496-$H496)*24*60&gt;=حد_العمل_الإضافي_دقيقة),($F496-$H496)*24,0))</f>
        <v/>
      </c>
      <c r="N496" s="47" t="n"/>
      <c r="O496" s="47" t="n"/>
      <c r="Q496">
        <f>IF(AND(ISNUMBER($K496),$K496&gt;0),SUMPRODUCT(ISNUMBER($K$3:$K$502)*($K$3:$K$502&gt;0)*(ROW($K$3:$K$502)&lt;=ROW())),"")</f>
        <v/>
      </c>
    </row>
    <row r="497">
      <c r="A497" s="40" t="n"/>
      <c r="B497" s="43">
        <f>IFERROR(INDEX(الموظفون_الاسم,MATCH($A497,الموظفون_الرقم,0)),"")</f>
        <v/>
      </c>
      <c r="C497" s="110" t="n"/>
      <c r="D497" s="43">
        <f>IF($C497="","",IFERROR(INDEX(قائمة_أيام_الأسبوع,WEEKDAY($C497,1)),""))</f>
        <v/>
      </c>
      <c r="E497" s="114" t="n"/>
      <c r="F497" s="114" t="n"/>
      <c r="G497" s="115">
        <f>IF($A497="","",بداية_الدوام)</f>
        <v/>
      </c>
      <c r="H497" s="115">
        <f>IF($A497="","",نهاية_الدوام)</f>
        <v/>
      </c>
      <c r="I497" s="55">
        <f>IF($A497="","",مدة_الاستراحة/60)</f>
        <v/>
      </c>
      <c r="J497" s="55">
        <f>IF(OR($A497="",$E497="",$F497=""),"",IF(OR($N497="حاضر",$N497="دوام جزئي"),MAX(0,MOD($F497-$E497,1)*24-$I497),0))</f>
        <v/>
      </c>
      <c r="K497" s="55">
        <f>IF(OR($A497="",$E497=""),"",IF(AND(احتساب_التأخير="نعم",OR($N497="حاضر",$N497="دوام جزئي"),$E497&gt;$G497+دقائق_السماح/1440),($E497-$G497-دقائق_السماح/1440)*24,0))</f>
        <v/>
      </c>
      <c r="L497" s="55">
        <f>IF(OR($A497="",$F497=""),"",IF(AND(OR($N497="حاضر",$N497="دوام جزئي"),$F497&lt;$H497),($H497-$F497)*24,0))</f>
        <v/>
      </c>
      <c r="M497" s="55">
        <f>IF(OR($A497="",$F497=""),"",IF(AND(احتساب_العمل_الإضافي="نعم",OR($N497="حاضر",$N497="دوام جزئي"),$F497&gt;$H497,($F497-$H497)*24*60&gt;=حد_العمل_الإضافي_دقيقة),($F497-$H497)*24,0))</f>
        <v/>
      </c>
      <c r="N497" s="40" t="n"/>
      <c r="O497" s="40" t="n"/>
      <c r="Q497">
        <f>IF(AND(ISNUMBER($K497),$K497&gt;0),SUMPRODUCT(ISNUMBER($K$3:$K$502)*($K$3:$K$502&gt;0)*(ROW($K$3:$K$502)&lt;=ROW())),"")</f>
        <v/>
      </c>
    </row>
    <row r="498">
      <c r="A498" s="47" t="n"/>
      <c r="B498" s="50">
        <f>IFERROR(INDEX(الموظفون_الاسم,MATCH($A498,الموظفون_الرقم,0)),"")</f>
        <v/>
      </c>
      <c r="C498" s="112" t="n"/>
      <c r="D498" s="50">
        <f>IF($C498="","",IFERROR(INDEX(قائمة_أيام_الأسبوع,WEEKDAY($C498,1)),""))</f>
        <v/>
      </c>
      <c r="E498" s="116" t="n"/>
      <c r="F498" s="116" t="n"/>
      <c r="G498" s="117">
        <f>IF($A498="","",بداية_الدوام)</f>
        <v/>
      </c>
      <c r="H498" s="117">
        <f>IF($A498="","",نهاية_الدوام)</f>
        <v/>
      </c>
      <c r="I498" s="58">
        <f>IF($A498="","",مدة_الاستراحة/60)</f>
        <v/>
      </c>
      <c r="J498" s="58">
        <f>IF(OR($A498="",$E498="",$F498=""),"",IF(OR($N498="حاضر",$N498="دوام جزئي"),MAX(0,MOD($F498-$E498,1)*24-$I498),0))</f>
        <v/>
      </c>
      <c r="K498" s="58">
        <f>IF(OR($A498="",$E498=""),"",IF(AND(احتساب_التأخير="نعم",OR($N498="حاضر",$N498="دوام جزئي"),$E498&gt;$G498+دقائق_السماح/1440),($E498-$G498-دقائق_السماح/1440)*24,0))</f>
        <v/>
      </c>
      <c r="L498" s="58">
        <f>IF(OR($A498="",$F498=""),"",IF(AND(OR($N498="حاضر",$N498="دوام جزئي"),$F498&lt;$H498),($H498-$F498)*24,0))</f>
        <v/>
      </c>
      <c r="M498" s="58">
        <f>IF(OR($A498="",$F498=""),"",IF(AND(احتساب_العمل_الإضافي="نعم",OR($N498="حاضر",$N498="دوام جزئي"),$F498&gt;$H498,($F498-$H498)*24*60&gt;=حد_العمل_الإضافي_دقيقة),($F498-$H498)*24,0))</f>
        <v/>
      </c>
      <c r="N498" s="47" t="n"/>
      <c r="O498" s="47" t="n"/>
      <c r="Q498">
        <f>IF(AND(ISNUMBER($K498),$K498&gt;0),SUMPRODUCT(ISNUMBER($K$3:$K$502)*($K$3:$K$502&gt;0)*(ROW($K$3:$K$502)&lt;=ROW())),"")</f>
        <v/>
      </c>
    </row>
    <row r="499">
      <c r="A499" s="40" t="n"/>
      <c r="B499" s="43">
        <f>IFERROR(INDEX(الموظفون_الاسم,MATCH($A499,الموظفون_الرقم,0)),"")</f>
        <v/>
      </c>
      <c r="C499" s="110" t="n"/>
      <c r="D499" s="43">
        <f>IF($C499="","",IFERROR(INDEX(قائمة_أيام_الأسبوع,WEEKDAY($C499,1)),""))</f>
        <v/>
      </c>
      <c r="E499" s="114" t="n"/>
      <c r="F499" s="114" t="n"/>
      <c r="G499" s="115">
        <f>IF($A499="","",بداية_الدوام)</f>
        <v/>
      </c>
      <c r="H499" s="115">
        <f>IF($A499="","",نهاية_الدوام)</f>
        <v/>
      </c>
      <c r="I499" s="55">
        <f>IF($A499="","",مدة_الاستراحة/60)</f>
        <v/>
      </c>
      <c r="J499" s="55">
        <f>IF(OR($A499="",$E499="",$F499=""),"",IF(OR($N499="حاضر",$N499="دوام جزئي"),MAX(0,MOD($F499-$E499,1)*24-$I499),0))</f>
        <v/>
      </c>
      <c r="K499" s="55">
        <f>IF(OR($A499="",$E499=""),"",IF(AND(احتساب_التأخير="نعم",OR($N499="حاضر",$N499="دوام جزئي"),$E499&gt;$G499+دقائق_السماح/1440),($E499-$G499-دقائق_السماح/1440)*24,0))</f>
        <v/>
      </c>
      <c r="L499" s="55">
        <f>IF(OR($A499="",$F499=""),"",IF(AND(OR($N499="حاضر",$N499="دوام جزئي"),$F499&lt;$H499),($H499-$F499)*24,0))</f>
        <v/>
      </c>
      <c r="M499" s="55">
        <f>IF(OR($A499="",$F499=""),"",IF(AND(احتساب_العمل_الإضافي="نعم",OR($N499="حاضر",$N499="دوام جزئي"),$F499&gt;$H499,($F499-$H499)*24*60&gt;=حد_العمل_الإضافي_دقيقة),($F499-$H499)*24,0))</f>
        <v/>
      </c>
      <c r="N499" s="40" t="n"/>
      <c r="O499" s="40" t="n"/>
      <c r="Q499">
        <f>IF(AND(ISNUMBER($K499),$K499&gt;0),SUMPRODUCT(ISNUMBER($K$3:$K$502)*($K$3:$K$502&gt;0)*(ROW($K$3:$K$502)&lt;=ROW())),"")</f>
        <v/>
      </c>
    </row>
    <row r="500">
      <c r="A500" s="47" t="n"/>
      <c r="B500" s="50">
        <f>IFERROR(INDEX(الموظفون_الاسم,MATCH($A500,الموظفون_الرقم,0)),"")</f>
        <v/>
      </c>
      <c r="C500" s="112" t="n"/>
      <c r="D500" s="50">
        <f>IF($C500="","",IFERROR(INDEX(قائمة_أيام_الأسبوع,WEEKDAY($C500,1)),""))</f>
        <v/>
      </c>
      <c r="E500" s="116" t="n"/>
      <c r="F500" s="116" t="n"/>
      <c r="G500" s="117">
        <f>IF($A500="","",بداية_الدوام)</f>
        <v/>
      </c>
      <c r="H500" s="117">
        <f>IF($A500="","",نهاية_الدوام)</f>
        <v/>
      </c>
      <c r="I500" s="58">
        <f>IF($A500="","",مدة_الاستراحة/60)</f>
        <v/>
      </c>
      <c r="J500" s="58">
        <f>IF(OR($A500="",$E500="",$F500=""),"",IF(OR($N500="حاضر",$N500="دوام جزئي"),MAX(0,MOD($F500-$E500,1)*24-$I500),0))</f>
        <v/>
      </c>
      <c r="K500" s="58">
        <f>IF(OR($A500="",$E500=""),"",IF(AND(احتساب_التأخير="نعم",OR($N500="حاضر",$N500="دوام جزئي"),$E500&gt;$G500+دقائق_السماح/1440),($E500-$G500-دقائق_السماح/1440)*24,0))</f>
        <v/>
      </c>
      <c r="L500" s="58">
        <f>IF(OR($A500="",$F500=""),"",IF(AND(OR($N500="حاضر",$N500="دوام جزئي"),$F500&lt;$H500),($H500-$F500)*24,0))</f>
        <v/>
      </c>
      <c r="M500" s="58">
        <f>IF(OR($A500="",$F500=""),"",IF(AND(احتساب_العمل_الإضافي="نعم",OR($N500="حاضر",$N500="دوام جزئي"),$F500&gt;$H500,($F500-$H500)*24*60&gt;=حد_العمل_الإضافي_دقيقة),($F500-$H500)*24,0))</f>
        <v/>
      </c>
      <c r="N500" s="47" t="n"/>
      <c r="O500" s="47" t="n"/>
      <c r="Q500">
        <f>IF(AND(ISNUMBER($K500),$K500&gt;0),SUMPRODUCT(ISNUMBER($K$3:$K$502)*($K$3:$K$502&gt;0)*(ROW($K$3:$K$502)&lt;=ROW())),"")</f>
        <v/>
      </c>
    </row>
    <row r="501">
      <c r="A501" s="40" t="n"/>
      <c r="B501" s="43">
        <f>IFERROR(INDEX(الموظفون_الاسم,MATCH($A501,الموظفون_الرقم,0)),"")</f>
        <v/>
      </c>
      <c r="C501" s="110" t="n"/>
      <c r="D501" s="43">
        <f>IF($C501="","",IFERROR(INDEX(قائمة_أيام_الأسبوع,WEEKDAY($C501,1)),""))</f>
        <v/>
      </c>
      <c r="E501" s="114" t="n"/>
      <c r="F501" s="114" t="n"/>
      <c r="G501" s="115">
        <f>IF($A501="","",بداية_الدوام)</f>
        <v/>
      </c>
      <c r="H501" s="115">
        <f>IF($A501="","",نهاية_الدوام)</f>
        <v/>
      </c>
      <c r="I501" s="55">
        <f>IF($A501="","",مدة_الاستراحة/60)</f>
        <v/>
      </c>
      <c r="J501" s="55">
        <f>IF(OR($A501="",$E501="",$F501=""),"",IF(OR($N501="حاضر",$N501="دوام جزئي"),MAX(0,MOD($F501-$E501,1)*24-$I501),0))</f>
        <v/>
      </c>
      <c r="K501" s="55">
        <f>IF(OR($A501="",$E501=""),"",IF(AND(احتساب_التأخير="نعم",OR($N501="حاضر",$N501="دوام جزئي"),$E501&gt;$G501+دقائق_السماح/1440),($E501-$G501-دقائق_السماح/1440)*24,0))</f>
        <v/>
      </c>
      <c r="L501" s="55">
        <f>IF(OR($A501="",$F501=""),"",IF(AND(OR($N501="حاضر",$N501="دوام جزئي"),$F501&lt;$H501),($H501-$F501)*24,0))</f>
        <v/>
      </c>
      <c r="M501" s="55">
        <f>IF(OR($A501="",$F501=""),"",IF(AND(احتساب_العمل_الإضافي="نعم",OR($N501="حاضر",$N501="دوام جزئي"),$F501&gt;$H501,($F501-$H501)*24*60&gt;=حد_العمل_الإضافي_دقيقة),($F501-$H501)*24,0))</f>
        <v/>
      </c>
      <c r="N501" s="40" t="n"/>
      <c r="O501" s="40" t="n"/>
      <c r="Q501">
        <f>IF(AND(ISNUMBER($K501),$K501&gt;0),SUMPRODUCT(ISNUMBER($K$3:$K$502)*($K$3:$K$502&gt;0)*(ROW($K$3:$K$502)&lt;=ROW())),"")</f>
        <v/>
      </c>
    </row>
    <row r="502">
      <c r="A502" s="47" t="n"/>
      <c r="B502" s="50">
        <f>IFERROR(INDEX(الموظفون_الاسم,MATCH($A502,الموظفون_الرقم,0)),"")</f>
        <v/>
      </c>
      <c r="C502" s="112" t="n"/>
      <c r="D502" s="50">
        <f>IF($C502="","",IFERROR(INDEX(قائمة_أيام_الأسبوع,WEEKDAY($C502,1)),""))</f>
        <v/>
      </c>
      <c r="E502" s="116" t="n"/>
      <c r="F502" s="116" t="n"/>
      <c r="G502" s="117">
        <f>IF($A502="","",بداية_الدوام)</f>
        <v/>
      </c>
      <c r="H502" s="117">
        <f>IF($A502="","",نهاية_الدوام)</f>
        <v/>
      </c>
      <c r="I502" s="58">
        <f>IF($A502="","",مدة_الاستراحة/60)</f>
        <v/>
      </c>
      <c r="J502" s="58">
        <f>IF(OR($A502="",$E502="",$F502=""),"",IF(OR($N502="حاضر",$N502="دوام جزئي"),MAX(0,MOD($F502-$E502,1)*24-$I502),0))</f>
        <v/>
      </c>
      <c r="K502" s="58">
        <f>IF(OR($A502="",$E502=""),"",IF(AND(احتساب_التأخير="نعم",OR($N502="حاضر",$N502="دوام جزئي"),$E502&gt;$G502+دقائق_السماح/1440),($E502-$G502-دقائق_السماح/1440)*24,0))</f>
        <v/>
      </c>
      <c r="L502" s="58">
        <f>IF(OR($A502="",$F502=""),"",IF(AND(OR($N502="حاضر",$N502="دوام جزئي"),$F502&lt;$H502),($H502-$F502)*24,0))</f>
        <v/>
      </c>
      <c r="M502" s="58">
        <f>IF(OR($A502="",$F502=""),"",IF(AND(احتساب_العمل_الإضافي="نعم",OR($N502="حاضر",$N502="دوام جزئي"),$F502&gt;$H502,($F502-$H502)*24*60&gt;=حد_العمل_الإضافي_دقيقة),($F502-$H502)*24,0))</f>
        <v/>
      </c>
      <c r="N502" s="47" t="n"/>
      <c r="O502" s="47" t="n"/>
      <c r="Q502">
        <f>IF(AND(ISNUMBER($K502),$K502&gt;0),SUMPRODUCT(ISNUMBER($K$3:$K$502)*($K$3:$K$502&gt;0)*(ROW($K$3:$K$502)&lt;=ROW())),"")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C605"/>
  <autoFilter ref="A2:O502"/>
  <mergeCells count="1">
    <mergeCell ref="A1:O1"/>
  </mergeCells>
  <conditionalFormatting sqref="N3:N502">
    <cfRule type="cellIs" priority="1" operator="equal" dxfId="3">
      <formula>"غائب"</formula>
    </cfRule>
    <cfRule type="cellIs" priority="2" operator="equal" dxfId="2">
      <formula>"حاضر"</formula>
    </cfRule>
    <cfRule type="cellIs" priority="3" operator="equal" dxfId="4">
      <formula>"إجازة"</formula>
    </cfRule>
  </conditionalFormatting>
  <conditionalFormatting sqref="K3:K502">
    <cfRule type="cellIs" priority="4" operator="greaterThan" dxfId="1">
      <formula>0</formula>
    </cfRule>
  </conditionalFormatting>
  <conditionalFormatting sqref="M3:M502">
    <cfRule type="cellIs" priority="5" operator="greaterThan" dxfId="2">
      <formula>0</formula>
    </cfRule>
  </conditionalFormatting>
  <dataValidations count="2">
    <dataValidation sqref="A3:A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=قائمة_الرقم_الوظيفي</formula1>
    </dataValidation>
    <dataValidation sqref="N3:N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=قائمة_حالات_الحضور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O502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  <col width="14" customWidth="1" min="9" max="9"/>
    <col width="14" customWidth="1" min="10" max="10"/>
    <col width="14" customWidth="1" min="11" max="11"/>
    <col width="12" customWidth="1" min="12" max="12"/>
    <col width="16" customWidth="1" min="13" max="13"/>
    <col width="14" customWidth="1" min="14" max="14"/>
    <col width="24" customWidth="1" min="15" max="15"/>
  </cols>
  <sheetData>
    <row r="1" ht="32" customHeight="1">
      <c r="A1" s="1" t="inlineStr">
        <is>
          <t>الإجازات  —  نموذج إدخال</t>
        </is>
      </c>
    </row>
    <row r="2" ht="42" customHeight="1">
      <c r="A2" s="38" t="inlineStr">
        <is>
          <t>رقم الطلب</t>
        </is>
      </c>
      <c r="B2" s="38" t="inlineStr">
        <is>
          <t>الرقم الوظيفي</t>
        </is>
      </c>
      <c r="C2" s="38" t="inlineStr">
        <is>
          <t>اسم الموظف</t>
        </is>
      </c>
      <c r="D2" s="38" t="inlineStr">
        <is>
          <t>نوع الإجازة</t>
        </is>
      </c>
      <c r="E2" s="38" t="inlineStr">
        <is>
          <t>تاريخ تقديم الطلب</t>
        </is>
      </c>
      <c r="F2" s="38" t="inlineStr">
        <is>
          <t>تاريخ بداية الإجازة</t>
        </is>
      </c>
      <c r="G2" s="38" t="inlineStr">
        <is>
          <t>تاريخ نهاية الإجازة</t>
        </is>
      </c>
      <c r="H2" s="38" t="inlineStr">
        <is>
          <t>عدد الأيام</t>
        </is>
      </c>
      <c r="I2" s="38" t="inlineStr">
        <is>
          <t>الرصيد قبل الطلب</t>
        </is>
      </c>
      <c r="J2" s="38" t="inlineStr">
        <is>
          <t>الأيام المستخدمة</t>
        </is>
      </c>
      <c r="K2" s="38" t="inlineStr">
        <is>
          <t>الرصيد بعد الطلب</t>
        </is>
      </c>
      <c r="L2" s="38" t="inlineStr">
        <is>
          <t>حالة الطلب</t>
        </is>
      </c>
      <c r="M2" s="38" t="inlineStr">
        <is>
          <t>اسم المعتمد</t>
        </is>
      </c>
      <c r="N2" s="38" t="inlineStr">
        <is>
          <t>تاريخ الاعتماد</t>
        </is>
      </c>
      <c r="O2" s="38" t="inlineStr">
        <is>
          <t>الملاحظات</t>
        </is>
      </c>
    </row>
    <row r="3">
      <c r="A3" s="39" t="n"/>
      <c r="B3" s="40" t="n"/>
      <c r="C3" s="43">
        <f>IFERROR(INDEX(الموظفون_الاسم,MATCH($B3,الموظفون_الرقم,0)),"")</f>
        <v/>
      </c>
      <c r="D3" s="40" t="n"/>
      <c r="E3" s="110" t="n"/>
      <c r="F3" s="110" t="n"/>
      <c r="G3" s="110" t="n"/>
      <c r="H3" s="44">
        <f>IF(OR($F3="",$G3=""),"",MAX(0,$G3-$F3+1))</f>
        <v/>
      </c>
      <c r="I3" s="44">
        <f>IF($B3="","",IFERROR(INDEX(الموظفون_الافتتاحي,MATCH($B3,الموظفون_الرقم,0)),0)+IF($D3&lt;&gt;"سنوية",0,IFERROR(DATEDIF(بداية_احتساب_الرصيد,TODAY(),"M"),0)*معدل_الاستحقاق_الشهري)-SUMIFS($J$3:$J$502,$B$3:$B$502,$B3,$D$3:$D$502,"سنوية",$L$3:$L$502,"معتمد",$A$3:$A$502,"&lt;"&amp;$A3))</f>
        <v/>
      </c>
      <c r="J3" s="44">
        <f>IF($L3="معتمد",$H3,0)</f>
        <v/>
      </c>
      <c r="K3" s="44">
        <f>IF($B3="","",$I3-$J3)</f>
        <v/>
      </c>
      <c r="L3" s="40" t="n"/>
      <c r="M3" s="40" t="n"/>
      <c r="N3" s="110" t="n"/>
      <c r="O3" s="40" t="n"/>
    </row>
    <row r="4">
      <c r="A4" s="46" t="n"/>
      <c r="B4" s="47" t="n"/>
      <c r="C4" s="50">
        <f>IFERROR(INDEX(الموظفون_الاسم,MATCH($B4,الموظفون_الرقم,0)),"")</f>
        <v/>
      </c>
      <c r="D4" s="47" t="n"/>
      <c r="E4" s="112" t="n"/>
      <c r="F4" s="112" t="n"/>
      <c r="G4" s="112" t="n"/>
      <c r="H4" s="51">
        <f>IF(OR($F4="",$G4=""),"",MAX(0,$G4-$F4+1))</f>
        <v/>
      </c>
      <c r="I4" s="51">
        <f>IF($B4="","",IFERROR(INDEX(الموظفون_الافتتاحي,MATCH($B4,الموظفون_الرقم,0)),0)+IF($D4&lt;&gt;"سنوية",0,IFERROR(DATEDIF(بداية_احتساب_الرصيد,TODAY(),"M"),0)*معدل_الاستحقاق_الشهري)-SUMIFS($J$3:$J$502,$B$3:$B$502,$B4,$D$3:$D$502,"سنوية",$L$3:$L$502,"معتمد",$A$3:$A$502,"&lt;"&amp;$A4))</f>
        <v/>
      </c>
      <c r="J4" s="51">
        <f>IF($L4="معتمد",$H4,0)</f>
        <v/>
      </c>
      <c r="K4" s="51">
        <f>IF($B4="","",$I4-$J4)</f>
        <v/>
      </c>
      <c r="L4" s="47" t="n"/>
      <c r="M4" s="47" t="n"/>
      <c r="N4" s="112" t="n"/>
      <c r="O4" s="47" t="n"/>
    </row>
    <row r="5">
      <c r="A5" s="39" t="n"/>
      <c r="B5" s="40" t="n"/>
      <c r="C5" s="43">
        <f>IFERROR(INDEX(الموظفون_الاسم,MATCH($B5,الموظفون_الرقم,0)),"")</f>
        <v/>
      </c>
      <c r="D5" s="40" t="n"/>
      <c r="E5" s="110" t="n"/>
      <c r="F5" s="110" t="n"/>
      <c r="G5" s="110" t="n"/>
      <c r="H5" s="44">
        <f>IF(OR($F5="",$G5=""),"",MAX(0,$G5-$F5+1))</f>
        <v/>
      </c>
      <c r="I5" s="44">
        <f>IF($B5="","",IFERROR(INDEX(الموظفون_الافتتاحي,MATCH($B5,الموظفون_الرقم,0)),0)+IF($D5&lt;&gt;"سنوية",0,IFERROR(DATEDIF(بداية_احتساب_الرصيد,TODAY(),"M"),0)*معدل_الاستحقاق_الشهري)-SUMIFS($J$3:$J$502,$B$3:$B$502,$B5,$D$3:$D$502,"سنوية",$L$3:$L$502,"معتمد",$A$3:$A$502,"&lt;"&amp;$A5))</f>
        <v/>
      </c>
      <c r="J5" s="44">
        <f>IF($L5="معتمد",$H5,0)</f>
        <v/>
      </c>
      <c r="K5" s="44">
        <f>IF($B5="","",$I5-$J5)</f>
        <v/>
      </c>
      <c r="L5" s="40" t="n"/>
      <c r="M5" s="40" t="n"/>
      <c r="N5" s="110" t="n"/>
      <c r="O5" s="40" t="n"/>
    </row>
    <row r="6">
      <c r="A6" s="46" t="n"/>
      <c r="B6" s="47" t="n"/>
      <c r="C6" s="50">
        <f>IFERROR(INDEX(الموظفون_الاسم,MATCH($B6,الموظفون_الرقم,0)),"")</f>
        <v/>
      </c>
      <c r="D6" s="47" t="n"/>
      <c r="E6" s="112" t="n"/>
      <c r="F6" s="112" t="n"/>
      <c r="G6" s="112" t="n"/>
      <c r="H6" s="51">
        <f>IF(OR($F6="",$G6=""),"",MAX(0,$G6-$F6+1))</f>
        <v/>
      </c>
      <c r="I6" s="51">
        <f>IF($B6="","",IFERROR(INDEX(الموظفون_الافتتاحي,MATCH($B6,الموظفون_الرقم,0)),0)+IF($D6&lt;&gt;"سنوية",0,IFERROR(DATEDIF(بداية_احتساب_الرصيد,TODAY(),"M"),0)*معدل_الاستحقاق_الشهري)-SUMIFS($J$3:$J$502,$B$3:$B$502,$B6,$D$3:$D$502,"سنوية",$L$3:$L$502,"معتمد",$A$3:$A$502,"&lt;"&amp;$A6))</f>
        <v/>
      </c>
      <c r="J6" s="51">
        <f>IF($L6="معتمد",$H6,0)</f>
        <v/>
      </c>
      <c r="K6" s="51">
        <f>IF($B6="","",$I6-$J6)</f>
        <v/>
      </c>
      <c r="L6" s="47" t="n"/>
      <c r="M6" s="47" t="n"/>
      <c r="N6" s="112" t="n"/>
      <c r="O6" s="47" t="n"/>
    </row>
    <row r="7">
      <c r="A7" s="39" t="n"/>
      <c r="B7" s="40" t="n"/>
      <c r="C7" s="43">
        <f>IFERROR(INDEX(الموظفون_الاسم,MATCH($B7,الموظفون_الرقم,0)),"")</f>
        <v/>
      </c>
      <c r="D7" s="40" t="n"/>
      <c r="E7" s="110" t="n"/>
      <c r="F7" s="110" t="n"/>
      <c r="G7" s="110" t="n"/>
      <c r="H7" s="44">
        <f>IF(OR($F7="",$G7=""),"",MAX(0,$G7-$F7+1))</f>
        <v/>
      </c>
      <c r="I7" s="44">
        <f>IF($B7="","",IFERROR(INDEX(الموظفون_الافتتاحي,MATCH($B7,الموظفون_الرقم,0)),0)+IF($D7&lt;&gt;"سنوية",0,IFERROR(DATEDIF(بداية_احتساب_الرصيد,TODAY(),"M"),0)*معدل_الاستحقاق_الشهري)-SUMIFS($J$3:$J$502,$B$3:$B$502,$B7,$D$3:$D$502,"سنوية",$L$3:$L$502,"معتمد",$A$3:$A$502,"&lt;"&amp;$A7))</f>
        <v/>
      </c>
      <c r="J7" s="44">
        <f>IF($L7="معتمد",$H7,0)</f>
        <v/>
      </c>
      <c r="K7" s="44">
        <f>IF($B7="","",$I7-$J7)</f>
        <v/>
      </c>
      <c r="L7" s="40" t="n"/>
      <c r="M7" s="40" t="n"/>
      <c r="N7" s="110" t="n"/>
      <c r="O7" s="40" t="n"/>
    </row>
    <row r="8">
      <c r="A8" s="46" t="n"/>
      <c r="B8" s="47" t="n"/>
      <c r="C8" s="50">
        <f>IFERROR(INDEX(الموظفون_الاسم,MATCH($B8,الموظفون_الرقم,0)),"")</f>
        <v/>
      </c>
      <c r="D8" s="47" t="n"/>
      <c r="E8" s="112" t="n"/>
      <c r="F8" s="112" t="n"/>
      <c r="G8" s="112" t="n"/>
      <c r="H8" s="51">
        <f>IF(OR($F8="",$G8=""),"",MAX(0,$G8-$F8+1))</f>
        <v/>
      </c>
      <c r="I8" s="51">
        <f>IF($B8="","",IFERROR(INDEX(الموظفون_الافتتاحي,MATCH($B8,الموظفون_الرقم,0)),0)+IF($D8&lt;&gt;"سنوية",0,IFERROR(DATEDIF(بداية_احتساب_الرصيد,TODAY(),"M"),0)*معدل_الاستحقاق_الشهري)-SUMIFS($J$3:$J$502,$B$3:$B$502,$B8,$D$3:$D$502,"سنوية",$L$3:$L$502,"معتمد",$A$3:$A$502,"&lt;"&amp;$A8))</f>
        <v/>
      </c>
      <c r="J8" s="51">
        <f>IF($L8="معتمد",$H8,0)</f>
        <v/>
      </c>
      <c r="K8" s="51">
        <f>IF($B8="","",$I8-$J8)</f>
        <v/>
      </c>
      <c r="L8" s="47" t="n"/>
      <c r="M8" s="47" t="n"/>
      <c r="N8" s="112" t="n"/>
      <c r="O8" s="47" t="n"/>
    </row>
    <row r="9">
      <c r="A9" s="39" t="n"/>
      <c r="B9" s="40" t="n"/>
      <c r="C9" s="43">
        <f>IFERROR(INDEX(الموظفون_الاسم,MATCH($B9,الموظفون_الرقم,0)),"")</f>
        <v/>
      </c>
      <c r="D9" s="40" t="n"/>
      <c r="E9" s="110" t="n"/>
      <c r="F9" s="110" t="n"/>
      <c r="G9" s="110" t="n"/>
      <c r="H9" s="44">
        <f>IF(OR($F9="",$G9=""),"",MAX(0,$G9-$F9+1))</f>
        <v/>
      </c>
      <c r="I9" s="44">
        <f>IF($B9="","",IFERROR(INDEX(الموظفون_الافتتاحي,MATCH($B9,الموظفون_الرقم,0)),0)+IF($D9&lt;&gt;"سنوية",0,IFERROR(DATEDIF(بداية_احتساب_الرصيد,TODAY(),"M"),0)*معدل_الاستحقاق_الشهري)-SUMIFS($J$3:$J$502,$B$3:$B$502,$B9,$D$3:$D$502,"سنوية",$L$3:$L$502,"معتمد",$A$3:$A$502,"&lt;"&amp;$A9))</f>
        <v/>
      </c>
      <c r="J9" s="44">
        <f>IF($L9="معتمد",$H9,0)</f>
        <v/>
      </c>
      <c r="K9" s="44">
        <f>IF($B9="","",$I9-$J9)</f>
        <v/>
      </c>
      <c r="L9" s="40" t="n"/>
      <c r="M9" s="40" t="n"/>
      <c r="N9" s="110" t="n"/>
      <c r="O9" s="40" t="n"/>
    </row>
    <row r="10">
      <c r="A10" s="46" t="n"/>
      <c r="B10" s="47" t="n"/>
      <c r="C10" s="50">
        <f>IFERROR(INDEX(الموظفون_الاسم,MATCH($B10,الموظفون_الرقم,0)),"")</f>
        <v/>
      </c>
      <c r="D10" s="47" t="n"/>
      <c r="E10" s="112" t="n"/>
      <c r="F10" s="112" t="n"/>
      <c r="G10" s="112" t="n"/>
      <c r="H10" s="51">
        <f>IF(OR($F10="",$G10=""),"",MAX(0,$G10-$F10+1))</f>
        <v/>
      </c>
      <c r="I10" s="51">
        <f>IF($B10="","",IFERROR(INDEX(الموظفون_الافتتاحي,MATCH($B10,الموظفون_الرقم,0)),0)+IF($D10&lt;&gt;"سنوية",0,IFERROR(DATEDIF(بداية_احتساب_الرصيد,TODAY(),"M"),0)*معدل_الاستحقاق_الشهري)-SUMIFS($J$3:$J$502,$B$3:$B$502,$B10,$D$3:$D$502,"سنوية",$L$3:$L$502,"معتمد",$A$3:$A$502,"&lt;"&amp;$A10))</f>
        <v/>
      </c>
      <c r="J10" s="51">
        <f>IF($L10="معتمد",$H10,0)</f>
        <v/>
      </c>
      <c r="K10" s="51">
        <f>IF($B10="","",$I10-$J10)</f>
        <v/>
      </c>
      <c r="L10" s="47" t="n"/>
      <c r="M10" s="47" t="n"/>
      <c r="N10" s="112" t="n"/>
      <c r="O10" s="47" t="n"/>
    </row>
    <row r="11">
      <c r="A11" s="39" t="n"/>
      <c r="B11" s="40" t="n"/>
      <c r="C11" s="43">
        <f>IFERROR(INDEX(الموظفون_الاسم,MATCH($B11,الموظفون_الرقم,0)),"")</f>
        <v/>
      </c>
      <c r="D11" s="40" t="n"/>
      <c r="E11" s="110" t="n"/>
      <c r="F11" s="110" t="n"/>
      <c r="G11" s="110" t="n"/>
      <c r="H11" s="44">
        <f>IF(OR($F11="",$G11=""),"",MAX(0,$G11-$F11+1))</f>
        <v/>
      </c>
      <c r="I11" s="44">
        <f>IF($B11="","",IFERROR(INDEX(الموظفون_الافتتاحي,MATCH($B11,الموظفون_الرقم,0)),0)+IF($D11&lt;&gt;"سنوية",0,IFERROR(DATEDIF(بداية_احتساب_الرصيد,TODAY(),"M"),0)*معدل_الاستحقاق_الشهري)-SUMIFS($J$3:$J$502,$B$3:$B$502,$B11,$D$3:$D$502,"سنوية",$L$3:$L$502,"معتمد",$A$3:$A$502,"&lt;"&amp;$A11))</f>
        <v/>
      </c>
      <c r="J11" s="44">
        <f>IF($L11="معتمد",$H11,0)</f>
        <v/>
      </c>
      <c r="K11" s="44">
        <f>IF($B11="","",$I11-$J11)</f>
        <v/>
      </c>
      <c r="L11" s="40" t="n"/>
      <c r="M11" s="40" t="n"/>
      <c r="N11" s="110" t="n"/>
      <c r="O11" s="40" t="n"/>
    </row>
    <row r="12">
      <c r="A12" s="46" t="n"/>
      <c r="B12" s="47" t="n"/>
      <c r="C12" s="50">
        <f>IFERROR(INDEX(الموظفون_الاسم,MATCH($B12,الموظفون_الرقم,0)),"")</f>
        <v/>
      </c>
      <c r="D12" s="47" t="n"/>
      <c r="E12" s="112" t="n"/>
      <c r="F12" s="112" t="n"/>
      <c r="G12" s="112" t="n"/>
      <c r="H12" s="51">
        <f>IF(OR($F12="",$G12=""),"",MAX(0,$G12-$F12+1))</f>
        <v/>
      </c>
      <c r="I12" s="51">
        <f>IF($B12="","",IFERROR(INDEX(الموظفون_الافتتاحي,MATCH($B12,الموظفون_الرقم,0)),0)+IF($D12&lt;&gt;"سنوية",0,IFERROR(DATEDIF(بداية_احتساب_الرصيد,TODAY(),"M"),0)*معدل_الاستحقاق_الشهري)-SUMIFS($J$3:$J$502,$B$3:$B$502,$B12,$D$3:$D$502,"سنوية",$L$3:$L$502,"معتمد",$A$3:$A$502,"&lt;"&amp;$A12))</f>
        <v/>
      </c>
      <c r="J12" s="51">
        <f>IF($L12="معتمد",$H12,0)</f>
        <v/>
      </c>
      <c r="K12" s="51">
        <f>IF($B12="","",$I12-$J12)</f>
        <v/>
      </c>
      <c r="L12" s="47" t="n"/>
      <c r="M12" s="47" t="n"/>
      <c r="N12" s="112" t="n"/>
      <c r="O12" s="47" t="n"/>
    </row>
    <row r="13">
      <c r="A13" s="39" t="n"/>
      <c r="B13" s="40" t="n"/>
      <c r="C13" s="43">
        <f>IFERROR(INDEX(الموظفون_الاسم,MATCH($B13,الموظفون_الرقم,0)),"")</f>
        <v/>
      </c>
      <c r="D13" s="40" t="n"/>
      <c r="E13" s="110" t="n"/>
      <c r="F13" s="110" t="n"/>
      <c r="G13" s="110" t="n"/>
      <c r="H13" s="44">
        <f>IF(OR($F13="",$G13=""),"",MAX(0,$G13-$F13+1))</f>
        <v/>
      </c>
      <c r="I13" s="44">
        <f>IF($B13="","",IFERROR(INDEX(الموظفون_الافتتاحي,MATCH($B13,الموظفون_الرقم,0)),0)+IF($D13&lt;&gt;"سنوية",0,IFERROR(DATEDIF(بداية_احتساب_الرصيد,TODAY(),"M"),0)*معدل_الاستحقاق_الشهري)-SUMIFS($J$3:$J$502,$B$3:$B$502,$B13,$D$3:$D$502,"سنوية",$L$3:$L$502,"معتمد",$A$3:$A$502,"&lt;"&amp;$A13))</f>
        <v/>
      </c>
      <c r="J13" s="44">
        <f>IF($L13="معتمد",$H13,0)</f>
        <v/>
      </c>
      <c r="K13" s="44">
        <f>IF($B13="","",$I13-$J13)</f>
        <v/>
      </c>
      <c r="L13" s="40" t="n"/>
      <c r="M13" s="40" t="n"/>
      <c r="N13" s="110" t="n"/>
      <c r="O13" s="40" t="n"/>
    </row>
    <row r="14">
      <c r="A14" s="46" t="n"/>
      <c r="B14" s="47" t="n"/>
      <c r="C14" s="50">
        <f>IFERROR(INDEX(الموظفون_الاسم,MATCH($B14,الموظفون_الرقم,0)),"")</f>
        <v/>
      </c>
      <c r="D14" s="47" t="n"/>
      <c r="E14" s="112" t="n"/>
      <c r="F14" s="112" t="n"/>
      <c r="G14" s="112" t="n"/>
      <c r="H14" s="51">
        <f>IF(OR($F14="",$G14=""),"",MAX(0,$G14-$F14+1))</f>
        <v/>
      </c>
      <c r="I14" s="51">
        <f>IF($B14="","",IFERROR(INDEX(الموظفون_الافتتاحي,MATCH($B14,الموظفون_الرقم,0)),0)+IF($D14&lt;&gt;"سنوية",0,IFERROR(DATEDIF(بداية_احتساب_الرصيد,TODAY(),"M"),0)*معدل_الاستحقاق_الشهري)-SUMIFS($J$3:$J$502,$B$3:$B$502,$B14,$D$3:$D$502,"سنوية",$L$3:$L$502,"معتمد",$A$3:$A$502,"&lt;"&amp;$A14))</f>
        <v/>
      </c>
      <c r="J14" s="51">
        <f>IF($L14="معتمد",$H14,0)</f>
        <v/>
      </c>
      <c r="K14" s="51">
        <f>IF($B14="","",$I14-$J14)</f>
        <v/>
      </c>
      <c r="L14" s="47" t="n"/>
      <c r="M14" s="47" t="n"/>
      <c r="N14" s="112" t="n"/>
      <c r="O14" s="47" t="n"/>
    </row>
    <row r="15">
      <c r="A15" s="39" t="n"/>
      <c r="B15" s="40" t="n"/>
      <c r="C15" s="43">
        <f>IFERROR(INDEX(الموظفون_الاسم,MATCH($B15,الموظفون_الرقم,0)),"")</f>
        <v/>
      </c>
      <c r="D15" s="40" t="n"/>
      <c r="E15" s="110" t="n"/>
      <c r="F15" s="110" t="n"/>
      <c r="G15" s="110" t="n"/>
      <c r="H15" s="44">
        <f>IF(OR($F15="",$G15=""),"",MAX(0,$G15-$F15+1))</f>
        <v/>
      </c>
      <c r="I15" s="44">
        <f>IF($B15="","",IFERROR(INDEX(الموظفون_الافتتاحي,MATCH($B15,الموظفون_الرقم,0)),0)+IF($D15&lt;&gt;"سنوية",0,IFERROR(DATEDIF(بداية_احتساب_الرصيد,TODAY(),"M"),0)*معدل_الاستحقاق_الشهري)-SUMIFS($J$3:$J$502,$B$3:$B$502,$B15,$D$3:$D$502,"سنوية",$L$3:$L$502,"معتمد",$A$3:$A$502,"&lt;"&amp;$A15))</f>
        <v/>
      </c>
      <c r="J15" s="44">
        <f>IF($L15="معتمد",$H15,0)</f>
        <v/>
      </c>
      <c r="K15" s="44">
        <f>IF($B15="","",$I15-$J15)</f>
        <v/>
      </c>
      <c r="L15" s="40" t="n"/>
      <c r="M15" s="40" t="n"/>
      <c r="N15" s="110" t="n"/>
      <c r="O15" s="40" t="n"/>
    </row>
    <row r="16">
      <c r="A16" s="46" t="n"/>
      <c r="B16" s="47" t="n"/>
      <c r="C16" s="50">
        <f>IFERROR(INDEX(الموظفون_الاسم,MATCH($B16,الموظفون_الرقم,0)),"")</f>
        <v/>
      </c>
      <c r="D16" s="47" t="n"/>
      <c r="E16" s="112" t="n"/>
      <c r="F16" s="112" t="n"/>
      <c r="G16" s="112" t="n"/>
      <c r="H16" s="51">
        <f>IF(OR($F16="",$G16=""),"",MAX(0,$G16-$F16+1))</f>
        <v/>
      </c>
      <c r="I16" s="51">
        <f>IF($B16="","",IFERROR(INDEX(الموظفون_الافتتاحي,MATCH($B16,الموظفون_الرقم,0)),0)+IF($D16&lt;&gt;"سنوية",0,IFERROR(DATEDIF(بداية_احتساب_الرصيد,TODAY(),"M"),0)*معدل_الاستحقاق_الشهري)-SUMIFS($J$3:$J$502,$B$3:$B$502,$B16,$D$3:$D$502,"سنوية",$L$3:$L$502,"معتمد",$A$3:$A$502,"&lt;"&amp;$A16))</f>
        <v/>
      </c>
      <c r="J16" s="51">
        <f>IF($L16="معتمد",$H16,0)</f>
        <v/>
      </c>
      <c r="K16" s="51">
        <f>IF($B16="","",$I16-$J16)</f>
        <v/>
      </c>
      <c r="L16" s="47" t="n"/>
      <c r="M16" s="47" t="n"/>
      <c r="N16" s="112" t="n"/>
      <c r="O16" s="47" t="n"/>
    </row>
    <row r="17">
      <c r="A17" s="39" t="n"/>
      <c r="B17" s="40" t="n"/>
      <c r="C17" s="43">
        <f>IFERROR(INDEX(الموظفون_الاسم,MATCH($B17,الموظفون_الرقم,0)),"")</f>
        <v/>
      </c>
      <c r="D17" s="40" t="n"/>
      <c r="E17" s="110" t="n"/>
      <c r="F17" s="110" t="n"/>
      <c r="G17" s="110" t="n"/>
      <c r="H17" s="44">
        <f>IF(OR($F17="",$G17=""),"",MAX(0,$G17-$F17+1))</f>
        <v/>
      </c>
      <c r="I17" s="44">
        <f>IF($B17="","",IFERROR(INDEX(الموظفون_الافتتاحي,MATCH($B17,الموظفون_الرقم,0)),0)+IF($D17&lt;&gt;"سنوية",0,IFERROR(DATEDIF(بداية_احتساب_الرصيد,TODAY(),"M"),0)*معدل_الاستحقاق_الشهري)-SUMIFS($J$3:$J$502,$B$3:$B$502,$B17,$D$3:$D$502,"سنوية",$L$3:$L$502,"معتمد",$A$3:$A$502,"&lt;"&amp;$A17))</f>
        <v/>
      </c>
      <c r="J17" s="44">
        <f>IF($L17="معتمد",$H17,0)</f>
        <v/>
      </c>
      <c r="K17" s="44">
        <f>IF($B17="","",$I17-$J17)</f>
        <v/>
      </c>
      <c r="L17" s="40" t="n"/>
      <c r="M17" s="40" t="n"/>
      <c r="N17" s="110" t="n"/>
      <c r="O17" s="40" t="n"/>
    </row>
    <row r="18">
      <c r="A18" s="46" t="n"/>
      <c r="B18" s="47" t="n"/>
      <c r="C18" s="50">
        <f>IFERROR(INDEX(الموظفون_الاسم,MATCH($B18,الموظفون_الرقم,0)),"")</f>
        <v/>
      </c>
      <c r="D18" s="47" t="n"/>
      <c r="E18" s="112" t="n"/>
      <c r="F18" s="112" t="n"/>
      <c r="G18" s="112" t="n"/>
      <c r="H18" s="51">
        <f>IF(OR($F18="",$G18=""),"",MAX(0,$G18-$F18+1))</f>
        <v/>
      </c>
      <c r="I18" s="51">
        <f>IF($B18="","",IFERROR(INDEX(الموظفون_الافتتاحي,MATCH($B18,الموظفون_الرقم,0)),0)+IF($D18&lt;&gt;"سنوية",0,IFERROR(DATEDIF(بداية_احتساب_الرصيد,TODAY(),"M"),0)*معدل_الاستحقاق_الشهري)-SUMIFS($J$3:$J$502,$B$3:$B$502,$B18,$D$3:$D$502,"سنوية",$L$3:$L$502,"معتمد",$A$3:$A$502,"&lt;"&amp;$A18))</f>
        <v/>
      </c>
      <c r="J18" s="51">
        <f>IF($L18="معتمد",$H18,0)</f>
        <v/>
      </c>
      <c r="K18" s="51">
        <f>IF($B18="","",$I18-$J18)</f>
        <v/>
      </c>
      <c r="L18" s="47" t="n"/>
      <c r="M18" s="47" t="n"/>
      <c r="N18" s="112" t="n"/>
      <c r="O18" s="47" t="n"/>
    </row>
    <row r="19">
      <c r="A19" s="39" t="n"/>
      <c r="B19" s="40" t="n"/>
      <c r="C19" s="43">
        <f>IFERROR(INDEX(الموظفون_الاسم,MATCH($B19,الموظفون_الرقم,0)),"")</f>
        <v/>
      </c>
      <c r="D19" s="40" t="n"/>
      <c r="E19" s="110" t="n"/>
      <c r="F19" s="110" t="n"/>
      <c r="G19" s="110" t="n"/>
      <c r="H19" s="44">
        <f>IF(OR($F19="",$G19=""),"",MAX(0,$G19-$F19+1))</f>
        <v/>
      </c>
      <c r="I19" s="44">
        <f>IF($B19="","",IFERROR(INDEX(الموظفون_الافتتاحي,MATCH($B19,الموظفون_الرقم,0)),0)+IF($D19&lt;&gt;"سنوية",0,IFERROR(DATEDIF(بداية_احتساب_الرصيد,TODAY(),"M"),0)*معدل_الاستحقاق_الشهري)-SUMIFS($J$3:$J$502,$B$3:$B$502,$B19,$D$3:$D$502,"سنوية",$L$3:$L$502,"معتمد",$A$3:$A$502,"&lt;"&amp;$A19))</f>
        <v/>
      </c>
      <c r="J19" s="44">
        <f>IF($L19="معتمد",$H19,0)</f>
        <v/>
      </c>
      <c r="K19" s="44">
        <f>IF($B19="","",$I19-$J19)</f>
        <v/>
      </c>
      <c r="L19" s="40" t="n"/>
      <c r="M19" s="40" t="n"/>
      <c r="N19" s="110" t="n"/>
      <c r="O19" s="40" t="n"/>
    </row>
    <row r="20">
      <c r="A20" s="46" t="n"/>
      <c r="B20" s="47" t="n"/>
      <c r="C20" s="50">
        <f>IFERROR(INDEX(الموظفون_الاسم,MATCH($B20,الموظفون_الرقم,0)),"")</f>
        <v/>
      </c>
      <c r="D20" s="47" t="n"/>
      <c r="E20" s="112" t="n"/>
      <c r="F20" s="112" t="n"/>
      <c r="G20" s="112" t="n"/>
      <c r="H20" s="51">
        <f>IF(OR($F20="",$G20=""),"",MAX(0,$G20-$F20+1))</f>
        <v/>
      </c>
      <c r="I20" s="51">
        <f>IF($B20="","",IFERROR(INDEX(الموظفون_الافتتاحي,MATCH($B20,الموظفون_الرقم,0)),0)+IF($D20&lt;&gt;"سنوية",0,IFERROR(DATEDIF(بداية_احتساب_الرصيد,TODAY(),"M"),0)*معدل_الاستحقاق_الشهري)-SUMIFS($J$3:$J$502,$B$3:$B$502,$B20,$D$3:$D$502,"سنوية",$L$3:$L$502,"معتمد",$A$3:$A$502,"&lt;"&amp;$A20))</f>
        <v/>
      </c>
      <c r="J20" s="51">
        <f>IF($L20="معتمد",$H20,0)</f>
        <v/>
      </c>
      <c r="K20" s="51">
        <f>IF($B20="","",$I20-$J20)</f>
        <v/>
      </c>
      <c r="L20" s="47" t="n"/>
      <c r="M20" s="47" t="n"/>
      <c r="N20" s="112" t="n"/>
      <c r="O20" s="47" t="n"/>
    </row>
    <row r="21">
      <c r="A21" s="39" t="n"/>
      <c r="B21" s="40" t="n"/>
      <c r="C21" s="43">
        <f>IFERROR(INDEX(الموظفون_الاسم,MATCH($B21,الموظفون_الرقم,0)),"")</f>
        <v/>
      </c>
      <c r="D21" s="40" t="n"/>
      <c r="E21" s="110" t="n"/>
      <c r="F21" s="110" t="n"/>
      <c r="G21" s="110" t="n"/>
      <c r="H21" s="44">
        <f>IF(OR($F21="",$G21=""),"",MAX(0,$G21-$F21+1))</f>
        <v/>
      </c>
      <c r="I21" s="44">
        <f>IF($B21="","",IFERROR(INDEX(الموظفون_الافتتاحي,MATCH($B21,الموظفون_الرقم,0)),0)+IF($D21&lt;&gt;"سنوية",0,IFERROR(DATEDIF(بداية_احتساب_الرصيد,TODAY(),"M"),0)*معدل_الاستحقاق_الشهري)-SUMIFS($J$3:$J$502,$B$3:$B$502,$B21,$D$3:$D$502,"سنوية",$L$3:$L$502,"معتمد",$A$3:$A$502,"&lt;"&amp;$A21))</f>
        <v/>
      </c>
      <c r="J21" s="44">
        <f>IF($L21="معتمد",$H21,0)</f>
        <v/>
      </c>
      <c r="K21" s="44">
        <f>IF($B21="","",$I21-$J21)</f>
        <v/>
      </c>
      <c r="L21" s="40" t="n"/>
      <c r="M21" s="40" t="n"/>
      <c r="N21" s="110" t="n"/>
      <c r="O21" s="40" t="n"/>
    </row>
    <row r="22">
      <c r="A22" s="46" t="n"/>
      <c r="B22" s="47" t="n"/>
      <c r="C22" s="50">
        <f>IFERROR(INDEX(الموظفون_الاسم,MATCH($B22,الموظفون_الرقم,0)),"")</f>
        <v/>
      </c>
      <c r="D22" s="47" t="n"/>
      <c r="E22" s="112" t="n"/>
      <c r="F22" s="112" t="n"/>
      <c r="G22" s="112" t="n"/>
      <c r="H22" s="51">
        <f>IF(OR($F22="",$G22=""),"",MAX(0,$G22-$F22+1))</f>
        <v/>
      </c>
      <c r="I22" s="51">
        <f>IF($B22="","",IFERROR(INDEX(الموظفون_الافتتاحي,MATCH($B22,الموظفون_الرقم,0)),0)+IF($D22&lt;&gt;"سنوية",0,IFERROR(DATEDIF(بداية_احتساب_الرصيد,TODAY(),"M"),0)*معدل_الاستحقاق_الشهري)-SUMIFS($J$3:$J$502,$B$3:$B$502,$B22,$D$3:$D$502,"سنوية",$L$3:$L$502,"معتمد",$A$3:$A$502,"&lt;"&amp;$A22))</f>
        <v/>
      </c>
      <c r="J22" s="51">
        <f>IF($L22="معتمد",$H22,0)</f>
        <v/>
      </c>
      <c r="K22" s="51">
        <f>IF($B22="","",$I22-$J22)</f>
        <v/>
      </c>
      <c r="L22" s="47" t="n"/>
      <c r="M22" s="47" t="n"/>
      <c r="N22" s="112" t="n"/>
      <c r="O22" s="47" t="n"/>
    </row>
    <row r="23">
      <c r="A23" s="39" t="n"/>
      <c r="B23" s="40" t="n"/>
      <c r="C23" s="43">
        <f>IFERROR(INDEX(الموظفون_الاسم,MATCH($B23,الموظفون_الرقم,0)),"")</f>
        <v/>
      </c>
      <c r="D23" s="40" t="n"/>
      <c r="E23" s="110" t="n"/>
      <c r="F23" s="110" t="n"/>
      <c r="G23" s="110" t="n"/>
      <c r="H23" s="44">
        <f>IF(OR($F23="",$G23=""),"",MAX(0,$G23-$F23+1))</f>
        <v/>
      </c>
      <c r="I23" s="44">
        <f>IF($B23="","",IFERROR(INDEX(الموظفون_الافتتاحي,MATCH($B23,الموظفون_الرقم,0)),0)+IF($D23&lt;&gt;"سنوية",0,IFERROR(DATEDIF(بداية_احتساب_الرصيد,TODAY(),"M"),0)*معدل_الاستحقاق_الشهري)-SUMIFS($J$3:$J$502,$B$3:$B$502,$B23,$D$3:$D$502,"سنوية",$L$3:$L$502,"معتمد",$A$3:$A$502,"&lt;"&amp;$A23))</f>
        <v/>
      </c>
      <c r="J23" s="44">
        <f>IF($L23="معتمد",$H23,0)</f>
        <v/>
      </c>
      <c r="K23" s="44">
        <f>IF($B23="","",$I23-$J23)</f>
        <v/>
      </c>
      <c r="L23" s="40" t="n"/>
      <c r="M23" s="40" t="n"/>
      <c r="N23" s="110" t="n"/>
      <c r="O23" s="40" t="n"/>
    </row>
    <row r="24">
      <c r="A24" s="46" t="n"/>
      <c r="B24" s="47" t="n"/>
      <c r="C24" s="50">
        <f>IFERROR(INDEX(الموظفون_الاسم,MATCH($B24,الموظفون_الرقم,0)),"")</f>
        <v/>
      </c>
      <c r="D24" s="47" t="n"/>
      <c r="E24" s="112" t="n"/>
      <c r="F24" s="112" t="n"/>
      <c r="G24" s="112" t="n"/>
      <c r="H24" s="51">
        <f>IF(OR($F24="",$G24=""),"",MAX(0,$G24-$F24+1))</f>
        <v/>
      </c>
      <c r="I24" s="51">
        <f>IF($B24="","",IFERROR(INDEX(الموظفون_الافتتاحي,MATCH($B24,الموظفون_الرقم,0)),0)+IF($D24&lt;&gt;"سنوية",0,IFERROR(DATEDIF(بداية_احتساب_الرصيد,TODAY(),"M"),0)*معدل_الاستحقاق_الشهري)-SUMIFS($J$3:$J$502,$B$3:$B$502,$B24,$D$3:$D$502,"سنوية",$L$3:$L$502,"معتمد",$A$3:$A$502,"&lt;"&amp;$A24))</f>
        <v/>
      </c>
      <c r="J24" s="51">
        <f>IF($L24="معتمد",$H24,0)</f>
        <v/>
      </c>
      <c r="K24" s="51">
        <f>IF($B24="","",$I24-$J24)</f>
        <v/>
      </c>
      <c r="L24" s="47" t="n"/>
      <c r="M24" s="47" t="n"/>
      <c r="N24" s="112" t="n"/>
      <c r="O24" s="47" t="n"/>
    </row>
    <row r="25">
      <c r="A25" s="39" t="n"/>
      <c r="B25" s="40" t="n"/>
      <c r="C25" s="43">
        <f>IFERROR(INDEX(الموظفون_الاسم,MATCH($B25,الموظفون_الرقم,0)),"")</f>
        <v/>
      </c>
      <c r="D25" s="40" t="n"/>
      <c r="E25" s="110" t="n"/>
      <c r="F25" s="110" t="n"/>
      <c r="G25" s="110" t="n"/>
      <c r="H25" s="44">
        <f>IF(OR($F25="",$G25=""),"",MAX(0,$G25-$F25+1))</f>
        <v/>
      </c>
      <c r="I25" s="44">
        <f>IF($B25="","",IFERROR(INDEX(الموظفون_الافتتاحي,MATCH($B25,الموظفون_الرقم,0)),0)+IF($D25&lt;&gt;"سنوية",0,IFERROR(DATEDIF(بداية_احتساب_الرصيد,TODAY(),"M"),0)*معدل_الاستحقاق_الشهري)-SUMIFS($J$3:$J$502,$B$3:$B$502,$B25,$D$3:$D$502,"سنوية",$L$3:$L$502,"معتمد",$A$3:$A$502,"&lt;"&amp;$A25))</f>
        <v/>
      </c>
      <c r="J25" s="44">
        <f>IF($L25="معتمد",$H25,0)</f>
        <v/>
      </c>
      <c r="K25" s="44">
        <f>IF($B25="","",$I25-$J25)</f>
        <v/>
      </c>
      <c r="L25" s="40" t="n"/>
      <c r="M25" s="40" t="n"/>
      <c r="N25" s="110" t="n"/>
      <c r="O25" s="40" t="n"/>
    </row>
    <row r="26">
      <c r="A26" s="46" t="n"/>
      <c r="B26" s="47" t="n"/>
      <c r="C26" s="50">
        <f>IFERROR(INDEX(الموظفون_الاسم,MATCH($B26,الموظفون_الرقم,0)),"")</f>
        <v/>
      </c>
      <c r="D26" s="47" t="n"/>
      <c r="E26" s="112" t="n"/>
      <c r="F26" s="112" t="n"/>
      <c r="G26" s="112" t="n"/>
      <c r="H26" s="51">
        <f>IF(OR($F26="",$G26=""),"",MAX(0,$G26-$F26+1))</f>
        <v/>
      </c>
      <c r="I26" s="51">
        <f>IF($B26="","",IFERROR(INDEX(الموظفون_الافتتاحي,MATCH($B26,الموظفون_الرقم,0)),0)+IF($D26&lt;&gt;"سنوية",0,IFERROR(DATEDIF(بداية_احتساب_الرصيد,TODAY(),"M"),0)*معدل_الاستحقاق_الشهري)-SUMIFS($J$3:$J$502,$B$3:$B$502,$B26,$D$3:$D$502,"سنوية",$L$3:$L$502,"معتمد",$A$3:$A$502,"&lt;"&amp;$A26))</f>
        <v/>
      </c>
      <c r="J26" s="51">
        <f>IF($L26="معتمد",$H26,0)</f>
        <v/>
      </c>
      <c r="K26" s="51">
        <f>IF($B26="","",$I26-$J26)</f>
        <v/>
      </c>
      <c r="L26" s="47" t="n"/>
      <c r="M26" s="47" t="n"/>
      <c r="N26" s="112" t="n"/>
      <c r="O26" s="47" t="n"/>
    </row>
    <row r="27">
      <c r="A27" s="39" t="n"/>
      <c r="B27" s="40" t="n"/>
      <c r="C27" s="43">
        <f>IFERROR(INDEX(الموظفون_الاسم,MATCH($B27,الموظفون_الرقم,0)),"")</f>
        <v/>
      </c>
      <c r="D27" s="40" t="n"/>
      <c r="E27" s="110" t="n"/>
      <c r="F27" s="110" t="n"/>
      <c r="G27" s="110" t="n"/>
      <c r="H27" s="44">
        <f>IF(OR($F27="",$G27=""),"",MAX(0,$G27-$F27+1))</f>
        <v/>
      </c>
      <c r="I27" s="44">
        <f>IF($B27="","",IFERROR(INDEX(الموظفون_الافتتاحي,MATCH($B27,الموظفون_الرقم,0)),0)+IF($D27&lt;&gt;"سنوية",0,IFERROR(DATEDIF(بداية_احتساب_الرصيد,TODAY(),"M"),0)*معدل_الاستحقاق_الشهري)-SUMIFS($J$3:$J$502,$B$3:$B$502,$B27,$D$3:$D$502,"سنوية",$L$3:$L$502,"معتمد",$A$3:$A$502,"&lt;"&amp;$A27))</f>
        <v/>
      </c>
      <c r="J27" s="44">
        <f>IF($L27="معتمد",$H27,0)</f>
        <v/>
      </c>
      <c r="K27" s="44">
        <f>IF($B27="","",$I27-$J27)</f>
        <v/>
      </c>
      <c r="L27" s="40" t="n"/>
      <c r="M27" s="40" t="n"/>
      <c r="N27" s="110" t="n"/>
      <c r="O27" s="40" t="n"/>
    </row>
    <row r="28">
      <c r="A28" s="46" t="n"/>
      <c r="B28" s="47" t="n"/>
      <c r="C28" s="50">
        <f>IFERROR(INDEX(الموظفون_الاسم,MATCH($B28,الموظفون_الرقم,0)),"")</f>
        <v/>
      </c>
      <c r="D28" s="47" t="n"/>
      <c r="E28" s="112" t="n"/>
      <c r="F28" s="112" t="n"/>
      <c r="G28" s="112" t="n"/>
      <c r="H28" s="51">
        <f>IF(OR($F28="",$G28=""),"",MAX(0,$G28-$F28+1))</f>
        <v/>
      </c>
      <c r="I28" s="51">
        <f>IF($B28="","",IFERROR(INDEX(الموظفون_الافتتاحي,MATCH($B28,الموظفون_الرقم,0)),0)+IF($D28&lt;&gt;"سنوية",0,IFERROR(DATEDIF(بداية_احتساب_الرصيد,TODAY(),"M"),0)*معدل_الاستحقاق_الشهري)-SUMIFS($J$3:$J$502,$B$3:$B$502,$B28,$D$3:$D$502,"سنوية",$L$3:$L$502,"معتمد",$A$3:$A$502,"&lt;"&amp;$A28))</f>
        <v/>
      </c>
      <c r="J28" s="51">
        <f>IF($L28="معتمد",$H28,0)</f>
        <v/>
      </c>
      <c r="K28" s="51">
        <f>IF($B28="","",$I28-$J28)</f>
        <v/>
      </c>
      <c r="L28" s="47" t="n"/>
      <c r="M28" s="47" t="n"/>
      <c r="N28" s="112" t="n"/>
      <c r="O28" s="47" t="n"/>
    </row>
    <row r="29">
      <c r="A29" s="39" t="n"/>
      <c r="B29" s="40" t="n"/>
      <c r="C29" s="43">
        <f>IFERROR(INDEX(الموظفون_الاسم,MATCH($B29,الموظفون_الرقم,0)),"")</f>
        <v/>
      </c>
      <c r="D29" s="40" t="n"/>
      <c r="E29" s="110" t="n"/>
      <c r="F29" s="110" t="n"/>
      <c r="G29" s="110" t="n"/>
      <c r="H29" s="44">
        <f>IF(OR($F29="",$G29=""),"",MAX(0,$G29-$F29+1))</f>
        <v/>
      </c>
      <c r="I29" s="44">
        <f>IF($B29="","",IFERROR(INDEX(الموظفون_الافتتاحي,MATCH($B29,الموظفون_الرقم,0)),0)+IF($D29&lt;&gt;"سنوية",0,IFERROR(DATEDIF(بداية_احتساب_الرصيد,TODAY(),"M"),0)*معدل_الاستحقاق_الشهري)-SUMIFS($J$3:$J$502,$B$3:$B$502,$B29,$D$3:$D$502,"سنوية",$L$3:$L$502,"معتمد",$A$3:$A$502,"&lt;"&amp;$A29))</f>
        <v/>
      </c>
      <c r="J29" s="44">
        <f>IF($L29="معتمد",$H29,0)</f>
        <v/>
      </c>
      <c r="K29" s="44">
        <f>IF($B29="","",$I29-$J29)</f>
        <v/>
      </c>
      <c r="L29" s="40" t="n"/>
      <c r="M29" s="40" t="n"/>
      <c r="N29" s="110" t="n"/>
      <c r="O29" s="40" t="n"/>
    </row>
    <row r="30">
      <c r="A30" s="46" t="n"/>
      <c r="B30" s="47" t="n"/>
      <c r="C30" s="50">
        <f>IFERROR(INDEX(الموظفون_الاسم,MATCH($B30,الموظفون_الرقم,0)),"")</f>
        <v/>
      </c>
      <c r="D30" s="47" t="n"/>
      <c r="E30" s="112" t="n"/>
      <c r="F30" s="112" t="n"/>
      <c r="G30" s="112" t="n"/>
      <c r="H30" s="51">
        <f>IF(OR($F30="",$G30=""),"",MAX(0,$G30-$F30+1))</f>
        <v/>
      </c>
      <c r="I30" s="51">
        <f>IF($B30="","",IFERROR(INDEX(الموظفون_الافتتاحي,MATCH($B30,الموظفون_الرقم,0)),0)+IF($D30&lt;&gt;"سنوية",0,IFERROR(DATEDIF(بداية_احتساب_الرصيد,TODAY(),"M"),0)*معدل_الاستحقاق_الشهري)-SUMIFS($J$3:$J$502,$B$3:$B$502,$B30,$D$3:$D$502,"سنوية",$L$3:$L$502,"معتمد",$A$3:$A$502,"&lt;"&amp;$A30))</f>
        <v/>
      </c>
      <c r="J30" s="51">
        <f>IF($L30="معتمد",$H30,0)</f>
        <v/>
      </c>
      <c r="K30" s="51">
        <f>IF($B30="","",$I30-$J30)</f>
        <v/>
      </c>
      <c r="L30" s="47" t="n"/>
      <c r="M30" s="47" t="n"/>
      <c r="N30" s="112" t="n"/>
      <c r="O30" s="47" t="n"/>
    </row>
    <row r="31">
      <c r="A31" s="39" t="n"/>
      <c r="B31" s="40" t="n"/>
      <c r="C31" s="43">
        <f>IFERROR(INDEX(الموظفون_الاسم,MATCH($B31,الموظفون_الرقم,0)),"")</f>
        <v/>
      </c>
      <c r="D31" s="40" t="n"/>
      <c r="E31" s="110" t="n"/>
      <c r="F31" s="110" t="n"/>
      <c r="G31" s="110" t="n"/>
      <c r="H31" s="44">
        <f>IF(OR($F31="",$G31=""),"",MAX(0,$G31-$F31+1))</f>
        <v/>
      </c>
      <c r="I31" s="44">
        <f>IF($B31="","",IFERROR(INDEX(الموظفون_الافتتاحي,MATCH($B31,الموظفون_الرقم,0)),0)+IF($D31&lt;&gt;"سنوية",0,IFERROR(DATEDIF(بداية_احتساب_الرصيد,TODAY(),"M"),0)*معدل_الاستحقاق_الشهري)-SUMIFS($J$3:$J$502,$B$3:$B$502,$B31,$D$3:$D$502,"سنوية",$L$3:$L$502,"معتمد",$A$3:$A$502,"&lt;"&amp;$A31))</f>
        <v/>
      </c>
      <c r="J31" s="44">
        <f>IF($L31="معتمد",$H31,0)</f>
        <v/>
      </c>
      <c r="K31" s="44">
        <f>IF($B31="","",$I31-$J31)</f>
        <v/>
      </c>
      <c r="L31" s="40" t="n"/>
      <c r="M31" s="40" t="n"/>
      <c r="N31" s="110" t="n"/>
      <c r="O31" s="40" t="n"/>
    </row>
    <row r="32">
      <c r="A32" s="46" t="n"/>
      <c r="B32" s="47" t="n"/>
      <c r="C32" s="50">
        <f>IFERROR(INDEX(الموظفون_الاسم,MATCH($B32,الموظفون_الرقم,0)),"")</f>
        <v/>
      </c>
      <c r="D32" s="47" t="n"/>
      <c r="E32" s="112" t="n"/>
      <c r="F32" s="112" t="n"/>
      <c r="G32" s="112" t="n"/>
      <c r="H32" s="51">
        <f>IF(OR($F32="",$G32=""),"",MAX(0,$G32-$F32+1))</f>
        <v/>
      </c>
      <c r="I32" s="51">
        <f>IF($B32="","",IFERROR(INDEX(الموظفون_الافتتاحي,MATCH($B32,الموظفون_الرقم,0)),0)+IF($D32&lt;&gt;"سنوية",0,IFERROR(DATEDIF(بداية_احتساب_الرصيد,TODAY(),"M"),0)*معدل_الاستحقاق_الشهري)-SUMIFS($J$3:$J$502,$B$3:$B$502,$B32,$D$3:$D$502,"سنوية",$L$3:$L$502,"معتمد",$A$3:$A$502,"&lt;"&amp;$A32))</f>
        <v/>
      </c>
      <c r="J32" s="51">
        <f>IF($L32="معتمد",$H32,0)</f>
        <v/>
      </c>
      <c r="K32" s="51">
        <f>IF($B32="","",$I32-$J32)</f>
        <v/>
      </c>
      <c r="L32" s="47" t="n"/>
      <c r="M32" s="47" t="n"/>
      <c r="N32" s="112" t="n"/>
      <c r="O32" s="47" t="n"/>
    </row>
    <row r="33">
      <c r="A33" s="39" t="n"/>
      <c r="B33" s="40" t="n"/>
      <c r="C33" s="43">
        <f>IFERROR(INDEX(الموظفون_الاسم,MATCH($B33,الموظفون_الرقم,0)),"")</f>
        <v/>
      </c>
      <c r="D33" s="40" t="n"/>
      <c r="E33" s="110" t="n"/>
      <c r="F33" s="110" t="n"/>
      <c r="G33" s="110" t="n"/>
      <c r="H33" s="44">
        <f>IF(OR($F33="",$G33=""),"",MAX(0,$G33-$F33+1))</f>
        <v/>
      </c>
      <c r="I33" s="44">
        <f>IF($B33="","",IFERROR(INDEX(الموظفون_الافتتاحي,MATCH($B33,الموظفون_الرقم,0)),0)+IF($D33&lt;&gt;"سنوية",0,IFERROR(DATEDIF(بداية_احتساب_الرصيد,TODAY(),"M"),0)*معدل_الاستحقاق_الشهري)-SUMIFS($J$3:$J$502,$B$3:$B$502,$B33,$D$3:$D$502,"سنوية",$L$3:$L$502,"معتمد",$A$3:$A$502,"&lt;"&amp;$A33))</f>
        <v/>
      </c>
      <c r="J33" s="44">
        <f>IF($L33="معتمد",$H33,0)</f>
        <v/>
      </c>
      <c r="K33" s="44">
        <f>IF($B33="","",$I33-$J33)</f>
        <v/>
      </c>
      <c r="L33" s="40" t="n"/>
      <c r="M33" s="40" t="n"/>
      <c r="N33" s="110" t="n"/>
      <c r="O33" s="40" t="n"/>
    </row>
    <row r="34">
      <c r="A34" s="46" t="n"/>
      <c r="B34" s="47" t="n"/>
      <c r="C34" s="50">
        <f>IFERROR(INDEX(الموظفون_الاسم,MATCH($B34,الموظفون_الرقم,0)),"")</f>
        <v/>
      </c>
      <c r="D34" s="47" t="n"/>
      <c r="E34" s="112" t="n"/>
      <c r="F34" s="112" t="n"/>
      <c r="G34" s="112" t="n"/>
      <c r="H34" s="51">
        <f>IF(OR($F34="",$G34=""),"",MAX(0,$G34-$F34+1))</f>
        <v/>
      </c>
      <c r="I34" s="51">
        <f>IF($B34="","",IFERROR(INDEX(الموظفون_الافتتاحي,MATCH($B34,الموظفون_الرقم,0)),0)+IF($D34&lt;&gt;"سنوية",0,IFERROR(DATEDIF(بداية_احتساب_الرصيد,TODAY(),"M"),0)*معدل_الاستحقاق_الشهري)-SUMIFS($J$3:$J$502,$B$3:$B$502,$B34,$D$3:$D$502,"سنوية",$L$3:$L$502,"معتمد",$A$3:$A$502,"&lt;"&amp;$A34))</f>
        <v/>
      </c>
      <c r="J34" s="51">
        <f>IF($L34="معتمد",$H34,0)</f>
        <v/>
      </c>
      <c r="K34" s="51">
        <f>IF($B34="","",$I34-$J34)</f>
        <v/>
      </c>
      <c r="L34" s="47" t="n"/>
      <c r="M34" s="47" t="n"/>
      <c r="N34" s="112" t="n"/>
      <c r="O34" s="47" t="n"/>
    </row>
    <row r="35">
      <c r="A35" s="39" t="n"/>
      <c r="B35" s="40" t="n"/>
      <c r="C35" s="43">
        <f>IFERROR(INDEX(الموظفون_الاسم,MATCH($B35,الموظفون_الرقم,0)),"")</f>
        <v/>
      </c>
      <c r="D35" s="40" t="n"/>
      <c r="E35" s="110" t="n"/>
      <c r="F35" s="110" t="n"/>
      <c r="G35" s="110" t="n"/>
      <c r="H35" s="44">
        <f>IF(OR($F35="",$G35=""),"",MAX(0,$G35-$F35+1))</f>
        <v/>
      </c>
      <c r="I35" s="44">
        <f>IF($B35="","",IFERROR(INDEX(الموظفون_الافتتاحي,MATCH($B35,الموظفون_الرقم,0)),0)+IF($D35&lt;&gt;"سنوية",0,IFERROR(DATEDIF(بداية_احتساب_الرصيد,TODAY(),"M"),0)*معدل_الاستحقاق_الشهري)-SUMIFS($J$3:$J$502,$B$3:$B$502,$B35,$D$3:$D$502,"سنوية",$L$3:$L$502,"معتمد",$A$3:$A$502,"&lt;"&amp;$A35))</f>
        <v/>
      </c>
      <c r="J35" s="44">
        <f>IF($L35="معتمد",$H35,0)</f>
        <v/>
      </c>
      <c r="K35" s="44">
        <f>IF($B35="","",$I35-$J35)</f>
        <v/>
      </c>
      <c r="L35" s="40" t="n"/>
      <c r="M35" s="40" t="n"/>
      <c r="N35" s="110" t="n"/>
      <c r="O35" s="40" t="n"/>
    </row>
    <row r="36">
      <c r="A36" s="46" t="n"/>
      <c r="B36" s="47" t="n"/>
      <c r="C36" s="50">
        <f>IFERROR(INDEX(الموظفون_الاسم,MATCH($B36,الموظفون_الرقم,0)),"")</f>
        <v/>
      </c>
      <c r="D36" s="47" t="n"/>
      <c r="E36" s="112" t="n"/>
      <c r="F36" s="112" t="n"/>
      <c r="G36" s="112" t="n"/>
      <c r="H36" s="51">
        <f>IF(OR($F36="",$G36=""),"",MAX(0,$G36-$F36+1))</f>
        <v/>
      </c>
      <c r="I36" s="51">
        <f>IF($B36="","",IFERROR(INDEX(الموظفون_الافتتاحي,MATCH($B36,الموظفون_الرقم,0)),0)+IF($D36&lt;&gt;"سنوية",0,IFERROR(DATEDIF(بداية_احتساب_الرصيد,TODAY(),"M"),0)*معدل_الاستحقاق_الشهري)-SUMIFS($J$3:$J$502,$B$3:$B$502,$B36,$D$3:$D$502,"سنوية",$L$3:$L$502,"معتمد",$A$3:$A$502,"&lt;"&amp;$A36))</f>
        <v/>
      </c>
      <c r="J36" s="51">
        <f>IF($L36="معتمد",$H36,0)</f>
        <v/>
      </c>
      <c r="K36" s="51">
        <f>IF($B36="","",$I36-$J36)</f>
        <v/>
      </c>
      <c r="L36" s="47" t="n"/>
      <c r="M36" s="47" t="n"/>
      <c r="N36" s="112" t="n"/>
      <c r="O36" s="47" t="n"/>
    </row>
    <row r="37">
      <c r="A37" s="39" t="n"/>
      <c r="B37" s="40" t="n"/>
      <c r="C37" s="43">
        <f>IFERROR(INDEX(الموظفون_الاسم,MATCH($B37,الموظفون_الرقم,0)),"")</f>
        <v/>
      </c>
      <c r="D37" s="40" t="n"/>
      <c r="E37" s="110" t="n"/>
      <c r="F37" s="110" t="n"/>
      <c r="G37" s="110" t="n"/>
      <c r="H37" s="44">
        <f>IF(OR($F37="",$G37=""),"",MAX(0,$G37-$F37+1))</f>
        <v/>
      </c>
      <c r="I37" s="44">
        <f>IF($B37="","",IFERROR(INDEX(الموظفون_الافتتاحي,MATCH($B37,الموظفون_الرقم,0)),0)+IF($D37&lt;&gt;"سنوية",0,IFERROR(DATEDIF(بداية_احتساب_الرصيد,TODAY(),"M"),0)*معدل_الاستحقاق_الشهري)-SUMIFS($J$3:$J$502,$B$3:$B$502,$B37,$D$3:$D$502,"سنوية",$L$3:$L$502,"معتمد",$A$3:$A$502,"&lt;"&amp;$A37))</f>
        <v/>
      </c>
      <c r="J37" s="44">
        <f>IF($L37="معتمد",$H37,0)</f>
        <v/>
      </c>
      <c r="K37" s="44">
        <f>IF($B37="","",$I37-$J37)</f>
        <v/>
      </c>
      <c r="L37" s="40" t="n"/>
      <c r="M37" s="40" t="n"/>
      <c r="N37" s="110" t="n"/>
      <c r="O37" s="40" t="n"/>
    </row>
    <row r="38">
      <c r="A38" s="46" t="n"/>
      <c r="B38" s="47" t="n"/>
      <c r="C38" s="50">
        <f>IFERROR(INDEX(الموظفون_الاسم,MATCH($B38,الموظفون_الرقم,0)),"")</f>
        <v/>
      </c>
      <c r="D38" s="47" t="n"/>
      <c r="E38" s="112" t="n"/>
      <c r="F38" s="112" t="n"/>
      <c r="G38" s="112" t="n"/>
      <c r="H38" s="51">
        <f>IF(OR($F38="",$G38=""),"",MAX(0,$G38-$F38+1))</f>
        <v/>
      </c>
      <c r="I38" s="51">
        <f>IF($B38="","",IFERROR(INDEX(الموظفون_الافتتاحي,MATCH($B38,الموظفون_الرقم,0)),0)+IF($D38&lt;&gt;"سنوية",0,IFERROR(DATEDIF(بداية_احتساب_الرصيد,TODAY(),"M"),0)*معدل_الاستحقاق_الشهري)-SUMIFS($J$3:$J$502,$B$3:$B$502,$B38,$D$3:$D$502,"سنوية",$L$3:$L$502,"معتمد",$A$3:$A$502,"&lt;"&amp;$A38))</f>
        <v/>
      </c>
      <c r="J38" s="51">
        <f>IF($L38="معتمد",$H38,0)</f>
        <v/>
      </c>
      <c r="K38" s="51">
        <f>IF($B38="","",$I38-$J38)</f>
        <v/>
      </c>
      <c r="L38" s="47" t="n"/>
      <c r="M38" s="47" t="n"/>
      <c r="N38" s="112" t="n"/>
      <c r="O38" s="47" t="n"/>
    </row>
    <row r="39">
      <c r="A39" s="39" t="n"/>
      <c r="B39" s="40" t="n"/>
      <c r="C39" s="43">
        <f>IFERROR(INDEX(الموظفون_الاسم,MATCH($B39,الموظفون_الرقم,0)),"")</f>
        <v/>
      </c>
      <c r="D39" s="40" t="n"/>
      <c r="E39" s="110" t="n"/>
      <c r="F39" s="110" t="n"/>
      <c r="G39" s="110" t="n"/>
      <c r="H39" s="44">
        <f>IF(OR($F39="",$G39=""),"",MAX(0,$G39-$F39+1))</f>
        <v/>
      </c>
      <c r="I39" s="44">
        <f>IF($B39="","",IFERROR(INDEX(الموظفون_الافتتاحي,MATCH($B39,الموظفون_الرقم,0)),0)+IF($D39&lt;&gt;"سنوية",0,IFERROR(DATEDIF(بداية_احتساب_الرصيد,TODAY(),"M"),0)*معدل_الاستحقاق_الشهري)-SUMIFS($J$3:$J$502,$B$3:$B$502,$B39,$D$3:$D$502,"سنوية",$L$3:$L$502,"معتمد",$A$3:$A$502,"&lt;"&amp;$A39))</f>
        <v/>
      </c>
      <c r="J39" s="44">
        <f>IF($L39="معتمد",$H39,0)</f>
        <v/>
      </c>
      <c r="K39" s="44">
        <f>IF($B39="","",$I39-$J39)</f>
        <v/>
      </c>
      <c r="L39" s="40" t="n"/>
      <c r="M39" s="40" t="n"/>
      <c r="N39" s="110" t="n"/>
      <c r="O39" s="40" t="n"/>
    </row>
    <row r="40">
      <c r="A40" s="46" t="n"/>
      <c r="B40" s="47" t="n"/>
      <c r="C40" s="50">
        <f>IFERROR(INDEX(الموظفون_الاسم,MATCH($B40,الموظفون_الرقم,0)),"")</f>
        <v/>
      </c>
      <c r="D40" s="47" t="n"/>
      <c r="E40" s="112" t="n"/>
      <c r="F40" s="112" t="n"/>
      <c r="G40" s="112" t="n"/>
      <c r="H40" s="51">
        <f>IF(OR($F40="",$G40=""),"",MAX(0,$G40-$F40+1))</f>
        <v/>
      </c>
      <c r="I40" s="51">
        <f>IF($B40="","",IFERROR(INDEX(الموظفون_الافتتاحي,MATCH($B40,الموظفون_الرقم,0)),0)+IF($D40&lt;&gt;"سنوية",0,IFERROR(DATEDIF(بداية_احتساب_الرصيد,TODAY(),"M"),0)*معدل_الاستحقاق_الشهري)-SUMIFS($J$3:$J$502,$B$3:$B$502,$B40,$D$3:$D$502,"سنوية",$L$3:$L$502,"معتمد",$A$3:$A$502,"&lt;"&amp;$A40))</f>
        <v/>
      </c>
      <c r="J40" s="51">
        <f>IF($L40="معتمد",$H40,0)</f>
        <v/>
      </c>
      <c r="K40" s="51">
        <f>IF($B40="","",$I40-$J40)</f>
        <v/>
      </c>
      <c r="L40" s="47" t="n"/>
      <c r="M40" s="47" t="n"/>
      <c r="N40" s="112" t="n"/>
      <c r="O40" s="47" t="n"/>
    </row>
    <row r="41">
      <c r="A41" s="39" t="n"/>
      <c r="B41" s="40" t="n"/>
      <c r="C41" s="43">
        <f>IFERROR(INDEX(الموظفون_الاسم,MATCH($B41,الموظفون_الرقم,0)),"")</f>
        <v/>
      </c>
      <c r="D41" s="40" t="n"/>
      <c r="E41" s="110" t="n"/>
      <c r="F41" s="110" t="n"/>
      <c r="G41" s="110" t="n"/>
      <c r="H41" s="44">
        <f>IF(OR($F41="",$G41=""),"",MAX(0,$G41-$F41+1))</f>
        <v/>
      </c>
      <c r="I41" s="44">
        <f>IF($B41="","",IFERROR(INDEX(الموظفون_الافتتاحي,MATCH($B41,الموظفون_الرقم,0)),0)+IF($D41&lt;&gt;"سنوية",0,IFERROR(DATEDIF(بداية_احتساب_الرصيد,TODAY(),"M"),0)*معدل_الاستحقاق_الشهري)-SUMIFS($J$3:$J$502,$B$3:$B$502,$B41,$D$3:$D$502,"سنوية",$L$3:$L$502,"معتمد",$A$3:$A$502,"&lt;"&amp;$A41))</f>
        <v/>
      </c>
      <c r="J41" s="44">
        <f>IF($L41="معتمد",$H41,0)</f>
        <v/>
      </c>
      <c r="K41" s="44">
        <f>IF($B41="","",$I41-$J41)</f>
        <v/>
      </c>
      <c r="L41" s="40" t="n"/>
      <c r="M41" s="40" t="n"/>
      <c r="N41" s="110" t="n"/>
      <c r="O41" s="40" t="n"/>
    </row>
    <row r="42">
      <c r="A42" s="46" t="n"/>
      <c r="B42" s="47" t="n"/>
      <c r="C42" s="50">
        <f>IFERROR(INDEX(الموظفون_الاسم,MATCH($B42,الموظفون_الرقم,0)),"")</f>
        <v/>
      </c>
      <c r="D42" s="47" t="n"/>
      <c r="E42" s="112" t="n"/>
      <c r="F42" s="112" t="n"/>
      <c r="G42" s="112" t="n"/>
      <c r="H42" s="51">
        <f>IF(OR($F42="",$G42=""),"",MAX(0,$G42-$F42+1))</f>
        <v/>
      </c>
      <c r="I42" s="51">
        <f>IF($B42="","",IFERROR(INDEX(الموظفون_الافتتاحي,MATCH($B42,الموظفون_الرقم,0)),0)+IF($D42&lt;&gt;"سنوية",0,IFERROR(DATEDIF(بداية_احتساب_الرصيد,TODAY(),"M"),0)*معدل_الاستحقاق_الشهري)-SUMIFS($J$3:$J$502,$B$3:$B$502,$B42,$D$3:$D$502,"سنوية",$L$3:$L$502,"معتمد",$A$3:$A$502,"&lt;"&amp;$A42))</f>
        <v/>
      </c>
      <c r="J42" s="51">
        <f>IF($L42="معتمد",$H42,0)</f>
        <v/>
      </c>
      <c r="K42" s="51">
        <f>IF($B42="","",$I42-$J42)</f>
        <v/>
      </c>
      <c r="L42" s="47" t="n"/>
      <c r="M42" s="47" t="n"/>
      <c r="N42" s="112" t="n"/>
      <c r="O42" s="47" t="n"/>
    </row>
    <row r="43">
      <c r="A43" s="39" t="n"/>
      <c r="B43" s="40" t="n"/>
      <c r="C43" s="43">
        <f>IFERROR(INDEX(الموظفون_الاسم,MATCH($B43,الموظفون_الرقم,0)),"")</f>
        <v/>
      </c>
      <c r="D43" s="40" t="n"/>
      <c r="E43" s="110" t="n"/>
      <c r="F43" s="110" t="n"/>
      <c r="G43" s="110" t="n"/>
      <c r="H43" s="44">
        <f>IF(OR($F43="",$G43=""),"",MAX(0,$G43-$F43+1))</f>
        <v/>
      </c>
      <c r="I43" s="44">
        <f>IF($B43="","",IFERROR(INDEX(الموظفون_الافتتاحي,MATCH($B43,الموظفون_الرقم,0)),0)+IF($D43&lt;&gt;"سنوية",0,IFERROR(DATEDIF(بداية_احتساب_الرصيد,TODAY(),"M"),0)*معدل_الاستحقاق_الشهري)-SUMIFS($J$3:$J$502,$B$3:$B$502,$B43,$D$3:$D$502,"سنوية",$L$3:$L$502,"معتمد",$A$3:$A$502,"&lt;"&amp;$A43))</f>
        <v/>
      </c>
      <c r="J43" s="44">
        <f>IF($L43="معتمد",$H43,0)</f>
        <v/>
      </c>
      <c r="K43" s="44">
        <f>IF($B43="","",$I43-$J43)</f>
        <v/>
      </c>
      <c r="L43" s="40" t="n"/>
      <c r="M43" s="40" t="n"/>
      <c r="N43" s="110" t="n"/>
      <c r="O43" s="40" t="n"/>
    </row>
    <row r="44">
      <c r="A44" s="46" t="n"/>
      <c r="B44" s="47" t="n"/>
      <c r="C44" s="50">
        <f>IFERROR(INDEX(الموظفون_الاسم,MATCH($B44,الموظفون_الرقم,0)),"")</f>
        <v/>
      </c>
      <c r="D44" s="47" t="n"/>
      <c r="E44" s="112" t="n"/>
      <c r="F44" s="112" t="n"/>
      <c r="G44" s="112" t="n"/>
      <c r="H44" s="51">
        <f>IF(OR($F44="",$G44=""),"",MAX(0,$G44-$F44+1))</f>
        <v/>
      </c>
      <c r="I44" s="51">
        <f>IF($B44="","",IFERROR(INDEX(الموظفون_الافتتاحي,MATCH($B44,الموظفون_الرقم,0)),0)+IF($D44&lt;&gt;"سنوية",0,IFERROR(DATEDIF(بداية_احتساب_الرصيد,TODAY(),"M"),0)*معدل_الاستحقاق_الشهري)-SUMIFS($J$3:$J$502,$B$3:$B$502,$B44,$D$3:$D$502,"سنوية",$L$3:$L$502,"معتمد",$A$3:$A$502,"&lt;"&amp;$A44))</f>
        <v/>
      </c>
      <c r="J44" s="51">
        <f>IF($L44="معتمد",$H44,0)</f>
        <v/>
      </c>
      <c r="K44" s="51">
        <f>IF($B44="","",$I44-$J44)</f>
        <v/>
      </c>
      <c r="L44" s="47" t="n"/>
      <c r="M44" s="47" t="n"/>
      <c r="N44" s="112" t="n"/>
      <c r="O44" s="47" t="n"/>
    </row>
    <row r="45">
      <c r="A45" s="39" t="n"/>
      <c r="B45" s="40" t="n"/>
      <c r="C45" s="43">
        <f>IFERROR(INDEX(الموظفون_الاسم,MATCH($B45,الموظفون_الرقم,0)),"")</f>
        <v/>
      </c>
      <c r="D45" s="40" t="n"/>
      <c r="E45" s="110" t="n"/>
      <c r="F45" s="110" t="n"/>
      <c r="G45" s="110" t="n"/>
      <c r="H45" s="44">
        <f>IF(OR($F45="",$G45=""),"",MAX(0,$G45-$F45+1))</f>
        <v/>
      </c>
      <c r="I45" s="44">
        <f>IF($B45="","",IFERROR(INDEX(الموظفون_الافتتاحي,MATCH($B45,الموظفون_الرقم,0)),0)+IF($D45&lt;&gt;"سنوية",0,IFERROR(DATEDIF(بداية_احتساب_الرصيد,TODAY(),"M"),0)*معدل_الاستحقاق_الشهري)-SUMIFS($J$3:$J$502,$B$3:$B$502,$B45,$D$3:$D$502,"سنوية",$L$3:$L$502,"معتمد",$A$3:$A$502,"&lt;"&amp;$A45))</f>
        <v/>
      </c>
      <c r="J45" s="44">
        <f>IF($L45="معتمد",$H45,0)</f>
        <v/>
      </c>
      <c r="K45" s="44">
        <f>IF($B45="","",$I45-$J45)</f>
        <v/>
      </c>
      <c r="L45" s="40" t="n"/>
      <c r="M45" s="40" t="n"/>
      <c r="N45" s="110" t="n"/>
      <c r="O45" s="40" t="n"/>
    </row>
    <row r="46">
      <c r="A46" s="46" t="n"/>
      <c r="B46" s="47" t="n"/>
      <c r="C46" s="50">
        <f>IFERROR(INDEX(الموظفون_الاسم,MATCH($B46,الموظفون_الرقم,0)),"")</f>
        <v/>
      </c>
      <c r="D46" s="47" t="n"/>
      <c r="E46" s="112" t="n"/>
      <c r="F46" s="112" t="n"/>
      <c r="G46" s="112" t="n"/>
      <c r="H46" s="51">
        <f>IF(OR($F46="",$G46=""),"",MAX(0,$G46-$F46+1))</f>
        <v/>
      </c>
      <c r="I46" s="51">
        <f>IF($B46="","",IFERROR(INDEX(الموظفون_الافتتاحي,MATCH($B46,الموظفون_الرقم,0)),0)+IF($D46&lt;&gt;"سنوية",0,IFERROR(DATEDIF(بداية_احتساب_الرصيد,TODAY(),"M"),0)*معدل_الاستحقاق_الشهري)-SUMIFS($J$3:$J$502,$B$3:$B$502,$B46,$D$3:$D$502,"سنوية",$L$3:$L$502,"معتمد",$A$3:$A$502,"&lt;"&amp;$A46))</f>
        <v/>
      </c>
      <c r="J46" s="51">
        <f>IF($L46="معتمد",$H46,0)</f>
        <v/>
      </c>
      <c r="K46" s="51">
        <f>IF($B46="","",$I46-$J46)</f>
        <v/>
      </c>
      <c r="L46" s="47" t="n"/>
      <c r="M46" s="47" t="n"/>
      <c r="N46" s="112" t="n"/>
      <c r="O46" s="47" t="n"/>
    </row>
    <row r="47">
      <c r="A47" s="39" t="n"/>
      <c r="B47" s="40" t="n"/>
      <c r="C47" s="43">
        <f>IFERROR(INDEX(الموظفون_الاسم,MATCH($B47,الموظفون_الرقم,0)),"")</f>
        <v/>
      </c>
      <c r="D47" s="40" t="n"/>
      <c r="E47" s="110" t="n"/>
      <c r="F47" s="110" t="n"/>
      <c r="G47" s="110" t="n"/>
      <c r="H47" s="44">
        <f>IF(OR($F47="",$G47=""),"",MAX(0,$G47-$F47+1))</f>
        <v/>
      </c>
      <c r="I47" s="44">
        <f>IF($B47="","",IFERROR(INDEX(الموظفون_الافتتاحي,MATCH($B47,الموظفون_الرقم,0)),0)+IF($D47&lt;&gt;"سنوية",0,IFERROR(DATEDIF(بداية_احتساب_الرصيد,TODAY(),"M"),0)*معدل_الاستحقاق_الشهري)-SUMIFS($J$3:$J$502,$B$3:$B$502,$B47,$D$3:$D$502,"سنوية",$L$3:$L$502,"معتمد",$A$3:$A$502,"&lt;"&amp;$A47))</f>
        <v/>
      </c>
      <c r="J47" s="44">
        <f>IF($L47="معتمد",$H47,0)</f>
        <v/>
      </c>
      <c r="K47" s="44">
        <f>IF($B47="","",$I47-$J47)</f>
        <v/>
      </c>
      <c r="L47" s="40" t="n"/>
      <c r="M47" s="40" t="n"/>
      <c r="N47" s="110" t="n"/>
      <c r="O47" s="40" t="n"/>
    </row>
    <row r="48">
      <c r="A48" s="46" t="n"/>
      <c r="B48" s="47" t="n"/>
      <c r="C48" s="50">
        <f>IFERROR(INDEX(الموظفون_الاسم,MATCH($B48,الموظفون_الرقم,0)),"")</f>
        <v/>
      </c>
      <c r="D48" s="47" t="n"/>
      <c r="E48" s="112" t="n"/>
      <c r="F48" s="112" t="n"/>
      <c r="G48" s="112" t="n"/>
      <c r="H48" s="51">
        <f>IF(OR($F48="",$G48=""),"",MAX(0,$G48-$F48+1))</f>
        <v/>
      </c>
      <c r="I48" s="51">
        <f>IF($B48="","",IFERROR(INDEX(الموظفون_الافتتاحي,MATCH($B48,الموظفون_الرقم,0)),0)+IF($D48&lt;&gt;"سنوية",0,IFERROR(DATEDIF(بداية_احتساب_الرصيد,TODAY(),"M"),0)*معدل_الاستحقاق_الشهري)-SUMIFS($J$3:$J$502,$B$3:$B$502,$B48,$D$3:$D$502,"سنوية",$L$3:$L$502,"معتمد",$A$3:$A$502,"&lt;"&amp;$A48))</f>
        <v/>
      </c>
      <c r="J48" s="51">
        <f>IF($L48="معتمد",$H48,0)</f>
        <v/>
      </c>
      <c r="K48" s="51">
        <f>IF($B48="","",$I48-$J48)</f>
        <v/>
      </c>
      <c r="L48" s="47" t="n"/>
      <c r="M48" s="47" t="n"/>
      <c r="N48" s="112" t="n"/>
      <c r="O48" s="47" t="n"/>
    </row>
    <row r="49">
      <c r="A49" s="39" t="n"/>
      <c r="B49" s="40" t="n"/>
      <c r="C49" s="43">
        <f>IFERROR(INDEX(الموظفون_الاسم,MATCH($B49,الموظفون_الرقم,0)),"")</f>
        <v/>
      </c>
      <c r="D49" s="40" t="n"/>
      <c r="E49" s="110" t="n"/>
      <c r="F49" s="110" t="n"/>
      <c r="G49" s="110" t="n"/>
      <c r="H49" s="44">
        <f>IF(OR($F49="",$G49=""),"",MAX(0,$G49-$F49+1))</f>
        <v/>
      </c>
      <c r="I49" s="44">
        <f>IF($B49="","",IFERROR(INDEX(الموظفون_الافتتاحي,MATCH($B49,الموظفون_الرقم,0)),0)+IF($D49&lt;&gt;"سنوية",0,IFERROR(DATEDIF(بداية_احتساب_الرصيد,TODAY(),"M"),0)*معدل_الاستحقاق_الشهري)-SUMIFS($J$3:$J$502,$B$3:$B$502,$B49,$D$3:$D$502,"سنوية",$L$3:$L$502,"معتمد",$A$3:$A$502,"&lt;"&amp;$A49))</f>
        <v/>
      </c>
      <c r="J49" s="44">
        <f>IF($L49="معتمد",$H49,0)</f>
        <v/>
      </c>
      <c r="K49" s="44">
        <f>IF($B49="","",$I49-$J49)</f>
        <v/>
      </c>
      <c r="L49" s="40" t="n"/>
      <c r="M49" s="40" t="n"/>
      <c r="N49" s="110" t="n"/>
      <c r="O49" s="40" t="n"/>
    </row>
    <row r="50">
      <c r="A50" s="46" t="n"/>
      <c r="B50" s="47" t="n"/>
      <c r="C50" s="50">
        <f>IFERROR(INDEX(الموظفون_الاسم,MATCH($B50,الموظفون_الرقم,0)),"")</f>
        <v/>
      </c>
      <c r="D50" s="47" t="n"/>
      <c r="E50" s="112" t="n"/>
      <c r="F50" s="112" t="n"/>
      <c r="G50" s="112" t="n"/>
      <c r="H50" s="51">
        <f>IF(OR($F50="",$G50=""),"",MAX(0,$G50-$F50+1))</f>
        <v/>
      </c>
      <c r="I50" s="51">
        <f>IF($B50="","",IFERROR(INDEX(الموظفون_الافتتاحي,MATCH($B50,الموظفون_الرقم,0)),0)+IF($D50&lt;&gt;"سنوية",0,IFERROR(DATEDIF(بداية_احتساب_الرصيد,TODAY(),"M"),0)*معدل_الاستحقاق_الشهري)-SUMIFS($J$3:$J$502,$B$3:$B$502,$B50,$D$3:$D$502,"سنوية",$L$3:$L$502,"معتمد",$A$3:$A$502,"&lt;"&amp;$A50))</f>
        <v/>
      </c>
      <c r="J50" s="51">
        <f>IF($L50="معتمد",$H50,0)</f>
        <v/>
      </c>
      <c r="K50" s="51">
        <f>IF($B50="","",$I50-$J50)</f>
        <v/>
      </c>
      <c r="L50" s="47" t="n"/>
      <c r="M50" s="47" t="n"/>
      <c r="N50" s="112" t="n"/>
      <c r="O50" s="47" t="n"/>
    </row>
    <row r="51">
      <c r="A51" s="39" t="n"/>
      <c r="B51" s="40" t="n"/>
      <c r="C51" s="43">
        <f>IFERROR(INDEX(الموظفون_الاسم,MATCH($B51,الموظفون_الرقم,0)),"")</f>
        <v/>
      </c>
      <c r="D51" s="40" t="n"/>
      <c r="E51" s="110" t="n"/>
      <c r="F51" s="110" t="n"/>
      <c r="G51" s="110" t="n"/>
      <c r="H51" s="44">
        <f>IF(OR($F51="",$G51=""),"",MAX(0,$G51-$F51+1))</f>
        <v/>
      </c>
      <c r="I51" s="44">
        <f>IF($B51="","",IFERROR(INDEX(الموظفون_الافتتاحي,MATCH($B51,الموظفون_الرقم,0)),0)+IF($D51&lt;&gt;"سنوية",0,IFERROR(DATEDIF(بداية_احتساب_الرصيد,TODAY(),"M"),0)*معدل_الاستحقاق_الشهري)-SUMIFS($J$3:$J$502,$B$3:$B$502,$B51,$D$3:$D$502,"سنوية",$L$3:$L$502,"معتمد",$A$3:$A$502,"&lt;"&amp;$A51))</f>
        <v/>
      </c>
      <c r="J51" s="44">
        <f>IF($L51="معتمد",$H51,0)</f>
        <v/>
      </c>
      <c r="K51" s="44">
        <f>IF($B51="","",$I51-$J51)</f>
        <v/>
      </c>
      <c r="L51" s="40" t="n"/>
      <c r="M51" s="40" t="n"/>
      <c r="N51" s="110" t="n"/>
      <c r="O51" s="40" t="n"/>
    </row>
    <row r="52">
      <c r="A52" s="46" t="n"/>
      <c r="B52" s="47" t="n"/>
      <c r="C52" s="50">
        <f>IFERROR(INDEX(الموظفون_الاسم,MATCH($B52,الموظفون_الرقم,0)),"")</f>
        <v/>
      </c>
      <c r="D52" s="47" t="n"/>
      <c r="E52" s="112" t="n"/>
      <c r="F52" s="112" t="n"/>
      <c r="G52" s="112" t="n"/>
      <c r="H52" s="51">
        <f>IF(OR($F52="",$G52=""),"",MAX(0,$G52-$F52+1))</f>
        <v/>
      </c>
      <c r="I52" s="51">
        <f>IF($B52="","",IFERROR(INDEX(الموظفون_الافتتاحي,MATCH($B52,الموظفون_الرقم,0)),0)+IF($D52&lt;&gt;"سنوية",0,IFERROR(DATEDIF(بداية_احتساب_الرصيد,TODAY(),"M"),0)*معدل_الاستحقاق_الشهري)-SUMIFS($J$3:$J$502,$B$3:$B$502,$B52,$D$3:$D$502,"سنوية",$L$3:$L$502,"معتمد",$A$3:$A$502,"&lt;"&amp;$A52))</f>
        <v/>
      </c>
      <c r="J52" s="51">
        <f>IF($L52="معتمد",$H52,0)</f>
        <v/>
      </c>
      <c r="K52" s="51">
        <f>IF($B52="","",$I52-$J52)</f>
        <v/>
      </c>
      <c r="L52" s="47" t="n"/>
      <c r="M52" s="47" t="n"/>
      <c r="N52" s="112" t="n"/>
      <c r="O52" s="47" t="n"/>
    </row>
    <row r="53">
      <c r="A53" s="39" t="n"/>
      <c r="B53" s="40" t="n"/>
      <c r="C53" s="43">
        <f>IFERROR(INDEX(الموظفون_الاسم,MATCH($B53,الموظفون_الرقم,0)),"")</f>
        <v/>
      </c>
      <c r="D53" s="40" t="n"/>
      <c r="E53" s="110" t="n"/>
      <c r="F53" s="110" t="n"/>
      <c r="G53" s="110" t="n"/>
      <c r="H53" s="44">
        <f>IF(OR($F53="",$G53=""),"",MAX(0,$G53-$F53+1))</f>
        <v/>
      </c>
      <c r="I53" s="44">
        <f>IF($B53="","",IFERROR(INDEX(الموظفون_الافتتاحي,MATCH($B53,الموظفون_الرقم,0)),0)+IF($D53&lt;&gt;"سنوية",0,IFERROR(DATEDIF(بداية_احتساب_الرصيد,TODAY(),"M"),0)*معدل_الاستحقاق_الشهري)-SUMIFS($J$3:$J$502,$B$3:$B$502,$B53,$D$3:$D$502,"سنوية",$L$3:$L$502,"معتمد",$A$3:$A$502,"&lt;"&amp;$A53))</f>
        <v/>
      </c>
      <c r="J53" s="44">
        <f>IF($L53="معتمد",$H53,0)</f>
        <v/>
      </c>
      <c r="K53" s="44">
        <f>IF($B53="","",$I53-$J53)</f>
        <v/>
      </c>
      <c r="L53" s="40" t="n"/>
      <c r="M53" s="40" t="n"/>
      <c r="N53" s="110" t="n"/>
      <c r="O53" s="40" t="n"/>
    </row>
    <row r="54">
      <c r="A54" s="46" t="n"/>
      <c r="B54" s="47" t="n"/>
      <c r="C54" s="50">
        <f>IFERROR(INDEX(الموظفون_الاسم,MATCH($B54,الموظفون_الرقم,0)),"")</f>
        <v/>
      </c>
      <c r="D54" s="47" t="n"/>
      <c r="E54" s="112" t="n"/>
      <c r="F54" s="112" t="n"/>
      <c r="G54" s="112" t="n"/>
      <c r="H54" s="51">
        <f>IF(OR($F54="",$G54=""),"",MAX(0,$G54-$F54+1))</f>
        <v/>
      </c>
      <c r="I54" s="51">
        <f>IF($B54="","",IFERROR(INDEX(الموظفون_الافتتاحي,MATCH($B54,الموظفون_الرقم,0)),0)+IF($D54&lt;&gt;"سنوية",0,IFERROR(DATEDIF(بداية_احتساب_الرصيد,TODAY(),"M"),0)*معدل_الاستحقاق_الشهري)-SUMIFS($J$3:$J$502,$B$3:$B$502,$B54,$D$3:$D$502,"سنوية",$L$3:$L$502,"معتمد",$A$3:$A$502,"&lt;"&amp;$A54))</f>
        <v/>
      </c>
      <c r="J54" s="51">
        <f>IF($L54="معتمد",$H54,0)</f>
        <v/>
      </c>
      <c r="K54" s="51">
        <f>IF($B54="","",$I54-$J54)</f>
        <v/>
      </c>
      <c r="L54" s="47" t="n"/>
      <c r="M54" s="47" t="n"/>
      <c r="N54" s="112" t="n"/>
      <c r="O54" s="47" t="n"/>
    </row>
    <row r="55">
      <c r="A55" s="39" t="n"/>
      <c r="B55" s="40" t="n"/>
      <c r="C55" s="43">
        <f>IFERROR(INDEX(الموظفون_الاسم,MATCH($B55,الموظفون_الرقم,0)),"")</f>
        <v/>
      </c>
      <c r="D55" s="40" t="n"/>
      <c r="E55" s="110" t="n"/>
      <c r="F55" s="110" t="n"/>
      <c r="G55" s="110" t="n"/>
      <c r="H55" s="44">
        <f>IF(OR($F55="",$G55=""),"",MAX(0,$G55-$F55+1))</f>
        <v/>
      </c>
      <c r="I55" s="44">
        <f>IF($B55="","",IFERROR(INDEX(الموظفون_الافتتاحي,MATCH($B55,الموظفون_الرقم,0)),0)+IF($D55&lt;&gt;"سنوية",0,IFERROR(DATEDIF(بداية_احتساب_الرصيد,TODAY(),"M"),0)*معدل_الاستحقاق_الشهري)-SUMIFS($J$3:$J$502,$B$3:$B$502,$B55,$D$3:$D$502,"سنوية",$L$3:$L$502,"معتمد",$A$3:$A$502,"&lt;"&amp;$A55))</f>
        <v/>
      </c>
      <c r="J55" s="44">
        <f>IF($L55="معتمد",$H55,0)</f>
        <v/>
      </c>
      <c r="K55" s="44">
        <f>IF($B55="","",$I55-$J55)</f>
        <v/>
      </c>
      <c r="L55" s="40" t="n"/>
      <c r="M55" s="40" t="n"/>
      <c r="N55" s="110" t="n"/>
      <c r="O55" s="40" t="n"/>
    </row>
    <row r="56">
      <c r="A56" s="46" t="n"/>
      <c r="B56" s="47" t="n"/>
      <c r="C56" s="50">
        <f>IFERROR(INDEX(الموظفون_الاسم,MATCH($B56,الموظفون_الرقم,0)),"")</f>
        <v/>
      </c>
      <c r="D56" s="47" t="n"/>
      <c r="E56" s="112" t="n"/>
      <c r="F56" s="112" t="n"/>
      <c r="G56" s="112" t="n"/>
      <c r="H56" s="51">
        <f>IF(OR($F56="",$G56=""),"",MAX(0,$G56-$F56+1))</f>
        <v/>
      </c>
      <c r="I56" s="51">
        <f>IF($B56="","",IFERROR(INDEX(الموظفون_الافتتاحي,MATCH($B56,الموظفون_الرقم,0)),0)+IF($D56&lt;&gt;"سنوية",0,IFERROR(DATEDIF(بداية_احتساب_الرصيد,TODAY(),"M"),0)*معدل_الاستحقاق_الشهري)-SUMIFS($J$3:$J$502,$B$3:$B$502,$B56,$D$3:$D$502,"سنوية",$L$3:$L$502,"معتمد",$A$3:$A$502,"&lt;"&amp;$A56))</f>
        <v/>
      </c>
      <c r="J56" s="51">
        <f>IF($L56="معتمد",$H56,0)</f>
        <v/>
      </c>
      <c r="K56" s="51">
        <f>IF($B56="","",$I56-$J56)</f>
        <v/>
      </c>
      <c r="L56" s="47" t="n"/>
      <c r="M56" s="47" t="n"/>
      <c r="N56" s="112" t="n"/>
      <c r="O56" s="47" t="n"/>
    </row>
    <row r="57">
      <c r="A57" s="39" t="n"/>
      <c r="B57" s="40" t="n"/>
      <c r="C57" s="43">
        <f>IFERROR(INDEX(الموظفون_الاسم,MATCH($B57,الموظفون_الرقم,0)),"")</f>
        <v/>
      </c>
      <c r="D57" s="40" t="n"/>
      <c r="E57" s="110" t="n"/>
      <c r="F57" s="110" t="n"/>
      <c r="G57" s="110" t="n"/>
      <c r="H57" s="44">
        <f>IF(OR($F57="",$G57=""),"",MAX(0,$G57-$F57+1))</f>
        <v/>
      </c>
      <c r="I57" s="44">
        <f>IF($B57="","",IFERROR(INDEX(الموظفون_الافتتاحي,MATCH($B57,الموظفون_الرقم,0)),0)+IF($D57&lt;&gt;"سنوية",0,IFERROR(DATEDIF(بداية_احتساب_الرصيد,TODAY(),"M"),0)*معدل_الاستحقاق_الشهري)-SUMIFS($J$3:$J$502,$B$3:$B$502,$B57,$D$3:$D$502,"سنوية",$L$3:$L$502,"معتمد",$A$3:$A$502,"&lt;"&amp;$A57))</f>
        <v/>
      </c>
      <c r="J57" s="44">
        <f>IF($L57="معتمد",$H57,0)</f>
        <v/>
      </c>
      <c r="K57" s="44">
        <f>IF($B57="","",$I57-$J57)</f>
        <v/>
      </c>
      <c r="L57" s="40" t="n"/>
      <c r="M57" s="40" t="n"/>
      <c r="N57" s="110" t="n"/>
      <c r="O57" s="40" t="n"/>
    </row>
    <row r="58">
      <c r="A58" s="46" t="n"/>
      <c r="B58" s="47" t="n"/>
      <c r="C58" s="50">
        <f>IFERROR(INDEX(الموظفون_الاسم,MATCH($B58,الموظفون_الرقم,0)),"")</f>
        <v/>
      </c>
      <c r="D58" s="47" t="n"/>
      <c r="E58" s="112" t="n"/>
      <c r="F58" s="112" t="n"/>
      <c r="G58" s="112" t="n"/>
      <c r="H58" s="51">
        <f>IF(OR($F58="",$G58=""),"",MAX(0,$G58-$F58+1))</f>
        <v/>
      </c>
      <c r="I58" s="51">
        <f>IF($B58="","",IFERROR(INDEX(الموظفون_الافتتاحي,MATCH($B58,الموظفون_الرقم,0)),0)+IF($D58&lt;&gt;"سنوية",0,IFERROR(DATEDIF(بداية_احتساب_الرصيد,TODAY(),"M"),0)*معدل_الاستحقاق_الشهري)-SUMIFS($J$3:$J$502,$B$3:$B$502,$B58,$D$3:$D$502,"سنوية",$L$3:$L$502,"معتمد",$A$3:$A$502,"&lt;"&amp;$A58))</f>
        <v/>
      </c>
      <c r="J58" s="51">
        <f>IF($L58="معتمد",$H58,0)</f>
        <v/>
      </c>
      <c r="K58" s="51">
        <f>IF($B58="","",$I58-$J58)</f>
        <v/>
      </c>
      <c r="L58" s="47" t="n"/>
      <c r="M58" s="47" t="n"/>
      <c r="N58" s="112" t="n"/>
      <c r="O58" s="47" t="n"/>
    </row>
    <row r="59">
      <c r="A59" s="39" t="n"/>
      <c r="B59" s="40" t="n"/>
      <c r="C59" s="43">
        <f>IFERROR(INDEX(الموظفون_الاسم,MATCH($B59,الموظفون_الرقم,0)),"")</f>
        <v/>
      </c>
      <c r="D59" s="40" t="n"/>
      <c r="E59" s="110" t="n"/>
      <c r="F59" s="110" t="n"/>
      <c r="G59" s="110" t="n"/>
      <c r="H59" s="44">
        <f>IF(OR($F59="",$G59=""),"",MAX(0,$G59-$F59+1))</f>
        <v/>
      </c>
      <c r="I59" s="44">
        <f>IF($B59="","",IFERROR(INDEX(الموظفون_الافتتاحي,MATCH($B59,الموظفون_الرقم,0)),0)+IF($D59&lt;&gt;"سنوية",0,IFERROR(DATEDIF(بداية_احتساب_الرصيد,TODAY(),"M"),0)*معدل_الاستحقاق_الشهري)-SUMIFS($J$3:$J$502,$B$3:$B$502,$B59,$D$3:$D$502,"سنوية",$L$3:$L$502,"معتمد",$A$3:$A$502,"&lt;"&amp;$A59))</f>
        <v/>
      </c>
      <c r="J59" s="44">
        <f>IF($L59="معتمد",$H59,0)</f>
        <v/>
      </c>
      <c r="K59" s="44">
        <f>IF($B59="","",$I59-$J59)</f>
        <v/>
      </c>
      <c r="L59" s="40" t="n"/>
      <c r="M59" s="40" t="n"/>
      <c r="N59" s="110" t="n"/>
      <c r="O59" s="40" t="n"/>
    </row>
    <row r="60">
      <c r="A60" s="46" t="n"/>
      <c r="B60" s="47" t="n"/>
      <c r="C60" s="50">
        <f>IFERROR(INDEX(الموظفون_الاسم,MATCH($B60,الموظفون_الرقم,0)),"")</f>
        <v/>
      </c>
      <c r="D60" s="47" t="n"/>
      <c r="E60" s="112" t="n"/>
      <c r="F60" s="112" t="n"/>
      <c r="G60" s="112" t="n"/>
      <c r="H60" s="51">
        <f>IF(OR($F60="",$G60=""),"",MAX(0,$G60-$F60+1))</f>
        <v/>
      </c>
      <c r="I60" s="51">
        <f>IF($B60="","",IFERROR(INDEX(الموظفون_الافتتاحي,MATCH($B60,الموظفون_الرقم,0)),0)+IF($D60&lt;&gt;"سنوية",0,IFERROR(DATEDIF(بداية_احتساب_الرصيد,TODAY(),"M"),0)*معدل_الاستحقاق_الشهري)-SUMIFS($J$3:$J$502,$B$3:$B$502,$B60,$D$3:$D$502,"سنوية",$L$3:$L$502,"معتمد",$A$3:$A$502,"&lt;"&amp;$A60))</f>
        <v/>
      </c>
      <c r="J60" s="51">
        <f>IF($L60="معتمد",$H60,0)</f>
        <v/>
      </c>
      <c r="K60" s="51">
        <f>IF($B60="","",$I60-$J60)</f>
        <v/>
      </c>
      <c r="L60" s="47" t="n"/>
      <c r="M60" s="47" t="n"/>
      <c r="N60" s="112" t="n"/>
      <c r="O60" s="47" t="n"/>
    </row>
    <row r="61">
      <c r="A61" s="39" t="n"/>
      <c r="B61" s="40" t="n"/>
      <c r="C61" s="43">
        <f>IFERROR(INDEX(الموظفون_الاسم,MATCH($B61,الموظفون_الرقم,0)),"")</f>
        <v/>
      </c>
      <c r="D61" s="40" t="n"/>
      <c r="E61" s="110" t="n"/>
      <c r="F61" s="110" t="n"/>
      <c r="G61" s="110" t="n"/>
      <c r="H61" s="44">
        <f>IF(OR($F61="",$G61=""),"",MAX(0,$G61-$F61+1))</f>
        <v/>
      </c>
      <c r="I61" s="44">
        <f>IF($B61="","",IFERROR(INDEX(الموظفون_الافتتاحي,MATCH($B61,الموظفون_الرقم,0)),0)+IF($D61&lt;&gt;"سنوية",0,IFERROR(DATEDIF(بداية_احتساب_الرصيد,TODAY(),"M"),0)*معدل_الاستحقاق_الشهري)-SUMIFS($J$3:$J$502,$B$3:$B$502,$B61,$D$3:$D$502,"سنوية",$L$3:$L$502,"معتمد",$A$3:$A$502,"&lt;"&amp;$A61))</f>
        <v/>
      </c>
      <c r="J61" s="44">
        <f>IF($L61="معتمد",$H61,0)</f>
        <v/>
      </c>
      <c r="K61" s="44">
        <f>IF($B61="","",$I61-$J61)</f>
        <v/>
      </c>
      <c r="L61" s="40" t="n"/>
      <c r="M61" s="40" t="n"/>
      <c r="N61" s="110" t="n"/>
      <c r="O61" s="40" t="n"/>
    </row>
    <row r="62">
      <c r="A62" s="46" t="n"/>
      <c r="B62" s="47" t="n"/>
      <c r="C62" s="50">
        <f>IFERROR(INDEX(الموظفون_الاسم,MATCH($B62,الموظفون_الرقم,0)),"")</f>
        <v/>
      </c>
      <c r="D62" s="47" t="n"/>
      <c r="E62" s="112" t="n"/>
      <c r="F62" s="112" t="n"/>
      <c r="G62" s="112" t="n"/>
      <c r="H62" s="51">
        <f>IF(OR($F62="",$G62=""),"",MAX(0,$G62-$F62+1))</f>
        <v/>
      </c>
      <c r="I62" s="51">
        <f>IF($B62="","",IFERROR(INDEX(الموظفون_الافتتاحي,MATCH($B62,الموظفون_الرقم,0)),0)+IF($D62&lt;&gt;"سنوية",0,IFERROR(DATEDIF(بداية_احتساب_الرصيد,TODAY(),"M"),0)*معدل_الاستحقاق_الشهري)-SUMIFS($J$3:$J$502,$B$3:$B$502,$B62,$D$3:$D$502,"سنوية",$L$3:$L$502,"معتمد",$A$3:$A$502,"&lt;"&amp;$A62))</f>
        <v/>
      </c>
      <c r="J62" s="51">
        <f>IF($L62="معتمد",$H62,0)</f>
        <v/>
      </c>
      <c r="K62" s="51">
        <f>IF($B62="","",$I62-$J62)</f>
        <v/>
      </c>
      <c r="L62" s="47" t="n"/>
      <c r="M62" s="47" t="n"/>
      <c r="N62" s="112" t="n"/>
      <c r="O62" s="47" t="n"/>
    </row>
    <row r="63">
      <c r="A63" s="39" t="n"/>
      <c r="B63" s="40" t="n"/>
      <c r="C63" s="43">
        <f>IFERROR(INDEX(الموظفون_الاسم,MATCH($B63,الموظفون_الرقم,0)),"")</f>
        <v/>
      </c>
      <c r="D63" s="40" t="n"/>
      <c r="E63" s="110" t="n"/>
      <c r="F63" s="110" t="n"/>
      <c r="G63" s="110" t="n"/>
      <c r="H63" s="44">
        <f>IF(OR($F63="",$G63=""),"",MAX(0,$G63-$F63+1))</f>
        <v/>
      </c>
      <c r="I63" s="44">
        <f>IF($B63="","",IFERROR(INDEX(الموظفون_الافتتاحي,MATCH($B63,الموظفون_الرقم,0)),0)+IF($D63&lt;&gt;"سنوية",0,IFERROR(DATEDIF(بداية_احتساب_الرصيد,TODAY(),"M"),0)*معدل_الاستحقاق_الشهري)-SUMIFS($J$3:$J$502,$B$3:$B$502,$B63,$D$3:$D$502,"سنوية",$L$3:$L$502,"معتمد",$A$3:$A$502,"&lt;"&amp;$A63))</f>
        <v/>
      </c>
      <c r="J63" s="44">
        <f>IF($L63="معتمد",$H63,0)</f>
        <v/>
      </c>
      <c r="K63" s="44">
        <f>IF($B63="","",$I63-$J63)</f>
        <v/>
      </c>
      <c r="L63" s="40" t="n"/>
      <c r="M63" s="40" t="n"/>
      <c r="N63" s="110" t="n"/>
      <c r="O63" s="40" t="n"/>
    </row>
    <row r="64">
      <c r="A64" s="46" t="n"/>
      <c r="B64" s="47" t="n"/>
      <c r="C64" s="50">
        <f>IFERROR(INDEX(الموظفون_الاسم,MATCH($B64,الموظفون_الرقم,0)),"")</f>
        <v/>
      </c>
      <c r="D64" s="47" t="n"/>
      <c r="E64" s="112" t="n"/>
      <c r="F64" s="112" t="n"/>
      <c r="G64" s="112" t="n"/>
      <c r="H64" s="51">
        <f>IF(OR($F64="",$G64=""),"",MAX(0,$G64-$F64+1))</f>
        <v/>
      </c>
      <c r="I64" s="51">
        <f>IF($B64="","",IFERROR(INDEX(الموظفون_الافتتاحي,MATCH($B64,الموظفون_الرقم,0)),0)+IF($D64&lt;&gt;"سنوية",0,IFERROR(DATEDIF(بداية_احتساب_الرصيد,TODAY(),"M"),0)*معدل_الاستحقاق_الشهري)-SUMIFS($J$3:$J$502,$B$3:$B$502,$B64,$D$3:$D$502,"سنوية",$L$3:$L$502,"معتمد",$A$3:$A$502,"&lt;"&amp;$A64))</f>
        <v/>
      </c>
      <c r="J64" s="51">
        <f>IF($L64="معتمد",$H64,0)</f>
        <v/>
      </c>
      <c r="K64" s="51">
        <f>IF($B64="","",$I64-$J64)</f>
        <v/>
      </c>
      <c r="L64" s="47" t="n"/>
      <c r="M64" s="47" t="n"/>
      <c r="N64" s="112" t="n"/>
      <c r="O64" s="47" t="n"/>
    </row>
    <row r="65">
      <c r="A65" s="39" t="n"/>
      <c r="B65" s="40" t="n"/>
      <c r="C65" s="43">
        <f>IFERROR(INDEX(الموظفون_الاسم,MATCH($B65,الموظفون_الرقم,0)),"")</f>
        <v/>
      </c>
      <c r="D65" s="40" t="n"/>
      <c r="E65" s="110" t="n"/>
      <c r="F65" s="110" t="n"/>
      <c r="G65" s="110" t="n"/>
      <c r="H65" s="44">
        <f>IF(OR($F65="",$G65=""),"",MAX(0,$G65-$F65+1))</f>
        <v/>
      </c>
      <c r="I65" s="44">
        <f>IF($B65="","",IFERROR(INDEX(الموظفون_الافتتاحي,MATCH($B65,الموظفون_الرقم,0)),0)+IF($D65&lt;&gt;"سنوية",0,IFERROR(DATEDIF(بداية_احتساب_الرصيد,TODAY(),"M"),0)*معدل_الاستحقاق_الشهري)-SUMIFS($J$3:$J$502,$B$3:$B$502,$B65,$D$3:$D$502,"سنوية",$L$3:$L$502,"معتمد",$A$3:$A$502,"&lt;"&amp;$A65))</f>
        <v/>
      </c>
      <c r="J65" s="44">
        <f>IF($L65="معتمد",$H65,0)</f>
        <v/>
      </c>
      <c r="K65" s="44">
        <f>IF($B65="","",$I65-$J65)</f>
        <v/>
      </c>
      <c r="L65" s="40" t="n"/>
      <c r="M65" s="40" t="n"/>
      <c r="N65" s="110" t="n"/>
      <c r="O65" s="40" t="n"/>
    </row>
    <row r="66">
      <c r="A66" s="46" t="n"/>
      <c r="B66" s="47" t="n"/>
      <c r="C66" s="50">
        <f>IFERROR(INDEX(الموظفون_الاسم,MATCH($B66,الموظفون_الرقم,0)),"")</f>
        <v/>
      </c>
      <c r="D66" s="47" t="n"/>
      <c r="E66" s="112" t="n"/>
      <c r="F66" s="112" t="n"/>
      <c r="G66" s="112" t="n"/>
      <c r="H66" s="51">
        <f>IF(OR($F66="",$G66=""),"",MAX(0,$G66-$F66+1))</f>
        <v/>
      </c>
      <c r="I66" s="51">
        <f>IF($B66="","",IFERROR(INDEX(الموظفون_الافتتاحي,MATCH($B66,الموظفون_الرقم,0)),0)+IF($D66&lt;&gt;"سنوية",0,IFERROR(DATEDIF(بداية_احتساب_الرصيد,TODAY(),"M"),0)*معدل_الاستحقاق_الشهري)-SUMIFS($J$3:$J$502,$B$3:$B$502,$B66,$D$3:$D$502,"سنوية",$L$3:$L$502,"معتمد",$A$3:$A$502,"&lt;"&amp;$A66))</f>
        <v/>
      </c>
      <c r="J66" s="51">
        <f>IF($L66="معتمد",$H66,0)</f>
        <v/>
      </c>
      <c r="K66" s="51">
        <f>IF($B66="","",$I66-$J66)</f>
        <v/>
      </c>
      <c r="L66" s="47" t="n"/>
      <c r="M66" s="47" t="n"/>
      <c r="N66" s="112" t="n"/>
      <c r="O66" s="47" t="n"/>
    </row>
    <row r="67">
      <c r="A67" s="39" t="n"/>
      <c r="B67" s="40" t="n"/>
      <c r="C67" s="43">
        <f>IFERROR(INDEX(الموظفون_الاسم,MATCH($B67,الموظفون_الرقم,0)),"")</f>
        <v/>
      </c>
      <c r="D67" s="40" t="n"/>
      <c r="E67" s="110" t="n"/>
      <c r="F67" s="110" t="n"/>
      <c r="G67" s="110" t="n"/>
      <c r="H67" s="44">
        <f>IF(OR($F67="",$G67=""),"",MAX(0,$G67-$F67+1))</f>
        <v/>
      </c>
      <c r="I67" s="44">
        <f>IF($B67="","",IFERROR(INDEX(الموظفون_الافتتاحي,MATCH($B67,الموظفون_الرقم,0)),0)+IF($D67&lt;&gt;"سنوية",0,IFERROR(DATEDIF(بداية_احتساب_الرصيد,TODAY(),"M"),0)*معدل_الاستحقاق_الشهري)-SUMIFS($J$3:$J$502,$B$3:$B$502,$B67,$D$3:$D$502,"سنوية",$L$3:$L$502,"معتمد",$A$3:$A$502,"&lt;"&amp;$A67))</f>
        <v/>
      </c>
      <c r="J67" s="44">
        <f>IF($L67="معتمد",$H67,0)</f>
        <v/>
      </c>
      <c r="K67" s="44">
        <f>IF($B67="","",$I67-$J67)</f>
        <v/>
      </c>
      <c r="L67" s="40" t="n"/>
      <c r="M67" s="40" t="n"/>
      <c r="N67" s="110" t="n"/>
      <c r="O67" s="40" t="n"/>
    </row>
    <row r="68">
      <c r="A68" s="46" t="n"/>
      <c r="B68" s="47" t="n"/>
      <c r="C68" s="50">
        <f>IFERROR(INDEX(الموظفون_الاسم,MATCH($B68,الموظفون_الرقم,0)),"")</f>
        <v/>
      </c>
      <c r="D68" s="47" t="n"/>
      <c r="E68" s="112" t="n"/>
      <c r="F68" s="112" t="n"/>
      <c r="G68" s="112" t="n"/>
      <c r="H68" s="51">
        <f>IF(OR($F68="",$G68=""),"",MAX(0,$G68-$F68+1))</f>
        <v/>
      </c>
      <c r="I68" s="51">
        <f>IF($B68="","",IFERROR(INDEX(الموظفون_الافتتاحي,MATCH($B68,الموظفون_الرقم,0)),0)+IF($D68&lt;&gt;"سنوية",0,IFERROR(DATEDIF(بداية_احتساب_الرصيد,TODAY(),"M"),0)*معدل_الاستحقاق_الشهري)-SUMIFS($J$3:$J$502,$B$3:$B$502,$B68,$D$3:$D$502,"سنوية",$L$3:$L$502,"معتمد",$A$3:$A$502,"&lt;"&amp;$A68))</f>
        <v/>
      </c>
      <c r="J68" s="51">
        <f>IF($L68="معتمد",$H68,0)</f>
        <v/>
      </c>
      <c r="K68" s="51">
        <f>IF($B68="","",$I68-$J68)</f>
        <v/>
      </c>
      <c r="L68" s="47" t="n"/>
      <c r="M68" s="47" t="n"/>
      <c r="N68" s="112" t="n"/>
      <c r="O68" s="47" t="n"/>
    </row>
    <row r="69">
      <c r="A69" s="39" t="n"/>
      <c r="B69" s="40" t="n"/>
      <c r="C69" s="43">
        <f>IFERROR(INDEX(الموظفون_الاسم,MATCH($B69,الموظفون_الرقم,0)),"")</f>
        <v/>
      </c>
      <c r="D69" s="40" t="n"/>
      <c r="E69" s="110" t="n"/>
      <c r="F69" s="110" t="n"/>
      <c r="G69" s="110" t="n"/>
      <c r="H69" s="44">
        <f>IF(OR($F69="",$G69=""),"",MAX(0,$G69-$F69+1))</f>
        <v/>
      </c>
      <c r="I69" s="44">
        <f>IF($B69="","",IFERROR(INDEX(الموظفون_الافتتاحي,MATCH($B69,الموظفون_الرقم,0)),0)+IF($D69&lt;&gt;"سنوية",0,IFERROR(DATEDIF(بداية_احتساب_الرصيد,TODAY(),"M"),0)*معدل_الاستحقاق_الشهري)-SUMIFS($J$3:$J$502,$B$3:$B$502,$B69,$D$3:$D$502,"سنوية",$L$3:$L$502,"معتمد",$A$3:$A$502,"&lt;"&amp;$A69))</f>
        <v/>
      </c>
      <c r="J69" s="44">
        <f>IF($L69="معتمد",$H69,0)</f>
        <v/>
      </c>
      <c r="K69" s="44">
        <f>IF($B69="","",$I69-$J69)</f>
        <v/>
      </c>
      <c r="L69" s="40" t="n"/>
      <c r="M69" s="40" t="n"/>
      <c r="N69" s="110" t="n"/>
      <c r="O69" s="40" t="n"/>
    </row>
    <row r="70">
      <c r="A70" s="46" t="n"/>
      <c r="B70" s="47" t="n"/>
      <c r="C70" s="50">
        <f>IFERROR(INDEX(الموظفون_الاسم,MATCH($B70,الموظفون_الرقم,0)),"")</f>
        <v/>
      </c>
      <c r="D70" s="47" t="n"/>
      <c r="E70" s="112" t="n"/>
      <c r="F70" s="112" t="n"/>
      <c r="G70" s="112" t="n"/>
      <c r="H70" s="51">
        <f>IF(OR($F70="",$G70=""),"",MAX(0,$G70-$F70+1))</f>
        <v/>
      </c>
      <c r="I70" s="51">
        <f>IF($B70="","",IFERROR(INDEX(الموظفون_الافتتاحي,MATCH($B70,الموظفون_الرقم,0)),0)+IF($D70&lt;&gt;"سنوية",0,IFERROR(DATEDIF(بداية_احتساب_الرصيد,TODAY(),"M"),0)*معدل_الاستحقاق_الشهري)-SUMIFS($J$3:$J$502,$B$3:$B$502,$B70,$D$3:$D$502,"سنوية",$L$3:$L$502,"معتمد",$A$3:$A$502,"&lt;"&amp;$A70))</f>
        <v/>
      </c>
      <c r="J70" s="51">
        <f>IF($L70="معتمد",$H70,0)</f>
        <v/>
      </c>
      <c r="K70" s="51">
        <f>IF($B70="","",$I70-$J70)</f>
        <v/>
      </c>
      <c r="L70" s="47" t="n"/>
      <c r="M70" s="47" t="n"/>
      <c r="N70" s="112" t="n"/>
      <c r="O70" s="47" t="n"/>
    </row>
    <row r="71">
      <c r="A71" s="39" t="n"/>
      <c r="B71" s="40" t="n"/>
      <c r="C71" s="43">
        <f>IFERROR(INDEX(الموظفون_الاسم,MATCH($B71,الموظفون_الرقم,0)),"")</f>
        <v/>
      </c>
      <c r="D71" s="40" t="n"/>
      <c r="E71" s="110" t="n"/>
      <c r="F71" s="110" t="n"/>
      <c r="G71" s="110" t="n"/>
      <c r="H71" s="44">
        <f>IF(OR($F71="",$G71=""),"",MAX(0,$G71-$F71+1))</f>
        <v/>
      </c>
      <c r="I71" s="44">
        <f>IF($B71="","",IFERROR(INDEX(الموظفون_الافتتاحي,MATCH($B71,الموظفون_الرقم,0)),0)+IF($D71&lt;&gt;"سنوية",0,IFERROR(DATEDIF(بداية_احتساب_الرصيد,TODAY(),"M"),0)*معدل_الاستحقاق_الشهري)-SUMIFS($J$3:$J$502,$B$3:$B$502,$B71,$D$3:$D$502,"سنوية",$L$3:$L$502,"معتمد",$A$3:$A$502,"&lt;"&amp;$A71))</f>
        <v/>
      </c>
      <c r="J71" s="44">
        <f>IF($L71="معتمد",$H71,0)</f>
        <v/>
      </c>
      <c r="K71" s="44">
        <f>IF($B71="","",$I71-$J71)</f>
        <v/>
      </c>
      <c r="L71" s="40" t="n"/>
      <c r="M71" s="40" t="n"/>
      <c r="N71" s="110" t="n"/>
      <c r="O71" s="40" t="n"/>
    </row>
    <row r="72">
      <c r="A72" s="46" t="n"/>
      <c r="B72" s="47" t="n"/>
      <c r="C72" s="50">
        <f>IFERROR(INDEX(الموظفون_الاسم,MATCH($B72,الموظفون_الرقم,0)),"")</f>
        <v/>
      </c>
      <c r="D72" s="47" t="n"/>
      <c r="E72" s="112" t="n"/>
      <c r="F72" s="112" t="n"/>
      <c r="G72" s="112" t="n"/>
      <c r="H72" s="51">
        <f>IF(OR($F72="",$G72=""),"",MAX(0,$G72-$F72+1))</f>
        <v/>
      </c>
      <c r="I72" s="51">
        <f>IF($B72="","",IFERROR(INDEX(الموظفون_الافتتاحي,MATCH($B72,الموظفون_الرقم,0)),0)+IF($D72&lt;&gt;"سنوية",0,IFERROR(DATEDIF(بداية_احتساب_الرصيد,TODAY(),"M"),0)*معدل_الاستحقاق_الشهري)-SUMIFS($J$3:$J$502,$B$3:$B$502,$B72,$D$3:$D$502,"سنوية",$L$3:$L$502,"معتمد",$A$3:$A$502,"&lt;"&amp;$A72))</f>
        <v/>
      </c>
      <c r="J72" s="51">
        <f>IF($L72="معتمد",$H72,0)</f>
        <v/>
      </c>
      <c r="K72" s="51">
        <f>IF($B72="","",$I72-$J72)</f>
        <v/>
      </c>
      <c r="L72" s="47" t="n"/>
      <c r="M72" s="47" t="n"/>
      <c r="N72" s="112" t="n"/>
      <c r="O72" s="47" t="n"/>
    </row>
    <row r="73">
      <c r="A73" s="39" t="n"/>
      <c r="B73" s="40" t="n"/>
      <c r="C73" s="43">
        <f>IFERROR(INDEX(الموظفون_الاسم,MATCH($B73,الموظفون_الرقم,0)),"")</f>
        <v/>
      </c>
      <c r="D73" s="40" t="n"/>
      <c r="E73" s="110" t="n"/>
      <c r="F73" s="110" t="n"/>
      <c r="G73" s="110" t="n"/>
      <c r="H73" s="44">
        <f>IF(OR($F73="",$G73=""),"",MAX(0,$G73-$F73+1))</f>
        <v/>
      </c>
      <c r="I73" s="44">
        <f>IF($B73="","",IFERROR(INDEX(الموظفون_الافتتاحي,MATCH($B73,الموظفون_الرقم,0)),0)+IF($D73&lt;&gt;"سنوية",0,IFERROR(DATEDIF(بداية_احتساب_الرصيد,TODAY(),"M"),0)*معدل_الاستحقاق_الشهري)-SUMIFS($J$3:$J$502,$B$3:$B$502,$B73,$D$3:$D$502,"سنوية",$L$3:$L$502,"معتمد",$A$3:$A$502,"&lt;"&amp;$A73))</f>
        <v/>
      </c>
      <c r="J73" s="44">
        <f>IF($L73="معتمد",$H73,0)</f>
        <v/>
      </c>
      <c r="K73" s="44">
        <f>IF($B73="","",$I73-$J73)</f>
        <v/>
      </c>
      <c r="L73" s="40" t="n"/>
      <c r="M73" s="40" t="n"/>
      <c r="N73" s="110" t="n"/>
      <c r="O73" s="40" t="n"/>
    </row>
    <row r="74">
      <c r="A74" s="46" t="n"/>
      <c r="B74" s="47" t="n"/>
      <c r="C74" s="50">
        <f>IFERROR(INDEX(الموظفون_الاسم,MATCH($B74,الموظفون_الرقم,0)),"")</f>
        <v/>
      </c>
      <c r="D74" s="47" t="n"/>
      <c r="E74" s="112" t="n"/>
      <c r="F74" s="112" t="n"/>
      <c r="G74" s="112" t="n"/>
      <c r="H74" s="51">
        <f>IF(OR($F74="",$G74=""),"",MAX(0,$G74-$F74+1))</f>
        <v/>
      </c>
      <c r="I74" s="51">
        <f>IF($B74="","",IFERROR(INDEX(الموظفون_الافتتاحي,MATCH($B74,الموظفون_الرقم,0)),0)+IF($D74&lt;&gt;"سنوية",0,IFERROR(DATEDIF(بداية_احتساب_الرصيد,TODAY(),"M"),0)*معدل_الاستحقاق_الشهري)-SUMIFS($J$3:$J$502,$B$3:$B$502,$B74,$D$3:$D$502,"سنوية",$L$3:$L$502,"معتمد",$A$3:$A$502,"&lt;"&amp;$A74))</f>
        <v/>
      </c>
      <c r="J74" s="51">
        <f>IF($L74="معتمد",$H74,0)</f>
        <v/>
      </c>
      <c r="K74" s="51">
        <f>IF($B74="","",$I74-$J74)</f>
        <v/>
      </c>
      <c r="L74" s="47" t="n"/>
      <c r="M74" s="47" t="n"/>
      <c r="N74" s="112" t="n"/>
      <c r="O74" s="47" t="n"/>
    </row>
    <row r="75">
      <c r="A75" s="39" t="n"/>
      <c r="B75" s="40" t="n"/>
      <c r="C75" s="43">
        <f>IFERROR(INDEX(الموظفون_الاسم,MATCH($B75,الموظفون_الرقم,0)),"")</f>
        <v/>
      </c>
      <c r="D75" s="40" t="n"/>
      <c r="E75" s="110" t="n"/>
      <c r="F75" s="110" t="n"/>
      <c r="G75" s="110" t="n"/>
      <c r="H75" s="44">
        <f>IF(OR($F75="",$G75=""),"",MAX(0,$G75-$F75+1))</f>
        <v/>
      </c>
      <c r="I75" s="44">
        <f>IF($B75="","",IFERROR(INDEX(الموظفون_الافتتاحي,MATCH($B75,الموظفون_الرقم,0)),0)+IF($D75&lt;&gt;"سنوية",0,IFERROR(DATEDIF(بداية_احتساب_الرصيد,TODAY(),"M"),0)*معدل_الاستحقاق_الشهري)-SUMIFS($J$3:$J$502,$B$3:$B$502,$B75,$D$3:$D$502,"سنوية",$L$3:$L$502,"معتمد",$A$3:$A$502,"&lt;"&amp;$A75))</f>
        <v/>
      </c>
      <c r="J75" s="44">
        <f>IF($L75="معتمد",$H75,0)</f>
        <v/>
      </c>
      <c r="K75" s="44">
        <f>IF($B75="","",$I75-$J75)</f>
        <v/>
      </c>
      <c r="L75" s="40" t="n"/>
      <c r="M75" s="40" t="n"/>
      <c r="N75" s="110" t="n"/>
      <c r="O75" s="40" t="n"/>
    </row>
    <row r="76">
      <c r="A76" s="46" t="n"/>
      <c r="B76" s="47" t="n"/>
      <c r="C76" s="50">
        <f>IFERROR(INDEX(الموظفون_الاسم,MATCH($B76,الموظفون_الرقم,0)),"")</f>
        <v/>
      </c>
      <c r="D76" s="47" t="n"/>
      <c r="E76" s="112" t="n"/>
      <c r="F76" s="112" t="n"/>
      <c r="G76" s="112" t="n"/>
      <c r="H76" s="51">
        <f>IF(OR($F76="",$G76=""),"",MAX(0,$G76-$F76+1))</f>
        <v/>
      </c>
      <c r="I76" s="51">
        <f>IF($B76="","",IFERROR(INDEX(الموظفون_الافتتاحي,MATCH($B76,الموظفون_الرقم,0)),0)+IF($D76&lt;&gt;"سنوية",0,IFERROR(DATEDIF(بداية_احتساب_الرصيد,TODAY(),"M"),0)*معدل_الاستحقاق_الشهري)-SUMIFS($J$3:$J$502,$B$3:$B$502,$B76,$D$3:$D$502,"سنوية",$L$3:$L$502,"معتمد",$A$3:$A$502,"&lt;"&amp;$A76))</f>
        <v/>
      </c>
      <c r="J76" s="51">
        <f>IF($L76="معتمد",$H76,0)</f>
        <v/>
      </c>
      <c r="K76" s="51">
        <f>IF($B76="","",$I76-$J76)</f>
        <v/>
      </c>
      <c r="L76" s="47" t="n"/>
      <c r="M76" s="47" t="n"/>
      <c r="N76" s="112" t="n"/>
      <c r="O76" s="47" t="n"/>
    </row>
    <row r="77">
      <c r="A77" s="39" t="n"/>
      <c r="B77" s="40" t="n"/>
      <c r="C77" s="43">
        <f>IFERROR(INDEX(الموظفون_الاسم,MATCH($B77,الموظفون_الرقم,0)),"")</f>
        <v/>
      </c>
      <c r="D77" s="40" t="n"/>
      <c r="E77" s="110" t="n"/>
      <c r="F77" s="110" t="n"/>
      <c r="G77" s="110" t="n"/>
      <c r="H77" s="44">
        <f>IF(OR($F77="",$G77=""),"",MAX(0,$G77-$F77+1))</f>
        <v/>
      </c>
      <c r="I77" s="44">
        <f>IF($B77="","",IFERROR(INDEX(الموظفون_الافتتاحي,MATCH($B77,الموظفون_الرقم,0)),0)+IF($D77&lt;&gt;"سنوية",0,IFERROR(DATEDIF(بداية_احتساب_الرصيد,TODAY(),"M"),0)*معدل_الاستحقاق_الشهري)-SUMIFS($J$3:$J$502,$B$3:$B$502,$B77,$D$3:$D$502,"سنوية",$L$3:$L$502,"معتمد",$A$3:$A$502,"&lt;"&amp;$A77))</f>
        <v/>
      </c>
      <c r="J77" s="44">
        <f>IF($L77="معتمد",$H77,0)</f>
        <v/>
      </c>
      <c r="K77" s="44">
        <f>IF($B77="","",$I77-$J77)</f>
        <v/>
      </c>
      <c r="L77" s="40" t="n"/>
      <c r="M77" s="40" t="n"/>
      <c r="N77" s="110" t="n"/>
      <c r="O77" s="40" t="n"/>
    </row>
    <row r="78">
      <c r="A78" s="46" t="n"/>
      <c r="B78" s="47" t="n"/>
      <c r="C78" s="50">
        <f>IFERROR(INDEX(الموظفون_الاسم,MATCH($B78,الموظفون_الرقم,0)),"")</f>
        <v/>
      </c>
      <c r="D78" s="47" t="n"/>
      <c r="E78" s="112" t="n"/>
      <c r="F78" s="112" t="n"/>
      <c r="G78" s="112" t="n"/>
      <c r="H78" s="51">
        <f>IF(OR($F78="",$G78=""),"",MAX(0,$G78-$F78+1))</f>
        <v/>
      </c>
      <c r="I78" s="51">
        <f>IF($B78="","",IFERROR(INDEX(الموظفون_الافتتاحي,MATCH($B78,الموظفون_الرقم,0)),0)+IF($D78&lt;&gt;"سنوية",0,IFERROR(DATEDIF(بداية_احتساب_الرصيد,TODAY(),"M"),0)*معدل_الاستحقاق_الشهري)-SUMIFS($J$3:$J$502,$B$3:$B$502,$B78,$D$3:$D$502,"سنوية",$L$3:$L$502,"معتمد",$A$3:$A$502,"&lt;"&amp;$A78))</f>
        <v/>
      </c>
      <c r="J78" s="51">
        <f>IF($L78="معتمد",$H78,0)</f>
        <v/>
      </c>
      <c r="K78" s="51">
        <f>IF($B78="","",$I78-$J78)</f>
        <v/>
      </c>
      <c r="L78" s="47" t="n"/>
      <c r="M78" s="47" t="n"/>
      <c r="N78" s="112" t="n"/>
      <c r="O78" s="47" t="n"/>
    </row>
    <row r="79">
      <c r="A79" s="39" t="n"/>
      <c r="B79" s="40" t="n"/>
      <c r="C79" s="43">
        <f>IFERROR(INDEX(الموظفون_الاسم,MATCH($B79,الموظفون_الرقم,0)),"")</f>
        <v/>
      </c>
      <c r="D79" s="40" t="n"/>
      <c r="E79" s="110" t="n"/>
      <c r="F79" s="110" t="n"/>
      <c r="G79" s="110" t="n"/>
      <c r="H79" s="44">
        <f>IF(OR($F79="",$G79=""),"",MAX(0,$G79-$F79+1))</f>
        <v/>
      </c>
      <c r="I79" s="44">
        <f>IF($B79="","",IFERROR(INDEX(الموظفون_الافتتاحي,MATCH($B79,الموظفون_الرقم,0)),0)+IF($D79&lt;&gt;"سنوية",0,IFERROR(DATEDIF(بداية_احتساب_الرصيد,TODAY(),"M"),0)*معدل_الاستحقاق_الشهري)-SUMIFS($J$3:$J$502,$B$3:$B$502,$B79,$D$3:$D$502,"سنوية",$L$3:$L$502,"معتمد",$A$3:$A$502,"&lt;"&amp;$A79))</f>
        <v/>
      </c>
      <c r="J79" s="44">
        <f>IF($L79="معتمد",$H79,0)</f>
        <v/>
      </c>
      <c r="K79" s="44">
        <f>IF($B79="","",$I79-$J79)</f>
        <v/>
      </c>
      <c r="L79" s="40" t="n"/>
      <c r="M79" s="40" t="n"/>
      <c r="N79" s="110" t="n"/>
      <c r="O79" s="40" t="n"/>
    </row>
    <row r="80">
      <c r="A80" s="46" t="n"/>
      <c r="B80" s="47" t="n"/>
      <c r="C80" s="50">
        <f>IFERROR(INDEX(الموظفون_الاسم,MATCH($B80,الموظفون_الرقم,0)),"")</f>
        <v/>
      </c>
      <c r="D80" s="47" t="n"/>
      <c r="E80" s="112" t="n"/>
      <c r="F80" s="112" t="n"/>
      <c r="G80" s="112" t="n"/>
      <c r="H80" s="51">
        <f>IF(OR($F80="",$G80=""),"",MAX(0,$G80-$F80+1))</f>
        <v/>
      </c>
      <c r="I80" s="51">
        <f>IF($B80="","",IFERROR(INDEX(الموظفون_الافتتاحي,MATCH($B80,الموظفون_الرقم,0)),0)+IF($D80&lt;&gt;"سنوية",0,IFERROR(DATEDIF(بداية_احتساب_الرصيد,TODAY(),"M"),0)*معدل_الاستحقاق_الشهري)-SUMIFS($J$3:$J$502,$B$3:$B$502,$B80,$D$3:$D$502,"سنوية",$L$3:$L$502,"معتمد",$A$3:$A$502,"&lt;"&amp;$A80))</f>
        <v/>
      </c>
      <c r="J80" s="51">
        <f>IF($L80="معتمد",$H80,0)</f>
        <v/>
      </c>
      <c r="K80" s="51">
        <f>IF($B80="","",$I80-$J80)</f>
        <v/>
      </c>
      <c r="L80" s="47" t="n"/>
      <c r="M80" s="47" t="n"/>
      <c r="N80" s="112" t="n"/>
      <c r="O80" s="47" t="n"/>
    </row>
    <row r="81">
      <c r="A81" s="39" t="n"/>
      <c r="B81" s="40" t="n"/>
      <c r="C81" s="43">
        <f>IFERROR(INDEX(الموظفون_الاسم,MATCH($B81,الموظفون_الرقم,0)),"")</f>
        <v/>
      </c>
      <c r="D81" s="40" t="n"/>
      <c r="E81" s="110" t="n"/>
      <c r="F81" s="110" t="n"/>
      <c r="G81" s="110" t="n"/>
      <c r="H81" s="44">
        <f>IF(OR($F81="",$G81=""),"",MAX(0,$G81-$F81+1))</f>
        <v/>
      </c>
      <c r="I81" s="44">
        <f>IF($B81="","",IFERROR(INDEX(الموظفون_الافتتاحي,MATCH($B81,الموظفون_الرقم,0)),0)+IF($D81&lt;&gt;"سنوية",0,IFERROR(DATEDIF(بداية_احتساب_الرصيد,TODAY(),"M"),0)*معدل_الاستحقاق_الشهري)-SUMIFS($J$3:$J$502,$B$3:$B$502,$B81,$D$3:$D$502,"سنوية",$L$3:$L$502,"معتمد",$A$3:$A$502,"&lt;"&amp;$A81))</f>
        <v/>
      </c>
      <c r="J81" s="44">
        <f>IF($L81="معتمد",$H81,0)</f>
        <v/>
      </c>
      <c r="K81" s="44">
        <f>IF($B81="","",$I81-$J81)</f>
        <v/>
      </c>
      <c r="L81" s="40" t="n"/>
      <c r="M81" s="40" t="n"/>
      <c r="N81" s="110" t="n"/>
      <c r="O81" s="40" t="n"/>
    </row>
    <row r="82">
      <c r="A82" s="46" t="n"/>
      <c r="B82" s="47" t="n"/>
      <c r="C82" s="50">
        <f>IFERROR(INDEX(الموظفون_الاسم,MATCH($B82,الموظفون_الرقم,0)),"")</f>
        <v/>
      </c>
      <c r="D82" s="47" t="n"/>
      <c r="E82" s="112" t="n"/>
      <c r="F82" s="112" t="n"/>
      <c r="G82" s="112" t="n"/>
      <c r="H82" s="51">
        <f>IF(OR($F82="",$G82=""),"",MAX(0,$G82-$F82+1))</f>
        <v/>
      </c>
      <c r="I82" s="51">
        <f>IF($B82="","",IFERROR(INDEX(الموظفون_الافتتاحي,MATCH($B82,الموظفون_الرقم,0)),0)+IF($D82&lt;&gt;"سنوية",0,IFERROR(DATEDIF(بداية_احتساب_الرصيد,TODAY(),"M"),0)*معدل_الاستحقاق_الشهري)-SUMIFS($J$3:$J$502,$B$3:$B$502,$B82,$D$3:$D$502,"سنوية",$L$3:$L$502,"معتمد",$A$3:$A$502,"&lt;"&amp;$A82))</f>
        <v/>
      </c>
      <c r="J82" s="51">
        <f>IF($L82="معتمد",$H82,0)</f>
        <v/>
      </c>
      <c r="K82" s="51">
        <f>IF($B82="","",$I82-$J82)</f>
        <v/>
      </c>
      <c r="L82" s="47" t="n"/>
      <c r="M82" s="47" t="n"/>
      <c r="N82" s="112" t="n"/>
      <c r="O82" s="47" t="n"/>
    </row>
    <row r="83">
      <c r="A83" s="39" t="n"/>
      <c r="B83" s="40" t="n"/>
      <c r="C83" s="43">
        <f>IFERROR(INDEX(الموظفون_الاسم,MATCH($B83,الموظفون_الرقم,0)),"")</f>
        <v/>
      </c>
      <c r="D83" s="40" t="n"/>
      <c r="E83" s="110" t="n"/>
      <c r="F83" s="110" t="n"/>
      <c r="G83" s="110" t="n"/>
      <c r="H83" s="44">
        <f>IF(OR($F83="",$G83=""),"",MAX(0,$G83-$F83+1))</f>
        <v/>
      </c>
      <c r="I83" s="44">
        <f>IF($B83="","",IFERROR(INDEX(الموظفون_الافتتاحي,MATCH($B83,الموظفون_الرقم,0)),0)+IF($D83&lt;&gt;"سنوية",0,IFERROR(DATEDIF(بداية_احتساب_الرصيد,TODAY(),"M"),0)*معدل_الاستحقاق_الشهري)-SUMIFS($J$3:$J$502,$B$3:$B$502,$B83,$D$3:$D$502,"سنوية",$L$3:$L$502,"معتمد",$A$3:$A$502,"&lt;"&amp;$A83))</f>
        <v/>
      </c>
      <c r="J83" s="44">
        <f>IF($L83="معتمد",$H83,0)</f>
        <v/>
      </c>
      <c r="K83" s="44">
        <f>IF($B83="","",$I83-$J83)</f>
        <v/>
      </c>
      <c r="L83" s="40" t="n"/>
      <c r="M83" s="40" t="n"/>
      <c r="N83" s="110" t="n"/>
      <c r="O83" s="40" t="n"/>
    </row>
    <row r="84">
      <c r="A84" s="46" t="n"/>
      <c r="B84" s="47" t="n"/>
      <c r="C84" s="50">
        <f>IFERROR(INDEX(الموظفون_الاسم,MATCH($B84,الموظفون_الرقم,0)),"")</f>
        <v/>
      </c>
      <c r="D84" s="47" t="n"/>
      <c r="E84" s="112" t="n"/>
      <c r="F84" s="112" t="n"/>
      <c r="G84" s="112" t="n"/>
      <c r="H84" s="51">
        <f>IF(OR($F84="",$G84=""),"",MAX(0,$G84-$F84+1))</f>
        <v/>
      </c>
      <c r="I84" s="51">
        <f>IF($B84="","",IFERROR(INDEX(الموظفون_الافتتاحي,MATCH($B84,الموظفون_الرقم,0)),0)+IF($D84&lt;&gt;"سنوية",0,IFERROR(DATEDIF(بداية_احتساب_الرصيد,TODAY(),"M"),0)*معدل_الاستحقاق_الشهري)-SUMIFS($J$3:$J$502,$B$3:$B$502,$B84,$D$3:$D$502,"سنوية",$L$3:$L$502,"معتمد",$A$3:$A$502,"&lt;"&amp;$A84))</f>
        <v/>
      </c>
      <c r="J84" s="51">
        <f>IF($L84="معتمد",$H84,0)</f>
        <v/>
      </c>
      <c r="K84" s="51">
        <f>IF($B84="","",$I84-$J84)</f>
        <v/>
      </c>
      <c r="L84" s="47" t="n"/>
      <c r="M84" s="47" t="n"/>
      <c r="N84" s="112" t="n"/>
      <c r="O84" s="47" t="n"/>
    </row>
    <row r="85">
      <c r="A85" s="39" t="n"/>
      <c r="B85" s="40" t="n"/>
      <c r="C85" s="43">
        <f>IFERROR(INDEX(الموظفون_الاسم,MATCH($B85,الموظفون_الرقم,0)),"")</f>
        <v/>
      </c>
      <c r="D85" s="40" t="n"/>
      <c r="E85" s="110" t="n"/>
      <c r="F85" s="110" t="n"/>
      <c r="G85" s="110" t="n"/>
      <c r="H85" s="44">
        <f>IF(OR($F85="",$G85=""),"",MAX(0,$G85-$F85+1))</f>
        <v/>
      </c>
      <c r="I85" s="44">
        <f>IF($B85="","",IFERROR(INDEX(الموظفون_الافتتاحي,MATCH($B85,الموظفون_الرقم,0)),0)+IF($D85&lt;&gt;"سنوية",0,IFERROR(DATEDIF(بداية_احتساب_الرصيد,TODAY(),"M"),0)*معدل_الاستحقاق_الشهري)-SUMIFS($J$3:$J$502,$B$3:$B$502,$B85,$D$3:$D$502,"سنوية",$L$3:$L$502,"معتمد",$A$3:$A$502,"&lt;"&amp;$A85))</f>
        <v/>
      </c>
      <c r="J85" s="44">
        <f>IF($L85="معتمد",$H85,0)</f>
        <v/>
      </c>
      <c r="K85" s="44">
        <f>IF($B85="","",$I85-$J85)</f>
        <v/>
      </c>
      <c r="L85" s="40" t="n"/>
      <c r="M85" s="40" t="n"/>
      <c r="N85" s="110" t="n"/>
      <c r="O85" s="40" t="n"/>
    </row>
    <row r="86">
      <c r="A86" s="46" t="n"/>
      <c r="B86" s="47" t="n"/>
      <c r="C86" s="50">
        <f>IFERROR(INDEX(الموظفون_الاسم,MATCH($B86,الموظفون_الرقم,0)),"")</f>
        <v/>
      </c>
      <c r="D86" s="47" t="n"/>
      <c r="E86" s="112" t="n"/>
      <c r="F86" s="112" t="n"/>
      <c r="G86" s="112" t="n"/>
      <c r="H86" s="51">
        <f>IF(OR($F86="",$G86=""),"",MAX(0,$G86-$F86+1))</f>
        <v/>
      </c>
      <c r="I86" s="51">
        <f>IF($B86="","",IFERROR(INDEX(الموظفون_الافتتاحي,MATCH($B86,الموظفون_الرقم,0)),0)+IF($D86&lt;&gt;"سنوية",0,IFERROR(DATEDIF(بداية_احتساب_الرصيد,TODAY(),"M"),0)*معدل_الاستحقاق_الشهري)-SUMIFS($J$3:$J$502,$B$3:$B$502,$B86,$D$3:$D$502,"سنوية",$L$3:$L$502,"معتمد",$A$3:$A$502,"&lt;"&amp;$A86))</f>
        <v/>
      </c>
      <c r="J86" s="51">
        <f>IF($L86="معتمد",$H86,0)</f>
        <v/>
      </c>
      <c r="K86" s="51">
        <f>IF($B86="","",$I86-$J86)</f>
        <v/>
      </c>
      <c r="L86" s="47" t="n"/>
      <c r="M86" s="47" t="n"/>
      <c r="N86" s="112" t="n"/>
      <c r="O86" s="47" t="n"/>
    </row>
    <row r="87">
      <c r="A87" s="39" t="n"/>
      <c r="B87" s="40" t="n"/>
      <c r="C87" s="43">
        <f>IFERROR(INDEX(الموظفون_الاسم,MATCH($B87,الموظفون_الرقم,0)),"")</f>
        <v/>
      </c>
      <c r="D87" s="40" t="n"/>
      <c r="E87" s="110" t="n"/>
      <c r="F87" s="110" t="n"/>
      <c r="G87" s="110" t="n"/>
      <c r="H87" s="44">
        <f>IF(OR($F87="",$G87=""),"",MAX(0,$G87-$F87+1))</f>
        <v/>
      </c>
      <c r="I87" s="44">
        <f>IF($B87="","",IFERROR(INDEX(الموظفون_الافتتاحي,MATCH($B87,الموظفون_الرقم,0)),0)+IF($D87&lt;&gt;"سنوية",0,IFERROR(DATEDIF(بداية_احتساب_الرصيد,TODAY(),"M"),0)*معدل_الاستحقاق_الشهري)-SUMIFS($J$3:$J$502,$B$3:$B$502,$B87,$D$3:$D$502,"سنوية",$L$3:$L$502,"معتمد",$A$3:$A$502,"&lt;"&amp;$A87))</f>
        <v/>
      </c>
      <c r="J87" s="44">
        <f>IF($L87="معتمد",$H87,0)</f>
        <v/>
      </c>
      <c r="K87" s="44">
        <f>IF($B87="","",$I87-$J87)</f>
        <v/>
      </c>
      <c r="L87" s="40" t="n"/>
      <c r="M87" s="40" t="n"/>
      <c r="N87" s="110" t="n"/>
      <c r="O87" s="40" t="n"/>
    </row>
    <row r="88">
      <c r="A88" s="46" t="n"/>
      <c r="B88" s="47" t="n"/>
      <c r="C88" s="50">
        <f>IFERROR(INDEX(الموظفون_الاسم,MATCH($B88,الموظفون_الرقم,0)),"")</f>
        <v/>
      </c>
      <c r="D88" s="47" t="n"/>
      <c r="E88" s="112" t="n"/>
      <c r="F88" s="112" t="n"/>
      <c r="G88" s="112" t="n"/>
      <c r="H88" s="51">
        <f>IF(OR($F88="",$G88=""),"",MAX(0,$G88-$F88+1))</f>
        <v/>
      </c>
      <c r="I88" s="51">
        <f>IF($B88="","",IFERROR(INDEX(الموظفون_الافتتاحي,MATCH($B88,الموظفون_الرقم,0)),0)+IF($D88&lt;&gt;"سنوية",0,IFERROR(DATEDIF(بداية_احتساب_الرصيد,TODAY(),"M"),0)*معدل_الاستحقاق_الشهري)-SUMIFS($J$3:$J$502,$B$3:$B$502,$B88,$D$3:$D$502,"سنوية",$L$3:$L$502,"معتمد",$A$3:$A$502,"&lt;"&amp;$A88))</f>
        <v/>
      </c>
      <c r="J88" s="51">
        <f>IF($L88="معتمد",$H88,0)</f>
        <v/>
      </c>
      <c r="K88" s="51">
        <f>IF($B88="","",$I88-$J88)</f>
        <v/>
      </c>
      <c r="L88" s="47" t="n"/>
      <c r="M88" s="47" t="n"/>
      <c r="N88" s="112" t="n"/>
      <c r="O88" s="47" t="n"/>
    </row>
    <row r="89">
      <c r="A89" s="39" t="n"/>
      <c r="B89" s="40" t="n"/>
      <c r="C89" s="43">
        <f>IFERROR(INDEX(الموظفون_الاسم,MATCH($B89,الموظفون_الرقم,0)),"")</f>
        <v/>
      </c>
      <c r="D89" s="40" t="n"/>
      <c r="E89" s="110" t="n"/>
      <c r="F89" s="110" t="n"/>
      <c r="G89" s="110" t="n"/>
      <c r="H89" s="44">
        <f>IF(OR($F89="",$G89=""),"",MAX(0,$G89-$F89+1))</f>
        <v/>
      </c>
      <c r="I89" s="44">
        <f>IF($B89="","",IFERROR(INDEX(الموظفون_الافتتاحي,MATCH($B89,الموظفون_الرقم,0)),0)+IF($D89&lt;&gt;"سنوية",0,IFERROR(DATEDIF(بداية_احتساب_الرصيد,TODAY(),"M"),0)*معدل_الاستحقاق_الشهري)-SUMIFS($J$3:$J$502,$B$3:$B$502,$B89,$D$3:$D$502,"سنوية",$L$3:$L$502,"معتمد",$A$3:$A$502,"&lt;"&amp;$A89))</f>
        <v/>
      </c>
      <c r="J89" s="44">
        <f>IF($L89="معتمد",$H89,0)</f>
        <v/>
      </c>
      <c r="K89" s="44">
        <f>IF($B89="","",$I89-$J89)</f>
        <v/>
      </c>
      <c r="L89" s="40" t="n"/>
      <c r="M89" s="40" t="n"/>
      <c r="N89" s="110" t="n"/>
      <c r="O89" s="40" t="n"/>
    </row>
    <row r="90">
      <c r="A90" s="46" t="n"/>
      <c r="B90" s="47" t="n"/>
      <c r="C90" s="50">
        <f>IFERROR(INDEX(الموظفون_الاسم,MATCH($B90,الموظفون_الرقم,0)),"")</f>
        <v/>
      </c>
      <c r="D90" s="47" t="n"/>
      <c r="E90" s="112" t="n"/>
      <c r="F90" s="112" t="n"/>
      <c r="G90" s="112" t="n"/>
      <c r="H90" s="51">
        <f>IF(OR($F90="",$G90=""),"",MAX(0,$G90-$F90+1))</f>
        <v/>
      </c>
      <c r="I90" s="51">
        <f>IF($B90="","",IFERROR(INDEX(الموظفون_الافتتاحي,MATCH($B90,الموظفون_الرقم,0)),0)+IF($D90&lt;&gt;"سنوية",0,IFERROR(DATEDIF(بداية_احتساب_الرصيد,TODAY(),"M"),0)*معدل_الاستحقاق_الشهري)-SUMIFS($J$3:$J$502,$B$3:$B$502,$B90,$D$3:$D$502,"سنوية",$L$3:$L$502,"معتمد",$A$3:$A$502,"&lt;"&amp;$A90))</f>
        <v/>
      </c>
      <c r="J90" s="51">
        <f>IF($L90="معتمد",$H90,0)</f>
        <v/>
      </c>
      <c r="K90" s="51">
        <f>IF($B90="","",$I90-$J90)</f>
        <v/>
      </c>
      <c r="L90" s="47" t="n"/>
      <c r="M90" s="47" t="n"/>
      <c r="N90" s="112" t="n"/>
      <c r="O90" s="47" t="n"/>
    </row>
    <row r="91">
      <c r="A91" s="39" t="n"/>
      <c r="B91" s="40" t="n"/>
      <c r="C91" s="43">
        <f>IFERROR(INDEX(الموظفون_الاسم,MATCH($B91,الموظفون_الرقم,0)),"")</f>
        <v/>
      </c>
      <c r="D91" s="40" t="n"/>
      <c r="E91" s="110" t="n"/>
      <c r="F91" s="110" t="n"/>
      <c r="G91" s="110" t="n"/>
      <c r="H91" s="44">
        <f>IF(OR($F91="",$G91=""),"",MAX(0,$G91-$F91+1))</f>
        <v/>
      </c>
      <c r="I91" s="44">
        <f>IF($B91="","",IFERROR(INDEX(الموظفون_الافتتاحي,MATCH($B91,الموظفون_الرقم,0)),0)+IF($D91&lt;&gt;"سنوية",0,IFERROR(DATEDIF(بداية_احتساب_الرصيد,TODAY(),"M"),0)*معدل_الاستحقاق_الشهري)-SUMIFS($J$3:$J$502,$B$3:$B$502,$B91,$D$3:$D$502,"سنوية",$L$3:$L$502,"معتمد",$A$3:$A$502,"&lt;"&amp;$A91))</f>
        <v/>
      </c>
      <c r="J91" s="44">
        <f>IF($L91="معتمد",$H91,0)</f>
        <v/>
      </c>
      <c r="K91" s="44">
        <f>IF($B91="","",$I91-$J91)</f>
        <v/>
      </c>
      <c r="L91" s="40" t="n"/>
      <c r="M91" s="40" t="n"/>
      <c r="N91" s="110" t="n"/>
      <c r="O91" s="40" t="n"/>
    </row>
    <row r="92">
      <c r="A92" s="46" t="n"/>
      <c r="B92" s="47" t="n"/>
      <c r="C92" s="50">
        <f>IFERROR(INDEX(الموظفون_الاسم,MATCH($B92,الموظفون_الرقم,0)),"")</f>
        <v/>
      </c>
      <c r="D92" s="47" t="n"/>
      <c r="E92" s="112" t="n"/>
      <c r="F92" s="112" t="n"/>
      <c r="G92" s="112" t="n"/>
      <c r="H92" s="51">
        <f>IF(OR($F92="",$G92=""),"",MAX(0,$G92-$F92+1))</f>
        <v/>
      </c>
      <c r="I92" s="51">
        <f>IF($B92="","",IFERROR(INDEX(الموظفون_الافتتاحي,MATCH($B92,الموظفون_الرقم,0)),0)+IF($D92&lt;&gt;"سنوية",0,IFERROR(DATEDIF(بداية_احتساب_الرصيد,TODAY(),"M"),0)*معدل_الاستحقاق_الشهري)-SUMIFS($J$3:$J$502,$B$3:$B$502,$B92,$D$3:$D$502,"سنوية",$L$3:$L$502,"معتمد",$A$3:$A$502,"&lt;"&amp;$A92))</f>
        <v/>
      </c>
      <c r="J92" s="51">
        <f>IF($L92="معتمد",$H92,0)</f>
        <v/>
      </c>
      <c r="K92" s="51">
        <f>IF($B92="","",$I92-$J92)</f>
        <v/>
      </c>
      <c r="L92" s="47" t="n"/>
      <c r="M92" s="47" t="n"/>
      <c r="N92" s="112" t="n"/>
      <c r="O92" s="47" t="n"/>
    </row>
    <row r="93">
      <c r="A93" s="39" t="n"/>
      <c r="B93" s="40" t="n"/>
      <c r="C93" s="43">
        <f>IFERROR(INDEX(الموظفون_الاسم,MATCH($B93,الموظفون_الرقم,0)),"")</f>
        <v/>
      </c>
      <c r="D93" s="40" t="n"/>
      <c r="E93" s="110" t="n"/>
      <c r="F93" s="110" t="n"/>
      <c r="G93" s="110" t="n"/>
      <c r="H93" s="44">
        <f>IF(OR($F93="",$G93=""),"",MAX(0,$G93-$F93+1))</f>
        <v/>
      </c>
      <c r="I93" s="44">
        <f>IF($B93="","",IFERROR(INDEX(الموظفون_الافتتاحي,MATCH($B93,الموظفون_الرقم,0)),0)+IF($D93&lt;&gt;"سنوية",0,IFERROR(DATEDIF(بداية_احتساب_الرصيد,TODAY(),"M"),0)*معدل_الاستحقاق_الشهري)-SUMIFS($J$3:$J$502,$B$3:$B$502,$B93,$D$3:$D$502,"سنوية",$L$3:$L$502,"معتمد",$A$3:$A$502,"&lt;"&amp;$A93))</f>
        <v/>
      </c>
      <c r="J93" s="44">
        <f>IF($L93="معتمد",$H93,0)</f>
        <v/>
      </c>
      <c r="K93" s="44">
        <f>IF($B93="","",$I93-$J93)</f>
        <v/>
      </c>
      <c r="L93" s="40" t="n"/>
      <c r="M93" s="40" t="n"/>
      <c r="N93" s="110" t="n"/>
      <c r="O93" s="40" t="n"/>
    </row>
    <row r="94">
      <c r="A94" s="46" t="n"/>
      <c r="B94" s="47" t="n"/>
      <c r="C94" s="50">
        <f>IFERROR(INDEX(الموظفون_الاسم,MATCH($B94,الموظفون_الرقم,0)),"")</f>
        <v/>
      </c>
      <c r="D94" s="47" t="n"/>
      <c r="E94" s="112" t="n"/>
      <c r="F94" s="112" t="n"/>
      <c r="G94" s="112" t="n"/>
      <c r="H94" s="51">
        <f>IF(OR($F94="",$G94=""),"",MAX(0,$G94-$F94+1))</f>
        <v/>
      </c>
      <c r="I94" s="51">
        <f>IF($B94="","",IFERROR(INDEX(الموظفون_الافتتاحي,MATCH($B94,الموظفون_الرقم,0)),0)+IF($D94&lt;&gt;"سنوية",0,IFERROR(DATEDIF(بداية_احتساب_الرصيد,TODAY(),"M"),0)*معدل_الاستحقاق_الشهري)-SUMIFS($J$3:$J$502,$B$3:$B$502,$B94,$D$3:$D$502,"سنوية",$L$3:$L$502,"معتمد",$A$3:$A$502,"&lt;"&amp;$A94))</f>
        <v/>
      </c>
      <c r="J94" s="51">
        <f>IF($L94="معتمد",$H94,0)</f>
        <v/>
      </c>
      <c r="K94" s="51">
        <f>IF($B94="","",$I94-$J94)</f>
        <v/>
      </c>
      <c r="L94" s="47" t="n"/>
      <c r="M94" s="47" t="n"/>
      <c r="N94" s="112" t="n"/>
      <c r="O94" s="47" t="n"/>
    </row>
    <row r="95">
      <c r="A95" s="39" t="n"/>
      <c r="B95" s="40" t="n"/>
      <c r="C95" s="43">
        <f>IFERROR(INDEX(الموظفون_الاسم,MATCH($B95,الموظفون_الرقم,0)),"")</f>
        <v/>
      </c>
      <c r="D95" s="40" t="n"/>
      <c r="E95" s="110" t="n"/>
      <c r="F95" s="110" t="n"/>
      <c r="G95" s="110" t="n"/>
      <c r="H95" s="44">
        <f>IF(OR($F95="",$G95=""),"",MAX(0,$G95-$F95+1))</f>
        <v/>
      </c>
      <c r="I95" s="44">
        <f>IF($B95="","",IFERROR(INDEX(الموظفون_الافتتاحي,MATCH($B95,الموظفون_الرقم,0)),0)+IF($D95&lt;&gt;"سنوية",0,IFERROR(DATEDIF(بداية_احتساب_الرصيد,TODAY(),"M"),0)*معدل_الاستحقاق_الشهري)-SUMIFS($J$3:$J$502,$B$3:$B$502,$B95,$D$3:$D$502,"سنوية",$L$3:$L$502,"معتمد",$A$3:$A$502,"&lt;"&amp;$A95))</f>
        <v/>
      </c>
      <c r="J95" s="44">
        <f>IF($L95="معتمد",$H95,0)</f>
        <v/>
      </c>
      <c r="K95" s="44">
        <f>IF($B95="","",$I95-$J95)</f>
        <v/>
      </c>
      <c r="L95" s="40" t="n"/>
      <c r="M95" s="40" t="n"/>
      <c r="N95" s="110" t="n"/>
      <c r="O95" s="40" t="n"/>
    </row>
    <row r="96">
      <c r="A96" s="46" t="n"/>
      <c r="B96" s="47" t="n"/>
      <c r="C96" s="50">
        <f>IFERROR(INDEX(الموظفون_الاسم,MATCH($B96,الموظفون_الرقم,0)),"")</f>
        <v/>
      </c>
      <c r="D96" s="47" t="n"/>
      <c r="E96" s="112" t="n"/>
      <c r="F96" s="112" t="n"/>
      <c r="G96" s="112" t="n"/>
      <c r="H96" s="51">
        <f>IF(OR($F96="",$G96=""),"",MAX(0,$G96-$F96+1))</f>
        <v/>
      </c>
      <c r="I96" s="51">
        <f>IF($B96="","",IFERROR(INDEX(الموظفون_الافتتاحي,MATCH($B96,الموظفون_الرقم,0)),0)+IF($D96&lt;&gt;"سنوية",0,IFERROR(DATEDIF(بداية_احتساب_الرصيد,TODAY(),"M"),0)*معدل_الاستحقاق_الشهري)-SUMIFS($J$3:$J$502,$B$3:$B$502,$B96,$D$3:$D$502,"سنوية",$L$3:$L$502,"معتمد",$A$3:$A$502,"&lt;"&amp;$A96))</f>
        <v/>
      </c>
      <c r="J96" s="51">
        <f>IF($L96="معتمد",$H96,0)</f>
        <v/>
      </c>
      <c r="K96" s="51">
        <f>IF($B96="","",$I96-$J96)</f>
        <v/>
      </c>
      <c r="L96" s="47" t="n"/>
      <c r="M96" s="47" t="n"/>
      <c r="N96" s="112" t="n"/>
      <c r="O96" s="47" t="n"/>
    </row>
    <row r="97">
      <c r="A97" s="39" t="n"/>
      <c r="B97" s="40" t="n"/>
      <c r="C97" s="43">
        <f>IFERROR(INDEX(الموظفون_الاسم,MATCH($B97,الموظفون_الرقم,0)),"")</f>
        <v/>
      </c>
      <c r="D97" s="40" t="n"/>
      <c r="E97" s="110" t="n"/>
      <c r="F97" s="110" t="n"/>
      <c r="G97" s="110" t="n"/>
      <c r="H97" s="44">
        <f>IF(OR($F97="",$G97=""),"",MAX(0,$G97-$F97+1))</f>
        <v/>
      </c>
      <c r="I97" s="44">
        <f>IF($B97="","",IFERROR(INDEX(الموظفون_الافتتاحي,MATCH($B97,الموظفون_الرقم,0)),0)+IF($D97&lt;&gt;"سنوية",0,IFERROR(DATEDIF(بداية_احتساب_الرصيد,TODAY(),"M"),0)*معدل_الاستحقاق_الشهري)-SUMIFS($J$3:$J$502,$B$3:$B$502,$B97,$D$3:$D$502,"سنوية",$L$3:$L$502,"معتمد",$A$3:$A$502,"&lt;"&amp;$A97))</f>
        <v/>
      </c>
      <c r="J97" s="44">
        <f>IF($L97="معتمد",$H97,0)</f>
        <v/>
      </c>
      <c r="K97" s="44">
        <f>IF($B97="","",$I97-$J97)</f>
        <v/>
      </c>
      <c r="L97" s="40" t="n"/>
      <c r="M97" s="40" t="n"/>
      <c r="N97" s="110" t="n"/>
      <c r="O97" s="40" t="n"/>
    </row>
    <row r="98">
      <c r="A98" s="46" t="n"/>
      <c r="B98" s="47" t="n"/>
      <c r="C98" s="50">
        <f>IFERROR(INDEX(الموظفون_الاسم,MATCH($B98,الموظفون_الرقم,0)),"")</f>
        <v/>
      </c>
      <c r="D98" s="47" t="n"/>
      <c r="E98" s="112" t="n"/>
      <c r="F98" s="112" t="n"/>
      <c r="G98" s="112" t="n"/>
      <c r="H98" s="51">
        <f>IF(OR($F98="",$G98=""),"",MAX(0,$G98-$F98+1))</f>
        <v/>
      </c>
      <c r="I98" s="51">
        <f>IF($B98="","",IFERROR(INDEX(الموظفون_الافتتاحي,MATCH($B98,الموظفون_الرقم,0)),0)+IF($D98&lt;&gt;"سنوية",0,IFERROR(DATEDIF(بداية_احتساب_الرصيد,TODAY(),"M"),0)*معدل_الاستحقاق_الشهري)-SUMIFS($J$3:$J$502,$B$3:$B$502,$B98,$D$3:$D$502,"سنوية",$L$3:$L$502,"معتمد",$A$3:$A$502,"&lt;"&amp;$A98))</f>
        <v/>
      </c>
      <c r="J98" s="51">
        <f>IF($L98="معتمد",$H98,0)</f>
        <v/>
      </c>
      <c r="K98" s="51">
        <f>IF($B98="","",$I98-$J98)</f>
        <v/>
      </c>
      <c r="L98" s="47" t="n"/>
      <c r="M98" s="47" t="n"/>
      <c r="N98" s="112" t="n"/>
      <c r="O98" s="47" t="n"/>
    </row>
    <row r="99">
      <c r="A99" s="39" t="n"/>
      <c r="B99" s="40" t="n"/>
      <c r="C99" s="43">
        <f>IFERROR(INDEX(الموظفون_الاسم,MATCH($B99,الموظفون_الرقم,0)),"")</f>
        <v/>
      </c>
      <c r="D99" s="40" t="n"/>
      <c r="E99" s="110" t="n"/>
      <c r="F99" s="110" t="n"/>
      <c r="G99" s="110" t="n"/>
      <c r="H99" s="44">
        <f>IF(OR($F99="",$G99=""),"",MAX(0,$G99-$F99+1))</f>
        <v/>
      </c>
      <c r="I99" s="44">
        <f>IF($B99="","",IFERROR(INDEX(الموظفون_الافتتاحي,MATCH($B99,الموظفون_الرقم,0)),0)+IF($D99&lt;&gt;"سنوية",0,IFERROR(DATEDIF(بداية_احتساب_الرصيد,TODAY(),"M"),0)*معدل_الاستحقاق_الشهري)-SUMIFS($J$3:$J$502,$B$3:$B$502,$B99,$D$3:$D$502,"سنوية",$L$3:$L$502,"معتمد",$A$3:$A$502,"&lt;"&amp;$A99))</f>
        <v/>
      </c>
      <c r="J99" s="44">
        <f>IF($L99="معتمد",$H99,0)</f>
        <v/>
      </c>
      <c r="K99" s="44">
        <f>IF($B99="","",$I99-$J99)</f>
        <v/>
      </c>
      <c r="L99" s="40" t="n"/>
      <c r="M99" s="40" t="n"/>
      <c r="N99" s="110" t="n"/>
      <c r="O99" s="40" t="n"/>
    </row>
    <row r="100">
      <c r="A100" s="46" t="n"/>
      <c r="B100" s="47" t="n"/>
      <c r="C100" s="50">
        <f>IFERROR(INDEX(الموظفون_الاسم,MATCH($B100,الموظفون_الرقم,0)),"")</f>
        <v/>
      </c>
      <c r="D100" s="47" t="n"/>
      <c r="E100" s="112" t="n"/>
      <c r="F100" s="112" t="n"/>
      <c r="G100" s="112" t="n"/>
      <c r="H100" s="51">
        <f>IF(OR($F100="",$G100=""),"",MAX(0,$G100-$F100+1))</f>
        <v/>
      </c>
      <c r="I100" s="51">
        <f>IF($B100="","",IFERROR(INDEX(الموظفون_الافتتاحي,MATCH($B100,الموظفون_الرقم,0)),0)+IF($D100&lt;&gt;"سنوية",0,IFERROR(DATEDIF(بداية_احتساب_الرصيد,TODAY(),"M"),0)*معدل_الاستحقاق_الشهري)-SUMIFS($J$3:$J$502,$B$3:$B$502,$B100,$D$3:$D$502,"سنوية",$L$3:$L$502,"معتمد",$A$3:$A$502,"&lt;"&amp;$A100))</f>
        <v/>
      </c>
      <c r="J100" s="51">
        <f>IF($L100="معتمد",$H100,0)</f>
        <v/>
      </c>
      <c r="K100" s="51">
        <f>IF($B100="","",$I100-$J100)</f>
        <v/>
      </c>
      <c r="L100" s="47" t="n"/>
      <c r="M100" s="47" t="n"/>
      <c r="N100" s="112" t="n"/>
      <c r="O100" s="47" t="n"/>
    </row>
    <row r="101">
      <c r="A101" s="39" t="n"/>
      <c r="B101" s="40" t="n"/>
      <c r="C101" s="43">
        <f>IFERROR(INDEX(الموظفون_الاسم,MATCH($B101,الموظفون_الرقم,0)),"")</f>
        <v/>
      </c>
      <c r="D101" s="40" t="n"/>
      <c r="E101" s="110" t="n"/>
      <c r="F101" s="110" t="n"/>
      <c r="G101" s="110" t="n"/>
      <c r="H101" s="44">
        <f>IF(OR($F101="",$G101=""),"",MAX(0,$G101-$F101+1))</f>
        <v/>
      </c>
      <c r="I101" s="44">
        <f>IF($B101="","",IFERROR(INDEX(الموظفون_الافتتاحي,MATCH($B101,الموظفون_الرقم,0)),0)+IF($D101&lt;&gt;"سنوية",0,IFERROR(DATEDIF(بداية_احتساب_الرصيد,TODAY(),"M"),0)*معدل_الاستحقاق_الشهري)-SUMIFS($J$3:$J$502,$B$3:$B$502,$B101,$D$3:$D$502,"سنوية",$L$3:$L$502,"معتمد",$A$3:$A$502,"&lt;"&amp;$A101))</f>
        <v/>
      </c>
      <c r="J101" s="44">
        <f>IF($L101="معتمد",$H101,0)</f>
        <v/>
      </c>
      <c r="K101" s="44">
        <f>IF($B101="","",$I101-$J101)</f>
        <v/>
      </c>
      <c r="L101" s="40" t="n"/>
      <c r="M101" s="40" t="n"/>
      <c r="N101" s="110" t="n"/>
      <c r="O101" s="40" t="n"/>
    </row>
    <row r="102">
      <c r="A102" s="46" t="n"/>
      <c r="B102" s="47" t="n"/>
      <c r="C102" s="50">
        <f>IFERROR(INDEX(الموظفون_الاسم,MATCH($B102,الموظفون_الرقم,0)),"")</f>
        <v/>
      </c>
      <c r="D102" s="47" t="n"/>
      <c r="E102" s="112" t="n"/>
      <c r="F102" s="112" t="n"/>
      <c r="G102" s="112" t="n"/>
      <c r="H102" s="51">
        <f>IF(OR($F102="",$G102=""),"",MAX(0,$G102-$F102+1))</f>
        <v/>
      </c>
      <c r="I102" s="51">
        <f>IF($B102="","",IFERROR(INDEX(الموظفون_الافتتاحي,MATCH($B102,الموظفون_الرقم,0)),0)+IF($D102&lt;&gt;"سنوية",0,IFERROR(DATEDIF(بداية_احتساب_الرصيد,TODAY(),"M"),0)*معدل_الاستحقاق_الشهري)-SUMIFS($J$3:$J$502,$B$3:$B$502,$B102,$D$3:$D$502,"سنوية",$L$3:$L$502,"معتمد",$A$3:$A$502,"&lt;"&amp;$A102))</f>
        <v/>
      </c>
      <c r="J102" s="51">
        <f>IF($L102="معتمد",$H102,0)</f>
        <v/>
      </c>
      <c r="K102" s="51">
        <f>IF($B102="","",$I102-$J102)</f>
        <v/>
      </c>
      <c r="L102" s="47" t="n"/>
      <c r="M102" s="47" t="n"/>
      <c r="N102" s="112" t="n"/>
      <c r="O102" s="47" t="n"/>
    </row>
    <row r="103">
      <c r="A103" s="39" t="n"/>
      <c r="B103" s="40" t="n"/>
      <c r="C103" s="43">
        <f>IFERROR(INDEX(الموظفون_الاسم,MATCH($B103,الموظفون_الرقم,0)),"")</f>
        <v/>
      </c>
      <c r="D103" s="40" t="n"/>
      <c r="E103" s="110" t="n"/>
      <c r="F103" s="110" t="n"/>
      <c r="G103" s="110" t="n"/>
      <c r="H103" s="44">
        <f>IF(OR($F103="",$G103=""),"",MAX(0,$G103-$F103+1))</f>
        <v/>
      </c>
      <c r="I103" s="44">
        <f>IF($B103="","",IFERROR(INDEX(الموظفون_الافتتاحي,MATCH($B103,الموظفون_الرقم,0)),0)+IF($D103&lt;&gt;"سنوية",0,IFERROR(DATEDIF(بداية_احتساب_الرصيد,TODAY(),"M"),0)*معدل_الاستحقاق_الشهري)-SUMIFS($J$3:$J$502,$B$3:$B$502,$B103,$D$3:$D$502,"سنوية",$L$3:$L$502,"معتمد",$A$3:$A$502,"&lt;"&amp;$A103))</f>
        <v/>
      </c>
      <c r="J103" s="44">
        <f>IF($L103="معتمد",$H103,0)</f>
        <v/>
      </c>
      <c r="K103" s="44">
        <f>IF($B103="","",$I103-$J103)</f>
        <v/>
      </c>
      <c r="L103" s="40" t="n"/>
      <c r="M103" s="40" t="n"/>
      <c r="N103" s="110" t="n"/>
      <c r="O103" s="40" t="n"/>
    </row>
    <row r="104">
      <c r="A104" s="46" t="n"/>
      <c r="B104" s="47" t="n"/>
      <c r="C104" s="50">
        <f>IFERROR(INDEX(الموظفون_الاسم,MATCH($B104,الموظفون_الرقم,0)),"")</f>
        <v/>
      </c>
      <c r="D104" s="47" t="n"/>
      <c r="E104" s="112" t="n"/>
      <c r="F104" s="112" t="n"/>
      <c r="G104" s="112" t="n"/>
      <c r="H104" s="51">
        <f>IF(OR($F104="",$G104=""),"",MAX(0,$G104-$F104+1))</f>
        <v/>
      </c>
      <c r="I104" s="51">
        <f>IF($B104="","",IFERROR(INDEX(الموظفون_الافتتاحي,MATCH($B104,الموظفون_الرقم,0)),0)+IF($D104&lt;&gt;"سنوية",0,IFERROR(DATEDIF(بداية_احتساب_الرصيد,TODAY(),"M"),0)*معدل_الاستحقاق_الشهري)-SUMIFS($J$3:$J$502,$B$3:$B$502,$B104,$D$3:$D$502,"سنوية",$L$3:$L$502,"معتمد",$A$3:$A$502,"&lt;"&amp;$A104))</f>
        <v/>
      </c>
      <c r="J104" s="51">
        <f>IF($L104="معتمد",$H104,0)</f>
        <v/>
      </c>
      <c r="K104" s="51">
        <f>IF($B104="","",$I104-$J104)</f>
        <v/>
      </c>
      <c r="L104" s="47" t="n"/>
      <c r="M104" s="47" t="n"/>
      <c r="N104" s="112" t="n"/>
      <c r="O104" s="47" t="n"/>
    </row>
    <row r="105">
      <c r="A105" s="39" t="n"/>
      <c r="B105" s="40" t="n"/>
      <c r="C105" s="43">
        <f>IFERROR(INDEX(الموظفون_الاسم,MATCH($B105,الموظفون_الرقم,0)),"")</f>
        <v/>
      </c>
      <c r="D105" s="40" t="n"/>
      <c r="E105" s="110" t="n"/>
      <c r="F105" s="110" t="n"/>
      <c r="G105" s="110" t="n"/>
      <c r="H105" s="44">
        <f>IF(OR($F105="",$G105=""),"",MAX(0,$G105-$F105+1))</f>
        <v/>
      </c>
      <c r="I105" s="44">
        <f>IF($B105="","",IFERROR(INDEX(الموظفون_الافتتاحي,MATCH($B105,الموظفون_الرقم,0)),0)+IF($D105&lt;&gt;"سنوية",0,IFERROR(DATEDIF(بداية_احتساب_الرصيد,TODAY(),"M"),0)*معدل_الاستحقاق_الشهري)-SUMIFS($J$3:$J$502,$B$3:$B$502,$B105,$D$3:$D$502,"سنوية",$L$3:$L$502,"معتمد",$A$3:$A$502,"&lt;"&amp;$A105))</f>
        <v/>
      </c>
      <c r="J105" s="44">
        <f>IF($L105="معتمد",$H105,0)</f>
        <v/>
      </c>
      <c r="K105" s="44">
        <f>IF($B105="","",$I105-$J105)</f>
        <v/>
      </c>
      <c r="L105" s="40" t="n"/>
      <c r="M105" s="40" t="n"/>
      <c r="N105" s="110" t="n"/>
      <c r="O105" s="40" t="n"/>
    </row>
    <row r="106">
      <c r="A106" s="46" t="n"/>
      <c r="B106" s="47" t="n"/>
      <c r="C106" s="50">
        <f>IFERROR(INDEX(الموظفون_الاسم,MATCH($B106,الموظفون_الرقم,0)),"")</f>
        <v/>
      </c>
      <c r="D106" s="47" t="n"/>
      <c r="E106" s="112" t="n"/>
      <c r="F106" s="112" t="n"/>
      <c r="G106" s="112" t="n"/>
      <c r="H106" s="51">
        <f>IF(OR($F106="",$G106=""),"",MAX(0,$G106-$F106+1))</f>
        <v/>
      </c>
      <c r="I106" s="51">
        <f>IF($B106="","",IFERROR(INDEX(الموظفون_الافتتاحي,MATCH($B106,الموظفون_الرقم,0)),0)+IF($D106&lt;&gt;"سنوية",0,IFERROR(DATEDIF(بداية_احتساب_الرصيد,TODAY(),"M"),0)*معدل_الاستحقاق_الشهري)-SUMIFS($J$3:$J$502,$B$3:$B$502,$B106,$D$3:$D$502,"سنوية",$L$3:$L$502,"معتمد",$A$3:$A$502,"&lt;"&amp;$A106))</f>
        <v/>
      </c>
      <c r="J106" s="51">
        <f>IF($L106="معتمد",$H106,0)</f>
        <v/>
      </c>
      <c r="K106" s="51">
        <f>IF($B106="","",$I106-$J106)</f>
        <v/>
      </c>
      <c r="L106" s="47" t="n"/>
      <c r="M106" s="47" t="n"/>
      <c r="N106" s="112" t="n"/>
      <c r="O106" s="47" t="n"/>
    </row>
    <row r="107">
      <c r="A107" s="39" t="n"/>
      <c r="B107" s="40" t="n"/>
      <c r="C107" s="43">
        <f>IFERROR(INDEX(الموظفون_الاسم,MATCH($B107,الموظفون_الرقم,0)),"")</f>
        <v/>
      </c>
      <c r="D107" s="40" t="n"/>
      <c r="E107" s="110" t="n"/>
      <c r="F107" s="110" t="n"/>
      <c r="G107" s="110" t="n"/>
      <c r="H107" s="44">
        <f>IF(OR($F107="",$G107=""),"",MAX(0,$G107-$F107+1))</f>
        <v/>
      </c>
      <c r="I107" s="44">
        <f>IF($B107="","",IFERROR(INDEX(الموظفون_الافتتاحي,MATCH($B107,الموظفون_الرقم,0)),0)+IF($D107&lt;&gt;"سنوية",0,IFERROR(DATEDIF(بداية_احتساب_الرصيد,TODAY(),"M"),0)*معدل_الاستحقاق_الشهري)-SUMIFS($J$3:$J$502,$B$3:$B$502,$B107,$D$3:$D$502,"سنوية",$L$3:$L$502,"معتمد",$A$3:$A$502,"&lt;"&amp;$A107))</f>
        <v/>
      </c>
      <c r="J107" s="44">
        <f>IF($L107="معتمد",$H107,0)</f>
        <v/>
      </c>
      <c r="K107" s="44">
        <f>IF($B107="","",$I107-$J107)</f>
        <v/>
      </c>
      <c r="L107" s="40" t="n"/>
      <c r="M107" s="40" t="n"/>
      <c r="N107" s="110" t="n"/>
      <c r="O107" s="40" t="n"/>
    </row>
    <row r="108">
      <c r="A108" s="46" t="n"/>
      <c r="B108" s="47" t="n"/>
      <c r="C108" s="50">
        <f>IFERROR(INDEX(الموظفون_الاسم,MATCH($B108,الموظفون_الرقم,0)),"")</f>
        <v/>
      </c>
      <c r="D108" s="47" t="n"/>
      <c r="E108" s="112" t="n"/>
      <c r="F108" s="112" t="n"/>
      <c r="G108" s="112" t="n"/>
      <c r="H108" s="51">
        <f>IF(OR($F108="",$G108=""),"",MAX(0,$G108-$F108+1))</f>
        <v/>
      </c>
      <c r="I108" s="51">
        <f>IF($B108="","",IFERROR(INDEX(الموظفون_الافتتاحي,MATCH($B108,الموظفون_الرقم,0)),0)+IF($D108&lt;&gt;"سنوية",0,IFERROR(DATEDIF(بداية_احتساب_الرصيد,TODAY(),"M"),0)*معدل_الاستحقاق_الشهري)-SUMIFS($J$3:$J$502,$B$3:$B$502,$B108,$D$3:$D$502,"سنوية",$L$3:$L$502,"معتمد",$A$3:$A$502,"&lt;"&amp;$A108))</f>
        <v/>
      </c>
      <c r="J108" s="51">
        <f>IF($L108="معتمد",$H108,0)</f>
        <v/>
      </c>
      <c r="K108" s="51">
        <f>IF($B108="","",$I108-$J108)</f>
        <v/>
      </c>
      <c r="L108" s="47" t="n"/>
      <c r="M108" s="47" t="n"/>
      <c r="N108" s="112" t="n"/>
      <c r="O108" s="47" t="n"/>
    </row>
    <row r="109">
      <c r="A109" s="39" t="n"/>
      <c r="B109" s="40" t="n"/>
      <c r="C109" s="43">
        <f>IFERROR(INDEX(الموظفون_الاسم,MATCH($B109,الموظفون_الرقم,0)),"")</f>
        <v/>
      </c>
      <c r="D109" s="40" t="n"/>
      <c r="E109" s="110" t="n"/>
      <c r="F109" s="110" t="n"/>
      <c r="G109" s="110" t="n"/>
      <c r="H109" s="44">
        <f>IF(OR($F109="",$G109=""),"",MAX(0,$G109-$F109+1))</f>
        <v/>
      </c>
      <c r="I109" s="44">
        <f>IF($B109="","",IFERROR(INDEX(الموظفون_الافتتاحي,MATCH($B109,الموظفون_الرقم,0)),0)+IF($D109&lt;&gt;"سنوية",0,IFERROR(DATEDIF(بداية_احتساب_الرصيد,TODAY(),"M"),0)*معدل_الاستحقاق_الشهري)-SUMIFS($J$3:$J$502,$B$3:$B$502,$B109,$D$3:$D$502,"سنوية",$L$3:$L$502,"معتمد",$A$3:$A$502,"&lt;"&amp;$A109))</f>
        <v/>
      </c>
      <c r="J109" s="44">
        <f>IF($L109="معتمد",$H109,0)</f>
        <v/>
      </c>
      <c r="K109" s="44">
        <f>IF($B109="","",$I109-$J109)</f>
        <v/>
      </c>
      <c r="L109" s="40" t="n"/>
      <c r="M109" s="40" t="n"/>
      <c r="N109" s="110" t="n"/>
      <c r="O109" s="40" t="n"/>
    </row>
    <row r="110">
      <c r="A110" s="46" t="n"/>
      <c r="B110" s="47" t="n"/>
      <c r="C110" s="50">
        <f>IFERROR(INDEX(الموظفون_الاسم,MATCH($B110,الموظفون_الرقم,0)),"")</f>
        <v/>
      </c>
      <c r="D110" s="47" t="n"/>
      <c r="E110" s="112" t="n"/>
      <c r="F110" s="112" t="n"/>
      <c r="G110" s="112" t="n"/>
      <c r="H110" s="51">
        <f>IF(OR($F110="",$G110=""),"",MAX(0,$G110-$F110+1))</f>
        <v/>
      </c>
      <c r="I110" s="51">
        <f>IF($B110="","",IFERROR(INDEX(الموظفون_الافتتاحي,MATCH($B110,الموظفون_الرقم,0)),0)+IF($D110&lt;&gt;"سنوية",0,IFERROR(DATEDIF(بداية_احتساب_الرصيد,TODAY(),"M"),0)*معدل_الاستحقاق_الشهري)-SUMIFS($J$3:$J$502,$B$3:$B$502,$B110,$D$3:$D$502,"سنوية",$L$3:$L$502,"معتمد",$A$3:$A$502,"&lt;"&amp;$A110))</f>
        <v/>
      </c>
      <c r="J110" s="51">
        <f>IF($L110="معتمد",$H110,0)</f>
        <v/>
      </c>
      <c r="K110" s="51">
        <f>IF($B110="","",$I110-$J110)</f>
        <v/>
      </c>
      <c r="L110" s="47" t="n"/>
      <c r="M110" s="47" t="n"/>
      <c r="N110" s="112" t="n"/>
      <c r="O110" s="47" t="n"/>
    </row>
    <row r="111">
      <c r="A111" s="39" t="n"/>
      <c r="B111" s="40" t="n"/>
      <c r="C111" s="43">
        <f>IFERROR(INDEX(الموظفون_الاسم,MATCH($B111,الموظفون_الرقم,0)),"")</f>
        <v/>
      </c>
      <c r="D111" s="40" t="n"/>
      <c r="E111" s="110" t="n"/>
      <c r="F111" s="110" t="n"/>
      <c r="G111" s="110" t="n"/>
      <c r="H111" s="44">
        <f>IF(OR($F111="",$G111=""),"",MAX(0,$G111-$F111+1))</f>
        <v/>
      </c>
      <c r="I111" s="44">
        <f>IF($B111="","",IFERROR(INDEX(الموظفون_الافتتاحي,MATCH($B111,الموظفون_الرقم,0)),0)+IF($D111&lt;&gt;"سنوية",0,IFERROR(DATEDIF(بداية_احتساب_الرصيد,TODAY(),"M"),0)*معدل_الاستحقاق_الشهري)-SUMIFS($J$3:$J$502,$B$3:$B$502,$B111,$D$3:$D$502,"سنوية",$L$3:$L$502,"معتمد",$A$3:$A$502,"&lt;"&amp;$A111))</f>
        <v/>
      </c>
      <c r="J111" s="44">
        <f>IF($L111="معتمد",$H111,0)</f>
        <v/>
      </c>
      <c r="K111" s="44">
        <f>IF($B111="","",$I111-$J111)</f>
        <v/>
      </c>
      <c r="L111" s="40" t="n"/>
      <c r="M111" s="40" t="n"/>
      <c r="N111" s="110" t="n"/>
      <c r="O111" s="40" t="n"/>
    </row>
    <row r="112">
      <c r="A112" s="46" t="n"/>
      <c r="B112" s="47" t="n"/>
      <c r="C112" s="50">
        <f>IFERROR(INDEX(الموظفون_الاسم,MATCH($B112,الموظفون_الرقم,0)),"")</f>
        <v/>
      </c>
      <c r="D112" s="47" t="n"/>
      <c r="E112" s="112" t="n"/>
      <c r="F112" s="112" t="n"/>
      <c r="G112" s="112" t="n"/>
      <c r="H112" s="51">
        <f>IF(OR($F112="",$G112=""),"",MAX(0,$G112-$F112+1))</f>
        <v/>
      </c>
      <c r="I112" s="51">
        <f>IF($B112="","",IFERROR(INDEX(الموظفون_الافتتاحي,MATCH($B112,الموظفون_الرقم,0)),0)+IF($D112&lt;&gt;"سنوية",0,IFERROR(DATEDIF(بداية_احتساب_الرصيد,TODAY(),"M"),0)*معدل_الاستحقاق_الشهري)-SUMIFS($J$3:$J$502,$B$3:$B$502,$B112,$D$3:$D$502,"سنوية",$L$3:$L$502,"معتمد",$A$3:$A$502,"&lt;"&amp;$A112))</f>
        <v/>
      </c>
      <c r="J112" s="51">
        <f>IF($L112="معتمد",$H112,0)</f>
        <v/>
      </c>
      <c r="K112" s="51">
        <f>IF($B112="","",$I112-$J112)</f>
        <v/>
      </c>
      <c r="L112" s="47" t="n"/>
      <c r="M112" s="47" t="n"/>
      <c r="N112" s="112" t="n"/>
      <c r="O112" s="47" t="n"/>
    </row>
    <row r="113">
      <c r="A113" s="39" t="n"/>
      <c r="B113" s="40" t="n"/>
      <c r="C113" s="43">
        <f>IFERROR(INDEX(الموظفون_الاسم,MATCH($B113,الموظفون_الرقم,0)),"")</f>
        <v/>
      </c>
      <c r="D113" s="40" t="n"/>
      <c r="E113" s="110" t="n"/>
      <c r="F113" s="110" t="n"/>
      <c r="G113" s="110" t="n"/>
      <c r="H113" s="44">
        <f>IF(OR($F113="",$G113=""),"",MAX(0,$G113-$F113+1))</f>
        <v/>
      </c>
      <c r="I113" s="44">
        <f>IF($B113="","",IFERROR(INDEX(الموظفون_الافتتاحي,MATCH($B113,الموظفون_الرقم,0)),0)+IF($D113&lt;&gt;"سنوية",0,IFERROR(DATEDIF(بداية_احتساب_الرصيد,TODAY(),"M"),0)*معدل_الاستحقاق_الشهري)-SUMIFS($J$3:$J$502,$B$3:$B$502,$B113,$D$3:$D$502,"سنوية",$L$3:$L$502,"معتمد",$A$3:$A$502,"&lt;"&amp;$A113))</f>
        <v/>
      </c>
      <c r="J113" s="44">
        <f>IF($L113="معتمد",$H113,0)</f>
        <v/>
      </c>
      <c r="K113" s="44">
        <f>IF($B113="","",$I113-$J113)</f>
        <v/>
      </c>
      <c r="L113" s="40" t="n"/>
      <c r="M113" s="40" t="n"/>
      <c r="N113" s="110" t="n"/>
      <c r="O113" s="40" t="n"/>
    </row>
    <row r="114">
      <c r="A114" s="46" t="n"/>
      <c r="B114" s="47" t="n"/>
      <c r="C114" s="50">
        <f>IFERROR(INDEX(الموظفون_الاسم,MATCH($B114,الموظفون_الرقم,0)),"")</f>
        <v/>
      </c>
      <c r="D114" s="47" t="n"/>
      <c r="E114" s="112" t="n"/>
      <c r="F114" s="112" t="n"/>
      <c r="G114" s="112" t="n"/>
      <c r="H114" s="51">
        <f>IF(OR($F114="",$G114=""),"",MAX(0,$G114-$F114+1))</f>
        <v/>
      </c>
      <c r="I114" s="51">
        <f>IF($B114="","",IFERROR(INDEX(الموظفون_الافتتاحي,MATCH($B114,الموظفون_الرقم,0)),0)+IF($D114&lt;&gt;"سنوية",0,IFERROR(DATEDIF(بداية_احتساب_الرصيد,TODAY(),"M"),0)*معدل_الاستحقاق_الشهري)-SUMIFS($J$3:$J$502,$B$3:$B$502,$B114,$D$3:$D$502,"سنوية",$L$3:$L$502,"معتمد",$A$3:$A$502,"&lt;"&amp;$A114))</f>
        <v/>
      </c>
      <c r="J114" s="51">
        <f>IF($L114="معتمد",$H114,0)</f>
        <v/>
      </c>
      <c r="K114" s="51">
        <f>IF($B114="","",$I114-$J114)</f>
        <v/>
      </c>
      <c r="L114" s="47" t="n"/>
      <c r="M114" s="47" t="n"/>
      <c r="N114" s="112" t="n"/>
      <c r="O114" s="47" t="n"/>
    </row>
    <row r="115">
      <c r="A115" s="39" t="n"/>
      <c r="B115" s="40" t="n"/>
      <c r="C115" s="43">
        <f>IFERROR(INDEX(الموظفون_الاسم,MATCH($B115,الموظفون_الرقم,0)),"")</f>
        <v/>
      </c>
      <c r="D115" s="40" t="n"/>
      <c r="E115" s="110" t="n"/>
      <c r="F115" s="110" t="n"/>
      <c r="G115" s="110" t="n"/>
      <c r="H115" s="44">
        <f>IF(OR($F115="",$G115=""),"",MAX(0,$G115-$F115+1))</f>
        <v/>
      </c>
      <c r="I115" s="44">
        <f>IF($B115="","",IFERROR(INDEX(الموظفون_الافتتاحي,MATCH($B115,الموظفون_الرقم,0)),0)+IF($D115&lt;&gt;"سنوية",0,IFERROR(DATEDIF(بداية_احتساب_الرصيد,TODAY(),"M"),0)*معدل_الاستحقاق_الشهري)-SUMIFS($J$3:$J$502,$B$3:$B$502,$B115,$D$3:$D$502,"سنوية",$L$3:$L$502,"معتمد",$A$3:$A$502,"&lt;"&amp;$A115))</f>
        <v/>
      </c>
      <c r="J115" s="44">
        <f>IF($L115="معتمد",$H115,0)</f>
        <v/>
      </c>
      <c r="K115" s="44">
        <f>IF($B115="","",$I115-$J115)</f>
        <v/>
      </c>
      <c r="L115" s="40" t="n"/>
      <c r="M115" s="40" t="n"/>
      <c r="N115" s="110" t="n"/>
      <c r="O115" s="40" t="n"/>
    </row>
    <row r="116">
      <c r="A116" s="46" t="n"/>
      <c r="B116" s="47" t="n"/>
      <c r="C116" s="50">
        <f>IFERROR(INDEX(الموظفون_الاسم,MATCH($B116,الموظفون_الرقم,0)),"")</f>
        <v/>
      </c>
      <c r="D116" s="47" t="n"/>
      <c r="E116" s="112" t="n"/>
      <c r="F116" s="112" t="n"/>
      <c r="G116" s="112" t="n"/>
      <c r="H116" s="51">
        <f>IF(OR($F116="",$G116=""),"",MAX(0,$G116-$F116+1))</f>
        <v/>
      </c>
      <c r="I116" s="51">
        <f>IF($B116="","",IFERROR(INDEX(الموظفون_الافتتاحي,MATCH($B116,الموظفون_الرقم,0)),0)+IF($D116&lt;&gt;"سنوية",0,IFERROR(DATEDIF(بداية_احتساب_الرصيد,TODAY(),"M"),0)*معدل_الاستحقاق_الشهري)-SUMIFS($J$3:$J$502,$B$3:$B$502,$B116,$D$3:$D$502,"سنوية",$L$3:$L$502,"معتمد",$A$3:$A$502,"&lt;"&amp;$A116))</f>
        <v/>
      </c>
      <c r="J116" s="51">
        <f>IF($L116="معتمد",$H116,0)</f>
        <v/>
      </c>
      <c r="K116" s="51">
        <f>IF($B116="","",$I116-$J116)</f>
        <v/>
      </c>
      <c r="L116" s="47" t="n"/>
      <c r="M116" s="47" t="n"/>
      <c r="N116" s="112" t="n"/>
      <c r="O116" s="47" t="n"/>
    </row>
    <row r="117">
      <c r="A117" s="39" t="n"/>
      <c r="B117" s="40" t="n"/>
      <c r="C117" s="43">
        <f>IFERROR(INDEX(الموظفون_الاسم,MATCH($B117,الموظفون_الرقم,0)),"")</f>
        <v/>
      </c>
      <c r="D117" s="40" t="n"/>
      <c r="E117" s="110" t="n"/>
      <c r="F117" s="110" t="n"/>
      <c r="G117" s="110" t="n"/>
      <c r="H117" s="44">
        <f>IF(OR($F117="",$G117=""),"",MAX(0,$G117-$F117+1))</f>
        <v/>
      </c>
      <c r="I117" s="44">
        <f>IF($B117="","",IFERROR(INDEX(الموظفون_الافتتاحي,MATCH($B117,الموظفون_الرقم,0)),0)+IF($D117&lt;&gt;"سنوية",0,IFERROR(DATEDIF(بداية_احتساب_الرصيد,TODAY(),"M"),0)*معدل_الاستحقاق_الشهري)-SUMIFS($J$3:$J$502,$B$3:$B$502,$B117,$D$3:$D$502,"سنوية",$L$3:$L$502,"معتمد",$A$3:$A$502,"&lt;"&amp;$A117))</f>
        <v/>
      </c>
      <c r="J117" s="44">
        <f>IF($L117="معتمد",$H117,0)</f>
        <v/>
      </c>
      <c r="K117" s="44">
        <f>IF($B117="","",$I117-$J117)</f>
        <v/>
      </c>
      <c r="L117" s="40" t="n"/>
      <c r="M117" s="40" t="n"/>
      <c r="N117" s="110" t="n"/>
      <c r="O117" s="40" t="n"/>
    </row>
    <row r="118">
      <c r="A118" s="46" t="n"/>
      <c r="B118" s="47" t="n"/>
      <c r="C118" s="50">
        <f>IFERROR(INDEX(الموظفون_الاسم,MATCH($B118,الموظفون_الرقم,0)),"")</f>
        <v/>
      </c>
      <c r="D118" s="47" t="n"/>
      <c r="E118" s="112" t="n"/>
      <c r="F118" s="112" t="n"/>
      <c r="G118" s="112" t="n"/>
      <c r="H118" s="51">
        <f>IF(OR($F118="",$G118=""),"",MAX(0,$G118-$F118+1))</f>
        <v/>
      </c>
      <c r="I118" s="51">
        <f>IF($B118="","",IFERROR(INDEX(الموظفون_الافتتاحي,MATCH($B118,الموظفون_الرقم,0)),0)+IF($D118&lt;&gt;"سنوية",0,IFERROR(DATEDIF(بداية_احتساب_الرصيد,TODAY(),"M"),0)*معدل_الاستحقاق_الشهري)-SUMIFS($J$3:$J$502,$B$3:$B$502,$B118,$D$3:$D$502,"سنوية",$L$3:$L$502,"معتمد",$A$3:$A$502,"&lt;"&amp;$A118))</f>
        <v/>
      </c>
      <c r="J118" s="51">
        <f>IF($L118="معتمد",$H118,0)</f>
        <v/>
      </c>
      <c r="K118" s="51">
        <f>IF($B118="","",$I118-$J118)</f>
        <v/>
      </c>
      <c r="L118" s="47" t="n"/>
      <c r="M118" s="47" t="n"/>
      <c r="N118" s="112" t="n"/>
      <c r="O118" s="47" t="n"/>
    </row>
    <row r="119">
      <c r="A119" s="39" t="n"/>
      <c r="B119" s="40" t="n"/>
      <c r="C119" s="43">
        <f>IFERROR(INDEX(الموظفون_الاسم,MATCH($B119,الموظفون_الرقم,0)),"")</f>
        <v/>
      </c>
      <c r="D119" s="40" t="n"/>
      <c r="E119" s="110" t="n"/>
      <c r="F119" s="110" t="n"/>
      <c r="G119" s="110" t="n"/>
      <c r="H119" s="44">
        <f>IF(OR($F119="",$G119=""),"",MAX(0,$G119-$F119+1))</f>
        <v/>
      </c>
      <c r="I119" s="44">
        <f>IF($B119="","",IFERROR(INDEX(الموظفون_الافتتاحي,MATCH($B119,الموظفون_الرقم,0)),0)+IF($D119&lt;&gt;"سنوية",0,IFERROR(DATEDIF(بداية_احتساب_الرصيد,TODAY(),"M"),0)*معدل_الاستحقاق_الشهري)-SUMIFS($J$3:$J$502,$B$3:$B$502,$B119,$D$3:$D$502,"سنوية",$L$3:$L$502,"معتمد",$A$3:$A$502,"&lt;"&amp;$A119))</f>
        <v/>
      </c>
      <c r="J119" s="44">
        <f>IF($L119="معتمد",$H119,0)</f>
        <v/>
      </c>
      <c r="K119" s="44">
        <f>IF($B119="","",$I119-$J119)</f>
        <v/>
      </c>
      <c r="L119" s="40" t="n"/>
      <c r="M119" s="40" t="n"/>
      <c r="N119" s="110" t="n"/>
      <c r="O119" s="40" t="n"/>
    </row>
    <row r="120">
      <c r="A120" s="46" t="n"/>
      <c r="B120" s="47" t="n"/>
      <c r="C120" s="50">
        <f>IFERROR(INDEX(الموظفون_الاسم,MATCH($B120,الموظفون_الرقم,0)),"")</f>
        <v/>
      </c>
      <c r="D120" s="47" t="n"/>
      <c r="E120" s="112" t="n"/>
      <c r="F120" s="112" t="n"/>
      <c r="G120" s="112" t="n"/>
      <c r="H120" s="51">
        <f>IF(OR($F120="",$G120=""),"",MAX(0,$G120-$F120+1))</f>
        <v/>
      </c>
      <c r="I120" s="51">
        <f>IF($B120="","",IFERROR(INDEX(الموظفون_الافتتاحي,MATCH($B120,الموظفون_الرقم,0)),0)+IF($D120&lt;&gt;"سنوية",0,IFERROR(DATEDIF(بداية_احتساب_الرصيد,TODAY(),"M"),0)*معدل_الاستحقاق_الشهري)-SUMIFS($J$3:$J$502,$B$3:$B$502,$B120,$D$3:$D$502,"سنوية",$L$3:$L$502,"معتمد",$A$3:$A$502,"&lt;"&amp;$A120))</f>
        <v/>
      </c>
      <c r="J120" s="51">
        <f>IF($L120="معتمد",$H120,0)</f>
        <v/>
      </c>
      <c r="K120" s="51">
        <f>IF($B120="","",$I120-$J120)</f>
        <v/>
      </c>
      <c r="L120" s="47" t="n"/>
      <c r="M120" s="47" t="n"/>
      <c r="N120" s="112" t="n"/>
      <c r="O120" s="47" t="n"/>
    </row>
    <row r="121">
      <c r="A121" s="39" t="n"/>
      <c r="B121" s="40" t="n"/>
      <c r="C121" s="43">
        <f>IFERROR(INDEX(الموظفون_الاسم,MATCH($B121,الموظفون_الرقم,0)),"")</f>
        <v/>
      </c>
      <c r="D121" s="40" t="n"/>
      <c r="E121" s="110" t="n"/>
      <c r="F121" s="110" t="n"/>
      <c r="G121" s="110" t="n"/>
      <c r="H121" s="44">
        <f>IF(OR($F121="",$G121=""),"",MAX(0,$G121-$F121+1))</f>
        <v/>
      </c>
      <c r="I121" s="44">
        <f>IF($B121="","",IFERROR(INDEX(الموظفون_الافتتاحي,MATCH($B121,الموظفون_الرقم,0)),0)+IF($D121&lt;&gt;"سنوية",0,IFERROR(DATEDIF(بداية_احتساب_الرصيد,TODAY(),"M"),0)*معدل_الاستحقاق_الشهري)-SUMIFS($J$3:$J$502,$B$3:$B$502,$B121,$D$3:$D$502,"سنوية",$L$3:$L$502,"معتمد",$A$3:$A$502,"&lt;"&amp;$A121))</f>
        <v/>
      </c>
      <c r="J121" s="44">
        <f>IF($L121="معتمد",$H121,0)</f>
        <v/>
      </c>
      <c r="K121" s="44">
        <f>IF($B121="","",$I121-$J121)</f>
        <v/>
      </c>
      <c r="L121" s="40" t="n"/>
      <c r="M121" s="40" t="n"/>
      <c r="N121" s="110" t="n"/>
      <c r="O121" s="40" t="n"/>
    </row>
    <row r="122">
      <c r="A122" s="46" t="n"/>
      <c r="B122" s="47" t="n"/>
      <c r="C122" s="50">
        <f>IFERROR(INDEX(الموظفون_الاسم,MATCH($B122,الموظفون_الرقم,0)),"")</f>
        <v/>
      </c>
      <c r="D122" s="47" t="n"/>
      <c r="E122" s="112" t="n"/>
      <c r="F122" s="112" t="n"/>
      <c r="G122" s="112" t="n"/>
      <c r="H122" s="51">
        <f>IF(OR($F122="",$G122=""),"",MAX(0,$G122-$F122+1))</f>
        <v/>
      </c>
      <c r="I122" s="51">
        <f>IF($B122="","",IFERROR(INDEX(الموظفون_الافتتاحي,MATCH($B122,الموظفون_الرقم,0)),0)+IF($D122&lt;&gt;"سنوية",0,IFERROR(DATEDIF(بداية_احتساب_الرصيد,TODAY(),"M"),0)*معدل_الاستحقاق_الشهري)-SUMIFS($J$3:$J$502,$B$3:$B$502,$B122,$D$3:$D$502,"سنوية",$L$3:$L$502,"معتمد",$A$3:$A$502,"&lt;"&amp;$A122))</f>
        <v/>
      </c>
      <c r="J122" s="51">
        <f>IF($L122="معتمد",$H122,0)</f>
        <v/>
      </c>
      <c r="K122" s="51">
        <f>IF($B122="","",$I122-$J122)</f>
        <v/>
      </c>
      <c r="L122" s="47" t="n"/>
      <c r="M122" s="47" t="n"/>
      <c r="N122" s="112" t="n"/>
      <c r="O122" s="47" t="n"/>
    </row>
    <row r="123">
      <c r="A123" s="39" t="n"/>
      <c r="B123" s="40" t="n"/>
      <c r="C123" s="43">
        <f>IFERROR(INDEX(الموظفون_الاسم,MATCH($B123,الموظفون_الرقم,0)),"")</f>
        <v/>
      </c>
      <c r="D123" s="40" t="n"/>
      <c r="E123" s="110" t="n"/>
      <c r="F123" s="110" t="n"/>
      <c r="G123" s="110" t="n"/>
      <c r="H123" s="44">
        <f>IF(OR($F123="",$G123=""),"",MAX(0,$G123-$F123+1))</f>
        <v/>
      </c>
      <c r="I123" s="44">
        <f>IF($B123="","",IFERROR(INDEX(الموظفون_الافتتاحي,MATCH($B123,الموظفون_الرقم,0)),0)+IF($D123&lt;&gt;"سنوية",0,IFERROR(DATEDIF(بداية_احتساب_الرصيد,TODAY(),"M"),0)*معدل_الاستحقاق_الشهري)-SUMIFS($J$3:$J$502,$B$3:$B$502,$B123,$D$3:$D$502,"سنوية",$L$3:$L$502,"معتمد",$A$3:$A$502,"&lt;"&amp;$A123))</f>
        <v/>
      </c>
      <c r="J123" s="44">
        <f>IF($L123="معتمد",$H123,0)</f>
        <v/>
      </c>
      <c r="K123" s="44">
        <f>IF($B123="","",$I123-$J123)</f>
        <v/>
      </c>
      <c r="L123" s="40" t="n"/>
      <c r="M123" s="40" t="n"/>
      <c r="N123" s="110" t="n"/>
      <c r="O123" s="40" t="n"/>
    </row>
    <row r="124">
      <c r="A124" s="46" t="n"/>
      <c r="B124" s="47" t="n"/>
      <c r="C124" s="50">
        <f>IFERROR(INDEX(الموظفون_الاسم,MATCH($B124,الموظفون_الرقم,0)),"")</f>
        <v/>
      </c>
      <c r="D124" s="47" t="n"/>
      <c r="E124" s="112" t="n"/>
      <c r="F124" s="112" t="n"/>
      <c r="G124" s="112" t="n"/>
      <c r="H124" s="51">
        <f>IF(OR($F124="",$G124=""),"",MAX(0,$G124-$F124+1))</f>
        <v/>
      </c>
      <c r="I124" s="51">
        <f>IF($B124="","",IFERROR(INDEX(الموظفون_الافتتاحي,MATCH($B124,الموظفون_الرقم,0)),0)+IF($D124&lt;&gt;"سنوية",0,IFERROR(DATEDIF(بداية_احتساب_الرصيد,TODAY(),"M"),0)*معدل_الاستحقاق_الشهري)-SUMIFS($J$3:$J$502,$B$3:$B$502,$B124,$D$3:$D$502,"سنوية",$L$3:$L$502,"معتمد",$A$3:$A$502,"&lt;"&amp;$A124))</f>
        <v/>
      </c>
      <c r="J124" s="51">
        <f>IF($L124="معتمد",$H124,0)</f>
        <v/>
      </c>
      <c r="K124" s="51">
        <f>IF($B124="","",$I124-$J124)</f>
        <v/>
      </c>
      <c r="L124" s="47" t="n"/>
      <c r="M124" s="47" t="n"/>
      <c r="N124" s="112" t="n"/>
      <c r="O124" s="47" t="n"/>
    </row>
    <row r="125">
      <c r="A125" s="39" t="n"/>
      <c r="B125" s="40" t="n"/>
      <c r="C125" s="43">
        <f>IFERROR(INDEX(الموظفون_الاسم,MATCH($B125,الموظفون_الرقم,0)),"")</f>
        <v/>
      </c>
      <c r="D125" s="40" t="n"/>
      <c r="E125" s="110" t="n"/>
      <c r="F125" s="110" t="n"/>
      <c r="G125" s="110" t="n"/>
      <c r="H125" s="44">
        <f>IF(OR($F125="",$G125=""),"",MAX(0,$G125-$F125+1))</f>
        <v/>
      </c>
      <c r="I125" s="44">
        <f>IF($B125="","",IFERROR(INDEX(الموظفون_الافتتاحي,MATCH($B125,الموظفون_الرقم,0)),0)+IF($D125&lt;&gt;"سنوية",0,IFERROR(DATEDIF(بداية_احتساب_الرصيد,TODAY(),"M"),0)*معدل_الاستحقاق_الشهري)-SUMIFS($J$3:$J$502,$B$3:$B$502,$B125,$D$3:$D$502,"سنوية",$L$3:$L$502,"معتمد",$A$3:$A$502,"&lt;"&amp;$A125))</f>
        <v/>
      </c>
      <c r="J125" s="44">
        <f>IF($L125="معتمد",$H125,0)</f>
        <v/>
      </c>
      <c r="K125" s="44">
        <f>IF($B125="","",$I125-$J125)</f>
        <v/>
      </c>
      <c r="L125" s="40" t="n"/>
      <c r="M125" s="40" t="n"/>
      <c r="N125" s="110" t="n"/>
      <c r="O125" s="40" t="n"/>
    </row>
    <row r="126">
      <c r="A126" s="46" t="n"/>
      <c r="B126" s="47" t="n"/>
      <c r="C126" s="50">
        <f>IFERROR(INDEX(الموظفون_الاسم,MATCH($B126,الموظفون_الرقم,0)),"")</f>
        <v/>
      </c>
      <c r="D126" s="47" t="n"/>
      <c r="E126" s="112" t="n"/>
      <c r="F126" s="112" t="n"/>
      <c r="G126" s="112" t="n"/>
      <c r="H126" s="51">
        <f>IF(OR($F126="",$G126=""),"",MAX(0,$G126-$F126+1))</f>
        <v/>
      </c>
      <c r="I126" s="51">
        <f>IF($B126="","",IFERROR(INDEX(الموظفون_الافتتاحي,MATCH($B126,الموظفون_الرقم,0)),0)+IF($D126&lt;&gt;"سنوية",0,IFERROR(DATEDIF(بداية_احتساب_الرصيد,TODAY(),"M"),0)*معدل_الاستحقاق_الشهري)-SUMIFS($J$3:$J$502,$B$3:$B$502,$B126,$D$3:$D$502,"سنوية",$L$3:$L$502,"معتمد",$A$3:$A$502,"&lt;"&amp;$A126))</f>
        <v/>
      </c>
      <c r="J126" s="51">
        <f>IF($L126="معتمد",$H126,0)</f>
        <v/>
      </c>
      <c r="K126" s="51">
        <f>IF($B126="","",$I126-$J126)</f>
        <v/>
      </c>
      <c r="L126" s="47" t="n"/>
      <c r="M126" s="47" t="n"/>
      <c r="N126" s="112" t="n"/>
      <c r="O126" s="47" t="n"/>
    </row>
    <row r="127">
      <c r="A127" s="39" t="n"/>
      <c r="B127" s="40" t="n"/>
      <c r="C127" s="43">
        <f>IFERROR(INDEX(الموظفون_الاسم,MATCH($B127,الموظفون_الرقم,0)),"")</f>
        <v/>
      </c>
      <c r="D127" s="40" t="n"/>
      <c r="E127" s="110" t="n"/>
      <c r="F127" s="110" t="n"/>
      <c r="G127" s="110" t="n"/>
      <c r="H127" s="44">
        <f>IF(OR($F127="",$G127=""),"",MAX(0,$G127-$F127+1))</f>
        <v/>
      </c>
      <c r="I127" s="44">
        <f>IF($B127="","",IFERROR(INDEX(الموظفون_الافتتاحي,MATCH($B127,الموظفون_الرقم,0)),0)+IF($D127&lt;&gt;"سنوية",0,IFERROR(DATEDIF(بداية_احتساب_الرصيد,TODAY(),"M"),0)*معدل_الاستحقاق_الشهري)-SUMIFS($J$3:$J$502,$B$3:$B$502,$B127,$D$3:$D$502,"سنوية",$L$3:$L$502,"معتمد",$A$3:$A$502,"&lt;"&amp;$A127))</f>
        <v/>
      </c>
      <c r="J127" s="44">
        <f>IF($L127="معتمد",$H127,0)</f>
        <v/>
      </c>
      <c r="K127" s="44">
        <f>IF($B127="","",$I127-$J127)</f>
        <v/>
      </c>
      <c r="L127" s="40" t="n"/>
      <c r="M127" s="40" t="n"/>
      <c r="N127" s="110" t="n"/>
      <c r="O127" s="40" t="n"/>
    </row>
    <row r="128">
      <c r="A128" s="46" t="n"/>
      <c r="B128" s="47" t="n"/>
      <c r="C128" s="50">
        <f>IFERROR(INDEX(الموظفون_الاسم,MATCH($B128,الموظفون_الرقم,0)),"")</f>
        <v/>
      </c>
      <c r="D128" s="47" t="n"/>
      <c r="E128" s="112" t="n"/>
      <c r="F128" s="112" t="n"/>
      <c r="G128" s="112" t="n"/>
      <c r="H128" s="51">
        <f>IF(OR($F128="",$G128=""),"",MAX(0,$G128-$F128+1))</f>
        <v/>
      </c>
      <c r="I128" s="51">
        <f>IF($B128="","",IFERROR(INDEX(الموظفون_الافتتاحي,MATCH($B128,الموظفون_الرقم,0)),0)+IF($D128&lt;&gt;"سنوية",0,IFERROR(DATEDIF(بداية_احتساب_الرصيد,TODAY(),"M"),0)*معدل_الاستحقاق_الشهري)-SUMIFS($J$3:$J$502,$B$3:$B$502,$B128,$D$3:$D$502,"سنوية",$L$3:$L$502,"معتمد",$A$3:$A$502,"&lt;"&amp;$A128))</f>
        <v/>
      </c>
      <c r="J128" s="51">
        <f>IF($L128="معتمد",$H128,0)</f>
        <v/>
      </c>
      <c r="K128" s="51">
        <f>IF($B128="","",$I128-$J128)</f>
        <v/>
      </c>
      <c r="L128" s="47" t="n"/>
      <c r="M128" s="47" t="n"/>
      <c r="N128" s="112" t="n"/>
      <c r="O128" s="47" t="n"/>
    </row>
    <row r="129">
      <c r="A129" s="39" t="n"/>
      <c r="B129" s="40" t="n"/>
      <c r="C129" s="43">
        <f>IFERROR(INDEX(الموظفون_الاسم,MATCH($B129,الموظفون_الرقم,0)),"")</f>
        <v/>
      </c>
      <c r="D129" s="40" t="n"/>
      <c r="E129" s="110" t="n"/>
      <c r="F129" s="110" t="n"/>
      <c r="G129" s="110" t="n"/>
      <c r="H129" s="44">
        <f>IF(OR($F129="",$G129=""),"",MAX(0,$G129-$F129+1))</f>
        <v/>
      </c>
      <c r="I129" s="44">
        <f>IF($B129="","",IFERROR(INDEX(الموظفون_الافتتاحي,MATCH($B129,الموظفون_الرقم,0)),0)+IF($D129&lt;&gt;"سنوية",0,IFERROR(DATEDIF(بداية_احتساب_الرصيد,TODAY(),"M"),0)*معدل_الاستحقاق_الشهري)-SUMIFS($J$3:$J$502,$B$3:$B$502,$B129,$D$3:$D$502,"سنوية",$L$3:$L$502,"معتمد",$A$3:$A$502,"&lt;"&amp;$A129))</f>
        <v/>
      </c>
      <c r="J129" s="44">
        <f>IF($L129="معتمد",$H129,0)</f>
        <v/>
      </c>
      <c r="K129" s="44">
        <f>IF($B129="","",$I129-$J129)</f>
        <v/>
      </c>
      <c r="L129" s="40" t="n"/>
      <c r="M129" s="40" t="n"/>
      <c r="N129" s="110" t="n"/>
      <c r="O129" s="40" t="n"/>
    </row>
    <row r="130">
      <c r="A130" s="46" t="n"/>
      <c r="B130" s="47" t="n"/>
      <c r="C130" s="50">
        <f>IFERROR(INDEX(الموظفون_الاسم,MATCH($B130,الموظفون_الرقم,0)),"")</f>
        <v/>
      </c>
      <c r="D130" s="47" t="n"/>
      <c r="E130" s="112" t="n"/>
      <c r="F130" s="112" t="n"/>
      <c r="G130" s="112" t="n"/>
      <c r="H130" s="51">
        <f>IF(OR($F130="",$G130=""),"",MAX(0,$G130-$F130+1))</f>
        <v/>
      </c>
      <c r="I130" s="51">
        <f>IF($B130="","",IFERROR(INDEX(الموظفون_الافتتاحي,MATCH($B130,الموظفون_الرقم,0)),0)+IF($D130&lt;&gt;"سنوية",0,IFERROR(DATEDIF(بداية_احتساب_الرصيد,TODAY(),"M"),0)*معدل_الاستحقاق_الشهري)-SUMIFS($J$3:$J$502,$B$3:$B$502,$B130,$D$3:$D$502,"سنوية",$L$3:$L$502,"معتمد",$A$3:$A$502,"&lt;"&amp;$A130))</f>
        <v/>
      </c>
      <c r="J130" s="51">
        <f>IF($L130="معتمد",$H130,0)</f>
        <v/>
      </c>
      <c r="K130" s="51">
        <f>IF($B130="","",$I130-$J130)</f>
        <v/>
      </c>
      <c r="L130" s="47" t="n"/>
      <c r="M130" s="47" t="n"/>
      <c r="N130" s="112" t="n"/>
      <c r="O130" s="47" t="n"/>
    </row>
    <row r="131">
      <c r="A131" s="39" t="n"/>
      <c r="B131" s="40" t="n"/>
      <c r="C131" s="43">
        <f>IFERROR(INDEX(الموظفون_الاسم,MATCH($B131,الموظفون_الرقم,0)),"")</f>
        <v/>
      </c>
      <c r="D131" s="40" t="n"/>
      <c r="E131" s="110" t="n"/>
      <c r="F131" s="110" t="n"/>
      <c r="G131" s="110" t="n"/>
      <c r="H131" s="44">
        <f>IF(OR($F131="",$G131=""),"",MAX(0,$G131-$F131+1))</f>
        <v/>
      </c>
      <c r="I131" s="44">
        <f>IF($B131="","",IFERROR(INDEX(الموظفون_الافتتاحي,MATCH($B131,الموظفون_الرقم,0)),0)+IF($D131&lt;&gt;"سنوية",0,IFERROR(DATEDIF(بداية_احتساب_الرصيد,TODAY(),"M"),0)*معدل_الاستحقاق_الشهري)-SUMIFS($J$3:$J$502,$B$3:$B$502,$B131,$D$3:$D$502,"سنوية",$L$3:$L$502,"معتمد",$A$3:$A$502,"&lt;"&amp;$A131))</f>
        <v/>
      </c>
      <c r="J131" s="44">
        <f>IF($L131="معتمد",$H131,0)</f>
        <v/>
      </c>
      <c r="K131" s="44">
        <f>IF($B131="","",$I131-$J131)</f>
        <v/>
      </c>
      <c r="L131" s="40" t="n"/>
      <c r="M131" s="40" t="n"/>
      <c r="N131" s="110" t="n"/>
      <c r="O131" s="40" t="n"/>
    </row>
    <row r="132">
      <c r="A132" s="46" t="n"/>
      <c r="B132" s="47" t="n"/>
      <c r="C132" s="50">
        <f>IFERROR(INDEX(الموظفون_الاسم,MATCH($B132,الموظفون_الرقم,0)),"")</f>
        <v/>
      </c>
      <c r="D132" s="47" t="n"/>
      <c r="E132" s="112" t="n"/>
      <c r="F132" s="112" t="n"/>
      <c r="G132" s="112" t="n"/>
      <c r="H132" s="51">
        <f>IF(OR($F132="",$G132=""),"",MAX(0,$G132-$F132+1))</f>
        <v/>
      </c>
      <c r="I132" s="51">
        <f>IF($B132="","",IFERROR(INDEX(الموظفون_الافتتاحي,MATCH($B132,الموظفون_الرقم,0)),0)+IF($D132&lt;&gt;"سنوية",0,IFERROR(DATEDIF(بداية_احتساب_الرصيد,TODAY(),"M"),0)*معدل_الاستحقاق_الشهري)-SUMIFS($J$3:$J$502,$B$3:$B$502,$B132,$D$3:$D$502,"سنوية",$L$3:$L$502,"معتمد",$A$3:$A$502,"&lt;"&amp;$A132))</f>
        <v/>
      </c>
      <c r="J132" s="51">
        <f>IF($L132="معتمد",$H132,0)</f>
        <v/>
      </c>
      <c r="K132" s="51">
        <f>IF($B132="","",$I132-$J132)</f>
        <v/>
      </c>
      <c r="L132" s="47" t="n"/>
      <c r="M132" s="47" t="n"/>
      <c r="N132" s="112" t="n"/>
      <c r="O132" s="47" t="n"/>
    </row>
    <row r="133">
      <c r="A133" s="39" t="n"/>
      <c r="B133" s="40" t="n"/>
      <c r="C133" s="43">
        <f>IFERROR(INDEX(الموظفون_الاسم,MATCH($B133,الموظفون_الرقم,0)),"")</f>
        <v/>
      </c>
      <c r="D133" s="40" t="n"/>
      <c r="E133" s="110" t="n"/>
      <c r="F133" s="110" t="n"/>
      <c r="G133" s="110" t="n"/>
      <c r="H133" s="44">
        <f>IF(OR($F133="",$G133=""),"",MAX(0,$G133-$F133+1))</f>
        <v/>
      </c>
      <c r="I133" s="44">
        <f>IF($B133="","",IFERROR(INDEX(الموظفون_الافتتاحي,MATCH($B133,الموظفون_الرقم,0)),0)+IF($D133&lt;&gt;"سنوية",0,IFERROR(DATEDIF(بداية_احتساب_الرصيد,TODAY(),"M"),0)*معدل_الاستحقاق_الشهري)-SUMIFS($J$3:$J$502,$B$3:$B$502,$B133,$D$3:$D$502,"سنوية",$L$3:$L$502,"معتمد",$A$3:$A$502,"&lt;"&amp;$A133))</f>
        <v/>
      </c>
      <c r="J133" s="44">
        <f>IF($L133="معتمد",$H133,0)</f>
        <v/>
      </c>
      <c r="K133" s="44">
        <f>IF($B133="","",$I133-$J133)</f>
        <v/>
      </c>
      <c r="L133" s="40" t="n"/>
      <c r="M133" s="40" t="n"/>
      <c r="N133" s="110" t="n"/>
      <c r="O133" s="40" t="n"/>
    </row>
    <row r="134">
      <c r="A134" s="46" t="n"/>
      <c r="B134" s="47" t="n"/>
      <c r="C134" s="50">
        <f>IFERROR(INDEX(الموظفون_الاسم,MATCH($B134,الموظفون_الرقم,0)),"")</f>
        <v/>
      </c>
      <c r="D134" s="47" t="n"/>
      <c r="E134" s="112" t="n"/>
      <c r="F134" s="112" t="n"/>
      <c r="G134" s="112" t="n"/>
      <c r="H134" s="51">
        <f>IF(OR($F134="",$G134=""),"",MAX(0,$G134-$F134+1))</f>
        <v/>
      </c>
      <c r="I134" s="51">
        <f>IF($B134="","",IFERROR(INDEX(الموظفون_الافتتاحي,MATCH($B134,الموظفون_الرقم,0)),0)+IF($D134&lt;&gt;"سنوية",0,IFERROR(DATEDIF(بداية_احتساب_الرصيد,TODAY(),"M"),0)*معدل_الاستحقاق_الشهري)-SUMIFS($J$3:$J$502,$B$3:$B$502,$B134,$D$3:$D$502,"سنوية",$L$3:$L$502,"معتمد",$A$3:$A$502,"&lt;"&amp;$A134))</f>
        <v/>
      </c>
      <c r="J134" s="51">
        <f>IF($L134="معتمد",$H134,0)</f>
        <v/>
      </c>
      <c r="K134" s="51">
        <f>IF($B134="","",$I134-$J134)</f>
        <v/>
      </c>
      <c r="L134" s="47" t="n"/>
      <c r="M134" s="47" t="n"/>
      <c r="N134" s="112" t="n"/>
      <c r="O134" s="47" t="n"/>
    </row>
    <row r="135">
      <c r="A135" s="39" t="n"/>
      <c r="B135" s="40" t="n"/>
      <c r="C135" s="43">
        <f>IFERROR(INDEX(الموظفون_الاسم,MATCH($B135,الموظفون_الرقم,0)),"")</f>
        <v/>
      </c>
      <c r="D135" s="40" t="n"/>
      <c r="E135" s="110" t="n"/>
      <c r="F135" s="110" t="n"/>
      <c r="G135" s="110" t="n"/>
      <c r="H135" s="44">
        <f>IF(OR($F135="",$G135=""),"",MAX(0,$G135-$F135+1))</f>
        <v/>
      </c>
      <c r="I135" s="44">
        <f>IF($B135="","",IFERROR(INDEX(الموظفون_الافتتاحي,MATCH($B135,الموظفون_الرقم,0)),0)+IF($D135&lt;&gt;"سنوية",0,IFERROR(DATEDIF(بداية_احتساب_الرصيد,TODAY(),"M"),0)*معدل_الاستحقاق_الشهري)-SUMIFS($J$3:$J$502,$B$3:$B$502,$B135,$D$3:$D$502,"سنوية",$L$3:$L$502,"معتمد",$A$3:$A$502,"&lt;"&amp;$A135))</f>
        <v/>
      </c>
      <c r="J135" s="44">
        <f>IF($L135="معتمد",$H135,0)</f>
        <v/>
      </c>
      <c r="K135" s="44">
        <f>IF($B135="","",$I135-$J135)</f>
        <v/>
      </c>
      <c r="L135" s="40" t="n"/>
      <c r="M135" s="40" t="n"/>
      <c r="N135" s="110" t="n"/>
      <c r="O135" s="40" t="n"/>
    </row>
    <row r="136">
      <c r="A136" s="46" t="n"/>
      <c r="B136" s="47" t="n"/>
      <c r="C136" s="50">
        <f>IFERROR(INDEX(الموظفون_الاسم,MATCH($B136,الموظفون_الرقم,0)),"")</f>
        <v/>
      </c>
      <c r="D136" s="47" t="n"/>
      <c r="E136" s="112" t="n"/>
      <c r="F136" s="112" t="n"/>
      <c r="G136" s="112" t="n"/>
      <c r="H136" s="51">
        <f>IF(OR($F136="",$G136=""),"",MAX(0,$G136-$F136+1))</f>
        <v/>
      </c>
      <c r="I136" s="51">
        <f>IF($B136="","",IFERROR(INDEX(الموظفون_الافتتاحي,MATCH($B136,الموظفون_الرقم,0)),0)+IF($D136&lt;&gt;"سنوية",0,IFERROR(DATEDIF(بداية_احتساب_الرصيد,TODAY(),"M"),0)*معدل_الاستحقاق_الشهري)-SUMIFS($J$3:$J$502,$B$3:$B$502,$B136,$D$3:$D$502,"سنوية",$L$3:$L$502,"معتمد",$A$3:$A$502,"&lt;"&amp;$A136))</f>
        <v/>
      </c>
      <c r="J136" s="51">
        <f>IF($L136="معتمد",$H136,0)</f>
        <v/>
      </c>
      <c r="K136" s="51">
        <f>IF($B136="","",$I136-$J136)</f>
        <v/>
      </c>
      <c r="L136" s="47" t="n"/>
      <c r="M136" s="47" t="n"/>
      <c r="N136" s="112" t="n"/>
      <c r="O136" s="47" t="n"/>
    </row>
    <row r="137">
      <c r="A137" s="39" t="n"/>
      <c r="B137" s="40" t="n"/>
      <c r="C137" s="43">
        <f>IFERROR(INDEX(الموظفون_الاسم,MATCH($B137,الموظفون_الرقم,0)),"")</f>
        <v/>
      </c>
      <c r="D137" s="40" t="n"/>
      <c r="E137" s="110" t="n"/>
      <c r="F137" s="110" t="n"/>
      <c r="G137" s="110" t="n"/>
      <c r="H137" s="44">
        <f>IF(OR($F137="",$G137=""),"",MAX(0,$G137-$F137+1))</f>
        <v/>
      </c>
      <c r="I137" s="44">
        <f>IF($B137="","",IFERROR(INDEX(الموظفون_الافتتاحي,MATCH($B137,الموظفون_الرقم,0)),0)+IF($D137&lt;&gt;"سنوية",0,IFERROR(DATEDIF(بداية_احتساب_الرصيد,TODAY(),"M"),0)*معدل_الاستحقاق_الشهري)-SUMIFS($J$3:$J$502,$B$3:$B$502,$B137,$D$3:$D$502,"سنوية",$L$3:$L$502,"معتمد",$A$3:$A$502,"&lt;"&amp;$A137))</f>
        <v/>
      </c>
      <c r="J137" s="44">
        <f>IF($L137="معتمد",$H137,0)</f>
        <v/>
      </c>
      <c r="K137" s="44">
        <f>IF($B137="","",$I137-$J137)</f>
        <v/>
      </c>
      <c r="L137" s="40" t="n"/>
      <c r="M137" s="40" t="n"/>
      <c r="N137" s="110" t="n"/>
      <c r="O137" s="40" t="n"/>
    </row>
    <row r="138">
      <c r="A138" s="46" t="n"/>
      <c r="B138" s="47" t="n"/>
      <c r="C138" s="50">
        <f>IFERROR(INDEX(الموظفون_الاسم,MATCH($B138,الموظفون_الرقم,0)),"")</f>
        <v/>
      </c>
      <c r="D138" s="47" t="n"/>
      <c r="E138" s="112" t="n"/>
      <c r="F138" s="112" t="n"/>
      <c r="G138" s="112" t="n"/>
      <c r="H138" s="51">
        <f>IF(OR($F138="",$G138=""),"",MAX(0,$G138-$F138+1))</f>
        <v/>
      </c>
      <c r="I138" s="51">
        <f>IF($B138="","",IFERROR(INDEX(الموظفون_الافتتاحي,MATCH($B138,الموظفون_الرقم,0)),0)+IF($D138&lt;&gt;"سنوية",0,IFERROR(DATEDIF(بداية_احتساب_الرصيد,TODAY(),"M"),0)*معدل_الاستحقاق_الشهري)-SUMIFS($J$3:$J$502,$B$3:$B$502,$B138,$D$3:$D$502,"سنوية",$L$3:$L$502,"معتمد",$A$3:$A$502,"&lt;"&amp;$A138))</f>
        <v/>
      </c>
      <c r="J138" s="51">
        <f>IF($L138="معتمد",$H138,0)</f>
        <v/>
      </c>
      <c r="K138" s="51">
        <f>IF($B138="","",$I138-$J138)</f>
        <v/>
      </c>
      <c r="L138" s="47" t="n"/>
      <c r="M138" s="47" t="n"/>
      <c r="N138" s="112" t="n"/>
      <c r="O138" s="47" t="n"/>
    </row>
    <row r="139">
      <c r="A139" s="39" t="n"/>
      <c r="B139" s="40" t="n"/>
      <c r="C139" s="43">
        <f>IFERROR(INDEX(الموظفون_الاسم,MATCH($B139,الموظفون_الرقم,0)),"")</f>
        <v/>
      </c>
      <c r="D139" s="40" t="n"/>
      <c r="E139" s="110" t="n"/>
      <c r="F139" s="110" t="n"/>
      <c r="G139" s="110" t="n"/>
      <c r="H139" s="44">
        <f>IF(OR($F139="",$G139=""),"",MAX(0,$G139-$F139+1))</f>
        <v/>
      </c>
      <c r="I139" s="44">
        <f>IF($B139="","",IFERROR(INDEX(الموظفون_الافتتاحي,MATCH($B139,الموظفون_الرقم,0)),0)+IF($D139&lt;&gt;"سنوية",0,IFERROR(DATEDIF(بداية_احتساب_الرصيد,TODAY(),"M"),0)*معدل_الاستحقاق_الشهري)-SUMIFS($J$3:$J$502,$B$3:$B$502,$B139,$D$3:$D$502,"سنوية",$L$3:$L$502,"معتمد",$A$3:$A$502,"&lt;"&amp;$A139))</f>
        <v/>
      </c>
      <c r="J139" s="44">
        <f>IF($L139="معتمد",$H139,0)</f>
        <v/>
      </c>
      <c r="K139" s="44">
        <f>IF($B139="","",$I139-$J139)</f>
        <v/>
      </c>
      <c r="L139" s="40" t="n"/>
      <c r="M139" s="40" t="n"/>
      <c r="N139" s="110" t="n"/>
      <c r="O139" s="40" t="n"/>
    </row>
    <row r="140">
      <c r="A140" s="46" t="n"/>
      <c r="B140" s="47" t="n"/>
      <c r="C140" s="50">
        <f>IFERROR(INDEX(الموظفون_الاسم,MATCH($B140,الموظفون_الرقم,0)),"")</f>
        <v/>
      </c>
      <c r="D140" s="47" t="n"/>
      <c r="E140" s="112" t="n"/>
      <c r="F140" s="112" t="n"/>
      <c r="G140" s="112" t="n"/>
      <c r="H140" s="51">
        <f>IF(OR($F140="",$G140=""),"",MAX(0,$G140-$F140+1))</f>
        <v/>
      </c>
      <c r="I140" s="51">
        <f>IF($B140="","",IFERROR(INDEX(الموظفون_الافتتاحي,MATCH($B140,الموظفون_الرقم,0)),0)+IF($D140&lt;&gt;"سنوية",0,IFERROR(DATEDIF(بداية_احتساب_الرصيد,TODAY(),"M"),0)*معدل_الاستحقاق_الشهري)-SUMIFS($J$3:$J$502,$B$3:$B$502,$B140,$D$3:$D$502,"سنوية",$L$3:$L$502,"معتمد",$A$3:$A$502,"&lt;"&amp;$A140))</f>
        <v/>
      </c>
      <c r="J140" s="51">
        <f>IF($L140="معتمد",$H140,0)</f>
        <v/>
      </c>
      <c r="K140" s="51">
        <f>IF($B140="","",$I140-$J140)</f>
        <v/>
      </c>
      <c r="L140" s="47" t="n"/>
      <c r="M140" s="47" t="n"/>
      <c r="N140" s="112" t="n"/>
      <c r="O140" s="47" t="n"/>
    </row>
    <row r="141">
      <c r="A141" s="39" t="n"/>
      <c r="B141" s="40" t="n"/>
      <c r="C141" s="43">
        <f>IFERROR(INDEX(الموظفون_الاسم,MATCH($B141,الموظفون_الرقم,0)),"")</f>
        <v/>
      </c>
      <c r="D141" s="40" t="n"/>
      <c r="E141" s="110" t="n"/>
      <c r="F141" s="110" t="n"/>
      <c r="G141" s="110" t="n"/>
      <c r="H141" s="44">
        <f>IF(OR($F141="",$G141=""),"",MAX(0,$G141-$F141+1))</f>
        <v/>
      </c>
      <c r="I141" s="44">
        <f>IF($B141="","",IFERROR(INDEX(الموظفون_الافتتاحي,MATCH($B141,الموظفون_الرقم,0)),0)+IF($D141&lt;&gt;"سنوية",0,IFERROR(DATEDIF(بداية_احتساب_الرصيد,TODAY(),"M"),0)*معدل_الاستحقاق_الشهري)-SUMIFS($J$3:$J$502,$B$3:$B$502,$B141,$D$3:$D$502,"سنوية",$L$3:$L$502,"معتمد",$A$3:$A$502,"&lt;"&amp;$A141))</f>
        <v/>
      </c>
      <c r="J141" s="44">
        <f>IF($L141="معتمد",$H141,0)</f>
        <v/>
      </c>
      <c r="K141" s="44">
        <f>IF($B141="","",$I141-$J141)</f>
        <v/>
      </c>
      <c r="L141" s="40" t="n"/>
      <c r="M141" s="40" t="n"/>
      <c r="N141" s="110" t="n"/>
      <c r="O141" s="40" t="n"/>
    </row>
    <row r="142">
      <c r="A142" s="46" t="n"/>
      <c r="B142" s="47" t="n"/>
      <c r="C142" s="50">
        <f>IFERROR(INDEX(الموظفون_الاسم,MATCH($B142,الموظفون_الرقم,0)),"")</f>
        <v/>
      </c>
      <c r="D142" s="47" t="n"/>
      <c r="E142" s="112" t="n"/>
      <c r="F142" s="112" t="n"/>
      <c r="G142" s="112" t="n"/>
      <c r="H142" s="51">
        <f>IF(OR($F142="",$G142=""),"",MAX(0,$G142-$F142+1))</f>
        <v/>
      </c>
      <c r="I142" s="51">
        <f>IF($B142="","",IFERROR(INDEX(الموظفون_الافتتاحي,MATCH($B142,الموظفون_الرقم,0)),0)+IF($D142&lt;&gt;"سنوية",0,IFERROR(DATEDIF(بداية_احتساب_الرصيد,TODAY(),"M"),0)*معدل_الاستحقاق_الشهري)-SUMIFS($J$3:$J$502,$B$3:$B$502,$B142,$D$3:$D$502,"سنوية",$L$3:$L$502,"معتمد",$A$3:$A$502,"&lt;"&amp;$A142))</f>
        <v/>
      </c>
      <c r="J142" s="51">
        <f>IF($L142="معتمد",$H142,0)</f>
        <v/>
      </c>
      <c r="K142" s="51">
        <f>IF($B142="","",$I142-$J142)</f>
        <v/>
      </c>
      <c r="L142" s="47" t="n"/>
      <c r="M142" s="47" t="n"/>
      <c r="N142" s="112" t="n"/>
      <c r="O142" s="47" t="n"/>
    </row>
    <row r="143">
      <c r="A143" s="39" t="n"/>
      <c r="B143" s="40" t="n"/>
      <c r="C143" s="43">
        <f>IFERROR(INDEX(الموظفون_الاسم,MATCH($B143,الموظفون_الرقم,0)),"")</f>
        <v/>
      </c>
      <c r="D143" s="40" t="n"/>
      <c r="E143" s="110" t="n"/>
      <c r="F143" s="110" t="n"/>
      <c r="G143" s="110" t="n"/>
      <c r="H143" s="44">
        <f>IF(OR($F143="",$G143=""),"",MAX(0,$G143-$F143+1))</f>
        <v/>
      </c>
      <c r="I143" s="44">
        <f>IF($B143="","",IFERROR(INDEX(الموظفون_الافتتاحي,MATCH($B143,الموظفون_الرقم,0)),0)+IF($D143&lt;&gt;"سنوية",0,IFERROR(DATEDIF(بداية_احتساب_الرصيد,TODAY(),"M"),0)*معدل_الاستحقاق_الشهري)-SUMIFS($J$3:$J$502,$B$3:$B$502,$B143,$D$3:$D$502,"سنوية",$L$3:$L$502,"معتمد",$A$3:$A$502,"&lt;"&amp;$A143))</f>
        <v/>
      </c>
      <c r="J143" s="44">
        <f>IF($L143="معتمد",$H143,0)</f>
        <v/>
      </c>
      <c r="K143" s="44">
        <f>IF($B143="","",$I143-$J143)</f>
        <v/>
      </c>
      <c r="L143" s="40" t="n"/>
      <c r="M143" s="40" t="n"/>
      <c r="N143" s="110" t="n"/>
      <c r="O143" s="40" t="n"/>
    </row>
    <row r="144">
      <c r="A144" s="46" t="n"/>
      <c r="B144" s="47" t="n"/>
      <c r="C144" s="50">
        <f>IFERROR(INDEX(الموظفون_الاسم,MATCH($B144,الموظفون_الرقم,0)),"")</f>
        <v/>
      </c>
      <c r="D144" s="47" t="n"/>
      <c r="E144" s="112" t="n"/>
      <c r="F144" s="112" t="n"/>
      <c r="G144" s="112" t="n"/>
      <c r="H144" s="51">
        <f>IF(OR($F144="",$G144=""),"",MAX(0,$G144-$F144+1))</f>
        <v/>
      </c>
      <c r="I144" s="51">
        <f>IF($B144="","",IFERROR(INDEX(الموظفون_الافتتاحي,MATCH($B144,الموظفون_الرقم,0)),0)+IF($D144&lt;&gt;"سنوية",0,IFERROR(DATEDIF(بداية_احتساب_الرصيد,TODAY(),"M"),0)*معدل_الاستحقاق_الشهري)-SUMIFS($J$3:$J$502,$B$3:$B$502,$B144,$D$3:$D$502,"سنوية",$L$3:$L$502,"معتمد",$A$3:$A$502,"&lt;"&amp;$A144))</f>
        <v/>
      </c>
      <c r="J144" s="51">
        <f>IF($L144="معتمد",$H144,0)</f>
        <v/>
      </c>
      <c r="K144" s="51">
        <f>IF($B144="","",$I144-$J144)</f>
        <v/>
      </c>
      <c r="L144" s="47" t="n"/>
      <c r="M144" s="47" t="n"/>
      <c r="N144" s="112" t="n"/>
      <c r="O144" s="47" t="n"/>
    </row>
    <row r="145">
      <c r="A145" s="39" t="n"/>
      <c r="B145" s="40" t="n"/>
      <c r="C145" s="43">
        <f>IFERROR(INDEX(الموظفون_الاسم,MATCH($B145,الموظفون_الرقم,0)),"")</f>
        <v/>
      </c>
      <c r="D145" s="40" t="n"/>
      <c r="E145" s="110" t="n"/>
      <c r="F145" s="110" t="n"/>
      <c r="G145" s="110" t="n"/>
      <c r="H145" s="44">
        <f>IF(OR($F145="",$G145=""),"",MAX(0,$G145-$F145+1))</f>
        <v/>
      </c>
      <c r="I145" s="44">
        <f>IF($B145="","",IFERROR(INDEX(الموظفون_الافتتاحي,MATCH($B145,الموظفون_الرقم,0)),0)+IF($D145&lt;&gt;"سنوية",0,IFERROR(DATEDIF(بداية_احتساب_الرصيد,TODAY(),"M"),0)*معدل_الاستحقاق_الشهري)-SUMIFS($J$3:$J$502,$B$3:$B$502,$B145,$D$3:$D$502,"سنوية",$L$3:$L$502,"معتمد",$A$3:$A$502,"&lt;"&amp;$A145))</f>
        <v/>
      </c>
      <c r="J145" s="44">
        <f>IF($L145="معتمد",$H145,0)</f>
        <v/>
      </c>
      <c r="K145" s="44">
        <f>IF($B145="","",$I145-$J145)</f>
        <v/>
      </c>
      <c r="L145" s="40" t="n"/>
      <c r="M145" s="40" t="n"/>
      <c r="N145" s="110" t="n"/>
      <c r="O145" s="40" t="n"/>
    </row>
    <row r="146">
      <c r="A146" s="46" t="n"/>
      <c r="B146" s="47" t="n"/>
      <c r="C146" s="50">
        <f>IFERROR(INDEX(الموظفون_الاسم,MATCH($B146,الموظفون_الرقم,0)),"")</f>
        <v/>
      </c>
      <c r="D146" s="47" t="n"/>
      <c r="E146" s="112" t="n"/>
      <c r="F146" s="112" t="n"/>
      <c r="G146" s="112" t="n"/>
      <c r="H146" s="51">
        <f>IF(OR($F146="",$G146=""),"",MAX(0,$G146-$F146+1))</f>
        <v/>
      </c>
      <c r="I146" s="51">
        <f>IF($B146="","",IFERROR(INDEX(الموظفون_الافتتاحي,MATCH($B146,الموظفون_الرقم,0)),0)+IF($D146&lt;&gt;"سنوية",0,IFERROR(DATEDIF(بداية_احتساب_الرصيد,TODAY(),"M"),0)*معدل_الاستحقاق_الشهري)-SUMIFS($J$3:$J$502,$B$3:$B$502,$B146,$D$3:$D$502,"سنوية",$L$3:$L$502,"معتمد",$A$3:$A$502,"&lt;"&amp;$A146))</f>
        <v/>
      </c>
      <c r="J146" s="51">
        <f>IF($L146="معتمد",$H146,0)</f>
        <v/>
      </c>
      <c r="K146" s="51">
        <f>IF($B146="","",$I146-$J146)</f>
        <v/>
      </c>
      <c r="L146" s="47" t="n"/>
      <c r="M146" s="47" t="n"/>
      <c r="N146" s="112" t="n"/>
      <c r="O146" s="47" t="n"/>
    </row>
    <row r="147">
      <c r="A147" s="39" t="n"/>
      <c r="B147" s="40" t="n"/>
      <c r="C147" s="43">
        <f>IFERROR(INDEX(الموظفون_الاسم,MATCH($B147,الموظفون_الرقم,0)),"")</f>
        <v/>
      </c>
      <c r="D147" s="40" t="n"/>
      <c r="E147" s="110" t="n"/>
      <c r="F147" s="110" t="n"/>
      <c r="G147" s="110" t="n"/>
      <c r="H147" s="44">
        <f>IF(OR($F147="",$G147=""),"",MAX(0,$G147-$F147+1))</f>
        <v/>
      </c>
      <c r="I147" s="44">
        <f>IF($B147="","",IFERROR(INDEX(الموظفون_الافتتاحي,MATCH($B147,الموظفون_الرقم,0)),0)+IF($D147&lt;&gt;"سنوية",0,IFERROR(DATEDIF(بداية_احتساب_الرصيد,TODAY(),"M"),0)*معدل_الاستحقاق_الشهري)-SUMIFS($J$3:$J$502,$B$3:$B$502,$B147,$D$3:$D$502,"سنوية",$L$3:$L$502,"معتمد",$A$3:$A$502,"&lt;"&amp;$A147))</f>
        <v/>
      </c>
      <c r="J147" s="44">
        <f>IF($L147="معتمد",$H147,0)</f>
        <v/>
      </c>
      <c r="K147" s="44">
        <f>IF($B147="","",$I147-$J147)</f>
        <v/>
      </c>
      <c r="L147" s="40" t="n"/>
      <c r="M147" s="40" t="n"/>
      <c r="N147" s="110" t="n"/>
      <c r="O147" s="40" t="n"/>
    </row>
    <row r="148">
      <c r="A148" s="46" t="n"/>
      <c r="B148" s="47" t="n"/>
      <c r="C148" s="50">
        <f>IFERROR(INDEX(الموظفون_الاسم,MATCH($B148,الموظفون_الرقم,0)),"")</f>
        <v/>
      </c>
      <c r="D148" s="47" t="n"/>
      <c r="E148" s="112" t="n"/>
      <c r="F148" s="112" t="n"/>
      <c r="G148" s="112" t="n"/>
      <c r="H148" s="51">
        <f>IF(OR($F148="",$G148=""),"",MAX(0,$G148-$F148+1))</f>
        <v/>
      </c>
      <c r="I148" s="51">
        <f>IF($B148="","",IFERROR(INDEX(الموظفون_الافتتاحي,MATCH($B148,الموظفون_الرقم,0)),0)+IF($D148&lt;&gt;"سنوية",0,IFERROR(DATEDIF(بداية_احتساب_الرصيد,TODAY(),"M"),0)*معدل_الاستحقاق_الشهري)-SUMIFS($J$3:$J$502,$B$3:$B$502,$B148,$D$3:$D$502,"سنوية",$L$3:$L$502,"معتمد",$A$3:$A$502,"&lt;"&amp;$A148))</f>
        <v/>
      </c>
      <c r="J148" s="51">
        <f>IF($L148="معتمد",$H148,0)</f>
        <v/>
      </c>
      <c r="K148" s="51">
        <f>IF($B148="","",$I148-$J148)</f>
        <v/>
      </c>
      <c r="L148" s="47" t="n"/>
      <c r="M148" s="47" t="n"/>
      <c r="N148" s="112" t="n"/>
      <c r="O148" s="47" t="n"/>
    </row>
    <row r="149">
      <c r="A149" s="39" t="n"/>
      <c r="B149" s="40" t="n"/>
      <c r="C149" s="43">
        <f>IFERROR(INDEX(الموظفون_الاسم,MATCH($B149,الموظفون_الرقم,0)),"")</f>
        <v/>
      </c>
      <c r="D149" s="40" t="n"/>
      <c r="E149" s="110" t="n"/>
      <c r="F149" s="110" t="n"/>
      <c r="G149" s="110" t="n"/>
      <c r="H149" s="44">
        <f>IF(OR($F149="",$G149=""),"",MAX(0,$G149-$F149+1))</f>
        <v/>
      </c>
      <c r="I149" s="44">
        <f>IF($B149="","",IFERROR(INDEX(الموظفون_الافتتاحي,MATCH($B149,الموظفون_الرقم,0)),0)+IF($D149&lt;&gt;"سنوية",0,IFERROR(DATEDIF(بداية_احتساب_الرصيد,TODAY(),"M"),0)*معدل_الاستحقاق_الشهري)-SUMIFS($J$3:$J$502,$B$3:$B$502,$B149,$D$3:$D$502,"سنوية",$L$3:$L$502,"معتمد",$A$3:$A$502,"&lt;"&amp;$A149))</f>
        <v/>
      </c>
      <c r="J149" s="44">
        <f>IF($L149="معتمد",$H149,0)</f>
        <v/>
      </c>
      <c r="K149" s="44">
        <f>IF($B149="","",$I149-$J149)</f>
        <v/>
      </c>
      <c r="L149" s="40" t="n"/>
      <c r="M149" s="40" t="n"/>
      <c r="N149" s="110" t="n"/>
      <c r="O149" s="40" t="n"/>
    </row>
    <row r="150">
      <c r="A150" s="46" t="n"/>
      <c r="B150" s="47" t="n"/>
      <c r="C150" s="50">
        <f>IFERROR(INDEX(الموظفون_الاسم,MATCH($B150,الموظفون_الرقم,0)),"")</f>
        <v/>
      </c>
      <c r="D150" s="47" t="n"/>
      <c r="E150" s="112" t="n"/>
      <c r="F150" s="112" t="n"/>
      <c r="G150" s="112" t="n"/>
      <c r="H150" s="51">
        <f>IF(OR($F150="",$G150=""),"",MAX(0,$G150-$F150+1))</f>
        <v/>
      </c>
      <c r="I150" s="51">
        <f>IF($B150="","",IFERROR(INDEX(الموظفون_الافتتاحي,MATCH($B150,الموظفون_الرقم,0)),0)+IF($D150&lt;&gt;"سنوية",0,IFERROR(DATEDIF(بداية_احتساب_الرصيد,TODAY(),"M"),0)*معدل_الاستحقاق_الشهري)-SUMIFS($J$3:$J$502,$B$3:$B$502,$B150,$D$3:$D$502,"سنوية",$L$3:$L$502,"معتمد",$A$3:$A$502,"&lt;"&amp;$A150))</f>
        <v/>
      </c>
      <c r="J150" s="51">
        <f>IF($L150="معتمد",$H150,0)</f>
        <v/>
      </c>
      <c r="K150" s="51">
        <f>IF($B150="","",$I150-$J150)</f>
        <v/>
      </c>
      <c r="L150" s="47" t="n"/>
      <c r="M150" s="47" t="n"/>
      <c r="N150" s="112" t="n"/>
      <c r="O150" s="47" t="n"/>
    </row>
    <row r="151">
      <c r="A151" s="39" t="n"/>
      <c r="B151" s="40" t="n"/>
      <c r="C151" s="43">
        <f>IFERROR(INDEX(الموظفون_الاسم,MATCH($B151,الموظفون_الرقم,0)),"")</f>
        <v/>
      </c>
      <c r="D151" s="40" t="n"/>
      <c r="E151" s="110" t="n"/>
      <c r="F151" s="110" t="n"/>
      <c r="G151" s="110" t="n"/>
      <c r="H151" s="44">
        <f>IF(OR($F151="",$G151=""),"",MAX(0,$G151-$F151+1))</f>
        <v/>
      </c>
      <c r="I151" s="44">
        <f>IF($B151="","",IFERROR(INDEX(الموظفون_الافتتاحي,MATCH($B151,الموظفون_الرقم,0)),0)+IF($D151&lt;&gt;"سنوية",0,IFERROR(DATEDIF(بداية_احتساب_الرصيد,TODAY(),"M"),0)*معدل_الاستحقاق_الشهري)-SUMIFS($J$3:$J$502,$B$3:$B$502,$B151,$D$3:$D$502,"سنوية",$L$3:$L$502,"معتمد",$A$3:$A$502,"&lt;"&amp;$A151))</f>
        <v/>
      </c>
      <c r="J151" s="44">
        <f>IF($L151="معتمد",$H151,0)</f>
        <v/>
      </c>
      <c r="K151" s="44">
        <f>IF($B151="","",$I151-$J151)</f>
        <v/>
      </c>
      <c r="L151" s="40" t="n"/>
      <c r="M151" s="40" t="n"/>
      <c r="N151" s="110" t="n"/>
      <c r="O151" s="40" t="n"/>
    </row>
    <row r="152">
      <c r="A152" s="46" t="n"/>
      <c r="B152" s="47" t="n"/>
      <c r="C152" s="50">
        <f>IFERROR(INDEX(الموظفون_الاسم,MATCH($B152,الموظفون_الرقم,0)),"")</f>
        <v/>
      </c>
      <c r="D152" s="47" t="n"/>
      <c r="E152" s="112" t="n"/>
      <c r="F152" s="112" t="n"/>
      <c r="G152" s="112" t="n"/>
      <c r="H152" s="51">
        <f>IF(OR($F152="",$G152=""),"",MAX(0,$G152-$F152+1))</f>
        <v/>
      </c>
      <c r="I152" s="51">
        <f>IF($B152="","",IFERROR(INDEX(الموظفون_الافتتاحي,MATCH($B152,الموظفون_الرقم,0)),0)+IF($D152&lt;&gt;"سنوية",0,IFERROR(DATEDIF(بداية_احتساب_الرصيد,TODAY(),"M"),0)*معدل_الاستحقاق_الشهري)-SUMIFS($J$3:$J$502,$B$3:$B$502,$B152,$D$3:$D$502,"سنوية",$L$3:$L$502,"معتمد",$A$3:$A$502,"&lt;"&amp;$A152))</f>
        <v/>
      </c>
      <c r="J152" s="51">
        <f>IF($L152="معتمد",$H152,0)</f>
        <v/>
      </c>
      <c r="K152" s="51">
        <f>IF($B152="","",$I152-$J152)</f>
        <v/>
      </c>
      <c r="L152" s="47" t="n"/>
      <c r="M152" s="47" t="n"/>
      <c r="N152" s="112" t="n"/>
      <c r="O152" s="47" t="n"/>
    </row>
    <row r="153">
      <c r="A153" s="39" t="n"/>
      <c r="B153" s="40" t="n"/>
      <c r="C153" s="43">
        <f>IFERROR(INDEX(الموظفون_الاسم,MATCH($B153,الموظفون_الرقم,0)),"")</f>
        <v/>
      </c>
      <c r="D153" s="40" t="n"/>
      <c r="E153" s="110" t="n"/>
      <c r="F153" s="110" t="n"/>
      <c r="G153" s="110" t="n"/>
      <c r="H153" s="44">
        <f>IF(OR($F153="",$G153=""),"",MAX(0,$G153-$F153+1))</f>
        <v/>
      </c>
      <c r="I153" s="44">
        <f>IF($B153="","",IFERROR(INDEX(الموظفون_الافتتاحي,MATCH($B153,الموظفون_الرقم,0)),0)+IF($D153&lt;&gt;"سنوية",0,IFERROR(DATEDIF(بداية_احتساب_الرصيد,TODAY(),"M"),0)*معدل_الاستحقاق_الشهري)-SUMIFS($J$3:$J$502,$B$3:$B$502,$B153,$D$3:$D$502,"سنوية",$L$3:$L$502,"معتمد",$A$3:$A$502,"&lt;"&amp;$A153))</f>
        <v/>
      </c>
      <c r="J153" s="44">
        <f>IF($L153="معتمد",$H153,0)</f>
        <v/>
      </c>
      <c r="K153" s="44">
        <f>IF($B153="","",$I153-$J153)</f>
        <v/>
      </c>
      <c r="L153" s="40" t="n"/>
      <c r="M153" s="40" t="n"/>
      <c r="N153" s="110" t="n"/>
      <c r="O153" s="40" t="n"/>
    </row>
    <row r="154">
      <c r="A154" s="46" t="n"/>
      <c r="B154" s="47" t="n"/>
      <c r="C154" s="50">
        <f>IFERROR(INDEX(الموظفون_الاسم,MATCH($B154,الموظفون_الرقم,0)),"")</f>
        <v/>
      </c>
      <c r="D154" s="47" t="n"/>
      <c r="E154" s="112" t="n"/>
      <c r="F154" s="112" t="n"/>
      <c r="G154" s="112" t="n"/>
      <c r="H154" s="51">
        <f>IF(OR($F154="",$G154=""),"",MAX(0,$G154-$F154+1))</f>
        <v/>
      </c>
      <c r="I154" s="51">
        <f>IF($B154="","",IFERROR(INDEX(الموظفون_الافتتاحي,MATCH($B154,الموظفون_الرقم,0)),0)+IF($D154&lt;&gt;"سنوية",0,IFERROR(DATEDIF(بداية_احتساب_الرصيد,TODAY(),"M"),0)*معدل_الاستحقاق_الشهري)-SUMIFS($J$3:$J$502,$B$3:$B$502,$B154,$D$3:$D$502,"سنوية",$L$3:$L$502,"معتمد",$A$3:$A$502,"&lt;"&amp;$A154))</f>
        <v/>
      </c>
      <c r="J154" s="51">
        <f>IF($L154="معتمد",$H154,0)</f>
        <v/>
      </c>
      <c r="K154" s="51">
        <f>IF($B154="","",$I154-$J154)</f>
        <v/>
      </c>
      <c r="L154" s="47" t="n"/>
      <c r="M154" s="47" t="n"/>
      <c r="N154" s="112" t="n"/>
      <c r="O154" s="47" t="n"/>
    </row>
    <row r="155">
      <c r="A155" s="39" t="n"/>
      <c r="B155" s="40" t="n"/>
      <c r="C155" s="43">
        <f>IFERROR(INDEX(الموظفون_الاسم,MATCH($B155,الموظفون_الرقم,0)),"")</f>
        <v/>
      </c>
      <c r="D155" s="40" t="n"/>
      <c r="E155" s="110" t="n"/>
      <c r="F155" s="110" t="n"/>
      <c r="G155" s="110" t="n"/>
      <c r="H155" s="44">
        <f>IF(OR($F155="",$G155=""),"",MAX(0,$G155-$F155+1))</f>
        <v/>
      </c>
      <c r="I155" s="44">
        <f>IF($B155="","",IFERROR(INDEX(الموظفون_الافتتاحي,MATCH($B155,الموظفون_الرقم,0)),0)+IF($D155&lt;&gt;"سنوية",0,IFERROR(DATEDIF(بداية_احتساب_الرصيد,TODAY(),"M"),0)*معدل_الاستحقاق_الشهري)-SUMIFS($J$3:$J$502,$B$3:$B$502,$B155,$D$3:$D$502,"سنوية",$L$3:$L$502,"معتمد",$A$3:$A$502,"&lt;"&amp;$A155))</f>
        <v/>
      </c>
      <c r="J155" s="44">
        <f>IF($L155="معتمد",$H155,0)</f>
        <v/>
      </c>
      <c r="K155" s="44">
        <f>IF($B155="","",$I155-$J155)</f>
        <v/>
      </c>
      <c r="L155" s="40" t="n"/>
      <c r="M155" s="40" t="n"/>
      <c r="N155" s="110" t="n"/>
      <c r="O155" s="40" t="n"/>
    </row>
    <row r="156">
      <c r="A156" s="46" t="n"/>
      <c r="B156" s="47" t="n"/>
      <c r="C156" s="50">
        <f>IFERROR(INDEX(الموظفون_الاسم,MATCH($B156,الموظفون_الرقم,0)),"")</f>
        <v/>
      </c>
      <c r="D156" s="47" t="n"/>
      <c r="E156" s="112" t="n"/>
      <c r="F156" s="112" t="n"/>
      <c r="G156" s="112" t="n"/>
      <c r="H156" s="51">
        <f>IF(OR($F156="",$G156=""),"",MAX(0,$G156-$F156+1))</f>
        <v/>
      </c>
      <c r="I156" s="51">
        <f>IF($B156="","",IFERROR(INDEX(الموظفون_الافتتاحي,MATCH($B156,الموظفون_الرقم,0)),0)+IF($D156&lt;&gt;"سنوية",0,IFERROR(DATEDIF(بداية_احتساب_الرصيد,TODAY(),"M"),0)*معدل_الاستحقاق_الشهري)-SUMIFS($J$3:$J$502,$B$3:$B$502,$B156,$D$3:$D$502,"سنوية",$L$3:$L$502,"معتمد",$A$3:$A$502,"&lt;"&amp;$A156))</f>
        <v/>
      </c>
      <c r="J156" s="51">
        <f>IF($L156="معتمد",$H156,0)</f>
        <v/>
      </c>
      <c r="K156" s="51">
        <f>IF($B156="","",$I156-$J156)</f>
        <v/>
      </c>
      <c r="L156" s="47" t="n"/>
      <c r="M156" s="47" t="n"/>
      <c r="N156" s="112" t="n"/>
      <c r="O156" s="47" t="n"/>
    </row>
    <row r="157">
      <c r="A157" s="39" t="n"/>
      <c r="B157" s="40" t="n"/>
      <c r="C157" s="43">
        <f>IFERROR(INDEX(الموظفون_الاسم,MATCH($B157,الموظفون_الرقم,0)),"")</f>
        <v/>
      </c>
      <c r="D157" s="40" t="n"/>
      <c r="E157" s="110" t="n"/>
      <c r="F157" s="110" t="n"/>
      <c r="G157" s="110" t="n"/>
      <c r="H157" s="44">
        <f>IF(OR($F157="",$G157=""),"",MAX(0,$G157-$F157+1))</f>
        <v/>
      </c>
      <c r="I157" s="44">
        <f>IF($B157="","",IFERROR(INDEX(الموظفون_الافتتاحي,MATCH($B157,الموظفون_الرقم,0)),0)+IF($D157&lt;&gt;"سنوية",0,IFERROR(DATEDIF(بداية_احتساب_الرصيد,TODAY(),"M"),0)*معدل_الاستحقاق_الشهري)-SUMIFS($J$3:$J$502,$B$3:$B$502,$B157,$D$3:$D$502,"سنوية",$L$3:$L$502,"معتمد",$A$3:$A$502,"&lt;"&amp;$A157))</f>
        <v/>
      </c>
      <c r="J157" s="44">
        <f>IF($L157="معتمد",$H157,0)</f>
        <v/>
      </c>
      <c r="K157" s="44">
        <f>IF($B157="","",$I157-$J157)</f>
        <v/>
      </c>
      <c r="L157" s="40" t="n"/>
      <c r="M157" s="40" t="n"/>
      <c r="N157" s="110" t="n"/>
      <c r="O157" s="40" t="n"/>
    </row>
    <row r="158">
      <c r="A158" s="46" t="n"/>
      <c r="B158" s="47" t="n"/>
      <c r="C158" s="50">
        <f>IFERROR(INDEX(الموظفون_الاسم,MATCH($B158,الموظفون_الرقم,0)),"")</f>
        <v/>
      </c>
      <c r="D158" s="47" t="n"/>
      <c r="E158" s="112" t="n"/>
      <c r="F158" s="112" t="n"/>
      <c r="G158" s="112" t="n"/>
      <c r="H158" s="51">
        <f>IF(OR($F158="",$G158=""),"",MAX(0,$G158-$F158+1))</f>
        <v/>
      </c>
      <c r="I158" s="51">
        <f>IF($B158="","",IFERROR(INDEX(الموظفون_الافتتاحي,MATCH($B158,الموظفون_الرقم,0)),0)+IF($D158&lt;&gt;"سنوية",0,IFERROR(DATEDIF(بداية_احتساب_الرصيد,TODAY(),"M"),0)*معدل_الاستحقاق_الشهري)-SUMIFS($J$3:$J$502,$B$3:$B$502,$B158,$D$3:$D$502,"سنوية",$L$3:$L$502,"معتمد",$A$3:$A$502,"&lt;"&amp;$A158))</f>
        <v/>
      </c>
      <c r="J158" s="51">
        <f>IF($L158="معتمد",$H158,0)</f>
        <v/>
      </c>
      <c r="K158" s="51">
        <f>IF($B158="","",$I158-$J158)</f>
        <v/>
      </c>
      <c r="L158" s="47" t="n"/>
      <c r="M158" s="47" t="n"/>
      <c r="N158" s="112" t="n"/>
      <c r="O158" s="47" t="n"/>
    </row>
    <row r="159">
      <c r="A159" s="39" t="n"/>
      <c r="B159" s="40" t="n"/>
      <c r="C159" s="43">
        <f>IFERROR(INDEX(الموظفون_الاسم,MATCH($B159,الموظفون_الرقم,0)),"")</f>
        <v/>
      </c>
      <c r="D159" s="40" t="n"/>
      <c r="E159" s="110" t="n"/>
      <c r="F159" s="110" t="n"/>
      <c r="G159" s="110" t="n"/>
      <c r="H159" s="44">
        <f>IF(OR($F159="",$G159=""),"",MAX(0,$G159-$F159+1))</f>
        <v/>
      </c>
      <c r="I159" s="44">
        <f>IF($B159="","",IFERROR(INDEX(الموظفون_الافتتاحي,MATCH($B159,الموظفون_الرقم,0)),0)+IF($D159&lt;&gt;"سنوية",0,IFERROR(DATEDIF(بداية_احتساب_الرصيد,TODAY(),"M"),0)*معدل_الاستحقاق_الشهري)-SUMIFS($J$3:$J$502,$B$3:$B$502,$B159,$D$3:$D$502,"سنوية",$L$3:$L$502,"معتمد",$A$3:$A$502,"&lt;"&amp;$A159))</f>
        <v/>
      </c>
      <c r="J159" s="44">
        <f>IF($L159="معتمد",$H159,0)</f>
        <v/>
      </c>
      <c r="K159" s="44">
        <f>IF($B159="","",$I159-$J159)</f>
        <v/>
      </c>
      <c r="L159" s="40" t="n"/>
      <c r="M159" s="40" t="n"/>
      <c r="N159" s="110" t="n"/>
      <c r="O159" s="40" t="n"/>
    </row>
    <row r="160">
      <c r="A160" s="46" t="n"/>
      <c r="B160" s="47" t="n"/>
      <c r="C160" s="50">
        <f>IFERROR(INDEX(الموظفون_الاسم,MATCH($B160,الموظفون_الرقم,0)),"")</f>
        <v/>
      </c>
      <c r="D160" s="47" t="n"/>
      <c r="E160" s="112" t="n"/>
      <c r="F160" s="112" t="n"/>
      <c r="G160" s="112" t="n"/>
      <c r="H160" s="51">
        <f>IF(OR($F160="",$G160=""),"",MAX(0,$G160-$F160+1))</f>
        <v/>
      </c>
      <c r="I160" s="51">
        <f>IF($B160="","",IFERROR(INDEX(الموظفون_الافتتاحي,MATCH($B160,الموظفون_الرقم,0)),0)+IF($D160&lt;&gt;"سنوية",0,IFERROR(DATEDIF(بداية_احتساب_الرصيد,TODAY(),"M"),0)*معدل_الاستحقاق_الشهري)-SUMIFS($J$3:$J$502,$B$3:$B$502,$B160,$D$3:$D$502,"سنوية",$L$3:$L$502,"معتمد",$A$3:$A$502,"&lt;"&amp;$A160))</f>
        <v/>
      </c>
      <c r="J160" s="51">
        <f>IF($L160="معتمد",$H160,0)</f>
        <v/>
      </c>
      <c r="K160" s="51">
        <f>IF($B160="","",$I160-$J160)</f>
        <v/>
      </c>
      <c r="L160" s="47" t="n"/>
      <c r="M160" s="47" t="n"/>
      <c r="N160" s="112" t="n"/>
      <c r="O160" s="47" t="n"/>
    </row>
    <row r="161">
      <c r="A161" s="39" t="n"/>
      <c r="B161" s="40" t="n"/>
      <c r="C161" s="43">
        <f>IFERROR(INDEX(الموظفون_الاسم,MATCH($B161,الموظفون_الرقم,0)),"")</f>
        <v/>
      </c>
      <c r="D161" s="40" t="n"/>
      <c r="E161" s="110" t="n"/>
      <c r="F161" s="110" t="n"/>
      <c r="G161" s="110" t="n"/>
      <c r="H161" s="44">
        <f>IF(OR($F161="",$G161=""),"",MAX(0,$G161-$F161+1))</f>
        <v/>
      </c>
      <c r="I161" s="44">
        <f>IF($B161="","",IFERROR(INDEX(الموظفون_الافتتاحي,MATCH($B161,الموظفون_الرقم,0)),0)+IF($D161&lt;&gt;"سنوية",0,IFERROR(DATEDIF(بداية_احتساب_الرصيد,TODAY(),"M"),0)*معدل_الاستحقاق_الشهري)-SUMIFS($J$3:$J$502,$B$3:$B$502,$B161,$D$3:$D$502,"سنوية",$L$3:$L$502,"معتمد",$A$3:$A$502,"&lt;"&amp;$A161))</f>
        <v/>
      </c>
      <c r="J161" s="44">
        <f>IF($L161="معتمد",$H161,0)</f>
        <v/>
      </c>
      <c r="K161" s="44">
        <f>IF($B161="","",$I161-$J161)</f>
        <v/>
      </c>
      <c r="L161" s="40" t="n"/>
      <c r="M161" s="40" t="n"/>
      <c r="N161" s="110" t="n"/>
      <c r="O161" s="40" t="n"/>
    </row>
    <row r="162">
      <c r="A162" s="46" t="n"/>
      <c r="B162" s="47" t="n"/>
      <c r="C162" s="50">
        <f>IFERROR(INDEX(الموظفون_الاسم,MATCH($B162,الموظفون_الرقم,0)),"")</f>
        <v/>
      </c>
      <c r="D162" s="47" t="n"/>
      <c r="E162" s="112" t="n"/>
      <c r="F162" s="112" t="n"/>
      <c r="G162" s="112" t="n"/>
      <c r="H162" s="51">
        <f>IF(OR($F162="",$G162=""),"",MAX(0,$G162-$F162+1))</f>
        <v/>
      </c>
      <c r="I162" s="51">
        <f>IF($B162="","",IFERROR(INDEX(الموظفون_الافتتاحي,MATCH($B162,الموظفون_الرقم,0)),0)+IF($D162&lt;&gt;"سنوية",0,IFERROR(DATEDIF(بداية_احتساب_الرصيد,TODAY(),"M"),0)*معدل_الاستحقاق_الشهري)-SUMIFS($J$3:$J$502,$B$3:$B$502,$B162,$D$3:$D$502,"سنوية",$L$3:$L$502,"معتمد",$A$3:$A$502,"&lt;"&amp;$A162))</f>
        <v/>
      </c>
      <c r="J162" s="51">
        <f>IF($L162="معتمد",$H162,0)</f>
        <v/>
      </c>
      <c r="K162" s="51">
        <f>IF($B162="","",$I162-$J162)</f>
        <v/>
      </c>
      <c r="L162" s="47" t="n"/>
      <c r="M162" s="47" t="n"/>
      <c r="N162" s="112" t="n"/>
      <c r="O162" s="47" t="n"/>
    </row>
    <row r="163">
      <c r="A163" s="39" t="n"/>
      <c r="B163" s="40" t="n"/>
      <c r="C163" s="43">
        <f>IFERROR(INDEX(الموظفون_الاسم,MATCH($B163,الموظفون_الرقم,0)),"")</f>
        <v/>
      </c>
      <c r="D163" s="40" t="n"/>
      <c r="E163" s="110" t="n"/>
      <c r="F163" s="110" t="n"/>
      <c r="G163" s="110" t="n"/>
      <c r="H163" s="44">
        <f>IF(OR($F163="",$G163=""),"",MAX(0,$G163-$F163+1))</f>
        <v/>
      </c>
      <c r="I163" s="44">
        <f>IF($B163="","",IFERROR(INDEX(الموظفون_الافتتاحي,MATCH($B163,الموظفون_الرقم,0)),0)+IF($D163&lt;&gt;"سنوية",0,IFERROR(DATEDIF(بداية_احتساب_الرصيد,TODAY(),"M"),0)*معدل_الاستحقاق_الشهري)-SUMIFS($J$3:$J$502,$B$3:$B$502,$B163,$D$3:$D$502,"سنوية",$L$3:$L$502,"معتمد",$A$3:$A$502,"&lt;"&amp;$A163))</f>
        <v/>
      </c>
      <c r="J163" s="44">
        <f>IF($L163="معتمد",$H163,0)</f>
        <v/>
      </c>
      <c r="K163" s="44">
        <f>IF($B163="","",$I163-$J163)</f>
        <v/>
      </c>
      <c r="L163" s="40" t="n"/>
      <c r="M163" s="40" t="n"/>
      <c r="N163" s="110" t="n"/>
      <c r="O163" s="40" t="n"/>
    </row>
    <row r="164">
      <c r="A164" s="46" t="n"/>
      <c r="B164" s="47" t="n"/>
      <c r="C164" s="50">
        <f>IFERROR(INDEX(الموظفون_الاسم,MATCH($B164,الموظفون_الرقم,0)),"")</f>
        <v/>
      </c>
      <c r="D164" s="47" t="n"/>
      <c r="E164" s="112" t="n"/>
      <c r="F164" s="112" t="n"/>
      <c r="G164" s="112" t="n"/>
      <c r="H164" s="51">
        <f>IF(OR($F164="",$G164=""),"",MAX(0,$G164-$F164+1))</f>
        <v/>
      </c>
      <c r="I164" s="51">
        <f>IF($B164="","",IFERROR(INDEX(الموظفون_الافتتاحي,MATCH($B164,الموظفون_الرقم,0)),0)+IF($D164&lt;&gt;"سنوية",0,IFERROR(DATEDIF(بداية_احتساب_الرصيد,TODAY(),"M"),0)*معدل_الاستحقاق_الشهري)-SUMIFS($J$3:$J$502,$B$3:$B$502,$B164,$D$3:$D$502,"سنوية",$L$3:$L$502,"معتمد",$A$3:$A$502,"&lt;"&amp;$A164))</f>
        <v/>
      </c>
      <c r="J164" s="51">
        <f>IF($L164="معتمد",$H164,0)</f>
        <v/>
      </c>
      <c r="K164" s="51">
        <f>IF($B164="","",$I164-$J164)</f>
        <v/>
      </c>
      <c r="L164" s="47" t="n"/>
      <c r="M164" s="47" t="n"/>
      <c r="N164" s="112" t="n"/>
      <c r="O164" s="47" t="n"/>
    </row>
    <row r="165">
      <c r="A165" s="39" t="n"/>
      <c r="B165" s="40" t="n"/>
      <c r="C165" s="43">
        <f>IFERROR(INDEX(الموظفون_الاسم,MATCH($B165,الموظفون_الرقم,0)),"")</f>
        <v/>
      </c>
      <c r="D165" s="40" t="n"/>
      <c r="E165" s="110" t="n"/>
      <c r="F165" s="110" t="n"/>
      <c r="G165" s="110" t="n"/>
      <c r="H165" s="44">
        <f>IF(OR($F165="",$G165=""),"",MAX(0,$G165-$F165+1))</f>
        <v/>
      </c>
      <c r="I165" s="44">
        <f>IF($B165="","",IFERROR(INDEX(الموظفون_الافتتاحي,MATCH($B165,الموظفون_الرقم,0)),0)+IF($D165&lt;&gt;"سنوية",0,IFERROR(DATEDIF(بداية_احتساب_الرصيد,TODAY(),"M"),0)*معدل_الاستحقاق_الشهري)-SUMIFS($J$3:$J$502,$B$3:$B$502,$B165,$D$3:$D$502,"سنوية",$L$3:$L$502,"معتمد",$A$3:$A$502,"&lt;"&amp;$A165))</f>
        <v/>
      </c>
      <c r="J165" s="44">
        <f>IF($L165="معتمد",$H165,0)</f>
        <v/>
      </c>
      <c r="K165" s="44">
        <f>IF($B165="","",$I165-$J165)</f>
        <v/>
      </c>
      <c r="L165" s="40" t="n"/>
      <c r="M165" s="40" t="n"/>
      <c r="N165" s="110" t="n"/>
      <c r="O165" s="40" t="n"/>
    </row>
    <row r="166">
      <c r="A166" s="46" t="n"/>
      <c r="B166" s="47" t="n"/>
      <c r="C166" s="50">
        <f>IFERROR(INDEX(الموظفون_الاسم,MATCH($B166,الموظفون_الرقم,0)),"")</f>
        <v/>
      </c>
      <c r="D166" s="47" t="n"/>
      <c r="E166" s="112" t="n"/>
      <c r="F166" s="112" t="n"/>
      <c r="G166" s="112" t="n"/>
      <c r="H166" s="51">
        <f>IF(OR($F166="",$G166=""),"",MAX(0,$G166-$F166+1))</f>
        <v/>
      </c>
      <c r="I166" s="51">
        <f>IF($B166="","",IFERROR(INDEX(الموظفون_الافتتاحي,MATCH($B166,الموظفون_الرقم,0)),0)+IF($D166&lt;&gt;"سنوية",0,IFERROR(DATEDIF(بداية_احتساب_الرصيد,TODAY(),"M"),0)*معدل_الاستحقاق_الشهري)-SUMIFS($J$3:$J$502,$B$3:$B$502,$B166,$D$3:$D$502,"سنوية",$L$3:$L$502,"معتمد",$A$3:$A$502,"&lt;"&amp;$A166))</f>
        <v/>
      </c>
      <c r="J166" s="51">
        <f>IF($L166="معتمد",$H166,0)</f>
        <v/>
      </c>
      <c r="K166" s="51">
        <f>IF($B166="","",$I166-$J166)</f>
        <v/>
      </c>
      <c r="L166" s="47" t="n"/>
      <c r="M166" s="47" t="n"/>
      <c r="N166" s="112" t="n"/>
      <c r="O166" s="47" t="n"/>
    </row>
    <row r="167">
      <c r="A167" s="39" t="n"/>
      <c r="B167" s="40" t="n"/>
      <c r="C167" s="43">
        <f>IFERROR(INDEX(الموظفون_الاسم,MATCH($B167,الموظفون_الرقم,0)),"")</f>
        <v/>
      </c>
      <c r="D167" s="40" t="n"/>
      <c r="E167" s="110" t="n"/>
      <c r="F167" s="110" t="n"/>
      <c r="G167" s="110" t="n"/>
      <c r="H167" s="44">
        <f>IF(OR($F167="",$G167=""),"",MAX(0,$G167-$F167+1))</f>
        <v/>
      </c>
      <c r="I167" s="44">
        <f>IF($B167="","",IFERROR(INDEX(الموظفون_الافتتاحي,MATCH($B167,الموظفون_الرقم,0)),0)+IF($D167&lt;&gt;"سنوية",0,IFERROR(DATEDIF(بداية_احتساب_الرصيد,TODAY(),"M"),0)*معدل_الاستحقاق_الشهري)-SUMIFS($J$3:$J$502,$B$3:$B$502,$B167,$D$3:$D$502,"سنوية",$L$3:$L$502,"معتمد",$A$3:$A$502,"&lt;"&amp;$A167))</f>
        <v/>
      </c>
      <c r="J167" s="44">
        <f>IF($L167="معتمد",$H167,0)</f>
        <v/>
      </c>
      <c r="K167" s="44">
        <f>IF($B167="","",$I167-$J167)</f>
        <v/>
      </c>
      <c r="L167" s="40" t="n"/>
      <c r="M167" s="40" t="n"/>
      <c r="N167" s="110" t="n"/>
      <c r="O167" s="40" t="n"/>
    </row>
    <row r="168">
      <c r="A168" s="46" t="n"/>
      <c r="B168" s="47" t="n"/>
      <c r="C168" s="50">
        <f>IFERROR(INDEX(الموظفون_الاسم,MATCH($B168,الموظفون_الرقم,0)),"")</f>
        <v/>
      </c>
      <c r="D168" s="47" t="n"/>
      <c r="E168" s="112" t="n"/>
      <c r="F168" s="112" t="n"/>
      <c r="G168" s="112" t="n"/>
      <c r="H168" s="51">
        <f>IF(OR($F168="",$G168=""),"",MAX(0,$G168-$F168+1))</f>
        <v/>
      </c>
      <c r="I168" s="51">
        <f>IF($B168="","",IFERROR(INDEX(الموظفون_الافتتاحي,MATCH($B168,الموظفون_الرقم,0)),0)+IF($D168&lt;&gt;"سنوية",0,IFERROR(DATEDIF(بداية_احتساب_الرصيد,TODAY(),"M"),0)*معدل_الاستحقاق_الشهري)-SUMIFS($J$3:$J$502,$B$3:$B$502,$B168,$D$3:$D$502,"سنوية",$L$3:$L$502,"معتمد",$A$3:$A$502,"&lt;"&amp;$A168))</f>
        <v/>
      </c>
      <c r="J168" s="51">
        <f>IF($L168="معتمد",$H168,0)</f>
        <v/>
      </c>
      <c r="K168" s="51">
        <f>IF($B168="","",$I168-$J168)</f>
        <v/>
      </c>
      <c r="L168" s="47" t="n"/>
      <c r="M168" s="47" t="n"/>
      <c r="N168" s="112" t="n"/>
      <c r="O168" s="47" t="n"/>
    </row>
    <row r="169">
      <c r="A169" s="39" t="n"/>
      <c r="B169" s="40" t="n"/>
      <c r="C169" s="43">
        <f>IFERROR(INDEX(الموظفون_الاسم,MATCH($B169,الموظفون_الرقم,0)),"")</f>
        <v/>
      </c>
      <c r="D169" s="40" t="n"/>
      <c r="E169" s="110" t="n"/>
      <c r="F169" s="110" t="n"/>
      <c r="G169" s="110" t="n"/>
      <c r="H169" s="44">
        <f>IF(OR($F169="",$G169=""),"",MAX(0,$G169-$F169+1))</f>
        <v/>
      </c>
      <c r="I169" s="44">
        <f>IF($B169="","",IFERROR(INDEX(الموظفون_الافتتاحي,MATCH($B169,الموظفون_الرقم,0)),0)+IF($D169&lt;&gt;"سنوية",0,IFERROR(DATEDIF(بداية_احتساب_الرصيد,TODAY(),"M"),0)*معدل_الاستحقاق_الشهري)-SUMIFS($J$3:$J$502,$B$3:$B$502,$B169,$D$3:$D$502,"سنوية",$L$3:$L$502,"معتمد",$A$3:$A$502,"&lt;"&amp;$A169))</f>
        <v/>
      </c>
      <c r="J169" s="44">
        <f>IF($L169="معتمد",$H169,0)</f>
        <v/>
      </c>
      <c r="K169" s="44">
        <f>IF($B169="","",$I169-$J169)</f>
        <v/>
      </c>
      <c r="L169" s="40" t="n"/>
      <c r="M169" s="40" t="n"/>
      <c r="N169" s="110" t="n"/>
      <c r="O169" s="40" t="n"/>
    </row>
    <row r="170">
      <c r="A170" s="46" t="n"/>
      <c r="B170" s="47" t="n"/>
      <c r="C170" s="50">
        <f>IFERROR(INDEX(الموظفون_الاسم,MATCH($B170,الموظفون_الرقم,0)),"")</f>
        <v/>
      </c>
      <c r="D170" s="47" t="n"/>
      <c r="E170" s="112" t="n"/>
      <c r="F170" s="112" t="n"/>
      <c r="G170" s="112" t="n"/>
      <c r="H170" s="51">
        <f>IF(OR($F170="",$G170=""),"",MAX(0,$G170-$F170+1))</f>
        <v/>
      </c>
      <c r="I170" s="51">
        <f>IF($B170="","",IFERROR(INDEX(الموظفون_الافتتاحي,MATCH($B170,الموظفون_الرقم,0)),0)+IF($D170&lt;&gt;"سنوية",0,IFERROR(DATEDIF(بداية_احتساب_الرصيد,TODAY(),"M"),0)*معدل_الاستحقاق_الشهري)-SUMIFS($J$3:$J$502,$B$3:$B$502,$B170,$D$3:$D$502,"سنوية",$L$3:$L$502,"معتمد",$A$3:$A$502,"&lt;"&amp;$A170))</f>
        <v/>
      </c>
      <c r="J170" s="51">
        <f>IF($L170="معتمد",$H170,0)</f>
        <v/>
      </c>
      <c r="K170" s="51">
        <f>IF($B170="","",$I170-$J170)</f>
        <v/>
      </c>
      <c r="L170" s="47" t="n"/>
      <c r="M170" s="47" t="n"/>
      <c r="N170" s="112" t="n"/>
      <c r="O170" s="47" t="n"/>
    </row>
    <row r="171">
      <c r="A171" s="39" t="n"/>
      <c r="B171" s="40" t="n"/>
      <c r="C171" s="43">
        <f>IFERROR(INDEX(الموظفون_الاسم,MATCH($B171,الموظفون_الرقم,0)),"")</f>
        <v/>
      </c>
      <c r="D171" s="40" t="n"/>
      <c r="E171" s="110" t="n"/>
      <c r="F171" s="110" t="n"/>
      <c r="G171" s="110" t="n"/>
      <c r="H171" s="44">
        <f>IF(OR($F171="",$G171=""),"",MAX(0,$G171-$F171+1))</f>
        <v/>
      </c>
      <c r="I171" s="44">
        <f>IF($B171="","",IFERROR(INDEX(الموظفون_الافتتاحي,MATCH($B171,الموظفون_الرقم,0)),0)+IF($D171&lt;&gt;"سنوية",0,IFERROR(DATEDIF(بداية_احتساب_الرصيد,TODAY(),"M"),0)*معدل_الاستحقاق_الشهري)-SUMIFS($J$3:$J$502,$B$3:$B$502,$B171,$D$3:$D$502,"سنوية",$L$3:$L$502,"معتمد",$A$3:$A$502,"&lt;"&amp;$A171))</f>
        <v/>
      </c>
      <c r="J171" s="44">
        <f>IF($L171="معتمد",$H171,0)</f>
        <v/>
      </c>
      <c r="K171" s="44">
        <f>IF($B171="","",$I171-$J171)</f>
        <v/>
      </c>
      <c r="L171" s="40" t="n"/>
      <c r="M171" s="40" t="n"/>
      <c r="N171" s="110" t="n"/>
      <c r="O171" s="40" t="n"/>
    </row>
    <row r="172">
      <c r="A172" s="46" t="n"/>
      <c r="B172" s="47" t="n"/>
      <c r="C172" s="50">
        <f>IFERROR(INDEX(الموظفون_الاسم,MATCH($B172,الموظفون_الرقم,0)),"")</f>
        <v/>
      </c>
      <c r="D172" s="47" t="n"/>
      <c r="E172" s="112" t="n"/>
      <c r="F172" s="112" t="n"/>
      <c r="G172" s="112" t="n"/>
      <c r="H172" s="51">
        <f>IF(OR($F172="",$G172=""),"",MAX(0,$G172-$F172+1))</f>
        <v/>
      </c>
      <c r="I172" s="51">
        <f>IF($B172="","",IFERROR(INDEX(الموظفون_الافتتاحي,MATCH($B172,الموظفون_الرقم,0)),0)+IF($D172&lt;&gt;"سنوية",0,IFERROR(DATEDIF(بداية_احتساب_الرصيد,TODAY(),"M"),0)*معدل_الاستحقاق_الشهري)-SUMIFS($J$3:$J$502,$B$3:$B$502,$B172,$D$3:$D$502,"سنوية",$L$3:$L$502,"معتمد",$A$3:$A$502,"&lt;"&amp;$A172))</f>
        <v/>
      </c>
      <c r="J172" s="51">
        <f>IF($L172="معتمد",$H172,0)</f>
        <v/>
      </c>
      <c r="K172" s="51">
        <f>IF($B172="","",$I172-$J172)</f>
        <v/>
      </c>
      <c r="L172" s="47" t="n"/>
      <c r="M172" s="47" t="n"/>
      <c r="N172" s="112" t="n"/>
      <c r="O172" s="47" t="n"/>
    </row>
    <row r="173">
      <c r="A173" s="39" t="n"/>
      <c r="B173" s="40" t="n"/>
      <c r="C173" s="43">
        <f>IFERROR(INDEX(الموظفون_الاسم,MATCH($B173,الموظفون_الرقم,0)),"")</f>
        <v/>
      </c>
      <c r="D173" s="40" t="n"/>
      <c r="E173" s="110" t="n"/>
      <c r="F173" s="110" t="n"/>
      <c r="G173" s="110" t="n"/>
      <c r="H173" s="44">
        <f>IF(OR($F173="",$G173=""),"",MAX(0,$G173-$F173+1))</f>
        <v/>
      </c>
      <c r="I173" s="44">
        <f>IF($B173="","",IFERROR(INDEX(الموظفون_الافتتاحي,MATCH($B173,الموظفون_الرقم,0)),0)+IF($D173&lt;&gt;"سنوية",0,IFERROR(DATEDIF(بداية_احتساب_الرصيد,TODAY(),"M"),0)*معدل_الاستحقاق_الشهري)-SUMIFS($J$3:$J$502,$B$3:$B$502,$B173,$D$3:$D$502,"سنوية",$L$3:$L$502,"معتمد",$A$3:$A$502,"&lt;"&amp;$A173))</f>
        <v/>
      </c>
      <c r="J173" s="44">
        <f>IF($L173="معتمد",$H173,0)</f>
        <v/>
      </c>
      <c r="K173" s="44">
        <f>IF($B173="","",$I173-$J173)</f>
        <v/>
      </c>
      <c r="L173" s="40" t="n"/>
      <c r="M173" s="40" t="n"/>
      <c r="N173" s="110" t="n"/>
      <c r="O173" s="40" t="n"/>
    </row>
    <row r="174">
      <c r="A174" s="46" t="n"/>
      <c r="B174" s="47" t="n"/>
      <c r="C174" s="50">
        <f>IFERROR(INDEX(الموظفون_الاسم,MATCH($B174,الموظفون_الرقم,0)),"")</f>
        <v/>
      </c>
      <c r="D174" s="47" t="n"/>
      <c r="E174" s="112" t="n"/>
      <c r="F174" s="112" t="n"/>
      <c r="G174" s="112" t="n"/>
      <c r="H174" s="51">
        <f>IF(OR($F174="",$G174=""),"",MAX(0,$G174-$F174+1))</f>
        <v/>
      </c>
      <c r="I174" s="51">
        <f>IF($B174="","",IFERROR(INDEX(الموظفون_الافتتاحي,MATCH($B174,الموظفون_الرقم,0)),0)+IF($D174&lt;&gt;"سنوية",0,IFERROR(DATEDIF(بداية_احتساب_الرصيد,TODAY(),"M"),0)*معدل_الاستحقاق_الشهري)-SUMIFS($J$3:$J$502,$B$3:$B$502,$B174,$D$3:$D$502,"سنوية",$L$3:$L$502,"معتمد",$A$3:$A$502,"&lt;"&amp;$A174))</f>
        <v/>
      </c>
      <c r="J174" s="51">
        <f>IF($L174="معتمد",$H174,0)</f>
        <v/>
      </c>
      <c r="K174" s="51">
        <f>IF($B174="","",$I174-$J174)</f>
        <v/>
      </c>
      <c r="L174" s="47" t="n"/>
      <c r="M174" s="47" t="n"/>
      <c r="N174" s="112" t="n"/>
      <c r="O174" s="47" t="n"/>
    </row>
    <row r="175">
      <c r="A175" s="39" t="n"/>
      <c r="B175" s="40" t="n"/>
      <c r="C175" s="43">
        <f>IFERROR(INDEX(الموظفون_الاسم,MATCH($B175,الموظفون_الرقم,0)),"")</f>
        <v/>
      </c>
      <c r="D175" s="40" t="n"/>
      <c r="E175" s="110" t="n"/>
      <c r="F175" s="110" t="n"/>
      <c r="G175" s="110" t="n"/>
      <c r="H175" s="44">
        <f>IF(OR($F175="",$G175=""),"",MAX(0,$G175-$F175+1))</f>
        <v/>
      </c>
      <c r="I175" s="44">
        <f>IF($B175="","",IFERROR(INDEX(الموظفون_الافتتاحي,MATCH($B175,الموظفون_الرقم,0)),0)+IF($D175&lt;&gt;"سنوية",0,IFERROR(DATEDIF(بداية_احتساب_الرصيد,TODAY(),"M"),0)*معدل_الاستحقاق_الشهري)-SUMIFS($J$3:$J$502,$B$3:$B$502,$B175,$D$3:$D$502,"سنوية",$L$3:$L$502,"معتمد",$A$3:$A$502,"&lt;"&amp;$A175))</f>
        <v/>
      </c>
      <c r="J175" s="44">
        <f>IF($L175="معتمد",$H175,0)</f>
        <v/>
      </c>
      <c r="K175" s="44">
        <f>IF($B175="","",$I175-$J175)</f>
        <v/>
      </c>
      <c r="L175" s="40" t="n"/>
      <c r="M175" s="40" t="n"/>
      <c r="N175" s="110" t="n"/>
      <c r="O175" s="40" t="n"/>
    </row>
    <row r="176">
      <c r="A176" s="46" t="n"/>
      <c r="B176" s="47" t="n"/>
      <c r="C176" s="50">
        <f>IFERROR(INDEX(الموظفون_الاسم,MATCH($B176,الموظفون_الرقم,0)),"")</f>
        <v/>
      </c>
      <c r="D176" s="47" t="n"/>
      <c r="E176" s="112" t="n"/>
      <c r="F176" s="112" t="n"/>
      <c r="G176" s="112" t="n"/>
      <c r="H176" s="51">
        <f>IF(OR($F176="",$G176=""),"",MAX(0,$G176-$F176+1))</f>
        <v/>
      </c>
      <c r="I176" s="51">
        <f>IF($B176="","",IFERROR(INDEX(الموظفون_الافتتاحي,MATCH($B176,الموظفون_الرقم,0)),0)+IF($D176&lt;&gt;"سنوية",0,IFERROR(DATEDIF(بداية_احتساب_الرصيد,TODAY(),"M"),0)*معدل_الاستحقاق_الشهري)-SUMIFS($J$3:$J$502,$B$3:$B$502,$B176,$D$3:$D$502,"سنوية",$L$3:$L$502,"معتمد",$A$3:$A$502,"&lt;"&amp;$A176))</f>
        <v/>
      </c>
      <c r="J176" s="51">
        <f>IF($L176="معتمد",$H176,0)</f>
        <v/>
      </c>
      <c r="K176" s="51">
        <f>IF($B176="","",$I176-$J176)</f>
        <v/>
      </c>
      <c r="L176" s="47" t="n"/>
      <c r="M176" s="47" t="n"/>
      <c r="N176" s="112" t="n"/>
      <c r="O176" s="47" t="n"/>
    </row>
    <row r="177">
      <c r="A177" s="39" t="n"/>
      <c r="B177" s="40" t="n"/>
      <c r="C177" s="43">
        <f>IFERROR(INDEX(الموظفون_الاسم,MATCH($B177,الموظفون_الرقم,0)),"")</f>
        <v/>
      </c>
      <c r="D177" s="40" t="n"/>
      <c r="E177" s="110" t="n"/>
      <c r="F177" s="110" t="n"/>
      <c r="G177" s="110" t="n"/>
      <c r="H177" s="44">
        <f>IF(OR($F177="",$G177=""),"",MAX(0,$G177-$F177+1))</f>
        <v/>
      </c>
      <c r="I177" s="44">
        <f>IF($B177="","",IFERROR(INDEX(الموظفون_الافتتاحي,MATCH($B177,الموظفون_الرقم,0)),0)+IF($D177&lt;&gt;"سنوية",0,IFERROR(DATEDIF(بداية_احتساب_الرصيد,TODAY(),"M"),0)*معدل_الاستحقاق_الشهري)-SUMIFS($J$3:$J$502,$B$3:$B$502,$B177,$D$3:$D$502,"سنوية",$L$3:$L$502,"معتمد",$A$3:$A$502,"&lt;"&amp;$A177))</f>
        <v/>
      </c>
      <c r="J177" s="44">
        <f>IF($L177="معتمد",$H177,0)</f>
        <v/>
      </c>
      <c r="K177" s="44">
        <f>IF($B177="","",$I177-$J177)</f>
        <v/>
      </c>
      <c r="L177" s="40" t="n"/>
      <c r="M177" s="40" t="n"/>
      <c r="N177" s="110" t="n"/>
      <c r="O177" s="40" t="n"/>
    </row>
    <row r="178">
      <c r="A178" s="46" t="n"/>
      <c r="B178" s="47" t="n"/>
      <c r="C178" s="50">
        <f>IFERROR(INDEX(الموظفون_الاسم,MATCH($B178,الموظفون_الرقم,0)),"")</f>
        <v/>
      </c>
      <c r="D178" s="47" t="n"/>
      <c r="E178" s="112" t="n"/>
      <c r="F178" s="112" t="n"/>
      <c r="G178" s="112" t="n"/>
      <c r="H178" s="51">
        <f>IF(OR($F178="",$G178=""),"",MAX(0,$G178-$F178+1))</f>
        <v/>
      </c>
      <c r="I178" s="51">
        <f>IF($B178="","",IFERROR(INDEX(الموظفون_الافتتاحي,MATCH($B178,الموظفون_الرقم,0)),0)+IF($D178&lt;&gt;"سنوية",0,IFERROR(DATEDIF(بداية_احتساب_الرصيد,TODAY(),"M"),0)*معدل_الاستحقاق_الشهري)-SUMIFS($J$3:$J$502,$B$3:$B$502,$B178,$D$3:$D$502,"سنوية",$L$3:$L$502,"معتمد",$A$3:$A$502,"&lt;"&amp;$A178))</f>
        <v/>
      </c>
      <c r="J178" s="51">
        <f>IF($L178="معتمد",$H178,0)</f>
        <v/>
      </c>
      <c r="K178" s="51">
        <f>IF($B178="","",$I178-$J178)</f>
        <v/>
      </c>
      <c r="L178" s="47" t="n"/>
      <c r="M178" s="47" t="n"/>
      <c r="N178" s="112" t="n"/>
      <c r="O178" s="47" t="n"/>
    </row>
    <row r="179">
      <c r="A179" s="39" t="n"/>
      <c r="B179" s="40" t="n"/>
      <c r="C179" s="43">
        <f>IFERROR(INDEX(الموظفون_الاسم,MATCH($B179,الموظفون_الرقم,0)),"")</f>
        <v/>
      </c>
      <c r="D179" s="40" t="n"/>
      <c r="E179" s="110" t="n"/>
      <c r="F179" s="110" t="n"/>
      <c r="G179" s="110" t="n"/>
      <c r="H179" s="44">
        <f>IF(OR($F179="",$G179=""),"",MAX(0,$G179-$F179+1))</f>
        <v/>
      </c>
      <c r="I179" s="44">
        <f>IF($B179="","",IFERROR(INDEX(الموظفون_الافتتاحي,MATCH($B179,الموظفون_الرقم,0)),0)+IF($D179&lt;&gt;"سنوية",0,IFERROR(DATEDIF(بداية_احتساب_الرصيد,TODAY(),"M"),0)*معدل_الاستحقاق_الشهري)-SUMIFS($J$3:$J$502,$B$3:$B$502,$B179,$D$3:$D$502,"سنوية",$L$3:$L$502,"معتمد",$A$3:$A$502,"&lt;"&amp;$A179))</f>
        <v/>
      </c>
      <c r="J179" s="44">
        <f>IF($L179="معتمد",$H179,0)</f>
        <v/>
      </c>
      <c r="K179" s="44">
        <f>IF($B179="","",$I179-$J179)</f>
        <v/>
      </c>
      <c r="L179" s="40" t="n"/>
      <c r="M179" s="40" t="n"/>
      <c r="N179" s="110" t="n"/>
      <c r="O179" s="40" t="n"/>
    </row>
    <row r="180">
      <c r="A180" s="46" t="n"/>
      <c r="B180" s="47" t="n"/>
      <c r="C180" s="50">
        <f>IFERROR(INDEX(الموظفون_الاسم,MATCH($B180,الموظفون_الرقم,0)),"")</f>
        <v/>
      </c>
      <c r="D180" s="47" t="n"/>
      <c r="E180" s="112" t="n"/>
      <c r="F180" s="112" t="n"/>
      <c r="G180" s="112" t="n"/>
      <c r="H180" s="51">
        <f>IF(OR($F180="",$G180=""),"",MAX(0,$G180-$F180+1))</f>
        <v/>
      </c>
      <c r="I180" s="51">
        <f>IF($B180="","",IFERROR(INDEX(الموظفون_الافتتاحي,MATCH($B180,الموظفون_الرقم,0)),0)+IF($D180&lt;&gt;"سنوية",0,IFERROR(DATEDIF(بداية_احتساب_الرصيد,TODAY(),"M"),0)*معدل_الاستحقاق_الشهري)-SUMIFS($J$3:$J$502,$B$3:$B$502,$B180,$D$3:$D$502,"سنوية",$L$3:$L$502,"معتمد",$A$3:$A$502,"&lt;"&amp;$A180))</f>
        <v/>
      </c>
      <c r="J180" s="51">
        <f>IF($L180="معتمد",$H180,0)</f>
        <v/>
      </c>
      <c r="K180" s="51">
        <f>IF($B180="","",$I180-$J180)</f>
        <v/>
      </c>
      <c r="L180" s="47" t="n"/>
      <c r="M180" s="47" t="n"/>
      <c r="N180" s="112" t="n"/>
      <c r="O180" s="47" t="n"/>
    </row>
    <row r="181">
      <c r="A181" s="39" t="n"/>
      <c r="B181" s="40" t="n"/>
      <c r="C181" s="43">
        <f>IFERROR(INDEX(الموظفون_الاسم,MATCH($B181,الموظفون_الرقم,0)),"")</f>
        <v/>
      </c>
      <c r="D181" s="40" t="n"/>
      <c r="E181" s="110" t="n"/>
      <c r="F181" s="110" t="n"/>
      <c r="G181" s="110" t="n"/>
      <c r="H181" s="44">
        <f>IF(OR($F181="",$G181=""),"",MAX(0,$G181-$F181+1))</f>
        <v/>
      </c>
      <c r="I181" s="44">
        <f>IF($B181="","",IFERROR(INDEX(الموظفون_الافتتاحي,MATCH($B181,الموظفون_الرقم,0)),0)+IF($D181&lt;&gt;"سنوية",0,IFERROR(DATEDIF(بداية_احتساب_الرصيد,TODAY(),"M"),0)*معدل_الاستحقاق_الشهري)-SUMIFS($J$3:$J$502,$B$3:$B$502,$B181,$D$3:$D$502,"سنوية",$L$3:$L$502,"معتمد",$A$3:$A$502,"&lt;"&amp;$A181))</f>
        <v/>
      </c>
      <c r="J181" s="44">
        <f>IF($L181="معتمد",$H181,0)</f>
        <v/>
      </c>
      <c r="K181" s="44">
        <f>IF($B181="","",$I181-$J181)</f>
        <v/>
      </c>
      <c r="L181" s="40" t="n"/>
      <c r="M181" s="40" t="n"/>
      <c r="N181" s="110" t="n"/>
      <c r="O181" s="40" t="n"/>
    </row>
    <row r="182">
      <c r="A182" s="46" t="n"/>
      <c r="B182" s="47" t="n"/>
      <c r="C182" s="50">
        <f>IFERROR(INDEX(الموظفون_الاسم,MATCH($B182,الموظفون_الرقم,0)),"")</f>
        <v/>
      </c>
      <c r="D182" s="47" t="n"/>
      <c r="E182" s="112" t="n"/>
      <c r="F182" s="112" t="n"/>
      <c r="G182" s="112" t="n"/>
      <c r="H182" s="51">
        <f>IF(OR($F182="",$G182=""),"",MAX(0,$G182-$F182+1))</f>
        <v/>
      </c>
      <c r="I182" s="51">
        <f>IF($B182="","",IFERROR(INDEX(الموظفون_الافتتاحي,MATCH($B182,الموظفون_الرقم,0)),0)+IF($D182&lt;&gt;"سنوية",0,IFERROR(DATEDIF(بداية_احتساب_الرصيد,TODAY(),"M"),0)*معدل_الاستحقاق_الشهري)-SUMIFS($J$3:$J$502,$B$3:$B$502,$B182,$D$3:$D$502,"سنوية",$L$3:$L$502,"معتمد",$A$3:$A$502,"&lt;"&amp;$A182))</f>
        <v/>
      </c>
      <c r="J182" s="51">
        <f>IF($L182="معتمد",$H182,0)</f>
        <v/>
      </c>
      <c r="K182" s="51">
        <f>IF($B182="","",$I182-$J182)</f>
        <v/>
      </c>
      <c r="L182" s="47" t="n"/>
      <c r="M182" s="47" t="n"/>
      <c r="N182" s="112" t="n"/>
      <c r="O182" s="47" t="n"/>
    </row>
    <row r="183">
      <c r="A183" s="39" t="n"/>
      <c r="B183" s="40" t="n"/>
      <c r="C183" s="43">
        <f>IFERROR(INDEX(الموظفون_الاسم,MATCH($B183,الموظفون_الرقم,0)),"")</f>
        <v/>
      </c>
      <c r="D183" s="40" t="n"/>
      <c r="E183" s="110" t="n"/>
      <c r="F183" s="110" t="n"/>
      <c r="G183" s="110" t="n"/>
      <c r="H183" s="44">
        <f>IF(OR($F183="",$G183=""),"",MAX(0,$G183-$F183+1))</f>
        <v/>
      </c>
      <c r="I183" s="44">
        <f>IF($B183="","",IFERROR(INDEX(الموظفون_الافتتاحي,MATCH($B183,الموظفون_الرقم,0)),0)+IF($D183&lt;&gt;"سنوية",0,IFERROR(DATEDIF(بداية_احتساب_الرصيد,TODAY(),"M"),0)*معدل_الاستحقاق_الشهري)-SUMIFS($J$3:$J$502,$B$3:$B$502,$B183,$D$3:$D$502,"سنوية",$L$3:$L$502,"معتمد",$A$3:$A$502,"&lt;"&amp;$A183))</f>
        <v/>
      </c>
      <c r="J183" s="44">
        <f>IF($L183="معتمد",$H183,0)</f>
        <v/>
      </c>
      <c r="K183" s="44">
        <f>IF($B183="","",$I183-$J183)</f>
        <v/>
      </c>
      <c r="L183" s="40" t="n"/>
      <c r="M183" s="40" t="n"/>
      <c r="N183" s="110" t="n"/>
      <c r="O183" s="40" t="n"/>
    </row>
    <row r="184">
      <c r="A184" s="46" t="n"/>
      <c r="B184" s="47" t="n"/>
      <c r="C184" s="50">
        <f>IFERROR(INDEX(الموظفون_الاسم,MATCH($B184,الموظفون_الرقم,0)),"")</f>
        <v/>
      </c>
      <c r="D184" s="47" t="n"/>
      <c r="E184" s="112" t="n"/>
      <c r="F184" s="112" t="n"/>
      <c r="G184" s="112" t="n"/>
      <c r="H184" s="51">
        <f>IF(OR($F184="",$G184=""),"",MAX(0,$G184-$F184+1))</f>
        <v/>
      </c>
      <c r="I184" s="51">
        <f>IF($B184="","",IFERROR(INDEX(الموظفون_الافتتاحي,MATCH($B184,الموظفون_الرقم,0)),0)+IF($D184&lt;&gt;"سنوية",0,IFERROR(DATEDIF(بداية_احتساب_الرصيد,TODAY(),"M"),0)*معدل_الاستحقاق_الشهري)-SUMIFS($J$3:$J$502,$B$3:$B$502,$B184,$D$3:$D$502,"سنوية",$L$3:$L$502,"معتمد",$A$3:$A$502,"&lt;"&amp;$A184))</f>
        <v/>
      </c>
      <c r="J184" s="51">
        <f>IF($L184="معتمد",$H184,0)</f>
        <v/>
      </c>
      <c r="K184" s="51">
        <f>IF($B184="","",$I184-$J184)</f>
        <v/>
      </c>
      <c r="L184" s="47" t="n"/>
      <c r="M184" s="47" t="n"/>
      <c r="N184" s="112" t="n"/>
      <c r="O184" s="47" t="n"/>
    </row>
    <row r="185">
      <c r="A185" s="39" t="n"/>
      <c r="B185" s="40" t="n"/>
      <c r="C185" s="43">
        <f>IFERROR(INDEX(الموظفون_الاسم,MATCH($B185,الموظفون_الرقم,0)),"")</f>
        <v/>
      </c>
      <c r="D185" s="40" t="n"/>
      <c r="E185" s="110" t="n"/>
      <c r="F185" s="110" t="n"/>
      <c r="G185" s="110" t="n"/>
      <c r="H185" s="44">
        <f>IF(OR($F185="",$G185=""),"",MAX(0,$G185-$F185+1))</f>
        <v/>
      </c>
      <c r="I185" s="44">
        <f>IF($B185="","",IFERROR(INDEX(الموظفون_الافتتاحي,MATCH($B185,الموظفون_الرقم,0)),0)+IF($D185&lt;&gt;"سنوية",0,IFERROR(DATEDIF(بداية_احتساب_الرصيد,TODAY(),"M"),0)*معدل_الاستحقاق_الشهري)-SUMIFS($J$3:$J$502,$B$3:$B$502,$B185,$D$3:$D$502,"سنوية",$L$3:$L$502,"معتمد",$A$3:$A$502,"&lt;"&amp;$A185))</f>
        <v/>
      </c>
      <c r="J185" s="44">
        <f>IF($L185="معتمد",$H185,0)</f>
        <v/>
      </c>
      <c r="K185" s="44">
        <f>IF($B185="","",$I185-$J185)</f>
        <v/>
      </c>
      <c r="L185" s="40" t="n"/>
      <c r="M185" s="40" t="n"/>
      <c r="N185" s="110" t="n"/>
      <c r="O185" s="40" t="n"/>
    </row>
    <row r="186">
      <c r="A186" s="46" t="n"/>
      <c r="B186" s="47" t="n"/>
      <c r="C186" s="50">
        <f>IFERROR(INDEX(الموظفون_الاسم,MATCH($B186,الموظفون_الرقم,0)),"")</f>
        <v/>
      </c>
      <c r="D186" s="47" t="n"/>
      <c r="E186" s="112" t="n"/>
      <c r="F186" s="112" t="n"/>
      <c r="G186" s="112" t="n"/>
      <c r="H186" s="51">
        <f>IF(OR($F186="",$G186=""),"",MAX(0,$G186-$F186+1))</f>
        <v/>
      </c>
      <c r="I186" s="51">
        <f>IF($B186="","",IFERROR(INDEX(الموظفون_الافتتاحي,MATCH($B186,الموظفون_الرقم,0)),0)+IF($D186&lt;&gt;"سنوية",0,IFERROR(DATEDIF(بداية_احتساب_الرصيد,TODAY(),"M"),0)*معدل_الاستحقاق_الشهري)-SUMIFS($J$3:$J$502,$B$3:$B$502,$B186,$D$3:$D$502,"سنوية",$L$3:$L$502,"معتمد",$A$3:$A$502,"&lt;"&amp;$A186))</f>
        <v/>
      </c>
      <c r="J186" s="51">
        <f>IF($L186="معتمد",$H186,0)</f>
        <v/>
      </c>
      <c r="K186" s="51">
        <f>IF($B186="","",$I186-$J186)</f>
        <v/>
      </c>
      <c r="L186" s="47" t="n"/>
      <c r="M186" s="47" t="n"/>
      <c r="N186" s="112" t="n"/>
      <c r="O186" s="47" t="n"/>
    </row>
    <row r="187">
      <c r="A187" s="39" t="n"/>
      <c r="B187" s="40" t="n"/>
      <c r="C187" s="43">
        <f>IFERROR(INDEX(الموظفون_الاسم,MATCH($B187,الموظفون_الرقم,0)),"")</f>
        <v/>
      </c>
      <c r="D187" s="40" t="n"/>
      <c r="E187" s="110" t="n"/>
      <c r="F187" s="110" t="n"/>
      <c r="G187" s="110" t="n"/>
      <c r="H187" s="44">
        <f>IF(OR($F187="",$G187=""),"",MAX(0,$G187-$F187+1))</f>
        <v/>
      </c>
      <c r="I187" s="44">
        <f>IF($B187="","",IFERROR(INDEX(الموظفون_الافتتاحي,MATCH($B187,الموظفون_الرقم,0)),0)+IF($D187&lt;&gt;"سنوية",0,IFERROR(DATEDIF(بداية_احتساب_الرصيد,TODAY(),"M"),0)*معدل_الاستحقاق_الشهري)-SUMIFS($J$3:$J$502,$B$3:$B$502,$B187,$D$3:$D$502,"سنوية",$L$3:$L$502,"معتمد",$A$3:$A$502,"&lt;"&amp;$A187))</f>
        <v/>
      </c>
      <c r="J187" s="44">
        <f>IF($L187="معتمد",$H187,0)</f>
        <v/>
      </c>
      <c r="K187" s="44">
        <f>IF($B187="","",$I187-$J187)</f>
        <v/>
      </c>
      <c r="L187" s="40" t="n"/>
      <c r="M187" s="40" t="n"/>
      <c r="N187" s="110" t="n"/>
      <c r="O187" s="40" t="n"/>
    </row>
    <row r="188">
      <c r="A188" s="46" t="n"/>
      <c r="B188" s="47" t="n"/>
      <c r="C188" s="50">
        <f>IFERROR(INDEX(الموظفون_الاسم,MATCH($B188,الموظفون_الرقم,0)),"")</f>
        <v/>
      </c>
      <c r="D188" s="47" t="n"/>
      <c r="E188" s="112" t="n"/>
      <c r="F188" s="112" t="n"/>
      <c r="G188" s="112" t="n"/>
      <c r="H188" s="51">
        <f>IF(OR($F188="",$G188=""),"",MAX(0,$G188-$F188+1))</f>
        <v/>
      </c>
      <c r="I188" s="51">
        <f>IF($B188="","",IFERROR(INDEX(الموظفون_الافتتاحي,MATCH($B188,الموظفون_الرقم,0)),0)+IF($D188&lt;&gt;"سنوية",0,IFERROR(DATEDIF(بداية_احتساب_الرصيد,TODAY(),"M"),0)*معدل_الاستحقاق_الشهري)-SUMIFS($J$3:$J$502,$B$3:$B$502,$B188,$D$3:$D$502,"سنوية",$L$3:$L$502,"معتمد",$A$3:$A$502,"&lt;"&amp;$A188))</f>
        <v/>
      </c>
      <c r="J188" s="51">
        <f>IF($L188="معتمد",$H188,0)</f>
        <v/>
      </c>
      <c r="K188" s="51">
        <f>IF($B188="","",$I188-$J188)</f>
        <v/>
      </c>
      <c r="L188" s="47" t="n"/>
      <c r="M188" s="47" t="n"/>
      <c r="N188" s="112" t="n"/>
      <c r="O188" s="47" t="n"/>
    </row>
    <row r="189">
      <c r="A189" s="39" t="n"/>
      <c r="B189" s="40" t="n"/>
      <c r="C189" s="43">
        <f>IFERROR(INDEX(الموظفون_الاسم,MATCH($B189,الموظفون_الرقم,0)),"")</f>
        <v/>
      </c>
      <c r="D189" s="40" t="n"/>
      <c r="E189" s="110" t="n"/>
      <c r="F189" s="110" t="n"/>
      <c r="G189" s="110" t="n"/>
      <c r="H189" s="44">
        <f>IF(OR($F189="",$G189=""),"",MAX(0,$G189-$F189+1))</f>
        <v/>
      </c>
      <c r="I189" s="44">
        <f>IF($B189="","",IFERROR(INDEX(الموظفون_الافتتاحي,MATCH($B189,الموظفون_الرقم,0)),0)+IF($D189&lt;&gt;"سنوية",0,IFERROR(DATEDIF(بداية_احتساب_الرصيد,TODAY(),"M"),0)*معدل_الاستحقاق_الشهري)-SUMIFS($J$3:$J$502,$B$3:$B$502,$B189,$D$3:$D$502,"سنوية",$L$3:$L$502,"معتمد",$A$3:$A$502,"&lt;"&amp;$A189))</f>
        <v/>
      </c>
      <c r="J189" s="44">
        <f>IF($L189="معتمد",$H189,0)</f>
        <v/>
      </c>
      <c r="K189" s="44">
        <f>IF($B189="","",$I189-$J189)</f>
        <v/>
      </c>
      <c r="L189" s="40" t="n"/>
      <c r="M189" s="40" t="n"/>
      <c r="N189" s="110" t="n"/>
      <c r="O189" s="40" t="n"/>
    </row>
    <row r="190">
      <c r="A190" s="46" t="n"/>
      <c r="B190" s="47" t="n"/>
      <c r="C190" s="50">
        <f>IFERROR(INDEX(الموظفون_الاسم,MATCH($B190,الموظفون_الرقم,0)),"")</f>
        <v/>
      </c>
      <c r="D190" s="47" t="n"/>
      <c r="E190" s="112" t="n"/>
      <c r="F190" s="112" t="n"/>
      <c r="G190" s="112" t="n"/>
      <c r="H190" s="51">
        <f>IF(OR($F190="",$G190=""),"",MAX(0,$G190-$F190+1))</f>
        <v/>
      </c>
      <c r="I190" s="51">
        <f>IF($B190="","",IFERROR(INDEX(الموظفون_الافتتاحي,MATCH($B190,الموظفون_الرقم,0)),0)+IF($D190&lt;&gt;"سنوية",0,IFERROR(DATEDIF(بداية_احتساب_الرصيد,TODAY(),"M"),0)*معدل_الاستحقاق_الشهري)-SUMIFS($J$3:$J$502,$B$3:$B$502,$B190,$D$3:$D$502,"سنوية",$L$3:$L$502,"معتمد",$A$3:$A$502,"&lt;"&amp;$A190))</f>
        <v/>
      </c>
      <c r="J190" s="51">
        <f>IF($L190="معتمد",$H190,0)</f>
        <v/>
      </c>
      <c r="K190" s="51">
        <f>IF($B190="","",$I190-$J190)</f>
        <v/>
      </c>
      <c r="L190" s="47" t="n"/>
      <c r="M190" s="47" t="n"/>
      <c r="N190" s="112" t="n"/>
      <c r="O190" s="47" t="n"/>
    </row>
    <row r="191">
      <c r="A191" s="39" t="n"/>
      <c r="B191" s="40" t="n"/>
      <c r="C191" s="43">
        <f>IFERROR(INDEX(الموظفون_الاسم,MATCH($B191,الموظفون_الرقم,0)),"")</f>
        <v/>
      </c>
      <c r="D191" s="40" t="n"/>
      <c r="E191" s="110" t="n"/>
      <c r="F191" s="110" t="n"/>
      <c r="G191" s="110" t="n"/>
      <c r="H191" s="44">
        <f>IF(OR($F191="",$G191=""),"",MAX(0,$G191-$F191+1))</f>
        <v/>
      </c>
      <c r="I191" s="44">
        <f>IF($B191="","",IFERROR(INDEX(الموظفون_الافتتاحي,MATCH($B191,الموظفون_الرقم,0)),0)+IF($D191&lt;&gt;"سنوية",0,IFERROR(DATEDIF(بداية_احتساب_الرصيد,TODAY(),"M"),0)*معدل_الاستحقاق_الشهري)-SUMIFS($J$3:$J$502,$B$3:$B$502,$B191,$D$3:$D$502,"سنوية",$L$3:$L$502,"معتمد",$A$3:$A$502,"&lt;"&amp;$A191))</f>
        <v/>
      </c>
      <c r="J191" s="44">
        <f>IF($L191="معتمد",$H191,0)</f>
        <v/>
      </c>
      <c r="K191" s="44">
        <f>IF($B191="","",$I191-$J191)</f>
        <v/>
      </c>
      <c r="L191" s="40" t="n"/>
      <c r="M191" s="40" t="n"/>
      <c r="N191" s="110" t="n"/>
      <c r="O191" s="40" t="n"/>
    </row>
    <row r="192">
      <c r="A192" s="46" t="n"/>
      <c r="B192" s="47" t="n"/>
      <c r="C192" s="50">
        <f>IFERROR(INDEX(الموظفون_الاسم,MATCH($B192,الموظفون_الرقم,0)),"")</f>
        <v/>
      </c>
      <c r="D192" s="47" t="n"/>
      <c r="E192" s="112" t="n"/>
      <c r="F192" s="112" t="n"/>
      <c r="G192" s="112" t="n"/>
      <c r="H192" s="51">
        <f>IF(OR($F192="",$G192=""),"",MAX(0,$G192-$F192+1))</f>
        <v/>
      </c>
      <c r="I192" s="51">
        <f>IF($B192="","",IFERROR(INDEX(الموظفون_الافتتاحي,MATCH($B192,الموظفون_الرقم,0)),0)+IF($D192&lt;&gt;"سنوية",0,IFERROR(DATEDIF(بداية_احتساب_الرصيد,TODAY(),"M"),0)*معدل_الاستحقاق_الشهري)-SUMIFS($J$3:$J$502,$B$3:$B$502,$B192,$D$3:$D$502,"سنوية",$L$3:$L$502,"معتمد",$A$3:$A$502,"&lt;"&amp;$A192))</f>
        <v/>
      </c>
      <c r="J192" s="51">
        <f>IF($L192="معتمد",$H192,0)</f>
        <v/>
      </c>
      <c r="K192" s="51">
        <f>IF($B192="","",$I192-$J192)</f>
        <v/>
      </c>
      <c r="L192" s="47" t="n"/>
      <c r="M192" s="47" t="n"/>
      <c r="N192" s="112" t="n"/>
      <c r="O192" s="47" t="n"/>
    </row>
    <row r="193">
      <c r="A193" s="39" t="n"/>
      <c r="B193" s="40" t="n"/>
      <c r="C193" s="43">
        <f>IFERROR(INDEX(الموظفون_الاسم,MATCH($B193,الموظفون_الرقم,0)),"")</f>
        <v/>
      </c>
      <c r="D193" s="40" t="n"/>
      <c r="E193" s="110" t="n"/>
      <c r="F193" s="110" t="n"/>
      <c r="G193" s="110" t="n"/>
      <c r="H193" s="44">
        <f>IF(OR($F193="",$G193=""),"",MAX(0,$G193-$F193+1))</f>
        <v/>
      </c>
      <c r="I193" s="44">
        <f>IF($B193="","",IFERROR(INDEX(الموظفون_الافتتاحي,MATCH($B193,الموظفون_الرقم,0)),0)+IF($D193&lt;&gt;"سنوية",0,IFERROR(DATEDIF(بداية_احتساب_الرصيد,TODAY(),"M"),0)*معدل_الاستحقاق_الشهري)-SUMIFS($J$3:$J$502,$B$3:$B$502,$B193,$D$3:$D$502,"سنوية",$L$3:$L$502,"معتمد",$A$3:$A$502,"&lt;"&amp;$A193))</f>
        <v/>
      </c>
      <c r="J193" s="44">
        <f>IF($L193="معتمد",$H193,0)</f>
        <v/>
      </c>
      <c r="K193" s="44">
        <f>IF($B193="","",$I193-$J193)</f>
        <v/>
      </c>
      <c r="L193" s="40" t="n"/>
      <c r="M193" s="40" t="n"/>
      <c r="N193" s="110" t="n"/>
      <c r="O193" s="40" t="n"/>
    </row>
    <row r="194">
      <c r="A194" s="46" t="n"/>
      <c r="B194" s="47" t="n"/>
      <c r="C194" s="50">
        <f>IFERROR(INDEX(الموظفون_الاسم,MATCH($B194,الموظفون_الرقم,0)),"")</f>
        <v/>
      </c>
      <c r="D194" s="47" t="n"/>
      <c r="E194" s="112" t="n"/>
      <c r="F194" s="112" t="n"/>
      <c r="G194" s="112" t="n"/>
      <c r="H194" s="51">
        <f>IF(OR($F194="",$G194=""),"",MAX(0,$G194-$F194+1))</f>
        <v/>
      </c>
      <c r="I194" s="51">
        <f>IF($B194="","",IFERROR(INDEX(الموظفون_الافتتاحي,MATCH($B194,الموظفون_الرقم,0)),0)+IF($D194&lt;&gt;"سنوية",0,IFERROR(DATEDIF(بداية_احتساب_الرصيد,TODAY(),"M"),0)*معدل_الاستحقاق_الشهري)-SUMIFS($J$3:$J$502,$B$3:$B$502,$B194,$D$3:$D$502,"سنوية",$L$3:$L$502,"معتمد",$A$3:$A$502,"&lt;"&amp;$A194))</f>
        <v/>
      </c>
      <c r="J194" s="51">
        <f>IF($L194="معتمد",$H194,0)</f>
        <v/>
      </c>
      <c r="K194" s="51">
        <f>IF($B194="","",$I194-$J194)</f>
        <v/>
      </c>
      <c r="L194" s="47" t="n"/>
      <c r="M194" s="47" t="n"/>
      <c r="N194" s="112" t="n"/>
      <c r="O194" s="47" t="n"/>
    </row>
    <row r="195">
      <c r="A195" s="39" t="n"/>
      <c r="B195" s="40" t="n"/>
      <c r="C195" s="43">
        <f>IFERROR(INDEX(الموظفون_الاسم,MATCH($B195,الموظفون_الرقم,0)),"")</f>
        <v/>
      </c>
      <c r="D195" s="40" t="n"/>
      <c r="E195" s="110" t="n"/>
      <c r="F195" s="110" t="n"/>
      <c r="G195" s="110" t="n"/>
      <c r="H195" s="44">
        <f>IF(OR($F195="",$G195=""),"",MAX(0,$G195-$F195+1))</f>
        <v/>
      </c>
      <c r="I195" s="44">
        <f>IF($B195="","",IFERROR(INDEX(الموظفون_الافتتاحي,MATCH($B195,الموظفون_الرقم,0)),0)+IF($D195&lt;&gt;"سنوية",0,IFERROR(DATEDIF(بداية_احتساب_الرصيد,TODAY(),"M"),0)*معدل_الاستحقاق_الشهري)-SUMIFS($J$3:$J$502,$B$3:$B$502,$B195,$D$3:$D$502,"سنوية",$L$3:$L$502,"معتمد",$A$3:$A$502,"&lt;"&amp;$A195))</f>
        <v/>
      </c>
      <c r="J195" s="44">
        <f>IF($L195="معتمد",$H195,0)</f>
        <v/>
      </c>
      <c r="K195" s="44">
        <f>IF($B195="","",$I195-$J195)</f>
        <v/>
      </c>
      <c r="L195" s="40" t="n"/>
      <c r="M195" s="40" t="n"/>
      <c r="N195" s="110" t="n"/>
      <c r="O195" s="40" t="n"/>
    </row>
    <row r="196">
      <c r="A196" s="46" t="n"/>
      <c r="B196" s="47" t="n"/>
      <c r="C196" s="50">
        <f>IFERROR(INDEX(الموظفون_الاسم,MATCH($B196,الموظفون_الرقم,0)),"")</f>
        <v/>
      </c>
      <c r="D196" s="47" t="n"/>
      <c r="E196" s="112" t="n"/>
      <c r="F196" s="112" t="n"/>
      <c r="G196" s="112" t="n"/>
      <c r="H196" s="51">
        <f>IF(OR($F196="",$G196=""),"",MAX(0,$G196-$F196+1))</f>
        <v/>
      </c>
      <c r="I196" s="51">
        <f>IF($B196="","",IFERROR(INDEX(الموظفون_الافتتاحي,MATCH($B196,الموظفون_الرقم,0)),0)+IF($D196&lt;&gt;"سنوية",0,IFERROR(DATEDIF(بداية_احتساب_الرصيد,TODAY(),"M"),0)*معدل_الاستحقاق_الشهري)-SUMIFS($J$3:$J$502,$B$3:$B$502,$B196,$D$3:$D$502,"سنوية",$L$3:$L$502,"معتمد",$A$3:$A$502,"&lt;"&amp;$A196))</f>
        <v/>
      </c>
      <c r="J196" s="51">
        <f>IF($L196="معتمد",$H196,0)</f>
        <v/>
      </c>
      <c r="K196" s="51">
        <f>IF($B196="","",$I196-$J196)</f>
        <v/>
      </c>
      <c r="L196" s="47" t="n"/>
      <c r="M196" s="47" t="n"/>
      <c r="N196" s="112" t="n"/>
      <c r="O196" s="47" t="n"/>
    </row>
    <row r="197">
      <c r="A197" s="39" t="n"/>
      <c r="B197" s="40" t="n"/>
      <c r="C197" s="43">
        <f>IFERROR(INDEX(الموظفون_الاسم,MATCH($B197,الموظفون_الرقم,0)),"")</f>
        <v/>
      </c>
      <c r="D197" s="40" t="n"/>
      <c r="E197" s="110" t="n"/>
      <c r="F197" s="110" t="n"/>
      <c r="G197" s="110" t="n"/>
      <c r="H197" s="44">
        <f>IF(OR($F197="",$G197=""),"",MAX(0,$G197-$F197+1))</f>
        <v/>
      </c>
      <c r="I197" s="44">
        <f>IF($B197="","",IFERROR(INDEX(الموظفون_الافتتاحي,MATCH($B197,الموظفون_الرقم,0)),0)+IF($D197&lt;&gt;"سنوية",0,IFERROR(DATEDIF(بداية_احتساب_الرصيد,TODAY(),"M"),0)*معدل_الاستحقاق_الشهري)-SUMIFS($J$3:$J$502,$B$3:$B$502,$B197,$D$3:$D$502,"سنوية",$L$3:$L$502,"معتمد",$A$3:$A$502,"&lt;"&amp;$A197))</f>
        <v/>
      </c>
      <c r="J197" s="44">
        <f>IF($L197="معتمد",$H197,0)</f>
        <v/>
      </c>
      <c r="K197" s="44">
        <f>IF($B197="","",$I197-$J197)</f>
        <v/>
      </c>
      <c r="L197" s="40" t="n"/>
      <c r="M197" s="40" t="n"/>
      <c r="N197" s="110" t="n"/>
      <c r="O197" s="40" t="n"/>
    </row>
    <row r="198">
      <c r="A198" s="46" t="n"/>
      <c r="B198" s="47" t="n"/>
      <c r="C198" s="50">
        <f>IFERROR(INDEX(الموظفون_الاسم,MATCH($B198,الموظفون_الرقم,0)),"")</f>
        <v/>
      </c>
      <c r="D198" s="47" t="n"/>
      <c r="E198" s="112" t="n"/>
      <c r="F198" s="112" t="n"/>
      <c r="G198" s="112" t="n"/>
      <c r="H198" s="51">
        <f>IF(OR($F198="",$G198=""),"",MAX(0,$G198-$F198+1))</f>
        <v/>
      </c>
      <c r="I198" s="51">
        <f>IF($B198="","",IFERROR(INDEX(الموظفون_الافتتاحي,MATCH($B198,الموظفون_الرقم,0)),0)+IF($D198&lt;&gt;"سنوية",0,IFERROR(DATEDIF(بداية_احتساب_الرصيد,TODAY(),"M"),0)*معدل_الاستحقاق_الشهري)-SUMIFS($J$3:$J$502,$B$3:$B$502,$B198,$D$3:$D$502,"سنوية",$L$3:$L$502,"معتمد",$A$3:$A$502,"&lt;"&amp;$A198))</f>
        <v/>
      </c>
      <c r="J198" s="51">
        <f>IF($L198="معتمد",$H198,0)</f>
        <v/>
      </c>
      <c r="K198" s="51">
        <f>IF($B198="","",$I198-$J198)</f>
        <v/>
      </c>
      <c r="L198" s="47" t="n"/>
      <c r="M198" s="47" t="n"/>
      <c r="N198" s="112" t="n"/>
      <c r="O198" s="47" t="n"/>
    </row>
    <row r="199">
      <c r="A199" s="39" t="n"/>
      <c r="B199" s="40" t="n"/>
      <c r="C199" s="43">
        <f>IFERROR(INDEX(الموظفون_الاسم,MATCH($B199,الموظفون_الرقم,0)),"")</f>
        <v/>
      </c>
      <c r="D199" s="40" t="n"/>
      <c r="E199" s="110" t="n"/>
      <c r="F199" s="110" t="n"/>
      <c r="G199" s="110" t="n"/>
      <c r="H199" s="44">
        <f>IF(OR($F199="",$G199=""),"",MAX(0,$G199-$F199+1))</f>
        <v/>
      </c>
      <c r="I199" s="44">
        <f>IF($B199="","",IFERROR(INDEX(الموظفون_الافتتاحي,MATCH($B199,الموظفون_الرقم,0)),0)+IF($D199&lt;&gt;"سنوية",0,IFERROR(DATEDIF(بداية_احتساب_الرصيد,TODAY(),"M"),0)*معدل_الاستحقاق_الشهري)-SUMIFS($J$3:$J$502,$B$3:$B$502,$B199,$D$3:$D$502,"سنوية",$L$3:$L$502,"معتمد",$A$3:$A$502,"&lt;"&amp;$A199))</f>
        <v/>
      </c>
      <c r="J199" s="44">
        <f>IF($L199="معتمد",$H199,0)</f>
        <v/>
      </c>
      <c r="K199" s="44">
        <f>IF($B199="","",$I199-$J199)</f>
        <v/>
      </c>
      <c r="L199" s="40" t="n"/>
      <c r="M199" s="40" t="n"/>
      <c r="N199" s="110" t="n"/>
      <c r="O199" s="40" t="n"/>
    </row>
    <row r="200">
      <c r="A200" s="46" t="n"/>
      <c r="B200" s="47" t="n"/>
      <c r="C200" s="50">
        <f>IFERROR(INDEX(الموظفون_الاسم,MATCH($B200,الموظفون_الرقم,0)),"")</f>
        <v/>
      </c>
      <c r="D200" s="47" t="n"/>
      <c r="E200" s="112" t="n"/>
      <c r="F200" s="112" t="n"/>
      <c r="G200" s="112" t="n"/>
      <c r="H200" s="51">
        <f>IF(OR($F200="",$G200=""),"",MAX(0,$G200-$F200+1))</f>
        <v/>
      </c>
      <c r="I200" s="51">
        <f>IF($B200="","",IFERROR(INDEX(الموظفون_الافتتاحي,MATCH($B200,الموظفون_الرقم,0)),0)+IF($D200&lt;&gt;"سنوية",0,IFERROR(DATEDIF(بداية_احتساب_الرصيد,TODAY(),"M"),0)*معدل_الاستحقاق_الشهري)-SUMIFS($J$3:$J$502,$B$3:$B$502,$B200,$D$3:$D$502,"سنوية",$L$3:$L$502,"معتمد",$A$3:$A$502,"&lt;"&amp;$A200))</f>
        <v/>
      </c>
      <c r="J200" s="51">
        <f>IF($L200="معتمد",$H200,0)</f>
        <v/>
      </c>
      <c r="K200" s="51">
        <f>IF($B200="","",$I200-$J200)</f>
        <v/>
      </c>
      <c r="L200" s="47" t="n"/>
      <c r="M200" s="47" t="n"/>
      <c r="N200" s="112" t="n"/>
      <c r="O200" s="47" t="n"/>
    </row>
    <row r="201">
      <c r="A201" s="39" t="n"/>
      <c r="B201" s="40" t="n"/>
      <c r="C201" s="43">
        <f>IFERROR(INDEX(الموظفون_الاسم,MATCH($B201,الموظفون_الرقم,0)),"")</f>
        <v/>
      </c>
      <c r="D201" s="40" t="n"/>
      <c r="E201" s="110" t="n"/>
      <c r="F201" s="110" t="n"/>
      <c r="G201" s="110" t="n"/>
      <c r="H201" s="44">
        <f>IF(OR($F201="",$G201=""),"",MAX(0,$G201-$F201+1))</f>
        <v/>
      </c>
      <c r="I201" s="44">
        <f>IF($B201="","",IFERROR(INDEX(الموظفون_الافتتاحي,MATCH($B201,الموظفون_الرقم,0)),0)+IF($D201&lt;&gt;"سنوية",0,IFERROR(DATEDIF(بداية_احتساب_الرصيد,TODAY(),"M"),0)*معدل_الاستحقاق_الشهري)-SUMIFS($J$3:$J$502,$B$3:$B$502,$B201,$D$3:$D$502,"سنوية",$L$3:$L$502,"معتمد",$A$3:$A$502,"&lt;"&amp;$A201))</f>
        <v/>
      </c>
      <c r="J201" s="44">
        <f>IF($L201="معتمد",$H201,0)</f>
        <v/>
      </c>
      <c r="K201" s="44">
        <f>IF($B201="","",$I201-$J201)</f>
        <v/>
      </c>
      <c r="L201" s="40" t="n"/>
      <c r="M201" s="40" t="n"/>
      <c r="N201" s="110" t="n"/>
      <c r="O201" s="40" t="n"/>
    </row>
    <row r="202">
      <c r="A202" s="46" t="n"/>
      <c r="B202" s="47" t="n"/>
      <c r="C202" s="50">
        <f>IFERROR(INDEX(الموظفون_الاسم,MATCH($B202,الموظفون_الرقم,0)),"")</f>
        <v/>
      </c>
      <c r="D202" s="47" t="n"/>
      <c r="E202" s="112" t="n"/>
      <c r="F202" s="112" t="n"/>
      <c r="G202" s="112" t="n"/>
      <c r="H202" s="51">
        <f>IF(OR($F202="",$G202=""),"",MAX(0,$G202-$F202+1))</f>
        <v/>
      </c>
      <c r="I202" s="51">
        <f>IF($B202="","",IFERROR(INDEX(الموظفون_الافتتاحي,MATCH($B202,الموظفون_الرقم,0)),0)+IF($D202&lt;&gt;"سنوية",0,IFERROR(DATEDIF(بداية_احتساب_الرصيد,TODAY(),"M"),0)*معدل_الاستحقاق_الشهري)-SUMIFS($J$3:$J$502,$B$3:$B$502,$B202,$D$3:$D$502,"سنوية",$L$3:$L$502,"معتمد",$A$3:$A$502,"&lt;"&amp;$A202))</f>
        <v/>
      </c>
      <c r="J202" s="51">
        <f>IF($L202="معتمد",$H202,0)</f>
        <v/>
      </c>
      <c r="K202" s="51">
        <f>IF($B202="","",$I202-$J202)</f>
        <v/>
      </c>
      <c r="L202" s="47" t="n"/>
      <c r="M202" s="47" t="n"/>
      <c r="N202" s="112" t="n"/>
      <c r="O202" s="47" t="n"/>
    </row>
    <row r="203">
      <c r="A203" s="39" t="n"/>
      <c r="B203" s="40" t="n"/>
      <c r="C203" s="43">
        <f>IFERROR(INDEX(الموظفون_الاسم,MATCH($B203,الموظفون_الرقم,0)),"")</f>
        <v/>
      </c>
      <c r="D203" s="40" t="n"/>
      <c r="E203" s="110" t="n"/>
      <c r="F203" s="110" t="n"/>
      <c r="G203" s="110" t="n"/>
      <c r="H203" s="44">
        <f>IF(OR($F203="",$G203=""),"",MAX(0,$G203-$F203+1))</f>
        <v/>
      </c>
      <c r="I203" s="44">
        <f>IF($B203="","",IFERROR(INDEX(الموظفون_الافتتاحي,MATCH($B203,الموظفون_الرقم,0)),0)+IF($D203&lt;&gt;"سنوية",0,IFERROR(DATEDIF(بداية_احتساب_الرصيد,TODAY(),"M"),0)*معدل_الاستحقاق_الشهري)-SUMIFS($J$3:$J$502,$B$3:$B$502,$B203,$D$3:$D$502,"سنوية",$L$3:$L$502,"معتمد",$A$3:$A$502,"&lt;"&amp;$A203))</f>
        <v/>
      </c>
      <c r="J203" s="44">
        <f>IF($L203="معتمد",$H203,0)</f>
        <v/>
      </c>
      <c r="K203" s="44">
        <f>IF($B203="","",$I203-$J203)</f>
        <v/>
      </c>
      <c r="L203" s="40" t="n"/>
      <c r="M203" s="40" t="n"/>
      <c r="N203" s="110" t="n"/>
      <c r="O203" s="40" t="n"/>
    </row>
    <row r="204">
      <c r="A204" s="46" t="n"/>
      <c r="B204" s="47" t="n"/>
      <c r="C204" s="50">
        <f>IFERROR(INDEX(الموظفون_الاسم,MATCH($B204,الموظفون_الرقم,0)),"")</f>
        <v/>
      </c>
      <c r="D204" s="47" t="n"/>
      <c r="E204" s="112" t="n"/>
      <c r="F204" s="112" t="n"/>
      <c r="G204" s="112" t="n"/>
      <c r="H204" s="51">
        <f>IF(OR($F204="",$G204=""),"",MAX(0,$G204-$F204+1))</f>
        <v/>
      </c>
      <c r="I204" s="51">
        <f>IF($B204="","",IFERROR(INDEX(الموظفون_الافتتاحي,MATCH($B204,الموظفون_الرقم,0)),0)+IF($D204&lt;&gt;"سنوية",0,IFERROR(DATEDIF(بداية_احتساب_الرصيد,TODAY(),"M"),0)*معدل_الاستحقاق_الشهري)-SUMIFS($J$3:$J$502,$B$3:$B$502,$B204,$D$3:$D$502,"سنوية",$L$3:$L$502,"معتمد",$A$3:$A$502,"&lt;"&amp;$A204))</f>
        <v/>
      </c>
      <c r="J204" s="51">
        <f>IF($L204="معتمد",$H204,0)</f>
        <v/>
      </c>
      <c r="K204" s="51">
        <f>IF($B204="","",$I204-$J204)</f>
        <v/>
      </c>
      <c r="L204" s="47" t="n"/>
      <c r="M204" s="47" t="n"/>
      <c r="N204" s="112" t="n"/>
      <c r="O204" s="47" t="n"/>
    </row>
    <row r="205">
      <c r="A205" s="39" t="n"/>
      <c r="B205" s="40" t="n"/>
      <c r="C205" s="43">
        <f>IFERROR(INDEX(الموظفون_الاسم,MATCH($B205,الموظفون_الرقم,0)),"")</f>
        <v/>
      </c>
      <c r="D205" s="40" t="n"/>
      <c r="E205" s="110" t="n"/>
      <c r="F205" s="110" t="n"/>
      <c r="G205" s="110" t="n"/>
      <c r="H205" s="44">
        <f>IF(OR($F205="",$G205=""),"",MAX(0,$G205-$F205+1))</f>
        <v/>
      </c>
      <c r="I205" s="44">
        <f>IF($B205="","",IFERROR(INDEX(الموظفون_الافتتاحي,MATCH($B205,الموظفون_الرقم,0)),0)+IF($D205&lt;&gt;"سنوية",0,IFERROR(DATEDIF(بداية_احتساب_الرصيد,TODAY(),"M"),0)*معدل_الاستحقاق_الشهري)-SUMIFS($J$3:$J$502,$B$3:$B$502,$B205,$D$3:$D$502,"سنوية",$L$3:$L$502,"معتمد",$A$3:$A$502,"&lt;"&amp;$A205))</f>
        <v/>
      </c>
      <c r="J205" s="44">
        <f>IF($L205="معتمد",$H205,0)</f>
        <v/>
      </c>
      <c r="K205" s="44">
        <f>IF($B205="","",$I205-$J205)</f>
        <v/>
      </c>
      <c r="L205" s="40" t="n"/>
      <c r="M205" s="40" t="n"/>
      <c r="N205" s="110" t="n"/>
      <c r="O205" s="40" t="n"/>
    </row>
    <row r="206">
      <c r="A206" s="46" t="n"/>
      <c r="B206" s="47" t="n"/>
      <c r="C206" s="50">
        <f>IFERROR(INDEX(الموظفون_الاسم,MATCH($B206,الموظفون_الرقم,0)),"")</f>
        <v/>
      </c>
      <c r="D206" s="47" t="n"/>
      <c r="E206" s="112" t="n"/>
      <c r="F206" s="112" t="n"/>
      <c r="G206" s="112" t="n"/>
      <c r="H206" s="51">
        <f>IF(OR($F206="",$G206=""),"",MAX(0,$G206-$F206+1))</f>
        <v/>
      </c>
      <c r="I206" s="51">
        <f>IF($B206="","",IFERROR(INDEX(الموظفون_الافتتاحي,MATCH($B206,الموظفون_الرقم,0)),0)+IF($D206&lt;&gt;"سنوية",0,IFERROR(DATEDIF(بداية_احتساب_الرصيد,TODAY(),"M"),0)*معدل_الاستحقاق_الشهري)-SUMIFS($J$3:$J$502,$B$3:$B$502,$B206,$D$3:$D$502,"سنوية",$L$3:$L$502,"معتمد",$A$3:$A$502,"&lt;"&amp;$A206))</f>
        <v/>
      </c>
      <c r="J206" s="51">
        <f>IF($L206="معتمد",$H206,0)</f>
        <v/>
      </c>
      <c r="K206" s="51">
        <f>IF($B206="","",$I206-$J206)</f>
        <v/>
      </c>
      <c r="L206" s="47" t="n"/>
      <c r="M206" s="47" t="n"/>
      <c r="N206" s="112" t="n"/>
      <c r="O206" s="47" t="n"/>
    </row>
    <row r="207">
      <c r="A207" s="39" t="n"/>
      <c r="B207" s="40" t="n"/>
      <c r="C207" s="43">
        <f>IFERROR(INDEX(الموظفون_الاسم,MATCH($B207,الموظفون_الرقم,0)),"")</f>
        <v/>
      </c>
      <c r="D207" s="40" t="n"/>
      <c r="E207" s="110" t="n"/>
      <c r="F207" s="110" t="n"/>
      <c r="G207" s="110" t="n"/>
      <c r="H207" s="44">
        <f>IF(OR($F207="",$G207=""),"",MAX(0,$G207-$F207+1))</f>
        <v/>
      </c>
      <c r="I207" s="44">
        <f>IF($B207="","",IFERROR(INDEX(الموظفون_الافتتاحي,MATCH($B207,الموظفون_الرقم,0)),0)+IF($D207&lt;&gt;"سنوية",0,IFERROR(DATEDIF(بداية_احتساب_الرصيد,TODAY(),"M"),0)*معدل_الاستحقاق_الشهري)-SUMIFS($J$3:$J$502,$B$3:$B$502,$B207,$D$3:$D$502,"سنوية",$L$3:$L$502,"معتمد",$A$3:$A$502,"&lt;"&amp;$A207))</f>
        <v/>
      </c>
      <c r="J207" s="44">
        <f>IF($L207="معتمد",$H207,0)</f>
        <v/>
      </c>
      <c r="K207" s="44">
        <f>IF($B207="","",$I207-$J207)</f>
        <v/>
      </c>
      <c r="L207" s="40" t="n"/>
      <c r="M207" s="40" t="n"/>
      <c r="N207" s="110" t="n"/>
      <c r="O207" s="40" t="n"/>
    </row>
    <row r="208">
      <c r="A208" s="46" t="n"/>
      <c r="B208" s="47" t="n"/>
      <c r="C208" s="50">
        <f>IFERROR(INDEX(الموظفون_الاسم,MATCH($B208,الموظفون_الرقم,0)),"")</f>
        <v/>
      </c>
      <c r="D208" s="47" t="n"/>
      <c r="E208" s="112" t="n"/>
      <c r="F208" s="112" t="n"/>
      <c r="G208" s="112" t="n"/>
      <c r="H208" s="51">
        <f>IF(OR($F208="",$G208=""),"",MAX(0,$G208-$F208+1))</f>
        <v/>
      </c>
      <c r="I208" s="51">
        <f>IF($B208="","",IFERROR(INDEX(الموظفون_الافتتاحي,MATCH($B208,الموظفون_الرقم,0)),0)+IF($D208&lt;&gt;"سنوية",0,IFERROR(DATEDIF(بداية_احتساب_الرصيد,TODAY(),"M"),0)*معدل_الاستحقاق_الشهري)-SUMIFS($J$3:$J$502,$B$3:$B$502,$B208,$D$3:$D$502,"سنوية",$L$3:$L$502,"معتمد",$A$3:$A$502,"&lt;"&amp;$A208))</f>
        <v/>
      </c>
      <c r="J208" s="51">
        <f>IF($L208="معتمد",$H208,0)</f>
        <v/>
      </c>
      <c r="K208" s="51">
        <f>IF($B208="","",$I208-$J208)</f>
        <v/>
      </c>
      <c r="L208" s="47" t="n"/>
      <c r="M208" s="47" t="n"/>
      <c r="N208" s="112" t="n"/>
      <c r="O208" s="47" t="n"/>
    </row>
    <row r="209">
      <c r="A209" s="39" t="n"/>
      <c r="B209" s="40" t="n"/>
      <c r="C209" s="43">
        <f>IFERROR(INDEX(الموظفون_الاسم,MATCH($B209,الموظفون_الرقم,0)),"")</f>
        <v/>
      </c>
      <c r="D209" s="40" t="n"/>
      <c r="E209" s="110" t="n"/>
      <c r="F209" s="110" t="n"/>
      <c r="G209" s="110" t="n"/>
      <c r="H209" s="44">
        <f>IF(OR($F209="",$G209=""),"",MAX(0,$G209-$F209+1))</f>
        <v/>
      </c>
      <c r="I209" s="44">
        <f>IF($B209="","",IFERROR(INDEX(الموظفون_الافتتاحي,MATCH($B209,الموظفون_الرقم,0)),0)+IF($D209&lt;&gt;"سنوية",0,IFERROR(DATEDIF(بداية_احتساب_الرصيد,TODAY(),"M"),0)*معدل_الاستحقاق_الشهري)-SUMIFS($J$3:$J$502,$B$3:$B$502,$B209,$D$3:$D$502,"سنوية",$L$3:$L$502,"معتمد",$A$3:$A$502,"&lt;"&amp;$A209))</f>
        <v/>
      </c>
      <c r="J209" s="44">
        <f>IF($L209="معتمد",$H209,0)</f>
        <v/>
      </c>
      <c r="K209" s="44">
        <f>IF($B209="","",$I209-$J209)</f>
        <v/>
      </c>
      <c r="L209" s="40" t="n"/>
      <c r="M209" s="40" t="n"/>
      <c r="N209" s="110" t="n"/>
      <c r="O209" s="40" t="n"/>
    </row>
    <row r="210">
      <c r="A210" s="46" t="n"/>
      <c r="B210" s="47" t="n"/>
      <c r="C210" s="50">
        <f>IFERROR(INDEX(الموظفون_الاسم,MATCH($B210,الموظفون_الرقم,0)),"")</f>
        <v/>
      </c>
      <c r="D210" s="47" t="n"/>
      <c r="E210" s="112" t="n"/>
      <c r="F210" s="112" t="n"/>
      <c r="G210" s="112" t="n"/>
      <c r="H210" s="51">
        <f>IF(OR($F210="",$G210=""),"",MAX(0,$G210-$F210+1))</f>
        <v/>
      </c>
      <c r="I210" s="51">
        <f>IF($B210="","",IFERROR(INDEX(الموظفون_الافتتاحي,MATCH($B210,الموظفون_الرقم,0)),0)+IF($D210&lt;&gt;"سنوية",0,IFERROR(DATEDIF(بداية_احتساب_الرصيد,TODAY(),"M"),0)*معدل_الاستحقاق_الشهري)-SUMIFS($J$3:$J$502,$B$3:$B$502,$B210,$D$3:$D$502,"سنوية",$L$3:$L$502,"معتمد",$A$3:$A$502,"&lt;"&amp;$A210))</f>
        <v/>
      </c>
      <c r="J210" s="51">
        <f>IF($L210="معتمد",$H210,0)</f>
        <v/>
      </c>
      <c r="K210" s="51">
        <f>IF($B210="","",$I210-$J210)</f>
        <v/>
      </c>
      <c r="L210" s="47" t="n"/>
      <c r="M210" s="47" t="n"/>
      <c r="N210" s="112" t="n"/>
      <c r="O210" s="47" t="n"/>
    </row>
    <row r="211">
      <c r="A211" s="39" t="n"/>
      <c r="B211" s="40" t="n"/>
      <c r="C211" s="43">
        <f>IFERROR(INDEX(الموظفون_الاسم,MATCH($B211,الموظفون_الرقم,0)),"")</f>
        <v/>
      </c>
      <c r="D211" s="40" t="n"/>
      <c r="E211" s="110" t="n"/>
      <c r="F211" s="110" t="n"/>
      <c r="G211" s="110" t="n"/>
      <c r="H211" s="44">
        <f>IF(OR($F211="",$G211=""),"",MAX(0,$G211-$F211+1))</f>
        <v/>
      </c>
      <c r="I211" s="44">
        <f>IF($B211="","",IFERROR(INDEX(الموظفون_الافتتاحي,MATCH($B211,الموظفون_الرقم,0)),0)+IF($D211&lt;&gt;"سنوية",0,IFERROR(DATEDIF(بداية_احتساب_الرصيد,TODAY(),"M"),0)*معدل_الاستحقاق_الشهري)-SUMIFS($J$3:$J$502,$B$3:$B$502,$B211,$D$3:$D$502,"سنوية",$L$3:$L$502,"معتمد",$A$3:$A$502,"&lt;"&amp;$A211))</f>
        <v/>
      </c>
      <c r="J211" s="44">
        <f>IF($L211="معتمد",$H211,0)</f>
        <v/>
      </c>
      <c r="K211" s="44">
        <f>IF($B211="","",$I211-$J211)</f>
        <v/>
      </c>
      <c r="L211" s="40" t="n"/>
      <c r="M211" s="40" t="n"/>
      <c r="N211" s="110" t="n"/>
      <c r="O211" s="40" t="n"/>
    </row>
    <row r="212">
      <c r="A212" s="46" t="n"/>
      <c r="B212" s="47" t="n"/>
      <c r="C212" s="50">
        <f>IFERROR(INDEX(الموظفون_الاسم,MATCH($B212,الموظفون_الرقم,0)),"")</f>
        <v/>
      </c>
      <c r="D212" s="47" t="n"/>
      <c r="E212" s="112" t="n"/>
      <c r="F212" s="112" t="n"/>
      <c r="G212" s="112" t="n"/>
      <c r="H212" s="51">
        <f>IF(OR($F212="",$G212=""),"",MAX(0,$G212-$F212+1))</f>
        <v/>
      </c>
      <c r="I212" s="51">
        <f>IF($B212="","",IFERROR(INDEX(الموظفون_الافتتاحي,MATCH($B212,الموظفون_الرقم,0)),0)+IF($D212&lt;&gt;"سنوية",0,IFERROR(DATEDIF(بداية_احتساب_الرصيد,TODAY(),"M"),0)*معدل_الاستحقاق_الشهري)-SUMIFS($J$3:$J$502,$B$3:$B$502,$B212,$D$3:$D$502,"سنوية",$L$3:$L$502,"معتمد",$A$3:$A$502,"&lt;"&amp;$A212))</f>
        <v/>
      </c>
      <c r="J212" s="51">
        <f>IF($L212="معتمد",$H212,0)</f>
        <v/>
      </c>
      <c r="K212" s="51">
        <f>IF($B212="","",$I212-$J212)</f>
        <v/>
      </c>
      <c r="L212" s="47" t="n"/>
      <c r="M212" s="47" t="n"/>
      <c r="N212" s="112" t="n"/>
      <c r="O212" s="47" t="n"/>
    </row>
    <row r="213">
      <c r="A213" s="39" t="n"/>
      <c r="B213" s="40" t="n"/>
      <c r="C213" s="43">
        <f>IFERROR(INDEX(الموظفون_الاسم,MATCH($B213,الموظفون_الرقم,0)),"")</f>
        <v/>
      </c>
      <c r="D213" s="40" t="n"/>
      <c r="E213" s="110" t="n"/>
      <c r="F213" s="110" t="n"/>
      <c r="G213" s="110" t="n"/>
      <c r="H213" s="44">
        <f>IF(OR($F213="",$G213=""),"",MAX(0,$G213-$F213+1))</f>
        <v/>
      </c>
      <c r="I213" s="44">
        <f>IF($B213="","",IFERROR(INDEX(الموظفون_الافتتاحي,MATCH($B213,الموظفون_الرقم,0)),0)+IF($D213&lt;&gt;"سنوية",0,IFERROR(DATEDIF(بداية_احتساب_الرصيد,TODAY(),"M"),0)*معدل_الاستحقاق_الشهري)-SUMIFS($J$3:$J$502,$B$3:$B$502,$B213,$D$3:$D$502,"سنوية",$L$3:$L$502,"معتمد",$A$3:$A$502,"&lt;"&amp;$A213))</f>
        <v/>
      </c>
      <c r="J213" s="44">
        <f>IF($L213="معتمد",$H213,0)</f>
        <v/>
      </c>
      <c r="K213" s="44">
        <f>IF($B213="","",$I213-$J213)</f>
        <v/>
      </c>
      <c r="L213" s="40" t="n"/>
      <c r="M213" s="40" t="n"/>
      <c r="N213" s="110" t="n"/>
      <c r="O213" s="40" t="n"/>
    </row>
    <row r="214">
      <c r="A214" s="46" t="n"/>
      <c r="B214" s="47" t="n"/>
      <c r="C214" s="50">
        <f>IFERROR(INDEX(الموظفون_الاسم,MATCH($B214,الموظفون_الرقم,0)),"")</f>
        <v/>
      </c>
      <c r="D214" s="47" t="n"/>
      <c r="E214" s="112" t="n"/>
      <c r="F214" s="112" t="n"/>
      <c r="G214" s="112" t="n"/>
      <c r="H214" s="51">
        <f>IF(OR($F214="",$G214=""),"",MAX(0,$G214-$F214+1))</f>
        <v/>
      </c>
      <c r="I214" s="51">
        <f>IF($B214="","",IFERROR(INDEX(الموظفون_الافتتاحي,MATCH($B214,الموظفون_الرقم,0)),0)+IF($D214&lt;&gt;"سنوية",0,IFERROR(DATEDIF(بداية_احتساب_الرصيد,TODAY(),"M"),0)*معدل_الاستحقاق_الشهري)-SUMIFS($J$3:$J$502,$B$3:$B$502,$B214,$D$3:$D$502,"سنوية",$L$3:$L$502,"معتمد",$A$3:$A$502,"&lt;"&amp;$A214))</f>
        <v/>
      </c>
      <c r="J214" s="51">
        <f>IF($L214="معتمد",$H214,0)</f>
        <v/>
      </c>
      <c r="K214" s="51">
        <f>IF($B214="","",$I214-$J214)</f>
        <v/>
      </c>
      <c r="L214" s="47" t="n"/>
      <c r="M214" s="47" t="n"/>
      <c r="N214" s="112" t="n"/>
      <c r="O214" s="47" t="n"/>
    </row>
    <row r="215">
      <c r="A215" s="39" t="n"/>
      <c r="B215" s="40" t="n"/>
      <c r="C215" s="43">
        <f>IFERROR(INDEX(الموظفون_الاسم,MATCH($B215,الموظفون_الرقم,0)),"")</f>
        <v/>
      </c>
      <c r="D215" s="40" t="n"/>
      <c r="E215" s="110" t="n"/>
      <c r="F215" s="110" t="n"/>
      <c r="G215" s="110" t="n"/>
      <c r="H215" s="44">
        <f>IF(OR($F215="",$G215=""),"",MAX(0,$G215-$F215+1))</f>
        <v/>
      </c>
      <c r="I215" s="44">
        <f>IF($B215="","",IFERROR(INDEX(الموظفون_الافتتاحي,MATCH($B215,الموظفون_الرقم,0)),0)+IF($D215&lt;&gt;"سنوية",0,IFERROR(DATEDIF(بداية_احتساب_الرصيد,TODAY(),"M"),0)*معدل_الاستحقاق_الشهري)-SUMIFS($J$3:$J$502,$B$3:$B$502,$B215,$D$3:$D$502,"سنوية",$L$3:$L$502,"معتمد",$A$3:$A$502,"&lt;"&amp;$A215))</f>
        <v/>
      </c>
      <c r="J215" s="44">
        <f>IF($L215="معتمد",$H215,0)</f>
        <v/>
      </c>
      <c r="K215" s="44">
        <f>IF($B215="","",$I215-$J215)</f>
        <v/>
      </c>
      <c r="L215" s="40" t="n"/>
      <c r="M215" s="40" t="n"/>
      <c r="N215" s="110" t="n"/>
      <c r="O215" s="40" t="n"/>
    </row>
    <row r="216">
      <c r="A216" s="46" t="n"/>
      <c r="B216" s="47" t="n"/>
      <c r="C216" s="50">
        <f>IFERROR(INDEX(الموظفون_الاسم,MATCH($B216,الموظفون_الرقم,0)),"")</f>
        <v/>
      </c>
      <c r="D216" s="47" t="n"/>
      <c r="E216" s="112" t="n"/>
      <c r="F216" s="112" t="n"/>
      <c r="G216" s="112" t="n"/>
      <c r="H216" s="51">
        <f>IF(OR($F216="",$G216=""),"",MAX(0,$G216-$F216+1))</f>
        <v/>
      </c>
      <c r="I216" s="51">
        <f>IF($B216="","",IFERROR(INDEX(الموظفون_الافتتاحي,MATCH($B216,الموظفون_الرقم,0)),0)+IF($D216&lt;&gt;"سنوية",0,IFERROR(DATEDIF(بداية_احتساب_الرصيد,TODAY(),"M"),0)*معدل_الاستحقاق_الشهري)-SUMIFS($J$3:$J$502,$B$3:$B$502,$B216,$D$3:$D$502,"سنوية",$L$3:$L$502,"معتمد",$A$3:$A$502,"&lt;"&amp;$A216))</f>
        <v/>
      </c>
      <c r="J216" s="51">
        <f>IF($L216="معتمد",$H216,0)</f>
        <v/>
      </c>
      <c r="K216" s="51">
        <f>IF($B216="","",$I216-$J216)</f>
        <v/>
      </c>
      <c r="L216" s="47" t="n"/>
      <c r="M216" s="47" t="n"/>
      <c r="N216" s="112" t="n"/>
      <c r="O216" s="47" t="n"/>
    </row>
    <row r="217">
      <c r="A217" s="39" t="n"/>
      <c r="B217" s="40" t="n"/>
      <c r="C217" s="43">
        <f>IFERROR(INDEX(الموظفون_الاسم,MATCH($B217,الموظفون_الرقم,0)),"")</f>
        <v/>
      </c>
      <c r="D217" s="40" t="n"/>
      <c r="E217" s="110" t="n"/>
      <c r="F217" s="110" t="n"/>
      <c r="G217" s="110" t="n"/>
      <c r="H217" s="44">
        <f>IF(OR($F217="",$G217=""),"",MAX(0,$G217-$F217+1))</f>
        <v/>
      </c>
      <c r="I217" s="44">
        <f>IF($B217="","",IFERROR(INDEX(الموظفون_الافتتاحي,MATCH($B217,الموظفون_الرقم,0)),0)+IF($D217&lt;&gt;"سنوية",0,IFERROR(DATEDIF(بداية_احتساب_الرصيد,TODAY(),"M"),0)*معدل_الاستحقاق_الشهري)-SUMIFS($J$3:$J$502,$B$3:$B$502,$B217,$D$3:$D$502,"سنوية",$L$3:$L$502,"معتمد",$A$3:$A$502,"&lt;"&amp;$A217))</f>
        <v/>
      </c>
      <c r="J217" s="44">
        <f>IF($L217="معتمد",$H217,0)</f>
        <v/>
      </c>
      <c r="K217" s="44">
        <f>IF($B217="","",$I217-$J217)</f>
        <v/>
      </c>
      <c r="L217" s="40" t="n"/>
      <c r="M217" s="40" t="n"/>
      <c r="N217" s="110" t="n"/>
      <c r="O217" s="40" t="n"/>
    </row>
    <row r="218">
      <c r="A218" s="46" t="n"/>
      <c r="B218" s="47" t="n"/>
      <c r="C218" s="50">
        <f>IFERROR(INDEX(الموظفون_الاسم,MATCH($B218,الموظفون_الرقم,0)),"")</f>
        <v/>
      </c>
      <c r="D218" s="47" t="n"/>
      <c r="E218" s="112" t="n"/>
      <c r="F218" s="112" t="n"/>
      <c r="G218" s="112" t="n"/>
      <c r="H218" s="51">
        <f>IF(OR($F218="",$G218=""),"",MAX(0,$G218-$F218+1))</f>
        <v/>
      </c>
      <c r="I218" s="51">
        <f>IF($B218="","",IFERROR(INDEX(الموظفون_الافتتاحي,MATCH($B218,الموظفون_الرقم,0)),0)+IF($D218&lt;&gt;"سنوية",0,IFERROR(DATEDIF(بداية_احتساب_الرصيد,TODAY(),"M"),0)*معدل_الاستحقاق_الشهري)-SUMIFS($J$3:$J$502,$B$3:$B$502,$B218,$D$3:$D$502,"سنوية",$L$3:$L$502,"معتمد",$A$3:$A$502,"&lt;"&amp;$A218))</f>
        <v/>
      </c>
      <c r="J218" s="51">
        <f>IF($L218="معتمد",$H218,0)</f>
        <v/>
      </c>
      <c r="K218" s="51">
        <f>IF($B218="","",$I218-$J218)</f>
        <v/>
      </c>
      <c r="L218" s="47" t="n"/>
      <c r="M218" s="47" t="n"/>
      <c r="N218" s="112" t="n"/>
      <c r="O218" s="47" t="n"/>
    </row>
    <row r="219">
      <c r="A219" s="39" t="n"/>
      <c r="B219" s="40" t="n"/>
      <c r="C219" s="43">
        <f>IFERROR(INDEX(الموظفون_الاسم,MATCH($B219,الموظفون_الرقم,0)),"")</f>
        <v/>
      </c>
      <c r="D219" s="40" t="n"/>
      <c r="E219" s="110" t="n"/>
      <c r="F219" s="110" t="n"/>
      <c r="G219" s="110" t="n"/>
      <c r="H219" s="44">
        <f>IF(OR($F219="",$G219=""),"",MAX(0,$G219-$F219+1))</f>
        <v/>
      </c>
      <c r="I219" s="44">
        <f>IF($B219="","",IFERROR(INDEX(الموظفون_الافتتاحي,MATCH($B219,الموظفون_الرقم,0)),0)+IF($D219&lt;&gt;"سنوية",0,IFERROR(DATEDIF(بداية_احتساب_الرصيد,TODAY(),"M"),0)*معدل_الاستحقاق_الشهري)-SUMIFS($J$3:$J$502,$B$3:$B$502,$B219,$D$3:$D$502,"سنوية",$L$3:$L$502,"معتمد",$A$3:$A$502,"&lt;"&amp;$A219))</f>
        <v/>
      </c>
      <c r="J219" s="44">
        <f>IF($L219="معتمد",$H219,0)</f>
        <v/>
      </c>
      <c r="K219" s="44">
        <f>IF($B219="","",$I219-$J219)</f>
        <v/>
      </c>
      <c r="L219" s="40" t="n"/>
      <c r="M219" s="40" t="n"/>
      <c r="N219" s="110" t="n"/>
      <c r="O219" s="40" t="n"/>
    </row>
    <row r="220">
      <c r="A220" s="46" t="n"/>
      <c r="B220" s="47" t="n"/>
      <c r="C220" s="50">
        <f>IFERROR(INDEX(الموظفون_الاسم,MATCH($B220,الموظفون_الرقم,0)),"")</f>
        <v/>
      </c>
      <c r="D220" s="47" t="n"/>
      <c r="E220" s="112" t="n"/>
      <c r="F220" s="112" t="n"/>
      <c r="G220" s="112" t="n"/>
      <c r="H220" s="51">
        <f>IF(OR($F220="",$G220=""),"",MAX(0,$G220-$F220+1))</f>
        <v/>
      </c>
      <c r="I220" s="51">
        <f>IF($B220="","",IFERROR(INDEX(الموظفون_الافتتاحي,MATCH($B220,الموظفون_الرقم,0)),0)+IF($D220&lt;&gt;"سنوية",0,IFERROR(DATEDIF(بداية_احتساب_الرصيد,TODAY(),"M"),0)*معدل_الاستحقاق_الشهري)-SUMIFS($J$3:$J$502,$B$3:$B$502,$B220,$D$3:$D$502,"سنوية",$L$3:$L$502,"معتمد",$A$3:$A$502,"&lt;"&amp;$A220))</f>
        <v/>
      </c>
      <c r="J220" s="51">
        <f>IF($L220="معتمد",$H220,0)</f>
        <v/>
      </c>
      <c r="K220" s="51">
        <f>IF($B220="","",$I220-$J220)</f>
        <v/>
      </c>
      <c r="L220" s="47" t="n"/>
      <c r="M220" s="47" t="n"/>
      <c r="N220" s="112" t="n"/>
      <c r="O220" s="47" t="n"/>
    </row>
    <row r="221">
      <c r="A221" s="39" t="n"/>
      <c r="B221" s="40" t="n"/>
      <c r="C221" s="43">
        <f>IFERROR(INDEX(الموظفون_الاسم,MATCH($B221,الموظفون_الرقم,0)),"")</f>
        <v/>
      </c>
      <c r="D221" s="40" t="n"/>
      <c r="E221" s="110" t="n"/>
      <c r="F221" s="110" t="n"/>
      <c r="G221" s="110" t="n"/>
      <c r="H221" s="44">
        <f>IF(OR($F221="",$G221=""),"",MAX(0,$G221-$F221+1))</f>
        <v/>
      </c>
      <c r="I221" s="44">
        <f>IF($B221="","",IFERROR(INDEX(الموظفون_الافتتاحي,MATCH($B221,الموظفون_الرقم,0)),0)+IF($D221&lt;&gt;"سنوية",0,IFERROR(DATEDIF(بداية_احتساب_الرصيد,TODAY(),"M"),0)*معدل_الاستحقاق_الشهري)-SUMIFS($J$3:$J$502,$B$3:$B$502,$B221,$D$3:$D$502,"سنوية",$L$3:$L$502,"معتمد",$A$3:$A$502,"&lt;"&amp;$A221))</f>
        <v/>
      </c>
      <c r="J221" s="44">
        <f>IF($L221="معتمد",$H221,0)</f>
        <v/>
      </c>
      <c r="K221" s="44">
        <f>IF($B221="","",$I221-$J221)</f>
        <v/>
      </c>
      <c r="L221" s="40" t="n"/>
      <c r="M221" s="40" t="n"/>
      <c r="N221" s="110" t="n"/>
      <c r="O221" s="40" t="n"/>
    </row>
    <row r="222">
      <c r="A222" s="46" t="n"/>
      <c r="B222" s="47" t="n"/>
      <c r="C222" s="50">
        <f>IFERROR(INDEX(الموظفون_الاسم,MATCH($B222,الموظفون_الرقم,0)),"")</f>
        <v/>
      </c>
      <c r="D222" s="47" t="n"/>
      <c r="E222" s="112" t="n"/>
      <c r="F222" s="112" t="n"/>
      <c r="G222" s="112" t="n"/>
      <c r="H222" s="51">
        <f>IF(OR($F222="",$G222=""),"",MAX(0,$G222-$F222+1))</f>
        <v/>
      </c>
      <c r="I222" s="51">
        <f>IF($B222="","",IFERROR(INDEX(الموظفون_الافتتاحي,MATCH($B222,الموظفون_الرقم,0)),0)+IF($D222&lt;&gt;"سنوية",0,IFERROR(DATEDIF(بداية_احتساب_الرصيد,TODAY(),"M"),0)*معدل_الاستحقاق_الشهري)-SUMIFS($J$3:$J$502,$B$3:$B$502,$B222,$D$3:$D$502,"سنوية",$L$3:$L$502,"معتمد",$A$3:$A$502,"&lt;"&amp;$A222))</f>
        <v/>
      </c>
      <c r="J222" s="51">
        <f>IF($L222="معتمد",$H222,0)</f>
        <v/>
      </c>
      <c r="K222" s="51">
        <f>IF($B222="","",$I222-$J222)</f>
        <v/>
      </c>
      <c r="L222" s="47" t="n"/>
      <c r="M222" s="47" t="n"/>
      <c r="N222" s="112" t="n"/>
      <c r="O222" s="47" t="n"/>
    </row>
    <row r="223">
      <c r="A223" s="39" t="n"/>
      <c r="B223" s="40" t="n"/>
      <c r="C223" s="43">
        <f>IFERROR(INDEX(الموظفون_الاسم,MATCH($B223,الموظفون_الرقم,0)),"")</f>
        <v/>
      </c>
      <c r="D223" s="40" t="n"/>
      <c r="E223" s="110" t="n"/>
      <c r="F223" s="110" t="n"/>
      <c r="G223" s="110" t="n"/>
      <c r="H223" s="44">
        <f>IF(OR($F223="",$G223=""),"",MAX(0,$G223-$F223+1))</f>
        <v/>
      </c>
      <c r="I223" s="44">
        <f>IF($B223="","",IFERROR(INDEX(الموظفون_الافتتاحي,MATCH($B223,الموظفون_الرقم,0)),0)+IF($D223&lt;&gt;"سنوية",0,IFERROR(DATEDIF(بداية_احتساب_الرصيد,TODAY(),"M"),0)*معدل_الاستحقاق_الشهري)-SUMIFS($J$3:$J$502,$B$3:$B$502,$B223,$D$3:$D$502,"سنوية",$L$3:$L$502,"معتمد",$A$3:$A$502,"&lt;"&amp;$A223))</f>
        <v/>
      </c>
      <c r="J223" s="44">
        <f>IF($L223="معتمد",$H223,0)</f>
        <v/>
      </c>
      <c r="K223" s="44">
        <f>IF($B223="","",$I223-$J223)</f>
        <v/>
      </c>
      <c r="L223" s="40" t="n"/>
      <c r="M223" s="40" t="n"/>
      <c r="N223" s="110" t="n"/>
      <c r="O223" s="40" t="n"/>
    </row>
    <row r="224">
      <c r="A224" s="46" t="n"/>
      <c r="B224" s="47" t="n"/>
      <c r="C224" s="50">
        <f>IFERROR(INDEX(الموظفون_الاسم,MATCH($B224,الموظفون_الرقم,0)),"")</f>
        <v/>
      </c>
      <c r="D224" s="47" t="n"/>
      <c r="E224" s="112" t="n"/>
      <c r="F224" s="112" t="n"/>
      <c r="G224" s="112" t="n"/>
      <c r="H224" s="51">
        <f>IF(OR($F224="",$G224=""),"",MAX(0,$G224-$F224+1))</f>
        <v/>
      </c>
      <c r="I224" s="51">
        <f>IF($B224="","",IFERROR(INDEX(الموظفون_الافتتاحي,MATCH($B224,الموظفون_الرقم,0)),0)+IF($D224&lt;&gt;"سنوية",0,IFERROR(DATEDIF(بداية_احتساب_الرصيد,TODAY(),"M"),0)*معدل_الاستحقاق_الشهري)-SUMIFS($J$3:$J$502,$B$3:$B$502,$B224,$D$3:$D$502,"سنوية",$L$3:$L$502,"معتمد",$A$3:$A$502,"&lt;"&amp;$A224))</f>
        <v/>
      </c>
      <c r="J224" s="51">
        <f>IF($L224="معتمد",$H224,0)</f>
        <v/>
      </c>
      <c r="K224" s="51">
        <f>IF($B224="","",$I224-$J224)</f>
        <v/>
      </c>
      <c r="L224" s="47" t="n"/>
      <c r="M224" s="47" t="n"/>
      <c r="N224" s="112" t="n"/>
      <c r="O224" s="47" t="n"/>
    </row>
    <row r="225">
      <c r="A225" s="39" t="n"/>
      <c r="B225" s="40" t="n"/>
      <c r="C225" s="43">
        <f>IFERROR(INDEX(الموظفون_الاسم,MATCH($B225,الموظفون_الرقم,0)),"")</f>
        <v/>
      </c>
      <c r="D225" s="40" t="n"/>
      <c r="E225" s="110" t="n"/>
      <c r="F225" s="110" t="n"/>
      <c r="G225" s="110" t="n"/>
      <c r="H225" s="44">
        <f>IF(OR($F225="",$G225=""),"",MAX(0,$G225-$F225+1))</f>
        <v/>
      </c>
      <c r="I225" s="44">
        <f>IF($B225="","",IFERROR(INDEX(الموظفون_الافتتاحي,MATCH($B225,الموظفون_الرقم,0)),0)+IF($D225&lt;&gt;"سنوية",0,IFERROR(DATEDIF(بداية_احتساب_الرصيد,TODAY(),"M"),0)*معدل_الاستحقاق_الشهري)-SUMIFS($J$3:$J$502,$B$3:$B$502,$B225,$D$3:$D$502,"سنوية",$L$3:$L$502,"معتمد",$A$3:$A$502,"&lt;"&amp;$A225))</f>
        <v/>
      </c>
      <c r="J225" s="44">
        <f>IF($L225="معتمد",$H225,0)</f>
        <v/>
      </c>
      <c r="K225" s="44">
        <f>IF($B225="","",$I225-$J225)</f>
        <v/>
      </c>
      <c r="L225" s="40" t="n"/>
      <c r="M225" s="40" t="n"/>
      <c r="N225" s="110" t="n"/>
      <c r="O225" s="40" t="n"/>
    </row>
    <row r="226">
      <c r="A226" s="46" t="n"/>
      <c r="B226" s="47" t="n"/>
      <c r="C226" s="50">
        <f>IFERROR(INDEX(الموظفون_الاسم,MATCH($B226,الموظفون_الرقم,0)),"")</f>
        <v/>
      </c>
      <c r="D226" s="47" t="n"/>
      <c r="E226" s="112" t="n"/>
      <c r="F226" s="112" t="n"/>
      <c r="G226" s="112" t="n"/>
      <c r="H226" s="51">
        <f>IF(OR($F226="",$G226=""),"",MAX(0,$G226-$F226+1))</f>
        <v/>
      </c>
      <c r="I226" s="51">
        <f>IF($B226="","",IFERROR(INDEX(الموظفون_الافتتاحي,MATCH($B226,الموظفون_الرقم,0)),0)+IF($D226&lt;&gt;"سنوية",0,IFERROR(DATEDIF(بداية_احتساب_الرصيد,TODAY(),"M"),0)*معدل_الاستحقاق_الشهري)-SUMIFS($J$3:$J$502,$B$3:$B$502,$B226,$D$3:$D$502,"سنوية",$L$3:$L$502,"معتمد",$A$3:$A$502,"&lt;"&amp;$A226))</f>
        <v/>
      </c>
      <c r="J226" s="51">
        <f>IF($L226="معتمد",$H226,0)</f>
        <v/>
      </c>
      <c r="K226" s="51">
        <f>IF($B226="","",$I226-$J226)</f>
        <v/>
      </c>
      <c r="L226" s="47" t="n"/>
      <c r="M226" s="47" t="n"/>
      <c r="N226" s="112" t="n"/>
      <c r="O226" s="47" t="n"/>
    </row>
    <row r="227">
      <c r="A227" s="39" t="n"/>
      <c r="B227" s="40" t="n"/>
      <c r="C227" s="43">
        <f>IFERROR(INDEX(الموظفون_الاسم,MATCH($B227,الموظفون_الرقم,0)),"")</f>
        <v/>
      </c>
      <c r="D227" s="40" t="n"/>
      <c r="E227" s="110" t="n"/>
      <c r="F227" s="110" t="n"/>
      <c r="G227" s="110" t="n"/>
      <c r="H227" s="44">
        <f>IF(OR($F227="",$G227=""),"",MAX(0,$G227-$F227+1))</f>
        <v/>
      </c>
      <c r="I227" s="44">
        <f>IF($B227="","",IFERROR(INDEX(الموظفون_الافتتاحي,MATCH($B227,الموظفون_الرقم,0)),0)+IF($D227&lt;&gt;"سنوية",0,IFERROR(DATEDIF(بداية_احتساب_الرصيد,TODAY(),"M"),0)*معدل_الاستحقاق_الشهري)-SUMIFS($J$3:$J$502,$B$3:$B$502,$B227,$D$3:$D$502,"سنوية",$L$3:$L$502,"معتمد",$A$3:$A$502,"&lt;"&amp;$A227))</f>
        <v/>
      </c>
      <c r="J227" s="44">
        <f>IF($L227="معتمد",$H227,0)</f>
        <v/>
      </c>
      <c r="K227" s="44">
        <f>IF($B227="","",$I227-$J227)</f>
        <v/>
      </c>
      <c r="L227" s="40" t="n"/>
      <c r="M227" s="40" t="n"/>
      <c r="N227" s="110" t="n"/>
      <c r="O227" s="40" t="n"/>
    </row>
    <row r="228">
      <c r="A228" s="46" t="n"/>
      <c r="B228" s="47" t="n"/>
      <c r="C228" s="50">
        <f>IFERROR(INDEX(الموظفون_الاسم,MATCH($B228,الموظفون_الرقم,0)),"")</f>
        <v/>
      </c>
      <c r="D228" s="47" t="n"/>
      <c r="E228" s="112" t="n"/>
      <c r="F228" s="112" t="n"/>
      <c r="G228" s="112" t="n"/>
      <c r="H228" s="51">
        <f>IF(OR($F228="",$G228=""),"",MAX(0,$G228-$F228+1))</f>
        <v/>
      </c>
      <c r="I228" s="51">
        <f>IF($B228="","",IFERROR(INDEX(الموظفون_الافتتاحي,MATCH($B228,الموظفون_الرقم,0)),0)+IF($D228&lt;&gt;"سنوية",0,IFERROR(DATEDIF(بداية_احتساب_الرصيد,TODAY(),"M"),0)*معدل_الاستحقاق_الشهري)-SUMIFS($J$3:$J$502,$B$3:$B$502,$B228,$D$3:$D$502,"سنوية",$L$3:$L$502,"معتمد",$A$3:$A$502,"&lt;"&amp;$A228))</f>
        <v/>
      </c>
      <c r="J228" s="51">
        <f>IF($L228="معتمد",$H228,0)</f>
        <v/>
      </c>
      <c r="K228" s="51">
        <f>IF($B228="","",$I228-$J228)</f>
        <v/>
      </c>
      <c r="L228" s="47" t="n"/>
      <c r="M228" s="47" t="n"/>
      <c r="N228" s="112" t="n"/>
      <c r="O228" s="47" t="n"/>
    </row>
    <row r="229">
      <c r="A229" s="39" t="n"/>
      <c r="B229" s="40" t="n"/>
      <c r="C229" s="43">
        <f>IFERROR(INDEX(الموظفون_الاسم,MATCH($B229,الموظفون_الرقم,0)),"")</f>
        <v/>
      </c>
      <c r="D229" s="40" t="n"/>
      <c r="E229" s="110" t="n"/>
      <c r="F229" s="110" t="n"/>
      <c r="G229" s="110" t="n"/>
      <c r="H229" s="44">
        <f>IF(OR($F229="",$G229=""),"",MAX(0,$G229-$F229+1))</f>
        <v/>
      </c>
      <c r="I229" s="44">
        <f>IF($B229="","",IFERROR(INDEX(الموظفون_الافتتاحي,MATCH($B229,الموظفون_الرقم,0)),0)+IF($D229&lt;&gt;"سنوية",0,IFERROR(DATEDIF(بداية_احتساب_الرصيد,TODAY(),"M"),0)*معدل_الاستحقاق_الشهري)-SUMIFS($J$3:$J$502,$B$3:$B$502,$B229,$D$3:$D$502,"سنوية",$L$3:$L$502,"معتمد",$A$3:$A$502,"&lt;"&amp;$A229))</f>
        <v/>
      </c>
      <c r="J229" s="44">
        <f>IF($L229="معتمد",$H229,0)</f>
        <v/>
      </c>
      <c r="K229" s="44">
        <f>IF($B229="","",$I229-$J229)</f>
        <v/>
      </c>
      <c r="L229" s="40" t="n"/>
      <c r="M229" s="40" t="n"/>
      <c r="N229" s="110" t="n"/>
      <c r="O229" s="40" t="n"/>
    </row>
    <row r="230">
      <c r="A230" s="46" t="n"/>
      <c r="B230" s="47" t="n"/>
      <c r="C230" s="50">
        <f>IFERROR(INDEX(الموظفون_الاسم,MATCH($B230,الموظفون_الرقم,0)),"")</f>
        <v/>
      </c>
      <c r="D230" s="47" t="n"/>
      <c r="E230" s="112" t="n"/>
      <c r="F230" s="112" t="n"/>
      <c r="G230" s="112" t="n"/>
      <c r="H230" s="51">
        <f>IF(OR($F230="",$G230=""),"",MAX(0,$G230-$F230+1))</f>
        <v/>
      </c>
      <c r="I230" s="51">
        <f>IF($B230="","",IFERROR(INDEX(الموظفون_الافتتاحي,MATCH($B230,الموظفون_الرقم,0)),0)+IF($D230&lt;&gt;"سنوية",0,IFERROR(DATEDIF(بداية_احتساب_الرصيد,TODAY(),"M"),0)*معدل_الاستحقاق_الشهري)-SUMIFS($J$3:$J$502,$B$3:$B$502,$B230,$D$3:$D$502,"سنوية",$L$3:$L$502,"معتمد",$A$3:$A$502,"&lt;"&amp;$A230))</f>
        <v/>
      </c>
      <c r="J230" s="51">
        <f>IF($L230="معتمد",$H230,0)</f>
        <v/>
      </c>
      <c r="K230" s="51">
        <f>IF($B230="","",$I230-$J230)</f>
        <v/>
      </c>
      <c r="L230" s="47" t="n"/>
      <c r="M230" s="47" t="n"/>
      <c r="N230" s="112" t="n"/>
      <c r="O230" s="47" t="n"/>
    </row>
    <row r="231">
      <c r="A231" s="39" t="n"/>
      <c r="B231" s="40" t="n"/>
      <c r="C231" s="43">
        <f>IFERROR(INDEX(الموظفون_الاسم,MATCH($B231,الموظفون_الرقم,0)),"")</f>
        <v/>
      </c>
      <c r="D231" s="40" t="n"/>
      <c r="E231" s="110" t="n"/>
      <c r="F231" s="110" t="n"/>
      <c r="G231" s="110" t="n"/>
      <c r="H231" s="44">
        <f>IF(OR($F231="",$G231=""),"",MAX(0,$G231-$F231+1))</f>
        <v/>
      </c>
      <c r="I231" s="44">
        <f>IF($B231="","",IFERROR(INDEX(الموظفون_الافتتاحي,MATCH($B231,الموظفون_الرقم,0)),0)+IF($D231&lt;&gt;"سنوية",0,IFERROR(DATEDIF(بداية_احتساب_الرصيد,TODAY(),"M"),0)*معدل_الاستحقاق_الشهري)-SUMIFS($J$3:$J$502,$B$3:$B$502,$B231,$D$3:$D$502,"سنوية",$L$3:$L$502,"معتمد",$A$3:$A$502,"&lt;"&amp;$A231))</f>
        <v/>
      </c>
      <c r="J231" s="44">
        <f>IF($L231="معتمد",$H231,0)</f>
        <v/>
      </c>
      <c r="K231" s="44">
        <f>IF($B231="","",$I231-$J231)</f>
        <v/>
      </c>
      <c r="L231" s="40" t="n"/>
      <c r="M231" s="40" t="n"/>
      <c r="N231" s="110" t="n"/>
      <c r="O231" s="40" t="n"/>
    </row>
    <row r="232">
      <c r="A232" s="46" t="n"/>
      <c r="B232" s="47" t="n"/>
      <c r="C232" s="50">
        <f>IFERROR(INDEX(الموظفون_الاسم,MATCH($B232,الموظفون_الرقم,0)),"")</f>
        <v/>
      </c>
      <c r="D232" s="47" t="n"/>
      <c r="E232" s="112" t="n"/>
      <c r="F232" s="112" t="n"/>
      <c r="G232" s="112" t="n"/>
      <c r="H232" s="51">
        <f>IF(OR($F232="",$G232=""),"",MAX(0,$G232-$F232+1))</f>
        <v/>
      </c>
      <c r="I232" s="51">
        <f>IF($B232="","",IFERROR(INDEX(الموظفون_الافتتاحي,MATCH($B232,الموظفون_الرقم,0)),0)+IF($D232&lt;&gt;"سنوية",0,IFERROR(DATEDIF(بداية_احتساب_الرصيد,TODAY(),"M"),0)*معدل_الاستحقاق_الشهري)-SUMIFS($J$3:$J$502,$B$3:$B$502,$B232,$D$3:$D$502,"سنوية",$L$3:$L$502,"معتمد",$A$3:$A$502,"&lt;"&amp;$A232))</f>
        <v/>
      </c>
      <c r="J232" s="51">
        <f>IF($L232="معتمد",$H232,0)</f>
        <v/>
      </c>
      <c r="K232" s="51">
        <f>IF($B232="","",$I232-$J232)</f>
        <v/>
      </c>
      <c r="L232" s="47" t="n"/>
      <c r="M232" s="47" t="n"/>
      <c r="N232" s="112" t="n"/>
      <c r="O232" s="47" t="n"/>
    </row>
    <row r="233">
      <c r="A233" s="39" t="n"/>
      <c r="B233" s="40" t="n"/>
      <c r="C233" s="43">
        <f>IFERROR(INDEX(الموظفون_الاسم,MATCH($B233,الموظفون_الرقم,0)),"")</f>
        <v/>
      </c>
      <c r="D233" s="40" t="n"/>
      <c r="E233" s="110" t="n"/>
      <c r="F233" s="110" t="n"/>
      <c r="G233" s="110" t="n"/>
      <c r="H233" s="44">
        <f>IF(OR($F233="",$G233=""),"",MAX(0,$G233-$F233+1))</f>
        <v/>
      </c>
      <c r="I233" s="44">
        <f>IF($B233="","",IFERROR(INDEX(الموظفون_الافتتاحي,MATCH($B233,الموظفون_الرقم,0)),0)+IF($D233&lt;&gt;"سنوية",0,IFERROR(DATEDIF(بداية_احتساب_الرصيد,TODAY(),"M"),0)*معدل_الاستحقاق_الشهري)-SUMIFS($J$3:$J$502,$B$3:$B$502,$B233,$D$3:$D$502,"سنوية",$L$3:$L$502,"معتمد",$A$3:$A$502,"&lt;"&amp;$A233))</f>
        <v/>
      </c>
      <c r="J233" s="44">
        <f>IF($L233="معتمد",$H233,0)</f>
        <v/>
      </c>
      <c r="K233" s="44">
        <f>IF($B233="","",$I233-$J233)</f>
        <v/>
      </c>
      <c r="L233" s="40" t="n"/>
      <c r="M233" s="40" t="n"/>
      <c r="N233" s="110" t="n"/>
      <c r="O233" s="40" t="n"/>
    </row>
    <row r="234">
      <c r="A234" s="46" t="n"/>
      <c r="B234" s="47" t="n"/>
      <c r="C234" s="50">
        <f>IFERROR(INDEX(الموظفون_الاسم,MATCH($B234,الموظفون_الرقم,0)),"")</f>
        <v/>
      </c>
      <c r="D234" s="47" t="n"/>
      <c r="E234" s="112" t="n"/>
      <c r="F234" s="112" t="n"/>
      <c r="G234" s="112" t="n"/>
      <c r="H234" s="51">
        <f>IF(OR($F234="",$G234=""),"",MAX(0,$G234-$F234+1))</f>
        <v/>
      </c>
      <c r="I234" s="51">
        <f>IF($B234="","",IFERROR(INDEX(الموظفون_الافتتاحي,MATCH($B234,الموظفون_الرقم,0)),0)+IF($D234&lt;&gt;"سنوية",0,IFERROR(DATEDIF(بداية_احتساب_الرصيد,TODAY(),"M"),0)*معدل_الاستحقاق_الشهري)-SUMIFS($J$3:$J$502,$B$3:$B$502,$B234,$D$3:$D$502,"سنوية",$L$3:$L$502,"معتمد",$A$3:$A$502,"&lt;"&amp;$A234))</f>
        <v/>
      </c>
      <c r="J234" s="51">
        <f>IF($L234="معتمد",$H234,0)</f>
        <v/>
      </c>
      <c r="K234" s="51">
        <f>IF($B234="","",$I234-$J234)</f>
        <v/>
      </c>
      <c r="L234" s="47" t="n"/>
      <c r="M234" s="47" t="n"/>
      <c r="N234" s="112" t="n"/>
      <c r="O234" s="47" t="n"/>
    </row>
    <row r="235">
      <c r="A235" s="39" t="n"/>
      <c r="B235" s="40" t="n"/>
      <c r="C235" s="43">
        <f>IFERROR(INDEX(الموظفون_الاسم,MATCH($B235,الموظفون_الرقم,0)),"")</f>
        <v/>
      </c>
      <c r="D235" s="40" t="n"/>
      <c r="E235" s="110" t="n"/>
      <c r="F235" s="110" t="n"/>
      <c r="G235" s="110" t="n"/>
      <c r="H235" s="44">
        <f>IF(OR($F235="",$G235=""),"",MAX(0,$G235-$F235+1))</f>
        <v/>
      </c>
      <c r="I235" s="44">
        <f>IF($B235="","",IFERROR(INDEX(الموظفون_الافتتاحي,MATCH($B235,الموظفون_الرقم,0)),0)+IF($D235&lt;&gt;"سنوية",0,IFERROR(DATEDIF(بداية_احتساب_الرصيد,TODAY(),"M"),0)*معدل_الاستحقاق_الشهري)-SUMIFS($J$3:$J$502,$B$3:$B$502,$B235,$D$3:$D$502,"سنوية",$L$3:$L$502,"معتمد",$A$3:$A$502,"&lt;"&amp;$A235))</f>
        <v/>
      </c>
      <c r="J235" s="44">
        <f>IF($L235="معتمد",$H235,0)</f>
        <v/>
      </c>
      <c r="K235" s="44">
        <f>IF($B235="","",$I235-$J235)</f>
        <v/>
      </c>
      <c r="L235" s="40" t="n"/>
      <c r="M235" s="40" t="n"/>
      <c r="N235" s="110" t="n"/>
      <c r="O235" s="40" t="n"/>
    </row>
    <row r="236">
      <c r="A236" s="46" t="n"/>
      <c r="B236" s="47" t="n"/>
      <c r="C236" s="50">
        <f>IFERROR(INDEX(الموظفون_الاسم,MATCH($B236,الموظفون_الرقم,0)),"")</f>
        <v/>
      </c>
      <c r="D236" s="47" t="n"/>
      <c r="E236" s="112" t="n"/>
      <c r="F236" s="112" t="n"/>
      <c r="G236" s="112" t="n"/>
      <c r="H236" s="51">
        <f>IF(OR($F236="",$G236=""),"",MAX(0,$G236-$F236+1))</f>
        <v/>
      </c>
      <c r="I236" s="51">
        <f>IF($B236="","",IFERROR(INDEX(الموظفون_الافتتاحي,MATCH($B236,الموظفون_الرقم,0)),0)+IF($D236&lt;&gt;"سنوية",0,IFERROR(DATEDIF(بداية_احتساب_الرصيد,TODAY(),"M"),0)*معدل_الاستحقاق_الشهري)-SUMIFS($J$3:$J$502,$B$3:$B$502,$B236,$D$3:$D$502,"سنوية",$L$3:$L$502,"معتمد",$A$3:$A$502,"&lt;"&amp;$A236))</f>
        <v/>
      </c>
      <c r="J236" s="51">
        <f>IF($L236="معتمد",$H236,0)</f>
        <v/>
      </c>
      <c r="K236" s="51">
        <f>IF($B236="","",$I236-$J236)</f>
        <v/>
      </c>
      <c r="L236" s="47" t="n"/>
      <c r="M236" s="47" t="n"/>
      <c r="N236" s="112" t="n"/>
      <c r="O236" s="47" t="n"/>
    </row>
    <row r="237">
      <c r="A237" s="39" t="n"/>
      <c r="B237" s="40" t="n"/>
      <c r="C237" s="43">
        <f>IFERROR(INDEX(الموظفون_الاسم,MATCH($B237,الموظفون_الرقم,0)),"")</f>
        <v/>
      </c>
      <c r="D237" s="40" t="n"/>
      <c r="E237" s="110" t="n"/>
      <c r="F237" s="110" t="n"/>
      <c r="G237" s="110" t="n"/>
      <c r="H237" s="44">
        <f>IF(OR($F237="",$G237=""),"",MAX(0,$G237-$F237+1))</f>
        <v/>
      </c>
      <c r="I237" s="44">
        <f>IF($B237="","",IFERROR(INDEX(الموظفون_الافتتاحي,MATCH($B237,الموظفون_الرقم,0)),0)+IF($D237&lt;&gt;"سنوية",0,IFERROR(DATEDIF(بداية_احتساب_الرصيد,TODAY(),"M"),0)*معدل_الاستحقاق_الشهري)-SUMIFS($J$3:$J$502,$B$3:$B$502,$B237,$D$3:$D$502,"سنوية",$L$3:$L$502,"معتمد",$A$3:$A$502,"&lt;"&amp;$A237))</f>
        <v/>
      </c>
      <c r="J237" s="44">
        <f>IF($L237="معتمد",$H237,0)</f>
        <v/>
      </c>
      <c r="K237" s="44">
        <f>IF($B237="","",$I237-$J237)</f>
        <v/>
      </c>
      <c r="L237" s="40" t="n"/>
      <c r="M237" s="40" t="n"/>
      <c r="N237" s="110" t="n"/>
      <c r="O237" s="40" t="n"/>
    </row>
    <row r="238">
      <c r="A238" s="46" t="n"/>
      <c r="B238" s="47" t="n"/>
      <c r="C238" s="50">
        <f>IFERROR(INDEX(الموظفون_الاسم,MATCH($B238,الموظفون_الرقم,0)),"")</f>
        <v/>
      </c>
      <c r="D238" s="47" t="n"/>
      <c r="E238" s="112" t="n"/>
      <c r="F238" s="112" t="n"/>
      <c r="G238" s="112" t="n"/>
      <c r="H238" s="51">
        <f>IF(OR($F238="",$G238=""),"",MAX(0,$G238-$F238+1))</f>
        <v/>
      </c>
      <c r="I238" s="51">
        <f>IF($B238="","",IFERROR(INDEX(الموظفون_الافتتاحي,MATCH($B238,الموظفون_الرقم,0)),0)+IF($D238&lt;&gt;"سنوية",0,IFERROR(DATEDIF(بداية_احتساب_الرصيد,TODAY(),"M"),0)*معدل_الاستحقاق_الشهري)-SUMIFS($J$3:$J$502,$B$3:$B$502,$B238,$D$3:$D$502,"سنوية",$L$3:$L$502,"معتمد",$A$3:$A$502,"&lt;"&amp;$A238))</f>
        <v/>
      </c>
      <c r="J238" s="51">
        <f>IF($L238="معتمد",$H238,0)</f>
        <v/>
      </c>
      <c r="K238" s="51">
        <f>IF($B238="","",$I238-$J238)</f>
        <v/>
      </c>
      <c r="L238" s="47" t="n"/>
      <c r="M238" s="47" t="n"/>
      <c r="N238" s="112" t="n"/>
      <c r="O238" s="47" t="n"/>
    </row>
    <row r="239">
      <c r="A239" s="39" t="n"/>
      <c r="B239" s="40" t="n"/>
      <c r="C239" s="43">
        <f>IFERROR(INDEX(الموظفون_الاسم,MATCH($B239,الموظفون_الرقم,0)),"")</f>
        <v/>
      </c>
      <c r="D239" s="40" t="n"/>
      <c r="E239" s="110" t="n"/>
      <c r="F239" s="110" t="n"/>
      <c r="G239" s="110" t="n"/>
      <c r="H239" s="44">
        <f>IF(OR($F239="",$G239=""),"",MAX(0,$G239-$F239+1))</f>
        <v/>
      </c>
      <c r="I239" s="44">
        <f>IF($B239="","",IFERROR(INDEX(الموظفون_الافتتاحي,MATCH($B239,الموظفون_الرقم,0)),0)+IF($D239&lt;&gt;"سنوية",0,IFERROR(DATEDIF(بداية_احتساب_الرصيد,TODAY(),"M"),0)*معدل_الاستحقاق_الشهري)-SUMIFS($J$3:$J$502,$B$3:$B$502,$B239,$D$3:$D$502,"سنوية",$L$3:$L$502,"معتمد",$A$3:$A$502,"&lt;"&amp;$A239))</f>
        <v/>
      </c>
      <c r="J239" s="44">
        <f>IF($L239="معتمد",$H239,0)</f>
        <v/>
      </c>
      <c r="K239" s="44">
        <f>IF($B239="","",$I239-$J239)</f>
        <v/>
      </c>
      <c r="L239" s="40" t="n"/>
      <c r="M239" s="40" t="n"/>
      <c r="N239" s="110" t="n"/>
      <c r="O239" s="40" t="n"/>
    </row>
    <row r="240">
      <c r="A240" s="46" t="n"/>
      <c r="B240" s="47" t="n"/>
      <c r="C240" s="50">
        <f>IFERROR(INDEX(الموظفون_الاسم,MATCH($B240,الموظفون_الرقم,0)),"")</f>
        <v/>
      </c>
      <c r="D240" s="47" t="n"/>
      <c r="E240" s="112" t="n"/>
      <c r="F240" s="112" t="n"/>
      <c r="G240" s="112" t="n"/>
      <c r="H240" s="51">
        <f>IF(OR($F240="",$G240=""),"",MAX(0,$G240-$F240+1))</f>
        <v/>
      </c>
      <c r="I240" s="51">
        <f>IF($B240="","",IFERROR(INDEX(الموظفون_الافتتاحي,MATCH($B240,الموظفون_الرقم,0)),0)+IF($D240&lt;&gt;"سنوية",0,IFERROR(DATEDIF(بداية_احتساب_الرصيد,TODAY(),"M"),0)*معدل_الاستحقاق_الشهري)-SUMIFS($J$3:$J$502,$B$3:$B$502,$B240,$D$3:$D$502,"سنوية",$L$3:$L$502,"معتمد",$A$3:$A$502,"&lt;"&amp;$A240))</f>
        <v/>
      </c>
      <c r="J240" s="51">
        <f>IF($L240="معتمد",$H240,0)</f>
        <v/>
      </c>
      <c r="K240" s="51">
        <f>IF($B240="","",$I240-$J240)</f>
        <v/>
      </c>
      <c r="L240" s="47" t="n"/>
      <c r="M240" s="47" t="n"/>
      <c r="N240" s="112" t="n"/>
      <c r="O240" s="47" t="n"/>
    </row>
    <row r="241">
      <c r="A241" s="39" t="n"/>
      <c r="B241" s="40" t="n"/>
      <c r="C241" s="43">
        <f>IFERROR(INDEX(الموظفون_الاسم,MATCH($B241,الموظفون_الرقم,0)),"")</f>
        <v/>
      </c>
      <c r="D241" s="40" t="n"/>
      <c r="E241" s="110" t="n"/>
      <c r="F241" s="110" t="n"/>
      <c r="G241" s="110" t="n"/>
      <c r="H241" s="44">
        <f>IF(OR($F241="",$G241=""),"",MAX(0,$G241-$F241+1))</f>
        <v/>
      </c>
      <c r="I241" s="44">
        <f>IF($B241="","",IFERROR(INDEX(الموظفون_الافتتاحي,MATCH($B241,الموظفون_الرقم,0)),0)+IF($D241&lt;&gt;"سنوية",0,IFERROR(DATEDIF(بداية_احتساب_الرصيد,TODAY(),"M"),0)*معدل_الاستحقاق_الشهري)-SUMIFS($J$3:$J$502,$B$3:$B$502,$B241,$D$3:$D$502,"سنوية",$L$3:$L$502,"معتمد",$A$3:$A$502,"&lt;"&amp;$A241))</f>
        <v/>
      </c>
      <c r="J241" s="44">
        <f>IF($L241="معتمد",$H241,0)</f>
        <v/>
      </c>
      <c r="K241" s="44">
        <f>IF($B241="","",$I241-$J241)</f>
        <v/>
      </c>
      <c r="L241" s="40" t="n"/>
      <c r="M241" s="40" t="n"/>
      <c r="N241" s="110" t="n"/>
      <c r="O241" s="40" t="n"/>
    </row>
    <row r="242">
      <c r="A242" s="46" t="n"/>
      <c r="B242" s="47" t="n"/>
      <c r="C242" s="50">
        <f>IFERROR(INDEX(الموظفون_الاسم,MATCH($B242,الموظفون_الرقم,0)),"")</f>
        <v/>
      </c>
      <c r="D242" s="47" t="n"/>
      <c r="E242" s="112" t="n"/>
      <c r="F242" s="112" t="n"/>
      <c r="G242" s="112" t="n"/>
      <c r="H242" s="51">
        <f>IF(OR($F242="",$G242=""),"",MAX(0,$G242-$F242+1))</f>
        <v/>
      </c>
      <c r="I242" s="51">
        <f>IF($B242="","",IFERROR(INDEX(الموظفون_الافتتاحي,MATCH($B242,الموظفون_الرقم,0)),0)+IF($D242&lt;&gt;"سنوية",0,IFERROR(DATEDIF(بداية_احتساب_الرصيد,TODAY(),"M"),0)*معدل_الاستحقاق_الشهري)-SUMIFS($J$3:$J$502,$B$3:$B$502,$B242,$D$3:$D$502,"سنوية",$L$3:$L$502,"معتمد",$A$3:$A$502,"&lt;"&amp;$A242))</f>
        <v/>
      </c>
      <c r="J242" s="51">
        <f>IF($L242="معتمد",$H242,0)</f>
        <v/>
      </c>
      <c r="K242" s="51">
        <f>IF($B242="","",$I242-$J242)</f>
        <v/>
      </c>
      <c r="L242" s="47" t="n"/>
      <c r="M242" s="47" t="n"/>
      <c r="N242" s="112" t="n"/>
      <c r="O242" s="47" t="n"/>
    </row>
    <row r="243">
      <c r="A243" s="39" t="n"/>
      <c r="B243" s="40" t="n"/>
      <c r="C243" s="43">
        <f>IFERROR(INDEX(الموظفون_الاسم,MATCH($B243,الموظفون_الرقم,0)),"")</f>
        <v/>
      </c>
      <c r="D243" s="40" t="n"/>
      <c r="E243" s="110" t="n"/>
      <c r="F243" s="110" t="n"/>
      <c r="G243" s="110" t="n"/>
      <c r="H243" s="44">
        <f>IF(OR($F243="",$G243=""),"",MAX(0,$G243-$F243+1))</f>
        <v/>
      </c>
      <c r="I243" s="44">
        <f>IF($B243="","",IFERROR(INDEX(الموظفون_الافتتاحي,MATCH($B243,الموظفون_الرقم,0)),0)+IF($D243&lt;&gt;"سنوية",0,IFERROR(DATEDIF(بداية_احتساب_الرصيد,TODAY(),"M"),0)*معدل_الاستحقاق_الشهري)-SUMIFS($J$3:$J$502,$B$3:$B$502,$B243,$D$3:$D$502,"سنوية",$L$3:$L$502,"معتمد",$A$3:$A$502,"&lt;"&amp;$A243))</f>
        <v/>
      </c>
      <c r="J243" s="44">
        <f>IF($L243="معتمد",$H243,0)</f>
        <v/>
      </c>
      <c r="K243" s="44">
        <f>IF($B243="","",$I243-$J243)</f>
        <v/>
      </c>
      <c r="L243" s="40" t="n"/>
      <c r="M243" s="40" t="n"/>
      <c r="N243" s="110" t="n"/>
      <c r="O243" s="40" t="n"/>
    </row>
    <row r="244">
      <c r="A244" s="46" t="n"/>
      <c r="B244" s="47" t="n"/>
      <c r="C244" s="50">
        <f>IFERROR(INDEX(الموظفون_الاسم,MATCH($B244,الموظفون_الرقم,0)),"")</f>
        <v/>
      </c>
      <c r="D244" s="47" t="n"/>
      <c r="E244" s="112" t="n"/>
      <c r="F244" s="112" t="n"/>
      <c r="G244" s="112" t="n"/>
      <c r="H244" s="51">
        <f>IF(OR($F244="",$G244=""),"",MAX(0,$G244-$F244+1))</f>
        <v/>
      </c>
      <c r="I244" s="51">
        <f>IF($B244="","",IFERROR(INDEX(الموظفون_الافتتاحي,MATCH($B244,الموظفون_الرقم,0)),0)+IF($D244&lt;&gt;"سنوية",0,IFERROR(DATEDIF(بداية_احتساب_الرصيد,TODAY(),"M"),0)*معدل_الاستحقاق_الشهري)-SUMIFS($J$3:$J$502,$B$3:$B$502,$B244,$D$3:$D$502,"سنوية",$L$3:$L$502,"معتمد",$A$3:$A$502,"&lt;"&amp;$A244))</f>
        <v/>
      </c>
      <c r="J244" s="51">
        <f>IF($L244="معتمد",$H244,0)</f>
        <v/>
      </c>
      <c r="K244" s="51">
        <f>IF($B244="","",$I244-$J244)</f>
        <v/>
      </c>
      <c r="L244" s="47" t="n"/>
      <c r="M244" s="47" t="n"/>
      <c r="N244" s="112" t="n"/>
      <c r="O244" s="47" t="n"/>
    </row>
    <row r="245">
      <c r="A245" s="39" t="n"/>
      <c r="B245" s="40" t="n"/>
      <c r="C245" s="43">
        <f>IFERROR(INDEX(الموظفون_الاسم,MATCH($B245,الموظفون_الرقم,0)),"")</f>
        <v/>
      </c>
      <c r="D245" s="40" t="n"/>
      <c r="E245" s="110" t="n"/>
      <c r="F245" s="110" t="n"/>
      <c r="G245" s="110" t="n"/>
      <c r="H245" s="44">
        <f>IF(OR($F245="",$G245=""),"",MAX(0,$G245-$F245+1))</f>
        <v/>
      </c>
      <c r="I245" s="44">
        <f>IF($B245="","",IFERROR(INDEX(الموظفون_الافتتاحي,MATCH($B245,الموظفون_الرقم,0)),0)+IF($D245&lt;&gt;"سنوية",0,IFERROR(DATEDIF(بداية_احتساب_الرصيد,TODAY(),"M"),0)*معدل_الاستحقاق_الشهري)-SUMIFS($J$3:$J$502,$B$3:$B$502,$B245,$D$3:$D$502,"سنوية",$L$3:$L$502,"معتمد",$A$3:$A$502,"&lt;"&amp;$A245))</f>
        <v/>
      </c>
      <c r="J245" s="44">
        <f>IF($L245="معتمد",$H245,0)</f>
        <v/>
      </c>
      <c r="K245" s="44">
        <f>IF($B245="","",$I245-$J245)</f>
        <v/>
      </c>
      <c r="L245" s="40" t="n"/>
      <c r="M245" s="40" t="n"/>
      <c r="N245" s="110" t="n"/>
      <c r="O245" s="40" t="n"/>
    </row>
    <row r="246">
      <c r="A246" s="46" t="n"/>
      <c r="B246" s="47" t="n"/>
      <c r="C246" s="50">
        <f>IFERROR(INDEX(الموظفون_الاسم,MATCH($B246,الموظفون_الرقم,0)),"")</f>
        <v/>
      </c>
      <c r="D246" s="47" t="n"/>
      <c r="E246" s="112" t="n"/>
      <c r="F246" s="112" t="n"/>
      <c r="G246" s="112" t="n"/>
      <c r="H246" s="51">
        <f>IF(OR($F246="",$G246=""),"",MAX(0,$G246-$F246+1))</f>
        <v/>
      </c>
      <c r="I246" s="51">
        <f>IF($B246="","",IFERROR(INDEX(الموظفون_الافتتاحي,MATCH($B246,الموظفون_الرقم,0)),0)+IF($D246&lt;&gt;"سنوية",0,IFERROR(DATEDIF(بداية_احتساب_الرصيد,TODAY(),"M"),0)*معدل_الاستحقاق_الشهري)-SUMIFS($J$3:$J$502,$B$3:$B$502,$B246,$D$3:$D$502,"سنوية",$L$3:$L$502,"معتمد",$A$3:$A$502,"&lt;"&amp;$A246))</f>
        <v/>
      </c>
      <c r="J246" s="51">
        <f>IF($L246="معتمد",$H246,0)</f>
        <v/>
      </c>
      <c r="K246" s="51">
        <f>IF($B246="","",$I246-$J246)</f>
        <v/>
      </c>
      <c r="L246" s="47" t="n"/>
      <c r="M246" s="47" t="n"/>
      <c r="N246" s="112" t="n"/>
      <c r="O246" s="47" t="n"/>
    </row>
    <row r="247">
      <c r="A247" s="39" t="n"/>
      <c r="B247" s="40" t="n"/>
      <c r="C247" s="43">
        <f>IFERROR(INDEX(الموظفون_الاسم,MATCH($B247,الموظفون_الرقم,0)),"")</f>
        <v/>
      </c>
      <c r="D247" s="40" t="n"/>
      <c r="E247" s="110" t="n"/>
      <c r="F247" s="110" t="n"/>
      <c r="G247" s="110" t="n"/>
      <c r="H247" s="44">
        <f>IF(OR($F247="",$G247=""),"",MAX(0,$G247-$F247+1))</f>
        <v/>
      </c>
      <c r="I247" s="44">
        <f>IF($B247="","",IFERROR(INDEX(الموظفون_الافتتاحي,MATCH($B247,الموظفون_الرقم,0)),0)+IF($D247&lt;&gt;"سنوية",0,IFERROR(DATEDIF(بداية_احتساب_الرصيد,TODAY(),"M"),0)*معدل_الاستحقاق_الشهري)-SUMIFS($J$3:$J$502,$B$3:$B$502,$B247,$D$3:$D$502,"سنوية",$L$3:$L$502,"معتمد",$A$3:$A$502,"&lt;"&amp;$A247))</f>
        <v/>
      </c>
      <c r="J247" s="44">
        <f>IF($L247="معتمد",$H247,0)</f>
        <v/>
      </c>
      <c r="K247" s="44">
        <f>IF($B247="","",$I247-$J247)</f>
        <v/>
      </c>
      <c r="L247" s="40" t="n"/>
      <c r="M247" s="40" t="n"/>
      <c r="N247" s="110" t="n"/>
      <c r="O247" s="40" t="n"/>
    </row>
    <row r="248">
      <c r="A248" s="46" t="n"/>
      <c r="B248" s="47" t="n"/>
      <c r="C248" s="50">
        <f>IFERROR(INDEX(الموظفون_الاسم,MATCH($B248,الموظفون_الرقم,0)),"")</f>
        <v/>
      </c>
      <c r="D248" s="47" t="n"/>
      <c r="E248" s="112" t="n"/>
      <c r="F248" s="112" t="n"/>
      <c r="G248" s="112" t="n"/>
      <c r="H248" s="51">
        <f>IF(OR($F248="",$G248=""),"",MAX(0,$G248-$F248+1))</f>
        <v/>
      </c>
      <c r="I248" s="51">
        <f>IF($B248="","",IFERROR(INDEX(الموظفون_الافتتاحي,MATCH($B248,الموظفون_الرقم,0)),0)+IF($D248&lt;&gt;"سنوية",0,IFERROR(DATEDIF(بداية_احتساب_الرصيد,TODAY(),"M"),0)*معدل_الاستحقاق_الشهري)-SUMIFS($J$3:$J$502,$B$3:$B$502,$B248,$D$3:$D$502,"سنوية",$L$3:$L$502,"معتمد",$A$3:$A$502,"&lt;"&amp;$A248))</f>
        <v/>
      </c>
      <c r="J248" s="51">
        <f>IF($L248="معتمد",$H248,0)</f>
        <v/>
      </c>
      <c r="K248" s="51">
        <f>IF($B248="","",$I248-$J248)</f>
        <v/>
      </c>
      <c r="L248" s="47" t="n"/>
      <c r="M248" s="47" t="n"/>
      <c r="N248" s="112" t="n"/>
      <c r="O248" s="47" t="n"/>
    </row>
    <row r="249">
      <c r="A249" s="39" t="n"/>
      <c r="B249" s="40" t="n"/>
      <c r="C249" s="43">
        <f>IFERROR(INDEX(الموظفون_الاسم,MATCH($B249,الموظفون_الرقم,0)),"")</f>
        <v/>
      </c>
      <c r="D249" s="40" t="n"/>
      <c r="E249" s="110" t="n"/>
      <c r="F249" s="110" t="n"/>
      <c r="G249" s="110" t="n"/>
      <c r="H249" s="44">
        <f>IF(OR($F249="",$G249=""),"",MAX(0,$G249-$F249+1))</f>
        <v/>
      </c>
      <c r="I249" s="44">
        <f>IF($B249="","",IFERROR(INDEX(الموظفون_الافتتاحي,MATCH($B249,الموظفون_الرقم,0)),0)+IF($D249&lt;&gt;"سنوية",0,IFERROR(DATEDIF(بداية_احتساب_الرصيد,TODAY(),"M"),0)*معدل_الاستحقاق_الشهري)-SUMIFS($J$3:$J$502,$B$3:$B$502,$B249,$D$3:$D$502,"سنوية",$L$3:$L$502,"معتمد",$A$3:$A$502,"&lt;"&amp;$A249))</f>
        <v/>
      </c>
      <c r="J249" s="44">
        <f>IF($L249="معتمد",$H249,0)</f>
        <v/>
      </c>
      <c r="K249" s="44">
        <f>IF($B249="","",$I249-$J249)</f>
        <v/>
      </c>
      <c r="L249" s="40" t="n"/>
      <c r="M249" s="40" t="n"/>
      <c r="N249" s="110" t="n"/>
      <c r="O249" s="40" t="n"/>
    </row>
    <row r="250">
      <c r="A250" s="46" t="n"/>
      <c r="B250" s="47" t="n"/>
      <c r="C250" s="50">
        <f>IFERROR(INDEX(الموظفون_الاسم,MATCH($B250,الموظفون_الرقم,0)),"")</f>
        <v/>
      </c>
      <c r="D250" s="47" t="n"/>
      <c r="E250" s="112" t="n"/>
      <c r="F250" s="112" t="n"/>
      <c r="G250" s="112" t="n"/>
      <c r="H250" s="51">
        <f>IF(OR($F250="",$G250=""),"",MAX(0,$G250-$F250+1))</f>
        <v/>
      </c>
      <c r="I250" s="51">
        <f>IF($B250="","",IFERROR(INDEX(الموظفون_الافتتاحي,MATCH($B250,الموظفون_الرقم,0)),0)+IF($D250&lt;&gt;"سنوية",0,IFERROR(DATEDIF(بداية_احتساب_الرصيد,TODAY(),"M"),0)*معدل_الاستحقاق_الشهري)-SUMIFS($J$3:$J$502,$B$3:$B$502,$B250,$D$3:$D$502,"سنوية",$L$3:$L$502,"معتمد",$A$3:$A$502,"&lt;"&amp;$A250))</f>
        <v/>
      </c>
      <c r="J250" s="51">
        <f>IF($L250="معتمد",$H250,0)</f>
        <v/>
      </c>
      <c r="K250" s="51">
        <f>IF($B250="","",$I250-$J250)</f>
        <v/>
      </c>
      <c r="L250" s="47" t="n"/>
      <c r="M250" s="47" t="n"/>
      <c r="N250" s="112" t="n"/>
      <c r="O250" s="47" t="n"/>
    </row>
    <row r="251">
      <c r="A251" s="39" t="n"/>
      <c r="B251" s="40" t="n"/>
      <c r="C251" s="43">
        <f>IFERROR(INDEX(الموظفون_الاسم,MATCH($B251,الموظفون_الرقم,0)),"")</f>
        <v/>
      </c>
      <c r="D251" s="40" t="n"/>
      <c r="E251" s="110" t="n"/>
      <c r="F251" s="110" t="n"/>
      <c r="G251" s="110" t="n"/>
      <c r="H251" s="44">
        <f>IF(OR($F251="",$G251=""),"",MAX(0,$G251-$F251+1))</f>
        <v/>
      </c>
      <c r="I251" s="44">
        <f>IF($B251="","",IFERROR(INDEX(الموظفون_الافتتاحي,MATCH($B251,الموظفون_الرقم,0)),0)+IF($D251&lt;&gt;"سنوية",0,IFERROR(DATEDIF(بداية_احتساب_الرصيد,TODAY(),"M"),0)*معدل_الاستحقاق_الشهري)-SUMIFS($J$3:$J$502,$B$3:$B$502,$B251,$D$3:$D$502,"سنوية",$L$3:$L$502,"معتمد",$A$3:$A$502,"&lt;"&amp;$A251))</f>
        <v/>
      </c>
      <c r="J251" s="44">
        <f>IF($L251="معتمد",$H251,0)</f>
        <v/>
      </c>
      <c r="K251" s="44">
        <f>IF($B251="","",$I251-$J251)</f>
        <v/>
      </c>
      <c r="L251" s="40" t="n"/>
      <c r="M251" s="40" t="n"/>
      <c r="N251" s="110" t="n"/>
      <c r="O251" s="40" t="n"/>
    </row>
    <row r="252">
      <c r="A252" s="46" t="n"/>
      <c r="B252" s="47" t="n"/>
      <c r="C252" s="50">
        <f>IFERROR(INDEX(الموظفون_الاسم,MATCH($B252,الموظفون_الرقم,0)),"")</f>
        <v/>
      </c>
      <c r="D252" s="47" t="n"/>
      <c r="E252" s="112" t="n"/>
      <c r="F252" s="112" t="n"/>
      <c r="G252" s="112" t="n"/>
      <c r="H252" s="51">
        <f>IF(OR($F252="",$G252=""),"",MAX(0,$G252-$F252+1))</f>
        <v/>
      </c>
      <c r="I252" s="51">
        <f>IF($B252="","",IFERROR(INDEX(الموظفون_الافتتاحي,MATCH($B252,الموظفون_الرقم,0)),0)+IF($D252&lt;&gt;"سنوية",0,IFERROR(DATEDIF(بداية_احتساب_الرصيد,TODAY(),"M"),0)*معدل_الاستحقاق_الشهري)-SUMIFS($J$3:$J$502,$B$3:$B$502,$B252,$D$3:$D$502,"سنوية",$L$3:$L$502,"معتمد",$A$3:$A$502,"&lt;"&amp;$A252))</f>
        <v/>
      </c>
      <c r="J252" s="51">
        <f>IF($L252="معتمد",$H252,0)</f>
        <v/>
      </c>
      <c r="K252" s="51">
        <f>IF($B252="","",$I252-$J252)</f>
        <v/>
      </c>
      <c r="L252" s="47" t="n"/>
      <c r="M252" s="47" t="n"/>
      <c r="N252" s="112" t="n"/>
      <c r="O252" s="47" t="n"/>
    </row>
    <row r="253">
      <c r="A253" s="39" t="n"/>
      <c r="B253" s="40" t="n"/>
      <c r="C253" s="43">
        <f>IFERROR(INDEX(الموظفون_الاسم,MATCH($B253,الموظفون_الرقم,0)),"")</f>
        <v/>
      </c>
      <c r="D253" s="40" t="n"/>
      <c r="E253" s="110" t="n"/>
      <c r="F253" s="110" t="n"/>
      <c r="G253" s="110" t="n"/>
      <c r="H253" s="44">
        <f>IF(OR($F253="",$G253=""),"",MAX(0,$G253-$F253+1))</f>
        <v/>
      </c>
      <c r="I253" s="44">
        <f>IF($B253="","",IFERROR(INDEX(الموظفون_الافتتاحي,MATCH($B253,الموظفون_الرقم,0)),0)+IF($D253&lt;&gt;"سنوية",0,IFERROR(DATEDIF(بداية_احتساب_الرصيد,TODAY(),"M"),0)*معدل_الاستحقاق_الشهري)-SUMIFS($J$3:$J$502,$B$3:$B$502,$B253,$D$3:$D$502,"سنوية",$L$3:$L$502,"معتمد",$A$3:$A$502,"&lt;"&amp;$A253))</f>
        <v/>
      </c>
      <c r="J253" s="44">
        <f>IF($L253="معتمد",$H253,0)</f>
        <v/>
      </c>
      <c r="K253" s="44">
        <f>IF($B253="","",$I253-$J253)</f>
        <v/>
      </c>
      <c r="L253" s="40" t="n"/>
      <c r="M253" s="40" t="n"/>
      <c r="N253" s="110" t="n"/>
      <c r="O253" s="40" t="n"/>
    </row>
    <row r="254">
      <c r="A254" s="46" t="n"/>
      <c r="B254" s="47" t="n"/>
      <c r="C254" s="50">
        <f>IFERROR(INDEX(الموظفون_الاسم,MATCH($B254,الموظفون_الرقم,0)),"")</f>
        <v/>
      </c>
      <c r="D254" s="47" t="n"/>
      <c r="E254" s="112" t="n"/>
      <c r="F254" s="112" t="n"/>
      <c r="G254" s="112" t="n"/>
      <c r="H254" s="51">
        <f>IF(OR($F254="",$G254=""),"",MAX(0,$G254-$F254+1))</f>
        <v/>
      </c>
      <c r="I254" s="51">
        <f>IF($B254="","",IFERROR(INDEX(الموظفون_الافتتاحي,MATCH($B254,الموظفون_الرقم,0)),0)+IF($D254&lt;&gt;"سنوية",0,IFERROR(DATEDIF(بداية_احتساب_الرصيد,TODAY(),"M"),0)*معدل_الاستحقاق_الشهري)-SUMIFS($J$3:$J$502,$B$3:$B$502,$B254,$D$3:$D$502,"سنوية",$L$3:$L$502,"معتمد",$A$3:$A$502,"&lt;"&amp;$A254))</f>
        <v/>
      </c>
      <c r="J254" s="51">
        <f>IF($L254="معتمد",$H254,0)</f>
        <v/>
      </c>
      <c r="K254" s="51">
        <f>IF($B254="","",$I254-$J254)</f>
        <v/>
      </c>
      <c r="L254" s="47" t="n"/>
      <c r="M254" s="47" t="n"/>
      <c r="N254" s="112" t="n"/>
      <c r="O254" s="47" t="n"/>
    </row>
    <row r="255">
      <c r="A255" s="39" t="n"/>
      <c r="B255" s="40" t="n"/>
      <c r="C255" s="43">
        <f>IFERROR(INDEX(الموظفون_الاسم,MATCH($B255,الموظفون_الرقم,0)),"")</f>
        <v/>
      </c>
      <c r="D255" s="40" t="n"/>
      <c r="E255" s="110" t="n"/>
      <c r="F255" s="110" t="n"/>
      <c r="G255" s="110" t="n"/>
      <c r="H255" s="44">
        <f>IF(OR($F255="",$G255=""),"",MAX(0,$G255-$F255+1))</f>
        <v/>
      </c>
      <c r="I255" s="44">
        <f>IF($B255="","",IFERROR(INDEX(الموظفون_الافتتاحي,MATCH($B255,الموظفون_الرقم,0)),0)+IF($D255&lt;&gt;"سنوية",0,IFERROR(DATEDIF(بداية_احتساب_الرصيد,TODAY(),"M"),0)*معدل_الاستحقاق_الشهري)-SUMIFS($J$3:$J$502,$B$3:$B$502,$B255,$D$3:$D$502,"سنوية",$L$3:$L$502,"معتمد",$A$3:$A$502,"&lt;"&amp;$A255))</f>
        <v/>
      </c>
      <c r="J255" s="44">
        <f>IF($L255="معتمد",$H255,0)</f>
        <v/>
      </c>
      <c r="K255" s="44">
        <f>IF($B255="","",$I255-$J255)</f>
        <v/>
      </c>
      <c r="L255" s="40" t="n"/>
      <c r="M255" s="40" t="n"/>
      <c r="N255" s="110" t="n"/>
      <c r="O255" s="40" t="n"/>
    </row>
    <row r="256">
      <c r="A256" s="46" t="n"/>
      <c r="B256" s="47" t="n"/>
      <c r="C256" s="50">
        <f>IFERROR(INDEX(الموظفون_الاسم,MATCH($B256,الموظفون_الرقم,0)),"")</f>
        <v/>
      </c>
      <c r="D256" s="47" t="n"/>
      <c r="E256" s="112" t="n"/>
      <c r="F256" s="112" t="n"/>
      <c r="G256" s="112" t="n"/>
      <c r="H256" s="51">
        <f>IF(OR($F256="",$G256=""),"",MAX(0,$G256-$F256+1))</f>
        <v/>
      </c>
      <c r="I256" s="51">
        <f>IF($B256="","",IFERROR(INDEX(الموظفون_الافتتاحي,MATCH($B256,الموظفون_الرقم,0)),0)+IF($D256&lt;&gt;"سنوية",0,IFERROR(DATEDIF(بداية_احتساب_الرصيد,TODAY(),"M"),0)*معدل_الاستحقاق_الشهري)-SUMIFS($J$3:$J$502,$B$3:$B$502,$B256,$D$3:$D$502,"سنوية",$L$3:$L$502,"معتمد",$A$3:$A$502,"&lt;"&amp;$A256))</f>
        <v/>
      </c>
      <c r="J256" s="51">
        <f>IF($L256="معتمد",$H256,0)</f>
        <v/>
      </c>
      <c r="K256" s="51">
        <f>IF($B256="","",$I256-$J256)</f>
        <v/>
      </c>
      <c r="L256" s="47" t="n"/>
      <c r="M256" s="47" t="n"/>
      <c r="N256" s="112" t="n"/>
      <c r="O256" s="47" t="n"/>
    </row>
    <row r="257">
      <c r="A257" s="39" t="n"/>
      <c r="B257" s="40" t="n"/>
      <c r="C257" s="43">
        <f>IFERROR(INDEX(الموظفون_الاسم,MATCH($B257,الموظفون_الرقم,0)),"")</f>
        <v/>
      </c>
      <c r="D257" s="40" t="n"/>
      <c r="E257" s="110" t="n"/>
      <c r="F257" s="110" t="n"/>
      <c r="G257" s="110" t="n"/>
      <c r="H257" s="44">
        <f>IF(OR($F257="",$G257=""),"",MAX(0,$G257-$F257+1))</f>
        <v/>
      </c>
      <c r="I257" s="44">
        <f>IF($B257="","",IFERROR(INDEX(الموظفون_الافتتاحي,MATCH($B257,الموظفون_الرقم,0)),0)+IF($D257&lt;&gt;"سنوية",0,IFERROR(DATEDIF(بداية_احتساب_الرصيد,TODAY(),"M"),0)*معدل_الاستحقاق_الشهري)-SUMIFS($J$3:$J$502,$B$3:$B$502,$B257,$D$3:$D$502,"سنوية",$L$3:$L$502,"معتمد",$A$3:$A$502,"&lt;"&amp;$A257))</f>
        <v/>
      </c>
      <c r="J257" s="44">
        <f>IF($L257="معتمد",$H257,0)</f>
        <v/>
      </c>
      <c r="K257" s="44">
        <f>IF($B257="","",$I257-$J257)</f>
        <v/>
      </c>
      <c r="L257" s="40" t="n"/>
      <c r="M257" s="40" t="n"/>
      <c r="N257" s="110" t="n"/>
      <c r="O257" s="40" t="n"/>
    </row>
    <row r="258">
      <c r="A258" s="46" t="n"/>
      <c r="B258" s="47" t="n"/>
      <c r="C258" s="50">
        <f>IFERROR(INDEX(الموظفون_الاسم,MATCH($B258,الموظفون_الرقم,0)),"")</f>
        <v/>
      </c>
      <c r="D258" s="47" t="n"/>
      <c r="E258" s="112" t="n"/>
      <c r="F258" s="112" t="n"/>
      <c r="G258" s="112" t="n"/>
      <c r="H258" s="51">
        <f>IF(OR($F258="",$G258=""),"",MAX(0,$G258-$F258+1))</f>
        <v/>
      </c>
      <c r="I258" s="51">
        <f>IF($B258="","",IFERROR(INDEX(الموظفون_الافتتاحي,MATCH($B258,الموظفون_الرقم,0)),0)+IF($D258&lt;&gt;"سنوية",0,IFERROR(DATEDIF(بداية_احتساب_الرصيد,TODAY(),"M"),0)*معدل_الاستحقاق_الشهري)-SUMIFS($J$3:$J$502,$B$3:$B$502,$B258,$D$3:$D$502,"سنوية",$L$3:$L$502,"معتمد",$A$3:$A$502,"&lt;"&amp;$A258))</f>
        <v/>
      </c>
      <c r="J258" s="51">
        <f>IF($L258="معتمد",$H258,0)</f>
        <v/>
      </c>
      <c r="K258" s="51">
        <f>IF($B258="","",$I258-$J258)</f>
        <v/>
      </c>
      <c r="L258" s="47" t="n"/>
      <c r="M258" s="47" t="n"/>
      <c r="N258" s="112" t="n"/>
      <c r="O258" s="47" t="n"/>
    </row>
    <row r="259">
      <c r="A259" s="39" t="n"/>
      <c r="B259" s="40" t="n"/>
      <c r="C259" s="43">
        <f>IFERROR(INDEX(الموظفون_الاسم,MATCH($B259,الموظفون_الرقم,0)),"")</f>
        <v/>
      </c>
      <c r="D259" s="40" t="n"/>
      <c r="E259" s="110" t="n"/>
      <c r="F259" s="110" t="n"/>
      <c r="G259" s="110" t="n"/>
      <c r="H259" s="44">
        <f>IF(OR($F259="",$G259=""),"",MAX(0,$G259-$F259+1))</f>
        <v/>
      </c>
      <c r="I259" s="44">
        <f>IF($B259="","",IFERROR(INDEX(الموظفون_الافتتاحي,MATCH($B259,الموظفون_الرقم,0)),0)+IF($D259&lt;&gt;"سنوية",0,IFERROR(DATEDIF(بداية_احتساب_الرصيد,TODAY(),"M"),0)*معدل_الاستحقاق_الشهري)-SUMIFS($J$3:$J$502,$B$3:$B$502,$B259,$D$3:$D$502,"سنوية",$L$3:$L$502,"معتمد",$A$3:$A$502,"&lt;"&amp;$A259))</f>
        <v/>
      </c>
      <c r="J259" s="44">
        <f>IF($L259="معتمد",$H259,0)</f>
        <v/>
      </c>
      <c r="K259" s="44">
        <f>IF($B259="","",$I259-$J259)</f>
        <v/>
      </c>
      <c r="L259" s="40" t="n"/>
      <c r="M259" s="40" t="n"/>
      <c r="N259" s="110" t="n"/>
      <c r="O259" s="40" t="n"/>
    </row>
    <row r="260">
      <c r="A260" s="46" t="n"/>
      <c r="B260" s="47" t="n"/>
      <c r="C260" s="50">
        <f>IFERROR(INDEX(الموظفون_الاسم,MATCH($B260,الموظفون_الرقم,0)),"")</f>
        <v/>
      </c>
      <c r="D260" s="47" t="n"/>
      <c r="E260" s="112" t="n"/>
      <c r="F260" s="112" t="n"/>
      <c r="G260" s="112" t="n"/>
      <c r="H260" s="51">
        <f>IF(OR($F260="",$G260=""),"",MAX(0,$G260-$F260+1))</f>
        <v/>
      </c>
      <c r="I260" s="51">
        <f>IF($B260="","",IFERROR(INDEX(الموظفون_الافتتاحي,MATCH($B260,الموظفون_الرقم,0)),0)+IF($D260&lt;&gt;"سنوية",0,IFERROR(DATEDIF(بداية_احتساب_الرصيد,TODAY(),"M"),0)*معدل_الاستحقاق_الشهري)-SUMIFS($J$3:$J$502,$B$3:$B$502,$B260,$D$3:$D$502,"سنوية",$L$3:$L$502,"معتمد",$A$3:$A$502,"&lt;"&amp;$A260))</f>
        <v/>
      </c>
      <c r="J260" s="51">
        <f>IF($L260="معتمد",$H260,0)</f>
        <v/>
      </c>
      <c r="K260" s="51">
        <f>IF($B260="","",$I260-$J260)</f>
        <v/>
      </c>
      <c r="L260" s="47" t="n"/>
      <c r="M260" s="47" t="n"/>
      <c r="N260" s="112" t="n"/>
      <c r="O260" s="47" t="n"/>
    </row>
    <row r="261">
      <c r="A261" s="39" t="n"/>
      <c r="B261" s="40" t="n"/>
      <c r="C261" s="43">
        <f>IFERROR(INDEX(الموظفون_الاسم,MATCH($B261,الموظفون_الرقم,0)),"")</f>
        <v/>
      </c>
      <c r="D261" s="40" t="n"/>
      <c r="E261" s="110" t="n"/>
      <c r="F261" s="110" t="n"/>
      <c r="G261" s="110" t="n"/>
      <c r="H261" s="44">
        <f>IF(OR($F261="",$G261=""),"",MAX(0,$G261-$F261+1))</f>
        <v/>
      </c>
      <c r="I261" s="44">
        <f>IF($B261="","",IFERROR(INDEX(الموظفون_الافتتاحي,MATCH($B261,الموظفون_الرقم,0)),0)+IF($D261&lt;&gt;"سنوية",0,IFERROR(DATEDIF(بداية_احتساب_الرصيد,TODAY(),"M"),0)*معدل_الاستحقاق_الشهري)-SUMIFS($J$3:$J$502,$B$3:$B$502,$B261,$D$3:$D$502,"سنوية",$L$3:$L$502,"معتمد",$A$3:$A$502,"&lt;"&amp;$A261))</f>
        <v/>
      </c>
      <c r="J261" s="44">
        <f>IF($L261="معتمد",$H261,0)</f>
        <v/>
      </c>
      <c r="K261" s="44">
        <f>IF($B261="","",$I261-$J261)</f>
        <v/>
      </c>
      <c r="L261" s="40" t="n"/>
      <c r="M261" s="40" t="n"/>
      <c r="N261" s="110" t="n"/>
      <c r="O261" s="40" t="n"/>
    </row>
    <row r="262">
      <c r="A262" s="46" t="n"/>
      <c r="B262" s="47" t="n"/>
      <c r="C262" s="50">
        <f>IFERROR(INDEX(الموظفون_الاسم,MATCH($B262,الموظفون_الرقم,0)),"")</f>
        <v/>
      </c>
      <c r="D262" s="47" t="n"/>
      <c r="E262" s="112" t="n"/>
      <c r="F262" s="112" t="n"/>
      <c r="G262" s="112" t="n"/>
      <c r="H262" s="51">
        <f>IF(OR($F262="",$G262=""),"",MAX(0,$G262-$F262+1))</f>
        <v/>
      </c>
      <c r="I262" s="51">
        <f>IF($B262="","",IFERROR(INDEX(الموظفون_الافتتاحي,MATCH($B262,الموظفون_الرقم,0)),0)+IF($D262&lt;&gt;"سنوية",0,IFERROR(DATEDIF(بداية_احتساب_الرصيد,TODAY(),"M"),0)*معدل_الاستحقاق_الشهري)-SUMIFS($J$3:$J$502,$B$3:$B$502,$B262,$D$3:$D$502,"سنوية",$L$3:$L$502,"معتمد",$A$3:$A$502,"&lt;"&amp;$A262))</f>
        <v/>
      </c>
      <c r="J262" s="51">
        <f>IF($L262="معتمد",$H262,0)</f>
        <v/>
      </c>
      <c r="K262" s="51">
        <f>IF($B262="","",$I262-$J262)</f>
        <v/>
      </c>
      <c r="L262" s="47" t="n"/>
      <c r="M262" s="47" t="n"/>
      <c r="N262" s="112" t="n"/>
      <c r="O262" s="47" t="n"/>
    </row>
    <row r="263">
      <c r="A263" s="39" t="n"/>
      <c r="B263" s="40" t="n"/>
      <c r="C263" s="43">
        <f>IFERROR(INDEX(الموظفون_الاسم,MATCH($B263,الموظفون_الرقم,0)),"")</f>
        <v/>
      </c>
      <c r="D263" s="40" t="n"/>
      <c r="E263" s="110" t="n"/>
      <c r="F263" s="110" t="n"/>
      <c r="G263" s="110" t="n"/>
      <c r="H263" s="44">
        <f>IF(OR($F263="",$G263=""),"",MAX(0,$G263-$F263+1))</f>
        <v/>
      </c>
      <c r="I263" s="44">
        <f>IF($B263="","",IFERROR(INDEX(الموظفون_الافتتاحي,MATCH($B263,الموظفون_الرقم,0)),0)+IF($D263&lt;&gt;"سنوية",0,IFERROR(DATEDIF(بداية_احتساب_الرصيد,TODAY(),"M"),0)*معدل_الاستحقاق_الشهري)-SUMIFS($J$3:$J$502,$B$3:$B$502,$B263,$D$3:$D$502,"سنوية",$L$3:$L$502,"معتمد",$A$3:$A$502,"&lt;"&amp;$A263))</f>
        <v/>
      </c>
      <c r="J263" s="44">
        <f>IF($L263="معتمد",$H263,0)</f>
        <v/>
      </c>
      <c r="K263" s="44">
        <f>IF($B263="","",$I263-$J263)</f>
        <v/>
      </c>
      <c r="L263" s="40" t="n"/>
      <c r="M263" s="40" t="n"/>
      <c r="N263" s="110" t="n"/>
      <c r="O263" s="40" t="n"/>
    </row>
    <row r="264">
      <c r="A264" s="46" t="n"/>
      <c r="B264" s="47" t="n"/>
      <c r="C264" s="50">
        <f>IFERROR(INDEX(الموظفون_الاسم,MATCH($B264,الموظفون_الرقم,0)),"")</f>
        <v/>
      </c>
      <c r="D264" s="47" t="n"/>
      <c r="E264" s="112" t="n"/>
      <c r="F264" s="112" t="n"/>
      <c r="G264" s="112" t="n"/>
      <c r="H264" s="51">
        <f>IF(OR($F264="",$G264=""),"",MAX(0,$G264-$F264+1))</f>
        <v/>
      </c>
      <c r="I264" s="51">
        <f>IF($B264="","",IFERROR(INDEX(الموظفون_الافتتاحي,MATCH($B264,الموظفون_الرقم,0)),0)+IF($D264&lt;&gt;"سنوية",0,IFERROR(DATEDIF(بداية_احتساب_الرصيد,TODAY(),"M"),0)*معدل_الاستحقاق_الشهري)-SUMIFS($J$3:$J$502,$B$3:$B$502,$B264,$D$3:$D$502,"سنوية",$L$3:$L$502,"معتمد",$A$3:$A$502,"&lt;"&amp;$A264))</f>
        <v/>
      </c>
      <c r="J264" s="51">
        <f>IF($L264="معتمد",$H264,0)</f>
        <v/>
      </c>
      <c r="K264" s="51">
        <f>IF($B264="","",$I264-$J264)</f>
        <v/>
      </c>
      <c r="L264" s="47" t="n"/>
      <c r="M264" s="47" t="n"/>
      <c r="N264" s="112" t="n"/>
      <c r="O264" s="47" t="n"/>
    </row>
    <row r="265">
      <c r="A265" s="39" t="n"/>
      <c r="B265" s="40" t="n"/>
      <c r="C265" s="43">
        <f>IFERROR(INDEX(الموظفون_الاسم,MATCH($B265,الموظفون_الرقم,0)),"")</f>
        <v/>
      </c>
      <c r="D265" s="40" t="n"/>
      <c r="E265" s="110" t="n"/>
      <c r="F265" s="110" t="n"/>
      <c r="G265" s="110" t="n"/>
      <c r="H265" s="44">
        <f>IF(OR($F265="",$G265=""),"",MAX(0,$G265-$F265+1))</f>
        <v/>
      </c>
      <c r="I265" s="44">
        <f>IF($B265="","",IFERROR(INDEX(الموظفون_الافتتاحي,MATCH($B265,الموظفون_الرقم,0)),0)+IF($D265&lt;&gt;"سنوية",0,IFERROR(DATEDIF(بداية_احتساب_الرصيد,TODAY(),"M"),0)*معدل_الاستحقاق_الشهري)-SUMIFS($J$3:$J$502,$B$3:$B$502,$B265,$D$3:$D$502,"سنوية",$L$3:$L$502,"معتمد",$A$3:$A$502,"&lt;"&amp;$A265))</f>
        <v/>
      </c>
      <c r="J265" s="44">
        <f>IF($L265="معتمد",$H265,0)</f>
        <v/>
      </c>
      <c r="K265" s="44">
        <f>IF($B265="","",$I265-$J265)</f>
        <v/>
      </c>
      <c r="L265" s="40" t="n"/>
      <c r="M265" s="40" t="n"/>
      <c r="N265" s="110" t="n"/>
      <c r="O265" s="40" t="n"/>
    </row>
    <row r="266">
      <c r="A266" s="46" t="n"/>
      <c r="B266" s="47" t="n"/>
      <c r="C266" s="50">
        <f>IFERROR(INDEX(الموظفون_الاسم,MATCH($B266,الموظفون_الرقم,0)),"")</f>
        <v/>
      </c>
      <c r="D266" s="47" t="n"/>
      <c r="E266" s="112" t="n"/>
      <c r="F266" s="112" t="n"/>
      <c r="G266" s="112" t="n"/>
      <c r="H266" s="51">
        <f>IF(OR($F266="",$G266=""),"",MAX(0,$G266-$F266+1))</f>
        <v/>
      </c>
      <c r="I266" s="51">
        <f>IF($B266="","",IFERROR(INDEX(الموظفون_الافتتاحي,MATCH($B266,الموظفون_الرقم,0)),0)+IF($D266&lt;&gt;"سنوية",0,IFERROR(DATEDIF(بداية_احتساب_الرصيد,TODAY(),"M"),0)*معدل_الاستحقاق_الشهري)-SUMIFS($J$3:$J$502,$B$3:$B$502,$B266,$D$3:$D$502,"سنوية",$L$3:$L$502,"معتمد",$A$3:$A$502,"&lt;"&amp;$A266))</f>
        <v/>
      </c>
      <c r="J266" s="51">
        <f>IF($L266="معتمد",$H266,0)</f>
        <v/>
      </c>
      <c r="K266" s="51">
        <f>IF($B266="","",$I266-$J266)</f>
        <v/>
      </c>
      <c r="L266" s="47" t="n"/>
      <c r="M266" s="47" t="n"/>
      <c r="N266" s="112" t="n"/>
      <c r="O266" s="47" t="n"/>
    </row>
    <row r="267">
      <c r="A267" s="39" t="n"/>
      <c r="B267" s="40" t="n"/>
      <c r="C267" s="43">
        <f>IFERROR(INDEX(الموظفون_الاسم,MATCH($B267,الموظفون_الرقم,0)),"")</f>
        <v/>
      </c>
      <c r="D267" s="40" t="n"/>
      <c r="E267" s="110" t="n"/>
      <c r="F267" s="110" t="n"/>
      <c r="G267" s="110" t="n"/>
      <c r="H267" s="44">
        <f>IF(OR($F267="",$G267=""),"",MAX(0,$G267-$F267+1))</f>
        <v/>
      </c>
      <c r="I267" s="44">
        <f>IF($B267="","",IFERROR(INDEX(الموظفون_الافتتاحي,MATCH($B267,الموظفون_الرقم,0)),0)+IF($D267&lt;&gt;"سنوية",0,IFERROR(DATEDIF(بداية_احتساب_الرصيد,TODAY(),"M"),0)*معدل_الاستحقاق_الشهري)-SUMIFS($J$3:$J$502,$B$3:$B$502,$B267,$D$3:$D$502,"سنوية",$L$3:$L$502,"معتمد",$A$3:$A$502,"&lt;"&amp;$A267))</f>
        <v/>
      </c>
      <c r="J267" s="44">
        <f>IF($L267="معتمد",$H267,0)</f>
        <v/>
      </c>
      <c r="K267" s="44">
        <f>IF($B267="","",$I267-$J267)</f>
        <v/>
      </c>
      <c r="L267" s="40" t="n"/>
      <c r="M267" s="40" t="n"/>
      <c r="N267" s="110" t="n"/>
      <c r="O267" s="40" t="n"/>
    </row>
    <row r="268">
      <c r="A268" s="46" t="n"/>
      <c r="B268" s="47" t="n"/>
      <c r="C268" s="50">
        <f>IFERROR(INDEX(الموظفون_الاسم,MATCH($B268,الموظفون_الرقم,0)),"")</f>
        <v/>
      </c>
      <c r="D268" s="47" t="n"/>
      <c r="E268" s="112" t="n"/>
      <c r="F268" s="112" t="n"/>
      <c r="G268" s="112" t="n"/>
      <c r="H268" s="51">
        <f>IF(OR($F268="",$G268=""),"",MAX(0,$G268-$F268+1))</f>
        <v/>
      </c>
      <c r="I268" s="51">
        <f>IF($B268="","",IFERROR(INDEX(الموظفون_الافتتاحي,MATCH($B268,الموظفون_الرقم,0)),0)+IF($D268&lt;&gt;"سنوية",0,IFERROR(DATEDIF(بداية_احتساب_الرصيد,TODAY(),"M"),0)*معدل_الاستحقاق_الشهري)-SUMIFS($J$3:$J$502,$B$3:$B$502,$B268,$D$3:$D$502,"سنوية",$L$3:$L$502,"معتمد",$A$3:$A$502,"&lt;"&amp;$A268))</f>
        <v/>
      </c>
      <c r="J268" s="51">
        <f>IF($L268="معتمد",$H268,0)</f>
        <v/>
      </c>
      <c r="K268" s="51">
        <f>IF($B268="","",$I268-$J268)</f>
        <v/>
      </c>
      <c r="L268" s="47" t="n"/>
      <c r="M268" s="47" t="n"/>
      <c r="N268" s="112" t="n"/>
      <c r="O268" s="47" t="n"/>
    </row>
    <row r="269">
      <c r="A269" s="39" t="n"/>
      <c r="B269" s="40" t="n"/>
      <c r="C269" s="43">
        <f>IFERROR(INDEX(الموظفون_الاسم,MATCH($B269,الموظفون_الرقم,0)),"")</f>
        <v/>
      </c>
      <c r="D269" s="40" t="n"/>
      <c r="E269" s="110" t="n"/>
      <c r="F269" s="110" t="n"/>
      <c r="G269" s="110" t="n"/>
      <c r="H269" s="44">
        <f>IF(OR($F269="",$G269=""),"",MAX(0,$G269-$F269+1))</f>
        <v/>
      </c>
      <c r="I269" s="44">
        <f>IF($B269="","",IFERROR(INDEX(الموظفون_الافتتاحي,MATCH($B269,الموظفون_الرقم,0)),0)+IF($D269&lt;&gt;"سنوية",0,IFERROR(DATEDIF(بداية_احتساب_الرصيد,TODAY(),"M"),0)*معدل_الاستحقاق_الشهري)-SUMIFS($J$3:$J$502,$B$3:$B$502,$B269,$D$3:$D$502,"سنوية",$L$3:$L$502,"معتمد",$A$3:$A$502,"&lt;"&amp;$A269))</f>
        <v/>
      </c>
      <c r="J269" s="44">
        <f>IF($L269="معتمد",$H269,0)</f>
        <v/>
      </c>
      <c r="K269" s="44">
        <f>IF($B269="","",$I269-$J269)</f>
        <v/>
      </c>
      <c r="L269" s="40" t="n"/>
      <c r="M269" s="40" t="n"/>
      <c r="N269" s="110" t="n"/>
      <c r="O269" s="40" t="n"/>
    </row>
    <row r="270">
      <c r="A270" s="46" t="n"/>
      <c r="B270" s="47" t="n"/>
      <c r="C270" s="50">
        <f>IFERROR(INDEX(الموظفون_الاسم,MATCH($B270,الموظفون_الرقم,0)),"")</f>
        <v/>
      </c>
      <c r="D270" s="47" t="n"/>
      <c r="E270" s="112" t="n"/>
      <c r="F270" s="112" t="n"/>
      <c r="G270" s="112" t="n"/>
      <c r="H270" s="51">
        <f>IF(OR($F270="",$G270=""),"",MAX(0,$G270-$F270+1))</f>
        <v/>
      </c>
      <c r="I270" s="51">
        <f>IF($B270="","",IFERROR(INDEX(الموظفون_الافتتاحي,MATCH($B270,الموظفون_الرقم,0)),0)+IF($D270&lt;&gt;"سنوية",0,IFERROR(DATEDIF(بداية_احتساب_الرصيد,TODAY(),"M"),0)*معدل_الاستحقاق_الشهري)-SUMIFS($J$3:$J$502,$B$3:$B$502,$B270,$D$3:$D$502,"سنوية",$L$3:$L$502,"معتمد",$A$3:$A$502,"&lt;"&amp;$A270))</f>
        <v/>
      </c>
      <c r="J270" s="51">
        <f>IF($L270="معتمد",$H270,0)</f>
        <v/>
      </c>
      <c r="K270" s="51">
        <f>IF($B270="","",$I270-$J270)</f>
        <v/>
      </c>
      <c r="L270" s="47" t="n"/>
      <c r="M270" s="47" t="n"/>
      <c r="N270" s="112" t="n"/>
      <c r="O270" s="47" t="n"/>
    </row>
    <row r="271">
      <c r="A271" s="39" t="n"/>
      <c r="B271" s="40" t="n"/>
      <c r="C271" s="43">
        <f>IFERROR(INDEX(الموظفون_الاسم,MATCH($B271,الموظفون_الرقم,0)),"")</f>
        <v/>
      </c>
      <c r="D271" s="40" t="n"/>
      <c r="E271" s="110" t="n"/>
      <c r="F271" s="110" t="n"/>
      <c r="G271" s="110" t="n"/>
      <c r="H271" s="44">
        <f>IF(OR($F271="",$G271=""),"",MAX(0,$G271-$F271+1))</f>
        <v/>
      </c>
      <c r="I271" s="44">
        <f>IF($B271="","",IFERROR(INDEX(الموظفون_الافتتاحي,MATCH($B271,الموظفون_الرقم,0)),0)+IF($D271&lt;&gt;"سنوية",0,IFERROR(DATEDIF(بداية_احتساب_الرصيد,TODAY(),"M"),0)*معدل_الاستحقاق_الشهري)-SUMIFS($J$3:$J$502,$B$3:$B$502,$B271,$D$3:$D$502,"سنوية",$L$3:$L$502,"معتمد",$A$3:$A$502,"&lt;"&amp;$A271))</f>
        <v/>
      </c>
      <c r="J271" s="44">
        <f>IF($L271="معتمد",$H271,0)</f>
        <v/>
      </c>
      <c r="K271" s="44">
        <f>IF($B271="","",$I271-$J271)</f>
        <v/>
      </c>
      <c r="L271" s="40" t="n"/>
      <c r="M271" s="40" t="n"/>
      <c r="N271" s="110" t="n"/>
      <c r="O271" s="40" t="n"/>
    </row>
    <row r="272">
      <c r="A272" s="46" t="n"/>
      <c r="B272" s="47" t="n"/>
      <c r="C272" s="50">
        <f>IFERROR(INDEX(الموظفون_الاسم,MATCH($B272,الموظفون_الرقم,0)),"")</f>
        <v/>
      </c>
      <c r="D272" s="47" t="n"/>
      <c r="E272" s="112" t="n"/>
      <c r="F272" s="112" t="n"/>
      <c r="G272" s="112" t="n"/>
      <c r="H272" s="51">
        <f>IF(OR($F272="",$G272=""),"",MAX(0,$G272-$F272+1))</f>
        <v/>
      </c>
      <c r="I272" s="51">
        <f>IF($B272="","",IFERROR(INDEX(الموظفون_الافتتاحي,MATCH($B272,الموظفون_الرقم,0)),0)+IF($D272&lt;&gt;"سنوية",0,IFERROR(DATEDIF(بداية_احتساب_الرصيد,TODAY(),"M"),0)*معدل_الاستحقاق_الشهري)-SUMIFS($J$3:$J$502,$B$3:$B$502,$B272,$D$3:$D$502,"سنوية",$L$3:$L$502,"معتمد",$A$3:$A$502,"&lt;"&amp;$A272))</f>
        <v/>
      </c>
      <c r="J272" s="51">
        <f>IF($L272="معتمد",$H272,0)</f>
        <v/>
      </c>
      <c r="K272" s="51">
        <f>IF($B272="","",$I272-$J272)</f>
        <v/>
      </c>
      <c r="L272" s="47" t="n"/>
      <c r="M272" s="47" t="n"/>
      <c r="N272" s="112" t="n"/>
      <c r="O272" s="47" t="n"/>
    </row>
    <row r="273">
      <c r="A273" s="39" t="n"/>
      <c r="B273" s="40" t="n"/>
      <c r="C273" s="43">
        <f>IFERROR(INDEX(الموظفون_الاسم,MATCH($B273,الموظفون_الرقم,0)),"")</f>
        <v/>
      </c>
      <c r="D273" s="40" t="n"/>
      <c r="E273" s="110" t="n"/>
      <c r="F273" s="110" t="n"/>
      <c r="G273" s="110" t="n"/>
      <c r="H273" s="44">
        <f>IF(OR($F273="",$G273=""),"",MAX(0,$G273-$F273+1))</f>
        <v/>
      </c>
      <c r="I273" s="44">
        <f>IF($B273="","",IFERROR(INDEX(الموظفون_الافتتاحي,MATCH($B273,الموظفون_الرقم,0)),0)+IF($D273&lt;&gt;"سنوية",0,IFERROR(DATEDIF(بداية_احتساب_الرصيد,TODAY(),"M"),0)*معدل_الاستحقاق_الشهري)-SUMIFS($J$3:$J$502,$B$3:$B$502,$B273,$D$3:$D$502,"سنوية",$L$3:$L$502,"معتمد",$A$3:$A$502,"&lt;"&amp;$A273))</f>
        <v/>
      </c>
      <c r="J273" s="44">
        <f>IF($L273="معتمد",$H273,0)</f>
        <v/>
      </c>
      <c r="K273" s="44">
        <f>IF($B273="","",$I273-$J273)</f>
        <v/>
      </c>
      <c r="L273" s="40" t="n"/>
      <c r="M273" s="40" t="n"/>
      <c r="N273" s="110" t="n"/>
      <c r="O273" s="40" t="n"/>
    </row>
    <row r="274">
      <c r="A274" s="46" t="n"/>
      <c r="B274" s="47" t="n"/>
      <c r="C274" s="50">
        <f>IFERROR(INDEX(الموظفون_الاسم,MATCH($B274,الموظفون_الرقم,0)),"")</f>
        <v/>
      </c>
      <c r="D274" s="47" t="n"/>
      <c r="E274" s="112" t="n"/>
      <c r="F274" s="112" t="n"/>
      <c r="G274" s="112" t="n"/>
      <c r="H274" s="51">
        <f>IF(OR($F274="",$G274=""),"",MAX(0,$G274-$F274+1))</f>
        <v/>
      </c>
      <c r="I274" s="51">
        <f>IF($B274="","",IFERROR(INDEX(الموظفون_الافتتاحي,MATCH($B274,الموظفون_الرقم,0)),0)+IF($D274&lt;&gt;"سنوية",0,IFERROR(DATEDIF(بداية_احتساب_الرصيد,TODAY(),"M"),0)*معدل_الاستحقاق_الشهري)-SUMIFS($J$3:$J$502,$B$3:$B$502,$B274,$D$3:$D$502,"سنوية",$L$3:$L$502,"معتمد",$A$3:$A$502,"&lt;"&amp;$A274))</f>
        <v/>
      </c>
      <c r="J274" s="51">
        <f>IF($L274="معتمد",$H274,0)</f>
        <v/>
      </c>
      <c r="K274" s="51">
        <f>IF($B274="","",$I274-$J274)</f>
        <v/>
      </c>
      <c r="L274" s="47" t="n"/>
      <c r="M274" s="47" t="n"/>
      <c r="N274" s="112" t="n"/>
      <c r="O274" s="47" t="n"/>
    </row>
    <row r="275">
      <c r="A275" s="39" t="n"/>
      <c r="B275" s="40" t="n"/>
      <c r="C275" s="43">
        <f>IFERROR(INDEX(الموظفون_الاسم,MATCH($B275,الموظفون_الرقم,0)),"")</f>
        <v/>
      </c>
      <c r="D275" s="40" t="n"/>
      <c r="E275" s="110" t="n"/>
      <c r="F275" s="110" t="n"/>
      <c r="G275" s="110" t="n"/>
      <c r="H275" s="44">
        <f>IF(OR($F275="",$G275=""),"",MAX(0,$G275-$F275+1))</f>
        <v/>
      </c>
      <c r="I275" s="44">
        <f>IF($B275="","",IFERROR(INDEX(الموظفون_الافتتاحي,MATCH($B275,الموظفون_الرقم,0)),0)+IF($D275&lt;&gt;"سنوية",0,IFERROR(DATEDIF(بداية_احتساب_الرصيد,TODAY(),"M"),0)*معدل_الاستحقاق_الشهري)-SUMIFS($J$3:$J$502,$B$3:$B$502,$B275,$D$3:$D$502,"سنوية",$L$3:$L$502,"معتمد",$A$3:$A$502,"&lt;"&amp;$A275))</f>
        <v/>
      </c>
      <c r="J275" s="44">
        <f>IF($L275="معتمد",$H275,0)</f>
        <v/>
      </c>
      <c r="K275" s="44">
        <f>IF($B275="","",$I275-$J275)</f>
        <v/>
      </c>
      <c r="L275" s="40" t="n"/>
      <c r="M275" s="40" t="n"/>
      <c r="N275" s="110" t="n"/>
      <c r="O275" s="40" t="n"/>
    </row>
    <row r="276">
      <c r="A276" s="46" t="n"/>
      <c r="B276" s="47" t="n"/>
      <c r="C276" s="50">
        <f>IFERROR(INDEX(الموظفون_الاسم,MATCH($B276,الموظفون_الرقم,0)),"")</f>
        <v/>
      </c>
      <c r="D276" s="47" t="n"/>
      <c r="E276" s="112" t="n"/>
      <c r="F276" s="112" t="n"/>
      <c r="G276" s="112" t="n"/>
      <c r="H276" s="51">
        <f>IF(OR($F276="",$G276=""),"",MAX(0,$G276-$F276+1))</f>
        <v/>
      </c>
      <c r="I276" s="51">
        <f>IF($B276="","",IFERROR(INDEX(الموظفون_الافتتاحي,MATCH($B276,الموظفون_الرقم,0)),0)+IF($D276&lt;&gt;"سنوية",0,IFERROR(DATEDIF(بداية_احتساب_الرصيد,TODAY(),"M"),0)*معدل_الاستحقاق_الشهري)-SUMIFS($J$3:$J$502,$B$3:$B$502,$B276,$D$3:$D$502,"سنوية",$L$3:$L$502,"معتمد",$A$3:$A$502,"&lt;"&amp;$A276))</f>
        <v/>
      </c>
      <c r="J276" s="51">
        <f>IF($L276="معتمد",$H276,0)</f>
        <v/>
      </c>
      <c r="K276" s="51">
        <f>IF($B276="","",$I276-$J276)</f>
        <v/>
      </c>
      <c r="L276" s="47" t="n"/>
      <c r="M276" s="47" t="n"/>
      <c r="N276" s="112" t="n"/>
      <c r="O276" s="47" t="n"/>
    </row>
    <row r="277">
      <c r="A277" s="39" t="n"/>
      <c r="B277" s="40" t="n"/>
      <c r="C277" s="43">
        <f>IFERROR(INDEX(الموظفون_الاسم,MATCH($B277,الموظفون_الرقم,0)),"")</f>
        <v/>
      </c>
      <c r="D277" s="40" t="n"/>
      <c r="E277" s="110" t="n"/>
      <c r="F277" s="110" t="n"/>
      <c r="G277" s="110" t="n"/>
      <c r="H277" s="44">
        <f>IF(OR($F277="",$G277=""),"",MAX(0,$G277-$F277+1))</f>
        <v/>
      </c>
      <c r="I277" s="44">
        <f>IF($B277="","",IFERROR(INDEX(الموظفون_الافتتاحي,MATCH($B277,الموظفون_الرقم,0)),0)+IF($D277&lt;&gt;"سنوية",0,IFERROR(DATEDIF(بداية_احتساب_الرصيد,TODAY(),"M"),0)*معدل_الاستحقاق_الشهري)-SUMIFS($J$3:$J$502,$B$3:$B$502,$B277,$D$3:$D$502,"سنوية",$L$3:$L$502,"معتمد",$A$3:$A$502,"&lt;"&amp;$A277))</f>
        <v/>
      </c>
      <c r="J277" s="44">
        <f>IF($L277="معتمد",$H277,0)</f>
        <v/>
      </c>
      <c r="K277" s="44">
        <f>IF($B277="","",$I277-$J277)</f>
        <v/>
      </c>
      <c r="L277" s="40" t="n"/>
      <c r="M277" s="40" t="n"/>
      <c r="N277" s="110" t="n"/>
      <c r="O277" s="40" t="n"/>
    </row>
    <row r="278">
      <c r="A278" s="46" t="n"/>
      <c r="B278" s="47" t="n"/>
      <c r="C278" s="50">
        <f>IFERROR(INDEX(الموظفون_الاسم,MATCH($B278,الموظفون_الرقم,0)),"")</f>
        <v/>
      </c>
      <c r="D278" s="47" t="n"/>
      <c r="E278" s="112" t="n"/>
      <c r="F278" s="112" t="n"/>
      <c r="G278" s="112" t="n"/>
      <c r="H278" s="51">
        <f>IF(OR($F278="",$G278=""),"",MAX(0,$G278-$F278+1))</f>
        <v/>
      </c>
      <c r="I278" s="51">
        <f>IF($B278="","",IFERROR(INDEX(الموظفون_الافتتاحي,MATCH($B278,الموظفون_الرقم,0)),0)+IF($D278&lt;&gt;"سنوية",0,IFERROR(DATEDIF(بداية_احتساب_الرصيد,TODAY(),"M"),0)*معدل_الاستحقاق_الشهري)-SUMIFS($J$3:$J$502,$B$3:$B$502,$B278,$D$3:$D$502,"سنوية",$L$3:$L$502,"معتمد",$A$3:$A$502,"&lt;"&amp;$A278))</f>
        <v/>
      </c>
      <c r="J278" s="51">
        <f>IF($L278="معتمد",$H278,0)</f>
        <v/>
      </c>
      <c r="K278" s="51">
        <f>IF($B278="","",$I278-$J278)</f>
        <v/>
      </c>
      <c r="L278" s="47" t="n"/>
      <c r="M278" s="47" t="n"/>
      <c r="N278" s="112" t="n"/>
      <c r="O278" s="47" t="n"/>
    </row>
    <row r="279">
      <c r="A279" s="39" t="n"/>
      <c r="B279" s="40" t="n"/>
      <c r="C279" s="43">
        <f>IFERROR(INDEX(الموظفون_الاسم,MATCH($B279,الموظفون_الرقم,0)),"")</f>
        <v/>
      </c>
      <c r="D279" s="40" t="n"/>
      <c r="E279" s="110" t="n"/>
      <c r="F279" s="110" t="n"/>
      <c r="G279" s="110" t="n"/>
      <c r="H279" s="44">
        <f>IF(OR($F279="",$G279=""),"",MAX(0,$G279-$F279+1))</f>
        <v/>
      </c>
      <c r="I279" s="44">
        <f>IF($B279="","",IFERROR(INDEX(الموظفون_الافتتاحي,MATCH($B279,الموظفون_الرقم,0)),0)+IF($D279&lt;&gt;"سنوية",0,IFERROR(DATEDIF(بداية_احتساب_الرصيد,TODAY(),"M"),0)*معدل_الاستحقاق_الشهري)-SUMIFS($J$3:$J$502,$B$3:$B$502,$B279,$D$3:$D$502,"سنوية",$L$3:$L$502,"معتمد",$A$3:$A$502,"&lt;"&amp;$A279))</f>
        <v/>
      </c>
      <c r="J279" s="44">
        <f>IF($L279="معتمد",$H279,0)</f>
        <v/>
      </c>
      <c r="K279" s="44">
        <f>IF($B279="","",$I279-$J279)</f>
        <v/>
      </c>
      <c r="L279" s="40" t="n"/>
      <c r="M279" s="40" t="n"/>
      <c r="N279" s="110" t="n"/>
      <c r="O279" s="40" t="n"/>
    </row>
    <row r="280">
      <c r="A280" s="46" t="n"/>
      <c r="B280" s="47" t="n"/>
      <c r="C280" s="50">
        <f>IFERROR(INDEX(الموظفون_الاسم,MATCH($B280,الموظفون_الرقم,0)),"")</f>
        <v/>
      </c>
      <c r="D280" s="47" t="n"/>
      <c r="E280" s="112" t="n"/>
      <c r="F280" s="112" t="n"/>
      <c r="G280" s="112" t="n"/>
      <c r="H280" s="51">
        <f>IF(OR($F280="",$G280=""),"",MAX(0,$G280-$F280+1))</f>
        <v/>
      </c>
      <c r="I280" s="51">
        <f>IF($B280="","",IFERROR(INDEX(الموظفون_الافتتاحي,MATCH($B280,الموظفون_الرقم,0)),0)+IF($D280&lt;&gt;"سنوية",0,IFERROR(DATEDIF(بداية_احتساب_الرصيد,TODAY(),"M"),0)*معدل_الاستحقاق_الشهري)-SUMIFS($J$3:$J$502,$B$3:$B$502,$B280,$D$3:$D$502,"سنوية",$L$3:$L$502,"معتمد",$A$3:$A$502,"&lt;"&amp;$A280))</f>
        <v/>
      </c>
      <c r="J280" s="51">
        <f>IF($L280="معتمد",$H280,0)</f>
        <v/>
      </c>
      <c r="K280" s="51">
        <f>IF($B280="","",$I280-$J280)</f>
        <v/>
      </c>
      <c r="L280" s="47" t="n"/>
      <c r="M280" s="47" t="n"/>
      <c r="N280" s="112" t="n"/>
      <c r="O280" s="47" t="n"/>
    </row>
    <row r="281">
      <c r="A281" s="39" t="n"/>
      <c r="B281" s="40" t="n"/>
      <c r="C281" s="43">
        <f>IFERROR(INDEX(الموظفون_الاسم,MATCH($B281,الموظفون_الرقم,0)),"")</f>
        <v/>
      </c>
      <c r="D281" s="40" t="n"/>
      <c r="E281" s="110" t="n"/>
      <c r="F281" s="110" t="n"/>
      <c r="G281" s="110" t="n"/>
      <c r="H281" s="44">
        <f>IF(OR($F281="",$G281=""),"",MAX(0,$G281-$F281+1))</f>
        <v/>
      </c>
      <c r="I281" s="44">
        <f>IF($B281="","",IFERROR(INDEX(الموظفون_الافتتاحي,MATCH($B281,الموظفون_الرقم,0)),0)+IF($D281&lt;&gt;"سنوية",0,IFERROR(DATEDIF(بداية_احتساب_الرصيد,TODAY(),"M"),0)*معدل_الاستحقاق_الشهري)-SUMIFS($J$3:$J$502,$B$3:$B$502,$B281,$D$3:$D$502,"سنوية",$L$3:$L$502,"معتمد",$A$3:$A$502,"&lt;"&amp;$A281))</f>
        <v/>
      </c>
      <c r="J281" s="44">
        <f>IF($L281="معتمد",$H281,0)</f>
        <v/>
      </c>
      <c r="K281" s="44">
        <f>IF($B281="","",$I281-$J281)</f>
        <v/>
      </c>
      <c r="L281" s="40" t="n"/>
      <c r="M281" s="40" t="n"/>
      <c r="N281" s="110" t="n"/>
      <c r="O281" s="40" t="n"/>
    </row>
    <row r="282">
      <c r="A282" s="46" t="n"/>
      <c r="B282" s="47" t="n"/>
      <c r="C282" s="50">
        <f>IFERROR(INDEX(الموظفون_الاسم,MATCH($B282,الموظفون_الرقم,0)),"")</f>
        <v/>
      </c>
      <c r="D282" s="47" t="n"/>
      <c r="E282" s="112" t="n"/>
      <c r="F282" s="112" t="n"/>
      <c r="G282" s="112" t="n"/>
      <c r="H282" s="51">
        <f>IF(OR($F282="",$G282=""),"",MAX(0,$G282-$F282+1))</f>
        <v/>
      </c>
      <c r="I282" s="51">
        <f>IF($B282="","",IFERROR(INDEX(الموظفون_الافتتاحي,MATCH($B282,الموظفون_الرقم,0)),0)+IF($D282&lt;&gt;"سنوية",0,IFERROR(DATEDIF(بداية_احتساب_الرصيد,TODAY(),"M"),0)*معدل_الاستحقاق_الشهري)-SUMIFS($J$3:$J$502,$B$3:$B$502,$B282,$D$3:$D$502,"سنوية",$L$3:$L$502,"معتمد",$A$3:$A$502,"&lt;"&amp;$A282))</f>
        <v/>
      </c>
      <c r="J282" s="51">
        <f>IF($L282="معتمد",$H282,0)</f>
        <v/>
      </c>
      <c r="K282" s="51">
        <f>IF($B282="","",$I282-$J282)</f>
        <v/>
      </c>
      <c r="L282" s="47" t="n"/>
      <c r="M282" s="47" t="n"/>
      <c r="N282" s="112" t="n"/>
      <c r="O282" s="47" t="n"/>
    </row>
    <row r="283">
      <c r="A283" s="39" t="n"/>
      <c r="B283" s="40" t="n"/>
      <c r="C283" s="43">
        <f>IFERROR(INDEX(الموظفون_الاسم,MATCH($B283,الموظفون_الرقم,0)),"")</f>
        <v/>
      </c>
      <c r="D283" s="40" t="n"/>
      <c r="E283" s="110" t="n"/>
      <c r="F283" s="110" t="n"/>
      <c r="G283" s="110" t="n"/>
      <c r="H283" s="44">
        <f>IF(OR($F283="",$G283=""),"",MAX(0,$G283-$F283+1))</f>
        <v/>
      </c>
      <c r="I283" s="44">
        <f>IF($B283="","",IFERROR(INDEX(الموظفون_الافتتاحي,MATCH($B283,الموظفون_الرقم,0)),0)+IF($D283&lt;&gt;"سنوية",0,IFERROR(DATEDIF(بداية_احتساب_الرصيد,TODAY(),"M"),0)*معدل_الاستحقاق_الشهري)-SUMIFS($J$3:$J$502,$B$3:$B$502,$B283,$D$3:$D$502,"سنوية",$L$3:$L$502,"معتمد",$A$3:$A$502,"&lt;"&amp;$A283))</f>
        <v/>
      </c>
      <c r="J283" s="44">
        <f>IF($L283="معتمد",$H283,0)</f>
        <v/>
      </c>
      <c r="K283" s="44">
        <f>IF($B283="","",$I283-$J283)</f>
        <v/>
      </c>
      <c r="L283" s="40" t="n"/>
      <c r="M283" s="40" t="n"/>
      <c r="N283" s="110" t="n"/>
      <c r="O283" s="40" t="n"/>
    </row>
    <row r="284">
      <c r="A284" s="46" t="n"/>
      <c r="B284" s="47" t="n"/>
      <c r="C284" s="50">
        <f>IFERROR(INDEX(الموظفون_الاسم,MATCH($B284,الموظفون_الرقم,0)),"")</f>
        <v/>
      </c>
      <c r="D284" s="47" t="n"/>
      <c r="E284" s="112" t="n"/>
      <c r="F284" s="112" t="n"/>
      <c r="G284" s="112" t="n"/>
      <c r="H284" s="51">
        <f>IF(OR($F284="",$G284=""),"",MAX(0,$G284-$F284+1))</f>
        <v/>
      </c>
      <c r="I284" s="51">
        <f>IF($B284="","",IFERROR(INDEX(الموظفون_الافتتاحي,MATCH($B284,الموظفون_الرقم,0)),0)+IF($D284&lt;&gt;"سنوية",0,IFERROR(DATEDIF(بداية_احتساب_الرصيد,TODAY(),"M"),0)*معدل_الاستحقاق_الشهري)-SUMIFS($J$3:$J$502,$B$3:$B$502,$B284,$D$3:$D$502,"سنوية",$L$3:$L$502,"معتمد",$A$3:$A$502,"&lt;"&amp;$A284))</f>
        <v/>
      </c>
      <c r="J284" s="51">
        <f>IF($L284="معتمد",$H284,0)</f>
        <v/>
      </c>
      <c r="K284" s="51">
        <f>IF($B284="","",$I284-$J284)</f>
        <v/>
      </c>
      <c r="L284" s="47" t="n"/>
      <c r="M284" s="47" t="n"/>
      <c r="N284" s="112" t="n"/>
      <c r="O284" s="47" t="n"/>
    </row>
    <row r="285">
      <c r="A285" s="39" t="n"/>
      <c r="B285" s="40" t="n"/>
      <c r="C285" s="43">
        <f>IFERROR(INDEX(الموظفون_الاسم,MATCH($B285,الموظفون_الرقم,0)),"")</f>
        <v/>
      </c>
      <c r="D285" s="40" t="n"/>
      <c r="E285" s="110" t="n"/>
      <c r="F285" s="110" t="n"/>
      <c r="G285" s="110" t="n"/>
      <c r="H285" s="44">
        <f>IF(OR($F285="",$G285=""),"",MAX(0,$G285-$F285+1))</f>
        <v/>
      </c>
      <c r="I285" s="44">
        <f>IF($B285="","",IFERROR(INDEX(الموظفون_الافتتاحي,MATCH($B285,الموظفون_الرقم,0)),0)+IF($D285&lt;&gt;"سنوية",0,IFERROR(DATEDIF(بداية_احتساب_الرصيد,TODAY(),"M"),0)*معدل_الاستحقاق_الشهري)-SUMIFS($J$3:$J$502,$B$3:$B$502,$B285,$D$3:$D$502,"سنوية",$L$3:$L$502,"معتمد",$A$3:$A$502,"&lt;"&amp;$A285))</f>
        <v/>
      </c>
      <c r="J285" s="44">
        <f>IF($L285="معتمد",$H285,0)</f>
        <v/>
      </c>
      <c r="K285" s="44">
        <f>IF($B285="","",$I285-$J285)</f>
        <v/>
      </c>
      <c r="L285" s="40" t="n"/>
      <c r="M285" s="40" t="n"/>
      <c r="N285" s="110" t="n"/>
      <c r="O285" s="40" t="n"/>
    </row>
    <row r="286">
      <c r="A286" s="46" t="n"/>
      <c r="B286" s="47" t="n"/>
      <c r="C286" s="50">
        <f>IFERROR(INDEX(الموظفون_الاسم,MATCH($B286,الموظفون_الرقم,0)),"")</f>
        <v/>
      </c>
      <c r="D286" s="47" t="n"/>
      <c r="E286" s="112" t="n"/>
      <c r="F286" s="112" t="n"/>
      <c r="G286" s="112" t="n"/>
      <c r="H286" s="51">
        <f>IF(OR($F286="",$G286=""),"",MAX(0,$G286-$F286+1))</f>
        <v/>
      </c>
      <c r="I286" s="51">
        <f>IF($B286="","",IFERROR(INDEX(الموظفون_الافتتاحي,MATCH($B286,الموظفون_الرقم,0)),0)+IF($D286&lt;&gt;"سنوية",0,IFERROR(DATEDIF(بداية_احتساب_الرصيد,TODAY(),"M"),0)*معدل_الاستحقاق_الشهري)-SUMIFS($J$3:$J$502,$B$3:$B$502,$B286,$D$3:$D$502,"سنوية",$L$3:$L$502,"معتمد",$A$3:$A$502,"&lt;"&amp;$A286))</f>
        <v/>
      </c>
      <c r="J286" s="51">
        <f>IF($L286="معتمد",$H286,0)</f>
        <v/>
      </c>
      <c r="K286" s="51">
        <f>IF($B286="","",$I286-$J286)</f>
        <v/>
      </c>
      <c r="L286" s="47" t="n"/>
      <c r="M286" s="47" t="n"/>
      <c r="N286" s="112" t="n"/>
      <c r="O286" s="47" t="n"/>
    </row>
    <row r="287">
      <c r="A287" s="39" t="n"/>
      <c r="B287" s="40" t="n"/>
      <c r="C287" s="43">
        <f>IFERROR(INDEX(الموظفون_الاسم,MATCH($B287,الموظفون_الرقم,0)),"")</f>
        <v/>
      </c>
      <c r="D287" s="40" t="n"/>
      <c r="E287" s="110" t="n"/>
      <c r="F287" s="110" t="n"/>
      <c r="G287" s="110" t="n"/>
      <c r="H287" s="44">
        <f>IF(OR($F287="",$G287=""),"",MAX(0,$G287-$F287+1))</f>
        <v/>
      </c>
      <c r="I287" s="44">
        <f>IF($B287="","",IFERROR(INDEX(الموظفون_الافتتاحي,MATCH($B287,الموظفون_الرقم,0)),0)+IF($D287&lt;&gt;"سنوية",0,IFERROR(DATEDIF(بداية_احتساب_الرصيد,TODAY(),"M"),0)*معدل_الاستحقاق_الشهري)-SUMIFS($J$3:$J$502,$B$3:$B$502,$B287,$D$3:$D$502,"سنوية",$L$3:$L$502,"معتمد",$A$3:$A$502,"&lt;"&amp;$A287))</f>
        <v/>
      </c>
      <c r="J287" s="44">
        <f>IF($L287="معتمد",$H287,0)</f>
        <v/>
      </c>
      <c r="K287" s="44">
        <f>IF($B287="","",$I287-$J287)</f>
        <v/>
      </c>
      <c r="L287" s="40" t="n"/>
      <c r="M287" s="40" t="n"/>
      <c r="N287" s="110" t="n"/>
      <c r="O287" s="40" t="n"/>
    </row>
    <row r="288">
      <c r="A288" s="46" t="n"/>
      <c r="B288" s="47" t="n"/>
      <c r="C288" s="50">
        <f>IFERROR(INDEX(الموظفون_الاسم,MATCH($B288,الموظفون_الرقم,0)),"")</f>
        <v/>
      </c>
      <c r="D288" s="47" t="n"/>
      <c r="E288" s="112" t="n"/>
      <c r="F288" s="112" t="n"/>
      <c r="G288" s="112" t="n"/>
      <c r="H288" s="51">
        <f>IF(OR($F288="",$G288=""),"",MAX(0,$G288-$F288+1))</f>
        <v/>
      </c>
      <c r="I288" s="51">
        <f>IF($B288="","",IFERROR(INDEX(الموظفون_الافتتاحي,MATCH($B288,الموظفون_الرقم,0)),0)+IF($D288&lt;&gt;"سنوية",0,IFERROR(DATEDIF(بداية_احتساب_الرصيد,TODAY(),"M"),0)*معدل_الاستحقاق_الشهري)-SUMIFS($J$3:$J$502,$B$3:$B$502,$B288,$D$3:$D$502,"سنوية",$L$3:$L$502,"معتمد",$A$3:$A$502,"&lt;"&amp;$A288))</f>
        <v/>
      </c>
      <c r="J288" s="51">
        <f>IF($L288="معتمد",$H288,0)</f>
        <v/>
      </c>
      <c r="K288" s="51">
        <f>IF($B288="","",$I288-$J288)</f>
        <v/>
      </c>
      <c r="L288" s="47" t="n"/>
      <c r="M288" s="47" t="n"/>
      <c r="N288" s="112" t="n"/>
      <c r="O288" s="47" t="n"/>
    </row>
    <row r="289">
      <c r="A289" s="39" t="n"/>
      <c r="B289" s="40" t="n"/>
      <c r="C289" s="43">
        <f>IFERROR(INDEX(الموظفون_الاسم,MATCH($B289,الموظفون_الرقم,0)),"")</f>
        <v/>
      </c>
      <c r="D289" s="40" t="n"/>
      <c r="E289" s="110" t="n"/>
      <c r="F289" s="110" t="n"/>
      <c r="G289" s="110" t="n"/>
      <c r="H289" s="44">
        <f>IF(OR($F289="",$G289=""),"",MAX(0,$G289-$F289+1))</f>
        <v/>
      </c>
      <c r="I289" s="44">
        <f>IF($B289="","",IFERROR(INDEX(الموظفون_الافتتاحي,MATCH($B289,الموظفون_الرقم,0)),0)+IF($D289&lt;&gt;"سنوية",0,IFERROR(DATEDIF(بداية_احتساب_الرصيد,TODAY(),"M"),0)*معدل_الاستحقاق_الشهري)-SUMIFS($J$3:$J$502,$B$3:$B$502,$B289,$D$3:$D$502,"سنوية",$L$3:$L$502,"معتمد",$A$3:$A$502,"&lt;"&amp;$A289))</f>
        <v/>
      </c>
      <c r="J289" s="44">
        <f>IF($L289="معتمد",$H289,0)</f>
        <v/>
      </c>
      <c r="K289" s="44">
        <f>IF($B289="","",$I289-$J289)</f>
        <v/>
      </c>
      <c r="L289" s="40" t="n"/>
      <c r="M289" s="40" t="n"/>
      <c r="N289" s="110" t="n"/>
      <c r="O289" s="40" t="n"/>
    </row>
    <row r="290">
      <c r="A290" s="46" t="n"/>
      <c r="B290" s="47" t="n"/>
      <c r="C290" s="50">
        <f>IFERROR(INDEX(الموظفون_الاسم,MATCH($B290,الموظفون_الرقم,0)),"")</f>
        <v/>
      </c>
      <c r="D290" s="47" t="n"/>
      <c r="E290" s="112" t="n"/>
      <c r="F290" s="112" t="n"/>
      <c r="G290" s="112" t="n"/>
      <c r="H290" s="51">
        <f>IF(OR($F290="",$G290=""),"",MAX(0,$G290-$F290+1))</f>
        <v/>
      </c>
      <c r="I290" s="51">
        <f>IF($B290="","",IFERROR(INDEX(الموظفون_الافتتاحي,MATCH($B290,الموظفون_الرقم,0)),0)+IF($D290&lt;&gt;"سنوية",0,IFERROR(DATEDIF(بداية_احتساب_الرصيد,TODAY(),"M"),0)*معدل_الاستحقاق_الشهري)-SUMIFS($J$3:$J$502,$B$3:$B$502,$B290,$D$3:$D$502,"سنوية",$L$3:$L$502,"معتمد",$A$3:$A$502,"&lt;"&amp;$A290))</f>
        <v/>
      </c>
      <c r="J290" s="51">
        <f>IF($L290="معتمد",$H290,0)</f>
        <v/>
      </c>
      <c r="K290" s="51">
        <f>IF($B290="","",$I290-$J290)</f>
        <v/>
      </c>
      <c r="L290" s="47" t="n"/>
      <c r="M290" s="47" t="n"/>
      <c r="N290" s="112" t="n"/>
      <c r="O290" s="47" t="n"/>
    </row>
    <row r="291">
      <c r="A291" s="39" t="n"/>
      <c r="B291" s="40" t="n"/>
      <c r="C291" s="43">
        <f>IFERROR(INDEX(الموظفون_الاسم,MATCH($B291,الموظفون_الرقم,0)),"")</f>
        <v/>
      </c>
      <c r="D291" s="40" t="n"/>
      <c r="E291" s="110" t="n"/>
      <c r="F291" s="110" t="n"/>
      <c r="G291" s="110" t="n"/>
      <c r="H291" s="44">
        <f>IF(OR($F291="",$G291=""),"",MAX(0,$G291-$F291+1))</f>
        <v/>
      </c>
      <c r="I291" s="44">
        <f>IF($B291="","",IFERROR(INDEX(الموظفون_الافتتاحي,MATCH($B291,الموظفون_الرقم,0)),0)+IF($D291&lt;&gt;"سنوية",0,IFERROR(DATEDIF(بداية_احتساب_الرصيد,TODAY(),"M"),0)*معدل_الاستحقاق_الشهري)-SUMIFS($J$3:$J$502,$B$3:$B$502,$B291,$D$3:$D$502,"سنوية",$L$3:$L$502,"معتمد",$A$3:$A$502,"&lt;"&amp;$A291))</f>
        <v/>
      </c>
      <c r="J291" s="44">
        <f>IF($L291="معتمد",$H291,0)</f>
        <v/>
      </c>
      <c r="K291" s="44">
        <f>IF($B291="","",$I291-$J291)</f>
        <v/>
      </c>
      <c r="L291" s="40" t="n"/>
      <c r="M291" s="40" t="n"/>
      <c r="N291" s="110" t="n"/>
      <c r="O291" s="40" t="n"/>
    </row>
    <row r="292">
      <c r="A292" s="46" t="n"/>
      <c r="B292" s="47" t="n"/>
      <c r="C292" s="50">
        <f>IFERROR(INDEX(الموظفون_الاسم,MATCH($B292,الموظفون_الرقم,0)),"")</f>
        <v/>
      </c>
      <c r="D292" s="47" t="n"/>
      <c r="E292" s="112" t="n"/>
      <c r="F292" s="112" t="n"/>
      <c r="G292" s="112" t="n"/>
      <c r="H292" s="51">
        <f>IF(OR($F292="",$G292=""),"",MAX(0,$G292-$F292+1))</f>
        <v/>
      </c>
      <c r="I292" s="51">
        <f>IF($B292="","",IFERROR(INDEX(الموظفون_الافتتاحي,MATCH($B292,الموظفون_الرقم,0)),0)+IF($D292&lt;&gt;"سنوية",0,IFERROR(DATEDIF(بداية_احتساب_الرصيد,TODAY(),"M"),0)*معدل_الاستحقاق_الشهري)-SUMIFS($J$3:$J$502,$B$3:$B$502,$B292,$D$3:$D$502,"سنوية",$L$3:$L$502,"معتمد",$A$3:$A$502,"&lt;"&amp;$A292))</f>
        <v/>
      </c>
      <c r="J292" s="51">
        <f>IF($L292="معتمد",$H292,0)</f>
        <v/>
      </c>
      <c r="K292" s="51">
        <f>IF($B292="","",$I292-$J292)</f>
        <v/>
      </c>
      <c r="L292" s="47" t="n"/>
      <c r="M292" s="47" t="n"/>
      <c r="N292" s="112" t="n"/>
      <c r="O292" s="47" t="n"/>
    </row>
    <row r="293">
      <c r="A293" s="39" t="n"/>
      <c r="B293" s="40" t="n"/>
      <c r="C293" s="43">
        <f>IFERROR(INDEX(الموظفون_الاسم,MATCH($B293,الموظفون_الرقم,0)),"")</f>
        <v/>
      </c>
      <c r="D293" s="40" t="n"/>
      <c r="E293" s="110" t="n"/>
      <c r="F293" s="110" t="n"/>
      <c r="G293" s="110" t="n"/>
      <c r="H293" s="44">
        <f>IF(OR($F293="",$G293=""),"",MAX(0,$G293-$F293+1))</f>
        <v/>
      </c>
      <c r="I293" s="44">
        <f>IF($B293="","",IFERROR(INDEX(الموظفون_الافتتاحي,MATCH($B293,الموظفون_الرقم,0)),0)+IF($D293&lt;&gt;"سنوية",0,IFERROR(DATEDIF(بداية_احتساب_الرصيد,TODAY(),"M"),0)*معدل_الاستحقاق_الشهري)-SUMIFS($J$3:$J$502,$B$3:$B$502,$B293,$D$3:$D$502,"سنوية",$L$3:$L$502,"معتمد",$A$3:$A$502,"&lt;"&amp;$A293))</f>
        <v/>
      </c>
      <c r="J293" s="44">
        <f>IF($L293="معتمد",$H293,0)</f>
        <v/>
      </c>
      <c r="K293" s="44">
        <f>IF($B293="","",$I293-$J293)</f>
        <v/>
      </c>
      <c r="L293" s="40" t="n"/>
      <c r="M293" s="40" t="n"/>
      <c r="N293" s="110" t="n"/>
      <c r="O293" s="40" t="n"/>
    </row>
    <row r="294">
      <c r="A294" s="46" t="n"/>
      <c r="B294" s="47" t="n"/>
      <c r="C294" s="50">
        <f>IFERROR(INDEX(الموظفون_الاسم,MATCH($B294,الموظفون_الرقم,0)),"")</f>
        <v/>
      </c>
      <c r="D294" s="47" t="n"/>
      <c r="E294" s="112" t="n"/>
      <c r="F294" s="112" t="n"/>
      <c r="G294" s="112" t="n"/>
      <c r="H294" s="51">
        <f>IF(OR($F294="",$G294=""),"",MAX(0,$G294-$F294+1))</f>
        <v/>
      </c>
      <c r="I294" s="51">
        <f>IF($B294="","",IFERROR(INDEX(الموظفون_الافتتاحي,MATCH($B294,الموظفون_الرقم,0)),0)+IF($D294&lt;&gt;"سنوية",0,IFERROR(DATEDIF(بداية_احتساب_الرصيد,TODAY(),"M"),0)*معدل_الاستحقاق_الشهري)-SUMIFS($J$3:$J$502,$B$3:$B$502,$B294,$D$3:$D$502,"سنوية",$L$3:$L$502,"معتمد",$A$3:$A$502,"&lt;"&amp;$A294))</f>
        <v/>
      </c>
      <c r="J294" s="51">
        <f>IF($L294="معتمد",$H294,0)</f>
        <v/>
      </c>
      <c r="K294" s="51">
        <f>IF($B294="","",$I294-$J294)</f>
        <v/>
      </c>
      <c r="L294" s="47" t="n"/>
      <c r="M294" s="47" t="n"/>
      <c r="N294" s="112" t="n"/>
      <c r="O294" s="47" t="n"/>
    </row>
    <row r="295">
      <c r="A295" s="39" t="n"/>
      <c r="B295" s="40" t="n"/>
      <c r="C295" s="43">
        <f>IFERROR(INDEX(الموظفون_الاسم,MATCH($B295,الموظفون_الرقم,0)),"")</f>
        <v/>
      </c>
      <c r="D295" s="40" t="n"/>
      <c r="E295" s="110" t="n"/>
      <c r="F295" s="110" t="n"/>
      <c r="G295" s="110" t="n"/>
      <c r="H295" s="44">
        <f>IF(OR($F295="",$G295=""),"",MAX(0,$G295-$F295+1))</f>
        <v/>
      </c>
      <c r="I295" s="44">
        <f>IF($B295="","",IFERROR(INDEX(الموظفون_الافتتاحي,MATCH($B295,الموظفون_الرقم,0)),0)+IF($D295&lt;&gt;"سنوية",0,IFERROR(DATEDIF(بداية_احتساب_الرصيد,TODAY(),"M"),0)*معدل_الاستحقاق_الشهري)-SUMIFS($J$3:$J$502,$B$3:$B$502,$B295,$D$3:$D$502,"سنوية",$L$3:$L$502,"معتمد",$A$3:$A$502,"&lt;"&amp;$A295))</f>
        <v/>
      </c>
      <c r="J295" s="44">
        <f>IF($L295="معتمد",$H295,0)</f>
        <v/>
      </c>
      <c r="K295" s="44">
        <f>IF($B295="","",$I295-$J295)</f>
        <v/>
      </c>
      <c r="L295" s="40" t="n"/>
      <c r="M295" s="40" t="n"/>
      <c r="N295" s="110" t="n"/>
      <c r="O295" s="40" t="n"/>
    </row>
    <row r="296">
      <c r="A296" s="46" t="n"/>
      <c r="B296" s="47" t="n"/>
      <c r="C296" s="50">
        <f>IFERROR(INDEX(الموظفون_الاسم,MATCH($B296,الموظفون_الرقم,0)),"")</f>
        <v/>
      </c>
      <c r="D296" s="47" t="n"/>
      <c r="E296" s="112" t="n"/>
      <c r="F296" s="112" t="n"/>
      <c r="G296" s="112" t="n"/>
      <c r="H296" s="51">
        <f>IF(OR($F296="",$G296=""),"",MAX(0,$G296-$F296+1))</f>
        <v/>
      </c>
      <c r="I296" s="51">
        <f>IF($B296="","",IFERROR(INDEX(الموظفون_الافتتاحي,MATCH($B296,الموظفون_الرقم,0)),0)+IF($D296&lt;&gt;"سنوية",0,IFERROR(DATEDIF(بداية_احتساب_الرصيد,TODAY(),"M"),0)*معدل_الاستحقاق_الشهري)-SUMIFS($J$3:$J$502,$B$3:$B$502,$B296,$D$3:$D$502,"سنوية",$L$3:$L$502,"معتمد",$A$3:$A$502,"&lt;"&amp;$A296))</f>
        <v/>
      </c>
      <c r="J296" s="51">
        <f>IF($L296="معتمد",$H296,0)</f>
        <v/>
      </c>
      <c r="K296" s="51">
        <f>IF($B296="","",$I296-$J296)</f>
        <v/>
      </c>
      <c r="L296" s="47" t="n"/>
      <c r="M296" s="47" t="n"/>
      <c r="N296" s="112" t="n"/>
      <c r="O296" s="47" t="n"/>
    </row>
    <row r="297">
      <c r="A297" s="39" t="n"/>
      <c r="B297" s="40" t="n"/>
      <c r="C297" s="43">
        <f>IFERROR(INDEX(الموظفون_الاسم,MATCH($B297,الموظفون_الرقم,0)),"")</f>
        <v/>
      </c>
      <c r="D297" s="40" t="n"/>
      <c r="E297" s="110" t="n"/>
      <c r="F297" s="110" t="n"/>
      <c r="G297" s="110" t="n"/>
      <c r="H297" s="44">
        <f>IF(OR($F297="",$G297=""),"",MAX(0,$G297-$F297+1))</f>
        <v/>
      </c>
      <c r="I297" s="44">
        <f>IF($B297="","",IFERROR(INDEX(الموظفون_الافتتاحي,MATCH($B297,الموظفون_الرقم,0)),0)+IF($D297&lt;&gt;"سنوية",0,IFERROR(DATEDIF(بداية_احتساب_الرصيد,TODAY(),"M"),0)*معدل_الاستحقاق_الشهري)-SUMIFS($J$3:$J$502,$B$3:$B$502,$B297,$D$3:$D$502,"سنوية",$L$3:$L$502,"معتمد",$A$3:$A$502,"&lt;"&amp;$A297))</f>
        <v/>
      </c>
      <c r="J297" s="44">
        <f>IF($L297="معتمد",$H297,0)</f>
        <v/>
      </c>
      <c r="K297" s="44">
        <f>IF($B297="","",$I297-$J297)</f>
        <v/>
      </c>
      <c r="L297" s="40" t="n"/>
      <c r="M297" s="40" t="n"/>
      <c r="N297" s="110" t="n"/>
      <c r="O297" s="40" t="n"/>
    </row>
    <row r="298">
      <c r="A298" s="46" t="n"/>
      <c r="B298" s="47" t="n"/>
      <c r="C298" s="50">
        <f>IFERROR(INDEX(الموظفون_الاسم,MATCH($B298,الموظفون_الرقم,0)),"")</f>
        <v/>
      </c>
      <c r="D298" s="47" t="n"/>
      <c r="E298" s="112" t="n"/>
      <c r="F298" s="112" t="n"/>
      <c r="G298" s="112" t="n"/>
      <c r="H298" s="51">
        <f>IF(OR($F298="",$G298=""),"",MAX(0,$G298-$F298+1))</f>
        <v/>
      </c>
      <c r="I298" s="51">
        <f>IF($B298="","",IFERROR(INDEX(الموظفون_الافتتاحي,MATCH($B298,الموظفون_الرقم,0)),0)+IF($D298&lt;&gt;"سنوية",0,IFERROR(DATEDIF(بداية_احتساب_الرصيد,TODAY(),"M"),0)*معدل_الاستحقاق_الشهري)-SUMIFS($J$3:$J$502,$B$3:$B$502,$B298,$D$3:$D$502,"سنوية",$L$3:$L$502,"معتمد",$A$3:$A$502,"&lt;"&amp;$A298))</f>
        <v/>
      </c>
      <c r="J298" s="51">
        <f>IF($L298="معتمد",$H298,0)</f>
        <v/>
      </c>
      <c r="K298" s="51">
        <f>IF($B298="","",$I298-$J298)</f>
        <v/>
      </c>
      <c r="L298" s="47" t="n"/>
      <c r="M298" s="47" t="n"/>
      <c r="N298" s="112" t="n"/>
      <c r="O298" s="47" t="n"/>
    </row>
    <row r="299">
      <c r="A299" s="39" t="n"/>
      <c r="B299" s="40" t="n"/>
      <c r="C299" s="43">
        <f>IFERROR(INDEX(الموظفون_الاسم,MATCH($B299,الموظفون_الرقم,0)),"")</f>
        <v/>
      </c>
      <c r="D299" s="40" t="n"/>
      <c r="E299" s="110" t="n"/>
      <c r="F299" s="110" t="n"/>
      <c r="G299" s="110" t="n"/>
      <c r="H299" s="44">
        <f>IF(OR($F299="",$G299=""),"",MAX(0,$G299-$F299+1))</f>
        <v/>
      </c>
      <c r="I299" s="44">
        <f>IF($B299="","",IFERROR(INDEX(الموظفون_الافتتاحي,MATCH($B299,الموظفون_الرقم,0)),0)+IF($D299&lt;&gt;"سنوية",0,IFERROR(DATEDIF(بداية_احتساب_الرصيد,TODAY(),"M"),0)*معدل_الاستحقاق_الشهري)-SUMIFS($J$3:$J$502,$B$3:$B$502,$B299,$D$3:$D$502,"سنوية",$L$3:$L$502,"معتمد",$A$3:$A$502,"&lt;"&amp;$A299))</f>
        <v/>
      </c>
      <c r="J299" s="44">
        <f>IF($L299="معتمد",$H299,0)</f>
        <v/>
      </c>
      <c r="K299" s="44">
        <f>IF($B299="","",$I299-$J299)</f>
        <v/>
      </c>
      <c r="L299" s="40" t="n"/>
      <c r="M299" s="40" t="n"/>
      <c r="N299" s="110" t="n"/>
      <c r="O299" s="40" t="n"/>
    </row>
    <row r="300">
      <c r="A300" s="46" t="n"/>
      <c r="B300" s="47" t="n"/>
      <c r="C300" s="50">
        <f>IFERROR(INDEX(الموظفون_الاسم,MATCH($B300,الموظفون_الرقم,0)),"")</f>
        <v/>
      </c>
      <c r="D300" s="47" t="n"/>
      <c r="E300" s="112" t="n"/>
      <c r="F300" s="112" t="n"/>
      <c r="G300" s="112" t="n"/>
      <c r="H300" s="51">
        <f>IF(OR($F300="",$G300=""),"",MAX(0,$G300-$F300+1))</f>
        <v/>
      </c>
      <c r="I300" s="51">
        <f>IF($B300="","",IFERROR(INDEX(الموظفون_الافتتاحي,MATCH($B300,الموظفون_الرقم,0)),0)+IF($D300&lt;&gt;"سنوية",0,IFERROR(DATEDIF(بداية_احتساب_الرصيد,TODAY(),"M"),0)*معدل_الاستحقاق_الشهري)-SUMIFS($J$3:$J$502,$B$3:$B$502,$B300,$D$3:$D$502,"سنوية",$L$3:$L$502,"معتمد",$A$3:$A$502,"&lt;"&amp;$A300))</f>
        <v/>
      </c>
      <c r="J300" s="51">
        <f>IF($L300="معتمد",$H300,0)</f>
        <v/>
      </c>
      <c r="K300" s="51">
        <f>IF($B300="","",$I300-$J300)</f>
        <v/>
      </c>
      <c r="L300" s="47" t="n"/>
      <c r="M300" s="47" t="n"/>
      <c r="N300" s="112" t="n"/>
      <c r="O300" s="47" t="n"/>
    </row>
    <row r="301">
      <c r="A301" s="39" t="n"/>
      <c r="B301" s="40" t="n"/>
      <c r="C301" s="43">
        <f>IFERROR(INDEX(الموظفون_الاسم,MATCH($B301,الموظفون_الرقم,0)),"")</f>
        <v/>
      </c>
      <c r="D301" s="40" t="n"/>
      <c r="E301" s="110" t="n"/>
      <c r="F301" s="110" t="n"/>
      <c r="G301" s="110" t="n"/>
      <c r="H301" s="44">
        <f>IF(OR($F301="",$G301=""),"",MAX(0,$G301-$F301+1))</f>
        <v/>
      </c>
      <c r="I301" s="44">
        <f>IF($B301="","",IFERROR(INDEX(الموظفون_الافتتاحي,MATCH($B301,الموظفون_الرقم,0)),0)+IF($D301&lt;&gt;"سنوية",0,IFERROR(DATEDIF(بداية_احتساب_الرصيد,TODAY(),"M"),0)*معدل_الاستحقاق_الشهري)-SUMIFS($J$3:$J$502,$B$3:$B$502,$B301,$D$3:$D$502,"سنوية",$L$3:$L$502,"معتمد",$A$3:$A$502,"&lt;"&amp;$A301))</f>
        <v/>
      </c>
      <c r="J301" s="44">
        <f>IF($L301="معتمد",$H301,0)</f>
        <v/>
      </c>
      <c r="K301" s="44">
        <f>IF($B301="","",$I301-$J301)</f>
        <v/>
      </c>
      <c r="L301" s="40" t="n"/>
      <c r="M301" s="40" t="n"/>
      <c r="N301" s="110" t="n"/>
      <c r="O301" s="40" t="n"/>
    </row>
    <row r="302">
      <c r="A302" s="46" t="n"/>
      <c r="B302" s="47" t="n"/>
      <c r="C302" s="50">
        <f>IFERROR(INDEX(الموظفون_الاسم,MATCH($B302,الموظفون_الرقم,0)),"")</f>
        <v/>
      </c>
      <c r="D302" s="47" t="n"/>
      <c r="E302" s="112" t="n"/>
      <c r="F302" s="112" t="n"/>
      <c r="G302" s="112" t="n"/>
      <c r="H302" s="51">
        <f>IF(OR($F302="",$G302=""),"",MAX(0,$G302-$F302+1))</f>
        <v/>
      </c>
      <c r="I302" s="51">
        <f>IF($B302="","",IFERROR(INDEX(الموظفون_الافتتاحي,MATCH($B302,الموظفون_الرقم,0)),0)+IF($D302&lt;&gt;"سنوية",0,IFERROR(DATEDIF(بداية_احتساب_الرصيد,TODAY(),"M"),0)*معدل_الاستحقاق_الشهري)-SUMIFS($J$3:$J$502,$B$3:$B$502,$B302,$D$3:$D$502,"سنوية",$L$3:$L$502,"معتمد",$A$3:$A$502,"&lt;"&amp;$A302))</f>
        <v/>
      </c>
      <c r="J302" s="51">
        <f>IF($L302="معتمد",$H302,0)</f>
        <v/>
      </c>
      <c r="K302" s="51">
        <f>IF($B302="","",$I302-$J302)</f>
        <v/>
      </c>
      <c r="L302" s="47" t="n"/>
      <c r="M302" s="47" t="n"/>
      <c r="N302" s="112" t="n"/>
      <c r="O302" s="47" t="n"/>
    </row>
    <row r="303">
      <c r="A303" s="39" t="n"/>
      <c r="B303" s="40" t="n"/>
      <c r="C303" s="43">
        <f>IFERROR(INDEX(الموظفون_الاسم,MATCH($B303,الموظفون_الرقم,0)),"")</f>
        <v/>
      </c>
      <c r="D303" s="40" t="n"/>
      <c r="E303" s="110" t="n"/>
      <c r="F303" s="110" t="n"/>
      <c r="G303" s="110" t="n"/>
      <c r="H303" s="44">
        <f>IF(OR($F303="",$G303=""),"",MAX(0,$G303-$F303+1))</f>
        <v/>
      </c>
      <c r="I303" s="44">
        <f>IF($B303="","",IFERROR(INDEX(الموظفون_الافتتاحي,MATCH($B303,الموظفون_الرقم,0)),0)+IF($D303&lt;&gt;"سنوية",0,IFERROR(DATEDIF(بداية_احتساب_الرصيد,TODAY(),"M"),0)*معدل_الاستحقاق_الشهري)-SUMIFS($J$3:$J$502,$B$3:$B$502,$B303,$D$3:$D$502,"سنوية",$L$3:$L$502,"معتمد",$A$3:$A$502,"&lt;"&amp;$A303))</f>
        <v/>
      </c>
      <c r="J303" s="44">
        <f>IF($L303="معتمد",$H303,0)</f>
        <v/>
      </c>
      <c r="K303" s="44">
        <f>IF($B303="","",$I303-$J303)</f>
        <v/>
      </c>
      <c r="L303" s="40" t="n"/>
      <c r="M303" s="40" t="n"/>
      <c r="N303" s="110" t="n"/>
      <c r="O303" s="40" t="n"/>
    </row>
    <row r="304">
      <c r="A304" s="46" t="n"/>
      <c r="B304" s="47" t="n"/>
      <c r="C304" s="50">
        <f>IFERROR(INDEX(الموظفون_الاسم,MATCH($B304,الموظفون_الرقم,0)),"")</f>
        <v/>
      </c>
      <c r="D304" s="47" t="n"/>
      <c r="E304" s="112" t="n"/>
      <c r="F304" s="112" t="n"/>
      <c r="G304" s="112" t="n"/>
      <c r="H304" s="51">
        <f>IF(OR($F304="",$G304=""),"",MAX(0,$G304-$F304+1))</f>
        <v/>
      </c>
      <c r="I304" s="51">
        <f>IF($B304="","",IFERROR(INDEX(الموظفون_الافتتاحي,MATCH($B304,الموظفون_الرقم,0)),0)+IF($D304&lt;&gt;"سنوية",0,IFERROR(DATEDIF(بداية_احتساب_الرصيد,TODAY(),"M"),0)*معدل_الاستحقاق_الشهري)-SUMIFS($J$3:$J$502,$B$3:$B$502,$B304,$D$3:$D$502,"سنوية",$L$3:$L$502,"معتمد",$A$3:$A$502,"&lt;"&amp;$A304))</f>
        <v/>
      </c>
      <c r="J304" s="51">
        <f>IF($L304="معتمد",$H304,0)</f>
        <v/>
      </c>
      <c r="K304" s="51">
        <f>IF($B304="","",$I304-$J304)</f>
        <v/>
      </c>
      <c r="L304" s="47" t="n"/>
      <c r="M304" s="47" t="n"/>
      <c r="N304" s="112" t="n"/>
      <c r="O304" s="47" t="n"/>
    </row>
    <row r="305">
      <c r="A305" s="39" t="n"/>
      <c r="B305" s="40" t="n"/>
      <c r="C305" s="43">
        <f>IFERROR(INDEX(الموظفون_الاسم,MATCH($B305,الموظفون_الرقم,0)),"")</f>
        <v/>
      </c>
      <c r="D305" s="40" t="n"/>
      <c r="E305" s="110" t="n"/>
      <c r="F305" s="110" t="n"/>
      <c r="G305" s="110" t="n"/>
      <c r="H305" s="44">
        <f>IF(OR($F305="",$G305=""),"",MAX(0,$G305-$F305+1))</f>
        <v/>
      </c>
      <c r="I305" s="44">
        <f>IF($B305="","",IFERROR(INDEX(الموظفون_الافتتاحي,MATCH($B305,الموظفون_الرقم,0)),0)+IF($D305&lt;&gt;"سنوية",0,IFERROR(DATEDIF(بداية_احتساب_الرصيد,TODAY(),"M"),0)*معدل_الاستحقاق_الشهري)-SUMIFS($J$3:$J$502,$B$3:$B$502,$B305,$D$3:$D$502,"سنوية",$L$3:$L$502,"معتمد",$A$3:$A$502,"&lt;"&amp;$A305))</f>
        <v/>
      </c>
      <c r="J305" s="44">
        <f>IF($L305="معتمد",$H305,0)</f>
        <v/>
      </c>
      <c r="K305" s="44">
        <f>IF($B305="","",$I305-$J305)</f>
        <v/>
      </c>
      <c r="L305" s="40" t="n"/>
      <c r="M305" s="40" t="n"/>
      <c r="N305" s="110" t="n"/>
      <c r="O305" s="40" t="n"/>
    </row>
    <row r="306">
      <c r="A306" s="46" t="n"/>
      <c r="B306" s="47" t="n"/>
      <c r="C306" s="50">
        <f>IFERROR(INDEX(الموظفون_الاسم,MATCH($B306,الموظفون_الرقم,0)),"")</f>
        <v/>
      </c>
      <c r="D306" s="47" t="n"/>
      <c r="E306" s="112" t="n"/>
      <c r="F306" s="112" t="n"/>
      <c r="G306" s="112" t="n"/>
      <c r="H306" s="51">
        <f>IF(OR($F306="",$G306=""),"",MAX(0,$G306-$F306+1))</f>
        <v/>
      </c>
      <c r="I306" s="51">
        <f>IF($B306="","",IFERROR(INDEX(الموظفون_الافتتاحي,MATCH($B306,الموظفون_الرقم,0)),0)+IF($D306&lt;&gt;"سنوية",0,IFERROR(DATEDIF(بداية_احتساب_الرصيد,TODAY(),"M"),0)*معدل_الاستحقاق_الشهري)-SUMIFS($J$3:$J$502,$B$3:$B$502,$B306,$D$3:$D$502,"سنوية",$L$3:$L$502,"معتمد",$A$3:$A$502,"&lt;"&amp;$A306))</f>
        <v/>
      </c>
      <c r="J306" s="51">
        <f>IF($L306="معتمد",$H306,0)</f>
        <v/>
      </c>
      <c r="K306" s="51">
        <f>IF($B306="","",$I306-$J306)</f>
        <v/>
      </c>
      <c r="L306" s="47" t="n"/>
      <c r="M306" s="47" t="n"/>
      <c r="N306" s="112" t="n"/>
      <c r="O306" s="47" t="n"/>
    </row>
    <row r="307">
      <c r="A307" s="39" t="n"/>
      <c r="B307" s="40" t="n"/>
      <c r="C307" s="43">
        <f>IFERROR(INDEX(الموظفون_الاسم,MATCH($B307,الموظفون_الرقم,0)),"")</f>
        <v/>
      </c>
      <c r="D307" s="40" t="n"/>
      <c r="E307" s="110" t="n"/>
      <c r="F307" s="110" t="n"/>
      <c r="G307" s="110" t="n"/>
      <c r="H307" s="44">
        <f>IF(OR($F307="",$G307=""),"",MAX(0,$G307-$F307+1))</f>
        <v/>
      </c>
      <c r="I307" s="44">
        <f>IF($B307="","",IFERROR(INDEX(الموظفون_الافتتاحي,MATCH($B307,الموظفون_الرقم,0)),0)+IF($D307&lt;&gt;"سنوية",0,IFERROR(DATEDIF(بداية_احتساب_الرصيد,TODAY(),"M"),0)*معدل_الاستحقاق_الشهري)-SUMIFS($J$3:$J$502,$B$3:$B$502,$B307,$D$3:$D$502,"سنوية",$L$3:$L$502,"معتمد",$A$3:$A$502,"&lt;"&amp;$A307))</f>
        <v/>
      </c>
      <c r="J307" s="44">
        <f>IF($L307="معتمد",$H307,0)</f>
        <v/>
      </c>
      <c r="K307" s="44">
        <f>IF($B307="","",$I307-$J307)</f>
        <v/>
      </c>
      <c r="L307" s="40" t="n"/>
      <c r="M307" s="40" t="n"/>
      <c r="N307" s="110" t="n"/>
      <c r="O307" s="40" t="n"/>
    </row>
    <row r="308">
      <c r="A308" s="46" t="n"/>
      <c r="B308" s="47" t="n"/>
      <c r="C308" s="50">
        <f>IFERROR(INDEX(الموظفون_الاسم,MATCH($B308,الموظفون_الرقم,0)),"")</f>
        <v/>
      </c>
      <c r="D308" s="47" t="n"/>
      <c r="E308" s="112" t="n"/>
      <c r="F308" s="112" t="n"/>
      <c r="G308" s="112" t="n"/>
      <c r="H308" s="51">
        <f>IF(OR($F308="",$G308=""),"",MAX(0,$G308-$F308+1))</f>
        <v/>
      </c>
      <c r="I308" s="51">
        <f>IF($B308="","",IFERROR(INDEX(الموظفون_الافتتاحي,MATCH($B308,الموظفون_الرقم,0)),0)+IF($D308&lt;&gt;"سنوية",0,IFERROR(DATEDIF(بداية_احتساب_الرصيد,TODAY(),"M"),0)*معدل_الاستحقاق_الشهري)-SUMIFS($J$3:$J$502,$B$3:$B$502,$B308,$D$3:$D$502,"سنوية",$L$3:$L$502,"معتمد",$A$3:$A$502,"&lt;"&amp;$A308))</f>
        <v/>
      </c>
      <c r="J308" s="51">
        <f>IF($L308="معتمد",$H308,0)</f>
        <v/>
      </c>
      <c r="K308" s="51">
        <f>IF($B308="","",$I308-$J308)</f>
        <v/>
      </c>
      <c r="L308" s="47" t="n"/>
      <c r="M308" s="47" t="n"/>
      <c r="N308" s="112" t="n"/>
      <c r="O308" s="47" t="n"/>
    </row>
    <row r="309">
      <c r="A309" s="39" t="n"/>
      <c r="B309" s="40" t="n"/>
      <c r="C309" s="43">
        <f>IFERROR(INDEX(الموظفون_الاسم,MATCH($B309,الموظفون_الرقم,0)),"")</f>
        <v/>
      </c>
      <c r="D309" s="40" t="n"/>
      <c r="E309" s="110" t="n"/>
      <c r="F309" s="110" t="n"/>
      <c r="G309" s="110" t="n"/>
      <c r="H309" s="44">
        <f>IF(OR($F309="",$G309=""),"",MAX(0,$G309-$F309+1))</f>
        <v/>
      </c>
      <c r="I309" s="44">
        <f>IF($B309="","",IFERROR(INDEX(الموظفون_الافتتاحي,MATCH($B309,الموظفون_الرقم,0)),0)+IF($D309&lt;&gt;"سنوية",0,IFERROR(DATEDIF(بداية_احتساب_الرصيد,TODAY(),"M"),0)*معدل_الاستحقاق_الشهري)-SUMIFS($J$3:$J$502,$B$3:$B$502,$B309,$D$3:$D$502,"سنوية",$L$3:$L$502,"معتمد",$A$3:$A$502,"&lt;"&amp;$A309))</f>
        <v/>
      </c>
      <c r="J309" s="44">
        <f>IF($L309="معتمد",$H309,0)</f>
        <v/>
      </c>
      <c r="K309" s="44">
        <f>IF($B309="","",$I309-$J309)</f>
        <v/>
      </c>
      <c r="L309" s="40" t="n"/>
      <c r="M309" s="40" t="n"/>
      <c r="N309" s="110" t="n"/>
      <c r="O309" s="40" t="n"/>
    </row>
    <row r="310">
      <c r="A310" s="46" t="n"/>
      <c r="B310" s="47" t="n"/>
      <c r="C310" s="50">
        <f>IFERROR(INDEX(الموظفون_الاسم,MATCH($B310,الموظفون_الرقم,0)),"")</f>
        <v/>
      </c>
      <c r="D310" s="47" t="n"/>
      <c r="E310" s="112" t="n"/>
      <c r="F310" s="112" t="n"/>
      <c r="G310" s="112" t="n"/>
      <c r="H310" s="51">
        <f>IF(OR($F310="",$G310=""),"",MAX(0,$G310-$F310+1))</f>
        <v/>
      </c>
      <c r="I310" s="51">
        <f>IF($B310="","",IFERROR(INDEX(الموظفون_الافتتاحي,MATCH($B310,الموظفون_الرقم,0)),0)+IF($D310&lt;&gt;"سنوية",0,IFERROR(DATEDIF(بداية_احتساب_الرصيد,TODAY(),"M"),0)*معدل_الاستحقاق_الشهري)-SUMIFS($J$3:$J$502,$B$3:$B$502,$B310,$D$3:$D$502,"سنوية",$L$3:$L$502,"معتمد",$A$3:$A$502,"&lt;"&amp;$A310))</f>
        <v/>
      </c>
      <c r="J310" s="51">
        <f>IF($L310="معتمد",$H310,0)</f>
        <v/>
      </c>
      <c r="K310" s="51">
        <f>IF($B310="","",$I310-$J310)</f>
        <v/>
      </c>
      <c r="L310" s="47" t="n"/>
      <c r="M310" s="47" t="n"/>
      <c r="N310" s="112" t="n"/>
      <c r="O310" s="47" t="n"/>
    </row>
    <row r="311">
      <c r="A311" s="39" t="n"/>
      <c r="B311" s="40" t="n"/>
      <c r="C311" s="43">
        <f>IFERROR(INDEX(الموظفون_الاسم,MATCH($B311,الموظفون_الرقم,0)),"")</f>
        <v/>
      </c>
      <c r="D311" s="40" t="n"/>
      <c r="E311" s="110" t="n"/>
      <c r="F311" s="110" t="n"/>
      <c r="G311" s="110" t="n"/>
      <c r="H311" s="44">
        <f>IF(OR($F311="",$G311=""),"",MAX(0,$G311-$F311+1))</f>
        <v/>
      </c>
      <c r="I311" s="44">
        <f>IF($B311="","",IFERROR(INDEX(الموظفون_الافتتاحي,MATCH($B311,الموظفون_الرقم,0)),0)+IF($D311&lt;&gt;"سنوية",0,IFERROR(DATEDIF(بداية_احتساب_الرصيد,TODAY(),"M"),0)*معدل_الاستحقاق_الشهري)-SUMIFS($J$3:$J$502,$B$3:$B$502,$B311,$D$3:$D$502,"سنوية",$L$3:$L$502,"معتمد",$A$3:$A$502,"&lt;"&amp;$A311))</f>
        <v/>
      </c>
      <c r="J311" s="44">
        <f>IF($L311="معتمد",$H311,0)</f>
        <v/>
      </c>
      <c r="K311" s="44">
        <f>IF($B311="","",$I311-$J311)</f>
        <v/>
      </c>
      <c r="L311" s="40" t="n"/>
      <c r="M311" s="40" t="n"/>
      <c r="N311" s="110" t="n"/>
      <c r="O311" s="40" t="n"/>
    </row>
    <row r="312">
      <c r="A312" s="46" t="n"/>
      <c r="B312" s="47" t="n"/>
      <c r="C312" s="50">
        <f>IFERROR(INDEX(الموظفون_الاسم,MATCH($B312,الموظفون_الرقم,0)),"")</f>
        <v/>
      </c>
      <c r="D312" s="47" t="n"/>
      <c r="E312" s="112" t="n"/>
      <c r="F312" s="112" t="n"/>
      <c r="G312" s="112" t="n"/>
      <c r="H312" s="51">
        <f>IF(OR($F312="",$G312=""),"",MAX(0,$G312-$F312+1))</f>
        <v/>
      </c>
      <c r="I312" s="51">
        <f>IF($B312="","",IFERROR(INDEX(الموظفون_الافتتاحي,MATCH($B312,الموظفون_الرقم,0)),0)+IF($D312&lt;&gt;"سنوية",0,IFERROR(DATEDIF(بداية_احتساب_الرصيد,TODAY(),"M"),0)*معدل_الاستحقاق_الشهري)-SUMIFS($J$3:$J$502,$B$3:$B$502,$B312,$D$3:$D$502,"سنوية",$L$3:$L$502,"معتمد",$A$3:$A$502,"&lt;"&amp;$A312))</f>
        <v/>
      </c>
      <c r="J312" s="51">
        <f>IF($L312="معتمد",$H312,0)</f>
        <v/>
      </c>
      <c r="K312" s="51">
        <f>IF($B312="","",$I312-$J312)</f>
        <v/>
      </c>
      <c r="L312" s="47" t="n"/>
      <c r="M312" s="47" t="n"/>
      <c r="N312" s="112" t="n"/>
      <c r="O312" s="47" t="n"/>
    </row>
    <row r="313">
      <c r="A313" s="39" t="n"/>
      <c r="B313" s="40" t="n"/>
      <c r="C313" s="43">
        <f>IFERROR(INDEX(الموظفون_الاسم,MATCH($B313,الموظفون_الرقم,0)),"")</f>
        <v/>
      </c>
      <c r="D313" s="40" t="n"/>
      <c r="E313" s="110" t="n"/>
      <c r="F313" s="110" t="n"/>
      <c r="G313" s="110" t="n"/>
      <c r="H313" s="44">
        <f>IF(OR($F313="",$G313=""),"",MAX(0,$G313-$F313+1))</f>
        <v/>
      </c>
      <c r="I313" s="44">
        <f>IF($B313="","",IFERROR(INDEX(الموظفون_الافتتاحي,MATCH($B313,الموظفون_الرقم,0)),0)+IF($D313&lt;&gt;"سنوية",0,IFERROR(DATEDIF(بداية_احتساب_الرصيد,TODAY(),"M"),0)*معدل_الاستحقاق_الشهري)-SUMIFS($J$3:$J$502,$B$3:$B$502,$B313,$D$3:$D$502,"سنوية",$L$3:$L$502,"معتمد",$A$3:$A$502,"&lt;"&amp;$A313))</f>
        <v/>
      </c>
      <c r="J313" s="44">
        <f>IF($L313="معتمد",$H313,0)</f>
        <v/>
      </c>
      <c r="K313" s="44">
        <f>IF($B313="","",$I313-$J313)</f>
        <v/>
      </c>
      <c r="L313" s="40" t="n"/>
      <c r="M313" s="40" t="n"/>
      <c r="N313" s="110" t="n"/>
      <c r="O313" s="40" t="n"/>
    </row>
    <row r="314">
      <c r="A314" s="46" t="n"/>
      <c r="B314" s="47" t="n"/>
      <c r="C314" s="50">
        <f>IFERROR(INDEX(الموظفون_الاسم,MATCH($B314,الموظفون_الرقم,0)),"")</f>
        <v/>
      </c>
      <c r="D314" s="47" t="n"/>
      <c r="E314" s="112" t="n"/>
      <c r="F314" s="112" t="n"/>
      <c r="G314" s="112" t="n"/>
      <c r="H314" s="51">
        <f>IF(OR($F314="",$G314=""),"",MAX(0,$G314-$F314+1))</f>
        <v/>
      </c>
      <c r="I314" s="51">
        <f>IF($B314="","",IFERROR(INDEX(الموظفون_الافتتاحي,MATCH($B314,الموظفون_الرقم,0)),0)+IF($D314&lt;&gt;"سنوية",0,IFERROR(DATEDIF(بداية_احتساب_الرصيد,TODAY(),"M"),0)*معدل_الاستحقاق_الشهري)-SUMIFS($J$3:$J$502,$B$3:$B$502,$B314,$D$3:$D$502,"سنوية",$L$3:$L$502,"معتمد",$A$3:$A$502,"&lt;"&amp;$A314))</f>
        <v/>
      </c>
      <c r="J314" s="51">
        <f>IF($L314="معتمد",$H314,0)</f>
        <v/>
      </c>
      <c r="K314" s="51">
        <f>IF($B314="","",$I314-$J314)</f>
        <v/>
      </c>
      <c r="L314" s="47" t="n"/>
      <c r="M314" s="47" t="n"/>
      <c r="N314" s="112" t="n"/>
      <c r="O314" s="47" t="n"/>
    </row>
    <row r="315">
      <c r="A315" s="39" t="n"/>
      <c r="B315" s="40" t="n"/>
      <c r="C315" s="43">
        <f>IFERROR(INDEX(الموظفون_الاسم,MATCH($B315,الموظفون_الرقم,0)),"")</f>
        <v/>
      </c>
      <c r="D315" s="40" t="n"/>
      <c r="E315" s="110" t="n"/>
      <c r="F315" s="110" t="n"/>
      <c r="G315" s="110" t="n"/>
      <c r="H315" s="44">
        <f>IF(OR($F315="",$G315=""),"",MAX(0,$G315-$F315+1))</f>
        <v/>
      </c>
      <c r="I315" s="44">
        <f>IF($B315="","",IFERROR(INDEX(الموظفون_الافتتاحي,MATCH($B315,الموظفون_الرقم,0)),0)+IF($D315&lt;&gt;"سنوية",0,IFERROR(DATEDIF(بداية_احتساب_الرصيد,TODAY(),"M"),0)*معدل_الاستحقاق_الشهري)-SUMIFS($J$3:$J$502,$B$3:$B$502,$B315,$D$3:$D$502,"سنوية",$L$3:$L$502,"معتمد",$A$3:$A$502,"&lt;"&amp;$A315))</f>
        <v/>
      </c>
      <c r="J315" s="44">
        <f>IF($L315="معتمد",$H315,0)</f>
        <v/>
      </c>
      <c r="K315" s="44">
        <f>IF($B315="","",$I315-$J315)</f>
        <v/>
      </c>
      <c r="L315" s="40" t="n"/>
      <c r="M315" s="40" t="n"/>
      <c r="N315" s="110" t="n"/>
      <c r="O315" s="40" t="n"/>
    </row>
    <row r="316">
      <c r="A316" s="46" t="n"/>
      <c r="B316" s="47" t="n"/>
      <c r="C316" s="50">
        <f>IFERROR(INDEX(الموظفون_الاسم,MATCH($B316,الموظفون_الرقم,0)),"")</f>
        <v/>
      </c>
      <c r="D316" s="47" t="n"/>
      <c r="E316" s="112" t="n"/>
      <c r="F316" s="112" t="n"/>
      <c r="G316" s="112" t="n"/>
      <c r="H316" s="51">
        <f>IF(OR($F316="",$G316=""),"",MAX(0,$G316-$F316+1))</f>
        <v/>
      </c>
      <c r="I316" s="51">
        <f>IF($B316="","",IFERROR(INDEX(الموظفون_الافتتاحي,MATCH($B316,الموظفون_الرقم,0)),0)+IF($D316&lt;&gt;"سنوية",0,IFERROR(DATEDIF(بداية_احتساب_الرصيد,TODAY(),"M"),0)*معدل_الاستحقاق_الشهري)-SUMIFS($J$3:$J$502,$B$3:$B$502,$B316,$D$3:$D$502,"سنوية",$L$3:$L$502,"معتمد",$A$3:$A$502,"&lt;"&amp;$A316))</f>
        <v/>
      </c>
      <c r="J316" s="51">
        <f>IF($L316="معتمد",$H316,0)</f>
        <v/>
      </c>
      <c r="K316" s="51">
        <f>IF($B316="","",$I316-$J316)</f>
        <v/>
      </c>
      <c r="L316" s="47" t="n"/>
      <c r="M316" s="47" t="n"/>
      <c r="N316" s="112" t="n"/>
      <c r="O316" s="47" t="n"/>
    </row>
    <row r="317">
      <c r="A317" s="39" t="n"/>
      <c r="B317" s="40" t="n"/>
      <c r="C317" s="43">
        <f>IFERROR(INDEX(الموظفون_الاسم,MATCH($B317,الموظفون_الرقم,0)),"")</f>
        <v/>
      </c>
      <c r="D317" s="40" t="n"/>
      <c r="E317" s="110" t="n"/>
      <c r="F317" s="110" t="n"/>
      <c r="G317" s="110" t="n"/>
      <c r="H317" s="44">
        <f>IF(OR($F317="",$G317=""),"",MAX(0,$G317-$F317+1))</f>
        <v/>
      </c>
      <c r="I317" s="44">
        <f>IF($B317="","",IFERROR(INDEX(الموظفون_الافتتاحي,MATCH($B317,الموظفون_الرقم,0)),0)+IF($D317&lt;&gt;"سنوية",0,IFERROR(DATEDIF(بداية_احتساب_الرصيد,TODAY(),"M"),0)*معدل_الاستحقاق_الشهري)-SUMIFS($J$3:$J$502,$B$3:$B$502,$B317,$D$3:$D$502,"سنوية",$L$3:$L$502,"معتمد",$A$3:$A$502,"&lt;"&amp;$A317))</f>
        <v/>
      </c>
      <c r="J317" s="44">
        <f>IF($L317="معتمد",$H317,0)</f>
        <v/>
      </c>
      <c r="K317" s="44">
        <f>IF($B317="","",$I317-$J317)</f>
        <v/>
      </c>
      <c r="L317" s="40" t="n"/>
      <c r="M317" s="40" t="n"/>
      <c r="N317" s="110" t="n"/>
      <c r="O317" s="40" t="n"/>
    </row>
    <row r="318">
      <c r="A318" s="46" t="n"/>
      <c r="B318" s="47" t="n"/>
      <c r="C318" s="50">
        <f>IFERROR(INDEX(الموظفون_الاسم,MATCH($B318,الموظفون_الرقم,0)),"")</f>
        <v/>
      </c>
      <c r="D318" s="47" t="n"/>
      <c r="E318" s="112" t="n"/>
      <c r="F318" s="112" t="n"/>
      <c r="G318" s="112" t="n"/>
      <c r="H318" s="51">
        <f>IF(OR($F318="",$G318=""),"",MAX(0,$G318-$F318+1))</f>
        <v/>
      </c>
      <c r="I318" s="51">
        <f>IF($B318="","",IFERROR(INDEX(الموظفون_الافتتاحي,MATCH($B318,الموظفون_الرقم,0)),0)+IF($D318&lt;&gt;"سنوية",0,IFERROR(DATEDIF(بداية_احتساب_الرصيد,TODAY(),"M"),0)*معدل_الاستحقاق_الشهري)-SUMIFS($J$3:$J$502,$B$3:$B$502,$B318,$D$3:$D$502,"سنوية",$L$3:$L$502,"معتمد",$A$3:$A$502,"&lt;"&amp;$A318))</f>
        <v/>
      </c>
      <c r="J318" s="51">
        <f>IF($L318="معتمد",$H318,0)</f>
        <v/>
      </c>
      <c r="K318" s="51">
        <f>IF($B318="","",$I318-$J318)</f>
        <v/>
      </c>
      <c r="L318" s="47" t="n"/>
      <c r="M318" s="47" t="n"/>
      <c r="N318" s="112" t="n"/>
      <c r="O318" s="47" t="n"/>
    </row>
    <row r="319">
      <c r="A319" s="39" t="n"/>
      <c r="B319" s="40" t="n"/>
      <c r="C319" s="43">
        <f>IFERROR(INDEX(الموظفون_الاسم,MATCH($B319,الموظفون_الرقم,0)),"")</f>
        <v/>
      </c>
      <c r="D319" s="40" t="n"/>
      <c r="E319" s="110" t="n"/>
      <c r="F319" s="110" t="n"/>
      <c r="G319" s="110" t="n"/>
      <c r="H319" s="44">
        <f>IF(OR($F319="",$G319=""),"",MAX(0,$G319-$F319+1))</f>
        <v/>
      </c>
      <c r="I319" s="44">
        <f>IF($B319="","",IFERROR(INDEX(الموظفون_الافتتاحي,MATCH($B319,الموظفون_الرقم,0)),0)+IF($D319&lt;&gt;"سنوية",0,IFERROR(DATEDIF(بداية_احتساب_الرصيد,TODAY(),"M"),0)*معدل_الاستحقاق_الشهري)-SUMIFS($J$3:$J$502,$B$3:$B$502,$B319,$D$3:$D$502,"سنوية",$L$3:$L$502,"معتمد",$A$3:$A$502,"&lt;"&amp;$A319))</f>
        <v/>
      </c>
      <c r="J319" s="44">
        <f>IF($L319="معتمد",$H319,0)</f>
        <v/>
      </c>
      <c r="K319" s="44">
        <f>IF($B319="","",$I319-$J319)</f>
        <v/>
      </c>
      <c r="L319" s="40" t="n"/>
      <c r="M319" s="40" t="n"/>
      <c r="N319" s="110" t="n"/>
      <c r="O319" s="40" t="n"/>
    </row>
    <row r="320">
      <c r="A320" s="46" t="n"/>
      <c r="B320" s="47" t="n"/>
      <c r="C320" s="50">
        <f>IFERROR(INDEX(الموظفون_الاسم,MATCH($B320,الموظفون_الرقم,0)),"")</f>
        <v/>
      </c>
      <c r="D320" s="47" t="n"/>
      <c r="E320" s="112" t="n"/>
      <c r="F320" s="112" t="n"/>
      <c r="G320" s="112" t="n"/>
      <c r="H320" s="51">
        <f>IF(OR($F320="",$G320=""),"",MAX(0,$G320-$F320+1))</f>
        <v/>
      </c>
      <c r="I320" s="51">
        <f>IF($B320="","",IFERROR(INDEX(الموظفون_الافتتاحي,MATCH($B320,الموظفون_الرقم,0)),0)+IF($D320&lt;&gt;"سنوية",0,IFERROR(DATEDIF(بداية_احتساب_الرصيد,TODAY(),"M"),0)*معدل_الاستحقاق_الشهري)-SUMIFS($J$3:$J$502,$B$3:$B$502,$B320,$D$3:$D$502,"سنوية",$L$3:$L$502,"معتمد",$A$3:$A$502,"&lt;"&amp;$A320))</f>
        <v/>
      </c>
      <c r="J320" s="51">
        <f>IF($L320="معتمد",$H320,0)</f>
        <v/>
      </c>
      <c r="K320" s="51">
        <f>IF($B320="","",$I320-$J320)</f>
        <v/>
      </c>
      <c r="L320" s="47" t="n"/>
      <c r="M320" s="47" t="n"/>
      <c r="N320" s="112" t="n"/>
      <c r="O320" s="47" t="n"/>
    </row>
    <row r="321">
      <c r="A321" s="39" t="n"/>
      <c r="B321" s="40" t="n"/>
      <c r="C321" s="43">
        <f>IFERROR(INDEX(الموظفون_الاسم,MATCH($B321,الموظفون_الرقم,0)),"")</f>
        <v/>
      </c>
      <c r="D321" s="40" t="n"/>
      <c r="E321" s="110" t="n"/>
      <c r="F321" s="110" t="n"/>
      <c r="G321" s="110" t="n"/>
      <c r="H321" s="44">
        <f>IF(OR($F321="",$G321=""),"",MAX(0,$G321-$F321+1))</f>
        <v/>
      </c>
      <c r="I321" s="44">
        <f>IF($B321="","",IFERROR(INDEX(الموظفون_الافتتاحي,MATCH($B321,الموظفون_الرقم,0)),0)+IF($D321&lt;&gt;"سنوية",0,IFERROR(DATEDIF(بداية_احتساب_الرصيد,TODAY(),"M"),0)*معدل_الاستحقاق_الشهري)-SUMIFS($J$3:$J$502,$B$3:$B$502,$B321,$D$3:$D$502,"سنوية",$L$3:$L$502,"معتمد",$A$3:$A$502,"&lt;"&amp;$A321))</f>
        <v/>
      </c>
      <c r="J321" s="44">
        <f>IF($L321="معتمد",$H321,0)</f>
        <v/>
      </c>
      <c r="K321" s="44">
        <f>IF($B321="","",$I321-$J321)</f>
        <v/>
      </c>
      <c r="L321" s="40" t="n"/>
      <c r="M321" s="40" t="n"/>
      <c r="N321" s="110" t="n"/>
      <c r="O321" s="40" t="n"/>
    </row>
    <row r="322">
      <c r="A322" s="46" t="n"/>
      <c r="B322" s="47" t="n"/>
      <c r="C322" s="50">
        <f>IFERROR(INDEX(الموظفون_الاسم,MATCH($B322,الموظفون_الرقم,0)),"")</f>
        <v/>
      </c>
      <c r="D322" s="47" t="n"/>
      <c r="E322" s="112" t="n"/>
      <c r="F322" s="112" t="n"/>
      <c r="G322" s="112" t="n"/>
      <c r="H322" s="51">
        <f>IF(OR($F322="",$G322=""),"",MAX(0,$G322-$F322+1))</f>
        <v/>
      </c>
      <c r="I322" s="51">
        <f>IF($B322="","",IFERROR(INDEX(الموظفون_الافتتاحي,MATCH($B322,الموظفون_الرقم,0)),0)+IF($D322&lt;&gt;"سنوية",0,IFERROR(DATEDIF(بداية_احتساب_الرصيد,TODAY(),"M"),0)*معدل_الاستحقاق_الشهري)-SUMIFS($J$3:$J$502,$B$3:$B$502,$B322,$D$3:$D$502,"سنوية",$L$3:$L$502,"معتمد",$A$3:$A$502,"&lt;"&amp;$A322))</f>
        <v/>
      </c>
      <c r="J322" s="51">
        <f>IF($L322="معتمد",$H322,0)</f>
        <v/>
      </c>
      <c r="K322" s="51">
        <f>IF($B322="","",$I322-$J322)</f>
        <v/>
      </c>
      <c r="L322" s="47" t="n"/>
      <c r="M322" s="47" t="n"/>
      <c r="N322" s="112" t="n"/>
      <c r="O322" s="47" t="n"/>
    </row>
    <row r="323">
      <c r="A323" s="39" t="n"/>
      <c r="B323" s="40" t="n"/>
      <c r="C323" s="43">
        <f>IFERROR(INDEX(الموظفون_الاسم,MATCH($B323,الموظفون_الرقم,0)),"")</f>
        <v/>
      </c>
      <c r="D323" s="40" t="n"/>
      <c r="E323" s="110" t="n"/>
      <c r="F323" s="110" t="n"/>
      <c r="G323" s="110" t="n"/>
      <c r="H323" s="44">
        <f>IF(OR($F323="",$G323=""),"",MAX(0,$G323-$F323+1))</f>
        <v/>
      </c>
      <c r="I323" s="44">
        <f>IF($B323="","",IFERROR(INDEX(الموظفون_الافتتاحي,MATCH($B323,الموظفون_الرقم,0)),0)+IF($D323&lt;&gt;"سنوية",0,IFERROR(DATEDIF(بداية_احتساب_الرصيد,TODAY(),"M"),0)*معدل_الاستحقاق_الشهري)-SUMIFS($J$3:$J$502,$B$3:$B$502,$B323,$D$3:$D$502,"سنوية",$L$3:$L$502,"معتمد",$A$3:$A$502,"&lt;"&amp;$A323))</f>
        <v/>
      </c>
      <c r="J323" s="44">
        <f>IF($L323="معتمد",$H323,0)</f>
        <v/>
      </c>
      <c r="K323" s="44">
        <f>IF($B323="","",$I323-$J323)</f>
        <v/>
      </c>
      <c r="L323" s="40" t="n"/>
      <c r="M323" s="40" t="n"/>
      <c r="N323" s="110" t="n"/>
      <c r="O323" s="40" t="n"/>
    </row>
    <row r="324">
      <c r="A324" s="46" t="n"/>
      <c r="B324" s="47" t="n"/>
      <c r="C324" s="50">
        <f>IFERROR(INDEX(الموظفون_الاسم,MATCH($B324,الموظفون_الرقم,0)),"")</f>
        <v/>
      </c>
      <c r="D324" s="47" t="n"/>
      <c r="E324" s="112" t="n"/>
      <c r="F324" s="112" t="n"/>
      <c r="G324" s="112" t="n"/>
      <c r="H324" s="51">
        <f>IF(OR($F324="",$G324=""),"",MAX(0,$G324-$F324+1))</f>
        <v/>
      </c>
      <c r="I324" s="51">
        <f>IF($B324="","",IFERROR(INDEX(الموظفون_الافتتاحي,MATCH($B324,الموظفون_الرقم,0)),0)+IF($D324&lt;&gt;"سنوية",0,IFERROR(DATEDIF(بداية_احتساب_الرصيد,TODAY(),"M"),0)*معدل_الاستحقاق_الشهري)-SUMIFS($J$3:$J$502,$B$3:$B$502,$B324,$D$3:$D$502,"سنوية",$L$3:$L$502,"معتمد",$A$3:$A$502,"&lt;"&amp;$A324))</f>
        <v/>
      </c>
      <c r="J324" s="51">
        <f>IF($L324="معتمد",$H324,0)</f>
        <v/>
      </c>
      <c r="K324" s="51">
        <f>IF($B324="","",$I324-$J324)</f>
        <v/>
      </c>
      <c r="L324" s="47" t="n"/>
      <c r="M324" s="47" t="n"/>
      <c r="N324" s="112" t="n"/>
      <c r="O324" s="47" t="n"/>
    </row>
    <row r="325">
      <c r="A325" s="39" t="n"/>
      <c r="B325" s="40" t="n"/>
      <c r="C325" s="43">
        <f>IFERROR(INDEX(الموظفون_الاسم,MATCH($B325,الموظفون_الرقم,0)),"")</f>
        <v/>
      </c>
      <c r="D325" s="40" t="n"/>
      <c r="E325" s="110" t="n"/>
      <c r="F325" s="110" t="n"/>
      <c r="G325" s="110" t="n"/>
      <c r="H325" s="44">
        <f>IF(OR($F325="",$G325=""),"",MAX(0,$G325-$F325+1))</f>
        <v/>
      </c>
      <c r="I325" s="44">
        <f>IF($B325="","",IFERROR(INDEX(الموظفون_الافتتاحي,MATCH($B325,الموظفون_الرقم,0)),0)+IF($D325&lt;&gt;"سنوية",0,IFERROR(DATEDIF(بداية_احتساب_الرصيد,TODAY(),"M"),0)*معدل_الاستحقاق_الشهري)-SUMIFS($J$3:$J$502,$B$3:$B$502,$B325,$D$3:$D$502,"سنوية",$L$3:$L$502,"معتمد",$A$3:$A$502,"&lt;"&amp;$A325))</f>
        <v/>
      </c>
      <c r="J325" s="44">
        <f>IF($L325="معتمد",$H325,0)</f>
        <v/>
      </c>
      <c r="K325" s="44">
        <f>IF($B325="","",$I325-$J325)</f>
        <v/>
      </c>
      <c r="L325" s="40" t="n"/>
      <c r="M325" s="40" t="n"/>
      <c r="N325" s="110" t="n"/>
      <c r="O325" s="40" t="n"/>
    </row>
    <row r="326">
      <c r="A326" s="46" t="n"/>
      <c r="B326" s="47" t="n"/>
      <c r="C326" s="50">
        <f>IFERROR(INDEX(الموظفون_الاسم,MATCH($B326,الموظفون_الرقم,0)),"")</f>
        <v/>
      </c>
      <c r="D326" s="47" t="n"/>
      <c r="E326" s="112" t="n"/>
      <c r="F326" s="112" t="n"/>
      <c r="G326" s="112" t="n"/>
      <c r="H326" s="51">
        <f>IF(OR($F326="",$G326=""),"",MAX(0,$G326-$F326+1))</f>
        <v/>
      </c>
      <c r="I326" s="51">
        <f>IF($B326="","",IFERROR(INDEX(الموظفون_الافتتاحي,MATCH($B326,الموظفون_الرقم,0)),0)+IF($D326&lt;&gt;"سنوية",0,IFERROR(DATEDIF(بداية_احتساب_الرصيد,TODAY(),"M"),0)*معدل_الاستحقاق_الشهري)-SUMIFS($J$3:$J$502,$B$3:$B$502,$B326,$D$3:$D$502,"سنوية",$L$3:$L$502,"معتمد",$A$3:$A$502,"&lt;"&amp;$A326))</f>
        <v/>
      </c>
      <c r="J326" s="51">
        <f>IF($L326="معتمد",$H326,0)</f>
        <v/>
      </c>
      <c r="K326" s="51">
        <f>IF($B326="","",$I326-$J326)</f>
        <v/>
      </c>
      <c r="L326" s="47" t="n"/>
      <c r="M326" s="47" t="n"/>
      <c r="N326" s="112" t="n"/>
      <c r="O326" s="47" t="n"/>
    </row>
    <row r="327">
      <c r="A327" s="39" t="n"/>
      <c r="B327" s="40" t="n"/>
      <c r="C327" s="43">
        <f>IFERROR(INDEX(الموظفون_الاسم,MATCH($B327,الموظفون_الرقم,0)),"")</f>
        <v/>
      </c>
      <c r="D327" s="40" t="n"/>
      <c r="E327" s="110" t="n"/>
      <c r="F327" s="110" t="n"/>
      <c r="G327" s="110" t="n"/>
      <c r="H327" s="44">
        <f>IF(OR($F327="",$G327=""),"",MAX(0,$G327-$F327+1))</f>
        <v/>
      </c>
      <c r="I327" s="44">
        <f>IF($B327="","",IFERROR(INDEX(الموظفون_الافتتاحي,MATCH($B327,الموظفون_الرقم,0)),0)+IF($D327&lt;&gt;"سنوية",0,IFERROR(DATEDIF(بداية_احتساب_الرصيد,TODAY(),"M"),0)*معدل_الاستحقاق_الشهري)-SUMIFS($J$3:$J$502,$B$3:$B$502,$B327,$D$3:$D$502,"سنوية",$L$3:$L$502,"معتمد",$A$3:$A$502,"&lt;"&amp;$A327))</f>
        <v/>
      </c>
      <c r="J327" s="44">
        <f>IF($L327="معتمد",$H327,0)</f>
        <v/>
      </c>
      <c r="K327" s="44">
        <f>IF($B327="","",$I327-$J327)</f>
        <v/>
      </c>
      <c r="L327" s="40" t="n"/>
      <c r="M327" s="40" t="n"/>
      <c r="N327" s="110" t="n"/>
      <c r="O327" s="40" t="n"/>
    </row>
    <row r="328">
      <c r="A328" s="46" t="n"/>
      <c r="B328" s="47" t="n"/>
      <c r="C328" s="50">
        <f>IFERROR(INDEX(الموظفون_الاسم,MATCH($B328,الموظفون_الرقم,0)),"")</f>
        <v/>
      </c>
      <c r="D328" s="47" t="n"/>
      <c r="E328" s="112" t="n"/>
      <c r="F328" s="112" t="n"/>
      <c r="G328" s="112" t="n"/>
      <c r="H328" s="51">
        <f>IF(OR($F328="",$G328=""),"",MAX(0,$G328-$F328+1))</f>
        <v/>
      </c>
      <c r="I328" s="51">
        <f>IF($B328="","",IFERROR(INDEX(الموظفون_الافتتاحي,MATCH($B328,الموظفون_الرقم,0)),0)+IF($D328&lt;&gt;"سنوية",0,IFERROR(DATEDIF(بداية_احتساب_الرصيد,TODAY(),"M"),0)*معدل_الاستحقاق_الشهري)-SUMIFS($J$3:$J$502,$B$3:$B$502,$B328,$D$3:$D$502,"سنوية",$L$3:$L$502,"معتمد",$A$3:$A$502,"&lt;"&amp;$A328))</f>
        <v/>
      </c>
      <c r="J328" s="51">
        <f>IF($L328="معتمد",$H328,0)</f>
        <v/>
      </c>
      <c r="K328" s="51">
        <f>IF($B328="","",$I328-$J328)</f>
        <v/>
      </c>
      <c r="L328" s="47" t="n"/>
      <c r="M328" s="47" t="n"/>
      <c r="N328" s="112" t="n"/>
      <c r="O328" s="47" t="n"/>
    </row>
    <row r="329">
      <c r="A329" s="39" t="n"/>
      <c r="B329" s="40" t="n"/>
      <c r="C329" s="43">
        <f>IFERROR(INDEX(الموظفون_الاسم,MATCH($B329,الموظفون_الرقم,0)),"")</f>
        <v/>
      </c>
      <c r="D329" s="40" t="n"/>
      <c r="E329" s="110" t="n"/>
      <c r="F329" s="110" t="n"/>
      <c r="G329" s="110" t="n"/>
      <c r="H329" s="44">
        <f>IF(OR($F329="",$G329=""),"",MAX(0,$G329-$F329+1))</f>
        <v/>
      </c>
      <c r="I329" s="44">
        <f>IF($B329="","",IFERROR(INDEX(الموظفون_الافتتاحي,MATCH($B329,الموظفون_الرقم,0)),0)+IF($D329&lt;&gt;"سنوية",0,IFERROR(DATEDIF(بداية_احتساب_الرصيد,TODAY(),"M"),0)*معدل_الاستحقاق_الشهري)-SUMIFS($J$3:$J$502,$B$3:$B$502,$B329,$D$3:$D$502,"سنوية",$L$3:$L$502,"معتمد",$A$3:$A$502,"&lt;"&amp;$A329))</f>
        <v/>
      </c>
      <c r="J329" s="44">
        <f>IF($L329="معتمد",$H329,0)</f>
        <v/>
      </c>
      <c r="K329" s="44">
        <f>IF($B329="","",$I329-$J329)</f>
        <v/>
      </c>
      <c r="L329" s="40" t="n"/>
      <c r="M329" s="40" t="n"/>
      <c r="N329" s="110" t="n"/>
      <c r="O329" s="40" t="n"/>
    </row>
    <row r="330">
      <c r="A330" s="46" t="n"/>
      <c r="B330" s="47" t="n"/>
      <c r="C330" s="50">
        <f>IFERROR(INDEX(الموظفون_الاسم,MATCH($B330,الموظفون_الرقم,0)),"")</f>
        <v/>
      </c>
      <c r="D330" s="47" t="n"/>
      <c r="E330" s="112" t="n"/>
      <c r="F330" s="112" t="n"/>
      <c r="G330" s="112" t="n"/>
      <c r="H330" s="51">
        <f>IF(OR($F330="",$G330=""),"",MAX(0,$G330-$F330+1))</f>
        <v/>
      </c>
      <c r="I330" s="51">
        <f>IF($B330="","",IFERROR(INDEX(الموظفون_الافتتاحي,MATCH($B330,الموظفون_الرقم,0)),0)+IF($D330&lt;&gt;"سنوية",0,IFERROR(DATEDIF(بداية_احتساب_الرصيد,TODAY(),"M"),0)*معدل_الاستحقاق_الشهري)-SUMIFS($J$3:$J$502,$B$3:$B$502,$B330,$D$3:$D$502,"سنوية",$L$3:$L$502,"معتمد",$A$3:$A$502,"&lt;"&amp;$A330))</f>
        <v/>
      </c>
      <c r="J330" s="51">
        <f>IF($L330="معتمد",$H330,0)</f>
        <v/>
      </c>
      <c r="K330" s="51">
        <f>IF($B330="","",$I330-$J330)</f>
        <v/>
      </c>
      <c r="L330" s="47" t="n"/>
      <c r="M330" s="47" t="n"/>
      <c r="N330" s="112" t="n"/>
      <c r="O330" s="47" t="n"/>
    </row>
    <row r="331">
      <c r="A331" s="39" t="n"/>
      <c r="B331" s="40" t="n"/>
      <c r="C331" s="43">
        <f>IFERROR(INDEX(الموظفون_الاسم,MATCH($B331,الموظفون_الرقم,0)),"")</f>
        <v/>
      </c>
      <c r="D331" s="40" t="n"/>
      <c r="E331" s="110" t="n"/>
      <c r="F331" s="110" t="n"/>
      <c r="G331" s="110" t="n"/>
      <c r="H331" s="44">
        <f>IF(OR($F331="",$G331=""),"",MAX(0,$G331-$F331+1))</f>
        <v/>
      </c>
      <c r="I331" s="44">
        <f>IF($B331="","",IFERROR(INDEX(الموظفون_الافتتاحي,MATCH($B331,الموظفون_الرقم,0)),0)+IF($D331&lt;&gt;"سنوية",0,IFERROR(DATEDIF(بداية_احتساب_الرصيد,TODAY(),"M"),0)*معدل_الاستحقاق_الشهري)-SUMIFS($J$3:$J$502,$B$3:$B$502,$B331,$D$3:$D$502,"سنوية",$L$3:$L$502,"معتمد",$A$3:$A$502,"&lt;"&amp;$A331))</f>
        <v/>
      </c>
      <c r="J331" s="44">
        <f>IF($L331="معتمد",$H331,0)</f>
        <v/>
      </c>
      <c r="K331" s="44">
        <f>IF($B331="","",$I331-$J331)</f>
        <v/>
      </c>
      <c r="L331" s="40" t="n"/>
      <c r="M331" s="40" t="n"/>
      <c r="N331" s="110" t="n"/>
      <c r="O331" s="40" t="n"/>
    </row>
    <row r="332">
      <c r="A332" s="46" t="n"/>
      <c r="B332" s="47" t="n"/>
      <c r="C332" s="50">
        <f>IFERROR(INDEX(الموظفون_الاسم,MATCH($B332,الموظفون_الرقم,0)),"")</f>
        <v/>
      </c>
      <c r="D332" s="47" t="n"/>
      <c r="E332" s="112" t="n"/>
      <c r="F332" s="112" t="n"/>
      <c r="G332" s="112" t="n"/>
      <c r="H332" s="51">
        <f>IF(OR($F332="",$G332=""),"",MAX(0,$G332-$F332+1))</f>
        <v/>
      </c>
      <c r="I332" s="51">
        <f>IF($B332="","",IFERROR(INDEX(الموظفون_الافتتاحي,MATCH($B332,الموظفون_الرقم,0)),0)+IF($D332&lt;&gt;"سنوية",0,IFERROR(DATEDIF(بداية_احتساب_الرصيد,TODAY(),"M"),0)*معدل_الاستحقاق_الشهري)-SUMIFS($J$3:$J$502,$B$3:$B$502,$B332,$D$3:$D$502,"سنوية",$L$3:$L$502,"معتمد",$A$3:$A$502,"&lt;"&amp;$A332))</f>
        <v/>
      </c>
      <c r="J332" s="51">
        <f>IF($L332="معتمد",$H332,0)</f>
        <v/>
      </c>
      <c r="K332" s="51">
        <f>IF($B332="","",$I332-$J332)</f>
        <v/>
      </c>
      <c r="L332" s="47" t="n"/>
      <c r="M332" s="47" t="n"/>
      <c r="N332" s="112" t="n"/>
      <c r="O332" s="47" t="n"/>
    </row>
    <row r="333">
      <c r="A333" s="39" t="n"/>
      <c r="B333" s="40" t="n"/>
      <c r="C333" s="43">
        <f>IFERROR(INDEX(الموظفون_الاسم,MATCH($B333,الموظفون_الرقم,0)),"")</f>
        <v/>
      </c>
      <c r="D333" s="40" t="n"/>
      <c r="E333" s="110" t="n"/>
      <c r="F333" s="110" t="n"/>
      <c r="G333" s="110" t="n"/>
      <c r="H333" s="44">
        <f>IF(OR($F333="",$G333=""),"",MAX(0,$G333-$F333+1))</f>
        <v/>
      </c>
      <c r="I333" s="44">
        <f>IF($B333="","",IFERROR(INDEX(الموظفون_الافتتاحي,MATCH($B333,الموظفون_الرقم,0)),0)+IF($D333&lt;&gt;"سنوية",0,IFERROR(DATEDIF(بداية_احتساب_الرصيد,TODAY(),"M"),0)*معدل_الاستحقاق_الشهري)-SUMIFS($J$3:$J$502,$B$3:$B$502,$B333,$D$3:$D$502,"سنوية",$L$3:$L$502,"معتمد",$A$3:$A$502,"&lt;"&amp;$A333))</f>
        <v/>
      </c>
      <c r="J333" s="44">
        <f>IF($L333="معتمد",$H333,0)</f>
        <v/>
      </c>
      <c r="K333" s="44">
        <f>IF($B333="","",$I333-$J333)</f>
        <v/>
      </c>
      <c r="L333" s="40" t="n"/>
      <c r="M333" s="40" t="n"/>
      <c r="N333" s="110" t="n"/>
      <c r="O333" s="40" t="n"/>
    </row>
    <row r="334">
      <c r="A334" s="46" t="n"/>
      <c r="B334" s="47" t="n"/>
      <c r="C334" s="50">
        <f>IFERROR(INDEX(الموظفون_الاسم,MATCH($B334,الموظفون_الرقم,0)),"")</f>
        <v/>
      </c>
      <c r="D334" s="47" t="n"/>
      <c r="E334" s="112" t="n"/>
      <c r="F334" s="112" t="n"/>
      <c r="G334" s="112" t="n"/>
      <c r="H334" s="51">
        <f>IF(OR($F334="",$G334=""),"",MAX(0,$G334-$F334+1))</f>
        <v/>
      </c>
      <c r="I334" s="51">
        <f>IF($B334="","",IFERROR(INDEX(الموظفون_الافتتاحي,MATCH($B334,الموظفون_الرقم,0)),0)+IF($D334&lt;&gt;"سنوية",0,IFERROR(DATEDIF(بداية_احتساب_الرصيد,TODAY(),"M"),0)*معدل_الاستحقاق_الشهري)-SUMIFS($J$3:$J$502,$B$3:$B$502,$B334,$D$3:$D$502,"سنوية",$L$3:$L$502,"معتمد",$A$3:$A$502,"&lt;"&amp;$A334))</f>
        <v/>
      </c>
      <c r="J334" s="51">
        <f>IF($L334="معتمد",$H334,0)</f>
        <v/>
      </c>
      <c r="K334" s="51">
        <f>IF($B334="","",$I334-$J334)</f>
        <v/>
      </c>
      <c r="L334" s="47" t="n"/>
      <c r="M334" s="47" t="n"/>
      <c r="N334" s="112" t="n"/>
      <c r="O334" s="47" t="n"/>
    </row>
    <row r="335">
      <c r="A335" s="39" t="n"/>
      <c r="B335" s="40" t="n"/>
      <c r="C335" s="43">
        <f>IFERROR(INDEX(الموظفون_الاسم,MATCH($B335,الموظفون_الرقم,0)),"")</f>
        <v/>
      </c>
      <c r="D335" s="40" t="n"/>
      <c r="E335" s="110" t="n"/>
      <c r="F335" s="110" t="n"/>
      <c r="G335" s="110" t="n"/>
      <c r="H335" s="44">
        <f>IF(OR($F335="",$G335=""),"",MAX(0,$G335-$F335+1))</f>
        <v/>
      </c>
      <c r="I335" s="44">
        <f>IF($B335="","",IFERROR(INDEX(الموظفون_الافتتاحي,MATCH($B335,الموظفون_الرقم,0)),0)+IF($D335&lt;&gt;"سنوية",0,IFERROR(DATEDIF(بداية_احتساب_الرصيد,TODAY(),"M"),0)*معدل_الاستحقاق_الشهري)-SUMIFS($J$3:$J$502,$B$3:$B$502,$B335,$D$3:$D$502,"سنوية",$L$3:$L$502,"معتمد",$A$3:$A$502,"&lt;"&amp;$A335))</f>
        <v/>
      </c>
      <c r="J335" s="44">
        <f>IF($L335="معتمد",$H335,0)</f>
        <v/>
      </c>
      <c r="K335" s="44">
        <f>IF($B335="","",$I335-$J335)</f>
        <v/>
      </c>
      <c r="L335" s="40" t="n"/>
      <c r="M335" s="40" t="n"/>
      <c r="N335" s="110" t="n"/>
      <c r="O335" s="40" t="n"/>
    </row>
    <row r="336">
      <c r="A336" s="46" t="n"/>
      <c r="B336" s="47" t="n"/>
      <c r="C336" s="50">
        <f>IFERROR(INDEX(الموظفون_الاسم,MATCH($B336,الموظفون_الرقم,0)),"")</f>
        <v/>
      </c>
      <c r="D336" s="47" t="n"/>
      <c r="E336" s="112" t="n"/>
      <c r="F336" s="112" t="n"/>
      <c r="G336" s="112" t="n"/>
      <c r="H336" s="51">
        <f>IF(OR($F336="",$G336=""),"",MAX(0,$G336-$F336+1))</f>
        <v/>
      </c>
      <c r="I336" s="51">
        <f>IF($B336="","",IFERROR(INDEX(الموظفون_الافتتاحي,MATCH($B336,الموظفون_الرقم,0)),0)+IF($D336&lt;&gt;"سنوية",0,IFERROR(DATEDIF(بداية_احتساب_الرصيد,TODAY(),"M"),0)*معدل_الاستحقاق_الشهري)-SUMIFS($J$3:$J$502,$B$3:$B$502,$B336,$D$3:$D$502,"سنوية",$L$3:$L$502,"معتمد",$A$3:$A$502,"&lt;"&amp;$A336))</f>
        <v/>
      </c>
      <c r="J336" s="51">
        <f>IF($L336="معتمد",$H336,0)</f>
        <v/>
      </c>
      <c r="K336" s="51">
        <f>IF($B336="","",$I336-$J336)</f>
        <v/>
      </c>
      <c r="L336" s="47" t="n"/>
      <c r="M336" s="47" t="n"/>
      <c r="N336" s="112" t="n"/>
      <c r="O336" s="47" t="n"/>
    </row>
    <row r="337">
      <c r="A337" s="39" t="n"/>
      <c r="B337" s="40" t="n"/>
      <c r="C337" s="43">
        <f>IFERROR(INDEX(الموظفون_الاسم,MATCH($B337,الموظفون_الرقم,0)),"")</f>
        <v/>
      </c>
      <c r="D337" s="40" t="n"/>
      <c r="E337" s="110" t="n"/>
      <c r="F337" s="110" t="n"/>
      <c r="G337" s="110" t="n"/>
      <c r="H337" s="44">
        <f>IF(OR($F337="",$G337=""),"",MAX(0,$G337-$F337+1))</f>
        <v/>
      </c>
      <c r="I337" s="44">
        <f>IF($B337="","",IFERROR(INDEX(الموظفون_الافتتاحي,MATCH($B337,الموظفون_الرقم,0)),0)+IF($D337&lt;&gt;"سنوية",0,IFERROR(DATEDIF(بداية_احتساب_الرصيد,TODAY(),"M"),0)*معدل_الاستحقاق_الشهري)-SUMIFS($J$3:$J$502,$B$3:$B$502,$B337,$D$3:$D$502,"سنوية",$L$3:$L$502,"معتمد",$A$3:$A$502,"&lt;"&amp;$A337))</f>
        <v/>
      </c>
      <c r="J337" s="44">
        <f>IF($L337="معتمد",$H337,0)</f>
        <v/>
      </c>
      <c r="K337" s="44">
        <f>IF($B337="","",$I337-$J337)</f>
        <v/>
      </c>
      <c r="L337" s="40" t="n"/>
      <c r="M337" s="40" t="n"/>
      <c r="N337" s="110" t="n"/>
      <c r="O337" s="40" t="n"/>
    </row>
    <row r="338">
      <c r="A338" s="46" t="n"/>
      <c r="B338" s="47" t="n"/>
      <c r="C338" s="50">
        <f>IFERROR(INDEX(الموظفون_الاسم,MATCH($B338,الموظفون_الرقم,0)),"")</f>
        <v/>
      </c>
      <c r="D338" s="47" t="n"/>
      <c r="E338" s="112" t="n"/>
      <c r="F338" s="112" t="n"/>
      <c r="G338" s="112" t="n"/>
      <c r="H338" s="51">
        <f>IF(OR($F338="",$G338=""),"",MAX(0,$G338-$F338+1))</f>
        <v/>
      </c>
      <c r="I338" s="51">
        <f>IF($B338="","",IFERROR(INDEX(الموظفون_الافتتاحي,MATCH($B338,الموظفون_الرقم,0)),0)+IF($D338&lt;&gt;"سنوية",0,IFERROR(DATEDIF(بداية_احتساب_الرصيد,TODAY(),"M"),0)*معدل_الاستحقاق_الشهري)-SUMIFS($J$3:$J$502,$B$3:$B$502,$B338,$D$3:$D$502,"سنوية",$L$3:$L$502,"معتمد",$A$3:$A$502,"&lt;"&amp;$A338))</f>
        <v/>
      </c>
      <c r="J338" s="51">
        <f>IF($L338="معتمد",$H338,0)</f>
        <v/>
      </c>
      <c r="K338" s="51">
        <f>IF($B338="","",$I338-$J338)</f>
        <v/>
      </c>
      <c r="L338" s="47" t="n"/>
      <c r="M338" s="47" t="n"/>
      <c r="N338" s="112" t="n"/>
      <c r="O338" s="47" t="n"/>
    </row>
    <row r="339">
      <c r="A339" s="39" t="n"/>
      <c r="B339" s="40" t="n"/>
      <c r="C339" s="43">
        <f>IFERROR(INDEX(الموظفون_الاسم,MATCH($B339,الموظفون_الرقم,0)),"")</f>
        <v/>
      </c>
      <c r="D339" s="40" t="n"/>
      <c r="E339" s="110" t="n"/>
      <c r="F339" s="110" t="n"/>
      <c r="G339" s="110" t="n"/>
      <c r="H339" s="44">
        <f>IF(OR($F339="",$G339=""),"",MAX(0,$G339-$F339+1))</f>
        <v/>
      </c>
      <c r="I339" s="44">
        <f>IF($B339="","",IFERROR(INDEX(الموظفون_الافتتاحي,MATCH($B339,الموظفون_الرقم,0)),0)+IF($D339&lt;&gt;"سنوية",0,IFERROR(DATEDIF(بداية_احتساب_الرصيد,TODAY(),"M"),0)*معدل_الاستحقاق_الشهري)-SUMIFS($J$3:$J$502,$B$3:$B$502,$B339,$D$3:$D$502,"سنوية",$L$3:$L$502,"معتمد",$A$3:$A$502,"&lt;"&amp;$A339))</f>
        <v/>
      </c>
      <c r="J339" s="44">
        <f>IF($L339="معتمد",$H339,0)</f>
        <v/>
      </c>
      <c r="K339" s="44">
        <f>IF($B339="","",$I339-$J339)</f>
        <v/>
      </c>
      <c r="L339" s="40" t="n"/>
      <c r="M339" s="40" t="n"/>
      <c r="N339" s="110" t="n"/>
      <c r="O339" s="40" t="n"/>
    </row>
    <row r="340">
      <c r="A340" s="46" t="n"/>
      <c r="B340" s="47" t="n"/>
      <c r="C340" s="50">
        <f>IFERROR(INDEX(الموظفون_الاسم,MATCH($B340,الموظفون_الرقم,0)),"")</f>
        <v/>
      </c>
      <c r="D340" s="47" t="n"/>
      <c r="E340" s="112" t="n"/>
      <c r="F340" s="112" t="n"/>
      <c r="G340" s="112" t="n"/>
      <c r="H340" s="51">
        <f>IF(OR($F340="",$G340=""),"",MAX(0,$G340-$F340+1))</f>
        <v/>
      </c>
      <c r="I340" s="51">
        <f>IF($B340="","",IFERROR(INDEX(الموظفون_الافتتاحي,MATCH($B340,الموظفون_الرقم,0)),0)+IF($D340&lt;&gt;"سنوية",0,IFERROR(DATEDIF(بداية_احتساب_الرصيد,TODAY(),"M"),0)*معدل_الاستحقاق_الشهري)-SUMIFS($J$3:$J$502,$B$3:$B$502,$B340,$D$3:$D$502,"سنوية",$L$3:$L$502,"معتمد",$A$3:$A$502,"&lt;"&amp;$A340))</f>
        <v/>
      </c>
      <c r="J340" s="51">
        <f>IF($L340="معتمد",$H340,0)</f>
        <v/>
      </c>
      <c r="K340" s="51">
        <f>IF($B340="","",$I340-$J340)</f>
        <v/>
      </c>
      <c r="L340" s="47" t="n"/>
      <c r="M340" s="47" t="n"/>
      <c r="N340" s="112" t="n"/>
      <c r="O340" s="47" t="n"/>
    </row>
    <row r="341">
      <c r="A341" s="39" t="n"/>
      <c r="B341" s="40" t="n"/>
      <c r="C341" s="43">
        <f>IFERROR(INDEX(الموظفون_الاسم,MATCH($B341,الموظفون_الرقم,0)),"")</f>
        <v/>
      </c>
      <c r="D341" s="40" t="n"/>
      <c r="E341" s="110" t="n"/>
      <c r="F341" s="110" t="n"/>
      <c r="G341" s="110" t="n"/>
      <c r="H341" s="44">
        <f>IF(OR($F341="",$G341=""),"",MAX(0,$G341-$F341+1))</f>
        <v/>
      </c>
      <c r="I341" s="44">
        <f>IF($B341="","",IFERROR(INDEX(الموظفون_الافتتاحي,MATCH($B341,الموظفون_الرقم,0)),0)+IF($D341&lt;&gt;"سنوية",0,IFERROR(DATEDIF(بداية_احتساب_الرصيد,TODAY(),"M"),0)*معدل_الاستحقاق_الشهري)-SUMIFS($J$3:$J$502,$B$3:$B$502,$B341,$D$3:$D$502,"سنوية",$L$3:$L$502,"معتمد",$A$3:$A$502,"&lt;"&amp;$A341))</f>
        <v/>
      </c>
      <c r="J341" s="44">
        <f>IF($L341="معتمد",$H341,0)</f>
        <v/>
      </c>
      <c r="K341" s="44">
        <f>IF($B341="","",$I341-$J341)</f>
        <v/>
      </c>
      <c r="L341" s="40" t="n"/>
      <c r="M341" s="40" t="n"/>
      <c r="N341" s="110" t="n"/>
      <c r="O341" s="40" t="n"/>
    </row>
    <row r="342">
      <c r="A342" s="46" t="n"/>
      <c r="B342" s="47" t="n"/>
      <c r="C342" s="50">
        <f>IFERROR(INDEX(الموظفون_الاسم,MATCH($B342,الموظفون_الرقم,0)),"")</f>
        <v/>
      </c>
      <c r="D342" s="47" t="n"/>
      <c r="E342" s="112" t="n"/>
      <c r="F342" s="112" t="n"/>
      <c r="G342" s="112" t="n"/>
      <c r="H342" s="51">
        <f>IF(OR($F342="",$G342=""),"",MAX(0,$G342-$F342+1))</f>
        <v/>
      </c>
      <c r="I342" s="51">
        <f>IF($B342="","",IFERROR(INDEX(الموظفون_الافتتاحي,MATCH($B342,الموظفون_الرقم,0)),0)+IF($D342&lt;&gt;"سنوية",0,IFERROR(DATEDIF(بداية_احتساب_الرصيد,TODAY(),"M"),0)*معدل_الاستحقاق_الشهري)-SUMIFS($J$3:$J$502,$B$3:$B$502,$B342,$D$3:$D$502,"سنوية",$L$3:$L$502,"معتمد",$A$3:$A$502,"&lt;"&amp;$A342))</f>
        <v/>
      </c>
      <c r="J342" s="51">
        <f>IF($L342="معتمد",$H342,0)</f>
        <v/>
      </c>
      <c r="K342" s="51">
        <f>IF($B342="","",$I342-$J342)</f>
        <v/>
      </c>
      <c r="L342" s="47" t="n"/>
      <c r="M342" s="47" t="n"/>
      <c r="N342" s="112" t="n"/>
      <c r="O342" s="47" t="n"/>
    </row>
    <row r="343">
      <c r="A343" s="39" t="n"/>
      <c r="B343" s="40" t="n"/>
      <c r="C343" s="43">
        <f>IFERROR(INDEX(الموظفون_الاسم,MATCH($B343,الموظفون_الرقم,0)),"")</f>
        <v/>
      </c>
      <c r="D343" s="40" t="n"/>
      <c r="E343" s="110" t="n"/>
      <c r="F343" s="110" t="n"/>
      <c r="G343" s="110" t="n"/>
      <c r="H343" s="44">
        <f>IF(OR($F343="",$G343=""),"",MAX(0,$G343-$F343+1))</f>
        <v/>
      </c>
      <c r="I343" s="44">
        <f>IF($B343="","",IFERROR(INDEX(الموظفون_الافتتاحي,MATCH($B343,الموظفون_الرقم,0)),0)+IF($D343&lt;&gt;"سنوية",0,IFERROR(DATEDIF(بداية_احتساب_الرصيد,TODAY(),"M"),0)*معدل_الاستحقاق_الشهري)-SUMIFS($J$3:$J$502,$B$3:$B$502,$B343,$D$3:$D$502,"سنوية",$L$3:$L$502,"معتمد",$A$3:$A$502,"&lt;"&amp;$A343))</f>
        <v/>
      </c>
      <c r="J343" s="44">
        <f>IF($L343="معتمد",$H343,0)</f>
        <v/>
      </c>
      <c r="K343" s="44">
        <f>IF($B343="","",$I343-$J343)</f>
        <v/>
      </c>
      <c r="L343" s="40" t="n"/>
      <c r="M343" s="40" t="n"/>
      <c r="N343" s="110" t="n"/>
      <c r="O343" s="40" t="n"/>
    </row>
    <row r="344">
      <c r="A344" s="46" t="n"/>
      <c r="B344" s="47" t="n"/>
      <c r="C344" s="50">
        <f>IFERROR(INDEX(الموظفون_الاسم,MATCH($B344,الموظفون_الرقم,0)),"")</f>
        <v/>
      </c>
      <c r="D344" s="47" t="n"/>
      <c r="E344" s="112" t="n"/>
      <c r="F344" s="112" t="n"/>
      <c r="G344" s="112" t="n"/>
      <c r="H344" s="51">
        <f>IF(OR($F344="",$G344=""),"",MAX(0,$G344-$F344+1))</f>
        <v/>
      </c>
      <c r="I344" s="51">
        <f>IF($B344="","",IFERROR(INDEX(الموظفون_الافتتاحي,MATCH($B344,الموظفون_الرقم,0)),0)+IF($D344&lt;&gt;"سنوية",0,IFERROR(DATEDIF(بداية_احتساب_الرصيد,TODAY(),"M"),0)*معدل_الاستحقاق_الشهري)-SUMIFS($J$3:$J$502,$B$3:$B$502,$B344,$D$3:$D$502,"سنوية",$L$3:$L$502,"معتمد",$A$3:$A$502,"&lt;"&amp;$A344))</f>
        <v/>
      </c>
      <c r="J344" s="51">
        <f>IF($L344="معتمد",$H344,0)</f>
        <v/>
      </c>
      <c r="K344" s="51">
        <f>IF($B344="","",$I344-$J344)</f>
        <v/>
      </c>
      <c r="L344" s="47" t="n"/>
      <c r="M344" s="47" t="n"/>
      <c r="N344" s="112" t="n"/>
      <c r="O344" s="47" t="n"/>
    </row>
    <row r="345">
      <c r="A345" s="39" t="n"/>
      <c r="B345" s="40" t="n"/>
      <c r="C345" s="43">
        <f>IFERROR(INDEX(الموظفون_الاسم,MATCH($B345,الموظفون_الرقم,0)),"")</f>
        <v/>
      </c>
      <c r="D345" s="40" t="n"/>
      <c r="E345" s="110" t="n"/>
      <c r="F345" s="110" t="n"/>
      <c r="G345" s="110" t="n"/>
      <c r="H345" s="44">
        <f>IF(OR($F345="",$G345=""),"",MAX(0,$G345-$F345+1))</f>
        <v/>
      </c>
      <c r="I345" s="44">
        <f>IF($B345="","",IFERROR(INDEX(الموظفون_الافتتاحي,MATCH($B345,الموظفون_الرقم,0)),0)+IF($D345&lt;&gt;"سنوية",0,IFERROR(DATEDIF(بداية_احتساب_الرصيد,TODAY(),"M"),0)*معدل_الاستحقاق_الشهري)-SUMIFS($J$3:$J$502,$B$3:$B$502,$B345,$D$3:$D$502,"سنوية",$L$3:$L$502,"معتمد",$A$3:$A$502,"&lt;"&amp;$A345))</f>
        <v/>
      </c>
      <c r="J345" s="44">
        <f>IF($L345="معتمد",$H345,0)</f>
        <v/>
      </c>
      <c r="K345" s="44">
        <f>IF($B345="","",$I345-$J345)</f>
        <v/>
      </c>
      <c r="L345" s="40" t="n"/>
      <c r="M345" s="40" t="n"/>
      <c r="N345" s="110" t="n"/>
      <c r="O345" s="40" t="n"/>
    </row>
    <row r="346">
      <c r="A346" s="46" t="n"/>
      <c r="B346" s="47" t="n"/>
      <c r="C346" s="50">
        <f>IFERROR(INDEX(الموظفون_الاسم,MATCH($B346,الموظفون_الرقم,0)),"")</f>
        <v/>
      </c>
      <c r="D346" s="47" t="n"/>
      <c r="E346" s="112" t="n"/>
      <c r="F346" s="112" t="n"/>
      <c r="G346" s="112" t="n"/>
      <c r="H346" s="51">
        <f>IF(OR($F346="",$G346=""),"",MAX(0,$G346-$F346+1))</f>
        <v/>
      </c>
      <c r="I346" s="51">
        <f>IF($B346="","",IFERROR(INDEX(الموظفون_الافتتاحي,MATCH($B346,الموظفون_الرقم,0)),0)+IF($D346&lt;&gt;"سنوية",0,IFERROR(DATEDIF(بداية_احتساب_الرصيد,TODAY(),"M"),0)*معدل_الاستحقاق_الشهري)-SUMIFS($J$3:$J$502,$B$3:$B$502,$B346,$D$3:$D$502,"سنوية",$L$3:$L$502,"معتمد",$A$3:$A$502,"&lt;"&amp;$A346))</f>
        <v/>
      </c>
      <c r="J346" s="51">
        <f>IF($L346="معتمد",$H346,0)</f>
        <v/>
      </c>
      <c r="K346" s="51">
        <f>IF($B346="","",$I346-$J346)</f>
        <v/>
      </c>
      <c r="L346" s="47" t="n"/>
      <c r="M346" s="47" t="n"/>
      <c r="N346" s="112" t="n"/>
      <c r="O346" s="47" t="n"/>
    </row>
    <row r="347">
      <c r="A347" s="39" t="n"/>
      <c r="B347" s="40" t="n"/>
      <c r="C347" s="43">
        <f>IFERROR(INDEX(الموظفون_الاسم,MATCH($B347,الموظفون_الرقم,0)),"")</f>
        <v/>
      </c>
      <c r="D347" s="40" t="n"/>
      <c r="E347" s="110" t="n"/>
      <c r="F347" s="110" t="n"/>
      <c r="G347" s="110" t="n"/>
      <c r="H347" s="44">
        <f>IF(OR($F347="",$G347=""),"",MAX(0,$G347-$F347+1))</f>
        <v/>
      </c>
      <c r="I347" s="44">
        <f>IF($B347="","",IFERROR(INDEX(الموظفون_الافتتاحي,MATCH($B347,الموظفون_الرقم,0)),0)+IF($D347&lt;&gt;"سنوية",0,IFERROR(DATEDIF(بداية_احتساب_الرصيد,TODAY(),"M"),0)*معدل_الاستحقاق_الشهري)-SUMIFS($J$3:$J$502,$B$3:$B$502,$B347,$D$3:$D$502,"سنوية",$L$3:$L$502,"معتمد",$A$3:$A$502,"&lt;"&amp;$A347))</f>
        <v/>
      </c>
      <c r="J347" s="44">
        <f>IF($L347="معتمد",$H347,0)</f>
        <v/>
      </c>
      <c r="K347" s="44">
        <f>IF($B347="","",$I347-$J347)</f>
        <v/>
      </c>
      <c r="L347" s="40" t="n"/>
      <c r="M347" s="40" t="n"/>
      <c r="N347" s="110" t="n"/>
      <c r="O347" s="40" t="n"/>
    </row>
    <row r="348">
      <c r="A348" s="46" t="n"/>
      <c r="B348" s="47" t="n"/>
      <c r="C348" s="50">
        <f>IFERROR(INDEX(الموظفون_الاسم,MATCH($B348,الموظفون_الرقم,0)),"")</f>
        <v/>
      </c>
      <c r="D348" s="47" t="n"/>
      <c r="E348" s="112" t="n"/>
      <c r="F348" s="112" t="n"/>
      <c r="G348" s="112" t="n"/>
      <c r="H348" s="51">
        <f>IF(OR($F348="",$G348=""),"",MAX(0,$G348-$F348+1))</f>
        <v/>
      </c>
      <c r="I348" s="51">
        <f>IF($B348="","",IFERROR(INDEX(الموظفون_الافتتاحي,MATCH($B348,الموظفون_الرقم,0)),0)+IF($D348&lt;&gt;"سنوية",0,IFERROR(DATEDIF(بداية_احتساب_الرصيد,TODAY(),"M"),0)*معدل_الاستحقاق_الشهري)-SUMIFS($J$3:$J$502,$B$3:$B$502,$B348,$D$3:$D$502,"سنوية",$L$3:$L$502,"معتمد",$A$3:$A$502,"&lt;"&amp;$A348))</f>
        <v/>
      </c>
      <c r="J348" s="51">
        <f>IF($L348="معتمد",$H348,0)</f>
        <v/>
      </c>
      <c r="K348" s="51">
        <f>IF($B348="","",$I348-$J348)</f>
        <v/>
      </c>
      <c r="L348" s="47" t="n"/>
      <c r="M348" s="47" t="n"/>
      <c r="N348" s="112" t="n"/>
      <c r="O348" s="47" t="n"/>
    </row>
    <row r="349">
      <c r="A349" s="39" t="n"/>
      <c r="B349" s="40" t="n"/>
      <c r="C349" s="43">
        <f>IFERROR(INDEX(الموظفون_الاسم,MATCH($B349,الموظفون_الرقم,0)),"")</f>
        <v/>
      </c>
      <c r="D349" s="40" t="n"/>
      <c r="E349" s="110" t="n"/>
      <c r="F349" s="110" t="n"/>
      <c r="G349" s="110" t="n"/>
      <c r="H349" s="44">
        <f>IF(OR($F349="",$G349=""),"",MAX(0,$G349-$F349+1))</f>
        <v/>
      </c>
      <c r="I349" s="44">
        <f>IF($B349="","",IFERROR(INDEX(الموظفون_الافتتاحي,MATCH($B349,الموظفون_الرقم,0)),0)+IF($D349&lt;&gt;"سنوية",0,IFERROR(DATEDIF(بداية_احتساب_الرصيد,TODAY(),"M"),0)*معدل_الاستحقاق_الشهري)-SUMIFS($J$3:$J$502,$B$3:$B$502,$B349,$D$3:$D$502,"سنوية",$L$3:$L$502,"معتمد",$A$3:$A$502,"&lt;"&amp;$A349))</f>
        <v/>
      </c>
      <c r="J349" s="44">
        <f>IF($L349="معتمد",$H349,0)</f>
        <v/>
      </c>
      <c r="K349" s="44">
        <f>IF($B349="","",$I349-$J349)</f>
        <v/>
      </c>
      <c r="L349" s="40" t="n"/>
      <c r="M349" s="40" t="n"/>
      <c r="N349" s="110" t="n"/>
      <c r="O349" s="40" t="n"/>
    </row>
    <row r="350">
      <c r="A350" s="46" t="n"/>
      <c r="B350" s="47" t="n"/>
      <c r="C350" s="50">
        <f>IFERROR(INDEX(الموظفون_الاسم,MATCH($B350,الموظفون_الرقم,0)),"")</f>
        <v/>
      </c>
      <c r="D350" s="47" t="n"/>
      <c r="E350" s="112" t="n"/>
      <c r="F350" s="112" t="n"/>
      <c r="G350" s="112" t="n"/>
      <c r="H350" s="51">
        <f>IF(OR($F350="",$G350=""),"",MAX(0,$G350-$F350+1))</f>
        <v/>
      </c>
      <c r="I350" s="51">
        <f>IF($B350="","",IFERROR(INDEX(الموظفون_الافتتاحي,MATCH($B350,الموظفون_الرقم,0)),0)+IF($D350&lt;&gt;"سنوية",0,IFERROR(DATEDIF(بداية_احتساب_الرصيد,TODAY(),"M"),0)*معدل_الاستحقاق_الشهري)-SUMIFS($J$3:$J$502,$B$3:$B$502,$B350,$D$3:$D$502,"سنوية",$L$3:$L$502,"معتمد",$A$3:$A$502,"&lt;"&amp;$A350))</f>
        <v/>
      </c>
      <c r="J350" s="51">
        <f>IF($L350="معتمد",$H350,0)</f>
        <v/>
      </c>
      <c r="K350" s="51">
        <f>IF($B350="","",$I350-$J350)</f>
        <v/>
      </c>
      <c r="L350" s="47" t="n"/>
      <c r="M350" s="47" t="n"/>
      <c r="N350" s="112" t="n"/>
      <c r="O350" s="47" t="n"/>
    </row>
    <row r="351">
      <c r="A351" s="39" t="n"/>
      <c r="B351" s="40" t="n"/>
      <c r="C351" s="43">
        <f>IFERROR(INDEX(الموظفون_الاسم,MATCH($B351,الموظفون_الرقم,0)),"")</f>
        <v/>
      </c>
      <c r="D351" s="40" t="n"/>
      <c r="E351" s="110" t="n"/>
      <c r="F351" s="110" t="n"/>
      <c r="G351" s="110" t="n"/>
      <c r="H351" s="44">
        <f>IF(OR($F351="",$G351=""),"",MAX(0,$G351-$F351+1))</f>
        <v/>
      </c>
      <c r="I351" s="44">
        <f>IF($B351="","",IFERROR(INDEX(الموظفون_الافتتاحي,MATCH($B351,الموظفون_الرقم,0)),0)+IF($D351&lt;&gt;"سنوية",0,IFERROR(DATEDIF(بداية_احتساب_الرصيد,TODAY(),"M"),0)*معدل_الاستحقاق_الشهري)-SUMIFS($J$3:$J$502,$B$3:$B$502,$B351,$D$3:$D$502,"سنوية",$L$3:$L$502,"معتمد",$A$3:$A$502,"&lt;"&amp;$A351))</f>
        <v/>
      </c>
      <c r="J351" s="44">
        <f>IF($L351="معتمد",$H351,0)</f>
        <v/>
      </c>
      <c r="K351" s="44">
        <f>IF($B351="","",$I351-$J351)</f>
        <v/>
      </c>
      <c r="L351" s="40" t="n"/>
      <c r="M351" s="40" t="n"/>
      <c r="N351" s="110" t="n"/>
      <c r="O351" s="40" t="n"/>
    </row>
    <row r="352">
      <c r="A352" s="46" t="n"/>
      <c r="B352" s="47" t="n"/>
      <c r="C352" s="50">
        <f>IFERROR(INDEX(الموظفون_الاسم,MATCH($B352,الموظفون_الرقم,0)),"")</f>
        <v/>
      </c>
      <c r="D352" s="47" t="n"/>
      <c r="E352" s="112" t="n"/>
      <c r="F352" s="112" t="n"/>
      <c r="G352" s="112" t="n"/>
      <c r="H352" s="51">
        <f>IF(OR($F352="",$G352=""),"",MAX(0,$G352-$F352+1))</f>
        <v/>
      </c>
      <c r="I352" s="51">
        <f>IF($B352="","",IFERROR(INDEX(الموظفون_الافتتاحي,MATCH($B352,الموظفون_الرقم,0)),0)+IF($D352&lt;&gt;"سنوية",0,IFERROR(DATEDIF(بداية_احتساب_الرصيد,TODAY(),"M"),0)*معدل_الاستحقاق_الشهري)-SUMIFS($J$3:$J$502,$B$3:$B$502,$B352,$D$3:$D$502,"سنوية",$L$3:$L$502,"معتمد",$A$3:$A$502,"&lt;"&amp;$A352))</f>
        <v/>
      </c>
      <c r="J352" s="51">
        <f>IF($L352="معتمد",$H352,0)</f>
        <v/>
      </c>
      <c r="K352" s="51">
        <f>IF($B352="","",$I352-$J352)</f>
        <v/>
      </c>
      <c r="L352" s="47" t="n"/>
      <c r="M352" s="47" t="n"/>
      <c r="N352" s="112" t="n"/>
      <c r="O352" s="47" t="n"/>
    </row>
    <row r="353">
      <c r="A353" s="39" t="n"/>
      <c r="B353" s="40" t="n"/>
      <c r="C353" s="43">
        <f>IFERROR(INDEX(الموظفون_الاسم,MATCH($B353,الموظفون_الرقم,0)),"")</f>
        <v/>
      </c>
      <c r="D353" s="40" t="n"/>
      <c r="E353" s="110" t="n"/>
      <c r="F353" s="110" t="n"/>
      <c r="G353" s="110" t="n"/>
      <c r="H353" s="44">
        <f>IF(OR($F353="",$G353=""),"",MAX(0,$G353-$F353+1))</f>
        <v/>
      </c>
      <c r="I353" s="44">
        <f>IF($B353="","",IFERROR(INDEX(الموظفون_الافتتاحي,MATCH($B353,الموظفون_الرقم,0)),0)+IF($D353&lt;&gt;"سنوية",0,IFERROR(DATEDIF(بداية_احتساب_الرصيد,TODAY(),"M"),0)*معدل_الاستحقاق_الشهري)-SUMIFS($J$3:$J$502,$B$3:$B$502,$B353,$D$3:$D$502,"سنوية",$L$3:$L$502,"معتمد",$A$3:$A$502,"&lt;"&amp;$A353))</f>
        <v/>
      </c>
      <c r="J353" s="44">
        <f>IF($L353="معتمد",$H353,0)</f>
        <v/>
      </c>
      <c r="K353" s="44">
        <f>IF($B353="","",$I353-$J353)</f>
        <v/>
      </c>
      <c r="L353" s="40" t="n"/>
      <c r="M353" s="40" t="n"/>
      <c r="N353" s="110" t="n"/>
      <c r="O353" s="40" t="n"/>
    </row>
    <row r="354">
      <c r="A354" s="46" t="n"/>
      <c r="B354" s="47" t="n"/>
      <c r="C354" s="50">
        <f>IFERROR(INDEX(الموظفون_الاسم,MATCH($B354,الموظفون_الرقم,0)),"")</f>
        <v/>
      </c>
      <c r="D354" s="47" t="n"/>
      <c r="E354" s="112" t="n"/>
      <c r="F354" s="112" t="n"/>
      <c r="G354" s="112" t="n"/>
      <c r="H354" s="51">
        <f>IF(OR($F354="",$G354=""),"",MAX(0,$G354-$F354+1))</f>
        <v/>
      </c>
      <c r="I354" s="51">
        <f>IF($B354="","",IFERROR(INDEX(الموظفون_الافتتاحي,MATCH($B354,الموظفون_الرقم,0)),0)+IF($D354&lt;&gt;"سنوية",0,IFERROR(DATEDIF(بداية_احتساب_الرصيد,TODAY(),"M"),0)*معدل_الاستحقاق_الشهري)-SUMIFS($J$3:$J$502,$B$3:$B$502,$B354,$D$3:$D$502,"سنوية",$L$3:$L$502,"معتمد",$A$3:$A$502,"&lt;"&amp;$A354))</f>
        <v/>
      </c>
      <c r="J354" s="51">
        <f>IF($L354="معتمد",$H354,0)</f>
        <v/>
      </c>
      <c r="K354" s="51">
        <f>IF($B354="","",$I354-$J354)</f>
        <v/>
      </c>
      <c r="L354" s="47" t="n"/>
      <c r="M354" s="47" t="n"/>
      <c r="N354" s="112" t="n"/>
      <c r="O354" s="47" t="n"/>
    </row>
    <row r="355">
      <c r="A355" s="39" t="n"/>
      <c r="B355" s="40" t="n"/>
      <c r="C355" s="43">
        <f>IFERROR(INDEX(الموظفون_الاسم,MATCH($B355,الموظفون_الرقم,0)),"")</f>
        <v/>
      </c>
      <c r="D355" s="40" t="n"/>
      <c r="E355" s="110" t="n"/>
      <c r="F355" s="110" t="n"/>
      <c r="G355" s="110" t="n"/>
      <c r="H355" s="44">
        <f>IF(OR($F355="",$G355=""),"",MAX(0,$G355-$F355+1))</f>
        <v/>
      </c>
      <c r="I355" s="44">
        <f>IF($B355="","",IFERROR(INDEX(الموظفون_الافتتاحي,MATCH($B355,الموظفون_الرقم,0)),0)+IF($D355&lt;&gt;"سنوية",0,IFERROR(DATEDIF(بداية_احتساب_الرصيد,TODAY(),"M"),0)*معدل_الاستحقاق_الشهري)-SUMIFS($J$3:$J$502,$B$3:$B$502,$B355,$D$3:$D$502,"سنوية",$L$3:$L$502,"معتمد",$A$3:$A$502,"&lt;"&amp;$A355))</f>
        <v/>
      </c>
      <c r="J355" s="44">
        <f>IF($L355="معتمد",$H355,0)</f>
        <v/>
      </c>
      <c r="K355" s="44">
        <f>IF($B355="","",$I355-$J355)</f>
        <v/>
      </c>
      <c r="L355" s="40" t="n"/>
      <c r="M355" s="40" t="n"/>
      <c r="N355" s="110" t="n"/>
      <c r="O355" s="40" t="n"/>
    </row>
    <row r="356">
      <c r="A356" s="46" t="n"/>
      <c r="B356" s="47" t="n"/>
      <c r="C356" s="50">
        <f>IFERROR(INDEX(الموظفون_الاسم,MATCH($B356,الموظفون_الرقم,0)),"")</f>
        <v/>
      </c>
      <c r="D356" s="47" t="n"/>
      <c r="E356" s="112" t="n"/>
      <c r="F356" s="112" t="n"/>
      <c r="G356" s="112" t="n"/>
      <c r="H356" s="51">
        <f>IF(OR($F356="",$G356=""),"",MAX(0,$G356-$F356+1))</f>
        <v/>
      </c>
      <c r="I356" s="51">
        <f>IF($B356="","",IFERROR(INDEX(الموظفون_الافتتاحي,MATCH($B356,الموظفون_الرقم,0)),0)+IF($D356&lt;&gt;"سنوية",0,IFERROR(DATEDIF(بداية_احتساب_الرصيد,TODAY(),"M"),0)*معدل_الاستحقاق_الشهري)-SUMIFS($J$3:$J$502,$B$3:$B$502,$B356,$D$3:$D$502,"سنوية",$L$3:$L$502,"معتمد",$A$3:$A$502,"&lt;"&amp;$A356))</f>
        <v/>
      </c>
      <c r="J356" s="51">
        <f>IF($L356="معتمد",$H356,0)</f>
        <v/>
      </c>
      <c r="K356" s="51">
        <f>IF($B356="","",$I356-$J356)</f>
        <v/>
      </c>
      <c r="L356" s="47" t="n"/>
      <c r="M356" s="47" t="n"/>
      <c r="N356" s="112" t="n"/>
      <c r="O356" s="47" t="n"/>
    </row>
    <row r="357">
      <c r="A357" s="39" t="n"/>
      <c r="B357" s="40" t="n"/>
      <c r="C357" s="43">
        <f>IFERROR(INDEX(الموظفون_الاسم,MATCH($B357,الموظفون_الرقم,0)),"")</f>
        <v/>
      </c>
      <c r="D357" s="40" t="n"/>
      <c r="E357" s="110" t="n"/>
      <c r="F357" s="110" t="n"/>
      <c r="G357" s="110" t="n"/>
      <c r="H357" s="44">
        <f>IF(OR($F357="",$G357=""),"",MAX(0,$G357-$F357+1))</f>
        <v/>
      </c>
      <c r="I357" s="44">
        <f>IF($B357="","",IFERROR(INDEX(الموظفون_الافتتاحي,MATCH($B357,الموظفون_الرقم,0)),0)+IF($D357&lt;&gt;"سنوية",0,IFERROR(DATEDIF(بداية_احتساب_الرصيد,TODAY(),"M"),0)*معدل_الاستحقاق_الشهري)-SUMIFS($J$3:$J$502,$B$3:$B$502,$B357,$D$3:$D$502,"سنوية",$L$3:$L$502,"معتمد",$A$3:$A$502,"&lt;"&amp;$A357))</f>
        <v/>
      </c>
      <c r="J357" s="44">
        <f>IF($L357="معتمد",$H357,0)</f>
        <v/>
      </c>
      <c r="K357" s="44">
        <f>IF($B357="","",$I357-$J357)</f>
        <v/>
      </c>
      <c r="L357" s="40" t="n"/>
      <c r="M357" s="40" t="n"/>
      <c r="N357" s="110" t="n"/>
      <c r="O357" s="40" t="n"/>
    </row>
    <row r="358">
      <c r="A358" s="46" t="n"/>
      <c r="B358" s="47" t="n"/>
      <c r="C358" s="50">
        <f>IFERROR(INDEX(الموظفون_الاسم,MATCH($B358,الموظفون_الرقم,0)),"")</f>
        <v/>
      </c>
      <c r="D358" s="47" t="n"/>
      <c r="E358" s="112" t="n"/>
      <c r="F358" s="112" t="n"/>
      <c r="G358" s="112" t="n"/>
      <c r="H358" s="51">
        <f>IF(OR($F358="",$G358=""),"",MAX(0,$G358-$F358+1))</f>
        <v/>
      </c>
      <c r="I358" s="51">
        <f>IF($B358="","",IFERROR(INDEX(الموظفون_الافتتاحي,MATCH($B358,الموظفون_الرقم,0)),0)+IF($D358&lt;&gt;"سنوية",0,IFERROR(DATEDIF(بداية_احتساب_الرصيد,TODAY(),"M"),0)*معدل_الاستحقاق_الشهري)-SUMIFS($J$3:$J$502,$B$3:$B$502,$B358,$D$3:$D$502,"سنوية",$L$3:$L$502,"معتمد",$A$3:$A$502,"&lt;"&amp;$A358))</f>
        <v/>
      </c>
      <c r="J358" s="51">
        <f>IF($L358="معتمد",$H358,0)</f>
        <v/>
      </c>
      <c r="K358" s="51">
        <f>IF($B358="","",$I358-$J358)</f>
        <v/>
      </c>
      <c r="L358" s="47" t="n"/>
      <c r="M358" s="47" t="n"/>
      <c r="N358" s="112" t="n"/>
      <c r="O358" s="47" t="n"/>
    </row>
    <row r="359">
      <c r="A359" s="39" t="n"/>
      <c r="B359" s="40" t="n"/>
      <c r="C359" s="43">
        <f>IFERROR(INDEX(الموظفون_الاسم,MATCH($B359,الموظفون_الرقم,0)),"")</f>
        <v/>
      </c>
      <c r="D359" s="40" t="n"/>
      <c r="E359" s="110" t="n"/>
      <c r="F359" s="110" t="n"/>
      <c r="G359" s="110" t="n"/>
      <c r="H359" s="44">
        <f>IF(OR($F359="",$G359=""),"",MAX(0,$G359-$F359+1))</f>
        <v/>
      </c>
      <c r="I359" s="44">
        <f>IF($B359="","",IFERROR(INDEX(الموظفون_الافتتاحي,MATCH($B359,الموظفون_الرقم,0)),0)+IF($D359&lt;&gt;"سنوية",0,IFERROR(DATEDIF(بداية_احتساب_الرصيد,TODAY(),"M"),0)*معدل_الاستحقاق_الشهري)-SUMIFS($J$3:$J$502,$B$3:$B$502,$B359,$D$3:$D$502,"سنوية",$L$3:$L$502,"معتمد",$A$3:$A$502,"&lt;"&amp;$A359))</f>
        <v/>
      </c>
      <c r="J359" s="44">
        <f>IF($L359="معتمد",$H359,0)</f>
        <v/>
      </c>
      <c r="K359" s="44">
        <f>IF($B359="","",$I359-$J359)</f>
        <v/>
      </c>
      <c r="L359" s="40" t="n"/>
      <c r="M359" s="40" t="n"/>
      <c r="N359" s="110" t="n"/>
      <c r="O359" s="40" t="n"/>
    </row>
    <row r="360">
      <c r="A360" s="46" t="n"/>
      <c r="B360" s="47" t="n"/>
      <c r="C360" s="50">
        <f>IFERROR(INDEX(الموظفون_الاسم,MATCH($B360,الموظفون_الرقم,0)),"")</f>
        <v/>
      </c>
      <c r="D360" s="47" t="n"/>
      <c r="E360" s="112" t="n"/>
      <c r="F360" s="112" t="n"/>
      <c r="G360" s="112" t="n"/>
      <c r="H360" s="51">
        <f>IF(OR($F360="",$G360=""),"",MAX(0,$G360-$F360+1))</f>
        <v/>
      </c>
      <c r="I360" s="51">
        <f>IF($B360="","",IFERROR(INDEX(الموظفون_الافتتاحي,MATCH($B360,الموظفون_الرقم,0)),0)+IF($D360&lt;&gt;"سنوية",0,IFERROR(DATEDIF(بداية_احتساب_الرصيد,TODAY(),"M"),0)*معدل_الاستحقاق_الشهري)-SUMIFS($J$3:$J$502,$B$3:$B$502,$B360,$D$3:$D$502,"سنوية",$L$3:$L$502,"معتمد",$A$3:$A$502,"&lt;"&amp;$A360))</f>
        <v/>
      </c>
      <c r="J360" s="51">
        <f>IF($L360="معتمد",$H360,0)</f>
        <v/>
      </c>
      <c r="K360" s="51">
        <f>IF($B360="","",$I360-$J360)</f>
        <v/>
      </c>
      <c r="L360" s="47" t="n"/>
      <c r="M360" s="47" t="n"/>
      <c r="N360" s="112" t="n"/>
      <c r="O360" s="47" t="n"/>
    </row>
    <row r="361">
      <c r="A361" s="39" t="n"/>
      <c r="B361" s="40" t="n"/>
      <c r="C361" s="43">
        <f>IFERROR(INDEX(الموظفون_الاسم,MATCH($B361,الموظفون_الرقم,0)),"")</f>
        <v/>
      </c>
      <c r="D361" s="40" t="n"/>
      <c r="E361" s="110" t="n"/>
      <c r="F361" s="110" t="n"/>
      <c r="G361" s="110" t="n"/>
      <c r="H361" s="44">
        <f>IF(OR($F361="",$G361=""),"",MAX(0,$G361-$F361+1))</f>
        <v/>
      </c>
      <c r="I361" s="44">
        <f>IF($B361="","",IFERROR(INDEX(الموظفون_الافتتاحي,MATCH($B361,الموظفون_الرقم,0)),0)+IF($D361&lt;&gt;"سنوية",0,IFERROR(DATEDIF(بداية_احتساب_الرصيد,TODAY(),"M"),0)*معدل_الاستحقاق_الشهري)-SUMIFS($J$3:$J$502,$B$3:$B$502,$B361,$D$3:$D$502,"سنوية",$L$3:$L$502,"معتمد",$A$3:$A$502,"&lt;"&amp;$A361))</f>
        <v/>
      </c>
      <c r="J361" s="44">
        <f>IF($L361="معتمد",$H361,0)</f>
        <v/>
      </c>
      <c r="K361" s="44">
        <f>IF($B361="","",$I361-$J361)</f>
        <v/>
      </c>
      <c r="L361" s="40" t="n"/>
      <c r="M361" s="40" t="n"/>
      <c r="N361" s="110" t="n"/>
      <c r="O361" s="40" t="n"/>
    </row>
    <row r="362">
      <c r="A362" s="46" t="n"/>
      <c r="B362" s="47" t="n"/>
      <c r="C362" s="50">
        <f>IFERROR(INDEX(الموظفون_الاسم,MATCH($B362,الموظفون_الرقم,0)),"")</f>
        <v/>
      </c>
      <c r="D362" s="47" t="n"/>
      <c r="E362" s="112" t="n"/>
      <c r="F362" s="112" t="n"/>
      <c r="G362" s="112" t="n"/>
      <c r="H362" s="51">
        <f>IF(OR($F362="",$G362=""),"",MAX(0,$G362-$F362+1))</f>
        <v/>
      </c>
      <c r="I362" s="51">
        <f>IF($B362="","",IFERROR(INDEX(الموظفون_الافتتاحي,MATCH($B362,الموظفون_الرقم,0)),0)+IF($D362&lt;&gt;"سنوية",0,IFERROR(DATEDIF(بداية_احتساب_الرصيد,TODAY(),"M"),0)*معدل_الاستحقاق_الشهري)-SUMIFS($J$3:$J$502,$B$3:$B$502,$B362,$D$3:$D$502,"سنوية",$L$3:$L$502,"معتمد",$A$3:$A$502,"&lt;"&amp;$A362))</f>
        <v/>
      </c>
      <c r="J362" s="51">
        <f>IF($L362="معتمد",$H362,0)</f>
        <v/>
      </c>
      <c r="K362" s="51">
        <f>IF($B362="","",$I362-$J362)</f>
        <v/>
      </c>
      <c r="L362" s="47" t="n"/>
      <c r="M362" s="47" t="n"/>
      <c r="N362" s="112" t="n"/>
      <c r="O362" s="47" t="n"/>
    </row>
    <row r="363">
      <c r="A363" s="39" t="n"/>
      <c r="B363" s="40" t="n"/>
      <c r="C363" s="43">
        <f>IFERROR(INDEX(الموظفون_الاسم,MATCH($B363,الموظفون_الرقم,0)),"")</f>
        <v/>
      </c>
      <c r="D363" s="40" t="n"/>
      <c r="E363" s="110" t="n"/>
      <c r="F363" s="110" t="n"/>
      <c r="G363" s="110" t="n"/>
      <c r="H363" s="44">
        <f>IF(OR($F363="",$G363=""),"",MAX(0,$G363-$F363+1))</f>
        <v/>
      </c>
      <c r="I363" s="44">
        <f>IF($B363="","",IFERROR(INDEX(الموظفون_الافتتاحي,MATCH($B363,الموظفون_الرقم,0)),0)+IF($D363&lt;&gt;"سنوية",0,IFERROR(DATEDIF(بداية_احتساب_الرصيد,TODAY(),"M"),0)*معدل_الاستحقاق_الشهري)-SUMIFS($J$3:$J$502,$B$3:$B$502,$B363,$D$3:$D$502,"سنوية",$L$3:$L$502,"معتمد",$A$3:$A$502,"&lt;"&amp;$A363))</f>
        <v/>
      </c>
      <c r="J363" s="44">
        <f>IF($L363="معتمد",$H363,0)</f>
        <v/>
      </c>
      <c r="K363" s="44">
        <f>IF($B363="","",$I363-$J363)</f>
        <v/>
      </c>
      <c r="L363" s="40" t="n"/>
      <c r="M363" s="40" t="n"/>
      <c r="N363" s="110" t="n"/>
      <c r="O363" s="40" t="n"/>
    </row>
    <row r="364">
      <c r="A364" s="46" t="n"/>
      <c r="B364" s="47" t="n"/>
      <c r="C364" s="50">
        <f>IFERROR(INDEX(الموظفون_الاسم,MATCH($B364,الموظفون_الرقم,0)),"")</f>
        <v/>
      </c>
      <c r="D364" s="47" t="n"/>
      <c r="E364" s="112" t="n"/>
      <c r="F364" s="112" t="n"/>
      <c r="G364" s="112" t="n"/>
      <c r="H364" s="51">
        <f>IF(OR($F364="",$G364=""),"",MAX(0,$G364-$F364+1))</f>
        <v/>
      </c>
      <c r="I364" s="51">
        <f>IF($B364="","",IFERROR(INDEX(الموظفون_الافتتاحي,MATCH($B364,الموظفون_الرقم,0)),0)+IF($D364&lt;&gt;"سنوية",0,IFERROR(DATEDIF(بداية_احتساب_الرصيد,TODAY(),"M"),0)*معدل_الاستحقاق_الشهري)-SUMIFS($J$3:$J$502,$B$3:$B$502,$B364,$D$3:$D$502,"سنوية",$L$3:$L$502,"معتمد",$A$3:$A$502,"&lt;"&amp;$A364))</f>
        <v/>
      </c>
      <c r="J364" s="51">
        <f>IF($L364="معتمد",$H364,0)</f>
        <v/>
      </c>
      <c r="K364" s="51">
        <f>IF($B364="","",$I364-$J364)</f>
        <v/>
      </c>
      <c r="L364" s="47" t="n"/>
      <c r="M364" s="47" t="n"/>
      <c r="N364" s="112" t="n"/>
      <c r="O364" s="47" t="n"/>
    </row>
    <row r="365">
      <c r="A365" s="39" t="n"/>
      <c r="B365" s="40" t="n"/>
      <c r="C365" s="43">
        <f>IFERROR(INDEX(الموظفون_الاسم,MATCH($B365,الموظفون_الرقم,0)),"")</f>
        <v/>
      </c>
      <c r="D365" s="40" t="n"/>
      <c r="E365" s="110" t="n"/>
      <c r="F365" s="110" t="n"/>
      <c r="G365" s="110" t="n"/>
      <c r="H365" s="44">
        <f>IF(OR($F365="",$G365=""),"",MAX(0,$G365-$F365+1))</f>
        <v/>
      </c>
      <c r="I365" s="44">
        <f>IF($B365="","",IFERROR(INDEX(الموظفون_الافتتاحي,MATCH($B365,الموظفون_الرقم,0)),0)+IF($D365&lt;&gt;"سنوية",0,IFERROR(DATEDIF(بداية_احتساب_الرصيد,TODAY(),"M"),0)*معدل_الاستحقاق_الشهري)-SUMIFS($J$3:$J$502,$B$3:$B$502,$B365,$D$3:$D$502,"سنوية",$L$3:$L$502,"معتمد",$A$3:$A$502,"&lt;"&amp;$A365))</f>
        <v/>
      </c>
      <c r="J365" s="44">
        <f>IF($L365="معتمد",$H365,0)</f>
        <v/>
      </c>
      <c r="K365" s="44">
        <f>IF($B365="","",$I365-$J365)</f>
        <v/>
      </c>
      <c r="L365" s="40" t="n"/>
      <c r="M365" s="40" t="n"/>
      <c r="N365" s="110" t="n"/>
      <c r="O365" s="40" t="n"/>
    </row>
    <row r="366">
      <c r="A366" s="46" t="n"/>
      <c r="B366" s="47" t="n"/>
      <c r="C366" s="50">
        <f>IFERROR(INDEX(الموظفون_الاسم,MATCH($B366,الموظفون_الرقم,0)),"")</f>
        <v/>
      </c>
      <c r="D366" s="47" t="n"/>
      <c r="E366" s="112" t="n"/>
      <c r="F366" s="112" t="n"/>
      <c r="G366" s="112" t="n"/>
      <c r="H366" s="51">
        <f>IF(OR($F366="",$G366=""),"",MAX(0,$G366-$F366+1))</f>
        <v/>
      </c>
      <c r="I366" s="51">
        <f>IF($B366="","",IFERROR(INDEX(الموظفون_الافتتاحي,MATCH($B366,الموظفون_الرقم,0)),0)+IF($D366&lt;&gt;"سنوية",0,IFERROR(DATEDIF(بداية_احتساب_الرصيد,TODAY(),"M"),0)*معدل_الاستحقاق_الشهري)-SUMIFS($J$3:$J$502,$B$3:$B$502,$B366,$D$3:$D$502,"سنوية",$L$3:$L$502,"معتمد",$A$3:$A$502,"&lt;"&amp;$A366))</f>
        <v/>
      </c>
      <c r="J366" s="51">
        <f>IF($L366="معتمد",$H366,0)</f>
        <v/>
      </c>
      <c r="K366" s="51">
        <f>IF($B366="","",$I366-$J366)</f>
        <v/>
      </c>
      <c r="L366" s="47" t="n"/>
      <c r="M366" s="47" t="n"/>
      <c r="N366" s="112" t="n"/>
      <c r="O366" s="47" t="n"/>
    </row>
    <row r="367">
      <c r="A367" s="39" t="n"/>
      <c r="B367" s="40" t="n"/>
      <c r="C367" s="43">
        <f>IFERROR(INDEX(الموظفون_الاسم,MATCH($B367,الموظفون_الرقم,0)),"")</f>
        <v/>
      </c>
      <c r="D367" s="40" t="n"/>
      <c r="E367" s="110" t="n"/>
      <c r="F367" s="110" t="n"/>
      <c r="G367" s="110" t="n"/>
      <c r="H367" s="44">
        <f>IF(OR($F367="",$G367=""),"",MAX(0,$G367-$F367+1))</f>
        <v/>
      </c>
      <c r="I367" s="44">
        <f>IF($B367="","",IFERROR(INDEX(الموظفون_الافتتاحي,MATCH($B367,الموظفون_الرقم,0)),0)+IF($D367&lt;&gt;"سنوية",0,IFERROR(DATEDIF(بداية_احتساب_الرصيد,TODAY(),"M"),0)*معدل_الاستحقاق_الشهري)-SUMIFS($J$3:$J$502,$B$3:$B$502,$B367,$D$3:$D$502,"سنوية",$L$3:$L$502,"معتمد",$A$3:$A$502,"&lt;"&amp;$A367))</f>
        <v/>
      </c>
      <c r="J367" s="44">
        <f>IF($L367="معتمد",$H367,0)</f>
        <v/>
      </c>
      <c r="K367" s="44">
        <f>IF($B367="","",$I367-$J367)</f>
        <v/>
      </c>
      <c r="L367" s="40" t="n"/>
      <c r="M367" s="40" t="n"/>
      <c r="N367" s="110" t="n"/>
      <c r="O367" s="40" t="n"/>
    </row>
    <row r="368">
      <c r="A368" s="46" t="n"/>
      <c r="B368" s="47" t="n"/>
      <c r="C368" s="50">
        <f>IFERROR(INDEX(الموظفون_الاسم,MATCH($B368,الموظفون_الرقم,0)),"")</f>
        <v/>
      </c>
      <c r="D368" s="47" t="n"/>
      <c r="E368" s="112" t="n"/>
      <c r="F368" s="112" t="n"/>
      <c r="G368" s="112" t="n"/>
      <c r="H368" s="51">
        <f>IF(OR($F368="",$G368=""),"",MAX(0,$G368-$F368+1))</f>
        <v/>
      </c>
      <c r="I368" s="51">
        <f>IF($B368="","",IFERROR(INDEX(الموظفون_الافتتاحي,MATCH($B368,الموظفون_الرقم,0)),0)+IF($D368&lt;&gt;"سنوية",0,IFERROR(DATEDIF(بداية_احتساب_الرصيد,TODAY(),"M"),0)*معدل_الاستحقاق_الشهري)-SUMIFS($J$3:$J$502,$B$3:$B$502,$B368,$D$3:$D$502,"سنوية",$L$3:$L$502,"معتمد",$A$3:$A$502,"&lt;"&amp;$A368))</f>
        <v/>
      </c>
      <c r="J368" s="51">
        <f>IF($L368="معتمد",$H368,0)</f>
        <v/>
      </c>
      <c r="K368" s="51">
        <f>IF($B368="","",$I368-$J368)</f>
        <v/>
      </c>
      <c r="L368" s="47" t="n"/>
      <c r="M368" s="47" t="n"/>
      <c r="N368" s="112" t="n"/>
      <c r="O368" s="47" t="n"/>
    </row>
    <row r="369">
      <c r="A369" s="39" t="n"/>
      <c r="B369" s="40" t="n"/>
      <c r="C369" s="43">
        <f>IFERROR(INDEX(الموظفون_الاسم,MATCH($B369,الموظفون_الرقم,0)),"")</f>
        <v/>
      </c>
      <c r="D369" s="40" t="n"/>
      <c r="E369" s="110" t="n"/>
      <c r="F369" s="110" t="n"/>
      <c r="G369" s="110" t="n"/>
      <c r="H369" s="44">
        <f>IF(OR($F369="",$G369=""),"",MAX(0,$G369-$F369+1))</f>
        <v/>
      </c>
      <c r="I369" s="44">
        <f>IF($B369="","",IFERROR(INDEX(الموظفون_الافتتاحي,MATCH($B369,الموظفون_الرقم,0)),0)+IF($D369&lt;&gt;"سنوية",0,IFERROR(DATEDIF(بداية_احتساب_الرصيد,TODAY(),"M"),0)*معدل_الاستحقاق_الشهري)-SUMIFS($J$3:$J$502,$B$3:$B$502,$B369,$D$3:$D$502,"سنوية",$L$3:$L$502,"معتمد",$A$3:$A$502,"&lt;"&amp;$A369))</f>
        <v/>
      </c>
      <c r="J369" s="44">
        <f>IF($L369="معتمد",$H369,0)</f>
        <v/>
      </c>
      <c r="K369" s="44">
        <f>IF($B369="","",$I369-$J369)</f>
        <v/>
      </c>
      <c r="L369" s="40" t="n"/>
      <c r="M369" s="40" t="n"/>
      <c r="N369" s="110" t="n"/>
      <c r="O369" s="40" t="n"/>
    </row>
    <row r="370">
      <c r="A370" s="46" t="n"/>
      <c r="B370" s="47" t="n"/>
      <c r="C370" s="50">
        <f>IFERROR(INDEX(الموظفون_الاسم,MATCH($B370,الموظفون_الرقم,0)),"")</f>
        <v/>
      </c>
      <c r="D370" s="47" t="n"/>
      <c r="E370" s="112" t="n"/>
      <c r="F370" s="112" t="n"/>
      <c r="G370" s="112" t="n"/>
      <c r="H370" s="51">
        <f>IF(OR($F370="",$G370=""),"",MAX(0,$G370-$F370+1))</f>
        <v/>
      </c>
      <c r="I370" s="51">
        <f>IF($B370="","",IFERROR(INDEX(الموظفون_الافتتاحي,MATCH($B370,الموظفون_الرقم,0)),0)+IF($D370&lt;&gt;"سنوية",0,IFERROR(DATEDIF(بداية_احتساب_الرصيد,TODAY(),"M"),0)*معدل_الاستحقاق_الشهري)-SUMIFS($J$3:$J$502,$B$3:$B$502,$B370,$D$3:$D$502,"سنوية",$L$3:$L$502,"معتمد",$A$3:$A$502,"&lt;"&amp;$A370))</f>
        <v/>
      </c>
      <c r="J370" s="51">
        <f>IF($L370="معتمد",$H370,0)</f>
        <v/>
      </c>
      <c r="K370" s="51">
        <f>IF($B370="","",$I370-$J370)</f>
        <v/>
      </c>
      <c r="L370" s="47" t="n"/>
      <c r="M370" s="47" t="n"/>
      <c r="N370" s="112" t="n"/>
      <c r="O370" s="47" t="n"/>
    </row>
    <row r="371">
      <c r="A371" s="39" t="n"/>
      <c r="B371" s="40" t="n"/>
      <c r="C371" s="43">
        <f>IFERROR(INDEX(الموظفون_الاسم,MATCH($B371,الموظفون_الرقم,0)),"")</f>
        <v/>
      </c>
      <c r="D371" s="40" t="n"/>
      <c r="E371" s="110" t="n"/>
      <c r="F371" s="110" t="n"/>
      <c r="G371" s="110" t="n"/>
      <c r="H371" s="44">
        <f>IF(OR($F371="",$G371=""),"",MAX(0,$G371-$F371+1))</f>
        <v/>
      </c>
      <c r="I371" s="44">
        <f>IF($B371="","",IFERROR(INDEX(الموظفون_الافتتاحي,MATCH($B371,الموظفون_الرقم,0)),0)+IF($D371&lt;&gt;"سنوية",0,IFERROR(DATEDIF(بداية_احتساب_الرصيد,TODAY(),"M"),0)*معدل_الاستحقاق_الشهري)-SUMIFS($J$3:$J$502,$B$3:$B$502,$B371,$D$3:$D$502,"سنوية",$L$3:$L$502,"معتمد",$A$3:$A$502,"&lt;"&amp;$A371))</f>
        <v/>
      </c>
      <c r="J371" s="44">
        <f>IF($L371="معتمد",$H371,0)</f>
        <v/>
      </c>
      <c r="K371" s="44">
        <f>IF($B371="","",$I371-$J371)</f>
        <v/>
      </c>
      <c r="L371" s="40" t="n"/>
      <c r="M371" s="40" t="n"/>
      <c r="N371" s="110" t="n"/>
      <c r="O371" s="40" t="n"/>
    </row>
    <row r="372">
      <c r="A372" s="46" t="n"/>
      <c r="B372" s="47" t="n"/>
      <c r="C372" s="50">
        <f>IFERROR(INDEX(الموظفون_الاسم,MATCH($B372,الموظفون_الرقم,0)),"")</f>
        <v/>
      </c>
      <c r="D372" s="47" t="n"/>
      <c r="E372" s="112" t="n"/>
      <c r="F372" s="112" t="n"/>
      <c r="G372" s="112" t="n"/>
      <c r="H372" s="51">
        <f>IF(OR($F372="",$G372=""),"",MAX(0,$G372-$F372+1))</f>
        <v/>
      </c>
      <c r="I372" s="51">
        <f>IF($B372="","",IFERROR(INDEX(الموظفون_الافتتاحي,MATCH($B372,الموظفون_الرقم,0)),0)+IF($D372&lt;&gt;"سنوية",0,IFERROR(DATEDIF(بداية_احتساب_الرصيد,TODAY(),"M"),0)*معدل_الاستحقاق_الشهري)-SUMIFS($J$3:$J$502,$B$3:$B$502,$B372,$D$3:$D$502,"سنوية",$L$3:$L$502,"معتمد",$A$3:$A$502,"&lt;"&amp;$A372))</f>
        <v/>
      </c>
      <c r="J372" s="51">
        <f>IF($L372="معتمد",$H372,0)</f>
        <v/>
      </c>
      <c r="K372" s="51">
        <f>IF($B372="","",$I372-$J372)</f>
        <v/>
      </c>
      <c r="L372" s="47" t="n"/>
      <c r="M372" s="47" t="n"/>
      <c r="N372" s="112" t="n"/>
      <c r="O372" s="47" t="n"/>
    </row>
    <row r="373">
      <c r="A373" s="39" t="n"/>
      <c r="B373" s="40" t="n"/>
      <c r="C373" s="43">
        <f>IFERROR(INDEX(الموظفون_الاسم,MATCH($B373,الموظفون_الرقم,0)),"")</f>
        <v/>
      </c>
      <c r="D373" s="40" t="n"/>
      <c r="E373" s="110" t="n"/>
      <c r="F373" s="110" t="n"/>
      <c r="G373" s="110" t="n"/>
      <c r="H373" s="44">
        <f>IF(OR($F373="",$G373=""),"",MAX(0,$G373-$F373+1))</f>
        <v/>
      </c>
      <c r="I373" s="44">
        <f>IF($B373="","",IFERROR(INDEX(الموظفون_الافتتاحي,MATCH($B373,الموظفون_الرقم,0)),0)+IF($D373&lt;&gt;"سنوية",0,IFERROR(DATEDIF(بداية_احتساب_الرصيد,TODAY(),"M"),0)*معدل_الاستحقاق_الشهري)-SUMIFS($J$3:$J$502,$B$3:$B$502,$B373,$D$3:$D$502,"سنوية",$L$3:$L$502,"معتمد",$A$3:$A$502,"&lt;"&amp;$A373))</f>
        <v/>
      </c>
      <c r="J373" s="44">
        <f>IF($L373="معتمد",$H373,0)</f>
        <v/>
      </c>
      <c r="K373" s="44">
        <f>IF($B373="","",$I373-$J373)</f>
        <v/>
      </c>
      <c r="L373" s="40" t="n"/>
      <c r="M373" s="40" t="n"/>
      <c r="N373" s="110" t="n"/>
      <c r="O373" s="40" t="n"/>
    </row>
    <row r="374">
      <c r="A374" s="46" t="n"/>
      <c r="B374" s="47" t="n"/>
      <c r="C374" s="50">
        <f>IFERROR(INDEX(الموظفون_الاسم,MATCH($B374,الموظفون_الرقم,0)),"")</f>
        <v/>
      </c>
      <c r="D374" s="47" t="n"/>
      <c r="E374" s="112" t="n"/>
      <c r="F374" s="112" t="n"/>
      <c r="G374" s="112" t="n"/>
      <c r="H374" s="51">
        <f>IF(OR($F374="",$G374=""),"",MAX(0,$G374-$F374+1))</f>
        <v/>
      </c>
      <c r="I374" s="51">
        <f>IF($B374="","",IFERROR(INDEX(الموظفون_الافتتاحي,MATCH($B374,الموظفون_الرقم,0)),0)+IF($D374&lt;&gt;"سنوية",0,IFERROR(DATEDIF(بداية_احتساب_الرصيد,TODAY(),"M"),0)*معدل_الاستحقاق_الشهري)-SUMIFS($J$3:$J$502,$B$3:$B$502,$B374,$D$3:$D$502,"سنوية",$L$3:$L$502,"معتمد",$A$3:$A$502,"&lt;"&amp;$A374))</f>
        <v/>
      </c>
      <c r="J374" s="51">
        <f>IF($L374="معتمد",$H374,0)</f>
        <v/>
      </c>
      <c r="K374" s="51">
        <f>IF($B374="","",$I374-$J374)</f>
        <v/>
      </c>
      <c r="L374" s="47" t="n"/>
      <c r="M374" s="47" t="n"/>
      <c r="N374" s="112" t="n"/>
      <c r="O374" s="47" t="n"/>
    </row>
    <row r="375">
      <c r="A375" s="39" t="n"/>
      <c r="B375" s="40" t="n"/>
      <c r="C375" s="43">
        <f>IFERROR(INDEX(الموظفون_الاسم,MATCH($B375,الموظفون_الرقم,0)),"")</f>
        <v/>
      </c>
      <c r="D375" s="40" t="n"/>
      <c r="E375" s="110" t="n"/>
      <c r="F375" s="110" t="n"/>
      <c r="G375" s="110" t="n"/>
      <c r="H375" s="44">
        <f>IF(OR($F375="",$G375=""),"",MAX(0,$G375-$F375+1))</f>
        <v/>
      </c>
      <c r="I375" s="44">
        <f>IF($B375="","",IFERROR(INDEX(الموظفون_الافتتاحي,MATCH($B375,الموظفون_الرقم,0)),0)+IF($D375&lt;&gt;"سنوية",0,IFERROR(DATEDIF(بداية_احتساب_الرصيد,TODAY(),"M"),0)*معدل_الاستحقاق_الشهري)-SUMIFS($J$3:$J$502,$B$3:$B$502,$B375,$D$3:$D$502,"سنوية",$L$3:$L$502,"معتمد",$A$3:$A$502,"&lt;"&amp;$A375))</f>
        <v/>
      </c>
      <c r="J375" s="44">
        <f>IF($L375="معتمد",$H375,0)</f>
        <v/>
      </c>
      <c r="K375" s="44">
        <f>IF($B375="","",$I375-$J375)</f>
        <v/>
      </c>
      <c r="L375" s="40" t="n"/>
      <c r="M375" s="40" t="n"/>
      <c r="N375" s="110" t="n"/>
      <c r="O375" s="40" t="n"/>
    </row>
    <row r="376">
      <c r="A376" s="46" t="n"/>
      <c r="B376" s="47" t="n"/>
      <c r="C376" s="50">
        <f>IFERROR(INDEX(الموظفون_الاسم,MATCH($B376,الموظفون_الرقم,0)),"")</f>
        <v/>
      </c>
      <c r="D376" s="47" t="n"/>
      <c r="E376" s="112" t="n"/>
      <c r="F376" s="112" t="n"/>
      <c r="G376" s="112" t="n"/>
      <c r="H376" s="51">
        <f>IF(OR($F376="",$G376=""),"",MAX(0,$G376-$F376+1))</f>
        <v/>
      </c>
      <c r="I376" s="51">
        <f>IF($B376="","",IFERROR(INDEX(الموظفون_الافتتاحي,MATCH($B376,الموظفون_الرقم,0)),0)+IF($D376&lt;&gt;"سنوية",0,IFERROR(DATEDIF(بداية_احتساب_الرصيد,TODAY(),"M"),0)*معدل_الاستحقاق_الشهري)-SUMIFS($J$3:$J$502,$B$3:$B$502,$B376,$D$3:$D$502,"سنوية",$L$3:$L$502,"معتمد",$A$3:$A$502,"&lt;"&amp;$A376))</f>
        <v/>
      </c>
      <c r="J376" s="51">
        <f>IF($L376="معتمد",$H376,0)</f>
        <v/>
      </c>
      <c r="K376" s="51">
        <f>IF($B376="","",$I376-$J376)</f>
        <v/>
      </c>
      <c r="L376" s="47" t="n"/>
      <c r="M376" s="47" t="n"/>
      <c r="N376" s="112" t="n"/>
      <c r="O376" s="47" t="n"/>
    </row>
    <row r="377">
      <c r="A377" s="39" t="n"/>
      <c r="B377" s="40" t="n"/>
      <c r="C377" s="43">
        <f>IFERROR(INDEX(الموظفون_الاسم,MATCH($B377,الموظفون_الرقم,0)),"")</f>
        <v/>
      </c>
      <c r="D377" s="40" t="n"/>
      <c r="E377" s="110" t="n"/>
      <c r="F377" s="110" t="n"/>
      <c r="G377" s="110" t="n"/>
      <c r="H377" s="44">
        <f>IF(OR($F377="",$G377=""),"",MAX(0,$G377-$F377+1))</f>
        <v/>
      </c>
      <c r="I377" s="44">
        <f>IF($B377="","",IFERROR(INDEX(الموظفون_الافتتاحي,MATCH($B377,الموظفون_الرقم,0)),0)+IF($D377&lt;&gt;"سنوية",0,IFERROR(DATEDIF(بداية_احتساب_الرصيد,TODAY(),"M"),0)*معدل_الاستحقاق_الشهري)-SUMIFS($J$3:$J$502,$B$3:$B$502,$B377,$D$3:$D$502,"سنوية",$L$3:$L$502,"معتمد",$A$3:$A$502,"&lt;"&amp;$A377))</f>
        <v/>
      </c>
      <c r="J377" s="44">
        <f>IF($L377="معتمد",$H377,0)</f>
        <v/>
      </c>
      <c r="K377" s="44">
        <f>IF($B377="","",$I377-$J377)</f>
        <v/>
      </c>
      <c r="L377" s="40" t="n"/>
      <c r="M377" s="40" t="n"/>
      <c r="N377" s="110" t="n"/>
      <c r="O377" s="40" t="n"/>
    </row>
    <row r="378">
      <c r="A378" s="46" t="n"/>
      <c r="B378" s="47" t="n"/>
      <c r="C378" s="50">
        <f>IFERROR(INDEX(الموظفون_الاسم,MATCH($B378,الموظفون_الرقم,0)),"")</f>
        <v/>
      </c>
      <c r="D378" s="47" t="n"/>
      <c r="E378" s="112" t="n"/>
      <c r="F378" s="112" t="n"/>
      <c r="G378" s="112" t="n"/>
      <c r="H378" s="51">
        <f>IF(OR($F378="",$G378=""),"",MAX(0,$G378-$F378+1))</f>
        <v/>
      </c>
      <c r="I378" s="51">
        <f>IF($B378="","",IFERROR(INDEX(الموظفون_الافتتاحي,MATCH($B378,الموظفون_الرقم,0)),0)+IF($D378&lt;&gt;"سنوية",0,IFERROR(DATEDIF(بداية_احتساب_الرصيد,TODAY(),"M"),0)*معدل_الاستحقاق_الشهري)-SUMIFS($J$3:$J$502,$B$3:$B$502,$B378,$D$3:$D$502,"سنوية",$L$3:$L$502,"معتمد",$A$3:$A$502,"&lt;"&amp;$A378))</f>
        <v/>
      </c>
      <c r="J378" s="51">
        <f>IF($L378="معتمد",$H378,0)</f>
        <v/>
      </c>
      <c r="K378" s="51">
        <f>IF($B378="","",$I378-$J378)</f>
        <v/>
      </c>
      <c r="L378" s="47" t="n"/>
      <c r="M378" s="47" t="n"/>
      <c r="N378" s="112" t="n"/>
      <c r="O378" s="47" t="n"/>
    </row>
    <row r="379">
      <c r="A379" s="39" t="n"/>
      <c r="B379" s="40" t="n"/>
      <c r="C379" s="43">
        <f>IFERROR(INDEX(الموظفون_الاسم,MATCH($B379,الموظفون_الرقم,0)),"")</f>
        <v/>
      </c>
      <c r="D379" s="40" t="n"/>
      <c r="E379" s="110" t="n"/>
      <c r="F379" s="110" t="n"/>
      <c r="G379" s="110" t="n"/>
      <c r="H379" s="44">
        <f>IF(OR($F379="",$G379=""),"",MAX(0,$G379-$F379+1))</f>
        <v/>
      </c>
      <c r="I379" s="44">
        <f>IF($B379="","",IFERROR(INDEX(الموظفون_الافتتاحي,MATCH($B379,الموظفون_الرقم,0)),0)+IF($D379&lt;&gt;"سنوية",0,IFERROR(DATEDIF(بداية_احتساب_الرصيد,TODAY(),"M"),0)*معدل_الاستحقاق_الشهري)-SUMIFS($J$3:$J$502,$B$3:$B$502,$B379,$D$3:$D$502,"سنوية",$L$3:$L$502,"معتمد",$A$3:$A$502,"&lt;"&amp;$A379))</f>
        <v/>
      </c>
      <c r="J379" s="44">
        <f>IF($L379="معتمد",$H379,0)</f>
        <v/>
      </c>
      <c r="K379" s="44">
        <f>IF($B379="","",$I379-$J379)</f>
        <v/>
      </c>
      <c r="L379" s="40" t="n"/>
      <c r="M379" s="40" t="n"/>
      <c r="N379" s="110" t="n"/>
      <c r="O379" s="40" t="n"/>
    </row>
    <row r="380">
      <c r="A380" s="46" t="n"/>
      <c r="B380" s="47" t="n"/>
      <c r="C380" s="50">
        <f>IFERROR(INDEX(الموظفون_الاسم,MATCH($B380,الموظفون_الرقم,0)),"")</f>
        <v/>
      </c>
      <c r="D380" s="47" t="n"/>
      <c r="E380" s="112" t="n"/>
      <c r="F380" s="112" t="n"/>
      <c r="G380" s="112" t="n"/>
      <c r="H380" s="51">
        <f>IF(OR($F380="",$G380=""),"",MAX(0,$G380-$F380+1))</f>
        <v/>
      </c>
      <c r="I380" s="51">
        <f>IF($B380="","",IFERROR(INDEX(الموظفون_الافتتاحي,MATCH($B380,الموظفون_الرقم,0)),0)+IF($D380&lt;&gt;"سنوية",0,IFERROR(DATEDIF(بداية_احتساب_الرصيد,TODAY(),"M"),0)*معدل_الاستحقاق_الشهري)-SUMIFS($J$3:$J$502,$B$3:$B$502,$B380,$D$3:$D$502,"سنوية",$L$3:$L$502,"معتمد",$A$3:$A$502,"&lt;"&amp;$A380))</f>
        <v/>
      </c>
      <c r="J380" s="51">
        <f>IF($L380="معتمد",$H380,0)</f>
        <v/>
      </c>
      <c r="K380" s="51">
        <f>IF($B380="","",$I380-$J380)</f>
        <v/>
      </c>
      <c r="L380" s="47" t="n"/>
      <c r="M380" s="47" t="n"/>
      <c r="N380" s="112" t="n"/>
      <c r="O380" s="47" t="n"/>
    </row>
    <row r="381">
      <c r="A381" s="39" t="n"/>
      <c r="B381" s="40" t="n"/>
      <c r="C381" s="43">
        <f>IFERROR(INDEX(الموظفون_الاسم,MATCH($B381,الموظفون_الرقم,0)),"")</f>
        <v/>
      </c>
      <c r="D381" s="40" t="n"/>
      <c r="E381" s="110" t="n"/>
      <c r="F381" s="110" t="n"/>
      <c r="G381" s="110" t="n"/>
      <c r="H381" s="44">
        <f>IF(OR($F381="",$G381=""),"",MAX(0,$G381-$F381+1))</f>
        <v/>
      </c>
      <c r="I381" s="44">
        <f>IF($B381="","",IFERROR(INDEX(الموظفون_الافتتاحي,MATCH($B381,الموظفون_الرقم,0)),0)+IF($D381&lt;&gt;"سنوية",0,IFERROR(DATEDIF(بداية_احتساب_الرصيد,TODAY(),"M"),0)*معدل_الاستحقاق_الشهري)-SUMIFS($J$3:$J$502,$B$3:$B$502,$B381,$D$3:$D$502,"سنوية",$L$3:$L$502,"معتمد",$A$3:$A$502,"&lt;"&amp;$A381))</f>
        <v/>
      </c>
      <c r="J381" s="44">
        <f>IF($L381="معتمد",$H381,0)</f>
        <v/>
      </c>
      <c r="K381" s="44">
        <f>IF($B381="","",$I381-$J381)</f>
        <v/>
      </c>
      <c r="L381" s="40" t="n"/>
      <c r="M381" s="40" t="n"/>
      <c r="N381" s="110" t="n"/>
      <c r="O381" s="40" t="n"/>
    </row>
    <row r="382">
      <c r="A382" s="46" t="n"/>
      <c r="B382" s="47" t="n"/>
      <c r="C382" s="50">
        <f>IFERROR(INDEX(الموظفون_الاسم,MATCH($B382,الموظفون_الرقم,0)),"")</f>
        <v/>
      </c>
      <c r="D382" s="47" t="n"/>
      <c r="E382" s="112" t="n"/>
      <c r="F382" s="112" t="n"/>
      <c r="G382" s="112" t="n"/>
      <c r="H382" s="51">
        <f>IF(OR($F382="",$G382=""),"",MAX(0,$G382-$F382+1))</f>
        <v/>
      </c>
      <c r="I382" s="51">
        <f>IF($B382="","",IFERROR(INDEX(الموظفون_الافتتاحي,MATCH($B382,الموظفون_الرقم,0)),0)+IF($D382&lt;&gt;"سنوية",0,IFERROR(DATEDIF(بداية_احتساب_الرصيد,TODAY(),"M"),0)*معدل_الاستحقاق_الشهري)-SUMIFS($J$3:$J$502,$B$3:$B$502,$B382,$D$3:$D$502,"سنوية",$L$3:$L$502,"معتمد",$A$3:$A$502,"&lt;"&amp;$A382))</f>
        <v/>
      </c>
      <c r="J382" s="51">
        <f>IF($L382="معتمد",$H382,0)</f>
        <v/>
      </c>
      <c r="K382" s="51">
        <f>IF($B382="","",$I382-$J382)</f>
        <v/>
      </c>
      <c r="L382" s="47" t="n"/>
      <c r="M382" s="47" t="n"/>
      <c r="N382" s="112" t="n"/>
      <c r="O382" s="47" t="n"/>
    </row>
    <row r="383">
      <c r="A383" s="39" t="n"/>
      <c r="B383" s="40" t="n"/>
      <c r="C383" s="43">
        <f>IFERROR(INDEX(الموظفون_الاسم,MATCH($B383,الموظفون_الرقم,0)),"")</f>
        <v/>
      </c>
      <c r="D383" s="40" t="n"/>
      <c r="E383" s="110" t="n"/>
      <c r="F383" s="110" t="n"/>
      <c r="G383" s="110" t="n"/>
      <c r="H383" s="44">
        <f>IF(OR($F383="",$G383=""),"",MAX(0,$G383-$F383+1))</f>
        <v/>
      </c>
      <c r="I383" s="44">
        <f>IF($B383="","",IFERROR(INDEX(الموظفون_الافتتاحي,MATCH($B383,الموظفون_الرقم,0)),0)+IF($D383&lt;&gt;"سنوية",0,IFERROR(DATEDIF(بداية_احتساب_الرصيد,TODAY(),"M"),0)*معدل_الاستحقاق_الشهري)-SUMIFS($J$3:$J$502,$B$3:$B$502,$B383,$D$3:$D$502,"سنوية",$L$3:$L$502,"معتمد",$A$3:$A$502,"&lt;"&amp;$A383))</f>
        <v/>
      </c>
      <c r="J383" s="44">
        <f>IF($L383="معتمد",$H383,0)</f>
        <v/>
      </c>
      <c r="K383" s="44">
        <f>IF($B383="","",$I383-$J383)</f>
        <v/>
      </c>
      <c r="L383" s="40" t="n"/>
      <c r="M383" s="40" t="n"/>
      <c r="N383" s="110" t="n"/>
      <c r="O383" s="40" t="n"/>
    </row>
    <row r="384">
      <c r="A384" s="46" t="n"/>
      <c r="B384" s="47" t="n"/>
      <c r="C384" s="50">
        <f>IFERROR(INDEX(الموظفون_الاسم,MATCH($B384,الموظفون_الرقم,0)),"")</f>
        <v/>
      </c>
      <c r="D384" s="47" t="n"/>
      <c r="E384" s="112" t="n"/>
      <c r="F384" s="112" t="n"/>
      <c r="G384" s="112" t="n"/>
      <c r="H384" s="51">
        <f>IF(OR($F384="",$G384=""),"",MAX(0,$G384-$F384+1))</f>
        <v/>
      </c>
      <c r="I384" s="51">
        <f>IF($B384="","",IFERROR(INDEX(الموظفون_الافتتاحي,MATCH($B384,الموظفون_الرقم,0)),0)+IF($D384&lt;&gt;"سنوية",0,IFERROR(DATEDIF(بداية_احتساب_الرصيد,TODAY(),"M"),0)*معدل_الاستحقاق_الشهري)-SUMIFS($J$3:$J$502,$B$3:$B$502,$B384,$D$3:$D$502,"سنوية",$L$3:$L$502,"معتمد",$A$3:$A$502,"&lt;"&amp;$A384))</f>
        <v/>
      </c>
      <c r="J384" s="51">
        <f>IF($L384="معتمد",$H384,0)</f>
        <v/>
      </c>
      <c r="K384" s="51">
        <f>IF($B384="","",$I384-$J384)</f>
        <v/>
      </c>
      <c r="L384" s="47" t="n"/>
      <c r="M384" s="47" t="n"/>
      <c r="N384" s="112" t="n"/>
      <c r="O384" s="47" t="n"/>
    </row>
    <row r="385">
      <c r="A385" s="39" t="n"/>
      <c r="B385" s="40" t="n"/>
      <c r="C385" s="43">
        <f>IFERROR(INDEX(الموظفون_الاسم,MATCH($B385,الموظفون_الرقم,0)),"")</f>
        <v/>
      </c>
      <c r="D385" s="40" t="n"/>
      <c r="E385" s="110" t="n"/>
      <c r="F385" s="110" t="n"/>
      <c r="G385" s="110" t="n"/>
      <c r="H385" s="44">
        <f>IF(OR($F385="",$G385=""),"",MAX(0,$G385-$F385+1))</f>
        <v/>
      </c>
      <c r="I385" s="44">
        <f>IF($B385="","",IFERROR(INDEX(الموظفون_الافتتاحي,MATCH($B385,الموظفون_الرقم,0)),0)+IF($D385&lt;&gt;"سنوية",0,IFERROR(DATEDIF(بداية_احتساب_الرصيد,TODAY(),"M"),0)*معدل_الاستحقاق_الشهري)-SUMIFS($J$3:$J$502,$B$3:$B$502,$B385,$D$3:$D$502,"سنوية",$L$3:$L$502,"معتمد",$A$3:$A$502,"&lt;"&amp;$A385))</f>
        <v/>
      </c>
      <c r="J385" s="44">
        <f>IF($L385="معتمد",$H385,0)</f>
        <v/>
      </c>
      <c r="K385" s="44">
        <f>IF($B385="","",$I385-$J385)</f>
        <v/>
      </c>
      <c r="L385" s="40" t="n"/>
      <c r="M385" s="40" t="n"/>
      <c r="N385" s="110" t="n"/>
      <c r="O385" s="40" t="n"/>
    </row>
    <row r="386">
      <c r="A386" s="46" t="n"/>
      <c r="B386" s="47" t="n"/>
      <c r="C386" s="50">
        <f>IFERROR(INDEX(الموظفون_الاسم,MATCH($B386,الموظفون_الرقم,0)),"")</f>
        <v/>
      </c>
      <c r="D386" s="47" t="n"/>
      <c r="E386" s="112" t="n"/>
      <c r="F386" s="112" t="n"/>
      <c r="G386" s="112" t="n"/>
      <c r="H386" s="51">
        <f>IF(OR($F386="",$G386=""),"",MAX(0,$G386-$F386+1))</f>
        <v/>
      </c>
      <c r="I386" s="51">
        <f>IF($B386="","",IFERROR(INDEX(الموظفون_الافتتاحي,MATCH($B386,الموظفون_الرقم,0)),0)+IF($D386&lt;&gt;"سنوية",0,IFERROR(DATEDIF(بداية_احتساب_الرصيد,TODAY(),"M"),0)*معدل_الاستحقاق_الشهري)-SUMIFS($J$3:$J$502,$B$3:$B$502,$B386,$D$3:$D$502,"سنوية",$L$3:$L$502,"معتمد",$A$3:$A$502,"&lt;"&amp;$A386))</f>
        <v/>
      </c>
      <c r="J386" s="51">
        <f>IF($L386="معتمد",$H386,0)</f>
        <v/>
      </c>
      <c r="K386" s="51">
        <f>IF($B386="","",$I386-$J386)</f>
        <v/>
      </c>
      <c r="L386" s="47" t="n"/>
      <c r="M386" s="47" t="n"/>
      <c r="N386" s="112" t="n"/>
      <c r="O386" s="47" t="n"/>
    </row>
    <row r="387">
      <c r="A387" s="39" t="n"/>
      <c r="B387" s="40" t="n"/>
      <c r="C387" s="43">
        <f>IFERROR(INDEX(الموظفون_الاسم,MATCH($B387,الموظفون_الرقم,0)),"")</f>
        <v/>
      </c>
      <c r="D387" s="40" t="n"/>
      <c r="E387" s="110" t="n"/>
      <c r="F387" s="110" t="n"/>
      <c r="G387" s="110" t="n"/>
      <c r="H387" s="44">
        <f>IF(OR($F387="",$G387=""),"",MAX(0,$G387-$F387+1))</f>
        <v/>
      </c>
      <c r="I387" s="44">
        <f>IF($B387="","",IFERROR(INDEX(الموظفون_الافتتاحي,MATCH($B387,الموظفون_الرقم,0)),0)+IF($D387&lt;&gt;"سنوية",0,IFERROR(DATEDIF(بداية_احتساب_الرصيد,TODAY(),"M"),0)*معدل_الاستحقاق_الشهري)-SUMIFS($J$3:$J$502,$B$3:$B$502,$B387,$D$3:$D$502,"سنوية",$L$3:$L$502,"معتمد",$A$3:$A$502,"&lt;"&amp;$A387))</f>
        <v/>
      </c>
      <c r="J387" s="44">
        <f>IF($L387="معتمد",$H387,0)</f>
        <v/>
      </c>
      <c r="K387" s="44">
        <f>IF($B387="","",$I387-$J387)</f>
        <v/>
      </c>
      <c r="L387" s="40" t="n"/>
      <c r="M387" s="40" t="n"/>
      <c r="N387" s="110" t="n"/>
      <c r="O387" s="40" t="n"/>
    </row>
    <row r="388">
      <c r="A388" s="46" t="n"/>
      <c r="B388" s="47" t="n"/>
      <c r="C388" s="50">
        <f>IFERROR(INDEX(الموظفون_الاسم,MATCH($B388,الموظفون_الرقم,0)),"")</f>
        <v/>
      </c>
      <c r="D388" s="47" t="n"/>
      <c r="E388" s="112" t="n"/>
      <c r="F388" s="112" t="n"/>
      <c r="G388" s="112" t="n"/>
      <c r="H388" s="51">
        <f>IF(OR($F388="",$G388=""),"",MAX(0,$G388-$F388+1))</f>
        <v/>
      </c>
      <c r="I388" s="51">
        <f>IF($B388="","",IFERROR(INDEX(الموظفون_الافتتاحي,MATCH($B388,الموظفون_الرقم,0)),0)+IF($D388&lt;&gt;"سنوية",0,IFERROR(DATEDIF(بداية_احتساب_الرصيد,TODAY(),"M"),0)*معدل_الاستحقاق_الشهري)-SUMIFS($J$3:$J$502,$B$3:$B$502,$B388,$D$3:$D$502,"سنوية",$L$3:$L$502,"معتمد",$A$3:$A$502,"&lt;"&amp;$A388))</f>
        <v/>
      </c>
      <c r="J388" s="51">
        <f>IF($L388="معتمد",$H388,0)</f>
        <v/>
      </c>
      <c r="K388" s="51">
        <f>IF($B388="","",$I388-$J388)</f>
        <v/>
      </c>
      <c r="L388" s="47" t="n"/>
      <c r="M388" s="47" t="n"/>
      <c r="N388" s="112" t="n"/>
      <c r="O388" s="47" t="n"/>
    </row>
    <row r="389">
      <c r="A389" s="39" t="n"/>
      <c r="B389" s="40" t="n"/>
      <c r="C389" s="43">
        <f>IFERROR(INDEX(الموظفون_الاسم,MATCH($B389,الموظفون_الرقم,0)),"")</f>
        <v/>
      </c>
      <c r="D389" s="40" t="n"/>
      <c r="E389" s="110" t="n"/>
      <c r="F389" s="110" t="n"/>
      <c r="G389" s="110" t="n"/>
      <c r="H389" s="44">
        <f>IF(OR($F389="",$G389=""),"",MAX(0,$G389-$F389+1))</f>
        <v/>
      </c>
      <c r="I389" s="44">
        <f>IF($B389="","",IFERROR(INDEX(الموظفون_الافتتاحي,MATCH($B389,الموظفون_الرقم,0)),0)+IF($D389&lt;&gt;"سنوية",0,IFERROR(DATEDIF(بداية_احتساب_الرصيد,TODAY(),"M"),0)*معدل_الاستحقاق_الشهري)-SUMIFS($J$3:$J$502,$B$3:$B$502,$B389,$D$3:$D$502,"سنوية",$L$3:$L$502,"معتمد",$A$3:$A$502,"&lt;"&amp;$A389))</f>
        <v/>
      </c>
      <c r="J389" s="44">
        <f>IF($L389="معتمد",$H389,0)</f>
        <v/>
      </c>
      <c r="K389" s="44">
        <f>IF($B389="","",$I389-$J389)</f>
        <v/>
      </c>
      <c r="L389" s="40" t="n"/>
      <c r="M389" s="40" t="n"/>
      <c r="N389" s="110" t="n"/>
      <c r="O389" s="40" t="n"/>
    </row>
    <row r="390">
      <c r="A390" s="46" t="n"/>
      <c r="B390" s="47" t="n"/>
      <c r="C390" s="50">
        <f>IFERROR(INDEX(الموظفون_الاسم,MATCH($B390,الموظفون_الرقم,0)),"")</f>
        <v/>
      </c>
      <c r="D390" s="47" t="n"/>
      <c r="E390" s="112" t="n"/>
      <c r="F390" s="112" t="n"/>
      <c r="G390" s="112" t="n"/>
      <c r="H390" s="51">
        <f>IF(OR($F390="",$G390=""),"",MAX(0,$G390-$F390+1))</f>
        <v/>
      </c>
      <c r="I390" s="51">
        <f>IF($B390="","",IFERROR(INDEX(الموظفون_الافتتاحي,MATCH($B390,الموظفون_الرقم,0)),0)+IF($D390&lt;&gt;"سنوية",0,IFERROR(DATEDIF(بداية_احتساب_الرصيد,TODAY(),"M"),0)*معدل_الاستحقاق_الشهري)-SUMIFS($J$3:$J$502,$B$3:$B$502,$B390,$D$3:$D$502,"سنوية",$L$3:$L$502,"معتمد",$A$3:$A$502,"&lt;"&amp;$A390))</f>
        <v/>
      </c>
      <c r="J390" s="51">
        <f>IF($L390="معتمد",$H390,0)</f>
        <v/>
      </c>
      <c r="K390" s="51">
        <f>IF($B390="","",$I390-$J390)</f>
        <v/>
      </c>
      <c r="L390" s="47" t="n"/>
      <c r="M390" s="47" t="n"/>
      <c r="N390" s="112" t="n"/>
      <c r="O390" s="47" t="n"/>
    </row>
    <row r="391">
      <c r="A391" s="39" t="n"/>
      <c r="B391" s="40" t="n"/>
      <c r="C391" s="43">
        <f>IFERROR(INDEX(الموظفون_الاسم,MATCH($B391,الموظفون_الرقم,0)),"")</f>
        <v/>
      </c>
      <c r="D391" s="40" t="n"/>
      <c r="E391" s="110" t="n"/>
      <c r="F391" s="110" t="n"/>
      <c r="G391" s="110" t="n"/>
      <c r="H391" s="44">
        <f>IF(OR($F391="",$G391=""),"",MAX(0,$G391-$F391+1))</f>
        <v/>
      </c>
      <c r="I391" s="44">
        <f>IF($B391="","",IFERROR(INDEX(الموظفون_الافتتاحي,MATCH($B391,الموظفون_الرقم,0)),0)+IF($D391&lt;&gt;"سنوية",0,IFERROR(DATEDIF(بداية_احتساب_الرصيد,TODAY(),"M"),0)*معدل_الاستحقاق_الشهري)-SUMIFS($J$3:$J$502,$B$3:$B$502,$B391,$D$3:$D$502,"سنوية",$L$3:$L$502,"معتمد",$A$3:$A$502,"&lt;"&amp;$A391))</f>
        <v/>
      </c>
      <c r="J391" s="44">
        <f>IF($L391="معتمد",$H391,0)</f>
        <v/>
      </c>
      <c r="K391" s="44">
        <f>IF($B391="","",$I391-$J391)</f>
        <v/>
      </c>
      <c r="L391" s="40" t="n"/>
      <c r="M391" s="40" t="n"/>
      <c r="N391" s="110" t="n"/>
      <c r="O391" s="40" t="n"/>
    </row>
    <row r="392">
      <c r="A392" s="46" t="n"/>
      <c r="B392" s="47" t="n"/>
      <c r="C392" s="50">
        <f>IFERROR(INDEX(الموظفون_الاسم,MATCH($B392,الموظفون_الرقم,0)),"")</f>
        <v/>
      </c>
      <c r="D392" s="47" t="n"/>
      <c r="E392" s="112" t="n"/>
      <c r="F392" s="112" t="n"/>
      <c r="G392" s="112" t="n"/>
      <c r="H392" s="51">
        <f>IF(OR($F392="",$G392=""),"",MAX(0,$G392-$F392+1))</f>
        <v/>
      </c>
      <c r="I392" s="51">
        <f>IF($B392="","",IFERROR(INDEX(الموظفون_الافتتاحي,MATCH($B392,الموظفون_الرقم,0)),0)+IF($D392&lt;&gt;"سنوية",0,IFERROR(DATEDIF(بداية_احتساب_الرصيد,TODAY(),"M"),0)*معدل_الاستحقاق_الشهري)-SUMIFS($J$3:$J$502,$B$3:$B$502,$B392,$D$3:$D$502,"سنوية",$L$3:$L$502,"معتمد",$A$3:$A$502,"&lt;"&amp;$A392))</f>
        <v/>
      </c>
      <c r="J392" s="51">
        <f>IF($L392="معتمد",$H392,0)</f>
        <v/>
      </c>
      <c r="K392" s="51">
        <f>IF($B392="","",$I392-$J392)</f>
        <v/>
      </c>
      <c r="L392" s="47" t="n"/>
      <c r="M392" s="47" t="n"/>
      <c r="N392" s="112" t="n"/>
      <c r="O392" s="47" t="n"/>
    </row>
    <row r="393">
      <c r="A393" s="39" t="n"/>
      <c r="B393" s="40" t="n"/>
      <c r="C393" s="43">
        <f>IFERROR(INDEX(الموظفون_الاسم,MATCH($B393,الموظفون_الرقم,0)),"")</f>
        <v/>
      </c>
      <c r="D393" s="40" t="n"/>
      <c r="E393" s="110" t="n"/>
      <c r="F393" s="110" t="n"/>
      <c r="G393" s="110" t="n"/>
      <c r="H393" s="44">
        <f>IF(OR($F393="",$G393=""),"",MAX(0,$G393-$F393+1))</f>
        <v/>
      </c>
      <c r="I393" s="44">
        <f>IF($B393="","",IFERROR(INDEX(الموظفون_الافتتاحي,MATCH($B393,الموظفون_الرقم,0)),0)+IF($D393&lt;&gt;"سنوية",0,IFERROR(DATEDIF(بداية_احتساب_الرصيد,TODAY(),"M"),0)*معدل_الاستحقاق_الشهري)-SUMIFS($J$3:$J$502,$B$3:$B$502,$B393,$D$3:$D$502,"سنوية",$L$3:$L$502,"معتمد",$A$3:$A$502,"&lt;"&amp;$A393))</f>
        <v/>
      </c>
      <c r="J393" s="44">
        <f>IF($L393="معتمد",$H393,0)</f>
        <v/>
      </c>
      <c r="K393" s="44">
        <f>IF($B393="","",$I393-$J393)</f>
        <v/>
      </c>
      <c r="L393" s="40" t="n"/>
      <c r="M393" s="40" t="n"/>
      <c r="N393" s="110" t="n"/>
      <c r="O393" s="40" t="n"/>
    </row>
    <row r="394">
      <c r="A394" s="46" t="n"/>
      <c r="B394" s="47" t="n"/>
      <c r="C394" s="50">
        <f>IFERROR(INDEX(الموظفون_الاسم,MATCH($B394,الموظفون_الرقم,0)),"")</f>
        <v/>
      </c>
      <c r="D394" s="47" t="n"/>
      <c r="E394" s="112" t="n"/>
      <c r="F394" s="112" t="n"/>
      <c r="G394" s="112" t="n"/>
      <c r="H394" s="51">
        <f>IF(OR($F394="",$G394=""),"",MAX(0,$G394-$F394+1))</f>
        <v/>
      </c>
      <c r="I394" s="51">
        <f>IF($B394="","",IFERROR(INDEX(الموظفون_الافتتاحي,MATCH($B394,الموظفون_الرقم,0)),0)+IF($D394&lt;&gt;"سنوية",0,IFERROR(DATEDIF(بداية_احتساب_الرصيد,TODAY(),"M"),0)*معدل_الاستحقاق_الشهري)-SUMIFS($J$3:$J$502,$B$3:$B$502,$B394,$D$3:$D$502,"سنوية",$L$3:$L$502,"معتمد",$A$3:$A$502,"&lt;"&amp;$A394))</f>
        <v/>
      </c>
      <c r="J394" s="51">
        <f>IF($L394="معتمد",$H394,0)</f>
        <v/>
      </c>
      <c r="K394" s="51">
        <f>IF($B394="","",$I394-$J394)</f>
        <v/>
      </c>
      <c r="L394" s="47" t="n"/>
      <c r="M394" s="47" t="n"/>
      <c r="N394" s="112" t="n"/>
      <c r="O394" s="47" t="n"/>
    </row>
    <row r="395">
      <c r="A395" s="39" t="n"/>
      <c r="B395" s="40" t="n"/>
      <c r="C395" s="43">
        <f>IFERROR(INDEX(الموظفون_الاسم,MATCH($B395,الموظفون_الرقم,0)),"")</f>
        <v/>
      </c>
      <c r="D395" s="40" t="n"/>
      <c r="E395" s="110" t="n"/>
      <c r="F395" s="110" t="n"/>
      <c r="G395" s="110" t="n"/>
      <c r="H395" s="44">
        <f>IF(OR($F395="",$G395=""),"",MAX(0,$G395-$F395+1))</f>
        <v/>
      </c>
      <c r="I395" s="44">
        <f>IF($B395="","",IFERROR(INDEX(الموظفون_الافتتاحي,MATCH($B395,الموظفون_الرقم,0)),0)+IF($D395&lt;&gt;"سنوية",0,IFERROR(DATEDIF(بداية_احتساب_الرصيد,TODAY(),"M"),0)*معدل_الاستحقاق_الشهري)-SUMIFS($J$3:$J$502,$B$3:$B$502,$B395,$D$3:$D$502,"سنوية",$L$3:$L$502,"معتمد",$A$3:$A$502,"&lt;"&amp;$A395))</f>
        <v/>
      </c>
      <c r="J395" s="44">
        <f>IF($L395="معتمد",$H395,0)</f>
        <v/>
      </c>
      <c r="K395" s="44">
        <f>IF($B395="","",$I395-$J395)</f>
        <v/>
      </c>
      <c r="L395" s="40" t="n"/>
      <c r="M395" s="40" t="n"/>
      <c r="N395" s="110" t="n"/>
      <c r="O395" s="40" t="n"/>
    </row>
    <row r="396">
      <c r="A396" s="46" t="n"/>
      <c r="B396" s="47" t="n"/>
      <c r="C396" s="50">
        <f>IFERROR(INDEX(الموظفون_الاسم,MATCH($B396,الموظفون_الرقم,0)),"")</f>
        <v/>
      </c>
      <c r="D396" s="47" t="n"/>
      <c r="E396" s="112" t="n"/>
      <c r="F396" s="112" t="n"/>
      <c r="G396" s="112" t="n"/>
      <c r="H396" s="51">
        <f>IF(OR($F396="",$G396=""),"",MAX(0,$G396-$F396+1))</f>
        <v/>
      </c>
      <c r="I396" s="51">
        <f>IF($B396="","",IFERROR(INDEX(الموظفون_الافتتاحي,MATCH($B396,الموظفون_الرقم,0)),0)+IF($D396&lt;&gt;"سنوية",0,IFERROR(DATEDIF(بداية_احتساب_الرصيد,TODAY(),"M"),0)*معدل_الاستحقاق_الشهري)-SUMIFS($J$3:$J$502,$B$3:$B$502,$B396,$D$3:$D$502,"سنوية",$L$3:$L$502,"معتمد",$A$3:$A$502,"&lt;"&amp;$A396))</f>
        <v/>
      </c>
      <c r="J396" s="51">
        <f>IF($L396="معتمد",$H396,0)</f>
        <v/>
      </c>
      <c r="K396" s="51">
        <f>IF($B396="","",$I396-$J396)</f>
        <v/>
      </c>
      <c r="L396" s="47" t="n"/>
      <c r="M396" s="47" t="n"/>
      <c r="N396" s="112" t="n"/>
      <c r="O396" s="47" t="n"/>
    </row>
    <row r="397">
      <c r="A397" s="39" t="n"/>
      <c r="B397" s="40" t="n"/>
      <c r="C397" s="43">
        <f>IFERROR(INDEX(الموظفون_الاسم,MATCH($B397,الموظفون_الرقم,0)),"")</f>
        <v/>
      </c>
      <c r="D397" s="40" t="n"/>
      <c r="E397" s="110" t="n"/>
      <c r="F397" s="110" t="n"/>
      <c r="G397" s="110" t="n"/>
      <c r="H397" s="44">
        <f>IF(OR($F397="",$G397=""),"",MAX(0,$G397-$F397+1))</f>
        <v/>
      </c>
      <c r="I397" s="44">
        <f>IF($B397="","",IFERROR(INDEX(الموظفون_الافتتاحي,MATCH($B397,الموظفون_الرقم,0)),0)+IF($D397&lt;&gt;"سنوية",0,IFERROR(DATEDIF(بداية_احتساب_الرصيد,TODAY(),"M"),0)*معدل_الاستحقاق_الشهري)-SUMIFS($J$3:$J$502,$B$3:$B$502,$B397,$D$3:$D$502,"سنوية",$L$3:$L$502,"معتمد",$A$3:$A$502,"&lt;"&amp;$A397))</f>
        <v/>
      </c>
      <c r="J397" s="44">
        <f>IF($L397="معتمد",$H397,0)</f>
        <v/>
      </c>
      <c r="K397" s="44">
        <f>IF($B397="","",$I397-$J397)</f>
        <v/>
      </c>
      <c r="L397" s="40" t="n"/>
      <c r="M397" s="40" t="n"/>
      <c r="N397" s="110" t="n"/>
      <c r="O397" s="40" t="n"/>
    </row>
    <row r="398">
      <c r="A398" s="46" t="n"/>
      <c r="B398" s="47" t="n"/>
      <c r="C398" s="50">
        <f>IFERROR(INDEX(الموظفون_الاسم,MATCH($B398,الموظفون_الرقم,0)),"")</f>
        <v/>
      </c>
      <c r="D398" s="47" t="n"/>
      <c r="E398" s="112" t="n"/>
      <c r="F398" s="112" t="n"/>
      <c r="G398" s="112" t="n"/>
      <c r="H398" s="51">
        <f>IF(OR($F398="",$G398=""),"",MAX(0,$G398-$F398+1))</f>
        <v/>
      </c>
      <c r="I398" s="51">
        <f>IF($B398="","",IFERROR(INDEX(الموظفون_الافتتاحي,MATCH($B398,الموظفون_الرقم,0)),0)+IF($D398&lt;&gt;"سنوية",0,IFERROR(DATEDIF(بداية_احتساب_الرصيد,TODAY(),"M"),0)*معدل_الاستحقاق_الشهري)-SUMIFS($J$3:$J$502,$B$3:$B$502,$B398,$D$3:$D$502,"سنوية",$L$3:$L$502,"معتمد",$A$3:$A$502,"&lt;"&amp;$A398))</f>
        <v/>
      </c>
      <c r="J398" s="51">
        <f>IF($L398="معتمد",$H398,0)</f>
        <v/>
      </c>
      <c r="K398" s="51">
        <f>IF($B398="","",$I398-$J398)</f>
        <v/>
      </c>
      <c r="L398" s="47" t="n"/>
      <c r="M398" s="47" t="n"/>
      <c r="N398" s="112" t="n"/>
      <c r="O398" s="47" t="n"/>
    </row>
    <row r="399">
      <c r="A399" s="39" t="n"/>
      <c r="B399" s="40" t="n"/>
      <c r="C399" s="43">
        <f>IFERROR(INDEX(الموظفون_الاسم,MATCH($B399,الموظفون_الرقم,0)),"")</f>
        <v/>
      </c>
      <c r="D399" s="40" t="n"/>
      <c r="E399" s="110" t="n"/>
      <c r="F399" s="110" t="n"/>
      <c r="G399" s="110" t="n"/>
      <c r="H399" s="44">
        <f>IF(OR($F399="",$G399=""),"",MAX(0,$G399-$F399+1))</f>
        <v/>
      </c>
      <c r="I399" s="44">
        <f>IF($B399="","",IFERROR(INDEX(الموظفون_الافتتاحي,MATCH($B399,الموظفون_الرقم,0)),0)+IF($D399&lt;&gt;"سنوية",0,IFERROR(DATEDIF(بداية_احتساب_الرصيد,TODAY(),"M"),0)*معدل_الاستحقاق_الشهري)-SUMIFS($J$3:$J$502,$B$3:$B$502,$B399,$D$3:$D$502,"سنوية",$L$3:$L$502,"معتمد",$A$3:$A$502,"&lt;"&amp;$A399))</f>
        <v/>
      </c>
      <c r="J399" s="44">
        <f>IF($L399="معتمد",$H399,0)</f>
        <v/>
      </c>
      <c r="K399" s="44">
        <f>IF($B399="","",$I399-$J399)</f>
        <v/>
      </c>
      <c r="L399" s="40" t="n"/>
      <c r="M399" s="40" t="n"/>
      <c r="N399" s="110" t="n"/>
      <c r="O399" s="40" t="n"/>
    </row>
    <row r="400">
      <c r="A400" s="46" t="n"/>
      <c r="B400" s="47" t="n"/>
      <c r="C400" s="50">
        <f>IFERROR(INDEX(الموظفون_الاسم,MATCH($B400,الموظفون_الرقم,0)),"")</f>
        <v/>
      </c>
      <c r="D400" s="47" t="n"/>
      <c r="E400" s="112" t="n"/>
      <c r="F400" s="112" t="n"/>
      <c r="G400" s="112" t="n"/>
      <c r="H400" s="51">
        <f>IF(OR($F400="",$G400=""),"",MAX(0,$G400-$F400+1))</f>
        <v/>
      </c>
      <c r="I400" s="51">
        <f>IF($B400="","",IFERROR(INDEX(الموظفون_الافتتاحي,MATCH($B400,الموظفون_الرقم,0)),0)+IF($D400&lt;&gt;"سنوية",0,IFERROR(DATEDIF(بداية_احتساب_الرصيد,TODAY(),"M"),0)*معدل_الاستحقاق_الشهري)-SUMIFS($J$3:$J$502,$B$3:$B$502,$B400,$D$3:$D$502,"سنوية",$L$3:$L$502,"معتمد",$A$3:$A$502,"&lt;"&amp;$A400))</f>
        <v/>
      </c>
      <c r="J400" s="51">
        <f>IF($L400="معتمد",$H400,0)</f>
        <v/>
      </c>
      <c r="K400" s="51">
        <f>IF($B400="","",$I400-$J400)</f>
        <v/>
      </c>
      <c r="L400" s="47" t="n"/>
      <c r="M400" s="47" t="n"/>
      <c r="N400" s="112" t="n"/>
      <c r="O400" s="47" t="n"/>
    </row>
    <row r="401">
      <c r="A401" s="39" t="n"/>
      <c r="B401" s="40" t="n"/>
      <c r="C401" s="43">
        <f>IFERROR(INDEX(الموظفون_الاسم,MATCH($B401,الموظفون_الرقم,0)),"")</f>
        <v/>
      </c>
      <c r="D401" s="40" t="n"/>
      <c r="E401" s="110" t="n"/>
      <c r="F401" s="110" t="n"/>
      <c r="G401" s="110" t="n"/>
      <c r="H401" s="44">
        <f>IF(OR($F401="",$G401=""),"",MAX(0,$G401-$F401+1))</f>
        <v/>
      </c>
      <c r="I401" s="44">
        <f>IF($B401="","",IFERROR(INDEX(الموظفون_الافتتاحي,MATCH($B401,الموظفون_الرقم,0)),0)+IF($D401&lt;&gt;"سنوية",0,IFERROR(DATEDIF(بداية_احتساب_الرصيد,TODAY(),"M"),0)*معدل_الاستحقاق_الشهري)-SUMIFS($J$3:$J$502,$B$3:$B$502,$B401,$D$3:$D$502,"سنوية",$L$3:$L$502,"معتمد",$A$3:$A$502,"&lt;"&amp;$A401))</f>
        <v/>
      </c>
      <c r="J401" s="44">
        <f>IF($L401="معتمد",$H401,0)</f>
        <v/>
      </c>
      <c r="K401" s="44">
        <f>IF($B401="","",$I401-$J401)</f>
        <v/>
      </c>
      <c r="L401" s="40" t="n"/>
      <c r="M401" s="40" t="n"/>
      <c r="N401" s="110" t="n"/>
      <c r="O401" s="40" t="n"/>
    </row>
    <row r="402">
      <c r="A402" s="46" t="n"/>
      <c r="B402" s="47" t="n"/>
      <c r="C402" s="50">
        <f>IFERROR(INDEX(الموظفون_الاسم,MATCH($B402,الموظفون_الرقم,0)),"")</f>
        <v/>
      </c>
      <c r="D402" s="47" t="n"/>
      <c r="E402" s="112" t="n"/>
      <c r="F402" s="112" t="n"/>
      <c r="G402" s="112" t="n"/>
      <c r="H402" s="51">
        <f>IF(OR($F402="",$G402=""),"",MAX(0,$G402-$F402+1))</f>
        <v/>
      </c>
      <c r="I402" s="51">
        <f>IF($B402="","",IFERROR(INDEX(الموظفون_الافتتاحي,MATCH($B402,الموظفون_الرقم,0)),0)+IF($D402&lt;&gt;"سنوية",0,IFERROR(DATEDIF(بداية_احتساب_الرصيد,TODAY(),"M"),0)*معدل_الاستحقاق_الشهري)-SUMIFS($J$3:$J$502,$B$3:$B$502,$B402,$D$3:$D$502,"سنوية",$L$3:$L$502,"معتمد",$A$3:$A$502,"&lt;"&amp;$A402))</f>
        <v/>
      </c>
      <c r="J402" s="51">
        <f>IF($L402="معتمد",$H402,0)</f>
        <v/>
      </c>
      <c r="K402" s="51">
        <f>IF($B402="","",$I402-$J402)</f>
        <v/>
      </c>
      <c r="L402" s="47" t="n"/>
      <c r="M402" s="47" t="n"/>
      <c r="N402" s="112" t="n"/>
      <c r="O402" s="47" t="n"/>
    </row>
    <row r="403">
      <c r="A403" s="39" t="n"/>
      <c r="B403" s="40" t="n"/>
      <c r="C403" s="43">
        <f>IFERROR(INDEX(الموظفون_الاسم,MATCH($B403,الموظفون_الرقم,0)),"")</f>
        <v/>
      </c>
      <c r="D403" s="40" t="n"/>
      <c r="E403" s="110" t="n"/>
      <c r="F403" s="110" t="n"/>
      <c r="G403" s="110" t="n"/>
      <c r="H403" s="44">
        <f>IF(OR($F403="",$G403=""),"",MAX(0,$G403-$F403+1))</f>
        <v/>
      </c>
      <c r="I403" s="44">
        <f>IF($B403="","",IFERROR(INDEX(الموظفون_الافتتاحي,MATCH($B403,الموظفون_الرقم,0)),0)+IF($D403&lt;&gt;"سنوية",0,IFERROR(DATEDIF(بداية_احتساب_الرصيد,TODAY(),"M"),0)*معدل_الاستحقاق_الشهري)-SUMIFS($J$3:$J$502,$B$3:$B$502,$B403,$D$3:$D$502,"سنوية",$L$3:$L$502,"معتمد",$A$3:$A$502,"&lt;"&amp;$A403))</f>
        <v/>
      </c>
      <c r="J403" s="44">
        <f>IF($L403="معتمد",$H403,0)</f>
        <v/>
      </c>
      <c r="K403" s="44">
        <f>IF($B403="","",$I403-$J403)</f>
        <v/>
      </c>
      <c r="L403" s="40" t="n"/>
      <c r="M403" s="40" t="n"/>
      <c r="N403" s="110" t="n"/>
      <c r="O403" s="40" t="n"/>
    </row>
    <row r="404">
      <c r="A404" s="46" t="n"/>
      <c r="B404" s="47" t="n"/>
      <c r="C404" s="50">
        <f>IFERROR(INDEX(الموظفون_الاسم,MATCH($B404,الموظفون_الرقم,0)),"")</f>
        <v/>
      </c>
      <c r="D404" s="47" t="n"/>
      <c r="E404" s="112" t="n"/>
      <c r="F404" s="112" t="n"/>
      <c r="G404" s="112" t="n"/>
      <c r="H404" s="51">
        <f>IF(OR($F404="",$G404=""),"",MAX(0,$G404-$F404+1))</f>
        <v/>
      </c>
      <c r="I404" s="51">
        <f>IF($B404="","",IFERROR(INDEX(الموظفون_الافتتاحي,MATCH($B404,الموظفون_الرقم,0)),0)+IF($D404&lt;&gt;"سنوية",0,IFERROR(DATEDIF(بداية_احتساب_الرصيد,TODAY(),"M"),0)*معدل_الاستحقاق_الشهري)-SUMIFS($J$3:$J$502,$B$3:$B$502,$B404,$D$3:$D$502,"سنوية",$L$3:$L$502,"معتمد",$A$3:$A$502,"&lt;"&amp;$A404))</f>
        <v/>
      </c>
      <c r="J404" s="51">
        <f>IF($L404="معتمد",$H404,0)</f>
        <v/>
      </c>
      <c r="K404" s="51">
        <f>IF($B404="","",$I404-$J404)</f>
        <v/>
      </c>
      <c r="L404" s="47" t="n"/>
      <c r="M404" s="47" t="n"/>
      <c r="N404" s="112" t="n"/>
      <c r="O404" s="47" t="n"/>
    </row>
    <row r="405">
      <c r="A405" s="39" t="n"/>
      <c r="B405" s="40" t="n"/>
      <c r="C405" s="43">
        <f>IFERROR(INDEX(الموظفون_الاسم,MATCH($B405,الموظفون_الرقم,0)),"")</f>
        <v/>
      </c>
      <c r="D405" s="40" t="n"/>
      <c r="E405" s="110" t="n"/>
      <c r="F405" s="110" t="n"/>
      <c r="G405" s="110" t="n"/>
      <c r="H405" s="44">
        <f>IF(OR($F405="",$G405=""),"",MAX(0,$G405-$F405+1))</f>
        <v/>
      </c>
      <c r="I405" s="44">
        <f>IF($B405="","",IFERROR(INDEX(الموظفون_الافتتاحي,MATCH($B405,الموظفون_الرقم,0)),0)+IF($D405&lt;&gt;"سنوية",0,IFERROR(DATEDIF(بداية_احتساب_الرصيد,TODAY(),"M"),0)*معدل_الاستحقاق_الشهري)-SUMIFS($J$3:$J$502,$B$3:$B$502,$B405,$D$3:$D$502,"سنوية",$L$3:$L$502,"معتمد",$A$3:$A$502,"&lt;"&amp;$A405))</f>
        <v/>
      </c>
      <c r="J405" s="44">
        <f>IF($L405="معتمد",$H405,0)</f>
        <v/>
      </c>
      <c r="K405" s="44">
        <f>IF($B405="","",$I405-$J405)</f>
        <v/>
      </c>
      <c r="L405" s="40" t="n"/>
      <c r="M405" s="40" t="n"/>
      <c r="N405" s="110" t="n"/>
      <c r="O405" s="40" t="n"/>
    </row>
    <row r="406">
      <c r="A406" s="46" t="n"/>
      <c r="B406" s="47" t="n"/>
      <c r="C406" s="50">
        <f>IFERROR(INDEX(الموظفون_الاسم,MATCH($B406,الموظفون_الرقم,0)),"")</f>
        <v/>
      </c>
      <c r="D406" s="47" t="n"/>
      <c r="E406" s="112" t="n"/>
      <c r="F406" s="112" t="n"/>
      <c r="G406" s="112" t="n"/>
      <c r="H406" s="51">
        <f>IF(OR($F406="",$G406=""),"",MAX(0,$G406-$F406+1))</f>
        <v/>
      </c>
      <c r="I406" s="51">
        <f>IF($B406="","",IFERROR(INDEX(الموظفون_الافتتاحي,MATCH($B406,الموظفون_الرقم,0)),0)+IF($D406&lt;&gt;"سنوية",0,IFERROR(DATEDIF(بداية_احتساب_الرصيد,TODAY(),"M"),0)*معدل_الاستحقاق_الشهري)-SUMIFS($J$3:$J$502,$B$3:$B$502,$B406,$D$3:$D$502,"سنوية",$L$3:$L$502,"معتمد",$A$3:$A$502,"&lt;"&amp;$A406))</f>
        <v/>
      </c>
      <c r="J406" s="51">
        <f>IF($L406="معتمد",$H406,0)</f>
        <v/>
      </c>
      <c r="K406" s="51">
        <f>IF($B406="","",$I406-$J406)</f>
        <v/>
      </c>
      <c r="L406" s="47" t="n"/>
      <c r="M406" s="47" t="n"/>
      <c r="N406" s="112" t="n"/>
      <c r="O406" s="47" t="n"/>
    </row>
    <row r="407">
      <c r="A407" s="39" t="n"/>
      <c r="B407" s="40" t="n"/>
      <c r="C407" s="43">
        <f>IFERROR(INDEX(الموظفون_الاسم,MATCH($B407,الموظفون_الرقم,0)),"")</f>
        <v/>
      </c>
      <c r="D407" s="40" t="n"/>
      <c r="E407" s="110" t="n"/>
      <c r="F407" s="110" t="n"/>
      <c r="G407" s="110" t="n"/>
      <c r="H407" s="44">
        <f>IF(OR($F407="",$G407=""),"",MAX(0,$G407-$F407+1))</f>
        <v/>
      </c>
      <c r="I407" s="44">
        <f>IF($B407="","",IFERROR(INDEX(الموظفون_الافتتاحي,MATCH($B407,الموظفون_الرقم,0)),0)+IF($D407&lt;&gt;"سنوية",0,IFERROR(DATEDIF(بداية_احتساب_الرصيد,TODAY(),"M"),0)*معدل_الاستحقاق_الشهري)-SUMIFS($J$3:$J$502,$B$3:$B$502,$B407,$D$3:$D$502,"سنوية",$L$3:$L$502,"معتمد",$A$3:$A$502,"&lt;"&amp;$A407))</f>
        <v/>
      </c>
      <c r="J407" s="44">
        <f>IF($L407="معتمد",$H407,0)</f>
        <v/>
      </c>
      <c r="K407" s="44">
        <f>IF($B407="","",$I407-$J407)</f>
        <v/>
      </c>
      <c r="L407" s="40" t="n"/>
      <c r="M407" s="40" t="n"/>
      <c r="N407" s="110" t="n"/>
      <c r="O407" s="40" t="n"/>
    </row>
    <row r="408">
      <c r="A408" s="46" t="n"/>
      <c r="B408" s="47" t="n"/>
      <c r="C408" s="50">
        <f>IFERROR(INDEX(الموظفون_الاسم,MATCH($B408,الموظفون_الرقم,0)),"")</f>
        <v/>
      </c>
      <c r="D408" s="47" t="n"/>
      <c r="E408" s="112" t="n"/>
      <c r="F408" s="112" t="n"/>
      <c r="G408" s="112" t="n"/>
      <c r="H408" s="51">
        <f>IF(OR($F408="",$G408=""),"",MAX(0,$G408-$F408+1))</f>
        <v/>
      </c>
      <c r="I408" s="51">
        <f>IF($B408="","",IFERROR(INDEX(الموظفون_الافتتاحي,MATCH($B408,الموظفون_الرقم,0)),0)+IF($D408&lt;&gt;"سنوية",0,IFERROR(DATEDIF(بداية_احتساب_الرصيد,TODAY(),"M"),0)*معدل_الاستحقاق_الشهري)-SUMIFS($J$3:$J$502,$B$3:$B$502,$B408,$D$3:$D$502,"سنوية",$L$3:$L$502,"معتمد",$A$3:$A$502,"&lt;"&amp;$A408))</f>
        <v/>
      </c>
      <c r="J408" s="51">
        <f>IF($L408="معتمد",$H408,0)</f>
        <v/>
      </c>
      <c r="K408" s="51">
        <f>IF($B408="","",$I408-$J408)</f>
        <v/>
      </c>
      <c r="L408" s="47" t="n"/>
      <c r="M408" s="47" t="n"/>
      <c r="N408" s="112" t="n"/>
      <c r="O408" s="47" t="n"/>
    </row>
    <row r="409">
      <c r="A409" s="39" t="n"/>
      <c r="B409" s="40" t="n"/>
      <c r="C409" s="43">
        <f>IFERROR(INDEX(الموظفون_الاسم,MATCH($B409,الموظفون_الرقم,0)),"")</f>
        <v/>
      </c>
      <c r="D409" s="40" t="n"/>
      <c r="E409" s="110" t="n"/>
      <c r="F409" s="110" t="n"/>
      <c r="G409" s="110" t="n"/>
      <c r="H409" s="44">
        <f>IF(OR($F409="",$G409=""),"",MAX(0,$G409-$F409+1))</f>
        <v/>
      </c>
      <c r="I409" s="44">
        <f>IF($B409="","",IFERROR(INDEX(الموظفون_الافتتاحي,MATCH($B409,الموظفون_الرقم,0)),0)+IF($D409&lt;&gt;"سنوية",0,IFERROR(DATEDIF(بداية_احتساب_الرصيد,TODAY(),"M"),0)*معدل_الاستحقاق_الشهري)-SUMIFS($J$3:$J$502,$B$3:$B$502,$B409,$D$3:$D$502,"سنوية",$L$3:$L$502,"معتمد",$A$3:$A$502,"&lt;"&amp;$A409))</f>
        <v/>
      </c>
      <c r="J409" s="44">
        <f>IF($L409="معتمد",$H409,0)</f>
        <v/>
      </c>
      <c r="K409" s="44">
        <f>IF($B409="","",$I409-$J409)</f>
        <v/>
      </c>
      <c r="L409" s="40" t="n"/>
      <c r="M409" s="40" t="n"/>
      <c r="N409" s="110" t="n"/>
      <c r="O409" s="40" t="n"/>
    </row>
    <row r="410">
      <c r="A410" s="46" t="n"/>
      <c r="B410" s="47" t="n"/>
      <c r="C410" s="50">
        <f>IFERROR(INDEX(الموظفون_الاسم,MATCH($B410,الموظفون_الرقم,0)),"")</f>
        <v/>
      </c>
      <c r="D410" s="47" t="n"/>
      <c r="E410" s="112" t="n"/>
      <c r="F410" s="112" t="n"/>
      <c r="G410" s="112" t="n"/>
      <c r="H410" s="51">
        <f>IF(OR($F410="",$G410=""),"",MAX(0,$G410-$F410+1))</f>
        <v/>
      </c>
      <c r="I410" s="51">
        <f>IF($B410="","",IFERROR(INDEX(الموظفون_الافتتاحي,MATCH($B410,الموظفون_الرقم,0)),0)+IF($D410&lt;&gt;"سنوية",0,IFERROR(DATEDIF(بداية_احتساب_الرصيد,TODAY(),"M"),0)*معدل_الاستحقاق_الشهري)-SUMIFS($J$3:$J$502,$B$3:$B$502,$B410,$D$3:$D$502,"سنوية",$L$3:$L$502,"معتمد",$A$3:$A$502,"&lt;"&amp;$A410))</f>
        <v/>
      </c>
      <c r="J410" s="51">
        <f>IF($L410="معتمد",$H410,0)</f>
        <v/>
      </c>
      <c r="K410" s="51">
        <f>IF($B410="","",$I410-$J410)</f>
        <v/>
      </c>
      <c r="L410" s="47" t="n"/>
      <c r="M410" s="47" t="n"/>
      <c r="N410" s="112" t="n"/>
      <c r="O410" s="47" t="n"/>
    </row>
    <row r="411">
      <c r="A411" s="39" t="n"/>
      <c r="B411" s="40" t="n"/>
      <c r="C411" s="43">
        <f>IFERROR(INDEX(الموظفون_الاسم,MATCH($B411,الموظفون_الرقم,0)),"")</f>
        <v/>
      </c>
      <c r="D411" s="40" t="n"/>
      <c r="E411" s="110" t="n"/>
      <c r="F411" s="110" t="n"/>
      <c r="G411" s="110" t="n"/>
      <c r="H411" s="44">
        <f>IF(OR($F411="",$G411=""),"",MAX(0,$G411-$F411+1))</f>
        <v/>
      </c>
      <c r="I411" s="44">
        <f>IF($B411="","",IFERROR(INDEX(الموظفون_الافتتاحي,MATCH($B411,الموظفون_الرقم,0)),0)+IF($D411&lt;&gt;"سنوية",0,IFERROR(DATEDIF(بداية_احتساب_الرصيد,TODAY(),"M"),0)*معدل_الاستحقاق_الشهري)-SUMIFS($J$3:$J$502,$B$3:$B$502,$B411,$D$3:$D$502,"سنوية",$L$3:$L$502,"معتمد",$A$3:$A$502,"&lt;"&amp;$A411))</f>
        <v/>
      </c>
      <c r="J411" s="44">
        <f>IF($L411="معتمد",$H411,0)</f>
        <v/>
      </c>
      <c r="K411" s="44">
        <f>IF($B411="","",$I411-$J411)</f>
        <v/>
      </c>
      <c r="L411" s="40" t="n"/>
      <c r="M411" s="40" t="n"/>
      <c r="N411" s="110" t="n"/>
      <c r="O411" s="40" t="n"/>
    </row>
    <row r="412">
      <c r="A412" s="46" t="n"/>
      <c r="B412" s="47" t="n"/>
      <c r="C412" s="50">
        <f>IFERROR(INDEX(الموظفون_الاسم,MATCH($B412,الموظفون_الرقم,0)),"")</f>
        <v/>
      </c>
      <c r="D412" s="47" t="n"/>
      <c r="E412" s="112" t="n"/>
      <c r="F412" s="112" t="n"/>
      <c r="G412" s="112" t="n"/>
      <c r="H412" s="51">
        <f>IF(OR($F412="",$G412=""),"",MAX(0,$G412-$F412+1))</f>
        <v/>
      </c>
      <c r="I412" s="51">
        <f>IF($B412="","",IFERROR(INDEX(الموظفون_الافتتاحي,MATCH($B412,الموظفون_الرقم,0)),0)+IF($D412&lt;&gt;"سنوية",0,IFERROR(DATEDIF(بداية_احتساب_الرصيد,TODAY(),"M"),0)*معدل_الاستحقاق_الشهري)-SUMIFS($J$3:$J$502,$B$3:$B$502,$B412,$D$3:$D$502,"سنوية",$L$3:$L$502,"معتمد",$A$3:$A$502,"&lt;"&amp;$A412))</f>
        <v/>
      </c>
      <c r="J412" s="51">
        <f>IF($L412="معتمد",$H412,0)</f>
        <v/>
      </c>
      <c r="K412" s="51">
        <f>IF($B412="","",$I412-$J412)</f>
        <v/>
      </c>
      <c r="L412" s="47" t="n"/>
      <c r="M412" s="47" t="n"/>
      <c r="N412" s="112" t="n"/>
      <c r="O412" s="47" t="n"/>
    </row>
    <row r="413">
      <c r="A413" s="39" t="n"/>
      <c r="B413" s="40" t="n"/>
      <c r="C413" s="43">
        <f>IFERROR(INDEX(الموظفون_الاسم,MATCH($B413,الموظفون_الرقم,0)),"")</f>
        <v/>
      </c>
      <c r="D413" s="40" t="n"/>
      <c r="E413" s="110" t="n"/>
      <c r="F413" s="110" t="n"/>
      <c r="G413" s="110" t="n"/>
      <c r="H413" s="44">
        <f>IF(OR($F413="",$G413=""),"",MAX(0,$G413-$F413+1))</f>
        <v/>
      </c>
      <c r="I413" s="44">
        <f>IF($B413="","",IFERROR(INDEX(الموظفون_الافتتاحي,MATCH($B413,الموظفون_الرقم,0)),0)+IF($D413&lt;&gt;"سنوية",0,IFERROR(DATEDIF(بداية_احتساب_الرصيد,TODAY(),"M"),0)*معدل_الاستحقاق_الشهري)-SUMIFS($J$3:$J$502,$B$3:$B$502,$B413,$D$3:$D$502,"سنوية",$L$3:$L$502,"معتمد",$A$3:$A$502,"&lt;"&amp;$A413))</f>
        <v/>
      </c>
      <c r="J413" s="44">
        <f>IF($L413="معتمد",$H413,0)</f>
        <v/>
      </c>
      <c r="K413" s="44">
        <f>IF($B413="","",$I413-$J413)</f>
        <v/>
      </c>
      <c r="L413" s="40" t="n"/>
      <c r="M413" s="40" t="n"/>
      <c r="N413" s="110" t="n"/>
      <c r="O413" s="40" t="n"/>
    </row>
    <row r="414">
      <c r="A414" s="46" t="n"/>
      <c r="B414" s="47" t="n"/>
      <c r="C414" s="50">
        <f>IFERROR(INDEX(الموظفون_الاسم,MATCH($B414,الموظفون_الرقم,0)),"")</f>
        <v/>
      </c>
      <c r="D414" s="47" t="n"/>
      <c r="E414" s="112" t="n"/>
      <c r="F414" s="112" t="n"/>
      <c r="G414" s="112" t="n"/>
      <c r="H414" s="51">
        <f>IF(OR($F414="",$G414=""),"",MAX(0,$G414-$F414+1))</f>
        <v/>
      </c>
      <c r="I414" s="51">
        <f>IF($B414="","",IFERROR(INDEX(الموظفون_الافتتاحي,MATCH($B414,الموظفون_الرقم,0)),0)+IF($D414&lt;&gt;"سنوية",0,IFERROR(DATEDIF(بداية_احتساب_الرصيد,TODAY(),"M"),0)*معدل_الاستحقاق_الشهري)-SUMIFS($J$3:$J$502,$B$3:$B$502,$B414,$D$3:$D$502,"سنوية",$L$3:$L$502,"معتمد",$A$3:$A$502,"&lt;"&amp;$A414))</f>
        <v/>
      </c>
      <c r="J414" s="51">
        <f>IF($L414="معتمد",$H414,0)</f>
        <v/>
      </c>
      <c r="K414" s="51">
        <f>IF($B414="","",$I414-$J414)</f>
        <v/>
      </c>
      <c r="L414" s="47" t="n"/>
      <c r="M414" s="47" t="n"/>
      <c r="N414" s="112" t="n"/>
      <c r="O414" s="47" t="n"/>
    </row>
    <row r="415">
      <c r="A415" s="39" t="n"/>
      <c r="B415" s="40" t="n"/>
      <c r="C415" s="43">
        <f>IFERROR(INDEX(الموظفون_الاسم,MATCH($B415,الموظفون_الرقم,0)),"")</f>
        <v/>
      </c>
      <c r="D415" s="40" t="n"/>
      <c r="E415" s="110" t="n"/>
      <c r="F415" s="110" t="n"/>
      <c r="G415" s="110" t="n"/>
      <c r="H415" s="44">
        <f>IF(OR($F415="",$G415=""),"",MAX(0,$G415-$F415+1))</f>
        <v/>
      </c>
      <c r="I415" s="44">
        <f>IF($B415="","",IFERROR(INDEX(الموظفون_الافتتاحي,MATCH($B415,الموظفون_الرقم,0)),0)+IF($D415&lt;&gt;"سنوية",0,IFERROR(DATEDIF(بداية_احتساب_الرصيد,TODAY(),"M"),0)*معدل_الاستحقاق_الشهري)-SUMIFS($J$3:$J$502,$B$3:$B$502,$B415,$D$3:$D$502,"سنوية",$L$3:$L$502,"معتمد",$A$3:$A$502,"&lt;"&amp;$A415))</f>
        <v/>
      </c>
      <c r="J415" s="44">
        <f>IF($L415="معتمد",$H415,0)</f>
        <v/>
      </c>
      <c r="K415" s="44">
        <f>IF($B415="","",$I415-$J415)</f>
        <v/>
      </c>
      <c r="L415" s="40" t="n"/>
      <c r="M415" s="40" t="n"/>
      <c r="N415" s="110" t="n"/>
      <c r="O415" s="40" t="n"/>
    </row>
    <row r="416">
      <c r="A416" s="46" t="n"/>
      <c r="B416" s="47" t="n"/>
      <c r="C416" s="50">
        <f>IFERROR(INDEX(الموظفون_الاسم,MATCH($B416,الموظفون_الرقم,0)),"")</f>
        <v/>
      </c>
      <c r="D416" s="47" t="n"/>
      <c r="E416" s="112" t="n"/>
      <c r="F416" s="112" t="n"/>
      <c r="G416" s="112" t="n"/>
      <c r="H416" s="51">
        <f>IF(OR($F416="",$G416=""),"",MAX(0,$G416-$F416+1))</f>
        <v/>
      </c>
      <c r="I416" s="51">
        <f>IF($B416="","",IFERROR(INDEX(الموظفون_الافتتاحي,MATCH($B416,الموظفون_الرقم,0)),0)+IF($D416&lt;&gt;"سنوية",0,IFERROR(DATEDIF(بداية_احتساب_الرصيد,TODAY(),"M"),0)*معدل_الاستحقاق_الشهري)-SUMIFS($J$3:$J$502,$B$3:$B$502,$B416,$D$3:$D$502,"سنوية",$L$3:$L$502,"معتمد",$A$3:$A$502,"&lt;"&amp;$A416))</f>
        <v/>
      </c>
      <c r="J416" s="51">
        <f>IF($L416="معتمد",$H416,0)</f>
        <v/>
      </c>
      <c r="K416" s="51">
        <f>IF($B416="","",$I416-$J416)</f>
        <v/>
      </c>
      <c r="L416" s="47" t="n"/>
      <c r="M416" s="47" t="n"/>
      <c r="N416" s="112" t="n"/>
      <c r="O416" s="47" t="n"/>
    </row>
    <row r="417">
      <c r="A417" s="39" t="n"/>
      <c r="B417" s="40" t="n"/>
      <c r="C417" s="43">
        <f>IFERROR(INDEX(الموظفون_الاسم,MATCH($B417,الموظفون_الرقم,0)),"")</f>
        <v/>
      </c>
      <c r="D417" s="40" t="n"/>
      <c r="E417" s="110" t="n"/>
      <c r="F417" s="110" t="n"/>
      <c r="G417" s="110" t="n"/>
      <c r="H417" s="44">
        <f>IF(OR($F417="",$G417=""),"",MAX(0,$G417-$F417+1))</f>
        <v/>
      </c>
      <c r="I417" s="44">
        <f>IF($B417="","",IFERROR(INDEX(الموظفون_الافتتاحي,MATCH($B417,الموظفون_الرقم,0)),0)+IF($D417&lt;&gt;"سنوية",0,IFERROR(DATEDIF(بداية_احتساب_الرصيد,TODAY(),"M"),0)*معدل_الاستحقاق_الشهري)-SUMIFS($J$3:$J$502,$B$3:$B$502,$B417,$D$3:$D$502,"سنوية",$L$3:$L$502,"معتمد",$A$3:$A$502,"&lt;"&amp;$A417))</f>
        <v/>
      </c>
      <c r="J417" s="44">
        <f>IF($L417="معتمد",$H417,0)</f>
        <v/>
      </c>
      <c r="K417" s="44">
        <f>IF($B417="","",$I417-$J417)</f>
        <v/>
      </c>
      <c r="L417" s="40" t="n"/>
      <c r="M417" s="40" t="n"/>
      <c r="N417" s="110" t="n"/>
      <c r="O417" s="40" t="n"/>
    </row>
    <row r="418">
      <c r="A418" s="46" t="n"/>
      <c r="B418" s="47" t="n"/>
      <c r="C418" s="50">
        <f>IFERROR(INDEX(الموظفون_الاسم,MATCH($B418,الموظفون_الرقم,0)),"")</f>
        <v/>
      </c>
      <c r="D418" s="47" t="n"/>
      <c r="E418" s="112" t="n"/>
      <c r="F418" s="112" t="n"/>
      <c r="G418" s="112" t="n"/>
      <c r="H418" s="51">
        <f>IF(OR($F418="",$G418=""),"",MAX(0,$G418-$F418+1))</f>
        <v/>
      </c>
      <c r="I418" s="51">
        <f>IF($B418="","",IFERROR(INDEX(الموظفون_الافتتاحي,MATCH($B418,الموظفون_الرقم,0)),0)+IF($D418&lt;&gt;"سنوية",0,IFERROR(DATEDIF(بداية_احتساب_الرصيد,TODAY(),"M"),0)*معدل_الاستحقاق_الشهري)-SUMIFS($J$3:$J$502,$B$3:$B$502,$B418,$D$3:$D$502,"سنوية",$L$3:$L$502,"معتمد",$A$3:$A$502,"&lt;"&amp;$A418))</f>
        <v/>
      </c>
      <c r="J418" s="51">
        <f>IF($L418="معتمد",$H418,0)</f>
        <v/>
      </c>
      <c r="K418" s="51">
        <f>IF($B418="","",$I418-$J418)</f>
        <v/>
      </c>
      <c r="L418" s="47" t="n"/>
      <c r="M418" s="47" t="n"/>
      <c r="N418" s="112" t="n"/>
      <c r="O418" s="47" t="n"/>
    </row>
    <row r="419">
      <c r="A419" s="39" t="n"/>
      <c r="B419" s="40" t="n"/>
      <c r="C419" s="43">
        <f>IFERROR(INDEX(الموظفون_الاسم,MATCH($B419,الموظفون_الرقم,0)),"")</f>
        <v/>
      </c>
      <c r="D419" s="40" t="n"/>
      <c r="E419" s="110" t="n"/>
      <c r="F419" s="110" t="n"/>
      <c r="G419" s="110" t="n"/>
      <c r="H419" s="44">
        <f>IF(OR($F419="",$G419=""),"",MAX(0,$G419-$F419+1))</f>
        <v/>
      </c>
      <c r="I419" s="44">
        <f>IF($B419="","",IFERROR(INDEX(الموظفون_الافتتاحي,MATCH($B419,الموظفون_الرقم,0)),0)+IF($D419&lt;&gt;"سنوية",0,IFERROR(DATEDIF(بداية_احتساب_الرصيد,TODAY(),"M"),0)*معدل_الاستحقاق_الشهري)-SUMIFS($J$3:$J$502,$B$3:$B$502,$B419,$D$3:$D$502,"سنوية",$L$3:$L$502,"معتمد",$A$3:$A$502,"&lt;"&amp;$A419))</f>
        <v/>
      </c>
      <c r="J419" s="44">
        <f>IF($L419="معتمد",$H419,0)</f>
        <v/>
      </c>
      <c r="K419" s="44">
        <f>IF($B419="","",$I419-$J419)</f>
        <v/>
      </c>
      <c r="L419" s="40" t="n"/>
      <c r="M419" s="40" t="n"/>
      <c r="N419" s="110" t="n"/>
      <c r="O419" s="40" t="n"/>
    </row>
    <row r="420">
      <c r="A420" s="46" t="n"/>
      <c r="B420" s="47" t="n"/>
      <c r="C420" s="50">
        <f>IFERROR(INDEX(الموظفون_الاسم,MATCH($B420,الموظفون_الرقم,0)),"")</f>
        <v/>
      </c>
      <c r="D420" s="47" t="n"/>
      <c r="E420" s="112" t="n"/>
      <c r="F420" s="112" t="n"/>
      <c r="G420" s="112" t="n"/>
      <c r="H420" s="51">
        <f>IF(OR($F420="",$G420=""),"",MAX(0,$G420-$F420+1))</f>
        <v/>
      </c>
      <c r="I420" s="51">
        <f>IF($B420="","",IFERROR(INDEX(الموظفون_الافتتاحي,MATCH($B420,الموظفون_الرقم,0)),0)+IF($D420&lt;&gt;"سنوية",0,IFERROR(DATEDIF(بداية_احتساب_الرصيد,TODAY(),"M"),0)*معدل_الاستحقاق_الشهري)-SUMIFS($J$3:$J$502,$B$3:$B$502,$B420,$D$3:$D$502,"سنوية",$L$3:$L$502,"معتمد",$A$3:$A$502,"&lt;"&amp;$A420))</f>
        <v/>
      </c>
      <c r="J420" s="51">
        <f>IF($L420="معتمد",$H420,0)</f>
        <v/>
      </c>
      <c r="K420" s="51">
        <f>IF($B420="","",$I420-$J420)</f>
        <v/>
      </c>
      <c r="L420" s="47" t="n"/>
      <c r="M420" s="47" t="n"/>
      <c r="N420" s="112" t="n"/>
      <c r="O420" s="47" t="n"/>
    </row>
    <row r="421">
      <c r="A421" s="39" t="n"/>
      <c r="B421" s="40" t="n"/>
      <c r="C421" s="43">
        <f>IFERROR(INDEX(الموظفون_الاسم,MATCH($B421,الموظفون_الرقم,0)),"")</f>
        <v/>
      </c>
      <c r="D421" s="40" t="n"/>
      <c r="E421" s="110" t="n"/>
      <c r="F421" s="110" t="n"/>
      <c r="G421" s="110" t="n"/>
      <c r="H421" s="44">
        <f>IF(OR($F421="",$G421=""),"",MAX(0,$G421-$F421+1))</f>
        <v/>
      </c>
      <c r="I421" s="44">
        <f>IF($B421="","",IFERROR(INDEX(الموظفون_الافتتاحي,MATCH($B421,الموظفون_الرقم,0)),0)+IF($D421&lt;&gt;"سنوية",0,IFERROR(DATEDIF(بداية_احتساب_الرصيد,TODAY(),"M"),0)*معدل_الاستحقاق_الشهري)-SUMIFS($J$3:$J$502,$B$3:$B$502,$B421,$D$3:$D$502,"سنوية",$L$3:$L$502,"معتمد",$A$3:$A$502,"&lt;"&amp;$A421))</f>
        <v/>
      </c>
      <c r="J421" s="44">
        <f>IF($L421="معتمد",$H421,0)</f>
        <v/>
      </c>
      <c r="K421" s="44">
        <f>IF($B421="","",$I421-$J421)</f>
        <v/>
      </c>
      <c r="L421" s="40" t="n"/>
      <c r="M421" s="40" t="n"/>
      <c r="N421" s="110" t="n"/>
      <c r="O421" s="40" t="n"/>
    </row>
    <row r="422">
      <c r="A422" s="46" t="n"/>
      <c r="B422" s="47" t="n"/>
      <c r="C422" s="50">
        <f>IFERROR(INDEX(الموظفون_الاسم,MATCH($B422,الموظفون_الرقم,0)),"")</f>
        <v/>
      </c>
      <c r="D422" s="47" t="n"/>
      <c r="E422" s="112" t="n"/>
      <c r="F422" s="112" t="n"/>
      <c r="G422" s="112" t="n"/>
      <c r="H422" s="51">
        <f>IF(OR($F422="",$G422=""),"",MAX(0,$G422-$F422+1))</f>
        <v/>
      </c>
      <c r="I422" s="51">
        <f>IF($B422="","",IFERROR(INDEX(الموظفون_الافتتاحي,MATCH($B422,الموظفون_الرقم,0)),0)+IF($D422&lt;&gt;"سنوية",0,IFERROR(DATEDIF(بداية_احتساب_الرصيد,TODAY(),"M"),0)*معدل_الاستحقاق_الشهري)-SUMIFS($J$3:$J$502,$B$3:$B$502,$B422,$D$3:$D$502,"سنوية",$L$3:$L$502,"معتمد",$A$3:$A$502,"&lt;"&amp;$A422))</f>
        <v/>
      </c>
      <c r="J422" s="51">
        <f>IF($L422="معتمد",$H422,0)</f>
        <v/>
      </c>
      <c r="K422" s="51">
        <f>IF($B422="","",$I422-$J422)</f>
        <v/>
      </c>
      <c r="L422" s="47" t="n"/>
      <c r="M422" s="47" t="n"/>
      <c r="N422" s="112" t="n"/>
      <c r="O422" s="47" t="n"/>
    </row>
    <row r="423">
      <c r="A423" s="39" t="n"/>
      <c r="B423" s="40" t="n"/>
      <c r="C423" s="43">
        <f>IFERROR(INDEX(الموظفون_الاسم,MATCH($B423,الموظفون_الرقم,0)),"")</f>
        <v/>
      </c>
      <c r="D423" s="40" t="n"/>
      <c r="E423" s="110" t="n"/>
      <c r="F423" s="110" t="n"/>
      <c r="G423" s="110" t="n"/>
      <c r="H423" s="44">
        <f>IF(OR($F423="",$G423=""),"",MAX(0,$G423-$F423+1))</f>
        <v/>
      </c>
      <c r="I423" s="44">
        <f>IF($B423="","",IFERROR(INDEX(الموظفون_الافتتاحي,MATCH($B423,الموظفون_الرقم,0)),0)+IF($D423&lt;&gt;"سنوية",0,IFERROR(DATEDIF(بداية_احتساب_الرصيد,TODAY(),"M"),0)*معدل_الاستحقاق_الشهري)-SUMIFS($J$3:$J$502,$B$3:$B$502,$B423,$D$3:$D$502,"سنوية",$L$3:$L$502,"معتمد",$A$3:$A$502,"&lt;"&amp;$A423))</f>
        <v/>
      </c>
      <c r="J423" s="44">
        <f>IF($L423="معتمد",$H423,0)</f>
        <v/>
      </c>
      <c r="K423" s="44">
        <f>IF($B423="","",$I423-$J423)</f>
        <v/>
      </c>
      <c r="L423" s="40" t="n"/>
      <c r="M423" s="40" t="n"/>
      <c r="N423" s="110" t="n"/>
      <c r="O423" s="40" t="n"/>
    </row>
    <row r="424">
      <c r="A424" s="46" t="n"/>
      <c r="B424" s="47" t="n"/>
      <c r="C424" s="50">
        <f>IFERROR(INDEX(الموظفون_الاسم,MATCH($B424,الموظفون_الرقم,0)),"")</f>
        <v/>
      </c>
      <c r="D424" s="47" t="n"/>
      <c r="E424" s="112" t="n"/>
      <c r="F424" s="112" t="n"/>
      <c r="G424" s="112" t="n"/>
      <c r="H424" s="51">
        <f>IF(OR($F424="",$G424=""),"",MAX(0,$G424-$F424+1))</f>
        <v/>
      </c>
      <c r="I424" s="51">
        <f>IF($B424="","",IFERROR(INDEX(الموظفون_الافتتاحي,MATCH($B424,الموظفون_الرقم,0)),0)+IF($D424&lt;&gt;"سنوية",0,IFERROR(DATEDIF(بداية_احتساب_الرصيد,TODAY(),"M"),0)*معدل_الاستحقاق_الشهري)-SUMIFS($J$3:$J$502,$B$3:$B$502,$B424,$D$3:$D$502,"سنوية",$L$3:$L$502,"معتمد",$A$3:$A$502,"&lt;"&amp;$A424))</f>
        <v/>
      </c>
      <c r="J424" s="51">
        <f>IF($L424="معتمد",$H424,0)</f>
        <v/>
      </c>
      <c r="K424" s="51">
        <f>IF($B424="","",$I424-$J424)</f>
        <v/>
      </c>
      <c r="L424" s="47" t="n"/>
      <c r="M424" s="47" t="n"/>
      <c r="N424" s="112" t="n"/>
      <c r="O424" s="47" t="n"/>
    </row>
    <row r="425">
      <c r="A425" s="39" t="n"/>
      <c r="B425" s="40" t="n"/>
      <c r="C425" s="43">
        <f>IFERROR(INDEX(الموظفون_الاسم,MATCH($B425,الموظفون_الرقم,0)),"")</f>
        <v/>
      </c>
      <c r="D425" s="40" t="n"/>
      <c r="E425" s="110" t="n"/>
      <c r="F425" s="110" t="n"/>
      <c r="G425" s="110" t="n"/>
      <c r="H425" s="44">
        <f>IF(OR($F425="",$G425=""),"",MAX(0,$G425-$F425+1))</f>
        <v/>
      </c>
      <c r="I425" s="44">
        <f>IF($B425="","",IFERROR(INDEX(الموظفون_الافتتاحي,MATCH($B425,الموظفون_الرقم,0)),0)+IF($D425&lt;&gt;"سنوية",0,IFERROR(DATEDIF(بداية_احتساب_الرصيد,TODAY(),"M"),0)*معدل_الاستحقاق_الشهري)-SUMIFS($J$3:$J$502,$B$3:$B$502,$B425,$D$3:$D$502,"سنوية",$L$3:$L$502,"معتمد",$A$3:$A$502,"&lt;"&amp;$A425))</f>
        <v/>
      </c>
      <c r="J425" s="44">
        <f>IF($L425="معتمد",$H425,0)</f>
        <v/>
      </c>
      <c r="K425" s="44">
        <f>IF($B425="","",$I425-$J425)</f>
        <v/>
      </c>
      <c r="L425" s="40" t="n"/>
      <c r="M425" s="40" t="n"/>
      <c r="N425" s="110" t="n"/>
      <c r="O425" s="40" t="n"/>
    </row>
    <row r="426">
      <c r="A426" s="46" t="n"/>
      <c r="B426" s="47" t="n"/>
      <c r="C426" s="50">
        <f>IFERROR(INDEX(الموظفون_الاسم,MATCH($B426,الموظفون_الرقم,0)),"")</f>
        <v/>
      </c>
      <c r="D426" s="47" t="n"/>
      <c r="E426" s="112" t="n"/>
      <c r="F426" s="112" t="n"/>
      <c r="G426" s="112" t="n"/>
      <c r="H426" s="51">
        <f>IF(OR($F426="",$G426=""),"",MAX(0,$G426-$F426+1))</f>
        <v/>
      </c>
      <c r="I426" s="51">
        <f>IF($B426="","",IFERROR(INDEX(الموظفون_الافتتاحي,MATCH($B426,الموظفون_الرقم,0)),0)+IF($D426&lt;&gt;"سنوية",0,IFERROR(DATEDIF(بداية_احتساب_الرصيد,TODAY(),"M"),0)*معدل_الاستحقاق_الشهري)-SUMIFS($J$3:$J$502,$B$3:$B$502,$B426,$D$3:$D$502,"سنوية",$L$3:$L$502,"معتمد",$A$3:$A$502,"&lt;"&amp;$A426))</f>
        <v/>
      </c>
      <c r="J426" s="51">
        <f>IF($L426="معتمد",$H426,0)</f>
        <v/>
      </c>
      <c r="K426" s="51">
        <f>IF($B426="","",$I426-$J426)</f>
        <v/>
      </c>
      <c r="L426" s="47" t="n"/>
      <c r="M426" s="47" t="n"/>
      <c r="N426" s="112" t="n"/>
      <c r="O426" s="47" t="n"/>
    </row>
    <row r="427">
      <c r="A427" s="39" t="n"/>
      <c r="B427" s="40" t="n"/>
      <c r="C427" s="43">
        <f>IFERROR(INDEX(الموظفون_الاسم,MATCH($B427,الموظفون_الرقم,0)),"")</f>
        <v/>
      </c>
      <c r="D427" s="40" t="n"/>
      <c r="E427" s="110" t="n"/>
      <c r="F427" s="110" t="n"/>
      <c r="G427" s="110" t="n"/>
      <c r="H427" s="44">
        <f>IF(OR($F427="",$G427=""),"",MAX(0,$G427-$F427+1))</f>
        <v/>
      </c>
      <c r="I427" s="44">
        <f>IF($B427="","",IFERROR(INDEX(الموظفون_الافتتاحي,MATCH($B427,الموظفون_الرقم,0)),0)+IF($D427&lt;&gt;"سنوية",0,IFERROR(DATEDIF(بداية_احتساب_الرصيد,TODAY(),"M"),0)*معدل_الاستحقاق_الشهري)-SUMIFS($J$3:$J$502,$B$3:$B$502,$B427,$D$3:$D$502,"سنوية",$L$3:$L$502,"معتمد",$A$3:$A$502,"&lt;"&amp;$A427))</f>
        <v/>
      </c>
      <c r="J427" s="44">
        <f>IF($L427="معتمد",$H427,0)</f>
        <v/>
      </c>
      <c r="K427" s="44">
        <f>IF($B427="","",$I427-$J427)</f>
        <v/>
      </c>
      <c r="L427" s="40" t="n"/>
      <c r="M427" s="40" t="n"/>
      <c r="N427" s="110" t="n"/>
      <c r="O427" s="40" t="n"/>
    </row>
    <row r="428">
      <c r="A428" s="46" t="n"/>
      <c r="B428" s="47" t="n"/>
      <c r="C428" s="50">
        <f>IFERROR(INDEX(الموظفون_الاسم,MATCH($B428,الموظفون_الرقم,0)),"")</f>
        <v/>
      </c>
      <c r="D428" s="47" t="n"/>
      <c r="E428" s="112" t="n"/>
      <c r="F428" s="112" t="n"/>
      <c r="G428" s="112" t="n"/>
      <c r="H428" s="51">
        <f>IF(OR($F428="",$G428=""),"",MAX(0,$G428-$F428+1))</f>
        <v/>
      </c>
      <c r="I428" s="51">
        <f>IF($B428="","",IFERROR(INDEX(الموظفون_الافتتاحي,MATCH($B428,الموظفون_الرقم,0)),0)+IF($D428&lt;&gt;"سنوية",0,IFERROR(DATEDIF(بداية_احتساب_الرصيد,TODAY(),"M"),0)*معدل_الاستحقاق_الشهري)-SUMIFS($J$3:$J$502,$B$3:$B$502,$B428,$D$3:$D$502,"سنوية",$L$3:$L$502,"معتمد",$A$3:$A$502,"&lt;"&amp;$A428))</f>
        <v/>
      </c>
      <c r="J428" s="51">
        <f>IF($L428="معتمد",$H428,0)</f>
        <v/>
      </c>
      <c r="K428" s="51">
        <f>IF($B428="","",$I428-$J428)</f>
        <v/>
      </c>
      <c r="L428" s="47" t="n"/>
      <c r="M428" s="47" t="n"/>
      <c r="N428" s="112" t="n"/>
      <c r="O428" s="47" t="n"/>
    </row>
    <row r="429">
      <c r="A429" s="39" t="n"/>
      <c r="B429" s="40" t="n"/>
      <c r="C429" s="43">
        <f>IFERROR(INDEX(الموظفون_الاسم,MATCH($B429,الموظفون_الرقم,0)),"")</f>
        <v/>
      </c>
      <c r="D429" s="40" t="n"/>
      <c r="E429" s="110" t="n"/>
      <c r="F429" s="110" t="n"/>
      <c r="G429" s="110" t="n"/>
      <c r="H429" s="44">
        <f>IF(OR($F429="",$G429=""),"",MAX(0,$G429-$F429+1))</f>
        <v/>
      </c>
      <c r="I429" s="44">
        <f>IF($B429="","",IFERROR(INDEX(الموظفون_الافتتاحي,MATCH($B429,الموظفون_الرقم,0)),0)+IF($D429&lt;&gt;"سنوية",0,IFERROR(DATEDIF(بداية_احتساب_الرصيد,TODAY(),"M"),0)*معدل_الاستحقاق_الشهري)-SUMIFS($J$3:$J$502,$B$3:$B$502,$B429,$D$3:$D$502,"سنوية",$L$3:$L$502,"معتمد",$A$3:$A$502,"&lt;"&amp;$A429))</f>
        <v/>
      </c>
      <c r="J429" s="44">
        <f>IF($L429="معتمد",$H429,0)</f>
        <v/>
      </c>
      <c r="K429" s="44">
        <f>IF($B429="","",$I429-$J429)</f>
        <v/>
      </c>
      <c r="L429" s="40" t="n"/>
      <c r="M429" s="40" t="n"/>
      <c r="N429" s="110" t="n"/>
      <c r="O429" s="40" t="n"/>
    </row>
    <row r="430">
      <c r="A430" s="46" t="n"/>
      <c r="B430" s="47" t="n"/>
      <c r="C430" s="50">
        <f>IFERROR(INDEX(الموظفون_الاسم,MATCH($B430,الموظفون_الرقم,0)),"")</f>
        <v/>
      </c>
      <c r="D430" s="47" t="n"/>
      <c r="E430" s="112" t="n"/>
      <c r="F430" s="112" t="n"/>
      <c r="G430" s="112" t="n"/>
      <c r="H430" s="51">
        <f>IF(OR($F430="",$G430=""),"",MAX(0,$G430-$F430+1))</f>
        <v/>
      </c>
      <c r="I430" s="51">
        <f>IF($B430="","",IFERROR(INDEX(الموظفون_الافتتاحي,MATCH($B430,الموظفون_الرقم,0)),0)+IF($D430&lt;&gt;"سنوية",0,IFERROR(DATEDIF(بداية_احتساب_الرصيد,TODAY(),"M"),0)*معدل_الاستحقاق_الشهري)-SUMIFS($J$3:$J$502,$B$3:$B$502,$B430,$D$3:$D$502,"سنوية",$L$3:$L$502,"معتمد",$A$3:$A$502,"&lt;"&amp;$A430))</f>
        <v/>
      </c>
      <c r="J430" s="51">
        <f>IF($L430="معتمد",$H430,0)</f>
        <v/>
      </c>
      <c r="K430" s="51">
        <f>IF($B430="","",$I430-$J430)</f>
        <v/>
      </c>
      <c r="L430" s="47" t="n"/>
      <c r="M430" s="47" t="n"/>
      <c r="N430" s="112" t="n"/>
      <c r="O430" s="47" t="n"/>
    </row>
    <row r="431">
      <c r="A431" s="39" t="n"/>
      <c r="B431" s="40" t="n"/>
      <c r="C431" s="43">
        <f>IFERROR(INDEX(الموظفون_الاسم,MATCH($B431,الموظفون_الرقم,0)),"")</f>
        <v/>
      </c>
      <c r="D431" s="40" t="n"/>
      <c r="E431" s="110" t="n"/>
      <c r="F431" s="110" t="n"/>
      <c r="G431" s="110" t="n"/>
      <c r="H431" s="44">
        <f>IF(OR($F431="",$G431=""),"",MAX(0,$G431-$F431+1))</f>
        <v/>
      </c>
      <c r="I431" s="44">
        <f>IF($B431="","",IFERROR(INDEX(الموظفون_الافتتاحي,MATCH($B431,الموظفون_الرقم,0)),0)+IF($D431&lt;&gt;"سنوية",0,IFERROR(DATEDIF(بداية_احتساب_الرصيد,TODAY(),"M"),0)*معدل_الاستحقاق_الشهري)-SUMIFS($J$3:$J$502,$B$3:$B$502,$B431,$D$3:$D$502,"سنوية",$L$3:$L$502,"معتمد",$A$3:$A$502,"&lt;"&amp;$A431))</f>
        <v/>
      </c>
      <c r="J431" s="44">
        <f>IF($L431="معتمد",$H431,0)</f>
        <v/>
      </c>
      <c r="K431" s="44">
        <f>IF($B431="","",$I431-$J431)</f>
        <v/>
      </c>
      <c r="L431" s="40" t="n"/>
      <c r="M431" s="40" t="n"/>
      <c r="N431" s="110" t="n"/>
      <c r="O431" s="40" t="n"/>
    </row>
    <row r="432">
      <c r="A432" s="46" t="n"/>
      <c r="B432" s="47" t="n"/>
      <c r="C432" s="50">
        <f>IFERROR(INDEX(الموظفون_الاسم,MATCH($B432,الموظفون_الرقم,0)),"")</f>
        <v/>
      </c>
      <c r="D432" s="47" t="n"/>
      <c r="E432" s="112" t="n"/>
      <c r="F432" s="112" t="n"/>
      <c r="G432" s="112" t="n"/>
      <c r="H432" s="51">
        <f>IF(OR($F432="",$G432=""),"",MAX(0,$G432-$F432+1))</f>
        <v/>
      </c>
      <c r="I432" s="51">
        <f>IF($B432="","",IFERROR(INDEX(الموظفون_الافتتاحي,MATCH($B432,الموظفون_الرقم,0)),0)+IF($D432&lt;&gt;"سنوية",0,IFERROR(DATEDIF(بداية_احتساب_الرصيد,TODAY(),"M"),0)*معدل_الاستحقاق_الشهري)-SUMIFS($J$3:$J$502,$B$3:$B$502,$B432,$D$3:$D$502,"سنوية",$L$3:$L$502,"معتمد",$A$3:$A$502,"&lt;"&amp;$A432))</f>
        <v/>
      </c>
      <c r="J432" s="51">
        <f>IF($L432="معتمد",$H432,0)</f>
        <v/>
      </c>
      <c r="K432" s="51">
        <f>IF($B432="","",$I432-$J432)</f>
        <v/>
      </c>
      <c r="L432" s="47" t="n"/>
      <c r="M432" s="47" t="n"/>
      <c r="N432" s="112" t="n"/>
      <c r="O432" s="47" t="n"/>
    </row>
    <row r="433">
      <c r="A433" s="39" t="n"/>
      <c r="B433" s="40" t="n"/>
      <c r="C433" s="43">
        <f>IFERROR(INDEX(الموظفون_الاسم,MATCH($B433,الموظفون_الرقم,0)),"")</f>
        <v/>
      </c>
      <c r="D433" s="40" t="n"/>
      <c r="E433" s="110" t="n"/>
      <c r="F433" s="110" t="n"/>
      <c r="G433" s="110" t="n"/>
      <c r="H433" s="44">
        <f>IF(OR($F433="",$G433=""),"",MAX(0,$G433-$F433+1))</f>
        <v/>
      </c>
      <c r="I433" s="44">
        <f>IF($B433="","",IFERROR(INDEX(الموظفون_الافتتاحي,MATCH($B433,الموظفون_الرقم,0)),0)+IF($D433&lt;&gt;"سنوية",0,IFERROR(DATEDIF(بداية_احتساب_الرصيد,TODAY(),"M"),0)*معدل_الاستحقاق_الشهري)-SUMIFS($J$3:$J$502,$B$3:$B$502,$B433,$D$3:$D$502,"سنوية",$L$3:$L$502,"معتمد",$A$3:$A$502,"&lt;"&amp;$A433))</f>
        <v/>
      </c>
      <c r="J433" s="44">
        <f>IF($L433="معتمد",$H433,0)</f>
        <v/>
      </c>
      <c r="K433" s="44">
        <f>IF($B433="","",$I433-$J433)</f>
        <v/>
      </c>
      <c r="L433" s="40" t="n"/>
      <c r="M433" s="40" t="n"/>
      <c r="N433" s="110" t="n"/>
      <c r="O433" s="40" t="n"/>
    </row>
    <row r="434">
      <c r="A434" s="46" t="n"/>
      <c r="B434" s="47" t="n"/>
      <c r="C434" s="50">
        <f>IFERROR(INDEX(الموظفون_الاسم,MATCH($B434,الموظفون_الرقم,0)),"")</f>
        <v/>
      </c>
      <c r="D434" s="47" t="n"/>
      <c r="E434" s="112" t="n"/>
      <c r="F434" s="112" t="n"/>
      <c r="G434" s="112" t="n"/>
      <c r="H434" s="51">
        <f>IF(OR($F434="",$G434=""),"",MAX(0,$G434-$F434+1))</f>
        <v/>
      </c>
      <c r="I434" s="51">
        <f>IF($B434="","",IFERROR(INDEX(الموظفون_الافتتاحي,MATCH($B434,الموظفون_الرقم,0)),0)+IF($D434&lt;&gt;"سنوية",0,IFERROR(DATEDIF(بداية_احتساب_الرصيد,TODAY(),"M"),0)*معدل_الاستحقاق_الشهري)-SUMIFS($J$3:$J$502,$B$3:$B$502,$B434,$D$3:$D$502,"سنوية",$L$3:$L$502,"معتمد",$A$3:$A$502,"&lt;"&amp;$A434))</f>
        <v/>
      </c>
      <c r="J434" s="51">
        <f>IF($L434="معتمد",$H434,0)</f>
        <v/>
      </c>
      <c r="K434" s="51">
        <f>IF($B434="","",$I434-$J434)</f>
        <v/>
      </c>
      <c r="L434" s="47" t="n"/>
      <c r="M434" s="47" t="n"/>
      <c r="N434" s="112" t="n"/>
      <c r="O434" s="47" t="n"/>
    </row>
    <row r="435">
      <c r="A435" s="39" t="n"/>
      <c r="B435" s="40" t="n"/>
      <c r="C435" s="43">
        <f>IFERROR(INDEX(الموظفون_الاسم,MATCH($B435,الموظفون_الرقم,0)),"")</f>
        <v/>
      </c>
      <c r="D435" s="40" t="n"/>
      <c r="E435" s="110" t="n"/>
      <c r="F435" s="110" t="n"/>
      <c r="G435" s="110" t="n"/>
      <c r="H435" s="44">
        <f>IF(OR($F435="",$G435=""),"",MAX(0,$G435-$F435+1))</f>
        <v/>
      </c>
      <c r="I435" s="44">
        <f>IF($B435="","",IFERROR(INDEX(الموظفون_الافتتاحي,MATCH($B435,الموظفون_الرقم,0)),0)+IF($D435&lt;&gt;"سنوية",0,IFERROR(DATEDIF(بداية_احتساب_الرصيد,TODAY(),"M"),0)*معدل_الاستحقاق_الشهري)-SUMIFS($J$3:$J$502,$B$3:$B$502,$B435,$D$3:$D$502,"سنوية",$L$3:$L$502,"معتمد",$A$3:$A$502,"&lt;"&amp;$A435))</f>
        <v/>
      </c>
      <c r="J435" s="44">
        <f>IF($L435="معتمد",$H435,0)</f>
        <v/>
      </c>
      <c r="K435" s="44">
        <f>IF($B435="","",$I435-$J435)</f>
        <v/>
      </c>
      <c r="L435" s="40" t="n"/>
      <c r="M435" s="40" t="n"/>
      <c r="N435" s="110" t="n"/>
      <c r="O435" s="40" t="n"/>
    </row>
    <row r="436">
      <c r="A436" s="46" t="n"/>
      <c r="B436" s="47" t="n"/>
      <c r="C436" s="50">
        <f>IFERROR(INDEX(الموظفون_الاسم,MATCH($B436,الموظفون_الرقم,0)),"")</f>
        <v/>
      </c>
      <c r="D436" s="47" t="n"/>
      <c r="E436" s="112" t="n"/>
      <c r="F436" s="112" t="n"/>
      <c r="G436" s="112" t="n"/>
      <c r="H436" s="51">
        <f>IF(OR($F436="",$G436=""),"",MAX(0,$G436-$F436+1))</f>
        <v/>
      </c>
      <c r="I436" s="51">
        <f>IF($B436="","",IFERROR(INDEX(الموظفون_الافتتاحي,MATCH($B436,الموظفون_الرقم,0)),0)+IF($D436&lt;&gt;"سنوية",0,IFERROR(DATEDIF(بداية_احتساب_الرصيد,TODAY(),"M"),0)*معدل_الاستحقاق_الشهري)-SUMIFS($J$3:$J$502,$B$3:$B$502,$B436,$D$3:$D$502,"سنوية",$L$3:$L$502,"معتمد",$A$3:$A$502,"&lt;"&amp;$A436))</f>
        <v/>
      </c>
      <c r="J436" s="51">
        <f>IF($L436="معتمد",$H436,0)</f>
        <v/>
      </c>
      <c r="K436" s="51">
        <f>IF($B436="","",$I436-$J436)</f>
        <v/>
      </c>
      <c r="L436" s="47" t="n"/>
      <c r="M436" s="47" t="n"/>
      <c r="N436" s="112" t="n"/>
      <c r="O436" s="47" t="n"/>
    </row>
    <row r="437">
      <c r="A437" s="39" t="n"/>
      <c r="B437" s="40" t="n"/>
      <c r="C437" s="43">
        <f>IFERROR(INDEX(الموظفون_الاسم,MATCH($B437,الموظفون_الرقم,0)),"")</f>
        <v/>
      </c>
      <c r="D437" s="40" t="n"/>
      <c r="E437" s="110" t="n"/>
      <c r="F437" s="110" t="n"/>
      <c r="G437" s="110" t="n"/>
      <c r="H437" s="44">
        <f>IF(OR($F437="",$G437=""),"",MAX(0,$G437-$F437+1))</f>
        <v/>
      </c>
      <c r="I437" s="44">
        <f>IF($B437="","",IFERROR(INDEX(الموظفون_الافتتاحي,MATCH($B437,الموظفون_الرقم,0)),0)+IF($D437&lt;&gt;"سنوية",0,IFERROR(DATEDIF(بداية_احتساب_الرصيد,TODAY(),"M"),0)*معدل_الاستحقاق_الشهري)-SUMIFS($J$3:$J$502,$B$3:$B$502,$B437,$D$3:$D$502,"سنوية",$L$3:$L$502,"معتمد",$A$3:$A$502,"&lt;"&amp;$A437))</f>
        <v/>
      </c>
      <c r="J437" s="44">
        <f>IF($L437="معتمد",$H437,0)</f>
        <v/>
      </c>
      <c r="K437" s="44">
        <f>IF($B437="","",$I437-$J437)</f>
        <v/>
      </c>
      <c r="L437" s="40" t="n"/>
      <c r="M437" s="40" t="n"/>
      <c r="N437" s="110" t="n"/>
      <c r="O437" s="40" t="n"/>
    </row>
    <row r="438">
      <c r="A438" s="46" t="n"/>
      <c r="B438" s="47" t="n"/>
      <c r="C438" s="50">
        <f>IFERROR(INDEX(الموظفون_الاسم,MATCH($B438,الموظفون_الرقم,0)),"")</f>
        <v/>
      </c>
      <c r="D438" s="47" t="n"/>
      <c r="E438" s="112" t="n"/>
      <c r="F438" s="112" t="n"/>
      <c r="G438" s="112" t="n"/>
      <c r="H438" s="51">
        <f>IF(OR($F438="",$G438=""),"",MAX(0,$G438-$F438+1))</f>
        <v/>
      </c>
      <c r="I438" s="51">
        <f>IF($B438="","",IFERROR(INDEX(الموظفون_الافتتاحي,MATCH($B438,الموظفون_الرقم,0)),0)+IF($D438&lt;&gt;"سنوية",0,IFERROR(DATEDIF(بداية_احتساب_الرصيد,TODAY(),"M"),0)*معدل_الاستحقاق_الشهري)-SUMIFS($J$3:$J$502,$B$3:$B$502,$B438,$D$3:$D$502,"سنوية",$L$3:$L$502,"معتمد",$A$3:$A$502,"&lt;"&amp;$A438))</f>
        <v/>
      </c>
      <c r="J438" s="51">
        <f>IF($L438="معتمد",$H438,0)</f>
        <v/>
      </c>
      <c r="K438" s="51">
        <f>IF($B438="","",$I438-$J438)</f>
        <v/>
      </c>
      <c r="L438" s="47" t="n"/>
      <c r="M438" s="47" t="n"/>
      <c r="N438" s="112" t="n"/>
      <c r="O438" s="47" t="n"/>
    </row>
    <row r="439">
      <c r="A439" s="39" t="n"/>
      <c r="B439" s="40" t="n"/>
      <c r="C439" s="43">
        <f>IFERROR(INDEX(الموظفون_الاسم,MATCH($B439,الموظفون_الرقم,0)),"")</f>
        <v/>
      </c>
      <c r="D439" s="40" t="n"/>
      <c r="E439" s="110" t="n"/>
      <c r="F439" s="110" t="n"/>
      <c r="G439" s="110" t="n"/>
      <c r="H439" s="44">
        <f>IF(OR($F439="",$G439=""),"",MAX(0,$G439-$F439+1))</f>
        <v/>
      </c>
      <c r="I439" s="44">
        <f>IF($B439="","",IFERROR(INDEX(الموظفون_الافتتاحي,MATCH($B439,الموظفون_الرقم,0)),0)+IF($D439&lt;&gt;"سنوية",0,IFERROR(DATEDIF(بداية_احتساب_الرصيد,TODAY(),"M"),0)*معدل_الاستحقاق_الشهري)-SUMIFS($J$3:$J$502,$B$3:$B$502,$B439,$D$3:$D$502,"سنوية",$L$3:$L$502,"معتمد",$A$3:$A$502,"&lt;"&amp;$A439))</f>
        <v/>
      </c>
      <c r="J439" s="44">
        <f>IF($L439="معتمد",$H439,0)</f>
        <v/>
      </c>
      <c r="K439" s="44">
        <f>IF($B439="","",$I439-$J439)</f>
        <v/>
      </c>
      <c r="L439" s="40" t="n"/>
      <c r="M439" s="40" t="n"/>
      <c r="N439" s="110" t="n"/>
      <c r="O439" s="40" t="n"/>
    </row>
    <row r="440">
      <c r="A440" s="46" t="n"/>
      <c r="B440" s="47" t="n"/>
      <c r="C440" s="50">
        <f>IFERROR(INDEX(الموظفون_الاسم,MATCH($B440,الموظفون_الرقم,0)),"")</f>
        <v/>
      </c>
      <c r="D440" s="47" t="n"/>
      <c r="E440" s="112" t="n"/>
      <c r="F440" s="112" t="n"/>
      <c r="G440" s="112" t="n"/>
      <c r="H440" s="51">
        <f>IF(OR($F440="",$G440=""),"",MAX(0,$G440-$F440+1))</f>
        <v/>
      </c>
      <c r="I440" s="51">
        <f>IF($B440="","",IFERROR(INDEX(الموظفون_الافتتاحي,MATCH($B440,الموظفون_الرقم,0)),0)+IF($D440&lt;&gt;"سنوية",0,IFERROR(DATEDIF(بداية_احتساب_الرصيد,TODAY(),"M"),0)*معدل_الاستحقاق_الشهري)-SUMIFS($J$3:$J$502,$B$3:$B$502,$B440,$D$3:$D$502,"سنوية",$L$3:$L$502,"معتمد",$A$3:$A$502,"&lt;"&amp;$A440))</f>
        <v/>
      </c>
      <c r="J440" s="51">
        <f>IF($L440="معتمد",$H440,0)</f>
        <v/>
      </c>
      <c r="K440" s="51">
        <f>IF($B440="","",$I440-$J440)</f>
        <v/>
      </c>
      <c r="L440" s="47" t="n"/>
      <c r="M440" s="47" t="n"/>
      <c r="N440" s="112" t="n"/>
      <c r="O440" s="47" t="n"/>
    </row>
    <row r="441">
      <c r="A441" s="39" t="n"/>
      <c r="B441" s="40" t="n"/>
      <c r="C441" s="43">
        <f>IFERROR(INDEX(الموظفون_الاسم,MATCH($B441,الموظفون_الرقم,0)),"")</f>
        <v/>
      </c>
      <c r="D441" s="40" t="n"/>
      <c r="E441" s="110" t="n"/>
      <c r="F441" s="110" t="n"/>
      <c r="G441" s="110" t="n"/>
      <c r="H441" s="44">
        <f>IF(OR($F441="",$G441=""),"",MAX(0,$G441-$F441+1))</f>
        <v/>
      </c>
      <c r="I441" s="44">
        <f>IF($B441="","",IFERROR(INDEX(الموظفون_الافتتاحي,MATCH($B441,الموظفون_الرقم,0)),0)+IF($D441&lt;&gt;"سنوية",0,IFERROR(DATEDIF(بداية_احتساب_الرصيد,TODAY(),"M"),0)*معدل_الاستحقاق_الشهري)-SUMIFS($J$3:$J$502,$B$3:$B$502,$B441,$D$3:$D$502,"سنوية",$L$3:$L$502,"معتمد",$A$3:$A$502,"&lt;"&amp;$A441))</f>
        <v/>
      </c>
      <c r="J441" s="44">
        <f>IF($L441="معتمد",$H441,0)</f>
        <v/>
      </c>
      <c r="K441" s="44">
        <f>IF($B441="","",$I441-$J441)</f>
        <v/>
      </c>
      <c r="L441" s="40" t="n"/>
      <c r="M441" s="40" t="n"/>
      <c r="N441" s="110" t="n"/>
      <c r="O441" s="40" t="n"/>
    </row>
    <row r="442">
      <c r="A442" s="46" t="n"/>
      <c r="B442" s="47" t="n"/>
      <c r="C442" s="50">
        <f>IFERROR(INDEX(الموظفون_الاسم,MATCH($B442,الموظفون_الرقم,0)),"")</f>
        <v/>
      </c>
      <c r="D442" s="47" t="n"/>
      <c r="E442" s="112" t="n"/>
      <c r="F442" s="112" t="n"/>
      <c r="G442" s="112" t="n"/>
      <c r="H442" s="51">
        <f>IF(OR($F442="",$G442=""),"",MAX(0,$G442-$F442+1))</f>
        <v/>
      </c>
      <c r="I442" s="51">
        <f>IF($B442="","",IFERROR(INDEX(الموظفون_الافتتاحي,MATCH($B442,الموظفون_الرقم,0)),0)+IF($D442&lt;&gt;"سنوية",0,IFERROR(DATEDIF(بداية_احتساب_الرصيد,TODAY(),"M"),0)*معدل_الاستحقاق_الشهري)-SUMIFS($J$3:$J$502,$B$3:$B$502,$B442,$D$3:$D$502,"سنوية",$L$3:$L$502,"معتمد",$A$3:$A$502,"&lt;"&amp;$A442))</f>
        <v/>
      </c>
      <c r="J442" s="51">
        <f>IF($L442="معتمد",$H442,0)</f>
        <v/>
      </c>
      <c r="K442" s="51">
        <f>IF($B442="","",$I442-$J442)</f>
        <v/>
      </c>
      <c r="L442" s="47" t="n"/>
      <c r="M442" s="47" t="n"/>
      <c r="N442" s="112" t="n"/>
      <c r="O442" s="47" t="n"/>
    </row>
    <row r="443">
      <c r="A443" s="39" t="n"/>
      <c r="B443" s="40" t="n"/>
      <c r="C443" s="43">
        <f>IFERROR(INDEX(الموظفون_الاسم,MATCH($B443,الموظفون_الرقم,0)),"")</f>
        <v/>
      </c>
      <c r="D443" s="40" t="n"/>
      <c r="E443" s="110" t="n"/>
      <c r="F443" s="110" t="n"/>
      <c r="G443" s="110" t="n"/>
      <c r="H443" s="44">
        <f>IF(OR($F443="",$G443=""),"",MAX(0,$G443-$F443+1))</f>
        <v/>
      </c>
      <c r="I443" s="44">
        <f>IF($B443="","",IFERROR(INDEX(الموظفون_الافتتاحي,MATCH($B443,الموظفون_الرقم,0)),0)+IF($D443&lt;&gt;"سنوية",0,IFERROR(DATEDIF(بداية_احتساب_الرصيد,TODAY(),"M"),0)*معدل_الاستحقاق_الشهري)-SUMIFS($J$3:$J$502,$B$3:$B$502,$B443,$D$3:$D$502,"سنوية",$L$3:$L$502,"معتمد",$A$3:$A$502,"&lt;"&amp;$A443))</f>
        <v/>
      </c>
      <c r="J443" s="44">
        <f>IF($L443="معتمد",$H443,0)</f>
        <v/>
      </c>
      <c r="K443" s="44">
        <f>IF($B443="","",$I443-$J443)</f>
        <v/>
      </c>
      <c r="L443" s="40" t="n"/>
      <c r="M443" s="40" t="n"/>
      <c r="N443" s="110" t="n"/>
      <c r="O443" s="40" t="n"/>
    </row>
    <row r="444">
      <c r="A444" s="46" t="n"/>
      <c r="B444" s="47" t="n"/>
      <c r="C444" s="50">
        <f>IFERROR(INDEX(الموظفون_الاسم,MATCH($B444,الموظفون_الرقم,0)),"")</f>
        <v/>
      </c>
      <c r="D444" s="47" t="n"/>
      <c r="E444" s="112" t="n"/>
      <c r="F444" s="112" t="n"/>
      <c r="G444" s="112" t="n"/>
      <c r="H444" s="51">
        <f>IF(OR($F444="",$G444=""),"",MAX(0,$G444-$F444+1))</f>
        <v/>
      </c>
      <c r="I444" s="51">
        <f>IF($B444="","",IFERROR(INDEX(الموظفون_الافتتاحي,MATCH($B444,الموظفون_الرقم,0)),0)+IF($D444&lt;&gt;"سنوية",0,IFERROR(DATEDIF(بداية_احتساب_الرصيد,TODAY(),"M"),0)*معدل_الاستحقاق_الشهري)-SUMIFS($J$3:$J$502,$B$3:$B$502,$B444,$D$3:$D$502,"سنوية",$L$3:$L$502,"معتمد",$A$3:$A$502,"&lt;"&amp;$A444))</f>
        <v/>
      </c>
      <c r="J444" s="51">
        <f>IF($L444="معتمد",$H444,0)</f>
        <v/>
      </c>
      <c r="K444" s="51">
        <f>IF($B444="","",$I444-$J444)</f>
        <v/>
      </c>
      <c r="L444" s="47" t="n"/>
      <c r="M444" s="47" t="n"/>
      <c r="N444" s="112" t="n"/>
      <c r="O444" s="47" t="n"/>
    </row>
    <row r="445">
      <c r="A445" s="39" t="n"/>
      <c r="B445" s="40" t="n"/>
      <c r="C445" s="43">
        <f>IFERROR(INDEX(الموظفون_الاسم,MATCH($B445,الموظفون_الرقم,0)),"")</f>
        <v/>
      </c>
      <c r="D445" s="40" t="n"/>
      <c r="E445" s="110" t="n"/>
      <c r="F445" s="110" t="n"/>
      <c r="G445" s="110" t="n"/>
      <c r="H445" s="44">
        <f>IF(OR($F445="",$G445=""),"",MAX(0,$G445-$F445+1))</f>
        <v/>
      </c>
      <c r="I445" s="44">
        <f>IF($B445="","",IFERROR(INDEX(الموظفون_الافتتاحي,MATCH($B445,الموظفون_الرقم,0)),0)+IF($D445&lt;&gt;"سنوية",0,IFERROR(DATEDIF(بداية_احتساب_الرصيد,TODAY(),"M"),0)*معدل_الاستحقاق_الشهري)-SUMIFS($J$3:$J$502,$B$3:$B$502,$B445,$D$3:$D$502,"سنوية",$L$3:$L$502,"معتمد",$A$3:$A$502,"&lt;"&amp;$A445))</f>
        <v/>
      </c>
      <c r="J445" s="44">
        <f>IF($L445="معتمد",$H445,0)</f>
        <v/>
      </c>
      <c r="K445" s="44">
        <f>IF($B445="","",$I445-$J445)</f>
        <v/>
      </c>
      <c r="L445" s="40" t="n"/>
      <c r="M445" s="40" t="n"/>
      <c r="N445" s="110" t="n"/>
      <c r="O445" s="40" t="n"/>
    </row>
    <row r="446">
      <c r="A446" s="46" t="n"/>
      <c r="B446" s="47" t="n"/>
      <c r="C446" s="50">
        <f>IFERROR(INDEX(الموظفون_الاسم,MATCH($B446,الموظفون_الرقم,0)),"")</f>
        <v/>
      </c>
      <c r="D446" s="47" t="n"/>
      <c r="E446" s="112" t="n"/>
      <c r="F446" s="112" t="n"/>
      <c r="G446" s="112" t="n"/>
      <c r="H446" s="51">
        <f>IF(OR($F446="",$G446=""),"",MAX(0,$G446-$F446+1))</f>
        <v/>
      </c>
      <c r="I446" s="51">
        <f>IF($B446="","",IFERROR(INDEX(الموظفون_الافتتاحي,MATCH($B446,الموظفون_الرقم,0)),0)+IF($D446&lt;&gt;"سنوية",0,IFERROR(DATEDIF(بداية_احتساب_الرصيد,TODAY(),"M"),0)*معدل_الاستحقاق_الشهري)-SUMIFS($J$3:$J$502,$B$3:$B$502,$B446,$D$3:$D$502,"سنوية",$L$3:$L$502,"معتمد",$A$3:$A$502,"&lt;"&amp;$A446))</f>
        <v/>
      </c>
      <c r="J446" s="51">
        <f>IF($L446="معتمد",$H446,0)</f>
        <v/>
      </c>
      <c r="K446" s="51">
        <f>IF($B446="","",$I446-$J446)</f>
        <v/>
      </c>
      <c r="L446" s="47" t="n"/>
      <c r="M446" s="47" t="n"/>
      <c r="N446" s="112" t="n"/>
      <c r="O446" s="47" t="n"/>
    </row>
    <row r="447">
      <c r="A447" s="39" t="n"/>
      <c r="B447" s="40" t="n"/>
      <c r="C447" s="43">
        <f>IFERROR(INDEX(الموظفون_الاسم,MATCH($B447,الموظفون_الرقم,0)),"")</f>
        <v/>
      </c>
      <c r="D447" s="40" t="n"/>
      <c r="E447" s="110" t="n"/>
      <c r="F447" s="110" t="n"/>
      <c r="G447" s="110" t="n"/>
      <c r="H447" s="44">
        <f>IF(OR($F447="",$G447=""),"",MAX(0,$G447-$F447+1))</f>
        <v/>
      </c>
      <c r="I447" s="44">
        <f>IF($B447="","",IFERROR(INDEX(الموظفون_الافتتاحي,MATCH($B447,الموظفون_الرقم,0)),0)+IF($D447&lt;&gt;"سنوية",0,IFERROR(DATEDIF(بداية_احتساب_الرصيد,TODAY(),"M"),0)*معدل_الاستحقاق_الشهري)-SUMIFS($J$3:$J$502,$B$3:$B$502,$B447,$D$3:$D$502,"سنوية",$L$3:$L$502,"معتمد",$A$3:$A$502,"&lt;"&amp;$A447))</f>
        <v/>
      </c>
      <c r="J447" s="44">
        <f>IF($L447="معتمد",$H447,0)</f>
        <v/>
      </c>
      <c r="K447" s="44">
        <f>IF($B447="","",$I447-$J447)</f>
        <v/>
      </c>
      <c r="L447" s="40" t="n"/>
      <c r="M447" s="40" t="n"/>
      <c r="N447" s="110" t="n"/>
      <c r="O447" s="40" t="n"/>
    </row>
    <row r="448">
      <c r="A448" s="46" t="n"/>
      <c r="B448" s="47" t="n"/>
      <c r="C448" s="50">
        <f>IFERROR(INDEX(الموظفون_الاسم,MATCH($B448,الموظفون_الرقم,0)),"")</f>
        <v/>
      </c>
      <c r="D448" s="47" t="n"/>
      <c r="E448" s="112" t="n"/>
      <c r="F448" s="112" t="n"/>
      <c r="G448" s="112" t="n"/>
      <c r="H448" s="51">
        <f>IF(OR($F448="",$G448=""),"",MAX(0,$G448-$F448+1))</f>
        <v/>
      </c>
      <c r="I448" s="51">
        <f>IF($B448="","",IFERROR(INDEX(الموظفون_الافتتاحي,MATCH($B448,الموظفون_الرقم,0)),0)+IF($D448&lt;&gt;"سنوية",0,IFERROR(DATEDIF(بداية_احتساب_الرصيد,TODAY(),"M"),0)*معدل_الاستحقاق_الشهري)-SUMIFS($J$3:$J$502,$B$3:$B$502,$B448,$D$3:$D$502,"سنوية",$L$3:$L$502,"معتمد",$A$3:$A$502,"&lt;"&amp;$A448))</f>
        <v/>
      </c>
      <c r="J448" s="51">
        <f>IF($L448="معتمد",$H448,0)</f>
        <v/>
      </c>
      <c r="K448" s="51">
        <f>IF($B448="","",$I448-$J448)</f>
        <v/>
      </c>
      <c r="L448" s="47" t="n"/>
      <c r="M448" s="47" t="n"/>
      <c r="N448" s="112" t="n"/>
      <c r="O448" s="47" t="n"/>
    </row>
    <row r="449">
      <c r="A449" s="39" t="n"/>
      <c r="B449" s="40" t="n"/>
      <c r="C449" s="43">
        <f>IFERROR(INDEX(الموظفون_الاسم,MATCH($B449,الموظفون_الرقم,0)),"")</f>
        <v/>
      </c>
      <c r="D449" s="40" t="n"/>
      <c r="E449" s="110" t="n"/>
      <c r="F449" s="110" t="n"/>
      <c r="G449" s="110" t="n"/>
      <c r="H449" s="44">
        <f>IF(OR($F449="",$G449=""),"",MAX(0,$G449-$F449+1))</f>
        <v/>
      </c>
      <c r="I449" s="44">
        <f>IF($B449="","",IFERROR(INDEX(الموظفون_الافتتاحي,MATCH($B449,الموظفون_الرقم,0)),0)+IF($D449&lt;&gt;"سنوية",0,IFERROR(DATEDIF(بداية_احتساب_الرصيد,TODAY(),"M"),0)*معدل_الاستحقاق_الشهري)-SUMIFS($J$3:$J$502,$B$3:$B$502,$B449,$D$3:$D$502,"سنوية",$L$3:$L$502,"معتمد",$A$3:$A$502,"&lt;"&amp;$A449))</f>
        <v/>
      </c>
      <c r="J449" s="44">
        <f>IF($L449="معتمد",$H449,0)</f>
        <v/>
      </c>
      <c r="K449" s="44">
        <f>IF($B449="","",$I449-$J449)</f>
        <v/>
      </c>
      <c r="L449" s="40" t="n"/>
      <c r="M449" s="40" t="n"/>
      <c r="N449" s="110" t="n"/>
      <c r="O449" s="40" t="n"/>
    </row>
    <row r="450">
      <c r="A450" s="46" t="n"/>
      <c r="B450" s="47" t="n"/>
      <c r="C450" s="50">
        <f>IFERROR(INDEX(الموظفون_الاسم,MATCH($B450,الموظفون_الرقم,0)),"")</f>
        <v/>
      </c>
      <c r="D450" s="47" t="n"/>
      <c r="E450" s="112" t="n"/>
      <c r="F450" s="112" t="n"/>
      <c r="G450" s="112" t="n"/>
      <c r="H450" s="51">
        <f>IF(OR($F450="",$G450=""),"",MAX(0,$G450-$F450+1))</f>
        <v/>
      </c>
      <c r="I450" s="51">
        <f>IF($B450="","",IFERROR(INDEX(الموظفون_الافتتاحي,MATCH($B450,الموظفون_الرقم,0)),0)+IF($D450&lt;&gt;"سنوية",0,IFERROR(DATEDIF(بداية_احتساب_الرصيد,TODAY(),"M"),0)*معدل_الاستحقاق_الشهري)-SUMIFS($J$3:$J$502,$B$3:$B$502,$B450,$D$3:$D$502,"سنوية",$L$3:$L$502,"معتمد",$A$3:$A$502,"&lt;"&amp;$A450))</f>
        <v/>
      </c>
      <c r="J450" s="51">
        <f>IF($L450="معتمد",$H450,0)</f>
        <v/>
      </c>
      <c r="K450" s="51">
        <f>IF($B450="","",$I450-$J450)</f>
        <v/>
      </c>
      <c r="L450" s="47" t="n"/>
      <c r="M450" s="47" t="n"/>
      <c r="N450" s="112" t="n"/>
      <c r="O450" s="47" t="n"/>
    </row>
    <row r="451">
      <c r="A451" s="39" t="n"/>
      <c r="B451" s="40" t="n"/>
      <c r="C451" s="43">
        <f>IFERROR(INDEX(الموظفون_الاسم,MATCH($B451,الموظفون_الرقم,0)),"")</f>
        <v/>
      </c>
      <c r="D451" s="40" t="n"/>
      <c r="E451" s="110" t="n"/>
      <c r="F451" s="110" t="n"/>
      <c r="G451" s="110" t="n"/>
      <c r="H451" s="44">
        <f>IF(OR($F451="",$G451=""),"",MAX(0,$G451-$F451+1))</f>
        <v/>
      </c>
      <c r="I451" s="44">
        <f>IF($B451="","",IFERROR(INDEX(الموظفون_الافتتاحي,MATCH($B451,الموظفون_الرقم,0)),0)+IF($D451&lt;&gt;"سنوية",0,IFERROR(DATEDIF(بداية_احتساب_الرصيد,TODAY(),"M"),0)*معدل_الاستحقاق_الشهري)-SUMIFS($J$3:$J$502,$B$3:$B$502,$B451,$D$3:$D$502,"سنوية",$L$3:$L$502,"معتمد",$A$3:$A$502,"&lt;"&amp;$A451))</f>
        <v/>
      </c>
      <c r="J451" s="44">
        <f>IF($L451="معتمد",$H451,0)</f>
        <v/>
      </c>
      <c r="K451" s="44">
        <f>IF($B451="","",$I451-$J451)</f>
        <v/>
      </c>
      <c r="L451" s="40" t="n"/>
      <c r="M451" s="40" t="n"/>
      <c r="N451" s="110" t="n"/>
      <c r="O451" s="40" t="n"/>
    </row>
    <row r="452">
      <c r="A452" s="46" t="n"/>
      <c r="B452" s="47" t="n"/>
      <c r="C452" s="50">
        <f>IFERROR(INDEX(الموظفون_الاسم,MATCH($B452,الموظفون_الرقم,0)),"")</f>
        <v/>
      </c>
      <c r="D452" s="47" t="n"/>
      <c r="E452" s="112" t="n"/>
      <c r="F452" s="112" t="n"/>
      <c r="G452" s="112" t="n"/>
      <c r="H452" s="51">
        <f>IF(OR($F452="",$G452=""),"",MAX(0,$G452-$F452+1))</f>
        <v/>
      </c>
      <c r="I452" s="51">
        <f>IF($B452="","",IFERROR(INDEX(الموظفون_الافتتاحي,MATCH($B452,الموظفون_الرقم,0)),0)+IF($D452&lt;&gt;"سنوية",0,IFERROR(DATEDIF(بداية_احتساب_الرصيد,TODAY(),"M"),0)*معدل_الاستحقاق_الشهري)-SUMIFS($J$3:$J$502,$B$3:$B$502,$B452,$D$3:$D$502,"سنوية",$L$3:$L$502,"معتمد",$A$3:$A$502,"&lt;"&amp;$A452))</f>
        <v/>
      </c>
      <c r="J452" s="51">
        <f>IF($L452="معتمد",$H452,0)</f>
        <v/>
      </c>
      <c r="K452" s="51">
        <f>IF($B452="","",$I452-$J452)</f>
        <v/>
      </c>
      <c r="L452" s="47" t="n"/>
      <c r="M452" s="47" t="n"/>
      <c r="N452" s="112" t="n"/>
      <c r="O452" s="47" t="n"/>
    </row>
    <row r="453">
      <c r="A453" s="39" t="n"/>
      <c r="B453" s="40" t="n"/>
      <c r="C453" s="43">
        <f>IFERROR(INDEX(الموظفون_الاسم,MATCH($B453,الموظفون_الرقم,0)),"")</f>
        <v/>
      </c>
      <c r="D453" s="40" t="n"/>
      <c r="E453" s="110" t="n"/>
      <c r="F453" s="110" t="n"/>
      <c r="G453" s="110" t="n"/>
      <c r="H453" s="44">
        <f>IF(OR($F453="",$G453=""),"",MAX(0,$G453-$F453+1))</f>
        <v/>
      </c>
      <c r="I453" s="44">
        <f>IF($B453="","",IFERROR(INDEX(الموظفون_الافتتاحي,MATCH($B453,الموظفون_الرقم,0)),0)+IF($D453&lt;&gt;"سنوية",0,IFERROR(DATEDIF(بداية_احتساب_الرصيد,TODAY(),"M"),0)*معدل_الاستحقاق_الشهري)-SUMIFS($J$3:$J$502,$B$3:$B$502,$B453,$D$3:$D$502,"سنوية",$L$3:$L$502,"معتمد",$A$3:$A$502,"&lt;"&amp;$A453))</f>
        <v/>
      </c>
      <c r="J453" s="44">
        <f>IF($L453="معتمد",$H453,0)</f>
        <v/>
      </c>
      <c r="K453" s="44">
        <f>IF($B453="","",$I453-$J453)</f>
        <v/>
      </c>
      <c r="L453" s="40" t="n"/>
      <c r="M453" s="40" t="n"/>
      <c r="N453" s="110" t="n"/>
      <c r="O453" s="40" t="n"/>
    </row>
    <row r="454">
      <c r="A454" s="46" t="n"/>
      <c r="B454" s="47" t="n"/>
      <c r="C454" s="50">
        <f>IFERROR(INDEX(الموظفون_الاسم,MATCH($B454,الموظفون_الرقم,0)),"")</f>
        <v/>
      </c>
      <c r="D454" s="47" t="n"/>
      <c r="E454" s="112" t="n"/>
      <c r="F454" s="112" t="n"/>
      <c r="G454" s="112" t="n"/>
      <c r="H454" s="51">
        <f>IF(OR($F454="",$G454=""),"",MAX(0,$G454-$F454+1))</f>
        <v/>
      </c>
      <c r="I454" s="51">
        <f>IF($B454="","",IFERROR(INDEX(الموظفون_الافتتاحي,MATCH($B454,الموظفون_الرقم,0)),0)+IF($D454&lt;&gt;"سنوية",0,IFERROR(DATEDIF(بداية_احتساب_الرصيد,TODAY(),"M"),0)*معدل_الاستحقاق_الشهري)-SUMIFS($J$3:$J$502,$B$3:$B$502,$B454,$D$3:$D$502,"سنوية",$L$3:$L$502,"معتمد",$A$3:$A$502,"&lt;"&amp;$A454))</f>
        <v/>
      </c>
      <c r="J454" s="51">
        <f>IF($L454="معتمد",$H454,0)</f>
        <v/>
      </c>
      <c r="K454" s="51">
        <f>IF($B454="","",$I454-$J454)</f>
        <v/>
      </c>
      <c r="L454" s="47" t="n"/>
      <c r="M454" s="47" t="n"/>
      <c r="N454" s="112" t="n"/>
      <c r="O454" s="47" t="n"/>
    </row>
    <row r="455">
      <c r="A455" s="39" t="n"/>
      <c r="B455" s="40" t="n"/>
      <c r="C455" s="43">
        <f>IFERROR(INDEX(الموظفون_الاسم,MATCH($B455,الموظفون_الرقم,0)),"")</f>
        <v/>
      </c>
      <c r="D455" s="40" t="n"/>
      <c r="E455" s="110" t="n"/>
      <c r="F455" s="110" t="n"/>
      <c r="G455" s="110" t="n"/>
      <c r="H455" s="44">
        <f>IF(OR($F455="",$G455=""),"",MAX(0,$G455-$F455+1))</f>
        <v/>
      </c>
      <c r="I455" s="44">
        <f>IF($B455="","",IFERROR(INDEX(الموظفون_الافتتاحي,MATCH($B455,الموظفون_الرقم,0)),0)+IF($D455&lt;&gt;"سنوية",0,IFERROR(DATEDIF(بداية_احتساب_الرصيد,TODAY(),"M"),0)*معدل_الاستحقاق_الشهري)-SUMIFS($J$3:$J$502,$B$3:$B$502,$B455,$D$3:$D$502,"سنوية",$L$3:$L$502,"معتمد",$A$3:$A$502,"&lt;"&amp;$A455))</f>
        <v/>
      </c>
      <c r="J455" s="44">
        <f>IF($L455="معتمد",$H455,0)</f>
        <v/>
      </c>
      <c r="K455" s="44">
        <f>IF($B455="","",$I455-$J455)</f>
        <v/>
      </c>
      <c r="L455" s="40" t="n"/>
      <c r="M455" s="40" t="n"/>
      <c r="N455" s="110" t="n"/>
      <c r="O455" s="40" t="n"/>
    </row>
    <row r="456">
      <c r="A456" s="46" t="n"/>
      <c r="B456" s="47" t="n"/>
      <c r="C456" s="50">
        <f>IFERROR(INDEX(الموظفون_الاسم,MATCH($B456,الموظفون_الرقم,0)),"")</f>
        <v/>
      </c>
      <c r="D456" s="47" t="n"/>
      <c r="E456" s="112" t="n"/>
      <c r="F456" s="112" t="n"/>
      <c r="G456" s="112" t="n"/>
      <c r="H456" s="51">
        <f>IF(OR($F456="",$G456=""),"",MAX(0,$G456-$F456+1))</f>
        <v/>
      </c>
      <c r="I456" s="51">
        <f>IF($B456="","",IFERROR(INDEX(الموظفون_الافتتاحي,MATCH($B456,الموظفون_الرقم,0)),0)+IF($D456&lt;&gt;"سنوية",0,IFERROR(DATEDIF(بداية_احتساب_الرصيد,TODAY(),"M"),0)*معدل_الاستحقاق_الشهري)-SUMIFS($J$3:$J$502,$B$3:$B$502,$B456,$D$3:$D$502,"سنوية",$L$3:$L$502,"معتمد",$A$3:$A$502,"&lt;"&amp;$A456))</f>
        <v/>
      </c>
      <c r="J456" s="51">
        <f>IF($L456="معتمد",$H456,0)</f>
        <v/>
      </c>
      <c r="K456" s="51">
        <f>IF($B456="","",$I456-$J456)</f>
        <v/>
      </c>
      <c r="L456" s="47" t="n"/>
      <c r="M456" s="47" t="n"/>
      <c r="N456" s="112" t="n"/>
      <c r="O456" s="47" t="n"/>
    </row>
    <row r="457">
      <c r="A457" s="39" t="n"/>
      <c r="B457" s="40" t="n"/>
      <c r="C457" s="43">
        <f>IFERROR(INDEX(الموظفون_الاسم,MATCH($B457,الموظفون_الرقم,0)),"")</f>
        <v/>
      </c>
      <c r="D457" s="40" t="n"/>
      <c r="E457" s="110" t="n"/>
      <c r="F457" s="110" t="n"/>
      <c r="G457" s="110" t="n"/>
      <c r="H457" s="44">
        <f>IF(OR($F457="",$G457=""),"",MAX(0,$G457-$F457+1))</f>
        <v/>
      </c>
      <c r="I457" s="44">
        <f>IF($B457="","",IFERROR(INDEX(الموظفون_الافتتاحي,MATCH($B457,الموظفون_الرقم,0)),0)+IF($D457&lt;&gt;"سنوية",0,IFERROR(DATEDIF(بداية_احتساب_الرصيد,TODAY(),"M"),0)*معدل_الاستحقاق_الشهري)-SUMIFS($J$3:$J$502,$B$3:$B$502,$B457,$D$3:$D$502,"سنوية",$L$3:$L$502,"معتمد",$A$3:$A$502,"&lt;"&amp;$A457))</f>
        <v/>
      </c>
      <c r="J457" s="44">
        <f>IF($L457="معتمد",$H457,0)</f>
        <v/>
      </c>
      <c r="K457" s="44">
        <f>IF($B457="","",$I457-$J457)</f>
        <v/>
      </c>
      <c r="L457" s="40" t="n"/>
      <c r="M457" s="40" t="n"/>
      <c r="N457" s="110" t="n"/>
      <c r="O457" s="40" t="n"/>
    </row>
    <row r="458">
      <c r="A458" s="46" t="n"/>
      <c r="B458" s="47" t="n"/>
      <c r="C458" s="50">
        <f>IFERROR(INDEX(الموظفون_الاسم,MATCH($B458,الموظفون_الرقم,0)),"")</f>
        <v/>
      </c>
      <c r="D458" s="47" t="n"/>
      <c r="E458" s="112" t="n"/>
      <c r="F458" s="112" t="n"/>
      <c r="G458" s="112" t="n"/>
      <c r="H458" s="51">
        <f>IF(OR($F458="",$G458=""),"",MAX(0,$G458-$F458+1))</f>
        <v/>
      </c>
      <c r="I458" s="51">
        <f>IF($B458="","",IFERROR(INDEX(الموظفون_الافتتاحي,MATCH($B458,الموظفون_الرقم,0)),0)+IF($D458&lt;&gt;"سنوية",0,IFERROR(DATEDIF(بداية_احتساب_الرصيد,TODAY(),"M"),0)*معدل_الاستحقاق_الشهري)-SUMIFS($J$3:$J$502,$B$3:$B$502,$B458,$D$3:$D$502,"سنوية",$L$3:$L$502,"معتمد",$A$3:$A$502,"&lt;"&amp;$A458))</f>
        <v/>
      </c>
      <c r="J458" s="51">
        <f>IF($L458="معتمد",$H458,0)</f>
        <v/>
      </c>
      <c r="K458" s="51">
        <f>IF($B458="","",$I458-$J458)</f>
        <v/>
      </c>
      <c r="L458" s="47" t="n"/>
      <c r="M458" s="47" t="n"/>
      <c r="N458" s="112" t="n"/>
      <c r="O458" s="47" t="n"/>
    </row>
    <row r="459">
      <c r="A459" s="39" t="n"/>
      <c r="B459" s="40" t="n"/>
      <c r="C459" s="43">
        <f>IFERROR(INDEX(الموظفون_الاسم,MATCH($B459,الموظفون_الرقم,0)),"")</f>
        <v/>
      </c>
      <c r="D459" s="40" t="n"/>
      <c r="E459" s="110" t="n"/>
      <c r="F459" s="110" t="n"/>
      <c r="G459" s="110" t="n"/>
      <c r="H459" s="44">
        <f>IF(OR($F459="",$G459=""),"",MAX(0,$G459-$F459+1))</f>
        <v/>
      </c>
      <c r="I459" s="44">
        <f>IF($B459="","",IFERROR(INDEX(الموظفون_الافتتاحي,MATCH($B459,الموظفون_الرقم,0)),0)+IF($D459&lt;&gt;"سنوية",0,IFERROR(DATEDIF(بداية_احتساب_الرصيد,TODAY(),"M"),0)*معدل_الاستحقاق_الشهري)-SUMIFS($J$3:$J$502,$B$3:$B$502,$B459,$D$3:$D$502,"سنوية",$L$3:$L$502,"معتمد",$A$3:$A$502,"&lt;"&amp;$A459))</f>
        <v/>
      </c>
      <c r="J459" s="44">
        <f>IF($L459="معتمد",$H459,0)</f>
        <v/>
      </c>
      <c r="K459" s="44">
        <f>IF($B459="","",$I459-$J459)</f>
        <v/>
      </c>
      <c r="L459" s="40" t="n"/>
      <c r="M459" s="40" t="n"/>
      <c r="N459" s="110" t="n"/>
      <c r="O459" s="40" t="n"/>
    </row>
    <row r="460">
      <c r="A460" s="46" t="n"/>
      <c r="B460" s="47" t="n"/>
      <c r="C460" s="50">
        <f>IFERROR(INDEX(الموظفون_الاسم,MATCH($B460,الموظفون_الرقم,0)),"")</f>
        <v/>
      </c>
      <c r="D460" s="47" t="n"/>
      <c r="E460" s="112" t="n"/>
      <c r="F460" s="112" t="n"/>
      <c r="G460" s="112" t="n"/>
      <c r="H460" s="51">
        <f>IF(OR($F460="",$G460=""),"",MAX(0,$G460-$F460+1))</f>
        <v/>
      </c>
      <c r="I460" s="51">
        <f>IF($B460="","",IFERROR(INDEX(الموظفون_الافتتاحي,MATCH($B460,الموظفون_الرقم,0)),0)+IF($D460&lt;&gt;"سنوية",0,IFERROR(DATEDIF(بداية_احتساب_الرصيد,TODAY(),"M"),0)*معدل_الاستحقاق_الشهري)-SUMIFS($J$3:$J$502,$B$3:$B$502,$B460,$D$3:$D$502,"سنوية",$L$3:$L$502,"معتمد",$A$3:$A$502,"&lt;"&amp;$A460))</f>
        <v/>
      </c>
      <c r="J460" s="51">
        <f>IF($L460="معتمد",$H460,0)</f>
        <v/>
      </c>
      <c r="K460" s="51">
        <f>IF($B460="","",$I460-$J460)</f>
        <v/>
      </c>
      <c r="L460" s="47" t="n"/>
      <c r="M460" s="47" t="n"/>
      <c r="N460" s="112" t="n"/>
      <c r="O460" s="47" t="n"/>
    </row>
    <row r="461">
      <c r="A461" s="39" t="n"/>
      <c r="B461" s="40" t="n"/>
      <c r="C461" s="43">
        <f>IFERROR(INDEX(الموظفون_الاسم,MATCH($B461,الموظفون_الرقم,0)),"")</f>
        <v/>
      </c>
      <c r="D461" s="40" t="n"/>
      <c r="E461" s="110" t="n"/>
      <c r="F461" s="110" t="n"/>
      <c r="G461" s="110" t="n"/>
      <c r="H461" s="44">
        <f>IF(OR($F461="",$G461=""),"",MAX(0,$G461-$F461+1))</f>
        <v/>
      </c>
      <c r="I461" s="44">
        <f>IF($B461="","",IFERROR(INDEX(الموظفون_الافتتاحي,MATCH($B461,الموظفون_الرقم,0)),0)+IF($D461&lt;&gt;"سنوية",0,IFERROR(DATEDIF(بداية_احتساب_الرصيد,TODAY(),"M"),0)*معدل_الاستحقاق_الشهري)-SUMIFS($J$3:$J$502,$B$3:$B$502,$B461,$D$3:$D$502,"سنوية",$L$3:$L$502,"معتمد",$A$3:$A$502,"&lt;"&amp;$A461))</f>
        <v/>
      </c>
      <c r="J461" s="44">
        <f>IF($L461="معتمد",$H461,0)</f>
        <v/>
      </c>
      <c r="K461" s="44">
        <f>IF($B461="","",$I461-$J461)</f>
        <v/>
      </c>
      <c r="L461" s="40" t="n"/>
      <c r="M461" s="40" t="n"/>
      <c r="N461" s="110" t="n"/>
      <c r="O461" s="40" t="n"/>
    </row>
    <row r="462">
      <c r="A462" s="46" t="n"/>
      <c r="B462" s="47" t="n"/>
      <c r="C462" s="50">
        <f>IFERROR(INDEX(الموظفون_الاسم,MATCH($B462,الموظفون_الرقم,0)),"")</f>
        <v/>
      </c>
      <c r="D462" s="47" t="n"/>
      <c r="E462" s="112" t="n"/>
      <c r="F462" s="112" t="n"/>
      <c r="G462" s="112" t="n"/>
      <c r="H462" s="51">
        <f>IF(OR($F462="",$G462=""),"",MAX(0,$G462-$F462+1))</f>
        <v/>
      </c>
      <c r="I462" s="51">
        <f>IF($B462="","",IFERROR(INDEX(الموظفون_الافتتاحي,MATCH($B462,الموظفون_الرقم,0)),0)+IF($D462&lt;&gt;"سنوية",0,IFERROR(DATEDIF(بداية_احتساب_الرصيد,TODAY(),"M"),0)*معدل_الاستحقاق_الشهري)-SUMIFS($J$3:$J$502,$B$3:$B$502,$B462,$D$3:$D$502,"سنوية",$L$3:$L$502,"معتمد",$A$3:$A$502,"&lt;"&amp;$A462))</f>
        <v/>
      </c>
      <c r="J462" s="51">
        <f>IF($L462="معتمد",$H462,0)</f>
        <v/>
      </c>
      <c r="K462" s="51">
        <f>IF($B462="","",$I462-$J462)</f>
        <v/>
      </c>
      <c r="L462" s="47" t="n"/>
      <c r="M462" s="47" t="n"/>
      <c r="N462" s="112" t="n"/>
      <c r="O462" s="47" t="n"/>
    </row>
    <row r="463">
      <c r="A463" s="39" t="n"/>
      <c r="B463" s="40" t="n"/>
      <c r="C463" s="43">
        <f>IFERROR(INDEX(الموظفون_الاسم,MATCH($B463,الموظفون_الرقم,0)),"")</f>
        <v/>
      </c>
      <c r="D463" s="40" t="n"/>
      <c r="E463" s="110" t="n"/>
      <c r="F463" s="110" t="n"/>
      <c r="G463" s="110" t="n"/>
      <c r="H463" s="44">
        <f>IF(OR($F463="",$G463=""),"",MAX(0,$G463-$F463+1))</f>
        <v/>
      </c>
      <c r="I463" s="44">
        <f>IF($B463="","",IFERROR(INDEX(الموظفون_الافتتاحي,MATCH($B463,الموظفون_الرقم,0)),0)+IF($D463&lt;&gt;"سنوية",0,IFERROR(DATEDIF(بداية_احتساب_الرصيد,TODAY(),"M"),0)*معدل_الاستحقاق_الشهري)-SUMIFS($J$3:$J$502,$B$3:$B$502,$B463,$D$3:$D$502,"سنوية",$L$3:$L$502,"معتمد",$A$3:$A$502,"&lt;"&amp;$A463))</f>
        <v/>
      </c>
      <c r="J463" s="44">
        <f>IF($L463="معتمد",$H463,0)</f>
        <v/>
      </c>
      <c r="K463" s="44">
        <f>IF($B463="","",$I463-$J463)</f>
        <v/>
      </c>
      <c r="L463" s="40" t="n"/>
      <c r="M463" s="40" t="n"/>
      <c r="N463" s="110" t="n"/>
      <c r="O463" s="40" t="n"/>
    </row>
    <row r="464">
      <c r="A464" s="46" t="n"/>
      <c r="B464" s="47" t="n"/>
      <c r="C464" s="50">
        <f>IFERROR(INDEX(الموظفون_الاسم,MATCH($B464,الموظفون_الرقم,0)),"")</f>
        <v/>
      </c>
      <c r="D464" s="47" t="n"/>
      <c r="E464" s="112" t="n"/>
      <c r="F464" s="112" t="n"/>
      <c r="G464" s="112" t="n"/>
      <c r="H464" s="51">
        <f>IF(OR($F464="",$G464=""),"",MAX(0,$G464-$F464+1))</f>
        <v/>
      </c>
      <c r="I464" s="51">
        <f>IF($B464="","",IFERROR(INDEX(الموظفون_الافتتاحي,MATCH($B464,الموظفون_الرقم,0)),0)+IF($D464&lt;&gt;"سنوية",0,IFERROR(DATEDIF(بداية_احتساب_الرصيد,TODAY(),"M"),0)*معدل_الاستحقاق_الشهري)-SUMIFS($J$3:$J$502,$B$3:$B$502,$B464,$D$3:$D$502,"سنوية",$L$3:$L$502,"معتمد",$A$3:$A$502,"&lt;"&amp;$A464))</f>
        <v/>
      </c>
      <c r="J464" s="51">
        <f>IF($L464="معتمد",$H464,0)</f>
        <v/>
      </c>
      <c r="K464" s="51">
        <f>IF($B464="","",$I464-$J464)</f>
        <v/>
      </c>
      <c r="L464" s="47" t="n"/>
      <c r="M464" s="47" t="n"/>
      <c r="N464" s="112" t="n"/>
      <c r="O464" s="47" t="n"/>
    </row>
    <row r="465">
      <c r="A465" s="39" t="n"/>
      <c r="B465" s="40" t="n"/>
      <c r="C465" s="43">
        <f>IFERROR(INDEX(الموظفون_الاسم,MATCH($B465,الموظفون_الرقم,0)),"")</f>
        <v/>
      </c>
      <c r="D465" s="40" t="n"/>
      <c r="E465" s="110" t="n"/>
      <c r="F465" s="110" t="n"/>
      <c r="G465" s="110" t="n"/>
      <c r="H465" s="44">
        <f>IF(OR($F465="",$G465=""),"",MAX(0,$G465-$F465+1))</f>
        <v/>
      </c>
      <c r="I465" s="44">
        <f>IF($B465="","",IFERROR(INDEX(الموظفون_الافتتاحي,MATCH($B465,الموظفون_الرقم,0)),0)+IF($D465&lt;&gt;"سنوية",0,IFERROR(DATEDIF(بداية_احتساب_الرصيد,TODAY(),"M"),0)*معدل_الاستحقاق_الشهري)-SUMIFS($J$3:$J$502,$B$3:$B$502,$B465,$D$3:$D$502,"سنوية",$L$3:$L$502,"معتمد",$A$3:$A$502,"&lt;"&amp;$A465))</f>
        <v/>
      </c>
      <c r="J465" s="44">
        <f>IF($L465="معتمد",$H465,0)</f>
        <v/>
      </c>
      <c r="K465" s="44">
        <f>IF($B465="","",$I465-$J465)</f>
        <v/>
      </c>
      <c r="L465" s="40" t="n"/>
      <c r="M465" s="40" t="n"/>
      <c r="N465" s="110" t="n"/>
      <c r="O465" s="40" t="n"/>
    </row>
    <row r="466">
      <c r="A466" s="46" t="n"/>
      <c r="B466" s="47" t="n"/>
      <c r="C466" s="50">
        <f>IFERROR(INDEX(الموظفون_الاسم,MATCH($B466,الموظفون_الرقم,0)),"")</f>
        <v/>
      </c>
      <c r="D466" s="47" t="n"/>
      <c r="E466" s="112" t="n"/>
      <c r="F466" s="112" t="n"/>
      <c r="G466" s="112" t="n"/>
      <c r="H466" s="51">
        <f>IF(OR($F466="",$G466=""),"",MAX(0,$G466-$F466+1))</f>
        <v/>
      </c>
      <c r="I466" s="51">
        <f>IF($B466="","",IFERROR(INDEX(الموظفون_الافتتاحي,MATCH($B466,الموظفون_الرقم,0)),0)+IF($D466&lt;&gt;"سنوية",0,IFERROR(DATEDIF(بداية_احتساب_الرصيد,TODAY(),"M"),0)*معدل_الاستحقاق_الشهري)-SUMIFS($J$3:$J$502,$B$3:$B$502,$B466,$D$3:$D$502,"سنوية",$L$3:$L$502,"معتمد",$A$3:$A$502,"&lt;"&amp;$A466))</f>
        <v/>
      </c>
      <c r="J466" s="51">
        <f>IF($L466="معتمد",$H466,0)</f>
        <v/>
      </c>
      <c r="K466" s="51">
        <f>IF($B466="","",$I466-$J466)</f>
        <v/>
      </c>
      <c r="L466" s="47" t="n"/>
      <c r="M466" s="47" t="n"/>
      <c r="N466" s="112" t="n"/>
      <c r="O466" s="47" t="n"/>
    </row>
    <row r="467">
      <c r="A467" s="39" t="n"/>
      <c r="B467" s="40" t="n"/>
      <c r="C467" s="43">
        <f>IFERROR(INDEX(الموظفون_الاسم,MATCH($B467,الموظفون_الرقم,0)),"")</f>
        <v/>
      </c>
      <c r="D467" s="40" t="n"/>
      <c r="E467" s="110" t="n"/>
      <c r="F467" s="110" t="n"/>
      <c r="G467" s="110" t="n"/>
      <c r="H467" s="44">
        <f>IF(OR($F467="",$G467=""),"",MAX(0,$G467-$F467+1))</f>
        <v/>
      </c>
      <c r="I467" s="44">
        <f>IF($B467="","",IFERROR(INDEX(الموظفون_الافتتاحي,MATCH($B467,الموظفون_الرقم,0)),0)+IF($D467&lt;&gt;"سنوية",0,IFERROR(DATEDIF(بداية_احتساب_الرصيد,TODAY(),"M"),0)*معدل_الاستحقاق_الشهري)-SUMIFS($J$3:$J$502,$B$3:$B$502,$B467,$D$3:$D$502,"سنوية",$L$3:$L$502,"معتمد",$A$3:$A$502,"&lt;"&amp;$A467))</f>
        <v/>
      </c>
      <c r="J467" s="44">
        <f>IF($L467="معتمد",$H467,0)</f>
        <v/>
      </c>
      <c r="K467" s="44">
        <f>IF($B467="","",$I467-$J467)</f>
        <v/>
      </c>
      <c r="L467" s="40" t="n"/>
      <c r="M467" s="40" t="n"/>
      <c r="N467" s="110" t="n"/>
      <c r="O467" s="40" t="n"/>
    </row>
    <row r="468">
      <c r="A468" s="46" t="n"/>
      <c r="B468" s="47" t="n"/>
      <c r="C468" s="50">
        <f>IFERROR(INDEX(الموظفون_الاسم,MATCH($B468,الموظفون_الرقم,0)),"")</f>
        <v/>
      </c>
      <c r="D468" s="47" t="n"/>
      <c r="E468" s="112" t="n"/>
      <c r="F468" s="112" t="n"/>
      <c r="G468" s="112" t="n"/>
      <c r="H468" s="51">
        <f>IF(OR($F468="",$G468=""),"",MAX(0,$G468-$F468+1))</f>
        <v/>
      </c>
      <c r="I468" s="51">
        <f>IF($B468="","",IFERROR(INDEX(الموظفون_الافتتاحي,MATCH($B468,الموظفون_الرقم,0)),0)+IF($D468&lt;&gt;"سنوية",0,IFERROR(DATEDIF(بداية_احتساب_الرصيد,TODAY(),"M"),0)*معدل_الاستحقاق_الشهري)-SUMIFS($J$3:$J$502,$B$3:$B$502,$B468,$D$3:$D$502,"سنوية",$L$3:$L$502,"معتمد",$A$3:$A$502,"&lt;"&amp;$A468))</f>
        <v/>
      </c>
      <c r="J468" s="51">
        <f>IF($L468="معتمد",$H468,0)</f>
        <v/>
      </c>
      <c r="K468" s="51">
        <f>IF($B468="","",$I468-$J468)</f>
        <v/>
      </c>
      <c r="L468" s="47" t="n"/>
      <c r="M468" s="47" t="n"/>
      <c r="N468" s="112" t="n"/>
      <c r="O468" s="47" t="n"/>
    </row>
    <row r="469">
      <c r="A469" s="39" t="n"/>
      <c r="B469" s="40" t="n"/>
      <c r="C469" s="43">
        <f>IFERROR(INDEX(الموظفون_الاسم,MATCH($B469,الموظفون_الرقم,0)),"")</f>
        <v/>
      </c>
      <c r="D469" s="40" t="n"/>
      <c r="E469" s="110" t="n"/>
      <c r="F469" s="110" t="n"/>
      <c r="G469" s="110" t="n"/>
      <c r="H469" s="44">
        <f>IF(OR($F469="",$G469=""),"",MAX(0,$G469-$F469+1))</f>
        <v/>
      </c>
      <c r="I469" s="44">
        <f>IF($B469="","",IFERROR(INDEX(الموظفون_الافتتاحي,MATCH($B469,الموظفون_الرقم,0)),0)+IF($D469&lt;&gt;"سنوية",0,IFERROR(DATEDIF(بداية_احتساب_الرصيد,TODAY(),"M"),0)*معدل_الاستحقاق_الشهري)-SUMIFS($J$3:$J$502,$B$3:$B$502,$B469,$D$3:$D$502,"سنوية",$L$3:$L$502,"معتمد",$A$3:$A$502,"&lt;"&amp;$A469))</f>
        <v/>
      </c>
      <c r="J469" s="44">
        <f>IF($L469="معتمد",$H469,0)</f>
        <v/>
      </c>
      <c r="K469" s="44">
        <f>IF($B469="","",$I469-$J469)</f>
        <v/>
      </c>
      <c r="L469" s="40" t="n"/>
      <c r="M469" s="40" t="n"/>
      <c r="N469" s="110" t="n"/>
      <c r="O469" s="40" t="n"/>
    </row>
    <row r="470">
      <c r="A470" s="46" t="n"/>
      <c r="B470" s="47" t="n"/>
      <c r="C470" s="50">
        <f>IFERROR(INDEX(الموظفون_الاسم,MATCH($B470,الموظفون_الرقم,0)),"")</f>
        <v/>
      </c>
      <c r="D470" s="47" t="n"/>
      <c r="E470" s="112" t="n"/>
      <c r="F470" s="112" t="n"/>
      <c r="G470" s="112" t="n"/>
      <c r="H470" s="51">
        <f>IF(OR($F470="",$G470=""),"",MAX(0,$G470-$F470+1))</f>
        <v/>
      </c>
      <c r="I470" s="51">
        <f>IF($B470="","",IFERROR(INDEX(الموظفون_الافتتاحي,MATCH($B470,الموظفون_الرقم,0)),0)+IF($D470&lt;&gt;"سنوية",0,IFERROR(DATEDIF(بداية_احتساب_الرصيد,TODAY(),"M"),0)*معدل_الاستحقاق_الشهري)-SUMIFS($J$3:$J$502,$B$3:$B$502,$B470,$D$3:$D$502,"سنوية",$L$3:$L$502,"معتمد",$A$3:$A$502,"&lt;"&amp;$A470))</f>
        <v/>
      </c>
      <c r="J470" s="51">
        <f>IF($L470="معتمد",$H470,0)</f>
        <v/>
      </c>
      <c r="K470" s="51">
        <f>IF($B470="","",$I470-$J470)</f>
        <v/>
      </c>
      <c r="L470" s="47" t="n"/>
      <c r="M470" s="47" t="n"/>
      <c r="N470" s="112" t="n"/>
      <c r="O470" s="47" t="n"/>
    </row>
    <row r="471">
      <c r="A471" s="39" t="n"/>
      <c r="B471" s="40" t="n"/>
      <c r="C471" s="43">
        <f>IFERROR(INDEX(الموظفون_الاسم,MATCH($B471,الموظفون_الرقم,0)),"")</f>
        <v/>
      </c>
      <c r="D471" s="40" t="n"/>
      <c r="E471" s="110" t="n"/>
      <c r="F471" s="110" t="n"/>
      <c r="G471" s="110" t="n"/>
      <c r="H471" s="44">
        <f>IF(OR($F471="",$G471=""),"",MAX(0,$G471-$F471+1))</f>
        <v/>
      </c>
      <c r="I471" s="44">
        <f>IF($B471="","",IFERROR(INDEX(الموظفون_الافتتاحي,MATCH($B471,الموظفون_الرقم,0)),0)+IF($D471&lt;&gt;"سنوية",0,IFERROR(DATEDIF(بداية_احتساب_الرصيد,TODAY(),"M"),0)*معدل_الاستحقاق_الشهري)-SUMIFS($J$3:$J$502,$B$3:$B$502,$B471,$D$3:$D$502,"سنوية",$L$3:$L$502,"معتمد",$A$3:$A$502,"&lt;"&amp;$A471))</f>
        <v/>
      </c>
      <c r="J471" s="44">
        <f>IF($L471="معتمد",$H471,0)</f>
        <v/>
      </c>
      <c r="K471" s="44">
        <f>IF($B471="","",$I471-$J471)</f>
        <v/>
      </c>
      <c r="L471" s="40" t="n"/>
      <c r="M471" s="40" t="n"/>
      <c r="N471" s="110" t="n"/>
      <c r="O471" s="40" t="n"/>
    </row>
    <row r="472">
      <c r="A472" s="46" t="n"/>
      <c r="B472" s="47" t="n"/>
      <c r="C472" s="50">
        <f>IFERROR(INDEX(الموظفون_الاسم,MATCH($B472,الموظفون_الرقم,0)),"")</f>
        <v/>
      </c>
      <c r="D472" s="47" t="n"/>
      <c r="E472" s="112" t="n"/>
      <c r="F472" s="112" t="n"/>
      <c r="G472" s="112" t="n"/>
      <c r="H472" s="51">
        <f>IF(OR($F472="",$G472=""),"",MAX(0,$G472-$F472+1))</f>
        <v/>
      </c>
      <c r="I472" s="51">
        <f>IF($B472="","",IFERROR(INDEX(الموظفون_الافتتاحي,MATCH($B472,الموظفون_الرقم,0)),0)+IF($D472&lt;&gt;"سنوية",0,IFERROR(DATEDIF(بداية_احتساب_الرصيد,TODAY(),"M"),0)*معدل_الاستحقاق_الشهري)-SUMIFS($J$3:$J$502,$B$3:$B$502,$B472,$D$3:$D$502,"سنوية",$L$3:$L$502,"معتمد",$A$3:$A$502,"&lt;"&amp;$A472))</f>
        <v/>
      </c>
      <c r="J472" s="51">
        <f>IF($L472="معتمد",$H472,0)</f>
        <v/>
      </c>
      <c r="K472" s="51">
        <f>IF($B472="","",$I472-$J472)</f>
        <v/>
      </c>
      <c r="L472" s="47" t="n"/>
      <c r="M472" s="47" t="n"/>
      <c r="N472" s="112" t="n"/>
      <c r="O472" s="47" t="n"/>
    </row>
    <row r="473">
      <c r="A473" s="39" t="n"/>
      <c r="B473" s="40" t="n"/>
      <c r="C473" s="43">
        <f>IFERROR(INDEX(الموظفون_الاسم,MATCH($B473,الموظفون_الرقم,0)),"")</f>
        <v/>
      </c>
      <c r="D473" s="40" t="n"/>
      <c r="E473" s="110" t="n"/>
      <c r="F473" s="110" t="n"/>
      <c r="G473" s="110" t="n"/>
      <c r="H473" s="44">
        <f>IF(OR($F473="",$G473=""),"",MAX(0,$G473-$F473+1))</f>
        <v/>
      </c>
      <c r="I473" s="44">
        <f>IF($B473="","",IFERROR(INDEX(الموظفون_الافتتاحي,MATCH($B473,الموظفون_الرقم,0)),0)+IF($D473&lt;&gt;"سنوية",0,IFERROR(DATEDIF(بداية_احتساب_الرصيد,TODAY(),"M"),0)*معدل_الاستحقاق_الشهري)-SUMIFS($J$3:$J$502,$B$3:$B$502,$B473,$D$3:$D$502,"سنوية",$L$3:$L$502,"معتمد",$A$3:$A$502,"&lt;"&amp;$A473))</f>
        <v/>
      </c>
      <c r="J473" s="44">
        <f>IF($L473="معتمد",$H473,0)</f>
        <v/>
      </c>
      <c r="K473" s="44">
        <f>IF($B473="","",$I473-$J473)</f>
        <v/>
      </c>
      <c r="L473" s="40" t="n"/>
      <c r="M473" s="40" t="n"/>
      <c r="N473" s="110" t="n"/>
      <c r="O473" s="40" t="n"/>
    </row>
    <row r="474">
      <c r="A474" s="46" t="n"/>
      <c r="B474" s="47" t="n"/>
      <c r="C474" s="50">
        <f>IFERROR(INDEX(الموظفون_الاسم,MATCH($B474,الموظفون_الرقم,0)),"")</f>
        <v/>
      </c>
      <c r="D474" s="47" t="n"/>
      <c r="E474" s="112" t="n"/>
      <c r="F474" s="112" t="n"/>
      <c r="G474" s="112" t="n"/>
      <c r="H474" s="51">
        <f>IF(OR($F474="",$G474=""),"",MAX(0,$G474-$F474+1))</f>
        <v/>
      </c>
      <c r="I474" s="51">
        <f>IF($B474="","",IFERROR(INDEX(الموظفون_الافتتاحي,MATCH($B474,الموظفون_الرقم,0)),0)+IF($D474&lt;&gt;"سنوية",0,IFERROR(DATEDIF(بداية_احتساب_الرصيد,TODAY(),"M"),0)*معدل_الاستحقاق_الشهري)-SUMIFS($J$3:$J$502,$B$3:$B$502,$B474,$D$3:$D$502,"سنوية",$L$3:$L$502,"معتمد",$A$3:$A$502,"&lt;"&amp;$A474))</f>
        <v/>
      </c>
      <c r="J474" s="51">
        <f>IF($L474="معتمد",$H474,0)</f>
        <v/>
      </c>
      <c r="K474" s="51">
        <f>IF($B474="","",$I474-$J474)</f>
        <v/>
      </c>
      <c r="L474" s="47" t="n"/>
      <c r="M474" s="47" t="n"/>
      <c r="N474" s="112" t="n"/>
      <c r="O474" s="47" t="n"/>
    </row>
    <row r="475">
      <c r="A475" s="39" t="n"/>
      <c r="B475" s="40" t="n"/>
      <c r="C475" s="43">
        <f>IFERROR(INDEX(الموظفون_الاسم,MATCH($B475,الموظفون_الرقم,0)),"")</f>
        <v/>
      </c>
      <c r="D475" s="40" t="n"/>
      <c r="E475" s="110" t="n"/>
      <c r="F475" s="110" t="n"/>
      <c r="G475" s="110" t="n"/>
      <c r="H475" s="44">
        <f>IF(OR($F475="",$G475=""),"",MAX(0,$G475-$F475+1))</f>
        <v/>
      </c>
      <c r="I475" s="44">
        <f>IF($B475="","",IFERROR(INDEX(الموظفون_الافتتاحي,MATCH($B475,الموظفون_الرقم,0)),0)+IF($D475&lt;&gt;"سنوية",0,IFERROR(DATEDIF(بداية_احتساب_الرصيد,TODAY(),"M"),0)*معدل_الاستحقاق_الشهري)-SUMIFS($J$3:$J$502,$B$3:$B$502,$B475,$D$3:$D$502,"سنوية",$L$3:$L$502,"معتمد",$A$3:$A$502,"&lt;"&amp;$A475))</f>
        <v/>
      </c>
      <c r="J475" s="44">
        <f>IF($L475="معتمد",$H475,0)</f>
        <v/>
      </c>
      <c r="K475" s="44">
        <f>IF($B475="","",$I475-$J475)</f>
        <v/>
      </c>
      <c r="L475" s="40" t="n"/>
      <c r="M475" s="40" t="n"/>
      <c r="N475" s="110" t="n"/>
      <c r="O475" s="40" t="n"/>
    </row>
    <row r="476">
      <c r="A476" s="46" t="n"/>
      <c r="B476" s="47" t="n"/>
      <c r="C476" s="50">
        <f>IFERROR(INDEX(الموظفون_الاسم,MATCH($B476,الموظفون_الرقم,0)),"")</f>
        <v/>
      </c>
      <c r="D476" s="47" t="n"/>
      <c r="E476" s="112" t="n"/>
      <c r="F476" s="112" t="n"/>
      <c r="G476" s="112" t="n"/>
      <c r="H476" s="51">
        <f>IF(OR($F476="",$G476=""),"",MAX(0,$G476-$F476+1))</f>
        <v/>
      </c>
      <c r="I476" s="51">
        <f>IF($B476="","",IFERROR(INDEX(الموظفون_الافتتاحي,MATCH($B476,الموظفون_الرقم,0)),0)+IF($D476&lt;&gt;"سنوية",0,IFERROR(DATEDIF(بداية_احتساب_الرصيد,TODAY(),"M"),0)*معدل_الاستحقاق_الشهري)-SUMIFS($J$3:$J$502,$B$3:$B$502,$B476,$D$3:$D$502,"سنوية",$L$3:$L$502,"معتمد",$A$3:$A$502,"&lt;"&amp;$A476))</f>
        <v/>
      </c>
      <c r="J476" s="51">
        <f>IF($L476="معتمد",$H476,0)</f>
        <v/>
      </c>
      <c r="K476" s="51">
        <f>IF($B476="","",$I476-$J476)</f>
        <v/>
      </c>
      <c r="L476" s="47" t="n"/>
      <c r="M476" s="47" t="n"/>
      <c r="N476" s="112" t="n"/>
      <c r="O476" s="47" t="n"/>
    </row>
    <row r="477">
      <c r="A477" s="39" t="n"/>
      <c r="B477" s="40" t="n"/>
      <c r="C477" s="43">
        <f>IFERROR(INDEX(الموظفون_الاسم,MATCH($B477,الموظفون_الرقم,0)),"")</f>
        <v/>
      </c>
      <c r="D477" s="40" t="n"/>
      <c r="E477" s="110" t="n"/>
      <c r="F477" s="110" t="n"/>
      <c r="G477" s="110" t="n"/>
      <c r="H477" s="44">
        <f>IF(OR($F477="",$G477=""),"",MAX(0,$G477-$F477+1))</f>
        <v/>
      </c>
      <c r="I477" s="44">
        <f>IF($B477="","",IFERROR(INDEX(الموظفون_الافتتاحي,MATCH($B477,الموظفون_الرقم,0)),0)+IF($D477&lt;&gt;"سنوية",0,IFERROR(DATEDIF(بداية_احتساب_الرصيد,TODAY(),"M"),0)*معدل_الاستحقاق_الشهري)-SUMIFS($J$3:$J$502,$B$3:$B$502,$B477,$D$3:$D$502,"سنوية",$L$3:$L$502,"معتمد",$A$3:$A$502,"&lt;"&amp;$A477))</f>
        <v/>
      </c>
      <c r="J477" s="44">
        <f>IF($L477="معتمد",$H477,0)</f>
        <v/>
      </c>
      <c r="K477" s="44">
        <f>IF($B477="","",$I477-$J477)</f>
        <v/>
      </c>
      <c r="L477" s="40" t="n"/>
      <c r="M477" s="40" t="n"/>
      <c r="N477" s="110" t="n"/>
      <c r="O477" s="40" t="n"/>
    </row>
    <row r="478">
      <c r="A478" s="46" t="n"/>
      <c r="B478" s="47" t="n"/>
      <c r="C478" s="50">
        <f>IFERROR(INDEX(الموظفون_الاسم,MATCH($B478,الموظفون_الرقم,0)),"")</f>
        <v/>
      </c>
      <c r="D478" s="47" t="n"/>
      <c r="E478" s="112" t="n"/>
      <c r="F478" s="112" t="n"/>
      <c r="G478" s="112" t="n"/>
      <c r="H478" s="51">
        <f>IF(OR($F478="",$G478=""),"",MAX(0,$G478-$F478+1))</f>
        <v/>
      </c>
      <c r="I478" s="51">
        <f>IF($B478="","",IFERROR(INDEX(الموظفون_الافتتاحي,MATCH($B478,الموظفون_الرقم,0)),0)+IF($D478&lt;&gt;"سنوية",0,IFERROR(DATEDIF(بداية_احتساب_الرصيد,TODAY(),"M"),0)*معدل_الاستحقاق_الشهري)-SUMIFS($J$3:$J$502,$B$3:$B$502,$B478,$D$3:$D$502,"سنوية",$L$3:$L$502,"معتمد",$A$3:$A$502,"&lt;"&amp;$A478))</f>
        <v/>
      </c>
      <c r="J478" s="51">
        <f>IF($L478="معتمد",$H478,0)</f>
        <v/>
      </c>
      <c r="K478" s="51">
        <f>IF($B478="","",$I478-$J478)</f>
        <v/>
      </c>
      <c r="L478" s="47" t="n"/>
      <c r="M478" s="47" t="n"/>
      <c r="N478" s="112" t="n"/>
      <c r="O478" s="47" t="n"/>
    </row>
    <row r="479">
      <c r="A479" s="39" t="n"/>
      <c r="B479" s="40" t="n"/>
      <c r="C479" s="43">
        <f>IFERROR(INDEX(الموظفون_الاسم,MATCH($B479,الموظفون_الرقم,0)),"")</f>
        <v/>
      </c>
      <c r="D479" s="40" t="n"/>
      <c r="E479" s="110" t="n"/>
      <c r="F479" s="110" t="n"/>
      <c r="G479" s="110" t="n"/>
      <c r="H479" s="44">
        <f>IF(OR($F479="",$G479=""),"",MAX(0,$G479-$F479+1))</f>
        <v/>
      </c>
      <c r="I479" s="44">
        <f>IF($B479="","",IFERROR(INDEX(الموظفون_الافتتاحي,MATCH($B479,الموظفون_الرقم,0)),0)+IF($D479&lt;&gt;"سنوية",0,IFERROR(DATEDIF(بداية_احتساب_الرصيد,TODAY(),"M"),0)*معدل_الاستحقاق_الشهري)-SUMIFS($J$3:$J$502,$B$3:$B$502,$B479,$D$3:$D$502,"سنوية",$L$3:$L$502,"معتمد",$A$3:$A$502,"&lt;"&amp;$A479))</f>
        <v/>
      </c>
      <c r="J479" s="44">
        <f>IF($L479="معتمد",$H479,0)</f>
        <v/>
      </c>
      <c r="K479" s="44">
        <f>IF($B479="","",$I479-$J479)</f>
        <v/>
      </c>
      <c r="L479" s="40" t="n"/>
      <c r="M479" s="40" t="n"/>
      <c r="N479" s="110" t="n"/>
      <c r="O479" s="40" t="n"/>
    </row>
    <row r="480">
      <c r="A480" s="46" t="n"/>
      <c r="B480" s="47" t="n"/>
      <c r="C480" s="50">
        <f>IFERROR(INDEX(الموظفون_الاسم,MATCH($B480,الموظفون_الرقم,0)),"")</f>
        <v/>
      </c>
      <c r="D480" s="47" t="n"/>
      <c r="E480" s="112" t="n"/>
      <c r="F480" s="112" t="n"/>
      <c r="G480" s="112" t="n"/>
      <c r="H480" s="51">
        <f>IF(OR($F480="",$G480=""),"",MAX(0,$G480-$F480+1))</f>
        <v/>
      </c>
      <c r="I480" s="51">
        <f>IF($B480="","",IFERROR(INDEX(الموظفون_الافتتاحي,MATCH($B480,الموظفون_الرقم,0)),0)+IF($D480&lt;&gt;"سنوية",0,IFERROR(DATEDIF(بداية_احتساب_الرصيد,TODAY(),"M"),0)*معدل_الاستحقاق_الشهري)-SUMIFS($J$3:$J$502,$B$3:$B$502,$B480,$D$3:$D$502,"سنوية",$L$3:$L$502,"معتمد",$A$3:$A$502,"&lt;"&amp;$A480))</f>
        <v/>
      </c>
      <c r="J480" s="51">
        <f>IF($L480="معتمد",$H480,0)</f>
        <v/>
      </c>
      <c r="K480" s="51">
        <f>IF($B480="","",$I480-$J480)</f>
        <v/>
      </c>
      <c r="L480" s="47" t="n"/>
      <c r="M480" s="47" t="n"/>
      <c r="N480" s="112" t="n"/>
      <c r="O480" s="47" t="n"/>
    </row>
    <row r="481">
      <c r="A481" s="39" t="n"/>
      <c r="B481" s="40" t="n"/>
      <c r="C481" s="43">
        <f>IFERROR(INDEX(الموظفون_الاسم,MATCH($B481,الموظفون_الرقم,0)),"")</f>
        <v/>
      </c>
      <c r="D481" s="40" t="n"/>
      <c r="E481" s="110" t="n"/>
      <c r="F481" s="110" t="n"/>
      <c r="G481" s="110" t="n"/>
      <c r="H481" s="44">
        <f>IF(OR($F481="",$G481=""),"",MAX(0,$G481-$F481+1))</f>
        <v/>
      </c>
      <c r="I481" s="44">
        <f>IF($B481="","",IFERROR(INDEX(الموظفون_الافتتاحي,MATCH($B481,الموظفون_الرقم,0)),0)+IF($D481&lt;&gt;"سنوية",0,IFERROR(DATEDIF(بداية_احتساب_الرصيد,TODAY(),"M"),0)*معدل_الاستحقاق_الشهري)-SUMIFS($J$3:$J$502,$B$3:$B$502,$B481,$D$3:$D$502,"سنوية",$L$3:$L$502,"معتمد",$A$3:$A$502,"&lt;"&amp;$A481))</f>
        <v/>
      </c>
      <c r="J481" s="44">
        <f>IF($L481="معتمد",$H481,0)</f>
        <v/>
      </c>
      <c r="K481" s="44">
        <f>IF($B481="","",$I481-$J481)</f>
        <v/>
      </c>
      <c r="L481" s="40" t="n"/>
      <c r="M481" s="40" t="n"/>
      <c r="N481" s="110" t="n"/>
      <c r="O481" s="40" t="n"/>
    </row>
    <row r="482">
      <c r="A482" s="46" t="n"/>
      <c r="B482" s="47" t="n"/>
      <c r="C482" s="50">
        <f>IFERROR(INDEX(الموظفون_الاسم,MATCH($B482,الموظفون_الرقم,0)),"")</f>
        <v/>
      </c>
      <c r="D482" s="47" t="n"/>
      <c r="E482" s="112" t="n"/>
      <c r="F482" s="112" t="n"/>
      <c r="G482" s="112" t="n"/>
      <c r="H482" s="51">
        <f>IF(OR($F482="",$G482=""),"",MAX(0,$G482-$F482+1))</f>
        <v/>
      </c>
      <c r="I482" s="51">
        <f>IF($B482="","",IFERROR(INDEX(الموظفون_الافتتاحي,MATCH($B482,الموظفون_الرقم,0)),0)+IF($D482&lt;&gt;"سنوية",0,IFERROR(DATEDIF(بداية_احتساب_الرصيد,TODAY(),"M"),0)*معدل_الاستحقاق_الشهري)-SUMIFS($J$3:$J$502,$B$3:$B$502,$B482,$D$3:$D$502,"سنوية",$L$3:$L$502,"معتمد",$A$3:$A$502,"&lt;"&amp;$A482))</f>
        <v/>
      </c>
      <c r="J482" s="51">
        <f>IF($L482="معتمد",$H482,0)</f>
        <v/>
      </c>
      <c r="K482" s="51">
        <f>IF($B482="","",$I482-$J482)</f>
        <v/>
      </c>
      <c r="L482" s="47" t="n"/>
      <c r="M482" s="47" t="n"/>
      <c r="N482" s="112" t="n"/>
      <c r="O482" s="47" t="n"/>
    </row>
    <row r="483">
      <c r="A483" s="39" t="n"/>
      <c r="B483" s="40" t="n"/>
      <c r="C483" s="43">
        <f>IFERROR(INDEX(الموظفون_الاسم,MATCH($B483,الموظفون_الرقم,0)),"")</f>
        <v/>
      </c>
      <c r="D483" s="40" t="n"/>
      <c r="E483" s="110" t="n"/>
      <c r="F483" s="110" t="n"/>
      <c r="G483" s="110" t="n"/>
      <c r="H483" s="44">
        <f>IF(OR($F483="",$G483=""),"",MAX(0,$G483-$F483+1))</f>
        <v/>
      </c>
      <c r="I483" s="44">
        <f>IF($B483="","",IFERROR(INDEX(الموظفون_الافتتاحي,MATCH($B483,الموظفون_الرقم,0)),0)+IF($D483&lt;&gt;"سنوية",0,IFERROR(DATEDIF(بداية_احتساب_الرصيد,TODAY(),"M"),0)*معدل_الاستحقاق_الشهري)-SUMIFS($J$3:$J$502,$B$3:$B$502,$B483,$D$3:$D$502,"سنوية",$L$3:$L$502,"معتمد",$A$3:$A$502,"&lt;"&amp;$A483))</f>
        <v/>
      </c>
      <c r="J483" s="44">
        <f>IF($L483="معتمد",$H483,0)</f>
        <v/>
      </c>
      <c r="K483" s="44">
        <f>IF($B483="","",$I483-$J483)</f>
        <v/>
      </c>
      <c r="L483" s="40" t="n"/>
      <c r="M483" s="40" t="n"/>
      <c r="N483" s="110" t="n"/>
      <c r="O483" s="40" t="n"/>
    </row>
    <row r="484">
      <c r="A484" s="46" t="n"/>
      <c r="B484" s="47" t="n"/>
      <c r="C484" s="50">
        <f>IFERROR(INDEX(الموظفون_الاسم,MATCH($B484,الموظفون_الرقم,0)),"")</f>
        <v/>
      </c>
      <c r="D484" s="47" t="n"/>
      <c r="E484" s="112" t="n"/>
      <c r="F484" s="112" t="n"/>
      <c r="G484" s="112" t="n"/>
      <c r="H484" s="51">
        <f>IF(OR($F484="",$G484=""),"",MAX(0,$G484-$F484+1))</f>
        <v/>
      </c>
      <c r="I484" s="51">
        <f>IF($B484="","",IFERROR(INDEX(الموظفون_الافتتاحي,MATCH($B484,الموظفون_الرقم,0)),0)+IF($D484&lt;&gt;"سنوية",0,IFERROR(DATEDIF(بداية_احتساب_الرصيد,TODAY(),"M"),0)*معدل_الاستحقاق_الشهري)-SUMIFS($J$3:$J$502,$B$3:$B$502,$B484,$D$3:$D$502,"سنوية",$L$3:$L$502,"معتمد",$A$3:$A$502,"&lt;"&amp;$A484))</f>
        <v/>
      </c>
      <c r="J484" s="51">
        <f>IF($L484="معتمد",$H484,0)</f>
        <v/>
      </c>
      <c r="K484" s="51">
        <f>IF($B484="","",$I484-$J484)</f>
        <v/>
      </c>
      <c r="L484" s="47" t="n"/>
      <c r="M484" s="47" t="n"/>
      <c r="N484" s="112" t="n"/>
      <c r="O484" s="47" t="n"/>
    </row>
    <row r="485">
      <c r="A485" s="39" t="n"/>
      <c r="B485" s="40" t="n"/>
      <c r="C485" s="43">
        <f>IFERROR(INDEX(الموظفون_الاسم,MATCH($B485,الموظفون_الرقم,0)),"")</f>
        <v/>
      </c>
      <c r="D485" s="40" t="n"/>
      <c r="E485" s="110" t="n"/>
      <c r="F485" s="110" t="n"/>
      <c r="G485" s="110" t="n"/>
      <c r="H485" s="44">
        <f>IF(OR($F485="",$G485=""),"",MAX(0,$G485-$F485+1))</f>
        <v/>
      </c>
      <c r="I485" s="44">
        <f>IF($B485="","",IFERROR(INDEX(الموظفون_الافتتاحي,MATCH($B485,الموظفون_الرقم,0)),0)+IF($D485&lt;&gt;"سنوية",0,IFERROR(DATEDIF(بداية_احتساب_الرصيد,TODAY(),"M"),0)*معدل_الاستحقاق_الشهري)-SUMIFS($J$3:$J$502,$B$3:$B$502,$B485,$D$3:$D$502,"سنوية",$L$3:$L$502,"معتمد",$A$3:$A$502,"&lt;"&amp;$A485))</f>
        <v/>
      </c>
      <c r="J485" s="44">
        <f>IF($L485="معتمد",$H485,0)</f>
        <v/>
      </c>
      <c r="K485" s="44">
        <f>IF($B485="","",$I485-$J485)</f>
        <v/>
      </c>
      <c r="L485" s="40" t="n"/>
      <c r="M485" s="40" t="n"/>
      <c r="N485" s="110" t="n"/>
      <c r="O485" s="40" t="n"/>
    </row>
    <row r="486">
      <c r="A486" s="46" t="n"/>
      <c r="B486" s="47" t="n"/>
      <c r="C486" s="50">
        <f>IFERROR(INDEX(الموظفون_الاسم,MATCH($B486,الموظفون_الرقم,0)),"")</f>
        <v/>
      </c>
      <c r="D486" s="47" t="n"/>
      <c r="E486" s="112" t="n"/>
      <c r="F486" s="112" t="n"/>
      <c r="G486" s="112" t="n"/>
      <c r="H486" s="51">
        <f>IF(OR($F486="",$G486=""),"",MAX(0,$G486-$F486+1))</f>
        <v/>
      </c>
      <c r="I486" s="51">
        <f>IF($B486="","",IFERROR(INDEX(الموظفون_الافتتاحي,MATCH($B486,الموظفون_الرقم,0)),0)+IF($D486&lt;&gt;"سنوية",0,IFERROR(DATEDIF(بداية_احتساب_الرصيد,TODAY(),"M"),0)*معدل_الاستحقاق_الشهري)-SUMIFS($J$3:$J$502,$B$3:$B$502,$B486,$D$3:$D$502,"سنوية",$L$3:$L$502,"معتمد",$A$3:$A$502,"&lt;"&amp;$A486))</f>
        <v/>
      </c>
      <c r="J486" s="51">
        <f>IF($L486="معتمد",$H486,0)</f>
        <v/>
      </c>
      <c r="K486" s="51">
        <f>IF($B486="","",$I486-$J486)</f>
        <v/>
      </c>
      <c r="L486" s="47" t="n"/>
      <c r="M486" s="47" t="n"/>
      <c r="N486" s="112" t="n"/>
      <c r="O486" s="47" t="n"/>
    </row>
    <row r="487">
      <c r="A487" s="39" t="n"/>
      <c r="B487" s="40" t="n"/>
      <c r="C487" s="43">
        <f>IFERROR(INDEX(الموظفون_الاسم,MATCH($B487,الموظفون_الرقم,0)),"")</f>
        <v/>
      </c>
      <c r="D487" s="40" t="n"/>
      <c r="E487" s="110" t="n"/>
      <c r="F487" s="110" t="n"/>
      <c r="G487" s="110" t="n"/>
      <c r="H487" s="44">
        <f>IF(OR($F487="",$G487=""),"",MAX(0,$G487-$F487+1))</f>
        <v/>
      </c>
      <c r="I487" s="44">
        <f>IF($B487="","",IFERROR(INDEX(الموظفون_الافتتاحي,MATCH($B487,الموظفون_الرقم,0)),0)+IF($D487&lt;&gt;"سنوية",0,IFERROR(DATEDIF(بداية_احتساب_الرصيد,TODAY(),"M"),0)*معدل_الاستحقاق_الشهري)-SUMIFS($J$3:$J$502,$B$3:$B$502,$B487,$D$3:$D$502,"سنوية",$L$3:$L$502,"معتمد",$A$3:$A$502,"&lt;"&amp;$A487))</f>
        <v/>
      </c>
      <c r="J487" s="44">
        <f>IF($L487="معتمد",$H487,0)</f>
        <v/>
      </c>
      <c r="K487" s="44">
        <f>IF($B487="","",$I487-$J487)</f>
        <v/>
      </c>
      <c r="L487" s="40" t="n"/>
      <c r="M487" s="40" t="n"/>
      <c r="N487" s="110" t="n"/>
      <c r="O487" s="40" t="n"/>
    </row>
    <row r="488">
      <c r="A488" s="46" t="n"/>
      <c r="B488" s="47" t="n"/>
      <c r="C488" s="50">
        <f>IFERROR(INDEX(الموظفون_الاسم,MATCH($B488,الموظفون_الرقم,0)),"")</f>
        <v/>
      </c>
      <c r="D488" s="47" t="n"/>
      <c r="E488" s="112" t="n"/>
      <c r="F488" s="112" t="n"/>
      <c r="G488" s="112" t="n"/>
      <c r="H488" s="51">
        <f>IF(OR($F488="",$G488=""),"",MAX(0,$G488-$F488+1))</f>
        <v/>
      </c>
      <c r="I488" s="51">
        <f>IF($B488="","",IFERROR(INDEX(الموظفون_الافتتاحي,MATCH($B488,الموظفون_الرقم,0)),0)+IF($D488&lt;&gt;"سنوية",0,IFERROR(DATEDIF(بداية_احتساب_الرصيد,TODAY(),"M"),0)*معدل_الاستحقاق_الشهري)-SUMIFS($J$3:$J$502,$B$3:$B$502,$B488,$D$3:$D$502,"سنوية",$L$3:$L$502,"معتمد",$A$3:$A$502,"&lt;"&amp;$A488))</f>
        <v/>
      </c>
      <c r="J488" s="51">
        <f>IF($L488="معتمد",$H488,0)</f>
        <v/>
      </c>
      <c r="K488" s="51">
        <f>IF($B488="","",$I488-$J488)</f>
        <v/>
      </c>
      <c r="L488" s="47" t="n"/>
      <c r="M488" s="47" t="n"/>
      <c r="N488" s="112" t="n"/>
      <c r="O488" s="47" t="n"/>
    </row>
    <row r="489">
      <c r="A489" s="39" t="n"/>
      <c r="B489" s="40" t="n"/>
      <c r="C489" s="43">
        <f>IFERROR(INDEX(الموظفون_الاسم,MATCH($B489,الموظفون_الرقم,0)),"")</f>
        <v/>
      </c>
      <c r="D489" s="40" t="n"/>
      <c r="E489" s="110" t="n"/>
      <c r="F489" s="110" t="n"/>
      <c r="G489" s="110" t="n"/>
      <c r="H489" s="44">
        <f>IF(OR($F489="",$G489=""),"",MAX(0,$G489-$F489+1))</f>
        <v/>
      </c>
      <c r="I489" s="44">
        <f>IF($B489="","",IFERROR(INDEX(الموظفون_الافتتاحي,MATCH($B489,الموظفون_الرقم,0)),0)+IF($D489&lt;&gt;"سنوية",0,IFERROR(DATEDIF(بداية_احتساب_الرصيد,TODAY(),"M"),0)*معدل_الاستحقاق_الشهري)-SUMIFS($J$3:$J$502,$B$3:$B$502,$B489,$D$3:$D$502,"سنوية",$L$3:$L$502,"معتمد",$A$3:$A$502,"&lt;"&amp;$A489))</f>
        <v/>
      </c>
      <c r="J489" s="44">
        <f>IF($L489="معتمد",$H489,0)</f>
        <v/>
      </c>
      <c r="K489" s="44">
        <f>IF($B489="","",$I489-$J489)</f>
        <v/>
      </c>
      <c r="L489" s="40" t="n"/>
      <c r="M489" s="40" t="n"/>
      <c r="N489" s="110" t="n"/>
      <c r="O489" s="40" t="n"/>
    </row>
    <row r="490">
      <c r="A490" s="46" t="n"/>
      <c r="B490" s="47" t="n"/>
      <c r="C490" s="50">
        <f>IFERROR(INDEX(الموظفون_الاسم,MATCH($B490,الموظفون_الرقم,0)),"")</f>
        <v/>
      </c>
      <c r="D490" s="47" t="n"/>
      <c r="E490" s="112" t="n"/>
      <c r="F490" s="112" t="n"/>
      <c r="G490" s="112" t="n"/>
      <c r="H490" s="51">
        <f>IF(OR($F490="",$G490=""),"",MAX(0,$G490-$F490+1))</f>
        <v/>
      </c>
      <c r="I490" s="51">
        <f>IF($B490="","",IFERROR(INDEX(الموظفون_الافتتاحي,MATCH($B490,الموظفون_الرقم,0)),0)+IF($D490&lt;&gt;"سنوية",0,IFERROR(DATEDIF(بداية_احتساب_الرصيد,TODAY(),"M"),0)*معدل_الاستحقاق_الشهري)-SUMIFS($J$3:$J$502,$B$3:$B$502,$B490,$D$3:$D$502,"سنوية",$L$3:$L$502,"معتمد",$A$3:$A$502,"&lt;"&amp;$A490))</f>
        <v/>
      </c>
      <c r="J490" s="51">
        <f>IF($L490="معتمد",$H490,0)</f>
        <v/>
      </c>
      <c r="K490" s="51">
        <f>IF($B490="","",$I490-$J490)</f>
        <v/>
      </c>
      <c r="L490" s="47" t="n"/>
      <c r="M490" s="47" t="n"/>
      <c r="N490" s="112" t="n"/>
      <c r="O490" s="47" t="n"/>
    </row>
    <row r="491">
      <c r="A491" s="39" t="n"/>
      <c r="B491" s="40" t="n"/>
      <c r="C491" s="43">
        <f>IFERROR(INDEX(الموظفون_الاسم,MATCH($B491,الموظفون_الرقم,0)),"")</f>
        <v/>
      </c>
      <c r="D491" s="40" t="n"/>
      <c r="E491" s="110" t="n"/>
      <c r="F491" s="110" t="n"/>
      <c r="G491" s="110" t="n"/>
      <c r="H491" s="44">
        <f>IF(OR($F491="",$G491=""),"",MAX(0,$G491-$F491+1))</f>
        <v/>
      </c>
      <c r="I491" s="44">
        <f>IF($B491="","",IFERROR(INDEX(الموظفون_الافتتاحي,MATCH($B491,الموظفون_الرقم,0)),0)+IF($D491&lt;&gt;"سنوية",0,IFERROR(DATEDIF(بداية_احتساب_الرصيد,TODAY(),"M"),0)*معدل_الاستحقاق_الشهري)-SUMIFS($J$3:$J$502,$B$3:$B$502,$B491,$D$3:$D$502,"سنوية",$L$3:$L$502,"معتمد",$A$3:$A$502,"&lt;"&amp;$A491))</f>
        <v/>
      </c>
      <c r="J491" s="44">
        <f>IF($L491="معتمد",$H491,0)</f>
        <v/>
      </c>
      <c r="K491" s="44">
        <f>IF($B491="","",$I491-$J491)</f>
        <v/>
      </c>
      <c r="L491" s="40" t="n"/>
      <c r="M491" s="40" t="n"/>
      <c r="N491" s="110" t="n"/>
      <c r="O491" s="40" t="n"/>
    </row>
    <row r="492">
      <c r="A492" s="46" t="n"/>
      <c r="B492" s="47" t="n"/>
      <c r="C492" s="50">
        <f>IFERROR(INDEX(الموظفون_الاسم,MATCH($B492,الموظفون_الرقم,0)),"")</f>
        <v/>
      </c>
      <c r="D492" s="47" t="n"/>
      <c r="E492" s="112" t="n"/>
      <c r="F492" s="112" t="n"/>
      <c r="G492" s="112" t="n"/>
      <c r="H492" s="51">
        <f>IF(OR($F492="",$G492=""),"",MAX(0,$G492-$F492+1))</f>
        <v/>
      </c>
      <c r="I492" s="51">
        <f>IF($B492="","",IFERROR(INDEX(الموظفون_الافتتاحي,MATCH($B492,الموظفون_الرقم,0)),0)+IF($D492&lt;&gt;"سنوية",0,IFERROR(DATEDIF(بداية_احتساب_الرصيد,TODAY(),"M"),0)*معدل_الاستحقاق_الشهري)-SUMIFS($J$3:$J$502,$B$3:$B$502,$B492,$D$3:$D$502,"سنوية",$L$3:$L$502,"معتمد",$A$3:$A$502,"&lt;"&amp;$A492))</f>
        <v/>
      </c>
      <c r="J492" s="51">
        <f>IF($L492="معتمد",$H492,0)</f>
        <v/>
      </c>
      <c r="K492" s="51">
        <f>IF($B492="","",$I492-$J492)</f>
        <v/>
      </c>
      <c r="L492" s="47" t="n"/>
      <c r="M492" s="47" t="n"/>
      <c r="N492" s="112" t="n"/>
      <c r="O492" s="47" t="n"/>
    </row>
    <row r="493">
      <c r="A493" s="39" t="n"/>
      <c r="B493" s="40" t="n"/>
      <c r="C493" s="43">
        <f>IFERROR(INDEX(الموظفون_الاسم,MATCH($B493,الموظفون_الرقم,0)),"")</f>
        <v/>
      </c>
      <c r="D493" s="40" t="n"/>
      <c r="E493" s="110" t="n"/>
      <c r="F493" s="110" t="n"/>
      <c r="G493" s="110" t="n"/>
      <c r="H493" s="44">
        <f>IF(OR($F493="",$G493=""),"",MAX(0,$G493-$F493+1))</f>
        <v/>
      </c>
      <c r="I493" s="44">
        <f>IF($B493="","",IFERROR(INDEX(الموظفون_الافتتاحي,MATCH($B493,الموظفون_الرقم,0)),0)+IF($D493&lt;&gt;"سنوية",0,IFERROR(DATEDIF(بداية_احتساب_الرصيد,TODAY(),"M"),0)*معدل_الاستحقاق_الشهري)-SUMIFS($J$3:$J$502,$B$3:$B$502,$B493,$D$3:$D$502,"سنوية",$L$3:$L$502,"معتمد",$A$3:$A$502,"&lt;"&amp;$A493))</f>
        <v/>
      </c>
      <c r="J493" s="44">
        <f>IF($L493="معتمد",$H493,0)</f>
        <v/>
      </c>
      <c r="K493" s="44">
        <f>IF($B493="","",$I493-$J493)</f>
        <v/>
      </c>
      <c r="L493" s="40" t="n"/>
      <c r="M493" s="40" t="n"/>
      <c r="N493" s="110" t="n"/>
      <c r="O493" s="40" t="n"/>
    </row>
    <row r="494">
      <c r="A494" s="46" t="n"/>
      <c r="B494" s="47" t="n"/>
      <c r="C494" s="50">
        <f>IFERROR(INDEX(الموظفون_الاسم,MATCH($B494,الموظفون_الرقم,0)),"")</f>
        <v/>
      </c>
      <c r="D494" s="47" t="n"/>
      <c r="E494" s="112" t="n"/>
      <c r="F494" s="112" t="n"/>
      <c r="G494" s="112" t="n"/>
      <c r="H494" s="51">
        <f>IF(OR($F494="",$G494=""),"",MAX(0,$G494-$F494+1))</f>
        <v/>
      </c>
      <c r="I494" s="51">
        <f>IF($B494="","",IFERROR(INDEX(الموظفون_الافتتاحي,MATCH($B494,الموظفون_الرقم,0)),0)+IF($D494&lt;&gt;"سنوية",0,IFERROR(DATEDIF(بداية_احتساب_الرصيد,TODAY(),"M"),0)*معدل_الاستحقاق_الشهري)-SUMIFS($J$3:$J$502,$B$3:$B$502,$B494,$D$3:$D$502,"سنوية",$L$3:$L$502,"معتمد",$A$3:$A$502,"&lt;"&amp;$A494))</f>
        <v/>
      </c>
      <c r="J494" s="51">
        <f>IF($L494="معتمد",$H494,0)</f>
        <v/>
      </c>
      <c r="K494" s="51">
        <f>IF($B494="","",$I494-$J494)</f>
        <v/>
      </c>
      <c r="L494" s="47" t="n"/>
      <c r="M494" s="47" t="n"/>
      <c r="N494" s="112" t="n"/>
      <c r="O494" s="47" t="n"/>
    </row>
    <row r="495">
      <c r="A495" s="39" t="n"/>
      <c r="B495" s="40" t="n"/>
      <c r="C495" s="43">
        <f>IFERROR(INDEX(الموظفون_الاسم,MATCH($B495,الموظفون_الرقم,0)),"")</f>
        <v/>
      </c>
      <c r="D495" s="40" t="n"/>
      <c r="E495" s="110" t="n"/>
      <c r="F495" s="110" t="n"/>
      <c r="G495" s="110" t="n"/>
      <c r="H495" s="44">
        <f>IF(OR($F495="",$G495=""),"",MAX(0,$G495-$F495+1))</f>
        <v/>
      </c>
      <c r="I495" s="44">
        <f>IF($B495="","",IFERROR(INDEX(الموظفون_الافتتاحي,MATCH($B495,الموظفون_الرقم,0)),0)+IF($D495&lt;&gt;"سنوية",0,IFERROR(DATEDIF(بداية_احتساب_الرصيد,TODAY(),"M"),0)*معدل_الاستحقاق_الشهري)-SUMIFS($J$3:$J$502,$B$3:$B$502,$B495,$D$3:$D$502,"سنوية",$L$3:$L$502,"معتمد",$A$3:$A$502,"&lt;"&amp;$A495))</f>
        <v/>
      </c>
      <c r="J495" s="44">
        <f>IF($L495="معتمد",$H495,0)</f>
        <v/>
      </c>
      <c r="K495" s="44">
        <f>IF($B495="","",$I495-$J495)</f>
        <v/>
      </c>
      <c r="L495" s="40" t="n"/>
      <c r="M495" s="40" t="n"/>
      <c r="N495" s="110" t="n"/>
      <c r="O495" s="40" t="n"/>
    </row>
    <row r="496">
      <c r="A496" s="46" t="n"/>
      <c r="B496" s="47" t="n"/>
      <c r="C496" s="50">
        <f>IFERROR(INDEX(الموظفون_الاسم,MATCH($B496,الموظفون_الرقم,0)),"")</f>
        <v/>
      </c>
      <c r="D496" s="47" t="n"/>
      <c r="E496" s="112" t="n"/>
      <c r="F496" s="112" t="n"/>
      <c r="G496" s="112" t="n"/>
      <c r="H496" s="51">
        <f>IF(OR($F496="",$G496=""),"",MAX(0,$G496-$F496+1))</f>
        <v/>
      </c>
      <c r="I496" s="51">
        <f>IF($B496="","",IFERROR(INDEX(الموظفون_الافتتاحي,MATCH($B496,الموظفون_الرقم,0)),0)+IF($D496&lt;&gt;"سنوية",0,IFERROR(DATEDIF(بداية_احتساب_الرصيد,TODAY(),"M"),0)*معدل_الاستحقاق_الشهري)-SUMIFS($J$3:$J$502,$B$3:$B$502,$B496,$D$3:$D$502,"سنوية",$L$3:$L$502,"معتمد",$A$3:$A$502,"&lt;"&amp;$A496))</f>
        <v/>
      </c>
      <c r="J496" s="51">
        <f>IF($L496="معتمد",$H496,0)</f>
        <v/>
      </c>
      <c r="K496" s="51">
        <f>IF($B496="","",$I496-$J496)</f>
        <v/>
      </c>
      <c r="L496" s="47" t="n"/>
      <c r="M496" s="47" t="n"/>
      <c r="N496" s="112" t="n"/>
      <c r="O496" s="47" t="n"/>
    </row>
    <row r="497">
      <c r="A497" s="39" t="n"/>
      <c r="B497" s="40" t="n"/>
      <c r="C497" s="43">
        <f>IFERROR(INDEX(الموظفون_الاسم,MATCH($B497,الموظفون_الرقم,0)),"")</f>
        <v/>
      </c>
      <c r="D497" s="40" t="n"/>
      <c r="E497" s="110" t="n"/>
      <c r="F497" s="110" t="n"/>
      <c r="G497" s="110" t="n"/>
      <c r="H497" s="44">
        <f>IF(OR($F497="",$G497=""),"",MAX(0,$G497-$F497+1))</f>
        <v/>
      </c>
      <c r="I497" s="44">
        <f>IF($B497="","",IFERROR(INDEX(الموظفون_الافتتاحي,MATCH($B497,الموظفون_الرقم,0)),0)+IF($D497&lt;&gt;"سنوية",0,IFERROR(DATEDIF(بداية_احتساب_الرصيد,TODAY(),"M"),0)*معدل_الاستحقاق_الشهري)-SUMIFS($J$3:$J$502,$B$3:$B$502,$B497,$D$3:$D$502,"سنوية",$L$3:$L$502,"معتمد",$A$3:$A$502,"&lt;"&amp;$A497))</f>
        <v/>
      </c>
      <c r="J497" s="44">
        <f>IF($L497="معتمد",$H497,0)</f>
        <v/>
      </c>
      <c r="K497" s="44">
        <f>IF($B497="","",$I497-$J497)</f>
        <v/>
      </c>
      <c r="L497" s="40" t="n"/>
      <c r="M497" s="40" t="n"/>
      <c r="N497" s="110" t="n"/>
      <c r="O497" s="40" t="n"/>
    </row>
    <row r="498">
      <c r="A498" s="46" t="n"/>
      <c r="B498" s="47" t="n"/>
      <c r="C498" s="50">
        <f>IFERROR(INDEX(الموظفون_الاسم,MATCH($B498,الموظفون_الرقم,0)),"")</f>
        <v/>
      </c>
      <c r="D498" s="47" t="n"/>
      <c r="E498" s="112" t="n"/>
      <c r="F498" s="112" t="n"/>
      <c r="G498" s="112" t="n"/>
      <c r="H498" s="51">
        <f>IF(OR($F498="",$G498=""),"",MAX(0,$G498-$F498+1))</f>
        <v/>
      </c>
      <c r="I498" s="51">
        <f>IF($B498="","",IFERROR(INDEX(الموظفون_الافتتاحي,MATCH($B498,الموظفون_الرقم,0)),0)+IF($D498&lt;&gt;"سنوية",0,IFERROR(DATEDIF(بداية_احتساب_الرصيد,TODAY(),"M"),0)*معدل_الاستحقاق_الشهري)-SUMIFS($J$3:$J$502,$B$3:$B$502,$B498,$D$3:$D$502,"سنوية",$L$3:$L$502,"معتمد",$A$3:$A$502,"&lt;"&amp;$A498))</f>
        <v/>
      </c>
      <c r="J498" s="51">
        <f>IF($L498="معتمد",$H498,0)</f>
        <v/>
      </c>
      <c r="K498" s="51">
        <f>IF($B498="","",$I498-$J498)</f>
        <v/>
      </c>
      <c r="L498" s="47" t="n"/>
      <c r="M498" s="47" t="n"/>
      <c r="N498" s="112" t="n"/>
      <c r="O498" s="47" t="n"/>
    </row>
    <row r="499">
      <c r="A499" s="39" t="n"/>
      <c r="B499" s="40" t="n"/>
      <c r="C499" s="43">
        <f>IFERROR(INDEX(الموظفون_الاسم,MATCH($B499,الموظفون_الرقم,0)),"")</f>
        <v/>
      </c>
      <c r="D499" s="40" t="n"/>
      <c r="E499" s="110" t="n"/>
      <c r="F499" s="110" t="n"/>
      <c r="G499" s="110" t="n"/>
      <c r="H499" s="44">
        <f>IF(OR($F499="",$G499=""),"",MAX(0,$G499-$F499+1))</f>
        <v/>
      </c>
      <c r="I499" s="44">
        <f>IF($B499="","",IFERROR(INDEX(الموظفون_الافتتاحي,MATCH($B499,الموظفون_الرقم,0)),0)+IF($D499&lt;&gt;"سنوية",0,IFERROR(DATEDIF(بداية_احتساب_الرصيد,TODAY(),"M"),0)*معدل_الاستحقاق_الشهري)-SUMIFS($J$3:$J$502,$B$3:$B$502,$B499,$D$3:$D$502,"سنوية",$L$3:$L$502,"معتمد",$A$3:$A$502,"&lt;"&amp;$A499))</f>
        <v/>
      </c>
      <c r="J499" s="44">
        <f>IF($L499="معتمد",$H499,0)</f>
        <v/>
      </c>
      <c r="K499" s="44">
        <f>IF($B499="","",$I499-$J499)</f>
        <v/>
      </c>
      <c r="L499" s="40" t="n"/>
      <c r="M499" s="40" t="n"/>
      <c r="N499" s="110" t="n"/>
      <c r="O499" s="40" t="n"/>
    </row>
    <row r="500">
      <c r="A500" s="46" t="n"/>
      <c r="B500" s="47" t="n"/>
      <c r="C500" s="50">
        <f>IFERROR(INDEX(الموظفون_الاسم,MATCH($B500,الموظفون_الرقم,0)),"")</f>
        <v/>
      </c>
      <c r="D500" s="47" t="n"/>
      <c r="E500" s="112" t="n"/>
      <c r="F500" s="112" t="n"/>
      <c r="G500" s="112" t="n"/>
      <c r="H500" s="51">
        <f>IF(OR($F500="",$G500=""),"",MAX(0,$G500-$F500+1))</f>
        <v/>
      </c>
      <c r="I500" s="51">
        <f>IF($B500="","",IFERROR(INDEX(الموظفون_الافتتاحي,MATCH($B500,الموظفون_الرقم,0)),0)+IF($D500&lt;&gt;"سنوية",0,IFERROR(DATEDIF(بداية_احتساب_الرصيد,TODAY(),"M"),0)*معدل_الاستحقاق_الشهري)-SUMIFS($J$3:$J$502,$B$3:$B$502,$B500,$D$3:$D$502,"سنوية",$L$3:$L$502,"معتمد",$A$3:$A$502,"&lt;"&amp;$A500))</f>
        <v/>
      </c>
      <c r="J500" s="51">
        <f>IF($L500="معتمد",$H500,0)</f>
        <v/>
      </c>
      <c r="K500" s="51">
        <f>IF($B500="","",$I500-$J500)</f>
        <v/>
      </c>
      <c r="L500" s="47" t="n"/>
      <c r="M500" s="47" t="n"/>
      <c r="N500" s="112" t="n"/>
      <c r="O500" s="47" t="n"/>
    </row>
    <row r="501">
      <c r="A501" s="39" t="n"/>
      <c r="B501" s="40" t="n"/>
      <c r="C501" s="43">
        <f>IFERROR(INDEX(الموظفون_الاسم,MATCH($B501,الموظفون_الرقم,0)),"")</f>
        <v/>
      </c>
      <c r="D501" s="40" t="n"/>
      <c r="E501" s="110" t="n"/>
      <c r="F501" s="110" t="n"/>
      <c r="G501" s="110" t="n"/>
      <c r="H501" s="44">
        <f>IF(OR($F501="",$G501=""),"",MAX(0,$G501-$F501+1))</f>
        <v/>
      </c>
      <c r="I501" s="44">
        <f>IF($B501="","",IFERROR(INDEX(الموظفون_الافتتاحي,MATCH($B501,الموظفون_الرقم,0)),0)+IF($D501&lt;&gt;"سنوية",0,IFERROR(DATEDIF(بداية_احتساب_الرصيد,TODAY(),"M"),0)*معدل_الاستحقاق_الشهري)-SUMIFS($J$3:$J$502,$B$3:$B$502,$B501,$D$3:$D$502,"سنوية",$L$3:$L$502,"معتمد",$A$3:$A$502,"&lt;"&amp;$A501))</f>
        <v/>
      </c>
      <c r="J501" s="44">
        <f>IF($L501="معتمد",$H501,0)</f>
        <v/>
      </c>
      <c r="K501" s="44">
        <f>IF($B501="","",$I501-$J501)</f>
        <v/>
      </c>
      <c r="L501" s="40" t="n"/>
      <c r="M501" s="40" t="n"/>
      <c r="N501" s="110" t="n"/>
      <c r="O501" s="40" t="n"/>
    </row>
    <row r="502">
      <c r="A502" s="46" t="n"/>
      <c r="B502" s="47" t="n"/>
      <c r="C502" s="50">
        <f>IFERROR(INDEX(الموظفون_الاسم,MATCH($B502,الموظفون_الرقم,0)),"")</f>
        <v/>
      </c>
      <c r="D502" s="47" t="n"/>
      <c r="E502" s="112" t="n"/>
      <c r="F502" s="112" t="n"/>
      <c r="G502" s="112" t="n"/>
      <c r="H502" s="51">
        <f>IF(OR($F502="",$G502=""),"",MAX(0,$G502-$F502+1))</f>
        <v/>
      </c>
      <c r="I502" s="51">
        <f>IF($B502="","",IFERROR(INDEX(الموظفون_الافتتاحي,MATCH($B502,الموظفون_الرقم,0)),0)+IF($D502&lt;&gt;"سنوية",0,IFERROR(DATEDIF(بداية_احتساب_الرصيد,TODAY(),"M"),0)*معدل_الاستحقاق_الشهري)-SUMIFS($J$3:$J$502,$B$3:$B$502,$B502,$D$3:$D$502,"سنوية",$L$3:$L$502,"معتمد",$A$3:$A$502,"&lt;"&amp;$A502))</f>
        <v/>
      </c>
      <c r="J502" s="51">
        <f>IF($L502="معتمد",$H502,0)</f>
        <v/>
      </c>
      <c r="K502" s="51">
        <f>IF($B502="","",$I502-$J502)</f>
        <v/>
      </c>
      <c r="L502" s="47" t="n"/>
      <c r="M502" s="47" t="n"/>
      <c r="N502" s="112" t="n"/>
      <c r="O502" s="4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C605"/>
  <autoFilter ref="A2:O502"/>
  <mergeCells count="1">
    <mergeCell ref="A1:O1"/>
  </mergeCells>
  <conditionalFormatting sqref="L3:L502">
    <cfRule type="cellIs" priority="1" operator="equal" dxfId="2">
      <formula>"معتمد"</formula>
    </cfRule>
    <cfRule type="cellIs" priority="2" operator="equal" dxfId="3">
      <formula>"مرفوض"</formula>
    </cfRule>
    <cfRule type="cellIs" priority="3" operator="equal" dxfId="1">
      <formula>"قيد المراجعة"</formula>
    </cfRule>
  </conditionalFormatting>
  <conditionalFormatting sqref="K3:K502">
    <cfRule type="cellIs" priority="4" operator="lessThan" dxfId="3">
      <formula>0</formula>
    </cfRule>
  </conditionalFormatting>
  <dataValidations count="3">
    <dataValidation sqref="B3:B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=قائمة_الرقم_الوظيفي</formula1>
    </dataValidation>
    <dataValidation sqref="D3:D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=قائمة_أنواع_الإجازات</formula1>
    </dataValidation>
    <dataValidation sqref="L3:L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=قائمة_حالات_الطلب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Z502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22" customWidth="1" min="4" max="4"/>
    <col width="16" customWidth="1" min="5" max="5"/>
    <col width="14" customWidth="1" min="6" max="6"/>
    <col width="13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  <col width="12" customWidth="1" min="13" max="13"/>
    <col width="11" customWidth="1" min="14" max="14"/>
    <col width="11" customWidth="1" min="15" max="15"/>
    <col width="11" customWidth="1" min="16" max="16"/>
    <col width="11" customWidth="1" min="17" max="17"/>
    <col width="13" customWidth="1" min="18" max="18"/>
    <col width="15" customWidth="1" min="19" max="19"/>
    <col width="15" customWidth="1" min="20" max="20"/>
    <col width="15" customWidth="1" min="21" max="21"/>
    <col width="12" customWidth="1" min="22" max="22"/>
    <col width="12" customWidth="1" min="23" max="23"/>
    <col width="24" customWidth="1" min="24" max="24"/>
    <col width="16" customWidth="1" min="25" max="25"/>
  </cols>
  <sheetData>
    <row r="1" ht="32" customHeight="1">
      <c r="A1" s="1" t="inlineStr">
        <is>
          <t>الرواتب  —  نموذج إدخال</t>
        </is>
      </c>
    </row>
    <row r="2" ht="42" customHeight="1">
      <c r="A2" s="38" t="inlineStr">
        <is>
          <t>الشهر</t>
        </is>
      </c>
      <c r="B2" s="38" t="inlineStr">
        <is>
          <t>السنة</t>
        </is>
      </c>
      <c r="C2" s="38" t="inlineStr">
        <is>
          <t>الرقم الوظيفي</t>
        </is>
      </c>
      <c r="D2" s="38" t="inlineStr">
        <is>
          <t>اسم الموظف</t>
        </is>
      </c>
      <c r="E2" s="38" t="inlineStr">
        <is>
          <t>الإدارة</t>
        </is>
      </c>
      <c r="F2" s="38" t="inlineStr">
        <is>
          <t>القسم</t>
        </is>
      </c>
      <c r="G2" s="38" t="inlineStr">
        <is>
          <t>الراتب الأساسي</t>
        </is>
      </c>
      <c r="H2" s="38" t="inlineStr">
        <is>
          <t>بدل النقل</t>
        </is>
      </c>
      <c r="I2" s="38" t="inlineStr">
        <is>
          <t>بدل السكن</t>
        </is>
      </c>
      <c r="J2" s="38" t="inlineStr">
        <is>
          <t>بدلات أخرى</t>
        </is>
      </c>
      <c r="K2" s="38" t="inlineStr">
        <is>
          <t>المكافآت</t>
        </is>
      </c>
      <c r="L2" s="38" t="inlineStr">
        <is>
          <t>قيمة العمل الإضافي</t>
        </is>
      </c>
      <c r="M2" s="38" t="inlineStr">
        <is>
          <t>رقم السلفة</t>
        </is>
      </c>
      <c r="N2" s="38" t="inlineStr">
        <is>
          <t>خصم تأخير</t>
        </is>
      </c>
      <c r="O2" s="38" t="inlineStr">
        <is>
          <t>خصم غياب</t>
        </is>
      </c>
      <c r="P2" s="38" t="inlineStr">
        <is>
          <t>خصم جزاء</t>
        </is>
      </c>
      <c r="Q2" s="38" t="inlineStr">
        <is>
          <t>قسط سلفة</t>
        </is>
      </c>
      <c r="R2" s="38" t="inlineStr">
        <is>
          <t>استقطاعات أخرى</t>
        </is>
      </c>
      <c r="S2" s="38" t="inlineStr">
        <is>
          <t>إجمالي الاستحقاقات</t>
        </is>
      </c>
      <c r="T2" s="38" t="inlineStr">
        <is>
          <t>إجمالي الخصومات</t>
        </is>
      </c>
      <c r="U2" s="38" t="inlineStr">
        <is>
          <t>صافي الراتب</t>
        </is>
      </c>
      <c r="V2" s="38" t="inlineStr">
        <is>
          <t>حالة الصرف</t>
        </is>
      </c>
      <c r="W2" s="38" t="inlineStr">
        <is>
          <t>تاريخ الصرف</t>
        </is>
      </c>
      <c r="X2" s="38" t="inlineStr">
        <is>
          <t>ملاحظات</t>
        </is>
      </c>
      <c r="Y2" s="38" t="inlineStr">
        <is>
          <t>تحقق (تكرار الشهر)</t>
        </is>
      </c>
    </row>
    <row r="3">
      <c r="A3" s="40" t="n"/>
      <c r="B3" s="59" t="n"/>
      <c r="C3" s="40" t="n"/>
      <c r="D3" s="43">
        <f>IFERROR(INDEX(الموظفون_الاسم,MATCH($C3,الموظفون_الرقم,0)),"")</f>
        <v/>
      </c>
      <c r="E3" s="43">
        <f>IFERROR(INDEX(الموظفون_الإدارة,MATCH($C3,الموظفون_الرقم,0)),"")</f>
        <v/>
      </c>
      <c r="F3" s="43">
        <f>IFERROR(INDEX(الموظفون_القسم,MATCH($C3,الموظفون_الرقم,0)),"")</f>
        <v/>
      </c>
      <c r="G3" s="60">
        <f>IF($C3="","",IFERROR(INDEX(الموظفون_الاساسي,MATCH($C3,الموظفون_الرقم,0)),0))</f>
        <v/>
      </c>
      <c r="H3" s="42" t="n"/>
      <c r="I3" s="42" t="n"/>
      <c r="J3" s="42" t="n"/>
      <c r="K3" s="42" t="n"/>
      <c r="L3" s="42" t="n"/>
      <c r="M3" s="61" t="n"/>
      <c r="N3" s="42" t="n"/>
      <c r="O3" s="42" t="n"/>
      <c r="P3" s="42" t="n"/>
      <c r="Q3" s="42" t="n"/>
      <c r="R3" s="42" t="n"/>
      <c r="S3" s="60">
        <f>IF($C3="","",SUM($G3:$L3))</f>
        <v/>
      </c>
      <c r="T3" s="60">
        <f>IF($C3="","",SUM($N3:$R3))</f>
        <v/>
      </c>
      <c r="U3" s="60">
        <f>IF($C3="","",$S3-$T3)</f>
        <v/>
      </c>
      <c r="V3" s="40" t="n"/>
      <c r="W3" s="110" t="n"/>
      <c r="X3" s="40" t="n"/>
      <c r="Y3" s="43">
        <f>IF($C3="","",IF(SUMPRODUCT(($C$3:$C$502=$C3)*($A$3:$A$502=$A3)*($B$3:$B$502=$B3))&gt;1,"⚠ مكرر","سليم"))</f>
        <v/>
      </c>
      <c r="Z3">
        <f>IF(AND($C3&lt;&gt;"",$A3=تقرير_الشهر,$B3=تقرير_السنة),SUMPRODUCT(($C$3:$C$502&lt;&gt;"")*($A$3:$A$502=تقرير_الشهر)*($B$3:$B$502=تقرير_السنة)*(ROW($C$3:$C$502)&lt;=ROW())),"")</f>
        <v/>
      </c>
    </row>
    <row r="4">
      <c r="A4" s="47" t="n"/>
      <c r="B4" s="62" t="n"/>
      <c r="C4" s="47" t="n"/>
      <c r="D4" s="50">
        <f>IFERROR(INDEX(الموظفون_الاسم,MATCH($C4,الموظفون_الرقم,0)),"")</f>
        <v/>
      </c>
      <c r="E4" s="50">
        <f>IFERROR(INDEX(الموظفون_الإدارة,MATCH($C4,الموظفون_الرقم,0)),"")</f>
        <v/>
      </c>
      <c r="F4" s="50">
        <f>IFERROR(INDEX(الموظفون_القسم,MATCH($C4,الموظفون_الرقم,0)),"")</f>
        <v/>
      </c>
      <c r="G4" s="63">
        <f>IF($C4="","",IFERROR(INDEX(الموظفون_الاساسي,MATCH($C4,الموظفون_الرقم,0)),0))</f>
        <v/>
      </c>
      <c r="H4" s="49" t="n"/>
      <c r="I4" s="49" t="n"/>
      <c r="J4" s="49" t="n"/>
      <c r="K4" s="49" t="n"/>
      <c r="L4" s="49" t="n"/>
      <c r="M4" s="64" t="n"/>
      <c r="N4" s="49" t="n"/>
      <c r="O4" s="49" t="n"/>
      <c r="P4" s="49" t="n"/>
      <c r="Q4" s="49" t="n"/>
      <c r="R4" s="49" t="n"/>
      <c r="S4" s="63">
        <f>IF($C4="","",SUM($G4:$L4))</f>
        <v/>
      </c>
      <c r="T4" s="63">
        <f>IF($C4="","",SUM($N4:$R4))</f>
        <v/>
      </c>
      <c r="U4" s="63">
        <f>IF($C4="","",$S4-$T4)</f>
        <v/>
      </c>
      <c r="V4" s="47" t="n"/>
      <c r="W4" s="112" t="n"/>
      <c r="X4" s="47" t="n"/>
      <c r="Y4" s="50">
        <f>IF($C4="","",IF(SUMPRODUCT(($C$3:$C$502=$C4)*($A$3:$A$502=$A4)*($B$3:$B$502=$B4))&gt;1,"⚠ مكرر","سليم"))</f>
        <v/>
      </c>
      <c r="Z4">
        <f>IF(AND($C4&lt;&gt;"",$A4=تقرير_الشهر,$B4=تقرير_السنة),SUMPRODUCT(($C$3:$C$502&lt;&gt;"")*($A$3:$A$502=تقرير_الشهر)*($B$3:$B$502=تقرير_السنة)*(ROW($C$3:$C$502)&lt;=ROW())),"")</f>
        <v/>
      </c>
    </row>
    <row r="5">
      <c r="A5" s="40" t="n"/>
      <c r="B5" s="59" t="n"/>
      <c r="C5" s="40" t="n"/>
      <c r="D5" s="43">
        <f>IFERROR(INDEX(الموظفون_الاسم,MATCH($C5,الموظفون_الرقم,0)),"")</f>
        <v/>
      </c>
      <c r="E5" s="43">
        <f>IFERROR(INDEX(الموظفون_الإدارة,MATCH($C5,الموظفون_الرقم,0)),"")</f>
        <v/>
      </c>
      <c r="F5" s="43">
        <f>IFERROR(INDEX(الموظفون_القسم,MATCH($C5,الموظفون_الرقم,0)),"")</f>
        <v/>
      </c>
      <c r="G5" s="60">
        <f>IF($C5="","",IFERROR(INDEX(الموظفون_الاساسي,MATCH($C5,الموظفون_الرقم,0)),0))</f>
        <v/>
      </c>
      <c r="H5" s="42" t="n"/>
      <c r="I5" s="42" t="n"/>
      <c r="J5" s="42" t="n"/>
      <c r="K5" s="42" t="n"/>
      <c r="L5" s="42" t="n"/>
      <c r="M5" s="61" t="n"/>
      <c r="N5" s="42" t="n"/>
      <c r="O5" s="42" t="n"/>
      <c r="P5" s="42" t="n"/>
      <c r="Q5" s="42" t="n"/>
      <c r="R5" s="42" t="n"/>
      <c r="S5" s="60">
        <f>IF($C5="","",SUM($G5:$L5))</f>
        <v/>
      </c>
      <c r="T5" s="60">
        <f>IF($C5="","",SUM($N5:$R5))</f>
        <v/>
      </c>
      <c r="U5" s="60">
        <f>IF($C5="","",$S5-$T5)</f>
        <v/>
      </c>
      <c r="V5" s="40" t="n"/>
      <c r="W5" s="110" t="n"/>
      <c r="X5" s="40" t="n"/>
      <c r="Y5" s="43">
        <f>IF($C5="","",IF(SUMPRODUCT(($C$3:$C$502=$C5)*($A$3:$A$502=$A5)*($B$3:$B$502=$B5))&gt;1,"⚠ مكرر","سليم"))</f>
        <v/>
      </c>
      <c r="Z5">
        <f>IF(AND($C5&lt;&gt;"",$A5=تقرير_الشهر,$B5=تقرير_السنة),SUMPRODUCT(($C$3:$C$502&lt;&gt;"")*($A$3:$A$502=تقرير_الشهر)*($B$3:$B$502=تقرير_السنة)*(ROW($C$3:$C$502)&lt;=ROW())),"")</f>
        <v/>
      </c>
    </row>
    <row r="6">
      <c r="A6" s="47" t="n"/>
      <c r="B6" s="62" t="n"/>
      <c r="C6" s="47" t="n"/>
      <c r="D6" s="50">
        <f>IFERROR(INDEX(الموظفون_الاسم,MATCH($C6,الموظفون_الرقم,0)),"")</f>
        <v/>
      </c>
      <c r="E6" s="50">
        <f>IFERROR(INDEX(الموظفون_الإدارة,MATCH($C6,الموظفون_الرقم,0)),"")</f>
        <v/>
      </c>
      <c r="F6" s="50">
        <f>IFERROR(INDEX(الموظفون_القسم,MATCH($C6,الموظفون_الرقم,0)),"")</f>
        <v/>
      </c>
      <c r="G6" s="63">
        <f>IF($C6="","",IFERROR(INDEX(الموظفون_الاساسي,MATCH($C6,الموظفون_الرقم,0)),0))</f>
        <v/>
      </c>
      <c r="H6" s="49" t="n"/>
      <c r="I6" s="49" t="n"/>
      <c r="J6" s="49" t="n"/>
      <c r="K6" s="49" t="n"/>
      <c r="L6" s="49" t="n"/>
      <c r="M6" s="64" t="n"/>
      <c r="N6" s="49" t="n"/>
      <c r="O6" s="49" t="n"/>
      <c r="P6" s="49" t="n"/>
      <c r="Q6" s="49" t="n"/>
      <c r="R6" s="49" t="n"/>
      <c r="S6" s="63">
        <f>IF($C6="","",SUM($G6:$L6))</f>
        <v/>
      </c>
      <c r="T6" s="63">
        <f>IF($C6="","",SUM($N6:$R6))</f>
        <v/>
      </c>
      <c r="U6" s="63">
        <f>IF($C6="","",$S6-$T6)</f>
        <v/>
      </c>
      <c r="V6" s="47" t="n"/>
      <c r="W6" s="112" t="n"/>
      <c r="X6" s="47" t="n"/>
      <c r="Y6" s="50">
        <f>IF($C6="","",IF(SUMPRODUCT(($C$3:$C$502=$C6)*($A$3:$A$502=$A6)*($B$3:$B$502=$B6))&gt;1,"⚠ مكرر","سليم"))</f>
        <v/>
      </c>
      <c r="Z6">
        <f>IF(AND($C6&lt;&gt;"",$A6=تقرير_الشهر,$B6=تقرير_السنة),SUMPRODUCT(($C$3:$C$502&lt;&gt;"")*($A$3:$A$502=تقرير_الشهر)*($B$3:$B$502=تقرير_السنة)*(ROW($C$3:$C$502)&lt;=ROW())),"")</f>
        <v/>
      </c>
    </row>
    <row r="7">
      <c r="A7" s="40" t="n"/>
      <c r="B7" s="59" t="n"/>
      <c r="C7" s="40" t="n"/>
      <c r="D7" s="43">
        <f>IFERROR(INDEX(الموظفون_الاسم,MATCH($C7,الموظفون_الرقم,0)),"")</f>
        <v/>
      </c>
      <c r="E7" s="43">
        <f>IFERROR(INDEX(الموظفون_الإدارة,MATCH($C7,الموظفون_الرقم,0)),"")</f>
        <v/>
      </c>
      <c r="F7" s="43">
        <f>IFERROR(INDEX(الموظفون_القسم,MATCH($C7,الموظفون_الرقم,0)),"")</f>
        <v/>
      </c>
      <c r="G7" s="60">
        <f>IF($C7="","",IFERROR(INDEX(الموظفون_الاساسي,MATCH($C7,الموظفون_الرقم,0)),0))</f>
        <v/>
      </c>
      <c r="H7" s="42" t="n"/>
      <c r="I7" s="42" t="n"/>
      <c r="J7" s="42" t="n"/>
      <c r="K7" s="42" t="n"/>
      <c r="L7" s="42" t="n"/>
      <c r="M7" s="61" t="n"/>
      <c r="N7" s="42" t="n"/>
      <c r="O7" s="42" t="n"/>
      <c r="P7" s="42" t="n"/>
      <c r="Q7" s="42" t="n"/>
      <c r="R7" s="42" t="n"/>
      <c r="S7" s="60">
        <f>IF($C7="","",SUM($G7:$L7))</f>
        <v/>
      </c>
      <c r="T7" s="60">
        <f>IF($C7="","",SUM($N7:$R7))</f>
        <v/>
      </c>
      <c r="U7" s="60">
        <f>IF($C7="","",$S7-$T7)</f>
        <v/>
      </c>
      <c r="V7" s="40" t="n"/>
      <c r="W7" s="110" t="n"/>
      <c r="X7" s="40" t="n"/>
      <c r="Y7" s="43">
        <f>IF($C7="","",IF(SUMPRODUCT(($C$3:$C$502=$C7)*($A$3:$A$502=$A7)*($B$3:$B$502=$B7))&gt;1,"⚠ مكرر","سليم"))</f>
        <v/>
      </c>
      <c r="Z7">
        <f>IF(AND($C7&lt;&gt;"",$A7=تقرير_الشهر,$B7=تقرير_السنة),SUMPRODUCT(($C$3:$C$502&lt;&gt;"")*($A$3:$A$502=تقرير_الشهر)*($B$3:$B$502=تقرير_السنة)*(ROW($C$3:$C$502)&lt;=ROW())),"")</f>
        <v/>
      </c>
    </row>
    <row r="8">
      <c r="A8" s="47" t="n"/>
      <c r="B8" s="62" t="n"/>
      <c r="C8" s="47" t="n"/>
      <c r="D8" s="50">
        <f>IFERROR(INDEX(الموظفون_الاسم,MATCH($C8,الموظفون_الرقم,0)),"")</f>
        <v/>
      </c>
      <c r="E8" s="50">
        <f>IFERROR(INDEX(الموظفون_الإدارة,MATCH($C8,الموظفون_الرقم,0)),"")</f>
        <v/>
      </c>
      <c r="F8" s="50">
        <f>IFERROR(INDEX(الموظفون_القسم,MATCH($C8,الموظفون_الرقم,0)),"")</f>
        <v/>
      </c>
      <c r="G8" s="63">
        <f>IF($C8="","",IFERROR(INDEX(الموظفون_الاساسي,MATCH($C8,الموظفون_الرقم,0)),0))</f>
        <v/>
      </c>
      <c r="H8" s="49" t="n"/>
      <c r="I8" s="49" t="n"/>
      <c r="J8" s="49" t="n"/>
      <c r="K8" s="49" t="n"/>
      <c r="L8" s="49" t="n"/>
      <c r="M8" s="64" t="n"/>
      <c r="N8" s="49" t="n"/>
      <c r="O8" s="49" t="n"/>
      <c r="P8" s="49" t="n"/>
      <c r="Q8" s="49" t="n"/>
      <c r="R8" s="49" t="n"/>
      <c r="S8" s="63">
        <f>IF($C8="","",SUM($G8:$L8))</f>
        <v/>
      </c>
      <c r="T8" s="63">
        <f>IF($C8="","",SUM($N8:$R8))</f>
        <v/>
      </c>
      <c r="U8" s="63">
        <f>IF($C8="","",$S8-$T8)</f>
        <v/>
      </c>
      <c r="V8" s="47" t="n"/>
      <c r="W8" s="112" t="n"/>
      <c r="X8" s="47" t="n"/>
      <c r="Y8" s="50">
        <f>IF($C8="","",IF(SUMPRODUCT(($C$3:$C$502=$C8)*($A$3:$A$502=$A8)*($B$3:$B$502=$B8))&gt;1,"⚠ مكرر","سليم"))</f>
        <v/>
      </c>
      <c r="Z8">
        <f>IF(AND($C8&lt;&gt;"",$A8=تقرير_الشهر,$B8=تقرير_السنة),SUMPRODUCT(($C$3:$C$502&lt;&gt;"")*($A$3:$A$502=تقرير_الشهر)*($B$3:$B$502=تقرير_السنة)*(ROW($C$3:$C$502)&lt;=ROW())),"")</f>
        <v/>
      </c>
    </row>
    <row r="9">
      <c r="A9" s="40" t="n"/>
      <c r="B9" s="59" t="n"/>
      <c r="C9" s="40" t="n"/>
      <c r="D9" s="43">
        <f>IFERROR(INDEX(الموظفون_الاسم,MATCH($C9,الموظفون_الرقم,0)),"")</f>
        <v/>
      </c>
      <c r="E9" s="43">
        <f>IFERROR(INDEX(الموظفون_الإدارة,MATCH($C9,الموظفون_الرقم,0)),"")</f>
        <v/>
      </c>
      <c r="F9" s="43">
        <f>IFERROR(INDEX(الموظفون_القسم,MATCH($C9,الموظفون_الرقم,0)),"")</f>
        <v/>
      </c>
      <c r="G9" s="60">
        <f>IF($C9="","",IFERROR(INDEX(الموظفون_الاساسي,MATCH($C9,الموظفون_الرقم,0)),0))</f>
        <v/>
      </c>
      <c r="H9" s="42" t="n"/>
      <c r="I9" s="42" t="n"/>
      <c r="J9" s="42" t="n"/>
      <c r="K9" s="42" t="n"/>
      <c r="L9" s="42" t="n"/>
      <c r="M9" s="61" t="n"/>
      <c r="N9" s="42" t="n"/>
      <c r="O9" s="42" t="n"/>
      <c r="P9" s="42" t="n"/>
      <c r="Q9" s="42" t="n"/>
      <c r="R9" s="42" t="n"/>
      <c r="S9" s="60">
        <f>IF($C9="","",SUM($G9:$L9))</f>
        <v/>
      </c>
      <c r="T9" s="60">
        <f>IF($C9="","",SUM($N9:$R9))</f>
        <v/>
      </c>
      <c r="U9" s="60">
        <f>IF($C9="","",$S9-$T9)</f>
        <v/>
      </c>
      <c r="V9" s="40" t="n"/>
      <c r="W9" s="110" t="n"/>
      <c r="X9" s="40" t="n"/>
      <c r="Y9" s="43">
        <f>IF($C9="","",IF(SUMPRODUCT(($C$3:$C$502=$C9)*($A$3:$A$502=$A9)*($B$3:$B$502=$B9))&gt;1,"⚠ مكرر","سليم"))</f>
        <v/>
      </c>
      <c r="Z9">
        <f>IF(AND($C9&lt;&gt;"",$A9=تقرير_الشهر,$B9=تقرير_السنة),SUMPRODUCT(($C$3:$C$502&lt;&gt;"")*($A$3:$A$502=تقرير_الشهر)*($B$3:$B$502=تقرير_السنة)*(ROW($C$3:$C$502)&lt;=ROW())),"")</f>
        <v/>
      </c>
    </row>
    <row r="10">
      <c r="A10" s="47" t="n"/>
      <c r="B10" s="62" t="n"/>
      <c r="C10" s="47" t="n"/>
      <c r="D10" s="50">
        <f>IFERROR(INDEX(الموظفون_الاسم,MATCH($C10,الموظفون_الرقم,0)),"")</f>
        <v/>
      </c>
      <c r="E10" s="50">
        <f>IFERROR(INDEX(الموظفون_الإدارة,MATCH($C10,الموظفون_الرقم,0)),"")</f>
        <v/>
      </c>
      <c r="F10" s="50">
        <f>IFERROR(INDEX(الموظفون_القسم,MATCH($C10,الموظفون_الرقم,0)),"")</f>
        <v/>
      </c>
      <c r="G10" s="63">
        <f>IF($C10="","",IFERROR(INDEX(الموظفون_الاساسي,MATCH($C10,الموظفون_الرقم,0)),0))</f>
        <v/>
      </c>
      <c r="H10" s="49" t="n"/>
      <c r="I10" s="49" t="n"/>
      <c r="J10" s="49" t="n"/>
      <c r="K10" s="49" t="n"/>
      <c r="L10" s="49" t="n"/>
      <c r="M10" s="64" t="n"/>
      <c r="N10" s="49" t="n"/>
      <c r="O10" s="49" t="n"/>
      <c r="P10" s="49" t="n"/>
      <c r="Q10" s="49" t="n"/>
      <c r="R10" s="49" t="n"/>
      <c r="S10" s="63">
        <f>IF($C10="","",SUM($G10:$L10))</f>
        <v/>
      </c>
      <c r="T10" s="63">
        <f>IF($C10="","",SUM($N10:$R10))</f>
        <v/>
      </c>
      <c r="U10" s="63">
        <f>IF($C10="","",$S10-$T10)</f>
        <v/>
      </c>
      <c r="V10" s="47" t="n"/>
      <c r="W10" s="112" t="n"/>
      <c r="X10" s="47" t="n"/>
      <c r="Y10" s="50">
        <f>IF($C10="","",IF(SUMPRODUCT(($C$3:$C$502=$C10)*($A$3:$A$502=$A10)*($B$3:$B$502=$B10))&gt;1,"⚠ مكرر","سليم"))</f>
        <v/>
      </c>
      <c r="Z10">
        <f>IF(AND($C10&lt;&gt;"",$A10=تقرير_الشهر,$B10=تقرير_السنة),SUMPRODUCT(($C$3:$C$502&lt;&gt;"")*($A$3:$A$502=تقرير_الشهر)*($B$3:$B$502=تقرير_السنة)*(ROW($C$3:$C$502)&lt;=ROW())),"")</f>
        <v/>
      </c>
    </row>
    <row r="11">
      <c r="A11" s="40" t="n"/>
      <c r="B11" s="59" t="n"/>
      <c r="C11" s="40" t="n"/>
      <c r="D11" s="43">
        <f>IFERROR(INDEX(الموظفون_الاسم,MATCH($C11,الموظفون_الرقم,0)),"")</f>
        <v/>
      </c>
      <c r="E11" s="43">
        <f>IFERROR(INDEX(الموظفون_الإدارة,MATCH($C11,الموظفون_الرقم,0)),"")</f>
        <v/>
      </c>
      <c r="F11" s="43">
        <f>IFERROR(INDEX(الموظفون_القسم,MATCH($C11,الموظفون_الرقم,0)),"")</f>
        <v/>
      </c>
      <c r="G11" s="60">
        <f>IF($C11="","",IFERROR(INDEX(الموظفون_الاساسي,MATCH($C11,الموظفون_الرقم,0)),0))</f>
        <v/>
      </c>
      <c r="H11" s="42" t="n"/>
      <c r="I11" s="42" t="n"/>
      <c r="J11" s="42" t="n"/>
      <c r="K11" s="42" t="n"/>
      <c r="L11" s="42" t="n"/>
      <c r="M11" s="61" t="n"/>
      <c r="N11" s="42" t="n"/>
      <c r="O11" s="42" t="n"/>
      <c r="P11" s="42" t="n"/>
      <c r="Q11" s="42" t="n"/>
      <c r="R11" s="42" t="n"/>
      <c r="S11" s="60">
        <f>IF($C11="","",SUM($G11:$L11))</f>
        <v/>
      </c>
      <c r="T11" s="60">
        <f>IF($C11="","",SUM($N11:$R11))</f>
        <v/>
      </c>
      <c r="U11" s="60">
        <f>IF($C11="","",$S11-$T11)</f>
        <v/>
      </c>
      <c r="V11" s="40" t="n"/>
      <c r="W11" s="110" t="n"/>
      <c r="X11" s="40" t="n"/>
      <c r="Y11" s="43">
        <f>IF($C11="","",IF(SUMPRODUCT(($C$3:$C$502=$C11)*($A$3:$A$502=$A11)*($B$3:$B$502=$B11))&gt;1,"⚠ مكرر","سليم"))</f>
        <v/>
      </c>
      <c r="Z11">
        <f>IF(AND($C11&lt;&gt;"",$A11=تقرير_الشهر,$B11=تقرير_السنة),SUMPRODUCT(($C$3:$C$502&lt;&gt;"")*($A$3:$A$502=تقرير_الشهر)*($B$3:$B$502=تقرير_السنة)*(ROW($C$3:$C$502)&lt;=ROW())),"")</f>
        <v/>
      </c>
    </row>
    <row r="12">
      <c r="A12" s="47" t="n"/>
      <c r="B12" s="62" t="n"/>
      <c r="C12" s="47" t="n"/>
      <c r="D12" s="50">
        <f>IFERROR(INDEX(الموظفون_الاسم,MATCH($C12,الموظفون_الرقم,0)),"")</f>
        <v/>
      </c>
      <c r="E12" s="50">
        <f>IFERROR(INDEX(الموظفون_الإدارة,MATCH($C12,الموظفون_الرقم,0)),"")</f>
        <v/>
      </c>
      <c r="F12" s="50">
        <f>IFERROR(INDEX(الموظفون_القسم,MATCH($C12,الموظفون_الرقم,0)),"")</f>
        <v/>
      </c>
      <c r="G12" s="63">
        <f>IF($C12="","",IFERROR(INDEX(الموظفون_الاساسي,MATCH($C12,الموظفون_الرقم,0)),0))</f>
        <v/>
      </c>
      <c r="H12" s="49" t="n"/>
      <c r="I12" s="49" t="n"/>
      <c r="J12" s="49" t="n"/>
      <c r="K12" s="49" t="n"/>
      <c r="L12" s="49" t="n"/>
      <c r="M12" s="64" t="n"/>
      <c r="N12" s="49" t="n"/>
      <c r="O12" s="49" t="n"/>
      <c r="P12" s="49" t="n"/>
      <c r="Q12" s="49" t="n"/>
      <c r="R12" s="49" t="n"/>
      <c r="S12" s="63">
        <f>IF($C12="","",SUM($G12:$L12))</f>
        <v/>
      </c>
      <c r="T12" s="63">
        <f>IF($C12="","",SUM($N12:$R12))</f>
        <v/>
      </c>
      <c r="U12" s="63">
        <f>IF($C12="","",$S12-$T12)</f>
        <v/>
      </c>
      <c r="V12" s="47" t="n"/>
      <c r="W12" s="112" t="n"/>
      <c r="X12" s="47" t="n"/>
      <c r="Y12" s="50">
        <f>IF($C12="","",IF(SUMPRODUCT(($C$3:$C$502=$C12)*($A$3:$A$502=$A12)*($B$3:$B$502=$B12))&gt;1,"⚠ مكرر","سليم"))</f>
        <v/>
      </c>
      <c r="Z12">
        <f>IF(AND($C12&lt;&gt;"",$A12=تقرير_الشهر,$B12=تقرير_السنة),SUMPRODUCT(($C$3:$C$502&lt;&gt;"")*($A$3:$A$502=تقرير_الشهر)*($B$3:$B$502=تقرير_السنة)*(ROW($C$3:$C$502)&lt;=ROW())),"")</f>
        <v/>
      </c>
    </row>
    <row r="13">
      <c r="A13" s="40" t="n"/>
      <c r="B13" s="59" t="n"/>
      <c r="C13" s="40" t="n"/>
      <c r="D13" s="43">
        <f>IFERROR(INDEX(الموظفون_الاسم,MATCH($C13,الموظفون_الرقم,0)),"")</f>
        <v/>
      </c>
      <c r="E13" s="43">
        <f>IFERROR(INDEX(الموظفون_الإدارة,MATCH($C13,الموظفون_الرقم,0)),"")</f>
        <v/>
      </c>
      <c r="F13" s="43">
        <f>IFERROR(INDEX(الموظفون_القسم,MATCH($C13,الموظفون_الرقم,0)),"")</f>
        <v/>
      </c>
      <c r="G13" s="60">
        <f>IF($C13="","",IFERROR(INDEX(الموظفون_الاساسي,MATCH($C13,الموظفون_الرقم,0)),0))</f>
        <v/>
      </c>
      <c r="H13" s="42" t="n"/>
      <c r="I13" s="42" t="n"/>
      <c r="J13" s="42" t="n"/>
      <c r="K13" s="42" t="n"/>
      <c r="L13" s="42" t="n"/>
      <c r="M13" s="61" t="n"/>
      <c r="N13" s="42" t="n"/>
      <c r="O13" s="42" t="n"/>
      <c r="P13" s="42" t="n"/>
      <c r="Q13" s="42" t="n"/>
      <c r="R13" s="42" t="n"/>
      <c r="S13" s="60">
        <f>IF($C13="","",SUM($G13:$L13))</f>
        <v/>
      </c>
      <c r="T13" s="60">
        <f>IF($C13="","",SUM($N13:$R13))</f>
        <v/>
      </c>
      <c r="U13" s="60">
        <f>IF($C13="","",$S13-$T13)</f>
        <v/>
      </c>
      <c r="V13" s="40" t="n"/>
      <c r="W13" s="110" t="n"/>
      <c r="X13" s="40" t="n"/>
      <c r="Y13" s="43">
        <f>IF($C13="","",IF(SUMPRODUCT(($C$3:$C$502=$C13)*($A$3:$A$502=$A13)*($B$3:$B$502=$B13))&gt;1,"⚠ مكرر","سليم"))</f>
        <v/>
      </c>
      <c r="Z13">
        <f>IF(AND($C13&lt;&gt;"",$A13=تقرير_الشهر,$B13=تقرير_السنة),SUMPRODUCT(($C$3:$C$502&lt;&gt;"")*($A$3:$A$502=تقرير_الشهر)*($B$3:$B$502=تقرير_السنة)*(ROW($C$3:$C$502)&lt;=ROW())),"")</f>
        <v/>
      </c>
    </row>
    <row r="14">
      <c r="A14" s="47" t="n"/>
      <c r="B14" s="62" t="n"/>
      <c r="C14" s="47" t="n"/>
      <c r="D14" s="50">
        <f>IFERROR(INDEX(الموظفون_الاسم,MATCH($C14,الموظفون_الرقم,0)),"")</f>
        <v/>
      </c>
      <c r="E14" s="50">
        <f>IFERROR(INDEX(الموظفون_الإدارة,MATCH($C14,الموظفون_الرقم,0)),"")</f>
        <v/>
      </c>
      <c r="F14" s="50">
        <f>IFERROR(INDEX(الموظفون_القسم,MATCH($C14,الموظفون_الرقم,0)),"")</f>
        <v/>
      </c>
      <c r="G14" s="63">
        <f>IF($C14="","",IFERROR(INDEX(الموظفون_الاساسي,MATCH($C14,الموظفون_الرقم,0)),0))</f>
        <v/>
      </c>
      <c r="H14" s="49" t="n"/>
      <c r="I14" s="49" t="n"/>
      <c r="J14" s="49" t="n"/>
      <c r="K14" s="49" t="n"/>
      <c r="L14" s="49" t="n"/>
      <c r="M14" s="64" t="n"/>
      <c r="N14" s="49" t="n"/>
      <c r="O14" s="49" t="n"/>
      <c r="P14" s="49" t="n"/>
      <c r="Q14" s="49" t="n"/>
      <c r="R14" s="49" t="n"/>
      <c r="S14" s="63">
        <f>IF($C14="","",SUM($G14:$L14))</f>
        <v/>
      </c>
      <c r="T14" s="63">
        <f>IF($C14="","",SUM($N14:$R14))</f>
        <v/>
      </c>
      <c r="U14" s="63">
        <f>IF($C14="","",$S14-$T14)</f>
        <v/>
      </c>
      <c r="V14" s="47" t="n"/>
      <c r="W14" s="112" t="n"/>
      <c r="X14" s="47" t="n"/>
      <c r="Y14" s="50">
        <f>IF($C14="","",IF(SUMPRODUCT(($C$3:$C$502=$C14)*($A$3:$A$502=$A14)*($B$3:$B$502=$B14))&gt;1,"⚠ مكرر","سليم"))</f>
        <v/>
      </c>
      <c r="Z14">
        <f>IF(AND($C14&lt;&gt;"",$A14=تقرير_الشهر,$B14=تقرير_السنة),SUMPRODUCT(($C$3:$C$502&lt;&gt;"")*($A$3:$A$502=تقرير_الشهر)*($B$3:$B$502=تقرير_السنة)*(ROW($C$3:$C$502)&lt;=ROW())),"")</f>
        <v/>
      </c>
    </row>
    <row r="15">
      <c r="A15" s="40" t="n"/>
      <c r="B15" s="59" t="n"/>
      <c r="C15" s="40" t="n"/>
      <c r="D15" s="43">
        <f>IFERROR(INDEX(الموظفون_الاسم,MATCH($C15,الموظفون_الرقم,0)),"")</f>
        <v/>
      </c>
      <c r="E15" s="43">
        <f>IFERROR(INDEX(الموظفون_الإدارة,MATCH($C15,الموظفون_الرقم,0)),"")</f>
        <v/>
      </c>
      <c r="F15" s="43">
        <f>IFERROR(INDEX(الموظفون_القسم,MATCH($C15,الموظفون_الرقم,0)),"")</f>
        <v/>
      </c>
      <c r="G15" s="60">
        <f>IF($C15="","",IFERROR(INDEX(الموظفون_الاساسي,MATCH($C15,الموظفون_الرقم,0)),0))</f>
        <v/>
      </c>
      <c r="H15" s="42" t="n"/>
      <c r="I15" s="42" t="n"/>
      <c r="J15" s="42" t="n"/>
      <c r="K15" s="42" t="n"/>
      <c r="L15" s="42" t="n"/>
      <c r="M15" s="61" t="n"/>
      <c r="N15" s="42" t="n"/>
      <c r="O15" s="42" t="n"/>
      <c r="P15" s="42" t="n"/>
      <c r="Q15" s="42" t="n"/>
      <c r="R15" s="42" t="n"/>
      <c r="S15" s="60">
        <f>IF($C15="","",SUM($G15:$L15))</f>
        <v/>
      </c>
      <c r="T15" s="60">
        <f>IF($C15="","",SUM($N15:$R15))</f>
        <v/>
      </c>
      <c r="U15" s="60">
        <f>IF($C15="","",$S15-$T15)</f>
        <v/>
      </c>
      <c r="V15" s="40" t="n"/>
      <c r="W15" s="110" t="n"/>
      <c r="X15" s="40" t="n"/>
      <c r="Y15" s="43">
        <f>IF($C15="","",IF(SUMPRODUCT(($C$3:$C$502=$C15)*($A$3:$A$502=$A15)*($B$3:$B$502=$B15))&gt;1,"⚠ مكرر","سليم"))</f>
        <v/>
      </c>
      <c r="Z15">
        <f>IF(AND($C15&lt;&gt;"",$A15=تقرير_الشهر,$B15=تقرير_السنة),SUMPRODUCT(($C$3:$C$502&lt;&gt;"")*($A$3:$A$502=تقرير_الشهر)*($B$3:$B$502=تقرير_السنة)*(ROW($C$3:$C$502)&lt;=ROW())),"")</f>
        <v/>
      </c>
    </row>
    <row r="16">
      <c r="A16" s="47" t="n"/>
      <c r="B16" s="62" t="n"/>
      <c r="C16" s="47" t="n"/>
      <c r="D16" s="50">
        <f>IFERROR(INDEX(الموظفون_الاسم,MATCH($C16,الموظفون_الرقم,0)),"")</f>
        <v/>
      </c>
      <c r="E16" s="50">
        <f>IFERROR(INDEX(الموظفون_الإدارة,MATCH($C16,الموظفون_الرقم,0)),"")</f>
        <v/>
      </c>
      <c r="F16" s="50">
        <f>IFERROR(INDEX(الموظفون_القسم,MATCH($C16,الموظفون_الرقم,0)),"")</f>
        <v/>
      </c>
      <c r="G16" s="63">
        <f>IF($C16="","",IFERROR(INDEX(الموظفون_الاساسي,MATCH($C16,الموظفون_الرقم,0)),0))</f>
        <v/>
      </c>
      <c r="H16" s="49" t="n"/>
      <c r="I16" s="49" t="n"/>
      <c r="J16" s="49" t="n"/>
      <c r="K16" s="49" t="n"/>
      <c r="L16" s="49" t="n"/>
      <c r="M16" s="64" t="n"/>
      <c r="N16" s="49" t="n"/>
      <c r="O16" s="49" t="n"/>
      <c r="P16" s="49" t="n"/>
      <c r="Q16" s="49" t="n"/>
      <c r="R16" s="49" t="n"/>
      <c r="S16" s="63">
        <f>IF($C16="","",SUM($G16:$L16))</f>
        <v/>
      </c>
      <c r="T16" s="63">
        <f>IF($C16="","",SUM($N16:$R16))</f>
        <v/>
      </c>
      <c r="U16" s="63">
        <f>IF($C16="","",$S16-$T16)</f>
        <v/>
      </c>
      <c r="V16" s="47" t="n"/>
      <c r="W16" s="112" t="n"/>
      <c r="X16" s="47" t="n"/>
      <c r="Y16" s="50">
        <f>IF($C16="","",IF(SUMPRODUCT(($C$3:$C$502=$C16)*($A$3:$A$502=$A16)*($B$3:$B$502=$B16))&gt;1,"⚠ مكرر","سليم"))</f>
        <v/>
      </c>
      <c r="Z16">
        <f>IF(AND($C16&lt;&gt;"",$A16=تقرير_الشهر,$B16=تقرير_السنة),SUMPRODUCT(($C$3:$C$502&lt;&gt;"")*($A$3:$A$502=تقرير_الشهر)*($B$3:$B$502=تقرير_السنة)*(ROW($C$3:$C$502)&lt;=ROW())),"")</f>
        <v/>
      </c>
    </row>
    <row r="17">
      <c r="A17" s="40" t="n"/>
      <c r="B17" s="59" t="n"/>
      <c r="C17" s="40" t="n"/>
      <c r="D17" s="43">
        <f>IFERROR(INDEX(الموظفون_الاسم,MATCH($C17,الموظفون_الرقم,0)),"")</f>
        <v/>
      </c>
      <c r="E17" s="43">
        <f>IFERROR(INDEX(الموظفون_الإدارة,MATCH($C17,الموظفون_الرقم,0)),"")</f>
        <v/>
      </c>
      <c r="F17" s="43">
        <f>IFERROR(INDEX(الموظفون_القسم,MATCH($C17,الموظفون_الرقم,0)),"")</f>
        <v/>
      </c>
      <c r="G17" s="60">
        <f>IF($C17="","",IFERROR(INDEX(الموظفون_الاساسي,MATCH($C17,الموظفون_الرقم,0)),0))</f>
        <v/>
      </c>
      <c r="H17" s="42" t="n"/>
      <c r="I17" s="42" t="n"/>
      <c r="J17" s="42" t="n"/>
      <c r="K17" s="42" t="n"/>
      <c r="L17" s="42" t="n"/>
      <c r="M17" s="61" t="n"/>
      <c r="N17" s="42" t="n"/>
      <c r="O17" s="42" t="n"/>
      <c r="P17" s="42" t="n"/>
      <c r="Q17" s="42" t="n"/>
      <c r="R17" s="42" t="n"/>
      <c r="S17" s="60">
        <f>IF($C17="","",SUM($G17:$L17))</f>
        <v/>
      </c>
      <c r="T17" s="60">
        <f>IF($C17="","",SUM($N17:$R17))</f>
        <v/>
      </c>
      <c r="U17" s="60">
        <f>IF($C17="","",$S17-$T17)</f>
        <v/>
      </c>
      <c r="V17" s="40" t="n"/>
      <c r="W17" s="110" t="n"/>
      <c r="X17" s="40" t="n"/>
      <c r="Y17" s="43">
        <f>IF($C17="","",IF(SUMPRODUCT(($C$3:$C$502=$C17)*($A$3:$A$502=$A17)*($B$3:$B$502=$B17))&gt;1,"⚠ مكرر","سليم"))</f>
        <v/>
      </c>
      <c r="Z17">
        <f>IF(AND($C17&lt;&gt;"",$A17=تقرير_الشهر,$B17=تقرير_السنة),SUMPRODUCT(($C$3:$C$502&lt;&gt;"")*($A$3:$A$502=تقرير_الشهر)*($B$3:$B$502=تقرير_السنة)*(ROW($C$3:$C$502)&lt;=ROW())),"")</f>
        <v/>
      </c>
    </row>
    <row r="18">
      <c r="A18" s="47" t="n"/>
      <c r="B18" s="62" t="n"/>
      <c r="C18" s="47" t="n"/>
      <c r="D18" s="50">
        <f>IFERROR(INDEX(الموظفون_الاسم,MATCH($C18,الموظفون_الرقم,0)),"")</f>
        <v/>
      </c>
      <c r="E18" s="50">
        <f>IFERROR(INDEX(الموظفون_الإدارة,MATCH($C18,الموظفون_الرقم,0)),"")</f>
        <v/>
      </c>
      <c r="F18" s="50">
        <f>IFERROR(INDEX(الموظفون_القسم,MATCH($C18,الموظفون_الرقم,0)),"")</f>
        <v/>
      </c>
      <c r="G18" s="63">
        <f>IF($C18="","",IFERROR(INDEX(الموظفون_الاساسي,MATCH($C18,الموظفون_الرقم,0)),0))</f>
        <v/>
      </c>
      <c r="H18" s="49" t="n"/>
      <c r="I18" s="49" t="n"/>
      <c r="J18" s="49" t="n"/>
      <c r="K18" s="49" t="n"/>
      <c r="L18" s="49" t="n"/>
      <c r="M18" s="64" t="n"/>
      <c r="N18" s="49" t="n"/>
      <c r="O18" s="49" t="n"/>
      <c r="P18" s="49" t="n"/>
      <c r="Q18" s="49" t="n"/>
      <c r="R18" s="49" t="n"/>
      <c r="S18" s="63">
        <f>IF($C18="","",SUM($G18:$L18))</f>
        <v/>
      </c>
      <c r="T18" s="63">
        <f>IF($C18="","",SUM($N18:$R18))</f>
        <v/>
      </c>
      <c r="U18" s="63">
        <f>IF($C18="","",$S18-$T18)</f>
        <v/>
      </c>
      <c r="V18" s="47" t="n"/>
      <c r="W18" s="112" t="n"/>
      <c r="X18" s="47" t="n"/>
      <c r="Y18" s="50">
        <f>IF($C18="","",IF(SUMPRODUCT(($C$3:$C$502=$C18)*($A$3:$A$502=$A18)*($B$3:$B$502=$B18))&gt;1,"⚠ مكرر","سليم"))</f>
        <v/>
      </c>
      <c r="Z18">
        <f>IF(AND($C18&lt;&gt;"",$A18=تقرير_الشهر,$B18=تقرير_السنة),SUMPRODUCT(($C$3:$C$502&lt;&gt;"")*($A$3:$A$502=تقرير_الشهر)*($B$3:$B$502=تقرير_السنة)*(ROW($C$3:$C$502)&lt;=ROW())),"")</f>
        <v/>
      </c>
    </row>
    <row r="19">
      <c r="A19" s="40" t="n"/>
      <c r="B19" s="59" t="n"/>
      <c r="C19" s="40" t="n"/>
      <c r="D19" s="43">
        <f>IFERROR(INDEX(الموظفون_الاسم,MATCH($C19,الموظفون_الرقم,0)),"")</f>
        <v/>
      </c>
      <c r="E19" s="43">
        <f>IFERROR(INDEX(الموظفون_الإدارة,MATCH($C19,الموظفون_الرقم,0)),"")</f>
        <v/>
      </c>
      <c r="F19" s="43">
        <f>IFERROR(INDEX(الموظفون_القسم,MATCH($C19,الموظفون_الرقم,0)),"")</f>
        <v/>
      </c>
      <c r="G19" s="60">
        <f>IF($C19="","",IFERROR(INDEX(الموظفون_الاساسي,MATCH($C19,الموظفون_الرقم,0)),0))</f>
        <v/>
      </c>
      <c r="H19" s="42" t="n"/>
      <c r="I19" s="42" t="n"/>
      <c r="J19" s="42" t="n"/>
      <c r="K19" s="42" t="n"/>
      <c r="L19" s="42" t="n"/>
      <c r="M19" s="61" t="n"/>
      <c r="N19" s="42" t="n"/>
      <c r="O19" s="42" t="n"/>
      <c r="P19" s="42" t="n"/>
      <c r="Q19" s="42" t="n"/>
      <c r="R19" s="42" t="n"/>
      <c r="S19" s="60">
        <f>IF($C19="","",SUM($G19:$L19))</f>
        <v/>
      </c>
      <c r="T19" s="60">
        <f>IF($C19="","",SUM($N19:$R19))</f>
        <v/>
      </c>
      <c r="U19" s="60">
        <f>IF($C19="","",$S19-$T19)</f>
        <v/>
      </c>
      <c r="V19" s="40" t="n"/>
      <c r="W19" s="110" t="n"/>
      <c r="X19" s="40" t="n"/>
      <c r="Y19" s="43">
        <f>IF($C19="","",IF(SUMPRODUCT(($C$3:$C$502=$C19)*($A$3:$A$502=$A19)*($B$3:$B$502=$B19))&gt;1,"⚠ مكرر","سليم"))</f>
        <v/>
      </c>
      <c r="Z19">
        <f>IF(AND($C19&lt;&gt;"",$A19=تقرير_الشهر,$B19=تقرير_السنة),SUMPRODUCT(($C$3:$C$502&lt;&gt;"")*($A$3:$A$502=تقرير_الشهر)*($B$3:$B$502=تقرير_السنة)*(ROW($C$3:$C$502)&lt;=ROW())),"")</f>
        <v/>
      </c>
    </row>
    <row r="20">
      <c r="A20" s="47" t="n"/>
      <c r="B20" s="62" t="n"/>
      <c r="C20" s="47" t="n"/>
      <c r="D20" s="50">
        <f>IFERROR(INDEX(الموظفون_الاسم,MATCH($C20,الموظفون_الرقم,0)),"")</f>
        <v/>
      </c>
      <c r="E20" s="50">
        <f>IFERROR(INDEX(الموظفون_الإدارة,MATCH($C20,الموظفون_الرقم,0)),"")</f>
        <v/>
      </c>
      <c r="F20" s="50">
        <f>IFERROR(INDEX(الموظفون_القسم,MATCH($C20,الموظفون_الرقم,0)),"")</f>
        <v/>
      </c>
      <c r="G20" s="63">
        <f>IF($C20="","",IFERROR(INDEX(الموظفون_الاساسي,MATCH($C20,الموظفون_الرقم,0)),0))</f>
        <v/>
      </c>
      <c r="H20" s="49" t="n"/>
      <c r="I20" s="49" t="n"/>
      <c r="J20" s="49" t="n"/>
      <c r="K20" s="49" t="n"/>
      <c r="L20" s="49" t="n"/>
      <c r="M20" s="64" t="n"/>
      <c r="N20" s="49" t="n"/>
      <c r="O20" s="49" t="n"/>
      <c r="P20" s="49" t="n"/>
      <c r="Q20" s="49" t="n"/>
      <c r="R20" s="49" t="n"/>
      <c r="S20" s="63">
        <f>IF($C20="","",SUM($G20:$L20))</f>
        <v/>
      </c>
      <c r="T20" s="63">
        <f>IF($C20="","",SUM($N20:$R20))</f>
        <v/>
      </c>
      <c r="U20" s="63">
        <f>IF($C20="","",$S20-$T20)</f>
        <v/>
      </c>
      <c r="V20" s="47" t="n"/>
      <c r="W20" s="112" t="n"/>
      <c r="X20" s="47" t="n"/>
      <c r="Y20" s="50">
        <f>IF($C20="","",IF(SUMPRODUCT(($C$3:$C$502=$C20)*($A$3:$A$502=$A20)*($B$3:$B$502=$B20))&gt;1,"⚠ مكرر","سليم"))</f>
        <v/>
      </c>
      <c r="Z20">
        <f>IF(AND($C20&lt;&gt;"",$A20=تقرير_الشهر,$B20=تقرير_السنة),SUMPRODUCT(($C$3:$C$502&lt;&gt;"")*($A$3:$A$502=تقرير_الشهر)*($B$3:$B$502=تقرير_السنة)*(ROW($C$3:$C$502)&lt;=ROW())),"")</f>
        <v/>
      </c>
    </row>
    <row r="21">
      <c r="A21" s="40" t="n"/>
      <c r="B21" s="59" t="n"/>
      <c r="C21" s="40" t="n"/>
      <c r="D21" s="43">
        <f>IFERROR(INDEX(الموظفون_الاسم,MATCH($C21,الموظفون_الرقم,0)),"")</f>
        <v/>
      </c>
      <c r="E21" s="43">
        <f>IFERROR(INDEX(الموظفون_الإدارة,MATCH($C21,الموظفون_الرقم,0)),"")</f>
        <v/>
      </c>
      <c r="F21" s="43">
        <f>IFERROR(INDEX(الموظفون_القسم,MATCH($C21,الموظفون_الرقم,0)),"")</f>
        <v/>
      </c>
      <c r="G21" s="60">
        <f>IF($C21="","",IFERROR(INDEX(الموظفون_الاساسي,MATCH($C21,الموظفون_الرقم,0)),0))</f>
        <v/>
      </c>
      <c r="H21" s="42" t="n"/>
      <c r="I21" s="42" t="n"/>
      <c r="J21" s="42" t="n"/>
      <c r="K21" s="42" t="n"/>
      <c r="L21" s="42" t="n"/>
      <c r="M21" s="61" t="n"/>
      <c r="N21" s="42" t="n"/>
      <c r="O21" s="42" t="n"/>
      <c r="P21" s="42" t="n"/>
      <c r="Q21" s="42" t="n"/>
      <c r="R21" s="42" t="n"/>
      <c r="S21" s="60">
        <f>IF($C21="","",SUM($G21:$L21))</f>
        <v/>
      </c>
      <c r="T21" s="60">
        <f>IF($C21="","",SUM($N21:$R21))</f>
        <v/>
      </c>
      <c r="U21" s="60">
        <f>IF($C21="","",$S21-$T21)</f>
        <v/>
      </c>
      <c r="V21" s="40" t="n"/>
      <c r="W21" s="110" t="n"/>
      <c r="X21" s="40" t="n"/>
      <c r="Y21" s="43">
        <f>IF($C21="","",IF(SUMPRODUCT(($C$3:$C$502=$C21)*($A$3:$A$502=$A21)*($B$3:$B$502=$B21))&gt;1,"⚠ مكرر","سليم"))</f>
        <v/>
      </c>
      <c r="Z21">
        <f>IF(AND($C21&lt;&gt;"",$A21=تقرير_الشهر,$B21=تقرير_السنة),SUMPRODUCT(($C$3:$C$502&lt;&gt;"")*($A$3:$A$502=تقرير_الشهر)*($B$3:$B$502=تقرير_السنة)*(ROW($C$3:$C$502)&lt;=ROW())),"")</f>
        <v/>
      </c>
    </row>
    <row r="22">
      <c r="A22" s="47" t="n"/>
      <c r="B22" s="62" t="n"/>
      <c r="C22" s="47" t="n"/>
      <c r="D22" s="50">
        <f>IFERROR(INDEX(الموظفون_الاسم,MATCH($C22,الموظفون_الرقم,0)),"")</f>
        <v/>
      </c>
      <c r="E22" s="50">
        <f>IFERROR(INDEX(الموظفون_الإدارة,MATCH($C22,الموظفون_الرقم,0)),"")</f>
        <v/>
      </c>
      <c r="F22" s="50">
        <f>IFERROR(INDEX(الموظفون_القسم,MATCH($C22,الموظفون_الرقم,0)),"")</f>
        <v/>
      </c>
      <c r="G22" s="63">
        <f>IF($C22="","",IFERROR(INDEX(الموظفون_الاساسي,MATCH($C22,الموظفون_الرقم,0)),0))</f>
        <v/>
      </c>
      <c r="H22" s="49" t="n"/>
      <c r="I22" s="49" t="n"/>
      <c r="J22" s="49" t="n"/>
      <c r="K22" s="49" t="n"/>
      <c r="L22" s="49" t="n"/>
      <c r="M22" s="64" t="n"/>
      <c r="N22" s="49" t="n"/>
      <c r="O22" s="49" t="n"/>
      <c r="P22" s="49" t="n"/>
      <c r="Q22" s="49" t="n"/>
      <c r="R22" s="49" t="n"/>
      <c r="S22" s="63">
        <f>IF($C22="","",SUM($G22:$L22))</f>
        <v/>
      </c>
      <c r="T22" s="63">
        <f>IF($C22="","",SUM($N22:$R22))</f>
        <v/>
      </c>
      <c r="U22" s="63">
        <f>IF($C22="","",$S22-$T22)</f>
        <v/>
      </c>
      <c r="V22" s="47" t="n"/>
      <c r="W22" s="112" t="n"/>
      <c r="X22" s="47" t="n"/>
      <c r="Y22" s="50">
        <f>IF($C22="","",IF(SUMPRODUCT(($C$3:$C$502=$C22)*($A$3:$A$502=$A22)*($B$3:$B$502=$B22))&gt;1,"⚠ مكرر","سليم"))</f>
        <v/>
      </c>
      <c r="Z22">
        <f>IF(AND($C22&lt;&gt;"",$A22=تقرير_الشهر,$B22=تقرير_السنة),SUMPRODUCT(($C$3:$C$502&lt;&gt;"")*($A$3:$A$502=تقرير_الشهر)*($B$3:$B$502=تقرير_السنة)*(ROW($C$3:$C$502)&lt;=ROW())),"")</f>
        <v/>
      </c>
    </row>
    <row r="23">
      <c r="A23" s="40" t="n"/>
      <c r="B23" s="59" t="n"/>
      <c r="C23" s="40" t="n"/>
      <c r="D23" s="43">
        <f>IFERROR(INDEX(الموظفون_الاسم,MATCH($C23,الموظفون_الرقم,0)),"")</f>
        <v/>
      </c>
      <c r="E23" s="43">
        <f>IFERROR(INDEX(الموظفون_الإدارة,MATCH($C23,الموظفون_الرقم,0)),"")</f>
        <v/>
      </c>
      <c r="F23" s="43">
        <f>IFERROR(INDEX(الموظفون_القسم,MATCH($C23,الموظفون_الرقم,0)),"")</f>
        <v/>
      </c>
      <c r="G23" s="60">
        <f>IF($C23="","",IFERROR(INDEX(الموظفون_الاساسي,MATCH($C23,الموظفون_الرقم,0)),0))</f>
        <v/>
      </c>
      <c r="H23" s="42" t="n"/>
      <c r="I23" s="42" t="n"/>
      <c r="J23" s="42" t="n"/>
      <c r="K23" s="42" t="n"/>
      <c r="L23" s="42" t="n"/>
      <c r="M23" s="61" t="n"/>
      <c r="N23" s="42" t="n"/>
      <c r="O23" s="42" t="n"/>
      <c r="P23" s="42" t="n"/>
      <c r="Q23" s="42" t="n"/>
      <c r="R23" s="42" t="n"/>
      <c r="S23" s="60">
        <f>IF($C23="","",SUM($G23:$L23))</f>
        <v/>
      </c>
      <c r="T23" s="60">
        <f>IF($C23="","",SUM($N23:$R23))</f>
        <v/>
      </c>
      <c r="U23" s="60">
        <f>IF($C23="","",$S23-$T23)</f>
        <v/>
      </c>
      <c r="V23" s="40" t="n"/>
      <c r="W23" s="110" t="n"/>
      <c r="X23" s="40" t="n"/>
      <c r="Y23" s="43">
        <f>IF($C23="","",IF(SUMPRODUCT(($C$3:$C$502=$C23)*($A$3:$A$502=$A23)*($B$3:$B$502=$B23))&gt;1,"⚠ مكرر","سليم"))</f>
        <v/>
      </c>
      <c r="Z23">
        <f>IF(AND($C23&lt;&gt;"",$A23=تقرير_الشهر,$B23=تقرير_السنة),SUMPRODUCT(($C$3:$C$502&lt;&gt;"")*($A$3:$A$502=تقرير_الشهر)*($B$3:$B$502=تقرير_السنة)*(ROW($C$3:$C$502)&lt;=ROW())),"")</f>
        <v/>
      </c>
    </row>
    <row r="24">
      <c r="A24" s="47" t="n"/>
      <c r="B24" s="62" t="n"/>
      <c r="C24" s="47" t="n"/>
      <c r="D24" s="50">
        <f>IFERROR(INDEX(الموظفون_الاسم,MATCH($C24,الموظفون_الرقم,0)),"")</f>
        <v/>
      </c>
      <c r="E24" s="50">
        <f>IFERROR(INDEX(الموظفون_الإدارة,MATCH($C24,الموظفون_الرقم,0)),"")</f>
        <v/>
      </c>
      <c r="F24" s="50">
        <f>IFERROR(INDEX(الموظفون_القسم,MATCH($C24,الموظفون_الرقم,0)),"")</f>
        <v/>
      </c>
      <c r="G24" s="63">
        <f>IF($C24="","",IFERROR(INDEX(الموظفون_الاساسي,MATCH($C24,الموظفون_الرقم,0)),0))</f>
        <v/>
      </c>
      <c r="H24" s="49" t="n"/>
      <c r="I24" s="49" t="n"/>
      <c r="J24" s="49" t="n"/>
      <c r="K24" s="49" t="n"/>
      <c r="L24" s="49" t="n"/>
      <c r="M24" s="64" t="n"/>
      <c r="N24" s="49" t="n"/>
      <c r="O24" s="49" t="n"/>
      <c r="P24" s="49" t="n"/>
      <c r="Q24" s="49" t="n"/>
      <c r="R24" s="49" t="n"/>
      <c r="S24" s="63">
        <f>IF($C24="","",SUM($G24:$L24))</f>
        <v/>
      </c>
      <c r="T24" s="63">
        <f>IF($C24="","",SUM($N24:$R24))</f>
        <v/>
      </c>
      <c r="U24" s="63">
        <f>IF($C24="","",$S24-$T24)</f>
        <v/>
      </c>
      <c r="V24" s="47" t="n"/>
      <c r="W24" s="112" t="n"/>
      <c r="X24" s="47" t="n"/>
      <c r="Y24" s="50">
        <f>IF($C24="","",IF(SUMPRODUCT(($C$3:$C$502=$C24)*($A$3:$A$502=$A24)*($B$3:$B$502=$B24))&gt;1,"⚠ مكرر","سليم"))</f>
        <v/>
      </c>
      <c r="Z24">
        <f>IF(AND($C24&lt;&gt;"",$A24=تقرير_الشهر,$B24=تقرير_السنة),SUMPRODUCT(($C$3:$C$502&lt;&gt;"")*($A$3:$A$502=تقرير_الشهر)*($B$3:$B$502=تقرير_السنة)*(ROW($C$3:$C$502)&lt;=ROW())),"")</f>
        <v/>
      </c>
    </row>
    <row r="25">
      <c r="A25" s="40" t="n"/>
      <c r="B25" s="59" t="n"/>
      <c r="C25" s="40" t="n"/>
      <c r="D25" s="43">
        <f>IFERROR(INDEX(الموظفون_الاسم,MATCH($C25,الموظفون_الرقم,0)),"")</f>
        <v/>
      </c>
      <c r="E25" s="43">
        <f>IFERROR(INDEX(الموظفون_الإدارة,MATCH($C25,الموظفون_الرقم,0)),"")</f>
        <v/>
      </c>
      <c r="F25" s="43">
        <f>IFERROR(INDEX(الموظفون_القسم,MATCH($C25,الموظفون_الرقم,0)),"")</f>
        <v/>
      </c>
      <c r="G25" s="60">
        <f>IF($C25="","",IFERROR(INDEX(الموظفون_الاساسي,MATCH($C25,الموظفون_الرقم,0)),0))</f>
        <v/>
      </c>
      <c r="H25" s="42" t="n"/>
      <c r="I25" s="42" t="n"/>
      <c r="J25" s="42" t="n"/>
      <c r="K25" s="42" t="n"/>
      <c r="L25" s="42" t="n"/>
      <c r="M25" s="61" t="n"/>
      <c r="N25" s="42" t="n"/>
      <c r="O25" s="42" t="n"/>
      <c r="P25" s="42" t="n"/>
      <c r="Q25" s="42" t="n"/>
      <c r="R25" s="42" t="n"/>
      <c r="S25" s="60">
        <f>IF($C25="","",SUM($G25:$L25))</f>
        <v/>
      </c>
      <c r="T25" s="60">
        <f>IF($C25="","",SUM($N25:$R25))</f>
        <v/>
      </c>
      <c r="U25" s="60">
        <f>IF($C25="","",$S25-$T25)</f>
        <v/>
      </c>
      <c r="V25" s="40" t="n"/>
      <c r="W25" s="110" t="n"/>
      <c r="X25" s="40" t="n"/>
      <c r="Y25" s="43">
        <f>IF($C25="","",IF(SUMPRODUCT(($C$3:$C$502=$C25)*($A$3:$A$502=$A25)*($B$3:$B$502=$B25))&gt;1,"⚠ مكرر","سليم"))</f>
        <v/>
      </c>
      <c r="Z25">
        <f>IF(AND($C25&lt;&gt;"",$A25=تقرير_الشهر,$B25=تقرير_السنة),SUMPRODUCT(($C$3:$C$502&lt;&gt;"")*($A$3:$A$502=تقرير_الشهر)*($B$3:$B$502=تقرير_السنة)*(ROW($C$3:$C$502)&lt;=ROW())),"")</f>
        <v/>
      </c>
    </row>
    <row r="26">
      <c r="A26" s="47" t="n"/>
      <c r="B26" s="62" t="n"/>
      <c r="C26" s="47" t="n"/>
      <c r="D26" s="50">
        <f>IFERROR(INDEX(الموظفون_الاسم,MATCH($C26,الموظفون_الرقم,0)),"")</f>
        <v/>
      </c>
      <c r="E26" s="50">
        <f>IFERROR(INDEX(الموظفون_الإدارة,MATCH($C26,الموظفون_الرقم,0)),"")</f>
        <v/>
      </c>
      <c r="F26" s="50">
        <f>IFERROR(INDEX(الموظفون_القسم,MATCH($C26,الموظفون_الرقم,0)),"")</f>
        <v/>
      </c>
      <c r="G26" s="63">
        <f>IF($C26="","",IFERROR(INDEX(الموظفون_الاساسي,MATCH($C26,الموظفون_الرقم,0)),0))</f>
        <v/>
      </c>
      <c r="H26" s="49" t="n"/>
      <c r="I26" s="49" t="n"/>
      <c r="J26" s="49" t="n"/>
      <c r="K26" s="49" t="n"/>
      <c r="L26" s="49" t="n"/>
      <c r="M26" s="64" t="n"/>
      <c r="N26" s="49" t="n"/>
      <c r="O26" s="49" t="n"/>
      <c r="P26" s="49" t="n"/>
      <c r="Q26" s="49" t="n"/>
      <c r="R26" s="49" t="n"/>
      <c r="S26" s="63">
        <f>IF($C26="","",SUM($G26:$L26))</f>
        <v/>
      </c>
      <c r="T26" s="63">
        <f>IF($C26="","",SUM($N26:$R26))</f>
        <v/>
      </c>
      <c r="U26" s="63">
        <f>IF($C26="","",$S26-$T26)</f>
        <v/>
      </c>
      <c r="V26" s="47" t="n"/>
      <c r="W26" s="112" t="n"/>
      <c r="X26" s="47" t="n"/>
      <c r="Y26" s="50">
        <f>IF($C26="","",IF(SUMPRODUCT(($C$3:$C$502=$C26)*($A$3:$A$502=$A26)*($B$3:$B$502=$B26))&gt;1,"⚠ مكرر","سليم"))</f>
        <v/>
      </c>
      <c r="Z26">
        <f>IF(AND($C26&lt;&gt;"",$A26=تقرير_الشهر,$B26=تقرير_السنة),SUMPRODUCT(($C$3:$C$502&lt;&gt;"")*($A$3:$A$502=تقرير_الشهر)*($B$3:$B$502=تقرير_السنة)*(ROW($C$3:$C$502)&lt;=ROW())),"")</f>
        <v/>
      </c>
    </row>
    <row r="27">
      <c r="A27" s="40" t="n"/>
      <c r="B27" s="59" t="n"/>
      <c r="C27" s="40" t="n"/>
      <c r="D27" s="43">
        <f>IFERROR(INDEX(الموظفون_الاسم,MATCH($C27,الموظفون_الرقم,0)),"")</f>
        <v/>
      </c>
      <c r="E27" s="43">
        <f>IFERROR(INDEX(الموظفون_الإدارة,MATCH($C27,الموظفون_الرقم,0)),"")</f>
        <v/>
      </c>
      <c r="F27" s="43">
        <f>IFERROR(INDEX(الموظفون_القسم,MATCH($C27,الموظفون_الرقم,0)),"")</f>
        <v/>
      </c>
      <c r="G27" s="60">
        <f>IF($C27="","",IFERROR(INDEX(الموظفون_الاساسي,MATCH($C27,الموظفون_الرقم,0)),0))</f>
        <v/>
      </c>
      <c r="H27" s="42" t="n"/>
      <c r="I27" s="42" t="n"/>
      <c r="J27" s="42" t="n"/>
      <c r="K27" s="42" t="n"/>
      <c r="L27" s="42" t="n"/>
      <c r="M27" s="61" t="n"/>
      <c r="N27" s="42" t="n"/>
      <c r="O27" s="42" t="n"/>
      <c r="P27" s="42" t="n"/>
      <c r="Q27" s="42" t="n"/>
      <c r="R27" s="42" t="n"/>
      <c r="S27" s="60">
        <f>IF($C27="","",SUM($G27:$L27))</f>
        <v/>
      </c>
      <c r="T27" s="60">
        <f>IF($C27="","",SUM($N27:$R27))</f>
        <v/>
      </c>
      <c r="U27" s="60">
        <f>IF($C27="","",$S27-$T27)</f>
        <v/>
      </c>
      <c r="V27" s="40" t="n"/>
      <c r="W27" s="110" t="n"/>
      <c r="X27" s="40" t="n"/>
      <c r="Y27" s="43">
        <f>IF($C27="","",IF(SUMPRODUCT(($C$3:$C$502=$C27)*($A$3:$A$502=$A27)*($B$3:$B$502=$B27))&gt;1,"⚠ مكرر","سليم"))</f>
        <v/>
      </c>
      <c r="Z27">
        <f>IF(AND($C27&lt;&gt;"",$A27=تقرير_الشهر,$B27=تقرير_السنة),SUMPRODUCT(($C$3:$C$502&lt;&gt;"")*($A$3:$A$502=تقرير_الشهر)*($B$3:$B$502=تقرير_السنة)*(ROW($C$3:$C$502)&lt;=ROW())),"")</f>
        <v/>
      </c>
    </row>
    <row r="28">
      <c r="A28" s="47" t="n"/>
      <c r="B28" s="62" t="n"/>
      <c r="C28" s="47" t="n"/>
      <c r="D28" s="50">
        <f>IFERROR(INDEX(الموظفون_الاسم,MATCH($C28,الموظفون_الرقم,0)),"")</f>
        <v/>
      </c>
      <c r="E28" s="50">
        <f>IFERROR(INDEX(الموظفون_الإدارة,MATCH($C28,الموظفون_الرقم,0)),"")</f>
        <v/>
      </c>
      <c r="F28" s="50">
        <f>IFERROR(INDEX(الموظفون_القسم,MATCH($C28,الموظفون_الرقم,0)),"")</f>
        <v/>
      </c>
      <c r="G28" s="63">
        <f>IF($C28="","",IFERROR(INDEX(الموظفون_الاساسي,MATCH($C28,الموظفون_الرقم,0)),0))</f>
        <v/>
      </c>
      <c r="H28" s="49" t="n"/>
      <c r="I28" s="49" t="n"/>
      <c r="J28" s="49" t="n"/>
      <c r="K28" s="49" t="n"/>
      <c r="L28" s="49" t="n"/>
      <c r="M28" s="64" t="n"/>
      <c r="N28" s="49" t="n"/>
      <c r="O28" s="49" t="n"/>
      <c r="P28" s="49" t="n"/>
      <c r="Q28" s="49" t="n"/>
      <c r="R28" s="49" t="n"/>
      <c r="S28" s="63">
        <f>IF($C28="","",SUM($G28:$L28))</f>
        <v/>
      </c>
      <c r="T28" s="63">
        <f>IF($C28="","",SUM($N28:$R28))</f>
        <v/>
      </c>
      <c r="U28" s="63">
        <f>IF($C28="","",$S28-$T28)</f>
        <v/>
      </c>
      <c r="V28" s="47" t="n"/>
      <c r="W28" s="112" t="n"/>
      <c r="X28" s="47" t="n"/>
      <c r="Y28" s="50">
        <f>IF($C28="","",IF(SUMPRODUCT(($C$3:$C$502=$C28)*($A$3:$A$502=$A28)*($B$3:$B$502=$B28))&gt;1,"⚠ مكرر","سليم"))</f>
        <v/>
      </c>
      <c r="Z28">
        <f>IF(AND($C28&lt;&gt;"",$A28=تقرير_الشهر,$B28=تقرير_السنة),SUMPRODUCT(($C$3:$C$502&lt;&gt;"")*($A$3:$A$502=تقرير_الشهر)*($B$3:$B$502=تقرير_السنة)*(ROW($C$3:$C$502)&lt;=ROW())),"")</f>
        <v/>
      </c>
    </row>
    <row r="29">
      <c r="A29" s="40" t="n"/>
      <c r="B29" s="59" t="n"/>
      <c r="C29" s="40" t="n"/>
      <c r="D29" s="43">
        <f>IFERROR(INDEX(الموظفون_الاسم,MATCH($C29,الموظفون_الرقم,0)),"")</f>
        <v/>
      </c>
      <c r="E29" s="43">
        <f>IFERROR(INDEX(الموظفون_الإدارة,MATCH($C29,الموظفون_الرقم,0)),"")</f>
        <v/>
      </c>
      <c r="F29" s="43">
        <f>IFERROR(INDEX(الموظفون_القسم,MATCH($C29,الموظفون_الرقم,0)),"")</f>
        <v/>
      </c>
      <c r="G29" s="60">
        <f>IF($C29="","",IFERROR(INDEX(الموظفون_الاساسي,MATCH($C29,الموظفون_الرقم,0)),0))</f>
        <v/>
      </c>
      <c r="H29" s="42" t="n"/>
      <c r="I29" s="42" t="n"/>
      <c r="J29" s="42" t="n"/>
      <c r="K29" s="42" t="n"/>
      <c r="L29" s="42" t="n"/>
      <c r="M29" s="61" t="n"/>
      <c r="N29" s="42" t="n"/>
      <c r="O29" s="42" t="n"/>
      <c r="P29" s="42" t="n"/>
      <c r="Q29" s="42" t="n"/>
      <c r="R29" s="42" t="n"/>
      <c r="S29" s="60">
        <f>IF($C29="","",SUM($G29:$L29))</f>
        <v/>
      </c>
      <c r="T29" s="60">
        <f>IF($C29="","",SUM($N29:$R29))</f>
        <v/>
      </c>
      <c r="U29" s="60">
        <f>IF($C29="","",$S29-$T29)</f>
        <v/>
      </c>
      <c r="V29" s="40" t="n"/>
      <c r="W29" s="110" t="n"/>
      <c r="X29" s="40" t="n"/>
      <c r="Y29" s="43">
        <f>IF($C29="","",IF(SUMPRODUCT(($C$3:$C$502=$C29)*($A$3:$A$502=$A29)*($B$3:$B$502=$B29))&gt;1,"⚠ مكرر","سليم"))</f>
        <v/>
      </c>
      <c r="Z29">
        <f>IF(AND($C29&lt;&gt;"",$A29=تقرير_الشهر,$B29=تقرير_السنة),SUMPRODUCT(($C$3:$C$502&lt;&gt;"")*($A$3:$A$502=تقرير_الشهر)*($B$3:$B$502=تقرير_السنة)*(ROW($C$3:$C$502)&lt;=ROW())),"")</f>
        <v/>
      </c>
    </row>
    <row r="30">
      <c r="A30" s="47" t="n"/>
      <c r="B30" s="62" t="n"/>
      <c r="C30" s="47" t="n"/>
      <c r="D30" s="50">
        <f>IFERROR(INDEX(الموظفون_الاسم,MATCH($C30,الموظفون_الرقم,0)),"")</f>
        <v/>
      </c>
      <c r="E30" s="50">
        <f>IFERROR(INDEX(الموظفون_الإدارة,MATCH($C30,الموظفون_الرقم,0)),"")</f>
        <v/>
      </c>
      <c r="F30" s="50">
        <f>IFERROR(INDEX(الموظفون_القسم,MATCH($C30,الموظفون_الرقم,0)),"")</f>
        <v/>
      </c>
      <c r="G30" s="63">
        <f>IF($C30="","",IFERROR(INDEX(الموظفون_الاساسي,MATCH($C30,الموظفون_الرقم,0)),0))</f>
        <v/>
      </c>
      <c r="H30" s="49" t="n"/>
      <c r="I30" s="49" t="n"/>
      <c r="J30" s="49" t="n"/>
      <c r="K30" s="49" t="n"/>
      <c r="L30" s="49" t="n"/>
      <c r="M30" s="64" t="n"/>
      <c r="N30" s="49" t="n"/>
      <c r="O30" s="49" t="n"/>
      <c r="P30" s="49" t="n"/>
      <c r="Q30" s="49" t="n"/>
      <c r="R30" s="49" t="n"/>
      <c r="S30" s="63">
        <f>IF($C30="","",SUM($G30:$L30))</f>
        <v/>
      </c>
      <c r="T30" s="63">
        <f>IF($C30="","",SUM($N30:$R30))</f>
        <v/>
      </c>
      <c r="U30" s="63">
        <f>IF($C30="","",$S30-$T30)</f>
        <v/>
      </c>
      <c r="V30" s="47" t="n"/>
      <c r="W30" s="112" t="n"/>
      <c r="X30" s="47" t="n"/>
      <c r="Y30" s="50">
        <f>IF($C30="","",IF(SUMPRODUCT(($C$3:$C$502=$C30)*($A$3:$A$502=$A30)*($B$3:$B$502=$B30))&gt;1,"⚠ مكرر","سليم"))</f>
        <v/>
      </c>
      <c r="Z30">
        <f>IF(AND($C30&lt;&gt;"",$A30=تقرير_الشهر,$B30=تقرير_السنة),SUMPRODUCT(($C$3:$C$502&lt;&gt;"")*($A$3:$A$502=تقرير_الشهر)*($B$3:$B$502=تقرير_السنة)*(ROW($C$3:$C$502)&lt;=ROW())),"")</f>
        <v/>
      </c>
    </row>
    <row r="31">
      <c r="A31" s="40" t="n"/>
      <c r="B31" s="59" t="n"/>
      <c r="C31" s="40" t="n"/>
      <c r="D31" s="43">
        <f>IFERROR(INDEX(الموظفون_الاسم,MATCH($C31,الموظفون_الرقم,0)),"")</f>
        <v/>
      </c>
      <c r="E31" s="43">
        <f>IFERROR(INDEX(الموظفون_الإدارة,MATCH($C31,الموظفون_الرقم,0)),"")</f>
        <v/>
      </c>
      <c r="F31" s="43">
        <f>IFERROR(INDEX(الموظفون_القسم,MATCH($C31,الموظفون_الرقم,0)),"")</f>
        <v/>
      </c>
      <c r="G31" s="60">
        <f>IF($C31="","",IFERROR(INDEX(الموظفون_الاساسي,MATCH($C31,الموظفون_الرقم,0)),0))</f>
        <v/>
      </c>
      <c r="H31" s="42" t="n"/>
      <c r="I31" s="42" t="n"/>
      <c r="J31" s="42" t="n"/>
      <c r="K31" s="42" t="n"/>
      <c r="L31" s="42" t="n"/>
      <c r="M31" s="61" t="n"/>
      <c r="N31" s="42" t="n"/>
      <c r="O31" s="42" t="n"/>
      <c r="P31" s="42" t="n"/>
      <c r="Q31" s="42" t="n"/>
      <c r="R31" s="42" t="n"/>
      <c r="S31" s="60">
        <f>IF($C31="","",SUM($G31:$L31))</f>
        <v/>
      </c>
      <c r="T31" s="60">
        <f>IF($C31="","",SUM($N31:$R31))</f>
        <v/>
      </c>
      <c r="U31" s="60">
        <f>IF($C31="","",$S31-$T31)</f>
        <v/>
      </c>
      <c r="V31" s="40" t="n"/>
      <c r="W31" s="110" t="n"/>
      <c r="X31" s="40" t="n"/>
      <c r="Y31" s="43">
        <f>IF($C31="","",IF(SUMPRODUCT(($C$3:$C$502=$C31)*($A$3:$A$502=$A31)*($B$3:$B$502=$B31))&gt;1,"⚠ مكرر","سليم"))</f>
        <v/>
      </c>
      <c r="Z31">
        <f>IF(AND($C31&lt;&gt;"",$A31=تقرير_الشهر,$B31=تقرير_السنة),SUMPRODUCT(($C$3:$C$502&lt;&gt;"")*($A$3:$A$502=تقرير_الشهر)*($B$3:$B$502=تقرير_السنة)*(ROW($C$3:$C$502)&lt;=ROW())),"")</f>
        <v/>
      </c>
    </row>
    <row r="32">
      <c r="A32" s="47" t="n"/>
      <c r="B32" s="62" t="n"/>
      <c r="C32" s="47" t="n"/>
      <c r="D32" s="50">
        <f>IFERROR(INDEX(الموظفون_الاسم,MATCH($C32,الموظفون_الرقم,0)),"")</f>
        <v/>
      </c>
      <c r="E32" s="50">
        <f>IFERROR(INDEX(الموظفون_الإدارة,MATCH($C32,الموظفون_الرقم,0)),"")</f>
        <v/>
      </c>
      <c r="F32" s="50">
        <f>IFERROR(INDEX(الموظفون_القسم,MATCH($C32,الموظفون_الرقم,0)),"")</f>
        <v/>
      </c>
      <c r="G32" s="63">
        <f>IF($C32="","",IFERROR(INDEX(الموظفون_الاساسي,MATCH($C32,الموظفون_الرقم,0)),0))</f>
        <v/>
      </c>
      <c r="H32" s="49" t="n"/>
      <c r="I32" s="49" t="n"/>
      <c r="J32" s="49" t="n"/>
      <c r="K32" s="49" t="n"/>
      <c r="L32" s="49" t="n"/>
      <c r="M32" s="64" t="n"/>
      <c r="N32" s="49" t="n"/>
      <c r="O32" s="49" t="n"/>
      <c r="P32" s="49" t="n"/>
      <c r="Q32" s="49" t="n"/>
      <c r="R32" s="49" t="n"/>
      <c r="S32" s="63">
        <f>IF($C32="","",SUM($G32:$L32))</f>
        <v/>
      </c>
      <c r="T32" s="63">
        <f>IF($C32="","",SUM($N32:$R32))</f>
        <v/>
      </c>
      <c r="U32" s="63">
        <f>IF($C32="","",$S32-$T32)</f>
        <v/>
      </c>
      <c r="V32" s="47" t="n"/>
      <c r="W32" s="112" t="n"/>
      <c r="X32" s="47" t="n"/>
      <c r="Y32" s="50">
        <f>IF($C32="","",IF(SUMPRODUCT(($C$3:$C$502=$C32)*($A$3:$A$502=$A32)*($B$3:$B$502=$B32))&gt;1,"⚠ مكرر","سليم"))</f>
        <v/>
      </c>
      <c r="Z32">
        <f>IF(AND($C32&lt;&gt;"",$A32=تقرير_الشهر,$B32=تقرير_السنة),SUMPRODUCT(($C$3:$C$502&lt;&gt;"")*($A$3:$A$502=تقرير_الشهر)*($B$3:$B$502=تقرير_السنة)*(ROW($C$3:$C$502)&lt;=ROW())),"")</f>
        <v/>
      </c>
    </row>
    <row r="33">
      <c r="A33" s="40" t="n"/>
      <c r="B33" s="59" t="n"/>
      <c r="C33" s="40" t="n"/>
      <c r="D33" s="43">
        <f>IFERROR(INDEX(الموظفون_الاسم,MATCH($C33,الموظفون_الرقم,0)),"")</f>
        <v/>
      </c>
      <c r="E33" s="43">
        <f>IFERROR(INDEX(الموظفون_الإدارة,MATCH($C33,الموظفون_الرقم,0)),"")</f>
        <v/>
      </c>
      <c r="F33" s="43">
        <f>IFERROR(INDEX(الموظفون_القسم,MATCH($C33,الموظفون_الرقم,0)),"")</f>
        <v/>
      </c>
      <c r="G33" s="60">
        <f>IF($C33="","",IFERROR(INDEX(الموظفون_الاساسي,MATCH($C33,الموظفون_الرقم,0)),0))</f>
        <v/>
      </c>
      <c r="H33" s="42" t="n"/>
      <c r="I33" s="42" t="n"/>
      <c r="J33" s="42" t="n"/>
      <c r="K33" s="42" t="n"/>
      <c r="L33" s="42" t="n"/>
      <c r="M33" s="61" t="n"/>
      <c r="N33" s="42" t="n"/>
      <c r="O33" s="42" t="n"/>
      <c r="P33" s="42" t="n"/>
      <c r="Q33" s="42" t="n"/>
      <c r="R33" s="42" t="n"/>
      <c r="S33" s="60">
        <f>IF($C33="","",SUM($G33:$L33))</f>
        <v/>
      </c>
      <c r="T33" s="60">
        <f>IF($C33="","",SUM($N33:$R33))</f>
        <v/>
      </c>
      <c r="U33" s="60">
        <f>IF($C33="","",$S33-$T33)</f>
        <v/>
      </c>
      <c r="V33" s="40" t="n"/>
      <c r="W33" s="110" t="n"/>
      <c r="X33" s="40" t="n"/>
      <c r="Y33" s="43">
        <f>IF($C33="","",IF(SUMPRODUCT(($C$3:$C$502=$C33)*($A$3:$A$502=$A33)*($B$3:$B$502=$B33))&gt;1,"⚠ مكرر","سليم"))</f>
        <v/>
      </c>
      <c r="Z33">
        <f>IF(AND($C33&lt;&gt;"",$A33=تقرير_الشهر,$B33=تقرير_السنة),SUMPRODUCT(($C$3:$C$502&lt;&gt;"")*($A$3:$A$502=تقرير_الشهر)*($B$3:$B$502=تقرير_السنة)*(ROW($C$3:$C$502)&lt;=ROW())),"")</f>
        <v/>
      </c>
    </row>
    <row r="34">
      <c r="A34" s="47" t="n"/>
      <c r="B34" s="62" t="n"/>
      <c r="C34" s="47" t="n"/>
      <c r="D34" s="50">
        <f>IFERROR(INDEX(الموظفون_الاسم,MATCH($C34,الموظفون_الرقم,0)),"")</f>
        <v/>
      </c>
      <c r="E34" s="50">
        <f>IFERROR(INDEX(الموظفون_الإدارة,MATCH($C34,الموظفون_الرقم,0)),"")</f>
        <v/>
      </c>
      <c r="F34" s="50">
        <f>IFERROR(INDEX(الموظفون_القسم,MATCH($C34,الموظفون_الرقم,0)),"")</f>
        <v/>
      </c>
      <c r="G34" s="63">
        <f>IF($C34="","",IFERROR(INDEX(الموظفون_الاساسي,MATCH($C34,الموظفون_الرقم,0)),0))</f>
        <v/>
      </c>
      <c r="H34" s="49" t="n"/>
      <c r="I34" s="49" t="n"/>
      <c r="J34" s="49" t="n"/>
      <c r="K34" s="49" t="n"/>
      <c r="L34" s="49" t="n"/>
      <c r="M34" s="64" t="n"/>
      <c r="N34" s="49" t="n"/>
      <c r="O34" s="49" t="n"/>
      <c r="P34" s="49" t="n"/>
      <c r="Q34" s="49" t="n"/>
      <c r="R34" s="49" t="n"/>
      <c r="S34" s="63">
        <f>IF($C34="","",SUM($G34:$L34))</f>
        <v/>
      </c>
      <c r="T34" s="63">
        <f>IF($C34="","",SUM($N34:$R34))</f>
        <v/>
      </c>
      <c r="U34" s="63">
        <f>IF($C34="","",$S34-$T34)</f>
        <v/>
      </c>
      <c r="V34" s="47" t="n"/>
      <c r="W34" s="112" t="n"/>
      <c r="X34" s="47" t="n"/>
      <c r="Y34" s="50">
        <f>IF($C34="","",IF(SUMPRODUCT(($C$3:$C$502=$C34)*($A$3:$A$502=$A34)*($B$3:$B$502=$B34))&gt;1,"⚠ مكرر","سليم"))</f>
        <v/>
      </c>
      <c r="Z34">
        <f>IF(AND($C34&lt;&gt;"",$A34=تقرير_الشهر,$B34=تقرير_السنة),SUMPRODUCT(($C$3:$C$502&lt;&gt;"")*($A$3:$A$502=تقرير_الشهر)*($B$3:$B$502=تقرير_السنة)*(ROW($C$3:$C$502)&lt;=ROW())),"")</f>
        <v/>
      </c>
    </row>
    <row r="35">
      <c r="A35" s="40" t="n"/>
      <c r="B35" s="59" t="n"/>
      <c r="C35" s="40" t="n"/>
      <c r="D35" s="43">
        <f>IFERROR(INDEX(الموظفون_الاسم,MATCH($C35,الموظفون_الرقم,0)),"")</f>
        <v/>
      </c>
      <c r="E35" s="43">
        <f>IFERROR(INDEX(الموظفون_الإدارة,MATCH($C35,الموظفون_الرقم,0)),"")</f>
        <v/>
      </c>
      <c r="F35" s="43">
        <f>IFERROR(INDEX(الموظفون_القسم,MATCH($C35,الموظفون_الرقم,0)),"")</f>
        <v/>
      </c>
      <c r="G35" s="60">
        <f>IF($C35="","",IFERROR(INDEX(الموظفون_الاساسي,MATCH($C35,الموظفون_الرقم,0)),0))</f>
        <v/>
      </c>
      <c r="H35" s="42" t="n"/>
      <c r="I35" s="42" t="n"/>
      <c r="J35" s="42" t="n"/>
      <c r="K35" s="42" t="n"/>
      <c r="L35" s="42" t="n"/>
      <c r="M35" s="61" t="n"/>
      <c r="N35" s="42" t="n"/>
      <c r="O35" s="42" t="n"/>
      <c r="P35" s="42" t="n"/>
      <c r="Q35" s="42" t="n"/>
      <c r="R35" s="42" t="n"/>
      <c r="S35" s="60">
        <f>IF($C35="","",SUM($G35:$L35))</f>
        <v/>
      </c>
      <c r="T35" s="60">
        <f>IF($C35="","",SUM($N35:$R35))</f>
        <v/>
      </c>
      <c r="U35" s="60">
        <f>IF($C35="","",$S35-$T35)</f>
        <v/>
      </c>
      <c r="V35" s="40" t="n"/>
      <c r="W35" s="110" t="n"/>
      <c r="X35" s="40" t="n"/>
      <c r="Y35" s="43">
        <f>IF($C35="","",IF(SUMPRODUCT(($C$3:$C$502=$C35)*($A$3:$A$502=$A35)*($B$3:$B$502=$B35))&gt;1,"⚠ مكرر","سليم"))</f>
        <v/>
      </c>
      <c r="Z35">
        <f>IF(AND($C35&lt;&gt;"",$A35=تقرير_الشهر,$B35=تقرير_السنة),SUMPRODUCT(($C$3:$C$502&lt;&gt;"")*($A$3:$A$502=تقرير_الشهر)*($B$3:$B$502=تقرير_السنة)*(ROW($C$3:$C$502)&lt;=ROW())),"")</f>
        <v/>
      </c>
    </row>
    <row r="36">
      <c r="A36" s="47" t="n"/>
      <c r="B36" s="62" t="n"/>
      <c r="C36" s="47" t="n"/>
      <c r="D36" s="50">
        <f>IFERROR(INDEX(الموظفون_الاسم,MATCH($C36,الموظفون_الرقم,0)),"")</f>
        <v/>
      </c>
      <c r="E36" s="50">
        <f>IFERROR(INDEX(الموظفون_الإدارة,MATCH($C36,الموظفون_الرقم,0)),"")</f>
        <v/>
      </c>
      <c r="F36" s="50">
        <f>IFERROR(INDEX(الموظفون_القسم,MATCH($C36,الموظفون_الرقم,0)),"")</f>
        <v/>
      </c>
      <c r="G36" s="63">
        <f>IF($C36="","",IFERROR(INDEX(الموظفون_الاساسي,MATCH($C36,الموظفون_الرقم,0)),0))</f>
        <v/>
      </c>
      <c r="H36" s="49" t="n"/>
      <c r="I36" s="49" t="n"/>
      <c r="J36" s="49" t="n"/>
      <c r="K36" s="49" t="n"/>
      <c r="L36" s="49" t="n"/>
      <c r="M36" s="64" t="n"/>
      <c r="N36" s="49" t="n"/>
      <c r="O36" s="49" t="n"/>
      <c r="P36" s="49" t="n"/>
      <c r="Q36" s="49" t="n"/>
      <c r="R36" s="49" t="n"/>
      <c r="S36" s="63">
        <f>IF($C36="","",SUM($G36:$L36))</f>
        <v/>
      </c>
      <c r="T36" s="63">
        <f>IF($C36="","",SUM($N36:$R36))</f>
        <v/>
      </c>
      <c r="U36" s="63">
        <f>IF($C36="","",$S36-$T36)</f>
        <v/>
      </c>
      <c r="V36" s="47" t="n"/>
      <c r="W36" s="112" t="n"/>
      <c r="X36" s="47" t="n"/>
      <c r="Y36" s="50">
        <f>IF($C36="","",IF(SUMPRODUCT(($C$3:$C$502=$C36)*($A$3:$A$502=$A36)*($B$3:$B$502=$B36))&gt;1,"⚠ مكرر","سليم"))</f>
        <v/>
      </c>
      <c r="Z36">
        <f>IF(AND($C36&lt;&gt;"",$A36=تقرير_الشهر,$B36=تقرير_السنة),SUMPRODUCT(($C$3:$C$502&lt;&gt;"")*($A$3:$A$502=تقرير_الشهر)*($B$3:$B$502=تقرير_السنة)*(ROW($C$3:$C$502)&lt;=ROW())),"")</f>
        <v/>
      </c>
    </row>
    <row r="37">
      <c r="A37" s="40" t="n"/>
      <c r="B37" s="59" t="n"/>
      <c r="C37" s="40" t="n"/>
      <c r="D37" s="43">
        <f>IFERROR(INDEX(الموظفون_الاسم,MATCH($C37,الموظفون_الرقم,0)),"")</f>
        <v/>
      </c>
      <c r="E37" s="43">
        <f>IFERROR(INDEX(الموظفون_الإدارة,MATCH($C37,الموظفون_الرقم,0)),"")</f>
        <v/>
      </c>
      <c r="F37" s="43">
        <f>IFERROR(INDEX(الموظفون_القسم,MATCH($C37,الموظفون_الرقم,0)),"")</f>
        <v/>
      </c>
      <c r="G37" s="60">
        <f>IF($C37="","",IFERROR(INDEX(الموظفون_الاساسي,MATCH($C37,الموظفون_الرقم,0)),0))</f>
        <v/>
      </c>
      <c r="H37" s="42" t="n"/>
      <c r="I37" s="42" t="n"/>
      <c r="J37" s="42" t="n"/>
      <c r="K37" s="42" t="n"/>
      <c r="L37" s="42" t="n"/>
      <c r="M37" s="61" t="n"/>
      <c r="N37" s="42" t="n"/>
      <c r="O37" s="42" t="n"/>
      <c r="P37" s="42" t="n"/>
      <c r="Q37" s="42" t="n"/>
      <c r="R37" s="42" t="n"/>
      <c r="S37" s="60">
        <f>IF($C37="","",SUM($G37:$L37))</f>
        <v/>
      </c>
      <c r="T37" s="60">
        <f>IF($C37="","",SUM($N37:$R37))</f>
        <v/>
      </c>
      <c r="U37" s="60">
        <f>IF($C37="","",$S37-$T37)</f>
        <v/>
      </c>
      <c r="V37" s="40" t="n"/>
      <c r="W37" s="110" t="n"/>
      <c r="X37" s="40" t="n"/>
      <c r="Y37" s="43">
        <f>IF($C37="","",IF(SUMPRODUCT(($C$3:$C$502=$C37)*($A$3:$A$502=$A37)*($B$3:$B$502=$B37))&gt;1,"⚠ مكرر","سليم"))</f>
        <v/>
      </c>
      <c r="Z37">
        <f>IF(AND($C37&lt;&gt;"",$A37=تقرير_الشهر,$B37=تقرير_السنة),SUMPRODUCT(($C$3:$C$502&lt;&gt;"")*($A$3:$A$502=تقرير_الشهر)*($B$3:$B$502=تقرير_السنة)*(ROW($C$3:$C$502)&lt;=ROW())),"")</f>
        <v/>
      </c>
    </row>
    <row r="38">
      <c r="A38" s="47" t="n"/>
      <c r="B38" s="62" t="n"/>
      <c r="C38" s="47" t="n"/>
      <c r="D38" s="50">
        <f>IFERROR(INDEX(الموظفون_الاسم,MATCH($C38,الموظفون_الرقم,0)),"")</f>
        <v/>
      </c>
      <c r="E38" s="50">
        <f>IFERROR(INDEX(الموظفون_الإدارة,MATCH($C38,الموظفون_الرقم,0)),"")</f>
        <v/>
      </c>
      <c r="F38" s="50">
        <f>IFERROR(INDEX(الموظفون_القسم,MATCH($C38,الموظفون_الرقم,0)),"")</f>
        <v/>
      </c>
      <c r="G38" s="63">
        <f>IF($C38="","",IFERROR(INDEX(الموظفون_الاساسي,MATCH($C38,الموظفون_الرقم,0)),0))</f>
        <v/>
      </c>
      <c r="H38" s="49" t="n"/>
      <c r="I38" s="49" t="n"/>
      <c r="J38" s="49" t="n"/>
      <c r="K38" s="49" t="n"/>
      <c r="L38" s="49" t="n"/>
      <c r="M38" s="64" t="n"/>
      <c r="N38" s="49" t="n"/>
      <c r="O38" s="49" t="n"/>
      <c r="P38" s="49" t="n"/>
      <c r="Q38" s="49" t="n"/>
      <c r="R38" s="49" t="n"/>
      <c r="S38" s="63">
        <f>IF($C38="","",SUM($G38:$L38))</f>
        <v/>
      </c>
      <c r="T38" s="63">
        <f>IF($C38="","",SUM($N38:$R38))</f>
        <v/>
      </c>
      <c r="U38" s="63">
        <f>IF($C38="","",$S38-$T38)</f>
        <v/>
      </c>
      <c r="V38" s="47" t="n"/>
      <c r="W38" s="112" t="n"/>
      <c r="X38" s="47" t="n"/>
      <c r="Y38" s="50">
        <f>IF($C38="","",IF(SUMPRODUCT(($C$3:$C$502=$C38)*($A$3:$A$502=$A38)*($B$3:$B$502=$B38))&gt;1,"⚠ مكرر","سليم"))</f>
        <v/>
      </c>
      <c r="Z38">
        <f>IF(AND($C38&lt;&gt;"",$A38=تقرير_الشهر,$B38=تقرير_السنة),SUMPRODUCT(($C$3:$C$502&lt;&gt;"")*($A$3:$A$502=تقرير_الشهر)*($B$3:$B$502=تقرير_السنة)*(ROW($C$3:$C$502)&lt;=ROW())),"")</f>
        <v/>
      </c>
    </row>
    <row r="39">
      <c r="A39" s="40" t="n"/>
      <c r="B39" s="59" t="n"/>
      <c r="C39" s="40" t="n"/>
      <c r="D39" s="43">
        <f>IFERROR(INDEX(الموظفون_الاسم,MATCH($C39,الموظفون_الرقم,0)),"")</f>
        <v/>
      </c>
      <c r="E39" s="43">
        <f>IFERROR(INDEX(الموظفون_الإدارة,MATCH($C39,الموظفون_الرقم,0)),"")</f>
        <v/>
      </c>
      <c r="F39" s="43">
        <f>IFERROR(INDEX(الموظفون_القسم,MATCH($C39,الموظفون_الرقم,0)),"")</f>
        <v/>
      </c>
      <c r="G39" s="60">
        <f>IF($C39="","",IFERROR(INDEX(الموظفون_الاساسي,MATCH($C39,الموظفون_الرقم,0)),0))</f>
        <v/>
      </c>
      <c r="H39" s="42" t="n"/>
      <c r="I39" s="42" t="n"/>
      <c r="J39" s="42" t="n"/>
      <c r="K39" s="42" t="n"/>
      <c r="L39" s="42" t="n"/>
      <c r="M39" s="61" t="n"/>
      <c r="N39" s="42" t="n"/>
      <c r="O39" s="42" t="n"/>
      <c r="P39" s="42" t="n"/>
      <c r="Q39" s="42" t="n"/>
      <c r="R39" s="42" t="n"/>
      <c r="S39" s="60">
        <f>IF($C39="","",SUM($G39:$L39))</f>
        <v/>
      </c>
      <c r="T39" s="60">
        <f>IF($C39="","",SUM($N39:$R39))</f>
        <v/>
      </c>
      <c r="U39" s="60">
        <f>IF($C39="","",$S39-$T39)</f>
        <v/>
      </c>
      <c r="V39" s="40" t="n"/>
      <c r="W39" s="110" t="n"/>
      <c r="X39" s="40" t="n"/>
      <c r="Y39" s="43">
        <f>IF($C39="","",IF(SUMPRODUCT(($C$3:$C$502=$C39)*($A$3:$A$502=$A39)*($B$3:$B$502=$B39))&gt;1,"⚠ مكرر","سليم"))</f>
        <v/>
      </c>
      <c r="Z39">
        <f>IF(AND($C39&lt;&gt;"",$A39=تقرير_الشهر,$B39=تقرير_السنة),SUMPRODUCT(($C$3:$C$502&lt;&gt;"")*($A$3:$A$502=تقرير_الشهر)*($B$3:$B$502=تقرير_السنة)*(ROW($C$3:$C$502)&lt;=ROW())),"")</f>
        <v/>
      </c>
    </row>
    <row r="40">
      <c r="A40" s="47" t="n"/>
      <c r="B40" s="62" t="n"/>
      <c r="C40" s="47" t="n"/>
      <c r="D40" s="50">
        <f>IFERROR(INDEX(الموظفون_الاسم,MATCH($C40,الموظفون_الرقم,0)),"")</f>
        <v/>
      </c>
      <c r="E40" s="50">
        <f>IFERROR(INDEX(الموظفون_الإدارة,MATCH($C40,الموظفون_الرقم,0)),"")</f>
        <v/>
      </c>
      <c r="F40" s="50">
        <f>IFERROR(INDEX(الموظفون_القسم,MATCH($C40,الموظفون_الرقم,0)),"")</f>
        <v/>
      </c>
      <c r="G40" s="63">
        <f>IF($C40="","",IFERROR(INDEX(الموظفون_الاساسي,MATCH($C40,الموظفون_الرقم,0)),0))</f>
        <v/>
      </c>
      <c r="H40" s="49" t="n"/>
      <c r="I40" s="49" t="n"/>
      <c r="J40" s="49" t="n"/>
      <c r="K40" s="49" t="n"/>
      <c r="L40" s="49" t="n"/>
      <c r="M40" s="64" t="n"/>
      <c r="N40" s="49" t="n"/>
      <c r="O40" s="49" t="n"/>
      <c r="P40" s="49" t="n"/>
      <c r="Q40" s="49" t="n"/>
      <c r="R40" s="49" t="n"/>
      <c r="S40" s="63">
        <f>IF($C40="","",SUM($G40:$L40))</f>
        <v/>
      </c>
      <c r="T40" s="63">
        <f>IF($C40="","",SUM($N40:$R40))</f>
        <v/>
      </c>
      <c r="U40" s="63">
        <f>IF($C40="","",$S40-$T40)</f>
        <v/>
      </c>
      <c r="V40" s="47" t="n"/>
      <c r="W40" s="112" t="n"/>
      <c r="X40" s="47" t="n"/>
      <c r="Y40" s="50">
        <f>IF($C40="","",IF(SUMPRODUCT(($C$3:$C$502=$C40)*($A$3:$A$502=$A40)*($B$3:$B$502=$B40))&gt;1,"⚠ مكرر","سليم"))</f>
        <v/>
      </c>
      <c r="Z40">
        <f>IF(AND($C40&lt;&gt;"",$A40=تقرير_الشهر,$B40=تقرير_السنة),SUMPRODUCT(($C$3:$C$502&lt;&gt;"")*($A$3:$A$502=تقرير_الشهر)*($B$3:$B$502=تقرير_السنة)*(ROW($C$3:$C$502)&lt;=ROW())),"")</f>
        <v/>
      </c>
    </row>
    <row r="41">
      <c r="A41" s="40" t="n"/>
      <c r="B41" s="59" t="n"/>
      <c r="C41" s="40" t="n"/>
      <c r="D41" s="43">
        <f>IFERROR(INDEX(الموظفون_الاسم,MATCH($C41,الموظفون_الرقم,0)),"")</f>
        <v/>
      </c>
      <c r="E41" s="43">
        <f>IFERROR(INDEX(الموظفون_الإدارة,MATCH($C41,الموظفون_الرقم,0)),"")</f>
        <v/>
      </c>
      <c r="F41" s="43">
        <f>IFERROR(INDEX(الموظفون_القسم,MATCH($C41,الموظفون_الرقم,0)),"")</f>
        <v/>
      </c>
      <c r="G41" s="60">
        <f>IF($C41="","",IFERROR(INDEX(الموظفون_الاساسي,MATCH($C41,الموظفون_الرقم,0)),0))</f>
        <v/>
      </c>
      <c r="H41" s="42" t="n"/>
      <c r="I41" s="42" t="n"/>
      <c r="J41" s="42" t="n"/>
      <c r="K41" s="42" t="n"/>
      <c r="L41" s="42" t="n"/>
      <c r="M41" s="61" t="n"/>
      <c r="N41" s="42" t="n"/>
      <c r="O41" s="42" t="n"/>
      <c r="P41" s="42" t="n"/>
      <c r="Q41" s="42" t="n"/>
      <c r="R41" s="42" t="n"/>
      <c r="S41" s="60">
        <f>IF($C41="","",SUM($G41:$L41))</f>
        <v/>
      </c>
      <c r="T41" s="60">
        <f>IF($C41="","",SUM($N41:$R41))</f>
        <v/>
      </c>
      <c r="U41" s="60">
        <f>IF($C41="","",$S41-$T41)</f>
        <v/>
      </c>
      <c r="V41" s="40" t="n"/>
      <c r="W41" s="110" t="n"/>
      <c r="X41" s="40" t="n"/>
      <c r="Y41" s="43">
        <f>IF($C41="","",IF(SUMPRODUCT(($C$3:$C$502=$C41)*($A$3:$A$502=$A41)*($B$3:$B$502=$B41))&gt;1,"⚠ مكرر","سليم"))</f>
        <v/>
      </c>
      <c r="Z41">
        <f>IF(AND($C41&lt;&gt;"",$A41=تقرير_الشهر,$B41=تقرير_السنة),SUMPRODUCT(($C$3:$C$502&lt;&gt;"")*($A$3:$A$502=تقرير_الشهر)*($B$3:$B$502=تقرير_السنة)*(ROW($C$3:$C$502)&lt;=ROW())),"")</f>
        <v/>
      </c>
    </row>
    <row r="42">
      <c r="A42" s="47" t="n"/>
      <c r="B42" s="62" t="n"/>
      <c r="C42" s="47" t="n"/>
      <c r="D42" s="50">
        <f>IFERROR(INDEX(الموظفون_الاسم,MATCH($C42,الموظفون_الرقم,0)),"")</f>
        <v/>
      </c>
      <c r="E42" s="50">
        <f>IFERROR(INDEX(الموظفون_الإدارة,MATCH($C42,الموظفون_الرقم,0)),"")</f>
        <v/>
      </c>
      <c r="F42" s="50">
        <f>IFERROR(INDEX(الموظفون_القسم,MATCH($C42,الموظفون_الرقم,0)),"")</f>
        <v/>
      </c>
      <c r="G42" s="63">
        <f>IF($C42="","",IFERROR(INDEX(الموظفون_الاساسي,MATCH($C42,الموظفون_الرقم,0)),0))</f>
        <v/>
      </c>
      <c r="H42" s="49" t="n"/>
      <c r="I42" s="49" t="n"/>
      <c r="J42" s="49" t="n"/>
      <c r="K42" s="49" t="n"/>
      <c r="L42" s="49" t="n"/>
      <c r="M42" s="64" t="n"/>
      <c r="N42" s="49" t="n"/>
      <c r="O42" s="49" t="n"/>
      <c r="P42" s="49" t="n"/>
      <c r="Q42" s="49" t="n"/>
      <c r="R42" s="49" t="n"/>
      <c r="S42" s="63">
        <f>IF($C42="","",SUM($G42:$L42))</f>
        <v/>
      </c>
      <c r="T42" s="63">
        <f>IF($C42="","",SUM($N42:$R42))</f>
        <v/>
      </c>
      <c r="U42" s="63">
        <f>IF($C42="","",$S42-$T42)</f>
        <v/>
      </c>
      <c r="V42" s="47" t="n"/>
      <c r="W42" s="112" t="n"/>
      <c r="X42" s="47" t="n"/>
      <c r="Y42" s="50">
        <f>IF($C42="","",IF(SUMPRODUCT(($C$3:$C$502=$C42)*($A$3:$A$502=$A42)*($B$3:$B$502=$B42))&gt;1,"⚠ مكرر","سليم"))</f>
        <v/>
      </c>
      <c r="Z42">
        <f>IF(AND($C42&lt;&gt;"",$A42=تقرير_الشهر,$B42=تقرير_السنة),SUMPRODUCT(($C$3:$C$502&lt;&gt;"")*($A$3:$A$502=تقرير_الشهر)*($B$3:$B$502=تقرير_السنة)*(ROW($C$3:$C$502)&lt;=ROW())),"")</f>
        <v/>
      </c>
    </row>
    <row r="43">
      <c r="A43" s="40" t="n"/>
      <c r="B43" s="59" t="n"/>
      <c r="C43" s="40" t="n"/>
      <c r="D43" s="43">
        <f>IFERROR(INDEX(الموظفون_الاسم,MATCH($C43,الموظفون_الرقم,0)),"")</f>
        <v/>
      </c>
      <c r="E43" s="43">
        <f>IFERROR(INDEX(الموظفون_الإدارة,MATCH($C43,الموظفون_الرقم,0)),"")</f>
        <v/>
      </c>
      <c r="F43" s="43">
        <f>IFERROR(INDEX(الموظفون_القسم,MATCH($C43,الموظفون_الرقم,0)),"")</f>
        <v/>
      </c>
      <c r="G43" s="60">
        <f>IF($C43="","",IFERROR(INDEX(الموظفون_الاساسي,MATCH($C43,الموظفون_الرقم,0)),0))</f>
        <v/>
      </c>
      <c r="H43" s="42" t="n"/>
      <c r="I43" s="42" t="n"/>
      <c r="J43" s="42" t="n"/>
      <c r="K43" s="42" t="n"/>
      <c r="L43" s="42" t="n"/>
      <c r="M43" s="61" t="n"/>
      <c r="N43" s="42" t="n"/>
      <c r="O43" s="42" t="n"/>
      <c r="P43" s="42" t="n"/>
      <c r="Q43" s="42" t="n"/>
      <c r="R43" s="42" t="n"/>
      <c r="S43" s="60">
        <f>IF($C43="","",SUM($G43:$L43))</f>
        <v/>
      </c>
      <c r="T43" s="60">
        <f>IF($C43="","",SUM($N43:$R43))</f>
        <v/>
      </c>
      <c r="U43" s="60">
        <f>IF($C43="","",$S43-$T43)</f>
        <v/>
      </c>
      <c r="V43" s="40" t="n"/>
      <c r="W43" s="110" t="n"/>
      <c r="X43" s="40" t="n"/>
      <c r="Y43" s="43">
        <f>IF($C43="","",IF(SUMPRODUCT(($C$3:$C$502=$C43)*($A$3:$A$502=$A43)*($B$3:$B$502=$B43))&gt;1,"⚠ مكرر","سليم"))</f>
        <v/>
      </c>
      <c r="Z43">
        <f>IF(AND($C43&lt;&gt;"",$A43=تقرير_الشهر,$B43=تقرير_السنة),SUMPRODUCT(($C$3:$C$502&lt;&gt;"")*($A$3:$A$502=تقرير_الشهر)*($B$3:$B$502=تقرير_السنة)*(ROW($C$3:$C$502)&lt;=ROW())),"")</f>
        <v/>
      </c>
    </row>
    <row r="44">
      <c r="A44" s="47" t="n"/>
      <c r="B44" s="62" t="n"/>
      <c r="C44" s="47" t="n"/>
      <c r="D44" s="50">
        <f>IFERROR(INDEX(الموظفون_الاسم,MATCH($C44,الموظفون_الرقم,0)),"")</f>
        <v/>
      </c>
      <c r="E44" s="50">
        <f>IFERROR(INDEX(الموظفون_الإدارة,MATCH($C44,الموظفون_الرقم,0)),"")</f>
        <v/>
      </c>
      <c r="F44" s="50">
        <f>IFERROR(INDEX(الموظفون_القسم,MATCH($C44,الموظفون_الرقم,0)),"")</f>
        <v/>
      </c>
      <c r="G44" s="63">
        <f>IF($C44="","",IFERROR(INDEX(الموظفون_الاساسي,MATCH($C44,الموظفون_الرقم,0)),0))</f>
        <v/>
      </c>
      <c r="H44" s="49" t="n"/>
      <c r="I44" s="49" t="n"/>
      <c r="J44" s="49" t="n"/>
      <c r="K44" s="49" t="n"/>
      <c r="L44" s="49" t="n"/>
      <c r="M44" s="64" t="n"/>
      <c r="N44" s="49" t="n"/>
      <c r="O44" s="49" t="n"/>
      <c r="P44" s="49" t="n"/>
      <c r="Q44" s="49" t="n"/>
      <c r="R44" s="49" t="n"/>
      <c r="S44" s="63">
        <f>IF($C44="","",SUM($G44:$L44))</f>
        <v/>
      </c>
      <c r="T44" s="63">
        <f>IF($C44="","",SUM($N44:$R44))</f>
        <v/>
      </c>
      <c r="U44" s="63">
        <f>IF($C44="","",$S44-$T44)</f>
        <v/>
      </c>
      <c r="V44" s="47" t="n"/>
      <c r="W44" s="112" t="n"/>
      <c r="X44" s="47" t="n"/>
      <c r="Y44" s="50">
        <f>IF($C44="","",IF(SUMPRODUCT(($C$3:$C$502=$C44)*($A$3:$A$502=$A44)*($B$3:$B$502=$B44))&gt;1,"⚠ مكرر","سليم"))</f>
        <v/>
      </c>
      <c r="Z44">
        <f>IF(AND($C44&lt;&gt;"",$A44=تقرير_الشهر,$B44=تقرير_السنة),SUMPRODUCT(($C$3:$C$502&lt;&gt;"")*($A$3:$A$502=تقرير_الشهر)*($B$3:$B$502=تقرير_السنة)*(ROW($C$3:$C$502)&lt;=ROW())),"")</f>
        <v/>
      </c>
    </row>
    <row r="45">
      <c r="A45" s="40" t="n"/>
      <c r="B45" s="59" t="n"/>
      <c r="C45" s="40" t="n"/>
      <c r="D45" s="43">
        <f>IFERROR(INDEX(الموظفون_الاسم,MATCH($C45,الموظفون_الرقم,0)),"")</f>
        <v/>
      </c>
      <c r="E45" s="43">
        <f>IFERROR(INDEX(الموظفون_الإدارة,MATCH($C45,الموظفون_الرقم,0)),"")</f>
        <v/>
      </c>
      <c r="F45" s="43">
        <f>IFERROR(INDEX(الموظفون_القسم,MATCH($C45,الموظفون_الرقم,0)),"")</f>
        <v/>
      </c>
      <c r="G45" s="60">
        <f>IF($C45="","",IFERROR(INDEX(الموظفون_الاساسي,MATCH($C45,الموظفون_الرقم,0)),0))</f>
        <v/>
      </c>
      <c r="H45" s="42" t="n"/>
      <c r="I45" s="42" t="n"/>
      <c r="J45" s="42" t="n"/>
      <c r="K45" s="42" t="n"/>
      <c r="L45" s="42" t="n"/>
      <c r="M45" s="61" t="n"/>
      <c r="N45" s="42" t="n"/>
      <c r="O45" s="42" t="n"/>
      <c r="P45" s="42" t="n"/>
      <c r="Q45" s="42" t="n"/>
      <c r="R45" s="42" t="n"/>
      <c r="S45" s="60">
        <f>IF($C45="","",SUM($G45:$L45))</f>
        <v/>
      </c>
      <c r="T45" s="60">
        <f>IF($C45="","",SUM($N45:$R45))</f>
        <v/>
      </c>
      <c r="U45" s="60">
        <f>IF($C45="","",$S45-$T45)</f>
        <v/>
      </c>
      <c r="V45" s="40" t="n"/>
      <c r="W45" s="110" t="n"/>
      <c r="X45" s="40" t="n"/>
      <c r="Y45" s="43">
        <f>IF($C45="","",IF(SUMPRODUCT(($C$3:$C$502=$C45)*($A$3:$A$502=$A45)*($B$3:$B$502=$B45))&gt;1,"⚠ مكرر","سليم"))</f>
        <v/>
      </c>
      <c r="Z45">
        <f>IF(AND($C45&lt;&gt;"",$A45=تقرير_الشهر,$B45=تقرير_السنة),SUMPRODUCT(($C$3:$C$502&lt;&gt;"")*($A$3:$A$502=تقرير_الشهر)*($B$3:$B$502=تقرير_السنة)*(ROW($C$3:$C$502)&lt;=ROW())),"")</f>
        <v/>
      </c>
    </row>
    <row r="46">
      <c r="A46" s="47" t="n"/>
      <c r="B46" s="62" t="n"/>
      <c r="C46" s="47" t="n"/>
      <c r="D46" s="50">
        <f>IFERROR(INDEX(الموظفون_الاسم,MATCH($C46,الموظفون_الرقم,0)),"")</f>
        <v/>
      </c>
      <c r="E46" s="50">
        <f>IFERROR(INDEX(الموظفون_الإدارة,MATCH($C46,الموظفون_الرقم,0)),"")</f>
        <v/>
      </c>
      <c r="F46" s="50">
        <f>IFERROR(INDEX(الموظفون_القسم,MATCH($C46,الموظفون_الرقم,0)),"")</f>
        <v/>
      </c>
      <c r="G46" s="63">
        <f>IF($C46="","",IFERROR(INDEX(الموظفون_الاساسي,MATCH($C46,الموظفون_الرقم,0)),0))</f>
        <v/>
      </c>
      <c r="H46" s="49" t="n"/>
      <c r="I46" s="49" t="n"/>
      <c r="J46" s="49" t="n"/>
      <c r="K46" s="49" t="n"/>
      <c r="L46" s="49" t="n"/>
      <c r="M46" s="64" t="n"/>
      <c r="N46" s="49" t="n"/>
      <c r="O46" s="49" t="n"/>
      <c r="P46" s="49" t="n"/>
      <c r="Q46" s="49" t="n"/>
      <c r="R46" s="49" t="n"/>
      <c r="S46" s="63">
        <f>IF($C46="","",SUM($G46:$L46))</f>
        <v/>
      </c>
      <c r="T46" s="63">
        <f>IF($C46="","",SUM($N46:$R46))</f>
        <v/>
      </c>
      <c r="U46" s="63">
        <f>IF($C46="","",$S46-$T46)</f>
        <v/>
      </c>
      <c r="V46" s="47" t="n"/>
      <c r="W46" s="112" t="n"/>
      <c r="X46" s="47" t="n"/>
      <c r="Y46" s="50">
        <f>IF($C46="","",IF(SUMPRODUCT(($C$3:$C$502=$C46)*($A$3:$A$502=$A46)*($B$3:$B$502=$B46))&gt;1,"⚠ مكرر","سليم"))</f>
        <v/>
      </c>
      <c r="Z46">
        <f>IF(AND($C46&lt;&gt;"",$A46=تقرير_الشهر,$B46=تقرير_السنة),SUMPRODUCT(($C$3:$C$502&lt;&gt;"")*($A$3:$A$502=تقرير_الشهر)*($B$3:$B$502=تقرير_السنة)*(ROW($C$3:$C$502)&lt;=ROW())),"")</f>
        <v/>
      </c>
    </row>
    <row r="47">
      <c r="A47" s="40" t="n"/>
      <c r="B47" s="59" t="n"/>
      <c r="C47" s="40" t="n"/>
      <c r="D47" s="43">
        <f>IFERROR(INDEX(الموظفون_الاسم,MATCH($C47,الموظفون_الرقم,0)),"")</f>
        <v/>
      </c>
      <c r="E47" s="43">
        <f>IFERROR(INDEX(الموظفون_الإدارة,MATCH($C47,الموظفون_الرقم,0)),"")</f>
        <v/>
      </c>
      <c r="F47" s="43">
        <f>IFERROR(INDEX(الموظفون_القسم,MATCH($C47,الموظفون_الرقم,0)),"")</f>
        <v/>
      </c>
      <c r="G47" s="60">
        <f>IF($C47="","",IFERROR(INDEX(الموظفون_الاساسي,MATCH($C47,الموظفون_الرقم,0)),0))</f>
        <v/>
      </c>
      <c r="H47" s="42" t="n"/>
      <c r="I47" s="42" t="n"/>
      <c r="J47" s="42" t="n"/>
      <c r="K47" s="42" t="n"/>
      <c r="L47" s="42" t="n"/>
      <c r="M47" s="61" t="n"/>
      <c r="N47" s="42" t="n"/>
      <c r="O47" s="42" t="n"/>
      <c r="P47" s="42" t="n"/>
      <c r="Q47" s="42" t="n"/>
      <c r="R47" s="42" t="n"/>
      <c r="S47" s="60">
        <f>IF($C47="","",SUM($G47:$L47))</f>
        <v/>
      </c>
      <c r="T47" s="60">
        <f>IF($C47="","",SUM($N47:$R47))</f>
        <v/>
      </c>
      <c r="U47" s="60">
        <f>IF($C47="","",$S47-$T47)</f>
        <v/>
      </c>
      <c r="V47" s="40" t="n"/>
      <c r="W47" s="110" t="n"/>
      <c r="X47" s="40" t="n"/>
      <c r="Y47" s="43">
        <f>IF($C47="","",IF(SUMPRODUCT(($C$3:$C$502=$C47)*($A$3:$A$502=$A47)*($B$3:$B$502=$B47))&gt;1,"⚠ مكرر","سليم"))</f>
        <v/>
      </c>
      <c r="Z47">
        <f>IF(AND($C47&lt;&gt;"",$A47=تقرير_الشهر,$B47=تقرير_السنة),SUMPRODUCT(($C$3:$C$502&lt;&gt;"")*($A$3:$A$502=تقرير_الشهر)*($B$3:$B$502=تقرير_السنة)*(ROW($C$3:$C$502)&lt;=ROW())),"")</f>
        <v/>
      </c>
    </row>
    <row r="48">
      <c r="A48" s="47" t="n"/>
      <c r="B48" s="62" t="n"/>
      <c r="C48" s="47" t="n"/>
      <c r="D48" s="50">
        <f>IFERROR(INDEX(الموظفون_الاسم,MATCH($C48,الموظفون_الرقم,0)),"")</f>
        <v/>
      </c>
      <c r="E48" s="50">
        <f>IFERROR(INDEX(الموظفون_الإدارة,MATCH($C48,الموظفون_الرقم,0)),"")</f>
        <v/>
      </c>
      <c r="F48" s="50">
        <f>IFERROR(INDEX(الموظفون_القسم,MATCH($C48,الموظفون_الرقم,0)),"")</f>
        <v/>
      </c>
      <c r="G48" s="63">
        <f>IF($C48="","",IFERROR(INDEX(الموظفون_الاساسي,MATCH($C48,الموظفون_الرقم,0)),0))</f>
        <v/>
      </c>
      <c r="H48" s="49" t="n"/>
      <c r="I48" s="49" t="n"/>
      <c r="J48" s="49" t="n"/>
      <c r="K48" s="49" t="n"/>
      <c r="L48" s="49" t="n"/>
      <c r="M48" s="64" t="n"/>
      <c r="N48" s="49" t="n"/>
      <c r="O48" s="49" t="n"/>
      <c r="P48" s="49" t="n"/>
      <c r="Q48" s="49" t="n"/>
      <c r="R48" s="49" t="n"/>
      <c r="S48" s="63">
        <f>IF($C48="","",SUM($G48:$L48))</f>
        <v/>
      </c>
      <c r="T48" s="63">
        <f>IF($C48="","",SUM($N48:$R48))</f>
        <v/>
      </c>
      <c r="U48" s="63">
        <f>IF($C48="","",$S48-$T48)</f>
        <v/>
      </c>
      <c r="V48" s="47" t="n"/>
      <c r="W48" s="112" t="n"/>
      <c r="X48" s="47" t="n"/>
      <c r="Y48" s="50">
        <f>IF($C48="","",IF(SUMPRODUCT(($C$3:$C$502=$C48)*($A$3:$A$502=$A48)*($B$3:$B$502=$B48))&gt;1,"⚠ مكرر","سليم"))</f>
        <v/>
      </c>
      <c r="Z48">
        <f>IF(AND($C48&lt;&gt;"",$A48=تقرير_الشهر,$B48=تقرير_السنة),SUMPRODUCT(($C$3:$C$502&lt;&gt;"")*($A$3:$A$502=تقرير_الشهر)*($B$3:$B$502=تقرير_السنة)*(ROW($C$3:$C$502)&lt;=ROW())),"")</f>
        <v/>
      </c>
    </row>
    <row r="49">
      <c r="A49" s="40" t="n"/>
      <c r="B49" s="59" t="n"/>
      <c r="C49" s="40" t="n"/>
      <c r="D49" s="43">
        <f>IFERROR(INDEX(الموظفون_الاسم,MATCH($C49,الموظفون_الرقم,0)),"")</f>
        <v/>
      </c>
      <c r="E49" s="43">
        <f>IFERROR(INDEX(الموظفون_الإدارة,MATCH($C49,الموظفون_الرقم,0)),"")</f>
        <v/>
      </c>
      <c r="F49" s="43">
        <f>IFERROR(INDEX(الموظفون_القسم,MATCH($C49,الموظفون_الرقم,0)),"")</f>
        <v/>
      </c>
      <c r="G49" s="60">
        <f>IF($C49="","",IFERROR(INDEX(الموظفون_الاساسي,MATCH($C49,الموظفون_الرقم,0)),0))</f>
        <v/>
      </c>
      <c r="H49" s="42" t="n"/>
      <c r="I49" s="42" t="n"/>
      <c r="J49" s="42" t="n"/>
      <c r="K49" s="42" t="n"/>
      <c r="L49" s="42" t="n"/>
      <c r="M49" s="61" t="n"/>
      <c r="N49" s="42" t="n"/>
      <c r="O49" s="42" t="n"/>
      <c r="P49" s="42" t="n"/>
      <c r="Q49" s="42" t="n"/>
      <c r="R49" s="42" t="n"/>
      <c r="S49" s="60">
        <f>IF($C49="","",SUM($G49:$L49))</f>
        <v/>
      </c>
      <c r="T49" s="60">
        <f>IF($C49="","",SUM($N49:$R49))</f>
        <v/>
      </c>
      <c r="U49" s="60">
        <f>IF($C49="","",$S49-$T49)</f>
        <v/>
      </c>
      <c r="V49" s="40" t="n"/>
      <c r="W49" s="110" t="n"/>
      <c r="X49" s="40" t="n"/>
      <c r="Y49" s="43">
        <f>IF($C49="","",IF(SUMPRODUCT(($C$3:$C$502=$C49)*($A$3:$A$502=$A49)*($B$3:$B$502=$B49))&gt;1,"⚠ مكرر","سليم"))</f>
        <v/>
      </c>
      <c r="Z49">
        <f>IF(AND($C49&lt;&gt;"",$A49=تقرير_الشهر,$B49=تقرير_السنة),SUMPRODUCT(($C$3:$C$502&lt;&gt;"")*($A$3:$A$502=تقرير_الشهر)*($B$3:$B$502=تقرير_السنة)*(ROW($C$3:$C$502)&lt;=ROW())),"")</f>
        <v/>
      </c>
    </row>
    <row r="50">
      <c r="A50" s="47" t="n"/>
      <c r="B50" s="62" t="n"/>
      <c r="C50" s="47" t="n"/>
      <c r="D50" s="50">
        <f>IFERROR(INDEX(الموظفون_الاسم,MATCH($C50,الموظفون_الرقم,0)),"")</f>
        <v/>
      </c>
      <c r="E50" s="50">
        <f>IFERROR(INDEX(الموظفون_الإدارة,MATCH($C50,الموظفون_الرقم,0)),"")</f>
        <v/>
      </c>
      <c r="F50" s="50">
        <f>IFERROR(INDEX(الموظفون_القسم,MATCH($C50,الموظفون_الرقم,0)),"")</f>
        <v/>
      </c>
      <c r="G50" s="63">
        <f>IF($C50="","",IFERROR(INDEX(الموظفون_الاساسي,MATCH($C50,الموظفون_الرقم,0)),0))</f>
        <v/>
      </c>
      <c r="H50" s="49" t="n"/>
      <c r="I50" s="49" t="n"/>
      <c r="J50" s="49" t="n"/>
      <c r="K50" s="49" t="n"/>
      <c r="L50" s="49" t="n"/>
      <c r="M50" s="64" t="n"/>
      <c r="N50" s="49" t="n"/>
      <c r="O50" s="49" t="n"/>
      <c r="P50" s="49" t="n"/>
      <c r="Q50" s="49" t="n"/>
      <c r="R50" s="49" t="n"/>
      <c r="S50" s="63">
        <f>IF($C50="","",SUM($G50:$L50))</f>
        <v/>
      </c>
      <c r="T50" s="63">
        <f>IF($C50="","",SUM($N50:$R50))</f>
        <v/>
      </c>
      <c r="U50" s="63">
        <f>IF($C50="","",$S50-$T50)</f>
        <v/>
      </c>
      <c r="V50" s="47" t="n"/>
      <c r="W50" s="112" t="n"/>
      <c r="X50" s="47" t="n"/>
      <c r="Y50" s="50">
        <f>IF($C50="","",IF(SUMPRODUCT(($C$3:$C$502=$C50)*($A$3:$A$502=$A50)*($B$3:$B$502=$B50))&gt;1,"⚠ مكرر","سليم"))</f>
        <v/>
      </c>
      <c r="Z50">
        <f>IF(AND($C50&lt;&gt;"",$A50=تقرير_الشهر,$B50=تقرير_السنة),SUMPRODUCT(($C$3:$C$502&lt;&gt;"")*($A$3:$A$502=تقرير_الشهر)*($B$3:$B$502=تقرير_السنة)*(ROW($C$3:$C$502)&lt;=ROW())),"")</f>
        <v/>
      </c>
    </row>
    <row r="51">
      <c r="A51" s="40" t="n"/>
      <c r="B51" s="59" t="n"/>
      <c r="C51" s="40" t="n"/>
      <c r="D51" s="43">
        <f>IFERROR(INDEX(الموظفون_الاسم,MATCH($C51,الموظفون_الرقم,0)),"")</f>
        <v/>
      </c>
      <c r="E51" s="43">
        <f>IFERROR(INDEX(الموظفون_الإدارة,MATCH($C51,الموظفون_الرقم,0)),"")</f>
        <v/>
      </c>
      <c r="F51" s="43">
        <f>IFERROR(INDEX(الموظفون_القسم,MATCH($C51,الموظفون_الرقم,0)),"")</f>
        <v/>
      </c>
      <c r="G51" s="60">
        <f>IF($C51="","",IFERROR(INDEX(الموظفون_الاساسي,MATCH($C51,الموظفون_الرقم,0)),0))</f>
        <v/>
      </c>
      <c r="H51" s="42" t="n"/>
      <c r="I51" s="42" t="n"/>
      <c r="J51" s="42" t="n"/>
      <c r="K51" s="42" t="n"/>
      <c r="L51" s="42" t="n"/>
      <c r="M51" s="61" t="n"/>
      <c r="N51" s="42" t="n"/>
      <c r="O51" s="42" t="n"/>
      <c r="P51" s="42" t="n"/>
      <c r="Q51" s="42" t="n"/>
      <c r="R51" s="42" t="n"/>
      <c r="S51" s="60">
        <f>IF($C51="","",SUM($G51:$L51))</f>
        <v/>
      </c>
      <c r="T51" s="60">
        <f>IF($C51="","",SUM($N51:$R51))</f>
        <v/>
      </c>
      <c r="U51" s="60">
        <f>IF($C51="","",$S51-$T51)</f>
        <v/>
      </c>
      <c r="V51" s="40" t="n"/>
      <c r="W51" s="110" t="n"/>
      <c r="X51" s="40" t="n"/>
      <c r="Y51" s="43">
        <f>IF($C51="","",IF(SUMPRODUCT(($C$3:$C$502=$C51)*($A$3:$A$502=$A51)*($B$3:$B$502=$B51))&gt;1,"⚠ مكرر","سليم"))</f>
        <v/>
      </c>
      <c r="Z51">
        <f>IF(AND($C51&lt;&gt;"",$A51=تقرير_الشهر,$B51=تقرير_السنة),SUMPRODUCT(($C$3:$C$502&lt;&gt;"")*($A$3:$A$502=تقرير_الشهر)*($B$3:$B$502=تقرير_السنة)*(ROW($C$3:$C$502)&lt;=ROW())),"")</f>
        <v/>
      </c>
    </row>
    <row r="52">
      <c r="A52" s="47" t="n"/>
      <c r="B52" s="62" t="n"/>
      <c r="C52" s="47" t="n"/>
      <c r="D52" s="50">
        <f>IFERROR(INDEX(الموظفون_الاسم,MATCH($C52,الموظفون_الرقم,0)),"")</f>
        <v/>
      </c>
      <c r="E52" s="50">
        <f>IFERROR(INDEX(الموظفون_الإدارة,MATCH($C52,الموظفون_الرقم,0)),"")</f>
        <v/>
      </c>
      <c r="F52" s="50">
        <f>IFERROR(INDEX(الموظفون_القسم,MATCH($C52,الموظفون_الرقم,0)),"")</f>
        <v/>
      </c>
      <c r="G52" s="63">
        <f>IF($C52="","",IFERROR(INDEX(الموظفون_الاساسي,MATCH($C52,الموظفون_الرقم,0)),0))</f>
        <v/>
      </c>
      <c r="H52" s="49" t="n"/>
      <c r="I52" s="49" t="n"/>
      <c r="J52" s="49" t="n"/>
      <c r="K52" s="49" t="n"/>
      <c r="L52" s="49" t="n"/>
      <c r="M52" s="64" t="n"/>
      <c r="N52" s="49" t="n"/>
      <c r="O52" s="49" t="n"/>
      <c r="P52" s="49" t="n"/>
      <c r="Q52" s="49" t="n"/>
      <c r="R52" s="49" t="n"/>
      <c r="S52" s="63">
        <f>IF($C52="","",SUM($G52:$L52))</f>
        <v/>
      </c>
      <c r="T52" s="63">
        <f>IF($C52="","",SUM($N52:$R52))</f>
        <v/>
      </c>
      <c r="U52" s="63">
        <f>IF($C52="","",$S52-$T52)</f>
        <v/>
      </c>
      <c r="V52" s="47" t="n"/>
      <c r="W52" s="112" t="n"/>
      <c r="X52" s="47" t="n"/>
      <c r="Y52" s="50">
        <f>IF($C52="","",IF(SUMPRODUCT(($C$3:$C$502=$C52)*($A$3:$A$502=$A52)*($B$3:$B$502=$B52))&gt;1,"⚠ مكرر","سليم"))</f>
        <v/>
      </c>
      <c r="Z52">
        <f>IF(AND($C52&lt;&gt;"",$A52=تقرير_الشهر,$B52=تقرير_السنة),SUMPRODUCT(($C$3:$C$502&lt;&gt;"")*($A$3:$A$502=تقرير_الشهر)*($B$3:$B$502=تقرير_السنة)*(ROW($C$3:$C$502)&lt;=ROW())),"")</f>
        <v/>
      </c>
    </row>
    <row r="53">
      <c r="A53" s="40" t="n"/>
      <c r="B53" s="59" t="n"/>
      <c r="C53" s="40" t="n"/>
      <c r="D53" s="43">
        <f>IFERROR(INDEX(الموظفون_الاسم,MATCH($C53,الموظفون_الرقم,0)),"")</f>
        <v/>
      </c>
      <c r="E53" s="43">
        <f>IFERROR(INDEX(الموظفون_الإدارة,MATCH($C53,الموظفون_الرقم,0)),"")</f>
        <v/>
      </c>
      <c r="F53" s="43">
        <f>IFERROR(INDEX(الموظفون_القسم,MATCH($C53,الموظفون_الرقم,0)),"")</f>
        <v/>
      </c>
      <c r="G53" s="60">
        <f>IF($C53="","",IFERROR(INDEX(الموظفون_الاساسي,MATCH($C53,الموظفون_الرقم,0)),0))</f>
        <v/>
      </c>
      <c r="H53" s="42" t="n"/>
      <c r="I53" s="42" t="n"/>
      <c r="J53" s="42" t="n"/>
      <c r="K53" s="42" t="n"/>
      <c r="L53" s="42" t="n"/>
      <c r="M53" s="61" t="n"/>
      <c r="N53" s="42" t="n"/>
      <c r="O53" s="42" t="n"/>
      <c r="P53" s="42" t="n"/>
      <c r="Q53" s="42" t="n"/>
      <c r="R53" s="42" t="n"/>
      <c r="S53" s="60">
        <f>IF($C53="","",SUM($G53:$L53))</f>
        <v/>
      </c>
      <c r="T53" s="60">
        <f>IF($C53="","",SUM($N53:$R53))</f>
        <v/>
      </c>
      <c r="U53" s="60">
        <f>IF($C53="","",$S53-$T53)</f>
        <v/>
      </c>
      <c r="V53" s="40" t="n"/>
      <c r="W53" s="110" t="n"/>
      <c r="X53" s="40" t="n"/>
      <c r="Y53" s="43">
        <f>IF($C53="","",IF(SUMPRODUCT(($C$3:$C$502=$C53)*($A$3:$A$502=$A53)*($B$3:$B$502=$B53))&gt;1,"⚠ مكرر","سليم"))</f>
        <v/>
      </c>
      <c r="Z53">
        <f>IF(AND($C53&lt;&gt;"",$A53=تقرير_الشهر,$B53=تقرير_السنة),SUMPRODUCT(($C$3:$C$502&lt;&gt;"")*($A$3:$A$502=تقرير_الشهر)*($B$3:$B$502=تقرير_السنة)*(ROW($C$3:$C$502)&lt;=ROW())),"")</f>
        <v/>
      </c>
    </row>
    <row r="54">
      <c r="A54" s="47" t="n"/>
      <c r="B54" s="62" t="n"/>
      <c r="C54" s="47" t="n"/>
      <c r="D54" s="50">
        <f>IFERROR(INDEX(الموظفون_الاسم,MATCH($C54,الموظفون_الرقم,0)),"")</f>
        <v/>
      </c>
      <c r="E54" s="50">
        <f>IFERROR(INDEX(الموظفون_الإدارة,MATCH($C54,الموظفون_الرقم,0)),"")</f>
        <v/>
      </c>
      <c r="F54" s="50">
        <f>IFERROR(INDEX(الموظفون_القسم,MATCH($C54,الموظفون_الرقم,0)),"")</f>
        <v/>
      </c>
      <c r="G54" s="63">
        <f>IF($C54="","",IFERROR(INDEX(الموظفون_الاساسي,MATCH($C54,الموظفون_الرقم,0)),0))</f>
        <v/>
      </c>
      <c r="H54" s="49" t="n"/>
      <c r="I54" s="49" t="n"/>
      <c r="J54" s="49" t="n"/>
      <c r="K54" s="49" t="n"/>
      <c r="L54" s="49" t="n"/>
      <c r="M54" s="64" t="n"/>
      <c r="N54" s="49" t="n"/>
      <c r="O54" s="49" t="n"/>
      <c r="P54" s="49" t="n"/>
      <c r="Q54" s="49" t="n"/>
      <c r="R54" s="49" t="n"/>
      <c r="S54" s="63">
        <f>IF($C54="","",SUM($G54:$L54))</f>
        <v/>
      </c>
      <c r="T54" s="63">
        <f>IF($C54="","",SUM($N54:$R54))</f>
        <v/>
      </c>
      <c r="U54" s="63">
        <f>IF($C54="","",$S54-$T54)</f>
        <v/>
      </c>
      <c r="V54" s="47" t="n"/>
      <c r="W54" s="112" t="n"/>
      <c r="X54" s="47" t="n"/>
      <c r="Y54" s="50">
        <f>IF($C54="","",IF(SUMPRODUCT(($C$3:$C$502=$C54)*($A$3:$A$502=$A54)*($B$3:$B$502=$B54))&gt;1,"⚠ مكرر","سليم"))</f>
        <v/>
      </c>
      <c r="Z54">
        <f>IF(AND($C54&lt;&gt;"",$A54=تقرير_الشهر,$B54=تقرير_السنة),SUMPRODUCT(($C$3:$C$502&lt;&gt;"")*($A$3:$A$502=تقرير_الشهر)*($B$3:$B$502=تقرير_السنة)*(ROW($C$3:$C$502)&lt;=ROW())),"")</f>
        <v/>
      </c>
    </row>
    <row r="55">
      <c r="A55" s="40" t="n"/>
      <c r="B55" s="59" t="n"/>
      <c r="C55" s="40" t="n"/>
      <c r="D55" s="43">
        <f>IFERROR(INDEX(الموظفون_الاسم,MATCH($C55,الموظفون_الرقم,0)),"")</f>
        <v/>
      </c>
      <c r="E55" s="43">
        <f>IFERROR(INDEX(الموظفون_الإدارة,MATCH($C55,الموظفون_الرقم,0)),"")</f>
        <v/>
      </c>
      <c r="F55" s="43">
        <f>IFERROR(INDEX(الموظفون_القسم,MATCH($C55,الموظفون_الرقم,0)),"")</f>
        <v/>
      </c>
      <c r="G55" s="60">
        <f>IF($C55="","",IFERROR(INDEX(الموظفون_الاساسي,MATCH($C55,الموظفون_الرقم,0)),0))</f>
        <v/>
      </c>
      <c r="H55" s="42" t="n"/>
      <c r="I55" s="42" t="n"/>
      <c r="J55" s="42" t="n"/>
      <c r="K55" s="42" t="n"/>
      <c r="L55" s="42" t="n"/>
      <c r="M55" s="61" t="n"/>
      <c r="N55" s="42" t="n"/>
      <c r="O55" s="42" t="n"/>
      <c r="P55" s="42" t="n"/>
      <c r="Q55" s="42" t="n"/>
      <c r="R55" s="42" t="n"/>
      <c r="S55" s="60">
        <f>IF($C55="","",SUM($G55:$L55))</f>
        <v/>
      </c>
      <c r="T55" s="60">
        <f>IF($C55="","",SUM($N55:$R55))</f>
        <v/>
      </c>
      <c r="U55" s="60">
        <f>IF($C55="","",$S55-$T55)</f>
        <v/>
      </c>
      <c r="V55" s="40" t="n"/>
      <c r="W55" s="110" t="n"/>
      <c r="X55" s="40" t="n"/>
      <c r="Y55" s="43">
        <f>IF($C55="","",IF(SUMPRODUCT(($C$3:$C$502=$C55)*($A$3:$A$502=$A55)*($B$3:$B$502=$B55))&gt;1,"⚠ مكرر","سليم"))</f>
        <v/>
      </c>
      <c r="Z55">
        <f>IF(AND($C55&lt;&gt;"",$A55=تقرير_الشهر,$B55=تقرير_السنة),SUMPRODUCT(($C$3:$C$502&lt;&gt;"")*($A$3:$A$502=تقرير_الشهر)*($B$3:$B$502=تقرير_السنة)*(ROW($C$3:$C$502)&lt;=ROW())),"")</f>
        <v/>
      </c>
    </row>
    <row r="56">
      <c r="A56" s="47" t="n"/>
      <c r="B56" s="62" t="n"/>
      <c r="C56" s="47" t="n"/>
      <c r="D56" s="50">
        <f>IFERROR(INDEX(الموظفون_الاسم,MATCH($C56,الموظفون_الرقم,0)),"")</f>
        <v/>
      </c>
      <c r="E56" s="50">
        <f>IFERROR(INDEX(الموظفون_الإدارة,MATCH($C56,الموظفون_الرقم,0)),"")</f>
        <v/>
      </c>
      <c r="F56" s="50">
        <f>IFERROR(INDEX(الموظفون_القسم,MATCH($C56,الموظفون_الرقم,0)),"")</f>
        <v/>
      </c>
      <c r="G56" s="63">
        <f>IF($C56="","",IFERROR(INDEX(الموظفون_الاساسي,MATCH($C56,الموظفون_الرقم,0)),0))</f>
        <v/>
      </c>
      <c r="H56" s="49" t="n"/>
      <c r="I56" s="49" t="n"/>
      <c r="J56" s="49" t="n"/>
      <c r="K56" s="49" t="n"/>
      <c r="L56" s="49" t="n"/>
      <c r="M56" s="64" t="n"/>
      <c r="N56" s="49" t="n"/>
      <c r="O56" s="49" t="n"/>
      <c r="P56" s="49" t="n"/>
      <c r="Q56" s="49" t="n"/>
      <c r="R56" s="49" t="n"/>
      <c r="S56" s="63">
        <f>IF($C56="","",SUM($G56:$L56))</f>
        <v/>
      </c>
      <c r="T56" s="63">
        <f>IF($C56="","",SUM($N56:$R56))</f>
        <v/>
      </c>
      <c r="U56" s="63">
        <f>IF($C56="","",$S56-$T56)</f>
        <v/>
      </c>
      <c r="V56" s="47" t="n"/>
      <c r="W56" s="112" t="n"/>
      <c r="X56" s="47" t="n"/>
      <c r="Y56" s="50">
        <f>IF($C56="","",IF(SUMPRODUCT(($C$3:$C$502=$C56)*($A$3:$A$502=$A56)*($B$3:$B$502=$B56))&gt;1,"⚠ مكرر","سليم"))</f>
        <v/>
      </c>
      <c r="Z56">
        <f>IF(AND($C56&lt;&gt;"",$A56=تقرير_الشهر,$B56=تقرير_السنة),SUMPRODUCT(($C$3:$C$502&lt;&gt;"")*($A$3:$A$502=تقرير_الشهر)*($B$3:$B$502=تقرير_السنة)*(ROW($C$3:$C$502)&lt;=ROW())),"")</f>
        <v/>
      </c>
    </row>
    <row r="57">
      <c r="A57" s="40" t="n"/>
      <c r="B57" s="59" t="n"/>
      <c r="C57" s="40" t="n"/>
      <c r="D57" s="43">
        <f>IFERROR(INDEX(الموظفون_الاسم,MATCH($C57,الموظفون_الرقم,0)),"")</f>
        <v/>
      </c>
      <c r="E57" s="43">
        <f>IFERROR(INDEX(الموظفون_الإدارة,MATCH($C57,الموظفون_الرقم,0)),"")</f>
        <v/>
      </c>
      <c r="F57" s="43">
        <f>IFERROR(INDEX(الموظفون_القسم,MATCH($C57,الموظفون_الرقم,0)),"")</f>
        <v/>
      </c>
      <c r="G57" s="60">
        <f>IF($C57="","",IFERROR(INDEX(الموظفون_الاساسي,MATCH($C57,الموظفون_الرقم,0)),0))</f>
        <v/>
      </c>
      <c r="H57" s="42" t="n"/>
      <c r="I57" s="42" t="n"/>
      <c r="J57" s="42" t="n"/>
      <c r="K57" s="42" t="n"/>
      <c r="L57" s="42" t="n"/>
      <c r="M57" s="61" t="n"/>
      <c r="N57" s="42" t="n"/>
      <c r="O57" s="42" t="n"/>
      <c r="P57" s="42" t="n"/>
      <c r="Q57" s="42" t="n"/>
      <c r="R57" s="42" t="n"/>
      <c r="S57" s="60">
        <f>IF($C57="","",SUM($G57:$L57))</f>
        <v/>
      </c>
      <c r="T57" s="60">
        <f>IF($C57="","",SUM($N57:$R57))</f>
        <v/>
      </c>
      <c r="U57" s="60">
        <f>IF($C57="","",$S57-$T57)</f>
        <v/>
      </c>
      <c r="V57" s="40" t="n"/>
      <c r="W57" s="110" t="n"/>
      <c r="X57" s="40" t="n"/>
      <c r="Y57" s="43">
        <f>IF($C57="","",IF(SUMPRODUCT(($C$3:$C$502=$C57)*($A$3:$A$502=$A57)*($B$3:$B$502=$B57))&gt;1,"⚠ مكرر","سليم"))</f>
        <v/>
      </c>
      <c r="Z57">
        <f>IF(AND($C57&lt;&gt;"",$A57=تقرير_الشهر,$B57=تقرير_السنة),SUMPRODUCT(($C$3:$C$502&lt;&gt;"")*($A$3:$A$502=تقرير_الشهر)*($B$3:$B$502=تقرير_السنة)*(ROW($C$3:$C$502)&lt;=ROW())),"")</f>
        <v/>
      </c>
    </row>
    <row r="58">
      <c r="A58" s="47" t="n"/>
      <c r="B58" s="62" t="n"/>
      <c r="C58" s="47" t="n"/>
      <c r="D58" s="50">
        <f>IFERROR(INDEX(الموظفون_الاسم,MATCH($C58,الموظفون_الرقم,0)),"")</f>
        <v/>
      </c>
      <c r="E58" s="50">
        <f>IFERROR(INDEX(الموظفون_الإدارة,MATCH($C58,الموظفون_الرقم,0)),"")</f>
        <v/>
      </c>
      <c r="F58" s="50">
        <f>IFERROR(INDEX(الموظفون_القسم,MATCH($C58,الموظفون_الرقم,0)),"")</f>
        <v/>
      </c>
      <c r="G58" s="63">
        <f>IF($C58="","",IFERROR(INDEX(الموظفون_الاساسي,MATCH($C58,الموظفون_الرقم,0)),0))</f>
        <v/>
      </c>
      <c r="H58" s="49" t="n"/>
      <c r="I58" s="49" t="n"/>
      <c r="J58" s="49" t="n"/>
      <c r="K58" s="49" t="n"/>
      <c r="L58" s="49" t="n"/>
      <c r="M58" s="64" t="n"/>
      <c r="N58" s="49" t="n"/>
      <c r="O58" s="49" t="n"/>
      <c r="P58" s="49" t="n"/>
      <c r="Q58" s="49" t="n"/>
      <c r="R58" s="49" t="n"/>
      <c r="S58" s="63">
        <f>IF($C58="","",SUM($G58:$L58))</f>
        <v/>
      </c>
      <c r="T58" s="63">
        <f>IF($C58="","",SUM($N58:$R58))</f>
        <v/>
      </c>
      <c r="U58" s="63">
        <f>IF($C58="","",$S58-$T58)</f>
        <v/>
      </c>
      <c r="V58" s="47" t="n"/>
      <c r="W58" s="112" t="n"/>
      <c r="X58" s="47" t="n"/>
      <c r="Y58" s="50">
        <f>IF($C58="","",IF(SUMPRODUCT(($C$3:$C$502=$C58)*($A$3:$A$502=$A58)*($B$3:$B$502=$B58))&gt;1,"⚠ مكرر","سليم"))</f>
        <v/>
      </c>
      <c r="Z58">
        <f>IF(AND($C58&lt;&gt;"",$A58=تقرير_الشهر,$B58=تقرير_السنة),SUMPRODUCT(($C$3:$C$502&lt;&gt;"")*($A$3:$A$502=تقرير_الشهر)*($B$3:$B$502=تقرير_السنة)*(ROW($C$3:$C$502)&lt;=ROW())),"")</f>
        <v/>
      </c>
    </row>
    <row r="59">
      <c r="A59" s="40" t="n"/>
      <c r="B59" s="59" t="n"/>
      <c r="C59" s="40" t="n"/>
      <c r="D59" s="43">
        <f>IFERROR(INDEX(الموظفون_الاسم,MATCH($C59,الموظفون_الرقم,0)),"")</f>
        <v/>
      </c>
      <c r="E59" s="43">
        <f>IFERROR(INDEX(الموظفون_الإدارة,MATCH($C59,الموظفون_الرقم,0)),"")</f>
        <v/>
      </c>
      <c r="F59" s="43">
        <f>IFERROR(INDEX(الموظفون_القسم,MATCH($C59,الموظفون_الرقم,0)),"")</f>
        <v/>
      </c>
      <c r="G59" s="60">
        <f>IF($C59="","",IFERROR(INDEX(الموظفون_الاساسي,MATCH($C59,الموظفون_الرقم,0)),0))</f>
        <v/>
      </c>
      <c r="H59" s="42" t="n"/>
      <c r="I59" s="42" t="n"/>
      <c r="J59" s="42" t="n"/>
      <c r="K59" s="42" t="n"/>
      <c r="L59" s="42" t="n"/>
      <c r="M59" s="61" t="n"/>
      <c r="N59" s="42" t="n"/>
      <c r="O59" s="42" t="n"/>
      <c r="P59" s="42" t="n"/>
      <c r="Q59" s="42" t="n"/>
      <c r="R59" s="42" t="n"/>
      <c r="S59" s="60">
        <f>IF($C59="","",SUM($G59:$L59))</f>
        <v/>
      </c>
      <c r="T59" s="60">
        <f>IF($C59="","",SUM($N59:$R59))</f>
        <v/>
      </c>
      <c r="U59" s="60">
        <f>IF($C59="","",$S59-$T59)</f>
        <v/>
      </c>
      <c r="V59" s="40" t="n"/>
      <c r="W59" s="110" t="n"/>
      <c r="X59" s="40" t="n"/>
      <c r="Y59" s="43">
        <f>IF($C59="","",IF(SUMPRODUCT(($C$3:$C$502=$C59)*($A$3:$A$502=$A59)*($B$3:$B$502=$B59))&gt;1,"⚠ مكرر","سليم"))</f>
        <v/>
      </c>
      <c r="Z59">
        <f>IF(AND($C59&lt;&gt;"",$A59=تقرير_الشهر,$B59=تقرير_السنة),SUMPRODUCT(($C$3:$C$502&lt;&gt;"")*($A$3:$A$502=تقرير_الشهر)*($B$3:$B$502=تقرير_السنة)*(ROW($C$3:$C$502)&lt;=ROW())),"")</f>
        <v/>
      </c>
    </row>
    <row r="60">
      <c r="A60" s="47" t="n"/>
      <c r="B60" s="62" t="n"/>
      <c r="C60" s="47" t="n"/>
      <c r="D60" s="50">
        <f>IFERROR(INDEX(الموظفون_الاسم,MATCH($C60,الموظفون_الرقم,0)),"")</f>
        <v/>
      </c>
      <c r="E60" s="50">
        <f>IFERROR(INDEX(الموظفون_الإدارة,MATCH($C60,الموظفون_الرقم,0)),"")</f>
        <v/>
      </c>
      <c r="F60" s="50">
        <f>IFERROR(INDEX(الموظفون_القسم,MATCH($C60,الموظفون_الرقم,0)),"")</f>
        <v/>
      </c>
      <c r="G60" s="63">
        <f>IF($C60="","",IFERROR(INDEX(الموظفون_الاساسي,MATCH($C60,الموظفون_الرقم,0)),0))</f>
        <v/>
      </c>
      <c r="H60" s="49" t="n"/>
      <c r="I60" s="49" t="n"/>
      <c r="J60" s="49" t="n"/>
      <c r="K60" s="49" t="n"/>
      <c r="L60" s="49" t="n"/>
      <c r="M60" s="64" t="n"/>
      <c r="N60" s="49" t="n"/>
      <c r="O60" s="49" t="n"/>
      <c r="P60" s="49" t="n"/>
      <c r="Q60" s="49" t="n"/>
      <c r="R60" s="49" t="n"/>
      <c r="S60" s="63">
        <f>IF($C60="","",SUM($G60:$L60))</f>
        <v/>
      </c>
      <c r="T60" s="63">
        <f>IF($C60="","",SUM($N60:$R60))</f>
        <v/>
      </c>
      <c r="U60" s="63">
        <f>IF($C60="","",$S60-$T60)</f>
        <v/>
      </c>
      <c r="V60" s="47" t="n"/>
      <c r="W60" s="112" t="n"/>
      <c r="X60" s="47" t="n"/>
      <c r="Y60" s="50">
        <f>IF($C60="","",IF(SUMPRODUCT(($C$3:$C$502=$C60)*($A$3:$A$502=$A60)*($B$3:$B$502=$B60))&gt;1,"⚠ مكرر","سليم"))</f>
        <v/>
      </c>
      <c r="Z60">
        <f>IF(AND($C60&lt;&gt;"",$A60=تقرير_الشهر,$B60=تقرير_السنة),SUMPRODUCT(($C$3:$C$502&lt;&gt;"")*($A$3:$A$502=تقرير_الشهر)*($B$3:$B$502=تقرير_السنة)*(ROW($C$3:$C$502)&lt;=ROW())),"")</f>
        <v/>
      </c>
    </row>
    <row r="61">
      <c r="A61" s="40" t="n"/>
      <c r="B61" s="59" t="n"/>
      <c r="C61" s="40" t="n"/>
      <c r="D61" s="43">
        <f>IFERROR(INDEX(الموظفون_الاسم,MATCH($C61,الموظفون_الرقم,0)),"")</f>
        <v/>
      </c>
      <c r="E61" s="43">
        <f>IFERROR(INDEX(الموظفون_الإدارة,MATCH($C61,الموظفون_الرقم,0)),"")</f>
        <v/>
      </c>
      <c r="F61" s="43">
        <f>IFERROR(INDEX(الموظفون_القسم,MATCH($C61,الموظفون_الرقم,0)),"")</f>
        <v/>
      </c>
      <c r="G61" s="60">
        <f>IF($C61="","",IFERROR(INDEX(الموظفون_الاساسي,MATCH($C61,الموظفون_الرقم,0)),0))</f>
        <v/>
      </c>
      <c r="H61" s="42" t="n"/>
      <c r="I61" s="42" t="n"/>
      <c r="J61" s="42" t="n"/>
      <c r="K61" s="42" t="n"/>
      <c r="L61" s="42" t="n"/>
      <c r="M61" s="61" t="n"/>
      <c r="N61" s="42" t="n"/>
      <c r="O61" s="42" t="n"/>
      <c r="P61" s="42" t="n"/>
      <c r="Q61" s="42" t="n"/>
      <c r="R61" s="42" t="n"/>
      <c r="S61" s="60">
        <f>IF($C61="","",SUM($G61:$L61))</f>
        <v/>
      </c>
      <c r="T61" s="60">
        <f>IF($C61="","",SUM($N61:$R61))</f>
        <v/>
      </c>
      <c r="U61" s="60">
        <f>IF($C61="","",$S61-$T61)</f>
        <v/>
      </c>
      <c r="V61" s="40" t="n"/>
      <c r="W61" s="110" t="n"/>
      <c r="X61" s="40" t="n"/>
      <c r="Y61" s="43">
        <f>IF($C61="","",IF(SUMPRODUCT(($C$3:$C$502=$C61)*($A$3:$A$502=$A61)*($B$3:$B$502=$B61))&gt;1,"⚠ مكرر","سليم"))</f>
        <v/>
      </c>
      <c r="Z61">
        <f>IF(AND($C61&lt;&gt;"",$A61=تقرير_الشهر,$B61=تقرير_السنة),SUMPRODUCT(($C$3:$C$502&lt;&gt;"")*($A$3:$A$502=تقرير_الشهر)*($B$3:$B$502=تقرير_السنة)*(ROW($C$3:$C$502)&lt;=ROW())),"")</f>
        <v/>
      </c>
    </row>
    <row r="62">
      <c r="A62" s="47" t="n"/>
      <c r="B62" s="62" t="n"/>
      <c r="C62" s="47" t="n"/>
      <c r="D62" s="50">
        <f>IFERROR(INDEX(الموظفون_الاسم,MATCH($C62,الموظفون_الرقم,0)),"")</f>
        <v/>
      </c>
      <c r="E62" s="50">
        <f>IFERROR(INDEX(الموظفون_الإدارة,MATCH($C62,الموظفون_الرقم,0)),"")</f>
        <v/>
      </c>
      <c r="F62" s="50">
        <f>IFERROR(INDEX(الموظفون_القسم,MATCH($C62,الموظفون_الرقم,0)),"")</f>
        <v/>
      </c>
      <c r="G62" s="63">
        <f>IF($C62="","",IFERROR(INDEX(الموظفون_الاساسي,MATCH($C62,الموظفون_الرقم,0)),0))</f>
        <v/>
      </c>
      <c r="H62" s="49" t="n"/>
      <c r="I62" s="49" t="n"/>
      <c r="J62" s="49" t="n"/>
      <c r="K62" s="49" t="n"/>
      <c r="L62" s="49" t="n"/>
      <c r="M62" s="64" t="n"/>
      <c r="N62" s="49" t="n"/>
      <c r="O62" s="49" t="n"/>
      <c r="P62" s="49" t="n"/>
      <c r="Q62" s="49" t="n"/>
      <c r="R62" s="49" t="n"/>
      <c r="S62" s="63">
        <f>IF($C62="","",SUM($G62:$L62))</f>
        <v/>
      </c>
      <c r="T62" s="63">
        <f>IF($C62="","",SUM($N62:$R62))</f>
        <v/>
      </c>
      <c r="U62" s="63">
        <f>IF($C62="","",$S62-$T62)</f>
        <v/>
      </c>
      <c r="V62" s="47" t="n"/>
      <c r="W62" s="112" t="n"/>
      <c r="X62" s="47" t="n"/>
      <c r="Y62" s="50">
        <f>IF($C62="","",IF(SUMPRODUCT(($C$3:$C$502=$C62)*($A$3:$A$502=$A62)*($B$3:$B$502=$B62))&gt;1,"⚠ مكرر","سليم"))</f>
        <v/>
      </c>
      <c r="Z62">
        <f>IF(AND($C62&lt;&gt;"",$A62=تقرير_الشهر,$B62=تقرير_السنة),SUMPRODUCT(($C$3:$C$502&lt;&gt;"")*($A$3:$A$502=تقرير_الشهر)*($B$3:$B$502=تقرير_السنة)*(ROW($C$3:$C$502)&lt;=ROW())),"")</f>
        <v/>
      </c>
    </row>
    <row r="63">
      <c r="A63" s="40" t="n"/>
      <c r="B63" s="59" t="n"/>
      <c r="C63" s="40" t="n"/>
      <c r="D63" s="43">
        <f>IFERROR(INDEX(الموظفون_الاسم,MATCH($C63,الموظفون_الرقم,0)),"")</f>
        <v/>
      </c>
      <c r="E63" s="43">
        <f>IFERROR(INDEX(الموظفون_الإدارة,MATCH($C63,الموظفون_الرقم,0)),"")</f>
        <v/>
      </c>
      <c r="F63" s="43">
        <f>IFERROR(INDEX(الموظفون_القسم,MATCH($C63,الموظفون_الرقم,0)),"")</f>
        <v/>
      </c>
      <c r="G63" s="60">
        <f>IF($C63="","",IFERROR(INDEX(الموظفون_الاساسي,MATCH($C63,الموظفون_الرقم,0)),0))</f>
        <v/>
      </c>
      <c r="H63" s="42" t="n"/>
      <c r="I63" s="42" t="n"/>
      <c r="J63" s="42" t="n"/>
      <c r="K63" s="42" t="n"/>
      <c r="L63" s="42" t="n"/>
      <c r="M63" s="61" t="n"/>
      <c r="N63" s="42" t="n"/>
      <c r="O63" s="42" t="n"/>
      <c r="P63" s="42" t="n"/>
      <c r="Q63" s="42" t="n"/>
      <c r="R63" s="42" t="n"/>
      <c r="S63" s="60">
        <f>IF($C63="","",SUM($G63:$L63))</f>
        <v/>
      </c>
      <c r="T63" s="60">
        <f>IF($C63="","",SUM($N63:$R63))</f>
        <v/>
      </c>
      <c r="U63" s="60">
        <f>IF($C63="","",$S63-$T63)</f>
        <v/>
      </c>
      <c r="V63" s="40" t="n"/>
      <c r="W63" s="110" t="n"/>
      <c r="X63" s="40" t="n"/>
      <c r="Y63" s="43">
        <f>IF($C63="","",IF(SUMPRODUCT(($C$3:$C$502=$C63)*($A$3:$A$502=$A63)*($B$3:$B$502=$B63))&gt;1,"⚠ مكرر","سليم"))</f>
        <v/>
      </c>
      <c r="Z63">
        <f>IF(AND($C63&lt;&gt;"",$A63=تقرير_الشهر,$B63=تقرير_السنة),SUMPRODUCT(($C$3:$C$502&lt;&gt;"")*($A$3:$A$502=تقرير_الشهر)*($B$3:$B$502=تقرير_السنة)*(ROW($C$3:$C$502)&lt;=ROW())),"")</f>
        <v/>
      </c>
    </row>
    <row r="64">
      <c r="A64" s="47" t="n"/>
      <c r="B64" s="62" t="n"/>
      <c r="C64" s="47" t="n"/>
      <c r="D64" s="50">
        <f>IFERROR(INDEX(الموظفون_الاسم,MATCH($C64,الموظفون_الرقم,0)),"")</f>
        <v/>
      </c>
      <c r="E64" s="50">
        <f>IFERROR(INDEX(الموظفون_الإدارة,MATCH($C64,الموظفون_الرقم,0)),"")</f>
        <v/>
      </c>
      <c r="F64" s="50">
        <f>IFERROR(INDEX(الموظفون_القسم,MATCH($C64,الموظفون_الرقم,0)),"")</f>
        <v/>
      </c>
      <c r="G64" s="63">
        <f>IF($C64="","",IFERROR(INDEX(الموظفون_الاساسي,MATCH($C64,الموظفون_الرقم,0)),0))</f>
        <v/>
      </c>
      <c r="H64" s="49" t="n"/>
      <c r="I64" s="49" t="n"/>
      <c r="J64" s="49" t="n"/>
      <c r="K64" s="49" t="n"/>
      <c r="L64" s="49" t="n"/>
      <c r="M64" s="64" t="n"/>
      <c r="N64" s="49" t="n"/>
      <c r="O64" s="49" t="n"/>
      <c r="P64" s="49" t="n"/>
      <c r="Q64" s="49" t="n"/>
      <c r="R64" s="49" t="n"/>
      <c r="S64" s="63">
        <f>IF($C64="","",SUM($G64:$L64))</f>
        <v/>
      </c>
      <c r="T64" s="63">
        <f>IF($C64="","",SUM($N64:$R64))</f>
        <v/>
      </c>
      <c r="U64" s="63">
        <f>IF($C64="","",$S64-$T64)</f>
        <v/>
      </c>
      <c r="V64" s="47" t="n"/>
      <c r="W64" s="112" t="n"/>
      <c r="X64" s="47" t="n"/>
      <c r="Y64" s="50">
        <f>IF($C64="","",IF(SUMPRODUCT(($C$3:$C$502=$C64)*($A$3:$A$502=$A64)*($B$3:$B$502=$B64))&gt;1,"⚠ مكرر","سليم"))</f>
        <v/>
      </c>
      <c r="Z64">
        <f>IF(AND($C64&lt;&gt;"",$A64=تقرير_الشهر,$B64=تقرير_السنة),SUMPRODUCT(($C$3:$C$502&lt;&gt;"")*($A$3:$A$502=تقرير_الشهر)*($B$3:$B$502=تقرير_السنة)*(ROW($C$3:$C$502)&lt;=ROW())),"")</f>
        <v/>
      </c>
    </row>
    <row r="65">
      <c r="A65" s="40" t="n"/>
      <c r="B65" s="59" t="n"/>
      <c r="C65" s="40" t="n"/>
      <c r="D65" s="43">
        <f>IFERROR(INDEX(الموظفون_الاسم,MATCH($C65,الموظفون_الرقم,0)),"")</f>
        <v/>
      </c>
      <c r="E65" s="43">
        <f>IFERROR(INDEX(الموظفون_الإدارة,MATCH($C65,الموظفون_الرقم,0)),"")</f>
        <v/>
      </c>
      <c r="F65" s="43">
        <f>IFERROR(INDEX(الموظفون_القسم,MATCH($C65,الموظفون_الرقم,0)),"")</f>
        <v/>
      </c>
      <c r="G65" s="60">
        <f>IF($C65="","",IFERROR(INDEX(الموظفون_الاساسي,MATCH($C65,الموظفون_الرقم,0)),0))</f>
        <v/>
      </c>
      <c r="H65" s="42" t="n"/>
      <c r="I65" s="42" t="n"/>
      <c r="J65" s="42" t="n"/>
      <c r="K65" s="42" t="n"/>
      <c r="L65" s="42" t="n"/>
      <c r="M65" s="61" t="n"/>
      <c r="N65" s="42" t="n"/>
      <c r="O65" s="42" t="n"/>
      <c r="P65" s="42" t="n"/>
      <c r="Q65" s="42" t="n"/>
      <c r="R65" s="42" t="n"/>
      <c r="S65" s="60">
        <f>IF($C65="","",SUM($G65:$L65))</f>
        <v/>
      </c>
      <c r="T65" s="60">
        <f>IF($C65="","",SUM($N65:$R65))</f>
        <v/>
      </c>
      <c r="U65" s="60">
        <f>IF($C65="","",$S65-$T65)</f>
        <v/>
      </c>
      <c r="V65" s="40" t="n"/>
      <c r="W65" s="110" t="n"/>
      <c r="X65" s="40" t="n"/>
      <c r="Y65" s="43">
        <f>IF($C65="","",IF(SUMPRODUCT(($C$3:$C$502=$C65)*($A$3:$A$502=$A65)*($B$3:$B$502=$B65))&gt;1,"⚠ مكرر","سليم"))</f>
        <v/>
      </c>
      <c r="Z65">
        <f>IF(AND($C65&lt;&gt;"",$A65=تقرير_الشهر,$B65=تقرير_السنة),SUMPRODUCT(($C$3:$C$502&lt;&gt;"")*($A$3:$A$502=تقرير_الشهر)*($B$3:$B$502=تقرير_السنة)*(ROW($C$3:$C$502)&lt;=ROW())),"")</f>
        <v/>
      </c>
    </row>
    <row r="66">
      <c r="A66" s="47" t="n"/>
      <c r="B66" s="62" t="n"/>
      <c r="C66" s="47" t="n"/>
      <c r="D66" s="50">
        <f>IFERROR(INDEX(الموظفون_الاسم,MATCH($C66,الموظفون_الرقم,0)),"")</f>
        <v/>
      </c>
      <c r="E66" s="50">
        <f>IFERROR(INDEX(الموظفون_الإدارة,MATCH($C66,الموظفون_الرقم,0)),"")</f>
        <v/>
      </c>
      <c r="F66" s="50">
        <f>IFERROR(INDEX(الموظفون_القسم,MATCH($C66,الموظفون_الرقم,0)),"")</f>
        <v/>
      </c>
      <c r="G66" s="63">
        <f>IF($C66="","",IFERROR(INDEX(الموظفون_الاساسي,MATCH($C66,الموظفون_الرقم,0)),0))</f>
        <v/>
      </c>
      <c r="H66" s="49" t="n"/>
      <c r="I66" s="49" t="n"/>
      <c r="J66" s="49" t="n"/>
      <c r="K66" s="49" t="n"/>
      <c r="L66" s="49" t="n"/>
      <c r="M66" s="64" t="n"/>
      <c r="N66" s="49" t="n"/>
      <c r="O66" s="49" t="n"/>
      <c r="P66" s="49" t="n"/>
      <c r="Q66" s="49" t="n"/>
      <c r="R66" s="49" t="n"/>
      <c r="S66" s="63">
        <f>IF($C66="","",SUM($G66:$L66))</f>
        <v/>
      </c>
      <c r="T66" s="63">
        <f>IF($C66="","",SUM($N66:$R66))</f>
        <v/>
      </c>
      <c r="U66" s="63">
        <f>IF($C66="","",$S66-$T66)</f>
        <v/>
      </c>
      <c r="V66" s="47" t="n"/>
      <c r="W66" s="112" t="n"/>
      <c r="X66" s="47" t="n"/>
      <c r="Y66" s="50">
        <f>IF($C66="","",IF(SUMPRODUCT(($C$3:$C$502=$C66)*($A$3:$A$502=$A66)*($B$3:$B$502=$B66))&gt;1,"⚠ مكرر","سليم"))</f>
        <v/>
      </c>
      <c r="Z66">
        <f>IF(AND($C66&lt;&gt;"",$A66=تقرير_الشهر,$B66=تقرير_السنة),SUMPRODUCT(($C$3:$C$502&lt;&gt;"")*($A$3:$A$502=تقرير_الشهر)*($B$3:$B$502=تقرير_السنة)*(ROW($C$3:$C$502)&lt;=ROW())),"")</f>
        <v/>
      </c>
    </row>
    <row r="67">
      <c r="A67" s="40" t="n"/>
      <c r="B67" s="59" t="n"/>
      <c r="C67" s="40" t="n"/>
      <c r="D67" s="43">
        <f>IFERROR(INDEX(الموظفون_الاسم,MATCH($C67,الموظفون_الرقم,0)),"")</f>
        <v/>
      </c>
      <c r="E67" s="43">
        <f>IFERROR(INDEX(الموظفون_الإدارة,MATCH($C67,الموظفون_الرقم,0)),"")</f>
        <v/>
      </c>
      <c r="F67" s="43">
        <f>IFERROR(INDEX(الموظفون_القسم,MATCH($C67,الموظفون_الرقم,0)),"")</f>
        <v/>
      </c>
      <c r="G67" s="60">
        <f>IF($C67="","",IFERROR(INDEX(الموظفون_الاساسي,MATCH($C67,الموظفون_الرقم,0)),0))</f>
        <v/>
      </c>
      <c r="H67" s="42" t="n"/>
      <c r="I67" s="42" t="n"/>
      <c r="J67" s="42" t="n"/>
      <c r="K67" s="42" t="n"/>
      <c r="L67" s="42" t="n"/>
      <c r="M67" s="61" t="n"/>
      <c r="N67" s="42" t="n"/>
      <c r="O67" s="42" t="n"/>
      <c r="P67" s="42" t="n"/>
      <c r="Q67" s="42" t="n"/>
      <c r="R67" s="42" t="n"/>
      <c r="S67" s="60">
        <f>IF($C67="","",SUM($G67:$L67))</f>
        <v/>
      </c>
      <c r="T67" s="60">
        <f>IF($C67="","",SUM($N67:$R67))</f>
        <v/>
      </c>
      <c r="U67" s="60">
        <f>IF($C67="","",$S67-$T67)</f>
        <v/>
      </c>
      <c r="V67" s="40" t="n"/>
      <c r="W67" s="110" t="n"/>
      <c r="X67" s="40" t="n"/>
      <c r="Y67" s="43">
        <f>IF($C67="","",IF(SUMPRODUCT(($C$3:$C$502=$C67)*($A$3:$A$502=$A67)*($B$3:$B$502=$B67))&gt;1,"⚠ مكرر","سليم"))</f>
        <v/>
      </c>
      <c r="Z67">
        <f>IF(AND($C67&lt;&gt;"",$A67=تقرير_الشهر,$B67=تقرير_السنة),SUMPRODUCT(($C$3:$C$502&lt;&gt;"")*($A$3:$A$502=تقرير_الشهر)*($B$3:$B$502=تقرير_السنة)*(ROW($C$3:$C$502)&lt;=ROW())),"")</f>
        <v/>
      </c>
    </row>
    <row r="68">
      <c r="A68" s="47" t="n"/>
      <c r="B68" s="62" t="n"/>
      <c r="C68" s="47" t="n"/>
      <c r="D68" s="50">
        <f>IFERROR(INDEX(الموظفون_الاسم,MATCH($C68,الموظفون_الرقم,0)),"")</f>
        <v/>
      </c>
      <c r="E68" s="50">
        <f>IFERROR(INDEX(الموظفون_الإدارة,MATCH($C68,الموظفون_الرقم,0)),"")</f>
        <v/>
      </c>
      <c r="F68" s="50">
        <f>IFERROR(INDEX(الموظفون_القسم,MATCH($C68,الموظفون_الرقم,0)),"")</f>
        <v/>
      </c>
      <c r="G68" s="63">
        <f>IF($C68="","",IFERROR(INDEX(الموظفون_الاساسي,MATCH($C68,الموظفون_الرقم,0)),0))</f>
        <v/>
      </c>
      <c r="H68" s="49" t="n"/>
      <c r="I68" s="49" t="n"/>
      <c r="J68" s="49" t="n"/>
      <c r="K68" s="49" t="n"/>
      <c r="L68" s="49" t="n"/>
      <c r="M68" s="64" t="n"/>
      <c r="N68" s="49" t="n"/>
      <c r="O68" s="49" t="n"/>
      <c r="P68" s="49" t="n"/>
      <c r="Q68" s="49" t="n"/>
      <c r="R68" s="49" t="n"/>
      <c r="S68" s="63">
        <f>IF($C68="","",SUM($G68:$L68))</f>
        <v/>
      </c>
      <c r="T68" s="63">
        <f>IF($C68="","",SUM($N68:$R68))</f>
        <v/>
      </c>
      <c r="U68" s="63">
        <f>IF($C68="","",$S68-$T68)</f>
        <v/>
      </c>
      <c r="V68" s="47" t="n"/>
      <c r="W68" s="112" t="n"/>
      <c r="X68" s="47" t="n"/>
      <c r="Y68" s="50">
        <f>IF($C68="","",IF(SUMPRODUCT(($C$3:$C$502=$C68)*($A$3:$A$502=$A68)*($B$3:$B$502=$B68))&gt;1,"⚠ مكرر","سليم"))</f>
        <v/>
      </c>
      <c r="Z68">
        <f>IF(AND($C68&lt;&gt;"",$A68=تقرير_الشهر,$B68=تقرير_السنة),SUMPRODUCT(($C$3:$C$502&lt;&gt;"")*($A$3:$A$502=تقرير_الشهر)*($B$3:$B$502=تقرير_السنة)*(ROW($C$3:$C$502)&lt;=ROW())),"")</f>
        <v/>
      </c>
    </row>
    <row r="69">
      <c r="A69" s="40" t="n"/>
      <c r="B69" s="59" t="n"/>
      <c r="C69" s="40" t="n"/>
      <c r="D69" s="43">
        <f>IFERROR(INDEX(الموظفون_الاسم,MATCH($C69,الموظفون_الرقم,0)),"")</f>
        <v/>
      </c>
      <c r="E69" s="43">
        <f>IFERROR(INDEX(الموظفون_الإدارة,MATCH($C69,الموظفون_الرقم,0)),"")</f>
        <v/>
      </c>
      <c r="F69" s="43">
        <f>IFERROR(INDEX(الموظفون_القسم,MATCH($C69,الموظفون_الرقم,0)),"")</f>
        <v/>
      </c>
      <c r="G69" s="60">
        <f>IF($C69="","",IFERROR(INDEX(الموظفون_الاساسي,MATCH($C69,الموظفون_الرقم,0)),0))</f>
        <v/>
      </c>
      <c r="H69" s="42" t="n"/>
      <c r="I69" s="42" t="n"/>
      <c r="J69" s="42" t="n"/>
      <c r="K69" s="42" t="n"/>
      <c r="L69" s="42" t="n"/>
      <c r="M69" s="61" t="n"/>
      <c r="N69" s="42" t="n"/>
      <c r="O69" s="42" t="n"/>
      <c r="P69" s="42" t="n"/>
      <c r="Q69" s="42" t="n"/>
      <c r="R69" s="42" t="n"/>
      <c r="S69" s="60">
        <f>IF($C69="","",SUM($G69:$L69))</f>
        <v/>
      </c>
      <c r="T69" s="60">
        <f>IF($C69="","",SUM($N69:$R69))</f>
        <v/>
      </c>
      <c r="U69" s="60">
        <f>IF($C69="","",$S69-$T69)</f>
        <v/>
      </c>
      <c r="V69" s="40" t="n"/>
      <c r="W69" s="110" t="n"/>
      <c r="X69" s="40" t="n"/>
      <c r="Y69" s="43">
        <f>IF($C69="","",IF(SUMPRODUCT(($C$3:$C$502=$C69)*($A$3:$A$502=$A69)*($B$3:$B$502=$B69))&gt;1,"⚠ مكرر","سليم"))</f>
        <v/>
      </c>
      <c r="Z69">
        <f>IF(AND($C69&lt;&gt;"",$A69=تقرير_الشهر,$B69=تقرير_السنة),SUMPRODUCT(($C$3:$C$502&lt;&gt;"")*($A$3:$A$502=تقرير_الشهر)*($B$3:$B$502=تقرير_السنة)*(ROW($C$3:$C$502)&lt;=ROW())),"")</f>
        <v/>
      </c>
    </row>
    <row r="70">
      <c r="A70" s="47" t="n"/>
      <c r="B70" s="62" t="n"/>
      <c r="C70" s="47" t="n"/>
      <c r="D70" s="50">
        <f>IFERROR(INDEX(الموظفون_الاسم,MATCH($C70,الموظفون_الرقم,0)),"")</f>
        <v/>
      </c>
      <c r="E70" s="50">
        <f>IFERROR(INDEX(الموظفون_الإدارة,MATCH($C70,الموظفون_الرقم,0)),"")</f>
        <v/>
      </c>
      <c r="F70" s="50">
        <f>IFERROR(INDEX(الموظفون_القسم,MATCH($C70,الموظفون_الرقم,0)),"")</f>
        <v/>
      </c>
      <c r="G70" s="63">
        <f>IF($C70="","",IFERROR(INDEX(الموظفون_الاساسي,MATCH($C70,الموظفون_الرقم,0)),0))</f>
        <v/>
      </c>
      <c r="H70" s="49" t="n"/>
      <c r="I70" s="49" t="n"/>
      <c r="J70" s="49" t="n"/>
      <c r="K70" s="49" t="n"/>
      <c r="L70" s="49" t="n"/>
      <c r="M70" s="64" t="n"/>
      <c r="N70" s="49" t="n"/>
      <c r="O70" s="49" t="n"/>
      <c r="P70" s="49" t="n"/>
      <c r="Q70" s="49" t="n"/>
      <c r="R70" s="49" t="n"/>
      <c r="S70" s="63">
        <f>IF($C70="","",SUM($G70:$L70))</f>
        <v/>
      </c>
      <c r="T70" s="63">
        <f>IF($C70="","",SUM($N70:$R70))</f>
        <v/>
      </c>
      <c r="U70" s="63">
        <f>IF($C70="","",$S70-$T70)</f>
        <v/>
      </c>
      <c r="V70" s="47" t="n"/>
      <c r="W70" s="112" t="n"/>
      <c r="X70" s="47" t="n"/>
      <c r="Y70" s="50">
        <f>IF($C70="","",IF(SUMPRODUCT(($C$3:$C$502=$C70)*($A$3:$A$502=$A70)*($B$3:$B$502=$B70))&gt;1,"⚠ مكرر","سليم"))</f>
        <v/>
      </c>
      <c r="Z70">
        <f>IF(AND($C70&lt;&gt;"",$A70=تقرير_الشهر,$B70=تقرير_السنة),SUMPRODUCT(($C$3:$C$502&lt;&gt;"")*($A$3:$A$502=تقرير_الشهر)*($B$3:$B$502=تقرير_السنة)*(ROW($C$3:$C$502)&lt;=ROW())),"")</f>
        <v/>
      </c>
    </row>
    <row r="71">
      <c r="A71" s="40" t="n"/>
      <c r="B71" s="59" t="n"/>
      <c r="C71" s="40" t="n"/>
      <c r="D71" s="43">
        <f>IFERROR(INDEX(الموظفون_الاسم,MATCH($C71,الموظفون_الرقم,0)),"")</f>
        <v/>
      </c>
      <c r="E71" s="43">
        <f>IFERROR(INDEX(الموظفون_الإدارة,MATCH($C71,الموظفون_الرقم,0)),"")</f>
        <v/>
      </c>
      <c r="F71" s="43">
        <f>IFERROR(INDEX(الموظفون_القسم,MATCH($C71,الموظفون_الرقم,0)),"")</f>
        <v/>
      </c>
      <c r="G71" s="60">
        <f>IF($C71="","",IFERROR(INDEX(الموظفون_الاساسي,MATCH($C71,الموظفون_الرقم,0)),0))</f>
        <v/>
      </c>
      <c r="H71" s="42" t="n"/>
      <c r="I71" s="42" t="n"/>
      <c r="J71" s="42" t="n"/>
      <c r="K71" s="42" t="n"/>
      <c r="L71" s="42" t="n"/>
      <c r="M71" s="61" t="n"/>
      <c r="N71" s="42" t="n"/>
      <c r="O71" s="42" t="n"/>
      <c r="P71" s="42" t="n"/>
      <c r="Q71" s="42" t="n"/>
      <c r="R71" s="42" t="n"/>
      <c r="S71" s="60">
        <f>IF($C71="","",SUM($G71:$L71))</f>
        <v/>
      </c>
      <c r="T71" s="60">
        <f>IF($C71="","",SUM($N71:$R71))</f>
        <v/>
      </c>
      <c r="U71" s="60">
        <f>IF($C71="","",$S71-$T71)</f>
        <v/>
      </c>
      <c r="V71" s="40" t="n"/>
      <c r="W71" s="110" t="n"/>
      <c r="X71" s="40" t="n"/>
      <c r="Y71" s="43">
        <f>IF($C71="","",IF(SUMPRODUCT(($C$3:$C$502=$C71)*($A$3:$A$502=$A71)*($B$3:$B$502=$B71))&gt;1,"⚠ مكرر","سليم"))</f>
        <v/>
      </c>
      <c r="Z71">
        <f>IF(AND($C71&lt;&gt;"",$A71=تقرير_الشهر,$B71=تقرير_السنة),SUMPRODUCT(($C$3:$C$502&lt;&gt;"")*($A$3:$A$502=تقرير_الشهر)*($B$3:$B$502=تقرير_السنة)*(ROW($C$3:$C$502)&lt;=ROW())),"")</f>
        <v/>
      </c>
    </row>
    <row r="72">
      <c r="A72" s="47" t="n"/>
      <c r="B72" s="62" t="n"/>
      <c r="C72" s="47" t="n"/>
      <c r="D72" s="50">
        <f>IFERROR(INDEX(الموظفون_الاسم,MATCH($C72,الموظفون_الرقم,0)),"")</f>
        <v/>
      </c>
      <c r="E72" s="50">
        <f>IFERROR(INDEX(الموظفون_الإدارة,MATCH($C72,الموظفون_الرقم,0)),"")</f>
        <v/>
      </c>
      <c r="F72" s="50">
        <f>IFERROR(INDEX(الموظفون_القسم,MATCH($C72,الموظفون_الرقم,0)),"")</f>
        <v/>
      </c>
      <c r="G72" s="63">
        <f>IF($C72="","",IFERROR(INDEX(الموظفون_الاساسي,MATCH($C72,الموظفون_الرقم,0)),0))</f>
        <v/>
      </c>
      <c r="H72" s="49" t="n"/>
      <c r="I72" s="49" t="n"/>
      <c r="J72" s="49" t="n"/>
      <c r="K72" s="49" t="n"/>
      <c r="L72" s="49" t="n"/>
      <c r="M72" s="64" t="n"/>
      <c r="N72" s="49" t="n"/>
      <c r="O72" s="49" t="n"/>
      <c r="P72" s="49" t="n"/>
      <c r="Q72" s="49" t="n"/>
      <c r="R72" s="49" t="n"/>
      <c r="S72" s="63">
        <f>IF($C72="","",SUM($G72:$L72))</f>
        <v/>
      </c>
      <c r="T72" s="63">
        <f>IF($C72="","",SUM($N72:$R72))</f>
        <v/>
      </c>
      <c r="U72" s="63">
        <f>IF($C72="","",$S72-$T72)</f>
        <v/>
      </c>
      <c r="V72" s="47" t="n"/>
      <c r="W72" s="112" t="n"/>
      <c r="X72" s="47" t="n"/>
      <c r="Y72" s="50">
        <f>IF($C72="","",IF(SUMPRODUCT(($C$3:$C$502=$C72)*($A$3:$A$502=$A72)*($B$3:$B$502=$B72))&gt;1,"⚠ مكرر","سليم"))</f>
        <v/>
      </c>
      <c r="Z72">
        <f>IF(AND($C72&lt;&gt;"",$A72=تقرير_الشهر,$B72=تقرير_السنة),SUMPRODUCT(($C$3:$C$502&lt;&gt;"")*($A$3:$A$502=تقرير_الشهر)*($B$3:$B$502=تقرير_السنة)*(ROW($C$3:$C$502)&lt;=ROW())),"")</f>
        <v/>
      </c>
    </row>
    <row r="73">
      <c r="A73" s="40" t="n"/>
      <c r="B73" s="59" t="n"/>
      <c r="C73" s="40" t="n"/>
      <c r="D73" s="43">
        <f>IFERROR(INDEX(الموظفون_الاسم,MATCH($C73,الموظفون_الرقم,0)),"")</f>
        <v/>
      </c>
      <c r="E73" s="43">
        <f>IFERROR(INDEX(الموظفون_الإدارة,MATCH($C73,الموظفون_الرقم,0)),"")</f>
        <v/>
      </c>
      <c r="F73" s="43">
        <f>IFERROR(INDEX(الموظفون_القسم,MATCH($C73,الموظفون_الرقم,0)),"")</f>
        <v/>
      </c>
      <c r="G73" s="60">
        <f>IF($C73="","",IFERROR(INDEX(الموظفون_الاساسي,MATCH($C73,الموظفون_الرقم,0)),0))</f>
        <v/>
      </c>
      <c r="H73" s="42" t="n"/>
      <c r="I73" s="42" t="n"/>
      <c r="J73" s="42" t="n"/>
      <c r="K73" s="42" t="n"/>
      <c r="L73" s="42" t="n"/>
      <c r="M73" s="61" t="n"/>
      <c r="N73" s="42" t="n"/>
      <c r="O73" s="42" t="n"/>
      <c r="P73" s="42" t="n"/>
      <c r="Q73" s="42" t="n"/>
      <c r="R73" s="42" t="n"/>
      <c r="S73" s="60">
        <f>IF($C73="","",SUM($G73:$L73))</f>
        <v/>
      </c>
      <c r="T73" s="60">
        <f>IF($C73="","",SUM($N73:$R73))</f>
        <v/>
      </c>
      <c r="U73" s="60">
        <f>IF($C73="","",$S73-$T73)</f>
        <v/>
      </c>
      <c r="V73" s="40" t="n"/>
      <c r="W73" s="110" t="n"/>
      <c r="X73" s="40" t="n"/>
      <c r="Y73" s="43">
        <f>IF($C73="","",IF(SUMPRODUCT(($C$3:$C$502=$C73)*($A$3:$A$502=$A73)*($B$3:$B$502=$B73))&gt;1,"⚠ مكرر","سليم"))</f>
        <v/>
      </c>
      <c r="Z73">
        <f>IF(AND($C73&lt;&gt;"",$A73=تقرير_الشهر,$B73=تقرير_السنة),SUMPRODUCT(($C$3:$C$502&lt;&gt;"")*($A$3:$A$502=تقرير_الشهر)*($B$3:$B$502=تقرير_السنة)*(ROW($C$3:$C$502)&lt;=ROW())),"")</f>
        <v/>
      </c>
    </row>
    <row r="74">
      <c r="A74" s="47" t="n"/>
      <c r="B74" s="62" t="n"/>
      <c r="C74" s="47" t="n"/>
      <c r="D74" s="50">
        <f>IFERROR(INDEX(الموظفون_الاسم,MATCH($C74,الموظفون_الرقم,0)),"")</f>
        <v/>
      </c>
      <c r="E74" s="50">
        <f>IFERROR(INDEX(الموظفون_الإدارة,MATCH($C74,الموظفون_الرقم,0)),"")</f>
        <v/>
      </c>
      <c r="F74" s="50">
        <f>IFERROR(INDEX(الموظفون_القسم,MATCH($C74,الموظفون_الرقم,0)),"")</f>
        <v/>
      </c>
      <c r="G74" s="63">
        <f>IF($C74="","",IFERROR(INDEX(الموظفون_الاساسي,MATCH($C74,الموظفون_الرقم,0)),0))</f>
        <v/>
      </c>
      <c r="H74" s="49" t="n"/>
      <c r="I74" s="49" t="n"/>
      <c r="J74" s="49" t="n"/>
      <c r="K74" s="49" t="n"/>
      <c r="L74" s="49" t="n"/>
      <c r="M74" s="64" t="n"/>
      <c r="N74" s="49" t="n"/>
      <c r="O74" s="49" t="n"/>
      <c r="P74" s="49" t="n"/>
      <c r="Q74" s="49" t="n"/>
      <c r="R74" s="49" t="n"/>
      <c r="S74" s="63">
        <f>IF($C74="","",SUM($G74:$L74))</f>
        <v/>
      </c>
      <c r="T74" s="63">
        <f>IF($C74="","",SUM($N74:$R74))</f>
        <v/>
      </c>
      <c r="U74" s="63">
        <f>IF($C74="","",$S74-$T74)</f>
        <v/>
      </c>
      <c r="V74" s="47" t="n"/>
      <c r="W74" s="112" t="n"/>
      <c r="X74" s="47" t="n"/>
      <c r="Y74" s="50">
        <f>IF($C74="","",IF(SUMPRODUCT(($C$3:$C$502=$C74)*($A$3:$A$502=$A74)*($B$3:$B$502=$B74))&gt;1,"⚠ مكرر","سليم"))</f>
        <v/>
      </c>
      <c r="Z74">
        <f>IF(AND($C74&lt;&gt;"",$A74=تقرير_الشهر,$B74=تقرير_السنة),SUMPRODUCT(($C$3:$C$502&lt;&gt;"")*($A$3:$A$502=تقرير_الشهر)*($B$3:$B$502=تقرير_السنة)*(ROW($C$3:$C$502)&lt;=ROW())),"")</f>
        <v/>
      </c>
    </row>
    <row r="75">
      <c r="A75" s="40" t="n"/>
      <c r="B75" s="59" t="n"/>
      <c r="C75" s="40" t="n"/>
      <c r="D75" s="43">
        <f>IFERROR(INDEX(الموظفون_الاسم,MATCH($C75,الموظفون_الرقم,0)),"")</f>
        <v/>
      </c>
      <c r="E75" s="43">
        <f>IFERROR(INDEX(الموظفون_الإدارة,MATCH($C75,الموظفون_الرقم,0)),"")</f>
        <v/>
      </c>
      <c r="F75" s="43">
        <f>IFERROR(INDEX(الموظفون_القسم,MATCH($C75,الموظفون_الرقم,0)),"")</f>
        <v/>
      </c>
      <c r="G75" s="60">
        <f>IF($C75="","",IFERROR(INDEX(الموظفون_الاساسي,MATCH($C75,الموظفون_الرقم,0)),0))</f>
        <v/>
      </c>
      <c r="H75" s="42" t="n"/>
      <c r="I75" s="42" t="n"/>
      <c r="J75" s="42" t="n"/>
      <c r="K75" s="42" t="n"/>
      <c r="L75" s="42" t="n"/>
      <c r="M75" s="61" t="n"/>
      <c r="N75" s="42" t="n"/>
      <c r="O75" s="42" t="n"/>
      <c r="P75" s="42" t="n"/>
      <c r="Q75" s="42" t="n"/>
      <c r="R75" s="42" t="n"/>
      <c r="S75" s="60">
        <f>IF($C75="","",SUM($G75:$L75))</f>
        <v/>
      </c>
      <c r="T75" s="60">
        <f>IF($C75="","",SUM($N75:$R75))</f>
        <v/>
      </c>
      <c r="U75" s="60">
        <f>IF($C75="","",$S75-$T75)</f>
        <v/>
      </c>
      <c r="V75" s="40" t="n"/>
      <c r="W75" s="110" t="n"/>
      <c r="X75" s="40" t="n"/>
      <c r="Y75" s="43">
        <f>IF($C75="","",IF(SUMPRODUCT(($C$3:$C$502=$C75)*($A$3:$A$502=$A75)*($B$3:$B$502=$B75))&gt;1,"⚠ مكرر","سليم"))</f>
        <v/>
      </c>
      <c r="Z75">
        <f>IF(AND($C75&lt;&gt;"",$A75=تقرير_الشهر,$B75=تقرير_السنة),SUMPRODUCT(($C$3:$C$502&lt;&gt;"")*($A$3:$A$502=تقرير_الشهر)*($B$3:$B$502=تقرير_السنة)*(ROW($C$3:$C$502)&lt;=ROW())),"")</f>
        <v/>
      </c>
    </row>
    <row r="76">
      <c r="A76" s="47" t="n"/>
      <c r="B76" s="62" t="n"/>
      <c r="C76" s="47" t="n"/>
      <c r="D76" s="50">
        <f>IFERROR(INDEX(الموظفون_الاسم,MATCH($C76,الموظفون_الرقم,0)),"")</f>
        <v/>
      </c>
      <c r="E76" s="50">
        <f>IFERROR(INDEX(الموظفون_الإدارة,MATCH($C76,الموظفون_الرقم,0)),"")</f>
        <v/>
      </c>
      <c r="F76" s="50">
        <f>IFERROR(INDEX(الموظفون_القسم,MATCH($C76,الموظفون_الرقم,0)),"")</f>
        <v/>
      </c>
      <c r="G76" s="63">
        <f>IF($C76="","",IFERROR(INDEX(الموظفون_الاساسي,MATCH($C76,الموظفون_الرقم,0)),0))</f>
        <v/>
      </c>
      <c r="H76" s="49" t="n"/>
      <c r="I76" s="49" t="n"/>
      <c r="J76" s="49" t="n"/>
      <c r="K76" s="49" t="n"/>
      <c r="L76" s="49" t="n"/>
      <c r="M76" s="64" t="n"/>
      <c r="N76" s="49" t="n"/>
      <c r="O76" s="49" t="n"/>
      <c r="P76" s="49" t="n"/>
      <c r="Q76" s="49" t="n"/>
      <c r="R76" s="49" t="n"/>
      <c r="S76" s="63">
        <f>IF($C76="","",SUM($G76:$L76))</f>
        <v/>
      </c>
      <c r="T76" s="63">
        <f>IF($C76="","",SUM($N76:$R76))</f>
        <v/>
      </c>
      <c r="U76" s="63">
        <f>IF($C76="","",$S76-$T76)</f>
        <v/>
      </c>
      <c r="V76" s="47" t="n"/>
      <c r="W76" s="112" t="n"/>
      <c r="X76" s="47" t="n"/>
      <c r="Y76" s="50">
        <f>IF($C76="","",IF(SUMPRODUCT(($C$3:$C$502=$C76)*($A$3:$A$502=$A76)*($B$3:$B$502=$B76))&gt;1,"⚠ مكرر","سليم"))</f>
        <v/>
      </c>
      <c r="Z76">
        <f>IF(AND($C76&lt;&gt;"",$A76=تقرير_الشهر,$B76=تقرير_السنة),SUMPRODUCT(($C$3:$C$502&lt;&gt;"")*($A$3:$A$502=تقرير_الشهر)*($B$3:$B$502=تقرير_السنة)*(ROW($C$3:$C$502)&lt;=ROW())),"")</f>
        <v/>
      </c>
    </row>
    <row r="77">
      <c r="A77" s="40" t="n"/>
      <c r="B77" s="59" t="n"/>
      <c r="C77" s="40" t="n"/>
      <c r="D77" s="43">
        <f>IFERROR(INDEX(الموظفون_الاسم,MATCH($C77,الموظفون_الرقم,0)),"")</f>
        <v/>
      </c>
      <c r="E77" s="43">
        <f>IFERROR(INDEX(الموظفون_الإدارة,MATCH($C77,الموظفون_الرقم,0)),"")</f>
        <v/>
      </c>
      <c r="F77" s="43">
        <f>IFERROR(INDEX(الموظفون_القسم,MATCH($C77,الموظفون_الرقم,0)),"")</f>
        <v/>
      </c>
      <c r="G77" s="60">
        <f>IF($C77="","",IFERROR(INDEX(الموظفون_الاساسي,MATCH($C77,الموظفون_الرقم,0)),0))</f>
        <v/>
      </c>
      <c r="H77" s="42" t="n"/>
      <c r="I77" s="42" t="n"/>
      <c r="J77" s="42" t="n"/>
      <c r="K77" s="42" t="n"/>
      <c r="L77" s="42" t="n"/>
      <c r="M77" s="61" t="n"/>
      <c r="N77" s="42" t="n"/>
      <c r="O77" s="42" t="n"/>
      <c r="P77" s="42" t="n"/>
      <c r="Q77" s="42" t="n"/>
      <c r="R77" s="42" t="n"/>
      <c r="S77" s="60">
        <f>IF($C77="","",SUM($G77:$L77))</f>
        <v/>
      </c>
      <c r="T77" s="60">
        <f>IF($C77="","",SUM($N77:$R77))</f>
        <v/>
      </c>
      <c r="U77" s="60">
        <f>IF($C77="","",$S77-$T77)</f>
        <v/>
      </c>
      <c r="V77" s="40" t="n"/>
      <c r="W77" s="110" t="n"/>
      <c r="X77" s="40" t="n"/>
      <c r="Y77" s="43">
        <f>IF($C77="","",IF(SUMPRODUCT(($C$3:$C$502=$C77)*($A$3:$A$502=$A77)*($B$3:$B$502=$B77))&gt;1,"⚠ مكرر","سليم"))</f>
        <v/>
      </c>
      <c r="Z77">
        <f>IF(AND($C77&lt;&gt;"",$A77=تقرير_الشهر,$B77=تقرير_السنة),SUMPRODUCT(($C$3:$C$502&lt;&gt;"")*($A$3:$A$502=تقرير_الشهر)*($B$3:$B$502=تقرير_السنة)*(ROW($C$3:$C$502)&lt;=ROW())),"")</f>
        <v/>
      </c>
    </row>
    <row r="78">
      <c r="A78" s="47" t="n"/>
      <c r="B78" s="62" t="n"/>
      <c r="C78" s="47" t="n"/>
      <c r="D78" s="50">
        <f>IFERROR(INDEX(الموظفون_الاسم,MATCH($C78,الموظفون_الرقم,0)),"")</f>
        <v/>
      </c>
      <c r="E78" s="50">
        <f>IFERROR(INDEX(الموظفون_الإدارة,MATCH($C78,الموظفون_الرقم,0)),"")</f>
        <v/>
      </c>
      <c r="F78" s="50">
        <f>IFERROR(INDEX(الموظفون_القسم,MATCH($C78,الموظفون_الرقم,0)),"")</f>
        <v/>
      </c>
      <c r="G78" s="63">
        <f>IF($C78="","",IFERROR(INDEX(الموظفون_الاساسي,MATCH($C78,الموظفون_الرقم,0)),0))</f>
        <v/>
      </c>
      <c r="H78" s="49" t="n"/>
      <c r="I78" s="49" t="n"/>
      <c r="J78" s="49" t="n"/>
      <c r="K78" s="49" t="n"/>
      <c r="L78" s="49" t="n"/>
      <c r="M78" s="64" t="n"/>
      <c r="N78" s="49" t="n"/>
      <c r="O78" s="49" t="n"/>
      <c r="P78" s="49" t="n"/>
      <c r="Q78" s="49" t="n"/>
      <c r="R78" s="49" t="n"/>
      <c r="S78" s="63">
        <f>IF($C78="","",SUM($G78:$L78))</f>
        <v/>
      </c>
      <c r="T78" s="63">
        <f>IF($C78="","",SUM($N78:$R78))</f>
        <v/>
      </c>
      <c r="U78" s="63">
        <f>IF($C78="","",$S78-$T78)</f>
        <v/>
      </c>
      <c r="V78" s="47" t="n"/>
      <c r="W78" s="112" t="n"/>
      <c r="X78" s="47" t="n"/>
      <c r="Y78" s="50">
        <f>IF($C78="","",IF(SUMPRODUCT(($C$3:$C$502=$C78)*($A$3:$A$502=$A78)*($B$3:$B$502=$B78))&gt;1,"⚠ مكرر","سليم"))</f>
        <v/>
      </c>
      <c r="Z78">
        <f>IF(AND($C78&lt;&gt;"",$A78=تقرير_الشهر,$B78=تقرير_السنة),SUMPRODUCT(($C$3:$C$502&lt;&gt;"")*($A$3:$A$502=تقرير_الشهر)*($B$3:$B$502=تقرير_السنة)*(ROW($C$3:$C$502)&lt;=ROW())),"")</f>
        <v/>
      </c>
    </row>
    <row r="79">
      <c r="A79" s="40" t="n"/>
      <c r="B79" s="59" t="n"/>
      <c r="C79" s="40" t="n"/>
      <c r="D79" s="43">
        <f>IFERROR(INDEX(الموظفون_الاسم,MATCH($C79,الموظفون_الرقم,0)),"")</f>
        <v/>
      </c>
      <c r="E79" s="43">
        <f>IFERROR(INDEX(الموظفون_الإدارة,MATCH($C79,الموظفون_الرقم,0)),"")</f>
        <v/>
      </c>
      <c r="F79" s="43">
        <f>IFERROR(INDEX(الموظفون_القسم,MATCH($C79,الموظفون_الرقم,0)),"")</f>
        <v/>
      </c>
      <c r="G79" s="60">
        <f>IF($C79="","",IFERROR(INDEX(الموظفون_الاساسي,MATCH($C79,الموظفون_الرقم,0)),0))</f>
        <v/>
      </c>
      <c r="H79" s="42" t="n"/>
      <c r="I79" s="42" t="n"/>
      <c r="J79" s="42" t="n"/>
      <c r="K79" s="42" t="n"/>
      <c r="L79" s="42" t="n"/>
      <c r="M79" s="61" t="n"/>
      <c r="N79" s="42" t="n"/>
      <c r="O79" s="42" t="n"/>
      <c r="P79" s="42" t="n"/>
      <c r="Q79" s="42" t="n"/>
      <c r="R79" s="42" t="n"/>
      <c r="S79" s="60">
        <f>IF($C79="","",SUM($G79:$L79))</f>
        <v/>
      </c>
      <c r="T79" s="60">
        <f>IF($C79="","",SUM($N79:$R79))</f>
        <v/>
      </c>
      <c r="U79" s="60">
        <f>IF($C79="","",$S79-$T79)</f>
        <v/>
      </c>
      <c r="V79" s="40" t="n"/>
      <c r="W79" s="110" t="n"/>
      <c r="X79" s="40" t="n"/>
      <c r="Y79" s="43">
        <f>IF($C79="","",IF(SUMPRODUCT(($C$3:$C$502=$C79)*($A$3:$A$502=$A79)*($B$3:$B$502=$B79))&gt;1,"⚠ مكرر","سليم"))</f>
        <v/>
      </c>
      <c r="Z79">
        <f>IF(AND($C79&lt;&gt;"",$A79=تقرير_الشهر,$B79=تقرير_السنة),SUMPRODUCT(($C$3:$C$502&lt;&gt;"")*($A$3:$A$502=تقرير_الشهر)*($B$3:$B$502=تقرير_السنة)*(ROW($C$3:$C$502)&lt;=ROW())),"")</f>
        <v/>
      </c>
    </row>
    <row r="80">
      <c r="A80" s="47" t="n"/>
      <c r="B80" s="62" t="n"/>
      <c r="C80" s="47" t="n"/>
      <c r="D80" s="50">
        <f>IFERROR(INDEX(الموظفون_الاسم,MATCH($C80,الموظفون_الرقم,0)),"")</f>
        <v/>
      </c>
      <c r="E80" s="50">
        <f>IFERROR(INDEX(الموظفون_الإدارة,MATCH($C80,الموظفون_الرقم,0)),"")</f>
        <v/>
      </c>
      <c r="F80" s="50">
        <f>IFERROR(INDEX(الموظفون_القسم,MATCH($C80,الموظفون_الرقم,0)),"")</f>
        <v/>
      </c>
      <c r="G80" s="63">
        <f>IF($C80="","",IFERROR(INDEX(الموظفون_الاساسي,MATCH($C80,الموظفون_الرقم,0)),0))</f>
        <v/>
      </c>
      <c r="H80" s="49" t="n"/>
      <c r="I80" s="49" t="n"/>
      <c r="J80" s="49" t="n"/>
      <c r="K80" s="49" t="n"/>
      <c r="L80" s="49" t="n"/>
      <c r="M80" s="64" t="n"/>
      <c r="N80" s="49" t="n"/>
      <c r="O80" s="49" t="n"/>
      <c r="P80" s="49" t="n"/>
      <c r="Q80" s="49" t="n"/>
      <c r="R80" s="49" t="n"/>
      <c r="S80" s="63">
        <f>IF($C80="","",SUM($G80:$L80))</f>
        <v/>
      </c>
      <c r="T80" s="63">
        <f>IF($C80="","",SUM($N80:$R80))</f>
        <v/>
      </c>
      <c r="U80" s="63">
        <f>IF($C80="","",$S80-$T80)</f>
        <v/>
      </c>
      <c r="V80" s="47" t="n"/>
      <c r="W80" s="112" t="n"/>
      <c r="X80" s="47" t="n"/>
      <c r="Y80" s="50">
        <f>IF($C80="","",IF(SUMPRODUCT(($C$3:$C$502=$C80)*($A$3:$A$502=$A80)*($B$3:$B$502=$B80))&gt;1,"⚠ مكرر","سليم"))</f>
        <v/>
      </c>
      <c r="Z80">
        <f>IF(AND($C80&lt;&gt;"",$A80=تقرير_الشهر,$B80=تقرير_السنة),SUMPRODUCT(($C$3:$C$502&lt;&gt;"")*($A$3:$A$502=تقرير_الشهر)*($B$3:$B$502=تقرير_السنة)*(ROW($C$3:$C$502)&lt;=ROW())),"")</f>
        <v/>
      </c>
    </row>
    <row r="81">
      <c r="A81" s="40" t="n"/>
      <c r="B81" s="59" t="n"/>
      <c r="C81" s="40" t="n"/>
      <c r="D81" s="43">
        <f>IFERROR(INDEX(الموظفون_الاسم,MATCH($C81,الموظفون_الرقم,0)),"")</f>
        <v/>
      </c>
      <c r="E81" s="43">
        <f>IFERROR(INDEX(الموظفون_الإدارة,MATCH($C81,الموظفون_الرقم,0)),"")</f>
        <v/>
      </c>
      <c r="F81" s="43">
        <f>IFERROR(INDEX(الموظفون_القسم,MATCH($C81,الموظفون_الرقم,0)),"")</f>
        <v/>
      </c>
      <c r="G81" s="60">
        <f>IF($C81="","",IFERROR(INDEX(الموظفون_الاساسي,MATCH($C81,الموظفون_الرقم,0)),0))</f>
        <v/>
      </c>
      <c r="H81" s="42" t="n"/>
      <c r="I81" s="42" t="n"/>
      <c r="J81" s="42" t="n"/>
      <c r="K81" s="42" t="n"/>
      <c r="L81" s="42" t="n"/>
      <c r="M81" s="61" t="n"/>
      <c r="N81" s="42" t="n"/>
      <c r="O81" s="42" t="n"/>
      <c r="P81" s="42" t="n"/>
      <c r="Q81" s="42" t="n"/>
      <c r="R81" s="42" t="n"/>
      <c r="S81" s="60">
        <f>IF($C81="","",SUM($G81:$L81))</f>
        <v/>
      </c>
      <c r="T81" s="60">
        <f>IF($C81="","",SUM($N81:$R81))</f>
        <v/>
      </c>
      <c r="U81" s="60">
        <f>IF($C81="","",$S81-$T81)</f>
        <v/>
      </c>
      <c r="V81" s="40" t="n"/>
      <c r="W81" s="110" t="n"/>
      <c r="X81" s="40" t="n"/>
      <c r="Y81" s="43">
        <f>IF($C81="","",IF(SUMPRODUCT(($C$3:$C$502=$C81)*($A$3:$A$502=$A81)*($B$3:$B$502=$B81))&gt;1,"⚠ مكرر","سليم"))</f>
        <v/>
      </c>
      <c r="Z81">
        <f>IF(AND($C81&lt;&gt;"",$A81=تقرير_الشهر,$B81=تقرير_السنة),SUMPRODUCT(($C$3:$C$502&lt;&gt;"")*($A$3:$A$502=تقرير_الشهر)*($B$3:$B$502=تقرير_السنة)*(ROW($C$3:$C$502)&lt;=ROW())),"")</f>
        <v/>
      </c>
    </row>
    <row r="82">
      <c r="A82" s="47" t="n"/>
      <c r="B82" s="62" t="n"/>
      <c r="C82" s="47" t="n"/>
      <c r="D82" s="50">
        <f>IFERROR(INDEX(الموظفون_الاسم,MATCH($C82,الموظفون_الرقم,0)),"")</f>
        <v/>
      </c>
      <c r="E82" s="50">
        <f>IFERROR(INDEX(الموظفون_الإدارة,MATCH($C82,الموظفون_الرقم,0)),"")</f>
        <v/>
      </c>
      <c r="F82" s="50">
        <f>IFERROR(INDEX(الموظفون_القسم,MATCH($C82,الموظفون_الرقم,0)),"")</f>
        <v/>
      </c>
      <c r="G82" s="63">
        <f>IF($C82="","",IFERROR(INDEX(الموظفون_الاساسي,MATCH($C82,الموظفون_الرقم,0)),0))</f>
        <v/>
      </c>
      <c r="H82" s="49" t="n"/>
      <c r="I82" s="49" t="n"/>
      <c r="J82" s="49" t="n"/>
      <c r="K82" s="49" t="n"/>
      <c r="L82" s="49" t="n"/>
      <c r="M82" s="64" t="n"/>
      <c r="N82" s="49" t="n"/>
      <c r="O82" s="49" t="n"/>
      <c r="P82" s="49" t="n"/>
      <c r="Q82" s="49" t="n"/>
      <c r="R82" s="49" t="n"/>
      <c r="S82" s="63">
        <f>IF($C82="","",SUM($G82:$L82))</f>
        <v/>
      </c>
      <c r="T82" s="63">
        <f>IF($C82="","",SUM($N82:$R82))</f>
        <v/>
      </c>
      <c r="U82" s="63">
        <f>IF($C82="","",$S82-$T82)</f>
        <v/>
      </c>
      <c r="V82" s="47" t="n"/>
      <c r="W82" s="112" t="n"/>
      <c r="X82" s="47" t="n"/>
      <c r="Y82" s="50">
        <f>IF($C82="","",IF(SUMPRODUCT(($C$3:$C$502=$C82)*($A$3:$A$502=$A82)*($B$3:$B$502=$B82))&gt;1,"⚠ مكرر","سليم"))</f>
        <v/>
      </c>
      <c r="Z82">
        <f>IF(AND($C82&lt;&gt;"",$A82=تقرير_الشهر,$B82=تقرير_السنة),SUMPRODUCT(($C$3:$C$502&lt;&gt;"")*($A$3:$A$502=تقرير_الشهر)*($B$3:$B$502=تقرير_السنة)*(ROW($C$3:$C$502)&lt;=ROW())),"")</f>
        <v/>
      </c>
    </row>
    <row r="83">
      <c r="A83" s="40" t="n"/>
      <c r="B83" s="59" t="n"/>
      <c r="C83" s="40" t="n"/>
      <c r="D83" s="43">
        <f>IFERROR(INDEX(الموظفون_الاسم,MATCH($C83,الموظفون_الرقم,0)),"")</f>
        <v/>
      </c>
      <c r="E83" s="43">
        <f>IFERROR(INDEX(الموظفون_الإدارة,MATCH($C83,الموظفون_الرقم,0)),"")</f>
        <v/>
      </c>
      <c r="F83" s="43">
        <f>IFERROR(INDEX(الموظفون_القسم,MATCH($C83,الموظفون_الرقم,0)),"")</f>
        <v/>
      </c>
      <c r="G83" s="60">
        <f>IF($C83="","",IFERROR(INDEX(الموظفون_الاساسي,MATCH($C83,الموظفون_الرقم,0)),0))</f>
        <v/>
      </c>
      <c r="H83" s="42" t="n"/>
      <c r="I83" s="42" t="n"/>
      <c r="J83" s="42" t="n"/>
      <c r="K83" s="42" t="n"/>
      <c r="L83" s="42" t="n"/>
      <c r="M83" s="61" t="n"/>
      <c r="N83" s="42" t="n"/>
      <c r="O83" s="42" t="n"/>
      <c r="P83" s="42" t="n"/>
      <c r="Q83" s="42" t="n"/>
      <c r="R83" s="42" t="n"/>
      <c r="S83" s="60">
        <f>IF($C83="","",SUM($G83:$L83))</f>
        <v/>
      </c>
      <c r="T83" s="60">
        <f>IF($C83="","",SUM($N83:$R83))</f>
        <v/>
      </c>
      <c r="U83" s="60">
        <f>IF($C83="","",$S83-$T83)</f>
        <v/>
      </c>
      <c r="V83" s="40" t="n"/>
      <c r="W83" s="110" t="n"/>
      <c r="X83" s="40" t="n"/>
      <c r="Y83" s="43">
        <f>IF($C83="","",IF(SUMPRODUCT(($C$3:$C$502=$C83)*($A$3:$A$502=$A83)*($B$3:$B$502=$B83))&gt;1,"⚠ مكرر","سليم"))</f>
        <v/>
      </c>
      <c r="Z83">
        <f>IF(AND($C83&lt;&gt;"",$A83=تقرير_الشهر,$B83=تقرير_السنة),SUMPRODUCT(($C$3:$C$502&lt;&gt;"")*($A$3:$A$502=تقرير_الشهر)*($B$3:$B$502=تقرير_السنة)*(ROW($C$3:$C$502)&lt;=ROW())),"")</f>
        <v/>
      </c>
    </row>
    <row r="84">
      <c r="A84" s="47" t="n"/>
      <c r="B84" s="62" t="n"/>
      <c r="C84" s="47" t="n"/>
      <c r="D84" s="50">
        <f>IFERROR(INDEX(الموظفون_الاسم,MATCH($C84,الموظفون_الرقم,0)),"")</f>
        <v/>
      </c>
      <c r="E84" s="50">
        <f>IFERROR(INDEX(الموظفون_الإدارة,MATCH($C84,الموظفون_الرقم,0)),"")</f>
        <v/>
      </c>
      <c r="F84" s="50">
        <f>IFERROR(INDEX(الموظفون_القسم,MATCH($C84,الموظفون_الرقم,0)),"")</f>
        <v/>
      </c>
      <c r="G84" s="63">
        <f>IF($C84="","",IFERROR(INDEX(الموظفون_الاساسي,MATCH($C84,الموظفون_الرقم,0)),0))</f>
        <v/>
      </c>
      <c r="H84" s="49" t="n"/>
      <c r="I84" s="49" t="n"/>
      <c r="J84" s="49" t="n"/>
      <c r="K84" s="49" t="n"/>
      <c r="L84" s="49" t="n"/>
      <c r="M84" s="64" t="n"/>
      <c r="N84" s="49" t="n"/>
      <c r="O84" s="49" t="n"/>
      <c r="P84" s="49" t="n"/>
      <c r="Q84" s="49" t="n"/>
      <c r="R84" s="49" t="n"/>
      <c r="S84" s="63">
        <f>IF($C84="","",SUM($G84:$L84))</f>
        <v/>
      </c>
      <c r="T84" s="63">
        <f>IF($C84="","",SUM($N84:$R84))</f>
        <v/>
      </c>
      <c r="U84" s="63">
        <f>IF($C84="","",$S84-$T84)</f>
        <v/>
      </c>
      <c r="V84" s="47" t="n"/>
      <c r="W84" s="112" t="n"/>
      <c r="X84" s="47" t="n"/>
      <c r="Y84" s="50">
        <f>IF($C84="","",IF(SUMPRODUCT(($C$3:$C$502=$C84)*($A$3:$A$502=$A84)*($B$3:$B$502=$B84))&gt;1,"⚠ مكرر","سليم"))</f>
        <v/>
      </c>
      <c r="Z84">
        <f>IF(AND($C84&lt;&gt;"",$A84=تقرير_الشهر,$B84=تقرير_السنة),SUMPRODUCT(($C$3:$C$502&lt;&gt;"")*($A$3:$A$502=تقرير_الشهر)*($B$3:$B$502=تقرير_السنة)*(ROW($C$3:$C$502)&lt;=ROW())),"")</f>
        <v/>
      </c>
    </row>
    <row r="85">
      <c r="A85" s="40" t="n"/>
      <c r="B85" s="59" t="n"/>
      <c r="C85" s="40" t="n"/>
      <c r="D85" s="43">
        <f>IFERROR(INDEX(الموظفون_الاسم,MATCH($C85,الموظفون_الرقم,0)),"")</f>
        <v/>
      </c>
      <c r="E85" s="43">
        <f>IFERROR(INDEX(الموظفون_الإدارة,MATCH($C85,الموظفون_الرقم,0)),"")</f>
        <v/>
      </c>
      <c r="F85" s="43">
        <f>IFERROR(INDEX(الموظفون_القسم,MATCH($C85,الموظفون_الرقم,0)),"")</f>
        <v/>
      </c>
      <c r="G85" s="60">
        <f>IF($C85="","",IFERROR(INDEX(الموظفون_الاساسي,MATCH($C85,الموظفون_الرقم,0)),0))</f>
        <v/>
      </c>
      <c r="H85" s="42" t="n"/>
      <c r="I85" s="42" t="n"/>
      <c r="J85" s="42" t="n"/>
      <c r="K85" s="42" t="n"/>
      <c r="L85" s="42" t="n"/>
      <c r="M85" s="61" t="n"/>
      <c r="N85" s="42" t="n"/>
      <c r="O85" s="42" t="n"/>
      <c r="P85" s="42" t="n"/>
      <c r="Q85" s="42" t="n"/>
      <c r="R85" s="42" t="n"/>
      <c r="S85" s="60">
        <f>IF($C85="","",SUM($G85:$L85))</f>
        <v/>
      </c>
      <c r="T85" s="60">
        <f>IF($C85="","",SUM($N85:$R85))</f>
        <v/>
      </c>
      <c r="U85" s="60">
        <f>IF($C85="","",$S85-$T85)</f>
        <v/>
      </c>
      <c r="V85" s="40" t="n"/>
      <c r="W85" s="110" t="n"/>
      <c r="X85" s="40" t="n"/>
      <c r="Y85" s="43">
        <f>IF($C85="","",IF(SUMPRODUCT(($C$3:$C$502=$C85)*($A$3:$A$502=$A85)*($B$3:$B$502=$B85))&gt;1,"⚠ مكرر","سليم"))</f>
        <v/>
      </c>
      <c r="Z85">
        <f>IF(AND($C85&lt;&gt;"",$A85=تقرير_الشهر,$B85=تقرير_السنة),SUMPRODUCT(($C$3:$C$502&lt;&gt;"")*($A$3:$A$502=تقرير_الشهر)*($B$3:$B$502=تقرير_السنة)*(ROW($C$3:$C$502)&lt;=ROW())),"")</f>
        <v/>
      </c>
    </row>
    <row r="86">
      <c r="A86" s="47" t="n"/>
      <c r="B86" s="62" t="n"/>
      <c r="C86" s="47" t="n"/>
      <c r="D86" s="50">
        <f>IFERROR(INDEX(الموظفون_الاسم,MATCH($C86,الموظفون_الرقم,0)),"")</f>
        <v/>
      </c>
      <c r="E86" s="50">
        <f>IFERROR(INDEX(الموظفون_الإدارة,MATCH($C86,الموظفون_الرقم,0)),"")</f>
        <v/>
      </c>
      <c r="F86" s="50">
        <f>IFERROR(INDEX(الموظفون_القسم,MATCH($C86,الموظفون_الرقم,0)),"")</f>
        <v/>
      </c>
      <c r="G86" s="63">
        <f>IF($C86="","",IFERROR(INDEX(الموظفون_الاساسي,MATCH($C86,الموظفون_الرقم,0)),0))</f>
        <v/>
      </c>
      <c r="H86" s="49" t="n"/>
      <c r="I86" s="49" t="n"/>
      <c r="J86" s="49" t="n"/>
      <c r="K86" s="49" t="n"/>
      <c r="L86" s="49" t="n"/>
      <c r="M86" s="64" t="n"/>
      <c r="N86" s="49" t="n"/>
      <c r="O86" s="49" t="n"/>
      <c r="P86" s="49" t="n"/>
      <c r="Q86" s="49" t="n"/>
      <c r="R86" s="49" t="n"/>
      <c r="S86" s="63">
        <f>IF($C86="","",SUM($G86:$L86))</f>
        <v/>
      </c>
      <c r="T86" s="63">
        <f>IF($C86="","",SUM($N86:$R86))</f>
        <v/>
      </c>
      <c r="U86" s="63">
        <f>IF($C86="","",$S86-$T86)</f>
        <v/>
      </c>
      <c r="V86" s="47" t="n"/>
      <c r="W86" s="112" t="n"/>
      <c r="X86" s="47" t="n"/>
      <c r="Y86" s="50">
        <f>IF($C86="","",IF(SUMPRODUCT(($C$3:$C$502=$C86)*($A$3:$A$502=$A86)*($B$3:$B$502=$B86))&gt;1,"⚠ مكرر","سليم"))</f>
        <v/>
      </c>
      <c r="Z86">
        <f>IF(AND($C86&lt;&gt;"",$A86=تقرير_الشهر,$B86=تقرير_السنة),SUMPRODUCT(($C$3:$C$502&lt;&gt;"")*($A$3:$A$502=تقرير_الشهر)*($B$3:$B$502=تقرير_السنة)*(ROW($C$3:$C$502)&lt;=ROW())),"")</f>
        <v/>
      </c>
    </row>
    <row r="87">
      <c r="A87" s="40" t="n"/>
      <c r="B87" s="59" t="n"/>
      <c r="C87" s="40" t="n"/>
      <c r="D87" s="43">
        <f>IFERROR(INDEX(الموظفون_الاسم,MATCH($C87,الموظفون_الرقم,0)),"")</f>
        <v/>
      </c>
      <c r="E87" s="43">
        <f>IFERROR(INDEX(الموظفون_الإدارة,MATCH($C87,الموظفون_الرقم,0)),"")</f>
        <v/>
      </c>
      <c r="F87" s="43">
        <f>IFERROR(INDEX(الموظفون_القسم,MATCH($C87,الموظفون_الرقم,0)),"")</f>
        <v/>
      </c>
      <c r="G87" s="60">
        <f>IF($C87="","",IFERROR(INDEX(الموظفون_الاساسي,MATCH($C87,الموظفون_الرقم,0)),0))</f>
        <v/>
      </c>
      <c r="H87" s="42" t="n"/>
      <c r="I87" s="42" t="n"/>
      <c r="J87" s="42" t="n"/>
      <c r="K87" s="42" t="n"/>
      <c r="L87" s="42" t="n"/>
      <c r="M87" s="61" t="n"/>
      <c r="N87" s="42" t="n"/>
      <c r="O87" s="42" t="n"/>
      <c r="P87" s="42" t="n"/>
      <c r="Q87" s="42" t="n"/>
      <c r="R87" s="42" t="n"/>
      <c r="S87" s="60">
        <f>IF($C87="","",SUM($G87:$L87))</f>
        <v/>
      </c>
      <c r="T87" s="60">
        <f>IF($C87="","",SUM($N87:$R87))</f>
        <v/>
      </c>
      <c r="U87" s="60">
        <f>IF($C87="","",$S87-$T87)</f>
        <v/>
      </c>
      <c r="V87" s="40" t="n"/>
      <c r="W87" s="110" t="n"/>
      <c r="X87" s="40" t="n"/>
      <c r="Y87" s="43">
        <f>IF($C87="","",IF(SUMPRODUCT(($C$3:$C$502=$C87)*($A$3:$A$502=$A87)*($B$3:$B$502=$B87))&gt;1,"⚠ مكرر","سليم"))</f>
        <v/>
      </c>
      <c r="Z87">
        <f>IF(AND($C87&lt;&gt;"",$A87=تقرير_الشهر,$B87=تقرير_السنة),SUMPRODUCT(($C$3:$C$502&lt;&gt;"")*($A$3:$A$502=تقرير_الشهر)*($B$3:$B$502=تقرير_السنة)*(ROW($C$3:$C$502)&lt;=ROW())),"")</f>
        <v/>
      </c>
    </row>
    <row r="88">
      <c r="A88" s="47" t="n"/>
      <c r="B88" s="62" t="n"/>
      <c r="C88" s="47" t="n"/>
      <c r="D88" s="50">
        <f>IFERROR(INDEX(الموظفون_الاسم,MATCH($C88,الموظفون_الرقم,0)),"")</f>
        <v/>
      </c>
      <c r="E88" s="50">
        <f>IFERROR(INDEX(الموظفون_الإدارة,MATCH($C88,الموظفون_الرقم,0)),"")</f>
        <v/>
      </c>
      <c r="F88" s="50">
        <f>IFERROR(INDEX(الموظفون_القسم,MATCH($C88,الموظفون_الرقم,0)),"")</f>
        <v/>
      </c>
      <c r="G88" s="63">
        <f>IF($C88="","",IFERROR(INDEX(الموظفون_الاساسي,MATCH($C88,الموظفون_الرقم,0)),0))</f>
        <v/>
      </c>
      <c r="H88" s="49" t="n"/>
      <c r="I88" s="49" t="n"/>
      <c r="J88" s="49" t="n"/>
      <c r="K88" s="49" t="n"/>
      <c r="L88" s="49" t="n"/>
      <c r="M88" s="64" t="n"/>
      <c r="N88" s="49" t="n"/>
      <c r="O88" s="49" t="n"/>
      <c r="P88" s="49" t="n"/>
      <c r="Q88" s="49" t="n"/>
      <c r="R88" s="49" t="n"/>
      <c r="S88" s="63">
        <f>IF($C88="","",SUM($G88:$L88))</f>
        <v/>
      </c>
      <c r="T88" s="63">
        <f>IF($C88="","",SUM($N88:$R88))</f>
        <v/>
      </c>
      <c r="U88" s="63">
        <f>IF($C88="","",$S88-$T88)</f>
        <v/>
      </c>
      <c r="V88" s="47" t="n"/>
      <c r="W88" s="112" t="n"/>
      <c r="X88" s="47" t="n"/>
      <c r="Y88" s="50">
        <f>IF($C88="","",IF(SUMPRODUCT(($C$3:$C$502=$C88)*($A$3:$A$502=$A88)*($B$3:$B$502=$B88))&gt;1,"⚠ مكرر","سليم"))</f>
        <v/>
      </c>
      <c r="Z88">
        <f>IF(AND($C88&lt;&gt;"",$A88=تقرير_الشهر,$B88=تقرير_السنة),SUMPRODUCT(($C$3:$C$502&lt;&gt;"")*($A$3:$A$502=تقرير_الشهر)*($B$3:$B$502=تقرير_السنة)*(ROW($C$3:$C$502)&lt;=ROW())),"")</f>
        <v/>
      </c>
    </row>
    <row r="89">
      <c r="A89" s="40" t="n"/>
      <c r="B89" s="59" t="n"/>
      <c r="C89" s="40" t="n"/>
      <c r="D89" s="43">
        <f>IFERROR(INDEX(الموظفون_الاسم,MATCH($C89,الموظفون_الرقم,0)),"")</f>
        <v/>
      </c>
      <c r="E89" s="43">
        <f>IFERROR(INDEX(الموظفون_الإدارة,MATCH($C89,الموظفون_الرقم,0)),"")</f>
        <v/>
      </c>
      <c r="F89" s="43">
        <f>IFERROR(INDEX(الموظفون_القسم,MATCH($C89,الموظفون_الرقم,0)),"")</f>
        <v/>
      </c>
      <c r="G89" s="60">
        <f>IF($C89="","",IFERROR(INDEX(الموظفون_الاساسي,MATCH($C89,الموظفون_الرقم,0)),0))</f>
        <v/>
      </c>
      <c r="H89" s="42" t="n"/>
      <c r="I89" s="42" t="n"/>
      <c r="J89" s="42" t="n"/>
      <c r="K89" s="42" t="n"/>
      <c r="L89" s="42" t="n"/>
      <c r="M89" s="61" t="n"/>
      <c r="N89" s="42" t="n"/>
      <c r="O89" s="42" t="n"/>
      <c r="P89" s="42" t="n"/>
      <c r="Q89" s="42" t="n"/>
      <c r="R89" s="42" t="n"/>
      <c r="S89" s="60">
        <f>IF($C89="","",SUM($G89:$L89))</f>
        <v/>
      </c>
      <c r="T89" s="60">
        <f>IF($C89="","",SUM($N89:$R89))</f>
        <v/>
      </c>
      <c r="U89" s="60">
        <f>IF($C89="","",$S89-$T89)</f>
        <v/>
      </c>
      <c r="V89" s="40" t="n"/>
      <c r="W89" s="110" t="n"/>
      <c r="X89" s="40" t="n"/>
      <c r="Y89" s="43">
        <f>IF($C89="","",IF(SUMPRODUCT(($C$3:$C$502=$C89)*($A$3:$A$502=$A89)*($B$3:$B$502=$B89))&gt;1,"⚠ مكرر","سليم"))</f>
        <v/>
      </c>
      <c r="Z89">
        <f>IF(AND($C89&lt;&gt;"",$A89=تقرير_الشهر,$B89=تقرير_السنة),SUMPRODUCT(($C$3:$C$502&lt;&gt;"")*($A$3:$A$502=تقرير_الشهر)*($B$3:$B$502=تقرير_السنة)*(ROW($C$3:$C$502)&lt;=ROW())),"")</f>
        <v/>
      </c>
    </row>
    <row r="90">
      <c r="A90" s="47" t="n"/>
      <c r="B90" s="62" t="n"/>
      <c r="C90" s="47" t="n"/>
      <c r="D90" s="50">
        <f>IFERROR(INDEX(الموظفون_الاسم,MATCH($C90,الموظفون_الرقم,0)),"")</f>
        <v/>
      </c>
      <c r="E90" s="50">
        <f>IFERROR(INDEX(الموظفون_الإدارة,MATCH($C90,الموظفون_الرقم,0)),"")</f>
        <v/>
      </c>
      <c r="F90" s="50">
        <f>IFERROR(INDEX(الموظفون_القسم,MATCH($C90,الموظفون_الرقم,0)),"")</f>
        <v/>
      </c>
      <c r="G90" s="63">
        <f>IF($C90="","",IFERROR(INDEX(الموظفون_الاساسي,MATCH($C90,الموظفون_الرقم,0)),0))</f>
        <v/>
      </c>
      <c r="H90" s="49" t="n"/>
      <c r="I90" s="49" t="n"/>
      <c r="J90" s="49" t="n"/>
      <c r="K90" s="49" t="n"/>
      <c r="L90" s="49" t="n"/>
      <c r="M90" s="64" t="n"/>
      <c r="N90" s="49" t="n"/>
      <c r="O90" s="49" t="n"/>
      <c r="P90" s="49" t="n"/>
      <c r="Q90" s="49" t="n"/>
      <c r="R90" s="49" t="n"/>
      <c r="S90" s="63">
        <f>IF($C90="","",SUM($G90:$L90))</f>
        <v/>
      </c>
      <c r="T90" s="63">
        <f>IF($C90="","",SUM($N90:$R90))</f>
        <v/>
      </c>
      <c r="U90" s="63">
        <f>IF($C90="","",$S90-$T90)</f>
        <v/>
      </c>
      <c r="V90" s="47" t="n"/>
      <c r="W90" s="112" t="n"/>
      <c r="X90" s="47" t="n"/>
      <c r="Y90" s="50">
        <f>IF($C90="","",IF(SUMPRODUCT(($C$3:$C$502=$C90)*($A$3:$A$502=$A90)*($B$3:$B$502=$B90))&gt;1,"⚠ مكرر","سليم"))</f>
        <v/>
      </c>
      <c r="Z90">
        <f>IF(AND($C90&lt;&gt;"",$A90=تقرير_الشهر,$B90=تقرير_السنة),SUMPRODUCT(($C$3:$C$502&lt;&gt;"")*($A$3:$A$502=تقرير_الشهر)*($B$3:$B$502=تقرير_السنة)*(ROW($C$3:$C$502)&lt;=ROW())),"")</f>
        <v/>
      </c>
    </row>
    <row r="91">
      <c r="A91" s="40" t="n"/>
      <c r="B91" s="59" t="n"/>
      <c r="C91" s="40" t="n"/>
      <c r="D91" s="43">
        <f>IFERROR(INDEX(الموظفون_الاسم,MATCH($C91,الموظفون_الرقم,0)),"")</f>
        <v/>
      </c>
      <c r="E91" s="43">
        <f>IFERROR(INDEX(الموظفون_الإدارة,MATCH($C91,الموظفون_الرقم,0)),"")</f>
        <v/>
      </c>
      <c r="F91" s="43">
        <f>IFERROR(INDEX(الموظفون_القسم,MATCH($C91,الموظفون_الرقم,0)),"")</f>
        <v/>
      </c>
      <c r="G91" s="60">
        <f>IF($C91="","",IFERROR(INDEX(الموظفون_الاساسي,MATCH($C91,الموظفون_الرقم,0)),0))</f>
        <v/>
      </c>
      <c r="H91" s="42" t="n"/>
      <c r="I91" s="42" t="n"/>
      <c r="J91" s="42" t="n"/>
      <c r="K91" s="42" t="n"/>
      <c r="L91" s="42" t="n"/>
      <c r="M91" s="61" t="n"/>
      <c r="N91" s="42" t="n"/>
      <c r="O91" s="42" t="n"/>
      <c r="P91" s="42" t="n"/>
      <c r="Q91" s="42" t="n"/>
      <c r="R91" s="42" t="n"/>
      <c r="S91" s="60">
        <f>IF($C91="","",SUM($G91:$L91))</f>
        <v/>
      </c>
      <c r="T91" s="60">
        <f>IF($C91="","",SUM($N91:$R91))</f>
        <v/>
      </c>
      <c r="U91" s="60">
        <f>IF($C91="","",$S91-$T91)</f>
        <v/>
      </c>
      <c r="V91" s="40" t="n"/>
      <c r="W91" s="110" t="n"/>
      <c r="X91" s="40" t="n"/>
      <c r="Y91" s="43">
        <f>IF($C91="","",IF(SUMPRODUCT(($C$3:$C$502=$C91)*($A$3:$A$502=$A91)*($B$3:$B$502=$B91))&gt;1,"⚠ مكرر","سليم"))</f>
        <v/>
      </c>
      <c r="Z91">
        <f>IF(AND($C91&lt;&gt;"",$A91=تقرير_الشهر,$B91=تقرير_السنة),SUMPRODUCT(($C$3:$C$502&lt;&gt;"")*($A$3:$A$502=تقرير_الشهر)*($B$3:$B$502=تقرير_السنة)*(ROW($C$3:$C$502)&lt;=ROW())),"")</f>
        <v/>
      </c>
    </row>
    <row r="92">
      <c r="A92" s="47" t="n"/>
      <c r="B92" s="62" t="n"/>
      <c r="C92" s="47" t="n"/>
      <c r="D92" s="50">
        <f>IFERROR(INDEX(الموظفون_الاسم,MATCH($C92,الموظفون_الرقم,0)),"")</f>
        <v/>
      </c>
      <c r="E92" s="50">
        <f>IFERROR(INDEX(الموظفون_الإدارة,MATCH($C92,الموظفون_الرقم,0)),"")</f>
        <v/>
      </c>
      <c r="F92" s="50">
        <f>IFERROR(INDEX(الموظفون_القسم,MATCH($C92,الموظفون_الرقم,0)),"")</f>
        <v/>
      </c>
      <c r="G92" s="63">
        <f>IF($C92="","",IFERROR(INDEX(الموظفون_الاساسي,MATCH($C92,الموظفون_الرقم,0)),0))</f>
        <v/>
      </c>
      <c r="H92" s="49" t="n"/>
      <c r="I92" s="49" t="n"/>
      <c r="J92" s="49" t="n"/>
      <c r="K92" s="49" t="n"/>
      <c r="L92" s="49" t="n"/>
      <c r="M92" s="64" t="n"/>
      <c r="N92" s="49" t="n"/>
      <c r="O92" s="49" t="n"/>
      <c r="P92" s="49" t="n"/>
      <c r="Q92" s="49" t="n"/>
      <c r="R92" s="49" t="n"/>
      <c r="S92" s="63">
        <f>IF($C92="","",SUM($G92:$L92))</f>
        <v/>
      </c>
      <c r="T92" s="63">
        <f>IF($C92="","",SUM($N92:$R92))</f>
        <v/>
      </c>
      <c r="U92" s="63">
        <f>IF($C92="","",$S92-$T92)</f>
        <v/>
      </c>
      <c r="V92" s="47" t="n"/>
      <c r="W92" s="112" t="n"/>
      <c r="X92" s="47" t="n"/>
      <c r="Y92" s="50">
        <f>IF($C92="","",IF(SUMPRODUCT(($C$3:$C$502=$C92)*($A$3:$A$502=$A92)*($B$3:$B$502=$B92))&gt;1,"⚠ مكرر","سليم"))</f>
        <v/>
      </c>
      <c r="Z92">
        <f>IF(AND($C92&lt;&gt;"",$A92=تقرير_الشهر,$B92=تقرير_السنة),SUMPRODUCT(($C$3:$C$502&lt;&gt;"")*($A$3:$A$502=تقرير_الشهر)*($B$3:$B$502=تقرير_السنة)*(ROW($C$3:$C$502)&lt;=ROW())),"")</f>
        <v/>
      </c>
    </row>
    <row r="93">
      <c r="A93" s="40" t="n"/>
      <c r="B93" s="59" t="n"/>
      <c r="C93" s="40" t="n"/>
      <c r="D93" s="43">
        <f>IFERROR(INDEX(الموظفون_الاسم,MATCH($C93,الموظفون_الرقم,0)),"")</f>
        <v/>
      </c>
      <c r="E93" s="43">
        <f>IFERROR(INDEX(الموظفون_الإدارة,MATCH($C93,الموظفون_الرقم,0)),"")</f>
        <v/>
      </c>
      <c r="F93" s="43">
        <f>IFERROR(INDEX(الموظفون_القسم,MATCH($C93,الموظفون_الرقم,0)),"")</f>
        <v/>
      </c>
      <c r="G93" s="60">
        <f>IF($C93="","",IFERROR(INDEX(الموظفون_الاساسي,MATCH($C93,الموظفون_الرقم,0)),0))</f>
        <v/>
      </c>
      <c r="H93" s="42" t="n"/>
      <c r="I93" s="42" t="n"/>
      <c r="J93" s="42" t="n"/>
      <c r="K93" s="42" t="n"/>
      <c r="L93" s="42" t="n"/>
      <c r="M93" s="61" t="n"/>
      <c r="N93" s="42" t="n"/>
      <c r="O93" s="42" t="n"/>
      <c r="P93" s="42" t="n"/>
      <c r="Q93" s="42" t="n"/>
      <c r="R93" s="42" t="n"/>
      <c r="S93" s="60">
        <f>IF($C93="","",SUM($G93:$L93))</f>
        <v/>
      </c>
      <c r="T93" s="60">
        <f>IF($C93="","",SUM($N93:$R93))</f>
        <v/>
      </c>
      <c r="U93" s="60">
        <f>IF($C93="","",$S93-$T93)</f>
        <v/>
      </c>
      <c r="V93" s="40" t="n"/>
      <c r="W93" s="110" t="n"/>
      <c r="X93" s="40" t="n"/>
      <c r="Y93" s="43">
        <f>IF($C93="","",IF(SUMPRODUCT(($C$3:$C$502=$C93)*($A$3:$A$502=$A93)*($B$3:$B$502=$B93))&gt;1,"⚠ مكرر","سليم"))</f>
        <v/>
      </c>
      <c r="Z93">
        <f>IF(AND($C93&lt;&gt;"",$A93=تقرير_الشهر,$B93=تقرير_السنة),SUMPRODUCT(($C$3:$C$502&lt;&gt;"")*($A$3:$A$502=تقرير_الشهر)*($B$3:$B$502=تقرير_السنة)*(ROW($C$3:$C$502)&lt;=ROW())),"")</f>
        <v/>
      </c>
    </row>
    <row r="94">
      <c r="A94" s="47" t="n"/>
      <c r="B94" s="62" t="n"/>
      <c r="C94" s="47" t="n"/>
      <c r="D94" s="50">
        <f>IFERROR(INDEX(الموظفون_الاسم,MATCH($C94,الموظفون_الرقم,0)),"")</f>
        <v/>
      </c>
      <c r="E94" s="50">
        <f>IFERROR(INDEX(الموظفون_الإدارة,MATCH($C94,الموظفون_الرقم,0)),"")</f>
        <v/>
      </c>
      <c r="F94" s="50">
        <f>IFERROR(INDEX(الموظفون_القسم,MATCH($C94,الموظفون_الرقم,0)),"")</f>
        <v/>
      </c>
      <c r="G94" s="63">
        <f>IF($C94="","",IFERROR(INDEX(الموظفون_الاساسي,MATCH($C94,الموظفون_الرقم,0)),0))</f>
        <v/>
      </c>
      <c r="H94" s="49" t="n"/>
      <c r="I94" s="49" t="n"/>
      <c r="J94" s="49" t="n"/>
      <c r="K94" s="49" t="n"/>
      <c r="L94" s="49" t="n"/>
      <c r="M94" s="64" t="n"/>
      <c r="N94" s="49" t="n"/>
      <c r="O94" s="49" t="n"/>
      <c r="P94" s="49" t="n"/>
      <c r="Q94" s="49" t="n"/>
      <c r="R94" s="49" t="n"/>
      <c r="S94" s="63">
        <f>IF($C94="","",SUM($G94:$L94))</f>
        <v/>
      </c>
      <c r="T94" s="63">
        <f>IF($C94="","",SUM($N94:$R94))</f>
        <v/>
      </c>
      <c r="U94" s="63">
        <f>IF($C94="","",$S94-$T94)</f>
        <v/>
      </c>
      <c r="V94" s="47" t="n"/>
      <c r="W94" s="112" t="n"/>
      <c r="X94" s="47" t="n"/>
      <c r="Y94" s="50">
        <f>IF($C94="","",IF(SUMPRODUCT(($C$3:$C$502=$C94)*($A$3:$A$502=$A94)*($B$3:$B$502=$B94))&gt;1,"⚠ مكرر","سليم"))</f>
        <v/>
      </c>
      <c r="Z94">
        <f>IF(AND($C94&lt;&gt;"",$A94=تقرير_الشهر,$B94=تقرير_السنة),SUMPRODUCT(($C$3:$C$502&lt;&gt;"")*($A$3:$A$502=تقرير_الشهر)*($B$3:$B$502=تقرير_السنة)*(ROW($C$3:$C$502)&lt;=ROW())),"")</f>
        <v/>
      </c>
    </row>
    <row r="95">
      <c r="A95" s="40" t="n"/>
      <c r="B95" s="59" t="n"/>
      <c r="C95" s="40" t="n"/>
      <c r="D95" s="43">
        <f>IFERROR(INDEX(الموظفون_الاسم,MATCH($C95,الموظفون_الرقم,0)),"")</f>
        <v/>
      </c>
      <c r="E95" s="43">
        <f>IFERROR(INDEX(الموظفون_الإدارة,MATCH($C95,الموظفون_الرقم,0)),"")</f>
        <v/>
      </c>
      <c r="F95" s="43">
        <f>IFERROR(INDEX(الموظفون_القسم,MATCH($C95,الموظفون_الرقم,0)),"")</f>
        <v/>
      </c>
      <c r="G95" s="60">
        <f>IF($C95="","",IFERROR(INDEX(الموظفون_الاساسي,MATCH($C95,الموظفون_الرقم,0)),0))</f>
        <v/>
      </c>
      <c r="H95" s="42" t="n"/>
      <c r="I95" s="42" t="n"/>
      <c r="J95" s="42" t="n"/>
      <c r="K95" s="42" t="n"/>
      <c r="L95" s="42" t="n"/>
      <c r="M95" s="61" t="n"/>
      <c r="N95" s="42" t="n"/>
      <c r="O95" s="42" t="n"/>
      <c r="P95" s="42" t="n"/>
      <c r="Q95" s="42" t="n"/>
      <c r="R95" s="42" t="n"/>
      <c r="S95" s="60">
        <f>IF($C95="","",SUM($G95:$L95))</f>
        <v/>
      </c>
      <c r="T95" s="60">
        <f>IF($C95="","",SUM($N95:$R95))</f>
        <v/>
      </c>
      <c r="U95" s="60">
        <f>IF($C95="","",$S95-$T95)</f>
        <v/>
      </c>
      <c r="V95" s="40" t="n"/>
      <c r="W95" s="110" t="n"/>
      <c r="X95" s="40" t="n"/>
      <c r="Y95" s="43">
        <f>IF($C95="","",IF(SUMPRODUCT(($C$3:$C$502=$C95)*($A$3:$A$502=$A95)*($B$3:$B$502=$B95))&gt;1,"⚠ مكرر","سليم"))</f>
        <v/>
      </c>
      <c r="Z95">
        <f>IF(AND($C95&lt;&gt;"",$A95=تقرير_الشهر,$B95=تقرير_السنة),SUMPRODUCT(($C$3:$C$502&lt;&gt;"")*($A$3:$A$502=تقرير_الشهر)*($B$3:$B$502=تقرير_السنة)*(ROW($C$3:$C$502)&lt;=ROW())),"")</f>
        <v/>
      </c>
    </row>
    <row r="96">
      <c r="A96" s="47" t="n"/>
      <c r="B96" s="62" t="n"/>
      <c r="C96" s="47" t="n"/>
      <c r="D96" s="50">
        <f>IFERROR(INDEX(الموظفون_الاسم,MATCH($C96,الموظفون_الرقم,0)),"")</f>
        <v/>
      </c>
      <c r="E96" s="50">
        <f>IFERROR(INDEX(الموظفون_الإدارة,MATCH($C96,الموظفون_الرقم,0)),"")</f>
        <v/>
      </c>
      <c r="F96" s="50">
        <f>IFERROR(INDEX(الموظفون_القسم,MATCH($C96,الموظفون_الرقم,0)),"")</f>
        <v/>
      </c>
      <c r="G96" s="63">
        <f>IF($C96="","",IFERROR(INDEX(الموظفون_الاساسي,MATCH($C96,الموظفون_الرقم,0)),0))</f>
        <v/>
      </c>
      <c r="H96" s="49" t="n"/>
      <c r="I96" s="49" t="n"/>
      <c r="J96" s="49" t="n"/>
      <c r="K96" s="49" t="n"/>
      <c r="L96" s="49" t="n"/>
      <c r="M96" s="64" t="n"/>
      <c r="N96" s="49" t="n"/>
      <c r="O96" s="49" t="n"/>
      <c r="P96" s="49" t="n"/>
      <c r="Q96" s="49" t="n"/>
      <c r="R96" s="49" t="n"/>
      <c r="S96" s="63">
        <f>IF($C96="","",SUM($G96:$L96))</f>
        <v/>
      </c>
      <c r="T96" s="63">
        <f>IF($C96="","",SUM($N96:$R96))</f>
        <v/>
      </c>
      <c r="U96" s="63">
        <f>IF($C96="","",$S96-$T96)</f>
        <v/>
      </c>
      <c r="V96" s="47" t="n"/>
      <c r="W96" s="112" t="n"/>
      <c r="X96" s="47" t="n"/>
      <c r="Y96" s="50">
        <f>IF($C96="","",IF(SUMPRODUCT(($C$3:$C$502=$C96)*($A$3:$A$502=$A96)*($B$3:$B$502=$B96))&gt;1,"⚠ مكرر","سليم"))</f>
        <v/>
      </c>
      <c r="Z96">
        <f>IF(AND($C96&lt;&gt;"",$A96=تقرير_الشهر,$B96=تقرير_السنة),SUMPRODUCT(($C$3:$C$502&lt;&gt;"")*($A$3:$A$502=تقرير_الشهر)*($B$3:$B$502=تقرير_السنة)*(ROW($C$3:$C$502)&lt;=ROW())),"")</f>
        <v/>
      </c>
    </row>
    <row r="97">
      <c r="A97" s="40" t="n"/>
      <c r="B97" s="59" t="n"/>
      <c r="C97" s="40" t="n"/>
      <c r="D97" s="43">
        <f>IFERROR(INDEX(الموظفون_الاسم,MATCH($C97,الموظفون_الرقم,0)),"")</f>
        <v/>
      </c>
      <c r="E97" s="43">
        <f>IFERROR(INDEX(الموظفون_الإدارة,MATCH($C97,الموظفون_الرقم,0)),"")</f>
        <v/>
      </c>
      <c r="F97" s="43">
        <f>IFERROR(INDEX(الموظفون_القسم,MATCH($C97,الموظفون_الرقم,0)),"")</f>
        <v/>
      </c>
      <c r="G97" s="60">
        <f>IF($C97="","",IFERROR(INDEX(الموظفون_الاساسي,MATCH($C97,الموظفون_الرقم,0)),0))</f>
        <v/>
      </c>
      <c r="H97" s="42" t="n"/>
      <c r="I97" s="42" t="n"/>
      <c r="J97" s="42" t="n"/>
      <c r="K97" s="42" t="n"/>
      <c r="L97" s="42" t="n"/>
      <c r="M97" s="61" t="n"/>
      <c r="N97" s="42" t="n"/>
      <c r="O97" s="42" t="n"/>
      <c r="P97" s="42" t="n"/>
      <c r="Q97" s="42" t="n"/>
      <c r="R97" s="42" t="n"/>
      <c r="S97" s="60">
        <f>IF($C97="","",SUM($G97:$L97))</f>
        <v/>
      </c>
      <c r="T97" s="60">
        <f>IF($C97="","",SUM($N97:$R97))</f>
        <v/>
      </c>
      <c r="U97" s="60">
        <f>IF($C97="","",$S97-$T97)</f>
        <v/>
      </c>
      <c r="V97" s="40" t="n"/>
      <c r="W97" s="110" t="n"/>
      <c r="X97" s="40" t="n"/>
      <c r="Y97" s="43">
        <f>IF($C97="","",IF(SUMPRODUCT(($C$3:$C$502=$C97)*($A$3:$A$502=$A97)*($B$3:$B$502=$B97))&gt;1,"⚠ مكرر","سليم"))</f>
        <v/>
      </c>
      <c r="Z97">
        <f>IF(AND($C97&lt;&gt;"",$A97=تقرير_الشهر,$B97=تقرير_السنة),SUMPRODUCT(($C$3:$C$502&lt;&gt;"")*($A$3:$A$502=تقرير_الشهر)*($B$3:$B$502=تقرير_السنة)*(ROW($C$3:$C$502)&lt;=ROW())),"")</f>
        <v/>
      </c>
    </row>
    <row r="98">
      <c r="A98" s="47" t="n"/>
      <c r="B98" s="62" t="n"/>
      <c r="C98" s="47" t="n"/>
      <c r="D98" s="50">
        <f>IFERROR(INDEX(الموظفون_الاسم,MATCH($C98,الموظفون_الرقم,0)),"")</f>
        <v/>
      </c>
      <c r="E98" s="50">
        <f>IFERROR(INDEX(الموظفون_الإدارة,MATCH($C98,الموظفون_الرقم,0)),"")</f>
        <v/>
      </c>
      <c r="F98" s="50">
        <f>IFERROR(INDEX(الموظفون_القسم,MATCH($C98,الموظفون_الرقم,0)),"")</f>
        <v/>
      </c>
      <c r="G98" s="63">
        <f>IF($C98="","",IFERROR(INDEX(الموظفون_الاساسي,MATCH($C98,الموظفون_الرقم,0)),0))</f>
        <v/>
      </c>
      <c r="H98" s="49" t="n"/>
      <c r="I98" s="49" t="n"/>
      <c r="J98" s="49" t="n"/>
      <c r="K98" s="49" t="n"/>
      <c r="L98" s="49" t="n"/>
      <c r="M98" s="64" t="n"/>
      <c r="N98" s="49" t="n"/>
      <c r="O98" s="49" t="n"/>
      <c r="P98" s="49" t="n"/>
      <c r="Q98" s="49" t="n"/>
      <c r="R98" s="49" t="n"/>
      <c r="S98" s="63">
        <f>IF($C98="","",SUM($G98:$L98))</f>
        <v/>
      </c>
      <c r="T98" s="63">
        <f>IF($C98="","",SUM($N98:$R98))</f>
        <v/>
      </c>
      <c r="U98" s="63">
        <f>IF($C98="","",$S98-$T98)</f>
        <v/>
      </c>
      <c r="V98" s="47" t="n"/>
      <c r="W98" s="112" t="n"/>
      <c r="X98" s="47" t="n"/>
      <c r="Y98" s="50">
        <f>IF($C98="","",IF(SUMPRODUCT(($C$3:$C$502=$C98)*($A$3:$A$502=$A98)*($B$3:$B$502=$B98))&gt;1,"⚠ مكرر","سليم"))</f>
        <v/>
      </c>
      <c r="Z98">
        <f>IF(AND($C98&lt;&gt;"",$A98=تقرير_الشهر,$B98=تقرير_السنة),SUMPRODUCT(($C$3:$C$502&lt;&gt;"")*($A$3:$A$502=تقرير_الشهر)*($B$3:$B$502=تقرير_السنة)*(ROW($C$3:$C$502)&lt;=ROW())),"")</f>
        <v/>
      </c>
    </row>
    <row r="99">
      <c r="A99" s="40" t="n"/>
      <c r="B99" s="59" t="n"/>
      <c r="C99" s="40" t="n"/>
      <c r="D99" s="43">
        <f>IFERROR(INDEX(الموظفون_الاسم,MATCH($C99,الموظفون_الرقم,0)),"")</f>
        <v/>
      </c>
      <c r="E99" s="43">
        <f>IFERROR(INDEX(الموظفون_الإدارة,MATCH($C99,الموظفون_الرقم,0)),"")</f>
        <v/>
      </c>
      <c r="F99" s="43">
        <f>IFERROR(INDEX(الموظفون_القسم,MATCH($C99,الموظفون_الرقم,0)),"")</f>
        <v/>
      </c>
      <c r="G99" s="60">
        <f>IF($C99="","",IFERROR(INDEX(الموظفون_الاساسي,MATCH($C99,الموظفون_الرقم,0)),0))</f>
        <v/>
      </c>
      <c r="H99" s="42" t="n"/>
      <c r="I99" s="42" t="n"/>
      <c r="J99" s="42" t="n"/>
      <c r="K99" s="42" t="n"/>
      <c r="L99" s="42" t="n"/>
      <c r="M99" s="61" t="n"/>
      <c r="N99" s="42" t="n"/>
      <c r="O99" s="42" t="n"/>
      <c r="P99" s="42" t="n"/>
      <c r="Q99" s="42" t="n"/>
      <c r="R99" s="42" t="n"/>
      <c r="S99" s="60">
        <f>IF($C99="","",SUM($G99:$L99))</f>
        <v/>
      </c>
      <c r="T99" s="60">
        <f>IF($C99="","",SUM($N99:$R99))</f>
        <v/>
      </c>
      <c r="U99" s="60">
        <f>IF($C99="","",$S99-$T99)</f>
        <v/>
      </c>
      <c r="V99" s="40" t="n"/>
      <c r="W99" s="110" t="n"/>
      <c r="X99" s="40" t="n"/>
      <c r="Y99" s="43">
        <f>IF($C99="","",IF(SUMPRODUCT(($C$3:$C$502=$C99)*($A$3:$A$502=$A99)*($B$3:$B$502=$B99))&gt;1,"⚠ مكرر","سليم"))</f>
        <v/>
      </c>
      <c r="Z99">
        <f>IF(AND($C99&lt;&gt;"",$A99=تقرير_الشهر,$B99=تقرير_السنة),SUMPRODUCT(($C$3:$C$502&lt;&gt;"")*($A$3:$A$502=تقرير_الشهر)*($B$3:$B$502=تقرير_السنة)*(ROW($C$3:$C$502)&lt;=ROW())),"")</f>
        <v/>
      </c>
    </row>
    <row r="100">
      <c r="A100" s="47" t="n"/>
      <c r="B100" s="62" t="n"/>
      <c r="C100" s="47" t="n"/>
      <c r="D100" s="50">
        <f>IFERROR(INDEX(الموظفون_الاسم,MATCH($C100,الموظفون_الرقم,0)),"")</f>
        <v/>
      </c>
      <c r="E100" s="50">
        <f>IFERROR(INDEX(الموظفون_الإدارة,MATCH($C100,الموظفون_الرقم,0)),"")</f>
        <v/>
      </c>
      <c r="F100" s="50">
        <f>IFERROR(INDEX(الموظفون_القسم,MATCH($C100,الموظفون_الرقم,0)),"")</f>
        <v/>
      </c>
      <c r="G100" s="63">
        <f>IF($C100="","",IFERROR(INDEX(الموظفون_الاساسي,MATCH($C100,الموظفون_الرقم,0)),0))</f>
        <v/>
      </c>
      <c r="H100" s="49" t="n"/>
      <c r="I100" s="49" t="n"/>
      <c r="J100" s="49" t="n"/>
      <c r="K100" s="49" t="n"/>
      <c r="L100" s="49" t="n"/>
      <c r="M100" s="64" t="n"/>
      <c r="N100" s="49" t="n"/>
      <c r="O100" s="49" t="n"/>
      <c r="P100" s="49" t="n"/>
      <c r="Q100" s="49" t="n"/>
      <c r="R100" s="49" t="n"/>
      <c r="S100" s="63">
        <f>IF($C100="","",SUM($G100:$L100))</f>
        <v/>
      </c>
      <c r="T100" s="63">
        <f>IF($C100="","",SUM($N100:$R100))</f>
        <v/>
      </c>
      <c r="U100" s="63">
        <f>IF($C100="","",$S100-$T100)</f>
        <v/>
      </c>
      <c r="V100" s="47" t="n"/>
      <c r="W100" s="112" t="n"/>
      <c r="X100" s="47" t="n"/>
      <c r="Y100" s="50">
        <f>IF($C100="","",IF(SUMPRODUCT(($C$3:$C$502=$C100)*($A$3:$A$502=$A100)*($B$3:$B$502=$B100))&gt;1,"⚠ مكرر","سليم"))</f>
        <v/>
      </c>
      <c r="Z100">
        <f>IF(AND($C100&lt;&gt;"",$A100=تقرير_الشهر,$B100=تقرير_السنة),SUMPRODUCT(($C$3:$C$502&lt;&gt;"")*($A$3:$A$502=تقرير_الشهر)*($B$3:$B$502=تقرير_السنة)*(ROW($C$3:$C$502)&lt;=ROW())),"")</f>
        <v/>
      </c>
    </row>
    <row r="101">
      <c r="A101" s="40" t="n"/>
      <c r="B101" s="59" t="n"/>
      <c r="C101" s="40" t="n"/>
      <c r="D101" s="43">
        <f>IFERROR(INDEX(الموظفون_الاسم,MATCH($C101,الموظفون_الرقم,0)),"")</f>
        <v/>
      </c>
      <c r="E101" s="43">
        <f>IFERROR(INDEX(الموظفون_الإدارة,MATCH($C101,الموظفون_الرقم,0)),"")</f>
        <v/>
      </c>
      <c r="F101" s="43">
        <f>IFERROR(INDEX(الموظفون_القسم,MATCH($C101,الموظفون_الرقم,0)),"")</f>
        <v/>
      </c>
      <c r="G101" s="60">
        <f>IF($C101="","",IFERROR(INDEX(الموظفون_الاساسي,MATCH($C101,الموظفون_الرقم,0)),0))</f>
        <v/>
      </c>
      <c r="H101" s="42" t="n"/>
      <c r="I101" s="42" t="n"/>
      <c r="J101" s="42" t="n"/>
      <c r="K101" s="42" t="n"/>
      <c r="L101" s="42" t="n"/>
      <c r="M101" s="61" t="n"/>
      <c r="N101" s="42" t="n"/>
      <c r="O101" s="42" t="n"/>
      <c r="P101" s="42" t="n"/>
      <c r="Q101" s="42" t="n"/>
      <c r="R101" s="42" t="n"/>
      <c r="S101" s="60">
        <f>IF($C101="","",SUM($G101:$L101))</f>
        <v/>
      </c>
      <c r="T101" s="60">
        <f>IF($C101="","",SUM($N101:$R101))</f>
        <v/>
      </c>
      <c r="U101" s="60">
        <f>IF($C101="","",$S101-$T101)</f>
        <v/>
      </c>
      <c r="V101" s="40" t="n"/>
      <c r="W101" s="110" t="n"/>
      <c r="X101" s="40" t="n"/>
      <c r="Y101" s="43">
        <f>IF($C101="","",IF(SUMPRODUCT(($C$3:$C$502=$C101)*($A$3:$A$502=$A101)*($B$3:$B$502=$B101))&gt;1,"⚠ مكرر","سليم"))</f>
        <v/>
      </c>
      <c r="Z101">
        <f>IF(AND($C101&lt;&gt;"",$A101=تقرير_الشهر,$B101=تقرير_السنة),SUMPRODUCT(($C$3:$C$502&lt;&gt;"")*($A$3:$A$502=تقرير_الشهر)*($B$3:$B$502=تقرير_السنة)*(ROW($C$3:$C$502)&lt;=ROW())),"")</f>
        <v/>
      </c>
    </row>
    <row r="102">
      <c r="A102" s="47" t="n"/>
      <c r="B102" s="62" t="n"/>
      <c r="C102" s="47" t="n"/>
      <c r="D102" s="50">
        <f>IFERROR(INDEX(الموظفون_الاسم,MATCH($C102,الموظفون_الرقم,0)),"")</f>
        <v/>
      </c>
      <c r="E102" s="50">
        <f>IFERROR(INDEX(الموظفون_الإدارة,MATCH($C102,الموظفون_الرقم,0)),"")</f>
        <v/>
      </c>
      <c r="F102" s="50">
        <f>IFERROR(INDEX(الموظفون_القسم,MATCH($C102,الموظفون_الرقم,0)),"")</f>
        <v/>
      </c>
      <c r="G102" s="63">
        <f>IF($C102="","",IFERROR(INDEX(الموظفون_الاساسي,MATCH($C102,الموظفون_الرقم,0)),0))</f>
        <v/>
      </c>
      <c r="H102" s="49" t="n"/>
      <c r="I102" s="49" t="n"/>
      <c r="J102" s="49" t="n"/>
      <c r="K102" s="49" t="n"/>
      <c r="L102" s="49" t="n"/>
      <c r="M102" s="64" t="n"/>
      <c r="N102" s="49" t="n"/>
      <c r="O102" s="49" t="n"/>
      <c r="P102" s="49" t="n"/>
      <c r="Q102" s="49" t="n"/>
      <c r="R102" s="49" t="n"/>
      <c r="S102" s="63">
        <f>IF($C102="","",SUM($G102:$L102))</f>
        <v/>
      </c>
      <c r="T102" s="63">
        <f>IF($C102="","",SUM($N102:$R102))</f>
        <v/>
      </c>
      <c r="U102" s="63">
        <f>IF($C102="","",$S102-$T102)</f>
        <v/>
      </c>
      <c r="V102" s="47" t="n"/>
      <c r="W102" s="112" t="n"/>
      <c r="X102" s="47" t="n"/>
      <c r="Y102" s="50">
        <f>IF($C102="","",IF(SUMPRODUCT(($C$3:$C$502=$C102)*($A$3:$A$502=$A102)*($B$3:$B$502=$B102))&gt;1,"⚠ مكرر","سليم"))</f>
        <v/>
      </c>
      <c r="Z102">
        <f>IF(AND($C102&lt;&gt;"",$A102=تقرير_الشهر,$B102=تقرير_السنة),SUMPRODUCT(($C$3:$C$502&lt;&gt;"")*($A$3:$A$502=تقرير_الشهر)*($B$3:$B$502=تقرير_السنة)*(ROW($C$3:$C$502)&lt;=ROW())),"")</f>
        <v/>
      </c>
    </row>
    <row r="103">
      <c r="A103" s="40" t="n"/>
      <c r="B103" s="59" t="n"/>
      <c r="C103" s="40" t="n"/>
      <c r="D103" s="43">
        <f>IFERROR(INDEX(الموظفون_الاسم,MATCH($C103,الموظفون_الرقم,0)),"")</f>
        <v/>
      </c>
      <c r="E103" s="43">
        <f>IFERROR(INDEX(الموظفون_الإدارة,MATCH($C103,الموظفون_الرقم,0)),"")</f>
        <v/>
      </c>
      <c r="F103" s="43">
        <f>IFERROR(INDEX(الموظفون_القسم,MATCH($C103,الموظفون_الرقم,0)),"")</f>
        <v/>
      </c>
      <c r="G103" s="60">
        <f>IF($C103="","",IFERROR(INDEX(الموظفون_الاساسي,MATCH($C103,الموظفون_الرقم,0)),0))</f>
        <v/>
      </c>
      <c r="H103" s="42" t="n"/>
      <c r="I103" s="42" t="n"/>
      <c r="J103" s="42" t="n"/>
      <c r="K103" s="42" t="n"/>
      <c r="L103" s="42" t="n"/>
      <c r="M103" s="61" t="n"/>
      <c r="N103" s="42" t="n"/>
      <c r="O103" s="42" t="n"/>
      <c r="P103" s="42" t="n"/>
      <c r="Q103" s="42" t="n"/>
      <c r="R103" s="42" t="n"/>
      <c r="S103" s="60">
        <f>IF($C103="","",SUM($G103:$L103))</f>
        <v/>
      </c>
      <c r="T103" s="60">
        <f>IF($C103="","",SUM($N103:$R103))</f>
        <v/>
      </c>
      <c r="U103" s="60">
        <f>IF($C103="","",$S103-$T103)</f>
        <v/>
      </c>
      <c r="V103" s="40" t="n"/>
      <c r="W103" s="110" t="n"/>
      <c r="X103" s="40" t="n"/>
      <c r="Y103" s="43">
        <f>IF($C103="","",IF(SUMPRODUCT(($C$3:$C$502=$C103)*($A$3:$A$502=$A103)*($B$3:$B$502=$B103))&gt;1,"⚠ مكرر","سليم"))</f>
        <v/>
      </c>
      <c r="Z103">
        <f>IF(AND($C103&lt;&gt;"",$A103=تقرير_الشهر,$B103=تقرير_السنة),SUMPRODUCT(($C$3:$C$502&lt;&gt;"")*($A$3:$A$502=تقرير_الشهر)*($B$3:$B$502=تقرير_السنة)*(ROW($C$3:$C$502)&lt;=ROW())),"")</f>
        <v/>
      </c>
    </row>
    <row r="104">
      <c r="A104" s="47" t="n"/>
      <c r="B104" s="62" t="n"/>
      <c r="C104" s="47" t="n"/>
      <c r="D104" s="50">
        <f>IFERROR(INDEX(الموظفون_الاسم,MATCH($C104,الموظفون_الرقم,0)),"")</f>
        <v/>
      </c>
      <c r="E104" s="50">
        <f>IFERROR(INDEX(الموظفون_الإدارة,MATCH($C104,الموظفون_الرقم,0)),"")</f>
        <v/>
      </c>
      <c r="F104" s="50">
        <f>IFERROR(INDEX(الموظفون_القسم,MATCH($C104,الموظفون_الرقم,0)),"")</f>
        <v/>
      </c>
      <c r="G104" s="63">
        <f>IF($C104="","",IFERROR(INDEX(الموظفون_الاساسي,MATCH($C104,الموظفون_الرقم,0)),0))</f>
        <v/>
      </c>
      <c r="H104" s="49" t="n"/>
      <c r="I104" s="49" t="n"/>
      <c r="J104" s="49" t="n"/>
      <c r="K104" s="49" t="n"/>
      <c r="L104" s="49" t="n"/>
      <c r="M104" s="64" t="n"/>
      <c r="N104" s="49" t="n"/>
      <c r="O104" s="49" t="n"/>
      <c r="P104" s="49" t="n"/>
      <c r="Q104" s="49" t="n"/>
      <c r="R104" s="49" t="n"/>
      <c r="S104" s="63">
        <f>IF($C104="","",SUM($G104:$L104))</f>
        <v/>
      </c>
      <c r="T104" s="63">
        <f>IF($C104="","",SUM($N104:$R104))</f>
        <v/>
      </c>
      <c r="U104" s="63">
        <f>IF($C104="","",$S104-$T104)</f>
        <v/>
      </c>
      <c r="V104" s="47" t="n"/>
      <c r="W104" s="112" t="n"/>
      <c r="X104" s="47" t="n"/>
      <c r="Y104" s="50">
        <f>IF($C104="","",IF(SUMPRODUCT(($C$3:$C$502=$C104)*($A$3:$A$502=$A104)*($B$3:$B$502=$B104))&gt;1,"⚠ مكرر","سليم"))</f>
        <v/>
      </c>
      <c r="Z104">
        <f>IF(AND($C104&lt;&gt;"",$A104=تقرير_الشهر,$B104=تقرير_السنة),SUMPRODUCT(($C$3:$C$502&lt;&gt;"")*($A$3:$A$502=تقرير_الشهر)*($B$3:$B$502=تقرير_السنة)*(ROW($C$3:$C$502)&lt;=ROW())),"")</f>
        <v/>
      </c>
    </row>
    <row r="105">
      <c r="A105" s="40" t="n"/>
      <c r="B105" s="59" t="n"/>
      <c r="C105" s="40" t="n"/>
      <c r="D105" s="43">
        <f>IFERROR(INDEX(الموظفون_الاسم,MATCH($C105,الموظفون_الرقم,0)),"")</f>
        <v/>
      </c>
      <c r="E105" s="43">
        <f>IFERROR(INDEX(الموظفون_الإدارة,MATCH($C105,الموظفون_الرقم,0)),"")</f>
        <v/>
      </c>
      <c r="F105" s="43">
        <f>IFERROR(INDEX(الموظفون_القسم,MATCH($C105,الموظفون_الرقم,0)),"")</f>
        <v/>
      </c>
      <c r="G105" s="60">
        <f>IF($C105="","",IFERROR(INDEX(الموظفون_الاساسي,MATCH($C105,الموظفون_الرقم,0)),0))</f>
        <v/>
      </c>
      <c r="H105" s="42" t="n"/>
      <c r="I105" s="42" t="n"/>
      <c r="J105" s="42" t="n"/>
      <c r="K105" s="42" t="n"/>
      <c r="L105" s="42" t="n"/>
      <c r="M105" s="61" t="n"/>
      <c r="N105" s="42" t="n"/>
      <c r="O105" s="42" t="n"/>
      <c r="P105" s="42" t="n"/>
      <c r="Q105" s="42" t="n"/>
      <c r="R105" s="42" t="n"/>
      <c r="S105" s="60">
        <f>IF($C105="","",SUM($G105:$L105))</f>
        <v/>
      </c>
      <c r="T105" s="60">
        <f>IF($C105="","",SUM($N105:$R105))</f>
        <v/>
      </c>
      <c r="U105" s="60">
        <f>IF($C105="","",$S105-$T105)</f>
        <v/>
      </c>
      <c r="V105" s="40" t="n"/>
      <c r="W105" s="110" t="n"/>
      <c r="X105" s="40" t="n"/>
      <c r="Y105" s="43">
        <f>IF($C105="","",IF(SUMPRODUCT(($C$3:$C$502=$C105)*($A$3:$A$502=$A105)*($B$3:$B$502=$B105))&gt;1,"⚠ مكرر","سليم"))</f>
        <v/>
      </c>
      <c r="Z105">
        <f>IF(AND($C105&lt;&gt;"",$A105=تقرير_الشهر,$B105=تقرير_السنة),SUMPRODUCT(($C$3:$C$502&lt;&gt;"")*($A$3:$A$502=تقرير_الشهر)*($B$3:$B$502=تقرير_السنة)*(ROW($C$3:$C$502)&lt;=ROW())),"")</f>
        <v/>
      </c>
    </row>
    <row r="106">
      <c r="A106" s="47" t="n"/>
      <c r="B106" s="62" t="n"/>
      <c r="C106" s="47" t="n"/>
      <c r="D106" s="50">
        <f>IFERROR(INDEX(الموظفون_الاسم,MATCH($C106,الموظفون_الرقم,0)),"")</f>
        <v/>
      </c>
      <c r="E106" s="50">
        <f>IFERROR(INDEX(الموظفون_الإدارة,MATCH($C106,الموظفون_الرقم,0)),"")</f>
        <v/>
      </c>
      <c r="F106" s="50">
        <f>IFERROR(INDEX(الموظفون_القسم,MATCH($C106,الموظفون_الرقم,0)),"")</f>
        <v/>
      </c>
      <c r="G106" s="63">
        <f>IF($C106="","",IFERROR(INDEX(الموظفون_الاساسي,MATCH($C106,الموظفون_الرقم,0)),0))</f>
        <v/>
      </c>
      <c r="H106" s="49" t="n"/>
      <c r="I106" s="49" t="n"/>
      <c r="J106" s="49" t="n"/>
      <c r="K106" s="49" t="n"/>
      <c r="L106" s="49" t="n"/>
      <c r="M106" s="64" t="n"/>
      <c r="N106" s="49" t="n"/>
      <c r="O106" s="49" t="n"/>
      <c r="P106" s="49" t="n"/>
      <c r="Q106" s="49" t="n"/>
      <c r="R106" s="49" t="n"/>
      <c r="S106" s="63">
        <f>IF($C106="","",SUM($G106:$L106))</f>
        <v/>
      </c>
      <c r="T106" s="63">
        <f>IF($C106="","",SUM($N106:$R106))</f>
        <v/>
      </c>
      <c r="U106" s="63">
        <f>IF($C106="","",$S106-$T106)</f>
        <v/>
      </c>
      <c r="V106" s="47" t="n"/>
      <c r="W106" s="112" t="n"/>
      <c r="X106" s="47" t="n"/>
      <c r="Y106" s="50">
        <f>IF($C106="","",IF(SUMPRODUCT(($C$3:$C$502=$C106)*($A$3:$A$502=$A106)*($B$3:$B$502=$B106))&gt;1,"⚠ مكرر","سليم"))</f>
        <v/>
      </c>
      <c r="Z106">
        <f>IF(AND($C106&lt;&gt;"",$A106=تقرير_الشهر,$B106=تقرير_السنة),SUMPRODUCT(($C$3:$C$502&lt;&gt;"")*($A$3:$A$502=تقرير_الشهر)*($B$3:$B$502=تقرير_السنة)*(ROW($C$3:$C$502)&lt;=ROW())),"")</f>
        <v/>
      </c>
    </row>
    <row r="107">
      <c r="A107" s="40" t="n"/>
      <c r="B107" s="59" t="n"/>
      <c r="C107" s="40" t="n"/>
      <c r="D107" s="43">
        <f>IFERROR(INDEX(الموظفون_الاسم,MATCH($C107,الموظفون_الرقم,0)),"")</f>
        <v/>
      </c>
      <c r="E107" s="43">
        <f>IFERROR(INDEX(الموظفون_الإدارة,MATCH($C107,الموظفون_الرقم,0)),"")</f>
        <v/>
      </c>
      <c r="F107" s="43">
        <f>IFERROR(INDEX(الموظفون_القسم,MATCH($C107,الموظفون_الرقم,0)),"")</f>
        <v/>
      </c>
      <c r="G107" s="60">
        <f>IF($C107="","",IFERROR(INDEX(الموظفون_الاساسي,MATCH($C107,الموظفون_الرقم,0)),0))</f>
        <v/>
      </c>
      <c r="H107" s="42" t="n"/>
      <c r="I107" s="42" t="n"/>
      <c r="J107" s="42" t="n"/>
      <c r="K107" s="42" t="n"/>
      <c r="L107" s="42" t="n"/>
      <c r="M107" s="61" t="n"/>
      <c r="N107" s="42" t="n"/>
      <c r="O107" s="42" t="n"/>
      <c r="P107" s="42" t="n"/>
      <c r="Q107" s="42" t="n"/>
      <c r="R107" s="42" t="n"/>
      <c r="S107" s="60">
        <f>IF($C107="","",SUM($G107:$L107))</f>
        <v/>
      </c>
      <c r="T107" s="60">
        <f>IF($C107="","",SUM($N107:$R107))</f>
        <v/>
      </c>
      <c r="U107" s="60">
        <f>IF($C107="","",$S107-$T107)</f>
        <v/>
      </c>
      <c r="V107" s="40" t="n"/>
      <c r="W107" s="110" t="n"/>
      <c r="X107" s="40" t="n"/>
      <c r="Y107" s="43">
        <f>IF($C107="","",IF(SUMPRODUCT(($C$3:$C$502=$C107)*($A$3:$A$502=$A107)*($B$3:$B$502=$B107))&gt;1,"⚠ مكرر","سليم"))</f>
        <v/>
      </c>
      <c r="Z107">
        <f>IF(AND($C107&lt;&gt;"",$A107=تقرير_الشهر,$B107=تقرير_السنة),SUMPRODUCT(($C$3:$C$502&lt;&gt;"")*($A$3:$A$502=تقرير_الشهر)*($B$3:$B$502=تقرير_السنة)*(ROW($C$3:$C$502)&lt;=ROW())),"")</f>
        <v/>
      </c>
    </row>
    <row r="108">
      <c r="A108" s="47" t="n"/>
      <c r="B108" s="62" t="n"/>
      <c r="C108" s="47" t="n"/>
      <c r="D108" s="50">
        <f>IFERROR(INDEX(الموظفون_الاسم,MATCH($C108,الموظفون_الرقم,0)),"")</f>
        <v/>
      </c>
      <c r="E108" s="50">
        <f>IFERROR(INDEX(الموظفون_الإدارة,MATCH($C108,الموظفون_الرقم,0)),"")</f>
        <v/>
      </c>
      <c r="F108" s="50">
        <f>IFERROR(INDEX(الموظفون_القسم,MATCH($C108,الموظفون_الرقم,0)),"")</f>
        <v/>
      </c>
      <c r="G108" s="63">
        <f>IF($C108="","",IFERROR(INDEX(الموظفون_الاساسي,MATCH($C108,الموظفون_الرقم,0)),0))</f>
        <v/>
      </c>
      <c r="H108" s="49" t="n"/>
      <c r="I108" s="49" t="n"/>
      <c r="J108" s="49" t="n"/>
      <c r="K108" s="49" t="n"/>
      <c r="L108" s="49" t="n"/>
      <c r="M108" s="64" t="n"/>
      <c r="N108" s="49" t="n"/>
      <c r="O108" s="49" t="n"/>
      <c r="P108" s="49" t="n"/>
      <c r="Q108" s="49" t="n"/>
      <c r="R108" s="49" t="n"/>
      <c r="S108" s="63">
        <f>IF($C108="","",SUM($G108:$L108))</f>
        <v/>
      </c>
      <c r="T108" s="63">
        <f>IF($C108="","",SUM($N108:$R108))</f>
        <v/>
      </c>
      <c r="U108" s="63">
        <f>IF($C108="","",$S108-$T108)</f>
        <v/>
      </c>
      <c r="V108" s="47" t="n"/>
      <c r="W108" s="112" t="n"/>
      <c r="X108" s="47" t="n"/>
      <c r="Y108" s="50">
        <f>IF($C108="","",IF(SUMPRODUCT(($C$3:$C$502=$C108)*($A$3:$A$502=$A108)*($B$3:$B$502=$B108))&gt;1,"⚠ مكرر","سليم"))</f>
        <v/>
      </c>
      <c r="Z108">
        <f>IF(AND($C108&lt;&gt;"",$A108=تقرير_الشهر,$B108=تقرير_السنة),SUMPRODUCT(($C$3:$C$502&lt;&gt;"")*($A$3:$A$502=تقرير_الشهر)*($B$3:$B$502=تقرير_السنة)*(ROW($C$3:$C$502)&lt;=ROW())),"")</f>
        <v/>
      </c>
    </row>
    <row r="109">
      <c r="A109" s="40" t="n"/>
      <c r="B109" s="59" t="n"/>
      <c r="C109" s="40" t="n"/>
      <c r="D109" s="43">
        <f>IFERROR(INDEX(الموظفون_الاسم,MATCH($C109,الموظفون_الرقم,0)),"")</f>
        <v/>
      </c>
      <c r="E109" s="43">
        <f>IFERROR(INDEX(الموظفون_الإدارة,MATCH($C109,الموظفون_الرقم,0)),"")</f>
        <v/>
      </c>
      <c r="F109" s="43">
        <f>IFERROR(INDEX(الموظفون_القسم,MATCH($C109,الموظفون_الرقم,0)),"")</f>
        <v/>
      </c>
      <c r="G109" s="60">
        <f>IF($C109="","",IFERROR(INDEX(الموظفون_الاساسي,MATCH($C109,الموظفون_الرقم,0)),0))</f>
        <v/>
      </c>
      <c r="H109" s="42" t="n"/>
      <c r="I109" s="42" t="n"/>
      <c r="J109" s="42" t="n"/>
      <c r="K109" s="42" t="n"/>
      <c r="L109" s="42" t="n"/>
      <c r="M109" s="61" t="n"/>
      <c r="N109" s="42" t="n"/>
      <c r="O109" s="42" t="n"/>
      <c r="P109" s="42" t="n"/>
      <c r="Q109" s="42" t="n"/>
      <c r="R109" s="42" t="n"/>
      <c r="S109" s="60">
        <f>IF($C109="","",SUM($G109:$L109))</f>
        <v/>
      </c>
      <c r="T109" s="60">
        <f>IF($C109="","",SUM($N109:$R109))</f>
        <v/>
      </c>
      <c r="U109" s="60">
        <f>IF($C109="","",$S109-$T109)</f>
        <v/>
      </c>
      <c r="V109" s="40" t="n"/>
      <c r="W109" s="110" t="n"/>
      <c r="X109" s="40" t="n"/>
      <c r="Y109" s="43">
        <f>IF($C109="","",IF(SUMPRODUCT(($C$3:$C$502=$C109)*($A$3:$A$502=$A109)*($B$3:$B$502=$B109))&gt;1,"⚠ مكرر","سليم"))</f>
        <v/>
      </c>
      <c r="Z109">
        <f>IF(AND($C109&lt;&gt;"",$A109=تقرير_الشهر,$B109=تقرير_السنة),SUMPRODUCT(($C$3:$C$502&lt;&gt;"")*($A$3:$A$502=تقرير_الشهر)*($B$3:$B$502=تقرير_السنة)*(ROW($C$3:$C$502)&lt;=ROW())),"")</f>
        <v/>
      </c>
    </row>
    <row r="110">
      <c r="A110" s="47" t="n"/>
      <c r="B110" s="62" t="n"/>
      <c r="C110" s="47" t="n"/>
      <c r="D110" s="50">
        <f>IFERROR(INDEX(الموظفون_الاسم,MATCH($C110,الموظفون_الرقم,0)),"")</f>
        <v/>
      </c>
      <c r="E110" s="50">
        <f>IFERROR(INDEX(الموظفون_الإدارة,MATCH($C110,الموظفون_الرقم,0)),"")</f>
        <v/>
      </c>
      <c r="F110" s="50">
        <f>IFERROR(INDEX(الموظفون_القسم,MATCH($C110,الموظفون_الرقم,0)),"")</f>
        <v/>
      </c>
      <c r="G110" s="63">
        <f>IF($C110="","",IFERROR(INDEX(الموظفون_الاساسي,MATCH($C110,الموظفون_الرقم,0)),0))</f>
        <v/>
      </c>
      <c r="H110" s="49" t="n"/>
      <c r="I110" s="49" t="n"/>
      <c r="J110" s="49" t="n"/>
      <c r="K110" s="49" t="n"/>
      <c r="L110" s="49" t="n"/>
      <c r="M110" s="64" t="n"/>
      <c r="N110" s="49" t="n"/>
      <c r="O110" s="49" t="n"/>
      <c r="P110" s="49" t="n"/>
      <c r="Q110" s="49" t="n"/>
      <c r="R110" s="49" t="n"/>
      <c r="S110" s="63">
        <f>IF($C110="","",SUM($G110:$L110))</f>
        <v/>
      </c>
      <c r="T110" s="63">
        <f>IF($C110="","",SUM($N110:$R110))</f>
        <v/>
      </c>
      <c r="U110" s="63">
        <f>IF($C110="","",$S110-$T110)</f>
        <v/>
      </c>
      <c r="V110" s="47" t="n"/>
      <c r="W110" s="112" t="n"/>
      <c r="X110" s="47" t="n"/>
      <c r="Y110" s="50">
        <f>IF($C110="","",IF(SUMPRODUCT(($C$3:$C$502=$C110)*($A$3:$A$502=$A110)*($B$3:$B$502=$B110))&gt;1,"⚠ مكرر","سليم"))</f>
        <v/>
      </c>
      <c r="Z110">
        <f>IF(AND($C110&lt;&gt;"",$A110=تقرير_الشهر,$B110=تقرير_السنة),SUMPRODUCT(($C$3:$C$502&lt;&gt;"")*($A$3:$A$502=تقرير_الشهر)*($B$3:$B$502=تقرير_السنة)*(ROW($C$3:$C$502)&lt;=ROW())),"")</f>
        <v/>
      </c>
    </row>
    <row r="111">
      <c r="A111" s="40" t="n"/>
      <c r="B111" s="59" t="n"/>
      <c r="C111" s="40" t="n"/>
      <c r="D111" s="43">
        <f>IFERROR(INDEX(الموظفون_الاسم,MATCH($C111,الموظفون_الرقم,0)),"")</f>
        <v/>
      </c>
      <c r="E111" s="43">
        <f>IFERROR(INDEX(الموظفون_الإدارة,MATCH($C111,الموظفون_الرقم,0)),"")</f>
        <v/>
      </c>
      <c r="F111" s="43">
        <f>IFERROR(INDEX(الموظفون_القسم,MATCH($C111,الموظفون_الرقم,0)),"")</f>
        <v/>
      </c>
      <c r="G111" s="60">
        <f>IF($C111="","",IFERROR(INDEX(الموظفون_الاساسي,MATCH($C111,الموظفون_الرقم,0)),0))</f>
        <v/>
      </c>
      <c r="H111" s="42" t="n"/>
      <c r="I111" s="42" t="n"/>
      <c r="J111" s="42" t="n"/>
      <c r="K111" s="42" t="n"/>
      <c r="L111" s="42" t="n"/>
      <c r="M111" s="61" t="n"/>
      <c r="N111" s="42" t="n"/>
      <c r="O111" s="42" t="n"/>
      <c r="P111" s="42" t="n"/>
      <c r="Q111" s="42" t="n"/>
      <c r="R111" s="42" t="n"/>
      <c r="S111" s="60">
        <f>IF($C111="","",SUM($G111:$L111))</f>
        <v/>
      </c>
      <c r="T111" s="60">
        <f>IF($C111="","",SUM($N111:$R111))</f>
        <v/>
      </c>
      <c r="U111" s="60">
        <f>IF($C111="","",$S111-$T111)</f>
        <v/>
      </c>
      <c r="V111" s="40" t="n"/>
      <c r="W111" s="110" t="n"/>
      <c r="X111" s="40" t="n"/>
      <c r="Y111" s="43">
        <f>IF($C111="","",IF(SUMPRODUCT(($C$3:$C$502=$C111)*($A$3:$A$502=$A111)*($B$3:$B$502=$B111))&gt;1,"⚠ مكرر","سليم"))</f>
        <v/>
      </c>
      <c r="Z111">
        <f>IF(AND($C111&lt;&gt;"",$A111=تقرير_الشهر,$B111=تقرير_السنة),SUMPRODUCT(($C$3:$C$502&lt;&gt;"")*($A$3:$A$502=تقرير_الشهر)*($B$3:$B$502=تقرير_السنة)*(ROW($C$3:$C$502)&lt;=ROW())),"")</f>
        <v/>
      </c>
    </row>
    <row r="112">
      <c r="A112" s="47" t="n"/>
      <c r="B112" s="62" t="n"/>
      <c r="C112" s="47" t="n"/>
      <c r="D112" s="50">
        <f>IFERROR(INDEX(الموظفون_الاسم,MATCH($C112,الموظفون_الرقم,0)),"")</f>
        <v/>
      </c>
      <c r="E112" s="50">
        <f>IFERROR(INDEX(الموظفون_الإدارة,MATCH($C112,الموظفون_الرقم,0)),"")</f>
        <v/>
      </c>
      <c r="F112" s="50">
        <f>IFERROR(INDEX(الموظفون_القسم,MATCH($C112,الموظفون_الرقم,0)),"")</f>
        <v/>
      </c>
      <c r="G112" s="63">
        <f>IF($C112="","",IFERROR(INDEX(الموظفون_الاساسي,MATCH($C112,الموظفون_الرقم,0)),0))</f>
        <v/>
      </c>
      <c r="H112" s="49" t="n"/>
      <c r="I112" s="49" t="n"/>
      <c r="J112" s="49" t="n"/>
      <c r="K112" s="49" t="n"/>
      <c r="L112" s="49" t="n"/>
      <c r="M112" s="64" t="n"/>
      <c r="N112" s="49" t="n"/>
      <c r="O112" s="49" t="n"/>
      <c r="P112" s="49" t="n"/>
      <c r="Q112" s="49" t="n"/>
      <c r="R112" s="49" t="n"/>
      <c r="S112" s="63">
        <f>IF($C112="","",SUM($G112:$L112))</f>
        <v/>
      </c>
      <c r="T112" s="63">
        <f>IF($C112="","",SUM($N112:$R112))</f>
        <v/>
      </c>
      <c r="U112" s="63">
        <f>IF($C112="","",$S112-$T112)</f>
        <v/>
      </c>
      <c r="V112" s="47" t="n"/>
      <c r="W112" s="112" t="n"/>
      <c r="X112" s="47" t="n"/>
      <c r="Y112" s="50">
        <f>IF($C112="","",IF(SUMPRODUCT(($C$3:$C$502=$C112)*($A$3:$A$502=$A112)*($B$3:$B$502=$B112))&gt;1,"⚠ مكرر","سليم"))</f>
        <v/>
      </c>
      <c r="Z112">
        <f>IF(AND($C112&lt;&gt;"",$A112=تقرير_الشهر,$B112=تقرير_السنة),SUMPRODUCT(($C$3:$C$502&lt;&gt;"")*($A$3:$A$502=تقرير_الشهر)*($B$3:$B$502=تقرير_السنة)*(ROW($C$3:$C$502)&lt;=ROW())),"")</f>
        <v/>
      </c>
    </row>
    <row r="113">
      <c r="A113" s="40" t="n"/>
      <c r="B113" s="59" t="n"/>
      <c r="C113" s="40" t="n"/>
      <c r="D113" s="43">
        <f>IFERROR(INDEX(الموظفون_الاسم,MATCH($C113,الموظفون_الرقم,0)),"")</f>
        <v/>
      </c>
      <c r="E113" s="43">
        <f>IFERROR(INDEX(الموظفون_الإدارة,MATCH($C113,الموظفون_الرقم,0)),"")</f>
        <v/>
      </c>
      <c r="F113" s="43">
        <f>IFERROR(INDEX(الموظفون_القسم,MATCH($C113,الموظفون_الرقم,0)),"")</f>
        <v/>
      </c>
      <c r="G113" s="60">
        <f>IF($C113="","",IFERROR(INDEX(الموظفون_الاساسي,MATCH($C113,الموظفون_الرقم,0)),0))</f>
        <v/>
      </c>
      <c r="H113" s="42" t="n"/>
      <c r="I113" s="42" t="n"/>
      <c r="J113" s="42" t="n"/>
      <c r="K113" s="42" t="n"/>
      <c r="L113" s="42" t="n"/>
      <c r="M113" s="61" t="n"/>
      <c r="N113" s="42" t="n"/>
      <c r="O113" s="42" t="n"/>
      <c r="P113" s="42" t="n"/>
      <c r="Q113" s="42" t="n"/>
      <c r="R113" s="42" t="n"/>
      <c r="S113" s="60">
        <f>IF($C113="","",SUM($G113:$L113))</f>
        <v/>
      </c>
      <c r="T113" s="60">
        <f>IF($C113="","",SUM($N113:$R113))</f>
        <v/>
      </c>
      <c r="U113" s="60">
        <f>IF($C113="","",$S113-$T113)</f>
        <v/>
      </c>
      <c r="V113" s="40" t="n"/>
      <c r="W113" s="110" t="n"/>
      <c r="X113" s="40" t="n"/>
      <c r="Y113" s="43">
        <f>IF($C113="","",IF(SUMPRODUCT(($C$3:$C$502=$C113)*($A$3:$A$502=$A113)*($B$3:$B$502=$B113))&gt;1,"⚠ مكرر","سليم"))</f>
        <v/>
      </c>
      <c r="Z113">
        <f>IF(AND($C113&lt;&gt;"",$A113=تقرير_الشهر,$B113=تقرير_السنة),SUMPRODUCT(($C$3:$C$502&lt;&gt;"")*($A$3:$A$502=تقرير_الشهر)*($B$3:$B$502=تقرير_السنة)*(ROW($C$3:$C$502)&lt;=ROW())),"")</f>
        <v/>
      </c>
    </row>
    <row r="114">
      <c r="A114" s="47" t="n"/>
      <c r="B114" s="62" t="n"/>
      <c r="C114" s="47" t="n"/>
      <c r="D114" s="50">
        <f>IFERROR(INDEX(الموظفون_الاسم,MATCH($C114,الموظفون_الرقم,0)),"")</f>
        <v/>
      </c>
      <c r="E114" s="50">
        <f>IFERROR(INDEX(الموظفون_الإدارة,MATCH($C114,الموظفون_الرقم,0)),"")</f>
        <v/>
      </c>
      <c r="F114" s="50">
        <f>IFERROR(INDEX(الموظفون_القسم,MATCH($C114,الموظفون_الرقم,0)),"")</f>
        <v/>
      </c>
      <c r="G114" s="63">
        <f>IF($C114="","",IFERROR(INDEX(الموظفون_الاساسي,MATCH($C114,الموظفون_الرقم,0)),0))</f>
        <v/>
      </c>
      <c r="H114" s="49" t="n"/>
      <c r="I114" s="49" t="n"/>
      <c r="J114" s="49" t="n"/>
      <c r="K114" s="49" t="n"/>
      <c r="L114" s="49" t="n"/>
      <c r="M114" s="64" t="n"/>
      <c r="N114" s="49" t="n"/>
      <c r="O114" s="49" t="n"/>
      <c r="P114" s="49" t="n"/>
      <c r="Q114" s="49" t="n"/>
      <c r="R114" s="49" t="n"/>
      <c r="S114" s="63">
        <f>IF($C114="","",SUM($G114:$L114))</f>
        <v/>
      </c>
      <c r="T114" s="63">
        <f>IF($C114="","",SUM($N114:$R114))</f>
        <v/>
      </c>
      <c r="U114" s="63">
        <f>IF($C114="","",$S114-$T114)</f>
        <v/>
      </c>
      <c r="V114" s="47" t="n"/>
      <c r="W114" s="112" t="n"/>
      <c r="X114" s="47" t="n"/>
      <c r="Y114" s="50">
        <f>IF($C114="","",IF(SUMPRODUCT(($C$3:$C$502=$C114)*($A$3:$A$502=$A114)*($B$3:$B$502=$B114))&gt;1,"⚠ مكرر","سليم"))</f>
        <v/>
      </c>
      <c r="Z114">
        <f>IF(AND($C114&lt;&gt;"",$A114=تقرير_الشهر,$B114=تقرير_السنة),SUMPRODUCT(($C$3:$C$502&lt;&gt;"")*($A$3:$A$502=تقرير_الشهر)*($B$3:$B$502=تقرير_السنة)*(ROW($C$3:$C$502)&lt;=ROW())),"")</f>
        <v/>
      </c>
    </row>
    <row r="115">
      <c r="A115" s="40" t="n"/>
      <c r="B115" s="59" t="n"/>
      <c r="C115" s="40" t="n"/>
      <c r="D115" s="43">
        <f>IFERROR(INDEX(الموظفون_الاسم,MATCH($C115,الموظفون_الرقم,0)),"")</f>
        <v/>
      </c>
      <c r="E115" s="43">
        <f>IFERROR(INDEX(الموظفون_الإدارة,MATCH($C115,الموظفون_الرقم,0)),"")</f>
        <v/>
      </c>
      <c r="F115" s="43">
        <f>IFERROR(INDEX(الموظفون_القسم,MATCH($C115,الموظفون_الرقم,0)),"")</f>
        <v/>
      </c>
      <c r="G115" s="60">
        <f>IF($C115="","",IFERROR(INDEX(الموظفون_الاساسي,MATCH($C115,الموظفون_الرقم,0)),0))</f>
        <v/>
      </c>
      <c r="H115" s="42" t="n"/>
      <c r="I115" s="42" t="n"/>
      <c r="J115" s="42" t="n"/>
      <c r="K115" s="42" t="n"/>
      <c r="L115" s="42" t="n"/>
      <c r="M115" s="61" t="n"/>
      <c r="N115" s="42" t="n"/>
      <c r="O115" s="42" t="n"/>
      <c r="P115" s="42" t="n"/>
      <c r="Q115" s="42" t="n"/>
      <c r="R115" s="42" t="n"/>
      <c r="S115" s="60">
        <f>IF($C115="","",SUM($G115:$L115))</f>
        <v/>
      </c>
      <c r="T115" s="60">
        <f>IF($C115="","",SUM($N115:$R115))</f>
        <v/>
      </c>
      <c r="U115" s="60">
        <f>IF($C115="","",$S115-$T115)</f>
        <v/>
      </c>
      <c r="V115" s="40" t="n"/>
      <c r="W115" s="110" t="n"/>
      <c r="X115" s="40" t="n"/>
      <c r="Y115" s="43">
        <f>IF($C115="","",IF(SUMPRODUCT(($C$3:$C$502=$C115)*($A$3:$A$502=$A115)*($B$3:$B$502=$B115))&gt;1,"⚠ مكرر","سليم"))</f>
        <v/>
      </c>
      <c r="Z115">
        <f>IF(AND($C115&lt;&gt;"",$A115=تقرير_الشهر,$B115=تقرير_السنة),SUMPRODUCT(($C$3:$C$502&lt;&gt;"")*($A$3:$A$502=تقرير_الشهر)*($B$3:$B$502=تقرير_السنة)*(ROW($C$3:$C$502)&lt;=ROW())),"")</f>
        <v/>
      </c>
    </row>
    <row r="116">
      <c r="A116" s="47" t="n"/>
      <c r="B116" s="62" t="n"/>
      <c r="C116" s="47" t="n"/>
      <c r="D116" s="50">
        <f>IFERROR(INDEX(الموظفون_الاسم,MATCH($C116,الموظفون_الرقم,0)),"")</f>
        <v/>
      </c>
      <c r="E116" s="50">
        <f>IFERROR(INDEX(الموظفون_الإدارة,MATCH($C116,الموظفون_الرقم,0)),"")</f>
        <v/>
      </c>
      <c r="F116" s="50">
        <f>IFERROR(INDEX(الموظفون_القسم,MATCH($C116,الموظفون_الرقم,0)),"")</f>
        <v/>
      </c>
      <c r="G116" s="63">
        <f>IF($C116="","",IFERROR(INDEX(الموظفون_الاساسي,MATCH($C116,الموظفون_الرقم,0)),0))</f>
        <v/>
      </c>
      <c r="H116" s="49" t="n"/>
      <c r="I116" s="49" t="n"/>
      <c r="J116" s="49" t="n"/>
      <c r="K116" s="49" t="n"/>
      <c r="L116" s="49" t="n"/>
      <c r="M116" s="64" t="n"/>
      <c r="N116" s="49" t="n"/>
      <c r="O116" s="49" t="n"/>
      <c r="P116" s="49" t="n"/>
      <c r="Q116" s="49" t="n"/>
      <c r="R116" s="49" t="n"/>
      <c r="S116" s="63">
        <f>IF($C116="","",SUM($G116:$L116))</f>
        <v/>
      </c>
      <c r="T116" s="63">
        <f>IF($C116="","",SUM($N116:$R116))</f>
        <v/>
      </c>
      <c r="U116" s="63">
        <f>IF($C116="","",$S116-$T116)</f>
        <v/>
      </c>
      <c r="V116" s="47" t="n"/>
      <c r="W116" s="112" t="n"/>
      <c r="X116" s="47" t="n"/>
      <c r="Y116" s="50">
        <f>IF($C116="","",IF(SUMPRODUCT(($C$3:$C$502=$C116)*($A$3:$A$502=$A116)*($B$3:$B$502=$B116))&gt;1,"⚠ مكرر","سليم"))</f>
        <v/>
      </c>
      <c r="Z116">
        <f>IF(AND($C116&lt;&gt;"",$A116=تقرير_الشهر,$B116=تقرير_السنة),SUMPRODUCT(($C$3:$C$502&lt;&gt;"")*($A$3:$A$502=تقرير_الشهر)*($B$3:$B$502=تقرير_السنة)*(ROW($C$3:$C$502)&lt;=ROW())),"")</f>
        <v/>
      </c>
    </row>
    <row r="117">
      <c r="A117" s="40" t="n"/>
      <c r="B117" s="59" t="n"/>
      <c r="C117" s="40" t="n"/>
      <c r="D117" s="43">
        <f>IFERROR(INDEX(الموظفون_الاسم,MATCH($C117,الموظفون_الرقم,0)),"")</f>
        <v/>
      </c>
      <c r="E117" s="43">
        <f>IFERROR(INDEX(الموظفون_الإدارة,MATCH($C117,الموظفون_الرقم,0)),"")</f>
        <v/>
      </c>
      <c r="F117" s="43">
        <f>IFERROR(INDEX(الموظفون_القسم,MATCH($C117,الموظفون_الرقم,0)),"")</f>
        <v/>
      </c>
      <c r="G117" s="60">
        <f>IF($C117="","",IFERROR(INDEX(الموظفون_الاساسي,MATCH($C117,الموظفون_الرقم,0)),0))</f>
        <v/>
      </c>
      <c r="H117" s="42" t="n"/>
      <c r="I117" s="42" t="n"/>
      <c r="J117" s="42" t="n"/>
      <c r="K117" s="42" t="n"/>
      <c r="L117" s="42" t="n"/>
      <c r="M117" s="61" t="n"/>
      <c r="N117" s="42" t="n"/>
      <c r="O117" s="42" t="n"/>
      <c r="P117" s="42" t="n"/>
      <c r="Q117" s="42" t="n"/>
      <c r="R117" s="42" t="n"/>
      <c r="S117" s="60">
        <f>IF($C117="","",SUM($G117:$L117))</f>
        <v/>
      </c>
      <c r="T117" s="60">
        <f>IF($C117="","",SUM($N117:$R117))</f>
        <v/>
      </c>
      <c r="U117" s="60">
        <f>IF($C117="","",$S117-$T117)</f>
        <v/>
      </c>
      <c r="V117" s="40" t="n"/>
      <c r="W117" s="110" t="n"/>
      <c r="X117" s="40" t="n"/>
      <c r="Y117" s="43">
        <f>IF($C117="","",IF(SUMPRODUCT(($C$3:$C$502=$C117)*($A$3:$A$502=$A117)*($B$3:$B$502=$B117))&gt;1,"⚠ مكرر","سليم"))</f>
        <v/>
      </c>
      <c r="Z117">
        <f>IF(AND($C117&lt;&gt;"",$A117=تقرير_الشهر,$B117=تقرير_السنة),SUMPRODUCT(($C$3:$C$502&lt;&gt;"")*($A$3:$A$502=تقرير_الشهر)*($B$3:$B$502=تقرير_السنة)*(ROW($C$3:$C$502)&lt;=ROW())),"")</f>
        <v/>
      </c>
    </row>
    <row r="118">
      <c r="A118" s="47" t="n"/>
      <c r="B118" s="62" t="n"/>
      <c r="C118" s="47" t="n"/>
      <c r="D118" s="50">
        <f>IFERROR(INDEX(الموظفون_الاسم,MATCH($C118,الموظفون_الرقم,0)),"")</f>
        <v/>
      </c>
      <c r="E118" s="50">
        <f>IFERROR(INDEX(الموظفون_الإدارة,MATCH($C118,الموظفون_الرقم,0)),"")</f>
        <v/>
      </c>
      <c r="F118" s="50">
        <f>IFERROR(INDEX(الموظفون_القسم,MATCH($C118,الموظفون_الرقم,0)),"")</f>
        <v/>
      </c>
      <c r="G118" s="63">
        <f>IF($C118="","",IFERROR(INDEX(الموظفون_الاساسي,MATCH($C118,الموظفون_الرقم,0)),0))</f>
        <v/>
      </c>
      <c r="H118" s="49" t="n"/>
      <c r="I118" s="49" t="n"/>
      <c r="J118" s="49" t="n"/>
      <c r="K118" s="49" t="n"/>
      <c r="L118" s="49" t="n"/>
      <c r="M118" s="64" t="n"/>
      <c r="N118" s="49" t="n"/>
      <c r="O118" s="49" t="n"/>
      <c r="P118" s="49" t="n"/>
      <c r="Q118" s="49" t="n"/>
      <c r="R118" s="49" t="n"/>
      <c r="S118" s="63">
        <f>IF($C118="","",SUM($G118:$L118))</f>
        <v/>
      </c>
      <c r="T118" s="63">
        <f>IF($C118="","",SUM($N118:$R118))</f>
        <v/>
      </c>
      <c r="U118" s="63">
        <f>IF($C118="","",$S118-$T118)</f>
        <v/>
      </c>
      <c r="V118" s="47" t="n"/>
      <c r="W118" s="112" t="n"/>
      <c r="X118" s="47" t="n"/>
      <c r="Y118" s="50">
        <f>IF($C118="","",IF(SUMPRODUCT(($C$3:$C$502=$C118)*($A$3:$A$502=$A118)*($B$3:$B$502=$B118))&gt;1,"⚠ مكرر","سليم"))</f>
        <v/>
      </c>
      <c r="Z118">
        <f>IF(AND($C118&lt;&gt;"",$A118=تقرير_الشهر,$B118=تقرير_السنة),SUMPRODUCT(($C$3:$C$502&lt;&gt;"")*($A$3:$A$502=تقرير_الشهر)*($B$3:$B$502=تقرير_السنة)*(ROW($C$3:$C$502)&lt;=ROW())),"")</f>
        <v/>
      </c>
    </row>
    <row r="119">
      <c r="A119" s="40" t="n"/>
      <c r="B119" s="59" t="n"/>
      <c r="C119" s="40" t="n"/>
      <c r="D119" s="43">
        <f>IFERROR(INDEX(الموظفون_الاسم,MATCH($C119,الموظفون_الرقم,0)),"")</f>
        <v/>
      </c>
      <c r="E119" s="43">
        <f>IFERROR(INDEX(الموظفون_الإدارة,MATCH($C119,الموظفون_الرقم,0)),"")</f>
        <v/>
      </c>
      <c r="F119" s="43">
        <f>IFERROR(INDEX(الموظفون_القسم,MATCH($C119,الموظفون_الرقم,0)),"")</f>
        <v/>
      </c>
      <c r="G119" s="60">
        <f>IF($C119="","",IFERROR(INDEX(الموظفون_الاساسي,MATCH($C119,الموظفون_الرقم,0)),0))</f>
        <v/>
      </c>
      <c r="H119" s="42" t="n"/>
      <c r="I119" s="42" t="n"/>
      <c r="J119" s="42" t="n"/>
      <c r="K119" s="42" t="n"/>
      <c r="L119" s="42" t="n"/>
      <c r="M119" s="61" t="n"/>
      <c r="N119" s="42" t="n"/>
      <c r="O119" s="42" t="n"/>
      <c r="P119" s="42" t="n"/>
      <c r="Q119" s="42" t="n"/>
      <c r="R119" s="42" t="n"/>
      <c r="S119" s="60">
        <f>IF($C119="","",SUM($G119:$L119))</f>
        <v/>
      </c>
      <c r="T119" s="60">
        <f>IF($C119="","",SUM($N119:$R119))</f>
        <v/>
      </c>
      <c r="U119" s="60">
        <f>IF($C119="","",$S119-$T119)</f>
        <v/>
      </c>
      <c r="V119" s="40" t="n"/>
      <c r="W119" s="110" t="n"/>
      <c r="X119" s="40" t="n"/>
      <c r="Y119" s="43">
        <f>IF($C119="","",IF(SUMPRODUCT(($C$3:$C$502=$C119)*($A$3:$A$502=$A119)*($B$3:$B$502=$B119))&gt;1,"⚠ مكرر","سليم"))</f>
        <v/>
      </c>
      <c r="Z119">
        <f>IF(AND($C119&lt;&gt;"",$A119=تقرير_الشهر,$B119=تقرير_السنة),SUMPRODUCT(($C$3:$C$502&lt;&gt;"")*($A$3:$A$502=تقرير_الشهر)*($B$3:$B$502=تقرير_السنة)*(ROW($C$3:$C$502)&lt;=ROW())),"")</f>
        <v/>
      </c>
    </row>
    <row r="120">
      <c r="A120" s="47" t="n"/>
      <c r="B120" s="62" t="n"/>
      <c r="C120" s="47" t="n"/>
      <c r="D120" s="50">
        <f>IFERROR(INDEX(الموظفون_الاسم,MATCH($C120,الموظفون_الرقم,0)),"")</f>
        <v/>
      </c>
      <c r="E120" s="50">
        <f>IFERROR(INDEX(الموظفون_الإدارة,MATCH($C120,الموظفون_الرقم,0)),"")</f>
        <v/>
      </c>
      <c r="F120" s="50">
        <f>IFERROR(INDEX(الموظفون_القسم,MATCH($C120,الموظفون_الرقم,0)),"")</f>
        <v/>
      </c>
      <c r="G120" s="63">
        <f>IF($C120="","",IFERROR(INDEX(الموظفون_الاساسي,MATCH($C120,الموظفون_الرقم,0)),0))</f>
        <v/>
      </c>
      <c r="H120" s="49" t="n"/>
      <c r="I120" s="49" t="n"/>
      <c r="J120" s="49" t="n"/>
      <c r="K120" s="49" t="n"/>
      <c r="L120" s="49" t="n"/>
      <c r="M120" s="64" t="n"/>
      <c r="N120" s="49" t="n"/>
      <c r="O120" s="49" t="n"/>
      <c r="P120" s="49" t="n"/>
      <c r="Q120" s="49" t="n"/>
      <c r="R120" s="49" t="n"/>
      <c r="S120" s="63">
        <f>IF($C120="","",SUM($G120:$L120))</f>
        <v/>
      </c>
      <c r="T120" s="63">
        <f>IF($C120="","",SUM($N120:$R120))</f>
        <v/>
      </c>
      <c r="U120" s="63">
        <f>IF($C120="","",$S120-$T120)</f>
        <v/>
      </c>
      <c r="V120" s="47" t="n"/>
      <c r="W120" s="112" t="n"/>
      <c r="X120" s="47" t="n"/>
      <c r="Y120" s="50">
        <f>IF($C120="","",IF(SUMPRODUCT(($C$3:$C$502=$C120)*($A$3:$A$502=$A120)*($B$3:$B$502=$B120))&gt;1,"⚠ مكرر","سليم"))</f>
        <v/>
      </c>
      <c r="Z120">
        <f>IF(AND($C120&lt;&gt;"",$A120=تقرير_الشهر,$B120=تقرير_السنة),SUMPRODUCT(($C$3:$C$502&lt;&gt;"")*($A$3:$A$502=تقرير_الشهر)*($B$3:$B$502=تقرير_السنة)*(ROW($C$3:$C$502)&lt;=ROW())),"")</f>
        <v/>
      </c>
    </row>
    <row r="121">
      <c r="A121" s="40" t="n"/>
      <c r="B121" s="59" t="n"/>
      <c r="C121" s="40" t="n"/>
      <c r="D121" s="43">
        <f>IFERROR(INDEX(الموظفون_الاسم,MATCH($C121,الموظفون_الرقم,0)),"")</f>
        <v/>
      </c>
      <c r="E121" s="43">
        <f>IFERROR(INDEX(الموظفون_الإدارة,MATCH($C121,الموظفون_الرقم,0)),"")</f>
        <v/>
      </c>
      <c r="F121" s="43">
        <f>IFERROR(INDEX(الموظفون_القسم,MATCH($C121,الموظفون_الرقم,0)),"")</f>
        <v/>
      </c>
      <c r="G121" s="60">
        <f>IF($C121="","",IFERROR(INDEX(الموظفون_الاساسي,MATCH($C121,الموظفون_الرقم,0)),0))</f>
        <v/>
      </c>
      <c r="H121" s="42" t="n"/>
      <c r="I121" s="42" t="n"/>
      <c r="J121" s="42" t="n"/>
      <c r="K121" s="42" t="n"/>
      <c r="L121" s="42" t="n"/>
      <c r="M121" s="61" t="n"/>
      <c r="N121" s="42" t="n"/>
      <c r="O121" s="42" t="n"/>
      <c r="P121" s="42" t="n"/>
      <c r="Q121" s="42" t="n"/>
      <c r="R121" s="42" t="n"/>
      <c r="S121" s="60">
        <f>IF($C121="","",SUM($G121:$L121))</f>
        <v/>
      </c>
      <c r="T121" s="60">
        <f>IF($C121="","",SUM($N121:$R121))</f>
        <v/>
      </c>
      <c r="U121" s="60">
        <f>IF($C121="","",$S121-$T121)</f>
        <v/>
      </c>
      <c r="V121" s="40" t="n"/>
      <c r="W121" s="110" t="n"/>
      <c r="X121" s="40" t="n"/>
      <c r="Y121" s="43">
        <f>IF($C121="","",IF(SUMPRODUCT(($C$3:$C$502=$C121)*($A$3:$A$502=$A121)*($B$3:$B$502=$B121))&gt;1,"⚠ مكرر","سليم"))</f>
        <v/>
      </c>
      <c r="Z121">
        <f>IF(AND($C121&lt;&gt;"",$A121=تقرير_الشهر,$B121=تقرير_السنة),SUMPRODUCT(($C$3:$C$502&lt;&gt;"")*($A$3:$A$502=تقرير_الشهر)*($B$3:$B$502=تقرير_السنة)*(ROW($C$3:$C$502)&lt;=ROW())),"")</f>
        <v/>
      </c>
    </row>
    <row r="122">
      <c r="A122" s="47" t="n"/>
      <c r="B122" s="62" t="n"/>
      <c r="C122" s="47" t="n"/>
      <c r="D122" s="50">
        <f>IFERROR(INDEX(الموظفون_الاسم,MATCH($C122,الموظفون_الرقم,0)),"")</f>
        <v/>
      </c>
      <c r="E122" s="50">
        <f>IFERROR(INDEX(الموظفون_الإدارة,MATCH($C122,الموظفون_الرقم,0)),"")</f>
        <v/>
      </c>
      <c r="F122" s="50">
        <f>IFERROR(INDEX(الموظفون_القسم,MATCH($C122,الموظفون_الرقم,0)),"")</f>
        <v/>
      </c>
      <c r="G122" s="63">
        <f>IF($C122="","",IFERROR(INDEX(الموظفون_الاساسي,MATCH($C122,الموظفون_الرقم,0)),0))</f>
        <v/>
      </c>
      <c r="H122" s="49" t="n"/>
      <c r="I122" s="49" t="n"/>
      <c r="J122" s="49" t="n"/>
      <c r="K122" s="49" t="n"/>
      <c r="L122" s="49" t="n"/>
      <c r="M122" s="64" t="n"/>
      <c r="N122" s="49" t="n"/>
      <c r="O122" s="49" t="n"/>
      <c r="P122" s="49" t="n"/>
      <c r="Q122" s="49" t="n"/>
      <c r="R122" s="49" t="n"/>
      <c r="S122" s="63">
        <f>IF($C122="","",SUM($G122:$L122))</f>
        <v/>
      </c>
      <c r="T122" s="63">
        <f>IF($C122="","",SUM($N122:$R122))</f>
        <v/>
      </c>
      <c r="U122" s="63">
        <f>IF($C122="","",$S122-$T122)</f>
        <v/>
      </c>
      <c r="V122" s="47" t="n"/>
      <c r="W122" s="112" t="n"/>
      <c r="X122" s="47" t="n"/>
      <c r="Y122" s="50">
        <f>IF($C122="","",IF(SUMPRODUCT(($C$3:$C$502=$C122)*($A$3:$A$502=$A122)*($B$3:$B$502=$B122))&gt;1,"⚠ مكرر","سليم"))</f>
        <v/>
      </c>
      <c r="Z122">
        <f>IF(AND($C122&lt;&gt;"",$A122=تقرير_الشهر,$B122=تقرير_السنة),SUMPRODUCT(($C$3:$C$502&lt;&gt;"")*($A$3:$A$502=تقرير_الشهر)*($B$3:$B$502=تقرير_السنة)*(ROW($C$3:$C$502)&lt;=ROW())),"")</f>
        <v/>
      </c>
    </row>
    <row r="123">
      <c r="A123" s="40" t="n"/>
      <c r="B123" s="59" t="n"/>
      <c r="C123" s="40" t="n"/>
      <c r="D123" s="43">
        <f>IFERROR(INDEX(الموظفون_الاسم,MATCH($C123,الموظفون_الرقم,0)),"")</f>
        <v/>
      </c>
      <c r="E123" s="43">
        <f>IFERROR(INDEX(الموظفون_الإدارة,MATCH($C123,الموظفون_الرقم,0)),"")</f>
        <v/>
      </c>
      <c r="F123" s="43">
        <f>IFERROR(INDEX(الموظفون_القسم,MATCH($C123,الموظفون_الرقم,0)),"")</f>
        <v/>
      </c>
      <c r="G123" s="60">
        <f>IF($C123="","",IFERROR(INDEX(الموظفون_الاساسي,MATCH($C123,الموظفون_الرقم,0)),0))</f>
        <v/>
      </c>
      <c r="H123" s="42" t="n"/>
      <c r="I123" s="42" t="n"/>
      <c r="J123" s="42" t="n"/>
      <c r="K123" s="42" t="n"/>
      <c r="L123" s="42" t="n"/>
      <c r="M123" s="61" t="n"/>
      <c r="N123" s="42" t="n"/>
      <c r="O123" s="42" t="n"/>
      <c r="P123" s="42" t="n"/>
      <c r="Q123" s="42" t="n"/>
      <c r="R123" s="42" t="n"/>
      <c r="S123" s="60">
        <f>IF($C123="","",SUM($G123:$L123))</f>
        <v/>
      </c>
      <c r="T123" s="60">
        <f>IF($C123="","",SUM($N123:$R123))</f>
        <v/>
      </c>
      <c r="U123" s="60">
        <f>IF($C123="","",$S123-$T123)</f>
        <v/>
      </c>
      <c r="V123" s="40" t="n"/>
      <c r="W123" s="110" t="n"/>
      <c r="X123" s="40" t="n"/>
      <c r="Y123" s="43">
        <f>IF($C123="","",IF(SUMPRODUCT(($C$3:$C$502=$C123)*($A$3:$A$502=$A123)*($B$3:$B$502=$B123))&gt;1,"⚠ مكرر","سليم"))</f>
        <v/>
      </c>
      <c r="Z123">
        <f>IF(AND($C123&lt;&gt;"",$A123=تقرير_الشهر,$B123=تقرير_السنة),SUMPRODUCT(($C$3:$C$502&lt;&gt;"")*($A$3:$A$502=تقرير_الشهر)*($B$3:$B$502=تقرير_السنة)*(ROW($C$3:$C$502)&lt;=ROW())),"")</f>
        <v/>
      </c>
    </row>
    <row r="124">
      <c r="A124" s="47" t="n"/>
      <c r="B124" s="62" t="n"/>
      <c r="C124" s="47" t="n"/>
      <c r="D124" s="50">
        <f>IFERROR(INDEX(الموظفون_الاسم,MATCH($C124,الموظفون_الرقم,0)),"")</f>
        <v/>
      </c>
      <c r="E124" s="50">
        <f>IFERROR(INDEX(الموظفون_الإدارة,MATCH($C124,الموظفون_الرقم,0)),"")</f>
        <v/>
      </c>
      <c r="F124" s="50">
        <f>IFERROR(INDEX(الموظفون_القسم,MATCH($C124,الموظفون_الرقم,0)),"")</f>
        <v/>
      </c>
      <c r="G124" s="63">
        <f>IF($C124="","",IFERROR(INDEX(الموظفون_الاساسي,MATCH($C124,الموظفون_الرقم,0)),0))</f>
        <v/>
      </c>
      <c r="H124" s="49" t="n"/>
      <c r="I124" s="49" t="n"/>
      <c r="J124" s="49" t="n"/>
      <c r="K124" s="49" t="n"/>
      <c r="L124" s="49" t="n"/>
      <c r="M124" s="64" t="n"/>
      <c r="N124" s="49" t="n"/>
      <c r="O124" s="49" t="n"/>
      <c r="P124" s="49" t="n"/>
      <c r="Q124" s="49" t="n"/>
      <c r="R124" s="49" t="n"/>
      <c r="S124" s="63">
        <f>IF($C124="","",SUM($G124:$L124))</f>
        <v/>
      </c>
      <c r="T124" s="63">
        <f>IF($C124="","",SUM($N124:$R124))</f>
        <v/>
      </c>
      <c r="U124" s="63">
        <f>IF($C124="","",$S124-$T124)</f>
        <v/>
      </c>
      <c r="V124" s="47" t="n"/>
      <c r="W124" s="112" t="n"/>
      <c r="X124" s="47" t="n"/>
      <c r="Y124" s="50">
        <f>IF($C124="","",IF(SUMPRODUCT(($C$3:$C$502=$C124)*($A$3:$A$502=$A124)*($B$3:$B$502=$B124))&gt;1,"⚠ مكرر","سليم"))</f>
        <v/>
      </c>
      <c r="Z124">
        <f>IF(AND($C124&lt;&gt;"",$A124=تقرير_الشهر,$B124=تقرير_السنة),SUMPRODUCT(($C$3:$C$502&lt;&gt;"")*($A$3:$A$502=تقرير_الشهر)*($B$3:$B$502=تقرير_السنة)*(ROW($C$3:$C$502)&lt;=ROW())),"")</f>
        <v/>
      </c>
    </row>
    <row r="125">
      <c r="A125" s="40" t="n"/>
      <c r="B125" s="59" t="n"/>
      <c r="C125" s="40" t="n"/>
      <c r="D125" s="43">
        <f>IFERROR(INDEX(الموظفون_الاسم,MATCH($C125,الموظفون_الرقم,0)),"")</f>
        <v/>
      </c>
      <c r="E125" s="43">
        <f>IFERROR(INDEX(الموظفون_الإدارة,MATCH($C125,الموظفون_الرقم,0)),"")</f>
        <v/>
      </c>
      <c r="F125" s="43">
        <f>IFERROR(INDEX(الموظفون_القسم,MATCH($C125,الموظفون_الرقم,0)),"")</f>
        <v/>
      </c>
      <c r="G125" s="60">
        <f>IF($C125="","",IFERROR(INDEX(الموظفون_الاساسي,MATCH($C125,الموظفون_الرقم,0)),0))</f>
        <v/>
      </c>
      <c r="H125" s="42" t="n"/>
      <c r="I125" s="42" t="n"/>
      <c r="J125" s="42" t="n"/>
      <c r="K125" s="42" t="n"/>
      <c r="L125" s="42" t="n"/>
      <c r="M125" s="61" t="n"/>
      <c r="N125" s="42" t="n"/>
      <c r="O125" s="42" t="n"/>
      <c r="P125" s="42" t="n"/>
      <c r="Q125" s="42" t="n"/>
      <c r="R125" s="42" t="n"/>
      <c r="S125" s="60">
        <f>IF($C125="","",SUM($G125:$L125))</f>
        <v/>
      </c>
      <c r="T125" s="60">
        <f>IF($C125="","",SUM($N125:$R125))</f>
        <v/>
      </c>
      <c r="U125" s="60">
        <f>IF($C125="","",$S125-$T125)</f>
        <v/>
      </c>
      <c r="V125" s="40" t="n"/>
      <c r="W125" s="110" t="n"/>
      <c r="X125" s="40" t="n"/>
      <c r="Y125" s="43">
        <f>IF($C125="","",IF(SUMPRODUCT(($C$3:$C$502=$C125)*($A$3:$A$502=$A125)*($B$3:$B$502=$B125))&gt;1,"⚠ مكرر","سليم"))</f>
        <v/>
      </c>
      <c r="Z125">
        <f>IF(AND($C125&lt;&gt;"",$A125=تقرير_الشهر,$B125=تقرير_السنة),SUMPRODUCT(($C$3:$C$502&lt;&gt;"")*($A$3:$A$502=تقرير_الشهر)*($B$3:$B$502=تقرير_السنة)*(ROW($C$3:$C$502)&lt;=ROW())),"")</f>
        <v/>
      </c>
    </row>
    <row r="126">
      <c r="A126" s="47" t="n"/>
      <c r="B126" s="62" t="n"/>
      <c r="C126" s="47" t="n"/>
      <c r="D126" s="50">
        <f>IFERROR(INDEX(الموظفون_الاسم,MATCH($C126,الموظفون_الرقم,0)),"")</f>
        <v/>
      </c>
      <c r="E126" s="50">
        <f>IFERROR(INDEX(الموظفون_الإدارة,MATCH($C126,الموظفون_الرقم,0)),"")</f>
        <v/>
      </c>
      <c r="F126" s="50">
        <f>IFERROR(INDEX(الموظفون_القسم,MATCH($C126,الموظفون_الرقم,0)),"")</f>
        <v/>
      </c>
      <c r="G126" s="63">
        <f>IF($C126="","",IFERROR(INDEX(الموظفون_الاساسي,MATCH($C126,الموظفون_الرقم,0)),0))</f>
        <v/>
      </c>
      <c r="H126" s="49" t="n"/>
      <c r="I126" s="49" t="n"/>
      <c r="J126" s="49" t="n"/>
      <c r="K126" s="49" t="n"/>
      <c r="L126" s="49" t="n"/>
      <c r="M126" s="64" t="n"/>
      <c r="N126" s="49" t="n"/>
      <c r="O126" s="49" t="n"/>
      <c r="P126" s="49" t="n"/>
      <c r="Q126" s="49" t="n"/>
      <c r="R126" s="49" t="n"/>
      <c r="S126" s="63">
        <f>IF($C126="","",SUM($G126:$L126))</f>
        <v/>
      </c>
      <c r="T126" s="63">
        <f>IF($C126="","",SUM($N126:$R126))</f>
        <v/>
      </c>
      <c r="U126" s="63">
        <f>IF($C126="","",$S126-$T126)</f>
        <v/>
      </c>
      <c r="V126" s="47" t="n"/>
      <c r="W126" s="112" t="n"/>
      <c r="X126" s="47" t="n"/>
      <c r="Y126" s="50">
        <f>IF($C126="","",IF(SUMPRODUCT(($C$3:$C$502=$C126)*($A$3:$A$502=$A126)*($B$3:$B$502=$B126))&gt;1,"⚠ مكرر","سليم"))</f>
        <v/>
      </c>
      <c r="Z126">
        <f>IF(AND($C126&lt;&gt;"",$A126=تقرير_الشهر,$B126=تقرير_السنة),SUMPRODUCT(($C$3:$C$502&lt;&gt;"")*($A$3:$A$502=تقرير_الشهر)*($B$3:$B$502=تقرير_السنة)*(ROW($C$3:$C$502)&lt;=ROW())),"")</f>
        <v/>
      </c>
    </row>
    <row r="127">
      <c r="A127" s="40" t="n"/>
      <c r="B127" s="59" t="n"/>
      <c r="C127" s="40" t="n"/>
      <c r="D127" s="43">
        <f>IFERROR(INDEX(الموظفون_الاسم,MATCH($C127,الموظفون_الرقم,0)),"")</f>
        <v/>
      </c>
      <c r="E127" s="43">
        <f>IFERROR(INDEX(الموظفون_الإدارة,MATCH($C127,الموظفون_الرقم,0)),"")</f>
        <v/>
      </c>
      <c r="F127" s="43">
        <f>IFERROR(INDEX(الموظفون_القسم,MATCH($C127,الموظفون_الرقم,0)),"")</f>
        <v/>
      </c>
      <c r="G127" s="60">
        <f>IF($C127="","",IFERROR(INDEX(الموظفون_الاساسي,MATCH($C127,الموظفون_الرقم,0)),0))</f>
        <v/>
      </c>
      <c r="H127" s="42" t="n"/>
      <c r="I127" s="42" t="n"/>
      <c r="J127" s="42" t="n"/>
      <c r="K127" s="42" t="n"/>
      <c r="L127" s="42" t="n"/>
      <c r="M127" s="61" t="n"/>
      <c r="N127" s="42" t="n"/>
      <c r="O127" s="42" t="n"/>
      <c r="P127" s="42" t="n"/>
      <c r="Q127" s="42" t="n"/>
      <c r="R127" s="42" t="n"/>
      <c r="S127" s="60">
        <f>IF($C127="","",SUM($G127:$L127))</f>
        <v/>
      </c>
      <c r="T127" s="60">
        <f>IF($C127="","",SUM($N127:$R127))</f>
        <v/>
      </c>
      <c r="U127" s="60">
        <f>IF($C127="","",$S127-$T127)</f>
        <v/>
      </c>
      <c r="V127" s="40" t="n"/>
      <c r="W127" s="110" t="n"/>
      <c r="X127" s="40" t="n"/>
      <c r="Y127" s="43">
        <f>IF($C127="","",IF(SUMPRODUCT(($C$3:$C$502=$C127)*($A$3:$A$502=$A127)*($B$3:$B$502=$B127))&gt;1,"⚠ مكرر","سليم"))</f>
        <v/>
      </c>
      <c r="Z127">
        <f>IF(AND($C127&lt;&gt;"",$A127=تقرير_الشهر,$B127=تقرير_السنة),SUMPRODUCT(($C$3:$C$502&lt;&gt;"")*($A$3:$A$502=تقرير_الشهر)*($B$3:$B$502=تقرير_السنة)*(ROW($C$3:$C$502)&lt;=ROW())),"")</f>
        <v/>
      </c>
    </row>
    <row r="128">
      <c r="A128" s="47" t="n"/>
      <c r="B128" s="62" t="n"/>
      <c r="C128" s="47" t="n"/>
      <c r="D128" s="50">
        <f>IFERROR(INDEX(الموظفون_الاسم,MATCH($C128,الموظفون_الرقم,0)),"")</f>
        <v/>
      </c>
      <c r="E128" s="50">
        <f>IFERROR(INDEX(الموظفون_الإدارة,MATCH($C128,الموظفون_الرقم,0)),"")</f>
        <v/>
      </c>
      <c r="F128" s="50">
        <f>IFERROR(INDEX(الموظفون_القسم,MATCH($C128,الموظفون_الرقم,0)),"")</f>
        <v/>
      </c>
      <c r="G128" s="63">
        <f>IF($C128="","",IFERROR(INDEX(الموظفون_الاساسي,MATCH($C128,الموظفون_الرقم,0)),0))</f>
        <v/>
      </c>
      <c r="H128" s="49" t="n"/>
      <c r="I128" s="49" t="n"/>
      <c r="J128" s="49" t="n"/>
      <c r="K128" s="49" t="n"/>
      <c r="L128" s="49" t="n"/>
      <c r="M128" s="64" t="n"/>
      <c r="N128" s="49" t="n"/>
      <c r="O128" s="49" t="n"/>
      <c r="P128" s="49" t="n"/>
      <c r="Q128" s="49" t="n"/>
      <c r="R128" s="49" t="n"/>
      <c r="S128" s="63">
        <f>IF($C128="","",SUM($G128:$L128))</f>
        <v/>
      </c>
      <c r="T128" s="63">
        <f>IF($C128="","",SUM($N128:$R128))</f>
        <v/>
      </c>
      <c r="U128" s="63">
        <f>IF($C128="","",$S128-$T128)</f>
        <v/>
      </c>
      <c r="V128" s="47" t="n"/>
      <c r="W128" s="112" t="n"/>
      <c r="X128" s="47" t="n"/>
      <c r="Y128" s="50">
        <f>IF($C128="","",IF(SUMPRODUCT(($C$3:$C$502=$C128)*($A$3:$A$502=$A128)*($B$3:$B$502=$B128))&gt;1,"⚠ مكرر","سليم"))</f>
        <v/>
      </c>
      <c r="Z128">
        <f>IF(AND($C128&lt;&gt;"",$A128=تقرير_الشهر,$B128=تقرير_السنة),SUMPRODUCT(($C$3:$C$502&lt;&gt;"")*($A$3:$A$502=تقرير_الشهر)*($B$3:$B$502=تقرير_السنة)*(ROW($C$3:$C$502)&lt;=ROW())),"")</f>
        <v/>
      </c>
    </row>
    <row r="129">
      <c r="A129" s="40" t="n"/>
      <c r="B129" s="59" t="n"/>
      <c r="C129" s="40" t="n"/>
      <c r="D129" s="43">
        <f>IFERROR(INDEX(الموظفون_الاسم,MATCH($C129,الموظفون_الرقم,0)),"")</f>
        <v/>
      </c>
      <c r="E129" s="43">
        <f>IFERROR(INDEX(الموظفون_الإدارة,MATCH($C129,الموظفون_الرقم,0)),"")</f>
        <v/>
      </c>
      <c r="F129" s="43">
        <f>IFERROR(INDEX(الموظفون_القسم,MATCH($C129,الموظفون_الرقم,0)),"")</f>
        <v/>
      </c>
      <c r="G129" s="60">
        <f>IF($C129="","",IFERROR(INDEX(الموظفون_الاساسي,MATCH($C129,الموظفون_الرقم,0)),0))</f>
        <v/>
      </c>
      <c r="H129" s="42" t="n"/>
      <c r="I129" s="42" t="n"/>
      <c r="J129" s="42" t="n"/>
      <c r="K129" s="42" t="n"/>
      <c r="L129" s="42" t="n"/>
      <c r="M129" s="61" t="n"/>
      <c r="N129" s="42" t="n"/>
      <c r="O129" s="42" t="n"/>
      <c r="P129" s="42" t="n"/>
      <c r="Q129" s="42" t="n"/>
      <c r="R129" s="42" t="n"/>
      <c r="S129" s="60">
        <f>IF($C129="","",SUM($G129:$L129))</f>
        <v/>
      </c>
      <c r="T129" s="60">
        <f>IF($C129="","",SUM($N129:$R129))</f>
        <v/>
      </c>
      <c r="U129" s="60">
        <f>IF($C129="","",$S129-$T129)</f>
        <v/>
      </c>
      <c r="V129" s="40" t="n"/>
      <c r="W129" s="110" t="n"/>
      <c r="X129" s="40" t="n"/>
      <c r="Y129" s="43">
        <f>IF($C129="","",IF(SUMPRODUCT(($C$3:$C$502=$C129)*($A$3:$A$502=$A129)*($B$3:$B$502=$B129))&gt;1,"⚠ مكرر","سليم"))</f>
        <v/>
      </c>
      <c r="Z129">
        <f>IF(AND($C129&lt;&gt;"",$A129=تقرير_الشهر,$B129=تقرير_السنة),SUMPRODUCT(($C$3:$C$502&lt;&gt;"")*($A$3:$A$502=تقرير_الشهر)*($B$3:$B$502=تقرير_السنة)*(ROW($C$3:$C$502)&lt;=ROW())),"")</f>
        <v/>
      </c>
    </row>
    <row r="130">
      <c r="A130" s="47" t="n"/>
      <c r="B130" s="62" t="n"/>
      <c r="C130" s="47" t="n"/>
      <c r="D130" s="50">
        <f>IFERROR(INDEX(الموظفون_الاسم,MATCH($C130,الموظفون_الرقم,0)),"")</f>
        <v/>
      </c>
      <c r="E130" s="50">
        <f>IFERROR(INDEX(الموظفون_الإدارة,MATCH($C130,الموظفون_الرقم,0)),"")</f>
        <v/>
      </c>
      <c r="F130" s="50">
        <f>IFERROR(INDEX(الموظفون_القسم,MATCH($C130,الموظفون_الرقم,0)),"")</f>
        <v/>
      </c>
      <c r="G130" s="63">
        <f>IF($C130="","",IFERROR(INDEX(الموظفون_الاساسي,MATCH($C130,الموظفون_الرقم,0)),0))</f>
        <v/>
      </c>
      <c r="H130" s="49" t="n"/>
      <c r="I130" s="49" t="n"/>
      <c r="J130" s="49" t="n"/>
      <c r="K130" s="49" t="n"/>
      <c r="L130" s="49" t="n"/>
      <c r="M130" s="64" t="n"/>
      <c r="N130" s="49" t="n"/>
      <c r="O130" s="49" t="n"/>
      <c r="P130" s="49" t="n"/>
      <c r="Q130" s="49" t="n"/>
      <c r="R130" s="49" t="n"/>
      <c r="S130" s="63">
        <f>IF($C130="","",SUM($G130:$L130))</f>
        <v/>
      </c>
      <c r="T130" s="63">
        <f>IF($C130="","",SUM($N130:$R130))</f>
        <v/>
      </c>
      <c r="U130" s="63">
        <f>IF($C130="","",$S130-$T130)</f>
        <v/>
      </c>
      <c r="V130" s="47" t="n"/>
      <c r="W130" s="112" t="n"/>
      <c r="X130" s="47" t="n"/>
      <c r="Y130" s="50">
        <f>IF($C130="","",IF(SUMPRODUCT(($C$3:$C$502=$C130)*($A$3:$A$502=$A130)*($B$3:$B$502=$B130))&gt;1,"⚠ مكرر","سليم"))</f>
        <v/>
      </c>
      <c r="Z130">
        <f>IF(AND($C130&lt;&gt;"",$A130=تقرير_الشهر,$B130=تقرير_السنة),SUMPRODUCT(($C$3:$C$502&lt;&gt;"")*($A$3:$A$502=تقرير_الشهر)*($B$3:$B$502=تقرير_السنة)*(ROW($C$3:$C$502)&lt;=ROW())),"")</f>
        <v/>
      </c>
    </row>
    <row r="131">
      <c r="A131" s="40" t="n"/>
      <c r="B131" s="59" t="n"/>
      <c r="C131" s="40" t="n"/>
      <c r="D131" s="43">
        <f>IFERROR(INDEX(الموظفون_الاسم,MATCH($C131,الموظفون_الرقم,0)),"")</f>
        <v/>
      </c>
      <c r="E131" s="43">
        <f>IFERROR(INDEX(الموظفون_الإدارة,MATCH($C131,الموظفون_الرقم,0)),"")</f>
        <v/>
      </c>
      <c r="F131" s="43">
        <f>IFERROR(INDEX(الموظفون_القسم,MATCH($C131,الموظفون_الرقم,0)),"")</f>
        <v/>
      </c>
      <c r="G131" s="60">
        <f>IF($C131="","",IFERROR(INDEX(الموظفون_الاساسي,MATCH($C131,الموظفون_الرقم,0)),0))</f>
        <v/>
      </c>
      <c r="H131" s="42" t="n"/>
      <c r="I131" s="42" t="n"/>
      <c r="J131" s="42" t="n"/>
      <c r="K131" s="42" t="n"/>
      <c r="L131" s="42" t="n"/>
      <c r="M131" s="61" t="n"/>
      <c r="N131" s="42" t="n"/>
      <c r="O131" s="42" t="n"/>
      <c r="P131" s="42" t="n"/>
      <c r="Q131" s="42" t="n"/>
      <c r="R131" s="42" t="n"/>
      <c r="S131" s="60">
        <f>IF($C131="","",SUM($G131:$L131))</f>
        <v/>
      </c>
      <c r="T131" s="60">
        <f>IF($C131="","",SUM($N131:$R131))</f>
        <v/>
      </c>
      <c r="U131" s="60">
        <f>IF($C131="","",$S131-$T131)</f>
        <v/>
      </c>
      <c r="V131" s="40" t="n"/>
      <c r="W131" s="110" t="n"/>
      <c r="X131" s="40" t="n"/>
      <c r="Y131" s="43">
        <f>IF($C131="","",IF(SUMPRODUCT(($C$3:$C$502=$C131)*($A$3:$A$502=$A131)*($B$3:$B$502=$B131))&gt;1,"⚠ مكرر","سليم"))</f>
        <v/>
      </c>
      <c r="Z131">
        <f>IF(AND($C131&lt;&gt;"",$A131=تقرير_الشهر,$B131=تقرير_السنة),SUMPRODUCT(($C$3:$C$502&lt;&gt;"")*($A$3:$A$502=تقرير_الشهر)*($B$3:$B$502=تقرير_السنة)*(ROW($C$3:$C$502)&lt;=ROW())),"")</f>
        <v/>
      </c>
    </row>
    <row r="132">
      <c r="A132" s="47" t="n"/>
      <c r="B132" s="62" t="n"/>
      <c r="C132" s="47" t="n"/>
      <c r="D132" s="50">
        <f>IFERROR(INDEX(الموظفون_الاسم,MATCH($C132,الموظفون_الرقم,0)),"")</f>
        <v/>
      </c>
      <c r="E132" s="50">
        <f>IFERROR(INDEX(الموظفون_الإدارة,MATCH($C132,الموظفون_الرقم,0)),"")</f>
        <v/>
      </c>
      <c r="F132" s="50">
        <f>IFERROR(INDEX(الموظفون_القسم,MATCH($C132,الموظفون_الرقم,0)),"")</f>
        <v/>
      </c>
      <c r="G132" s="63">
        <f>IF($C132="","",IFERROR(INDEX(الموظفون_الاساسي,MATCH($C132,الموظفون_الرقم,0)),0))</f>
        <v/>
      </c>
      <c r="H132" s="49" t="n"/>
      <c r="I132" s="49" t="n"/>
      <c r="J132" s="49" t="n"/>
      <c r="K132" s="49" t="n"/>
      <c r="L132" s="49" t="n"/>
      <c r="M132" s="64" t="n"/>
      <c r="N132" s="49" t="n"/>
      <c r="O132" s="49" t="n"/>
      <c r="P132" s="49" t="n"/>
      <c r="Q132" s="49" t="n"/>
      <c r="R132" s="49" t="n"/>
      <c r="S132" s="63">
        <f>IF($C132="","",SUM($G132:$L132))</f>
        <v/>
      </c>
      <c r="T132" s="63">
        <f>IF($C132="","",SUM($N132:$R132))</f>
        <v/>
      </c>
      <c r="U132" s="63">
        <f>IF($C132="","",$S132-$T132)</f>
        <v/>
      </c>
      <c r="V132" s="47" t="n"/>
      <c r="W132" s="112" t="n"/>
      <c r="X132" s="47" t="n"/>
      <c r="Y132" s="50">
        <f>IF($C132="","",IF(SUMPRODUCT(($C$3:$C$502=$C132)*($A$3:$A$502=$A132)*($B$3:$B$502=$B132))&gt;1,"⚠ مكرر","سليم"))</f>
        <v/>
      </c>
      <c r="Z132">
        <f>IF(AND($C132&lt;&gt;"",$A132=تقرير_الشهر,$B132=تقرير_السنة),SUMPRODUCT(($C$3:$C$502&lt;&gt;"")*($A$3:$A$502=تقرير_الشهر)*($B$3:$B$502=تقرير_السنة)*(ROW($C$3:$C$502)&lt;=ROW())),"")</f>
        <v/>
      </c>
    </row>
    <row r="133">
      <c r="A133" s="40" t="n"/>
      <c r="B133" s="59" t="n"/>
      <c r="C133" s="40" t="n"/>
      <c r="D133" s="43">
        <f>IFERROR(INDEX(الموظفون_الاسم,MATCH($C133,الموظفون_الرقم,0)),"")</f>
        <v/>
      </c>
      <c r="E133" s="43">
        <f>IFERROR(INDEX(الموظفون_الإدارة,MATCH($C133,الموظفون_الرقم,0)),"")</f>
        <v/>
      </c>
      <c r="F133" s="43">
        <f>IFERROR(INDEX(الموظفون_القسم,MATCH($C133,الموظفون_الرقم,0)),"")</f>
        <v/>
      </c>
      <c r="G133" s="60">
        <f>IF($C133="","",IFERROR(INDEX(الموظفون_الاساسي,MATCH($C133,الموظفون_الرقم,0)),0))</f>
        <v/>
      </c>
      <c r="H133" s="42" t="n"/>
      <c r="I133" s="42" t="n"/>
      <c r="J133" s="42" t="n"/>
      <c r="K133" s="42" t="n"/>
      <c r="L133" s="42" t="n"/>
      <c r="M133" s="61" t="n"/>
      <c r="N133" s="42" t="n"/>
      <c r="O133" s="42" t="n"/>
      <c r="P133" s="42" t="n"/>
      <c r="Q133" s="42" t="n"/>
      <c r="R133" s="42" t="n"/>
      <c r="S133" s="60">
        <f>IF($C133="","",SUM($G133:$L133))</f>
        <v/>
      </c>
      <c r="T133" s="60">
        <f>IF($C133="","",SUM($N133:$R133))</f>
        <v/>
      </c>
      <c r="U133" s="60">
        <f>IF($C133="","",$S133-$T133)</f>
        <v/>
      </c>
      <c r="V133" s="40" t="n"/>
      <c r="W133" s="110" t="n"/>
      <c r="X133" s="40" t="n"/>
      <c r="Y133" s="43">
        <f>IF($C133="","",IF(SUMPRODUCT(($C$3:$C$502=$C133)*($A$3:$A$502=$A133)*($B$3:$B$502=$B133))&gt;1,"⚠ مكرر","سليم"))</f>
        <v/>
      </c>
      <c r="Z133">
        <f>IF(AND($C133&lt;&gt;"",$A133=تقرير_الشهر,$B133=تقرير_السنة),SUMPRODUCT(($C$3:$C$502&lt;&gt;"")*($A$3:$A$502=تقرير_الشهر)*($B$3:$B$502=تقرير_السنة)*(ROW($C$3:$C$502)&lt;=ROW())),"")</f>
        <v/>
      </c>
    </row>
    <row r="134">
      <c r="A134" s="47" t="n"/>
      <c r="B134" s="62" t="n"/>
      <c r="C134" s="47" t="n"/>
      <c r="D134" s="50">
        <f>IFERROR(INDEX(الموظفون_الاسم,MATCH($C134,الموظفون_الرقم,0)),"")</f>
        <v/>
      </c>
      <c r="E134" s="50">
        <f>IFERROR(INDEX(الموظفون_الإدارة,MATCH($C134,الموظفون_الرقم,0)),"")</f>
        <v/>
      </c>
      <c r="F134" s="50">
        <f>IFERROR(INDEX(الموظفون_القسم,MATCH($C134,الموظفون_الرقم,0)),"")</f>
        <v/>
      </c>
      <c r="G134" s="63">
        <f>IF($C134="","",IFERROR(INDEX(الموظفون_الاساسي,MATCH($C134,الموظفون_الرقم,0)),0))</f>
        <v/>
      </c>
      <c r="H134" s="49" t="n"/>
      <c r="I134" s="49" t="n"/>
      <c r="J134" s="49" t="n"/>
      <c r="K134" s="49" t="n"/>
      <c r="L134" s="49" t="n"/>
      <c r="M134" s="64" t="n"/>
      <c r="N134" s="49" t="n"/>
      <c r="O134" s="49" t="n"/>
      <c r="P134" s="49" t="n"/>
      <c r="Q134" s="49" t="n"/>
      <c r="R134" s="49" t="n"/>
      <c r="S134" s="63">
        <f>IF($C134="","",SUM($G134:$L134))</f>
        <v/>
      </c>
      <c r="T134" s="63">
        <f>IF($C134="","",SUM($N134:$R134))</f>
        <v/>
      </c>
      <c r="U134" s="63">
        <f>IF($C134="","",$S134-$T134)</f>
        <v/>
      </c>
      <c r="V134" s="47" t="n"/>
      <c r="W134" s="112" t="n"/>
      <c r="X134" s="47" t="n"/>
      <c r="Y134" s="50">
        <f>IF($C134="","",IF(SUMPRODUCT(($C$3:$C$502=$C134)*($A$3:$A$502=$A134)*($B$3:$B$502=$B134))&gt;1,"⚠ مكرر","سليم"))</f>
        <v/>
      </c>
      <c r="Z134">
        <f>IF(AND($C134&lt;&gt;"",$A134=تقرير_الشهر,$B134=تقرير_السنة),SUMPRODUCT(($C$3:$C$502&lt;&gt;"")*($A$3:$A$502=تقرير_الشهر)*($B$3:$B$502=تقرير_السنة)*(ROW($C$3:$C$502)&lt;=ROW())),"")</f>
        <v/>
      </c>
    </row>
    <row r="135">
      <c r="A135" s="40" t="n"/>
      <c r="B135" s="59" t="n"/>
      <c r="C135" s="40" t="n"/>
      <c r="D135" s="43">
        <f>IFERROR(INDEX(الموظفون_الاسم,MATCH($C135,الموظفون_الرقم,0)),"")</f>
        <v/>
      </c>
      <c r="E135" s="43">
        <f>IFERROR(INDEX(الموظفون_الإدارة,MATCH($C135,الموظفون_الرقم,0)),"")</f>
        <v/>
      </c>
      <c r="F135" s="43">
        <f>IFERROR(INDEX(الموظفون_القسم,MATCH($C135,الموظفون_الرقم,0)),"")</f>
        <v/>
      </c>
      <c r="G135" s="60">
        <f>IF($C135="","",IFERROR(INDEX(الموظفون_الاساسي,MATCH($C135,الموظفون_الرقم,0)),0))</f>
        <v/>
      </c>
      <c r="H135" s="42" t="n"/>
      <c r="I135" s="42" t="n"/>
      <c r="J135" s="42" t="n"/>
      <c r="K135" s="42" t="n"/>
      <c r="L135" s="42" t="n"/>
      <c r="M135" s="61" t="n"/>
      <c r="N135" s="42" t="n"/>
      <c r="O135" s="42" t="n"/>
      <c r="P135" s="42" t="n"/>
      <c r="Q135" s="42" t="n"/>
      <c r="R135" s="42" t="n"/>
      <c r="S135" s="60">
        <f>IF($C135="","",SUM($G135:$L135))</f>
        <v/>
      </c>
      <c r="T135" s="60">
        <f>IF($C135="","",SUM($N135:$R135))</f>
        <v/>
      </c>
      <c r="U135" s="60">
        <f>IF($C135="","",$S135-$T135)</f>
        <v/>
      </c>
      <c r="V135" s="40" t="n"/>
      <c r="W135" s="110" t="n"/>
      <c r="X135" s="40" t="n"/>
      <c r="Y135" s="43">
        <f>IF($C135="","",IF(SUMPRODUCT(($C$3:$C$502=$C135)*($A$3:$A$502=$A135)*($B$3:$B$502=$B135))&gt;1,"⚠ مكرر","سليم"))</f>
        <v/>
      </c>
      <c r="Z135">
        <f>IF(AND($C135&lt;&gt;"",$A135=تقرير_الشهر,$B135=تقرير_السنة),SUMPRODUCT(($C$3:$C$502&lt;&gt;"")*($A$3:$A$502=تقرير_الشهر)*($B$3:$B$502=تقرير_السنة)*(ROW($C$3:$C$502)&lt;=ROW())),"")</f>
        <v/>
      </c>
    </row>
    <row r="136">
      <c r="A136" s="47" t="n"/>
      <c r="B136" s="62" t="n"/>
      <c r="C136" s="47" t="n"/>
      <c r="D136" s="50">
        <f>IFERROR(INDEX(الموظفون_الاسم,MATCH($C136,الموظفون_الرقم,0)),"")</f>
        <v/>
      </c>
      <c r="E136" s="50">
        <f>IFERROR(INDEX(الموظفون_الإدارة,MATCH($C136,الموظفون_الرقم,0)),"")</f>
        <v/>
      </c>
      <c r="F136" s="50">
        <f>IFERROR(INDEX(الموظفون_القسم,MATCH($C136,الموظفون_الرقم,0)),"")</f>
        <v/>
      </c>
      <c r="G136" s="63">
        <f>IF($C136="","",IFERROR(INDEX(الموظفون_الاساسي,MATCH($C136,الموظفون_الرقم,0)),0))</f>
        <v/>
      </c>
      <c r="H136" s="49" t="n"/>
      <c r="I136" s="49" t="n"/>
      <c r="J136" s="49" t="n"/>
      <c r="K136" s="49" t="n"/>
      <c r="L136" s="49" t="n"/>
      <c r="M136" s="64" t="n"/>
      <c r="N136" s="49" t="n"/>
      <c r="O136" s="49" t="n"/>
      <c r="P136" s="49" t="n"/>
      <c r="Q136" s="49" t="n"/>
      <c r="R136" s="49" t="n"/>
      <c r="S136" s="63">
        <f>IF($C136="","",SUM($G136:$L136))</f>
        <v/>
      </c>
      <c r="T136" s="63">
        <f>IF($C136="","",SUM($N136:$R136))</f>
        <v/>
      </c>
      <c r="U136" s="63">
        <f>IF($C136="","",$S136-$T136)</f>
        <v/>
      </c>
      <c r="V136" s="47" t="n"/>
      <c r="W136" s="112" t="n"/>
      <c r="X136" s="47" t="n"/>
      <c r="Y136" s="50">
        <f>IF($C136="","",IF(SUMPRODUCT(($C$3:$C$502=$C136)*($A$3:$A$502=$A136)*($B$3:$B$502=$B136))&gt;1,"⚠ مكرر","سليم"))</f>
        <v/>
      </c>
      <c r="Z136">
        <f>IF(AND($C136&lt;&gt;"",$A136=تقرير_الشهر,$B136=تقرير_السنة),SUMPRODUCT(($C$3:$C$502&lt;&gt;"")*($A$3:$A$502=تقرير_الشهر)*($B$3:$B$502=تقرير_السنة)*(ROW($C$3:$C$502)&lt;=ROW())),"")</f>
        <v/>
      </c>
    </row>
    <row r="137">
      <c r="A137" s="40" t="n"/>
      <c r="B137" s="59" t="n"/>
      <c r="C137" s="40" t="n"/>
      <c r="D137" s="43">
        <f>IFERROR(INDEX(الموظفون_الاسم,MATCH($C137,الموظفون_الرقم,0)),"")</f>
        <v/>
      </c>
      <c r="E137" s="43">
        <f>IFERROR(INDEX(الموظفون_الإدارة,MATCH($C137,الموظفون_الرقم,0)),"")</f>
        <v/>
      </c>
      <c r="F137" s="43">
        <f>IFERROR(INDEX(الموظفون_القسم,MATCH($C137,الموظفون_الرقم,0)),"")</f>
        <v/>
      </c>
      <c r="G137" s="60">
        <f>IF($C137="","",IFERROR(INDEX(الموظفون_الاساسي,MATCH($C137,الموظفون_الرقم,0)),0))</f>
        <v/>
      </c>
      <c r="H137" s="42" t="n"/>
      <c r="I137" s="42" t="n"/>
      <c r="J137" s="42" t="n"/>
      <c r="K137" s="42" t="n"/>
      <c r="L137" s="42" t="n"/>
      <c r="M137" s="61" t="n"/>
      <c r="N137" s="42" t="n"/>
      <c r="O137" s="42" t="n"/>
      <c r="P137" s="42" t="n"/>
      <c r="Q137" s="42" t="n"/>
      <c r="R137" s="42" t="n"/>
      <c r="S137" s="60">
        <f>IF($C137="","",SUM($G137:$L137))</f>
        <v/>
      </c>
      <c r="T137" s="60">
        <f>IF($C137="","",SUM($N137:$R137))</f>
        <v/>
      </c>
      <c r="U137" s="60">
        <f>IF($C137="","",$S137-$T137)</f>
        <v/>
      </c>
      <c r="V137" s="40" t="n"/>
      <c r="W137" s="110" t="n"/>
      <c r="X137" s="40" t="n"/>
      <c r="Y137" s="43">
        <f>IF($C137="","",IF(SUMPRODUCT(($C$3:$C$502=$C137)*($A$3:$A$502=$A137)*($B$3:$B$502=$B137))&gt;1,"⚠ مكرر","سليم"))</f>
        <v/>
      </c>
      <c r="Z137">
        <f>IF(AND($C137&lt;&gt;"",$A137=تقرير_الشهر,$B137=تقرير_السنة),SUMPRODUCT(($C$3:$C$502&lt;&gt;"")*($A$3:$A$502=تقرير_الشهر)*($B$3:$B$502=تقرير_السنة)*(ROW($C$3:$C$502)&lt;=ROW())),"")</f>
        <v/>
      </c>
    </row>
    <row r="138">
      <c r="A138" s="47" t="n"/>
      <c r="B138" s="62" t="n"/>
      <c r="C138" s="47" t="n"/>
      <c r="D138" s="50">
        <f>IFERROR(INDEX(الموظفون_الاسم,MATCH($C138,الموظفون_الرقم,0)),"")</f>
        <v/>
      </c>
      <c r="E138" s="50">
        <f>IFERROR(INDEX(الموظفون_الإدارة,MATCH($C138,الموظفون_الرقم,0)),"")</f>
        <v/>
      </c>
      <c r="F138" s="50">
        <f>IFERROR(INDEX(الموظفون_القسم,MATCH($C138,الموظفون_الرقم,0)),"")</f>
        <v/>
      </c>
      <c r="G138" s="63">
        <f>IF($C138="","",IFERROR(INDEX(الموظفون_الاساسي,MATCH($C138,الموظفون_الرقم,0)),0))</f>
        <v/>
      </c>
      <c r="H138" s="49" t="n"/>
      <c r="I138" s="49" t="n"/>
      <c r="J138" s="49" t="n"/>
      <c r="K138" s="49" t="n"/>
      <c r="L138" s="49" t="n"/>
      <c r="M138" s="64" t="n"/>
      <c r="N138" s="49" t="n"/>
      <c r="O138" s="49" t="n"/>
      <c r="P138" s="49" t="n"/>
      <c r="Q138" s="49" t="n"/>
      <c r="R138" s="49" t="n"/>
      <c r="S138" s="63">
        <f>IF($C138="","",SUM($G138:$L138))</f>
        <v/>
      </c>
      <c r="T138" s="63">
        <f>IF($C138="","",SUM($N138:$R138))</f>
        <v/>
      </c>
      <c r="U138" s="63">
        <f>IF($C138="","",$S138-$T138)</f>
        <v/>
      </c>
      <c r="V138" s="47" t="n"/>
      <c r="W138" s="112" t="n"/>
      <c r="X138" s="47" t="n"/>
      <c r="Y138" s="50">
        <f>IF($C138="","",IF(SUMPRODUCT(($C$3:$C$502=$C138)*($A$3:$A$502=$A138)*($B$3:$B$502=$B138))&gt;1,"⚠ مكرر","سليم"))</f>
        <v/>
      </c>
      <c r="Z138">
        <f>IF(AND($C138&lt;&gt;"",$A138=تقرير_الشهر,$B138=تقرير_السنة),SUMPRODUCT(($C$3:$C$502&lt;&gt;"")*($A$3:$A$502=تقرير_الشهر)*($B$3:$B$502=تقرير_السنة)*(ROW($C$3:$C$502)&lt;=ROW())),"")</f>
        <v/>
      </c>
    </row>
    <row r="139">
      <c r="A139" s="40" t="n"/>
      <c r="B139" s="59" t="n"/>
      <c r="C139" s="40" t="n"/>
      <c r="D139" s="43">
        <f>IFERROR(INDEX(الموظفون_الاسم,MATCH($C139,الموظفون_الرقم,0)),"")</f>
        <v/>
      </c>
      <c r="E139" s="43">
        <f>IFERROR(INDEX(الموظفون_الإدارة,MATCH($C139,الموظفون_الرقم,0)),"")</f>
        <v/>
      </c>
      <c r="F139" s="43">
        <f>IFERROR(INDEX(الموظفون_القسم,MATCH($C139,الموظفون_الرقم,0)),"")</f>
        <v/>
      </c>
      <c r="G139" s="60">
        <f>IF($C139="","",IFERROR(INDEX(الموظفون_الاساسي,MATCH($C139,الموظفون_الرقم,0)),0))</f>
        <v/>
      </c>
      <c r="H139" s="42" t="n"/>
      <c r="I139" s="42" t="n"/>
      <c r="J139" s="42" t="n"/>
      <c r="K139" s="42" t="n"/>
      <c r="L139" s="42" t="n"/>
      <c r="M139" s="61" t="n"/>
      <c r="N139" s="42" t="n"/>
      <c r="O139" s="42" t="n"/>
      <c r="P139" s="42" t="n"/>
      <c r="Q139" s="42" t="n"/>
      <c r="R139" s="42" t="n"/>
      <c r="S139" s="60">
        <f>IF($C139="","",SUM($G139:$L139))</f>
        <v/>
      </c>
      <c r="T139" s="60">
        <f>IF($C139="","",SUM($N139:$R139))</f>
        <v/>
      </c>
      <c r="U139" s="60">
        <f>IF($C139="","",$S139-$T139)</f>
        <v/>
      </c>
      <c r="V139" s="40" t="n"/>
      <c r="W139" s="110" t="n"/>
      <c r="X139" s="40" t="n"/>
      <c r="Y139" s="43">
        <f>IF($C139="","",IF(SUMPRODUCT(($C$3:$C$502=$C139)*($A$3:$A$502=$A139)*($B$3:$B$502=$B139))&gt;1,"⚠ مكرر","سليم"))</f>
        <v/>
      </c>
      <c r="Z139">
        <f>IF(AND($C139&lt;&gt;"",$A139=تقرير_الشهر,$B139=تقرير_السنة),SUMPRODUCT(($C$3:$C$502&lt;&gt;"")*($A$3:$A$502=تقرير_الشهر)*($B$3:$B$502=تقرير_السنة)*(ROW($C$3:$C$502)&lt;=ROW())),"")</f>
        <v/>
      </c>
    </row>
    <row r="140">
      <c r="A140" s="47" t="n"/>
      <c r="B140" s="62" t="n"/>
      <c r="C140" s="47" t="n"/>
      <c r="D140" s="50">
        <f>IFERROR(INDEX(الموظفون_الاسم,MATCH($C140,الموظفون_الرقم,0)),"")</f>
        <v/>
      </c>
      <c r="E140" s="50">
        <f>IFERROR(INDEX(الموظفون_الإدارة,MATCH($C140,الموظفون_الرقم,0)),"")</f>
        <v/>
      </c>
      <c r="F140" s="50">
        <f>IFERROR(INDEX(الموظفون_القسم,MATCH($C140,الموظفون_الرقم,0)),"")</f>
        <v/>
      </c>
      <c r="G140" s="63">
        <f>IF($C140="","",IFERROR(INDEX(الموظفون_الاساسي,MATCH($C140,الموظفون_الرقم,0)),0))</f>
        <v/>
      </c>
      <c r="H140" s="49" t="n"/>
      <c r="I140" s="49" t="n"/>
      <c r="J140" s="49" t="n"/>
      <c r="K140" s="49" t="n"/>
      <c r="L140" s="49" t="n"/>
      <c r="M140" s="64" t="n"/>
      <c r="N140" s="49" t="n"/>
      <c r="O140" s="49" t="n"/>
      <c r="P140" s="49" t="n"/>
      <c r="Q140" s="49" t="n"/>
      <c r="R140" s="49" t="n"/>
      <c r="S140" s="63">
        <f>IF($C140="","",SUM($G140:$L140))</f>
        <v/>
      </c>
      <c r="T140" s="63">
        <f>IF($C140="","",SUM($N140:$R140))</f>
        <v/>
      </c>
      <c r="U140" s="63">
        <f>IF($C140="","",$S140-$T140)</f>
        <v/>
      </c>
      <c r="V140" s="47" t="n"/>
      <c r="W140" s="112" t="n"/>
      <c r="X140" s="47" t="n"/>
      <c r="Y140" s="50">
        <f>IF($C140="","",IF(SUMPRODUCT(($C$3:$C$502=$C140)*($A$3:$A$502=$A140)*($B$3:$B$502=$B140))&gt;1,"⚠ مكرر","سليم"))</f>
        <v/>
      </c>
      <c r="Z140">
        <f>IF(AND($C140&lt;&gt;"",$A140=تقرير_الشهر,$B140=تقرير_السنة),SUMPRODUCT(($C$3:$C$502&lt;&gt;"")*($A$3:$A$502=تقرير_الشهر)*($B$3:$B$502=تقرير_السنة)*(ROW($C$3:$C$502)&lt;=ROW())),"")</f>
        <v/>
      </c>
    </row>
    <row r="141">
      <c r="A141" s="40" t="n"/>
      <c r="B141" s="59" t="n"/>
      <c r="C141" s="40" t="n"/>
      <c r="D141" s="43">
        <f>IFERROR(INDEX(الموظفون_الاسم,MATCH($C141,الموظفون_الرقم,0)),"")</f>
        <v/>
      </c>
      <c r="E141" s="43">
        <f>IFERROR(INDEX(الموظفون_الإدارة,MATCH($C141,الموظفون_الرقم,0)),"")</f>
        <v/>
      </c>
      <c r="F141" s="43">
        <f>IFERROR(INDEX(الموظفون_القسم,MATCH($C141,الموظفون_الرقم,0)),"")</f>
        <v/>
      </c>
      <c r="G141" s="60">
        <f>IF($C141="","",IFERROR(INDEX(الموظفون_الاساسي,MATCH($C141,الموظفون_الرقم,0)),0))</f>
        <v/>
      </c>
      <c r="H141" s="42" t="n"/>
      <c r="I141" s="42" t="n"/>
      <c r="J141" s="42" t="n"/>
      <c r="K141" s="42" t="n"/>
      <c r="L141" s="42" t="n"/>
      <c r="M141" s="61" t="n"/>
      <c r="N141" s="42" t="n"/>
      <c r="O141" s="42" t="n"/>
      <c r="P141" s="42" t="n"/>
      <c r="Q141" s="42" t="n"/>
      <c r="R141" s="42" t="n"/>
      <c r="S141" s="60">
        <f>IF($C141="","",SUM($G141:$L141))</f>
        <v/>
      </c>
      <c r="T141" s="60">
        <f>IF($C141="","",SUM($N141:$R141))</f>
        <v/>
      </c>
      <c r="U141" s="60">
        <f>IF($C141="","",$S141-$T141)</f>
        <v/>
      </c>
      <c r="V141" s="40" t="n"/>
      <c r="W141" s="110" t="n"/>
      <c r="X141" s="40" t="n"/>
      <c r="Y141" s="43">
        <f>IF($C141="","",IF(SUMPRODUCT(($C$3:$C$502=$C141)*($A$3:$A$502=$A141)*($B$3:$B$502=$B141))&gt;1,"⚠ مكرر","سليم"))</f>
        <v/>
      </c>
      <c r="Z141">
        <f>IF(AND($C141&lt;&gt;"",$A141=تقرير_الشهر,$B141=تقرير_السنة),SUMPRODUCT(($C$3:$C$502&lt;&gt;"")*($A$3:$A$502=تقرير_الشهر)*($B$3:$B$502=تقرير_السنة)*(ROW($C$3:$C$502)&lt;=ROW())),"")</f>
        <v/>
      </c>
    </row>
    <row r="142">
      <c r="A142" s="47" t="n"/>
      <c r="B142" s="62" t="n"/>
      <c r="C142" s="47" t="n"/>
      <c r="D142" s="50">
        <f>IFERROR(INDEX(الموظفون_الاسم,MATCH($C142,الموظفون_الرقم,0)),"")</f>
        <v/>
      </c>
      <c r="E142" s="50">
        <f>IFERROR(INDEX(الموظفون_الإدارة,MATCH($C142,الموظفون_الرقم,0)),"")</f>
        <v/>
      </c>
      <c r="F142" s="50">
        <f>IFERROR(INDEX(الموظفون_القسم,MATCH($C142,الموظفون_الرقم,0)),"")</f>
        <v/>
      </c>
      <c r="G142" s="63">
        <f>IF($C142="","",IFERROR(INDEX(الموظفون_الاساسي,MATCH($C142,الموظفون_الرقم,0)),0))</f>
        <v/>
      </c>
      <c r="H142" s="49" t="n"/>
      <c r="I142" s="49" t="n"/>
      <c r="J142" s="49" t="n"/>
      <c r="K142" s="49" t="n"/>
      <c r="L142" s="49" t="n"/>
      <c r="M142" s="64" t="n"/>
      <c r="N142" s="49" t="n"/>
      <c r="O142" s="49" t="n"/>
      <c r="P142" s="49" t="n"/>
      <c r="Q142" s="49" t="n"/>
      <c r="R142" s="49" t="n"/>
      <c r="S142" s="63">
        <f>IF($C142="","",SUM($G142:$L142))</f>
        <v/>
      </c>
      <c r="T142" s="63">
        <f>IF($C142="","",SUM($N142:$R142))</f>
        <v/>
      </c>
      <c r="U142" s="63">
        <f>IF($C142="","",$S142-$T142)</f>
        <v/>
      </c>
      <c r="V142" s="47" t="n"/>
      <c r="W142" s="112" t="n"/>
      <c r="X142" s="47" t="n"/>
      <c r="Y142" s="50">
        <f>IF($C142="","",IF(SUMPRODUCT(($C$3:$C$502=$C142)*($A$3:$A$502=$A142)*($B$3:$B$502=$B142))&gt;1,"⚠ مكرر","سليم"))</f>
        <v/>
      </c>
      <c r="Z142">
        <f>IF(AND($C142&lt;&gt;"",$A142=تقرير_الشهر,$B142=تقرير_السنة),SUMPRODUCT(($C$3:$C$502&lt;&gt;"")*($A$3:$A$502=تقرير_الشهر)*($B$3:$B$502=تقرير_السنة)*(ROW($C$3:$C$502)&lt;=ROW())),"")</f>
        <v/>
      </c>
    </row>
    <row r="143">
      <c r="A143" s="40" t="n"/>
      <c r="B143" s="59" t="n"/>
      <c r="C143" s="40" t="n"/>
      <c r="D143" s="43">
        <f>IFERROR(INDEX(الموظفون_الاسم,MATCH($C143,الموظفون_الرقم,0)),"")</f>
        <v/>
      </c>
      <c r="E143" s="43">
        <f>IFERROR(INDEX(الموظفون_الإدارة,MATCH($C143,الموظفون_الرقم,0)),"")</f>
        <v/>
      </c>
      <c r="F143" s="43">
        <f>IFERROR(INDEX(الموظفون_القسم,MATCH($C143,الموظفون_الرقم,0)),"")</f>
        <v/>
      </c>
      <c r="G143" s="60">
        <f>IF($C143="","",IFERROR(INDEX(الموظفون_الاساسي,MATCH($C143,الموظفون_الرقم,0)),0))</f>
        <v/>
      </c>
      <c r="H143" s="42" t="n"/>
      <c r="I143" s="42" t="n"/>
      <c r="J143" s="42" t="n"/>
      <c r="K143" s="42" t="n"/>
      <c r="L143" s="42" t="n"/>
      <c r="M143" s="61" t="n"/>
      <c r="N143" s="42" t="n"/>
      <c r="O143" s="42" t="n"/>
      <c r="P143" s="42" t="n"/>
      <c r="Q143" s="42" t="n"/>
      <c r="R143" s="42" t="n"/>
      <c r="S143" s="60">
        <f>IF($C143="","",SUM($G143:$L143))</f>
        <v/>
      </c>
      <c r="T143" s="60">
        <f>IF($C143="","",SUM($N143:$R143))</f>
        <v/>
      </c>
      <c r="U143" s="60">
        <f>IF($C143="","",$S143-$T143)</f>
        <v/>
      </c>
      <c r="V143" s="40" t="n"/>
      <c r="W143" s="110" t="n"/>
      <c r="X143" s="40" t="n"/>
      <c r="Y143" s="43">
        <f>IF($C143="","",IF(SUMPRODUCT(($C$3:$C$502=$C143)*($A$3:$A$502=$A143)*($B$3:$B$502=$B143))&gt;1,"⚠ مكرر","سليم"))</f>
        <v/>
      </c>
      <c r="Z143">
        <f>IF(AND($C143&lt;&gt;"",$A143=تقرير_الشهر,$B143=تقرير_السنة),SUMPRODUCT(($C$3:$C$502&lt;&gt;"")*($A$3:$A$502=تقرير_الشهر)*($B$3:$B$502=تقرير_السنة)*(ROW($C$3:$C$502)&lt;=ROW())),"")</f>
        <v/>
      </c>
    </row>
    <row r="144">
      <c r="A144" s="47" t="n"/>
      <c r="B144" s="62" t="n"/>
      <c r="C144" s="47" t="n"/>
      <c r="D144" s="50">
        <f>IFERROR(INDEX(الموظفون_الاسم,MATCH($C144,الموظفون_الرقم,0)),"")</f>
        <v/>
      </c>
      <c r="E144" s="50">
        <f>IFERROR(INDEX(الموظفون_الإدارة,MATCH($C144,الموظفون_الرقم,0)),"")</f>
        <v/>
      </c>
      <c r="F144" s="50">
        <f>IFERROR(INDEX(الموظفون_القسم,MATCH($C144,الموظفون_الرقم,0)),"")</f>
        <v/>
      </c>
      <c r="G144" s="63">
        <f>IF($C144="","",IFERROR(INDEX(الموظفون_الاساسي,MATCH($C144,الموظفون_الرقم,0)),0))</f>
        <v/>
      </c>
      <c r="H144" s="49" t="n"/>
      <c r="I144" s="49" t="n"/>
      <c r="J144" s="49" t="n"/>
      <c r="K144" s="49" t="n"/>
      <c r="L144" s="49" t="n"/>
      <c r="M144" s="64" t="n"/>
      <c r="N144" s="49" t="n"/>
      <c r="O144" s="49" t="n"/>
      <c r="P144" s="49" t="n"/>
      <c r="Q144" s="49" t="n"/>
      <c r="R144" s="49" t="n"/>
      <c r="S144" s="63">
        <f>IF($C144="","",SUM($G144:$L144))</f>
        <v/>
      </c>
      <c r="T144" s="63">
        <f>IF($C144="","",SUM($N144:$R144))</f>
        <v/>
      </c>
      <c r="U144" s="63">
        <f>IF($C144="","",$S144-$T144)</f>
        <v/>
      </c>
      <c r="V144" s="47" t="n"/>
      <c r="W144" s="112" t="n"/>
      <c r="X144" s="47" t="n"/>
      <c r="Y144" s="50">
        <f>IF($C144="","",IF(SUMPRODUCT(($C$3:$C$502=$C144)*($A$3:$A$502=$A144)*($B$3:$B$502=$B144))&gt;1,"⚠ مكرر","سليم"))</f>
        <v/>
      </c>
      <c r="Z144">
        <f>IF(AND($C144&lt;&gt;"",$A144=تقرير_الشهر,$B144=تقرير_السنة),SUMPRODUCT(($C$3:$C$502&lt;&gt;"")*($A$3:$A$502=تقرير_الشهر)*($B$3:$B$502=تقرير_السنة)*(ROW($C$3:$C$502)&lt;=ROW())),"")</f>
        <v/>
      </c>
    </row>
    <row r="145">
      <c r="A145" s="40" t="n"/>
      <c r="B145" s="59" t="n"/>
      <c r="C145" s="40" t="n"/>
      <c r="D145" s="43">
        <f>IFERROR(INDEX(الموظفون_الاسم,MATCH($C145,الموظفون_الرقم,0)),"")</f>
        <v/>
      </c>
      <c r="E145" s="43">
        <f>IFERROR(INDEX(الموظفون_الإدارة,MATCH($C145,الموظفون_الرقم,0)),"")</f>
        <v/>
      </c>
      <c r="F145" s="43">
        <f>IFERROR(INDEX(الموظفون_القسم,MATCH($C145,الموظفون_الرقم,0)),"")</f>
        <v/>
      </c>
      <c r="G145" s="60">
        <f>IF($C145="","",IFERROR(INDEX(الموظفون_الاساسي,MATCH($C145,الموظفون_الرقم,0)),0))</f>
        <v/>
      </c>
      <c r="H145" s="42" t="n"/>
      <c r="I145" s="42" t="n"/>
      <c r="J145" s="42" t="n"/>
      <c r="K145" s="42" t="n"/>
      <c r="L145" s="42" t="n"/>
      <c r="M145" s="61" t="n"/>
      <c r="N145" s="42" t="n"/>
      <c r="O145" s="42" t="n"/>
      <c r="P145" s="42" t="n"/>
      <c r="Q145" s="42" t="n"/>
      <c r="R145" s="42" t="n"/>
      <c r="S145" s="60">
        <f>IF($C145="","",SUM($G145:$L145))</f>
        <v/>
      </c>
      <c r="T145" s="60">
        <f>IF($C145="","",SUM($N145:$R145))</f>
        <v/>
      </c>
      <c r="U145" s="60">
        <f>IF($C145="","",$S145-$T145)</f>
        <v/>
      </c>
      <c r="V145" s="40" t="n"/>
      <c r="W145" s="110" t="n"/>
      <c r="X145" s="40" t="n"/>
      <c r="Y145" s="43">
        <f>IF($C145="","",IF(SUMPRODUCT(($C$3:$C$502=$C145)*($A$3:$A$502=$A145)*($B$3:$B$502=$B145))&gt;1,"⚠ مكرر","سليم"))</f>
        <v/>
      </c>
      <c r="Z145">
        <f>IF(AND($C145&lt;&gt;"",$A145=تقرير_الشهر,$B145=تقرير_السنة),SUMPRODUCT(($C$3:$C$502&lt;&gt;"")*($A$3:$A$502=تقرير_الشهر)*($B$3:$B$502=تقرير_السنة)*(ROW($C$3:$C$502)&lt;=ROW())),"")</f>
        <v/>
      </c>
    </row>
    <row r="146">
      <c r="A146" s="47" t="n"/>
      <c r="B146" s="62" t="n"/>
      <c r="C146" s="47" t="n"/>
      <c r="D146" s="50">
        <f>IFERROR(INDEX(الموظفون_الاسم,MATCH($C146,الموظفون_الرقم,0)),"")</f>
        <v/>
      </c>
      <c r="E146" s="50">
        <f>IFERROR(INDEX(الموظفون_الإدارة,MATCH($C146,الموظفون_الرقم,0)),"")</f>
        <v/>
      </c>
      <c r="F146" s="50">
        <f>IFERROR(INDEX(الموظفون_القسم,MATCH($C146,الموظفون_الرقم,0)),"")</f>
        <v/>
      </c>
      <c r="G146" s="63">
        <f>IF($C146="","",IFERROR(INDEX(الموظفون_الاساسي,MATCH($C146,الموظفون_الرقم,0)),0))</f>
        <v/>
      </c>
      <c r="H146" s="49" t="n"/>
      <c r="I146" s="49" t="n"/>
      <c r="J146" s="49" t="n"/>
      <c r="K146" s="49" t="n"/>
      <c r="L146" s="49" t="n"/>
      <c r="M146" s="64" t="n"/>
      <c r="N146" s="49" t="n"/>
      <c r="O146" s="49" t="n"/>
      <c r="P146" s="49" t="n"/>
      <c r="Q146" s="49" t="n"/>
      <c r="R146" s="49" t="n"/>
      <c r="S146" s="63">
        <f>IF($C146="","",SUM($G146:$L146))</f>
        <v/>
      </c>
      <c r="T146" s="63">
        <f>IF($C146="","",SUM($N146:$R146))</f>
        <v/>
      </c>
      <c r="U146" s="63">
        <f>IF($C146="","",$S146-$T146)</f>
        <v/>
      </c>
      <c r="V146" s="47" t="n"/>
      <c r="W146" s="112" t="n"/>
      <c r="X146" s="47" t="n"/>
      <c r="Y146" s="50">
        <f>IF($C146="","",IF(SUMPRODUCT(($C$3:$C$502=$C146)*($A$3:$A$502=$A146)*($B$3:$B$502=$B146))&gt;1,"⚠ مكرر","سليم"))</f>
        <v/>
      </c>
      <c r="Z146">
        <f>IF(AND($C146&lt;&gt;"",$A146=تقرير_الشهر,$B146=تقرير_السنة),SUMPRODUCT(($C$3:$C$502&lt;&gt;"")*($A$3:$A$502=تقرير_الشهر)*($B$3:$B$502=تقرير_السنة)*(ROW($C$3:$C$502)&lt;=ROW())),"")</f>
        <v/>
      </c>
    </row>
    <row r="147">
      <c r="A147" s="40" t="n"/>
      <c r="B147" s="59" t="n"/>
      <c r="C147" s="40" t="n"/>
      <c r="D147" s="43">
        <f>IFERROR(INDEX(الموظفون_الاسم,MATCH($C147,الموظفون_الرقم,0)),"")</f>
        <v/>
      </c>
      <c r="E147" s="43">
        <f>IFERROR(INDEX(الموظفون_الإدارة,MATCH($C147,الموظفون_الرقم,0)),"")</f>
        <v/>
      </c>
      <c r="F147" s="43">
        <f>IFERROR(INDEX(الموظفون_القسم,MATCH($C147,الموظفون_الرقم,0)),"")</f>
        <v/>
      </c>
      <c r="G147" s="60">
        <f>IF($C147="","",IFERROR(INDEX(الموظفون_الاساسي,MATCH($C147,الموظفون_الرقم,0)),0))</f>
        <v/>
      </c>
      <c r="H147" s="42" t="n"/>
      <c r="I147" s="42" t="n"/>
      <c r="J147" s="42" t="n"/>
      <c r="K147" s="42" t="n"/>
      <c r="L147" s="42" t="n"/>
      <c r="M147" s="61" t="n"/>
      <c r="N147" s="42" t="n"/>
      <c r="O147" s="42" t="n"/>
      <c r="P147" s="42" t="n"/>
      <c r="Q147" s="42" t="n"/>
      <c r="R147" s="42" t="n"/>
      <c r="S147" s="60">
        <f>IF($C147="","",SUM($G147:$L147))</f>
        <v/>
      </c>
      <c r="T147" s="60">
        <f>IF($C147="","",SUM($N147:$R147))</f>
        <v/>
      </c>
      <c r="U147" s="60">
        <f>IF($C147="","",$S147-$T147)</f>
        <v/>
      </c>
      <c r="V147" s="40" t="n"/>
      <c r="W147" s="110" t="n"/>
      <c r="X147" s="40" t="n"/>
      <c r="Y147" s="43">
        <f>IF($C147="","",IF(SUMPRODUCT(($C$3:$C$502=$C147)*($A$3:$A$502=$A147)*($B$3:$B$502=$B147))&gt;1,"⚠ مكرر","سليم"))</f>
        <v/>
      </c>
      <c r="Z147">
        <f>IF(AND($C147&lt;&gt;"",$A147=تقرير_الشهر,$B147=تقرير_السنة),SUMPRODUCT(($C$3:$C$502&lt;&gt;"")*($A$3:$A$502=تقرير_الشهر)*($B$3:$B$502=تقرير_السنة)*(ROW($C$3:$C$502)&lt;=ROW())),"")</f>
        <v/>
      </c>
    </row>
    <row r="148">
      <c r="A148" s="47" t="n"/>
      <c r="B148" s="62" t="n"/>
      <c r="C148" s="47" t="n"/>
      <c r="D148" s="50">
        <f>IFERROR(INDEX(الموظفون_الاسم,MATCH($C148,الموظفون_الرقم,0)),"")</f>
        <v/>
      </c>
      <c r="E148" s="50">
        <f>IFERROR(INDEX(الموظفون_الإدارة,MATCH($C148,الموظفون_الرقم,0)),"")</f>
        <v/>
      </c>
      <c r="F148" s="50">
        <f>IFERROR(INDEX(الموظفون_القسم,MATCH($C148,الموظفون_الرقم,0)),"")</f>
        <v/>
      </c>
      <c r="G148" s="63">
        <f>IF($C148="","",IFERROR(INDEX(الموظفون_الاساسي,MATCH($C148,الموظفون_الرقم,0)),0))</f>
        <v/>
      </c>
      <c r="H148" s="49" t="n"/>
      <c r="I148" s="49" t="n"/>
      <c r="J148" s="49" t="n"/>
      <c r="K148" s="49" t="n"/>
      <c r="L148" s="49" t="n"/>
      <c r="M148" s="64" t="n"/>
      <c r="N148" s="49" t="n"/>
      <c r="O148" s="49" t="n"/>
      <c r="P148" s="49" t="n"/>
      <c r="Q148" s="49" t="n"/>
      <c r="R148" s="49" t="n"/>
      <c r="S148" s="63">
        <f>IF($C148="","",SUM($G148:$L148))</f>
        <v/>
      </c>
      <c r="T148" s="63">
        <f>IF($C148="","",SUM($N148:$R148))</f>
        <v/>
      </c>
      <c r="U148" s="63">
        <f>IF($C148="","",$S148-$T148)</f>
        <v/>
      </c>
      <c r="V148" s="47" t="n"/>
      <c r="W148" s="112" t="n"/>
      <c r="X148" s="47" t="n"/>
      <c r="Y148" s="50">
        <f>IF($C148="","",IF(SUMPRODUCT(($C$3:$C$502=$C148)*($A$3:$A$502=$A148)*($B$3:$B$502=$B148))&gt;1,"⚠ مكرر","سليم"))</f>
        <v/>
      </c>
      <c r="Z148">
        <f>IF(AND($C148&lt;&gt;"",$A148=تقرير_الشهر,$B148=تقرير_السنة),SUMPRODUCT(($C$3:$C$502&lt;&gt;"")*($A$3:$A$502=تقرير_الشهر)*($B$3:$B$502=تقرير_السنة)*(ROW($C$3:$C$502)&lt;=ROW())),"")</f>
        <v/>
      </c>
    </row>
    <row r="149">
      <c r="A149" s="40" t="n"/>
      <c r="B149" s="59" t="n"/>
      <c r="C149" s="40" t="n"/>
      <c r="D149" s="43">
        <f>IFERROR(INDEX(الموظفون_الاسم,MATCH($C149,الموظفون_الرقم,0)),"")</f>
        <v/>
      </c>
      <c r="E149" s="43">
        <f>IFERROR(INDEX(الموظفون_الإدارة,MATCH($C149,الموظفون_الرقم,0)),"")</f>
        <v/>
      </c>
      <c r="F149" s="43">
        <f>IFERROR(INDEX(الموظفون_القسم,MATCH($C149,الموظفون_الرقم,0)),"")</f>
        <v/>
      </c>
      <c r="G149" s="60">
        <f>IF($C149="","",IFERROR(INDEX(الموظفون_الاساسي,MATCH($C149,الموظفون_الرقم,0)),0))</f>
        <v/>
      </c>
      <c r="H149" s="42" t="n"/>
      <c r="I149" s="42" t="n"/>
      <c r="J149" s="42" t="n"/>
      <c r="K149" s="42" t="n"/>
      <c r="L149" s="42" t="n"/>
      <c r="M149" s="61" t="n"/>
      <c r="N149" s="42" t="n"/>
      <c r="O149" s="42" t="n"/>
      <c r="P149" s="42" t="n"/>
      <c r="Q149" s="42" t="n"/>
      <c r="R149" s="42" t="n"/>
      <c r="S149" s="60">
        <f>IF($C149="","",SUM($G149:$L149))</f>
        <v/>
      </c>
      <c r="T149" s="60">
        <f>IF($C149="","",SUM($N149:$R149))</f>
        <v/>
      </c>
      <c r="U149" s="60">
        <f>IF($C149="","",$S149-$T149)</f>
        <v/>
      </c>
      <c r="V149" s="40" t="n"/>
      <c r="W149" s="110" t="n"/>
      <c r="X149" s="40" t="n"/>
      <c r="Y149" s="43">
        <f>IF($C149="","",IF(SUMPRODUCT(($C$3:$C$502=$C149)*($A$3:$A$502=$A149)*($B$3:$B$502=$B149))&gt;1,"⚠ مكرر","سليم"))</f>
        <v/>
      </c>
      <c r="Z149">
        <f>IF(AND($C149&lt;&gt;"",$A149=تقرير_الشهر,$B149=تقرير_السنة),SUMPRODUCT(($C$3:$C$502&lt;&gt;"")*($A$3:$A$502=تقرير_الشهر)*($B$3:$B$502=تقرير_السنة)*(ROW($C$3:$C$502)&lt;=ROW())),"")</f>
        <v/>
      </c>
    </row>
    <row r="150">
      <c r="A150" s="47" t="n"/>
      <c r="B150" s="62" t="n"/>
      <c r="C150" s="47" t="n"/>
      <c r="D150" s="50">
        <f>IFERROR(INDEX(الموظفون_الاسم,MATCH($C150,الموظفون_الرقم,0)),"")</f>
        <v/>
      </c>
      <c r="E150" s="50">
        <f>IFERROR(INDEX(الموظفون_الإدارة,MATCH($C150,الموظفون_الرقم,0)),"")</f>
        <v/>
      </c>
      <c r="F150" s="50">
        <f>IFERROR(INDEX(الموظفون_القسم,MATCH($C150,الموظفون_الرقم,0)),"")</f>
        <v/>
      </c>
      <c r="G150" s="63">
        <f>IF($C150="","",IFERROR(INDEX(الموظفون_الاساسي,MATCH($C150,الموظفون_الرقم,0)),0))</f>
        <v/>
      </c>
      <c r="H150" s="49" t="n"/>
      <c r="I150" s="49" t="n"/>
      <c r="J150" s="49" t="n"/>
      <c r="K150" s="49" t="n"/>
      <c r="L150" s="49" t="n"/>
      <c r="M150" s="64" t="n"/>
      <c r="N150" s="49" t="n"/>
      <c r="O150" s="49" t="n"/>
      <c r="P150" s="49" t="n"/>
      <c r="Q150" s="49" t="n"/>
      <c r="R150" s="49" t="n"/>
      <c r="S150" s="63">
        <f>IF($C150="","",SUM($G150:$L150))</f>
        <v/>
      </c>
      <c r="T150" s="63">
        <f>IF($C150="","",SUM($N150:$R150))</f>
        <v/>
      </c>
      <c r="U150" s="63">
        <f>IF($C150="","",$S150-$T150)</f>
        <v/>
      </c>
      <c r="V150" s="47" t="n"/>
      <c r="W150" s="112" t="n"/>
      <c r="X150" s="47" t="n"/>
      <c r="Y150" s="50">
        <f>IF($C150="","",IF(SUMPRODUCT(($C$3:$C$502=$C150)*($A$3:$A$502=$A150)*($B$3:$B$502=$B150))&gt;1,"⚠ مكرر","سليم"))</f>
        <v/>
      </c>
      <c r="Z150">
        <f>IF(AND($C150&lt;&gt;"",$A150=تقرير_الشهر,$B150=تقرير_السنة),SUMPRODUCT(($C$3:$C$502&lt;&gt;"")*($A$3:$A$502=تقرير_الشهر)*($B$3:$B$502=تقرير_السنة)*(ROW($C$3:$C$502)&lt;=ROW())),"")</f>
        <v/>
      </c>
    </row>
    <row r="151">
      <c r="A151" s="40" t="n"/>
      <c r="B151" s="59" t="n"/>
      <c r="C151" s="40" t="n"/>
      <c r="D151" s="43">
        <f>IFERROR(INDEX(الموظفون_الاسم,MATCH($C151,الموظفون_الرقم,0)),"")</f>
        <v/>
      </c>
      <c r="E151" s="43">
        <f>IFERROR(INDEX(الموظفون_الإدارة,MATCH($C151,الموظفون_الرقم,0)),"")</f>
        <v/>
      </c>
      <c r="F151" s="43">
        <f>IFERROR(INDEX(الموظفون_القسم,MATCH($C151,الموظفون_الرقم,0)),"")</f>
        <v/>
      </c>
      <c r="G151" s="60">
        <f>IF($C151="","",IFERROR(INDEX(الموظفون_الاساسي,MATCH($C151,الموظفون_الرقم,0)),0))</f>
        <v/>
      </c>
      <c r="H151" s="42" t="n"/>
      <c r="I151" s="42" t="n"/>
      <c r="J151" s="42" t="n"/>
      <c r="K151" s="42" t="n"/>
      <c r="L151" s="42" t="n"/>
      <c r="M151" s="61" t="n"/>
      <c r="N151" s="42" t="n"/>
      <c r="O151" s="42" t="n"/>
      <c r="P151" s="42" t="n"/>
      <c r="Q151" s="42" t="n"/>
      <c r="R151" s="42" t="n"/>
      <c r="S151" s="60">
        <f>IF($C151="","",SUM($G151:$L151))</f>
        <v/>
      </c>
      <c r="T151" s="60">
        <f>IF($C151="","",SUM($N151:$R151))</f>
        <v/>
      </c>
      <c r="U151" s="60">
        <f>IF($C151="","",$S151-$T151)</f>
        <v/>
      </c>
      <c r="V151" s="40" t="n"/>
      <c r="W151" s="110" t="n"/>
      <c r="X151" s="40" t="n"/>
      <c r="Y151" s="43">
        <f>IF($C151="","",IF(SUMPRODUCT(($C$3:$C$502=$C151)*($A$3:$A$502=$A151)*($B$3:$B$502=$B151))&gt;1,"⚠ مكرر","سليم"))</f>
        <v/>
      </c>
      <c r="Z151">
        <f>IF(AND($C151&lt;&gt;"",$A151=تقرير_الشهر,$B151=تقرير_السنة),SUMPRODUCT(($C$3:$C$502&lt;&gt;"")*($A$3:$A$502=تقرير_الشهر)*($B$3:$B$502=تقرير_السنة)*(ROW($C$3:$C$502)&lt;=ROW())),"")</f>
        <v/>
      </c>
    </row>
    <row r="152">
      <c r="A152" s="47" t="n"/>
      <c r="B152" s="62" t="n"/>
      <c r="C152" s="47" t="n"/>
      <c r="D152" s="50">
        <f>IFERROR(INDEX(الموظفون_الاسم,MATCH($C152,الموظفون_الرقم,0)),"")</f>
        <v/>
      </c>
      <c r="E152" s="50">
        <f>IFERROR(INDEX(الموظفون_الإدارة,MATCH($C152,الموظفون_الرقم,0)),"")</f>
        <v/>
      </c>
      <c r="F152" s="50">
        <f>IFERROR(INDEX(الموظفون_القسم,MATCH($C152,الموظفون_الرقم,0)),"")</f>
        <v/>
      </c>
      <c r="G152" s="63">
        <f>IF($C152="","",IFERROR(INDEX(الموظفون_الاساسي,MATCH($C152,الموظفون_الرقم,0)),0))</f>
        <v/>
      </c>
      <c r="H152" s="49" t="n"/>
      <c r="I152" s="49" t="n"/>
      <c r="J152" s="49" t="n"/>
      <c r="K152" s="49" t="n"/>
      <c r="L152" s="49" t="n"/>
      <c r="M152" s="64" t="n"/>
      <c r="N152" s="49" t="n"/>
      <c r="O152" s="49" t="n"/>
      <c r="P152" s="49" t="n"/>
      <c r="Q152" s="49" t="n"/>
      <c r="R152" s="49" t="n"/>
      <c r="S152" s="63">
        <f>IF($C152="","",SUM($G152:$L152))</f>
        <v/>
      </c>
      <c r="T152" s="63">
        <f>IF($C152="","",SUM($N152:$R152))</f>
        <v/>
      </c>
      <c r="U152" s="63">
        <f>IF($C152="","",$S152-$T152)</f>
        <v/>
      </c>
      <c r="V152" s="47" t="n"/>
      <c r="W152" s="112" t="n"/>
      <c r="X152" s="47" t="n"/>
      <c r="Y152" s="50">
        <f>IF($C152="","",IF(SUMPRODUCT(($C$3:$C$502=$C152)*($A$3:$A$502=$A152)*($B$3:$B$502=$B152))&gt;1,"⚠ مكرر","سليم"))</f>
        <v/>
      </c>
      <c r="Z152">
        <f>IF(AND($C152&lt;&gt;"",$A152=تقرير_الشهر,$B152=تقرير_السنة),SUMPRODUCT(($C$3:$C$502&lt;&gt;"")*($A$3:$A$502=تقرير_الشهر)*($B$3:$B$502=تقرير_السنة)*(ROW($C$3:$C$502)&lt;=ROW())),"")</f>
        <v/>
      </c>
    </row>
    <row r="153">
      <c r="A153" s="40" t="n"/>
      <c r="B153" s="59" t="n"/>
      <c r="C153" s="40" t="n"/>
      <c r="D153" s="43">
        <f>IFERROR(INDEX(الموظفون_الاسم,MATCH($C153,الموظفون_الرقم,0)),"")</f>
        <v/>
      </c>
      <c r="E153" s="43">
        <f>IFERROR(INDEX(الموظفون_الإدارة,MATCH($C153,الموظفون_الرقم,0)),"")</f>
        <v/>
      </c>
      <c r="F153" s="43">
        <f>IFERROR(INDEX(الموظفون_القسم,MATCH($C153,الموظفون_الرقم,0)),"")</f>
        <v/>
      </c>
      <c r="G153" s="60">
        <f>IF($C153="","",IFERROR(INDEX(الموظفون_الاساسي,MATCH($C153,الموظفون_الرقم,0)),0))</f>
        <v/>
      </c>
      <c r="H153" s="42" t="n"/>
      <c r="I153" s="42" t="n"/>
      <c r="J153" s="42" t="n"/>
      <c r="K153" s="42" t="n"/>
      <c r="L153" s="42" t="n"/>
      <c r="M153" s="61" t="n"/>
      <c r="N153" s="42" t="n"/>
      <c r="O153" s="42" t="n"/>
      <c r="P153" s="42" t="n"/>
      <c r="Q153" s="42" t="n"/>
      <c r="R153" s="42" t="n"/>
      <c r="S153" s="60">
        <f>IF($C153="","",SUM($G153:$L153))</f>
        <v/>
      </c>
      <c r="T153" s="60">
        <f>IF($C153="","",SUM($N153:$R153))</f>
        <v/>
      </c>
      <c r="U153" s="60">
        <f>IF($C153="","",$S153-$T153)</f>
        <v/>
      </c>
      <c r="V153" s="40" t="n"/>
      <c r="W153" s="110" t="n"/>
      <c r="X153" s="40" t="n"/>
      <c r="Y153" s="43">
        <f>IF($C153="","",IF(SUMPRODUCT(($C$3:$C$502=$C153)*($A$3:$A$502=$A153)*($B$3:$B$502=$B153))&gt;1,"⚠ مكرر","سليم"))</f>
        <v/>
      </c>
      <c r="Z153">
        <f>IF(AND($C153&lt;&gt;"",$A153=تقرير_الشهر,$B153=تقرير_السنة),SUMPRODUCT(($C$3:$C$502&lt;&gt;"")*($A$3:$A$502=تقرير_الشهر)*($B$3:$B$502=تقرير_السنة)*(ROW($C$3:$C$502)&lt;=ROW())),"")</f>
        <v/>
      </c>
    </row>
    <row r="154">
      <c r="A154" s="47" t="n"/>
      <c r="B154" s="62" t="n"/>
      <c r="C154" s="47" t="n"/>
      <c r="D154" s="50">
        <f>IFERROR(INDEX(الموظفون_الاسم,MATCH($C154,الموظفون_الرقم,0)),"")</f>
        <v/>
      </c>
      <c r="E154" s="50">
        <f>IFERROR(INDEX(الموظفون_الإدارة,MATCH($C154,الموظفون_الرقم,0)),"")</f>
        <v/>
      </c>
      <c r="F154" s="50">
        <f>IFERROR(INDEX(الموظفون_القسم,MATCH($C154,الموظفون_الرقم,0)),"")</f>
        <v/>
      </c>
      <c r="G154" s="63">
        <f>IF($C154="","",IFERROR(INDEX(الموظفون_الاساسي,MATCH($C154,الموظفون_الرقم,0)),0))</f>
        <v/>
      </c>
      <c r="H154" s="49" t="n"/>
      <c r="I154" s="49" t="n"/>
      <c r="J154" s="49" t="n"/>
      <c r="K154" s="49" t="n"/>
      <c r="L154" s="49" t="n"/>
      <c r="M154" s="64" t="n"/>
      <c r="N154" s="49" t="n"/>
      <c r="O154" s="49" t="n"/>
      <c r="P154" s="49" t="n"/>
      <c r="Q154" s="49" t="n"/>
      <c r="R154" s="49" t="n"/>
      <c r="S154" s="63">
        <f>IF($C154="","",SUM($G154:$L154))</f>
        <v/>
      </c>
      <c r="T154" s="63">
        <f>IF($C154="","",SUM($N154:$R154))</f>
        <v/>
      </c>
      <c r="U154" s="63">
        <f>IF($C154="","",$S154-$T154)</f>
        <v/>
      </c>
      <c r="V154" s="47" t="n"/>
      <c r="W154" s="112" t="n"/>
      <c r="X154" s="47" t="n"/>
      <c r="Y154" s="50">
        <f>IF($C154="","",IF(SUMPRODUCT(($C$3:$C$502=$C154)*($A$3:$A$502=$A154)*($B$3:$B$502=$B154))&gt;1,"⚠ مكرر","سليم"))</f>
        <v/>
      </c>
      <c r="Z154">
        <f>IF(AND($C154&lt;&gt;"",$A154=تقرير_الشهر,$B154=تقرير_السنة),SUMPRODUCT(($C$3:$C$502&lt;&gt;"")*($A$3:$A$502=تقرير_الشهر)*($B$3:$B$502=تقرير_السنة)*(ROW($C$3:$C$502)&lt;=ROW())),"")</f>
        <v/>
      </c>
    </row>
    <row r="155">
      <c r="A155" s="40" t="n"/>
      <c r="B155" s="59" t="n"/>
      <c r="C155" s="40" t="n"/>
      <c r="D155" s="43">
        <f>IFERROR(INDEX(الموظفون_الاسم,MATCH($C155,الموظفون_الرقم,0)),"")</f>
        <v/>
      </c>
      <c r="E155" s="43">
        <f>IFERROR(INDEX(الموظفون_الإدارة,MATCH($C155,الموظفون_الرقم,0)),"")</f>
        <v/>
      </c>
      <c r="F155" s="43">
        <f>IFERROR(INDEX(الموظفون_القسم,MATCH($C155,الموظفون_الرقم,0)),"")</f>
        <v/>
      </c>
      <c r="G155" s="60">
        <f>IF($C155="","",IFERROR(INDEX(الموظفون_الاساسي,MATCH($C155,الموظفون_الرقم,0)),0))</f>
        <v/>
      </c>
      <c r="H155" s="42" t="n"/>
      <c r="I155" s="42" t="n"/>
      <c r="J155" s="42" t="n"/>
      <c r="K155" s="42" t="n"/>
      <c r="L155" s="42" t="n"/>
      <c r="M155" s="61" t="n"/>
      <c r="N155" s="42" t="n"/>
      <c r="O155" s="42" t="n"/>
      <c r="P155" s="42" t="n"/>
      <c r="Q155" s="42" t="n"/>
      <c r="R155" s="42" t="n"/>
      <c r="S155" s="60">
        <f>IF($C155="","",SUM($G155:$L155))</f>
        <v/>
      </c>
      <c r="T155" s="60">
        <f>IF($C155="","",SUM($N155:$R155))</f>
        <v/>
      </c>
      <c r="U155" s="60">
        <f>IF($C155="","",$S155-$T155)</f>
        <v/>
      </c>
      <c r="V155" s="40" t="n"/>
      <c r="W155" s="110" t="n"/>
      <c r="X155" s="40" t="n"/>
      <c r="Y155" s="43">
        <f>IF($C155="","",IF(SUMPRODUCT(($C$3:$C$502=$C155)*($A$3:$A$502=$A155)*($B$3:$B$502=$B155))&gt;1,"⚠ مكرر","سليم"))</f>
        <v/>
      </c>
      <c r="Z155">
        <f>IF(AND($C155&lt;&gt;"",$A155=تقرير_الشهر,$B155=تقرير_السنة),SUMPRODUCT(($C$3:$C$502&lt;&gt;"")*($A$3:$A$502=تقرير_الشهر)*($B$3:$B$502=تقرير_السنة)*(ROW($C$3:$C$502)&lt;=ROW())),"")</f>
        <v/>
      </c>
    </row>
    <row r="156">
      <c r="A156" s="47" t="n"/>
      <c r="B156" s="62" t="n"/>
      <c r="C156" s="47" t="n"/>
      <c r="D156" s="50">
        <f>IFERROR(INDEX(الموظفون_الاسم,MATCH($C156,الموظفون_الرقم,0)),"")</f>
        <v/>
      </c>
      <c r="E156" s="50">
        <f>IFERROR(INDEX(الموظفون_الإدارة,MATCH($C156,الموظفون_الرقم,0)),"")</f>
        <v/>
      </c>
      <c r="F156" s="50">
        <f>IFERROR(INDEX(الموظفون_القسم,MATCH($C156,الموظفون_الرقم,0)),"")</f>
        <v/>
      </c>
      <c r="G156" s="63">
        <f>IF($C156="","",IFERROR(INDEX(الموظفون_الاساسي,MATCH($C156,الموظفون_الرقم,0)),0))</f>
        <v/>
      </c>
      <c r="H156" s="49" t="n"/>
      <c r="I156" s="49" t="n"/>
      <c r="J156" s="49" t="n"/>
      <c r="K156" s="49" t="n"/>
      <c r="L156" s="49" t="n"/>
      <c r="M156" s="64" t="n"/>
      <c r="N156" s="49" t="n"/>
      <c r="O156" s="49" t="n"/>
      <c r="P156" s="49" t="n"/>
      <c r="Q156" s="49" t="n"/>
      <c r="R156" s="49" t="n"/>
      <c r="S156" s="63">
        <f>IF($C156="","",SUM($G156:$L156))</f>
        <v/>
      </c>
      <c r="T156" s="63">
        <f>IF($C156="","",SUM($N156:$R156))</f>
        <v/>
      </c>
      <c r="U156" s="63">
        <f>IF($C156="","",$S156-$T156)</f>
        <v/>
      </c>
      <c r="V156" s="47" t="n"/>
      <c r="W156" s="112" t="n"/>
      <c r="X156" s="47" t="n"/>
      <c r="Y156" s="50">
        <f>IF($C156="","",IF(SUMPRODUCT(($C$3:$C$502=$C156)*($A$3:$A$502=$A156)*($B$3:$B$502=$B156))&gt;1,"⚠ مكرر","سليم"))</f>
        <v/>
      </c>
      <c r="Z156">
        <f>IF(AND($C156&lt;&gt;"",$A156=تقرير_الشهر,$B156=تقرير_السنة),SUMPRODUCT(($C$3:$C$502&lt;&gt;"")*($A$3:$A$502=تقرير_الشهر)*($B$3:$B$502=تقرير_السنة)*(ROW($C$3:$C$502)&lt;=ROW())),"")</f>
        <v/>
      </c>
    </row>
    <row r="157">
      <c r="A157" s="40" t="n"/>
      <c r="B157" s="59" t="n"/>
      <c r="C157" s="40" t="n"/>
      <c r="D157" s="43">
        <f>IFERROR(INDEX(الموظفون_الاسم,MATCH($C157,الموظفون_الرقم,0)),"")</f>
        <v/>
      </c>
      <c r="E157" s="43">
        <f>IFERROR(INDEX(الموظفون_الإدارة,MATCH($C157,الموظفون_الرقم,0)),"")</f>
        <v/>
      </c>
      <c r="F157" s="43">
        <f>IFERROR(INDEX(الموظفون_القسم,MATCH($C157,الموظفون_الرقم,0)),"")</f>
        <v/>
      </c>
      <c r="G157" s="60">
        <f>IF($C157="","",IFERROR(INDEX(الموظفون_الاساسي,MATCH($C157,الموظفون_الرقم,0)),0))</f>
        <v/>
      </c>
      <c r="H157" s="42" t="n"/>
      <c r="I157" s="42" t="n"/>
      <c r="J157" s="42" t="n"/>
      <c r="K157" s="42" t="n"/>
      <c r="L157" s="42" t="n"/>
      <c r="M157" s="61" t="n"/>
      <c r="N157" s="42" t="n"/>
      <c r="O157" s="42" t="n"/>
      <c r="P157" s="42" t="n"/>
      <c r="Q157" s="42" t="n"/>
      <c r="R157" s="42" t="n"/>
      <c r="S157" s="60">
        <f>IF($C157="","",SUM($G157:$L157))</f>
        <v/>
      </c>
      <c r="T157" s="60">
        <f>IF($C157="","",SUM($N157:$R157))</f>
        <v/>
      </c>
      <c r="U157" s="60">
        <f>IF($C157="","",$S157-$T157)</f>
        <v/>
      </c>
      <c r="V157" s="40" t="n"/>
      <c r="W157" s="110" t="n"/>
      <c r="X157" s="40" t="n"/>
      <c r="Y157" s="43">
        <f>IF($C157="","",IF(SUMPRODUCT(($C$3:$C$502=$C157)*($A$3:$A$502=$A157)*($B$3:$B$502=$B157))&gt;1,"⚠ مكرر","سليم"))</f>
        <v/>
      </c>
      <c r="Z157">
        <f>IF(AND($C157&lt;&gt;"",$A157=تقرير_الشهر,$B157=تقرير_السنة),SUMPRODUCT(($C$3:$C$502&lt;&gt;"")*($A$3:$A$502=تقرير_الشهر)*($B$3:$B$502=تقرير_السنة)*(ROW($C$3:$C$502)&lt;=ROW())),"")</f>
        <v/>
      </c>
    </row>
    <row r="158">
      <c r="A158" s="47" t="n"/>
      <c r="B158" s="62" t="n"/>
      <c r="C158" s="47" t="n"/>
      <c r="D158" s="50">
        <f>IFERROR(INDEX(الموظفون_الاسم,MATCH($C158,الموظفون_الرقم,0)),"")</f>
        <v/>
      </c>
      <c r="E158" s="50">
        <f>IFERROR(INDEX(الموظفون_الإدارة,MATCH($C158,الموظفون_الرقم,0)),"")</f>
        <v/>
      </c>
      <c r="F158" s="50">
        <f>IFERROR(INDEX(الموظفون_القسم,MATCH($C158,الموظفون_الرقم,0)),"")</f>
        <v/>
      </c>
      <c r="G158" s="63">
        <f>IF($C158="","",IFERROR(INDEX(الموظفون_الاساسي,MATCH($C158,الموظفون_الرقم,0)),0))</f>
        <v/>
      </c>
      <c r="H158" s="49" t="n"/>
      <c r="I158" s="49" t="n"/>
      <c r="J158" s="49" t="n"/>
      <c r="K158" s="49" t="n"/>
      <c r="L158" s="49" t="n"/>
      <c r="M158" s="64" t="n"/>
      <c r="N158" s="49" t="n"/>
      <c r="O158" s="49" t="n"/>
      <c r="P158" s="49" t="n"/>
      <c r="Q158" s="49" t="n"/>
      <c r="R158" s="49" t="n"/>
      <c r="S158" s="63">
        <f>IF($C158="","",SUM($G158:$L158))</f>
        <v/>
      </c>
      <c r="T158" s="63">
        <f>IF($C158="","",SUM($N158:$R158))</f>
        <v/>
      </c>
      <c r="U158" s="63">
        <f>IF($C158="","",$S158-$T158)</f>
        <v/>
      </c>
      <c r="V158" s="47" t="n"/>
      <c r="W158" s="112" t="n"/>
      <c r="X158" s="47" t="n"/>
      <c r="Y158" s="50">
        <f>IF($C158="","",IF(SUMPRODUCT(($C$3:$C$502=$C158)*($A$3:$A$502=$A158)*($B$3:$B$502=$B158))&gt;1,"⚠ مكرر","سليم"))</f>
        <v/>
      </c>
      <c r="Z158">
        <f>IF(AND($C158&lt;&gt;"",$A158=تقرير_الشهر,$B158=تقرير_السنة),SUMPRODUCT(($C$3:$C$502&lt;&gt;"")*($A$3:$A$502=تقرير_الشهر)*($B$3:$B$502=تقرير_السنة)*(ROW($C$3:$C$502)&lt;=ROW())),"")</f>
        <v/>
      </c>
    </row>
    <row r="159">
      <c r="A159" s="40" t="n"/>
      <c r="B159" s="59" t="n"/>
      <c r="C159" s="40" t="n"/>
      <c r="D159" s="43">
        <f>IFERROR(INDEX(الموظفون_الاسم,MATCH($C159,الموظفون_الرقم,0)),"")</f>
        <v/>
      </c>
      <c r="E159" s="43">
        <f>IFERROR(INDEX(الموظفون_الإدارة,MATCH($C159,الموظفون_الرقم,0)),"")</f>
        <v/>
      </c>
      <c r="F159" s="43">
        <f>IFERROR(INDEX(الموظفون_القسم,MATCH($C159,الموظفون_الرقم,0)),"")</f>
        <v/>
      </c>
      <c r="G159" s="60">
        <f>IF($C159="","",IFERROR(INDEX(الموظفون_الاساسي,MATCH($C159,الموظفون_الرقم,0)),0))</f>
        <v/>
      </c>
      <c r="H159" s="42" t="n"/>
      <c r="I159" s="42" t="n"/>
      <c r="J159" s="42" t="n"/>
      <c r="K159" s="42" t="n"/>
      <c r="L159" s="42" t="n"/>
      <c r="M159" s="61" t="n"/>
      <c r="N159" s="42" t="n"/>
      <c r="O159" s="42" t="n"/>
      <c r="P159" s="42" t="n"/>
      <c r="Q159" s="42" t="n"/>
      <c r="R159" s="42" t="n"/>
      <c r="S159" s="60">
        <f>IF($C159="","",SUM($G159:$L159))</f>
        <v/>
      </c>
      <c r="T159" s="60">
        <f>IF($C159="","",SUM($N159:$R159))</f>
        <v/>
      </c>
      <c r="U159" s="60">
        <f>IF($C159="","",$S159-$T159)</f>
        <v/>
      </c>
      <c r="V159" s="40" t="n"/>
      <c r="W159" s="110" t="n"/>
      <c r="X159" s="40" t="n"/>
      <c r="Y159" s="43">
        <f>IF($C159="","",IF(SUMPRODUCT(($C$3:$C$502=$C159)*($A$3:$A$502=$A159)*($B$3:$B$502=$B159))&gt;1,"⚠ مكرر","سليم"))</f>
        <v/>
      </c>
      <c r="Z159">
        <f>IF(AND($C159&lt;&gt;"",$A159=تقرير_الشهر,$B159=تقرير_السنة),SUMPRODUCT(($C$3:$C$502&lt;&gt;"")*($A$3:$A$502=تقرير_الشهر)*($B$3:$B$502=تقرير_السنة)*(ROW($C$3:$C$502)&lt;=ROW())),"")</f>
        <v/>
      </c>
    </row>
    <row r="160">
      <c r="A160" s="47" t="n"/>
      <c r="B160" s="62" t="n"/>
      <c r="C160" s="47" t="n"/>
      <c r="D160" s="50">
        <f>IFERROR(INDEX(الموظفون_الاسم,MATCH($C160,الموظفون_الرقم,0)),"")</f>
        <v/>
      </c>
      <c r="E160" s="50">
        <f>IFERROR(INDEX(الموظفون_الإدارة,MATCH($C160,الموظفون_الرقم,0)),"")</f>
        <v/>
      </c>
      <c r="F160" s="50">
        <f>IFERROR(INDEX(الموظفون_القسم,MATCH($C160,الموظفون_الرقم,0)),"")</f>
        <v/>
      </c>
      <c r="G160" s="63">
        <f>IF($C160="","",IFERROR(INDEX(الموظفون_الاساسي,MATCH($C160,الموظفون_الرقم,0)),0))</f>
        <v/>
      </c>
      <c r="H160" s="49" t="n"/>
      <c r="I160" s="49" t="n"/>
      <c r="J160" s="49" t="n"/>
      <c r="K160" s="49" t="n"/>
      <c r="L160" s="49" t="n"/>
      <c r="M160" s="64" t="n"/>
      <c r="N160" s="49" t="n"/>
      <c r="O160" s="49" t="n"/>
      <c r="P160" s="49" t="n"/>
      <c r="Q160" s="49" t="n"/>
      <c r="R160" s="49" t="n"/>
      <c r="S160" s="63">
        <f>IF($C160="","",SUM($G160:$L160))</f>
        <v/>
      </c>
      <c r="T160" s="63">
        <f>IF($C160="","",SUM($N160:$R160))</f>
        <v/>
      </c>
      <c r="U160" s="63">
        <f>IF($C160="","",$S160-$T160)</f>
        <v/>
      </c>
      <c r="V160" s="47" t="n"/>
      <c r="W160" s="112" t="n"/>
      <c r="X160" s="47" t="n"/>
      <c r="Y160" s="50">
        <f>IF($C160="","",IF(SUMPRODUCT(($C$3:$C$502=$C160)*($A$3:$A$502=$A160)*($B$3:$B$502=$B160))&gt;1,"⚠ مكرر","سليم"))</f>
        <v/>
      </c>
      <c r="Z160">
        <f>IF(AND($C160&lt;&gt;"",$A160=تقرير_الشهر,$B160=تقرير_السنة),SUMPRODUCT(($C$3:$C$502&lt;&gt;"")*($A$3:$A$502=تقرير_الشهر)*($B$3:$B$502=تقرير_السنة)*(ROW($C$3:$C$502)&lt;=ROW())),"")</f>
        <v/>
      </c>
    </row>
    <row r="161">
      <c r="A161" s="40" t="n"/>
      <c r="B161" s="59" t="n"/>
      <c r="C161" s="40" t="n"/>
      <c r="D161" s="43">
        <f>IFERROR(INDEX(الموظفون_الاسم,MATCH($C161,الموظفون_الرقم,0)),"")</f>
        <v/>
      </c>
      <c r="E161" s="43">
        <f>IFERROR(INDEX(الموظفون_الإدارة,MATCH($C161,الموظفون_الرقم,0)),"")</f>
        <v/>
      </c>
      <c r="F161" s="43">
        <f>IFERROR(INDEX(الموظفون_القسم,MATCH($C161,الموظفون_الرقم,0)),"")</f>
        <v/>
      </c>
      <c r="G161" s="60">
        <f>IF($C161="","",IFERROR(INDEX(الموظفون_الاساسي,MATCH($C161,الموظفون_الرقم,0)),0))</f>
        <v/>
      </c>
      <c r="H161" s="42" t="n"/>
      <c r="I161" s="42" t="n"/>
      <c r="J161" s="42" t="n"/>
      <c r="K161" s="42" t="n"/>
      <c r="L161" s="42" t="n"/>
      <c r="M161" s="61" t="n"/>
      <c r="N161" s="42" t="n"/>
      <c r="O161" s="42" t="n"/>
      <c r="P161" s="42" t="n"/>
      <c r="Q161" s="42" t="n"/>
      <c r="R161" s="42" t="n"/>
      <c r="S161" s="60">
        <f>IF($C161="","",SUM($G161:$L161))</f>
        <v/>
      </c>
      <c r="T161" s="60">
        <f>IF($C161="","",SUM($N161:$R161))</f>
        <v/>
      </c>
      <c r="U161" s="60">
        <f>IF($C161="","",$S161-$T161)</f>
        <v/>
      </c>
      <c r="V161" s="40" t="n"/>
      <c r="W161" s="110" t="n"/>
      <c r="X161" s="40" t="n"/>
      <c r="Y161" s="43">
        <f>IF($C161="","",IF(SUMPRODUCT(($C$3:$C$502=$C161)*($A$3:$A$502=$A161)*($B$3:$B$502=$B161))&gt;1,"⚠ مكرر","سليم"))</f>
        <v/>
      </c>
      <c r="Z161">
        <f>IF(AND($C161&lt;&gt;"",$A161=تقرير_الشهر,$B161=تقرير_السنة),SUMPRODUCT(($C$3:$C$502&lt;&gt;"")*($A$3:$A$502=تقرير_الشهر)*($B$3:$B$502=تقرير_السنة)*(ROW($C$3:$C$502)&lt;=ROW())),"")</f>
        <v/>
      </c>
    </row>
    <row r="162">
      <c r="A162" s="47" t="n"/>
      <c r="B162" s="62" t="n"/>
      <c r="C162" s="47" t="n"/>
      <c r="D162" s="50">
        <f>IFERROR(INDEX(الموظفون_الاسم,MATCH($C162,الموظفون_الرقم,0)),"")</f>
        <v/>
      </c>
      <c r="E162" s="50">
        <f>IFERROR(INDEX(الموظفون_الإدارة,MATCH($C162,الموظفون_الرقم,0)),"")</f>
        <v/>
      </c>
      <c r="F162" s="50">
        <f>IFERROR(INDEX(الموظفون_القسم,MATCH($C162,الموظفون_الرقم,0)),"")</f>
        <v/>
      </c>
      <c r="G162" s="63">
        <f>IF($C162="","",IFERROR(INDEX(الموظفون_الاساسي,MATCH($C162,الموظفون_الرقم,0)),0))</f>
        <v/>
      </c>
      <c r="H162" s="49" t="n"/>
      <c r="I162" s="49" t="n"/>
      <c r="J162" s="49" t="n"/>
      <c r="K162" s="49" t="n"/>
      <c r="L162" s="49" t="n"/>
      <c r="M162" s="64" t="n"/>
      <c r="N162" s="49" t="n"/>
      <c r="O162" s="49" t="n"/>
      <c r="P162" s="49" t="n"/>
      <c r="Q162" s="49" t="n"/>
      <c r="R162" s="49" t="n"/>
      <c r="S162" s="63">
        <f>IF($C162="","",SUM($G162:$L162))</f>
        <v/>
      </c>
      <c r="T162" s="63">
        <f>IF($C162="","",SUM($N162:$R162))</f>
        <v/>
      </c>
      <c r="U162" s="63">
        <f>IF($C162="","",$S162-$T162)</f>
        <v/>
      </c>
      <c r="V162" s="47" t="n"/>
      <c r="W162" s="112" t="n"/>
      <c r="X162" s="47" t="n"/>
      <c r="Y162" s="50">
        <f>IF($C162="","",IF(SUMPRODUCT(($C$3:$C$502=$C162)*($A$3:$A$502=$A162)*($B$3:$B$502=$B162))&gt;1,"⚠ مكرر","سليم"))</f>
        <v/>
      </c>
      <c r="Z162">
        <f>IF(AND($C162&lt;&gt;"",$A162=تقرير_الشهر,$B162=تقرير_السنة),SUMPRODUCT(($C$3:$C$502&lt;&gt;"")*($A$3:$A$502=تقرير_الشهر)*($B$3:$B$502=تقرير_السنة)*(ROW($C$3:$C$502)&lt;=ROW())),"")</f>
        <v/>
      </c>
    </row>
    <row r="163">
      <c r="A163" s="40" t="n"/>
      <c r="B163" s="59" t="n"/>
      <c r="C163" s="40" t="n"/>
      <c r="D163" s="43">
        <f>IFERROR(INDEX(الموظفون_الاسم,MATCH($C163,الموظفون_الرقم,0)),"")</f>
        <v/>
      </c>
      <c r="E163" s="43">
        <f>IFERROR(INDEX(الموظفون_الإدارة,MATCH($C163,الموظفون_الرقم,0)),"")</f>
        <v/>
      </c>
      <c r="F163" s="43">
        <f>IFERROR(INDEX(الموظفون_القسم,MATCH($C163,الموظفون_الرقم,0)),"")</f>
        <v/>
      </c>
      <c r="G163" s="60">
        <f>IF($C163="","",IFERROR(INDEX(الموظفون_الاساسي,MATCH($C163,الموظفون_الرقم,0)),0))</f>
        <v/>
      </c>
      <c r="H163" s="42" t="n"/>
      <c r="I163" s="42" t="n"/>
      <c r="J163" s="42" t="n"/>
      <c r="K163" s="42" t="n"/>
      <c r="L163" s="42" t="n"/>
      <c r="M163" s="61" t="n"/>
      <c r="N163" s="42" t="n"/>
      <c r="O163" s="42" t="n"/>
      <c r="P163" s="42" t="n"/>
      <c r="Q163" s="42" t="n"/>
      <c r="R163" s="42" t="n"/>
      <c r="S163" s="60">
        <f>IF($C163="","",SUM($G163:$L163))</f>
        <v/>
      </c>
      <c r="T163" s="60">
        <f>IF($C163="","",SUM($N163:$R163))</f>
        <v/>
      </c>
      <c r="U163" s="60">
        <f>IF($C163="","",$S163-$T163)</f>
        <v/>
      </c>
      <c r="V163" s="40" t="n"/>
      <c r="W163" s="110" t="n"/>
      <c r="X163" s="40" t="n"/>
      <c r="Y163" s="43">
        <f>IF($C163="","",IF(SUMPRODUCT(($C$3:$C$502=$C163)*($A$3:$A$502=$A163)*($B$3:$B$502=$B163))&gt;1,"⚠ مكرر","سليم"))</f>
        <v/>
      </c>
      <c r="Z163">
        <f>IF(AND($C163&lt;&gt;"",$A163=تقرير_الشهر,$B163=تقرير_السنة),SUMPRODUCT(($C$3:$C$502&lt;&gt;"")*($A$3:$A$502=تقرير_الشهر)*($B$3:$B$502=تقرير_السنة)*(ROW($C$3:$C$502)&lt;=ROW())),"")</f>
        <v/>
      </c>
    </row>
    <row r="164">
      <c r="A164" s="47" t="n"/>
      <c r="B164" s="62" t="n"/>
      <c r="C164" s="47" t="n"/>
      <c r="D164" s="50">
        <f>IFERROR(INDEX(الموظفون_الاسم,MATCH($C164,الموظفون_الرقم,0)),"")</f>
        <v/>
      </c>
      <c r="E164" s="50">
        <f>IFERROR(INDEX(الموظفون_الإدارة,MATCH($C164,الموظفون_الرقم,0)),"")</f>
        <v/>
      </c>
      <c r="F164" s="50">
        <f>IFERROR(INDEX(الموظفون_القسم,MATCH($C164,الموظفون_الرقم,0)),"")</f>
        <v/>
      </c>
      <c r="G164" s="63">
        <f>IF($C164="","",IFERROR(INDEX(الموظفون_الاساسي,MATCH($C164,الموظفون_الرقم,0)),0))</f>
        <v/>
      </c>
      <c r="H164" s="49" t="n"/>
      <c r="I164" s="49" t="n"/>
      <c r="J164" s="49" t="n"/>
      <c r="K164" s="49" t="n"/>
      <c r="L164" s="49" t="n"/>
      <c r="M164" s="64" t="n"/>
      <c r="N164" s="49" t="n"/>
      <c r="O164" s="49" t="n"/>
      <c r="P164" s="49" t="n"/>
      <c r="Q164" s="49" t="n"/>
      <c r="R164" s="49" t="n"/>
      <c r="S164" s="63">
        <f>IF($C164="","",SUM($G164:$L164))</f>
        <v/>
      </c>
      <c r="T164" s="63">
        <f>IF($C164="","",SUM($N164:$R164))</f>
        <v/>
      </c>
      <c r="U164" s="63">
        <f>IF($C164="","",$S164-$T164)</f>
        <v/>
      </c>
      <c r="V164" s="47" t="n"/>
      <c r="W164" s="112" t="n"/>
      <c r="X164" s="47" t="n"/>
      <c r="Y164" s="50">
        <f>IF($C164="","",IF(SUMPRODUCT(($C$3:$C$502=$C164)*($A$3:$A$502=$A164)*($B$3:$B$502=$B164))&gt;1,"⚠ مكرر","سليم"))</f>
        <v/>
      </c>
      <c r="Z164">
        <f>IF(AND($C164&lt;&gt;"",$A164=تقرير_الشهر,$B164=تقرير_السنة),SUMPRODUCT(($C$3:$C$502&lt;&gt;"")*($A$3:$A$502=تقرير_الشهر)*($B$3:$B$502=تقرير_السنة)*(ROW($C$3:$C$502)&lt;=ROW())),"")</f>
        <v/>
      </c>
    </row>
    <row r="165">
      <c r="A165" s="40" t="n"/>
      <c r="B165" s="59" t="n"/>
      <c r="C165" s="40" t="n"/>
      <c r="D165" s="43">
        <f>IFERROR(INDEX(الموظفون_الاسم,MATCH($C165,الموظفون_الرقم,0)),"")</f>
        <v/>
      </c>
      <c r="E165" s="43">
        <f>IFERROR(INDEX(الموظفون_الإدارة,MATCH($C165,الموظفون_الرقم,0)),"")</f>
        <v/>
      </c>
      <c r="F165" s="43">
        <f>IFERROR(INDEX(الموظفون_القسم,MATCH($C165,الموظفون_الرقم,0)),"")</f>
        <v/>
      </c>
      <c r="G165" s="60">
        <f>IF($C165="","",IFERROR(INDEX(الموظفون_الاساسي,MATCH($C165,الموظفون_الرقم,0)),0))</f>
        <v/>
      </c>
      <c r="H165" s="42" t="n"/>
      <c r="I165" s="42" t="n"/>
      <c r="J165" s="42" t="n"/>
      <c r="K165" s="42" t="n"/>
      <c r="L165" s="42" t="n"/>
      <c r="M165" s="61" t="n"/>
      <c r="N165" s="42" t="n"/>
      <c r="O165" s="42" t="n"/>
      <c r="P165" s="42" t="n"/>
      <c r="Q165" s="42" t="n"/>
      <c r="R165" s="42" t="n"/>
      <c r="S165" s="60">
        <f>IF($C165="","",SUM($G165:$L165))</f>
        <v/>
      </c>
      <c r="T165" s="60">
        <f>IF($C165="","",SUM($N165:$R165))</f>
        <v/>
      </c>
      <c r="U165" s="60">
        <f>IF($C165="","",$S165-$T165)</f>
        <v/>
      </c>
      <c r="V165" s="40" t="n"/>
      <c r="W165" s="110" t="n"/>
      <c r="X165" s="40" t="n"/>
      <c r="Y165" s="43">
        <f>IF($C165="","",IF(SUMPRODUCT(($C$3:$C$502=$C165)*($A$3:$A$502=$A165)*($B$3:$B$502=$B165))&gt;1,"⚠ مكرر","سليم"))</f>
        <v/>
      </c>
      <c r="Z165">
        <f>IF(AND($C165&lt;&gt;"",$A165=تقرير_الشهر,$B165=تقرير_السنة),SUMPRODUCT(($C$3:$C$502&lt;&gt;"")*($A$3:$A$502=تقرير_الشهر)*($B$3:$B$502=تقرير_السنة)*(ROW($C$3:$C$502)&lt;=ROW())),"")</f>
        <v/>
      </c>
    </row>
    <row r="166">
      <c r="A166" s="47" t="n"/>
      <c r="B166" s="62" t="n"/>
      <c r="C166" s="47" t="n"/>
      <c r="D166" s="50">
        <f>IFERROR(INDEX(الموظفون_الاسم,MATCH($C166,الموظفون_الرقم,0)),"")</f>
        <v/>
      </c>
      <c r="E166" s="50">
        <f>IFERROR(INDEX(الموظفون_الإدارة,MATCH($C166,الموظفون_الرقم,0)),"")</f>
        <v/>
      </c>
      <c r="F166" s="50">
        <f>IFERROR(INDEX(الموظفون_القسم,MATCH($C166,الموظفون_الرقم,0)),"")</f>
        <v/>
      </c>
      <c r="G166" s="63">
        <f>IF($C166="","",IFERROR(INDEX(الموظفون_الاساسي,MATCH($C166,الموظفون_الرقم,0)),0))</f>
        <v/>
      </c>
      <c r="H166" s="49" t="n"/>
      <c r="I166" s="49" t="n"/>
      <c r="J166" s="49" t="n"/>
      <c r="K166" s="49" t="n"/>
      <c r="L166" s="49" t="n"/>
      <c r="M166" s="64" t="n"/>
      <c r="N166" s="49" t="n"/>
      <c r="O166" s="49" t="n"/>
      <c r="P166" s="49" t="n"/>
      <c r="Q166" s="49" t="n"/>
      <c r="R166" s="49" t="n"/>
      <c r="S166" s="63">
        <f>IF($C166="","",SUM($G166:$L166))</f>
        <v/>
      </c>
      <c r="T166" s="63">
        <f>IF($C166="","",SUM($N166:$R166))</f>
        <v/>
      </c>
      <c r="U166" s="63">
        <f>IF($C166="","",$S166-$T166)</f>
        <v/>
      </c>
      <c r="V166" s="47" t="n"/>
      <c r="W166" s="112" t="n"/>
      <c r="X166" s="47" t="n"/>
      <c r="Y166" s="50">
        <f>IF($C166="","",IF(SUMPRODUCT(($C$3:$C$502=$C166)*($A$3:$A$502=$A166)*($B$3:$B$502=$B166))&gt;1,"⚠ مكرر","سليم"))</f>
        <v/>
      </c>
      <c r="Z166">
        <f>IF(AND($C166&lt;&gt;"",$A166=تقرير_الشهر,$B166=تقرير_السنة),SUMPRODUCT(($C$3:$C$502&lt;&gt;"")*($A$3:$A$502=تقرير_الشهر)*($B$3:$B$502=تقرير_السنة)*(ROW($C$3:$C$502)&lt;=ROW())),"")</f>
        <v/>
      </c>
    </row>
    <row r="167">
      <c r="A167" s="40" t="n"/>
      <c r="B167" s="59" t="n"/>
      <c r="C167" s="40" t="n"/>
      <c r="D167" s="43">
        <f>IFERROR(INDEX(الموظفون_الاسم,MATCH($C167,الموظفون_الرقم,0)),"")</f>
        <v/>
      </c>
      <c r="E167" s="43">
        <f>IFERROR(INDEX(الموظفون_الإدارة,MATCH($C167,الموظفون_الرقم,0)),"")</f>
        <v/>
      </c>
      <c r="F167" s="43">
        <f>IFERROR(INDEX(الموظفون_القسم,MATCH($C167,الموظفون_الرقم,0)),"")</f>
        <v/>
      </c>
      <c r="G167" s="60">
        <f>IF($C167="","",IFERROR(INDEX(الموظفون_الاساسي,MATCH($C167,الموظفون_الرقم,0)),0))</f>
        <v/>
      </c>
      <c r="H167" s="42" t="n"/>
      <c r="I167" s="42" t="n"/>
      <c r="J167" s="42" t="n"/>
      <c r="K167" s="42" t="n"/>
      <c r="L167" s="42" t="n"/>
      <c r="M167" s="61" t="n"/>
      <c r="N167" s="42" t="n"/>
      <c r="O167" s="42" t="n"/>
      <c r="P167" s="42" t="n"/>
      <c r="Q167" s="42" t="n"/>
      <c r="R167" s="42" t="n"/>
      <c r="S167" s="60">
        <f>IF($C167="","",SUM($G167:$L167))</f>
        <v/>
      </c>
      <c r="T167" s="60">
        <f>IF($C167="","",SUM($N167:$R167))</f>
        <v/>
      </c>
      <c r="U167" s="60">
        <f>IF($C167="","",$S167-$T167)</f>
        <v/>
      </c>
      <c r="V167" s="40" t="n"/>
      <c r="W167" s="110" t="n"/>
      <c r="X167" s="40" t="n"/>
      <c r="Y167" s="43">
        <f>IF($C167="","",IF(SUMPRODUCT(($C$3:$C$502=$C167)*($A$3:$A$502=$A167)*($B$3:$B$502=$B167))&gt;1,"⚠ مكرر","سليم"))</f>
        <v/>
      </c>
      <c r="Z167">
        <f>IF(AND($C167&lt;&gt;"",$A167=تقرير_الشهر,$B167=تقرير_السنة),SUMPRODUCT(($C$3:$C$502&lt;&gt;"")*($A$3:$A$502=تقرير_الشهر)*($B$3:$B$502=تقرير_السنة)*(ROW($C$3:$C$502)&lt;=ROW())),"")</f>
        <v/>
      </c>
    </row>
    <row r="168">
      <c r="A168" s="47" t="n"/>
      <c r="B168" s="62" t="n"/>
      <c r="C168" s="47" t="n"/>
      <c r="D168" s="50">
        <f>IFERROR(INDEX(الموظفون_الاسم,MATCH($C168,الموظفون_الرقم,0)),"")</f>
        <v/>
      </c>
      <c r="E168" s="50">
        <f>IFERROR(INDEX(الموظفون_الإدارة,MATCH($C168,الموظفون_الرقم,0)),"")</f>
        <v/>
      </c>
      <c r="F168" s="50">
        <f>IFERROR(INDEX(الموظفون_القسم,MATCH($C168,الموظفون_الرقم,0)),"")</f>
        <v/>
      </c>
      <c r="G168" s="63">
        <f>IF($C168="","",IFERROR(INDEX(الموظفون_الاساسي,MATCH($C168,الموظفون_الرقم,0)),0))</f>
        <v/>
      </c>
      <c r="H168" s="49" t="n"/>
      <c r="I168" s="49" t="n"/>
      <c r="J168" s="49" t="n"/>
      <c r="K168" s="49" t="n"/>
      <c r="L168" s="49" t="n"/>
      <c r="M168" s="64" t="n"/>
      <c r="N168" s="49" t="n"/>
      <c r="O168" s="49" t="n"/>
      <c r="P168" s="49" t="n"/>
      <c r="Q168" s="49" t="n"/>
      <c r="R168" s="49" t="n"/>
      <c r="S168" s="63">
        <f>IF($C168="","",SUM($G168:$L168))</f>
        <v/>
      </c>
      <c r="T168" s="63">
        <f>IF($C168="","",SUM($N168:$R168))</f>
        <v/>
      </c>
      <c r="U168" s="63">
        <f>IF($C168="","",$S168-$T168)</f>
        <v/>
      </c>
      <c r="V168" s="47" t="n"/>
      <c r="W168" s="112" t="n"/>
      <c r="X168" s="47" t="n"/>
      <c r="Y168" s="50">
        <f>IF($C168="","",IF(SUMPRODUCT(($C$3:$C$502=$C168)*($A$3:$A$502=$A168)*($B$3:$B$502=$B168))&gt;1,"⚠ مكرر","سليم"))</f>
        <v/>
      </c>
      <c r="Z168">
        <f>IF(AND($C168&lt;&gt;"",$A168=تقرير_الشهر,$B168=تقرير_السنة),SUMPRODUCT(($C$3:$C$502&lt;&gt;"")*($A$3:$A$502=تقرير_الشهر)*($B$3:$B$502=تقرير_السنة)*(ROW($C$3:$C$502)&lt;=ROW())),"")</f>
        <v/>
      </c>
    </row>
    <row r="169">
      <c r="A169" s="40" t="n"/>
      <c r="B169" s="59" t="n"/>
      <c r="C169" s="40" t="n"/>
      <c r="D169" s="43">
        <f>IFERROR(INDEX(الموظفون_الاسم,MATCH($C169,الموظفون_الرقم,0)),"")</f>
        <v/>
      </c>
      <c r="E169" s="43">
        <f>IFERROR(INDEX(الموظفون_الإدارة,MATCH($C169,الموظفون_الرقم,0)),"")</f>
        <v/>
      </c>
      <c r="F169" s="43">
        <f>IFERROR(INDEX(الموظفون_القسم,MATCH($C169,الموظفون_الرقم,0)),"")</f>
        <v/>
      </c>
      <c r="G169" s="60">
        <f>IF($C169="","",IFERROR(INDEX(الموظفون_الاساسي,MATCH($C169,الموظفون_الرقم,0)),0))</f>
        <v/>
      </c>
      <c r="H169" s="42" t="n"/>
      <c r="I169" s="42" t="n"/>
      <c r="J169" s="42" t="n"/>
      <c r="K169" s="42" t="n"/>
      <c r="L169" s="42" t="n"/>
      <c r="M169" s="61" t="n"/>
      <c r="N169" s="42" t="n"/>
      <c r="O169" s="42" t="n"/>
      <c r="P169" s="42" t="n"/>
      <c r="Q169" s="42" t="n"/>
      <c r="R169" s="42" t="n"/>
      <c r="S169" s="60">
        <f>IF($C169="","",SUM($G169:$L169))</f>
        <v/>
      </c>
      <c r="T169" s="60">
        <f>IF($C169="","",SUM($N169:$R169))</f>
        <v/>
      </c>
      <c r="U169" s="60">
        <f>IF($C169="","",$S169-$T169)</f>
        <v/>
      </c>
      <c r="V169" s="40" t="n"/>
      <c r="W169" s="110" t="n"/>
      <c r="X169" s="40" t="n"/>
      <c r="Y169" s="43">
        <f>IF($C169="","",IF(SUMPRODUCT(($C$3:$C$502=$C169)*($A$3:$A$502=$A169)*($B$3:$B$502=$B169))&gt;1,"⚠ مكرر","سليم"))</f>
        <v/>
      </c>
      <c r="Z169">
        <f>IF(AND($C169&lt;&gt;"",$A169=تقرير_الشهر,$B169=تقرير_السنة),SUMPRODUCT(($C$3:$C$502&lt;&gt;"")*($A$3:$A$502=تقرير_الشهر)*($B$3:$B$502=تقرير_السنة)*(ROW($C$3:$C$502)&lt;=ROW())),"")</f>
        <v/>
      </c>
    </row>
    <row r="170">
      <c r="A170" s="47" t="n"/>
      <c r="B170" s="62" t="n"/>
      <c r="C170" s="47" t="n"/>
      <c r="D170" s="50">
        <f>IFERROR(INDEX(الموظفون_الاسم,MATCH($C170,الموظفون_الرقم,0)),"")</f>
        <v/>
      </c>
      <c r="E170" s="50">
        <f>IFERROR(INDEX(الموظفون_الإدارة,MATCH($C170,الموظفون_الرقم,0)),"")</f>
        <v/>
      </c>
      <c r="F170" s="50">
        <f>IFERROR(INDEX(الموظفون_القسم,MATCH($C170,الموظفون_الرقم,0)),"")</f>
        <v/>
      </c>
      <c r="G170" s="63">
        <f>IF($C170="","",IFERROR(INDEX(الموظفون_الاساسي,MATCH($C170,الموظفون_الرقم,0)),0))</f>
        <v/>
      </c>
      <c r="H170" s="49" t="n"/>
      <c r="I170" s="49" t="n"/>
      <c r="J170" s="49" t="n"/>
      <c r="K170" s="49" t="n"/>
      <c r="L170" s="49" t="n"/>
      <c r="M170" s="64" t="n"/>
      <c r="N170" s="49" t="n"/>
      <c r="O170" s="49" t="n"/>
      <c r="P170" s="49" t="n"/>
      <c r="Q170" s="49" t="n"/>
      <c r="R170" s="49" t="n"/>
      <c r="S170" s="63">
        <f>IF($C170="","",SUM($G170:$L170))</f>
        <v/>
      </c>
      <c r="T170" s="63">
        <f>IF($C170="","",SUM($N170:$R170))</f>
        <v/>
      </c>
      <c r="U170" s="63">
        <f>IF($C170="","",$S170-$T170)</f>
        <v/>
      </c>
      <c r="V170" s="47" t="n"/>
      <c r="W170" s="112" t="n"/>
      <c r="X170" s="47" t="n"/>
      <c r="Y170" s="50">
        <f>IF($C170="","",IF(SUMPRODUCT(($C$3:$C$502=$C170)*($A$3:$A$502=$A170)*($B$3:$B$502=$B170))&gt;1,"⚠ مكرر","سليم"))</f>
        <v/>
      </c>
      <c r="Z170">
        <f>IF(AND($C170&lt;&gt;"",$A170=تقرير_الشهر,$B170=تقرير_السنة),SUMPRODUCT(($C$3:$C$502&lt;&gt;"")*($A$3:$A$502=تقرير_الشهر)*($B$3:$B$502=تقرير_السنة)*(ROW($C$3:$C$502)&lt;=ROW())),"")</f>
        <v/>
      </c>
    </row>
    <row r="171">
      <c r="A171" s="40" t="n"/>
      <c r="B171" s="59" t="n"/>
      <c r="C171" s="40" t="n"/>
      <c r="D171" s="43">
        <f>IFERROR(INDEX(الموظفون_الاسم,MATCH($C171,الموظفون_الرقم,0)),"")</f>
        <v/>
      </c>
      <c r="E171" s="43">
        <f>IFERROR(INDEX(الموظفون_الإدارة,MATCH($C171,الموظفون_الرقم,0)),"")</f>
        <v/>
      </c>
      <c r="F171" s="43">
        <f>IFERROR(INDEX(الموظفون_القسم,MATCH($C171,الموظفون_الرقم,0)),"")</f>
        <v/>
      </c>
      <c r="G171" s="60">
        <f>IF($C171="","",IFERROR(INDEX(الموظفون_الاساسي,MATCH($C171,الموظفون_الرقم,0)),0))</f>
        <v/>
      </c>
      <c r="H171" s="42" t="n"/>
      <c r="I171" s="42" t="n"/>
      <c r="J171" s="42" t="n"/>
      <c r="K171" s="42" t="n"/>
      <c r="L171" s="42" t="n"/>
      <c r="M171" s="61" t="n"/>
      <c r="N171" s="42" t="n"/>
      <c r="O171" s="42" t="n"/>
      <c r="P171" s="42" t="n"/>
      <c r="Q171" s="42" t="n"/>
      <c r="R171" s="42" t="n"/>
      <c r="S171" s="60">
        <f>IF($C171="","",SUM($G171:$L171))</f>
        <v/>
      </c>
      <c r="T171" s="60">
        <f>IF($C171="","",SUM($N171:$R171))</f>
        <v/>
      </c>
      <c r="U171" s="60">
        <f>IF($C171="","",$S171-$T171)</f>
        <v/>
      </c>
      <c r="V171" s="40" t="n"/>
      <c r="W171" s="110" t="n"/>
      <c r="X171" s="40" t="n"/>
      <c r="Y171" s="43">
        <f>IF($C171="","",IF(SUMPRODUCT(($C$3:$C$502=$C171)*($A$3:$A$502=$A171)*($B$3:$B$502=$B171))&gt;1,"⚠ مكرر","سليم"))</f>
        <v/>
      </c>
      <c r="Z171">
        <f>IF(AND($C171&lt;&gt;"",$A171=تقرير_الشهر,$B171=تقرير_السنة),SUMPRODUCT(($C$3:$C$502&lt;&gt;"")*($A$3:$A$502=تقرير_الشهر)*($B$3:$B$502=تقرير_السنة)*(ROW($C$3:$C$502)&lt;=ROW())),"")</f>
        <v/>
      </c>
    </row>
    <row r="172">
      <c r="A172" s="47" t="n"/>
      <c r="B172" s="62" t="n"/>
      <c r="C172" s="47" t="n"/>
      <c r="D172" s="50">
        <f>IFERROR(INDEX(الموظفون_الاسم,MATCH($C172,الموظفون_الرقم,0)),"")</f>
        <v/>
      </c>
      <c r="E172" s="50">
        <f>IFERROR(INDEX(الموظفون_الإدارة,MATCH($C172,الموظفون_الرقم,0)),"")</f>
        <v/>
      </c>
      <c r="F172" s="50">
        <f>IFERROR(INDEX(الموظفون_القسم,MATCH($C172,الموظفون_الرقم,0)),"")</f>
        <v/>
      </c>
      <c r="G172" s="63">
        <f>IF($C172="","",IFERROR(INDEX(الموظفون_الاساسي,MATCH($C172,الموظفون_الرقم,0)),0))</f>
        <v/>
      </c>
      <c r="H172" s="49" t="n"/>
      <c r="I172" s="49" t="n"/>
      <c r="J172" s="49" t="n"/>
      <c r="K172" s="49" t="n"/>
      <c r="L172" s="49" t="n"/>
      <c r="M172" s="64" t="n"/>
      <c r="N172" s="49" t="n"/>
      <c r="O172" s="49" t="n"/>
      <c r="P172" s="49" t="n"/>
      <c r="Q172" s="49" t="n"/>
      <c r="R172" s="49" t="n"/>
      <c r="S172" s="63">
        <f>IF($C172="","",SUM($G172:$L172))</f>
        <v/>
      </c>
      <c r="T172" s="63">
        <f>IF($C172="","",SUM($N172:$R172))</f>
        <v/>
      </c>
      <c r="U172" s="63">
        <f>IF($C172="","",$S172-$T172)</f>
        <v/>
      </c>
      <c r="V172" s="47" t="n"/>
      <c r="W172" s="112" t="n"/>
      <c r="X172" s="47" t="n"/>
      <c r="Y172" s="50">
        <f>IF($C172="","",IF(SUMPRODUCT(($C$3:$C$502=$C172)*($A$3:$A$502=$A172)*($B$3:$B$502=$B172))&gt;1,"⚠ مكرر","سليم"))</f>
        <v/>
      </c>
      <c r="Z172">
        <f>IF(AND($C172&lt;&gt;"",$A172=تقرير_الشهر,$B172=تقرير_السنة),SUMPRODUCT(($C$3:$C$502&lt;&gt;"")*($A$3:$A$502=تقرير_الشهر)*($B$3:$B$502=تقرير_السنة)*(ROW($C$3:$C$502)&lt;=ROW())),"")</f>
        <v/>
      </c>
    </row>
    <row r="173">
      <c r="A173" s="40" t="n"/>
      <c r="B173" s="59" t="n"/>
      <c r="C173" s="40" t="n"/>
      <c r="D173" s="43">
        <f>IFERROR(INDEX(الموظفون_الاسم,MATCH($C173,الموظفون_الرقم,0)),"")</f>
        <v/>
      </c>
      <c r="E173" s="43">
        <f>IFERROR(INDEX(الموظفون_الإدارة,MATCH($C173,الموظفون_الرقم,0)),"")</f>
        <v/>
      </c>
      <c r="F173" s="43">
        <f>IFERROR(INDEX(الموظفون_القسم,MATCH($C173,الموظفون_الرقم,0)),"")</f>
        <v/>
      </c>
      <c r="G173" s="60">
        <f>IF($C173="","",IFERROR(INDEX(الموظفون_الاساسي,MATCH($C173,الموظفون_الرقم,0)),0))</f>
        <v/>
      </c>
      <c r="H173" s="42" t="n"/>
      <c r="I173" s="42" t="n"/>
      <c r="J173" s="42" t="n"/>
      <c r="K173" s="42" t="n"/>
      <c r="L173" s="42" t="n"/>
      <c r="M173" s="61" t="n"/>
      <c r="N173" s="42" t="n"/>
      <c r="O173" s="42" t="n"/>
      <c r="P173" s="42" t="n"/>
      <c r="Q173" s="42" t="n"/>
      <c r="R173" s="42" t="n"/>
      <c r="S173" s="60">
        <f>IF($C173="","",SUM($G173:$L173))</f>
        <v/>
      </c>
      <c r="T173" s="60">
        <f>IF($C173="","",SUM($N173:$R173))</f>
        <v/>
      </c>
      <c r="U173" s="60">
        <f>IF($C173="","",$S173-$T173)</f>
        <v/>
      </c>
      <c r="V173" s="40" t="n"/>
      <c r="W173" s="110" t="n"/>
      <c r="X173" s="40" t="n"/>
      <c r="Y173" s="43">
        <f>IF($C173="","",IF(SUMPRODUCT(($C$3:$C$502=$C173)*($A$3:$A$502=$A173)*($B$3:$B$502=$B173))&gt;1,"⚠ مكرر","سليم"))</f>
        <v/>
      </c>
      <c r="Z173">
        <f>IF(AND($C173&lt;&gt;"",$A173=تقرير_الشهر,$B173=تقرير_السنة),SUMPRODUCT(($C$3:$C$502&lt;&gt;"")*($A$3:$A$502=تقرير_الشهر)*($B$3:$B$502=تقرير_السنة)*(ROW($C$3:$C$502)&lt;=ROW())),"")</f>
        <v/>
      </c>
    </row>
    <row r="174">
      <c r="A174" s="47" t="n"/>
      <c r="B174" s="62" t="n"/>
      <c r="C174" s="47" t="n"/>
      <c r="D174" s="50">
        <f>IFERROR(INDEX(الموظفون_الاسم,MATCH($C174,الموظفون_الرقم,0)),"")</f>
        <v/>
      </c>
      <c r="E174" s="50">
        <f>IFERROR(INDEX(الموظفون_الإدارة,MATCH($C174,الموظفون_الرقم,0)),"")</f>
        <v/>
      </c>
      <c r="F174" s="50">
        <f>IFERROR(INDEX(الموظفون_القسم,MATCH($C174,الموظفون_الرقم,0)),"")</f>
        <v/>
      </c>
      <c r="G174" s="63">
        <f>IF($C174="","",IFERROR(INDEX(الموظفون_الاساسي,MATCH($C174,الموظفون_الرقم,0)),0))</f>
        <v/>
      </c>
      <c r="H174" s="49" t="n"/>
      <c r="I174" s="49" t="n"/>
      <c r="J174" s="49" t="n"/>
      <c r="K174" s="49" t="n"/>
      <c r="L174" s="49" t="n"/>
      <c r="M174" s="64" t="n"/>
      <c r="N174" s="49" t="n"/>
      <c r="O174" s="49" t="n"/>
      <c r="P174" s="49" t="n"/>
      <c r="Q174" s="49" t="n"/>
      <c r="R174" s="49" t="n"/>
      <c r="S174" s="63">
        <f>IF($C174="","",SUM($G174:$L174))</f>
        <v/>
      </c>
      <c r="T174" s="63">
        <f>IF($C174="","",SUM($N174:$R174))</f>
        <v/>
      </c>
      <c r="U174" s="63">
        <f>IF($C174="","",$S174-$T174)</f>
        <v/>
      </c>
      <c r="V174" s="47" t="n"/>
      <c r="W174" s="112" t="n"/>
      <c r="X174" s="47" t="n"/>
      <c r="Y174" s="50">
        <f>IF($C174="","",IF(SUMPRODUCT(($C$3:$C$502=$C174)*($A$3:$A$502=$A174)*($B$3:$B$502=$B174))&gt;1,"⚠ مكرر","سليم"))</f>
        <v/>
      </c>
      <c r="Z174">
        <f>IF(AND($C174&lt;&gt;"",$A174=تقرير_الشهر,$B174=تقرير_السنة),SUMPRODUCT(($C$3:$C$502&lt;&gt;"")*($A$3:$A$502=تقرير_الشهر)*($B$3:$B$502=تقرير_السنة)*(ROW($C$3:$C$502)&lt;=ROW())),"")</f>
        <v/>
      </c>
    </row>
    <row r="175">
      <c r="A175" s="40" t="n"/>
      <c r="B175" s="59" t="n"/>
      <c r="C175" s="40" t="n"/>
      <c r="D175" s="43">
        <f>IFERROR(INDEX(الموظفون_الاسم,MATCH($C175,الموظفون_الرقم,0)),"")</f>
        <v/>
      </c>
      <c r="E175" s="43">
        <f>IFERROR(INDEX(الموظفون_الإدارة,MATCH($C175,الموظفون_الرقم,0)),"")</f>
        <v/>
      </c>
      <c r="F175" s="43">
        <f>IFERROR(INDEX(الموظفون_القسم,MATCH($C175,الموظفون_الرقم,0)),"")</f>
        <v/>
      </c>
      <c r="G175" s="60">
        <f>IF($C175="","",IFERROR(INDEX(الموظفون_الاساسي,MATCH($C175,الموظفون_الرقم,0)),0))</f>
        <v/>
      </c>
      <c r="H175" s="42" t="n"/>
      <c r="I175" s="42" t="n"/>
      <c r="J175" s="42" t="n"/>
      <c r="K175" s="42" t="n"/>
      <c r="L175" s="42" t="n"/>
      <c r="M175" s="61" t="n"/>
      <c r="N175" s="42" t="n"/>
      <c r="O175" s="42" t="n"/>
      <c r="P175" s="42" t="n"/>
      <c r="Q175" s="42" t="n"/>
      <c r="R175" s="42" t="n"/>
      <c r="S175" s="60">
        <f>IF($C175="","",SUM($G175:$L175))</f>
        <v/>
      </c>
      <c r="T175" s="60">
        <f>IF($C175="","",SUM($N175:$R175))</f>
        <v/>
      </c>
      <c r="U175" s="60">
        <f>IF($C175="","",$S175-$T175)</f>
        <v/>
      </c>
      <c r="V175" s="40" t="n"/>
      <c r="W175" s="110" t="n"/>
      <c r="X175" s="40" t="n"/>
      <c r="Y175" s="43">
        <f>IF($C175="","",IF(SUMPRODUCT(($C$3:$C$502=$C175)*($A$3:$A$502=$A175)*($B$3:$B$502=$B175))&gt;1,"⚠ مكرر","سليم"))</f>
        <v/>
      </c>
      <c r="Z175">
        <f>IF(AND($C175&lt;&gt;"",$A175=تقرير_الشهر,$B175=تقرير_السنة),SUMPRODUCT(($C$3:$C$502&lt;&gt;"")*($A$3:$A$502=تقرير_الشهر)*($B$3:$B$502=تقرير_السنة)*(ROW($C$3:$C$502)&lt;=ROW())),"")</f>
        <v/>
      </c>
    </row>
    <row r="176">
      <c r="A176" s="47" t="n"/>
      <c r="B176" s="62" t="n"/>
      <c r="C176" s="47" t="n"/>
      <c r="D176" s="50">
        <f>IFERROR(INDEX(الموظفون_الاسم,MATCH($C176,الموظفون_الرقم,0)),"")</f>
        <v/>
      </c>
      <c r="E176" s="50">
        <f>IFERROR(INDEX(الموظفون_الإدارة,MATCH($C176,الموظفون_الرقم,0)),"")</f>
        <v/>
      </c>
      <c r="F176" s="50">
        <f>IFERROR(INDEX(الموظفون_القسم,MATCH($C176,الموظفون_الرقم,0)),"")</f>
        <v/>
      </c>
      <c r="G176" s="63">
        <f>IF($C176="","",IFERROR(INDEX(الموظفون_الاساسي,MATCH($C176,الموظفون_الرقم,0)),0))</f>
        <v/>
      </c>
      <c r="H176" s="49" t="n"/>
      <c r="I176" s="49" t="n"/>
      <c r="J176" s="49" t="n"/>
      <c r="K176" s="49" t="n"/>
      <c r="L176" s="49" t="n"/>
      <c r="M176" s="64" t="n"/>
      <c r="N176" s="49" t="n"/>
      <c r="O176" s="49" t="n"/>
      <c r="P176" s="49" t="n"/>
      <c r="Q176" s="49" t="n"/>
      <c r="R176" s="49" t="n"/>
      <c r="S176" s="63">
        <f>IF($C176="","",SUM($G176:$L176))</f>
        <v/>
      </c>
      <c r="T176" s="63">
        <f>IF($C176="","",SUM($N176:$R176))</f>
        <v/>
      </c>
      <c r="U176" s="63">
        <f>IF($C176="","",$S176-$T176)</f>
        <v/>
      </c>
      <c r="V176" s="47" t="n"/>
      <c r="W176" s="112" t="n"/>
      <c r="X176" s="47" t="n"/>
      <c r="Y176" s="50">
        <f>IF($C176="","",IF(SUMPRODUCT(($C$3:$C$502=$C176)*($A$3:$A$502=$A176)*($B$3:$B$502=$B176))&gt;1,"⚠ مكرر","سليم"))</f>
        <v/>
      </c>
      <c r="Z176">
        <f>IF(AND($C176&lt;&gt;"",$A176=تقرير_الشهر,$B176=تقرير_السنة),SUMPRODUCT(($C$3:$C$502&lt;&gt;"")*($A$3:$A$502=تقرير_الشهر)*($B$3:$B$502=تقرير_السنة)*(ROW($C$3:$C$502)&lt;=ROW())),"")</f>
        <v/>
      </c>
    </row>
    <row r="177">
      <c r="A177" s="40" t="n"/>
      <c r="B177" s="59" t="n"/>
      <c r="C177" s="40" t="n"/>
      <c r="D177" s="43">
        <f>IFERROR(INDEX(الموظفون_الاسم,MATCH($C177,الموظفون_الرقم,0)),"")</f>
        <v/>
      </c>
      <c r="E177" s="43">
        <f>IFERROR(INDEX(الموظفون_الإدارة,MATCH($C177,الموظفون_الرقم,0)),"")</f>
        <v/>
      </c>
      <c r="F177" s="43">
        <f>IFERROR(INDEX(الموظفون_القسم,MATCH($C177,الموظفون_الرقم,0)),"")</f>
        <v/>
      </c>
      <c r="G177" s="60">
        <f>IF($C177="","",IFERROR(INDEX(الموظفون_الاساسي,MATCH($C177,الموظفون_الرقم,0)),0))</f>
        <v/>
      </c>
      <c r="H177" s="42" t="n"/>
      <c r="I177" s="42" t="n"/>
      <c r="J177" s="42" t="n"/>
      <c r="K177" s="42" t="n"/>
      <c r="L177" s="42" t="n"/>
      <c r="M177" s="61" t="n"/>
      <c r="N177" s="42" t="n"/>
      <c r="O177" s="42" t="n"/>
      <c r="P177" s="42" t="n"/>
      <c r="Q177" s="42" t="n"/>
      <c r="R177" s="42" t="n"/>
      <c r="S177" s="60">
        <f>IF($C177="","",SUM($G177:$L177))</f>
        <v/>
      </c>
      <c r="T177" s="60">
        <f>IF($C177="","",SUM($N177:$R177))</f>
        <v/>
      </c>
      <c r="U177" s="60">
        <f>IF($C177="","",$S177-$T177)</f>
        <v/>
      </c>
      <c r="V177" s="40" t="n"/>
      <c r="W177" s="110" t="n"/>
      <c r="X177" s="40" t="n"/>
      <c r="Y177" s="43">
        <f>IF($C177="","",IF(SUMPRODUCT(($C$3:$C$502=$C177)*($A$3:$A$502=$A177)*($B$3:$B$502=$B177))&gt;1,"⚠ مكرر","سليم"))</f>
        <v/>
      </c>
      <c r="Z177">
        <f>IF(AND($C177&lt;&gt;"",$A177=تقرير_الشهر,$B177=تقرير_السنة),SUMPRODUCT(($C$3:$C$502&lt;&gt;"")*($A$3:$A$502=تقرير_الشهر)*($B$3:$B$502=تقرير_السنة)*(ROW($C$3:$C$502)&lt;=ROW())),"")</f>
        <v/>
      </c>
    </row>
    <row r="178">
      <c r="A178" s="47" t="n"/>
      <c r="B178" s="62" t="n"/>
      <c r="C178" s="47" t="n"/>
      <c r="D178" s="50">
        <f>IFERROR(INDEX(الموظفون_الاسم,MATCH($C178,الموظفون_الرقم,0)),"")</f>
        <v/>
      </c>
      <c r="E178" s="50">
        <f>IFERROR(INDEX(الموظفون_الإدارة,MATCH($C178,الموظفون_الرقم,0)),"")</f>
        <v/>
      </c>
      <c r="F178" s="50">
        <f>IFERROR(INDEX(الموظفون_القسم,MATCH($C178,الموظفون_الرقم,0)),"")</f>
        <v/>
      </c>
      <c r="G178" s="63">
        <f>IF($C178="","",IFERROR(INDEX(الموظفون_الاساسي,MATCH($C178,الموظفون_الرقم,0)),0))</f>
        <v/>
      </c>
      <c r="H178" s="49" t="n"/>
      <c r="I178" s="49" t="n"/>
      <c r="J178" s="49" t="n"/>
      <c r="K178" s="49" t="n"/>
      <c r="L178" s="49" t="n"/>
      <c r="M178" s="64" t="n"/>
      <c r="N178" s="49" t="n"/>
      <c r="O178" s="49" t="n"/>
      <c r="P178" s="49" t="n"/>
      <c r="Q178" s="49" t="n"/>
      <c r="R178" s="49" t="n"/>
      <c r="S178" s="63">
        <f>IF($C178="","",SUM($G178:$L178))</f>
        <v/>
      </c>
      <c r="T178" s="63">
        <f>IF($C178="","",SUM($N178:$R178))</f>
        <v/>
      </c>
      <c r="U178" s="63">
        <f>IF($C178="","",$S178-$T178)</f>
        <v/>
      </c>
      <c r="V178" s="47" t="n"/>
      <c r="W178" s="112" t="n"/>
      <c r="X178" s="47" t="n"/>
      <c r="Y178" s="50">
        <f>IF($C178="","",IF(SUMPRODUCT(($C$3:$C$502=$C178)*($A$3:$A$502=$A178)*($B$3:$B$502=$B178))&gt;1,"⚠ مكرر","سليم"))</f>
        <v/>
      </c>
      <c r="Z178">
        <f>IF(AND($C178&lt;&gt;"",$A178=تقرير_الشهر,$B178=تقرير_السنة),SUMPRODUCT(($C$3:$C$502&lt;&gt;"")*($A$3:$A$502=تقرير_الشهر)*($B$3:$B$502=تقرير_السنة)*(ROW($C$3:$C$502)&lt;=ROW())),"")</f>
        <v/>
      </c>
    </row>
    <row r="179">
      <c r="A179" s="40" t="n"/>
      <c r="B179" s="59" t="n"/>
      <c r="C179" s="40" t="n"/>
      <c r="D179" s="43">
        <f>IFERROR(INDEX(الموظفون_الاسم,MATCH($C179,الموظفون_الرقم,0)),"")</f>
        <v/>
      </c>
      <c r="E179" s="43">
        <f>IFERROR(INDEX(الموظفون_الإدارة,MATCH($C179,الموظفون_الرقم,0)),"")</f>
        <v/>
      </c>
      <c r="F179" s="43">
        <f>IFERROR(INDEX(الموظفون_القسم,MATCH($C179,الموظفون_الرقم,0)),"")</f>
        <v/>
      </c>
      <c r="G179" s="60">
        <f>IF($C179="","",IFERROR(INDEX(الموظفون_الاساسي,MATCH($C179,الموظفون_الرقم,0)),0))</f>
        <v/>
      </c>
      <c r="H179" s="42" t="n"/>
      <c r="I179" s="42" t="n"/>
      <c r="J179" s="42" t="n"/>
      <c r="K179" s="42" t="n"/>
      <c r="L179" s="42" t="n"/>
      <c r="M179" s="61" t="n"/>
      <c r="N179" s="42" t="n"/>
      <c r="O179" s="42" t="n"/>
      <c r="P179" s="42" t="n"/>
      <c r="Q179" s="42" t="n"/>
      <c r="R179" s="42" t="n"/>
      <c r="S179" s="60">
        <f>IF($C179="","",SUM($G179:$L179))</f>
        <v/>
      </c>
      <c r="T179" s="60">
        <f>IF($C179="","",SUM($N179:$R179))</f>
        <v/>
      </c>
      <c r="U179" s="60">
        <f>IF($C179="","",$S179-$T179)</f>
        <v/>
      </c>
      <c r="V179" s="40" t="n"/>
      <c r="W179" s="110" t="n"/>
      <c r="X179" s="40" t="n"/>
      <c r="Y179" s="43">
        <f>IF($C179="","",IF(SUMPRODUCT(($C$3:$C$502=$C179)*($A$3:$A$502=$A179)*($B$3:$B$502=$B179))&gt;1,"⚠ مكرر","سليم"))</f>
        <v/>
      </c>
      <c r="Z179">
        <f>IF(AND($C179&lt;&gt;"",$A179=تقرير_الشهر,$B179=تقرير_السنة),SUMPRODUCT(($C$3:$C$502&lt;&gt;"")*($A$3:$A$502=تقرير_الشهر)*($B$3:$B$502=تقرير_السنة)*(ROW($C$3:$C$502)&lt;=ROW())),"")</f>
        <v/>
      </c>
    </row>
    <row r="180">
      <c r="A180" s="47" t="n"/>
      <c r="B180" s="62" t="n"/>
      <c r="C180" s="47" t="n"/>
      <c r="D180" s="50">
        <f>IFERROR(INDEX(الموظفون_الاسم,MATCH($C180,الموظفون_الرقم,0)),"")</f>
        <v/>
      </c>
      <c r="E180" s="50">
        <f>IFERROR(INDEX(الموظفون_الإدارة,MATCH($C180,الموظفون_الرقم,0)),"")</f>
        <v/>
      </c>
      <c r="F180" s="50">
        <f>IFERROR(INDEX(الموظفون_القسم,MATCH($C180,الموظفون_الرقم,0)),"")</f>
        <v/>
      </c>
      <c r="G180" s="63">
        <f>IF($C180="","",IFERROR(INDEX(الموظفون_الاساسي,MATCH($C180,الموظفون_الرقم,0)),0))</f>
        <v/>
      </c>
      <c r="H180" s="49" t="n"/>
      <c r="I180" s="49" t="n"/>
      <c r="J180" s="49" t="n"/>
      <c r="K180" s="49" t="n"/>
      <c r="L180" s="49" t="n"/>
      <c r="M180" s="64" t="n"/>
      <c r="N180" s="49" t="n"/>
      <c r="O180" s="49" t="n"/>
      <c r="P180" s="49" t="n"/>
      <c r="Q180" s="49" t="n"/>
      <c r="R180" s="49" t="n"/>
      <c r="S180" s="63">
        <f>IF($C180="","",SUM($G180:$L180))</f>
        <v/>
      </c>
      <c r="T180" s="63">
        <f>IF($C180="","",SUM($N180:$R180))</f>
        <v/>
      </c>
      <c r="U180" s="63">
        <f>IF($C180="","",$S180-$T180)</f>
        <v/>
      </c>
      <c r="V180" s="47" t="n"/>
      <c r="W180" s="112" t="n"/>
      <c r="X180" s="47" t="n"/>
      <c r="Y180" s="50">
        <f>IF($C180="","",IF(SUMPRODUCT(($C$3:$C$502=$C180)*($A$3:$A$502=$A180)*($B$3:$B$502=$B180))&gt;1,"⚠ مكرر","سليم"))</f>
        <v/>
      </c>
      <c r="Z180">
        <f>IF(AND($C180&lt;&gt;"",$A180=تقرير_الشهر,$B180=تقرير_السنة),SUMPRODUCT(($C$3:$C$502&lt;&gt;"")*($A$3:$A$502=تقرير_الشهر)*($B$3:$B$502=تقرير_السنة)*(ROW($C$3:$C$502)&lt;=ROW())),"")</f>
        <v/>
      </c>
    </row>
    <row r="181">
      <c r="A181" s="40" t="n"/>
      <c r="B181" s="59" t="n"/>
      <c r="C181" s="40" t="n"/>
      <c r="D181" s="43">
        <f>IFERROR(INDEX(الموظفون_الاسم,MATCH($C181,الموظفون_الرقم,0)),"")</f>
        <v/>
      </c>
      <c r="E181" s="43">
        <f>IFERROR(INDEX(الموظفون_الإدارة,MATCH($C181,الموظفون_الرقم,0)),"")</f>
        <v/>
      </c>
      <c r="F181" s="43">
        <f>IFERROR(INDEX(الموظفون_القسم,MATCH($C181,الموظفون_الرقم,0)),"")</f>
        <v/>
      </c>
      <c r="G181" s="60">
        <f>IF($C181="","",IFERROR(INDEX(الموظفون_الاساسي,MATCH($C181,الموظفون_الرقم,0)),0))</f>
        <v/>
      </c>
      <c r="H181" s="42" t="n"/>
      <c r="I181" s="42" t="n"/>
      <c r="J181" s="42" t="n"/>
      <c r="K181" s="42" t="n"/>
      <c r="L181" s="42" t="n"/>
      <c r="M181" s="61" t="n"/>
      <c r="N181" s="42" t="n"/>
      <c r="O181" s="42" t="n"/>
      <c r="P181" s="42" t="n"/>
      <c r="Q181" s="42" t="n"/>
      <c r="R181" s="42" t="n"/>
      <c r="S181" s="60">
        <f>IF($C181="","",SUM($G181:$L181))</f>
        <v/>
      </c>
      <c r="T181" s="60">
        <f>IF($C181="","",SUM($N181:$R181))</f>
        <v/>
      </c>
      <c r="U181" s="60">
        <f>IF($C181="","",$S181-$T181)</f>
        <v/>
      </c>
      <c r="V181" s="40" t="n"/>
      <c r="W181" s="110" t="n"/>
      <c r="X181" s="40" t="n"/>
      <c r="Y181" s="43">
        <f>IF($C181="","",IF(SUMPRODUCT(($C$3:$C$502=$C181)*($A$3:$A$502=$A181)*($B$3:$B$502=$B181))&gt;1,"⚠ مكرر","سليم"))</f>
        <v/>
      </c>
      <c r="Z181">
        <f>IF(AND($C181&lt;&gt;"",$A181=تقرير_الشهر,$B181=تقرير_السنة),SUMPRODUCT(($C$3:$C$502&lt;&gt;"")*($A$3:$A$502=تقرير_الشهر)*($B$3:$B$502=تقرير_السنة)*(ROW($C$3:$C$502)&lt;=ROW())),"")</f>
        <v/>
      </c>
    </row>
    <row r="182">
      <c r="A182" s="47" t="n"/>
      <c r="B182" s="62" t="n"/>
      <c r="C182" s="47" t="n"/>
      <c r="D182" s="50">
        <f>IFERROR(INDEX(الموظفون_الاسم,MATCH($C182,الموظفون_الرقم,0)),"")</f>
        <v/>
      </c>
      <c r="E182" s="50">
        <f>IFERROR(INDEX(الموظفون_الإدارة,MATCH($C182,الموظفون_الرقم,0)),"")</f>
        <v/>
      </c>
      <c r="F182" s="50">
        <f>IFERROR(INDEX(الموظفون_القسم,MATCH($C182,الموظفون_الرقم,0)),"")</f>
        <v/>
      </c>
      <c r="G182" s="63">
        <f>IF($C182="","",IFERROR(INDEX(الموظفون_الاساسي,MATCH($C182,الموظفون_الرقم,0)),0))</f>
        <v/>
      </c>
      <c r="H182" s="49" t="n"/>
      <c r="I182" s="49" t="n"/>
      <c r="J182" s="49" t="n"/>
      <c r="K182" s="49" t="n"/>
      <c r="L182" s="49" t="n"/>
      <c r="M182" s="64" t="n"/>
      <c r="N182" s="49" t="n"/>
      <c r="O182" s="49" t="n"/>
      <c r="P182" s="49" t="n"/>
      <c r="Q182" s="49" t="n"/>
      <c r="R182" s="49" t="n"/>
      <c r="S182" s="63">
        <f>IF($C182="","",SUM($G182:$L182))</f>
        <v/>
      </c>
      <c r="T182" s="63">
        <f>IF($C182="","",SUM($N182:$R182))</f>
        <v/>
      </c>
      <c r="U182" s="63">
        <f>IF($C182="","",$S182-$T182)</f>
        <v/>
      </c>
      <c r="V182" s="47" t="n"/>
      <c r="W182" s="112" t="n"/>
      <c r="X182" s="47" t="n"/>
      <c r="Y182" s="50">
        <f>IF($C182="","",IF(SUMPRODUCT(($C$3:$C$502=$C182)*($A$3:$A$502=$A182)*($B$3:$B$502=$B182))&gt;1,"⚠ مكرر","سليم"))</f>
        <v/>
      </c>
      <c r="Z182">
        <f>IF(AND($C182&lt;&gt;"",$A182=تقرير_الشهر,$B182=تقرير_السنة),SUMPRODUCT(($C$3:$C$502&lt;&gt;"")*($A$3:$A$502=تقرير_الشهر)*($B$3:$B$502=تقرير_السنة)*(ROW($C$3:$C$502)&lt;=ROW())),"")</f>
        <v/>
      </c>
    </row>
    <row r="183">
      <c r="A183" s="40" t="n"/>
      <c r="B183" s="59" t="n"/>
      <c r="C183" s="40" t="n"/>
      <c r="D183" s="43">
        <f>IFERROR(INDEX(الموظفون_الاسم,MATCH($C183,الموظفون_الرقم,0)),"")</f>
        <v/>
      </c>
      <c r="E183" s="43">
        <f>IFERROR(INDEX(الموظفون_الإدارة,MATCH($C183,الموظفون_الرقم,0)),"")</f>
        <v/>
      </c>
      <c r="F183" s="43">
        <f>IFERROR(INDEX(الموظفون_القسم,MATCH($C183,الموظفون_الرقم,0)),"")</f>
        <v/>
      </c>
      <c r="G183" s="60">
        <f>IF($C183="","",IFERROR(INDEX(الموظفون_الاساسي,MATCH($C183,الموظفون_الرقم,0)),0))</f>
        <v/>
      </c>
      <c r="H183" s="42" t="n"/>
      <c r="I183" s="42" t="n"/>
      <c r="J183" s="42" t="n"/>
      <c r="K183" s="42" t="n"/>
      <c r="L183" s="42" t="n"/>
      <c r="M183" s="61" t="n"/>
      <c r="N183" s="42" t="n"/>
      <c r="O183" s="42" t="n"/>
      <c r="P183" s="42" t="n"/>
      <c r="Q183" s="42" t="n"/>
      <c r="R183" s="42" t="n"/>
      <c r="S183" s="60">
        <f>IF($C183="","",SUM($G183:$L183))</f>
        <v/>
      </c>
      <c r="T183" s="60">
        <f>IF($C183="","",SUM($N183:$R183))</f>
        <v/>
      </c>
      <c r="U183" s="60">
        <f>IF($C183="","",$S183-$T183)</f>
        <v/>
      </c>
      <c r="V183" s="40" t="n"/>
      <c r="W183" s="110" t="n"/>
      <c r="X183" s="40" t="n"/>
      <c r="Y183" s="43">
        <f>IF($C183="","",IF(SUMPRODUCT(($C$3:$C$502=$C183)*($A$3:$A$502=$A183)*($B$3:$B$502=$B183))&gt;1,"⚠ مكرر","سليم"))</f>
        <v/>
      </c>
      <c r="Z183">
        <f>IF(AND($C183&lt;&gt;"",$A183=تقرير_الشهر,$B183=تقرير_السنة),SUMPRODUCT(($C$3:$C$502&lt;&gt;"")*($A$3:$A$502=تقرير_الشهر)*($B$3:$B$502=تقرير_السنة)*(ROW($C$3:$C$502)&lt;=ROW())),"")</f>
        <v/>
      </c>
    </row>
    <row r="184">
      <c r="A184" s="47" t="n"/>
      <c r="B184" s="62" t="n"/>
      <c r="C184" s="47" t="n"/>
      <c r="D184" s="50">
        <f>IFERROR(INDEX(الموظفون_الاسم,MATCH($C184,الموظفون_الرقم,0)),"")</f>
        <v/>
      </c>
      <c r="E184" s="50">
        <f>IFERROR(INDEX(الموظفون_الإدارة,MATCH($C184,الموظفون_الرقم,0)),"")</f>
        <v/>
      </c>
      <c r="F184" s="50">
        <f>IFERROR(INDEX(الموظفون_القسم,MATCH($C184,الموظفون_الرقم,0)),"")</f>
        <v/>
      </c>
      <c r="G184" s="63">
        <f>IF($C184="","",IFERROR(INDEX(الموظفون_الاساسي,MATCH($C184,الموظفون_الرقم,0)),0))</f>
        <v/>
      </c>
      <c r="H184" s="49" t="n"/>
      <c r="I184" s="49" t="n"/>
      <c r="J184" s="49" t="n"/>
      <c r="K184" s="49" t="n"/>
      <c r="L184" s="49" t="n"/>
      <c r="M184" s="64" t="n"/>
      <c r="N184" s="49" t="n"/>
      <c r="O184" s="49" t="n"/>
      <c r="P184" s="49" t="n"/>
      <c r="Q184" s="49" t="n"/>
      <c r="R184" s="49" t="n"/>
      <c r="S184" s="63">
        <f>IF($C184="","",SUM($G184:$L184))</f>
        <v/>
      </c>
      <c r="T184" s="63">
        <f>IF($C184="","",SUM($N184:$R184))</f>
        <v/>
      </c>
      <c r="U184" s="63">
        <f>IF($C184="","",$S184-$T184)</f>
        <v/>
      </c>
      <c r="V184" s="47" t="n"/>
      <c r="W184" s="112" t="n"/>
      <c r="X184" s="47" t="n"/>
      <c r="Y184" s="50">
        <f>IF($C184="","",IF(SUMPRODUCT(($C$3:$C$502=$C184)*($A$3:$A$502=$A184)*($B$3:$B$502=$B184))&gt;1,"⚠ مكرر","سليم"))</f>
        <v/>
      </c>
      <c r="Z184">
        <f>IF(AND($C184&lt;&gt;"",$A184=تقرير_الشهر,$B184=تقرير_السنة),SUMPRODUCT(($C$3:$C$502&lt;&gt;"")*($A$3:$A$502=تقرير_الشهر)*($B$3:$B$502=تقرير_السنة)*(ROW($C$3:$C$502)&lt;=ROW())),"")</f>
        <v/>
      </c>
    </row>
    <row r="185">
      <c r="A185" s="40" t="n"/>
      <c r="B185" s="59" t="n"/>
      <c r="C185" s="40" t="n"/>
      <c r="D185" s="43">
        <f>IFERROR(INDEX(الموظفون_الاسم,MATCH($C185,الموظفون_الرقم,0)),"")</f>
        <v/>
      </c>
      <c r="E185" s="43">
        <f>IFERROR(INDEX(الموظفون_الإدارة,MATCH($C185,الموظفون_الرقم,0)),"")</f>
        <v/>
      </c>
      <c r="F185" s="43">
        <f>IFERROR(INDEX(الموظفون_القسم,MATCH($C185,الموظفون_الرقم,0)),"")</f>
        <v/>
      </c>
      <c r="G185" s="60">
        <f>IF($C185="","",IFERROR(INDEX(الموظفون_الاساسي,MATCH($C185,الموظفون_الرقم,0)),0))</f>
        <v/>
      </c>
      <c r="H185" s="42" t="n"/>
      <c r="I185" s="42" t="n"/>
      <c r="J185" s="42" t="n"/>
      <c r="K185" s="42" t="n"/>
      <c r="L185" s="42" t="n"/>
      <c r="M185" s="61" t="n"/>
      <c r="N185" s="42" t="n"/>
      <c r="O185" s="42" t="n"/>
      <c r="P185" s="42" t="n"/>
      <c r="Q185" s="42" t="n"/>
      <c r="R185" s="42" t="n"/>
      <c r="S185" s="60">
        <f>IF($C185="","",SUM($G185:$L185))</f>
        <v/>
      </c>
      <c r="T185" s="60">
        <f>IF($C185="","",SUM($N185:$R185))</f>
        <v/>
      </c>
      <c r="U185" s="60">
        <f>IF($C185="","",$S185-$T185)</f>
        <v/>
      </c>
      <c r="V185" s="40" t="n"/>
      <c r="W185" s="110" t="n"/>
      <c r="X185" s="40" t="n"/>
      <c r="Y185" s="43">
        <f>IF($C185="","",IF(SUMPRODUCT(($C$3:$C$502=$C185)*($A$3:$A$502=$A185)*($B$3:$B$502=$B185))&gt;1,"⚠ مكرر","سليم"))</f>
        <v/>
      </c>
      <c r="Z185">
        <f>IF(AND($C185&lt;&gt;"",$A185=تقرير_الشهر,$B185=تقرير_السنة),SUMPRODUCT(($C$3:$C$502&lt;&gt;"")*($A$3:$A$502=تقرير_الشهر)*($B$3:$B$502=تقرير_السنة)*(ROW($C$3:$C$502)&lt;=ROW())),"")</f>
        <v/>
      </c>
    </row>
    <row r="186">
      <c r="A186" s="47" t="n"/>
      <c r="B186" s="62" t="n"/>
      <c r="C186" s="47" t="n"/>
      <c r="D186" s="50">
        <f>IFERROR(INDEX(الموظفون_الاسم,MATCH($C186,الموظفون_الرقم,0)),"")</f>
        <v/>
      </c>
      <c r="E186" s="50">
        <f>IFERROR(INDEX(الموظفون_الإدارة,MATCH($C186,الموظفون_الرقم,0)),"")</f>
        <v/>
      </c>
      <c r="F186" s="50">
        <f>IFERROR(INDEX(الموظفون_القسم,MATCH($C186,الموظفون_الرقم,0)),"")</f>
        <v/>
      </c>
      <c r="G186" s="63">
        <f>IF($C186="","",IFERROR(INDEX(الموظفون_الاساسي,MATCH($C186,الموظفون_الرقم,0)),0))</f>
        <v/>
      </c>
      <c r="H186" s="49" t="n"/>
      <c r="I186" s="49" t="n"/>
      <c r="J186" s="49" t="n"/>
      <c r="K186" s="49" t="n"/>
      <c r="L186" s="49" t="n"/>
      <c r="M186" s="64" t="n"/>
      <c r="N186" s="49" t="n"/>
      <c r="O186" s="49" t="n"/>
      <c r="P186" s="49" t="n"/>
      <c r="Q186" s="49" t="n"/>
      <c r="R186" s="49" t="n"/>
      <c r="S186" s="63">
        <f>IF($C186="","",SUM($G186:$L186))</f>
        <v/>
      </c>
      <c r="T186" s="63">
        <f>IF($C186="","",SUM($N186:$R186))</f>
        <v/>
      </c>
      <c r="U186" s="63">
        <f>IF($C186="","",$S186-$T186)</f>
        <v/>
      </c>
      <c r="V186" s="47" t="n"/>
      <c r="W186" s="112" t="n"/>
      <c r="X186" s="47" t="n"/>
      <c r="Y186" s="50">
        <f>IF($C186="","",IF(SUMPRODUCT(($C$3:$C$502=$C186)*($A$3:$A$502=$A186)*($B$3:$B$502=$B186))&gt;1,"⚠ مكرر","سليم"))</f>
        <v/>
      </c>
      <c r="Z186">
        <f>IF(AND($C186&lt;&gt;"",$A186=تقرير_الشهر,$B186=تقرير_السنة),SUMPRODUCT(($C$3:$C$502&lt;&gt;"")*($A$3:$A$502=تقرير_الشهر)*($B$3:$B$502=تقرير_السنة)*(ROW($C$3:$C$502)&lt;=ROW())),"")</f>
        <v/>
      </c>
    </row>
    <row r="187">
      <c r="A187" s="40" t="n"/>
      <c r="B187" s="59" t="n"/>
      <c r="C187" s="40" t="n"/>
      <c r="D187" s="43">
        <f>IFERROR(INDEX(الموظفون_الاسم,MATCH($C187,الموظفون_الرقم,0)),"")</f>
        <v/>
      </c>
      <c r="E187" s="43">
        <f>IFERROR(INDEX(الموظفون_الإدارة,MATCH($C187,الموظفون_الرقم,0)),"")</f>
        <v/>
      </c>
      <c r="F187" s="43">
        <f>IFERROR(INDEX(الموظفون_القسم,MATCH($C187,الموظفون_الرقم,0)),"")</f>
        <v/>
      </c>
      <c r="G187" s="60">
        <f>IF($C187="","",IFERROR(INDEX(الموظفون_الاساسي,MATCH($C187,الموظفون_الرقم,0)),0))</f>
        <v/>
      </c>
      <c r="H187" s="42" t="n"/>
      <c r="I187" s="42" t="n"/>
      <c r="J187" s="42" t="n"/>
      <c r="K187" s="42" t="n"/>
      <c r="L187" s="42" t="n"/>
      <c r="M187" s="61" t="n"/>
      <c r="N187" s="42" t="n"/>
      <c r="O187" s="42" t="n"/>
      <c r="P187" s="42" t="n"/>
      <c r="Q187" s="42" t="n"/>
      <c r="R187" s="42" t="n"/>
      <c r="S187" s="60">
        <f>IF($C187="","",SUM($G187:$L187))</f>
        <v/>
      </c>
      <c r="T187" s="60">
        <f>IF($C187="","",SUM($N187:$R187))</f>
        <v/>
      </c>
      <c r="U187" s="60">
        <f>IF($C187="","",$S187-$T187)</f>
        <v/>
      </c>
      <c r="V187" s="40" t="n"/>
      <c r="W187" s="110" t="n"/>
      <c r="X187" s="40" t="n"/>
      <c r="Y187" s="43">
        <f>IF($C187="","",IF(SUMPRODUCT(($C$3:$C$502=$C187)*($A$3:$A$502=$A187)*($B$3:$B$502=$B187))&gt;1,"⚠ مكرر","سليم"))</f>
        <v/>
      </c>
      <c r="Z187">
        <f>IF(AND($C187&lt;&gt;"",$A187=تقرير_الشهر,$B187=تقرير_السنة),SUMPRODUCT(($C$3:$C$502&lt;&gt;"")*($A$3:$A$502=تقرير_الشهر)*($B$3:$B$502=تقرير_السنة)*(ROW($C$3:$C$502)&lt;=ROW())),"")</f>
        <v/>
      </c>
    </row>
    <row r="188">
      <c r="A188" s="47" t="n"/>
      <c r="B188" s="62" t="n"/>
      <c r="C188" s="47" t="n"/>
      <c r="D188" s="50">
        <f>IFERROR(INDEX(الموظفون_الاسم,MATCH($C188,الموظفون_الرقم,0)),"")</f>
        <v/>
      </c>
      <c r="E188" s="50">
        <f>IFERROR(INDEX(الموظفون_الإدارة,MATCH($C188,الموظفون_الرقم,0)),"")</f>
        <v/>
      </c>
      <c r="F188" s="50">
        <f>IFERROR(INDEX(الموظفون_القسم,MATCH($C188,الموظفون_الرقم,0)),"")</f>
        <v/>
      </c>
      <c r="G188" s="63">
        <f>IF($C188="","",IFERROR(INDEX(الموظفون_الاساسي,MATCH($C188,الموظفون_الرقم,0)),0))</f>
        <v/>
      </c>
      <c r="H188" s="49" t="n"/>
      <c r="I188" s="49" t="n"/>
      <c r="J188" s="49" t="n"/>
      <c r="K188" s="49" t="n"/>
      <c r="L188" s="49" t="n"/>
      <c r="M188" s="64" t="n"/>
      <c r="N188" s="49" t="n"/>
      <c r="O188" s="49" t="n"/>
      <c r="P188" s="49" t="n"/>
      <c r="Q188" s="49" t="n"/>
      <c r="R188" s="49" t="n"/>
      <c r="S188" s="63">
        <f>IF($C188="","",SUM($G188:$L188))</f>
        <v/>
      </c>
      <c r="T188" s="63">
        <f>IF($C188="","",SUM($N188:$R188))</f>
        <v/>
      </c>
      <c r="U188" s="63">
        <f>IF($C188="","",$S188-$T188)</f>
        <v/>
      </c>
      <c r="V188" s="47" t="n"/>
      <c r="W188" s="112" t="n"/>
      <c r="X188" s="47" t="n"/>
      <c r="Y188" s="50">
        <f>IF($C188="","",IF(SUMPRODUCT(($C$3:$C$502=$C188)*($A$3:$A$502=$A188)*($B$3:$B$502=$B188))&gt;1,"⚠ مكرر","سليم"))</f>
        <v/>
      </c>
      <c r="Z188">
        <f>IF(AND($C188&lt;&gt;"",$A188=تقرير_الشهر,$B188=تقرير_السنة),SUMPRODUCT(($C$3:$C$502&lt;&gt;"")*($A$3:$A$502=تقرير_الشهر)*($B$3:$B$502=تقرير_السنة)*(ROW($C$3:$C$502)&lt;=ROW())),"")</f>
        <v/>
      </c>
    </row>
    <row r="189">
      <c r="A189" s="40" t="n"/>
      <c r="B189" s="59" t="n"/>
      <c r="C189" s="40" t="n"/>
      <c r="D189" s="43">
        <f>IFERROR(INDEX(الموظفون_الاسم,MATCH($C189,الموظفون_الرقم,0)),"")</f>
        <v/>
      </c>
      <c r="E189" s="43">
        <f>IFERROR(INDEX(الموظفون_الإدارة,MATCH($C189,الموظفون_الرقم,0)),"")</f>
        <v/>
      </c>
      <c r="F189" s="43">
        <f>IFERROR(INDEX(الموظفون_القسم,MATCH($C189,الموظفون_الرقم,0)),"")</f>
        <v/>
      </c>
      <c r="G189" s="60">
        <f>IF($C189="","",IFERROR(INDEX(الموظفون_الاساسي,MATCH($C189,الموظفون_الرقم,0)),0))</f>
        <v/>
      </c>
      <c r="H189" s="42" t="n"/>
      <c r="I189" s="42" t="n"/>
      <c r="J189" s="42" t="n"/>
      <c r="K189" s="42" t="n"/>
      <c r="L189" s="42" t="n"/>
      <c r="M189" s="61" t="n"/>
      <c r="N189" s="42" t="n"/>
      <c r="O189" s="42" t="n"/>
      <c r="P189" s="42" t="n"/>
      <c r="Q189" s="42" t="n"/>
      <c r="R189" s="42" t="n"/>
      <c r="S189" s="60">
        <f>IF($C189="","",SUM($G189:$L189))</f>
        <v/>
      </c>
      <c r="T189" s="60">
        <f>IF($C189="","",SUM($N189:$R189))</f>
        <v/>
      </c>
      <c r="U189" s="60">
        <f>IF($C189="","",$S189-$T189)</f>
        <v/>
      </c>
      <c r="V189" s="40" t="n"/>
      <c r="W189" s="110" t="n"/>
      <c r="X189" s="40" t="n"/>
      <c r="Y189" s="43">
        <f>IF($C189="","",IF(SUMPRODUCT(($C$3:$C$502=$C189)*($A$3:$A$502=$A189)*($B$3:$B$502=$B189))&gt;1,"⚠ مكرر","سليم"))</f>
        <v/>
      </c>
      <c r="Z189">
        <f>IF(AND($C189&lt;&gt;"",$A189=تقرير_الشهر,$B189=تقرير_السنة),SUMPRODUCT(($C$3:$C$502&lt;&gt;"")*($A$3:$A$502=تقرير_الشهر)*($B$3:$B$502=تقرير_السنة)*(ROW($C$3:$C$502)&lt;=ROW())),"")</f>
        <v/>
      </c>
    </row>
    <row r="190">
      <c r="A190" s="47" t="n"/>
      <c r="B190" s="62" t="n"/>
      <c r="C190" s="47" t="n"/>
      <c r="D190" s="50">
        <f>IFERROR(INDEX(الموظفون_الاسم,MATCH($C190,الموظفون_الرقم,0)),"")</f>
        <v/>
      </c>
      <c r="E190" s="50">
        <f>IFERROR(INDEX(الموظفون_الإدارة,MATCH($C190,الموظفون_الرقم,0)),"")</f>
        <v/>
      </c>
      <c r="F190" s="50">
        <f>IFERROR(INDEX(الموظفون_القسم,MATCH($C190,الموظفون_الرقم,0)),"")</f>
        <v/>
      </c>
      <c r="G190" s="63">
        <f>IF($C190="","",IFERROR(INDEX(الموظفون_الاساسي,MATCH($C190,الموظفون_الرقم,0)),0))</f>
        <v/>
      </c>
      <c r="H190" s="49" t="n"/>
      <c r="I190" s="49" t="n"/>
      <c r="J190" s="49" t="n"/>
      <c r="K190" s="49" t="n"/>
      <c r="L190" s="49" t="n"/>
      <c r="M190" s="64" t="n"/>
      <c r="N190" s="49" t="n"/>
      <c r="O190" s="49" t="n"/>
      <c r="P190" s="49" t="n"/>
      <c r="Q190" s="49" t="n"/>
      <c r="R190" s="49" t="n"/>
      <c r="S190" s="63">
        <f>IF($C190="","",SUM($G190:$L190))</f>
        <v/>
      </c>
      <c r="T190" s="63">
        <f>IF($C190="","",SUM($N190:$R190))</f>
        <v/>
      </c>
      <c r="U190" s="63">
        <f>IF($C190="","",$S190-$T190)</f>
        <v/>
      </c>
      <c r="V190" s="47" t="n"/>
      <c r="W190" s="112" t="n"/>
      <c r="X190" s="47" t="n"/>
      <c r="Y190" s="50">
        <f>IF($C190="","",IF(SUMPRODUCT(($C$3:$C$502=$C190)*($A$3:$A$502=$A190)*($B$3:$B$502=$B190))&gt;1,"⚠ مكرر","سليم"))</f>
        <v/>
      </c>
      <c r="Z190">
        <f>IF(AND($C190&lt;&gt;"",$A190=تقرير_الشهر,$B190=تقرير_السنة),SUMPRODUCT(($C$3:$C$502&lt;&gt;"")*($A$3:$A$502=تقرير_الشهر)*($B$3:$B$502=تقرير_السنة)*(ROW($C$3:$C$502)&lt;=ROW())),"")</f>
        <v/>
      </c>
    </row>
    <row r="191">
      <c r="A191" s="40" t="n"/>
      <c r="B191" s="59" t="n"/>
      <c r="C191" s="40" t="n"/>
      <c r="D191" s="43">
        <f>IFERROR(INDEX(الموظفون_الاسم,MATCH($C191,الموظفون_الرقم,0)),"")</f>
        <v/>
      </c>
      <c r="E191" s="43">
        <f>IFERROR(INDEX(الموظفون_الإدارة,MATCH($C191,الموظفون_الرقم,0)),"")</f>
        <v/>
      </c>
      <c r="F191" s="43">
        <f>IFERROR(INDEX(الموظفون_القسم,MATCH($C191,الموظفون_الرقم,0)),"")</f>
        <v/>
      </c>
      <c r="G191" s="60">
        <f>IF($C191="","",IFERROR(INDEX(الموظفون_الاساسي,MATCH($C191,الموظفون_الرقم,0)),0))</f>
        <v/>
      </c>
      <c r="H191" s="42" t="n"/>
      <c r="I191" s="42" t="n"/>
      <c r="J191" s="42" t="n"/>
      <c r="K191" s="42" t="n"/>
      <c r="L191" s="42" t="n"/>
      <c r="M191" s="61" t="n"/>
      <c r="N191" s="42" t="n"/>
      <c r="O191" s="42" t="n"/>
      <c r="P191" s="42" t="n"/>
      <c r="Q191" s="42" t="n"/>
      <c r="R191" s="42" t="n"/>
      <c r="S191" s="60">
        <f>IF($C191="","",SUM($G191:$L191))</f>
        <v/>
      </c>
      <c r="T191" s="60">
        <f>IF($C191="","",SUM($N191:$R191))</f>
        <v/>
      </c>
      <c r="U191" s="60">
        <f>IF($C191="","",$S191-$T191)</f>
        <v/>
      </c>
      <c r="V191" s="40" t="n"/>
      <c r="W191" s="110" t="n"/>
      <c r="X191" s="40" t="n"/>
      <c r="Y191" s="43">
        <f>IF($C191="","",IF(SUMPRODUCT(($C$3:$C$502=$C191)*($A$3:$A$502=$A191)*($B$3:$B$502=$B191))&gt;1,"⚠ مكرر","سليم"))</f>
        <v/>
      </c>
      <c r="Z191">
        <f>IF(AND($C191&lt;&gt;"",$A191=تقرير_الشهر,$B191=تقرير_السنة),SUMPRODUCT(($C$3:$C$502&lt;&gt;"")*($A$3:$A$502=تقرير_الشهر)*($B$3:$B$502=تقرير_السنة)*(ROW($C$3:$C$502)&lt;=ROW())),"")</f>
        <v/>
      </c>
    </row>
    <row r="192">
      <c r="A192" s="47" t="n"/>
      <c r="B192" s="62" t="n"/>
      <c r="C192" s="47" t="n"/>
      <c r="D192" s="50">
        <f>IFERROR(INDEX(الموظفون_الاسم,MATCH($C192,الموظفون_الرقم,0)),"")</f>
        <v/>
      </c>
      <c r="E192" s="50">
        <f>IFERROR(INDEX(الموظفون_الإدارة,MATCH($C192,الموظفون_الرقم,0)),"")</f>
        <v/>
      </c>
      <c r="F192" s="50">
        <f>IFERROR(INDEX(الموظفون_القسم,MATCH($C192,الموظفون_الرقم,0)),"")</f>
        <v/>
      </c>
      <c r="G192" s="63">
        <f>IF($C192="","",IFERROR(INDEX(الموظفون_الاساسي,MATCH($C192,الموظفون_الرقم,0)),0))</f>
        <v/>
      </c>
      <c r="H192" s="49" t="n"/>
      <c r="I192" s="49" t="n"/>
      <c r="J192" s="49" t="n"/>
      <c r="K192" s="49" t="n"/>
      <c r="L192" s="49" t="n"/>
      <c r="M192" s="64" t="n"/>
      <c r="N192" s="49" t="n"/>
      <c r="O192" s="49" t="n"/>
      <c r="P192" s="49" t="n"/>
      <c r="Q192" s="49" t="n"/>
      <c r="R192" s="49" t="n"/>
      <c r="S192" s="63">
        <f>IF($C192="","",SUM($G192:$L192))</f>
        <v/>
      </c>
      <c r="T192" s="63">
        <f>IF($C192="","",SUM($N192:$R192))</f>
        <v/>
      </c>
      <c r="U192" s="63">
        <f>IF($C192="","",$S192-$T192)</f>
        <v/>
      </c>
      <c r="V192" s="47" t="n"/>
      <c r="W192" s="112" t="n"/>
      <c r="X192" s="47" t="n"/>
      <c r="Y192" s="50">
        <f>IF($C192="","",IF(SUMPRODUCT(($C$3:$C$502=$C192)*($A$3:$A$502=$A192)*($B$3:$B$502=$B192))&gt;1,"⚠ مكرر","سليم"))</f>
        <v/>
      </c>
      <c r="Z192">
        <f>IF(AND($C192&lt;&gt;"",$A192=تقرير_الشهر,$B192=تقرير_السنة),SUMPRODUCT(($C$3:$C$502&lt;&gt;"")*($A$3:$A$502=تقرير_الشهر)*($B$3:$B$502=تقرير_السنة)*(ROW($C$3:$C$502)&lt;=ROW())),"")</f>
        <v/>
      </c>
    </row>
    <row r="193">
      <c r="A193" s="40" t="n"/>
      <c r="B193" s="59" t="n"/>
      <c r="C193" s="40" t="n"/>
      <c r="D193" s="43">
        <f>IFERROR(INDEX(الموظفون_الاسم,MATCH($C193,الموظفون_الرقم,0)),"")</f>
        <v/>
      </c>
      <c r="E193" s="43">
        <f>IFERROR(INDEX(الموظفون_الإدارة,MATCH($C193,الموظفون_الرقم,0)),"")</f>
        <v/>
      </c>
      <c r="F193" s="43">
        <f>IFERROR(INDEX(الموظفون_القسم,MATCH($C193,الموظفون_الرقم,0)),"")</f>
        <v/>
      </c>
      <c r="G193" s="60">
        <f>IF($C193="","",IFERROR(INDEX(الموظفون_الاساسي,MATCH($C193,الموظفون_الرقم,0)),0))</f>
        <v/>
      </c>
      <c r="H193" s="42" t="n"/>
      <c r="I193" s="42" t="n"/>
      <c r="J193" s="42" t="n"/>
      <c r="K193" s="42" t="n"/>
      <c r="L193" s="42" t="n"/>
      <c r="M193" s="61" t="n"/>
      <c r="N193" s="42" t="n"/>
      <c r="O193" s="42" t="n"/>
      <c r="P193" s="42" t="n"/>
      <c r="Q193" s="42" t="n"/>
      <c r="R193" s="42" t="n"/>
      <c r="S193" s="60">
        <f>IF($C193="","",SUM($G193:$L193))</f>
        <v/>
      </c>
      <c r="T193" s="60">
        <f>IF($C193="","",SUM($N193:$R193))</f>
        <v/>
      </c>
      <c r="U193" s="60">
        <f>IF($C193="","",$S193-$T193)</f>
        <v/>
      </c>
      <c r="V193" s="40" t="n"/>
      <c r="W193" s="110" t="n"/>
      <c r="X193" s="40" t="n"/>
      <c r="Y193" s="43">
        <f>IF($C193="","",IF(SUMPRODUCT(($C$3:$C$502=$C193)*($A$3:$A$502=$A193)*($B$3:$B$502=$B193))&gt;1,"⚠ مكرر","سليم"))</f>
        <v/>
      </c>
      <c r="Z193">
        <f>IF(AND($C193&lt;&gt;"",$A193=تقرير_الشهر,$B193=تقرير_السنة),SUMPRODUCT(($C$3:$C$502&lt;&gt;"")*($A$3:$A$502=تقرير_الشهر)*($B$3:$B$502=تقرير_السنة)*(ROW($C$3:$C$502)&lt;=ROW())),"")</f>
        <v/>
      </c>
    </row>
    <row r="194">
      <c r="A194" s="47" t="n"/>
      <c r="B194" s="62" t="n"/>
      <c r="C194" s="47" t="n"/>
      <c r="D194" s="50">
        <f>IFERROR(INDEX(الموظفون_الاسم,MATCH($C194,الموظفون_الرقم,0)),"")</f>
        <v/>
      </c>
      <c r="E194" s="50">
        <f>IFERROR(INDEX(الموظفون_الإدارة,MATCH($C194,الموظفون_الرقم,0)),"")</f>
        <v/>
      </c>
      <c r="F194" s="50">
        <f>IFERROR(INDEX(الموظفون_القسم,MATCH($C194,الموظفون_الرقم,0)),"")</f>
        <v/>
      </c>
      <c r="G194" s="63">
        <f>IF($C194="","",IFERROR(INDEX(الموظفون_الاساسي,MATCH($C194,الموظفون_الرقم,0)),0))</f>
        <v/>
      </c>
      <c r="H194" s="49" t="n"/>
      <c r="I194" s="49" t="n"/>
      <c r="J194" s="49" t="n"/>
      <c r="K194" s="49" t="n"/>
      <c r="L194" s="49" t="n"/>
      <c r="M194" s="64" t="n"/>
      <c r="N194" s="49" t="n"/>
      <c r="O194" s="49" t="n"/>
      <c r="P194" s="49" t="n"/>
      <c r="Q194" s="49" t="n"/>
      <c r="R194" s="49" t="n"/>
      <c r="S194" s="63">
        <f>IF($C194="","",SUM($G194:$L194))</f>
        <v/>
      </c>
      <c r="T194" s="63">
        <f>IF($C194="","",SUM($N194:$R194))</f>
        <v/>
      </c>
      <c r="U194" s="63">
        <f>IF($C194="","",$S194-$T194)</f>
        <v/>
      </c>
      <c r="V194" s="47" t="n"/>
      <c r="W194" s="112" t="n"/>
      <c r="X194" s="47" t="n"/>
      <c r="Y194" s="50">
        <f>IF($C194="","",IF(SUMPRODUCT(($C$3:$C$502=$C194)*($A$3:$A$502=$A194)*($B$3:$B$502=$B194))&gt;1,"⚠ مكرر","سليم"))</f>
        <v/>
      </c>
      <c r="Z194">
        <f>IF(AND($C194&lt;&gt;"",$A194=تقرير_الشهر,$B194=تقرير_السنة),SUMPRODUCT(($C$3:$C$502&lt;&gt;"")*($A$3:$A$502=تقرير_الشهر)*($B$3:$B$502=تقرير_السنة)*(ROW($C$3:$C$502)&lt;=ROW())),"")</f>
        <v/>
      </c>
    </row>
    <row r="195">
      <c r="A195" s="40" t="n"/>
      <c r="B195" s="59" t="n"/>
      <c r="C195" s="40" t="n"/>
      <c r="D195" s="43">
        <f>IFERROR(INDEX(الموظفون_الاسم,MATCH($C195,الموظفون_الرقم,0)),"")</f>
        <v/>
      </c>
      <c r="E195" s="43">
        <f>IFERROR(INDEX(الموظفون_الإدارة,MATCH($C195,الموظفون_الرقم,0)),"")</f>
        <v/>
      </c>
      <c r="F195" s="43">
        <f>IFERROR(INDEX(الموظفون_القسم,MATCH($C195,الموظفون_الرقم,0)),"")</f>
        <v/>
      </c>
      <c r="G195" s="60">
        <f>IF($C195="","",IFERROR(INDEX(الموظفون_الاساسي,MATCH($C195,الموظفون_الرقم,0)),0))</f>
        <v/>
      </c>
      <c r="H195" s="42" t="n"/>
      <c r="I195" s="42" t="n"/>
      <c r="J195" s="42" t="n"/>
      <c r="K195" s="42" t="n"/>
      <c r="L195" s="42" t="n"/>
      <c r="M195" s="61" t="n"/>
      <c r="N195" s="42" t="n"/>
      <c r="O195" s="42" t="n"/>
      <c r="P195" s="42" t="n"/>
      <c r="Q195" s="42" t="n"/>
      <c r="R195" s="42" t="n"/>
      <c r="S195" s="60">
        <f>IF($C195="","",SUM($G195:$L195))</f>
        <v/>
      </c>
      <c r="T195" s="60">
        <f>IF($C195="","",SUM($N195:$R195))</f>
        <v/>
      </c>
      <c r="U195" s="60">
        <f>IF($C195="","",$S195-$T195)</f>
        <v/>
      </c>
      <c r="V195" s="40" t="n"/>
      <c r="W195" s="110" t="n"/>
      <c r="X195" s="40" t="n"/>
      <c r="Y195" s="43">
        <f>IF($C195="","",IF(SUMPRODUCT(($C$3:$C$502=$C195)*($A$3:$A$502=$A195)*($B$3:$B$502=$B195))&gt;1,"⚠ مكرر","سليم"))</f>
        <v/>
      </c>
      <c r="Z195">
        <f>IF(AND($C195&lt;&gt;"",$A195=تقرير_الشهر,$B195=تقرير_السنة),SUMPRODUCT(($C$3:$C$502&lt;&gt;"")*($A$3:$A$502=تقرير_الشهر)*($B$3:$B$502=تقرير_السنة)*(ROW($C$3:$C$502)&lt;=ROW())),"")</f>
        <v/>
      </c>
    </row>
    <row r="196">
      <c r="A196" s="47" t="n"/>
      <c r="B196" s="62" t="n"/>
      <c r="C196" s="47" t="n"/>
      <c r="D196" s="50">
        <f>IFERROR(INDEX(الموظفون_الاسم,MATCH($C196,الموظفون_الرقم,0)),"")</f>
        <v/>
      </c>
      <c r="E196" s="50">
        <f>IFERROR(INDEX(الموظفون_الإدارة,MATCH($C196,الموظفون_الرقم,0)),"")</f>
        <v/>
      </c>
      <c r="F196" s="50">
        <f>IFERROR(INDEX(الموظفون_القسم,MATCH($C196,الموظفون_الرقم,0)),"")</f>
        <v/>
      </c>
      <c r="G196" s="63">
        <f>IF($C196="","",IFERROR(INDEX(الموظفون_الاساسي,MATCH($C196,الموظفون_الرقم,0)),0))</f>
        <v/>
      </c>
      <c r="H196" s="49" t="n"/>
      <c r="I196" s="49" t="n"/>
      <c r="J196" s="49" t="n"/>
      <c r="K196" s="49" t="n"/>
      <c r="L196" s="49" t="n"/>
      <c r="M196" s="64" t="n"/>
      <c r="N196" s="49" t="n"/>
      <c r="O196" s="49" t="n"/>
      <c r="P196" s="49" t="n"/>
      <c r="Q196" s="49" t="n"/>
      <c r="R196" s="49" t="n"/>
      <c r="S196" s="63">
        <f>IF($C196="","",SUM($G196:$L196))</f>
        <v/>
      </c>
      <c r="T196" s="63">
        <f>IF($C196="","",SUM($N196:$R196))</f>
        <v/>
      </c>
      <c r="U196" s="63">
        <f>IF($C196="","",$S196-$T196)</f>
        <v/>
      </c>
      <c r="V196" s="47" t="n"/>
      <c r="W196" s="112" t="n"/>
      <c r="X196" s="47" t="n"/>
      <c r="Y196" s="50">
        <f>IF($C196="","",IF(SUMPRODUCT(($C$3:$C$502=$C196)*($A$3:$A$502=$A196)*($B$3:$B$502=$B196))&gt;1,"⚠ مكرر","سليم"))</f>
        <v/>
      </c>
      <c r="Z196">
        <f>IF(AND($C196&lt;&gt;"",$A196=تقرير_الشهر,$B196=تقرير_السنة),SUMPRODUCT(($C$3:$C$502&lt;&gt;"")*($A$3:$A$502=تقرير_الشهر)*($B$3:$B$502=تقرير_السنة)*(ROW($C$3:$C$502)&lt;=ROW())),"")</f>
        <v/>
      </c>
    </row>
    <row r="197">
      <c r="A197" s="40" t="n"/>
      <c r="B197" s="59" t="n"/>
      <c r="C197" s="40" t="n"/>
      <c r="D197" s="43">
        <f>IFERROR(INDEX(الموظفون_الاسم,MATCH($C197,الموظفون_الرقم,0)),"")</f>
        <v/>
      </c>
      <c r="E197" s="43">
        <f>IFERROR(INDEX(الموظفون_الإدارة,MATCH($C197,الموظفون_الرقم,0)),"")</f>
        <v/>
      </c>
      <c r="F197" s="43">
        <f>IFERROR(INDEX(الموظفون_القسم,MATCH($C197,الموظفون_الرقم,0)),"")</f>
        <v/>
      </c>
      <c r="G197" s="60">
        <f>IF($C197="","",IFERROR(INDEX(الموظفون_الاساسي,MATCH($C197,الموظفون_الرقم,0)),0))</f>
        <v/>
      </c>
      <c r="H197" s="42" t="n"/>
      <c r="I197" s="42" t="n"/>
      <c r="J197" s="42" t="n"/>
      <c r="K197" s="42" t="n"/>
      <c r="L197" s="42" t="n"/>
      <c r="M197" s="61" t="n"/>
      <c r="N197" s="42" t="n"/>
      <c r="O197" s="42" t="n"/>
      <c r="P197" s="42" t="n"/>
      <c r="Q197" s="42" t="n"/>
      <c r="R197" s="42" t="n"/>
      <c r="S197" s="60">
        <f>IF($C197="","",SUM($G197:$L197))</f>
        <v/>
      </c>
      <c r="T197" s="60">
        <f>IF($C197="","",SUM($N197:$R197))</f>
        <v/>
      </c>
      <c r="U197" s="60">
        <f>IF($C197="","",$S197-$T197)</f>
        <v/>
      </c>
      <c r="V197" s="40" t="n"/>
      <c r="W197" s="110" t="n"/>
      <c r="X197" s="40" t="n"/>
      <c r="Y197" s="43">
        <f>IF($C197="","",IF(SUMPRODUCT(($C$3:$C$502=$C197)*($A$3:$A$502=$A197)*($B$3:$B$502=$B197))&gt;1,"⚠ مكرر","سليم"))</f>
        <v/>
      </c>
      <c r="Z197">
        <f>IF(AND($C197&lt;&gt;"",$A197=تقرير_الشهر,$B197=تقرير_السنة),SUMPRODUCT(($C$3:$C$502&lt;&gt;"")*($A$3:$A$502=تقرير_الشهر)*($B$3:$B$502=تقرير_السنة)*(ROW($C$3:$C$502)&lt;=ROW())),"")</f>
        <v/>
      </c>
    </row>
    <row r="198">
      <c r="A198" s="47" t="n"/>
      <c r="B198" s="62" t="n"/>
      <c r="C198" s="47" t="n"/>
      <c r="D198" s="50">
        <f>IFERROR(INDEX(الموظفون_الاسم,MATCH($C198,الموظفون_الرقم,0)),"")</f>
        <v/>
      </c>
      <c r="E198" s="50">
        <f>IFERROR(INDEX(الموظفون_الإدارة,MATCH($C198,الموظفون_الرقم,0)),"")</f>
        <v/>
      </c>
      <c r="F198" s="50">
        <f>IFERROR(INDEX(الموظفون_القسم,MATCH($C198,الموظفون_الرقم,0)),"")</f>
        <v/>
      </c>
      <c r="G198" s="63">
        <f>IF($C198="","",IFERROR(INDEX(الموظفون_الاساسي,MATCH($C198,الموظفون_الرقم,0)),0))</f>
        <v/>
      </c>
      <c r="H198" s="49" t="n"/>
      <c r="I198" s="49" t="n"/>
      <c r="J198" s="49" t="n"/>
      <c r="K198" s="49" t="n"/>
      <c r="L198" s="49" t="n"/>
      <c r="M198" s="64" t="n"/>
      <c r="N198" s="49" t="n"/>
      <c r="O198" s="49" t="n"/>
      <c r="P198" s="49" t="n"/>
      <c r="Q198" s="49" t="n"/>
      <c r="R198" s="49" t="n"/>
      <c r="S198" s="63">
        <f>IF($C198="","",SUM($G198:$L198))</f>
        <v/>
      </c>
      <c r="T198" s="63">
        <f>IF($C198="","",SUM($N198:$R198))</f>
        <v/>
      </c>
      <c r="U198" s="63">
        <f>IF($C198="","",$S198-$T198)</f>
        <v/>
      </c>
      <c r="V198" s="47" t="n"/>
      <c r="W198" s="112" t="n"/>
      <c r="X198" s="47" t="n"/>
      <c r="Y198" s="50">
        <f>IF($C198="","",IF(SUMPRODUCT(($C$3:$C$502=$C198)*($A$3:$A$502=$A198)*($B$3:$B$502=$B198))&gt;1,"⚠ مكرر","سليم"))</f>
        <v/>
      </c>
      <c r="Z198">
        <f>IF(AND($C198&lt;&gt;"",$A198=تقرير_الشهر,$B198=تقرير_السنة),SUMPRODUCT(($C$3:$C$502&lt;&gt;"")*($A$3:$A$502=تقرير_الشهر)*($B$3:$B$502=تقرير_السنة)*(ROW($C$3:$C$502)&lt;=ROW())),"")</f>
        <v/>
      </c>
    </row>
    <row r="199">
      <c r="A199" s="40" t="n"/>
      <c r="B199" s="59" t="n"/>
      <c r="C199" s="40" t="n"/>
      <c r="D199" s="43">
        <f>IFERROR(INDEX(الموظفون_الاسم,MATCH($C199,الموظفون_الرقم,0)),"")</f>
        <v/>
      </c>
      <c r="E199" s="43">
        <f>IFERROR(INDEX(الموظفون_الإدارة,MATCH($C199,الموظفون_الرقم,0)),"")</f>
        <v/>
      </c>
      <c r="F199" s="43">
        <f>IFERROR(INDEX(الموظفون_القسم,MATCH($C199,الموظفون_الرقم,0)),"")</f>
        <v/>
      </c>
      <c r="G199" s="60">
        <f>IF($C199="","",IFERROR(INDEX(الموظفون_الاساسي,MATCH($C199,الموظفون_الرقم,0)),0))</f>
        <v/>
      </c>
      <c r="H199" s="42" t="n"/>
      <c r="I199" s="42" t="n"/>
      <c r="J199" s="42" t="n"/>
      <c r="K199" s="42" t="n"/>
      <c r="L199" s="42" t="n"/>
      <c r="M199" s="61" t="n"/>
      <c r="N199" s="42" t="n"/>
      <c r="O199" s="42" t="n"/>
      <c r="P199" s="42" t="n"/>
      <c r="Q199" s="42" t="n"/>
      <c r="R199" s="42" t="n"/>
      <c r="S199" s="60">
        <f>IF($C199="","",SUM($G199:$L199))</f>
        <v/>
      </c>
      <c r="T199" s="60">
        <f>IF($C199="","",SUM($N199:$R199))</f>
        <v/>
      </c>
      <c r="U199" s="60">
        <f>IF($C199="","",$S199-$T199)</f>
        <v/>
      </c>
      <c r="V199" s="40" t="n"/>
      <c r="W199" s="110" t="n"/>
      <c r="X199" s="40" t="n"/>
      <c r="Y199" s="43">
        <f>IF($C199="","",IF(SUMPRODUCT(($C$3:$C$502=$C199)*($A$3:$A$502=$A199)*($B$3:$B$502=$B199))&gt;1,"⚠ مكرر","سليم"))</f>
        <v/>
      </c>
      <c r="Z199">
        <f>IF(AND($C199&lt;&gt;"",$A199=تقرير_الشهر,$B199=تقرير_السنة),SUMPRODUCT(($C$3:$C$502&lt;&gt;"")*($A$3:$A$502=تقرير_الشهر)*($B$3:$B$502=تقرير_السنة)*(ROW($C$3:$C$502)&lt;=ROW())),"")</f>
        <v/>
      </c>
    </row>
    <row r="200">
      <c r="A200" s="47" t="n"/>
      <c r="B200" s="62" t="n"/>
      <c r="C200" s="47" t="n"/>
      <c r="D200" s="50">
        <f>IFERROR(INDEX(الموظفون_الاسم,MATCH($C200,الموظفون_الرقم,0)),"")</f>
        <v/>
      </c>
      <c r="E200" s="50">
        <f>IFERROR(INDEX(الموظفون_الإدارة,MATCH($C200,الموظفون_الرقم,0)),"")</f>
        <v/>
      </c>
      <c r="F200" s="50">
        <f>IFERROR(INDEX(الموظفون_القسم,MATCH($C200,الموظفون_الرقم,0)),"")</f>
        <v/>
      </c>
      <c r="G200" s="63">
        <f>IF($C200="","",IFERROR(INDEX(الموظفون_الاساسي,MATCH($C200,الموظفون_الرقم,0)),0))</f>
        <v/>
      </c>
      <c r="H200" s="49" t="n"/>
      <c r="I200" s="49" t="n"/>
      <c r="J200" s="49" t="n"/>
      <c r="K200" s="49" t="n"/>
      <c r="L200" s="49" t="n"/>
      <c r="M200" s="64" t="n"/>
      <c r="N200" s="49" t="n"/>
      <c r="O200" s="49" t="n"/>
      <c r="P200" s="49" t="n"/>
      <c r="Q200" s="49" t="n"/>
      <c r="R200" s="49" t="n"/>
      <c r="S200" s="63">
        <f>IF($C200="","",SUM($G200:$L200))</f>
        <v/>
      </c>
      <c r="T200" s="63">
        <f>IF($C200="","",SUM($N200:$R200))</f>
        <v/>
      </c>
      <c r="U200" s="63">
        <f>IF($C200="","",$S200-$T200)</f>
        <v/>
      </c>
      <c r="V200" s="47" t="n"/>
      <c r="W200" s="112" t="n"/>
      <c r="X200" s="47" t="n"/>
      <c r="Y200" s="50">
        <f>IF($C200="","",IF(SUMPRODUCT(($C$3:$C$502=$C200)*($A$3:$A$502=$A200)*($B$3:$B$502=$B200))&gt;1,"⚠ مكرر","سليم"))</f>
        <v/>
      </c>
      <c r="Z200">
        <f>IF(AND($C200&lt;&gt;"",$A200=تقرير_الشهر,$B200=تقرير_السنة),SUMPRODUCT(($C$3:$C$502&lt;&gt;"")*($A$3:$A$502=تقرير_الشهر)*($B$3:$B$502=تقرير_السنة)*(ROW($C$3:$C$502)&lt;=ROW())),"")</f>
        <v/>
      </c>
    </row>
    <row r="201">
      <c r="A201" s="40" t="n"/>
      <c r="B201" s="59" t="n"/>
      <c r="C201" s="40" t="n"/>
      <c r="D201" s="43">
        <f>IFERROR(INDEX(الموظفون_الاسم,MATCH($C201,الموظفون_الرقم,0)),"")</f>
        <v/>
      </c>
      <c r="E201" s="43">
        <f>IFERROR(INDEX(الموظفون_الإدارة,MATCH($C201,الموظفون_الرقم,0)),"")</f>
        <v/>
      </c>
      <c r="F201" s="43">
        <f>IFERROR(INDEX(الموظفون_القسم,MATCH($C201,الموظفون_الرقم,0)),"")</f>
        <v/>
      </c>
      <c r="G201" s="60">
        <f>IF($C201="","",IFERROR(INDEX(الموظفون_الاساسي,MATCH($C201,الموظفون_الرقم,0)),0))</f>
        <v/>
      </c>
      <c r="H201" s="42" t="n"/>
      <c r="I201" s="42" t="n"/>
      <c r="J201" s="42" t="n"/>
      <c r="K201" s="42" t="n"/>
      <c r="L201" s="42" t="n"/>
      <c r="M201" s="61" t="n"/>
      <c r="N201" s="42" t="n"/>
      <c r="O201" s="42" t="n"/>
      <c r="P201" s="42" t="n"/>
      <c r="Q201" s="42" t="n"/>
      <c r="R201" s="42" t="n"/>
      <c r="S201" s="60">
        <f>IF($C201="","",SUM($G201:$L201))</f>
        <v/>
      </c>
      <c r="T201" s="60">
        <f>IF($C201="","",SUM($N201:$R201))</f>
        <v/>
      </c>
      <c r="U201" s="60">
        <f>IF($C201="","",$S201-$T201)</f>
        <v/>
      </c>
      <c r="V201" s="40" t="n"/>
      <c r="W201" s="110" t="n"/>
      <c r="X201" s="40" t="n"/>
      <c r="Y201" s="43">
        <f>IF($C201="","",IF(SUMPRODUCT(($C$3:$C$502=$C201)*($A$3:$A$502=$A201)*($B$3:$B$502=$B201))&gt;1,"⚠ مكرر","سليم"))</f>
        <v/>
      </c>
      <c r="Z201">
        <f>IF(AND($C201&lt;&gt;"",$A201=تقرير_الشهر,$B201=تقرير_السنة),SUMPRODUCT(($C$3:$C$502&lt;&gt;"")*($A$3:$A$502=تقرير_الشهر)*($B$3:$B$502=تقرير_السنة)*(ROW($C$3:$C$502)&lt;=ROW())),"")</f>
        <v/>
      </c>
    </row>
    <row r="202">
      <c r="A202" s="47" t="n"/>
      <c r="B202" s="62" t="n"/>
      <c r="C202" s="47" t="n"/>
      <c r="D202" s="50">
        <f>IFERROR(INDEX(الموظفون_الاسم,MATCH($C202,الموظفون_الرقم,0)),"")</f>
        <v/>
      </c>
      <c r="E202" s="50">
        <f>IFERROR(INDEX(الموظفون_الإدارة,MATCH($C202,الموظفون_الرقم,0)),"")</f>
        <v/>
      </c>
      <c r="F202" s="50">
        <f>IFERROR(INDEX(الموظفون_القسم,MATCH($C202,الموظفون_الرقم,0)),"")</f>
        <v/>
      </c>
      <c r="G202" s="63">
        <f>IF($C202="","",IFERROR(INDEX(الموظفون_الاساسي,MATCH($C202,الموظفون_الرقم,0)),0))</f>
        <v/>
      </c>
      <c r="H202" s="49" t="n"/>
      <c r="I202" s="49" t="n"/>
      <c r="J202" s="49" t="n"/>
      <c r="K202" s="49" t="n"/>
      <c r="L202" s="49" t="n"/>
      <c r="M202" s="64" t="n"/>
      <c r="N202" s="49" t="n"/>
      <c r="O202" s="49" t="n"/>
      <c r="P202" s="49" t="n"/>
      <c r="Q202" s="49" t="n"/>
      <c r="R202" s="49" t="n"/>
      <c r="S202" s="63">
        <f>IF($C202="","",SUM($G202:$L202))</f>
        <v/>
      </c>
      <c r="T202" s="63">
        <f>IF($C202="","",SUM($N202:$R202))</f>
        <v/>
      </c>
      <c r="U202" s="63">
        <f>IF($C202="","",$S202-$T202)</f>
        <v/>
      </c>
      <c r="V202" s="47" t="n"/>
      <c r="W202" s="112" t="n"/>
      <c r="X202" s="47" t="n"/>
      <c r="Y202" s="50">
        <f>IF($C202="","",IF(SUMPRODUCT(($C$3:$C$502=$C202)*($A$3:$A$502=$A202)*($B$3:$B$502=$B202))&gt;1,"⚠ مكرر","سليم"))</f>
        <v/>
      </c>
      <c r="Z202">
        <f>IF(AND($C202&lt;&gt;"",$A202=تقرير_الشهر,$B202=تقرير_السنة),SUMPRODUCT(($C$3:$C$502&lt;&gt;"")*($A$3:$A$502=تقرير_الشهر)*($B$3:$B$502=تقرير_السنة)*(ROW($C$3:$C$502)&lt;=ROW())),"")</f>
        <v/>
      </c>
    </row>
    <row r="203">
      <c r="A203" s="40" t="n"/>
      <c r="B203" s="59" t="n"/>
      <c r="C203" s="40" t="n"/>
      <c r="D203" s="43">
        <f>IFERROR(INDEX(الموظفون_الاسم,MATCH($C203,الموظفون_الرقم,0)),"")</f>
        <v/>
      </c>
      <c r="E203" s="43">
        <f>IFERROR(INDEX(الموظفون_الإدارة,MATCH($C203,الموظفون_الرقم,0)),"")</f>
        <v/>
      </c>
      <c r="F203" s="43">
        <f>IFERROR(INDEX(الموظفون_القسم,MATCH($C203,الموظفون_الرقم,0)),"")</f>
        <v/>
      </c>
      <c r="G203" s="60">
        <f>IF($C203="","",IFERROR(INDEX(الموظفون_الاساسي,MATCH($C203,الموظفون_الرقم,0)),0))</f>
        <v/>
      </c>
      <c r="H203" s="42" t="n"/>
      <c r="I203" s="42" t="n"/>
      <c r="J203" s="42" t="n"/>
      <c r="K203" s="42" t="n"/>
      <c r="L203" s="42" t="n"/>
      <c r="M203" s="61" t="n"/>
      <c r="N203" s="42" t="n"/>
      <c r="O203" s="42" t="n"/>
      <c r="P203" s="42" t="n"/>
      <c r="Q203" s="42" t="n"/>
      <c r="R203" s="42" t="n"/>
      <c r="S203" s="60">
        <f>IF($C203="","",SUM($G203:$L203))</f>
        <v/>
      </c>
      <c r="T203" s="60">
        <f>IF($C203="","",SUM($N203:$R203))</f>
        <v/>
      </c>
      <c r="U203" s="60">
        <f>IF($C203="","",$S203-$T203)</f>
        <v/>
      </c>
      <c r="V203" s="40" t="n"/>
      <c r="W203" s="110" t="n"/>
      <c r="X203" s="40" t="n"/>
      <c r="Y203" s="43">
        <f>IF($C203="","",IF(SUMPRODUCT(($C$3:$C$502=$C203)*($A$3:$A$502=$A203)*($B$3:$B$502=$B203))&gt;1,"⚠ مكرر","سليم"))</f>
        <v/>
      </c>
      <c r="Z203">
        <f>IF(AND($C203&lt;&gt;"",$A203=تقرير_الشهر,$B203=تقرير_السنة),SUMPRODUCT(($C$3:$C$502&lt;&gt;"")*($A$3:$A$502=تقرير_الشهر)*($B$3:$B$502=تقرير_السنة)*(ROW($C$3:$C$502)&lt;=ROW())),"")</f>
        <v/>
      </c>
    </row>
    <row r="204">
      <c r="A204" s="47" t="n"/>
      <c r="B204" s="62" t="n"/>
      <c r="C204" s="47" t="n"/>
      <c r="D204" s="50">
        <f>IFERROR(INDEX(الموظفون_الاسم,MATCH($C204,الموظفون_الرقم,0)),"")</f>
        <v/>
      </c>
      <c r="E204" s="50">
        <f>IFERROR(INDEX(الموظفون_الإدارة,MATCH($C204,الموظفون_الرقم,0)),"")</f>
        <v/>
      </c>
      <c r="F204" s="50">
        <f>IFERROR(INDEX(الموظفون_القسم,MATCH($C204,الموظفون_الرقم,0)),"")</f>
        <v/>
      </c>
      <c r="G204" s="63">
        <f>IF($C204="","",IFERROR(INDEX(الموظفون_الاساسي,MATCH($C204,الموظفون_الرقم,0)),0))</f>
        <v/>
      </c>
      <c r="H204" s="49" t="n"/>
      <c r="I204" s="49" t="n"/>
      <c r="J204" s="49" t="n"/>
      <c r="K204" s="49" t="n"/>
      <c r="L204" s="49" t="n"/>
      <c r="M204" s="64" t="n"/>
      <c r="N204" s="49" t="n"/>
      <c r="O204" s="49" t="n"/>
      <c r="P204" s="49" t="n"/>
      <c r="Q204" s="49" t="n"/>
      <c r="R204" s="49" t="n"/>
      <c r="S204" s="63">
        <f>IF($C204="","",SUM($G204:$L204))</f>
        <v/>
      </c>
      <c r="T204" s="63">
        <f>IF($C204="","",SUM($N204:$R204))</f>
        <v/>
      </c>
      <c r="U204" s="63">
        <f>IF($C204="","",$S204-$T204)</f>
        <v/>
      </c>
      <c r="V204" s="47" t="n"/>
      <c r="W204" s="112" t="n"/>
      <c r="X204" s="47" t="n"/>
      <c r="Y204" s="50">
        <f>IF($C204="","",IF(SUMPRODUCT(($C$3:$C$502=$C204)*($A$3:$A$502=$A204)*($B$3:$B$502=$B204))&gt;1,"⚠ مكرر","سليم"))</f>
        <v/>
      </c>
      <c r="Z204">
        <f>IF(AND($C204&lt;&gt;"",$A204=تقرير_الشهر,$B204=تقرير_السنة),SUMPRODUCT(($C$3:$C$502&lt;&gt;"")*($A$3:$A$502=تقرير_الشهر)*($B$3:$B$502=تقرير_السنة)*(ROW($C$3:$C$502)&lt;=ROW())),"")</f>
        <v/>
      </c>
    </row>
    <row r="205">
      <c r="A205" s="40" t="n"/>
      <c r="B205" s="59" t="n"/>
      <c r="C205" s="40" t="n"/>
      <c r="D205" s="43">
        <f>IFERROR(INDEX(الموظفون_الاسم,MATCH($C205,الموظفون_الرقم,0)),"")</f>
        <v/>
      </c>
      <c r="E205" s="43">
        <f>IFERROR(INDEX(الموظفون_الإدارة,MATCH($C205,الموظفون_الرقم,0)),"")</f>
        <v/>
      </c>
      <c r="F205" s="43">
        <f>IFERROR(INDEX(الموظفون_القسم,MATCH($C205,الموظفون_الرقم,0)),"")</f>
        <v/>
      </c>
      <c r="G205" s="60">
        <f>IF($C205="","",IFERROR(INDEX(الموظفون_الاساسي,MATCH($C205,الموظفون_الرقم,0)),0))</f>
        <v/>
      </c>
      <c r="H205" s="42" t="n"/>
      <c r="I205" s="42" t="n"/>
      <c r="J205" s="42" t="n"/>
      <c r="K205" s="42" t="n"/>
      <c r="L205" s="42" t="n"/>
      <c r="M205" s="61" t="n"/>
      <c r="N205" s="42" t="n"/>
      <c r="O205" s="42" t="n"/>
      <c r="P205" s="42" t="n"/>
      <c r="Q205" s="42" t="n"/>
      <c r="R205" s="42" t="n"/>
      <c r="S205" s="60">
        <f>IF($C205="","",SUM($G205:$L205))</f>
        <v/>
      </c>
      <c r="T205" s="60">
        <f>IF($C205="","",SUM($N205:$R205))</f>
        <v/>
      </c>
      <c r="U205" s="60">
        <f>IF($C205="","",$S205-$T205)</f>
        <v/>
      </c>
      <c r="V205" s="40" t="n"/>
      <c r="W205" s="110" t="n"/>
      <c r="X205" s="40" t="n"/>
      <c r="Y205" s="43">
        <f>IF($C205="","",IF(SUMPRODUCT(($C$3:$C$502=$C205)*($A$3:$A$502=$A205)*($B$3:$B$502=$B205))&gt;1,"⚠ مكرر","سليم"))</f>
        <v/>
      </c>
      <c r="Z205">
        <f>IF(AND($C205&lt;&gt;"",$A205=تقرير_الشهر,$B205=تقرير_السنة),SUMPRODUCT(($C$3:$C$502&lt;&gt;"")*($A$3:$A$502=تقرير_الشهر)*($B$3:$B$502=تقرير_السنة)*(ROW($C$3:$C$502)&lt;=ROW())),"")</f>
        <v/>
      </c>
    </row>
    <row r="206">
      <c r="A206" s="47" t="n"/>
      <c r="B206" s="62" t="n"/>
      <c r="C206" s="47" t="n"/>
      <c r="D206" s="50">
        <f>IFERROR(INDEX(الموظفون_الاسم,MATCH($C206,الموظفون_الرقم,0)),"")</f>
        <v/>
      </c>
      <c r="E206" s="50">
        <f>IFERROR(INDEX(الموظفون_الإدارة,MATCH($C206,الموظفون_الرقم,0)),"")</f>
        <v/>
      </c>
      <c r="F206" s="50">
        <f>IFERROR(INDEX(الموظفون_القسم,MATCH($C206,الموظفون_الرقم,0)),"")</f>
        <v/>
      </c>
      <c r="G206" s="63">
        <f>IF($C206="","",IFERROR(INDEX(الموظفون_الاساسي,MATCH($C206,الموظفون_الرقم,0)),0))</f>
        <v/>
      </c>
      <c r="H206" s="49" t="n"/>
      <c r="I206" s="49" t="n"/>
      <c r="J206" s="49" t="n"/>
      <c r="K206" s="49" t="n"/>
      <c r="L206" s="49" t="n"/>
      <c r="M206" s="64" t="n"/>
      <c r="N206" s="49" t="n"/>
      <c r="O206" s="49" t="n"/>
      <c r="P206" s="49" t="n"/>
      <c r="Q206" s="49" t="n"/>
      <c r="R206" s="49" t="n"/>
      <c r="S206" s="63">
        <f>IF($C206="","",SUM($G206:$L206))</f>
        <v/>
      </c>
      <c r="T206" s="63">
        <f>IF($C206="","",SUM($N206:$R206))</f>
        <v/>
      </c>
      <c r="U206" s="63">
        <f>IF($C206="","",$S206-$T206)</f>
        <v/>
      </c>
      <c r="V206" s="47" t="n"/>
      <c r="W206" s="112" t="n"/>
      <c r="X206" s="47" t="n"/>
      <c r="Y206" s="50">
        <f>IF($C206="","",IF(SUMPRODUCT(($C$3:$C$502=$C206)*($A$3:$A$502=$A206)*($B$3:$B$502=$B206))&gt;1,"⚠ مكرر","سليم"))</f>
        <v/>
      </c>
      <c r="Z206">
        <f>IF(AND($C206&lt;&gt;"",$A206=تقرير_الشهر,$B206=تقرير_السنة),SUMPRODUCT(($C$3:$C$502&lt;&gt;"")*($A$3:$A$502=تقرير_الشهر)*($B$3:$B$502=تقرير_السنة)*(ROW($C$3:$C$502)&lt;=ROW())),"")</f>
        <v/>
      </c>
    </row>
    <row r="207">
      <c r="A207" s="40" t="n"/>
      <c r="B207" s="59" t="n"/>
      <c r="C207" s="40" t="n"/>
      <c r="D207" s="43">
        <f>IFERROR(INDEX(الموظفون_الاسم,MATCH($C207,الموظفون_الرقم,0)),"")</f>
        <v/>
      </c>
      <c r="E207" s="43">
        <f>IFERROR(INDEX(الموظفون_الإدارة,MATCH($C207,الموظفون_الرقم,0)),"")</f>
        <v/>
      </c>
      <c r="F207" s="43">
        <f>IFERROR(INDEX(الموظفون_القسم,MATCH($C207,الموظفون_الرقم,0)),"")</f>
        <v/>
      </c>
      <c r="G207" s="60">
        <f>IF($C207="","",IFERROR(INDEX(الموظفون_الاساسي,MATCH($C207,الموظفون_الرقم,0)),0))</f>
        <v/>
      </c>
      <c r="H207" s="42" t="n"/>
      <c r="I207" s="42" t="n"/>
      <c r="J207" s="42" t="n"/>
      <c r="K207" s="42" t="n"/>
      <c r="L207" s="42" t="n"/>
      <c r="M207" s="61" t="n"/>
      <c r="N207" s="42" t="n"/>
      <c r="O207" s="42" t="n"/>
      <c r="P207" s="42" t="n"/>
      <c r="Q207" s="42" t="n"/>
      <c r="R207" s="42" t="n"/>
      <c r="S207" s="60">
        <f>IF($C207="","",SUM($G207:$L207))</f>
        <v/>
      </c>
      <c r="T207" s="60">
        <f>IF($C207="","",SUM($N207:$R207))</f>
        <v/>
      </c>
      <c r="U207" s="60">
        <f>IF($C207="","",$S207-$T207)</f>
        <v/>
      </c>
      <c r="V207" s="40" t="n"/>
      <c r="W207" s="110" t="n"/>
      <c r="X207" s="40" t="n"/>
      <c r="Y207" s="43">
        <f>IF($C207="","",IF(SUMPRODUCT(($C$3:$C$502=$C207)*($A$3:$A$502=$A207)*($B$3:$B$502=$B207))&gt;1,"⚠ مكرر","سليم"))</f>
        <v/>
      </c>
      <c r="Z207">
        <f>IF(AND($C207&lt;&gt;"",$A207=تقرير_الشهر,$B207=تقرير_السنة),SUMPRODUCT(($C$3:$C$502&lt;&gt;"")*($A$3:$A$502=تقرير_الشهر)*($B$3:$B$502=تقرير_السنة)*(ROW($C$3:$C$502)&lt;=ROW())),"")</f>
        <v/>
      </c>
    </row>
    <row r="208">
      <c r="A208" s="47" t="n"/>
      <c r="B208" s="62" t="n"/>
      <c r="C208" s="47" t="n"/>
      <c r="D208" s="50">
        <f>IFERROR(INDEX(الموظفون_الاسم,MATCH($C208,الموظفون_الرقم,0)),"")</f>
        <v/>
      </c>
      <c r="E208" s="50">
        <f>IFERROR(INDEX(الموظفون_الإدارة,MATCH($C208,الموظفون_الرقم,0)),"")</f>
        <v/>
      </c>
      <c r="F208" s="50">
        <f>IFERROR(INDEX(الموظفون_القسم,MATCH($C208,الموظفون_الرقم,0)),"")</f>
        <v/>
      </c>
      <c r="G208" s="63">
        <f>IF($C208="","",IFERROR(INDEX(الموظفون_الاساسي,MATCH($C208,الموظفون_الرقم,0)),0))</f>
        <v/>
      </c>
      <c r="H208" s="49" t="n"/>
      <c r="I208" s="49" t="n"/>
      <c r="J208" s="49" t="n"/>
      <c r="K208" s="49" t="n"/>
      <c r="L208" s="49" t="n"/>
      <c r="M208" s="64" t="n"/>
      <c r="N208" s="49" t="n"/>
      <c r="O208" s="49" t="n"/>
      <c r="P208" s="49" t="n"/>
      <c r="Q208" s="49" t="n"/>
      <c r="R208" s="49" t="n"/>
      <c r="S208" s="63">
        <f>IF($C208="","",SUM($G208:$L208))</f>
        <v/>
      </c>
      <c r="T208" s="63">
        <f>IF($C208="","",SUM($N208:$R208))</f>
        <v/>
      </c>
      <c r="U208" s="63">
        <f>IF($C208="","",$S208-$T208)</f>
        <v/>
      </c>
      <c r="V208" s="47" t="n"/>
      <c r="W208" s="112" t="n"/>
      <c r="X208" s="47" t="n"/>
      <c r="Y208" s="50">
        <f>IF($C208="","",IF(SUMPRODUCT(($C$3:$C$502=$C208)*($A$3:$A$502=$A208)*($B$3:$B$502=$B208))&gt;1,"⚠ مكرر","سليم"))</f>
        <v/>
      </c>
      <c r="Z208">
        <f>IF(AND($C208&lt;&gt;"",$A208=تقرير_الشهر,$B208=تقرير_السنة),SUMPRODUCT(($C$3:$C$502&lt;&gt;"")*($A$3:$A$502=تقرير_الشهر)*($B$3:$B$502=تقرير_السنة)*(ROW($C$3:$C$502)&lt;=ROW())),"")</f>
        <v/>
      </c>
    </row>
    <row r="209">
      <c r="A209" s="40" t="n"/>
      <c r="B209" s="59" t="n"/>
      <c r="C209" s="40" t="n"/>
      <c r="D209" s="43">
        <f>IFERROR(INDEX(الموظفون_الاسم,MATCH($C209,الموظفون_الرقم,0)),"")</f>
        <v/>
      </c>
      <c r="E209" s="43">
        <f>IFERROR(INDEX(الموظفون_الإدارة,MATCH($C209,الموظفون_الرقم,0)),"")</f>
        <v/>
      </c>
      <c r="F209" s="43">
        <f>IFERROR(INDEX(الموظفون_القسم,MATCH($C209,الموظفون_الرقم,0)),"")</f>
        <v/>
      </c>
      <c r="G209" s="60">
        <f>IF($C209="","",IFERROR(INDEX(الموظفون_الاساسي,MATCH($C209,الموظفون_الرقم,0)),0))</f>
        <v/>
      </c>
      <c r="H209" s="42" t="n"/>
      <c r="I209" s="42" t="n"/>
      <c r="J209" s="42" t="n"/>
      <c r="K209" s="42" t="n"/>
      <c r="L209" s="42" t="n"/>
      <c r="M209" s="61" t="n"/>
      <c r="N209" s="42" t="n"/>
      <c r="O209" s="42" t="n"/>
      <c r="P209" s="42" t="n"/>
      <c r="Q209" s="42" t="n"/>
      <c r="R209" s="42" t="n"/>
      <c r="S209" s="60">
        <f>IF($C209="","",SUM($G209:$L209))</f>
        <v/>
      </c>
      <c r="T209" s="60">
        <f>IF($C209="","",SUM($N209:$R209))</f>
        <v/>
      </c>
      <c r="U209" s="60">
        <f>IF($C209="","",$S209-$T209)</f>
        <v/>
      </c>
      <c r="V209" s="40" t="n"/>
      <c r="W209" s="110" t="n"/>
      <c r="X209" s="40" t="n"/>
      <c r="Y209" s="43">
        <f>IF($C209="","",IF(SUMPRODUCT(($C$3:$C$502=$C209)*($A$3:$A$502=$A209)*($B$3:$B$502=$B209))&gt;1,"⚠ مكرر","سليم"))</f>
        <v/>
      </c>
      <c r="Z209">
        <f>IF(AND($C209&lt;&gt;"",$A209=تقرير_الشهر,$B209=تقرير_السنة),SUMPRODUCT(($C$3:$C$502&lt;&gt;"")*($A$3:$A$502=تقرير_الشهر)*($B$3:$B$502=تقرير_السنة)*(ROW($C$3:$C$502)&lt;=ROW())),"")</f>
        <v/>
      </c>
    </row>
    <row r="210">
      <c r="A210" s="47" t="n"/>
      <c r="B210" s="62" t="n"/>
      <c r="C210" s="47" t="n"/>
      <c r="D210" s="50">
        <f>IFERROR(INDEX(الموظفون_الاسم,MATCH($C210,الموظفون_الرقم,0)),"")</f>
        <v/>
      </c>
      <c r="E210" s="50">
        <f>IFERROR(INDEX(الموظفون_الإدارة,MATCH($C210,الموظفون_الرقم,0)),"")</f>
        <v/>
      </c>
      <c r="F210" s="50">
        <f>IFERROR(INDEX(الموظفون_القسم,MATCH($C210,الموظفون_الرقم,0)),"")</f>
        <v/>
      </c>
      <c r="G210" s="63">
        <f>IF($C210="","",IFERROR(INDEX(الموظفون_الاساسي,MATCH($C210,الموظفون_الرقم,0)),0))</f>
        <v/>
      </c>
      <c r="H210" s="49" t="n"/>
      <c r="I210" s="49" t="n"/>
      <c r="J210" s="49" t="n"/>
      <c r="K210" s="49" t="n"/>
      <c r="L210" s="49" t="n"/>
      <c r="M210" s="64" t="n"/>
      <c r="N210" s="49" t="n"/>
      <c r="O210" s="49" t="n"/>
      <c r="P210" s="49" t="n"/>
      <c r="Q210" s="49" t="n"/>
      <c r="R210" s="49" t="n"/>
      <c r="S210" s="63">
        <f>IF($C210="","",SUM($G210:$L210))</f>
        <v/>
      </c>
      <c r="T210" s="63">
        <f>IF($C210="","",SUM($N210:$R210))</f>
        <v/>
      </c>
      <c r="U210" s="63">
        <f>IF($C210="","",$S210-$T210)</f>
        <v/>
      </c>
      <c r="V210" s="47" t="n"/>
      <c r="W210" s="112" t="n"/>
      <c r="X210" s="47" t="n"/>
      <c r="Y210" s="50">
        <f>IF($C210="","",IF(SUMPRODUCT(($C$3:$C$502=$C210)*($A$3:$A$502=$A210)*($B$3:$B$502=$B210))&gt;1,"⚠ مكرر","سليم"))</f>
        <v/>
      </c>
      <c r="Z210">
        <f>IF(AND($C210&lt;&gt;"",$A210=تقرير_الشهر,$B210=تقرير_السنة),SUMPRODUCT(($C$3:$C$502&lt;&gt;"")*($A$3:$A$502=تقرير_الشهر)*($B$3:$B$502=تقرير_السنة)*(ROW($C$3:$C$502)&lt;=ROW())),"")</f>
        <v/>
      </c>
    </row>
    <row r="211">
      <c r="A211" s="40" t="n"/>
      <c r="B211" s="59" t="n"/>
      <c r="C211" s="40" t="n"/>
      <c r="D211" s="43">
        <f>IFERROR(INDEX(الموظفون_الاسم,MATCH($C211,الموظفون_الرقم,0)),"")</f>
        <v/>
      </c>
      <c r="E211" s="43">
        <f>IFERROR(INDEX(الموظفون_الإدارة,MATCH($C211,الموظفون_الرقم,0)),"")</f>
        <v/>
      </c>
      <c r="F211" s="43">
        <f>IFERROR(INDEX(الموظفون_القسم,MATCH($C211,الموظفون_الرقم,0)),"")</f>
        <v/>
      </c>
      <c r="G211" s="60">
        <f>IF($C211="","",IFERROR(INDEX(الموظفون_الاساسي,MATCH($C211,الموظفون_الرقم,0)),0))</f>
        <v/>
      </c>
      <c r="H211" s="42" t="n"/>
      <c r="I211" s="42" t="n"/>
      <c r="J211" s="42" t="n"/>
      <c r="K211" s="42" t="n"/>
      <c r="L211" s="42" t="n"/>
      <c r="M211" s="61" t="n"/>
      <c r="N211" s="42" t="n"/>
      <c r="O211" s="42" t="n"/>
      <c r="P211" s="42" t="n"/>
      <c r="Q211" s="42" t="n"/>
      <c r="R211" s="42" t="n"/>
      <c r="S211" s="60">
        <f>IF($C211="","",SUM($G211:$L211))</f>
        <v/>
      </c>
      <c r="T211" s="60">
        <f>IF($C211="","",SUM($N211:$R211))</f>
        <v/>
      </c>
      <c r="U211" s="60">
        <f>IF($C211="","",$S211-$T211)</f>
        <v/>
      </c>
      <c r="V211" s="40" t="n"/>
      <c r="W211" s="110" t="n"/>
      <c r="X211" s="40" t="n"/>
      <c r="Y211" s="43">
        <f>IF($C211="","",IF(SUMPRODUCT(($C$3:$C$502=$C211)*($A$3:$A$502=$A211)*($B$3:$B$502=$B211))&gt;1,"⚠ مكرر","سليم"))</f>
        <v/>
      </c>
      <c r="Z211">
        <f>IF(AND($C211&lt;&gt;"",$A211=تقرير_الشهر,$B211=تقرير_السنة),SUMPRODUCT(($C$3:$C$502&lt;&gt;"")*($A$3:$A$502=تقرير_الشهر)*($B$3:$B$502=تقرير_السنة)*(ROW($C$3:$C$502)&lt;=ROW())),"")</f>
        <v/>
      </c>
    </row>
    <row r="212">
      <c r="A212" s="47" t="n"/>
      <c r="B212" s="62" t="n"/>
      <c r="C212" s="47" t="n"/>
      <c r="D212" s="50">
        <f>IFERROR(INDEX(الموظفون_الاسم,MATCH($C212,الموظفون_الرقم,0)),"")</f>
        <v/>
      </c>
      <c r="E212" s="50">
        <f>IFERROR(INDEX(الموظفون_الإدارة,MATCH($C212,الموظفون_الرقم,0)),"")</f>
        <v/>
      </c>
      <c r="F212" s="50">
        <f>IFERROR(INDEX(الموظفون_القسم,MATCH($C212,الموظفون_الرقم,0)),"")</f>
        <v/>
      </c>
      <c r="G212" s="63">
        <f>IF($C212="","",IFERROR(INDEX(الموظفون_الاساسي,MATCH($C212,الموظفون_الرقم,0)),0))</f>
        <v/>
      </c>
      <c r="H212" s="49" t="n"/>
      <c r="I212" s="49" t="n"/>
      <c r="J212" s="49" t="n"/>
      <c r="K212" s="49" t="n"/>
      <c r="L212" s="49" t="n"/>
      <c r="M212" s="64" t="n"/>
      <c r="N212" s="49" t="n"/>
      <c r="O212" s="49" t="n"/>
      <c r="P212" s="49" t="n"/>
      <c r="Q212" s="49" t="n"/>
      <c r="R212" s="49" t="n"/>
      <c r="S212" s="63">
        <f>IF($C212="","",SUM($G212:$L212))</f>
        <v/>
      </c>
      <c r="T212" s="63">
        <f>IF($C212="","",SUM($N212:$R212))</f>
        <v/>
      </c>
      <c r="U212" s="63">
        <f>IF($C212="","",$S212-$T212)</f>
        <v/>
      </c>
      <c r="V212" s="47" t="n"/>
      <c r="W212" s="112" t="n"/>
      <c r="X212" s="47" t="n"/>
      <c r="Y212" s="50">
        <f>IF($C212="","",IF(SUMPRODUCT(($C$3:$C$502=$C212)*($A$3:$A$502=$A212)*($B$3:$B$502=$B212))&gt;1,"⚠ مكرر","سليم"))</f>
        <v/>
      </c>
      <c r="Z212">
        <f>IF(AND($C212&lt;&gt;"",$A212=تقرير_الشهر,$B212=تقرير_السنة),SUMPRODUCT(($C$3:$C$502&lt;&gt;"")*($A$3:$A$502=تقرير_الشهر)*($B$3:$B$502=تقرير_السنة)*(ROW($C$3:$C$502)&lt;=ROW())),"")</f>
        <v/>
      </c>
    </row>
    <row r="213">
      <c r="A213" s="40" t="n"/>
      <c r="B213" s="59" t="n"/>
      <c r="C213" s="40" t="n"/>
      <c r="D213" s="43">
        <f>IFERROR(INDEX(الموظفون_الاسم,MATCH($C213,الموظفون_الرقم,0)),"")</f>
        <v/>
      </c>
      <c r="E213" s="43">
        <f>IFERROR(INDEX(الموظفون_الإدارة,MATCH($C213,الموظفون_الرقم,0)),"")</f>
        <v/>
      </c>
      <c r="F213" s="43">
        <f>IFERROR(INDEX(الموظفون_القسم,MATCH($C213,الموظفون_الرقم,0)),"")</f>
        <v/>
      </c>
      <c r="G213" s="60">
        <f>IF($C213="","",IFERROR(INDEX(الموظفون_الاساسي,MATCH($C213,الموظفون_الرقم,0)),0))</f>
        <v/>
      </c>
      <c r="H213" s="42" t="n"/>
      <c r="I213" s="42" t="n"/>
      <c r="J213" s="42" t="n"/>
      <c r="K213" s="42" t="n"/>
      <c r="L213" s="42" t="n"/>
      <c r="M213" s="61" t="n"/>
      <c r="N213" s="42" t="n"/>
      <c r="O213" s="42" t="n"/>
      <c r="P213" s="42" t="n"/>
      <c r="Q213" s="42" t="n"/>
      <c r="R213" s="42" t="n"/>
      <c r="S213" s="60">
        <f>IF($C213="","",SUM($G213:$L213))</f>
        <v/>
      </c>
      <c r="T213" s="60">
        <f>IF($C213="","",SUM($N213:$R213))</f>
        <v/>
      </c>
      <c r="U213" s="60">
        <f>IF($C213="","",$S213-$T213)</f>
        <v/>
      </c>
      <c r="V213" s="40" t="n"/>
      <c r="W213" s="110" t="n"/>
      <c r="X213" s="40" t="n"/>
      <c r="Y213" s="43">
        <f>IF($C213="","",IF(SUMPRODUCT(($C$3:$C$502=$C213)*($A$3:$A$502=$A213)*($B$3:$B$502=$B213))&gt;1,"⚠ مكرر","سليم"))</f>
        <v/>
      </c>
      <c r="Z213">
        <f>IF(AND($C213&lt;&gt;"",$A213=تقرير_الشهر,$B213=تقرير_السنة),SUMPRODUCT(($C$3:$C$502&lt;&gt;"")*($A$3:$A$502=تقرير_الشهر)*($B$3:$B$502=تقرير_السنة)*(ROW($C$3:$C$502)&lt;=ROW())),"")</f>
        <v/>
      </c>
    </row>
    <row r="214">
      <c r="A214" s="47" t="n"/>
      <c r="B214" s="62" t="n"/>
      <c r="C214" s="47" t="n"/>
      <c r="D214" s="50">
        <f>IFERROR(INDEX(الموظفون_الاسم,MATCH($C214,الموظفون_الرقم,0)),"")</f>
        <v/>
      </c>
      <c r="E214" s="50">
        <f>IFERROR(INDEX(الموظفون_الإدارة,MATCH($C214,الموظفون_الرقم,0)),"")</f>
        <v/>
      </c>
      <c r="F214" s="50">
        <f>IFERROR(INDEX(الموظفون_القسم,MATCH($C214,الموظفون_الرقم,0)),"")</f>
        <v/>
      </c>
      <c r="G214" s="63">
        <f>IF($C214="","",IFERROR(INDEX(الموظفون_الاساسي,MATCH($C214,الموظفون_الرقم,0)),0))</f>
        <v/>
      </c>
      <c r="H214" s="49" t="n"/>
      <c r="I214" s="49" t="n"/>
      <c r="J214" s="49" t="n"/>
      <c r="K214" s="49" t="n"/>
      <c r="L214" s="49" t="n"/>
      <c r="M214" s="64" t="n"/>
      <c r="N214" s="49" t="n"/>
      <c r="O214" s="49" t="n"/>
      <c r="P214" s="49" t="n"/>
      <c r="Q214" s="49" t="n"/>
      <c r="R214" s="49" t="n"/>
      <c r="S214" s="63">
        <f>IF($C214="","",SUM($G214:$L214))</f>
        <v/>
      </c>
      <c r="T214" s="63">
        <f>IF($C214="","",SUM($N214:$R214))</f>
        <v/>
      </c>
      <c r="U214" s="63">
        <f>IF($C214="","",$S214-$T214)</f>
        <v/>
      </c>
      <c r="V214" s="47" t="n"/>
      <c r="W214" s="112" t="n"/>
      <c r="X214" s="47" t="n"/>
      <c r="Y214" s="50">
        <f>IF($C214="","",IF(SUMPRODUCT(($C$3:$C$502=$C214)*($A$3:$A$502=$A214)*($B$3:$B$502=$B214))&gt;1,"⚠ مكرر","سليم"))</f>
        <v/>
      </c>
      <c r="Z214">
        <f>IF(AND($C214&lt;&gt;"",$A214=تقرير_الشهر,$B214=تقرير_السنة),SUMPRODUCT(($C$3:$C$502&lt;&gt;"")*($A$3:$A$502=تقرير_الشهر)*($B$3:$B$502=تقرير_السنة)*(ROW($C$3:$C$502)&lt;=ROW())),"")</f>
        <v/>
      </c>
    </row>
    <row r="215">
      <c r="A215" s="40" t="n"/>
      <c r="B215" s="59" t="n"/>
      <c r="C215" s="40" t="n"/>
      <c r="D215" s="43">
        <f>IFERROR(INDEX(الموظفون_الاسم,MATCH($C215,الموظفون_الرقم,0)),"")</f>
        <v/>
      </c>
      <c r="E215" s="43">
        <f>IFERROR(INDEX(الموظفون_الإدارة,MATCH($C215,الموظفون_الرقم,0)),"")</f>
        <v/>
      </c>
      <c r="F215" s="43">
        <f>IFERROR(INDEX(الموظفون_القسم,MATCH($C215,الموظفون_الرقم,0)),"")</f>
        <v/>
      </c>
      <c r="G215" s="60">
        <f>IF($C215="","",IFERROR(INDEX(الموظفون_الاساسي,MATCH($C215,الموظفون_الرقم,0)),0))</f>
        <v/>
      </c>
      <c r="H215" s="42" t="n"/>
      <c r="I215" s="42" t="n"/>
      <c r="J215" s="42" t="n"/>
      <c r="K215" s="42" t="n"/>
      <c r="L215" s="42" t="n"/>
      <c r="M215" s="61" t="n"/>
      <c r="N215" s="42" t="n"/>
      <c r="O215" s="42" t="n"/>
      <c r="P215" s="42" t="n"/>
      <c r="Q215" s="42" t="n"/>
      <c r="R215" s="42" t="n"/>
      <c r="S215" s="60">
        <f>IF($C215="","",SUM($G215:$L215))</f>
        <v/>
      </c>
      <c r="T215" s="60">
        <f>IF($C215="","",SUM($N215:$R215))</f>
        <v/>
      </c>
      <c r="U215" s="60">
        <f>IF($C215="","",$S215-$T215)</f>
        <v/>
      </c>
      <c r="V215" s="40" t="n"/>
      <c r="W215" s="110" t="n"/>
      <c r="X215" s="40" t="n"/>
      <c r="Y215" s="43">
        <f>IF($C215="","",IF(SUMPRODUCT(($C$3:$C$502=$C215)*($A$3:$A$502=$A215)*($B$3:$B$502=$B215))&gt;1,"⚠ مكرر","سليم"))</f>
        <v/>
      </c>
      <c r="Z215">
        <f>IF(AND($C215&lt;&gt;"",$A215=تقرير_الشهر,$B215=تقرير_السنة),SUMPRODUCT(($C$3:$C$502&lt;&gt;"")*($A$3:$A$502=تقرير_الشهر)*($B$3:$B$502=تقرير_السنة)*(ROW($C$3:$C$502)&lt;=ROW())),"")</f>
        <v/>
      </c>
    </row>
    <row r="216">
      <c r="A216" s="47" t="n"/>
      <c r="B216" s="62" t="n"/>
      <c r="C216" s="47" t="n"/>
      <c r="D216" s="50">
        <f>IFERROR(INDEX(الموظفون_الاسم,MATCH($C216,الموظفون_الرقم,0)),"")</f>
        <v/>
      </c>
      <c r="E216" s="50">
        <f>IFERROR(INDEX(الموظفون_الإدارة,MATCH($C216,الموظفون_الرقم,0)),"")</f>
        <v/>
      </c>
      <c r="F216" s="50">
        <f>IFERROR(INDEX(الموظفون_القسم,MATCH($C216,الموظفون_الرقم,0)),"")</f>
        <v/>
      </c>
      <c r="G216" s="63">
        <f>IF($C216="","",IFERROR(INDEX(الموظفون_الاساسي,MATCH($C216,الموظفون_الرقم,0)),0))</f>
        <v/>
      </c>
      <c r="H216" s="49" t="n"/>
      <c r="I216" s="49" t="n"/>
      <c r="J216" s="49" t="n"/>
      <c r="K216" s="49" t="n"/>
      <c r="L216" s="49" t="n"/>
      <c r="M216" s="64" t="n"/>
      <c r="N216" s="49" t="n"/>
      <c r="O216" s="49" t="n"/>
      <c r="P216" s="49" t="n"/>
      <c r="Q216" s="49" t="n"/>
      <c r="R216" s="49" t="n"/>
      <c r="S216" s="63">
        <f>IF($C216="","",SUM($G216:$L216))</f>
        <v/>
      </c>
      <c r="T216" s="63">
        <f>IF($C216="","",SUM($N216:$R216))</f>
        <v/>
      </c>
      <c r="U216" s="63">
        <f>IF($C216="","",$S216-$T216)</f>
        <v/>
      </c>
      <c r="V216" s="47" t="n"/>
      <c r="W216" s="112" t="n"/>
      <c r="X216" s="47" t="n"/>
      <c r="Y216" s="50">
        <f>IF($C216="","",IF(SUMPRODUCT(($C$3:$C$502=$C216)*($A$3:$A$502=$A216)*($B$3:$B$502=$B216))&gt;1,"⚠ مكرر","سليم"))</f>
        <v/>
      </c>
      <c r="Z216">
        <f>IF(AND($C216&lt;&gt;"",$A216=تقرير_الشهر,$B216=تقرير_السنة),SUMPRODUCT(($C$3:$C$502&lt;&gt;"")*($A$3:$A$502=تقرير_الشهر)*($B$3:$B$502=تقرير_السنة)*(ROW($C$3:$C$502)&lt;=ROW())),"")</f>
        <v/>
      </c>
    </row>
    <row r="217">
      <c r="A217" s="40" t="n"/>
      <c r="B217" s="59" t="n"/>
      <c r="C217" s="40" t="n"/>
      <c r="D217" s="43">
        <f>IFERROR(INDEX(الموظفون_الاسم,MATCH($C217,الموظفون_الرقم,0)),"")</f>
        <v/>
      </c>
      <c r="E217" s="43">
        <f>IFERROR(INDEX(الموظفون_الإدارة,MATCH($C217,الموظفون_الرقم,0)),"")</f>
        <v/>
      </c>
      <c r="F217" s="43">
        <f>IFERROR(INDEX(الموظفون_القسم,MATCH($C217,الموظفون_الرقم,0)),"")</f>
        <v/>
      </c>
      <c r="G217" s="60">
        <f>IF($C217="","",IFERROR(INDEX(الموظفون_الاساسي,MATCH($C217,الموظفون_الرقم,0)),0))</f>
        <v/>
      </c>
      <c r="H217" s="42" t="n"/>
      <c r="I217" s="42" t="n"/>
      <c r="J217" s="42" t="n"/>
      <c r="K217" s="42" t="n"/>
      <c r="L217" s="42" t="n"/>
      <c r="M217" s="61" t="n"/>
      <c r="N217" s="42" t="n"/>
      <c r="O217" s="42" t="n"/>
      <c r="P217" s="42" t="n"/>
      <c r="Q217" s="42" t="n"/>
      <c r="R217" s="42" t="n"/>
      <c r="S217" s="60">
        <f>IF($C217="","",SUM($G217:$L217))</f>
        <v/>
      </c>
      <c r="T217" s="60">
        <f>IF($C217="","",SUM($N217:$R217))</f>
        <v/>
      </c>
      <c r="U217" s="60">
        <f>IF($C217="","",$S217-$T217)</f>
        <v/>
      </c>
      <c r="V217" s="40" t="n"/>
      <c r="W217" s="110" t="n"/>
      <c r="X217" s="40" t="n"/>
      <c r="Y217" s="43">
        <f>IF($C217="","",IF(SUMPRODUCT(($C$3:$C$502=$C217)*($A$3:$A$502=$A217)*($B$3:$B$502=$B217))&gt;1,"⚠ مكرر","سليم"))</f>
        <v/>
      </c>
      <c r="Z217">
        <f>IF(AND($C217&lt;&gt;"",$A217=تقرير_الشهر,$B217=تقرير_السنة),SUMPRODUCT(($C$3:$C$502&lt;&gt;"")*($A$3:$A$502=تقرير_الشهر)*($B$3:$B$502=تقرير_السنة)*(ROW($C$3:$C$502)&lt;=ROW())),"")</f>
        <v/>
      </c>
    </row>
    <row r="218">
      <c r="A218" s="47" t="n"/>
      <c r="B218" s="62" t="n"/>
      <c r="C218" s="47" t="n"/>
      <c r="D218" s="50">
        <f>IFERROR(INDEX(الموظفون_الاسم,MATCH($C218,الموظفون_الرقم,0)),"")</f>
        <v/>
      </c>
      <c r="E218" s="50">
        <f>IFERROR(INDEX(الموظفون_الإدارة,MATCH($C218,الموظفون_الرقم,0)),"")</f>
        <v/>
      </c>
      <c r="F218" s="50">
        <f>IFERROR(INDEX(الموظفون_القسم,MATCH($C218,الموظفون_الرقم,0)),"")</f>
        <v/>
      </c>
      <c r="G218" s="63">
        <f>IF($C218="","",IFERROR(INDEX(الموظفون_الاساسي,MATCH($C218,الموظفون_الرقم,0)),0))</f>
        <v/>
      </c>
      <c r="H218" s="49" t="n"/>
      <c r="I218" s="49" t="n"/>
      <c r="J218" s="49" t="n"/>
      <c r="K218" s="49" t="n"/>
      <c r="L218" s="49" t="n"/>
      <c r="M218" s="64" t="n"/>
      <c r="N218" s="49" t="n"/>
      <c r="O218" s="49" t="n"/>
      <c r="P218" s="49" t="n"/>
      <c r="Q218" s="49" t="n"/>
      <c r="R218" s="49" t="n"/>
      <c r="S218" s="63">
        <f>IF($C218="","",SUM($G218:$L218))</f>
        <v/>
      </c>
      <c r="T218" s="63">
        <f>IF($C218="","",SUM($N218:$R218))</f>
        <v/>
      </c>
      <c r="U218" s="63">
        <f>IF($C218="","",$S218-$T218)</f>
        <v/>
      </c>
      <c r="V218" s="47" t="n"/>
      <c r="W218" s="112" t="n"/>
      <c r="X218" s="47" t="n"/>
      <c r="Y218" s="50">
        <f>IF($C218="","",IF(SUMPRODUCT(($C$3:$C$502=$C218)*($A$3:$A$502=$A218)*($B$3:$B$502=$B218))&gt;1,"⚠ مكرر","سليم"))</f>
        <v/>
      </c>
      <c r="Z218">
        <f>IF(AND($C218&lt;&gt;"",$A218=تقرير_الشهر,$B218=تقرير_السنة),SUMPRODUCT(($C$3:$C$502&lt;&gt;"")*($A$3:$A$502=تقرير_الشهر)*($B$3:$B$502=تقرير_السنة)*(ROW($C$3:$C$502)&lt;=ROW())),"")</f>
        <v/>
      </c>
    </row>
    <row r="219">
      <c r="A219" s="40" t="n"/>
      <c r="B219" s="59" t="n"/>
      <c r="C219" s="40" t="n"/>
      <c r="D219" s="43">
        <f>IFERROR(INDEX(الموظفون_الاسم,MATCH($C219,الموظفون_الرقم,0)),"")</f>
        <v/>
      </c>
      <c r="E219" s="43">
        <f>IFERROR(INDEX(الموظفون_الإدارة,MATCH($C219,الموظفون_الرقم,0)),"")</f>
        <v/>
      </c>
      <c r="F219" s="43">
        <f>IFERROR(INDEX(الموظفون_القسم,MATCH($C219,الموظفون_الرقم,0)),"")</f>
        <v/>
      </c>
      <c r="G219" s="60">
        <f>IF($C219="","",IFERROR(INDEX(الموظفون_الاساسي,MATCH($C219,الموظفون_الرقم,0)),0))</f>
        <v/>
      </c>
      <c r="H219" s="42" t="n"/>
      <c r="I219" s="42" t="n"/>
      <c r="J219" s="42" t="n"/>
      <c r="K219" s="42" t="n"/>
      <c r="L219" s="42" t="n"/>
      <c r="M219" s="61" t="n"/>
      <c r="N219" s="42" t="n"/>
      <c r="O219" s="42" t="n"/>
      <c r="P219" s="42" t="n"/>
      <c r="Q219" s="42" t="n"/>
      <c r="R219" s="42" t="n"/>
      <c r="S219" s="60">
        <f>IF($C219="","",SUM($G219:$L219))</f>
        <v/>
      </c>
      <c r="T219" s="60">
        <f>IF($C219="","",SUM($N219:$R219))</f>
        <v/>
      </c>
      <c r="U219" s="60">
        <f>IF($C219="","",$S219-$T219)</f>
        <v/>
      </c>
      <c r="V219" s="40" t="n"/>
      <c r="W219" s="110" t="n"/>
      <c r="X219" s="40" t="n"/>
      <c r="Y219" s="43">
        <f>IF($C219="","",IF(SUMPRODUCT(($C$3:$C$502=$C219)*($A$3:$A$502=$A219)*($B$3:$B$502=$B219))&gt;1,"⚠ مكرر","سليم"))</f>
        <v/>
      </c>
      <c r="Z219">
        <f>IF(AND($C219&lt;&gt;"",$A219=تقرير_الشهر,$B219=تقرير_السنة),SUMPRODUCT(($C$3:$C$502&lt;&gt;"")*($A$3:$A$502=تقرير_الشهر)*($B$3:$B$502=تقرير_السنة)*(ROW($C$3:$C$502)&lt;=ROW())),"")</f>
        <v/>
      </c>
    </row>
    <row r="220">
      <c r="A220" s="47" t="n"/>
      <c r="B220" s="62" t="n"/>
      <c r="C220" s="47" t="n"/>
      <c r="D220" s="50">
        <f>IFERROR(INDEX(الموظفون_الاسم,MATCH($C220,الموظفون_الرقم,0)),"")</f>
        <v/>
      </c>
      <c r="E220" s="50">
        <f>IFERROR(INDEX(الموظفون_الإدارة,MATCH($C220,الموظفون_الرقم,0)),"")</f>
        <v/>
      </c>
      <c r="F220" s="50">
        <f>IFERROR(INDEX(الموظفون_القسم,MATCH($C220,الموظفون_الرقم,0)),"")</f>
        <v/>
      </c>
      <c r="G220" s="63">
        <f>IF($C220="","",IFERROR(INDEX(الموظفون_الاساسي,MATCH($C220,الموظفون_الرقم,0)),0))</f>
        <v/>
      </c>
      <c r="H220" s="49" t="n"/>
      <c r="I220" s="49" t="n"/>
      <c r="J220" s="49" t="n"/>
      <c r="K220" s="49" t="n"/>
      <c r="L220" s="49" t="n"/>
      <c r="M220" s="64" t="n"/>
      <c r="N220" s="49" t="n"/>
      <c r="O220" s="49" t="n"/>
      <c r="P220" s="49" t="n"/>
      <c r="Q220" s="49" t="n"/>
      <c r="R220" s="49" t="n"/>
      <c r="S220" s="63">
        <f>IF($C220="","",SUM($G220:$L220))</f>
        <v/>
      </c>
      <c r="T220" s="63">
        <f>IF($C220="","",SUM($N220:$R220))</f>
        <v/>
      </c>
      <c r="U220" s="63">
        <f>IF($C220="","",$S220-$T220)</f>
        <v/>
      </c>
      <c r="V220" s="47" t="n"/>
      <c r="W220" s="112" t="n"/>
      <c r="X220" s="47" t="n"/>
      <c r="Y220" s="50">
        <f>IF($C220="","",IF(SUMPRODUCT(($C$3:$C$502=$C220)*($A$3:$A$502=$A220)*($B$3:$B$502=$B220))&gt;1,"⚠ مكرر","سليم"))</f>
        <v/>
      </c>
      <c r="Z220">
        <f>IF(AND($C220&lt;&gt;"",$A220=تقرير_الشهر,$B220=تقرير_السنة),SUMPRODUCT(($C$3:$C$502&lt;&gt;"")*($A$3:$A$502=تقرير_الشهر)*($B$3:$B$502=تقرير_السنة)*(ROW($C$3:$C$502)&lt;=ROW())),"")</f>
        <v/>
      </c>
    </row>
    <row r="221">
      <c r="A221" s="40" t="n"/>
      <c r="B221" s="59" t="n"/>
      <c r="C221" s="40" t="n"/>
      <c r="D221" s="43">
        <f>IFERROR(INDEX(الموظفون_الاسم,MATCH($C221,الموظفون_الرقم,0)),"")</f>
        <v/>
      </c>
      <c r="E221" s="43">
        <f>IFERROR(INDEX(الموظفون_الإدارة,MATCH($C221,الموظفون_الرقم,0)),"")</f>
        <v/>
      </c>
      <c r="F221" s="43">
        <f>IFERROR(INDEX(الموظفون_القسم,MATCH($C221,الموظفون_الرقم,0)),"")</f>
        <v/>
      </c>
      <c r="G221" s="60">
        <f>IF($C221="","",IFERROR(INDEX(الموظفون_الاساسي,MATCH($C221,الموظفون_الرقم,0)),0))</f>
        <v/>
      </c>
      <c r="H221" s="42" t="n"/>
      <c r="I221" s="42" t="n"/>
      <c r="J221" s="42" t="n"/>
      <c r="K221" s="42" t="n"/>
      <c r="L221" s="42" t="n"/>
      <c r="M221" s="61" t="n"/>
      <c r="N221" s="42" t="n"/>
      <c r="O221" s="42" t="n"/>
      <c r="P221" s="42" t="n"/>
      <c r="Q221" s="42" t="n"/>
      <c r="R221" s="42" t="n"/>
      <c r="S221" s="60">
        <f>IF($C221="","",SUM($G221:$L221))</f>
        <v/>
      </c>
      <c r="T221" s="60">
        <f>IF($C221="","",SUM($N221:$R221))</f>
        <v/>
      </c>
      <c r="U221" s="60">
        <f>IF($C221="","",$S221-$T221)</f>
        <v/>
      </c>
      <c r="V221" s="40" t="n"/>
      <c r="W221" s="110" t="n"/>
      <c r="X221" s="40" t="n"/>
      <c r="Y221" s="43">
        <f>IF($C221="","",IF(SUMPRODUCT(($C$3:$C$502=$C221)*($A$3:$A$502=$A221)*($B$3:$B$502=$B221))&gt;1,"⚠ مكرر","سليم"))</f>
        <v/>
      </c>
      <c r="Z221">
        <f>IF(AND($C221&lt;&gt;"",$A221=تقرير_الشهر,$B221=تقرير_السنة),SUMPRODUCT(($C$3:$C$502&lt;&gt;"")*($A$3:$A$502=تقرير_الشهر)*($B$3:$B$502=تقرير_السنة)*(ROW($C$3:$C$502)&lt;=ROW())),"")</f>
        <v/>
      </c>
    </row>
    <row r="222">
      <c r="A222" s="47" t="n"/>
      <c r="B222" s="62" t="n"/>
      <c r="C222" s="47" t="n"/>
      <c r="D222" s="50">
        <f>IFERROR(INDEX(الموظفون_الاسم,MATCH($C222,الموظفون_الرقم,0)),"")</f>
        <v/>
      </c>
      <c r="E222" s="50">
        <f>IFERROR(INDEX(الموظفون_الإدارة,MATCH($C222,الموظفون_الرقم,0)),"")</f>
        <v/>
      </c>
      <c r="F222" s="50">
        <f>IFERROR(INDEX(الموظفون_القسم,MATCH($C222,الموظفون_الرقم,0)),"")</f>
        <v/>
      </c>
      <c r="G222" s="63">
        <f>IF($C222="","",IFERROR(INDEX(الموظفون_الاساسي,MATCH($C222,الموظفون_الرقم,0)),0))</f>
        <v/>
      </c>
      <c r="H222" s="49" t="n"/>
      <c r="I222" s="49" t="n"/>
      <c r="J222" s="49" t="n"/>
      <c r="K222" s="49" t="n"/>
      <c r="L222" s="49" t="n"/>
      <c r="M222" s="64" t="n"/>
      <c r="N222" s="49" t="n"/>
      <c r="O222" s="49" t="n"/>
      <c r="P222" s="49" t="n"/>
      <c r="Q222" s="49" t="n"/>
      <c r="R222" s="49" t="n"/>
      <c r="S222" s="63">
        <f>IF($C222="","",SUM($G222:$L222))</f>
        <v/>
      </c>
      <c r="T222" s="63">
        <f>IF($C222="","",SUM($N222:$R222))</f>
        <v/>
      </c>
      <c r="U222" s="63">
        <f>IF($C222="","",$S222-$T222)</f>
        <v/>
      </c>
      <c r="V222" s="47" t="n"/>
      <c r="W222" s="112" t="n"/>
      <c r="X222" s="47" t="n"/>
      <c r="Y222" s="50">
        <f>IF($C222="","",IF(SUMPRODUCT(($C$3:$C$502=$C222)*($A$3:$A$502=$A222)*($B$3:$B$502=$B222))&gt;1,"⚠ مكرر","سليم"))</f>
        <v/>
      </c>
      <c r="Z222">
        <f>IF(AND($C222&lt;&gt;"",$A222=تقرير_الشهر,$B222=تقرير_السنة),SUMPRODUCT(($C$3:$C$502&lt;&gt;"")*($A$3:$A$502=تقرير_الشهر)*($B$3:$B$502=تقرير_السنة)*(ROW($C$3:$C$502)&lt;=ROW())),"")</f>
        <v/>
      </c>
    </row>
    <row r="223">
      <c r="A223" s="40" t="n"/>
      <c r="B223" s="59" t="n"/>
      <c r="C223" s="40" t="n"/>
      <c r="D223" s="43">
        <f>IFERROR(INDEX(الموظفون_الاسم,MATCH($C223,الموظفون_الرقم,0)),"")</f>
        <v/>
      </c>
      <c r="E223" s="43">
        <f>IFERROR(INDEX(الموظفون_الإدارة,MATCH($C223,الموظفون_الرقم,0)),"")</f>
        <v/>
      </c>
      <c r="F223" s="43">
        <f>IFERROR(INDEX(الموظفون_القسم,MATCH($C223,الموظفون_الرقم,0)),"")</f>
        <v/>
      </c>
      <c r="G223" s="60">
        <f>IF($C223="","",IFERROR(INDEX(الموظفون_الاساسي,MATCH($C223,الموظفون_الرقم,0)),0))</f>
        <v/>
      </c>
      <c r="H223" s="42" t="n"/>
      <c r="I223" s="42" t="n"/>
      <c r="J223" s="42" t="n"/>
      <c r="K223" s="42" t="n"/>
      <c r="L223" s="42" t="n"/>
      <c r="M223" s="61" t="n"/>
      <c r="N223" s="42" t="n"/>
      <c r="O223" s="42" t="n"/>
      <c r="P223" s="42" t="n"/>
      <c r="Q223" s="42" t="n"/>
      <c r="R223" s="42" t="n"/>
      <c r="S223" s="60">
        <f>IF($C223="","",SUM($G223:$L223))</f>
        <v/>
      </c>
      <c r="T223" s="60">
        <f>IF($C223="","",SUM($N223:$R223))</f>
        <v/>
      </c>
      <c r="U223" s="60">
        <f>IF($C223="","",$S223-$T223)</f>
        <v/>
      </c>
      <c r="V223" s="40" t="n"/>
      <c r="W223" s="110" t="n"/>
      <c r="X223" s="40" t="n"/>
      <c r="Y223" s="43">
        <f>IF($C223="","",IF(SUMPRODUCT(($C$3:$C$502=$C223)*($A$3:$A$502=$A223)*($B$3:$B$502=$B223))&gt;1,"⚠ مكرر","سليم"))</f>
        <v/>
      </c>
      <c r="Z223">
        <f>IF(AND($C223&lt;&gt;"",$A223=تقرير_الشهر,$B223=تقرير_السنة),SUMPRODUCT(($C$3:$C$502&lt;&gt;"")*($A$3:$A$502=تقرير_الشهر)*($B$3:$B$502=تقرير_السنة)*(ROW($C$3:$C$502)&lt;=ROW())),"")</f>
        <v/>
      </c>
    </row>
    <row r="224">
      <c r="A224" s="47" t="n"/>
      <c r="B224" s="62" t="n"/>
      <c r="C224" s="47" t="n"/>
      <c r="D224" s="50">
        <f>IFERROR(INDEX(الموظفون_الاسم,MATCH($C224,الموظفون_الرقم,0)),"")</f>
        <v/>
      </c>
      <c r="E224" s="50">
        <f>IFERROR(INDEX(الموظفون_الإدارة,MATCH($C224,الموظفون_الرقم,0)),"")</f>
        <v/>
      </c>
      <c r="F224" s="50">
        <f>IFERROR(INDEX(الموظفون_القسم,MATCH($C224,الموظفون_الرقم,0)),"")</f>
        <v/>
      </c>
      <c r="G224" s="63">
        <f>IF($C224="","",IFERROR(INDEX(الموظفون_الاساسي,MATCH($C224,الموظفون_الرقم,0)),0))</f>
        <v/>
      </c>
      <c r="H224" s="49" t="n"/>
      <c r="I224" s="49" t="n"/>
      <c r="J224" s="49" t="n"/>
      <c r="K224" s="49" t="n"/>
      <c r="L224" s="49" t="n"/>
      <c r="M224" s="64" t="n"/>
      <c r="N224" s="49" t="n"/>
      <c r="O224" s="49" t="n"/>
      <c r="P224" s="49" t="n"/>
      <c r="Q224" s="49" t="n"/>
      <c r="R224" s="49" t="n"/>
      <c r="S224" s="63">
        <f>IF($C224="","",SUM($G224:$L224))</f>
        <v/>
      </c>
      <c r="T224" s="63">
        <f>IF($C224="","",SUM($N224:$R224))</f>
        <v/>
      </c>
      <c r="U224" s="63">
        <f>IF($C224="","",$S224-$T224)</f>
        <v/>
      </c>
      <c r="V224" s="47" t="n"/>
      <c r="W224" s="112" t="n"/>
      <c r="X224" s="47" t="n"/>
      <c r="Y224" s="50">
        <f>IF($C224="","",IF(SUMPRODUCT(($C$3:$C$502=$C224)*($A$3:$A$502=$A224)*($B$3:$B$502=$B224))&gt;1,"⚠ مكرر","سليم"))</f>
        <v/>
      </c>
      <c r="Z224">
        <f>IF(AND($C224&lt;&gt;"",$A224=تقرير_الشهر,$B224=تقرير_السنة),SUMPRODUCT(($C$3:$C$502&lt;&gt;"")*($A$3:$A$502=تقرير_الشهر)*($B$3:$B$502=تقرير_السنة)*(ROW($C$3:$C$502)&lt;=ROW())),"")</f>
        <v/>
      </c>
    </row>
    <row r="225">
      <c r="A225" s="40" t="n"/>
      <c r="B225" s="59" t="n"/>
      <c r="C225" s="40" t="n"/>
      <c r="D225" s="43">
        <f>IFERROR(INDEX(الموظفون_الاسم,MATCH($C225,الموظفون_الرقم,0)),"")</f>
        <v/>
      </c>
      <c r="E225" s="43">
        <f>IFERROR(INDEX(الموظفون_الإدارة,MATCH($C225,الموظفون_الرقم,0)),"")</f>
        <v/>
      </c>
      <c r="F225" s="43">
        <f>IFERROR(INDEX(الموظفون_القسم,MATCH($C225,الموظفون_الرقم,0)),"")</f>
        <v/>
      </c>
      <c r="G225" s="60">
        <f>IF($C225="","",IFERROR(INDEX(الموظفون_الاساسي,MATCH($C225,الموظفون_الرقم,0)),0))</f>
        <v/>
      </c>
      <c r="H225" s="42" t="n"/>
      <c r="I225" s="42" t="n"/>
      <c r="J225" s="42" t="n"/>
      <c r="K225" s="42" t="n"/>
      <c r="L225" s="42" t="n"/>
      <c r="M225" s="61" t="n"/>
      <c r="N225" s="42" t="n"/>
      <c r="O225" s="42" t="n"/>
      <c r="P225" s="42" t="n"/>
      <c r="Q225" s="42" t="n"/>
      <c r="R225" s="42" t="n"/>
      <c r="S225" s="60">
        <f>IF($C225="","",SUM($G225:$L225))</f>
        <v/>
      </c>
      <c r="T225" s="60">
        <f>IF($C225="","",SUM($N225:$R225))</f>
        <v/>
      </c>
      <c r="U225" s="60">
        <f>IF($C225="","",$S225-$T225)</f>
        <v/>
      </c>
      <c r="V225" s="40" t="n"/>
      <c r="W225" s="110" t="n"/>
      <c r="X225" s="40" t="n"/>
      <c r="Y225" s="43">
        <f>IF($C225="","",IF(SUMPRODUCT(($C$3:$C$502=$C225)*($A$3:$A$502=$A225)*($B$3:$B$502=$B225))&gt;1,"⚠ مكرر","سليم"))</f>
        <v/>
      </c>
      <c r="Z225">
        <f>IF(AND($C225&lt;&gt;"",$A225=تقرير_الشهر,$B225=تقرير_السنة),SUMPRODUCT(($C$3:$C$502&lt;&gt;"")*($A$3:$A$502=تقرير_الشهر)*($B$3:$B$502=تقرير_السنة)*(ROW($C$3:$C$502)&lt;=ROW())),"")</f>
        <v/>
      </c>
    </row>
    <row r="226">
      <c r="A226" s="47" t="n"/>
      <c r="B226" s="62" t="n"/>
      <c r="C226" s="47" t="n"/>
      <c r="D226" s="50">
        <f>IFERROR(INDEX(الموظفون_الاسم,MATCH($C226,الموظفون_الرقم,0)),"")</f>
        <v/>
      </c>
      <c r="E226" s="50">
        <f>IFERROR(INDEX(الموظفون_الإدارة,MATCH($C226,الموظفون_الرقم,0)),"")</f>
        <v/>
      </c>
      <c r="F226" s="50">
        <f>IFERROR(INDEX(الموظفون_القسم,MATCH($C226,الموظفون_الرقم,0)),"")</f>
        <v/>
      </c>
      <c r="G226" s="63">
        <f>IF($C226="","",IFERROR(INDEX(الموظفون_الاساسي,MATCH($C226,الموظفون_الرقم,0)),0))</f>
        <v/>
      </c>
      <c r="H226" s="49" t="n"/>
      <c r="I226" s="49" t="n"/>
      <c r="J226" s="49" t="n"/>
      <c r="K226" s="49" t="n"/>
      <c r="L226" s="49" t="n"/>
      <c r="M226" s="64" t="n"/>
      <c r="N226" s="49" t="n"/>
      <c r="O226" s="49" t="n"/>
      <c r="P226" s="49" t="n"/>
      <c r="Q226" s="49" t="n"/>
      <c r="R226" s="49" t="n"/>
      <c r="S226" s="63">
        <f>IF($C226="","",SUM($G226:$L226))</f>
        <v/>
      </c>
      <c r="T226" s="63">
        <f>IF($C226="","",SUM($N226:$R226))</f>
        <v/>
      </c>
      <c r="U226" s="63">
        <f>IF($C226="","",$S226-$T226)</f>
        <v/>
      </c>
      <c r="V226" s="47" t="n"/>
      <c r="W226" s="112" t="n"/>
      <c r="X226" s="47" t="n"/>
      <c r="Y226" s="50">
        <f>IF($C226="","",IF(SUMPRODUCT(($C$3:$C$502=$C226)*($A$3:$A$502=$A226)*($B$3:$B$502=$B226))&gt;1,"⚠ مكرر","سليم"))</f>
        <v/>
      </c>
      <c r="Z226">
        <f>IF(AND($C226&lt;&gt;"",$A226=تقرير_الشهر,$B226=تقرير_السنة),SUMPRODUCT(($C$3:$C$502&lt;&gt;"")*($A$3:$A$502=تقرير_الشهر)*($B$3:$B$502=تقرير_السنة)*(ROW($C$3:$C$502)&lt;=ROW())),"")</f>
        <v/>
      </c>
    </row>
    <row r="227">
      <c r="A227" s="40" t="n"/>
      <c r="B227" s="59" t="n"/>
      <c r="C227" s="40" t="n"/>
      <c r="D227" s="43">
        <f>IFERROR(INDEX(الموظفون_الاسم,MATCH($C227,الموظفون_الرقم,0)),"")</f>
        <v/>
      </c>
      <c r="E227" s="43">
        <f>IFERROR(INDEX(الموظفون_الإدارة,MATCH($C227,الموظفون_الرقم,0)),"")</f>
        <v/>
      </c>
      <c r="F227" s="43">
        <f>IFERROR(INDEX(الموظفون_القسم,MATCH($C227,الموظفون_الرقم,0)),"")</f>
        <v/>
      </c>
      <c r="G227" s="60">
        <f>IF($C227="","",IFERROR(INDEX(الموظفون_الاساسي,MATCH($C227,الموظفون_الرقم,0)),0))</f>
        <v/>
      </c>
      <c r="H227" s="42" t="n"/>
      <c r="I227" s="42" t="n"/>
      <c r="J227" s="42" t="n"/>
      <c r="K227" s="42" t="n"/>
      <c r="L227" s="42" t="n"/>
      <c r="M227" s="61" t="n"/>
      <c r="N227" s="42" t="n"/>
      <c r="O227" s="42" t="n"/>
      <c r="P227" s="42" t="n"/>
      <c r="Q227" s="42" t="n"/>
      <c r="R227" s="42" t="n"/>
      <c r="S227" s="60">
        <f>IF($C227="","",SUM($G227:$L227))</f>
        <v/>
      </c>
      <c r="T227" s="60">
        <f>IF($C227="","",SUM($N227:$R227))</f>
        <v/>
      </c>
      <c r="U227" s="60">
        <f>IF($C227="","",$S227-$T227)</f>
        <v/>
      </c>
      <c r="V227" s="40" t="n"/>
      <c r="W227" s="110" t="n"/>
      <c r="X227" s="40" t="n"/>
      <c r="Y227" s="43">
        <f>IF($C227="","",IF(SUMPRODUCT(($C$3:$C$502=$C227)*($A$3:$A$502=$A227)*($B$3:$B$502=$B227))&gt;1,"⚠ مكرر","سليم"))</f>
        <v/>
      </c>
      <c r="Z227">
        <f>IF(AND($C227&lt;&gt;"",$A227=تقرير_الشهر,$B227=تقرير_السنة),SUMPRODUCT(($C$3:$C$502&lt;&gt;"")*($A$3:$A$502=تقرير_الشهر)*($B$3:$B$502=تقرير_السنة)*(ROW($C$3:$C$502)&lt;=ROW())),"")</f>
        <v/>
      </c>
    </row>
    <row r="228">
      <c r="A228" s="47" t="n"/>
      <c r="B228" s="62" t="n"/>
      <c r="C228" s="47" t="n"/>
      <c r="D228" s="50">
        <f>IFERROR(INDEX(الموظفون_الاسم,MATCH($C228,الموظفون_الرقم,0)),"")</f>
        <v/>
      </c>
      <c r="E228" s="50">
        <f>IFERROR(INDEX(الموظفون_الإدارة,MATCH($C228,الموظفون_الرقم,0)),"")</f>
        <v/>
      </c>
      <c r="F228" s="50">
        <f>IFERROR(INDEX(الموظفون_القسم,MATCH($C228,الموظفون_الرقم,0)),"")</f>
        <v/>
      </c>
      <c r="G228" s="63">
        <f>IF($C228="","",IFERROR(INDEX(الموظفون_الاساسي,MATCH($C228,الموظفون_الرقم,0)),0))</f>
        <v/>
      </c>
      <c r="H228" s="49" t="n"/>
      <c r="I228" s="49" t="n"/>
      <c r="J228" s="49" t="n"/>
      <c r="K228" s="49" t="n"/>
      <c r="L228" s="49" t="n"/>
      <c r="M228" s="64" t="n"/>
      <c r="N228" s="49" t="n"/>
      <c r="O228" s="49" t="n"/>
      <c r="P228" s="49" t="n"/>
      <c r="Q228" s="49" t="n"/>
      <c r="R228" s="49" t="n"/>
      <c r="S228" s="63">
        <f>IF($C228="","",SUM($G228:$L228))</f>
        <v/>
      </c>
      <c r="T228" s="63">
        <f>IF($C228="","",SUM($N228:$R228))</f>
        <v/>
      </c>
      <c r="U228" s="63">
        <f>IF($C228="","",$S228-$T228)</f>
        <v/>
      </c>
      <c r="V228" s="47" t="n"/>
      <c r="W228" s="112" t="n"/>
      <c r="X228" s="47" t="n"/>
      <c r="Y228" s="50">
        <f>IF($C228="","",IF(SUMPRODUCT(($C$3:$C$502=$C228)*($A$3:$A$502=$A228)*($B$3:$B$502=$B228))&gt;1,"⚠ مكرر","سليم"))</f>
        <v/>
      </c>
      <c r="Z228">
        <f>IF(AND($C228&lt;&gt;"",$A228=تقرير_الشهر,$B228=تقرير_السنة),SUMPRODUCT(($C$3:$C$502&lt;&gt;"")*($A$3:$A$502=تقرير_الشهر)*($B$3:$B$502=تقرير_السنة)*(ROW($C$3:$C$502)&lt;=ROW())),"")</f>
        <v/>
      </c>
    </row>
    <row r="229">
      <c r="A229" s="40" t="n"/>
      <c r="B229" s="59" t="n"/>
      <c r="C229" s="40" t="n"/>
      <c r="D229" s="43">
        <f>IFERROR(INDEX(الموظفون_الاسم,MATCH($C229,الموظفون_الرقم,0)),"")</f>
        <v/>
      </c>
      <c r="E229" s="43">
        <f>IFERROR(INDEX(الموظفون_الإدارة,MATCH($C229,الموظفون_الرقم,0)),"")</f>
        <v/>
      </c>
      <c r="F229" s="43">
        <f>IFERROR(INDEX(الموظفون_القسم,MATCH($C229,الموظفون_الرقم,0)),"")</f>
        <v/>
      </c>
      <c r="G229" s="60">
        <f>IF($C229="","",IFERROR(INDEX(الموظفون_الاساسي,MATCH($C229,الموظفون_الرقم,0)),0))</f>
        <v/>
      </c>
      <c r="H229" s="42" t="n"/>
      <c r="I229" s="42" t="n"/>
      <c r="J229" s="42" t="n"/>
      <c r="K229" s="42" t="n"/>
      <c r="L229" s="42" t="n"/>
      <c r="M229" s="61" t="n"/>
      <c r="N229" s="42" t="n"/>
      <c r="O229" s="42" t="n"/>
      <c r="P229" s="42" t="n"/>
      <c r="Q229" s="42" t="n"/>
      <c r="R229" s="42" t="n"/>
      <c r="S229" s="60">
        <f>IF($C229="","",SUM($G229:$L229))</f>
        <v/>
      </c>
      <c r="T229" s="60">
        <f>IF($C229="","",SUM($N229:$R229))</f>
        <v/>
      </c>
      <c r="U229" s="60">
        <f>IF($C229="","",$S229-$T229)</f>
        <v/>
      </c>
      <c r="V229" s="40" t="n"/>
      <c r="W229" s="110" t="n"/>
      <c r="X229" s="40" t="n"/>
      <c r="Y229" s="43">
        <f>IF($C229="","",IF(SUMPRODUCT(($C$3:$C$502=$C229)*($A$3:$A$502=$A229)*($B$3:$B$502=$B229))&gt;1,"⚠ مكرر","سليم"))</f>
        <v/>
      </c>
      <c r="Z229">
        <f>IF(AND($C229&lt;&gt;"",$A229=تقرير_الشهر,$B229=تقرير_السنة),SUMPRODUCT(($C$3:$C$502&lt;&gt;"")*($A$3:$A$502=تقرير_الشهر)*($B$3:$B$502=تقرير_السنة)*(ROW($C$3:$C$502)&lt;=ROW())),"")</f>
        <v/>
      </c>
    </row>
    <row r="230">
      <c r="A230" s="47" t="n"/>
      <c r="B230" s="62" t="n"/>
      <c r="C230" s="47" t="n"/>
      <c r="D230" s="50">
        <f>IFERROR(INDEX(الموظفون_الاسم,MATCH($C230,الموظفون_الرقم,0)),"")</f>
        <v/>
      </c>
      <c r="E230" s="50">
        <f>IFERROR(INDEX(الموظفون_الإدارة,MATCH($C230,الموظفون_الرقم,0)),"")</f>
        <v/>
      </c>
      <c r="F230" s="50">
        <f>IFERROR(INDEX(الموظفون_القسم,MATCH($C230,الموظفون_الرقم,0)),"")</f>
        <v/>
      </c>
      <c r="G230" s="63">
        <f>IF($C230="","",IFERROR(INDEX(الموظفون_الاساسي,MATCH($C230,الموظفون_الرقم,0)),0))</f>
        <v/>
      </c>
      <c r="H230" s="49" t="n"/>
      <c r="I230" s="49" t="n"/>
      <c r="J230" s="49" t="n"/>
      <c r="K230" s="49" t="n"/>
      <c r="L230" s="49" t="n"/>
      <c r="M230" s="64" t="n"/>
      <c r="N230" s="49" t="n"/>
      <c r="O230" s="49" t="n"/>
      <c r="P230" s="49" t="n"/>
      <c r="Q230" s="49" t="n"/>
      <c r="R230" s="49" t="n"/>
      <c r="S230" s="63">
        <f>IF($C230="","",SUM($G230:$L230))</f>
        <v/>
      </c>
      <c r="T230" s="63">
        <f>IF($C230="","",SUM($N230:$R230))</f>
        <v/>
      </c>
      <c r="U230" s="63">
        <f>IF($C230="","",$S230-$T230)</f>
        <v/>
      </c>
      <c r="V230" s="47" t="n"/>
      <c r="W230" s="112" t="n"/>
      <c r="X230" s="47" t="n"/>
      <c r="Y230" s="50">
        <f>IF($C230="","",IF(SUMPRODUCT(($C$3:$C$502=$C230)*($A$3:$A$502=$A230)*($B$3:$B$502=$B230))&gt;1,"⚠ مكرر","سليم"))</f>
        <v/>
      </c>
      <c r="Z230">
        <f>IF(AND($C230&lt;&gt;"",$A230=تقرير_الشهر,$B230=تقرير_السنة),SUMPRODUCT(($C$3:$C$502&lt;&gt;"")*($A$3:$A$502=تقرير_الشهر)*($B$3:$B$502=تقرير_السنة)*(ROW($C$3:$C$502)&lt;=ROW())),"")</f>
        <v/>
      </c>
    </row>
    <row r="231">
      <c r="A231" s="40" t="n"/>
      <c r="B231" s="59" t="n"/>
      <c r="C231" s="40" t="n"/>
      <c r="D231" s="43">
        <f>IFERROR(INDEX(الموظفون_الاسم,MATCH($C231,الموظفون_الرقم,0)),"")</f>
        <v/>
      </c>
      <c r="E231" s="43">
        <f>IFERROR(INDEX(الموظفون_الإدارة,MATCH($C231,الموظفون_الرقم,0)),"")</f>
        <v/>
      </c>
      <c r="F231" s="43">
        <f>IFERROR(INDEX(الموظفون_القسم,MATCH($C231,الموظفون_الرقم,0)),"")</f>
        <v/>
      </c>
      <c r="G231" s="60">
        <f>IF($C231="","",IFERROR(INDEX(الموظفون_الاساسي,MATCH($C231,الموظفون_الرقم,0)),0))</f>
        <v/>
      </c>
      <c r="H231" s="42" t="n"/>
      <c r="I231" s="42" t="n"/>
      <c r="J231" s="42" t="n"/>
      <c r="K231" s="42" t="n"/>
      <c r="L231" s="42" t="n"/>
      <c r="M231" s="61" t="n"/>
      <c r="N231" s="42" t="n"/>
      <c r="O231" s="42" t="n"/>
      <c r="P231" s="42" t="n"/>
      <c r="Q231" s="42" t="n"/>
      <c r="R231" s="42" t="n"/>
      <c r="S231" s="60">
        <f>IF($C231="","",SUM($G231:$L231))</f>
        <v/>
      </c>
      <c r="T231" s="60">
        <f>IF($C231="","",SUM($N231:$R231))</f>
        <v/>
      </c>
      <c r="U231" s="60">
        <f>IF($C231="","",$S231-$T231)</f>
        <v/>
      </c>
      <c r="V231" s="40" t="n"/>
      <c r="W231" s="110" t="n"/>
      <c r="X231" s="40" t="n"/>
      <c r="Y231" s="43">
        <f>IF($C231="","",IF(SUMPRODUCT(($C$3:$C$502=$C231)*($A$3:$A$502=$A231)*($B$3:$B$502=$B231))&gt;1,"⚠ مكرر","سليم"))</f>
        <v/>
      </c>
      <c r="Z231">
        <f>IF(AND($C231&lt;&gt;"",$A231=تقرير_الشهر,$B231=تقرير_السنة),SUMPRODUCT(($C$3:$C$502&lt;&gt;"")*($A$3:$A$502=تقرير_الشهر)*($B$3:$B$502=تقرير_السنة)*(ROW($C$3:$C$502)&lt;=ROW())),"")</f>
        <v/>
      </c>
    </row>
    <row r="232">
      <c r="A232" s="47" t="n"/>
      <c r="B232" s="62" t="n"/>
      <c r="C232" s="47" t="n"/>
      <c r="D232" s="50">
        <f>IFERROR(INDEX(الموظفون_الاسم,MATCH($C232,الموظفون_الرقم,0)),"")</f>
        <v/>
      </c>
      <c r="E232" s="50">
        <f>IFERROR(INDEX(الموظفون_الإدارة,MATCH($C232,الموظفون_الرقم,0)),"")</f>
        <v/>
      </c>
      <c r="F232" s="50">
        <f>IFERROR(INDEX(الموظفون_القسم,MATCH($C232,الموظفون_الرقم,0)),"")</f>
        <v/>
      </c>
      <c r="G232" s="63">
        <f>IF($C232="","",IFERROR(INDEX(الموظفون_الاساسي,MATCH($C232,الموظفون_الرقم,0)),0))</f>
        <v/>
      </c>
      <c r="H232" s="49" t="n"/>
      <c r="I232" s="49" t="n"/>
      <c r="J232" s="49" t="n"/>
      <c r="K232" s="49" t="n"/>
      <c r="L232" s="49" t="n"/>
      <c r="M232" s="64" t="n"/>
      <c r="N232" s="49" t="n"/>
      <c r="O232" s="49" t="n"/>
      <c r="P232" s="49" t="n"/>
      <c r="Q232" s="49" t="n"/>
      <c r="R232" s="49" t="n"/>
      <c r="S232" s="63">
        <f>IF($C232="","",SUM($G232:$L232))</f>
        <v/>
      </c>
      <c r="T232" s="63">
        <f>IF($C232="","",SUM($N232:$R232))</f>
        <v/>
      </c>
      <c r="U232" s="63">
        <f>IF($C232="","",$S232-$T232)</f>
        <v/>
      </c>
      <c r="V232" s="47" t="n"/>
      <c r="W232" s="112" t="n"/>
      <c r="X232" s="47" t="n"/>
      <c r="Y232" s="50">
        <f>IF($C232="","",IF(SUMPRODUCT(($C$3:$C$502=$C232)*($A$3:$A$502=$A232)*($B$3:$B$502=$B232))&gt;1,"⚠ مكرر","سليم"))</f>
        <v/>
      </c>
      <c r="Z232">
        <f>IF(AND($C232&lt;&gt;"",$A232=تقرير_الشهر,$B232=تقرير_السنة),SUMPRODUCT(($C$3:$C$502&lt;&gt;"")*($A$3:$A$502=تقرير_الشهر)*($B$3:$B$502=تقرير_السنة)*(ROW($C$3:$C$502)&lt;=ROW())),"")</f>
        <v/>
      </c>
    </row>
    <row r="233">
      <c r="A233" s="40" t="n"/>
      <c r="B233" s="59" t="n"/>
      <c r="C233" s="40" t="n"/>
      <c r="D233" s="43">
        <f>IFERROR(INDEX(الموظفون_الاسم,MATCH($C233,الموظفون_الرقم,0)),"")</f>
        <v/>
      </c>
      <c r="E233" s="43">
        <f>IFERROR(INDEX(الموظفون_الإدارة,MATCH($C233,الموظفون_الرقم,0)),"")</f>
        <v/>
      </c>
      <c r="F233" s="43">
        <f>IFERROR(INDEX(الموظفون_القسم,MATCH($C233,الموظفون_الرقم,0)),"")</f>
        <v/>
      </c>
      <c r="G233" s="60">
        <f>IF($C233="","",IFERROR(INDEX(الموظفون_الاساسي,MATCH($C233,الموظفون_الرقم,0)),0))</f>
        <v/>
      </c>
      <c r="H233" s="42" t="n"/>
      <c r="I233" s="42" t="n"/>
      <c r="J233" s="42" t="n"/>
      <c r="K233" s="42" t="n"/>
      <c r="L233" s="42" t="n"/>
      <c r="M233" s="61" t="n"/>
      <c r="N233" s="42" t="n"/>
      <c r="O233" s="42" t="n"/>
      <c r="P233" s="42" t="n"/>
      <c r="Q233" s="42" t="n"/>
      <c r="R233" s="42" t="n"/>
      <c r="S233" s="60">
        <f>IF($C233="","",SUM($G233:$L233))</f>
        <v/>
      </c>
      <c r="T233" s="60">
        <f>IF($C233="","",SUM($N233:$R233))</f>
        <v/>
      </c>
      <c r="U233" s="60">
        <f>IF($C233="","",$S233-$T233)</f>
        <v/>
      </c>
      <c r="V233" s="40" t="n"/>
      <c r="W233" s="110" t="n"/>
      <c r="X233" s="40" t="n"/>
      <c r="Y233" s="43">
        <f>IF($C233="","",IF(SUMPRODUCT(($C$3:$C$502=$C233)*($A$3:$A$502=$A233)*($B$3:$B$502=$B233))&gt;1,"⚠ مكرر","سليم"))</f>
        <v/>
      </c>
      <c r="Z233">
        <f>IF(AND($C233&lt;&gt;"",$A233=تقرير_الشهر,$B233=تقرير_السنة),SUMPRODUCT(($C$3:$C$502&lt;&gt;"")*($A$3:$A$502=تقرير_الشهر)*($B$3:$B$502=تقرير_السنة)*(ROW($C$3:$C$502)&lt;=ROW())),"")</f>
        <v/>
      </c>
    </row>
    <row r="234">
      <c r="A234" s="47" t="n"/>
      <c r="B234" s="62" t="n"/>
      <c r="C234" s="47" t="n"/>
      <c r="D234" s="50">
        <f>IFERROR(INDEX(الموظفون_الاسم,MATCH($C234,الموظفون_الرقم,0)),"")</f>
        <v/>
      </c>
      <c r="E234" s="50">
        <f>IFERROR(INDEX(الموظفون_الإدارة,MATCH($C234,الموظفون_الرقم,0)),"")</f>
        <v/>
      </c>
      <c r="F234" s="50">
        <f>IFERROR(INDEX(الموظفون_القسم,MATCH($C234,الموظفون_الرقم,0)),"")</f>
        <v/>
      </c>
      <c r="G234" s="63">
        <f>IF($C234="","",IFERROR(INDEX(الموظفون_الاساسي,MATCH($C234,الموظفون_الرقم,0)),0))</f>
        <v/>
      </c>
      <c r="H234" s="49" t="n"/>
      <c r="I234" s="49" t="n"/>
      <c r="J234" s="49" t="n"/>
      <c r="K234" s="49" t="n"/>
      <c r="L234" s="49" t="n"/>
      <c r="M234" s="64" t="n"/>
      <c r="N234" s="49" t="n"/>
      <c r="O234" s="49" t="n"/>
      <c r="P234" s="49" t="n"/>
      <c r="Q234" s="49" t="n"/>
      <c r="R234" s="49" t="n"/>
      <c r="S234" s="63">
        <f>IF($C234="","",SUM($G234:$L234))</f>
        <v/>
      </c>
      <c r="T234" s="63">
        <f>IF($C234="","",SUM($N234:$R234))</f>
        <v/>
      </c>
      <c r="U234" s="63">
        <f>IF($C234="","",$S234-$T234)</f>
        <v/>
      </c>
      <c r="V234" s="47" t="n"/>
      <c r="W234" s="112" t="n"/>
      <c r="X234" s="47" t="n"/>
      <c r="Y234" s="50">
        <f>IF($C234="","",IF(SUMPRODUCT(($C$3:$C$502=$C234)*($A$3:$A$502=$A234)*($B$3:$B$502=$B234))&gt;1,"⚠ مكرر","سليم"))</f>
        <v/>
      </c>
      <c r="Z234">
        <f>IF(AND($C234&lt;&gt;"",$A234=تقرير_الشهر,$B234=تقرير_السنة),SUMPRODUCT(($C$3:$C$502&lt;&gt;"")*($A$3:$A$502=تقرير_الشهر)*($B$3:$B$502=تقرير_السنة)*(ROW($C$3:$C$502)&lt;=ROW())),"")</f>
        <v/>
      </c>
    </row>
    <row r="235">
      <c r="A235" s="40" t="n"/>
      <c r="B235" s="59" t="n"/>
      <c r="C235" s="40" t="n"/>
      <c r="D235" s="43">
        <f>IFERROR(INDEX(الموظفون_الاسم,MATCH($C235,الموظفون_الرقم,0)),"")</f>
        <v/>
      </c>
      <c r="E235" s="43">
        <f>IFERROR(INDEX(الموظفون_الإدارة,MATCH($C235,الموظفون_الرقم,0)),"")</f>
        <v/>
      </c>
      <c r="F235" s="43">
        <f>IFERROR(INDEX(الموظفون_القسم,MATCH($C235,الموظفون_الرقم,0)),"")</f>
        <v/>
      </c>
      <c r="G235" s="60">
        <f>IF($C235="","",IFERROR(INDEX(الموظفون_الاساسي,MATCH($C235,الموظفون_الرقم,0)),0))</f>
        <v/>
      </c>
      <c r="H235" s="42" t="n"/>
      <c r="I235" s="42" t="n"/>
      <c r="J235" s="42" t="n"/>
      <c r="K235" s="42" t="n"/>
      <c r="L235" s="42" t="n"/>
      <c r="M235" s="61" t="n"/>
      <c r="N235" s="42" t="n"/>
      <c r="O235" s="42" t="n"/>
      <c r="P235" s="42" t="n"/>
      <c r="Q235" s="42" t="n"/>
      <c r="R235" s="42" t="n"/>
      <c r="S235" s="60">
        <f>IF($C235="","",SUM($G235:$L235))</f>
        <v/>
      </c>
      <c r="T235" s="60">
        <f>IF($C235="","",SUM($N235:$R235))</f>
        <v/>
      </c>
      <c r="U235" s="60">
        <f>IF($C235="","",$S235-$T235)</f>
        <v/>
      </c>
      <c r="V235" s="40" t="n"/>
      <c r="W235" s="110" t="n"/>
      <c r="X235" s="40" t="n"/>
      <c r="Y235" s="43">
        <f>IF($C235="","",IF(SUMPRODUCT(($C$3:$C$502=$C235)*($A$3:$A$502=$A235)*($B$3:$B$502=$B235))&gt;1,"⚠ مكرر","سليم"))</f>
        <v/>
      </c>
      <c r="Z235">
        <f>IF(AND($C235&lt;&gt;"",$A235=تقرير_الشهر,$B235=تقرير_السنة),SUMPRODUCT(($C$3:$C$502&lt;&gt;"")*($A$3:$A$502=تقرير_الشهر)*($B$3:$B$502=تقرير_السنة)*(ROW($C$3:$C$502)&lt;=ROW())),"")</f>
        <v/>
      </c>
    </row>
    <row r="236">
      <c r="A236" s="47" t="n"/>
      <c r="B236" s="62" t="n"/>
      <c r="C236" s="47" t="n"/>
      <c r="D236" s="50">
        <f>IFERROR(INDEX(الموظفون_الاسم,MATCH($C236,الموظفون_الرقم,0)),"")</f>
        <v/>
      </c>
      <c r="E236" s="50">
        <f>IFERROR(INDEX(الموظفون_الإدارة,MATCH($C236,الموظفون_الرقم,0)),"")</f>
        <v/>
      </c>
      <c r="F236" s="50">
        <f>IFERROR(INDEX(الموظفون_القسم,MATCH($C236,الموظفون_الرقم,0)),"")</f>
        <v/>
      </c>
      <c r="G236" s="63">
        <f>IF($C236="","",IFERROR(INDEX(الموظفون_الاساسي,MATCH($C236,الموظفون_الرقم,0)),0))</f>
        <v/>
      </c>
      <c r="H236" s="49" t="n"/>
      <c r="I236" s="49" t="n"/>
      <c r="J236" s="49" t="n"/>
      <c r="K236" s="49" t="n"/>
      <c r="L236" s="49" t="n"/>
      <c r="M236" s="64" t="n"/>
      <c r="N236" s="49" t="n"/>
      <c r="O236" s="49" t="n"/>
      <c r="P236" s="49" t="n"/>
      <c r="Q236" s="49" t="n"/>
      <c r="R236" s="49" t="n"/>
      <c r="S236" s="63">
        <f>IF($C236="","",SUM($G236:$L236))</f>
        <v/>
      </c>
      <c r="T236" s="63">
        <f>IF($C236="","",SUM($N236:$R236))</f>
        <v/>
      </c>
      <c r="U236" s="63">
        <f>IF($C236="","",$S236-$T236)</f>
        <v/>
      </c>
      <c r="V236" s="47" t="n"/>
      <c r="W236" s="112" t="n"/>
      <c r="X236" s="47" t="n"/>
      <c r="Y236" s="50">
        <f>IF($C236="","",IF(SUMPRODUCT(($C$3:$C$502=$C236)*($A$3:$A$502=$A236)*($B$3:$B$502=$B236))&gt;1,"⚠ مكرر","سليم"))</f>
        <v/>
      </c>
      <c r="Z236">
        <f>IF(AND($C236&lt;&gt;"",$A236=تقرير_الشهر,$B236=تقرير_السنة),SUMPRODUCT(($C$3:$C$502&lt;&gt;"")*($A$3:$A$502=تقرير_الشهر)*($B$3:$B$502=تقرير_السنة)*(ROW($C$3:$C$502)&lt;=ROW())),"")</f>
        <v/>
      </c>
    </row>
    <row r="237">
      <c r="A237" s="40" t="n"/>
      <c r="B237" s="59" t="n"/>
      <c r="C237" s="40" t="n"/>
      <c r="D237" s="43">
        <f>IFERROR(INDEX(الموظفون_الاسم,MATCH($C237,الموظفون_الرقم,0)),"")</f>
        <v/>
      </c>
      <c r="E237" s="43">
        <f>IFERROR(INDEX(الموظفون_الإدارة,MATCH($C237,الموظفون_الرقم,0)),"")</f>
        <v/>
      </c>
      <c r="F237" s="43">
        <f>IFERROR(INDEX(الموظفون_القسم,MATCH($C237,الموظفون_الرقم,0)),"")</f>
        <v/>
      </c>
      <c r="G237" s="60">
        <f>IF($C237="","",IFERROR(INDEX(الموظفون_الاساسي,MATCH($C237,الموظفون_الرقم,0)),0))</f>
        <v/>
      </c>
      <c r="H237" s="42" t="n"/>
      <c r="I237" s="42" t="n"/>
      <c r="J237" s="42" t="n"/>
      <c r="K237" s="42" t="n"/>
      <c r="L237" s="42" t="n"/>
      <c r="M237" s="61" t="n"/>
      <c r="N237" s="42" t="n"/>
      <c r="O237" s="42" t="n"/>
      <c r="P237" s="42" t="n"/>
      <c r="Q237" s="42" t="n"/>
      <c r="R237" s="42" t="n"/>
      <c r="S237" s="60">
        <f>IF($C237="","",SUM($G237:$L237))</f>
        <v/>
      </c>
      <c r="T237" s="60">
        <f>IF($C237="","",SUM($N237:$R237))</f>
        <v/>
      </c>
      <c r="U237" s="60">
        <f>IF($C237="","",$S237-$T237)</f>
        <v/>
      </c>
      <c r="V237" s="40" t="n"/>
      <c r="W237" s="110" t="n"/>
      <c r="X237" s="40" t="n"/>
      <c r="Y237" s="43">
        <f>IF($C237="","",IF(SUMPRODUCT(($C$3:$C$502=$C237)*($A$3:$A$502=$A237)*($B$3:$B$502=$B237))&gt;1,"⚠ مكرر","سليم"))</f>
        <v/>
      </c>
      <c r="Z237">
        <f>IF(AND($C237&lt;&gt;"",$A237=تقرير_الشهر,$B237=تقرير_السنة),SUMPRODUCT(($C$3:$C$502&lt;&gt;"")*($A$3:$A$502=تقرير_الشهر)*($B$3:$B$502=تقرير_السنة)*(ROW($C$3:$C$502)&lt;=ROW())),"")</f>
        <v/>
      </c>
    </row>
    <row r="238">
      <c r="A238" s="47" t="n"/>
      <c r="B238" s="62" t="n"/>
      <c r="C238" s="47" t="n"/>
      <c r="D238" s="50">
        <f>IFERROR(INDEX(الموظفون_الاسم,MATCH($C238,الموظفون_الرقم,0)),"")</f>
        <v/>
      </c>
      <c r="E238" s="50">
        <f>IFERROR(INDEX(الموظفون_الإدارة,MATCH($C238,الموظفون_الرقم,0)),"")</f>
        <v/>
      </c>
      <c r="F238" s="50">
        <f>IFERROR(INDEX(الموظفون_القسم,MATCH($C238,الموظفون_الرقم,0)),"")</f>
        <v/>
      </c>
      <c r="G238" s="63">
        <f>IF($C238="","",IFERROR(INDEX(الموظفون_الاساسي,MATCH($C238,الموظفون_الرقم,0)),0))</f>
        <v/>
      </c>
      <c r="H238" s="49" t="n"/>
      <c r="I238" s="49" t="n"/>
      <c r="J238" s="49" t="n"/>
      <c r="K238" s="49" t="n"/>
      <c r="L238" s="49" t="n"/>
      <c r="M238" s="64" t="n"/>
      <c r="N238" s="49" t="n"/>
      <c r="O238" s="49" t="n"/>
      <c r="P238" s="49" t="n"/>
      <c r="Q238" s="49" t="n"/>
      <c r="R238" s="49" t="n"/>
      <c r="S238" s="63">
        <f>IF($C238="","",SUM($G238:$L238))</f>
        <v/>
      </c>
      <c r="T238" s="63">
        <f>IF($C238="","",SUM($N238:$R238))</f>
        <v/>
      </c>
      <c r="U238" s="63">
        <f>IF($C238="","",$S238-$T238)</f>
        <v/>
      </c>
      <c r="V238" s="47" t="n"/>
      <c r="W238" s="112" t="n"/>
      <c r="X238" s="47" t="n"/>
      <c r="Y238" s="50">
        <f>IF($C238="","",IF(SUMPRODUCT(($C$3:$C$502=$C238)*($A$3:$A$502=$A238)*($B$3:$B$502=$B238))&gt;1,"⚠ مكرر","سليم"))</f>
        <v/>
      </c>
      <c r="Z238">
        <f>IF(AND($C238&lt;&gt;"",$A238=تقرير_الشهر,$B238=تقرير_السنة),SUMPRODUCT(($C$3:$C$502&lt;&gt;"")*($A$3:$A$502=تقرير_الشهر)*($B$3:$B$502=تقرير_السنة)*(ROW($C$3:$C$502)&lt;=ROW())),"")</f>
        <v/>
      </c>
    </row>
    <row r="239">
      <c r="A239" s="40" t="n"/>
      <c r="B239" s="59" t="n"/>
      <c r="C239" s="40" t="n"/>
      <c r="D239" s="43">
        <f>IFERROR(INDEX(الموظفون_الاسم,MATCH($C239,الموظفون_الرقم,0)),"")</f>
        <v/>
      </c>
      <c r="E239" s="43">
        <f>IFERROR(INDEX(الموظفون_الإدارة,MATCH($C239,الموظفون_الرقم,0)),"")</f>
        <v/>
      </c>
      <c r="F239" s="43">
        <f>IFERROR(INDEX(الموظفون_القسم,MATCH($C239,الموظفون_الرقم,0)),"")</f>
        <v/>
      </c>
      <c r="G239" s="60">
        <f>IF($C239="","",IFERROR(INDEX(الموظفون_الاساسي,MATCH($C239,الموظفون_الرقم,0)),0))</f>
        <v/>
      </c>
      <c r="H239" s="42" t="n"/>
      <c r="I239" s="42" t="n"/>
      <c r="J239" s="42" t="n"/>
      <c r="K239" s="42" t="n"/>
      <c r="L239" s="42" t="n"/>
      <c r="M239" s="61" t="n"/>
      <c r="N239" s="42" t="n"/>
      <c r="O239" s="42" t="n"/>
      <c r="P239" s="42" t="n"/>
      <c r="Q239" s="42" t="n"/>
      <c r="R239" s="42" t="n"/>
      <c r="S239" s="60">
        <f>IF($C239="","",SUM($G239:$L239))</f>
        <v/>
      </c>
      <c r="T239" s="60">
        <f>IF($C239="","",SUM($N239:$R239))</f>
        <v/>
      </c>
      <c r="U239" s="60">
        <f>IF($C239="","",$S239-$T239)</f>
        <v/>
      </c>
      <c r="V239" s="40" t="n"/>
      <c r="W239" s="110" t="n"/>
      <c r="X239" s="40" t="n"/>
      <c r="Y239" s="43">
        <f>IF($C239="","",IF(SUMPRODUCT(($C$3:$C$502=$C239)*($A$3:$A$502=$A239)*($B$3:$B$502=$B239))&gt;1,"⚠ مكرر","سليم"))</f>
        <v/>
      </c>
      <c r="Z239">
        <f>IF(AND($C239&lt;&gt;"",$A239=تقرير_الشهر,$B239=تقرير_السنة),SUMPRODUCT(($C$3:$C$502&lt;&gt;"")*($A$3:$A$502=تقرير_الشهر)*($B$3:$B$502=تقرير_السنة)*(ROW($C$3:$C$502)&lt;=ROW())),"")</f>
        <v/>
      </c>
    </row>
    <row r="240">
      <c r="A240" s="47" t="n"/>
      <c r="B240" s="62" t="n"/>
      <c r="C240" s="47" t="n"/>
      <c r="D240" s="50">
        <f>IFERROR(INDEX(الموظفون_الاسم,MATCH($C240,الموظفون_الرقم,0)),"")</f>
        <v/>
      </c>
      <c r="E240" s="50">
        <f>IFERROR(INDEX(الموظفون_الإدارة,MATCH($C240,الموظفون_الرقم,0)),"")</f>
        <v/>
      </c>
      <c r="F240" s="50">
        <f>IFERROR(INDEX(الموظفون_القسم,MATCH($C240,الموظفون_الرقم,0)),"")</f>
        <v/>
      </c>
      <c r="G240" s="63">
        <f>IF($C240="","",IFERROR(INDEX(الموظفون_الاساسي,MATCH($C240,الموظفون_الرقم,0)),0))</f>
        <v/>
      </c>
      <c r="H240" s="49" t="n"/>
      <c r="I240" s="49" t="n"/>
      <c r="J240" s="49" t="n"/>
      <c r="K240" s="49" t="n"/>
      <c r="L240" s="49" t="n"/>
      <c r="M240" s="64" t="n"/>
      <c r="N240" s="49" t="n"/>
      <c r="O240" s="49" t="n"/>
      <c r="P240" s="49" t="n"/>
      <c r="Q240" s="49" t="n"/>
      <c r="R240" s="49" t="n"/>
      <c r="S240" s="63">
        <f>IF($C240="","",SUM($G240:$L240))</f>
        <v/>
      </c>
      <c r="T240" s="63">
        <f>IF($C240="","",SUM($N240:$R240))</f>
        <v/>
      </c>
      <c r="U240" s="63">
        <f>IF($C240="","",$S240-$T240)</f>
        <v/>
      </c>
      <c r="V240" s="47" t="n"/>
      <c r="W240" s="112" t="n"/>
      <c r="X240" s="47" t="n"/>
      <c r="Y240" s="50">
        <f>IF($C240="","",IF(SUMPRODUCT(($C$3:$C$502=$C240)*($A$3:$A$502=$A240)*($B$3:$B$502=$B240))&gt;1,"⚠ مكرر","سليم"))</f>
        <v/>
      </c>
      <c r="Z240">
        <f>IF(AND($C240&lt;&gt;"",$A240=تقرير_الشهر,$B240=تقرير_السنة),SUMPRODUCT(($C$3:$C$502&lt;&gt;"")*($A$3:$A$502=تقرير_الشهر)*($B$3:$B$502=تقرير_السنة)*(ROW($C$3:$C$502)&lt;=ROW())),"")</f>
        <v/>
      </c>
    </row>
    <row r="241">
      <c r="A241" s="40" t="n"/>
      <c r="B241" s="59" t="n"/>
      <c r="C241" s="40" t="n"/>
      <c r="D241" s="43">
        <f>IFERROR(INDEX(الموظفون_الاسم,MATCH($C241,الموظفون_الرقم,0)),"")</f>
        <v/>
      </c>
      <c r="E241" s="43">
        <f>IFERROR(INDEX(الموظفون_الإدارة,MATCH($C241,الموظفون_الرقم,0)),"")</f>
        <v/>
      </c>
      <c r="F241" s="43">
        <f>IFERROR(INDEX(الموظفون_القسم,MATCH($C241,الموظفون_الرقم,0)),"")</f>
        <v/>
      </c>
      <c r="G241" s="60">
        <f>IF($C241="","",IFERROR(INDEX(الموظفون_الاساسي,MATCH($C241,الموظفون_الرقم,0)),0))</f>
        <v/>
      </c>
      <c r="H241" s="42" t="n"/>
      <c r="I241" s="42" t="n"/>
      <c r="J241" s="42" t="n"/>
      <c r="K241" s="42" t="n"/>
      <c r="L241" s="42" t="n"/>
      <c r="M241" s="61" t="n"/>
      <c r="N241" s="42" t="n"/>
      <c r="O241" s="42" t="n"/>
      <c r="P241" s="42" t="n"/>
      <c r="Q241" s="42" t="n"/>
      <c r="R241" s="42" t="n"/>
      <c r="S241" s="60">
        <f>IF($C241="","",SUM($G241:$L241))</f>
        <v/>
      </c>
      <c r="T241" s="60">
        <f>IF($C241="","",SUM($N241:$R241))</f>
        <v/>
      </c>
      <c r="U241" s="60">
        <f>IF($C241="","",$S241-$T241)</f>
        <v/>
      </c>
      <c r="V241" s="40" t="n"/>
      <c r="W241" s="110" t="n"/>
      <c r="X241" s="40" t="n"/>
      <c r="Y241" s="43">
        <f>IF($C241="","",IF(SUMPRODUCT(($C$3:$C$502=$C241)*($A$3:$A$502=$A241)*($B$3:$B$502=$B241))&gt;1,"⚠ مكرر","سليم"))</f>
        <v/>
      </c>
      <c r="Z241">
        <f>IF(AND($C241&lt;&gt;"",$A241=تقرير_الشهر,$B241=تقرير_السنة),SUMPRODUCT(($C$3:$C$502&lt;&gt;"")*($A$3:$A$502=تقرير_الشهر)*($B$3:$B$502=تقرير_السنة)*(ROW($C$3:$C$502)&lt;=ROW())),"")</f>
        <v/>
      </c>
    </row>
    <row r="242">
      <c r="A242" s="47" t="n"/>
      <c r="B242" s="62" t="n"/>
      <c r="C242" s="47" t="n"/>
      <c r="D242" s="50">
        <f>IFERROR(INDEX(الموظفون_الاسم,MATCH($C242,الموظفون_الرقم,0)),"")</f>
        <v/>
      </c>
      <c r="E242" s="50">
        <f>IFERROR(INDEX(الموظفون_الإدارة,MATCH($C242,الموظفون_الرقم,0)),"")</f>
        <v/>
      </c>
      <c r="F242" s="50">
        <f>IFERROR(INDEX(الموظفون_القسم,MATCH($C242,الموظفون_الرقم,0)),"")</f>
        <v/>
      </c>
      <c r="G242" s="63">
        <f>IF($C242="","",IFERROR(INDEX(الموظفون_الاساسي,MATCH($C242,الموظفون_الرقم,0)),0))</f>
        <v/>
      </c>
      <c r="H242" s="49" t="n"/>
      <c r="I242" s="49" t="n"/>
      <c r="J242" s="49" t="n"/>
      <c r="K242" s="49" t="n"/>
      <c r="L242" s="49" t="n"/>
      <c r="M242" s="64" t="n"/>
      <c r="N242" s="49" t="n"/>
      <c r="O242" s="49" t="n"/>
      <c r="P242" s="49" t="n"/>
      <c r="Q242" s="49" t="n"/>
      <c r="R242" s="49" t="n"/>
      <c r="S242" s="63">
        <f>IF($C242="","",SUM($G242:$L242))</f>
        <v/>
      </c>
      <c r="T242" s="63">
        <f>IF($C242="","",SUM($N242:$R242))</f>
        <v/>
      </c>
      <c r="U242" s="63">
        <f>IF($C242="","",$S242-$T242)</f>
        <v/>
      </c>
      <c r="V242" s="47" t="n"/>
      <c r="W242" s="112" t="n"/>
      <c r="X242" s="47" t="n"/>
      <c r="Y242" s="50">
        <f>IF($C242="","",IF(SUMPRODUCT(($C$3:$C$502=$C242)*($A$3:$A$502=$A242)*($B$3:$B$502=$B242))&gt;1,"⚠ مكرر","سليم"))</f>
        <v/>
      </c>
      <c r="Z242">
        <f>IF(AND($C242&lt;&gt;"",$A242=تقرير_الشهر,$B242=تقرير_السنة),SUMPRODUCT(($C$3:$C$502&lt;&gt;"")*($A$3:$A$502=تقرير_الشهر)*($B$3:$B$502=تقرير_السنة)*(ROW($C$3:$C$502)&lt;=ROW())),"")</f>
        <v/>
      </c>
    </row>
    <row r="243">
      <c r="A243" s="40" t="n"/>
      <c r="B243" s="59" t="n"/>
      <c r="C243" s="40" t="n"/>
      <c r="D243" s="43">
        <f>IFERROR(INDEX(الموظفون_الاسم,MATCH($C243,الموظفون_الرقم,0)),"")</f>
        <v/>
      </c>
      <c r="E243" s="43">
        <f>IFERROR(INDEX(الموظفون_الإدارة,MATCH($C243,الموظفون_الرقم,0)),"")</f>
        <v/>
      </c>
      <c r="F243" s="43">
        <f>IFERROR(INDEX(الموظفون_القسم,MATCH($C243,الموظفون_الرقم,0)),"")</f>
        <v/>
      </c>
      <c r="G243" s="60">
        <f>IF($C243="","",IFERROR(INDEX(الموظفون_الاساسي,MATCH($C243,الموظفون_الرقم,0)),0))</f>
        <v/>
      </c>
      <c r="H243" s="42" t="n"/>
      <c r="I243" s="42" t="n"/>
      <c r="J243" s="42" t="n"/>
      <c r="K243" s="42" t="n"/>
      <c r="L243" s="42" t="n"/>
      <c r="M243" s="61" t="n"/>
      <c r="N243" s="42" t="n"/>
      <c r="O243" s="42" t="n"/>
      <c r="P243" s="42" t="n"/>
      <c r="Q243" s="42" t="n"/>
      <c r="R243" s="42" t="n"/>
      <c r="S243" s="60">
        <f>IF($C243="","",SUM($G243:$L243))</f>
        <v/>
      </c>
      <c r="T243" s="60">
        <f>IF($C243="","",SUM($N243:$R243))</f>
        <v/>
      </c>
      <c r="U243" s="60">
        <f>IF($C243="","",$S243-$T243)</f>
        <v/>
      </c>
      <c r="V243" s="40" t="n"/>
      <c r="W243" s="110" t="n"/>
      <c r="X243" s="40" t="n"/>
      <c r="Y243" s="43">
        <f>IF($C243="","",IF(SUMPRODUCT(($C$3:$C$502=$C243)*($A$3:$A$502=$A243)*($B$3:$B$502=$B243))&gt;1,"⚠ مكرر","سليم"))</f>
        <v/>
      </c>
      <c r="Z243">
        <f>IF(AND($C243&lt;&gt;"",$A243=تقرير_الشهر,$B243=تقرير_السنة),SUMPRODUCT(($C$3:$C$502&lt;&gt;"")*($A$3:$A$502=تقرير_الشهر)*($B$3:$B$502=تقرير_السنة)*(ROW($C$3:$C$502)&lt;=ROW())),"")</f>
        <v/>
      </c>
    </row>
    <row r="244">
      <c r="A244" s="47" t="n"/>
      <c r="B244" s="62" t="n"/>
      <c r="C244" s="47" t="n"/>
      <c r="D244" s="50">
        <f>IFERROR(INDEX(الموظفون_الاسم,MATCH($C244,الموظفون_الرقم,0)),"")</f>
        <v/>
      </c>
      <c r="E244" s="50">
        <f>IFERROR(INDEX(الموظفون_الإدارة,MATCH($C244,الموظفون_الرقم,0)),"")</f>
        <v/>
      </c>
      <c r="F244" s="50">
        <f>IFERROR(INDEX(الموظفون_القسم,MATCH($C244,الموظفون_الرقم,0)),"")</f>
        <v/>
      </c>
      <c r="G244" s="63">
        <f>IF($C244="","",IFERROR(INDEX(الموظفون_الاساسي,MATCH($C244,الموظفون_الرقم,0)),0))</f>
        <v/>
      </c>
      <c r="H244" s="49" t="n"/>
      <c r="I244" s="49" t="n"/>
      <c r="J244" s="49" t="n"/>
      <c r="K244" s="49" t="n"/>
      <c r="L244" s="49" t="n"/>
      <c r="M244" s="64" t="n"/>
      <c r="N244" s="49" t="n"/>
      <c r="O244" s="49" t="n"/>
      <c r="P244" s="49" t="n"/>
      <c r="Q244" s="49" t="n"/>
      <c r="R244" s="49" t="n"/>
      <c r="S244" s="63">
        <f>IF($C244="","",SUM($G244:$L244))</f>
        <v/>
      </c>
      <c r="T244" s="63">
        <f>IF($C244="","",SUM($N244:$R244))</f>
        <v/>
      </c>
      <c r="U244" s="63">
        <f>IF($C244="","",$S244-$T244)</f>
        <v/>
      </c>
      <c r="V244" s="47" t="n"/>
      <c r="W244" s="112" t="n"/>
      <c r="X244" s="47" t="n"/>
      <c r="Y244" s="50">
        <f>IF($C244="","",IF(SUMPRODUCT(($C$3:$C$502=$C244)*($A$3:$A$502=$A244)*($B$3:$B$502=$B244))&gt;1,"⚠ مكرر","سليم"))</f>
        <v/>
      </c>
      <c r="Z244">
        <f>IF(AND($C244&lt;&gt;"",$A244=تقرير_الشهر,$B244=تقرير_السنة),SUMPRODUCT(($C$3:$C$502&lt;&gt;"")*($A$3:$A$502=تقرير_الشهر)*($B$3:$B$502=تقرير_السنة)*(ROW($C$3:$C$502)&lt;=ROW())),"")</f>
        <v/>
      </c>
    </row>
    <row r="245">
      <c r="A245" s="40" t="n"/>
      <c r="B245" s="59" t="n"/>
      <c r="C245" s="40" t="n"/>
      <c r="D245" s="43">
        <f>IFERROR(INDEX(الموظفون_الاسم,MATCH($C245,الموظفون_الرقم,0)),"")</f>
        <v/>
      </c>
      <c r="E245" s="43">
        <f>IFERROR(INDEX(الموظفون_الإدارة,MATCH($C245,الموظفون_الرقم,0)),"")</f>
        <v/>
      </c>
      <c r="F245" s="43">
        <f>IFERROR(INDEX(الموظفون_القسم,MATCH($C245,الموظفون_الرقم,0)),"")</f>
        <v/>
      </c>
      <c r="G245" s="60">
        <f>IF($C245="","",IFERROR(INDEX(الموظفون_الاساسي,MATCH($C245,الموظفون_الرقم,0)),0))</f>
        <v/>
      </c>
      <c r="H245" s="42" t="n"/>
      <c r="I245" s="42" t="n"/>
      <c r="J245" s="42" t="n"/>
      <c r="K245" s="42" t="n"/>
      <c r="L245" s="42" t="n"/>
      <c r="M245" s="61" t="n"/>
      <c r="N245" s="42" t="n"/>
      <c r="O245" s="42" t="n"/>
      <c r="P245" s="42" t="n"/>
      <c r="Q245" s="42" t="n"/>
      <c r="R245" s="42" t="n"/>
      <c r="S245" s="60">
        <f>IF($C245="","",SUM($G245:$L245))</f>
        <v/>
      </c>
      <c r="T245" s="60">
        <f>IF($C245="","",SUM($N245:$R245))</f>
        <v/>
      </c>
      <c r="U245" s="60">
        <f>IF($C245="","",$S245-$T245)</f>
        <v/>
      </c>
      <c r="V245" s="40" t="n"/>
      <c r="W245" s="110" t="n"/>
      <c r="X245" s="40" t="n"/>
      <c r="Y245" s="43">
        <f>IF($C245="","",IF(SUMPRODUCT(($C$3:$C$502=$C245)*($A$3:$A$502=$A245)*($B$3:$B$502=$B245))&gt;1,"⚠ مكرر","سليم"))</f>
        <v/>
      </c>
      <c r="Z245">
        <f>IF(AND($C245&lt;&gt;"",$A245=تقرير_الشهر,$B245=تقرير_السنة),SUMPRODUCT(($C$3:$C$502&lt;&gt;"")*($A$3:$A$502=تقرير_الشهر)*($B$3:$B$502=تقرير_السنة)*(ROW($C$3:$C$502)&lt;=ROW())),"")</f>
        <v/>
      </c>
    </row>
    <row r="246">
      <c r="A246" s="47" t="n"/>
      <c r="B246" s="62" t="n"/>
      <c r="C246" s="47" t="n"/>
      <c r="D246" s="50">
        <f>IFERROR(INDEX(الموظفون_الاسم,MATCH($C246,الموظفون_الرقم,0)),"")</f>
        <v/>
      </c>
      <c r="E246" s="50">
        <f>IFERROR(INDEX(الموظفون_الإدارة,MATCH($C246,الموظفون_الرقم,0)),"")</f>
        <v/>
      </c>
      <c r="F246" s="50">
        <f>IFERROR(INDEX(الموظفون_القسم,MATCH($C246,الموظفون_الرقم,0)),"")</f>
        <v/>
      </c>
      <c r="G246" s="63">
        <f>IF($C246="","",IFERROR(INDEX(الموظفون_الاساسي,MATCH($C246,الموظفون_الرقم,0)),0))</f>
        <v/>
      </c>
      <c r="H246" s="49" t="n"/>
      <c r="I246" s="49" t="n"/>
      <c r="J246" s="49" t="n"/>
      <c r="K246" s="49" t="n"/>
      <c r="L246" s="49" t="n"/>
      <c r="M246" s="64" t="n"/>
      <c r="N246" s="49" t="n"/>
      <c r="O246" s="49" t="n"/>
      <c r="P246" s="49" t="n"/>
      <c r="Q246" s="49" t="n"/>
      <c r="R246" s="49" t="n"/>
      <c r="S246" s="63">
        <f>IF($C246="","",SUM($G246:$L246))</f>
        <v/>
      </c>
      <c r="T246" s="63">
        <f>IF($C246="","",SUM($N246:$R246))</f>
        <v/>
      </c>
      <c r="U246" s="63">
        <f>IF($C246="","",$S246-$T246)</f>
        <v/>
      </c>
      <c r="V246" s="47" t="n"/>
      <c r="W246" s="112" t="n"/>
      <c r="X246" s="47" t="n"/>
      <c r="Y246" s="50">
        <f>IF($C246="","",IF(SUMPRODUCT(($C$3:$C$502=$C246)*($A$3:$A$502=$A246)*($B$3:$B$502=$B246))&gt;1,"⚠ مكرر","سليم"))</f>
        <v/>
      </c>
      <c r="Z246">
        <f>IF(AND($C246&lt;&gt;"",$A246=تقرير_الشهر,$B246=تقرير_السنة),SUMPRODUCT(($C$3:$C$502&lt;&gt;"")*($A$3:$A$502=تقرير_الشهر)*($B$3:$B$502=تقرير_السنة)*(ROW($C$3:$C$502)&lt;=ROW())),"")</f>
        <v/>
      </c>
    </row>
    <row r="247">
      <c r="A247" s="40" t="n"/>
      <c r="B247" s="59" t="n"/>
      <c r="C247" s="40" t="n"/>
      <c r="D247" s="43">
        <f>IFERROR(INDEX(الموظفون_الاسم,MATCH($C247,الموظفون_الرقم,0)),"")</f>
        <v/>
      </c>
      <c r="E247" s="43">
        <f>IFERROR(INDEX(الموظفون_الإدارة,MATCH($C247,الموظفون_الرقم,0)),"")</f>
        <v/>
      </c>
      <c r="F247" s="43">
        <f>IFERROR(INDEX(الموظفون_القسم,MATCH($C247,الموظفون_الرقم,0)),"")</f>
        <v/>
      </c>
      <c r="G247" s="60">
        <f>IF($C247="","",IFERROR(INDEX(الموظفون_الاساسي,MATCH($C247,الموظفون_الرقم,0)),0))</f>
        <v/>
      </c>
      <c r="H247" s="42" t="n"/>
      <c r="I247" s="42" t="n"/>
      <c r="J247" s="42" t="n"/>
      <c r="K247" s="42" t="n"/>
      <c r="L247" s="42" t="n"/>
      <c r="M247" s="61" t="n"/>
      <c r="N247" s="42" t="n"/>
      <c r="O247" s="42" t="n"/>
      <c r="P247" s="42" t="n"/>
      <c r="Q247" s="42" t="n"/>
      <c r="R247" s="42" t="n"/>
      <c r="S247" s="60">
        <f>IF($C247="","",SUM($G247:$L247))</f>
        <v/>
      </c>
      <c r="T247" s="60">
        <f>IF($C247="","",SUM($N247:$R247))</f>
        <v/>
      </c>
      <c r="U247" s="60">
        <f>IF($C247="","",$S247-$T247)</f>
        <v/>
      </c>
      <c r="V247" s="40" t="n"/>
      <c r="W247" s="110" t="n"/>
      <c r="X247" s="40" t="n"/>
      <c r="Y247" s="43">
        <f>IF($C247="","",IF(SUMPRODUCT(($C$3:$C$502=$C247)*($A$3:$A$502=$A247)*($B$3:$B$502=$B247))&gt;1,"⚠ مكرر","سليم"))</f>
        <v/>
      </c>
      <c r="Z247">
        <f>IF(AND($C247&lt;&gt;"",$A247=تقرير_الشهر,$B247=تقرير_السنة),SUMPRODUCT(($C$3:$C$502&lt;&gt;"")*($A$3:$A$502=تقرير_الشهر)*($B$3:$B$502=تقرير_السنة)*(ROW($C$3:$C$502)&lt;=ROW())),"")</f>
        <v/>
      </c>
    </row>
    <row r="248">
      <c r="A248" s="47" t="n"/>
      <c r="B248" s="62" t="n"/>
      <c r="C248" s="47" t="n"/>
      <c r="D248" s="50">
        <f>IFERROR(INDEX(الموظفون_الاسم,MATCH($C248,الموظفون_الرقم,0)),"")</f>
        <v/>
      </c>
      <c r="E248" s="50">
        <f>IFERROR(INDEX(الموظفون_الإدارة,MATCH($C248,الموظفون_الرقم,0)),"")</f>
        <v/>
      </c>
      <c r="F248" s="50">
        <f>IFERROR(INDEX(الموظفون_القسم,MATCH($C248,الموظفون_الرقم,0)),"")</f>
        <v/>
      </c>
      <c r="G248" s="63">
        <f>IF($C248="","",IFERROR(INDEX(الموظفون_الاساسي,MATCH($C248,الموظفون_الرقم,0)),0))</f>
        <v/>
      </c>
      <c r="H248" s="49" t="n"/>
      <c r="I248" s="49" t="n"/>
      <c r="J248" s="49" t="n"/>
      <c r="K248" s="49" t="n"/>
      <c r="L248" s="49" t="n"/>
      <c r="M248" s="64" t="n"/>
      <c r="N248" s="49" t="n"/>
      <c r="O248" s="49" t="n"/>
      <c r="P248" s="49" t="n"/>
      <c r="Q248" s="49" t="n"/>
      <c r="R248" s="49" t="n"/>
      <c r="S248" s="63">
        <f>IF($C248="","",SUM($G248:$L248))</f>
        <v/>
      </c>
      <c r="T248" s="63">
        <f>IF($C248="","",SUM($N248:$R248))</f>
        <v/>
      </c>
      <c r="U248" s="63">
        <f>IF($C248="","",$S248-$T248)</f>
        <v/>
      </c>
      <c r="V248" s="47" t="n"/>
      <c r="W248" s="112" t="n"/>
      <c r="X248" s="47" t="n"/>
      <c r="Y248" s="50">
        <f>IF($C248="","",IF(SUMPRODUCT(($C$3:$C$502=$C248)*($A$3:$A$502=$A248)*($B$3:$B$502=$B248))&gt;1,"⚠ مكرر","سليم"))</f>
        <v/>
      </c>
      <c r="Z248">
        <f>IF(AND($C248&lt;&gt;"",$A248=تقرير_الشهر,$B248=تقرير_السنة),SUMPRODUCT(($C$3:$C$502&lt;&gt;"")*($A$3:$A$502=تقرير_الشهر)*($B$3:$B$502=تقرير_السنة)*(ROW($C$3:$C$502)&lt;=ROW())),"")</f>
        <v/>
      </c>
    </row>
    <row r="249">
      <c r="A249" s="40" t="n"/>
      <c r="B249" s="59" t="n"/>
      <c r="C249" s="40" t="n"/>
      <c r="D249" s="43">
        <f>IFERROR(INDEX(الموظفون_الاسم,MATCH($C249,الموظفون_الرقم,0)),"")</f>
        <v/>
      </c>
      <c r="E249" s="43">
        <f>IFERROR(INDEX(الموظفون_الإدارة,MATCH($C249,الموظفون_الرقم,0)),"")</f>
        <v/>
      </c>
      <c r="F249" s="43">
        <f>IFERROR(INDEX(الموظفون_القسم,MATCH($C249,الموظفون_الرقم,0)),"")</f>
        <v/>
      </c>
      <c r="G249" s="60">
        <f>IF($C249="","",IFERROR(INDEX(الموظفون_الاساسي,MATCH($C249,الموظفون_الرقم,0)),0))</f>
        <v/>
      </c>
      <c r="H249" s="42" t="n"/>
      <c r="I249" s="42" t="n"/>
      <c r="J249" s="42" t="n"/>
      <c r="K249" s="42" t="n"/>
      <c r="L249" s="42" t="n"/>
      <c r="M249" s="61" t="n"/>
      <c r="N249" s="42" t="n"/>
      <c r="O249" s="42" t="n"/>
      <c r="P249" s="42" t="n"/>
      <c r="Q249" s="42" t="n"/>
      <c r="R249" s="42" t="n"/>
      <c r="S249" s="60">
        <f>IF($C249="","",SUM($G249:$L249))</f>
        <v/>
      </c>
      <c r="T249" s="60">
        <f>IF($C249="","",SUM($N249:$R249))</f>
        <v/>
      </c>
      <c r="U249" s="60">
        <f>IF($C249="","",$S249-$T249)</f>
        <v/>
      </c>
      <c r="V249" s="40" t="n"/>
      <c r="W249" s="110" t="n"/>
      <c r="X249" s="40" t="n"/>
      <c r="Y249" s="43">
        <f>IF($C249="","",IF(SUMPRODUCT(($C$3:$C$502=$C249)*($A$3:$A$502=$A249)*($B$3:$B$502=$B249))&gt;1,"⚠ مكرر","سليم"))</f>
        <v/>
      </c>
      <c r="Z249">
        <f>IF(AND($C249&lt;&gt;"",$A249=تقرير_الشهر,$B249=تقرير_السنة),SUMPRODUCT(($C$3:$C$502&lt;&gt;"")*($A$3:$A$502=تقرير_الشهر)*($B$3:$B$502=تقرير_السنة)*(ROW($C$3:$C$502)&lt;=ROW())),"")</f>
        <v/>
      </c>
    </row>
    <row r="250">
      <c r="A250" s="47" t="n"/>
      <c r="B250" s="62" t="n"/>
      <c r="C250" s="47" t="n"/>
      <c r="D250" s="50">
        <f>IFERROR(INDEX(الموظفون_الاسم,MATCH($C250,الموظفون_الرقم,0)),"")</f>
        <v/>
      </c>
      <c r="E250" s="50">
        <f>IFERROR(INDEX(الموظفون_الإدارة,MATCH($C250,الموظفون_الرقم,0)),"")</f>
        <v/>
      </c>
      <c r="F250" s="50">
        <f>IFERROR(INDEX(الموظفون_القسم,MATCH($C250,الموظفون_الرقم,0)),"")</f>
        <v/>
      </c>
      <c r="G250" s="63">
        <f>IF($C250="","",IFERROR(INDEX(الموظفون_الاساسي,MATCH($C250,الموظفون_الرقم,0)),0))</f>
        <v/>
      </c>
      <c r="H250" s="49" t="n"/>
      <c r="I250" s="49" t="n"/>
      <c r="J250" s="49" t="n"/>
      <c r="K250" s="49" t="n"/>
      <c r="L250" s="49" t="n"/>
      <c r="M250" s="64" t="n"/>
      <c r="N250" s="49" t="n"/>
      <c r="O250" s="49" t="n"/>
      <c r="P250" s="49" t="n"/>
      <c r="Q250" s="49" t="n"/>
      <c r="R250" s="49" t="n"/>
      <c r="S250" s="63">
        <f>IF($C250="","",SUM($G250:$L250))</f>
        <v/>
      </c>
      <c r="T250" s="63">
        <f>IF($C250="","",SUM($N250:$R250))</f>
        <v/>
      </c>
      <c r="U250" s="63">
        <f>IF($C250="","",$S250-$T250)</f>
        <v/>
      </c>
      <c r="V250" s="47" t="n"/>
      <c r="W250" s="112" t="n"/>
      <c r="X250" s="47" t="n"/>
      <c r="Y250" s="50">
        <f>IF($C250="","",IF(SUMPRODUCT(($C$3:$C$502=$C250)*($A$3:$A$502=$A250)*($B$3:$B$502=$B250))&gt;1,"⚠ مكرر","سليم"))</f>
        <v/>
      </c>
      <c r="Z250">
        <f>IF(AND($C250&lt;&gt;"",$A250=تقرير_الشهر,$B250=تقرير_السنة),SUMPRODUCT(($C$3:$C$502&lt;&gt;"")*($A$3:$A$502=تقرير_الشهر)*($B$3:$B$502=تقرير_السنة)*(ROW($C$3:$C$502)&lt;=ROW())),"")</f>
        <v/>
      </c>
    </row>
    <row r="251">
      <c r="A251" s="40" t="n"/>
      <c r="B251" s="59" t="n"/>
      <c r="C251" s="40" t="n"/>
      <c r="D251" s="43">
        <f>IFERROR(INDEX(الموظفون_الاسم,MATCH($C251,الموظفون_الرقم,0)),"")</f>
        <v/>
      </c>
      <c r="E251" s="43">
        <f>IFERROR(INDEX(الموظفون_الإدارة,MATCH($C251,الموظفون_الرقم,0)),"")</f>
        <v/>
      </c>
      <c r="F251" s="43">
        <f>IFERROR(INDEX(الموظفون_القسم,MATCH($C251,الموظفون_الرقم,0)),"")</f>
        <v/>
      </c>
      <c r="G251" s="60">
        <f>IF($C251="","",IFERROR(INDEX(الموظفون_الاساسي,MATCH($C251,الموظفون_الرقم,0)),0))</f>
        <v/>
      </c>
      <c r="H251" s="42" t="n"/>
      <c r="I251" s="42" t="n"/>
      <c r="J251" s="42" t="n"/>
      <c r="K251" s="42" t="n"/>
      <c r="L251" s="42" t="n"/>
      <c r="M251" s="61" t="n"/>
      <c r="N251" s="42" t="n"/>
      <c r="O251" s="42" t="n"/>
      <c r="P251" s="42" t="n"/>
      <c r="Q251" s="42" t="n"/>
      <c r="R251" s="42" t="n"/>
      <c r="S251" s="60">
        <f>IF($C251="","",SUM($G251:$L251))</f>
        <v/>
      </c>
      <c r="T251" s="60">
        <f>IF($C251="","",SUM($N251:$R251))</f>
        <v/>
      </c>
      <c r="U251" s="60">
        <f>IF($C251="","",$S251-$T251)</f>
        <v/>
      </c>
      <c r="V251" s="40" t="n"/>
      <c r="W251" s="110" t="n"/>
      <c r="X251" s="40" t="n"/>
      <c r="Y251" s="43">
        <f>IF($C251="","",IF(SUMPRODUCT(($C$3:$C$502=$C251)*($A$3:$A$502=$A251)*($B$3:$B$502=$B251))&gt;1,"⚠ مكرر","سليم"))</f>
        <v/>
      </c>
      <c r="Z251">
        <f>IF(AND($C251&lt;&gt;"",$A251=تقرير_الشهر,$B251=تقرير_السنة),SUMPRODUCT(($C$3:$C$502&lt;&gt;"")*($A$3:$A$502=تقرير_الشهر)*($B$3:$B$502=تقرير_السنة)*(ROW($C$3:$C$502)&lt;=ROW())),"")</f>
        <v/>
      </c>
    </row>
    <row r="252">
      <c r="A252" s="47" t="n"/>
      <c r="B252" s="62" t="n"/>
      <c r="C252" s="47" t="n"/>
      <c r="D252" s="50">
        <f>IFERROR(INDEX(الموظفون_الاسم,MATCH($C252,الموظفون_الرقم,0)),"")</f>
        <v/>
      </c>
      <c r="E252" s="50">
        <f>IFERROR(INDEX(الموظفون_الإدارة,MATCH($C252,الموظفون_الرقم,0)),"")</f>
        <v/>
      </c>
      <c r="F252" s="50">
        <f>IFERROR(INDEX(الموظفون_القسم,MATCH($C252,الموظفون_الرقم,0)),"")</f>
        <v/>
      </c>
      <c r="G252" s="63">
        <f>IF($C252="","",IFERROR(INDEX(الموظفون_الاساسي,MATCH($C252,الموظفون_الرقم,0)),0))</f>
        <v/>
      </c>
      <c r="H252" s="49" t="n"/>
      <c r="I252" s="49" t="n"/>
      <c r="J252" s="49" t="n"/>
      <c r="K252" s="49" t="n"/>
      <c r="L252" s="49" t="n"/>
      <c r="M252" s="64" t="n"/>
      <c r="N252" s="49" t="n"/>
      <c r="O252" s="49" t="n"/>
      <c r="P252" s="49" t="n"/>
      <c r="Q252" s="49" t="n"/>
      <c r="R252" s="49" t="n"/>
      <c r="S252" s="63">
        <f>IF($C252="","",SUM($G252:$L252))</f>
        <v/>
      </c>
      <c r="T252" s="63">
        <f>IF($C252="","",SUM($N252:$R252))</f>
        <v/>
      </c>
      <c r="U252" s="63">
        <f>IF($C252="","",$S252-$T252)</f>
        <v/>
      </c>
      <c r="V252" s="47" t="n"/>
      <c r="W252" s="112" t="n"/>
      <c r="X252" s="47" t="n"/>
      <c r="Y252" s="50">
        <f>IF($C252="","",IF(SUMPRODUCT(($C$3:$C$502=$C252)*($A$3:$A$502=$A252)*($B$3:$B$502=$B252))&gt;1,"⚠ مكرر","سليم"))</f>
        <v/>
      </c>
      <c r="Z252">
        <f>IF(AND($C252&lt;&gt;"",$A252=تقرير_الشهر,$B252=تقرير_السنة),SUMPRODUCT(($C$3:$C$502&lt;&gt;"")*($A$3:$A$502=تقرير_الشهر)*($B$3:$B$502=تقرير_السنة)*(ROW($C$3:$C$502)&lt;=ROW())),"")</f>
        <v/>
      </c>
    </row>
    <row r="253">
      <c r="A253" s="40" t="n"/>
      <c r="B253" s="59" t="n"/>
      <c r="C253" s="40" t="n"/>
      <c r="D253" s="43">
        <f>IFERROR(INDEX(الموظفون_الاسم,MATCH($C253,الموظفون_الرقم,0)),"")</f>
        <v/>
      </c>
      <c r="E253" s="43">
        <f>IFERROR(INDEX(الموظفون_الإدارة,MATCH($C253,الموظفون_الرقم,0)),"")</f>
        <v/>
      </c>
      <c r="F253" s="43">
        <f>IFERROR(INDEX(الموظفون_القسم,MATCH($C253,الموظفون_الرقم,0)),"")</f>
        <v/>
      </c>
      <c r="G253" s="60">
        <f>IF($C253="","",IFERROR(INDEX(الموظفون_الاساسي,MATCH($C253,الموظفون_الرقم,0)),0))</f>
        <v/>
      </c>
      <c r="H253" s="42" t="n"/>
      <c r="I253" s="42" t="n"/>
      <c r="J253" s="42" t="n"/>
      <c r="K253" s="42" t="n"/>
      <c r="L253" s="42" t="n"/>
      <c r="M253" s="61" t="n"/>
      <c r="N253" s="42" t="n"/>
      <c r="O253" s="42" t="n"/>
      <c r="P253" s="42" t="n"/>
      <c r="Q253" s="42" t="n"/>
      <c r="R253" s="42" t="n"/>
      <c r="S253" s="60">
        <f>IF($C253="","",SUM($G253:$L253))</f>
        <v/>
      </c>
      <c r="T253" s="60">
        <f>IF($C253="","",SUM($N253:$R253))</f>
        <v/>
      </c>
      <c r="U253" s="60">
        <f>IF($C253="","",$S253-$T253)</f>
        <v/>
      </c>
      <c r="V253" s="40" t="n"/>
      <c r="W253" s="110" t="n"/>
      <c r="X253" s="40" t="n"/>
      <c r="Y253" s="43">
        <f>IF($C253="","",IF(SUMPRODUCT(($C$3:$C$502=$C253)*($A$3:$A$502=$A253)*($B$3:$B$502=$B253))&gt;1,"⚠ مكرر","سليم"))</f>
        <v/>
      </c>
      <c r="Z253">
        <f>IF(AND($C253&lt;&gt;"",$A253=تقرير_الشهر,$B253=تقرير_السنة),SUMPRODUCT(($C$3:$C$502&lt;&gt;"")*($A$3:$A$502=تقرير_الشهر)*($B$3:$B$502=تقرير_السنة)*(ROW($C$3:$C$502)&lt;=ROW())),"")</f>
        <v/>
      </c>
    </row>
    <row r="254">
      <c r="A254" s="47" t="n"/>
      <c r="B254" s="62" t="n"/>
      <c r="C254" s="47" t="n"/>
      <c r="D254" s="50">
        <f>IFERROR(INDEX(الموظفون_الاسم,MATCH($C254,الموظفون_الرقم,0)),"")</f>
        <v/>
      </c>
      <c r="E254" s="50">
        <f>IFERROR(INDEX(الموظفون_الإدارة,MATCH($C254,الموظفون_الرقم,0)),"")</f>
        <v/>
      </c>
      <c r="F254" s="50">
        <f>IFERROR(INDEX(الموظفون_القسم,MATCH($C254,الموظفون_الرقم,0)),"")</f>
        <v/>
      </c>
      <c r="G254" s="63">
        <f>IF($C254="","",IFERROR(INDEX(الموظفون_الاساسي,MATCH($C254,الموظفون_الرقم,0)),0))</f>
        <v/>
      </c>
      <c r="H254" s="49" t="n"/>
      <c r="I254" s="49" t="n"/>
      <c r="J254" s="49" t="n"/>
      <c r="K254" s="49" t="n"/>
      <c r="L254" s="49" t="n"/>
      <c r="M254" s="64" t="n"/>
      <c r="N254" s="49" t="n"/>
      <c r="O254" s="49" t="n"/>
      <c r="P254" s="49" t="n"/>
      <c r="Q254" s="49" t="n"/>
      <c r="R254" s="49" t="n"/>
      <c r="S254" s="63">
        <f>IF($C254="","",SUM($G254:$L254))</f>
        <v/>
      </c>
      <c r="T254" s="63">
        <f>IF($C254="","",SUM($N254:$R254))</f>
        <v/>
      </c>
      <c r="U254" s="63">
        <f>IF($C254="","",$S254-$T254)</f>
        <v/>
      </c>
      <c r="V254" s="47" t="n"/>
      <c r="W254" s="112" t="n"/>
      <c r="X254" s="47" t="n"/>
      <c r="Y254" s="50">
        <f>IF($C254="","",IF(SUMPRODUCT(($C$3:$C$502=$C254)*($A$3:$A$502=$A254)*($B$3:$B$502=$B254))&gt;1,"⚠ مكرر","سليم"))</f>
        <v/>
      </c>
      <c r="Z254">
        <f>IF(AND($C254&lt;&gt;"",$A254=تقرير_الشهر,$B254=تقرير_السنة),SUMPRODUCT(($C$3:$C$502&lt;&gt;"")*($A$3:$A$502=تقرير_الشهر)*($B$3:$B$502=تقرير_السنة)*(ROW($C$3:$C$502)&lt;=ROW())),"")</f>
        <v/>
      </c>
    </row>
    <row r="255">
      <c r="A255" s="40" t="n"/>
      <c r="B255" s="59" t="n"/>
      <c r="C255" s="40" t="n"/>
      <c r="D255" s="43">
        <f>IFERROR(INDEX(الموظفون_الاسم,MATCH($C255,الموظفون_الرقم,0)),"")</f>
        <v/>
      </c>
      <c r="E255" s="43">
        <f>IFERROR(INDEX(الموظفون_الإدارة,MATCH($C255,الموظفون_الرقم,0)),"")</f>
        <v/>
      </c>
      <c r="F255" s="43">
        <f>IFERROR(INDEX(الموظفون_القسم,MATCH($C255,الموظفون_الرقم,0)),"")</f>
        <v/>
      </c>
      <c r="G255" s="60">
        <f>IF($C255="","",IFERROR(INDEX(الموظفون_الاساسي,MATCH($C255,الموظفون_الرقم,0)),0))</f>
        <v/>
      </c>
      <c r="H255" s="42" t="n"/>
      <c r="I255" s="42" t="n"/>
      <c r="J255" s="42" t="n"/>
      <c r="K255" s="42" t="n"/>
      <c r="L255" s="42" t="n"/>
      <c r="M255" s="61" t="n"/>
      <c r="N255" s="42" t="n"/>
      <c r="O255" s="42" t="n"/>
      <c r="P255" s="42" t="n"/>
      <c r="Q255" s="42" t="n"/>
      <c r="R255" s="42" t="n"/>
      <c r="S255" s="60">
        <f>IF($C255="","",SUM($G255:$L255))</f>
        <v/>
      </c>
      <c r="T255" s="60">
        <f>IF($C255="","",SUM($N255:$R255))</f>
        <v/>
      </c>
      <c r="U255" s="60">
        <f>IF($C255="","",$S255-$T255)</f>
        <v/>
      </c>
      <c r="V255" s="40" t="n"/>
      <c r="W255" s="110" t="n"/>
      <c r="X255" s="40" t="n"/>
      <c r="Y255" s="43">
        <f>IF($C255="","",IF(SUMPRODUCT(($C$3:$C$502=$C255)*($A$3:$A$502=$A255)*($B$3:$B$502=$B255))&gt;1,"⚠ مكرر","سليم"))</f>
        <v/>
      </c>
      <c r="Z255">
        <f>IF(AND($C255&lt;&gt;"",$A255=تقرير_الشهر,$B255=تقرير_السنة),SUMPRODUCT(($C$3:$C$502&lt;&gt;"")*($A$3:$A$502=تقرير_الشهر)*($B$3:$B$502=تقرير_السنة)*(ROW($C$3:$C$502)&lt;=ROW())),"")</f>
        <v/>
      </c>
    </row>
    <row r="256">
      <c r="A256" s="47" t="n"/>
      <c r="B256" s="62" t="n"/>
      <c r="C256" s="47" t="n"/>
      <c r="D256" s="50">
        <f>IFERROR(INDEX(الموظفون_الاسم,MATCH($C256,الموظفون_الرقم,0)),"")</f>
        <v/>
      </c>
      <c r="E256" s="50">
        <f>IFERROR(INDEX(الموظفون_الإدارة,MATCH($C256,الموظفون_الرقم,0)),"")</f>
        <v/>
      </c>
      <c r="F256" s="50">
        <f>IFERROR(INDEX(الموظفون_القسم,MATCH($C256,الموظفون_الرقم,0)),"")</f>
        <v/>
      </c>
      <c r="G256" s="63">
        <f>IF($C256="","",IFERROR(INDEX(الموظفون_الاساسي,MATCH($C256,الموظفون_الرقم,0)),0))</f>
        <v/>
      </c>
      <c r="H256" s="49" t="n"/>
      <c r="I256" s="49" t="n"/>
      <c r="J256" s="49" t="n"/>
      <c r="K256" s="49" t="n"/>
      <c r="L256" s="49" t="n"/>
      <c r="M256" s="64" t="n"/>
      <c r="N256" s="49" t="n"/>
      <c r="O256" s="49" t="n"/>
      <c r="P256" s="49" t="n"/>
      <c r="Q256" s="49" t="n"/>
      <c r="R256" s="49" t="n"/>
      <c r="S256" s="63">
        <f>IF($C256="","",SUM($G256:$L256))</f>
        <v/>
      </c>
      <c r="T256" s="63">
        <f>IF($C256="","",SUM($N256:$R256))</f>
        <v/>
      </c>
      <c r="U256" s="63">
        <f>IF($C256="","",$S256-$T256)</f>
        <v/>
      </c>
      <c r="V256" s="47" t="n"/>
      <c r="W256" s="112" t="n"/>
      <c r="X256" s="47" t="n"/>
      <c r="Y256" s="50">
        <f>IF($C256="","",IF(SUMPRODUCT(($C$3:$C$502=$C256)*($A$3:$A$502=$A256)*($B$3:$B$502=$B256))&gt;1,"⚠ مكرر","سليم"))</f>
        <v/>
      </c>
      <c r="Z256">
        <f>IF(AND($C256&lt;&gt;"",$A256=تقرير_الشهر,$B256=تقرير_السنة),SUMPRODUCT(($C$3:$C$502&lt;&gt;"")*($A$3:$A$502=تقرير_الشهر)*($B$3:$B$502=تقرير_السنة)*(ROW($C$3:$C$502)&lt;=ROW())),"")</f>
        <v/>
      </c>
    </row>
    <row r="257">
      <c r="A257" s="40" t="n"/>
      <c r="B257" s="59" t="n"/>
      <c r="C257" s="40" t="n"/>
      <c r="D257" s="43">
        <f>IFERROR(INDEX(الموظفون_الاسم,MATCH($C257,الموظفون_الرقم,0)),"")</f>
        <v/>
      </c>
      <c r="E257" s="43">
        <f>IFERROR(INDEX(الموظفون_الإدارة,MATCH($C257,الموظفون_الرقم,0)),"")</f>
        <v/>
      </c>
      <c r="F257" s="43">
        <f>IFERROR(INDEX(الموظفون_القسم,MATCH($C257,الموظفون_الرقم,0)),"")</f>
        <v/>
      </c>
      <c r="G257" s="60">
        <f>IF($C257="","",IFERROR(INDEX(الموظفون_الاساسي,MATCH($C257,الموظفون_الرقم,0)),0))</f>
        <v/>
      </c>
      <c r="H257" s="42" t="n"/>
      <c r="I257" s="42" t="n"/>
      <c r="J257" s="42" t="n"/>
      <c r="K257" s="42" t="n"/>
      <c r="L257" s="42" t="n"/>
      <c r="M257" s="61" t="n"/>
      <c r="N257" s="42" t="n"/>
      <c r="O257" s="42" t="n"/>
      <c r="P257" s="42" t="n"/>
      <c r="Q257" s="42" t="n"/>
      <c r="R257" s="42" t="n"/>
      <c r="S257" s="60">
        <f>IF($C257="","",SUM($G257:$L257))</f>
        <v/>
      </c>
      <c r="T257" s="60">
        <f>IF($C257="","",SUM($N257:$R257))</f>
        <v/>
      </c>
      <c r="U257" s="60">
        <f>IF($C257="","",$S257-$T257)</f>
        <v/>
      </c>
      <c r="V257" s="40" t="n"/>
      <c r="W257" s="110" t="n"/>
      <c r="X257" s="40" t="n"/>
      <c r="Y257" s="43">
        <f>IF($C257="","",IF(SUMPRODUCT(($C$3:$C$502=$C257)*($A$3:$A$502=$A257)*($B$3:$B$502=$B257))&gt;1,"⚠ مكرر","سليم"))</f>
        <v/>
      </c>
      <c r="Z257">
        <f>IF(AND($C257&lt;&gt;"",$A257=تقرير_الشهر,$B257=تقرير_السنة),SUMPRODUCT(($C$3:$C$502&lt;&gt;"")*($A$3:$A$502=تقرير_الشهر)*($B$3:$B$502=تقرير_السنة)*(ROW($C$3:$C$502)&lt;=ROW())),"")</f>
        <v/>
      </c>
    </row>
    <row r="258">
      <c r="A258" s="47" t="n"/>
      <c r="B258" s="62" t="n"/>
      <c r="C258" s="47" t="n"/>
      <c r="D258" s="50">
        <f>IFERROR(INDEX(الموظفون_الاسم,MATCH($C258,الموظفون_الرقم,0)),"")</f>
        <v/>
      </c>
      <c r="E258" s="50">
        <f>IFERROR(INDEX(الموظفون_الإدارة,MATCH($C258,الموظفون_الرقم,0)),"")</f>
        <v/>
      </c>
      <c r="F258" s="50">
        <f>IFERROR(INDEX(الموظفون_القسم,MATCH($C258,الموظفون_الرقم,0)),"")</f>
        <v/>
      </c>
      <c r="G258" s="63">
        <f>IF($C258="","",IFERROR(INDEX(الموظفون_الاساسي,MATCH($C258,الموظفون_الرقم,0)),0))</f>
        <v/>
      </c>
      <c r="H258" s="49" t="n"/>
      <c r="I258" s="49" t="n"/>
      <c r="J258" s="49" t="n"/>
      <c r="K258" s="49" t="n"/>
      <c r="L258" s="49" t="n"/>
      <c r="M258" s="64" t="n"/>
      <c r="N258" s="49" t="n"/>
      <c r="O258" s="49" t="n"/>
      <c r="P258" s="49" t="n"/>
      <c r="Q258" s="49" t="n"/>
      <c r="R258" s="49" t="n"/>
      <c r="S258" s="63">
        <f>IF($C258="","",SUM($G258:$L258))</f>
        <v/>
      </c>
      <c r="T258" s="63">
        <f>IF($C258="","",SUM($N258:$R258))</f>
        <v/>
      </c>
      <c r="U258" s="63">
        <f>IF($C258="","",$S258-$T258)</f>
        <v/>
      </c>
      <c r="V258" s="47" t="n"/>
      <c r="W258" s="112" t="n"/>
      <c r="X258" s="47" t="n"/>
      <c r="Y258" s="50">
        <f>IF($C258="","",IF(SUMPRODUCT(($C$3:$C$502=$C258)*($A$3:$A$502=$A258)*($B$3:$B$502=$B258))&gt;1,"⚠ مكرر","سليم"))</f>
        <v/>
      </c>
      <c r="Z258">
        <f>IF(AND($C258&lt;&gt;"",$A258=تقرير_الشهر,$B258=تقرير_السنة),SUMPRODUCT(($C$3:$C$502&lt;&gt;"")*($A$3:$A$502=تقرير_الشهر)*($B$3:$B$502=تقرير_السنة)*(ROW($C$3:$C$502)&lt;=ROW())),"")</f>
        <v/>
      </c>
    </row>
    <row r="259">
      <c r="A259" s="40" t="n"/>
      <c r="B259" s="59" t="n"/>
      <c r="C259" s="40" t="n"/>
      <c r="D259" s="43">
        <f>IFERROR(INDEX(الموظفون_الاسم,MATCH($C259,الموظفون_الرقم,0)),"")</f>
        <v/>
      </c>
      <c r="E259" s="43">
        <f>IFERROR(INDEX(الموظفون_الإدارة,MATCH($C259,الموظفون_الرقم,0)),"")</f>
        <v/>
      </c>
      <c r="F259" s="43">
        <f>IFERROR(INDEX(الموظفون_القسم,MATCH($C259,الموظفون_الرقم,0)),"")</f>
        <v/>
      </c>
      <c r="G259" s="60">
        <f>IF($C259="","",IFERROR(INDEX(الموظفون_الاساسي,MATCH($C259,الموظفون_الرقم,0)),0))</f>
        <v/>
      </c>
      <c r="H259" s="42" t="n"/>
      <c r="I259" s="42" t="n"/>
      <c r="J259" s="42" t="n"/>
      <c r="K259" s="42" t="n"/>
      <c r="L259" s="42" t="n"/>
      <c r="M259" s="61" t="n"/>
      <c r="N259" s="42" t="n"/>
      <c r="O259" s="42" t="n"/>
      <c r="P259" s="42" t="n"/>
      <c r="Q259" s="42" t="n"/>
      <c r="R259" s="42" t="n"/>
      <c r="S259" s="60">
        <f>IF($C259="","",SUM($G259:$L259))</f>
        <v/>
      </c>
      <c r="T259" s="60">
        <f>IF($C259="","",SUM($N259:$R259))</f>
        <v/>
      </c>
      <c r="U259" s="60">
        <f>IF($C259="","",$S259-$T259)</f>
        <v/>
      </c>
      <c r="V259" s="40" t="n"/>
      <c r="W259" s="110" t="n"/>
      <c r="X259" s="40" t="n"/>
      <c r="Y259" s="43">
        <f>IF($C259="","",IF(SUMPRODUCT(($C$3:$C$502=$C259)*($A$3:$A$502=$A259)*($B$3:$B$502=$B259))&gt;1,"⚠ مكرر","سليم"))</f>
        <v/>
      </c>
      <c r="Z259">
        <f>IF(AND($C259&lt;&gt;"",$A259=تقرير_الشهر,$B259=تقرير_السنة),SUMPRODUCT(($C$3:$C$502&lt;&gt;"")*($A$3:$A$502=تقرير_الشهر)*($B$3:$B$502=تقرير_السنة)*(ROW($C$3:$C$502)&lt;=ROW())),"")</f>
        <v/>
      </c>
    </row>
    <row r="260">
      <c r="A260" s="47" t="n"/>
      <c r="B260" s="62" t="n"/>
      <c r="C260" s="47" t="n"/>
      <c r="D260" s="50">
        <f>IFERROR(INDEX(الموظفون_الاسم,MATCH($C260,الموظفون_الرقم,0)),"")</f>
        <v/>
      </c>
      <c r="E260" s="50">
        <f>IFERROR(INDEX(الموظفون_الإدارة,MATCH($C260,الموظفون_الرقم,0)),"")</f>
        <v/>
      </c>
      <c r="F260" s="50">
        <f>IFERROR(INDEX(الموظفون_القسم,MATCH($C260,الموظفون_الرقم,0)),"")</f>
        <v/>
      </c>
      <c r="G260" s="63">
        <f>IF($C260="","",IFERROR(INDEX(الموظفون_الاساسي,MATCH($C260,الموظفون_الرقم,0)),0))</f>
        <v/>
      </c>
      <c r="H260" s="49" t="n"/>
      <c r="I260" s="49" t="n"/>
      <c r="J260" s="49" t="n"/>
      <c r="K260" s="49" t="n"/>
      <c r="L260" s="49" t="n"/>
      <c r="M260" s="64" t="n"/>
      <c r="N260" s="49" t="n"/>
      <c r="O260" s="49" t="n"/>
      <c r="P260" s="49" t="n"/>
      <c r="Q260" s="49" t="n"/>
      <c r="R260" s="49" t="n"/>
      <c r="S260" s="63">
        <f>IF($C260="","",SUM($G260:$L260))</f>
        <v/>
      </c>
      <c r="T260" s="63">
        <f>IF($C260="","",SUM($N260:$R260))</f>
        <v/>
      </c>
      <c r="U260" s="63">
        <f>IF($C260="","",$S260-$T260)</f>
        <v/>
      </c>
      <c r="V260" s="47" t="n"/>
      <c r="W260" s="112" t="n"/>
      <c r="X260" s="47" t="n"/>
      <c r="Y260" s="50">
        <f>IF($C260="","",IF(SUMPRODUCT(($C$3:$C$502=$C260)*($A$3:$A$502=$A260)*($B$3:$B$502=$B260))&gt;1,"⚠ مكرر","سليم"))</f>
        <v/>
      </c>
      <c r="Z260">
        <f>IF(AND($C260&lt;&gt;"",$A260=تقرير_الشهر,$B260=تقرير_السنة),SUMPRODUCT(($C$3:$C$502&lt;&gt;"")*($A$3:$A$502=تقرير_الشهر)*($B$3:$B$502=تقرير_السنة)*(ROW($C$3:$C$502)&lt;=ROW())),"")</f>
        <v/>
      </c>
    </row>
    <row r="261">
      <c r="A261" s="40" t="n"/>
      <c r="B261" s="59" t="n"/>
      <c r="C261" s="40" t="n"/>
      <c r="D261" s="43">
        <f>IFERROR(INDEX(الموظفون_الاسم,MATCH($C261,الموظفون_الرقم,0)),"")</f>
        <v/>
      </c>
      <c r="E261" s="43">
        <f>IFERROR(INDEX(الموظفون_الإدارة,MATCH($C261,الموظفون_الرقم,0)),"")</f>
        <v/>
      </c>
      <c r="F261" s="43">
        <f>IFERROR(INDEX(الموظفون_القسم,MATCH($C261,الموظفون_الرقم,0)),"")</f>
        <v/>
      </c>
      <c r="G261" s="60">
        <f>IF($C261="","",IFERROR(INDEX(الموظفون_الاساسي,MATCH($C261,الموظفون_الرقم,0)),0))</f>
        <v/>
      </c>
      <c r="H261" s="42" t="n"/>
      <c r="I261" s="42" t="n"/>
      <c r="J261" s="42" t="n"/>
      <c r="K261" s="42" t="n"/>
      <c r="L261" s="42" t="n"/>
      <c r="M261" s="61" t="n"/>
      <c r="N261" s="42" t="n"/>
      <c r="O261" s="42" t="n"/>
      <c r="P261" s="42" t="n"/>
      <c r="Q261" s="42" t="n"/>
      <c r="R261" s="42" t="n"/>
      <c r="S261" s="60">
        <f>IF($C261="","",SUM($G261:$L261))</f>
        <v/>
      </c>
      <c r="T261" s="60">
        <f>IF($C261="","",SUM($N261:$R261))</f>
        <v/>
      </c>
      <c r="U261" s="60">
        <f>IF($C261="","",$S261-$T261)</f>
        <v/>
      </c>
      <c r="V261" s="40" t="n"/>
      <c r="W261" s="110" t="n"/>
      <c r="X261" s="40" t="n"/>
      <c r="Y261" s="43">
        <f>IF($C261="","",IF(SUMPRODUCT(($C$3:$C$502=$C261)*($A$3:$A$502=$A261)*($B$3:$B$502=$B261))&gt;1,"⚠ مكرر","سليم"))</f>
        <v/>
      </c>
      <c r="Z261">
        <f>IF(AND($C261&lt;&gt;"",$A261=تقرير_الشهر,$B261=تقرير_السنة),SUMPRODUCT(($C$3:$C$502&lt;&gt;"")*($A$3:$A$502=تقرير_الشهر)*($B$3:$B$502=تقرير_السنة)*(ROW($C$3:$C$502)&lt;=ROW())),"")</f>
        <v/>
      </c>
    </row>
    <row r="262">
      <c r="A262" s="47" t="n"/>
      <c r="B262" s="62" t="n"/>
      <c r="C262" s="47" t="n"/>
      <c r="D262" s="50">
        <f>IFERROR(INDEX(الموظفون_الاسم,MATCH($C262,الموظفون_الرقم,0)),"")</f>
        <v/>
      </c>
      <c r="E262" s="50">
        <f>IFERROR(INDEX(الموظفون_الإدارة,MATCH($C262,الموظفون_الرقم,0)),"")</f>
        <v/>
      </c>
      <c r="F262" s="50">
        <f>IFERROR(INDEX(الموظفون_القسم,MATCH($C262,الموظفون_الرقم,0)),"")</f>
        <v/>
      </c>
      <c r="G262" s="63">
        <f>IF($C262="","",IFERROR(INDEX(الموظفون_الاساسي,MATCH($C262,الموظفون_الرقم,0)),0))</f>
        <v/>
      </c>
      <c r="H262" s="49" t="n"/>
      <c r="I262" s="49" t="n"/>
      <c r="J262" s="49" t="n"/>
      <c r="K262" s="49" t="n"/>
      <c r="L262" s="49" t="n"/>
      <c r="M262" s="64" t="n"/>
      <c r="N262" s="49" t="n"/>
      <c r="O262" s="49" t="n"/>
      <c r="P262" s="49" t="n"/>
      <c r="Q262" s="49" t="n"/>
      <c r="R262" s="49" t="n"/>
      <c r="S262" s="63">
        <f>IF($C262="","",SUM($G262:$L262))</f>
        <v/>
      </c>
      <c r="T262" s="63">
        <f>IF($C262="","",SUM($N262:$R262))</f>
        <v/>
      </c>
      <c r="U262" s="63">
        <f>IF($C262="","",$S262-$T262)</f>
        <v/>
      </c>
      <c r="V262" s="47" t="n"/>
      <c r="W262" s="112" t="n"/>
      <c r="X262" s="47" t="n"/>
      <c r="Y262" s="50">
        <f>IF($C262="","",IF(SUMPRODUCT(($C$3:$C$502=$C262)*($A$3:$A$502=$A262)*($B$3:$B$502=$B262))&gt;1,"⚠ مكرر","سليم"))</f>
        <v/>
      </c>
      <c r="Z262">
        <f>IF(AND($C262&lt;&gt;"",$A262=تقرير_الشهر,$B262=تقرير_السنة),SUMPRODUCT(($C$3:$C$502&lt;&gt;"")*($A$3:$A$502=تقرير_الشهر)*($B$3:$B$502=تقرير_السنة)*(ROW($C$3:$C$502)&lt;=ROW())),"")</f>
        <v/>
      </c>
    </row>
    <row r="263">
      <c r="A263" s="40" t="n"/>
      <c r="B263" s="59" t="n"/>
      <c r="C263" s="40" t="n"/>
      <c r="D263" s="43">
        <f>IFERROR(INDEX(الموظفون_الاسم,MATCH($C263,الموظفون_الرقم,0)),"")</f>
        <v/>
      </c>
      <c r="E263" s="43">
        <f>IFERROR(INDEX(الموظفون_الإدارة,MATCH($C263,الموظفون_الرقم,0)),"")</f>
        <v/>
      </c>
      <c r="F263" s="43">
        <f>IFERROR(INDEX(الموظفون_القسم,MATCH($C263,الموظفون_الرقم,0)),"")</f>
        <v/>
      </c>
      <c r="G263" s="60">
        <f>IF($C263="","",IFERROR(INDEX(الموظفون_الاساسي,MATCH($C263,الموظفون_الرقم,0)),0))</f>
        <v/>
      </c>
      <c r="H263" s="42" t="n"/>
      <c r="I263" s="42" t="n"/>
      <c r="J263" s="42" t="n"/>
      <c r="K263" s="42" t="n"/>
      <c r="L263" s="42" t="n"/>
      <c r="M263" s="61" t="n"/>
      <c r="N263" s="42" t="n"/>
      <c r="O263" s="42" t="n"/>
      <c r="P263" s="42" t="n"/>
      <c r="Q263" s="42" t="n"/>
      <c r="R263" s="42" t="n"/>
      <c r="S263" s="60">
        <f>IF($C263="","",SUM($G263:$L263))</f>
        <v/>
      </c>
      <c r="T263" s="60">
        <f>IF($C263="","",SUM($N263:$R263))</f>
        <v/>
      </c>
      <c r="U263" s="60">
        <f>IF($C263="","",$S263-$T263)</f>
        <v/>
      </c>
      <c r="V263" s="40" t="n"/>
      <c r="W263" s="110" t="n"/>
      <c r="X263" s="40" t="n"/>
      <c r="Y263" s="43">
        <f>IF($C263="","",IF(SUMPRODUCT(($C$3:$C$502=$C263)*($A$3:$A$502=$A263)*($B$3:$B$502=$B263))&gt;1,"⚠ مكرر","سليم"))</f>
        <v/>
      </c>
      <c r="Z263">
        <f>IF(AND($C263&lt;&gt;"",$A263=تقرير_الشهر,$B263=تقرير_السنة),SUMPRODUCT(($C$3:$C$502&lt;&gt;"")*($A$3:$A$502=تقرير_الشهر)*($B$3:$B$502=تقرير_السنة)*(ROW($C$3:$C$502)&lt;=ROW())),"")</f>
        <v/>
      </c>
    </row>
    <row r="264">
      <c r="A264" s="47" t="n"/>
      <c r="B264" s="62" t="n"/>
      <c r="C264" s="47" t="n"/>
      <c r="D264" s="50">
        <f>IFERROR(INDEX(الموظفون_الاسم,MATCH($C264,الموظفون_الرقم,0)),"")</f>
        <v/>
      </c>
      <c r="E264" s="50">
        <f>IFERROR(INDEX(الموظفون_الإدارة,MATCH($C264,الموظفون_الرقم,0)),"")</f>
        <v/>
      </c>
      <c r="F264" s="50">
        <f>IFERROR(INDEX(الموظفون_القسم,MATCH($C264,الموظفون_الرقم,0)),"")</f>
        <v/>
      </c>
      <c r="G264" s="63">
        <f>IF($C264="","",IFERROR(INDEX(الموظفون_الاساسي,MATCH($C264,الموظفون_الرقم,0)),0))</f>
        <v/>
      </c>
      <c r="H264" s="49" t="n"/>
      <c r="I264" s="49" t="n"/>
      <c r="J264" s="49" t="n"/>
      <c r="K264" s="49" t="n"/>
      <c r="L264" s="49" t="n"/>
      <c r="M264" s="64" t="n"/>
      <c r="N264" s="49" t="n"/>
      <c r="O264" s="49" t="n"/>
      <c r="P264" s="49" t="n"/>
      <c r="Q264" s="49" t="n"/>
      <c r="R264" s="49" t="n"/>
      <c r="S264" s="63">
        <f>IF($C264="","",SUM($G264:$L264))</f>
        <v/>
      </c>
      <c r="T264" s="63">
        <f>IF($C264="","",SUM($N264:$R264))</f>
        <v/>
      </c>
      <c r="U264" s="63">
        <f>IF($C264="","",$S264-$T264)</f>
        <v/>
      </c>
      <c r="V264" s="47" t="n"/>
      <c r="W264" s="112" t="n"/>
      <c r="X264" s="47" t="n"/>
      <c r="Y264" s="50">
        <f>IF($C264="","",IF(SUMPRODUCT(($C$3:$C$502=$C264)*($A$3:$A$502=$A264)*($B$3:$B$502=$B264))&gt;1,"⚠ مكرر","سليم"))</f>
        <v/>
      </c>
      <c r="Z264">
        <f>IF(AND($C264&lt;&gt;"",$A264=تقرير_الشهر,$B264=تقرير_السنة),SUMPRODUCT(($C$3:$C$502&lt;&gt;"")*($A$3:$A$502=تقرير_الشهر)*($B$3:$B$502=تقرير_السنة)*(ROW($C$3:$C$502)&lt;=ROW())),"")</f>
        <v/>
      </c>
    </row>
    <row r="265">
      <c r="A265" s="40" t="n"/>
      <c r="B265" s="59" t="n"/>
      <c r="C265" s="40" t="n"/>
      <c r="D265" s="43">
        <f>IFERROR(INDEX(الموظفون_الاسم,MATCH($C265,الموظفون_الرقم,0)),"")</f>
        <v/>
      </c>
      <c r="E265" s="43">
        <f>IFERROR(INDEX(الموظفون_الإدارة,MATCH($C265,الموظفون_الرقم,0)),"")</f>
        <v/>
      </c>
      <c r="F265" s="43">
        <f>IFERROR(INDEX(الموظفون_القسم,MATCH($C265,الموظفون_الرقم,0)),"")</f>
        <v/>
      </c>
      <c r="G265" s="60">
        <f>IF($C265="","",IFERROR(INDEX(الموظفون_الاساسي,MATCH($C265,الموظفون_الرقم,0)),0))</f>
        <v/>
      </c>
      <c r="H265" s="42" t="n"/>
      <c r="I265" s="42" t="n"/>
      <c r="J265" s="42" t="n"/>
      <c r="K265" s="42" t="n"/>
      <c r="L265" s="42" t="n"/>
      <c r="M265" s="61" t="n"/>
      <c r="N265" s="42" t="n"/>
      <c r="O265" s="42" t="n"/>
      <c r="P265" s="42" t="n"/>
      <c r="Q265" s="42" t="n"/>
      <c r="R265" s="42" t="n"/>
      <c r="S265" s="60">
        <f>IF($C265="","",SUM($G265:$L265))</f>
        <v/>
      </c>
      <c r="T265" s="60">
        <f>IF($C265="","",SUM($N265:$R265))</f>
        <v/>
      </c>
      <c r="U265" s="60">
        <f>IF($C265="","",$S265-$T265)</f>
        <v/>
      </c>
      <c r="V265" s="40" t="n"/>
      <c r="W265" s="110" t="n"/>
      <c r="X265" s="40" t="n"/>
      <c r="Y265" s="43">
        <f>IF($C265="","",IF(SUMPRODUCT(($C$3:$C$502=$C265)*($A$3:$A$502=$A265)*($B$3:$B$502=$B265))&gt;1,"⚠ مكرر","سليم"))</f>
        <v/>
      </c>
      <c r="Z265">
        <f>IF(AND($C265&lt;&gt;"",$A265=تقرير_الشهر,$B265=تقرير_السنة),SUMPRODUCT(($C$3:$C$502&lt;&gt;"")*($A$3:$A$502=تقرير_الشهر)*($B$3:$B$502=تقرير_السنة)*(ROW($C$3:$C$502)&lt;=ROW())),"")</f>
        <v/>
      </c>
    </row>
    <row r="266">
      <c r="A266" s="47" t="n"/>
      <c r="B266" s="62" t="n"/>
      <c r="C266" s="47" t="n"/>
      <c r="D266" s="50">
        <f>IFERROR(INDEX(الموظفون_الاسم,MATCH($C266,الموظفون_الرقم,0)),"")</f>
        <v/>
      </c>
      <c r="E266" s="50">
        <f>IFERROR(INDEX(الموظفون_الإدارة,MATCH($C266,الموظفون_الرقم,0)),"")</f>
        <v/>
      </c>
      <c r="F266" s="50">
        <f>IFERROR(INDEX(الموظفون_القسم,MATCH($C266,الموظفون_الرقم,0)),"")</f>
        <v/>
      </c>
      <c r="G266" s="63">
        <f>IF($C266="","",IFERROR(INDEX(الموظفون_الاساسي,MATCH($C266,الموظفون_الرقم,0)),0))</f>
        <v/>
      </c>
      <c r="H266" s="49" t="n"/>
      <c r="I266" s="49" t="n"/>
      <c r="J266" s="49" t="n"/>
      <c r="K266" s="49" t="n"/>
      <c r="L266" s="49" t="n"/>
      <c r="M266" s="64" t="n"/>
      <c r="N266" s="49" t="n"/>
      <c r="O266" s="49" t="n"/>
      <c r="P266" s="49" t="n"/>
      <c r="Q266" s="49" t="n"/>
      <c r="R266" s="49" t="n"/>
      <c r="S266" s="63">
        <f>IF($C266="","",SUM($G266:$L266))</f>
        <v/>
      </c>
      <c r="T266" s="63">
        <f>IF($C266="","",SUM($N266:$R266))</f>
        <v/>
      </c>
      <c r="U266" s="63">
        <f>IF($C266="","",$S266-$T266)</f>
        <v/>
      </c>
      <c r="V266" s="47" t="n"/>
      <c r="W266" s="112" t="n"/>
      <c r="X266" s="47" t="n"/>
      <c r="Y266" s="50">
        <f>IF($C266="","",IF(SUMPRODUCT(($C$3:$C$502=$C266)*($A$3:$A$502=$A266)*($B$3:$B$502=$B266))&gt;1,"⚠ مكرر","سليم"))</f>
        <v/>
      </c>
      <c r="Z266">
        <f>IF(AND($C266&lt;&gt;"",$A266=تقرير_الشهر,$B266=تقرير_السنة),SUMPRODUCT(($C$3:$C$502&lt;&gt;"")*($A$3:$A$502=تقرير_الشهر)*($B$3:$B$502=تقرير_السنة)*(ROW($C$3:$C$502)&lt;=ROW())),"")</f>
        <v/>
      </c>
    </row>
    <row r="267">
      <c r="A267" s="40" t="n"/>
      <c r="B267" s="59" t="n"/>
      <c r="C267" s="40" t="n"/>
      <c r="D267" s="43">
        <f>IFERROR(INDEX(الموظفون_الاسم,MATCH($C267,الموظفون_الرقم,0)),"")</f>
        <v/>
      </c>
      <c r="E267" s="43">
        <f>IFERROR(INDEX(الموظفون_الإدارة,MATCH($C267,الموظفون_الرقم,0)),"")</f>
        <v/>
      </c>
      <c r="F267" s="43">
        <f>IFERROR(INDEX(الموظفون_القسم,MATCH($C267,الموظفون_الرقم,0)),"")</f>
        <v/>
      </c>
      <c r="G267" s="60">
        <f>IF($C267="","",IFERROR(INDEX(الموظفون_الاساسي,MATCH($C267,الموظفون_الرقم,0)),0))</f>
        <v/>
      </c>
      <c r="H267" s="42" t="n"/>
      <c r="I267" s="42" t="n"/>
      <c r="J267" s="42" t="n"/>
      <c r="K267" s="42" t="n"/>
      <c r="L267" s="42" t="n"/>
      <c r="M267" s="61" t="n"/>
      <c r="N267" s="42" t="n"/>
      <c r="O267" s="42" t="n"/>
      <c r="P267" s="42" t="n"/>
      <c r="Q267" s="42" t="n"/>
      <c r="R267" s="42" t="n"/>
      <c r="S267" s="60">
        <f>IF($C267="","",SUM($G267:$L267))</f>
        <v/>
      </c>
      <c r="T267" s="60">
        <f>IF($C267="","",SUM($N267:$R267))</f>
        <v/>
      </c>
      <c r="U267" s="60">
        <f>IF($C267="","",$S267-$T267)</f>
        <v/>
      </c>
      <c r="V267" s="40" t="n"/>
      <c r="W267" s="110" t="n"/>
      <c r="X267" s="40" t="n"/>
      <c r="Y267" s="43">
        <f>IF($C267="","",IF(SUMPRODUCT(($C$3:$C$502=$C267)*($A$3:$A$502=$A267)*($B$3:$B$502=$B267))&gt;1,"⚠ مكرر","سليم"))</f>
        <v/>
      </c>
      <c r="Z267">
        <f>IF(AND($C267&lt;&gt;"",$A267=تقرير_الشهر,$B267=تقرير_السنة),SUMPRODUCT(($C$3:$C$502&lt;&gt;"")*($A$3:$A$502=تقرير_الشهر)*($B$3:$B$502=تقرير_السنة)*(ROW($C$3:$C$502)&lt;=ROW())),"")</f>
        <v/>
      </c>
    </row>
    <row r="268">
      <c r="A268" s="47" t="n"/>
      <c r="B268" s="62" t="n"/>
      <c r="C268" s="47" t="n"/>
      <c r="D268" s="50">
        <f>IFERROR(INDEX(الموظفون_الاسم,MATCH($C268,الموظفون_الرقم,0)),"")</f>
        <v/>
      </c>
      <c r="E268" s="50">
        <f>IFERROR(INDEX(الموظفون_الإدارة,MATCH($C268,الموظفون_الرقم,0)),"")</f>
        <v/>
      </c>
      <c r="F268" s="50">
        <f>IFERROR(INDEX(الموظفون_القسم,MATCH($C268,الموظفون_الرقم,0)),"")</f>
        <v/>
      </c>
      <c r="G268" s="63">
        <f>IF($C268="","",IFERROR(INDEX(الموظفون_الاساسي,MATCH($C268,الموظفون_الرقم,0)),0))</f>
        <v/>
      </c>
      <c r="H268" s="49" t="n"/>
      <c r="I268" s="49" t="n"/>
      <c r="J268" s="49" t="n"/>
      <c r="K268" s="49" t="n"/>
      <c r="L268" s="49" t="n"/>
      <c r="M268" s="64" t="n"/>
      <c r="N268" s="49" t="n"/>
      <c r="O268" s="49" t="n"/>
      <c r="P268" s="49" t="n"/>
      <c r="Q268" s="49" t="n"/>
      <c r="R268" s="49" t="n"/>
      <c r="S268" s="63">
        <f>IF($C268="","",SUM($G268:$L268))</f>
        <v/>
      </c>
      <c r="T268" s="63">
        <f>IF($C268="","",SUM($N268:$R268))</f>
        <v/>
      </c>
      <c r="U268" s="63">
        <f>IF($C268="","",$S268-$T268)</f>
        <v/>
      </c>
      <c r="V268" s="47" t="n"/>
      <c r="W268" s="112" t="n"/>
      <c r="X268" s="47" t="n"/>
      <c r="Y268" s="50">
        <f>IF($C268="","",IF(SUMPRODUCT(($C$3:$C$502=$C268)*($A$3:$A$502=$A268)*($B$3:$B$502=$B268))&gt;1,"⚠ مكرر","سليم"))</f>
        <v/>
      </c>
      <c r="Z268">
        <f>IF(AND($C268&lt;&gt;"",$A268=تقرير_الشهر,$B268=تقرير_السنة),SUMPRODUCT(($C$3:$C$502&lt;&gt;"")*($A$3:$A$502=تقرير_الشهر)*($B$3:$B$502=تقرير_السنة)*(ROW($C$3:$C$502)&lt;=ROW())),"")</f>
        <v/>
      </c>
    </row>
    <row r="269">
      <c r="A269" s="40" t="n"/>
      <c r="B269" s="59" t="n"/>
      <c r="C269" s="40" t="n"/>
      <c r="D269" s="43">
        <f>IFERROR(INDEX(الموظفون_الاسم,MATCH($C269,الموظفون_الرقم,0)),"")</f>
        <v/>
      </c>
      <c r="E269" s="43">
        <f>IFERROR(INDEX(الموظفون_الإدارة,MATCH($C269,الموظفون_الرقم,0)),"")</f>
        <v/>
      </c>
      <c r="F269" s="43">
        <f>IFERROR(INDEX(الموظفون_القسم,MATCH($C269,الموظفون_الرقم,0)),"")</f>
        <v/>
      </c>
      <c r="G269" s="60">
        <f>IF($C269="","",IFERROR(INDEX(الموظفون_الاساسي,MATCH($C269,الموظفون_الرقم,0)),0))</f>
        <v/>
      </c>
      <c r="H269" s="42" t="n"/>
      <c r="I269" s="42" t="n"/>
      <c r="J269" s="42" t="n"/>
      <c r="K269" s="42" t="n"/>
      <c r="L269" s="42" t="n"/>
      <c r="M269" s="61" t="n"/>
      <c r="N269" s="42" t="n"/>
      <c r="O269" s="42" t="n"/>
      <c r="P269" s="42" t="n"/>
      <c r="Q269" s="42" t="n"/>
      <c r="R269" s="42" t="n"/>
      <c r="S269" s="60">
        <f>IF($C269="","",SUM($G269:$L269))</f>
        <v/>
      </c>
      <c r="T269" s="60">
        <f>IF($C269="","",SUM($N269:$R269))</f>
        <v/>
      </c>
      <c r="U269" s="60">
        <f>IF($C269="","",$S269-$T269)</f>
        <v/>
      </c>
      <c r="V269" s="40" t="n"/>
      <c r="W269" s="110" t="n"/>
      <c r="X269" s="40" t="n"/>
      <c r="Y269" s="43">
        <f>IF($C269="","",IF(SUMPRODUCT(($C$3:$C$502=$C269)*($A$3:$A$502=$A269)*($B$3:$B$502=$B269))&gt;1,"⚠ مكرر","سليم"))</f>
        <v/>
      </c>
      <c r="Z269">
        <f>IF(AND($C269&lt;&gt;"",$A269=تقرير_الشهر,$B269=تقرير_السنة),SUMPRODUCT(($C$3:$C$502&lt;&gt;"")*($A$3:$A$502=تقرير_الشهر)*($B$3:$B$502=تقرير_السنة)*(ROW($C$3:$C$502)&lt;=ROW())),"")</f>
        <v/>
      </c>
    </row>
    <row r="270">
      <c r="A270" s="47" t="n"/>
      <c r="B270" s="62" t="n"/>
      <c r="C270" s="47" t="n"/>
      <c r="D270" s="50">
        <f>IFERROR(INDEX(الموظفون_الاسم,MATCH($C270,الموظفون_الرقم,0)),"")</f>
        <v/>
      </c>
      <c r="E270" s="50">
        <f>IFERROR(INDEX(الموظفون_الإدارة,MATCH($C270,الموظفون_الرقم,0)),"")</f>
        <v/>
      </c>
      <c r="F270" s="50">
        <f>IFERROR(INDEX(الموظفون_القسم,MATCH($C270,الموظفون_الرقم,0)),"")</f>
        <v/>
      </c>
      <c r="G270" s="63">
        <f>IF($C270="","",IFERROR(INDEX(الموظفون_الاساسي,MATCH($C270,الموظفون_الرقم,0)),0))</f>
        <v/>
      </c>
      <c r="H270" s="49" t="n"/>
      <c r="I270" s="49" t="n"/>
      <c r="J270" s="49" t="n"/>
      <c r="K270" s="49" t="n"/>
      <c r="L270" s="49" t="n"/>
      <c r="M270" s="64" t="n"/>
      <c r="N270" s="49" t="n"/>
      <c r="O270" s="49" t="n"/>
      <c r="P270" s="49" t="n"/>
      <c r="Q270" s="49" t="n"/>
      <c r="R270" s="49" t="n"/>
      <c r="S270" s="63">
        <f>IF($C270="","",SUM($G270:$L270))</f>
        <v/>
      </c>
      <c r="T270" s="63">
        <f>IF($C270="","",SUM($N270:$R270))</f>
        <v/>
      </c>
      <c r="U270" s="63">
        <f>IF($C270="","",$S270-$T270)</f>
        <v/>
      </c>
      <c r="V270" s="47" t="n"/>
      <c r="W270" s="112" t="n"/>
      <c r="X270" s="47" t="n"/>
      <c r="Y270" s="50">
        <f>IF($C270="","",IF(SUMPRODUCT(($C$3:$C$502=$C270)*($A$3:$A$502=$A270)*($B$3:$B$502=$B270))&gt;1,"⚠ مكرر","سليم"))</f>
        <v/>
      </c>
      <c r="Z270">
        <f>IF(AND($C270&lt;&gt;"",$A270=تقرير_الشهر,$B270=تقرير_السنة),SUMPRODUCT(($C$3:$C$502&lt;&gt;"")*($A$3:$A$502=تقرير_الشهر)*($B$3:$B$502=تقرير_السنة)*(ROW($C$3:$C$502)&lt;=ROW())),"")</f>
        <v/>
      </c>
    </row>
    <row r="271">
      <c r="A271" s="40" t="n"/>
      <c r="B271" s="59" t="n"/>
      <c r="C271" s="40" t="n"/>
      <c r="D271" s="43">
        <f>IFERROR(INDEX(الموظفون_الاسم,MATCH($C271,الموظفون_الرقم,0)),"")</f>
        <v/>
      </c>
      <c r="E271" s="43">
        <f>IFERROR(INDEX(الموظفون_الإدارة,MATCH($C271,الموظفون_الرقم,0)),"")</f>
        <v/>
      </c>
      <c r="F271" s="43">
        <f>IFERROR(INDEX(الموظفون_القسم,MATCH($C271,الموظفون_الرقم,0)),"")</f>
        <v/>
      </c>
      <c r="G271" s="60">
        <f>IF($C271="","",IFERROR(INDEX(الموظفون_الاساسي,MATCH($C271,الموظفون_الرقم,0)),0))</f>
        <v/>
      </c>
      <c r="H271" s="42" t="n"/>
      <c r="I271" s="42" t="n"/>
      <c r="J271" s="42" t="n"/>
      <c r="K271" s="42" t="n"/>
      <c r="L271" s="42" t="n"/>
      <c r="M271" s="61" t="n"/>
      <c r="N271" s="42" t="n"/>
      <c r="O271" s="42" t="n"/>
      <c r="P271" s="42" t="n"/>
      <c r="Q271" s="42" t="n"/>
      <c r="R271" s="42" t="n"/>
      <c r="S271" s="60">
        <f>IF($C271="","",SUM($G271:$L271))</f>
        <v/>
      </c>
      <c r="T271" s="60">
        <f>IF($C271="","",SUM($N271:$R271))</f>
        <v/>
      </c>
      <c r="U271" s="60">
        <f>IF($C271="","",$S271-$T271)</f>
        <v/>
      </c>
      <c r="V271" s="40" t="n"/>
      <c r="W271" s="110" t="n"/>
      <c r="X271" s="40" t="n"/>
      <c r="Y271" s="43">
        <f>IF($C271="","",IF(SUMPRODUCT(($C$3:$C$502=$C271)*($A$3:$A$502=$A271)*($B$3:$B$502=$B271))&gt;1,"⚠ مكرر","سليم"))</f>
        <v/>
      </c>
      <c r="Z271">
        <f>IF(AND($C271&lt;&gt;"",$A271=تقرير_الشهر,$B271=تقرير_السنة),SUMPRODUCT(($C$3:$C$502&lt;&gt;"")*($A$3:$A$502=تقرير_الشهر)*($B$3:$B$502=تقرير_السنة)*(ROW($C$3:$C$502)&lt;=ROW())),"")</f>
        <v/>
      </c>
    </row>
    <row r="272">
      <c r="A272" s="47" t="n"/>
      <c r="B272" s="62" t="n"/>
      <c r="C272" s="47" t="n"/>
      <c r="D272" s="50">
        <f>IFERROR(INDEX(الموظفون_الاسم,MATCH($C272,الموظفون_الرقم,0)),"")</f>
        <v/>
      </c>
      <c r="E272" s="50">
        <f>IFERROR(INDEX(الموظفون_الإدارة,MATCH($C272,الموظفون_الرقم,0)),"")</f>
        <v/>
      </c>
      <c r="F272" s="50">
        <f>IFERROR(INDEX(الموظفون_القسم,MATCH($C272,الموظفون_الرقم,0)),"")</f>
        <v/>
      </c>
      <c r="G272" s="63">
        <f>IF($C272="","",IFERROR(INDEX(الموظفون_الاساسي,MATCH($C272,الموظفون_الرقم,0)),0))</f>
        <v/>
      </c>
      <c r="H272" s="49" t="n"/>
      <c r="I272" s="49" t="n"/>
      <c r="J272" s="49" t="n"/>
      <c r="K272" s="49" t="n"/>
      <c r="L272" s="49" t="n"/>
      <c r="M272" s="64" t="n"/>
      <c r="N272" s="49" t="n"/>
      <c r="O272" s="49" t="n"/>
      <c r="P272" s="49" t="n"/>
      <c r="Q272" s="49" t="n"/>
      <c r="R272" s="49" t="n"/>
      <c r="S272" s="63">
        <f>IF($C272="","",SUM($G272:$L272))</f>
        <v/>
      </c>
      <c r="T272" s="63">
        <f>IF($C272="","",SUM($N272:$R272))</f>
        <v/>
      </c>
      <c r="U272" s="63">
        <f>IF($C272="","",$S272-$T272)</f>
        <v/>
      </c>
      <c r="V272" s="47" t="n"/>
      <c r="W272" s="112" t="n"/>
      <c r="X272" s="47" t="n"/>
      <c r="Y272" s="50">
        <f>IF($C272="","",IF(SUMPRODUCT(($C$3:$C$502=$C272)*($A$3:$A$502=$A272)*($B$3:$B$502=$B272))&gt;1,"⚠ مكرر","سليم"))</f>
        <v/>
      </c>
      <c r="Z272">
        <f>IF(AND($C272&lt;&gt;"",$A272=تقرير_الشهر,$B272=تقرير_السنة),SUMPRODUCT(($C$3:$C$502&lt;&gt;"")*($A$3:$A$502=تقرير_الشهر)*($B$3:$B$502=تقرير_السنة)*(ROW($C$3:$C$502)&lt;=ROW())),"")</f>
        <v/>
      </c>
    </row>
    <row r="273">
      <c r="A273" s="40" t="n"/>
      <c r="B273" s="59" t="n"/>
      <c r="C273" s="40" t="n"/>
      <c r="D273" s="43">
        <f>IFERROR(INDEX(الموظفون_الاسم,MATCH($C273,الموظفون_الرقم,0)),"")</f>
        <v/>
      </c>
      <c r="E273" s="43">
        <f>IFERROR(INDEX(الموظفون_الإدارة,MATCH($C273,الموظفون_الرقم,0)),"")</f>
        <v/>
      </c>
      <c r="F273" s="43">
        <f>IFERROR(INDEX(الموظفون_القسم,MATCH($C273,الموظفون_الرقم,0)),"")</f>
        <v/>
      </c>
      <c r="G273" s="60">
        <f>IF($C273="","",IFERROR(INDEX(الموظفون_الاساسي,MATCH($C273,الموظفون_الرقم,0)),0))</f>
        <v/>
      </c>
      <c r="H273" s="42" t="n"/>
      <c r="I273" s="42" t="n"/>
      <c r="J273" s="42" t="n"/>
      <c r="K273" s="42" t="n"/>
      <c r="L273" s="42" t="n"/>
      <c r="M273" s="61" t="n"/>
      <c r="N273" s="42" t="n"/>
      <c r="O273" s="42" t="n"/>
      <c r="P273" s="42" t="n"/>
      <c r="Q273" s="42" t="n"/>
      <c r="R273" s="42" t="n"/>
      <c r="S273" s="60">
        <f>IF($C273="","",SUM($G273:$L273))</f>
        <v/>
      </c>
      <c r="T273" s="60">
        <f>IF($C273="","",SUM($N273:$R273))</f>
        <v/>
      </c>
      <c r="U273" s="60">
        <f>IF($C273="","",$S273-$T273)</f>
        <v/>
      </c>
      <c r="V273" s="40" t="n"/>
      <c r="W273" s="110" t="n"/>
      <c r="X273" s="40" t="n"/>
      <c r="Y273" s="43">
        <f>IF($C273="","",IF(SUMPRODUCT(($C$3:$C$502=$C273)*($A$3:$A$502=$A273)*($B$3:$B$502=$B273))&gt;1,"⚠ مكرر","سليم"))</f>
        <v/>
      </c>
      <c r="Z273">
        <f>IF(AND($C273&lt;&gt;"",$A273=تقرير_الشهر,$B273=تقرير_السنة),SUMPRODUCT(($C$3:$C$502&lt;&gt;"")*($A$3:$A$502=تقرير_الشهر)*($B$3:$B$502=تقرير_السنة)*(ROW($C$3:$C$502)&lt;=ROW())),"")</f>
        <v/>
      </c>
    </row>
    <row r="274">
      <c r="A274" s="47" t="n"/>
      <c r="B274" s="62" t="n"/>
      <c r="C274" s="47" t="n"/>
      <c r="D274" s="50">
        <f>IFERROR(INDEX(الموظفون_الاسم,MATCH($C274,الموظفون_الرقم,0)),"")</f>
        <v/>
      </c>
      <c r="E274" s="50">
        <f>IFERROR(INDEX(الموظفون_الإدارة,MATCH($C274,الموظفون_الرقم,0)),"")</f>
        <v/>
      </c>
      <c r="F274" s="50">
        <f>IFERROR(INDEX(الموظفون_القسم,MATCH($C274,الموظفون_الرقم,0)),"")</f>
        <v/>
      </c>
      <c r="G274" s="63">
        <f>IF($C274="","",IFERROR(INDEX(الموظفون_الاساسي,MATCH($C274,الموظفون_الرقم,0)),0))</f>
        <v/>
      </c>
      <c r="H274" s="49" t="n"/>
      <c r="I274" s="49" t="n"/>
      <c r="J274" s="49" t="n"/>
      <c r="K274" s="49" t="n"/>
      <c r="L274" s="49" t="n"/>
      <c r="M274" s="64" t="n"/>
      <c r="N274" s="49" t="n"/>
      <c r="O274" s="49" t="n"/>
      <c r="P274" s="49" t="n"/>
      <c r="Q274" s="49" t="n"/>
      <c r="R274" s="49" t="n"/>
      <c r="S274" s="63">
        <f>IF($C274="","",SUM($G274:$L274))</f>
        <v/>
      </c>
      <c r="T274" s="63">
        <f>IF($C274="","",SUM($N274:$R274))</f>
        <v/>
      </c>
      <c r="U274" s="63">
        <f>IF($C274="","",$S274-$T274)</f>
        <v/>
      </c>
      <c r="V274" s="47" t="n"/>
      <c r="W274" s="112" t="n"/>
      <c r="X274" s="47" t="n"/>
      <c r="Y274" s="50">
        <f>IF($C274="","",IF(SUMPRODUCT(($C$3:$C$502=$C274)*($A$3:$A$502=$A274)*($B$3:$B$502=$B274))&gt;1,"⚠ مكرر","سليم"))</f>
        <v/>
      </c>
      <c r="Z274">
        <f>IF(AND($C274&lt;&gt;"",$A274=تقرير_الشهر,$B274=تقرير_السنة),SUMPRODUCT(($C$3:$C$502&lt;&gt;"")*($A$3:$A$502=تقرير_الشهر)*($B$3:$B$502=تقرير_السنة)*(ROW($C$3:$C$502)&lt;=ROW())),"")</f>
        <v/>
      </c>
    </row>
    <row r="275">
      <c r="A275" s="40" t="n"/>
      <c r="B275" s="59" t="n"/>
      <c r="C275" s="40" t="n"/>
      <c r="D275" s="43">
        <f>IFERROR(INDEX(الموظفون_الاسم,MATCH($C275,الموظفون_الرقم,0)),"")</f>
        <v/>
      </c>
      <c r="E275" s="43">
        <f>IFERROR(INDEX(الموظفون_الإدارة,MATCH($C275,الموظفون_الرقم,0)),"")</f>
        <v/>
      </c>
      <c r="F275" s="43">
        <f>IFERROR(INDEX(الموظفون_القسم,MATCH($C275,الموظفون_الرقم,0)),"")</f>
        <v/>
      </c>
      <c r="G275" s="60">
        <f>IF($C275="","",IFERROR(INDEX(الموظفون_الاساسي,MATCH($C275,الموظفون_الرقم,0)),0))</f>
        <v/>
      </c>
      <c r="H275" s="42" t="n"/>
      <c r="I275" s="42" t="n"/>
      <c r="J275" s="42" t="n"/>
      <c r="K275" s="42" t="n"/>
      <c r="L275" s="42" t="n"/>
      <c r="M275" s="61" t="n"/>
      <c r="N275" s="42" t="n"/>
      <c r="O275" s="42" t="n"/>
      <c r="P275" s="42" t="n"/>
      <c r="Q275" s="42" t="n"/>
      <c r="R275" s="42" t="n"/>
      <c r="S275" s="60">
        <f>IF($C275="","",SUM($G275:$L275))</f>
        <v/>
      </c>
      <c r="T275" s="60">
        <f>IF($C275="","",SUM($N275:$R275))</f>
        <v/>
      </c>
      <c r="U275" s="60">
        <f>IF($C275="","",$S275-$T275)</f>
        <v/>
      </c>
      <c r="V275" s="40" t="n"/>
      <c r="W275" s="110" t="n"/>
      <c r="X275" s="40" t="n"/>
      <c r="Y275" s="43">
        <f>IF($C275="","",IF(SUMPRODUCT(($C$3:$C$502=$C275)*($A$3:$A$502=$A275)*($B$3:$B$502=$B275))&gt;1,"⚠ مكرر","سليم"))</f>
        <v/>
      </c>
      <c r="Z275">
        <f>IF(AND($C275&lt;&gt;"",$A275=تقرير_الشهر,$B275=تقرير_السنة),SUMPRODUCT(($C$3:$C$502&lt;&gt;"")*($A$3:$A$502=تقرير_الشهر)*($B$3:$B$502=تقرير_السنة)*(ROW($C$3:$C$502)&lt;=ROW())),"")</f>
        <v/>
      </c>
    </row>
    <row r="276">
      <c r="A276" s="47" t="n"/>
      <c r="B276" s="62" t="n"/>
      <c r="C276" s="47" t="n"/>
      <c r="D276" s="50">
        <f>IFERROR(INDEX(الموظفون_الاسم,MATCH($C276,الموظفون_الرقم,0)),"")</f>
        <v/>
      </c>
      <c r="E276" s="50">
        <f>IFERROR(INDEX(الموظفون_الإدارة,MATCH($C276,الموظفون_الرقم,0)),"")</f>
        <v/>
      </c>
      <c r="F276" s="50">
        <f>IFERROR(INDEX(الموظفون_القسم,MATCH($C276,الموظفون_الرقم,0)),"")</f>
        <v/>
      </c>
      <c r="G276" s="63">
        <f>IF($C276="","",IFERROR(INDEX(الموظفون_الاساسي,MATCH($C276,الموظفون_الرقم,0)),0))</f>
        <v/>
      </c>
      <c r="H276" s="49" t="n"/>
      <c r="I276" s="49" t="n"/>
      <c r="J276" s="49" t="n"/>
      <c r="K276" s="49" t="n"/>
      <c r="L276" s="49" t="n"/>
      <c r="M276" s="64" t="n"/>
      <c r="N276" s="49" t="n"/>
      <c r="O276" s="49" t="n"/>
      <c r="P276" s="49" t="n"/>
      <c r="Q276" s="49" t="n"/>
      <c r="R276" s="49" t="n"/>
      <c r="S276" s="63">
        <f>IF($C276="","",SUM($G276:$L276))</f>
        <v/>
      </c>
      <c r="T276" s="63">
        <f>IF($C276="","",SUM($N276:$R276))</f>
        <v/>
      </c>
      <c r="U276" s="63">
        <f>IF($C276="","",$S276-$T276)</f>
        <v/>
      </c>
      <c r="V276" s="47" t="n"/>
      <c r="W276" s="112" t="n"/>
      <c r="X276" s="47" t="n"/>
      <c r="Y276" s="50">
        <f>IF($C276="","",IF(SUMPRODUCT(($C$3:$C$502=$C276)*($A$3:$A$502=$A276)*($B$3:$B$502=$B276))&gt;1,"⚠ مكرر","سليم"))</f>
        <v/>
      </c>
      <c r="Z276">
        <f>IF(AND($C276&lt;&gt;"",$A276=تقرير_الشهر,$B276=تقرير_السنة),SUMPRODUCT(($C$3:$C$502&lt;&gt;"")*($A$3:$A$502=تقرير_الشهر)*($B$3:$B$502=تقرير_السنة)*(ROW($C$3:$C$502)&lt;=ROW())),"")</f>
        <v/>
      </c>
    </row>
    <row r="277">
      <c r="A277" s="40" t="n"/>
      <c r="B277" s="59" t="n"/>
      <c r="C277" s="40" t="n"/>
      <c r="D277" s="43">
        <f>IFERROR(INDEX(الموظفون_الاسم,MATCH($C277,الموظفون_الرقم,0)),"")</f>
        <v/>
      </c>
      <c r="E277" s="43">
        <f>IFERROR(INDEX(الموظفون_الإدارة,MATCH($C277,الموظفون_الرقم,0)),"")</f>
        <v/>
      </c>
      <c r="F277" s="43">
        <f>IFERROR(INDEX(الموظفون_القسم,MATCH($C277,الموظفون_الرقم,0)),"")</f>
        <v/>
      </c>
      <c r="G277" s="60">
        <f>IF($C277="","",IFERROR(INDEX(الموظفون_الاساسي,MATCH($C277,الموظفون_الرقم,0)),0))</f>
        <v/>
      </c>
      <c r="H277" s="42" t="n"/>
      <c r="I277" s="42" t="n"/>
      <c r="J277" s="42" t="n"/>
      <c r="K277" s="42" t="n"/>
      <c r="L277" s="42" t="n"/>
      <c r="M277" s="61" t="n"/>
      <c r="N277" s="42" t="n"/>
      <c r="O277" s="42" t="n"/>
      <c r="P277" s="42" t="n"/>
      <c r="Q277" s="42" t="n"/>
      <c r="R277" s="42" t="n"/>
      <c r="S277" s="60">
        <f>IF($C277="","",SUM($G277:$L277))</f>
        <v/>
      </c>
      <c r="T277" s="60">
        <f>IF($C277="","",SUM($N277:$R277))</f>
        <v/>
      </c>
      <c r="U277" s="60">
        <f>IF($C277="","",$S277-$T277)</f>
        <v/>
      </c>
      <c r="V277" s="40" t="n"/>
      <c r="W277" s="110" t="n"/>
      <c r="X277" s="40" t="n"/>
      <c r="Y277" s="43">
        <f>IF($C277="","",IF(SUMPRODUCT(($C$3:$C$502=$C277)*($A$3:$A$502=$A277)*($B$3:$B$502=$B277))&gt;1,"⚠ مكرر","سليم"))</f>
        <v/>
      </c>
      <c r="Z277">
        <f>IF(AND($C277&lt;&gt;"",$A277=تقرير_الشهر,$B277=تقرير_السنة),SUMPRODUCT(($C$3:$C$502&lt;&gt;"")*($A$3:$A$502=تقرير_الشهر)*($B$3:$B$502=تقرير_السنة)*(ROW($C$3:$C$502)&lt;=ROW())),"")</f>
        <v/>
      </c>
    </row>
    <row r="278">
      <c r="A278" s="47" t="n"/>
      <c r="B278" s="62" t="n"/>
      <c r="C278" s="47" t="n"/>
      <c r="D278" s="50">
        <f>IFERROR(INDEX(الموظفون_الاسم,MATCH($C278,الموظفون_الرقم,0)),"")</f>
        <v/>
      </c>
      <c r="E278" s="50">
        <f>IFERROR(INDEX(الموظفون_الإدارة,MATCH($C278,الموظفون_الرقم,0)),"")</f>
        <v/>
      </c>
      <c r="F278" s="50">
        <f>IFERROR(INDEX(الموظفون_القسم,MATCH($C278,الموظفون_الرقم,0)),"")</f>
        <v/>
      </c>
      <c r="G278" s="63">
        <f>IF($C278="","",IFERROR(INDEX(الموظفون_الاساسي,MATCH($C278,الموظفون_الرقم,0)),0))</f>
        <v/>
      </c>
      <c r="H278" s="49" t="n"/>
      <c r="I278" s="49" t="n"/>
      <c r="J278" s="49" t="n"/>
      <c r="K278" s="49" t="n"/>
      <c r="L278" s="49" t="n"/>
      <c r="M278" s="64" t="n"/>
      <c r="N278" s="49" t="n"/>
      <c r="O278" s="49" t="n"/>
      <c r="P278" s="49" t="n"/>
      <c r="Q278" s="49" t="n"/>
      <c r="R278" s="49" t="n"/>
      <c r="S278" s="63">
        <f>IF($C278="","",SUM($G278:$L278))</f>
        <v/>
      </c>
      <c r="T278" s="63">
        <f>IF($C278="","",SUM($N278:$R278))</f>
        <v/>
      </c>
      <c r="U278" s="63">
        <f>IF($C278="","",$S278-$T278)</f>
        <v/>
      </c>
      <c r="V278" s="47" t="n"/>
      <c r="W278" s="112" t="n"/>
      <c r="X278" s="47" t="n"/>
      <c r="Y278" s="50">
        <f>IF($C278="","",IF(SUMPRODUCT(($C$3:$C$502=$C278)*($A$3:$A$502=$A278)*($B$3:$B$502=$B278))&gt;1,"⚠ مكرر","سليم"))</f>
        <v/>
      </c>
      <c r="Z278">
        <f>IF(AND($C278&lt;&gt;"",$A278=تقرير_الشهر,$B278=تقرير_السنة),SUMPRODUCT(($C$3:$C$502&lt;&gt;"")*($A$3:$A$502=تقرير_الشهر)*($B$3:$B$502=تقرير_السنة)*(ROW($C$3:$C$502)&lt;=ROW())),"")</f>
        <v/>
      </c>
    </row>
    <row r="279">
      <c r="A279" s="40" t="n"/>
      <c r="B279" s="59" t="n"/>
      <c r="C279" s="40" t="n"/>
      <c r="D279" s="43">
        <f>IFERROR(INDEX(الموظفون_الاسم,MATCH($C279,الموظفون_الرقم,0)),"")</f>
        <v/>
      </c>
      <c r="E279" s="43">
        <f>IFERROR(INDEX(الموظفون_الإدارة,MATCH($C279,الموظفون_الرقم,0)),"")</f>
        <v/>
      </c>
      <c r="F279" s="43">
        <f>IFERROR(INDEX(الموظفون_القسم,MATCH($C279,الموظفون_الرقم,0)),"")</f>
        <v/>
      </c>
      <c r="G279" s="60">
        <f>IF($C279="","",IFERROR(INDEX(الموظفون_الاساسي,MATCH($C279,الموظفون_الرقم,0)),0))</f>
        <v/>
      </c>
      <c r="H279" s="42" t="n"/>
      <c r="I279" s="42" t="n"/>
      <c r="J279" s="42" t="n"/>
      <c r="K279" s="42" t="n"/>
      <c r="L279" s="42" t="n"/>
      <c r="M279" s="61" t="n"/>
      <c r="N279" s="42" t="n"/>
      <c r="O279" s="42" t="n"/>
      <c r="P279" s="42" t="n"/>
      <c r="Q279" s="42" t="n"/>
      <c r="R279" s="42" t="n"/>
      <c r="S279" s="60">
        <f>IF($C279="","",SUM($G279:$L279))</f>
        <v/>
      </c>
      <c r="T279" s="60">
        <f>IF($C279="","",SUM($N279:$R279))</f>
        <v/>
      </c>
      <c r="U279" s="60">
        <f>IF($C279="","",$S279-$T279)</f>
        <v/>
      </c>
      <c r="V279" s="40" t="n"/>
      <c r="W279" s="110" t="n"/>
      <c r="X279" s="40" t="n"/>
      <c r="Y279" s="43">
        <f>IF($C279="","",IF(SUMPRODUCT(($C$3:$C$502=$C279)*($A$3:$A$502=$A279)*($B$3:$B$502=$B279))&gt;1,"⚠ مكرر","سليم"))</f>
        <v/>
      </c>
      <c r="Z279">
        <f>IF(AND($C279&lt;&gt;"",$A279=تقرير_الشهر,$B279=تقرير_السنة),SUMPRODUCT(($C$3:$C$502&lt;&gt;"")*($A$3:$A$502=تقرير_الشهر)*($B$3:$B$502=تقرير_السنة)*(ROW($C$3:$C$502)&lt;=ROW())),"")</f>
        <v/>
      </c>
    </row>
    <row r="280">
      <c r="A280" s="47" t="n"/>
      <c r="B280" s="62" t="n"/>
      <c r="C280" s="47" t="n"/>
      <c r="D280" s="50">
        <f>IFERROR(INDEX(الموظفون_الاسم,MATCH($C280,الموظفون_الرقم,0)),"")</f>
        <v/>
      </c>
      <c r="E280" s="50">
        <f>IFERROR(INDEX(الموظفون_الإدارة,MATCH($C280,الموظفون_الرقم,0)),"")</f>
        <v/>
      </c>
      <c r="F280" s="50">
        <f>IFERROR(INDEX(الموظفون_القسم,MATCH($C280,الموظفون_الرقم,0)),"")</f>
        <v/>
      </c>
      <c r="G280" s="63">
        <f>IF($C280="","",IFERROR(INDEX(الموظفون_الاساسي,MATCH($C280,الموظفون_الرقم,0)),0))</f>
        <v/>
      </c>
      <c r="H280" s="49" t="n"/>
      <c r="I280" s="49" t="n"/>
      <c r="J280" s="49" t="n"/>
      <c r="K280" s="49" t="n"/>
      <c r="L280" s="49" t="n"/>
      <c r="M280" s="64" t="n"/>
      <c r="N280" s="49" t="n"/>
      <c r="O280" s="49" t="n"/>
      <c r="P280" s="49" t="n"/>
      <c r="Q280" s="49" t="n"/>
      <c r="R280" s="49" t="n"/>
      <c r="S280" s="63">
        <f>IF($C280="","",SUM($G280:$L280))</f>
        <v/>
      </c>
      <c r="T280" s="63">
        <f>IF($C280="","",SUM($N280:$R280))</f>
        <v/>
      </c>
      <c r="U280" s="63">
        <f>IF($C280="","",$S280-$T280)</f>
        <v/>
      </c>
      <c r="V280" s="47" t="n"/>
      <c r="W280" s="112" t="n"/>
      <c r="X280" s="47" t="n"/>
      <c r="Y280" s="50">
        <f>IF($C280="","",IF(SUMPRODUCT(($C$3:$C$502=$C280)*($A$3:$A$502=$A280)*($B$3:$B$502=$B280))&gt;1,"⚠ مكرر","سليم"))</f>
        <v/>
      </c>
      <c r="Z280">
        <f>IF(AND($C280&lt;&gt;"",$A280=تقرير_الشهر,$B280=تقرير_السنة),SUMPRODUCT(($C$3:$C$502&lt;&gt;"")*($A$3:$A$502=تقرير_الشهر)*($B$3:$B$502=تقرير_السنة)*(ROW($C$3:$C$502)&lt;=ROW())),"")</f>
        <v/>
      </c>
    </row>
    <row r="281">
      <c r="A281" s="40" t="n"/>
      <c r="B281" s="59" t="n"/>
      <c r="C281" s="40" t="n"/>
      <c r="D281" s="43">
        <f>IFERROR(INDEX(الموظفون_الاسم,MATCH($C281,الموظفون_الرقم,0)),"")</f>
        <v/>
      </c>
      <c r="E281" s="43">
        <f>IFERROR(INDEX(الموظفون_الإدارة,MATCH($C281,الموظفون_الرقم,0)),"")</f>
        <v/>
      </c>
      <c r="F281" s="43">
        <f>IFERROR(INDEX(الموظفون_القسم,MATCH($C281,الموظفون_الرقم,0)),"")</f>
        <v/>
      </c>
      <c r="G281" s="60">
        <f>IF($C281="","",IFERROR(INDEX(الموظفون_الاساسي,MATCH($C281,الموظفون_الرقم,0)),0))</f>
        <v/>
      </c>
      <c r="H281" s="42" t="n"/>
      <c r="I281" s="42" t="n"/>
      <c r="J281" s="42" t="n"/>
      <c r="K281" s="42" t="n"/>
      <c r="L281" s="42" t="n"/>
      <c r="M281" s="61" t="n"/>
      <c r="N281" s="42" t="n"/>
      <c r="O281" s="42" t="n"/>
      <c r="P281" s="42" t="n"/>
      <c r="Q281" s="42" t="n"/>
      <c r="R281" s="42" t="n"/>
      <c r="S281" s="60">
        <f>IF($C281="","",SUM($G281:$L281))</f>
        <v/>
      </c>
      <c r="T281" s="60">
        <f>IF($C281="","",SUM($N281:$R281))</f>
        <v/>
      </c>
      <c r="U281" s="60">
        <f>IF($C281="","",$S281-$T281)</f>
        <v/>
      </c>
      <c r="V281" s="40" t="n"/>
      <c r="W281" s="110" t="n"/>
      <c r="X281" s="40" t="n"/>
      <c r="Y281" s="43">
        <f>IF($C281="","",IF(SUMPRODUCT(($C$3:$C$502=$C281)*($A$3:$A$502=$A281)*($B$3:$B$502=$B281))&gt;1,"⚠ مكرر","سليم"))</f>
        <v/>
      </c>
      <c r="Z281">
        <f>IF(AND($C281&lt;&gt;"",$A281=تقرير_الشهر,$B281=تقرير_السنة),SUMPRODUCT(($C$3:$C$502&lt;&gt;"")*($A$3:$A$502=تقرير_الشهر)*($B$3:$B$502=تقرير_السنة)*(ROW($C$3:$C$502)&lt;=ROW())),"")</f>
        <v/>
      </c>
    </row>
    <row r="282">
      <c r="A282" s="47" t="n"/>
      <c r="B282" s="62" t="n"/>
      <c r="C282" s="47" t="n"/>
      <c r="D282" s="50">
        <f>IFERROR(INDEX(الموظفون_الاسم,MATCH($C282,الموظفون_الرقم,0)),"")</f>
        <v/>
      </c>
      <c r="E282" s="50">
        <f>IFERROR(INDEX(الموظفون_الإدارة,MATCH($C282,الموظفون_الرقم,0)),"")</f>
        <v/>
      </c>
      <c r="F282" s="50">
        <f>IFERROR(INDEX(الموظفون_القسم,MATCH($C282,الموظفون_الرقم,0)),"")</f>
        <v/>
      </c>
      <c r="G282" s="63">
        <f>IF($C282="","",IFERROR(INDEX(الموظفون_الاساسي,MATCH($C282,الموظفون_الرقم,0)),0))</f>
        <v/>
      </c>
      <c r="H282" s="49" t="n"/>
      <c r="I282" s="49" t="n"/>
      <c r="J282" s="49" t="n"/>
      <c r="K282" s="49" t="n"/>
      <c r="L282" s="49" t="n"/>
      <c r="M282" s="64" t="n"/>
      <c r="N282" s="49" t="n"/>
      <c r="O282" s="49" t="n"/>
      <c r="P282" s="49" t="n"/>
      <c r="Q282" s="49" t="n"/>
      <c r="R282" s="49" t="n"/>
      <c r="S282" s="63">
        <f>IF($C282="","",SUM($G282:$L282))</f>
        <v/>
      </c>
      <c r="T282" s="63">
        <f>IF($C282="","",SUM($N282:$R282))</f>
        <v/>
      </c>
      <c r="U282" s="63">
        <f>IF($C282="","",$S282-$T282)</f>
        <v/>
      </c>
      <c r="V282" s="47" t="n"/>
      <c r="W282" s="112" t="n"/>
      <c r="X282" s="47" t="n"/>
      <c r="Y282" s="50">
        <f>IF($C282="","",IF(SUMPRODUCT(($C$3:$C$502=$C282)*($A$3:$A$502=$A282)*($B$3:$B$502=$B282))&gt;1,"⚠ مكرر","سليم"))</f>
        <v/>
      </c>
      <c r="Z282">
        <f>IF(AND($C282&lt;&gt;"",$A282=تقرير_الشهر,$B282=تقرير_السنة),SUMPRODUCT(($C$3:$C$502&lt;&gt;"")*($A$3:$A$502=تقرير_الشهر)*($B$3:$B$502=تقرير_السنة)*(ROW($C$3:$C$502)&lt;=ROW())),"")</f>
        <v/>
      </c>
    </row>
    <row r="283">
      <c r="A283" s="40" t="n"/>
      <c r="B283" s="59" t="n"/>
      <c r="C283" s="40" t="n"/>
      <c r="D283" s="43">
        <f>IFERROR(INDEX(الموظفون_الاسم,MATCH($C283,الموظفون_الرقم,0)),"")</f>
        <v/>
      </c>
      <c r="E283" s="43">
        <f>IFERROR(INDEX(الموظفون_الإدارة,MATCH($C283,الموظفون_الرقم,0)),"")</f>
        <v/>
      </c>
      <c r="F283" s="43">
        <f>IFERROR(INDEX(الموظفون_القسم,MATCH($C283,الموظفون_الرقم,0)),"")</f>
        <v/>
      </c>
      <c r="G283" s="60">
        <f>IF($C283="","",IFERROR(INDEX(الموظفون_الاساسي,MATCH($C283,الموظفون_الرقم,0)),0))</f>
        <v/>
      </c>
      <c r="H283" s="42" t="n"/>
      <c r="I283" s="42" t="n"/>
      <c r="J283" s="42" t="n"/>
      <c r="K283" s="42" t="n"/>
      <c r="L283" s="42" t="n"/>
      <c r="M283" s="61" t="n"/>
      <c r="N283" s="42" t="n"/>
      <c r="O283" s="42" t="n"/>
      <c r="P283" s="42" t="n"/>
      <c r="Q283" s="42" t="n"/>
      <c r="R283" s="42" t="n"/>
      <c r="S283" s="60">
        <f>IF($C283="","",SUM($G283:$L283))</f>
        <v/>
      </c>
      <c r="T283" s="60">
        <f>IF($C283="","",SUM($N283:$R283))</f>
        <v/>
      </c>
      <c r="U283" s="60">
        <f>IF($C283="","",$S283-$T283)</f>
        <v/>
      </c>
      <c r="V283" s="40" t="n"/>
      <c r="W283" s="110" t="n"/>
      <c r="X283" s="40" t="n"/>
      <c r="Y283" s="43">
        <f>IF($C283="","",IF(SUMPRODUCT(($C$3:$C$502=$C283)*($A$3:$A$502=$A283)*($B$3:$B$502=$B283))&gt;1,"⚠ مكرر","سليم"))</f>
        <v/>
      </c>
      <c r="Z283">
        <f>IF(AND($C283&lt;&gt;"",$A283=تقرير_الشهر,$B283=تقرير_السنة),SUMPRODUCT(($C$3:$C$502&lt;&gt;"")*($A$3:$A$502=تقرير_الشهر)*($B$3:$B$502=تقرير_السنة)*(ROW($C$3:$C$502)&lt;=ROW())),"")</f>
        <v/>
      </c>
    </row>
    <row r="284">
      <c r="A284" s="47" t="n"/>
      <c r="B284" s="62" t="n"/>
      <c r="C284" s="47" t="n"/>
      <c r="D284" s="50">
        <f>IFERROR(INDEX(الموظفون_الاسم,MATCH($C284,الموظفون_الرقم,0)),"")</f>
        <v/>
      </c>
      <c r="E284" s="50">
        <f>IFERROR(INDEX(الموظفون_الإدارة,MATCH($C284,الموظفون_الرقم,0)),"")</f>
        <v/>
      </c>
      <c r="F284" s="50">
        <f>IFERROR(INDEX(الموظفون_القسم,MATCH($C284,الموظفون_الرقم,0)),"")</f>
        <v/>
      </c>
      <c r="G284" s="63">
        <f>IF($C284="","",IFERROR(INDEX(الموظفون_الاساسي,MATCH($C284,الموظفون_الرقم,0)),0))</f>
        <v/>
      </c>
      <c r="H284" s="49" t="n"/>
      <c r="I284" s="49" t="n"/>
      <c r="J284" s="49" t="n"/>
      <c r="K284" s="49" t="n"/>
      <c r="L284" s="49" t="n"/>
      <c r="M284" s="64" t="n"/>
      <c r="N284" s="49" t="n"/>
      <c r="O284" s="49" t="n"/>
      <c r="P284" s="49" t="n"/>
      <c r="Q284" s="49" t="n"/>
      <c r="R284" s="49" t="n"/>
      <c r="S284" s="63">
        <f>IF($C284="","",SUM($G284:$L284))</f>
        <v/>
      </c>
      <c r="T284" s="63">
        <f>IF($C284="","",SUM($N284:$R284))</f>
        <v/>
      </c>
      <c r="U284" s="63">
        <f>IF($C284="","",$S284-$T284)</f>
        <v/>
      </c>
      <c r="V284" s="47" t="n"/>
      <c r="W284" s="112" t="n"/>
      <c r="X284" s="47" t="n"/>
      <c r="Y284" s="50">
        <f>IF($C284="","",IF(SUMPRODUCT(($C$3:$C$502=$C284)*($A$3:$A$502=$A284)*($B$3:$B$502=$B284))&gt;1,"⚠ مكرر","سليم"))</f>
        <v/>
      </c>
      <c r="Z284">
        <f>IF(AND($C284&lt;&gt;"",$A284=تقرير_الشهر,$B284=تقرير_السنة),SUMPRODUCT(($C$3:$C$502&lt;&gt;"")*($A$3:$A$502=تقرير_الشهر)*($B$3:$B$502=تقرير_السنة)*(ROW($C$3:$C$502)&lt;=ROW())),"")</f>
        <v/>
      </c>
    </row>
    <row r="285">
      <c r="A285" s="40" t="n"/>
      <c r="B285" s="59" t="n"/>
      <c r="C285" s="40" t="n"/>
      <c r="D285" s="43">
        <f>IFERROR(INDEX(الموظفون_الاسم,MATCH($C285,الموظفون_الرقم,0)),"")</f>
        <v/>
      </c>
      <c r="E285" s="43">
        <f>IFERROR(INDEX(الموظفون_الإدارة,MATCH($C285,الموظفون_الرقم,0)),"")</f>
        <v/>
      </c>
      <c r="F285" s="43">
        <f>IFERROR(INDEX(الموظفون_القسم,MATCH($C285,الموظفون_الرقم,0)),"")</f>
        <v/>
      </c>
      <c r="G285" s="60">
        <f>IF($C285="","",IFERROR(INDEX(الموظفون_الاساسي,MATCH($C285,الموظفون_الرقم,0)),0))</f>
        <v/>
      </c>
      <c r="H285" s="42" t="n"/>
      <c r="I285" s="42" t="n"/>
      <c r="J285" s="42" t="n"/>
      <c r="K285" s="42" t="n"/>
      <c r="L285" s="42" t="n"/>
      <c r="M285" s="61" t="n"/>
      <c r="N285" s="42" t="n"/>
      <c r="O285" s="42" t="n"/>
      <c r="P285" s="42" t="n"/>
      <c r="Q285" s="42" t="n"/>
      <c r="R285" s="42" t="n"/>
      <c r="S285" s="60">
        <f>IF($C285="","",SUM($G285:$L285))</f>
        <v/>
      </c>
      <c r="T285" s="60">
        <f>IF($C285="","",SUM($N285:$R285))</f>
        <v/>
      </c>
      <c r="U285" s="60">
        <f>IF($C285="","",$S285-$T285)</f>
        <v/>
      </c>
      <c r="V285" s="40" t="n"/>
      <c r="W285" s="110" t="n"/>
      <c r="X285" s="40" t="n"/>
      <c r="Y285" s="43">
        <f>IF($C285="","",IF(SUMPRODUCT(($C$3:$C$502=$C285)*($A$3:$A$502=$A285)*($B$3:$B$502=$B285))&gt;1,"⚠ مكرر","سليم"))</f>
        <v/>
      </c>
      <c r="Z285">
        <f>IF(AND($C285&lt;&gt;"",$A285=تقرير_الشهر,$B285=تقرير_السنة),SUMPRODUCT(($C$3:$C$502&lt;&gt;"")*($A$3:$A$502=تقرير_الشهر)*($B$3:$B$502=تقرير_السنة)*(ROW($C$3:$C$502)&lt;=ROW())),"")</f>
        <v/>
      </c>
    </row>
    <row r="286">
      <c r="A286" s="47" t="n"/>
      <c r="B286" s="62" t="n"/>
      <c r="C286" s="47" t="n"/>
      <c r="D286" s="50">
        <f>IFERROR(INDEX(الموظفون_الاسم,MATCH($C286,الموظفون_الرقم,0)),"")</f>
        <v/>
      </c>
      <c r="E286" s="50">
        <f>IFERROR(INDEX(الموظفون_الإدارة,MATCH($C286,الموظفون_الرقم,0)),"")</f>
        <v/>
      </c>
      <c r="F286" s="50">
        <f>IFERROR(INDEX(الموظفون_القسم,MATCH($C286,الموظفون_الرقم,0)),"")</f>
        <v/>
      </c>
      <c r="G286" s="63">
        <f>IF($C286="","",IFERROR(INDEX(الموظفون_الاساسي,MATCH($C286,الموظفون_الرقم,0)),0))</f>
        <v/>
      </c>
      <c r="H286" s="49" t="n"/>
      <c r="I286" s="49" t="n"/>
      <c r="J286" s="49" t="n"/>
      <c r="K286" s="49" t="n"/>
      <c r="L286" s="49" t="n"/>
      <c r="M286" s="64" t="n"/>
      <c r="N286" s="49" t="n"/>
      <c r="O286" s="49" t="n"/>
      <c r="P286" s="49" t="n"/>
      <c r="Q286" s="49" t="n"/>
      <c r="R286" s="49" t="n"/>
      <c r="S286" s="63">
        <f>IF($C286="","",SUM($G286:$L286))</f>
        <v/>
      </c>
      <c r="T286" s="63">
        <f>IF($C286="","",SUM($N286:$R286))</f>
        <v/>
      </c>
      <c r="U286" s="63">
        <f>IF($C286="","",$S286-$T286)</f>
        <v/>
      </c>
      <c r="V286" s="47" t="n"/>
      <c r="W286" s="112" t="n"/>
      <c r="X286" s="47" t="n"/>
      <c r="Y286" s="50">
        <f>IF($C286="","",IF(SUMPRODUCT(($C$3:$C$502=$C286)*($A$3:$A$502=$A286)*($B$3:$B$502=$B286))&gt;1,"⚠ مكرر","سليم"))</f>
        <v/>
      </c>
      <c r="Z286">
        <f>IF(AND($C286&lt;&gt;"",$A286=تقرير_الشهر,$B286=تقرير_السنة),SUMPRODUCT(($C$3:$C$502&lt;&gt;"")*($A$3:$A$502=تقرير_الشهر)*($B$3:$B$502=تقرير_السنة)*(ROW($C$3:$C$502)&lt;=ROW())),"")</f>
        <v/>
      </c>
    </row>
    <row r="287">
      <c r="A287" s="40" t="n"/>
      <c r="B287" s="59" t="n"/>
      <c r="C287" s="40" t="n"/>
      <c r="D287" s="43">
        <f>IFERROR(INDEX(الموظفون_الاسم,MATCH($C287,الموظفون_الرقم,0)),"")</f>
        <v/>
      </c>
      <c r="E287" s="43">
        <f>IFERROR(INDEX(الموظفون_الإدارة,MATCH($C287,الموظفون_الرقم,0)),"")</f>
        <v/>
      </c>
      <c r="F287" s="43">
        <f>IFERROR(INDEX(الموظفون_القسم,MATCH($C287,الموظفون_الرقم,0)),"")</f>
        <v/>
      </c>
      <c r="G287" s="60">
        <f>IF($C287="","",IFERROR(INDEX(الموظفون_الاساسي,MATCH($C287,الموظفون_الرقم,0)),0))</f>
        <v/>
      </c>
      <c r="H287" s="42" t="n"/>
      <c r="I287" s="42" t="n"/>
      <c r="J287" s="42" t="n"/>
      <c r="K287" s="42" t="n"/>
      <c r="L287" s="42" t="n"/>
      <c r="M287" s="61" t="n"/>
      <c r="N287" s="42" t="n"/>
      <c r="O287" s="42" t="n"/>
      <c r="P287" s="42" t="n"/>
      <c r="Q287" s="42" t="n"/>
      <c r="R287" s="42" t="n"/>
      <c r="S287" s="60">
        <f>IF($C287="","",SUM($G287:$L287))</f>
        <v/>
      </c>
      <c r="T287" s="60">
        <f>IF($C287="","",SUM($N287:$R287))</f>
        <v/>
      </c>
      <c r="U287" s="60">
        <f>IF($C287="","",$S287-$T287)</f>
        <v/>
      </c>
      <c r="V287" s="40" t="n"/>
      <c r="W287" s="110" t="n"/>
      <c r="X287" s="40" t="n"/>
      <c r="Y287" s="43">
        <f>IF($C287="","",IF(SUMPRODUCT(($C$3:$C$502=$C287)*($A$3:$A$502=$A287)*($B$3:$B$502=$B287))&gt;1,"⚠ مكرر","سليم"))</f>
        <v/>
      </c>
      <c r="Z287">
        <f>IF(AND($C287&lt;&gt;"",$A287=تقرير_الشهر,$B287=تقرير_السنة),SUMPRODUCT(($C$3:$C$502&lt;&gt;"")*($A$3:$A$502=تقرير_الشهر)*($B$3:$B$502=تقرير_السنة)*(ROW($C$3:$C$502)&lt;=ROW())),"")</f>
        <v/>
      </c>
    </row>
    <row r="288">
      <c r="A288" s="47" t="n"/>
      <c r="B288" s="62" t="n"/>
      <c r="C288" s="47" t="n"/>
      <c r="D288" s="50">
        <f>IFERROR(INDEX(الموظفون_الاسم,MATCH($C288,الموظفون_الرقم,0)),"")</f>
        <v/>
      </c>
      <c r="E288" s="50">
        <f>IFERROR(INDEX(الموظفون_الإدارة,MATCH($C288,الموظفون_الرقم,0)),"")</f>
        <v/>
      </c>
      <c r="F288" s="50">
        <f>IFERROR(INDEX(الموظفون_القسم,MATCH($C288,الموظفون_الرقم,0)),"")</f>
        <v/>
      </c>
      <c r="G288" s="63">
        <f>IF($C288="","",IFERROR(INDEX(الموظفون_الاساسي,MATCH($C288,الموظفون_الرقم,0)),0))</f>
        <v/>
      </c>
      <c r="H288" s="49" t="n"/>
      <c r="I288" s="49" t="n"/>
      <c r="J288" s="49" t="n"/>
      <c r="K288" s="49" t="n"/>
      <c r="L288" s="49" t="n"/>
      <c r="M288" s="64" t="n"/>
      <c r="N288" s="49" t="n"/>
      <c r="O288" s="49" t="n"/>
      <c r="P288" s="49" t="n"/>
      <c r="Q288" s="49" t="n"/>
      <c r="R288" s="49" t="n"/>
      <c r="S288" s="63">
        <f>IF($C288="","",SUM($G288:$L288))</f>
        <v/>
      </c>
      <c r="T288" s="63">
        <f>IF($C288="","",SUM($N288:$R288))</f>
        <v/>
      </c>
      <c r="U288" s="63">
        <f>IF($C288="","",$S288-$T288)</f>
        <v/>
      </c>
      <c r="V288" s="47" t="n"/>
      <c r="W288" s="112" t="n"/>
      <c r="X288" s="47" t="n"/>
      <c r="Y288" s="50">
        <f>IF($C288="","",IF(SUMPRODUCT(($C$3:$C$502=$C288)*($A$3:$A$502=$A288)*($B$3:$B$502=$B288))&gt;1,"⚠ مكرر","سليم"))</f>
        <v/>
      </c>
      <c r="Z288">
        <f>IF(AND($C288&lt;&gt;"",$A288=تقرير_الشهر,$B288=تقرير_السنة),SUMPRODUCT(($C$3:$C$502&lt;&gt;"")*($A$3:$A$502=تقرير_الشهر)*($B$3:$B$502=تقرير_السنة)*(ROW($C$3:$C$502)&lt;=ROW())),"")</f>
        <v/>
      </c>
    </row>
    <row r="289">
      <c r="A289" s="40" t="n"/>
      <c r="B289" s="59" t="n"/>
      <c r="C289" s="40" t="n"/>
      <c r="D289" s="43">
        <f>IFERROR(INDEX(الموظفون_الاسم,MATCH($C289,الموظفون_الرقم,0)),"")</f>
        <v/>
      </c>
      <c r="E289" s="43">
        <f>IFERROR(INDEX(الموظفون_الإدارة,MATCH($C289,الموظفون_الرقم,0)),"")</f>
        <v/>
      </c>
      <c r="F289" s="43">
        <f>IFERROR(INDEX(الموظفون_القسم,MATCH($C289,الموظفون_الرقم,0)),"")</f>
        <v/>
      </c>
      <c r="G289" s="60">
        <f>IF($C289="","",IFERROR(INDEX(الموظفون_الاساسي,MATCH($C289,الموظفون_الرقم,0)),0))</f>
        <v/>
      </c>
      <c r="H289" s="42" t="n"/>
      <c r="I289" s="42" t="n"/>
      <c r="J289" s="42" t="n"/>
      <c r="K289" s="42" t="n"/>
      <c r="L289" s="42" t="n"/>
      <c r="M289" s="61" t="n"/>
      <c r="N289" s="42" t="n"/>
      <c r="O289" s="42" t="n"/>
      <c r="P289" s="42" t="n"/>
      <c r="Q289" s="42" t="n"/>
      <c r="R289" s="42" t="n"/>
      <c r="S289" s="60">
        <f>IF($C289="","",SUM($G289:$L289))</f>
        <v/>
      </c>
      <c r="T289" s="60">
        <f>IF($C289="","",SUM($N289:$R289))</f>
        <v/>
      </c>
      <c r="U289" s="60">
        <f>IF($C289="","",$S289-$T289)</f>
        <v/>
      </c>
      <c r="V289" s="40" t="n"/>
      <c r="W289" s="110" t="n"/>
      <c r="X289" s="40" t="n"/>
      <c r="Y289" s="43">
        <f>IF($C289="","",IF(SUMPRODUCT(($C$3:$C$502=$C289)*($A$3:$A$502=$A289)*($B$3:$B$502=$B289))&gt;1,"⚠ مكرر","سليم"))</f>
        <v/>
      </c>
      <c r="Z289">
        <f>IF(AND($C289&lt;&gt;"",$A289=تقرير_الشهر,$B289=تقرير_السنة),SUMPRODUCT(($C$3:$C$502&lt;&gt;"")*($A$3:$A$502=تقرير_الشهر)*($B$3:$B$502=تقرير_السنة)*(ROW($C$3:$C$502)&lt;=ROW())),"")</f>
        <v/>
      </c>
    </row>
    <row r="290">
      <c r="A290" s="47" t="n"/>
      <c r="B290" s="62" t="n"/>
      <c r="C290" s="47" t="n"/>
      <c r="D290" s="50">
        <f>IFERROR(INDEX(الموظفون_الاسم,MATCH($C290,الموظفون_الرقم,0)),"")</f>
        <v/>
      </c>
      <c r="E290" s="50">
        <f>IFERROR(INDEX(الموظفون_الإدارة,MATCH($C290,الموظفون_الرقم,0)),"")</f>
        <v/>
      </c>
      <c r="F290" s="50">
        <f>IFERROR(INDEX(الموظفون_القسم,MATCH($C290,الموظفون_الرقم,0)),"")</f>
        <v/>
      </c>
      <c r="G290" s="63">
        <f>IF($C290="","",IFERROR(INDEX(الموظفون_الاساسي,MATCH($C290,الموظفون_الرقم,0)),0))</f>
        <v/>
      </c>
      <c r="H290" s="49" t="n"/>
      <c r="I290" s="49" t="n"/>
      <c r="J290" s="49" t="n"/>
      <c r="K290" s="49" t="n"/>
      <c r="L290" s="49" t="n"/>
      <c r="M290" s="64" t="n"/>
      <c r="N290" s="49" t="n"/>
      <c r="O290" s="49" t="n"/>
      <c r="P290" s="49" t="n"/>
      <c r="Q290" s="49" t="n"/>
      <c r="R290" s="49" t="n"/>
      <c r="S290" s="63">
        <f>IF($C290="","",SUM($G290:$L290))</f>
        <v/>
      </c>
      <c r="T290" s="63">
        <f>IF($C290="","",SUM($N290:$R290))</f>
        <v/>
      </c>
      <c r="U290" s="63">
        <f>IF($C290="","",$S290-$T290)</f>
        <v/>
      </c>
      <c r="V290" s="47" t="n"/>
      <c r="W290" s="112" t="n"/>
      <c r="X290" s="47" t="n"/>
      <c r="Y290" s="50">
        <f>IF($C290="","",IF(SUMPRODUCT(($C$3:$C$502=$C290)*($A$3:$A$502=$A290)*($B$3:$B$502=$B290))&gt;1,"⚠ مكرر","سليم"))</f>
        <v/>
      </c>
      <c r="Z290">
        <f>IF(AND($C290&lt;&gt;"",$A290=تقرير_الشهر,$B290=تقرير_السنة),SUMPRODUCT(($C$3:$C$502&lt;&gt;"")*($A$3:$A$502=تقرير_الشهر)*($B$3:$B$502=تقرير_السنة)*(ROW($C$3:$C$502)&lt;=ROW())),"")</f>
        <v/>
      </c>
    </row>
    <row r="291">
      <c r="A291" s="40" t="n"/>
      <c r="B291" s="59" t="n"/>
      <c r="C291" s="40" t="n"/>
      <c r="D291" s="43">
        <f>IFERROR(INDEX(الموظفون_الاسم,MATCH($C291,الموظفون_الرقم,0)),"")</f>
        <v/>
      </c>
      <c r="E291" s="43">
        <f>IFERROR(INDEX(الموظفون_الإدارة,MATCH($C291,الموظفون_الرقم,0)),"")</f>
        <v/>
      </c>
      <c r="F291" s="43">
        <f>IFERROR(INDEX(الموظفون_القسم,MATCH($C291,الموظفون_الرقم,0)),"")</f>
        <v/>
      </c>
      <c r="G291" s="60">
        <f>IF($C291="","",IFERROR(INDEX(الموظفون_الاساسي,MATCH($C291,الموظفون_الرقم,0)),0))</f>
        <v/>
      </c>
      <c r="H291" s="42" t="n"/>
      <c r="I291" s="42" t="n"/>
      <c r="J291" s="42" t="n"/>
      <c r="K291" s="42" t="n"/>
      <c r="L291" s="42" t="n"/>
      <c r="M291" s="61" t="n"/>
      <c r="N291" s="42" t="n"/>
      <c r="O291" s="42" t="n"/>
      <c r="P291" s="42" t="n"/>
      <c r="Q291" s="42" t="n"/>
      <c r="R291" s="42" t="n"/>
      <c r="S291" s="60">
        <f>IF($C291="","",SUM($G291:$L291))</f>
        <v/>
      </c>
      <c r="T291" s="60">
        <f>IF($C291="","",SUM($N291:$R291))</f>
        <v/>
      </c>
      <c r="U291" s="60">
        <f>IF($C291="","",$S291-$T291)</f>
        <v/>
      </c>
      <c r="V291" s="40" t="n"/>
      <c r="W291" s="110" t="n"/>
      <c r="X291" s="40" t="n"/>
      <c r="Y291" s="43">
        <f>IF($C291="","",IF(SUMPRODUCT(($C$3:$C$502=$C291)*($A$3:$A$502=$A291)*($B$3:$B$502=$B291))&gt;1,"⚠ مكرر","سليم"))</f>
        <v/>
      </c>
      <c r="Z291">
        <f>IF(AND($C291&lt;&gt;"",$A291=تقرير_الشهر,$B291=تقرير_السنة),SUMPRODUCT(($C$3:$C$502&lt;&gt;"")*($A$3:$A$502=تقرير_الشهر)*($B$3:$B$502=تقرير_السنة)*(ROW($C$3:$C$502)&lt;=ROW())),"")</f>
        <v/>
      </c>
    </row>
    <row r="292">
      <c r="A292" s="47" t="n"/>
      <c r="B292" s="62" t="n"/>
      <c r="C292" s="47" t="n"/>
      <c r="D292" s="50">
        <f>IFERROR(INDEX(الموظفون_الاسم,MATCH($C292,الموظفون_الرقم,0)),"")</f>
        <v/>
      </c>
      <c r="E292" s="50">
        <f>IFERROR(INDEX(الموظفون_الإدارة,MATCH($C292,الموظفون_الرقم,0)),"")</f>
        <v/>
      </c>
      <c r="F292" s="50">
        <f>IFERROR(INDEX(الموظفون_القسم,MATCH($C292,الموظفون_الرقم,0)),"")</f>
        <v/>
      </c>
      <c r="G292" s="63">
        <f>IF($C292="","",IFERROR(INDEX(الموظفون_الاساسي,MATCH($C292,الموظفون_الرقم,0)),0))</f>
        <v/>
      </c>
      <c r="H292" s="49" t="n"/>
      <c r="I292" s="49" t="n"/>
      <c r="J292" s="49" t="n"/>
      <c r="K292" s="49" t="n"/>
      <c r="L292" s="49" t="n"/>
      <c r="M292" s="64" t="n"/>
      <c r="N292" s="49" t="n"/>
      <c r="O292" s="49" t="n"/>
      <c r="P292" s="49" t="n"/>
      <c r="Q292" s="49" t="n"/>
      <c r="R292" s="49" t="n"/>
      <c r="S292" s="63">
        <f>IF($C292="","",SUM($G292:$L292))</f>
        <v/>
      </c>
      <c r="T292" s="63">
        <f>IF($C292="","",SUM($N292:$R292))</f>
        <v/>
      </c>
      <c r="U292" s="63">
        <f>IF($C292="","",$S292-$T292)</f>
        <v/>
      </c>
      <c r="V292" s="47" t="n"/>
      <c r="W292" s="112" t="n"/>
      <c r="X292" s="47" t="n"/>
      <c r="Y292" s="50">
        <f>IF($C292="","",IF(SUMPRODUCT(($C$3:$C$502=$C292)*($A$3:$A$502=$A292)*($B$3:$B$502=$B292))&gt;1,"⚠ مكرر","سليم"))</f>
        <v/>
      </c>
      <c r="Z292">
        <f>IF(AND($C292&lt;&gt;"",$A292=تقرير_الشهر,$B292=تقرير_السنة),SUMPRODUCT(($C$3:$C$502&lt;&gt;"")*($A$3:$A$502=تقرير_الشهر)*($B$3:$B$502=تقرير_السنة)*(ROW($C$3:$C$502)&lt;=ROW())),"")</f>
        <v/>
      </c>
    </row>
    <row r="293">
      <c r="A293" s="40" t="n"/>
      <c r="B293" s="59" t="n"/>
      <c r="C293" s="40" t="n"/>
      <c r="D293" s="43">
        <f>IFERROR(INDEX(الموظفون_الاسم,MATCH($C293,الموظفون_الرقم,0)),"")</f>
        <v/>
      </c>
      <c r="E293" s="43">
        <f>IFERROR(INDEX(الموظفون_الإدارة,MATCH($C293,الموظفون_الرقم,0)),"")</f>
        <v/>
      </c>
      <c r="F293" s="43">
        <f>IFERROR(INDEX(الموظفون_القسم,MATCH($C293,الموظفون_الرقم,0)),"")</f>
        <v/>
      </c>
      <c r="G293" s="60">
        <f>IF($C293="","",IFERROR(INDEX(الموظفون_الاساسي,MATCH($C293,الموظفون_الرقم,0)),0))</f>
        <v/>
      </c>
      <c r="H293" s="42" t="n"/>
      <c r="I293" s="42" t="n"/>
      <c r="J293" s="42" t="n"/>
      <c r="K293" s="42" t="n"/>
      <c r="L293" s="42" t="n"/>
      <c r="M293" s="61" t="n"/>
      <c r="N293" s="42" t="n"/>
      <c r="O293" s="42" t="n"/>
      <c r="P293" s="42" t="n"/>
      <c r="Q293" s="42" t="n"/>
      <c r="R293" s="42" t="n"/>
      <c r="S293" s="60">
        <f>IF($C293="","",SUM($G293:$L293))</f>
        <v/>
      </c>
      <c r="T293" s="60">
        <f>IF($C293="","",SUM($N293:$R293))</f>
        <v/>
      </c>
      <c r="U293" s="60">
        <f>IF($C293="","",$S293-$T293)</f>
        <v/>
      </c>
      <c r="V293" s="40" t="n"/>
      <c r="W293" s="110" t="n"/>
      <c r="X293" s="40" t="n"/>
      <c r="Y293" s="43">
        <f>IF($C293="","",IF(SUMPRODUCT(($C$3:$C$502=$C293)*($A$3:$A$502=$A293)*($B$3:$B$502=$B293))&gt;1,"⚠ مكرر","سليم"))</f>
        <v/>
      </c>
      <c r="Z293">
        <f>IF(AND($C293&lt;&gt;"",$A293=تقرير_الشهر,$B293=تقرير_السنة),SUMPRODUCT(($C$3:$C$502&lt;&gt;"")*($A$3:$A$502=تقرير_الشهر)*($B$3:$B$502=تقرير_السنة)*(ROW($C$3:$C$502)&lt;=ROW())),"")</f>
        <v/>
      </c>
    </row>
    <row r="294">
      <c r="A294" s="47" t="n"/>
      <c r="B294" s="62" t="n"/>
      <c r="C294" s="47" t="n"/>
      <c r="D294" s="50">
        <f>IFERROR(INDEX(الموظفون_الاسم,MATCH($C294,الموظفون_الرقم,0)),"")</f>
        <v/>
      </c>
      <c r="E294" s="50">
        <f>IFERROR(INDEX(الموظفون_الإدارة,MATCH($C294,الموظفون_الرقم,0)),"")</f>
        <v/>
      </c>
      <c r="F294" s="50">
        <f>IFERROR(INDEX(الموظفون_القسم,MATCH($C294,الموظفون_الرقم,0)),"")</f>
        <v/>
      </c>
      <c r="G294" s="63">
        <f>IF($C294="","",IFERROR(INDEX(الموظفون_الاساسي,MATCH($C294,الموظفون_الرقم,0)),0))</f>
        <v/>
      </c>
      <c r="H294" s="49" t="n"/>
      <c r="I294" s="49" t="n"/>
      <c r="J294" s="49" t="n"/>
      <c r="K294" s="49" t="n"/>
      <c r="L294" s="49" t="n"/>
      <c r="M294" s="64" t="n"/>
      <c r="N294" s="49" t="n"/>
      <c r="O294" s="49" t="n"/>
      <c r="P294" s="49" t="n"/>
      <c r="Q294" s="49" t="n"/>
      <c r="R294" s="49" t="n"/>
      <c r="S294" s="63">
        <f>IF($C294="","",SUM($G294:$L294))</f>
        <v/>
      </c>
      <c r="T294" s="63">
        <f>IF($C294="","",SUM($N294:$R294))</f>
        <v/>
      </c>
      <c r="U294" s="63">
        <f>IF($C294="","",$S294-$T294)</f>
        <v/>
      </c>
      <c r="V294" s="47" t="n"/>
      <c r="W294" s="112" t="n"/>
      <c r="X294" s="47" t="n"/>
      <c r="Y294" s="50">
        <f>IF($C294="","",IF(SUMPRODUCT(($C$3:$C$502=$C294)*($A$3:$A$502=$A294)*($B$3:$B$502=$B294))&gt;1,"⚠ مكرر","سليم"))</f>
        <v/>
      </c>
      <c r="Z294">
        <f>IF(AND($C294&lt;&gt;"",$A294=تقرير_الشهر,$B294=تقرير_السنة),SUMPRODUCT(($C$3:$C$502&lt;&gt;"")*($A$3:$A$502=تقرير_الشهر)*($B$3:$B$502=تقرير_السنة)*(ROW($C$3:$C$502)&lt;=ROW())),"")</f>
        <v/>
      </c>
    </row>
    <row r="295">
      <c r="A295" s="40" t="n"/>
      <c r="B295" s="59" t="n"/>
      <c r="C295" s="40" t="n"/>
      <c r="D295" s="43">
        <f>IFERROR(INDEX(الموظفون_الاسم,MATCH($C295,الموظفون_الرقم,0)),"")</f>
        <v/>
      </c>
      <c r="E295" s="43">
        <f>IFERROR(INDEX(الموظفون_الإدارة,MATCH($C295,الموظفون_الرقم,0)),"")</f>
        <v/>
      </c>
      <c r="F295" s="43">
        <f>IFERROR(INDEX(الموظفون_القسم,MATCH($C295,الموظفون_الرقم,0)),"")</f>
        <v/>
      </c>
      <c r="G295" s="60">
        <f>IF($C295="","",IFERROR(INDEX(الموظفون_الاساسي,MATCH($C295,الموظفون_الرقم,0)),0))</f>
        <v/>
      </c>
      <c r="H295" s="42" t="n"/>
      <c r="I295" s="42" t="n"/>
      <c r="J295" s="42" t="n"/>
      <c r="K295" s="42" t="n"/>
      <c r="L295" s="42" t="n"/>
      <c r="M295" s="61" t="n"/>
      <c r="N295" s="42" t="n"/>
      <c r="O295" s="42" t="n"/>
      <c r="P295" s="42" t="n"/>
      <c r="Q295" s="42" t="n"/>
      <c r="R295" s="42" t="n"/>
      <c r="S295" s="60">
        <f>IF($C295="","",SUM($G295:$L295))</f>
        <v/>
      </c>
      <c r="T295" s="60">
        <f>IF($C295="","",SUM($N295:$R295))</f>
        <v/>
      </c>
      <c r="U295" s="60">
        <f>IF($C295="","",$S295-$T295)</f>
        <v/>
      </c>
      <c r="V295" s="40" t="n"/>
      <c r="W295" s="110" t="n"/>
      <c r="X295" s="40" t="n"/>
      <c r="Y295" s="43">
        <f>IF($C295="","",IF(SUMPRODUCT(($C$3:$C$502=$C295)*($A$3:$A$502=$A295)*($B$3:$B$502=$B295))&gt;1,"⚠ مكرر","سليم"))</f>
        <v/>
      </c>
      <c r="Z295">
        <f>IF(AND($C295&lt;&gt;"",$A295=تقرير_الشهر,$B295=تقرير_السنة),SUMPRODUCT(($C$3:$C$502&lt;&gt;"")*($A$3:$A$502=تقرير_الشهر)*($B$3:$B$502=تقرير_السنة)*(ROW($C$3:$C$502)&lt;=ROW())),"")</f>
        <v/>
      </c>
    </row>
    <row r="296">
      <c r="A296" s="47" t="n"/>
      <c r="B296" s="62" t="n"/>
      <c r="C296" s="47" t="n"/>
      <c r="D296" s="50">
        <f>IFERROR(INDEX(الموظفون_الاسم,MATCH($C296,الموظفون_الرقم,0)),"")</f>
        <v/>
      </c>
      <c r="E296" s="50">
        <f>IFERROR(INDEX(الموظفون_الإدارة,MATCH($C296,الموظفون_الرقم,0)),"")</f>
        <v/>
      </c>
      <c r="F296" s="50">
        <f>IFERROR(INDEX(الموظفون_القسم,MATCH($C296,الموظفون_الرقم,0)),"")</f>
        <v/>
      </c>
      <c r="G296" s="63">
        <f>IF($C296="","",IFERROR(INDEX(الموظفون_الاساسي,MATCH($C296,الموظفون_الرقم,0)),0))</f>
        <v/>
      </c>
      <c r="H296" s="49" t="n"/>
      <c r="I296" s="49" t="n"/>
      <c r="J296" s="49" t="n"/>
      <c r="K296" s="49" t="n"/>
      <c r="L296" s="49" t="n"/>
      <c r="M296" s="64" t="n"/>
      <c r="N296" s="49" t="n"/>
      <c r="O296" s="49" t="n"/>
      <c r="P296" s="49" t="n"/>
      <c r="Q296" s="49" t="n"/>
      <c r="R296" s="49" t="n"/>
      <c r="S296" s="63">
        <f>IF($C296="","",SUM($G296:$L296))</f>
        <v/>
      </c>
      <c r="T296" s="63">
        <f>IF($C296="","",SUM($N296:$R296))</f>
        <v/>
      </c>
      <c r="U296" s="63">
        <f>IF($C296="","",$S296-$T296)</f>
        <v/>
      </c>
      <c r="V296" s="47" t="n"/>
      <c r="W296" s="112" t="n"/>
      <c r="X296" s="47" t="n"/>
      <c r="Y296" s="50">
        <f>IF($C296="","",IF(SUMPRODUCT(($C$3:$C$502=$C296)*($A$3:$A$502=$A296)*($B$3:$B$502=$B296))&gt;1,"⚠ مكرر","سليم"))</f>
        <v/>
      </c>
      <c r="Z296">
        <f>IF(AND($C296&lt;&gt;"",$A296=تقرير_الشهر,$B296=تقرير_السنة),SUMPRODUCT(($C$3:$C$502&lt;&gt;"")*($A$3:$A$502=تقرير_الشهر)*($B$3:$B$502=تقرير_السنة)*(ROW($C$3:$C$502)&lt;=ROW())),"")</f>
        <v/>
      </c>
    </row>
    <row r="297">
      <c r="A297" s="40" t="n"/>
      <c r="B297" s="59" t="n"/>
      <c r="C297" s="40" t="n"/>
      <c r="D297" s="43">
        <f>IFERROR(INDEX(الموظفون_الاسم,MATCH($C297,الموظفون_الرقم,0)),"")</f>
        <v/>
      </c>
      <c r="E297" s="43">
        <f>IFERROR(INDEX(الموظفون_الإدارة,MATCH($C297,الموظفون_الرقم,0)),"")</f>
        <v/>
      </c>
      <c r="F297" s="43">
        <f>IFERROR(INDEX(الموظفون_القسم,MATCH($C297,الموظفون_الرقم,0)),"")</f>
        <v/>
      </c>
      <c r="G297" s="60">
        <f>IF($C297="","",IFERROR(INDEX(الموظفون_الاساسي,MATCH($C297,الموظفون_الرقم,0)),0))</f>
        <v/>
      </c>
      <c r="H297" s="42" t="n"/>
      <c r="I297" s="42" t="n"/>
      <c r="J297" s="42" t="n"/>
      <c r="K297" s="42" t="n"/>
      <c r="L297" s="42" t="n"/>
      <c r="M297" s="61" t="n"/>
      <c r="N297" s="42" t="n"/>
      <c r="O297" s="42" t="n"/>
      <c r="P297" s="42" t="n"/>
      <c r="Q297" s="42" t="n"/>
      <c r="R297" s="42" t="n"/>
      <c r="S297" s="60">
        <f>IF($C297="","",SUM($G297:$L297))</f>
        <v/>
      </c>
      <c r="T297" s="60">
        <f>IF($C297="","",SUM($N297:$R297))</f>
        <v/>
      </c>
      <c r="U297" s="60">
        <f>IF($C297="","",$S297-$T297)</f>
        <v/>
      </c>
      <c r="V297" s="40" t="n"/>
      <c r="W297" s="110" t="n"/>
      <c r="X297" s="40" t="n"/>
      <c r="Y297" s="43">
        <f>IF($C297="","",IF(SUMPRODUCT(($C$3:$C$502=$C297)*($A$3:$A$502=$A297)*($B$3:$B$502=$B297))&gt;1,"⚠ مكرر","سليم"))</f>
        <v/>
      </c>
      <c r="Z297">
        <f>IF(AND($C297&lt;&gt;"",$A297=تقرير_الشهر,$B297=تقرير_السنة),SUMPRODUCT(($C$3:$C$502&lt;&gt;"")*($A$3:$A$502=تقرير_الشهر)*($B$3:$B$502=تقرير_السنة)*(ROW($C$3:$C$502)&lt;=ROW())),"")</f>
        <v/>
      </c>
    </row>
    <row r="298">
      <c r="A298" s="47" t="n"/>
      <c r="B298" s="62" t="n"/>
      <c r="C298" s="47" t="n"/>
      <c r="D298" s="50">
        <f>IFERROR(INDEX(الموظفون_الاسم,MATCH($C298,الموظفون_الرقم,0)),"")</f>
        <v/>
      </c>
      <c r="E298" s="50">
        <f>IFERROR(INDEX(الموظفون_الإدارة,MATCH($C298,الموظفون_الرقم,0)),"")</f>
        <v/>
      </c>
      <c r="F298" s="50">
        <f>IFERROR(INDEX(الموظفون_القسم,MATCH($C298,الموظفون_الرقم,0)),"")</f>
        <v/>
      </c>
      <c r="G298" s="63">
        <f>IF($C298="","",IFERROR(INDEX(الموظفون_الاساسي,MATCH($C298,الموظفون_الرقم,0)),0))</f>
        <v/>
      </c>
      <c r="H298" s="49" t="n"/>
      <c r="I298" s="49" t="n"/>
      <c r="J298" s="49" t="n"/>
      <c r="K298" s="49" t="n"/>
      <c r="L298" s="49" t="n"/>
      <c r="M298" s="64" t="n"/>
      <c r="N298" s="49" t="n"/>
      <c r="O298" s="49" t="n"/>
      <c r="P298" s="49" t="n"/>
      <c r="Q298" s="49" t="n"/>
      <c r="R298" s="49" t="n"/>
      <c r="S298" s="63">
        <f>IF($C298="","",SUM($G298:$L298))</f>
        <v/>
      </c>
      <c r="T298" s="63">
        <f>IF($C298="","",SUM($N298:$R298))</f>
        <v/>
      </c>
      <c r="U298" s="63">
        <f>IF($C298="","",$S298-$T298)</f>
        <v/>
      </c>
      <c r="V298" s="47" t="n"/>
      <c r="W298" s="112" t="n"/>
      <c r="X298" s="47" t="n"/>
      <c r="Y298" s="50">
        <f>IF($C298="","",IF(SUMPRODUCT(($C$3:$C$502=$C298)*($A$3:$A$502=$A298)*($B$3:$B$502=$B298))&gt;1,"⚠ مكرر","سليم"))</f>
        <v/>
      </c>
      <c r="Z298">
        <f>IF(AND($C298&lt;&gt;"",$A298=تقرير_الشهر,$B298=تقرير_السنة),SUMPRODUCT(($C$3:$C$502&lt;&gt;"")*($A$3:$A$502=تقرير_الشهر)*($B$3:$B$502=تقرير_السنة)*(ROW($C$3:$C$502)&lt;=ROW())),"")</f>
        <v/>
      </c>
    </row>
    <row r="299">
      <c r="A299" s="40" t="n"/>
      <c r="B299" s="59" t="n"/>
      <c r="C299" s="40" t="n"/>
      <c r="D299" s="43">
        <f>IFERROR(INDEX(الموظفون_الاسم,MATCH($C299,الموظفون_الرقم,0)),"")</f>
        <v/>
      </c>
      <c r="E299" s="43">
        <f>IFERROR(INDEX(الموظفون_الإدارة,MATCH($C299,الموظفون_الرقم,0)),"")</f>
        <v/>
      </c>
      <c r="F299" s="43">
        <f>IFERROR(INDEX(الموظفون_القسم,MATCH($C299,الموظفون_الرقم,0)),"")</f>
        <v/>
      </c>
      <c r="G299" s="60">
        <f>IF($C299="","",IFERROR(INDEX(الموظفون_الاساسي,MATCH($C299,الموظفون_الرقم,0)),0))</f>
        <v/>
      </c>
      <c r="H299" s="42" t="n"/>
      <c r="I299" s="42" t="n"/>
      <c r="J299" s="42" t="n"/>
      <c r="K299" s="42" t="n"/>
      <c r="L299" s="42" t="n"/>
      <c r="M299" s="61" t="n"/>
      <c r="N299" s="42" t="n"/>
      <c r="O299" s="42" t="n"/>
      <c r="P299" s="42" t="n"/>
      <c r="Q299" s="42" t="n"/>
      <c r="R299" s="42" t="n"/>
      <c r="S299" s="60">
        <f>IF($C299="","",SUM($G299:$L299))</f>
        <v/>
      </c>
      <c r="T299" s="60">
        <f>IF($C299="","",SUM($N299:$R299))</f>
        <v/>
      </c>
      <c r="U299" s="60">
        <f>IF($C299="","",$S299-$T299)</f>
        <v/>
      </c>
      <c r="V299" s="40" t="n"/>
      <c r="W299" s="110" t="n"/>
      <c r="X299" s="40" t="n"/>
      <c r="Y299" s="43">
        <f>IF($C299="","",IF(SUMPRODUCT(($C$3:$C$502=$C299)*($A$3:$A$502=$A299)*($B$3:$B$502=$B299))&gt;1,"⚠ مكرر","سليم"))</f>
        <v/>
      </c>
      <c r="Z299">
        <f>IF(AND($C299&lt;&gt;"",$A299=تقرير_الشهر,$B299=تقرير_السنة),SUMPRODUCT(($C$3:$C$502&lt;&gt;"")*($A$3:$A$502=تقرير_الشهر)*($B$3:$B$502=تقرير_السنة)*(ROW($C$3:$C$502)&lt;=ROW())),"")</f>
        <v/>
      </c>
    </row>
    <row r="300">
      <c r="A300" s="47" t="n"/>
      <c r="B300" s="62" t="n"/>
      <c r="C300" s="47" t="n"/>
      <c r="D300" s="50">
        <f>IFERROR(INDEX(الموظفون_الاسم,MATCH($C300,الموظفون_الرقم,0)),"")</f>
        <v/>
      </c>
      <c r="E300" s="50">
        <f>IFERROR(INDEX(الموظفون_الإدارة,MATCH($C300,الموظفون_الرقم,0)),"")</f>
        <v/>
      </c>
      <c r="F300" s="50">
        <f>IFERROR(INDEX(الموظفون_القسم,MATCH($C300,الموظفون_الرقم,0)),"")</f>
        <v/>
      </c>
      <c r="G300" s="63">
        <f>IF($C300="","",IFERROR(INDEX(الموظفون_الاساسي,MATCH($C300,الموظفون_الرقم,0)),0))</f>
        <v/>
      </c>
      <c r="H300" s="49" t="n"/>
      <c r="I300" s="49" t="n"/>
      <c r="J300" s="49" t="n"/>
      <c r="K300" s="49" t="n"/>
      <c r="L300" s="49" t="n"/>
      <c r="M300" s="64" t="n"/>
      <c r="N300" s="49" t="n"/>
      <c r="O300" s="49" t="n"/>
      <c r="P300" s="49" t="n"/>
      <c r="Q300" s="49" t="n"/>
      <c r="R300" s="49" t="n"/>
      <c r="S300" s="63">
        <f>IF($C300="","",SUM($G300:$L300))</f>
        <v/>
      </c>
      <c r="T300" s="63">
        <f>IF($C300="","",SUM($N300:$R300))</f>
        <v/>
      </c>
      <c r="U300" s="63">
        <f>IF($C300="","",$S300-$T300)</f>
        <v/>
      </c>
      <c r="V300" s="47" t="n"/>
      <c r="W300" s="112" t="n"/>
      <c r="X300" s="47" t="n"/>
      <c r="Y300" s="50">
        <f>IF($C300="","",IF(SUMPRODUCT(($C$3:$C$502=$C300)*($A$3:$A$502=$A300)*($B$3:$B$502=$B300))&gt;1,"⚠ مكرر","سليم"))</f>
        <v/>
      </c>
      <c r="Z300">
        <f>IF(AND($C300&lt;&gt;"",$A300=تقرير_الشهر,$B300=تقرير_السنة),SUMPRODUCT(($C$3:$C$502&lt;&gt;"")*($A$3:$A$502=تقرير_الشهر)*($B$3:$B$502=تقرير_السنة)*(ROW($C$3:$C$502)&lt;=ROW())),"")</f>
        <v/>
      </c>
    </row>
    <row r="301">
      <c r="A301" s="40" t="n"/>
      <c r="B301" s="59" t="n"/>
      <c r="C301" s="40" t="n"/>
      <c r="D301" s="43">
        <f>IFERROR(INDEX(الموظفون_الاسم,MATCH($C301,الموظفون_الرقم,0)),"")</f>
        <v/>
      </c>
      <c r="E301" s="43">
        <f>IFERROR(INDEX(الموظفون_الإدارة,MATCH($C301,الموظفون_الرقم,0)),"")</f>
        <v/>
      </c>
      <c r="F301" s="43">
        <f>IFERROR(INDEX(الموظفون_القسم,MATCH($C301,الموظفون_الرقم,0)),"")</f>
        <v/>
      </c>
      <c r="G301" s="60">
        <f>IF($C301="","",IFERROR(INDEX(الموظفون_الاساسي,MATCH($C301,الموظفون_الرقم,0)),0))</f>
        <v/>
      </c>
      <c r="H301" s="42" t="n"/>
      <c r="I301" s="42" t="n"/>
      <c r="J301" s="42" t="n"/>
      <c r="K301" s="42" t="n"/>
      <c r="L301" s="42" t="n"/>
      <c r="M301" s="61" t="n"/>
      <c r="N301" s="42" t="n"/>
      <c r="O301" s="42" t="n"/>
      <c r="P301" s="42" t="n"/>
      <c r="Q301" s="42" t="n"/>
      <c r="R301" s="42" t="n"/>
      <c r="S301" s="60">
        <f>IF($C301="","",SUM($G301:$L301))</f>
        <v/>
      </c>
      <c r="T301" s="60">
        <f>IF($C301="","",SUM($N301:$R301))</f>
        <v/>
      </c>
      <c r="U301" s="60">
        <f>IF($C301="","",$S301-$T301)</f>
        <v/>
      </c>
      <c r="V301" s="40" t="n"/>
      <c r="W301" s="110" t="n"/>
      <c r="X301" s="40" t="n"/>
      <c r="Y301" s="43">
        <f>IF($C301="","",IF(SUMPRODUCT(($C$3:$C$502=$C301)*($A$3:$A$502=$A301)*($B$3:$B$502=$B301))&gt;1,"⚠ مكرر","سليم"))</f>
        <v/>
      </c>
      <c r="Z301">
        <f>IF(AND($C301&lt;&gt;"",$A301=تقرير_الشهر,$B301=تقرير_السنة),SUMPRODUCT(($C$3:$C$502&lt;&gt;"")*($A$3:$A$502=تقرير_الشهر)*($B$3:$B$502=تقرير_السنة)*(ROW($C$3:$C$502)&lt;=ROW())),"")</f>
        <v/>
      </c>
    </row>
    <row r="302">
      <c r="A302" s="47" t="n"/>
      <c r="B302" s="62" t="n"/>
      <c r="C302" s="47" t="n"/>
      <c r="D302" s="50">
        <f>IFERROR(INDEX(الموظفون_الاسم,MATCH($C302,الموظفون_الرقم,0)),"")</f>
        <v/>
      </c>
      <c r="E302" s="50">
        <f>IFERROR(INDEX(الموظفون_الإدارة,MATCH($C302,الموظفون_الرقم,0)),"")</f>
        <v/>
      </c>
      <c r="F302" s="50">
        <f>IFERROR(INDEX(الموظفون_القسم,MATCH($C302,الموظفون_الرقم,0)),"")</f>
        <v/>
      </c>
      <c r="G302" s="63">
        <f>IF($C302="","",IFERROR(INDEX(الموظفون_الاساسي,MATCH($C302,الموظفون_الرقم,0)),0))</f>
        <v/>
      </c>
      <c r="H302" s="49" t="n"/>
      <c r="I302" s="49" t="n"/>
      <c r="J302" s="49" t="n"/>
      <c r="K302" s="49" t="n"/>
      <c r="L302" s="49" t="n"/>
      <c r="M302" s="64" t="n"/>
      <c r="N302" s="49" t="n"/>
      <c r="O302" s="49" t="n"/>
      <c r="P302" s="49" t="n"/>
      <c r="Q302" s="49" t="n"/>
      <c r="R302" s="49" t="n"/>
      <c r="S302" s="63">
        <f>IF($C302="","",SUM($G302:$L302))</f>
        <v/>
      </c>
      <c r="T302" s="63">
        <f>IF($C302="","",SUM($N302:$R302))</f>
        <v/>
      </c>
      <c r="U302" s="63">
        <f>IF($C302="","",$S302-$T302)</f>
        <v/>
      </c>
      <c r="V302" s="47" t="n"/>
      <c r="W302" s="112" t="n"/>
      <c r="X302" s="47" t="n"/>
      <c r="Y302" s="50">
        <f>IF($C302="","",IF(SUMPRODUCT(($C$3:$C$502=$C302)*($A$3:$A$502=$A302)*($B$3:$B$502=$B302))&gt;1,"⚠ مكرر","سليم"))</f>
        <v/>
      </c>
      <c r="Z302">
        <f>IF(AND($C302&lt;&gt;"",$A302=تقرير_الشهر,$B302=تقرير_السنة),SUMPRODUCT(($C$3:$C$502&lt;&gt;"")*($A$3:$A$502=تقرير_الشهر)*($B$3:$B$502=تقرير_السنة)*(ROW($C$3:$C$502)&lt;=ROW())),"")</f>
        <v/>
      </c>
    </row>
    <row r="303">
      <c r="A303" s="40" t="n"/>
      <c r="B303" s="59" t="n"/>
      <c r="C303" s="40" t="n"/>
      <c r="D303" s="43">
        <f>IFERROR(INDEX(الموظفون_الاسم,MATCH($C303,الموظفون_الرقم,0)),"")</f>
        <v/>
      </c>
      <c r="E303" s="43">
        <f>IFERROR(INDEX(الموظفون_الإدارة,MATCH($C303,الموظفون_الرقم,0)),"")</f>
        <v/>
      </c>
      <c r="F303" s="43">
        <f>IFERROR(INDEX(الموظفون_القسم,MATCH($C303,الموظفون_الرقم,0)),"")</f>
        <v/>
      </c>
      <c r="G303" s="60">
        <f>IF($C303="","",IFERROR(INDEX(الموظفون_الاساسي,MATCH($C303,الموظفون_الرقم,0)),0))</f>
        <v/>
      </c>
      <c r="H303" s="42" t="n"/>
      <c r="I303" s="42" t="n"/>
      <c r="J303" s="42" t="n"/>
      <c r="K303" s="42" t="n"/>
      <c r="L303" s="42" t="n"/>
      <c r="M303" s="61" t="n"/>
      <c r="N303" s="42" t="n"/>
      <c r="O303" s="42" t="n"/>
      <c r="P303" s="42" t="n"/>
      <c r="Q303" s="42" t="n"/>
      <c r="R303" s="42" t="n"/>
      <c r="S303" s="60">
        <f>IF($C303="","",SUM($G303:$L303))</f>
        <v/>
      </c>
      <c r="T303" s="60">
        <f>IF($C303="","",SUM($N303:$R303))</f>
        <v/>
      </c>
      <c r="U303" s="60">
        <f>IF($C303="","",$S303-$T303)</f>
        <v/>
      </c>
      <c r="V303" s="40" t="n"/>
      <c r="W303" s="110" t="n"/>
      <c r="X303" s="40" t="n"/>
      <c r="Y303" s="43">
        <f>IF($C303="","",IF(SUMPRODUCT(($C$3:$C$502=$C303)*($A$3:$A$502=$A303)*($B$3:$B$502=$B303))&gt;1,"⚠ مكرر","سليم"))</f>
        <v/>
      </c>
      <c r="Z303">
        <f>IF(AND($C303&lt;&gt;"",$A303=تقرير_الشهر,$B303=تقرير_السنة),SUMPRODUCT(($C$3:$C$502&lt;&gt;"")*($A$3:$A$502=تقرير_الشهر)*($B$3:$B$502=تقرير_السنة)*(ROW($C$3:$C$502)&lt;=ROW())),"")</f>
        <v/>
      </c>
    </row>
    <row r="304">
      <c r="A304" s="47" t="n"/>
      <c r="B304" s="62" t="n"/>
      <c r="C304" s="47" t="n"/>
      <c r="D304" s="50">
        <f>IFERROR(INDEX(الموظفون_الاسم,MATCH($C304,الموظفون_الرقم,0)),"")</f>
        <v/>
      </c>
      <c r="E304" s="50">
        <f>IFERROR(INDEX(الموظفون_الإدارة,MATCH($C304,الموظفون_الرقم,0)),"")</f>
        <v/>
      </c>
      <c r="F304" s="50">
        <f>IFERROR(INDEX(الموظفون_القسم,MATCH($C304,الموظفون_الرقم,0)),"")</f>
        <v/>
      </c>
      <c r="G304" s="63">
        <f>IF($C304="","",IFERROR(INDEX(الموظفون_الاساسي,MATCH($C304,الموظفون_الرقم,0)),0))</f>
        <v/>
      </c>
      <c r="H304" s="49" t="n"/>
      <c r="I304" s="49" t="n"/>
      <c r="J304" s="49" t="n"/>
      <c r="K304" s="49" t="n"/>
      <c r="L304" s="49" t="n"/>
      <c r="M304" s="64" t="n"/>
      <c r="N304" s="49" t="n"/>
      <c r="O304" s="49" t="n"/>
      <c r="P304" s="49" t="n"/>
      <c r="Q304" s="49" t="n"/>
      <c r="R304" s="49" t="n"/>
      <c r="S304" s="63">
        <f>IF($C304="","",SUM($G304:$L304))</f>
        <v/>
      </c>
      <c r="T304" s="63">
        <f>IF($C304="","",SUM($N304:$R304))</f>
        <v/>
      </c>
      <c r="U304" s="63">
        <f>IF($C304="","",$S304-$T304)</f>
        <v/>
      </c>
      <c r="V304" s="47" t="n"/>
      <c r="W304" s="112" t="n"/>
      <c r="X304" s="47" t="n"/>
      <c r="Y304" s="50">
        <f>IF($C304="","",IF(SUMPRODUCT(($C$3:$C$502=$C304)*($A$3:$A$502=$A304)*($B$3:$B$502=$B304))&gt;1,"⚠ مكرر","سليم"))</f>
        <v/>
      </c>
      <c r="Z304">
        <f>IF(AND($C304&lt;&gt;"",$A304=تقرير_الشهر,$B304=تقرير_السنة),SUMPRODUCT(($C$3:$C$502&lt;&gt;"")*($A$3:$A$502=تقرير_الشهر)*($B$3:$B$502=تقرير_السنة)*(ROW($C$3:$C$502)&lt;=ROW())),"")</f>
        <v/>
      </c>
    </row>
    <row r="305">
      <c r="A305" s="40" t="n"/>
      <c r="B305" s="59" t="n"/>
      <c r="C305" s="40" t="n"/>
      <c r="D305" s="43">
        <f>IFERROR(INDEX(الموظفون_الاسم,MATCH($C305,الموظفون_الرقم,0)),"")</f>
        <v/>
      </c>
      <c r="E305" s="43">
        <f>IFERROR(INDEX(الموظفون_الإدارة,MATCH($C305,الموظفون_الرقم,0)),"")</f>
        <v/>
      </c>
      <c r="F305" s="43">
        <f>IFERROR(INDEX(الموظفون_القسم,MATCH($C305,الموظفون_الرقم,0)),"")</f>
        <v/>
      </c>
      <c r="G305" s="60">
        <f>IF($C305="","",IFERROR(INDEX(الموظفون_الاساسي,MATCH($C305,الموظفون_الرقم,0)),0))</f>
        <v/>
      </c>
      <c r="H305" s="42" t="n"/>
      <c r="I305" s="42" t="n"/>
      <c r="J305" s="42" t="n"/>
      <c r="K305" s="42" t="n"/>
      <c r="L305" s="42" t="n"/>
      <c r="M305" s="61" t="n"/>
      <c r="N305" s="42" t="n"/>
      <c r="O305" s="42" t="n"/>
      <c r="P305" s="42" t="n"/>
      <c r="Q305" s="42" t="n"/>
      <c r="R305" s="42" t="n"/>
      <c r="S305" s="60">
        <f>IF($C305="","",SUM($G305:$L305))</f>
        <v/>
      </c>
      <c r="T305" s="60">
        <f>IF($C305="","",SUM($N305:$R305))</f>
        <v/>
      </c>
      <c r="U305" s="60">
        <f>IF($C305="","",$S305-$T305)</f>
        <v/>
      </c>
      <c r="V305" s="40" t="n"/>
      <c r="W305" s="110" t="n"/>
      <c r="X305" s="40" t="n"/>
      <c r="Y305" s="43">
        <f>IF($C305="","",IF(SUMPRODUCT(($C$3:$C$502=$C305)*($A$3:$A$502=$A305)*($B$3:$B$502=$B305))&gt;1,"⚠ مكرر","سليم"))</f>
        <v/>
      </c>
      <c r="Z305">
        <f>IF(AND($C305&lt;&gt;"",$A305=تقرير_الشهر,$B305=تقرير_السنة),SUMPRODUCT(($C$3:$C$502&lt;&gt;"")*($A$3:$A$502=تقرير_الشهر)*($B$3:$B$502=تقرير_السنة)*(ROW($C$3:$C$502)&lt;=ROW())),"")</f>
        <v/>
      </c>
    </row>
    <row r="306">
      <c r="A306" s="47" t="n"/>
      <c r="B306" s="62" t="n"/>
      <c r="C306" s="47" t="n"/>
      <c r="D306" s="50">
        <f>IFERROR(INDEX(الموظفون_الاسم,MATCH($C306,الموظفون_الرقم,0)),"")</f>
        <v/>
      </c>
      <c r="E306" s="50">
        <f>IFERROR(INDEX(الموظفون_الإدارة,MATCH($C306,الموظفون_الرقم,0)),"")</f>
        <v/>
      </c>
      <c r="F306" s="50">
        <f>IFERROR(INDEX(الموظفون_القسم,MATCH($C306,الموظفون_الرقم,0)),"")</f>
        <v/>
      </c>
      <c r="G306" s="63">
        <f>IF($C306="","",IFERROR(INDEX(الموظفون_الاساسي,MATCH($C306,الموظفون_الرقم,0)),0))</f>
        <v/>
      </c>
      <c r="H306" s="49" t="n"/>
      <c r="I306" s="49" t="n"/>
      <c r="J306" s="49" t="n"/>
      <c r="K306" s="49" t="n"/>
      <c r="L306" s="49" t="n"/>
      <c r="M306" s="64" t="n"/>
      <c r="N306" s="49" t="n"/>
      <c r="O306" s="49" t="n"/>
      <c r="P306" s="49" t="n"/>
      <c r="Q306" s="49" t="n"/>
      <c r="R306" s="49" t="n"/>
      <c r="S306" s="63">
        <f>IF($C306="","",SUM($G306:$L306))</f>
        <v/>
      </c>
      <c r="T306" s="63">
        <f>IF($C306="","",SUM($N306:$R306))</f>
        <v/>
      </c>
      <c r="U306" s="63">
        <f>IF($C306="","",$S306-$T306)</f>
        <v/>
      </c>
      <c r="V306" s="47" t="n"/>
      <c r="W306" s="112" t="n"/>
      <c r="X306" s="47" t="n"/>
      <c r="Y306" s="50">
        <f>IF($C306="","",IF(SUMPRODUCT(($C$3:$C$502=$C306)*($A$3:$A$502=$A306)*($B$3:$B$502=$B306))&gt;1,"⚠ مكرر","سليم"))</f>
        <v/>
      </c>
      <c r="Z306">
        <f>IF(AND($C306&lt;&gt;"",$A306=تقرير_الشهر,$B306=تقرير_السنة),SUMPRODUCT(($C$3:$C$502&lt;&gt;"")*($A$3:$A$502=تقرير_الشهر)*($B$3:$B$502=تقرير_السنة)*(ROW($C$3:$C$502)&lt;=ROW())),"")</f>
        <v/>
      </c>
    </row>
    <row r="307">
      <c r="A307" s="40" t="n"/>
      <c r="B307" s="59" t="n"/>
      <c r="C307" s="40" t="n"/>
      <c r="D307" s="43">
        <f>IFERROR(INDEX(الموظفون_الاسم,MATCH($C307,الموظفون_الرقم,0)),"")</f>
        <v/>
      </c>
      <c r="E307" s="43">
        <f>IFERROR(INDEX(الموظفون_الإدارة,MATCH($C307,الموظفون_الرقم,0)),"")</f>
        <v/>
      </c>
      <c r="F307" s="43">
        <f>IFERROR(INDEX(الموظفون_القسم,MATCH($C307,الموظفون_الرقم,0)),"")</f>
        <v/>
      </c>
      <c r="G307" s="60">
        <f>IF($C307="","",IFERROR(INDEX(الموظفون_الاساسي,MATCH($C307,الموظفون_الرقم,0)),0))</f>
        <v/>
      </c>
      <c r="H307" s="42" t="n"/>
      <c r="I307" s="42" t="n"/>
      <c r="J307" s="42" t="n"/>
      <c r="K307" s="42" t="n"/>
      <c r="L307" s="42" t="n"/>
      <c r="M307" s="61" t="n"/>
      <c r="N307" s="42" t="n"/>
      <c r="O307" s="42" t="n"/>
      <c r="P307" s="42" t="n"/>
      <c r="Q307" s="42" t="n"/>
      <c r="R307" s="42" t="n"/>
      <c r="S307" s="60">
        <f>IF($C307="","",SUM($G307:$L307))</f>
        <v/>
      </c>
      <c r="T307" s="60">
        <f>IF($C307="","",SUM($N307:$R307))</f>
        <v/>
      </c>
      <c r="U307" s="60">
        <f>IF($C307="","",$S307-$T307)</f>
        <v/>
      </c>
      <c r="V307" s="40" t="n"/>
      <c r="W307" s="110" t="n"/>
      <c r="X307" s="40" t="n"/>
      <c r="Y307" s="43">
        <f>IF($C307="","",IF(SUMPRODUCT(($C$3:$C$502=$C307)*($A$3:$A$502=$A307)*($B$3:$B$502=$B307))&gt;1,"⚠ مكرر","سليم"))</f>
        <v/>
      </c>
      <c r="Z307">
        <f>IF(AND($C307&lt;&gt;"",$A307=تقرير_الشهر,$B307=تقرير_السنة),SUMPRODUCT(($C$3:$C$502&lt;&gt;"")*($A$3:$A$502=تقرير_الشهر)*($B$3:$B$502=تقرير_السنة)*(ROW($C$3:$C$502)&lt;=ROW())),"")</f>
        <v/>
      </c>
    </row>
    <row r="308">
      <c r="A308" s="47" t="n"/>
      <c r="B308" s="62" t="n"/>
      <c r="C308" s="47" t="n"/>
      <c r="D308" s="50">
        <f>IFERROR(INDEX(الموظفون_الاسم,MATCH($C308,الموظفون_الرقم,0)),"")</f>
        <v/>
      </c>
      <c r="E308" s="50">
        <f>IFERROR(INDEX(الموظفون_الإدارة,MATCH($C308,الموظفون_الرقم,0)),"")</f>
        <v/>
      </c>
      <c r="F308" s="50">
        <f>IFERROR(INDEX(الموظفون_القسم,MATCH($C308,الموظفون_الرقم,0)),"")</f>
        <v/>
      </c>
      <c r="G308" s="63">
        <f>IF($C308="","",IFERROR(INDEX(الموظفون_الاساسي,MATCH($C308,الموظفون_الرقم,0)),0))</f>
        <v/>
      </c>
      <c r="H308" s="49" t="n"/>
      <c r="I308" s="49" t="n"/>
      <c r="J308" s="49" t="n"/>
      <c r="K308" s="49" t="n"/>
      <c r="L308" s="49" t="n"/>
      <c r="M308" s="64" t="n"/>
      <c r="N308" s="49" t="n"/>
      <c r="O308" s="49" t="n"/>
      <c r="P308" s="49" t="n"/>
      <c r="Q308" s="49" t="n"/>
      <c r="R308" s="49" t="n"/>
      <c r="S308" s="63">
        <f>IF($C308="","",SUM($G308:$L308))</f>
        <v/>
      </c>
      <c r="T308" s="63">
        <f>IF($C308="","",SUM($N308:$R308))</f>
        <v/>
      </c>
      <c r="U308" s="63">
        <f>IF($C308="","",$S308-$T308)</f>
        <v/>
      </c>
      <c r="V308" s="47" t="n"/>
      <c r="W308" s="112" t="n"/>
      <c r="X308" s="47" t="n"/>
      <c r="Y308" s="50">
        <f>IF($C308="","",IF(SUMPRODUCT(($C$3:$C$502=$C308)*($A$3:$A$502=$A308)*($B$3:$B$502=$B308))&gt;1,"⚠ مكرر","سليم"))</f>
        <v/>
      </c>
      <c r="Z308">
        <f>IF(AND($C308&lt;&gt;"",$A308=تقرير_الشهر,$B308=تقرير_السنة),SUMPRODUCT(($C$3:$C$502&lt;&gt;"")*($A$3:$A$502=تقرير_الشهر)*($B$3:$B$502=تقرير_السنة)*(ROW($C$3:$C$502)&lt;=ROW())),"")</f>
        <v/>
      </c>
    </row>
    <row r="309">
      <c r="A309" s="40" t="n"/>
      <c r="B309" s="59" t="n"/>
      <c r="C309" s="40" t="n"/>
      <c r="D309" s="43">
        <f>IFERROR(INDEX(الموظفون_الاسم,MATCH($C309,الموظفون_الرقم,0)),"")</f>
        <v/>
      </c>
      <c r="E309" s="43">
        <f>IFERROR(INDEX(الموظفون_الإدارة,MATCH($C309,الموظفون_الرقم,0)),"")</f>
        <v/>
      </c>
      <c r="F309" s="43">
        <f>IFERROR(INDEX(الموظفون_القسم,MATCH($C309,الموظفون_الرقم,0)),"")</f>
        <v/>
      </c>
      <c r="G309" s="60">
        <f>IF($C309="","",IFERROR(INDEX(الموظفون_الاساسي,MATCH($C309,الموظفون_الرقم,0)),0))</f>
        <v/>
      </c>
      <c r="H309" s="42" t="n"/>
      <c r="I309" s="42" t="n"/>
      <c r="J309" s="42" t="n"/>
      <c r="K309" s="42" t="n"/>
      <c r="L309" s="42" t="n"/>
      <c r="M309" s="61" t="n"/>
      <c r="N309" s="42" t="n"/>
      <c r="O309" s="42" t="n"/>
      <c r="P309" s="42" t="n"/>
      <c r="Q309" s="42" t="n"/>
      <c r="R309" s="42" t="n"/>
      <c r="S309" s="60">
        <f>IF($C309="","",SUM($G309:$L309))</f>
        <v/>
      </c>
      <c r="T309" s="60">
        <f>IF($C309="","",SUM($N309:$R309))</f>
        <v/>
      </c>
      <c r="U309" s="60">
        <f>IF($C309="","",$S309-$T309)</f>
        <v/>
      </c>
      <c r="V309" s="40" t="n"/>
      <c r="W309" s="110" t="n"/>
      <c r="X309" s="40" t="n"/>
      <c r="Y309" s="43">
        <f>IF($C309="","",IF(SUMPRODUCT(($C$3:$C$502=$C309)*($A$3:$A$502=$A309)*($B$3:$B$502=$B309))&gt;1,"⚠ مكرر","سليم"))</f>
        <v/>
      </c>
      <c r="Z309">
        <f>IF(AND($C309&lt;&gt;"",$A309=تقرير_الشهر,$B309=تقرير_السنة),SUMPRODUCT(($C$3:$C$502&lt;&gt;"")*($A$3:$A$502=تقرير_الشهر)*($B$3:$B$502=تقرير_السنة)*(ROW($C$3:$C$502)&lt;=ROW())),"")</f>
        <v/>
      </c>
    </row>
    <row r="310">
      <c r="A310" s="47" t="n"/>
      <c r="B310" s="62" t="n"/>
      <c r="C310" s="47" t="n"/>
      <c r="D310" s="50">
        <f>IFERROR(INDEX(الموظفون_الاسم,MATCH($C310,الموظفون_الرقم,0)),"")</f>
        <v/>
      </c>
      <c r="E310" s="50">
        <f>IFERROR(INDEX(الموظفون_الإدارة,MATCH($C310,الموظفون_الرقم,0)),"")</f>
        <v/>
      </c>
      <c r="F310" s="50">
        <f>IFERROR(INDEX(الموظفون_القسم,MATCH($C310,الموظفون_الرقم,0)),"")</f>
        <v/>
      </c>
      <c r="G310" s="63">
        <f>IF($C310="","",IFERROR(INDEX(الموظفون_الاساسي,MATCH($C310,الموظفون_الرقم,0)),0))</f>
        <v/>
      </c>
      <c r="H310" s="49" t="n"/>
      <c r="I310" s="49" t="n"/>
      <c r="J310" s="49" t="n"/>
      <c r="K310" s="49" t="n"/>
      <c r="L310" s="49" t="n"/>
      <c r="M310" s="64" t="n"/>
      <c r="N310" s="49" t="n"/>
      <c r="O310" s="49" t="n"/>
      <c r="P310" s="49" t="n"/>
      <c r="Q310" s="49" t="n"/>
      <c r="R310" s="49" t="n"/>
      <c r="S310" s="63">
        <f>IF($C310="","",SUM($G310:$L310))</f>
        <v/>
      </c>
      <c r="T310" s="63">
        <f>IF($C310="","",SUM($N310:$R310))</f>
        <v/>
      </c>
      <c r="U310" s="63">
        <f>IF($C310="","",$S310-$T310)</f>
        <v/>
      </c>
      <c r="V310" s="47" t="n"/>
      <c r="W310" s="112" t="n"/>
      <c r="X310" s="47" t="n"/>
      <c r="Y310" s="50">
        <f>IF($C310="","",IF(SUMPRODUCT(($C$3:$C$502=$C310)*($A$3:$A$502=$A310)*($B$3:$B$502=$B310))&gt;1,"⚠ مكرر","سليم"))</f>
        <v/>
      </c>
      <c r="Z310">
        <f>IF(AND($C310&lt;&gt;"",$A310=تقرير_الشهر,$B310=تقرير_السنة),SUMPRODUCT(($C$3:$C$502&lt;&gt;"")*($A$3:$A$502=تقرير_الشهر)*($B$3:$B$502=تقرير_السنة)*(ROW($C$3:$C$502)&lt;=ROW())),"")</f>
        <v/>
      </c>
    </row>
    <row r="311">
      <c r="A311" s="40" t="n"/>
      <c r="B311" s="59" t="n"/>
      <c r="C311" s="40" t="n"/>
      <c r="D311" s="43">
        <f>IFERROR(INDEX(الموظفون_الاسم,MATCH($C311,الموظفون_الرقم,0)),"")</f>
        <v/>
      </c>
      <c r="E311" s="43">
        <f>IFERROR(INDEX(الموظفون_الإدارة,MATCH($C311,الموظفون_الرقم,0)),"")</f>
        <v/>
      </c>
      <c r="F311" s="43">
        <f>IFERROR(INDEX(الموظفون_القسم,MATCH($C311,الموظفون_الرقم,0)),"")</f>
        <v/>
      </c>
      <c r="G311" s="60">
        <f>IF($C311="","",IFERROR(INDEX(الموظفون_الاساسي,MATCH($C311,الموظفون_الرقم,0)),0))</f>
        <v/>
      </c>
      <c r="H311" s="42" t="n"/>
      <c r="I311" s="42" t="n"/>
      <c r="J311" s="42" t="n"/>
      <c r="K311" s="42" t="n"/>
      <c r="L311" s="42" t="n"/>
      <c r="M311" s="61" t="n"/>
      <c r="N311" s="42" t="n"/>
      <c r="O311" s="42" t="n"/>
      <c r="P311" s="42" t="n"/>
      <c r="Q311" s="42" t="n"/>
      <c r="R311" s="42" t="n"/>
      <c r="S311" s="60">
        <f>IF($C311="","",SUM($G311:$L311))</f>
        <v/>
      </c>
      <c r="T311" s="60">
        <f>IF($C311="","",SUM($N311:$R311))</f>
        <v/>
      </c>
      <c r="U311" s="60">
        <f>IF($C311="","",$S311-$T311)</f>
        <v/>
      </c>
      <c r="V311" s="40" t="n"/>
      <c r="W311" s="110" t="n"/>
      <c r="X311" s="40" t="n"/>
      <c r="Y311" s="43">
        <f>IF($C311="","",IF(SUMPRODUCT(($C$3:$C$502=$C311)*($A$3:$A$502=$A311)*($B$3:$B$502=$B311))&gt;1,"⚠ مكرر","سليم"))</f>
        <v/>
      </c>
      <c r="Z311">
        <f>IF(AND($C311&lt;&gt;"",$A311=تقرير_الشهر,$B311=تقرير_السنة),SUMPRODUCT(($C$3:$C$502&lt;&gt;"")*($A$3:$A$502=تقرير_الشهر)*($B$3:$B$502=تقرير_السنة)*(ROW($C$3:$C$502)&lt;=ROW())),"")</f>
        <v/>
      </c>
    </row>
    <row r="312">
      <c r="A312" s="47" t="n"/>
      <c r="B312" s="62" t="n"/>
      <c r="C312" s="47" t="n"/>
      <c r="D312" s="50">
        <f>IFERROR(INDEX(الموظفون_الاسم,MATCH($C312,الموظفون_الرقم,0)),"")</f>
        <v/>
      </c>
      <c r="E312" s="50">
        <f>IFERROR(INDEX(الموظفون_الإدارة,MATCH($C312,الموظفون_الرقم,0)),"")</f>
        <v/>
      </c>
      <c r="F312" s="50">
        <f>IFERROR(INDEX(الموظفون_القسم,MATCH($C312,الموظفون_الرقم,0)),"")</f>
        <v/>
      </c>
      <c r="G312" s="63">
        <f>IF($C312="","",IFERROR(INDEX(الموظفون_الاساسي,MATCH($C312,الموظفون_الرقم,0)),0))</f>
        <v/>
      </c>
      <c r="H312" s="49" t="n"/>
      <c r="I312" s="49" t="n"/>
      <c r="J312" s="49" t="n"/>
      <c r="K312" s="49" t="n"/>
      <c r="L312" s="49" t="n"/>
      <c r="M312" s="64" t="n"/>
      <c r="N312" s="49" t="n"/>
      <c r="O312" s="49" t="n"/>
      <c r="P312" s="49" t="n"/>
      <c r="Q312" s="49" t="n"/>
      <c r="R312" s="49" t="n"/>
      <c r="S312" s="63">
        <f>IF($C312="","",SUM($G312:$L312))</f>
        <v/>
      </c>
      <c r="T312" s="63">
        <f>IF($C312="","",SUM($N312:$R312))</f>
        <v/>
      </c>
      <c r="U312" s="63">
        <f>IF($C312="","",$S312-$T312)</f>
        <v/>
      </c>
      <c r="V312" s="47" t="n"/>
      <c r="W312" s="112" t="n"/>
      <c r="X312" s="47" t="n"/>
      <c r="Y312" s="50">
        <f>IF($C312="","",IF(SUMPRODUCT(($C$3:$C$502=$C312)*($A$3:$A$502=$A312)*($B$3:$B$502=$B312))&gt;1,"⚠ مكرر","سليم"))</f>
        <v/>
      </c>
      <c r="Z312">
        <f>IF(AND($C312&lt;&gt;"",$A312=تقرير_الشهر,$B312=تقرير_السنة),SUMPRODUCT(($C$3:$C$502&lt;&gt;"")*($A$3:$A$502=تقرير_الشهر)*($B$3:$B$502=تقرير_السنة)*(ROW($C$3:$C$502)&lt;=ROW())),"")</f>
        <v/>
      </c>
    </row>
    <row r="313">
      <c r="A313" s="40" t="n"/>
      <c r="B313" s="59" t="n"/>
      <c r="C313" s="40" t="n"/>
      <c r="D313" s="43">
        <f>IFERROR(INDEX(الموظفون_الاسم,MATCH($C313,الموظفون_الرقم,0)),"")</f>
        <v/>
      </c>
      <c r="E313" s="43">
        <f>IFERROR(INDEX(الموظفون_الإدارة,MATCH($C313,الموظفون_الرقم,0)),"")</f>
        <v/>
      </c>
      <c r="F313" s="43">
        <f>IFERROR(INDEX(الموظفون_القسم,MATCH($C313,الموظفون_الرقم,0)),"")</f>
        <v/>
      </c>
      <c r="G313" s="60">
        <f>IF($C313="","",IFERROR(INDEX(الموظفون_الاساسي,MATCH($C313,الموظفون_الرقم,0)),0))</f>
        <v/>
      </c>
      <c r="H313" s="42" t="n"/>
      <c r="I313" s="42" t="n"/>
      <c r="J313" s="42" t="n"/>
      <c r="K313" s="42" t="n"/>
      <c r="L313" s="42" t="n"/>
      <c r="M313" s="61" t="n"/>
      <c r="N313" s="42" t="n"/>
      <c r="O313" s="42" t="n"/>
      <c r="P313" s="42" t="n"/>
      <c r="Q313" s="42" t="n"/>
      <c r="R313" s="42" t="n"/>
      <c r="S313" s="60">
        <f>IF($C313="","",SUM($G313:$L313))</f>
        <v/>
      </c>
      <c r="T313" s="60">
        <f>IF($C313="","",SUM($N313:$R313))</f>
        <v/>
      </c>
      <c r="U313" s="60">
        <f>IF($C313="","",$S313-$T313)</f>
        <v/>
      </c>
      <c r="V313" s="40" t="n"/>
      <c r="W313" s="110" t="n"/>
      <c r="X313" s="40" t="n"/>
      <c r="Y313" s="43">
        <f>IF($C313="","",IF(SUMPRODUCT(($C$3:$C$502=$C313)*($A$3:$A$502=$A313)*($B$3:$B$502=$B313))&gt;1,"⚠ مكرر","سليم"))</f>
        <v/>
      </c>
      <c r="Z313">
        <f>IF(AND($C313&lt;&gt;"",$A313=تقرير_الشهر,$B313=تقرير_السنة),SUMPRODUCT(($C$3:$C$502&lt;&gt;"")*($A$3:$A$502=تقرير_الشهر)*($B$3:$B$502=تقرير_السنة)*(ROW($C$3:$C$502)&lt;=ROW())),"")</f>
        <v/>
      </c>
    </row>
    <row r="314">
      <c r="A314" s="47" t="n"/>
      <c r="B314" s="62" t="n"/>
      <c r="C314" s="47" t="n"/>
      <c r="D314" s="50">
        <f>IFERROR(INDEX(الموظفون_الاسم,MATCH($C314,الموظفون_الرقم,0)),"")</f>
        <v/>
      </c>
      <c r="E314" s="50">
        <f>IFERROR(INDEX(الموظفون_الإدارة,MATCH($C314,الموظفون_الرقم,0)),"")</f>
        <v/>
      </c>
      <c r="F314" s="50">
        <f>IFERROR(INDEX(الموظفون_القسم,MATCH($C314,الموظفون_الرقم,0)),"")</f>
        <v/>
      </c>
      <c r="G314" s="63">
        <f>IF($C314="","",IFERROR(INDEX(الموظفون_الاساسي,MATCH($C314,الموظفون_الرقم,0)),0))</f>
        <v/>
      </c>
      <c r="H314" s="49" t="n"/>
      <c r="I314" s="49" t="n"/>
      <c r="J314" s="49" t="n"/>
      <c r="K314" s="49" t="n"/>
      <c r="L314" s="49" t="n"/>
      <c r="M314" s="64" t="n"/>
      <c r="N314" s="49" t="n"/>
      <c r="O314" s="49" t="n"/>
      <c r="P314" s="49" t="n"/>
      <c r="Q314" s="49" t="n"/>
      <c r="R314" s="49" t="n"/>
      <c r="S314" s="63">
        <f>IF($C314="","",SUM($G314:$L314))</f>
        <v/>
      </c>
      <c r="T314" s="63">
        <f>IF($C314="","",SUM($N314:$R314))</f>
        <v/>
      </c>
      <c r="U314" s="63">
        <f>IF($C314="","",$S314-$T314)</f>
        <v/>
      </c>
      <c r="V314" s="47" t="n"/>
      <c r="W314" s="112" t="n"/>
      <c r="X314" s="47" t="n"/>
      <c r="Y314" s="50">
        <f>IF($C314="","",IF(SUMPRODUCT(($C$3:$C$502=$C314)*($A$3:$A$502=$A314)*($B$3:$B$502=$B314))&gt;1,"⚠ مكرر","سليم"))</f>
        <v/>
      </c>
      <c r="Z314">
        <f>IF(AND($C314&lt;&gt;"",$A314=تقرير_الشهر,$B314=تقرير_السنة),SUMPRODUCT(($C$3:$C$502&lt;&gt;"")*($A$3:$A$502=تقرير_الشهر)*($B$3:$B$502=تقرير_السنة)*(ROW($C$3:$C$502)&lt;=ROW())),"")</f>
        <v/>
      </c>
    </row>
    <row r="315">
      <c r="A315" s="40" t="n"/>
      <c r="B315" s="59" t="n"/>
      <c r="C315" s="40" t="n"/>
      <c r="D315" s="43">
        <f>IFERROR(INDEX(الموظفون_الاسم,MATCH($C315,الموظفون_الرقم,0)),"")</f>
        <v/>
      </c>
      <c r="E315" s="43">
        <f>IFERROR(INDEX(الموظفون_الإدارة,MATCH($C315,الموظفون_الرقم,0)),"")</f>
        <v/>
      </c>
      <c r="F315" s="43">
        <f>IFERROR(INDEX(الموظفون_القسم,MATCH($C315,الموظفون_الرقم,0)),"")</f>
        <v/>
      </c>
      <c r="G315" s="60">
        <f>IF($C315="","",IFERROR(INDEX(الموظفون_الاساسي,MATCH($C315,الموظفون_الرقم,0)),0))</f>
        <v/>
      </c>
      <c r="H315" s="42" t="n"/>
      <c r="I315" s="42" t="n"/>
      <c r="J315" s="42" t="n"/>
      <c r="K315" s="42" t="n"/>
      <c r="L315" s="42" t="n"/>
      <c r="M315" s="61" t="n"/>
      <c r="N315" s="42" t="n"/>
      <c r="O315" s="42" t="n"/>
      <c r="P315" s="42" t="n"/>
      <c r="Q315" s="42" t="n"/>
      <c r="R315" s="42" t="n"/>
      <c r="S315" s="60">
        <f>IF($C315="","",SUM($G315:$L315))</f>
        <v/>
      </c>
      <c r="T315" s="60">
        <f>IF($C315="","",SUM($N315:$R315))</f>
        <v/>
      </c>
      <c r="U315" s="60">
        <f>IF($C315="","",$S315-$T315)</f>
        <v/>
      </c>
      <c r="V315" s="40" t="n"/>
      <c r="W315" s="110" t="n"/>
      <c r="X315" s="40" t="n"/>
      <c r="Y315" s="43">
        <f>IF($C315="","",IF(SUMPRODUCT(($C$3:$C$502=$C315)*($A$3:$A$502=$A315)*($B$3:$B$502=$B315))&gt;1,"⚠ مكرر","سليم"))</f>
        <v/>
      </c>
      <c r="Z315">
        <f>IF(AND($C315&lt;&gt;"",$A315=تقرير_الشهر,$B315=تقرير_السنة),SUMPRODUCT(($C$3:$C$502&lt;&gt;"")*($A$3:$A$502=تقرير_الشهر)*($B$3:$B$502=تقرير_السنة)*(ROW($C$3:$C$502)&lt;=ROW())),"")</f>
        <v/>
      </c>
    </row>
    <row r="316">
      <c r="A316" s="47" t="n"/>
      <c r="B316" s="62" t="n"/>
      <c r="C316" s="47" t="n"/>
      <c r="D316" s="50">
        <f>IFERROR(INDEX(الموظفون_الاسم,MATCH($C316,الموظفون_الرقم,0)),"")</f>
        <v/>
      </c>
      <c r="E316" s="50">
        <f>IFERROR(INDEX(الموظفون_الإدارة,MATCH($C316,الموظفون_الرقم,0)),"")</f>
        <v/>
      </c>
      <c r="F316" s="50">
        <f>IFERROR(INDEX(الموظفون_القسم,MATCH($C316,الموظفون_الرقم,0)),"")</f>
        <v/>
      </c>
      <c r="G316" s="63">
        <f>IF($C316="","",IFERROR(INDEX(الموظفون_الاساسي,MATCH($C316,الموظفون_الرقم,0)),0))</f>
        <v/>
      </c>
      <c r="H316" s="49" t="n"/>
      <c r="I316" s="49" t="n"/>
      <c r="J316" s="49" t="n"/>
      <c r="K316" s="49" t="n"/>
      <c r="L316" s="49" t="n"/>
      <c r="M316" s="64" t="n"/>
      <c r="N316" s="49" t="n"/>
      <c r="O316" s="49" t="n"/>
      <c r="P316" s="49" t="n"/>
      <c r="Q316" s="49" t="n"/>
      <c r="R316" s="49" t="n"/>
      <c r="S316" s="63">
        <f>IF($C316="","",SUM($G316:$L316))</f>
        <v/>
      </c>
      <c r="T316" s="63">
        <f>IF($C316="","",SUM($N316:$R316))</f>
        <v/>
      </c>
      <c r="U316" s="63">
        <f>IF($C316="","",$S316-$T316)</f>
        <v/>
      </c>
      <c r="V316" s="47" t="n"/>
      <c r="W316" s="112" t="n"/>
      <c r="X316" s="47" t="n"/>
      <c r="Y316" s="50">
        <f>IF($C316="","",IF(SUMPRODUCT(($C$3:$C$502=$C316)*($A$3:$A$502=$A316)*($B$3:$B$502=$B316))&gt;1,"⚠ مكرر","سليم"))</f>
        <v/>
      </c>
      <c r="Z316">
        <f>IF(AND($C316&lt;&gt;"",$A316=تقرير_الشهر,$B316=تقرير_السنة),SUMPRODUCT(($C$3:$C$502&lt;&gt;"")*($A$3:$A$502=تقرير_الشهر)*($B$3:$B$502=تقرير_السنة)*(ROW($C$3:$C$502)&lt;=ROW())),"")</f>
        <v/>
      </c>
    </row>
    <row r="317">
      <c r="A317" s="40" t="n"/>
      <c r="B317" s="59" t="n"/>
      <c r="C317" s="40" t="n"/>
      <c r="D317" s="43">
        <f>IFERROR(INDEX(الموظفون_الاسم,MATCH($C317,الموظفون_الرقم,0)),"")</f>
        <v/>
      </c>
      <c r="E317" s="43">
        <f>IFERROR(INDEX(الموظفون_الإدارة,MATCH($C317,الموظفون_الرقم,0)),"")</f>
        <v/>
      </c>
      <c r="F317" s="43">
        <f>IFERROR(INDEX(الموظفون_القسم,MATCH($C317,الموظفون_الرقم,0)),"")</f>
        <v/>
      </c>
      <c r="G317" s="60">
        <f>IF($C317="","",IFERROR(INDEX(الموظفون_الاساسي,MATCH($C317,الموظفون_الرقم,0)),0))</f>
        <v/>
      </c>
      <c r="H317" s="42" t="n"/>
      <c r="I317" s="42" t="n"/>
      <c r="J317" s="42" t="n"/>
      <c r="K317" s="42" t="n"/>
      <c r="L317" s="42" t="n"/>
      <c r="M317" s="61" t="n"/>
      <c r="N317" s="42" t="n"/>
      <c r="O317" s="42" t="n"/>
      <c r="P317" s="42" t="n"/>
      <c r="Q317" s="42" t="n"/>
      <c r="R317" s="42" t="n"/>
      <c r="S317" s="60">
        <f>IF($C317="","",SUM($G317:$L317))</f>
        <v/>
      </c>
      <c r="T317" s="60">
        <f>IF($C317="","",SUM($N317:$R317))</f>
        <v/>
      </c>
      <c r="U317" s="60">
        <f>IF($C317="","",$S317-$T317)</f>
        <v/>
      </c>
      <c r="V317" s="40" t="n"/>
      <c r="W317" s="110" t="n"/>
      <c r="X317" s="40" t="n"/>
      <c r="Y317" s="43">
        <f>IF($C317="","",IF(SUMPRODUCT(($C$3:$C$502=$C317)*($A$3:$A$502=$A317)*($B$3:$B$502=$B317))&gt;1,"⚠ مكرر","سليم"))</f>
        <v/>
      </c>
      <c r="Z317">
        <f>IF(AND($C317&lt;&gt;"",$A317=تقرير_الشهر,$B317=تقرير_السنة),SUMPRODUCT(($C$3:$C$502&lt;&gt;"")*($A$3:$A$502=تقرير_الشهر)*($B$3:$B$502=تقرير_السنة)*(ROW($C$3:$C$502)&lt;=ROW())),"")</f>
        <v/>
      </c>
    </row>
    <row r="318">
      <c r="A318" s="47" t="n"/>
      <c r="B318" s="62" t="n"/>
      <c r="C318" s="47" t="n"/>
      <c r="D318" s="50">
        <f>IFERROR(INDEX(الموظفون_الاسم,MATCH($C318,الموظفون_الرقم,0)),"")</f>
        <v/>
      </c>
      <c r="E318" s="50">
        <f>IFERROR(INDEX(الموظفون_الإدارة,MATCH($C318,الموظفون_الرقم,0)),"")</f>
        <v/>
      </c>
      <c r="F318" s="50">
        <f>IFERROR(INDEX(الموظفون_القسم,MATCH($C318,الموظفون_الرقم,0)),"")</f>
        <v/>
      </c>
      <c r="G318" s="63">
        <f>IF($C318="","",IFERROR(INDEX(الموظفون_الاساسي,MATCH($C318,الموظفون_الرقم,0)),0))</f>
        <v/>
      </c>
      <c r="H318" s="49" t="n"/>
      <c r="I318" s="49" t="n"/>
      <c r="J318" s="49" t="n"/>
      <c r="K318" s="49" t="n"/>
      <c r="L318" s="49" t="n"/>
      <c r="M318" s="64" t="n"/>
      <c r="N318" s="49" t="n"/>
      <c r="O318" s="49" t="n"/>
      <c r="P318" s="49" t="n"/>
      <c r="Q318" s="49" t="n"/>
      <c r="R318" s="49" t="n"/>
      <c r="S318" s="63">
        <f>IF($C318="","",SUM($G318:$L318))</f>
        <v/>
      </c>
      <c r="T318" s="63">
        <f>IF($C318="","",SUM($N318:$R318))</f>
        <v/>
      </c>
      <c r="U318" s="63">
        <f>IF($C318="","",$S318-$T318)</f>
        <v/>
      </c>
      <c r="V318" s="47" t="n"/>
      <c r="W318" s="112" t="n"/>
      <c r="X318" s="47" t="n"/>
      <c r="Y318" s="50">
        <f>IF($C318="","",IF(SUMPRODUCT(($C$3:$C$502=$C318)*($A$3:$A$502=$A318)*($B$3:$B$502=$B318))&gt;1,"⚠ مكرر","سليم"))</f>
        <v/>
      </c>
      <c r="Z318">
        <f>IF(AND($C318&lt;&gt;"",$A318=تقرير_الشهر,$B318=تقرير_السنة),SUMPRODUCT(($C$3:$C$502&lt;&gt;"")*($A$3:$A$502=تقرير_الشهر)*($B$3:$B$502=تقرير_السنة)*(ROW($C$3:$C$502)&lt;=ROW())),"")</f>
        <v/>
      </c>
    </row>
    <row r="319">
      <c r="A319" s="40" t="n"/>
      <c r="B319" s="59" t="n"/>
      <c r="C319" s="40" t="n"/>
      <c r="D319" s="43">
        <f>IFERROR(INDEX(الموظفون_الاسم,MATCH($C319,الموظفون_الرقم,0)),"")</f>
        <v/>
      </c>
      <c r="E319" s="43">
        <f>IFERROR(INDEX(الموظفون_الإدارة,MATCH($C319,الموظفون_الرقم,0)),"")</f>
        <v/>
      </c>
      <c r="F319" s="43">
        <f>IFERROR(INDEX(الموظفون_القسم,MATCH($C319,الموظفون_الرقم,0)),"")</f>
        <v/>
      </c>
      <c r="G319" s="60">
        <f>IF($C319="","",IFERROR(INDEX(الموظفون_الاساسي,MATCH($C319,الموظفون_الرقم,0)),0))</f>
        <v/>
      </c>
      <c r="H319" s="42" t="n"/>
      <c r="I319" s="42" t="n"/>
      <c r="J319" s="42" t="n"/>
      <c r="K319" s="42" t="n"/>
      <c r="L319" s="42" t="n"/>
      <c r="M319" s="61" t="n"/>
      <c r="N319" s="42" t="n"/>
      <c r="O319" s="42" t="n"/>
      <c r="P319" s="42" t="n"/>
      <c r="Q319" s="42" t="n"/>
      <c r="R319" s="42" t="n"/>
      <c r="S319" s="60">
        <f>IF($C319="","",SUM($G319:$L319))</f>
        <v/>
      </c>
      <c r="T319" s="60">
        <f>IF($C319="","",SUM($N319:$R319))</f>
        <v/>
      </c>
      <c r="U319" s="60">
        <f>IF($C319="","",$S319-$T319)</f>
        <v/>
      </c>
      <c r="V319" s="40" t="n"/>
      <c r="W319" s="110" t="n"/>
      <c r="X319" s="40" t="n"/>
      <c r="Y319" s="43">
        <f>IF($C319="","",IF(SUMPRODUCT(($C$3:$C$502=$C319)*($A$3:$A$502=$A319)*($B$3:$B$502=$B319))&gt;1,"⚠ مكرر","سليم"))</f>
        <v/>
      </c>
      <c r="Z319">
        <f>IF(AND($C319&lt;&gt;"",$A319=تقرير_الشهر,$B319=تقرير_السنة),SUMPRODUCT(($C$3:$C$502&lt;&gt;"")*($A$3:$A$502=تقرير_الشهر)*($B$3:$B$502=تقرير_السنة)*(ROW($C$3:$C$502)&lt;=ROW())),"")</f>
        <v/>
      </c>
    </row>
    <row r="320">
      <c r="A320" s="47" t="n"/>
      <c r="B320" s="62" t="n"/>
      <c r="C320" s="47" t="n"/>
      <c r="D320" s="50">
        <f>IFERROR(INDEX(الموظفون_الاسم,MATCH($C320,الموظفون_الرقم,0)),"")</f>
        <v/>
      </c>
      <c r="E320" s="50">
        <f>IFERROR(INDEX(الموظفون_الإدارة,MATCH($C320,الموظفون_الرقم,0)),"")</f>
        <v/>
      </c>
      <c r="F320" s="50">
        <f>IFERROR(INDEX(الموظفون_القسم,MATCH($C320,الموظفون_الرقم,0)),"")</f>
        <v/>
      </c>
      <c r="G320" s="63">
        <f>IF($C320="","",IFERROR(INDEX(الموظفون_الاساسي,MATCH($C320,الموظفون_الرقم,0)),0))</f>
        <v/>
      </c>
      <c r="H320" s="49" t="n"/>
      <c r="I320" s="49" t="n"/>
      <c r="J320" s="49" t="n"/>
      <c r="K320" s="49" t="n"/>
      <c r="L320" s="49" t="n"/>
      <c r="M320" s="64" t="n"/>
      <c r="N320" s="49" t="n"/>
      <c r="O320" s="49" t="n"/>
      <c r="P320" s="49" t="n"/>
      <c r="Q320" s="49" t="n"/>
      <c r="R320" s="49" t="n"/>
      <c r="S320" s="63">
        <f>IF($C320="","",SUM($G320:$L320))</f>
        <v/>
      </c>
      <c r="T320" s="63">
        <f>IF($C320="","",SUM($N320:$R320))</f>
        <v/>
      </c>
      <c r="U320" s="63">
        <f>IF($C320="","",$S320-$T320)</f>
        <v/>
      </c>
      <c r="V320" s="47" t="n"/>
      <c r="W320" s="112" t="n"/>
      <c r="X320" s="47" t="n"/>
      <c r="Y320" s="50">
        <f>IF($C320="","",IF(SUMPRODUCT(($C$3:$C$502=$C320)*($A$3:$A$502=$A320)*($B$3:$B$502=$B320))&gt;1,"⚠ مكرر","سليم"))</f>
        <v/>
      </c>
      <c r="Z320">
        <f>IF(AND($C320&lt;&gt;"",$A320=تقرير_الشهر,$B320=تقرير_السنة),SUMPRODUCT(($C$3:$C$502&lt;&gt;"")*($A$3:$A$502=تقرير_الشهر)*($B$3:$B$502=تقرير_السنة)*(ROW($C$3:$C$502)&lt;=ROW())),"")</f>
        <v/>
      </c>
    </row>
    <row r="321">
      <c r="A321" s="40" t="n"/>
      <c r="B321" s="59" t="n"/>
      <c r="C321" s="40" t="n"/>
      <c r="D321" s="43">
        <f>IFERROR(INDEX(الموظفون_الاسم,MATCH($C321,الموظفون_الرقم,0)),"")</f>
        <v/>
      </c>
      <c r="E321" s="43">
        <f>IFERROR(INDEX(الموظفون_الإدارة,MATCH($C321,الموظفون_الرقم,0)),"")</f>
        <v/>
      </c>
      <c r="F321" s="43">
        <f>IFERROR(INDEX(الموظفون_القسم,MATCH($C321,الموظفون_الرقم,0)),"")</f>
        <v/>
      </c>
      <c r="G321" s="60">
        <f>IF($C321="","",IFERROR(INDEX(الموظفون_الاساسي,MATCH($C321,الموظفون_الرقم,0)),0))</f>
        <v/>
      </c>
      <c r="H321" s="42" t="n"/>
      <c r="I321" s="42" t="n"/>
      <c r="J321" s="42" t="n"/>
      <c r="K321" s="42" t="n"/>
      <c r="L321" s="42" t="n"/>
      <c r="M321" s="61" t="n"/>
      <c r="N321" s="42" t="n"/>
      <c r="O321" s="42" t="n"/>
      <c r="P321" s="42" t="n"/>
      <c r="Q321" s="42" t="n"/>
      <c r="R321" s="42" t="n"/>
      <c r="S321" s="60">
        <f>IF($C321="","",SUM($G321:$L321))</f>
        <v/>
      </c>
      <c r="T321" s="60">
        <f>IF($C321="","",SUM($N321:$R321))</f>
        <v/>
      </c>
      <c r="U321" s="60">
        <f>IF($C321="","",$S321-$T321)</f>
        <v/>
      </c>
      <c r="V321" s="40" t="n"/>
      <c r="W321" s="110" t="n"/>
      <c r="X321" s="40" t="n"/>
      <c r="Y321" s="43">
        <f>IF($C321="","",IF(SUMPRODUCT(($C$3:$C$502=$C321)*($A$3:$A$502=$A321)*($B$3:$B$502=$B321))&gt;1,"⚠ مكرر","سليم"))</f>
        <v/>
      </c>
      <c r="Z321">
        <f>IF(AND($C321&lt;&gt;"",$A321=تقرير_الشهر,$B321=تقرير_السنة),SUMPRODUCT(($C$3:$C$502&lt;&gt;"")*($A$3:$A$502=تقرير_الشهر)*($B$3:$B$502=تقرير_السنة)*(ROW($C$3:$C$502)&lt;=ROW())),"")</f>
        <v/>
      </c>
    </row>
    <row r="322">
      <c r="A322" s="47" t="n"/>
      <c r="B322" s="62" t="n"/>
      <c r="C322" s="47" t="n"/>
      <c r="D322" s="50">
        <f>IFERROR(INDEX(الموظفون_الاسم,MATCH($C322,الموظفون_الرقم,0)),"")</f>
        <v/>
      </c>
      <c r="E322" s="50">
        <f>IFERROR(INDEX(الموظفون_الإدارة,MATCH($C322,الموظفون_الرقم,0)),"")</f>
        <v/>
      </c>
      <c r="F322" s="50">
        <f>IFERROR(INDEX(الموظفون_القسم,MATCH($C322,الموظفون_الرقم,0)),"")</f>
        <v/>
      </c>
      <c r="G322" s="63">
        <f>IF($C322="","",IFERROR(INDEX(الموظفون_الاساسي,MATCH($C322,الموظفون_الرقم,0)),0))</f>
        <v/>
      </c>
      <c r="H322" s="49" t="n"/>
      <c r="I322" s="49" t="n"/>
      <c r="J322" s="49" t="n"/>
      <c r="K322" s="49" t="n"/>
      <c r="L322" s="49" t="n"/>
      <c r="M322" s="64" t="n"/>
      <c r="N322" s="49" t="n"/>
      <c r="O322" s="49" t="n"/>
      <c r="P322" s="49" t="n"/>
      <c r="Q322" s="49" t="n"/>
      <c r="R322" s="49" t="n"/>
      <c r="S322" s="63">
        <f>IF($C322="","",SUM($G322:$L322))</f>
        <v/>
      </c>
      <c r="T322" s="63">
        <f>IF($C322="","",SUM($N322:$R322))</f>
        <v/>
      </c>
      <c r="U322" s="63">
        <f>IF($C322="","",$S322-$T322)</f>
        <v/>
      </c>
      <c r="V322" s="47" t="n"/>
      <c r="W322" s="112" t="n"/>
      <c r="X322" s="47" t="n"/>
      <c r="Y322" s="50">
        <f>IF($C322="","",IF(SUMPRODUCT(($C$3:$C$502=$C322)*($A$3:$A$502=$A322)*($B$3:$B$502=$B322))&gt;1,"⚠ مكرر","سليم"))</f>
        <v/>
      </c>
      <c r="Z322">
        <f>IF(AND($C322&lt;&gt;"",$A322=تقرير_الشهر,$B322=تقرير_السنة),SUMPRODUCT(($C$3:$C$502&lt;&gt;"")*($A$3:$A$502=تقرير_الشهر)*($B$3:$B$502=تقرير_السنة)*(ROW($C$3:$C$502)&lt;=ROW())),"")</f>
        <v/>
      </c>
    </row>
    <row r="323">
      <c r="A323" s="40" t="n"/>
      <c r="B323" s="59" t="n"/>
      <c r="C323" s="40" t="n"/>
      <c r="D323" s="43">
        <f>IFERROR(INDEX(الموظفون_الاسم,MATCH($C323,الموظفون_الرقم,0)),"")</f>
        <v/>
      </c>
      <c r="E323" s="43">
        <f>IFERROR(INDEX(الموظفون_الإدارة,MATCH($C323,الموظفون_الرقم,0)),"")</f>
        <v/>
      </c>
      <c r="F323" s="43">
        <f>IFERROR(INDEX(الموظفون_القسم,MATCH($C323,الموظفون_الرقم,0)),"")</f>
        <v/>
      </c>
      <c r="G323" s="60">
        <f>IF($C323="","",IFERROR(INDEX(الموظفون_الاساسي,MATCH($C323,الموظفون_الرقم,0)),0))</f>
        <v/>
      </c>
      <c r="H323" s="42" t="n"/>
      <c r="I323" s="42" t="n"/>
      <c r="J323" s="42" t="n"/>
      <c r="K323" s="42" t="n"/>
      <c r="L323" s="42" t="n"/>
      <c r="M323" s="61" t="n"/>
      <c r="N323" s="42" t="n"/>
      <c r="O323" s="42" t="n"/>
      <c r="P323" s="42" t="n"/>
      <c r="Q323" s="42" t="n"/>
      <c r="R323" s="42" t="n"/>
      <c r="S323" s="60">
        <f>IF($C323="","",SUM($G323:$L323))</f>
        <v/>
      </c>
      <c r="T323" s="60">
        <f>IF($C323="","",SUM($N323:$R323))</f>
        <v/>
      </c>
      <c r="U323" s="60">
        <f>IF($C323="","",$S323-$T323)</f>
        <v/>
      </c>
      <c r="V323" s="40" t="n"/>
      <c r="W323" s="110" t="n"/>
      <c r="X323" s="40" t="n"/>
      <c r="Y323" s="43">
        <f>IF($C323="","",IF(SUMPRODUCT(($C$3:$C$502=$C323)*($A$3:$A$502=$A323)*($B$3:$B$502=$B323))&gt;1,"⚠ مكرر","سليم"))</f>
        <v/>
      </c>
      <c r="Z323">
        <f>IF(AND($C323&lt;&gt;"",$A323=تقرير_الشهر,$B323=تقرير_السنة),SUMPRODUCT(($C$3:$C$502&lt;&gt;"")*($A$3:$A$502=تقرير_الشهر)*($B$3:$B$502=تقرير_السنة)*(ROW($C$3:$C$502)&lt;=ROW())),"")</f>
        <v/>
      </c>
    </row>
    <row r="324">
      <c r="A324" s="47" t="n"/>
      <c r="B324" s="62" t="n"/>
      <c r="C324" s="47" t="n"/>
      <c r="D324" s="50">
        <f>IFERROR(INDEX(الموظفون_الاسم,MATCH($C324,الموظفون_الرقم,0)),"")</f>
        <v/>
      </c>
      <c r="E324" s="50">
        <f>IFERROR(INDEX(الموظفون_الإدارة,MATCH($C324,الموظفون_الرقم,0)),"")</f>
        <v/>
      </c>
      <c r="F324" s="50">
        <f>IFERROR(INDEX(الموظفون_القسم,MATCH($C324,الموظفون_الرقم,0)),"")</f>
        <v/>
      </c>
      <c r="G324" s="63">
        <f>IF($C324="","",IFERROR(INDEX(الموظفون_الاساسي,MATCH($C324,الموظفون_الرقم,0)),0))</f>
        <v/>
      </c>
      <c r="H324" s="49" t="n"/>
      <c r="I324" s="49" t="n"/>
      <c r="J324" s="49" t="n"/>
      <c r="K324" s="49" t="n"/>
      <c r="L324" s="49" t="n"/>
      <c r="M324" s="64" t="n"/>
      <c r="N324" s="49" t="n"/>
      <c r="O324" s="49" t="n"/>
      <c r="P324" s="49" t="n"/>
      <c r="Q324" s="49" t="n"/>
      <c r="R324" s="49" t="n"/>
      <c r="S324" s="63">
        <f>IF($C324="","",SUM($G324:$L324))</f>
        <v/>
      </c>
      <c r="T324" s="63">
        <f>IF($C324="","",SUM($N324:$R324))</f>
        <v/>
      </c>
      <c r="U324" s="63">
        <f>IF($C324="","",$S324-$T324)</f>
        <v/>
      </c>
      <c r="V324" s="47" t="n"/>
      <c r="W324" s="112" t="n"/>
      <c r="X324" s="47" t="n"/>
      <c r="Y324" s="50">
        <f>IF($C324="","",IF(SUMPRODUCT(($C$3:$C$502=$C324)*($A$3:$A$502=$A324)*($B$3:$B$502=$B324))&gt;1,"⚠ مكرر","سليم"))</f>
        <v/>
      </c>
      <c r="Z324">
        <f>IF(AND($C324&lt;&gt;"",$A324=تقرير_الشهر,$B324=تقرير_السنة),SUMPRODUCT(($C$3:$C$502&lt;&gt;"")*($A$3:$A$502=تقرير_الشهر)*($B$3:$B$502=تقرير_السنة)*(ROW($C$3:$C$502)&lt;=ROW())),"")</f>
        <v/>
      </c>
    </row>
    <row r="325">
      <c r="A325" s="40" t="n"/>
      <c r="B325" s="59" t="n"/>
      <c r="C325" s="40" t="n"/>
      <c r="D325" s="43">
        <f>IFERROR(INDEX(الموظفون_الاسم,MATCH($C325,الموظفون_الرقم,0)),"")</f>
        <v/>
      </c>
      <c r="E325" s="43">
        <f>IFERROR(INDEX(الموظفون_الإدارة,MATCH($C325,الموظفون_الرقم,0)),"")</f>
        <v/>
      </c>
      <c r="F325" s="43">
        <f>IFERROR(INDEX(الموظفون_القسم,MATCH($C325,الموظفون_الرقم,0)),"")</f>
        <v/>
      </c>
      <c r="G325" s="60">
        <f>IF($C325="","",IFERROR(INDEX(الموظفون_الاساسي,MATCH($C325,الموظفون_الرقم,0)),0))</f>
        <v/>
      </c>
      <c r="H325" s="42" t="n"/>
      <c r="I325" s="42" t="n"/>
      <c r="J325" s="42" t="n"/>
      <c r="K325" s="42" t="n"/>
      <c r="L325" s="42" t="n"/>
      <c r="M325" s="61" t="n"/>
      <c r="N325" s="42" t="n"/>
      <c r="O325" s="42" t="n"/>
      <c r="P325" s="42" t="n"/>
      <c r="Q325" s="42" t="n"/>
      <c r="R325" s="42" t="n"/>
      <c r="S325" s="60">
        <f>IF($C325="","",SUM($G325:$L325))</f>
        <v/>
      </c>
      <c r="T325" s="60">
        <f>IF($C325="","",SUM($N325:$R325))</f>
        <v/>
      </c>
      <c r="U325" s="60">
        <f>IF($C325="","",$S325-$T325)</f>
        <v/>
      </c>
      <c r="V325" s="40" t="n"/>
      <c r="W325" s="110" t="n"/>
      <c r="X325" s="40" t="n"/>
      <c r="Y325" s="43">
        <f>IF($C325="","",IF(SUMPRODUCT(($C$3:$C$502=$C325)*($A$3:$A$502=$A325)*($B$3:$B$502=$B325))&gt;1,"⚠ مكرر","سليم"))</f>
        <v/>
      </c>
      <c r="Z325">
        <f>IF(AND($C325&lt;&gt;"",$A325=تقرير_الشهر,$B325=تقرير_السنة),SUMPRODUCT(($C$3:$C$502&lt;&gt;"")*($A$3:$A$502=تقرير_الشهر)*($B$3:$B$502=تقرير_السنة)*(ROW($C$3:$C$502)&lt;=ROW())),"")</f>
        <v/>
      </c>
    </row>
    <row r="326">
      <c r="A326" s="47" t="n"/>
      <c r="B326" s="62" t="n"/>
      <c r="C326" s="47" t="n"/>
      <c r="D326" s="50">
        <f>IFERROR(INDEX(الموظفون_الاسم,MATCH($C326,الموظفون_الرقم,0)),"")</f>
        <v/>
      </c>
      <c r="E326" s="50">
        <f>IFERROR(INDEX(الموظفون_الإدارة,MATCH($C326,الموظفون_الرقم,0)),"")</f>
        <v/>
      </c>
      <c r="F326" s="50">
        <f>IFERROR(INDEX(الموظفون_القسم,MATCH($C326,الموظفون_الرقم,0)),"")</f>
        <v/>
      </c>
      <c r="G326" s="63">
        <f>IF($C326="","",IFERROR(INDEX(الموظفون_الاساسي,MATCH($C326,الموظفون_الرقم,0)),0))</f>
        <v/>
      </c>
      <c r="H326" s="49" t="n"/>
      <c r="I326" s="49" t="n"/>
      <c r="J326" s="49" t="n"/>
      <c r="K326" s="49" t="n"/>
      <c r="L326" s="49" t="n"/>
      <c r="M326" s="64" t="n"/>
      <c r="N326" s="49" t="n"/>
      <c r="O326" s="49" t="n"/>
      <c r="P326" s="49" t="n"/>
      <c r="Q326" s="49" t="n"/>
      <c r="R326" s="49" t="n"/>
      <c r="S326" s="63">
        <f>IF($C326="","",SUM($G326:$L326))</f>
        <v/>
      </c>
      <c r="T326" s="63">
        <f>IF($C326="","",SUM($N326:$R326))</f>
        <v/>
      </c>
      <c r="U326" s="63">
        <f>IF($C326="","",$S326-$T326)</f>
        <v/>
      </c>
      <c r="V326" s="47" t="n"/>
      <c r="W326" s="112" t="n"/>
      <c r="X326" s="47" t="n"/>
      <c r="Y326" s="50">
        <f>IF($C326="","",IF(SUMPRODUCT(($C$3:$C$502=$C326)*($A$3:$A$502=$A326)*($B$3:$B$502=$B326))&gt;1,"⚠ مكرر","سليم"))</f>
        <v/>
      </c>
      <c r="Z326">
        <f>IF(AND($C326&lt;&gt;"",$A326=تقرير_الشهر,$B326=تقرير_السنة),SUMPRODUCT(($C$3:$C$502&lt;&gt;"")*($A$3:$A$502=تقرير_الشهر)*($B$3:$B$502=تقرير_السنة)*(ROW($C$3:$C$502)&lt;=ROW())),"")</f>
        <v/>
      </c>
    </row>
    <row r="327">
      <c r="A327" s="40" t="n"/>
      <c r="B327" s="59" t="n"/>
      <c r="C327" s="40" t="n"/>
      <c r="D327" s="43">
        <f>IFERROR(INDEX(الموظفون_الاسم,MATCH($C327,الموظفون_الرقم,0)),"")</f>
        <v/>
      </c>
      <c r="E327" s="43">
        <f>IFERROR(INDEX(الموظفون_الإدارة,MATCH($C327,الموظفون_الرقم,0)),"")</f>
        <v/>
      </c>
      <c r="F327" s="43">
        <f>IFERROR(INDEX(الموظفون_القسم,MATCH($C327,الموظفون_الرقم,0)),"")</f>
        <v/>
      </c>
      <c r="G327" s="60">
        <f>IF($C327="","",IFERROR(INDEX(الموظفون_الاساسي,MATCH($C327,الموظفون_الرقم,0)),0))</f>
        <v/>
      </c>
      <c r="H327" s="42" t="n"/>
      <c r="I327" s="42" t="n"/>
      <c r="J327" s="42" t="n"/>
      <c r="K327" s="42" t="n"/>
      <c r="L327" s="42" t="n"/>
      <c r="M327" s="61" t="n"/>
      <c r="N327" s="42" t="n"/>
      <c r="O327" s="42" t="n"/>
      <c r="P327" s="42" t="n"/>
      <c r="Q327" s="42" t="n"/>
      <c r="R327" s="42" t="n"/>
      <c r="S327" s="60">
        <f>IF($C327="","",SUM($G327:$L327))</f>
        <v/>
      </c>
      <c r="T327" s="60">
        <f>IF($C327="","",SUM($N327:$R327))</f>
        <v/>
      </c>
      <c r="U327" s="60">
        <f>IF($C327="","",$S327-$T327)</f>
        <v/>
      </c>
      <c r="V327" s="40" t="n"/>
      <c r="W327" s="110" t="n"/>
      <c r="X327" s="40" t="n"/>
      <c r="Y327" s="43">
        <f>IF($C327="","",IF(SUMPRODUCT(($C$3:$C$502=$C327)*($A$3:$A$502=$A327)*($B$3:$B$502=$B327))&gt;1,"⚠ مكرر","سليم"))</f>
        <v/>
      </c>
      <c r="Z327">
        <f>IF(AND($C327&lt;&gt;"",$A327=تقرير_الشهر,$B327=تقرير_السنة),SUMPRODUCT(($C$3:$C$502&lt;&gt;"")*($A$3:$A$502=تقرير_الشهر)*($B$3:$B$502=تقرير_السنة)*(ROW($C$3:$C$502)&lt;=ROW())),"")</f>
        <v/>
      </c>
    </row>
    <row r="328">
      <c r="A328" s="47" t="n"/>
      <c r="B328" s="62" t="n"/>
      <c r="C328" s="47" t="n"/>
      <c r="D328" s="50">
        <f>IFERROR(INDEX(الموظفون_الاسم,MATCH($C328,الموظفون_الرقم,0)),"")</f>
        <v/>
      </c>
      <c r="E328" s="50">
        <f>IFERROR(INDEX(الموظفون_الإدارة,MATCH($C328,الموظفون_الرقم,0)),"")</f>
        <v/>
      </c>
      <c r="F328" s="50">
        <f>IFERROR(INDEX(الموظفون_القسم,MATCH($C328,الموظفون_الرقم,0)),"")</f>
        <v/>
      </c>
      <c r="G328" s="63">
        <f>IF($C328="","",IFERROR(INDEX(الموظفون_الاساسي,MATCH($C328,الموظفون_الرقم,0)),0))</f>
        <v/>
      </c>
      <c r="H328" s="49" t="n"/>
      <c r="I328" s="49" t="n"/>
      <c r="J328" s="49" t="n"/>
      <c r="K328" s="49" t="n"/>
      <c r="L328" s="49" t="n"/>
      <c r="M328" s="64" t="n"/>
      <c r="N328" s="49" t="n"/>
      <c r="O328" s="49" t="n"/>
      <c r="P328" s="49" t="n"/>
      <c r="Q328" s="49" t="n"/>
      <c r="R328" s="49" t="n"/>
      <c r="S328" s="63">
        <f>IF($C328="","",SUM($G328:$L328))</f>
        <v/>
      </c>
      <c r="T328" s="63">
        <f>IF($C328="","",SUM($N328:$R328))</f>
        <v/>
      </c>
      <c r="U328" s="63">
        <f>IF($C328="","",$S328-$T328)</f>
        <v/>
      </c>
      <c r="V328" s="47" t="n"/>
      <c r="W328" s="112" t="n"/>
      <c r="X328" s="47" t="n"/>
      <c r="Y328" s="50">
        <f>IF($C328="","",IF(SUMPRODUCT(($C$3:$C$502=$C328)*($A$3:$A$502=$A328)*($B$3:$B$502=$B328))&gt;1,"⚠ مكرر","سليم"))</f>
        <v/>
      </c>
      <c r="Z328">
        <f>IF(AND($C328&lt;&gt;"",$A328=تقرير_الشهر,$B328=تقرير_السنة),SUMPRODUCT(($C$3:$C$502&lt;&gt;"")*($A$3:$A$502=تقرير_الشهر)*($B$3:$B$502=تقرير_السنة)*(ROW($C$3:$C$502)&lt;=ROW())),"")</f>
        <v/>
      </c>
    </row>
    <row r="329">
      <c r="A329" s="40" t="n"/>
      <c r="B329" s="59" t="n"/>
      <c r="C329" s="40" t="n"/>
      <c r="D329" s="43">
        <f>IFERROR(INDEX(الموظفون_الاسم,MATCH($C329,الموظفون_الرقم,0)),"")</f>
        <v/>
      </c>
      <c r="E329" s="43">
        <f>IFERROR(INDEX(الموظفون_الإدارة,MATCH($C329,الموظفون_الرقم,0)),"")</f>
        <v/>
      </c>
      <c r="F329" s="43">
        <f>IFERROR(INDEX(الموظفون_القسم,MATCH($C329,الموظفون_الرقم,0)),"")</f>
        <v/>
      </c>
      <c r="G329" s="60">
        <f>IF($C329="","",IFERROR(INDEX(الموظفون_الاساسي,MATCH($C329,الموظفون_الرقم,0)),0))</f>
        <v/>
      </c>
      <c r="H329" s="42" t="n"/>
      <c r="I329" s="42" t="n"/>
      <c r="J329" s="42" t="n"/>
      <c r="K329" s="42" t="n"/>
      <c r="L329" s="42" t="n"/>
      <c r="M329" s="61" t="n"/>
      <c r="N329" s="42" t="n"/>
      <c r="O329" s="42" t="n"/>
      <c r="P329" s="42" t="n"/>
      <c r="Q329" s="42" t="n"/>
      <c r="R329" s="42" t="n"/>
      <c r="S329" s="60">
        <f>IF($C329="","",SUM($G329:$L329))</f>
        <v/>
      </c>
      <c r="T329" s="60">
        <f>IF($C329="","",SUM($N329:$R329))</f>
        <v/>
      </c>
      <c r="U329" s="60">
        <f>IF($C329="","",$S329-$T329)</f>
        <v/>
      </c>
      <c r="V329" s="40" t="n"/>
      <c r="W329" s="110" t="n"/>
      <c r="X329" s="40" t="n"/>
      <c r="Y329" s="43">
        <f>IF($C329="","",IF(SUMPRODUCT(($C$3:$C$502=$C329)*($A$3:$A$502=$A329)*($B$3:$B$502=$B329))&gt;1,"⚠ مكرر","سليم"))</f>
        <v/>
      </c>
      <c r="Z329">
        <f>IF(AND($C329&lt;&gt;"",$A329=تقرير_الشهر,$B329=تقرير_السنة),SUMPRODUCT(($C$3:$C$502&lt;&gt;"")*($A$3:$A$502=تقرير_الشهر)*($B$3:$B$502=تقرير_السنة)*(ROW($C$3:$C$502)&lt;=ROW())),"")</f>
        <v/>
      </c>
    </row>
    <row r="330">
      <c r="A330" s="47" t="n"/>
      <c r="B330" s="62" t="n"/>
      <c r="C330" s="47" t="n"/>
      <c r="D330" s="50">
        <f>IFERROR(INDEX(الموظفون_الاسم,MATCH($C330,الموظفون_الرقم,0)),"")</f>
        <v/>
      </c>
      <c r="E330" s="50">
        <f>IFERROR(INDEX(الموظفون_الإدارة,MATCH($C330,الموظفون_الرقم,0)),"")</f>
        <v/>
      </c>
      <c r="F330" s="50">
        <f>IFERROR(INDEX(الموظفون_القسم,MATCH($C330,الموظفون_الرقم,0)),"")</f>
        <v/>
      </c>
      <c r="G330" s="63">
        <f>IF($C330="","",IFERROR(INDEX(الموظفون_الاساسي,MATCH($C330,الموظفون_الرقم,0)),0))</f>
        <v/>
      </c>
      <c r="H330" s="49" t="n"/>
      <c r="I330" s="49" t="n"/>
      <c r="J330" s="49" t="n"/>
      <c r="K330" s="49" t="n"/>
      <c r="L330" s="49" t="n"/>
      <c r="M330" s="64" t="n"/>
      <c r="N330" s="49" t="n"/>
      <c r="O330" s="49" t="n"/>
      <c r="P330" s="49" t="n"/>
      <c r="Q330" s="49" t="n"/>
      <c r="R330" s="49" t="n"/>
      <c r="S330" s="63">
        <f>IF($C330="","",SUM($G330:$L330))</f>
        <v/>
      </c>
      <c r="T330" s="63">
        <f>IF($C330="","",SUM($N330:$R330))</f>
        <v/>
      </c>
      <c r="U330" s="63">
        <f>IF($C330="","",$S330-$T330)</f>
        <v/>
      </c>
      <c r="V330" s="47" t="n"/>
      <c r="W330" s="112" t="n"/>
      <c r="X330" s="47" t="n"/>
      <c r="Y330" s="50">
        <f>IF($C330="","",IF(SUMPRODUCT(($C$3:$C$502=$C330)*($A$3:$A$502=$A330)*($B$3:$B$502=$B330))&gt;1,"⚠ مكرر","سليم"))</f>
        <v/>
      </c>
      <c r="Z330">
        <f>IF(AND($C330&lt;&gt;"",$A330=تقرير_الشهر,$B330=تقرير_السنة),SUMPRODUCT(($C$3:$C$502&lt;&gt;"")*($A$3:$A$502=تقرير_الشهر)*($B$3:$B$502=تقرير_السنة)*(ROW($C$3:$C$502)&lt;=ROW())),"")</f>
        <v/>
      </c>
    </row>
    <row r="331">
      <c r="A331" s="40" t="n"/>
      <c r="B331" s="59" t="n"/>
      <c r="C331" s="40" t="n"/>
      <c r="D331" s="43">
        <f>IFERROR(INDEX(الموظفون_الاسم,MATCH($C331,الموظفون_الرقم,0)),"")</f>
        <v/>
      </c>
      <c r="E331" s="43">
        <f>IFERROR(INDEX(الموظفون_الإدارة,MATCH($C331,الموظفون_الرقم,0)),"")</f>
        <v/>
      </c>
      <c r="F331" s="43">
        <f>IFERROR(INDEX(الموظفون_القسم,MATCH($C331,الموظفون_الرقم,0)),"")</f>
        <v/>
      </c>
      <c r="G331" s="60">
        <f>IF($C331="","",IFERROR(INDEX(الموظفون_الاساسي,MATCH($C331,الموظفون_الرقم,0)),0))</f>
        <v/>
      </c>
      <c r="H331" s="42" t="n"/>
      <c r="I331" s="42" t="n"/>
      <c r="J331" s="42" t="n"/>
      <c r="K331" s="42" t="n"/>
      <c r="L331" s="42" t="n"/>
      <c r="M331" s="61" t="n"/>
      <c r="N331" s="42" t="n"/>
      <c r="O331" s="42" t="n"/>
      <c r="P331" s="42" t="n"/>
      <c r="Q331" s="42" t="n"/>
      <c r="R331" s="42" t="n"/>
      <c r="S331" s="60">
        <f>IF($C331="","",SUM($G331:$L331))</f>
        <v/>
      </c>
      <c r="T331" s="60">
        <f>IF($C331="","",SUM($N331:$R331))</f>
        <v/>
      </c>
      <c r="U331" s="60">
        <f>IF($C331="","",$S331-$T331)</f>
        <v/>
      </c>
      <c r="V331" s="40" t="n"/>
      <c r="W331" s="110" t="n"/>
      <c r="X331" s="40" t="n"/>
      <c r="Y331" s="43">
        <f>IF($C331="","",IF(SUMPRODUCT(($C$3:$C$502=$C331)*($A$3:$A$502=$A331)*($B$3:$B$502=$B331))&gt;1,"⚠ مكرر","سليم"))</f>
        <v/>
      </c>
      <c r="Z331">
        <f>IF(AND($C331&lt;&gt;"",$A331=تقرير_الشهر,$B331=تقرير_السنة),SUMPRODUCT(($C$3:$C$502&lt;&gt;"")*($A$3:$A$502=تقرير_الشهر)*($B$3:$B$502=تقرير_السنة)*(ROW($C$3:$C$502)&lt;=ROW())),"")</f>
        <v/>
      </c>
    </row>
    <row r="332">
      <c r="A332" s="47" t="n"/>
      <c r="B332" s="62" t="n"/>
      <c r="C332" s="47" t="n"/>
      <c r="D332" s="50">
        <f>IFERROR(INDEX(الموظفون_الاسم,MATCH($C332,الموظفون_الرقم,0)),"")</f>
        <v/>
      </c>
      <c r="E332" s="50">
        <f>IFERROR(INDEX(الموظفون_الإدارة,MATCH($C332,الموظفون_الرقم,0)),"")</f>
        <v/>
      </c>
      <c r="F332" s="50">
        <f>IFERROR(INDEX(الموظفون_القسم,MATCH($C332,الموظفون_الرقم,0)),"")</f>
        <v/>
      </c>
      <c r="G332" s="63">
        <f>IF($C332="","",IFERROR(INDEX(الموظفون_الاساسي,MATCH($C332,الموظفون_الرقم,0)),0))</f>
        <v/>
      </c>
      <c r="H332" s="49" t="n"/>
      <c r="I332" s="49" t="n"/>
      <c r="J332" s="49" t="n"/>
      <c r="K332" s="49" t="n"/>
      <c r="L332" s="49" t="n"/>
      <c r="M332" s="64" t="n"/>
      <c r="N332" s="49" t="n"/>
      <c r="O332" s="49" t="n"/>
      <c r="P332" s="49" t="n"/>
      <c r="Q332" s="49" t="n"/>
      <c r="R332" s="49" t="n"/>
      <c r="S332" s="63">
        <f>IF($C332="","",SUM($G332:$L332))</f>
        <v/>
      </c>
      <c r="T332" s="63">
        <f>IF($C332="","",SUM($N332:$R332))</f>
        <v/>
      </c>
      <c r="U332" s="63">
        <f>IF($C332="","",$S332-$T332)</f>
        <v/>
      </c>
      <c r="V332" s="47" t="n"/>
      <c r="W332" s="112" t="n"/>
      <c r="X332" s="47" t="n"/>
      <c r="Y332" s="50">
        <f>IF($C332="","",IF(SUMPRODUCT(($C$3:$C$502=$C332)*($A$3:$A$502=$A332)*($B$3:$B$502=$B332))&gt;1,"⚠ مكرر","سليم"))</f>
        <v/>
      </c>
      <c r="Z332">
        <f>IF(AND($C332&lt;&gt;"",$A332=تقرير_الشهر,$B332=تقرير_السنة),SUMPRODUCT(($C$3:$C$502&lt;&gt;"")*($A$3:$A$502=تقرير_الشهر)*($B$3:$B$502=تقرير_السنة)*(ROW($C$3:$C$502)&lt;=ROW())),"")</f>
        <v/>
      </c>
    </row>
    <row r="333">
      <c r="A333" s="40" t="n"/>
      <c r="B333" s="59" t="n"/>
      <c r="C333" s="40" t="n"/>
      <c r="D333" s="43">
        <f>IFERROR(INDEX(الموظفون_الاسم,MATCH($C333,الموظفون_الرقم,0)),"")</f>
        <v/>
      </c>
      <c r="E333" s="43">
        <f>IFERROR(INDEX(الموظفون_الإدارة,MATCH($C333,الموظفون_الرقم,0)),"")</f>
        <v/>
      </c>
      <c r="F333" s="43">
        <f>IFERROR(INDEX(الموظفون_القسم,MATCH($C333,الموظفون_الرقم,0)),"")</f>
        <v/>
      </c>
      <c r="G333" s="60">
        <f>IF($C333="","",IFERROR(INDEX(الموظفون_الاساسي,MATCH($C333,الموظفون_الرقم,0)),0))</f>
        <v/>
      </c>
      <c r="H333" s="42" t="n"/>
      <c r="I333" s="42" t="n"/>
      <c r="J333" s="42" t="n"/>
      <c r="K333" s="42" t="n"/>
      <c r="L333" s="42" t="n"/>
      <c r="M333" s="61" t="n"/>
      <c r="N333" s="42" t="n"/>
      <c r="O333" s="42" t="n"/>
      <c r="P333" s="42" t="n"/>
      <c r="Q333" s="42" t="n"/>
      <c r="R333" s="42" t="n"/>
      <c r="S333" s="60">
        <f>IF($C333="","",SUM($G333:$L333))</f>
        <v/>
      </c>
      <c r="T333" s="60">
        <f>IF($C333="","",SUM($N333:$R333))</f>
        <v/>
      </c>
      <c r="U333" s="60">
        <f>IF($C333="","",$S333-$T333)</f>
        <v/>
      </c>
      <c r="V333" s="40" t="n"/>
      <c r="W333" s="110" t="n"/>
      <c r="X333" s="40" t="n"/>
      <c r="Y333" s="43">
        <f>IF($C333="","",IF(SUMPRODUCT(($C$3:$C$502=$C333)*($A$3:$A$502=$A333)*($B$3:$B$502=$B333))&gt;1,"⚠ مكرر","سليم"))</f>
        <v/>
      </c>
      <c r="Z333">
        <f>IF(AND($C333&lt;&gt;"",$A333=تقرير_الشهر,$B333=تقرير_السنة),SUMPRODUCT(($C$3:$C$502&lt;&gt;"")*($A$3:$A$502=تقرير_الشهر)*($B$3:$B$502=تقرير_السنة)*(ROW($C$3:$C$502)&lt;=ROW())),"")</f>
        <v/>
      </c>
    </row>
    <row r="334">
      <c r="A334" s="47" t="n"/>
      <c r="B334" s="62" t="n"/>
      <c r="C334" s="47" t="n"/>
      <c r="D334" s="50">
        <f>IFERROR(INDEX(الموظفون_الاسم,MATCH($C334,الموظفون_الرقم,0)),"")</f>
        <v/>
      </c>
      <c r="E334" s="50">
        <f>IFERROR(INDEX(الموظفون_الإدارة,MATCH($C334,الموظفون_الرقم,0)),"")</f>
        <v/>
      </c>
      <c r="F334" s="50">
        <f>IFERROR(INDEX(الموظفون_القسم,MATCH($C334,الموظفون_الرقم,0)),"")</f>
        <v/>
      </c>
      <c r="G334" s="63">
        <f>IF($C334="","",IFERROR(INDEX(الموظفون_الاساسي,MATCH($C334,الموظفون_الرقم,0)),0))</f>
        <v/>
      </c>
      <c r="H334" s="49" t="n"/>
      <c r="I334" s="49" t="n"/>
      <c r="J334" s="49" t="n"/>
      <c r="K334" s="49" t="n"/>
      <c r="L334" s="49" t="n"/>
      <c r="M334" s="64" t="n"/>
      <c r="N334" s="49" t="n"/>
      <c r="O334" s="49" t="n"/>
      <c r="P334" s="49" t="n"/>
      <c r="Q334" s="49" t="n"/>
      <c r="R334" s="49" t="n"/>
      <c r="S334" s="63">
        <f>IF($C334="","",SUM($G334:$L334))</f>
        <v/>
      </c>
      <c r="T334" s="63">
        <f>IF($C334="","",SUM($N334:$R334))</f>
        <v/>
      </c>
      <c r="U334" s="63">
        <f>IF($C334="","",$S334-$T334)</f>
        <v/>
      </c>
      <c r="V334" s="47" t="n"/>
      <c r="W334" s="112" t="n"/>
      <c r="X334" s="47" t="n"/>
      <c r="Y334" s="50">
        <f>IF($C334="","",IF(SUMPRODUCT(($C$3:$C$502=$C334)*($A$3:$A$502=$A334)*($B$3:$B$502=$B334))&gt;1,"⚠ مكرر","سليم"))</f>
        <v/>
      </c>
      <c r="Z334">
        <f>IF(AND($C334&lt;&gt;"",$A334=تقرير_الشهر,$B334=تقرير_السنة),SUMPRODUCT(($C$3:$C$502&lt;&gt;"")*($A$3:$A$502=تقرير_الشهر)*($B$3:$B$502=تقرير_السنة)*(ROW($C$3:$C$502)&lt;=ROW())),"")</f>
        <v/>
      </c>
    </row>
    <row r="335">
      <c r="A335" s="40" t="n"/>
      <c r="B335" s="59" t="n"/>
      <c r="C335" s="40" t="n"/>
      <c r="D335" s="43">
        <f>IFERROR(INDEX(الموظفون_الاسم,MATCH($C335,الموظفون_الرقم,0)),"")</f>
        <v/>
      </c>
      <c r="E335" s="43">
        <f>IFERROR(INDEX(الموظفون_الإدارة,MATCH($C335,الموظفون_الرقم,0)),"")</f>
        <v/>
      </c>
      <c r="F335" s="43">
        <f>IFERROR(INDEX(الموظفون_القسم,MATCH($C335,الموظفون_الرقم,0)),"")</f>
        <v/>
      </c>
      <c r="G335" s="60">
        <f>IF($C335="","",IFERROR(INDEX(الموظفون_الاساسي,MATCH($C335,الموظفون_الرقم,0)),0))</f>
        <v/>
      </c>
      <c r="H335" s="42" t="n"/>
      <c r="I335" s="42" t="n"/>
      <c r="J335" s="42" t="n"/>
      <c r="K335" s="42" t="n"/>
      <c r="L335" s="42" t="n"/>
      <c r="M335" s="61" t="n"/>
      <c r="N335" s="42" t="n"/>
      <c r="O335" s="42" t="n"/>
      <c r="P335" s="42" t="n"/>
      <c r="Q335" s="42" t="n"/>
      <c r="R335" s="42" t="n"/>
      <c r="S335" s="60">
        <f>IF($C335="","",SUM($G335:$L335))</f>
        <v/>
      </c>
      <c r="T335" s="60">
        <f>IF($C335="","",SUM($N335:$R335))</f>
        <v/>
      </c>
      <c r="U335" s="60">
        <f>IF($C335="","",$S335-$T335)</f>
        <v/>
      </c>
      <c r="V335" s="40" t="n"/>
      <c r="W335" s="110" t="n"/>
      <c r="X335" s="40" t="n"/>
      <c r="Y335" s="43">
        <f>IF($C335="","",IF(SUMPRODUCT(($C$3:$C$502=$C335)*($A$3:$A$502=$A335)*($B$3:$B$502=$B335))&gt;1,"⚠ مكرر","سليم"))</f>
        <v/>
      </c>
      <c r="Z335">
        <f>IF(AND($C335&lt;&gt;"",$A335=تقرير_الشهر,$B335=تقرير_السنة),SUMPRODUCT(($C$3:$C$502&lt;&gt;"")*($A$3:$A$502=تقرير_الشهر)*($B$3:$B$502=تقرير_السنة)*(ROW($C$3:$C$502)&lt;=ROW())),"")</f>
        <v/>
      </c>
    </row>
    <row r="336">
      <c r="A336" s="47" t="n"/>
      <c r="B336" s="62" t="n"/>
      <c r="C336" s="47" t="n"/>
      <c r="D336" s="50">
        <f>IFERROR(INDEX(الموظفون_الاسم,MATCH($C336,الموظفون_الرقم,0)),"")</f>
        <v/>
      </c>
      <c r="E336" s="50">
        <f>IFERROR(INDEX(الموظفون_الإدارة,MATCH($C336,الموظفون_الرقم,0)),"")</f>
        <v/>
      </c>
      <c r="F336" s="50">
        <f>IFERROR(INDEX(الموظفون_القسم,MATCH($C336,الموظفون_الرقم,0)),"")</f>
        <v/>
      </c>
      <c r="G336" s="63">
        <f>IF($C336="","",IFERROR(INDEX(الموظفون_الاساسي,MATCH($C336,الموظفون_الرقم,0)),0))</f>
        <v/>
      </c>
      <c r="H336" s="49" t="n"/>
      <c r="I336" s="49" t="n"/>
      <c r="J336" s="49" t="n"/>
      <c r="K336" s="49" t="n"/>
      <c r="L336" s="49" t="n"/>
      <c r="M336" s="64" t="n"/>
      <c r="N336" s="49" t="n"/>
      <c r="O336" s="49" t="n"/>
      <c r="P336" s="49" t="n"/>
      <c r="Q336" s="49" t="n"/>
      <c r="R336" s="49" t="n"/>
      <c r="S336" s="63">
        <f>IF($C336="","",SUM($G336:$L336))</f>
        <v/>
      </c>
      <c r="T336" s="63">
        <f>IF($C336="","",SUM($N336:$R336))</f>
        <v/>
      </c>
      <c r="U336" s="63">
        <f>IF($C336="","",$S336-$T336)</f>
        <v/>
      </c>
      <c r="V336" s="47" t="n"/>
      <c r="W336" s="112" t="n"/>
      <c r="X336" s="47" t="n"/>
      <c r="Y336" s="50">
        <f>IF($C336="","",IF(SUMPRODUCT(($C$3:$C$502=$C336)*($A$3:$A$502=$A336)*($B$3:$B$502=$B336))&gt;1,"⚠ مكرر","سليم"))</f>
        <v/>
      </c>
      <c r="Z336">
        <f>IF(AND($C336&lt;&gt;"",$A336=تقرير_الشهر,$B336=تقرير_السنة),SUMPRODUCT(($C$3:$C$502&lt;&gt;"")*($A$3:$A$502=تقرير_الشهر)*($B$3:$B$502=تقرير_السنة)*(ROW($C$3:$C$502)&lt;=ROW())),"")</f>
        <v/>
      </c>
    </row>
    <row r="337">
      <c r="A337" s="40" t="n"/>
      <c r="B337" s="59" t="n"/>
      <c r="C337" s="40" t="n"/>
      <c r="D337" s="43">
        <f>IFERROR(INDEX(الموظفون_الاسم,MATCH($C337,الموظفون_الرقم,0)),"")</f>
        <v/>
      </c>
      <c r="E337" s="43">
        <f>IFERROR(INDEX(الموظفون_الإدارة,MATCH($C337,الموظفون_الرقم,0)),"")</f>
        <v/>
      </c>
      <c r="F337" s="43">
        <f>IFERROR(INDEX(الموظفون_القسم,MATCH($C337,الموظفون_الرقم,0)),"")</f>
        <v/>
      </c>
      <c r="G337" s="60">
        <f>IF($C337="","",IFERROR(INDEX(الموظفون_الاساسي,MATCH($C337,الموظفون_الرقم,0)),0))</f>
        <v/>
      </c>
      <c r="H337" s="42" t="n"/>
      <c r="I337" s="42" t="n"/>
      <c r="J337" s="42" t="n"/>
      <c r="K337" s="42" t="n"/>
      <c r="L337" s="42" t="n"/>
      <c r="M337" s="61" t="n"/>
      <c r="N337" s="42" t="n"/>
      <c r="O337" s="42" t="n"/>
      <c r="P337" s="42" t="n"/>
      <c r="Q337" s="42" t="n"/>
      <c r="R337" s="42" t="n"/>
      <c r="S337" s="60">
        <f>IF($C337="","",SUM($G337:$L337))</f>
        <v/>
      </c>
      <c r="T337" s="60">
        <f>IF($C337="","",SUM($N337:$R337))</f>
        <v/>
      </c>
      <c r="U337" s="60">
        <f>IF($C337="","",$S337-$T337)</f>
        <v/>
      </c>
      <c r="V337" s="40" t="n"/>
      <c r="W337" s="110" t="n"/>
      <c r="X337" s="40" t="n"/>
      <c r="Y337" s="43">
        <f>IF($C337="","",IF(SUMPRODUCT(($C$3:$C$502=$C337)*($A$3:$A$502=$A337)*($B$3:$B$502=$B337))&gt;1,"⚠ مكرر","سليم"))</f>
        <v/>
      </c>
      <c r="Z337">
        <f>IF(AND($C337&lt;&gt;"",$A337=تقرير_الشهر,$B337=تقرير_السنة),SUMPRODUCT(($C$3:$C$502&lt;&gt;"")*($A$3:$A$502=تقرير_الشهر)*($B$3:$B$502=تقرير_السنة)*(ROW($C$3:$C$502)&lt;=ROW())),"")</f>
        <v/>
      </c>
    </row>
    <row r="338">
      <c r="A338" s="47" t="n"/>
      <c r="B338" s="62" t="n"/>
      <c r="C338" s="47" t="n"/>
      <c r="D338" s="50">
        <f>IFERROR(INDEX(الموظفون_الاسم,MATCH($C338,الموظفون_الرقم,0)),"")</f>
        <v/>
      </c>
      <c r="E338" s="50">
        <f>IFERROR(INDEX(الموظفون_الإدارة,MATCH($C338,الموظفون_الرقم,0)),"")</f>
        <v/>
      </c>
      <c r="F338" s="50">
        <f>IFERROR(INDEX(الموظفون_القسم,MATCH($C338,الموظفون_الرقم,0)),"")</f>
        <v/>
      </c>
      <c r="G338" s="63">
        <f>IF($C338="","",IFERROR(INDEX(الموظفون_الاساسي,MATCH($C338,الموظفون_الرقم,0)),0))</f>
        <v/>
      </c>
      <c r="H338" s="49" t="n"/>
      <c r="I338" s="49" t="n"/>
      <c r="J338" s="49" t="n"/>
      <c r="K338" s="49" t="n"/>
      <c r="L338" s="49" t="n"/>
      <c r="M338" s="64" t="n"/>
      <c r="N338" s="49" t="n"/>
      <c r="O338" s="49" t="n"/>
      <c r="P338" s="49" t="n"/>
      <c r="Q338" s="49" t="n"/>
      <c r="R338" s="49" t="n"/>
      <c r="S338" s="63">
        <f>IF($C338="","",SUM($G338:$L338))</f>
        <v/>
      </c>
      <c r="T338" s="63">
        <f>IF($C338="","",SUM($N338:$R338))</f>
        <v/>
      </c>
      <c r="U338" s="63">
        <f>IF($C338="","",$S338-$T338)</f>
        <v/>
      </c>
      <c r="V338" s="47" t="n"/>
      <c r="W338" s="112" t="n"/>
      <c r="X338" s="47" t="n"/>
      <c r="Y338" s="50">
        <f>IF($C338="","",IF(SUMPRODUCT(($C$3:$C$502=$C338)*($A$3:$A$502=$A338)*($B$3:$B$502=$B338))&gt;1,"⚠ مكرر","سليم"))</f>
        <v/>
      </c>
      <c r="Z338">
        <f>IF(AND($C338&lt;&gt;"",$A338=تقرير_الشهر,$B338=تقرير_السنة),SUMPRODUCT(($C$3:$C$502&lt;&gt;"")*($A$3:$A$502=تقرير_الشهر)*($B$3:$B$502=تقرير_السنة)*(ROW($C$3:$C$502)&lt;=ROW())),"")</f>
        <v/>
      </c>
    </row>
    <row r="339">
      <c r="A339" s="40" t="n"/>
      <c r="B339" s="59" t="n"/>
      <c r="C339" s="40" t="n"/>
      <c r="D339" s="43">
        <f>IFERROR(INDEX(الموظفون_الاسم,MATCH($C339,الموظفون_الرقم,0)),"")</f>
        <v/>
      </c>
      <c r="E339" s="43">
        <f>IFERROR(INDEX(الموظفون_الإدارة,MATCH($C339,الموظفون_الرقم,0)),"")</f>
        <v/>
      </c>
      <c r="F339" s="43">
        <f>IFERROR(INDEX(الموظفون_القسم,MATCH($C339,الموظفون_الرقم,0)),"")</f>
        <v/>
      </c>
      <c r="G339" s="60">
        <f>IF($C339="","",IFERROR(INDEX(الموظفون_الاساسي,MATCH($C339,الموظفون_الرقم,0)),0))</f>
        <v/>
      </c>
      <c r="H339" s="42" t="n"/>
      <c r="I339" s="42" t="n"/>
      <c r="J339" s="42" t="n"/>
      <c r="K339" s="42" t="n"/>
      <c r="L339" s="42" t="n"/>
      <c r="M339" s="61" t="n"/>
      <c r="N339" s="42" t="n"/>
      <c r="O339" s="42" t="n"/>
      <c r="P339" s="42" t="n"/>
      <c r="Q339" s="42" t="n"/>
      <c r="R339" s="42" t="n"/>
      <c r="S339" s="60">
        <f>IF($C339="","",SUM($G339:$L339))</f>
        <v/>
      </c>
      <c r="T339" s="60">
        <f>IF($C339="","",SUM($N339:$R339))</f>
        <v/>
      </c>
      <c r="U339" s="60">
        <f>IF($C339="","",$S339-$T339)</f>
        <v/>
      </c>
      <c r="V339" s="40" t="n"/>
      <c r="W339" s="110" t="n"/>
      <c r="X339" s="40" t="n"/>
      <c r="Y339" s="43">
        <f>IF($C339="","",IF(SUMPRODUCT(($C$3:$C$502=$C339)*($A$3:$A$502=$A339)*($B$3:$B$502=$B339))&gt;1,"⚠ مكرر","سليم"))</f>
        <v/>
      </c>
      <c r="Z339">
        <f>IF(AND($C339&lt;&gt;"",$A339=تقرير_الشهر,$B339=تقرير_السنة),SUMPRODUCT(($C$3:$C$502&lt;&gt;"")*($A$3:$A$502=تقرير_الشهر)*($B$3:$B$502=تقرير_السنة)*(ROW($C$3:$C$502)&lt;=ROW())),"")</f>
        <v/>
      </c>
    </row>
    <row r="340">
      <c r="A340" s="47" t="n"/>
      <c r="B340" s="62" t="n"/>
      <c r="C340" s="47" t="n"/>
      <c r="D340" s="50">
        <f>IFERROR(INDEX(الموظفون_الاسم,MATCH($C340,الموظفون_الرقم,0)),"")</f>
        <v/>
      </c>
      <c r="E340" s="50">
        <f>IFERROR(INDEX(الموظفون_الإدارة,MATCH($C340,الموظفون_الرقم,0)),"")</f>
        <v/>
      </c>
      <c r="F340" s="50">
        <f>IFERROR(INDEX(الموظفون_القسم,MATCH($C340,الموظفون_الرقم,0)),"")</f>
        <v/>
      </c>
      <c r="G340" s="63">
        <f>IF($C340="","",IFERROR(INDEX(الموظفون_الاساسي,MATCH($C340,الموظفون_الرقم,0)),0))</f>
        <v/>
      </c>
      <c r="H340" s="49" t="n"/>
      <c r="I340" s="49" t="n"/>
      <c r="J340" s="49" t="n"/>
      <c r="K340" s="49" t="n"/>
      <c r="L340" s="49" t="n"/>
      <c r="M340" s="64" t="n"/>
      <c r="N340" s="49" t="n"/>
      <c r="O340" s="49" t="n"/>
      <c r="P340" s="49" t="n"/>
      <c r="Q340" s="49" t="n"/>
      <c r="R340" s="49" t="n"/>
      <c r="S340" s="63">
        <f>IF($C340="","",SUM($G340:$L340))</f>
        <v/>
      </c>
      <c r="T340" s="63">
        <f>IF($C340="","",SUM($N340:$R340))</f>
        <v/>
      </c>
      <c r="U340" s="63">
        <f>IF($C340="","",$S340-$T340)</f>
        <v/>
      </c>
      <c r="V340" s="47" t="n"/>
      <c r="W340" s="112" t="n"/>
      <c r="X340" s="47" t="n"/>
      <c r="Y340" s="50">
        <f>IF($C340="","",IF(SUMPRODUCT(($C$3:$C$502=$C340)*($A$3:$A$502=$A340)*($B$3:$B$502=$B340))&gt;1,"⚠ مكرر","سليم"))</f>
        <v/>
      </c>
      <c r="Z340">
        <f>IF(AND($C340&lt;&gt;"",$A340=تقرير_الشهر,$B340=تقرير_السنة),SUMPRODUCT(($C$3:$C$502&lt;&gt;"")*($A$3:$A$502=تقرير_الشهر)*($B$3:$B$502=تقرير_السنة)*(ROW($C$3:$C$502)&lt;=ROW())),"")</f>
        <v/>
      </c>
    </row>
    <row r="341">
      <c r="A341" s="40" t="n"/>
      <c r="B341" s="59" t="n"/>
      <c r="C341" s="40" t="n"/>
      <c r="D341" s="43">
        <f>IFERROR(INDEX(الموظفون_الاسم,MATCH($C341,الموظفون_الرقم,0)),"")</f>
        <v/>
      </c>
      <c r="E341" s="43">
        <f>IFERROR(INDEX(الموظفون_الإدارة,MATCH($C341,الموظفون_الرقم,0)),"")</f>
        <v/>
      </c>
      <c r="F341" s="43">
        <f>IFERROR(INDEX(الموظفون_القسم,MATCH($C341,الموظفون_الرقم,0)),"")</f>
        <v/>
      </c>
      <c r="G341" s="60">
        <f>IF($C341="","",IFERROR(INDEX(الموظفون_الاساسي,MATCH($C341,الموظفون_الرقم,0)),0))</f>
        <v/>
      </c>
      <c r="H341" s="42" t="n"/>
      <c r="I341" s="42" t="n"/>
      <c r="J341" s="42" t="n"/>
      <c r="K341" s="42" t="n"/>
      <c r="L341" s="42" t="n"/>
      <c r="M341" s="61" t="n"/>
      <c r="N341" s="42" t="n"/>
      <c r="O341" s="42" t="n"/>
      <c r="P341" s="42" t="n"/>
      <c r="Q341" s="42" t="n"/>
      <c r="R341" s="42" t="n"/>
      <c r="S341" s="60">
        <f>IF($C341="","",SUM($G341:$L341))</f>
        <v/>
      </c>
      <c r="T341" s="60">
        <f>IF($C341="","",SUM($N341:$R341))</f>
        <v/>
      </c>
      <c r="U341" s="60">
        <f>IF($C341="","",$S341-$T341)</f>
        <v/>
      </c>
      <c r="V341" s="40" t="n"/>
      <c r="W341" s="110" t="n"/>
      <c r="X341" s="40" t="n"/>
      <c r="Y341" s="43">
        <f>IF($C341="","",IF(SUMPRODUCT(($C$3:$C$502=$C341)*($A$3:$A$502=$A341)*($B$3:$B$502=$B341))&gt;1,"⚠ مكرر","سليم"))</f>
        <v/>
      </c>
      <c r="Z341">
        <f>IF(AND($C341&lt;&gt;"",$A341=تقرير_الشهر,$B341=تقرير_السنة),SUMPRODUCT(($C$3:$C$502&lt;&gt;"")*($A$3:$A$502=تقرير_الشهر)*($B$3:$B$502=تقرير_السنة)*(ROW($C$3:$C$502)&lt;=ROW())),"")</f>
        <v/>
      </c>
    </row>
    <row r="342">
      <c r="A342" s="47" t="n"/>
      <c r="B342" s="62" t="n"/>
      <c r="C342" s="47" t="n"/>
      <c r="D342" s="50">
        <f>IFERROR(INDEX(الموظفون_الاسم,MATCH($C342,الموظفون_الرقم,0)),"")</f>
        <v/>
      </c>
      <c r="E342" s="50">
        <f>IFERROR(INDEX(الموظفون_الإدارة,MATCH($C342,الموظفون_الرقم,0)),"")</f>
        <v/>
      </c>
      <c r="F342" s="50">
        <f>IFERROR(INDEX(الموظفون_القسم,MATCH($C342,الموظفون_الرقم,0)),"")</f>
        <v/>
      </c>
      <c r="G342" s="63">
        <f>IF($C342="","",IFERROR(INDEX(الموظفون_الاساسي,MATCH($C342,الموظفون_الرقم,0)),0))</f>
        <v/>
      </c>
      <c r="H342" s="49" t="n"/>
      <c r="I342" s="49" t="n"/>
      <c r="J342" s="49" t="n"/>
      <c r="K342" s="49" t="n"/>
      <c r="L342" s="49" t="n"/>
      <c r="M342" s="64" t="n"/>
      <c r="N342" s="49" t="n"/>
      <c r="O342" s="49" t="n"/>
      <c r="P342" s="49" t="n"/>
      <c r="Q342" s="49" t="n"/>
      <c r="R342" s="49" t="n"/>
      <c r="S342" s="63">
        <f>IF($C342="","",SUM($G342:$L342))</f>
        <v/>
      </c>
      <c r="T342" s="63">
        <f>IF($C342="","",SUM($N342:$R342))</f>
        <v/>
      </c>
      <c r="U342" s="63">
        <f>IF($C342="","",$S342-$T342)</f>
        <v/>
      </c>
      <c r="V342" s="47" t="n"/>
      <c r="W342" s="112" t="n"/>
      <c r="X342" s="47" t="n"/>
      <c r="Y342" s="50">
        <f>IF($C342="","",IF(SUMPRODUCT(($C$3:$C$502=$C342)*($A$3:$A$502=$A342)*($B$3:$B$502=$B342))&gt;1,"⚠ مكرر","سليم"))</f>
        <v/>
      </c>
      <c r="Z342">
        <f>IF(AND($C342&lt;&gt;"",$A342=تقرير_الشهر,$B342=تقرير_السنة),SUMPRODUCT(($C$3:$C$502&lt;&gt;"")*($A$3:$A$502=تقرير_الشهر)*($B$3:$B$502=تقرير_السنة)*(ROW($C$3:$C$502)&lt;=ROW())),"")</f>
        <v/>
      </c>
    </row>
    <row r="343">
      <c r="A343" s="40" t="n"/>
      <c r="B343" s="59" t="n"/>
      <c r="C343" s="40" t="n"/>
      <c r="D343" s="43">
        <f>IFERROR(INDEX(الموظفون_الاسم,MATCH($C343,الموظفون_الرقم,0)),"")</f>
        <v/>
      </c>
      <c r="E343" s="43">
        <f>IFERROR(INDEX(الموظفون_الإدارة,MATCH($C343,الموظفون_الرقم,0)),"")</f>
        <v/>
      </c>
      <c r="F343" s="43">
        <f>IFERROR(INDEX(الموظفون_القسم,MATCH($C343,الموظفون_الرقم,0)),"")</f>
        <v/>
      </c>
      <c r="G343" s="60">
        <f>IF($C343="","",IFERROR(INDEX(الموظفون_الاساسي,MATCH($C343,الموظفون_الرقم,0)),0))</f>
        <v/>
      </c>
      <c r="H343" s="42" t="n"/>
      <c r="I343" s="42" t="n"/>
      <c r="J343" s="42" t="n"/>
      <c r="K343" s="42" t="n"/>
      <c r="L343" s="42" t="n"/>
      <c r="M343" s="61" t="n"/>
      <c r="N343" s="42" t="n"/>
      <c r="O343" s="42" t="n"/>
      <c r="P343" s="42" t="n"/>
      <c r="Q343" s="42" t="n"/>
      <c r="R343" s="42" t="n"/>
      <c r="S343" s="60">
        <f>IF($C343="","",SUM($G343:$L343))</f>
        <v/>
      </c>
      <c r="T343" s="60">
        <f>IF($C343="","",SUM($N343:$R343))</f>
        <v/>
      </c>
      <c r="U343" s="60">
        <f>IF($C343="","",$S343-$T343)</f>
        <v/>
      </c>
      <c r="V343" s="40" t="n"/>
      <c r="W343" s="110" t="n"/>
      <c r="X343" s="40" t="n"/>
      <c r="Y343" s="43">
        <f>IF($C343="","",IF(SUMPRODUCT(($C$3:$C$502=$C343)*($A$3:$A$502=$A343)*($B$3:$B$502=$B343))&gt;1,"⚠ مكرر","سليم"))</f>
        <v/>
      </c>
      <c r="Z343">
        <f>IF(AND($C343&lt;&gt;"",$A343=تقرير_الشهر,$B343=تقرير_السنة),SUMPRODUCT(($C$3:$C$502&lt;&gt;"")*($A$3:$A$502=تقرير_الشهر)*($B$3:$B$502=تقرير_السنة)*(ROW($C$3:$C$502)&lt;=ROW())),"")</f>
        <v/>
      </c>
    </row>
    <row r="344">
      <c r="A344" s="47" t="n"/>
      <c r="B344" s="62" t="n"/>
      <c r="C344" s="47" t="n"/>
      <c r="D344" s="50">
        <f>IFERROR(INDEX(الموظفون_الاسم,MATCH($C344,الموظفون_الرقم,0)),"")</f>
        <v/>
      </c>
      <c r="E344" s="50">
        <f>IFERROR(INDEX(الموظفون_الإدارة,MATCH($C344,الموظفون_الرقم,0)),"")</f>
        <v/>
      </c>
      <c r="F344" s="50">
        <f>IFERROR(INDEX(الموظفون_القسم,MATCH($C344,الموظفون_الرقم,0)),"")</f>
        <v/>
      </c>
      <c r="G344" s="63">
        <f>IF($C344="","",IFERROR(INDEX(الموظفون_الاساسي,MATCH($C344,الموظفون_الرقم,0)),0))</f>
        <v/>
      </c>
      <c r="H344" s="49" t="n"/>
      <c r="I344" s="49" t="n"/>
      <c r="J344" s="49" t="n"/>
      <c r="K344" s="49" t="n"/>
      <c r="L344" s="49" t="n"/>
      <c r="M344" s="64" t="n"/>
      <c r="N344" s="49" t="n"/>
      <c r="O344" s="49" t="n"/>
      <c r="P344" s="49" t="n"/>
      <c r="Q344" s="49" t="n"/>
      <c r="R344" s="49" t="n"/>
      <c r="S344" s="63">
        <f>IF($C344="","",SUM($G344:$L344))</f>
        <v/>
      </c>
      <c r="T344" s="63">
        <f>IF($C344="","",SUM($N344:$R344))</f>
        <v/>
      </c>
      <c r="U344" s="63">
        <f>IF($C344="","",$S344-$T344)</f>
        <v/>
      </c>
      <c r="V344" s="47" t="n"/>
      <c r="W344" s="112" t="n"/>
      <c r="X344" s="47" t="n"/>
      <c r="Y344" s="50">
        <f>IF($C344="","",IF(SUMPRODUCT(($C$3:$C$502=$C344)*($A$3:$A$502=$A344)*($B$3:$B$502=$B344))&gt;1,"⚠ مكرر","سليم"))</f>
        <v/>
      </c>
      <c r="Z344">
        <f>IF(AND($C344&lt;&gt;"",$A344=تقرير_الشهر,$B344=تقرير_السنة),SUMPRODUCT(($C$3:$C$502&lt;&gt;"")*($A$3:$A$502=تقرير_الشهر)*($B$3:$B$502=تقرير_السنة)*(ROW($C$3:$C$502)&lt;=ROW())),"")</f>
        <v/>
      </c>
    </row>
    <row r="345">
      <c r="A345" s="40" t="n"/>
      <c r="B345" s="59" t="n"/>
      <c r="C345" s="40" t="n"/>
      <c r="D345" s="43">
        <f>IFERROR(INDEX(الموظفون_الاسم,MATCH($C345,الموظفون_الرقم,0)),"")</f>
        <v/>
      </c>
      <c r="E345" s="43">
        <f>IFERROR(INDEX(الموظفون_الإدارة,MATCH($C345,الموظفون_الرقم,0)),"")</f>
        <v/>
      </c>
      <c r="F345" s="43">
        <f>IFERROR(INDEX(الموظفون_القسم,MATCH($C345,الموظفون_الرقم,0)),"")</f>
        <v/>
      </c>
      <c r="G345" s="60">
        <f>IF($C345="","",IFERROR(INDEX(الموظفون_الاساسي,MATCH($C345,الموظفون_الرقم,0)),0))</f>
        <v/>
      </c>
      <c r="H345" s="42" t="n"/>
      <c r="I345" s="42" t="n"/>
      <c r="J345" s="42" t="n"/>
      <c r="K345" s="42" t="n"/>
      <c r="L345" s="42" t="n"/>
      <c r="M345" s="61" t="n"/>
      <c r="N345" s="42" t="n"/>
      <c r="O345" s="42" t="n"/>
      <c r="P345" s="42" t="n"/>
      <c r="Q345" s="42" t="n"/>
      <c r="R345" s="42" t="n"/>
      <c r="S345" s="60">
        <f>IF($C345="","",SUM($G345:$L345))</f>
        <v/>
      </c>
      <c r="T345" s="60">
        <f>IF($C345="","",SUM($N345:$R345))</f>
        <v/>
      </c>
      <c r="U345" s="60">
        <f>IF($C345="","",$S345-$T345)</f>
        <v/>
      </c>
      <c r="V345" s="40" t="n"/>
      <c r="W345" s="110" t="n"/>
      <c r="X345" s="40" t="n"/>
      <c r="Y345" s="43">
        <f>IF($C345="","",IF(SUMPRODUCT(($C$3:$C$502=$C345)*($A$3:$A$502=$A345)*($B$3:$B$502=$B345))&gt;1,"⚠ مكرر","سليم"))</f>
        <v/>
      </c>
      <c r="Z345">
        <f>IF(AND($C345&lt;&gt;"",$A345=تقرير_الشهر,$B345=تقرير_السنة),SUMPRODUCT(($C$3:$C$502&lt;&gt;"")*($A$3:$A$502=تقرير_الشهر)*($B$3:$B$502=تقرير_السنة)*(ROW($C$3:$C$502)&lt;=ROW())),"")</f>
        <v/>
      </c>
    </row>
    <row r="346">
      <c r="A346" s="47" t="n"/>
      <c r="B346" s="62" t="n"/>
      <c r="C346" s="47" t="n"/>
      <c r="D346" s="50">
        <f>IFERROR(INDEX(الموظفون_الاسم,MATCH($C346,الموظفون_الرقم,0)),"")</f>
        <v/>
      </c>
      <c r="E346" s="50">
        <f>IFERROR(INDEX(الموظفون_الإدارة,MATCH($C346,الموظفون_الرقم,0)),"")</f>
        <v/>
      </c>
      <c r="F346" s="50">
        <f>IFERROR(INDEX(الموظفون_القسم,MATCH($C346,الموظفون_الرقم,0)),"")</f>
        <v/>
      </c>
      <c r="G346" s="63">
        <f>IF($C346="","",IFERROR(INDEX(الموظفون_الاساسي,MATCH($C346,الموظفون_الرقم,0)),0))</f>
        <v/>
      </c>
      <c r="H346" s="49" t="n"/>
      <c r="I346" s="49" t="n"/>
      <c r="J346" s="49" t="n"/>
      <c r="K346" s="49" t="n"/>
      <c r="L346" s="49" t="n"/>
      <c r="M346" s="64" t="n"/>
      <c r="N346" s="49" t="n"/>
      <c r="O346" s="49" t="n"/>
      <c r="P346" s="49" t="n"/>
      <c r="Q346" s="49" t="n"/>
      <c r="R346" s="49" t="n"/>
      <c r="S346" s="63">
        <f>IF($C346="","",SUM($G346:$L346))</f>
        <v/>
      </c>
      <c r="T346" s="63">
        <f>IF($C346="","",SUM($N346:$R346))</f>
        <v/>
      </c>
      <c r="U346" s="63">
        <f>IF($C346="","",$S346-$T346)</f>
        <v/>
      </c>
      <c r="V346" s="47" t="n"/>
      <c r="W346" s="112" t="n"/>
      <c r="X346" s="47" t="n"/>
      <c r="Y346" s="50">
        <f>IF($C346="","",IF(SUMPRODUCT(($C$3:$C$502=$C346)*($A$3:$A$502=$A346)*($B$3:$B$502=$B346))&gt;1,"⚠ مكرر","سليم"))</f>
        <v/>
      </c>
      <c r="Z346">
        <f>IF(AND($C346&lt;&gt;"",$A346=تقرير_الشهر,$B346=تقرير_السنة),SUMPRODUCT(($C$3:$C$502&lt;&gt;"")*($A$3:$A$502=تقرير_الشهر)*($B$3:$B$502=تقرير_السنة)*(ROW($C$3:$C$502)&lt;=ROW())),"")</f>
        <v/>
      </c>
    </row>
    <row r="347">
      <c r="A347" s="40" t="n"/>
      <c r="B347" s="59" t="n"/>
      <c r="C347" s="40" t="n"/>
      <c r="D347" s="43">
        <f>IFERROR(INDEX(الموظفون_الاسم,MATCH($C347,الموظفون_الرقم,0)),"")</f>
        <v/>
      </c>
      <c r="E347" s="43">
        <f>IFERROR(INDEX(الموظفون_الإدارة,MATCH($C347,الموظفون_الرقم,0)),"")</f>
        <v/>
      </c>
      <c r="F347" s="43">
        <f>IFERROR(INDEX(الموظفون_القسم,MATCH($C347,الموظفون_الرقم,0)),"")</f>
        <v/>
      </c>
      <c r="G347" s="60">
        <f>IF($C347="","",IFERROR(INDEX(الموظفون_الاساسي,MATCH($C347,الموظفون_الرقم,0)),0))</f>
        <v/>
      </c>
      <c r="H347" s="42" t="n"/>
      <c r="I347" s="42" t="n"/>
      <c r="J347" s="42" t="n"/>
      <c r="K347" s="42" t="n"/>
      <c r="L347" s="42" t="n"/>
      <c r="M347" s="61" t="n"/>
      <c r="N347" s="42" t="n"/>
      <c r="O347" s="42" t="n"/>
      <c r="P347" s="42" t="n"/>
      <c r="Q347" s="42" t="n"/>
      <c r="R347" s="42" t="n"/>
      <c r="S347" s="60">
        <f>IF($C347="","",SUM($G347:$L347))</f>
        <v/>
      </c>
      <c r="T347" s="60">
        <f>IF($C347="","",SUM($N347:$R347))</f>
        <v/>
      </c>
      <c r="U347" s="60">
        <f>IF($C347="","",$S347-$T347)</f>
        <v/>
      </c>
      <c r="V347" s="40" t="n"/>
      <c r="W347" s="110" t="n"/>
      <c r="X347" s="40" t="n"/>
      <c r="Y347" s="43">
        <f>IF($C347="","",IF(SUMPRODUCT(($C$3:$C$502=$C347)*($A$3:$A$502=$A347)*($B$3:$B$502=$B347))&gt;1,"⚠ مكرر","سليم"))</f>
        <v/>
      </c>
      <c r="Z347">
        <f>IF(AND($C347&lt;&gt;"",$A347=تقرير_الشهر,$B347=تقرير_السنة),SUMPRODUCT(($C$3:$C$502&lt;&gt;"")*($A$3:$A$502=تقرير_الشهر)*($B$3:$B$502=تقرير_السنة)*(ROW($C$3:$C$502)&lt;=ROW())),"")</f>
        <v/>
      </c>
    </row>
    <row r="348">
      <c r="A348" s="47" t="n"/>
      <c r="B348" s="62" t="n"/>
      <c r="C348" s="47" t="n"/>
      <c r="D348" s="50">
        <f>IFERROR(INDEX(الموظفون_الاسم,MATCH($C348,الموظفون_الرقم,0)),"")</f>
        <v/>
      </c>
      <c r="E348" s="50">
        <f>IFERROR(INDEX(الموظفون_الإدارة,MATCH($C348,الموظفون_الرقم,0)),"")</f>
        <v/>
      </c>
      <c r="F348" s="50">
        <f>IFERROR(INDEX(الموظفون_القسم,MATCH($C348,الموظفون_الرقم,0)),"")</f>
        <v/>
      </c>
      <c r="G348" s="63">
        <f>IF($C348="","",IFERROR(INDEX(الموظفون_الاساسي,MATCH($C348,الموظفون_الرقم,0)),0))</f>
        <v/>
      </c>
      <c r="H348" s="49" t="n"/>
      <c r="I348" s="49" t="n"/>
      <c r="J348" s="49" t="n"/>
      <c r="K348" s="49" t="n"/>
      <c r="L348" s="49" t="n"/>
      <c r="M348" s="64" t="n"/>
      <c r="N348" s="49" t="n"/>
      <c r="O348" s="49" t="n"/>
      <c r="P348" s="49" t="n"/>
      <c r="Q348" s="49" t="n"/>
      <c r="R348" s="49" t="n"/>
      <c r="S348" s="63">
        <f>IF($C348="","",SUM($G348:$L348))</f>
        <v/>
      </c>
      <c r="T348" s="63">
        <f>IF($C348="","",SUM($N348:$R348))</f>
        <v/>
      </c>
      <c r="U348" s="63">
        <f>IF($C348="","",$S348-$T348)</f>
        <v/>
      </c>
      <c r="V348" s="47" t="n"/>
      <c r="W348" s="112" t="n"/>
      <c r="X348" s="47" t="n"/>
      <c r="Y348" s="50">
        <f>IF($C348="","",IF(SUMPRODUCT(($C$3:$C$502=$C348)*($A$3:$A$502=$A348)*($B$3:$B$502=$B348))&gt;1,"⚠ مكرر","سليم"))</f>
        <v/>
      </c>
      <c r="Z348">
        <f>IF(AND($C348&lt;&gt;"",$A348=تقرير_الشهر,$B348=تقرير_السنة),SUMPRODUCT(($C$3:$C$502&lt;&gt;"")*($A$3:$A$502=تقرير_الشهر)*($B$3:$B$502=تقرير_السنة)*(ROW($C$3:$C$502)&lt;=ROW())),"")</f>
        <v/>
      </c>
    </row>
    <row r="349">
      <c r="A349" s="40" t="n"/>
      <c r="B349" s="59" t="n"/>
      <c r="C349" s="40" t="n"/>
      <c r="D349" s="43">
        <f>IFERROR(INDEX(الموظفون_الاسم,MATCH($C349,الموظفون_الرقم,0)),"")</f>
        <v/>
      </c>
      <c r="E349" s="43">
        <f>IFERROR(INDEX(الموظفون_الإدارة,MATCH($C349,الموظفون_الرقم,0)),"")</f>
        <v/>
      </c>
      <c r="F349" s="43">
        <f>IFERROR(INDEX(الموظفون_القسم,MATCH($C349,الموظفون_الرقم,0)),"")</f>
        <v/>
      </c>
      <c r="G349" s="60">
        <f>IF($C349="","",IFERROR(INDEX(الموظفون_الاساسي,MATCH($C349,الموظفون_الرقم,0)),0))</f>
        <v/>
      </c>
      <c r="H349" s="42" t="n"/>
      <c r="I349" s="42" t="n"/>
      <c r="J349" s="42" t="n"/>
      <c r="K349" s="42" t="n"/>
      <c r="L349" s="42" t="n"/>
      <c r="M349" s="61" t="n"/>
      <c r="N349" s="42" t="n"/>
      <c r="O349" s="42" t="n"/>
      <c r="P349" s="42" t="n"/>
      <c r="Q349" s="42" t="n"/>
      <c r="R349" s="42" t="n"/>
      <c r="S349" s="60">
        <f>IF($C349="","",SUM($G349:$L349))</f>
        <v/>
      </c>
      <c r="T349" s="60">
        <f>IF($C349="","",SUM($N349:$R349))</f>
        <v/>
      </c>
      <c r="U349" s="60">
        <f>IF($C349="","",$S349-$T349)</f>
        <v/>
      </c>
      <c r="V349" s="40" t="n"/>
      <c r="W349" s="110" t="n"/>
      <c r="X349" s="40" t="n"/>
      <c r="Y349" s="43">
        <f>IF($C349="","",IF(SUMPRODUCT(($C$3:$C$502=$C349)*($A$3:$A$502=$A349)*($B$3:$B$502=$B349))&gt;1,"⚠ مكرر","سليم"))</f>
        <v/>
      </c>
      <c r="Z349">
        <f>IF(AND($C349&lt;&gt;"",$A349=تقرير_الشهر,$B349=تقرير_السنة),SUMPRODUCT(($C$3:$C$502&lt;&gt;"")*($A$3:$A$502=تقرير_الشهر)*($B$3:$B$502=تقرير_السنة)*(ROW($C$3:$C$502)&lt;=ROW())),"")</f>
        <v/>
      </c>
    </row>
    <row r="350">
      <c r="A350" s="47" t="n"/>
      <c r="B350" s="62" t="n"/>
      <c r="C350" s="47" t="n"/>
      <c r="D350" s="50">
        <f>IFERROR(INDEX(الموظفون_الاسم,MATCH($C350,الموظفون_الرقم,0)),"")</f>
        <v/>
      </c>
      <c r="E350" s="50">
        <f>IFERROR(INDEX(الموظفون_الإدارة,MATCH($C350,الموظفون_الرقم,0)),"")</f>
        <v/>
      </c>
      <c r="F350" s="50">
        <f>IFERROR(INDEX(الموظفون_القسم,MATCH($C350,الموظفون_الرقم,0)),"")</f>
        <v/>
      </c>
      <c r="G350" s="63">
        <f>IF($C350="","",IFERROR(INDEX(الموظفون_الاساسي,MATCH($C350,الموظفون_الرقم,0)),0))</f>
        <v/>
      </c>
      <c r="H350" s="49" t="n"/>
      <c r="I350" s="49" t="n"/>
      <c r="J350" s="49" t="n"/>
      <c r="K350" s="49" t="n"/>
      <c r="L350" s="49" t="n"/>
      <c r="M350" s="64" t="n"/>
      <c r="N350" s="49" t="n"/>
      <c r="O350" s="49" t="n"/>
      <c r="P350" s="49" t="n"/>
      <c r="Q350" s="49" t="n"/>
      <c r="R350" s="49" t="n"/>
      <c r="S350" s="63">
        <f>IF($C350="","",SUM($G350:$L350))</f>
        <v/>
      </c>
      <c r="T350" s="63">
        <f>IF($C350="","",SUM($N350:$R350))</f>
        <v/>
      </c>
      <c r="U350" s="63">
        <f>IF($C350="","",$S350-$T350)</f>
        <v/>
      </c>
      <c r="V350" s="47" t="n"/>
      <c r="W350" s="112" t="n"/>
      <c r="X350" s="47" t="n"/>
      <c r="Y350" s="50">
        <f>IF($C350="","",IF(SUMPRODUCT(($C$3:$C$502=$C350)*($A$3:$A$502=$A350)*($B$3:$B$502=$B350))&gt;1,"⚠ مكرر","سليم"))</f>
        <v/>
      </c>
      <c r="Z350">
        <f>IF(AND($C350&lt;&gt;"",$A350=تقرير_الشهر,$B350=تقرير_السنة),SUMPRODUCT(($C$3:$C$502&lt;&gt;"")*($A$3:$A$502=تقرير_الشهر)*($B$3:$B$502=تقرير_السنة)*(ROW($C$3:$C$502)&lt;=ROW())),"")</f>
        <v/>
      </c>
    </row>
    <row r="351">
      <c r="A351" s="40" t="n"/>
      <c r="B351" s="59" t="n"/>
      <c r="C351" s="40" t="n"/>
      <c r="D351" s="43">
        <f>IFERROR(INDEX(الموظفون_الاسم,MATCH($C351,الموظفون_الرقم,0)),"")</f>
        <v/>
      </c>
      <c r="E351" s="43">
        <f>IFERROR(INDEX(الموظفون_الإدارة,MATCH($C351,الموظفون_الرقم,0)),"")</f>
        <v/>
      </c>
      <c r="F351" s="43">
        <f>IFERROR(INDEX(الموظفون_القسم,MATCH($C351,الموظفون_الرقم,0)),"")</f>
        <v/>
      </c>
      <c r="G351" s="60">
        <f>IF($C351="","",IFERROR(INDEX(الموظفون_الاساسي,MATCH($C351,الموظفون_الرقم,0)),0))</f>
        <v/>
      </c>
      <c r="H351" s="42" t="n"/>
      <c r="I351" s="42" t="n"/>
      <c r="J351" s="42" t="n"/>
      <c r="K351" s="42" t="n"/>
      <c r="L351" s="42" t="n"/>
      <c r="M351" s="61" t="n"/>
      <c r="N351" s="42" t="n"/>
      <c r="O351" s="42" t="n"/>
      <c r="P351" s="42" t="n"/>
      <c r="Q351" s="42" t="n"/>
      <c r="R351" s="42" t="n"/>
      <c r="S351" s="60">
        <f>IF($C351="","",SUM($G351:$L351))</f>
        <v/>
      </c>
      <c r="T351" s="60">
        <f>IF($C351="","",SUM($N351:$R351))</f>
        <v/>
      </c>
      <c r="U351" s="60">
        <f>IF($C351="","",$S351-$T351)</f>
        <v/>
      </c>
      <c r="V351" s="40" t="n"/>
      <c r="W351" s="110" t="n"/>
      <c r="X351" s="40" t="n"/>
      <c r="Y351" s="43">
        <f>IF($C351="","",IF(SUMPRODUCT(($C$3:$C$502=$C351)*($A$3:$A$502=$A351)*($B$3:$B$502=$B351))&gt;1,"⚠ مكرر","سليم"))</f>
        <v/>
      </c>
      <c r="Z351">
        <f>IF(AND($C351&lt;&gt;"",$A351=تقرير_الشهر,$B351=تقرير_السنة),SUMPRODUCT(($C$3:$C$502&lt;&gt;"")*($A$3:$A$502=تقرير_الشهر)*($B$3:$B$502=تقرير_السنة)*(ROW($C$3:$C$502)&lt;=ROW())),"")</f>
        <v/>
      </c>
    </row>
    <row r="352">
      <c r="A352" s="47" t="n"/>
      <c r="B352" s="62" t="n"/>
      <c r="C352" s="47" t="n"/>
      <c r="D352" s="50">
        <f>IFERROR(INDEX(الموظفون_الاسم,MATCH($C352,الموظفون_الرقم,0)),"")</f>
        <v/>
      </c>
      <c r="E352" s="50">
        <f>IFERROR(INDEX(الموظفون_الإدارة,MATCH($C352,الموظفون_الرقم,0)),"")</f>
        <v/>
      </c>
      <c r="F352" s="50">
        <f>IFERROR(INDEX(الموظفون_القسم,MATCH($C352,الموظفون_الرقم,0)),"")</f>
        <v/>
      </c>
      <c r="G352" s="63">
        <f>IF($C352="","",IFERROR(INDEX(الموظفون_الاساسي,MATCH($C352,الموظفون_الرقم,0)),0))</f>
        <v/>
      </c>
      <c r="H352" s="49" t="n"/>
      <c r="I352" s="49" t="n"/>
      <c r="J352" s="49" t="n"/>
      <c r="K352" s="49" t="n"/>
      <c r="L352" s="49" t="n"/>
      <c r="M352" s="64" t="n"/>
      <c r="N352" s="49" t="n"/>
      <c r="O352" s="49" t="n"/>
      <c r="P352" s="49" t="n"/>
      <c r="Q352" s="49" t="n"/>
      <c r="R352" s="49" t="n"/>
      <c r="S352" s="63">
        <f>IF($C352="","",SUM($G352:$L352))</f>
        <v/>
      </c>
      <c r="T352" s="63">
        <f>IF($C352="","",SUM($N352:$R352))</f>
        <v/>
      </c>
      <c r="U352" s="63">
        <f>IF($C352="","",$S352-$T352)</f>
        <v/>
      </c>
      <c r="V352" s="47" t="n"/>
      <c r="W352" s="112" t="n"/>
      <c r="X352" s="47" t="n"/>
      <c r="Y352" s="50">
        <f>IF($C352="","",IF(SUMPRODUCT(($C$3:$C$502=$C352)*($A$3:$A$502=$A352)*($B$3:$B$502=$B352))&gt;1,"⚠ مكرر","سليم"))</f>
        <v/>
      </c>
      <c r="Z352">
        <f>IF(AND($C352&lt;&gt;"",$A352=تقرير_الشهر,$B352=تقرير_السنة),SUMPRODUCT(($C$3:$C$502&lt;&gt;"")*($A$3:$A$502=تقرير_الشهر)*($B$3:$B$502=تقرير_السنة)*(ROW($C$3:$C$502)&lt;=ROW())),"")</f>
        <v/>
      </c>
    </row>
    <row r="353">
      <c r="A353" s="40" t="n"/>
      <c r="B353" s="59" t="n"/>
      <c r="C353" s="40" t="n"/>
      <c r="D353" s="43">
        <f>IFERROR(INDEX(الموظفون_الاسم,MATCH($C353,الموظفون_الرقم,0)),"")</f>
        <v/>
      </c>
      <c r="E353" s="43">
        <f>IFERROR(INDEX(الموظفون_الإدارة,MATCH($C353,الموظفون_الرقم,0)),"")</f>
        <v/>
      </c>
      <c r="F353" s="43">
        <f>IFERROR(INDEX(الموظفون_القسم,MATCH($C353,الموظفون_الرقم,0)),"")</f>
        <v/>
      </c>
      <c r="G353" s="60">
        <f>IF($C353="","",IFERROR(INDEX(الموظفون_الاساسي,MATCH($C353,الموظفون_الرقم,0)),0))</f>
        <v/>
      </c>
      <c r="H353" s="42" t="n"/>
      <c r="I353" s="42" t="n"/>
      <c r="J353" s="42" t="n"/>
      <c r="K353" s="42" t="n"/>
      <c r="L353" s="42" t="n"/>
      <c r="M353" s="61" t="n"/>
      <c r="N353" s="42" t="n"/>
      <c r="O353" s="42" t="n"/>
      <c r="P353" s="42" t="n"/>
      <c r="Q353" s="42" t="n"/>
      <c r="R353" s="42" t="n"/>
      <c r="S353" s="60">
        <f>IF($C353="","",SUM($G353:$L353))</f>
        <v/>
      </c>
      <c r="T353" s="60">
        <f>IF($C353="","",SUM($N353:$R353))</f>
        <v/>
      </c>
      <c r="U353" s="60">
        <f>IF($C353="","",$S353-$T353)</f>
        <v/>
      </c>
      <c r="V353" s="40" t="n"/>
      <c r="W353" s="110" t="n"/>
      <c r="X353" s="40" t="n"/>
      <c r="Y353" s="43">
        <f>IF($C353="","",IF(SUMPRODUCT(($C$3:$C$502=$C353)*($A$3:$A$502=$A353)*($B$3:$B$502=$B353))&gt;1,"⚠ مكرر","سليم"))</f>
        <v/>
      </c>
      <c r="Z353">
        <f>IF(AND($C353&lt;&gt;"",$A353=تقرير_الشهر,$B353=تقرير_السنة),SUMPRODUCT(($C$3:$C$502&lt;&gt;"")*($A$3:$A$502=تقرير_الشهر)*($B$3:$B$502=تقرير_السنة)*(ROW($C$3:$C$502)&lt;=ROW())),"")</f>
        <v/>
      </c>
    </row>
    <row r="354">
      <c r="A354" s="47" t="n"/>
      <c r="B354" s="62" t="n"/>
      <c r="C354" s="47" t="n"/>
      <c r="D354" s="50">
        <f>IFERROR(INDEX(الموظفون_الاسم,MATCH($C354,الموظفون_الرقم,0)),"")</f>
        <v/>
      </c>
      <c r="E354" s="50">
        <f>IFERROR(INDEX(الموظفون_الإدارة,MATCH($C354,الموظفون_الرقم,0)),"")</f>
        <v/>
      </c>
      <c r="F354" s="50">
        <f>IFERROR(INDEX(الموظفون_القسم,MATCH($C354,الموظفون_الرقم,0)),"")</f>
        <v/>
      </c>
      <c r="G354" s="63">
        <f>IF($C354="","",IFERROR(INDEX(الموظفون_الاساسي,MATCH($C354,الموظفون_الرقم,0)),0))</f>
        <v/>
      </c>
      <c r="H354" s="49" t="n"/>
      <c r="I354" s="49" t="n"/>
      <c r="J354" s="49" t="n"/>
      <c r="K354" s="49" t="n"/>
      <c r="L354" s="49" t="n"/>
      <c r="M354" s="64" t="n"/>
      <c r="N354" s="49" t="n"/>
      <c r="O354" s="49" t="n"/>
      <c r="P354" s="49" t="n"/>
      <c r="Q354" s="49" t="n"/>
      <c r="R354" s="49" t="n"/>
      <c r="S354" s="63">
        <f>IF($C354="","",SUM($G354:$L354))</f>
        <v/>
      </c>
      <c r="T354" s="63">
        <f>IF($C354="","",SUM($N354:$R354))</f>
        <v/>
      </c>
      <c r="U354" s="63">
        <f>IF($C354="","",$S354-$T354)</f>
        <v/>
      </c>
      <c r="V354" s="47" t="n"/>
      <c r="W354" s="112" t="n"/>
      <c r="X354" s="47" t="n"/>
      <c r="Y354" s="50">
        <f>IF($C354="","",IF(SUMPRODUCT(($C$3:$C$502=$C354)*($A$3:$A$502=$A354)*($B$3:$B$502=$B354))&gt;1,"⚠ مكرر","سليم"))</f>
        <v/>
      </c>
      <c r="Z354">
        <f>IF(AND($C354&lt;&gt;"",$A354=تقرير_الشهر,$B354=تقرير_السنة),SUMPRODUCT(($C$3:$C$502&lt;&gt;"")*($A$3:$A$502=تقرير_الشهر)*($B$3:$B$502=تقرير_السنة)*(ROW($C$3:$C$502)&lt;=ROW())),"")</f>
        <v/>
      </c>
    </row>
    <row r="355">
      <c r="A355" s="40" t="n"/>
      <c r="B355" s="59" t="n"/>
      <c r="C355" s="40" t="n"/>
      <c r="D355" s="43">
        <f>IFERROR(INDEX(الموظفون_الاسم,MATCH($C355,الموظفون_الرقم,0)),"")</f>
        <v/>
      </c>
      <c r="E355" s="43">
        <f>IFERROR(INDEX(الموظفون_الإدارة,MATCH($C355,الموظفون_الرقم,0)),"")</f>
        <v/>
      </c>
      <c r="F355" s="43">
        <f>IFERROR(INDEX(الموظفون_القسم,MATCH($C355,الموظفون_الرقم,0)),"")</f>
        <v/>
      </c>
      <c r="G355" s="60">
        <f>IF($C355="","",IFERROR(INDEX(الموظفون_الاساسي,MATCH($C355,الموظفون_الرقم,0)),0))</f>
        <v/>
      </c>
      <c r="H355" s="42" t="n"/>
      <c r="I355" s="42" t="n"/>
      <c r="J355" s="42" t="n"/>
      <c r="K355" s="42" t="n"/>
      <c r="L355" s="42" t="n"/>
      <c r="M355" s="61" t="n"/>
      <c r="N355" s="42" t="n"/>
      <c r="O355" s="42" t="n"/>
      <c r="P355" s="42" t="n"/>
      <c r="Q355" s="42" t="n"/>
      <c r="R355" s="42" t="n"/>
      <c r="S355" s="60">
        <f>IF($C355="","",SUM($G355:$L355))</f>
        <v/>
      </c>
      <c r="T355" s="60">
        <f>IF($C355="","",SUM($N355:$R355))</f>
        <v/>
      </c>
      <c r="U355" s="60">
        <f>IF($C355="","",$S355-$T355)</f>
        <v/>
      </c>
      <c r="V355" s="40" t="n"/>
      <c r="W355" s="110" t="n"/>
      <c r="X355" s="40" t="n"/>
      <c r="Y355" s="43">
        <f>IF($C355="","",IF(SUMPRODUCT(($C$3:$C$502=$C355)*($A$3:$A$502=$A355)*($B$3:$B$502=$B355))&gt;1,"⚠ مكرر","سليم"))</f>
        <v/>
      </c>
      <c r="Z355">
        <f>IF(AND($C355&lt;&gt;"",$A355=تقرير_الشهر,$B355=تقرير_السنة),SUMPRODUCT(($C$3:$C$502&lt;&gt;"")*($A$3:$A$502=تقرير_الشهر)*($B$3:$B$502=تقرير_السنة)*(ROW($C$3:$C$502)&lt;=ROW())),"")</f>
        <v/>
      </c>
    </row>
    <row r="356">
      <c r="A356" s="47" t="n"/>
      <c r="B356" s="62" t="n"/>
      <c r="C356" s="47" t="n"/>
      <c r="D356" s="50">
        <f>IFERROR(INDEX(الموظفون_الاسم,MATCH($C356,الموظفون_الرقم,0)),"")</f>
        <v/>
      </c>
      <c r="E356" s="50">
        <f>IFERROR(INDEX(الموظفون_الإدارة,MATCH($C356,الموظفون_الرقم,0)),"")</f>
        <v/>
      </c>
      <c r="F356" s="50">
        <f>IFERROR(INDEX(الموظفون_القسم,MATCH($C356,الموظفون_الرقم,0)),"")</f>
        <v/>
      </c>
      <c r="G356" s="63">
        <f>IF($C356="","",IFERROR(INDEX(الموظفون_الاساسي,MATCH($C356,الموظفون_الرقم,0)),0))</f>
        <v/>
      </c>
      <c r="H356" s="49" t="n"/>
      <c r="I356" s="49" t="n"/>
      <c r="J356" s="49" t="n"/>
      <c r="K356" s="49" t="n"/>
      <c r="L356" s="49" t="n"/>
      <c r="M356" s="64" t="n"/>
      <c r="N356" s="49" t="n"/>
      <c r="O356" s="49" t="n"/>
      <c r="P356" s="49" t="n"/>
      <c r="Q356" s="49" t="n"/>
      <c r="R356" s="49" t="n"/>
      <c r="S356" s="63">
        <f>IF($C356="","",SUM($G356:$L356))</f>
        <v/>
      </c>
      <c r="T356" s="63">
        <f>IF($C356="","",SUM($N356:$R356))</f>
        <v/>
      </c>
      <c r="U356" s="63">
        <f>IF($C356="","",$S356-$T356)</f>
        <v/>
      </c>
      <c r="V356" s="47" t="n"/>
      <c r="W356" s="112" t="n"/>
      <c r="X356" s="47" t="n"/>
      <c r="Y356" s="50">
        <f>IF($C356="","",IF(SUMPRODUCT(($C$3:$C$502=$C356)*($A$3:$A$502=$A356)*($B$3:$B$502=$B356))&gt;1,"⚠ مكرر","سليم"))</f>
        <v/>
      </c>
      <c r="Z356">
        <f>IF(AND($C356&lt;&gt;"",$A356=تقرير_الشهر,$B356=تقرير_السنة),SUMPRODUCT(($C$3:$C$502&lt;&gt;"")*($A$3:$A$502=تقرير_الشهر)*($B$3:$B$502=تقرير_السنة)*(ROW($C$3:$C$502)&lt;=ROW())),"")</f>
        <v/>
      </c>
    </row>
    <row r="357">
      <c r="A357" s="40" t="n"/>
      <c r="B357" s="59" t="n"/>
      <c r="C357" s="40" t="n"/>
      <c r="D357" s="43">
        <f>IFERROR(INDEX(الموظفون_الاسم,MATCH($C357,الموظفون_الرقم,0)),"")</f>
        <v/>
      </c>
      <c r="E357" s="43">
        <f>IFERROR(INDEX(الموظفون_الإدارة,MATCH($C357,الموظفون_الرقم,0)),"")</f>
        <v/>
      </c>
      <c r="F357" s="43">
        <f>IFERROR(INDEX(الموظفون_القسم,MATCH($C357,الموظفون_الرقم,0)),"")</f>
        <v/>
      </c>
      <c r="G357" s="60">
        <f>IF($C357="","",IFERROR(INDEX(الموظفون_الاساسي,MATCH($C357,الموظفون_الرقم,0)),0))</f>
        <v/>
      </c>
      <c r="H357" s="42" t="n"/>
      <c r="I357" s="42" t="n"/>
      <c r="J357" s="42" t="n"/>
      <c r="K357" s="42" t="n"/>
      <c r="L357" s="42" t="n"/>
      <c r="M357" s="61" t="n"/>
      <c r="N357" s="42" t="n"/>
      <c r="O357" s="42" t="n"/>
      <c r="P357" s="42" t="n"/>
      <c r="Q357" s="42" t="n"/>
      <c r="R357" s="42" t="n"/>
      <c r="S357" s="60">
        <f>IF($C357="","",SUM($G357:$L357))</f>
        <v/>
      </c>
      <c r="T357" s="60">
        <f>IF($C357="","",SUM($N357:$R357))</f>
        <v/>
      </c>
      <c r="U357" s="60">
        <f>IF($C357="","",$S357-$T357)</f>
        <v/>
      </c>
      <c r="V357" s="40" t="n"/>
      <c r="W357" s="110" t="n"/>
      <c r="X357" s="40" t="n"/>
      <c r="Y357" s="43">
        <f>IF($C357="","",IF(SUMPRODUCT(($C$3:$C$502=$C357)*($A$3:$A$502=$A357)*($B$3:$B$502=$B357))&gt;1,"⚠ مكرر","سليم"))</f>
        <v/>
      </c>
      <c r="Z357">
        <f>IF(AND($C357&lt;&gt;"",$A357=تقرير_الشهر,$B357=تقرير_السنة),SUMPRODUCT(($C$3:$C$502&lt;&gt;"")*($A$3:$A$502=تقرير_الشهر)*($B$3:$B$502=تقرير_السنة)*(ROW($C$3:$C$502)&lt;=ROW())),"")</f>
        <v/>
      </c>
    </row>
    <row r="358">
      <c r="A358" s="47" t="n"/>
      <c r="B358" s="62" t="n"/>
      <c r="C358" s="47" t="n"/>
      <c r="D358" s="50">
        <f>IFERROR(INDEX(الموظفون_الاسم,MATCH($C358,الموظفون_الرقم,0)),"")</f>
        <v/>
      </c>
      <c r="E358" s="50">
        <f>IFERROR(INDEX(الموظفون_الإدارة,MATCH($C358,الموظفون_الرقم,0)),"")</f>
        <v/>
      </c>
      <c r="F358" s="50">
        <f>IFERROR(INDEX(الموظفون_القسم,MATCH($C358,الموظفون_الرقم,0)),"")</f>
        <v/>
      </c>
      <c r="G358" s="63">
        <f>IF($C358="","",IFERROR(INDEX(الموظفون_الاساسي,MATCH($C358,الموظفون_الرقم,0)),0))</f>
        <v/>
      </c>
      <c r="H358" s="49" t="n"/>
      <c r="I358" s="49" t="n"/>
      <c r="J358" s="49" t="n"/>
      <c r="K358" s="49" t="n"/>
      <c r="L358" s="49" t="n"/>
      <c r="M358" s="64" t="n"/>
      <c r="N358" s="49" t="n"/>
      <c r="O358" s="49" t="n"/>
      <c r="P358" s="49" t="n"/>
      <c r="Q358" s="49" t="n"/>
      <c r="R358" s="49" t="n"/>
      <c r="S358" s="63">
        <f>IF($C358="","",SUM($G358:$L358))</f>
        <v/>
      </c>
      <c r="T358" s="63">
        <f>IF($C358="","",SUM($N358:$R358))</f>
        <v/>
      </c>
      <c r="U358" s="63">
        <f>IF($C358="","",$S358-$T358)</f>
        <v/>
      </c>
      <c r="V358" s="47" t="n"/>
      <c r="W358" s="112" t="n"/>
      <c r="X358" s="47" t="n"/>
      <c r="Y358" s="50">
        <f>IF($C358="","",IF(SUMPRODUCT(($C$3:$C$502=$C358)*($A$3:$A$502=$A358)*($B$3:$B$502=$B358))&gt;1,"⚠ مكرر","سليم"))</f>
        <v/>
      </c>
      <c r="Z358">
        <f>IF(AND($C358&lt;&gt;"",$A358=تقرير_الشهر,$B358=تقرير_السنة),SUMPRODUCT(($C$3:$C$502&lt;&gt;"")*($A$3:$A$502=تقرير_الشهر)*($B$3:$B$502=تقرير_السنة)*(ROW($C$3:$C$502)&lt;=ROW())),"")</f>
        <v/>
      </c>
    </row>
    <row r="359">
      <c r="A359" s="40" t="n"/>
      <c r="B359" s="59" t="n"/>
      <c r="C359" s="40" t="n"/>
      <c r="D359" s="43">
        <f>IFERROR(INDEX(الموظفون_الاسم,MATCH($C359,الموظفون_الرقم,0)),"")</f>
        <v/>
      </c>
      <c r="E359" s="43">
        <f>IFERROR(INDEX(الموظفون_الإدارة,MATCH($C359,الموظفون_الرقم,0)),"")</f>
        <v/>
      </c>
      <c r="F359" s="43">
        <f>IFERROR(INDEX(الموظفون_القسم,MATCH($C359,الموظفون_الرقم,0)),"")</f>
        <v/>
      </c>
      <c r="G359" s="60">
        <f>IF($C359="","",IFERROR(INDEX(الموظفون_الاساسي,MATCH($C359,الموظفون_الرقم,0)),0))</f>
        <v/>
      </c>
      <c r="H359" s="42" t="n"/>
      <c r="I359" s="42" t="n"/>
      <c r="J359" s="42" t="n"/>
      <c r="K359" s="42" t="n"/>
      <c r="L359" s="42" t="n"/>
      <c r="M359" s="61" t="n"/>
      <c r="N359" s="42" t="n"/>
      <c r="O359" s="42" t="n"/>
      <c r="P359" s="42" t="n"/>
      <c r="Q359" s="42" t="n"/>
      <c r="R359" s="42" t="n"/>
      <c r="S359" s="60">
        <f>IF($C359="","",SUM($G359:$L359))</f>
        <v/>
      </c>
      <c r="T359" s="60">
        <f>IF($C359="","",SUM($N359:$R359))</f>
        <v/>
      </c>
      <c r="U359" s="60">
        <f>IF($C359="","",$S359-$T359)</f>
        <v/>
      </c>
      <c r="V359" s="40" t="n"/>
      <c r="W359" s="110" t="n"/>
      <c r="X359" s="40" t="n"/>
      <c r="Y359" s="43">
        <f>IF($C359="","",IF(SUMPRODUCT(($C$3:$C$502=$C359)*($A$3:$A$502=$A359)*($B$3:$B$502=$B359))&gt;1,"⚠ مكرر","سليم"))</f>
        <v/>
      </c>
      <c r="Z359">
        <f>IF(AND($C359&lt;&gt;"",$A359=تقرير_الشهر,$B359=تقرير_السنة),SUMPRODUCT(($C$3:$C$502&lt;&gt;"")*($A$3:$A$502=تقرير_الشهر)*($B$3:$B$502=تقرير_السنة)*(ROW($C$3:$C$502)&lt;=ROW())),"")</f>
        <v/>
      </c>
    </row>
    <row r="360">
      <c r="A360" s="47" t="n"/>
      <c r="B360" s="62" t="n"/>
      <c r="C360" s="47" t="n"/>
      <c r="D360" s="50">
        <f>IFERROR(INDEX(الموظفون_الاسم,MATCH($C360,الموظفون_الرقم,0)),"")</f>
        <v/>
      </c>
      <c r="E360" s="50">
        <f>IFERROR(INDEX(الموظفون_الإدارة,MATCH($C360,الموظفون_الرقم,0)),"")</f>
        <v/>
      </c>
      <c r="F360" s="50">
        <f>IFERROR(INDEX(الموظفون_القسم,MATCH($C360,الموظفون_الرقم,0)),"")</f>
        <v/>
      </c>
      <c r="G360" s="63">
        <f>IF($C360="","",IFERROR(INDEX(الموظفون_الاساسي,MATCH($C360,الموظفون_الرقم,0)),0))</f>
        <v/>
      </c>
      <c r="H360" s="49" t="n"/>
      <c r="I360" s="49" t="n"/>
      <c r="J360" s="49" t="n"/>
      <c r="K360" s="49" t="n"/>
      <c r="L360" s="49" t="n"/>
      <c r="M360" s="64" t="n"/>
      <c r="N360" s="49" t="n"/>
      <c r="O360" s="49" t="n"/>
      <c r="P360" s="49" t="n"/>
      <c r="Q360" s="49" t="n"/>
      <c r="R360" s="49" t="n"/>
      <c r="S360" s="63">
        <f>IF($C360="","",SUM($G360:$L360))</f>
        <v/>
      </c>
      <c r="T360" s="63">
        <f>IF($C360="","",SUM($N360:$R360))</f>
        <v/>
      </c>
      <c r="U360" s="63">
        <f>IF($C360="","",$S360-$T360)</f>
        <v/>
      </c>
      <c r="V360" s="47" t="n"/>
      <c r="W360" s="112" t="n"/>
      <c r="X360" s="47" t="n"/>
      <c r="Y360" s="50">
        <f>IF($C360="","",IF(SUMPRODUCT(($C$3:$C$502=$C360)*($A$3:$A$502=$A360)*($B$3:$B$502=$B360))&gt;1,"⚠ مكرر","سليم"))</f>
        <v/>
      </c>
      <c r="Z360">
        <f>IF(AND($C360&lt;&gt;"",$A360=تقرير_الشهر,$B360=تقرير_السنة),SUMPRODUCT(($C$3:$C$502&lt;&gt;"")*($A$3:$A$502=تقرير_الشهر)*($B$3:$B$502=تقرير_السنة)*(ROW($C$3:$C$502)&lt;=ROW())),"")</f>
        <v/>
      </c>
    </row>
    <row r="361">
      <c r="A361" s="40" t="n"/>
      <c r="B361" s="59" t="n"/>
      <c r="C361" s="40" t="n"/>
      <c r="D361" s="43">
        <f>IFERROR(INDEX(الموظفون_الاسم,MATCH($C361,الموظفون_الرقم,0)),"")</f>
        <v/>
      </c>
      <c r="E361" s="43">
        <f>IFERROR(INDEX(الموظفون_الإدارة,MATCH($C361,الموظفون_الرقم,0)),"")</f>
        <v/>
      </c>
      <c r="F361" s="43">
        <f>IFERROR(INDEX(الموظفون_القسم,MATCH($C361,الموظفون_الرقم,0)),"")</f>
        <v/>
      </c>
      <c r="G361" s="60">
        <f>IF($C361="","",IFERROR(INDEX(الموظفون_الاساسي,MATCH($C361,الموظفون_الرقم,0)),0))</f>
        <v/>
      </c>
      <c r="H361" s="42" t="n"/>
      <c r="I361" s="42" t="n"/>
      <c r="J361" s="42" t="n"/>
      <c r="K361" s="42" t="n"/>
      <c r="L361" s="42" t="n"/>
      <c r="M361" s="61" t="n"/>
      <c r="N361" s="42" t="n"/>
      <c r="O361" s="42" t="n"/>
      <c r="P361" s="42" t="n"/>
      <c r="Q361" s="42" t="n"/>
      <c r="R361" s="42" t="n"/>
      <c r="S361" s="60">
        <f>IF($C361="","",SUM($G361:$L361))</f>
        <v/>
      </c>
      <c r="T361" s="60">
        <f>IF($C361="","",SUM($N361:$R361))</f>
        <v/>
      </c>
      <c r="U361" s="60">
        <f>IF($C361="","",$S361-$T361)</f>
        <v/>
      </c>
      <c r="V361" s="40" t="n"/>
      <c r="W361" s="110" t="n"/>
      <c r="X361" s="40" t="n"/>
      <c r="Y361" s="43">
        <f>IF($C361="","",IF(SUMPRODUCT(($C$3:$C$502=$C361)*($A$3:$A$502=$A361)*($B$3:$B$502=$B361))&gt;1,"⚠ مكرر","سليم"))</f>
        <v/>
      </c>
      <c r="Z361">
        <f>IF(AND($C361&lt;&gt;"",$A361=تقرير_الشهر,$B361=تقرير_السنة),SUMPRODUCT(($C$3:$C$502&lt;&gt;"")*($A$3:$A$502=تقرير_الشهر)*($B$3:$B$502=تقرير_السنة)*(ROW($C$3:$C$502)&lt;=ROW())),"")</f>
        <v/>
      </c>
    </row>
    <row r="362">
      <c r="A362" s="47" t="n"/>
      <c r="B362" s="62" t="n"/>
      <c r="C362" s="47" t="n"/>
      <c r="D362" s="50">
        <f>IFERROR(INDEX(الموظفون_الاسم,MATCH($C362,الموظفون_الرقم,0)),"")</f>
        <v/>
      </c>
      <c r="E362" s="50">
        <f>IFERROR(INDEX(الموظفون_الإدارة,MATCH($C362,الموظفون_الرقم,0)),"")</f>
        <v/>
      </c>
      <c r="F362" s="50">
        <f>IFERROR(INDEX(الموظفون_القسم,MATCH($C362,الموظفون_الرقم,0)),"")</f>
        <v/>
      </c>
      <c r="G362" s="63">
        <f>IF($C362="","",IFERROR(INDEX(الموظفون_الاساسي,MATCH($C362,الموظفون_الرقم,0)),0))</f>
        <v/>
      </c>
      <c r="H362" s="49" t="n"/>
      <c r="I362" s="49" t="n"/>
      <c r="J362" s="49" t="n"/>
      <c r="K362" s="49" t="n"/>
      <c r="L362" s="49" t="n"/>
      <c r="M362" s="64" t="n"/>
      <c r="N362" s="49" t="n"/>
      <c r="O362" s="49" t="n"/>
      <c r="P362" s="49" t="n"/>
      <c r="Q362" s="49" t="n"/>
      <c r="R362" s="49" t="n"/>
      <c r="S362" s="63">
        <f>IF($C362="","",SUM($G362:$L362))</f>
        <v/>
      </c>
      <c r="T362" s="63">
        <f>IF($C362="","",SUM($N362:$R362))</f>
        <v/>
      </c>
      <c r="U362" s="63">
        <f>IF($C362="","",$S362-$T362)</f>
        <v/>
      </c>
      <c r="V362" s="47" t="n"/>
      <c r="W362" s="112" t="n"/>
      <c r="X362" s="47" t="n"/>
      <c r="Y362" s="50">
        <f>IF($C362="","",IF(SUMPRODUCT(($C$3:$C$502=$C362)*($A$3:$A$502=$A362)*($B$3:$B$502=$B362))&gt;1,"⚠ مكرر","سليم"))</f>
        <v/>
      </c>
      <c r="Z362">
        <f>IF(AND($C362&lt;&gt;"",$A362=تقرير_الشهر,$B362=تقرير_السنة),SUMPRODUCT(($C$3:$C$502&lt;&gt;"")*($A$3:$A$502=تقرير_الشهر)*($B$3:$B$502=تقرير_السنة)*(ROW($C$3:$C$502)&lt;=ROW())),"")</f>
        <v/>
      </c>
    </row>
    <row r="363">
      <c r="A363" s="40" t="n"/>
      <c r="B363" s="59" t="n"/>
      <c r="C363" s="40" t="n"/>
      <c r="D363" s="43">
        <f>IFERROR(INDEX(الموظفون_الاسم,MATCH($C363,الموظفون_الرقم,0)),"")</f>
        <v/>
      </c>
      <c r="E363" s="43">
        <f>IFERROR(INDEX(الموظفون_الإدارة,MATCH($C363,الموظفون_الرقم,0)),"")</f>
        <v/>
      </c>
      <c r="F363" s="43">
        <f>IFERROR(INDEX(الموظفون_القسم,MATCH($C363,الموظفون_الرقم,0)),"")</f>
        <v/>
      </c>
      <c r="G363" s="60">
        <f>IF($C363="","",IFERROR(INDEX(الموظفون_الاساسي,MATCH($C363,الموظفون_الرقم,0)),0))</f>
        <v/>
      </c>
      <c r="H363" s="42" t="n"/>
      <c r="I363" s="42" t="n"/>
      <c r="J363" s="42" t="n"/>
      <c r="K363" s="42" t="n"/>
      <c r="L363" s="42" t="n"/>
      <c r="M363" s="61" t="n"/>
      <c r="N363" s="42" t="n"/>
      <c r="O363" s="42" t="n"/>
      <c r="P363" s="42" t="n"/>
      <c r="Q363" s="42" t="n"/>
      <c r="R363" s="42" t="n"/>
      <c r="S363" s="60">
        <f>IF($C363="","",SUM($G363:$L363))</f>
        <v/>
      </c>
      <c r="T363" s="60">
        <f>IF($C363="","",SUM($N363:$R363))</f>
        <v/>
      </c>
      <c r="U363" s="60">
        <f>IF($C363="","",$S363-$T363)</f>
        <v/>
      </c>
      <c r="V363" s="40" t="n"/>
      <c r="W363" s="110" t="n"/>
      <c r="X363" s="40" t="n"/>
      <c r="Y363" s="43">
        <f>IF($C363="","",IF(SUMPRODUCT(($C$3:$C$502=$C363)*($A$3:$A$502=$A363)*($B$3:$B$502=$B363))&gt;1,"⚠ مكرر","سليم"))</f>
        <v/>
      </c>
      <c r="Z363">
        <f>IF(AND($C363&lt;&gt;"",$A363=تقرير_الشهر,$B363=تقرير_السنة),SUMPRODUCT(($C$3:$C$502&lt;&gt;"")*($A$3:$A$502=تقرير_الشهر)*($B$3:$B$502=تقرير_السنة)*(ROW($C$3:$C$502)&lt;=ROW())),"")</f>
        <v/>
      </c>
    </row>
    <row r="364">
      <c r="A364" s="47" t="n"/>
      <c r="B364" s="62" t="n"/>
      <c r="C364" s="47" t="n"/>
      <c r="D364" s="50">
        <f>IFERROR(INDEX(الموظفون_الاسم,MATCH($C364,الموظفون_الرقم,0)),"")</f>
        <v/>
      </c>
      <c r="E364" s="50">
        <f>IFERROR(INDEX(الموظفون_الإدارة,MATCH($C364,الموظفون_الرقم,0)),"")</f>
        <v/>
      </c>
      <c r="F364" s="50">
        <f>IFERROR(INDEX(الموظفون_القسم,MATCH($C364,الموظفون_الرقم,0)),"")</f>
        <v/>
      </c>
      <c r="G364" s="63">
        <f>IF($C364="","",IFERROR(INDEX(الموظفون_الاساسي,MATCH($C364,الموظفون_الرقم,0)),0))</f>
        <v/>
      </c>
      <c r="H364" s="49" t="n"/>
      <c r="I364" s="49" t="n"/>
      <c r="J364" s="49" t="n"/>
      <c r="K364" s="49" t="n"/>
      <c r="L364" s="49" t="n"/>
      <c r="M364" s="64" t="n"/>
      <c r="N364" s="49" t="n"/>
      <c r="O364" s="49" t="n"/>
      <c r="P364" s="49" t="n"/>
      <c r="Q364" s="49" t="n"/>
      <c r="R364" s="49" t="n"/>
      <c r="S364" s="63">
        <f>IF($C364="","",SUM($G364:$L364))</f>
        <v/>
      </c>
      <c r="T364" s="63">
        <f>IF($C364="","",SUM($N364:$R364))</f>
        <v/>
      </c>
      <c r="U364" s="63">
        <f>IF($C364="","",$S364-$T364)</f>
        <v/>
      </c>
      <c r="V364" s="47" t="n"/>
      <c r="W364" s="112" t="n"/>
      <c r="X364" s="47" t="n"/>
      <c r="Y364" s="50">
        <f>IF($C364="","",IF(SUMPRODUCT(($C$3:$C$502=$C364)*($A$3:$A$502=$A364)*($B$3:$B$502=$B364))&gt;1,"⚠ مكرر","سليم"))</f>
        <v/>
      </c>
      <c r="Z364">
        <f>IF(AND($C364&lt;&gt;"",$A364=تقرير_الشهر,$B364=تقرير_السنة),SUMPRODUCT(($C$3:$C$502&lt;&gt;"")*($A$3:$A$502=تقرير_الشهر)*($B$3:$B$502=تقرير_السنة)*(ROW($C$3:$C$502)&lt;=ROW())),"")</f>
        <v/>
      </c>
    </row>
    <row r="365">
      <c r="A365" s="40" t="n"/>
      <c r="B365" s="59" t="n"/>
      <c r="C365" s="40" t="n"/>
      <c r="D365" s="43">
        <f>IFERROR(INDEX(الموظفون_الاسم,MATCH($C365,الموظفون_الرقم,0)),"")</f>
        <v/>
      </c>
      <c r="E365" s="43">
        <f>IFERROR(INDEX(الموظفون_الإدارة,MATCH($C365,الموظفون_الرقم,0)),"")</f>
        <v/>
      </c>
      <c r="F365" s="43">
        <f>IFERROR(INDEX(الموظفون_القسم,MATCH($C365,الموظفون_الرقم,0)),"")</f>
        <v/>
      </c>
      <c r="G365" s="60">
        <f>IF($C365="","",IFERROR(INDEX(الموظفون_الاساسي,MATCH($C365,الموظفون_الرقم,0)),0))</f>
        <v/>
      </c>
      <c r="H365" s="42" t="n"/>
      <c r="I365" s="42" t="n"/>
      <c r="J365" s="42" t="n"/>
      <c r="K365" s="42" t="n"/>
      <c r="L365" s="42" t="n"/>
      <c r="M365" s="61" t="n"/>
      <c r="N365" s="42" t="n"/>
      <c r="O365" s="42" t="n"/>
      <c r="P365" s="42" t="n"/>
      <c r="Q365" s="42" t="n"/>
      <c r="R365" s="42" t="n"/>
      <c r="S365" s="60">
        <f>IF($C365="","",SUM($G365:$L365))</f>
        <v/>
      </c>
      <c r="T365" s="60">
        <f>IF($C365="","",SUM($N365:$R365))</f>
        <v/>
      </c>
      <c r="U365" s="60">
        <f>IF($C365="","",$S365-$T365)</f>
        <v/>
      </c>
      <c r="V365" s="40" t="n"/>
      <c r="W365" s="110" t="n"/>
      <c r="X365" s="40" t="n"/>
      <c r="Y365" s="43">
        <f>IF($C365="","",IF(SUMPRODUCT(($C$3:$C$502=$C365)*($A$3:$A$502=$A365)*($B$3:$B$502=$B365))&gt;1,"⚠ مكرر","سليم"))</f>
        <v/>
      </c>
      <c r="Z365">
        <f>IF(AND($C365&lt;&gt;"",$A365=تقرير_الشهر,$B365=تقرير_السنة),SUMPRODUCT(($C$3:$C$502&lt;&gt;"")*($A$3:$A$502=تقرير_الشهر)*($B$3:$B$502=تقرير_السنة)*(ROW($C$3:$C$502)&lt;=ROW())),"")</f>
        <v/>
      </c>
    </row>
    <row r="366">
      <c r="A366" s="47" t="n"/>
      <c r="B366" s="62" t="n"/>
      <c r="C366" s="47" t="n"/>
      <c r="D366" s="50">
        <f>IFERROR(INDEX(الموظفون_الاسم,MATCH($C366,الموظفون_الرقم,0)),"")</f>
        <v/>
      </c>
      <c r="E366" s="50">
        <f>IFERROR(INDEX(الموظفون_الإدارة,MATCH($C366,الموظفون_الرقم,0)),"")</f>
        <v/>
      </c>
      <c r="F366" s="50">
        <f>IFERROR(INDEX(الموظفون_القسم,MATCH($C366,الموظفون_الرقم,0)),"")</f>
        <v/>
      </c>
      <c r="G366" s="63">
        <f>IF($C366="","",IFERROR(INDEX(الموظفون_الاساسي,MATCH($C366,الموظفون_الرقم,0)),0))</f>
        <v/>
      </c>
      <c r="H366" s="49" t="n"/>
      <c r="I366" s="49" t="n"/>
      <c r="J366" s="49" t="n"/>
      <c r="K366" s="49" t="n"/>
      <c r="L366" s="49" t="n"/>
      <c r="M366" s="64" t="n"/>
      <c r="N366" s="49" t="n"/>
      <c r="O366" s="49" t="n"/>
      <c r="P366" s="49" t="n"/>
      <c r="Q366" s="49" t="n"/>
      <c r="R366" s="49" t="n"/>
      <c r="S366" s="63">
        <f>IF($C366="","",SUM($G366:$L366))</f>
        <v/>
      </c>
      <c r="T366" s="63">
        <f>IF($C366="","",SUM($N366:$R366))</f>
        <v/>
      </c>
      <c r="U366" s="63">
        <f>IF($C366="","",$S366-$T366)</f>
        <v/>
      </c>
      <c r="V366" s="47" t="n"/>
      <c r="W366" s="112" t="n"/>
      <c r="X366" s="47" t="n"/>
      <c r="Y366" s="50">
        <f>IF($C366="","",IF(SUMPRODUCT(($C$3:$C$502=$C366)*($A$3:$A$502=$A366)*($B$3:$B$502=$B366))&gt;1,"⚠ مكرر","سليم"))</f>
        <v/>
      </c>
      <c r="Z366">
        <f>IF(AND($C366&lt;&gt;"",$A366=تقرير_الشهر,$B366=تقرير_السنة),SUMPRODUCT(($C$3:$C$502&lt;&gt;"")*($A$3:$A$502=تقرير_الشهر)*($B$3:$B$502=تقرير_السنة)*(ROW($C$3:$C$502)&lt;=ROW())),"")</f>
        <v/>
      </c>
    </row>
    <row r="367">
      <c r="A367" s="40" t="n"/>
      <c r="B367" s="59" t="n"/>
      <c r="C367" s="40" t="n"/>
      <c r="D367" s="43">
        <f>IFERROR(INDEX(الموظفون_الاسم,MATCH($C367,الموظفون_الرقم,0)),"")</f>
        <v/>
      </c>
      <c r="E367" s="43">
        <f>IFERROR(INDEX(الموظفون_الإدارة,MATCH($C367,الموظفون_الرقم,0)),"")</f>
        <v/>
      </c>
      <c r="F367" s="43">
        <f>IFERROR(INDEX(الموظفون_القسم,MATCH($C367,الموظفون_الرقم,0)),"")</f>
        <v/>
      </c>
      <c r="G367" s="60">
        <f>IF($C367="","",IFERROR(INDEX(الموظفون_الاساسي,MATCH($C367,الموظفون_الرقم,0)),0))</f>
        <v/>
      </c>
      <c r="H367" s="42" t="n"/>
      <c r="I367" s="42" t="n"/>
      <c r="J367" s="42" t="n"/>
      <c r="K367" s="42" t="n"/>
      <c r="L367" s="42" t="n"/>
      <c r="M367" s="61" t="n"/>
      <c r="N367" s="42" t="n"/>
      <c r="O367" s="42" t="n"/>
      <c r="P367" s="42" t="n"/>
      <c r="Q367" s="42" t="n"/>
      <c r="R367" s="42" t="n"/>
      <c r="S367" s="60">
        <f>IF($C367="","",SUM($G367:$L367))</f>
        <v/>
      </c>
      <c r="T367" s="60">
        <f>IF($C367="","",SUM($N367:$R367))</f>
        <v/>
      </c>
      <c r="U367" s="60">
        <f>IF($C367="","",$S367-$T367)</f>
        <v/>
      </c>
      <c r="V367" s="40" t="n"/>
      <c r="W367" s="110" t="n"/>
      <c r="X367" s="40" t="n"/>
      <c r="Y367" s="43">
        <f>IF($C367="","",IF(SUMPRODUCT(($C$3:$C$502=$C367)*($A$3:$A$502=$A367)*($B$3:$B$502=$B367))&gt;1,"⚠ مكرر","سليم"))</f>
        <v/>
      </c>
      <c r="Z367">
        <f>IF(AND($C367&lt;&gt;"",$A367=تقرير_الشهر,$B367=تقرير_السنة),SUMPRODUCT(($C$3:$C$502&lt;&gt;"")*($A$3:$A$502=تقرير_الشهر)*($B$3:$B$502=تقرير_السنة)*(ROW($C$3:$C$502)&lt;=ROW())),"")</f>
        <v/>
      </c>
    </row>
    <row r="368">
      <c r="A368" s="47" t="n"/>
      <c r="B368" s="62" t="n"/>
      <c r="C368" s="47" t="n"/>
      <c r="D368" s="50">
        <f>IFERROR(INDEX(الموظفون_الاسم,MATCH($C368,الموظفون_الرقم,0)),"")</f>
        <v/>
      </c>
      <c r="E368" s="50">
        <f>IFERROR(INDEX(الموظفون_الإدارة,MATCH($C368,الموظفون_الرقم,0)),"")</f>
        <v/>
      </c>
      <c r="F368" s="50">
        <f>IFERROR(INDEX(الموظفون_القسم,MATCH($C368,الموظفون_الرقم,0)),"")</f>
        <v/>
      </c>
      <c r="G368" s="63">
        <f>IF($C368="","",IFERROR(INDEX(الموظفون_الاساسي,MATCH($C368,الموظفون_الرقم,0)),0))</f>
        <v/>
      </c>
      <c r="H368" s="49" t="n"/>
      <c r="I368" s="49" t="n"/>
      <c r="J368" s="49" t="n"/>
      <c r="K368" s="49" t="n"/>
      <c r="L368" s="49" t="n"/>
      <c r="M368" s="64" t="n"/>
      <c r="N368" s="49" t="n"/>
      <c r="O368" s="49" t="n"/>
      <c r="P368" s="49" t="n"/>
      <c r="Q368" s="49" t="n"/>
      <c r="R368" s="49" t="n"/>
      <c r="S368" s="63">
        <f>IF($C368="","",SUM($G368:$L368))</f>
        <v/>
      </c>
      <c r="T368" s="63">
        <f>IF($C368="","",SUM($N368:$R368))</f>
        <v/>
      </c>
      <c r="U368" s="63">
        <f>IF($C368="","",$S368-$T368)</f>
        <v/>
      </c>
      <c r="V368" s="47" t="n"/>
      <c r="W368" s="112" t="n"/>
      <c r="X368" s="47" t="n"/>
      <c r="Y368" s="50">
        <f>IF($C368="","",IF(SUMPRODUCT(($C$3:$C$502=$C368)*($A$3:$A$502=$A368)*($B$3:$B$502=$B368))&gt;1,"⚠ مكرر","سليم"))</f>
        <v/>
      </c>
      <c r="Z368">
        <f>IF(AND($C368&lt;&gt;"",$A368=تقرير_الشهر,$B368=تقرير_السنة),SUMPRODUCT(($C$3:$C$502&lt;&gt;"")*($A$3:$A$502=تقرير_الشهر)*($B$3:$B$502=تقرير_السنة)*(ROW($C$3:$C$502)&lt;=ROW())),"")</f>
        <v/>
      </c>
    </row>
    <row r="369">
      <c r="A369" s="40" t="n"/>
      <c r="B369" s="59" t="n"/>
      <c r="C369" s="40" t="n"/>
      <c r="D369" s="43">
        <f>IFERROR(INDEX(الموظفون_الاسم,MATCH($C369,الموظفون_الرقم,0)),"")</f>
        <v/>
      </c>
      <c r="E369" s="43">
        <f>IFERROR(INDEX(الموظفون_الإدارة,MATCH($C369,الموظفون_الرقم,0)),"")</f>
        <v/>
      </c>
      <c r="F369" s="43">
        <f>IFERROR(INDEX(الموظفون_القسم,MATCH($C369,الموظفون_الرقم,0)),"")</f>
        <v/>
      </c>
      <c r="G369" s="60">
        <f>IF($C369="","",IFERROR(INDEX(الموظفون_الاساسي,MATCH($C369,الموظفون_الرقم,0)),0))</f>
        <v/>
      </c>
      <c r="H369" s="42" t="n"/>
      <c r="I369" s="42" t="n"/>
      <c r="J369" s="42" t="n"/>
      <c r="K369" s="42" t="n"/>
      <c r="L369" s="42" t="n"/>
      <c r="M369" s="61" t="n"/>
      <c r="N369" s="42" t="n"/>
      <c r="O369" s="42" t="n"/>
      <c r="P369" s="42" t="n"/>
      <c r="Q369" s="42" t="n"/>
      <c r="R369" s="42" t="n"/>
      <c r="S369" s="60">
        <f>IF($C369="","",SUM($G369:$L369))</f>
        <v/>
      </c>
      <c r="T369" s="60">
        <f>IF($C369="","",SUM($N369:$R369))</f>
        <v/>
      </c>
      <c r="U369" s="60">
        <f>IF($C369="","",$S369-$T369)</f>
        <v/>
      </c>
      <c r="V369" s="40" t="n"/>
      <c r="W369" s="110" t="n"/>
      <c r="X369" s="40" t="n"/>
      <c r="Y369" s="43">
        <f>IF($C369="","",IF(SUMPRODUCT(($C$3:$C$502=$C369)*($A$3:$A$502=$A369)*($B$3:$B$502=$B369))&gt;1,"⚠ مكرر","سليم"))</f>
        <v/>
      </c>
      <c r="Z369">
        <f>IF(AND($C369&lt;&gt;"",$A369=تقرير_الشهر,$B369=تقرير_السنة),SUMPRODUCT(($C$3:$C$502&lt;&gt;"")*($A$3:$A$502=تقرير_الشهر)*($B$3:$B$502=تقرير_السنة)*(ROW($C$3:$C$502)&lt;=ROW())),"")</f>
        <v/>
      </c>
    </row>
    <row r="370">
      <c r="A370" s="47" t="n"/>
      <c r="B370" s="62" t="n"/>
      <c r="C370" s="47" t="n"/>
      <c r="D370" s="50">
        <f>IFERROR(INDEX(الموظفون_الاسم,MATCH($C370,الموظفون_الرقم,0)),"")</f>
        <v/>
      </c>
      <c r="E370" s="50">
        <f>IFERROR(INDEX(الموظفون_الإدارة,MATCH($C370,الموظفون_الرقم,0)),"")</f>
        <v/>
      </c>
      <c r="F370" s="50">
        <f>IFERROR(INDEX(الموظفون_القسم,MATCH($C370,الموظفون_الرقم,0)),"")</f>
        <v/>
      </c>
      <c r="G370" s="63">
        <f>IF($C370="","",IFERROR(INDEX(الموظفون_الاساسي,MATCH($C370,الموظفون_الرقم,0)),0))</f>
        <v/>
      </c>
      <c r="H370" s="49" t="n"/>
      <c r="I370" s="49" t="n"/>
      <c r="J370" s="49" t="n"/>
      <c r="K370" s="49" t="n"/>
      <c r="L370" s="49" t="n"/>
      <c r="M370" s="64" t="n"/>
      <c r="N370" s="49" t="n"/>
      <c r="O370" s="49" t="n"/>
      <c r="P370" s="49" t="n"/>
      <c r="Q370" s="49" t="n"/>
      <c r="R370" s="49" t="n"/>
      <c r="S370" s="63">
        <f>IF($C370="","",SUM($G370:$L370))</f>
        <v/>
      </c>
      <c r="T370" s="63">
        <f>IF($C370="","",SUM($N370:$R370))</f>
        <v/>
      </c>
      <c r="U370" s="63">
        <f>IF($C370="","",$S370-$T370)</f>
        <v/>
      </c>
      <c r="V370" s="47" t="n"/>
      <c r="W370" s="112" t="n"/>
      <c r="X370" s="47" t="n"/>
      <c r="Y370" s="50">
        <f>IF($C370="","",IF(SUMPRODUCT(($C$3:$C$502=$C370)*($A$3:$A$502=$A370)*($B$3:$B$502=$B370))&gt;1,"⚠ مكرر","سليم"))</f>
        <v/>
      </c>
      <c r="Z370">
        <f>IF(AND($C370&lt;&gt;"",$A370=تقرير_الشهر,$B370=تقرير_السنة),SUMPRODUCT(($C$3:$C$502&lt;&gt;"")*($A$3:$A$502=تقرير_الشهر)*($B$3:$B$502=تقرير_السنة)*(ROW($C$3:$C$502)&lt;=ROW())),"")</f>
        <v/>
      </c>
    </row>
    <row r="371">
      <c r="A371" s="40" t="n"/>
      <c r="B371" s="59" t="n"/>
      <c r="C371" s="40" t="n"/>
      <c r="D371" s="43">
        <f>IFERROR(INDEX(الموظفون_الاسم,MATCH($C371,الموظفون_الرقم,0)),"")</f>
        <v/>
      </c>
      <c r="E371" s="43">
        <f>IFERROR(INDEX(الموظفون_الإدارة,MATCH($C371,الموظفون_الرقم,0)),"")</f>
        <v/>
      </c>
      <c r="F371" s="43">
        <f>IFERROR(INDEX(الموظفون_القسم,MATCH($C371,الموظفون_الرقم,0)),"")</f>
        <v/>
      </c>
      <c r="G371" s="60">
        <f>IF($C371="","",IFERROR(INDEX(الموظفون_الاساسي,MATCH($C371,الموظفون_الرقم,0)),0))</f>
        <v/>
      </c>
      <c r="H371" s="42" t="n"/>
      <c r="I371" s="42" t="n"/>
      <c r="J371" s="42" t="n"/>
      <c r="K371" s="42" t="n"/>
      <c r="L371" s="42" t="n"/>
      <c r="M371" s="61" t="n"/>
      <c r="N371" s="42" t="n"/>
      <c r="O371" s="42" t="n"/>
      <c r="P371" s="42" t="n"/>
      <c r="Q371" s="42" t="n"/>
      <c r="R371" s="42" t="n"/>
      <c r="S371" s="60">
        <f>IF($C371="","",SUM($G371:$L371))</f>
        <v/>
      </c>
      <c r="T371" s="60">
        <f>IF($C371="","",SUM($N371:$R371))</f>
        <v/>
      </c>
      <c r="U371" s="60">
        <f>IF($C371="","",$S371-$T371)</f>
        <v/>
      </c>
      <c r="V371" s="40" t="n"/>
      <c r="W371" s="110" t="n"/>
      <c r="X371" s="40" t="n"/>
      <c r="Y371" s="43">
        <f>IF($C371="","",IF(SUMPRODUCT(($C$3:$C$502=$C371)*($A$3:$A$502=$A371)*($B$3:$B$502=$B371))&gt;1,"⚠ مكرر","سليم"))</f>
        <v/>
      </c>
      <c r="Z371">
        <f>IF(AND($C371&lt;&gt;"",$A371=تقرير_الشهر,$B371=تقرير_السنة),SUMPRODUCT(($C$3:$C$502&lt;&gt;"")*($A$3:$A$502=تقرير_الشهر)*($B$3:$B$502=تقرير_السنة)*(ROW($C$3:$C$502)&lt;=ROW())),"")</f>
        <v/>
      </c>
    </row>
    <row r="372">
      <c r="A372" s="47" t="n"/>
      <c r="B372" s="62" t="n"/>
      <c r="C372" s="47" t="n"/>
      <c r="D372" s="50">
        <f>IFERROR(INDEX(الموظفون_الاسم,MATCH($C372,الموظفون_الرقم,0)),"")</f>
        <v/>
      </c>
      <c r="E372" s="50">
        <f>IFERROR(INDEX(الموظفون_الإدارة,MATCH($C372,الموظفون_الرقم,0)),"")</f>
        <v/>
      </c>
      <c r="F372" s="50">
        <f>IFERROR(INDEX(الموظفون_القسم,MATCH($C372,الموظفون_الرقم,0)),"")</f>
        <v/>
      </c>
      <c r="G372" s="63">
        <f>IF($C372="","",IFERROR(INDEX(الموظفون_الاساسي,MATCH($C372,الموظفون_الرقم,0)),0))</f>
        <v/>
      </c>
      <c r="H372" s="49" t="n"/>
      <c r="I372" s="49" t="n"/>
      <c r="J372" s="49" t="n"/>
      <c r="K372" s="49" t="n"/>
      <c r="L372" s="49" t="n"/>
      <c r="M372" s="64" t="n"/>
      <c r="N372" s="49" t="n"/>
      <c r="O372" s="49" t="n"/>
      <c r="P372" s="49" t="n"/>
      <c r="Q372" s="49" t="n"/>
      <c r="R372" s="49" t="n"/>
      <c r="S372" s="63">
        <f>IF($C372="","",SUM($G372:$L372))</f>
        <v/>
      </c>
      <c r="T372" s="63">
        <f>IF($C372="","",SUM($N372:$R372))</f>
        <v/>
      </c>
      <c r="U372" s="63">
        <f>IF($C372="","",$S372-$T372)</f>
        <v/>
      </c>
      <c r="V372" s="47" t="n"/>
      <c r="W372" s="112" t="n"/>
      <c r="X372" s="47" t="n"/>
      <c r="Y372" s="50">
        <f>IF($C372="","",IF(SUMPRODUCT(($C$3:$C$502=$C372)*($A$3:$A$502=$A372)*($B$3:$B$502=$B372))&gt;1,"⚠ مكرر","سليم"))</f>
        <v/>
      </c>
      <c r="Z372">
        <f>IF(AND($C372&lt;&gt;"",$A372=تقرير_الشهر,$B372=تقرير_السنة),SUMPRODUCT(($C$3:$C$502&lt;&gt;"")*($A$3:$A$502=تقرير_الشهر)*($B$3:$B$502=تقرير_السنة)*(ROW($C$3:$C$502)&lt;=ROW())),"")</f>
        <v/>
      </c>
    </row>
    <row r="373">
      <c r="A373" s="40" t="n"/>
      <c r="B373" s="59" t="n"/>
      <c r="C373" s="40" t="n"/>
      <c r="D373" s="43">
        <f>IFERROR(INDEX(الموظفون_الاسم,MATCH($C373,الموظفون_الرقم,0)),"")</f>
        <v/>
      </c>
      <c r="E373" s="43">
        <f>IFERROR(INDEX(الموظفون_الإدارة,MATCH($C373,الموظفون_الرقم,0)),"")</f>
        <v/>
      </c>
      <c r="F373" s="43">
        <f>IFERROR(INDEX(الموظفون_القسم,MATCH($C373,الموظفون_الرقم,0)),"")</f>
        <v/>
      </c>
      <c r="G373" s="60">
        <f>IF($C373="","",IFERROR(INDEX(الموظفون_الاساسي,MATCH($C373,الموظفون_الرقم,0)),0))</f>
        <v/>
      </c>
      <c r="H373" s="42" t="n"/>
      <c r="I373" s="42" t="n"/>
      <c r="J373" s="42" t="n"/>
      <c r="K373" s="42" t="n"/>
      <c r="L373" s="42" t="n"/>
      <c r="M373" s="61" t="n"/>
      <c r="N373" s="42" t="n"/>
      <c r="O373" s="42" t="n"/>
      <c r="P373" s="42" t="n"/>
      <c r="Q373" s="42" t="n"/>
      <c r="R373" s="42" t="n"/>
      <c r="S373" s="60">
        <f>IF($C373="","",SUM($G373:$L373))</f>
        <v/>
      </c>
      <c r="T373" s="60">
        <f>IF($C373="","",SUM($N373:$R373))</f>
        <v/>
      </c>
      <c r="U373" s="60">
        <f>IF($C373="","",$S373-$T373)</f>
        <v/>
      </c>
      <c r="V373" s="40" t="n"/>
      <c r="W373" s="110" t="n"/>
      <c r="X373" s="40" t="n"/>
      <c r="Y373" s="43">
        <f>IF($C373="","",IF(SUMPRODUCT(($C$3:$C$502=$C373)*($A$3:$A$502=$A373)*($B$3:$B$502=$B373))&gt;1,"⚠ مكرر","سليم"))</f>
        <v/>
      </c>
      <c r="Z373">
        <f>IF(AND($C373&lt;&gt;"",$A373=تقرير_الشهر,$B373=تقرير_السنة),SUMPRODUCT(($C$3:$C$502&lt;&gt;"")*($A$3:$A$502=تقرير_الشهر)*($B$3:$B$502=تقرير_السنة)*(ROW($C$3:$C$502)&lt;=ROW())),"")</f>
        <v/>
      </c>
    </row>
    <row r="374">
      <c r="A374" s="47" t="n"/>
      <c r="B374" s="62" t="n"/>
      <c r="C374" s="47" t="n"/>
      <c r="D374" s="50">
        <f>IFERROR(INDEX(الموظفون_الاسم,MATCH($C374,الموظفون_الرقم,0)),"")</f>
        <v/>
      </c>
      <c r="E374" s="50">
        <f>IFERROR(INDEX(الموظفون_الإدارة,MATCH($C374,الموظفون_الرقم,0)),"")</f>
        <v/>
      </c>
      <c r="F374" s="50">
        <f>IFERROR(INDEX(الموظفون_القسم,MATCH($C374,الموظفون_الرقم,0)),"")</f>
        <v/>
      </c>
      <c r="G374" s="63">
        <f>IF($C374="","",IFERROR(INDEX(الموظفون_الاساسي,MATCH($C374,الموظفون_الرقم,0)),0))</f>
        <v/>
      </c>
      <c r="H374" s="49" t="n"/>
      <c r="I374" s="49" t="n"/>
      <c r="J374" s="49" t="n"/>
      <c r="K374" s="49" t="n"/>
      <c r="L374" s="49" t="n"/>
      <c r="M374" s="64" t="n"/>
      <c r="N374" s="49" t="n"/>
      <c r="O374" s="49" t="n"/>
      <c r="P374" s="49" t="n"/>
      <c r="Q374" s="49" t="n"/>
      <c r="R374" s="49" t="n"/>
      <c r="S374" s="63">
        <f>IF($C374="","",SUM($G374:$L374))</f>
        <v/>
      </c>
      <c r="T374" s="63">
        <f>IF($C374="","",SUM($N374:$R374))</f>
        <v/>
      </c>
      <c r="U374" s="63">
        <f>IF($C374="","",$S374-$T374)</f>
        <v/>
      </c>
      <c r="V374" s="47" t="n"/>
      <c r="W374" s="112" t="n"/>
      <c r="X374" s="47" t="n"/>
      <c r="Y374" s="50">
        <f>IF($C374="","",IF(SUMPRODUCT(($C$3:$C$502=$C374)*($A$3:$A$502=$A374)*($B$3:$B$502=$B374))&gt;1,"⚠ مكرر","سليم"))</f>
        <v/>
      </c>
      <c r="Z374">
        <f>IF(AND($C374&lt;&gt;"",$A374=تقرير_الشهر,$B374=تقرير_السنة),SUMPRODUCT(($C$3:$C$502&lt;&gt;"")*($A$3:$A$502=تقرير_الشهر)*($B$3:$B$502=تقرير_السنة)*(ROW($C$3:$C$502)&lt;=ROW())),"")</f>
        <v/>
      </c>
    </row>
    <row r="375">
      <c r="A375" s="40" t="n"/>
      <c r="B375" s="59" t="n"/>
      <c r="C375" s="40" t="n"/>
      <c r="D375" s="43">
        <f>IFERROR(INDEX(الموظفون_الاسم,MATCH($C375,الموظفون_الرقم,0)),"")</f>
        <v/>
      </c>
      <c r="E375" s="43">
        <f>IFERROR(INDEX(الموظفون_الإدارة,MATCH($C375,الموظفون_الرقم,0)),"")</f>
        <v/>
      </c>
      <c r="F375" s="43">
        <f>IFERROR(INDEX(الموظفون_القسم,MATCH($C375,الموظفون_الرقم,0)),"")</f>
        <v/>
      </c>
      <c r="G375" s="60">
        <f>IF($C375="","",IFERROR(INDEX(الموظفون_الاساسي,MATCH($C375,الموظفون_الرقم,0)),0))</f>
        <v/>
      </c>
      <c r="H375" s="42" t="n"/>
      <c r="I375" s="42" t="n"/>
      <c r="J375" s="42" t="n"/>
      <c r="K375" s="42" t="n"/>
      <c r="L375" s="42" t="n"/>
      <c r="M375" s="61" t="n"/>
      <c r="N375" s="42" t="n"/>
      <c r="O375" s="42" t="n"/>
      <c r="P375" s="42" t="n"/>
      <c r="Q375" s="42" t="n"/>
      <c r="R375" s="42" t="n"/>
      <c r="S375" s="60">
        <f>IF($C375="","",SUM($G375:$L375))</f>
        <v/>
      </c>
      <c r="T375" s="60">
        <f>IF($C375="","",SUM($N375:$R375))</f>
        <v/>
      </c>
      <c r="U375" s="60">
        <f>IF($C375="","",$S375-$T375)</f>
        <v/>
      </c>
      <c r="V375" s="40" t="n"/>
      <c r="W375" s="110" t="n"/>
      <c r="X375" s="40" t="n"/>
      <c r="Y375" s="43">
        <f>IF($C375="","",IF(SUMPRODUCT(($C$3:$C$502=$C375)*($A$3:$A$502=$A375)*($B$3:$B$502=$B375))&gt;1,"⚠ مكرر","سليم"))</f>
        <v/>
      </c>
      <c r="Z375">
        <f>IF(AND($C375&lt;&gt;"",$A375=تقرير_الشهر,$B375=تقرير_السنة),SUMPRODUCT(($C$3:$C$502&lt;&gt;"")*($A$3:$A$502=تقرير_الشهر)*($B$3:$B$502=تقرير_السنة)*(ROW($C$3:$C$502)&lt;=ROW())),"")</f>
        <v/>
      </c>
    </row>
    <row r="376">
      <c r="A376" s="47" t="n"/>
      <c r="B376" s="62" t="n"/>
      <c r="C376" s="47" t="n"/>
      <c r="D376" s="50">
        <f>IFERROR(INDEX(الموظفون_الاسم,MATCH($C376,الموظفون_الرقم,0)),"")</f>
        <v/>
      </c>
      <c r="E376" s="50">
        <f>IFERROR(INDEX(الموظفون_الإدارة,MATCH($C376,الموظفون_الرقم,0)),"")</f>
        <v/>
      </c>
      <c r="F376" s="50">
        <f>IFERROR(INDEX(الموظفون_القسم,MATCH($C376,الموظفون_الرقم,0)),"")</f>
        <v/>
      </c>
      <c r="G376" s="63">
        <f>IF($C376="","",IFERROR(INDEX(الموظفون_الاساسي,MATCH($C376,الموظفون_الرقم,0)),0))</f>
        <v/>
      </c>
      <c r="H376" s="49" t="n"/>
      <c r="I376" s="49" t="n"/>
      <c r="J376" s="49" t="n"/>
      <c r="K376" s="49" t="n"/>
      <c r="L376" s="49" t="n"/>
      <c r="M376" s="64" t="n"/>
      <c r="N376" s="49" t="n"/>
      <c r="O376" s="49" t="n"/>
      <c r="P376" s="49" t="n"/>
      <c r="Q376" s="49" t="n"/>
      <c r="R376" s="49" t="n"/>
      <c r="S376" s="63">
        <f>IF($C376="","",SUM($G376:$L376))</f>
        <v/>
      </c>
      <c r="T376" s="63">
        <f>IF($C376="","",SUM($N376:$R376))</f>
        <v/>
      </c>
      <c r="U376" s="63">
        <f>IF($C376="","",$S376-$T376)</f>
        <v/>
      </c>
      <c r="V376" s="47" t="n"/>
      <c r="W376" s="112" t="n"/>
      <c r="X376" s="47" t="n"/>
      <c r="Y376" s="50">
        <f>IF($C376="","",IF(SUMPRODUCT(($C$3:$C$502=$C376)*($A$3:$A$502=$A376)*($B$3:$B$502=$B376))&gt;1,"⚠ مكرر","سليم"))</f>
        <v/>
      </c>
      <c r="Z376">
        <f>IF(AND($C376&lt;&gt;"",$A376=تقرير_الشهر,$B376=تقرير_السنة),SUMPRODUCT(($C$3:$C$502&lt;&gt;"")*($A$3:$A$502=تقرير_الشهر)*($B$3:$B$502=تقرير_السنة)*(ROW($C$3:$C$502)&lt;=ROW())),"")</f>
        <v/>
      </c>
    </row>
    <row r="377">
      <c r="A377" s="40" t="n"/>
      <c r="B377" s="59" t="n"/>
      <c r="C377" s="40" t="n"/>
      <c r="D377" s="43">
        <f>IFERROR(INDEX(الموظفون_الاسم,MATCH($C377,الموظفون_الرقم,0)),"")</f>
        <v/>
      </c>
      <c r="E377" s="43">
        <f>IFERROR(INDEX(الموظفون_الإدارة,MATCH($C377,الموظفون_الرقم,0)),"")</f>
        <v/>
      </c>
      <c r="F377" s="43">
        <f>IFERROR(INDEX(الموظفون_القسم,MATCH($C377,الموظفون_الرقم,0)),"")</f>
        <v/>
      </c>
      <c r="G377" s="60">
        <f>IF($C377="","",IFERROR(INDEX(الموظفون_الاساسي,MATCH($C377,الموظفون_الرقم,0)),0))</f>
        <v/>
      </c>
      <c r="H377" s="42" t="n"/>
      <c r="I377" s="42" t="n"/>
      <c r="J377" s="42" t="n"/>
      <c r="K377" s="42" t="n"/>
      <c r="L377" s="42" t="n"/>
      <c r="M377" s="61" t="n"/>
      <c r="N377" s="42" t="n"/>
      <c r="O377" s="42" t="n"/>
      <c r="P377" s="42" t="n"/>
      <c r="Q377" s="42" t="n"/>
      <c r="R377" s="42" t="n"/>
      <c r="S377" s="60">
        <f>IF($C377="","",SUM($G377:$L377))</f>
        <v/>
      </c>
      <c r="T377" s="60">
        <f>IF($C377="","",SUM($N377:$R377))</f>
        <v/>
      </c>
      <c r="U377" s="60">
        <f>IF($C377="","",$S377-$T377)</f>
        <v/>
      </c>
      <c r="V377" s="40" t="n"/>
      <c r="W377" s="110" t="n"/>
      <c r="X377" s="40" t="n"/>
      <c r="Y377" s="43">
        <f>IF($C377="","",IF(SUMPRODUCT(($C$3:$C$502=$C377)*($A$3:$A$502=$A377)*($B$3:$B$502=$B377))&gt;1,"⚠ مكرر","سليم"))</f>
        <v/>
      </c>
      <c r="Z377">
        <f>IF(AND($C377&lt;&gt;"",$A377=تقرير_الشهر,$B377=تقرير_السنة),SUMPRODUCT(($C$3:$C$502&lt;&gt;"")*($A$3:$A$502=تقرير_الشهر)*($B$3:$B$502=تقرير_السنة)*(ROW($C$3:$C$502)&lt;=ROW())),"")</f>
        <v/>
      </c>
    </row>
    <row r="378">
      <c r="A378" s="47" t="n"/>
      <c r="B378" s="62" t="n"/>
      <c r="C378" s="47" t="n"/>
      <c r="D378" s="50">
        <f>IFERROR(INDEX(الموظفون_الاسم,MATCH($C378,الموظفون_الرقم,0)),"")</f>
        <v/>
      </c>
      <c r="E378" s="50">
        <f>IFERROR(INDEX(الموظفون_الإدارة,MATCH($C378,الموظفون_الرقم,0)),"")</f>
        <v/>
      </c>
      <c r="F378" s="50">
        <f>IFERROR(INDEX(الموظفون_القسم,MATCH($C378,الموظفون_الرقم,0)),"")</f>
        <v/>
      </c>
      <c r="G378" s="63">
        <f>IF($C378="","",IFERROR(INDEX(الموظفون_الاساسي,MATCH($C378,الموظفون_الرقم,0)),0))</f>
        <v/>
      </c>
      <c r="H378" s="49" t="n"/>
      <c r="I378" s="49" t="n"/>
      <c r="J378" s="49" t="n"/>
      <c r="K378" s="49" t="n"/>
      <c r="L378" s="49" t="n"/>
      <c r="M378" s="64" t="n"/>
      <c r="N378" s="49" t="n"/>
      <c r="O378" s="49" t="n"/>
      <c r="P378" s="49" t="n"/>
      <c r="Q378" s="49" t="n"/>
      <c r="R378" s="49" t="n"/>
      <c r="S378" s="63">
        <f>IF($C378="","",SUM($G378:$L378))</f>
        <v/>
      </c>
      <c r="T378" s="63">
        <f>IF($C378="","",SUM($N378:$R378))</f>
        <v/>
      </c>
      <c r="U378" s="63">
        <f>IF($C378="","",$S378-$T378)</f>
        <v/>
      </c>
      <c r="V378" s="47" t="n"/>
      <c r="W378" s="112" t="n"/>
      <c r="X378" s="47" t="n"/>
      <c r="Y378" s="50">
        <f>IF($C378="","",IF(SUMPRODUCT(($C$3:$C$502=$C378)*($A$3:$A$502=$A378)*($B$3:$B$502=$B378))&gt;1,"⚠ مكرر","سليم"))</f>
        <v/>
      </c>
      <c r="Z378">
        <f>IF(AND($C378&lt;&gt;"",$A378=تقرير_الشهر,$B378=تقرير_السنة),SUMPRODUCT(($C$3:$C$502&lt;&gt;"")*($A$3:$A$502=تقرير_الشهر)*($B$3:$B$502=تقرير_السنة)*(ROW($C$3:$C$502)&lt;=ROW())),"")</f>
        <v/>
      </c>
    </row>
    <row r="379">
      <c r="A379" s="40" t="n"/>
      <c r="B379" s="59" t="n"/>
      <c r="C379" s="40" t="n"/>
      <c r="D379" s="43">
        <f>IFERROR(INDEX(الموظفون_الاسم,MATCH($C379,الموظفون_الرقم,0)),"")</f>
        <v/>
      </c>
      <c r="E379" s="43">
        <f>IFERROR(INDEX(الموظفون_الإدارة,MATCH($C379,الموظفون_الرقم,0)),"")</f>
        <v/>
      </c>
      <c r="F379" s="43">
        <f>IFERROR(INDEX(الموظفون_القسم,MATCH($C379,الموظفون_الرقم,0)),"")</f>
        <v/>
      </c>
      <c r="G379" s="60">
        <f>IF($C379="","",IFERROR(INDEX(الموظفون_الاساسي,MATCH($C379,الموظفون_الرقم,0)),0))</f>
        <v/>
      </c>
      <c r="H379" s="42" t="n"/>
      <c r="I379" s="42" t="n"/>
      <c r="J379" s="42" t="n"/>
      <c r="K379" s="42" t="n"/>
      <c r="L379" s="42" t="n"/>
      <c r="M379" s="61" t="n"/>
      <c r="N379" s="42" t="n"/>
      <c r="O379" s="42" t="n"/>
      <c r="P379" s="42" t="n"/>
      <c r="Q379" s="42" t="n"/>
      <c r="R379" s="42" t="n"/>
      <c r="S379" s="60">
        <f>IF($C379="","",SUM($G379:$L379))</f>
        <v/>
      </c>
      <c r="T379" s="60">
        <f>IF($C379="","",SUM($N379:$R379))</f>
        <v/>
      </c>
      <c r="U379" s="60">
        <f>IF($C379="","",$S379-$T379)</f>
        <v/>
      </c>
      <c r="V379" s="40" t="n"/>
      <c r="W379" s="110" t="n"/>
      <c r="X379" s="40" t="n"/>
      <c r="Y379" s="43">
        <f>IF($C379="","",IF(SUMPRODUCT(($C$3:$C$502=$C379)*($A$3:$A$502=$A379)*($B$3:$B$502=$B379))&gt;1,"⚠ مكرر","سليم"))</f>
        <v/>
      </c>
      <c r="Z379">
        <f>IF(AND($C379&lt;&gt;"",$A379=تقرير_الشهر,$B379=تقرير_السنة),SUMPRODUCT(($C$3:$C$502&lt;&gt;"")*($A$3:$A$502=تقرير_الشهر)*($B$3:$B$502=تقرير_السنة)*(ROW($C$3:$C$502)&lt;=ROW())),"")</f>
        <v/>
      </c>
    </row>
    <row r="380">
      <c r="A380" s="47" t="n"/>
      <c r="B380" s="62" t="n"/>
      <c r="C380" s="47" t="n"/>
      <c r="D380" s="50">
        <f>IFERROR(INDEX(الموظفون_الاسم,MATCH($C380,الموظفون_الرقم,0)),"")</f>
        <v/>
      </c>
      <c r="E380" s="50">
        <f>IFERROR(INDEX(الموظفون_الإدارة,MATCH($C380,الموظفون_الرقم,0)),"")</f>
        <v/>
      </c>
      <c r="F380" s="50">
        <f>IFERROR(INDEX(الموظفون_القسم,MATCH($C380,الموظفون_الرقم,0)),"")</f>
        <v/>
      </c>
      <c r="G380" s="63">
        <f>IF($C380="","",IFERROR(INDEX(الموظفون_الاساسي,MATCH($C380,الموظفون_الرقم,0)),0))</f>
        <v/>
      </c>
      <c r="H380" s="49" t="n"/>
      <c r="I380" s="49" t="n"/>
      <c r="J380" s="49" t="n"/>
      <c r="K380" s="49" t="n"/>
      <c r="L380" s="49" t="n"/>
      <c r="M380" s="64" t="n"/>
      <c r="N380" s="49" t="n"/>
      <c r="O380" s="49" t="n"/>
      <c r="P380" s="49" t="n"/>
      <c r="Q380" s="49" t="n"/>
      <c r="R380" s="49" t="n"/>
      <c r="S380" s="63">
        <f>IF($C380="","",SUM($G380:$L380))</f>
        <v/>
      </c>
      <c r="T380" s="63">
        <f>IF($C380="","",SUM($N380:$R380))</f>
        <v/>
      </c>
      <c r="U380" s="63">
        <f>IF($C380="","",$S380-$T380)</f>
        <v/>
      </c>
      <c r="V380" s="47" t="n"/>
      <c r="W380" s="112" t="n"/>
      <c r="X380" s="47" t="n"/>
      <c r="Y380" s="50">
        <f>IF($C380="","",IF(SUMPRODUCT(($C$3:$C$502=$C380)*($A$3:$A$502=$A380)*($B$3:$B$502=$B380))&gt;1,"⚠ مكرر","سليم"))</f>
        <v/>
      </c>
      <c r="Z380">
        <f>IF(AND($C380&lt;&gt;"",$A380=تقرير_الشهر,$B380=تقرير_السنة),SUMPRODUCT(($C$3:$C$502&lt;&gt;"")*($A$3:$A$502=تقرير_الشهر)*($B$3:$B$502=تقرير_السنة)*(ROW($C$3:$C$502)&lt;=ROW())),"")</f>
        <v/>
      </c>
    </row>
    <row r="381">
      <c r="A381" s="40" t="n"/>
      <c r="B381" s="59" t="n"/>
      <c r="C381" s="40" t="n"/>
      <c r="D381" s="43">
        <f>IFERROR(INDEX(الموظفون_الاسم,MATCH($C381,الموظفون_الرقم,0)),"")</f>
        <v/>
      </c>
      <c r="E381" s="43">
        <f>IFERROR(INDEX(الموظفون_الإدارة,MATCH($C381,الموظفون_الرقم,0)),"")</f>
        <v/>
      </c>
      <c r="F381" s="43">
        <f>IFERROR(INDEX(الموظفون_القسم,MATCH($C381,الموظفون_الرقم,0)),"")</f>
        <v/>
      </c>
      <c r="G381" s="60">
        <f>IF($C381="","",IFERROR(INDEX(الموظفون_الاساسي,MATCH($C381,الموظفون_الرقم,0)),0))</f>
        <v/>
      </c>
      <c r="H381" s="42" t="n"/>
      <c r="I381" s="42" t="n"/>
      <c r="J381" s="42" t="n"/>
      <c r="K381" s="42" t="n"/>
      <c r="L381" s="42" t="n"/>
      <c r="M381" s="61" t="n"/>
      <c r="N381" s="42" t="n"/>
      <c r="O381" s="42" t="n"/>
      <c r="P381" s="42" t="n"/>
      <c r="Q381" s="42" t="n"/>
      <c r="R381" s="42" t="n"/>
      <c r="S381" s="60">
        <f>IF($C381="","",SUM($G381:$L381))</f>
        <v/>
      </c>
      <c r="T381" s="60">
        <f>IF($C381="","",SUM($N381:$R381))</f>
        <v/>
      </c>
      <c r="U381" s="60">
        <f>IF($C381="","",$S381-$T381)</f>
        <v/>
      </c>
      <c r="V381" s="40" t="n"/>
      <c r="W381" s="110" t="n"/>
      <c r="X381" s="40" t="n"/>
      <c r="Y381" s="43">
        <f>IF($C381="","",IF(SUMPRODUCT(($C$3:$C$502=$C381)*($A$3:$A$502=$A381)*($B$3:$B$502=$B381))&gt;1,"⚠ مكرر","سليم"))</f>
        <v/>
      </c>
      <c r="Z381">
        <f>IF(AND($C381&lt;&gt;"",$A381=تقرير_الشهر,$B381=تقرير_السنة),SUMPRODUCT(($C$3:$C$502&lt;&gt;"")*($A$3:$A$502=تقرير_الشهر)*($B$3:$B$502=تقرير_السنة)*(ROW($C$3:$C$502)&lt;=ROW())),"")</f>
        <v/>
      </c>
    </row>
    <row r="382">
      <c r="A382" s="47" t="n"/>
      <c r="B382" s="62" t="n"/>
      <c r="C382" s="47" t="n"/>
      <c r="D382" s="50">
        <f>IFERROR(INDEX(الموظفون_الاسم,MATCH($C382,الموظفون_الرقم,0)),"")</f>
        <v/>
      </c>
      <c r="E382" s="50">
        <f>IFERROR(INDEX(الموظفون_الإدارة,MATCH($C382,الموظفون_الرقم,0)),"")</f>
        <v/>
      </c>
      <c r="F382" s="50">
        <f>IFERROR(INDEX(الموظفون_القسم,MATCH($C382,الموظفون_الرقم,0)),"")</f>
        <v/>
      </c>
      <c r="G382" s="63">
        <f>IF($C382="","",IFERROR(INDEX(الموظفون_الاساسي,MATCH($C382,الموظفون_الرقم,0)),0))</f>
        <v/>
      </c>
      <c r="H382" s="49" t="n"/>
      <c r="I382" s="49" t="n"/>
      <c r="J382" s="49" t="n"/>
      <c r="K382" s="49" t="n"/>
      <c r="L382" s="49" t="n"/>
      <c r="M382" s="64" t="n"/>
      <c r="N382" s="49" t="n"/>
      <c r="O382" s="49" t="n"/>
      <c r="P382" s="49" t="n"/>
      <c r="Q382" s="49" t="n"/>
      <c r="R382" s="49" t="n"/>
      <c r="S382" s="63">
        <f>IF($C382="","",SUM($G382:$L382))</f>
        <v/>
      </c>
      <c r="T382" s="63">
        <f>IF($C382="","",SUM($N382:$R382))</f>
        <v/>
      </c>
      <c r="U382" s="63">
        <f>IF($C382="","",$S382-$T382)</f>
        <v/>
      </c>
      <c r="V382" s="47" t="n"/>
      <c r="W382" s="112" t="n"/>
      <c r="X382" s="47" t="n"/>
      <c r="Y382" s="50">
        <f>IF($C382="","",IF(SUMPRODUCT(($C$3:$C$502=$C382)*($A$3:$A$502=$A382)*($B$3:$B$502=$B382))&gt;1,"⚠ مكرر","سليم"))</f>
        <v/>
      </c>
      <c r="Z382">
        <f>IF(AND($C382&lt;&gt;"",$A382=تقرير_الشهر,$B382=تقرير_السنة),SUMPRODUCT(($C$3:$C$502&lt;&gt;"")*($A$3:$A$502=تقرير_الشهر)*($B$3:$B$502=تقرير_السنة)*(ROW($C$3:$C$502)&lt;=ROW())),"")</f>
        <v/>
      </c>
    </row>
    <row r="383">
      <c r="A383" s="40" t="n"/>
      <c r="B383" s="59" t="n"/>
      <c r="C383" s="40" t="n"/>
      <c r="D383" s="43">
        <f>IFERROR(INDEX(الموظفون_الاسم,MATCH($C383,الموظفون_الرقم,0)),"")</f>
        <v/>
      </c>
      <c r="E383" s="43">
        <f>IFERROR(INDEX(الموظفون_الإدارة,MATCH($C383,الموظفون_الرقم,0)),"")</f>
        <v/>
      </c>
      <c r="F383" s="43">
        <f>IFERROR(INDEX(الموظفون_القسم,MATCH($C383,الموظفون_الرقم,0)),"")</f>
        <v/>
      </c>
      <c r="G383" s="60">
        <f>IF($C383="","",IFERROR(INDEX(الموظفون_الاساسي,MATCH($C383,الموظفون_الرقم,0)),0))</f>
        <v/>
      </c>
      <c r="H383" s="42" t="n"/>
      <c r="I383" s="42" t="n"/>
      <c r="J383" s="42" t="n"/>
      <c r="K383" s="42" t="n"/>
      <c r="L383" s="42" t="n"/>
      <c r="M383" s="61" t="n"/>
      <c r="N383" s="42" t="n"/>
      <c r="O383" s="42" t="n"/>
      <c r="P383" s="42" t="n"/>
      <c r="Q383" s="42" t="n"/>
      <c r="R383" s="42" t="n"/>
      <c r="S383" s="60">
        <f>IF($C383="","",SUM($G383:$L383))</f>
        <v/>
      </c>
      <c r="T383" s="60">
        <f>IF($C383="","",SUM($N383:$R383))</f>
        <v/>
      </c>
      <c r="U383" s="60">
        <f>IF($C383="","",$S383-$T383)</f>
        <v/>
      </c>
      <c r="V383" s="40" t="n"/>
      <c r="W383" s="110" t="n"/>
      <c r="X383" s="40" t="n"/>
      <c r="Y383" s="43">
        <f>IF($C383="","",IF(SUMPRODUCT(($C$3:$C$502=$C383)*($A$3:$A$502=$A383)*($B$3:$B$502=$B383))&gt;1,"⚠ مكرر","سليم"))</f>
        <v/>
      </c>
      <c r="Z383">
        <f>IF(AND($C383&lt;&gt;"",$A383=تقرير_الشهر,$B383=تقرير_السنة),SUMPRODUCT(($C$3:$C$502&lt;&gt;"")*($A$3:$A$502=تقرير_الشهر)*($B$3:$B$502=تقرير_السنة)*(ROW($C$3:$C$502)&lt;=ROW())),"")</f>
        <v/>
      </c>
    </row>
    <row r="384">
      <c r="A384" s="47" t="n"/>
      <c r="B384" s="62" t="n"/>
      <c r="C384" s="47" t="n"/>
      <c r="D384" s="50">
        <f>IFERROR(INDEX(الموظفون_الاسم,MATCH($C384,الموظفون_الرقم,0)),"")</f>
        <v/>
      </c>
      <c r="E384" s="50">
        <f>IFERROR(INDEX(الموظفون_الإدارة,MATCH($C384,الموظفون_الرقم,0)),"")</f>
        <v/>
      </c>
      <c r="F384" s="50">
        <f>IFERROR(INDEX(الموظفون_القسم,MATCH($C384,الموظفون_الرقم,0)),"")</f>
        <v/>
      </c>
      <c r="G384" s="63">
        <f>IF($C384="","",IFERROR(INDEX(الموظفون_الاساسي,MATCH($C384,الموظفون_الرقم,0)),0))</f>
        <v/>
      </c>
      <c r="H384" s="49" t="n"/>
      <c r="I384" s="49" t="n"/>
      <c r="J384" s="49" t="n"/>
      <c r="K384" s="49" t="n"/>
      <c r="L384" s="49" t="n"/>
      <c r="M384" s="64" t="n"/>
      <c r="N384" s="49" t="n"/>
      <c r="O384" s="49" t="n"/>
      <c r="P384" s="49" t="n"/>
      <c r="Q384" s="49" t="n"/>
      <c r="R384" s="49" t="n"/>
      <c r="S384" s="63">
        <f>IF($C384="","",SUM($G384:$L384))</f>
        <v/>
      </c>
      <c r="T384" s="63">
        <f>IF($C384="","",SUM($N384:$R384))</f>
        <v/>
      </c>
      <c r="U384" s="63">
        <f>IF($C384="","",$S384-$T384)</f>
        <v/>
      </c>
      <c r="V384" s="47" t="n"/>
      <c r="W384" s="112" t="n"/>
      <c r="X384" s="47" t="n"/>
      <c r="Y384" s="50">
        <f>IF($C384="","",IF(SUMPRODUCT(($C$3:$C$502=$C384)*($A$3:$A$502=$A384)*($B$3:$B$502=$B384))&gt;1,"⚠ مكرر","سليم"))</f>
        <v/>
      </c>
      <c r="Z384">
        <f>IF(AND($C384&lt;&gt;"",$A384=تقرير_الشهر,$B384=تقرير_السنة),SUMPRODUCT(($C$3:$C$502&lt;&gt;"")*($A$3:$A$502=تقرير_الشهر)*($B$3:$B$502=تقرير_السنة)*(ROW($C$3:$C$502)&lt;=ROW())),"")</f>
        <v/>
      </c>
    </row>
    <row r="385">
      <c r="A385" s="40" t="n"/>
      <c r="B385" s="59" t="n"/>
      <c r="C385" s="40" t="n"/>
      <c r="D385" s="43">
        <f>IFERROR(INDEX(الموظفون_الاسم,MATCH($C385,الموظفون_الرقم,0)),"")</f>
        <v/>
      </c>
      <c r="E385" s="43">
        <f>IFERROR(INDEX(الموظفون_الإدارة,MATCH($C385,الموظفون_الرقم,0)),"")</f>
        <v/>
      </c>
      <c r="F385" s="43">
        <f>IFERROR(INDEX(الموظفون_القسم,MATCH($C385,الموظفون_الرقم,0)),"")</f>
        <v/>
      </c>
      <c r="G385" s="60">
        <f>IF($C385="","",IFERROR(INDEX(الموظفون_الاساسي,MATCH($C385,الموظفون_الرقم,0)),0))</f>
        <v/>
      </c>
      <c r="H385" s="42" t="n"/>
      <c r="I385" s="42" t="n"/>
      <c r="J385" s="42" t="n"/>
      <c r="K385" s="42" t="n"/>
      <c r="L385" s="42" t="n"/>
      <c r="M385" s="61" t="n"/>
      <c r="N385" s="42" t="n"/>
      <c r="O385" s="42" t="n"/>
      <c r="P385" s="42" t="n"/>
      <c r="Q385" s="42" t="n"/>
      <c r="R385" s="42" t="n"/>
      <c r="S385" s="60">
        <f>IF($C385="","",SUM($G385:$L385))</f>
        <v/>
      </c>
      <c r="T385" s="60">
        <f>IF($C385="","",SUM($N385:$R385))</f>
        <v/>
      </c>
      <c r="U385" s="60">
        <f>IF($C385="","",$S385-$T385)</f>
        <v/>
      </c>
      <c r="V385" s="40" t="n"/>
      <c r="W385" s="110" t="n"/>
      <c r="X385" s="40" t="n"/>
      <c r="Y385" s="43">
        <f>IF($C385="","",IF(SUMPRODUCT(($C$3:$C$502=$C385)*($A$3:$A$502=$A385)*($B$3:$B$502=$B385))&gt;1,"⚠ مكرر","سليم"))</f>
        <v/>
      </c>
      <c r="Z385">
        <f>IF(AND($C385&lt;&gt;"",$A385=تقرير_الشهر,$B385=تقرير_السنة),SUMPRODUCT(($C$3:$C$502&lt;&gt;"")*($A$3:$A$502=تقرير_الشهر)*($B$3:$B$502=تقرير_السنة)*(ROW($C$3:$C$502)&lt;=ROW())),"")</f>
        <v/>
      </c>
    </row>
    <row r="386">
      <c r="A386" s="47" t="n"/>
      <c r="B386" s="62" t="n"/>
      <c r="C386" s="47" t="n"/>
      <c r="D386" s="50">
        <f>IFERROR(INDEX(الموظفون_الاسم,MATCH($C386,الموظفون_الرقم,0)),"")</f>
        <v/>
      </c>
      <c r="E386" s="50">
        <f>IFERROR(INDEX(الموظفون_الإدارة,MATCH($C386,الموظفون_الرقم,0)),"")</f>
        <v/>
      </c>
      <c r="F386" s="50">
        <f>IFERROR(INDEX(الموظفون_القسم,MATCH($C386,الموظفون_الرقم,0)),"")</f>
        <v/>
      </c>
      <c r="G386" s="63">
        <f>IF($C386="","",IFERROR(INDEX(الموظفون_الاساسي,MATCH($C386,الموظفون_الرقم,0)),0))</f>
        <v/>
      </c>
      <c r="H386" s="49" t="n"/>
      <c r="I386" s="49" t="n"/>
      <c r="J386" s="49" t="n"/>
      <c r="K386" s="49" t="n"/>
      <c r="L386" s="49" t="n"/>
      <c r="M386" s="64" t="n"/>
      <c r="N386" s="49" t="n"/>
      <c r="O386" s="49" t="n"/>
      <c r="P386" s="49" t="n"/>
      <c r="Q386" s="49" t="n"/>
      <c r="R386" s="49" t="n"/>
      <c r="S386" s="63">
        <f>IF($C386="","",SUM($G386:$L386))</f>
        <v/>
      </c>
      <c r="T386" s="63">
        <f>IF($C386="","",SUM($N386:$R386))</f>
        <v/>
      </c>
      <c r="U386" s="63">
        <f>IF($C386="","",$S386-$T386)</f>
        <v/>
      </c>
      <c r="V386" s="47" t="n"/>
      <c r="W386" s="112" t="n"/>
      <c r="X386" s="47" t="n"/>
      <c r="Y386" s="50">
        <f>IF($C386="","",IF(SUMPRODUCT(($C$3:$C$502=$C386)*($A$3:$A$502=$A386)*($B$3:$B$502=$B386))&gt;1,"⚠ مكرر","سليم"))</f>
        <v/>
      </c>
      <c r="Z386">
        <f>IF(AND($C386&lt;&gt;"",$A386=تقرير_الشهر,$B386=تقرير_السنة),SUMPRODUCT(($C$3:$C$502&lt;&gt;"")*($A$3:$A$502=تقرير_الشهر)*($B$3:$B$502=تقرير_السنة)*(ROW($C$3:$C$502)&lt;=ROW())),"")</f>
        <v/>
      </c>
    </row>
    <row r="387">
      <c r="A387" s="40" t="n"/>
      <c r="B387" s="59" t="n"/>
      <c r="C387" s="40" t="n"/>
      <c r="D387" s="43">
        <f>IFERROR(INDEX(الموظفون_الاسم,MATCH($C387,الموظفون_الرقم,0)),"")</f>
        <v/>
      </c>
      <c r="E387" s="43">
        <f>IFERROR(INDEX(الموظفون_الإدارة,MATCH($C387,الموظفون_الرقم,0)),"")</f>
        <v/>
      </c>
      <c r="F387" s="43">
        <f>IFERROR(INDEX(الموظفون_القسم,MATCH($C387,الموظفون_الرقم,0)),"")</f>
        <v/>
      </c>
      <c r="G387" s="60">
        <f>IF($C387="","",IFERROR(INDEX(الموظفون_الاساسي,MATCH($C387,الموظفون_الرقم,0)),0))</f>
        <v/>
      </c>
      <c r="H387" s="42" t="n"/>
      <c r="I387" s="42" t="n"/>
      <c r="J387" s="42" t="n"/>
      <c r="K387" s="42" t="n"/>
      <c r="L387" s="42" t="n"/>
      <c r="M387" s="61" t="n"/>
      <c r="N387" s="42" t="n"/>
      <c r="O387" s="42" t="n"/>
      <c r="P387" s="42" t="n"/>
      <c r="Q387" s="42" t="n"/>
      <c r="R387" s="42" t="n"/>
      <c r="S387" s="60">
        <f>IF($C387="","",SUM($G387:$L387))</f>
        <v/>
      </c>
      <c r="T387" s="60">
        <f>IF($C387="","",SUM($N387:$R387))</f>
        <v/>
      </c>
      <c r="U387" s="60">
        <f>IF($C387="","",$S387-$T387)</f>
        <v/>
      </c>
      <c r="V387" s="40" t="n"/>
      <c r="W387" s="110" t="n"/>
      <c r="X387" s="40" t="n"/>
      <c r="Y387" s="43">
        <f>IF($C387="","",IF(SUMPRODUCT(($C$3:$C$502=$C387)*($A$3:$A$502=$A387)*($B$3:$B$502=$B387))&gt;1,"⚠ مكرر","سليم"))</f>
        <v/>
      </c>
      <c r="Z387">
        <f>IF(AND($C387&lt;&gt;"",$A387=تقرير_الشهر,$B387=تقرير_السنة),SUMPRODUCT(($C$3:$C$502&lt;&gt;"")*($A$3:$A$502=تقرير_الشهر)*($B$3:$B$502=تقرير_السنة)*(ROW($C$3:$C$502)&lt;=ROW())),"")</f>
        <v/>
      </c>
    </row>
    <row r="388">
      <c r="A388" s="47" t="n"/>
      <c r="B388" s="62" t="n"/>
      <c r="C388" s="47" t="n"/>
      <c r="D388" s="50">
        <f>IFERROR(INDEX(الموظفون_الاسم,MATCH($C388,الموظفون_الرقم,0)),"")</f>
        <v/>
      </c>
      <c r="E388" s="50">
        <f>IFERROR(INDEX(الموظفون_الإدارة,MATCH($C388,الموظفون_الرقم,0)),"")</f>
        <v/>
      </c>
      <c r="F388" s="50">
        <f>IFERROR(INDEX(الموظفون_القسم,MATCH($C388,الموظفون_الرقم,0)),"")</f>
        <v/>
      </c>
      <c r="G388" s="63">
        <f>IF($C388="","",IFERROR(INDEX(الموظفون_الاساسي,MATCH($C388,الموظفون_الرقم,0)),0))</f>
        <v/>
      </c>
      <c r="H388" s="49" t="n"/>
      <c r="I388" s="49" t="n"/>
      <c r="J388" s="49" t="n"/>
      <c r="K388" s="49" t="n"/>
      <c r="L388" s="49" t="n"/>
      <c r="M388" s="64" t="n"/>
      <c r="N388" s="49" t="n"/>
      <c r="O388" s="49" t="n"/>
      <c r="P388" s="49" t="n"/>
      <c r="Q388" s="49" t="n"/>
      <c r="R388" s="49" t="n"/>
      <c r="S388" s="63">
        <f>IF($C388="","",SUM($G388:$L388))</f>
        <v/>
      </c>
      <c r="T388" s="63">
        <f>IF($C388="","",SUM($N388:$R388))</f>
        <v/>
      </c>
      <c r="U388" s="63">
        <f>IF($C388="","",$S388-$T388)</f>
        <v/>
      </c>
      <c r="V388" s="47" t="n"/>
      <c r="W388" s="112" t="n"/>
      <c r="X388" s="47" t="n"/>
      <c r="Y388" s="50">
        <f>IF($C388="","",IF(SUMPRODUCT(($C$3:$C$502=$C388)*($A$3:$A$502=$A388)*($B$3:$B$502=$B388))&gt;1,"⚠ مكرر","سليم"))</f>
        <v/>
      </c>
      <c r="Z388">
        <f>IF(AND($C388&lt;&gt;"",$A388=تقرير_الشهر,$B388=تقرير_السنة),SUMPRODUCT(($C$3:$C$502&lt;&gt;"")*($A$3:$A$502=تقرير_الشهر)*($B$3:$B$502=تقرير_السنة)*(ROW($C$3:$C$502)&lt;=ROW())),"")</f>
        <v/>
      </c>
    </row>
    <row r="389">
      <c r="A389" s="40" t="n"/>
      <c r="B389" s="59" t="n"/>
      <c r="C389" s="40" t="n"/>
      <c r="D389" s="43">
        <f>IFERROR(INDEX(الموظفون_الاسم,MATCH($C389,الموظفون_الرقم,0)),"")</f>
        <v/>
      </c>
      <c r="E389" s="43">
        <f>IFERROR(INDEX(الموظفون_الإدارة,MATCH($C389,الموظفون_الرقم,0)),"")</f>
        <v/>
      </c>
      <c r="F389" s="43">
        <f>IFERROR(INDEX(الموظفون_القسم,MATCH($C389,الموظفون_الرقم,0)),"")</f>
        <v/>
      </c>
      <c r="G389" s="60">
        <f>IF($C389="","",IFERROR(INDEX(الموظفون_الاساسي,MATCH($C389,الموظفون_الرقم,0)),0))</f>
        <v/>
      </c>
      <c r="H389" s="42" t="n"/>
      <c r="I389" s="42" t="n"/>
      <c r="J389" s="42" t="n"/>
      <c r="K389" s="42" t="n"/>
      <c r="L389" s="42" t="n"/>
      <c r="M389" s="61" t="n"/>
      <c r="N389" s="42" t="n"/>
      <c r="O389" s="42" t="n"/>
      <c r="P389" s="42" t="n"/>
      <c r="Q389" s="42" t="n"/>
      <c r="R389" s="42" t="n"/>
      <c r="S389" s="60">
        <f>IF($C389="","",SUM($G389:$L389))</f>
        <v/>
      </c>
      <c r="T389" s="60">
        <f>IF($C389="","",SUM($N389:$R389))</f>
        <v/>
      </c>
      <c r="U389" s="60">
        <f>IF($C389="","",$S389-$T389)</f>
        <v/>
      </c>
      <c r="V389" s="40" t="n"/>
      <c r="W389" s="110" t="n"/>
      <c r="X389" s="40" t="n"/>
      <c r="Y389" s="43">
        <f>IF($C389="","",IF(SUMPRODUCT(($C$3:$C$502=$C389)*($A$3:$A$502=$A389)*($B$3:$B$502=$B389))&gt;1,"⚠ مكرر","سليم"))</f>
        <v/>
      </c>
      <c r="Z389">
        <f>IF(AND($C389&lt;&gt;"",$A389=تقرير_الشهر,$B389=تقرير_السنة),SUMPRODUCT(($C$3:$C$502&lt;&gt;"")*($A$3:$A$502=تقرير_الشهر)*($B$3:$B$502=تقرير_السنة)*(ROW($C$3:$C$502)&lt;=ROW())),"")</f>
        <v/>
      </c>
    </row>
    <row r="390">
      <c r="A390" s="47" t="n"/>
      <c r="B390" s="62" t="n"/>
      <c r="C390" s="47" t="n"/>
      <c r="D390" s="50">
        <f>IFERROR(INDEX(الموظفون_الاسم,MATCH($C390,الموظفون_الرقم,0)),"")</f>
        <v/>
      </c>
      <c r="E390" s="50">
        <f>IFERROR(INDEX(الموظفون_الإدارة,MATCH($C390,الموظفون_الرقم,0)),"")</f>
        <v/>
      </c>
      <c r="F390" s="50">
        <f>IFERROR(INDEX(الموظفون_القسم,MATCH($C390,الموظفون_الرقم,0)),"")</f>
        <v/>
      </c>
      <c r="G390" s="63">
        <f>IF($C390="","",IFERROR(INDEX(الموظفون_الاساسي,MATCH($C390,الموظفون_الرقم,0)),0))</f>
        <v/>
      </c>
      <c r="H390" s="49" t="n"/>
      <c r="I390" s="49" t="n"/>
      <c r="J390" s="49" t="n"/>
      <c r="K390" s="49" t="n"/>
      <c r="L390" s="49" t="n"/>
      <c r="M390" s="64" t="n"/>
      <c r="N390" s="49" t="n"/>
      <c r="O390" s="49" t="n"/>
      <c r="P390" s="49" t="n"/>
      <c r="Q390" s="49" t="n"/>
      <c r="R390" s="49" t="n"/>
      <c r="S390" s="63">
        <f>IF($C390="","",SUM($G390:$L390))</f>
        <v/>
      </c>
      <c r="T390" s="63">
        <f>IF($C390="","",SUM($N390:$R390))</f>
        <v/>
      </c>
      <c r="U390" s="63">
        <f>IF($C390="","",$S390-$T390)</f>
        <v/>
      </c>
      <c r="V390" s="47" t="n"/>
      <c r="W390" s="112" t="n"/>
      <c r="X390" s="47" t="n"/>
      <c r="Y390" s="50">
        <f>IF($C390="","",IF(SUMPRODUCT(($C$3:$C$502=$C390)*($A$3:$A$502=$A390)*($B$3:$B$502=$B390))&gt;1,"⚠ مكرر","سليم"))</f>
        <v/>
      </c>
      <c r="Z390">
        <f>IF(AND($C390&lt;&gt;"",$A390=تقرير_الشهر,$B390=تقرير_السنة),SUMPRODUCT(($C$3:$C$502&lt;&gt;"")*($A$3:$A$502=تقرير_الشهر)*($B$3:$B$502=تقرير_السنة)*(ROW($C$3:$C$502)&lt;=ROW())),"")</f>
        <v/>
      </c>
    </row>
    <row r="391">
      <c r="A391" s="40" t="n"/>
      <c r="B391" s="59" t="n"/>
      <c r="C391" s="40" t="n"/>
      <c r="D391" s="43">
        <f>IFERROR(INDEX(الموظفون_الاسم,MATCH($C391,الموظفون_الرقم,0)),"")</f>
        <v/>
      </c>
      <c r="E391" s="43">
        <f>IFERROR(INDEX(الموظفون_الإدارة,MATCH($C391,الموظفون_الرقم,0)),"")</f>
        <v/>
      </c>
      <c r="F391" s="43">
        <f>IFERROR(INDEX(الموظفون_القسم,MATCH($C391,الموظفون_الرقم,0)),"")</f>
        <v/>
      </c>
      <c r="G391" s="60">
        <f>IF($C391="","",IFERROR(INDEX(الموظفون_الاساسي,MATCH($C391,الموظفون_الرقم,0)),0))</f>
        <v/>
      </c>
      <c r="H391" s="42" t="n"/>
      <c r="I391" s="42" t="n"/>
      <c r="J391" s="42" t="n"/>
      <c r="K391" s="42" t="n"/>
      <c r="L391" s="42" t="n"/>
      <c r="M391" s="61" t="n"/>
      <c r="N391" s="42" t="n"/>
      <c r="O391" s="42" t="n"/>
      <c r="P391" s="42" t="n"/>
      <c r="Q391" s="42" t="n"/>
      <c r="R391" s="42" t="n"/>
      <c r="S391" s="60">
        <f>IF($C391="","",SUM($G391:$L391))</f>
        <v/>
      </c>
      <c r="T391" s="60">
        <f>IF($C391="","",SUM($N391:$R391))</f>
        <v/>
      </c>
      <c r="U391" s="60">
        <f>IF($C391="","",$S391-$T391)</f>
        <v/>
      </c>
      <c r="V391" s="40" t="n"/>
      <c r="W391" s="110" t="n"/>
      <c r="X391" s="40" t="n"/>
      <c r="Y391" s="43">
        <f>IF($C391="","",IF(SUMPRODUCT(($C$3:$C$502=$C391)*($A$3:$A$502=$A391)*($B$3:$B$502=$B391))&gt;1,"⚠ مكرر","سليم"))</f>
        <v/>
      </c>
      <c r="Z391">
        <f>IF(AND($C391&lt;&gt;"",$A391=تقرير_الشهر,$B391=تقرير_السنة),SUMPRODUCT(($C$3:$C$502&lt;&gt;"")*($A$3:$A$502=تقرير_الشهر)*($B$3:$B$502=تقرير_السنة)*(ROW($C$3:$C$502)&lt;=ROW())),"")</f>
        <v/>
      </c>
    </row>
    <row r="392">
      <c r="A392" s="47" t="n"/>
      <c r="B392" s="62" t="n"/>
      <c r="C392" s="47" t="n"/>
      <c r="D392" s="50">
        <f>IFERROR(INDEX(الموظفون_الاسم,MATCH($C392,الموظفون_الرقم,0)),"")</f>
        <v/>
      </c>
      <c r="E392" s="50">
        <f>IFERROR(INDEX(الموظفون_الإدارة,MATCH($C392,الموظفون_الرقم,0)),"")</f>
        <v/>
      </c>
      <c r="F392" s="50">
        <f>IFERROR(INDEX(الموظفون_القسم,MATCH($C392,الموظفون_الرقم,0)),"")</f>
        <v/>
      </c>
      <c r="G392" s="63">
        <f>IF($C392="","",IFERROR(INDEX(الموظفون_الاساسي,MATCH($C392,الموظفون_الرقم,0)),0))</f>
        <v/>
      </c>
      <c r="H392" s="49" t="n"/>
      <c r="I392" s="49" t="n"/>
      <c r="J392" s="49" t="n"/>
      <c r="K392" s="49" t="n"/>
      <c r="L392" s="49" t="n"/>
      <c r="M392" s="64" t="n"/>
      <c r="N392" s="49" t="n"/>
      <c r="O392" s="49" t="n"/>
      <c r="P392" s="49" t="n"/>
      <c r="Q392" s="49" t="n"/>
      <c r="R392" s="49" t="n"/>
      <c r="S392" s="63">
        <f>IF($C392="","",SUM($G392:$L392))</f>
        <v/>
      </c>
      <c r="T392" s="63">
        <f>IF($C392="","",SUM($N392:$R392))</f>
        <v/>
      </c>
      <c r="U392" s="63">
        <f>IF($C392="","",$S392-$T392)</f>
        <v/>
      </c>
      <c r="V392" s="47" t="n"/>
      <c r="W392" s="112" t="n"/>
      <c r="X392" s="47" t="n"/>
      <c r="Y392" s="50">
        <f>IF($C392="","",IF(SUMPRODUCT(($C$3:$C$502=$C392)*($A$3:$A$502=$A392)*($B$3:$B$502=$B392))&gt;1,"⚠ مكرر","سليم"))</f>
        <v/>
      </c>
      <c r="Z392">
        <f>IF(AND($C392&lt;&gt;"",$A392=تقرير_الشهر,$B392=تقرير_السنة),SUMPRODUCT(($C$3:$C$502&lt;&gt;"")*($A$3:$A$502=تقرير_الشهر)*($B$3:$B$502=تقرير_السنة)*(ROW($C$3:$C$502)&lt;=ROW())),"")</f>
        <v/>
      </c>
    </row>
    <row r="393">
      <c r="A393" s="40" t="n"/>
      <c r="B393" s="59" t="n"/>
      <c r="C393" s="40" t="n"/>
      <c r="D393" s="43">
        <f>IFERROR(INDEX(الموظفون_الاسم,MATCH($C393,الموظفون_الرقم,0)),"")</f>
        <v/>
      </c>
      <c r="E393" s="43">
        <f>IFERROR(INDEX(الموظفون_الإدارة,MATCH($C393,الموظفون_الرقم,0)),"")</f>
        <v/>
      </c>
      <c r="F393" s="43">
        <f>IFERROR(INDEX(الموظفون_القسم,MATCH($C393,الموظفون_الرقم,0)),"")</f>
        <v/>
      </c>
      <c r="G393" s="60">
        <f>IF($C393="","",IFERROR(INDEX(الموظفون_الاساسي,MATCH($C393,الموظفون_الرقم,0)),0))</f>
        <v/>
      </c>
      <c r="H393" s="42" t="n"/>
      <c r="I393" s="42" t="n"/>
      <c r="J393" s="42" t="n"/>
      <c r="K393" s="42" t="n"/>
      <c r="L393" s="42" t="n"/>
      <c r="M393" s="61" t="n"/>
      <c r="N393" s="42" t="n"/>
      <c r="O393" s="42" t="n"/>
      <c r="P393" s="42" t="n"/>
      <c r="Q393" s="42" t="n"/>
      <c r="R393" s="42" t="n"/>
      <c r="S393" s="60">
        <f>IF($C393="","",SUM($G393:$L393))</f>
        <v/>
      </c>
      <c r="T393" s="60">
        <f>IF($C393="","",SUM($N393:$R393))</f>
        <v/>
      </c>
      <c r="U393" s="60">
        <f>IF($C393="","",$S393-$T393)</f>
        <v/>
      </c>
      <c r="V393" s="40" t="n"/>
      <c r="W393" s="110" t="n"/>
      <c r="X393" s="40" t="n"/>
      <c r="Y393" s="43">
        <f>IF($C393="","",IF(SUMPRODUCT(($C$3:$C$502=$C393)*($A$3:$A$502=$A393)*($B$3:$B$502=$B393))&gt;1,"⚠ مكرر","سليم"))</f>
        <v/>
      </c>
      <c r="Z393">
        <f>IF(AND($C393&lt;&gt;"",$A393=تقرير_الشهر,$B393=تقرير_السنة),SUMPRODUCT(($C$3:$C$502&lt;&gt;"")*($A$3:$A$502=تقرير_الشهر)*($B$3:$B$502=تقرير_السنة)*(ROW($C$3:$C$502)&lt;=ROW())),"")</f>
        <v/>
      </c>
    </row>
    <row r="394">
      <c r="A394" s="47" t="n"/>
      <c r="B394" s="62" t="n"/>
      <c r="C394" s="47" t="n"/>
      <c r="D394" s="50">
        <f>IFERROR(INDEX(الموظفون_الاسم,MATCH($C394,الموظفون_الرقم,0)),"")</f>
        <v/>
      </c>
      <c r="E394" s="50">
        <f>IFERROR(INDEX(الموظفون_الإدارة,MATCH($C394,الموظفون_الرقم,0)),"")</f>
        <v/>
      </c>
      <c r="F394" s="50">
        <f>IFERROR(INDEX(الموظفون_القسم,MATCH($C394,الموظفون_الرقم,0)),"")</f>
        <v/>
      </c>
      <c r="G394" s="63">
        <f>IF($C394="","",IFERROR(INDEX(الموظفون_الاساسي,MATCH($C394,الموظفون_الرقم,0)),0))</f>
        <v/>
      </c>
      <c r="H394" s="49" t="n"/>
      <c r="I394" s="49" t="n"/>
      <c r="J394" s="49" t="n"/>
      <c r="K394" s="49" t="n"/>
      <c r="L394" s="49" t="n"/>
      <c r="M394" s="64" t="n"/>
      <c r="N394" s="49" t="n"/>
      <c r="O394" s="49" t="n"/>
      <c r="P394" s="49" t="n"/>
      <c r="Q394" s="49" t="n"/>
      <c r="R394" s="49" t="n"/>
      <c r="S394" s="63">
        <f>IF($C394="","",SUM($G394:$L394))</f>
        <v/>
      </c>
      <c r="T394" s="63">
        <f>IF($C394="","",SUM($N394:$R394))</f>
        <v/>
      </c>
      <c r="U394" s="63">
        <f>IF($C394="","",$S394-$T394)</f>
        <v/>
      </c>
      <c r="V394" s="47" t="n"/>
      <c r="W394" s="112" t="n"/>
      <c r="X394" s="47" t="n"/>
      <c r="Y394" s="50">
        <f>IF($C394="","",IF(SUMPRODUCT(($C$3:$C$502=$C394)*($A$3:$A$502=$A394)*($B$3:$B$502=$B394))&gt;1,"⚠ مكرر","سليم"))</f>
        <v/>
      </c>
      <c r="Z394">
        <f>IF(AND($C394&lt;&gt;"",$A394=تقرير_الشهر,$B394=تقرير_السنة),SUMPRODUCT(($C$3:$C$502&lt;&gt;"")*($A$3:$A$502=تقرير_الشهر)*($B$3:$B$502=تقرير_السنة)*(ROW($C$3:$C$502)&lt;=ROW())),"")</f>
        <v/>
      </c>
    </row>
    <row r="395">
      <c r="A395" s="40" t="n"/>
      <c r="B395" s="59" t="n"/>
      <c r="C395" s="40" t="n"/>
      <c r="D395" s="43">
        <f>IFERROR(INDEX(الموظفون_الاسم,MATCH($C395,الموظفون_الرقم,0)),"")</f>
        <v/>
      </c>
      <c r="E395" s="43">
        <f>IFERROR(INDEX(الموظفون_الإدارة,MATCH($C395,الموظفون_الرقم,0)),"")</f>
        <v/>
      </c>
      <c r="F395" s="43">
        <f>IFERROR(INDEX(الموظفون_القسم,MATCH($C395,الموظفون_الرقم,0)),"")</f>
        <v/>
      </c>
      <c r="G395" s="60">
        <f>IF($C395="","",IFERROR(INDEX(الموظفون_الاساسي,MATCH($C395,الموظفون_الرقم,0)),0))</f>
        <v/>
      </c>
      <c r="H395" s="42" t="n"/>
      <c r="I395" s="42" t="n"/>
      <c r="J395" s="42" t="n"/>
      <c r="K395" s="42" t="n"/>
      <c r="L395" s="42" t="n"/>
      <c r="M395" s="61" t="n"/>
      <c r="N395" s="42" t="n"/>
      <c r="O395" s="42" t="n"/>
      <c r="P395" s="42" t="n"/>
      <c r="Q395" s="42" t="n"/>
      <c r="R395" s="42" t="n"/>
      <c r="S395" s="60">
        <f>IF($C395="","",SUM($G395:$L395))</f>
        <v/>
      </c>
      <c r="T395" s="60">
        <f>IF($C395="","",SUM($N395:$R395))</f>
        <v/>
      </c>
      <c r="U395" s="60">
        <f>IF($C395="","",$S395-$T395)</f>
        <v/>
      </c>
      <c r="V395" s="40" t="n"/>
      <c r="W395" s="110" t="n"/>
      <c r="X395" s="40" t="n"/>
      <c r="Y395" s="43">
        <f>IF($C395="","",IF(SUMPRODUCT(($C$3:$C$502=$C395)*($A$3:$A$502=$A395)*($B$3:$B$502=$B395))&gt;1,"⚠ مكرر","سليم"))</f>
        <v/>
      </c>
      <c r="Z395">
        <f>IF(AND($C395&lt;&gt;"",$A395=تقرير_الشهر,$B395=تقرير_السنة),SUMPRODUCT(($C$3:$C$502&lt;&gt;"")*($A$3:$A$502=تقرير_الشهر)*($B$3:$B$502=تقرير_السنة)*(ROW($C$3:$C$502)&lt;=ROW())),"")</f>
        <v/>
      </c>
    </row>
    <row r="396">
      <c r="A396" s="47" t="n"/>
      <c r="B396" s="62" t="n"/>
      <c r="C396" s="47" t="n"/>
      <c r="D396" s="50">
        <f>IFERROR(INDEX(الموظفون_الاسم,MATCH($C396,الموظفون_الرقم,0)),"")</f>
        <v/>
      </c>
      <c r="E396" s="50">
        <f>IFERROR(INDEX(الموظفون_الإدارة,MATCH($C396,الموظفون_الرقم,0)),"")</f>
        <v/>
      </c>
      <c r="F396" s="50">
        <f>IFERROR(INDEX(الموظفون_القسم,MATCH($C396,الموظفون_الرقم,0)),"")</f>
        <v/>
      </c>
      <c r="G396" s="63">
        <f>IF($C396="","",IFERROR(INDEX(الموظفون_الاساسي,MATCH($C396,الموظفون_الرقم,0)),0))</f>
        <v/>
      </c>
      <c r="H396" s="49" t="n"/>
      <c r="I396" s="49" t="n"/>
      <c r="J396" s="49" t="n"/>
      <c r="K396" s="49" t="n"/>
      <c r="L396" s="49" t="n"/>
      <c r="M396" s="64" t="n"/>
      <c r="N396" s="49" t="n"/>
      <c r="O396" s="49" t="n"/>
      <c r="P396" s="49" t="n"/>
      <c r="Q396" s="49" t="n"/>
      <c r="R396" s="49" t="n"/>
      <c r="S396" s="63">
        <f>IF($C396="","",SUM($G396:$L396))</f>
        <v/>
      </c>
      <c r="T396" s="63">
        <f>IF($C396="","",SUM($N396:$R396))</f>
        <v/>
      </c>
      <c r="U396" s="63">
        <f>IF($C396="","",$S396-$T396)</f>
        <v/>
      </c>
      <c r="V396" s="47" t="n"/>
      <c r="W396" s="112" t="n"/>
      <c r="X396" s="47" t="n"/>
      <c r="Y396" s="50">
        <f>IF($C396="","",IF(SUMPRODUCT(($C$3:$C$502=$C396)*($A$3:$A$502=$A396)*($B$3:$B$502=$B396))&gt;1,"⚠ مكرر","سليم"))</f>
        <v/>
      </c>
      <c r="Z396">
        <f>IF(AND($C396&lt;&gt;"",$A396=تقرير_الشهر,$B396=تقرير_السنة),SUMPRODUCT(($C$3:$C$502&lt;&gt;"")*($A$3:$A$502=تقرير_الشهر)*($B$3:$B$502=تقرير_السنة)*(ROW($C$3:$C$502)&lt;=ROW())),"")</f>
        <v/>
      </c>
    </row>
    <row r="397">
      <c r="A397" s="40" t="n"/>
      <c r="B397" s="59" t="n"/>
      <c r="C397" s="40" t="n"/>
      <c r="D397" s="43">
        <f>IFERROR(INDEX(الموظفون_الاسم,MATCH($C397,الموظفون_الرقم,0)),"")</f>
        <v/>
      </c>
      <c r="E397" s="43">
        <f>IFERROR(INDEX(الموظفون_الإدارة,MATCH($C397,الموظفون_الرقم,0)),"")</f>
        <v/>
      </c>
      <c r="F397" s="43">
        <f>IFERROR(INDEX(الموظفون_القسم,MATCH($C397,الموظفون_الرقم,0)),"")</f>
        <v/>
      </c>
      <c r="G397" s="60">
        <f>IF($C397="","",IFERROR(INDEX(الموظفون_الاساسي,MATCH($C397,الموظفون_الرقم,0)),0))</f>
        <v/>
      </c>
      <c r="H397" s="42" t="n"/>
      <c r="I397" s="42" t="n"/>
      <c r="J397" s="42" t="n"/>
      <c r="K397" s="42" t="n"/>
      <c r="L397" s="42" t="n"/>
      <c r="M397" s="61" t="n"/>
      <c r="N397" s="42" t="n"/>
      <c r="O397" s="42" t="n"/>
      <c r="P397" s="42" t="n"/>
      <c r="Q397" s="42" t="n"/>
      <c r="R397" s="42" t="n"/>
      <c r="S397" s="60">
        <f>IF($C397="","",SUM($G397:$L397))</f>
        <v/>
      </c>
      <c r="T397" s="60">
        <f>IF($C397="","",SUM($N397:$R397))</f>
        <v/>
      </c>
      <c r="U397" s="60">
        <f>IF($C397="","",$S397-$T397)</f>
        <v/>
      </c>
      <c r="V397" s="40" t="n"/>
      <c r="W397" s="110" t="n"/>
      <c r="X397" s="40" t="n"/>
      <c r="Y397" s="43">
        <f>IF($C397="","",IF(SUMPRODUCT(($C$3:$C$502=$C397)*($A$3:$A$502=$A397)*($B$3:$B$502=$B397))&gt;1,"⚠ مكرر","سليم"))</f>
        <v/>
      </c>
      <c r="Z397">
        <f>IF(AND($C397&lt;&gt;"",$A397=تقرير_الشهر,$B397=تقرير_السنة),SUMPRODUCT(($C$3:$C$502&lt;&gt;"")*($A$3:$A$502=تقرير_الشهر)*($B$3:$B$502=تقرير_السنة)*(ROW($C$3:$C$502)&lt;=ROW())),"")</f>
        <v/>
      </c>
    </row>
    <row r="398">
      <c r="A398" s="47" t="n"/>
      <c r="B398" s="62" t="n"/>
      <c r="C398" s="47" t="n"/>
      <c r="D398" s="50">
        <f>IFERROR(INDEX(الموظفون_الاسم,MATCH($C398,الموظفون_الرقم,0)),"")</f>
        <v/>
      </c>
      <c r="E398" s="50">
        <f>IFERROR(INDEX(الموظفون_الإدارة,MATCH($C398,الموظفون_الرقم,0)),"")</f>
        <v/>
      </c>
      <c r="F398" s="50">
        <f>IFERROR(INDEX(الموظفون_القسم,MATCH($C398,الموظفون_الرقم,0)),"")</f>
        <v/>
      </c>
      <c r="G398" s="63">
        <f>IF($C398="","",IFERROR(INDEX(الموظفون_الاساسي,MATCH($C398,الموظفون_الرقم,0)),0))</f>
        <v/>
      </c>
      <c r="H398" s="49" t="n"/>
      <c r="I398" s="49" t="n"/>
      <c r="J398" s="49" t="n"/>
      <c r="K398" s="49" t="n"/>
      <c r="L398" s="49" t="n"/>
      <c r="M398" s="64" t="n"/>
      <c r="N398" s="49" t="n"/>
      <c r="O398" s="49" t="n"/>
      <c r="P398" s="49" t="n"/>
      <c r="Q398" s="49" t="n"/>
      <c r="R398" s="49" t="n"/>
      <c r="S398" s="63">
        <f>IF($C398="","",SUM($G398:$L398))</f>
        <v/>
      </c>
      <c r="T398" s="63">
        <f>IF($C398="","",SUM($N398:$R398))</f>
        <v/>
      </c>
      <c r="U398" s="63">
        <f>IF($C398="","",$S398-$T398)</f>
        <v/>
      </c>
      <c r="V398" s="47" t="n"/>
      <c r="W398" s="112" t="n"/>
      <c r="X398" s="47" t="n"/>
      <c r="Y398" s="50">
        <f>IF($C398="","",IF(SUMPRODUCT(($C$3:$C$502=$C398)*($A$3:$A$502=$A398)*($B$3:$B$502=$B398))&gt;1,"⚠ مكرر","سليم"))</f>
        <v/>
      </c>
      <c r="Z398">
        <f>IF(AND($C398&lt;&gt;"",$A398=تقرير_الشهر,$B398=تقرير_السنة),SUMPRODUCT(($C$3:$C$502&lt;&gt;"")*($A$3:$A$502=تقرير_الشهر)*($B$3:$B$502=تقرير_السنة)*(ROW($C$3:$C$502)&lt;=ROW())),"")</f>
        <v/>
      </c>
    </row>
    <row r="399">
      <c r="A399" s="40" t="n"/>
      <c r="B399" s="59" t="n"/>
      <c r="C399" s="40" t="n"/>
      <c r="D399" s="43">
        <f>IFERROR(INDEX(الموظفون_الاسم,MATCH($C399,الموظفون_الرقم,0)),"")</f>
        <v/>
      </c>
      <c r="E399" s="43">
        <f>IFERROR(INDEX(الموظفون_الإدارة,MATCH($C399,الموظفون_الرقم,0)),"")</f>
        <v/>
      </c>
      <c r="F399" s="43">
        <f>IFERROR(INDEX(الموظفون_القسم,MATCH($C399,الموظفون_الرقم,0)),"")</f>
        <v/>
      </c>
      <c r="G399" s="60">
        <f>IF($C399="","",IFERROR(INDEX(الموظفون_الاساسي,MATCH($C399,الموظفون_الرقم,0)),0))</f>
        <v/>
      </c>
      <c r="H399" s="42" t="n"/>
      <c r="I399" s="42" t="n"/>
      <c r="J399" s="42" t="n"/>
      <c r="K399" s="42" t="n"/>
      <c r="L399" s="42" t="n"/>
      <c r="M399" s="61" t="n"/>
      <c r="N399" s="42" t="n"/>
      <c r="O399" s="42" t="n"/>
      <c r="P399" s="42" t="n"/>
      <c r="Q399" s="42" t="n"/>
      <c r="R399" s="42" t="n"/>
      <c r="S399" s="60">
        <f>IF($C399="","",SUM($G399:$L399))</f>
        <v/>
      </c>
      <c r="T399" s="60">
        <f>IF($C399="","",SUM($N399:$R399))</f>
        <v/>
      </c>
      <c r="U399" s="60">
        <f>IF($C399="","",$S399-$T399)</f>
        <v/>
      </c>
      <c r="V399" s="40" t="n"/>
      <c r="W399" s="110" t="n"/>
      <c r="X399" s="40" t="n"/>
      <c r="Y399" s="43">
        <f>IF($C399="","",IF(SUMPRODUCT(($C$3:$C$502=$C399)*($A$3:$A$502=$A399)*($B$3:$B$502=$B399))&gt;1,"⚠ مكرر","سليم"))</f>
        <v/>
      </c>
      <c r="Z399">
        <f>IF(AND($C399&lt;&gt;"",$A399=تقرير_الشهر,$B399=تقرير_السنة),SUMPRODUCT(($C$3:$C$502&lt;&gt;"")*($A$3:$A$502=تقرير_الشهر)*($B$3:$B$502=تقرير_السنة)*(ROW($C$3:$C$502)&lt;=ROW())),"")</f>
        <v/>
      </c>
    </row>
    <row r="400">
      <c r="A400" s="47" t="n"/>
      <c r="B400" s="62" t="n"/>
      <c r="C400" s="47" t="n"/>
      <c r="D400" s="50">
        <f>IFERROR(INDEX(الموظفون_الاسم,MATCH($C400,الموظفون_الرقم,0)),"")</f>
        <v/>
      </c>
      <c r="E400" s="50">
        <f>IFERROR(INDEX(الموظفون_الإدارة,MATCH($C400,الموظفون_الرقم,0)),"")</f>
        <v/>
      </c>
      <c r="F400" s="50">
        <f>IFERROR(INDEX(الموظفون_القسم,MATCH($C400,الموظفون_الرقم,0)),"")</f>
        <v/>
      </c>
      <c r="G400" s="63">
        <f>IF($C400="","",IFERROR(INDEX(الموظفون_الاساسي,MATCH($C400,الموظفون_الرقم,0)),0))</f>
        <v/>
      </c>
      <c r="H400" s="49" t="n"/>
      <c r="I400" s="49" t="n"/>
      <c r="J400" s="49" t="n"/>
      <c r="K400" s="49" t="n"/>
      <c r="L400" s="49" t="n"/>
      <c r="M400" s="64" t="n"/>
      <c r="N400" s="49" t="n"/>
      <c r="O400" s="49" t="n"/>
      <c r="P400" s="49" t="n"/>
      <c r="Q400" s="49" t="n"/>
      <c r="R400" s="49" t="n"/>
      <c r="S400" s="63">
        <f>IF($C400="","",SUM($G400:$L400))</f>
        <v/>
      </c>
      <c r="T400" s="63">
        <f>IF($C400="","",SUM($N400:$R400))</f>
        <v/>
      </c>
      <c r="U400" s="63">
        <f>IF($C400="","",$S400-$T400)</f>
        <v/>
      </c>
      <c r="V400" s="47" t="n"/>
      <c r="W400" s="112" t="n"/>
      <c r="X400" s="47" t="n"/>
      <c r="Y400" s="50">
        <f>IF($C400="","",IF(SUMPRODUCT(($C$3:$C$502=$C400)*($A$3:$A$502=$A400)*($B$3:$B$502=$B400))&gt;1,"⚠ مكرر","سليم"))</f>
        <v/>
      </c>
      <c r="Z400">
        <f>IF(AND($C400&lt;&gt;"",$A400=تقرير_الشهر,$B400=تقرير_السنة),SUMPRODUCT(($C$3:$C$502&lt;&gt;"")*($A$3:$A$502=تقرير_الشهر)*($B$3:$B$502=تقرير_السنة)*(ROW($C$3:$C$502)&lt;=ROW())),"")</f>
        <v/>
      </c>
    </row>
    <row r="401">
      <c r="A401" s="40" t="n"/>
      <c r="B401" s="59" t="n"/>
      <c r="C401" s="40" t="n"/>
      <c r="D401" s="43">
        <f>IFERROR(INDEX(الموظفون_الاسم,MATCH($C401,الموظفون_الرقم,0)),"")</f>
        <v/>
      </c>
      <c r="E401" s="43">
        <f>IFERROR(INDEX(الموظفون_الإدارة,MATCH($C401,الموظفون_الرقم,0)),"")</f>
        <v/>
      </c>
      <c r="F401" s="43">
        <f>IFERROR(INDEX(الموظفون_القسم,MATCH($C401,الموظفون_الرقم,0)),"")</f>
        <v/>
      </c>
      <c r="G401" s="60">
        <f>IF($C401="","",IFERROR(INDEX(الموظفون_الاساسي,MATCH($C401,الموظفون_الرقم,0)),0))</f>
        <v/>
      </c>
      <c r="H401" s="42" t="n"/>
      <c r="I401" s="42" t="n"/>
      <c r="J401" s="42" t="n"/>
      <c r="K401" s="42" t="n"/>
      <c r="L401" s="42" t="n"/>
      <c r="M401" s="61" t="n"/>
      <c r="N401" s="42" t="n"/>
      <c r="O401" s="42" t="n"/>
      <c r="P401" s="42" t="n"/>
      <c r="Q401" s="42" t="n"/>
      <c r="R401" s="42" t="n"/>
      <c r="S401" s="60">
        <f>IF($C401="","",SUM($G401:$L401))</f>
        <v/>
      </c>
      <c r="T401" s="60">
        <f>IF($C401="","",SUM($N401:$R401))</f>
        <v/>
      </c>
      <c r="U401" s="60">
        <f>IF($C401="","",$S401-$T401)</f>
        <v/>
      </c>
      <c r="V401" s="40" t="n"/>
      <c r="W401" s="110" t="n"/>
      <c r="X401" s="40" t="n"/>
      <c r="Y401" s="43">
        <f>IF($C401="","",IF(SUMPRODUCT(($C$3:$C$502=$C401)*($A$3:$A$502=$A401)*($B$3:$B$502=$B401))&gt;1,"⚠ مكرر","سليم"))</f>
        <v/>
      </c>
      <c r="Z401">
        <f>IF(AND($C401&lt;&gt;"",$A401=تقرير_الشهر,$B401=تقرير_السنة),SUMPRODUCT(($C$3:$C$502&lt;&gt;"")*($A$3:$A$502=تقرير_الشهر)*($B$3:$B$502=تقرير_السنة)*(ROW($C$3:$C$502)&lt;=ROW())),"")</f>
        <v/>
      </c>
    </row>
    <row r="402">
      <c r="A402" s="47" t="n"/>
      <c r="B402" s="62" t="n"/>
      <c r="C402" s="47" t="n"/>
      <c r="D402" s="50">
        <f>IFERROR(INDEX(الموظفون_الاسم,MATCH($C402,الموظفون_الرقم,0)),"")</f>
        <v/>
      </c>
      <c r="E402" s="50">
        <f>IFERROR(INDEX(الموظفون_الإدارة,MATCH($C402,الموظفون_الرقم,0)),"")</f>
        <v/>
      </c>
      <c r="F402" s="50">
        <f>IFERROR(INDEX(الموظفون_القسم,MATCH($C402,الموظفون_الرقم,0)),"")</f>
        <v/>
      </c>
      <c r="G402" s="63">
        <f>IF($C402="","",IFERROR(INDEX(الموظفون_الاساسي,MATCH($C402,الموظفون_الرقم,0)),0))</f>
        <v/>
      </c>
      <c r="H402" s="49" t="n"/>
      <c r="I402" s="49" t="n"/>
      <c r="J402" s="49" t="n"/>
      <c r="K402" s="49" t="n"/>
      <c r="L402" s="49" t="n"/>
      <c r="M402" s="64" t="n"/>
      <c r="N402" s="49" t="n"/>
      <c r="O402" s="49" t="n"/>
      <c r="P402" s="49" t="n"/>
      <c r="Q402" s="49" t="n"/>
      <c r="R402" s="49" t="n"/>
      <c r="S402" s="63">
        <f>IF($C402="","",SUM($G402:$L402))</f>
        <v/>
      </c>
      <c r="T402" s="63">
        <f>IF($C402="","",SUM($N402:$R402))</f>
        <v/>
      </c>
      <c r="U402" s="63">
        <f>IF($C402="","",$S402-$T402)</f>
        <v/>
      </c>
      <c r="V402" s="47" t="n"/>
      <c r="W402" s="112" t="n"/>
      <c r="X402" s="47" t="n"/>
      <c r="Y402" s="50">
        <f>IF($C402="","",IF(SUMPRODUCT(($C$3:$C$502=$C402)*($A$3:$A$502=$A402)*($B$3:$B$502=$B402))&gt;1,"⚠ مكرر","سليم"))</f>
        <v/>
      </c>
      <c r="Z402">
        <f>IF(AND($C402&lt;&gt;"",$A402=تقرير_الشهر,$B402=تقرير_السنة),SUMPRODUCT(($C$3:$C$502&lt;&gt;"")*($A$3:$A$502=تقرير_الشهر)*($B$3:$B$502=تقرير_السنة)*(ROW($C$3:$C$502)&lt;=ROW())),"")</f>
        <v/>
      </c>
    </row>
    <row r="403">
      <c r="A403" s="40" t="n"/>
      <c r="B403" s="59" t="n"/>
      <c r="C403" s="40" t="n"/>
      <c r="D403" s="43">
        <f>IFERROR(INDEX(الموظفون_الاسم,MATCH($C403,الموظفون_الرقم,0)),"")</f>
        <v/>
      </c>
      <c r="E403" s="43">
        <f>IFERROR(INDEX(الموظفون_الإدارة,MATCH($C403,الموظفون_الرقم,0)),"")</f>
        <v/>
      </c>
      <c r="F403" s="43">
        <f>IFERROR(INDEX(الموظفون_القسم,MATCH($C403,الموظفون_الرقم,0)),"")</f>
        <v/>
      </c>
      <c r="G403" s="60">
        <f>IF($C403="","",IFERROR(INDEX(الموظفون_الاساسي,MATCH($C403,الموظفون_الرقم,0)),0))</f>
        <v/>
      </c>
      <c r="H403" s="42" t="n"/>
      <c r="I403" s="42" t="n"/>
      <c r="J403" s="42" t="n"/>
      <c r="K403" s="42" t="n"/>
      <c r="L403" s="42" t="n"/>
      <c r="M403" s="61" t="n"/>
      <c r="N403" s="42" t="n"/>
      <c r="O403" s="42" t="n"/>
      <c r="P403" s="42" t="n"/>
      <c r="Q403" s="42" t="n"/>
      <c r="R403" s="42" t="n"/>
      <c r="S403" s="60">
        <f>IF($C403="","",SUM($G403:$L403))</f>
        <v/>
      </c>
      <c r="T403" s="60">
        <f>IF($C403="","",SUM($N403:$R403))</f>
        <v/>
      </c>
      <c r="U403" s="60">
        <f>IF($C403="","",$S403-$T403)</f>
        <v/>
      </c>
      <c r="V403" s="40" t="n"/>
      <c r="W403" s="110" t="n"/>
      <c r="X403" s="40" t="n"/>
      <c r="Y403" s="43">
        <f>IF($C403="","",IF(SUMPRODUCT(($C$3:$C$502=$C403)*($A$3:$A$502=$A403)*($B$3:$B$502=$B403))&gt;1,"⚠ مكرر","سليم"))</f>
        <v/>
      </c>
      <c r="Z403">
        <f>IF(AND($C403&lt;&gt;"",$A403=تقرير_الشهر,$B403=تقرير_السنة),SUMPRODUCT(($C$3:$C$502&lt;&gt;"")*($A$3:$A$502=تقرير_الشهر)*($B$3:$B$502=تقرير_السنة)*(ROW($C$3:$C$502)&lt;=ROW())),"")</f>
        <v/>
      </c>
    </row>
    <row r="404">
      <c r="A404" s="47" t="n"/>
      <c r="B404" s="62" t="n"/>
      <c r="C404" s="47" t="n"/>
      <c r="D404" s="50">
        <f>IFERROR(INDEX(الموظفون_الاسم,MATCH($C404,الموظفون_الرقم,0)),"")</f>
        <v/>
      </c>
      <c r="E404" s="50">
        <f>IFERROR(INDEX(الموظفون_الإدارة,MATCH($C404,الموظفون_الرقم,0)),"")</f>
        <v/>
      </c>
      <c r="F404" s="50">
        <f>IFERROR(INDEX(الموظفون_القسم,MATCH($C404,الموظفون_الرقم,0)),"")</f>
        <v/>
      </c>
      <c r="G404" s="63">
        <f>IF($C404="","",IFERROR(INDEX(الموظفون_الاساسي,MATCH($C404,الموظفون_الرقم,0)),0))</f>
        <v/>
      </c>
      <c r="H404" s="49" t="n"/>
      <c r="I404" s="49" t="n"/>
      <c r="J404" s="49" t="n"/>
      <c r="K404" s="49" t="n"/>
      <c r="L404" s="49" t="n"/>
      <c r="M404" s="64" t="n"/>
      <c r="N404" s="49" t="n"/>
      <c r="O404" s="49" t="n"/>
      <c r="P404" s="49" t="n"/>
      <c r="Q404" s="49" t="n"/>
      <c r="R404" s="49" t="n"/>
      <c r="S404" s="63">
        <f>IF($C404="","",SUM($G404:$L404))</f>
        <v/>
      </c>
      <c r="T404" s="63">
        <f>IF($C404="","",SUM($N404:$R404))</f>
        <v/>
      </c>
      <c r="U404" s="63">
        <f>IF($C404="","",$S404-$T404)</f>
        <v/>
      </c>
      <c r="V404" s="47" t="n"/>
      <c r="W404" s="112" t="n"/>
      <c r="X404" s="47" t="n"/>
      <c r="Y404" s="50">
        <f>IF($C404="","",IF(SUMPRODUCT(($C$3:$C$502=$C404)*($A$3:$A$502=$A404)*($B$3:$B$502=$B404))&gt;1,"⚠ مكرر","سليم"))</f>
        <v/>
      </c>
      <c r="Z404">
        <f>IF(AND($C404&lt;&gt;"",$A404=تقرير_الشهر,$B404=تقرير_السنة),SUMPRODUCT(($C$3:$C$502&lt;&gt;"")*($A$3:$A$502=تقرير_الشهر)*($B$3:$B$502=تقرير_السنة)*(ROW($C$3:$C$502)&lt;=ROW())),"")</f>
        <v/>
      </c>
    </row>
    <row r="405">
      <c r="A405" s="40" t="n"/>
      <c r="B405" s="59" t="n"/>
      <c r="C405" s="40" t="n"/>
      <c r="D405" s="43">
        <f>IFERROR(INDEX(الموظفون_الاسم,MATCH($C405,الموظفون_الرقم,0)),"")</f>
        <v/>
      </c>
      <c r="E405" s="43">
        <f>IFERROR(INDEX(الموظفون_الإدارة,MATCH($C405,الموظفون_الرقم,0)),"")</f>
        <v/>
      </c>
      <c r="F405" s="43">
        <f>IFERROR(INDEX(الموظفون_القسم,MATCH($C405,الموظفون_الرقم,0)),"")</f>
        <v/>
      </c>
      <c r="G405" s="60">
        <f>IF($C405="","",IFERROR(INDEX(الموظفون_الاساسي,MATCH($C405,الموظفون_الرقم,0)),0))</f>
        <v/>
      </c>
      <c r="H405" s="42" t="n"/>
      <c r="I405" s="42" t="n"/>
      <c r="J405" s="42" t="n"/>
      <c r="K405" s="42" t="n"/>
      <c r="L405" s="42" t="n"/>
      <c r="M405" s="61" t="n"/>
      <c r="N405" s="42" t="n"/>
      <c r="O405" s="42" t="n"/>
      <c r="P405" s="42" t="n"/>
      <c r="Q405" s="42" t="n"/>
      <c r="R405" s="42" t="n"/>
      <c r="S405" s="60">
        <f>IF($C405="","",SUM($G405:$L405))</f>
        <v/>
      </c>
      <c r="T405" s="60">
        <f>IF($C405="","",SUM($N405:$R405))</f>
        <v/>
      </c>
      <c r="U405" s="60">
        <f>IF($C405="","",$S405-$T405)</f>
        <v/>
      </c>
      <c r="V405" s="40" t="n"/>
      <c r="W405" s="110" t="n"/>
      <c r="X405" s="40" t="n"/>
      <c r="Y405" s="43">
        <f>IF($C405="","",IF(SUMPRODUCT(($C$3:$C$502=$C405)*($A$3:$A$502=$A405)*($B$3:$B$502=$B405))&gt;1,"⚠ مكرر","سليم"))</f>
        <v/>
      </c>
      <c r="Z405">
        <f>IF(AND($C405&lt;&gt;"",$A405=تقرير_الشهر,$B405=تقرير_السنة),SUMPRODUCT(($C$3:$C$502&lt;&gt;"")*($A$3:$A$502=تقرير_الشهر)*($B$3:$B$502=تقرير_السنة)*(ROW($C$3:$C$502)&lt;=ROW())),"")</f>
        <v/>
      </c>
    </row>
    <row r="406">
      <c r="A406" s="47" t="n"/>
      <c r="B406" s="62" t="n"/>
      <c r="C406" s="47" t="n"/>
      <c r="D406" s="50">
        <f>IFERROR(INDEX(الموظفون_الاسم,MATCH($C406,الموظفون_الرقم,0)),"")</f>
        <v/>
      </c>
      <c r="E406" s="50">
        <f>IFERROR(INDEX(الموظفون_الإدارة,MATCH($C406,الموظفون_الرقم,0)),"")</f>
        <v/>
      </c>
      <c r="F406" s="50">
        <f>IFERROR(INDEX(الموظفون_القسم,MATCH($C406,الموظفون_الرقم,0)),"")</f>
        <v/>
      </c>
      <c r="G406" s="63">
        <f>IF($C406="","",IFERROR(INDEX(الموظفون_الاساسي,MATCH($C406,الموظفون_الرقم,0)),0))</f>
        <v/>
      </c>
      <c r="H406" s="49" t="n"/>
      <c r="I406" s="49" t="n"/>
      <c r="J406" s="49" t="n"/>
      <c r="K406" s="49" t="n"/>
      <c r="L406" s="49" t="n"/>
      <c r="M406" s="64" t="n"/>
      <c r="N406" s="49" t="n"/>
      <c r="O406" s="49" t="n"/>
      <c r="P406" s="49" t="n"/>
      <c r="Q406" s="49" t="n"/>
      <c r="R406" s="49" t="n"/>
      <c r="S406" s="63">
        <f>IF($C406="","",SUM($G406:$L406))</f>
        <v/>
      </c>
      <c r="T406" s="63">
        <f>IF($C406="","",SUM($N406:$R406))</f>
        <v/>
      </c>
      <c r="U406" s="63">
        <f>IF($C406="","",$S406-$T406)</f>
        <v/>
      </c>
      <c r="V406" s="47" t="n"/>
      <c r="W406" s="112" t="n"/>
      <c r="X406" s="47" t="n"/>
      <c r="Y406" s="50">
        <f>IF($C406="","",IF(SUMPRODUCT(($C$3:$C$502=$C406)*($A$3:$A$502=$A406)*($B$3:$B$502=$B406))&gt;1,"⚠ مكرر","سليم"))</f>
        <v/>
      </c>
      <c r="Z406">
        <f>IF(AND($C406&lt;&gt;"",$A406=تقرير_الشهر,$B406=تقرير_السنة),SUMPRODUCT(($C$3:$C$502&lt;&gt;"")*($A$3:$A$502=تقرير_الشهر)*($B$3:$B$502=تقرير_السنة)*(ROW($C$3:$C$502)&lt;=ROW())),"")</f>
        <v/>
      </c>
    </row>
    <row r="407">
      <c r="A407" s="40" t="n"/>
      <c r="B407" s="59" t="n"/>
      <c r="C407" s="40" t="n"/>
      <c r="D407" s="43">
        <f>IFERROR(INDEX(الموظفون_الاسم,MATCH($C407,الموظفون_الرقم,0)),"")</f>
        <v/>
      </c>
      <c r="E407" s="43">
        <f>IFERROR(INDEX(الموظفون_الإدارة,MATCH($C407,الموظفون_الرقم,0)),"")</f>
        <v/>
      </c>
      <c r="F407" s="43">
        <f>IFERROR(INDEX(الموظفون_القسم,MATCH($C407,الموظفون_الرقم,0)),"")</f>
        <v/>
      </c>
      <c r="G407" s="60">
        <f>IF($C407="","",IFERROR(INDEX(الموظفون_الاساسي,MATCH($C407,الموظفون_الرقم,0)),0))</f>
        <v/>
      </c>
      <c r="H407" s="42" t="n"/>
      <c r="I407" s="42" t="n"/>
      <c r="J407" s="42" t="n"/>
      <c r="K407" s="42" t="n"/>
      <c r="L407" s="42" t="n"/>
      <c r="M407" s="61" t="n"/>
      <c r="N407" s="42" t="n"/>
      <c r="O407" s="42" t="n"/>
      <c r="P407" s="42" t="n"/>
      <c r="Q407" s="42" t="n"/>
      <c r="R407" s="42" t="n"/>
      <c r="S407" s="60">
        <f>IF($C407="","",SUM($G407:$L407))</f>
        <v/>
      </c>
      <c r="T407" s="60">
        <f>IF($C407="","",SUM($N407:$R407))</f>
        <v/>
      </c>
      <c r="U407" s="60">
        <f>IF($C407="","",$S407-$T407)</f>
        <v/>
      </c>
      <c r="V407" s="40" t="n"/>
      <c r="W407" s="110" t="n"/>
      <c r="X407" s="40" t="n"/>
      <c r="Y407" s="43">
        <f>IF($C407="","",IF(SUMPRODUCT(($C$3:$C$502=$C407)*($A$3:$A$502=$A407)*($B$3:$B$502=$B407))&gt;1,"⚠ مكرر","سليم"))</f>
        <v/>
      </c>
      <c r="Z407">
        <f>IF(AND($C407&lt;&gt;"",$A407=تقرير_الشهر,$B407=تقرير_السنة),SUMPRODUCT(($C$3:$C$502&lt;&gt;"")*($A$3:$A$502=تقرير_الشهر)*($B$3:$B$502=تقرير_السنة)*(ROW($C$3:$C$502)&lt;=ROW())),"")</f>
        <v/>
      </c>
    </row>
    <row r="408">
      <c r="A408" s="47" t="n"/>
      <c r="B408" s="62" t="n"/>
      <c r="C408" s="47" t="n"/>
      <c r="D408" s="50">
        <f>IFERROR(INDEX(الموظفون_الاسم,MATCH($C408,الموظفون_الرقم,0)),"")</f>
        <v/>
      </c>
      <c r="E408" s="50">
        <f>IFERROR(INDEX(الموظفون_الإدارة,MATCH($C408,الموظفون_الرقم,0)),"")</f>
        <v/>
      </c>
      <c r="F408" s="50">
        <f>IFERROR(INDEX(الموظفون_القسم,MATCH($C408,الموظفون_الرقم,0)),"")</f>
        <v/>
      </c>
      <c r="G408" s="63">
        <f>IF($C408="","",IFERROR(INDEX(الموظفون_الاساسي,MATCH($C408,الموظفون_الرقم,0)),0))</f>
        <v/>
      </c>
      <c r="H408" s="49" t="n"/>
      <c r="I408" s="49" t="n"/>
      <c r="J408" s="49" t="n"/>
      <c r="K408" s="49" t="n"/>
      <c r="L408" s="49" t="n"/>
      <c r="M408" s="64" t="n"/>
      <c r="N408" s="49" t="n"/>
      <c r="O408" s="49" t="n"/>
      <c r="P408" s="49" t="n"/>
      <c r="Q408" s="49" t="n"/>
      <c r="R408" s="49" t="n"/>
      <c r="S408" s="63">
        <f>IF($C408="","",SUM($G408:$L408))</f>
        <v/>
      </c>
      <c r="T408" s="63">
        <f>IF($C408="","",SUM($N408:$R408))</f>
        <v/>
      </c>
      <c r="U408" s="63">
        <f>IF($C408="","",$S408-$T408)</f>
        <v/>
      </c>
      <c r="V408" s="47" t="n"/>
      <c r="W408" s="112" t="n"/>
      <c r="X408" s="47" t="n"/>
      <c r="Y408" s="50">
        <f>IF($C408="","",IF(SUMPRODUCT(($C$3:$C$502=$C408)*($A$3:$A$502=$A408)*($B$3:$B$502=$B408))&gt;1,"⚠ مكرر","سليم"))</f>
        <v/>
      </c>
      <c r="Z408">
        <f>IF(AND($C408&lt;&gt;"",$A408=تقرير_الشهر,$B408=تقرير_السنة),SUMPRODUCT(($C$3:$C$502&lt;&gt;"")*($A$3:$A$502=تقرير_الشهر)*($B$3:$B$502=تقرير_السنة)*(ROW($C$3:$C$502)&lt;=ROW())),"")</f>
        <v/>
      </c>
    </row>
    <row r="409">
      <c r="A409" s="40" t="n"/>
      <c r="B409" s="59" t="n"/>
      <c r="C409" s="40" t="n"/>
      <c r="D409" s="43">
        <f>IFERROR(INDEX(الموظفون_الاسم,MATCH($C409,الموظفون_الرقم,0)),"")</f>
        <v/>
      </c>
      <c r="E409" s="43">
        <f>IFERROR(INDEX(الموظفون_الإدارة,MATCH($C409,الموظفون_الرقم,0)),"")</f>
        <v/>
      </c>
      <c r="F409" s="43">
        <f>IFERROR(INDEX(الموظفون_القسم,MATCH($C409,الموظفون_الرقم,0)),"")</f>
        <v/>
      </c>
      <c r="G409" s="60">
        <f>IF($C409="","",IFERROR(INDEX(الموظفون_الاساسي,MATCH($C409,الموظفون_الرقم,0)),0))</f>
        <v/>
      </c>
      <c r="H409" s="42" t="n"/>
      <c r="I409" s="42" t="n"/>
      <c r="J409" s="42" t="n"/>
      <c r="K409" s="42" t="n"/>
      <c r="L409" s="42" t="n"/>
      <c r="M409" s="61" t="n"/>
      <c r="N409" s="42" t="n"/>
      <c r="O409" s="42" t="n"/>
      <c r="P409" s="42" t="n"/>
      <c r="Q409" s="42" t="n"/>
      <c r="R409" s="42" t="n"/>
      <c r="S409" s="60">
        <f>IF($C409="","",SUM($G409:$L409))</f>
        <v/>
      </c>
      <c r="T409" s="60">
        <f>IF($C409="","",SUM($N409:$R409))</f>
        <v/>
      </c>
      <c r="U409" s="60">
        <f>IF($C409="","",$S409-$T409)</f>
        <v/>
      </c>
      <c r="V409" s="40" t="n"/>
      <c r="W409" s="110" t="n"/>
      <c r="X409" s="40" t="n"/>
      <c r="Y409" s="43">
        <f>IF($C409="","",IF(SUMPRODUCT(($C$3:$C$502=$C409)*($A$3:$A$502=$A409)*($B$3:$B$502=$B409))&gt;1,"⚠ مكرر","سليم"))</f>
        <v/>
      </c>
      <c r="Z409">
        <f>IF(AND($C409&lt;&gt;"",$A409=تقرير_الشهر,$B409=تقرير_السنة),SUMPRODUCT(($C$3:$C$502&lt;&gt;"")*($A$3:$A$502=تقرير_الشهر)*($B$3:$B$502=تقرير_السنة)*(ROW($C$3:$C$502)&lt;=ROW())),"")</f>
        <v/>
      </c>
    </row>
    <row r="410">
      <c r="A410" s="47" t="n"/>
      <c r="B410" s="62" t="n"/>
      <c r="C410" s="47" t="n"/>
      <c r="D410" s="50">
        <f>IFERROR(INDEX(الموظفون_الاسم,MATCH($C410,الموظفون_الرقم,0)),"")</f>
        <v/>
      </c>
      <c r="E410" s="50">
        <f>IFERROR(INDEX(الموظفون_الإدارة,MATCH($C410,الموظفون_الرقم,0)),"")</f>
        <v/>
      </c>
      <c r="F410" s="50">
        <f>IFERROR(INDEX(الموظفون_القسم,MATCH($C410,الموظفون_الرقم,0)),"")</f>
        <v/>
      </c>
      <c r="G410" s="63">
        <f>IF($C410="","",IFERROR(INDEX(الموظفون_الاساسي,MATCH($C410,الموظفون_الرقم,0)),0))</f>
        <v/>
      </c>
      <c r="H410" s="49" t="n"/>
      <c r="I410" s="49" t="n"/>
      <c r="J410" s="49" t="n"/>
      <c r="K410" s="49" t="n"/>
      <c r="L410" s="49" t="n"/>
      <c r="M410" s="64" t="n"/>
      <c r="N410" s="49" t="n"/>
      <c r="O410" s="49" t="n"/>
      <c r="P410" s="49" t="n"/>
      <c r="Q410" s="49" t="n"/>
      <c r="R410" s="49" t="n"/>
      <c r="S410" s="63">
        <f>IF($C410="","",SUM($G410:$L410))</f>
        <v/>
      </c>
      <c r="T410" s="63">
        <f>IF($C410="","",SUM($N410:$R410))</f>
        <v/>
      </c>
      <c r="U410" s="63">
        <f>IF($C410="","",$S410-$T410)</f>
        <v/>
      </c>
      <c r="V410" s="47" t="n"/>
      <c r="W410" s="112" t="n"/>
      <c r="X410" s="47" t="n"/>
      <c r="Y410" s="50">
        <f>IF($C410="","",IF(SUMPRODUCT(($C$3:$C$502=$C410)*($A$3:$A$502=$A410)*($B$3:$B$502=$B410))&gt;1,"⚠ مكرر","سليم"))</f>
        <v/>
      </c>
      <c r="Z410">
        <f>IF(AND($C410&lt;&gt;"",$A410=تقرير_الشهر,$B410=تقرير_السنة),SUMPRODUCT(($C$3:$C$502&lt;&gt;"")*($A$3:$A$502=تقرير_الشهر)*($B$3:$B$502=تقرير_السنة)*(ROW($C$3:$C$502)&lt;=ROW())),"")</f>
        <v/>
      </c>
    </row>
    <row r="411">
      <c r="A411" s="40" t="n"/>
      <c r="B411" s="59" t="n"/>
      <c r="C411" s="40" t="n"/>
      <c r="D411" s="43">
        <f>IFERROR(INDEX(الموظفون_الاسم,MATCH($C411,الموظفون_الرقم,0)),"")</f>
        <v/>
      </c>
      <c r="E411" s="43">
        <f>IFERROR(INDEX(الموظفون_الإدارة,MATCH($C411,الموظفون_الرقم,0)),"")</f>
        <v/>
      </c>
      <c r="F411" s="43">
        <f>IFERROR(INDEX(الموظفون_القسم,MATCH($C411,الموظفون_الرقم,0)),"")</f>
        <v/>
      </c>
      <c r="G411" s="60">
        <f>IF($C411="","",IFERROR(INDEX(الموظفون_الاساسي,MATCH($C411,الموظفون_الرقم,0)),0))</f>
        <v/>
      </c>
      <c r="H411" s="42" t="n"/>
      <c r="I411" s="42" t="n"/>
      <c r="J411" s="42" t="n"/>
      <c r="K411" s="42" t="n"/>
      <c r="L411" s="42" t="n"/>
      <c r="M411" s="61" t="n"/>
      <c r="N411" s="42" t="n"/>
      <c r="O411" s="42" t="n"/>
      <c r="P411" s="42" t="n"/>
      <c r="Q411" s="42" t="n"/>
      <c r="R411" s="42" t="n"/>
      <c r="S411" s="60">
        <f>IF($C411="","",SUM($G411:$L411))</f>
        <v/>
      </c>
      <c r="T411" s="60">
        <f>IF($C411="","",SUM($N411:$R411))</f>
        <v/>
      </c>
      <c r="U411" s="60">
        <f>IF($C411="","",$S411-$T411)</f>
        <v/>
      </c>
      <c r="V411" s="40" t="n"/>
      <c r="W411" s="110" t="n"/>
      <c r="X411" s="40" t="n"/>
      <c r="Y411" s="43">
        <f>IF($C411="","",IF(SUMPRODUCT(($C$3:$C$502=$C411)*($A$3:$A$502=$A411)*($B$3:$B$502=$B411))&gt;1,"⚠ مكرر","سليم"))</f>
        <v/>
      </c>
      <c r="Z411">
        <f>IF(AND($C411&lt;&gt;"",$A411=تقرير_الشهر,$B411=تقرير_السنة),SUMPRODUCT(($C$3:$C$502&lt;&gt;"")*($A$3:$A$502=تقرير_الشهر)*($B$3:$B$502=تقرير_السنة)*(ROW($C$3:$C$502)&lt;=ROW())),"")</f>
        <v/>
      </c>
    </row>
    <row r="412">
      <c r="A412" s="47" t="n"/>
      <c r="B412" s="62" t="n"/>
      <c r="C412" s="47" t="n"/>
      <c r="D412" s="50">
        <f>IFERROR(INDEX(الموظفون_الاسم,MATCH($C412,الموظفون_الرقم,0)),"")</f>
        <v/>
      </c>
      <c r="E412" s="50">
        <f>IFERROR(INDEX(الموظفون_الإدارة,MATCH($C412,الموظفون_الرقم,0)),"")</f>
        <v/>
      </c>
      <c r="F412" s="50">
        <f>IFERROR(INDEX(الموظفون_القسم,MATCH($C412,الموظفون_الرقم,0)),"")</f>
        <v/>
      </c>
      <c r="G412" s="63">
        <f>IF($C412="","",IFERROR(INDEX(الموظفون_الاساسي,MATCH($C412,الموظفون_الرقم,0)),0))</f>
        <v/>
      </c>
      <c r="H412" s="49" t="n"/>
      <c r="I412" s="49" t="n"/>
      <c r="J412" s="49" t="n"/>
      <c r="K412" s="49" t="n"/>
      <c r="L412" s="49" t="n"/>
      <c r="M412" s="64" t="n"/>
      <c r="N412" s="49" t="n"/>
      <c r="O412" s="49" t="n"/>
      <c r="P412" s="49" t="n"/>
      <c r="Q412" s="49" t="n"/>
      <c r="R412" s="49" t="n"/>
      <c r="S412" s="63">
        <f>IF($C412="","",SUM($G412:$L412))</f>
        <v/>
      </c>
      <c r="T412" s="63">
        <f>IF($C412="","",SUM($N412:$R412))</f>
        <v/>
      </c>
      <c r="U412" s="63">
        <f>IF($C412="","",$S412-$T412)</f>
        <v/>
      </c>
      <c r="V412" s="47" t="n"/>
      <c r="W412" s="112" t="n"/>
      <c r="X412" s="47" t="n"/>
      <c r="Y412" s="50">
        <f>IF($C412="","",IF(SUMPRODUCT(($C$3:$C$502=$C412)*($A$3:$A$502=$A412)*($B$3:$B$502=$B412))&gt;1,"⚠ مكرر","سليم"))</f>
        <v/>
      </c>
      <c r="Z412">
        <f>IF(AND($C412&lt;&gt;"",$A412=تقرير_الشهر,$B412=تقرير_السنة),SUMPRODUCT(($C$3:$C$502&lt;&gt;"")*($A$3:$A$502=تقرير_الشهر)*($B$3:$B$502=تقرير_السنة)*(ROW($C$3:$C$502)&lt;=ROW())),"")</f>
        <v/>
      </c>
    </row>
    <row r="413">
      <c r="A413" s="40" t="n"/>
      <c r="B413" s="59" t="n"/>
      <c r="C413" s="40" t="n"/>
      <c r="D413" s="43">
        <f>IFERROR(INDEX(الموظفون_الاسم,MATCH($C413,الموظفون_الرقم,0)),"")</f>
        <v/>
      </c>
      <c r="E413" s="43">
        <f>IFERROR(INDEX(الموظفون_الإدارة,MATCH($C413,الموظفون_الرقم,0)),"")</f>
        <v/>
      </c>
      <c r="F413" s="43">
        <f>IFERROR(INDEX(الموظفون_القسم,MATCH($C413,الموظفون_الرقم,0)),"")</f>
        <v/>
      </c>
      <c r="G413" s="60">
        <f>IF($C413="","",IFERROR(INDEX(الموظفون_الاساسي,MATCH($C413,الموظفون_الرقم,0)),0))</f>
        <v/>
      </c>
      <c r="H413" s="42" t="n"/>
      <c r="I413" s="42" t="n"/>
      <c r="J413" s="42" t="n"/>
      <c r="K413" s="42" t="n"/>
      <c r="L413" s="42" t="n"/>
      <c r="M413" s="61" t="n"/>
      <c r="N413" s="42" t="n"/>
      <c r="O413" s="42" t="n"/>
      <c r="P413" s="42" t="n"/>
      <c r="Q413" s="42" t="n"/>
      <c r="R413" s="42" t="n"/>
      <c r="S413" s="60">
        <f>IF($C413="","",SUM($G413:$L413))</f>
        <v/>
      </c>
      <c r="T413" s="60">
        <f>IF($C413="","",SUM($N413:$R413))</f>
        <v/>
      </c>
      <c r="U413" s="60">
        <f>IF($C413="","",$S413-$T413)</f>
        <v/>
      </c>
      <c r="V413" s="40" t="n"/>
      <c r="W413" s="110" t="n"/>
      <c r="X413" s="40" t="n"/>
      <c r="Y413" s="43">
        <f>IF($C413="","",IF(SUMPRODUCT(($C$3:$C$502=$C413)*($A$3:$A$502=$A413)*($B$3:$B$502=$B413))&gt;1,"⚠ مكرر","سليم"))</f>
        <v/>
      </c>
      <c r="Z413">
        <f>IF(AND($C413&lt;&gt;"",$A413=تقرير_الشهر,$B413=تقرير_السنة),SUMPRODUCT(($C$3:$C$502&lt;&gt;"")*($A$3:$A$502=تقرير_الشهر)*($B$3:$B$502=تقرير_السنة)*(ROW($C$3:$C$502)&lt;=ROW())),"")</f>
        <v/>
      </c>
    </row>
    <row r="414">
      <c r="A414" s="47" t="n"/>
      <c r="B414" s="62" t="n"/>
      <c r="C414" s="47" t="n"/>
      <c r="D414" s="50">
        <f>IFERROR(INDEX(الموظفون_الاسم,MATCH($C414,الموظفون_الرقم,0)),"")</f>
        <v/>
      </c>
      <c r="E414" s="50">
        <f>IFERROR(INDEX(الموظفون_الإدارة,MATCH($C414,الموظفون_الرقم,0)),"")</f>
        <v/>
      </c>
      <c r="F414" s="50">
        <f>IFERROR(INDEX(الموظفون_القسم,MATCH($C414,الموظفون_الرقم,0)),"")</f>
        <v/>
      </c>
      <c r="G414" s="63">
        <f>IF($C414="","",IFERROR(INDEX(الموظفون_الاساسي,MATCH($C414,الموظفون_الرقم,0)),0))</f>
        <v/>
      </c>
      <c r="H414" s="49" t="n"/>
      <c r="I414" s="49" t="n"/>
      <c r="J414" s="49" t="n"/>
      <c r="K414" s="49" t="n"/>
      <c r="L414" s="49" t="n"/>
      <c r="M414" s="64" t="n"/>
      <c r="N414" s="49" t="n"/>
      <c r="O414" s="49" t="n"/>
      <c r="P414" s="49" t="n"/>
      <c r="Q414" s="49" t="n"/>
      <c r="R414" s="49" t="n"/>
      <c r="S414" s="63">
        <f>IF($C414="","",SUM($G414:$L414))</f>
        <v/>
      </c>
      <c r="T414" s="63">
        <f>IF($C414="","",SUM($N414:$R414))</f>
        <v/>
      </c>
      <c r="U414" s="63">
        <f>IF($C414="","",$S414-$T414)</f>
        <v/>
      </c>
      <c r="V414" s="47" t="n"/>
      <c r="W414" s="112" t="n"/>
      <c r="X414" s="47" t="n"/>
      <c r="Y414" s="50">
        <f>IF($C414="","",IF(SUMPRODUCT(($C$3:$C$502=$C414)*($A$3:$A$502=$A414)*($B$3:$B$502=$B414))&gt;1,"⚠ مكرر","سليم"))</f>
        <v/>
      </c>
      <c r="Z414">
        <f>IF(AND($C414&lt;&gt;"",$A414=تقرير_الشهر,$B414=تقرير_السنة),SUMPRODUCT(($C$3:$C$502&lt;&gt;"")*($A$3:$A$502=تقرير_الشهر)*($B$3:$B$502=تقرير_السنة)*(ROW($C$3:$C$502)&lt;=ROW())),"")</f>
        <v/>
      </c>
    </row>
    <row r="415">
      <c r="A415" s="40" t="n"/>
      <c r="B415" s="59" t="n"/>
      <c r="C415" s="40" t="n"/>
      <c r="D415" s="43">
        <f>IFERROR(INDEX(الموظفون_الاسم,MATCH($C415,الموظفون_الرقم,0)),"")</f>
        <v/>
      </c>
      <c r="E415" s="43">
        <f>IFERROR(INDEX(الموظفون_الإدارة,MATCH($C415,الموظفون_الرقم,0)),"")</f>
        <v/>
      </c>
      <c r="F415" s="43">
        <f>IFERROR(INDEX(الموظفون_القسم,MATCH($C415,الموظفون_الرقم,0)),"")</f>
        <v/>
      </c>
      <c r="G415" s="60">
        <f>IF($C415="","",IFERROR(INDEX(الموظفون_الاساسي,MATCH($C415,الموظفون_الرقم,0)),0))</f>
        <v/>
      </c>
      <c r="H415" s="42" t="n"/>
      <c r="I415" s="42" t="n"/>
      <c r="J415" s="42" t="n"/>
      <c r="K415" s="42" t="n"/>
      <c r="L415" s="42" t="n"/>
      <c r="M415" s="61" t="n"/>
      <c r="N415" s="42" t="n"/>
      <c r="O415" s="42" t="n"/>
      <c r="P415" s="42" t="n"/>
      <c r="Q415" s="42" t="n"/>
      <c r="R415" s="42" t="n"/>
      <c r="S415" s="60">
        <f>IF($C415="","",SUM($G415:$L415))</f>
        <v/>
      </c>
      <c r="T415" s="60">
        <f>IF($C415="","",SUM($N415:$R415))</f>
        <v/>
      </c>
      <c r="U415" s="60">
        <f>IF($C415="","",$S415-$T415)</f>
        <v/>
      </c>
      <c r="V415" s="40" t="n"/>
      <c r="W415" s="110" t="n"/>
      <c r="X415" s="40" t="n"/>
      <c r="Y415" s="43">
        <f>IF($C415="","",IF(SUMPRODUCT(($C$3:$C$502=$C415)*($A$3:$A$502=$A415)*($B$3:$B$502=$B415))&gt;1,"⚠ مكرر","سليم"))</f>
        <v/>
      </c>
      <c r="Z415">
        <f>IF(AND($C415&lt;&gt;"",$A415=تقرير_الشهر,$B415=تقرير_السنة),SUMPRODUCT(($C$3:$C$502&lt;&gt;"")*($A$3:$A$502=تقرير_الشهر)*($B$3:$B$502=تقرير_السنة)*(ROW($C$3:$C$502)&lt;=ROW())),"")</f>
        <v/>
      </c>
    </row>
    <row r="416">
      <c r="A416" s="47" t="n"/>
      <c r="B416" s="62" t="n"/>
      <c r="C416" s="47" t="n"/>
      <c r="D416" s="50">
        <f>IFERROR(INDEX(الموظفون_الاسم,MATCH($C416,الموظفون_الرقم,0)),"")</f>
        <v/>
      </c>
      <c r="E416" s="50">
        <f>IFERROR(INDEX(الموظفون_الإدارة,MATCH($C416,الموظفون_الرقم,0)),"")</f>
        <v/>
      </c>
      <c r="F416" s="50">
        <f>IFERROR(INDEX(الموظفون_القسم,MATCH($C416,الموظفون_الرقم,0)),"")</f>
        <v/>
      </c>
      <c r="G416" s="63">
        <f>IF($C416="","",IFERROR(INDEX(الموظفون_الاساسي,MATCH($C416,الموظفون_الرقم,0)),0))</f>
        <v/>
      </c>
      <c r="H416" s="49" t="n"/>
      <c r="I416" s="49" t="n"/>
      <c r="J416" s="49" t="n"/>
      <c r="K416" s="49" t="n"/>
      <c r="L416" s="49" t="n"/>
      <c r="M416" s="64" t="n"/>
      <c r="N416" s="49" t="n"/>
      <c r="O416" s="49" t="n"/>
      <c r="P416" s="49" t="n"/>
      <c r="Q416" s="49" t="n"/>
      <c r="R416" s="49" t="n"/>
      <c r="S416" s="63">
        <f>IF($C416="","",SUM($G416:$L416))</f>
        <v/>
      </c>
      <c r="T416" s="63">
        <f>IF($C416="","",SUM($N416:$R416))</f>
        <v/>
      </c>
      <c r="U416" s="63">
        <f>IF($C416="","",$S416-$T416)</f>
        <v/>
      </c>
      <c r="V416" s="47" t="n"/>
      <c r="W416" s="112" t="n"/>
      <c r="X416" s="47" t="n"/>
      <c r="Y416" s="50">
        <f>IF($C416="","",IF(SUMPRODUCT(($C$3:$C$502=$C416)*($A$3:$A$502=$A416)*($B$3:$B$502=$B416))&gt;1,"⚠ مكرر","سليم"))</f>
        <v/>
      </c>
      <c r="Z416">
        <f>IF(AND($C416&lt;&gt;"",$A416=تقرير_الشهر,$B416=تقرير_السنة),SUMPRODUCT(($C$3:$C$502&lt;&gt;"")*($A$3:$A$502=تقرير_الشهر)*($B$3:$B$502=تقرير_السنة)*(ROW($C$3:$C$502)&lt;=ROW())),"")</f>
        <v/>
      </c>
    </row>
    <row r="417">
      <c r="A417" s="40" t="n"/>
      <c r="B417" s="59" t="n"/>
      <c r="C417" s="40" t="n"/>
      <c r="D417" s="43">
        <f>IFERROR(INDEX(الموظفون_الاسم,MATCH($C417,الموظفون_الرقم,0)),"")</f>
        <v/>
      </c>
      <c r="E417" s="43">
        <f>IFERROR(INDEX(الموظفون_الإدارة,MATCH($C417,الموظفون_الرقم,0)),"")</f>
        <v/>
      </c>
      <c r="F417" s="43">
        <f>IFERROR(INDEX(الموظفون_القسم,MATCH($C417,الموظفون_الرقم,0)),"")</f>
        <v/>
      </c>
      <c r="G417" s="60">
        <f>IF($C417="","",IFERROR(INDEX(الموظفون_الاساسي,MATCH($C417,الموظفون_الرقم,0)),0))</f>
        <v/>
      </c>
      <c r="H417" s="42" t="n"/>
      <c r="I417" s="42" t="n"/>
      <c r="J417" s="42" t="n"/>
      <c r="K417" s="42" t="n"/>
      <c r="L417" s="42" t="n"/>
      <c r="M417" s="61" t="n"/>
      <c r="N417" s="42" t="n"/>
      <c r="O417" s="42" t="n"/>
      <c r="P417" s="42" t="n"/>
      <c r="Q417" s="42" t="n"/>
      <c r="R417" s="42" t="n"/>
      <c r="S417" s="60">
        <f>IF($C417="","",SUM($G417:$L417))</f>
        <v/>
      </c>
      <c r="T417" s="60">
        <f>IF($C417="","",SUM($N417:$R417))</f>
        <v/>
      </c>
      <c r="U417" s="60">
        <f>IF($C417="","",$S417-$T417)</f>
        <v/>
      </c>
      <c r="V417" s="40" t="n"/>
      <c r="W417" s="110" t="n"/>
      <c r="X417" s="40" t="n"/>
      <c r="Y417" s="43">
        <f>IF($C417="","",IF(SUMPRODUCT(($C$3:$C$502=$C417)*($A$3:$A$502=$A417)*($B$3:$B$502=$B417))&gt;1,"⚠ مكرر","سليم"))</f>
        <v/>
      </c>
      <c r="Z417">
        <f>IF(AND($C417&lt;&gt;"",$A417=تقرير_الشهر,$B417=تقرير_السنة),SUMPRODUCT(($C$3:$C$502&lt;&gt;"")*($A$3:$A$502=تقرير_الشهر)*($B$3:$B$502=تقرير_السنة)*(ROW($C$3:$C$502)&lt;=ROW())),"")</f>
        <v/>
      </c>
    </row>
    <row r="418">
      <c r="A418" s="47" t="n"/>
      <c r="B418" s="62" t="n"/>
      <c r="C418" s="47" t="n"/>
      <c r="D418" s="50">
        <f>IFERROR(INDEX(الموظفون_الاسم,MATCH($C418,الموظفون_الرقم,0)),"")</f>
        <v/>
      </c>
      <c r="E418" s="50">
        <f>IFERROR(INDEX(الموظفون_الإدارة,MATCH($C418,الموظفون_الرقم,0)),"")</f>
        <v/>
      </c>
      <c r="F418" s="50">
        <f>IFERROR(INDEX(الموظفون_القسم,MATCH($C418,الموظفون_الرقم,0)),"")</f>
        <v/>
      </c>
      <c r="G418" s="63">
        <f>IF($C418="","",IFERROR(INDEX(الموظفون_الاساسي,MATCH($C418,الموظفون_الرقم,0)),0))</f>
        <v/>
      </c>
      <c r="H418" s="49" t="n"/>
      <c r="I418" s="49" t="n"/>
      <c r="J418" s="49" t="n"/>
      <c r="K418" s="49" t="n"/>
      <c r="L418" s="49" t="n"/>
      <c r="M418" s="64" t="n"/>
      <c r="N418" s="49" t="n"/>
      <c r="O418" s="49" t="n"/>
      <c r="P418" s="49" t="n"/>
      <c r="Q418" s="49" t="n"/>
      <c r="R418" s="49" t="n"/>
      <c r="S418" s="63">
        <f>IF($C418="","",SUM($G418:$L418))</f>
        <v/>
      </c>
      <c r="T418" s="63">
        <f>IF($C418="","",SUM($N418:$R418))</f>
        <v/>
      </c>
      <c r="U418" s="63">
        <f>IF($C418="","",$S418-$T418)</f>
        <v/>
      </c>
      <c r="V418" s="47" t="n"/>
      <c r="W418" s="112" t="n"/>
      <c r="X418" s="47" t="n"/>
      <c r="Y418" s="50">
        <f>IF($C418="","",IF(SUMPRODUCT(($C$3:$C$502=$C418)*($A$3:$A$502=$A418)*($B$3:$B$502=$B418))&gt;1,"⚠ مكرر","سليم"))</f>
        <v/>
      </c>
      <c r="Z418">
        <f>IF(AND($C418&lt;&gt;"",$A418=تقرير_الشهر,$B418=تقرير_السنة),SUMPRODUCT(($C$3:$C$502&lt;&gt;"")*($A$3:$A$502=تقرير_الشهر)*($B$3:$B$502=تقرير_السنة)*(ROW($C$3:$C$502)&lt;=ROW())),"")</f>
        <v/>
      </c>
    </row>
    <row r="419">
      <c r="A419" s="40" t="n"/>
      <c r="B419" s="59" t="n"/>
      <c r="C419" s="40" t="n"/>
      <c r="D419" s="43">
        <f>IFERROR(INDEX(الموظفون_الاسم,MATCH($C419,الموظفون_الرقم,0)),"")</f>
        <v/>
      </c>
      <c r="E419" s="43">
        <f>IFERROR(INDEX(الموظفون_الإدارة,MATCH($C419,الموظفون_الرقم,0)),"")</f>
        <v/>
      </c>
      <c r="F419" s="43">
        <f>IFERROR(INDEX(الموظفون_القسم,MATCH($C419,الموظفون_الرقم,0)),"")</f>
        <v/>
      </c>
      <c r="G419" s="60">
        <f>IF($C419="","",IFERROR(INDEX(الموظفون_الاساسي,MATCH($C419,الموظفون_الرقم,0)),0))</f>
        <v/>
      </c>
      <c r="H419" s="42" t="n"/>
      <c r="I419" s="42" t="n"/>
      <c r="J419" s="42" t="n"/>
      <c r="K419" s="42" t="n"/>
      <c r="L419" s="42" t="n"/>
      <c r="M419" s="61" t="n"/>
      <c r="N419" s="42" t="n"/>
      <c r="O419" s="42" t="n"/>
      <c r="P419" s="42" t="n"/>
      <c r="Q419" s="42" t="n"/>
      <c r="R419" s="42" t="n"/>
      <c r="S419" s="60">
        <f>IF($C419="","",SUM($G419:$L419))</f>
        <v/>
      </c>
      <c r="T419" s="60">
        <f>IF($C419="","",SUM($N419:$R419))</f>
        <v/>
      </c>
      <c r="U419" s="60">
        <f>IF($C419="","",$S419-$T419)</f>
        <v/>
      </c>
      <c r="V419" s="40" t="n"/>
      <c r="W419" s="110" t="n"/>
      <c r="X419" s="40" t="n"/>
      <c r="Y419" s="43">
        <f>IF($C419="","",IF(SUMPRODUCT(($C$3:$C$502=$C419)*($A$3:$A$502=$A419)*($B$3:$B$502=$B419))&gt;1,"⚠ مكرر","سليم"))</f>
        <v/>
      </c>
      <c r="Z419">
        <f>IF(AND($C419&lt;&gt;"",$A419=تقرير_الشهر,$B419=تقرير_السنة),SUMPRODUCT(($C$3:$C$502&lt;&gt;"")*($A$3:$A$502=تقرير_الشهر)*($B$3:$B$502=تقرير_السنة)*(ROW($C$3:$C$502)&lt;=ROW())),"")</f>
        <v/>
      </c>
    </row>
    <row r="420">
      <c r="A420" s="47" t="n"/>
      <c r="B420" s="62" t="n"/>
      <c r="C420" s="47" t="n"/>
      <c r="D420" s="50">
        <f>IFERROR(INDEX(الموظفون_الاسم,MATCH($C420,الموظفون_الرقم,0)),"")</f>
        <v/>
      </c>
      <c r="E420" s="50">
        <f>IFERROR(INDEX(الموظفون_الإدارة,MATCH($C420,الموظفون_الرقم,0)),"")</f>
        <v/>
      </c>
      <c r="F420" s="50">
        <f>IFERROR(INDEX(الموظفون_القسم,MATCH($C420,الموظفون_الرقم,0)),"")</f>
        <v/>
      </c>
      <c r="G420" s="63">
        <f>IF($C420="","",IFERROR(INDEX(الموظفون_الاساسي,MATCH($C420,الموظفون_الرقم,0)),0))</f>
        <v/>
      </c>
      <c r="H420" s="49" t="n"/>
      <c r="I420" s="49" t="n"/>
      <c r="J420" s="49" t="n"/>
      <c r="K420" s="49" t="n"/>
      <c r="L420" s="49" t="n"/>
      <c r="M420" s="64" t="n"/>
      <c r="N420" s="49" t="n"/>
      <c r="O420" s="49" t="n"/>
      <c r="P420" s="49" t="n"/>
      <c r="Q420" s="49" t="n"/>
      <c r="R420" s="49" t="n"/>
      <c r="S420" s="63">
        <f>IF($C420="","",SUM($G420:$L420))</f>
        <v/>
      </c>
      <c r="T420" s="63">
        <f>IF($C420="","",SUM($N420:$R420))</f>
        <v/>
      </c>
      <c r="U420" s="63">
        <f>IF($C420="","",$S420-$T420)</f>
        <v/>
      </c>
      <c r="V420" s="47" t="n"/>
      <c r="W420" s="112" t="n"/>
      <c r="X420" s="47" t="n"/>
      <c r="Y420" s="50">
        <f>IF($C420="","",IF(SUMPRODUCT(($C$3:$C$502=$C420)*($A$3:$A$502=$A420)*($B$3:$B$502=$B420))&gt;1,"⚠ مكرر","سليم"))</f>
        <v/>
      </c>
      <c r="Z420">
        <f>IF(AND($C420&lt;&gt;"",$A420=تقرير_الشهر,$B420=تقرير_السنة),SUMPRODUCT(($C$3:$C$502&lt;&gt;"")*($A$3:$A$502=تقرير_الشهر)*($B$3:$B$502=تقرير_السنة)*(ROW($C$3:$C$502)&lt;=ROW())),"")</f>
        <v/>
      </c>
    </row>
    <row r="421">
      <c r="A421" s="40" t="n"/>
      <c r="B421" s="59" t="n"/>
      <c r="C421" s="40" t="n"/>
      <c r="D421" s="43">
        <f>IFERROR(INDEX(الموظفون_الاسم,MATCH($C421,الموظفون_الرقم,0)),"")</f>
        <v/>
      </c>
      <c r="E421" s="43">
        <f>IFERROR(INDEX(الموظفون_الإدارة,MATCH($C421,الموظفون_الرقم,0)),"")</f>
        <v/>
      </c>
      <c r="F421" s="43">
        <f>IFERROR(INDEX(الموظفون_القسم,MATCH($C421,الموظفون_الرقم,0)),"")</f>
        <v/>
      </c>
      <c r="G421" s="60">
        <f>IF($C421="","",IFERROR(INDEX(الموظفون_الاساسي,MATCH($C421,الموظفون_الرقم,0)),0))</f>
        <v/>
      </c>
      <c r="H421" s="42" t="n"/>
      <c r="I421" s="42" t="n"/>
      <c r="J421" s="42" t="n"/>
      <c r="K421" s="42" t="n"/>
      <c r="L421" s="42" t="n"/>
      <c r="M421" s="61" t="n"/>
      <c r="N421" s="42" t="n"/>
      <c r="O421" s="42" t="n"/>
      <c r="P421" s="42" t="n"/>
      <c r="Q421" s="42" t="n"/>
      <c r="R421" s="42" t="n"/>
      <c r="S421" s="60">
        <f>IF($C421="","",SUM($G421:$L421))</f>
        <v/>
      </c>
      <c r="T421" s="60">
        <f>IF($C421="","",SUM($N421:$R421))</f>
        <v/>
      </c>
      <c r="U421" s="60">
        <f>IF($C421="","",$S421-$T421)</f>
        <v/>
      </c>
      <c r="V421" s="40" t="n"/>
      <c r="W421" s="110" t="n"/>
      <c r="X421" s="40" t="n"/>
      <c r="Y421" s="43">
        <f>IF($C421="","",IF(SUMPRODUCT(($C$3:$C$502=$C421)*($A$3:$A$502=$A421)*($B$3:$B$502=$B421))&gt;1,"⚠ مكرر","سليم"))</f>
        <v/>
      </c>
      <c r="Z421">
        <f>IF(AND($C421&lt;&gt;"",$A421=تقرير_الشهر,$B421=تقرير_السنة),SUMPRODUCT(($C$3:$C$502&lt;&gt;"")*($A$3:$A$502=تقرير_الشهر)*($B$3:$B$502=تقرير_السنة)*(ROW($C$3:$C$502)&lt;=ROW())),"")</f>
        <v/>
      </c>
    </row>
    <row r="422">
      <c r="A422" s="47" t="n"/>
      <c r="B422" s="62" t="n"/>
      <c r="C422" s="47" t="n"/>
      <c r="D422" s="50">
        <f>IFERROR(INDEX(الموظفون_الاسم,MATCH($C422,الموظفون_الرقم,0)),"")</f>
        <v/>
      </c>
      <c r="E422" s="50">
        <f>IFERROR(INDEX(الموظفون_الإدارة,MATCH($C422,الموظفون_الرقم,0)),"")</f>
        <v/>
      </c>
      <c r="F422" s="50">
        <f>IFERROR(INDEX(الموظفون_القسم,MATCH($C422,الموظفون_الرقم,0)),"")</f>
        <v/>
      </c>
      <c r="G422" s="63">
        <f>IF($C422="","",IFERROR(INDEX(الموظفون_الاساسي,MATCH($C422,الموظفون_الرقم,0)),0))</f>
        <v/>
      </c>
      <c r="H422" s="49" t="n"/>
      <c r="I422" s="49" t="n"/>
      <c r="J422" s="49" t="n"/>
      <c r="K422" s="49" t="n"/>
      <c r="L422" s="49" t="n"/>
      <c r="M422" s="64" t="n"/>
      <c r="N422" s="49" t="n"/>
      <c r="O422" s="49" t="n"/>
      <c r="P422" s="49" t="n"/>
      <c r="Q422" s="49" t="n"/>
      <c r="R422" s="49" t="n"/>
      <c r="S422" s="63">
        <f>IF($C422="","",SUM($G422:$L422))</f>
        <v/>
      </c>
      <c r="T422" s="63">
        <f>IF($C422="","",SUM($N422:$R422))</f>
        <v/>
      </c>
      <c r="U422" s="63">
        <f>IF($C422="","",$S422-$T422)</f>
        <v/>
      </c>
      <c r="V422" s="47" t="n"/>
      <c r="W422" s="112" t="n"/>
      <c r="X422" s="47" t="n"/>
      <c r="Y422" s="50">
        <f>IF($C422="","",IF(SUMPRODUCT(($C$3:$C$502=$C422)*($A$3:$A$502=$A422)*($B$3:$B$502=$B422))&gt;1,"⚠ مكرر","سليم"))</f>
        <v/>
      </c>
      <c r="Z422">
        <f>IF(AND($C422&lt;&gt;"",$A422=تقرير_الشهر,$B422=تقرير_السنة),SUMPRODUCT(($C$3:$C$502&lt;&gt;"")*($A$3:$A$502=تقرير_الشهر)*($B$3:$B$502=تقرير_السنة)*(ROW($C$3:$C$502)&lt;=ROW())),"")</f>
        <v/>
      </c>
    </row>
    <row r="423">
      <c r="A423" s="40" t="n"/>
      <c r="B423" s="59" t="n"/>
      <c r="C423" s="40" t="n"/>
      <c r="D423" s="43">
        <f>IFERROR(INDEX(الموظفون_الاسم,MATCH($C423,الموظفون_الرقم,0)),"")</f>
        <v/>
      </c>
      <c r="E423" s="43">
        <f>IFERROR(INDEX(الموظفون_الإدارة,MATCH($C423,الموظفون_الرقم,0)),"")</f>
        <v/>
      </c>
      <c r="F423" s="43">
        <f>IFERROR(INDEX(الموظفون_القسم,MATCH($C423,الموظفون_الرقم,0)),"")</f>
        <v/>
      </c>
      <c r="G423" s="60">
        <f>IF($C423="","",IFERROR(INDEX(الموظفون_الاساسي,MATCH($C423,الموظفون_الرقم,0)),0))</f>
        <v/>
      </c>
      <c r="H423" s="42" t="n"/>
      <c r="I423" s="42" t="n"/>
      <c r="J423" s="42" t="n"/>
      <c r="K423" s="42" t="n"/>
      <c r="L423" s="42" t="n"/>
      <c r="M423" s="61" t="n"/>
      <c r="N423" s="42" t="n"/>
      <c r="O423" s="42" t="n"/>
      <c r="P423" s="42" t="n"/>
      <c r="Q423" s="42" t="n"/>
      <c r="R423" s="42" t="n"/>
      <c r="S423" s="60">
        <f>IF($C423="","",SUM($G423:$L423))</f>
        <v/>
      </c>
      <c r="T423" s="60">
        <f>IF($C423="","",SUM($N423:$R423))</f>
        <v/>
      </c>
      <c r="U423" s="60">
        <f>IF($C423="","",$S423-$T423)</f>
        <v/>
      </c>
      <c r="V423" s="40" t="n"/>
      <c r="W423" s="110" t="n"/>
      <c r="X423" s="40" t="n"/>
      <c r="Y423" s="43">
        <f>IF($C423="","",IF(SUMPRODUCT(($C$3:$C$502=$C423)*($A$3:$A$502=$A423)*($B$3:$B$502=$B423))&gt;1,"⚠ مكرر","سليم"))</f>
        <v/>
      </c>
      <c r="Z423">
        <f>IF(AND($C423&lt;&gt;"",$A423=تقرير_الشهر,$B423=تقرير_السنة),SUMPRODUCT(($C$3:$C$502&lt;&gt;"")*($A$3:$A$502=تقرير_الشهر)*($B$3:$B$502=تقرير_السنة)*(ROW($C$3:$C$502)&lt;=ROW())),"")</f>
        <v/>
      </c>
    </row>
    <row r="424">
      <c r="A424" s="47" t="n"/>
      <c r="B424" s="62" t="n"/>
      <c r="C424" s="47" t="n"/>
      <c r="D424" s="50">
        <f>IFERROR(INDEX(الموظفون_الاسم,MATCH($C424,الموظفون_الرقم,0)),"")</f>
        <v/>
      </c>
      <c r="E424" s="50">
        <f>IFERROR(INDEX(الموظفون_الإدارة,MATCH($C424,الموظفون_الرقم,0)),"")</f>
        <v/>
      </c>
      <c r="F424" s="50">
        <f>IFERROR(INDEX(الموظفون_القسم,MATCH($C424,الموظفون_الرقم,0)),"")</f>
        <v/>
      </c>
      <c r="G424" s="63">
        <f>IF($C424="","",IFERROR(INDEX(الموظفون_الاساسي,MATCH($C424,الموظفون_الرقم,0)),0))</f>
        <v/>
      </c>
      <c r="H424" s="49" t="n"/>
      <c r="I424" s="49" t="n"/>
      <c r="J424" s="49" t="n"/>
      <c r="K424" s="49" t="n"/>
      <c r="L424" s="49" t="n"/>
      <c r="M424" s="64" t="n"/>
      <c r="N424" s="49" t="n"/>
      <c r="O424" s="49" t="n"/>
      <c r="P424" s="49" t="n"/>
      <c r="Q424" s="49" t="n"/>
      <c r="R424" s="49" t="n"/>
      <c r="S424" s="63">
        <f>IF($C424="","",SUM($G424:$L424))</f>
        <v/>
      </c>
      <c r="T424" s="63">
        <f>IF($C424="","",SUM($N424:$R424))</f>
        <v/>
      </c>
      <c r="U424" s="63">
        <f>IF($C424="","",$S424-$T424)</f>
        <v/>
      </c>
      <c r="V424" s="47" t="n"/>
      <c r="W424" s="112" t="n"/>
      <c r="X424" s="47" t="n"/>
      <c r="Y424" s="50">
        <f>IF($C424="","",IF(SUMPRODUCT(($C$3:$C$502=$C424)*($A$3:$A$502=$A424)*($B$3:$B$502=$B424))&gt;1,"⚠ مكرر","سليم"))</f>
        <v/>
      </c>
      <c r="Z424">
        <f>IF(AND($C424&lt;&gt;"",$A424=تقرير_الشهر,$B424=تقرير_السنة),SUMPRODUCT(($C$3:$C$502&lt;&gt;"")*($A$3:$A$502=تقرير_الشهر)*($B$3:$B$502=تقرير_السنة)*(ROW($C$3:$C$502)&lt;=ROW())),"")</f>
        <v/>
      </c>
    </row>
    <row r="425">
      <c r="A425" s="40" t="n"/>
      <c r="B425" s="59" t="n"/>
      <c r="C425" s="40" t="n"/>
      <c r="D425" s="43">
        <f>IFERROR(INDEX(الموظفون_الاسم,MATCH($C425,الموظفون_الرقم,0)),"")</f>
        <v/>
      </c>
      <c r="E425" s="43">
        <f>IFERROR(INDEX(الموظفون_الإدارة,MATCH($C425,الموظفون_الرقم,0)),"")</f>
        <v/>
      </c>
      <c r="F425" s="43">
        <f>IFERROR(INDEX(الموظفون_القسم,MATCH($C425,الموظفون_الرقم,0)),"")</f>
        <v/>
      </c>
      <c r="G425" s="60">
        <f>IF($C425="","",IFERROR(INDEX(الموظفون_الاساسي,MATCH($C425,الموظفون_الرقم,0)),0))</f>
        <v/>
      </c>
      <c r="H425" s="42" t="n"/>
      <c r="I425" s="42" t="n"/>
      <c r="J425" s="42" t="n"/>
      <c r="K425" s="42" t="n"/>
      <c r="L425" s="42" t="n"/>
      <c r="M425" s="61" t="n"/>
      <c r="N425" s="42" t="n"/>
      <c r="O425" s="42" t="n"/>
      <c r="P425" s="42" t="n"/>
      <c r="Q425" s="42" t="n"/>
      <c r="R425" s="42" t="n"/>
      <c r="S425" s="60">
        <f>IF($C425="","",SUM($G425:$L425))</f>
        <v/>
      </c>
      <c r="T425" s="60">
        <f>IF($C425="","",SUM($N425:$R425))</f>
        <v/>
      </c>
      <c r="U425" s="60">
        <f>IF($C425="","",$S425-$T425)</f>
        <v/>
      </c>
      <c r="V425" s="40" t="n"/>
      <c r="W425" s="110" t="n"/>
      <c r="X425" s="40" t="n"/>
      <c r="Y425" s="43">
        <f>IF($C425="","",IF(SUMPRODUCT(($C$3:$C$502=$C425)*($A$3:$A$502=$A425)*($B$3:$B$502=$B425))&gt;1,"⚠ مكرر","سليم"))</f>
        <v/>
      </c>
      <c r="Z425">
        <f>IF(AND($C425&lt;&gt;"",$A425=تقرير_الشهر,$B425=تقرير_السنة),SUMPRODUCT(($C$3:$C$502&lt;&gt;"")*($A$3:$A$502=تقرير_الشهر)*($B$3:$B$502=تقرير_السنة)*(ROW($C$3:$C$502)&lt;=ROW())),"")</f>
        <v/>
      </c>
    </row>
    <row r="426">
      <c r="A426" s="47" t="n"/>
      <c r="B426" s="62" t="n"/>
      <c r="C426" s="47" t="n"/>
      <c r="D426" s="50">
        <f>IFERROR(INDEX(الموظفون_الاسم,MATCH($C426,الموظفون_الرقم,0)),"")</f>
        <v/>
      </c>
      <c r="E426" s="50">
        <f>IFERROR(INDEX(الموظفون_الإدارة,MATCH($C426,الموظفون_الرقم,0)),"")</f>
        <v/>
      </c>
      <c r="F426" s="50">
        <f>IFERROR(INDEX(الموظفون_القسم,MATCH($C426,الموظفون_الرقم,0)),"")</f>
        <v/>
      </c>
      <c r="G426" s="63">
        <f>IF($C426="","",IFERROR(INDEX(الموظفون_الاساسي,MATCH($C426,الموظفون_الرقم,0)),0))</f>
        <v/>
      </c>
      <c r="H426" s="49" t="n"/>
      <c r="I426" s="49" t="n"/>
      <c r="J426" s="49" t="n"/>
      <c r="K426" s="49" t="n"/>
      <c r="L426" s="49" t="n"/>
      <c r="M426" s="64" t="n"/>
      <c r="N426" s="49" t="n"/>
      <c r="O426" s="49" t="n"/>
      <c r="P426" s="49" t="n"/>
      <c r="Q426" s="49" t="n"/>
      <c r="R426" s="49" t="n"/>
      <c r="S426" s="63">
        <f>IF($C426="","",SUM($G426:$L426))</f>
        <v/>
      </c>
      <c r="T426" s="63">
        <f>IF($C426="","",SUM($N426:$R426))</f>
        <v/>
      </c>
      <c r="U426" s="63">
        <f>IF($C426="","",$S426-$T426)</f>
        <v/>
      </c>
      <c r="V426" s="47" t="n"/>
      <c r="W426" s="112" t="n"/>
      <c r="X426" s="47" t="n"/>
      <c r="Y426" s="50">
        <f>IF($C426="","",IF(SUMPRODUCT(($C$3:$C$502=$C426)*($A$3:$A$502=$A426)*($B$3:$B$502=$B426))&gt;1,"⚠ مكرر","سليم"))</f>
        <v/>
      </c>
      <c r="Z426">
        <f>IF(AND($C426&lt;&gt;"",$A426=تقرير_الشهر,$B426=تقرير_السنة),SUMPRODUCT(($C$3:$C$502&lt;&gt;"")*($A$3:$A$502=تقرير_الشهر)*($B$3:$B$502=تقرير_السنة)*(ROW($C$3:$C$502)&lt;=ROW())),"")</f>
        <v/>
      </c>
    </row>
    <row r="427">
      <c r="A427" s="40" t="n"/>
      <c r="B427" s="59" t="n"/>
      <c r="C427" s="40" t="n"/>
      <c r="D427" s="43">
        <f>IFERROR(INDEX(الموظفون_الاسم,MATCH($C427,الموظفون_الرقم,0)),"")</f>
        <v/>
      </c>
      <c r="E427" s="43">
        <f>IFERROR(INDEX(الموظفون_الإدارة,MATCH($C427,الموظفون_الرقم,0)),"")</f>
        <v/>
      </c>
      <c r="F427" s="43">
        <f>IFERROR(INDEX(الموظفون_القسم,MATCH($C427,الموظفون_الرقم,0)),"")</f>
        <v/>
      </c>
      <c r="G427" s="60">
        <f>IF($C427="","",IFERROR(INDEX(الموظفون_الاساسي,MATCH($C427,الموظفون_الرقم,0)),0))</f>
        <v/>
      </c>
      <c r="H427" s="42" t="n"/>
      <c r="I427" s="42" t="n"/>
      <c r="J427" s="42" t="n"/>
      <c r="K427" s="42" t="n"/>
      <c r="L427" s="42" t="n"/>
      <c r="M427" s="61" t="n"/>
      <c r="N427" s="42" t="n"/>
      <c r="O427" s="42" t="n"/>
      <c r="P427" s="42" t="n"/>
      <c r="Q427" s="42" t="n"/>
      <c r="R427" s="42" t="n"/>
      <c r="S427" s="60">
        <f>IF($C427="","",SUM($G427:$L427))</f>
        <v/>
      </c>
      <c r="T427" s="60">
        <f>IF($C427="","",SUM($N427:$R427))</f>
        <v/>
      </c>
      <c r="U427" s="60">
        <f>IF($C427="","",$S427-$T427)</f>
        <v/>
      </c>
      <c r="V427" s="40" t="n"/>
      <c r="W427" s="110" t="n"/>
      <c r="X427" s="40" t="n"/>
      <c r="Y427" s="43">
        <f>IF($C427="","",IF(SUMPRODUCT(($C$3:$C$502=$C427)*($A$3:$A$502=$A427)*($B$3:$B$502=$B427))&gt;1,"⚠ مكرر","سليم"))</f>
        <v/>
      </c>
      <c r="Z427">
        <f>IF(AND($C427&lt;&gt;"",$A427=تقرير_الشهر,$B427=تقرير_السنة),SUMPRODUCT(($C$3:$C$502&lt;&gt;"")*($A$3:$A$502=تقرير_الشهر)*($B$3:$B$502=تقرير_السنة)*(ROW($C$3:$C$502)&lt;=ROW())),"")</f>
        <v/>
      </c>
    </row>
    <row r="428">
      <c r="A428" s="47" t="n"/>
      <c r="B428" s="62" t="n"/>
      <c r="C428" s="47" t="n"/>
      <c r="D428" s="50">
        <f>IFERROR(INDEX(الموظفون_الاسم,MATCH($C428,الموظفون_الرقم,0)),"")</f>
        <v/>
      </c>
      <c r="E428" s="50">
        <f>IFERROR(INDEX(الموظفون_الإدارة,MATCH($C428,الموظفون_الرقم,0)),"")</f>
        <v/>
      </c>
      <c r="F428" s="50">
        <f>IFERROR(INDEX(الموظفون_القسم,MATCH($C428,الموظفون_الرقم,0)),"")</f>
        <v/>
      </c>
      <c r="G428" s="63">
        <f>IF($C428="","",IFERROR(INDEX(الموظفون_الاساسي,MATCH($C428,الموظفون_الرقم,0)),0))</f>
        <v/>
      </c>
      <c r="H428" s="49" t="n"/>
      <c r="I428" s="49" t="n"/>
      <c r="J428" s="49" t="n"/>
      <c r="K428" s="49" t="n"/>
      <c r="L428" s="49" t="n"/>
      <c r="M428" s="64" t="n"/>
      <c r="N428" s="49" t="n"/>
      <c r="O428" s="49" t="n"/>
      <c r="P428" s="49" t="n"/>
      <c r="Q428" s="49" t="n"/>
      <c r="R428" s="49" t="n"/>
      <c r="S428" s="63">
        <f>IF($C428="","",SUM($G428:$L428))</f>
        <v/>
      </c>
      <c r="T428" s="63">
        <f>IF($C428="","",SUM($N428:$R428))</f>
        <v/>
      </c>
      <c r="U428" s="63">
        <f>IF($C428="","",$S428-$T428)</f>
        <v/>
      </c>
      <c r="V428" s="47" t="n"/>
      <c r="W428" s="112" t="n"/>
      <c r="X428" s="47" t="n"/>
      <c r="Y428" s="50">
        <f>IF($C428="","",IF(SUMPRODUCT(($C$3:$C$502=$C428)*($A$3:$A$502=$A428)*($B$3:$B$502=$B428))&gt;1,"⚠ مكرر","سليم"))</f>
        <v/>
      </c>
      <c r="Z428">
        <f>IF(AND($C428&lt;&gt;"",$A428=تقرير_الشهر,$B428=تقرير_السنة),SUMPRODUCT(($C$3:$C$502&lt;&gt;"")*($A$3:$A$502=تقرير_الشهر)*($B$3:$B$502=تقرير_السنة)*(ROW($C$3:$C$502)&lt;=ROW())),"")</f>
        <v/>
      </c>
    </row>
    <row r="429">
      <c r="A429" s="40" t="n"/>
      <c r="B429" s="59" t="n"/>
      <c r="C429" s="40" t="n"/>
      <c r="D429" s="43">
        <f>IFERROR(INDEX(الموظفون_الاسم,MATCH($C429,الموظفون_الرقم,0)),"")</f>
        <v/>
      </c>
      <c r="E429" s="43">
        <f>IFERROR(INDEX(الموظفون_الإدارة,MATCH($C429,الموظفون_الرقم,0)),"")</f>
        <v/>
      </c>
      <c r="F429" s="43">
        <f>IFERROR(INDEX(الموظفون_القسم,MATCH($C429,الموظفون_الرقم,0)),"")</f>
        <v/>
      </c>
      <c r="G429" s="60">
        <f>IF($C429="","",IFERROR(INDEX(الموظفون_الاساسي,MATCH($C429,الموظفون_الرقم,0)),0))</f>
        <v/>
      </c>
      <c r="H429" s="42" t="n"/>
      <c r="I429" s="42" t="n"/>
      <c r="J429" s="42" t="n"/>
      <c r="K429" s="42" t="n"/>
      <c r="L429" s="42" t="n"/>
      <c r="M429" s="61" t="n"/>
      <c r="N429" s="42" t="n"/>
      <c r="O429" s="42" t="n"/>
      <c r="P429" s="42" t="n"/>
      <c r="Q429" s="42" t="n"/>
      <c r="R429" s="42" t="n"/>
      <c r="S429" s="60">
        <f>IF($C429="","",SUM($G429:$L429))</f>
        <v/>
      </c>
      <c r="T429" s="60">
        <f>IF($C429="","",SUM($N429:$R429))</f>
        <v/>
      </c>
      <c r="U429" s="60">
        <f>IF($C429="","",$S429-$T429)</f>
        <v/>
      </c>
      <c r="V429" s="40" t="n"/>
      <c r="W429" s="110" t="n"/>
      <c r="X429" s="40" t="n"/>
      <c r="Y429" s="43">
        <f>IF($C429="","",IF(SUMPRODUCT(($C$3:$C$502=$C429)*($A$3:$A$502=$A429)*($B$3:$B$502=$B429))&gt;1,"⚠ مكرر","سليم"))</f>
        <v/>
      </c>
      <c r="Z429">
        <f>IF(AND($C429&lt;&gt;"",$A429=تقرير_الشهر,$B429=تقرير_السنة),SUMPRODUCT(($C$3:$C$502&lt;&gt;"")*($A$3:$A$502=تقرير_الشهر)*($B$3:$B$502=تقرير_السنة)*(ROW($C$3:$C$502)&lt;=ROW())),"")</f>
        <v/>
      </c>
    </row>
    <row r="430">
      <c r="A430" s="47" t="n"/>
      <c r="B430" s="62" t="n"/>
      <c r="C430" s="47" t="n"/>
      <c r="D430" s="50">
        <f>IFERROR(INDEX(الموظفون_الاسم,MATCH($C430,الموظفون_الرقم,0)),"")</f>
        <v/>
      </c>
      <c r="E430" s="50">
        <f>IFERROR(INDEX(الموظفون_الإدارة,MATCH($C430,الموظفون_الرقم,0)),"")</f>
        <v/>
      </c>
      <c r="F430" s="50">
        <f>IFERROR(INDEX(الموظفون_القسم,MATCH($C430,الموظفون_الرقم,0)),"")</f>
        <v/>
      </c>
      <c r="G430" s="63">
        <f>IF($C430="","",IFERROR(INDEX(الموظفون_الاساسي,MATCH($C430,الموظفون_الرقم,0)),0))</f>
        <v/>
      </c>
      <c r="H430" s="49" t="n"/>
      <c r="I430" s="49" t="n"/>
      <c r="J430" s="49" t="n"/>
      <c r="K430" s="49" t="n"/>
      <c r="L430" s="49" t="n"/>
      <c r="M430" s="64" t="n"/>
      <c r="N430" s="49" t="n"/>
      <c r="O430" s="49" t="n"/>
      <c r="P430" s="49" t="n"/>
      <c r="Q430" s="49" t="n"/>
      <c r="R430" s="49" t="n"/>
      <c r="S430" s="63">
        <f>IF($C430="","",SUM($G430:$L430))</f>
        <v/>
      </c>
      <c r="T430" s="63">
        <f>IF($C430="","",SUM($N430:$R430))</f>
        <v/>
      </c>
      <c r="U430" s="63">
        <f>IF($C430="","",$S430-$T430)</f>
        <v/>
      </c>
      <c r="V430" s="47" t="n"/>
      <c r="W430" s="112" t="n"/>
      <c r="X430" s="47" t="n"/>
      <c r="Y430" s="50">
        <f>IF($C430="","",IF(SUMPRODUCT(($C$3:$C$502=$C430)*($A$3:$A$502=$A430)*($B$3:$B$502=$B430))&gt;1,"⚠ مكرر","سليم"))</f>
        <v/>
      </c>
      <c r="Z430">
        <f>IF(AND($C430&lt;&gt;"",$A430=تقرير_الشهر,$B430=تقرير_السنة),SUMPRODUCT(($C$3:$C$502&lt;&gt;"")*($A$3:$A$502=تقرير_الشهر)*($B$3:$B$502=تقرير_السنة)*(ROW($C$3:$C$502)&lt;=ROW())),"")</f>
        <v/>
      </c>
    </row>
    <row r="431">
      <c r="A431" s="40" t="n"/>
      <c r="B431" s="59" t="n"/>
      <c r="C431" s="40" t="n"/>
      <c r="D431" s="43">
        <f>IFERROR(INDEX(الموظفون_الاسم,MATCH($C431,الموظفون_الرقم,0)),"")</f>
        <v/>
      </c>
      <c r="E431" s="43">
        <f>IFERROR(INDEX(الموظفون_الإدارة,MATCH($C431,الموظفون_الرقم,0)),"")</f>
        <v/>
      </c>
      <c r="F431" s="43">
        <f>IFERROR(INDEX(الموظفون_القسم,MATCH($C431,الموظفون_الرقم,0)),"")</f>
        <v/>
      </c>
      <c r="G431" s="60">
        <f>IF($C431="","",IFERROR(INDEX(الموظفون_الاساسي,MATCH($C431,الموظفون_الرقم,0)),0))</f>
        <v/>
      </c>
      <c r="H431" s="42" t="n"/>
      <c r="I431" s="42" t="n"/>
      <c r="J431" s="42" t="n"/>
      <c r="K431" s="42" t="n"/>
      <c r="L431" s="42" t="n"/>
      <c r="M431" s="61" t="n"/>
      <c r="N431" s="42" t="n"/>
      <c r="O431" s="42" t="n"/>
      <c r="P431" s="42" t="n"/>
      <c r="Q431" s="42" t="n"/>
      <c r="R431" s="42" t="n"/>
      <c r="S431" s="60">
        <f>IF($C431="","",SUM($G431:$L431))</f>
        <v/>
      </c>
      <c r="T431" s="60">
        <f>IF($C431="","",SUM($N431:$R431))</f>
        <v/>
      </c>
      <c r="U431" s="60">
        <f>IF($C431="","",$S431-$T431)</f>
        <v/>
      </c>
      <c r="V431" s="40" t="n"/>
      <c r="W431" s="110" t="n"/>
      <c r="X431" s="40" t="n"/>
      <c r="Y431" s="43">
        <f>IF($C431="","",IF(SUMPRODUCT(($C$3:$C$502=$C431)*($A$3:$A$502=$A431)*($B$3:$B$502=$B431))&gt;1,"⚠ مكرر","سليم"))</f>
        <v/>
      </c>
      <c r="Z431">
        <f>IF(AND($C431&lt;&gt;"",$A431=تقرير_الشهر,$B431=تقرير_السنة),SUMPRODUCT(($C$3:$C$502&lt;&gt;"")*($A$3:$A$502=تقرير_الشهر)*($B$3:$B$502=تقرير_السنة)*(ROW($C$3:$C$502)&lt;=ROW())),"")</f>
        <v/>
      </c>
    </row>
    <row r="432">
      <c r="A432" s="47" t="n"/>
      <c r="B432" s="62" t="n"/>
      <c r="C432" s="47" t="n"/>
      <c r="D432" s="50">
        <f>IFERROR(INDEX(الموظفون_الاسم,MATCH($C432,الموظفون_الرقم,0)),"")</f>
        <v/>
      </c>
      <c r="E432" s="50">
        <f>IFERROR(INDEX(الموظفون_الإدارة,MATCH($C432,الموظفون_الرقم,0)),"")</f>
        <v/>
      </c>
      <c r="F432" s="50">
        <f>IFERROR(INDEX(الموظفون_القسم,MATCH($C432,الموظفون_الرقم,0)),"")</f>
        <v/>
      </c>
      <c r="G432" s="63">
        <f>IF($C432="","",IFERROR(INDEX(الموظفون_الاساسي,MATCH($C432,الموظفون_الرقم,0)),0))</f>
        <v/>
      </c>
      <c r="H432" s="49" t="n"/>
      <c r="I432" s="49" t="n"/>
      <c r="J432" s="49" t="n"/>
      <c r="K432" s="49" t="n"/>
      <c r="L432" s="49" t="n"/>
      <c r="M432" s="64" t="n"/>
      <c r="N432" s="49" t="n"/>
      <c r="O432" s="49" t="n"/>
      <c r="P432" s="49" t="n"/>
      <c r="Q432" s="49" t="n"/>
      <c r="R432" s="49" t="n"/>
      <c r="S432" s="63">
        <f>IF($C432="","",SUM($G432:$L432))</f>
        <v/>
      </c>
      <c r="T432" s="63">
        <f>IF($C432="","",SUM($N432:$R432))</f>
        <v/>
      </c>
      <c r="U432" s="63">
        <f>IF($C432="","",$S432-$T432)</f>
        <v/>
      </c>
      <c r="V432" s="47" t="n"/>
      <c r="W432" s="112" t="n"/>
      <c r="X432" s="47" t="n"/>
      <c r="Y432" s="50">
        <f>IF($C432="","",IF(SUMPRODUCT(($C$3:$C$502=$C432)*($A$3:$A$502=$A432)*($B$3:$B$502=$B432))&gt;1,"⚠ مكرر","سليم"))</f>
        <v/>
      </c>
      <c r="Z432">
        <f>IF(AND($C432&lt;&gt;"",$A432=تقرير_الشهر,$B432=تقرير_السنة),SUMPRODUCT(($C$3:$C$502&lt;&gt;"")*($A$3:$A$502=تقرير_الشهر)*($B$3:$B$502=تقرير_السنة)*(ROW($C$3:$C$502)&lt;=ROW())),"")</f>
        <v/>
      </c>
    </row>
    <row r="433">
      <c r="A433" s="40" t="n"/>
      <c r="B433" s="59" t="n"/>
      <c r="C433" s="40" t="n"/>
      <c r="D433" s="43">
        <f>IFERROR(INDEX(الموظفون_الاسم,MATCH($C433,الموظفون_الرقم,0)),"")</f>
        <v/>
      </c>
      <c r="E433" s="43">
        <f>IFERROR(INDEX(الموظفون_الإدارة,MATCH($C433,الموظفون_الرقم,0)),"")</f>
        <v/>
      </c>
      <c r="F433" s="43">
        <f>IFERROR(INDEX(الموظفون_القسم,MATCH($C433,الموظفون_الرقم,0)),"")</f>
        <v/>
      </c>
      <c r="G433" s="60">
        <f>IF($C433="","",IFERROR(INDEX(الموظفون_الاساسي,MATCH($C433,الموظفون_الرقم,0)),0))</f>
        <v/>
      </c>
      <c r="H433" s="42" t="n"/>
      <c r="I433" s="42" t="n"/>
      <c r="J433" s="42" t="n"/>
      <c r="K433" s="42" t="n"/>
      <c r="L433" s="42" t="n"/>
      <c r="M433" s="61" t="n"/>
      <c r="N433" s="42" t="n"/>
      <c r="O433" s="42" t="n"/>
      <c r="P433" s="42" t="n"/>
      <c r="Q433" s="42" t="n"/>
      <c r="R433" s="42" t="n"/>
      <c r="S433" s="60">
        <f>IF($C433="","",SUM($G433:$L433))</f>
        <v/>
      </c>
      <c r="T433" s="60">
        <f>IF($C433="","",SUM($N433:$R433))</f>
        <v/>
      </c>
      <c r="U433" s="60">
        <f>IF($C433="","",$S433-$T433)</f>
        <v/>
      </c>
      <c r="V433" s="40" t="n"/>
      <c r="W433" s="110" t="n"/>
      <c r="X433" s="40" t="n"/>
      <c r="Y433" s="43">
        <f>IF($C433="","",IF(SUMPRODUCT(($C$3:$C$502=$C433)*($A$3:$A$502=$A433)*($B$3:$B$502=$B433))&gt;1,"⚠ مكرر","سليم"))</f>
        <v/>
      </c>
      <c r="Z433">
        <f>IF(AND($C433&lt;&gt;"",$A433=تقرير_الشهر,$B433=تقرير_السنة),SUMPRODUCT(($C$3:$C$502&lt;&gt;"")*($A$3:$A$502=تقرير_الشهر)*($B$3:$B$502=تقرير_السنة)*(ROW($C$3:$C$502)&lt;=ROW())),"")</f>
        <v/>
      </c>
    </row>
    <row r="434">
      <c r="A434" s="47" t="n"/>
      <c r="B434" s="62" t="n"/>
      <c r="C434" s="47" t="n"/>
      <c r="D434" s="50">
        <f>IFERROR(INDEX(الموظفون_الاسم,MATCH($C434,الموظفون_الرقم,0)),"")</f>
        <v/>
      </c>
      <c r="E434" s="50">
        <f>IFERROR(INDEX(الموظفون_الإدارة,MATCH($C434,الموظفون_الرقم,0)),"")</f>
        <v/>
      </c>
      <c r="F434" s="50">
        <f>IFERROR(INDEX(الموظفون_القسم,MATCH($C434,الموظفون_الرقم,0)),"")</f>
        <v/>
      </c>
      <c r="G434" s="63">
        <f>IF($C434="","",IFERROR(INDEX(الموظفون_الاساسي,MATCH($C434,الموظفون_الرقم,0)),0))</f>
        <v/>
      </c>
      <c r="H434" s="49" t="n"/>
      <c r="I434" s="49" t="n"/>
      <c r="J434" s="49" t="n"/>
      <c r="K434" s="49" t="n"/>
      <c r="L434" s="49" t="n"/>
      <c r="M434" s="64" t="n"/>
      <c r="N434" s="49" t="n"/>
      <c r="O434" s="49" t="n"/>
      <c r="P434" s="49" t="n"/>
      <c r="Q434" s="49" t="n"/>
      <c r="R434" s="49" t="n"/>
      <c r="S434" s="63">
        <f>IF($C434="","",SUM($G434:$L434))</f>
        <v/>
      </c>
      <c r="T434" s="63">
        <f>IF($C434="","",SUM($N434:$R434))</f>
        <v/>
      </c>
      <c r="U434" s="63">
        <f>IF($C434="","",$S434-$T434)</f>
        <v/>
      </c>
      <c r="V434" s="47" t="n"/>
      <c r="W434" s="112" t="n"/>
      <c r="X434" s="47" t="n"/>
      <c r="Y434" s="50">
        <f>IF($C434="","",IF(SUMPRODUCT(($C$3:$C$502=$C434)*($A$3:$A$502=$A434)*($B$3:$B$502=$B434))&gt;1,"⚠ مكرر","سليم"))</f>
        <v/>
      </c>
      <c r="Z434">
        <f>IF(AND($C434&lt;&gt;"",$A434=تقرير_الشهر,$B434=تقرير_السنة),SUMPRODUCT(($C$3:$C$502&lt;&gt;"")*($A$3:$A$502=تقرير_الشهر)*($B$3:$B$502=تقرير_السنة)*(ROW($C$3:$C$502)&lt;=ROW())),"")</f>
        <v/>
      </c>
    </row>
    <row r="435">
      <c r="A435" s="40" t="n"/>
      <c r="B435" s="59" t="n"/>
      <c r="C435" s="40" t="n"/>
      <c r="D435" s="43">
        <f>IFERROR(INDEX(الموظفون_الاسم,MATCH($C435,الموظفون_الرقم,0)),"")</f>
        <v/>
      </c>
      <c r="E435" s="43">
        <f>IFERROR(INDEX(الموظفون_الإدارة,MATCH($C435,الموظفون_الرقم,0)),"")</f>
        <v/>
      </c>
      <c r="F435" s="43">
        <f>IFERROR(INDEX(الموظفون_القسم,MATCH($C435,الموظفون_الرقم,0)),"")</f>
        <v/>
      </c>
      <c r="G435" s="60">
        <f>IF($C435="","",IFERROR(INDEX(الموظفون_الاساسي,MATCH($C435,الموظفون_الرقم,0)),0))</f>
        <v/>
      </c>
      <c r="H435" s="42" t="n"/>
      <c r="I435" s="42" t="n"/>
      <c r="J435" s="42" t="n"/>
      <c r="K435" s="42" t="n"/>
      <c r="L435" s="42" t="n"/>
      <c r="M435" s="61" t="n"/>
      <c r="N435" s="42" t="n"/>
      <c r="O435" s="42" t="n"/>
      <c r="P435" s="42" t="n"/>
      <c r="Q435" s="42" t="n"/>
      <c r="R435" s="42" t="n"/>
      <c r="S435" s="60">
        <f>IF($C435="","",SUM($G435:$L435))</f>
        <v/>
      </c>
      <c r="T435" s="60">
        <f>IF($C435="","",SUM($N435:$R435))</f>
        <v/>
      </c>
      <c r="U435" s="60">
        <f>IF($C435="","",$S435-$T435)</f>
        <v/>
      </c>
      <c r="V435" s="40" t="n"/>
      <c r="W435" s="110" t="n"/>
      <c r="X435" s="40" t="n"/>
      <c r="Y435" s="43">
        <f>IF($C435="","",IF(SUMPRODUCT(($C$3:$C$502=$C435)*($A$3:$A$502=$A435)*($B$3:$B$502=$B435))&gt;1,"⚠ مكرر","سليم"))</f>
        <v/>
      </c>
      <c r="Z435">
        <f>IF(AND($C435&lt;&gt;"",$A435=تقرير_الشهر,$B435=تقرير_السنة),SUMPRODUCT(($C$3:$C$502&lt;&gt;"")*($A$3:$A$502=تقرير_الشهر)*($B$3:$B$502=تقرير_السنة)*(ROW($C$3:$C$502)&lt;=ROW())),"")</f>
        <v/>
      </c>
    </row>
    <row r="436">
      <c r="A436" s="47" t="n"/>
      <c r="B436" s="62" t="n"/>
      <c r="C436" s="47" t="n"/>
      <c r="D436" s="50">
        <f>IFERROR(INDEX(الموظفون_الاسم,MATCH($C436,الموظفون_الرقم,0)),"")</f>
        <v/>
      </c>
      <c r="E436" s="50">
        <f>IFERROR(INDEX(الموظفون_الإدارة,MATCH($C436,الموظفون_الرقم,0)),"")</f>
        <v/>
      </c>
      <c r="F436" s="50">
        <f>IFERROR(INDEX(الموظفون_القسم,MATCH($C436,الموظفون_الرقم,0)),"")</f>
        <v/>
      </c>
      <c r="G436" s="63">
        <f>IF($C436="","",IFERROR(INDEX(الموظفون_الاساسي,MATCH($C436,الموظفون_الرقم,0)),0))</f>
        <v/>
      </c>
      <c r="H436" s="49" t="n"/>
      <c r="I436" s="49" t="n"/>
      <c r="J436" s="49" t="n"/>
      <c r="K436" s="49" t="n"/>
      <c r="L436" s="49" t="n"/>
      <c r="M436" s="64" t="n"/>
      <c r="N436" s="49" t="n"/>
      <c r="O436" s="49" t="n"/>
      <c r="P436" s="49" t="n"/>
      <c r="Q436" s="49" t="n"/>
      <c r="R436" s="49" t="n"/>
      <c r="S436" s="63">
        <f>IF($C436="","",SUM($G436:$L436))</f>
        <v/>
      </c>
      <c r="T436" s="63">
        <f>IF($C436="","",SUM($N436:$R436))</f>
        <v/>
      </c>
      <c r="U436" s="63">
        <f>IF($C436="","",$S436-$T436)</f>
        <v/>
      </c>
      <c r="V436" s="47" t="n"/>
      <c r="W436" s="112" t="n"/>
      <c r="X436" s="47" t="n"/>
      <c r="Y436" s="50">
        <f>IF($C436="","",IF(SUMPRODUCT(($C$3:$C$502=$C436)*($A$3:$A$502=$A436)*($B$3:$B$502=$B436))&gt;1,"⚠ مكرر","سليم"))</f>
        <v/>
      </c>
      <c r="Z436">
        <f>IF(AND($C436&lt;&gt;"",$A436=تقرير_الشهر,$B436=تقرير_السنة),SUMPRODUCT(($C$3:$C$502&lt;&gt;"")*($A$3:$A$502=تقرير_الشهر)*($B$3:$B$502=تقرير_السنة)*(ROW($C$3:$C$502)&lt;=ROW())),"")</f>
        <v/>
      </c>
    </row>
    <row r="437">
      <c r="A437" s="40" t="n"/>
      <c r="B437" s="59" t="n"/>
      <c r="C437" s="40" t="n"/>
      <c r="D437" s="43">
        <f>IFERROR(INDEX(الموظفون_الاسم,MATCH($C437,الموظفون_الرقم,0)),"")</f>
        <v/>
      </c>
      <c r="E437" s="43">
        <f>IFERROR(INDEX(الموظفون_الإدارة,MATCH($C437,الموظفون_الرقم,0)),"")</f>
        <v/>
      </c>
      <c r="F437" s="43">
        <f>IFERROR(INDEX(الموظفون_القسم,MATCH($C437,الموظفون_الرقم,0)),"")</f>
        <v/>
      </c>
      <c r="G437" s="60">
        <f>IF($C437="","",IFERROR(INDEX(الموظفون_الاساسي,MATCH($C437,الموظفون_الرقم,0)),0))</f>
        <v/>
      </c>
      <c r="H437" s="42" t="n"/>
      <c r="I437" s="42" t="n"/>
      <c r="J437" s="42" t="n"/>
      <c r="K437" s="42" t="n"/>
      <c r="L437" s="42" t="n"/>
      <c r="M437" s="61" t="n"/>
      <c r="N437" s="42" t="n"/>
      <c r="O437" s="42" t="n"/>
      <c r="P437" s="42" t="n"/>
      <c r="Q437" s="42" t="n"/>
      <c r="R437" s="42" t="n"/>
      <c r="S437" s="60">
        <f>IF($C437="","",SUM($G437:$L437))</f>
        <v/>
      </c>
      <c r="T437" s="60">
        <f>IF($C437="","",SUM($N437:$R437))</f>
        <v/>
      </c>
      <c r="U437" s="60">
        <f>IF($C437="","",$S437-$T437)</f>
        <v/>
      </c>
      <c r="V437" s="40" t="n"/>
      <c r="W437" s="110" t="n"/>
      <c r="X437" s="40" t="n"/>
      <c r="Y437" s="43">
        <f>IF($C437="","",IF(SUMPRODUCT(($C$3:$C$502=$C437)*($A$3:$A$502=$A437)*($B$3:$B$502=$B437))&gt;1,"⚠ مكرر","سليم"))</f>
        <v/>
      </c>
      <c r="Z437">
        <f>IF(AND($C437&lt;&gt;"",$A437=تقرير_الشهر,$B437=تقرير_السنة),SUMPRODUCT(($C$3:$C$502&lt;&gt;"")*($A$3:$A$502=تقرير_الشهر)*($B$3:$B$502=تقرير_السنة)*(ROW($C$3:$C$502)&lt;=ROW())),"")</f>
        <v/>
      </c>
    </row>
    <row r="438">
      <c r="A438" s="47" t="n"/>
      <c r="B438" s="62" t="n"/>
      <c r="C438" s="47" t="n"/>
      <c r="D438" s="50">
        <f>IFERROR(INDEX(الموظفون_الاسم,MATCH($C438,الموظفون_الرقم,0)),"")</f>
        <v/>
      </c>
      <c r="E438" s="50">
        <f>IFERROR(INDEX(الموظفون_الإدارة,MATCH($C438,الموظفون_الرقم,0)),"")</f>
        <v/>
      </c>
      <c r="F438" s="50">
        <f>IFERROR(INDEX(الموظفون_القسم,MATCH($C438,الموظفون_الرقم,0)),"")</f>
        <v/>
      </c>
      <c r="G438" s="63">
        <f>IF($C438="","",IFERROR(INDEX(الموظفون_الاساسي,MATCH($C438,الموظفون_الرقم,0)),0))</f>
        <v/>
      </c>
      <c r="H438" s="49" t="n"/>
      <c r="I438" s="49" t="n"/>
      <c r="J438" s="49" t="n"/>
      <c r="K438" s="49" t="n"/>
      <c r="L438" s="49" t="n"/>
      <c r="M438" s="64" t="n"/>
      <c r="N438" s="49" t="n"/>
      <c r="O438" s="49" t="n"/>
      <c r="P438" s="49" t="n"/>
      <c r="Q438" s="49" t="n"/>
      <c r="R438" s="49" t="n"/>
      <c r="S438" s="63">
        <f>IF($C438="","",SUM($G438:$L438))</f>
        <v/>
      </c>
      <c r="T438" s="63">
        <f>IF($C438="","",SUM($N438:$R438))</f>
        <v/>
      </c>
      <c r="U438" s="63">
        <f>IF($C438="","",$S438-$T438)</f>
        <v/>
      </c>
      <c r="V438" s="47" t="n"/>
      <c r="W438" s="112" t="n"/>
      <c r="X438" s="47" t="n"/>
      <c r="Y438" s="50">
        <f>IF($C438="","",IF(SUMPRODUCT(($C$3:$C$502=$C438)*($A$3:$A$502=$A438)*($B$3:$B$502=$B438))&gt;1,"⚠ مكرر","سليم"))</f>
        <v/>
      </c>
      <c r="Z438">
        <f>IF(AND($C438&lt;&gt;"",$A438=تقرير_الشهر,$B438=تقرير_السنة),SUMPRODUCT(($C$3:$C$502&lt;&gt;"")*($A$3:$A$502=تقرير_الشهر)*($B$3:$B$502=تقرير_السنة)*(ROW($C$3:$C$502)&lt;=ROW())),"")</f>
        <v/>
      </c>
    </row>
    <row r="439">
      <c r="A439" s="40" t="n"/>
      <c r="B439" s="59" t="n"/>
      <c r="C439" s="40" t="n"/>
      <c r="D439" s="43">
        <f>IFERROR(INDEX(الموظفون_الاسم,MATCH($C439,الموظفون_الرقم,0)),"")</f>
        <v/>
      </c>
      <c r="E439" s="43">
        <f>IFERROR(INDEX(الموظفون_الإدارة,MATCH($C439,الموظفون_الرقم,0)),"")</f>
        <v/>
      </c>
      <c r="F439" s="43">
        <f>IFERROR(INDEX(الموظفون_القسم,MATCH($C439,الموظفون_الرقم,0)),"")</f>
        <v/>
      </c>
      <c r="G439" s="60">
        <f>IF($C439="","",IFERROR(INDEX(الموظفون_الاساسي,MATCH($C439,الموظفون_الرقم,0)),0))</f>
        <v/>
      </c>
      <c r="H439" s="42" t="n"/>
      <c r="I439" s="42" t="n"/>
      <c r="J439" s="42" t="n"/>
      <c r="K439" s="42" t="n"/>
      <c r="L439" s="42" t="n"/>
      <c r="M439" s="61" t="n"/>
      <c r="N439" s="42" t="n"/>
      <c r="O439" s="42" t="n"/>
      <c r="P439" s="42" t="n"/>
      <c r="Q439" s="42" t="n"/>
      <c r="R439" s="42" t="n"/>
      <c r="S439" s="60">
        <f>IF($C439="","",SUM($G439:$L439))</f>
        <v/>
      </c>
      <c r="T439" s="60">
        <f>IF($C439="","",SUM($N439:$R439))</f>
        <v/>
      </c>
      <c r="U439" s="60">
        <f>IF($C439="","",$S439-$T439)</f>
        <v/>
      </c>
      <c r="V439" s="40" t="n"/>
      <c r="W439" s="110" t="n"/>
      <c r="X439" s="40" t="n"/>
      <c r="Y439" s="43">
        <f>IF($C439="","",IF(SUMPRODUCT(($C$3:$C$502=$C439)*($A$3:$A$502=$A439)*($B$3:$B$502=$B439))&gt;1,"⚠ مكرر","سليم"))</f>
        <v/>
      </c>
      <c r="Z439">
        <f>IF(AND($C439&lt;&gt;"",$A439=تقرير_الشهر,$B439=تقرير_السنة),SUMPRODUCT(($C$3:$C$502&lt;&gt;"")*($A$3:$A$502=تقرير_الشهر)*($B$3:$B$502=تقرير_السنة)*(ROW($C$3:$C$502)&lt;=ROW())),"")</f>
        <v/>
      </c>
    </row>
    <row r="440">
      <c r="A440" s="47" t="n"/>
      <c r="B440" s="62" t="n"/>
      <c r="C440" s="47" t="n"/>
      <c r="D440" s="50">
        <f>IFERROR(INDEX(الموظفون_الاسم,MATCH($C440,الموظفون_الرقم,0)),"")</f>
        <v/>
      </c>
      <c r="E440" s="50">
        <f>IFERROR(INDEX(الموظفون_الإدارة,MATCH($C440,الموظفون_الرقم,0)),"")</f>
        <v/>
      </c>
      <c r="F440" s="50">
        <f>IFERROR(INDEX(الموظفون_القسم,MATCH($C440,الموظفون_الرقم,0)),"")</f>
        <v/>
      </c>
      <c r="G440" s="63">
        <f>IF($C440="","",IFERROR(INDEX(الموظفون_الاساسي,MATCH($C440,الموظفون_الرقم,0)),0))</f>
        <v/>
      </c>
      <c r="H440" s="49" t="n"/>
      <c r="I440" s="49" t="n"/>
      <c r="J440" s="49" t="n"/>
      <c r="K440" s="49" t="n"/>
      <c r="L440" s="49" t="n"/>
      <c r="M440" s="64" t="n"/>
      <c r="N440" s="49" t="n"/>
      <c r="O440" s="49" t="n"/>
      <c r="P440" s="49" t="n"/>
      <c r="Q440" s="49" t="n"/>
      <c r="R440" s="49" t="n"/>
      <c r="S440" s="63">
        <f>IF($C440="","",SUM($G440:$L440))</f>
        <v/>
      </c>
      <c r="T440" s="63">
        <f>IF($C440="","",SUM($N440:$R440))</f>
        <v/>
      </c>
      <c r="U440" s="63">
        <f>IF($C440="","",$S440-$T440)</f>
        <v/>
      </c>
      <c r="V440" s="47" t="n"/>
      <c r="W440" s="112" t="n"/>
      <c r="X440" s="47" t="n"/>
      <c r="Y440" s="50">
        <f>IF($C440="","",IF(SUMPRODUCT(($C$3:$C$502=$C440)*($A$3:$A$502=$A440)*($B$3:$B$502=$B440))&gt;1,"⚠ مكرر","سليم"))</f>
        <v/>
      </c>
      <c r="Z440">
        <f>IF(AND($C440&lt;&gt;"",$A440=تقرير_الشهر,$B440=تقرير_السنة),SUMPRODUCT(($C$3:$C$502&lt;&gt;"")*($A$3:$A$502=تقرير_الشهر)*($B$3:$B$502=تقرير_السنة)*(ROW($C$3:$C$502)&lt;=ROW())),"")</f>
        <v/>
      </c>
    </row>
    <row r="441">
      <c r="A441" s="40" t="n"/>
      <c r="B441" s="59" t="n"/>
      <c r="C441" s="40" t="n"/>
      <c r="D441" s="43">
        <f>IFERROR(INDEX(الموظفون_الاسم,MATCH($C441,الموظفون_الرقم,0)),"")</f>
        <v/>
      </c>
      <c r="E441" s="43">
        <f>IFERROR(INDEX(الموظفون_الإدارة,MATCH($C441,الموظفون_الرقم,0)),"")</f>
        <v/>
      </c>
      <c r="F441" s="43">
        <f>IFERROR(INDEX(الموظفون_القسم,MATCH($C441,الموظفون_الرقم,0)),"")</f>
        <v/>
      </c>
      <c r="G441" s="60">
        <f>IF($C441="","",IFERROR(INDEX(الموظفون_الاساسي,MATCH($C441,الموظفون_الرقم,0)),0))</f>
        <v/>
      </c>
      <c r="H441" s="42" t="n"/>
      <c r="I441" s="42" t="n"/>
      <c r="J441" s="42" t="n"/>
      <c r="K441" s="42" t="n"/>
      <c r="L441" s="42" t="n"/>
      <c r="M441" s="61" t="n"/>
      <c r="N441" s="42" t="n"/>
      <c r="O441" s="42" t="n"/>
      <c r="P441" s="42" t="n"/>
      <c r="Q441" s="42" t="n"/>
      <c r="R441" s="42" t="n"/>
      <c r="S441" s="60">
        <f>IF($C441="","",SUM($G441:$L441))</f>
        <v/>
      </c>
      <c r="T441" s="60">
        <f>IF($C441="","",SUM($N441:$R441))</f>
        <v/>
      </c>
      <c r="U441" s="60">
        <f>IF($C441="","",$S441-$T441)</f>
        <v/>
      </c>
      <c r="V441" s="40" t="n"/>
      <c r="W441" s="110" t="n"/>
      <c r="X441" s="40" t="n"/>
      <c r="Y441" s="43">
        <f>IF($C441="","",IF(SUMPRODUCT(($C$3:$C$502=$C441)*($A$3:$A$502=$A441)*($B$3:$B$502=$B441))&gt;1,"⚠ مكرر","سليم"))</f>
        <v/>
      </c>
      <c r="Z441">
        <f>IF(AND($C441&lt;&gt;"",$A441=تقرير_الشهر,$B441=تقرير_السنة),SUMPRODUCT(($C$3:$C$502&lt;&gt;"")*($A$3:$A$502=تقرير_الشهر)*($B$3:$B$502=تقرير_السنة)*(ROW($C$3:$C$502)&lt;=ROW())),"")</f>
        <v/>
      </c>
    </row>
    <row r="442">
      <c r="A442" s="47" t="n"/>
      <c r="B442" s="62" t="n"/>
      <c r="C442" s="47" t="n"/>
      <c r="D442" s="50">
        <f>IFERROR(INDEX(الموظفون_الاسم,MATCH($C442,الموظفون_الرقم,0)),"")</f>
        <v/>
      </c>
      <c r="E442" s="50">
        <f>IFERROR(INDEX(الموظفون_الإدارة,MATCH($C442,الموظفون_الرقم,0)),"")</f>
        <v/>
      </c>
      <c r="F442" s="50">
        <f>IFERROR(INDEX(الموظفون_القسم,MATCH($C442,الموظفون_الرقم,0)),"")</f>
        <v/>
      </c>
      <c r="G442" s="63">
        <f>IF($C442="","",IFERROR(INDEX(الموظفون_الاساسي,MATCH($C442,الموظفون_الرقم,0)),0))</f>
        <v/>
      </c>
      <c r="H442" s="49" t="n"/>
      <c r="I442" s="49" t="n"/>
      <c r="J442" s="49" t="n"/>
      <c r="K442" s="49" t="n"/>
      <c r="L442" s="49" t="n"/>
      <c r="M442" s="64" t="n"/>
      <c r="N442" s="49" t="n"/>
      <c r="O442" s="49" t="n"/>
      <c r="P442" s="49" t="n"/>
      <c r="Q442" s="49" t="n"/>
      <c r="R442" s="49" t="n"/>
      <c r="S442" s="63">
        <f>IF($C442="","",SUM($G442:$L442))</f>
        <v/>
      </c>
      <c r="T442" s="63">
        <f>IF($C442="","",SUM($N442:$R442))</f>
        <v/>
      </c>
      <c r="U442" s="63">
        <f>IF($C442="","",$S442-$T442)</f>
        <v/>
      </c>
      <c r="V442" s="47" t="n"/>
      <c r="W442" s="112" t="n"/>
      <c r="X442" s="47" t="n"/>
      <c r="Y442" s="50">
        <f>IF($C442="","",IF(SUMPRODUCT(($C$3:$C$502=$C442)*($A$3:$A$502=$A442)*($B$3:$B$502=$B442))&gt;1,"⚠ مكرر","سليم"))</f>
        <v/>
      </c>
      <c r="Z442">
        <f>IF(AND($C442&lt;&gt;"",$A442=تقرير_الشهر,$B442=تقرير_السنة),SUMPRODUCT(($C$3:$C$502&lt;&gt;"")*($A$3:$A$502=تقرير_الشهر)*($B$3:$B$502=تقرير_السنة)*(ROW($C$3:$C$502)&lt;=ROW())),"")</f>
        <v/>
      </c>
    </row>
    <row r="443">
      <c r="A443" s="40" t="n"/>
      <c r="B443" s="59" t="n"/>
      <c r="C443" s="40" t="n"/>
      <c r="D443" s="43">
        <f>IFERROR(INDEX(الموظفون_الاسم,MATCH($C443,الموظفون_الرقم,0)),"")</f>
        <v/>
      </c>
      <c r="E443" s="43">
        <f>IFERROR(INDEX(الموظفون_الإدارة,MATCH($C443,الموظفون_الرقم,0)),"")</f>
        <v/>
      </c>
      <c r="F443" s="43">
        <f>IFERROR(INDEX(الموظفون_القسم,MATCH($C443,الموظفون_الرقم,0)),"")</f>
        <v/>
      </c>
      <c r="G443" s="60">
        <f>IF($C443="","",IFERROR(INDEX(الموظفون_الاساسي,MATCH($C443,الموظفون_الرقم,0)),0))</f>
        <v/>
      </c>
      <c r="H443" s="42" t="n"/>
      <c r="I443" s="42" t="n"/>
      <c r="J443" s="42" t="n"/>
      <c r="K443" s="42" t="n"/>
      <c r="L443" s="42" t="n"/>
      <c r="M443" s="61" t="n"/>
      <c r="N443" s="42" t="n"/>
      <c r="O443" s="42" t="n"/>
      <c r="P443" s="42" t="n"/>
      <c r="Q443" s="42" t="n"/>
      <c r="R443" s="42" t="n"/>
      <c r="S443" s="60">
        <f>IF($C443="","",SUM($G443:$L443))</f>
        <v/>
      </c>
      <c r="T443" s="60">
        <f>IF($C443="","",SUM($N443:$R443))</f>
        <v/>
      </c>
      <c r="U443" s="60">
        <f>IF($C443="","",$S443-$T443)</f>
        <v/>
      </c>
      <c r="V443" s="40" t="n"/>
      <c r="W443" s="110" t="n"/>
      <c r="X443" s="40" t="n"/>
      <c r="Y443" s="43">
        <f>IF($C443="","",IF(SUMPRODUCT(($C$3:$C$502=$C443)*($A$3:$A$502=$A443)*($B$3:$B$502=$B443))&gt;1,"⚠ مكرر","سليم"))</f>
        <v/>
      </c>
      <c r="Z443">
        <f>IF(AND($C443&lt;&gt;"",$A443=تقرير_الشهر,$B443=تقرير_السنة),SUMPRODUCT(($C$3:$C$502&lt;&gt;"")*($A$3:$A$502=تقرير_الشهر)*($B$3:$B$502=تقرير_السنة)*(ROW($C$3:$C$502)&lt;=ROW())),"")</f>
        <v/>
      </c>
    </row>
    <row r="444">
      <c r="A444" s="47" t="n"/>
      <c r="B444" s="62" t="n"/>
      <c r="C444" s="47" t="n"/>
      <c r="D444" s="50">
        <f>IFERROR(INDEX(الموظفون_الاسم,MATCH($C444,الموظفون_الرقم,0)),"")</f>
        <v/>
      </c>
      <c r="E444" s="50">
        <f>IFERROR(INDEX(الموظفون_الإدارة,MATCH($C444,الموظفون_الرقم,0)),"")</f>
        <v/>
      </c>
      <c r="F444" s="50">
        <f>IFERROR(INDEX(الموظفون_القسم,MATCH($C444,الموظفون_الرقم,0)),"")</f>
        <v/>
      </c>
      <c r="G444" s="63">
        <f>IF($C444="","",IFERROR(INDEX(الموظفون_الاساسي,MATCH($C444,الموظفون_الرقم,0)),0))</f>
        <v/>
      </c>
      <c r="H444" s="49" t="n"/>
      <c r="I444" s="49" t="n"/>
      <c r="J444" s="49" t="n"/>
      <c r="K444" s="49" t="n"/>
      <c r="L444" s="49" t="n"/>
      <c r="M444" s="64" t="n"/>
      <c r="N444" s="49" t="n"/>
      <c r="O444" s="49" t="n"/>
      <c r="P444" s="49" t="n"/>
      <c r="Q444" s="49" t="n"/>
      <c r="R444" s="49" t="n"/>
      <c r="S444" s="63">
        <f>IF($C444="","",SUM($G444:$L444))</f>
        <v/>
      </c>
      <c r="T444" s="63">
        <f>IF($C444="","",SUM($N444:$R444))</f>
        <v/>
      </c>
      <c r="U444" s="63">
        <f>IF($C444="","",$S444-$T444)</f>
        <v/>
      </c>
      <c r="V444" s="47" t="n"/>
      <c r="W444" s="112" t="n"/>
      <c r="X444" s="47" t="n"/>
      <c r="Y444" s="50">
        <f>IF($C444="","",IF(SUMPRODUCT(($C$3:$C$502=$C444)*($A$3:$A$502=$A444)*($B$3:$B$502=$B444))&gt;1,"⚠ مكرر","سليم"))</f>
        <v/>
      </c>
      <c r="Z444">
        <f>IF(AND($C444&lt;&gt;"",$A444=تقرير_الشهر,$B444=تقرير_السنة),SUMPRODUCT(($C$3:$C$502&lt;&gt;"")*($A$3:$A$502=تقرير_الشهر)*($B$3:$B$502=تقرير_السنة)*(ROW($C$3:$C$502)&lt;=ROW())),"")</f>
        <v/>
      </c>
    </row>
    <row r="445">
      <c r="A445" s="40" t="n"/>
      <c r="B445" s="59" t="n"/>
      <c r="C445" s="40" t="n"/>
      <c r="D445" s="43">
        <f>IFERROR(INDEX(الموظفون_الاسم,MATCH($C445,الموظفون_الرقم,0)),"")</f>
        <v/>
      </c>
      <c r="E445" s="43">
        <f>IFERROR(INDEX(الموظفون_الإدارة,MATCH($C445,الموظفون_الرقم,0)),"")</f>
        <v/>
      </c>
      <c r="F445" s="43">
        <f>IFERROR(INDEX(الموظفون_القسم,MATCH($C445,الموظفون_الرقم,0)),"")</f>
        <v/>
      </c>
      <c r="G445" s="60">
        <f>IF($C445="","",IFERROR(INDEX(الموظفون_الاساسي,MATCH($C445,الموظفون_الرقم,0)),0))</f>
        <v/>
      </c>
      <c r="H445" s="42" t="n"/>
      <c r="I445" s="42" t="n"/>
      <c r="J445" s="42" t="n"/>
      <c r="K445" s="42" t="n"/>
      <c r="L445" s="42" t="n"/>
      <c r="M445" s="61" t="n"/>
      <c r="N445" s="42" t="n"/>
      <c r="O445" s="42" t="n"/>
      <c r="P445" s="42" t="n"/>
      <c r="Q445" s="42" t="n"/>
      <c r="R445" s="42" t="n"/>
      <c r="S445" s="60">
        <f>IF($C445="","",SUM($G445:$L445))</f>
        <v/>
      </c>
      <c r="T445" s="60">
        <f>IF($C445="","",SUM($N445:$R445))</f>
        <v/>
      </c>
      <c r="U445" s="60">
        <f>IF($C445="","",$S445-$T445)</f>
        <v/>
      </c>
      <c r="V445" s="40" t="n"/>
      <c r="W445" s="110" t="n"/>
      <c r="X445" s="40" t="n"/>
      <c r="Y445" s="43">
        <f>IF($C445="","",IF(SUMPRODUCT(($C$3:$C$502=$C445)*($A$3:$A$502=$A445)*($B$3:$B$502=$B445))&gt;1,"⚠ مكرر","سليم"))</f>
        <v/>
      </c>
      <c r="Z445">
        <f>IF(AND($C445&lt;&gt;"",$A445=تقرير_الشهر,$B445=تقرير_السنة),SUMPRODUCT(($C$3:$C$502&lt;&gt;"")*($A$3:$A$502=تقرير_الشهر)*($B$3:$B$502=تقرير_السنة)*(ROW($C$3:$C$502)&lt;=ROW())),"")</f>
        <v/>
      </c>
    </row>
    <row r="446">
      <c r="A446" s="47" t="n"/>
      <c r="B446" s="62" t="n"/>
      <c r="C446" s="47" t="n"/>
      <c r="D446" s="50">
        <f>IFERROR(INDEX(الموظفون_الاسم,MATCH($C446,الموظفون_الرقم,0)),"")</f>
        <v/>
      </c>
      <c r="E446" s="50">
        <f>IFERROR(INDEX(الموظفون_الإدارة,MATCH($C446,الموظفون_الرقم,0)),"")</f>
        <v/>
      </c>
      <c r="F446" s="50">
        <f>IFERROR(INDEX(الموظفون_القسم,MATCH($C446,الموظفون_الرقم,0)),"")</f>
        <v/>
      </c>
      <c r="G446" s="63">
        <f>IF($C446="","",IFERROR(INDEX(الموظفون_الاساسي,MATCH($C446,الموظفون_الرقم,0)),0))</f>
        <v/>
      </c>
      <c r="H446" s="49" t="n"/>
      <c r="I446" s="49" t="n"/>
      <c r="J446" s="49" t="n"/>
      <c r="K446" s="49" t="n"/>
      <c r="L446" s="49" t="n"/>
      <c r="M446" s="64" t="n"/>
      <c r="N446" s="49" t="n"/>
      <c r="O446" s="49" t="n"/>
      <c r="P446" s="49" t="n"/>
      <c r="Q446" s="49" t="n"/>
      <c r="R446" s="49" t="n"/>
      <c r="S446" s="63">
        <f>IF($C446="","",SUM($G446:$L446))</f>
        <v/>
      </c>
      <c r="T446" s="63">
        <f>IF($C446="","",SUM($N446:$R446))</f>
        <v/>
      </c>
      <c r="U446" s="63">
        <f>IF($C446="","",$S446-$T446)</f>
        <v/>
      </c>
      <c r="V446" s="47" t="n"/>
      <c r="W446" s="112" t="n"/>
      <c r="X446" s="47" t="n"/>
      <c r="Y446" s="50">
        <f>IF($C446="","",IF(SUMPRODUCT(($C$3:$C$502=$C446)*($A$3:$A$502=$A446)*($B$3:$B$502=$B446))&gt;1,"⚠ مكرر","سليم"))</f>
        <v/>
      </c>
      <c r="Z446">
        <f>IF(AND($C446&lt;&gt;"",$A446=تقرير_الشهر,$B446=تقرير_السنة),SUMPRODUCT(($C$3:$C$502&lt;&gt;"")*($A$3:$A$502=تقرير_الشهر)*($B$3:$B$502=تقرير_السنة)*(ROW($C$3:$C$502)&lt;=ROW())),"")</f>
        <v/>
      </c>
    </row>
    <row r="447">
      <c r="A447" s="40" t="n"/>
      <c r="B447" s="59" t="n"/>
      <c r="C447" s="40" t="n"/>
      <c r="D447" s="43">
        <f>IFERROR(INDEX(الموظفون_الاسم,MATCH($C447,الموظفون_الرقم,0)),"")</f>
        <v/>
      </c>
      <c r="E447" s="43">
        <f>IFERROR(INDEX(الموظفون_الإدارة,MATCH($C447,الموظفون_الرقم,0)),"")</f>
        <v/>
      </c>
      <c r="F447" s="43">
        <f>IFERROR(INDEX(الموظفون_القسم,MATCH($C447,الموظفون_الرقم,0)),"")</f>
        <v/>
      </c>
      <c r="G447" s="60">
        <f>IF($C447="","",IFERROR(INDEX(الموظفون_الاساسي,MATCH($C447,الموظفون_الرقم,0)),0))</f>
        <v/>
      </c>
      <c r="H447" s="42" t="n"/>
      <c r="I447" s="42" t="n"/>
      <c r="J447" s="42" t="n"/>
      <c r="K447" s="42" t="n"/>
      <c r="L447" s="42" t="n"/>
      <c r="M447" s="61" t="n"/>
      <c r="N447" s="42" t="n"/>
      <c r="O447" s="42" t="n"/>
      <c r="P447" s="42" t="n"/>
      <c r="Q447" s="42" t="n"/>
      <c r="R447" s="42" t="n"/>
      <c r="S447" s="60">
        <f>IF($C447="","",SUM($G447:$L447))</f>
        <v/>
      </c>
      <c r="T447" s="60">
        <f>IF($C447="","",SUM($N447:$R447))</f>
        <v/>
      </c>
      <c r="U447" s="60">
        <f>IF($C447="","",$S447-$T447)</f>
        <v/>
      </c>
      <c r="V447" s="40" t="n"/>
      <c r="W447" s="110" t="n"/>
      <c r="X447" s="40" t="n"/>
      <c r="Y447" s="43">
        <f>IF($C447="","",IF(SUMPRODUCT(($C$3:$C$502=$C447)*($A$3:$A$502=$A447)*($B$3:$B$502=$B447))&gt;1,"⚠ مكرر","سليم"))</f>
        <v/>
      </c>
      <c r="Z447">
        <f>IF(AND($C447&lt;&gt;"",$A447=تقرير_الشهر,$B447=تقرير_السنة),SUMPRODUCT(($C$3:$C$502&lt;&gt;"")*($A$3:$A$502=تقرير_الشهر)*($B$3:$B$502=تقرير_السنة)*(ROW($C$3:$C$502)&lt;=ROW())),"")</f>
        <v/>
      </c>
    </row>
    <row r="448">
      <c r="A448" s="47" t="n"/>
      <c r="B448" s="62" t="n"/>
      <c r="C448" s="47" t="n"/>
      <c r="D448" s="50">
        <f>IFERROR(INDEX(الموظفون_الاسم,MATCH($C448,الموظفون_الرقم,0)),"")</f>
        <v/>
      </c>
      <c r="E448" s="50">
        <f>IFERROR(INDEX(الموظفون_الإدارة,MATCH($C448,الموظفون_الرقم,0)),"")</f>
        <v/>
      </c>
      <c r="F448" s="50">
        <f>IFERROR(INDEX(الموظفون_القسم,MATCH($C448,الموظفون_الرقم,0)),"")</f>
        <v/>
      </c>
      <c r="G448" s="63">
        <f>IF($C448="","",IFERROR(INDEX(الموظفون_الاساسي,MATCH($C448,الموظفون_الرقم,0)),0))</f>
        <v/>
      </c>
      <c r="H448" s="49" t="n"/>
      <c r="I448" s="49" t="n"/>
      <c r="J448" s="49" t="n"/>
      <c r="K448" s="49" t="n"/>
      <c r="L448" s="49" t="n"/>
      <c r="M448" s="64" t="n"/>
      <c r="N448" s="49" t="n"/>
      <c r="O448" s="49" t="n"/>
      <c r="P448" s="49" t="n"/>
      <c r="Q448" s="49" t="n"/>
      <c r="R448" s="49" t="n"/>
      <c r="S448" s="63">
        <f>IF($C448="","",SUM($G448:$L448))</f>
        <v/>
      </c>
      <c r="T448" s="63">
        <f>IF($C448="","",SUM($N448:$R448))</f>
        <v/>
      </c>
      <c r="U448" s="63">
        <f>IF($C448="","",$S448-$T448)</f>
        <v/>
      </c>
      <c r="V448" s="47" t="n"/>
      <c r="W448" s="112" t="n"/>
      <c r="X448" s="47" t="n"/>
      <c r="Y448" s="50">
        <f>IF($C448="","",IF(SUMPRODUCT(($C$3:$C$502=$C448)*($A$3:$A$502=$A448)*($B$3:$B$502=$B448))&gt;1,"⚠ مكرر","سليم"))</f>
        <v/>
      </c>
      <c r="Z448">
        <f>IF(AND($C448&lt;&gt;"",$A448=تقرير_الشهر,$B448=تقرير_السنة),SUMPRODUCT(($C$3:$C$502&lt;&gt;"")*($A$3:$A$502=تقرير_الشهر)*($B$3:$B$502=تقرير_السنة)*(ROW($C$3:$C$502)&lt;=ROW())),"")</f>
        <v/>
      </c>
    </row>
    <row r="449">
      <c r="A449" s="40" t="n"/>
      <c r="B449" s="59" t="n"/>
      <c r="C449" s="40" t="n"/>
      <c r="D449" s="43">
        <f>IFERROR(INDEX(الموظفون_الاسم,MATCH($C449,الموظفون_الرقم,0)),"")</f>
        <v/>
      </c>
      <c r="E449" s="43">
        <f>IFERROR(INDEX(الموظفون_الإدارة,MATCH($C449,الموظفون_الرقم,0)),"")</f>
        <v/>
      </c>
      <c r="F449" s="43">
        <f>IFERROR(INDEX(الموظفون_القسم,MATCH($C449,الموظفون_الرقم,0)),"")</f>
        <v/>
      </c>
      <c r="G449" s="60">
        <f>IF($C449="","",IFERROR(INDEX(الموظفون_الاساسي,MATCH($C449,الموظفون_الرقم,0)),0))</f>
        <v/>
      </c>
      <c r="H449" s="42" t="n"/>
      <c r="I449" s="42" t="n"/>
      <c r="J449" s="42" t="n"/>
      <c r="K449" s="42" t="n"/>
      <c r="L449" s="42" t="n"/>
      <c r="M449" s="61" t="n"/>
      <c r="N449" s="42" t="n"/>
      <c r="O449" s="42" t="n"/>
      <c r="P449" s="42" t="n"/>
      <c r="Q449" s="42" t="n"/>
      <c r="R449" s="42" t="n"/>
      <c r="S449" s="60">
        <f>IF($C449="","",SUM($G449:$L449))</f>
        <v/>
      </c>
      <c r="T449" s="60">
        <f>IF($C449="","",SUM($N449:$R449))</f>
        <v/>
      </c>
      <c r="U449" s="60">
        <f>IF($C449="","",$S449-$T449)</f>
        <v/>
      </c>
      <c r="V449" s="40" t="n"/>
      <c r="W449" s="110" t="n"/>
      <c r="X449" s="40" t="n"/>
      <c r="Y449" s="43">
        <f>IF($C449="","",IF(SUMPRODUCT(($C$3:$C$502=$C449)*($A$3:$A$502=$A449)*($B$3:$B$502=$B449))&gt;1,"⚠ مكرر","سليم"))</f>
        <v/>
      </c>
      <c r="Z449">
        <f>IF(AND($C449&lt;&gt;"",$A449=تقرير_الشهر,$B449=تقرير_السنة),SUMPRODUCT(($C$3:$C$502&lt;&gt;"")*($A$3:$A$502=تقرير_الشهر)*($B$3:$B$502=تقرير_السنة)*(ROW($C$3:$C$502)&lt;=ROW())),"")</f>
        <v/>
      </c>
    </row>
    <row r="450">
      <c r="A450" s="47" t="n"/>
      <c r="B450" s="62" t="n"/>
      <c r="C450" s="47" t="n"/>
      <c r="D450" s="50">
        <f>IFERROR(INDEX(الموظفون_الاسم,MATCH($C450,الموظفون_الرقم,0)),"")</f>
        <v/>
      </c>
      <c r="E450" s="50">
        <f>IFERROR(INDEX(الموظفون_الإدارة,MATCH($C450,الموظفون_الرقم,0)),"")</f>
        <v/>
      </c>
      <c r="F450" s="50">
        <f>IFERROR(INDEX(الموظفون_القسم,MATCH($C450,الموظفون_الرقم,0)),"")</f>
        <v/>
      </c>
      <c r="G450" s="63">
        <f>IF($C450="","",IFERROR(INDEX(الموظفون_الاساسي,MATCH($C450,الموظفون_الرقم,0)),0))</f>
        <v/>
      </c>
      <c r="H450" s="49" t="n"/>
      <c r="I450" s="49" t="n"/>
      <c r="J450" s="49" t="n"/>
      <c r="K450" s="49" t="n"/>
      <c r="L450" s="49" t="n"/>
      <c r="M450" s="64" t="n"/>
      <c r="N450" s="49" t="n"/>
      <c r="O450" s="49" t="n"/>
      <c r="P450" s="49" t="n"/>
      <c r="Q450" s="49" t="n"/>
      <c r="R450" s="49" t="n"/>
      <c r="S450" s="63">
        <f>IF($C450="","",SUM($G450:$L450))</f>
        <v/>
      </c>
      <c r="T450" s="63">
        <f>IF($C450="","",SUM($N450:$R450))</f>
        <v/>
      </c>
      <c r="U450" s="63">
        <f>IF($C450="","",$S450-$T450)</f>
        <v/>
      </c>
      <c r="V450" s="47" t="n"/>
      <c r="W450" s="112" t="n"/>
      <c r="X450" s="47" t="n"/>
      <c r="Y450" s="50">
        <f>IF($C450="","",IF(SUMPRODUCT(($C$3:$C$502=$C450)*($A$3:$A$502=$A450)*($B$3:$B$502=$B450))&gt;1,"⚠ مكرر","سليم"))</f>
        <v/>
      </c>
      <c r="Z450">
        <f>IF(AND($C450&lt;&gt;"",$A450=تقرير_الشهر,$B450=تقرير_السنة),SUMPRODUCT(($C$3:$C$502&lt;&gt;"")*($A$3:$A$502=تقرير_الشهر)*($B$3:$B$502=تقرير_السنة)*(ROW($C$3:$C$502)&lt;=ROW())),"")</f>
        <v/>
      </c>
    </row>
    <row r="451">
      <c r="A451" s="40" t="n"/>
      <c r="B451" s="59" t="n"/>
      <c r="C451" s="40" t="n"/>
      <c r="D451" s="43">
        <f>IFERROR(INDEX(الموظفون_الاسم,MATCH($C451,الموظفون_الرقم,0)),"")</f>
        <v/>
      </c>
      <c r="E451" s="43">
        <f>IFERROR(INDEX(الموظفون_الإدارة,MATCH($C451,الموظفون_الرقم,0)),"")</f>
        <v/>
      </c>
      <c r="F451" s="43">
        <f>IFERROR(INDEX(الموظفون_القسم,MATCH($C451,الموظفون_الرقم,0)),"")</f>
        <v/>
      </c>
      <c r="G451" s="60">
        <f>IF($C451="","",IFERROR(INDEX(الموظفون_الاساسي,MATCH($C451,الموظفون_الرقم,0)),0))</f>
        <v/>
      </c>
      <c r="H451" s="42" t="n"/>
      <c r="I451" s="42" t="n"/>
      <c r="J451" s="42" t="n"/>
      <c r="K451" s="42" t="n"/>
      <c r="L451" s="42" t="n"/>
      <c r="M451" s="61" t="n"/>
      <c r="N451" s="42" t="n"/>
      <c r="O451" s="42" t="n"/>
      <c r="P451" s="42" t="n"/>
      <c r="Q451" s="42" t="n"/>
      <c r="R451" s="42" t="n"/>
      <c r="S451" s="60">
        <f>IF($C451="","",SUM($G451:$L451))</f>
        <v/>
      </c>
      <c r="T451" s="60">
        <f>IF($C451="","",SUM($N451:$R451))</f>
        <v/>
      </c>
      <c r="U451" s="60">
        <f>IF($C451="","",$S451-$T451)</f>
        <v/>
      </c>
      <c r="V451" s="40" t="n"/>
      <c r="W451" s="110" t="n"/>
      <c r="X451" s="40" t="n"/>
      <c r="Y451" s="43">
        <f>IF($C451="","",IF(SUMPRODUCT(($C$3:$C$502=$C451)*($A$3:$A$502=$A451)*($B$3:$B$502=$B451))&gt;1,"⚠ مكرر","سليم"))</f>
        <v/>
      </c>
      <c r="Z451">
        <f>IF(AND($C451&lt;&gt;"",$A451=تقرير_الشهر,$B451=تقرير_السنة),SUMPRODUCT(($C$3:$C$502&lt;&gt;"")*($A$3:$A$502=تقرير_الشهر)*($B$3:$B$502=تقرير_السنة)*(ROW($C$3:$C$502)&lt;=ROW())),"")</f>
        <v/>
      </c>
    </row>
    <row r="452">
      <c r="A452" s="47" t="n"/>
      <c r="B452" s="62" t="n"/>
      <c r="C452" s="47" t="n"/>
      <c r="D452" s="50">
        <f>IFERROR(INDEX(الموظفون_الاسم,MATCH($C452,الموظفون_الرقم,0)),"")</f>
        <v/>
      </c>
      <c r="E452" s="50">
        <f>IFERROR(INDEX(الموظفون_الإدارة,MATCH($C452,الموظفون_الرقم,0)),"")</f>
        <v/>
      </c>
      <c r="F452" s="50">
        <f>IFERROR(INDEX(الموظفون_القسم,MATCH($C452,الموظفون_الرقم,0)),"")</f>
        <v/>
      </c>
      <c r="G452" s="63">
        <f>IF($C452="","",IFERROR(INDEX(الموظفون_الاساسي,MATCH($C452,الموظفون_الرقم,0)),0))</f>
        <v/>
      </c>
      <c r="H452" s="49" t="n"/>
      <c r="I452" s="49" t="n"/>
      <c r="J452" s="49" t="n"/>
      <c r="K452" s="49" t="n"/>
      <c r="L452" s="49" t="n"/>
      <c r="M452" s="64" t="n"/>
      <c r="N452" s="49" t="n"/>
      <c r="O452" s="49" t="n"/>
      <c r="P452" s="49" t="n"/>
      <c r="Q452" s="49" t="n"/>
      <c r="R452" s="49" t="n"/>
      <c r="S452" s="63">
        <f>IF($C452="","",SUM($G452:$L452))</f>
        <v/>
      </c>
      <c r="T452" s="63">
        <f>IF($C452="","",SUM($N452:$R452))</f>
        <v/>
      </c>
      <c r="U452" s="63">
        <f>IF($C452="","",$S452-$T452)</f>
        <v/>
      </c>
      <c r="V452" s="47" t="n"/>
      <c r="W452" s="112" t="n"/>
      <c r="X452" s="47" t="n"/>
      <c r="Y452" s="50">
        <f>IF($C452="","",IF(SUMPRODUCT(($C$3:$C$502=$C452)*($A$3:$A$502=$A452)*($B$3:$B$502=$B452))&gt;1,"⚠ مكرر","سليم"))</f>
        <v/>
      </c>
      <c r="Z452">
        <f>IF(AND($C452&lt;&gt;"",$A452=تقرير_الشهر,$B452=تقرير_السنة),SUMPRODUCT(($C$3:$C$502&lt;&gt;"")*($A$3:$A$502=تقرير_الشهر)*($B$3:$B$502=تقرير_السنة)*(ROW($C$3:$C$502)&lt;=ROW())),"")</f>
        <v/>
      </c>
    </row>
    <row r="453">
      <c r="A453" s="40" t="n"/>
      <c r="B453" s="59" t="n"/>
      <c r="C453" s="40" t="n"/>
      <c r="D453" s="43">
        <f>IFERROR(INDEX(الموظفون_الاسم,MATCH($C453,الموظفون_الرقم,0)),"")</f>
        <v/>
      </c>
      <c r="E453" s="43">
        <f>IFERROR(INDEX(الموظفون_الإدارة,MATCH($C453,الموظفون_الرقم,0)),"")</f>
        <v/>
      </c>
      <c r="F453" s="43">
        <f>IFERROR(INDEX(الموظفون_القسم,MATCH($C453,الموظفون_الرقم,0)),"")</f>
        <v/>
      </c>
      <c r="G453" s="60">
        <f>IF($C453="","",IFERROR(INDEX(الموظفون_الاساسي,MATCH($C453,الموظفون_الرقم,0)),0))</f>
        <v/>
      </c>
      <c r="H453" s="42" t="n"/>
      <c r="I453" s="42" t="n"/>
      <c r="J453" s="42" t="n"/>
      <c r="K453" s="42" t="n"/>
      <c r="L453" s="42" t="n"/>
      <c r="M453" s="61" t="n"/>
      <c r="N453" s="42" t="n"/>
      <c r="O453" s="42" t="n"/>
      <c r="P453" s="42" t="n"/>
      <c r="Q453" s="42" t="n"/>
      <c r="R453" s="42" t="n"/>
      <c r="S453" s="60">
        <f>IF($C453="","",SUM($G453:$L453))</f>
        <v/>
      </c>
      <c r="T453" s="60">
        <f>IF($C453="","",SUM($N453:$R453))</f>
        <v/>
      </c>
      <c r="U453" s="60">
        <f>IF($C453="","",$S453-$T453)</f>
        <v/>
      </c>
      <c r="V453" s="40" t="n"/>
      <c r="W453" s="110" t="n"/>
      <c r="X453" s="40" t="n"/>
      <c r="Y453" s="43">
        <f>IF($C453="","",IF(SUMPRODUCT(($C$3:$C$502=$C453)*($A$3:$A$502=$A453)*($B$3:$B$502=$B453))&gt;1,"⚠ مكرر","سليم"))</f>
        <v/>
      </c>
      <c r="Z453">
        <f>IF(AND($C453&lt;&gt;"",$A453=تقرير_الشهر,$B453=تقرير_السنة),SUMPRODUCT(($C$3:$C$502&lt;&gt;"")*($A$3:$A$502=تقرير_الشهر)*($B$3:$B$502=تقرير_السنة)*(ROW($C$3:$C$502)&lt;=ROW())),"")</f>
        <v/>
      </c>
    </row>
    <row r="454">
      <c r="A454" s="47" t="n"/>
      <c r="B454" s="62" t="n"/>
      <c r="C454" s="47" t="n"/>
      <c r="D454" s="50">
        <f>IFERROR(INDEX(الموظفون_الاسم,MATCH($C454,الموظفون_الرقم,0)),"")</f>
        <v/>
      </c>
      <c r="E454" s="50">
        <f>IFERROR(INDEX(الموظفون_الإدارة,MATCH($C454,الموظفون_الرقم,0)),"")</f>
        <v/>
      </c>
      <c r="F454" s="50">
        <f>IFERROR(INDEX(الموظفون_القسم,MATCH($C454,الموظفون_الرقم,0)),"")</f>
        <v/>
      </c>
      <c r="G454" s="63">
        <f>IF($C454="","",IFERROR(INDEX(الموظفون_الاساسي,MATCH($C454,الموظفون_الرقم,0)),0))</f>
        <v/>
      </c>
      <c r="H454" s="49" t="n"/>
      <c r="I454" s="49" t="n"/>
      <c r="J454" s="49" t="n"/>
      <c r="K454" s="49" t="n"/>
      <c r="L454" s="49" t="n"/>
      <c r="M454" s="64" t="n"/>
      <c r="N454" s="49" t="n"/>
      <c r="O454" s="49" t="n"/>
      <c r="P454" s="49" t="n"/>
      <c r="Q454" s="49" t="n"/>
      <c r="R454" s="49" t="n"/>
      <c r="S454" s="63">
        <f>IF($C454="","",SUM($G454:$L454))</f>
        <v/>
      </c>
      <c r="T454" s="63">
        <f>IF($C454="","",SUM($N454:$R454))</f>
        <v/>
      </c>
      <c r="U454" s="63">
        <f>IF($C454="","",$S454-$T454)</f>
        <v/>
      </c>
      <c r="V454" s="47" t="n"/>
      <c r="W454" s="112" t="n"/>
      <c r="X454" s="47" t="n"/>
      <c r="Y454" s="50">
        <f>IF($C454="","",IF(SUMPRODUCT(($C$3:$C$502=$C454)*($A$3:$A$502=$A454)*($B$3:$B$502=$B454))&gt;1,"⚠ مكرر","سليم"))</f>
        <v/>
      </c>
      <c r="Z454">
        <f>IF(AND($C454&lt;&gt;"",$A454=تقرير_الشهر,$B454=تقرير_السنة),SUMPRODUCT(($C$3:$C$502&lt;&gt;"")*($A$3:$A$502=تقرير_الشهر)*($B$3:$B$502=تقرير_السنة)*(ROW($C$3:$C$502)&lt;=ROW())),"")</f>
        <v/>
      </c>
    </row>
    <row r="455">
      <c r="A455" s="40" t="n"/>
      <c r="B455" s="59" t="n"/>
      <c r="C455" s="40" t="n"/>
      <c r="D455" s="43">
        <f>IFERROR(INDEX(الموظفون_الاسم,MATCH($C455,الموظفون_الرقم,0)),"")</f>
        <v/>
      </c>
      <c r="E455" s="43">
        <f>IFERROR(INDEX(الموظفون_الإدارة,MATCH($C455,الموظفون_الرقم,0)),"")</f>
        <v/>
      </c>
      <c r="F455" s="43">
        <f>IFERROR(INDEX(الموظفون_القسم,MATCH($C455,الموظفون_الرقم,0)),"")</f>
        <v/>
      </c>
      <c r="G455" s="60">
        <f>IF($C455="","",IFERROR(INDEX(الموظفون_الاساسي,MATCH($C455,الموظفون_الرقم,0)),0))</f>
        <v/>
      </c>
      <c r="H455" s="42" t="n"/>
      <c r="I455" s="42" t="n"/>
      <c r="J455" s="42" t="n"/>
      <c r="K455" s="42" t="n"/>
      <c r="L455" s="42" t="n"/>
      <c r="M455" s="61" t="n"/>
      <c r="N455" s="42" t="n"/>
      <c r="O455" s="42" t="n"/>
      <c r="P455" s="42" t="n"/>
      <c r="Q455" s="42" t="n"/>
      <c r="R455" s="42" t="n"/>
      <c r="S455" s="60">
        <f>IF($C455="","",SUM($G455:$L455))</f>
        <v/>
      </c>
      <c r="T455" s="60">
        <f>IF($C455="","",SUM($N455:$R455))</f>
        <v/>
      </c>
      <c r="U455" s="60">
        <f>IF($C455="","",$S455-$T455)</f>
        <v/>
      </c>
      <c r="V455" s="40" t="n"/>
      <c r="W455" s="110" t="n"/>
      <c r="X455" s="40" t="n"/>
      <c r="Y455" s="43">
        <f>IF($C455="","",IF(SUMPRODUCT(($C$3:$C$502=$C455)*($A$3:$A$502=$A455)*($B$3:$B$502=$B455))&gt;1,"⚠ مكرر","سليم"))</f>
        <v/>
      </c>
      <c r="Z455">
        <f>IF(AND($C455&lt;&gt;"",$A455=تقرير_الشهر,$B455=تقرير_السنة),SUMPRODUCT(($C$3:$C$502&lt;&gt;"")*($A$3:$A$502=تقرير_الشهر)*($B$3:$B$502=تقرير_السنة)*(ROW($C$3:$C$502)&lt;=ROW())),"")</f>
        <v/>
      </c>
    </row>
    <row r="456">
      <c r="A456" s="47" t="n"/>
      <c r="B456" s="62" t="n"/>
      <c r="C456" s="47" t="n"/>
      <c r="D456" s="50">
        <f>IFERROR(INDEX(الموظفون_الاسم,MATCH($C456,الموظفون_الرقم,0)),"")</f>
        <v/>
      </c>
      <c r="E456" s="50">
        <f>IFERROR(INDEX(الموظفون_الإدارة,MATCH($C456,الموظفون_الرقم,0)),"")</f>
        <v/>
      </c>
      <c r="F456" s="50">
        <f>IFERROR(INDEX(الموظفون_القسم,MATCH($C456,الموظفون_الرقم,0)),"")</f>
        <v/>
      </c>
      <c r="G456" s="63">
        <f>IF($C456="","",IFERROR(INDEX(الموظفون_الاساسي,MATCH($C456,الموظفون_الرقم,0)),0))</f>
        <v/>
      </c>
      <c r="H456" s="49" t="n"/>
      <c r="I456" s="49" t="n"/>
      <c r="J456" s="49" t="n"/>
      <c r="K456" s="49" t="n"/>
      <c r="L456" s="49" t="n"/>
      <c r="M456" s="64" t="n"/>
      <c r="N456" s="49" t="n"/>
      <c r="O456" s="49" t="n"/>
      <c r="P456" s="49" t="n"/>
      <c r="Q456" s="49" t="n"/>
      <c r="R456" s="49" t="n"/>
      <c r="S456" s="63">
        <f>IF($C456="","",SUM($G456:$L456))</f>
        <v/>
      </c>
      <c r="T456" s="63">
        <f>IF($C456="","",SUM($N456:$R456))</f>
        <v/>
      </c>
      <c r="U456" s="63">
        <f>IF($C456="","",$S456-$T456)</f>
        <v/>
      </c>
      <c r="V456" s="47" t="n"/>
      <c r="W456" s="112" t="n"/>
      <c r="X456" s="47" t="n"/>
      <c r="Y456" s="50">
        <f>IF($C456="","",IF(SUMPRODUCT(($C$3:$C$502=$C456)*($A$3:$A$502=$A456)*($B$3:$B$502=$B456))&gt;1,"⚠ مكرر","سليم"))</f>
        <v/>
      </c>
      <c r="Z456">
        <f>IF(AND($C456&lt;&gt;"",$A456=تقرير_الشهر,$B456=تقرير_السنة),SUMPRODUCT(($C$3:$C$502&lt;&gt;"")*($A$3:$A$502=تقرير_الشهر)*($B$3:$B$502=تقرير_السنة)*(ROW($C$3:$C$502)&lt;=ROW())),"")</f>
        <v/>
      </c>
    </row>
    <row r="457">
      <c r="A457" s="40" t="n"/>
      <c r="B457" s="59" t="n"/>
      <c r="C457" s="40" t="n"/>
      <c r="D457" s="43">
        <f>IFERROR(INDEX(الموظفون_الاسم,MATCH($C457,الموظفون_الرقم,0)),"")</f>
        <v/>
      </c>
      <c r="E457" s="43">
        <f>IFERROR(INDEX(الموظفون_الإدارة,MATCH($C457,الموظفون_الرقم,0)),"")</f>
        <v/>
      </c>
      <c r="F457" s="43">
        <f>IFERROR(INDEX(الموظفون_القسم,MATCH($C457,الموظفون_الرقم,0)),"")</f>
        <v/>
      </c>
      <c r="G457" s="60">
        <f>IF($C457="","",IFERROR(INDEX(الموظفون_الاساسي,MATCH($C457,الموظفون_الرقم,0)),0))</f>
        <v/>
      </c>
      <c r="H457" s="42" t="n"/>
      <c r="I457" s="42" t="n"/>
      <c r="J457" s="42" t="n"/>
      <c r="K457" s="42" t="n"/>
      <c r="L457" s="42" t="n"/>
      <c r="M457" s="61" t="n"/>
      <c r="N457" s="42" t="n"/>
      <c r="O457" s="42" t="n"/>
      <c r="P457" s="42" t="n"/>
      <c r="Q457" s="42" t="n"/>
      <c r="R457" s="42" t="n"/>
      <c r="S457" s="60">
        <f>IF($C457="","",SUM($G457:$L457))</f>
        <v/>
      </c>
      <c r="T457" s="60">
        <f>IF($C457="","",SUM($N457:$R457))</f>
        <v/>
      </c>
      <c r="U457" s="60">
        <f>IF($C457="","",$S457-$T457)</f>
        <v/>
      </c>
      <c r="V457" s="40" t="n"/>
      <c r="W457" s="110" t="n"/>
      <c r="X457" s="40" t="n"/>
      <c r="Y457" s="43">
        <f>IF($C457="","",IF(SUMPRODUCT(($C$3:$C$502=$C457)*($A$3:$A$502=$A457)*($B$3:$B$502=$B457))&gt;1,"⚠ مكرر","سليم"))</f>
        <v/>
      </c>
      <c r="Z457">
        <f>IF(AND($C457&lt;&gt;"",$A457=تقرير_الشهر,$B457=تقرير_السنة),SUMPRODUCT(($C$3:$C$502&lt;&gt;"")*($A$3:$A$502=تقرير_الشهر)*($B$3:$B$502=تقرير_السنة)*(ROW($C$3:$C$502)&lt;=ROW())),"")</f>
        <v/>
      </c>
    </row>
    <row r="458">
      <c r="A458" s="47" t="n"/>
      <c r="B458" s="62" t="n"/>
      <c r="C458" s="47" t="n"/>
      <c r="D458" s="50">
        <f>IFERROR(INDEX(الموظفون_الاسم,MATCH($C458,الموظفون_الرقم,0)),"")</f>
        <v/>
      </c>
      <c r="E458" s="50">
        <f>IFERROR(INDEX(الموظفون_الإدارة,MATCH($C458,الموظفون_الرقم,0)),"")</f>
        <v/>
      </c>
      <c r="F458" s="50">
        <f>IFERROR(INDEX(الموظفون_القسم,MATCH($C458,الموظفون_الرقم,0)),"")</f>
        <v/>
      </c>
      <c r="G458" s="63">
        <f>IF($C458="","",IFERROR(INDEX(الموظفون_الاساسي,MATCH($C458,الموظفون_الرقم,0)),0))</f>
        <v/>
      </c>
      <c r="H458" s="49" t="n"/>
      <c r="I458" s="49" t="n"/>
      <c r="J458" s="49" t="n"/>
      <c r="K458" s="49" t="n"/>
      <c r="L458" s="49" t="n"/>
      <c r="M458" s="64" t="n"/>
      <c r="N458" s="49" t="n"/>
      <c r="O458" s="49" t="n"/>
      <c r="P458" s="49" t="n"/>
      <c r="Q458" s="49" t="n"/>
      <c r="R458" s="49" t="n"/>
      <c r="S458" s="63">
        <f>IF($C458="","",SUM($G458:$L458))</f>
        <v/>
      </c>
      <c r="T458" s="63">
        <f>IF($C458="","",SUM($N458:$R458))</f>
        <v/>
      </c>
      <c r="U458" s="63">
        <f>IF($C458="","",$S458-$T458)</f>
        <v/>
      </c>
      <c r="V458" s="47" t="n"/>
      <c r="W458" s="112" t="n"/>
      <c r="X458" s="47" t="n"/>
      <c r="Y458" s="50">
        <f>IF($C458="","",IF(SUMPRODUCT(($C$3:$C$502=$C458)*($A$3:$A$502=$A458)*($B$3:$B$502=$B458))&gt;1,"⚠ مكرر","سليم"))</f>
        <v/>
      </c>
      <c r="Z458">
        <f>IF(AND($C458&lt;&gt;"",$A458=تقرير_الشهر,$B458=تقرير_السنة),SUMPRODUCT(($C$3:$C$502&lt;&gt;"")*($A$3:$A$502=تقرير_الشهر)*($B$3:$B$502=تقرير_السنة)*(ROW($C$3:$C$502)&lt;=ROW())),"")</f>
        <v/>
      </c>
    </row>
    <row r="459">
      <c r="A459" s="40" t="n"/>
      <c r="B459" s="59" t="n"/>
      <c r="C459" s="40" t="n"/>
      <c r="D459" s="43">
        <f>IFERROR(INDEX(الموظفون_الاسم,MATCH($C459,الموظفون_الرقم,0)),"")</f>
        <v/>
      </c>
      <c r="E459" s="43">
        <f>IFERROR(INDEX(الموظفون_الإدارة,MATCH($C459,الموظفون_الرقم,0)),"")</f>
        <v/>
      </c>
      <c r="F459" s="43">
        <f>IFERROR(INDEX(الموظفون_القسم,MATCH($C459,الموظفون_الرقم,0)),"")</f>
        <v/>
      </c>
      <c r="G459" s="60">
        <f>IF($C459="","",IFERROR(INDEX(الموظفون_الاساسي,MATCH($C459,الموظفون_الرقم,0)),0))</f>
        <v/>
      </c>
      <c r="H459" s="42" t="n"/>
      <c r="I459" s="42" t="n"/>
      <c r="J459" s="42" t="n"/>
      <c r="K459" s="42" t="n"/>
      <c r="L459" s="42" t="n"/>
      <c r="M459" s="61" t="n"/>
      <c r="N459" s="42" t="n"/>
      <c r="O459" s="42" t="n"/>
      <c r="P459" s="42" t="n"/>
      <c r="Q459" s="42" t="n"/>
      <c r="R459" s="42" t="n"/>
      <c r="S459" s="60">
        <f>IF($C459="","",SUM($G459:$L459))</f>
        <v/>
      </c>
      <c r="T459" s="60">
        <f>IF($C459="","",SUM($N459:$R459))</f>
        <v/>
      </c>
      <c r="U459" s="60">
        <f>IF($C459="","",$S459-$T459)</f>
        <v/>
      </c>
      <c r="V459" s="40" t="n"/>
      <c r="W459" s="110" t="n"/>
      <c r="X459" s="40" t="n"/>
      <c r="Y459" s="43">
        <f>IF($C459="","",IF(SUMPRODUCT(($C$3:$C$502=$C459)*($A$3:$A$502=$A459)*($B$3:$B$502=$B459))&gt;1,"⚠ مكرر","سليم"))</f>
        <v/>
      </c>
      <c r="Z459">
        <f>IF(AND($C459&lt;&gt;"",$A459=تقرير_الشهر,$B459=تقرير_السنة),SUMPRODUCT(($C$3:$C$502&lt;&gt;"")*($A$3:$A$502=تقرير_الشهر)*($B$3:$B$502=تقرير_السنة)*(ROW($C$3:$C$502)&lt;=ROW())),"")</f>
        <v/>
      </c>
    </row>
    <row r="460">
      <c r="A460" s="47" t="n"/>
      <c r="B460" s="62" t="n"/>
      <c r="C460" s="47" t="n"/>
      <c r="D460" s="50">
        <f>IFERROR(INDEX(الموظفون_الاسم,MATCH($C460,الموظفون_الرقم,0)),"")</f>
        <v/>
      </c>
      <c r="E460" s="50">
        <f>IFERROR(INDEX(الموظفون_الإدارة,MATCH($C460,الموظفون_الرقم,0)),"")</f>
        <v/>
      </c>
      <c r="F460" s="50">
        <f>IFERROR(INDEX(الموظفون_القسم,MATCH($C460,الموظفون_الرقم,0)),"")</f>
        <v/>
      </c>
      <c r="G460" s="63">
        <f>IF($C460="","",IFERROR(INDEX(الموظفون_الاساسي,MATCH($C460,الموظفون_الرقم,0)),0))</f>
        <v/>
      </c>
      <c r="H460" s="49" t="n"/>
      <c r="I460" s="49" t="n"/>
      <c r="J460" s="49" t="n"/>
      <c r="K460" s="49" t="n"/>
      <c r="L460" s="49" t="n"/>
      <c r="M460" s="64" t="n"/>
      <c r="N460" s="49" t="n"/>
      <c r="O460" s="49" t="n"/>
      <c r="P460" s="49" t="n"/>
      <c r="Q460" s="49" t="n"/>
      <c r="R460" s="49" t="n"/>
      <c r="S460" s="63">
        <f>IF($C460="","",SUM($G460:$L460))</f>
        <v/>
      </c>
      <c r="T460" s="63">
        <f>IF($C460="","",SUM($N460:$R460))</f>
        <v/>
      </c>
      <c r="U460" s="63">
        <f>IF($C460="","",$S460-$T460)</f>
        <v/>
      </c>
      <c r="V460" s="47" t="n"/>
      <c r="W460" s="112" t="n"/>
      <c r="X460" s="47" t="n"/>
      <c r="Y460" s="50">
        <f>IF($C460="","",IF(SUMPRODUCT(($C$3:$C$502=$C460)*($A$3:$A$502=$A460)*($B$3:$B$502=$B460))&gt;1,"⚠ مكرر","سليم"))</f>
        <v/>
      </c>
      <c r="Z460">
        <f>IF(AND($C460&lt;&gt;"",$A460=تقرير_الشهر,$B460=تقرير_السنة),SUMPRODUCT(($C$3:$C$502&lt;&gt;"")*($A$3:$A$502=تقرير_الشهر)*($B$3:$B$502=تقرير_السنة)*(ROW($C$3:$C$502)&lt;=ROW())),"")</f>
        <v/>
      </c>
    </row>
    <row r="461">
      <c r="A461" s="40" t="n"/>
      <c r="B461" s="59" t="n"/>
      <c r="C461" s="40" t="n"/>
      <c r="D461" s="43">
        <f>IFERROR(INDEX(الموظفون_الاسم,MATCH($C461,الموظفون_الرقم,0)),"")</f>
        <v/>
      </c>
      <c r="E461" s="43">
        <f>IFERROR(INDEX(الموظفون_الإدارة,MATCH($C461,الموظفون_الرقم,0)),"")</f>
        <v/>
      </c>
      <c r="F461" s="43">
        <f>IFERROR(INDEX(الموظفون_القسم,MATCH($C461,الموظفون_الرقم,0)),"")</f>
        <v/>
      </c>
      <c r="G461" s="60">
        <f>IF($C461="","",IFERROR(INDEX(الموظفون_الاساسي,MATCH($C461,الموظفون_الرقم,0)),0))</f>
        <v/>
      </c>
      <c r="H461" s="42" t="n"/>
      <c r="I461" s="42" t="n"/>
      <c r="J461" s="42" t="n"/>
      <c r="K461" s="42" t="n"/>
      <c r="L461" s="42" t="n"/>
      <c r="M461" s="61" t="n"/>
      <c r="N461" s="42" t="n"/>
      <c r="O461" s="42" t="n"/>
      <c r="P461" s="42" t="n"/>
      <c r="Q461" s="42" t="n"/>
      <c r="R461" s="42" t="n"/>
      <c r="S461" s="60">
        <f>IF($C461="","",SUM($G461:$L461))</f>
        <v/>
      </c>
      <c r="T461" s="60">
        <f>IF($C461="","",SUM($N461:$R461))</f>
        <v/>
      </c>
      <c r="U461" s="60">
        <f>IF($C461="","",$S461-$T461)</f>
        <v/>
      </c>
      <c r="V461" s="40" t="n"/>
      <c r="W461" s="110" t="n"/>
      <c r="X461" s="40" t="n"/>
      <c r="Y461" s="43">
        <f>IF($C461="","",IF(SUMPRODUCT(($C$3:$C$502=$C461)*($A$3:$A$502=$A461)*($B$3:$B$502=$B461))&gt;1,"⚠ مكرر","سليم"))</f>
        <v/>
      </c>
      <c r="Z461">
        <f>IF(AND($C461&lt;&gt;"",$A461=تقرير_الشهر,$B461=تقرير_السنة),SUMPRODUCT(($C$3:$C$502&lt;&gt;"")*($A$3:$A$502=تقرير_الشهر)*($B$3:$B$502=تقرير_السنة)*(ROW($C$3:$C$502)&lt;=ROW())),"")</f>
        <v/>
      </c>
    </row>
    <row r="462">
      <c r="A462" s="47" t="n"/>
      <c r="B462" s="62" t="n"/>
      <c r="C462" s="47" t="n"/>
      <c r="D462" s="50">
        <f>IFERROR(INDEX(الموظفون_الاسم,MATCH($C462,الموظفون_الرقم,0)),"")</f>
        <v/>
      </c>
      <c r="E462" s="50">
        <f>IFERROR(INDEX(الموظفون_الإدارة,MATCH($C462,الموظفون_الرقم,0)),"")</f>
        <v/>
      </c>
      <c r="F462" s="50">
        <f>IFERROR(INDEX(الموظفون_القسم,MATCH($C462,الموظفون_الرقم,0)),"")</f>
        <v/>
      </c>
      <c r="G462" s="63">
        <f>IF($C462="","",IFERROR(INDEX(الموظفون_الاساسي,MATCH($C462,الموظفون_الرقم,0)),0))</f>
        <v/>
      </c>
      <c r="H462" s="49" t="n"/>
      <c r="I462" s="49" t="n"/>
      <c r="J462" s="49" t="n"/>
      <c r="K462" s="49" t="n"/>
      <c r="L462" s="49" t="n"/>
      <c r="M462" s="64" t="n"/>
      <c r="N462" s="49" t="n"/>
      <c r="O462" s="49" t="n"/>
      <c r="P462" s="49" t="n"/>
      <c r="Q462" s="49" t="n"/>
      <c r="R462" s="49" t="n"/>
      <c r="S462" s="63">
        <f>IF($C462="","",SUM($G462:$L462))</f>
        <v/>
      </c>
      <c r="T462" s="63">
        <f>IF($C462="","",SUM($N462:$R462))</f>
        <v/>
      </c>
      <c r="U462" s="63">
        <f>IF($C462="","",$S462-$T462)</f>
        <v/>
      </c>
      <c r="V462" s="47" t="n"/>
      <c r="W462" s="112" t="n"/>
      <c r="X462" s="47" t="n"/>
      <c r="Y462" s="50">
        <f>IF($C462="","",IF(SUMPRODUCT(($C$3:$C$502=$C462)*($A$3:$A$502=$A462)*($B$3:$B$502=$B462))&gt;1,"⚠ مكرر","سليم"))</f>
        <v/>
      </c>
      <c r="Z462">
        <f>IF(AND($C462&lt;&gt;"",$A462=تقرير_الشهر,$B462=تقرير_السنة),SUMPRODUCT(($C$3:$C$502&lt;&gt;"")*($A$3:$A$502=تقرير_الشهر)*($B$3:$B$502=تقرير_السنة)*(ROW($C$3:$C$502)&lt;=ROW())),"")</f>
        <v/>
      </c>
    </row>
    <row r="463">
      <c r="A463" s="40" t="n"/>
      <c r="B463" s="59" t="n"/>
      <c r="C463" s="40" t="n"/>
      <c r="D463" s="43">
        <f>IFERROR(INDEX(الموظفون_الاسم,MATCH($C463,الموظفون_الرقم,0)),"")</f>
        <v/>
      </c>
      <c r="E463" s="43">
        <f>IFERROR(INDEX(الموظفون_الإدارة,MATCH($C463,الموظفون_الرقم,0)),"")</f>
        <v/>
      </c>
      <c r="F463" s="43">
        <f>IFERROR(INDEX(الموظفون_القسم,MATCH($C463,الموظفون_الرقم,0)),"")</f>
        <v/>
      </c>
      <c r="G463" s="60">
        <f>IF($C463="","",IFERROR(INDEX(الموظفون_الاساسي,MATCH($C463,الموظفون_الرقم,0)),0))</f>
        <v/>
      </c>
      <c r="H463" s="42" t="n"/>
      <c r="I463" s="42" t="n"/>
      <c r="J463" s="42" t="n"/>
      <c r="K463" s="42" t="n"/>
      <c r="L463" s="42" t="n"/>
      <c r="M463" s="61" t="n"/>
      <c r="N463" s="42" t="n"/>
      <c r="O463" s="42" t="n"/>
      <c r="P463" s="42" t="n"/>
      <c r="Q463" s="42" t="n"/>
      <c r="R463" s="42" t="n"/>
      <c r="S463" s="60">
        <f>IF($C463="","",SUM($G463:$L463))</f>
        <v/>
      </c>
      <c r="T463" s="60">
        <f>IF($C463="","",SUM($N463:$R463))</f>
        <v/>
      </c>
      <c r="U463" s="60">
        <f>IF($C463="","",$S463-$T463)</f>
        <v/>
      </c>
      <c r="V463" s="40" t="n"/>
      <c r="W463" s="110" t="n"/>
      <c r="X463" s="40" t="n"/>
      <c r="Y463" s="43">
        <f>IF($C463="","",IF(SUMPRODUCT(($C$3:$C$502=$C463)*($A$3:$A$502=$A463)*($B$3:$B$502=$B463))&gt;1,"⚠ مكرر","سليم"))</f>
        <v/>
      </c>
      <c r="Z463">
        <f>IF(AND($C463&lt;&gt;"",$A463=تقرير_الشهر,$B463=تقرير_السنة),SUMPRODUCT(($C$3:$C$502&lt;&gt;"")*($A$3:$A$502=تقرير_الشهر)*($B$3:$B$502=تقرير_السنة)*(ROW($C$3:$C$502)&lt;=ROW())),"")</f>
        <v/>
      </c>
    </row>
    <row r="464">
      <c r="A464" s="47" t="n"/>
      <c r="B464" s="62" t="n"/>
      <c r="C464" s="47" t="n"/>
      <c r="D464" s="50">
        <f>IFERROR(INDEX(الموظفون_الاسم,MATCH($C464,الموظفون_الرقم,0)),"")</f>
        <v/>
      </c>
      <c r="E464" s="50">
        <f>IFERROR(INDEX(الموظفون_الإدارة,MATCH($C464,الموظفون_الرقم,0)),"")</f>
        <v/>
      </c>
      <c r="F464" s="50">
        <f>IFERROR(INDEX(الموظفون_القسم,MATCH($C464,الموظفون_الرقم,0)),"")</f>
        <v/>
      </c>
      <c r="G464" s="63">
        <f>IF($C464="","",IFERROR(INDEX(الموظفون_الاساسي,MATCH($C464,الموظفون_الرقم,0)),0))</f>
        <v/>
      </c>
      <c r="H464" s="49" t="n"/>
      <c r="I464" s="49" t="n"/>
      <c r="J464" s="49" t="n"/>
      <c r="K464" s="49" t="n"/>
      <c r="L464" s="49" t="n"/>
      <c r="M464" s="64" t="n"/>
      <c r="N464" s="49" t="n"/>
      <c r="O464" s="49" t="n"/>
      <c r="P464" s="49" t="n"/>
      <c r="Q464" s="49" t="n"/>
      <c r="R464" s="49" t="n"/>
      <c r="S464" s="63">
        <f>IF($C464="","",SUM($G464:$L464))</f>
        <v/>
      </c>
      <c r="T464" s="63">
        <f>IF($C464="","",SUM($N464:$R464))</f>
        <v/>
      </c>
      <c r="U464" s="63">
        <f>IF($C464="","",$S464-$T464)</f>
        <v/>
      </c>
      <c r="V464" s="47" t="n"/>
      <c r="W464" s="112" t="n"/>
      <c r="X464" s="47" t="n"/>
      <c r="Y464" s="50">
        <f>IF($C464="","",IF(SUMPRODUCT(($C$3:$C$502=$C464)*($A$3:$A$502=$A464)*($B$3:$B$502=$B464))&gt;1,"⚠ مكرر","سليم"))</f>
        <v/>
      </c>
      <c r="Z464">
        <f>IF(AND($C464&lt;&gt;"",$A464=تقرير_الشهر,$B464=تقرير_السنة),SUMPRODUCT(($C$3:$C$502&lt;&gt;"")*($A$3:$A$502=تقرير_الشهر)*($B$3:$B$502=تقرير_السنة)*(ROW($C$3:$C$502)&lt;=ROW())),"")</f>
        <v/>
      </c>
    </row>
    <row r="465">
      <c r="A465" s="40" t="n"/>
      <c r="B465" s="59" t="n"/>
      <c r="C465" s="40" t="n"/>
      <c r="D465" s="43">
        <f>IFERROR(INDEX(الموظفون_الاسم,MATCH($C465,الموظفون_الرقم,0)),"")</f>
        <v/>
      </c>
      <c r="E465" s="43">
        <f>IFERROR(INDEX(الموظفون_الإدارة,MATCH($C465,الموظفون_الرقم,0)),"")</f>
        <v/>
      </c>
      <c r="F465" s="43">
        <f>IFERROR(INDEX(الموظفون_القسم,MATCH($C465,الموظفون_الرقم,0)),"")</f>
        <v/>
      </c>
      <c r="G465" s="60">
        <f>IF($C465="","",IFERROR(INDEX(الموظفون_الاساسي,MATCH($C465,الموظفون_الرقم,0)),0))</f>
        <v/>
      </c>
      <c r="H465" s="42" t="n"/>
      <c r="I465" s="42" t="n"/>
      <c r="J465" s="42" t="n"/>
      <c r="K465" s="42" t="n"/>
      <c r="L465" s="42" t="n"/>
      <c r="M465" s="61" t="n"/>
      <c r="N465" s="42" t="n"/>
      <c r="O465" s="42" t="n"/>
      <c r="P465" s="42" t="n"/>
      <c r="Q465" s="42" t="n"/>
      <c r="R465" s="42" t="n"/>
      <c r="S465" s="60">
        <f>IF($C465="","",SUM($G465:$L465))</f>
        <v/>
      </c>
      <c r="T465" s="60">
        <f>IF($C465="","",SUM($N465:$R465))</f>
        <v/>
      </c>
      <c r="U465" s="60">
        <f>IF($C465="","",$S465-$T465)</f>
        <v/>
      </c>
      <c r="V465" s="40" t="n"/>
      <c r="W465" s="110" t="n"/>
      <c r="X465" s="40" t="n"/>
      <c r="Y465" s="43">
        <f>IF($C465="","",IF(SUMPRODUCT(($C$3:$C$502=$C465)*($A$3:$A$502=$A465)*($B$3:$B$502=$B465))&gt;1,"⚠ مكرر","سليم"))</f>
        <v/>
      </c>
      <c r="Z465">
        <f>IF(AND($C465&lt;&gt;"",$A465=تقرير_الشهر,$B465=تقرير_السنة),SUMPRODUCT(($C$3:$C$502&lt;&gt;"")*($A$3:$A$502=تقرير_الشهر)*($B$3:$B$502=تقرير_السنة)*(ROW($C$3:$C$502)&lt;=ROW())),"")</f>
        <v/>
      </c>
    </row>
    <row r="466">
      <c r="A466" s="47" t="n"/>
      <c r="B466" s="62" t="n"/>
      <c r="C466" s="47" t="n"/>
      <c r="D466" s="50">
        <f>IFERROR(INDEX(الموظفون_الاسم,MATCH($C466,الموظفون_الرقم,0)),"")</f>
        <v/>
      </c>
      <c r="E466" s="50">
        <f>IFERROR(INDEX(الموظفون_الإدارة,MATCH($C466,الموظفون_الرقم,0)),"")</f>
        <v/>
      </c>
      <c r="F466" s="50">
        <f>IFERROR(INDEX(الموظفون_القسم,MATCH($C466,الموظفون_الرقم,0)),"")</f>
        <v/>
      </c>
      <c r="G466" s="63">
        <f>IF($C466="","",IFERROR(INDEX(الموظفون_الاساسي,MATCH($C466,الموظفون_الرقم,0)),0))</f>
        <v/>
      </c>
      <c r="H466" s="49" t="n"/>
      <c r="I466" s="49" t="n"/>
      <c r="J466" s="49" t="n"/>
      <c r="K466" s="49" t="n"/>
      <c r="L466" s="49" t="n"/>
      <c r="M466" s="64" t="n"/>
      <c r="N466" s="49" t="n"/>
      <c r="O466" s="49" t="n"/>
      <c r="P466" s="49" t="n"/>
      <c r="Q466" s="49" t="n"/>
      <c r="R466" s="49" t="n"/>
      <c r="S466" s="63">
        <f>IF($C466="","",SUM($G466:$L466))</f>
        <v/>
      </c>
      <c r="T466" s="63">
        <f>IF($C466="","",SUM($N466:$R466))</f>
        <v/>
      </c>
      <c r="U466" s="63">
        <f>IF($C466="","",$S466-$T466)</f>
        <v/>
      </c>
      <c r="V466" s="47" t="n"/>
      <c r="W466" s="112" t="n"/>
      <c r="X466" s="47" t="n"/>
      <c r="Y466" s="50">
        <f>IF($C466="","",IF(SUMPRODUCT(($C$3:$C$502=$C466)*($A$3:$A$502=$A466)*($B$3:$B$502=$B466))&gt;1,"⚠ مكرر","سليم"))</f>
        <v/>
      </c>
      <c r="Z466">
        <f>IF(AND($C466&lt;&gt;"",$A466=تقرير_الشهر,$B466=تقرير_السنة),SUMPRODUCT(($C$3:$C$502&lt;&gt;"")*($A$3:$A$502=تقرير_الشهر)*($B$3:$B$502=تقرير_السنة)*(ROW($C$3:$C$502)&lt;=ROW())),"")</f>
        <v/>
      </c>
    </row>
    <row r="467">
      <c r="A467" s="40" t="n"/>
      <c r="B467" s="59" t="n"/>
      <c r="C467" s="40" t="n"/>
      <c r="D467" s="43">
        <f>IFERROR(INDEX(الموظفون_الاسم,MATCH($C467,الموظفون_الرقم,0)),"")</f>
        <v/>
      </c>
      <c r="E467" s="43">
        <f>IFERROR(INDEX(الموظفون_الإدارة,MATCH($C467,الموظفون_الرقم,0)),"")</f>
        <v/>
      </c>
      <c r="F467" s="43">
        <f>IFERROR(INDEX(الموظفون_القسم,MATCH($C467,الموظفون_الرقم,0)),"")</f>
        <v/>
      </c>
      <c r="G467" s="60">
        <f>IF($C467="","",IFERROR(INDEX(الموظفون_الاساسي,MATCH($C467,الموظفون_الرقم,0)),0))</f>
        <v/>
      </c>
      <c r="H467" s="42" t="n"/>
      <c r="I467" s="42" t="n"/>
      <c r="J467" s="42" t="n"/>
      <c r="K467" s="42" t="n"/>
      <c r="L467" s="42" t="n"/>
      <c r="M467" s="61" t="n"/>
      <c r="N467" s="42" t="n"/>
      <c r="O467" s="42" t="n"/>
      <c r="P467" s="42" t="n"/>
      <c r="Q467" s="42" t="n"/>
      <c r="R467" s="42" t="n"/>
      <c r="S467" s="60">
        <f>IF($C467="","",SUM($G467:$L467))</f>
        <v/>
      </c>
      <c r="T467" s="60">
        <f>IF($C467="","",SUM($N467:$R467))</f>
        <v/>
      </c>
      <c r="U467" s="60">
        <f>IF($C467="","",$S467-$T467)</f>
        <v/>
      </c>
      <c r="V467" s="40" t="n"/>
      <c r="W467" s="110" t="n"/>
      <c r="X467" s="40" t="n"/>
      <c r="Y467" s="43">
        <f>IF($C467="","",IF(SUMPRODUCT(($C$3:$C$502=$C467)*($A$3:$A$502=$A467)*($B$3:$B$502=$B467))&gt;1,"⚠ مكرر","سليم"))</f>
        <v/>
      </c>
      <c r="Z467">
        <f>IF(AND($C467&lt;&gt;"",$A467=تقرير_الشهر,$B467=تقرير_السنة),SUMPRODUCT(($C$3:$C$502&lt;&gt;"")*($A$3:$A$502=تقرير_الشهر)*($B$3:$B$502=تقرير_السنة)*(ROW($C$3:$C$502)&lt;=ROW())),"")</f>
        <v/>
      </c>
    </row>
    <row r="468">
      <c r="A468" s="47" t="n"/>
      <c r="B468" s="62" t="n"/>
      <c r="C468" s="47" t="n"/>
      <c r="D468" s="50">
        <f>IFERROR(INDEX(الموظفون_الاسم,MATCH($C468,الموظفون_الرقم,0)),"")</f>
        <v/>
      </c>
      <c r="E468" s="50">
        <f>IFERROR(INDEX(الموظفون_الإدارة,MATCH($C468,الموظفون_الرقم,0)),"")</f>
        <v/>
      </c>
      <c r="F468" s="50">
        <f>IFERROR(INDEX(الموظفون_القسم,MATCH($C468,الموظفون_الرقم,0)),"")</f>
        <v/>
      </c>
      <c r="G468" s="63">
        <f>IF($C468="","",IFERROR(INDEX(الموظفون_الاساسي,MATCH($C468,الموظفون_الرقم,0)),0))</f>
        <v/>
      </c>
      <c r="H468" s="49" t="n"/>
      <c r="I468" s="49" t="n"/>
      <c r="J468" s="49" t="n"/>
      <c r="K468" s="49" t="n"/>
      <c r="L468" s="49" t="n"/>
      <c r="M468" s="64" t="n"/>
      <c r="N468" s="49" t="n"/>
      <c r="O468" s="49" t="n"/>
      <c r="P468" s="49" t="n"/>
      <c r="Q468" s="49" t="n"/>
      <c r="R468" s="49" t="n"/>
      <c r="S468" s="63">
        <f>IF($C468="","",SUM($G468:$L468))</f>
        <v/>
      </c>
      <c r="T468" s="63">
        <f>IF($C468="","",SUM($N468:$R468))</f>
        <v/>
      </c>
      <c r="U468" s="63">
        <f>IF($C468="","",$S468-$T468)</f>
        <v/>
      </c>
      <c r="V468" s="47" t="n"/>
      <c r="W468" s="112" t="n"/>
      <c r="X468" s="47" t="n"/>
      <c r="Y468" s="50">
        <f>IF($C468="","",IF(SUMPRODUCT(($C$3:$C$502=$C468)*($A$3:$A$502=$A468)*($B$3:$B$502=$B468))&gt;1,"⚠ مكرر","سليم"))</f>
        <v/>
      </c>
      <c r="Z468">
        <f>IF(AND($C468&lt;&gt;"",$A468=تقرير_الشهر,$B468=تقرير_السنة),SUMPRODUCT(($C$3:$C$502&lt;&gt;"")*($A$3:$A$502=تقرير_الشهر)*($B$3:$B$502=تقرير_السنة)*(ROW($C$3:$C$502)&lt;=ROW())),"")</f>
        <v/>
      </c>
    </row>
    <row r="469">
      <c r="A469" s="40" t="n"/>
      <c r="B469" s="59" t="n"/>
      <c r="C469" s="40" t="n"/>
      <c r="D469" s="43">
        <f>IFERROR(INDEX(الموظفون_الاسم,MATCH($C469,الموظفون_الرقم,0)),"")</f>
        <v/>
      </c>
      <c r="E469" s="43">
        <f>IFERROR(INDEX(الموظفون_الإدارة,MATCH($C469,الموظفون_الرقم,0)),"")</f>
        <v/>
      </c>
      <c r="F469" s="43">
        <f>IFERROR(INDEX(الموظفون_القسم,MATCH($C469,الموظفون_الرقم,0)),"")</f>
        <v/>
      </c>
      <c r="G469" s="60">
        <f>IF($C469="","",IFERROR(INDEX(الموظفون_الاساسي,MATCH($C469,الموظفون_الرقم,0)),0))</f>
        <v/>
      </c>
      <c r="H469" s="42" t="n"/>
      <c r="I469" s="42" t="n"/>
      <c r="J469" s="42" t="n"/>
      <c r="K469" s="42" t="n"/>
      <c r="L469" s="42" t="n"/>
      <c r="M469" s="61" t="n"/>
      <c r="N469" s="42" t="n"/>
      <c r="O469" s="42" t="n"/>
      <c r="P469" s="42" t="n"/>
      <c r="Q469" s="42" t="n"/>
      <c r="R469" s="42" t="n"/>
      <c r="S469" s="60">
        <f>IF($C469="","",SUM($G469:$L469))</f>
        <v/>
      </c>
      <c r="T469" s="60">
        <f>IF($C469="","",SUM($N469:$R469))</f>
        <v/>
      </c>
      <c r="U469" s="60">
        <f>IF($C469="","",$S469-$T469)</f>
        <v/>
      </c>
      <c r="V469" s="40" t="n"/>
      <c r="W469" s="110" t="n"/>
      <c r="X469" s="40" t="n"/>
      <c r="Y469" s="43">
        <f>IF($C469="","",IF(SUMPRODUCT(($C$3:$C$502=$C469)*($A$3:$A$502=$A469)*($B$3:$B$502=$B469))&gt;1,"⚠ مكرر","سليم"))</f>
        <v/>
      </c>
      <c r="Z469">
        <f>IF(AND($C469&lt;&gt;"",$A469=تقرير_الشهر,$B469=تقرير_السنة),SUMPRODUCT(($C$3:$C$502&lt;&gt;"")*($A$3:$A$502=تقرير_الشهر)*($B$3:$B$502=تقرير_السنة)*(ROW($C$3:$C$502)&lt;=ROW())),"")</f>
        <v/>
      </c>
    </row>
    <row r="470">
      <c r="A470" s="47" t="n"/>
      <c r="B470" s="62" t="n"/>
      <c r="C470" s="47" t="n"/>
      <c r="D470" s="50">
        <f>IFERROR(INDEX(الموظفون_الاسم,MATCH($C470,الموظفون_الرقم,0)),"")</f>
        <v/>
      </c>
      <c r="E470" s="50">
        <f>IFERROR(INDEX(الموظفون_الإدارة,MATCH($C470,الموظفون_الرقم,0)),"")</f>
        <v/>
      </c>
      <c r="F470" s="50">
        <f>IFERROR(INDEX(الموظفون_القسم,MATCH($C470,الموظفون_الرقم,0)),"")</f>
        <v/>
      </c>
      <c r="G470" s="63">
        <f>IF($C470="","",IFERROR(INDEX(الموظفون_الاساسي,MATCH($C470,الموظفون_الرقم,0)),0))</f>
        <v/>
      </c>
      <c r="H470" s="49" t="n"/>
      <c r="I470" s="49" t="n"/>
      <c r="J470" s="49" t="n"/>
      <c r="K470" s="49" t="n"/>
      <c r="L470" s="49" t="n"/>
      <c r="M470" s="64" t="n"/>
      <c r="N470" s="49" t="n"/>
      <c r="O470" s="49" t="n"/>
      <c r="P470" s="49" t="n"/>
      <c r="Q470" s="49" t="n"/>
      <c r="R470" s="49" t="n"/>
      <c r="S470" s="63">
        <f>IF($C470="","",SUM($G470:$L470))</f>
        <v/>
      </c>
      <c r="T470" s="63">
        <f>IF($C470="","",SUM($N470:$R470))</f>
        <v/>
      </c>
      <c r="U470" s="63">
        <f>IF($C470="","",$S470-$T470)</f>
        <v/>
      </c>
      <c r="V470" s="47" t="n"/>
      <c r="W470" s="112" t="n"/>
      <c r="X470" s="47" t="n"/>
      <c r="Y470" s="50">
        <f>IF($C470="","",IF(SUMPRODUCT(($C$3:$C$502=$C470)*($A$3:$A$502=$A470)*($B$3:$B$502=$B470))&gt;1,"⚠ مكرر","سليم"))</f>
        <v/>
      </c>
      <c r="Z470">
        <f>IF(AND($C470&lt;&gt;"",$A470=تقرير_الشهر,$B470=تقرير_السنة),SUMPRODUCT(($C$3:$C$502&lt;&gt;"")*($A$3:$A$502=تقرير_الشهر)*($B$3:$B$502=تقرير_السنة)*(ROW($C$3:$C$502)&lt;=ROW())),"")</f>
        <v/>
      </c>
    </row>
    <row r="471">
      <c r="A471" s="40" t="n"/>
      <c r="B471" s="59" t="n"/>
      <c r="C471" s="40" t="n"/>
      <c r="D471" s="43">
        <f>IFERROR(INDEX(الموظفون_الاسم,MATCH($C471,الموظفون_الرقم,0)),"")</f>
        <v/>
      </c>
      <c r="E471" s="43">
        <f>IFERROR(INDEX(الموظفون_الإدارة,MATCH($C471,الموظفون_الرقم,0)),"")</f>
        <v/>
      </c>
      <c r="F471" s="43">
        <f>IFERROR(INDEX(الموظفون_القسم,MATCH($C471,الموظفون_الرقم,0)),"")</f>
        <v/>
      </c>
      <c r="G471" s="60">
        <f>IF($C471="","",IFERROR(INDEX(الموظفون_الاساسي,MATCH($C471,الموظفون_الرقم,0)),0))</f>
        <v/>
      </c>
      <c r="H471" s="42" t="n"/>
      <c r="I471" s="42" t="n"/>
      <c r="J471" s="42" t="n"/>
      <c r="K471" s="42" t="n"/>
      <c r="L471" s="42" t="n"/>
      <c r="M471" s="61" t="n"/>
      <c r="N471" s="42" t="n"/>
      <c r="O471" s="42" t="n"/>
      <c r="P471" s="42" t="n"/>
      <c r="Q471" s="42" t="n"/>
      <c r="R471" s="42" t="n"/>
      <c r="S471" s="60">
        <f>IF($C471="","",SUM($G471:$L471))</f>
        <v/>
      </c>
      <c r="T471" s="60">
        <f>IF($C471="","",SUM($N471:$R471))</f>
        <v/>
      </c>
      <c r="U471" s="60">
        <f>IF($C471="","",$S471-$T471)</f>
        <v/>
      </c>
      <c r="V471" s="40" t="n"/>
      <c r="W471" s="110" t="n"/>
      <c r="X471" s="40" t="n"/>
      <c r="Y471" s="43">
        <f>IF($C471="","",IF(SUMPRODUCT(($C$3:$C$502=$C471)*($A$3:$A$502=$A471)*($B$3:$B$502=$B471))&gt;1,"⚠ مكرر","سليم"))</f>
        <v/>
      </c>
      <c r="Z471">
        <f>IF(AND($C471&lt;&gt;"",$A471=تقرير_الشهر,$B471=تقرير_السنة),SUMPRODUCT(($C$3:$C$502&lt;&gt;"")*($A$3:$A$502=تقرير_الشهر)*($B$3:$B$502=تقرير_السنة)*(ROW($C$3:$C$502)&lt;=ROW())),"")</f>
        <v/>
      </c>
    </row>
    <row r="472">
      <c r="A472" s="47" t="n"/>
      <c r="B472" s="62" t="n"/>
      <c r="C472" s="47" t="n"/>
      <c r="D472" s="50">
        <f>IFERROR(INDEX(الموظفون_الاسم,MATCH($C472,الموظفون_الرقم,0)),"")</f>
        <v/>
      </c>
      <c r="E472" s="50">
        <f>IFERROR(INDEX(الموظفون_الإدارة,MATCH($C472,الموظفون_الرقم,0)),"")</f>
        <v/>
      </c>
      <c r="F472" s="50">
        <f>IFERROR(INDEX(الموظفون_القسم,MATCH($C472,الموظفون_الرقم,0)),"")</f>
        <v/>
      </c>
      <c r="G472" s="63">
        <f>IF($C472="","",IFERROR(INDEX(الموظفون_الاساسي,MATCH($C472,الموظفون_الرقم,0)),0))</f>
        <v/>
      </c>
      <c r="H472" s="49" t="n"/>
      <c r="I472" s="49" t="n"/>
      <c r="J472" s="49" t="n"/>
      <c r="K472" s="49" t="n"/>
      <c r="L472" s="49" t="n"/>
      <c r="M472" s="64" t="n"/>
      <c r="N472" s="49" t="n"/>
      <c r="O472" s="49" t="n"/>
      <c r="P472" s="49" t="n"/>
      <c r="Q472" s="49" t="n"/>
      <c r="R472" s="49" t="n"/>
      <c r="S472" s="63">
        <f>IF($C472="","",SUM($G472:$L472))</f>
        <v/>
      </c>
      <c r="T472" s="63">
        <f>IF($C472="","",SUM($N472:$R472))</f>
        <v/>
      </c>
      <c r="U472" s="63">
        <f>IF($C472="","",$S472-$T472)</f>
        <v/>
      </c>
      <c r="V472" s="47" t="n"/>
      <c r="W472" s="112" t="n"/>
      <c r="X472" s="47" t="n"/>
      <c r="Y472" s="50">
        <f>IF($C472="","",IF(SUMPRODUCT(($C$3:$C$502=$C472)*($A$3:$A$502=$A472)*($B$3:$B$502=$B472))&gt;1,"⚠ مكرر","سليم"))</f>
        <v/>
      </c>
      <c r="Z472">
        <f>IF(AND($C472&lt;&gt;"",$A472=تقرير_الشهر,$B472=تقرير_السنة),SUMPRODUCT(($C$3:$C$502&lt;&gt;"")*($A$3:$A$502=تقرير_الشهر)*($B$3:$B$502=تقرير_السنة)*(ROW($C$3:$C$502)&lt;=ROW())),"")</f>
        <v/>
      </c>
    </row>
    <row r="473">
      <c r="A473" s="40" t="n"/>
      <c r="B473" s="59" t="n"/>
      <c r="C473" s="40" t="n"/>
      <c r="D473" s="43">
        <f>IFERROR(INDEX(الموظفون_الاسم,MATCH($C473,الموظفون_الرقم,0)),"")</f>
        <v/>
      </c>
      <c r="E473" s="43">
        <f>IFERROR(INDEX(الموظفون_الإدارة,MATCH($C473,الموظفون_الرقم,0)),"")</f>
        <v/>
      </c>
      <c r="F473" s="43">
        <f>IFERROR(INDEX(الموظفون_القسم,MATCH($C473,الموظفون_الرقم,0)),"")</f>
        <v/>
      </c>
      <c r="G473" s="60">
        <f>IF($C473="","",IFERROR(INDEX(الموظفون_الاساسي,MATCH($C473,الموظفون_الرقم,0)),0))</f>
        <v/>
      </c>
      <c r="H473" s="42" t="n"/>
      <c r="I473" s="42" t="n"/>
      <c r="J473" s="42" t="n"/>
      <c r="K473" s="42" t="n"/>
      <c r="L473" s="42" t="n"/>
      <c r="M473" s="61" t="n"/>
      <c r="N473" s="42" t="n"/>
      <c r="O473" s="42" t="n"/>
      <c r="P473" s="42" t="n"/>
      <c r="Q473" s="42" t="n"/>
      <c r="R473" s="42" t="n"/>
      <c r="S473" s="60">
        <f>IF($C473="","",SUM($G473:$L473))</f>
        <v/>
      </c>
      <c r="T473" s="60">
        <f>IF($C473="","",SUM($N473:$R473))</f>
        <v/>
      </c>
      <c r="U473" s="60">
        <f>IF($C473="","",$S473-$T473)</f>
        <v/>
      </c>
      <c r="V473" s="40" t="n"/>
      <c r="W473" s="110" t="n"/>
      <c r="X473" s="40" t="n"/>
      <c r="Y473" s="43">
        <f>IF($C473="","",IF(SUMPRODUCT(($C$3:$C$502=$C473)*($A$3:$A$502=$A473)*($B$3:$B$502=$B473))&gt;1,"⚠ مكرر","سليم"))</f>
        <v/>
      </c>
      <c r="Z473">
        <f>IF(AND($C473&lt;&gt;"",$A473=تقرير_الشهر,$B473=تقرير_السنة),SUMPRODUCT(($C$3:$C$502&lt;&gt;"")*($A$3:$A$502=تقرير_الشهر)*($B$3:$B$502=تقرير_السنة)*(ROW($C$3:$C$502)&lt;=ROW())),"")</f>
        <v/>
      </c>
    </row>
    <row r="474">
      <c r="A474" s="47" t="n"/>
      <c r="B474" s="62" t="n"/>
      <c r="C474" s="47" t="n"/>
      <c r="D474" s="50">
        <f>IFERROR(INDEX(الموظفون_الاسم,MATCH($C474,الموظفون_الرقم,0)),"")</f>
        <v/>
      </c>
      <c r="E474" s="50">
        <f>IFERROR(INDEX(الموظفون_الإدارة,MATCH($C474,الموظفون_الرقم,0)),"")</f>
        <v/>
      </c>
      <c r="F474" s="50">
        <f>IFERROR(INDEX(الموظفون_القسم,MATCH($C474,الموظفون_الرقم,0)),"")</f>
        <v/>
      </c>
      <c r="G474" s="63">
        <f>IF($C474="","",IFERROR(INDEX(الموظفون_الاساسي,MATCH($C474,الموظفون_الرقم,0)),0))</f>
        <v/>
      </c>
      <c r="H474" s="49" t="n"/>
      <c r="I474" s="49" t="n"/>
      <c r="J474" s="49" t="n"/>
      <c r="K474" s="49" t="n"/>
      <c r="L474" s="49" t="n"/>
      <c r="M474" s="64" t="n"/>
      <c r="N474" s="49" t="n"/>
      <c r="O474" s="49" t="n"/>
      <c r="P474" s="49" t="n"/>
      <c r="Q474" s="49" t="n"/>
      <c r="R474" s="49" t="n"/>
      <c r="S474" s="63">
        <f>IF($C474="","",SUM($G474:$L474))</f>
        <v/>
      </c>
      <c r="T474" s="63">
        <f>IF($C474="","",SUM($N474:$R474))</f>
        <v/>
      </c>
      <c r="U474" s="63">
        <f>IF($C474="","",$S474-$T474)</f>
        <v/>
      </c>
      <c r="V474" s="47" t="n"/>
      <c r="W474" s="112" t="n"/>
      <c r="X474" s="47" t="n"/>
      <c r="Y474" s="50">
        <f>IF($C474="","",IF(SUMPRODUCT(($C$3:$C$502=$C474)*($A$3:$A$502=$A474)*($B$3:$B$502=$B474))&gt;1,"⚠ مكرر","سليم"))</f>
        <v/>
      </c>
      <c r="Z474">
        <f>IF(AND($C474&lt;&gt;"",$A474=تقرير_الشهر,$B474=تقرير_السنة),SUMPRODUCT(($C$3:$C$502&lt;&gt;"")*($A$3:$A$502=تقرير_الشهر)*($B$3:$B$502=تقرير_السنة)*(ROW($C$3:$C$502)&lt;=ROW())),"")</f>
        <v/>
      </c>
    </row>
    <row r="475">
      <c r="A475" s="40" t="n"/>
      <c r="B475" s="59" t="n"/>
      <c r="C475" s="40" t="n"/>
      <c r="D475" s="43">
        <f>IFERROR(INDEX(الموظفون_الاسم,MATCH($C475,الموظفون_الرقم,0)),"")</f>
        <v/>
      </c>
      <c r="E475" s="43">
        <f>IFERROR(INDEX(الموظفون_الإدارة,MATCH($C475,الموظفون_الرقم,0)),"")</f>
        <v/>
      </c>
      <c r="F475" s="43">
        <f>IFERROR(INDEX(الموظفون_القسم,MATCH($C475,الموظفون_الرقم,0)),"")</f>
        <v/>
      </c>
      <c r="G475" s="60">
        <f>IF($C475="","",IFERROR(INDEX(الموظفون_الاساسي,MATCH($C475,الموظفون_الرقم,0)),0))</f>
        <v/>
      </c>
      <c r="H475" s="42" t="n"/>
      <c r="I475" s="42" t="n"/>
      <c r="J475" s="42" t="n"/>
      <c r="K475" s="42" t="n"/>
      <c r="L475" s="42" t="n"/>
      <c r="M475" s="61" t="n"/>
      <c r="N475" s="42" t="n"/>
      <c r="O475" s="42" t="n"/>
      <c r="P475" s="42" t="n"/>
      <c r="Q475" s="42" t="n"/>
      <c r="R475" s="42" t="n"/>
      <c r="S475" s="60">
        <f>IF($C475="","",SUM($G475:$L475))</f>
        <v/>
      </c>
      <c r="T475" s="60">
        <f>IF($C475="","",SUM($N475:$R475))</f>
        <v/>
      </c>
      <c r="U475" s="60">
        <f>IF($C475="","",$S475-$T475)</f>
        <v/>
      </c>
      <c r="V475" s="40" t="n"/>
      <c r="W475" s="110" t="n"/>
      <c r="X475" s="40" t="n"/>
      <c r="Y475" s="43">
        <f>IF($C475="","",IF(SUMPRODUCT(($C$3:$C$502=$C475)*($A$3:$A$502=$A475)*($B$3:$B$502=$B475))&gt;1,"⚠ مكرر","سليم"))</f>
        <v/>
      </c>
      <c r="Z475">
        <f>IF(AND($C475&lt;&gt;"",$A475=تقرير_الشهر,$B475=تقرير_السنة),SUMPRODUCT(($C$3:$C$502&lt;&gt;"")*($A$3:$A$502=تقرير_الشهر)*($B$3:$B$502=تقرير_السنة)*(ROW($C$3:$C$502)&lt;=ROW())),"")</f>
        <v/>
      </c>
    </row>
    <row r="476">
      <c r="A476" s="47" t="n"/>
      <c r="B476" s="62" t="n"/>
      <c r="C476" s="47" t="n"/>
      <c r="D476" s="50">
        <f>IFERROR(INDEX(الموظفون_الاسم,MATCH($C476,الموظفون_الرقم,0)),"")</f>
        <v/>
      </c>
      <c r="E476" s="50">
        <f>IFERROR(INDEX(الموظفون_الإدارة,MATCH($C476,الموظفون_الرقم,0)),"")</f>
        <v/>
      </c>
      <c r="F476" s="50">
        <f>IFERROR(INDEX(الموظفون_القسم,MATCH($C476,الموظفون_الرقم,0)),"")</f>
        <v/>
      </c>
      <c r="G476" s="63">
        <f>IF($C476="","",IFERROR(INDEX(الموظفون_الاساسي,MATCH($C476,الموظفون_الرقم,0)),0))</f>
        <v/>
      </c>
      <c r="H476" s="49" t="n"/>
      <c r="I476" s="49" t="n"/>
      <c r="J476" s="49" t="n"/>
      <c r="K476" s="49" t="n"/>
      <c r="L476" s="49" t="n"/>
      <c r="M476" s="64" t="n"/>
      <c r="N476" s="49" t="n"/>
      <c r="O476" s="49" t="n"/>
      <c r="P476" s="49" t="n"/>
      <c r="Q476" s="49" t="n"/>
      <c r="R476" s="49" t="n"/>
      <c r="S476" s="63">
        <f>IF($C476="","",SUM($G476:$L476))</f>
        <v/>
      </c>
      <c r="T476" s="63">
        <f>IF($C476="","",SUM($N476:$R476))</f>
        <v/>
      </c>
      <c r="U476" s="63">
        <f>IF($C476="","",$S476-$T476)</f>
        <v/>
      </c>
      <c r="V476" s="47" t="n"/>
      <c r="W476" s="112" t="n"/>
      <c r="X476" s="47" t="n"/>
      <c r="Y476" s="50">
        <f>IF($C476="","",IF(SUMPRODUCT(($C$3:$C$502=$C476)*($A$3:$A$502=$A476)*($B$3:$B$502=$B476))&gt;1,"⚠ مكرر","سليم"))</f>
        <v/>
      </c>
      <c r="Z476">
        <f>IF(AND($C476&lt;&gt;"",$A476=تقرير_الشهر,$B476=تقرير_السنة),SUMPRODUCT(($C$3:$C$502&lt;&gt;"")*($A$3:$A$502=تقرير_الشهر)*($B$3:$B$502=تقرير_السنة)*(ROW($C$3:$C$502)&lt;=ROW())),"")</f>
        <v/>
      </c>
    </row>
    <row r="477">
      <c r="A477" s="40" t="n"/>
      <c r="B477" s="59" t="n"/>
      <c r="C477" s="40" t="n"/>
      <c r="D477" s="43">
        <f>IFERROR(INDEX(الموظفون_الاسم,MATCH($C477,الموظفون_الرقم,0)),"")</f>
        <v/>
      </c>
      <c r="E477" s="43">
        <f>IFERROR(INDEX(الموظفون_الإدارة,MATCH($C477,الموظفون_الرقم,0)),"")</f>
        <v/>
      </c>
      <c r="F477" s="43">
        <f>IFERROR(INDEX(الموظفون_القسم,MATCH($C477,الموظفون_الرقم,0)),"")</f>
        <v/>
      </c>
      <c r="G477" s="60">
        <f>IF($C477="","",IFERROR(INDEX(الموظفون_الاساسي,MATCH($C477,الموظفون_الرقم,0)),0))</f>
        <v/>
      </c>
      <c r="H477" s="42" t="n"/>
      <c r="I477" s="42" t="n"/>
      <c r="J477" s="42" t="n"/>
      <c r="K477" s="42" t="n"/>
      <c r="L477" s="42" t="n"/>
      <c r="M477" s="61" t="n"/>
      <c r="N477" s="42" t="n"/>
      <c r="O477" s="42" t="n"/>
      <c r="P477" s="42" t="n"/>
      <c r="Q477" s="42" t="n"/>
      <c r="R477" s="42" t="n"/>
      <c r="S477" s="60">
        <f>IF($C477="","",SUM($G477:$L477))</f>
        <v/>
      </c>
      <c r="T477" s="60">
        <f>IF($C477="","",SUM($N477:$R477))</f>
        <v/>
      </c>
      <c r="U477" s="60">
        <f>IF($C477="","",$S477-$T477)</f>
        <v/>
      </c>
      <c r="V477" s="40" t="n"/>
      <c r="W477" s="110" t="n"/>
      <c r="X477" s="40" t="n"/>
      <c r="Y477" s="43">
        <f>IF($C477="","",IF(SUMPRODUCT(($C$3:$C$502=$C477)*($A$3:$A$502=$A477)*($B$3:$B$502=$B477))&gt;1,"⚠ مكرر","سليم"))</f>
        <v/>
      </c>
      <c r="Z477">
        <f>IF(AND($C477&lt;&gt;"",$A477=تقرير_الشهر,$B477=تقرير_السنة),SUMPRODUCT(($C$3:$C$502&lt;&gt;"")*($A$3:$A$502=تقرير_الشهر)*($B$3:$B$502=تقرير_السنة)*(ROW($C$3:$C$502)&lt;=ROW())),"")</f>
        <v/>
      </c>
    </row>
    <row r="478">
      <c r="A478" s="47" t="n"/>
      <c r="B478" s="62" t="n"/>
      <c r="C478" s="47" t="n"/>
      <c r="D478" s="50">
        <f>IFERROR(INDEX(الموظفون_الاسم,MATCH($C478,الموظفون_الرقم,0)),"")</f>
        <v/>
      </c>
      <c r="E478" s="50">
        <f>IFERROR(INDEX(الموظفون_الإدارة,MATCH($C478,الموظفون_الرقم,0)),"")</f>
        <v/>
      </c>
      <c r="F478" s="50">
        <f>IFERROR(INDEX(الموظفون_القسم,MATCH($C478,الموظفون_الرقم,0)),"")</f>
        <v/>
      </c>
      <c r="G478" s="63">
        <f>IF($C478="","",IFERROR(INDEX(الموظفون_الاساسي,MATCH($C478,الموظفون_الرقم,0)),0))</f>
        <v/>
      </c>
      <c r="H478" s="49" t="n"/>
      <c r="I478" s="49" t="n"/>
      <c r="J478" s="49" t="n"/>
      <c r="K478" s="49" t="n"/>
      <c r="L478" s="49" t="n"/>
      <c r="M478" s="64" t="n"/>
      <c r="N478" s="49" t="n"/>
      <c r="O478" s="49" t="n"/>
      <c r="P478" s="49" t="n"/>
      <c r="Q478" s="49" t="n"/>
      <c r="R478" s="49" t="n"/>
      <c r="S478" s="63">
        <f>IF($C478="","",SUM($G478:$L478))</f>
        <v/>
      </c>
      <c r="T478" s="63">
        <f>IF($C478="","",SUM($N478:$R478))</f>
        <v/>
      </c>
      <c r="U478" s="63">
        <f>IF($C478="","",$S478-$T478)</f>
        <v/>
      </c>
      <c r="V478" s="47" t="n"/>
      <c r="W478" s="112" t="n"/>
      <c r="X478" s="47" t="n"/>
      <c r="Y478" s="50">
        <f>IF($C478="","",IF(SUMPRODUCT(($C$3:$C$502=$C478)*($A$3:$A$502=$A478)*($B$3:$B$502=$B478))&gt;1,"⚠ مكرر","سليم"))</f>
        <v/>
      </c>
      <c r="Z478">
        <f>IF(AND($C478&lt;&gt;"",$A478=تقرير_الشهر,$B478=تقرير_السنة),SUMPRODUCT(($C$3:$C$502&lt;&gt;"")*($A$3:$A$502=تقرير_الشهر)*($B$3:$B$502=تقرير_السنة)*(ROW($C$3:$C$502)&lt;=ROW())),"")</f>
        <v/>
      </c>
    </row>
    <row r="479">
      <c r="A479" s="40" t="n"/>
      <c r="B479" s="59" t="n"/>
      <c r="C479" s="40" t="n"/>
      <c r="D479" s="43">
        <f>IFERROR(INDEX(الموظفون_الاسم,MATCH($C479,الموظفون_الرقم,0)),"")</f>
        <v/>
      </c>
      <c r="E479" s="43">
        <f>IFERROR(INDEX(الموظفون_الإدارة,MATCH($C479,الموظفون_الرقم,0)),"")</f>
        <v/>
      </c>
      <c r="F479" s="43">
        <f>IFERROR(INDEX(الموظفون_القسم,MATCH($C479,الموظفون_الرقم,0)),"")</f>
        <v/>
      </c>
      <c r="G479" s="60">
        <f>IF($C479="","",IFERROR(INDEX(الموظفون_الاساسي,MATCH($C479,الموظفون_الرقم,0)),0))</f>
        <v/>
      </c>
      <c r="H479" s="42" t="n"/>
      <c r="I479" s="42" t="n"/>
      <c r="J479" s="42" t="n"/>
      <c r="K479" s="42" t="n"/>
      <c r="L479" s="42" t="n"/>
      <c r="M479" s="61" t="n"/>
      <c r="N479" s="42" t="n"/>
      <c r="O479" s="42" t="n"/>
      <c r="P479" s="42" t="n"/>
      <c r="Q479" s="42" t="n"/>
      <c r="R479" s="42" t="n"/>
      <c r="S479" s="60">
        <f>IF($C479="","",SUM($G479:$L479))</f>
        <v/>
      </c>
      <c r="T479" s="60">
        <f>IF($C479="","",SUM($N479:$R479))</f>
        <v/>
      </c>
      <c r="U479" s="60">
        <f>IF($C479="","",$S479-$T479)</f>
        <v/>
      </c>
      <c r="V479" s="40" t="n"/>
      <c r="W479" s="110" t="n"/>
      <c r="X479" s="40" t="n"/>
      <c r="Y479" s="43">
        <f>IF($C479="","",IF(SUMPRODUCT(($C$3:$C$502=$C479)*($A$3:$A$502=$A479)*($B$3:$B$502=$B479))&gt;1,"⚠ مكرر","سليم"))</f>
        <v/>
      </c>
      <c r="Z479">
        <f>IF(AND($C479&lt;&gt;"",$A479=تقرير_الشهر,$B479=تقرير_السنة),SUMPRODUCT(($C$3:$C$502&lt;&gt;"")*($A$3:$A$502=تقرير_الشهر)*($B$3:$B$502=تقرير_السنة)*(ROW($C$3:$C$502)&lt;=ROW())),"")</f>
        <v/>
      </c>
    </row>
    <row r="480">
      <c r="A480" s="47" t="n"/>
      <c r="B480" s="62" t="n"/>
      <c r="C480" s="47" t="n"/>
      <c r="D480" s="50">
        <f>IFERROR(INDEX(الموظفون_الاسم,MATCH($C480,الموظفون_الرقم,0)),"")</f>
        <v/>
      </c>
      <c r="E480" s="50">
        <f>IFERROR(INDEX(الموظفون_الإدارة,MATCH($C480,الموظفون_الرقم,0)),"")</f>
        <v/>
      </c>
      <c r="F480" s="50">
        <f>IFERROR(INDEX(الموظفون_القسم,MATCH($C480,الموظفون_الرقم,0)),"")</f>
        <v/>
      </c>
      <c r="G480" s="63">
        <f>IF($C480="","",IFERROR(INDEX(الموظفون_الاساسي,MATCH($C480,الموظفون_الرقم,0)),0))</f>
        <v/>
      </c>
      <c r="H480" s="49" t="n"/>
      <c r="I480" s="49" t="n"/>
      <c r="J480" s="49" t="n"/>
      <c r="K480" s="49" t="n"/>
      <c r="L480" s="49" t="n"/>
      <c r="M480" s="64" t="n"/>
      <c r="N480" s="49" t="n"/>
      <c r="O480" s="49" t="n"/>
      <c r="P480" s="49" t="n"/>
      <c r="Q480" s="49" t="n"/>
      <c r="R480" s="49" t="n"/>
      <c r="S480" s="63">
        <f>IF($C480="","",SUM($G480:$L480))</f>
        <v/>
      </c>
      <c r="T480" s="63">
        <f>IF($C480="","",SUM($N480:$R480))</f>
        <v/>
      </c>
      <c r="U480" s="63">
        <f>IF($C480="","",$S480-$T480)</f>
        <v/>
      </c>
      <c r="V480" s="47" t="n"/>
      <c r="W480" s="112" t="n"/>
      <c r="X480" s="47" t="n"/>
      <c r="Y480" s="50">
        <f>IF($C480="","",IF(SUMPRODUCT(($C$3:$C$502=$C480)*($A$3:$A$502=$A480)*($B$3:$B$502=$B480))&gt;1,"⚠ مكرر","سليم"))</f>
        <v/>
      </c>
      <c r="Z480">
        <f>IF(AND($C480&lt;&gt;"",$A480=تقرير_الشهر,$B480=تقرير_السنة),SUMPRODUCT(($C$3:$C$502&lt;&gt;"")*($A$3:$A$502=تقرير_الشهر)*($B$3:$B$502=تقرير_السنة)*(ROW($C$3:$C$502)&lt;=ROW())),"")</f>
        <v/>
      </c>
    </row>
    <row r="481">
      <c r="A481" s="40" t="n"/>
      <c r="B481" s="59" t="n"/>
      <c r="C481" s="40" t="n"/>
      <c r="D481" s="43">
        <f>IFERROR(INDEX(الموظفون_الاسم,MATCH($C481,الموظفون_الرقم,0)),"")</f>
        <v/>
      </c>
      <c r="E481" s="43">
        <f>IFERROR(INDEX(الموظفون_الإدارة,MATCH($C481,الموظفون_الرقم,0)),"")</f>
        <v/>
      </c>
      <c r="F481" s="43">
        <f>IFERROR(INDEX(الموظفون_القسم,MATCH($C481,الموظفون_الرقم,0)),"")</f>
        <v/>
      </c>
      <c r="G481" s="60">
        <f>IF($C481="","",IFERROR(INDEX(الموظفون_الاساسي,MATCH($C481,الموظفون_الرقم,0)),0))</f>
        <v/>
      </c>
      <c r="H481" s="42" t="n"/>
      <c r="I481" s="42" t="n"/>
      <c r="J481" s="42" t="n"/>
      <c r="K481" s="42" t="n"/>
      <c r="L481" s="42" t="n"/>
      <c r="M481" s="61" t="n"/>
      <c r="N481" s="42" t="n"/>
      <c r="O481" s="42" t="n"/>
      <c r="P481" s="42" t="n"/>
      <c r="Q481" s="42" t="n"/>
      <c r="R481" s="42" t="n"/>
      <c r="S481" s="60">
        <f>IF($C481="","",SUM($G481:$L481))</f>
        <v/>
      </c>
      <c r="T481" s="60">
        <f>IF($C481="","",SUM($N481:$R481))</f>
        <v/>
      </c>
      <c r="U481" s="60">
        <f>IF($C481="","",$S481-$T481)</f>
        <v/>
      </c>
      <c r="V481" s="40" t="n"/>
      <c r="W481" s="110" t="n"/>
      <c r="X481" s="40" t="n"/>
      <c r="Y481" s="43">
        <f>IF($C481="","",IF(SUMPRODUCT(($C$3:$C$502=$C481)*($A$3:$A$502=$A481)*($B$3:$B$502=$B481))&gt;1,"⚠ مكرر","سليم"))</f>
        <v/>
      </c>
      <c r="Z481">
        <f>IF(AND($C481&lt;&gt;"",$A481=تقرير_الشهر,$B481=تقرير_السنة),SUMPRODUCT(($C$3:$C$502&lt;&gt;"")*($A$3:$A$502=تقرير_الشهر)*($B$3:$B$502=تقرير_السنة)*(ROW($C$3:$C$502)&lt;=ROW())),"")</f>
        <v/>
      </c>
    </row>
    <row r="482">
      <c r="A482" s="47" t="n"/>
      <c r="B482" s="62" t="n"/>
      <c r="C482" s="47" t="n"/>
      <c r="D482" s="50">
        <f>IFERROR(INDEX(الموظفون_الاسم,MATCH($C482,الموظفون_الرقم,0)),"")</f>
        <v/>
      </c>
      <c r="E482" s="50">
        <f>IFERROR(INDEX(الموظفون_الإدارة,MATCH($C482,الموظفون_الرقم,0)),"")</f>
        <v/>
      </c>
      <c r="F482" s="50">
        <f>IFERROR(INDEX(الموظفون_القسم,MATCH($C482,الموظفون_الرقم,0)),"")</f>
        <v/>
      </c>
      <c r="G482" s="63">
        <f>IF($C482="","",IFERROR(INDEX(الموظفون_الاساسي,MATCH($C482,الموظفون_الرقم,0)),0))</f>
        <v/>
      </c>
      <c r="H482" s="49" t="n"/>
      <c r="I482" s="49" t="n"/>
      <c r="J482" s="49" t="n"/>
      <c r="K482" s="49" t="n"/>
      <c r="L482" s="49" t="n"/>
      <c r="M482" s="64" t="n"/>
      <c r="N482" s="49" t="n"/>
      <c r="O482" s="49" t="n"/>
      <c r="P482" s="49" t="n"/>
      <c r="Q482" s="49" t="n"/>
      <c r="R482" s="49" t="n"/>
      <c r="S482" s="63">
        <f>IF($C482="","",SUM($G482:$L482))</f>
        <v/>
      </c>
      <c r="T482" s="63">
        <f>IF($C482="","",SUM($N482:$R482))</f>
        <v/>
      </c>
      <c r="U482" s="63">
        <f>IF($C482="","",$S482-$T482)</f>
        <v/>
      </c>
      <c r="V482" s="47" t="n"/>
      <c r="W482" s="112" t="n"/>
      <c r="X482" s="47" t="n"/>
      <c r="Y482" s="50">
        <f>IF($C482="","",IF(SUMPRODUCT(($C$3:$C$502=$C482)*($A$3:$A$502=$A482)*($B$3:$B$502=$B482))&gt;1,"⚠ مكرر","سليم"))</f>
        <v/>
      </c>
      <c r="Z482">
        <f>IF(AND($C482&lt;&gt;"",$A482=تقرير_الشهر,$B482=تقرير_السنة),SUMPRODUCT(($C$3:$C$502&lt;&gt;"")*($A$3:$A$502=تقرير_الشهر)*($B$3:$B$502=تقرير_السنة)*(ROW($C$3:$C$502)&lt;=ROW())),"")</f>
        <v/>
      </c>
    </row>
    <row r="483">
      <c r="A483" s="40" t="n"/>
      <c r="B483" s="59" t="n"/>
      <c r="C483" s="40" t="n"/>
      <c r="D483" s="43">
        <f>IFERROR(INDEX(الموظفون_الاسم,MATCH($C483,الموظفون_الرقم,0)),"")</f>
        <v/>
      </c>
      <c r="E483" s="43">
        <f>IFERROR(INDEX(الموظفون_الإدارة,MATCH($C483,الموظفون_الرقم,0)),"")</f>
        <v/>
      </c>
      <c r="F483" s="43">
        <f>IFERROR(INDEX(الموظفون_القسم,MATCH($C483,الموظفون_الرقم,0)),"")</f>
        <v/>
      </c>
      <c r="G483" s="60">
        <f>IF($C483="","",IFERROR(INDEX(الموظفون_الاساسي,MATCH($C483,الموظفون_الرقم,0)),0))</f>
        <v/>
      </c>
      <c r="H483" s="42" t="n"/>
      <c r="I483" s="42" t="n"/>
      <c r="J483" s="42" t="n"/>
      <c r="K483" s="42" t="n"/>
      <c r="L483" s="42" t="n"/>
      <c r="M483" s="61" t="n"/>
      <c r="N483" s="42" t="n"/>
      <c r="O483" s="42" t="n"/>
      <c r="P483" s="42" t="n"/>
      <c r="Q483" s="42" t="n"/>
      <c r="R483" s="42" t="n"/>
      <c r="S483" s="60">
        <f>IF($C483="","",SUM($G483:$L483))</f>
        <v/>
      </c>
      <c r="T483" s="60">
        <f>IF($C483="","",SUM($N483:$R483))</f>
        <v/>
      </c>
      <c r="U483" s="60">
        <f>IF($C483="","",$S483-$T483)</f>
        <v/>
      </c>
      <c r="V483" s="40" t="n"/>
      <c r="W483" s="110" t="n"/>
      <c r="X483" s="40" t="n"/>
      <c r="Y483" s="43">
        <f>IF($C483="","",IF(SUMPRODUCT(($C$3:$C$502=$C483)*($A$3:$A$502=$A483)*($B$3:$B$502=$B483))&gt;1,"⚠ مكرر","سليم"))</f>
        <v/>
      </c>
      <c r="Z483">
        <f>IF(AND($C483&lt;&gt;"",$A483=تقرير_الشهر,$B483=تقرير_السنة),SUMPRODUCT(($C$3:$C$502&lt;&gt;"")*($A$3:$A$502=تقرير_الشهر)*($B$3:$B$502=تقرير_السنة)*(ROW($C$3:$C$502)&lt;=ROW())),"")</f>
        <v/>
      </c>
    </row>
    <row r="484">
      <c r="A484" s="47" t="n"/>
      <c r="B484" s="62" t="n"/>
      <c r="C484" s="47" t="n"/>
      <c r="D484" s="50">
        <f>IFERROR(INDEX(الموظفون_الاسم,MATCH($C484,الموظفون_الرقم,0)),"")</f>
        <v/>
      </c>
      <c r="E484" s="50">
        <f>IFERROR(INDEX(الموظفون_الإدارة,MATCH($C484,الموظفون_الرقم,0)),"")</f>
        <v/>
      </c>
      <c r="F484" s="50">
        <f>IFERROR(INDEX(الموظفون_القسم,MATCH($C484,الموظفون_الرقم,0)),"")</f>
        <v/>
      </c>
      <c r="G484" s="63">
        <f>IF($C484="","",IFERROR(INDEX(الموظفون_الاساسي,MATCH($C484,الموظفون_الرقم,0)),0))</f>
        <v/>
      </c>
      <c r="H484" s="49" t="n"/>
      <c r="I484" s="49" t="n"/>
      <c r="J484" s="49" t="n"/>
      <c r="K484" s="49" t="n"/>
      <c r="L484" s="49" t="n"/>
      <c r="M484" s="64" t="n"/>
      <c r="N484" s="49" t="n"/>
      <c r="O484" s="49" t="n"/>
      <c r="P484" s="49" t="n"/>
      <c r="Q484" s="49" t="n"/>
      <c r="R484" s="49" t="n"/>
      <c r="S484" s="63">
        <f>IF($C484="","",SUM($G484:$L484))</f>
        <v/>
      </c>
      <c r="T484" s="63">
        <f>IF($C484="","",SUM($N484:$R484))</f>
        <v/>
      </c>
      <c r="U484" s="63">
        <f>IF($C484="","",$S484-$T484)</f>
        <v/>
      </c>
      <c r="V484" s="47" t="n"/>
      <c r="W484" s="112" t="n"/>
      <c r="X484" s="47" t="n"/>
      <c r="Y484" s="50">
        <f>IF($C484="","",IF(SUMPRODUCT(($C$3:$C$502=$C484)*($A$3:$A$502=$A484)*($B$3:$B$502=$B484))&gt;1,"⚠ مكرر","سليم"))</f>
        <v/>
      </c>
      <c r="Z484">
        <f>IF(AND($C484&lt;&gt;"",$A484=تقرير_الشهر,$B484=تقرير_السنة),SUMPRODUCT(($C$3:$C$502&lt;&gt;"")*($A$3:$A$502=تقرير_الشهر)*($B$3:$B$502=تقرير_السنة)*(ROW($C$3:$C$502)&lt;=ROW())),"")</f>
        <v/>
      </c>
    </row>
    <row r="485">
      <c r="A485" s="40" t="n"/>
      <c r="B485" s="59" t="n"/>
      <c r="C485" s="40" t="n"/>
      <c r="D485" s="43">
        <f>IFERROR(INDEX(الموظفون_الاسم,MATCH($C485,الموظفون_الرقم,0)),"")</f>
        <v/>
      </c>
      <c r="E485" s="43">
        <f>IFERROR(INDEX(الموظفون_الإدارة,MATCH($C485,الموظفون_الرقم,0)),"")</f>
        <v/>
      </c>
      <c r="F485" s="43">
        <f>IFERROR(INDEX(الموظفون_القسم,MATCH($C485,الموظفون_الرقم,0)),"")</f>
        <v/>
      </c>
      <c r="G485" s="60">
        <f>IF($C485="","",IFERROR(INDEX(الموظفون_الاساسي,MATCH($C485,الموظفون_الرقم,0)),0))</f>
        <v/>
      </c>
      <c r="H485" s="42" t="n"/>
      <c r="I485" s="42" t="n"/>
      <c r="J485" s="42" t="n"/>
      <c r="K485" s="42" t="n"/>
      <c r="L485" s="42" t="n"/>
      <c r="M485" s="61" t="n"/>
      <c r="N485" s="42" t="n"/>
      <c r="O485" s="42" t="n"/>
      <c r="P485" s="42" t="n"/>
      <c r="Q485" s="42" t="n"/>
      <c r="R485" s="42" t="n"/>
      <c r="S485" s="60">
        <f>IF($C485="","",SUM($G485:$L485))</f>
        <v/>
      </c>
      <c r="T485" s="60">
        <f>IF($C485="","",SUM($N485:$R485))</f>
        <v/>
      </c>
      <c r="U485" s="60">
        <f>IF($C485="","",$S485-$T485)</f>
        <v/>
      </c>
      <c r="V485" s="40" t="n"/>
      <c r="W485" s="110" t="n"/>
      <c r="X485" s="40" t="n"/>
      <c r="Y485" s="43">
        <f>IF($C485="","",IF(SUMPRODUCT(($C$3:$C$502=$C485)*($A$3:$A$502=$A485)*($B$3:$B$502=$B485))&gt;1,"⚠ مكرر","سليم"))</f>
        <v/>
      </c>
      <c r="Z485">
        <f>IF(AND($C485&lt;&gt;"",$A485=تقرير_الشهر,$B485=تقرير_السنة),SUMPRODUCT(($C$3:$C$502&lt;&gt;"")*($A$3:$A$502=تقرير_الشهر)*($B$3:$B$502=تقرير_السنة)*(ROW($C$3:$C$502)&lt;=ROW())),"")</f>
        <v/>
      </c>
    </row>
    <row r="486">
      <c r="A486" s="47" t="n"/>
      <c r="B486" s="62" t="n"/>
      <c r="C486" s="47" t="n"/>
      <c r="D486" s="50">
        <f>IFERROR(INDEX(الموظفون_الاسم,MATCH($C486,الموظفون_الرقم,0)),"")</f>
        <v/>
      </c>
      <c r="E486" s="50">
        <f>IFERROR(INDEX(الموظفون_الإدارة,MATCH($C486,الموظفون_الرقم,0)),"")</f>
        <v/>
      </c>
      <c r="F486" s="50">
        <f>IFERROR(INDEX(الموظفون_القسم,MATCH($C486,الموظفون_الرقم,0)),"")</f>
        <v/>
      </c>
      <c r="G486" s="63">
        <f>IF($C486="","",IFERROR(INDEX(الموظفون_الاساسي,MATCH($C486,الموظفون_الرقم,0)),0))</f>
        <v/>
      </c>
      <c r="H486" s="49" t="n"/>
      <c r="I486" s="49" t="n"/>
      <c r="J486" s="49" t="n"/>
      <c r="K486" s="49" t="n"/>
      <c r="L486" s="49" t="n"/>
      <c r="M486" s="64" t="n"/>
      <c r="N486" s="49" t="n"/>
      <c r="O486" s="49" t="n"/>
      <c r="P486" s="49" t="n"/>
      <c r="Q486" s="49" t="n"/>
      <c r="R486" s="49" t="n"/>
      <c r="S486" s="63">
        <f>IF($C486="","",SUM($G486:$L486))</f>
        <v/>
      </c>
      <c r="T486" s="63">
        <f>IF($C486="","",SUM($N486:$R486))</f>
        <v/>
      </c>
      <c r="U486" s="63">
        <f>IF($C486="","",$S486-$T486)</f>
        <v/>
      </c>
      <c r="V486" s="47" t="n"/>
      <c r="W486" s="112" t="n"/>
      <c r="X486" s="47" t="n"/>
      <c r="Y486" s="50">
        <f>IF($C486="","",IF(SUMPRODUCT(($C$3:$C$502=$C486)*($A$3:$A$502=$A486)*($B$3:$B$502=$B486))&gt;1,"⚠ مكرر","سليم"))</f>
        <v/>
      </c>
      <c r="Z486">
        <f>IF(AND($C486&lt;&gt;"",$A486=تقرير_الشهر,$B486=تقرير_السنة),SUMPRODUCT(($C$3:$C$502&lt;&gt;"")*($A$3:$A$502=تقرير_الشهر)*($B$3:$B$502=تقرير_السنة)*(ROW($C$3:$C$502)&lt;=ROW())),"")</f>
        <v/>
      </c>
    </row>
    <row r="487">
      <c r="A487" s="40" t="n"/>
      <c r="B487" s="59" t="n"/>
      <c r="C487" s="40" t="n"/>
      <c r="D487" s="43">
        <f>IFERROR(INDEX(الموظفون_الاسم,MATCH($C487,الموظفون_الرقم,0)),"")</f>
        <v/>
      </c>
      <c r="E487" s="43">
        <f>IFERROR(INDEX(الموظفون_الإدارة,MATCH($C487,الموظفون_الرقم,0)),"")</f>
        <v/>
      </c>
      <c r="F487" s="43">
        <f>IFERROR(INDEX(الموظفون_القسم,MATCH($C487,الموظفون_الرقم,0)),"")</f>
        <v/>
      </c>
      <c r="G487" s="60">
        <f>IF($C487="","",IFERROR(INDEX(الموظفون_الاساسي,MATCH($C487,الموظفون_الرقم,0)),0))</f>
        <v/>
      </c>
      <c r="H487" s="42" t="n"/>
      <c r="I487" s="42" t="n"/>
      <c r="J487" s="42" t="n"/>
      <c r="K487" s="42" t="n"/>
      <c r="L487" s="42" t="n"/>
      <c r="M487" s="61" t="n"/>
      <c r="N487" s="42" t="n"/>
      <c r="O487" s="42" t="n"/>
      <c r="P487" s="42" t="n"/>
      <c r="Q487" s="42" t="n"/>
      <c r="R487" s="42" t="n"/>
      <c r="S487" s="60">
        <f>IF($C487="","",SUM($G487:$L487))</f>
        <v/>
      </c>
      <c r="T487" s="60">
        <f>IF($C487="","",SUM($N487:$R487))</f>
        <v/>
      </c>
      <c r="U487" s="60">
        <f>IF($C487="","",$S487-$T487)</f>
        <v/>
      </c>
      <c r="V487" s="40" t="n"/>
      <c r="W487" s="110" t="n"/>
      <c r="X487" s="40" t="n"/>
      <c r="Y487" s="43">
        <f>IF($C487="","",IF(SUMPRODUCT(($C$3:$C$502=$C487)*($A$3:$A$502=$A487)*($B$3:$B$502=$B487))&gt;1,"⚠ مكرر","سليم"))</f>
        <v/>
      </c>
      <c r="Z487">
        <f>IF(AND($C487&lt;&gt;"",$A487=تقرير_الشهر,$B487=تقرير_السنة),SUMPRODUCT(($C$3:$C$502&lt;&gt;"")*($A$3:$A$502=تقرير_الشهر)*($B$3:$B$502=تقرير_السنة)*(ROW($C$3:$C$502)&lt;=ROW())),"")</f>
        <v/>
      </c>
    </row>
    <row r="488">
      <c r="A488" s="47" t="n"/>
      <c r="B488" s="62" t="n"/>
      <c r="C488" s="47" t="n"/>
      <c r="D488" s="50">
        <f>IFERROR(INDEX(الموظفون_الاسم,MATCH($C488,الموظفون_الرقم,0)),"")</f>
        <v/>
      </c>
      <c r="E488" s="50">
        <f>IFERROR(INDEX(الموظفون_الإدارة,MATCH($C488,الموظفون_الرقم,0)),"")</f>
        <v/>
      </c>
      <c r="F488" s="50">
        <f>IFERROR(INDEX(الموظفون_القسم,MATCH($C488,الموظفون_الرقم,0)),"")</f>
        <v/>
      </c>
      <c r="G488" s="63">
        <f>IF($C488="","",IFERROR(INDEX(الموظفون_الاساسي,MATCH($C488,الموظفون_الرقم,0)),0))</f>
        <v/>
      </c>
      <c r="H488" s="49" t="n"/>
      <c r="I488" s="49" t="n"/>
      <c r="J488" s="49" t="n"/>
      <c r="K488" s="49" t="n"/>
      <c r="L488" s="49" t="n"/>
      <c r="M488" s="64" t="n"/>
      <c r="N488" s="49" t="n"/>
      <c r="O488" s="49" t="n"/>
      <c r="P488" s="49" t="n"/>
      <c r="Q488" s="49" t="n"/>
      <c r="R488" s="49" t="n"/>
      <c r="S488" s="63">
        <f>IF($C488="","",SUM($G488:$L488))</f>
        <v/>
      </c>
      <c r="T488" s="63">
        <f>IF($C488="","",SUM($N488:$R488))</f>
        <v/>
      </c>
      <c r="U488" s="63">
        <f>IF($C488="","",$S488-$T488)</f>
        <v/>
      </c>
      <c r="V488" s="47" t="n"/>
      <c r="W488" s="112" t="n"/>
      <c r="X488" s="47" t="n"/>
      <c r="Y488" s="50">
        <f>IF($C488="","",IF(SUMPRODUCT(($C$3:$C$502=$C488)*($A$3:$A$502=$A488)*($B$3:$B$502=$B488))&gt;1,"⚠ مكرر","سليم"))</f>
        <v/>
      </c>
      <c r="Z488">
        <f>IF(AND($C488&lt;&gt;"",$A488=تقرير_الشهر,$B488=تقرير_السنة),SUMPRODUCT(($C$3:$C$502&lt;&gt;"")*($A$3:$A$502=تقرير_الشهر)*($B$3:$B$502=تقرير_السنة)*(ROW($C$3:$C$502)&lt;=ROW())),"")</f>
        <v/>
      </c>
    </row>
    <row r="489">
      <c r="A489" s="40" t="n"/>
      <c r="B489" s="59" t="n"/>
      <c r="C489" s="40" t="n"/>
      <c r="D489" s="43">
        <f>IFERROR(INDEX(الموظفون_الاسم,MATCH($C489,الموظفون_الرقم,0)),"")</f>
        <v/>
      </c>
      <c r="E489" s="43">
        <f>IFERROR(INDEX(الموظفون_الإدارة,MATCH($C489,الموظفون_الرقم,0)),"")</f>
        <v/>
      </c>
      <c r="F489" s="43">
        <f>IFERROR(INDEX(الموظفون_القسم,MATCH($C489,الموظفون_الرقم,0)),"")</f>
        <v/>
      </c>
      <c r="G489" s="60">
        <f>IF($C489="","",IFERROR(INDEX(الموظفون_الاساسي,MATCH($C489,الموظفون_الرقم,0)),0))</f>
        <v/>
      </c>
      <c r="H489" s="42" t="n"/>
      <c r="I489" s="42" t="n"/>
      <c r="J489" s="42" t="n"/>
      <c r="K489" s="42" t="n"/>
      <c r="L489" s="42" t="n"/>
      <c r="M489" s="61" t="n"/>
      <c r="N489" s="42" t="n"/>
      <c r="O489" s="42" t="n"/>
      <c r="P489" s="42" t="n"/>
      <c r="Q489" s="42" t="n"/>
      <c r="R489" s="42" t="n"/>
      <c r="S489" s="60">
        <f>IF($C489="","",SUM($G489:$L489))</f>
        <v/>
      </c>
      <c r="T489" s="60">
        <f>IF($C489="","",SUM($N489:$R489))</f>
        <v/>
      </c>
      <c r="U489" s="60">
        <f>IF($C489="","",$S489-$T489)</f>
        <v/>
      </c>
      <c r="V489" s="40" t="n"/>
      <c r="W489" s="110" t="n"/>
      <c r="X489" s="40" t="n"/>
      <c r="Y489" s="43">
        <f>IF($C489="","",IF(SUMPRODUCT(($C$3:$C$502=$C489)*($A$3:$A$502=$A489)*($B$3:$B$502=$B489))&gt;1,"⚠ مكرر","سليم"))</f>
        <v/>
      </c>
      <c r="Z489">
        <f>IF(AND($C489&lt;&gt;"",$A489=تقرير_الشهر,$B489=تقرير_السنة),SUMPRODUCT(($C$3:$C$502&lt;&gt;"")*($A$3:$A$502=تقرير_الشهر)*($B$3:$B$502=تقرير_السنة)*(ROW($C$3:$C$502)&lt;=ROW())),"")</f>
        <v/>
      </c>
    </row>
    <row r="490">
      <c r="A490" s="47" t="n"/>
      <c r="B490" s="62" t="n"/>
      <c r="C490" s="47" t="n"/>
      <c r="D490" s="50">
        <f>IFERROR(INDEX(الموظفون_الاسم,MATCH($C490,الموظفون_الرقم,0)),"")</f>
        <v/>
      </c>
      <c r="E490" s="50">
        <f>IFERROR(INDEX(الموظفون_الإدارة,MATCH($C490,الموظفون_الرقم,0)),"")</f>
        <v/>
      </c>
      <c r="F490" s="50">
        <f>IFERROR(INDEX(الموظفون_القسم,MATCH($C490,الموظفون_الرقم,0)),"")</f>
        <v/>
      </c>
      <c r="G490" s="63">
        <f>IF($C490="","",IFERROR(INDEX(الموظفون_الاساسي,MATCH($C490,الموظفون_الرقم,0)),0))</f>
        <v/>
      </c>
      <c r="H490" s="49" t="n"/>
      <c r="I490" s="49" t="n"/>
      <c r="J490" s="49" t="n"/>
      <c r="K490" s="49" t="n"/>
      <c r="L490" s="49" t="n"/>
      <c r="M490" s="64" t="n"/>
      <c r="N490" s="49" t="n"/>
      <c r="O490" s="49" t="n"/>
      <c r="P490" s="49" t="n"/>
      <c r="Q490" s="49" t="n"/>
      <c r="R490" s="49" t="n"/>
      <c r="S490" s="63">
        <f>IF($C490="","",SUM($G490:$L490))</f>
        <v/>
      </c>
      <c r="T490" s="63">
        <f>IF($C490="","",SUM($N490:$R490))</f>
        <v/>
      </c>
      <c r="U490" s="63">
        <f>IF($C490="","",$S490-$T490)</f>
        <v/>
      </c>
      <c r="V490" s="47" t="n"/>
      <c r="W490" s="112" t="n"/>
      <c r="X490" s="47" t="n"/>
      <c r="Y490" s="50">
        <f>IF($C490="","",IF(SUMPRODUCT(($C$3:$C$502=$C490)*($A$3:$A$502=$A490)*($B$3:$B$502=$B490))&gt;1,"⚠ مكرر","سليم"))</f>
        <v/>
      </c>
      <c r="Z490">
        <f>IF(AND($C490&lt;&gt;"",$A490=تقرير_الشهر,$B490=تقرير_السنة),SUMPRODUCT(($C$3:$C$502&lt;&gt;"")*($A$3:$A$502=تقرير_الشهر)*($B$3:$B$502=تقرير_السنة)*(ROW($C$3:$C$502)&lt;=ROW())),"")</f>
        <v/>
      </c>
    </row>
    <row r="491">
      <c r="A491" s="40" t="n"/>
      <c r="B491" s="59" t="n"/>
      <c r="C491" s="40" t="n"/>
      <c r="D491" s="43">
        <f>IFERROR(INDEX(الموظفون_الاسم,MATCH($C491,الموظفون_الرقم,0)),"")</f>
        <v/>
      </c>
      <c r="E491" s="43">
        <f>IFERROR(INDEX(الموظفون_الإدارة,MATCH($C491,الموظفون_الرقم,0)),"")</f>
        <v/>
      </c>
      <c r="F491" s="43">
        <f>IFERROR(INDEX(الموظفون_القسم,MATCH($C491,الموظفون_الرقم,0)),"")</f>
        <v/>
      </c>
      <c r="G491" s="60">
        <f>IF($C491="","",IFERROR(INDEX(الموظفون_الاساسي,MATCH($C491,الموظفون_الرقم,0)),0))</f>
        <v/>
      </c>
      <c r="H491" s="42" t="n"/>
      <c r="I491" s="42" t="n"/>
      <c r="J491" s="42" t="n"/>
      <c r="K491" s="42" t="n"/>
      <c r="L491" s="42" t="n"/>
      <c r="M491" s="61" t="n"/>
      <c r="N491" s="42" t="n"/>
      <c r="O491" s="42" t="n"/>
      <c r="P491" s="42" t="n"/>
      <c r="Q491" s="42" t="n"/>
      <c r="R491" s="42" t="n"/>
      <c r="S491" s="60">
        <f>IF($C491="","",SUM($G491:$L491))</f>
        <v/>
      </c>
      <c r="T491" s="60">
        <f>IF($C491="","",SUM($N491:$R491))</f>
        <v/>
      </c>
      <c r="U491" s="60">
        <f>IF($C491="","",$S491-$T491)</f>
        <v/>
      </c>
      <c r="V491" s="40" t="n"/>
      <c r="W491" s="110" t="n"/>
      <c r="X491" s="40" t="n"/>
      <c r="Y491" s="43">
        <f>IF($C491="","",IF(SUMPRODUCT(($C$3:$C$502=$C491)*($A$3:$A$502=$A491)*($B$3:$B$502=$B491))&gt;1,"⚠ مكرر","سليم"))</f>
        <v/>
      </c>
      <c r="Z491">
        <f>IF(AND($C491&lt;&gt;"",$A491=تقرير_الشهر,$B491=تقرير_السنة),SUMPRODUCT(($C$3:$C$502&lt;&gt;"")*($A$3:$A$502=تقرير_الشهر)*($B$3:$B$502=تقرير_السنة)*(ROW($C$3:$C$502)&lt;=ROW())),"")</f>
        <v/>
      </c>
    </row>
    <row r="492">
      <c r="A492" s="47" t="n"/>
      <c r="B492" s="62" t="n"/>
      <c r="C492" s="47" t="n"/>
      <c r="D492" s="50">
        <f>IFERROR(INDEX(الموظفون_الاسم,MATCH($C492,الموظفون_الرقم,0)),"")</f>
        <v/>
      </c>
      <c r="E492" s="50">
        <f>IFERROR(INDEX(الموظفون_الإدارة,MATCH($C492,الموظفون_الرقم,0)),"")</f>
        <v/>
      </c>
      <c r="F492" s="50">
        <f>IFERROR(INDEX(الموظفون_القسم,MATCH($C492,الموظفون_الرقم,0)),"")</f>
        <v/>
      </c>
      <c r="G492" s="63">
        <f>IF($C492="","",IFERROR(INDEX(الموظفون_الاساسي,MATCH($C492,الموظفون_الرقم,0)),0))</f>
        <v/>
      </c>
      <c r="H492" s="49" t="n"/>
      <c r="I492" s="49" t="n"/>
      <c r="J492" s="49" t="n"/>
      <c r="K492" s="49" t="n"/>
      <c r="L492" s="49" t="n"/>
      <c r="M492" s="64" t="n"/>
      <c r="N492" s="49" t="n"/>
      <c r="O492" s="49" t="n"/>
      <c r="P492" s="49" t="n"/>
      <c r="Q492" s="49" t="n"/>
      <c r="R492" s="49" t="n"/>
      <c r="S492" s="63">
        <f>IF($C492="","",SUM($G492:$L492))</f>
        <v/>
      </c>
      <c r="T492" s="63">
        <f>IF($C492="","",SUM($N492:$R492))</f>
        <v/>
      </c>
      <c r="U492" s="63">
        <f>IF($C492="","",$S492-$T492)</f>
        <v/>
      </c>
      <c r="V492" s="47" t="n"/>
      <c r="W492" s="112" t="n"/>
      <c r="X492" s="47" t="n"/>
      <c r="Y492" s="50">
        <f>IF($C492="","",IF(SUMPRODUCT(($C$3:$C$502=$C492)*($A$3:$A$502=$A492)*($B$3:$B$502=$B492))&gt;1,"⚠ مكرر","سليم"))</f>
        <v/>
      </c>
      <c r="Z492">
        <f>IF(AND($C492&lt;&gt;"",$A492=تقرير_الشهر,$B492=تقرير_السنة),SUMPRODUCT(($C$3:$C$502&lt;&gt;"")*($A$3:$A$502=تقرير_الشهر)*($B$3:$B$502=تقرير_السنة)*(ROW($C$3:$C$502)&lt;=ROW())),"")</f>
        <v/>
      </c>
    </row>
    <row r="493">
      <c r="A493" s="40" t="n"/>
      <c r="B493" s="59" t="n"/>
      <c r="C493" s="40" t="n"/>
      <c r="D493" s="43">
        <f>IFERROR(INDEX(الموظفون_الاسم,MATCH($C493,الموظفون_الرقم,0)),"")</f>
        <v/>
      </c>
      <c r="E493" s="43">
        <f>IFERROR(INDEX(الموظفون_الإدارة,MATCH($C493,الموظفون_الرقم,0)),"")</f>
        <v/>
      </c>
      <c r="F493" s="43">
        <f>IFERROR(INDEX(الموظفون_القسم,MATCH($C493,الموظفون_الرقم,0)),"")</f>
        <v/>
      </c>
      <c r="G493" s="60">
        <f>IF($C493="","",IFERROR(INDEX(الموظفون_الاساسي,MATCH($C493,الموظفون_الرقم,0)),0))</f>
        <v/>
      </c>
      <c r="H493" s="42" t="n"/>
      <c r="I493" s="42" t="n"/>
      <c r="J493" s="42" t="n"/>
      <c r="K493" s="42" t="n"/>
      <c r="L493" s="42" t="n"/>
      <c r="M493" s="61" t="n"/>
      <c r="N493" s="42" t="n"/>
      <c r="O493" s="42" t="n"/>
      <c r="P493" s="42" t="n"/>
      <c r="Q493" s="42" t="n"/>
      <c r="R493" s="42" t="n"/>
      <c r="S493" s="60">
        <f>IF($C493="","",SUM($G493:$L493))</f>
        <v/>
      </c>
      <c r="T493" s="60">
        <f>IF($C493="","",SUM($N493:$R493))</f>
        <v/>
      </c>
      <c r="U493" s="60">
        <f>IF($C493="","",$S493-$T493)</f>
        <v/>
      </c>
      <c r="V493" s="40" t="n"/>
      <c r="W493" s="110" t="n"/>
      <c r="X493" s="40" t="n"/>
      <c r="Y493" s="43">
        <f>IF($C493="","",IF(SUMPRODUCT(($C$3:$C$502=$C493)*($A$3:$A$502=$A493)*($B$3:$B$502=$B493))&gt;1,"⚠ مكرر","سليم"))</f>
        <v/>
      </c>
      <c r="Z493">
        <f>IF(AND($C493&lt;&gt;"",$A493=تقرير_الشهر,$B493=تقرير_السنة),SUMPRODUCT(($C$3:$C$502&lt;&gt;"")*($A$3:$A$502=تقرير_الشهر)*($B$3:$B$502=تقرير_السنة)*(ROW($C$3:$C$502)&lt;=ROW())),"")</f>
        <v/>
      </c>
    </row>
    <row r="494">
      <c r="A494" s="47" t="n"/>
      <c r="B494" s="62" t="n"/>
      <c r="C494" s="47" t="n"/>
      <c r="D494" s="50">
        <f>IFERROR(INDEX(الموظفون_الاسم,MATCH($C494,الموظفون_الرقم,0)),"")</f>
        <v/>
      </c>
      <c r="E494" s="50">
        <f>IFERROR(INDEX(الموظفون_الإدارة,MATCH($C494,الموظفون_الرقم,0)),"")</f>
        <v/>
      </c>
      <c r="F494" s="50">
        <f>IFERROR(INDEX(الموظفون_القسم,MATCH($C494,الموظفون_الرقم,0)),"")</f>
        <v/>
      </c>
      <c r="G494" s="63">
        <f>IF($C494="","",IFERROR(INDEX(الموظفون_الاساسي,MATCH($C494,الموظفون_الرقم,0)),0))</f>
        <v/>
      </c>
      <c r="H494" s="49" t="n"/>
      <c r="I494" s="49" t="n"/>
      <c r="J494" s="49" t="n"/>
      <c r="K494" s="49" t="n"/>
      <c r="L494" s="49" t="n"/>
      <c r="M494" s="64" t="n"/>
      <c r="N494" s="49" t="n"/>
      <c r="O494" s="49" t="n"/>
      <c r="P494" s="49" t="n"/>
      <c r="Q494" s="49" t="n"/>
      <c r="R494" s="49" t="n"/>
      <c r="S494" s="63">
        <f>IF($C494="","",SUM($G494:$L494))</f>
        <v/>
      </c>
      <c r="T494" s="63">
        <f>IF($C494="","",SUM($N494:$R494))</f>
        <v/>
      </c>
      <c r="U494" s="63">
        <f>IF($C494="","",$S494-$T494)</f>
        <v/>
      </c>
      <c r="V494" s="47" t="n"/>
      <c r="W494" s="112" t="n"/>
      <c r="X494" s="47" t="n"/>
      <c r="Y494" s="50">
        <f>IF($C494="","",IF(SUMPRODUCT(($C$3:$C$502=$C494)*($A$3:$A$502=$A494)*($B$3:$B$502=$B494))&gt;1,"⚠ مكرر","سليم"))</f>
        <v/>
      </c>
      <c r="Z494">
        <f>IF(AND($C494&lt;&gt;"",$A494=تقرير_الشهر,$B494=تقرير_السنة),SUMPRODUCT(($C$3:$C$502&lt;&gt;"")*($A$3:$A$502=تقرير_الشهر)*($B$3:$B$502=تقرير_السنة)*(ROW($C$3:$C$502)&lt;=ROW())),"")</f>
        <v/>
      </c>
    </row>
    <row r="495">
      <c r="A495" s="40" t="n"/>
      <c r="B495" s="59" t="n"/>
      <c r="C495" s="40" t="n"/>
      <c r="D495" s="43">
        <f>IFERROR(INDEX(الموظفون_الاسم,MATCH($C495,الموظفون_الرقم,0)),"")</f>
        <v/>
      </c>
      <c r="E495" s="43">
        <f>IFERROR(INDEX(الموظفون_الإدارة,MATCH($C495,الموظفون_الرقم,0)),"")</f>
        <v/>
      </c>
      <c r="F495" s="43">
        <f>IFERROR(INDEX(الموظفون_القسم,MATCH($C495,الموظفون_الرقم,0)),"")</f>
        <v/>
      </c>
      <c r="G495" s="60">
        <f>IF($C495="","",IFERROR(INDEX(الموظفون_الاساسي,MATCH($C495,الموظفون_الرقم,0)),0))</f>
        <v/>
      </c>
      <c r="H495" s="42" t="n"/>
      <c r="I495" s="42" t="n"/>
      <c r="J495" s="42" t="n"/>
      <c r="K495" s="42" t="n"/>
      <c r="L495" s="42" t="n"/>
      <c r="M495" s="61" t="n"/>
      <c r="N495" s="42" t="n"/>
      <c r="O495" s="42" t="n"/>
      <c r="P495" s="42" t="n"/>
      <c r="Q495" s="42" t="n"/>
      <c r="R495" s="42" t="n"/>
      <c r="S495" s="60">
        <f>IF($C495="","",SUM($G495:$L495))</f>
        <v/>
      </c>
      <c r="T495" s="60">
        <f>IF($C495="","",SUM($N495:$R495))</f>
        <v/>
      </c>
      <c r="U495" s="60">
        <f>IF($C495="","",$S495-$T495)</f>
        <v/>
      </c>
      <c r="V495" s="40" t="n"/>
      <c r="W495" s="110" t="n"/>
      <c r="X495" s="40" t="n"/>
      <c r="Y495" s="43">
        <f>IF($C495="","",IF(SUMPRODUCT(($C$3:$C$502=$C495)*($A$3:$A$502=$A495)*($B$3:$B$502=$B495))&gt;1,"⚠ مكرر","سليم"))</f>
        <v/>
      </c>
      <c r="Z495">
        <f>IF(AND($C495&lt;&gt;"",$A495=تقرير_الشهر,$B495=تقرير_السنة),SUMPRODUCT(($C$3:$C$502&lt;&gt;"")*($A$3:$A$502=تقرير_الشهر)*($B$3:$B$502=تقرير_السنة)*(ROW($C$3:$C$502)&lt;=ROW())),"")</f>
        <v/>
      </c>
    </row>
    <row r="496">
      <c r="A496" s="47" t="n"/>
      <c r="B496" s="62" t="n"/>
      <c r="C496" s="47" t="n"/>
      <c r="D496" s="50">
        <f>IFERROR(INDEX(الموظفون_الاسم,MATCH($C496,الموظفون_الرقم,0)),"")</f>
        <v/>
      </c>
      <c r="E496" s="50">
        <f>IFERROR(INDEX(الموظفون_الإدارة,MATCH($C496,الموظفون_الرقم,0)),"")</f>
        <v/>
      </c>
      <c r="F496" s="50">
        <f>IFERROR(INDEX(الموظفون_القسم,MATCH($C496,الموظفون_الرقم,0)),"")</f>
        <v/>
      </c>
      <c r="G496" s="63">
        <f>IF($C496="","",IFERROR(INDEX(الموظفون_الاساسي,MATCH($C496,الموظفون_الرقم,0)),0))</f>
        <v/>
      </c>
      <c r="H496" s="49" t="n"/>
      <c r="I496" s="49" t="n"/>
      <c r="J496" s="49" t="n"/>
      <c r="K496" s="49" t="n"/>
      <c r="L496" s="49" t="n"/>
      <c r="M496" s="64" t="n"/>
      <c r="N496" s="49" t="n"/>
      <c r="O496" s="49" t="n"/>
      <c r="P496" s="49" t="n"/>
      <c r="Q496" s="49" t="n"/>
      <c r="R496" s="49" t="n"/>
      <c r="S496" s="63">
        <f>IF($C496="","",SUM($G496:$L496))</f>
        <v/>
      </c>
      <c r="T496" s="63">
        <f>IF($C496="","",SUM($N496:$R496))</f>
        <v/>
      </c>
      <c r="U496" s="63">
        <f>IF($C496="","",$S496-$T496)</f>
        <v/>
      </c>
      <c r="V496" s="47" t="n"/>
      <c r="W496" s="112" t="n"/>
      <c r="X496" s="47" t="n"/>
      <c r="Y496" s="50">
        <f>IF($C496="","",IF(SUMPRODUCT(($C$3:$C$502=$C496)*($A$3:$A$502=$A496)*($B$3:$B$502=$B496))&gt;1,"⚠ مكرر","سليم"))</f>
        <v/>
      </c>
      <c r="Z496">
        <f>IF(AND($C496&lt;&gt;"",$A496=تقرير_الشهر,$B496=تقرير_السنة),SUMPRODUCT(($C$3:$C$502&lt;&gt;"")*($A$3:$A$502=تقرير_الشهر)*($B$3:$B$502=تقرير_السنة)*(ROW($C$3:$C$502)&lt;=ROW())),"")</f>
        <v/>
      </c>
    </row>
    <row r="497">
      <c r="A497" s="40" t="n"/>
      <c r="B497" s="59" t="n"/>
      <c r="C497" s="40" t="n"/>
      <c r="D497" s="43">
        <f>IFERROR(INDEX(الموظفون_الاسم,MATCH($C497,الموظفون_الرقم,0)),"")</f>
        <v/>
      </c>
      <c r="E497" s="43">
        <f>IFERROR(INDEX(الموظفون_الإدارة,MATCH($C497,الموظفون_الرقم,0)),"")</f>
        <v/>
      </c>
      <c r="F497" s="43">
        <f>IFERROR(INDEX(الموظفون_القسم,MATCH($C497,الموظفون_الرقم,0)),"")</f>
        <v/>
      </c>
      <c r="G497" s="60">
        <f>IF($C497="","",IFERROR(INDEX(الموظفون_الاساسي,MATCH($C497,الموظفون_الرقم,0)),0))</f>
        <v/>
      </c>
      <c r="H497" s="42" t="n"/>
      <c r="I497" s="42" t="n"/>
      <c r="J497" s="42" t="n"/>
      <c r="K497" s="42" t="n"/>
      <c r="L497" s="42" t="n"/>
      <c r="M497" s="61" t="n"/>
      <c r="N497" s="42" t="n"/>
      <c r="O497" s="42" t="n"/>
      <c r="P497" s="42" t="n"/>
      <c r="Q497" s="42" t="n"/>
      <c r="R497" s="42" t="n"/>
      <c r="S497" s="60">
        <f>IF($C497="","",SUM($G497:$L497))</f>
        <v/>
      </c>
      <c r="T497" s="60">
        <f>IF($C497="","",SUM($N497:$R497))</f>
        <v/>
      </c>
      <c r="U497" s="60">
        <f>IF($C497="","",$S497-$T497)</f>
        <v/>
      </c>
      <c r="V497" s="40" t="n"/>
      <c r="W497" s="110" t="n"/>
      <c r="X497" s="40" t="n"/>
      <c r="Y497" s="43">
        <f>IF($C497="","",IF(SUMPRODUCT(($C$3:$C$502=$C497)*($A$3:$A$502=$A497)*($B$3:$B$502=$B497))&gt;1,"⚠ مكرر","سليم"))</f>
        <v/>
      </c>
      <c r="Z497">
        <f>IF(AND($C497&lt;&gt;"",$A497=تقرير_الشهر,$B497=تقرير_السنة),SUMPRODUCT(($C$3:$C$502&lt;&gt;"")*($A$3:$A$502=تقرير_الشهر)*($B$3:$B$502=تقرير_السنة)*(ROW($C$3:$C$502)&lt;=ROW())),"")</f>
        <v/>
      </c>
    </row>
    <row r="498">
      <c r="A498" s="47" t="n"/>
      <c r="B498" s="62" t="n"/>
      <c r="C498" s="47" t="n"/>
      <c r="D498" s="50">
        <f>IFERROR(INDEX(الموظفون_الاسم,MATCH($C498,الموظفون_الرقم,0)),"")</f>
        <v/>
      </c>
      <c r="E498" s="50">
        <f>IFERROR(INDEX(الموظفون_الإدارة,MATCH($C498,الموظفون_الرقم,0)),"")</f>
        <v/>
      </c>
      <c r="F498" s="50">
        <f>IFERROR(INDEX(الموظفون_القسم,MATCH($C498,الموظفون_الرقم,0)),"")</f>
        <v/>
      </c>
      <c r="G498" s="63">
        <f>IF($C498="","",IFERROR(INDEX(الموظفون_الاساسي,MATCH($C498,الموظفون_الرقم,0)),0))</f>
        <v/>
      </c>
      <c r="H498" s="49" t="n"/>
      <c r="I498" s="49" t="n"/>
      <c r="J498" s="49" t="n"/>
      <c r="K498" s="49" t="n"/>
      <c r="L498" s="49" t="n"/>
      <c r="M498" s="64" t="n"/>
      <c r="N498" s="49" t="n"/>
      <c r="O498" s="49" t="n"/>
      <c r="P498" s="49" t="n"/>
      <c r="Q498" s="49" t="n"/>
      <c r="R498" s="49" t="n"/>
      <c r="S498" s="63">
        <f>IF($C498="","",SUM($G498:$L498))</f>
        <v/>
      </c>
      <c r="T498" s="63">
        <f>IF($C498="","",SUM($N498:$R498))</f>
        <v/>
      </c>
      <c r="U498" s="63">
        <f>IF($C498="","",$S498-$T498)</f>
        <v/>
      </c>
      <c r="V498" s="47" t="n"/>
      <c r="W498" s="112" t="n"/>
      <c r="X498" s="47" t="n"/>
      <c r="Y498" s="50">
        <f>IF($C498="","",IF(SUMPRODUCT(($C$3:$C$502=$C498)*($A$3:$A$502=$A498)*($B$3:$B$502=$B498))&gt;1,"⚠ مكرر","سليم"))</f>
        <v/>
      </c>
      <c r="Z498">
        <f>IF(AND($C498&lt;&gt;"",$A498=تقرير_الشهر,$B498=تقرير_السنة),SUMPRODUCT(($C$3:$C$502&lt;&gt;"")*($A$3:$A$502=تقرير_الشهر)*($B$3:$B$502=تقرير_السنة)*(ROW($C$3:$C$502)&lt;=ROW())),"")</f>
        <v/>
      </c>
    </row>
    <row r="499">
      <c r="A499" s="40" t="n"/>
      <c r="B499" s="59" t="n"/>
      <c r="C499" s="40" t="n"/>
      <c r="D499" s="43">
        <f>IFERROR(INDEX(الموظفون_الاسم,MATCH($C499,الموظفون_الرقم,0)),"")</f>
        <v/>
      </c>
      <c r="E499" s="43">
        <f>IFERROR(INDEX(الموظفون_الإدارة,MATCH($C499,الموظفون_الرقم,0)),"")</f>
        <v/>
      </c>
      <c r="F499" s="43">
        <f>IFERROR(INDEX(الموظفون_القسم,MATCH($C499,الموظفون_الرقم,0)),"")</f>
        <v/>
      </c>
      <c r="G499" s="60">
        <f>IF($C499="","",IFERROR(INDEX(الموظفون_الاساسي,MATCH($C499,الموظفون_الرقم,0)),0))</f>
        <v/>
      </c>
      <c r="H499" s="42" t="n"/>
      <c r="I499" s="42" t="n"/>
      <c r="J499" s="42" t="n"/>
      <c r="K499" s="42" t="n"/>
      <c r="L499" s="42" t="n"/>
      <c r="M499" s="61" t="n"/>
      <c r="N499" s="42" t="n"/>
      <c r="O499" s="42" t="n"/>
      <c r="P499" s="42" t="n"/>
      <c r="Q499" s="42" t="n"/>
      <c r="R499" s="42" t="n"/>
      <c r="S499" s="60">
        <f>IF($C499="","",SUM($G499:$L499))</f>
        <v/>
      </c>
      <c r="T499" s="60">
        <f>IF($C499="","",SUM($N499:$R499))</f>
        <v/>
      </c>
      <c r="U499" s="60">
        <f>IF($C499="","",$S499-$T499)</f>
        <v/>
      </c>
      <c r="V499" s="40" t="n"/>
      <c r="W499" s="110" t="n"/>
      <c r="X499" s="40" t="n"/>
      <c r="Y499" s="43">
        <f>IF($C499="","",IF(SUMPRODUCT(($C$3:$C$502=$C499)*($A$3:$A$502=$A499)*($B$3:$B$502=$B499))&gt;1,"⚠ مكرر","سليم"))</f>
        <v/>
      </c>
      <c r="Z499">
        <f>IF(AND($C499&lt;&gt;"",$A499=تقرير_الشهر,$B499=تقرير_السنة),SUMPRODUCT(($C$3:$C$502&lt;&gt;"")*($A$3:$A$502=تقرير_الشهر)*($B$3:$B$502=تقرير_السنة)*(ROW($C$3:$C$502)&lt;=ROW())),"")</f>
        <v/>
      </c>
    </row>
    <row r="500">
      <c r="A500" s="47" t="n"/>
      <c r="B500" s="62" t="n"/>
      <c r="C500" s="47" t="n"/>
      <c r="D500" s="50">
        <f>IFERROR(INDEX(الموظفون_الاسم,MATCH($C500,الموظفون_الرقم,0)),"")</f>
        <v/>
      </c>
      <c r="E500" s="50">
        <f>IFERROR(INDEX(الموظفون_الإدارة,MATCH($C500,الموظفون_الرقم,0)),"")</f>
        <v/>
      </c>
      <c r="F500" s="50">
        <f>IFERROR(INDEX(الموظفون_القسم,MATCH($C500,الموظفون_الرقم,0)),"")</f>
        <v/>
      </c>
      <c r="G500" s="63">
        <f>IF($C500="","",IFERROR(INDEX(الموظفون_الاساسي,MATCH($C500,الموظفون_الرقم,0)),0))</f>
        <v/>
      </c>
      <c r="H500" s="49" t="n"/>
      <c r="I500" s="49" t="n"/>
      <c r="J500" s="49" t="n"/>
      <c r="K500" s="49" t="n"/>
      <c r="L500" s="49" t="n"/>
      <c r="M500" s="64" t="n"/>
      <c r="N500" s="49" t="n"/>
      <c r="O500" s="49" t="n"/>
      <c r="P500" s="49" t="n"/>
      <c r="Q500" s="49" t="n"/>
      <c r="R500" s="49" t="n"/>
      <c r="S500" s="63">
        <f>IF($C500="","",SUM($G500:$L500))</f>
        <v/>
      </c>
      <c r="T500" s="63">
        <f>IF($C500="","",SUM($N500:$R500))</f>
        <v/>
      </c>
      <c r="U500" s="63">
        <f>IF($C500="","",$S500-$T500)</f>
        <v/>
      </c>
      <c r="V500" s="47" t="n"/>
      <c r="W500" s="112" t="n"/>
      <c r="X500" s="47" t="n"/>
      <c r="Y500" s="50">
        <f>IF($C500="","",IF(SUMPRODUCT(($C$3:$C$502=$C500)*($A$3:$A$502=$A500)*($B$3:$B$502=$B500))&gt;1,"⚠ مكرر","سليم"))</f>
        <v/>
      </c>
      <c r="Z500">
        <f>IF(AND($C500&lt;&gt;"",$A500=تقرير_الشهر,$B500=تقرير_السنة),SUMPRODUCT(($C$3:$C$502&lt;&gt;"")*($A$3:$A$502=تقرير_الشهر)*($B$3:$B$502=تقرير_السنة)*(ROW($C$3:$C$502)&lt;=ROW())),"")</f>
        <v/>
      </c>
    </row>
    <row r="501">
      <c r="A501" s="40" t="n"/>
      <c r="B501" s="59" t="n"/>
      <c r="C501" s="40" t="n"/>
      <c r="D501" s="43">
        <f>IFERROR(INDEX(الموظفون_الاسم,MATCH($C501,الموظفون_الرقم,0)),"")</f>
        <v/>
      </c>
      <c r="E501" s="43">
        <f>IFERROR(INDEX(الموظفون_الإدارة,MATCH($C501,الموظفون_الرقم,0)),"")</f>
        <v/>
      </c>
      <c r="F501" s="43">
        <f>IFERROR(INDEX(الموظفون_القسم,MATCH($C501,الموظفون_الرقم,0)),"")</f>
        <v/>
      </c>
      <c r="G501" s="60">
        <f>IF($C501="","",IFERROR(INDEX(الموظفون_الاساسي,MATCH($C501,الموظفون_الرقم,0)),0))</f>
        <v/>
      </c>
      <c r="H501" s="42" t="n"/>
      <c r="I501" s="42" t="n"/>
      <c r="J501" s="42" t="n"/>
      <c r="K501" s="42" t="n"/>
      <c r="L501" s="42" t="n"/>
      <c r="M501" s="61" t="n"/>
      <c r="N501" s="42" t="n"/>
      <c r="O501" s="42" t="n"/>
      <c r="P501" s="42" t="n"/>
      <c r="Q501" s="42" t="n"/>
      <c r="R501" s="42" t="n"/>
      <c r="S501" s="60">
        <f>IF($C501="","",SUM($G501:$L501))</f>
        <v/>
      </c>
      <c r="T501" s="60">
        <f>IF($C501="","",SUM($N501:$R501))</f>
        <v/>
      </c>
      <c r="U501" s="60">
        <f>IF($C501="","",$S501-$T501)</f>
        <v/>
      </c>
      <c r="V501" s="40" t="n"/>
      <c r="W501" s="110" t="n"/>
      <c r="X501" s="40" t="n"/>
      <c r="Y501" s="43">
        <f>IF($C501="","",IF(SUMPRODUCT(($C$3:$C$502=$C501)*($A$3:$A$502=$A501)*($B$3:$B$502=$B501))&gt;1,"⚠ مكرر","سليم"))</f>
        <v/>
      </c>
      <c r="Z501">
        <f>IF(AND($C501&lt;&gt;"",$A501=تقرير_الشهر,$B501=تقرير_السنة),SUMPRODUCT(($C$3:$C$502&lt;&gt;"")*($A$3:$A$502=تقرير_الشهر)*($B$3:$B$502=تقرير_السنة)*(ROW($C$3:$C$502)&lt;=ROW())),"")</f>
        <v/>
      </c>
    </row>
    <row r="502">
      <c r="A502" s="47" t="n"/>
      <c r="B502" s="62" t="n"/>
      <c r="C502" s="47" t="n"/>
      <c r="D502" s="50">
        <f>IFERROR(INDEX(الموظفون_الاسم,MATCH($C502,الموظفون_الرقم,0)),"")</f>
        <v/>
      </c>
      <c r="E502" s="50">
        <f>IFERROR(INDEX(الموظفون_الإدارة,MATCH($C502,الموظفون_الرقم,0)),"")</f>
        <v/>
      </c>
      <c r="F502" s="50">
        <f>IFERROR(INDEX(الموظفون_القسم,MATCH($C502,الموظفون_الرقم,0)),"")</f>
        <v/>
      </c>
      <c r="G502" s="63">
        <f>IF($C502="","",IFERROR(INDEX(الموظفون_الاساسي,MATCH($C502,الموظفون_الرقم,0)),0))</f>
        <v/>
      </c>
      <c r="H502" s="49" t="n"/>
      <c r="I502" s="49" t="n"/>
      <c r="J502" s="49" t="n"/>
      <c r="K502" s="49" t="n"/>
      <c r="L502" s="49" t="n"/>
      <c r="M502" s="64" t="n"/>
      <c r="N502" s="49" t="n"/>
      <c r="O502" s="49" t="n"/>
      <c r="P502" s="49" t="n"/>
      <c r="Q502" s="49" t="n"/>
      <c r="R502" s="49" t="n"/>
      <c r="S502" s="63">
        <f>IF($C502="","",SUM($G502:$L502))</f>
        <v/>
      </c>
      <c r="T502" s="63">
        <f>IF($C502="","",SUM($N502:$R502))</f>
        <v/>
      </c>
      <c r="U502" s="63">
        <f>IF($C502="","",$S502-$T502)</f>
        <v/>
      </c>
      <c r="V502" s="47" t="n"/>
      <c r="W502" s="112" t="n"/>
      <c r="X502" s="47" t="n"/>
      <c r="Y502" s="50">
        <f>IF($C502="","",IF(SUMPRODUCT(($C$3:$C$502=$C502)*($A$3:$A$502=$A502)*($B$3:$B$502=$B502))&gt;1,"⚠ مكرر","سليم"))</f>
        <v/>
      </c>
      <c r="Z502">
        <f>IF(AND($C502&lt;&gt;"",$A502=تقرير_الشهر,$B502=تقرير_السنة),SUMPRODUCT(($C$3:$C$502&lt;&gt;"")*($A$3:$A$502=تقرير_الشهر)*($B$3:$B$502=تقرير_السنة)*(ROW($C$3:$C$502)&lt;=ROW())),"")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C605"/>
  <autoFilter ref="A2:AC502"/>
  <mergeCells count="1">
    <mergeCell ref="A1:Y1"/>
  </mergeCells>
  <conditionalFormatting sqref="Y3:Y502">
    <cfRule type="cellIs" priority="1" operator="equal" dxfId="3">
      <formula>"⚠ مكرر"</formula>
    </cfRule>
    <cfRule type="cellIs" priority="2" operator="equal" dxfId="2">
      <formula>"سليم"</formula>
    </cfRule>
  </conditionalFormatting>
  <conditionalFormatting sqref="V3:V502">
    <cfRule type="cellIs" priority="3" operator="equal" dxfId="2">
      <formula>"مصروف"</formula>
    </cfRule>
    <cfRule type="cellIs" priority="4" operator="equal" dxfId="1">
      <formula>"معلق"</formula>
    </cfRule>
  </conditionalFormatting>
  <dataValidations count="3">
    <dataValidation sqref="C3:C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=قائمة_الرقم_الوظيفي</formula1>
    </dataValidation>
    <dataValidation sqref="V3:V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=قائمة_حالات_الصرف</formula1>
    </dataValidation>
    <dataValidation sqref="A3:A502" showDropDown="0" showInputMessage="0" showErrorMessage="0" allowBlank="1" type="list">
      <formula1>"يناير,فبراير,مارس,أبريل,مايو,يونيو,يوليو,أغسطس,سبتمبر,أكتوبر,نوفمبر,ديسمبر"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BF8F00"/>
    <outlinePr summaryBelow="1" summaryRight="1"/>
    <pageSetUpPr fitToPage="1"/>
  </sheetPr>
  <dimension ref="A1:L502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3" customWidth="1" min="4" max="4"/>
    <col width="14" customWidth="1" min="5" max="5"/>
    <col width="12" customWidth="1" min="6" max="6"/>
    <col width="13" customWidth="1" min="7" max="7"/>
    <col width="14" customWidth="1" min="8" max="8"/>
    <col width="14" customWidth="1" min="9" max="9"/>
    <col width="14" customWidth="1" min="10" max="10"/>
    <col width="12" customWidth="1" min="11" max="11"/>
    <col width="26" customWidth="1" min="12" max="12"/>
  </cols>
  <sheetData>
    <row r="1" ht="32" customHeight="1">
      <c r="A1" s="1" t="inlineStr">
        <is>
          <t>السلف  —  نموذج إدخال</t>
        </is>
      </c>
    </row>
    <row r="2" ht="42" customHeight="1">
      <c r="A2" s="38" t="inlineStr">
        <is>
          <t>رقم السلفة</t>
        </is>
      </c>
      <c r="B2" s="38" t="inlineStr">
        <is>
          <t>الرقم الوظيفي</t>
        </is>
      </c>
      <c r="C2" s="38" t="inlineStr">
        <is>
          <t>اسم الموظف</t>
        </is>
      </c>
      <c r="D2" s="38" t="inlineStr">
        <is>
          <t>تاريخ السلفة</t>
        </is>
      </c>
      <c r="E2" s="38" t="inlineStr">
        <is>
          <t>مبلغ السلفة</t>
        </is>
      </c>
      <c r="F2" s="38" t="inlineStr">
        <is>
          <t>عدد الأقساط</t>
        </is>
      </c>
      <c r="G2" s="38" t="inlineStr">
        <is>
          <t>قيمة القسط</t>
        </is>
      </c>
      <c r="H2" s="38" t="inlineStr">
        <is>
          <t>إجمالي المسدد</t>
        </is>
      </c>
      <c r="I2" s="38" t="inlineStr">
        <is>
          <t>المبلغ المتبقي</t>
        </is>
      </c>
      <c r="J2" s="38" t="inlineStr">
        <is>
          <t>تاريخ بداية السداد</t>
        </is>
      </c>
      <c r="K2" s="38" t="inlineStr">
        <is>
          <t>حالة السلفة</t>
        </is>
      </c>
      <c r="L2" s="38" t="inlineStr">
        <is>
          <t>الملاحظات</t>
        </is>
      </c>
    </row>
    <row r="3">
      <c r="A3" s="39" t="n"/>
      <c r="B3" s="40" t="n"/>
      <c r="C3" s="43">
        <f>IFERROR(INDEX(الموظفون_الاسم,MATCH($B3,الموظفون_الرقم,0)),"")</f>
        <v/>
      </c>
      <c r="D3" s="110" t="n"/>
      <c r="E3" s="42" t="n"/>
      <c r="F3" s="40" t="n"/>
      <c r="G3" s="60">
        <f>IF(OR($E3="",$F3="",$F3=0),"",$E3/$F3)</f>
        <v/>
      </c>
      <c r="H3" s="60">
        <f>IF($A3="","",SUMIFS(الرواتب_قسط_السلفة,الرواتب_السلفة,$A3,الرواتب_حالة_الصرف,"مصروف"))</f>
        <v/>
      </c>
      <c r="I3" s="60">
        <f>IF($A3="","",MAX(0,$E3-$H3))</f>
        <v/>
      </c>
      <c r="J3" s="110" t="n"/>
      <c r="K3" s="40" t="n"/>
      <c r="L3" s="40" t="n"/>
    </row>
    <row r="4">
      <c r="A4" s="46" t="n"/>
      <c r="B4" s="47" t="n"/>
      <c r="C4" s="50">
        <f>IFERROR(INDEX(الموظفون_الاسم,MATCH($B4,الموظفون_الرقم,0)),"")</f>
        <v/>
      </c>
      <c r="D4" s="112" t="n"/>
      <c r="E4" s="49" t="n"/>
      <c r="F4" s="47" t="n"/>
      <c r="G4" s="63">
        <f>IF(OR($E4="",$F4="",$F4=0),"",$E4/$F4)</f>
        <v/>
      </c>
      <c r="H4" s="63">
        <f>IF($A4="","",SUMIFS(الرواتب_قسط_السلفة,الرواتب_السلفة,$A4,الرواتب_حالة_الصرف,"مصروف"))</f>
        <v/>
      </c>
      <c r="I4" s="63">
        <f>IF($A4="","",MAX(0,$E4-$H4))</f>
        <v/>
      </c>
      <c r="J4" s="112" t="n"/>
      <c r="K4" s="47" t="n"/>
      <c r="L4" s="47" t="n"/>
    </row>
    <row r="5">
      <c r="A5" s="39" t="n"/>
      <c r="B5" s="40" t="n"/>
      <c r="C5" s="43">
        <f>IFERROR(INDEX(الموظفون_الاسم,MATCH($B5,الموظفون_الرقم,0)),"")</f>
        <v/>
      </c>
      <c r="D5" s="110" t="n"/>
      <c r="E5" s="42" t="n"/>
      <c r="F5" s="40" t="n"/>
      <c r="G5" s="60">
        <f>IF(OR($E5="",$F5="",$F5=0),"",$E5/$F5)</f>
        <v/>
      </c>
      <c r="H5" s="60">
        <f>IF($A5="","",SUMIFS(الرواتب_قسط_السلفة,الرواتب_السلفة,$A5,الرواتب_حالة_الصرف,"مصروف"))</f>
        <v/>
      </c>
      <c r="I5" s="60">
        <f>IF($A5="","",MAX(0,$E5-$H5))</f>
        <v/>
      </c>
      <c r="J5" s="110" t="n"/>
      <c r="K5" s="40" t="n"/>
      <c r="L5" s="40" t="n"/>
    </row>
    <row r="6">
      <c r="A6" s="46" t="n"/>
      <c r="B6" s="47" t="n"/>
      <c r="C6" s="50">
        <f>IFERROR(INDEX(الموظفون_الاسم,MATCH($B6,الموظفون_الرقم,0)),"")</f>
        <v/>
      </c>
      <c r="D6" s="112" t="n"/>
      <c r="E6" s="49" t="n"/>
      <c r="F6" s="47" t="n"/>
      <c r="G6" s="63">
        <f>IF(OR($E6="",$F6="",$F6=0),"",$E6/$F6)</f>
        <v/>
      </c>
      <c r="H6" s="63">
        <f>IF($A6="","",SUMIFS(الرواتب_قسط_السلفة,الرواتب_السلفة,$A6,الرواتب_حالة_الصرف,"مصروف"))</f>
        <v/>
      </c>
      <c r="I6" s="63">
        <f>IF($A6="","",MAX(0,$E6-$H6))</f>
        <v/>
      </c>
      <c r="J6" s="112" t="n"/>
      <c r="K6" s="47" t="n"/>
      <c r="L6" s="47" t="n"/>
    </row>
    <row r="7">
      <c r="A7" s="39" t="n"/>
      <c r="B7" s="40" t="n"/>
      <c r="C7" s="43">
        <f>IFERROR(INDEX(الموظفون_الاسم,MATCH($B7,الموظفون_الرقم,0)),"")</f>
        <v/>
      </c>
      <c r="D7" s="110" t="n"/>
      <c r="E7" s="42" t="n"/>
      <c r="F7" s="40" t="n"/>
      <c r="G7" s="60">
        <f>IF(OR($E7="",$F7="",$F7=0),"",$E7/$F7)</f>
        <v/>
      </c>
      <c r="H7" s="60">
        <f>IF($A7="","",SUMIFS(الرواتب_قسط_السلفة,الرواتب_السلفة,$A7,الرواتب_حالة_الصرف,"مصروف"))</f>
        <v/>
      </c>
      <c r="I7" s="60">
        <f>IF($A7="","",MAX(0,$E7-$H7))</f>
        <v/>
      </c>
      <c r="J7" s="110" t="n"/>
      <c r="K7" s="40" t="n"/>
      <c r="L7" s="40" t="n"/>
    </row>
    <row r="8">
      <c r="A8" s="46" t="n"/>
      <c r="B8" s="47" t="n"/>
      <c r="C8" s="50">
        <f>IFERROR(INDEX(الموظفون_الاسم,MATCH($B8,الموظفون_الرقم,0)),"")</f>
        <v/>
      </c>
      <c r="D8" s="112" t="n"/>
      <c r="E8" s="49" t="n"/>
      <c r="F8" s="47" t="n"/>
      <c r="G8" s="63">
        <f>IF(OR($E8="",$F8="",$F8=0),"",$E8/$F8)</f>
        <v/>
      </c>
      <c r="H8" s="63">
        <f>IF($A8="","",SUMIFS(الرواتب_قسط_السلفة,الرواتب_السلفة,$A8,الرواتب_حالة_الصرف,"مصروف"))</f>
        <v/>
      </c>
      <c r="I8" s="63">
        <f>IF($A8="","",MAX(0,$E8-$H8))</f>
        <v/>
      </c>
      <c r="J8" s="112" t="n"/>
      <c r="K8" s="47" t="n"/>
      <c r="L8" s="47" t="n"/>
    </row>
    <row r="9">
      <c r="A9" s="39" t="n"/>
      <c r="B9" s="40" t="n"/>
      <c r="C9" s="43">
        <f>IFERROR(INDEX(الموظفون_الاسم,MATCH($B9,الموظفون_الرقم,0)),"")</f>
        <v/>
      </c>
      <c r="D9" s="110" t="n"/>
      <c r="E9" s="42" t="n"/>
      <c r="F9" s="40" t="n"/>
      <c r="G9" s="60">
        <f>IF(OR($E9="",$F9="",$F9=0),"",$E9/$F9)</f>
        <v/>
      </c>
      <c r="H9" s="60">
        <f>IF($A9="","",SUMIFS(الرواتب_قسط_السلفة,الرواتب_السلفة,$A9,الرواتب_حالة_الصرف,"مصروف"))</f>
        <v/>
      </c>
      <c r="I9" s="60">
        <f>IF($A9="","",MAX(0,$E9-$H9))</f>
        <v/>
      </c>
      <c r="J9" s="110" t="n"/>
      <c r="K9" s="40" t="n"/>
      <c r="L9" s="40" t="n"/>
    </row>
    <row r="10">
      <c r="A10" s="46" t="n"/>
      <c r="B10" s="47" t="n"/>
      <c r="C10" s="50">
        <f>IFERROR(INDEX(الموظفون_الاسم,MATCH($B10,الموظفون_الرقم,0)),"")</f>
        <v/>
      </c>
      <c r="D10" s="112" t="n"/>
      <c r="E10" s="49" t="n"/>
      <c r="F10" s="47" t="n"/>
      <c r="G10" s="63">
        <f>IF(OR($E10="",$F10="",$F10=0),"",$E10/$F10)</f>
        <v/>
      </c>
      <c r="H10" s="63">
        <f>IF($A10="","",SUMIFS(الرواتب_قسط_السلفة,الرواتب_السلفة,$A10,الرواتب_حالة_الصرف,"مصروف"))</f>
        <v/>
      </c>
      <c r="I10" s="63">
        <f>IF($A10="","",MAX(0,$E10-$H10))</f>
        <v/>
      </c>
      <c r="J10" s="112" t="n"/>
      <c r="K10" s="47" t="n"/>
      <c r="L10" s="47" t="n"/>
    </row>
    <row r="11">
      <c r="A11" s="39" t="n"/>
      <c r="B11" s="40" t="n"/>
      <c r="C11" s="43">
        <f>IFERROR(INDEX(الموظفون_الاسم,MATCH($B11,الموظفون_الرقم,0)),"")</f>
        <v/>
      </c>
      <c r="D11" s="110" t="n"/>
      <c r="E11" s="42" t="n"/>
      <c r="F11" s="40" t="n"/>
      <c r="G11" s="60">
        <f>IF(OR($E11="",$F11="",$F11=0),"",$E11/$F11)</f>
        <v/>
      </c>
      <c r="H11" s="60">
        <f>IF($A11="","",SUMIFS(الرواتب_قسط_السلفة,الرواتب_السلفة,$A11,الرواتب_حالة_الصرف,"مصروف"))</f>
        <v/>
      </c>
      <c r="I11" s="60">
        <f>IF($A11="","",MAX(0,$E11-$H11))</f>
        <v/>
      </c>
      <c r="J11" s="110" t="n"/>
      <c r="K11" s="40" t="n"/>
      <c r="L11" s="40" t="n"/>
    </row>
    <row r="12">
      <c r="A12" s="46" t="n"/>
      <c r="B12" s="47" t="n"/>
      <c r="C12" s="50">
        <f>IFERROR(INDEX(الموظفون_الاسم,MATCH($B12,الموظفون_الرقم,0)),"")</f>
        <v/>
      </c>
      <c r="D12" s="112" t="n"/>
      <c r="E12" s="49" t="n"/>
      <c r="F12" s="47" t="n"/>
      <c r="G12" s="63">
        <f>IF(OR($E12="",$F12="",$F12=0),"",$E12/$F12)</f>
        <v/>
      </c>
      <c r="H12" s="63">
        <f>IF($A12="","",SUMIFS(الرواتب_قسط_السلفة,الرواتب_السلفة,$A12,الرواتب_حالة_الصرف,"مصروف"))</f>
        <v/>
      </c>
      <c r="I12" s="63">
        <f>IF($A12="","",MAX(0,$E12-$H12))</f>
        <v/>
      </c>
      <c r="J12" s="112" t="n"/>
      <c r="K12" s="47" t="n"/>
      <c r="L12" s="47" t="n"/>
    </row>
    <row r="13">
      <c r="A13" s="39" t="n"/>
      <c r="B13" s="40" t="n"/>
      <c r="C13" s="43">
        <f>IFERROR(INDEX(الموظفون_الاسم,MATCH($B13,الموظفون_الرقم,0)),"")</f>
        <v/>
      </c>
      <c r="D13" s="110" t="n"/>
      <c r="E13" s="42" t="n"/>
      <c r="F13" s="40" t="n"/>
      <c r="G13" s="60">
        <f>IF(OR($E13="",$F13="",$F13=0),"",$E13/$F13)</f>
        <v/>
      </c>
      <c r="H13" s="60">
        <f>IF($A13="","",SUMIFS(الرواتب_قسط_السلفة,الرواتب_السلفة,$A13,الرواتب_حالة_الصرف,"مصروف"))</f>
        <v/>
      </c>
      <c r="I13" s="60">
        <f>IF($A13="","",MAX(0,$E13-$H13))</f>
        <v/>
      </c>
      <c r="J13" s="110" t="n"/>
      <c r="K13" s="40" t="n"/>
      <c r="L13" s="40" t="n"/>
    </row>
    <row r="14">
      <c r="A14" s="46" t="n"/>
      <c r="B14" s="47" t="n"/>
      <c r="C14" s="50">
        <f>IFERROR(INDEX(الموظفون_الاسم,MATCH($B14,الموظفون_الرقم,0)),"")</f>
        <v/>
      </c>
      <c r="D14" s="112" t="n"/>
      <c r="E14" s="49" t="n"/>
      <c r="F14" s="47" t="n"/>
      <c r="G14" s="63">
        <f>IF(OR($E14="",$F14="",$F14=0),"",$E14/$F14)</f>
        <v/>
      </c>
      <c r="H14" s="63">
        <f>IF($A14="","",SUMIFS(الرواتب_قسط_السلفة,الرواتب_السلفة,$A14,الرواتب_حالة_الصرف,"مصروف"))</f>
        <v/>
      </c>
      <c r="I14" s="63">
        <f>IF($A14="","",MAX(0,$E14-$H14))</f>
        <v/>
      </c>
      <c r="J14" s="112" t="n"/>
      <c r="K14" s="47" t="n"/>
      <c r="L14" s="47" t="n"/>
    </row>
    <row r="15">
      <c r="A15" s="39" t="n"/>
      <c r="B15" s="40" t="n"/>
      <c r="C15" s="43">
        <f>IFERROR(INDEX(الموظفون_الاسم,MATCH($B15,الموظفون_الرقم,0)),"")</f>
        <v/>
      </c>
      <c r="D15" s="110" t="n"/>
      <c r="E15" s="42" t="n"/>
      <c r="F15" s="40" t="n"/>
      <c r="G15" s="60">
        <f>IF(OR($E15="",$F15="",$F15=0),"",$E15/$F15)</f>
        <v/>
      </c>
      <c r="H15" s="60">
        <f>IF($A15="","",SUMIFS(الرواتب_قسط_السلفة,الرواتب_السلفة,$A15,الرواتب_حالة_الصرف,"مصروف"))</f>
        <v/>
      </c>
      <c r="I15" s="60">
        <f>IF($A15="","",MAX(0,$E15-$H15))</f>
        <v/>
      </c>
      <c r="J15" s="110" t="n"/>
      <c r="K15" s="40" t="n"/>
      <c r="L15" s="40" t="n"/>
    </row>
    <row r="16">
      <c r="A16" s="46" t="n"/>
      <c r="B16" s="47" t="n"/>
      <c r="C16" s="50">
        <f>IFERROR(INDEX(الموظفون_الاسم,MATCH($B16,الموظفون_الرقم,0)),"")</f>
        <v/>
      </c>
      <c r="D16" s="112" t="n"/>
      <c r="E16" s="49" t="n"/>
      <c r="F16" s="47" t="n"/>
      <c r="G16" s="63">
        <f>IF(OR($E16="",$F16="",$F16=0),"",$E16/$F16)</f>
        <v/>
      </c>
      <c r="H16" s="63">
        <f>IF($A16="","",SUMIFS(الرواتب_قسط_السلفة,الرواتب_السلفة,$A16,الرواتب_حالة_الصرف,"مصروف"))</f>
        <v/>
      </c>
      <c r="I16" s="63">
        <f>IF($A16="","",MAX(0,$E16-$H16))</f>
        <v/>
      </c>
      <c r="J16" s="112" t="n"/>
      <c r="K16" s="47" t="n"/>
      <c r="L16" s="47" t="n"/>
    </row>
    <row r="17">
      <c r="A17" s="39" t="n"/>
      <c r="B17" s="40" t="n"/>
      <c r="C17" s="43">
        <f>IFERROR(INDEX(الموظفون_الاسم,MATCH($B17,الموظفون_الرقم,0)),"")</f>
        <v/>
      </c>
      <c r="D17" s="110" t="n"/>
      <c r="E17" s="42" t="n"/>
      <c r="F17" s="40" t="n"/>
      <c r="G17" s="60">
        <f>IF(OR($E17="",$F17="",$F17=0),"",$E17/$F17)</f>
        <v/>
      </c>
      <c r="H17" s="60">
        <f>IF($A17="","",SUMIFS(الرواتب_قسط_السلفة,الرواتب_السلفة,$A17,الرواتب_حالة_الصرف,"مصروف"))</f>
        <v/>
      </c>
      <c r="I17" s="60">
        <f>IF($A17="","",MAX(0,$E17-$H17))</f>
        <v/>
      </c>
      <c r="J17" s="110" t="n"/>
      <c r="K17" s="40" t="n"/>
      <c r="L17" s="40" t="n"/>
    </row>
    <row r="18">
      <c r="A18" s="46" t="n"/>
      <c r="B18" s="47" t="n"/>
      <c r="C18" s="50">
        <f>IFERROR(INDEX(الموظفون_الاسم,MATCH($B18,الموظفون_الرقم,0)),"")</f>
        <v/>
      </c>
      <c r="D18" s="112" t="n"/>
      <c r="E18" s="49" t="n"/>
      <c r="F18" s="47" t="n"/>
      <c r="G18" s="63">
        <f>IF(OR($E18="",$F18="",$F18=0),"",$E18/$F18)</f>
        <v/>
      </c>
      <c r="H18" s="63">
        <f>IF($A18="","",SUMIFS(الرواتب_قسط_السلفة,الرواتب_السلفة,$A18,الرواتب_حالة_الصرف,"مصروف"))</f>
        <v/>
      </c>
      <c r="I18" s="63">
        <f>IF($A18="","",MAX(0,$E18-$H18))</f>
        <v/>
      </c>
      <c r="J18" s="112" t="n"/>
      <c r="K18" s="47" t="n"/>
      <c r="L18" s="47" t="n"/>
    </row>
    <row r="19">
      <c r="A19" s="39" t="n"/>
      <c r="B19" s="40" t="n"/>
      <c r="C19" s="43">
        <f>IFERROR(INDEX(الموظفون_الاسم,MATCH($B19,الموظفون_الرقم,0)),"")</f>
        <v/>
      </c>
      <c r="D19" s="110" t="n"/>
      <c r="E19" s="42" t="n"/>
      <c r="F19" s="40" t="n"/>
      <c r="G19" s="60">
        <f>IF(OR($E19="",$F19="",$F19=0),"",$E19/$F19)</f>
        <v/>
      </c>
      <c r="H19" s="60">
        <f>IF($A19="","",SUMIFS(الرواتب_قسط_السلفة,الرواتب_السلفة,$A19,الرواتب_حالة_الصرف,"مصروف"))</f>
        <v/>
      </c>
      <c r="I19" s="60">
        <f>IF($A19="","",MAX(0,$E19-$H19))</f>
        <v/>
      </c>
      <c r="J19" s="110" t="n"/>
      <c r="K19" s="40" t="n"/>
      <c r="L19" s="40" t="n"/>
    </row>
    <row r="20">
      <c r="A20" s="46" t="n"/>
      <c r="B20" s="47" t="n"/>
      <c r="C20" s="50">
        <f>IFERROR(INDEX(الموظفون_الاسم,MATCH($B20,الموظفون_الرقم,0)),"")</f>
        <v/>
      </c>
      <c r="D20" s="112" t="n"/>
      <c r="E20" s="49" t="n"/>
      <c r="F20" s="47" t="n"/>
      <c r="G20" s="63">
        <f>IF(OR($E20="",$F20="",$F20=0),"",$E20/$F20)</f>
        <v/>
      </c>
      <c r="H20" s="63">
        <f>IF($A20="","",SUMIFS(الرواتب_قسط_السلفة,الرواتب_السلفة,$A20,الرواتب_حالة_الصرف,"مصروف"))</f>
        <v/>
      </c>
      <c r="I20" s="63">
        <f>IF($A20="","",MAX(0,$E20-$H20))</f>
        <v/>
      </c>
      <c r="J20" s="112" t="n"/>
      <c r="K20" s="47" t="n"/>
      <c r="L20" s="47" t="n"/>
    </row>
    <row r="21">
      <c r="A21" s="39" t="n"/>
      <c r="B21" s="40" t="n"/>
      <c r="C21" s="43">
        <f>IFERROR(INDEX(الموظفون_الاسم,MATCH($B21,الموظفون_الرقم,0)),"")</f>
        <v/>
      </c>
      <c r="D21" s="110" t="n"/>
      <c r="E21" s="42" t="n"/>
      <c r="F21" s="40" t="n"/>
      <c r="G21" s="60">
        <f>IF(OR($E21="",$F21="",$F21=0),"",$E21/$F21)</f>
        <v/>
      </c>
      <c r="H21" s="60">
        <f>IF($A21="","",SUMIFS(الرواتب_قسط_السلفة,الرواتب_السلفة,$A21,الرواتب_حالة_الصرف,"مصروف"))</f>
        <v/>
      </c>
      <c r="I21" s="60">
        <f>IF($A21="","",MAX(0,$E21-$H21))</f>
        <v/>
      </c>
      <c r="J21" s="110" t="n"/>
      <c r="K21" s="40" t="n"/>
      <c r="L21" s="40" t="n"/>
    </row>
    <row r="22">
      <c r="A22" s="46" t="n"/>
      <c r="B22" s="47" t="n"/>
      <c r="C22" s="50">
        <f>IFERROR(INDEX(الموظفون_الاسم,MATCH($B22,الموظفون_الرقم,0)),"")</f>
        <v/>
      </c>
      <c r="D22" s="112" t="n"/>
      <c r="E22" s="49" t="n"/>
      <c r="F22" s="47" t="n"/>
      <c r="G22" s="63">
        <f>IF(OR($E22="",$F22="",$F22=0),"",$E22/$F22)</f>
        <v/>
      </c>
      <c r="H22" s="63">
        <f>IF($A22="","",SUMIFS(الرواتب_قسط_السلفة,الرواتب_السلفة,$A22,الرواتب_حالة_الصرف,"مصروف"))</f>
        <v/>
      </c>
      <c r="I22" s="63">
        <f>IF($A22="","",MAX(0,$E22-$H22))</f>
        <v/>
      </c>
      <c r="J22" s="112" t="n"/>
      <c r="K22" s="47" t="n"/>
      <c r="L22" s="47" t="n"/>
    </row>
    <row r="23">
      <c r="A23" s="39" t="n"/>
      <c r="B23" s="40" t="n"/>
      <c r="C23" s="43">
        <f>IFERROR(INDEX(الموظفون_الاسم,MATCH($B23,الموظفون_الرقم,0)),"")</f>
        <v/>
      </c>
      <c r="D23" s="110" t="n"/>
      <c r="E23" s="42" t="n"/>
      <c r="F23" s="40" t="n"/>
      <c r="G23" s="60">
        <f>IF(OR($E23="",$F23="",$F23=0),"",$E23/$F23)</f>
        <v/>
      </c>
      <c r="H23" s="60">
        <f>IF($A23="","",SUMIFS(الرواتب_قسط_السلفة,الرواتب_السلفة,$A23,الرواتب_حالة_الصرف,"مصروف"))</f>
        <v/>
      </c>
      <c r="I23" s="60">
        <f>IF($A23="","",MAX(0,$E23-$H23))</f>
        <v/>
      </c>
      <c r="J23" s="110" t="n"/>
      <c r="K23" s="40" t="n"/>
      <c r="L23" s="40" t="n"/>
    </row>
    <row r="24">
      <c r="A24" s="46" t="n"/>
      <c r="B24" s="47" t="n"/>
      <c r="C24" s="50">
        <f>IFERROR(INDEX(الموظفون_الاسم,MATCH($B24,الموظفون_الرقم,0)),"")</f>
        <v/>
      </c>
      <c r="D24" s="112" t="n"/>
      <c r="E24" s="49" t="n"/>
      <c r="F24" s="47" t="n"/>
      <c r="G24" s="63">
        <f>IF(OR($E24="",$F24="",$F24=0),"",$E24/$F24)</f>
        <v/>
      </c>
      <c r="H24" s="63">
        <f>IF($A24="","",SUMIFS(الرواتب_قسط_السلفة,الرواتب_السلفة,$A24,الرواتب_حالة_الصرف,"مصروف"))</f>
        <v/>
      </c>
      <c r="I24" s="63">
        <f>IF($A24="","",MAX(0,$E24-$H24))</f>
        <v/>
      </c>
      <c r="J24" s="112" t="n"/>
      <c r="K24" s="47" t="n"/>
      <c r="L24" s="47" t="n"/>
    </row>
    <row r="25">
      <c r="A25" s="39" t="n"/>
      <c r="B25" s="40" t="n"/>
      <c r="C25" s="43">
        <f>IFERROR(INDEX(الموظفون_الاسم,MATCH($B25,الموظفون_الرقم,0)),"")</f>
        <v/>
      </c>
      <c r="D25" s="110" t="n"/>
      <c r="E25" s="42" t="n"/>
      <c r="F25" s="40" t="n"/>
      <c r="G25" s="60">
        <f>IF(OR($E25="",$F25="",$F25=0),"",$E25/$F25)</f>
        <v/>
      </c>
      <c r="H25" s="60">
        <f>IF($A25="","",SUMIFS(الرواتب_قسط_السلفة,الرواتب_السلفة,$A25,الرواتب_حالة_الصرف,"مصروف"))</f>
        <v/>
      </c>
      <c r="I25" s="60">
        <f>IF($A25="","",MAX(0,$E25-$H25))</f>
        <v/>
      </c>
      <c r="J25" s="110" t="n"/>
      <c r="K25" s="40" t="n"/>
      <c r="L25" s="40" t="n"/>
    </row>
    <row r="26">
      <c r="A26" s="46" t="n"/>
      <c r="B26" s="47" t="n"/>
      <c r="C26" s="50">
        <f>IFERROR(INDEX(الموظفون_الاسم,MATCH($B26,الموظفون_الرقم,0)),"")</f>
        <v/>
      </c>
      <c r="D26" s="112" t="n"/>
      <c r="E26" s="49" t="n"/>
      <c r="F26" s="47" t="n"/>
      <c r="G26" s="63">
        <f>IF(OR($E26="",$F26="",$F26=0),"",$E26/$F26)</f>
        <v/>
      </c>
      <c r="H26" s="63">
        <f>IF($A26="","",SUMIFS(الرواتب_قسط_السلفة,الرواتب_السلفة,$A26,الرواتب_حالة_الصرف,"مصروف"))</f>
        <v/>
      </c>
      <c r="I26" s="63">
        <f>IF($A26="","",MAX(0,$E26-$H26))</f>
        <v/>
      </c>
      <c r="J26" s="112" t="n"/>
      <c r="K26" s="47" t="n"/>
      <c r="L26" s="47" t="n"/>
    </row>
    <row r="27">
      <c r="A27" s="39" t="n"/>
      <c r="B27" s="40" t="n"/>
      <c r="C27" s="43">
        <f>IFERROR(INDEX(الموظفون_الاسم,MATCH($B27,الموظفون_الرقم,0)),"")</f>
        <v/>
      </c>
      <c r="D27" s="110" t="n"/>
      <c r="E27" s="42" t="n"/>
      <c r="F27" s="40" t="n"/>
      <c r="G27" s="60">
        <f>IF(OR($E27="",$F27="",$F27=0),"",$E27/$F27)</f>
        <v/>
      </c>
      <c r="H27" s="60">
        <f>IF($A27="","",SUMIFS(الرواتب_قسط_السلفة,الرواتب_السلفة,$A27,الرواتب_حالة_الصرف,"مصروف"))</f>
        <v/>
      </c>
      <c r="I27" s="60">
        <f>IF($A27="","",MAX(0,$E27-$H27))</f>
        <v/>
      </c>
      <c r="J27" s="110" t="n"/>
      <c r="K27" s="40" t="n"/>
      <c r="L27" s="40" t="n"/>
    </row>
    <row r="28">
      <c r="A28" s="46" t="n"/>
      <c r="B28" s="47" t="n"/>
      <c r="C28" s="50">
        <f>IFERROR(INDEX(الموظفون_الاسم,MATCH($B28,الموظفون_الرقم,0)),"")</f>
        <v/>
      </c>
      <c r="D28" s="112" t="n"/>
      <c r="E28" s="49" t="n"/>
      <c r="F28" s="47" t="n"/>
      <c r="G28" s="63">
        <f>IF(OR($E28="",$F28="",$F28=0),"",$E28/$F28)</f>
        <v/>
      </c>
      <c r="H28" s="63">
        <f>IF($A28="","",SUMIFS(الرواتب_قسط_السلفة,الرواتب_السلفة,$A28,الرواتب_حالة_الصرف,"مصروف"))</f>
        <v/>
      </c>
      <c r="I28" s="63">
        <f>IF($A28="","",MAX(0,$E28-$H28))</f>
        <v/>
      </c>
      <c r="J28" s="112" t="n"/>
      <c r="K28" s="47" t="n"/>
      <c r="L28" s="47" t="n"/>
    </row>
    <row r="29">
      <c r="A29" s="39" t="n"/>
      <c r="B29" s="40" t="n"/>
      <c r="C29" s="43">
        <f>IFERROR(INDEX(الموظفون_الاسم,MATCH($B29,الموظفون_الرقم,0)),"")</f>
        <v/>
      </c>
      <c r="D29" s="110" t="n"/>
      <c r="E29" s="42" t="n"/>
      <c r="F29" s="40" t="n"/>
      <c r="G29" s="60">
        <f>IF(OR($E29="",$F29="",$F29=0),"",$E29/$F29)</f>
        <v/>
      </c>
      <c r="H29" s="60">
        <f>IF($A29="","",SUMIFS(الرواتب_قسط_السلفة,الرواتب_السلفة,$A29,الرواتب_حالة_الصرف,"مصروف"))</f>
        <v/>
      </c>
      <c r="I29" s="60">
        <f>IF($A29="","",MAX(0,$E29-$H29))</f>
        <v/>
      </c>
      <c r="J29" s="110" t="n"/>
      <c r="K29" s="40" t="n"/>
      <c r="L29" s="40" t="n"/>
    </row>
    <row r="30">
      <c r="A30" s="46" t="n"/>
      <c r="B30" s="47" t="n"/>
      <c r="C30" s="50">
        <f>IFERROR(INDEX(الموظفون_الاسم,MATCH($B30,الموظفون_الرقم,0)),"")</f>
        <v/>
      </c>
      <c r="D30" s="112" t="n"/>
      <c r="E30" s="49" t="n"/>
      <c r="F30" s="47" t="n"/>
      <c r="G30" s="63">
        <f>IF(OR($E30="",$F30="",$F30=0),"",$E30/$F30)</f>
        <v/>
      </c>
      <c r="H30" s="63">
        <f>IF($A30="","",SUMIFS(الرواتب_قسط_السلفة,الرواتب_السلفة,$A30,الرواتب_حالة_الصرف,"مصروف"))</f>
        <v/>
      </c>
      <c r="I30" s="63">
        <f>IF($A30="","",MAX(0,$E30-$H30))</f>
        <v/>
      </c>
      <c r="J30" s="112" t="n"/>
      <c r="K30" s="47" t="n"/>
      <c r="L30" s="47" t="n"/>
    </row>
    <row r="31">
      <c r="A31" s="39" t="n"/>
      <c r="B31" s="40" t="n"/>
      <c r="C31" s="43">
        <f>IFERROR(INDEX(الموظفون_الاسم,MATCH($B31,الموظفون_الرقم,0)),"")</f>
        <v/>
      </c>
      <c r="D31" s="110" t="n"/>
      <c r="E31" s="42" t="n"/>
      <c r="F31" s="40" t="n"/>
      <c r="G31" s="60">
        <f>IF(OR($E31="",$F31="",$F31=0),"",$E31/$F31)</f>
        <v/>
      </c>
      <c r="H31" s="60">
        <f>IF($A31="","",SUMIFS(الرواتب_قسط_السلفة,الرواتب_السلفة,$A31,الرواتب_حالة_الصرف,"مصروف"))</f>
        <v/>
      </c>
      <c r="I31" s="60">
        <f>IF($A31="","",MAX(0,$E31-$H31))</f>
        <v/>
      </c>
      <c r="J31" s="110" t="n"/>
      <c r="K31" s="40" t="n"/>
      <c r="L31" s="40" t="n"/>
    </row>
    <row r="32">
      <c r="A32" s="46" t="n"/>
      <c r="B32" s="47" t="n"/>
      <c r="C32" s="50">
        <f>IFERROR(INDEX(الموظفون_الاسم,MATCH($B32,الموظفون_الرقم,0)),"")</f>
        <v/>
      </c>
      <c r="D32" s="112" t="n"/>
      <c r="E32" s="49" t="n"/>
      <c r="F32" s="47" t="n"/>
      <c r="G32" s="63">
        <f>IF(OR($E32="",$F32="",$F32=0),"",$E32/$F32)</f>
        <v/>
      </c>
      <c r="H32" s="63">
        <f>IF($A32="","",SUMIFS(الرواتب_قسط_السلفة,الرواتب_السلفة,$A32,الرواتب_حالة_الصرف,"مصروف"))</f>
        <v/>
      </c>
      <c r="I32" s="63">
        <f>IF($A32="","",MAX(0,$E32-$H32))</f>
        <v/>
      </c>
      <c r="J32" s="112" t="n"/>
      <c r="K32" s="47" t="n"/>
      <c r="L32" s="47" t="n"/>
    </row>
    <row r="33">
      <c r="A33" s="39" t="n"/>
      <c r="B33" s="40" t="n"/>
      <c r="C33" s="43">
        <f>IFERROR(INDEX(الموظفون_الاسم,MATCH($B33,الموظفون_الرقم,0)),"")</f>
        <v/>
      </c>
      <c r="D33" s="110" t="n"/>
      <c r="E33" s="42" t="n"/>
      <c r="F33" s="40" t="n"/>
      <c r="G33" s="60">
        <f>IF(OR($E33="",$F33="",$F33=0),"",$E33/$F33)</f>
        <v/>
      </c>
      <c r="H33" s="60">
        <f>IF($A33="","",SUMIFS(الرواتب_قسط_السلفة,الرواتب_السلفة,$A33,الرواتب_حالة_الصرف,"مصروف"))</f>
        <v/>
      </c>
      <c r="I33" s="60">
        <f>IF($A33="","",MAX(0,$E33-$H33))</f>
        <v/>
      </c>
      <c r="J33" s="110" t="n"/>
      <c r="K33" s="40" t="n"/>
      <c r="L33" s="40" t="n"/>
    </row>
    <row r="34">
      <c r="A34" s="46" t="n"/>
      <c r="B34" s="47" t="n"/>
      <c r="C34" s="50">
        <f>IFERROR(INDEX(الموظفون_الاسم,MATCH($B34,الموظفون_الرقم,0)),"")</f>
        <v/>
      </c>
      <c r="D34" s="112" t="n"/>
      <c r="E34" s="49" t="n"/>
      <c r="F34" s="47" t="n"/>
      <c r="G34" s="63">
        <f>IF(OR($E34="",$F34="",$F34=0),"",$E34/$F34)</f>
        <v/>
      </c>
      <c r="H34" s="63">
        <f>IF($A34="","",SUMIFS(الرواتب_قسط_السلفة,الرواتب_السلفة,$A34,الرواتب_حالة_الصرف,"مصروف"))</f>
        <v/>
      </c>
      <c r="I34" s="63">
        <f>IF($A34="","",MAX(0,$E34-$H34))</f>
        <v/>
      </c>
      <c r="J34" s="112" t="n"/>
      <c r="K34" s="47" t="n"/>
      <c r="L34" s="47" t="n"/>
    </row>
    <row r="35">
      <c r="A35" s="39" t="n"/>
      <c r="B35" s="40" t="n"/>
      <c r="C35" s="43">
        <f>IFERROR(INDEX(الموظفون_الاسم,MATCH($B35,الموظفون_الرقم,0)),"")</f>
        <v/>
      </c>
      <c r="D35" s="110" t="n"/>
      <c r="E35" s="42" t="n"/>
      <c r="F35" s="40" t="n"/>
      <c r="G35" s="60">
        <f>IF(OR($E35="",$F35="",$F35=0),"",$E35/$F35)</f>
        <v/>
      </c>
      <c r="H35" s="60">
        <f>IF($A35="","",SUMIFS(الرواتب_قسط_السلفة,الرواتب_السلفة,$A35,الرواتب_حالة_الصرف,"مصروف"))</f>
        <v/>
      </c>
      <c r="I35" s="60">
        <f>IF($A35="","",MAX(0,$E35-$H35))</f>
        <v/>
      </c>
      <c r="J35" s="110" t="n"/>
      <c r="K35" s="40" t="n"/>
      <c r="L35" s="40" t="n"/>
    </row>
    <row r="36">
      <c r="A36" s="46" t="n"/>
      <c r="B36" s="47" t="n"/>
      <c r="C36" s="50">
        <f>IFERROR(INDEX(الموظفون_الاسم,MATCH($B36,الموظفون_الرقم,0)),"")</f>
        <v/>
      </c>
      <c r="D36" s="112" t="n"/>
      <c r="E36" s="49" t="n"/>
      <c r="F36" s="47" t="n"/>
      <c r="G36" s="63">
        <f>IF(OR($E36="",$F36="",$F36=0),"",$E36/$F36)</f>
        <v/>
      </c>
      <c r="H36" s="63">
        <f>IF($A36="","",SUMIFS(الرواتب_قسط_السلفة,الرواتب_السلفة,$A36,الرواتب_حالة_الصرف,"مصروف"))</f>
        <v/>
      </c>
      <c r="I36" s="63">
        <f>IF($A36="","",MAX(0,$E36-$H36))</f>
        <v/>
      </c>
      <c r="J36" s="112" t="n"/>
      <c r="K36" s="47" t="n"/>
      <c r="L36" s="47" t="n"/>
    </row>
    <row r="37">
      <c r="A37" s="39" t="n"/>
      <c r="B37" s="40" t="n"/>
      <c r="C37" s="43">
        <f>IFERROR(INDEX(الموظفون_الاسم,MATCH($B37,الموظفون_الرقم,0)),"")</f>
        <v/>
      </c>
      <c r="D37" s="110" t="n"/>
      <c r="E37" s="42" t="n"/>
      <c r="F37" s="40" t="n"/>
      <c r="G37" s="60">
        <f>IF(OR($E37="",$F37="",$F37=0),"",$E37/$F37)</f>
        <v/>
      </c>
      <c r="H37" s="60">
        <f>IF($A37="","",SUMIFS(الرواتب_قسط_السلفة,الرواتب_السلفة,$A37,الرواتب_حالة_الصرف,"مصروف"))</f>
        <v/>
      </c>
      <c r="I37" s="60">
        <f>IF($A37="","",MAX(0,$E37-$H37))</f>
        <v/>
      </c>
      <c r="J37" s="110" t="n"/>
      <c r="K37" s="40" t="n"/>
      <c r="L37" s="40" t="n"/>
    </row>
    <row r="38">
      <c r="A38" s="46" t="n"/>
      <c r="B38" s="47" t="n"/>
      <c r="C38" s="50">
        <f>IFERROR(INDEX(الموظفون_الاسم,MATCH($B38,الموظفون_الرقم,0)),"")</f>
        <v/>
      </c>
      <c r="D38" s="112" t="n"/>
      <c r="E38" s="49" t="n"/>
      <c r="F38" s="47" t="n"/>
      <c r="G38" s="63">
        <f>IF(OR($E38="",$F38="",$F38=0),"",$E38/$F38)</f>
        <v/>
      </c>
      <c r="H38" s="63">
        <f>IF($A38="","",SUMIFS(الرواتب_قسط_السلفة,الرواتب_السلفة,$A38,الرواتب_حالة_الصرف,"مصروف"))</f>
        <v/>
      </c>
      <c r="I38" s="63">
        <f>IF($A38="","",MAX(0,$E38-$H38))</f>
        <v/>
      </c>
      <c r="J38" s="112" t="n"/>
      <c r="K38" s="47" t="n"/>
      <c r="L38" s="47" t="n"/>
    </row>
    <row r="39">
      <c r="A39" s="39" t="n"/>
      <c r="B39" s="40" t="n"/>
      <c r="C39" s="43">
        <f>IFERROR(INDEX(الموظفون_الاسم,MATCH($B39,الموظفون_الرقم,0)),"")</f>
        <v/>
      </c>
      <c r="D39" s="110" t="n"/>
      <c r="E39" s="42" t="n"/>
      <c r="F39" s="40" t="n"/>
      <c r="G39" s="60">
        <f>IF(OR($E39="",$F39="",$F39=0),"",$E39/$F39)</f>
        <v/>
      </c>
      <c r="H39" s="60">
        <f>IF($A39="","",SUMIFS(الرواتب_قسط_السلفة,الرواتب_السلفة,$A39,الرواتب_حالة_الصرف,"مصروف"))</f>
        <v/>
      </c>
      <c r="I39" s="60">
        <f>IF($A39="","",MAX(0,$E39-$H39))</f>
        <v/>
      </c>
      <c r="J39" s="110" t="n"/>
      <c r="K39" s="40" t="n"/>
      <c r="L39" s="40" t="n"/>
    </row>
    <row r="40">
      <c r="A40" s="46" t="n"/>
      <c r="B40" s="47" t="n"/>
      <c r="C40" s="50">
        <f>IFERROR(INDEX(الموظفون_الاسم,MATCH($B40,الموظفون_الرقم,0)),"")</f>
        <v/>
      </c>
      <c r="D40" s="112" t="n"/>
      <c r="E40" s="49" t="n"/>
      <c r="F40" s="47" t="n"/>
      <c r="G40" s="63">
        <f>IF(OR($E40="",$F40="",$F40=0),"",$E40/$F40)</f>
        <v/>
      </c>
      <c r="H40" s="63">
        <f>IF($A40="","",SUMIFS(الرواتب_قسط_السلفة,الرواتب_السلفة,$A40,الرواتب_حالة_الصرف,"مصروف"))</f>
        <v/>
      </c>
      <c r="I40" s="63">
        <f>IF($A40="","",MAX(0,$E40-$H40))</f>
        <v/>
      </c>
      <c r="J40" s="112" t="n"/>
      <c r="K40" s="47" t="n"/>
      <c r="L40" s="47" t="n"/>
    </row>
    <row r="41">
      <c r="A41" s="39" t="n"/>
      <c r="B41" s="40" t="n"/>
      <c r="C41" s="43">
        <f>IFERROR(INDEX(الموظفون_الاسم,MATCH($B41,الموظفون_الرقم,0)),"")</f>
        <v/>
      </c>
      <c r="D41" s="110" t="n"/>
      <c r="E41" s="42" t="n"/>
      <c r="F41" s="40" t="n"/>
      <c r="G41" s="60">
        <f>IF(OR($E41="",$F41="",$F41=0),"",$E41/$F41)</f>
        <v/>
      </c>
      <c r="H41" s="60">
        <f>IF($A41="","",SUMIFS(الرواتب_قسط_السلفة,الرواتب_السلفة,$A41,الرواتب_حالة_الصرف,"مصروف"))</f>
        <v/>
      </c>
      <c r="I41" s="60">
        <f>IF($A41="","",MAX(0,$E41-$H41))</f>
        <v/>
      </c>
      <c r="J41" s="110" t="n"/>
      <c r="K41" s="40" t="n"/>
      <c r="L41" s="40" t="n"/>
    </row>
    <row r="42">
      <c r="A42" s="46" t="n"/>
      <c r="B42" s="47" t="n"/>
      <c r="C42" s="50">
        <f>IFERROR(INDEX(الموظفون_الاسم,MATCH($B42,الموظفون_الرقم,0)),"")</f>
        <v/>
      </c>
      <c r="D42" s="112" t="n"/>
      <c r="E42" s="49" t="n"/>
      <c r="F42" s="47" t="n"/>
      <c r="G42" s="63">
        <f>IF(OR($E42="",$F42="",$F42=0),"",$E42/$F42)</f>
        <v/>
      </c>
      <c r="H42" s="63">
        <f>IF($A42="","",SUMIFS(الرواتب_قسط_السلفة,الرواتب_السلفة,$A42,الرواتب_حالة_الصرف,"مصروف"))</f>
        <v/>
      </c>
      <c r="I42" s="63">
        <f>IF($A42="","",MAX(0,$E42-$H42))</f>
        <v/>
      </c>
      <c r="J42" s="112" t="n"/>
      <c r="K42" s="47" t="n"/>
      <c r="L42" s="47" t="n"/>
    </row>
    <row r="43">
      <c r="A43" s="39" t="n"/>
      <c r="B43" s="40" t="n"/>
      <c r="C43" s="43">
        <f>IFERROR(INDEX(الموظفون_الاسم,MATCH($B43,الموظفون_الرقم,0)),"")</f>
        <v/>
      </c>
      <c r="D43" s="110" t="n"/>
      <c r="E43" s="42" t="n"/>
      <c r="F43" s="40" t="n"/>
      <c r="G43" s="60">
        <f>IF(OR($E43="",$F43="",$F43=0),"",$E43/$F43)</f>
        <v/>
      </c>
      <c r="H43" s="60">
        <f>IF($A43="","",SUMIFS(الرواتب_قسط_السلفة,الرواتب_السلفة,$A43,الرواتب_حالة_الصرف,"مصروف"))</f>
        <v/>
      </c>
      <c r="I43" s="60">
        <f>IF($A43="","",MAX(0,$E43-$H43))</f>
        <v/>
      </c>
      <c r="J43" s="110" t="n"/>
      <c r="K43" s="40" t="n"/>
      <c r="L43" s="40" t="n"/>
    </row>
    <row r="44">
      <c r="A44" s="46" t="n"/>
      <c r="B44" s="47" t="n"/>
      <c r="C44" s="50">
        <f>IFERROR(INDEX(الموظفون_الاسم,MATCH($B44,الموظفون_الرقم,0)),"")</f>
        <v/>
      </c>
      <c r="D44" s="112" t="n"/>
      <c r="E44" s="49" t="n"/>
      <c r="F44" s="47" t="n"/>
      <c r="G44" s="63">
        <f>IF(OR($E44="",$F44="",$F44=0),"",$E44/$F44)</f>
        <v/>
      </c>
      <c r="H44" s="63">
        <f>IF($A44="","",SUMIFS(الرواتب_قسط_السلفة,الرواتب_السلفة,$A44,الرواتب_حالة_الصرف,"مصروف"))</f>
        <v/>
      </c>
      <c r="I44" s="63">
        <f>IF($A44="","",MAX(0,$E44-$H44))</f>
        <v/>
      </c>
      <c r="J44" s="112" t="n"/>
      <c r="K44" s="47" t="n"/>
      <c r="L44" s="47" t="n"/>
    </row>
    <row r="45">
      <c r="A45" s="39" t="n"/>
      <c r="B45" s="40" t="n"/>
      <c r="C45" s="43">
        <f>IFERROR(INDEX(الموظفون_الاسم,MATCH($B45,الموظفون_الرقم,0)),"")</f>
        <v/>
      </c>
      <c r="D45" s="110" t="n"/>
      <c r="E45" s="42" t="n"/>
      <c r="F45" s="40" t="n"/>
      <c r="G45" s="60">
        <f>IF(OR($E45="",$F45="",$F45=0),"",$E45/$F45)</f>
        <v/>
      </c>
      <c r="H45" s="60">
        <f>IF($A45="","",SUMIFS(الرواتب_قسط_السلفة,الرواتب_السلفة,$A45,الرواتب_حالة_الصرف,"مصروف"))</f>
        <v/>
      </c>
      <c r="I45" s="60">
        <f>IF($A45="","",MAX(0,$E45-$H45))</f>
        <v/>
      </c>
      <c r="J45" s="110" t="n"/>
      <c r="K45" s="40" t="n"/>
      <c r="L45" s="40" t="n"/>
    </row>
    <row r="46">
      <c r="A46" s="46" t="n"/>
      <c r="B46" s="47" t="n"/>
      <c r="C46" s="50">
        <f>IFERROR(INDEX(الموظفون_الاسم,MATCH($B46,الموظفون_الرقم,0)),"")</f>
        <v/>
      </c>
      <c r="D46" s="112" t="n"/>
      <c r="E46" s="49" t="n"/>
      <c r="F46" s="47" t="n"/>
      <c r="G46" s="63">
        <f>IF(OR($E46="",$F46="",$F46=0),"",$E46/$F46)</f>
        <v/>
      </c>
      <c r="H46" s="63">
        <f>IF($A46="","",SUMIFS(الرواتب_قسط_السلفة,الرواتب_السلفة,$A46,الرواتب_حالة_الصرف,"مصروف"))</f>
        <v/>
      </c>
      <c r="I46" s="63">
        <f>IF($A46="","",MAX(0,$E46-$H46))</f>
        <v/>
      </c>
      <c r="J46" s="112" t="n"/>
      <c r="K46" s="47" t="n"/>
      <c r="L46" s="47" t="n"/>
    </row>
    <row r="47">
      <c r="A47" s="39" t="n"/>
      <c r="B47" s="40" t="n"/>
      <c r="C47" s="43">
        <f>IFERROR(INDEX(الموظفون_الاسم,MATCH($B47,الموظفون_الرقم,0)),"")</f>
        <v/>
      </c>
      <c r="D47" s="110" t="n"/>
      <c r="E47" s="42" t="n"/>
      <c r="F47" s="40" t="n"/>
      <c r="G47" s="60">
        <f>IF(OR($E47="",$F47="",$F47=0),"",$E47/$F47)</f>
        <v/>
      </c>
      <c r="H47" s="60">
        <f>IF($A47="","",SUMIFS(الرواتب_قسط_السلفة,الرواتب_السلفة,$A47,الرواتب_حالة_الصرف,"مصروف"))</f>
        <v/>
      </c>
      <c r="I47" s="60">
        <f>IF($A47="","",MAX(0,$E47-$H47))</f>
        <v/>
      </c>
      <c r="J47" s="110" t="n"/>
      <c r="K47" s="40" t="n"/>
      <c r="L47" s="40" t="n"/>
    </row>
    <row r="48">
      <c r="A48" s="46" t="n"/>
      <c r="B48" s="47" t="n"/>
      <c r="C48" s="50">
        <f>IFERROR(INDEX(الموظفون_الاسم,MATCH($B48,الموظفون_الرقم,0)),"")</f>
        <v/>
      </c>
      <c r="D48" s="112" t="n"/>
      <c r="E48" s="49" t="n"/>
      <c r="F48" s="47" t="n"/>
      <c r="G48" s="63">
        <f>IF(OR($E48="",$F48="",$F48=0),"",$E48/$F48)</f>
        <v/>
      </c>
      <c r="H48" s="63">
        <f>IF($A48="","",SUMIFS(الرواتب_قسط_السلفة,الرواتب_السلفة,$A48,الرواتب_حالة_الصرف,"مصروف"))</f>
        <v/>
      </c>
      <c r="I48" s="63">
        <f>IF($A48="","",MAX(0,$E48-$H48))</f>
        <v/>
      </c>
      <c r="J48" s="112" t="n"/>
      <c r="K48" s="47" t="n"/>
      <c r="L48" s="47" t="n"/>
    </row>
    <row r="49">
      <c r="A49" s="39" t="n"/>
      <c r="B49" s="40" t="n"/>
      <c r="C49" s="43">
        <f>IFERROR(INDEX(الموظفون_الاسم,MATCH($B49,الموظفون_الرقم,0)),"")</f>
        <v/>
      </c>
      <c r="D49" s="110" t="n"/>
      <c r="E49" s="42" t="n"/>
      <c r="F49" s="40" t="n"/>
      <c r="G49" s="60">
        <f>IF(OR($E49="",$F49="",$F49=0),"",$E49/$F49)</f>
        <v/>
      </c>
      <c r="H49" s="60">
        <f>IF($A49="","",SUMIFS(الرواتب_قسط_السلفة,الرواتب_السلفة,$A49,الرواتب_حالة_الصرف,"مصروف"))</f>
        <v/>
      </c>
      <c r="I49" s="60">
        <f>IF($A49="","",MAX(0,$E49-$H49))</f>
        <v/>
      </c>
      <c r="J49" s="110" t="n"/>
      <c r="K49" s="40" t="n"/>
      <c r="L49" s="40" t="n"/>
    </row>
    <row r="50">
      <c r="A50" s="46" t="n"/>
      <c r="B50" s="47" t="n"/>
      <c r="C50" s="50">
        <f>IFERROR(INDEX(الموظفون_الاسم,MATCH($B50,الموظفون_الرقم,0)),"")</f>
        <v/>
      </c>
      <c r="D50" s="112" t="n"/>
      <c r="E50" s="49" t="n"/>
      <c r="F50" s="47" t="n"/>
      <c r="G50" s="63">
        <f>IF(OR($E50="",$F50="",$F50=0),"",$E50/$F50)</f>
        <v/>
      </c>
      <c r="H50" s="63">
        <f>IF($A50="","",SUMIFS(الرواتب_قسط_السلفة,الرواتب_السلفة,$A50,الرواتب_حالة_الصرف,"مصروف"))</f>
        <v/>
      </c>
      <c r="I50" s="63">
        <f>IF($A50="","",MAX(0,$E50-$H50))</f>
        <v/>
      </c>
      <c r="J50" s="112" t="n"/>
      <c r="K50" s="47" t="n"/>
      <c r="L50" s="47" t="n"/>
    </row>
    <row r="51">
      <c r="A51" s="39" t="n"/>
      <c r="B51" s="40" t="n"/>
      <c r="C51" s="43">
        <f>IFERROR(INDEX(الموظفون_الاسم,MATCH($B51,الموظفون_الرقم,0)),"")</f>
        <v/>
      </c>
      <c r="D51" s="110" t="n"/>
      <c r="E51" s="42" t="n"/>
      <c r="F51" s="40" t="n"/>
      <c r="G51" s="60">
        <f>IF(OR($E51="",$F51="",$F51=0),"",$E51/$F51)</f>
        <v/>
      </c>
      <c r="H51" s="60">
        <f>IF($A51="","",SUMIFS(الرواتب_قسط_السلفة,الرواتب_السلفة,$A51,الرواتب_حالة_الصرف,"مصروف"))</f>
        <v/>
      </c>
      <c r="I51" s="60">
        <f>IF($A51="","",MAX(0,$E51-$H51))</f>
        <v/>
      </c>
      <c r="J51" s="110" t="n"/>
      <c r="K51" s="40" t="n"/>
      <c r="L51" s="40" t="n"/>
    </row>
    <row r="52">
      <c r="A52" s="46" t="n"/>
      <c r="B52" s="47" t="n"/>
      <c r="C52" s="50">
        <f>IFERROR(INDEX(الموظفون_الاسم,MATCH($B52,الموظفون_الرقم,0)),"")</f>
        <v/>
      </c>
      <c r="D52" s="112" t="n"/>
      <c r="E52" s="49" t="n"/>
      <c r="F52" s="47" t="n"/>
      <c r="G52" s="63">
        <f>IF(OR($E52="",$F52="",$F52=0),"",$E52/$F52)</f>
        <v/>
      </c>
      <c r="H52" s="63">
        <f>IF($A52="","",SUMIFS(الرواتب_قسط_السلفة,الرواتب_السلفة,$A52,الرواتب_حالة_الصرف,"مصروف"))</f>
        <v/>
      </c>
      <c r="I52" s="63">
        <f>IF($A52="","",MAX(0,$E52-$H52))</f>
        <v/>
      </c>
      <c r="J52" s="112" t="n"/>
      <c r="K52" s="47" t="n"/>
      <c r="L52" s="47" t="n"/>
    </row>
    <row r="53">
      <c r="A53" s="39" t="n"/>
      <c r="B53" s="40" t="n"/>
      <c r="C53" s="43">
        <f>IFERROR(INDEX(الموظفون_الاسم,MATCH($B53,الموظفون_الرقم,0)),"")</f>
        <v/>
      </c>
      <c r="D53" s="110" t="n"/>
      <c r="E53" s="42" t="n"/>
      <c r="F53" s="40" t="n"/>
      <c r="G53" s="60">
        <f>IF(OR($E53="",$F53="",$F53=0),"",$E53/$F53)</f>
        <v/>
      </c>
      <c r="H53" s="60">
        <f>IF($A53="","",SUMIFS(الرواتب_قسط_السلفة,الرواتب_السلفة,$A53,الرواتب_حالة_الصرف,"مصروف"))</f>
        <v/>
      </c>
      <c r="I53" s="60">
        <f>IF($A53="","",MAX(0,$E53-$H53))</f>
        <v/>
      </c>
      <c r="J53" s="110" t="n"/>
      <c r="K53" s="40" t="n"/>
      <c r="L53" s="40" t="n"/>
    </row>
    <row r="54">
      <c r="A54" s="46" t="n"/>
      <c r="B54" s="47" t="n"/>
      <c r="C54" s="50">
        <f>IFERROR(INDEX(الموظفون_الاسم,MATCH($B54,الموظفون_الرقم,0)),"")</f>
        <v/>
      </c>
      <c r="D54" s="112" t="n"/>
      <c r="E54" s="49" t="n"/>
      <c r="F54" s="47" t="n"/>
      <c r="G54" s="63">
        <f>IF(OR($E54="",$F54="",$F54=0),"",$E54/$F54)</f>
        <v/>
      </c>
      <c r="H54" s="63">
        <f>IF($A54="","",SUMIFS(الرواتب_قسط_السلفة,الرواتب_السلفة,$A54,الرواتب_حالة_الصرف,"مصروف"))</f>
        <v/>
      </c>
      <c r="I54" s="63">
        <f>IF($A54="","",MAX(0,$E54-$H54))</f>
        <v/>
      </c>
      <c r="J54" s="112" t="n"/>
      <c r="K54" s="47" t="n"/>
      <c r="L54" s="47" t="n"/>
    </row>
    <row r="55">
      <c r="A55" s="39" t="n"/>
      <c r="B55" s="40" t="n"/>
      <c r="C55" s="43">
        <f>IFERROR(INDEX(الموظفون_الاسم,MATCH($B55,الموظفون_الرقم,0)),"")</f>
        <v/>
      </c>
      <c r="D55" s="110" t="n"/>
      <c r="E55" s="42" t="n"/>
      <c r="F55" s="40" t="n"/>
      <c r="G55" s="60">
        <f>IF(OR($E55="",$F55="",$F55=0),"",$E55/$F55)</f>
        <v/>
      </c>
      <c r="H55" s="60">
        <f>IF($A55="","",SUMIFS(الرواتب_قسط_السلفة,الرواتب_السلفة,$A55,الرواتب_حالة_الصرف,"مصروف"))</f>
        <v/>
      </c>
      <c r="I55" s="60">
        <f>IF($A55="","",MAX(0,$E55-$H55))</f>
        <v/>
      </c>
      <c r="J55" s="110" t="n"/>
      <c r="K55" s="40" t="n"/>
      <c r="L55" s="40" t="n"/>
    </row>
    <row r="56">
      <c r="A56" s="46" t="n"/>
      <c r="B56" s="47" t="n"/>
      <c r="C56" s="50">
        <f>IFERROR(INDEX(الموظفون_الاسم,MATCH($B56,الموظفون_الرقم,0)),"")</f>
        <v/>
      </c>
      <c r="D56" s="112" t="n"/>
      <c r="E56" s="49" t="n"/>
      <c r="F56" s="47" t="n"/>
      <c r="G56" s="63">
        <f>IF(OR($E56="",$F56="",$F56=0),"",$E56/$F56)</f>
        <v/>
      </c>
      <c r="H56" s="63">
        <f>IF($A56="","",SUMIFS(الرواتب_قسط_السلفة,الرواتب_السلفة,$A56,الرواتب_حالة_الصرف,"مصروف"))</f>
        <v/>
      </c>
      <c r="I56" s="63">
        <f>IF($A56="","",MAX(0,$E56-$H56))</f>
        <v/>
      </c>
      <c r="J56" s="112" t="n"/>
      <c r="K56" s="47" t="n"/>
      <c r="L56" s="47" t="n"/>
    </row>
    <row r="57">
      <c r="A57" s="39" t="n"/>
      <c r="B57" s="40" t="n"/>
      <c r="C57" s="43">
        <f>IFERROR(INDEX(الموظفون_الاسم,MATCH($B57,الموظفون_الرقم,0)),"")</f>
        <v/>
      </c>
      <c r="D57" s="110" t="n"/>
      <c r="E57" s="42" t="n"/>
      <c r="F57" s="40" t="n"/>
      <c r="G57" s="60">
        <f>IF(OR($E57="",$F57="",$F57=0),"",$E57/$F57)</f>
        <v/>
      </c>
      <c r="H57" s="60">
        <f>IF($A57="","",SUMIFS(الرواتب_قسط_السلفة,الرواتب_السلفة,$A57,الرواتب_حالة_الصرف,"مصروف"))</f>
        <v/>
      </c>
      <c r="I57" s="60">
        <f>IF($A57="","",MAX(0,$E57-$H57))</f>
        <v/>
      </c>
      <c r="J57" s="110" t="n"/>
      <c r="K57" s="40" t="n"/>
      <c r="L57" s="40" t="n"/>
    </row>
    <row r="58">
      <c r="A58" s="46" t="n"/>
      <c r="B58" s="47" t="n"/>
      <c r="C58" s="50">
        <f>IFERROR(INDEX(الموظفون_الاسم,MATCH($B58,الموظفون_الرقم,0)),"")</f>
        <v/>
      </c>
      <c r="D58" s="112" t="n"/>
      <c r="E58" s="49" t="n"/>
      <c r="F58" s="47" t="n"/>
      <c r="G58" s="63">
        <f>IF(OR($E58="",$F58="",$F58=0),"",$E58/$F58)</f>
        <v/>
      </c>
      <c r="H58" s="63">
        <f>IF($A58="","",SUMIFS(الرواتب_قسط_السلفة,الرواتب_السلفة,$A58,الرواتب_حالة_الصرف,"مصروف"))</f>
        <v/>
      </c>
      <c r="I58" s="63">
        <f>IF($A58="","",MAX(0,$E58-$H58))</f>
        <v/>
      </c>
      <c r="J58" s="112" t="n"/>
      <c r="K58" s="47" t="n"/>
      <c r="L58" s="47" t="n"/>
    </row>
    <row r="59">
      <c r="A59" s="39" t="n"/>
      <c r="B59" s="40" t="n"/>
      <c r="C59" s="43">
        <f>IFERROR(INDEX(الموظفون_الاسم,MATCH($B59,الموظفون_الرقم,0)),"")</f>
        <v/>
      </c>
      <c r="D59" s="110" t="n"/>
      <c r="E59" s="42" t="n"/>
      <c r="F59" s="40" t="n"/>
      <c r="G59" s="60">
        <f>IF(OR($E59="",$F59="",$F59=0),"",$E59/$F59)</f>
        <v/>
      </c>
      <c r="H59" s="60">
        <f>IF($A59="","",SUMIFS(الرواتب_قسط_السلفة,الرواتب_السلفة,$A59,الرواتب_حالة_الصرف,"مصروف"))</f>
        <v/>
      </c>
      <c r="I59" s="60">
        <f>IF($A59="","",MAX(0,$E59-$H59))</f>
        <v/>
      </c>
      <c r="J59" s="110" t="n"/>
      <c r="K59" s="40" t="n"/>
      <c r="L59" s="40" t="n"/>
    </row>
    <row r="60">
      <c r="A60" s="46" t="n"/>
      <c r="B60" s="47" t="n"/>
      <c r="C60" s="50">
        <f>IFERROR(INDEX(الموظفون_الاسم,MATCH($B60,الموظفون_الرقم,0)),"")</f>
        <v/>
      </c>
      <c r="D60" s="112" t="n"/>
      <c r="E60" s="49" t="n"/>
      <c r="F60" s="47" t="n"/>
      <c r="G60" s="63">
        <f>IF(OR($E60="",$F60="",$F60=0),"",$E60/$F60)</f>
        <v/>
      </c>
      <c r="H60" s="63">
        <f>IF($A60="","",SUMIFS(الرواتب_قسط_السلفة,الرواتب_السلفة,$A60,الرواتب_حالة_الصرف,"مصروف"))</f>
        <v/>
      </c>
      <c r="I60" s="63">
        <f>IF($A60="","",MAX(0,$E60-$H60))</f>
        <v/>
      </c>
      <c r="J60" s="112" t="n"/>
      <c r="K60" s="47" t="n"/>
      <c r="L60" s="47" t="n"/>
    </row>
    <row r="61">
      <c r="A61" s="39" t="n"/>
      <c r="B61" s="40" t="n"/>
      <c r="C61" s="43">
        <f>IFERROR(INDEX(الموظفون_الاسم,MATCH($B61,الموظفون_الرقم,0)),"")</f>
        <v/>
      </c>
      <c r="D61" s="110" t="n"/>
      <c r="E61" s="42" t="n"/>
      <c r="F61" s="40" t="n"/>
      <c r="G61" s="60">
        <f>IF(OR($E61="",$F61="",$F61=0),"",$E61/$F61)</f>
        <v/>
      </c>
      <c r="H61" s="60">
        <f>IF($A61="","",SUMIFS(الرواتب_قسط_السلفة,الرواتب_السلفة,$A61,الرواتب_حالة_الصرف,"مصروف"))</f>
        <v/>
      </c>
      <c r="I61" s="60">
        <f>IF($A61="","",MAX(0,$E61-$H61))</f>
        <v/>
      </c>
      <c r="J61" s="110" t="n"/>
      <c r="K61" s="40" t="n"/>
      <c r="L61" s="40" t="n"/>
    </row>
    <row r="62">
      <c r="A62" s="46" t="n"/>
      <c r="B62" s="47" t="n"/>
      <c r="C62" s="50">
        <f>IFERROR(INDEX(الموظفون_الاسم,MATCH($B62,الموظفون_الرقم,0)),"")</f>
        <v/>
      </c>
      <c r="D62" s="112" t="n"/>
      <c r="E62" s="49" t="n"/>
      <c r="F62" s="47" t="n"/>
      <c r="G62" s="63">
        <f>IF(OR($E62="",$F62="",$F62=0),"",$E62/$F62)</f>
        <v/>
      </c>
      <c r="H62" s="63">
        <f>IF($A62="","",SUMIFS(الرواتب_قسط_السلفة,الرواتب_السلفة,$A62,الرواتب_حالة_الصرف,"مصروف"))</f>
        <v/>
      </c>
      <c r="I62" s="63">
        <f>IF($A62="","",MAX(0,$E62-$H62))</f>
        <v/>
      </c>
      <c r="J62" s="112" t="n"/>
      <c r="K62" s="47" t="n"/>
      <c r="L62" s="47" t="n"/>
    </row>
    <row r="63">
      <c r="A63" s="39" t="n"/>
      <c r="B63" s="40" t="n"/>
      <c r="C63" s="43">
        <f>IFERROR(INDEX(الموظفون_الاسم,MATCH($B63,الموظفون_الرقم,0)),"")</f>
        <v/>
      </c>
      <c r="D63" s="110" t="n"/>
      <c r="E63" s="42" t="n"/>
      <c r="F63" s="40" t="n"/>
      <c r="G63" s="60">
        <f>IF(OR($E63="",$F63="",$F63=0),"",$E63/$F63)</f>
        <v/>
      </c>
      <c r="H63" s="60">
        <f>IF($A63="","",SUMIFS(الرواتب_قسط_السلفة,الرواتب_السلفة,$A63,الرواتب_حالة_الصرف,"مصروف"))</f>
        <v/>
      </c>
      <c r="I63" s="60">
        <f>IF($A63="","",MAX(0,$E63-$H63))</f>
        <v/>
      </c>
      <c r="J63" s="110" t="n"/>
      <c r="K63" s="40" t="n"/>
      <c r="L63" s="40" t="n"/>
    </row>
    <row r="64">
      <c r="A64" s="46" t="n"/>
      <c r="B64" s="47" t="n"/>
      <c r="C64" s="50">
        <f>IFERROR(INDEX(الموظفون_الاسم,MATCH($B64,الموظفون_الرقم,0)),"")</f>
        <v/>
      </c>
      <c r="D64" s="112" t="n"/>
      <c r="E64" s="49" t="n"/>
      <c r="F64" s="47" t="n"/>
      <c r="G64" s="63">
        <f>IF(OR($E64="",$F64="",$F64=0),"",$E64/$F64)</f>
        <v/>
      </c>
      <c r="H64" s="63">
        <f>IF($A64="","",SUMIFS(الرواتب_قسط_السلفة,الرواتب_السلفة,$A64,الرواتب_حالة_الصرف,"مصروف"))</f>
        <v/>
      </c>
      <c r="I64" s="63">
        <f>IF($A64="","",MAX(0,$E64-$H64))</f>
        <v/>
      </c>
      <c r="J64" s="112" t="n"/>
      <c r="K64" s="47" t="n"/>
      <c r="L64" s="47" t="n"/>
    </row>
    <row r="65">
      <c r="A65" s="39" t="n"/>
      <c r="B65" s="40" t="n"/>
      <c r="C65" s="43">
        <f>IFERROR(INDEX(الموظفون_الاسم,MATCH($B65,الموظفون_الرقم,0)),"")</f>
        <v/>
      </c>
      <c r="D65" s="110" t="n"/>
      <c r="E65" s="42" t="n"/>
      <c r="F65" s="40" t="n"/>
      <c r="G65" s="60">
        <f>IF(OR($E65="",$F65="",$F65=0),"",$E65/$F65)</f>
        <v/>
      </c>
      <c r="H65" s="60">
        <f>IF($A65="","",SUMIFS(الرواتب_قسط_السلفة,الرواتب_السلفة,$A65,الرواتب_حالة_الصرف,"مصروف"))</f>
        <v/>
      </c>
      <c r="I65" s="60">
        <f>IF($A65="","",MAX(0,$E65-$H65))</f>
        <v/>
      </c>
      <c r="J65" s="110" t="n"/>
      <c r="K65" s="40" t="n"/>
      <c r="L65" s="40" t="n"/>
    </row>
    <row r="66">
      <c r="A66" s="46" t="n"/>
      <c r="B66" s="47" t="n"/>
      <c r="C66" s="50">
        <f>IFERROR(INDEX(الموظفون_الاسم,MATCH($B66,الموظفون_الرقم,0)),"")</f>
        <v/>
      </c>
      <c r="D66" s="112" t="n"/>
      <c r="E66" s="49" t="n"/>
      <c r="F66" s="47" t="n"/>
      <c r="G66" s="63">
        <f>IF(OR($E66="",$F66="",$F66=0),"",$E66/$F66)</f>
        <v/>
      </c>
      <c r="H66" s="63">
        <f>IF($A66="","",SUMIFS(الرواتب_قسط_السلفة,الرواتب_السلفة,$A66,الرواتب_حالة_الصرف,"مصروف"))</f>
        <v/>
      </c>
      <c r="I66" s="63">
        <f>IF($A66="","",MAX(0,$E66-$H66))</f>
        <v/>
      </c>
      <c r="J66" s="112" t="n"/>
      <c r="K66" s="47" t="n"/>
      <c r="L66" s="47" t="n"/>
    </row>
    <row r="67">
      <c r="A67" s="39" t="n"/>
      <c r="B67" s="40" t="n"/>
      <c r="C67" s="43">
        <f>IFERROR(INDEX(الموظفون_الاسم,MATCH($B67,الموظفون_الرقم,0)),"")</f>
        <v/>
      </c>
      <c r="D67" s="110" t="n"/>
      <c r="E67" s="42" t="n"/>
      <c r="F67" s="40" t="n"/>
      <c r="G67" s="60">
        <f>IF(OR($E67="",$F67="",$F67=0),"",$E67/$F67)</f>
        <v/>
      </c>
      <c r="H67" s="60">
        <f>IF($A67="","",SUMIFS(الرواتب_قسط_السلفة,الرواتب_السلفة,$A67,الرواتب_حالة_الصرف,"مصروف"))</f>
        <v/>
      </c>
      <c r="I67" s="60">
        <f>IF($A67="","",MAX(0,$E67-$H67))</f>
        <v/>
      </c>
      <c r="J67" s="110" t="n"/>
      <c r="K67" s="40" t="n"/>
      <c r="L67" s="40" t="n"/>
    </row>
    <row r="68">
      <c r="A68" s="46" t="n"/>
      <c r="B68" s="47" t="n"/>
      <c r="C68" s="50">
        <f>IFERROR(INDEX(الموظفون_الاسم,MATCH($B68,الموظفون_الرقم,0)),"")</f>
        <v/>
      </c>
      <c r="D68" s="112" t="n"/>
      <c r="E68" s="49" t="n"/>
      <c r="F68" s="47" t="n"/>
      <c r="G68" s="63">
        <f>IF(OR($E68="",$F68="",$F68=0),"",$E68/$F68)</f>
        <v/>
      </c>
      <c r="H68" s="63">
        <f>IF($A68="","",SUMIFS(الرواتب_قسط_السلفة,الرواتب_السلفة,$A68,الرواتب_حالة_الصرف,"مصروف"))</f>
        <v/>
      </c>
      <c r="I68" s="63">
        <f>IF($A68="","",MAX(0,$E68-$H68))</f>
        <v/>
      </c>
      <c r="J68" s="112" t="n"/>
      <c r="K68" s="47" t="n"/>
      <c r="L68" s="47" t="n"/>
    </row>
    <row r="69">
      <c r="A69" s="39" t="n"/>
      <c r="B69" s="40" t="n"/>
      <c r="C69" s="43">
        <f>IFERROR(INDEX(الموظفون_الاسم,MATCH($B69,الموظفون_الرقم,0)),"")</f>
        <v/>
      </c>
      <c r="D69" s="110" t="n"/>
      <c r="E69" s="42" t="n"/>
      <c r="F69" s="40" t="n"/>
      <c r="G69" s="60">
        <f>IF(OR($E69="",$F69="",$F69=0),"",$E69/$F69)</f>
        <v/>
      </c>
      <c r="H69" s="60">
        <f>IF($A69="","",SUMIFS(الرواتب_قسط_السلفة,الرواتب_السلفة,$A69,الرواتب_حالة_الصرف,"مصروف"))</f>
        <v/>
      </c>
      <c r="I69" s="60">
        <f>IF($A69="","",MAX(0,$E69-$H69))</f>
        <v/>
      </c>
      <c r="J69" s="110" t="n"/>
      <c r="K69" s="40" t="n"/>
      <c r="L69" s="40" t="n"/>
    </row>
    <row r="70">
      <c r="A70" s="46" t="n"/>
      <c r="B70" s="47" t="n"/>
      <c r="C70" s="50">
        <f>IFERROR(INDEX(الموظفون_الاسم,MATCH($B70,الموظفون_الرقم,0)),"")</f>
        <v/>
      </c>
      <c r="D70" s="112" t="n"/>
      <c r="E70" s="49" t="n"/>
      <c r="F70" s="47" t="n"/>
      <c r="G70" s="63">
        <f>IF(OR($E70="",$F70="",$F70=0),"",$E70/$F70)</f>
        <v/>
      </c>
      <c r="H70" s="63">
        <f>IF($A70="","",SUMIFS(الرواتب_قسط_السلفة,الرواتب_السلفة,$A70,الرواتب_حالة_الصرف,"مصروف"))</f>
        <v/>
      </c>
      <c r="I70" s="63">
        <f>IF($A70="","",MAX(0,$E70-$H70))</f>
        <v/>
      </c>
      <c r="J70" s="112" t="n"/>
      <c r="K70" s="47" t="n"/>
      <c r="L70" s="47" t="n"/>
    </row>
    <row r="71">
      <c r="A71" s="39" t="n"/>
      <c r="B71" s="40" t="n"/>
      <c r="C71" s="43">
        <f>IFERROR(INDEX(الموظفون_الاسم,MATCH($B71,الموظفون_الرقم,0)),"")</f>
        <v/>
      </c>
      <c r="D71" s="110" t="n"/>
      <c r="E71" s="42" t="n"/>
      <c r="F71" s="40" t="n"/>
      <c r="G71" s="60">
        <f>IF(OR($E71="",$F71="",$F71=0),"",$E71/$F71)</f>
        <v/>
      </c>
      <c r="H71" s="60">
        <f>IF($A71="","",SUMIFS(الرواتب_قسط_السلفة,الرواتب_السلفة,$A71,الرواتب_حالة_الصرف,"مصروف"))</f>
        <v/>
      </c>
      <c r="I71" s="60">
        <f>IF($A71="","",MAX(0,$E71-$H71))</f>
        <v/>
      </c>
      <c r="J71" s="110" t="n"/>
      <c r="K71" s="40" t="n"/>
      <c r="L71" s="40" t="n"/>
    </row>
    <row r="72">
      <c r="A72" s="46" t="n"/>
      <c r="B72" s="47" t="n"/>
      <c r="C72" s="50">
        <f>IFERROR(INDEX(الموظفون_الاسم,MATCH($B72,الموظفون_الرقم,0)),"")</f>
        <v/>
      </c>
      <c r="D72" s="112" t="n"/>
      <c r="E72" s="49" t="n"/>
      <c r="F72" s="47" t="n"/>
      <c r="G72" s="63">
        <f>IF(OR($E72="",$F72="",$F72=0),"",$E72/$F72)</f>
        <v/>
      </c>
      <c r="H72" s="63">
        <f>IF($A72="","",SUMIFS(الرواتب_قسط_السلفة,الرواتب_السلفة,$A72,الرواتب_حالة_الصرف,"مصروف"))</f>
        <v/>
      </c>
      <c r="I72" s="63">
        <f>IF($A72="","",MAX(0,$E72-$H72))</f>
        <v/>
      </c>
      <c r="J72" s="112" t="n"/>
      <c r="K72" s="47" t="n"/>
      <c r="L72" s="47" t="n"/>
    </row>
    <row r="73">
      <c r="A73" s="39" t="n"/>
      <c r="B73" s="40" t="n"/>
      <c r="C73" s="43">
        <f>IFERROR(INDEX(الموظفون_الاسم,MATCH($B73,الموظفون_الرقم,0)),"")</f>
        <v/>
      </c>
      <c r="D73" s="110" t="n"/>
      <c r="E73" s="42" t="n"/>
      <c r="F73" s="40" t="n"/>
      <c r="G73" s="60">
        <f>IF(OR($E73="",$F73="",$F73=0),"",$E73/$F73)</f>
        <v/>
      </c>
      <c r="H73" s="60">
        <f>IF($A73="","",SUMIFS(الرواتب_قسط_السلفة,الرواتب_السلفة,$A73,الرواتب_حالة_الصرف,"مصروف"))</f>
        <v/>
      </c>
      <c r="I73" s="60">
        <f>IF($A73="","",MAX(0,$E73-$H73))</f>
        <v/>
      </c>
      <c r="J73" s="110" t="n"/>
      <c r="K73" s="40" t="n"/>
      <c r="L73" s="40" t="n"/>
    </row>
    <row r="74">
      <c r="A74" s="46" t="n"/>
      <c r="B74" s="47" t="n"/>
      <c r="C74" s="50">
        <f>IFERROR(INDEX(الموظفون_الاسم,MATCH($B74,الموظفون_الرقم,0)),"")</f>
        <v/>
      </c>
      <c r="D74" s="112" t="n"/>
      <c r="E74" s="49" t="n"/>
      <c r="F74" s="47" t="n"/>
      <c r="G74" s="63">
        <f>IF(OR($E74="",$F74="",$F74=0),"",$E74/$F74)</f>
        <v/>
      </c>
      <c r="H74" s="63">
        <f>IF($A74="","",SUMIFS(الرواتب_قسط_السلفة,الرواتب_السلفة,$A74,الرواتب_حالة_الصرف,"مصروف"))</f>
        <v/>
      </c>
      <c r="I74" s="63">
        <f>IF($A74="","",MAX(0,$E74-$H74))</f>
        <v/>
      </c>
      <c r="J74" s="112" t="n"/>
      <c r="K74" s="47" t="n"/>
      <c r="L74" s="47" t="n"/>
    </row>
    <row r="75">
      <c r="A75" s="39" t="n"/>
      <c r="B75" s="40" t="n"/>
      <c r="C75" s="43">
        <f>IFERROR(INDEX(الموظفون_الاسم,MATCH($B75,الموظفون_الرقم,0)),"")</f>
        <v/>
      </c>
      <c r="D75" s="110" t="n"/>
      <c r="E75" s="42" t="n"/>
      <c r="F75" s="40" t="n"/>
      <c r="G75" s="60">
        <f>IF(OR($E75="",$F75="",$F75=0),"",$E75/$F75)</f>
        <v/>
      </c>
      <c r="H75" s="60">
        <f>IF($A75="","",SUMIFS(الرواتب_قسط_السلفة,الرواتب_السلفة,$A75,الرواتب_حالة_الصرف,"مصروف"))</f>
        <v/>
      </c>
      <c r="I75" s="60">
        <f>IF($A75="","",MAX(0,$E75-$H75))</f>
        <v/>
      </c>
      <c r="J75" s="110" t="n"/>
      <c r="K75" s="40" t="n"/>
      <c r="L75" s="40" t="n"/>
    </row>
    <row r="76">
      <c r="A76" s="46" t="n"/>
      <c r="B76" s="47" t="n"/>
      <c r="C76" s="50">
        <f>IFERROR(INDEX(الموظفون_الاسم,MATCH($B76,الموظفون_الرقم,0)),"")</f>
        <v/>
      </c>
      <c r="D76" s="112" t="n"/>
      <c r="E76" s="49" t="n"/>
      <c r="F76" s="47" t="n"/>
      <c r="G76" s="63">
        <f>IF(OR($E76="",$F76="",$F76=0),"",$E76/$F76)</f>
        <v/>
      </c>
      <c r="H76" s="63">
        <f>IF($A76="","",SUMIFS(الرواتب_قسط_السلفة,الرواتب_السلفة,$A76,الرواتب_حالة_الصرف,"مصروف"))</f>
        <v/>
      </c>
      <c r="I76" s="63">
        <f>IF($A76="","",MAX(0,$E76-$H76))</f>
        <v/>
      </c>
      <c r="J76" s="112" t="n"/>
      <c r="K76" s="47" t="n"/>
      <c r="L76" s="47" t="n"/>
    </row>
    <row r="77">
      <c r="A77" s="39" t="n"/>
      <c r="B77" s="40" t="n"/>
      <c r="C77" s="43">
        <f>IFERROR(INDEX(الموظفون_الاسم,MATCH($B77,الموظفون_الرقم,0)),"")</f>
        <v/>
      </c>
      <c r="D77" s="110" t="n"/>
      <c r="E77" s="42" t="n"/>
      <c r="F77" s="40" t="n"/>
      <c r="G77" s="60">
        <f>IF(OR($E77="",$F77="",$F77=0),"",$E77/$F77)</f>
        <v/>
      </c>
      <c r="H77" s="60">
        <f>IF($A77="","",SUMIFS(الرواتب_قسط_السلفة,الرواتب_السلفة,$A77,الرواتب_حالة_الصرف,"مصروف"))</f>
        <v/>
      </c>
      <c r="I77" s="60">
        <f>IF($A77="","",MAX(0,$E77-$H77))</f>
        <v/>
      </c>
      <c r="J77" s="110" t="n"/>
      <c r="K77" s="40" t="n"/>
      <c r="L77" s="40" t="n"/>
    </row>
    <row r="78">
      <c r="A78" s="46" t="n"/>
      <c r="B78" s="47" t="n"/>
      <c r="C78" s="50">
        <f>IFERROR(INDEX(الموظفون_الاسم,MATCH($B78,الموظفون_الرقم,0)),"")</f>
        <v/>
      </c>
      <c r="D78" s="112" t="n"/>
      <c r="E78" s="49" t="n"/>
      <c r="F78" s="47" t="n"/>
      <c r="G78" s="63">
        <f>IF(OR($E78="",$F78="",$F78=0),"",$E78/$F78)</f>
        <v/>
      </c>
      <c r="H78" s="63">
        <f>IF($A78="","",SUMIFS(الرواتب_قسط_السلفة,الرواتب_السلفة,$A78,الرواتب_حالة_الصرف,"مصروف"))</f>
        <v/>
      </c>
      <c r="I78" s="63">
        <f>IF($A78="","",MAX(0,$E78-$H78))</f>
        <v/>
      </c>
      <c r="J78" s="112" t="n"/>
      <c r="K78" s="47" t="n"/>
      <c r="L78" s="47" t="n"/>
    </row>
    <row r="79">
      <c r="A79" s="39" t="n"/>
      <c r="B79" s="40" t="n"/>
      <c r="C79" s="43">
        <f>IFERROR(INDEX(الموظفون_الاسم,MATCH($B79,الموظفون_الرقم,0)),"")</f>
        <v/>
      </c>
      <c r="D79" s="110" t="n"/>
      <c r="E79" s="42" t="n"/>
      <c r="F79" s="40" t="n"/>
      <c r="G79" s="60">
        <f>IF(OR($E79="",$F79="",$F79=0),"",$E79/$F79)</f>
        <v/>
      </c>
      <c r="H79" s="60">
        <f>IF($A79="","",SUMIFS(الرواتب_قسط_السلفة,الرواتب_السلفة,$A79,الرواتب_حالة_الصرف,"مصروف"))</f>
        <v/>
      </c>
      <c r="I79" s="60">
        <f>IF($A79="","",MAX(0,$E79-$H79))</f>
        <v/>
      </c>
      <c r="J79" s="110" t="n"/>
      <c r="K79" s="40" t="n"/>
      <c r="L79" s="40" t="n"/>
    </row>
    <row r="80">
      <c r="A80" s="46" t="n"/>
      <c r="B80" s="47" t="n"/>
      <c r="C80" s="50">
        <f>IFERROR(INDEX(الموظفون_الاسم,MATCH($B80,الموظفون_الرقم,0)),"")</f>
        <v/>
      </c>
      <c r="D80" s="112" t="n"/>
      <c r="E80" s="49" t="n"/>
      <c r="F80" s="47" t="n"/>
      <c r="G80" s="63">
        <f>IF(OR($E80="",$F80="",$F80=0),"",$E80/$F80)</f>
        <v/>
      </c>
      <c r="H80" s="63">
        <f>IF($A80="","",SUMIFS(الرواتب_قسط_السلفة,الرواتب_السلفة,$A80,الرواتب_حالة_الصرف,"مصروف"))</f>
        <v/>
      </c>
      <c r="I80" s="63">
        <f>IF($A80="","",MAX(0,$E80-$H80))</f>
        <v/>
      </c>
      <c r="J80" s="112" t="n"/>
      <c r="K80" s="47" t="n"/>
      <c r="L80" s="47" t="n"/>
    </row>
    <row r="81">
      <c r="A81" s="39" t="n"/>
      <c r="B81" s="40" t="n"/>
      <c r="C81" s="43">
        <f>IFERROR(INDEX(الموظفون_الاسم,MATCH($B81,الموظفون_الرقم,0)),"")</f>
        <v/>
      </c>
      <c r="D81" s="110" t="n"/>
      <c r="E81" s="42" t="n"/>
      <c r="F81" s="40" t="n"/>
      <c r="G81" s="60">
        <f>IF(OR($E81="",$F81="",$F81=0),"",$E81/$F81)</f>
        <v/>
      </c>
      <c r="H81" s="60">
        <f>IF($A81="","",SUMIFS(الرواتب_قسط_السلفة,الرواتب_السلفة,$A81,الرواتب_حالة_الصرف,"مصروف"))</f>
        <v/>
      </c>
      <c r="I81" s="60">
        <f>IF($A81="","",MAX(0,$E81-$H81))</f>
        <v/>
      </c>
      <c r="J81" s="110" t="n"/>
      <c r="K81" s="40" t="n"/>
      <c r="L81" s="40" t="n"/>
    </row>
    <row r="82">
      <c r="A82" s="46" t="n"/>
      <c r="B82" s="47" t="n"/>
      <c r="C82" s="50">
        <f>IFERROR(INDEX(الموظفون_الاسم,MATCH($B82,الموظفون_الرقم,0)),"")</f>
        <v/>
      </c>
      <c r="D82" s="112" t="n"/>
      <c r="E82" s="49" t="n"/>
      <c r="F82" s="47" t="n"/>
      <c r="G82" s="63">
        <f>IF(OR($E82="",$F82="",$F82=0),"",$E82/$F82)</f>
        <v/>
      </c>
      <c r="H82" s="63">
        <f>IF($A82="","",SUMIFS(الرواتب_قسط_السلفة,الرواتب_السلفة,$A82,الرواتب_حالة_الصرف,"مصروف"))</f>
        <v/>
      </c>
      <c r="I82" s="63">
        <f>IF($A82="","",MAX(0,$E82-$H82))</f>
        <v/>
      </c>
      <c r="J82" s="112" t="n"/>
      <c r="K82" s="47" t="n"/>
      <c r="L82" s="47" t="n"/>
    </row>
    <row r="83">
      <c r="A83" s="39" t="n"/>
      <c r="B83" s="40" t="n"/>
      <c r="C83" s="43">
        <f>IFERROR(INDEX(الموظفون_الاسم,MATCH($B83,الموظفون_الرقم,0)),"")</f>
        <v/>
      </c>
      <c r="D83" s="110" t="n"/>
      <c r="E83" s="42" t="n"/>
      <c r="F83" s="40" t="n"/>
      <c r="G83" s="60">
        <f>IF(OR($E83="",$F83="",$F83=0),"",$E83/$F83)</f>
        <v/>
      </c>
      <c r="H83" s="60">
        <f>IF($A83="","",SUMIFS(الرواتب_قسط_السلفة,الرواتب_السلفة,$A83,الرواتب_حالة_الصرف,"مصروف"))</f>
        <v/>
      </c>
      <c r="I83" s="60">
        <f>IF($A83="","",MAX(0,$E83-$H83))</f>
        <v/>
      </c>
      <c r="J83" s="110" t="n"/>
      <c r="K83" s="40" t="n"/>
      <c r="L83" s="40" t="n"/>
    </row>
    <row r="84">
      <c r="A84" s="46" t="n"/>
      <c r="B84" s="47" t="n"/>
      <c r="C84" s="50">
        <f>IFERROR(INDEX(الموظفون_الاسم,MATCH($B84,الموظفون_الرقم,0)),"")</f>
        <v/>
      </c>
      <c r="D84" s="112" t="n"/>
      <c r="E84" s="49" t="n"/>
      <c r="F84" s="47" t="n"/>
      <c r="G84" s="63">
        <f>IF(OR($E84="",$F84="",$F84=0),"",$E84/$F84)</f>
        <v/>
      </c>
      <c r="H84" s="63">
        <f>IF($A84="","",SUMIFS(الرواتب_قسط_السلفة,الرواتب_السلفة,$A84,الرواتب_حالة_الصرف,"مصروف"))</f>
        <v/>
      </c>
      <c r="I84" s="63">
        <f>IF($A84="","",MAX(0,$E84-$H84))</f>
        <v/>
      </c>
      <c r="J84" s="112" t="n"/>
      <c r="K84" s="47" t="n"/>
      <c r="L84" s="47" t="n"/>
    </row>
    <row r="85">
      <c r="A85" s="39" t="n"/>
      <c r="B85" s="40" t="n"/>
      <c r="C85" s="43">
        <f>IFERROR(INDEX(الموظفون_الاسم,MATCH($B85,الموظفون_الرقم,0)),"")</f>
        <v/>
      </c>
      <c r="D85" s="110" t="n"/>
      <c r="E85" s="42" t="n"/>
      <c r="F85" s="40" t="n"/>
      <c r="G85" s="60">
        <f>IF(OR($E85="",$F85="",$F85=0),"",$E85/$F85)</f>
        <v/>
      </c>
      <c r="H85" s="60">
        <f>IF($A85="","",SUMIFS(الرواتب_قسط_السلفة,الرواتب_السلفة,$A85,الرواتب_حالة_الصرف,"مصروف"))</f>
        <v/>
      </c>
      <c r="I85" s="60">
        <f>IF($A85="","",MAX(0,$E85-$H85))</f>
        <v/>
      </c>
      <c r="J85" s="110" t="n"/>
      <c r="K85" s="40" t="n"/>
      <c r="L85" s="40" t="n"/>
    </row>
    <row r="86">
      <c r="A86" s="46" t="n"/>
      <c r="B86" s="47" t="n"/>
      <c r="C86" s="50">
        <f>IFERROR(INDEX(الموظفون_الاسم,MATCH($B86,الموظفون_الرقم,0)),"")</f>
        <v/>
      </c>
      <c r="D86" s="112" t="n"/>
      <c r="E86" s="49" t="n"/>
      <c r="F86" s="47" t="n"/>
      <c r="G86" s="63">
        <f>IF(OR($E86="",$F86="",$F86=0),"",$E86/$F86)</f>
        <v/>
      </c>
      <c r="H86" s="63">
        <f>IF($A86="","",SUMIFS(الرواتب_قسط_السلفة,الرواتب_السلفة,$A86,الرواتب_حالة_الصرف,"مصروف"))</f>
        <v/>
      </c>
      <c r="I86" s="63">
        <f>IF($A86="","",MAX(0,$E86-$H86))</f>
        <v/>
      </c>
      <c r="J86" s="112" t="n"/>
      <c r="K86" s="47" t="n"/>
      <c r="L86" s="47" t="n"/>
    </row>
    <row r="87">
      <c r="A87" s="39" t="n"/>
      <c r="B87" s="40" t="n"/>
      <c r="C87" s="43">
        <f>IFERROR(INDEX(الموظفون_الاسم,MATCH($B87,الموظفون_الرقم,0)),"")</f>
        <v/>
      </c>
      <c r="D87" s="110" t="n"/>
      <c r="E87" s="42" t="n"/>
      <c r="F87" s="40" t="n"/>
      <c r="G87" s="60">
        <f>IF(OR($E87="",$F87="",$F87=0),"",$E87/$F87)</f>
        <v/>
      </c>
      <c r="H87" s="60">
        <f>IF($A87="","",SUMIFS(الرواتب_قسط_السلفة,الرواتب_السلفة,$A87,الرواتب_حالة_الصرف,"مصروف"))</f>
        <v/>
      </c>
      <c r="I87" s="60">
        <f>IF($A87="","",MAX(0,$E87-$H87))</f>
        <v/>
      </c>
      <c r="J87" s="110" t="n"/>
      <c r="K87" s="40" t="n"/>
      <c r="L87" s="40" t="n"/>
    </row>
    <row r="88">
      <c r="A88" s="46" t="n"/>
      <c r="B88" s="47" t="n"/>
      <c r="C88" s="50">
        <f>IFERROR(INDEX(الموظفون_الاسم,MATCH($B88,الموظفون_الرقم,0)),"")</f>
        <v/>
      </c>
      <c r="D88" s="112" t="n"/>
      <c r="E88" s="49" t="n"/>
      <c r="F88" s="47" t="n"/>
      <c r="G88" s="63">
        <f>IF(OR($E88="",$F88="",$F88=0),"",$E88/$F88)</f>
        <v/>
      </c>
      <c r="H88" s="63">
        <f>IF($A88="","",SUMIFS(الرواتب_قسط_السلفة,الرواتب_السلفة,$A88,الرواتب_حالة_الصرف,"مصروف"))</f>
        <v/>
      </c>
      <c r="I88" s="63">
        <f>IF($A88="","",MAX(0,$E88-$H88))</f>
        <v/>
      </c>
      <c r="J88" s="112" t="n"/>
      <c r="K88" s="47" t="n"/>
      <c r="L88" s="47" t="n"/>
    </row>
    <row r="89">
      <c r="A89" s="39" t="n"/>
      <c r="B89" s="40" t="n"/>
      <c r="C89" s="43">
        <f>IFERROR(INDEX(الموظفون_الاسم,MATCH($B89,الموظفون_الرقم,0)),"")</f>
        <v/>
      </c>
      <c r="D89" s="110" t="n"/>
      <c r="E89" s="42" t="n"/>
      <c r="F89" s="40" t="n"/>
      <c r="G89" s="60">
        <f>IF(OR($E89="",$F89="",$F89=0),"",$E89/$F89)</f>
        <v/>
      </c>
      <c r="H89" s="60">
        <f>IF($A89="","",SUMIFS(الرواتب_قسط_السلفة,الرواتب_السلفة,$A89,الرواتب_حالة_الصرف,"مصروف"))</f>
        <v/>
      </c>
      <c r="I89" s="60">
        <f>IF($A89="","",MAX(0,$E89-$H89))</f>
        <v/>
      </c>
      <c r="J89" s="110" t="n"/>
      <c r="K89" s="40" t="n"/>
      <c r="L89" s="40" t="n"/>
    </row>
    <row r="90">
      <c r="A90" s="46" t="n"/>
      <c r="B90" s="47" t="n"/>
      <c r="C90" s="50">
        <f>IFERROR(INDEX(الموظفون_الاسم,MATCH($B90,الموظفون_الرقم,0)),"")</f>
        <v/>
      </c>
      <c r="D90" s="112" t="n"/>
      <c r="E90" s="49" t="n"/>
      <c r="F90" s="47" t="n"/>
      <c r="G90" s="63">
        <f>IF(OR($E90="",$F90="",$F90=0),"",$E90/$F90)</f>
        <v/>
      </c>
      <c r="H90" s="63">
        <f>IF($A90="","",SUMIFS(الرواتب_قسط_السلفة,الرواتب_السلفة,$A90,الرواتب_حالة_الصرف,"مصروف"))</f>
        <v/>
      </c>
      <c r="I90" s="63">
        <f>IF($A90="","",MAX(0,$E90-$H90))</f>
        <v/>
      </c>
      <c r="J90" s="112" t="n"/>
      <c r="K90" s="47" t="n"/>
      <c r="L90" s="47" t="n"/>
    </row>
    <row r="91">
      <c r="A91" s="39" t="n"/>
      <c r="B91" s="40" t="n"/>
      <c r="C91" s="43">
        <f>IFERROR(INDEX(الموظفون_الاسم,MATCH($B91,الموظفون_الرقم,0)),"")</f>
        <v/>
      </c>
      <c r="D91" s="110" t="n"/>
      <c r="E91" s="42" t="n"/>
      <c r="F91" s="40" t="n"/>
      <c r="G91" s="60">
        <f>IF(OR($E91="",$F91="",$F91=0),"",$E91/$F91)</f>
        <v/>
      </c>
      <c r="H91" s="60">
        <f>IF($A91="","",SUMIFS(الرواتب_قسط_السلفة,الرواتب_السلفة,$A91,الرواتب_حالة_الصرف,"مصروف"))</f>
        <v/>
      </c>
      <c r="I91" s="60">
        <f>IF($A91="","",MAX(0,$E91-$H91))</f>
        <v/>
      </c>
      <c r="J91" s="110" t="n"/>
      <c r="K91" s="40" t="n"/>
      <c r="L91" s="40" t="n"/>
    </row>
    <row r="92">
      <c r="A92" s="46" t="n"/>
      <c r="B92" s="47" t="n"/>
      <c r="C92" s="50">
        <f>IFERROR(INDEX(الموظفون_الاسم,MATCH($B92,الموظفون_الرقم,0)),"")</f>
        <v/>
      </c>
      <c r="D92" s="112" t="n"/>
      <c r="E92" s="49" t="n"/>
      <c r="F92" s="47" t="n"/>
      <c r="G92" s="63">
        <f>IF(OR($E92="",$F92="",$F92=0),"",$E92/$F92)</f>
        <v/>
      </c>
      <c r="H92" s="63">
        <f>IF($A92="","",SUMIFS(الرواتب_قسط_السلفة,الرواتب_السلفة,$A92,الرواتب_حالة_الصرف,"مصروف"))</f>
        <v/>
      </c>
      <c r="I92" s="63">
        <f>IF($A92="","",MAX(0,$E92-$H92))</f>
        <v/>
      </c>
      <c r="J92" s="112" t="n"/>
      <c r="K92" s="47" t="n"/>
      <c r="L92" s="47" t="n"/>
    </row>
    <row r="93">
      <c r="A93" s="39" t="n"/>
      <c r="B93" s="40" t="n"/>
      <c r="C93" s="43">
        <f>IFERROR(INDEX(الموظفون_الاسم,MATCH($B93,الموظفون_الرقم,0)),"")</f>
        <v/>
      </c>
      <c r="D93" s="110" t="n"/>
      <c r="E93" s="42" t="n"/>
      <c r="F93" s="40" t="n"/>
      <c r="G93" s="60">
        <f>IF(OR($E93="",$F93="",$F93=0),"",$E93/$F93)</f>
        <v/>
      </c>
      <c r="H93" s="60">
        <f>IF($A93="","",SUMIFS(الرواتب_قسط_السلفة,الرواتب_السلفة,$A93,الرواتب_حالة_الصرف,"مصروف"))</f>
        <v/>
      </c>
      <c r="I93" s="60">
        <f>IF($A93="","",MAX(0,$E93-$H93))</f>
        <v/>
      </c>
      <c r="J93" s="110" t="n"/>
      <c r="K93" s="40" t="n"/>
      <c r="L93" s="40" t="n"/>
    </row>
    <row r="94">
      <c r="A94" s="46" t="n"/>
      <c r="B94" s="47" t="n"/>
      <c r="C94" s="50">
        <f>IFERROR(INDEX(الموظفون_الاسم,MATCH($B94,الموظفون_الرقم,0)),"")</f>
        <v/>
      </c>
      <c r="D94" s="112" t="n"/>
      <c r="E94" s="49" t="n"/>
      <c r="F94" s="47" t="n"/>
      <c r="G94" s="63">
        <f>IF(OR($E94="",$F94="",$F94=0),"",$E94/$F94)</f>
        <v/>
      </c>
      <c r="H94" s="63">
        <f>IF($A94="","",SUMIFS(الرواتب_قسط_السلفة,الرواتب_السلفة,$A94,الرواتب_حالة_الصرف,"مصروف"))</f>
        <v/>
      </c>
      <c r="I94" s="63">
        <f>IF($A94="","",MAX(0,$E94-$H94))</f>
        <v/>
      </c>
      <c r="J94" s="112" t="n"/>
      <c r="K94" s="47" t="n"/>
      <c r="L94" s="47" t="n"/>
    </row>
    <row r="95">
      <c r="A95" s="39" t="n"/>
      <c r="B95" s="40" t="n"/>
      <c r="C95" s="43">
        <f>IFERROR(INDEX(الموظفون_الاسم,MATCH($B95,الموظفون_الرقم,0)),"")</f>
        <v/>
      </c>
      <c r="D95" s="110" t="n"/>
      <c r="E95" s="42" t="n"/>
      <c r="F95" s="40" t="n"/>
      <c r="G95" s="60">
        <f>IF(OR($E95="",$F95="",$F95=0),"",$E95/$F95)</f>
        <v/>
      </c>
      <c r="H95" s="60">
        <f>IF($A95="","",SUMIFS(الرواتب_قسط_السلفة,الرواتب_السلفة,$A95,الرواتب_حالة_الصرف,"مصروف"))</f>
        <v/>
      </c>
      <c r="I95" s="60">
        <f>IF($A95="","",MAX(0,$E95-$H95))</f>
        <v/>
      </c>
      <c r="J95" s="110" t="n"/>
      <c r="K95" s="40" t="n"/>
      <c r="L95" s="40" t="n"/>
    </row>
    <row r="96">
      <c r="A96" s="46" t="n"/>
      <c r="B96" s="47" t="n"/>
      <c r="C96" s="50">
        <f>IFERROR(INDEX(الموظفون_الاسم,MATCH($B96,الموظفون_الرقم,0)),"")</f>
        <v/>
      </c>
      <c r="D96" s="112" t="n"/>
      <c r="E96" s="49" t="n"/>
      <c r="F96" s="47" t="n"/>
      <c r="G96" s="63">
        <f>IF(OR($E96="",$F96="",$F96=0),"",$E96/$F96)</f>
        <v/>
      </c>
      <c r="H96" s="63">
        <f>IF($A96="","",SUMIFS(الرواتب_قسط_السلفة,الرواتب_السلفة,$A96,الرواتب_حالة_الصرف,"مصروف"))</f>
        <v/>
      </c>
      <c r="I96" s="63">
        <f>IF($A96="","",MAX(0,$E96-$H96))</f>
        <v/>
      </c>
      <c r="J96" s="112" t="n"/>
      <c r="K96" s="47" t="n"/>
      <c r="L96" s="47" t="n"/>
    </row>
    <row r="97">
      <c r="A97" s="39" t="n"/>
      <c r="B97" s="40" t="n"/>
      <c r="C97" s="43">
        <f>IFERROR(INDEX(الموظفون_الاسم,MATCH($B97,الموظفون_الرقم,0)),"")</f>
        <v/>
      </c>
      <c r="D97" s="110" t="n"/>
      <c r="E97" s="42" t="n"/>
      <c r="F97" s="40" t="n"/>
      <c r="G97" s="60">
        <f>IF(OR($E97="",$F97="",$F97=0),"",$E97/$F97)</f>
        <v/>
      </c>
      <c r="H97" s="60">
        <f>IF($A97="","",SUMIFS(الرواتب_قسط_السلفة,الرواتب_السلفة,$A97,الرواتب_حالة_الصرف,"مصروف"))</f>
        <v/>
      </c>
      <c r="I97" s="60">
        <f>IF($A97="","",MAX(0,$E97-$H97))</f>
        <v/>
      </c>
      <c r="J97" s="110" t="n"/>
      <c r="K97" s="40" t="n"/>
      <c r="L97" s="40" t="n"/>
    </row>
    <row r="98">
      <c r="A98" s="46" t="n"/>
      <c r="B98" s="47" t="n"/>
      <c r="C98" s="50">
        <f>IFERROR(INDEX(الموظفون_الاسم,MATCH($B98,الموظفون_الرقم,0)),"")</f>
        <v/>
      </c>
      <c r="D98" s="112" t="n"/>
      <c r="E98" s="49" t="n"/>
      <c r="F98" s="47" t="n"/>
      <c r="G98" s="63">
        <f>IF(OR($E98="",$F98="",$F98=0),"",$E98/$F98)</f>
        <v/>
      </c>
      <c r="H98" s="63">
        <f>IF($A98="","",SUMIFS(الرواتب_قسط_السلفة,الرواتب_السلفة,$A98,الرواتب_حالة_الصرف,"مصروف"))</f>
        <v/>
      </c>
      <c r="I98" s="63">
        <f>IF($A98="","",MAX(0,$E98-$H98))</f>
        <v/>
      </c>
      <c r="J98" s="112" t="n"/>
      <c r="K98" s="47" t="n"/>
      <c r="L98" s="47" t="n"/>
    </row>
    <row r="99">
      <c r="A99" s="39" t="n"/>
      <c r="B99" s="40" t="n"/>
      <c r="C99" s="43">
        <f>IFERROR(INDEX(الموظفون_الاسم,MATCH($B99,الموظفون_الرقم,0)),"")</f>
        <v/>
      </c>
      <c r="D99" s="110" t="n"/>
      <c r="E99" s="42" t="n"/>
      <c r="F99" s="40" t="n"/>
      <c r="G99" s="60">
        <f>IF(OR($E99="",$F99="",$F99=0),"",$E99/$F99)</f>
        <v/>
      </c>
      <c r="H99" s="60">
        <f>IF($A99="","",SUMIFS(الرواتب_قسط_السلفة,الرواتب_السلفة,$A99,الرواتب_حالة_الصرف,"مصروف"))</f>
        <v/>
      </c>
      <c r="I99" s="60">
        <f>IF($A99="","",MAX(0,$E99-$H99))</f>
        <v/>
      </c>
      <c r="J99" s="110" t="n"/>
      <c r="K99" s="40" t="n"/>
      <c r="L99" s="40" t="n"/>
    </row>
    <row r="100">
      <c r="A100" s="46" t="n"/>
      <c r="B100" s="47" t="n"/>
      <c r="C100" s="50">
        <f>IFERROR(INDEX(الموظفون_الاسم,MATCH($B100,الموظفون_الرقم,0)),"")</f>
        <v/>
      </c>
      <c r="D100" s="112" t="n"/>
      <c r="E100" s="49" t="n"/>
      <c r="F100" s="47" t="n"/>
      <c r="G100" s="63">
        <f>IF(OR($E100="",$F100="",$F100=0),"",$E100/$F100)</f>
        <v/>
      </c>
      <c r="H100" s="63">
        <f>IF($A100="","",SUMIFS(الرواتب_قسط_السلفة,الرواتب_السلفة,$A100,الرواتب_حالة_الصرف,"مصروف"))</f>
        <v/>
      </c>
      <c r="I100" s="63">
        <f>IF($A100="","",MAX(0,$E100-$H100))</f>
        <v/>
      </c>
      <c r="J100" s="112" t="n"/>
      <c r="K100" s="47" t="n"/>
      <c r="L100" s="47" t="n"/>
    </row>
    <row r="101">
      <c r="A101" s="39" t="n"/>
      <c r="B101" s="40" t="n"/>
      <c r="C101" s="43">
        <f>IFERROR(INDEX(الموظفون_الاسم,MATCH($B101,الموظفون_الرقم,0)),"")</f>
        <v/>
      </c>
      <c r="D101" s="110" t="n"/>
      <c r="E101" s="42" t="n"/>
      <c r="F101" s="40" t="n"/>
      <c r="G101" s="60">
        <f>IF(OR($E101="",$F101="",$F101=0),"",$E101/$F101)</f>
        <v/>
      </c>
      <c r="H101" s="60">
        <f>IF($A101="","",SUMIFS(الرواتب_قسط_السلفة,الرواتب_السلفة,$A101,الرواتب_حالة_الصرف,"مصروف"))</f>
        <v/>
      </c>
      <c r="I101" s="60">
        <f>IF($A101="","",MAX(0,$E101-$H101))</f>
        <v/>
      </c>
      <c r="J101" s="110" t="n"/>
      <c r="K101" s="40" t="n"/>
      <c r="L101" s="40" t="n"/>
    </row>
    <row r="102">
      <c r="A102" s="46" t="n"/>
      <c r="B102" s="47" t="n"/>
      <c r="C102" s="50">
        <f>IFERROR(INDEX(الموظفون_الاسم,MATCH($B102,الموظفون_الرقم,0)),"")</f>
        <v/>
      </c>
      <c r="D102" s="112" t="n"/>
      <c r="E102" s="49" t="n"/>
      <c r="F102" s="47" t="n"/>
      <c r="G102" s="63">
        <f>IF(OR($E102="",$F102="",$F102=0),"",$E102/$F102)</f>
        <v/>
      </c>
      <c r="H102" s="63">
        <f>IF($A102="","",SUMIFS(الرواتب_قسط_السلفة,الرواتب_السلفة,$A102,الرواتب_حالة_الصرف,"مصروف"))</f>
        <v/>
      </c>
      <c r="I102" s="63">
        <f>IF($A102="","",MAX(0,$E102-$H102))</f>
        <v/>
      </c>
      <c r="J102" s="112" t="n"/>
      <c r="K102" s="47" t="n"/>
      <c r="L102" s="47" t="n"/>
    </row>
    <row r="103">
      <c r="A103" s="39" t="n"/>
      <c r="B103" s="40" t="n"/>
      <c r="C103" s="43">
        <f>IFERROR(INDEX(الموظفون_الاسم,MATCH($B103,الموظفون_الرقم,0)),"")</f>
        <v/>
      </c>
      <c r="D103" s="110" t="n"/>
      <c r="E103" s="42" t="n"/>
      <c r="F103" s="40" t="n"/>
      <c r="G103" s="60">
        <f>IF(OR($E103="",$F103="",$F103=0),"",$E103/$F103)</f>
        <v/>
      </c>
      <c r="H103" s="60">
        <f>IF($A103="","",SUMIFS(الرواتب_قسط_السلفة,الرواتب_السلفة,$A103,الرواتب_حالة_الصرف,"مصروف"))</f>
        <v/>
      </c>
      <c r="I103" s="60">
        <f>IF($A103="","",MAX(0,$E103-$H103))</f>
        <v/>
      </c>
      <c r="J103" s="110" t="n"/>
      <c r="K103" s="40" t="n"/>
      <c r="L103" s="40" t="n"/>
    </row>
    <row r="104">
      <c r="A104" s="46" t="n"/>
      <c r="B104" s="47" t="n"/>
      <c r="C104" s="50">
        <f>IFERROR(INDEX(الموظفون_الاسم,MATCH($B104,الموظفون_الرقم,0)),"")</f>
        <v/>
      </c>
      <c r="D104" s="112" t="n"/>
      <c r="E104" s="49" t="n"/>
      <c r="F104" s="47" t="n"/>
      <c r="G104" s="63">
        <f>IF(OR($E104="",$F104="",$F104=0),"",$E104/$F104)</f>
        <v/>
      </c>
      <c r="H104" s="63">
        <f>IF($A104="","",SUMIFS(الرواتب_قسط_السلفة,الرواتب_السلفة,$A104,الرواتب_حالة_الصرف,"مصروف"))</f>
        <v/>
      </c>
      <c r="I104" s="63">
        <f>IF($A104="","",MAX(0,$E104-$H104))</f>
        <v/>
      </c>
      <c r="J104" s="112" t="n"/>
      <c r="K104" s="47" t="n"/>
      <c r="L104" s="47" t="n"/>
    </row>
    <row r="105">
      <c r="A105" s="39" t="n"/>
      <c r="B105" s="40" t="n"/>
      <c r="C105" s="43">
        <f>IFERROR(INDEX(الموظفون_الاسم,MATCH($B105,الموظفون_الرقم,0)),"")</f>
        <v/>
      </c>
      <c r="D105" s="110" t="n"/>
      <c r="E105" s="42" t="n"/>
      <c r="F105" s="40" t="n"/>
      <c r="G105" s="60">
        <f>IF(OR($E105="",$F105="",$F105=0),"",$E105/$F105)</f>
        <v/>
      </c>
      <c r="H105" s="60">
        <f>IF($A105="","",SUMIFS(الرواتب_قسط_السلفة,الرواتب_السلفة,$A105,الرواتب_حالة_الصرف,"مصروف"))</f>
        <v/>
      </c>
      <c r="I105" s="60">
        <f>IF($A105="","",MAX(0,$E105-$H105))</f>
        <v/>
      </c>
      <c r="J105" s="110" t="n"/>
      <c r="K105" s="40" t="n"/>
      <c r="L105" s="40" t="n"/>
    </row>
    <row r="106">
      <c r="A106" s="46" t="n"/>
      <c r="B106" s="47" t="n"/>
      <c r="C106" s="50">
        <f>IFERROR(INDEX(الموظفون_الاسم,MATCH($B106,الموظفون_الرقم,0)),"")</f>
        <v/>
      </c>
      <c r="D106" s="112" t="n"/>
      <c r="E106" s="49" t="n"/>
      <c r="F106" s="47" t="n"/>
      <c r="G106" s="63">
        <f>IF(OR($E106="",$F106="",$F106=0),"",$E106/$F106)</f>
        <v/>
      </c>
      <c r="H106" s="63">
        <f>IF($A106="","",SUMIFS(الرواتب_قسط_السلفة,الرواتب_السلفة,$A106,الرواتب_حالة_الصرف,"مصروف"))</f>
        <v/>
      </c>
      <c r="I106" s="63">
        <f>IF($A106="","",MAX(0,$E106-$H106))</f>
        <v/>
      </c>
      <c r="J106" s="112" t="n"/>
      <c r="K106" s="47" t="n"/>
      <c r="L106" s="47" t="n"/>
    </row>
    <row r="107">
      <c r="A107" s="39" t="n"/>
      <c r="B107" s="40" t="n"/>
      <c r="C107" s="43">
        <f>IFERROR(INDEX(الموظفون_الاسم,MATCH($B107,الموظفون_الرقم,0)),"")</f>
        <v/>
      </c>
      <c r="D107" s="110" t="n"/>
      <c r="E107" s="42" t="n"/>
      <c r="F107" s="40" t="n"/>
      <c r="G107" s="60">
        <f>IF(OR($E107="",$F107="",$F107=0),"",$E107/$F107)</f>
        <v/>
      </c>
      <c r="H107" s="60">
        <f>IF($A107="","",SUMIFS(الرواتب_قسط_السلفة,الرواتب_السلفة,$A107,الرواتب_حالة_الصرف,"مصروف"))</f>
        <v/>
      </c>
      <c r="I107" s="60">
        <f>IF($A107="","",MAX(0,$E107-$H107))</f>
        <v/>
      </c>
      <c r="J107" s="110" t="n"/>
      <c r="K107" s="40" t="n"/>
      <c r="L107" s="40" t="n"/>
    </row>
    <row r="108">
      <c r="A108" s="46" t="n"/>
      <c r="B108" s="47" t="n"/>
      <c r="C108" s="50">
        <f>IFERROR(INDEX(الموظفون_الاسم,MATCH($B108,الموظفون_الرقم,0)),"")</f>
        <v/>
      </c>
      <c r="D108" s="112" t="n"/>
      <c r="E108" s="49" t="n"/>
      <c r="F108" s="47" t="n"/>
      <c r="G108" s="63">
        <f>IF(OR($E108="",$F108="",$F108=0),"",$E108/$F108)</f>
        <v/>
      </c>
      <c r="H108" s="63">
        <f>IF($A108="","",SUMIFS(الرواتب_قسط_السلفة,الرواتب_السلفة,$A108,الرواتب_حالة_الصرف,"مصروف"))</f>
        <v/>
      </c>
      <c r="I108" s="63">
        <f>IF($A108="","",MAX(0,$E108-$H108))</f>
        <v/>
      </c>
      <c r="J108" s="112" t="n"/>
      <c r="K108" s="47" t="n"/>
      <c r="L108" s="47" t="n"/>
    </row>
    <row r="109">
      <c r="A109" s="39" t="n"/>
      <c r="B109" s="40" t="n"/>
      <c r="C109" s="43">
        <f>IFERROR(INDEX(الموظفون_الاسم,MATCH($B109,الموظفون_الرقم,0)),"")</f>
        <v/>
      </c>
      <c r="D109" s="110" t="n"/>
      <c r="E109" s="42" t="n"/>
      <c r="F109" s="40" t="n"/>
      <c r="G109" s="60">
        <f>IF(OR($E109="",$F109="",$F109=0),"",$E109/$F109)</f>
        <v/>
      </c>
      <c r="H109" s="60">
        <f>IF($A109="","",SUMIFS(الرواتب_قسط_السلفة,الرواتب_السلفة,$A109,الرواتب_حالة_الصرف,"مصروف"))</f>
        <v/>
      </c>
      <c r="I109" s="60">
        <f>IF($A109="","",MAX(0,$E109-$H109))</f>
        <v/>
      </c>
      <c r="J109" s="110" t="n"/>
      <c r="K109" s="40" t="n"/>
      <c r="L109" s="40" t="n"/>
    </row>
    <row r="110">
      <c r="A110" s="46" t="n"/>
      <c r="B110" s="47" t="n"/>
      <c r="C110" s="50">
        <f>IFERROR(INDEX(الموظفون_الاسم,MATCH($B110,الموظفون_الرقم,0)),"")</f>
        <v/>
      </c>
      <c r="D110" s="112" t="n"/>
      <c r="E110" s="49" t="n"/>
      <c r="F110" s="47" t="n"/>
      <c r="G110" s="63">
        <f>IF(OR($E110="",$F110="",$F110=0),"",$E110/$F110)</f>
        <v/>
      </c>
      <c r="H110" s="63">
        <f>IF($A110="","",SUMIFS(الرواتب_قسط_السلفة,الرواتب_السلفة,$A110,الرواتب_حالة_الصرف,"مصروف"))</f>
        <v/>
      </c>
      <c r="I110" s="63">
        <f>IF($A110="","",MAX(0,$E110-$H110))</f>
        <v/>
      </c>
      <c r="J110" s="112" t="n"/>
      <c r="K110" s="47" t="n"/>
      <c r="L110" s="47" t="n"/>
    </row>
    <row r="111">
      <c r="A111" s="39" t="n"/>
      <c r="B111" s="40" t="n"/>
      <c r="C111" s="43">
        <f>IFERROR(INDEX(الموظفون_الاسم,MATCH($B111,الموظفون_الرقم,0)),"")</f>
        <v/>
      </c>
      <c r="D111" s="110" t="n"/>
      <c r="E111" s="42" t="n"/>
      <c r="F111" s="40" t="n"/>
      <c r="G111" s="60">
        <f>IF(OR($E111="",$F111="",$F111=0),"",$E111/$F111)</f>
        <v/>
      </c>
      <c r="H111" s="60">
        <f>IF($A111="","",SUMIFS(الرواتب_قسط_السلفة,الرواتب_السلفة,$A111,الرواتب_حالة_الصرف,"مصروف"))</f>
        <v/>
      </c>
      <c r="I111" s="60">
        <f>IF($A111="","",MAX(0,$E111-$H111))</f>
        <v/>
      </c>
      <c r="J111" s="110" t="n"/>
      <c r="K111" s="40" t="n"/>
      <c r="L111" s="40" t="n"/>
    </row>
    <row r="112">
      <c r="A112" s="46" t="n"/>
      <c r="B112" s="47" t="n"/>
      <c r="C112" s="50">
        <f>IFERROR(INDEX(الموظفون_الاسم,MATCH($B112,الموظفون_الرقم,0)),"")</f>
        <v/>
      </c>
      <c r="D112" s="112" t="n"/>
      <c r="E112" s="49" t="n"/>
      <c r="F112" s="47" t="n"/>
      <c r="G112" s="63">
        <f>IF(OR($E112="",$F112="",$F112=0),"",$E112/$F112)</f>
        <v/>
      </c>
      <c r="H112" s="63">
        <f>IF($A112="","",SUMIFS(الرواتب_قسط_السلفة,الرواتب_السلفة,$A112,الرواتب_حالة_الصرف,"مصروف"))</f>
        <v/>
      </c>
      <c r="I112" s="63">
        <f>IF($A112="","",MAX(0,$E112-$H112))</f>
        <v/>
      </c>
      <c r="J112" s="112" t="n"/>
      <c r="K112" s="47" t="n"/>
      <c r="L112" s="47" t="n"/>
    </row>
    <row r="113">
      <c r="A113" s="39" t="n"/>
      <c r="B113" s="40" t="n"/>
      <c r="C113" s="43">
        <f>IFERROR(INDEX(الموظفون_الاسم,MATCH($B113,الموظفون_الرقم,0)),"")</f>
        <v/>
      </c>
      <c r="D113" s="110" t="n"/>
      <c r="E113" s="42" t="n"/>
      <c r="F113" s="40" t="n"/>
      <c r="G113" s="60">
        <f>IF(OR($E113="",$F113="",$F113=0),"",$E113/$F113)</f>
        <v/>
      </c>
      <c r="H113" s="60">
        <f>IF($A113="","",SUMIFS(الرواتب_قسط_السلفة,الرواتب_السلفة,$A113,الرواتب_حالة_الصرف,"مصروف"))</f>
        <v/>
      </c>
      <c r="I113" s="60">
        <f>IF($A113="","",MAX(0,$E113-$H113))</f>
        <v/>
      </c>
      <c r="J113" s="110" t="n"/>
      <c r="K113" s="40" t="n"/>
      <c r="L113" s="40" t="n"/>
    </row>
    <row r="114">
      <c r="A114" s="46" t="n"/>
      <c r="B114" s="47" t="n"/>
      <c r="C114" s="50">
        <f>IFERROR(INDEX(الموظفون_الاسم,MATCH($B114,الموظفون_الرقم,0)),"")</f>
        <v/>
      </c>
      <c r="D114" s="112" t="n"/>
      <c r="E114" s="49" t="n"/>
      <c r="F114" s="47" t="n"/>
      <c r="G114" s="63">
        <f>IF(OR($E114="",$F114="",$F114=0),"",$E114/$F114)</f>
        <v/>
      </c>
      <c r="H114" s="63">
        <f>IF($A114="","",SUMIFS(الرواتب_قسط_السلفة,الرواتب_السلفة,$A114,الرواتب_حالة_الصرف,"مصروف"))</f>
        <v/>
      </c>
      <c r="I114" s="63">
        <f>IF($A114="","",MAX(0,$E114-$H114))</f>
        <v/>
      </c>
      <c r="J114" s="112" t="n"/>
      <c r="K114" s="47" t="n"/>
      <c r="L114" s="47" t="n"/>
    </row>
    <row r="115">
      <c r="A115" s="39" t="n"/>
      <c r="B115" s="40" t="n"/>
      <c r="C115" s="43">
        <f>IFERROR(INDEX(الموظفون_الاسم,MATCH($B115,الموظفون_الرقم,0)),"")</f>
        <v/>
      </c>
      <c r="D115" s="110" t="n"/>
      <c r="E115" s="42" t="n"/>
      <c r="F115" s="40" t="n"/>
      <c r="G115" s="60">
        <f>IF(OR($E115="",$F115="",$F115=0),"",$E115/$F115)</f>
        <v/>
      </c>
      <c r="H115" s="60">
        <f>IF($A115="","",SUMIFS(الرواتب_قسط_السلفة,الرواتب_السلفة,$A115,الرواتب_حالة_الصرف,"مصروف"))</f>
        <v/>
      </c>
      <c r="I115" s="60">
        <f>IF($A115="","",MAX(0,$E115-$H115))</f>
        <v/>
      </c>
      <c r="J115" s="110" t="n"/>
      <c r="K115" s="40" t="n"/>
      <c r="L115" s="40" t="n"/>
    </row>
    <row r="116">
      <c r="A116" s="46" t="n"/>
      <c r="B116" s="47" t="n"/>
      <c r="C116" s="50">
        <f>IFERROR(INDEX(الموظفون_الاسم,MATCH($B116,الموظفون_الرقم,0)),"")</f>
        <v/>
      </c>
      <c r="D116" s="112" t="n"/>
      <c r="E116" s="49" t="n"/>
      <c r="F116" s="47" t="n"/>
      <c r="G116" s="63">
        <f>IF(OR($E116="",$F116="",$F116=0),"",$E116/$F116)</f>
        <v/>
      </c>
      <c r="H116" s="63">
        <f>IF($A116="","",SUMIFS(الرواتب_قسط_السلفة,الرواتب_السلفة,$A116,الرواتب_حالة_الصرف,"مصروف"))</f>
        <v/>
      </c>
      <c r="I116" s="63">
        <f>IF($A116="","",MAX(0,$E116-$H116))</f>
        <v/>
      </c>
      <c r="J116" s="112" t="n"/>
      <c r="K116" s="47" t="n"/>
      <c r="L116" s="47" t="n"/>
    </row>
    <row r="117">
      <c r="A117" s="39" t="n"/>
      <c r="B117" s="40" t="n"/>
      <c r="C117" s="43">
        <f>IFERROR(INDEX(الموظفون_الاسم,MATCH($B117,الموظفون_الرقم,0)),"")</f>
        <v/>
      </c>
      <c r="D117" s="110" t="n"/>
      <c r="E117" s="42" t="n"/>
      <c r="F117" s="40" t="n"/>
      <c r="G117" s="60">
        <f>IF(OR($E117="",$F117="",$F117=0),"",$E117/$F117)</f>
        <v/>
      </c>
      <c r="H117" s="60">
        <f>IF($A117="","",SUMIFS(الرواتب_قسط_السلفة,الرواتب_السلفة,$A117,الرواتب_حالة_الصرف,"مصروف"))</f>
        <v/>
      </c>
      <c r="I117" s="60">
        <f>IF($A117="","",MAX(0,$E117-$H117))</f>
        <v/>
      </c>
      <c r="J117" s="110" t="n"/>
      <c r="K117" s="40" t="n"/>
      <c r="L117" s="40" t="n"/>
    </row>
    <row r="118">
      <c r="A118" s="46" t="n"/>
      <c r="B118" s="47" t="n"/>
      <c r="C118" s="50">
        <f>IFERROR(INDEX(الموظفون_الاسم,MATCH($B118,الموظفون_الرقم,0)),"")</f>
        <v/>
      </c>
      <c r="D118" s="112" t="n"/>
      <c r="E118" s="49" t="n"/>
      <c r="F118" s="47" t="n"/>
      <c r="G118" s="63">
        <f>IF(OR($E118="",$F118="",$F118=0),"",$E118/$F118)</f>
        <v/>
      </c>
      <c r="H118" s="63">
        <f>IF($A118="","",SUMIFS(الرواتب_قسط_السلفة,الرواتب_السلفة,$A118,الرواتب_حالة_الصرف,"مصروف"))</f>
        <v/>
      </c>
      <c r="I118" s="63">
        <f>IF($A118="","",MAX(0,$E118-$H118))</f>
        <v/>
      </c>
      <c r="J118" s="112" t="n"/>
      <c r="K118" s="47" t="n"/>
      <c r="L118" s="47" t="n"/>
    </row>
    <row r="119">
      <c r="A119" s="39" t="n"/>
      <c r="B119" s="40" t="n"/>
      <c r="C119" s="43">
        <f>IFERROR(INDEX(الموظفون_الاسم,MATCH($B119,الموظفون_الرقم,0)),"")</f>
        <v/>
      </c>
      <c r="D119" s="110" t="n"/>
      <c r="E119" s="42" t="n"/>
      <c r="F119" s="40" t="n"/>
      <c r="G119" s="60">
        <f>IF(OR($E119="",$F119="",$F119=0),"",$E119/$F119)</f>
        <v/>
      </c>
      <c r="H119" s="60">
        <f>IF($A119="","",SUMIFS(الرواتب_قسط_السلفة,الرواتب_السلفة,$A119,الرواتب_حالة_الصرف,"مصروف"))</f>
        <v/>
      </c>
      <c r="I119" s="60">
        <f>IF($A119="","",MAX(0,$E119-$H119))</f>
        <v/>
      </c>
      <c r="J119" s="110" t="n"/>
      <c r="K119" s="40" t="n"/>
      <c r="L119" s="40" t="n"/>
    </row>
    <row r="120">
      <c r="A120" s="46" t="n"/>
      <c r="B120" s="47" t="n"/>
      <c r="C120" s="50">
        <f>IFERROR(INDEX(الموظفون_الاسم,MATCH($B120,الموظفون_الرقم,0)),"")</f>
        <v/>
      </c>
      <c r="D120" s="112" t="n"/>
      <c r="E120" s="49" t="n"/>
      <c r="F120" s="47" t="n"/>
      <c r="G120" s="63">
        <f>IF(OR($E120="",$F120="",$F120=0),"",$E120/$F120)</f>
        <v/>
      </c>
      <c r="H120" s="63">
        <f>IF($A120="","",SUMIFS(الرواتب_قسط_السلفة,الرواتب_السلفة,$A120,الرواتب_حالة_الصرف,"مصروف"))</f>
        <v/>
      </c>
      <c r="I120" s="63">
        <f>IF($A120="","",MAX(0,$E120-$H120))</f>
        <v/>
      </c>
      <c r="J120" s="112" t="n"/>
      <c r="K120" s="47" t="n"/>
      <c r="L120" s="47" t="n"/>
    </row>
    <row r="121">
      <c r="A121" s="39" t="n"/>
      <c r="B121" s="40" t="n"/>
      <c r="C121" s="43">
        <f>IFERROR(INDEX(الموظفون_الاسم,MATCH($B121,الموظفون_الرقم,0)),"")</f>
        <v/>
      </c>
      <c r="D121" s="110" t="n"/>
      <c r="E121" s="42" t="n"/>
      <c r="F121" s="40" t="n"/>
      <c r="G121" s="60">
        <f>IF(OR($E121="",$F121="",$F121=0),"",$E121/$F121)</f>
        <v/>
      </c>
      <c r="H121" s="60">
        <f>IF($A121="","",SUMIFS(الرواتب_قسط_السلفة,الرواتب_السلفة,$A121,الرواتب_حالة_الصرف,"مصروف"))</f>
        <v/>
      </c>
      <c r="I121" s="60">
        <f>IF($A121="","",MAX(0,$E121-$H121))</f>
        <v/>
      </c>
      <c r="J121" s="110" t="n"/>
      <c r="K121" s="40" t="n"/>
      <c r="L121" s="40" t="n"/>
    </row>
    <row r="122">
      <c r="A122" s="46" t="n"/>
      <c r="B122" s="47" t="n"/>
      <c r="C122" s="50">
        <f>IFERROR(INDEX(الموظفون_الاسم,MATCH($B122,الموظفون_الرقم,0)),"")</f>
        <v/>
      </c>
      <c r="D122" s="112" t="n"/>
      <c r="E122" s="49" t="n"/>
      <c r="F122" s="47" t="n"/>
      <c r="G122" s="63">
        <f>IF(OR($E122="",$F122="",$F122=0),"",$E122/$F122)</f>
        <v/>
      </c>
      <c r="H122" s="63">
        <f>IF($A122="","",SUMIFS(الرواتب_قسط_السلفة,الرواتب_السلفة,$A122,الرواتب_حالة_الصرف,"مصروف"))</f>
        <v/>
      </c>
      <c r="I122" s="63">
        <f>IF($A122="","",MAX(0,$E122-$H122))</f>
        <v/>
      </c>
      <c r="J122" s="112" t="n"/>
      <c r="K122" s="47" t="n"/>
      <c r="L122" s="47" t="n"/>
    </row>
    <row r="123">
      <c r="A123" s="39" t="n"/>
      <c r="B123" s="40" t="n"/>
      <c r="C123" s="43">
        <f>IFERROR(INDEX(الموظفون_الاسم,MATCH($B123,الموظفون_الرقم,0)),"")</f>
        <v/>
      </c>
      <c r="D123" s="110" t="n"/>
      <c r="E123" s="42" t="n"/>
      <c r="F123" s="40" t="n"/>
      <c r="G123" s="60">
        <f>IF(OR($E123="",$F123="",$F123=0),"",$E123/$F123)</f>
        <v/>
      </c>
      <c r="H123" s="60">
        <f>IF($A123="","",SUMIFS(الرواتب_قسط_السلفة,الرواتب_السلفة,$A123,الرواتب_حالة_الصرف,"مصروف"))</f>
        <v/>
      </c>
      <c r="I123" s="60">
        <f>IF($A123="","",MAX(0,$E123-$H123))</f>
        <v/>
      </c>
      <c r="J123" s="110" t="n"/>
      <c r="K123" s="40" t="n"/>
      <c r="L123" s="40" t="n"/>
    </row>
    <row r="124">
      <c r="A124" s="46" t="n"/>
      <c r="B124" s="47" t="n"/>
      <c r="C124" s="50">
        <f>IFERROR(INDEX(الموظفون_الاسم,MATCH($B124,الموظفون_الرقم,0)),"")</f>
        <v/>
      </c>
      <c r="D124" s="112" t="n"/>
      <c r="E124" s="49" t="n"/>
      <c r="F124" s="47" t="n"/>
      <c r="G124" s="63">
        <f>IF(OR($E124="",$F124="",$F124=0),"",$E124/$F124)</f>
        <v/>
      </c>
      <c r="H124" s="63">
        <f>IF($A124="","",SUMIFS(الرواتب_قسط_السلفة,الرواتب_السلفة,$A124,الرواتب_حالة_الصرف,"مصروف"))</f>
        <v/>
      </c>
      <c r="I124" s="63">
        <f>IF($A124="","",MAX(0,$E124-$H124))</f>
        <v/>
      </c>
      <c r="J124" s="112" t="n"/>
      <c r="K124" s="47" t="n"/>
      <c r="L124" s="47" t="n"/>
    </row>
    <row r="125">
      <c r="A125" s="39" t="n"/>
      <c r="B125" s="40" t="n"/>
      <c r="C125" s="43">
        <f>IFERROR(INDEX(الموظفون_الاسم,MATCH($B125,الموظفون_الرقم,0)),"")</f>
        <v/>
      </c>
      <c r="D125" s="110" t="n"/>
      <c r="E125" s="42" t="n"/>
      <c r="F125" s="40" t="n"/>
      <c r="G125" s="60">
        <f>IF(OR($E125="",$F125="",$F125=0),"",$E125/$F125)</f>
        <v/>
      </c>
      <c r="H125" s="60">
        <f>IF($A125="","",SUMIFS(الرواتب_قسط_السلفة,الرواتب_السلفة,$A125,الرواتب_حالة_الصرف,"مصروف"))</f>
        <v/>
      </c>
      <c r="I125" s="60">
        <f>IF($A125="","",MAX(0,$E125-$H125))</f>
        <v/>
      </c>
      <c r="J125" s="110" t="n"/>
      <c r="K125" s="40" t="n"/>
      <c r="L125" s="40" t="n"/>
    </row>
    <row r="126">
      <c r="A126" s="46" t="n"/>
      <c r="B126" s="47" t="n"/>
      <c r="C126" s="50">
        <f>IFERROR(INDEX(الموظفون_الاسم,MATCH($B126,الموظفون_الرقم,0)),"")</f>
        <v/>
      </c>
      <c r="D126" s="112" t="n"/>
      <c r="E126" s="49" t="n"/>
      <c r="F126" s="47" t="n"/>
      <c r="G126" s="63">
        <f>IF(OR($E126="",$F126="",$F126=0),"",$E126/$F126)</f>
        <v/>
      </c>
      <c r="H126" s="63">
        <f>IF($A126="","",SUMIFS(الرواتب_قسط_السلفة,الرواتب_السلفة,$A126,الرواتب_حالة_الصرف,"مصروف"))</f>
        <v/>
      </c>
      <c r="I126" s="63">
        <f>IF($A126="","",MAX(0,$E126-$H126))</f>
        <v/>
      </c>
      <c r="J126" s="112" t="n"/>
      <c r="K126" s="47" t="n"/>
      <c r="L126" s="47" t="n"/>
    </row>
    <row r="127">
      <c r="A127" s="39" t="n"/>
      <c r="B127" s="40" t="n"/>
      <c r="C127" s="43">
        <f>IFERROR(INDEX(الموظفون_الاسم,MATCH($B127,الموظفون_الرقم,0)),"")</f>
        <v/>
      </c>
      <c r="D127" s="110" t="n"/>
      <c r="E127" s="42" t="n"/>
      <c r="F127" s="40" t="n"/>
      <c r="G127" s="60">
        <f>IF(OR($E127="",$F127="",$F127=0),"",$E127/$F127)</f>
        <v/>
      </c>
      <c r="H127" s="60">
        <f>IF($A127="","",SUMIFS(الرواتب_قسط_السلفة,الرواتب_السلفة,$A127,الرواتب_حالة_الصرف,"مصروف"))</f>
        <v/>
      </c>
      <c r="I127" s="60">
        <f>IF($A127="","",MAX(0,$E127-$H127))</f>
        <v/>
      </c>
      <c r="J127" s="110" t="n"/>
      <c r="K127" s="40" t="n"/>
      <c r="L127" s="40" t="n"/>
    </row>
    <row r="128">
      <c r="A128" s="46" t="n"/>
      <c r="B128" s="47" t="n"/>
      <c r="C128" s="50">
        <f>IFERROR(INDEX(الموظفون_الاسم,MATCH($B128,الموظفون_الرقم,0)),"")</f>
        <v/>
      </c>
      <c r="D128" s="112" t="n"/>
      <c r="E128" s="49" t="n"/>
      <c r="F128" s="47" t="n"/>
      <c r="G128" s="63">
        <f>IF(OR($E128="",$F128="",$F128=0),"",$E128/$F128)</f>
        <v/>
      </c>
      <c r="H128" s="63">
        <f>IF($A128="","",SUMIFS(الرواتب_قسط_السلفة,الرواتب_السلفة,$A128,الرواتب_حالة_الصرف,"مصروف"))</f>
        <v/>
      </c>
      <c r="I128" s="63">
        <f>IF($A128="","",MAX(0,$E128-$H128))</f>
        <v/>
      </c>
      <c r="J128" s="112" t="n"/>
      <c r="K128" s="47" t="n"/>
      <c r="L128" s="47" t="n"/>
    </row>
    <row r="129">
      <c r="A129" s="39" t="n"/>
      <c r="B129" s="40" t="n"/>
      <c r="C129" s="43">
        <f>IFERROR(INDEX(الموظفون_الاسم,MATCH($B129,الموظفون_الرقم,0)),"")</f>
        <v/>
      </c>
      <c r="D129" s="110" t="n"/>
      <c r="E129" s="42" t="n"/>
      <c r="F129" s="40" t="n"/>
      <c r="G129" s="60">
        <f>IF(OR($E129="",$F129="",$F129=0),"",$E129/$F129)</f>
        <v/>
      </c>
      <c r="H129" s="60">
        <f>IF($A129="","",SUMIFS(الرواتب_قسط_السلفة,الرواتب_السلفة,$A129,الرواتب_حالة_الصرف,"مصروف"))</f>
        <v/>
      </c>
      <c r="I129" s="60">
        <f>IF($A129="","",MAX(0,$E129-$H129))</f>
        <v/>
      </c>
      <c r="J129" s="110" t="n"/>
      <c r="K129" s="40" t="n"/>
      <c r="L129" s="40" t="n"/>
    </row>
    <row r="130">
      <c r="A130" s="46" t="n"/>
      <c r="B130" s="47" t="n"/>
      <c r="C130" s="50">
        <f>IFERROR(INDEX(الموظفون_الاسم,MATCH($B130,الموظفون_الرقم,0)),"")</f>
        <v/>
      </c>
      <c r="D130" s="112" t="n"/>
      <c r="E130" s="49" t="n"/>
      <c r="F130" s="47" t="n"/>
      <c r="G130" s="63">
        <f>IF(OR($E130="",$F130="",$F130=0),"",$E130/$F130)</f>
        <v/>
      </c>
      <c r="H130" s="63">
        <f>IF($A130="","",SUMIFS(الرواتب_قسط_السلفة,الرواتب_السلفة,$A130,الرواتب_حالة_الصرف,"مصروف"))</f>
        <v/>
      </c>
      <c r="I130" s="63">
        <f>IF($A130="","",MAX(0,$E130-$H130))</f>
        <v/>
      </c>
      <c r="J130" s="112" t="n"/>
      <c r="K130" s="47" t="n"/>
      <c r="L130" s="47" t="n"/>
    </row>
    <row r="131">
      <c r="A131" s="39" t="n"/>
      <c r="B131" s="40" t="n"/>
      <c r="C131" s="43">
        <f>IFERROR(INDEX(الموظفون_الاسم,MATCH($B131,الموظفون_الرقم,0)),"")</f>
        <v/>
      </c>
      <c r="D131" s="110" t="n"/>
      <c r="E131" s="42" t="n"/>
      <c r="F131" s="40" t="n"/>
      <c r="G131" s="60">
        <f>IF(OR($E131="",$F131="",$F131=0),"",$E131/$F131)</f>
        <v/>
      </c>
      <c r="H131" s="60">
        <f>IF($A131="","",SUMIFS(الرواتب_قسط_السلفة,الرواتب_السلفة,$A131,الرواتب_حالة_الصرف,"مصروف"))</f>
        <v/>
      </c>
      <c r="I131" s="60">
        <f>IF($A131="","",MAX(0,$E131-$H131))</f>
        <v/>
      </c>
      <c r="J131" s="110" t="n"/>
      <c r="K131" s="40" t="n"/>
      <c r="L131" s="40" t="n"/>
    </row>
    <row r="132">
      <c r="A132" s="46" t="n"/>
      <c r="B132" s="47" t="n"/>
      <c r="C132" s="50">
        <f>IFERROR(INDEX(الموظفون_الاسم,MATCH($B132,الموظفون_الرقم,0)),"")</f>
        <v/>
      </c>
      <c r="D132" s="112" t="n"/>
      <c r="E132" s="49" t="n"/>
      <c r="F132" s="47" t="n"/>
      <c r="G132" s="63">
        <f>IF(OR($E132="",$F132="",$F132=0),"",$E132/$F132)</f>
        <v/>
      </c>
      <c r="H132" s="63">
        <f>IF($A132="","",SUMIFS(الرواتب_قسط_السلفة,الرواتب_السلفة,$A132,الرواتب_حالة_الصرف,"مصروف"))</f>
        <v/>
      </c>
      <c r="I132" s="63">
        <f>IF($A132="","",MAX(0,$E132-$H132))</f>
        <v/>
      </c>
      <c r="J132" s="112" t="n"/>
      <c r="K132" s="47" t="n"/>
      <c r="L132" s="47" t="n"/>
    </row>
    <row r="133">
      <c r="A133" s="39" t="n"/>
      <c r="B133" s="40" t="n"/>
      <c r="C133" s="43">
        <f>IFERROR(INDEX(الموظفون_الاسم,MATCH($B133,الموظفون_الرقم,0)),"")</f>
        <v/>
      </c>
      <c r="D133" s="110" t="n"/>
      <c r="E133" s="42" t="n"/>
      <c r="F133" s="40" t="n"/>
      <c r="G133" s="60">
        <f>IF(OR($E133="",$F133="",$F133=0),"",$E133/$F133)</f>
        <v/>
      </c>
      <c r="H133" s="60">
        <f>IF($A133="","",SUMIFS(الرواتب_قسط_السلفة,الرواتب_السلفة,$A133,الرواتب_حالة_الصرف,"مصروف"))</f>
        <v/>
      </c>
      <c r="I133" s="60">
        <f>IF($A133="","",MAX(0,$E133-$H133))</f>
        <v/>
      </c>
      <c r="J133" s="110" t="n"/>
      <c r="K133" s="40" t="n"/>
      <c r="L133" s="40" t="n"/>
    </row>
    <row r="134">
      <c r="A134" s="46" t="n"/>
      <c r="B134" s="47" t="n"/>
      <c r="C134" s="50">
        <f>IFERROR(INDEX(الموظفون_الاسم,MATCH($B134,الموظفون_الرقم,0)),"")</f>
        <v/>
      </c>
      <c r="D134" s="112" t="n"/>
      <c r="E134" s="49" t="n"/>
      <c r="F134" s="47" t="n"/>
      <c r="G134" s="63">
        <f>IF(OR($E134="",$F134="",$F134=0),"",$E134/$F134)</f>
        <v/>
      </c>
      <c r="H134" s="63">
        <f>IF($A134="","",SUMIFS(الرواتب_قسط_السلفة,الرواتب_السلفة,$A134,الرواتب_حالة_الصرف,"مصروف"))</f>
        <v/>
      </c>
      <c r="I134" s="63">
        <f>IF($A134="","",MAX(0,$E134-$H134))</f>
        <v/>
      </c>
      <c r="J134" s="112" t="n"/>
      <c r="K134" s="47" t="n"/>
      <c r="L134" s="47" t="n"/>
    </row>
    <row r="135">
      <c r="A135" s="39" t="n"/>
      <c r="B135" s="40" t="n"/>
      <c r="C135" s="43">
        <f>IFERROR(INDEX(الموظفون_الاسم,MATCH($B135,الموظفون_الرقم,0)),"")</f>
        <v/>
      </c>
      <c r="D135" s="110" t="n"/>
      <c r="E135" s="42" t="n"/>
      <c r="F135" s="40" t="n"/>
      <c r="G135" s="60">
        <f>IF(OR($E135="",$F135="",$F135=0),"",$E135/$F135)</f>
        <v/>
      </c>
      <c r="H135" s="60">
        <f>IF($A135="","",SUMIFS(الرواتب_قسط_السلفة,الرواتب_السلفة,$A135,الرواتب_حالة_الصرف,"مصروف"))</f>
        <v/>
      </c>
      <c r="I135" s="60">
        <f>IF($A135="","",MAX(0,$E135-$H135))</f>
        <v/>
      </c>
      <c r="J135" s="110" t="n"/>
      <c r="K135" s="40" t="n"/>
      <c r="L135" s="40" t="n"/>
    </row>
    <row r="136">
      <c r="A136" s="46" t="n"/>
      <c r="B136" s="47" t="n"/>
      <c r="C136" s="50">
        <f>IFERROR(INDEX(الموظفون_الاسم,MATCH($B136,الموظفون_الرقم,0)),"")</f>
        <v/>
      </c>
      <c r="D136" s="112" t="n"/>
      <c r="E136" s="49" t="n"/>
      <c r="F136" s="47" t="n"/>
      <c r="G136" s="63">
        <f>IF(OR($E136="",$F136="",$F136=0),"",$E136/$F136)</f>
        <v/>
      </c>
      <c r="H136" s="63">
        <f>IF($A136="","",SUMIFS(الرواتب_قسط_السلفة,الرواتب_السلفة,$A136,الرواتب_حالة_الصرف,"مصروف"))</f>
        <v/>
      </c>
      <c r="I136" s="63">
        <f>IF($A136="","",MAX(0,$E136-$H136))</f>
        <v/>
      </c>
      <c r="J136" s="112" t="n"/>
      <c r="K136" s="47" t="n"/>
      <c r="L136" s="47" t="n"/>
    </row>
    <row r="137">
      <c r="A137" s="39" t="n"/>
      <c r="B137" s="40" t="n"/>
      <c r="C137" s="43">
        <f>IFERROR(INDEX(الموظفون_الاسم,MATCH($B137,الموظفون_الرقم,0)),"")</f>
        <v/>
      </c>
      <c r="D137" s="110" t="n"/>
      <c r="E137" s="42" t="n"/>
      <c r="F137" s="40" t="n"/>
      <c r="G137" s="60">
        <f>IF(OR($E137="",$F137="",$F137=0),"",$E137/$F137)</f>
        <v/>
      </c>
      <c r="H137" s="60">
        <f>IF($A137="","",SUMIFS(الرواتب_قسط_السلفة,الرواتب_السلفة,$A137,الرواتب_حالة_الصرف,"مصروف"))</f>
        <v/>
      </c>
      <c r="I137" s="60">
        <f>IF($A137="","",MAX(0,$E137-$H137))</f>
        <v/>
      </c>
      <c r="J137" s="110" t="n"/>
      <c r="K137" s="40" t="n"/>
      <c r="L137" s="40" t="n"/>
    </row>
    <row r="138">
      <c r="A138" s="46" t="n"/>
      <c r="B138" s="47" t="n"/>
      <c r="C138" s="50">
        <f>IFERROR(INDEX(الموظفون_الاسم,MATCH($B138,الموظفون_الرقم,0)),"")</f>
        <v/>
      </c>
      <c r="D138" s="112" t="n"/>
      <c r="E138" s="49" t="n"/>
      <c r="F138" s="47" t="n"/>
      <c r="G138" s="63">
        <f>IF(OR($E138="",$F138="",$F138=0),"",$E138/$F138)</f>
        <v/>
      </c>
      <c r="H138" s="63">
        <f>IF($A138="","",SUMIFS(الرواتب_قسط_السلفة,الرواتب_السلفة,$A138,الرواتب_حالة_الصرف,"مصروف"))</f>
        <v/>
      </c>
      <c r="I138" s="63">
        <f>IF($A138="","",MAX(0,$E138-$H138))</f>
        <v/>
      </c>
      <c r="J138" s="112" t="n"/>
      <c r="K138" s="47" t="n"/>
      <c r="L138" s="47" t="n"/>
    </row>
    <row r="139">
      <c r="A139" s="39" t="n"/>
      <c r="B139" s="40" t="n"/>
      <c r="C139" s="43">
        <f>IFERROR(INDEX(الموظفون_الاسم,MATCH($B139,الموظفون_الرقم,0)),"")</f>
        <v/>
      </c>
      <c r="D139" s="110" t="n"/>
      <c r="E139" s="42" t="n"/>
      <c r="F139" s="40" t="n"/>
      <c r="G139" s="60">
        <f>IF(OR($E139="",$F139="",$F139=0),"",$E139/$F139)</f>
        <v/>
      </c>
      <c r="H139" s="60">
        <f>IF($A139="","",SUMIFS(الرواتب_قسط_السلفة,الرواتب_السلفة,$A139,الرواتب_حالة_الصرف,"مصروف"))</f>
        <v/>
      </c>
      <c r="I139" s="60">
        <f>IF($A139="","",MAX(0,$E139-$H139))</f>
        <v/>
      </c>
      <c r="J139" s="110" t="n"/>
      <c r="K139" s="40" t="n"/>
      <c r="L139" s="40" t="n"/>
    </row>
    <row r="140">
      <c r="A140" s="46" t="n"/>
      <c r="B140" s="47" t="n"/>
      <c r="C140" s="50">
        <f>IFERROR(INDEX(الموظفون_الاسم,MATCH($B140,الموظفون_الرقم,0)),"")</f>
        <v/>
      </c>
      <c r="D140" s="112" t="n"/>
      <c r="E140" s="49" t="n"/>
      <c r="F140" s="47" t="n"/>
      <c r="G140" s="63">
        <f>IF(OR($E140="",$F140="",$F140=0),"",$E140/$F140)</f>
        <v/>
      </c>
      <c r="H140" s="63">
        <f>IF($A140="","",SUMIFS(الرواتب_قسط_السلفة,الرواتب_السلفة,$A140,الرواتب_حالة_الصرف,"مصروف"))</f>
        <v/>
      </c>
      <c r="I140" s="63">
        <f>IF($A140="","",MAX(0,$E140-$H140))</f>
        <v/>
      </c>
      <c r="J140" s="112" t="n"/>
      <c r="K140" s="47" t="n"/>
      <c r="L140" s="47" t="n"/>
    </row>
    <row r="141">
      <c r="A141" s="39" t="n"/>
      <c r="B141" s="40" t="n"/>
      <c r="C141" s="43">
        <f>IFERROR(INDEX(الموظفون_الاسم,MATCH($B141,الموظفون_الرقم,0)),"")</f>
        <v/>
      </c>
      <c r="D141" s="110" t="n"/>
      <c r="E141" s="42" t="n"/>
      <c r="F141" s="40" t="n"/>
      <c r="G141" s="60">
        <f>IF(OR($E141="",$F141="",$F141=0),"",$E141/$F141)</f>
        <v/>
      </c>
      <c r="H141" s="60">
        <f>IF($A141="","",SUMIFS(الرواتب_قسط_السلفة,الرواتب_السلفة,$A141,الرواتب_حالة_الصرف,"مصروف"))</f>
        <v/>
      </c>
      <c r="I141" s="60">
        <f>IF($A141="","",MAX(0,$E141-$H141))</f>
        <v/>
      </c>
      <c r="J141" s="110" t="n"/>
      <c r="K141" s="40" t="n"/>
      <c r="L141" s="40" t="n"/>
    </row>
    <row r="142">
      <c r="A142" s="46" t="n"/>
      <c r="B142" s="47" t="n"/>
      <c r="C142" s="50">
        <f>IFERROR(INDEX(الموظفون_الاسم,MATCH($B142,الموظفون_الرقم,0)),"")</f>
        <v/>
      </c>
      <c r="D142" s="112" t="n"/>
      <c r="E142" s="49" t="n"/>
      <c r="F142" s="47" t="n"/>
      <c r="G142" s="63">
        <f>IF(OR($E142="",$F142="",$F142=0),"",$E142/$F142)</f>
        <v/>
      </c>
      <c r="H142" s="63">
        <f>IF($A142="","",SUMIFS(الرواتب_قسط_السلفة,الرواتب_السلفة,$A142,الرواتب_حالة_الصرف,"مصروف"))</f>
        <v/>
      </c>
      <c r="I142" s="63">
        <f>IF($A142="","",MAX(0,$E142-$H142))</f>
        <v/>
      </c>
      <c r="J142" s="112" t="n"/>
      <c r="K142" s="47" t="n"/>
      <c r="L142" s="47" t="n"/>
    </row>
    <row r="143">
      <c r="A143" s="39" t="n"/>
      <c r="B143" s="40" t="n"/>
      <c r="C143" s="43">
        <f>IFERROR(INDEX(الموظفون_الاسم,MATCH($B143,الموظفون_الرقم,0)),"")</f>
        <v/>
      </c>
      <c r="D143" s="110" t="n"/>
      <c r="E143" s="42" t="n"/>
      <c r="F143" s="40" t="n"/>
      <c r="G143" s="60">
        <f>IF(OR($E143="",$F143="",$F143=0),"",$E143/$F143)</f>
        <v/>
      </c>
      <c r="H143" s="60">
        <f>IF($A143="","",SUMIFS(الرواتب_قسط_السلفة,الرواتب_السلفة,$A143,الرواتب_حالة_الصرف,"مصروف"))</f>
        <v/>
      </c>
      <c r="I143" s="60">
        <f>IF($A143="","",MAX(0,$E143-$H143))</f>
        <v/>
      </c>
      <c r="J143" s="110" t="n"/>
      <c r="K143" s="40" t="n"/>
      <c r="L143" s="40" t="n"/>
    </row>
    <row r="144">
      <c r="A144" s="46" t="n"/>
      <c r="B144" s="47" t="n"/>
      <c r="C144" s="50">
        <f>IFERROR(INDEX(الموظفون_الاسم,MATCH($B144,الموظفون_الرقم,0)),"")</f>
        <v/>
      </c>
      <c r="D144" s="112" t="n"/>
      <c r="E144" s="49" t="n"/>
      <c r="F144" s="47" t="n"/>
      <c r="G144" s="63">
        <f>IF(OR($E144="",$F144="",$F144=0),"",$E144/$F144)</f>
        <v/>
      </c>
      <c r="H144" s="63">
        <f>IF($A144="","",SUMIFS(الرواتب_قسط_السلفة,الرواتب_السلفة,$A144,الرواتب_حالة_الصرف,"مصروف"))</f>
        <v/>
      </c>
      <c r="I144" s="63">
        <f>IF($A144="","",MAX(0,$E144-$H144))</f>
        <v/>
      </c>
      <c r="J144" s="112" t="n"/>
      <c r="K144" s="47" t="n"/>
      <c r="L144" s="47" t="n"/>
    </row>
    <row r="145">
      <c r="A145" s="39" t="n"/>
      <c r="B145" s="40" t="n"/>
      <c r="C145" s="43">
        <f>IFERROR(INDEX(الموظفون_الاسم,MATCH($B145,الموظفون_الرقم,0)),"")</f>
        <v/>
      </c>
      <c r="D145" s="110" t="n"/>
      <c r="E145" s="42" t="n"/>
      <c r="F145" s="40" t="n"/>
      <c r="G145" s="60">
        <f>IF(OR($E145="",$F145="",$F145=0),"",$E145/$F145)</f>
        <v/>
      </c>
      <c r="H145" s="60">
        <f>IF($A145="","",SUMIFS(الرواتب_قسط_السلفة,الرواتب_السلفة,$A145,الرواتب_حالة_الصرف,"مصروف"))</f>
        <v/>
      </c>
      <c r="I145" s="60">
        <f>IF($A145="","",MAX(0,$E145-$H145))</f>
        <v/>
      </c>
      <c r="J145" s="110" t="n"/>
      <c r="K145" s="40" t="n"/>
      <c r="L145" s="40" t="n"/>
    </row>
    <row r="146">
      <c r="A146" s="46" t="n"/>
      <c r="B146" s="47" t="n"/>
      <c r="C146" s="50">
        <f>IFERROR(INDEX(الموظفون_الاسم,MATCH($B146,الموظفون_الرقم,0)),"")</f>
        <v/>
      </c>
      <c r="D146" s="112" t="n"/>
      <c r="E146" s="49" t="n"/>
      <c r="F146" s="47" t="n"/>
      <c r="G146" s="63">
        <f>IF(OR($E146="",$F146="",$F146=0),"",$E146/$F146)</f>
        <v/>
      </c>
      <c r="H146" s="63">
        <f>IF($A146="","",SUMIFS(الرواتب_قسط_السلفة,الرواتب_السلفة,$A146,الرواتب_حالة_الصرف,"مصروف"))</f>
        <v/>
      </c>
      <c r="I146" s="63">
        <f>IF($A146="","",MAX(0,$E146-$H146))</f>
        <v/>
      </c>
      <c r="J146" s="112" t="n"/>
      <c r="K146" s="47" t="n"/>
      <c r="L146" s="47" t="n"/>
    </row>
    <row r="147">
      <c r="A147" s="39" t="n"/>
      <c r="B147" s="40" t="n"/>
      <c r="C147" s="43">
        <f>IFERROR(INDEX(الموظفون_الاسم,MATCH($B147,الموظفون_الرقم,0)),"")</f>
        <v/>
      </c>
      <c r="D147" s="110" t="n"/>
      <c r="E147" s="42" t="n"/>
      <c r="F147" s="40" t="n"/>
      <c r="G147" s="60">
        <f>IF(OR($E147="",$F147="",$F147=0),"",$E147/$F147)</f>
        <v/>
      </c>
      <c r="H147" s="60">
        <f>IF($A147="","",SUMIFS(الرواتب_قسط_السلفة,الرواتب_السلفة,$A147,الرواتب_حالة_الصرف,"مصروف"))</f>
        <v/>
      </c>
      <c r="I147" s="60">
        <f>IF($A147="","",MAX(0,$E147-$H147))</f>
        <v/>
      </c>
      <c r="J147" s="110" t="n"/>
      <c r="K147" s="40" t="n"/>
      <c r="L147" s="40" t="n"/>
    </row>
    <row r="148">
      <c r="A148" s="46" t="n"/>
      <c r="B148" s="47" t="n"/>
      <c r="C148" s="50">
        <f>IFERROR(INDEX(الموظفون_الاسم,MATCH($B148,الموظفون_الرقم,0)),"")</f>
        <v/>
      </c>
      <c r="D148" s="112" t="n"/>
      <c r="E148" s="49" t="n"/>
      <c r="F148" s="47" t="n"/>
      <c r="G148" s="63">
        <f>IF(OR($E148="",$F148="",$F148=0),"",$E148/$F148)</f>
        <v/>
      </c>
      <c r="H148" s="63">
        <f>IF($A148="","",SUMIFS(الرواتب_قسط_السلفة,الرواتب_السلفة,$A148,الرواتب_حالة_الصرف,"مصروف"))</f>
        <v/>
      </c>
      <c r="I148" s="63">
        <f>IF($A148="","",MAX(0,$E148-$H148))</f>
        <v/>
      </c>
      <c r="J148" s="112" t="n"/>
      <c r="K148" s="47" t="n"/>
      <c r="L148" s="47" t="n"/>
    </row>
    <row r="149">
      <c r="A149" s="39" t="n"/>
      <c r="B149" s="40" t="n"/>
      <c r="C149" s="43">
        <f>IFERROR(INDEX(الموظفون_الاسم,MATCH($B149,الموظفون_الرقم,0)),"")</f>
        <v/>
      </c>
      <c r="D149" s="110" t="n"/>
      <c r="E149" s="42" t="n"/>
      <c r="F149" s="40" t="n"/>
      <c r="G149" s="60">
        <f>IF(OR($E149="",$F149="",$F149=0),"",$E149/$F149)</f>
        <v/>
      </c>
      <c r="H149" s="60">
        <f>IF($A149="","",SUMIFS(الرواتب_قسط_السلفة,الرواتب_السلفة,$A149,الرواتب_حالة_الصرف,"مصروف"))</f>
        <v/>
      </c>
      <c r="I149" s="60">
        <f>IF($A149="","",MAX(0,$E149-$H149))</f>
        <v/>
      </c>
      <c r="J149" s="110" t="n"/>
      <c r="K149" s="40" t="n"/>
      <c r="L149" s="40" t="n"/>
    </row>
    <row r="150">
      <c r="A150" s="46" t="n"/>
      <c r="B150" s="47" t="n"/>
      <c r="C150" s="50">
        <f>IFERROR(INDEX(الموظفون_الاسم,MATCH($B150,الموظفون_الرقم,0)),"")</f>
        <v/>
      </c>
      <c r="D150" s="112" t="n"/>
      <c r="E150" s="49" t="n"/>
      <c r="F150" s="47" t="n"/>
      <c r="G150" s="63">
        <f>IF(OR($E150="",$F150="",$F150=0),"",$E150/$F150)</f>
        <v/>
      </c>
      <c r="H150" s="63">
        <f>IF($A150="","",SUMIFS(الرواتب_قسط_السلفة,الرواتب_السلفة,$A150,الرواتب_حالة_الصرف,"مصروف"))</f>
        <v/>
      </c>
      <c r="I150" s="63">
        <f>IF($A150="","",MAX(0,$E150-$H150))</f>
        <v/>
      </c>
      <c r="J150" s="112" t="n"/>
      <c r="K150" s="47" t="n"/>
      <c r="L150" s="47" t="n"/>
    </row>
    <row r="151">
      <c r="A151" s="39" t="n"/>
      <c r="B151" s="40" t="n"/>
      <c r="C151" s="43">
        <f>IFERROR(INDEX(الموظفون_الاسم,MATCH($B151,الموظفون_الرقم,0)),"")</f>
        <v/>
      </c>
      <c r="D151" s="110" t="n"/>
      <c r="E151" s="42" t="n"/>
      <c r="F151" s="40" t="n"/>
      <c r="G151" s="60">
        <f>IF(OR($E151="",$F151="",$F151=0),"",$E151/$F151)</f>
        <v/>
      </c>
      <c r="H151" s="60">
        <f>IF($A151="","",SUMIFS(الرواتب_قسط_السلفة,الرواتب_السلفة,$A151,الرواتب_حالة_الصرف,"مصروف"))</f>
        <v/>
      </c>
      <c r="I151" s="60">
        <f>IF($A151="","",MAX(0,$E151-$H151))</f>
        <v/>
      </c>
      <c r="J151" s="110" t="n"/>
      <c r="K151" s="40" t="n"/>
      <c r="L151" s="40" t="n"/>
    </row>
    <row r="152">
      <c r="A152" s="46" t="n"/>
      <c r="B152" s="47" t="n"/>
      <c r="C152" s="50">
        <f>IFERROR(INDEX(الموظفون_الاسم,MATCH($B152,الموظفون_الرقم,0)),"")</f>
        <v/>
      </c>
      <c r="D152" s="112" t="n"/>
      <c r="E152" s="49" t="n"/>
      <c r="F152" s="47" t="n"/>
      <c r="G152" s="63">
        <f>IF(OR($E152="",$F152="",$F152=0),"",$E152/$F152)</f>
        <v/>
      </c>
      <c r="H152" s="63">
        <f>IF($A152="","",SUMIFS(الرواتب_قسط_السلفة,الرواتب_السلفة,$A152,الرواتب_حالة_الصرف,"مصروف"))</f>
        <v/>
      </c>
      <c r="I152" s="63">
        <f>IF($A152="","",MAX(0,$E152-$H152))</f>
        <v/>
      </c>
      <c r="J152" s="112" t="n"/>
      <c r="K152" s="47" t="n"/>
      <c r="L152" s="47" t="n"/>
    </row>
    <row r="153">
      <c r="A153" s="39" t="n"/>
      <c r="B153" s="40" t="n"/>
      <c r="C153" s="43">
        <f>IFERROR(INDEX(الموظفون_الاسم,MATCH($B153,الموظفون_الرقم,0)),"")</f>
        <v/>
      </c>
      <c r="D153" s="110" t="n"/>
      <c r="E153" s="42" t="n"/>
      <c r="F153" s="40" t="n"/>
      <c r="G153" s="60">
        <f>IF(OR($E153="",$F153="",$F153=0),"",$E153/$F153)</f>
        <v/>
      </c>
      <c r="H153" s="60">
        <f>IF($A153="","",SUMIFS(الرواتب_قسط_السلفة,الرواتب_السلفة,$A153,الرواتب_حالة_الصرف,"مصروف"))</f>
        <v/>
      </c>
      <c r="I153" s="60">
        <f>IF($A153="","",MAX(0,$E153-$H153))</f>
        <v/>
      </c>
      <c r="J153" s="110" t="n"/>
      <c r="K153" s="40" t="n"/>
      <c r="L153" s="40" t="n"/>
    </row>
    <row r="154">
      <c r="A154" s="46" t="n"/>
      <c r="B154" s="47" t="n"/>
      <c r="C154" s="50">
        <f>IFERROR(INDEX(الموظفون_الاسم,MATCH($B154,الموظفون_الرقم,0)),"")</f>
        <v/>
      </c>
      <c r="D154" s="112" t="n"/>
      <c r="E154" s="49" t="n"/>
      <c r="F154" s="47" t="n"/>
      <c r="G154" s="63">
        <f>IF(OR($E154="",$F154="",$F154=0),"",$E154/$F154)</f>
        <v/>
      </c>
      <c r="H154" s="63">
        <f>IF($A154="","",SUMIFS(الرواتب_قسط_السلفة,الرواتب_السلفة,$A154,الرواتب_حالة_الصرف,"مصروف"))</f>
        <v/>
      </c>
      <c r="I154" s="63">
        <f>IF($A154="","",MAX(0,$E154-$H154))</f>
        <v/>
      </c>
      <c r="J154" s="112" t="n"/>
      <c r="K154" s="47" t="n"/>
      <c r="L154" s="47" t="n"/>
    </row>
    <row r="155">
      <c r="A155" s="39" t="n"/>
      <c r="B155" s="40" t="n"/>
      <c r="C155" s="43">
        <f>IFERROR(INDEX(الموظفون_الاسم,MATCH($B155,الموظفون_الرقم,0)),"")</f>
        <v/>
      </c>
      <c r="D155" s="110" t="n"/>
      <c r="E155" s="42" t="n"/>
      <c r="F155" s="40" t="n"/>
      <c r="G155" s="60">
        <f>IF(OR($E155="",$F155="",$F155=0),"",$E155/$F155)</f>
        <v/>
      </c>
      <c r="H155" s="60">
        <f>IF($A155="","",SUMIFS(الرواتب_قسط_السلفة,الرواتب_السلفة,$A155,الرواتب_حالة_الصرف,"مصروف"))</f>
        <v/>
      </c>
      <c r="I155" s="60">
        <f>IF($A155="","",MAX(0,$E155-$H155))</f>
        <v/>
      </c>
      <c r="J155" s="110" t="n"/>
      <c r="K155" s="40" t="n"/>
      <c r="L155" s="40" t="n"/>
    </row>
    <row r="156">
      <c r="A156" s="46" t="n"/>
      <c r="B156" s="47" t="n"/>
      <c r="C156" s="50">
        <f>IFERROR(INDEX(الموظفون_الاسم,MATCH($B156,الموظفون_الرقم,0)),"")</f>
        <v/>
      </c>
      <c r="D156" s="112" t="n"/>
      <c r="E156" s="49" t="n"/>
      <c r="F156" s="47" t="n"/>
      <c r="G156" s="63">
        <f>IF(OR($E156="",$F156="",$F156=0),"",$E156/$F156)</f>
        <v/>
      </c>
      <c r="H156" s="63">
        <f>IF($A156="","",SUMIFS(الرواتب_قسط_السلفة,الرواتب_السلفة,$A156,الرواتب_حالة_الصرف,"مصروف"))</f>
        <v/>
      </c>
      <c r="I156" s="63">
        <f>IF($A156="","",MAX(0,$E156-$H156))</f>
        <v/>
      </c>
      <c r="J156" s="112" t="n"/>
      <c r="K156" s="47" t="n"/>
      <c r="L156" s="47" t="n"/>
    </row>
    <row r="157">
      <c r="A157" s="39" t="n"/>
      <c r="B157" s="40" t="n"/>
      <c r="C157" s="43">
        <f>IFERROR(INDEX(الموظفون_الاسم,MATCH($B157,الموظفون_الرقم,0)),"")</f>
        <v/>
      </c>
      <c r="D157" s="110" t="n"/>
      <c r="E157" s="42" t="n"/>
      <c r="F157" s="40" t="n"/>
      <c r="G157" s="60">
        <f>IF(OR($E157="",$F157="",$F157=0),"",$E157/$F157)</f>
        <v/>
      </c>
      <c r="H157" s="60">
        <f>IF($A157="","",SUMIFS(الرواتب_قسط_السلفة,الرواتب_السلفة,$A157,الرواتب_حالة_الصرف,"مصروف"))</f>
        <v/>
      </c>
      <c r="I157" s="60">
        <f>IF($A157="","",MAX(0,$E157-$H157))</f>
        <v/>
      </c>
      <c r="J157" s="110" t="n"/>
      <c r="K157" s="40" t="n"/>
      <c r="L157" s="40" t="n"/>
    </row>
    <row r="158">
      <c r="A158" s="46" t="n"/>
      <c r="B158" s="47" t="n"/>
      <c r="C158" s="50">
        <f>IFERROR(INDEX(الموظفون_الاسم,MATCH($B158,الموظفون_الرقم,0)),"")</f>
        <v/>
      </c>
      <c r="D158" s="112" t="n"/>
      <c r="E158" s="49" t="n"/>
      <c r="F158" s="47" t="n"/>
      <c r="G158" s="63">
        <f>IF(OR($E158="",$F158="",$F158=0),"",$E158/$F158)</f>
        <v/>
      </c>
      <c r="H158" s="63">
        <f>IF($A158="","",SUMIFS(الرواتب_قسط_السلفة,الرواتب_السلفة,$A158,الرواتب_حالة_الصرف,"مصروف"))</f>
        <v/>
      </c>
      <c r="I158" s="63">
        <f>IF($A158="","",MAX(0,$E158-$H158))</f>
        <v/>
      </c>
      <c r="J158" s="112" t="n"/>
      <c r="K158" s="47" t="n"/>
      <c r="L158" s="47" t="n"/>
    </row>
    <row r="159">
      <c r="A159" s="39" t="n"/>
      <c r="B159" s="40" t="n"/>
      <c r="C159" s="43">
        <f>IFERROR(INDEX(الموظفون_الاسم,MATCH($B159,الموظفون_الرقم,0)),"")</f>
        <v/>
      </c>
      <c r="D159" s="110" t="n"/>
      <c r="E159" s="42" t="n"/>
      <c r="F159" s="40" t="n"/>
      <c r="G159" s="60">
        <f>IF(OR($E159="",$F159="",$F159=0),"",$E159/$F159)</f>
        <v/>
      </c>
      <c r="H159" s="60">
        <f>IF($A159="","",SUMIFS(الرواتب_قسط_السلفة,الرواتب_السلفة,$A159,الرواتب_حالة_الصرف,"مصروف"))</f>
        <v/>
      </c>
      <c r="I159" s="60">
        <f>IF($A159="","",MAX(0,$E159-$H159))</f>
        <v/>
      </c>
      <c r="J159" s="110" t="n"/>
      <c r="K159" s="40" t="n"/>
      <c r="L159" s="40" t="n"/>
    </row>
    <row r="160">
      <c r="A160" s="46" t="n"/>
      <c r="B160" s="47" t="n"/>
      <c r="C160" s="50">
        <f>IFERROR(INDEX(الموظفون_الاسم,MATCH($B160,الموظفون_الرقم,0)),"")</f>
        <v/>
      </c>
      <c r="D160" s="112" t="n"/>
      <c r="E160" s="49" t="n"/>
      <c r="F160" s="47" t="n"/>
      <c r="G160" s="63">
        <f>IF(OR($E160="",$F160="",$F160=0),"",$E160/$F160)</f>
        <v/>
      </c>
      <c r="H160" s="63">
        <f>IF($A160="","",SUMIFS(الرواتب_قسط_السلفة,الرواتب_السلفة,$A160,الرواتب_حالة_الصرف,"مصروف"))</f>
        <v/>
      </c>
      <c r="I160" s="63">
        <f>IF($A160="","",MAX(0,$E160-$H160))</f>
        <v/>
      </c>
      <c r="J160" s="112" t="n"/>
      <c r="K160" s="47" t="n"/>
      <c r="L160" s="47" t="n"/>
    </row>
    <row r="161">
      <c r="A161" s="39" t="n"/>
      <c r="B161" s="40" t="n"/>
      <c r="C161" s="43">
        <f>IFERROR(INDEX(الموظفون_الاسم,MATCH($B161,الموظفون_الرقم,0)),"")</f>
        <v/>
      </c>
      <c r="D161" s="110" t="n"/>
      <c r="E161" s="42" t="n"/>
      <c r="F161" s="40" t="n"/>
      <c r="G161" s="60">
        <f>IF(OR($E161="",$F161="",$F161=0),"",$E161/$F161)</f>
        <v/>
      </c>
      <c r="H161" s="60">
        <f>IF($A161="","",SUMIFS(الرواتب_قسط_السلفة,الرواتب_السلفة,$A161,الرواتب_حالة_الصرف,"مصروف"))</f>
        <v/>
      </c>
      <c r="I161" s="60">
        <f>IF($A161="","",MAX(0,$E161-$H161))</f>
        <v/>
      </c>
      <c r="J161" s="110" t="n"/>
      <c r="K161" s="40" t="n"/>
      <c r="L161" s="40" t="n"/>
    </row>
    <row r="162">
      <c r="A162" s="46" t="n"/>
      <c r="B162" s="47" t="n"/>
      <c r="C162" s="50">
        <f>IFERROR(INDEX(الموظفون_الاسم,MATCH($B162,الموظفون_الرقم,0)),"")</f>
        <v/>
      </c>
      <c r="D162" s="112" t="n"/>
      <c r="E162" s="49" t="n"/>
      <c r="F162" s="47" t="n"/>
      <c r="G162" s="63">
        <f>IF(OR($E162="",$F162="",$F162=0),"",$E162/$F162)</f>
        <v/>
      </c>
      <c r="H162" s="63">
        <f>IF($A162="","",SUMIFS(الرواتب_قسط_السلفة,الرواتب_السلفة,$A162,الرواتب_حالة_الصرف,"مصروف"))</f>
        <v/>
      </c>
      <c r="I162" s="63">
        <f>IF($A162="","",MAX(0,$E162-$H162))</f>
        <v/>
      </c>
      <c r="J162" s="112" t="n"/>
      <c r="K162" s="47" t="n"/>
      <c r="L162" s="47" t="n"/>
    </row>
    <row r="163">
      <c r="A163" s="39" t="n"/>
      <c r="B163" s="40" t="n"/>
      <c r="C163" s="43">
        <f>IFERROR(INDEX(الموظفون_الاسم,MATCH($B163,الموظفون_الرقم,0)),"")</f>
        <v/>
      </c>
      <c r="D163" s="110" t="n"/>
      <c r="E163" s="42" t="n"/>
      <c r="F163" s="40" t="n"/>
      <c r="G163" s="60">
        <f>IF(OR($E163="",$F163="",$F163=0),"",$E163/$F163)</f>
        <v/>
      </c>
      <c r="H163" s="60">
        <f>IF($A163="","",SUMIFS(الرواتب_قسط_السلفة,الرواتب_السلفة,$A163,الرواتب_حالة_الصرف,"مصروف"))</f>
        <v/>
      </c>
      <c r="I163" s="60">
        <f>IF($A163="","",MAX(0,$E163-$H163))</f>
        <v/>
      </c>
      <c r="J163" s="110" t="n"/>
      <c r="K163" s="40" t="n"/>
      <c r="L163" s="40" t="n"/>
    </row>
    <row r="164">
      <c r="A164" s="46" t="n"/>
      <c r="B164" s="47" t="n"/>
      <c r="C164" s="50">
        <f>IFERROR(INDEX(الموظفون_الاسم,MATCH($B164,الموظفون_الرقم,0)),"")</f>
        <v/>
      </c>
      <c r="D164" s="112" t="n"/>
      <c r="E164" s="49" t="n"/>
      <c r="F164" s="47" t="n"/>
      <c r="G164" s="63">
        <f>IF(OR($E164="",$F164="",$F164=0),"",$E164/$F164)</f>
        <v/>
      </c>
      <c r="H164" s="63">
        <f>IF($A164="","",SUMIFS(الرواتب_قسط_السلفة,الرواتب_السلفة,$A164,الرواتب_حالة_الصرف,"مصروف"))</f>
        <v/>
      </c>
      <c r="I164" s="63">
        <f>IF($A164="","",MAX(0,$E164-$H164))</f>
        <v/>
      </c>
      <c r="J164" s="112" t="n"/>
      <c r="K164" s="47" t="n"/>
      <c r="L164" s="47" t="n"/>
    </row>
    <row r="165">
      <c r="A165" s="39" t="n"/>
      <c r="B165" s="40" t="n"/>
      <c r="C165" s="43">
        <f>IFERROR(INDEX(الموظفون_الاسم,MATCH($B165,الموظفون_الرقم,0)),"")</f>
        <v/>
      </c>
      <c r="D165" s="110" t="n"/>
      <c r="E165" s="42" t="n"/>
      <c r="F165" s="40" t="n"/>
      <c r="G165" s="60">
        <f>IF(OR($E165="",$F165="",$F165=0),"",$E165/$F165)</f>
        <v/>
      </c>
      <c r="H165" s="60">
        <f>IF($A165="","",SUMIFS(الرواتب_قسط_السلفة,الرواتب_السلفة,$A165,الرواتب_حالة_الصرف,"مصروف"))</f>
        <v/>
      </c>
      <c r="I165" s="60">
        <f>IF($A165="","",MAX(0,$E165-$H165))</f>
        <v/>
      </c>
      <c r="J165" s="110" t="n"/>
      <c r="K165" s="40" t="n"/>
      <c r="L165" s="40" t="n"/>
    </row>
    <row r="166">
      <c r="A166" s="46" t="n"/>
      <c r="B166" s="47" t="n"/>
      <c r="C166" s="50">
        <f>IFERROR(INDEX(الموظفون_الاسم,MATCH($B166,الموظفون_الرقم,0)),"")</f>
        <v/>
      </c>
      <c r="D166" s="112" t="n"/>
      <c r="E166" s="49" t="n"/>
      <c r="F166" s="47" t="n"/>
      <c r="G166" s="63">
        <f>IF(OR($E166="",$F166="",$F166=0),"",$E166/$F166)</f>
        <v/>
      </c>
      <c r="H166" s="63">
        <f>IF($A166="","",SUMIFS(الرواتب_قسط_السلفة,الرواتب_السلفة,$A166,الرواتب_حالة_الصرف,"مصروف"))</f>
        <v/>
      </c>
      <c r="I166" s="63">
        <f>IF($A166="","",MAX(0,$E166-$H166))</f>
        <v/>
      </c>
      <c r="J166" s="112" t="n"/>
      <c r="K166" s="47" t="n"/>
      <c r="L166" s="47" t="n"/>
    </row>
    <row r="167">
      <c r="A167" s="39" t="n"/>
      <c r="B167" s="40" t="n"/>
      <c r="C167" s="43">
        <f>IFERROR(INDEX(الموظفون_الاسم,MATCH($B167,الموظفون_الرقم,0)),"")</f>
        <v/>
      </c>
      <c r="D167" s="110" t="n"/>
      <c r="E167" s="42" t="n"/>
      <c r="F167" s="40" t="n"/>
      <c r="G167" s="60">
        <f>IF(OR($E167="",$F167="",$F167=0),"",$E167/$F167)</f>
        <v/>
      </c>
      <c r="H167" s="60">
        <f>IF($A167="","",SUMIFS(الرواتب_قسط_السلفة,الرواتب_السلفة,$A167,الرواتب_حالة_الصرف,"مصروف"))</f>
        <v/>
      </c>
      <c r="I167" s="60">
        <f>IF($A167="","",MAX(0,$E167-$H167))</f>
        <v/>
      </c>
      <c r="J167" s="110" t="n"/>
      <c r="K167" s="40" t="n"/>
      <c r="L167" s="40" t="n"/>
    </row>
    <row r="168">
      <c r="A168" s="46" t="n"/>
      <c r="B168" s="47" t="n"/>
      <c r="C168" s="50">
        <f>IFERROR(INDEX(الموظفون_الاسم,MATCH($B168,الموظفون_الرقم,0)),"")</f>
        <v/>
      </c>
      <c r="D168" s="112" t="n"/>
      <c r="E168" s="49" t="n"/>
      <c r="F168" s="47" t="n"/>
      <c r="G168" s="63">
        <f>IF(OR($E168="",$F168="",$F168=0),"",$E168/$F168)</f>
        <v/>
      </c>
      <c r="H168" s="63">
        <f>IF($A168="","",SUMIFS(الرواتب_قسط_السلفة,الرواتب_السلفة,$A168,الرواتب_حالة_الصرف,"مصروف"))</f>
        <v/>
      </c>
      <c r="I168" s="63">
        <f>IF($A168="","",MAX(0,$E168-$H168))</f>
        <v/>
      </c>
      <c r="J168" s="112" t="n"/>
      <c r="K168" s="47" t="n"/>
      <c r="L168" s="47" t="n"/>
    </row>
    <row r="169">
      <c r="A169" s="39" t="n"/>
      <c r="B169" s="40" t="n"/>
      <c r="C169" s="43">
        <f>IFERROR(INDEX(الموظفون_الاسم,MATCH($B169,الموظفون_الرقم,0)),"")</f>
        <v/>
      </c>
      <c r="D169" s="110" t="n"/>
      <c r="E169" s="42" t="n"/>
      <c r="F169" s="40" t="n"/>
      <c r="G169" s="60">
        <f>IF(OR($E169="",$F169="",$F169=0),"",$E169/$F169)</f>
        <v/>
      </c>
      <c r="H169" s="60">
        <f>IF($A169="","",SUMIFS(الرواتب_قسط_السلفة,الرواتب_السلفة,$A169,الرواتب_حالة_الصرف,"مصروف"))</f>
        <v/>
      </c>
      <c r="I169" s="60">
        <f>IF($A169="","",MAX(0,$E169-$H169))</f>
        <v/>
      </c>
      <c r="J169" s="110" t="n"/>
      <c r="K169" s="40" t="n"/>
      <c r="L169" s="40" t="n"/>
    </row>
    <row r="170">
      <c r="A170" s="46" t="n"/>
      <c r="B170" s="47" t="n"/>
      <c r="C170" s="50">
        <f>IFERROR(INDEX(الموظفون_الاسم,MATCH($B170,الموظفون_الرقم,0)),"")</f>
        <v/>
      </c>
      <c r="D170" s="112" t="n"/>
      <c r="E170" s="49" t="n"/>
      <c r="F170" s="47" t="n"/>
      <c r="G170" s="63">
        <f>IF(OR($E170="",$F170="",$F170=0),"",$E170/$F170)</f>
        <v/>
      </c>
      <c r="H170" s="63">
        <f>IF($A170="","",SUMIFS(الرواتب_قسط_السلفة,الرواتب_السلفة,$A170,الرواتب_حالة_الصرف,"مصروف"))</f>
        <v/>
      </c>
      <c r="I170" s="63">
        <f>IF($A170="","",MAX(0,$E170-$H170))</f>
        <v/>
      </c>
      <c r="J170" s="112" t="n"/>
      <c r="K170" s="47" t="n"/>
      <c r="L170" s="47" t="n"/>
    </row>
    <row r="171">
      <c r="A171" s="39" t="n"/>
      <c r="B171" s="40" t="n"/>
      <c r="C171" s="43">
        <f>IFERROR(INDEX(الموظفون_الاسم,MATCH($B171,الموظفون_الرقم,0)),"")</f>
        <v/>
      </c>
      <c r="D171" s="110" t="n"/>
      <c r="E171" s="42" t="n"/>
      <c r="F171" s="40" t="n"/>
      <c r="G171" s="60">
        <f>IF(OR($E171="",$F171="",$F171=0),"",$E171/$F171)</f>
        <v/>
      </c>
      <c r="H171" s="60">
        <f>IF($A171="","",SUMIFS(الرواتب_قسط_السلفة,الرواتب_السلفة,$A171,الرواتب_حالة_الصرف,"مصروف"))</f>
        <v/>
      </c>
      <c r="I171" s="60">
        <f>IF($A171="","",MAX(0,$E171-$H171))</f>
        <v/>
      </c>
      <c r="J171" s="110" t="n"/>
      <c r="K171" s="40" t="n"/>
      <c r="L171" s="40" t="n"/>
    </row>
    <row r="172">
      <c r="A172" s="46" t="n"/>
      <c r="B172" s="47" t="n"/>
      <c r="C172" s="50">
        <f>IFERROR(INDEX(الموظفون_الاسم,MATCH($B172,الموظفون_الرقم,0)),"")</f>
        <v/>
      </c>
      <c r="D172" s="112" t="n"/>
      <c r="E172" s="49" t="n"/>
      <c r="F172" s="47" t="n"/>
      <c r="G172" s="63">
        <f>IF(OR($E172="",$F172="",$F172=0),"",$E172/$F172)</f>
        <v/>
      </c>
      <c r="H172" s="63">
        <f>IF($A172="","",SUMIFS(الرواتب_قسط_السلفة,الرواتب_السلفة,$A172,الرواتب_حالة_الصرف,"مصروف"))</f>
        <v/>
      </c>
      <c r="I172" s="63">
        <f>IF($A172="","",MAX(0,$E172-$H172))</f>
        <v/>
      </c>
      <c r="J172" s="112" t="n"/>
      <c r="K172" s="47" t="n"/>
      <c r="L172" s="47" t="n"/>
    </row>
    <row r="173">
      <c r="A173" s="39" t="n"/>
      <c r="B173" s="40" t="n"/>
      <c r="C173" s="43">
        <f>IFERROR(INDEX(الموظفون_الاسم,MATCH($B173,الموظفون_الرقم,0)),"")</f>
        <v/>
      </c>
      <c r="D173" s="110" t="n"/>
      <c r="E173" s="42" t="n"/>
      <c r="F173" s="40" t="n"/>
      <c r="G173" s="60">
        <f>IF(OR($E173="",$F173="",$F173=0),"",$E173/$F173)</f>
        <v/>
      </c>
      <c r="H173" s="60">
        <f>IF($A173="","",SUMIFS(الرواتب_قسط_السلفة,الرواتب_السلفة,$A173,الرواتب_حالة_الصرف,"مصروف"))</f>
        <v/>
      </c>
      <c r="I173" s="60">
        <f>IF($A173="","",MAX(0,$E173-$H173))</f>
        <v/>
      </c>
      <c r="J173" s="110" t="n"/>
      <c r="K173" s="40" t="n"/>
      <c r="L173" s="40" t="n"/>
    </row>
    <row r="174">
      <c r="A174" s="46" t="n"/>
      <c r="B174" s="47" t="n"/>
      <c r="C174" s="50">
        <f>IFERROR(INDEX(الموظفون_الاسم,MATCH($B174,الموظفون_الرقم,0)),"")</f>
        <v/>
      </c>
      <c r="D174" s="112" t="n"/>
      <c r="E174" s="49" t="n"/>
      <c r="F174" s="47" t="n"/>
      <c r="G174" s="63">
        <f>IF(OR($E174="",$F174="",$F174=0),"",$E174/$F174)</f>
        <v/>
      </c>
      <c r="H174" s="63">
        <f>IF($A174="","",SUMIFS(الرواتب_قسط_السلفة,الرواتب_السلفة,$A174,الرواتب_حالة_الصرف,"مصروف"))</f>
        <v/>
      </c>
      <c r="I174" s="63">
        <f>IF($A174="","",MAX(0,$E174-$H174))</f>
        <v/>
      </c>
      <c r="J174" s="112" t="n"/>
      <c r="K174" s="47" t="n"/>
      <c r="L174" s="47" t="n"/>
    </row>
    <row r="175">
      <c r="A175" s="39" t="n"/>
      <c r="B175" s="40" t="n"/>
      <c r="C175" s="43">
        <f>IFERROR(INDEX(الموظفون_الاسم,MATCH($B175,الموظفون_الرقم,0)),"")</f>
        <v/>
      </c>
      <c r="D175" s="110" t="n"/>
      <c r="E175" s="42" t="n"/>
      <c r="F175" s="40" t="n"/>
      <c r="G175" s="60">
        <f>IF(OR($E175="",$F175="",$F175=0),"",$E175/$F175)</f>
        <v/>
      </c>
      <c r="H175" s="60">
        <f>IF($A175="","",SUMIFS(الرواتب_قسط_السلفة,الرواتب_السلفة,$A175,الرواتب_حالة_الصرف,"مصروف"))</f>
        <v/>
      </c>
      <c r="I175" s="60">
        <f>IF($A175="","",MAX(0,$E175-$H175))</f>
        <v/>
      </c>
      <c r="J175" s="110" t="n"/>
      <c r="K175" s="40" t="n"/>
      <c r="L175" s="40" t="n"/>
    </row>
    <row r="176">
      <c r="A176" s="46" t="n"/>
      <c r="B176" s="47" t="n"/>
      <c r="C176" s="50">
        <f>IFERROR(INDEX(الموظفون_الاسم,MATCH($B176,الموظفون_الرقم,0)),"")</f>
        <v/>
      </c>
      <c r="D176" s="112" t="n"/>
      <c r="E176" s="49" t="n"/>
      <c r="F176" s="47" t="n"/>
      <c r="G176" s="63">
        <f>IF(OR($E176="",$F176="",$F176=0),"",$E176/$F176)</f>
        <v/>
      </c>
      <c r="H176" s="63">
        <f>IF($A176="","",SUMIFS(الرواتب_قسط_السلفة,الرواتب_السلفة,$A176,الرواتب_حالة_الصرف,"مصروف"))</f>
        <v/>
      </c>
      <c r="I176" s="63">
        <f>IF($A176="","",MAX(0,$E176-$H176))</f>
        <v/>
      </c>
      <c r="J176" s="112" t="n"/>
      <c r="K176" s="47" t="n"/>
      <c r="L176" s="47" t="n"/>
    </row>
    <row r="177">
      <c r="A177" s="39" t="n"/>
      <c r="B177" s="40" t="n"/>
      <c r="C177" s="43">
        <f>IFERROR(INDEX(الموظفون_الاسم,MATCH($B177,الموظفون_الرقم,0)),"")</f>
        <v/>
      </c>
      <c r="D177" s="110" t="n"/>
      <c r="E177" s="42" t="n"/>
      <c r="F177" s="40" t="n"/>
      <c r="G177" s="60">
        <f>IF(OR($E177="",$F177="",$F177=0),"",$E177/$F177)</f>
        <v/>
      </c>
      <c r="H177" s="60">
        <f>IF($A177="","",SUMIFS(الرواتب_قسط_السلفة,الرواتب_السلفة,$A177,الرواتب_حالة_الصرف,"مصروف"))</f>
        <v/>
      </c>
      <c r="I177" s="60">
        <f>IF($A177="","",MAX(0,$E177-$H177))</f>
        <v/>
      </c>
      <c r="J177" s="110" t="n"/>
      <c r="K177" s="40" t="n"/>
      <c r="L177" s="40" t="n"/>
    </row>
    <row r="178">
      <c r="A178" s="46" t="n"/>
      <c r="B178" s="47" t="n"/>
      <c r="C178" s="50">
        <f>IFERROR(INDEX(الموظفون_الاسم,MATCH($B178,الموظفون_الرقم,0)),"")</f>
        <v/>
      </c>
      <c r="D178" s="112" t="n"/>
      <c r="E178" s="49" t="n"/>
      <c r="F178" s="47" t="n"/>
      <c r="G178" s="63">
        <f>IF(OR($E178="",$F178="",$F178=0),"",$E178/$F178)</f>
        <v/>
      </c>
      <c r="H178" s="63">
        <f>IF($A178="","",SUMIFS(الرواتب_قسط_السلفة,الرواتب_السلفة,$A178,الرواتب_حالة_الصرف,"مصروف"))</f>
        <v/>
      </c>
      <c r="I178" s="63">
        <f>IF($A178="","",MAX(0,$E178-$H178))</f>
        <v/>
      </c>
      <c r="J178" s="112" t="n"/>
      <c r="K178" s="47" t="n"/>
      <c r="L178" s="47" t="n"/>
    </row>
    <row r="179">
      <c r="A179" s="39" t="n"/>
      <c r="B179" s="40" t="n"/>
      <c r="C179" s="43">
        <f>IFERROR(INDEX(الموظفون_الاسم,MATCH($B179,الموظفون_الرقم,0)),"")</f>
        <v/>
      </c>
      <c r="D179" s="110" t="n"/>
      <c r="E179" s="42" t="n"/>
      <c r="F179" s="40" t="n"/>
      <c r="G179" s="60">
        <f>IF(OR($E179="",$F179="",$F179=0),"",$E179/$F179)</f>
        <v/>
      </c>
      <c r="H179" s="60">
        <f>IF($A179="","",SUMIFS(الرواتب_قسط_السلفة,الرواتب_السلفة,$A179,الرواتب_حالة_الصرف,"مصروف"))</f>
        <v/>
      </c>
      <c r="I179" s="60">
        <f>IF($A179="","",MAX(0,$E179-$H179))</f>
        <v/>
      </c>
      <c r="J179" s="110" t="n"/>
      <c r="K179" s="40" t="n"/>
      <c r="L179" s="40" t="n"/>
    </row>
    <row r="180">
      <c r="A180" s="46" t="n"/>
      <c r="B180" s="47" t="n"/>
      <c r="C180" s="50">
        <f>IFERROR(INDEX(الموظفون_الاسم,MATCH($B180,الموظفون_الرقم,0)),"")</f>
        <v/>
      </c>
      <c r="D180" s="112" t="n"/>
      <c r="E180" s="49" t="n"/>
      <c r="F180" s="47" t="n"/>
      <c r="G180" s="63">
        <f>IF(OR($E180="",$F180="",$F180=0),"",$E180/$F180)</f>
        <v/>
      </c>
      <c r="H180" s="63">
        <f>IF($A180="","",SUMIFS(الرواتب_قسط_السلفة,الرواتب_السلفة,$A180,الرواتب_حالة_الصرف,"مصروف"))</f>
        <v/>
      </c>
      <c r="I180" s="63">
        <f>IF($A180="","",MAX(0,$E180-$H180))</f>
        <v/>
      </c>
      <c r="J180" s="112" t="n"/>
      <c r="K180" s="47" t="n"/>
      <c r="L180" s="47" t="n"/>
    </row>
    <row r="181">
      <c r="A181" s="39" t="n"/>
      <c r="B181" s="40" t="n"/>
      <c r="C181" s="43">
        <f>IFERROR(INDEX(الموظفون_الاسم,MATCH($B181,الموظفون_الرقم,0)),"")</f>
        <v/>
      </c>
      <c r="D181" s="110" t="n"/>
      <c r="E181" s="42" t="n"/>
      <c r="F181" s="40" t="n"/>
      <c r="G181" s="60">
        <f>IF(OR($E181="",$F181="",$F181=0),"",$E181/$F181)</f>
        <v/>
      </c>
      <c r="H181" s="60">
        <f>IF($A181="","",SUMIFS(الرواتب_قسط_السلفة,الرواتب_السلفة,$A181,الرواتب_حالة_الصرف,"مصروف"))</f>
        <v/>
      </c>
      <c r="I181" s="60">
        <f>IF($A181="","",MAX(0,$E181-$H181))</f>
        <v/>
      </c>
      <c r="J181" s="110" t="n"/>
      <c r="K181" s="40" t="n"/>
      <c r="L181" s="40" t="n"/>
    </row>
    <row r="182">
      <c r="A182" s="46" t="n"/>
      <c r="B182" s="47" t="n"/>
      <c r="C182" s="50">
        <f>IFERROR(INDEX(الموظفون_الاسم,MATCH($B182,الموظفون_الرقم,0)),"")</f>
        <v/>
      </c>
      <c r="D182" s="112" t="n"/>
      <c r="E182" s="49" t="n"/>
      <c r="F182" s="47" t="n"/>
      <c r="G182" s="63">
        <f>IF(OR($E182="",$F182="",$F182=0),"",$E182/$F182)</f>
        <v/>
      </c>
      <c r="H182" s="63">
        <f>IF($A182="","",SUMIFS(الرواتب_قسط_السلفة,الرواتب_السلفة,$A182,الرواتب_حالة_الصرف,"مصروف"))</f>
        <v/>
      </c>
      <c r="I182" s="63">
        <f>IF($A182="","",MAX(0,$E182-$H182))</f>
        <v/>
      </c>
      <c r="J182" s="112" t="n"/>
      <c r="K182" s="47" t="n"/>
      <c r="L182" s="47" t="n"/>
    </row>
    <row r="183">
      <c r="A183" s="39" t="n"/>
      <c r="B183" s="40" t="n"/>
      <c r="C183" s="43">
        <f>IFERROR(INDEX(الموظفون_الاسم,MATCH($B183,الموظفون_الرقم,0)),"")</f>
        <v/>
      </c>
      <c r="D183" s="110" t="n"/>
      <c r="E183" s="42" t="n"/>
      <c r="F183" s="40" t="n"/>
      <c r="G183" s="60">
        <f>IF(OR($E183="",$F183="",$F183=0),"",$E183/$F183)</f>
        <v/>
      </c>
      <c r="H183" s="60">
        <f>IF($A183="","",SUMIFS(الرواتب_قسط_السلفة,الرواتب_السلفة,$A183,الرواتب_حالة_الصرف,"مصروف"))</f>
        <v/>
      </c>
      <c r="I183" s="60">
        <f>IF($A183="","",MAX(0,$E183-$H183))</f>
        <v/>
      </c>
      <c r="J183" s="110" t="n"/>
      <c r="K183" s="40" t="n"/>
      <c r="L183" s="40" t="n"/>
    </row>
    <row r="184">
      <c r="A184" s="46" t="n"/>
      <c r="B184" s="47" t="n"/>
      <c r="C184" s="50">
        <f>IFERROR(INDEX(الموظفون_الاسم,MATCH($B184,الموظفون_الرقم,0)),"")</f>
        <v/>
      </c>
      <c r="D184" s="112" t="n"/>
      <c r="E184" s="49" t="n"/>
      <c r="F184" s="47" t="n"/>
      <c r="G184" s="63">
        <f>IF(OR($E184="",$F184="",$F184=0),"",$E184/$F184)</f>
        <v/>
      </c>
      <c r="H184" s="63">
        <f>IF($A184="","",SUMIFS(الرواتب_قسط_السلفة,الرواتب_السلفة,$A184,الرواتب_حالة_الصرف,"مصروف"))</f>
        <v/>
      </c>
      <c r="I184" s="63">
        <f>IF($A184="","",MAX(0,$E184-$H184))</f>
        <v/>
      </c>
      <c r="J184" s="112" t="n"/>
      <c r="K184" s="47" t="n"/>
      <c r="L184" s="47" t="n"/>
    </row>
    <row r="185">
      <c r="A185" s="39" t="n"/>
      <c r="B185" s="40" t="n"/>
      <c r="C185" s="43">
        <f>IFERROR(INDEX(الموظفون_الاسم,MATCH($B185,الموظفون_الرقم,0)),"")</f>
        <v/>
      </c>
      <c r="D185" s="110" t="n"/>
      <c r="E185" s="42" t="n"/>
      <c r="F185" s="40" t="n"/>
      <c r="G185" s="60">
        <f>IF(OR($E185="",$F185="",$F185=0),"",$E185/$F185)</f>
        <v/>
      </c>
      <c r="H185" s="60">
        <f>IF($A185="","",SUMIFS(الرواتب_قسط_السلفة,الرواتب_السلفة,$A185,الرواتب_حالة_الصرف,"مصروف"))</f>
        <v/>
      </c>
      <c r="I185" s="60">
        <f>IF($A185="","",MAX(0,$E185-$H185))</f>
        <v/>
      </c>
      <c r="J185" s="110" t="n"/>
      <c r="K185" s="40" t="n"/>
      <c r="L185" s="40" t="n"/>
    </row>
    <row r="186">
      <c r="A186" s="46" t="n"/>
      <c r="B186" s="47" t="n"/>
      <c r="C186" s="50">
        <f>IFERROR(INDEX(الموظفون_الاسم,MATCH($B186,الموظفون_الرقم,0)),"")</f>
        <v/>
      </c>
      <c r="D186" s="112" t="n"/>
      <c r="E186" s="49" t="n"/>
      <c r="F186" s="47" t="n"/>
      <c r="G186" s="63">
        <f>IF(OR($E186="",$F186="",$F186=0),"",$E186/$F186)</f>
        <v/>
      </c>
      <c r="H186" s="63">
        <f>IF($A186="","",SUMIFS(الرواتب_قسط_السلفة,الرواتب_السلفة,$A186,الرواتب_حالة_الصرف,"مصروف"))</f>
        <v/>
      </c>
      <c r="I186" s="63">
        <f>IF($A186="","",MAX(0,$E186-$H186))</f>
        <v/>
      </c>
      <c r="J186" s="112" t="n"/>
      <c r="K186" s="47" t="n"/>
      <c r="L186" s="47" t="n"/>
    </row>
    <row r="187">
      <c r="A187" s="39" t="n"/>
      <c r="B187" s="40" t="n"/>
      <c r="C187" s="43">
        <f>IFERROR(INDEX(الموظفون_الاسم,MATCH($B187,الموظفون_الرقم,0)),"")</f>
        <v/>
      </c>
      <c r="D187" s="110" t="n"/>
      <c r="E187" s="42" t="n"/>
      <c r="F187" s="40" t="n"/>
      <c r="G187" s="60">
        <f>IF(OR($E187="",$F187="",$F187=0),"",$E187/$F187)</f>
        <v/>
      </c>
      <c r="H187" s="60">
        <f>IF($A187="","",SUMIFS(الرواتب_قسط_السلفة,الرواتب_السلفة,$A187,الرواتب_حالة_الصرف,"مصروف"))</f>
        <v/>
      </c>
      <c r="I187" s="60">
        <f>IF($A187="","",MAX(0,$E187-$H187))</f>
        <v/>
      </c>
      <c r="J187" s="110" t="n"/>
      <c r="K187" s="40" t="n"/>
      <c r="L187" s="40" t="n"/>
    </row>
    <row r="188">
      <c r="A188" s="46" t="n"/>
      <c r="B188" s="47" t="n"/>
      <c r="C188" s="50">
        <f>IFERROR(INDEX(الموظفون_الاسم,MATCH($B188,الموظفون_الرقم,0)),"")</f>
        <v/>
      </c>
      <c r="D188" s="112" t="n"/>
      <c r="E188" s="49" t="n"/>
      <c r="F188" s="47" t="n"/>
      <c r="G188" s="63">
        <f>IF(OR($E188="",$F188="",$F188=0),"",$E188/$F188)</f>
        <v/>
      </c>
      <c r="H188" s="63">
        <f>IF($A188="","",SUMIFS(الرواتب_قسط_السلفة,الرواتب_السلفة,$A188,الرواتب_حالة_الصرف,"مصروف"))</f>
        <v/>
      </c>
      <c r="I188" s="63">
        <f>IF($A188="","",MAX(0,$E188-$H188))</f>
        <v/>
      </c>
      <c r="J188" s="112" t="n"/>
      <c r="K188" s="47" t="n"/>
      <c r="L188" s="47" t="n"/>
    </row>
    <row r="189">
      <c r="A189" s="39" t="n"/>
      <c r="B189" s="40" t="n"/>
      <c r="C189" s="43">
        <f>IFERROR(INDEX(الموظفون_الاسم,MATCH($B189,الموظفون_الرقم,0)),"")</f>
        <v/>
      </c>
      <c r="D189" s="110" t="n"/>
      <c r="E189" s="42" t="n"/>
      <c r="F189" s="40" t="n"/>
      <c r="G189" s="60">
        <f>IF(OR($E189="",$F189="",$F189=0),"",$E189/$F189)</f>
        <v/>
      </c>
      <c r="H189" s="60">
        <f>IF($A189="","",SUMIFS(الرواتب_قسط_السلفة,الرواتب_السلفة,$A189,الرواتب_حالة_الصرف,"مصروف"))</f>
        <v/>
      </c>
      <c r="I189" s="60">
        <f>IF($A189="","",MAX(0,$E189-$H189))</f>
        <v/>
      </c>
      <c r="J189" s="110" t="n"/>
      <c r="K189" s="40" t="n"/>
      <c r="L189" s="40" t="n"/>
    </row>
    <row r="190">
      <c r="A190" s="46" t="n"/>
      <c r="B190" s="47" t="n"/>
      <c r="C190" s="50">
        <f>IFERROR(INDEX(الموظفون_الاسم,MATCH($B190,الموظفون_الرقم,0)),"")</f>
        <v/>
      </c>
      <c r="D190" s="112" t="n"/>
      <c r="E190" s="49" t="n"/>
      <c r="F190" s="47" t="n"/>
      <c r="G190" s="63">
        <f>IF(OR($E190="",$F190="",$F190=0),"",$E190/$F190)</f>
        <v/>
      </c>
      <c r="H190" s="63">
        <f>IF($A190="","",SUMIFS(الرواتب_قسط_السلفة,الرواتب_السلفة,$A190,الرواتب_حالة_الصرف,"مصروف"))</f>
        <v/>
      </c>
      <c r="I190" s="63">
        <f>IF($A190="","",MAX(0,$E190-$H190))</f>
        <v/>
      </c>
      <c r="J190" s="112" t="n"/>
      <c r="K190" s="47" t="n"/>
      <c r="L190" s="47" t="n"/>
    </row>
    <row r="191">
      <c r="A191" s="39" t="n"/>
      <c r="B191" s="40" t="n"/>
      <c r="C191" s="43">
        <f>IFERROR(INDEX(الموظفون_الاسم,MATCH($B191,الموظفون_الرقم,0)),"")</f>
        <v/>
      </c>
      <c r="D191" s="110" t="n"/>
      <c r="E191" s="42" t="n"/>
      <c r="F191" s="40" t="n"/>
      <c r="G191" s="60">
        <f>IF(OR($E191="",$F191="",$F191=0),"",$E191/$F191)</f>
        <v/>
      </c>
      <c r="H191" s="60">
        <f>IF($A191="","",SUMIFS(الرواتب_قسط_السلفة,الرواتب_السلفة,$A191,الرواتب_حالة_الصرف,"مصروف"))</f>
        <v/>
      </c>
      <c r="I191" s="60">
        <f>IF($A191="","",MAX(0,$E191-$H191))</f>
        <v/>
      </c>
      <c r="J191" s="110" t="n"/>
      <c r="K191" s="40" t="n"/>
      <c r="L191" s="40" t="n"/>
    </row>
    <row r="192">
      <c r="A192" s="46" t="n"/>
      <c r="B192" s="47" t="n"/>
      <c r="C192" s="50">
        <f>IFERROR(INDEX(الموظفون_الاسم,MATCH($B192,الموظفون_الرقم,0)),"")</f>
        <v/>
      </c>
      <c r="D192" s="112" t="n"/>
      <c r="E192" s="49" t="n"/>
      <c r="F192" s="47" t="n"/>
      <c r="G192" s="63">
        <f>IF(OR($E192="",$F192="",$F192=0),"",$E192/$F192)</f>
        <v/>
      </c>
      <c r="H192" s="63">
        <f>IF($A192="","",SUMIFS(الرواتب_قسط_السلفة,الرواتب_السلفة,$A192,الرواتب_حالة_الصرف,"مصروف"))</f>
        <v/>
      </c>
      <c r="I192" s="63">
        <f>IF($A192="","",MAX(0,$E192-$H192))</f>
        <v/>
      </c>
      <c r="J192" s="112" t="n"/>
      <c r="K192" s="47" t="n"/>
      <c r="L192" s="47" t="n"/>
    </row>
    <row r="193">
      <c r="A193" s="39" t="n"/>
      <c r="B193" s="40" t="n"/>
      <c r="C193" s="43">
        <f>IFERROR(INDEX(الموظفون_الاسم,MATCH($B193,الموظفون_الرقم,0)),"")</f>
        <v/>
      </c>
      <c r="D193" s="110" t="n"/>
      <c r="E193" s="42" t="n"/>
      <c r="F193" s="40" t="n"/>
      <c r="G193" s="60">
        <f>IF(OR($E193="",$F193="",$F193=0),"",$E193/$F193)</f>
        <v/>
      </c>
      <c r="H193" s="60">
        <f>IF($A193="","",SUMIFS(الرواتب_قسط_السلفة,الرواتب_السلفة,$A193,الرواتب_حالة_الصرف,"مصروف"))</f>
        <v/>
      </c>
      <c r="I193" s="60">
        <f>IF($A193="","",MAX(0,$E193-$H193))</f>
        <v/>
      </c>
      <c r="J193" s="110" t="n"/>
      <c r="K193" s="40" t="n"/>
      <c r="L193" s="40" t="n"/>
    </row>
    <row r="194">
      <c r="A194" s="46" t="n"/>
      <c r="B194" s="47" t="n"/>
      <c r="C194" s="50">
        <f>IFERROR(INDEX(الموظفون_الاسم,MATCH($B194,الموظفون_الرقم,0)),"")</f>
        <v/>
      </c>
      <c r="D194" s="112" t="n"/>
      <c r="E194" s="49" t="n"/>
      <c r="F194" s="47" t="n"/>
      <c r="G194" s="63">
        <f>IF(OR($E194="",$F194="",$F194=0),"",$E194/$F194)</f>
        <v/>
      </c>
      <c r="H194" s="63">
        <f>IF($A194="","",SUMIFS(الرواتب_قسط_السلفة,الرواتب_السلفة,$A194,الرواتب_حالة_الصرف,"مصروف"))</f>
        <v/>
      </c>
      <c r="I194" s="63">
        <f>IF($A194="","",MAX(0,$E194-$H194))</f>
        <v/>
      </c>
      <c r="J194" s="112" t="n"/>
      <c r="K194" s="47" t="n"/>
      <c r="L194" s="47" t="n"/>
    </row>
    <row r="195">
      <c r="A195" s="39" t="n"/>
      <c r="B195" s="40" t="n"/>
      <c r="C195" s="43">
        <f>IFERROR(INDEX(الموظفون_الاسم,MATCH($B195,الموظفون_الرقم,0)),"")</f>
        <v/>
      </c>
      <c r="D195" s="110" t="n"/>
      <c r="E195" s="42" t="n"/>
      <c r="F195" s="40" t="n"/>
      <c r="G195" s="60">
        <f>IF(OR($E195="",$F195="",$F195=0),"",$E195/$F195)</f>
        <v/>
      </c>
      <c r="H195" s="60">
        <f>IF($A195="","",SUMIFS(الرواتب_قسط_السلفة,الرواتب_السلفة,$A195,الرواتب_حالة_الصرف,"مصروف"))</f>
        <v/>
      </c>
      <c r="I195" s="60">
        <f>IF($A195="","",MAX(0,$E195-$H195))</f>
        <v/>
      </c>
      <c r="J195" s="110" t="n"/>
      <c r="K195" s="40" t="n"/>
      <c r="L195" s="40" t="n"/>
    </row>
    <row r="196">
      <c r="A196" s="46" t="n"/>
      <c r="B196" s="47" t="n"/>
      <c r="C196" s="50">
        <f>IFERROR(INDEX(الموظفون_الاسم,MATCH($B196,الموظفون_الرقم,0)),"")</f>
        <v/>
      </c>
      <c r="D196" s="112" t="n"/>
      <c r="E196" s="49" t="n"/>
      <c r="F196" s="47" t="n"/>
      <c r="G196" s="63">
        <f>IF(OR($E196="",$F196="",$F196=0),"",$E196/$F196)</f>
        <v/>
      </c>
      <c r="H196" s="63">
        <f>IF($A196="","",SUMIFS(الرواتب_قسط_السلفة,الرواتب_السلفة,$A196,الرواتب_حالة_الصرف,"مصروف"))</f>
        <v/>
      </c>
      <c r="I196" s="63">
        <f>IF($A196="","",MAX(0,$E196-$H196))</f>
        <v/>
      </c>
      <c r="J196" s="112" t="n"/>
      <c r="K196" s="47" t="n"/>
      <c r="L196" s="47" t="n"/>
    </row>
    <row r="197">
      <c r="A197" s="39" t="n"/>
      <c r="B197" s="40" t="n"/>
      <c r="C197" s="43">
        <f>IFERROR(INDEX(الموظفون_الاسم,MATCH($B197,الموظفون_الرقم,0)),"")</f>
        <v/>
      </c>
      <c r="D197" s="110" t="n"/>
      <c r="E197" s="42" t="n"/>
      <c r="F197" s="40" t="n"/>
      <c r="G197" s="60">
        <f>IF(OR($E197="",$F197="",$F197=0),"",$E197/$F197)</f>
        <v/>
      </c>
      <c r="H197" s="60">
        <f>IF($A197="","",SUMIFS(الرواتب_قسط_السلفة,الرواتب_السلفة,$A197,الرواتب_حالة_الصرف,"مصروف"))</f>
        <v/>
      </c>
      <c r="I197" s="60">
        <f>IF($A197="","",MAX(0,$E197-$H197))</f>
        <v/>
      </c>
      <c r="J197" s="110" t="n"/>
      <c r="K197" s="40" t="n"/>
      <c r="L197" s="40" t="n"/>
    </row>
    <row r="198">
      <c r="A198" s="46" t="n"/>
      <c r="B198" s="47" t="n"/>
      <c r="C198" s="50">
        <f>IFERROR(INDEX(الموظفون_الاسم,MATCH($B198,الموظفون_الرقم,0)),"")</f>
        <v/>
      </c>
      <c r="D198" s="112" t="n"/>
      <c r="E198" s="49" t="n"/>
      <c r="F198" s="47" t="n"/>
      <c r="G198" s="63">
        <f>IF(OR($E198="",$F198="",$F198=0),"",$E198/$F198)</f>
        <v/>
      </c>
      <c r="H198" s="63">
        <f>IF($A198="","",SUMIFS(الرواتب_قسط_السلفة,الرواتب_السلفة,$A198,الرواتب_حالة_الصرف,"مصروف"))</f>
        <v/>
      </c>
      <c r="I198" s="63">
        <f>IF($A198="","",MAX(0,$E198-$H198))</f>
        <v/>
      </c>
      <c r="J198" s="112" t="n"/>
      <c r="K198" s="47" t="n"/>
      <c r="L198" s="47" t="n"/>
    </row>
    <row r="199">
      <c r="A199" s="39" t="n"/>
      <c r="B199" s="40" t="n"/>
      <c r="C199" s="43">
        <f>IFERROR(INDEX(الموظفون_الاسم,MATCH($B199,الموظفون_الرقم,0)),"")</f>
        <v/>
      </c>
      <c r="D199" s="110" t="n"/>
      <c r="E199" s="42" t="n"/>
      <c r="F199" s="40" t="n"/>
      <c r="G199" s="60">
        <f>IF(OR($E199="",$F199="",$F199=0),"",$E199/$F199)</f>
        <v/>
      </c>
      <c r="H199" s="60">
        <f>IF($A199="","",SUMIFS(الرواتب_قسط_السلفة,الرواتب_السلفة,$A199,الرواتب_حالة_الصرف,"مصروف"))</f>
        <v/>
      </c>
      <c r="I199" s="60">
        <f>IF($A199="","",MAX(0,$E199-$H199))</f>
        <v/>
      </c>
      <c r="J199" s="110" t="n"/>
      <c r="K199" s="40" t="n"/>
      <c r="L199" s="40" t="n"/>
    </row>
    <row r="200">
      <c r="A200" s="46" t="n"/>
      <c r="B200" s="47" t="n"/>
      <c r="C200" s="50">
        <f>IFERROR(INDEX(الموظفون_الاسم,MATCH($B200,الموظفون_الرقم,0)),"")</f>
        <v/>
      </c>
      <c r="D200" s="112" t="n"/>
      <c r="E200" s="49" t="n"/>
      <c r="F200" s="47" t="n"/>
      <c r="G200" s="63">
        <f>IF(OR($E200="",$F200="",$F200=0),"",$E200/$F200)</f>
        <v/>
      </c>
      <c r="H200" s="63">
        <f>IF($A200="","",SUMIFS(الرواتب_قسط_السلفة,الرواتب_السلفة,$A200,الرواتب_حالة_الصرف,"مصروف"))</f>
        <v/>
      </c>
      <c r="I200" s="63">
        <f>IF($A200="","",MAX(0,$E200-$H200))</f>
        <v/>
      </c>
      <c r="J200" s="112" t="n"/>
      <c r="K200" s="47" t="n"/>
      <c r="L200" s="47" t="n"/>
    </row>
    <row r="201">
      <c r="A201" s="39" t="n"/>
      <c r="B201" s="40" t="n"/>
      <c r="C201" s="43">
        <f>IFERROR(INDEX(الموظفون_الاسم,MATCH($B201,الموظفون_الرقم,0)),"")</f>
        <v/>
      </c>
      <c r="D201" s="110" t="n"/>
      <c r="E201" s="42" t="n"/>
      <c r="F201" s="40" t="n"/>
      <c r="G201" s="60">
        <f>IF(OR($E201="",$F201="",$F201=0),"",$E201/$F201)</f>
        <v/>
      </c>
      <c r="H201" s="60">
        <f>IF($A201="","",SUMIFS(الرواتب_قسط_السلفة,الرواتب_السلفة,$A201,الرواتب_حالة_الصرف,"مصروف"))</f>
        <v/>
      </c>
      <c r="I201" s="60">
        <f>IF($A201="","",MAX(0,$E201-$H201))</f>
        <v/>
      </c>
      <c r="J201" s="110" t="n"/>
      <c r="K201" s="40" t="n"/>
      <c r="L201" s="40" t="n"/>
    </row>
    <row r="202">
      <c r="A202" s="46" t="n"/>
      <c r="B202" s="47" t="n"/>
      <c r="C202" s="50">
        <f>IFERROR(INDEX(الموظفون_الاسم,MATCH($B202,الموظفون_الرقم,0)),"")</f>
        <v/>
      </c>
      <c r="D202" s="112" t="n"/>
      <c r="E202" s="49" t="n"/>
      <c r="F202" s="47" t="n"/>
      <c r="G202" s="63">
        <f>IF(OR($E202="",$F202="",$F202=0),"",$E202/$F202)</f>
        <v/>
      </c>
      <c r="H202" s="63">
        <f>IF($A202="","",SUMIFS(الرواتب_قسط_السلفة,الرواتب_السلفة,$A202,الرواتب_حالة_الصرف,"مصروف"))</f>
        <v/>
      </c>
      <c r="I202" s="63">
        <f>IF($A202="","",MAX(0,$E202-$H202))</f>
        <v/>
      </c>
      <c r="J202" s="112" t="n"/>
      <c r="K202" s="47" t="n"/>
      <c r="L202" s="47" t="n"/>
    </row>
    <row r="203">
      <c r="A203" s="39" t="n"/>
      <c r="B203" s="40" t="n"/>
      <c r="C203" s="43">
        <f>IFERROR(INDEX(الموظفون_الاسم,MATCH($B203,الموظفون_الرقم,0)),"")</f>
        <v/>
      </c>
      <c r="D203" s="110" t="n"/>
      <c r="E203" s="42" t="n"/>
      <c r="F203" s="40" t="n"/>
      <c r="G203" s="60">
        <f>IF(OR($E203="",$F203="",$F203=0),"",$E203/$F203)</f>
        <v/>
      </c>
      <c r="H203" s="60">
        <f>IF($A203="","",SUMIFS(الرواتب_قسط_السلفة,الرواتب_السلفة,$A203,الرواتب_حالة_الصرف,"مصروف"))</f>
        <v/>
      </c>
      <c r="I203" s="60">
        <f>IF($A203="","",MAX(0,$E203-$H203))</f>
        <v/>
      </c>
      <c r="J203" s="110" t="n"/>
      <c r="K203" s="40" t="n"/>
      <c r="L203" s="40" t="n"/>
    </row>
    <row r="204">
      <c r="A204" s="46" t="n"/>
      <c r="B204" s="47" t="n"/>
      <c r="C204" s="50">
        <f>IFERROR(INDEX(الموظفون_الاسم,MATCH($B204,الموظفون_الرقم,0)),"")</f>
        <v/>
      </c>
      <c r="D204" s="112" t="n"/>
      <c r="E204" s="49" t="n"/>
      <c r="F204" s="47" t="n"/>
      <c r="G204" s="63">
        <f>IF(OR($E204="",$F204="",$F204=0),"",$E204/$F204)</f>
        <v/>
      </c>
      <c r="H204" s="63">
        <f>IF($A204="","",SUMIFS(الرواتب_قسط_السلفة,الرواتب_السلفة,$A204,الرواتب_حالة_الصرف,"مصروف"))</f>
        <v/>
      </c>
      <c r="I204" s="63">
        <f>IF($A204="","",MAX(0,$E204-$H204))</f>
        <v/>
      </c>
      <c r="J204" s="112" t="n"/>
      <c r="K204" s="47" t="n"/>
      <c r="L204" s="47" t="n"/>
    </row>
    <row r="205">
      <c r="A205" s="39" t="n"/>
      <c r="B205" s="40" t="n"/>
      <c r="C205" s="43">
        <f>IFERROR(INDEX(الموظفون_الاسم,MATCH($B205,الموظفون_الرقم,0)),"")</f>
        <v/>
      </c>
      <c r="D205" s="110" t="n"/>
      <c r="E205" s="42" t="n"/>
      <c r="F205" s="40" t="n"/>
      <c r="G205" s="60">
        <f>IF(OR($E205="",$F205="",$F205=0),"",$E205/$F205)</f>
        <v/>
      </c>
      <c r="H205" s="60">
        <f>IF($A205="","",SUMIFS(الرواتب_قسط_السلفة,الرواتب_السلفة,$A205,الرواتب_حالة_الصرف,"مصروف"))</f>
        <v/>
      </c>
      <c r="I205" s="60">
        <f>IF($A205="","",MAX(0,$E205-$H205))</f>
        <v/>
      </c>
      <c r="J205" s="110" t="n"/>
      <c r="K205" s="40" t="n"/>
      <c r="L205" s="40" t="n"/>
    </row>
    <row r="206">
      <c r="A206" s="46" t="n"/>
      <c r="B206" s="47" t="n"/>
      <c r="C206" s="50">
        <f>IFERROR(INDEX(الموظفون_الاسم,MATCH($B206,الموظفون_الرقم,0)),"")</f>
        <v/>
      </c>
      <c r="D206" s="112" t="n"/>
      <c r="E206" s="49" t="n"/>
      <c r="F206" s="47" t="n"/>
      <c r="G206" s="63">
        <f>IF(OR($E206="",$F206="",$F206=0),"",$E206/$F206)</f>
        <v/>
      </c>
      <c r="H206" s="63">
        <f>IF($A206="","",SUMIFS(الرواتب_قسط_السلفة,الرواتب_السلفة,$A206,الرواتب_حالة_الصرف,"مصروف"))</f>
        <v/>
      </c>
      <c r="I206" s="63">
        <f>IF($A206="","",MAX(0,$E206-$H206))</f>
        <v/>
      </c>
      <c r="J206" s="112" t="n"/>
      <c r="K206" s="47" t="n"/>
      <c r="L206" s="47" t="n"/>
    </row>
    <row r="207">
      <c r="A207" s="39" t="n"/>
      <c r="B207" s="40" t="n"/>
      <c r="C207" s="43">
        <f>IFERROR(INDEX(الموظفون_الاسم,MATCH($B207,الموظفون_الرقم,0)),"")</f>
        <v/>
      </c>
      <c r="D207" s="110" t="n"/>
      <c r="E207" s="42" t="n"/>
      <c r="F207" s="40" t="n"/>
      <c r="G207" s="60">
        <f>IF(OR($E207="",$F207="",$F207=0),"",$E207/$F207)</f>
        <v/>
      </c>
      <c r="H207" s="60">
        <f>IF($A207="","",SUMIFS(الرواتب_قسط_السلفة,الرواتب_السلفة,$A207,الرواتب_حالة_الصرف,"مصروف"))</f>
        <v/>
      </c>
      <c r="I207" s="60">
        <f>IF($A207="","",MAX(0,$E207-$H207))</f>
        <v/>
      </c>
      <c r="J207" s="110" t="n"/>
      <c r="K207" s="40" t="n"/>
      <c r="L207" s="40" t="n"/>
    </row>
    <row r="208">
      <c r="A208" s="46" t="n"/>
      <c r="B208" s="47" t="n"/>
      <c r="C208" s="50">
        <f>IFERROR(INDEX(الموظفون_الاسم,MATCH($B208,الموظفون_الرقم,0)),"")</f>
        <v/>
      </c>
      <c r="D208" s="112" t="n"/>
      <c r="E208" s="49" t="n"/>
      <c r="F208" s="47" t="n"/>
      <c r="G208" s="63">
        <f>IF(OR($E208="",$F208="",$F208=0),"",$E208/$F208)</f>
        <v/>
      </c>
      <c r="H208" s="63">
        <f>IF($A208="","",SUMIFS(الرواتب_قسط_السلفة,الرواتب_السلفة,$A208,الرواتب_حالة_الصرف,"مصروف"))</f>
        <v/>
      </c>
      <c r="I208" s="63">
        <f>IF($A208="","",MAX(0,$E208-$H208))</f>
        <v/>
      </c>
      <c r="J208" s="112" t="n"/>
      <c r="K208" s="47" t="n"/>
      <c r="L208" s="47" t="n"/>
    </row>
    <row r="209">
      <c r="A209" s="39" t="n"/>
      <c r="B209" s="40" t="n"/>
      <c r="C209" s="43">
        <f>IFERROR(INDEX(الموظفون_الاسم,MATCH($B209,الموظفون_الرقم,0)),"")</f>
        <v/>
      </c>
      <c r="D209" s="110" t="n"/>
      <c r="E209" s="42" t="n"/>
      <c r="F209" s="40" t="n"/>
      <c r="G209" s="60">
        <f>IF(OR($E209="",$F209="",$F209=0),"",$E209/$F209)</f>
        <v/>
      </c>
      <c r="H209" s="60">
        <f>IF($A209="","",SUMIFS(الرواتب_قسط_السلفة,الرواتب_السلفة,$A209,الرواتب_حالة_الصرف,"مصروف"))</f>
        <v/>
      </c>
      <c r="I209" s="60">
        <f>IF($A209="","",MAX(0,$E209-$H209))</f>
        <v/>
      </c>
      <c r="J209" s="110" t="n"/>
      <c r="K209" s="40" t="n"/>
      <c r="L209" s="40" t="n"/>
    </row>
    <row r="210">
      <c r="A210" s="46" t="n"/>
      <c r="B210" s="47" t="n"/>
      <c r="C210" s="50">
        <f>IFERROR(INDEX(الموظفون_الاسم,MATCH($B210,الموظفون_الرقم,0)),"")</f>
        <v/>
      </c>
      <c r="D210" s="112" t="n"/>
      <c r="E210" s="49" t="n"/>
      <c r="F210" s="47" t="n"/>
      <c r="G210" s="63">
        <f>IF(OR($E210="",$F210="",$F210=0),"",$E210/$F210)</f>
        <v/>
      </c>
      <c r="H210" s="63">
        <f>IF($A210="","",SUMIFS(الرواتب_قسط_السلفة,الرواتب_السلفة,$A210,الرواتب_حالة_الصرف,"مصروف"))</f>
        <v/>
      </c>
      <c r="I210" s="63">
        <f>IF($A210="","",MAX(0,$E210-$H210))</f>
        <v/>
      </c>
      <c r="J210" s="112" t="n"/>
      <c r="K210" s="47" t="n"/>
      <c r="L210" s="47" t="n"/>
    </row>
    <row r="211">
      <c r="A211" s="39" t="n"/>
      <c r="B211" s="40" t="n"/>
      <c r="C211" s="43">
        <f>IFERROR(INDEX(الموظفون_الاسم,MATCH($B211,الموظفون_الرقم,0)),"")</f>
        <v/>
      </c>
      <c r="D211" s="110" t="n"/>
      <c r="E211" s="42" t="n"/>
      <c r="F211" s="40" t="n"/>
      <c r="G211" s="60">
        <f>IF(OR($E211="",$F211="",$F211=0),"",$E211/$F211)</f>
        <v/>
      </c>
      <c r="H211" s="60">
        <f>IF($A211="","",SUMIFS(الرواتب_قسط_السلفة,الرواتب_السلفة,$A211,الرواتب_حالة_الصرف,"مصروف"))</f>
        <v/>
      </c>
      <c r="I211" s="60">
        <f>IF($A211="","",MAX(0,$E211-$H211))</f>
        <v/>
      </c>
      <c r="J211" s="110" t="n"/>
      <c r="K211" s="40" t="n"/>
      <c r="L211" s="40" t="n"/>
    </row>
    <row r="212">
      <c r="A212" s="46" t="n"/>
      <c r="B212" s="47" t="n"/>
      <c r="C212" s="50">
        <f>IFERROR(INDEX(الموظفون_الاسم,MATCH($B212,الموظفون_الرقم,0)),"")</f>
        <v/>
      </c>
      <c r="D212" s="112" t="n"/>
      <c r="E212" s="49" t="n"/>
      <c r="F212" s="47" t="n"/>
      <c r="G212" s="63">
        <f>IF(OR($E212="",$F212="",$F212=0),"",$E212/$F212)</f>
        <v/>
      </c>
      <c r="H212" s="63">
        <f>IF($A212="","",SUMIFS(الرواتب_قسط_السلفة,الرواتب_السلفة,$A212,الرواتب_حالة_الصرف,"مصروف"))</f>
        <v/>
      </c>
      <c r="I212" s="63">
        <f>IF($A212="","",MAX(0,$E212-$H212))</f>
        <v/>
      </c>
      <c r="J212" s="112" t="n"/>
      <c r="K212" s="47" t="n"/>
      <c r="L212" s="47" t="n"/>
    </row>
    <row r="213">
      <c r="A213" s="39" t="n"/>
      <c r="B213" s="40" t="n"/>
      <c r="C213" s="43">
        <f>IFERROR(INDEX(الموظفون_الاسم,MATCH($B213,الموظفون_الرقم,0)),"")</f>
        <v/>
      </c>
      <c r="D213" s="110" t="n"/>
      <c r="E213" s="42" t="n"/>
      <c r="F213" s="40" t="n"/>
      <c r="G213" s="60">
        <f>IF(OR($E213="",$F213="",$F213=0),"",$E213/$F213)</f>
        <v/>
      </c>
      <c r="H213" s="60">
        <f>IF($A213="","",SUMIFS(الرواتب_قسط_السلفة,الرواتب_السلفة,$A213,الرواتب_حالة_الصرف,"مصروف"))</f>
        <v/>
      </c>
      <c r="I213" s="60">
        <f>IF($A213="","",MAX(0,$E213-$H213))</f>
        <v/>
      </c>
      <c r="J213" s="110" t="n"/>
      <c r="K213" s="40" t="n"/>
      <c r="L213" s="40" t="n"/>
    </row>
    <row r="214">
      <c r="A214" s="46" t="n"/>
      <c r="B214" s="47" t="n"/>
      <c r="C214" s="50">
        <f>IFERROR(INDEX(الموظفون_الاسم,MATCH($B214,الموظفون_الرقم,0)),"")</f>
        <v/>
      </c>
      <c r="D214" s="112" t="n"/>
      <c r="E214" s="49" t="n"/>
      <c r="F214" s="47" t="n"/>
      <c r="G214" s="63">
        <f>IF(OR($E214="",$F214="",$F214=0),"",$E214/$F214)</f>
        <v/>
      </c>
      <c r="H214" s="63">
        <f>IF($A214="","",SUMIFS(الرواتب_قسط_السلفة,الرواتب_السلفة,$A214,الرواتب_حالة_الصرف,"مصروف"))</f>
        <v/>
      </c>
      <c r="I214" s="63">
        <f>IF($A214="","",MAX(0,$E214-$H214))</f>
        <v/>
      </c>
      <c r="J214" s="112" t="n"/>
      <c r="K214" s="47" t="n"/>
      <c r="L214" s="47" t="n"/>
    </row>
    <row r="215">
      <c r="A215" s="39" t="n"/>
      <c r="B215" s="40" t="n"/>
      <c r="C215" s="43">
        <f>IFERROR(INDEX(الموظفون_الاسم,MATCH($B215,الموظفون_الرقم,0)),"")</f>
        <v/>
      </c>
      <c r="D215" s="110" t="n"/>
      <c r="E215" s="42" t="n"/>
      <c r="F215" s="40" t="n"/>
      <c r="G215" s="60">
        <f>IF(OR($E215="",$F215="",$F215=0),"",$E215/$F215)</f>
        <v/>
      </c>
      <c r="H215" s="60">
        <f>IF($A215="","",SUMIFS(الرواتب_قسط_السلفة,الرواتب_السلفة,$A215,الرواتب_حالة_الصرف,"مصروف"))</f>
        <v/>
      </c>
      <c r="I215" s="60">
        <f>IF($A215="","",MAX(0,$E215-$H215))</f>
        <v/>
      </c>
      <c r="J215" s="110" t="n"/>
      <c r="K215" s="40" t="n"/>
      <c r="L215" s="40" t="n"/>
    </row>
    <row r="216">
      <c r="A216" s="46" t="n"/>
      <c r="B216" s="47" t="n"/>
      <c r="C216" s="50">
        <f>IFERROR(INDEX(الموظفون_الاسم,MATCH($B216,الموظفون_الرقم,0)),"")</f>
        <v/>
      </c>
      <c r="D216" s="112" t="n"/>
      <c r="E216" s="49" t="n"/>
      <c r="F216" s="47" t="n"/>
      <c r="G216" s="63">
        <f>IF(OR($E216="",$F216="",$F216=0),"",$E216/$F216)</f>
        <v/>
      </c>
      <c r="H216" s="63">
        <f>IF($A216="","",SUMIFS(الرواتب_قسط_السلفة,الرواتب_السلفة,$A216,الرواتب_حالة_الصرف,"مصروف"))</f>
        <v/>
      </c>
      <c r="I216" s="63">
        <f>IF($A216="","",MAX(0,$E216-$H216))</f>
        <v/>
      </c>
      <c r="J216" s="112" t="n"/>
      <c r="K216" s="47" t="n"/>
      <c r="L216" s="47" t="n"/>
    </row>
    <row r="217">
      <c r="A217" s="39" t="n"/>
      <c r="B217" s="40" t="n"/>
      <c r="C217" s="43">
        <f>IFERROR(INDEX(الموظفون_الاسم,MATCH($B217,الموظفون_الرقم,0)),"")</f>
        <v/>
      </c>
      <c r="D217" s="110" t="n"/>
      <c r="E217" s="42" t="n"/>
      <c r="F217" s="40" t="n"/>
      <c r="G217" s="60">
        <f>IF(OR($E217="",$F217="",$F217=0),"",$E217/$F217)</f>
        <v/>
      </c>
      <c r="H217" s="60">
        <f>IF($A217="","",SUMIFS(الرواتب_قسط_السلفة,الرواتب_السلفة,$A217,الرواتب_حالة_الصرف,"مصروف"))</f>
        <v/>
      </c>
      <c r="I217" s="60">
        <f>IF($A217="","",MAX(0,$E217-$H217))</f>
        <v/>
      </c>
      <c r="J217" s="110" t="n"/>
      <c r="K217" s="40" t="n"/>
      <c r="L217" s="40" t="n"/>
    </row>
    <row r="218">
      <c r="A218" s="46" t="n"/>
      <c r="B218" s="47" t="n"/>
      <c r="C218" s="50">
        <f>IFERROR(INDEX(الموظفون_الاسم,MATCH($B218,الموظفون_الرقم,0)),"")</f>
        <v/>
      </c>
      <c r="D218" s="112" t="n"/>
      <c r="E218" s="49" t="n"/>
      <c r="F218" s="47" t="n"/>
      <c r="G218" s="63">
        <f>IF(OR($E218="",$F218="",$F218=0),"",$E218/$F218)</f>
        <v/>
      </c>
      <c r="H218" s="63">
        <f>IF($A218="","",SUMIFS(الرواتب_قسط_السلفة,الرواتب_السلفة,$A218,الرواتب_حالة_الصرف,"مصروف"))</f>
        <v/>
      </c>
      <c r="I218" s="63">
        <f>IF($A218="","",MAX(0,$E218-$H218))</f>
        <v/>
      </c>
      <c r="J218" s="112" t="n"/>
      <c r="K218" s="47" t="n"/>
      <c r="L218" s="47" t="n"/>
    </row>
    <row r="219">
      <c r="A219" s="39" t="n"/>
      <c r="B219" s="40" t="n"/>
      <c r="C219" s="43">
        <f>IFERROR(INDEX(الموظفون_الاسم,MATCH($B219,الموظفون_الرقم,0)),"")</f>
        <v/>
      </c>
      <c r="D219" s="110" t="n"/>
      <c r="E219" s="42" t="n"/>
      <c r="F219" s="40" t="n"/>
      <c r="G219" s="60">
        <f>IF(OR($E219="",$F219="",$F219=0),"",$E219/$F219)</f>
        <v/>
      </c>
      <c r="H219" s="60">
        <f>IF($A219="","",SUMIFS(الرواتب_قسط_السلفة,الرواتب_السلفة,$A219,الرواتب_حالة_الصرف,"مصروف"))</f>
        <v/>
      </c>
      <c r="I219" s="60">
        <f>IF($A219="","",MAX(0,$E219-$H219))</f>
        <v/>
      </c>
      <c r="J219" s="110" t="n"/>
      <c r="K219" s="40" t="n"/>
      <c r="L219" s="40" t="n"/>
    </row>
    <row r="220">
      <c r="A220" s="46" t="n"/>
      <c r="B220" s="47" t="n"/>
      <c r="C220" s="50">
        <f>IFERROR(INDEX(الموظفون_الاسم,MATCH($B220,الموظفون_الرقم,0)),"")</f>
        <v/>
      </c>
      <c r="D220" s="112" t="n"/>
      <c r="E220" s="49" t="n"/>
      <c r="F220" s="47" t="n"/>
      <c r="G220" s="63">
        <f>IF(OR($E220="",$F220="",$F220=0),"",$E220/$F220)</f>
        <v/>
      </c>
      <c r="H220" s="63">
        <f>IF($A220="","",SUMIFS(الرواتب_قسط_السلفة,الرواتب_السلفة,$A220,الرواتب_حالة_الصرف,"مصروف"))</f>
        <v/>
      </c>
      <c r="I220" s="63">
        <f>IF($A220="","",MAX(0,$E220-$H220))</f>
        <v/>
      </c>
      <c r="J220" s="112" t="n"/>
      <c r="K220" s="47" t="n"/>
      <c r="L220" s="47" t="n"/>
    </row>
    <row r="221">
      <c r="A221" s="39" t="n"/>
      <c r="B221" s="40" t="n"/>
      <c r="C221" s="43">
        <f>IFERROR(INDEX(الموظفون_الاسم,MATCH($B221,الموظفون_الرقم,0)),"")</f>
        <v/>
      </c>
      <c r="D221" s="110" t="n"/>
      <c r="E221" s="42" t="n"/>
      <c r="F221" s="40" t="n"/>
      <c r="G221" s="60">
        <f>IF(OR($E221="",$F221="",$F221=0),"",$E221/$F221)</f>
        <v/>
      </c>
      <c r="H221" s="60">
        <f>IF($A221="","",SUMIFS(الرواتب_قسط_السلفة,الرواتب_السلفة,$A221,الرواتب_حالة_الصرف,"مصروف"))</f>
        <v/>
      </c>
      <c r="I221" s="60">
        <f>IF($A221="","",MAX(0,$E221-$H221))</f>
        <v/>
      </c>
      <c r="J221" s="110" t="n"/>
      <c r="K221" s="40" t="n"/>
      <c r="L221" s="40" t="n"/>
    </row>
    <row r="222">
      <c r="A222" s="46" t="n"/>
      <c r="B222" s="47" t="n"/>
      <c r="C222" s="50">
        <f>IFERROR(INDEX(الموظفون_الاسم,MATCH($B222,الموظفون_الرقم,0)),"")</f>
        <v/>
      </c>
      <c r="D222" s="112" t="n"/>
      <c r="E222" s="49" t="n"/>
      <c r="F222" s="47" t="n"/>
      <c r="G222" s="63">
        <f>IF(OR($E222="",$F222="",$F222=0),"",$E222/$F222)</f>
        <v/>
      </c>
      <c r="H222" s="63">
        <f>IF($A222="","",SUMIFS(الرواتب_قسط_السلفة,الرواتب_السلفة,$A222,الرواتب_حالة_الصرف,"مصروف"))</f>
        <v/>
      </c>
      <c r="I222" s="63">
        <f>IF($A222="","",MAX(0,$E222-$H222))</f>
        <v/>
      </c>
      <c r="J222" s="112" t="n"/>
      <c r="K222" s="47" t="n"/>
      <c r="L222" s="47" t="n"/>
    </row>
    <row r="223">
      <c r="A223" s="39" t="n"/>
      <c r="B223" s="40" t="n"/>
      <c r="C223" s="43">
        <f>IFERROR(INDEX(الموظفون_الاسم,MATCH($B223,الموظفون_الرقم,0)),"")</f>
        <v/>
      </c>
      <c r="D223" s="110" t="n"/>
      <c r="E223" s="42" t="n"/>
      <c r="F223" s="40" t="n"/>
      <c r="G223" s="60">
        <f>IF(OR($E223="",$F223="",$F223=0),"",$E223/$F223)</f>
        <v/>
      </c>
      <c r="H223" s="60">
        <f>IF($A223="","",SUMIFS(الرواتب_قسط_السلفة,الرواتب_السلفة,$A223,الرواتب_حالة_الصرف,"مصروف"))</f>
        <v/>
      </c>
      <c r="I223" s="60">
        <f>IF($A223="","",MAX(0,$E223-$H223))</f>
        <v/>
      </c>
      <c r="J223" s="110" t="n"/>
      <c r="K223" s="40" t="n"/>
      <c r="L223" s="40" t="n"/>
    </row>
    <row r="224">
      <c r="A224" s="46" t="n"/>
      <c r="B224" s="47" t="n"/>
      <c r="C224" s="50">
        <f>IFERROR(INDEX(الموظفون_الاسم,MATCH($B224,الموظفون_الرقم,0)),"")</f>
        <v/>
      </c>
      <c r="D224" s="112" t="n"/>
      <c r="E224" s="49" t="n"/>
      <c r="F224" s="47" t="n"/>
      <c r="G224" s="63">
        <f>IF(OR($E224="",$F224="",$F224=0),"",$E224/$F224)</f>
        <v/>
      </c>
      <c r="H224" s="63">
        <f>IF($A224="","",SUMIFS(الرواتب_قسط_السلفة,الرواتب_السلفة,$A224,الرواتب_حالة_الصرف,"مصروف"))</f>
        <v/>
      </c>
      <c r="I224" s="63">
        <f>IF($A224="","",MAX(0,$E224-$H224))</f>
        <v/>
      </c>
      <c r="J224" s="112" t="n"/>
      <c r="K224" s="47" t="n"/>
      <c r="L224" s="47" t="n"/>
    </row>
    <row r="225">
      <c r="A225" s="39" t="n"/>
      <c r="B225" s="40" t="n"/>
      <c r="C225" s="43">
        <f>IFERROR(INDEX(الموظفون_الاسم,MATCH($B225,الموظفون_الرقم,0)),"")</f>
        <v/>
      </c>
      <c r="D225" s="110" t="n"/>
      <c r="E225" s="42" t="n"/>
      <c r="F225" s="40" t="n"/>
      <c r="G225" s="60">
        <f>IF(OR($E225="",$F225="",$F225=0),"",$E225/$F225)</f>
        <v/>
      </c>
      <c r="H225" s="60">
        <f>IF($A225="","",SUMIFS(الرواتب_قسط_السلفة,الرواتب_السلفة,$A225,الرواتب_حالة_الصرف,"مصروف"))</f>
        <v/>
      </c>
      <c r="I225" s="60">
        <f>IF($A225="","",MAX(0,$E225-$H225))</f>
        <v/>
      </c>
      <c r="J225" s="110" t="n"/>
      <c r="K225" s="40" t="n"/>
      <c r="L225" s="40" t="n"/>
    </row>
    <row r="226">
      <c r="A226" s="46" t="n"/>
      <c r="B226" s="47" t="n"/>
      <c r="C226" s="50">
        <f>IFERROR(INDEX(الموظفون_الاسم,MATCH($B226,الموظفون_الرقم,0)),"")</f>
        <v/>
      </c>
      <c r="D226" s="112" t="n"/>
      <c r="E226" s="49" t="n"/>
      <c r="F226" s="47" t="n"/>
      <c r="G226" s="63">
        <f>IF(OR($E226="",$F226="",$F226=0),"",$E226/$F226)</f>
        <v/>
      </c>
      <c r="H226" s="63">
        <f>IF($A226="","",SUMIFS(الرواتب_قسط_السلفة,الرواتب_السلفة,$A226,الرواتب_حالة_الصرف,"مصروف"))</f>
        <v/>
      </c>
      <c r="I226" s="63">
        <f>IF($A226="","",MAX(0,$E226-$H226))</f>
        <v/>
      </c>
      <c r="J226" s="112" t="n"/>
      <c r="K226" s="47" t="n"/>
      <c r="L226" s="47" t="n"/>
    </row>
    <row r="227">
      <c r="A227" s="39" t="n"/>
      <c r="B227" s="40" t="n"/>
      <c r="C227" s="43">
        <f>IFERROR(INDEX(الموظفون_الاسم,MATCH($B227,الموظفون_الرقم,0)),"")</f>
        <v/>
      </c>
      <c r="D227" s="110" t="n"/>
      <c r="E227" s="42" t="n"/>
      <c r="F227" s="40" t="n"/>
      <c r="G227" s="60">
        <f>IF(OR($E227="",$F227="",$F227=0),"",$E227/$F227)</f>
        <v/>
      </c>
      <c r="H227" s="60">
        <f>IF($A227="","",SUMIFS(الرواتب_قسط_السلفة,الرواتب_السلفة,$A227,الرواتب_حالة_الصرف,"مصروف"))</f>
        <v/>
      </c>
      <c r="I227" s="60">
        <f>IF($A227="","",MAX(0,$E227-$H227))</f>
        <v/>
      </c>
      <c r="J227" s="110" t="n"/>
      <c r="K227" s="40" t="n"/>
      <c r="L227" s="40" t="n"/>
    </row>
    <row r="228">
      <c r="A228" s="46" t="n"/>
      <c r="B228" s="47" t="n"/>
      <c r="C228" s="50">
        <f>IFERROR(INDEX(الموظفون_الاسم,MATCH($B228,الموظفون_الرقم,0)),"")</f>
        <v/>
      </c>
      <c r="D228" s="112" t="n"/>
      <c r="E228" s="49" t="n"/>
      <c r="F228" s="47" t="n"/>
      <c r="G228" s="63">
        <f>IF(OR($E228="",$F228="",$F228=0),"",$E228/$F228)</f>
        <v/>
      </c>
      <c r="H228" s="63">
        <f>IF($A228="","",SUMIFS(الرواتب_قسط_السلفة,الرواتب_السلفة,$A228,الرواتب_حالة_الصرف,"مصروف"))</f>
        <v/>
      </c>
      <c r="I228" s="63">
        <f>IF($A228="","",MAX(0,$E228-$H228))</f>
        <v/>
      </c>
      <c r="J228" s="112" t="n"/>
      <c r="K228" s="47" t="n"/>
      <c r="L228" s="47" t="n"/>
    </row>
    <row r="229">
      <c r="A229" s="39" t="n"/>
      <c r="B229" s="40" t="n"/>
      <c r="C229" s="43">
        <f>IFERROR(INDEX(الموظفون_الاسم,MATCH($B229,الموظفون_الرقم,0)),"")</f>
        <v/>
      </c>
      <c r="D229" s="110" t="n"/>
      <c r="E229" s="42" t="n"/>
      <c r="F229" s="40" t="n"/>
      <c r="G229" s="60">
        <f>IF(OR($E229="",$F229="",$F229=0),"",$E229/$F229)</f>
        <v/>
      </c>
      <c r="H229" s="60">
        <f>IF($A229="","",SUMIFS(الرواتب_قسط_السلفة,الرواتب_السلفة,$A229,الرواتب_حالة_الصرف,"مصروف"))</f>
        <v/>
      </c>
      <c r="I229" s="60">
        <f>IF($A229="","",MAX(0,$E229-$H229))</f>
        <v/>
      </c>
      <c r="J229" s="110" t="n"/>
      <c r="K229" s="40" t="n"/>
      <c r="L229" s="40" t="n"/>
    </row>
    <row r="230">
      <c r="A230" s="46" t="n"/>
      <c r="B230" s="47" t="n"/>
      <c r="C230" s="50">
        <f>IFERROR(INDEX(الموظفون_الاسم,MATCH($B230,الموظفون_الرقم,0)),"")</f>
        <v/>
      </c>
      <c r="D230" s="112" t="n"/>
      <c r="E230" s="49" t="n"/>
      <c r="F230" s="47" t="n"/>
      <c r="G230" s="63">
        <f>IF(OR($E230="",$F230="",$F230=0),"",$E230/$F230)</f>
        <v/>
      </c>
      <c r="H230" s="63">
        <f>IF($A230="","",SUMIFS(الرواتب_قسط_السلفة,الرواتب_السلفة,$A230,الرواتب_حالة_الصرف,"مصروف"))</f>
        <v/>
      </c>
      <c r="I230" s="63">
        <f>IF($A230="","",MAX(0,$E230-$H230))</f>
        <v/>
      </c>
      <c r="J230" s="112" t="n"/>
      <c r="K230" s="47" t="n"/>
      <c r="L230" s="47" t="n"/>
    </row>
    <row r="231">
      <c r="A231" s="39" t="n"/>
      <c r="B231" s="40" t="n"/>
      <c r="C231" s="43">
        <f>IFERROR(INDEX(الموظفون_الاسم,MATCH($B231,الموظفون_الرقم,0)),"")</f>
        <v/>
      </c>
      <c r="D231" s="110" t="n"/>
      <c r="E231" s="42" t="n"/>
      <c r="F231" s="40" t="n"/>
      <c r="G231" s="60">
        <f>IF(OR($E231="",$F231="",$F231=0),"",$E231/$F231)</f>
        <v/>
      </c>
      <c r="H231" s="60">
        <f>IF($A231="","",SUMIFS(الرواتب_قسط_السلفة,الرواتب_السلفة,$A231,الرواتب_حالة_الصرف,"مصروف"))</f>
        <v/>
      </c>
      <c r="I231" s="60">
        <f>IF($A231="","",MAX(0,$E231-$H231))</f>
        <v/>
      </c>
      <c r="J231" s="110" t="n"/>
      <c r="K231" s="40" t="n"/>
      <c r="L231" s="40" t="n"/>
    </row>
    <row r="232">
      <c r="A232" s="46" t="n"/>
      <c r="B232" s="47" t="n"/>
      <c r="C232" s="50">
        <f>IFERROR(INDEX(الموظفون_الاسم,MATCH($B232,الموظفون_الرقم,0)),"")</f>
        <v/>
      </c>
      <c r="D232" s="112" t="n"/>
      <c r="E232" s="49" t="n"/>
      <c r="F232" s="47" t="n"/>
      <c r="G232" s="63">
        <f>IF(OR($E232="",$F232="",$F232=0),"",$E232/$F232)</f>
        <v/>
      </c>
      <c r="H232" s="63">
        <f>IF($A232="","",SUMIFS(الرواتب_قسط_السلفة,الرواتب_السلفة,$A232,الرواتب_حالة_الصرف,"مصروف"))</f>
        <v/>
      </c>
      <c r="I232" s="63">
        <f>IF($A232="","",MAX(0,$E232-$H232))</f>
        <v/>
      </c>
      <c r="J232" s="112" t="n"/>
      <c r="K232" s="47" t="n"/>
      <c r="L232" s="47" t="n"/>
    </row>
    <row r="233">
      <c r="A233" s="39" t="n"/>
      <c r="B233" s="40" t="n"/>
      <c r="C233" s="43">
        <f>IFERROR(INDEX(الموظفون_الاسم,MATCH($B233,الموظفون_الرقم,0)),"")</f>
        <v/>
      </c>
      <c r="D233" s="110" t="n"/>
      <c r="E233" s="42" t="n"/>
      <c r="F233" s="40" t="n"/>
      <c r="G233" s="60">
        <f>IF(OR($E233="",$F233="",$F233=0),"",$E233/$F233)</f>
        <v/>
      </c>
      <c r="H233" s="60">
        <f>IF($A233="","",SUMIFS(الرواتب_قسط_السلفة,الرواتب_السلفة,$A233,الرواتب_حالة_الصرف,"مصروف"))</f>
        <v/>
      </c>
      <c r="I233" s="60">
        <f>IF($A233="","",MAX(0,$E233-$H233))</f>
        <v/>
      </c>
      <c r="J233" s="110" t="n"/>
      <c r="K233" s="40" t="n"/>
      <c r="L233" s="40" t="n"/>
    </row>
    <row r="234">
      <c r="A234" s="46" t="n"/>
      <c r="B234" s="47" t="n"/>
      <c r="C234" s="50">
        <f>IFERROR(INDEX(الموظفون_الاسم,MATCH($B234,الموظفون_الرقم,0)),"")</f>
        <v/>
      </c>
      <c r="D234" s="112" t="n"/>
      <c r="E234" s="49" t="n"/>
      <c r="F234" s="47" t="n"/>
      <c r="G234" s="63">
        <f>IF(OR($E234="",$F234="",$F234=0),"",$E234/$F234)</f>
        <v/>
      </c>
      <c r="H234" s="63">
        <f>IF($A234="","",SUMIFS(الرواتب_قسط_السلفة,الرواتب_السلفة,$A234,الرواتب_حالة_الصرف,"مصروف"))</f>
        <v/>
      </c>
      <c r="I234" s="63">
        <f>IF($A234="","",MAX(0,$E234-$H234))</f>
        <v/>
      </c>
      <c r="J234" s="112" t="n"/>
      <c r="K234" s="47" t="n"/>
      <c r="L234" s="47" t="n"/>
    </row>
    <row r="235">
      <c r="A235" s="39" t="n"/>
      <c r="B235" s="40" t="n"/>
      <c r="C235" s="43">
        <f>IFERROR(INDEX(الموظفون_الاسم,MATCH($B235,الموظفون_الرقم,0)),"")</f>
        <v/>
      </c>
      <c r="D235" s="110" t="n"/>
      <c r="E235" s="42" t="n"/>
      <c r="F235" s="40" t="n"/>
      <c r="G235" s="60">
        <f>IF(OR($E235="",$F235="",$F235=0),"",$E235/$F235)</f>
        <v/>
      </c>
      <c r="H235" s="60">
        <f>IF($A235="","",SUMIFS(الرواتب_قسط_السلفة,الرواتب_السلفة,$A235,الرواتب_حالة_الصرف,"مصروف"))</f>
        <v/>
      </c>
      <c r="I235" s="60">
        <f>IF($A235="","",MAX(0,$E235-$H235))</f>
        <v/>
      </c>
      <c r="J235" s="110" t="n"/>
      <c r="K235" s="40" t="n"/>
      <c r="L235" s="40" t="n"/>
    </row>
    <row r="236">
      <c r="A236" s="46" t="n"/>
      <c r="B236" s="47" t="n"/>
      <c r="C236" s="50">
        <f>IFERROR(INDEX(الموظفون_الاسم,MATCH($B236,الموظفون_الرقم,0)),"")</f>
        <v/>
      </c>
      <c r="D236" s="112" t="n"/>
      <c r="E236" s="49" t="n"/>
      <c r="F236" s="47" t="n"/>
      <c r="G236" s="63">
        <f>IF(OR($E236="",$F236="",$F236=0),"",$E236/$F236)</f>
        <v/>
      </c>
      <c r="H236" s="63">
        <f>IF($A236="","",SUMIFS(الرواتب_قسط_السلفة,الرواتب_السلفة,$A236,الرواتب_حالة_الصرف,"مصروف"))</f>
        <v/>
      </c>
      <c r="I236" s="63">
        <f>IF($A236="","",MAX(0,$E236-$H236))</f>
        <v/>
      </c>
      <c r="J236" s="112" t="n"/>
      <c r="K236" s="47" t="n"/>
      <c r="L236" s="47" t="n"/>
    </row>
    <row r="237">
      <c r="A237" s="39" t="n"/>
      <c r="B237" s="40" t="n"/>
      <c r="C237" s="43">
        <f>IFERROR(INDEX(الموظفون_الاسم,MATCH($B237,الموظفون_الرقم,0)),"")</f>
        <v/>
      </c>
      <c r="D237" s="110" t="n"/>
      <c r="E237" s="42" t="n"/>
      <c r="F237" s="40" t="n"/>
      <c r="G237" s="60">
        <f>IF(OR($E237="",$F237="",$F237=0),"",$E237/$F237)</f>
        <v/>
      </c>
      <c r="H237" s="60">
        <f>IF($A237="","",SUMIFS(الرواتب_قسط_السلفة,الرواتب_السلفة,$A237,الرواتب_حالة_الصرف,"مصروف"))</f>
        <v/>
      </c>
      <c r="I237" s="60">
        <f>IF($A237="","",MAX(0,$E237-$H237))</f>
        <v/>
      </c>
      <c r="J237" s="110" t="n"/>
      <c r="K237" s="40" t="n"/>
      <c r="L237" s="40" t="n"/>
    </row>
    <row r="238">
      <c r="A238" s="46" t="n"/>
      <c r="B238" s="47" t="n"/>
      <c r="C238" s="50">
        <f>IFERROR(INDEX(الموظفون_الاسم,MATCH($B238,الموظفون_الرقم,0)),"")</f>
        <v/>
      </c>
      <c r="D238" s="112" t="n"/>
      <c r="E238" s="49" t="n"/>
      <c r="F238" s="47" t="n"/>
      <c r="G238" s="63">
        <f>IF(OR($E238="",$F238="",$F238=0),"",$E238/$F238)</f>
        <v/>
      </c>
      <c r="H238" s="63">
        <f>IF($A238="","",SUMIFS(الرواتب_قسط_السلفة,الرواتب_السلفة,$A238,الرواتب_حالة_الصرف,"مصروف"))</f>
        <v/>
      </c>
      <c r="I238" s="63">
        <f>IF($A238="","",MAX(0,$E238-$H238))</f>
        <v/>
      </c>
      <c r="J238" s="112" t="n"/>
      <c r="K238" s="47" t="n"/>
      <c r="L238" s="47" t="n"/>
    </row>
    <row r="239">
      <c r="A239" s="39" t="n"/>
      <c r="B239" s="40" t="n"/>
      <c r="C239" s="43">
        <f>IFERROR(INDEX(الموظفون_الاسم,MATCH($B239,الموظفون_الرقم,0)),"")</f>
        <v/>
      </c>
      <c r="D239" s="110" t="n"/>
      <c r="E239" s="42" t="n"/>
      <c r="F239" s="40" t="n"/>
      <c r="G239" s="60">
        <f>IF(OR($E239="",$F239="",$F239=0),"",$E239/$F239)</f>
        <v/>
      </c>
      <c r="H239" s="60">
        <f>IF($A239="","",SUMIFS(الرواتب_قسط_السلفة,الرواتب_السلفة,$A239,الرواتب_حالة_الصرف,"مصروف"))</f>
        <v/>
      </c>
      <c r="I239" s="60">
        <f>IF($A239="","",MAX(0,$E239-$H239))</f>
        <v/>
      </c>
      <c r="J239" s="110" t="n"/>
      <c r="K239" s="40" t="n"/>
      <c r="L239" s="40" t="n"/>
    </row>
    <row r="240">
      <c r="A240" s="46" t="n"/>
      <c r="B240" s="47" t="n"/>
      <c r="C240" s="50">
        <f>IFERROR(INDEX(الموظفون_الاسم,MATCH($B240,الموظفون_الرقم,0)),"")</f>
        <v/>
      </c>
      <c r="D240" s="112" t="n"/>
      <c r="E240" s="49" t="n"/>
      <c r="F240" s="47" t="n"/>
      <c r="G240" s="63">
        <f>IF(OR($E240="",$F240="",$F240=0),"",$E240/$F240)</f>
        <v/>
      </c>
      <c r="H240" s="63">
        <f>IF($A240="","",SUMIFS(الرواتب_قسط_السلفة,الرواتب_السلفة,$A240,الرواتب_حالة_الصرف,"مصروف"))</f>
        <v/>
      </c>
      <c r="I240" s="63">
        <f>IF($A240="","",MAX(0,$E240-$H240))</f>
        <v/>
      </c>
      <c r="J240" s="112" t="n"/>
      <c r="K240" s="47" t="n"/>
      <c r="L240" s="47" t="n"/>
    </row>
    <row r="241">
      <c r="A241" s="39" t="n"/>
      <c r="B241" s="40" t="n"/>
      <c r="C241" s="43">
        <f>IFERROR(INDEX(الموظفون_الاسم,MATCH($B241,الموظفون_الرقم,0)),"")</f>
        <v/>
      </c>
      <c r="D241" s="110" t="n"/>
      <c r="E241" s="42" t="n"/>
      <c r="F241" s="40" t="n"/>
      <c r="G241" s="60">
        <f>IF(OR($E241="",$F241="",$F241=0),"",$E241/$F241)</f>
        <v/>
      </c>
      <c r="H241" s="60">
        <f>IF($A241="","",SUMIFS(الرواتب_قسط_السلفة,الرواتب_السلفة,$A241,الرواتب_حالة_الصرف,"مصروف"))</f>
        <v/>
      </c>
      <c r="I241" s="60">
        <f>IF($A241="","",MAX(0,$E241-$H241))</f>
        <v/>
      </c>
      <c r="J241" s="110" t="n"/>
      <c r="K241" s="40" t="n"/>
      <c r="L241" s="40" t="n"/>
    </row>
    <row r="242">
      <c r="A242" s="46" t="n"/>
      <c r="B242" s="47" t="n"/>
      <c r="C242" s="50">
        <f>IFERROR(INDEX(الموظفون_الاسم,MATCH($B242,الموظفون_الرقم,0)),"")</f>
        <v/>
      </c>
      <c r="D242" s="112" t="n"/>
      <c r="E242" s="49" t="n"/>
      <c r="F242" s="47" t="n"/>
      <c r="G242" s="63">
        <f>IF(OR($E242="",$F242="",$F242=0),"",$E242/$F242)</f>
        <v/>
      </c>
      <c r="H242" s="63">
        <f>IF($A242="","",SUMIFS(الرواتب_قسط_السلفة,الرواتب_السلفة,$A242,الرواتب_حالة_الصرف,"مصروف"))</f>
        <v/>
      </c>
      <c r="I242" s="63">
        <f>IF($A242="","",MAX(0,$E242-$H242))</f>
        <v/>
      </c>
      <c r="J242" s="112" t="n"/>
      <c r="K242" s="47" t="n"/>
      <c r="L242" s="47" t="n"/>
    </row>
    <row r="243">
      <c r="A243" s="39" t="n"/>
      <c r="B243" s="40" t="n"/>
      <c r="C243" s="43">
        <f>IFERROR(INDEX(الموظفون_الاسم,MATCH($B243,الموظفون_الرقم,0)),"")</f>
        <v/>
      </c>
      <c r="D243" s="110" t="n"/>
      <c r="E243" s="42" t="n"/>
      <c r="F243" s="40" t="n"/>
      <c r="G243" s="60">
        <f>IF(OR($E243="",$F243="",$F243=0),"",$E243/$F243)</f>
        <v/>
      </c>
      <c r="H243" s="60">
        <f>IF($A243="","",SUMIFS(الرواتب_قسط_السلفة,الرواتب_السلفة,$A243,الرواتب_حالة_الصرف,"مصروف"))</f>
        <v/>
      </c>
      <c r="I243" s="60">
        <f>IF($A243="","",MAX(0,$E243-$H243))</f>
        <v/>
      </c>
      <c r="J243" s="110" t="n"/>
      <c r="K243" s="40" t="n"/>
      <c r="L243" s="40" t="n"/>
    </row>
    <row r="244">
      <c r="A244" s="46" t="n"/>
      <c r="B244" s="47" t="n"/>
      <c r="C244" s="50">
        <f>IFERROR(INDEX(الموظفون_الاسم,MATCH($B244,الموظفون_الرقم,0)),"")</f>
        <v/>
      </c>
      <c r="D244" s="112" t="n"/>
      <c r="E244" s="49" t="n"/>
      <c r="F244" s="47" t="n"/>
      <c r="G244" s="63">
        <f>IF(OR($E244="",$F244="",$F244=0),"",$E244/$F244)</f>
        <v/>
      </c>
      <c r="H244" s="63">
        <f>IF($A244="","",SUMIFS(الرواتب_قسط_السلفة,الرواتب_السلفة,$A244,الرواتب_حالة_الصرف,"مصروف"))</f>
        <v/>
      </c>
      <c r="I244" s="63">
        <f>IF($A244="","",MAX(0,$E244-$H244))</f>
        <v/>
      </c>
      <c r="J244" s="112" t="n"/>
      <c r="K244" s="47" t="n"/>
      <c r="L244" s="47" t="n"/>
    </row>
    <row r="245">
      <c r="A245" s="39" t="n"/>
      <c r="B245" s="40" t="n"/>
      <c r="C245" s="43">
        <f>IFERROR(INDEX(الموظفون_الاسم,MATCH($B245,الموظفون_الرقم,0)),"")</f>
        <v/>
      </c>
      <c r="D245" s="110" t="n"/>
      <c r="E245" s="42" t="n"/>
      <c r="F245" s="40" t="n"/>
      <c r="G245" s="60">
        <f>IF(OR($E245="",$F245="",$F245=0),"",$E245/$F245)</f>
        <v/>
      </c>
      <c r="H245" s="60">
        <f>IF($A245="","",SUMIFS(الرواتب_قسط_السلفة,الرواتب_السلفة,$A245,الرواتب_حالة_الصرف,"مصروف"))</f>
        <v/>
      </c>
      <c r="I245" s="60">
        <f>IF($A245="","",MAX(0,$E245-$H245))</f>
        <v/>
      </c>
      <c r="J245" s="110" t="n"/>
      <c r="K245" s="40" t="n"/>
      <c r="L245" s="40" t="n"/>
    </row>
    <row r="246">
      <c r="A246" s="46" t="n"/>
      <c r="B246" s="47" t="n"/>
      <c r="C246" s="50">
        <f>IFERROR(INDEX(الموظفون_الاسم,MATCH($B246,الموظفون_الرقم,0)),"")</f>
        <v/>
      </c>
      <c r="D246" s="112" t="n"/>
      <c r="E246" s="49" t="n"/>
      <c r="F246" s="47" t="n"/>
      <c r="G246" s="63">
        <f>IF(OR($E246="",$F246="",$F246=0),"",$E246/$F246)</f>
        <v/>
      </c>
      <c r="H246" s="63">
        <f>IF($A246="","",SUMIFS(الرواتب_قسط_السلفة,الرواتب_السلفة,$A246,الرواتب_حالة_الصرف,"مصروف"))</f>
        <v/>
      </c>
      <c r="I246" s="63">
        <f>IF($A246="","",MAX(0,$E246-$H246))</f>
        <v/>
      </c>
      <c r="J246" s="112" t="n"/>
      <c r="K246" s="47" t="n"/>
      <c r="L246" s="47" t="n"/>
    </row>
    <row r="247">
      <c r="A247" s="39" t="n"/>
      <c r="B247" s="40" t="n"/>
      <c r="C247" s="43">
        <f>IFERROR(INDEX(الموظفون_الاسم,MATCH($B247,الموظفون_الرقم,0)),"")</f>
        <v/>
      </c>
      <c r="D247" s="110" t="n"/>
      <c r="E247" s="42" t="n"/>
      <c r="F247" s="40" t="n"/>
      <c r="G247" s="60">
        <f>IF(OR($E247="",$F247="",$F247=0),"",$E247/$F247)</f>
        <v/>
      </c>
      <c r="H247" s="60">
        <f>IF($A247="","",SUMIFS(الرواتب_قسط_السلفة,الرواتب_السلفة,$A247,الرواتب_حالة_الصرف,"مصروف"))</f>
        <v/>
      </c>
      <c r="I247" s="60">
        <f>IF($A247="","",MAX(0,$E247-$H247))</f>
        <v/>
      </c>
      <c r="J247" s="110" t="n"/>
      <c r="K247" s="40" t="n"/>
      <c r="L247" s="40" t="n"/>
    </row>
    <row r="248">
      <c r="A248" s="46" t="n"/>
      <c r="B248" s="47" t="n"/>
      <c r="C248" s="50">
        <f>IFERROR(INDEX(الموظفون_الاسم,MATCH($B248,الموظفون_الرقم,0)),"")</f>
        <v/>
      </c>
      <c r="D248" s="112" t="n"/>
      <c r="E248" s="49" t="n"/>
      <c r="F248" s="47" t="n"/>
      <c r="G248" s="63">
        <f>IF(OR($E248="",$F248="",$F248=0),"",$E248/$F248)</f>
        <v/>
      </c>
      <c r="H248" s="63">
        <f>IF($A248="","",SUMIFS(الرواتب_قسط_السلفة,الرواتب_السلفة,$A248,الرواتب_حالة_الصرف,"مصروف"))</f>
        <v/>
      </c>
      <c r="I248" s="63">
        <f>IF($A248="","",MAX(0,$E248-$H248))</f>
        <v/>
      </c>
      <c r="J248" s="112" t="n"/>
      <c r="K248" s="47" t="n"/>
      <c r="L248" s="47" t="n"/>
    </row>
    <row r="249">
      <c r="A249" s="39" t="n"/>
      <c r="B249" s="40" t="n"/>
      <c r="C249" s="43">
        <f>IFERROR(INDEX(الموظفون_الاسم,MATCH($B249,الموظفون_الرقم,0)),"")</f>
        <v/>
      </c>
      <c r="D249" s="110" t="n"/>
      <c r="E249" s="42" t="n"/>
      <c r="F249" s="40" t="n"/>
      <c r="G249" s="60">
        <f>IF(OR($E249="",$F249="",$F249=0),"",$E249/$F249)</f>
        <v/>
      </c>
      <c r="H249" s="60">
        <f>IF($A249="","",SUMIFS(الرواتب_قسط_السلفة,الرواتب_السلفة,$A249,الرواتب_حالة_الصرف,"مصروف"))</f>
        <v/>
      </c>
      <c r="I249" s="60">
        <f>IF($A249="","",MAX(0,$E249-$H249))</f>
        <v/>
      </c>
      <c r="J249" s="110" t="n"/>
      <c r="K249" s="40" t="n"/>
      <c r="L249" s="40" t="n"/>
    </row>
    <row r="250">
      <c r="A250" s="46" t="n"/>
      <c r="B250" s="47" t="n"/>
      <c r="C250" s="50">
        <f>IFERROR(INDEX(الموظفون_الاسم,MATCH($B250,الموظفون_الرقم,0)),"")</f>
        <v/>
      </c>
      <c r="D250" s="112" t="n"/>
      <c r="E250" s="49" t="n"/>
      <c r="F250" s="47" t="n"/>
      <c r="G250" s="63">
        <f>IF(OR($E250="",$F250="",$F250=0),"",$E250/$F250)</f>
        <v/>
      </c>
      <c r="H250" s="63">
        <f>IF($A250="","",SUMIFS(الرواتب_قسط_السلفة,الرواتب_السلفة,$A250,الرواتب_حالة_الصرف,"مصروف"))</f>
        <v/>
      </c>
      <c r="I250" s="63">
        <f>IF($A250="","",MAX(0,$E250-$H250))</f>
        <v/>
      </c>
      <c r="J250" s="112" t="n"/>
      <c r="K250" s="47" t="n"/>
      <c r="L250" s="47" t="n"/>
    </row>
    <row r="251">
      <c r="A251" s="39" t="n"/>
      <c r="B251" s="40" t="n"/>
      <c r="C251" s="43">
        <f>IFERROR(INDEX(الموظفون_الاسم,MATCH($B251,الموظفون_الرقم,0)),"")</f>
        <v/>
      </c>
      <c r="D251" s="110" t="n"/>
      <c r="E251" s="42" t="n"/>
      <c r="F251" s="40" t="n"/>
      <c r="G251" s="60">
        <f>IF(OR($E251="",$F251="",$F251=0),"",$E251/$F251)</f>
        <v/>
      </c>
      <c r="H251" s="60">
        <f>IF($A251="","",SUMIFS(الرواتب_قسط_السلفة,الرواتب_السلفة,$A251,الرواتب_حالة_الصرف,"مصروف"))</f>
        <v/>
      </c>
      <c r="I251" s="60">
        <f>IF($A251="","",MAX(0,$E251-$H251))</f>
        <v/>
      </c>
      <c r="J251" s="110" t="n"/>
      <c r="K251" s="40" t="n"/>
      <c r="L251" s="40" t="n"/>
    </row>
    <row r="252">
      <c r="A252" s="46" t="n"/>
      <c r="B252" s="47" t="n"/>
      <c r="C252" s="50">
        <f>IFERROR(INDEX(الموظفون_الاسم,MATCH($B252,الموظفون_الرقم,0)),"")</f>
        <v/>
      </c>
      <c r="D252" s="112" t="n"/>
      <c r="E252" s="49" t="n"/>
      <c r="F252" s="47" t="n"/>
      <c r="G252" s="63">
        <f>IF(OR($E252="",$F252="",$F252=0),"",$E252/$F252)</f>
        <v/>
      </c>
      <c r="H252" s="63">
        <f>IF($A252="","",SUMIFS(الرواتب_قسط_السلفة,الرواتب_السلفة,$A252,الرواتب_حالة_الصرف,"مصروف"))</f>
        <v/>
      </c>
      <c r="I252" s="63">
        <f>IF($A252="","",MAX(0,$E252-$H252))</f>
        <v/>
      </c>
      <c r="J252" s="112" t="n"/>
      <c r="K252" s="47" t="n"/>
      <c r="L252" s="47" t="n"/>
    </row>
    <row r="253">
      <c r="A253" s="39" t="n"/>
      <c r="B253" s="40" t="n"/>
      <c r="C253" s="43">
        <f>IFERROR(INDEX(الموظفون_الاسم,MATCH($B253,الموظفون_الرقم,0)),"")</f>
        <v/>
      </c>
      <c r="D253" s="110" t="n"/>
      <c r="E253" s="42" t="n"/>
      <c r="F253" s="40" t="n"/>
      <c r="G253" s="60">
        <f>IF(OR($E253="",$F253="",$F253=0),"",$E253/$F253)</f>
        <v/>
      </c>
      <c r="H253" s="60">
        <f>IF($A253="","",SUMIFS(الرواتب_قسط_السلفة,الرواتب_السلفة,$A253,الرواتب_حالة_الصرف,"مصروف"))</f>
        <v/>
      </c>
      <c r="I253" s="60">
        <f>IF($A253="","",MAX(0,$E253-$H253))</f>
        <v/>
      </c>
      <c r="J253" s="110" t="n"/>
      <c r="K253" s="40" t="n"/>
      <c r="L253" s="40" t="n"/>
    </row>
    <row r="254">
      <c r="A254" s="46" t="n"/>
      <c r="B254" s="47" t="n"/>
      <c r="C254" s="50">
        <f>IFERROR(INDEX(الموظفون_الاسم,MATCH($B254,الموظفون_الرقم,0)),"")</f>
        <v/>
      </c>
      <c r="D254" s="112" t="n"/>
      <c r="E254" s="49" t="n"/>
      <c r="F254" s="47" t="n"/>
      <c r="G254" s="63">
        <f>IF(OR($E254="",$F254="",$F254=0),"",$E254/$F254)</f>
        <v/>
      </c>
      <c r="H254" s="63">
        <f>IF($A254="","",SUMIFS(الرواتب_قسط_السلفة,الرواتب_السلفة,$A254,الرواتب_حالة_الصرف,"مصروف"))</f>
        <v/>
      </c>
      <c r="I254" s="63">
        <f>IF($A254="","",MAX(0,$E254-$H254))</f>
        <v/>
      </c>
      <c r="J254" s="112" t="n"/>
      <c r="K254" s="47" t="n"/>
      <c r="L254" s="47" t="n"/>
    </row>
    <row r="255">
      <c r="A255" s="39" t="n"/>
      <c r="B255" s="40" t="n"/>
      <c r="C255" s="43">
        <f>IFERROR(INDEX(الموظفون_الاسم,MATCH($B255,الموظفون_الرقم,0)),"")</f>
        <v/>
      </c>
      <c r="D255" s="110" t="n"/>
      <c r="E255" s="42" t="n"/>
      <c r="F255" s="40" t="n"/>
      <c r="G255" s="60">
        <f>IF(OR($E255="",$F255="",$F255=0),"",$E255/$F255)</f>
        <v/>
      </c>
      <c r="H255" s="60">
        <f>IF($A255="","",SUMIFS(الرواتب_قسط_السلفة,الرواتب_السلفة,$A255,الرواتب_حالة_الصرف,"مصروف"))</f>
        <v/>
      </c>
      <c r="I255" s="60">
        <f>IF($A255="","",MAX(0,$E255-$H255))</f>
        <v/>
      </c>
      <c r="J255" s="110" t="n"/>
      <c r="K255" s="40" t="n"/>
      <c r="L255" s="40" t="n"/>
    </row>
    <row r="256">
      <c r="A256" s="46" t="n"/>
      <c r="B256" s="47" t="n"/>
      <c r="C256" s="50">
        <f>IFERROR(INDEX(الموظفون_الاسم,MATCH($B256,الموظفون_الرقم,0)),"")</f>
        <v/>
      </c>
      <c r="D256" s="112" t="n"/>
      <c r="E256" s="49" t="n"/>
      <c r="F256" s="47" t="n"/>
      <c r="G256" s="63">
        <f>IF(OR($E256="",$F256="",$F256=0),"",$E256/$F256)</f>
        <v/>
      </c>
      <c r="H256" s="63">
        <f>IF($A256="","",SUMIFS(الرواتب_قسط_السلفة,الرواتب_السلفة,$A256,الرواتب_حالة_الصرف,"مصروف"))</f>
        <v/>
      </c>
      <c r="I256" s="63">
        <f>IF($A256="","",MAX(0,$E256-$H256))</f>
        <v/>
      </c>
      <c r="J256" s="112" t="n"/>
      <c r="K256" s="47" t="n"/>
      <c r="L256" s="47" t="n"/>
    </row>
    <row r="257">
      <c r="A257" s="39" t="n"/>
      <c r="B257" s="40" t="n"/>
      <c r="C257" s="43">
        <f>IFERROR(INDEX(الموظفون_الاسم,MATCH($B257,الموظفون_الرقم,0)),"")</f>
        <v/>
      </c>
      <c r="D257" s="110" t="n"/>
      <c r="E257" s="42" t="n"/>
      <c r="F257" s="40" t="n"/>
      <c r="G257" s="60">
        <f>IF(OR($E257="",$F257="",$F257=0),"",$E257/$F257)</f>
        <v/>
      </c>
      <c r="H257" s="60">
        <f>IF($A257="","",SUMIFS(الرواتب_قسط_السلفة,الرواتب_السلفة,$A257,الرواتب_حالة_الصرف,"مصروف"))</f>
        <v/>
      </c>
      <c r="I257" s="60">
        <f>IF($A257="","",MAX(0,$E257-$H257))</f>
        <v/>
      </c>
      <c r="J257" s="110" t="n"/>
      <c r="K257" s="40" t="n"/>
      <c r="L257" s="40" t="n"/>
    </row>
    <row r="258">
      <c r="A258" s="46" t="n"/>
      <c r="B258" s="47" t="n"/>
      <c r="C258" s="50">
        <f>IFERROR(INDEX(الموظفون_الاسم,MATCH($B258,الموظفون_الرقم,0)),"")</f>
        <v/>
      </c>
      <c r="D258" s="112" t="n"/>
      <c r="E258" s="49" t="n"/>
      <c r="F258" s="47" t="n"/>
      <c r="G258" s="63">
        <f>IF(OR($E258="",$F258="",$F258=0),"",$E258/$F258)</f>
        <v/>
      </c>
      <c r="H258" s="63">
        <f>IF($A258="","",SUMIFS(الرواتب_قسط_السلفة,الرواتب_السلفة,$A258,الرواتب_حالة_الصرف,"مصروف"))</f>
        <v/>
      </c>
      <c r="I258" s="63">
        <f>IF($A258="","",MAX(0,$E258-$H258))</f>
        <v/>
      </c>
      <c r="J258" s="112" t="n"/>
      <c r="K258" s="47" t="n"/>
      <c r="L258" s="47" t="n"/>
    </row>
    <row r="259">
      <c r="A259" s="39" t="n"/>
      <c r="B259" s="40" t="n"/>
      <c r="C259" s="43">
        <f>IFERROR(INDEX(الموظفون_الاسم,MATCH($B259,الموظفون_الرقم,0)),"")</f>
        <v/>
      </c>
      <c r="D259" s="110" t="n"/>
      <c r="E259" s="42" t="n"/>
      <c r="F259" s="40" t="n"/>
      <c r="G259" s="60">
        <f>IF(OR($E259="",$F259="",$F259=0),"",$E259/$F259)</f>
        <v/>
      </c>
      <c r="H259" s="60">
        <f>IF($A259="","",SUMIFS(الرواتب_قسط_السلفة,الرواتب_السلفة,$A259,الرواتب_حالة_الصرف,"مصروف"))</f>
        <v/>
      </c>
      <c r="I259" s="60">
        <f>IF($A259="","",MAX(0,$E259-$H259))</f>
        <v/>
      </c>
      <c r="J259" s="110" t="n"/>
      <c r="K259" s="40" t="n"/>
      <c r="L259" s="40" t="n"/>
    </row>
    <row r="260">
      <c r="A260" s="46" t="n"/>
      <c r="B260" s="47" t="n"/>
      <c r="C260" s="50">
        <f>IFERROR(INDEX(الموظفون_الاسم,MATCH($B260,الموظفون_الرقم,0)),"")</f>
        <v/>
      </c>
      <c r="D260" s="112" t="n"/>
      <c r="E260" s="49" t="n"/>
      <c r="F260" s="47" t="n"/>
      <c r="G260" s="63">
        <f>IF(OR($E260="",$F260="",$F260=0),"",$E260/$F260)</f>
        <v/>
      </c>
      <c r="H260" s="63">
        <f>IF($A260="","",SUMIFS(الرواتب_قسط_السلفة,الرواتب_السلفة,$A260,الرواتب_حالة_الصرف,"مصروف"))</f>
        <v/>
      </c>
      <c r="I260" s="63">
        <f>IF($A260="","",MAX(0,$E260-$H260))</f>
        <v/>
      </c>
      <c r="J260" s="112" t="n"/>
      <c r="K260" s="47" t="n"/>
      <c r="L260" s="47" t="n"/>
    </row>
    <row r="261">
      <c r="A261" s="39" t="n"/>
      <c r="B261" s="40" t="n"/>
      <c r="C261" s="43">
        <f>IFERROR(INDEX(الموظفون_الاسم,MATCH($B261,الموظفون_الرقم,0)),"")</f>
        <v/>
      </c>
      <c r="D261" s="110" t="n"/>
      <c r="E261" s="42" t="n"/>
      <c r="F261" s="40" t="n"/>
      <c r="G261" s="60">
        <f>IF(OR($E261="",$F261="",$F261=0),"",$E261/$F261)</f>
        <v/>
      </c>
      <c r="H261" s="60">
        <f>IF($A261="","",SUMIFS(الرواتب_قسط_السلفة,الرواتب_السلفة,$A261,الرواتب_حالة_الصرف,"مصروف"))</f>
        <v/>
      </c>
      <c r="I261" s="60">
        <f>IF($A261="","",MAX(0,$E261-$H261))</f>
        <v/>
      </c>
      <c r="J261" s="110" t="n"/>
      <c r="K261" s="40" t="n"/>
      <c r="L261" s="40" t="n"/>
    </row>
    <row r="262">
      <c r="A262" s="46" t="n"/>
      <c r="B262" s="47" t="n"/>
      <c r="C262" s="50">
        <f>IFERROR(INDEX(الموظفون_الاسم,MATCH($B262,الموظفون_الرقم,0)),"")</f>
        <v/>
      </c>
      <c r="D262" s="112" t="n"/>
      <c r="E262" s="49" t="n"/>
      <c r="F262" s="47" t="n"/>
      <c r="G262" s="63">
        <f>IF(OR($E262="",$F262="",$F262=0),"",$E262/$F262)</f>
        <v/>
      </c>
      <c r="H262" s="63">
        <f>IF($A262="","",SUMIFS(الرواتب_قسط_السلفة,الرواتب_السلفة,$A262,الرواتب_حالة_الصرف,"مصروف"))</f>
        <v/>
      </c>
      <c r="I262" s="63">
        <f>IF($A262="","",MAX(0,$E262-$H262))</f>
        <v/>
      </c>
      <c r="J262" s="112" t="n"/>
      <c r="K262" s="47" t="n"/>
      <c r="L262" s="47" t="n"/>
    </row>
    <row r="263">
      <c r="A263" s="39" t="n"/>
      <c r="B263" s="40" t="n"/>
      <c r="C263" s="43">
        <f>IFERROR(INDEX(الموظفون_الاسم,MATCH($B263,الموظفون_الرقم,0)),"")</f>
        <v/>
      </c>
      <c r="D263" s="110" t="n"/>
      <c r="E263" s="42" t="n"/>
      <c r="F263" s="40" t="n"/>
      <c r="G263" s="60">
        <f>IF(OR($E263="",$F263="",$F263=0),"",$E263/$F263)</f>
        <v/>
      </c>
      <c r="H263" s="60">
        <f>IF($A263="","",SUMIFS(الرواتب_قسط_السلفة,الرواتب_السلفة,$A263,الرواتب_حالة_الصرف,"مصروف"))</f>
        <v/>
      </c>
      <c r="I263" s="60">
        <f>IF($A263="","",MAX(0,$E263-$H263))</f>
        <v/>
      </c>
      <c r="J263" s="110" t="n"/>
      <c r="K263" s="40" t="n"/>
      <c r="L263" s="40" t="n"/>
    </row>
    <row r="264">
      <c r="A264" s="46" t="n"/>
      <c r="B264" s="47" t="n"/>
      <c r="C264" s="50">
        <f>IFERROR(INDEX(الموظفون_الاسم,MATCH($B264,الموظفون_الرقم,0)),"")</f>
        <v/>
      </c>
      <c r="D264" s="112" t="n"/>
      <c r="E264" s="49" t="n"/>
      <c r="F264" s="47" t="n"/>
      <c r="G264" s="63">
        <f>IF(OR($E264="",$F264="",$F264=0),"",$E264/$F264)</f>
        <v/>
      </c>
      <c r="H264" s="63">
        <f>IF($A264="","",SUMIFS(الرواتب_قسط_السلفة,الرواتب_السلفة,$A264,الرواتب_حالة_الصرف,"مصروف"))</f>
        <v/>
      </c>
      <c r="I264" s="63">
        <f>IF($A264="","",MAX(0,$E264-$H264))</f>
        <v/>
      </c>
      <c r="J264" s="112" t="n"/>
      <c r="K264" s="47" t="n"/>
      <c r="L264" s="47" t="n"/>
    </row>
    <row r="265">
      <c r="A265" s="39" t="n"/>
      <c r="B265" s="40" t="n"/>
      <c r="C265" s="43">
        <f>IFERROR(INDEX(الموظفون_الاسم,MATCH($B265,الموظفون_الرقم,0)),"")</f>
        <v/>
      </c>
      <c r="D265" s="110" t="n"/>
      <c r="E265" s="42" t="n"/>
      <c r="F265" s="40" t="n"/>
      <c r="G265" s="60">
        <f>IF(OR($E265="",$F265="",$F265=0),"",$E265/$F265)</f>
        <v/>
      </c>
      <c r="H265" s="60">
        <f>IF($A265="","",SUMIFS(الرواتب_قسط_السلفة,الرواتب_السلفة,$A265,الرواتب_حالة_الصرف,"مصروف"))</f>
        <v/>
      </c>
      <c r="I265" s="60">
        <f>IF($A265="","",MAX(0,$E265-$H265))</f>
        <v/>
      </c>
      <c r="J265" s="110" t="n"/>
      <c r="K265" s="40" t="n"/>
      <c r="L265" s="40" t="n"/>
    </row>
    <row r="266">
      <c r="A266" s="46" t="n"/>
      <c r="B266" s="47" t="n"/>
      <c r="C266" s="50">
        <f>IFERROR(INDEX(الموظفون_الاسم,MATCH($B266,الموظفون_الرقم,0)),"")</f>
        <v/>
      </c>
      <c r="D266" s="112" t="n"/>
      <c r="E266" s="49" t="n"/>
      <c r="F266" s="47" t="n"/>
      <c r="G266" s="63">
        <f>IF(OR($E266="",$F266="",$F266=0),"",$E266/$F266)</f>
        <v/>
      </c>
      <c r="H266" s="63">
        <f>IF($A266="","",SUMIFS(الرواتب_قسط_السلفة,الرواتب_السلفة,$A266,الرواتب_حالة_الصرف,"مصروف"))</f>
        <v/>
      </c>
      <c r="I266" s="63">
        <f>IF($A266="","",MAX(0,$E266-$H266))</f>
        <v/>
      </c>
      <c r="J266" s="112" t="n"/>
      <c r="K266" s="47" t="n"/>
      <c r="L266" s="47" t="n"/>
    </row>
    <row r="267">
      <c r="A267" s="39" t="n"/>
      <c r="B267" s="40" t="n"/>
      <c r="C267" s="43">
        <f>IFERROR(INDEX(الموظفون_الاسم,MATCH($B267,الموظفون_الرقم,0)),"")</f>
        <v/>
      </c>
      <c r="D267" s="110" t="n"/>
      <c r="E267" s="42" t="n"/>
      <c r="F267" s="40" t="n"/>
      <c r="G267" s="60">
        <f>IF(OR($E267="",$F267="",$F267=0),"",$E267/$F267)</f>
        <v/>
      </c>
      <c r="H267" s="60">
        <f>IF($A267="","",SUMIFS(الرواتب_قسط_السلفة,الرواتب_السلفة,$A267,الرواتب_حالة_الصرف,"مصروف"))</f>
        <v/>
      </c>
      <c r="I267" s="60">
        <f>IF($A267="","",MAX(0,$E267-$H267))</f>
        <v/>
      </c>
      <c r="J267" s="110" t="n"/>
      <c r="K267" s="40" t="n"/>
      <c r="L267" s="40" t="n"/>
    </row>
    <row r="268">
      <c r="A268" s="46" t="n"/>
      <c r="B268" s="47" t="n"/>
      <c r="C268" s="50">
        <f>IFERROR(INDEX(الموظفون_الاسم,MATCH($B268,الموظفون_الرقم,0)),"")</f>
        <v/>
      </c>
      <c r="D268" s="112" t="n"/>
      <c r="E268" s="49" t="n"/>
      <c r="F268" s="47" t="n"/>
      <c r="G268" s="63">
        <f>IF(OR($E268="",$F268="",$F268=0),"",$E268/$F268)</f>
        <v/>
      </c>
      <c r="H268" s="63">
        <f>IF($A268="","",SUMIFS(الرواتب_قسط_السلفة,الرواتب_السلفة,$A268,الرواتب_حالة_الصرف,"مصروف"))</f>
        <v/>
      </c>
      <c r="I268" s="63">
        <f>IF($A268="","",MAX(0,$E268-$H268))</f>
        <v/>
      </c>
      <c r="J268" s="112" t="n"/>
      <c r="K268" s="47" t="n"/>
      <c r="L268" s="47" t="n"/>
    </row>
    <row r="269">
      <c r="A269" s="39" t="n"/>
      <c r="B269" s="40" t="n"/>
      <c r="C269" s="43">
        <f>IFERROR(INDEX(الموظفون_الاسم,MATCH($B269,الموظفون_الرقم,0)),"")</f>
        <v/>
      </c>
      <c r="D269" s="110" t="n"/>
      <c r="E269" s="42" t="n"/>
      <c r="F269" s="40" t="n"/>
      <c r="G269" s="60">
        <f>IF(OR($E269="",$F269="",$F269=0),"",$E269/$F269)</f>
        <v/>
      </c>
      <c r="H269" s="60">
        <f>IF($A269="","",SUMIFS(الرواتب_قسط_السلفة,الرواتب_السلفة,$A269,الرواتب_حالة_الصرف,"مصروف"))</f>
        <v/>
      </c>
      <c r="I269" s="60">
        <f>IF($A269="","",MAX(0,$E269-$H269))</f>
        <v/>
      </c>
      <c r="J269" s="110" t="n"/>
      <c r="K269" s="40" t="n"/>
      <c r="L269" s="40" t="n"/>
    </row>
    <row r="270">
      <c r="A270" s="46" t="n"/>
      <c r="B270" s="47" t="n"/>
      <c r="C270" s="50">
        <f>IFERROR(INDEX(الموظفون_الاسم,MATCH($B270,الموظفون_الرقم,0)),"")</f>
        <v/>
      </c>
      <c r="D270" s="112" t="n"/>
      <c r="E270" s="49" t="n"/>
      <c r="F270" s="47" t="n"/>
      <c r="G270" s="63">
        <f>IF(OR($E270="",$F270="",$F270=0),"",$E270/$F270)</f>
        <v/>
      </c>
      <c r="H270" s="63">
        <f>IF($A270="","",SUMIFS(الرواتب_قسط_السلفة,الرواتب_السلفة,$A270,الرواتب_حالة_الصرف,"مصروف"))</f>
        <v/>
      </c>
      <c r="I270" s="63">
        <f>IF($A270="","",MAX(0,$E270-$H270))</f>
        <v/>
      </c>
      <c r="J270" s="112" t="n"/>
      <c r="K270" s="47" t="n"/>
      <c r="L270" s="47" t="n"/>
    </row>
    <row r="271">
      <c r="A271" s="39" t="n"/>
      <c r="B271" s="40" t="n"/>
      <c r="C271" s="43">
        <f>IFERROR(INDEX(الموظفون_الاسم,MATCH($B271,الموظفون_الرقم,0)),"")</f>
        <v/>
      </c>
      <c r="D271" s="110" t="n"/>
      <c r="E271" s="42" t="n"/>
      <c r="F271" s="40" t="n"/>
      <c r="G271" s="60">
        <f>IF(OR($E271="",$F271="",$F271=0),"",$E271/$F271)</f>
        <v/>
      </c>
      <c r="H271" s="60">
        <f>IF($A271="","",SUMIFS(الرواتب_قسط_السلفة,الرواتب_السلفة,$A271,الرواتب_حالة_الصرف,"مصروف"))</f>
        <v/>
      </c>
      <c r="I271" s="60">
        <f>IF($A271="","",MAX(0,$E271-$H271))</f>
        <v/>
      </c>
      <c r="J271" s="110" t="n"/>
      <c r="K271" s="40" t="n"/>
      <c r="L271" s="40" t="n"/>
    </row>
    <row r="272">
      <c r="A272" s="46" t="n"/>
      <c r="B272" s="47" t="n"/>
      <c r="C272" s="50">
        <f>IFERROR(INDEX(الموظفون_الاسم,MATCH($B272,الموظفون_الرقم,0)),"")</f>
        <v/>
      </c>
      <c r="D272" s="112" t="n"/>
      <c r="E272" s="49" t="n"/>
      <c r="F272" s="47" t="n"/>
      <c r="G272" s="63">
        <f>IF(OR($E272="",$F272="",$F272=0),"",$E272/$F272)</f>
        <v/>
      </c>
      <c r="H272" s="63">
        <f>IF($A272="","",SUMIFS(الرواتب_قسط_السلفة,الرواتب_السلفة,$A272,الرواتب_حالة_الصرف,"مصروف"))</f>
        <v/>
      </c>
      <c r="I272" s="63">
        <f>IF($A272="","",MAX(0,$E272-$H272))</f>
        <v/>
      </c>
      <c r="J272" s="112" t="n"/>
      <c r="K272" s="47" t="n"/>
      <c r="L272" s="47" t="n"/>
    </row>
    <row r="273">
      <c r="A273" s="39" t="n"/>
      <c r="B273" s="40" t="n"/>
      <c r="C273" s="43">
        <f>IFERROR(INDEX(الموظفون_الاسم,MATCH($B273,الموظفون_الرقم,0)),"")</f>
        <v/>
      </c>
      <c r="D273" s="110" t="n"/>
      <c r="E273" s="42" t="n"/>
      <c r="F273" s="40" t="n"/>
      <c r="G273" s="60">
        <f>IF(OR($E273="",$F273="",$F273=0),"",$E273/$F273)</f>
        <v/>
      </c>
      <c r="H273" s="60">
        <f>IF($A273="","",SUMIFS(الرواتب_قسط_السلفة,الرواتب_السلفة,$A273,الرواتب_حالة_الصرف,"مصروف"))</f>
        <v/>
      </c>
      <c r="I273" s="60">
        <f>IF($A273="","",MAX(0,$E273-$H273))</f>
        <v/>
      </c>
      <c r="J273" s="110" t="n"/>
      <c r="K273" s="40" t="n"/>
      <c r="L273" s="40" t="n"/>
    </row>
    <row r="274">
      <c r="A274" s="46" t="n"/>
      <c r="B274" s="47" t="n"/>
      <c r="C274" s="50">
        <f>IFERROR(INDEX(الموظفون_الاسم,MATCH($B274,الموظفون_الرقم,0)),"")</f>
        <v/>
      </c>
      <c r="D274" s="112" t="n"/>
      <c r="E274" s="49" t="n"/>
      <c r="F274" s="47" t="n"/>
      <c r="G274" s="63">
        <f>IF(OR($E274="",$F274="",$F274=0),"",$E274/$F274)</f>
        <v/>
      </c>
      <c r="H274" s="63">
        <f>IF($A274="","",SUMIFS(الرواتب_قسط_السلفة,الرواتب_السلفة,$A274,الرواتب_حالة_الصرف,"مصروف"))</f>
        <v/>
      </c>
      <c r="I274" s="63">
        <f>IF($A274="","",MAX(0,$E274-$H274))</f>
        <v/>
      </c>
      <c r="J274" s="112" t="n"/>
      <c r="K274" s="47" t="n"/>
      <c r="L274" s="47" t="n"/>
    </row>
    <row r="275">
      <c r="A275" s="39" t="n"/>
      <c r="B275" s="40" t="n"/>
      <c r="C275" s="43">
        <f>IFERROR(INDEX(الموظفون_الاسم,MATCH($B275,الموظفون_الرقم,0)),"")</f>
        <v/>
      </c>
      <c r="D275" s="110" t="n"/>
      <c r="E275" s="42" t="n"/>
      <c r="F275" s="40" t="n"/>
      <c r="G275" s="60">
        <f>IF(OR($E275="",$F275="",$F275=0),"",$E275/$F275)</f>
        <v/>
      </c>
      <c r="H275" s="60">
        <f>IF($A275="","",SUMIFS(الرواتب_قسط_السلفة,الرواتب_السلفة,$A275,الرواتب_حالة_الصرف,"مصروف"))</f>
        <v/>
      </c>
      <c r="I275" s="60">
        <f>IF($A275="","",MAX(0,$E275-$H275))</f>
        <v/>
      </c>
      <c r="J275" s="110" t="n"/>
      <c r="K275" s="40" t="n"/>
      <c r="L275" s="40" t="n"/>
    </row>
    <row r="276">
      <c r="A276" s="46" t="n"/>
      <c r="B276" s="47" t="n"/>
      <c r="C276" s="50">
        <f>IFERROR(INDEX(الموظفون_الاسم,MATCH($B276,الموظفون_الرقم,0)),"")</f>
        <v/>
      </c>
      <c r="D276" s="112" t="n"/>
      <c r="E276" s="49" t="n"/>
      <c r="F276" s="47" t="n"/>
      <c r="G276" s="63">
        <f>IF(OR($E276="",$F276="",$F276=0),"",$E276/$F276)</f>
        <v/>
      </c>
      <c r="H276" s="63">
        <f>IF($A276="","",SUMIFS(الرواتب_قسط_السلفة,الرواتب_السلفة,$A276,الرواتب_حالة_الصرف,"مصروف"))</f>
        <v/>
      </c>
      <c r="I276" s="63">
        <f>IF($A276="","",MAX(0,$E276-$H276))</f>
        <v/>
      </c>
      <c r="J276" s="112" t="n"/>
      <c r="K276" s="47" t="n"/>
      <c r="L276" s="47" t="n"/>
    </row>
    <row r="277">
      <c r="A277" s="39" t="n"/>
      <c r="B277" s="40" t="n"/>
      <c r="C277" s="43">
        <f>IFERROR(INDEX(الموظفون_الاسم,MATCH($B277,الموظفون_الرقم,0)),"")</f>
        <v/>
      </c>
      <c r="D277" s="110" t="n"/>
      <c r="E277" s="42" t="n"/>
      <c r="F277" s="40" t="n"/>
      <c r="G277" s="60">
        <f>IF(OR($E277="",$F277="",$F277=0),"",$E277/$F277)</f>
        <v/>
      </c>
      <c r="H277" s="60">
        <f>IF($A277="","",SUMIFS(الرواتب_قسط_السلفة,الرواتب_السلفة,$A277,الرواتب_حالة_الصرف,"مصروف"))</f>
        <v/>
      </c>
      <c r="I277" s="60">
        <f>IF($A277="","",MAX(0,$E277-$H277))</f>
        <v/>
      </c>
      <c r="J277" s="110" t="n"/>
      <c r="K277" s="40" t="n"/>
      <c r="L277" s="40" t="n"/>
    </row>
    <row r="278">
      <c r="A278" s="46" t="n"/>
      <c r="B278" s="47" t="n"/>
      <c r="C278" s="50">
        <f>IFERROR(INDEX(الموظفون_الاسم,MATCH($B278,الموظفون_الرقم,0)),"")</f>
        <v/>
      </c>
      <c r="D278" s="112" t="n"/>
      <c r="E278" s="49" t="n"/>
      <c r="F278" s="47" t="n"/>
      <c r="G278" s="63">
        <f>IF(OR($E278="",$F278="",$F278=0),"",$E278/$F278)</f>
        <v/>
      </c>
      <c r="H278" s="63">
        <f>IF($A278="","",SUMIFS(الرواتب_قسط_السلفة,الرواتب_السلفة,$A278,الرواتب_حالة_الصرف,"مصروف"))</f>
        <v/>
      </c>
      <c r="I278" s="63">
        <f>IF($A278="","",MAX(0,$E278-$H278))</f>
        <v/>
      </c>
      <c r="J278" s="112" t="n"/>
      <c r="K278" s="47" t="n"/>
      <c r="L278" s="47" t="n"/>
    </row>
    <row r="279">
      <c r="A279" s="39" t="n"/>
      <c r="B279" s="40" t="n"/>
      <c r="C279" s="43">
        <f>IFERROR(INDEX(الموظفون_الاسم,MATCH($B279,الموظفون_الرقم,0)),"")</f>
        <v/>
      </c>
      <c r="D279" s="110" t="n"/>
      <c r="E279" s="42" t="n"/>
      <c r="F279" s="40" t="n"/>
      <c r="G279" s="60">
        <f>IF(OR($E279="",$F279="",$F279=0),"",$E279/$F279)</f>
        <v/>
      </c>
      <c r="H279" s="60">
        <f>IF($A279="","",SUMIFS(الرواتب_قسط_السلفة,الرواتب_السلفة,$A279,الرواتب_حالة_الصرف,"مصروف"))</f>
        <v/>
      </c>
      <c r="I279" s="60">
        <f>IF($A279="","",MAX(0,$E279-$H279))</f>
        <v/>
      </c>
      <c r="J279" s="110" t="n"/>
      <c r="K279" s="40" t="n"/>
      <c r="L279" s="40" t="n"/>
    </row>
    <row r="280">
      <c r="A280" s="46" t="n"/>
      <c r="B280" s="47" t="n"/>
      <c r="C280" s="50">
        <f>IFERROR(INDEX(الموظفون_الاسم,MATCH($B280,الموظفون_الرقم,0)),"")</f>
        <v/>
      </c>
      <c r="D280" s="112" t="n"/>
      <c r="E280" s="49" t="n"/>
      <c r="F280" s="47" t="n"/>
      <c r="G280" s="63">
        <f>IF(OR($E280="",$F280="",$F280=0),"",$E280/$F280)</f>
        <v/>
      </c>
      <c r="H280" s="63">
        <f>IF($A280="","",SUMIFS(الرواتب_قسط_السلفة,الرواتب_السلفة,$A280,الرواتب_حالة_الصرف,"مصروف"))</f>
        <v/>
      </c>
      <c r="I280" s="63">
        <f>IF($A280="","",MAX(0,$E280-$H280))</f>
        <v/>
      </c>
      <c r="J280" s="112" t="n"/>
      <c r="K280" s="47" t="n"/>
      <c r="L280" s="47" t="n"/>
    </row>
    <row r="281">
      <c r="A281" s="39" t="n"/>
      <c r="B281" s="40" t="n"/>
      <c r="C281" s="43">
        <f>IFERROR(INDEX(الموظفون_الاسم,MATCH($B281,الموظفون_الرقم,0)),"")</f>
        <v/>
      </c>
      <c r="D281" s="110" t="n"/>
      <c r="E281" s="42" t="n"/>
      <c r="F281" s="40" t="n"/>
      <c r="G281" s="60">
        <f>IF(OR($E281="",$F281="",$F281=0),"",$E281/$F281)</f>
        <v/>
      </c>
      <c r="H281" s="60">
        <f>IF($A281="","",SUMIFS(الرواتب_قسط_السلفة,الرواتب_السلفة,$A281,الرواتب_حالة_الصرف,"مصروف"))</f>
        <v/>
      </c>
      <c r="I281" s="60">
        <f>IF($A281="","",MAX(0,$E281-$H281))</f>
        <v/>
      </c>
      <c r="J281" s="110" t="n"/>
      <c r="K281" s="40" t="n"/>
      <c r="L281" s="40" t="n"/>
    </row>
    <row r="282">
      <c r="A282" s="46" t="n"/>
      <c r="B282" s="47" t="n"/>
      <c r="C282" s="50">
        <f>IFERROR(INDEX(الموظفون_الاسم,MATCH($B282,الموظفون_الرقم,0)),"")</f>
        <v/>
      </c>
      <c r="D282" s="112" t="n"/>
      <c r="E282" s="49" t="n"/>
      <c r="F282" s="47" t="n"/>
      <c r="G282" s="63">
        <f>IF(OR($E282="",$F282="",$F282=0),"",$E282/$F282)</f>
        <v/>
      </c>
      <c r="H282" s="63">
        <f>IF($A282="","",SUMIFS(الرواتب_قسط_السلفة,الرواتب_السلفة,$A282,الرواتب_حالة_الصرف,"مصروف"))</f>
        <v/>
      </c>
      <c r="I282" s="63">
        <f>IF($A282="","",MAX(0,$E282-$H282))</f>
        <v/>
      </c>
      <c r="J282" s="112" t="n"/>
      <c r="K282" s="47" t="n"/>
      <c r="L282" s="47" t="n"/>
    </row>
    <row r="283">
      <c r="A283" s="39" t="n"/>
      <c r="B283" s="40" t="n"/>
      <c r="C283" s="43">
        <f>IFERROR(INDEX(الموظفون_الاسم,MATCH($B283,الموظفون_الرقم,0)),"")</f>
        <v/>
      </c>
      <c r="D283" s="110" t="n"/>
      <c r="E283" s="42" t="n"/>
      <c r="F283" s="40" t="n"/>
      <c r="G283" s="60">
        <f>IF(OR($E283="",$F283="",$F283=0),"",$E283/$F283)</f>
        <v/>
      </c>
      <c r="H283" s="60">
        <f>IF($A283="","",SUMIFS(الرواتب_قسط_السلفة,الرواتب_السلفة,$A283,الرواتب_حالة_الصرف,"مصروف"))</f>
        <v/>
      </c>
      <c r="I283" s="60">
        <f>IF($A283="","",MAX(0,$E283-$H283))</f>
        <v/>
      </c>
      <c r="J283" s="110" t="n"/>
      <c r="K283" s="40" t="n"/>
      <c r="L283" s="40" t="n"/>
    </row>
    <row r="284">
      <c r="A284" s="46" t="n"/>
      <c r="B284" s="47" t="n"/>
      <c r="C284" s="50">
        <f>IFERROR(INDEX(الموظفون_الاسم,MATCH($B284,الموظفون_الرقم,0)),"")</f>
        <v/>
      </c>
      <c r="D284" s="112" t="n"/>
      <c r="E284" s="49" t="n"/>
      <c r="F284" s="47" t="n"/>
      <c r="G284" s="63">
        <f>IF(OR($E284="",$F284="",$F284=0),"",$E284/$F284)</f>
        <v/>
      </c>
      <c r="H284" s="63">
        <f>IF($A284="","",SUMIFS(الرواتب_قسط_السلفة,الرواتب_السلفة,$A284,الرواتب_حالة_الصرف,"مصروف"))</f>
        <v/>
      </c>
      <c r="I284" s="63">
        <f>IF($A284="","",MAX(0,$E284-$H284))</f>
        <v/>
      </c>
      <c r="J284" s="112" t="n"/>
      <c r="K284" s="47" t="n"/>
      <c r="L284" s="47" t="n"/>
    </row>
    <row r="285">
      <c r="A285" s="39" t="n"/>
      <c r="B285" s="40" t="n"/>
      <c r="C285" s="43">
        <f>IFERROR(INDEX(الموظفون_الاسم,MATCH($B285,الموظفون_الرقم,0)),"")</f>
        <v/>
      </c>
      <c r="D285" s="110" t="n"/>
      <c r="E285" s="42" t="n"/>
      <c r="F285" s="40" t="n"/>
      <c r="G285" s="60">
        <f>IF(OR($E285="",$F285="",$F285=0),"",$E285/$F285)</f>
        <v/>
      </c>
      <c r="H285" s="60">
        <f>IF($A285="","",SUMIFS(الرواتب_قسط_السلفة,الرواتب_السلفة,$A285,الرواتب_حالة_الصرف,"مصروف"))</f>
        <v/>
      </c>
      <c r="I285" s="60">
        <f>IF($A285="","",MAX(0,$E285-$H285))</f>
        <v/>
      </c>
      <c r="J285" s="110" t="n"/>
      <c r="K285" s="40" t="n"/>
      <c r="L285" s="40" t="n"/>
    </row>
    <row r="286">
      <c r="A286" s="46" t="n"/>
      <c r="B286" s="47" t="n"/>
      <c r="C286" s="50">
        <f>IFERROR(INDEX(الموظفون_الاسم,MATCH($B286,الموظفون_الرقم,0)),"")</f>
        <v/>
      </c>
      <c r="D286" s="112" t="n"/>
      <c r="E286" s="49" t="n"/>
      <c r="F286" s="47" t="n"/>
      <c r="G286" s="63">
        <f>IF(OR($E286="",$F286="",$F286=0),"",$E286/$F286)</f>
        <v/>
      </c>
      <c r="H286" s="63">
        <f>IF($A286="","",SUMIFS(الرواتب_قسط_السلفة,الرواتب_السلفة,$A286,الرواتب_حالة_الصرف,"مصروف"))</f>
        <v/>
      </c>
      <c r="I286" s="63">
        <f>IF($A286="","",MAX(0,$E286-$H286))</f>
        <v/>
      </c>
      <c r="J286" s="112" t="n"/>
      <c r="K286" s="47" t="n"/>
      <c r="L286" s="47" t="n"/>
    </row>
    <row r="287">
      <c r="A287" s="39" t="n"/>
      <c r="B287" s="40" t="n"/>
      <c r="C287" s="43">
        <f>IFERROR(INDEX(الموظفون_الاسم,MATCH($B287,الموظفون_الرقم,0)),"")</f>
        <v/>
      </c>
      <c r="D287" s="110" t="n"/>
      <c r="E287" s="42" t="n"/>
      <c r="F287" s="40" t="n"/>
      <c r="G287" s="60">
        <f>IF(OR($E287="",$F287="",$F287=0),"",$E287/$F287)</f>
        <v/>
      </c>
      <c r="H287" s="60">
        <f>IF($A287="","",SUMIFS(الرواتب_قسط_السلفة,الرواتب_السلفة,$A287,الرواتب_حالة_الصرف,"مصروف"))</f>
        <v/>
      </c>
      <c r="I287" s="60">
        <f>IF($A287="","",MAX(0,$E287-$H287))</f>
        <v/>
      </c>
      <c r="J287" s="110" t="n"/>
      <c r="K287" s="40" t="n"/>
      <c r="L287" s="40" t="n"/>
    </row>
    <row r="288">
      <c r="A288" s="46" t="n"/>
      <c r="B288" s="47" t="n"/>
      <c r="C288" s="50">
        <f>IFERROR(INDEX(الموظفون_الاسم,MATCH($B288,الموظفون_الرقم,0)),"")</f>
        <v/>
      </c>
      <c r="D288" s="112" t="n"/>
      <c r="E288" s="49" t="n"/>
      <c r="F288" s="47" t="n"/>
      <c r="G288" s="63">
        <f>IF(OR($E288="",$F288="",$F288=0),"",$E288/$F288)</f>
        <v/>
      </c>
      <c r="H288" s="63">
        <f>IF($A288="","",SUMIFS(الرواتب_قسط_السلفة,الرواتب_السلفة,$A288,الرواتب_حالة_الصرف,"مصروف"))</f>
        <v/>
      </c>
      <c r="I288" s="63">
        <f>IF($A288="","",MAX(0,$E288-$H288))</f>
        <v/>
      </c>
      <c r="J288" s="112" t="n"/>
      <c r="K288" s="47" t="n"/>
      <c r="L288" s="47" t="n"/>
    </row>
    <row r="289">
      <c r="A289" s="39" t="n"/>
      <c r="B289" s="40" t="n"/>
      <c r="C289" s="43">
        <f>IFERROR(INDEX(الموظفون_الاسم,MATCH($B289,الموظفون_الرقم,0)),"")</f>
        <v/>
      </c>
      <c r="D289" s="110" t="n"/>
      <c r="E289" s="42" t="n"/>
      <c r="F289" s="40" t="n"/>
      <c r="G289" s="60">
        <f>IF(OR($E289="",$F289="",$F289=0),"",$E289/$F289)</f>
        <v/>
      </c>
      <c r="H289" s="60">
        <f>IF($A289="","",SUMIFS(الرواتب_قسط_السلفة,الرواتب_السلفة,$A289,الرواتب_حالة_الصرف,"مصروف"))</f>
        <v/>
      </c>
      <c r="I289" s="60">
        <f>IF($A289="","",MAX(0,$E289-$H289))</f>
        <v/>
      </c>
      <c r="J289" s="110" t="n"/>
      <c r="K289" s="40" t="n"/>
      <c r="L289" s="40" t="n"/>
    </row>
    <row r="290">
      <c r="A290" s="46" t="n"/>
      <c r="B290" s="47" t="n"/>
      <c r="C290" s="50">
        <f>IFERROR(INDEX(الموظفون_الاسم,MATCH($B290,الموظفون_الرقم,0)),"")</f>
        <v/>
      </c>
      <c r="D290" s="112" t="n"/>
      <c r="E290" s="49" t="n"/>
      <c r="F290" s="47" t="n"/>
      <c r="G290" s="63">
        <f>IF(OR($E290="",$F290="",$F290=0),"",$E290/$F290)</f>
        <v/>
      </c>
      <c r="H290" s="63">
        <f>IF($A290="","",SUMIFS(الرواتب_قسط_السلفة,الرواتب_السلفة,$A290,الرواتب_حالة_الصرف,"مصروف"))</f>
        <v/>
      </c>
      <c r="I290" s="63">
        <f>IF($A290="","",MAX(0,$E290-$H290))</f>
        <v/>
      </c>
      <c r="J290" s="112" t="n"/>
      <c r="K290" s="47" t="n"/>
      <c r="L290" s="47" t="n"/>
    </row>
    <row r="291">
      <c r="A291" s="39" t="n"/>
      <c r="B291" s="40" t="n"/>
      <c r="C291" s="43">
        <f>IFERROR(INDEX(الموظفون_الاسم,MATCH($B291,الموظفون_الرقم,0)),"")</f>
        <v/>
      </c>
      <c r="D291" s="110" t="n"/>
      <c r="E291" s="42" t="n"/>
      <c r="F291" s="40" t="n"/>
      <c r="G291" s="60">
        <f>IF(OR($E291="",$F291="",$F291=0),"",$E291/$F291)</f>
        <v/>
      </c>
      <c r="H291" s="60">
        <f>IF($A291="","",SUMIFS(الرواتب_قسط_السلفة,الرواتب_السلفة,$A291,الرواتب_حالة_الصرف,"مصروف"))</f>
        <v/>
      </c>
      <c r="I291" s="60">
        <f>IF($A291="","",MAX(0,$E291-$H291))</f>
        <v/>
      </c>
      <c r="J291" s="110" t="n"/>
      <c r="K291" s="40" t="n"/>
      <c r="L291" s="40" t="n"/>
    </row>
    <row r="292">
      <c r="A292" s="46" t="n"/>
      <c r="B292" s="47" t="n"/>
      <c r="C292" s="50">
        <f>IFERROR(INDEX(الموظفون_الاسم,MATCH($B292,الموظفون_الرقم,0)),"")</f>
        <v/>
      </c>
      <c r="D292" s="112" t="n"/>
      <c r="E292" s="49" t="n"/>
      <c r="F292" s="47" t="n"/>
      <c r="G292" s="63">
        <f>IF(OR($E292="",$F292="",$F292=0),"",$E292/$F292)</f>
        <v/>
      </c>
      <c r="H292" s="63">
        <f>IF($A292="","",SUMIFS(الرواتب_قسط_السلفة,الرواتب_السلفة,$A292,الرواتب_حالة_الصرف,"مصروف"))</f>
        <v/>
      </c>
      <c r="I292" s="63">
        <f>IF($A292="","",MAX(0,$E292-$H292))</f>
        <v/>
      </c>
      <c r="J292" s="112" t="n"/>
      <c r="K292" s="47" t="n"/>
      <c r="L292" s="47" t="n"/>
    </row>
    <row r="293">
      <c r="A293" s="39" t="n"/>
      <c r="B293" s="40" t="n"/>
      <c r="C293" s="43">
        <f>IFERROR(INDEX(الموظفون_الاسم,MATCH($B293,الموظفون_الرقم,0)),"")</f>
        <v/>
      </c>
      <c r="D293" s="110" t="n"/>
      <c r="E293" s="42" t="n"/>
      <c r="F293" s="40" t="n"/>
      <c r="G293" s="60">
        <f>IF(OR($E293="",$F293="",$F293=0),"",$E293/$F293)</f>
        <v/>
      </c>
      <c r="H293" s="60">
        <f>IF($A293="","",SUMIFS(الرواتب_قسط_السلفة,الرواتب_السلفة,$A293,الرواتب_حالة_الصرف,"مصروف"))</f>
        <v/>
      </c>
      <c r="I293" s="60">
        <f>IF($A293="","",MAX(0,$E293-$H293))</f>
        <v/>
      </c>
      <c r="J293" s="110" t="n"/>
      <c r="K293" s="40" t="n"/>
      <c r="L293" s="40" t="n"/>
    </row>
    <row r="294">
      <c r="A294" s="46" t="n"/>
      <c r="B294" s="47" t="n"/>
      <c r="C294" s="50">
        <f>IFERROR(INDEX(الموظفون_الاسم,MATCH($B294,الموظفون_الرقم,0)),"")</f>
        <v/>
      </c>
      <c r="D294" s="112" t="n"/>
      <c r="E294" s="49" t="n"/>
      <c r="F294" s="47" t="n"/>
      <c r="G294" s="63">
        <f>IF(OR($E294="",$F294="",$F294=0),"",$E294/$F294)</f>
        <v/>
      </c>
      <c r="H294" s="63">
        <f>IF($A294="","",SUMIFS(الرواتب_قسط_السلفة,الرواتب_السلفة,$A294,الرواتب_حالة_الصرف,"مصروف"))</f>
        <v/>
      </c>
      <c r="I294" s="63">
        <f>IF($A294="","",MAX(0,$E294-$H294))</f>
        <v/>
      </c>
      <c r="J294" s="112" t="n"/>
      <c r="K294" s="47" t="n"/>
      <c r="L294" s="47" t="n"/>
    </row>
    <row r="295">
      <c r="A295" s="39" t="n"/>
      <c r="B295" s="40" t="n"/>
      <c r="C295" s="43">
        <f>IFERROR(INDEX(الموظفون_الاسم,MATCH($B295,الموظفون_الرقم,0)),"")</f>
        <v/>
      </c>
      <c r="D295" s="110" t="n"/>
      <c r="E295" s="42" t="n"/>
      <c r="F295" s="40" t="n"/>
      <c r="G295" s="60">
        <f>IF(OR($E295="",$F295="",$F295=0),"",$E295/$F295)</f>
        <v/>
      </c>
      <c r="H295" s="60">
        <f>IF($A295="","",SUMIFS(الرواتب_قسط_السلفة,الرواتب_السلفة,$A295,الرواتب_حالة_الصرف,"مصروف"))</f>
        <v/>
      </c>
      <c r="I295" s="60">
        <f>IF($A295="","",MAX(0,$E295-$H295))</f>
        <v/>
      </c>
      <c r="J295" s="110" t="n"/>
      <c r="K295" s="40" t="n"/>
      <c r="L295" s="40" t="n"/>
    </row>
    <row r="296">
      <c r="A296" s="46" t="n"/>
      <c r="B296" s="47" t="n"/>
      <c r="C296" s="50">
        <f>IFERROR(INDEX(الموظفون_الاسم,MATCH($B296,الموظفون_الرقم,0)),"")</f>
        <v/>
      </c>
      <c r="D296" s="112" t="n"/>
      <c r="E296" s="49" t="n"/>
      <c r="F296" s="47" t="n"/>
      <c r="G296" s="63">
        <f>IF(OR($E296="",$F296="",$F296=0),"",$E296/$F296)</f>
        <v/>
      </c>
      <c r="H296" s="63">
        <f>IF($A296="","",SUMIFS(الرواتب_قسط_السلفة,الرواتب_السلفة,$A296,الرواتب_حالة_الصرف,"مصروف"))</f>
        <v/>
      </c>
      <c r="I296" s="63">
        <f>IF($A296="","",MAX(0,$E296-$H296))</f>
        <v/>
      </c>
      <c r="J296" s="112" t="n"/>
      <c r="K296" s="47" t="n"/>
      <c r="L296" s="47" t="n"/>
    </row>
    <row r="297">
      <c r="A297" s="39" t="n"/>
      <c r="B297" s="40" t="n"/>
      <c r="C297" s="43">
        <f>IFERROR(INDEX(الموظفون_الاسم,MATCH($B297,الموظفون_الرقم,0)),"")</f>
        <v/>
      </c>
      <c r="D297" s="110" t="n"/>
      <c r="E297" s="42" t="n"/>
      <c r="F297" s="40" t="n"/>
      <c r="G297" s="60">
        <f>IF(OR($E297="",$F297="",$F297=0),"",$E297/$F297)</f>
        <v/>
      </c>
      <c r="H297" s="60">
        <f>IF($A297="","",SUMIFS(الرواتب_قسط_السلفة,الرواتب_السلفة,$A297,الرواتب_حالة_الصرف,"مصروف"))</f>
        <v/>
      </c>
      <c r="I297" s="60">
        <f>IF($A297="","",MAX(0,$E297-$H297))</f>
        <v/>
      </c>
      <c r="J297" s="110" t="n"/>
      <c r="K297" s="40" t="n"/>
      <c r="L297" s="40" t="n"/>
    </row>
    <row r="298">
      <c r="A298" s="46" t="n"/>
      <c r="B298" s="47" t="n"/>
      <c r="C298" s="50">
        <f>IFERROR(INDEX(الموظفون_الاسم,MATCH($B298,الموظفون_الرقم,0)),"")</f>
        <v/>
      </c>
      <c r="D298" s="112" t="n"/>
      <c r="E298" s="49" t="n"/>
      <c r="F298" s="47" t="n"/>
      <c r="G298" s="63">
        <f>IF(OR($E298="",$F298="",$F298=0),"",$E298/$F298)</f>
        <v/>
      </c>
      <c r="H298" s="63">
        <f>IF($A298="","",SUMIFS(الرواتب_قسط_السلفة,الرواتب_السلفة,$A298,الرواتب_حالة_الصرف,"مصروف"))</f>
        <v/>
      </c>
      <c r="I298" s="63">
        <f>IF($A298="","",MAX(0,$E298-$H298))</f>
        <v/>
      </c>
      <c r="J298" s="112" t="n"/>
      <c r="K298" s="47" t="n"/>
      <c r="L298" s="47" t="n"/>
    </row>
    <row r="299">
      <c r="A299" s="39" t="n"/>
      <c r="B299" s="40" t="n"/>
      <c r="C299" s="43">
        <f>IFERROR(INDEX(الموظفون_الاسم,MATCH($B299,الموظفون_الرقم,0)),"")</f>
        <v/>
      </c>
      <c r="D299" s="110" t="n"/>
      <c r="E299" s="42" t="n"/>
      <c r="F299" s="40" t="n"/>
      <c r="G299" s="60">
        <f>IF(OR($E299="",$F299="",$F299=0),"",$E299/$F299)</f>
        <v/>
      </c>
      <c r="H299" s="60">
        <f>IF($A299="","",SUMIFS(الرواتب_قسط_السلفة,الرواتب_السلفة,$A299,الرواتب_حالة_الصرف,"مصروف"))</f>
        <v/>
      </c>
      <c r="I299" s="60">
        <f>IF($A299="","",MAX(0,$E299-$H299))</f>
        <v/>
      </c>
      <c r="J299" s="110" t="n"/>
      <c r="K299" s="40" t="n"/>
      <c r="L299" s="40" t="n"/>
    </row>
    <row r="300">
      <c r="A300" s="46" t="n"/>
      <c r="B300" s="47" t="n"/>
      <c r="C300" s="50">
        <f>IFERROR(INDEX(الموظفون_الاسم,MATCH($B300,الموظفون_الرقم,0)),"")</f>
        <v/>
      </c>
      <c r="D300" s="112" t="n"/>
      <c r="E300" s="49" t="n"/>
      <c r="F300" s="47" t="n"/>
      <c r="G300" s="63">
        <f>IF(OR($E300="",$F300="",$F300=0),"",$E300/$F300)</f>
        <v/>
      </c>
      <c r="H300" s="63">
        <f>IF($A300="","",SUMIFS(الرواتب_قسط_السلفة,الرواتب_السلفة,$A300,الرواتب_حالة_الصرف,"مصروف"))</f>
        <v/>
      </c>
      <c r="I300" s="63">
        <f>IF($A300="","",MAX(0,$E300-$H300))</f>
        <v/>
      </c>
      <c r="J300" s="112" t="n"/>
      <c r="K300" s="47" t="n"/>
      <c r="L300" s="47" t="n"/>
    </row>
    <row r="301">
      <c r="A301" s="39" t="n"/>
      <c r="B301" s="40" t="n"/>
      <c r="C301" s="43">
        <f>IFERROR(INDEX(الموظفون_الاسم,MATCH($B301,الموظفون_الرقم,0)),"")</f>
        <v/>
      </c>
      <c r="D301" s="110" t="n"/>
      <c r="E301" s="42" t="n"/>
      <c r="F301" s="40" t="n"/>
      <c r="G301" s="60">
        <f>IF(OR($E301="",$F301="",$F301=0),"",$E301/$F301)</f>
        <v/>
      </c>
      <c r="H301" s="60">
        <f>IF($A301="","",SUMIFS(الرواتب_قسط_السلفة,الرواتب_السلفة,$A301,الرواتب_حالة_الصرف,"مصروف"))</f>
        <v/>
      </c>
      <c r="I301" s="60">
        <f>IF($A301="","",MAX(0,$E301-$H301))</f>
        <v/>
      </c>
      <c r="J301" s="110" t="n"/>
      <c r="K301" s="40" t="n"/>
      <c r="L301" s="40" t="n"/>
    </row>
    <row r="302">
      <c r="A302" s="46" t="n"/>
      <c r="B302" s="47" t="n"/>
      <c r="C302" s="50">
        <f>IFERROR(INDEX(الموظفون_الاسم,MATCH($B302,الموظفون_الرقم,0)),"")</f>
        <v/>
      </c>
      <c r="D302" s="112" t="n"/>
      <c r="E302" s="49" t="n"/>
      <c r="F302" s="47" t="n"/>
      <c r="G302" s="63">
        <f>IF(OR($E302="",$F302="",$F302=0),"",$E302/$F302)</f>
        <v/>
      </c>
      <c r="H302" s="63">
        <f>IF($A302="","",SUMIFS(الرواتب_قسط_السلفة,الرواتب_السلفة,$A302,الرواتب_حالة_الصرف,"مصروف"))</f>
        <v/>
      </c>
      <c r="I302" s="63">
        <f>IF($A302="","",MAX(0,$E302-$H302))</f>
        <v/>
      </c>
      <c r="J302" s="112" t="n"/>
      <c r="K302" s="47" t="n"/>
      <c r="L302" s="47" t="n"/>
    </row>
    <row r="303">
      <c r="A303" s="39" t="n"/>
      <c r="B303" s="40" t="n"/>
      <c r="C303" s="43">
        <f>IFERROR(INDEX(الموظفون_الاسم,MATCH($B303,الموظفون_الرقم,0)),"")</f>
        <v/>
      </c>
      <c r="D303" s="110" t="n"/>
      <c r="E303" s="42" t="n"/>
      <c r="F303" s="40" t="n"/>
      <c r="G303" s="60">
        <f>IF(OR($E303="",$F303="",$F303=0),"",$E303/$F303)</f>
        <v/>
      </c>
      <c r="H303" s="60">
        <f>IF($A303="","",SUMIFS(الرواتب_قسط_السلفة,الرواتب_السلفة,$A303,الرواتب_حالة_الصرف,"مصروف"))</f>
        <v/>
      </c>
      <c r="I303" s="60">
        <f>IF($A303="","",MAX(0,$E303-$H303))</f>
        <v/>
      </c>
      <c r="J303" s="110" t="n"/>
      <c r="K303" s="40" t="n"/>
      <c r="L303" s="40" t="n"/>
    </row>
    <row r="304">
      <c r="A304" s="46" t="n"/>
      <c r="B304" s="47" t="n"/>
      <c r="C304" s="50">
        <f>IFERROR(INDEX(الموظفون_الاسم,MATCH($B304,الموظفون_الرقم,0)),"")</f>
        <v/>
      </c>
      <c r="D304" s="112" t="n"/>
      <c r="E304" s="49" t="n"/>
      <c r="F304" s="47" t="n"/>
      <c r="G304" s="63">
        <f>IF(OR($E304="",$F304="",$F304=0),"",$E304/$F304)</f>
        <v/>
      </c>
      <c r="H304" s="63">
        <f>IF($A304="","",SUMIFS(الرواتب_قسط_السلفة,الرواتب_السلفة,$A304,الرواتب_حالة_الصرف,"مصروف"))</f>
        <v/>
      </c>
      <c r="I304" s="63">
        <f>IF($A304="","",MAX(0,$E304-$H304))</f>
        <v/>
      </c>
      <c r="J304" s="112" t="n"/>
      <c r="K304" s="47" t="n"/>
      <c r="L304" s="47" t="n"/>
    </row>
    <row r="305">
      <c r="A305" s="39" t="n"/>
      <c r="B305" s="40" t="n"/>
      <c r="C305" s="43">
        <f>IFERROR(INDEX(الموظفون_الاسم,MATCH($B305,الموظفون_الرقم,0)),"")</f>
        <v/>
      </c>
      <c r="D305" s="110" t="n"/>
      <c r="E305" s="42" t="n"/>
      <c r="F305" s="40" t="n"/>
      <c r="G305" s="60">
        <f>IF(OR($E305="",$F305="",$F305=0),"",$E305/$F305)</f>
        <v/>
      </c>
      <c r="H305" s="60">
        <f>IF($A305="","",SUMIFS(الرواتب_قسط_السلفة,الرواتب_السلفة,$A305,الرواتب_حالة_الصرف,"مصروف"))</f>
        <v/>
      </c>
      <c r="I305" s="60">
        <f>IF($A305="","",MAX(0,$E305-$H305))</f>
        <v/>
      </c>
      <c r="J305" s="110" t="n"/>
      <c r="K305" s="40" t="n"/>
      <c r="L305" s="40" t="n"/>
    </row>
    <row r="306">
      <c r="A306" s="46" t="n"/>
      <c r="B306" s="47" t="n"/>
      <c r="C306" s="50">
        <f>IFERROR(INDEX(الموظفون_الاسم,MATCH($B306,الموظفون_الرقم,0)),"")</f>
        <v/>
      </c>
      <c r="D306" s="112" t="n"/>
      <c r="E306" s="49" t="n"/>
      <c r="F306" s="47" t="n"/>
      <c r="G306" s="63">
        <f>IF(OR($E306="",$F306="",$F306=0),"",$E306/$F306)</f>
        <v/>
      </c>
      <c r="H306" s="63">
        <f>IF($A306="","",SUMIFS(الرواتب_قسط_السلفة,الرواتب_السلفة,$A306,الرواتب_حالة_الصرف,"مصروف"))</f>
        <v/>
      </c>
      <c r="I306" s="63">
        <f>IF($A306="","",MAX(0,$E306-$H306))</f>
        <v/>
      </c>
      <c r="J306" s="112" t="n"/>
      <c r="K306" s="47" t="n"/>
      <c r="L306" s="47" t="n"/>
    </row>
    <row r="307">
      <c r="A307" s="39" t="n"/>
      <c r="B307" s="40" t="n"/>
      <c r="C307" s="43">
        <f>IFERROR(INDEX(الموظفون_الاسم,MATCH($B307,الموظفون_الرقم,0)),"")</f>
        <v/>
      </c>
      <c r="D307" s="110" t="n"/>
      <c r="E307" s="42" t="n"/>
      <c r="F307" s="40" t="n"/>
      <c r="G307" s="60">
        <f>IF(OR($E307="",$F307="",$F307=0),"",$E307/$F307)</f>
        <v/>
      </c>
      <c r="H307" s="60">
        <f>IF($A307="","",SUMIFS(الرواتب_قسط_السلفة,الرواتب_السلفة,$A307,الرواتب_حالة_الصرف,"مصروف"))</f>
        <v/>
      </c>
      <c r="I307" s="60">
        <f>IF($A307="","",MAX(0,$E307-$H307))</f>
        <v/>
      </c>
      <c r="J307" s="110" t="n"/>
      <c r="K307" s="40" t="n"/>
      <c r="L307" s="40" t="n"/>
    </row>
    <row r="308">
      <c r="A308" s="46" t="n"/>
      <c r="B308" s="47" t="n"/>
      <c r="C308" s="50">
        <f>IFERROR(INDEX(الموظفون_الاسم,MATCH($B308,الموظفون_الرقم,0)),"")</f>
        <v/>
      </c>
      <c r="D308" s="112" t="n"/>
      <c r="E308" s="49" t="n"/>
      <c r="F308" s="47" t="n"/>
      <c r="G308" s="63">
        <f>IF(OR($E308="",$F308="",$F308=0),"",$E308/$F308)</f>
        <v/>
      </c>
      <c r="H308" s="63">
        <f>IF($A308="","",SUMIFS(الرواتب_قسط_السلفة,الرواتب_السلفة,$A308,الرواتب_حالة_الصرف,"مصروف"))</f>
        <v/>
      </c>
      <c r="I308" s="63">
        <f>IF($A308="","",MAX(0,$E308-$H308))</f>
        <v/>
      </c>
      <c r="J308" s="112" t="n"/>
      <c r="K308" s="47" t="n"/>
      <c r="L308" s="47" t="n"/>
    </row>
    <row r="309">
      <c r="A309" s="39" t="n"/>
      <c r="B309" s="40" t="n"/>
      <c r="C309" s="43">
        <f>IFERROR(INDEX(الموظفون_الاسم,MATCH($B309,الموظفون_الرقم,0)),"")</f>
        <v/>
      </c>
      <c r="D309" s="110" t="n"/>
      <c r="E309" s="42" t="n"/>
      <c r="F309" s="40" t="n"/>
      <c r="G309" s="60">
        <f>IF(OR($E309="",$F309="",$F309=0),"",$E309/$F309)</f>
        <v/>
      </c>
      <c r="H309" s="60">
        <f>IF($A309="","",SUMIFS(الرواتب_قسط_السلفة,الرواتب_السلفة,$A309,الرواتب_حالة_الصرف,"مصروف"))</f>
        <v/>
      </c>
      <c r="I309" s="60">
        <f>IF($A309="","",MAX(0,$E309-$H309))</f>
        <v/>
      </c>
      <c r="J309" s="110" t="n"/>
      <c r="K309" s="40" t="n"/>
      <c r="L309" s="40" t="n"/>
    </row>
    <row r="310">
      <c r="A310" s="46" t="n"/>
      <c r="B310" s="47" t="n"/>
      <c r="C310" s="50">
        <f>IFERROR(INDEX(الموظفون_الاسم,MATCH($B310,الموظفون_الرقم,0)),"")</f>
        <v/>
      </c>
      <c r="D310" s="112" t="n"/>
      <c r="E310" s="49" t="n"/>
      <c r="F310" s="47" t="n"/>
      <c r="G310" s="63">
        <f>IF(OR($E310="",$F310="",$F310=0),"",$E310/$F310)</f>
        <v/>
      </c>
      <c r="H310" s="63">
        <f>IF($A310="","",SUMIFS(الرواتب_قسط_السلفة,الرواتب_السلفة,$A310,الرواتب_حالة_الصرف,"مصروف"))</f>
        <v/>
      </c>
      <c r="I310" s="63">
        <f>IF($A310="","",MAX(0,$E310-$H310))</f>
        <v/>
      </c>
      <c r="J310" s="112" t="n"/>
      <c r="K310" s="47" t="n"/>
      <c r="L310" s="47" t="n"/>
    </row>
    <row r="311">
      <c r="A311" s="39" t="n"/>
      <c r="B311" s="40" t="n"/>
      <c r="C311" s="43">
        <f>IFERROR(INDEX(الموظفون_الاسم,MATCH($B311,الموظفون_الرقم,0)),"")</f>
        <v/>
      </c>
      <c r="D311" s="110" t="n"/>
      <c r="E311" s="42" t="n"/>
      <c r="F311" s="40" t="n"/>
      <c r="G311" s="60">
        <f>IF(OR($E311="",$F311="",$F311=0),"",$E311/$F311)</f>
        <v/>
      </c>
      <c r="H311" s="60">
        <f>IF($A311="","",SUMIFS(الرواتب_قسط_السلفة,الرواتب_السلفة,$A311,الرواتب_حالة_الصرف,"مصروف"))</f>
        <v/>
      </c>
      <c r="I311" s="60">
        <f>IF($A311="","",MAX(0,$E311-$H311))</f>
        <v/>
      </c>
      <c r="J311" s="110" t="n"/>
      <c r="K311" s="40" t="n"/>
      <c r="L311" s="40" t="n"/>
    </row>
    <row r="312">
      <c r="A312" s="46" t="n"/>
      <c r="B312" s="47" t="n"/>
      <c r="C312" s="50">
        <f>IFERROR(INDEX(الموظفون_الاسم,MATCH($B312,الموظفون_الرقم,0)),"")</f>
        <v/>
      </c>
      <c r="D312" s="112" t="n"/>
      <c r="E312" s="49" t="n"/>
      <c r="F312" s="47" t="n"/>
      <c r="G312" s="63">
        <f>IF(OR($E312="",$F312="",$F312=0),"",$E312/$F312)</f>
        <v/>
      </c>
      <c r="H312" s="63">
        <f>IF($A312="","",SUMIFS(الرواتب_قسط_السلفة,الرواتب_السلفة,$A312,الرواتب_حالة_الصرف,"مصروف"))</f>
        <v/>
      </c>
      <c r="I312" s="63">
        <f>IF($A312="","",MAX(0,$E312-$H312))</f>
        <v/>
      </c>
      <c r="J312" s="112" t="n"/>
      <c r="K312" s="47" t="n"/>
      <c r="L312" s="47" t="n"/>
    </row>
    <row r="313">
      <c r="A313" s="39" t="n"/>
      <c r="B313" s="40" t="n"/>
      <c r="C313" s="43">
        <f>IFERROR(INDEX(الموظفون_الاسم,MATCH($B313,الموظفون_الرقم,0)),"")</f>
        <v/>
      </c>
      <c r="D313" s="110" t="n"/>
      <c r="E313" s="42" t="n"/>
      <c r="F313" s="40" t="n"/>
      <c r="G313" s="60">
        <f>IF(OR($E313="",$F313="",$F313=0),"",$E313/$F313)</f>
        <v/>
      </c>
      <c r="H313" s="60">
        <f>IF($A313="","",SUMIFS(الرواتب_قسط_السلفة,الرواتب_السلفة,$A313,الرواتب_حالة_الصرف,"مصروف"))</f>
        <v/>
      </c>
      <c r="I313" s="60">
        <f>IF($A313="","",MAX(0,$E313-$H313))</f>
        <v/>
      </c>
      <c r="J313" s="110" t="n"/>
      <c r="K313" s="40" t="n"/>
      <c r="L313" s="40" t="n"/>
    </row>
    <row r="314">
      <c r="A314" s="46" t="n"/>
      <c r="B314" s="47" t="n"/>
      <c r="C314" s="50">
        <f>IFERROR(INDEX(الموظفون_الاسم,MATCH($B314,الموظفون_الرقم,0)),"")</f>
        <v/>
      </c>
      <c r="D314" s="112" t="n"/>
      <c r="E314" s="49" t="n"/>
      <c r="F314" s="47" t="n"/>
      <c r="G314" s="63">
        <f>IF(OR($E314="",$F314="",$F314=0),"",$E314/$F314)</f>
        <v/>
      </c>
      <c r="H314" s="63">
        <f>IF($A314="","",SUMIFS(الرواتب_قسط_السلفة,الرواتب_السلفة,$A314,الرواتب_حالة_الصرف,"مصروف"))</f>
        <v/>
      </c>
      <c r="I314" s="63">
        <f>IF($A314="","",MAX(0,$E314-$H314))</f>
        <v/>
      </c>
      <c r="J314" s="112" t="n"/>
      <c r="K314" s="47" t="n"/>
      <c r="L314" s="47" t="n"/>
    </row>
    <row r="315">
      <c r="A315" s="39" t="n"/>
      <c r="B315" s="40" t="n"/>
      <c r="C315" s="43">
        <f>IFERROR(INDEX(الموظفون_الاسم,MATCH($B315,الموظفون_الرقم,0)),"")</f>
        <v/>
      </c>
      <c r="D315" s="110" t="n"/>
      <c r="E315" s="42" t="n"/>
      <c r="F315" s="40" t="n"/>
      <c r="G315" s="60">
        <f>IF(OR($E315="",$F315="",$F315=0),"",$E315/$F315)</f>
        <v/>
      </c>
      <c r="H315" s="60">
        <f>IF($A315="","",SUMIFS(الرواتب_قسط_السلفة,الرواتب_السلفة,$A315,الرواتب_حالة_الصرف,"مصروف"))</f>
        <v/>
      </c>
      <c r="I315" s="60">
        <f>IF($A315="","",MAX(0,$E315-$H315))</f>
        <v/>
      </c>
      <c r="J315" s="110" t="n"/>
      <c r="K315" s="40" t="n"/>
      <c r="L315" s="40" t="n"/>
    </row>
    <row r="316">
      <c r="A316" s="46" t="n"/>
      <c r="B316" s="47" t="n"/>
      <c r="C316" s="50">
        <f>IFERROR(INDEX(الموظفون_الاسم,MATCH($B316,الموظفون_الرقم,0)),"")</f>
        <v/>
      </c>
      <c r="D316" s="112" t="n"/>
      <c r="E316" s="49" t="n"/>
      <c r="F316" s="47" t="n"/>
      <c r="G316" s="63">
        <f>IF(OR($E316="",$F316="",$F316=0),"",$E316/$F316)</f>
        <v/>
      </c>
      <c r="H316" s="63">
        <f>IF($A316="","",SUMIFS(الرواتب_قسط_السلفة,الرواتب_السلفة,$A316,الرواتب_حالة_الصرف,"مصروف"))</f>
        <v/>
      </c>
      <c r="I316" s="63">
        <f>IF($A316="","",MAX(0,$E316-$H316))</f>
        <v/>
      </c>
      <c r="J316" s="112" t="n"/>
      <c r="K316" s="47" t="n"/>
      <c r="L316" s="47" t="n"/>
    </row>
    <row r="317">
      <c r="A317" s="39" t="n"/>
      <c r="B317" s="40" t="n"/>
      <c r="C317" s="43">
        <f>IFERROR(INDEX(الموظفون_الاسم,MATCH($B317,الموظفون_الرقم,0)),"")</f>
        <v/>
      </c>
      <c r="D317" s="110" t="n"/>
      <c r="E317" s="42" t="n"/>
      <c r="F317" s="40" t="n"/>
      <c r="G317" s="60">
        <f>IF(OR($E317="",$F317="",$F317=0),"",$E317/$F317)</f>
        <v/>
      </c>
      <c r="H317" s="60">
        <f>IF($A317="","",SUMIFS(الرواتب_قسط_السلفة,الرواتب_السلفة,$A317,الرواتب_حالة_الصرف,"مصروف"))</f>
        <v/>
      </c>
      <c r="I317" s="60">
        <f>IF($A317="","",MAX(0,$E317-$H317))</f>
        <v/>
      </c>
      <c r="J317" s="110" t="n"/>
      <c r="K317" s="40" t="n"/>
      <c r="L317" s="40" t="n"/>
    </row>
    <row r="318">
      <c r="A318" s="46" t="n"/>
      <c r="B318" s="47" t="n"/>
      <c r="C318" s="50">
        <f>IFERROR(INDEX(الموظفون_الاسم,MATCH($B318,الموظفون_الرقم,0)),"")</f>
        <v/>
      </c>
      <c r="D318" s="112" t="n"/>
      <c r="E318" s="49" t="n"/>
      <c r="F318" s="47" t="n"/>
      <c r="G318" s="63">
        <f>IF(OR($E318="",$F318="",$F318=0),"",$E318/$F318)</f>
        <v/>
      </c>
      <c r="H318" s="63">
        <f>IF($A318="","",SUMIFS(الرواتب_قسط_السلفة,الرواتب_السلفة,$A318,الرواتب_حالة_الصرف,"مصروف"))</f>
        <v/>
      </c>
      <c r="I318" s="63">
        <f>IF($A318="","",MAX(0,$E318-$H318))</f>
        <v/>
      </c>
      <c r="J318" s="112" t="n"/>
      <c r="K318" s="47" t="n"/>
      <c r="L318" s="47" t="n"/>
    </row>
    <row r="319">
      <c r="A319" s="39" t="n"/>
      <c r="B319" s="40" t="n"/>
      <c r="C319" s="43">
        <f>IFERROR(INDEX(الموظفون_الاسم,MATCH($B319,الموظفون_الرقم,0)),"")</f>
        <v/>
      </c>
      <c r="D319" s="110" t="n"/>
      <c r="E319" s="42" t="n"/>
      <c r="F319" s="40" t="n"/>
      <c r="G319" s="60">
        <f>IF(OR($E319="",$F319="",$F319=0),"",$E319/$F319)</f>
        <v/>
      </c>
      <c r="H319" s="60">
        <f>IF($A319="","",SUMIFS(الرواتب_قسط_السلفة,الرواتب_السلفة,$A319,الرواتب_حالة_الصرف,"مصروف"))</f>
        <v/>
      </c>
      <c r="I319" s="60">
        <f>IF($A319="","",MAX(0,$E319-$H319))</f>
        <v/>
      </c>
      <c r="J319" s="110" t="n"/>
      <c r="K319" s="40" t="n"/>
      <c r="L319" s="40" t="n"/>
    </row>
    <row r="320">
      <c r="A320" s="46" t="n"/>
      <c r="B320" s="47" t="n"/>
      <c r="C320" s="50">
        <f>IFERROR(INDEX(الموظفون_الاسم,MATCH($B320,الموظفون_الرقم,0)),"")</f>
        <v/>
      </c>
      <c r="D320" s="112" t="n"/>
      <c r="E320" s="49" t="n"/>
      <c r="F320" s="47" t="n"/>
      <c r="G320" s="63">
        <f>IF(OR($E320="",$F320="",$F320=0),"",$E320/$F320)</f>
        <v/>
      </c>
      <c r="H320" s="63">
        <f>IF($A320="","",SUMIFS(الرواتب_قسط_السلفة,الرواتب_السلفة,$A320,الرواتب_حالة_الصرف,"مصروف"))</f>
        <v/>
      </c>
      <c r="I320" s="63">
        <f>IF($A320="","",MAX(0,$E320-$H320))</f>
        <v/>
      </c>
      <c r="J320" s="112" t="n"/>
      <c r="K320" s="47" t="n"/>
      <c r="L320" s="47" t="n"/>
    </row>
    <row r="321">
      <c r="A321" s="39" t="n"/>
      <c r="B321" s="40" t="n"/>
      <c r="C321" s="43">
        <f>IFERROR(INDEX(الموظفون_الاسم,MATCH($B321,الموظفون_الرقم,0)),"")</f>
        <v/>
      </c>
      <c r="D321" s="110" t="n"/>
      <c r="E321" s="42" t="n"/>
      <c r="F321" s="40" t="n"/>
      <c r="G321" s="60">
        <f>IF(OR($E321="",$F321="",$F321=0),"",$E321/$F321)</f>
        <v/>
      </c>
      <c r="H321" s="60">
        <f>IF($A321="","",SUMIFS(الرواتب_قسط_السلفة,الرواتب_السلفة,$A321,الرواتب_حالة_الصرف,"مصروف"))</f>
        <v/>
      </c>
      <c r="I321" s="60">
        <f>IF($A321="","",MAX(0,$E321-$H321))</f>
        <v/>
      </c>
      <c r="J321" s="110" t="n"/>
      <c r="K321" s="40" t="n"/>
      <c r="L321" s="40" t="n"/>
    </row>
    <row r="322">
      <c r="A322" s="46" t="n"/>
      <c r="B322" s="47" t="n"/>
      <c r="C322" s="50">
        <f>IFERROR(INDEX(الموظفون_الاسم,MATCH($B322,الموظفون_الرقم,0)),"")</f>
        <v/>
      </c>
      <c r="D322" s="112" t="n"/>
      <c r="E322" s="49" t="n"/>
      <c r="F322" s="47" t="n"/>
      <c r="G322" s="63">
        <f>IF(OR($E322="",$F322="",$F322=0),"",$E322/$F322)</f>
        <v/>
      </c>
      <c r="H322" s="63">
        <f>IF($A322="","",SUMIFS(الرواتب_قسط_السلفة,الرواتب_السلفة,$A322,الرواتب_حالة_الصرف,"مصروف"))</f>
        <v/>
      </c>
      <c r="I322" s="63">
        <f>IF($A322="","",MAX(0,$E322-$H322))</f>
        <v/>
      </c>
      <c r="J322" s="112" t="n"/>
      <c r="K322" s="47" t="n"/>
      <c r="L322" s="47" t="n"/>
    </row>
    <row r="323">
      <c r="A323" s="39" t="n"/>
      <c r="B323" s="40" t="n"/>
      <c r="C323" s="43">
        <f>IFERROR(INDEX(الموظفون_الاسم,MATCH($B323,الموظفون_الرقم,0)),"")</f>
        <v/>
      </c>
      <c r="D323" s="110" t="n"/>
      <c r="E323" s="42" t="n"/>
      <c r="F323" s="40" t="n"/>
      <c r="G323" s="60">
        <f>IF(OR($E323="",$F323="",$F323=0),"",$E323/$F323)</f>
        <v/>
      </c>
      <c r="H323" s="60">
        <f>IF($A323="","",SUMIFS(الرواتب_قسط_السلفة,الرواتب_السلفة,$A323,الرواتب_حالة_الصرف,"مصروف"))</f>
        <v/>
      </c>
      <c r="I323" s="60">
        <f>IF($A323="","",MAX(0,$E323-$H323))</f>
        <v/>
      </c>
      <c r="J323" s="110" t="n"/>
      <c r="K323" s="40" t="n"/>
      <c r="L323" s="40" t="n"/>
    </row>
    <row r="324">
      <c r="A324" s="46" t="n"/>
      <c r="B324" s="47" t="n"/>
      <c r="C324" s="50">
        <f>IFERROR(INDEX(الموظفون_الاسم,MATCH($B324,الموظفون_الرقم,0)),"")</f>
        <v/>
      </c>
      <c r="D324" s="112" t="n"/>
      <c r="E324" s="49" t="n"/>
      <c r="F324" s="47" t="n"/>
      <c r="G324" s="63">
        <f>IF(OR($E324="",$F324="",$F324=0),"",$E324/$F324)</f>
        <v/>
      </c>
      <c r="H324" s="63">
        <f>IF($A324="","",SUMIFS(الرواتب_قسط_السلفة,الرواتب_السلفة,$A324,الرواتب_حالة_الصرف,"مصروف"))</f>
        <v/>
      </c>
      <c r="I324" s="63">
        <f>IF($A324="","",MAX(0,$E324-$H324))</f>
        <v/>
      </c>
      <c r="J324" s="112" t="n"/>
      <c r="K324" s="47" t="n"/>
      <c r="L324" s="47" t="n"/>
    </row>
    <row r="325">
      <c r="A325" s="39" t="n"/>
      <c r="B325" s="40" t="n"/>
      <c r="C325" s="43">
        <f>IFERROR(INDEX(الموظفون_الاسم,MATCH($B325,الموظفون_الرقم,0)),"")</f>
        <v/>
      </c>
      <c r="D325" s="110" t="n"/>
      <c r="E325" s="42" t="n"/>
      <c r="F325" s="40" t="n"/>
      <c r="G325" s="60">
        <f>IF(OR($E325="",$F325="",$F325=0),"",$E325/$F325)</f>
        <v/>
      </c>
      <c r="H325" s="60">
        <f>IF($A325="","",SUMIFS(الرواتب_قسط_السلفة,الرواتب_السلفة,$A325,الرواتب_حالة_الصرف,"مصروف"))</f>
        <v/>
      </c>
      <c r="I325" s="60">
        <f>IF($A325="","",MAX(0,$E325-$H325))</f>
        <v/>
      </c>
      <c r="J325" s="110" t="n"/>
      <c r="K325" s="40" t="n"/>
      <c r="L325" s="40" t="n"/>
    </row>
    <row r="326">
      <c r="A326" s="46" t="n"/>
      <c r="B326" s="47" t="n"/>
      <c r="C326" s="50">
        <f>IFERROR(INDEX(الموظفون_الاسم,MATCH($B326,الموظفون_الرقم,0)),"")</f>
        <v/>
      </c>
      <c r="D326" s="112" t="n"/>
      <c r="E326" s="49" t="n"/>
      <c r="F326" s="47" t="n"/>
      <c r="G326" s="63">
        <f>IF(OR($E326="",$F326="",$F326=0),"",$E326/$F326)</f>
        <v/>
      </c>
      <c r="H326" s="63">
        <f>IF($A326="","",SUMIFS(الرواتب_قسط_السلفة,الرواتب_السلفة,$A326,الرواتب_حالة_الصرف,"مصروف"))</f>
        <v/>
      </c>
      <c r="I326" s="63">
        <f>IF($A326="","",MAX(0,$E326-$H326))</f>
        <v/>
      </c>
      <c r="J326" s="112" t="n"/>
      <c r="K326" s="47" t="n"/>
      <c r="L326" s="47" t="n"/>
    </row>
    <row r="327">
      <c r="A327" s="39" t="n"/>
      <c r="B327" s="40" t="n"/>
      <c r="C327" s="43">
        <f>IFERROR(INDEX(الموظفون_الاسم,MATCH($B327,الموظفون_الرقم,0)),"")</f>
        <v/>
      </c>
      <c r="D327" s="110" t="n"/>
      <c r="E327" s="42" t="n"/>
      <c r="F327" s="40" t="n"/>
      <c r="G327" s="60">
        <f>IF(OR($E327="",$F327="",$F327=0),"",$E327/$F327)</f>
        <v/>
      </c>
      <c r="H327" s="60">
        <f>IF($A327="","",SUMIFS(الرواتب_قسط_السلفة,الرواتب_السلفة,$A327,الرواتب_حالة_الصرف,"مصروف"))</f>
        <v/>
      </c>
      <c r="I327" s="60">
        <f>IF($A327="","",MAX(0,$E327-$H327))</f>
        <v/>
      </c>
      <c r="J327" s="110" t="n"/>
      <c r="K327" s="40" t="n"/>
      <c r="L327" s="40" t="n"/>
    </row>
    <row r="328">
      <c r="A328" s="46" t="n"/>
      <c r="B328" s="47" t="n"/>
      <c r="C328" s="50">
        <f>IFERROR(INDEX(الموظفون_الاسم,MATCH($B328,الموظفون_الرقم,0)),"")</f>
        <v/>
      </c>
      <c r="D328" s="112" t="n"/>
      <c r="E328" s="49" t="n"/>
      <c r="F328" s="47" t="n"/>
      <c r="G328" s="63">
        <f>IF(OR($E328="",$F328="",$F328=0),"",$E328/$F328)</f>
        <v/>
      </c>
      <c r="H328" s="63">
        <f>IF($A328="","",SUMIFS(الرواتب_قسط_السلفة,الرواتب_السلفة,$A328,الرواتب_حالة_الصرف,"مصروف"))</f>
        <v/>
      </c>
      <c r="I328" s="63">
        <f>IF($A328="","",MAX(0,$E328-$H328))</f>
        <v/>
      </c>
      <c r="J328" s="112" t="n"/>
      <c r="K328" s="47" t="n"/>
      <c r="L328" s="47" t="n"/>
    </row>
    <row r="329">
      <c r="A329" s="39" t="n"/>
      <c r="B329" s="40" t="n"/>
      <c r="C329" s="43">
        <f>IFERROR(INDEX(الموظفون_الاسم,MATCH($B329,الموظفون_الرقم,0)),"")</f>
        <v/>
      </c>
      <c r="D329" s="110" t="n"/>
      <c r="E329" s="42" t="n"/>
      <c r="F329" s="40" t="n"/>
      <c r="G329" s="60">
        <f>IF(OR($E329="",$F329="",$F329=0),"",$E329/$F329)</f>
        <v/>
      </c>
      <c r="H329" s="60">
        <f>IF($A329="","",SUMIFS(الرواتب_قسط_السلفة,الرواتب_السلفة,$A329,الرواتب_حالة_الصرف,"مصروف"))</f>
        <v/>
      </c>
      <c r="I329" s="60">
        <f>IF($A329="","",MAX(0,$E329-$H329))</f>
        <v/>
      </c>
      <c r="J329" s="110" t="n"/>
      <c r="K329" s="40" t="n"/>
      <c r="L329" s="40" t="n"/>
    </row>
    <row r="330">
      <c r="A330" s="46" t="n"/>
      <c r="B330" s="47" t="n"/>
      <c r="C330" s="50">
        <f>IFERROR(INDEX(الموظفون_الاسم,MATCH($B330,الموظفون_الرقم,0)),"")</f>
        <v/>
      </c>
      <c r="D330" s="112" t="n"/>
      <c r="E330" s="49" t="n"/>
      <c r="F330" s="47" t="n"/>
      <c r="G330" s="63">
        <f>IF(OR($E330="",$F330="",$F330=0),"",$E330/$F330)</f>
        <v/>
      </c>
      <c r="H330" s="63">
        <f>IF($A330="","",SUMIFS(الرواتب_قسط_السلفة,الرواتب_السلفة,$A330,الرواتب_حالة_الصرف,"مصروف"))</f>
        <v/>
      </c>
      <c r="I330" s="63">
        <f>IF($A330="","",MAX(0,$E330-$H330))</f>
        <v/>
      </c>
      <c r="J330" s="112" t="n"/>
      <c r="K330" s="47" t="n"/>
      <c r="L330" s="47" t="n"/>
    </row>
    <row r="331">
      <c r="A331" s="39" t="n"/>
      <c r="B331" s="40" t="n"/>
      <c r="C331" s="43">
        <f>IFERROR(INDEX(الموظفون_الاسم,MATCH($B331,الموظفون_الرقم,0)),"")</f>
        <v/>
      </c>
      <c r="D331" s="110" t="n"/>
      <c r="E331" s="42" t="n"/>
      <c r="F331" s="40" t="n"/>
      <c r="G331" s="60">
        <f>IF(OR($E331="",$F331="",$F331=0),"",$E331/$F331)</f>
        <v/>
      </c>
      <c r="H331" s="60">
        <f>IF($A331="","",SUMIFS(الرواتب_قسط_السلفة,الرواتب_السلفة,$A331,الرواتب_حالة_الصرف,"مصروف"))</f>
        <v/>
      </c>
      <c r="I331" s="60">
        <f>IF($A331="","",MAX(0,$E331-$H331))</f>
        <v/>
      </c>
      <c r="J331" s="110" t="n"/>
      <c r="K331" s="40" t="n"/>
      <c r="L331" s="40" t="n"/>
    </row>
    <row r="332">
      <c r="A332" s="46" t="n"/>
      <c r="B332" s="47" t="n"/>
      <c r="C332" s="50">
        <f>IFERROR(INDEX(الموظفون_الاسم,MATCH($B332,الموظفون_الرقم,0)),"")</f>
        <v/>
      </c>
      <c r="D332" s="112" t="n"/>
      <c r="E332" s="49" t="n"/>
      <c r="F332" s="47" t="n"/>
      <c r="G332" s="63">
        <f>IF(OR($E332="",$F332="",$F332=0),"",$E332/$F332)</f>
        <v/>
      </c>
      <c r="H332" s="63">
        <f>IF($A332="","",SUMIFS(الرواتب_قسط_السلفة,الرواتب_السلفة,$A332,الرواتب_حالة_الصرف,"مصروف"))</f>
        <v/>
      </c>
      <c r="I332" s="63">
        <f>IF($A332="","",MAX(0,$E332-$H332))</f>
        <v/>
      </c>
      <c r="J332" s="112" t="n"/>
      <c r="K332" s="47" t="n"/>
      <c r="L332" s="47" t="n"/>
    </row>
    <row r="333">
      <c r="A333" s="39" t="n"/>
      <c r="B333" s="40" t="n"/>
      <c r="C333" s="43">
        <f>IFERROR(INDEX(الموظفون_الاسم,MATCH($B333,الموظفون_الرقم,0)),"")</f>
        <v/>
      </c>
      <c r="D333" s="110" t="n"/>
      <c r="E333" s="42" t="n"/>
      <c r="F333" s="40" t="n"/>
      <c r="G333" s="60">
        <f>IF(OR($E333="",$F333="",$F333=0),"",$E333/$F333)</f>
        <v/>
      </c>
      <c r="H333" s="60">
        <f>IF($A333="","",SUMIFS(الرواتب_قسط_السلفة,الرواتب_السلفة,$A333,الرواتب_حالة_الصرف,"مصروف"))</f>
        <v/>
      </c>
      <c r="I333" s="60">
        <f>IF($A333="","",MAX(0,$E333-$H333))</f>
        <v/>
      </c>
      <c r="J333" s="110" t="n"/>
      <c r="K333" s="40" t="n"/>
      <c r="L333" s="40" t="n"/>
    </row>
    <row r="334">
      <c r="A334" s="46" t="n"/>
      <c r="B334" s="47" t="n"/>
      <c r="C334" s="50">
        <f>IFERROR(INDEX(الموظفون_الاسم,MATCH($B334,الموظفون_الرقم,0)),"")</f>
        <v/>
      </c>
      <c r="D334" s="112" t="n"/>
      <c r="E334" s="49" t="n"/>
      <c r="F334" s="47" t="n"/>
      <c r="G334" s="63">
        <f>IF(OR($E334="",$F334="",$F334=0),"",$E334/$F334)</f>
        <v/>
      </c>
      <c r="H334" s="63">
        <f>IF($A334="","",SUMIFS(الرواتب_قسط_السلفة,الرواتب_السلفة,$A334,الرواتب_حالة_الصرف,"مصروف"))</f>
        <v/>
      </c>
      <c r="I334" s="63">
        <f>IF($A334="","",MAX(0,$E334-$H334))</f>
        <v/>
      </c>
      <c r="J334" s="112" t="n"/>
      <c r="K334" s="47" t="n"/>
      <c r="L334" s="47" t="n"/>
    </row>
    <row r="335">
      <c r="A335" s="39" t="n"/>
      <c r="B335" s="40" t="n"/>
      <c r="C335" s="43">
        <f>IFERROR(INDEX(الموظفون_الاسم,MATCH($B335,الموظفون_الرقم,0)),"")</f>
        <v/>
      </c>
      <c r="D335" s="110" t="n"/>
      <c r="E335" s="42" t="n"/>
      <c r="F335" s="40" t="n"/>
      <c r="G335" s="60">
        <f>IF(OR($E335="",$F335="",$F335=0),"",$E335/$F335)</f>
        <v/>
      </c>
      <c r="H335" s="60">
        <f>IF($A335="","",SUMIFS(الرواتب_قسط_السلفة,الرواتب_السلفة,$A335,الرواتب_حالة_الصرف,"مصروف"))</f>
        <v/>
      </c>
      <c r="I335" s="60">
        <f>IF($A335="","",MAX(0,$E335-$H335))</f>
        <v/>
      </c>
      <c r="J335" s="110" t="n"/>
      <c r="K335" s="40" t="n"/>
      <c r="L335" s="40" t="n"/>
    </row>
    <row r="336">
      <c r="A336" s="46" t="n"/>
      <c r="B336" s="47" t="n"/>
      <c r="C336" s="50">
        <f>IFERROR(INDEX(الموظفون_الاسم,MATCH($B336,الموظفون_الرقم,0)),"")</f>
        <v/>
      </c>
      <c r="D336" s="112" t="n"/>
      <c r="E336" s="49" t="n"/>
      <c r="F336" s="47" t="n"/>
      <c r="G336" s="63">
        <f>IF(OR($E336="",$F336="",$F336=0),"",$E336/$F336)</f>
        <v/>
      </c>
      <c r="H336" s="63">
        <f>IF($A336="","",SUMIFS(الرواتب_قسط_السلفة,الرواتب_السلفة,$A336,الرواتب_حالة_الصرف,"مصروف"))</f>
        <v/>
      </c>
      <c r="I336" s="63">
        <f>IF($A336="","",MAX(0,$E336-$H336))</f>
        <v/>
      </c>
      <c r="J336" s="112" t="n"/>
      <c r="K336" s="47" t="n"/>
      <c r="L336" s="47" t="n"/>
    </row>
    <row r="337">
      <c r="A337" s="39" t="n"/>
      <c r="B337" s="40" t="n"/>
      <c r="C337" s="43">
        <f>IFERROR(INDEX(الموظفون_الاسم,MATCH($B337,الموظفون_الرقم,0)),"")</f>
        <v/>
      </c>
      <c r="D337" s="110" t="n"/>
      <c r="E337" s="42" t="n"/>
      <c r="F337" s="40" t="n"/>
      <c r="G337" s="60">
        <f>IF(OR($E337="",$F337="",$F337=0),"",$E337/$F337)</f>
        <v/>
      </c>
      <c r="H337" s="60">
        <f>IF($A337="","",SUMIFS(الرواتب_قسط_السلفة,الرواتب_السلفة,$A337,الرواتب_حالة_الصرف,"مصروف"))</f>
        <v/>
      </c>
      <c r="I337" s="60">
        <f>IF($A337="","",MAX(0,$E337-$H337))</f>
        <v/>
      </c>
      <c r="J337" s="110" t="n"/>
      <c r="K337" s="40" t="n"/>
      <c r="L337" s="40" t="n"/>
    </row>
    <row r="338">
      <c r="A338" s="46" t="n"/>
      <c r="B338" s="47" t="n"/>
      <c r="C338" s="50">
        <f>IFERROR(INDEX(الموظفون_الاسم,MATCH($B338,الموظفون_الرقم,0)),"")</f>
        <v/>
      </c>
      <c r="D338" s="112" t="n"/>
      <c r="E338" s="49" t="n"/>
      <c r="F338" s="47" t="n"/>
      <c r="G338" s="63">
        <f>IF(OR($E338="",$F338="",$F338=0),"",$E338/$F338)</f>
        <v/>
      </c>
      <c r="H338" s="63">
        <f>IF($A338="","",SUMIFS(الرواتب_قسط_السلفة,الرواتب_السلفة,$A338,الرواتب_حالة_الصرف,"مصروف"))</f>
        <v/>
      </c>
      <c r="I338" s="63">
        <f>IF($A338="","",MAX(0,$E338-$H338))</f>
        <v/>
      </c>
      <c r="J338" s="112" t="n"/>
      <c r="K338" s="47" t="n"/>
      <c r="L338" s="47" t="n"/>
    </row>
    <row r="339">
      <c r="A339" s="39" t="n"/>
      <c r="B339" s="40" t="n"/>
      <c r="C339" s="43">
        <f>IFERROR(INDEX(الموظفون_الاسم,MATCH($B339,الموظفون_الرقم,0)),"")</f>
        <v/>
      </c>
      <c r="D339" s="110" t="n"/>
      <c r="E339" s="42" t="n"/>
      <c r="F339" s="40" t="n"/>
      <c r="G339" s="60">
        <f>IF(OR($E339="",$F339="",$F339=0),"",$E339/$F339)</f>
        <v/>
      </c>
      <c r="H339" s="60">
        <f>IF($A339="","",SUMIFS(الرواتب_قسط_السلفة,الرواتب_السلفة,$A339,الرواتب_حالة_الصرف,"مصروف"))</f>
        <v/>
      </c>
      <c r="I339" s="60">
        <f>IF($A339="","",MAX(0,$E339-$H339))</f>
        <v/>
      </c>
      <c r="J339" s="110" t="n"/>
      <c r="K339" s="40" t="n"/>
      <c r="L339" s="40" t="n"/>
    </row>
    <row r="340">
      <c r="A340" s="46" t="n"/>
      <c r="B340" s="47" t="n"/>
      <c r="C340" s="50">
        <f>IFERROR(INDEX(الموظفون_الاسم,MATCH($B340,الموظفون_الرقم,0)),"")</f>
        <v/>
      </c>
      <c r="D340" s="112" t="n"/>
      <c r="E340" s="49" t="n"/>
      <c r="F340" s="47" t="n"/>
      <c r="G340" s="63">
        <f>IF(OR($E340="",$F340="",$F340=0),"",$E340/$F340)</f>
        <v/>
      </c>
      <c r="H340" s="63">
        <f>IF($A340="","",SUMIFS(الرواتب_قسط_السلفة,الرواتب_السلفة,$A340,الرواتب_حالة_الصرف,"مصروف"))</f>
        <v/>
      </c>
      <c r="I340" s="63">
        <f>IF($A340="","",MAX(0,$E340-$H340))</f>
        <v/>
      </c>
      <c r="J340" s="112" t="n"/>
      <c r="K340" s="47" t="n"/>
      <c r="L340" s="47" t="n"/>
    </row>
    <row r="341">
      <c r="A341" s="39" t="n"/>
      <c r="B341" s="40" t="n"/>
      <c r="C341" s="43">
        <f>IFERROR(INDEX(الموظفون_الاسم,MATCH($B341,الموظفون_الرقم,0)),"")</f>
        <v/>
      </c>
      <c r="D341" s="110" t="n"/>
      <c r="E341" s="42" t="n"/>
      <c r="F341" s="40" t="n"/>
      <c r="G341" s="60">
        <f>IF(OR($E341="",$F341="",$F341=0),"",$E341/$F341)</f>
        <v/>
      </c>
      <c r="H341" s="60">
        <f>IF($A341="","",SUMIFS(الرواتب_قسط_السلفة,الرواتب_السلفة,$A341,الرواتب_حالة_الصرف,"مصروف"))</f>
        <v/>
      </c>
      <c r="I341" s="60">
        <f>IF($A341="","",MAX(0,$E341-$H341))</f>
        <v/>
      </c>
      <c r="J341" s="110" t="n"/>
      <c r="K341" s="40" t="n"/>
      <c r="L341" s="40" t="n"/>
    </row>
    <row r="342">
      <c r="A342" s="46" t="n"/>
      <c r="B342" s="47" t="n"/>
      <c r="C342" s="50">
        <f>IFERROR(INDEX(الموظفون_الاسم,MATCH($B342,الموظفون_الرقم,0)),"")</f>
        <v/>
      </c>
      <c r="D342" s="112" t="n"/>
      <c r="E342" s="49" t="n"/>
      <c r="F342" s="47" t="n"/>
      <c r="G342" s="63">
        <f>IF(OR($E342="",$F342="",$F342=0),"",$E342/$F342)</f>
        <v/>
      </c>
      <c r="H342" s="63">
        <f>IF($A342="","",SUMIFS(الرواتب_قسط_السلفة,الرواتب_السلفة,$A342,الرواتب_حالة_الصرف,"مصروف"))</f>
        <v/>
      </c>
      <c r="I342" s="63">
        <f>IF($A342="","",MAX(0,$E342-$H342))</f>
        <v/>
      </c>
      <c r="J342" s="112" t="n"/>
      <c r="K342" s="47" t="n"/>
      <c r="L342" s="47" t="n"/>
    </row>
    <row r="343">
      <c r="A343" s="39" t="n"/>
      <c r="B343" s="40" t="n"/>
      <c r="C343" s="43">
        <f>IFERROR(INDEX(الموظفون_الاسم,MATCH($B343,الموظفون_الرقم,0)),"")</f>
        <v/>
      </c>
      <c r="D343" s="110" t="n"/>
      <c r="E343" s="42" t="n"/>
      <c r="F343" s="40" t="n"/>
      <c r="G343" s="60">
        <f>IF(OR($E343="",$F343="",$F343=0),"",$E343/$F343)</f>
        <v/>
      </c>
      <c r="H343" s="60">
        <f>IF($A343="","",SUMIFS(الرواتب_قسط_السلفة,الرواتب_السلفة,$A343,الرواتب_حالة_الصرف,"مصروف"))</f>
        <v/>
      </c>
      <c r="I343" s="60">
        <f>IF($A343="","",MAX(0,$E343-$H343))</f>
        <v/>
      </c>
      <c r="J343" s="110" t="n"/>
      <c r="K343" s="40" t="n"/>
      <c r="L343" s="40" t="n"/>
    </row>
    <row r="344">
      <c r="A344" s="46" t="n"/>
      <c r="B344" s="47" t="n"/>
      <c r="C344" s="50">
        <f>IFERROR(INDEX(الموظفون_الاسم,MATCH($B344,الموظفون_الرقم,0)),"")</f>
        <v/>
      </c>
      <c r="D344" s="112" t="n"/>
      <c r="E344" s="49" t="n"/>
      <c r="F344" s="47" t="n"/>
      <c r="G344" s="63">
        <f>IF(OR($E344="",$F344="",$F344=0),"",$E344/$F344)</f>
        <v/>
      </c>
      <c r="H344" s="63">
        <f>IF($A344="","",SUMIFS(الرواتب_قسط_السلفة,الرواتب_السلفة,$A344,الرواتب_حالة_الصرف,"مصروف"))</f>
        <v/>
      </c>
      <c r="I344" s="63">
        <f>IF($A344="","",MAX(0,$E344-$H344))</f>
        <v/>
      </c>
      <c r="J344" s="112" t="n"/>
      <c r="K344" s="47" t="n"/>
      <c r="L344" s="47" t="n"/>
    </row>
    <row r="345">
      <c r="A345" s="39" t="n"/>
      <c r="B345" s="40" t="n"/>
      <c r="C345" s="43">
        <f>IFERROR(INDEX(الموظفون_الاسم,MATCH($B345,الموظفون_الرقم,0)),"")</f>
        <v/>
      </c>
      <c r="D345" s="110" t="n"/>
      <c r="E345" s="42" t="n"/>
      <c r="F345" s="40" t="n"/>
      <c r="G345" s="60">
        <f>IF(OR($E345="",$F345="",$F345=0),"",$E345/$F345)</f>
        <v/>
      </c>
      <c r="H345" s="60">
        <f>IF($A345="","",SUMIFS(الرواتب_قسط_السلفة,الرواتب_السلفة,$A345,الرواتب_حالة_الصرف,"مصروف"))</f>
        <v/>
      </c>
      <c r="I345" s="60">
        <f>IF($A345="","",MAX(0,$E345-$H345))</f>
        <v/>
      </c>
      <c r="J345" s="110" t="n"/>
      <c r="K345" s="40" t="n"/>
      <c r="L345" s="40" t="n"/>
    </row>
    <row r="346">
      <c r="A346" s="46" t="n"/>
      <c r="B346" s="47" t="n"/>
      <c r="C346" s="50">
        <f>IFERROR(INDEX(الموظفون_الاسم,MATCH($B346,الموظفون_الرقم,0)),"")</f>
        <v/>
      </c>
      <c r="D346" s="112" t="n"/>
      <c r="E346" s="49" t="n"/>
      <c r="F346" s="47" t="n"/>
      <c r="G346" s="63">
        <f>IF(OR($E346="",$F346="",$F346=0),"",$E346/$F346)</f>
        <v/>
      </c>
      <c r="H346" s="63">
        <f>IF($A346="","",SUMIFS(الرواتب_قسط_السلفة,الرواتب_السلفة,$A346,الرواتب_حالة_الصرف,"مصروف"))</f>
        <v/>
      </c>
      <c r="I346" s="63">
        <f>IF($A346="","",MAX(0,$E346-$H346))</f>
        <v/>
      </c>
      <c r="J346" s="112" t="n"/>
      <c r="K346" s="47" t="n"/>
      <c r="L346" s="47" t="n"/>
    </row>
    <row r="347">
      <c r="A347" s="39" t="n"/>
      <c r="B347" s="40" t="n"/>
      <c r="C347" s="43">
        <f>IFERROR(INDEX(الموظفون_الاسم,MATCH($B347,الموظفون_الرقم,0)),"")</f>
        <v/>
      </c>
      <c r="D347" s="110" t="n"/>
      <c r="E347" s="42" t="n"/>
      <c r="F347" s="40" t="n"/>
      <c r="G347" s="60">
        <f>IF(OR($E347="",$F347="",$F347=0),"",$E347/$F347)</f>
        <v/>
      </c>
      <c r="H347" s="60">
        <f>IF($A347="","",SUMIFS(الرواتب_قسط_السلفة,الرواتب_السلفة,$A347,الرواتب_حالة_الصرف,"مصروف"))</f>
        <v/>
      </c>
      <c r="I347" s="60">
        <f>IF($A347="","",MAX(0,$E347-$H347))</f>
        <v/>
      </c>
      <c r="J347" s="110" t="n"/>
      <c r="K347" s="40" t="n"/>
      <c r="L347" s="40" t="n"/>
    </row>
    <row r="348">
      <c r="A348" s="46" t="n"/>
      <c r="B348" s="47" t="n"/>
      <c r="C348" s="50">
        <f>IFERROR(INDEX(الموظفون_الاسم,MATCH($B348,الموظفون_الرقم,0)),"")</f>
        <v/>
      </c>
      <c r="D348" s="112" t="n"/>
      <c r="E348" s="49" t="n"/>
      <c r="F348" s="47" t="n"/>
      <c r="G348" s="63">
        <f>IF(OR($E348="",$F348="",$F348=0),"",$E348/$F348)</f>
        <v/>
      </c>
      <c r="H348" s="63">
        <f>IF($A348="","",SUMIFS(الرواتب_قسط_السلفة,الرواتب_السلفة,$A348,الرواتب_حالة_الصرف,"مصروف"))</f>
        <v/>
      </c>
      <c r="I348" s="63">
        <f>IF($A348="","",MAX(0,$E348-$H348))</f>
        <v/>
      </c>
      <c r="J348" s="112" t="n"/>
      <c r="K348" s="47" t="n"/>
      <c r="L348" s="47" t="n"/>
    </row>
    <row r="349">
      <c r="A349" s="39" t="n"/>
      <c r="B349" s="40" t="n"/>
      <c r="C349" s="43">
        <f>IFERROR(INDEX(الموظفون_الاسم,MATCH($B349,الموظفون_الرقم,0)),"")</f>
        <v/>
      </c>
      <c r="D349" s="110" t="n"/>
      <c r="E349" s="42" t="n"/>
      <c r="F349" s="40" t="n"/>
      <c r="G349" s="60">
        <f>IF(OR($E349="",$F349="",$F349=0),"",$E349/$F349)</f>
        <v/>
      </c>
      <c r="H349" s="60">
        <f>IF($A349="","",SUMIFS(الرواتب_قسط_السلفة,الرواتب_السلفة,$A349,الرواتب_حالة_الصرف,"مصروف"))</f>
        <v/>
      </c>
      <c r="I349" s="60">
        <f>IF($A349="","",MAX(0,$E349-$H349))</f>
        <v/>
      </c>
      <c r="J349" s="110" t="n"/>
      <c r="K349" s="40" t="n"/>
      <c r="L349" s="40" t="n"/>
    </row>
    <row r="350">
      <c r="A350" s="46" t="n"/>
      <c r="B350" s="47" t="n"/>
      <c r="C350" s="50">
        <f>IFERROR(INDEX(الموظفون_الاسم,MATCH($B350,الموظفون_الرقم,0)),"")</f>
        <v/>
      </c>
      <c r="D350" s="112" t="n"/>
      <c r="E350" s="49" t="n"/>
      <c r="F350" s="47" t="n"/>
      <c r="G350" s="63">
        <f>IF(OR($E350="",$F350="",$F350=0),"",$E350/$F350)</f>
        <v/>
      </c>
      <c r="H350" s="63">
        <f>IF($A350="","",SUMIFS(الرواتب_قسط_السلفة,الرواتب_السلفة,$A350,الرواتب_حالة_الصرف,"مصروف"))</f>
        <v/>
      </c>
      <c r="I350" s="63">
        <f>IF($A350="","",MAX(0,$E350-$H350))</f>
        <v/>
      </c>
      <c r="J350" s="112" t="n"/>
      <c r="K350" s="47" t="n"/>
      <c r="L350" s="47" t="n"/>
    </row>
    <row r="351">
      <c r="A351" s="39" t="n"/>
      <c r="B351" s="40" t="n"/>
      <c r="C351" s="43">
        <f>IFERROR(INDEX(الموظفون_الاسم,MATCH($B351,الموظفون_الرقم,0)),"")</f>
        <v/>
      </c>
      <c r="D351" s="110" t="n"/>
      <c r="E351" s="42" t="n"/>
      <c r="F351" s="40" t="n"/>
      <c r="G351" s="60">
        <f>IF(OR($E351="",$F351="",$F351=0),"",$E351/$F351)</f>
        <v/>
      </c>
      <c r="H351" s="60">
        <f>IF($A351="","",SUMIFS(الرواتب_قسط_السلفة,الرواتب_السلفة,$A351,الرواتب_حالة_الصرف,"مصروف"))</f>
        <v/>
      </c>
      <c r="I351" s="60">
        <f>IF($A351="","",MAX(0,$E351-$H351))</f>
        <v/>
      </c>
      <c r="J351" s="110" t="n"/>
      <c r="K351" s="40" t="n"/>
      <c r="L351" s="40" t="n"/>
    </row>
    <row r="352">
      <c r="A352" s="46" t="n"/>
      <c r="B352" s="47" t="n"/>
      <c r="C352" s="50">
        <f>IFERROR(INDEX(الموظفون_الاسم,MATCH($B352,الموظفون_الرقم,0)),"")</f>
        <v/>
      </c>
      <c r="D352" s="112" t="n"/>
      <c r="E352" s="49" t="n"/>
      <c r="F352" s="47" t="n"/>
      <c r="G352" s="63">
        <f>IF(OR($E352="",$F352="",$F352=0),"",$E352/$F352)</f>
        <v/>
      </c>
      <c r="H352" s="63">
        <f>IF($A352="","",SUMIFS(الرواتب_قسط_السلفة,الرواتب_السلفة,$A352,الرواتب_حالة_الصرف,"مصروف"))</f>
        <v/>
      </c>
      <c r="I352" s="63">
        <f>IF($A352="","",MAX(0,$E352-$H352))</f>
        <v/>
      </c>
      <c r="J352" s="112" t="n"/>
      <c r="K352" s="47" t="n"/>
      <c r="L352" s="47" t="n"/>
    </row>
    <row r="353">
      <c r="A353" s="39" t="n"/>
      <c r="B353" s="40" t="n"/>
      <c r="C353" s="43">
        <f>IFERROR(INDEX(الموظفون_الاسم,MATCH($B353,الموظفون_الرقم,0)),"")</f>
        <v/>
      </c>
      <c r="D353" s="110" t="n"/>
      <c r="E353" s="42" t="n"/>
      <c r="F353" s="40" t="n"/>
      <c r="G353" s="60">
        <f>IF(OR($E353="",$F353="",$F353=0),"",$E353/$F353)</f>
        <v/>
      </c>
      <c r="H353" s="60">
        <f>IF($A353="","",SUMIFS(الرواتب_قسط_السلفة,الرواتب_السلفة,$A353,الرواتب_حالة_الصرف,"مصروف"))</f>
        <v/>
      </c>
      <c r="I353" s="60">
        <f>IF($A353="","",MAX(0,$E353-$H353))</f>
        <v/>
      </c>
      <c r="J353" s="110" t="n"/>
      <c r="K353" s="40" t="n"/>
      <c r="L353" s="40" t="n"/>
    </row>
    <row r="354">
      <c r="A354" s="46" t="n"/>
      <c r="B354" s="47" t="n"/>
      <c r="C354" s="50">
        <f>IFERROR(INDEX(الموظفون_الاسم,MATCH($B354,الموظفون_الرقم,0)),"")</f>
        <v/>
      </c>
      <c r="D354" s="112" t="n"/>
      <c r="E354" s="49" t="n"/>
      <c r="F354" s="47" t="n"/>
      <c r="G354" s="63">
        <f>IF(OR($E354="",$F354="",$F354=0),"",$E354/$F354)</f>
        <v/>
      </c>
      <c r="H354" s="63">
        <f>IF($A354="","",SUMIFS(الرواتب_قسط_السلفة,الرواتب_السلفة,$A354,الرواتب_حالة_الصرف,"مصروف"))</f>
        <v/>
      </c>
      <c r="I354" s="63">
        <f>IF($A354="","",MAX(0,$E354-$H354))</f>
        <v/>
      </c>
      <c r="J354" s="112" t="n"/>
      <c r="K354" s="47" t="n"/>
      <c r="L354" s="47" t="n"/>
    </row>
    <row r="355">
      <c r="A355" s="39" t="n"/>
      <c r="B355" s="40" t="n"/>
      <c r="C355" s="43">
        <f>IFERROR(INDEX(الموظفون_الاسم,MATCH($B355,الموظفون_الرقم,0)),"")</f>
        <v/>
      </c>
      <c r="D355" s="110" t="n"/>
      <c r="E355" s="42" t="n"/>
      <c r="F355" s="40" t="n"/>
      <c r="G355" s="60">
        <f>IF(OR($E355="",$F355="",$F355=0),"",$E355/$F355)</f>
        <v/>
      </c>
      <c r="H355" s="60">
        <f>IF($A355="","",SUMIFS(الرواتب_قسط_السلفة,الرواتب_السلفة,$A355,الرواتب_حالة_الصرف,"مصروف"))</f>
        <v/>
      </c>
      <c r="I355" s="60">
        <f>IF($A355="","",MAX(0,$E355-$H355))</f>
        <v/>
      </c>
      <c r="J355" s="110" t="n"/>
      <c r="K355" s="40" t="n"/>
      <c r="L355" s="40" t="n"/>
    </row>
    <row r="356">
      <c r="A356" s="46" t="n"/>
      <c r="B356" s="47" t="n"/>
      <c r="C356" s="50">
        <f>IFERROR(INDEX(الموظفون_الاسم,MATCH($B356,الموظفون_الرقم,0)),"")</f>
        <v/>
      </c>
      <c r="D356" s="112" t="n"/>
      <c r="E356" s="49" t="n"/>
      <c r="F356" s="47" t="n"/>
      <c r="G356" s="63">
        <f>IF(OR($E356="",$F356="",$F356=0),"",$E356/$F356)</f>
        <v/>
      </c>
      <c r="H356" s="63">
        <f>IF($A356="","",SUMIFS(الرواتب_قسط_السلفة,الرواتب_السلفة,$A356,الرواتب_حالة_الصرف,"مصروف"))</f>
        <v/>
      </c>
      <c r="I356" s="63">
        <f>IF($A356="","",MAX(0,$E356-$H356))</f>
        <v/>
      </c>
      <c r="J356" s="112" t="n"/>
      <c r="K356" s="47" t="n"/>
      <c r="L356" s="47" t="n"/>
    </row>
    <row r="357">
      <c r="A357" s="39" t="n"/>
      <c r="B357" s="40" t="n"/>
      <c r="C357" s="43">
        <f>IFERROR(INDEX(الموظفون_الاسم,MATCH($B357,الموظفون_الرقم,0)),"")</f>
        <v/>
      </c>
      <c r="D357" s="110" t="n"/>
      <c r="E357" s="42" t="n"/>
      <c r="F357" s="40" t="n"/>
      <c r="G357" s="60">
        <f>IF(OR($E357="",$F357="",$F357=0),"",$E357/$F357)</f>
        <v/>
      </c>
      <c r="H357" s="60">
        <f>IF($A357="","",SUMIFS(الرواتب_قسط_السلفة,الرواتب_السلفة,$A357,الرواتب_حالة_الصرف,"مصروف"))</f>
        <v/>
      </c>
      <c r="I357" s="60">
        <f>IF($A357="","",MAX(0,$E357-$H357))</f>
        <v/>
      </c>
      <c r="J357" s="110" t="n"/>
      <c r="K357" s="40" t="n"/>
      <c r="L357" s="40" t="n"/>
    </row>
    <row r="358">
      <c r="A358" s="46" t="n"/>
      <c r="B358" s="47" t="n"/>
      <c r="C358" s="50">
        <f>IFERROR(INDEX(الموظفون_الاسم,MATCH($B358,الموظفون_الرقم,0)),"")</f>
        <v/>
      </c>
      <c r="D358" s="112" t="n"/>
      <c r="E358" s="49" t="n"/>
      <c r="F358" s="47" t="n"/>
      <c r="G358" s="63">
        <f>IF(OR($E358="",$F358="",$F358=0),"",$E358/$F358)</f>
        <v/>
      </c>
      <c r="H358" s="63">
        <f>IF($A358="","",SUMIFS(الرواتب_قسط_السلفة,الرواتب_السلفة,$A358,الرواتب_حالة_الصرف,"مصروف"))</f>
        <v/>
      </c>
      <c r="I358" s="63">
        <f>IF($A358="","",MAX(0,$E358-$H358))</f>
        <v/>
      </c>
      <c r="J358" s="112" t="n"/>
      <c r="K358" s="47" t="n"/>
      <c r="L358" s="47" t="n"/>
    </row>
    <row r="359">
      <c r="A359" s="39" t="n"/>
      <c r="B359" s="40" t="n"/>
      <c r="C359" s="43">
        <f>IFERROR(INDEX(الموظفون_الاسم,MATCH($B359,الموظفون_الرقم,0)),"")</f>
        <v/>
      </c>
      <c r="D359" s="110" t="n"/>
      <c r="E359" s="42" t="n"/>
      <c r="F359" s="40" t="n"/>
      <c r="G359" s="60">
        <f>IF(OR($E359="",$F359="",$F359=0),"",$E359/$F359)</f>
        <v/>
      </c>
      <c r="H359" s="60">
        <f>IF($A359="","",SUMIFS(الرواتب_قسط_السلفة,الرواتب_السلفة,$A359,الرواتب_حالة_الصرف,"مصروف"))</f>
        <v/>
      </c>
      <c r="I359" s="60">
        <f>IF($A359="","",MAX(0,$E359-$H359))</f>
        <v/>
      </c>
      <c r="J359" s="110" t="n"/>
      <c r="K359" s="40" t="n"/>
      <c r="L359" s="40" t="n"/>
    </row>
    <row r="360">
      <c r="A360" s="46" t="n"/>
      <c r="B360" s="47" t="n"/>
      <c r="C360" s="50">
        <f>IFERROR(INDEX(الموظفون_الاسم,MATCH($B360,الموظفون_الرقم,0)),"")</f>
        <v/>
      </c>
      <c r="D360" s="112" t="n"/>
      <c r="E360" s="49" t="n"/>
      <c r="F360" s="47" t="n"/>
      <c r="G360" s="63">
        <f>IF(OR($E360="",$F360="",$F360=0),"",$E360/$F360)</f>
        <v/>
      </c>
      <c r="H360" s="63">
        <f>IF($A360="","",SUMIFS(الرواتب_قسط_السلفة,الرواتب_السلفة,$A360,الرواتب_حالة_الصرف,"مصروف"))</f>
        <v/>
      </c>
      <c r="I360" s="63">
        <f>IF($A360="","",MAX(0,$E360-$H360))</f>
        <v/>
      </c>
      <c r="J360" s="112" t="n"/>
      <c r="K360" s="47" t="n"/>
      <c r="L360" s="47" t="n"/>
    </row>
    <row r="361">
      <c r="A361" s="39" t="n"/>
      <c r="B361" s="40" t="n"/>
      <c r="C361" s="43">
        <f>IFERROR(INDEX(الموظفون_الاسم,MATCH($B361,الموظفون_الرقم,0)),"")</f>
        <v/>
      </c>
      <c r="D361" s="110" t="n"/>
      <c r="E361" s="42" t="n"/>
      <c r="F361" s="40" t="n"/>
      <c r="G361" s="60">
        <f>IF(OR($E361="",$F361="",$F361=0),"",$E361/$F361)</f>
        <v/>
      </c>
      <c r="H361" s="60">
        <f>IF($A361="","",SUMIFS(الرواتب_قسط_السلفة,الرواتب_السلفة,$A361,الرواتب_حالة_الصرف,"مصروف"))</f>
        <v/>
      </c>
      <c r="I361" s="60">
        <f>IF($A361="","",MAX(0,$E361-$H361))</f>
        <v/>
      </c>
      <c r="J361" s="110" t="n"/>
      <c r="K361" s="40" t="n"/>
      <c r="L361" s="40" t="n"/>
    </row>
    <row r="362">
      <c r="A362" s="46" t="n"/>
      <c r="B362" s="47" t="n"/>
      <c r="C362" s="50">
        <f>IFERROR(INDEX(الموظفون_الاسم,MATCH($B362,الموظفون_الرقم,0)),"")</f>
        <v/>
      </c>
      <c r="D362" s="112" t="n"/>
      <c r="E362" s="49" t="n"/>
      <c r="F362" s="47" t="n"/>
      <c r="G362" s="63">
        <f>IF(OR($E362="",$F362="",$F362=0),"",$E362/$F362)</f>
        <v/>
      </c>
      <c r="H362" s="63">
        <f>IF($A362="","",SUMIFS(الرواتب_قسط_السلفة,الرواتب_السلفة,$A362,الرواتب_حالة_الصرف,"مصروف"))</f>
        <v/>
      </c>
      <c r="I362" s="63">
        <f>IF($A362="","",MAX(0,$E362-$H362))</f>
        <v/>
      </c>
      <c r="J362" s="112" t="n"/>
      <c r="K362" s="47" t="n"/>
      <c r="L362" s="47" t="n"/>
    </row>
    <row r="363">
      <c r="A363" s="39" t="n"/>
      <c r="B363" s="40" t="n"/>
      <c r="C363" s="43">
        <f>IFERROR(INDEX(الموظفون_الاسم,MATCH($B363,الموظفون_الرقم,0)),"")</f>
        <v/>
      </c>
      <c r="D363" s="110" t="n"/>
      <c r="E363" s="42" t="n"/>
      <c r="F363" s="40" t="n"/>
      <c r="G363" s="60">
        <f>IF(OR($E363="",$F363="",$F363=0),"",$E363/$F363)</f>
        <v/>
      </c>
      <c r="H363" s="60">
        <f>IF($A363="","",SUMIFS(الرواتب_قسط_السلفة,الرواتب_السلفة,$A363,الرواتب_حالة_الصرف,"مصروف"))</f>
        <v/>
      </c>
      <c r="I363" s="60">
        <f>IF($A363="","",MAX(0,$E363-$H363))</f>
        <v/>
      </c>
      <c r="J363" s="110" t="n"/>
      <c r="K363" s="40" t="n"/>
      <c r="L363" s="40" t="n"/>
    </row>
    <row r="364">
      <c r="A364" s="46" t="n"/>
      <c r="B364" s="47" t="n"/>
      <c r="C364" s="50">
        <f>IFERROR(INDEX(الموظفون_الاسم,MATCH($B364,الموظفون_الرقم,0)),"")</f>
        <v/>
      </c>
      <c r="D364" s="112" t="n"/>
      <c r="E364" s="49" t="n"/>
      <c r="F364" s="47" t="n"/>
      <c r="G364" s="63">
        <f>IF(OR($E364="",$F364="",$F364=0),"",$E364/$F364)</f>
        <v/>
      </c>
      <c r="H364" s="63">
        <f>IF($A364="","",SUMIFS(الرواتب_قسط_السلفة,الرواتب_السلفة,$A364,الرواتب_حالة_الصرف,"مصروف"))</f>
        <v/>
      </c>
      <c r="I364" s="63">
        <f>IF($A364="","",MAX(0,$E364-$H364))</f>
        <v/>
      </c>
      <c r="J364" s="112" t="n"/>
      <c r="K364" s="47" t="n"/>
      <c r="L364" s="47" t="n"/>
    </row>
    <row r="365">
      <c r="A365" s="39" t="n"/>
      <c r="B365" s="40" t="n"/>
      <c r="C365" s="43">
        <f>IFERROR(INDEX(الموظفون_الاسم,MATCH($B365,الموظفون_الرقم,0)),"")</f>
        <v/>
      </c>
      <c r="D365" s="110" t="n"/>
      <c r="E365" s="42" t="n"/>
      <c r="F365" s="40" t="n"/>
      <c r="G365" s="60">
        <f>IF(OR($E365="",$F365="",$F365=0),"",$E365/$F365)</f>
        <v/>
      </c>
      <c r="H365" s="60">
        <f>IF($A365="","",SUMIFS(الرواتب_قسط_السلفة,الرواتب_السلفة,$A365,الرواتب_حالة_الصرف,"مصروف"))</f>
        <v/>
      </c>
      <c r="I365" s="60">
        <f>IF($A365="","",MAX(0,$E365-$H365))</f>
        <v/>
      </c>
      <c r="J365" s="110" t="n"/>
      <c r="K365" s="40" t="n"/>
      <c r="L365" s="40" t="n"/>
    </row>
    <row r="366">
      <c r="A366" s="46" t="n"/>
      <c r="B366" s="47" t="n"/>
      <c r="C366" s="50">
        <f>IFERROR(INDEX(الموظفون_الاسم,MATCH($B366,الموظفون_الرقم,0)),"")</f>
        <v/>
      </c>
      <c r="D366" s="112" t="n"/>
      <c r="E366" s="49" t="n"/>
      <c r="F366" s="47" t="n"/>
      <c r="G366" s="63">
        <f>IF(OR($E366="",$F366="",$F366=0),"",$E366/$F366)</f>
        <v/>
      </c>
      <c r="H366" s="63">
        <f>IF($A366="","",SUMIFS(الرواتب_قسط_السلفة,الرواتب_السلفة,$A366,الرواتب_حالة_الصرف,"مصروف"))</f>
        <v/>
      </c>
      <c r="I366" s="63">
        <f>IF($A366="","",MAX(0,$E366-$H366))</f>
        <v/>
      </c>
      <c r="J366" s="112" t="n"/>
      <c r="K366" s="47" t="n"/>
      <c r="L366" s="47" t="n"/>
    </row>
    <row r="367">
      <c r="A367" s="39" t="n"/>
      <c r="B367" s="40" t="n"/>
      <c r="C367" s="43">
        <f>IFERROR(INDEX(الموظفون_الاسم,MATCH($B367,الموظفون_الرقم,0)),"")</f>
        <v/>
      </c>
      <c r="D367" s="110" t="n"/>
      <c r="E367" s="42" t="n"/>
      <c r="F367" s="40" t="n"/>
      <c r="G367" s="60">
        <f>IF(OR($E367="",$F367="",$F367=0),"",$E367/$F367)</f>
        <v/>
      </c>
      <c r="H367" s="60">
        <f>IF($A367="","",SUMIFS(الرواتب_قسط_السلفة,الرواتب_السلفة,$A367,الرواتب_حالة_الصرف,"مصروف"))</f>
        <v/>
      </c>
      <c r="I367" s="60">
        <f>IF($A367="","",MAX(0,$E367-$H367))</f>
        <v/>
      </c>
      <c r="J367" s="110" t="n"/>
      <c r="K367" s="40" t="n"/>
      <c r="L367" s="40" t="n"/>
    </row>
    <row r="368">
      <c r="A368" s="46" t="n"/>
      <c r="B368" s="47" t="n"/>
      <c r="C368" s="50">
        <f>IFERROR(INDEX(الموظفون_الاسم,MATCH($B368,الموظفون_الرقم,0)),"")</f>
        <v/>
      </c>
      <c r="D368" s="112" t="n"/>
      <c r="E368" s="49" t="n"/>
      <c r="F368" s="47" t="n"/>
      <c r="G368" s="63">
        <f>IF(OR($E368="",$F368="",$F368=0),"",$E368/$F368)</f>
        <v/>
      </c>
      <c r="H368" s="63">
        <f>IF($A368="","",SUMIFS(الرواتب_قسط_السلفة,الرواتب_السلفة,$A368,الرواتب_حالة_الصرف,"مصروف"))</f>
        <v/>
      </c>
      <c r="I368" s="63">
        <f>IF($A368="","",MAX(0,$E368-$H368))</f>
        <v/>
      </c>
      <c r="J368" s="112" t="n"/>
      <c r="K368" s="47" t="n"/>
      <c r="L368" s="47" t="n"/>
    </row>
    <row r="369">
      <c r="A369" s="39" t="n"/>
      <c r="B369" s="40" t="n"/>
      <c r="C369" s="43">
        <f>IFERROR(INDEX(الموظفون_الاسم,MATCH($B369,الموظفون_الرقم,0)),"")</f>
        <v/>
      </c>
      <c r="D369" s="110" t="n"/>
      <c r="E369" s="42" t="n"/>
      <c r="F369" s="40" t="n"/>
      <c r="G369" s="60">
        <f>IF(OR($E369="",$F369="",$F369=0),"",$E369/$F369)</f>
        <v/>
      </c>
      <c r="H369" s="60">
        <f>IF($A369="","",SUMIFS(الرواتب_قسط_السلفة,الرواتب_السلفة,$A369,الرواتب_حالة_الصرف,"مصروف"))</f>
        <v/>
      </c>
      <c r="I369" s="60">
        <f>IF($A369="","",MAX(0,$E369-$H369))</f>
        <v/>
      </c>
      <c r="J369" s="110" t="n"/>
      <c r="K369" s="40" t="n"/>
      <c r="L369" s="40" t="n"/>
    </row>
    <row r="370">
      <c r="A370" s="46" t="n"/>
      <c r="B370" s="47" t="n"/>
      <c r="C370" s="50">
        <f>IFERROR(INDEX(الموظفون_الاسم,MATCH($B370,الموظفون_الرقم,0)),"")</f>
        <v/>
      </c>
      <c r="D370" s="112" t="n"/>
      <c r="E370" s="49" t="n"/>
      <c r="F370" s="47" t="n"/>
      <c r="G370" s="63">
        <f>IF(OR($E370="",$F370="",$F370=0),"",$E370/$F370)</f>
        <v/>
      </c>
      <c r="H370" s="63">
        <f>IF($A370="","",SUMIFS(الرواتب_قسط_السلفة,الرواتب_السلفة,$A370,الرواتب_حالة_الصرف,"مصروف"))</f>
        <v/>
      </c>
      <c r="I370" s="63">
        <f>IF($A370="","",MAX(0,$E370-$H370))</f>
        <v/>
      </c>
      <c r="J370" s="112" t="n"/>
      <c r="K370" s="47" t="n"/>
      <c r="L370" s="47" t="n"/>
    </row>
    <row r="371">
      <c r="A371" s="39" t="n"/>
      <c r="B371" s="40" t="n"/>
      <c r="C371" s="43">
        <f>IFERROR(INDEX(الموظفون_الاسم,MATCH($B371,الموظفون_الرقم,0)),"")</f>
        <v/>
      </c>
      <c r="D371" s="110" t="n"/>
      <c r="E371" s="42" t="n"/>
      <c r="F371" s="40" t="n"/>
      <c r="G371" s="60">
        <f>IF(OR($E371="",$F371="",$F371=0),"",$E371/$F371)</f>
        <v/>
      </c>
      <c r="H371" s="60">
        <f>IF($A371="","",SUMIFS(الرواتب_قسط_السلفة,الرواتب_السلفة,$A371,الرواتب_حالة_الصرف,"مصروف"))</f>
        <v/>
      </c>
      <c r="I371" s="60">
        <f>IF($A371="","",MAX(0,$E371-$H371))</f>
        <v/>
      </c>
      <c r="J371" s="110" t="n"/>
      <c r="K371" s="40" t="n"/>
      <c r="L371" s="40" t="n"/>
    </row>
    <row r="372">
      <c r="A372" s="46" t="n"/>
      <c r="B372" s="47" t="n"/>
      <c r="C372" s="50">
        <f>IFERROR(INDEX(الموظفون_الاسم,MATCH($B372,الموظفون_الرقم,0)),"")</f>
        <v/>
      </c>
      <c r="D372" s="112" t="n"/>
      <c r="E372" s="49" t="n"/>
      <c r="F372" s="47" t="n"/>
      <c r="G372" s="63">
        <f>IF(OR($E372="",$F372="",$F372=0),"",$E372/$F372)</f>
        <v/>
      </c>
      <c r="H372" s="63">
        <f>IF($A372="","",SUMIFS(الرواتب_قسط_السلفة,الرواتب_السلفة,$A372,الرواتب_حالة_الصرف,"مصروف"))</f>
        <v/>
      </c>
      <c r="I372" s="63">
        <f>IF($A372="","",MAX(0,$E372-$H372))</f>
        <v/>
      </c>
      <c r="J372" s="112" t="n"/>
      <c r="K372" s="47" t="n"/>
      <c r="L372" s="47" t="n"/>
    </row>
    <row r="373">
      <c r="A373" s="39" t="n"/>
      <c r="B373" s="40" t="n"/>
      <c r="C373" s="43">
        <f>IFERROR(INDEX(الموظفون_الاسم,MATCH($B373,الموظفون_الرقم,0)),"")</f>
        <v/>
      </c>
      <c r="D373" s="110" t="n"/>
      <c r="E373" s="42" t="n"/>
      <c r="F373" s="40" t="n"/>
      <c r="G373" s="60">
        <f>IF(OR($E373="",$F373="",$F373=0),"",$E373/$F373)</f>
        <v/>
      </c>
      <c r="H373" s="60">
        <f>IF($A373="","",SUMIFS(الرواتب_قسط_السلفة,الرواتب_السلفة,$A373,الرواتب_حالة_الصرف,"مصروف"))</f>
        <v/>
      </c>
      <c r="I373" s="60">
        <f>IF($A373="","",MAX(0,$E373-$H373))</f>
        <v/>
      </c>
      <c r="J373" s="110" t="n"/>
      <c r="K373" s="40" t="n"/>
      <c r="L373" s="40" t="n"/>
    </row>
    <row r="374">
      <c r="A374" s="46" t="n"/>
      <c r="B374" s="47" t="n"/>
      <c r="C374" s="50">
        <f>IFERROR(INDEX(الموظفون_الاسم,MATCH($B374,الموظفون_الرقم,0)),"")</f>
        <v/>
      </c>
      <c r="D374" s="112" t="n"/>
      <c r="E374" s="49" t="n"/>
      <c r="F374" s="47" t="n"/>
      <c r="G374" s="63">
        <f>IF(OR($E374="",$F374="",$F374=0),"",$E374/$F374)</f>
        <v/>
      </c>
      <c r="H374" s="63">
        <f>IF($A374="","",SUMIFS(الرواتب_قسط_السلفة,الرواتب_السلفة,$A374,الرواتب_حالة_الصرف,"مصروف"))</f>
        <v/>
      </c>
      <c r="I374" s="63">
        <f>IF($A374="","",MAX(0,$E374-$H374))</f>
        <v/>
      </c>
      <c r="J374" s="112" t="n"/>
      <c r="K374" s="47" t="n"/>
      <c r="L374" s="47" t="n"/>
    </row>
    <row r="375">
      <c r="A375" s="39" t="n"/>
      <c r="B375" s="40" t="n"/>
      <c r="C375" s="43">
        <f>IFERROR(INDEX(الموظفون_الاسم,MATCH($B375,الموظفون_الرقم,0)),"")</f>
        <v/>
      </c>
      <c r="D375" s="110" t="n"/>
      <c r="E375" s="42" t="n"/>
      <c r="F375" s="40" t="n"/>
      <c r="G375" s="60">
        <f>IF(OR($E375="",$F375="",$F375=0),"",$E375/$F375)</f>
        <v/>
      </c>
      <c r="H375" s="60">
        <f>IF($A375="","",SUMIFS(الرواتب_قسط_السلفة,الرواتب_السلفة,$A375,الرواتب_حالة_الصرف,"مصروف"))</f>
        <v/>
      </c>
      <c r="I375" s="60">
        <f>IF($A375="","",MAX(0,$E375-$H375))</f>
        <v/>
      </c>
      <c r="J375" s="110" t="n"/>
      <c r="K375" s="40" t="n"/>
      <c r="L375" s="40" t="n"/>
    </row>
    <row r="376">
      <c r="A376" s="46" t="n"/>
      <c r="B376" s="47" t="n"/>
      <c r="C376" s="50">
        <f>IFERROR(INDEX(الموظفون_الاسم,MATCH($B376,الموظفون_الرقم,0)),"")</f>
        <v/>
      </c>
      <c r="D376" s="112" t="n"/>
      <c r="E376" s="49" t="n"/>
      <c r="F376" s="47" t="n"/>
      <c r="G376" s="63">
        <f>IF(OR($E376="",$F376="",$F376=0),"",$E376/$F376)</f>
        <v/>
      </c>
      <c r="H376" s="63">
        <f>IF($A376="","",SUMIFS(الرواتب_قسط_السلفة,الرواتب_السلفة,$A376,الرواتب_حالة_الصرف,"مصروف"))</f>
        <v/>
      </c>
      <c r="I376" s="63">
        <f>IF($A376="","",MAX(0,$E376-$H376))</f>
        <v/>
      </c>
      <c r="J376" s="112" t="n"/>
      <c r="K376" s="47" t="n"/>
      <c r="L376" s="47" t="n"/>
    </row>
    <row r="377">
      <c r="A377" s="39" t="n"/>
      <c r="B377" s="40" t="n"/>
      <c r="C377" s="43">
        <f>IFERROR(INDEX(الموظفون_الاسم,MATCH($B377,الموظفون_الرقم,0)),"")</f>
        <v/>
      </c>
      <c r="D377" s="110" t="n"/>
      <c r="E377" s="42" t="n"/>
      <c r="F377" s="40" t="n"/>
      <c r="G377" s="60">
        <f>IF(OR($E377="",$F377="",$F377=0),"",$E377/$F377)</f>
        <v/>
      </c>
      <c r="H377" s="60">
        <f>IF($A377="","",SUMIFS(الرواتب_قسط_السلفة,الرواتب_السلفة,$A377,الرواتب_حالة_الصرف,"مصروف"))</f>
        <v/>
      </c>
      <c r="I377" s="60">
        <f>IF($A377="","",MAX(0,$E377-$H377))</f>
        <v/>
      </c>
      <c r="J377" s="110" t="n"/>
      <c r="K377" s="40" t="n"/>
      <c r="L377" s="40" t="n"/>
    </row>
    <row r="378">
      <c r="A378" s="46" t="n"/>
      <c r="B378" s="47" t="n"/>
      <c r="C378" s="50">
        <f>IFERROR(INDEX(الموظفون_الاسم,MATCH($B378,الموظفون_الرقم,0)),"")</f>
        <v/>
      </c>
      <c r="D378" s="112" t="n"/>
      <c r="E378" s="49" t="n"/>
      <c r="F378" s="47" t="n"/>
      <c r="G378" s="63">
        <f>IF(OR($E378="",$F378="",$F378=0),"",$E378/$F378)</f>
        <v/>
      </c>
      <c r="H378" s="63">
        <f>IF($A378="","",SUMIFS(الرواتب_قسط_السلفة,الرواتب_السلفة,$A378,الرواتب_حالة_الصرف,"مصروف"))</f>
        <v/>
      </c>
      <c r="I378" s="63">
        <f>IF($A378="","",MAX(0,$E378-$H378))</f>
        <v/>
      </c>
      <c r="J378" s="112" t="n"/>
      <c r="K378" s="47" t="n"/>
      <c r="L378" s="47" t="n"/>
    </row>
    <row r="379">
      <c r="A379" s="39" t="n"/>
      <c r="B379" s="40" t="n"/>
      <c r="C379" s="43">
        <f>IFERROR(INDEX(الموظفون_الاسم,MATCH($B379,الموظفون_الرقم,0)),"")</f>
        <v/>
      </c>
      <c r="D379" s="110" t="n"/>
      <c r="E379" s="42" t="n"/>
      <c r="F379" s="40" t="n"/>
      <c r="G379" s="60">
        <f>IF(OR($E379="",$F379="",$F379=0),"",$E379/$F379)</f>
        <v/>
      </c>
      <c r="H379" s="60">
        <f>IF($A379="","",SUMIFS(الرواتب_قسط_السلفة,الرواتب_السلفة,$A379,الرواتب_حالة_الصرف,"مصروف"))</f>
        <v/>
      </c>
      <c r="I379" s="60">
        <f>IF($A379="","",MAX(0,$E379-$H379))</f>
        <v/>
      </c>
      <c r="J379" s="110" t="n"/>
      <c r="K379" s="40" t="n"/>
      <c r="L379" s="40" t="n"/>
    </row>
    <row r="380">
      <c r="A380" s="46" t="n"/>
      <c r="B380" s="47" t="n"/>
      <c r="C380" s="50">
        <f>IFERROR(INDEX(الموظفون_الاسم,MATCH($B380,الموظفون_الرقم,0)),"")</f>
        <v/>
      </c>
      <c r="D380" s="112" t="n"/>
      <c r="E380" s="49" t="n"/>
      <c r="F380" s="47" t="n"/>
      <c r="G380" s="63">
        <f>IF(OR($E380="",$F380="",$F380=0),"",$E380/$F380)</f>
        <v/>
      </c>
      <c r="H380" s="63">
        <f>IF($A380="","",SUMIFS(الرواتب_قسط_السلفة,الرواتب_السلفة,$A380,الرواتب_حالة_الصرف,"مصروف"))</f>
        <v/>
      </c>
      <c r="I380" s="63">
        <f>IF($A380="","",MAX(0,$E380-$H380))</f>
        <v/>
      </c>
      <c r="J380" s="112" t="n"/>
      <c r="K380" s="47" t="n"/>
      <c r="L380" s="47" t="n"/>
    </row>
    <row r="381">
      <c r="A381" s="39" t="n"/>
      <c r="B381" s="40" t="n"/>
      <c r="C381" s="43">
        <f>IFERROR(INDEX(الموظفون_الاسم,MATCH($B381,الموظفون_الرقم,0)),"")</f>
        <v/>
      </c>
      <c r="D381" s="110" t="n"/>
      <c r="E381" s="42" t="n"/>
      <c r="F381" s="40" t="n"/>
      <c r="G381" s="60">
        <f>IF(OR($E381="",$F381="",$F381=0),"",$E381/$F381)</f>
        <v/>
      </c>
      <c r="H381" s="60">
        <f>IF($A381="","",SUMIFS(الرواتب_قسط_السلفة,الرواتب_السلفة,$A381,الرواتب_حالة_الصرف,"مصروف"))</f>
        <v/>
      </c>
      <c r="I381" s="60">
        <f>IF($A381="","",MAX(0,$E381-$H381))</f>
        <v/>
      </c>
      <c r="J381" s="110" t="n"/>
      <c r="K381" s="40" t="n"/>
      <c r="L381" s="40" t="n"/>
    </row>
    <row r="382">
      <c r="A382" s="46" t="n"/>
      <c r="B382" s="47" t="n"/>
      <c r="C382" s="50">
        <f>IFERROR(INDEX(الموظفون_الاسم,MATCH($B382,الموظفون_الرقم,0)),"")</f>
        <v/>
      </c>
      <c r="D382" s="112" t="n"/>
      <c r="E382" s="49" t="n"/>
      <c r="F382" s="47" t="n"/>
      <c r="G382" s="63">
        <f>IF(OR($E382="",$F382="",$F382=0),"",$E382/$F382)</f>
        <v/>
      </c>
      <c r="H382" s="63">
        <f>IF($A382="","",SUMIFS(الرواتب_قسط_السلفة,الرواتب_السلفة,$A382,الرواتب_حالة_الصرف,"مصروف"))</f>
        <v/>
      </c>
      <c r="I382" s="63">
        <f>IF($A382="","",MAX(0,$E382-$H382))</f>
        <v/>
      </c>
      <c r="J382" s="112" t="n"/>
      <c r="K382" s="47" t="n"/>
      <c r="L382" s="47" t="n"/>
    </row>
    <row r="383">
      <c r="A383" s="39" t="n"/>
      <c r="B383" s="40" t="n"/>
      <c r="C383" s="43">
        <f>IFERROR(INDEX(الموظفون_الاسم,MATCH($B383,الموظفون_الرقم,0)),"")</f>
        <v/>
      </c>
      <c r="D383" s="110" t="n"/>
      <c r="E383" s="42" t="n"/>
      <c r="F383" s="40" t="n"/>
      <c r="G383" s="60">
        <f>IF(OR($E383="",$F383="",$F383=0),"",$E383/$F383)</f>
        <v/>
      </c>
      <c r="H383" s="60">
        <f>IF($A383="","",SUMIFS(الرواتب_قسط_السلفة,الرواتب_السلفة,$A383,الرواتب_حالة_الصرف,"مصروف"))</f>
        <v/>
      </c>
      <c r="I383" s="60">
        <f>IF($A383="","",MAX(0,$E383-$H383))</f>
        <v/>
      </c>
      <c r="J383" s="110" t="n"/>
      <c r="K383" s="40" t="n"/>
      <c r="L383" s="40" t="n"/>
    </row>
    <row r="384">
      <c r="A384" s="46" t="n"/>
      <c r="B384" s="47" t="n"/>
      <c r="C384" s="50">
        <f>IFERROR(INDEX(الموظفون_الاسم,MATCH($B384,الموظفون_الرقم,0)),"")</f>
        <v/>
      </c>
      <c r="D384" s="112" t="n"/>
      <c r="E384" s="49" t="n"/>
      <c r="F384" s="47" t="n"/>
      <c r="G384" s="63">
        <f>IF(OR($E384="",$F384="",$F384=0),"",$E384/$F384)</f>
        <v/>
      </c>
      <c r="H384" s="63">
        <f>IF($A384="","",SUMIFS(الرواتب_قسط_السلفة,الرواتب_السلفة,$A384,الرواتب_حالة_الصرف,"مصروف"))</f>
        <v/>
      </c>
      <c r="I384" s="63">
        <f>IF($A384="","",MAX(0,$E384-$H384))</f>
        <v/>
      </c>
      <c r="J384" s="112" t="n"/>
      <c r="K384" s="47" t="n"/>
      <c r="L384" s="47" t="n"/>
    </row>
    <row r="385">
      <c r="A385" s="39" t="n"/>
      <c r="B385" s="40" t="n"/>
      <c r="C385" s="43">
        <f>IFERROR(INDEX(الموظفون_الاسم,MATCH($B385,الموظفون_الرقم,0)),"")</f>
        <v/>
      </c>
      <c r="D385" s="110" t="n"/>
      <c r="E385" s="42" t="n"/>
      <c r="F385" s="40" t="n"/>
      <c r="G385" s="60">
        <f>IF(OR($E385="",$F385="",$F385=0),"",$E385/$F385)</f>
        <v/>
      </c>
      <c r="H385" s="60">
        <f>IF($A385="","",SUMIFS(الرواتب_قسط_السلفة,الرواتب_السلفة,$A385,الرواتب_حالة_الصرف,"مصروف"))</f>
        <v/>
      </c>
      <c r="I385" s="60">
        <f>IF($A385="","",MAX(0,$E385-$H385))</f>
        <v/>
      </c>
      <c r="J385" s="110" t="n"/>
      <c r="K385" s="40" t="n"/>
      <c r="L385" s="40" t="n"/>
    </row>
    <row r="386">
      <c r="A386" s="46" t="n"/>
      <c r="B386" s="47" t="n"/>
      <c r="C386" s="50">
        <f>IFERROR(INDEX(الموظفون_الاسم,MATCH($B386,الموظفون_الرقم,0)),"")</f>
        <v/>
      </c>
      <c r="D386" s="112" t="n"/>
      <c r="E386" s="49" t="n"/>
      <c r="F386" s="47" t="n"/>
      <c r="G386" s="63">
        <f>IF(OR($E386="",$F386="",$F386=0),"",$E386/$F386)</f>
        <v/>
      </c>
      <c r="H386" s="63">
        <f>IF($A386="","",SUMIFS(الرواتب_قسط_السلفة,الرواتب_السلفة,$A386,الرواتب_حالة_الصرف,"مصروف"))</f>
        <v/>
      </c>
      <c r="I386" s="63">
        <f>IF($A386="","",MAX(0,$E386-$H386))</f>
        <v/>
      </c>
      <c r="J386" s="112" t="n"/>
      <c r="K386" s="47" t="n"/>
      <c r="L386" s="47" t="n"/>
    </row>
    <row r="387">
      <c r="A387" s="39" t="n"/>
      <c r="B387" s="40" t="n"/>
      <c r="C387" s="43">
        <f>IFERROR(INDEX(الموظفون_الاسم,MATCH($B387,الموظفون_الرقم,0)),"")</f>
        <v/>
      </c>
      <c r="D387" s="110" t="n"/>
      <c r="E387" s="42" t="n"/>
      <c r="F387" s="40" t="n"/>
      <c r="G387" s="60">
        <f>IF(OR($E387="",$F387="",$F387=0),"",$E387/$F387)</f>
        <v/>
      </c>
      <c r="H387" s="60">
        <f>IF($A387="","",SUMIFS(الرواتب_قسط_السلفة,الرواتب_السلفة,$A387,الرواتب_حالة_الصرف,"مصروف"))</f>
        <v/>
      </c>
      <c r="I387" s="60">
        <f>IF($A387="","",MAX(0,$E387-$H387))</f>
        <v/>
      </c>
      <c r="J387" s="110" t="n"/>
      <c r="K387" s="40" t="n"/>
      <c r="L387" s="40" t="n"/>
    </row>
    <row r="388">
      <c r="A388" s="46" t="n"/>
      <c r="B388" s="47" t="n"/>
      <c r="C388" s="50">
        <f>IFERROR(INDEX(الموظفون_الاسم,MATCH($B388,الموظفون_الرقم,0)),"")</f>
        <v/>
      </c>
      <c r="D388" s="112" t="n"/>
      <c r="E388" s="49" t="n"/>
      <c r="F388" s="47" t="n"/>
      <c r="G388" s="63">
        <f>IF(OR($E388="",$F388="",$F388=0),"",$E388/$F388)</f>
        <v/>
      </c>
      <c r="H388" s="63">
        <f>IF($A388="","",SUMIFS(الرواتب_قسط_السلفة,الرواتب_السلفة,$A388,الرواتب_حالة_الصرف,"مصروف"))</f>
        <v/>
      </c>
      <c r="I388" s="63">
        <f>IF($A388="","",MAX(0,$E388-$H388))</f>
        <v/>
      </c>
      <c r="J388" s="112" t="n"/>
      <c r="K388" s="47" t="n"/>
      <c r="L388" s="47" t="n"/>
    </row>
    <row r="389">
      <c r="A389" s="39" t="n"/>
      <c r="B389" s="40" t="n"/>
      <c r="C389" s="43">
        <f>IFERROR(INDEX(الموظفون_الاسم,MATCH($B389,الموظفون_الرقم,0)),"")</f>
        <v/>
      </c>
      <c r="D389" s="110" t="n"/>
      <c r="E389" s="42" t="n"/>
      <c r="F389" s="40" t="n"/>
      <c r="G389" s="60">
        <f>IF(OR($E389="",$F389="",$F389=0),"",$E389/$F389)</f>
        <v/>
      </c>
      <c r="H389" s="60">
        <f>IF($A389="","",SUMIFS(الرواتب_قسط_السلفة,الرواتب_السلفة,$A389,الرواتب_حالة_الصرف,"مصروف"))</f>
        <v/>
      </c>
      <c r="I389" s="60">
        <f>IF($A389="","",MAX(0,$E389-$H389))</f>
        <v/>
      </c>
      <c r="J389" s="110" t="n"/>
      <c r="K389" s="40" t="n"/>
      <c r="L389" s="40" t="n"/>
    </row>
    <row r="390">
      <c r="A390" s="46" t="n"/>
      <c r="B390" s="47" t="n"/>
      <c r="C390" s="50">
        <f>IFERROR(INDEX(الموظفون_الاسم,MATCH($B390,الموظفون_الرقم,0)),"")</f>
        <v/>
      </c>
      <c r="D390" s="112" t="n"/>
      <c r="E390" s="49" t="n"/>
      <c r="F390" s="47" t="n"/>
      <c r="G390" s="63">
        <f>IF(OR($E390="",$F390="",$F390=0),"",$E390/$F390)</f>
        <v/>
      </c>
      <c r="H390" s="63">
        <f>IF($A390="","",SUMIFS(الرواتب_قسط_السلفة,الرواتب_السلفة,$A390,الرواتب_حالة_الصرف,"مصروف"))</f>
        <v/>
      </c>
      <c r="I390" s="63">
        <f>IF($A390="","",MAX(0,$E390-$H390))</f>
        <v/>
      </c>
      <c r="J390" s="112" t="n"/>
      <c r="K390" s="47" t="n"/>
      <c r="L390" s="47" t="n"/>
    </row>
    <row r="391">
      <c r="A391" s="39" t="n"/>
      <c r="B391" s="40" t="n"/>
      <c r="C391" s="43">
        <f>IFERROR(INDEX(الموظفون_الاسم,MATCH($B391,الموظفون_الرقم,0)),"")</f>
        <v/>
      </c>
      <c r="D391" s="110" t="n"/>
      <c r="E391" s="42" t="n"/>
      <c r="F391" s="40" t="n"/>
      <c r="G391" s="60">
        <f>IF(OR($E391="",$F391="",$F391=0),"",$E391/$F391)</f>
        <v/>
      </c>
      <c r="H391" s="60">
        <f>IF($A391="","",SUMIFS(الرواتب_قسط_السلفة,الرواتب_السلفة,$A391,الرواتب_حالة_الصرف,"مصروف"))</f>
        <v/>
      </c>
      <c r="I391" s="60">
        <f>IF($A391="","",MAX(0,$E391-$H391))</f>
        <v/>
      </c>
      <c r="J391" s="110" t="n"/>
      <c r="K391" s="40" t="n"/>
      <c r="L391" s="40" t="n"/>
    </row>
    <row r="392">
      <c r="A392" s="46" t="n"/>
      <c r="B392" s="47" t="n"/>
      <c r="C392" s="50">
        <f>IFERROR(INDEX(الموظفون_الاسم,MATCH($B392,الموظفون_الرقم,0)),"")</f>
        <v/>
      </c>
      <c r="D392" s="112" t="n"/>
      <c r="E392" s="49" t="n"/>
      <c r="F392" s="47" t="n"/>
      <c r="G392" s="63">
        <f>IF(OR($E392="",$F392="",$F392=0),"",$E392/$F392)</f>
        <v/>
      </c>
      <c r="H392" s="63">
        <f>IF($A392="","",SUMIFS(الرواتب_قسط_السلفة,الرواتب_السلفة,$A392,الرواتب_حالة_الصرف,"مصروف"))</f>
        <v/>
      </c>
      <c r="I392" s="63">
        <f>IF($A392="","",MAX(0,$E392-$H392))</f>
        <v/>
      </c>
      <c r="J392" s="112" t="n"/>
      <c r="K392" s="47" t="n"/>
      <c r="L392" s="47" t="n"/>
    </row>
    <row r="393">
      <c r="A393" s="39" t="n"/>
      <c r="B393" s="40" t="n"/>
      <c r="C393" s="43">
        <f>IFERROR(INDEX(الموظفون_الاسم,MATCH($B393,الموظفون_الرقم,0)),"")</f>
        <v/>
      </c>
      <c r="D393" s="110" t="n"/>
      <c r="E393" s="42" t="n"/>
      <c r="F393" s="40" t="n"/>
      <c r="G393" s="60">
        <f>IF(OR($E393="",$F393="",$F393=0),"",$E393/$F393)</f>
        <v/>
      </c>
      <c r="H393" s="60">
        <f>IF($A393="","",SUMIFS(الرواتب_قسط_السلفة,الرواتب_السلفة,$A393,الرواتب_حالة_الصرف,"مصروف"))</f>
        <v/>
      </c>
      <c r="I393" s="60">
        <f>IF($A393="","",MAX(0,$E393-$H393))</f>
        <v/>
      </c>
      <c r="J393" s="110" t="n"/>
      <c r="K393" s="40" t="n"/>
      <c r="L393" s="40" t="n"/>
    </row>
    <row r="394">
      <c r="A394" s="46" t="n"/>
      <c r="B394" s="47" t="n"/>
      <c r="C394" s="50">
        <f>IFERROR(INDEX(الموظفون_الاسم,MATCH($B394,الموظفون_الرقم,0)),"")</f>
        <v/>
      </c>
      <c r="D394" s="112" t="n"/>
      <c r="E394" s="49" t="n"/>
      <c r="F394" s="47" t="n"/>
      <c r="G394" s="63">
        <f>IF(OR($E394="",$F394="",$F394=0),"",$E394/$F394)</f>
        <v/>
      </c>
      <c r="H394" s="63">
        <f>IF($A394="","",SUMIFS(الرواتب_قسط_السلفة,الرواتب_السلفة,$A394,الرواتب_حالة_الصرف,"مصروف"))</f>
        <v/>
      </c>
      <c r="I394" s="63">
        <f>IF($A394="","",MAX(0,$E394-$H394))</f>
        <v/>
      </c>
      <c r="J394" s="112" t="n"/>
      <c r="K394" s="47" t="n"/>
      <c r="L394" s="47" t="n"/>
    </row>
    <row r="395">
      <c r="A395" s="39" t="n"/>
      <c r="B395" s="40" t="n"/>
      <c r="C395" s="43">
        <f>IFERROR(INDEX(الموظفون_الاسم,MATCH($B395,الموظفون_الرقم,0)),"")</f>
        <v/>
      </c>
      <c r="D395" s="110" t="n"/>
      <c r="E395" s="42" t="n"/>
      <c r="F395" s="40" t="n"/>
      <c r="G395" s="60">
        <f>IF(OR($E395="",$F395="",$F395=0),"",$E395/$F395)</f>
        <v/>
      </c>
      <c r="H395" s="60">
        <f>IF($A395="","",SUMIFS(الرواتب_قسط_السلفة,الرواتب_السلفة,$A395,الرواتب_حالة_الصرف,"مصروف"))</f>
        <v/>
      </c>
      <c r="I395" s="60">
        <f>IF($A395="","",MAX(0,$E395-$H395))</f>
        <v/>
      </c>
      <c r="J395" s="110" t="n"/>
      <c r="K395" s="40" t="n"/>
      <c r="L395" s="40" t="n"/>
    </row>
    <row r="396">
      <c r="A396" s="46" t="n"/>
      <c r="B396" s="47" t="n"/>
      <c r="C396" s="50">
        <f>IFERROR(INDEX(الموظفون_الاسم,MATCH($B396,الموظفون_الرقم,0)),"")</f>
        <v/>
      </c>
      <c r="D396" s="112" t="n"/>
      <c r="E396" s="49" t="n"/>
      <c r="F396" s="47" t="n"/>
      <c r="G396" s="63">
        <f>IF(OR($E396="",$F396="",$F396=0),"",$E396/$F396)</f>
        <v/>
      </c>
      <c r="H396" s="63">
        <f>IF($A396="","",SUMIFS(الرواتب_قسط_السلفة,الرواتب_السلفة,$A396,الرواتب_حالة_الصرف,"مصروف"))</f>
        <v/>
      </c>
      <c r="I396" s="63">
        <f>IF($A396="","",MAX(0,$E396-$H396))</f>
        <v/>
      </c>
      <c r="J396" s="112" t="n"/>
      <c r="K396" s="47" t="n"/>
      <c r="L396" s="47" t="n"/>
    </row>
    <row r="397">
      <c r="A397" s="39" t="n"/>
      <c r="B397" s="40" t="n"/>
      <c r="C397" s="43">
        <f>IFERROR(INDEX(الموظفون_الاسم,MATCH($B397,الموظفون_الرقم,0)),"")</f>
        <v/>
      </c>
      <c r="D397" s="110" t="n"/>
      <c r="E397" s="42" t="n"/>
      <c r="F397" s="40" t="n"/>
      <c r="G397" s="60">
        <f>IF(OR($E397="",$F397="",$F397=0),"",$E397/$F397)</f>
        <v/>
      </c>
      <c r="H397" s="60">
        <f>IF($A397="","",SUMIFS(الرواتب_قسط_السلفة,الرواتب_السلفة,$A397,الرواتب_حالة_الصرف,"مصروف"))</f>
        <v/>
      </c>
      <c r="I397" s="60">
        <f>IF($A397="","",MAX(0,$E397-$H397))</f>
        <v/>
      </c>
      <c r="J397" s="110" t="n"/>
      <c r="K397" s="40" t="n"/>
      <c r="L397" s="40" t="n"/>
    </row>
    <row r="398">
      <c r="A398" s="46" t="n"/>
      <c r="B398" s="47" t="n"/>
      <c r="C398" s="50">
        <f>IFERROR(INDEX(الموظفون_الاسم,MATCH($B398,الموظفون_الرقم,0)),"")</f>
        <v/>
      </c>
      <c r="D398" s="112" t="n"/>
      <c r="E398" s="49" t="n"/>
      <c r="F398" s="47" t="n"/>
      <c r="G398" s="63">
        <f>IF(OR($E398="",$F398="",$F398=0),"",$E398/$F398)</f>
        <v/>
      </c>
      <c r="H398" s="63">
        <f>IF($A398="","",SUMIFS(الرواتب_قسط_السلفة,الرواتب_السلفة,$A398,الرواتب_حالة_الصرف,"مصروف"))</f>
        <v/>
      </c>
      <c r="I398" s="63">
        <f>IF($A398="","",MAX(0,$E398-$H398))</f>
        <v/>
      </c>
      <c r="J398" s="112" t="n"/>
      <c r="K398" s="47" t="n"/>
      <c r="L398" s="47" t="n"/>
    </row>
    <row r="399">
      <c r="A399" s="39" t="n"/>
      <c r="B399" s="40" t="n"/>
      <c r="C399" s="43">
        <f>IFERROR(INDEX(الموظفون_الاسم,MATCH($B399,الموظفون_الرقم,0)),"")</f>
        <v/>
      </c>
      <c r="D399" s="110" t="n"/>
      <c r="E399" s="42" t="n"/>
      <c r="F399" s="40" t="n"/>
      <c r="G399" s="60">
        <f>IF(OR($E399="",$F399="",$F399=0),"",$E399/$F399)</f>
        <v/>
      </c>
      <c r="H399" s="60">
        <f>IF($A399="","",SUMIFS(الرواتب_قسط_السلفة,الرواتب_السلفة,$A399,الرواتب_حالة_الصرف,"مصروف"))</f>
        <v/>
      </c>
      <c r="I399" s="60">
        <f>IF($A399="","",MAX(0,$E399-$H399))</f>
        <v/>
      </c>
      <c r="J399" s="110" t="n"/>
      <c r="K399" s="40" t="n"/>
      <c r="L399" s="40" t="n"/>
    </row>
    <row r="400">
      <c r="A400" s="46" t="n"/>
      <c r="B400" s="47" t="n"/>
      <c r="C400" s="50">
        <f>IFERROR(INDEX(الموظفون_الاسم,MATCH($B400,الموظفون_الرقم,0)),"")</f>
        <v/>
      </c>
      <c r="D400" s="112" t="n"/>
      <c r="E400" s="49" t="n"/>
      <c r="F400" s="47" t="n"/>
      <c r="G400" s="63">
        <f>IF(OR($E400="",$F400="",$F400=0),"",$E400/$F400)</f>
        <v/>
      </c>
      <c r="H400" s="63">
        <f>IF($A400="","",SUMIFS(الرواتب_قسط_السلفة,الرواتب_السلفة,$A400,الرواتب_حالة_الصرف,"مصروف"))</f>
        <v/>
      </c>
      <c r="I400" s="63">
        <f>IF($A400="","",MAX(0,$E400-$H400))</f>
        <v/>
      </c>
      <c r="J400" s="112" t="n"/>
      <c r="K400" s="47" t="n"/>
      <c r="L400" s="47" t="n"/>
    </row>
    <row r="401">
      <c r="A401" s="39" t="n"/>
      <c r="B401" s="40" t="n"/>
      <c r="C401" s="43">
        <f>IFERROR(INDEX(الموظفون_الاسم,MATCH($B401,الموظفون_الرقم,0)),"")</f>
        <v/>
      </c>
      <c r="D401" s="110" t="n"/>
      <c r="E401" s="42" t="n"/>
      <c r="F401" s="40" t="n"/>
      <c r="G401" s="60">
        <f>IF(OR($E401="",$F401="",$F401=0),"",$E401/$F401)</f>
        <v/>
      </c>
      <c r="H401" s="60">
        <f>IF($A401="","",SUMIFS(الرواتب_قسط_السلفة,الرواتب_السلفة,$A401,الرواتب_حالة_الصرف,"مصروف"))</f>
        <v/>
      </c>
      <c r="I401" s="60">
        <f>IF($A401="","",MAX(0,$E401-$H401))</f>
        <v/>
      </c>
      <c r="J401" s="110" t="n"/>
      <c r="K401" s="40" t="n"/>
      <c r="L401" s="40" t="n"/>
    </row>
    <row r="402">
      <c r="A402" s="46" t="n"/>
      <c r="B402" s="47" t="n"/>
      <c r="C402" s="50">
        <f>IFERROR(INDEX(الموظفون_الاسم,MATCH($B402,الموظفون_الرقم,0)),"")</f>
        <v/>
      </c>
      <c r="D402" s="112" t="n"/>
      <c r="E402" s="49" t="n"/>
      <c r="F402" s="47" t="n"/>
      <c r="G402" s="63">
        <f>IF(OR($E402="",$F402="",$F402=0),"",$E402/$F402)</f>
        <v/>
      </c>
      <c r="H402" s="63">
        <f>IF($A402="","",SUMIFS(الرواتب_قسط_السلفة,الرواتب_السلفة,$A402,الرواتب_حالة_الصرف,"مصروف"))</f>
        <v/>
      </c>
      <c r="I402" s="63">
        <f>IF($A402="","",MAX(0,$E402-$H402))</f>
        <v/>
      </c>
      <c r="J402" s="112" t="n"/>
      <c r="K402" s="47" t="n"/>
      <c r="L402" s="47" t="n"/>
    </row>
    <row r="403">
      <c r="A403" s="39" t="n"/>
      <c r="B403" s="40" t="n"/>
      <c r="C403" s="43">
        <f>IFERROR(INDEX(الموظفون_الاسم,MATCH($B403,الموظفون_الرقم,0)),"")</f>
        <v/>
      </c>
      <c r="D403" s="110" t="n"/>
      <c r="E403" s="42" t="n"/>
      <c r="F403" s="40" t="n"/>
      <c r="G403" s="60">
        <f>IF(OR($E403="",$F403="",$F403=0),"",$E403/$F403)</f>
        <v/>
      </c>
      <c r="H403" s="60">
        <f>IF($A403="","",SUMIFS(الرواتب_قسط_السلفة,الرواتب_السلفة,$A403,الرواتب_حالة_الصرف,"مصروف"))</f>
        <v/>
      </c>
      <c r="I403" s="60">
        <f>IF($A403="","",MAX(0,$E403-$H403))</f>
        <v/>
      </c>
      <c r="J403" s="110" t="n"/>
      <c r="K403" s="40" t="n"/>
      <c r="L403" s="40" t="n"/>
    </row>
    <row r="404">
      <c r="A404" s="46" t="n"/>
      <c r="B404" s="47" t="n"/>
      <c r="C404" s="50">
        <f>IFERROR(INDEX(الموظفون_الاسم,MATCH($B404,الموظفون_الرقم,0)),"")</f>
        <v/>
      </c>
      <c r="D404" s="112" t="n"/>
      <c r="E404" s="49" t="n"/>
      <c r="F404" s="47" t="n"/>
      <c r="G404" s="63">
        <f>IF(OR($E404="",$F404="",$F404=0),"",$E404/$F404)</f>
        <v/>
      </c>
      <c r="H404" s="63">
        <f>IF($A404="","",SUMIFS(الرواتب_قسط_السلفة,الرواتب_السلفة,$A404,الرواتب_حالة_الصرف,"مصروف"))</f>
        <v/>
      </c>
      <c r="I404" s="63">
        <f>IF($A404="","",MAX(0,$E404-$H404))</f>
        <v/>
      </c>
      <c r="J404" s="112" t="n"/>
      <c r="K404" s="47" t="n"/>
      <c r="L404" s="47" t="n"/>
    </row>
    <row r="405">
      <c r="A405" s="39" t="n"/>
      <c r="B405" s="40" t="n"/>
      <c r="C405" s="43">
        <f>IFERROR(INDEX(الموظفون_الاسم,MATCH($B405,الموظفون_الرقم,0)),"")</f>
        <v/>
      </c>
      <c r="D405" s="110" t="n"/>
      <c r="E405" s="42" t="n"/>
      <c r="F405" s="40" t="n"/>
      <c r="G405" s="60">
        <f>IF(OR($E405="",$F405="",$F405=0),"",$E405/$F405)</f>
        <v/>
      </c>
      <c r="H405" s="60">
        <f>IF($A405="","",SUMIFS(الرواتب_قسط_السلفة,الرواتب_السلفة,$A405,الرواتب_حالة_الصرف,"مصروف"))</f>
        <v/>
      </c>
      <c r="I405" s="60">
        <f>IF($A405="","",MAX(0,$E405-$H405))</f>
        <v/>
      </c>
      <c r="J405" s="110" t="n"/>
      <c r="K405" s="40" t="n"/>
      <c r="L405" s="40" t="n"/>
    </row>
    <row r="406">
      <c r="A406" s="46" t="n"/>
      <c r="B406" s="47" t="n"/>
      <c r="C406" s="50">
        <f>IFERROR(INDEX(الموظفون_الاسم,MATCH($B406,الموظفون_الرقم,0)),"")</f>
        <v/>
      </c>
      <c r="D406" s="112" t="n"/>
      <c r="E406" s="49" t="n"/>
      <c r="F406" s="47" t="n"/>
      <c r="G406" s="63">
        <f>IF(OR($E406="",$F406="",$F406=0),"",$E406/$F406)</f>
        <v/>
      </c>
      <c r="H406" s="63">
        <f>IF($A406="","",SUMIFS(الرواتب_قسط_السلفة,الرواتب_السلفة,$A406,الرواتب_حالة_الصرف,"مصروف"))</f>
        <v/>
      </c>
      <c r="I406" s="63">
        <f>IF($A406="","",MAX(0,$E406-$H406))</f>
        <v/>
      </c>
      <c r="J406" s="112" t="n"/>
      <c r="K406" s="47" t="n"/>
      <c r="L406" s="47" t="n"/>
    </row>
    <row r="407">
      <c r="A407" s="39" t="n"/>
      <c r="B407" s="40" t="n"/>
      <c r="C407" s="43">
        <f>IFERROR(INDEX(الموظفون_الاسم,MATCH($B407,الموظفون_الرقم,0)),"")</f>
        <v/>
      </c>
      <c r="D407" s="110" t="n"/>
      <c r="E407" s="42" t="n"/>
      <c r="F407" s="40" t="n"/>
      <c r="G407" s="60">
        <f>IF(OR($E407="",$F407="",$F407=0),"",$E407/$F407)</f>
        <v/>
      </c>
      <c r="H407" s="60">
        <f>IF($A407="","",SUMIFS(الرواتب_قسط_السلفة,الرواتب_السلفة,$A407,الرواتب_حالة_الصرف,"مصروف"))</f>
        <v/>
      </c>
      <c r="I407" s="60">
        <f>IF($A407="","",MAX(0,$E407-$H407))</f>
        <v/>
      </c>
      <c r="J407" s="110" t="n"/>
      <c r="K407" s="40" t="n"/>
      <c r="L407" s="40" t="n"/>
    </row>
    <row r="408">
      <c r="A408" s="46" t="n"/>
      <c r="B408" s="47" t="n"/>
      <c r="C408" s="50">
        <f>IFERROR(INDEX(الموظفون_الاسم,MATCH($B408,الموظفون_الرقم,0)),"")</f>
        <v/>
      </c>
      <c r="D408" s="112" t="n"/>
      <c r="E408" s="49" t="n"/>
      <c r="F408" s="47" t="n"/>
      <c r="G408" s="63">
        <f>IF(OR($E408="",$F408="",$F408=0),"",$E408/$F408)</f>
        <v/>
      </c>
      <c r="H408" s="63">
        <f>IF($A408="","",SUMIFS(الرواتب_قسط_السلفة,الرواتب_السلفة,$A408,الرواتب_حالة_الصرف,"مصروف"))</f>
        <v/>
      </c>
      <c r="I408" s="63">
        <f>IF($A408="","",MAX(0,$E408-$H408))</f>
        <v/>
      </c>
      <c r="J408" s="112" t="n"/>
      <c r="K408" s="47" t="n"/>
      <c r="L408" s="47" t="n"/>
    </row>
    <row r="409">
      <c r="A409" s="39" t="n"/>
      <c r="B409" s="40" t="n"/>
      <c r="C409" s="43">
        <f>IFERROR(INDEX(الموظفون_الاسم,MATCH($B409,الموظفون_الرقم,0)),"")</f>
        <v/>
      </c>
      <c r="D409" s="110" t="n"/>
      <c r="E409" s="42" t="n"/>
      <c r="F409" s="40" t="n"/>
      <c r="G409" s="60">
        <f>IF(OR($E409="",$F409="",$F409=0),"",$E409/$F409)</f>
        <v/>
      </c>
      <c r="H409" s="60">
        <f>IF($A409="","",SUMIFS(الرواتب_قسط_السلفة,الرواتب_السلفة,$A409,الرواتب_حالة_الصرف,"مصروف"))</f>
        <v/>
      </c>
      <c r="I409" s="60">
        <f>IF($A409="","",MAX(0,$E409-$H409))</f>
        <v/>
      </c>
      <c r="J409" s="110" t="n"/>
      <c r="K409" s="40" t="n"/>
      <c r="L409" s="40" t="n"/>
    </row>
    <row r="410">
      <c r="A410" s="46" t="n"/>
      <c r="B410" s="47" t="n"/>
      <c r="C410" s="50">
        <f>IFERROR(INDEX(الموظفون_الاسم,MATCH($B410,الموظفون_الرقم,0)),"")</f>
        <v/>
      </c>
      <c r="D410" s="112" t="n"/>
      <c r="E410" s="49" t="n"/>
      <c r="F410" s="47" t="n"/>
      <c r="G410" s="63">
        <f>IF(OR($E410="",$F410="",$F410=0),"",$E410/$F410)</f>
        <v/>
      </c>
      <c r="H410" s="63">
        <f>IF($A410="","",SUMIFS(الرواتب_قسط_السلفة,الرواتب_السلفة,$A410,الرواتب_حالة_الصرف,"مصروف"))</f>
        <v/>
      </c>
      <c r="I410" s="63">
        <f>IF($A410="","",MAX(0,$E410-$H410))</f>
        <v/>
      </c>
      <c r="J410" s="112" t="n"/>
      <c r="K410" s="47" t="n"/>
      <c r="L410" s="47" t="n"/>
    </row>
    <row r="411">
      <c r="A411" s="39" t="n"/>
      <c r="B411" s="40" t="n"/>
      <c r="C411" s="43">
        <f>IFERROR(INDEX(الموظفون_الاسم,MATCH($B411,الموظفون_الرقم,0)),"")</f>
        <v/>
      </c>
      <c r="D411" s="110" t="n"/>
      <c r="E411" s="42" t="n"/>
      <c r="F411" s="40" t="n"/>
      <c r="G411" s="60">
        <f>IF(OR($E411="",$F411="",$F411=0),"",$E411/$F411)</f>
        <v/>
      </c>
      <c r="H411" s="60">
        <f>IF($A411="","",SUMIFS(الرواتب_قسط_السلفة,الرواتب_السلفة,$A411,الرواتب_حالة_الصرف,"مصروف"))</f>
        <v/>
      </c>
      <c r="I411" s="60">
        <f>IF($A411="","",MAX(0,$E411-$H411))</f>
        <v/>
      </c>
      <c r="J411" s="110" t="n"/>
      <c r="K411" s="40" t="n"/>
      <c r="L411" s="40" t="n"/>
    </row>
    <row r="412">
      <c r="A412" s="46" t="n"/>
      <c r="B412" s="47" t="n"/>
      <c r="C412" s="50">
        <f>IFERROR(INDEX(الموظفون_الاسم,MATCH($B412,الموظفون_الرقم,0)),"")</f>
        <v/>
      </c>
      <c r="D412" s="112" t="n"/>
      <c r="E412" s="49" t="n"/>
      <c r="F412" s="47" t="n"/>
      <c r="G412" s="63">
        <f>IF(OR($E412="",$F412="",$F412=0),"",$E412/$F412)</f>
        <v/>
      </c>
      <c r="H412" s="63">
        <f>IF($A412="","",SUMIFS(الرواتب_قسط_السلفة,الرواتب_السلفة,$A412,الرواتب_حالة_الصرف,"مصروف"))</f>
        <v/>
      </c>
      <c r="I412" s="63">
        <f>IF($A412="","",MAX(0,$E412-$H412))</f>
        <v/>
      </c>
      <c r="J412" s="112" t="n"/>
      <c r="K412" s="47" t="n"/>
      <c r="L412" s="47" t="n"/>
    </row>
    <row r="413">
      <c r="A413" s="39" t="n"/>
      <c r="B413" s="40" t="n"/>
      <c r="C413" s="43">
        <f>IFERROR(INDEX(الموظفون_الاسم,MATCH($B413,الموظفون_الرقم,0)),"")</f>
        <v/>
      </c>
      <c r="D413" s="110" t="n"/>
      <c r="E413" s="42" t="n"/>
      <c r="F413" s="40" t="n"/>
      <c r="G413" s="60">
        <f>IF(OR($E413="",$F413="",$F413=0),"",$E413/$F413)</f>
        <v/>
      </c>
      <c r="H413" s="60">
        <f>IF($A413="","",SUMIFS(الرواتب_قسط_السلفة,الرواتب_السلفة,$A413,الرواتب_حالة_الصرف,"مصروف"))</f>
        <v/>
      </c>
      <c r="I413" s="60">
        <f>IF($A413="","",MAX(0,$E413-$H413))</f>
        <v/>
      </c>
      <c r="J413" s="110" t="n"/>
      <c r="K413" s="40" t="n"/>
      <c r="L413" s="40" t="n"/>
    </row>
    <row r="414">
      <c r="A414" s="46" t="n"/>
      <c r="B414" s="47" t="n"/>
      <c r="C414" s="50">
        <f>IFERROR(INDEX(الموظفون_الاسم,MATCH($B414,الموظفون_الرقم,0)),"")</f>
        <v/>
      </c>
      <c r="D414" s="112" t="n"/>
      <c r="E414" s="49" t="n"/>
      <c r="F414" s="47" t="n"/>
      <c r="G414" s="63">
        <f>IF(OR($E414="",$F414="",$F414=0),"",$E414/$F414)</f>
        <v/>
      </c>
      <c r="H414" s="63">
        <f>IF($A414="","",SUMIFS(الرواتب_قسط_السلفة,الرواتب_السلفة,$A414,الرواتب_حالة_الصرف,"مصروف"))</f>
        <v/>
      </c>
      <c r="I414" s="63">
        <f>IF($A414="","",MAX(0,$E414-$H414))</f>
        <v/>
      </c>
      <c r="J414" s="112" t="n"/>
      <c r="K414" s="47" t="n"/>
      <c r="L414" s="47" t="n"/>
    </row>
    <row r="415">
      <c r="A415" s="39" t="n"/>
      <c r="B415" s="40" t="n"/>
      <c r="C415" s="43">
        <f>IFERROR(INDEX(الموظفون_الاسم,MATCH($B415,الموظفون_الرقم,0)),"")</f>
        <v/>
      </c>
      <c r="D415" s="110" t="n"/>
      <c r="E415" s="42" t="n"/>
      <c r="F415" s="40" t="n"/>
      <c r="G415" s="60">
        <f>IF(OR($E415="",$F415="",$F415=0),"",$E415/$F415)</f>
        <v/>
      </c>
      <c r="H415" s="60">
        <f>IF($A415="","",SUMIFS(الرواتب_قسط_السلفة,الرواتب_السلفة,$A415,الرواتب_حالة_الصرف,"مصروف"))</f>
        <v/>
      </c>
      <c r="I415" s="60">
        <f>IF($A415="","",MAX(0,$E415-$H415))</f>
        <v/>
      </c>
      <c r="J415" s="110" t="n"/>
      <c r="K415" s="40" t="n"/>
      <c r="L415" s="40" t="n"/>
    </row>
    <row r="416">
      <c r="A416" s="46" t="n"/>
      <c r="B416" s="47" t="n"/>
      <c r="C416" s="50">
        <f>IFERROR(INDEX(الموظفون_الاسم,MATCH($B416,الموظفون_الرقم,0)),"")</f>
        <v/>
      </c>
      <c r="D416" s="112" t="n"/>
      <c r="E416" s="49" t="n"/>
      <c r="F416" s="47" t="n"/>
      <c r="G416" s="63">
        <f>IF(OR($E416="",$F416="",$F416=0),"",$E416/$F416)</f>
        <v/>
      </c>
      <c r="H416" s="63">
        <f>IF($A416="","",SUMIFS(الرواتب_قسط_السلفة,الرواتب_السلفة,$A416,الرواتب_حالة_الصرف,"مصروف"))</f>
        <v/>
      </c>
      <c r="I416" s="63">
        <f>IF($A416="","",MAX(0,$E416-$H416))</f>
        <v/>
      </c>
      <c r="J416" s="112" t="n"/>
      <c r="K416" s="47" t="n"/>
      <c r="L416" s="47" t="n"/>
    </row>
    <row r="417">
      <c r="A417" s="39" t="n"/>
      <c r="B417" s="40" t="n"/>
      <c r="C417" s="43">
        <f>IFERROR(INDEX(الموظفون_الاسم,MATCH($B417,الموظفون_الرقم,0)),"")</f>
        <v/>
      </c>
      <c r="D417" s="110" t="n"/>
      <c r="E417" s="42" t="n"/>
      <c r="F417" s="40" t="n"/>
      <c r="G417" s="60">
        <f>IF(OR($E417="",$F417="",$F417=0),"",$E417/$F417)</f>
        <v/>
      </c>
      <c r="H417" s="60">
        <f>IF($A417="","",SUMIFS(الرواتب_قسط_السلفة,الرواتب_السلفة,$A417,الرواتب_حالة_الصرف,"مصروف"))</f>
        <v/>
      </c>
      <c r="I417" s="60">
        <f>IF($A417="","",MAX(0,$E417-$H417))</f>
        <v/>
      </c>
      <c r="J417" s="110" t="n"/>
      <c r="K417" s="40" t="n"/>
      <c r="L417" s="40" t="n"/>
    </row>
    <row r="418">
      <c r="A418" s="46" t="n"/>
      <c r="B418" s="47" t="n"/>
      <c r="C418" s="50">
        <f>IFERROR(INDEX(الموظفون_الاسم,MATCH($B418,الموظفون_الرقم,0)),"")</f>
        <v/>
      </c>
      <c r="D418" s="112" t="n"/>
      <c r="E418" s="49" t="n"/>
      <c r="F418" s="47" t="n"/>
      <c r="G418" s="63">
        <f>IF(OR($E418="",$F418="",$F418=0),"",$E418/$F418)</f>
        <v/>
      </c>
      <c r="H418" s="63">
        <f>IF($A418="","",SUMIFS(الرواتب_قسط_السلفة,الرواتب_السلفة,$A418,الرواتب_حالة_الصرف,"مصروف"))</f>
        <v/>
      </c>
      <c r="I418" s="63">
        <f>IF($A418="","",MAX(0,$E418-$H418))</f>
        <v/>
      </c>
      <c r="J418" s="112" t="n"/>
      <c r="K418" s="47" t="n"/>
      <c r="L418" s="47" t="n"/>
    </row>
    <row r="419">
      <c r="A419" s="39" t="n"/>
      <c r="B419" s="40" t="n"/>
      <c r="C419" s="43">
        <f>IFERROR(INDEX(الموظفون_الاسم,MATCH($B419,الموظفون_الرقم,0)),"")</f>
        <v/>
      </c>
      <c r="D419" s="110" t="n"/>
      <c r="E419" s="42" t="n"/>
      <c r="F419" s="40" t="n"/>
      <c r="G419" s="60">
        <f>IF(OR($E419="",$F419="",$F419=0),"",$E419/$F419)</f>
        <v/>
      </c>
      <c r="H419" s="60">
        <f>IF($A419="","",SUMIFS(الرواتب_قسط_السلفة,الرواتب_السلفة,$A419,الرواتب_حالة_الصرف,"مصروف"))</f>
        <v/>
      </c>
      <c r="I419" s="60">
        <f>IF($A419="","",MAX(0,$E419-$H419))</f>
        <v/>
      </c>
      <c r="J419" s="110" t="n"/>
      <c r="K419" s="40" t="n"/>
      <c r="L419" s="40" t="n"/>
    </row>
    <row r="420">
      <c r="A420" s="46" t="n"/>
      <c r="B420" s="47" t="n"/>
      <c r="C420" s="50">
        <f>IFERROR(INDEX(الموظفون_الاسم,MATCH($B420,الموظفون_الرقم,0)),"")</f>
        <v/>
      </c>
      <c r="D420" s="112" t="n"/>
      <c r="E420" s="49" t="n"/>
      <c r="F420" s="47" t="n"/>
      <c r="G420" s="63">
        <f>IF(OR($E420="",$F420="",$F420=0),"",$E420/$F420)</f>
        <v/>
      </c>
      <c r="H420" s="63">
        <f>IF($A420="","",SUMIFS(الرواتب_قسط_السلفة,الرواتب_السلفة,$A420,الرواتب_حالة_الصرف,"مصروف"))</f>
        <v/>
      </c>
      <c r="I420" s="63">
        <f>IF($A420="","",MAX(0,$E420-$H420))</f>
        <v/>
      </c>
      <c r="J420" s="112" t="n"/>
      <c r="K420" s="47" t="n"/>
      <c r="L420" s="47" t="n"/>
    </row>
    <row r="421">
      <c r="A421" s="39" t="n"/>
      <c r="B421" s="40" t="n"/>
      <c r="C421" s="43">
        <f>IFERROR(INDEX(الموظفون_الاسم,MATCH($B421,الموظفون_الرقم,0)),"")</f>
        <v/>
      </c>
      <c r="D421" s="110" t="n"/>
      <c r="E421" s="42" t="n"/>
      <c r="F421" s="40" t="n"/>
      <c r="G421" s="60">
        <f>IF(OR($E421="",$F421="",$F421=0),"",$E421/$F421)</f>
        <v/>
      </c>
      <c r="H421" s="60">
        <f>IF($A421="","",SUMIFS(الرواتب_قسط_السلفة,الرواتب_السلفة,$A421,الرواتب_حالة_الصرف,"مصروف"))</f>
        <v/>
      </c>
      <c r="I421" s="60">
        <f>IF($A421="","",MAX(0,$E421-$H421))</f>
        <v/>
      </c>
      <c r="J421" s="110" t="n"/>
      <c r="K421" s="40" t="n"/>
      <c r="L421" s="40" t="n"/>
    </row>
    <row r="422">
      <c r="A422" s="46" t="n"/>
      <c r="B422" s="47" t="n"/>
      <c r="C422" s="50">
        <f>IFERROR(INDEX(الموظفون_الاسم,MATCH($B422,الموظفون_الرقم,0)),"")</f>
        <v/>
      </c>
      <c r="D422" s="112" t="n"/>
      <c r="E422" s="49" t="n"/>
      <c r="F422" s="47" t="n"/>
      <c r="G422" s="63">
        <f>IF(OR($E422="",$F422="",$F422=0),"",$E422/$F422)</f>
        <v/>
      </c>
      <c r="H422" s="63">
        <f>IF($A422="","",SUMIFS(الرواتب_قسط_السلفة,الرواتب_السلفة,$A422,الرواتب_حالة_الصرف,"مصروف"))</f>
        <v/>
      </c>
      <c r="I422" s="63">
        <f>IF($A422="","",MAX(0,$E422-$H422))</f>
        <v/>
      </c>
      <c r="J422" s="112" t="n"/>
      <c r="K422" s="47" t="n"/>
      <c r="L422" s="47" t="n"/>
    </row>
    <row r="423">
      <c r="A423" s="39" t="n"/>
      <c r="B423" s="40" t="n"/>
      <c r="C423" s="43">
        <f>IFERROR(INDEX(الموظفون_الاسم,MATCH($B423,الموظفون_الرقم,0)),"")</f>
        <v/>
      </c>
      <c r="D423" s="110" t="n"/>
      <c r="E423" s="42" t="n"/>
      <c r="F423" s="40" t="n"/>
      <c r="G423" s="60">
        <f>IF(OR($E423="",$F423="",$F423=0),"",$E423/$F423)</f>
        <v/>
      </c>
      <c r="H423" s="60">
        <f>IF($A423="","",SUMIFS(الرواتب_قسط_السلفة,الرواتب_السلفة,$A423,الرواتب_حالة_الصرف,"مصروف"))</f>
        <v/>
      </c>
      <c r="I423" s="60">
        <f>IF($A423="","",MAX(0,$E423-$H423))</f>
        <v/>
      </c>
      <c r="J423" s="110" t="n"/>
      <c r="K423" s="40" t="n"/>
      <c r="L423" s="40" t="n"/>
    </row>
    <row r="424">
      <c r="A424" s="46" t="n"/>
      <c r="B424" s="47" t="n"/>
      <c r="C424" s="50">
        <f>IFERROR(INDEX(الموظفون_الاسم,MATCH($B424,الموظفون_الرقم,0)),"")</f>
        <v/>
      </c>
      <c r="D424" s="112" t="n"/>
      <c r="E424" s="49" t="n"/>
      <c r="F424" s="47" t="n"/>
      <c r="G424" s="63">
        <f>IF(OR($E424="",$F424="",$F424=0),"",$E424/$F424)</f>
        <v/>
      </c>
      <c r="H424" s="63">
        <f>IF($A424="","",SUMIFS(الرواتب_قسط_السلفة,الرواتب_السلفة,$A424,الرواتب_حالة_الصرف,"مصروف"))</f>
        <v/>
      </c>
      <c r="I424" s="63">
        <f>IF($A424="","",MAX(0,$E424-$H424))</f>
        <v/>
      </c>
      <c r="J424" s="112" t="n"/>
      <c r="K424" s="47" t="n"/>
      <c r="L424" s="47" t="n"/>
    </row>
    <row r="425">
      <c r="A425" s="39" t="n"/>
      <c r="B425" s="40" t="n"/>
      <c r="C425" s="43">
        <f>IFERROR(INDEX(الموظفون_الاسم,MATCH($B425,الموظفون_الرقم,0)),"")</f>
        <v/>
      </c>
      <c r="D425" s="110" t="n"/>
      <c r="E425" s="42" t="n"/>
      <c r="F425" s="40" t="n"/>
      <c r="G425" s="60">
        <f>IF(OR($E425="",$F425="",$F425=0),"",$E425/$F425)</f>
        <v/>
      </c>
      <c r="H425" s="60">
        <f>IF($A425="","",SUMIFS(الرواتب_قسط_السلفة,الرواتب_السلفة,$A425,الرواتب_حالة_الصرف,"مصروف"))</f>
        <v/>
      </c>
      <c r="I425" s="60">
        <f>IF($A425="","",MAX(0,$E425-$H425))</f>
        <v/>
      </c>
      <c r="J425" s="110" t="n"/>
      <c r="K425" s="40" t="n"/>
      <c r="L425" s="40" t="n"/>
    </row>
    <row r="426">
      <c r="A426" s="46" t="n"/>
      <c r="B426" s="47" t="n"/>
      <c r="C426" s="50">
        <f>IFERROR(INDEX(الموظفون_الاسم,MATCH($B426,الموظفون_الرقم,0)),"")</f>
        <v/>
      </c>
      <c r="D426" s="112" t="n"/>
      <c r="E426" s="49" t="n"/>
      <c r="F426" s="47" t="n"/>
      <c r="G426" s="63">
        <f>IF(OR($E426="",$F426="",$F426=0),"",$E426/$F426)</f>
        <v/>
      </c>
      <c r="H426" s="63">
        <f>IF($A426="","",SUMIFS(الرواتب_قسط_السلفة,الرواتب_السلفة,$A426,الرواتب_حالة_الصرف,"مصروف"))</f>
        <v/>
      </c>
      <c r="I426" s="63">
        <f>IF($A426="","",MAX(0,$E426-$H426))</f>
        <v/>
      </c>
      <c r="J426" s="112" t="n"/>
      <c r="K426" s="47" t="n"/>
      <c r="L426" s="47" t="n"/>
    </row>
    <row r="427">
      <c r="A427" s="39" t="n"/>
      <c r="B427" s="40" t="n"/>
      <c r="C427" s="43">
        <f>IFERROR(INDEX(الموظفون_الاسم,MATCH($B427,الموظفون_الرقم,0)),"")</f>
        <v/>
      </c>
      <c r="D427" s="110" t="n"/>
      <c r="E427" s="42" t="n"/>
      <c r="F427" s="40" t="n"/>
      <c r="G427" s="60">
        <f>IF(OR($E427="",$F427="",$F427=0),"",$E427/$F427)</f>
        <v/>
      </c>
      <c r="H427" s="60">
        <f>IF($A427="","",SUMIFS(الرواتب_قسط_السلفة,الرواتب_السلفة,$A427,الرواتب_حالة_الصرف,"مصروف"))</f>
        <v/>
      </c>
      <c r="I427" s="60">
        <f>IF($A427="","",MAX(0,$E427-$H427))</f>
        <v/>
      </c>
      <c r="J427" s="110" t="n"/>
      <c r="K427" s="40" t="n"/>
      <c r="L427" s="40" t="n"/>
    </row>
    <row r="428">
      <c r="A428" s="46" t="n"/>
      <c r="B428" s="47" t="n"/>
      <c r="C428" s="50">
        <f>IFERROR(INDEX(الموظفون_الاسم,MATCH($B428,الموظفون_الرقم,0)),"")</f>
        <v/>
      </c>
      <c r="D428" s="112" t="n"/>
      <c r="E428" s="49" t="n"/>
      <c r="F428" s="47" t="n"/>
      <c r="G428" s="63">
        <f>IF(OR($E428="",$F428="",$F428=0),"",$E428/$F428)</f>
        <v/>
      </c>
      <c r="H428" s="63">
        <f>IF($A428="","",SUMIFS(الرواتب_قسط_السلفة,الرواتب_السلفة,$A428,الرواتب_حالة_الصرف,"مصروف"))</f>
        <v/>
      </c>
      <c r="I428" s="63">
        <f>IF($A428="","",MAX(0,$E428-$H428))</f>
        <v/>
      </c>
      <c r="J428" s="112" t="n"/>
      <c r="K428" s="47" t="n"/>
      <c r="L428" s="47" t="n"/>
    </row>
    <row r="429">
      <c r="A429" s="39" t="n"/>
      <c r="B429" s="40" t="n"/>
      <c r="C429" s="43">
        <f>IFERROR(INDEX(الموظفون_الاسم,MATCH($B429,الموظفون_الرقم,0)),"")</f>
        <v/>
      </c>
      <c r="D429" s="110" t="n"/>
      <c r="E429" s="42" t="n"/>
      <c r="F429" s="40" t="n"/>
      <c r="G429" s="60">
        <f>IF(OR($E429="",$F429="",$F429=0),"",$E429/$F429)</f>
        <v/>
      </c>
      <c r="H429" s="60">
        <f>IF($A429="","",SUMIFS(الرواتب_قسط_السلفة,الرواتب_السلفة,$A429,الرواتب_حالة_الصرف,"مصروف"))</f>
        <v/>
      </c>
      <c r="I429" s="60">
        <f>IF($A429="","",MAX(0,$E429-$H429))</f>
        <v/>
      </c>
      <c r="J429" s="110" t="n"/>
      <c r="K429" s="40" t="n"/>
      <c r="L429" s="40" t="n"/>
    </row>
    <row r="430">
      <c r="A430" s="46" t="n"/>
      <c r="B430" s="47" t="n"/>
      <c r="C430" s="50">
        <f>IFERROR(INDEX(الموظفون_الاسم,MATCH($B430,الموظفون_الرقم,0)),"")</f>
        <v/>
      </c>
      <c r="D430" s="112" t="n"/>
      <c r="E430" s="49" t="n"/>
      <c r="F430" s="47" t="n"/>
      <c r="G430" s="63">
        <f>IF(OR($E430="",$F430="",$F430=0),"",$E430/$F430)</f>
        <v/>
      </c>
      <c r="H430" s="63">
        <f>IF($A430="","",SUMIFS(الرواتب_قسط_السلفة,الرواتب_السلفة,$A430,الرواتب_حالة_الصرف,"مصروف"))</f>
        <v/>
      </c>
      <c r="I430" s="63">
        <f>IF($A430="","",MAX(0,$E430-$H430))</f>
        <v/>
      </c>
      <c r="J430" s="112" t="n"/>
      <c r="K430" s="47" t="n"/>
      <c r="L430" s="47" t="n"/>
    </row>
    <row r="431">
      <c r="A431" s="39" t="n"/>
      <c r="B431" s="40" t="n"/>
      <c r="C431" s="43">
        <f>IFERROR(INDEX(الموظفون_الاسم,MATCH($B431,الموظفون_الرقم,0)),"")</f>
        <v/>
      </c>
      <c r="D431" s="110" t="n"/>
      <c r="E431" s="42" t="n"/>
      <c r="F431" s="40" t="n"/>
      <c r="G431" s="60">
        <f>IF(OR($E431="",$F431="",$F431=0),"",$E431/$F431)</f>
        <v/>
      </c>
      <c r="H431" s="60">
        <f>IF($A431="","",SUMIFS(الرواتب_قسط_السلفة,الرواتب_السلفة,$A431,الرواتب_حالة_الصرف,"مصروف"))</f>
        <v/>
      </c>
      <c r="I431" s="60">
        <f>IF($A431="","",MAX(0,$E431-$H431))</f>
        <v/>
      </c>
      <c r="J431" s="110" t="n"/>
      <c r="K431" s="40" t="n"/>
      <c r="L431" s="40" t="n"/>
    </row>
    <row r="432">
      <c r="A432" s="46" t="n"/>
      <c r="B432" s="47" t="n"/>
      <c r="C432" s="50">
        <f>IFERROR(INDEX(الموظفون_الاسم,MATCH($B432,الموظفون_الرقم,0)),"")</f>
        <v/>
      </c>
      <c r="D432" s="112" t="n"/>
      <c r="E432" s="49" t="n"/>
      <c r="F432" s="47" t="n"/>
      <c r="G432" s="63">
        <f>IF(OR($E432="",$F432="",$F432=0),"",$E432/$F432)</f>
        <v/>
      </c>
      <c r="H432" s="63">
        <f>IF($A432="","",SUMIFS(الرواتب_قسط_السلفة,الرواتب_السلفة,$A432,الرواتب_حالة_الصرف,"مصروف"))</f>
        <v/>
      </c>
      <c r="I432" s="63">
        <f>IF($A432="","",MAX(0,$E432-$H432))</f>
        <v/>
      </c>
      <c r="J432" s="112" t="n"/>
      <c r="K432" s="47" t="n"/>
      <c r="L432" s="47" t="n"/>
    </row>
    <row r="433">
      <c r="A433" s="39" t="n"/>
      <c r="B433" s="40" t="n"/>
      <c r="C433" s="43">
        <f>IFERROR(INDEX(الموظفون_الاسم,MATCH($B433,الموظفون_الرقم,0)),"")</f>
        <v/>
      </c>
      <c r="D433" s="110" t="n"/>
      <c r="E433" s="42" t="n"/>
      <c r="F433" s="40" t="n"/>
      <c r="G433" s="60">
        <f>IF(OR($E433="",$F433="",$F433=0),"",$E433/$F433)</f>
        <v/>
      </c>
      <c r="H433" s="60">
        <f>IF($A433="","",SUMIFS(الرواتب_قسط_السلفة,الرواتب_السلفة,$A433,الرواتب_حالة_الصرف,"مصروف"))</f>
        <v/>
      </c>
      <c r="I433" s="60">
        <f>IF($A433="","",MAX(0,$E433-$H433))</f>
        <v/>
      </c>
      <c r="J433" s="110" t="n"/>
      <c r="K433" s="40" t="n"/>
      <c r="L433" s="40" t="n"/>
    </row>
    <row r="434">
      <c r="A434" s="46" t="n"/>
      <c r="B434" s="47" t="n"/>
      <c r="C434" s="50">
        <f>IFERROR(INDEX(الموظفون_الاسم,MATCH($B434,الموظفون_الرقم,0)),"")</f>
        <v/>
      </c>
      <c r="D434" s="112" t="n"/>
      <c r="E434" s="49" t="n"/>
      <c r="F434" s="47" t="n"/>
      <c r="G434" s="63">
        <f>IF(OR($E434="",$F434="",$F434=0),"",$E434/$F434)</f>
        <v/>
      </c>
      <c r="H434" s="63">
        <f>IF($A434="","",SUMIFS(الرواتب_قسط_السلفة,الرواتب_السلفة,$A434,الرواتب_حالة_الصرف,"مصروف"))</f>
        <v/>
      </c>
      <c r="I434" s="63">
        <f>IF($A434="","",MAX(0,$E434-$H434))</f>
        <v/>
      </c>
      <c r="J434" s="112" t="n"/>
      <c r="K434" s="47" t="n"/>
      <c r="L434" s="47" t="n"/>
    </row>
    <row r="435">
      <c r="A435" s="39" t="n"/>
      <c r="B435" s="40" t="n"/>
      <c r="C435" s="43">
        <f>IFERROR(INDEX(الموظفون_الاسم,MATCH($B435,الموظفون_الرقم,0)),"")</f>
        <v/>
      </c>
      <c r="D435" s="110" t="n"/>
      <c r="E435" s="42" t="n"/>
      <c r="F435" s="40" t="n"/>
      <c r="G435" s="60">
        <f>IF(OR($E435="",$F435="",$F435=0),"",$E435/$F435)</f>
        <v/>
      </c>
      <c r="H435" s="60">
        <f>IF($A435="","",SUMIFS(الرواتب_قسط_السلفة,الرواتب_السلفة,$A435,الرواتب_حالة_الصرف,"مصروف"))</f>
        <v/>
      </c>
      <c r="I435" s="60">
        <f>IF($A435="","",MAX(0,$E435-$H435))</f>
        <v/>
      </c>
      <c r="J435" s="110" t="n"/>
      <c r="K435" s="40" t="n"/>
      <c r="L435" s="40" t="n"/>
    </row>
    <row r="436">
      <c r="A436" s="46" t="n"/>
      <c r="B436" s="47" t="n"/>
      <c r="C436" s="50">
        <f>IFERROR(INDEX(الموظفون_الاسم,MATCH($B436,الموظفون_الرقم,0)),"")</f>
        <v/>
      </c>
      <c r="D436" s="112" t="n"/>
      <c r="E436" s="49" t="n"/>
      <c r="F436" s="47" t="n"/>
      <c r="G436" s="63">
        <f>IF(OR($E436="",$F436="",$F436=0),"",$E436/$F436)</f>
        <v/>
      </c>
      <c r="H436" s="63">
        <f>IF($A436="","",SUMIFS(الرواتب_قسط_السلفة,الرواتب_السلفة,$A436,الرواتب_حالة_الصرف,"مصروف"))</f>
        <v/>
      </c>
      <c r="I436" s="63">
        <f>IF($A436="","",MAX(0,$E436-$H436))</f>
        <v/>
      </c>
      <c r="J436" s="112" t="n"/>
      <c r="K436" s="47" t="n"/>
      <c r="L436" s="47" t="n"/>
    </row>
    <row r="437">
      <c r="A437" s="39" t="n"/>
      <c r="B437" s="40" t="n"/>
      <c r="C437" s="43">
        <f>IFERROR(INDEX(الموظفون_الاسم,MATCH($B437,الموظفون_الرقم,0)),"")</f>
        <v/>
      </c>
      <c r="D437" s="110" t="n"/>
      <c r="E437" s="42" t="n"/>
      <c r="F437" s="40" t="n"/>
      <c r="G437" s="60">
        <f>IF(OR($E437="",$F437="",$F437=0),"",$E437/$F437)</f>
        <v/>
      </c>
      <c r="H437" s="60">
        <f>IF($A437="","",SUMIFS(الرواتب_قسط_السلفة,الرواتب_السلفة,$A437,الرواتب_حالة_الصرف,"مصروف"))</f>
        <v/>
      </c>
      <c r="I437" s="60">
        <f>IF($A437="","",MAX(0,$E437-$H437))</f>
        <v/>
      </c>
      <c r="J437" s="110" t="n"/>
      <c r="K437" s="40" t="n"/>
      <c r="L437" s="40" t="n"/>
    </row>
    <row r="438">
      <c r="A438" s="46" t="n"/>
      <c r="B438" s="47" t="n"/>
      <c r="C438" s="50">
        <f>IFERROR(INDEX(الموظفون_الاسم,MATCH($B438,الموظفون_الرقم,0)),"")</f>
        <v/>
      </c>
      <c r="D438" s="112" t="n"/>
      <c r="E438" s="49" t="n"/>
      <c r="F438" s="47" t="n"/>
      <c r="G438" s="63">
        <f>IF(OR($E438="",$F438="",$F438=0),"",$E438/$F438)</f>
        <v/>
      </c>
      <c r="H438" s="63">
        <f>IF($A438="","",SUMIFS(الرواتب_قسط_السلفة,الرواتب_السلفة,$A438,الرواتب_حالة_الصرف,"مصروف"))</f>
        <v/>
      </c>
      <c r="I438" s="63">
        <f>IF($A438="","",MAX(0,$E438-$H438))</f>
        <v/>
      </c>
      <c r="J438" s="112" t="n"/>
      <c r="K438" s="47" t="n"/>
      <c r="L438" s="47" t="n"/>
    </row>
    <row r="439">
      <c r="A439" s="39" t="n"/>
      <c r="B439" s="40" t="n"/>
      <c r="C439" s="43">
        <f>IFERROR(INDEX(الموظفون_الاسم,MATCH($B439,الموظفون_الرقم,0)),"")</f>
        <v/>
      </c>
      <c r="D439" s="110" t="n"/>
      <c r="E439" s="42" t="n"/>
      <c r="F439" s="40" t="n"/>
      <c r="G439" s="60">
        <f>IF(OR($E439="",$F439="",$F439=0),"",$E439/$F439)</f>
        <v/>
      </c>
      <c r="H439" s="60">
        <f>IF($A439="","",SUMIFS(الرواتب_قسط_السلفة,الرواتب_السلفة,$A439,الرواتب_حالة_الصرف,"مصروف"))</f>
        <v/>
      </c>
      <c r="I439" s="60">
        <f>IF($A439="","",MAX(0,$E439-$H439))</f>
        <v/>
      </c>
      <c r="J439" s="110" t="n"/>
      <c r="K439" s="40" t="n"/>
      <c r="L439" s="40" t="n"/>
    </row>
    <row r="440">
      <c r="A440" s="46" t="n"/>
      <c r="B440" s="47" t="n"/>
      <c r="C440" s="50">
        <f>IFERROR(INDEX(الموظفون_الاسم,MATCH($B440,الموظفون_الرقم,0)),"")</f>
        <v/>
      </c>
      <c r="D440" s="112" t="n"/>
      <c r="E440" s="49" t="n"/>
      <c r="F440" s="47" t="n"/>
      <c r="G440" s="63">
        <f>IF(OR($E440="",$F440="",$F440=0),"",$E440/$F440)</f>
        <v/>
      </c>
      <c r="H440" s="63">
        <f>IF($A440="","",SUMIFS(الرواتب_قسط_السلفة,الرواتب_السلفة,$A440,الرواتب_حالة_الصرف,"مصروف"))</f>
        <v/>
      </c>
      <c r="I440" s="63">
        <f>IF($A440="","",MAX(0,$E440-$H440))</f>
        <v/>
      </c>
      <c r="J440" s="112" t="n"/>
      <c r="K440" s="47" t="n"/>
      <c r="L440" s="47" t="n"/>
    </row>
    <row r="441">
      <c r="A441" s="39" t="n"/>
      <c r="B441" s="40" t="n"/>
      <c r="C441" s="43">
        <f>IFERROR(INDEX(الموظفون_الاسم,MATCH($B441,الموظفون_الرقم,0)),"")</f>
        <v/>
      </c>
      <c r="D441" s="110" t="n"/>
      <c r="E441" s="42" t="n"/>
      <c r="F441" s="40" t="n"/>
      <c r="G441" s="60">
        <f>IF(OR($E441="",$F441="",$F441=0),"",$E441/$F441)</f>
        <v/>
      </c>
      <c r="H441" s="60">
        <f>IF($A441="","",SUMIFS(الرواتب_قسط_السلفة,الرواتب_السلفة,$A441,الرواتب_حالة_الصرف,"مصروف"))</f>
        <v/>
      </c>
      <c r="I441" s="60">
        <f>IF($A441="","",MAX(0,$E441-$H441))</f>
        <v/>
      </c>
      <c r="J441" s="110" t="n"/>
      <c r="K441" s="40" t="n"/>
      <c r="L441" s="40" t="n"/>
    </row>
    <row r="442">
      <c r="A442" s="46" t="n"/>
      <c r="B442" s="47" t="n"/>
      <c r="C442" s="50">
        <f>IFERROR(INDEX(الموظفون_الاسم,MATCH($B442,الموظفون_الرقم,0)),"")</f>
        <v/>
      </c>
      <c r="D442" s="112" t="n"/>
      <c r="E442" s="49" t="n"/>
      <c r="F442" s="47" t="n"/>
      <c r="G442" s="63">
        <f>IF(OR($E442="",$F442="",$F442=0),"",$E442/$F442)</f>
        <v/>
      </c>
      <c r="H442" s="63">
        <f>IF($A442="","",SUMIFS(الرواتب_قسط_السلفة,الرواتب_السلفة,$A442,الرواتب_حالة_الصرف,"مصروف"))</f>
        <v/>
      </c>
      <c r="I442" s="63">
        <f>IF($A442="","",MAX(0,$E442-$H442))</f>
        <v/>
      </c>
      <c r="J442" s="112" t="n"/>
      <c r="K442" s="47" t="n"/>
      <c r="L442" s="47" t="n"/>
    </row>
    <row r="443">
      <c r="A443" s="39" t="n"/>
      <c r="B443" s="40" t="n"/>
      <c r="C443" s="43">
        <f>IFERROR(INDEX(الموظفون_الاسم,MATCH($B443,الموظفون_الرقم,0)),"")</f>
        <v/>
      </c>
      <c r="D443" s="110" t="n"/>
      <c r="E443" s="42" t="n"/>
      <c r="F443" s="40" t="n"/>
      <c r="G443" s="60">
        <f>IF(OR($E443="",$F443="",$F443=0),"",$E443/$F443)</f>
        <v/>
      </c>
      <c r="H443" s="60">
        <f>IF($A443="","",SUMIFS(الرواتب_قسط_السلفة,الرواتب_السلفة,$A443,الرواتب_حالة_الصرف,"مصروف"))</f>
        <v/>
      </c>
      <c r="I443" s="60">
        <f>IF($A443="","",MAX(0,$E443-$H443))</f>
        <v/>
      </c>
      <c r="J443" s="110" t="n"/>
      <c r="K443" s="40" t="n"/>
      <c r="L443" s="40" t="n"/>
    </row>
    <row r="444">
      <c r="A444" s="46" t="n"/>
      <c r="B444" s="47" t="n"/>
      <c r="C444" s="50">
        <f>IFERROR(INDEX(الموظفون_الاسم,MATCH($B444,الموظفون_الرقم,0)),"")</f>
        <v/>
      </c>
      <c r="D444" s="112" t="n"/>
      <c r="E444" s="49" t="n"/>
      <c r="F444" s="47" t="n"/>
      <c r="G444" s="63">
        <f>IF(OR($E444="",$F444="",$F444=0),"",$E444/$F444)</f>
        <v/>
      </c>
      <c r="H444" s="63">
        <f>IF($A444="","",SUMIFS(الرواتب_قسط_السلفة,الرواتب_السلفة,$A444,الرواتب_حالة_الصرف,"مصروف"))</f>
        <v/>
      </c>
      <c r="I444" s="63">
        <f>IF($A444="","",MAX(0,$E444-$H444))</f>
        <v/>
      </c>
      <c r="J444" s="112" t="n"/>
      <c r="K444" s="47" t="n"/>
      <c r="L444" s="47" t="n"/>
    </row>
    <row r="445">
      <c r="A445" s="39" t="n"/>
      <c r="B445" s="40" t="n"/>
      <c r="C445" s="43">
        <f>IFERROR(INDEX(الموظفون_الاسم,MATCH($B445,الموظفون_الرقم,0)),"")</f>
        <v/>
      </c>
      <c r="D445" s="110" t="n"/>
      <c r="E445" s="42" t="n"/>
      <c r="F445" s="40" t="n"/>
      <c r="G445" s="60">
        <f>IF(OR($E445="",$F445="",$F445=0),"",$E445/$F445)</f>
        <v/>
      </c>
      <c r="H445" s="60">
        <f>IF($A445="","",SUMIFS(الرواتب_قسط_السلفة,الرواتب_السلفة,$A445,الرواتب_حالة_الصرف,"مصروف"))</f>
        <v/>
      </c>
      <c r="I445" s="60">
        <f>IF($A445="","",MAX(0,$E445-$H445))</f>
        <v/>
      </c>
      <c r="J445" s="110" t="n"/>
      <c r="K445" s="40" t="n"/>
      <c r="L445" s="40" t="n"/>
    </row>
    <row r="446">
      <c r="A446" s="46" t="n"/>
      <c r="B446" s="47" t="n"/>
      <c r="C446" s="50">
        <f>IFERROR(INDEX(الموظفون_الاسم,MATCH($B446,الموظفون_الرقم,0)),"")</f>
        <v/>
      </c>
      <c r="D446" s="112" t="n"/>
      <c r="E446" s="49" t="n"/>
      <c r="F446" s="47" t="n"/>
      <c r="G446" s="63">
        <f>IF(OR($E446="",$F446="",$F446=0),"",$E446/$F446)</f>
        <v/>
      </c>
      <c r="H446" s="63">
        <f>IF($A446="","",SUMIFS(الرواتب_قسط_السلفة,الرواتب_السلفة,$A446,الرواتب_حالة_الصرف,"مصروف"))</f>
        <v/>
      </c>
      <c r="I446" s="63">
        <f>IF($A446="","",MAX(0,$E446-$H446))</f>
        <v/>
      </c>
      <c r="J446" s="112" t="n"/>
      <c r="K446" s="47" t="n"/>
      <c r="L446" s="47" t="n"/>
    </row>
    <row r="447">
      <c r="A447" s="39" t="n"/>
      <c r="B447" s="40" t="n"/>
      <c r="C447" s="43">
        <f>IFERROR(INDEX(الموظفون_الاسم,MATCH($B447,الموظفون_الرقم,0)),"")</f>
        <v/>
      </c>
      <c r="D447" s="110" t="n"/>
      <c r="E447" s="42" t="n"/>
      <c r="F447" s="40" t="n"/>
      <c r="G447" s="60">
        <f>IF(OR($E447="",$F447="",$F447=0),"",$E447/$F447)</f>
        <v/>
      </c>
      <c r="H447" s="60">
        <f>IF($A447="","",SUMIFS(الرواتب_قسط_السلفة,الرواتب_السلفة,$A447,الرواتب_حالة_الصرف,"مصروف"))</f>
        <v/>
      </c>
      <c r="I447" s="60">
        <f>IF($A447="","",MAX(0,$E447-$H447))</f>
        <v/>
      </c>
      <c r="J447" s="110" t="n"/>
      <c r="K447" s="40" t="n"/>
      <c r="L447" s="40" t="n"/>
    </row>
    <row r="448">
      <c r="A448" s="46" t="n"/>
      <c r="B448" s="47" t="n"/>
      <c r="C448" s="50">
        <f>IFERROR(INDEX(الموظفون_الاسم,MATCH($B448,الموظفون_الرقم,0)),"")</f>
        <v/>
      </c>
      <c r="D448" s="112" t="n"/>
      <c r="E448" s="49" t="n"/>
      <c r="F448" s="47" t="n"/>
      <c r="G448" s="63">
        <f>IF(OR($E448="",$F448="",$F448=0),"",$E448/$F448)</f>
        <v/>
      </c>
      <c r="H448" s="63">
        <f>IF($A448="","",SUMIFS(الرواتب_قسط_السلفة,الرواتب_السلفة,$A448,الرواتب_حالة_الصرف,"مصروف"))</f>
        <v/>
      </c>
      <c r="I448" s="63">
        <f>IF($A448="","",MAX(0,$E448-$H448))</f>
        <v/>
      </c>
      <c r="J448" s="112" t="n"/>
      <c r="K448" s="47" t="n"/>
      <c r="L448" s="47" t="n"/>
    </row>
    <row r="449">
      <c r="A449" s="39" t="n"/>
      <c r="B449" s="40" t="n"/>
      <c r="C449" s="43">
        <f>IFERROR(INDEX(الموظفون_الاسم,MATCH($B449,الموظفون_الرقم,0)),"")</f>
        <v/>
      </c>
      <c r="D449" s="110" t="n"/>
      <c r="E449" s="42" t="n"/>
      <c r="F449" s="40" t="n"/>
      <c r="G449" s="60">
        <f>IF(OR($E449="",$F449="",$F449=0),"",$E449/$F449)</f>
        <v/>
      </c>
      <c r="H449" s="60">
        <f>IF($A449="","",SUMIFS(الرواتب_قسط_السلفة,الرواتب_السلفة,$A449,الرواتب_حالة_الصرف,"مصروف"))</f>
        <v/>
      </c>
      <c r="I449" s="60">
        <f>IF($A449="","",MAX(0,$E449-$H449))</f>
        <v/>
      </c>
      <c r="J449" s="110" t="n"/>
      <c r="K449" s="40" t="n"/>
      <c r="L449" s="40" t="n"/>
    </row>
    <row r="450">
      <c r="A450" s="46" t="n"/>
      <c r="B450" s="47" t="n"/>
      <c r="C450" s="50">
        <f>IFERROR(INDEX(الموظفون_الاسم,MATCH($B450,الموظفون_الرقم,0)),"")</f>
        <v/>
      </c>
      <c r="D450" s="112" t="n"/>
      <c r="E450" s="49" t="n"/>
      <c r="F450" s="47" t="n"/>
      <c r="G450" s="63">
        <f>IF(OR($E450="",$F450="",$F450=0),"",$E450/$F450)</f>
        <v/>
      </c>
      <c r="H450" s="63">
        <f>IF($A450="","",SUMIFS(الرواتب_قسط_السلفة,الرواتب_السلفة,$A450,الرواتب_حالة_الصرف,"مصروف"))</f>
        <v/>
      </c>
      <c r="I450" s="63">
        <f>IF($A450="","",MAX(0,$E450-$H450))</f>
        <v/>
      </c>
      <c r="J450" s="112" t="n"/>
      <c r="K450" s="47" t="n"/>
      <c r="L450" s="47" t="n"/>
    </row>
    <row r="451">
      <c r="A451" s="39" t="n"/>
      <c r="B451" s="40" t="n"/>
      <c r="C451" s="43">
        <f>IFERROR(INDEX(الموظفون_الاسم,MATCH($B451,الموظفون_الرقم,0)),"")</f>
        <v/>
      </c>
      <c r="D451" s="110" t="n"/>
      <c r="E451" s="42" t="n"/>
      <c r="F451" s="40" t="n"/>
      <c r="G451" s="60">
        <f>IF(OR($E451="",$F451="",$F451=0),"",$E451/$F451)</f>
        <v/>
      </c>
      <c r="H451" s="60">
        <f>IF($A451="","",SUMIFS(الرواتب_قسط_السلفة,الرواتب_السلفة,$A451,الرواتب_حالة_الصرف,"مصروف"))</f>
        <v/>
      </c>
      <c r="I451" s="60">
        <f>IF($A451="","",MAX(0,$E451-$H451))</f>
        <v/>
      </c>
      <c r="J451" s="110" t="n"/>
      <c r="K451" s="40" t="n"/>
      <c r="L451" s="40" t="n"/>
    </row>
    <row r="452">
      <c r="A452" s="46" t="n"/>
      <c r="B452" s="47" t="n"/>
      <c r="C452" s="50">
        <f>IFERROR(INDEX(الموظفون_الاسم,MATCH($B452,الموظفون_الرقم,0)),"")</f>
        <v/>
      </c>
      <c r="D452" s="112" t="n"/>
      <c r="E452" s="49" t="n"/>
      <c r="F452" s="47" t="n"/>
      <c r="G452" s="63">
        <f>IF(OR($E452="",$F452="",$F452=0),"",$E452/$F452)</f>
        <v/>
      </c>
      <c r="H452" s="63">
        <f>IF($A452="","",SUMIFS(الرواتب_قسط_السلفة,الرواتب_السلفة,$A452,الرواتب_حالة_الصرف,"مصروف"))</f>
        <v/>
      </c>
      <c r="I452" s="63">
        <f>IF($A452="","",MAX(0,$E452-$H452))</f>
        <v/>
      </c>
      <c r="J452" s="112" t="n"/>
      <c r="K452" s="47" t="n"/>
      <c r="L452" s="47" t="n"/>
    </row>
    <row r="453">
      <c r="A453" s="39" t="n"/>
      <c r="B453" s="40" t="n"/>
      <c r="C453" s="43">
        <f>IFERROR(INDEX(الموظفون_الاسم,MATCH($B453,الموظفون_الرقم,0)),"")</f>
        <v/>
      </c>
      <c r="D453" s="110" t="n"/>
      <c r="E453" s="42" t="n"/>
      <c r="F453" s="40" t="n"/>
      <c r="G453" s="60">
        <f>IF(OR($E453="",$F453="",$F453=0),"",$E453/$F453)</f>
        <v/>
      </c>
      <c r="H453" s="60">
        <f>IF($A453="","",SUMIFS(الرواتب_قسط_السلفة,الرواتب_السلفة,$A453,الرواتب_حالة_الصرف,"مصروف"))</f>
        <v/>
      </c>
      <c r="I453" s="60">
        <f>IF($A453="","",MAX(0,$E453-$H453))</f>
        <v/>
      </c>
      <c r="J453" s="110" t="n"/>
      <c r="K453" s="40" t="n"/>
      <c r="L453" s="40" t="n"/>
    </row>
    <row r="454">
      <c r="A454" s="46" t="n"/>
      <c r="B454" s="47" t="n"/>
      <c r="C454" s="50">
        <f>IFERROR(INDEX(الموظفون_الاسم,MATCH($B454,الموظفون_الرقم,0)),"")</f>
        <v/>
      </c>
      <c r="D454" s="112" t="n"/>
      <c r="E454" s="49" t="n"/>
      <c r="F454" s="47" t="n"/>
      <c r="G454" s="63">
        <f>IF(OR($E454="",$F454="",$F454=0),"",$E454/$F454)</f>
        <v/>
      </c>
      <c r="H454" s="63">
        <f>IF($A454="","",SUMIFS(الرواتب_قسط_السلفة,الرواتب_السلفة,$A454,الرواتب_حالة_الصرف,"مصروف"))</f>
        <v/>
      </c>
      <c r="I454" s="63">
        <f>IF($A454="","",MAX(0,$E454-$H454))</f>
        <v/>
      </c>
      <c r="J454" s="112" t="n"/>
      <c r="K454" s="47" t="n"/>
      <c r="L454" s="47" t="n"/>
    </row>
    <row r="455">
      <c r="A455" s="39" t="n"/>
      <c r="B455" s="40" t="n"/>
      <c r="C455" s="43">
        <f>IFERROR(INDEX(الموظفون_الاسم,MATCH($B455,الموظفون_الرقم,0)),"")</f>
        <v/>
      </c>
      <c r="D455" s="110" t="n"/>
      <c r="E455" s="42" t="n"/>
      <c r="F455" s="40" t="n"/>
      <c r="G455" s="60">
        <f>IF(OR($E455="",$F455="",$F455=0),"",$E455/$F455)</f>
        <v/>
      </c>
      <c r="H455" s="60">
        <f>IF($A455="","",SUMIFS(الرواتب_قسط_السلفة,الرواتب_السلفة,$A455,الرواتب_حالة_الصرف,"مصروف"))</f>
        <v/>
      </c>
      <c r="I455" s="60">
        <f>IF($A455="","",MAX(0,$E455-$H455))</f>
        <v/>
      </c>
      <c r="J455" s="110" t="n"/>
      <c r="K455" s="40" t="n"/>
      <c r="L455" s="40" t="n"/>
    </row>
    <row r="456">
      <c r="A456" s="46" t="n"/>
      <c r="B456" s="47" t="n"/>
      <c r="C456" s="50">
        <f>IFERROR(INDEX(الموظفون_الاسم,MATCH($B456,الموظفون_الرقم,0)),"")</f>
        <v/>
      </c>
      <c r="D456" s="112" t="n"/>
      <c r="E456" s="49" t="n"/>
      <c r="F456" s="47" t="n"/>
      <c r="G456" s="63">
        <f>IF(OR($E456="",$F456="",$F456=0),"",$E456/$F456)</f>
        <v/>
      </c>
      <c r="H456" s="63">
        <f>IF($A456="","",SUMIFS(الرواتب_قسط_السلفة,الرواتب_السلفة,$A456,الرواتب_حالة_الصرف,"مصروف"))</f>
        <v/>
      </c>
      <c r="I456" s="63">
        <f>IF($A456="","",MAX(0,$E456-$H456))</f>
        <v/>
      </c>
      <c r="J456" s="112" t="n"/>
      <c r="K456" s="47" t="n"/>
      <c r="L456" s="47" t="n"/>
    </row>
    <row r="457">
      <c r="A457" s="39" t="n"/>
      <c r="B457" s="40" t="n"/>
      <c r="C457" s="43">
        <f>IFERROR(INDEX(الموظفون_الاسم,MATCH($B457,الموظفون_الرقم,0)),"")</f>
        <v/>
      </c>
      <c r="D457" s="110" t="n"/>
      <c r="E457" s="42" t="n"/>
      <c r="F457" s="40" t="n"/>
      <c r="G457" s="60">
        <f>IF(OR($E457="",$F457="",$F457=0),"",$E457/$F457)</f>
        <v/>
      </c>
      <c r="H457" s="60">
        <f>IF($A457="","",SUMIFS(الرواتب_قسط_السلفة,الرواتب_السلفة,$A457,الرواتب_حالة_الصرف,"مصروف"))</f>
        <v/>
      </c>
      <c r="I457" s="60">
        <f>IF($A457="","",MAX(0,$E457-$H457))</f>
        <v/>
      </c>
      <c r="J457" s="110" t="n"/>
      <c r="K457" s="40" t="n"/>
      <c r="L457" s="40" t="n"/>
    </row>
    <row r="458">
      <c r="A458" s="46" t="n"/>
      <c r="B458" s="47" t="n"/>
      <c r="C458" s="50">
        <f>IFERROR(INDEX(الموظفون_الاسم,MATCH($B458,الموظفون_الرقم,0)),"")</f>
        <v/>
      </c>
      <c r="D458" s="112" t="n"/>
      <c r="E458" s="49" t="n"/>
      <c r="F458" s="47" t="n"/>
      <c r="G458" s="63">
        <f>IF(OR($E458="",$F458="",$F458=0),"",$E458/$F458)</f>
        <v/>
      </c>
      <c r="H458" s="63">
        <f>IF($A458="","",SUMIFS(الرواتب_قسط_السلفة,الرواتب_السلفة,$A458,الرواتب_حالة_الصرف,"مصروف"))</f>
        <v/>
      </c>
      <c r="I458" s="63">
        <f>IF($A458="","",MAX(0,$E458-$H458))</f>
        <v/>
      </c>
      <c r="J458" s="112" t="n"/>
      <c r="K458" s="47" t="n"/>
      <c r="L458" s="47" t="n"/>
    </row>
    <row r="459">
      <c r="A459" s="39" t="n"/>
      <c r="B459" s="40" t="n"/>
      <c r="C459" s="43">
        <f>IFERROR(INDEX(الموظفون_الاسم,MATCH($B459,الموظفون_الرقم,0)),"")</f>
        <v/>
      </c>
      <c r="D459" s="110" t="n"/>
      <c r="E459" s="42" t="n"/>
      <c r="F459" s="40" t="n"/>
      <c r="G459" s="60">
        <f>IF(OR($E459="",$F459="",$F459=0),"",$E459/$F459)</f>
        <v/>
      </c>
      <c r="H459" s="60">
        <f>IF($A459="","",SUMIFS(الرواتب_قسط_السلفة,الرواتب_السلفة,$A459,الرواتب_حالة_الصرف,"مصروف"))</f>
        <v/>
      </c>
      <c r="I459" s="60">
        <f>IF($A459="","",MAX(0,$E459-$H459))</f>
        <v/>
      </c>
      <c r="J459" s="110" t="n"/>
      <c r="K459" s="40" t="n"/>
      <c r="L459" s="40" t="n"/>
    </row>
    <row r="460">
      <c r="A460" s="46" t="n"/>
      <c r="B460" s="47" t="n"/>
      <c r="C460" s="50">
        <f>IFERROR(INDEX(الموظفون_الاسم,MATCH($B460,الموظفون_الرقم,0)),"")</f>
        <v/>
      </c>
      <c r="D460" s="112" t="n"/>
      <c r="E460" s="49" t="n"/>
      <c r="F460" s="47" t="n"/>
      <c r="G460" s="63">
        <f>IF(OR($E460="",$F460="",$F460=0),"",$E460/$F460)</f>
        <v/>
      </c>
      <c r="H460" s="63">
        <f>IF($A460="","",SUMIFS(الرواتب_قسط_السلفة,الرواتب_السلفة,$A460,الرواتب_حالة_الصرف,"مصروف"))</f>
        <v/>
      </c>
      <c r="I460" s="63">
        <f>IF($A460="","",MAX(0,$E460-$H460))</f>
        <v/>
      </c>
      <c r="J460" s="112" t="n"/>
      <c r="K460" s="47" t="n"/>
      <c r="L460" s="47" t="n"/>
    </row>
    <row r="461">
      <c r="A461" s="39" t="n"/>
      <c r="B461" s="40" t="n"/>
      <c r="C461" s="43">
        <f>IFERROR(INDEX(الموظفون_الاسم,MATCH($B461,الموظفون_الرقم,0)),"")</f>
        <v/>
      </c>
      <c r="D461" s="110" t="n"/>
      <c r="E461" s="42" t="n"/>
      <c r="F461" s="40" t="n"/>
      <c r="G461" s="60">
        <f>IF(OR($E461="",$F461="",$F461=0),"",$E461/$F461)</f>
        <v/>
      </c>
      <c r="H461" s="60">
        <f>IF($A461="","",SUMIFS(الرواتب_قسط_السلفة,الرواتب_السلفة,$A461,الرواتب_حالة_الصرف,"مصروف"))</f>
        <v/>
      </c>
      <c r="I461" s="60">
        <f>IF($A461="","",MAX(0,$E461-$H461))</f>
        <v/>
      </c>
      <c r="J461" s="110" t="n"/>
      <c r="K461" s="40" t="n"/>
      <c r="L461" s="40" t="n"/>
    </row>
    <row r="462">
      <c r="A462" s="46" t="n"/>
      <c r="B462" s="47" t="n"/>
      <c r="C462" s="50">
        <f>IFERROR(INDEX(الموظفون_الاسم,MATCH($B462,الموظفون_الرقم,0)),"")</f>
        <v/>
      </c>
      <c r="D462" s="112" t="n"/>
      <c r="E462" s="49" t="n"/>
      <c r="F462" s="47" t="n"/>
      <c r="G462" s="63">
        <f>IF(OR($E462="",$F462="",$F462=0),"",$E462/$F462)</f>
        <v/>
      </c>
      <c r="H462" s="63">
        <f>IF($A462="","",SUMIFS(الرواتب_قسط_السلفة,الرواتب_السلفة,$A462,الرواتب_حالة_الصرف,"مصروف"))</f>
        <v/>
      </c>
      <c r="I462" s="63">
        <f>IF($A462="","",MAX(0,$E462-$H462))</f>
        <v/>
      </c>
      <c r="J462" s="112" t="n"/>
      <c r="K462" s="47" t="n"/>
      <c r="L462" s="47" t="n"/>
    </row>
    <row r="463">
      <c r="A463" s="39" t="n"/>
      <c r="B463" s="40" t="n"/>
      <c r="C463" s="43">
        <f>IFERROR(INDEX(الموظفون_الاسم,MATCH($B463,الموظفون_الرقم,0)),"")</f>
        <v/>
      </c>
      <c r="D463" s="110" t="n"/>
      <c r="E463" s="42" t="n"/>
      <c r="F463" s="40" t="n"/>
      <c r="G463" s="60">
        <f>IF(OR($E463="",$F463="",$F463=0),"",$E463/$F463)</f>
        <v/>
      </c>
      <c r="H463" s="60">
        <f>IF($A463="","",SUMIFS(الرواتب_قسط_السلفة,الرواتب_السلفة,$A463,الرواتب_حالة_الصرف,"مصروف"))</f>
        <v/>
      </c>
      <c r="I463" s="60">
        <f>IF($A463="","",MAX(0,$E463-$H463))</f>
        <v/>
      </c>
      <c r="J463" s="110" t="n"/>
      <c r="K463" s="40" t="n"/>
      <c r="L463" s="40" t="n"/>
    </row>
    <row r="464">
      <c r="A464" s="46" t="n"/>
      <c r="B464" s="47" t="n"/>
      <c r="C464" s="50">
        <f>IFERROR(INDEX(الموظفون_الاسم,MATCH($B464,الموظفون_الرقم,0)),"")</f>
        <v/>
      </c>
      <c r="D464" s="112" t="n"/>
      <c r="E464" s="49" t="n"/>
      <c r="F464" s="47" t="n"/>
      <c r="G464" s="63">
        <f>IF(OR($E464="",$F464="",$F464=0),"",$E464/$F464)</f>
        <v/>
      </c>
      <c r="H464" s="63">
        <f>IF($A464="","",SUMIFS(الرواتب_قسط_السلفة,الرواتب_السلفة,$A464,الرواتب_حالة_الصرف,"مصروف"))</f>
        <v/>
      </c>
      <c r="I464" s="63">
        <f>IF($A464="","",MAX(0,$E464-$H464))</f>
        <v/>
      </c>
      <c r="J464" s="112" t="n"/>
      <c r="K464" s="47" t="n"/>
      <c r="L464" s="47" t="n"/>
    </row>
    <row r="465">
      <c r="A465" s="39" t="n"/>
      <c r="B465" s="40" t="n"/>
      <c r="C465" s="43">
        <f>IFERROR(INDEX(الموظفون_الاسم,MATCH($B465,الموظفون_الرقم,0)),"")</f>
        <v/>
      </c>
      <c r="D465" s="110" t="n"/>
      <c r="E465" s="42" t="n"/>
      <c r="F465" s="40" t="n"/>
      <c r="G465" s="60">
        <f>IF(OR($E465="",$F465="",$F465=0),"",$E465/$F465)</f>
        <v/>
      </c>
      <c r="H465" s="60">
        <f>IF($A465="","",SUMIFS(الرواتب_قسط_السلفة,الرواتب_السلفة,$A465,الرواتب_حالة_الصرف,"مصروف"))</f>
        <v/>
      </c>
      <c r="I465" s="60">
        <f>IF($A465="","",MAX(0,$E465-$H465))</f>
        <v/>
      </c>
      <c r="J465" s="110" t="n"/>
      <c r="K465" s="40" t="n"/>
      <c r="L465" s="40" t="n"/>
    </row>
    <row r="466">
      <c r="A466" s="46" t="n"/>
      <c r="B466" s="47" t="n"/>
      <c r="C466" s="50">
        <f>IFERROR(INDEX(الموظفون_الاسم,MATCH($B466,الموظفون_الرقم,0)),"")</f>
        <v/>
      </c>
      <c r="D466" s="112" t="n"/>
      <c r="E466" s="49" t="n"/>
      <c r="F466" s="47" t="n"/>
      <c r="G466" s="63">
        <f>IF(OR($E466="",$F466="",$F466=0),"",$E466/$F466)</f>
        <v/>
      </c>
      <c r="H466" s="63">
        <f>IF($A466="","",SUMIFS(الرواتب_قسط_السلفة,الرواتب_السلفة,$A466,الرواتب_حالة_الصرف,"مصروف"))</f>
        <v/>
      </c>
      <c r="I466" s="63">
        <f>IF($A466="","",MAX(0,$E466-$H466))</f>
        <v/>
      </c>
      <c r="J466" s="112" t="n"/>
      <c r="K466" s="47" t="n"/>
      <c r="L466" s="47" t="n"/>
    </row>
    <row r="467">
      <c r="A467" s="39" t="n"/>
      <c r="B467" s="40" t="n"/>
      <c r="C467" s="43">
        <f>IFERROR(INDEX(الموظفون_الاسم,MATCH($B467,الموظفون_الرقم,0)),"")</f>
        <v/>
      </c>
      <c r="D467" s="110" t="n"/>
      <c r="E467" s="42" t="n"/>
      <c r="F467" s="40" t="n"/>
      <c r="G467" s="60">
        <f>IF(OR($E467="",$F467="",$F467=0),"",$E467/$F467)</f>
        <v/>
      </c>
      <c r="H467" s="60">
        <f>IF($A467="","",SUMIFS(الرواتب_قسط_السلفة,الرواتب_السلفة,$A467,الرواتب_حالة_الصرف,"مصروف"))</f>
        <v/>
      </c>
      <c r="I467" s="60">
        <f>IF($A467="","",MAX(0,$E467-$H467))</f>
        <v/>
      </c>
      <c r="J467" s="110" t="n"/>
      <c r="K467" s="40" t="n"/>
      <c r="L467" s="40" t="n"/>
    </row>
    <row r="468">
      <c r="A468" s="46" t="n"/>
      <c r="B468" s="47" t="n"/>
      <c r="C468" s="50">
        <f>IFERROR(INDEX(الموظفون_الاسم,MATCH($B468,الموظفون_الرقم,0)),"")</f>
        <v/>
      </c>
      <c r="D468" s="112" t="n"/>
      <c r="E468" s="49" t="n"/>
      <c r="F468" s="47" t="n"/>
      <c r="G468" s="63">
        <f>IF(OR($E468="",$F468="",$F468=0),"",$E468/$F468)</f>
        <v/>
      </c>
      <c r="H468" s="63">
        <f>IF($A468="","",SUMIFS(الرواتب_قسط_السلفة,الرواتب_السلفة,$A468,الرواتب_حالة_الصرف,"مصروف"))</f>
        <v/>
      </c>
      <c r="I468" s="63">
        <f>IF($A468="","",MAX(0,$E468-$H468))</f>
        <v/>
      </c>
      <c r="J468" s="112" t="n"/>
      <c r="K468" s="47" t="n"/>
      <c r="L468" s="47" t="n"/>
    </row>
    <row r="469">
      <c r="A469" s="39" t="n"/>
      <c r="B469" s="40" t="n"/>
      <c r="C469" s="43">
        <f>IFERROR(INDEX(الموظفون_الاسم,MATCH($B469,الموظفون_الرقم,0)),"")</f>
        <v/>
      </c>
      <c r="D469" s="110" t="n"/>
      <c r="E469" s="42" t="n"/>
      <c r="F469" s="40" t="n"/>
      <c r="G469" s="60">
        <f>IF(OR($E469="",$F469="",$F469=0),"",$E469/$F469)</f>
        <v/>
      </c>
      <c r="H469" s="60">
        <f>IF($A469="","",SUMIFS(الرواتب_قسط_السلفة,الرواتب_السلفة,$A469,الرواتب_حالة_الصرف,"مصروف"))</f>
        <v/>
      </c>
      <c r="I469" s="60">
        <f>IF($A469="","",MAX(0,$E469-$H469))</f>
        <v/>
      </c>
      <c r="J469" s="110" t="n"/>
      <c r="K469" s="40" t="n"/>
      <c r="L469" s="40" t="n"/>
    </row>
    <row r="470">
      <c r="A470" s="46" t="n"/>
      <c r="B470" s="47" t="n"/>
      <c r="C470" s="50">
        <f>IFERROR(INDEX(الموظفون_الاسم,MATCH($B470,الموظفون_الرقم,0)),"")</f>
        <v/>
      </c>
      <c r="D470" s="112" t="n"/>
      <c r="E470" s="49" t="n"/>
      <c r="F470" s="47" t="n"/>
      <c r="G470" s="63">
        <f>IF(OR($E470="",$F470="",$F470=0),"",$E470/$F470)</f>
        <v/>
      </c>
      <c r="H470" s="63">
        <f>IF($A470="","",SUMIFS(الرواتب_قسط_السلفة,الرواتب_السلفة,$A470,الرواتب_حالة_الصرف,"مصروف"))</f>
        <v/>
      </c>
      <c r="I470" s="63">
        <f>IF($A470="","",MAX(0,$E470-$H470))</f>
        <v/>
      </c>
      <c r="J470" s="112" t="n"/>
      <c r="K470" s="47" t="n"/>
      <c r="L470" s="47" t="n"/>
    </row>
    <row r="471">
      <c r="A471" s="39" t="n"/>
      <c r="B471" s="40" t="n"/>
      <c r="C471" s="43">
        <f>IFERROR(INDEX(الموظفون_الاسم,MATCH($B471,الموظفون_الرقم,0)),"")</f>
        <v/>
      </c>
      <c r="D471" s="110" t="n"/>
      <c r="E471" s="42" t="n"/>
      <c r="F471" s="40" t="n"/>
      <c r="G471" s="60">
        <f>IF(OR($E471="",$F471="",$F471=0),"",$E471/$F471)</f>
        <v/>
      </c>
      <c r="H471" s="60">
        <f>IF($A471="","",SUMIFS(الرواتب_قسط_السلفة,الرواتب_السلفة,$A471,الرواتب_حالة_الصرف,"مصروف"))</f>
        <v/>
      </c>
      <c r="I471" s="60">
        <f>IF($A471="","",MAX(0,$E471-$H471))</f>
        <v/>
      </c>
      <c r="J471" s="110" t="n"/>
      <c r="K471" s="40" t="n"/>
      <c r="L471" s="40" t="n"/>
    </row>
    <row r="472">
      <c r="A472" s="46" t="n"/>
      <c r="B472" s="47" t="n"/>
      <c r="C472" s="50">
        <f>IFERROR(INDEX(الموظفون_الاسم,MATCH($B472,الموظفون_الرقم,0)),"")</f>
        <v/>
      </c>
      <c r="D472" s="112" t="n"/>
      <c r="E472" s="49" t="n"/>
      <c r="F472" s="47" t="n"/>
      <c r="G472" s="63">
        <f>IF(OR($E472="",$F472="",$F472=0),"",$E472/$F472)</f>
        <v/>
      </c>
      <c r="H472" s="63">
        <f>IF($A472="","",SUMIFS(الرواتب_قسط_السلفة,الرواتب_السلفة,$A472,الرواتب_حالة_الصرف,"مصروف"))</f>
        <v/>
      </c>
      <c r="I472" s="63">
        <f>IF($A472="","",MAX(0,$E472-$H472))</f>
        <v/>
      </c>
      <c r="J472" s="112" t="n"/>
      <c r="K472" s="47" t="n"/>
      <c r="L472" s="47" t="n"/>
    </row>
    <row r="473">
      <c r="A473" s="39" t="n"/>
      <c r="B473" s="40" t="n"/>
      <c r="C473" s="43">
        <f>IFERROR(INDEX(الموظفون_الاسم,MATCH($B473,الموظفون_الرقم,0)),"")</f>
        <v/>
      </c>
      <c r="D473" s="110" t="n"/>
      <c r="E473" s="42" t="n"/>
      <c r="F473" s="40" t="n"/>
      <c r="G473" s="60">
        <f>IF(OR($E473="",$F473="",$F473=0),"",$E473/$F473)</f>
        <v/>
      </c>
      <c r="H473" s="60">
        <f>IF($A473="","",SUMIFS(الرواتب_قسط_السلفة,الرواتب_السلفة,$A473,الرواتب_حالة_الصرف,"مصروف"))</f>
        <v/>
      </c>
      <c r="I473" s="60">
        <f>IF($A473="","",MAX(0,$E473-$H473))</f>
        <v/>
      </c>
      <c r="J473" s="110" t="n"/>
      <c r="K473" s="40" t="n"/>
      <c r="L473" s="40" t="n"/>
    </row>
    <row r="474">
      <c r="A474" s="46" t="n"/>
      <c r="B474" s="47" t="n"/>
      <c r="C474" s="50">
        <f>IFERROR(INDEX(الموظفون_الاسم,MATCH($B474,الموظفون_الرقم,0)),"")</f>
        <v/>
      </c>
      <c r="D474" s="112" t="n"/>
      <c r="E474" s="49" t="n"/>
      <c r="F474" s="47" t="n"/>
      <c r="G474" s="63">
        <f>IF(OR($E474="",$F474="",$F474=0),"",$E474/$F474)</f>
        <v/>
      </c>
      <c r="H474" s="63">
        <f>IF($A474="","",SUMIFS(الرواتب_قسط_السلفة,الرواتب_السلفة,$A474,الرواتب_حالة_الصرف,"مصروف"))</f>
        <v/>
      </c>
      <c r="I474" s="63">
        <f>IF($A474="","",MAX(0,$E474-$H474))</f>
        <v/>
      </c>
      <c r="J474" s="112" t="n"/>
      <c r="K474" s="47" t="n"/>
      <c r="L474" s="47" t="n"/>
    </row>
    <row r="475">
      <c r="A475" s="39" t="n"/>
      <c r="B475" s="40" t="n"/>
      <c r="C475" s="43">
        <f>IFERROR(INDEX(الموظفون_الاسم,MATCH($B475,الموظفون_الرقم,0)),"")</f>
        <v/>
      </c>
      <c r="D475" s="110" t="n"/>
      <c r="E475" s="42" t="n"/>
      <c r="F475" s="40" t="n"/>
      <c r="G475" s="60">
        <f>IF(OR($E475="",$F475="",$F475=0),"",$E475/$F475)</f>
        <v/>
      </c>
      <c r="H475" s="60">
        <f>IF($A475="","",SUMIFS(الرواتب_قسط_السلفة,الرواتب_السلفة,$A475,الرواتب_حالة_الصرف,"مصروف"))</f>
        <v/>
      </c>
      <c r="I475" s="60">
        <f>IF($A475="","",MAX(0,$E475-$H475))</f>
        <v/>
      </c>
      <c r="J475" s="110" t="n"/>
      <c r="K475" s="40" t="n"/>
      <c r="L475" s="40" t="n"/>
    </row>
    <row r="476">
      <c r="A476" s="46" t="n"/>
      <c r="B476" s="47" t="n"/>
      <c r="C476" s="50">
        <f>IFERROR(INDEX(الموظفون_الاسم,MATCH($B476,الموظفون_الرقم,0)),"")</f>
        <v/>
      </c>
      <c r="D476" s="112" t="n"/>
      <c r="E476" s="49" t="n"/>
      <c r="F476" s="47" t="n"/>
      <c r="G476" s="63">
        <f>IF(OR($E476="",$F476="",$F476=0),"",$E476/$F476)</f>
        <v/>
      </c>
      <c r="H476" s="63">
        <f>IF($A476="","",SUMIFS(الرواتب_قسط_السلفة,الرواتب_السلفة,$A476,الرواتب_حالة_الصرف,"مصروف"))</f>
        <v/>
      </c>
      <c r="I476" s="63">
        <f>IF($A476="","",MAX(0,$E476-$H476))</f>
        <v/>
      </c>
      <c r="J476" s="112" t="n"/>
      <c r="K476" s="47" t="n"/>
      <c r="L476" s="47" t="n"/>
    </row>
    <row r="477">
      <c r="A477" s="39" t="n"/>
      <c r="B477" s="40" t="n"/>
      <c r="C477" s="43">
        <f>IFERROR(INDEX(الموظفون_الاسم,MATCH($B477,الموظفون_الرقم,0)),"")</f>
        <v/>
      </c>
      <c r="D477" s="110" t="n"/>
      <c r="E477" s="42" t="n"/>
      <c r="F477" s="40" t="n"/>
      <c r="G477" s="60">
        <f>IF(OR($E477="",$F477="",$F477=0),"",$E477/$F477)</f>
        <v/>
      </c>
      <c r="H477" s="60">
        <f>IF($A477="","",SUMIFS(الرواتب_قسط_السلفة,الرواتب_السلفة,$A477,الرواتب_حالة_الصرف,"مصروف"))</f>
        <v/>
      </c>
      <c r="I477" s="60">
        <f>IF($A477="","",MAX(0,$E477-$H477))</f>
        <v/>
      </c>
      <c r="J477" s="110" t="n"/>
      <c r="K477" s="40" t="n"/>
      <c r="L477" s="40" t="n"/>
    </row>
    <row r="478">
      <c r="A478" s="46" t="n"/>
      <c r="B478" s="47" t="n"/>
      <c r="C478" s="50">
        <f>IFERROR(INDEX(الموظفون_الاسم,MATCH($B478,الموظفون_الرقم,0)),"")</f>
        <v/>
      </c>
      <c r="D478" s="112" t="n"/>
      <c r="E478" s="49" t="n"/>
      <c r="F478" s="47" t="n"/>
      <c r="G478" s="63">
        <f>IF(OR($E478="",$F478="",$F478=0),"",$E478/$F478)</f>
        <v/>
      </c>
      <c r="H478" s="63">
        <f>IF($A478="","",SUMIFS(الرواتب_قسط_السلفة,الرواتب_السلفة,$A478,الرواتب_حالة_الصرف,"مصروف"))</f>
        <v/>
      </c>
      <c r="I478" s="63">
        <f>IF($A478="","",MAX(0,$E478-$H478))</f>
        <v/>
      </c>
      <c r="J478" s="112" t="n"/>
      <c r="K478" s="47" t="n"/>
      <c r="L478" s="47" t="n"/>
    </row>
    <row r="479">
      <c r="A479" s="39" t="n"/>
      <c r="B479" s="40" t="n"/>
      <c r="C479" s="43">
        <f>IFERROR(INDEX(الموظفون_الاسم,MATCH($B479,الموظفون_الرقم,0)),"")</f>
        <v/>
      </c>
      <c r="D479" s="110" t="n"/>
      <c r="E479" s="42" t="n"/>
      <c r="F479" s="40" t="n"/>
      <c r="G479" s="60">
        <f>IF(OR($E479="",$F479="",$F479=0),"",$E479/$F479)</f>
        <v/>
      </c>
      <c r="H479" s="60">
        <f>IF($A479="","",SUMIFS(الرواتب_قسط_السلفة,الرواتب_السلفة,$A479,الرواتب_حالة_الصرف,"مصروف"))</f>
        <v/>
      </c>
      <c r="I479" s="60">
        <f>IF($A479="","",MAX(0,$E479-$H479))</f>
        <v/>
      </c>
      <c r="J479" s="110" t="n"/>
      <c r="K479" s="40" t="n"/>
      <c r="L479" s="40" t="n"/>
    </row>
    <row r="480">
      <c r="A480" s="46" t="n"/>
      <c r="B480" s="47" t="n"/>
      <c r="C480" s="50">
        <f>IFERROR(INDEX(الموظفون_الاسم,MATCH($B480,الموظفون_الرقم,0)),"")</f>
        <v/>
      </c>
      <c r="D480" s="112" t="n"/>
      <c r="E480" s="49" t="n"/>
      <c r="F480" s="47" t="n"/>
      <c r="G480" s="63">
        <f>IF(OR($E480="",$F480="",$F480=0),"",$E480/$F480)</f>
        <v/>
      </c>
      <c r="H480" s="63">
        <f>IF($A480="","",SUMIFS(الرواتب_قسط_السلفة,الرواتب_السلفة,$A480,الرواتب_حالة_الصرف,"مصروف"))</f>
        <v/>
      </c>
      <c r="I480" s="63">
        <f>IF($A480="","",MAX(0,$E480-$H480))</f>
        <v/>
      </c>
      <c r="J480" s="112" t="n"/>
      <c r="K480" s="47" t="n"/>
      <c r="L480" s="47" t="n"/>
    </row>
    <row r="481">
      <c r="A481" s="39" t="n"/>
      <c r="B481" s="40" t="n"/>
      <c r="C481" s="43">
        <f>IFERROR(INDEX(الموظفون_الاسم,MATCH($B481,الموظفون_الرقم,0)),"")</f>
        <v/>
      </c>
      <c r="D481" s="110" t="n"/>
      <c r="E481" s="42" t="n"/>
      <c r="F481" s="40" t="n"/>
      <c r="G481" s="60">
        <f>IF(OR($E481="",$F481="",$F481=0),"",$E481/$F481)</f>
        <v/>
      </c>
      <c r="H481" s="60">
        <f>IF($A481="","",SUMIFS(الرواتب_قسط_السلفة,الرواتب_السلفة,$A481,الرواتب_حالة_الصرف,"مصروف"))</f>
        <v/>
      </c>
      <c r="I481" s="60">
        <f>IF($A481="","",MAX(0,$E481-$H481))</f>
        <v/>
      </c>
      <c r="J481" s="110" t="n"/>
      <c r="K481" s="40" t="n"/>
      <c r="L481" s="40" t="n"/>
    </row>
    <row r="482">
      <c r="A482" s="46" t="n"/>
      <c r="B482" s="47" t="n"/>
      <c r="C482" s="50">
        <f>IFERROR(INDEX(الموظفون_الاسم,MATCH($B482,الموظفون_الرقم,0)),"")</f>
        <v/>
      </c>
      <c r="D482" s="112" t="n"/>
      <c r="E482" s="49" t="n"/>
      <c r="F482" s="47" t="n"/>
      <c r="G482" s="63">
        <f>IF(OR($E482="",$F482="",$F482=0),"",$E482/$F482)</f>
        <v/>
      </c>
      <c r="H482" s="63">
        <f>IF($A482="","",SUMIFS(الرواتب_قسط_السلفة,الرواتب_السلفة,$A482,الرواتب_حالة_الصرف,"مصروف"))</f>
        <v/>
      </c>
      <c r="I482" s="63">
        <f>IF($A482="","",MAX(0,$E482-$H482))</f>
        <v/>
      </c>
      <c r="J482" s="112" t="n"/>
      <c r="K482" s="47" t="n"/>
      <c r="L482" s="47" t="n"/>
    </row>
    <row r="483">
      <c r="A483" s="39" t="n"/>
      <c r="B483" s="40" t="n"/>
      <c r="C483" s="43">
        <f>IFERROR(INDEX(الموظفون_الاسم,MATCH($B483,الموظفون_الرقم,0)),"")</f>
        <v/>
      </c>
      <c r="D483" s="110" t="n"/>
      <c r="E483" s="42" t="n"/>
      <c r="F483" s="40" t="n"/>
      <c r="G483" s="60">
        <f>IF(OR($E483="",$F483="",$F483=0),"",$E483/$F483)</f>
        <v/>
      </c>
      <c r="H483" s="60">
        <f>IF($A483="","",SUMIFS(الرواتب_قسط_السلفة,الرواتب_السلفة,$A483,الرواتب_حالة_الصرف,"مصروف"))</f>
        <v/>
      </c>
      <c r="I483" s="60">
        <f>IF($A483="","",MAX(0,$E483-$H483))</f>
        <v/>
      </c>
      <c r="J483" s="110" t="n"/>
      <c r="K483" s="40" t="n"/>
      <c r="L483" s="40" t="n"/>
    </row>
    <row r="484">
      <c r="A484" s="46" t="n"/>
      <c r="B484" s="47" t="n"/>
      <c r="C484" s="50">
        <f>IFERROR(INDEX(الموظفون_الاسم,MATCH($B484,الموظفون_الرقم,0)),"")</f>
        <v/>
      </c>
      <c r="D484" s="112" t="n"/>
      <c r="E484" s="49" t="n"/>
      <c r="F484" s="47" t="n"/>
      <c r="G484" s="63">
        <f>IF(OR($E484="",$F484="",$F484=0),"",$E484/$F484)</f>
        <v/>
      </c>
      <c r="H484" s="63">
        <f>IF($A484="","",SUMIFS(الرواتب_قسط_السلفة,الرواتب_السلفة,$A484,الرواتب_حالة_الصرف,"مصروف"))</f>
        <v/>
      </c>
      <c r="I484" s="63">
        <f>IF($A484="","",MAX(0,$E484-$H484))</f>
        <v/>
      </c>
      <c r="J484" s="112" t="n"/>
      <c r="K484" s="47" t="n"/>
      <c r="L484" s="47" t="n"/>
    </row>
    <row r="485">
      <c r="A485" s="39" t="n"/>
      <c r="B485" s="40" t="n"/>
      <c r="C485" s="43">
        <f>IFERROR(INDEX(الموظفون_الاسم,MATCH($B485,الموظفون_الرقم,0)),"")</f>
        <v/>
      </c>
      <c r="D485" s="110" t="n"/>
      <c r="E485" s="42" t="n"/>
      <c r="F485" s="40" t="n"/>
      <c r="G485" s="60">
        <f>IF(OR($E485="",$F485="",$F485=0),"",$E485/$F485)</f>
        <v/>
      </c>
      <c r="H485" s="60">
        <f>IF($A485="","",SUMIFS(الرواتب_قسط_السلفة,الرواتب_السلفة,$A485,الرواتب_حالة_الصرف,"مصروف"))</f>
        <v/>
      </c>
      <c r="I485" s="60">
        <f>IF($A485="","",MAX(0,$E485-$H485))</f>
        <v/>
      </c>
      <c r="J485" s="110" t="n"/>
      <c r="K485" s="40" t="n"/>
      <c r="L485" s="40" t="n"/>
    </row>
    <row r="486">
      <c r="A486" s="46" t="n"/>
      <c r="B486" s="47" t="n"/>
      <c r="C486" s="50">
        <f>IFERROR(INDEX(الموظفون_الاسم,MATCH($B486,الموظفون_الرقم,0)),"")</f>
        <v/>
      </c>
      <c r="D486" s="112" t="n"/>
      <c r="E486" s="49" t="n"/>
      <c r="F486" s="47" t="n"/>
      <c r="G486" s="63">
        <f>IF(OR($E486="",$F486="",$F486=0),"",$E486/$F486)</f>
        <v/>
      </c>
      <c r="H486" s="63">
        <f>IF($A486="","",SUMIFS(الرواتب_قسط_السلفة,الرواتب_السلفة,$A486,الرواتب_حالة_الصرف,"مصروف"))</f>
        <v/>
      </c>
      <c r="I486" s="63">
        <f>IF($A486="","",MAX(0,$E486-$H486))</f>
        <v/>
      </c>
      <c r="J486" s="112" t="n"/>
      <c r="K486" s="47" t="n"/>
      <c r="L486" s="47" t="n"/>
    </row>
    <row r="487">
      <c r="A487" s="39" t="n"/>
      <c r="B487" s="40" t="n"/>
      <c r="C487" s="43">
        <f>IFERROR(INDEX(الموظفون_الاسم,MATCH($B487,الموظفون_الرقم,0)),"")</f>
        <v/>
      </c>
      <c r="D487" s="110" t="n"/>
      <c r="E487" s="42" t="n"/>
      <c r="F487" s="40" t="n"/>
      <c r="G487" s="60">
        <f>IF(OR($E487="",$F487="",$F487=0),"",$E487/$F487)</f>
        <v/>
      </c>
      <c r="H487" s="60">
        <f>IF($A487="","",SUMIFS(الرواتب_قسط_السلفة,الرواتب_السلفة,$A487,الرواتب_حالة_الصرف,"مصروف"))</f>
        <v/>
      </c>
      <c r="I487" s="60">
        <f>IF($A487="","",MAX(0,$E487-$H487))</f>
        <v/>
      </c>
      <c r="J487" s="110" t="n"/>
      <c r="K487" s="40" t="n"/>
      <c r="L487" s="40" t="n"/>
    </row>
    <row r="488">
      <c r="A488" s="46" t="n"/>
      <c r="B488" s="47" t="n"/>
      <c r="C488" s="50">
        <f>IFERROR(INDEX(الموظفون_الاسم,MATCH($B488,الموظفون_الرقم,0)),"")</f>
        <v/>
      </c>
      <c r="D488" s="112" t="n"/>
      <c r="E488" s="49" t="n"/>
      <c r="F488" s="47" t="n"/>
      <c r="G488" s="63">
        <f>IF(OR($E488="",$F488="",$F488=0),"",$E488/$F488)</f>
        <v/>
      </c>
      <c r="H488" s="63">
        <f>IF($A488="","",SUMIFS(الرواتب_قسط_السلفة,الرواتب_السلفة,$A488,الرواتب_حالة_الصرف,"مصروف"))</f>
        <v/>
      </c>
      <c r="I488" s="63">
        <f>IF($A488="","",MAX(0,$E488-$H488))</f>
        <v/>
      </c>
      <c r="J488" s="112" t="n"/>
      <c r="K488" s="47" t="n"/>
      <c r="L488" s="47" t="n"/>
    </row>
    <row r="489">
      <c r="A489" s="39" t="n"/>
      <c r="B489" s="40" t="n"/>
      <c r="C489" s="43">
        <f>IFERROR(INDEX(الموظفون_الاسم,MATCH($B489,الموظفون_الرقم,0)),"")</f>
        <v/>
      </c>
      <c r="D489" s="110" t="n"/>
      <c r="E489" s="42" t="n"/>
      <c r="F489" s="40" t="n"/>
      <c r="G489" s="60">
        <f>IF(OR($E489="",$F489="",$F489=0),"",$E489/$F489)</f>
        <v/>
      </c>
      <c r="H489" s="60">
        <f>IF($A489="","",SUMIFS(الرواتب_قسط_السلفة,الرواتب_السلفة,$A489,الرواتب_حالة_الصرف,"مصروف"))</f>
        <v/>
      </c>
      <c r="I489" s="60">
        <f>IF($A489="","",MAX(0,$E489-$H489))</f>
        <v/>
      </c>
      <c r="J489" s="110" t="n"/>
      <c r="K489" s="40" t="n"/>
      <c r="L489" s="40" t="n"/>
    </row>
    <row r="490">
      <c r="A490" s="46" t="n"/>
      <c r="B490" s="47" t="n"/>
      <c r="C490" s="50">
        <f>IFERROR(INDEX(الموظفون_الاسم,MATCH($B490,الموظفون_الرقم,0)),"")</f>
        <v/>
      </c>
      <c r="D490" s="112" t="n"/>
      <c r="E490" s="49" t="n"/>
      <c r="F490" s="47" t="n"/>
      <c r="G490" s="63">
        <f>IF(OR($E490="",$F490="",$F490=0),"",$E490/$F490)</f>
        <v/>
      </c>
      <c r="H490" s="63">
        <f>IF($A490="","",SUMIFS(الرواتب_قسط_السلفة,الرواتب_السلفة,$A490,الرواتب_حالة_الصرف,"مصروف"))</f>
        <v/>
      </c>
      <c r="I490" s="63">
        <f>IF($A490="","",MAX(0,$E490-$H490))</f>
        <v/>
      </c>
      <c r="J490" s="112" t="n"/>
      <c r="K490" s="47" t="n"/>
      <c r="L490" s="47" t="n"/>
    </row>
    <row r="491">
      <c r="A491" s="39" t="n"/>
      <c r="B491" s="40" t="n"/>
      <c r="C491" s="43">
        <f>IFERROR(INDEX(الموظفون_الاسم,MATCH($B491,الموظفون_الرقم,0)),"")</f>
        <v/>
      </c>
      <c r="D491" s="110" t="n"/>
      <c r="E491" s="42" t="n"/>
      <c r="F491" s="40" t="n"/>
      <c r="G491" s="60">
        <f>IF(OR($E491="",$F491="",$F491=0),"",$E491/$F491)</f>
        <v/>
      </c>
      <c r="H491" s="60">
        <f>IF($A491="","",SUMIFS(الرواتب_قسط_السلفة,الرواتب_السلفة,$A491,الرواتب_حالة_الصرف,"مصروف"))</f>
        <v/>
      </c>
      <c r="I491" s="60">
        <f>IF($A491="","",MAX(0,$E491-$H491))</f>
        <v/>
      </c>
      <c r="J491" s="110" t="n"/>
      <c r="K491" s="40" t="n"/>
      <c r="L491" s="40" t="n"/>
    </row>
    <row r="492">
      <c r="A492" s="46" t="n"/>
      <c r="B492" s="47" t="n"/>
      <c r="C492" s="50">
        <f>IFERROR(INDEX(الموظفون_الاسم,MATCH($B492,الموظفون_الرقم,0)),"")</f>
        <v/>
      </c>
      <c r="D492" s="112" t="n"/>
      <c r="E492" s="49" t="n"/>
      <c r="F492" s="47" t="n"/>
      <c r="G492" s="63">
        <f>IF(OR($E492="",$F492="",$F492=0),"",$E492/$F492)</f>
        <v/>
      </c>
      <c r="H492" s="63">
        <f>IF($A492="","",SUMIFS(الرواتب_قسط_السلفة,الرواتب_السلفة,$A492,الرواتب_حالة_الصرف,"مصروف"))</f>
        <v/>
      </c>
      <c r="I492" s="63">
        <f>IF($A492="","",MAX(0,$E492-$H492))</f>
        <v/>
      </c>
      <c r="J492" s="112" t="n"/>
      <c r="K492" s="47" t="n"/>
      <c r="L492" s="47" t="n"/>
    </row>
    <row r="493">
      <c r="A493" s="39" t="n"/>
      <c r="B493" s="40" t="n"/>
      <c r="C493" s="43">
        <f>IFERROR(INDEX(الموظفون_الاسم,MATCH($B493,الموظفون_الرقم,0)),"")</f>
        <v/>
      </c>
      <c r="D493" s="110" t="n"/>
      <c r="E493" s="42" t="n"/>
      <c r="F493" s="40" t="n"/>
      <c r="G493" s="60">
        <f>IF(OR($E493="",$F493="",$F493=0),"",$E493/$F493)</f>
        <v/>
      </c>
      <c r="H493" s="60">
        <f>IF($A493="","",SUMIFS(الرواتب_قسط_السلفة,الرواتب_السلفة,$A493,الرواتب_حالة_الصرف,"مصروف"))</f>
        <v/>
      </c>
      <c r="I493" s="60">
        <f>IF($A493="","",MAX(0,$E493-$H493))</f>
        <v/>
      </c>
      <c r="J493" s="110" t="n"/>
      <c r="K493" s="40" t="n"/>
      <c r="L493" s="40" t="n"/>
    </row>
    <row r="494">
      <c r="A494" s="46" t="n"/>
      <c r="B494" s="47" t="n"/>
      <c r="C494" s="50">
        <f>IFERROR(INDEX(الموظفون_الاسم,MATCH($B494,الموظفون_الرقم,0)),"")</f>
        <v/>
      </c>
      <c r="D494" s="112" t="n"/>
      <c r="E494" s="49" t="n"/>
      <c r="F494" s="47" t="n"/>
      <c r="G494" s="63">
        <f>IF(OR($E494="",$F494="",$F494=0),"",$E494/$F494)</f>
        <v/>
      </c>
      <c r="H494" s="63">
        <f>IF($A494="","",SUMIFS(الرواتب_قسط_السلفة,الرواتب_السلفة,$A494,الرواتب_حالة_الصرف,"مصروف"))</f>
        <v/>
      </c>
      <c r="I494" s="63">
        <f>IF($A494="","",MAX(0,$E494-$H494))</f>
        <v/>
      </c>
      <c r="J494" s="112" t="n"/>
      <c r="K494" s="47" t="n"/>
      <c r="L494" s="47" t="n"/>
    </row>
    <row r="495">
      <c r="A495" s="39" t="n"/>
      <c r="B495" s="40" t="n"/>
      <c r="C495" s="43">
        <f>IFERROR(INDEX(الموظفون_الاسم,MATCH($B495,الموظفون_الرقم,0)),"")</f>
        <v/>
      </c>
      <c r="D495" s="110" t="n"/>
      <c r="E495" s="42" t="n"/>
      <c r="F495" s="40" t="n"/>
      <c r="G495" s="60">
        <f>IF(OR($E495="",$F495="",$F495=0),"",$E495/$F495)</f>
        <v/>
      </c>
      <c r="H495" s="60">
        <f>IF($A495="","",SUMIFS(الرواتب_قسط_السلفة,الرواتب_السلفة,$A495,الرواتب_حالة_الصرف,"مصروف"))</f>
        <v/>
      </c>
      <c r="I495" s="60">
        <f>IF($A495="","",MAX(0,$E495-$H495))</f>
        <v/>
      </c>
      <c r="J495" s="110" t="n"/>
      <c r="K495" s="40" t="n"/>
      <c r="L495" s="40" t="n"/>
    </row>
    <row r="496">
      <c r="A496" s="46" t="n"/>
      <c r="B496" s="47" t="n"/>
      <c r="C496" s="50">
        <f>IFERROR(INDEX(الموظفون_الاسم,MATCH($B496,الموظفون_الرقم,0)),"")</f>
        <v/>
      </c>
      <c r="D496" s="112" t="n"/>
      <c r="E496" s="49" t="n"/>
      <c r="F496" s="47" t="n"/>
      <c r="G496" s="63">
        <f>IF(OR($E496="",$F496="",$F496=0),"",$E496/$F496)</f>
        <v/>
      </c>
      <c r="H496" s="63">
        <f>IF($A496="","",SUMIFS(الرواتب_قسط_السلفة,الرواتب_السلفة,$A496,الرواتب_حالة_الصرف,"مصروف"))</f>
        <v/>
      </c>
      <c r="I496" s="63">
        <f>IF($A496="","",MAX(0,$E496-$H496))</f>
        <v/>
      </c>
      <c r="J496" s="112" t="n"/>
      <c r="K496" s="47" t="n"/>
      <c r="L496" s="47" t="n"/>
    </row>
    <row r="497">
      <c r="A497" s="39" t="n"/>
      <c r="B497" s="40" t="n"/>
      <c r="C497" s="43">
        <f>IFERROR(INDEX(الموظفون_الاسم,MATCH($B497,الموظفون_الرقم,0)),"")</f>
        <v/>
      </c>
      <c r="D497" s="110" t="n"/>
      <c r="E497" s="42" t="n"/>
      <c r="F497" s="40" t="n"/>
      <c r="G497" s="60">
        <f>IF(OR($E497="",$F497="",$F497=0),"",$E497/$F497)</f>
        <v/>
      </c>
      <c r="H497" s="60">
        <f>IF($A497="","",SUMIFS(الرواتب_قسط_السلفة,الرواتب_السلفة,$A497,الرواتب_حالة_الصرف,"مصروف"))</f>
        <v/>
      </c>
      <c r="I497" s="60">
        <f>IF($A497="","",MAX(0,$E497-$H497))</f>
        <v/>
      </c>
      <c r="J497" s="110" t="n"/>
      <c r="K497" s="40" t="n"/>
      <c r="L497" s="40" t="n"/>
    </row>
    <row r="498">
      <c r="A498" s="46" t="n"/>
      <c r="B498" s="47" t="n"/>
      <c r="C498" s="50">
        <f>IFERROR(INDEX(الموظفون_الاسم,MATCH($B498,الموظفون_الرقم,0)),"")</f>
        <v/>
      </c>
      <c r="D498" s="112" t="n"/>
      <c r="E498" s="49" t="n"/>
      <c r="F498" s="47" t="n"/>
      <c r="G498" s="63">
        <f>IF(OR($E498="",$F498="",$F498=0),"",$E498/$F498)</f>
        <v/>
      </c>
      <c r="H498" s="63">
        <f>IF($A498="","",SUMIFS(الرواتب_قسط_السلفة,الرواتب_السلفة,$A498,الرواتب_حالة_الصرف,"مصروف"))</f>
        <v/>
      </c>
      <c r="I498" s="63">
        <f>IF($A498="","",MAX(0,$E498-$H498))</f>
        <v/>
      </c>
      <c r="J498" s="112" t="n"/>
      <c r="K498" s="47" t="n"/>
      <c r="L498" s="47" t="n"/>
    </row>
    <row r="499">
      <c r="A499" s="39" t="n"/>
      <c r="B499" s="40" t="n"/>
      <c r="C499" s="43">
        <f>IFERROR(INDEX(الموظفون_الاسم,MATCH($B499,الموظفون_الرقم,0)),"")</f>
        <v/>
      </c>
      <c r="D499" s="110" t="n"/>
      <c r="E499" s="42" t="n"/>
      <c r="F499" s="40" t="n"/>
      <c r="G499" s="60">
        <f>IF(OR($E499="",$F499="",$F499=0),"",$E499/$F499)</f>
        <v/>
      </c>
      <c r="H499" s="60">
        <f>IF($A499="","",SUMIFS(الرواتب_قسط_السلفة,الرواتب_السلفة,$A499,الرواتب_حالة_الصرف,"مصروف"))</f>
        <v/>
      </c>
      <c r="I499" s="60">
        <f>IF($A499="","",MAX(0,$E499-$H499))</f>
        <v/>
      </c>
      <c r="J499" s="110" t="n"/>
      <c r="K499" s="40" t="n"/>
      <c r="L499" s="40" t="n"/>
    </row>
    <row r="500">
      <c r="A500" s="46" t="n"/>
      <c r="B500" s="47" t="n"/>
      <c r="C500" s="50">
        <f>IFERROR(INDEX(الموظفون_الاسم,MATCH($B500,الموظفون_الرقم,0)),"")</f>
        <v/>
      </c>
      <c r="D500" s="112" t="n"/>
      <c r="E500" s="49" t="n"/>
      <c r="F500" s="47" t="n"/>
      <c r="G500" s="63">
        <f>IF(OR($E500="",$F500="",$F500=0),"",$E500/$F500)</f>
        <v/>
      </c>
      <c r="H500" s="63">
        <f>IF($A500="","",SUMIFS(الرواتب_قسط_السلفة,الرواتب_السلفة,$A500,الرواتب_حالة_الصرف,"مصروف"))</f>
        <v/>
      </c>
      <c r="I500" s="63">
        <f>IF($A500="","",MAX(0,$E500-$H500))</f>
        <v/>
      </c>
      <c r="J500" s="112" t="n"/>
      <c r="K500" s="47" t="n"/>
      <c r="L500" s="47" t="n"/>
    </row>
    <row r="501">
      <c r="A501" s="39" t="n"/>
      <c r="B501" s="40" t="n"/>
      <c r="C501" s="43">
        <f>IFERROR(INDEX(الموظفون_الاسم,MATCH($B501,الموظفون_الرقم,0)),"")</f>
        <v/>
      </c>
      <c r="D501" s="110" t="n"/>
      <c r="E501" s="42" t="n"/>
      <c r="F501" s="40" t="n"/>
      <c r="G501" s="60">
        <f>IF(OR($E501="",$F501="",$F501=0),"",$E501/$F501)</f>
        <v/>
      </c>
      <c r="H501" s="60">
        <f>IF($A501="","",SUMIFS(الرواتب_قسط_السلفة,الرواتب_السلفة,$A501,الرواتب_حالة_الصرف,"مصروف"))</f>
        <v/>
      </c>
      <c r="I501" s="60">
        <f>IF($A501="","",MAX(0,$E501-$H501))</f>
        <v/>
      </c>
      <c r="J501" s="110" t="n"/>
      <c r="K501" s="40" t="n"/>
      <c r="L501" s="40" t="n"/>
    </row>
    <row r="502">
      <c r="A502" s="46" t="n"/>
      <c r="B502" s="47" t="n"/>
      <c r="C502" s="50">
        <f>IFERROR(INDEX(الموظفون_الاسم,MATCH($B502,الموظفون_الرقم,0)),"")</f>
        <v/>
      </c>
      <c r="D502" s="112" t="n"/>
      <c r="E502" s="49" t="n"/>
      <c r="F502" s="47" t="n"/>
      <c r="G502" s="63">
        <f>IF(OR($E502="",$F502="",$F502=0),"",$E502/$F502)</f>
        <v/>
      </c>
      <c r="H502" s="63">
        <f>IF($A502="","",SUMIFS(الرواتب_قسط_السلفة,الرواتب_السلفة,$A502,الرواتب_حالة_الصرف,"مصروف"))</f>
        <v/>
      </c>
      <c r="I502" s="63">
        <f>IF($A502="","",MAX(0,$E502-$H502))</f>
        <v/>
      </c>
      <c r="J502" s="112" t="n"/>
      <c r="K502" s="47" t="n"/>
      <c r="L502" s="4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C605"/>
  <autoFilter ref="A2:L502"/>
  <mergeCells count="1">
    <mergeCell ref="A1:L1"/>
  </mergeCells>
  <conditionalFormatting sqref="I3:I502">
    <cfRule type="cellIs" priority="1" operator="greaterThan" dxfId="1">
      <formula>0</formula>
    </cfRule>
    <cfRule type="cellIs" priority="2" operator="equal" dxfId="2">
      <formula>0</formula>
    </cfRule>
  </conditionalFormatting>
  <dataValidations count="2">
    <dataValidation sqref="B3:B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=قائمة_الرقم_الوظيفي</formula1>
    </dataValidation>
    <dataValidation sqref="K3:K502" showDropDown="0" showInputMessage="0" showErrorMessage="0" allowBlank="1" type="list">
      <formula1>"قائمة,مسددة جزئيًا,مسددة,متعثرة"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K502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16" customWidth="1" min="4" max="4"/>
    <col width="13" customWidth="1" min="5" max="5"/>
    <col width="13" customWidth="1" min="6" max="6"/>
    <col width="20" customWidth="1" min="7" max="7"/>
    <col width="14" customWidth="1" min="8" max="8"/>
    <col width="13" customWidth="1" min="9" max="9"/>
    <col width="26" customWidth="1" min="10" max="10"/>
  </cols>
  <sheetData>
    <row r="1" ht="32" customHeight="1">
      <c r="A1" s="1" t="inlineStr">
        <is>
          <t>الوثائق  —  نموذج إدخال</t>
        </is>
      </c>
    </row>
    <row r="2" ht="42" customHeight="1">
      <c r="A2" s="38" t="inlineStr">
        <is>
          <t>الرقم الوظيفي</t>
        </is>
      </c>
      <c r="B2" s="38" t="inlineStr">
        <is>
          <t>اسم الموظف</t>
        </is>
      </c>
      <c r="C2" s="38" t="inlineStr">
        <is>
          <t>نوع الوثيقة</t>
        </is>
      </c>
      <c r="D2" s="38" t="inlineStr">
        <is>
          <t>رقم الوثيقة</t>
        </is>
      </c>
      <c r="E2" s="38" t="inlineStr">
        <is>
          <t>تاريخ الإصدار</t>
        </is>
      </c>
      <c r="F2" s="38" t="inlineStr">
        <is>
          <t>تاريخ الانتهاء</t>
        </is>
      </c>
      <c r="G2" s="38" t="inlineStr">
        <is>
          <t>الجهة المصدرة</t>
        </is>
      </c>
      <c r="H2" s="38" t="inlineStr">
        <is>
          <t>حالة الوثيقة</t>
        </is>
      </c>
      <c r="I2" s="38" t="inlineStr">
        <is>
          <t>أيام للانتهاء</t>
        </is>
      </c>
      <c r="J2" s="38" t="inlineStr">
        <is>
          <t>الملاحظات</t>
        </is>
      </c>
    </row>
    <row r="3">
      <c r="A3" s="40" t="n"/>
      <c r="B3" s="43">
        <f>IFERROR(INDEX(الموظفون_الاسم,MATCH($A3,الموظفون_الرقم,0)),"")</f>
        <v/>
      </c>
      <c r="C3" s="40" t="n"/>
      <c r="D3" s="40" t="n"/>
      <c r="E3" s="110" t="n"/>
      <c r="F3" s="110" t="n"/>
      <c r="G3" s="40" t="n"/>
      <c r="H3" s="40" t="n"/>
      <c r="I3" s="44">
        <f>IF(OR($A3="",$F3=""),"",$F3-TODAY())</f>
        <v/>
      </c>
      <c r="J3" s="40" t="n"/>
      <c r="K3">
        <f>IF(AND(ISNUMBER($I3),$I3&lt;=تنبيه_وثيقة_90),SUMPRODUCT(ISNUMBER($I$3:$I$502)*($I$3:$I$502&lt;=تنبيه_وثيقة_90)*(ROW($I$3:$I$502)&lt;=ROW())),"")</f>
        <v/>
      </c>
    </row>
    <row r="4">
      <c r="A4" s="47" t="n"/>
      <c r="B4" s="50">
        <f>IFERROR(INDEX(الموظفون_الاسم,MATCH($A4,الموظفون_الرقم,0)),"")</f>
        <v/>
      </c>
      <c r="C4" s="47" t="n"/>
      <c r="D4" s="47" t="n"/>
      <c r="E4" s="112" t="n"/>
      <c r="F4" s="112" t="n"/>
      <c r="G4" s="47" t="n"/>
      <c r="H4" s="47" t="n"/>
      <c r="I4" s="51">
        <f>IF(OR($A4="",$F4=""),"",$F4-TODAY())</f>
        <v/>
      </c>
      <c r="J4" s="47" t="n"/>
      <c r="K4">
        <f>IF(AND(ISNUMBER($I4),$I4&lt;=تنبيه_وثيقة_90),SUMPRODUCT(ISNUMBER($I$3:$I$502)*($I$3:$I$502&lt;=تنبيه_وثيقة_90)*(ROW($I$3:$I$502)&lt;=ROW())),"")</f>
        <v/>
      </c>
    </row>
    <row r="5">
      <c r="A5" s="40" t="n"/>
      <c r="B5" s="43">
        <f>IFERROR(INDEX(الموظفون_الاسم,MATCH($A5,الموظفون_الرقم,0)),"")</f>
        <v/>
      </c>
      <c r="C5" s="40" t="n"/>
      <c r="D5" s="40" t="n"/>
      <c r="E5" s="110" t="n"/>
      <c r="F5" s="110" t="n"/>
      <c r="G5" s="40" t="n"/>
      <c r="H5" s="40" t="n"/>
      <c r="I5" s="44">
        <f>IF(OR($A5="",$F5=""),"",$F5-TODAY())</f>
        <v/>
      </c>
      <c r="J5" s="40" t="n"/>
      <c r="K5">
        <f>IF(AND(ISNUMBER($I5),$I5&lt;=تنبيه_وثيقة_90),SUMPRODUCT(ISNUMBER($I$3:$I$502)*($I$3:$I$502&lt;=تنبيه_وثيقة_90)*(ROW($I$3:$I$502)&lt;=ROW())),"")</f>
        <v/>
      </c>
    </row>
    <row r="6">
      <c r="A6" s="47" t="n"/>
      <c r="B6" s="50">
        <f>IFERROR(INDEX(الموظفون_الاسم,MATCH($A6,الموظفون_الرقم,0)),"")</f>
        <v/>
      </c>
      <c r="C6" s="47" t="n"/>
      <c r="D6" s="47" t="n"/>
      <c r="E6" s="112" t="n"/>
      <c r="F6" s="112" t="n"/>
      <c r="G6" s="47" t="n"/>
      <c r="H6" s="47" t="n"/>
      <c r="I6" s="51">
        <f>IF(OR($A6="",$F6=""),"",$F6-TODAY())</f>
        <v/>
      </c>
      <c r="J6" s="47" t="n"/>
      <c r="K6">
        <f>IF(AND(ISNUMBER($I6),$I6&lt;=تنبيه_وثيقة_90),SUMPRODUCT(ISNUMBER($I$3:$I$502)*($I$3:$I$502&lt;=تنبيه_وثيقة_90)*(ROW($I$3:$I$502)&lt;=ROW())),"")</f>
        <v/>
      </c>
    </row>
    <row r="7">
      <c r="A7" s="40" t="n"/>
      <c r="B7" s="43">
        <f>IFERROR(INDEX(الموظفون_الاسم,MATCH($A7,الموظفون_الرقم,0)),"")</f>
        <v/>
      </c>
      <c r="C7" s="40" t="n"/>
      <c r="D7" s="40" t="n"/>
      <c r="E7" s="110" t="n"/>
      <c r="F7" s="110" t="n"/>
      <c r="G7" s="40" t="n"/>
      <c r="H7" s="40" t="n"/>
      <c r="I7" s="44">
        <f>IF(OR($A7="",$F7=""),"",$F7-TODAY())</f>
        <v/>
      </c>
      <c r="J7" s="40" t="n"/>
      <c r="K7">
        <f>IF(AND(ISNUMBER($I7),$I7&lt;=تنبيه_وثيقة_90),SUMPRODUCT(ISNUMBER($I$3:$I$502)*($I$3:$I$502&lt;=تنبيه_وثيقة_90)*(ROW($I$3:$I$502)&lt;=ROW())),"")</f>
        <v/>
      </c>
    </row>
    <row r="8">
      <c r="A8" s="47" t="n"/>
      <c r="B8" s="50">
        <f>IFERROR(INDEX(الموظفون_الاسم,MATCH($A8,الموظفون_الرقم,0)),"")</f>
        <v/>
      </c>
      <c r="C8" s="47" t="n"/>
      <c r="D8" s="47" t="n"/>
      <c r="E8" s="112" t="n"/>
      <c r="F8" s="112" t="n"/>
      <c r="G8" s="47" t="n"/>
      <c r="H8" s="47" t="n"/>
      <c r="I8" s="51">
        <f>IF(OR($A8="",$F8=""),"",$F8-TODAY())</f>
        <v/>
      </c>
      <c r="J8" s="47" t="n"/>
      <c r="K8">
        <f>IF(AND(ISNUMBER($I8),$I8&lt;=تنبيه_وثيقة_90),SUMPRODUCT(ISNUMBER($I$3:$I$502)*($I$3:$I$502&lt;=تنبيه_وثيقة_90)*(ROW($I$3:$I$502)&lt;=ROW())),"")</f>
        <v/>
      </c>
    </row>
    <row r="9">
      <c r="A9" s="40" t="n"/>
      <c r="B9" s="43">
        <f>IFERROR(INDEX(الموظفون_الاسم,MATCH($A9,الموظفون_الرقم,0)),"")</f>
        <v/>
      </c>
      <c r="C9" s="40" t="n"/>
      <c r="D9" s="40" t="n"/>
      <c r="E9" s="110" t="n"/>
      <c r="F9" s="110" t="n"/>
      <c r="G9" s="40" t="n"/>
      <c r="H9" s="40" t="n"/>
      <c r="I9" s="44">
        <f>IF(OR($A9="",$F9=""),"",$F9-TODAY())</f>
        <v/>
      </c>
      <c r="J9" s="40" t="n"/>
      <c r="K9">
        <f>IF(AND(ISNUMBER($I9),$I9&lt;=تنبيه_وثيقة_90),SUMPRODUCT(ISNUMBER($I$3:$I$502)*($I$3:$I$502&lt;=تنبيه_وثيقة_90)*(ROW($I$3:$I$502)&lt;=ROW())),"")</f>
        <v/>
      </c>
    </row>
    <row r="10">
      <c r="A10" s="47" t="n"/>
      <c r="B10" s="50">
        <f>IFERROR(INDEX(الموظفون_الاسم,MATCH($A10,الموظفون_الرقم,0)),"")</f>
        <v/>
      </c>
      <c r="C10" s="47" t="n"/>
      <c r="D10" s="47" t="n"/>
      <c r="E10" s="112" t="n"/>
      <c r="F10" s="112" t="n"/>
      <c r="G10" s="47" t="n"/>
      <c r="H10" s="47" t="n"/>
      <c r="I10" s="51">
        <f>IF(OR($A10="",$F10=""),"",$F10-TODAY())</f>
        <v/>
      </c>
      <c r="J10" s="47" t="n"/>
      <c r="K10">
        <f>IF(AND(ISNUMBER($I10),$I10&lt;=تنبيه_وثيقة_90),SUMPRODUCT(ISNUMBER($I$3:$I$502)*($I$3:$I$502&lt;=تنبيه_وثيقة_90)*(ROW($I$3:$I$502)&lt;=ROW())),"")</f>
        <v/>
      </c>
    </row>
    <row r="11">
      <c r="A11" s="40" t="n"/>
      <c r="B11" s="43">
        <f>IFERROR(INDEX(الموظفون_الاسم,MATCH($A11,الموظفون_الرقم,0)),"")</f>
        <v/>
      </c>
      <c r="C11" s="40" t="n"/>
      <c r="D11" s="40" t="n"/>
      <c r="E11" s="110" t="n"/>
      <c r="F11" s="110" t="n"/>
      <c r="G11" s="40" t="n"/>
      <c r="H11" s="40" t="n"/>
      <c r="I11" s="44">
        <f>IF(OR($A11="",$F11=""),"",$F11-TODAY())</f>
        <v/>
      </c>
      <c r="J11" s="40" t="n"/>
      <c r="K11">
        <f>IF(AND(ISNUMBER($I11),$I11&lt;=تنبيه_وثيقة_90),SUMPRODUCT(ISNUMBER($I$3:$I$502)*($I$3:$I$502&lt;=تنبيه_وثيقة_90)*(ROW($I$3:$I$502)&lt;=ROW())),"")</f>
        <v/>
      </c>
    </row>
    <row r="12">
      <c r="A12" s="47" t="n"/>
      <c r="B12" s="50">
        <f>IFERROR(INDEX(الموظفون_الاسم,MATCH($A12,الموظفون_الرقم,0)),"")</f>
        <v/>
      </c>
      <c r="C12" s="47" t="n"/>
      <c r="D12" s="47" t="n"/>
      <c r="E12" s="112" t="n"/>
      <c r="F12" s="112" t="n"/>
      <c r="G12" s="47" t="n"/>
      <c r="H12" s="47" t="n"/>
      <c r="I12" s="51">
        <f>IF(OR($A12="",$F12=""),"",$F12-TODAY())</f>
        <v/>
      </c>
      <c r="J12" s="47" t="n"/>
      <c r="K12">
        <f>IF(AND(ISNUMBER($I12),$I12&lt;=تنبيه_وثيقة_90),SUMPRODUCT(ISNUMBER($I$3:$I$502)*($I$3:$I$502&lt;=تنبيه_وثيقة_90)*(ROW($I$3:$I$502)&lt;=ROW())),"")</f>
        <v/>
      </c>
    </row>
    <row r="13">
      <c r="A13" s="40" t="n"/>
      <c r="B13" s="43">
        <f>IFERROR(INDEX(الموظفون_الاسم,MATCH($A13,الموظفون_الرقم,0)),"")</f>
        <v/>
      </c>
      <c r="C13" s="40" t="n"/>
      <c r="D13" s="40" t="n"/>
      <c r="E13" s="110" t="n"/>
      <c r="F13" s="110" t="n"/>
      <c r="G13" s="40" t="n"/>
      <c r="H13" s="40" t="n"/>
      <c r="I13" s="44">
        <f>IF(OR($A13="",$F13=""),"",$F13-TODAY())</f>
        <v/>
      </c>
      <c r="J13" s="40" t="n"/>
      <c r="K13">
        <f>IF(AND(ISNUMBER($I13),$I13&lt;=تنبيه_وثيقة_90),SUMPRODUCT(ISNUMBER($I$3:$I$502)*($I$3:$I$502&lt;=تنبيه_وثيقة_90)*(ROW($I$3:$I$502)&lt;=ROW())),"")</f>
        <v/>
      </c>
    </row>
    <row r="14">
      <c r="A14" s="47" t="n"/>
      <c r="B14" s="50">
        <f>IFERROR(INDEX(الموظفون_الاسم,MATCH($A14,الموظفون_الرقم,0)),"")</f>
        <v/>
      </c>
      <c r="C14" s="47" t="n"/>
      <c r="D14" s="47" t="n"/>
      <c r="E14" s="112" t="n"/>
      <c r="F14" s="112" t="n"/>
      <c r="G14" s="47" t="n"/>
      <c r="H14" s="47" t="n"/>
      <c r="I14" s="51">
        <f>IF(OR($A14="",$F14=""),"",$F14-TODAY())</f>
        <v/>
      </c>
      <c r="J14" s="47" t="n"/>
      <c r="K14">
        <f>IF(AND(ISNUMBER($I14),$I14&lt;=تنبيه_وثيقة_90),SUMPRODUCT(ISNUMBER($I$3:$I$502)*($I$3:$I$502&lt;=تنبيه_وثيقة_90)*(ROW($I$3:$I$502)&lt;=ROW())),"")</f>
        <v/>
      </c>
    </row>
    <row r="15">
      <c r="A15" s="40" t="n"/>
      <c r="B15" s="43">
        <f>IFERROR(INDEX(الموظفون_الاسم,MATCH($A15,الموظفون_الرقم,0)),"")</f>
        <v/>
      </c>
      <c r="C15" s="40" t="n"/>
      <c r="D15" s="40" t="n"/>
      <c r="E15" s="110" t="n"/>
      <c r="F15" s="110" t="n"/>
      <c r="G15" s="40" t="n"/>
      <c r="H15" s="40" t="n"/>
      <c r="I15" s="44">
        <f>IF(OR($A15="",$F15=""),"",$F15-TODAY())</f>
        <v/>
      </c>
      <c r="J15" s="40" t="n"/>
      <c r="K15">
        <f>IF(AND(ISNUMBER($I15),$I15&lt;=تنبيه_وثيقة_90),SUMPRODUCT(ISNUMBER($I$3:$I$502)*($I$3:$I$502&lt;=تنبيه_وثيقة_90)*(ROW($I$3:$I$502)&lt;=ROW())),"")</f>
        <v/>
      </c>
    </row>
    <row r="16">
      <c r="A16" s="47" t="n"/>
      <c r="B16" s="50">
        <f>IFERROR(INDEX(الموظفون_الاسم,MATCH($A16,الموظفون_الرقم,0)),"")</f>
        <v/>
      </c>
      <c r="C16" s="47" t="n"/>
      <c r="D16" s="47" t="n"/>
      <c r="E16" s="112" t="n"/>
      <c r="F16" s="112" t="n"/>
      <c r="G16" s="47" t="n"/>
      <c r="H16" s="47" t="n"/>
      <c r="I16" s="51">
        <f>IF(OR($A16="",$F16=""),"",$F16-TODAY())</f>
        <v/>
      </c>
      <c r="J16" s="47" t="n"/>
      <c r="K16">
        <f>IF(AND(ISNUMBER($I16),$I16&lt;=تنبيه_وثيقة_90),SUMPRODUCT(ISNUMBER($I$3:$I$502)*($I$3:$I$502&lt;=تنبيه_وثيقة_90)*(ROW($I$3:$I$502)&lt;=ROW())),"")</f>
        <v/>
      </c>
    </row>
    <row r="17">
      <c r="A17" s="40" t="n"/>
      <c r="B17" s="43">
        <f>IFERROR(INDEX(الموظفون_الاسم,MATCH($A17,الموظفون_الرقم,0)),"")</f>
        <v/>
      </c>
      <c r="C17" s="40" t="n"/>
      <c r="D17" s="40" t="n"/>
      <c r="E17" s="110" t="n"/>
      <c r="F17" s="110" t="n"/>
      <c r="G17" s="40" t="n"/>
      <c r="H17" s="40" t="n"/>
      <c r="I17" s="44">
        <f>IF(OR($A17="",$F17=""),"",$F17-TODAY())</f>
        <v/>
      </c>
      <c r="J17" s="40" t="n"/>
      <c r="K17">
        <f>IF(AND(ISNUMBER($I17),$I17&lt;=تنبيه_وثيقة_90),SUMPRODUCT(ISNUMBER($I$3:$I$502)*($I$3:$I$502&lt;=تنبيه_وثيقة_90)*(ROW($I$3:$I$502)&lt;=ROW())),"")</f>
        <v/>
      </c>
    </row>
    <row r="18">
      <c r="A18" s="47" t="n"/>
      <c r="B18" s="50">
        <f>IFERROR(INDEX(الموظفون_الاسم,MATCH($A18,الموظفون_الرقم,0)),"")</f>
        <v/>
      </c>
      <c r="C18" s="47" t="n"/>
      <c r="D18" s="47" t="n"/>
      <c r="E18" s="112" t="n"/>
      <c r="F18" s="112" t="n"/>
      <c r="G18" s="47" t="n"/>
      <c r="H18" s="47" t="n"/>
      <c r="I18" s="51">
        <f>IF(OR($A18="",$F18=""),"",$F18-TODAY())</f>
        <v/>
      </c>
      <c r="J18" s="47" t="n"/>
      <c r="K18">
        <f>IF(AND(ISNUMBER($I18),$I18&lt;=تنبيه_وثيقة_90),SUMPRODUCT(ISNUMBER($I$3:$I$502)*($I$3:$I$502&lt;=تنبيه_وثيقة_90)*(ROW($I$3:$I$502)&lt;=ROW())),"")</f>
        <v/>
      </c>
    </row>
    <row r="19">
      <c r="A19" s="40" t="n"/>
      <c r="B19" s="43">
        <f>IFERROR(INDEX(الموظفون_الاسم,MATCH($A19,الموظفون_الرقم,0)),"")</f>
        <v/>
      </c>
      <c r="C19" s="40" t="n"/>
      <c r="D19" s="40" t="n"/>
      <c r="E19" s="110" t="n"/>
      <c r="F19" s="110" t="n"/>
      <c r="G19" s="40" t="n"/>
      <c r="H19" s="40" t="n"/>
      <c r="I19" s="44">
        <f>IF(OR($A19="",$F19=""),"",$F19-TODAY())</f>
        <v/>
      </c>
      <c r="J19" s="40" t="n"/>
      <c r="K19">
        <f>IF(AND(ISNUMBER($I19),$I19&lt;=تنبيه_وثيقة_90),SUMPRODUCT(ISNUMBER($I$3:$I$502)*($I$3:$I$502&lt;=تنبيه_وثيقة_90)*(ROW($I$3:$I$502)&lt;=ROW())),"")</f>
        <v/>
      </c>
    </row>
    <row r="20">
      <c r="A20" s="47" t="n"/>
      <c r="B20" s="50">
        <f>IFERROR(INDEX(الموظفون_الاسم,MATCH($A20,الموظفون_الرقم,0)),"")</f>
        <v/>
      </c>
      <c r="C20" s="47" t="n"/>
      <c r="D20" s="47" t="n"/>
      <c r="E20" s="112" t="n"/>
      <c r="F20" s="112" t="n"/>
      <c r="G20" s="47" t="n"/>
      <c r="H20" s="47" t="n"/>
      <c r="I20" s="51">
        <f>IF(OR($A20="",$F20=""),"",$F20-TODAY())</f>
        <v/>
      </c>
      <c r="J20" s="47" t="n"/>
      <c r="K20">
        <f>IF(AND(ISNUMBER($I20),$I20&lt;=تنبيه_وثيقة_90),SUMPRODUCT(ISNUMBER($I$3:$I$502)*($I$3:$I$502&lt;=تنبيه_وثيقة_90)*(ROW($I$3:$I$502)&lt;=ROW())),"")</f>
        <v/>
      </c>
    </row>
    <row r="21">
      <c r="A21" s="40" t="n"/>
      <c r="B21" s="43">
        <f>IFERROR(INDEX(الموظفون_الاسم,MATCH($A21,الموظفون_الرقم,0)),"")</f>
        <v/>
      </c>
      <c r="C21" s="40" t="n"/>
      <c r="D21" s="40" t="n"/>
      <c r="E21" s="110" t="n"/>
      <c r="F21" s="110" t="n"/>
      <c r="G21" s="40" t="n"/>
      <c r="H21" s="40" t="n"/>
      <c r="I21" s="44">
        <f>IF(OR($A21="",$F21=""),"",$F21-TODAY())</f>
        <v/>
      </c>
      <c r="J21" s="40" t="n"/>
      <c r="K21">
        <f>IF(AND(ISNUMBER($I21),$I21&lt;=تنبيه_وثيقة_90),SUMPRODUCT(ISNUMBER($I$3:$I$502)*($I$3:$I$502&lt;=تنبيه_وثيقة_90)*(ROW($I$3:$I$502)&lt;=ROW())),"")</f>
        <v/>
      </c>
    </row>
    <row r="22">
      <c r="A22" s="47" t="n"/>
      <c r="B22" s="50">
        <f>IFERROR(INDEX(الموظفون_الاسم,MATCH($A22,الموظفون_الرقم,0)),"")</f>
        <v/>
      </c>
      <c r="C22" s="47" t="n"/>
      <c r="D22" s="47" t="n"/>
      <c r="E22" s="112" t="n"/>
      <c r="F22" s="112" t="n"/>
      <c r="G22" s="47" t="n"/>
      <c r="H22" s="47" t="n"/>
      <c r="I22" s="51">
        <f>IF(OR($A22="",$F22=""),"",$F22-TODAY())</f>
        <v/>
      </c>
      <c r="J22" s="47" t="n"/>
      <c r="K22">
        <f>IF(AND(ISNUMBER($I22),$I22&lt;=تنبيه_وثيقة_90),SUMPRODUCT(ISNUMBER($I$3:$I$502)*($I$3:$I$502&lt;=تنبيه_وثيقة_90)*(ROW($I$3:$I$502)&lt;=ROW())),"")</f>
        <v/>
      </c>
    </row>
    <row r="23">
      <c r="A23" s="40" t="n"/>
      <c r="B23" s="43">
        <f>IFERROR(INDEX(الموظفون_الاسم,MATCH($A23,الموظفون_الرقم,0)),"")</f>
        <v/>
      </c>
      <c r="C23" s="40" t="n"/>
      <c r="D23" s="40" t="n"/>
      <c r="E23" s="110" t="n"/>
      <c r="F23" s="110" t="n"/>
      <c r="G23" s="40" t="n"/>
      <c r="H23" s="40" t="n"/>
      <c r="I23" s="44">
        <f>IF(OR($A23="",$F23=""),"",$F23-TODAY())</f>
        <v/>
      </c>
      <c r="J23" s="40" t="n"/>
      <c r="K23">
        <f>IF(AND(ISNUMBER($I23),$I23&lt;=تنبيه_وثيقة_90),SUMPRODUCT(ISNUMBER($I$3:$I$502)*($I$3:$I$502&lt;=تنبيه_وثيقة_90)*(ROW($I$3:$I$502)&lt;=ROW())),"")</f>
        <v/>
      </c>
    </row>
    <row r="24">
      <c r="A24" s="47" t="n"/>
      <c r="B24" s="50">
        <f>IFERROR(INDEX(الموظفون_الاسم,MATCH($A24,الموظفون_الرقم,0)),"")</f>
        <v/>
      </c>
      <c r="C24" s="47" t="n"/>
      <c r="D24" s="47" t="n"/>
      <c r="E24" s="112" t="n"/>
      <c r="F24" s="112" t="n"/>
      <c r="G24" s="47" t="n"/>
      <c r="H24" s="47" t="n"/>
      <c r="I24" s="51">
        <f>IF(OR($A24="",$F24=""),"",$F24-TODAY())</f>
        <v/>
      </c>
      <c r="J24" s="47" t="n"/>
      <c r="K24">
        <f>IF(AND(ISNUMBER($I24),$I24&lt;=تنبيه_وثيقة_90),SUMPRODUCT(ISNUMBER($I$3:$I$502)*($I$3:$I$502&lt;=تنبيه_وثيقة_90)*(ROW($I$3:$I$502)&lt;=ROW())),"")</f>
        <v/>
      </c>
    </row>
    <row r="25">
      <c r="A25" s="40" t="n"/>
      <c r="B25" s="43">
        <f>IFERROR(INDEX(الموظفون_الاسم,MATCH($A25,الموظفون_الرقم,0)),"")</f>
        <v/>
      </c>
      <c r="C25" s="40" t="n"/>
      <c r="D25" s="40" t="n"/>
      <c r="E25" s="110" t="n"/>
      <c r="F25" s="110" t="n"/>
      <c r="G25" s="40" t="n"/>
      <c r="H25" s="40" t="n"/>
      <c r="I25" s="44">
        <f>IF(OR($A25="",$F25=""),"",$F25-TODAY())</f>
        <v/>
      </c>
      <c r="J25" s="40" t="n"/>
      <c r="K25">
        <f>IF(AND(ISNUMBER($I25),$I25&lt;=تنبيه_وثيقة_90),SUMPRODUCT(ISNUMBER($I$3:$I$502)*($I$3:$I$502&lt;=تنبيه_وثيقة_90)*(ROW($I$3:$I$502)&lt;=ROW())),"")</f>
        <v/>
      </c>
    </row>
    <row r="26">
      <c r="A26" s="47" t="n"/>
      <c r="B26" s="50">
        <f>IFERROR(INDEX(الموظفون_الاسم,MATCH($A26,الموظفون_الرقم,0)),"")</f>
        <v/>
      </c>
      <c r="C26" s="47" t="n"/>
      <c r="D26" s="47" t="n"/>
      <c r="E26" s="112" t="n"/>
      <c r="F26" s="112" t="n"/>
      <c r="G26" s="47" t="n"/>
      <c r="H26" s="47" t="n"/>
      <c r="I26" s="51">
        <f>IF(OR($A26="",$F26=""),"",$F26-TODAY())</f>
        <v/>
      </c>
      <c r="J26" s="47" t="n"/>
      <c r="K26">
        <f>IF(AND(ISNUMBER($I26),$I26&lt;=تنبيه_وثيقة_90),SUMPRODUCT(ISNUMBER($I$3:$I$502)*($I$3:$I$502&lt;=تنبيه_وثيقة_90)*(ROW($I$3:$I$502)&lt;=ROW())),"")</f>
        <v/>
      </c>
    </row>
    <row r="27">
      <c r="A27" s="40" t="n"/>
      <c r="B27" s="43">
        <f>IFERROR(INDEX(الموظفون_الاسم,MATCH($A27,الموظفون_الرقم,0)),"")</f>
        <v/>
      </c>
      <c r="C27" s="40" t="n"/>
      <c r="D27" s="40" t="n"/>
      <c r="E27" s="110" t="n"/>
      <c r="F27" s="110" t="n"/>
      <c r="G27" s="40" t="n"/>
      <c r="H27" s="40" t="n"/>
      <c r="I27" s="44">
        <f>IF(OR($A27="",$F27=""),"",$F27-TODAY())</f>
        <v/>
      </c>
      <c r="J27" s="40" t="n"/>
      <c r="K27">
        <f>IF(AND(ISNUMBER($I27),$I27&lt;=تنبيه_وثيقة_90),SUMPRODUCT(ISNUMBER($I$3:$I$502)*($I$3:$I$502&lt;=تنبيه_وثيقة_90)*(ROW($I$3:$I$502)&lt;=ROW())),"")</f>
        <v/>
      </c>
    </row>
    <row r="28">
      <c r="A28" s="47" t="n"/>
      <c r="B28" s="50">
        <f>IFERROR(INDEX(الموظفون_الاسم,MATCH($A28,الموظفون_الرقم,0)),"")</f>
        <v/>
      </c>
      <c r="C28" s="47" t="n"/>
      <c r="D28" s="47" t="n"/>
      <c r="E28" s="112" t="n"/>
      <c r="F28" s="112" t="n"/>
      <c r="G28" s="47" t="n"/>
      <c r="H28" s="47" t="n"/>
      <c r="I28" s="51">
        <f>IF(OR($A28="",$F28=""),"",$F28-TODAY())</f>
        <v/>
      </c>
      <c r="J28" s="47" t="n"/>
      <c r="K28">
        <f>IF(AND(ISNUMBER($I28),$I28&lt;=تنبيه_وثيقة_90),SUMPRODUCT(ISNUMBER($I$3:$I$502)*($I$3:$I$502&lt;=تنبيه_وثيقة_90)*(ROW($I$3:$I$502)&lt;=ROW())),"")</f>
        <v/>
      </c>
    </row>
    <row r="29">
      <c r="A29" s="40" t="n"/>
      <c r="B29" s="43">
        <f>IFERROR(INDEX(الموظفون_الاسم,MATCH($A29,الموظفون_الرقم,0)),"")</f>
        <v/>
      </c>
      <c r="C29" s="40" t="n"/>
      <c r="D29" s="40" t="n"/>
      <c r="E29" s="110" t="n"/>
      <c r="F29" s="110" t="n"/>
      <c r="G29" s="40" t="n"/>
      <c r="H29" s="40" t="n"/>
      <c r="I29" s="44">
        <f>IF(OR($A29="",$F29=""),"",$F29-TODAY())</f>
        <v/>
      </c>
      <c r="J29" s="40" t="n"/>
      <c r="K29">
        <f>IF(AND(ISNUMBER($I29),$I29&lt;=تنبيه_وثيقة_90),SUMPRODUCT(ISNUMBER($I$3:$I$502)*($I$3:$I$502&lt;=تنبيه_وثيقة_90)*(ROW($I$3:$I$502)&lt;=ROW())),"")</f>
        <v/>
      </c>
    </row>
    <row r="30">
      <c r="A30" s="47" t="n"/>
      <c r="B30" s="50">
        <f>IFERROR(INDEX(الموظفون_الاسم,MATCH($A30,الموظفون_الرقم,0)),"")</f>
        <v/>
      </c>
      <c r="C30" s="47" t="n"/>
      <c r="D30" s="47" t="n"/>
      <c r="E30" s="112" t="n"/>
      <c r="F30" s="112" t="n"/>
      <c r="G30" s="47" t="n"/>
      <c r="H30" s="47" t="n"/>
      <c r="I30" s="51">
        <f>IF(OR($A30="",$F30=""),"",$F30-TODAY())</f>
        <v/>
      </c>
      <c r="J30" s="47" t="n"/>
      <c r="K30">
        <f>IF(AND(ISNUMBER($I30),$I30&lt;=تنبيه_وثيقة_90),SUMPRODUCT(ISNUMBER($I$3:$I$502)*($I$3:$I$502&lt;=تنبيه_وثيقة_90)*(ROW($I$3:$I$502)&lt;=ROW())),"")</f>
        <v/>
      </c>
    </row>
    <row r="31">
      <c r="A31" s="40" t="n"/>
      <c r="B31" s="43">
        <f>IFERROR(INDEX(الموظفون_الاسم,MATCH($A31,الموظفون_الرقم,0)),"")</f>
        <v/>
      </c>
      <c r="C31" s="40" t="n"/>
      <c r="D31" s="40" t="n"/>
      <c r="E31" s="110" t="n"/>
      <c r="F31" s="110" t="n"/>
      <c r="G31" s="40" t="n"/>
      <c r="H31" s="40" t="n"/>
      <c r="I31" s="44">
        <f>IF(OR($A31="",$F31=""),"",$F31-TODAY())</f>
        <v/>
      </c>
      <c r="J31" s="40" t="n"/>
      <c r="K31">
        <f>IF(AND(ISNUMBER($I31),$I31&lt;=تنبيه_وثيقة_90),SUMPRODUCT(ISNUMBER($I$3:$I$502)*($I$3:$I$502&lt;=تنبيه_وثيقة_90)*(ROW($I$3:$I$502)&lt;=ROW())),"")</f>
        <v/>
      </c>
    </row>
    <row r="32">
      <c r="A32" s="47" t="n"/>
      <c r="B32" s="50">
        <f>IFERROR(INDEX(الموظفون_الاسم,MATCH($A32,الموظفون_الرقم,0)),"")</f>
        <v/>
      </c>
      <c r="C32" s="47" t="n"/>
      <c r="D32" s="47" t="n"/>
      <c r="E32" s="112" t="n"/>
      <c r="F32" s="112" t="n"/>
      <c r="G32" s="47" t="n"/>
      <c r="H32" s="47" t="n"/>
      <c r="I32" s="51">
        <f>IF(OR($A32="",$F32=""),"",$F32-TODAY())</f>
        <v/>
      </c>
      <c r="J32" s="47" t="n"/>
      <c r="K32">
        <f>IF(AND(ISNUMBER($I32),$I32&lt;=تنبيه_وثيقة_90),SUMPRODUCT(ISNUMBER($I$3:$I$502)*($I$3:$I$502&lt;=تنبيه_وثيقة_90)*(ROW($I$3:$I$502)&lt;=ROW())),"")</f>
        <v/>
      </c>
    </row>
    <row r="33">
      <c r="A33" s="40" t="n"/>
      <c r="B33" s="43">
        <f>IFERROR(INDEX(الموظفون_الاسم,MATCH($A33,الموظفون_الرقم,0)),"")</f>
        <v/>
      </c>
      <c r="C33" s="40" t="n"/>
      <c r="D33" s="40" t="n"/>
      <c r="E33" s="110" t="n"/>
      <c r="F33" s="110" t="n"/>
      <c r="G33" s="40" t="n"/>
      <c r="H33" s="40" t="n"/>
      <c r="I33" s="44">
        <f>IF(OR($A33="",$F33=""),"",$F33-TODAY())</f>
        <v/>
      </c>
      <c r="J33" s="40" t="n"/>
      <c r="K33">
        <f>IF(AND(ISNUMBER($I33),$I33&lt;=تنبيه_وثيقة_90),SUMPRODUCT(ISNUMBER($I$3:$I$502)*($I$3:$I$502&lt;=تنبيه_وثيقة_90)*(ROW($I$3:$I$502)&lt;=ROW())),"")</f>
        <v/>
      </c>
    </row>
    <row r="34">
      <c r="A34" s="47" t="n"/>
      <c r="B34" s="50">
        <f>IFERROR(INDEX(الموظفون_الاسم,MATCH($A34,الموظفون_الرقم,0)),"")</f>
        <v/>
      </c>
      <c r="C34" s="47" t="n"/>
      <c r="D34" s="47" t="n"/>
      <c r="E34" s="112" t="n"/>
      <c r="F34" s="112" t="n"/>
      <c r="G34" s="47" t="n"/>
      <c r="H34" s="47" t="n"/>
      <c r="I34" s="51">
        <f>IF(OR($A34="",$F34=""),"",$F34-TODAY())</f>
        <v/>
      </c>
      <c r="J34" s="47" t="n"/>
      <c r="K34">
        <f>IF(AND(ISNUMBER($I34),$I34&lt;=تنبيه_وثيقة_90),SUMPRODUCT(ISNUMBER($I$3:$I$502)*($I$3:$I$502&lt;=تنبيه_وثيقة_90)*(ROW($I$3:$I$502)&lt;=ROW())),"")</f>
        <v/>
      </c>
    </row>
    <row r="35">
      <c r="A35" s="40" t="n"/>
      <c r="B35" s="43">
        <f>IFERROR(INDEX(الموظفون_الاسم,MATCH($A35,الموظفون_الرقم,0)),"")</f>
        <v/>
      </c>
      <c r="C35" s="40" t="n"/>
      <c r="D35" s="40" t="n"/>
      <c r="E35" s="110" t="n"/>
      <c r="F35" s="110" t="n"/>
      <c r="G35" s="40" t="n"/>
      <c r="H35" s="40" t="n"/>
      <c r="I35" s="44">
        <f>IF(OR($A35="",$F35=""),"",$F35-TODAY())</f>
        <v/>
      </c>
      <c r="J35" s="40" t="n"/>
      <c r="K35">
        <f>IF(AND(ISNUMBER($I35),$I35&lt;=تنبيه_وثيقة_90),SUMPRODUCT(ISNUMBER($I$3:$I$502)*($I$3:$I$502&lt;=تنبيه_وثيقة_90)*(ROW($I$3:$I$502)&lt;=ROW())),"")</f>
        <v/>
      </c>
    </row>
    <row r="36">
      <c r="A36" s="47" t="n"/>
      <c r="B36" s="50">
        <f>IFERROR(INDEX(الموظفون_الاسم,MATCH($A36,الموظفون_الرقم,0)),"")</f>
        <v/>
      </c>
      <c r="C36" s="47" t="n"/>
      <c r="D36" s="47" t="n"/>
      <c r="E36" s="112" t="n"/>
      <c r="F36" s="112" t="n"/>
      <c r="G36" s="47" t="n"/>
      <c r="H36" s="47" t="n"/>
      <c r="I36" s="51">
        <f>IF(OR($A36="",$F36=""),"",$F36-TODAY())</f>
        <v/>
      </c>
      <c r="J36" s="47" t="n"/>
      <c r="K36">
        <f>IF(AND(ISNUMBER($I36),$I36&lt;=تنبيه_وثيقة_90),SUMPRODUCT(ISNUMBER($I$3:$I$502)*($I$3:$I$502&lt;=تنبيه_وثيقة_90)*(ROW($I$3:$I$502)&lt;=ROW())),"")</f>
        <v/>
      </c>
    </row>
    <row r="37">
      <c r="A37" s="40" t="n"/>
      <c r="B37" s="43">
        <f>IFERROR(INDEX(الموظفون_الاسم,MATCH($A37,الموظفون_الرقم,0)),"")</f>
        <v/>
      </c>
      <c r="C37" s="40" t="n"/>
      <c r="D37" s="40" t="n"/>
      <c r="E37" s="110" t="n"/>
      <c r="F37" s="110" t="n"/>
      <c r="G37" s="40" t="n"/>
      <c r="H37" s="40" t="n"/>
      <c r="I37" s="44">
        <f>IF(OR($A37="",$F37=""),"",$F37-TODAY())</f>
        <v/>
      </c>
      <c r="J37" s="40" t="n"/>
      <c r="K37">
        <f>IF(AND(ISNUMBER($I37),$I37&lt;=تنبيه_وثيقة_90),SUMPRODUCT(ISNUMBER($I$3:$I$502)*($I$3:$I$502&lt;=تنبيه_وثيقة_90)*(ROW($I$3:$I$502)&lt;=ROW())),"")</f>
        <v/>
      </c>
    </row>
    <row r="38">
      <c r="A38" s="47" t="n"/>
      <c r="B38" s="50">
        <f>IFERROR(INDEX(الموظفون_الاسم,MATCH($A38,الموظفون_الرقم,0)),"")</f>
        <v/>
      </c>
      <c r="C38" s="47" t="n"/>
      <c r="D38" s="47" t="n"/>
      <c r="E38" s="112" t="n"/>
      <c r="F38" s="112" t="n"/>
      <c r="G38" s="47" t="n"/>
      <c r="H38" s="47" t="n"/>
      <c r="I38" s="51">
        <f>IF(OR($A38="",$F38=""),"",$F38-TODAY())</f>
        <v/>
      </c>
      <c r="J38" s="47" t="n"/>
      <c r="K38">
        <f>IF(AND(ISNUMBER($I38),$I38&lt;=تنبيه_وثيقة_90),SUMPRODUCT(ISNUMBER($I$3:$I$502)*($I$3:$I$502&lt;=تنبيه_وثيقة_90)*(ROW($I$3:$I$502)&lt;=ROW())),"")</f>
        <v/>
      </c>
    </row>
    <row r="39">
      <c r="A39" s="40" t="n"/>
      <c r="B39" s="43">
        <f>IFERROR(INDEX(الموظفون_الاسم,MATCH($A39,الموظفون_الرقم,0)),"")</f>
        <v/>
      </c>
      <c r="C39" s="40" t="n"/>
      <c r="D39" s="40" t="n"/>
      <c r="E39" s="110" t="n"/>
      <c r="F39" s="110" t="n"/>
      <c r="G39" s="40" t="n"/>
      <c r="H39" s="40" t="n"/>
      <c r="I39" s="44">
        <f>IF(OR($A39="",$F39=""),"",$F39-TODAY())</f>
        <v/>
      </c>
      <c r="J39" s="40" t="n"/>
      <c r="K39">
        <f>IF(AND(ISNUMBER($I39),$I39&lt;=تنبيه_وثيقة_90),SUMPRODUCT(ISNUMBER($I$3:$I$502)*($I$3:$I$502&lt;=تنبيه_وثيقة_90)*(ROW($I$3:$I$502)&lt;=ROW())),"")</f>
        <v/>
      </c>
    </row>
    <row r="40">
      <c r="A40" s="47" t="n"/>
      <c r="B40" s="50">
        <f>IFERROR(INDEX(الموظفون_الاسم,MATCH($A40,الموظفون_الرقم,0)),"")</f>
        <v/>
      </c>
      <c r="C40" s="47" t="n"/>
      <c r="D40" s="47" t="n"/>
      <c r="E40" s="112" t="n"/>
      <c r="F40" s="112" t="n"/>
      <c r="G40" s="47" t="n"/>
      <c r="H40" s="47" t="n"/>
      <c r="I40" s="51">
        <f>IF(OR($A40="",$F40=""),"",$F40-TODAY())</f>
        <v/>
      </c>
      <c r="J40" s="47" t="n"/>
      <c r="K40">
        <f>IF(AND(ISNUMBER($I40),$I40&lt;=تنبيه_وثيقة_90),SUMPRODUCT(ISNUMBER($I$3:$I$502)*($I$3:$I$502&lt;=تنبيه_وثيقة_90)*(ROW($I$3:$I$502)&lt;=ROW())),"")</f>
        <v/>
      </c>
    </row>
    <row r="41">
      <c r="A41" s="40" t="n"/>
      <c r="B41" s="43">
        <f>IFERROR(INDEX(الموظفون_الاسم,MATCH($A41,الموظفون_الرقم,0)),"")</f>
        <v/>
      </c>
      <c r="C41" s="40" t="n"/>
      <c r="D41" s="40" t="n"/>
      <c r="E41" s="110" t="n"/>
      <c r="F41" s="110" t="n"/>
      <c r="G41" s="40" t="n"/>
      <c r="H41" s="40" t="n"/>
      <c r="I41" s="44">
        <f>IF(OR($A41="",$F41=""),"",$F41-TODAY())</f>
        <v/>
      </c>
      <c r="J41" s="40" t="n"/>
      <c r="K41">
        <f>IF(AND(ISNUMBER($I41),$I41&lt;=تنبيه_وثيقة_90),SUMPRODUCT(ISNUMBER($I$3:$I$502)*($I$3:$I$502&lt;=تنبيه_وثيقة_90)*(ROW($I$3:$I$502)&lt;=ROW())),"")</f>
        <v/>
      </c>
    </row>
    <row r="42">
      <c r="A42" s="47" t="n"/>
      <c r="B42" s="50">
        <f>IFERROR(INDEX(الموظفون_الاسم,MATCH($A42,الموظفون_الرقم,0)),"")</f>
        <v/>
      </c>
      <c r="C42" s="47" t="n"/>
      <c r="D42" s="47" t="n"/>
      <c r="E42" s="112" t="n"/>
      <c r="F42" s="112" t="n"/>
      <c r="G42" s="47" t="n"/>
      <c r="H42" s="47" t="n"/>
      <c r="I42" s="51">
        <f>IF(OR($A42="",$F42=""),"",$F42-TODAY())</f>
        <v/>
      </c>
      <c r="J42" s="47" t="n"/>
      <c r="K42">
        <f>IF(AND(ISNUMBER($I42),$I42&lt;=تنبيه_وثيقة_90),SUMPRODUCT(ISNUMBER($I$3:$I$502)*($I$3:$I$502&lt;=تنبيه_وثيقة_90)*(ROW($I$3:$I$502)&lt;=ROW())),"")</f>
        <v/>
      </c>
    </row>
    <row r="43">
      <c r="A43" s="40" t="n"/>
      <c r="B43" s="43">
        <f>IFERROR(INDEX(الموظفون_الاسم,MATCH($A43,الموظفون_الرقم,0)),"")</f>
        <v/>
      </c>
      <c r="C43" s="40" t="n"/>
      <c r="D43" s="40" t="n"/>
      <c r="E43" s="110" t="n"/>
      <c r="F43" s="110" t="n"/>
      <c r="G43" s="40" t="n"/>
      <c r="H43" s="40" t="n"/>
      <c r="I43" s="44">
        <f>IF(OR($A43="",$F43=""),"",$F43-TODAY())</f>
        <v/>
      </c>
      <c r="J43" s="40" t="n"/>
      <c r="K43">
        <f>IF(AND(ISNUMBER($I43),$I43&lt;=تنبيه_وثيقة_90),SUMPRODUCT(ISNUMBER($I$3:$I$502)*($I$3:$I$502&lt;=تنبيه_وثيقة_90)*(ROW($I$3:$I$502)&lt;=ROW())),"")</f>
        <v/>
      </c>
    </row>
    <row r="44">
      <c r="A44" s="47" t="n"/>
      <c r="B44" s="50">
        <f>IFERROR(INDEX(الموظفون_الاسم,MATCH($A44,الموظفون_الرقم,0)),"")</f>
        <v/>
      </c>
      <c r="C44" s="47" t="n"/>
      <c r="D44" s="47" t="n"/>
      <c r="E44" s="112" t="n"/>
      <c r="F44" s="112" t="n"/>
      <c r="G44" s="47" t="n"/>
      <c r="H44" s="47" t="n"/>
      <c r="I44" s="51">
        <f>IF(OR($A44="",$F44=""),"",$F44-TODAY())</f>
        <v/>
      </c>
      <c r="J44" s="47" t="n"/>
      <c r="K44">
        <f>IF(AND(ISNUMBER($I44),$I44&lt;=تنبيه_وثيقة_90),SUMPRODUCT(ISNUMBER($I$3:$I$502)*($I$3:$I$502&lt;=تنبيه_وثيقة_90)*(ROW($I$3:$I$502)&lt;=ROW())),"")</f>
        <v/>
      </c>
    </row>
    <row r="45">
      <c r="A45" s="40" t="n"/>
      <c r="B45" s="43">
        <f>IFERROR(INDEX(الموظفون_الاسم,MATCH($A45,الموظفون_الرقم,0)),"")</f>
        <v/>
      </c>
      <c r="C45" s="40" t="n"/>
      <c r="D45" s="40" t="n"/>
      <c r="E45" s="110" t="n"/>
      <c r="F45" s="110" t="n"/>
      <c r="G45" s="40" t="n"/>
      <c r="H45" s="40" t="n"/>
      <c r="I45" s="44">
        <f>IF(OR($A45="",$F45=""),"",$F45-TODAY())</f>
        <v/>
      </c>
      <c r="J45" s="40" t="n"/>
      <c r="K45">
        <f>IF(AND(ISNUMBER($I45),$I45&lt;=تنبيه_وثيقة_90),SUMPRODUCT(ISNUMBER($I$3:$I$502)*($I$3:$I$502&lt;=تنبيه_وثيقة_90)*(ROW($I$3:$I$502)&lt;=ROW())),"")</f>
        <v/>
      </c>
    </row>
    <row r="46">
      <c r="A46" s="47" t="n"/>
      <c r="B46" s="50">
        <f>IFERROR(INDEX(الموظفون_الاسم,MATCH($A46,الموظفون_الرقم,0)),"")</f>
        <v/>
      </c>
      <c r="C46" s="47" t="n"/>
      <c r="D46" s="47" t="n"/>
      <c r="E46" s="112" t="n"/>
      <c r="F46" s="112" t="n"/>
      <c r="G46" s="47" t="n"/>
      <c r="H46" s="47" t="n"/>
      <c r="I46" s="51">
        <f>IF(OR($A46="",$F46=""),"",$F46-TODAY())</f>
        <v/>
      </c>
      <c r="J46" s="47" t="n"/>
      <c r="K46">
        <f>IF(AND(ISNUMBER($I46),$I46&lt;=تنبيه_وثيقة_90),SUMPRODUCT(ISNUMBER($I$3:$I$502)*($I$3:$I$502&lt;=تنبيه_وثيقة_90)*(ROW($I$3:$I$502)&lt;=ROW())),"")</f>
        <v/>
      </c>
    </row>
    <row r="47">
      <c r="A47" s="40" t="n"/>
      <c r="B47" s="43">
        <f>IFERROR(INDEX(الموظفون_الاسم,MATCH($A47,الموظفون_الرقم,0)),"")</f>
        <v/>
      </c>
      <c r="C47" s="40" t="n"/>
      <c r="D47" s="40" t="n"/>
      <c r="E47" s="110" t="n"/>
      <c r="F47" s="110" t="n"/>
      <c r="G47" s="40" t="n"/>
      <c r="H47" s="40" t="n"/>
      <c r="I47" s="44">
        <f>IF(OR($A47="",$F47=""),"",$F47-TODAY())</f>
        <v/>
      </c>
      <c r="J47" s="40" t="n"/>
      <c r="K47">
        <f>IF(AND(ISNUMBER($I47),$I47&lt;=تنبيه_وثيقة_90),SUMPRODUCT(ISNUMBER($I$3:$I$502)*($I$3:$I$502&lt;=تنبيه_وثيقة_90)*(ROW($I$3:$I$502)&lt;=ROW())),"")</f>
        <v/>
      </c>
    </row>
    <row r="48">
      <c r="A48" s="47" t="n"/>
      <c r="B48" s="50">
        <f>IFERROR(INDEX(الموظفون_الاسم,MATCH($A48,الموظفون_الرقم,0)),"")</f>
        <v/>
      </c>
      <c r="C48" s="47" t="n"/>
      <c r="D48" s="47" t="n"/>
      <c r="E48" s="112" t="n"/>
      <c r="F48" s="112" t="n"/>
      <c r="G48" s="47" t="n"/>
      <c r="H48" s="47" t="n"/>
      <c r="I48" s="51">
        <f>IF(OR($A48="",$F48=""),"",$F48-TODAY())</f>
        <v/>
      </c>
      <c r="J48" s="47" t="n"/>
      <c r="K48">
        <f>IF(AND(ISNUMBER($I48),$I48&lt;=تنبيه_وثيقة_90),SUMPRODUCT(ISNUMBER($I$3:$I$502)*($I$3:$I$502&lt;=تنبيه_وثيقة_90)*(ROW($I$3:$I$502)&lt;=ROW())),"")</f>
        <v/>
      </c>
    </row>
    <row r="49">
      <c r="A49" s="40" t="n"/>
      <c r="B49" s="43">
        <f>IFERROR(INDEX(الموظفون_الاسم,MATCH($A49,الموظفون_الرقم,0)),"")</f>
        <v/>
      </c>
      <c r="C49" s="40" t="n"/>
      <c r="D49" s="40" t="n"/>
      <c r="E49" s="110" t="n"/>
      <c r="F49" s="110" t="n"/>
      <c r="G49" s="40" t="n"/>
      <c r="H49" s="40" t="n"/>
      <c r="I49" s="44">
        <f>IF(OR($A49="",$F49=""),"",$F49-TODAY())</f>
        <v/>
      </c>
      <c r="J49" s="40" t="n"/>
      <c r="K49">
        <f>IF(AND(ISNUMBER($I49),$I49&lt;=تنبيه_وثيقة_90),SUMPRODUCT(ISNUMBER($I$3:$I$502)*($I$3:$I$502&lt;=تنبيه_وثيقة_90)*(ROW($I$3:$I$502)&lt;=ROW())),"")</f>
        <v/>
      </c>
    </row>
    <row r="50">
      <c r="A50" s="47" t="n"/>
      <c r="B50" s="50">
        <f>IFERROR(INDEX(الموظفون_الاسم,MATCH($A50,الموظفون_الرقم,0)),"")</f>
        <v/>
      </c>
      <c r="C50" s="47" t="n"/>
      <c r="D50" s="47" t="n"/>
      <c r="E50" s="112" t="n"/>
      <c r="F50" s="112" t="n"/>
      <c r="G50" s="47" t="n"/>
      <c r="H50" s="47" t="n"/>
      <c r="I50" s="51">
        <f>IF(OR($A50="",$F50=""),"",$F50-TODAY())</f>
        <v/>
      </c>
      <c r="J50" s="47" t="n"/>
      <c r="K50">
        <f>IF(AND(ISNUMBER($I50),$I50&lt;=تنبيه_وثيقة_90),SUMPRODUCT(ISNUMBER($I$3:$I$502)*($I$3:$I$502&lt;=تنبيه_وثيقة_90)*(ROW($I$3:$I$502)&lt;=ROW())),"")</f>
        <v/>
      </c>
    </row>
    <row r="51">
      <c r="A51" s="40" t="n"/>
      <c r="B51" s="43">
        <f>IFERROR(INDEX(الموظفون_الاسم,MATCH($A51,الموظفون_الرقم,0)),"")</f>
        <v/>
      </c>
      <c r="C51" s="40" t="n"/>
      <c r="D51" s="40" t="n"/>
      <c r="E51" s="110" t="n"/>
      <c r="F51" s="110" t="n"/>
      <c r="G51" s="40" t="n"/>
      <c r="H51" s="40" t="n"/>
      <c r="I51" s="44">
        <f>IF(OR($A51="",$F51=""),"",$F51-TODAY())</f>
        <v/>
      </c>
      <c r="J51" s="40" t="n"/>
      <c r="K51">
        <f>IF(AND(ISNUMBER($I51),$I51&lt;=تنبيه_وثيقة_90),SUMPRODUCT(ISNUMBER($I$3:$I$502)*($I$3:$I$502&lt;=تنبيه_وثيقة_90)*(ROW($I$3:$I$502)&lt;=ROW())),"")</f>
        <v/>
      </c>
    </row>
    <row r="52">
      <c r="A52" s="47" t="n"/>
      <c r="B52" s="50">
        <f>IFERROR(INDEX(الموظفون_الاسم,MATCH($A52,الموظفون_الرقم,0)),"")</f>
        <v/>
      </c>
      <c r="C52" s="47" t="n"/>
      <c r="D52" s="47" t="n"/>
      <c r="E52" s="112" t="n"/>
      <c r="F52" s="112" t="n"/>
      <c r="G52" s="47" t="n"/>
      <c r="H52" s="47" t="n"/>
      <c r="I52" s="51">
        <f>IF(OR($A52="",$F52=""),"",$F52-TODAY())</f>
        <v/>
      </c>
      <c r="J52" s="47" t="n"/>
      <c r="K52">
        <f>IF(AND(ISNUMBER($I52),$I52&lt;=تنبيه_وثيقة_90),SUMPRODUCT(ISNUMBER($I$3:$I$502)*($I$3:$I$502&lt;=تنبيه_وثيقة_90)*(ROW($I$3:$I$502)&lt;=ROW())),"")</f>
        <v/>
      </c>
    </row>
    <row r="53">
      <c r="A53" s="40" t="n"/>
      <c r="B53" s="43">
        <f>IFERROR(INDEX(الموظفون_الاسم,MATCH($A53,الموظفون_الرقم,0)),"")</f>
        <v/>
      </c>
      <c r="C53" s="40" t="n"/>
      <c r="D53" s="40" t="n"/>
      <c r="E53" s="110" t="n"/>
      <c r="F53" s="110" t="n"/>
      <c r="G53" s="40" t="n"/>
      <c r="H53" s="40" t="n"/>
      <c r="I53" s="44">
        <f>IF(OR($A53="",$F53=""),"",$F53-TODAY())</f>
        <v/>
      </c>
      <c r="J53" s="40" t="n"/>
      <c r="K53">
        <f>IF(AND(ISNUMBER($I53),$I53&lt;=تنبيه_وثيقة_90),SUMPRODUCT(ISNUMBER($I$3:$I$502)*($I$3:$I$502&lt;=تنبيه_وثيقة_90)*(ROW($I$3:$I$502)&lt;=ROW())),"")</f>
        <v/>
      </c>
    </row>
    <row r="54">
      <c r="A54" s="47" t="n"/>
      <c r="B54" s="50">
        <f>IFERROR(INDEX(الموظفون_الاسم,MATCH($A54,الموظفون_الرقم,0)),"")</f>
        <v/>
      </c>
      <c r="C54" s="47" t="n"/>
      <c r="D54" s="47" t="n"/>
      <c r="E54" s="112" t="n"/>
      <c r="F54" s="112" t="n"/>
      <c r="G54" s="47" t="n"/>
      <c r="H54" s="47" t="n"/>
      <c r="I54" s="51">
        <f>IF(OR($A54="",$F54=""),"",$F54-TODAY())</f>
        <v/>
      </c>
      <c r="J54" s="47" t="n"/>
      <c r="K54">
        <f>IF(AND(ISNUMBER($I54),$I54&lt;=تنبيه_وثيقة_90),SUMPRODUCT(ISNUMBER($I$3:$I$502)*($I$3:$I$502&lt;=تنبيه_وثيقة_90)*(ROW($I$3:$I$502)&lt;=ROW())),"")</f>
        <v/>
      </c>
    </row>
    <row r="55">
      <c r="A55" s="40" t="n"/>
      <c r="B55" s="43">
        <f>IFERROR(INDEX(الموظفون_الاسم,MATCH($A55,الموظفون_الرقم,0)),"")</f>
        <v/>
      </c>
      <c r="C55" s="40" t="n"/>
      <c r="D55" s="40" t="n"/>
      <c r="E55" s="110" t="n"/>
      <c r="F55" s="110" t="n"/>
      <c r="G55" s="40" t="n"/>
      <c r="H55" s="40" t="n"/>
      <c r="I55" s="44">
        <f>IF(OR($A55="",$F55=""),"",$F55-TODAY())</f>
        <v/>
      </c>
      <c r="J55" s="40" t="n"/>
      <c r="K55">
        <f>IF(AND(ISNUMBER($I55),$I55&lt;=تنبيه_وثيقة_90),SUMPRODUCT(ISNUMBER($I$3:$I$502)*($I$3:$I$502&lt;=تنبيه_وثيقة_90)*(ROW($I$3:$I$502)&lt;=ROW())),"")</f>
        <v/>
      </c>
    </row>
    <row r="56">
      <c r="A56" s="47" t="n"/>
      <c r="B56" s="50">
        <f>IFERROR(INDEX(الموظفون_الاسم,MATCH($A56,الموظفون_الرقم,0)),"")</f>
        <v/>
      </c>
      <c r="C56" s="47" t="n"/>
      <c r="D56" s="47" t="n"/>
      <c r="E56" s="112" t="n"/>
      <c r="F56" s="112" t="n"/>
      <c r="G56" s="47" t="n"/>
      <c r="H56" s="47" t="n"/>
      <c r="I56" s="51">
        <f>IF(OR($A56="",$F56=""),"",$F56-TODAY())</f>
        <v/>
      </c>
      <c r="J56" s="47" t="n"/>
      <c r="K56">
        <f>IF(AND(ISNUMBER($I56),$I56&lt;=تنبيه_وثيقة_90),SUMPRODUCT(ISNUMBER($I$3:$I$502)*($I$3:$I$502&lt;=تنبيه_وثيقة_90)*(ROW($I$3:$I$502)&lt;=ROW())),"")</f>
        <v/>
      </c>
    </row>
    <row r="57">
      <c r="A57" s="40" t="n"/>
      <c r="B57" s="43">
        <f>IFERROR(INDEX(الموظفون_الاسم,MATCH($A57,الموظفون_الرقم,0)),"")</f>
        <v/>
      </c>
      <c r="C57" s="40" t="n"/>
      <c r="D57" s="40" t="n"/>
      <c r="E57" s="110" t="n"/>
      <c r="F57" s="110" t="n"/>
      <c r="G57" s="40" t="n"/>
      <c r="H57" s="40" t="n"/>
      <c r="I57" s="44">
        <f>IF(OR($A57="",$F57=""),"",$F57-TODAY())</f>
        <v/>
      </c>
      <c r="J57" s="40" t="n"/>
      <c r="K57">
        <f>IF(AND(ISNUMBER($I57),$I57&lt;=تنبيه_وثيقة_90),SUMPRODUCT(ISNUMBER($I$3:$I$502)*($I$3:$I$502&lt;=تنبيه_وثيقة_90)*(ROW($I$3:$I$502)&lt;=ROW())),"")</f>
        <v/>
      </c>
    </row>
    <row r="58">
      <c r="A58" s="47" t="n"/>
      <c r="B58" s="50">
        <f>IFERROR(INDEX(الموظفون_الاسم,MATCH($A58,الموظفون_الرقم,0)),"")</f>
        <v/>
      </c>
      <c r="C58" s="47" t="n"/>
      <c r="D58" s="47" t="n"/>
      <c r="E58" s="112" t="n"/>
      <c r="F58" s="112" t="n"/>
      <c r="G58" s="47" t="n"/>
      <c r="H58" s="47" t="n"/>
      <c r="I58" s="51">
        <f>IF(OR($A58="",$F58=""),"",$F58-TODAY())</f>
        <v/>
      </c>
      <c r="J58" s="47" t="n"/>
      <c r="K58">
        <f>IF(AND(ISNUMBER($I58),$I58&lt;=تنبيه_وثيقة_90),SUMPRODUCT(ISNUMBER($I$3:$I$502)*($I$3:$I$502&lt;=تنبيه_وثيقة_90)*(ROW($I$3:$I$502)&lt;=ROW())),"")</f>
        <v/>
      </c>
    </row>
    <row r="59">
      <c r="A59" s="40" t="n"/>
      <c r="B59" s="43">
        <f>IFERROR(INDEX(الموظفون_الاسم,MATCH($A59,الموظفون_الرقم,0)),"")</f>
        <v/>
      </c>
      <c r="C59" s="40" t="n"/>
      <c r="D59" s="40" t="n"/>
      <c r="E59" s="110" t="n"/>
      <c r="F59" s="110" t="n"/>
      <c r="G59" s="40" t="n"/>
      <c r="H59" s="40" t="n"/>
      <c r="I59" s="44">
        <f>IF(OR($A59="",$F59=""),"",$F59-TODAY())</f>
        <v/>
      </c>
      <c r="J59" s="40" t="n"/>
      <c r="K59">
        <f>IF(AND(ISNUMBER($I59),$I59&lt;=تنبيه_وثيقة_90),SUMPRODUCT(ISNUMBER($I$3:$I$502)*($I$3:$I$502&lt;=تنبيه_وثيقة_90)*(ROW($I$3:$I$502)&lt;=ROW())),"")</f>
        <v/>
      </c>
    </row>
    <row r="60">
      <c r="A60" s="47" t="n"/>
      <c r="B60" s="50">
        <f>IFERROR(INDEX(الموظفون_الاسم,MATCH($A60,الموظفون_الرقم,0)),"")</f>
        <v/>
      </c>
      <c r="C60" s="47" t="n"/>
      <c r="D60" s="47" t="n"/>
      <c r="E60" s="112" t="n"/>
      <c r="F60" s="112" t="n"/>
      <c r="G60" s="47" t="n"/>
      <c r="H60" s="47" t="n"/>
      <c r="I60" s="51">
        <f>IF(OR($A60="",$F60=""),"",$F60-TODAY())</f>
        <v/>
      </c>
      <c r="J60" s="47" t="n"/>
      <c r="K60">
        <f>IF(AND(ISNUMBER($I60),$I60&lt;=تنبيه_وثيقة_90),SUMPRODUCT(ISNUMBER($I$3:$I$502)*($I$3:$I$502&lt;=تنبيه_وثيقة_90)*(ROW($I$3:$I$502)&lt;=ROW())),"")</f>
        <v/>
      </c>
    </row>
    <row r="61">
      <c r="A61" s="40" t="n"/>
      <c r="B61" s="43">
        <f>IFERROR(INDEX(الموظفون_الاسم,MATCH($A61,الموظفون_الرقم,0)),"")</f>
        <v/>
      </c>
      <c r="C61" s="40" t="n"/>
      <c r="D61" s="40" t="n"/>
      <c r="E61" s="110" t="n"/>
      <c r="F61" s="110" t="n"/>
      <c r="G61" s="40" t="n"/>
      <c r="H61" s="40" t="n"/>
      <c r="I61" s="44">
        <f>IF(OR($A61="",$F61=""),"",$F61-TODAY())</f>
        <v/>
      </c>
      <c r="J61" s="40" t="n"/>
      <c r="K61">
        <f>IF(AND(ISNUMBER($I61),$I61&lt;=تنبيه_وثيقة_90),SUMPRODUCT(ISNUMBER($I$3:$I$502)*($I$3:$I$502&lt;=تنبيه_وثيقة_90)*(ROW($I$3:$I$502)&lt;=ROW())),"")</f>
        <v/>
      </c>
    </row>
    <row r="62">
      <c r="A62" s="47" t="n"/>
      <c r="B62" s="50">
        <f>IFERROR(INDEX(الموظفون_الاسم,MATCH($A62,الموظفون_الرقم,0)),"")</f>
        <v/>
      </c>
      <c r="C62" s="47" t="n"/>
      <c r="D62" s="47" t="n"/>
      <c r="E62" s="112" t="n"/>
      <c r="F62" s="112" t="n"/>
      <c r="G62" s="47" t="n"/>
      <c r="H62" s="47" t="n"/>
      <c r="I62" s="51">
        <f>IF(OR($A62="",$F62=""),"",$F62-TODAY())</f>
        <v/>
      </c>
      <c r="J62" s="47" t="n"/>
      <c r="K62">
        <f>IF(AND(ISNUMBER($I62),$I62&lt;=تنبيه_وثيقة_90),SUMPRODUCT(ISNUMBER($I$3:$I$502)*($I$3:$I$502&lt;=تنبيه_وثيقة_90)*(ROW($I$3:$I$502)&lt;=ROW())),"")</f>
        <v/>
      </c>
    </row>
    <row r="63">
      <c r="A63" s="40" t="n"/>
      <c r="B63" s="43">
        <f>IFERROR(INDEX(الموظفون_الاسم,MATCH($A63,الموظفون_الرقم,0)),"")</f>
        <v/>
      </c>
      <c r="C63" s="40" t="n"/>
      <c r="D63" s="40" t="n"/>
      <c r="E63" s="110" t="n"/>
      <c r="F63" s="110" t="n"/>
      <c r="G63" s="40" t="n"/>
      <c r="H63" s="40" t="n"/>
      <c r="I63" s="44">
        <f>IF(OR($A63="",$F63=""),"",$F63-TODAY())</f>
        <v/>
      </c>
      <c r="J63" s="40" t="n"/>
      <c r="K63">
        <f>IF(AND(ISNUMBER($I63),$I63&lt;=تنبيه_وثيقة_90),SUMPRODUCT(ISNUMBER($I$3:$I$502)*($I$3:$I$502&lt;=تنبيه_وثيقة_90)*(ROW($I$3:$I$502)&lt;=ROW())),"")</f>
        <v/>
      </c>
    </row>
    <row r="64">
      <c r="A64" s="47" t="n"/>
      <c r="B64" s="50">
        <f>IFERROR(INDEX(الموظفون_الاسم,MATCH($A64,الموظفون_الرقم,0)),"")</f>
        <v/>
      </c>
      <c r="C64" s="47" t="n"/>
      <c r="D64" s="47" t="n"/>
      <c r="E64" s="112" t="n"/>
      <c r="F64" s="112" t="n"/>
      <c r="G64" s="47" t="n"/>
      <c r="H64" s="47" t="n"/>
      <c r="I64" s="51">
        <f>IF(OR($A64="",$F64=""),"",$F64-TODAY())</f>
        <v/>
      </c>
      <c r="J64" s="47" t="n"/>
      <c r="K64">
        <f>IF(AND(ISNUMBER($I64),$I64&lt;=تنبيه_وثيقة_90),SUMPRODUCT(ISNUMBER($I$3:$I$502)*($I$3:$I$502&lt;=تنبيه_وثيقة_90)*(ROW($I$3:$I$502)&lt;=ROW())),"")</f>
        <v/>
      </c>
    </row>
    <row r="65">
      <c r="A65" s="40" t="n"/>
      <c r="B65" s="43">
        <f>IFERROR(INDEX(الموظفون_الاسم,MATCH($A65,الموظفون_الرقم,0)),"")</f>
        <v/>
      </c>
      <c r="C65" s="40" t="n"/>
      <c r="D65" s="40" t="n"/>
      <c r="E65" s="110" t="n"/>
      <c r="F65" s="110" t="n"/>
      <c r="G65" s="40" t="n"/>
      <c r="H65" s="40" t="n"/>
      <c r="I65" s="44">
        <f>IF(OR($A65="",$F65=""),"",$F65-TODAY())</f>
        <v/>
      </c>
      <c r="J65" s="40" t="n"/>
      <c r="K65">
        <f>IF(AND(ISNUMBER($I65),$I65&lt;=تنبيه_وثيقة_90),SUMPRODUCT(ISNUMBER($I$3:$I$502)*($I$3:$I$502&lt;=تنبيه_وثيقة_90)*(ROW($I$3:$I$502)&lt;=ROW())),"")</f>
        <v/>
      </c>
    </row>
    <row r="66">
      <c r="A66" s="47" t="n"/>
      <c r="B66" s="50">
        <f>IFERROR(INDEX(الموظفون_الاسم,MATCH($A66,الموظفون_الرقم,0)),"")</f>
        <v/>
      </c>
      <c r="C66" s="47" t="n"/>
      <c r="D66" s="47" t="n"/>
      <c r="E66" s="112" t="n"/>
      <c r="F66" s="112" t="n"/>
      <c r="G66" s="47" t="n"/>
      <c r="H66" s="47" t="n"/>
      <c r="I66" s="51">
        <f>IF(OR($A66="",$F66=""),"",$F66-TODAY())</f>
        <v/>
      </c>
      <c r="J66" s="47" t="n"/>
      <c r="K66">
        <f>IF(AND(ISNUMBER($I66),$I66&lt;=تنبيه_وثيقة_90),SUMPRODUCT(ISNUMBER($I$3:$I$502)*($I$3:$I$502&lt;=تنبيه_وثيقة_90)*(ROW($I$3:$I$502)&lt;=ROW())),"")</f>
        <v/>
      </c>
    </row>
    <row r="67">
      <c r="A67" s="40" t="n"/>
      <c r="B67" s="43">
        <f>IFERROR(INDEX(الموظفون_الاسم,MATCH($A67,الموظفون_الرقم,0)),"")</f>
        <v/>
      </c>
      <c r="C67" s="40" t="n"/>
      <c r="D67" s="40" t="n"/>
      <c r="E67" s="110" t="n"/>
      <c r="F67" s="110" t="n"/>
      <c r="G67" s="40" t="n"/>
      <c r="H67" s="40" t="n"/>
      <c r="I67" s="44">
        <f>IF(OR($A67="",$F67=""),"",$F67-TODAY())</f>
        <v/>
      </c>
      <c r="J67" s="40" t="n"/>
      <c r="K67">
        <f>IF(AND(ISNUMBER($I67),$I67&lt;=تنبيه_وثيقة_90),SUMPRODUCT(ISNUMBER($I$3:$I$502)*($I$3:$I$502&lt;=تنبيه_وثيقة_90)*(ROW($I$3:$I$502)&lt;=ROW())),"")</f>
        <v/>
      </c>
    </row>
    <row r="68">
      <c r="A68" s="47" t="n"/>
      <c r="B68" s="50">
        <f>IFERROR(INDEX(الموظفون_الاسم,MATCH($A68,الموظفون_الرقم,0)),"")</f>
        <v/>
      </c>
      <c r="C68" s="47" t="n"/>
      <c r="D68" s="47" t="n"/>
      <c r="E68" s="112" t="n"/>
      <c r="F68" s="112" t="n"/>
      <c r="G68" s="47" t="n"/>
      <c r="H68" s="47" t="n"/>
      <c r="I68" s="51">
        <f>IF(OR($A68="",$F68=""),"",$F68-TODAY())</f>
        <v/>
      </c>
      <c r="J68" s="47" t="n"/>
      <c r="K68">
        <f>IF(AND(ISNUMBER($I68),$I68&lt;=تنبيه_وثيقة_90),SUMPRODUCT(ISNUMBER($I$3:$I$502)*($I$3:$I$502&lt;=تنبيه_وثيقة_90)*(ROW($I$3:$I$502)&lt;=ROW())),"")</f>
        <v/>
      </c>
    </row>
    <row r="69">
      <c r="A69" s="40" t="n"/>
      <c r="B69" s="43">
        <f>IFERROR(INDEX(الموظفون_الاسم,MATCH($A69,الموظفون_الرقم,0)),"")</f>
        <v/>
      </c>
      <c r="C69" s="40" t="n"/>
      <c r="D69" s="40" t="n"/>
      <c r="E69" s="110" t="n"/>
      <c r="F69" s="110" t="n"/>
      <c r="G69" s="40" t="n"/>
      <c r="H69" s="40" t="n"/>
      <c r="I69" s="44">
        <f>IF(OR($A69="",$F69=""),"",$F69-TODAY())</f>
        <v/>
      </c>
      <c r="J69" s="40" t="n"/>
      <c r="K69">
        <f>IF(AND(ISNUMBER($I69),$I69&lt;=تنبيه_وثيقة_90),SUMPRODUCT(ISNUMBER($I$3:$I$502)*($I$3:$I$502&lt;=تنبيه_وثيقة_90)*(ROW($I$3:$I$502)&lt;=ROW())),"")</f>
        <v/>
      </c>
    </row>
    <row r="70">
      <c r="A70" s="47" t="n"/>
      <c r="B70" s="50">
        <f>IFERROR(INDEX(الموظفون_الاسم,MATCH($A70,الموظفون_الرقم,0)),"")</f>
        <v/>
      </c>
      <c r="C70" s="47" t="n"/>
      <c r="D70" s="47" t="n"/>
      <c r="E70" s="112" t="n"/>
      <c r="F70" s="112" t="n"/>
      <c r="G70" s="47" t="n"/>
      <c r="H70" s="47" t="n"/>
      <c r="I70" s="51">
        <f>IF(OR($A70="",$F70=""),"",$F70-TODAY())</f>
        <v/>
      </c>
      <c r="J70" s="47" t="n"/>
      <c r="K70">
        <f>IF(AND(ISNUMBER($I70),$I70&lt;=تنبيه_وثيقة_90),SUMPRODUCT(ISNUMBER($I$3:$I$502)*($I$3:$I$502&lt;=تنبيه_وثيقة_90)*(ROW($I$3:$I$502)&lt;=ROW())),"")</f>
        <v/>
      </c>
    </row>
    <row r="71">
      <c r="A71" s="40" t="n"/>
      <c r="B71" s="43">
        <f>IFERROR(INDEX(الموظفون_الاسم,MATCH($A71,الموظفون_الرقم,0)),"")</f>
        <v/>
      </c>
      <c r="C71" s="40" t="n"/>
      <c r="D71" s="40" t="n"/>
      <c r="E71" s="110" t="n"/>
      <c r="F71" s="110" t="n"/>
      <c r="G71" s="40" t="n"/>
      <c r="H71" s="40" t="n"/>
      <c r="I71" s="44">
        <f>IF(OR($A71="",$F71=""),"",$F71-TODAY())</f>
        <v/>
      </c>
      <c r="J71" s="40" t="n"/>
      <c r="K71">
        <f>IF(AND(ISNUMBER($I71),$I71&lt;=تنبيه_وثيقة_90),SUMPRODUCT(ISNUMBER($I$3:$I$502)*($I$3:$I$502&lt;=تنبيه_وثيقة_90)*(ROW($I$3:$I$502)&lt;=ROW())),"")</f>
        <v/>
      </c>
    </row>
    <row r="72">
      <c r="A72" s="47" t="n"/>
      <c r="B72" s="50">
        <f>IFERROR(INDEX(الموظفون_الاسم,MATCH($A72,الموظفون_الرقم,0)),"")</f>
        <v/>
      </c>
      <c r="C72" s="47" t="n"/>
      <c r="D72" s="47" t="n"/>
      <c r="E72" s="112" t="n"/>
      <c r="F72" s="112" t="n"/>
      <c r="G72" s="47" t="n"/>
      <c r="H72" s="47" t="n"/>
      <c r="I72" s="51">
        <f>IF(OR($A72="",$F72=""),"",$F72-TODAY())</f>
        <v/>
      </c>
      <c r="J72" s="47" t="n"/>
      <c r="K72">
        <f>IF(AND(ISNUMBER($I72),$I72&lt;=تنبيه_وثيقة_90),SUMPRODUCT(ISNUMBER($I$3:$I$502)*($I$3:$I$502&lt;=تنبيه_وثيقة_90)*(ROW($I$3:$I$502)&lt;=ROW())),"")</f>
        <v/>
      </c>
    </row>
    <row r="73">
      <c r="A73" s="40" t="n"/>
      <c r="B73" s="43">
        <f>IFERROR(INDEX(الموظفون_الاسم,MATCH($A73,الموظفون_الرقم,0)),"")</f>
        <v/>
      </c>
      <c r="C73" s="40" t="n"/>
      <c r="D73" s="40" t="n"/>
      <c r="E73" s="110" t="n"/>
      <c r="F73" s="110" t="n"/>
      <c r="G73" s="40" t="n"/>
      <c r="H73" s="40" t="n"/>
      <c r="I73" s="44">
        <f>IF(OR($A73="",$F73=""),"",$F73-TODAY())</f>
        <v/>
      </c>
      <c r="J73" s="40" t="n"/>
      <c r="K73">
        <f>IF(AND(ISNUMBER($I73),$I73&lt;=تنبيه_وثيقة_90),SUMPRODUCT(ISNUMBER($I$3:$I$502)*($I$3:$I$502&lt;=تنبيه_وثيقة_90)*(ROW($I$3:$I$502)&lt;=ROW())),"")</f>
        <v/>
      </c>
    </row>
    <row r="74">
      <c r="A74" s="47" t="n"/>
      <c r="B74" s="50">
        <f>IFERROR(INDEX(الموظفون_الاسم,MATCH($A74,الموظفون_الرقم,0)),"")</f>
        <v/>
      </c>
      <c r="C74" s="47" t="n"/>
      <c r="D74" s="47" t="n"/>
      <c r="E74" s="112" t="n"/>
      <c r="F74" s="112" t="n"/>
      <c r="G74" s="47" t="n"/>
      <c r="H74" s="47" t="n"/>
      <c r="I74" s="51">
        <f>IF(OR($A74="",$F74=""),"",$F74-TODAY())</f>
        <v/>
      </c>
      <c r="J74" s="47" t="n"/>
      <c r="K74">
        <f>IF(AND(ISNUMBER($I74),$I74&lt;=تنبيه_وثيقة_90),SUMPRODUCT(ISNUMBER($I$3:$I$502)*($I$3:$I$502&lt;=تنبيه_وثيقة_90)*(ROW($I$3:$I$502)&lt;=ROW())),"")</f>
        <v/>
      </c>
    </row>
    <row r="75">
      <c r="A75" s="40" t="n"/>
      <c r="B75" s="43">
        <f>IFERROR(INDEX(الموظفون_الاسم,MATCH($A75,الموظفون_الرقم,0)),"")</f>
        <v/>
      </c>
      <c r="C75" s="40" t="n"/>
      <c r="D75" s="40" t="n"/>
      <c r="E75" s="110" t="n"/>
      <c r="F75" s="110" t="n"/>
      <c r="G75" s="40" t="n"/>
      <c r="H75" s="40" t="n"/>
      <c r="I75" s="44">
        <f>IF(OR($A75="",$F75=""),"",$F75-TODAY())</f>
        <v/>
      </c>
      <c r="J75" s="40" t="n"/>
      <c r="K75">
        <f>IF(AND(ISNUMBER($I75),$I75&lt;=تنبيه_وثيقة_90),SUMPRODUCT(ISNUMBER($I$3:$I$502)*($I$3:$I$502&lt;=تنبيه_وثيقة_90)*(ROW($I$3:$I$502)&lt;=ROW())),"")</f>
        <v/>
      </c>
    </row>
    <row r="76">
      <c r="A76" s="47" t="n"/>
      <c r="B76" s="50">
        <f>IFERROR(INDEX(الموظفون_الاسم,MATCH($A76,الموظفون_الرقم,0)),"")</f>
        <v/>
      </c>
      <c r="C76" s="47" t="n"/>
      <c r="D76" s="47" t="n"/>
      <c r="E76" s="112" t="n"/>
      <c r="F76" s="112" t="n"/>
      <c r="G76" s="47" t="n"/>
      <c r="H76" s="47" t="n"/>
      <c r="I76" s="51">
        <f>IF(OR($A76="",$F76=""),"",$F76-TODAY())</f>
        <v/>
      </c>
      <c r="J76" s="47" t="n"/>
      <c r="K76">
        <f>IF(AND(ISNUMBER($I76),$I76&lt;=تنبيه_وثيقة_90),SUMPRODUCT(ISNUMBER($I$3:$I$502)*($I$3:$I$502&lt;=تنبيه_وثيقة_90)*(ROW($I$3:$I$502)&lt;=ROW())),"")</f>
        <v/>
      </c>
    </row>
    <row r="77">
      <c r="A77" s="40" t="n"/>
      <c r="B77" s="43">
        <f>IFERROR(INDEX(الموظفون_الاسم,MATCH($A77,الموظفون_الرقم,0)),"")</f>
        <v/>
      </c>
      <c r="C77" s="40" t="n"/>
      <c r="D77" s="40" t="n"/>
      <c r="E77" s="110" t="n"/>
      <c r="F77" s="110" t="n"/>
      <c r="G77" s="40" t="n"/>
      <c r="H77" s="40" t="n"/>
      <c r="I77" s="44">
        <f>IF(OR($A77="",$F77=""),"",$F77-TODAY())</f>
        <v/>
      </c>
      <c r="J77" s="40" t="n"/>
      <c r="K77">
        <f>IF(AND(ISNUMBER($I77),$I77&lt;=تنبيه_وثيقة_90),SUMPRODUCT(ISNUMBER($I$3:$I$502)*($I$3:$I$502&lt;=تنبيه_وثيقة_90)*(ROW($I$3:$I$502)&lt;=ROW())),"")</f>
        <v/>
      </c>
    </row>
    <row r="78">
      <c r="A78" s="47" t="n"/>
      <c r="B78" s="50">
        <f>IFERROR(INDEX(الموظفون_الاسم,MATCH($A78,الموظفون_الرقم,0)),"")</f>
        <v/>
      </c>
      <c r="C78" s="47" t="n"/>
      <c r="D78" s="47" t="n"/>
      <c r="E78" s="112" t="n"/>
      <c r="F78" s="112" t="n"/>
      <c r="G78" s="47" t="n"/>
      <c r="H78" s="47" t="n"/>
      <c r="I78" s="51">
        <f>IF(OR($A78="",$F78=""),"",$F78-TODAY())</f>
        <v/>
      </c>
      <c r="J78" s="47" t="n"/>
      <c r="K78">
        <f>IF(AND(ISNUMBER($I78),$I78&lt;=تنبيه_وثيقة_90),SUMPRODUCT(ISNUMBER($I$3:$I$502)*($I$3:$I$502&lt;=تنبيه_وثيقة_90)*(ROW($I$3:$I$502)&lt;=ROW())),"")</f>
        <v/>
      </c>
    </row>
    <row r="79">
      <c r="A79" s="40" t="n"/>
      <c r="B79" s="43">
        <f>IFERROR(INDEX(الموظفون_الاسم,MATCH($A79,الموظفون_الرقم,0)),"")</f>
        <v/>
      </c>
      <c r="C79" s="40" t="n"/>
      <c r="D79" s="40" t="n"/>
      <c r="E79" s="110" t="n"/>
      <c r="F79" s="110" t="n"/>
      <c r="G79" s="40" t="n"/>
      <c r="H79" s="40" t="n"/>
      <c r="I79" s="44">
        <f>IF(OR($A79="",$F79=""),"",$F79-TODAY())</f>
        <v/>
      </c>
      <c r="J79" s="40" t="n"/>
      <c r="K79">
        <f>IF(AND(ISNUMBER($I79),$I79&lt;=تنبيه_وثيقة_90),SUMPRODUCT(ISNUMBER($I$3:$I$502)*($I$3:$I$502&lt;=تنبيه_وثيقة_90)*(ROW($I$3:$I$502)&lt;=ROW())),"")</f>
        <v/>
      </c>
    </row>
    <row r="80">
      <c r="A80" s="47" t="n"/>
      <c r="B80" s="50">
        <f>IFERROR(INDEX(الموظفون_الاسم,MATCH($A80,الموظفون_الرقم,0)),"")</f>
        <v/>
      </c>
      <c r="C80" s="47" t="n"/>
      <c r="D80" s="47" t="n"/>
      <c r="E80" s="112" t="n"/>
      <c r="F80" s="112" t="n"/>
      <c r="G80" s="47" t="n"/>
      <c r="H80" s="47" t="n"/>
      <c r="I80" s="51">
        <f>IF(OR($A80="",$F80=""),"",$F80-TODAY())</f>
        <v/>
      </c>
      <c r="J80" s="47" t="n"/>
      <c r="K80">
        <f>IF(AND(ISNUMBER($I80),$I80&lt;=تنبيه_وثيقة_90),SUMPRODUCT(ISNUMBER($I$3:$I$502)*($I$3:$I$502&lt;=تنبيه_وثيقة_90)*(ROW($I$3:$I$502)&lt;=ROW())),"")</f>
        <v/>
      </c>
    </row>
    <row r="81">
      <c r="A81" s="40" t="n"/>
      <c r="B81" s="43">
        <f>IFERROR(INDEX(الموظفون_الاسم,MATCH($A81,الموظفون_الرقم,0)),"")</f>
        <v/>
      </c>
      <c r="C81" s="40" t="n"/>
      <c r="D81" s="40" t="n"/>
      <c r="E81" s="110" t="n"/>
      <c r="F81" s="110" t="n"/>
      <c r="G81" s="40" t="n"/>
      <c r="H81" s="40" t="n"/>
      <c r="I81" s="44">
        <f>IF(OR($A81="",$F81=""),"",$F81-TODAY())</f>
        <v/>
      </c>
      <c r="J81" s="40" t="n"/>
      <c r="K81">
        <f>IF(AND(ISNUMBER($I81),$I81&lt;=تنبيه_وثيقة_90),SUMPRODUCT(ISNUMBER($I$3:$I$502)*($I$3:$I$502&lt;=تنبيه_وثيقة_90)*(ROW($I$3:$I$502)&lt;=ROW())),"")</f>
        <v/>
      </c>
    </row>
    <row r="82">
      <c r="A82" s="47" t="n"/>
      <c r="B82" s="50">
        <f>IFERROR(INDEX(الموظفون_الاسم,MATCH($A82,الموظفون_الرقم,0)),"")</f>
        <v/>
      </c>
      <c r="C82" s="47" t="n"/>
      <c r="D82" s="47" t="n"/>
      <c r="E82" s="112" t="n"/>
      <c r="F82" s="112" t="n"/>
      <c r="G82" s="47" t="n"/>
      <c r="H82" s="47" t="n"/>
      <c r="I82" s="51">
        <f>IF(OR($A82="",$F82=""),"",$F82-TODAY())</f>
        <v/>
      </c>
      <c r="J82" s="47" t="n"/>
      <c r="K82">
        <f>IF(AND(ISNUMBER($I82),$I82&lt;=تنبيه_وثيقة_90),SUMPRODUCT(ISNUMBER($I$3:$I$502)*($I$3:$I$502&lt;=تنبيه_وثيقة_90)*(ROW($I$3:$I$502)&lt;=ROW())),"")</f>
        <v/>
      </c>
    </row>
    <row r="83">
      <c r="A83" s="40" t="n"/>
      <c r="B83" s="43">
        <f>IFERROR(INDEX(الموظفون_الاسم,MATCH($A83,الموظفون_الرقم,0)),"")</f>
        <v/>
      </c>
      <c r="C83" s="40" t="n"/>
      <c r="D83" s="40" t="n"/>
      <c r="E83" s="110" t="n"/>
      <c r="F83" s="110" t="n"/>
      <c r="G83" s="40" t="n"/>
      <c r="H83" s="40" t="n"/>
      <c r="I83" s="44">
        <f>IF(OR($A83="",$F83=""),"",$F83-TODAY())</f>
        <v/>
      </c>
      <c r="J83" s="40" t="n"/>
      <c r="K83">
        <f>IF(AND(ISNUMBER($I83),$I83&lt;=تنبيه_وثيقة_90),SUMPRODUCT(ISNUMBER($I$3:$I$502)*($I$3:$I$502&lt;=تنبيه_وثيقة_90)*(ROW($I$3:$I$502)&lt;=ROW())),"")</f>
        <v/>
      </c>
    </row>
    <row r="84">
      <c r="A84" s="47" t="n"/>
      <c r="B84" s="50">
        <f>IFERROR(INDEX(الموظفون_الاسم,MATCH($A84,الموظفون_الرقم,0)),"")</f>
        <v/>
      </c>
      <c r="C84" s="47" t="n"/>
      <c r="D84" s="47" t="n"/>
      <c r="E84" s="112" t="n"/>
      <c r="F84" s="112" t="n"/>
      <c r="G84" s="47" t="n"/>
      <c r="H84" s="47" t="n"/>
      <c r="I84" s="51">
        <f>IF(OR($A84="",$F84=""),"",$F84-TODAY())</f>
        <v/>
      </c>
      <c r="J84" s="47" t="n"/>
      <c r="K84">
        <f>IF(AND(ISNUMBER($I84),$I84&lt;=تنبيه_وثيقة_90),SUMPRODUCT(ISNUMBER($I$3:$I$502)*($I$3:$I$502&lt;=تنبيه_وثيقة_90)*(ROW($I$3:$I$502)&lt;=ROW())),"")</f>
        <v/>
      </c>
    </row>
    <row r="85">
      <c r="A85" s="40" t="n"/>
      <c r="B85" s="43">
        <f>IFERROR(INDEX(الموظفون_الاسم,MATCH($A85,الموظفون_الرقم,0)),"")</f>
        <v/>
      </c>
      <c r="C85" s="40" t="n"/>
      <c r="D85" s="40" t="n"/>
      <c r="E85" s="110" t="n"/>
      <c r="F85" s="110" t="n"/>
      <c r="G85" s="40" t="n"/>
      <c r="H85" s="40" t="n"/>
      <c r="I85" s="44">
        <f>IF(OR($A85="",$F85=""),"",$F85-TODAY())</f>
        <v/>
      </c>
      <c r="J85" s="40" t="n"/>
      <c r="K85">
        <f>IF(AND(ISNUMBER($I85),$I85&lt;=تنبيه_وثيقة_90),SUMPRODUCT(ISNUMBER($I$3:$I$502)*($I$3:$I$502&lt;=تنبيه_وثيقة_90)*(ROW($I$3:$I$502)&lt;=ROW())),"")</f>
        <v/>
      </c>
    </row>
    <row r="86">
      <c r="A86" s="47" t="n"/>
      <c r="B86" s="50">
        <f>IFERROR(INDEX(الموظفون_الاسم,MATCH($A86,الموظفون_الرقم,0)),"")</f>
        <v/>
      </c>
      <c r="C86" s="47" t="n"/>
      <c r="D86" s="47" t="n"/>
      <c r="E86" s="112" t="n"/>
      <c r="F86" s="112" t="n"/>
      <c r="G86" s="47" t="n"/>
      <c r="H86" s="47" t="n"/>
      <c r="I86" s="51">
        <f>IF(OR($A86="",$F86=""),"",$F86-TODAY())</f>
        <v/>
      </c>
      <c r="J86" s="47" t="n"/>
      <c r="K86">
        <f>IF(AND(ISNUMBER($I86),$I86&lt;=تنبيه_وثيقة_90),SUMPRODUCT(ISNUMBER($I$3:$I$502)*($I$3:$I$502&lt;=تنبيه_وثيقة_90)*(ROW($I$3:$I$502)&lt;=ROW())),"")</f>
        <v/>
      </c>
    </row>
    <row r="87">
      <c r="A87" s="40" t="n"/>
      <c r="B87" s="43">
        <f>IFERROR(INDEX(الموظفون_الاسم,MATCH($A87,الموظفون_الرقم,0)),"")</f>
        <v/>
      </c>
      <c r="C87" s="40" t="n"/>
      <c r="D87" s="40" t="n"/>
      <c r="E87" s="110" t="n"/>
      <c r="F87" s="110" t="n"/>
      <c r="G87" s="40" t="n"/>
      <c r="H87" s="40" t="n"/>
      <c r="I87" s="44">
        <f>IF(OR($A87="",$F87=""),"",$F87-TODAY())</f>
        <v/>
      </c>
      <c r="J87" s="40" t="n"/>
      <c r="K87">
        <f>IF(AND(ISNUMBER($I87),$I87&lt;=تنبيه_وثيقة_90),SUMPRODUCT(ISNUMBER($I$3:$I$502)*($I$3:$I$502&lt;=تنبيه_وثيقة_90)*(ROW($I$3:$I$502)&lt;=ROW())),"")</f>
        <v/>
      </c>
    </row>
    <row r="88">
      <c r="A88" s="47" t="n"/>
      <c r="B88" s="50">
        <f>IFERROR(INDEX(الموظفون_الاسم,MATCH($A88,الموظفون_الرقم,0)),"")</f>
        <v/>
      </c>
      <c r="C88" s="47" t="n"/>
      <c r="D88" s="47" t="n"/>
      <c r="E88" s="112" t="n"/>
      <c r="F88" s="112" t="n"/>
      <c r="G88" s="47" t="n"/>
      <c r="H88" s="47" t="n"/>
      <c r="I88" s="51">
        <f>IF(OR($A88="",$F88=""),"",$F88-TODAY())</f>
        <v/>
      </c>
      <c r="J88" s="47" t="n"/>
      <c r="K88">
        <f>IF(AND(ISNUMBER($I88),$I88&lt;=تنبيه_وثيقة_90),SUMPRODUCT(ISNUMBER($I$3:$I$502)*($I$3:$I$502&lt;=تنبيه_وثيقة_90)*(ROW($I$3:$I$502)&lt;=ROW())),"")</f>
        <v/>
      </c>
    </row>
    <row r="89">
      <c r="A89" s="40" t="n"/>
      <c r="B89" s="43">
        <f>IFERROR(INDEX(الموظفون_الاسم,MATCH($A89,الموظفون_الرقم,0)),"")</f>
        <v/>
      </c>
      <c r="C89" s="40" t="n"/>
      <c r="D89" s="40" t="n"/>
      <c r="E89" s="110" t="n"/>
      <c r="F89" s="110" t="n"/>
      <c r="G89" s="40" t="n"/>
      <c r="H89" s="40" t="n"/>
      <c r="I89" s="44">
        <f>IF(OR($A89="",$F89=""),"",$F89-TODAY())</f>
        <v/>
      </c>
      <c r="J89" s="40" t="n"/>
      <c r="K89">
        <f>IF(AND(ISNUMBER($I89),$I89&lt;=تنبيه_وثيقة_90),SUMPRODUCT(ISNUMBER($I$3:$I$502)*($I$3:$I$502&lt;=تنبيه_وثيقة_90)*(ROW($I$3:$I$502)&lt;=ROW())),"")</f>
        <v/>
      </c>
    </row>
    <row r="90">
      <c r="A90" s="47" t="n"/>
      <c r="B90" s="50">
        <f>IFERROR(INDEX(الموظفون_الاسم,MATCH($A90,الموظفون_الرقم,0)),"")</f>
        <v/>
      </c>
      <c r="C90" s="47" t="n"/>
      <c r="D90" s="47" t="n"/>
      <c r="E90" s="112" t="n"/>
      <c r="F90" s="112" t="n"/>
      <c r="G90" s="47" t="n"/>
      <c r="H90" s="47" t="n"/>
      <c r="I90" s="51">
        <f>IF(OR($A90="",$F90=""),"",$F90-TODAY())</f>
        <v/>
      </c>
      <c r="J90" s="47" t="n"/>
      <c r="K90">
        <f>IF(AND(ISNUMBER($I90),$I90&lt;=تنبيه_وثيقة_90),SUMPRODUCT(ISNUMBER($I$3:$I$502)*($I$3:$I$502&lt;=تنبيه_وثيقة_90)*(ROW($I$3:$I$502)&lt;=ROW())),"")</f>
        <v/>
      </c>
    </row>
    <row r="91">
      <c r="A91" s="40" t="n"/>
      <c r="B91" s="43">
        <f>IFERROR(INDEX(الموظفون_الاسم,MATCH($A91,الموظفون_الرقم,0)),"")</f>
        <v/>
      </c>
      <c r="C91" s="40" t="n"/>
      <c r="D91" s="40" t="n"/>
      <c r="E91" s="110" t="n"/>
      <c r="F91" s="110" t="n"/>
      <c r="G91" s="40" t="n"/>
      <c r="H91" s="40" t="n"/>
      <c r="I91" s="44">
        <f>IF(OR($A91="",$F91=""),"",$F91-TODAY())</f>
        <v/>
      </c>
      <c r="J91" s="40" t="n"/>
      <c r="K91">
        <f>IF(AND(ISNUMBER($I91),$I91&lt;=تنبيه_وثيقة_90),SUMPRODUCT(ISNUMBER($I$3:$I$502)*($I$3:$I$502&lt;=تنبيه_وثيقة_90)*(ROW($I$3:$I$502)&lt;=ROW())),"")</f>
        <v/>
      </c>
    </row>
    <row r="92">
      <c r="A92" s="47" t="n"/>
      <c r="B92" s="50">
        <f>IFERROR(INDEX(الموظفون_الاسم,MATCH($A92,الموظفون_الرقم,0)),"")</f>
        <v/>
      </c>
      <c r="C92" s="47" t="n"/>
      <c r="D92" s="47" t="n"/>
      <c r="E92" s="112" t="n"/>
      <c r="F92" s="112" t="n"/>
      <c r="G92" s="47" t="n"/>
      <c r="H92" s="47" t="n"/>
      <c r="I92" s="51">
        <f>IF(OR($A92="",$F92=""),"",$F92-TODAY())</f>
        <v/>
      </c>
      <c r="J92" s="47" t="n"/>
      <c r="K92">
        <f>IF(AND(ISNUMBER($I92),$I92&lt;=تنبيه_وثيقة_90),SUMPRODUCT(ISNUMBER($I$3:$I$502)*($I$3:$I$502&lt;=تنبيه_وثيقة_90)*(ROW($I$3:$I$502)&lt;=ROW())),"")</f>
        <v/>
      </c>
    </row>
    <row r="93">
      <c r="A93" s="40" t="n"/>
      <c r="B93" s="43">
        <f>IFERROR(INDEX(الموظفون_الاسم,MATCH($A93,الموظفون_الرقم,0)),"")</f>
        <v/>
      </c>
      <c r="C93" s="40" t="n"/>
      <c r="D93" s="40" t="n"/>
      <c r="E93" s="110" t="n"/>
      <c r="F93" s="110" t="n"/>
      <c r="G93" s="40" t="n"/>
      <c r="H93" s="40" t="n"/>
      <c r="I93" s="44">
        <f>IF(OR($A93="",$F93=""),"",$F93-TODAY())</f>
        <v/>
      </c>
      <c r="J93" s="40" t="n"/>
      <c r="K93">
        <f>IF(AND(ISNUMBER($I93),$I93&lt;=تنبيه_وثيقة_90),SUMPRODUCT(ISNUMBER($I$3:$I$502)*($I$3:$I$502&lt;=تنبيه_وثيقة_90)*(ROW($I$3:$I$502)&lt;=ROW())),"")</f>
        <v/>
      </c>
    </row>
    <row r="94">
      <c r="A94" s="47" t="n"/>
      <c r="B94" s="50">
        <f>IFERROR(INDEX(الموظفون_الاسم,MATCH($A94,الموظفون_الرقم,0)),"")</f>
        <v/>
      </c>
      <c r="C94" s="47" t="n"/>
      <c r="D94" s="47" t="n"/>
      <c r="E94" s="112" t="n"/>
      <c r="F94" s="112" t="n"/>
      <c r="G94" s="47" t="n"/>
      <c r="H94" s="47" t="n"/>
      <c r="I94" s="51">
        <f>IF(OR($A94="",$F94=""),"",$F94-TODAY())</f>
        <v/>
      </c>
      <c r="J94" s="47" t="n"/>
      <c r="K94">
        <f>IF(AND(ISNUMBER($I94),$I94&lt;=تنبيه_وثيقة_90),SUMPRODUCT(ISNUMBER($I$3:$I$502)*($I$3:$I$502&lt;=تنبيه_وثيقة_90)*(ROW($I$3:$I$502)&lt;=ROW())),"")</f>
        <v/>
      </c>
    </row>
    <row r="95">
      <c r="A95" s="40" t="n"/>
      <c r="B95" s="43">
        <f>IFERROR(INDEX(الموظفون_الاسم,MATCH($A95,الموظفون_الرقم,0)),"")</f>
        <v/>
      </c>
      <c r="C95" s="40" t="n"/>
      <c r="D95" s="40" t="n"/>
      <c r="E95" s="110" t="n"/>
      <c r="F95" s="110" t="n"/>
      <c r="G95" s="40" t="n"/>
      <c r="H95" s="40" t="n"/>
      <c r="I95" s="44">
        <f>IF(OR($A95="",$F95=""),"",$F95-TODAY())</f>
        <v/>
      </c>
      <c r="J95" s="40" t="n"/>
      <c r="K95">
        <f>IF(AND(ISNUMBER($I95),$I95&lt;=تنبيه_وثيقة_90),SUMPRODUCT(ISNUMBER($I$3:$I$502)*($I$3:$I$502&lt;=تنبيه_وثيقة_90)*(ROW($I$3:$I$502)&lt;=ROW())),"")</f>
        <v/>
      </c>
    </row>
    <row r="96">
      <c r="A96" s="47" t="n"/>
      <c r="B96" s="50">
        <f>IFERROR(INDEX(الموظفون_الاسم,MATCH($A96,الموظفون_الرقم,0)),"")</f>
        <v/>
      </c>
      <c r="C96" s="47" t="n"/>
      <c r="D96" s="47" t="n"/>
      <c r="E96" s="112" t="n"/>
      <c r="F96" s="112" t="n"/>
      <c r="G96" s="47" t="n"/>
      <c r="H96" s="47" t="n"/>
      <c r="I96" s="51">
        <f>IF(OR($A96="",$F96=""),"",$F96-TODAY())</f>
        <v/>
      </c>
      <c r="J96" s="47" t="n"/>
      <c r="K96">
        <f>IF(AND(ISNUMBER($I96),$I96&lt;=تنبيه_وثيقة_90),SUMPRODUCT(ISNUMBER($I$3:$I$502)*($I$3:$I$502&lt;=تنبيه_وثيقة_90)*(ROW($I$3:$I$502)&lt;=ROW())),"")</f>
        <v/>
      </c>
    </row>
    <row r="97">
      <c r="A97" s="40" t="n"/>
      <c r="B97" s="43">
        <f>IFERROR(INDEX(الموظفون_الاسم,MATCH($A97,الموظفون_الرقم,0)),"")</f>
        <v/>
      </c>
      <c r="C97" s="40" t="n"/>
      <c r="D97" s="40" t="n"/>
      <c r="E97" s="110" t="n"/>
      <c r="F97" s="110" t="n"/>
      <c r="G97" s="40" t="n"/>
      <c r="H97" s="40" t="n"/>
      <c r="I97" s="44">
        <f>IF(OR($A97="",$F97=""),"",$F97-TODAY())</f>
        <v/>
      </c>
      <c r="J97" s="40" t="n"/>
      <c r="K97">
        <f>IF(AND(ISNUMBER($I97),$I97&lt;=تنبيه_وثيقة_90),SUMPRODUCT(ISNUMBER($I$3:$I$502)*($I$3:$I$502&lt;=تنبيه_وثيقة_90)*(ROW($I$3:$I$502)&lt;=ROW())),"")</f>
        <v/>
      </c>
    </row>
    <row r="98">
      <c r="A98" s="47" t="n"/>
      <c r="B98" s="50">
        <f>IFERROR(INDEX(الموظفون_الاسم,MATCH($A98,الموظفون_الرقم,0)),"")</f>
        <v/>
      </c>
      <c r="C98" s="47" t="n"/>
      <c r="D98" s="47" t="n"/>
      <c r="E98" s="112" t="n"/>
      <c r="F98" s="112" t="n"/>
      <c r="G98" s="47" t="n"/>
      <c r="H98" s="47" t="n"/>
      <c r="I98" s="51">
        <f>IF(OR($A98="",$F98=""),"",$F98-TODAY())</f>
        <v/>
      </c>
      <c r="J98" s="47" t="n"/>
      <c r="K98">
        <f>IF(AND(ISNUMBER($I98),$I98&lt;=تنبيه_وثيقة_90),SUMPRODUCT(ISNUMBER($I$3:$I$502)*($I$3:$I$502&lt;=تنبيه_وثيقة_90)*(ROW($I$3:$I$502)&lt;=ROW())),"")</f>
        <v/>
      </c>
    </row>
    <row r="99">
      <c r="A99" s="40" t="n"/>
      <c r="B99" s="43">
        <f>IFERROR(INDEX(الموظفون_الاسم,MATCH($A99,الموظفون_الرقم,0)),"")</f>
        <v/>
      </c>
      <c r="C99" s="40" t="n"/>
      <c r="D99" s="40" t="n"/>
      <c r="E99" s="110" t="n"/>
      <c r="F99" s="110" t="n"/>
      <c r="G99" s="40" t="n"/>
      <c r="H99" s="40" t="n"/>
      <c r="I99" s="44">
        <f>IF(OR($A99="",$F99=""),"",$F99-TODAY())</f>
        <v/>
      </c>
      <c r="J99" s="40" t="n"/>
      <c r="K99">
        <f>IF(AND(ISNUMBER($I99),$I99&lt;=تنبيه_وثيقة_90),SUMPRODUCT(ISNUMBER($I$3:$I$502)*($I$3:$I$502&lt;=تنبيه_وثيقة_90)*(ROW($I$3:$I$502)&lt;=ROW())),"")</f>
        <v/>
      </c>
    </row>
    <row r="100">
      <c r="A100" s="47" t="n"/>
      <c r="B100" s="50">
        <f>IFERROR(INDEX(الموظفون_الاسم,MATCH($A100,الموظفون_الرقم,0)),"")</f>
        <v/>
      </c>
      <c r="C100" s="47" t="n"/>
      <c r="D100" s="47" t="n"/>
      <c r="E100" s="112" t="n"/>
      <c r="F100" s="112" t="n"/>
      <c r="G100" s="47" t="n"/>
      <c r="H100" s="47" t="n"/>
      <c r="I100" s="51">
        <f>IF(OR($A100="",$F100=""),"",$F100-TODAY())</f>
        <v/>
      </c>
      <c r="J100" s="47" t="n"/>
      <c r="K100">
        <f>IF(AND(ISNUMBER($I100),$I100&lt;=تنبيه_وثيقة_90),SUMPRODUCT(ISNUMBER($I$3:$I$502)*($I$3:$I$502&lt;=تنبيه_وثيقة_90)*(ROW($I$3:$I$502)&lt;=ROW())),"")</f>
        <v/>
      </c>
    </row>
    <row r="101">
      <c r="A101" s="40" t="n"/>
      <c r="B101" s="43">
        <f>IFERROR(INDEX(الموظفون_الاسم,MATCH($A101,الموظفون_الرقم,0)),"")</f>
        <v/>
      </c>
      <c r="C101" s="40" t="n"/>
      <c r="D101" s="40" t="n"/>
      <c r="E101" s="110" t="n"/>
      <c r="F101" s="110" t="n"/>
      <c r="G101" s="40" t="n"/>
      <c r="H101" s="40" t="n"/>
      <c r="I101" s="44">
        <f>IF(OR($A101="",$F101=""),"",$F101-TODAY())</f>
        <v/>
      </c>
      <c r="J101" s="40" t="n"/>
      <c r="K101">
        <f>IF(AND(ISNUMBER($I101),$I101&lt;=تنبيه_وثيقة_90),SUMPRODUCT(ISNUMBER($I$3:$I$502)*($I$3:$I$502&lt;=تنبيه_وثيقة_90)*(ROW($I$3:$I$502)&lt;=ROW())),"")</f>
        <v/>
      </c>
    </row>
    <row r="102">
      <c r="A102" s="47" t="n"/>
      <c r="B102" s="50">
        <f>IFERROR(INDEX(الموظفون_الاسم,MATCH($A102,الموظفون_الرقم,0)),"")</f>
        <v/>
      </c>
      <c r="C102" s="47" t="n"/>
      <c r="D102" s="47" t="n"/>
      <c r="E102" s="112" t="n"/>
      <c r="F102" s="112" t="n"/>
      <c r="G102" s="47" t="n"/>
      <c r="H102" s="47" t="n"/>
      <c r="I102" s="51">
        <f>IF(OR($A102="",$F102=""),"",$F102-TODAY())</f>
        <v/>
      </c>
      <c r="J102" s="47" t="n"/>
      <c r="K102">
        <f>IF(AND(ISNUMBER($I102),$I102&lt;=تنبيه_وثيقة_90),SUMPRODUCT(ISNUMBER($I$3:$I$502)*($I$3:$I$502&lt;=تنبيه_وثيقة_90)*(ROW($I$3:$I$502)&lt;=ROW())),"")</f>
        <v/>
      </c>
    </row>
    <row r="103">
      <c r="A103" s="40" t="n"/>
      <c r="B103" s="43">
        <f>IFERROR(INDEX(الموظفون_الاسم,MATCH($A103,الموظفون_الرقم,0)),"")</f>
        <v/>
      </c>
      <c r="C103" s="40" t="n"/>
      <c r="D103" s="40" t="n"/>
      <c r="E103" s="110" t="n"/>
      <c r="F103" s="110" t="n"/>
      <c r="G103" s="40" t="n"/>
      <c r="H103" s="40" t="n"/>
      <c r="I103" s="44">
        <f>IF(OR($A103="",$F103=""),"",$F103-TODAY())</f>
        <v/>
      </c>
      <c r="J103" s="40" t="n"/>
      <c r="K103">
        <f>IF(AND(ISNUMBER($I103),$I103&lt;=تنبيه_وثيقة_90),SUMPRODUCT(ISNUMBER($I$3:$I$502)*($I$3:$I$502&lt;=تنبيه_وثيقة_90)*(ROW($I$3:$I$502)&lt;=ROW())),"")</f>
        <v/>
      </c>
    </row>
    <row r="104">
      <c r="A104" s="47" t="n"/>
      <c r="B104" s="50">
        <f>IFERROR(INDEX(الموظفون_الاسم,MATCH($A104,الموظفون_الرقم,0)),"")</f>
        <v/>
      </c>
      <c r="C104" s="47" t="n"/>
      <c r="D104" s="47" t="n"/>
      <c r="E104" s="112" t="n"/>
      <c r="F104" s="112" t="n"/>
      <c r="G104" s="47" t="n"/>
      <c r="H104" s="47" t="n"/>
      <c r="I104" s="51">
        <f>IF(OR($A104="",$F104=""),"",$F104-TODAY())</f>
        <v/>
      </c>
      <c r="J104" s="47" t="n"/>
      <c r="K104">
        <f>IF(AND(ISNUMBER($I104),$I104&lt;=تنبيه_وثيقة_90),SUMPRODUCT(ISNUMBER($I$3:$I$502)*($I$3:$I$502&lt;=تنبيه_وثيقة_90)*(ROW($I$3:$I$502)&lt;=ROW())),"")</f>
        <v/>
      </c>
    </row>
    <row r="105">
      <c r="A105" s="40" t="n"/>
      <c r="B105" s="43">
        <f>IFERROR(INDEX(الموظفون_الاسم,MATCH($A105,الموظفون_الرقم,0)),"")</f>
        <v/>
      </c>
      <c r="C105" s="40" t="n"/>
      <c r="D105" s="40" t="n"/>
      <c r="E105" s="110" t="n"/>
      <c r="F105" s="110" t="n"/>
      <c r="G105" s="40" t="n"/>
      <c r="H105" s="40" t="n"/>
      <c r="I105" s="44">
        <f>IF(OR($A105="",$F105=""),"",$F105-TODAY())</f>
        <v/>
      </c>
      <c r="J105" s="40" t="n"/>
      <c r="K105">
        <f>IF(AND(ISNUMBER($I105),$I105&lt;=تنبيه_وثيقة_90),SUMPRODUCT(ISNUMBER($I$3:$I$502)*($I$3:$I$502&lt;=تنبيه_وثيقة_90)*(ROW($I$3:$I$502)&lt;=ROW())),"")</f>
        <v/>
      </c>
    </row>
    <row r="106">
      <c r="A106" s="47" t="n"/>
      <c r="B106" s="50">
        <f>IFERROR(INDEX(الموظفون_الاسم,MATCH($A106,الموظفون_الرقم,0)),"")</f>
        <v/>
      </c>
      <c r="C106" s="47" t="n"/>
      <c r="D106" s="47" t="n"/>
      <c r="E106" s="112" t="n"/>
      <c r="F106" s="112" t="n"/>
      <c r="G106" s="47" t="n"/>
      <c r="H106" s="47" t="n"/>
      <c r="I106" s="51">
        <f>IF(OR($A106="",$F106=""),"",$F106-TODAY())</f>
        <v/>
      </c>
      <c r="J106" s="47" t="n"/>
      <c r="K106">
        <f>IF(AND(ISNUMBER($I106),$I106&lt;=تنبيه_وثيقة_90),SUMPRODUCT(ISNUMBER($I$3:$I$502)*($I$3:$I$502&lt;=تنبيه_وثيقة_90)*(ROW($I$3:$I$502)&lt;=ROW())),"")</f>
        <v/>
      </c>
    </row>
    <row r="107">
      <c r="A107" s="40" t="n"/>
      <c r="B107" s="43">
        <f>IFERROR(INDEX(الموظفون_الاسم,MATCH($A107,الموظفون_الرقم,0)),"")</f>
        <v/>
      </c>
      <c r="C107" s="40" t="n"/>
      <c r="D107" s="40" t="n"/>
      <c r="E107" s="110" t="n"/>
      <c r="F107" s="110" t="n"/>
      <c r="G107" s="40" t="n"/>
      <c r="H107" s="40" t="n"/>
      <c r="I107" s="44">
        <f>IF(OR($A107="",$F107=""),"",$F107-TODAY())</f>
        <v/>
      </c>
      <c r="J107" s="40" t="n"/>
      <c r="K107">
        <f>IF(AND(ISNUMBER($I107),$I107&lt;=تنبيه_وثيقة_90),SUMPRODUCT(ISNUMBER($I$3:$I$502)*($I$3:$I$502&lt;=تنبيه_وثيقة_90)*(ROW($I$3:$I$502)&lt;=ROW())),"")</f>
        <v/>
      </c>
    </row>
    <row r="108">
      <c r="A108" s="47" t="n"/>
      <c r="B108" s="50">
        <f>IFERROR(INDEX(الموظفون_الاسم,MATCH($A108,الموظفون_الرقم,0)),"")</f>
        <v/>
      </c>
      <c r="C108" s="47" t="n"/>
      <c r="D108" s="47" t="n"/>
      <c r="E108" s="112" t="n"/>
      <c r="F108" s="112" t="n"/>
      <c r="G108" s="47" t="n"/>
      <c r="H108" s="47" t="n"/>
      <c r="I108" s="51">
        <f>IF(OR($A108="",$F108=""),"",$F108-TODAY())</f>
        <v/>
      </c>
      <c r="J108" s="47" t="n"/>
      <c r="K108">
        <f>IF(AND(ISNUMBER($I108),$I108&lt;=تنبيه_وثيقة_90),SUMPRODUCT(ISNUMBER($I$3:$I$502)*($I$3:$I$502&lt;=تنبيه_وثيقة_90)*(ROW($I$3:$I$502)&lt;=ROW())),"")</f>
        <v/>
      </c>
    </row>
    <row r="109">
      <c r="A109" s="40" t="n"/>
      <c r="B109" s="43">
        <f>IFERROR(INDEX(الموظفون_الاسم,MATCH($A109,الموظفون_الرقم,0)),"")</f>
        <v/>
      </c>
      <c r="C109" s="40" t="n"/>
      <c r="D109" s="40" t="n"/>
      <c r="E109" s="110" t="n"/>
      <c r="F109" s="110" t="n"/>
      <c r="G109" s="40" t="n"/>
      <c r="H109" s="40" t="n"/>
      <c r="I109" s="44">
        <f>IF(OR($A109="",$F109=""),"",$F109-TODAY())</f>
        <v/>
      </c>
      <c r="J109" s="40" t="n"/>
      <c r="K109">
        <f>IF(AND(ISNUMBER($I109),$I109&lt;=تنبيه_وثيقة_90),SUMPRODUCT(ISNUMBER($I$3:$I$502)*($I$3:$I$502&lt;=تنبيه_وثيقة_90)*(ROW($I$3:$I$502)&lt;=ROW())),"")</f>
        <v/>
      </c>
    </row>
    <row r="110">
      <c r="A110" s="47" t="n"/>
      <c r="B110" s="50">
        <f>IFERROR(INDEX(الموظفون_الاسم,MATCH($A110,الموظفون_الرقم,0)),"")</f>
        <v/>
      </c>
      <c r="C110" s="47" t="n"/>
      <c r="D110" s="47" t="n"/>
      <c r="E110" s="112" t="n"/>
      <c r="F110" s="112" t="n"/>
      <c r="G110" s="47" t="n"/>
      <c r="H110" s="47" t="n"/>
      <c r="I110" s="51">
        <f>IF(OR($A110="",$F110=""),"",$F110-TODAY())</f>
        <v/>
      </c>
      <c r="J110" s="47" t="n"/>
      <c r="K110">
        <f>IF(AND(ISNUMBER($I110),$I110&lt;=تنبيه_وثيقة_90),SUMPRODUCT(ISNUMBER($I$3:$I$502)*($I$3:$I$502&lt;=تنبيه_وثيقة_90)*(ROW($I$3:$I$502)&lt;=ROW())),"")</f>
        <v/>
      </c>
    </row>
    <row r="111">
      <c r="A111" s="40" t="n"/>
      <c r="B111" s="43">
        <f>IFERROR(INDEX(الموظفون_الاسم,MATCH($A111,الموظفون_الرقم,0)),"")</f>
        <v/>
      </c>
      <c r="C111" s="40" t="n"/>
      <c r="D111" s="40" t="n"/>
      <c r="E111" s="110" t="n"/>
      <c r="F111" s="110" t="n"/>
      <c r="G111" s="40" t="n"/>
      <c r="H111" s="40" t="n"/>
      <c r="I111" s="44">
        <f>IF(OR($A111="",$F111=""),"",$F111-TODAY())</f>
        <v/>
      </c>
      <c r="J111" s="40" t="n"/>
      <c r="K111">
        <f>IF(AND(ISNUMBER($I111),$I111&lt;=تنبيه_وثيقة_90),SUMPRODUCT(ISNUMBER($I$3:$I$502)*($I$3:$I$502&lt;=تنبيه_وثيقة_90)*(ROW($I$3:$I$502)&lt;=ROW())),"")</f>
        <v/>
      </c>
    </row>
    <row r="112">
      <c r="A112" s="47" t="n"/>
      <c r="B112" s="50">
        <f>IFERROR(INDEX(الموظفون_الاسم,MATCH($A112,الموظفون_الرقم,0)),"")</f>
        <v/>
      </c>
      <c r="C112" s="47" t="n"/>
      <c r="D112" s="47" t="n"/>
      <c r="E112" s="112" t="n"/>
      <c r="F112" s="112" t="n"/>
      <c r="G112" s="47" t="n"/>
      <c r="H112" s="47" t="n"/>
      <c r="I112" s="51">
        <f>IF(OR($A112="",$F112=""),"",$F112-TODAY())</f>
        <v/>
      </c>
      <c r="J112" s="47" t="n"/>
      <c r="K112">
        <f>IF(AND(ISNUMBER($I112),$I112&lt;=تنبيه_وثيقة_90),SUMPRODUCT(ISNUMBER($I$3:$I$502)*($I$3:$I$502&lt;=تنبيه_وثيقة_90)*(ROW($I$3:$I$502)&lt;=ROW())),"")</f>
        <v/>
      </c>
    </row>
    <row r="113">
      <c r="A113" s="40" t="n"/>
      <c r="B113" s="43">
        <f>IFERROR(INDEX(الموظفون_الاسم,MATCH($A113,الموظفون_الرقم,0)),"")</f>
        <v/>
      </c>
      <c r="C113" s="40" t="n"/>
      <c r="D113" s="40" t="n"/>
      <c r="E113" s="110" t="n"/>
      <c r="F113" s="110" t="n"/>
      <c r="G113" s="40" t="n"/>
      <c r="H113" s="40" t="n"/>
      <c r="I113" s="44">
        <f>IF(OR($A113="",$F113=""),"",$F113-TODAY())</f>
        <v/>
      </c>
      <c r="J113" s="40" t="n"/>
      <c r="K113">
        <f>IF(AND(ISNUMBER($I113),$I113&lt;=تنبيه_وثيقة_90),SUMPRODUCT(ISNUMBER($I$3:$I$502)*($I$3:$I$502&lt;=تنبيه_وثيقة_90)*(ROW($I$3:$I$502)&lt;=ROW())),"")</f>
        <v/>
      </c>
    </row>
    <row r="114">
      <c r="A114" s="47" t="n"/>
      <c r="B114" s="50">
        <f>IFERROR(INDEX(الموظفون_الاسم,MATCH($A114,الموظفون_الرقم,0)),"")</f>
        <v/>
      </c>
      <c r="C114" s="47" t="n"/>
      <c r="D114" s="47" t="n"/>
      <c r="E114" s="112" t="n"/>
      <c r="F114" s="112" t="n"/>
      <c r="G114" s="47" t="n"/>
      <c r="H114" s="47" t="n"/>
      <c r="I114" s="51">
        <f>IF(OR($A114="",$F114=""),"",$F114-TODAY())</f>
        <v/>
      </c>
      <c r="J114" s="47" t="n"/>
      <c r="K114">
        <f>IF(AND(ISNUMBER($I114),$I114&lt;=تنبيه_وثيقة_90),SUMPRODUCT(ISNUMBER($I$3:$I$502)*($I$3:$I$502&lt;=تنبيه_وثيقة_90)*(ROW($I$3:$I$502)&lt;=ROW())),"")</f>
        <v/>
      </c>
    </row>
    <row r="115">
      <c r="A115" s="40" t="n"/>
      <c r="B115" s="43">
        <f>IFERROR(INDEX(الموظفون_الاسم,MATCH($A115,الموظفون_الرقم,0)),"")</f>
        <v/>
      </c>
      <c r="C115" s="40" t="n"/>
      <c r="D115" s="40" t="n"/>
      <c r="E115" s="110" t="n"/>
      <c r="F115" s="110" t="n"/>
      <c r="G115" s="40" t="n"/>
      <c r="H115" s="40" t="n"/>
      <c r="I115" s="44">
        <f>IF(OR($A115="",$F115=""),"",$F115-TODAY())</f>
        <v/>
      </c>
      <c r="J115" s="40" t="n"/>
      <c r="K115">
        <f>IF(AND(ISNUMBER($I115),$I115&lt;=تنبيه_وثيقة_90),SUMPRODUCT(ISNUMBER($I$3:$I$502)*($I$3:$I$502&lt;=تنبيه_وثيقة_90)*(ROW($I$3:$I$502)&lt;=ROW())),"")</f>
        <v/>
      </c>
    </row>
    <row r="116">
      <c r="A116" s="47" t="n"/>
      <c r="B116" s="50">
        <f>IFERROR(INDEX(الموظفون_الاسم,MATCH($A116,الموظفون_الرقم,0)),"")</f>
        <v/>
      </c>
      <c r="C116" s="47" t="n"/>
      <c r="D116" s="47" t="n"/>
      <c r="E116" s="112" t="n"/>
      <c r="F116" s="112" t="n"/>
      <c r="G116" s="47" t="n"/>
      <c r="H116" s="47" t="n"/>
      <c r="I116" s="51">
        <f>IF(OR($A116="",$F116=""),"",$F116-TODAY())</f>
        <v/>
      </c>
      <c r="J116" s="47" t="n"/>
      <c r="K116">
        <f>IF(AND(ISNUMBER($I116),$I116&lt;=تنبيه_وثيقة_90),SUMPRODUCT(ISNUMBER($I$3:$I$502)*($I$3:$I$502&lt;=تنبيه_وثيقة_90)*(ROW($I$3:$I$502)&lt;=ROW())),"")</f>
        <v/>
      </c>
    </row>
    <row r="117">
      <c r="A117" s="40" t="n"/>
      <c r="B117" s="43">
        <f>IFERROR(INDEX(الموظفون_الاسم,MATCH($A117,الموظفون_الرقم,0)),"")</f>
        <v/>
      </c>
      <c r="C117" s="40" t="n"/>
      <c r="D117" s="40" t="n"/>
      <c r="E117" s="110" t="n"/>
      <c r="F117" s="110" t="n"/>
      <c r="G117" s="40" t="n"/>
      <c r="H117" s="40" t="n"/>
      <c r="I117" s="44">
        <f>IF(OR($A117="",$F117=""),"",$F117-TODAY())</f>
        <v/>
      </c>
      <c r="J117" s="40" t="n"/>
      <c r="K117">
        <f>IF(AND(ISNUMBER($I117),$I117&lt;=تنبيه_وثيقة_90),SUMPRODUCT(ISNUMBER($I$3:$I$502)*($I$3:$I$502&lt;=تنبيه_وثيقة_90)*(ROW($I$3:$I$502)&lt;=ROW())),"")</f>
        <v/>
      </c>
    </row>
    <row r="118">
      <c r="A118" s="47" t="n"/>
      <c r="B118" s="50">
        <f>IFERROR(INDEX(الموظفون_الاسم,MATCH($A118,الموظفون_الرقم,0)),"")</f>
        <v/>
      </c>
      <c r="C118" s="47" t="n"/>
      <c r="D118" s="47" t="n"/>
      <c r="E118" s="112" t="n"/>
      <c r="F118" s="112" t="n"/>
      <c r="G118" s="47" t="n"/>
      <c r="H118" s="47" t="n"/>
      <c r="I118" s="51">
        <f>IF(OR($A118="",$F118=""),"",$F118-TODAY())</f>
        <v/>
      </c>
      <c r="J118" s="47" t="n"/>
      <c r="K118">
        <f>IF(AND(ISNUMBER($I118),$I118&lt;=تنبيه_وثيقة_90),SUMPRODUCT(ISNUMBER($I$3:$I$502)*($I$3:$I$502&lt;=تنبيه_وثيقة_90)*(ROW($I$3:$I$502)&lt;=ROW())),"")</f>
        <v/>
      </c>
    </row>
    <row r="119">
      <c r="A119" s="40" t="n"/>
      <c r="B119" s="43">
        <f>IFERROR(INDEX(الموظفون_الاسم,MATCH($A119,الموظفون_الرقم,0)),"")</f>
        <v/>
      </c>
      <c r="C119" s="40" t="n"/>
      <c r="D119" s="40" t="n"/>
      <c r="E119" s="110" t="n"/>
      <c r="F119" s="110" t="n"/>
      <c r="G119" s="40" t="n"/>
      <c r="H119" s="40" t="n"/>
      <c r="I119" s="44">
        <f>IF(OR($A119="",$F119=""),"",$F119-TODAY())</f>
        <v/>
      </c>
      <c r="J119" s="40" t="n"/>
      <c r="K119">
        <f>IF(AND(ISNUMBER($I119),$I119&lt;=تنبيه_وثيقة_90),SUMPRODUCT(ISNUMBER($I$3:$I$502)*($I$3:$I$502&lt;=تنبيه_وثيقة_90)*(ROW($I$3:$I$502)&lt;=ROW())),"")</f>
        <v/>
      </c>
    </row>
    <row r="120">
      <c r="A120" s="47" t="n"/>
      <c r="B120" s="50">
        <f>IFERROR(INDEX(الموظفون_الاسم,MATCH($A120,الموظفون_الرقم,0)),"")</f>
        <v/>
      </c>
      <c r="C120" s="47" t="n"/>
      <c r="D120" s="47" t="n"/>
      <c r="E120" s="112" t="n"/>
      <c r="F120" s="112" t="n"/>
      <c r="G120" s="47" t="n"/>
      <c r="H120" s="47" t="n"/>
      <c r="I120" s="51">
        <f>IF(OR($A120="",$F120=""),"",$F120-TODAY())</f>
        <v/>
      </c>
      <c r="J120" s="47" t="n"/>
      <c r="K120">
        <f>IF(AND(ISNUMBER($I120),$I120&lt;=تنبيه_وثيقة_90),SUMPRODUCT(ISNUMBER($I$3:$I$502)*($I$3:$I$502&lt;=تنبيه_وثيقة_90)*(ROW($I$3:$I$502)&lt;=ROW())),"")</f>
        <v/>
      </c>
    </row>
    <row r="121">
      <c r="A121" s="40" t="n"/>
      <c r="B121" s="43">
        <f>IFERROR(INDEX(الموظفون_الاسم,MATCH($A121,الموظفون_الرقم,0)),"")</f>
        <v/>
      </c>
      <c r="C121" s="40" t="n"/>
      <c r="D121" s="40" t="n"/>
      <c r="E121" s="110" t="n"/>
      <c r="F121" s="110" t="n"/>
      <c r="G121" s="40" t="n"/>
      <c r="H121" s="40" t="n"/>
      <c r="I121" s="44">
        <f>IF(OR($A121="",$F121=""),"",$F121-TODAY())</f>
        <v/>
      </c>
      <c r="J121" s="40" t="n"/>
      <c r="K121">
        <f>IF(AND(ISNUMBER($I121),$I121&lt;=تنبيه_وثيقة_90),SUMPRODUCT(ISNUMBER($I$3:$I$502)*($I$3:$I$502&lt;=تنبيه_وثيقة_90)*(ROW($I$3:$I$502)&lt;=ROW())),"")</f>
        <v/>
      </c>
    </row>
    <row r="122">
      <c r="A122" s="47" t="n"/>
      <c r="B122" s="50">
        <f>IFERROR(INDEX(الموظفون_الاسم,MATCH($A122,الموظفون_الرقم,0)),"")</f>
        <v/>
      </c>
      <c r="C122" s="47" t="n"/>
      <c r="D122" s="47" t="n"/>
      <c r="E122" s="112" t="n"/>
      <c r="F122" s="112" t="n"/>
      <c r="G122" s="47" t="n"/>
      <c r="H122" s="47" t="n"/>
      <c r="I122" s="51">
        <f>IF(OR($A122="",$F122=""),"",$F122-TODAY())</f>
        <v/>
      </c>
      <c r="J122" s="47" t="n"/>
      <c r="K122">
        <f>IF(AND(ISNUMBER($I122),$I122&lt;=تنبيه_وثيقة_90),SUMPRODUCT(ISNUMBER($I$3:$I$502)*($I$3:$I$502&lt;=تنبيه_وثيقة_90)*(ROW($I$3:$I$502)&lt;=ROW())),"")</f>
        <v/>
      </c>
    </row>
    <row r="123">
      <c r="A123" s="40" t="n"/>
      <c r="B123" s="43">
        <f>IFERROR(INDEX(الموظفون_الاسم,MATCH($A123,الموظفون_الرقم,0)),"")</f>
        <v/>
      </c>
      <c r="C123" s="40" t="n"/>
      <c r="D123" s="40" t="n"/>
      <c r="E123" s="110" t="n"/>
      <c r="F123" s="110" t="n"/>
      <c r="G123" s="40" t="n"/>
      <c r="H123" s="40" t="n"/>
      <c r="I123" s="44">
        <f>IF(OR($A123="",$F123=""),"",$F123-TODAY())</f>
        <v/>
      </c>
      <c r="J123" s="40" t="n"/>
      <c r="K123">
        <f>IF(AND(ISNUMBER($I123),$I123&lt;=تنبيه_وثيقة_90),SUMPRODUCT(ISNUMBER($I$3:$I$502)*($I$3:$I$502&lt;=تنبيه_وثيقة_90)*(ROW($I$3:$I$502)&lt;=ROW())),"")</f>
        <v/>
      </c>
    </row>
    <row r="124">
      <c r="A124" s="47" t="n"/>
      <c r="B124" s="50">
        <f>IFERROR(INDEX(الموظفون_الاسم,MATCH($A124,الموظفون_الرقم,0)),"")</f>
        <v/>
      </c>
      <c r="C124" s="47" t="n"/>
      <c r="D124" s="47" t="n"/>
      <c r="E124" s="112" t="n"/>
      <c r="F124" s="112" t="n"/>
      <c r="G124" s="47" t="n"/>
      <c r="H124" s="47" t="n"/>
      <c r="I124" s="51">
        <f>IF(OR($A124="",$F124=""),"",$F124-TODAY())</f>
        <v/>
      </c>
      <c r="J124" s="47" t="n"/>
      <c r="K124">
        <f>IF(AND(ISNUMBER($I124),$I124&lt;=تنبيه_وثيقة_90),SUMPRODUCT(ISNUMBER($I$3:$I$502)*($I$3:$I$502&lt;=تنبيه_وثيقة_90)*(ROW($I$3:$I$502)&lt;=ROW())),"")</f>
        <v/>
      </c>
    </row>
    <row r="125">
      <c r="A125" s="40" t="n"/>
      <c r="B125" s="43">
        <f>IFERROR(INDEX(الموظفون_الاسم,MATCH($A125,الموظفون_الرقم,0)),"")</f>
        <v/>
      </c>
      <c r="C125" s="40" t="n"/>
      <c r="D125" s="40" t="n"/>
      <c r="E125" s="110" t="n"/>
      <c r="F125" s="110" t="n"/>
      <c r="G125" s="40" t="n"/>
      <c r="H125" s="40" t="n"/>
      <c r="I125" s="44">
        <f>IF(OR($A125="",$F125=""),"",$F125-TODAY())</f>
        <v/>
      </c>
      <c r="J125" s="40" t="n"/>
      <c r="K125">
        <f>IF(AND(ISNUMBER($I125),$I125&lt;=تنبيه_وثيقة_90),SUMPRODUCT(ISNUMBER($I$3:$I$502)*($I$3:$I$502&lt;=تنبيه_وثيقة_90)*(ROW($I$3:$I$502)&lt;=ROW())),"")</f>
        <v/>
      </c>
    </row>
    <row r="126">
      <c r="A126" s="47" t="n"/>
      <c r="B126" s="50">
        <f>IFERROR(INDEX(الموظفون_الاسم,MATCH($A126,الموظفون_الرقم,0)),"")</f>
        <v/>
      </c>
      <c r="C126" s="47" t="n"/>
      <c r="D126" s="47" t="n"/>
      <c r="E126" s="112" t="n"/>
      <c r="F126" s="112" t="n"/>
      <c r="G126" s="47" t="n"/>
      <c r="H126" s="47" t="n"/>
      <c r="I126" s="51">
        <f>IF(OR($A126="",$F126=""),"",$F126-TODAY())</f>
        <v/>
      </c>
      <c r="J126" s="47" t="n"/>
      <c r="K126">
        <f>IF(AND(ISNUMBER($I126),$I126&lt;=تنبيه_وثيقة_90),SUMPRODUCT(ISNUMBER($I$3:$I$502)*($I$3:$I$502&lt;=تنبيه_وثيقة_90)*(ROW($I$3:$I$502)&lt;=ROW())),"")</f>
        <v/>
      </c>
    </row>
    <row r="127">
      <c r="A127" s="40" t="n"/>
      <c r="B127" s="43">
        <f>IFERROR(INDEX(الموظفون_الاسم,MATCH($A127,الموظفون_الرقم,0)),"")</f>
        <v/>
      </c>
      <c r="C127" s="40" t="n"/>
      <c r="D127" s="40" t="n"/>
      <c r="E127" s="110" t="n"/>
      <c r="F127" s="110" t="n"/>
      <c r="G127" s="40" t="n"/>
      <c r="H127" s="40" t="n"/>
      <c r="I127" s="44">
        <f>IF(OR($A127="",$F127=""),"",$F127-TODAY())</f>
        <v/>
      </c>
      <c r="J127" s="40" t="n"/>
      <c r="K127">
        <f>IF(AND(ISNUMBER($I127),$I127&lt;=تنبيه_وثيقة_90),SUMPRODUCT(ISNUMBER($I$3:$I$502)*($I$3:$I$502&lt;=تنبيه_وثيقة_90)*(ROW($I$3:$I$502)&lt;=ROW())),"")</f>
        <v/>
      </c>
    </row>
    <row r="128">
      <c r="A128" s="47" t="n"/>
      <c r="B128" s="50">
        <f>IFERROR(INDEX(الموظفون_الاسم,MATCH($A128,الموظفون_الرقم,0)),"")</f>
        <v/>
      </c>
      <c r="C128" s="47" t="n"/>
      <c r="D128" s="47" t="n"/>
      <c r="E128" s="112" t="n"/>
      <c r="F128" s="112" t="n"/>
      <c r="G128" s="47" t="n"/>
      <c r="H128" s="47" t="n"/>
      <c r="I128" s="51">
        <f>IF(OR($A128="",$F128=""),"",$F128-TODAY())</f>
        <v/>
      </c>
      <c r="J128" s="47" t="n"/>
      <c r="K128">
        <f>IF(AND(ISNUMBER($I128),$I128&lt;=تنبيه_وثيقة_90),SUMPRODUCT(ISNUMBER($I$3:$I$502)*($I$3:$I$502&lt;=تنبيه_وثيقة_90)*(ROW($I$3:$I$502)&lt;=ROW())),"")</f>
        <v/>
      </c>
    </row>
    <row r="129">
      <c r="A129" s="40" t="n"/>
      <c r="B129" s="43">
        <f>IFERROR(INDEX(الموظفون_الاسم,MATCH($A129,الموظفون_الرقم,0)),"")</f>
        <v/>
      </c>
      <c r="C129" s="40" t="n"/>
      <c r="D129" s="40" t="n"/>
      <c r="E129" s="110" t="n"/>
      <c r="F129" s="110" t="n"/>
      <c r="G129" s="40" t="n"/>
      <c r="H129" s="40" t="n"/>
      <c r="I129" s="44">
        <f>IF(OR($A129="",$F129=""),"",$F129-TODAY())</f>
        <v/>
      </c>
      <c r="J129" s="40" t="n"/>
      <c r="K129">
        <f>IF(AND(ISNUMBER($I129),$I129&lt;=تنبيه_وثيقة_90),SUMPRODUCT(ISNUMBER($I$3:$I$502)*($I$3:$I$502&lt;=تنبيه_وثيقة_90)*(ROW($I$3:$I$502)&lt;=ROW())),"")</f>
        <v/>
      </c>
    </row>
    <row r="130">
      <c r="A130" s="47" t="n"/>
      <c r="B130" s="50">
        <f>IFERROR(INDEX(الموظفون_الاسم,MATCH($A130,الموظفون_الرقم,0)),"")</f>
        <v/>
      </c>
      <c r="C130" s="47" t="n"/>
      <c r="D130" s="47" t="n"/>
      <c r="E130" s="112" t="n"/>
      <c r="F130" s="112" t="n"/>
      <c r="G130" s="47" t="n"/>
      <c r="H130" s="47" t="n"/>
      <c r="I130" s="51">
        <f>IF(OR($A130="",$F130=""),"",$F130-TODAY())</f>
        <v/>
      </c>
      <c r="J130" s="47" t="n"/>
      <c r="K130">
        <f>IF(AND(ISNUMBER($I130),$I130&lt;=تنبيه_وثيقة_90),SUMPRODUCT(ISNUMBER($I$3:$I$502)*($I$3:$I$502&lt;=تنبيه_وثيقة_90)*(ROW($I$3:$I$502)&lt;=ROW())),"")</f>
        <v/>
      </c>
    </row>
    <row r="131">
      <c r="A131" s="40" t="n"/>
      <c r="B131" s="43">
        <f>IFERROR(INDEX(الموظفون_الاسم,MATCH($A131,الموظفون_الرقم,0)),"")</f>
        <v/>
      </c>
      <c r="C131" s="40" t="n"/>
      <c r="D131" s="40" t="n"/>
      <c r="E131" s="110" t="n"/>
      <c r="F131" s="110" t="n"/>
      <c r="G131" s="40" t="n"/>
      <c r="H131" s="40" t="n"/>
      <c r="I131" s="44">
        <f>IF(OR($A131="",$F131=""),"",$F131-TODAY())</f>
        <v/>
      </c>
      <c r="J131" s="40" t="n"/>
      <c r="K131">
        <f>IF(AND(ISNUMBER($I131),$I131&lt;=تنبيه_وثيقة_90),SUMPRODUCT(ISNUMBER($I$3:$I$502)*($I$3:$I$502&lt;=تنبيه_وثيقة_90)*(ROW($I$3:$I$502)&lt;=ROW())),"")</f>
        <v/>
      </c>
    </row>
    <row r="132">
      <c r="A132" s="47" t="n"/>
      <c r="B132" s="50">
        <f>IFERROR(INDEX(الموظفون_الاسم,MATCH($A132,الموظفون_الرقم,0)),"")</f>
        <v/>
      </c>
      <c r="C132" s="47" t="n"/>
      <c r="D132" s="47" t="n"/>
      <c r="E132" s="112" t="n"/>
      <c r="F132" s="112" t="n"/>
      <c r="G132" s="47" t="n"/>
      <c r="H132" s="47" t="n"/>
      <c r="I132" s="51">
        <f>IF(OR($A132="",$F132=""),"",$F132-TODAY())</f>
        <v/>
      </c>
      <c r="J132" s="47" t="n"/>
      <c r="K132">
        <f>IF(AND(ISNUMBER($I132),$I132&lt;=تنبيه_وثيقة_90),SUMPRODUCT(ISNUMBER($I$3:$I$502)*($I$3:$I$502&lt;=تنبيه_وثيقة_90)*(ROW($I$3:$I$502)&lt;=ROW())),"")</f>
        <v/>
      </c>
    </row>
    <row r="133">
      <c r="A133" s="40" t="n"/>
      <c r="B133" s="43">
        <f>IFERROR(INDEX(الموظفون_الاسم,MATCH($A133,الموظفون_الرقم,0)),"")</f>
        <v/>
      </c>
      <c r="C133" s="40" t="n"/>
      <c r="D133" s="40" t="n"/>
      <c r="E133" s="110" t="n"/>
      <c r="F133" s="110" t="n"/>
      <c r="G133" s="40" t="n"/>
      <c r="H133" s="40" t="n"/>
      <c r="I133" s="44">
        <f>IF(OR($A133="",$F133=""),"",$F133-TODAY())</f>
        <v/>
      </c>
      <c r="J133" s="40" t="n"/>
      <c r="K133">
        <f>IF(AND(ISNUMBER($I133),$I133&lt;=تنبيه_وثيقة_90),SUMPRODUCT(ISNUMBER($I$3:$I$502)*($I$3:$I$502&lt;=تنبيه_وثيقة_90)*(ROW($I$3:$I$502)&lt;=ROW())),"")</f>
        <v/>
      </c>
    </row>
    <row r="134">
      <c r="A134" s="47" t="n"/>
      <c r="B134" s="50">
        <f>IFERROR(INDEX(الموظفون_الاسم,MATCH($A134,الموظفون_الرقم,0)),"")</f>
        <v/>
      </c>
      <c r="C134" s="47" t="n"/>
      <c r="D134" s="47" t="n"/>
      <c r="E134" s="112" t="n"/>
      <c r="F134" s="112" t="n"/>
      <c r="G134" s="47" t="n"/>
      <c r="H134" s="47" t="n"/>
      <c r="I134" s="51">
        <f>IF(OR($A134="",$F134=""),"",$F134-TODAY())</f>
        <v/>
      </c>
      <c r="J134" s="47" t="n"/>
      <c r="K134">
        <f>IF(AND(ISNUMBER($I134),$I134&lt;=تنبيه_وثيقة_90),SUMPRODUCT(ISNUMBER($I$3:$I$502)*($I$3:$I$502&lt;=تنبيه_وثيقة_90)*(ROW($I$3:$I$502)&lt;=ROW())),"")</f>
        <v/>
      </c>
    </row>
    <row r="135">
      <c r="A135" s="40" t="n"/>
      <c r="B135" s="43">
        <f>IFERROR(INDEX(الموظفون_الاسم,MATCH($A135,الموظفون_الرقم,0)),"")</f>
        <v/>
      </c>
      <c r="C135" s="40" t="n"/>
      <c r="D135" s="40" t="n"/>
      <c r="E135" s="110" t="n"/>
      <c r="F135" s="110" t="n"/>
      <c r="G135" s="40" t="n"/>
      <c r="H135" s="40" t="n"/>
      <c r="I135" s="44">
        <f>IF(OR($A135="",$F135=""),"",$F135-TODAY())</f>
        <v/>
      </c>
      <c r="J135" s="40" t="n"/>
      <c r="K135">
        <f>IF(AND(ISNUMBER($I135),$I135&lt;=تنبيه_وثيقة_90),SUMPRODUCT(ISNUMBER($I$3:$I$502)*($I$3:$I$502&lt;=تنبيه_وثيقة_90)*(ROW($I$3:$I$502)&lt;=ROW())),"")</f>
        <v/>
      </c>
    </row>
    <row r="136">
      <c r="A136" s="47" t="n"/>
      <c r="B136" s="50">
        <f>IFERROR(INDEX(الموظفون_الاسم,MATCH($A136,الموظفون_الرقم,0)),"")</f>
        <v/>
      </c>
      <c r="C136" s="47" t="n"/>
      <c r="D136" s="47" t="n"/>
      <c r="E136" s="112" t="n"/>
      <c r="F136" s="112" t="n"/>
      <c r="G136" s="47" t="n"/>
      <c r="H136" s="47" t="n"/>
      <c r="I136" s="51">
        <f>IF(OR($A136="",$F136=""),"",$F136-TODAY())</f>
        <v/>
      </c>
      <c r="J136" s="47" t="n"/>
      <c r="K136">
        <f>IF(AND(ISNUMBER($I136),$I136&lt;=تنبيه_وثيقة_90),SUMPRODUCT(ISNUMBER($I$3:$I$502)*($I$3:$I$502&lt;=تنبيه_وثيقة_90)*(ROW($I$3:$I$502)&lt;=ROW())),"")</f>
        <v/>
      </c>
    </row>
    <row r="137">
      <c r="A137" s="40" t="n"/>
      <c r="B137" s="43">
        <f>IFERROR(INDEX(الموظفون_الاسم,MATCH($A137,الموظفون_الرقم,0)),"")</f>
        <v/>
      </c>
      <c r="C137" s="40" t="n"/>
      <c r="D137" s="40" t="n"/>
      <c r="E137" s="110" t="n"/>
      <c r="F137" s="110" t="n"/>
      <c r="G137" s="40" t="n"/>
      <c r="H137" s="40" t="n"/>
      <c r="I137" s="44">
        <f>IF(OR($A137="",$F137=""),"",$F137-TODAY())</f>
        <v/>
      </c>
      <c r="J137" s="40" t="n"/>
      <c r="K137">
        <f>IF(AND(ISNUMBER($I137),$I137&lt;=تنبيه_وثيقة_90),SUMPRODUCT(ISNUMBER($I$3:$I$502)*($I$3:$I$502&lt;=تنبيه_وثيقة_90)*(ROW($I$3:$I$502)&lt;=ROW())),"")</f>
        <v/>
      </c>
    </row>
    <row r="138">
      <c r="A138" s="47" t="n"/>
      <c r="B138" s="50">
        <f>IFERROR(INDEX(الموظفون_الاسم,MATCH($A138,الموظفون_الرقم,0)),"")</f>
        <v/>
      </c>
      <c r="C138" s="47" t="n"/>
      <c r="D138" s="47" t="n"/>
      <c r="E138" s="112" t="n"/>
      <c r="F138" s="112" t="n"/>
      <c r="G138" s="47" t="n"/>
      <c r="H138" s="47" t="n"/>
      <c r="I138" s="51">
        <f>IF(OR($A138="",$F138=""),"",$F138-TODAY())</f>
        <v/>
      </c>
      <c r="J138" s="47" t="n"/>
      <c r="K138">
        <f>IF(AND(ISNUMBER($I138),$I138&lt;=تنبيه_وثيقة_90),SUMPRODUCT(ISNUMBER($I$3:$I$502)*($I$3:$I$502&lt;=تنبيه_وثيقة_90)*(ROW($I$3:$I$502)&lt;=ROW())),"")</f>
        <v/>
      </c>
    </row>
    <row r="139">
      <c r="A139" s="40" t="n"/>
      <c r="B139" s="43">
        <f>IFERROR(INDEX(الموظفون_الاسم,MATCH($A139,الموظفون_الرقم,0)),"")</f>
        <v/>
      </c>
      <c r="C139" s="40" t="n"/>
      <c r="D139" s="40" t="n"/>
      <c r="E139" s="110" t="n"/>
      <c r="F139" s="110" t="n"/>
      <c r="G139" s="40" t="n"/>
      <c r="H139" s="40" t="n"/>
      <c r="I139" s="44">
        <f>IF(OR($A139="",$F139=""),"",$F139-TODAY())</f>
        <v/>
      </c>
      <c r="J139" s="40" t="n"/>
      <c r="K139">
        <f>IF(AND(ISNUMBER($I139),$I139&lt;=تنبيه_وثيقة_90),SUMPRODUCT(ISNUMBER($I$3:$I$502)*($I$3:$I$502&lt;=تنبيه_وثيقة_90)*(ROW($I$3:$I$502)&lt;=ROW())),"")</f>
        <v/>
      </c>
    </row>
    <row r="140">
      <c r="A140" s="47" t="n"/>
      <c r="B140" s="50">
        <f>IFERROR(INDEX(الموظفون_الاسم,MATCH($A140,الموظفون_الرقم,0)),"")</f>
        <v/>
      </c>
      <c r="C140" s="47" t="n"/>
      <c r="D140" s="47" t="n"/>
      <c r="E140" s="112" t="n"/>
      <c r="F140" s="112" t="n"/>
      <c r="G140" s="47" t="n"/>
      <c r="H140" s="47" t="n"/>
      <c r="I140" s="51">
        <f>IF(OR($A140="",$F140=""),"",$F140-TODAY())</f>
        <v/>
      </c>
      <c r="J140" s="47" t="n"/>
      <c r="K140">
        <f>IF(AND(ISNUMBER($I140),$I140&lt;=تنبيه_وثيقة_90),SUMPRODUCT(ISNUMBER($I$3:$I$502)*($I$3:$I$502&lt;=تنبيه_وثيقة_90)*(ROW($I$3:$I$502)&lt;=ROW())),"")</f>
        <v/>
      </c>
    </row>
    <row r="141">
      <c r="A141" s="40" t="n"/>
      <c r="B141" s="43">
        <f>IFERROR(INDEX(الموظفون_الاسم,MATCH($A141,الموظفون_الرقم,0)),"")</f>
        <v/>
      </c>
      <c r="C141" s="40" t="n"/>
      <c r="D141" s="40" t="n"/>
      <c r="E141" s="110" t="n"/>
      <c r="F141" s="110" t="n"/>
      <c r="G141" s="40" t="n"/>
      <c r="H141" s="40" t="n"/>
      <c r="I141" s="44">
        <f>IF(OR($A141="",$F141=""),"",$F141-TODAY())</f>
        <v/>
      </c>
      <c r="J141" s="40" t="n"/>
      <c r="K141">
        <f>IF(AND(ISNUMBER($I141),$I141&lt;=تنبيه_وثيقة_90),SUMPRODUCT(ISNUMBER($I$3:$I$502)*($I$3:$I$502&lt;=تنبيه_وثيقة_90)*(ROW($I$3:$I$502)&lt;=ROW())),"")</f>
        <v/>
      </c>
    </row>
    <row r="142">
      <c r="A142" s="47" t="n"/>
      <c r="B142" s="50">
        <f>IFERROR(INDEX(الموظفون_الاسم,MATCH($A142,الموظفون_الرقم,0)),"")</f>
        <v/>
      </c>
      <c r="C142" s="47" t="n"/>
      <c r="D142" s="47" t="n"/>
      <c r="E142" s="112" t="n"/>
      <c r="F142" s="112" t="n"/>
      <c r="G142" s="47" t="n"/>
      <c r="H142" s="47" t="n"/>
      <c r="I142" s="51">
        <f>IF(OR($A142="",$F142=""),"",$F142-TODAY())</f>
        <v/>
      </c>
      <c r="J142" s="47" t="n"/>
      <c r="K142">
        <f>IF(AND(ISNUMBER($I142),$I142&lt;=تنبيه_وثيقة_90),SUMPRODUCT(ISNUMBER($I$3:$I$502)*($I$3:$I$502&lt;=تنبيه_وثيقة_90)*(ROW($I$3:$I$502)&lt;=ROW())),"")</f>
        <v/>
      </c>
    </row>
    <row r="143">
      <c r="A143" s="40" t="n"/>
      <c r="B143" s="43">
        <f>IFERROR(INDEX(الموظفون_الاسم,MATCH($A143,الموظفون_الرقم,0)),"")</f>
        <v/>
      </c>
      <c r="C143" s="40" t="n"/>
      <c r="D143" s="40" t="n"/>
      <c r="E143" s="110" t="n"/>
      <c r="F143" s="110" t="n"/>
      <c r="G143" s="40" t="n"/>
      <c r="H143" s="40" t="n"/>
      <c r="I143" s="44">
        <f>IF(OR($A143="",$F143=""),"",$F143-TODAY())</f>
        <v/>
      </c>
      <c r="J143" s="40" t="n"/>
      <c r="K143">
        <f>IF(AND(ISNUMBER($I143),$I143&lt;=تنبيه_وثيقة_90),SUMPRODUCT(ISNUMBER($I$3:$I$502)*($I$3:$I$502&lt;=تنبيه_وثيقة_90)*(ROW($I$3:$I$502)&lt;=ROW())),"")</f>
        <v/>
      </c>
    </row>
    <row r="144">
      <c r="A144" s="47" t="n"/>
      <c r="B144" s="50">
        <f>IFERROR(INDEX(الموظفون_الاسم,MATCH($A144,الموظفون_الرقم,0)),"")</f>
        <v/>
      </c>
      <c r="C144" s="47" t="n"/>
      <c r="D144" s="47" t="n"/>
      <c r="E144" s="112" t="n"/>
      <c r="F144" s="112" t="n"/>
      <c r="G144" s="47" t="n"/>
      <c r="H144" s="47" t="n"/>
      <c r="I144" s="51">
        <f>IF(OR($A144="",$F144=""),"",$F144-TODAY())</f>
        <v/>
      </c>
      <c r="J144" s="47" t="n"/>
      <c r="K144">
        <f>IF(AND(ISNUMBER($I144),$I144&lt;=تنبيه_وثيقة_90),SUMPRODUCT(ISNUMBER($I$3:$I$502)*($I$3:$I$502&lt;=تنبيه_وثيقة_90)*(ROW($I$3:$I$502)&lt;=ROW())),"")</f>
        <v/>
      </c>
    </row>
    <row r="145">
      <c r="A145" s="40" t="n"/>
      <c r="B145" s="43">
        <f>IFERROR(INDEX(الموظفون_الاسم,MATCH($A145,الموظفون_الرقم,0)),"")</f>
        <v/>
      </c>
      <c r="C145" s="40" t="n"/>
      <c r="D145" s="40" t="n"/>
      <c r="E145" s="110" t="n"/>
      <c r="F145" s="110" t="n"/>
      <c r="G145" s="40" t="n"/>
      <c r="H145" s="40" t="n"/>
      <c r="I145" s="44">
        <f>IF(OR($A145="",$F145=""),"",$F145-TODAY())</f>
        <v/>
      </c>
      <c r="J145" s="40" t="n"/>
      <c r="K145">
        <f>IF(AND(ISNUMBER($I145),$I145&lt;=تنبيه_وثيقة_90),SUMPRODUCT(ISNUMBER($I$3:$I$502)*($I$3:$I$502&lt;=تنبيه_وثيقة_90)*(ROW($I$3:$I$502)&lt;=ROW())),"")</f>
        <v/>
      </c>
    </row>
    <row r="146">
      <c r="A146" s="47" t="n"/>
      <c r="B146" s="50">
        <f>IFERROR(INDEX(الموظفون_الاسم,MATCH($A146,الموظفون_الرقم,0)),"")</f>
        <v/>
      </c>
      <c r="C146" s="47" t="n"/>
      <c r="D146" s="47" t="n"/>
      <c r="E146" s="112" t="n"/>
      <c r="F146" s="112" t="n"/>
      <c r="G146" s="47" t="n"/>
      <c r="H146" s="47" t="n"/>
      <c r="I146" s="51">
        <f>IF(OR($A146="",$F146=""),"",$F146-TODAY())</f>
        <v/>
      </c>
      <c r="J146" s="47" t="n"/>
      <c r="K146">
        <f>IF(AND(ISNUMBER($I146),$I146&lt;=تنبيه_وثيقة_90),SUMPRODUCT(ISNUMBER($I$3:$I$502)*($I$3:$I$502&lt;=تنبيه_وثيقة_90)*(ROW($I$3:$I$502)&lt;=ROW())),"")</f>
        <v/>
      </c>
    </row>
    <row r="147">
      <c r="A147" s="40" t="n"/>
      <c r="B147" s="43">
        <f>IFERROR(INDEX(الموظفون_الاسم,MATCH($A147,الموظفون_الرقم,0)),"")</f>
        <v/>
      </c>
      <c r="C147" s="40" t="n"/>
      <c r="D147" s="40" t="n"/>
      <c r="E147" s="110" t="n"/>
      <c r="F147" s="110" t="n"/>
      <c r="G147" s="40" t="n"/>
      <c r="H147" s="40" t="n"/>
      <c r="I147" s="44">
        <f>IF(OR($A147="",$F147=""),"",$F147-TODAY())</f>
        <v/>
      </c>
      <c r="J147" s="40" t="n"/>
      <c r="K147">
        <f>IF(AND(ISNUMBER($I147),$I147&lt;=تنبيه_وثيقة_90),SUMPRODUCT(ISNUMBER($I$3:$I$502)*($I$3:$I$502&lt;=تنبيه_وثيقة_90)*(ROW($I$3:$I$502)&lt;=ROW())),"")</f>
        <v/>
      </c>
    </row>
    <row r="148">
      <c r="A148" s="47" t="n"/>
      <c r="B148" s="50">
        <f>IFERROR(INDEX(الموظفون_الاسم,MATCH($A148,الموظفون_الرقم,0)),"")</f>
        <v/>
      </c>
      <c r="C148" s="47" t="n"/>
      <c r="D148" s="47" t="n"/>
      <c r="E148" s="112" t="n"/>
      <c r="F148" s="112" t="n"/>
      <c r="G148" s="47" t="n"/>
      <c r="H148" s="47" t="n"/>
      <c r="I148" s="51">
        <f>IF(OR($A148="",$F148=""),"",$F148-TODAY())</f>
        <v/>
      </c>
      <c r="J148" s="47" t="n"/>
      <c r="K148">
        <f>IF(AND(ISNUMBER($I148),$I148&lt;=تنبيه_وثيقة_90),SUMPRODUCT(ISNUMBER($I$3:$I$502)*($I$3:$I$502&lt;=تنبيه_وثيقة_90)*(ROW($I$3:$I$502)&lt;=ROW())),"")</f>
        <v/>
      </c>
    </row>
    <row r="149">
      <c r="A149" s="40" t="n"/>
      <c r="B149" s="43">
        <f>IFERROR(INDEX(الموظفون_الاسم,MATCH($A149,الموظفون_الرقم,0)),"")</f>
        <v/>
      </c>
      <c r="C149" s="40" t="n"/>
      <c r="D149" s="40" t="n"/>
      <c r="E149" s="110" t="n"/>
      <c r="F149" s="110" t="n"/>
      <c r="G149" s="40" t="n"/>
      <c r="H149" s="40" t="n"/>
      <c r="I149" s="44">
        <f>IF(OR($A149="",$F149=""),"",$F149-TODAY())</f>
        <v/>
      </c>
      <c r="J149" s="40" t="n"/>
      <c r="K149">
        <f>IF(AND(ISNUMBER($I149),$I149&lt;=تنبيه_وثيقة_90),SUMPRODUCT(ISNUMBER($I$3:$I$502)*($I$3:$I$502&lt;=تنبيه_وثيقة_90)*(ROW($I$3:$I$502)&lt;=ROW())),"")</f>
        <v/>
      </c>
    </row>
    <row r="150">
      <c r="A150" s="47" t="n"/>
      <c r="B150" s="50">
        <f>IFERROR(INDEX(الموظفون_الاسم,MATCH($A150,الموظفون_الرقم,0)),"")</f>
        <v/>
      </c>
      <c r="C150" s="47" t="n"/>
      <c r="D150" s="47" t="n"/>
      <c r="E150" s="112" t="n"/>
      <c r="F150" s="112" t="n"/>
      <c r="G150" s="47" t="n"/>
      <c r="H150" s="47" t="n"/>
      <c r="I150" s="51">
        <f>IF(OR($A150="",$F150=""),"",$F150-TODAY())</f>
        <v/>
      </c>
      <c r="J150" s="47" t="n"/>
      <c r="K150">
        <f>IF(AND(ISNUMBER($I150),$I150&lt;=تنبيه_وثيقة_90),SUMPRODUCT(ISNUMBER($I$3:$I$502)*($I$3:$I$502&lt;=تنبيه_وثيقة_90)*(ROW($I$3:$I$502)&lt;=ROW())),"")</f>
        <v/>
      </c>
    </row>
    <row r="151">
      <c r="A151" s="40" t="n"/>
      <c r="B151" s="43">
        <f>IFERROR(INDEX(الموظفون_الاسم,MATCH($A151,الموظفون_الرقم,0)),"")</f>
        <v/>
      </c>
      <c r="C151" s="40" t="n"/>
      <c r="D151" s="40" t="n"/>
      <c r="E151" s="110" t="n"/>
      <c r="F151" s="110" t="n"/>
      <c r="G151" s="40" t="n"/>
      <c r="H151" s="40" t="n"/>
      <c r="I151" s="44">
        <f>IF(OR($A151="",$F151=""),"",$F151-TODAY())</f>
        <v/>
      </c>
      <c r="J151" s="40" t="n"/>
      <c r="K151">
        <f>IF(AND(ISNUMBER($I151),$I151&lt;=تنبيه_وثيقة_90),SUMPRODUCT(ISNUMBER($I$3:$I$502)*($I$3:$I$502&lt;=تنبيه_وثيقة_90)*(ROW($I$3:$I$502)&lt;=ROW())),"")</f>
        <v/>
      </c>
    </row>
    <row r="152">
      <c r="A152" s="47" t="n"/>
      <c r="B152" s="50">
        <f>IFERROR(INDEX(الموظفون_الاسم,MATCH($A152,الموظفون_الرقم,0)),"")</f>
        <v/>
      </c>
      <c r="C152" s="47" t="n"/>
      <c r="D152" s="47" t="n"/>
      <c r="E152" s="112" t="n"/>
      <c r="F152" s="112" t="n"/>
      <c r="G152" s="47" t="n"/>
      <c r="H152" s="47" t="n"/>
      <c r="I152" s="51">
        <f>IF(OR($A152="",$F152=""),"",$F152-TODAY())</f>
        <v/>
      </c>
      <c r="J152" s="47" t="n"/>
      <c r="K152">
        <f>IF(AND(ISNUMBER($I152),$I152&lt;=تنبيه_وثيقة_90),SUMPRODUCT(ISNUMBER($I$3:$I$502)*($I$3:$I$502&lt;=تنبيه_وثيقة_90)*(ROW($I$3:$I$502)&lt;=ROW())),"")</f>
        <v/>
      </c>
    </row>
    <row r="153">
      <c r="A153" s="40" t="n"/>
      <c r="B153" s="43">
        <f>IFERROR(INDEX(الموظفون_الاسم,MATCH($A153,الموظفون_الرقم,0)),"")</f>
        <v/>
      </c>
      <c r="C153" s="40" t="n"/>
      <c r="D153" s="40" t="n"/>
      <c r="E153" s="110" t="n"/>
      <c r="F153" s="110" t="n"/>
      <c r="G153" s="40" t="n"/>
      <c r="H153" s="40" t="n"/>
      <c r="I153" s="44">
        <f>IF(OR($A153="",$F153=""),"",$F153-TODAY())</f>
        <v/>
      </c>
      <c r="J153" s="40" t="n"/>
      <c r="K153">
        <f>IF(AND(ISNUMBER($I153),$I153&lt;=تنبيه_وثيقة_90),SUMPRODUCT(ISNUMBER($I$3:$I$502)*($I$3:$I$502&lt;=تنبيه_وثيقة_90)*(ROW($I$3:$I$502)&lt;=ROW())),"")</f>
        <v/>
      </c>
    </row>
    <row r="154">
      <c r="A154" s="47" t="n"/>
      <c r="B154" s="50">
        <f>IFERROR(INDEX(الموظفون_الاسم,MATCH($A154,الموظفون_الرقم,0)),"")</f>
        <v/>
      </c>
      <c r="C154" s="47" t="n"/>
      <c r="D154" s="47" t="n"/>
      <c r="E154" s="112" t="n"/>
      <c r="F154" s="112" t="n"/>
      <c r="G154" s="47" t="n"/>
      <c r="H154" s="47" t="n"/>
      <c r="I154" s="51">
        <f>IF(OR($A154="",$F154=""),"",$F154-TODAY())</f>
        <v/>
      </c>
      <c r="J154" s="47" t="n"/>
      <c r="K154">
        <f>IF(AND(ISNUMBER($I154),$I154&lt;=تنبيه_وثيقة_90),SUMPRODUCT(ISNUMBER($I$3:$I$502)*($I$3:$I$502&lt;=تنبيه_وثيقة_90)*(ROW($I$3:$I$502)&lt;=ROW())),"")</f>
        <v/>
      </c>
    </row>
    <row r="155">
      <c r="A155" s="40" t="n"/>
      <c r="B155" s="43">
        <f>IFERROR(INDEX(الموظفون_الاسم,MATCH($A155,الموظفون_الرقم,0)),"")</f>
        <v/>
      </c>
      <c r="C155" s="40" t="n"/>
      <c r="D155" s="40" t="n"/>
      <c r="E155" s="110" t="n"/>
      <c r="F155" s="110" t="n"/>
      <c r="G155" s="40" t="n"/>
      <c r="H155" s="40" t="n"/>
      <c r="I155" s="44">
        <f>IF(OR($A155="",$F155=""),"",$F155-TODAY())</f>
        <v/>
      </c>
      <c r="J155" s="40" t="n"/>
      <c r="K155">
        <f>IF(AND(ISNUMBER($I155),$I155&lt;=تنبيه_وثيقة_90),SUMPRODUCT(ISNUMBER($I$3:$I$502)*($I$3:$I$502&lt;=تنبيه_وثيقة_90)*(ROW($I$3:$I$502)&lt;=ROW())),"")</f>
        <v/>
      </c>
    </row>
    <row r="156">
      <c r="A156" s="47" t="n"/>
      <c r="B156" s="50">
        <f>IFERROR(INDEX(الموظفون_الاسم,MATCH($A156,الموظفون_الرقم,0)),"")</f>
        <v/>
      </c>
      <c r="C156" s="47" t="n"/>
      <c r="D156" s="47" t="n"/>
      <c r="E156" s="112" t="n"/>
      <c r="F156" s="112" t="n"/>
      <c r="G156" s="47" t="n"/>
      <c r="H156" s="47" t="n"/>
      <c r="I156" s="51">
        <f>IF(OR($A156="",$F156=""),"",$F156-TODAY())</f>
        <v/>
      </c>
      <c r="J156" s="47" t="n"/>
      <c r="K156">
        <f>IF(AND(ISNUMBER($I156),$I156&lt;=تنبيه_وثيقة_90),SUMPRODUCT(ISNUMBER($I$3:$I$502)*($I$3:$I$502&lt;=تنبيه_وثيقة_90)*(ROW($I$3:$I$502)&lt;=ROW())),"")</f>
        <v/>
      </c>
    </row>
    <row r="157">
      <c r="A157" s="40" t="n"/>
      <c r="B157" s="43">
        <f>IFERROR(INDEX(الموظفون_الاسم,MATCH($A157,الموظفون_الرقم,0)),"")</f>
        <v/>
      </c>
      <c r="C157" s="40" t="n"/>
      <c r="D157" s="40" t="n"/>
      <c r="E157" s="110" t="n"/>
      <c r="F157" s="110" t="n"/>
      <c r="G157" s="40" t="n"/>
      <c r="H157" s="40" t="n"/>
      <c r="I157" s="44">
        <f>IF(OR($A157="",$F157=""),"",$F157-TODAY())</f>
        <v/>
      </c>
      <c r="J157" s="40" t="n"/>
      <c r="K157">
        <f>IF(AND(ISNUMBER($I157),$I157&lt;=تنبيه_وثيقة_90),SUMPRODUCT(ISNUMBER($I$3:$I$502)*($I$3:$I$502&lt;=تنبيه_وثيقة_90)*(ROW($I$3:$I$502)&lt;=ROW())),"")</f>
        <v/>
      </c>
    </row>
    <row r="158">
      <c r="A158" s="47" t="n"/>
      <c r="B158" s="50">
        <f>IFERROR(INDEX(الموظفون_الاسم,MATCH($A158,الموظفون_الرقم,0)),"")</f>
        <v/>
      </c>
      <c r="C158" s="47" t="n"/>
      <c r="D158" s="47" t="n"/>
      <c r="E158" s="112" t="n"/>
      <c r="F158" s="112" t="n"/>
      <c r="G158" s="47" t="n"/>
      <c r="H158" s="47" t="n"/>
      <c r="I158" s="51">
        <f>IF(OR($A158="",$F158=""),"",$F158-TODAY())</f>
        <v/>
      </c>
      <c r="J158" s="47" t="n"/>
      <c r="K158">
        <f>IF(AND(ISNUMBER($I158),$I158&lt;=تنبيه_وثيقة_90),SUMPRODUCT(ISNUMBER($I$3:$I$502)*($I$3:$I$502&lt;=تنبيه_وثيقة_90)*(ROW($I$3:$I$502)&lt;=ROW())),"")</f>
        <v/>
      </c>
    </row>
    <row r="159">
      <c r="A159" s="40" t="n"/>
      <c r="B159" s="43">
        <f>IFERROR(INDEX(الموظفون_الاسم,MATCH($A159,الموظفون_الرقم,0)),"")</f>
        <v/>
      </c>
      <c r="C159" s="40" t="n"/>
      <c r="D159" s="40" t="n"/>
      <c r="E159" s="110" t="n"/>
      <c r="F159" s="110" t="n"/>
      <c r="G159" s="40" t="n"/>
      <c r="H159" s="40" t="n"/>
      <c r="I159" s="44">
        <f>IF(OR($A159="",$F159=""),"",$F159-TODAY())</f>
        <v/>
      </c>
      <c r="J159" s="40" t="n"/>
      <c r="K159">
        <f>IF(AND(ISNUMBER($I159),$I159&lt;=تنبيه_وثيقة_90),SUMPRODUCT(ISNUMBER($I$3:$I$502)*($I$3:$I$502&lt;=تنبيه_وثيقة_90)*(ROW($I$3:$I$502)&lt;=ROW())),"")</f>
        <v/>
      </c>
    </row>
    <row r="160">
      <c r="A160" s="47" t="n"/>
      <c r="B160" s="50">
        <f>IFERROR(INDEX(الموظفون_الاسم,MATCH($A160,الموظفون_الرقم,0)),"")</f>
        <v/>
      </c>
      <c r="C160" s="47" t="n"/>
      <c r="D160" s="47" t="n"/>
      <c r="E160" s="112" t="n"/>
      <c r="F160" s="112" t="n"/>
      <c r="G160" s="47" t="n"/>
      <c r="H160" s="47" t="n"/>
      <c r="I160" s="51">
        <f>IF(OR($A160="",$F160=""),"",$F160-TODAY())</f>
        <v/>
      </c>
      <c r="J160" s="47" t="n"/>
      <c r="K160">
        <f>IF(AND(ISNUMBER($I160),$I160&lt;=تنبيه_وثيقة_90),SUMPRODUCT(ISNUMBER($I$3:$I$502)*($I$3:$I$502&lt;=تنبيه_وثيقة_90)*(ROW($I$3:$I$502)&lt;=ROW())),"")</f>
        <v/>
      </c>
    </row>
    <row r="161">
      <c r="A161" s="40" t="n"/>
      <c r="B161" s="43">
        <f>IFERROR(INDEX(الموظفون_الاسم,MATCH($A161,الموظفون_الرقم,0)),"")</f>
        <v/>
      </c>
      <c r="C161" s="40" t="n"/>
      <c r="D161" s="40" t="n"/>
      <c r="E161" s="110" t="n"/>
      <c r="F161" s="110" t="n"/>
      <c r="G161" s="40" t="n"/>
      <c r="H161" s="40" t="n"/>
      <c r="I161" s="44">
        <f>IF(OR($A161="",$F161=""),"",$F161-TODAY())</f>
        <v/>
      </c>
      <c r="J161" s="40" t="n"/>
      <c r="K161">
        <f>IF(AND(ISNUMBER($I161),$I161&lt;=تنبيه_وثيقة_90),SUMPRODUCT(ISNUMBER($I$3:$I$502)*($I$3:$I$502&lt;=تنبيه_وثيقة_90)*(ROW($I$3:$I$502)&lt;=ROW())),"")</f>
        <v/>
      </c>
    </row>
    <row r="162">
      <c r="A162" s="47" t="n"/>
      <c r="B162" s="50">
        <f>IFERROR(INDEX(الموظفون_الاسم,MATCH($A162,الموظفون_الرقم,0)),"")</f>
        <v/>
      </c>
      <c r="C162" s="47" t="n"/>
      <c r="D162" s="47" t="n"/>
      <c r="E162" s="112" t="n"/>
      <c r="F162" s="112" t="n"/>
      <c r="G162" s="47" t="n"/>
      <c r="H162" s="47" t="n"/>
      <c r="I162" s="51">
        <f>IF(OR($A162="",$F162=""),"",$F162-TODAY())</f>
        <v/>
      </c>
      <c r="J162" s="47" t="n"/>
      <c r="K162">
        <f>IF(AND(ISNUMBER($I162),$I162&lt;=تنبيه_وثيقة_90),SUMPRODUCT(ISNUMBER($I$3:$I$502)*($I$3:$I$502&lt;=تنبيه_وثيقة_90)*(ROW($I$3:$I$502)&lt;=ROW())),"")</f>
        <v/>
      </c>
    </row>
    <row r="163">
      <c r="A163" s="40" t="n"/>
      <c r="B163" s="43">
        <f>IFERROR(INDEX(الموظفون_الاسم,MATCH($A163,الموظفون_الرقم,0)),"")</f>
        <v/>
      </c>
      <c r="C163" s="40" t="n"/>
      <c r="D163" s="40" t="n"/>
      <c r="E163" s="110" t="n"/>
      <c r="F163" s="110" t="n"/>
      <c r="G163" s="40" t="n"/>
      <c r="H163" s="40" t="n"/>
      <c r="I163" s="44">
        <f>IF(OR($A163="",$F163=""),"",$F163-TODAY())</f>
        <v/>
      </c>
      <c r="J163" s="40" t="n"/>
      <c r="K163">
        <f>IF(AND(ISNUMBER($I163),$I163&lt;=تنبيه_وثيقة_90),SUMPRODUCT(ISNUMBER($I$3:$I$502)*($I$3:$I$502&lt;=تنبيه_وثيقة_90)*(ROW($I$3:$I$502)&lt;=ROW())),"")</f>
        <v/>
      </c>
    </row>
    <row r="164">
      <c r="A164" s="47" t="n"/>
      <c r="B164" s="50">
        <f>IFERROR(INDEX(الموظفون_الاسم,MATCH($A164,الموظفون_الرقم,0)),"")</f>
        <v/>
      </c>
      <c r="C164" s="47" t="n"/>
      <c r="D164" s="47" t="n"/>
      <c r="E164" s="112" t="n"/>
      <c r="F164" s="112" t="n"/>
      <c r="G164" s="47" t="n"/>
      <c r="H164" s="47" t="n"/>
      <c r="I164" s="51">
        <f>IF(OR($A164="",$F164=""),"",$F164-TODAY())</f>
        <v/>
      </c>
      <c r="J164" s="47" t="n"/>
      <c r="K164">
        <f>IF(AND(ISNUMBER($I164),$I164&lt;=تنبيه_وثيقة_90),SUMPRODUCT(ISNUMBER($I$3:$I$502)*($I$3:$I$502&lt;=تنبيه_وثيقة_90)*(ROW($I$3:$I$502)&lt;=ROW())),"")</f>
        <v/>
      </c>
    </row>
    <row r="165">
      <c r="A165" s="40" t="n"/>
      <c r="B165" s="43">
        <f>IFERROR(INDEX(الموظفون_الاسم,MATCH($A165,الموظفون_الرقم,0)),"")</f>
        <v/>
      </c>
      <c r="C165" s="40" t="n"/>
      <c r="D165" s="40" t="n"/>
      <c r="E165" s="110" t="n"/>
      <c r="F165" s="110" t="n"/>
      <c r="G165" s="40" t="n"/>
      <c r="H165" s="40" t="n"/>
      <c r="I165" s="44">
        <f>IF(OR($A165="",$F165=""),"",$F165-TODAY())</f>
        <v/>
      </c>
      <c r="J165" s="40" t="n"/>
      <c r="K165">
        <f>IF(AND(ISNUMBER($I165),$I165&lt;=تنبيه_وثيقة_90),SUMPRODUCT(ISNUMBER($I$3:$I$502)*($I$3:$I$502&lt;=تنبيه_وثيقة_90)*(ROW($I$3:$I$502)&lt;=ROW())),"")</f>
        <v/>
      </c>
    </row>
    <row r="166">
      <c r="A166" s="47" t="n"/>
      <c r="B166" s="50">
        <f>IFERROR(INDEX(الموظفون_الاسم,MATCH($A166,الموظفون_الرقم,0)),"")</f>
        <v/>
      </c>
      <c r="C166" s="47" t="n"/>
      <c r="D166" s="47" t="n"/>
      <c r="E166" s="112" t="n"/>
      <c r="F166" s="112" t="n"/>
      <c r="G166" s="47" t="n"/>
      <c r="H166" s="47" t="n"/>
      <c r="I166" s="51">
        <f>IF(OR($A166="",$F166=""),"",$F166-TODAY())</f>
        <v/>
      </c>
      <c r="J166" s="47" t="n"/>
      <c r="K166">
        <f>IF(AND(ISNUMBER($I166),$I166&lt;=تنبيه_وثيقة_90),SUMPRODUCT(ISNUMBER($I$3:$I$502)*($I$3:$I$502&lt;=تنبيه_وثيقة_90)*(ROW($I$3:$I$502)&lt;=ROW())),"")</f>
        <v/>
      </c>
    </row>
    <row r="167">
      <c r="A167" s="40" t="n"/>
      <c r="B167" s="43">
        <f>IFERROR(INDEX(الموظفون_الاسم,MATCH($A167,الموظفون_الرقم,0)),"")</f>
        <v/>
      </c>
      <c r="C167" s="40" t="n"/>
      <c r="D167" s="40" t="n"/>
      <c r="E167" s="110" t="n"/>
      <c r="F167" s="110" t="n"/>
      <c r="G167" s="40" t="n"/>
      <c r="H167" s="40" t="n"/>
      <c r="I167" s="44">
        <f>IF(OR($A167="",$F167=""),"",$F167-TODAY())</f>
        <v/>
      </c>
      <c r="J167" s="40" t="n"/>
      <c r="K167">
        <f>IF(AND(ISNUMBER($I167),$I167&lt;=تنبيه_وثيقة_90),SUMPRODUCT(ISNUMBER($I$3:$I$502)*($I$3:$I$502&lt;=تنبيه_وثيقة_90)*(ROW($I$3:$I$502)&lt;=ROW())),"")</f>
        <v/>
      </c>
    </row>
    <row r="168">
      <c r="A168" s="47" t="n"/>
      <c r="B168" s="50">
        <f>IFERROR(INDEX(الموظفون_الاسم,MATCH($A168,الموظفون_الرقم,0)),"")</f>
        <v/>
      </c>
      <c r="C168" s="47" t="n"/>
      <c r="D168" s="47" t="n"/>
      <c r="E168" s="112" t="n"/>
      <c r="F168" s="112" t="n"/>
      <c r="G168" s="47" t="n"/>
      <c r="H168" s="47" t="n"/>
      <c r="I168" s="51">
        <f>IF(OR($A168="",$F168=""),"",$F168-TODAY())</f>
        <v/>
      </c>
      <c r="J168" s="47" t="n"/>
      <c r="K168">
        <f>IF(AND(ISNUMBER($I168),$I168&lt;=تنبيه_وثيقة_90),SUMPRODUCT(ISNUMBER($I$3:$I$502)*($I$3:$I$502&lt;=تنبيه_وثيقة_90)*(ROW($I$3:$I$502)&lt;=ROW())),"")</f>
        <v/>
      </c>
    </row>
    <row r="169">
      <c r="A169" s="40" t="n"/>
      <c r="B169" s="43">
        <f>IFERROR(INDEX(الموظفون_الاسم,MATCH($A169,الموظفون_الرقم,0)),"")</f>
        <v/>
      </c>
      <c r="C169" s="40" t="n"/>
      <c r="D169" s="40" t="n"/>
      <c r="E169" s="110" t="n"/>
      <c r="F169" s="110" t="n"/>
      <c r="G169" s="40" t="n"/>
      <c r="H169" s="40" t="n"/>
      <c r="I169" s="44">
        <f>IF(OR($A169="",$F169=""),"",$F169-TODAY())</f>
        <v/>
      </c>
      <c r="J169" s="40" t="n"/>
      <c r="K169">
        <f>IF(AND(ISNUMBER($I169),$I169&lt;=تنبيه_وثيقة_90),SUMPRODUCT(ISNUMBER($I$3:$I$502)*($I$3:$I$502&lt;=تنبيه_وثيقة_90)*(ROW($I$3:$I$502)&lt;=ROW())),"")</f>
        <v/>
      </c>
    </row>
    <row r="170">
      <c r="A170" s="47" t="n"/>
      <c r="B170" s="50">
        <f>IFERROR(INDEX(الموظفون_الاسم,MATCH($A170,الموظفون_الرقم,0)),"")</f>
        <v/>
      </c>
      <c r="C170" s="47" t="n"/>
      <c r="D170" s="47" t="n"/>
      <c r="E170" s="112" t="n"/>
      <c r="F170" s="112" t="n"/>
      <c r="G170" s="47" t="n"/>
      <c r="H170" s="47" t="n"/>
      <c r="I170" s="51">
        <f>IF(OR($A170="",$F170=""),"",$F170-TODAY())</f>
        <v/>
      </c>
      <c r="J170" s="47" t="n"/>
      <c r="K170">
        <f>IF(AND(ISNUMBER($I170),$I170&lt;=تنبيه_وثيقة_90),SUMPRODUCT(ISNUMBER($I$3:$I$502)*($I$3:$I$502&lt;=تنبيه_وثيقة_90)*(ROW($I$3:$I$502)&lt;=ROW())),"")</f>
        <v/>
      </c>
    </row>
    <row r="171">
      <c r="A171" s="40" t="n"/>
      <c r="B171" s="43">
        <f>IFERROR(INDEX(الموظفون_الاسم,MATCH($A171,الموظفون_الرقم,0)),"")</f>
        <v/>
      </c>
      <c r="C171" s="40" t="n"/>
      <c r="D171" s="40" t="n"/>
      <c r="E171" s="110" t="n"/>
      <c r="F171" s="110" t="n"/>
      <c r="G171" s="40" t="n"/>
      <c r="H171" s="40" t="n"/>
      <c r="I171" s="44">
        <f>IF(OR($A171="",$F171=""),"",$F171-TODAY())</f>
        <v/>
      </c>
      <c r="J171" s="40" t="n"/>
      <c r="K171">
        <f>IF(AND(ISNUMBER($I171),$I171&lt;=تنبيه_وثيقة_90),SUMPRODUCT(ISNUMBER($I$3:$I$502)*($I$3:$I$502&lt;=تنبيه_وثيقة_90)*(ROW($I$3:$I$502)&lt;=ROW())),"")</f>
        <v/>
      </c>
    </row>
    <row r="172">
      <c r="A172" s="47" t="n"/>
      <c r="B172" s="50">
        <f>IFERROR(INDEX(الموظفون_الاسم,MATCH($A172,الموظفون_الرقم,0)),"")</f>
        <v/>
      </c>
      <c r="C172" s="47" t="n"/>
      <c r="D172" s="47" t="n"/>
      <c r="E172" s="112" t="n"/>
      <c r="F172" s="112" t="n"/>
      <c r="G172" s="47" t="n"/>
      <c r="H172" s="47" t="n"/>
      <c r="I172" s="51">
        <f>IF(OR($A172="",$F172=""),"",$F172-TODAY())</f>
        <v/>
      </c>
      <c r="J172" s="47" t="n"/>
      <c r="K172">
        <f>IF(AND(ISNUMBER($I172),$I172&lt;=تنبيه_وثيقة_90),SUMPRODUCT(ISNUMBER($I$3:$I$502)*($I$3:$I$502&lt;=تنبيه_وثيقة_90)*(ROW($I$3:$I$502)&lt;=ROW())),"")</f>
        <v/>
      </c>
    </row>
    <row r="173">
      <c r="A173" s="40" t="n"/>
      <c r="B173" s="43">
        <f>IFERROR(INDEX(الموظفون_الاسم,MATCH($A173,الموظفون_الرقم,0)),"")</f>
        <v/>
      </c>
      <c r="C173" s="40" t="n"/>
      <c r="D173" s="40" t="n"/>
      <c r="E173" s="110" t="n"/>
      <c r="F173" s="110" t="n"/>
      <c r="G173" s="40" t="n"/>
      <c r="H173" s="40" t="n"/>
      <c r="I173" s="44">
        <f>IF(OR($A173="",$F173=""),"",$F173-TODAY())</f>
        <v/>
      </c>
      <c r="J173" s="40" t="n"/>
      <c r="K173">
        <f>IF(AND(ISNUMBER($I173),$I173&lt;=تنبيه_وثيقة_90),SUMPRODUCT(ISNUMBER($I$3:$I$502)*($I$3:$I$502&lt;=تنبيه_وثيقة_90)*(ROW($I$3:$I$502)&lt;=ROW())),"")</f>
        <v/>
      </c>
    </row>
    <row r="174">
      <c r="A174" s="47" t="n"/>
      <c r="B174" s="50">
        <f>IFERROR(INDEX(الموظفون_الاسم,MATCH($A174,الموظفون_الرقم,0)),"")</f>
        <v/>
      </c>
      <c r="C174" s="47" t="n"/>
      <c r="D174" s="47" t="n"/>
      <c r="E174" s="112" t="n"/>
      <c r="F174" s="112" t="n"/>
      <c r="G174" s="47" t="n"/>
      <c r="H174" s="47" t="n"/>
      <c r="I174" s="51">
        <f>IF(OR($A174="",$F174=""),"",$F174-TODAY())</f>
        <v/>
      </c>
      <c r="J174" s="47" t="n"/>
      <c r="K174">
        <f>IF(AND(ISNUMBER($I174),$I174&lt;=تنبيه_وثيقة_90),SUMPRODUCT(ISNUMBER($I$3:$I$502)*($I$3:$I$502&lt;=تنبيه_وثيقة_90)*(ROW($I$3:$I$502)&lt;=ROW())),"")</f>
        <v/>
      </c>
    </row>
    <row r="175">
      <c r="A175" s="40" t="n"/>
      <c r="B175" s="43">
        <f>IFERROR(INDEX(الموظفون_الاسم,MATCH($A175,الموظفون_الرقم,0)),"")</f>
        <v/>
      </c>
      <c r="C175" s="40" t="n"/>
      <c r="D175" s="40" t="n"/>
      <c r="E175" s="110" t="n"/>
      <c r="F175" s="110" t="n"/>
      <c r="G175" s="40" t="n"/>
      <c r="H175" s="40" t="n"/>
      <c r="I175" s="44">
        <f>IF(OR($A175="",$F175=""),"",$F175-TODAY())</f>
        <v/>
      </c>
      <c r="J175" s="40" t="n"/>
      <c r="K175">
        <f>IF(AND(ISNUMBER($I175),$I175&lt;=تنبيه_وثيقة_90),SUMPRODUCT(ISNUMBER($I$3:$I$502)*($I$3:$I$502&lt;=تنبيه_وثيقة_90)*(ROW($I$3:$I$502)&lt;=ROW())),"")</f>
        <v/>
      </c>
    </row>
    <row r="176">
      <c r="A176" s="47" t="n"/>
      <c r="B176" s="50">
        <f>IFERROR(INDEX(الموظفون_الاسم,MATCH($A176,الموظفون_الرقم,0)),"")</f>
        <v/>
      </c>
      <c r="C176" s="47" t="n"/>
      <c r="D176" s="47" t="n"/>
      <c r="E176" s="112" t="n"/>
      <c r="F176" s="112" t="n"/>
      <c r="G176" s="47" t="n"/>
      <c r="H176" s="47" t="n"/>
      <c r="I176" s="51">
        <f>IF(OR($A176="",$F176=""),"",$F176-TODAY())</f>
        <v/>
      </c>
      <c r="J176" s="47" t="n"/>
      <c r="K176">
        <f>IF(AND(ISNUMBER($I176),$I176&lt;=تنبيه_وثيقة_90),SUMPRODUCT(ISNUMBER($I$3:$I$502)*($I$3:$I$502&lt;=تنبيه_وثيقة_90)*(ROW($I$3:$I$502)&lt;=ROW())),"")</f>
        <v/>
      </c>
    </row>
    <row r="177">
      <c r="A177" s="40" t="n"/>
      <c r="B177" s="43">
        <f>IFERROR(INDEX(الموظفون_الاسم,MATCH($A177,الموظفون_الرقم,0)),"")</f>
        <v/>
      </c>
      <c r="C177" s="40" t="n"/>
      <c r="D177" s="40" t="n"/>
      <c r="E177" s="110" t="n"/>
      <c r="F177" s="110" t="n"/>
      <c r="G177" s="40" t="n"/>
      <c r="H177" s="40" t="n"/>
      <c r="I177" s="44">
        <f>IF(OR($A177="",$F177=""),"",$F177-TODAY())</f>
        <v/>
      </c>
      <c r="J177" s="40" t="n"/>
      <c r="K177">
        <f>IF(AND(ISNUMBER($I177),$I177&lt;=تنبيه_وثيقة_90),SUMPRODUCT(ISNUMBER($I$3:$I$502)*($I$3:$I$502&lt;=تنبيه_وثيقة_90)*(ROW($I$3:$I$502)&lt;=ROW())),"")</f>
        <v/>
      </c>
    </row>
    <row r="178">
      <c r="A178" s="47" t="n"/>
      <c r="B178" s="50">
        <f>IFERROR(INDEX(الموظفون_الاسم,MATCH($A178,الموظفون_الرقم,0)),"")</f>
        <v/>
      </c>
      <c r="C178" s="47" t="n"/>
      <c r="D178" s="47" t="n"/>
      <c r="E178" s="112" t="n"/>
      <c r="F178" s="112" t="n"/>
      <c r="G178" s="47" t="n"/>
      <c r="H178" s="47" t="n"/>
      <c r="I178" s="51">
        <f>IF(OR($A178="",$F178=""),"",$F178-TODAY())</f>
        <v/>
      </c>
      <c r="J178" s="47" t="n"/>
      <c r="K178">
        <f>IF(AND(ISNUMBER($I178),$I178&lt;=تنبيه_وثيقة_90),SUMPRODUCT(ISNUMBER($I$3:$I$502)*($I$3:$I$502&lt;=تنبيه_وثيقة_90)*(ROW($I$3:$I$502)&lt;=ROW())),"")</f>
        <v/>
      </c>
    </row>
    <row r="179">
      <c r="A179" s="40" t="n"/>
      <c r="B179" s="43">
        <f>IFERROR(INDEX(الموظفون_الاسم,MATCH($A179,الموظفون_الرقم,0)),"")</f>
        <v/>
      </c>
      <c r="C179" s="40" t="n"/>
      <c r="D179" s="40" t="n"/>
      <c r="E179" s="110" t="n"/>
      <c r="F179" s="110" t="n"/>
      <c r="G179" s="40" t="n"/>
      <c r="H179" s="40" t="n"/>
      <c r="I179" s="44">
        <f>IF(OR($A179="",$F179=""),"",$F179-TODAY())</f>
        <v/>
      </c>
      <c r="J179" s="40" t="n"/>
      <c r="K179">
        <f>IF(AND(ISNUMBER($I179),$I179&lt;=تنبيه_وثيقة_90),SUMPRODUCT(ISNUMBER($I$3:$I$502)*($I$3:$I$502&lt;=تنبيه_وثيقة_90)*(ROW($I$3:$I$502)&lt;=ROW())),"")</f>
        <v/>
      </c>
    </row>
    <row r="180">
      <c r="A180" s="47" t="n"/>
      <c r="B180" s="50">
        <f>IFERROR(INDEX(الموظفون_الاسم,MATCH($A180,الموظفون_الرقم,0)),"")</f>
        <v/>
      </c>
      <c r="C180" s="47" t="n"/>
      <c r="D180" s="47" t="n"/>
      <c r="E180" s="112" t="n"/>
      <c r="F180" s="112" t="n"/>
      <c r="G180" s="47" t="n"/>
      <c r="H180" s="47" t="n"/>
      <c r="I180" s="51">
        <f>IF(OR($A180="",$F180=""),"",$F180-TODAY())</f>
        <v/>
      </c>
      <c r="J180" s="47" t="n"/>
      <c r="K180">
        <f>IF(AND(ISNUMBER($I180),$I180&lt;=تنبيه_وثيقة_90),SUMPRODUCT(ISNUMBER($I$3:$I$502)*($I$3:$I$502&lt;=تنبيه_وثيقة_90)*(ROW($I$3:$I$502)&lt;=ROW())),"")</f>
        <v/>
      </c>
    </row>
    <row r="181">
      <c r="A181" s="40" t="n"/>
      <c r="B181" s="43">
        <f>IFERROR(INDEX(الموظفون_الاسم,MATCH($A181,الموظفون_الرقم,0)),"")</f>
        <v/>
      </c>
      <c r="C181" s="40" t="n"/>
      <c r="D181" s="40" t="n"/>
      <c r="E181" s="110" t="n"/>
      <c r="F181" s="110" t="n"/>
      <c r="G181" s="40" t="n"/>
      <c r="H181" s="40" t="n"/>
      <c r="I181" s="44">
        <f>IF(OR($A181="",$F181=""),"",$F181-TODAY())</f>
        <v/>
      </c>
      <c r="J181" s="40" t="n"/>
      <c r="K181">
        <f>IF(AND(ISNUMBER($I181),$I181&lt;=تنبيه_وثيقة_90),SUMPRODUCT(ISNUMBER($I$3:$I$502)*($I$3:$I$502&lt;=تنبيه_وثيقة_90)*(ROW($I$3:$I$502)&lt;=ROW())),"")</f>
        <v/>
      </c>
    </row>
    <row r="182">
      <c r="A182" s="47" t="n"/>
      <c r="B182" s="50">
        <f>IFERROR(INDEX(الموظفون_الاسم,MATCH($A182,الموظفون_الرقم,0)),"")</f>
        <v/>
      </c>
      <c r="C182" s="47" t="n"/>
      <c r="D182" s="47" t="n"/>
      <c r="E182" s="112" t="n"/>
      <c r="F182" s="112" t="n"/>
      <c r="G182" s="47" t="n"/>
      <c r="H182" s="47" t="n"/>
      <c r="I182" s="51">
        <f>IF(OR($A182="",$F182=""),"",$F182-TODAY())</f>
        <v/>
      </c>
      <c r="J182" s="47" t="n"/>
      <c r="K182">
        <f>IF(AND(ISNUMBER($I182),$I182&lt;=تنبيه_وثيقة_90),SUMPRODUCT(ISNUMBER($I$3:$I$502)*($I$3:$I$502&lt;=تنبيه_وثيقة_90)*(ROW($I$3:$I$502)&lt;=ROW())),"")</f>
        <v/>
      </c>
    </row>
    <row r="183">
      <c r="A183" s="40" t="n"/>
      <c r="B183" s="43">
        <f>IFERROR(INDEX(الموظفون_الاسم,MATCH($A183,الموظفون_الرقم,0)),"")</f>
        <v/>
      </c>
      <c r="C183" s="40" t="n"/>
      <c r="D183" s="40" t="n"/>
      <c r="E183" s="110" t="n"/>
      <c r="F183" s="110" t="n"/>
      <c r="G183" s="40" t="n"/>
      <c r="H183" s="40" t="n"/>
      <c r="I183" s="44">
        <f>IF(OR($A183="",$F183=""),"",$F183-TODAY())</f>
        <v/>
      </c>
      <c r="J183" s="40" t="n"/>
      <c r="K183">
        <f>IF(AND(ISNUMBER($I183),$I183&lt;=تنبيه_وثيقة_90),SUMPRODUCT(ISNUMBER($I$3:$I$502)*($I$3:$I$502&lt;=تنبيه_وثيقة_90)*(ROW($I$3:$I$502)&lt;=ROW())),"")</f>
        <v/>
      </c>
    </row>
    <row r="184">
      <c r="A184" s="47" t="n"/>
      <c r="B184" s="50">
        <f>IFERROR(INDEX(الموظفون_الاسم,MATCH($A184,الموظفون_الرقم,0)),"")</f>
        <v/>
      </c>
      <c r="C184" s="47" t="n"/>
      <c r="D184" s="47" t="n"/>
      <c r="E184" s="112" t="n"/>
      <c r="F184" s="112" t="n"/>
      <c r="G184" s="47" t="n"/>
      <c r="H184" s="47" t="n"/>
      <c r="I184" s="51">
        <f>IF(OR($A184="",$F184=""),"",$F184-TODAY())</f>
        <v/>
      </c>
      <c r="J184" s="47" t="n"/>
      <c r="K184">
        <f>IF(AND(ISNUMBER($I184),$I184&lt;=تنبيه_وثيقة_90),SUMPRODUCT(ISNUMBER($I$3:$I$502)*($I$3:$I$502&lt;=تنبيه_وثيقة_90)*(ROW($I$3:$I$502)&lt;=ROW())),"")</f>
        <v/>
      </c>
    </row>
    <row r="185">
      <c r="A185" s="40" t="n"/>
      <c r="B185" s="43">
        <f>IFERROR(INDEX(الموظفون_الاسم,MATCH($A185,الموظفون_الرقم,0)),"")</f>
        <v/>
      </c>
      <c r="C185" s="40" t="n"/>
      <c r="D185" s="40" t="n"/>
      <c r="E185" s="110" t="n"/>
      <c r="F185" s="110" t="n"/>
      <c r="G185" s="40" t="n"/>
      <c r="H185" s="40" t="n"/>
      <c r="I185" s="44">
        <f>IF(OR($A185="",$F185=""),"",$F185-TODAY())</f>
        <v/>
      </c>
      <c r="J185" s="40" t="n"/>
      <c r="K185">
        <f>IF(AND(ISNUMBER($I185),$I185&lt;=تنبيه_وثيقة_90),SUMPRODUCT(ISNUMBER($I$3:$I$502)*($I$3:$I$502&lt;=تنبيه_وثيقة_90)*(ROW($I$3:$I$502)&lt;=ROW())),"")</f>
        <v/>
      </c>
    </row>
    <row r="186">
      <c r="A186" s="47" t="n"/>
      <c r="B186" s="50">
        <f>IFERROR(INDEX(الموظفون_الاسم,MATCH($A186,الموظفون_الرقم,0)),"")</f>
        <v/>
      </c>
      <c r="C186" s="47" t="n"/>
      <c r="D186" s="47" t="n"/>
      <c r="E186" s="112" t="n"/>
      <c r="F186" s="112" t="n"/>
      <c r="G186" s="47" t="n"/>
      <c r="H186" s="47" t="n"/>
      <c r="I186" s="51">
        <f>IF(OR($A186="",$F186=""),"",$F186-TODAY())</f>
        <v/>
      </c>
      <c r="J186" s="47" t="n"/>
      <c r="K186">
        <f>IF(AND(ISNUMBER($I186),$I186&lt;=تنبيه_وثيقة_90),SUMPRODUCT(ISNUMBER($I$3:$I$502)*($I$3:$I$502&lt;=تنبيه_وثيقة_90)*(ROW($I$3:$I$502)&lt;=ROW())),"")</f>
        <v/>
      </c>
    </row>
    <row r="187">
      <c r="A187" s="40" t="n"/>
      <c r="B187" s="43">
        <f>IFERROR(INDEX(الموظفون_الاسم,MATCH($A187,الموظفون_الرقم,0)),"")</f>
        <v/>
      </c>
      <c r="C187" s="40" t="n"/>
      <c r="D187" s="40" t="n"/>
      <c r="E187" s="110" t="n"/>
      <c r="F187" s="110" t="n"/>
      <c r="G187" s="40" t="n"/>
      <c r="H187" s="40" t="n"/>
      <c r="I187" s="44">
        <f>IF(OR($A187="",$F187=""),"",$F187-TODAY())</f>
        <v/>
      </c>
      <c r="J187" s="40" t="n"/>
      <c r="K187">
        <f>IF(AND(ISNUMBER($I187),$I187&lt;=تنبيه_وثيقة_90),SUMPRODUCT(ISNUMBER($I$3:$I$502)*($I$3:$I$502&lt;=تنبيه_وثيقة_90)*(ROW($I$3:$I$502)&lt;=ROW())),"")</f>
        <v/>
      </c>
    </row>
    <row r="188">
      <c r="A188" s="47" t="n"/>
      <c r="B188" s="50">
        <f>IFERROR(INDEX(الموظفون_الاسم,MATCH($A188,الموظفون_الرقم,0)),"")</f>
        <v/>
      </c>
      <c r="C188" s="47" t="n"/>
      <c r="D188" s="47" t="n"/>
      <c r="E188" s="112" t="n"/>
      <c r="F188" s="112" t="n"/>
      <c r="G188" s="47" t="n"/>
      <c r="H188" s="47" t="n"/>
      <c r="I188" s="51">
        <f>IF(OR($A188="",$F188=""),"",$F188-TODAY())</f>
        <v/>
      </c>
      <c r="J188" s="47" t="n"/>
      <c r="K188">
        <f>IF(AND(ISNUMBER($I188),$I188&lt;=تنبيه_وثيقة_90),SUMPRODUCT(ISNUMBER($I$3:$I$502)*($I$3:$I$502&lt;=تنبيه_وثيقة_90)*(ROW($I$3:$I$502)&lt;=ROW())),"")</f>
        <v/>
      </c>
    </row>
    <row r="189">
      <c r="A189" s="40" t="n"/>
      <c r="B189" s="43">
        <f>IFERROR(INDEX(الموظفون_الاسم,MATCH($A189,الموظفون_الرقم,0)),"")</f>
        <v/>
      </c>
      <c r="C189" s="40" t="n"/>
      <c r="D189" s="40" t="n"/>
      <c r="E189" s="110" t="n"/>
      <c r="F189" s="110" t="n"/>
      <c r="G189" s="40" t="n"/>
      <c r="H189" s="40" t="n"/>
      <c r="I189" s="44">
        <f>IF(OR($A189="",$F189=""),"",$F189-TODAY())</f>
        <v/>
      </c>
      <c r="J189" s="40" t="n"/>
      <c r="K189">
        <f>IF(AND(ISNUMBER($I189),$I189&lt;=تنبيه_وثيقة_90),SUMPRODUCT(ISNUMBER($I$3:$I$502)*($I$3:$I$502&lt;=تنبيه_وثيقة_90)*(ROW($I$3:$I$502)&lt;=ROW())),"")</f>
        <v/>
      </c>
    </row>
    <row r="190">
      <c r="A190" s="47" t="n"/>
      <c r="B190" s="50">
        <f>IFERROR(INDEX(الموظفون_الاسم,MATCH($A190,الموظفون_الرقم,0)),"")</f>
        <v/>
      </c>
      <c r="C190" s="47" t="n"/>
      <c r="D190" s="47" t="n"/>
      <c r="E190" s="112" t="n"/>
      <c r="F190" s="112" t="n"/>
      <c r="G190" s="47" t="n"/>
      <c r="H190" s="47" t="n"/>
      <c r="I190" s="51">
        <f>IF(OR($A190="",$F190=""),"",$F190-TODAY())</f>
        <v/>
      </c>
      <c r="J190" s="47" t="n"/>
      <c r="K190">
        <f>IF(AND(ISNUMBER($I190),$I190&lt;=تنبيه_وثيقة_90),SUMPRODUCT(ISNUMBER($I$3:$I$502)*($I$3:$I$502&lt;=تنبيه_وثيقة_90)*(ROW($I$3:$I$502)&lt;=ROW())),"")</f>
        <v/>
      </c>
    </row>
    <row r="191">
      <c r="A191" s="40" t="n"/>
      <c r="B191" s="43">
        <f>IFERROR(INDEX(الموظفون_الاسم,MATCH($A191,الموظفون_الرقم,0)),"")</f>
        <v/>
      </c>
      <c r="C191" s="40" t="n"/>
      <c r="D191" s="40" t="n"/>
      <c r="E191" s="110" t="n"/>
      <c r="F191" s="110" t="n"/>
      <c r="G191" s="40" t="n"/>
      <c r="H191" s="40" t="n"/>
      <c r="I191" s="44">
        <f>IF(OR($A191="",$F191=""),"",$F191-TODAY())</f>
        <v/>
      </c>
      <c r="J191" s="40" t="n"/>
      <c r="K191">
        <f>IF(AND(ISNUMBER($I191),$I191&lt;=تنبيه_وثيقة_90),SUMPRODUCT(ISNUMBER($I$3:$I$502)*($I$3:$I$502&lt;=تنبيه_وثيقة_90)*(ROW($I$3:$I$502)&lt;=ROW())),"")</f>
        <v/>
      </c>
    </row>
    <row r="192">
      <c r="A192" s="47" t="n"/>
      <c r="B192" s="50">
        <f>IFERROR(INDEX(الموظفون_الاسم,MATCH($A192,الموظفون_الرقم,0)),"")</f>
        <v/>
      </c>
      <c r="C192" s="47" t="n"/>
      <c r="D192" s="47" t="n"/>
      <c r="E192" s="112" t="n"/>
      <c r="F192" s="112" t="n"/>
      <c r="G192" s="47" t="n"/>
      <c r="H192" s="47" t="n"/>
      <c r="I192" s="51">
        <f>IF(OR($A192="",$F192=""),"",$F192-TODAY())</f>
        <v/>
      </c>
      <c r="J192" s="47" t="n"/>
      <c r="K192">
        <f>IF(AND(ISNUMBER($I192),$I192&lt;=تنبيه_وثيقة_90),SUMPRODUCT(ISNUMBER($I$3:$I$502)*($I$3:$I$502&lt;=تنبيه_وثيقة_90)*(ROW($I$3:$I$502)&lt;=ROW())),"")</f>
        <v/>
      </c>
    </row>
    <row r="193">
      <c r="A193" s="40" t="n"/>
      <c r="B193" s="43">
        <f>IFERROR(INDEX(الموظفون_الاسم,MATCH($A193,الموظفون_الرقم,0)),"")</f>
        <v/>
      </c>
      <c r="C193" s="40" t="n"/>
      <c r="D193" s="40" t="n"/>
      <c r="E193" s="110" t="n"/>
      <c r="F193" s="110" t="n"/>
      <c r="G193" s="40" t="n"/>
      <c r="H193" s="40" t="n"/>
      <c r="I193" s="44">
        <f>IF(OR($A193="",$F193=""),"",$F193-TODAY())</f>
        <v/>
      </c>
      <c r="J193" s="40" t="n"/>
      <c r="K193">
        <f>IF(AND(ISNUMBER($I193),$I193&lt;=تنبيه_وثيقة_90),SUMPRODUCT(ISNUMBER($I$3:$I$502)*($I$3:$I$502&lt;=تنبيه_وثيقة_90)*(ROW($I$3:$I$502)&lt;=ROW())),"")</f>
        <v/>
      </c>
    </row>
    <row r="194">
      <c r="A194" s="47" t="n"/>
      <c r="B194" s="50">
        <f>IFERROR(INDEX(الموظفون_الاسم,MATCH($A194,الموظفون_الرقم,0)),"")</f>
        <v/>
      </c>
      <c r="C194" s="47" t="n"/>
      <c r="D194" s="47" t="n"/>
      <c r="E194" s="112" t="n"/>
      <c r="F194" s="112" t="n"/>
      <c r="G194" s="47" t="n"/>
      <c r="H194" s="47" t="n"/>
      <c r="I194" s="51">
        <f>IF(OR($A194="",$F194=""),"",$F194-TODAY())</f>
        <v/>
      </c>
      <c r="J194" s="47" t="n"/>
      <c r="K194">
        <f>IF(AND(ISNUMBER($I194),$I194&lt;=تنبيه_وثيقة_90),SUMPRODUCT(ISNUMBER($I$3:$I$502)*($I$3:$I$502&lt;=تنبيه_وثيقة_90)*(ROW($I$3:$I$502)&lt;=ROW())),"")</f>
        <v/>
      </c>
    </row>
    <row r="195">
      <c r="A195" s="40" t="n"/>
      <c r="B195" s="43">
        <f>IFERROR(INDEX(الموظفون_الاسم,MATCH($A195,الموظفون_الرقم,0)),"")</f>
        <v/>
      </c>
      <c r="C195" s="40" t="n"/>
      <c r="D195" s="40" t="n"/>
      <c r="E195" s="110" t="n"/>
      <c r="F195" s="110" t="n"/>
      <c r="G195" s="40" t="n"/>
      <c r="H195" s="40" t="n"/>
      <c r="I195" s="44">
        <f>IF(OR($A195="",$F195=""),"",$F195-TODAY())</f>
        <v/>
      </c>
      <c r="J195" s="40" t="n"/>
      <c r="K195">
        <f>IF(AND(ISNUMBER($I195),$I195&lt;=تنبيه_وثيقة_90),SUMPRODUCT(ISNUMBER($I$3:$I$502)*($I$3:$I$502&lt;=تنبيه_وثيقة_90)*(ROW($I$3:$I$502)&lt;=ROW())),"")</f>
        <v/>
      </c>
    </row>
    <row r="196">
      <c r="A196" s="47" t="n"/>
      <c r="B196" s="50">
        <f>IFERROR(INDEX(الموظفون_الاسم,MATCH($A196,الموظفون_الرقم,0)),"")</f>
        <v/>
      </c>
      <c r="C196" s="47" t="n"/>
      <c r="D196" s="47" t="n"/>
      <c r="E196" s="112" t="n"/>
      <c r="F196" s="112" t="n"/>
      <c r="G196" s="47" t="n"/>
      <c r="H196" s="47" t="n"/>
      <c r="I196" s="51">
        <f>IF(OR($A196="",$F196=""),"",$F196-TODAY())</f>
        <v/>
      </c>
      <c r="J196" s="47" t="n"/>
      <c r="K196">
        <f>IF(AND(ISNUMBER($I196),$I196&lt;=تنبيه_وثيقة_90),SUMPRODUCT(ISNUMBER($I$3:$I$502)*($I$3:$I$502&lt;=تنبيه_وثيقة_90)*(ROW($I$3:$I$502)&lt;=ROW())),"")</f>
        <v/>
      </c>
    </row>
    <row r="197">
      <c r="A197" s="40" t="n"/>
      <c r="B197" s="43">
        <f>IFERROR(INDEX(الموظفون_الاسم,MATCH($A197,الموظفون_الرقم,0)),"")</f>
        <v/>
      </c>
      <c r="C197" s="40" t="n"/>
      <c r="D197" s="40" t="n"/>
      <c r="E197" s="110" t="n"/>
      <c r="F197" s="110" t="n"/>
      <c r="G197" s="40" t="n"/>
      <c r="H197" s="40" t="n"/>
      <c r="I197" s="44">
        <f>IF(OR($A197="",$F197=""),"",$F197-TODAY())</f>
        <v/>
      </c>
      <c r="J197" s="40" t="n"/>
      <c r="K197">
        <f>IF(AND(ISNUMBER($I197),$I197&lt;=تنبيه_وثيقة_90),SUMPRODUCT(ISNUMBER($I$3:$I$502)*($I$3:$I$502&lt;=تنبيه_وثيقة_90)*(ROW($I$3:$I$502)&lt;=ROW())),"")</f>
        <v/>
      </c>
    </row>
    <row r="198">
      <c r="A198" s="47" t="n"/>
      <c r="B198" s="50">
        <f>IFERROR(INDEX(الموظفون_الاسم,MATCH($A198,الموظفون_الرقم,0)),"")</f>
        <v/>
      </c>
      <c r="C198" s="47" t="n"/>
      <c r="D198" s="47" t="n"/>
      <c r="E198" s="112" t="n"/>
      <c r="F198" s="112" t="n"/>
      <c r="G198" s="47" t="n"/>
      <c r="H198" s="47" t="n"/>
      <c r="I198" s="51">
        <f>IF(OR($A198="",$F198=""),"",$F198-TODAY())</f>
        <v/>
      </c>
      <c r="J198" s="47" t="n"/>
      <c r="K198">
        <f>IF(AND(ISNUMBER($I198),$I198&lt;=تنبيه_وثيقة_90),SUMPRODUCT(ISNUMBER($I$3:$I$502)*($I$3:$I$502&lt;=تنبيه_وثيقة_90)*(ROW($I$3:$I$502)&lt;=ROW())),"")</f>
        <v/>
      </c>
    </row>
    <row r="199">
      <c r="A199" s="40" t="n"/>
      <c r="B199" s="43">
        <f>IFERROR(INDEX(الموظفون_الاسم,MATCH($A199,الموظفون_الرقم,0)),"")</f>
        <v/>
      </c>
      <c r="C199" s="40" t="n"/>
      <c r="D199" s="40" t="n"/>
      <c r="E199" s="110" t="n"/>
      <c r="F199" s="110" t="n"/>
      <c r="G199" s="40" t="n"/>
      <c r="H199" s="40" t="n"/>
      <c r="I199" s="44">
        <f>IF(OR($A199="",$F199=""),"",$F199-TODAY())</f>
        <v/>
      </c>
      <c r="J199" s="40" t="n"/>
      <c r="K199">
        <f>IF(AND(ISNUMBER($I199),$I199&lt;=تنبيه_وثيقة_90),SUMPRODUCT(ISNUMBER($I$3:$I$502)*($I$3:$I$502&lt;=تنبيه_وثيقة_90)*(ROW($I$3:$I$502)&lt;=ROW())),"")</f>
        <v/>
      </c>
    </row>
    <row r="200">
      <c r="A200" s="47" t="n"/>
      <c r="B200" s="50">
        <f>IFERROR(INDEX(الموظفون_الاسم,MATCH($A200,الموظفون_الرقم,0)),"")</f>
        <v/>
      </c>
      <c r="C200" s="47" t="n"/>
      <c r="D200" s="47" t="n"/>
      <c r="E200" s="112" t="n"/>
      <c r="F200" s="112" t="n"/>
      <c r="G200" s="47" t="n"/>
      <c r="H200" s="47" t="n"/>
      <c r="I200" s="51">
        <f>IF(OR($A200="",$F200=""),"",$F200-TODAY())</f>
        <v/>
      </c>
      <c r="J200" s="47" t="n"/>
      <c r="K200">
        <f>IF(AND(ISNUMBER($I200),$I200&lt;=تنبيه_وثيقة_90),SUMPRODUCT(ISNUMBER($I$3:$I$502)*($I$3:$I$502&lt;=تنبيه_وثيقة_90)*(ROW($I$3:$I$502)&lt;=ROW())),"")</f>
        <v/>
      </c>
    </row>
    <row r="201">
      <c r="A201" s="40" t="n"/>
      <c r="B201" s="43">
        <f>IFERROR(INDEX(الموظفون_الاسم,MATCH($A201,الموظفون_الرقم,0)),"")</f>
        <v/>
      </c>
      <c r="C201" s="40" t="n"/>
      <c r="D201" s="40" t="n"/>
      <c r="E201" s="110" t="n"/>
      <c r="F201" s="110" t="n"/>
      <c r="G201" s="40" t="n"/>
      <c r="H201" s="40" t="n"/>
      <c r="I201" s="44">
        <f>IF(OR($A201="",$F201=""),"",$F201-TODAY())</f>
        <v/>
      </c>
      <c r="J201" s="40" t="n"/>
      <c r="K201">
        <f>IF(AND(ISNUMBER($I201),$I201&lt;=تنبيه_وثيقة_90),SUMPRODUCT(ISNUMBER($I$3:$I$502)*($I$3:$I$502&lt;=تنبيه_وثيقة_90)*(ROW($I$3:$I$502)&lt;=ROW())),"")</f>
        <v/>
      </c>
    </row>
    <row r="202">
      <c r="A202" s="47" t="n"/>
      <c r="B202" s="50">
        <f>IFERROR(INDEX(الموظفون_الاسم,MATCH($A202,الموظفون_الرقم,0)),"")</f>
        <v/>
      </c>
      <c r="C202" s="47" t="n"/>
      <c r="D202" s="47" t="n"/>
      <c r="E202" s="112" t="n"/>
      <c r="F202" s="112" t="n"/>
      <c r="G202" s="47" t="n"/>
      <c r="H202" s="47" t="n"/>
      <c r="I202" s="51">
        <f>IF(OR($A202="",$F202=""),"",$F202-TODAY())</f>
        <v/>
      </c>
      <c r="J202" s="47" t="n"/>
      <c r="K202">
        <f>IF(AND(ISNUMBER($I202),$I202&lt;=تنبيه_وثيقة_90),SUMPRODUCT(ISNUMBER($I$3:$I$502)*($I$3:$I$502&lt;=تنبيه_وثيقة_90)*(ROW($I$3:$I$502)&lt;=ROW())),"")</f>
        <v/>
      </c>
    </row>
    <row r="203">
      <c r="A203" s="40" t="n"/>
      <c r="B203" s="43">
        <f>IFERROR(INDEX(الموظفون_الاسم,MATCH($A203,الموظفون_الرقم,0)),"")</f>
        <v/>
      </c>
      <c r="C203" s="40" t="n"/>
      <c r="D203" s="40" t="n"/>
      <c r="E203" s="110" t="n"/>
      <c r="F203" s="110" t="n"/>
      <c r="G203" s="40" t="n"/>
      <c r="H203" s="40" t="n"/>
      <c r="I203" s="44">
        <f>IF(OR($A203="",$F203=""),"",$F203-TODAY())</f>
        <v/>
      </c>
      <c r="J203" s="40" t="n"/>
      <c r="K203">
        <f>IF(AND(ISNUMBER($I203),$I203&lt;=تنبيه_وثيقة_90),SUMPRODUCT(ISNUMBER($I$3:$I$502)*($I$3:$I$502&lt;=تنبيه_وثيقة_90)*(ROW($I$3:$I$502)&lt;=ROW())),"")</f>
        <v/>
      </c>
    </row>
    <row r="204">
      <c r="A204" s="47" t="n"/>
      <c r="B204" s="50">
        <f>IFERROR(INDEX(الموظفون_الاسم,MATCH($A204,الموظفون_الرقم,0)),"")</f>
        <v/>
      </c>
      <c r="C204" s="47" t="n"/>
      <c r="D204" s="47" t="n"/>
      <c r="E204" s="112" t="n"/>
      <c r="F204" s="112" t="n"/>
      <c r="G204" s="47" t="n"/>
      <c r="H204" s="47" t="n"/>
      <c r="I204" s="51">
        <f>IF(OR($A204="",$F204=""),"",$F204-TODAY())</f>
        <v/>
      </c>
      <c r="J204" s="47" t="n"/>
      <c r="K204">
        <f>IF(AND(ISNUMBER($I204),$I204&lt;=تنبيه_وثيقة_90),SUMPRODUCT(ISNUMBER($I$3:$I$502)*($I$3:$I$502&lt;=تنبيه_وثيقة_90)*(ROW($I$3:$I$502)&lt;=ROW())),"")</f>
        <v/>
      </c>
    </row>
    <row r="205">
      <c r="A205" s="40" t="n"/>
      <c r="B205" s="43">
        <f>IFERROR(INDEX(الموظفون_الاسم,MATCH($A205,الموظفون_الرقم,0)),"")</f>
        <v/>
      </c>
      <c r="C205" s="40" t="n"/>
      <c r="D205" s="40" t="n"/>
      <c r="E205" s="110" t="n"/>
      <c r="F205" s="110" t="n"/>
      <c r="G205" s="40" t="n"/>
      <c r="H205" s="40" t="n"/>
      <c r="I205" s="44">
        <f>IF(OR($A205="",$F205=""),"",$F205-TODAY())</f>
        <v/>
      </c>
      <c r="J205" s="40" t="n"/>
      <c r="K205">
        <f>IF(AND(ISNUMBER($I205),$I205&lt;=تنبيه_وثيقة_90),SUMPRODUCT(ISNUMBER($I$3:$I$502)*($I$3:$I$502&lt;=تنبيه_وثيقة_90)*(ROW($I$3:$I$502)&lt;=ROW())),"")</f>
        <v/>
      </c>
    </row>
    <row r="206">
      <c r="A206" s="47" t="n"/>
      <c r="B206" s="50">
        <f>IFERROR(INDEX(الموظفون_الاسم,MATCH($A206,الموظفون_الرقم,0)),"")</f>
        <v/>
      </c>
      <c r="C206" s="47" t="n"/>
      <c r="D206" s="47" t="n"/>
      <c r="E206" s="112" t="n"/>
      <c r="F206" s="112" t="n"/>
      <c r="G206" s="47" t="n"/>
      <c r="H206" s="47" t="n"/>
      <c r="I206" s="51">
        <f>IF(OR($A206="",$F206=""),"",$F206-TODAY())</f>
        <v/>
      </c>
      <c r="J206" s="47" t="n"/>
      <c r="K206">
        <f>IF(AND(ISNUMBER($I206),$I206&lt;=تنبيه_وثيقة_90),SUMPRODUCT(ISNUMBER($I$3:$I$502)*($I$3:$I$502&lt;=تنبيه_وثيقة_90)*(ROW($I$3:$I$502)&lt;=ROW())),"")</f>
        <v/>
      </c>
    </row>
    <row r="207">
      <c r="A207" s="40" t="n"/>
      <c r="B207" s="43">
        <f>IFERROR(INDEX(الموظفون_الاسم,MATCH($A207,الموظفون_الرقم,0)),"")</f>
        <v/>
      </c>
      <c r="C207" s="40" t="n"/>
      <c r="D207" s="40" t="n"/>
      <c r="E207" s="110" t="n"/>
      <c r="F207" s="110" t="n"/>
      <c r="G207" s="40" t="n"/>
      <c r="H207" s="40" t="n"/>
      <c r="I207" s="44">
        <f>IF(OR($A207="",$F207=""),"",$F207-TODAY())</f>
        <v/>
      </c>
      <c r="J207" s="40" t="n"/>
      <c r="K207">
        <f>IF(AND(ISNUMBER($I207),$I207&lt;=تنبيه_وثيقة_90),SUMPRODUCT(ISNUMBER($I$3:$I$502)*($I$3:$I$502&lt;=تنبيه_وثيقة_90)*(ROW($I$3:$I$502)&lt;=ROW())),"")</f>
        <v/>
      </c>
    </row>
    <row r="208">
      <c r="A208" s="47" t="n"/>
      <c r="B208" s="50">
        <f>IFERROR(INDEX(الموظفون_الاسم,MATCH($A208,الموظفون_الرقم,0)),"")</f>
        <v/>
      </c>
      <c r="C208" s="47" t="n"/>
      <c r="D208" s="47" t="n"/>
      <c r="E208" s="112" t="n"/>
      <c r="F208" s="112" t="n"/>
      <c r="G208" s="47" t="n"/>
      <c r="H208" s="47" t="n"/>
      <c r="I208" s="51">
        <f>IF(OR($A208="",$F208=""),"",$F208-TODAY())</f>
        <v/>
      </c>
      <c r="J208" s="47" t="n"/>
      <c r="K208">
        <f>IF(AND(ISNUMBER($I208),$I208&lt;=تنبيه_وثيقة_90),SUMPRODUCT(ISNUMBER($I$3:$I$502)*($I$3:$I$502&lt;=تنبيه_وثيقة_90)*(ROW($I$3:$I$502)&lt;=ROW())),"")</f>
        <v/>
      </c>
    </row>
    <row r="209">
      <c r="A209" s="40" t="n"/>
      <c r="B209" s="43">
        <f>IFERROR(INDEX(الموظفون_الاسم,MATCH($A209,الموظفون_الرقم,0)),"")</f>
        <v/>
      </c>
      <c r="C209" s="40" t="n"/>
      <c r="D209" s="40" t="n"/>
      <c r="E209" s="110" t="n"/>
      <c r="F209" s="110" t="n"/>
      <c r="G209" s="40" t="n"/>
      <c r="H209" s="40" t="n"/>
      <c r="I209" s="44">
        <f>IF(OR($A209="",$F209=""),"",$F209-TODAY())</f>
        <v/>
      </c>
      <c r="J209" s="40" t="n"/>
      <c r="K209">
        <f>IF(AND(ISNUMBER($I209),$I209&lt;=تنبيه_وثيقة_90),SUMPRODUCT(ISNUMBER($I$3:$I$502)*($I$3:$I$502&lt;=تنبيه_وثيقة_90)*(ROW($I$3:$I$502)&lt;=ROW())),"")</f>
        <v/>
      </c>
    </row>
    <row r="210">
      <c r="A210" s="47" t="n"/>
      <c r="B210" s="50">
        <f>IFERROR(INDEX(الموظفون_الاسم,MATCH($A210,الموظفون_الرقم,0)),"")</f>
        <v/>
      </c>
      <c r="C210" s="47" t="n"/>
      <c r="D210" s="47" t="n"/>
      <c r="E210" s="112" t="n"/>
      <c r="F210" s="112" t="n"/>
      <c r="G210" s="47" t="n"/>
      <c r="H210" s="47" t="n"/>
      <c r="I210" s="51">
        <f>IF(OR($A210="",$F210=""),"",$F210-TODAY())</f>
        <v/>
      </c>
      <c r="J210" s="47" t="n"/>
      <c r="K210">
        <f>IF(AND(ISNUMBER($I210),$I210&lt;=تنبيه_وثيقة_90),SUMPRODUCT(ISNUMBER($I$3:$I$502)*($I$3:$I$502&lt;=تنبيه_وثيقة_90)*(ROW($I$3:$I$502)&lt;=ROW())),"")</f>
        <v/>
      </c>
    </row>
    <row r="211">
      <c r="A211" s="40" t="n"/>
      <c r="B211" s="43">
        <f>IFERROR(INDEX(الموظفون_الاسم,MATCH($A211,الموظفون_الرقم,0)),"")</f>
        <v/>
      </c>
      <c r="C211" s="40" t="n"/>
      <c r="D211" s="40" t="n"/>
      <c r="E211" s="110" t="n"/>
      <c r="F211" s="110" t="n"/>
      <c r="G211" s="40" t="n"/>
      <c r="H211" s="40" t="n"/>
      <c r="I211" s="44">
        <f>IF(OR($A211="",$F211=""),"",$F211-TODAY())</f>
        <v/>
      </c>
      <c r="J211" s="40" t="n"/>
      <c r="K211">
        <f>IF(AND(ISNUMBER($I211),$I211&lt;=تنبيه_وثيقة_90),SUMPRODUCT(ISNUMBER($I$3:$I$502)*($I$3:$I$502&lt;=تنبيه_وثيقة_90)*(ROW($I$3:$I$502)&lt;=ROW())),"")</f>
        <v/>
      </c>
    </row>
    <row r="212">
      <c r="A212" s="47" t="n"/>
      <c r="B212" s="50">
        <f>IFERROR(INDEX(الموظفون_الاسم,MATCH($A212,الموظفون_الرقم,0)),"")</f>
        <v/>
      </c>
      <c r="C212" s="47" t="n"/>
      <c r="D212" s="47" t="n"/>
      <c r="E212" s="112" t="n"/>
      <c r="F212" s="112" t="n"/>
      <c r="G212" s="47" t="n"/>
      <c r="H212" s="47" t="n"/>
      <c r="I212" s="51">
        <f>IF(OR($A212="",$F212=""),"",$F212-TODAY())</f>
        <v/>
      </c>
      <c r="J212" s="47" t="n"/>
      <c r="K212">
        <f>IF(AND(ISNUMBER($I212),$I212&lt;=تنبيه_وثيقة_90),SUMPRODUCT(ISNUMBER($I$3:$I$502)*($I$3:$I$502&lt;=تنبيه_وثيقة_90)*(ROW($I$3:$I$502)&lt;=ROW())),"")</f>
        <v/>
      </c>
    </row>
    <row r="213">
      <c r="A213" s="40" t="n"/>
      <c r="B213" s="43">
        <f>IFERROR(INDEX(الموظفون_الاسم,MATCH($A213,الموظفون_الرقم,0)),"")</f>
        <v/>
      </c>
      <c r="C213" s="40" t="n"/>
      <c r="D213" s="40" t="n"/>
      <c r="E213" s="110" t="n"/>
      <c r="F213" s="110" t="n"/>
      <c r="G213" s="40" t="n"/>
      <c r="H213" s="40" t="n"/>
      <c r="I213" s="44">
        <f>IF(OR($A213="",$F213=""),"",$F213-TODAY())</f>
        <v/>
      </c>
      <c r="J213" s="40" t="n"/>
      <c r="K213">
        <f>IF(AND(ISNUMBER($I213),$I213&lt;=تنبيه_وثيقة_90),SUMPRODUCT(ISNUMBER($I$3:$I$502)*($I$3:$I$502&lt;=تنبيه_وثيقة_90)*(ROW($I$3:$I$502)&lt;=ROW())),"")</f>
        <v/>
      </c>
    </row>
    <row r="214">
      <c r="A214" s="47" t="n"/>
      <c r="B214" s="50">
        <f>IFERROR(INDEX(الموظفون_الاسم,MATCH($A214,الموظفون_الرقم,0)),"")</f>
        <v/>
      </c>
      <c r="C214" s="47" t="n"/>
      <c r="D214" s="47" t="n"/>
      <c r="E214" s="112" t="n"/>
      <c r="F214" s="112" t="n"/>
      <c r="G214" s="47" t="n"/>
      <c r="H214" s="47" t="n"/>
      <c r="I214" s="51">
        <f>IF(OR($A214="",$F214=""),"",$F214-TODAY())</f>
        <v/>
      </c>
      <c r="J214" s="47" t="n"/>
      <c r="K214">
        <f>IF(AND(ISNUMBER($I214),$I214&lt;=تنبيه_وثيقة_90),SUMPRODUCT(ISNUMBER($I$3:$I$502)*($I$3:$I$502&lt;=تنبيه_وثيقة_90)*(ROW($I$3:$I$502)&lt;=ROW())),"")</f>
        <v/>
      </c>
    </row>
    <row r="215">
      <c r="A215" s="40" t="n"/>
      <c r="B215" s="43">
        <f>IFERROR(INDEX(الموظفون_الاسم,MATCH($A215,الموظفون_الرقم,0)),"")</f>
        <v/>
      </c>
      <c r="C215" s="40" t="n"/>
      <c r="D215" s="40" t="n"/>
      <c r="E215" s="110" t="n"/>
      <c r="F215" s="110" t="n"/>
      <c r="G215" s="40" t="n"/>
      <c r="H215" s="40" t="n"/>
      <c r="I215" s="44">
        <f>IF(OR($A215="",$F215=""),"",$F215-TODAY())</f>
        <v/>
      </c>
      <c r="J215" s="40" t="n"/>
      <c r="K215">
        <f>IF(AND(ISNUMBER($I215),$I215&lt;=تنبيه_وثيقة_90),SUMPRODUCT(ISNUMBER($I$3:$I$502)*($I$3:$I$502&lt;=تنبيه_وثيقة_90)*(ROW($I$3:$I$502)&lt;=ROW())),"")</f>
        <v/>
      </c>
    </row>
    <row r="216">
      <c r="A216" s="47" t="n"/>
      <c r="B216" s="50">
        <f>IFERROR(INDEX(الموظفون_الاسم,MATCH($A216,الموظفون_الرقم,0)),"")</f>
        <v/>
      </c>
      <c r="C216" s="47" t="n"/>
      <c r="D216" s="47" t="n"/>
      <c r="E216" s="112" t="n"/>
      <c r="F216" s="112" t="n"/>
      <c r="G216" s="47" t="n"/>
      <c r="H216" s="47" t="n"/>
      <c r="I216" s="51">
        <f>IF(OR($A216="",$F216=""),"",$F216-TODAY())</f>
        <v/>
      </c>
      <c r="J216" s="47" t="n"/>
      <c r="K216">
        <f>IF(AND(ISNUMBER($I216),$I216&lt;=تنبيه_وثيقة_90),SUMPRODUCT(ISNUMBER($I$3:$I$502)*($I$3:$I$502&lt;=تنبيه_وثيقة_90)*(ROW($I$3:$I$502)&lt;=ROW())),"")</f>
        <v/>
      </c>
    </row>
    <row r="217">
      <c r="A217" s="40" t="n"/>
      <c r="B217" s="43">
        <f>IFERROR(INDEX(الموظفون_الاسم,MATCH($A217,الموظفون_الرقم,0)),"")</f>
        <v/>
      </c>
      <c r="C217" s="40" t="n"/>
      <c r="D217" s="40" t="n"/>
      <c r="E217" s="110" t="n"/>
      <c r="F217" s="110" t="n"/>
      <c r="G217" s="40" t="n"/>
      <c r="H217" s="40" t="n"/>
      <c r="I217" s="44">
        <f>IF(OR($A217="",$F217=""),"",$F217-TODAY())</f>
        <v/>
      </c>
      <c r="J217" s="40" t="n"/>
      <c r="K217">
        <f>IF(AND(ISNUMBER($I217),$I217&lt;=تنبيه_وثيقة_90),SUMPRODUCT(ISNUMBER($I$3:$I$502)*($I$3:$I$502&lt;=تنبيه_وثيقة_90)*(ROW($I$3:$I$502)&lt;=ROW())),"")</f>
        <v/>
      </c>
    </row>
    <row r="218">
      <c r="A218" s="47" t="n"/>
      <c r="B218" s="50">
        <f>IFERROR(INDEX(الموظفون_الاسم,MATCH($A218,الموظفون_الرقم,0)),"")</f>
        <v/>
      </c>
      <c r="C218" s="47" t="n"/>
      <c r="D218" s="47" t="n"/>
      <c r="E218" s="112" t="n"/>
      <c r="F218" s="112" t="n"/>
      <c r="G218" s="47" t="n"/>
      <c r="H218" s="47" t="n"/>
      <c r="I218" s="51">
        <f>IF(OR($A218="",$F218=""),"",$F218-TODAY())</f>
        <v/>
      </c>
      <c r="J218" s="47" t="n"/>
      <c r="K218">
        <f>IF(AND(ISNUMBER($I218),$I218&lt;=تنبيه_وثيقة_90),SUMPRODUCT(ISNUMBER($I$3:$I$502)*($I$3:$I$502&lt;=تنبيه_وثيقة_90)*(ROW($I$3:$I$502)&lt;=ROW())),"")</f>
        <v/>
      </c>
    </row>
    <row r="219">
      <c r="A219" s="40" t="n"/>
      <c r="B219" s="43">
        <f>IFERROR(INDEX(الموظفون_الاسم,MATCH($A219,الموظفون_الرقم,0)),"")</f>
        <v/>
      </c>
      <c r="C219" s="40" t="n"/>
      <c r="D219" s="40" t="n"/>
      <c r="E219" s="110" t="n"/>
      <c r="F219" s="110" t="n"/>
      <c r="G219" s="40" t="n"/>
      <c r="H219" s="40" t="n"/>
      <c r="I219" s="44">
        <f>IF(OR($A219="",$F219=""),"",$F219-TODAY())</f>
        <v/>
      </c>
      <c r="J219" s="40" t="n"/>
      <c r="K219">
        <f>IF(AND(ISNUMBER($I219),$I219&lt;=تنبيه_وثيقة_90),SUMPRODUCT(ISNUMBER($I$3:$I$502)*($I$3:$I$502&lt;=تنبيه_وثيقة_90)*(ROW($I$3:$I$502)&lt;=ROW())),"")</f>
        <v/>
      </c>
    </row>
    <row r="220">
      <c r="A220" s="47" t="n"/>
      <c r="B220" s="50">
        <f>IFERROR(INDEX(الموظفون_الاسم,MATCH($A220,الموظفون_الرقم,0)),"")</f>
        <v/>
      </c>
      <c r="C220" s="47" t="n"/>
      <c r="D220" s="47" t="n"/>
      <c r="E220" s="112" t="n"/>
      <c r="F220" s="112" t="n"/>
      <c r="G220" s="47" t="n"/>
      <c r="H220" s="47" t="n"/>
      <c r="I220" s="51">
        <f>IF(OR($A220="",$F220=""),"",$F220-TODAY())</f>
        <v/>
      </c>
      <c r="J220" s="47" t="n"/>
      <c r="K220">
        <f>IF(AND(ISNUMBER($I220),$I220&lt;=تنبيه_وثيقة_90),SUMPRODUCT(ISNUMBER($I$3:$I$502)*($I$3:$I$502&lt;=تنبيه_وثيقة_90)*(ROW($I$3:$I$502)&lt;=ROW())),"")</f>
        <v/>
      </c>
    </row>
    <row r="221">
      <c r="A221" s="40" t="n"/>
      <c r="B221" s="43">
        <f>IFERROR(INDEX(الموظفون_الاسم,MATCH($A221,الموظفون_الرقم,0)),"")</f>
        <v/>
      </c>
      <c r="C221" s="40" t="n"/>
      <c r="D221" s="40" t="n"/>
      <c r="E221" s="110" t="n"/>
      <c r="F221" s="110" t="n"/>
      <c r="G221" s="40" t="n"/>
      <c r="H221" s="40" t="n"/>
      <c r="I221" s="44">
        <f>IF(OR($A221="",$F221=""),"",$F221-TODAY())</f>
        <v/>
      </c>
      <c r="J221" s="40" t="n"/>
      <c r="K221">
        <f>IF(AND(ISNUMBER($I221),$I221&lt;=تنبيه_وثيقة_90),SUMPRODUCT(ISNUMBER($I$3:$I$502)*($I$3:$I$502&lt;=تنبيه_وثيقة_90)*(ROW($I$3:$I$502)&lt;=ROW())),"")</f>
        <v/>
      </c>
    </row>
    <row r="222">
      <c r="A222" s="47" t="n"/>
      <c r="B222" s="50">
        <f>IFERROR(INDEX(الموظفون_الاسم,MATCH($A222,الموظفون_الرقم,0)),"")</f>
        <v/>
      </c>
      <c r="C222" s="47" t="n"/>
      <c r="D222" s="47" t="n"/>
      <c r="E222" s="112" t="n"/>
      <c r="F222" s="112" t="n"/>
      <c r="G222" s="47" t="n"/>
      <c r="H222" s="47" t="n"/>
      <c r="I222" s="51">
        <f>IF(OR($A222="",$F222=""),"",$F222-TODAY())</f>
        <v/>
      </c>
      <c r="J222" s="47" t="n"/>
      <c r="K222">
        <f>IF(AND(ISNUMBER($I222),$I222&lt;=تنبيه_وثيقة_90),SUMPRODUCT(ISNUMBER($I$3:$I$502)*($I$3:$I$502&lt;=تنبيه_وثيقة_90)*(ROW($I$3:$I$502)&lt;=ROW())),"")</f>
        <v/>
      </c>
    </row>
    <row r="223">
      <c r="A223" s="40" t="n"/>
      <c r="B223" s="43">
        <f>IFERROR(INDEX(الموظفون_الاسم,MATCH($A223,الموظفون_الرقم,0)),"")</f>
        <v/>
      </c>
      <c r="C223" s="40" t="n"/>
      <c r="D223" s="40" t="n"/>
      <c r="E223" s="110" t="n"/>
      <c r="F223" s="110" t="n"/>
      <c r="G223" s="40" t="n"/>
      <c r="H223" s="40" t="n"/>
      <c r="I223" s="44">
        <f>IF(OR($A223="",$F223=""),"",$F223-TODAY())</f>
        <v/>
      </c>
      <c r="J223" s="40" t="n"/>
      <c r="K223">
        <f>IF(AND(ISNUMBER($I223),$I223&lt;=تنبيه_وثيقة_90),SUMPRODUCT(ISNUMBER($I$3:$I$502)*($I$3:$I$502&lt;=تنبيه_وثيقة_90)*(ROW($I$3:$I$502)&lt;=ROW())),"")</f>
        <v/>
      </c>
    </row>
    <row r="224">
      <c r="A224" s="47" t="n"/>
      <c r="B224" s="50">
        <f>IFERROR(INDEX(الموظفون_الاسم,MATCH($A224,الموظفون_الرقم,0)),"")</f>
        <v/>
      </c>
      <c r="C224" s="47" t="n"/>
      <c r="D224" s="47" t="n"/>
      <c r="E224" s="112" t="n"/>
      <c r="F224" s="112" t="n"/>
      <c r="G224" s="47" t="n"/>
      <c r="H224" s="47" t="n"/>
      <c r="I224" s="51">
        <f>IF(OR($A224="",$F224=""),"",$F224-TODAY())</f>
        <v/>
      </c>
      <c r="J224" s="47" t="n"/>
      <c r="K224">
        <f>IF(AND(ISNUMBER($I224),$I224&lt;=تنبيه_وثيقة_90),SUMPRODUCT(ISNUMBER($I$3:$I$502)*($I$3:$I$502&lt;=تنبيه_وثيقة_90)*(ROW($I$3:$I$502)&lt;=ROW())),"")</f>
        <v/>
      </c>
    </row>
    <row r="225">
      <c r="A225" s="40" t="n"/>
      <c r="B225" s="43">
        <f>IFERROR(INDEX(الموظفون_الاسم,MATCH($A225,الموظفون_الرقم,0)),"")</f>
        <v/>
      </c>
      <c r="C225" s="40" t="n"/>
      <c r="D225" s="40" t="n"/>
      <c r="E225" s="110" t="n"/>
      <c r="F225" s="110" t="n"/>
      <c r="G225" s="40" t="n"/>
      <c r="H225" s="40" t="n"/>
      <c r="I225" s="44">
        <f>IF(OR($A225="",$F225=""),"",$F225-TODAY())</f>
        <v/>
      </c>
      <c r="J225" s="40" t="n"/>
      <c r="K225">
        <f>IF(AND(ISNUMBER($I225),$I225&lt;=تنبيه_وثيقة_90),SUMPRODUCT(ISNUMBER($I$3:$I$502)*($I$3:$I$502&lt;=تنبيه_وثيقة_90)*(ROW($I$3:$I$502)&lt;=ROW())),"")</f>
        <v/>
      </c>
    </row>
    <row r="226">
      <c r="A226" s="47" t="n"/>
      <c r="B226" s="50">
        <f>IFERROR(INDEX(الموظفون_الاسم,MATCH($A226,الموظفون_الرقم,0)),"")</f>
        <v/>
      </c>
      <c r="C226" s="47" t="n"/>
      <c r="D226" s="47" t="n"/>
      <c r="E226" s="112" t="n"/>
      <c r="F226" s="112" t="n"/>
      <c r="G226" s="47" t="n"/>
      <c r="H226" s="47" t="n"/>
      <c r="I226" s="51">
        <f>IF(OR($A226="",$F226=""),"",$F226-TODAY())</f>
        <v/>
      </c>
      <c r="J226" s="47" t="n"/>
      <c r="K226">
        <f>IF(AND(ISNUMBER($I226),$I226&lt;=تنبيه_وثيقة_90),SUMPRODUCT(ISNUMBER($I$3:$I$502)*($I$3:$I$502&lt;=تنبيه_وثيقة_90)*(ROW($I$3:$I$502)&lt;=ROW())),"")</f>
        <v/>
      </c>
    </row>
    <row r="227">
      <c r="A227" s="40" t="n"/>
      <c r="B227" s="43">
        <f>IFERROR(INDEX(الموظفون_الاسم,MATCH($A227,الموظفون_الرقم,0)),"")</f>
        <v/>
      </c>
      <c r="C227" s="40" t="n"/>
      <c r="D227" s="40" t="n"/>
      <c r="E227" s="110" t="n"/>
      <c r="F227" s="110" t="n"/>
      <c r="G227" s="40" t="n"/>
      <c r="H227" s="40" t="n"/>
      <c r="I227" s="44">
        <f>IF(OR($A227="",$F227=""),"",$F227-TODAY())</f>
        <v/>
      </c>
      <c r="J227" s="40" t="n"/>
      <c r="K227">
        <f>IF(AND(ISNUMBER($I227),$I227&lt;=تنبيه_وثيقة_90),SUMPRODUCT(ISNUMBER($I$3:$I$502)*($I$3:$I$502&lt;=تنبيه_وثيقة_90)*(ROW($I$3:$I$502)&lt;=ROW())),"")</f>
        <v/>
      </c>
    </row>
    <row r="228">
      <c r="A228" s="47" t="n"/>
      <c r="B228" s="50">
        <f>IFERROR(INDEX(الموظفون_الاسم,MATCH($A228,الموظفون_الرقم,0)),"")</f>
        <v/>
      </c>
      <c r="C228" s="47" t="n"/>
      <c r="D228" s="47" t="n"/>
      <c r="E228" s="112" t="n"/>
      <c r="F228" s="112" t="n"/>
      <c r="G228" s="47" t="n"/>
      <c r="H228" s="47" t="n"/>
      <c r="I228" s="51">
        <f>IF(OR($A228="",$F228=""),"",$F228-TODAY())</f>
        <v/>
      </c>
      <c r="J228" s="47" t="n"/>
      <c r="K228">
        <f>IF(AND(ISNUMBER($I228),$I228&lt;=تنبيه_وثيقة_90),SUMPRODUCT(ISNUMBER($I$3:$I$502)*($I$3:$I$502&lt;=تنبيه_وثيقة_90)*(ROW($I$3:$I$502)&lt;=ROW())),"")</f>
        <v/>
      </c>
    </row>
    <row r="229">
      <c r="A229" s="40" t="n"/>
      <c r="B229" s="43">
        <f>IFERROR(INDEX(الموظفون_الاسم,MATCH($A229,الموظفون_الرقم,0)),"")</f>
        <v/>
      </c>
      <c r="C229" s="40" t="n"/>
      <c r="D229" s="40" t="n"/>
      <c r="E229" s="110" t="n"/>
      <c r="F229" s="110" t="n"/>
      <c r="G229" s="40" t="n"/>
      <c r="H229" s="40" t="n"/>
      <c r="I229" s="44">
        <f>IF(OR($A229="",$F229=""),"",$F229-TODAY())</f>
        <v/>
      </c>
      <c r="J229" s="40" t="n"/>
      <c r="K229">
        <f>IF(AND(ISNUMBER($I229),$I229&lt;=تنبيه_وثيقة_90),SUMPRODUCT(ISNUMBER($I$3:$I$502)*($I$3:$I$502&lt;=تنبيه_وثيقة_90)*(ROW($I$3:$I$502)&lt;=ROW())),"")</f>
        <v/>
      </c>
    </row>
    <row r="230">
      <c r="A230" s="47" t="n"/>
      <c r="B230" s="50">
        <f>IFERROR(INDEX(الموظفون_الاسم,MATCH($A230,الموظفون_الرقم,0)),"")</f>
        <v/>
      </c>
      <c r="C230" s="47" t="n"/>
      <c r="D230" s="47" t="n"/>
      <c r="E230" s="112" t="n"/>
      <c r="F230" s="112" t="n"/>
      <c r="G230" s="47" t="n"/>
      <c r="H230" s="47" t="n"/>
      <c r="I230" s="51">
        <f>IF(OR($A230="",$F230=""),"",$F230-TODAY())</f>
        <v/>
      </c>
      <c r="J230" s="47" t="n"/>
      <c r="K230">
        <f>IF(AND(ISNUMBER($I230),$I230&lt;=تنبيه_وثيقة_90),SUMPRODUCT(ISNUMBER($I$3:$I$502)*($I$3:$I$502&lt;=تنبيه_وثيقة_90)*(ROW($I$3:$I$502)&lt;=ROW())),"")</f>
        <v/>
      </c>
    </row>
    <row r="231">
      <c r="A231" s="40" t="n"/>
      <c r="B231" s="43">
        <f>IFERROR(INDEX(الموظفون_الاسم,MATCH($A231,الموظفون_الرقم,0)),"")</f>
        <v/>
      </c>
      <c r="C231" s="40" t="n"/>
      <c r="D231" s="40" t="n"/>
      <c r="E231" s="110" t="n"/>
      <c r="F231" s="110" t="n"/>
      <c r="G231" s="40" t="n"/>
      <c r="H231" s="40" t="n"/>
      <c r="I231" s="44">
        <f>IF(OR($A231="",$F231=""),"",$F231-TODAY())</f>
        <v/>
      </c>
      <c r="J231" s="40" t="n"/>
      <c r="K231">
        <f>IF(AND(ISNUMBER($I231),$I231&lt;=تنبيه_وثيقة_90),SUMPRODUCT(ISNUMBER($I$3:$I$502)*($I$3:$I$502&lt;=تنبيه_وثيقة_90)*(ROW($I$3:$I$502)&lt;=ROW())),"")</f>
        <v/>
      </c>
    </row>
    <row r="232">
      <c r="A232" s="47" t="n"/>
      <c r="B232" s="50">
        <f>IFERROR(INDEX(الموظفون_الاسم,MATCH($A232,الموظفون_الرقم,0)),"")</f>
        <v/>
      </c>
      <c r="C232" s="47" t="n"/>
      <c r="D232" s="47" t="n"/>
      <c r="E232" s="112" t="n"/>
      <c r="F232" s="112" t="n"/>
      <c r="G232" s="47" t="n"/>
      <c r="H232" s="47" t="n"/>
      <c r="I232" s="51">
        <f>IF(OR($A232="",$F232=""),"",$F232-TODAY())</f>
        <v/>
      </c>
      <c r="J232" s="47" t="n"/>
      <c r="K232">
        <f>IF(AND(ISNUMBER($I232),$I232&lt;=تنبيه_وثيقة_90),SUMPRODUCT(ISNUMBER($I$3:$I$502)*($I$3:$I$502&lt;=تنبيه_وثيقة_90)*(ROW($I$3:$I$502)&lt;=ROW())),"")</f>
        <v/>
      </c>
    </row>
    <row r="233">
      <c r="A233" s="40" t="n"/>
      <c r="B233" s="43">
        <f>IFERROR(INDEX(الموظفون_الاسم,MATCH($A233,الموظفون_الرقم,0)),"")</f>
        <v/>
      </c>
      <c r="C233" s="40" t="n"/>
      <c r="D233" s="40" t="n"/>
      <c r="E233" s="110" t="n"/>
      <c r="F233" s="110" t="n"/>
      <c r="G233" s="40" t="n"/>
      <c r="H233" s="40" t="n"/>
      <c r="I233" s="44">
        <f>IF(OR($A233="",$F233=""),"",$F233-TODAY())</f>
        <v/>
      </c>
      <c r="J233" s="40" t="n"/>
      <c r="K233">
        <f>IF(AND(ISNUMBER($I233),$I233&lt;=تنبيه_وثيقة_90),SUMPRODUCT(ISNUMBER($I$3:$I$502)*($I$3:$I$502&lt;=تنبيه_وثيقة_90)*(ROW($I$3:$I$502)&lt;=ROW())),"")</f>
        <v/>
      </c>
    </row>
    <row r="234">
      <c r="A234" s="47" t="n"/>
      <c r="B234" s="50">
        <f>IFERROR(INDEX(الموظفون_الاسم,MATCH($A234,الموظفون_الرقم,0)),"")</f>
        <v/>
      </c>
      <c r="C234" s="47" t="n"/>
      <c r="D234" s="47" t="n"/>
      <c r="E234" s="112" t="n"/>
      <c r="F234" s="112" t="n"/>
      <c r="G234" s="47" t="n"/>
      <c r="H234" s="47" t="n"/>
      <c r="I234" s="51">
        <f>IF(OR($A234="",$F234=""),"",$F234-TODAY())</f>
        <v/>
      </c>
      <c r="J234" s="47" t="n"/>
      <c r="K234">
        <f>IF(AND(ISNUMBER($I234),$I234&lt;=تنبيه_وثيقة_90),SUMPRODUCT(ISNUMBER($I$3:$I$502)*($I$3:$I$502&lt;=تنبيه_وثيقة_90)*(ROW($I$3:$I$502)&lt;=ROW())),"")</f>
        <v/>
      </c>
    </row>
    <row r="235">
      <c r="A235" s="40" t="n"/>
      <c r="B235" s="43">
        <f>IFERROR(INDEX(الموظفون_الاسم,MATCH($A235,الموظفون_الرقم,0)),"")</f>
        <v/>
      </c>
      <c r="C235" s="40" t="n"/>
      <c r="D235" s="40" t="n"/>
      <c r="E235" s="110" t="n"/>
      <c r="F235" s="110" t="n"/>
      <c r="G235" s="40" t="n"/>
      <c r="H235" s="40" t="n"/>
      <c r="I235" s="44">
        <f>IF(OR($A235="",$F235=""),"",$F235-TODAY())</f>
        <v/>
      </c>
      <c r="J235" s="40" t="n"/>
      <c r="K235">
        <f>IF(AND(ISNUMBER($I235),$I235&lt;=تنبيه_وثيقة_90),SUMPRODUCT(ISNUMBER($I$3:$I$502)*($I$3:$I$502&lt;=تنبيه_وثيقة_90)*(ROW($I$3:$I$502)&lt;=ROW())),"")</f>
        <v/>
      </c>
    </row>
    <row r="236">
      <c r="A236" s="47" t="n"/>
      <c r="B236" s="50">
        <f>IFERROR(INDEX(الموظفون_الاسم,MATCH($A236,الموظفون_الرقم,0)),"")</f>
        <v/>
      </c>
      <c r="C236" s="47" t="n"/>
      <c r="D236" s="47" t="n"/>
      <c r="E236" s="112" t="n"/>
      <c r="F236" s="112" t="n"/>
      <c r="G236" s="47" t="n"/>
      <c r="H236" s="47" t="n"/>
      <c r="I236" s="51">
        <f>IF(OR($A236="",$F236=""),"",$F236-TODAY())</f>
        <v/>
      </c>
      <c r="J236" s="47" t="n"/>
      <c r="K236">
        <f>IF(AND(ISNUMBER($I236),$I236&lt;=تنبيه_وثيقة_90),SUMPRODUCT(ISNUMBER($I$3:$I$502)*($I$3:$I$502&lt;=تنبيه_وثيقة_90)*(ROW($I$3:$I$502)&lt;=ROW())),"")</f>
        <v/>
      </c>
    </row>
    <row r="237">
      <c r="A237" s="40" t="n"/>
      <c r="B237" s="43">
        <f>IFERROR(INDEX(الموظفون_الاسم,MATCH($A237,الموظفون_الرقم,0)),"")</f>
        <v/>
      </c>
      <c r="C237" s="40" t="n"/>
      <c r="D237" s="40" t="n"/>
      <c r="E237" s="110" t="n"/>
      <c r="F237" s="110" t="n"/>
      <c r="G237" s="40" t="n"/>
      <c r="H237" s="40" t="n"/>
      <c r="I237" s="44">
        <f>IF(OR($A237="",$F237=""),"",$F237-TODAY())</f>
        <v/>
      </c>
      <c r="J237" s="40" t="n"/>
      <c r="K237">
        <f>IF(AND(ISNUMBER($I237),$I237&lt;=تنبيه_وثيقة_90),SUMPRODUCT(ISNUMBER($I$3:$I$502)*($I$3:$I$502&lt;=تنبيه_وثيقة_90)*(ROW($I$3:$I$502)&lt;=ROW())),"")</f>
        <v/>
      </c>
    </row>
    <row r="238">
      <c r="A238" s="47" t="n"/>
      <c r="B238" s="50">
        <f>IFERROR(INDEX(الموظفون_الاسم,MATCH($A238,الموظفون_الرقم,0)),"")</f>
        <v/>
      </c>
      <c r="C238" s="47" t="n"/>
      <c r="D238" s="47" t="n"/>
      <c r="E238" s="112" t="n"/>
      <c r="F238" s="112" t="n"/>
      <c r="G238" s="47" t="n"/>
      <c r="H238" s="47" t="n"/>
      <c r="I238" s="51">
        <f>IF(OR($A238="",$F238=""),"",$F238-TODAY())</f>
        <v/>
      </c>
      <c r="J238" s="47" t="n"/>
      <c r="K238">
        <f>IF(AND(ISNUMBER($I238),$I238&lt;=تنبيه_وثيقة_90),SUMPRODUCT(ISNUMBER($I$3:$I$502)*($I$3:$I$502&lt;=تنبيه_وثيقة_90)*(ROW($I$3:$I$502)&lt;=ROW())),"")</f>
        <v/>
      </c>
    </row>
    <row r="239">
      <c r="A239" s="40" t="n"/>
      <c r="B239" s="43">
        <f>IFERROR(INDEX(الموظفون_الاسم,MATCH($A239,الموظفون_الرقم,0)),"")</f>
        <v/>
      </c>
      <c r="C239" s="40" t="n"/>
      <c r="D239" s="40" t="n"/>
      <c r="E239" s="110" t="n"/>
      <c r="F239" s="110" t="n"/>
      <c r="G239" s="40" t="n"/>
      <c r="H239" s="40" t="n"/>
      <c r="I239" s="44">
        <f>IF(OR($A239="",$F239=""),"",$F239-TODAY())</f>
        <v/>
      </c>
      <c r="J239" s="40" t="n"/>
      <c r="K239">
        <f>IF(AND(ISNUMBER($I239),$I239&lt;=تنبيه_وثيقة_90),SUMPRODUCT(ISNUMBER($I$3:$I$502)*($I$3:$I$502&lt;=تنبيه_وثيقة_90)*(ROW($I$3:$I$502)&lt;=ROW())),"")</f>
        <v/>
      </c>
    </row>
    <row r="240">
      <c r="A240" s="47" t="n"/>
      <c r="B240" s="50">
        <f>IFERROR(INDEX(الموظفون_الاسم,MATCH($A240,الموظفون_الرقم,0)),"")</f>
        <v/>
      </c>
      <c r="C240" s="47" t="n"/>
      <c r="D240" s="47" t="n"/>
      <c r="E240" s="112" t="n"/>
      <c r="F240" s="112" t="n"/>
      <c r="G240" s="47" t="n"/>
      <c r="H240" s="47" t="n"/>
      <c r="I240" s="51">
        <f>IF(OR($A240="",$F240=""),"",$F240-TODAY())</f>
        <v/>
      </c>
      <c r="J240" s="47" t="n"/>
      <c r="K240">
        <f>IF(AND(ISNUMBER($I240),$I240&lt;=تنبيه_وثيقة_90),SUMPRODUCT(ISNUMBER($I$3:$I$502)*($I$3:$I$502&lt;=تنبيه_وثيقة_90)*(ROW($I$3:$I$502)&lt;=ROW())),"")</f>
        <v/>
      </c>
    </row>
    <row r="241">
      <c r="A241" s="40" t="n"/>
      <c r="B241" s="43">
        <f>IFERROR(INDEX(الموظفون_الاسم,MATCH($A241,الموظفون_الرقم,0)),"")</f>
        <v/>
      </c>
      <c r="C241" s="40" t="n"/>
      <c r="D241" s="40" t="n"/>
      <c r="E241" s="110" t="n"/>
      <c r="F241" s="110" t="n"/>
      <c r="G241" s="40" t="n"/>
      <c r="H241" s="40" t="n"/>
      <c r="I241" s="44">
        <f>IF(OR($A241="",$F241=""),"",$F241-TODAY())</f>
        <v/>
      </c>
      <c r="J241" s="40" t="n"/>
      <c r="K241">
        <f>IF(AND(ISNUMBER($I241),$I241&lt;=تنبيه_وثيقة_90),SUMPRODUCT(ISNUMBER($I$3:$I$502)*($I$3:$I$502&lt;=تنبيه_وثيقة_90)*(ROW($I$3:$I$502)&lt;=ROW())),"")</f>
        <v/>
      </c>
    </row>
    <row r="242">
      <c r="A242" s="47" t="n"/>
      <c r="B242" s="50">
        <f>IFERROR(INDEX(الموظفون_الاسم,MATCH($A242,الموظفون_الرقم,0)),"")</f>
        <v/>
      </c>
      <c r="C242" s="47" t="n"/>
      <c r="D242" s="47" t="n"/>
      <c r="E242" s="112" t="n"/>
      <c r="F242" s="112" t="n"/>
      <c r="G242" s="47" t="n"/>
      <c r="H242" s="47" t="n"/>
      <c r="I242" s="51">
        <f>IF(OR($A242="",$F242=""),"",$F242-TODAY())</f>
        <v/>
      </c>
      <c r="J242" s="47" t="n"/>
      <c r="K242">
        <f>IF(AND(ISNUMBER($I242),$I242&lt;=تنبيه_وثيقة_90),SUMPRODUCT(ISNUMBER($I$3:$I$502)*($I$3:$I$502&lt;=تنبيه_وثيقة_90)*(ROW($I$3:$I$502)&lt;=ROW())),"")</f>
        <v/>
      </c>
    </row>
    <row r="243">
      <c r="A243" s="40" t="n"/>
      <c r="B243" s="43">
        <f>IFERROR(INDEX(الموظفون_الاسم,MATCH($A243,الموظفون_الرقم,0)),"")</f>
        <v/>
      </c>
      <c r="C243" s="40" t="n"/>
      <c r="D243" s="40" t="n"/>
      <c r="E243" s="110" t="n"/>
      <c r="F243" s="110" t="n"/>
      <c r="G243" s="40" t="n"/>
      <c r="H243" s="40" t="n"/>
      <c r="I243" s="44">
        <f>IF(OR($A243="",$F243=""),"",$F243-TODAY())</f>
        <v/>
      </c>
      <c r="J243" s="40" t="n"/>
      <c r="K243">
        <f>IF(AND(ISNUMBER($I243),$I243&lt;=تنبيه_وثيقة_90),SUMPRODUCT(ISNUMBER($I$3:$I$502)*($I$3:$I$502&lt;=تنبيه_وثيقة_90)*(ROW($I$3:$I$502)&lt;=ROW())),"")</f>
        <v/>
      </c>
    </row>
    <row r="244">
      <c r="A244" s="47" t="n"/>
      <c r="B244" s="50">
        <f>IFERROR(INDEX(الموظفون_الاسم,MATCH($A244,الموظفون_الرقم,0)),"")</f>
        <v/>
      </c>
      <c r="C244" s="47" t="n"/>
      <c r="D244" s="47" t="n"/>
      <c r="E244" s="112" t="n"/>
      <c r="F244" s="112" t="n"/>
      <c r="G244" s="47" t="n"/>
      <c r="H244" s="47" t="n"/>
      <c r="I244" s="51">
        <f>IF(OR($A244="",$F244=""),"",$F244-TODAY())</f>
        <v/>
      </c>
      <c r="J244" s="47" t="n"/>
      <c r="K244">
        <f>IF(AND(ISNUMBER($I244),$I244&lt;=تنبيه_وثيقة_90),SUMPRODUCT(ISNUMBER($I$3:$I$502)*($I$3:$I$502&lt;=تنبيه_وثيقة_90)*(ROW($I$3:$I$502)&lt;=ROW())),"")</f>
        <v/>
      </c>
    </row>
    <row r="245">
      <c r="A245" s="40" t="n"/>
      <c r="B245" s="43">
        <f>IFERROR(INDEX(الموظفون_الاسم,MATCH($A245,الموظفون_الرقم,0)),"")</f>
        <v/>
      </c>
      <c r="C245" s="40" t="n"/>
      <c r="D245" s="40" t="n"/>
      <c r="E245" s="110" t="n"/>
      <c r="F245" s="110" t="n"/>
      <c r="G245" s="40" t="n"/>
      <c r="H245" s="40" t="n"/>
      <c r="I245" s="44">
        <f>IF(OR($A245="",$F245=""),"",$F245-TODAY())</f>
        <v/>
      </c>
      <c r="J245" s="40" t="n"/>
      <c r="K245">
        <f>IF(AND(ISNUMBER($I245),$I245&lt;=تنبيه_وثيقة_90),SUMPRODUCT(ISNUMBER($I$3:$I$502)*($I$3:$I$502&lt;=تنبيه_وثيقة_90)*(ROW($I$3:$I$502)&lt;=ROW())),"")</f>
        <v/>
      </c>
    </row>
    <row r="246">
      <c r="A246" s="47" t="n"/>
      <c r="B246" s="50">
        <f>IFERROR(INDEX(الموظفون_الاسم,MATCH($A246,الموظفون_الرقم,0)),"")</f>
        <v/>
      </c>
      <c r="C246" s="47" t="n"/>
      <c r="D246" s="47" t="n"/>
      <c r="E246" s="112" t="n"/>
      <c r="F246" s="112" t="n"/>
      <c r="G246" s="47" t="n"/>
      <c r="H246" s="47" t="n"/>
      <c r="I246" s="51">
        <f>IF(OR($A246="",$F246=""),"",$F246-TODAY())</f>
        <v/>
      </c>
      <c r="J246" s="47" t="n"/>
      <c r="K246">
        <f>IF(AND(ISNUMBER($I246),$I246&lt;=تنبيه_وثيقة_90),SUMPRODUCT(ISNUMBER($I$3:$I$502)*($I$3:$I$502&lt;=تنبيه_وثيقة_90)*(ROW($I$3:$I$502)&lt;=ROW())),"")</f>
        <v/>
      </c>
    </row>
    <row r="247">
      <c r="A247" s="40" t="n"/>
      <c r="B247" s="43">
        <f>IFERROR(INDEX(الموظفون_الاسم,MATCH($A247,الموظفون_الرقم,0)),"")</f>
        <v/>
      </c>
      <c r="C247" s="40" t="n"/>
      <c r="D247" s="40" t="n"/>
      <c r="E247" s="110" t="n"/>
      <c r="F247" s="110" t="n"/>
      <c r="G247" s="40" t="n"/>
      <c r="H247" s="40" t="n"/>
      <c r="I247" s="44">
        <f>IF(OR($A247="",$F247=""),"",$F247-TODAY())</f>
        <v/>
      </c>
      <c r="J247" s="40" t="n"/>
      <c r="K247">
        <f>IF(AND(ISNUMBER($I247),$I247&lt;=تنبيه_وثيقة_90),SUMPRODUCT(ISNUMBER($I$3:$I$502)*($I$3:$I$502&lt;=تنبيه_وثيقة_90)*(ROW($I$3:$I$502)&lt;=ROW())),"")</f>
        <v/>
      </c>
    </row>
    <row r="248">
      <c r="A248" s="47" t="n"/>
      <c r="B248" s="50">
        <f>IFERROR(INDEX(الموظفون_الاسم,MATCH($A248,الموظفون_الرقم,0)),"")</f>
        <v/>
      </c>
      <c r="C248" s="47" t="n"/>
      <c r="D248" s="47" t="n"/>
      <c r="E248" s="112" t="n"/>
      <c r="F248" s="112" t="n"/>
      <c r="G248" s="47" t="n"/>
      <c r="H248" s="47" t="n"/>
      <c r="I248" s="51">
        <f>IF(OR($A248="",$F248=""),"",$F248-TODAY())</f>
        <v/>
      </c>
      <c r="J248" s="47" t="n"/>
      <c r="K248">
        <f>IF(AND(ISNUMBER($I248),$I248&lt;=تنبيه_وثيقة_90),SUMPRODUCT(ISNUMBER($I$3:$I$502)*($I$3:$I$502&lt;=تنبيه_وثيقة_90)*(ROW($I$3:$I$502)&lt;=ROW())),"")</f>
        <v/>
      </c>
    </row>
    <row r="249">
      <c r="A249" s="40" t="n"/>
      <c r="B249" s="43">
        <f>IFERROR(INDEX(الموظفون_الاسم,MATCH($A249,الموظفون_الرقم,0)),"")</f>
        <v/>
      </c>
      <c r="C249" s="40" t="n"/>
      <c r="D249" s="40" t="n"/>
      <c r="E249" s="110" t="n"/>
      <c r="F249" s="110" t="n"/>
      <c r="G249" s="40" t="n"/>
      <c r="H249" s="40" t="n"/>
      <c r="I249" s="44">
        <f>IF(OR($A249="",$F249=""),"",$F249-TODAY())</f>
        <v/>
      </c>
      <c r="J249" s="40" t="n"/>
      <c r="K249">
        <f>IF(AND(ISNUMBER($I249),$I249&lt;=تنبيه_وثيقة_90),SUMPRODUCT(ISNUMBER($I$3:$I$502)*($I$3:$I$502&lt;=تنبيه_وثيقة_90)*(ROW($I$3:$I$502)&lt;=ROW())),"")</f>
        <v/>
      </c>
    </row>
    <row r="250">
      <c r="A250" s="47" t="n"/>
      <c r="B250" s="50">
        <f>IFERROR(INDEX(الموظفون_الاسم,MATCH($A250,الموظفون_الرقم,0)),"")</f>
        <v/>
      </c>
      <c r="C250" s="47" t="n"/>
      <c r="D250" s="47" t="n"/>
      <c r="E250" s="112" t="n"/>
      <c r="F250" s="112" t="n"/>
      <c r="G250" s="47" t="n"/>
      <c r="H250" s="47" t="n"/>
      <c r="I250" s="51">
        <f>IF(OR($A250="",$F250=""),"",$F250-TODAY())</f>
        <v/>
      </c>
      <c r="J250" s="47" t="n"/>
      <c r="K250">
        <f>IF(AND(ISNUMBER($I250),$I250&lt;=تنبيه_وثيقة_90),SUMPRODUCT(ISNUMBER($I$3:$I$502)*($I$3:$I$502&lt;=تنبيه_وثيقة_90)*(ROW($I$3:$I$502)&lt;=ROW())),"")</f>
        <v/>
      </c>
    </row>
    <row r="251">
      <c r="A251" s="40" t="n"/>
      <c r="B251" s="43">
        <f>IFERROR(INDEX(الموظفون_الاسم,MATCH($A251,الموظفون_الرقم,0)),"")</f>
        <v/>
      </c>
      <c r="C251" s="40" t="n"/>
      <c r="D251" s="40" t="n"/>
      <c r="E251" s="110" t="n"/>
      <c r="F251" s="110" t="n"/>
      <c r="G251" s="40" t="n"/>
      <c r="H251" s="40" t="n"/>
      <c r="I251" s="44">
        <f>IF(OR($A251="",$F251=""),"",$F251-TODAY())</f>
        <v/>
      </c>
      <c r="J251" s="40" t="n"/>
      <c r="K251">
        <f>IF(AND(ISNUMBER($I251),$I251&lt;=تنبيه_وثيقة_90),SUMPRODUCT(ISNUMBER($I$3:$I$502)*($I$3:$I$502&lt;=تنبيه_وثيقة_90)*(ROW($I$3:$I$502)&lt;=ROW())),"")</f>
        <v/>
      </c>
    </row>
    <row r="252">
      <c r="A252" s="47" t="n"/>
      <c r="B252" s="50">
        <f>IFERROR(INDEX(الموظفون_الاسم,MATCH($A252,الموظفون_الرقم,0)),"")</f>
        <v/>
      </c>
      <c r="C252" s="47" t="n"/>
      <c r="D252" s="47" t="n"/>
      <c r="E252" s="112" t="n"/>
      <c r="F252" s="112" t="n"/>
      <c r="G252" s="47" t="n"/>
      <c r="H252" s="47" t="n"/>
      <c r="I252" s="51">
        <f>IF(OR($A252="",$F252=""),"",$F252-TODAY())</f>
        <v/>
      </c>
      <c r="J252" s="47" t="n"/>
      <c r="K252">
        <f>IF(AND(ISNUMBER($I252),$I252&lt;=تنبيه_وثيقة_90),SUMPRODUCT(ISNUMBER($I$3:$I$502)*($I$3:$I$502&lt;=تنبيه_وثيقة_90)*(ROW($I$3:$I$502)&lt;=ROW())),"")</f>
        <v/>
      </c>
    </row>
    <row r="253">
      <c r="A253" s="40" t="n"/>
      <c r="B253" s="43">
        <f>IFERROR(INDEX(الموظفون_الاسم,MATCH($A253,الموظفون_الرقم,0)),"")</f>
        <v/>
      </c>
      <c r="C253" s="40" t="n"/>
      <c r="D253" s="40" t="n"/>
      <c r="E253" s="110" t="n"/>
      <c r="F253" s="110" t="n"/>
      <c r="G253" s="40" t="n"/>
      <c r="H253" s="40" t="n"/>
      <c r="I253" s="44">
        <f>IF(OR($A253="",$F253=""),"",$F253-TODAY())</f>
        <v/>
      </c>
      <c r="J253" s="40" t="n"/>
      <c r="K253">
        <f>IF(AND(ISNUMBER($I253),$I253&lt;=تنبيه_وثيقة_90),SUMPRODUCT(ISNUMBER($I$3:$I$502)*($I$3:$I$502&lt;=تنبيه_وثيقة_90)*(ROW($I$3:$I$502)&lt;=ROW())),"")</f>
        <v/>
      </c>
    </row>
    <row r="254">
      <c r="A254" s="47" t="n"/>
      <c r="B254" s="50">
        <f>IFERROR(INDEX(الموظفون_الاسم,MATCH($A254,الموظفون_الرقم,0)),"")</f>
        <v/>
      </c>
      <c r="C254" s="47" t="n"/>
      <c r="D254" s="47" t="n"/>
      <c r="E254" s="112" t="n"/>
      <c r="F254" s="112" t="n"/>
      <c r="G254" s="47" t="n"/>
      <c r="H254" s="47" t="n"/>
      <c r="I254" s="51">
        <f>IF(OR($A254="",$F254=""),"",$F254-TODAY())</f>
        <v/>
      </c>
      <c r="J254" s="47" t="n"/>
      <c r="K254">
        <f>IF(AND(ISNUMBER($I254),$I254&lt;=تنبيه_وثيقة_90),SUMPRODUCT(ISNUMBER($I$3:$I$502)*($I$3:$I$502&lt;=تنبيه_وثيقة_90)*(ROW($I$3:$I$502)&lt;=ROW())),"")</f>
        <v/>
      </c>
    </row>
    <row r="255">
      <c r="A255" s="40" t="n"/>
      <c r="B255" s="43">
        <f>IFERROR(INDEX(الموظفون_الاسم,MATCH($A255,الموظفون_الرقم,0)),"")</f>
        <v/>
      </c>
      <c r="C255" s="40" t="n"/>
      <c r="D255" s="40" t="n"/>
      <c r="E255" s="110" t="n"/>
      <c r="F255" s="110" t="n"/>
      <c r="G255" s="40" t="n"/>
      <c r="H255" s="40" t="n"/>
      <c r="I255" s="44">
        <f>IF(OR($A255="",$F255=""),"",$F255-TODAY())</f>
        <v/>
      </c>
      <c r="J255" s="40" t="n"/>
      <c r="K255">
        <f>IF(AND(ISNUMBER($I255),$I255&lt;=تنبيه_وثيقة_90),SUMPRODUCT(ISNUMBER($I$3:$I$502)*($I$3:$I$502&lt;=تنبيه_وثيقة_90)*(ROW($I$3:$I$502)&lt;=ROW())),"")</f>
        <v/>
      </c>
    </row>
    <row r="256">
      <c r="A256" s="47" t="n"/>
      <c r="B256" s="50">
        <f>IFERROR(INDEX(الموظفون_الاسم,MATCH($A256,الموظفون_الرقم,0)),"")</f>
        <v/>
      </c>
      <c r="C256" s="47" t="n"/>
      <c r="D256" s="47" t="n"/>
      <c r="E256" s="112" t="n"/>
      <c r="F256" s="112" t="n"/>
      <c r="G256" s="47" t="n"/>
      <c r="H256" s="47" t="n"/>
      <c r="I256" s="51">
        <f>IF(OR($A256="",$F256=""),"",$F256-TODAY())</f>
        <v/>
      </c>
      <c r="J256" s="47" t="n"/>
      <c r="K256">
        <f>IF(AND(ISNUMBER($I256),$I256&lt;=تنبيه_وثيقة_90),SUMPRODUCT(ISNUMBER($I$3:$I$502)*($I$3:$I$502&lt;=تنبيه_وثيقة_90)*(ROW($I$3:$I$502)&lt;=ROW())),"")</f>
        <v/>
      </c>
    </row>
    <row r="257">
      <c r="A257" s="40" t="n"/>
      <c r="B257" s="43">
        <f>IFERROR(INDEX(الموظفون_الاسم,MATCH($A257,الموظفون_الرقم,0)),"")</f>
        <v/>
      </c>
      <c r="C257" s="40" t="n"/>
      <c r="D257" s="40" t="n"/>
      <c r="E257" s="110" t="n"/>
      <c r="F257" s="110" t="n"/>
      <c r="G257" s="40" t="n"/>
      <c r="H257" s="40" t="n"/>
      <c r="I257" s="44">
        <f>IF(OR($A257="",$F257=""),"",$F257-TODAY())</f>
        <v/>
      </c>
      <c r="J257" s="40" t="n"/>
      <c r="K257">
        <f>IF(AND(ISNUMBER($I257),$I257&lt;=تنبيه_وثيقة_90),SUMPRODUCT(ISNUMBER($I$3:$I$502)*($I$3:$I$502&lt;=تنبيه_وثيقة_90)*(ROW($I$3:$I$502)&lt;=ROW())),"")</f>
        <v/>
      </c>
    </row>
    <row r="258">
      <c r="A258" s="47" t="n"/>
      <c r="B258" s="50">
        <f>IFERROR(INDEX(الموظفون_الاسم,MATCH($A258,الموظفون_الرقم,0)),"")</f>
        <v/>
      </c>
      <c r="C258" s="47" t="n"/>
      <c r="D258" s="47" t="n"/>
      <c r="E258" s="112" t="n"/>
      <c r="F258" s="112" t="n"/>
      <c r="G258" s="47" t="n"/>
      <c r="H258" s="47" t="n"/>
      <c r="I258" s="51">
        <f>IF(OR($A258="",$F258=""),"",$F258-TODAY())</f>
        <v/>
      </c>
      <c r="J258" s="47" t="n"/>
      <c r="K258">
        <f>IF(AND(ISNUMBER($I258),$I258&lt;=تنبيه_وثيقة_90),SUMPRODUCT(ISNUMBER($I$3:$I$502)*($I$3:$I$502&lt;=تنبيه_وثيقة_90)*(ROW($I$3:$I$502)&lt;=ROW())),"")</f>
        <v/>
      </c>
    </row>
    <row r="259">
      <c r="A259" s="40" t="n"/>
      <c r="B259" s="43">
        <f>IFERROR(INDEX(الموظفون_الاسم,MATCH($A259,الموظفون_الرقم,0)),"")</f>
        <v/>
      </c>
      <c r="C259" s="40" t="n"/>
      <c r="D259" s="40" t="n"/>
      <c r="E259" s="110" t="n"/>
      <c r="F259" s="110" t="n"/>
      <c r="G259" s="40" t="n"/>
      <c r="H259" s="40" t="n"/>
      <c r="I259" s="44">
        <f>IF(OR($A259="",$F259=""),"",$F259-TODAY())</f>
        <v/>
      </c>
      <c r="J259" s="40" t="n"/>
      <c r="K259">
        <f>IF(AND(ISNUMBER($I259),$I259&lt;=تنبيه_وثيقة_90),SUMPRODUCT(ISNUMBER($I$3:$I$502)*($I$3:$I$502&lt;=تنبيه_وثيقة_90)*(ROW($I$3:$I$502)&lt;=ROW())),"")</f>
        <v/>
      </c>
    </row>
    <row r="260">
      <c r="A260" s="47" t="n"/>
      <c r="B260" s="50">
        <f>IFERROR(INDEX(الموظفون_الاسم,MATCH($A260,الموظفون_الرقم,0)),"")</f>
        <v/>
      </c>
      <c r="C260" s="47" t="n"/>
      <c r="D260" s="47" t="n"/>
      <c r="E260" s="112" t="n"/>
      <c r="F260" s="112" t="n"/>
      <c r="G260" s="47" t="n"/>
      <c r="H260" s="47" t="n"/>
      <c r="I260" s="51">
        <f>IF(OR($A260="",$F260=""),"",$F260-TODAY())</f>
        <v/>
      </c>
      <c r="J260" s="47" t="n"/>
      <c r="K260">
        <f>IF(AND(ISNUMBER($I260),$I260&lt;=تنبيه_وثيقة_90),SUMPRODUCT(ISNUMBER($I$3:$I$502)*($I$3:$I$502&lt;=تنبيه_وثيقة_90)*(ROW($I$3:$I$502)&lt;=ROW())),"")</f>
        <v/>
      </c>
    </row>
    <row r="261">
      <c r="A261" s="40" t="n"/>
      <c r="B261" s="43">
        <f>IFERROR(INDEX(الموظفون_الاسم,MATCH($A261,الموظفون_الرقم,0)),"")</f>
        <v/>
      </c>
      <c r="C261" s="40" t="n"/>
      <c r="D261" s="40" t="n"/>
      <c r="E261" s="110" t="n"/>
      <c r="F261" s="110" t="n"/>
      <c r="G261" s="40" t="n"/>
      <c r="H261" s="40" t="n"/>
      <c r="I261" s="44">
        <f>IF(OR($A261="",$F261=""),"",$F261-TODAY())</f>
        <v/>
      </c>
      <c r="J261" s="40" t="n"/>
      <c r="K261">
        <f>IF(AND(ISNUMBER($I261),$I261&lt;=تنبيه_وثيقة_90),SUMPRODUCT(ISNUMBER($I$3:$I$502)*($I$3:$I$502&lt;=تنبيه_وثيقة_90)*(ROW($I$3:$I$502)&lt;=ROW())),"")</f>
        <v/>
      </c>
    </row>
    <row r="262">
      <c r="A262" s="47" t="n"/>
      <c r="B262" s="50">
        <f>IFERROR(INDEX(الموظفون_الاسم,MATCH($A262,الموظفون_الرقم,0)),"")</f>
        <v/>
      </c>
      <c r="C262" s="47" t="n"/>
      <c r="D262" s="47" t="n"/>
      <c r="E262" s="112" t="n"/>
      <c r="F262" s="112" t="n"/>
      <c r="G262" s="47" t="n"/>
      <c r="H262" s="47" t="n"/>
      <c r="I262" s="51">
        <f>IF(OR($A262="",$F262=""),"",$F262-TODAY())</f>
        <v/>
      </c>
      <c r="J262" s="47" t="n"/>
      <c r="K262">
        <f>IF(AND(ISNUMBER($I262),$I262&lt;=تنبيه_وثيقة_90),SUMPRODUCT(ISNUMBER($I$3:$I$502)*($I$3:$I$502&lt;=تنبيه_وثيقة_90)*(ROW($I$3:$I$502)&lt;=ROW())),"")</f>
        <v/>
      </c>
    </row>
    <row r="263">
      <c r="A263" s="40" t="n"/>
      <c r="B263" s="43">
        <f>IFERROR(INDEX(الموظفون_الاسم,MATCH($A263,الموظفون_الرقم,0)),"")</f>
        <v/>
      </c>
      <c r="C263" s="40" t="n"/>
      <c r="D263" s="40" t="n"/>
      <c r="E263" s="110" t="n"/>
      <c r="F263" s="110" t="n"/>
      <c r="G263" s="40" t="n"/>
      <c r="H263" s="40" t="n"/>
      <c r="I263" s="44">
        <f>IF(OR($A263="",$F263=""),"",$F263-TODAY())</f>
        <v/>
      </c>
      <c r="J263" s="40" t="n"/>
      <c r="K263">
        <f>IF(AND(ISNUMBER($I263),$I263&lt;=تنبيه_وثيقة_90),SUMPRODUCT(ISNUMBER($I$3:$I$502)*($I$3:$I$502&lt;=تنبيه_وثيقة_90)*(ROW($I$3:$I$502)&lt;=ROW())),"")</f>
        <v/>
      </c>
    </row>
    <row r="264">
      <c r="A264" s="47" t="n"/>
      <c r="B264" s="50">
        <f>IFERROR(INDEX(الموظفون_الاسم,MATCH($A264,الموظفون_الرقم,0)),"")</f>
        <v/>
      </c>
      <c r="C264" s="47" t="n"/>
      <c r="D264" s="47" t="n"/>
      <c r="E264" s="112" t="n"/>
      <c r="F264" s="112" t="n"/>
      <c r="G264" s="47" t="n"/>
      <c r="H264" s="47" t="n"/>
      <c r="I264" s="51">
        <f>IF(OR($A264="",$F264=""),"",$F264-TODAY())</f>
        <v/>
      </c>
      <c r="J264" s="47" t="n"/>
      <c r="K264">
        <f>IF(AND(ISNUMBER($I264),$I264&lt;=تنبيه_وثيقة_90),SUMPRODUCT(ISNUMBER($I$3:$I$502)*($I$3:$I$502&lt;=تنبيه_وثيقة_90)*(ROW($I$3:$I$502)&lt;=ROW())),"")</f>
        <v/>
      </c>
    </row>
    <row r="265">
      <c r="A265" s="40" t="n"/>
      <c r="B265" s="43">
        <f>IFERROR(INDEX(الموظفون_الاسم,MATCH($A265,الموظفون_الرقم,0)),"")</f>
        <v/>
      </c>
      <c r="C265" s="40" t="n"/>
      <c r="D265" s="40" t="n"/>
      <c r="E265" s="110" t="n"/>
      <c r="F265" s="110" t="n"/>
      <c r="G265" s="40" t="n"/>
      <c r="H265" s="40" t="n"/>
      <c r="I265" s="44">
        <f>IF(OR($A265="",$F265=""),"",$F265-TODAY())</f>
        <v/>
      </c>
      <c r="J265" s="40" t="n"/>
      <c r="K265">
        <f>IF(AND(ISNUMBER($I265),$I265&lt;=تنبيه_وثيقة_90),SUMPRODUCT(ISNUMBER($I$3:$I$502)*($I$3:$I$502&lt;=تنبيه_وثيقة_90)*(ROW($I$3:$I$502)&lt;=ROW())),"")</f>
        <v/>
      </c>
    </row>
    <row r="266">
      <c r="A266" s="47" t="n"/>
      <c r="B266" s="50">
        <f>IFERROR(INDEX(الموظفون_الاسم,MATCH($A266,الموظفون_الرقم,0)),"")</f>
        <v/>
      </c>
      <c r="C266" s="47" t="n"/>
      <c r="D266" s="47" t="n"/>
      <c r="E266" s="112" t="n"/>
      <c r="F266" s="112" t="n"/>
      <c r="G266" s="47" t="n"/>
      <c r="H266" s="47" t="n"/>
      <c r="I266" s="51">
        <f>IF(OR($A266="",$F266=""),"",$F266-TODAY())</f>
        <v/>
      </c>
      <c r="J266" s="47" t="n"/>
      <c r="K266">
        <f>IF(AND(ISNUMBER($I266),$I266&lt;=تنبيه_وثيقة_90),SUMPRODUCT(ISNUMBER($I$3:$I$502)*($I$3:$I$502&lt;=تنبيه_وثيقة_90)*(ROW($I$3:$I$502)&lt;=ROW())),"")</f>
        <v/>
      </c>
    </row>
    <row r="267">
      <c r="A267" s="40" t="n"/>
      <c r="B267" s="43">
        <f>IFERROR(INDEX(الموظفون_الاسم,MATCH($A267,الموظفون_الرقم,0)),"")</f>
        <v/>
      </c>
      <c r="C267" s="40" t="n"/>
      <c r="D267" s="40" t="n"/>
      <c r="E267" s="110" t="n"/>
      <c r="F267" s="110" t="n"/>
      <c r="G267" s="40" t="n"/>
      <c r="H267" s="40" t="n"/>
      <c r="I267" s="44">
        <f>IF(OR($A267="",$F267=""),"",$F267-TODAY())</f>
        <v/>
      </c>
      <c r="J267" s="40" t="n"/>
      <c r="K267">
        <f>IF(AND(ISNUMBER($I267),$I267&lt;=تنبيه_وثيقة_90),SUMPRODUCT(ISNUMBER($I$3:$I$502)*($I$3:$I$502&lt;=تنبيه_وثيقة_90)*(ROW($I$3:$I$502)&lt;=ROW())),"")</f>
        <v/>
      </c>
    </row>
    <row r="268">
      <c r="A268" s="47" t="n"/>
      <c r="B268" s="50">
        <f>IFERROR(INDEX(الموظفون_الاسم,MATCH($A268,الموظفون_الرقم,0)),"")</f>
        <v/>
      </c>
      <c r="C268" s="47" t="n"/>
      <c r="D268" s="47" t="n"/>
      <c r="E268" s="112" t="n"/>
      <c r="F268" s="112" t="n"/>
      <c r="G268" s="47" t="n"/>
      <c r="H268" s="47" t="n"/>
      <c r="I268" s="51">
        <f>IF(OR($A268="",$F268=""),"",$F268-TODAY())</f>
        <v/>
      </c>
      <c r="J268" s="47" t="n"/>
      <c r="K268">
        <f>IF(AND(ISNUMBER($I268),$I268&lt;=تنبيه_وثيقة_90),SUMPRODUCT(ISNUMBER($I$3:$I$502)*($I$3:$I$502&lt;=تنبيه_وثيقة_90)*(ROW($I$3:$I$502)&lt;=ROW())),"")</f>
        <v/>
      </c>
    </row>
    <row r="269">
      <c r="A269" s="40" t="n"/>
      <c r="B269" s="43">
        <f>IFERROR(INDEX(الموظفون_الاسم,MATCH($A269,الموظفون_الرقم,0)),"")</f>
        <v/>
      </c>
      <c r="C269" s="40" t="n"/>
      <c r="D269" s="40" t="n"/>
      <c r="E269" s="110" t="n"/>
      <c r="F269" s="110" t="n"/>
      <c r="G269" s="40" t="n"/>
      <c r="H269" s="40" t="n"/>
      <c r="I269" s="44">
        <f>IF(OR($A269="",$F269=""),"",$F269-TODAY())</f>
        <v/>
      </c>
      <c r="J269" s="40" t="n"/>
      <c r="K269">
        <f>IF(AND(ISNUMBER($I269),$I269&lt;=تنبيه_وثيقة_90),SUMPRODUCT(ISNUMBER($I$3:$I$502)*($I$3:$I$502&lt;=تنبيه_وثيقة_90)*(ROW($I$3:$I$502)&lt;=ROW())),"")</f>
        <v/>
      </c>
    </row>
    <row r="270">
      <c r="A270" s="47" t="n"/>
      <c r="B270" s="50">
        <f>IFERROR(INDEX(الموظفون_الاسم,MATCH($A270,الموظفون_الرقم,0)),"")</f>
        <v/>
      </c>
      <c r="C270" s="47" t="n"/>
      <c r="D270" s="47" t="n"/>
      <c r="E270" s="112" t="n"/>
      <c r="F270" s="112" t="n"/>
      <c r="G270" s="47" t="n"/>
      <c r="H270" s="47" t="n"/>
      <c r="I270" s="51">
        <f>IF(OR($A270="",$F270=""),"",$F270-TODAY())</f>
        <v/>
      </c>
      <c r="J270" s="47" t="n"/>
      <c r="K270">
        <f>IF(AND(ISNUMBER($I270),$I270&lt;=تنبيه_وثيقة_90),SUMPRODUCT(ISNUMBER($I$3:$I$502)*($I$3:$I$502&lt;=تنبيه_وثيقة_90)*(ROW($I$3:$I$502)&lt;=ROW())),"")</f>
        <v/>
      </c>
    </row>
    <row r="271">
      <c r="A271" s="40" t="n"/>
      <c r="B271" s="43">
        <f>IFERROR(INDEX(الموظفون_الاسم,MATCH($A271,الموظفون_الرقم,0)),"")</f>
        <v/>
      </c>
      <c r="C271" s="40" t="n"/>
      <c r="D271" s="40" t="n"/>
      <c r="E271" s="110" t="n"/>
      <c r="F271" s="110" t="n"/>
      <c r="G271" s="40" t="n"/>
      <c r="H271" s="40" t="n"/>
      <c r="I271" s="44">
        <f>IF(OR($A271="",$F271=""),"",$F271-TODAY())</f>
        <v/>
      </c>
      <c r="J271" s="40" t="n"/>
      <c r="K271">
        <f>IF(AND(ISNUMBER($I271),$I271&lt;=تنبيه_وثيقة_90),SUMPRODUCT(ISNUMBER($I$3:$I$502)*($I$3:$I$502&lt;=تنبيه_وثيقة_90)*(ROW($I$3:$I$502)&lt;=ROW())),"")</f>
        <v/>
      </c>
    </row>
    <row r="272">
      <c r="A272" s="47" t="n"/>
      <c r="B272" s="50">
        <f>IFERROR(INDEX(الموظفون_الاسم,MATCH($A272,الموظفون_الرقم,0)),"")</f>
        <v/>
      </c>
      <c r="C272" s="47" t="n"/>
      <c r="D272" s="47" t="n"/>
      <c r="E272" s="112" t="n"/>
      <c r="F272" s="112" t="n"/>
      <c r="G272" s="47" t="n"/>
      <c r="H272" s="47" t="n"/>
      <c r="I272" s="51">
        <f>IF(OR($A272="",$F272=""),"",$F272-TODAY())</f>
        <v/>
      </c>
      <c r="J272" s="47" t="n"/>
      <c r="K272">
        <f>IF(AND(ISNUMBER($I272),$I272&lt;=تنبيه_وثيقة_90),SUMPRODUCT(ISNUMBER($I$3:$I$502)*($I$3:$I$502&lt;=تنبيه_وثيقة_90)*(ROW($I$3:$I$502)&lt;=ROW())),"")</f>
        <v/>
      </c>
    </row>
    <row r="273">
      <c r="A273" s="40" t="n"/>
      <c r="B273" s="43">
        <f>IFERROR(INDEX(الموظفون_الاسم,MATCH($A273,الموظفون_الرقم,0)),"")</f>
        <v/>
      </c>
      <c r="C273" s="40" t="n"/>
      <c r="D273" s="40" t="n"/>
      <c r="E273" s="110" t="n"/>
      <c r="F273" s="110" t="n"/>
      <c r="G273" s="40" t="n"/>
      <c r="H273" s="40" t="n"/>
      <c r="I273" s="44">
        <f>IF(OR($A273="",$F273=""),"",$F273-TODAY())</f>
        <v/>
      </c>
      <c r="J273" s="40" t="n"/>
      <c r="K273">
        <f>IF(AND(ISNUMBER($I273),$I273&lt;=تنبيه_وثيقة_90),SUMPRODUCT(ISNUMBER($I$3:$I$502)*($I$3:$I$502&lt;=تنبيه_وثيقة_90)*(ROW($I$3:$I$502)&lt;=ROW())),"")</f>
        <v/>
      </c>
    </row>
    <row r="274">
      <c r="A274" s="47" t="n"/>
      <c r="B274" s="50">
        <f>IFERROR(INDEX(الموظفون_الاسم,MATCH($A274,الموظفون_الرقم,0)),"")</f>
        <v/>
      </c>
      <c r="C274" s="47" t="n"/>
      <c r="D274" s="47" t="n"/>
      <c r="E274" s="112" t="n"/>
      <c r="F274" s="112" t="n"/>
      <c r="G274" s="47" t="n"/>
      <c r="H274" s="47" t="n"/>
      <c r="I274" s="51">
        <f>IF(OR($A274="",$F274=""),"",$F274-TODAY())</f>
        <v/>
      </c>
      <c r="J274" s="47" t="n"/>
      <c r="K274">
        <f>IF(AND(ISNUMBER($I274),$I274&lt;=تنبيه_وثيقة_90),SUMPRODUCT(ISNUMBER($I$3:$I$502)*($I$3:$I$502&lt;=تنبيه_وثيقة_90)*(ROW($I$3:$I$502)&lt;=ROW())),"")</f>
        <v/>
      </c>
    </row>
    <row r="275">
      <c r="A275" s="40" t="n"/>
      <c r="B275" s="43">
        <f>IFERROR(INDEX(الموظفون_الاسم,MATCH($A275,الموظفون_الرقم,0)),"")</f>
        <v/>
      </c>
      <c r="C275" s="40" t="n"/>
      <c r="D275" s="40" t="n"/>
      <c r="E275" s="110" t="n"/>
      <c r="F275" s="110" t="n"/>
      <c r="G275" s="40" t="n"/>
      <c r="H275" s="40" t="n"/>
      <c r="I275" s="44">
        <f>IF(OR($A275="",$F275=""),"",$F275-TODAY())</f>
        <v/>
      </c>
      <c r="J275" s="40" t="n"/>
      <c r="K275">
        <f>IF(AND(ISNUMBER($I275),$I275&lt;=تنبيه_وثيقة_90),SUMPRODUCT(ISNUMBER($I$3:$I$502)*($I$3:$I$502&lt;=تنبيه_وثيقة_90)*(ROW($I$3:$I$502)&lt;=ROW())),"")</f>
        <v/>
      </c>
    </row>
    <row r="276">
      <c r="A276" s="47" t="n"/>
      <c r="B276" s="50">
        <f>IFERROR(INDEX(الموظفون_الاسم,MATCH($A276,الموظفون_الرقم,0)),"")</f>
        <v/>
      </c>
      <c r="C276" s="47" t="n"/>
      <c r="D276" s="47" t="n"/>
      <c r="E276" s="112" t="n"/>
      <c r="F276" s="112" t="n"/>
      <c r="G276" s="47" t="n"/>
      <c r="H276" s="47" t="n"/>
      <c r="I276" s="51">
        <f>IF(OR($A276="",$F276=""),"",$F276-TODAY())</f>
        <v/>
      </c>
      <c r="J276" s="47" t="n"/>
      <c r="K276">
        <f>IF(AND(ISNUMBER($I276),$I276&lt;=تنبيه_وثيقة_90),SUMPRODUCT(ISNUMBER($I$3:$I$502)*($I$3:$I$502&lt;=تنبيه_وثيقة_90)*(ROW($I$3:$I$502)&lt;=ROW())),"")</f>
        <v/>
      </c>
    </row>
    <row r="277">
      <c r="A277" s="40" t="n"/>
      <c r="B277" s="43">
        <f>IFERROR(INDEX(الموظفون_الاسم,MATCH($A277,الموظفون_الرقم,0)),"")</f>
        <v/>
      </c>
      <c r="C277" s="40" t="n"/>
      <c r="D277" s="40" t="n"/>
      <c r="E277" s="110" t="n"/>
      <c r="F277" s="110" t="n"/>
      <c r="G277" s="40" t="n"/>
      <c r="H277" s="40" t="n"/>
      <c r="I277" s="44">
        <f>IF(OR($A277="",$F277=""),"",$F277-TODAY())</f>
        <v/>
      </c>
      <c r="J277" s="40" t="n"/>
      <c r="K277">
        <f>IF(AND(ISNUMBER($I277),$I277&lt;=تنبيه_وثيقة_90),SUMPRODUCT(ISNUMBER($I$3:$I$502)*($I$3:$I$502&lt;=تنبيه_وثيقة_90)*(ROW($I$3:$I$502)&lt;=ROW())),"")</f>
        <v/>
      </c>
    </row>
    <row r="278">
      <c r="A278" s="47" t="n"/>
      <c r="B278" s="50">
        <f>IFERROR(INDEX(الموظفون_الاسم,MATCH($A278,الموظفون_الرقم,0)),"")</f>
        <v/>
      </c>
      <c r="C278" s="47" t="n"/>
      <c r="D278" s="47" t="n"/>
      <c r="E278" s="112" t="n"/>
      <c r="F278" s="112" t="n"/>
      <c r="G278" s="47" t="n"/>
      <c r="H278" s="47" t="n"/>
      <c r="I278" s="51">
        <f>IF(OR($A278="",$F278=""),"",$F278-TODAY())</f>
        <v/>
      </c>
      <c r="J278" s="47" t="n"/>
      <c r="K278">
        <f>IF(AND(ISNUMBER($I278),$I278&lt;=تنبيه_وثيقة_90),SUMPRODUCT(ISNUMBER($I$3:$I$502)*($I$3:$I$502&lt;=تنبيه_وثيقة_90)*(ROW($I$3:$I$502)&lt;=ROW())),"")</f>
        <v/>
      </c>
    </row>
    <row r="279">
      <c r="A279" s="40" t="n"/>
      <c r="B279" s="43">
        <f>IFERROR(INDEX(الموظفون_الاسم,MATCH($A279,الموظفون_الرقم,0)),"")</f>
        <v/>
      </c>
      <c r="C279" s="40" t="n"/>
      <c r="D279" s="40" t="n"/>
      <c r="E279" s="110" t="n"/>
      <c r="F279" s="110" t="n"/>
      <c r="G279" s="40" t="n"/>
      <c r="H279" s="40" t="n"/>
      <c r="I279" s="44">
        <f>IF(OR($A279="",$F279=""),"",$F279-TODAY())</f>
        <v/>
      </c>
      <c r="J279" s="40" t="n"/>
      <c r="K279">
        <f>IF(AND(ISNUMBER($I279),$I279&lt;=تنبيه_وثيقة_90),SUMPRODUCT(ISNUMBER($I$3:$I$502)*($I$3:$I$502&lt;=تنبيه_وثيقة_90)*(ROW($I$3:$I$502)&lt;=ROW())),"")</f>
        <v/>
      </c>
    </row>
    <row r="280">
      <c r="A280" s="47" t="n"/>
      <c r="B280" s="50">
        <f>IFERROR(INDEX(الموظفون_الاسم,MATCH($A280,الموظفون_الرقم,0)),"")</f>
        <v/>
      </c>
      <c r="C280" s="47" t="n"/>
      <c r="D280" s="47" t="n"/>
      <c r="E280" s="112" t="n"/>
      <c r="F280" s="112" t="n"/>
      <c r="G280" s="47" t="n"/>
      <c r="H280" s="47" t="n"/>
      <c r="I280" s="51">
        <f>IF(OR($A280="",$F280=""),"",$F280-TODAY())</f>
        <v/>
      </c>
      <c r="J280" s="47" t="n"/>
      <c r="K280">
        <f>IF(AND(ISNUMBER($I280),$I280&lt;=تنبيه_وثيقة_90),SUMPRODUCT(ISNUMBER($I$3:$I$502)*($I$3:$I$502&lt;=تنبيه_وثيقة_90)*(ROW($I$3:$I$502)&lt;=ROW())),"")</f>
        <v/>
      </c>
    </row>
    <row r="281">
      <c r="A281" s="40" t="n"/>
      <c r="B281" s="43">
        <f>IFERROR(INDEX(الموظفون_الاسم,MATCH($A281,الموظفون_الرقم,0)),"")</f>
        <v/>
      </c>
      <c r="C281" s="40" t="n"/>
      <c r="D281" s="40" t="n"/>
      <c r="E281" s="110" t="n"/>
      <c r="F281" s="110" t="n"/>
      <c r="G281" s="40" t="n"/>
      <c r="H281" s="40" t="n"/>
      <c r="I281" s="44">
        <f>IF(OR($A281="",$F281=""),"",$F281-TODAY())</f>
        <v/>
      </c>
      <c r="J281" s="40" t="n"/>
      <c r="K281">
        <f>IF(AND(ISNUMBER($I281),$I281&lt;=تنبيه_وثيقة_90),SUMPRODUCT(ISNUMBER($I$3:$I$502)*($I$3:$I$502&lt;=تنبيه_وثيقة_90)*(ROW($I$3:$I$502)&lt;=ROW())),"")</f>
        <v/>
      </c>
    </row>
    <row r="282">
      <c r="A282" s="47" t="n"/>
      <c r="B282" s="50">
        <f>IFERROR(INDEX(الموظفون_الاسم,MATCH($A282,الموظفون_الرقم,0)),"")</f>
        <v/>
      </c>
      <c r="C282" s="47" t="n"/>
      <c r="D282" s="47" t="n"/>
      <c r="E282" s="112" t="n"/>
      <c r="F282" s="112" t="n"/>
      <c r="G282" s="47" t="n"/>
      <c r="H282" s="47" t="n"/>
      <c r="I282" s="51">
        <f>IF(OR($A282="",$F282=""),"",$F282-TODAY())</f>
        <v/>
      </c>
      <c r="J282" s="47" t="n"/>
      <c r="K282">
        <f>IF(AND(ISNUMBER($I282),$I282&lt;=تنبيه_وثيقة_90),SUMPRODUCT(ISNUMBER($I$3:$I$502)*($I$3:$I$502&lt;=تنبيه_وثيقة_90)*(ROW($I$3:$I$502)&lt;=ROW())),"")</f>
        <v/>
      </c>
    </row>
    <row r="283">
      <c r="A283" s="40" t="n"/>
      <c r="B283" s="43">
        <f>IFERROR(INDEX(الموظفون_الاسم,MATCH($A283,الموظفون_الرقم,0)),"")</f>
        <v/>
      </c>
      <c r="C283" s="40" t="n"/>
      <c r="D283" s="40" t="n"/>
      <c r="E283" s="110" t="n"/>
      <c r="F283" s="110" t="n"/>
      <c r="G283" s="40" t="n"/>
      <c r="H283" s="40" t="n"/>
      <c r="I283" s="44">
        <f>IF(OR($A283="",$F283=""),"",$F283-TODAY())</f>
        <v/>
      </c>
      <c r="J283" s="40" t="n"/>
      <c r="K283">
        <f>IF(AND(ISNUMBER($I283),$I283&lt;=تنبيه_وثيقة_90),SUMPRODUCT(ISNUMBER($I$3:$I$502)*($I$3:$I$502&lt;=تنبيه_وثيقة_90)*(ROW($I$3:$I$502)&lt;=ROW())),"")</f>
        <v/>
      </c>
    </row>
    <row r="284">
      <c r="A284" s="47" t="n"/>
      <c r="B284" s="50">
        <f>IFERROR(INDEX(الموظفون_الاسم,MATCH($A284,الموظفون_الرقم,0)),"")</f>
        <v/>
      </c>
      <c r="C284" s="47" t="n"/>
      <c r="D284" s="47" t="n"/>
      <c r="E284" s="112" t="n"/>
      <c r="F284" s="112" t="n"/>
      <c r="G284" s="47" t="n"/>
      <c r="H284" s="47" t="n"/>
      <c r="I284" s="51">
        <f>IF(OR($A284="",$F284=""),"",$F284-TODAY())</f>
        <v/>
      </c>
      <c r="J284" s="47" t="n"/>
      <c r="K284">
        <f>IF(AND(ISNUMBER($I284),$I284&lt;=تنبيه_وثيقة_90),SUMPRODUCT(ISNUMBER($I$3:$I$502)*($I$3:$I$502&lt;=تنبيه_وثيقة_90)*(ROW($I$3:$I$502)&lt;=ROW())),"")</f>
        <v/>
      </c>
    </row>
    <row r="285">
      <c r="A285" s="40" t="n"/>
      <c r="B285" s="43">
        <f>IFERROR(INDEX(الموظفون_الاسم,MATCH($A285,الموظفون_الرقم,0)),"")</f>
        <v/>
      </c>
      <c r="C285" s="40" t="n"/>
      <c r="D285" s="40" t="n"/>
      <c r="E285" s="110" t="n"/>
      <c r="F285" s="110" t="n"/>
      <c r="G285" s="40" t="n"/>
      <c r="H285" s="40" t="n"/>
      <c r="I285" s="44">
        <f>IF(OR($A285="",$F285=""),"",$F285-TODAY())</f>
        <v/>
      </c>
      <c r="J285" s="40" t="n"/>
      <c r="K285">
        <f>IF(AND(ISNUMBER($I285),$I285&lt;=تنبيه_وثيقة_90),SUMPRODUCT(ISNUMBER($I$3:$I$502)*($I$3:$I$502&lt;=تنبيه_وثيقة_90)*(ROW($I$3:$I$502)&lt;=ROW())),"")</f>
        <v/>
      </c>
    </row>
    <row r="286">
      <c r="A286" s="47" t="n"/>
      <c r="B286" s="50">
        <f>IFERROR(INDEX(الموظفون_الاسم,MATCH($A286,الموظفون_الرقم,0)),"")</f>
        <v/>
      </c>
      <c r="C286" s="47" t="n"/>
      <c r="D286" s="47" t="n"/>
      <c r="E286" s="112" t="n"/>
      <c r="F286" s="112" t="n"/>
      <c r="G286" s="47" t="n"/>
      <c r="H286" s="47" t="n"/>
      <c r="I286" s="51">
        <f>IF(OR($A286="",$F286=""),"",$F286-TODAY())</f>
        <v/>
      </c>
      <c r="J286" s="47" t="n"/>
      <c r="K286">
        <f>IF(AND(ISNUMBER($I286),$I286&lt;=تنبيه_وثيقة_90),SUMPRODUCT(ISNUMBER($I$3:$I$502)*($I$3:$I$502&lt;=تنبيه_وثيقة_90)*(ROW($I$3:$I$502)&lt;=ROW())),"")</f>
        <v/>
      </c>
    </row>
    <row r="287">
      <c r="A287" s="40" t="n"/>
      <c r="B287" s="43">
        <f>IFERROR(INDEX(الموظفون_الاسم,MATCH($A287,الموظفون_الرقم,0)),"")</f>
        <v/>
      </c>
      <c r="C287" s="40" t="n"/>
      <c r="D287" s="40" t="n"/>
      <c r="E287" s="110" t="n"/>
      <c r="F287" s="110" t="n"/>
      <c r="G287" s="40" t="n"/>
      <c r="H287" s="40" t="n"/>
      <c r="I287" s="44">
        <f>IF(OR($A287="",$F287=""),"",$F287-TODAY())</f>
        <v/>
      </c>
      <c r="J287" s="40" t="n"/>
      <c r="K287">
        <f>IF(AND(ISNUMBER($I287),$I287&lt;=تنبيه_وثيقة_90),SUMPRODUCT(ISNUMBER($I$3:$I$502)*($I$3:$I$502&lt;=تنبيه_وثيقة_90)*(ROW($I$3:$I$502)&lt;=ROW())),"")</f>
        <v/>
      </c>
    </row>
    <row r="288">
      <c r="A288" s="47" t="n"/>
      <c r="B288" s="50">
        <f>IFERROR(INDEX(الموظفون_الاسم,MATCH($A288,الموظفون_الرقم,0)),"")</f>
        <v/>
      </c>
      <c r="C288" s="47" t="n"/>
      <c r="D288" s="47" t="n"/>
      <c r="E288" s="112" t="n"/>
      <c r="F288" s="112" t="n"/>
      <c r="G288" s="47" t="n"/>
      <c r="H288" s="47" t="n"/>
      <c r="I288" s="51">
        <f>IF(OR($A288="",$F288=""),"",$F288-TODAY())</f>
        <v/>
      </c>
      <c r="J288" s="47" t="n"/>
      <c r="K288">
        <f>IF(AND(ISNUMBER($I288),$I288&lt;=تنبيه_وثيقة_90),SUMPRODUCT(ISNUMBER($I$3:$I$502)*($I$3:$I$502&lt;=تنبيه_وثيقة_90)*(ROW($I$3:$I$502)&lt;=ROW())),"")</f>
        <v/>
      </c>
    </row>
    <row r="289">
      <c r="A289" s="40" t="n"/>
      <c r="B289" s="43">
        <f>IFERROR(INDEX(الموظفون_الاسم,MATCH($A289,الموظفون_الرقم,0)),"")</f>
        <v/>
      </c>
      <c r="C289" s="40" t="n"/>
      <c r="D289" s="40" t="n"/>
      <c r="E289" s="110" t="n"/>
      <c r="F289" s="110" t="n"/>
      <c r="G289" s="40" t="n"/>
      <c r="H289" s="40" t="n"/>
      <c r="I289" s="44">
        <f>IF(OR($A289="",$F289=""),"",$F289-TODAY())</f>
        <v/>
      </c>
      <c r="J289" s="40" t="n"/>
      <c r="K289">
        <f>IF(AND(ISNUMBER($I289),$I289&lt;=تنبيه_وثيقة_90),SUMPRODUCT(ISNUMBER($I$3:$I$502)*($I$3:$I$502&lt;=تنبيه_وثيقة_90)*(ROW($I$3:$I$502)&lt;=ROW())),"")</f>
        <v/>
      </c>
    </row>
    <row r="290">
      <c r="A290" s="47" t="n"/>
      <c r="B290" s="50">
        <f>IFERROR(INDEX(الموظفون_الاسم,MATCH($A290,الموظفون_الرقم,0)),"")</f>
        <v/>
      </c>
      <c r="C290" s="47" t="n"/>
      <c r="D290" s="47" t="n"/>
      <c r="E290" s="112" t="n"/>
      <c r="F290" s="112" t="n"/>
      <c r="G290" s="47" t="n"/>
      <c r="H290" s="47" t="n"/>
      <c r="I290" s="51">
        <f>IF(OR($A290="",$F290=""),"",$F290-TODAY())</f>
        <v/>
      </c>
      <c r="J290" s="47" t="n"/>
      <c r="K290">
        <f>IF(AND(ISNUMBER($I290),$I290&lt;=تنبيه_وثيقة_90),SUMPRODUCT(ISNUMBER($I$3:$I$502)*($I$3:$I$502&lt;=تنبيه_وثيقة_90)*(ROW($I$3:$I$502)&lt;=ROW())),"")</f>
        <v/>
      </c>
    </row>
    <row r="291">
      <c r="A291" s="40" t="n"/>
      <c r="B291" s="43">
        <f>IFERROR(INDEX(الموظفون_الاسم,MATCH($A291,الموظفون_الرقم,0)),"")</f>
        <v/>
      </c>
      <c r="C291" s="40" t="n"/>
      <c r="D291" s="40" t="n"/>
      <c r="E291" s="110" t="n"/>
      <c r="F291" s="110" t="n"/>
      <c r="G291" s="40" t="n"/>
      <c r="H291" s="40" t="n"/>
      <c r="I291" s="44">
        <f>IF(OR($A291="",$F291=""),"",$F291-TODAY())</f>
        <v/>
      </c>
      <c r="J291" s="40" t="n"/>
      <c r="K291">
        <f>IF(AND(ISNUMBER($I291),$I291&lt;=تنبيه_وثيقة_90),SUMPRODUCT(ISNUMBER($I$3:$I$502)*($I$3:$I$502&lt;=تنبيه_وثيقة_90)*(ROW($I$3:$I$502)&lt;=ROW())),"")</f>
        <v/>
      </c>
    </row>
    <row r="292">
      <c r="A292" s="47" t="n"/>
      <c r="B292" s="50">
        <f>IFERROR(INDEX(الموظفون_الاسم,MATCH($A292,الموظفون_الرقم,0)),"")</f>
        <v/>
      </c>
      <c r="C292" s="47" t="n"/>
      <c r="D292" s="47" t="n"/>
      <c r="E292" s="112" t="n"/>
      <c r="F292" s="112" t="n"/>
      <c r="G292" s="47" t="n"/>
      <c r="H292" s="47" t="n"/>
      <c r="I292" s="51">
        <f>IF(OR($A292="",$F292=""),"",$F292-TODAY())</f>
        <v/>
      </c>
      <c r="J292" s="47" t="n"/>
      <c r="K292">
        <f>IF(AND(ISNUMBER($I292),$I292&lt;=تنبيه_وثيقة_90),SUMPRODUCT(ISNUMBER($I$3:$I$502)*($I$3:$I$502&lt;=تنبيه_وثيقة_90)*(ROW($I$3:$I$502)&lt;=ROW())),"")</f>
        <v/>
      </c>
    </row>
    <row r="293">
      <c r="A293" s="40" t="n"/>
      <c r="B293" s="43">
        <f>IFERROR(INDEX(الموظفون_الاسم,MATCH($A293,الموظفون_الرقم,0)),"")</f>
        <v/>
      </c>
      <c r="C293" s="40" t="n"/>
      <c r="D293" s="40" t="n"/>
      <c r="E293" s="110" t="n"/>
      <c r="F293" s="110" t="n"/>
      <c r="G293" s="40" t="n"/>
      <c r="H293" s="40" t="n"/>
      <c r="I293" s="44">
        <f>IF(OR($A293="",$F293=""),"",$F293-TODAY())</f>
        <v/>
      </c>
      <c r="J293" s="40" t="n"/>
      <c r="K293">
        <f>IF(AND(ISNUMBER($I293),$I293&lt;=تنبيه_وثيقة_90),SUMPRODUCT(ISNUMBER($I$3:$I$502)*($I$3:$I$502&lt;=تنبيه_وثيقة_90)*(ROW($I$3:$I$502)&lt;=ROW())),"")</f>
        <v/>
      </c>
    </row>
    <row r="294">
      <c r="A294" s="47" t="n"/>
      <c r="B294" s="50">
        <f>IFERROR(INDEX(الموظفون_الاسم,MATCH($A294,الموظفون_الرقم,0)),"")</f>
        <v/>
      </c>
      <c r="C294" s="47" t="n"/>
      <c r="D294" s="47" t="n"/>
      <c r="E294" s="112" t="n"/>
      <c r="F294" s="112" t="n"/>
      <c r="G294" s="47" t="n"/>
      <c r="H294" s="47" t="n"/>
      <c r="I294" s="51">
        <f>IF(OR($A294="",$F294=""),"",$F294-TODAY())</f>
        <v/>
      </c>
      <c r="J294" s="47" t="n"/>
      <c r="K294">
        <f>IF(AND(ISNUMBER($I294),$I294&lt;=تنبيه_وثيقة_90),SUMPRODUCT(ISNUMBER($I$3:$I$502)*($I$3:$I$502&lt;=تنبيه_وثيقة_90)*(ROW($I$3:$I$502)&lt;=ROW())),"")</f>
        <v/>
      </c>
    </row>
    <row r="295">
      <c r="A295" s="40" t="n"/>
      <c r="B295" s="43">
        <f>IFERROR(INDEX(الموظفون_الاسم,MATCH($A295,الموظفون_الرقم,0)),"")</f>
        <v/>
      </c>
      <c r="C295" s="40" t="n"/>
      <c r="D295" s="40" t="n"/>
      <c r="E295" s="110" t="n"/>
      <c r="F295" s="110" t="n"/>
      <c r="G295" s="40" t="n"/>
      <c r="H295" s="40" t="n"/>
      <c r="I295" s="44">
        <f>IF(OR($A295="",$F295=""),"",$F295-TODAY())</f>
        <v/>
      </c>
      <c r="J295" s="40" t="n"/>
      <c r="K295">
        <f>IF(AND(ISNUMBER($I295),$I295&lt;=تنبيه_وثيقة_90),SUMPRODUCT(ISNUMBER($I$3:$I$502)*($I$3:$I$502&lt;=تنبيه_وثيقة_90)*(ROW($I$3:$I$502)&lt;=ROW())),"")</f>
        <v/>
      </c>
    </row>
    <row r="296">
      <c r="A296" s="47" t="n"/>
      <c r="B296" s="50">
        <f>IFERROR(INDEX(الموظفون_الاسم,MATCH($A296,الموظفون_الرقم,0)),"")</f>
        <v/>
      </c>
      <c r="C296" s="47" t="n"/>
      <c r="D296" s="47" t="n"/>
      <c r="E296" s="112" t="n"/>
      <c r="F296" s="112" t="n"/>
      <c r="G296" s="47" t="n"/>
      <c r="H296" s="47" t="n"/>
      <c r="I296" s="51">
        <f>IF(OR($A296="",$F296=""),"",$F296-TODAY())</f>
        <v/>
      </c>
      <c r="J296" s="47" t="n"/>
      <c r="K296">
        <f>IF(AND(ISNUMBER($I296),$I296&lt;=تنبيه_وثيقة_90),SUMPRODUCT(ISNUMBER($I$3:$I$502)*($I$3:$I$502&lt;=تنبيه_وثيقة_90)*(ROW($I$3:$I$502)&lt;=ROW())),"")</f>
        <v/>
      </c>
    </row>
    <row r="297">
      <c r="A297" s="40" t="n"/>
      <c r="B297" s="43">
        <f>IFERROR(INDEX(الموظفون_الاسم,MATCH($A297,الموظفون_الرقم,0)),"")</f>
        <v/>
      </c>
      <c r="C297" s="40" t="n"/>
      <c r="D297" s="40" t="n"/>
      <c r="E297" s="110" t="n"/>
      <c r="F297" s="110" t="n"/>
      <c r="G297" s="40" t="n"/>
      <c r="H297" s="40" t="n"/>
      <c r="I297" s="44">
        <f>IF(OR($A297="",$F297=""),"",$F297-TODAY())</f>
        <v/>
      </c>
      <c r="J297" s="40" t="n"/>
      <c r="K297">
        <f>IF(AND(ISNUMBER($I297),$I297&lt;=تنبيه_وثيقة_90),SUMPRODUCT(ISNUMBER($I$3:$I$502)*($I$3:$I$502&lt;=تنبيه_وثيقة_90)*(ROW($I$3:$I$502)&lt;=ROW())),"")</f>
        <v/>
      </c>
    </row>
    <row r="298">
      <c r="A298" s="47" t="n"/>
      <c r="B298" s="50">
        <f>IFERROR(INDEX(الموظفون_الاسم,MATCH($A298,الموظفون_الرقم,0)),"")</f>
        <v/>
      </c>
      <c r="C298" s="47" t="n"/>
      <c r="D298" s="47" t="n"/>
      <c r="E298" s="112" t="n"/>
      <c r="F298" s="112" t="n"/>
      <c r="G298" s="47" t="n"/>
      <c r="H298" s="47" t="n"/>
      <c r="I298" s="51">
        <f>IF(OR($A298="",$F298=""),"",$F298-TODAY())</f>
        <v/>
      </c>
      <c r="J298" s="47" t="n"/>
      <c r="K298">
        <f>IF(AND(ISNUMBER($I298),$I298&lt;=تنبيه_وثيقة_90),SUMPRODUCT(ISNUMBER($I$3:$I$502)*($I$3:$I$502&lt;=تنبيه_وثيقة_90)*(ROW($I$3:$I$502)&lt;=ROW())),"")</f>
        <v/>
      </c>
    </row>
    <row r="299">
      <c r="A299" s="40" t="n"/>
      <c r="B299" s="43">
        <f>IFERROR(INDEX(الموظفون_الاسم,MATCH($A299,الموظفون_الرقم,0)),"")</f>
        <v/>
      </c>
      <c r="C299" s="40" t="n"/>
      <c r="D299" s="40" t="n"/>
      <c r="E299" s="110" t="n"/>
      <c r="F299" s="110" t="n"/>
      <c r="G299" s="40" t="n"/>
      <c r="H299" s="40" t="n"/>
      <c r="I299" s="44">
        <f>IF(OR($A299="",$F299=""),"",$F299-TODAY())</f>
        <v/>
      </c>
      <c r="J299" s="40" t="n"/>
      <c r="K299">
        <f>IF(AND(ISNUMBER($I299),$I299&lt;=تنبيه_وثيقة_90),SUMPRODUCT(ISNUMBER($I$3:$I$502)*($I$3:$I$502&lt;=تنبيه_وثيقة_90)*(ROW($I$3:$I$502)&lt;=ROW())),"")</f>
        <v/>
      </c>
    </row>
    <row r="300">
      <c r="A300" s="47" t="n"/>
      <c r="B300" s="50">
        <f>IFERROR(INDEX(الموظفون_الاسم,MATCH($A300,الموظفون_الرقم,0)),"")</f>
        <v/>
      </c>
      <c r="C300" s="47" t="n"/>
      <c r="D300" s="47" t="n"/>
      <c r="E300" s="112" t="n"/>
      <c r="F300" s="112" t="n"/>
      <c r="G300" s="47" t="n"/>
      <c r="H300" s="47" t="n"/>
      <c r="I300" s="51">
        <f>IF(OR($A300="",$F300=""),"",$F300-TODAY())</f>
        <v/>
      </c>
      <c r="J300" s="47" t="n"/>
      <c r="K300">
        <f>IF(AND(ISNUMBER($I300),$I300&lt;=تنبيه_وثيقة_90),SUMPRODUCT(ISNUMBER($I$3:$I$502)*($I$3:$I$502&lt;=تنبيه_وثيقة_90)*(ROW($I$3:$I$502)&lt;=ROW())),"")</f>
        <v/>
      </c>
    </row>
    <row r="301">
      <c r="A301" s="40" t="n"/>
      <c r="B301" s="43">
        <f>IFERROR(INDEX(الموظفون_الاسم,MATCH($A301,الموظفون_الرقم,0)),"")</f>
        <v/>
      </c>
      <c r="C301" s="40" t="n"/>
      <c r="D301" s="40" t="n"/>
      <c r="E301" s="110" t="n"/>
      <c r="F301" s="110" t="n"/>
      <c r="G301" s="40" t="n"/>
      <c r="H301" s="40" t="n"/>
      <c r="I301" s="44">
        <f>IF(OR($A301="",$F301=""),"",$F301-TODAY())</f>
        <v/>
      </c>
      <c r="J301" s="40" t="n"/>
      <c r="K301">
        <f>IF(AND(ISNUMBER($I301),$I301&lt;=تنبيه_وثيقة_90),SUMPRODUCT(ISNUMBER($I$3:$I$502)*($I$3:$I$502&lt;=تنبيه_وثيقة_90)*(ROW($I$3:$I$502)&lt;=ROW())),"")</f>
        <v/>
      </c>
    </row>
    <row r="302">
      <c r="A302" s="47" t="n"/>
      <c r="B302" s="50">
        <f>IFERROR(INDEX(الموظفون_الاسم,MATCH($A302,الموظفون_الرقم,0)),"")</f>
        <v/>
      </c>
      <c r="C302" s="47" t="n"/>
      <c r="D302" s="47" t="n"/>
      <c r="E302" s="112" t="n"/>
      <c r="F302" s="112" t="n"/>
      <c r="G302" s="47" t="n"/>
      <c r="H302" s="47" t="n"/>
      <c r="I302" s="51">
        <f>IF(OR($A302="",$F302=""),"",$F302-TODAY())</f>
        <v/>
      </c>
      <c r="J302" s="47" t="n"/>
      <c r="K302">
        <f>IF(AND(ISNUMBER($I302),$I302&lt;=تنبيه_وثيقة_90),SUMPRODUCT(ISNUMBER($I$3:$I$502)*($I$3:$I$502&lt;=تنبيه_وثيقة_90)*(ROW($I$3:$I$502)&lt;=ROW())),"")</f>
        <v/>
      </c>
    </row>
    <row r="303">
      <c r="A303" s="40" t="n"/>
      <c r="B303" s="43">
        <f>IFERROR(INDEX(الموظفون_الاسم,MATCH($A303,الموظفون_الرقم,0)),"")</f>
        <v/>
      </c>
      <c r="C303" s="40" t="n"/>
      <c r="D303" s="40" t="n"/>
      <c r="E303" s="110" t="n"/>
      <c r="F303" s="110" t="n"/>
      <c r="G303" s="40" t="n"/>
      <c r="H303" s="40" t="n"/>
      <c r="I303" s="44">
        <f>IF(OR($A303="",$F303=""),"",$F303-TODAY())</f>
        <v/>
      </c>
      <c r="J303" s="40" t="n"/>
      <c r="K303">
        <f>IF(AND(ISNUMBER($I303),$I303&lt;=تنبيه_وثيقة_90),SUMPRODUCT(ISNUMBER($I$3:$I$502)*($I$3:$I$502&lt;=تنبيه_وثيقة_90)*(ROW($I$3:$I$502)&lt;=ROW())),"")</f>
        <v/>
      </c>
    </row>
    <row r="304">
      <c r="A304" s="47" t="n"/>
      <c r="B304" s="50">
        <f>IFERROR(INDEX(الموظفون_الاسم,MATCH($A304,الموظفون_الرقم,0)),"")</f>
        <v/>
      </c>
      <c r="C304" s="47" t="n"/>
      <c r="D304" s="47" t="n"/>
      <c r="E304" s="112" t="n"/>
      <c r="F304" s="112" t="n"/>
      <c r="G304" s="47" t="n"/>
      <c r="H304" s="47" t="n"/>
      <c r="I304" s="51">
        <f>IF(OR($A304="",$F304=""),"",$F304-TODAY())</f>
        <v/>
      </c>
      <c r="J304" s="47" t="n"/>
      <c r="K304">
        <f>IF(AND(ISNUMBER($I304),$I304&lt;=تنبيه_وثيقة_90),SUMPRODUCT(ISNUMBER($I$3:$I$502)*($I$3:$I$502&lt;=تنبيه_وثيقة_90)*(ROW($I$3:$I$502)&lt;=ROW())),"")</f>
        <v/>
      </c>
    </row>
    <row r="305">
      <c r="A305" s="40" t="n"/>
      <c r="B305" s="43">
        <f>IFERROR(INDEX(الموظفون_الاسم,MATCH($A305,الموظفون_الرقم,0)),"")</f>
        <v/>
      </c>
      <c r="C305" s="40" t="n"/>
      <c r="D305" s="40" t="n"/>
      <c r="E305" s="110" t="n"/>
      <c r="F305" s="110" t="n"/>
      <c r="G305" s="40" t="n"/>
      <c r="H305" s="40" t="n"/>
      <c r="I305" s="44">
        <f>IF(OR($A305="",$F305=""),"",$F305-TODAY())</f>
        <v/>
      </c>
      <c r="J305" s="40" t="n"/>
      <c r="K305">
        <f>IF(AND(ISNUMBER($I305),$I305&lt;=تنبيه_وثيقة_90),SUMPRODUCT(ISNUMBER($I$3:$I$502)*($I$3:$I$502&lt;=تنبيه_وثيقة_90)*(ROW($I$3:$I$502)&lt;=ROW())),"")</f>
        <v/>
      </c>
    </row>
    <row r="306">
      <c r="A306" s="47" t="n"/>
      <c r="B306" s="50">
        <f>IFERROR(INDEX(الموظفون_الاسم,MATCH($A306,الموظفون_الرقم,0)),"")</f>
        <v/>
      </c>
      <c r="C306" s="47" t="n"/>
      <c r="D306" s="47" t="n"/>
      <c r="E306" s="112" t="n"/>
      <c r="F306" s="112" t="n"/>
      <c r="G306" s="47" t="n"/>
      <c r="H306" s="47" t="n"/>
      <c r="I306" s="51">
        <f>IF(OR($A306="",$F306=""),"",$F306-TODAY())</f>
        <v/>
      </c>
      <c r="J306" s="47" t="n"/>
      <c r="K306">
        <f>IF(AND(ISNUMBER($I306),$I306&lt;=تنبيه_وثيقة_90),SUMPRODUCT(ISNUMBER($I$3:$I$502)*($I$3:$I$502&lt;=تنبيه_وثيقة_90)*(ROW($I$3:$I$502)&lt;=ROW())),"")</f>
        <v/>
      </c>
    </row>
    <row r="307">
      <c r="A307" s="40" t="n"/>
      <c r="B307" s="43">
        <f>IFERROR(INDEX(الموظفون_الاسم,MATCH($A307,الموظفون_الرقم,0)),"")</f>
        <v/>
      </c>
      <c r="C307" s="40" t="n"/>
      <c r="D307" s="40" t="n"/>
      <c r="E307" s="110" t="n"/>
      <c r="F307" s="110" t="n"/>
      <c r="G307" s="40" t="n"/>
      <c r="H307" s="40" t="n"/>
      <c r="I307" s="44">
        <f>IF(OR($A307="",$F307=""),"",$F307-TODAY())</f>
        <v/>
      </c>
      <c r="J307" s="40" t="n"/>
      <c r="K307">
        <f>IF(AND(ISNUMBER($I307),$I307&lt;=تنبيه_وثيقة_90),SUMPRODUCT(ISNUMBER($I$3:$I$502)*($I$3:$I$502&lt;=تنبيه_وثيقة_90)*(ROW($I$3:$I$502)&lt;=ROW())),"")</f>
        <v/>
      </c>
    </row>
    <row r="308">
      <c r="A308" s="47" t="n"/>
      <c r="B308" s="50">
        <f>IFERROR(INDEX(الموظفون_الاسم,MATCH($A308,الموظفون_الرقم,0)),"")</f>
        <v/>
      </c>
      <c r="C308" s="47" t="n"/>
      <c r="D308" s="47" t="n"/>
      <c r="E308" s="112" t="n"/>
      <c r="F308" s="112" t="n"/>
      <c r="G308" s="47" t="n"/>
      <c r="H308" s="47" t="n"/>
      <c r="I308" s="51">
        <f>IF(OR($A308="",$F308=""),"",$F308-TODAY())</f>
        <v/>
      </c>
      <c r="J308" s="47" t="n"/>
      <c r="K308">
        <f>IF(AND(ISNUMBER($I308),$I308&lt;=تنبيه_وثيقة_90),SUMPRODUCT(ISNUMBER($I$3:$I$502)*($I$3:$I$502&lt;=تنبيه_وثيقة_90)*(ROW($I$3:$I$502)&lt;=ROW())),"")</f>
        <v/>
      </c>
    </row>
    <row r="309">
      <c r="A309" s="40" t="n"/>
      <c r="B309" s="43">
        <f>IFERROR(INDEX(الموظفون_الاسم,MATCH($A309,الموظفون_الرقم,0)),"")</f>
        <v/>
      </c>
      <c r="C309" s="40" t="n"/>
      <c r="D309" s="40" t="n"/>
      <c r="E309" s="110" t="n"/>
      <c r="F309" s="110" t="n"/>
      <c r="G309" s="40" t="n"/>
      <c r="H309" s="40" t="n"/>
      <c r="I309" s="44">
        <f>IF(OR($A309="",$F309=""),"",$F309-TODAY())</f>
        <v/>
      </c>
      <c r="J309" s="40" t="n"/>
      <c r="K309">
        <f>IF(AND(ISNUMBER($I309),$I309&lt;=تنبيه_وثيقة_90),SUMPRODUCT(ISNUMBER($I$3:$I$502)*($I$3:$I$502&lt;=تنبيه_وثيقة_90)*(ROW($I$3:$I$502)&lt;=ROW())),"")</f>
        <v/>
      </c>
    </row>
    <row r="310">
      <c r="A310" s="47" t="n"/>
      <c r="B310" s="50">
        <f>IFERROR(INDEX(الموظفون_الاسم,MATCH($A310,الموظفون_الرقم,0)),"")</f>
        <v/>
      </c>
      <c r="C310" s="47" t="n"/>
      <c r="D310" s="47" t="n"/>
      <c r="E310" s="112" t="n"/>
      <c r="F310" s="112" t="n"/>
      <c r="G310" s="47" t="n"/>
      <c r="H310" s="47" t="n"/>
      <c r="I310" s="51">
        <f>IF(OR($A310="",$F310=""),"",$F310-TODAY())</f>
        <v/>
      </c>
      <c r="J310" s="47" t="n"/>
      <c r="K310">
        <f>IF(AND(ISNUMBER($I310),$I310&lt;=تنبيه_وثيقة_90),SUMPRODUCT(ISNUMBER($I$3:$I$502)*($I$3:$I$502&lt;=تنبيه_وثيقة_90)*(ROW($I$3:$I$502)&lt;=ROW())),"")</f>
        <v/>
      </c>
    </row>
    <row r="311">
      <c r="A311" s="40" t="n"/>
      <c r="B311" s="43">
        <f>IFERROR(INDEX(الموظفون_الاسم,MATCH($A311,الموظفون_الرقم,0)),"")</f>
        <v/>
      </c>
      <c r="C311" s="40" t="n"/>
      <c r="D311" s="40" t="n"/>
      <c r="E311" s="110" t="n"/>
      <c r="F311" s="110" t="n"/>
      <c r="G311" s="40" t="n"/>
      <c r="H311" s="40" t="n"/>
      <c r="I311" s="44">
        <f>IF(OR($A311="",$F311=""),"",$F311-TODAY())</f>
        <v/>
      </c>
      <c r="J311" s="40" t="n"/>
      <c r="K311">
        <f>IF(AND(ISNUMBER($I311),$I311&lt;=تنبيه_وثيقة_90),SUMPRODUCT(ISNUMBER($I$3:$I$502)*($I$3:$I$502&lt;=تنبيه_وثيقة_90)*(ROW($I$3:$I$502)&lt;=ROW())),"")</f>
        <v/>
      </c>
    </row>
    <row r="312">
      <c r="A312" s="47" t="n"/>
      <c r="B312" s="50">
        <f>IFERROR(INDEX(الموظفون_الاسم,MATCH($A312,الموظفون_الرقم,0)),"")</f>
        <v/>
      </c>
      <c r="C312" s="47" t="n"/>
      <c r="D312" s="47" t="n"/>
      <c r="E312" s="112" t="n"/>
      <c r="F312" s="112" t="n"/>
      <c r="G312" s="47" t="n"/>
      <c r="H312" s="47" t="n"/>
      <c r="I312" s="51">
        <f>IF(OR($A312="",$F312=""),"",$F312-TODAY())</f>
        <v/>
      </c>
      <c r="J312" s="47" t="n"/>
      <c r="K312">
        <f>IF(AND(ISNUMBER($I312),$I312&lt;=تنبيه_وثيقة_90),SUMPRODUCT(ISNUMBER($I$3:$I$502)*($I$3:$I$502&lt;=تنبيه_وثيقة_90)*(ROW($I$3:$I$502)&lt;=ROW())),"")</f>
        <v/>
      </c>
    </row>
    <row r="313">
      <c r="A313" s="40" t="n"/>
      <c r="B313" s="43">
        <f>IFERROR(INDEX(الموظفون_الاسم,MATCH($A313,الموظفون_الرقم,0)),"")</f>
        <v/>
      </c>
      <c r="C313" s="40" t="n"/>
      <c r="D313" s="40" t="n"/>
      <c r="E313" s="110" t="n"/>
      <c r="F313" s="110" t="n"/>
      <c r="G313" s="40" t="n"/>
      <c r="H313" s="40" t="n"/>
      <c r="I313" s="44">
        <f>IF(OR($A313="",$F313=""),"",$F313-TODAY())</f>
        <v/>
      </c>
      <c r="J313" s="40" t="n"/>
      <c r="K313">
        <f>IF(AND(ISNUMBER($I313),$I313&lt;=تنبيه_وثيقة_90),SUMPRODUCT(ISNUMBER($I$3:$I$502)*($I$3:$I$502&lt;=تنبيه_وثيقة_90)*(ROW($I$3:$I$502)&lt;=ROW())),"")</f>
        <v/>
      </c>
    </row>
    <row r="314">
      <c r="A314" s="47" t="n"/>
      <c r="B314" s="50">
        <f>IFERROR(INDEX(الموظفون_الاسم,MATCH($A314,الموظفون_الرقم,0)),"")</f>
        <v/>
      </c>
      <c r="C314" s="47" t="n"/>
      <c r="D314" s="47" t="n"/>
      <c r="E314" s="112" t="n"/>
      <c r="F314" s="112" t="n"/>
      <c r="G314" s="47" t="n"/>
      <c r="H314" s="47" t="n"/>
      <c r="I314" s="51">
        <f>IF(OR($A314="",$F314=""),"",$F314-TODAY())</f>
        <v/>
      </c>
      <c r="J314" s="47" t="n"/>
      <c r="K314">
        <f>IF(AND(ISNUMBER($I314),$I314&lt;=تنبيه_وثيقة_90),SUMPRODUCT(ISNUMBER($I$3:$I$502)*($I$3:$I$502&lt;=تنبيه_وثيقة_90)*(ROW($I$3:$I$502)&lt;=ROW())),"")</f>
        <v/>
      </c>
    </row>
    <row r="315">
      <c r="A315" s="40" t="n"/>
      <c r="B315" s="43">
        <f>IFERROR(INDEX(الموظفون_الاسم,MATCH($A315,الموظفون_الرقم,0)),"")</f>
        <v/>
      </c>
      <c r="C315" s="40" t="n"/>
      <c r="D315" s="40" t="n"/>
      <c r="E315" s="110" t="n"/>
      <c r="F315" s="110" t="n"/>
      <c r="G315" s="40" t="n"/>
      <c r="H315" s="40" t="n"/>
      <c r="I315" s="44">
        <f>IF(OR($A315="",$F315=""),"",$F315-TODAY())</f>
        <v/>
      </c>
      <c r="J315" s="40" t="n"/>
      <c r="K315">
        <f>IF(AND(ISNUMBER($I315),$I315&lt;=تنبيه_وثيقة_90),SUMPRODUCT(ISNUMBER($I$3:$I$502)*($I$3:$I$502&lt;=تنبيه_وثيقة_90)*(ROW($I$3:$I$502)&lt;=ROW())),"")</f>
        <v/>
      </c>
    </row>
    <row r="316">
      <c r="A316" s="47" t="n"/>
      <c r="B316" s="50">
        <f>IFERROR(INDEX(الموظفون_الاسم,MATCH($A316,الموظفون_الرقم,0)),"")</f>
        <v/>
      </c>
      <c r="C316" s="47" t="n"/>
      <c r="D316" s="47" t="n"/>
      <c r="E316" s="112" t="n"/>
      <c r="F316" s="112" t="n"/>
      <c r="G316" s="47" t="n"/>
      <c r="H316" s="47" t="n"/>
      <c r="I316" s="51">
        <f>IF(OR($A316="",$F316=""),"",$F316-TODAY())</f>
        <v/>
      </c>
      <c r="J316" s="47" t="n"/>
      <c r="K316">
        <f>IF(AND(ISNUMBER($I316),$I316&lt;=تنبيه_وثيقة_90),SUMPRODUCT(ISNUMBER($I$3:$I$502)*($I$3:$I$502&lt;=تنبيه_وثيقة_90)*(ROW($I$3:$I$502)&lt;=ROW())),"")</f>
        <v/>
      </c>
    </row>
    <row r="317">
      <c r="A317" s="40" t="n"/>
      <c r="B317" s="43">
        <f>IFERROR(INDEX(الموظفون_الاسم,MATCH($A317,الموظفون_الرقم,0)),"")</f>
        <v/>
      </c>
      <c r="C317" s="40" t="n"/>
      <c r="D317" s="40" t="n"/>
      <c r="E317" s="110" t="n"/>
      <c r="F317" s="110" t="n"/>
      <c r="G317" s="40" t="n"/>
      <c r="H317" s="40" t="n"/>
      <c r="I317" s="44">
        <f>IF(OR($A317="",$F317=""),"",$F317-TODAY())</f>
        <v/>
      </c>
      <c r="J317" s="40" t="n"/>
      <c r="K317">
        <f>IF(AND(ISNUMBER($I317),$I317&lt;=تنبيه_وثيقة_90),SUMPRODUCT(ISNUMBER($I$3:$I$502)*($I$3:$I$502&lt;=تنبيه_وثيقة_90)*(ROW($I$3:$I$502)&lt;=ROW())),"")</f>
        <v/>
      </c>
    </row>
    <row r="318">
      <c r="A318" s="47" t="n"/>
      <c r="B318" s="50">
        <f>IFERROR(INDEX(الموظفون_الاسم,MATCH($A318,الموظفون_الرقم,0)),"")</f>
        <v/>
      </c>
      <c r="C318" s="47" t="n"/>
      <c r="D318" s="47" t="n"/>
      <c r="E318" s="112" t="n"/>
      <c r="F318" s="112" t="n"/>
      <c r="G318" s="47" t="n"/>
      <c r="H318" s="47" t="n"/>
      <c r="I318" s="51">
        <f>IF(OR($A318="",$F318=""),"",$F318-TODAY())</f>
        <v/>
      </c>
      <c r="J318" s="47" t="n"/>
      <c r="K318">
        <f>IF(AND(ISNUMBER($I318),$I318&lt;=تنبيه_وثيقة_90),SUMPRODUCT(ISNUMBER($I$3:$I$502)*($I$3:$I$502&lt;=تنبيه_وثيقة_90)*(ROW($I$3:$I$502)&lt;=ROW())),"")</f>
        <v/>
      </c>
    </row>
    <row r="319">
      <c r="A319" s="40" t="n"/>
      <c r="B319" s="43">
        <f>IFERROR(INDEX(الموظفون_الاسم,MATCH($A319,الموظفون_الرقم,0)),"")</f>
        <v/>
      </c>
      <c r="C319" s="40" t="n"/>
      <c r="D319" s="40" t="n"/>
      <c r="E319" s="110" t="n"/>
      <c r="F319" s="110" t="n"/>
      <c r="G319" s="40" t="n"/>
      <c r="H319" s="40" t="n"/>
      <c r="I319" s="44">
        <f>IF(OR($A319="",$F319=""),"",$F319-TODAY())</f>
        <v/>
      </c>
      <c r="J319" s="40" t="n"/>
      <c r="K319">
        <f>IF(AND(ISNUMBER($I319),$I319&lt;=تنبيه_وثيقة_90),SUMPRODUCT(ISNUMBER($I$3:$I$502)*($I$3:$I$502&lt;=تنبيه_وثيقة_90)*(ROW($I$3:$I$502)&lt;=ROW())),"")</f>
        <v/>
      </c>
    </row>
    <row r="320">
      <c r="A320" s="47" t="n"/>
      <c r="B320" s="50">
        <f>IFERROR(INDEX(الموظفون_الاسم,MATCH($A320,الموظفون_الرقم,0)),"")</f>
        <v/>
      </c>
      <c r="C320" s="47" t="n"/>
      <c r="D320" s="47" t="n"/>
      <c r="E320" s="112" t="n"/>
      <c r="F320" s="112" t="n"/>
      <c r="G320" s="47" t="n"/>
      <c r="H320" s="47" t="n"/>
      <c r="I320" s="51">
        <f>IF(OR($A320="",$F320=""),"",$F320-TODAY())</f>
        <v/>
      </c>
      <c r="J320" s="47" t="n"/>
      <c r="K320">
        <f>IF(AND(ISNUMBER($I320),$I320&lt;=تنبيه_وثيقة_90),SUMPRODUCT(ISNUMBER($I$3:$I$502)*($I$3:$I$502&lt;=تنبيه_وثيقة_90)*(ROW($I$3:$I$502)&lt;=ROW())),"")</f>
        <v/>
      </c>
    </row>
    <row r="321">
      <c r="A321" s="40" t="n"/>
      <c r="B321" s="43">
        <f>IFERROR(INDEX(الموظفون_الاسم,MATCH($A321,الموظفون_الرقم,0)),"")</f>
        <v/>
      </c>
      <c r="C321" s="40" t="n"/>
      <c r="D321" s="40" t="n"/>
      <c r="E321" s="110" t="n"/>
      <c r="F321" s="110" t="n"/>
      <c r="G321" s="40" t="n"/>
      <c r="H321" s="40" t="n"/>
      <c r="I321" s="44">
        <f>IF(OR($A321="",$F321=""),"",$F321-TODAY())</f>
        <v/>
      </c>
      <c r="J321" s="40" t="n"/>
      <c r="K321">
        <f>IF(AND(ISNUMBER($I321),$I321&lt;=تنبيه_وثيقة_90),SUMPRODUCT(ISNUMBER($I$3:$I$502)*($I$3:$I$502&lt;=تنبيه_وثيقة_90)*(ROW($I$3:$I$502)&lt;=ROW())),"")</f>
        <v/>
      </c>
    </row>
    <row r="322">
      <c r="A322" s="47" t="n"/>
      <c r="B322" s="50">
        <f>IFERROR(INDEX(الموظفون_الاسم,MATCH($A322,الموظفون_الرقم,0)),"")</f>
        <v/>
      </c>
      <c r="C322" s="47" t="n"/>
      <c r="D322" s="47" t="n"/>
      <c r="E322" s="112" t="n"/>
      <c r="F322" s="112" t="n"/>
      <c r="G322" s="47" t="n"/>
      <c r="H322" s="47" t="n"/>
      <c r="I322" s="51">
        <f>IF(OR($A322="",$F322=""),"",$F322-TODAY())</f>
        <v/>
      </c>
      <c r="J322" s="47" t="n"/>
      <c r="K322">
        <f>IF(AND(ISNUMBER($I322),$I322&lt;=تنبيه_وثيقة_90),SUMPRODUCT(ISNUMBER($I$3:$I$502)*($I$3:$I$502&lt;=تنبيه_وثيقة_90)*(ROW($I$3:$I$502)&lt;=ROW())),"")</f>
        <v/>
      </c>
    </row>
    <row r="323">
      <c r="A323" s="40" t="n"/>
      <c r="B323" s="43">
        <f>IFERROR(INDEX(الموظفون_الاسم,MATCH($A323,الموظفون_الرقم,0)),"")</f>
        <v/>
      </c>
      <c r="C323" s="40" t="n"/>
      <c r="D323" s="40" t="n"/>
      <c r="E323" s="110" t="n"/>
      <c r="F323" s="110" t="n"/>
      <c r="G323" s="40" t="n"/>
      <c r="H323" s="40" t="n"/>
      <c r="I323" s="44">
        <f>IF(OR($A323="",$F323=""),"",$F323-TODAY())</f>
        <v/>
      </c>
      <c r="J323" s="40" t="n"/>
      <c r="K323">
        <f>IF(AND(ISNUMBER($I323),$I323&lt;=تنبيه_وثيقة_90),SUMPRODUCT(ISNUMBER($I$3:$I$502)*($I$3:$I$502&lt;=تنبيه_وثيقة_90)*(ROW($I$3:$I$502)&lt;=ROW())),"")</f>
        <v/>
      </c>
    </row>
    <row r="324">
      <c r="A324" s="47" t="n"/>
      <c r="B324" s="50">
        <f>IFERROR(INDEX(الموظفون_الاسم,MATCH($A324,الموظفون_الرقم,0)),"")</f>
        <v/>
      </c>
      <c r="C324" s="47" t="n"/>
      <c r="D324" s="47" t="n"/>
      <c r="E324" s="112" t="n"/>
      <c r="F324" s="112" t="n"/>
      <c r="G324" s="47" t="n"/>
      <c r="H324" s="47" t="n"/>
      <c r="I324" s="51">
        <f>IF(OR($A324="",$F324=""),"",$F324-TODAY())</f>
        <v/>
      </c>
      <c r="J324" s="47" t="n"/>
      <c r="K324">
        <f>IF(AND(ISNUMBER($I324),$I324&lt;=تنبيه_وثيقة_90),SUMPRODUCT(ISNUMBER($I$3:$I$502)*($I$3:$I$502&lt;=تنبيه_وثيقة_90)*(ROW($I$3:$I$502)&lt;=ROW())),"")</f>
        <v/>
      </c>
    </row>
    <row r="325">
      <c r="A325" s="40" t="n"/>
      <c r="B325" s="43">
        <f>IFERROR(INDEX(الموظفون_الاسم,MATCH($A325,الموظفون_الرقم,0)),"")</f>
        <v/>
      </c>
      <c r="C325" s="40" t="n"/>
      <c r="D325" s="40" t="n"/>
      <c r="E325" s="110" t="n"/>
      <c r="F325" s="110" t="n"/>
      <c r="G325" s="40" t="n"/>
      <c r="H325" s="40" t="n"/>
      <c r="I325" s="44">
        <f>IF(OR($A325="",$F325=""),"",$F325-TODAY())</f>
        <v/>
      </c>
      <c r="J325" s="40" t="n"/>
      <c r="K325">
        <f>IF(AND(ISNUMBER($I325),$I325&lt;=تنبيه_وثيقة_90),SUMPRODUCT(ISNUMBER($I$3:$I$502)*($I$3:$I$502&lt;=تنبيه_وثيقة_90)*(ROW($I$3:$I$502)&lt;=ROW())),"")</f>
        <v/>
      </c>
    </row>
    <row r="326">
      <c r="A326" s="47" t="n"/>
      <c r="B326" s="50">
        <f>IFERROR(INDEX(الموظفون_الاسم,MATCH($A326,الموظفون_الرقم,0)),"")</f>
        <v/>
      </c>
      <c r="C326" s="47" t="n"/>
      <c r="D326" s="47" t="n"/>
      <c r="E326" s="112" t="n"/>
      <c r="F326" s="112" t="n"/>
      <c r="G326" s="47" t="n"/>
      <c r="H326" s="47" t="n"/>
      <c r="I326" s="51">
        <f>IF(OR($A326="",$F326=""),"",$F326-TODAY())</f>
        <v/>
      </c>
      <c r="J326" s="47" t="n"/>
      <c r="K326">
        <f>IF(AND(ISNUMBER($I326),$I326&lt;=تنبيه_وثيقة_90),SUMPRODUCT(ISNUMBER($I$3:$I$502)*($I$3:$I$502&lt;=تنبيه_وثيقة_90)*(ROW($I$3:$I$502)&lt;=ROW())),"")</f>
        <v/>
      </c>
    </row>
    <row r="327">
      <c r="A327" s="40" t="n"/>
      <c r="B327" s="43">
        <f>IFERROR(INDEX(الموظفون_الاسم,MATCH($A327,الموظفون_الرقم,0)),"")</f>
        <v/>
      </c>
      <c r="C327" s="40" t="n"/>
      <c r="D327" s="40" t="n"/>
      <c r="E327" s="110" t="n"/>
      <c r="F327" s="110" t="n"/>
      <c r="G327" s="40" t="n"/>
      <c r="H327" s="40" t="n"/>
      <c r="I327" s="44">
        <f>IF(OR($A327="",$F327=""),"",$F327-TODAY())</f>
        <v/>
      </c>
      <c r="J327" s="40" t="n"/>
      <c r="K327">
        <f>IF(AND(ISNUMBER($I327),$I327&lt;=تنبيه_وثيقة_90),SUMPRODUCT(ISNUMBER($I$3:$I$502)*($I$3:$I$502&lt;=تنبيه_وثيقة_90)*(ROW($I$3:$I$502)&lt;=ROW())),"")</f>
        <v/>
      </c>
    </row>
    <row r="328">
      <c r="A328" s="47" t="n"/>
      <c r="B328" s="50">
        <f>IFERROR(INDEX(الموظفون_الاسم,MATCH($A328,الموظفون_الرقم,0)),"")</f>
        <v/>
      </c>
      <c r="C328" s="47" t="n"/>
      <c r="D328" s="47" t="n"/>
      <c r="E328" s="112" t="n"/>
      <c r="F328" s="112" t="n"/>
      <c r="G328" s="47" t="n"/>
      <c r="H328" s="47" t="n"/>
      <c r="I328" s="51">
        <f>IF(OR($A328="",$F328=""),"",$F328-TODAY())</f>
        <v/>
      </c>
      <c r="J328" s="47" t="n"/>
      <c r="K328">
        <f>IF(AND(ISNUMBER($I328),$I328&lt;=تنبيه_وثيقة_90),SUMPRODUCT(ISNUMBER($I$3:$I$502)*($I$3:$I$502&lt;=تنبيه_وثيقة_90)*(ROW($I$3:$I$502)&lt;=ROW())),"")</f>
        <v/>
      </c>
    </row>
    <row r="329">
      <c r="A329" s="40" t="n"/>
      <c r="B329" s="43">
        <f>IFERROR(INDEX(الموظفون_الاسم,MATCH($A329,الموظفون_الرقم,0)),"")</f>
        <v/>
      </c>
      <c r="C329" s="40" t="n"/>
      <c r="D329" s="40" t="n"/>
      <c r="E329" s="110" t="n"/>
      <c r="F329" s="110" t="n"/>
      <c r="G329" s="40" t="n"/>
      <c r="H329" s="40" t="n"/>
      <c r="I329" s="44">
        <f>IF(OR($A329="",$F329=""),"",$F329-TODAY())</f>
        <v/>
      </c>
      <c r="J329" s="40" t="n"/>
      <c r="K329">
        <f>IF(AND(ISNUMBER($I329),$I329&lt;=تنبيه_وثيقة_90),SUMPRODUCT(ISNUMBER($I$3:$I$502)*($I$3:$I$502&lt;=تنبيه_وثيقة_90)*(ROW($I$3:$I$502)&lt;=ROW())),"")</f>
        <v/>
      </c>
    </row>
    <row r="330">
      <c r="A330" s="47" t="n"/>
      <c r="B330" s="50">
        <f>IFERROR(INDEX(الموظفون_الاسم,MATCH($A330,الموظفون_الرقم,0)),"")</f>
        <v/>
      </c>
      <c r="C330" s="47" t="n"/>
      <c r="D330" s="47" t="n"/>
      <c r="E330" s="112" t="n"/>
      <c r="F330" s="112" t="n"/>
      <c r="G330" s="47" t="n"/>
      <c r="H330" s="47" t="n"/>
      <c r="I330" s="51">
        <f>IF(OR($A330="",$F330=""),"",$F330-TODAY())</f>
        <v/>
      </c>
      <c r="J330" s="47" t="n"/>
      <c r="K330">
        <f>IF(AND(ISNUMBER($I330),$I330&lt;=تنبيه_وثيقة_90),SUMPRODUCT(ISNUMBER($I$3:$I$502)*($I$3:$I$502&lt;=تنبيه_وثيقة_90)*(ROW($I$3:$I$502)&lt;=ROW())),"")</f>
        <v/>
      </c>
    </row>
    <row r="331">
      <c r="A331" s="40" t="n"/>
      <c r="B331" s="43">
        <f>IFERROR(INDEX(الموظفون_الاسم,MATCH($A331,الموظفون_الرقم,0)),"")</f>
        <v/>
      </c>
      <c r="C331" s="40" t="n"/>
      <c r="D331" s="40" t="n"/>
      <c r="E331" s="110" t="n"/>
      <c r="F331" s="110" t="n"/>
      <c r="G331" s="40" t="n"/>
      <c r="H331" s="40" t="n"/>
      <c r="I331" s="44">
        <f>IF(OR($A331="",$F331=""),"",$F331-TODAY())</f>
        <v/>
      </c>
      <c r="J331" s="40" t="n"/>
      <c r="K331">
        <f>IF(AND(ISNUMBER($I331),$I331&lt;=تنبيه_وثيقة_90),SUMPRODUCT(ISNUMBER($I$3:$I$502)*($I$3:$I$502&lt;=تنبيه_وثيقة_90)*(ROW($I$3:$I$502)&lt;=ROW())),"")</f>
        <v/>
      </c>
    </row>
    <row r="332">
      <c r="A332" s="47" t="n"/>
      <c r="B332" s="50">
        <f>IFERROR(INDEX(الموظفون_الاسم,MATCH($A332,الموظفون_الرقم,0)),"")</f>
        <v/>
      </c>
      <c r="C332" s="47" t="n"/>
      <c r="D332" s="47" t="n"/>
      <c r="E332" s="112" t="n"/>
      <c r="F332" s="112" t="n"/>
      <c r="G332" s="47" t="n"/>
      <c r="H332" s="47" t="n"/>
      <c r="I332" s="51">
        <f>IF(OR($A332="",$F332=""),"",$F332-TODAY())</f>
        <v/>
      </c>
      <c r="J332" s="47" t="n"/>
      <c r="K332">
        <f>IF(AND(ISNUMBER($I332),$I332&lt;=تنبيه_وثيقة_90),SUMPRODUCT(ISNUMBER($I$3:$I$502)*($I$3:$I$502&lt;=تنبيه_وثيقة_90)*(ROW($I$3:$I$502)&lt;=ROW())),"")</f>
        <v/>
      </c>
    </row>
    <row r="333">
      <c r="A333" s="40" t="n"/>
      <c r="B333" s="43">
        <f>IFERROR(INDEX(الموظفون_الاسم,MATCH($A333,الموظفون_الرقم,0)),"")</f>
        <v/>
      </c>
      <c r="C333" s="40" t="n"/>
      <c r="D333" s="40" t="n"/>
      <c r="E333" s="110" t="n"/>
      <c r="F333" s="110" t="n"/>
      <c r="G333" s="40" t="n"/>
      <c r="H333" s="40" t="n"/>
      <c r="I333" s="44">
        <f>IF(OR($A333="",$F333=""),"",$F333-TODAY())</f>
        <v/>
      </c>
      <c r="J333" s="40" t="n"/>
      <c r="K333">
        <f>IF(AND(ISNUMBER($I333),$I333&lt;=تنبيه_وثيقة_90),SUMPRODUCT(ISNUMBER($I$3:$I$502)*($I$3:$I$502&lt;=تنبيه_وثيقة_90)*(ROW($I$3:$I$502)&lt;=ROW())),"")</f>
        <v/>
      </c>
    </row>
    <row r="334">
      <c r="A334" s="47" t="n"/>
      <c r="B334" s="50">
        <f>IFERROR(INDEX(الموظفون_الاسم,MATCH($A334,الموظفون_الرقم,0)),"")</f>
        <v/>
      </c>
      <c r="C334" s="47" t="n"/>
      <c r="D334" s="47" t="n"/>
      <c r="E334" s="112" t="n"/>
      <c r="F334" s="112" t="n"/>
      <c r="G334" s="47" t="n"/>
      <c r="H334" s="47" t="n"/>
      <c r="I334" s="51">
        <f>IF(OR($A334="",$F334=""),"",$F334-TODAY())</f>
        <v/>
      </c>
      <c r="J334" s="47" t="n"/>
      <c r="K334">
        <f>IF(AND(ISNUMBER($I334),$I334&lt;=تنبيه_وثيقة_90),SUMPRODUCT(ISNUMBER($I$3:$I$502)*($I$3:$I$502&lt;=تنبيه_وثيقة_90)*(ROW($I$3:$I$502)&lt;=ROW())),"")</f>
        <v/>
      </c>
    </row>
    <row r="335">
      <c r="A335" s="40" t="n"/>
      <c r="B335" s="43">
        <f>IFERROR(INDEX(الموظفون_الاسم,MATCH($A335,الموظفون_الرقم,0)),"")</f>
        <v/>
      </c>
      <c r="C335" s="40" t="n"/>
      <c r="D335" s="40" t="n"/>
      <c r="E335" s="110" t="n"/>
      <c r="F335" s="110" t="n"/>
      <c r="G335" s="40" t="n"/>
      <c r="H335" s="40" t="n"/>
      <c r="I335" s="44">
        <f>IF(OR($A335="",$F335=""),"",$F335-TODAY())</f>
        <v/>
      </c>
      <c r="J335" s="40" t="n"/>
      <c r="K335">
        <f>IF(AND(ISNUMBER($I335),$I335&lt;=تنبيه_وثيقة_90),SUMPRODUCT(ISNUMBER($I$3:$I$502)*($I$3:$I$502&lt;=تنبيه_وثيقة_90)*(ROW($I$3:$I$502)&lt;=ROW())),"")</f>
        <v/>
      </c>
    </row>
    <row r="336">
      <c r="A336" s="47" t="n"/>
      <c r="B336" s="50">
        <f>IFERROR(INDEX(الموظفون_الاسم,MATCH($A336,الموظفون_الرقم,0)),"")</f>
        <v/>
      </c>
      <c r="C336" s="47" t="n"/>
      <c r="D336" s="47" t="n"/>
      <c r="E336" s="112" t="n"/>
      <c r="F336" s="112" t="n"/>
      <c r="G336" s="47" t="n"/>
      <c r="H336" s="47" t="n"/>
      <c r="I336" s="51">
        <f>IF(OR($A336="",$F336=""),"",$F336-TODAY())</f>
        <v/>
      </c>
      <c r="J336" s="47" t="n"/>
      <c r="K336">
        <f>IF(AND(ISNUMBER($I336),$I336&lt;=تنبيه_وثيقة_90),SUMPRODUCT(ISNUMBER($I$3:$I$502)*($I$3:$I$502&lt;=تنبيه_وثيقة_90)*(ROW($I$3:$I$502)&lt;=ROW())),"")</f>
        <v/>
      </c>
    </row>
    <row r="337">
      <c r="A337" s="40" t="n"/>
      <c r="B337" s="43">
        <f>IFERROR(INDEX(الموظفون_الاسم,MATCH($A337,الموظفون_الرقم,0)),"")</f>
        <v/>
      </c>
      <c r="C337" s="40" t="n"/>
      <c r="D337" s="40" t="n"/>
      <c r="E337" s="110" t="n"/>
      <c r="F337" s="110" t="n"/>
      <c r="G337" s="40" t="n"/>
      <c r="H337" s="40" t="n"/>
      <c r="I337" s="44">
        <f>IF(OR($A337="",$F337=""),"",$F337-TODAY())</f>
        <v/>
      </c>
      <c r="J337" s="40" t="n"/>
      <c r="K337">
        <f>IF(AND(ISNUMBER($I337),$I337&lt;=تنبيه_وثيقة_90),SUMPRODUCT(ISNUMBER($I$3:$I$502)*($I$3:$I$502&lt;=تنبيه_وثيقة_90)*(ROW($I$3:$I$502)&lt;=ROW())),"")</f>
        <v/>
      </c>
    </row>
    <row r="338">
      <c r="A338" s="47" t="n"/>
      <c r="B338" s="50">
        <f>IFERROR(INDEX(الموظفون_الاسم,MATCH($A338,الموظفون_الرقم,0)),"")</f>
        <v/>
      </c>
      <c r="C338" s="47" t="n"/>
      <c r="D338" s="47" t="n"/>
      <c r="E338" s="112" t="n"/>
      <c r="F338" s="112" t="n"/>
      <c r="G338" s="47" t="n"/>
      <c r="H338" s="47" t="n"/>
      <c r="I338" s="51">
        <f>IF(OR($A338="",$F338=""),"",$F338-TODAY())</f>
        <v/>
      </c>
      <c r="J338" s="47" t="n"/>
      <c r="K338">
        <f>IF(AND(ISNUMBER($I338),$I338&lt;=تنبيه_وثيقة_90),SUMPRODUCT(ISNUMBER($I$3:$I$502)*($I$3:$I$502&lt;=تنبيه_وثيقة_90)*(ROW($I$3:$I$502)&lt;=ROW())),"")</f>
        <v/>
      </c>
    </row>
    <row r="339">
      <c r="A339" s="40" t="n"/>
      <c r="B339" s="43">
        <f>IFERROR(INDEX(الموظفون_الاسم,MATCH($A339,الموظفون_الرقم,0)),"")</f>
        <v/>
      </c>
      <c r="C339" s="40" t="n"/>
      <c r="D339" s="40" t="n"/>
      <c r="E339" s="110" t="n"/>
      <c r="F339" s="110" t="n"/>
      <c r="G339" s="40" t="n"/>
      <c r="H339" s="40" t="n"/>
      <c r="I339" s="44">
        <f>IF(OR($A339="",$F339=""),"",$F339-TODAY())</f>
        <v/>
      </c>
      <c r="J339" s="40" t="n"/>
      <c r="K339">
        <f>IF(AND(ISNUMBER($I339),$I339&lt;=تنبيه_وثيقة_90),SUMPRODUCT(ISNUMBER($I$3:$I$502)*($I$3:$I$502&lt;=تنبيه_وثيقة_90)*(ROW($I$3:$I$502)&lt;=ROW())),"")</f>
        <v/>
      </c>
    </row>
    <row r="340">
      <c r="A340" s="47" t="n"/>
      <c r="B340" s="50">
        <f>IFERROR(INDEX(الموظفون_الاسم,MATCH($A340,الموظفون_الرقم,0)),"")</f>
        <v/>
      </c>
      <c r="C340" s="47" t="n"/>
      <c r="D340" s="47" t="n"/>
      <c r="E340" s="112" t="n"/>
      <c r="F340" s="112" t="n"/>
      <c r="G340" s="47" t="n"/>
      <c r="H340" s="47" t="n"/>
      <c r="I340" s="51">
        <f>IF(OR($A340="",$F340=""),"",$F340-TODAY())</f>
        <v/>
      </c>
      <c r="J340" s="47" t="n"/>
      <c r="K340">
        <f>IF(AND(ISNUMBER($I340),$I340&lt;=تنبيه_وثيقة_90),SUMPRODUCT(ISNUMBER($I$3:$I$502)*($I$3:$I$502&lt;=تنبيه_وثيقة_90)*(ROW($I$3:$I$502)&lt;=ROW())),"")</f>
        <v/>
      </c>
    </row>
    <row r="341">
      <c r="A341" s="40" t="n"/>
      <c r="B341" s="43">
        <f>IFERROR(INDEX(الموظفون_الاسم,MATCH($A341,الموظفون_الرقم,0)),"")</f>
        <v/>
      </c>
      <c r="C341" s="40" t="n"/>
      <c r="D341" s="40" t="n"/>
      <c r="E341" s="110" t="n"/>
      <c r="F341" s="110" t="n"/>
      <c r="G341" s="40" t="n"/>
      <c r="H341" s="40" t="n"/>
      <c r="I341" s="44">
        <f>IF(OR($A341="",$F341=""),"",$F341-TODAY())</f>
        <v/>
      </c>
      <c r="J341" s="40" t="n"/>
      <c r="K341">
        <f>IF(AND(ISNUMBER($I341),$I341&lt;=تنبيه_وثيقة_90),SUMPRODUCT(ISNUMBER($I$3:$I$502)*($I$3:$I$502&lt;=تنبيه_وثيقة_90)*(ROW($I$3:$I$502)&lt;=ROW())),"")</f>
        <v/>
      </c>
    </row>
    <row r="342">
      <c r="A342" s="47" t="n"/>
      <c r="B342" s="50">
        <f>IFERROR(INDEX(الموظفون_الاسم,MATCH($A342,الموظفون_الرقم,0)),"")</f>
        <v/>
      </c>
      <c r="C342" s="47" t="n"/>
      <c r="D342" s="47" t="n"/>
      <c r="E342" s="112" t="n"/>
      <c r="F342" s="112" t="n"/>
      <c r="G342" s="47" t="n"/>
      <c r="H342" s="47" t="n"/>
      <c r="I342" s="51">
        <f>IF(OR($A342="",$F342=""),"",$F342-TODAY())</f>
        <v/>
      </c>
      <c r="J342" s="47" t="n"/>
      <c r="K342">
        <f>IF(AND(ISNUMBER($I342),$I342&lt;=تنبيه_وثيقة_90),SUMPRODUCT(ISNUMBER($I$3:$I$502)*($I$3:$I$502&lt;=تنبيه_وثيقة_90)*(ROW($I$3:$I$502)&lt;=ROW())),"")</f>
        <v/>
      </c>
    </row>
    <row r="343">
      <c r="A343" s="40" t="n"/>
      <c r="B343" s="43">
        <f>IFERROR(INDEX(الموظفون_الاسم,MATCH($A343,الموظفون_الرقم,0)),"")</f>
        <v/>
      </c>
      <c r="C343" s="40" t="n"/>
      <c r="D343" s="40" t="n"/>
      <c r="E343" s="110" t="n"/>
      <c r="F343" s="110" t="n"/>
      <c r="G343" s="40" t="n"/>
      <c r="H343" s="40" t="n"/>
      <c r="I343" s="44">
        <f>IF(OR($A343="",$F343=""),"",$F343-TODAY())</f>
        <v/>
      </c>
      <c r="J343" s="40" t="n"/>
      <c r="K343">
        <f>IF(AND(ISNUMBER($I343),$I343&lt;=تنبيه_وثيقة_90),SUMPRODUCT(ISNUMBER($I$3:$I$502)*($I$3:$I$502&lt;=تنبيه_وثيقة_90)*(ROW($I$3:$I$502)&lt;=ROW())),"")</f>
        <v/>
      </c>
    </row>
    <row r="344">
      <c r="A344" s="47" t="n"/>
      <c r="B344" s="50">
        <f>IFERROR(INDEX(الموظفون_الاسم,MATCH($A344,الموظفون_الرقم,0)),"")</f>
        <v/>
      </c>
      <c r="C344" s="47" t="n"/>
      <c r="D344" s="47" t="n"/>
      <c r="E344" s="112" t="n"/>
      <c r="F344" s="112" t="n"/>
      <c r="G344" s="47" t="n"/>
      <c r="H344" s="47" t="n"/>
      <c r="I344" s="51">
        <f>IF(OR($A344="",$F344=""),"",$F344-TODAY())</f>
        <v/>
      </c>
      <c r="J344" s="47" t="n"/>
      <c r="K344">
        <f>IF(AND(ISNUMBER($I344),$I344&lt;=تنبيه_وثيقة_90),SUMPRODUCT(ISNUMBER($I$3:$I$502)*($I$3:$I$502&lt;=تنبيه_وثيقة_90)*(ROW($I$3:$I$502)&lt;=ROW())),"")</f>
        <v/>
      </c>
    </row>
    <row r="345">
      <c r="A345" s="40" t="n"/>
      <c r="B345" s="43">
        <f>IFERROR(INDEX(الموظفون_الاسم,MATCH($A345,الموظفون_الرقم,0)),"")</f>
        <v/>
      </c>
      <c r="C345" s="40" t="n"/>
      <c r="D345" s="40" t="n"/>
      <c r="E345" s="110" t="n"/>
      <c r="F345" s="110" t="n"/>
      <c r="G345" s="40" t="n"/>
      <c r="H345" s="40" t="n"/>
      <c r="I345" s="44">
        <f>IF(OR($A345="",$F345=""),"",$F345-TODAY())</f>
        <v/>
      </c>
      <c r="J345" s="40" t="n"/>
      <c r="K345">
        <f>IF(AND(ISNUMBER($I345),$I345&lt;=تنبيه_وثيقة_90),SUMPRODUCT(ISNUMBER($I$3:$I$502)*($I$3:$I$502&lt;=تنبيه_وثيقة_90)*(ROW($I$3:$I$502)&lt;=ROW())),"")</f>
        <v/>
      </c>
    </row>
    <row r="346">
      <c r="A346" s="47" t="n"/>
      <c r="B346" s="50">
        <f>IFERROR(INDEX(الموظفون_الاسم,MATCH($A346,الموظفون_الرقم,0)),"")</f>
        <v/>
      </c>
      <c r="C346" s="47" t="n"/>
      <c r="D346" s="47" t="n"/>
      <c r="E346" s="112" t="n"/>
      <c r="F346" s="112" t="n"/>
      <c r="G346" s="47" t="n"/>
      <c r="H346" s="47" t="n"/>
      <c r="I346" s="51">
        <f>IF(OR($A346="",$F346=""),"",$F346-TODAY())</f>
        <v/>
      </c>
      <c r="J346" s="47" t="n"/>
      <c r="K346">
        <f>IF(AND(ISNUMBER($I346),$I346&lt;=تنبيه_وثيقة_90),SUMPRODUCT(ISNUMBER($I$3:$I$502)*($I$3:$I$502&lt;=تنبيه_وثيقة_90)*(ROW($I$3:$I$502)&lt;=ROW())),"")</f>
        <v/>
      </c>
    </row>
    <row r="347">
      <c r="A347" s="40" t="n"/>
      <c r="B347" s="43">
        <f>IFERROR(INDEX(الموظفون_الاسم,MATCH($A347,الموظفون_الرقم,0)),"")</f>
        <v/>
      </c>
      <c r="C347" s="40" t="n"/>
      <c r="D347" s="40" t="n"/>
      <c r="E347" s="110" t="n"/>
      <c r="F347" s="110" t="n"/>
      <c r="G347" s="40" t="n"/>
      <c r="H347" s="40" t="n"/>
      <c r="I347" s="44">
        <f>IF(OR($A347="",$F347=""),"",$F347-TODAY())</f>
        <v/>
      </c>
      <c r="J347" s="40" t="n"/>
      <c r="K347">
        <f>IF(AND(ISNUMBER($I347),$I347&lt;=تنبيه_وثيقة_90),SUMPRODUCT(ISNUMBER($I$3:$I$502)*($I$3:$I$502&lt;=تنبيه_وثيقة_90)*(ROW($I$3:$I$502)&lt;=ROW())),"")</f>
        <v/>
      </c>
    </row>
    <row r="348">
      <c r="A348" s="47" t="n"/>
      <c r="B348" s="50">
        <f>IFERROR(INDEX(الموظفون_الاسم,MATCH($A348,الموظفون_الرقم,0)),"")</f>
        <v/>
      </c>
      <c r="C348" s="47" t="n"/>
      <c r="D348" s="47" t="n"/>
      <c r="E348" s="112" t="n"/>
      <c r="F348" s="112" t="n"/>
      <c r="G348" s="47" t="n"/>
      <c r="H348" s="47" t="n"/>
      <c r="I348" s="51">
        <f>IF(OR($A348="",$F348=""),"",$F348-TODAY())</f>
        <v/>
      </c>
      <c r="J348" s="47" t="n"/>
      <c r="K348">
        <f>IF(AND(ISNUMBER($I348),$I348&lt;=تنبيه_وثيقة_90),SUMPRODUCT(ISNUMBER($I$3:$I$502)*($I$3:$I$502&lt;=تنبيه_وثيقة_90)*(ROW($I$3:$I$502)&lt;=ROW())),"")</f>
        <v/>
      </c>
    </row>
    <row r="349">
      <c r="A349" s="40" t="n"/>
      <c r="B349" s="43">
        <f>IFERROR(INDEX(الموظفون_الاسم,MATCH($A349,الموظفون_الرقم,0)),"")</f>
        <v/>
      </c>
      <c r="C349" s="40" t="n"/>
      <c r="D349" s="40" t="n"/>
      <c r="E349" s="110" t="n"/>
      <c r="F349" s="110" t="n"/>
      <c r="G349" s="40" t="n"/>
      <c r="H349" s="40" t="n"/>
      <c r="I349" s="44">
        <f>IF(OR($A349="",$F349=""),"",$F349-TODAY())</f>
        <v/>
      </c>
      <c r="J349" s="40" t="n"/>
      <c r="K349">
        <f>IF(AND(ISNUMBER($I349),$I349&lt;=تنبيه_وثيقة_90),SUMPRODUCT(ISNUMBER($I$3:$I$502)*($I$3:$I$502&lt;=تنبيه_وثيقة_90)*(ROW($I$3:$I$502)&lt;=ROW())),"")</f>
        <v/>
      </c>
    </row>
    <row r="350">
      <c r="A350" s="47" t="n"/>
      <c r="B350" s="50">
        <f>IFERROR(INDEX(الموظفون_الاسم,MATCH($A350,الموظفون_الرقم,0)),"")</f>
        <v/>
      </c>
      <c r="C350" s="47" t="n"/>
      <c r="D350" s="47" t="n"/>
      <c r="E350" s="112" t="n"/>
      <c r="F350" s="112" t="n"/>
      <c r="G350" s="47" t="n"/>
      <c r="H350" s="47" t="n"/>
      <c r="I350" s="51">
        <f>IF(OR($A350="",$F350=""),"",$F350-TODAY())</f>
        <v/>
      </c>
      <c r="J350" s="47" t="n"/>
      <c r="K350">
        <f>IF(AND(ISNUMBER($I350),$I350&lt;=تنبيه_وثيقة_90),SUMPRODUCT(ISNUMBER($I$3:$I$502)*($I$3:$I$502&lt;=تنبيه_وثيقة_90)*(ROW($I$3:$I$502)&lt;=ROW())),"")</f>
        <v/>
      </c>
    </row>
    <row r="351">
      <c r="A351" s="40" t="n"/>
      <c r="B351" s="43">
        <f>IFERROR(INDEX(الموظفون_الاسم,MATCH($A351,الموظفون_الرقم,0)),"")</f>
        <v/>
      </c>
      <c r="C351" s="40" t="n"/>
      <c r="D351" s="40" t="n"/>
      <c r="E351" s="110" t="n"/>
      <c r="F351" s="110" t="n"/>
      <c r="G351" s="40" t="n"/>
      <c r="H351" s="40" t="n"/>
      <c r="I351" s="44">
        <f>IF(OR($A351="",$F351=""),"",$F351-TODAY())</f>
        <v/>
      </c>
      <c r="J351" s="40" t="n"/>
      <c r="K351">
        <f>IF(AND(ISNUMBER($I351),$I351&lt;=تنبيه_وثيقة_90),SUMPRODUCT(ISNUMBER($I$3:$I$502)*($I$3:$I$502&lt;=تنبيه_وثيقة_90)*(ROW($I$3:$I$502)&lt;=ROW())),"")</f>
        <v/>
      </c>
    </row>
    <row r="352">
      <c r="A352" s="47" t="n"/>
      <c r="B352" s="50">
        <f>IFERROR(INDEX(الموظفون_الاسم,MATCH($A352,الموظفون_الرقم,0)),"")</f>
        <v/>
      </c>
      <c r="C352" s="47" t="n"/>
      <c r="D352" s="47" t="n"/>
      <c r="E352" s="112" t="n"/>
      <c r="F352" s="112" t="n"/>
      <c r="G352" s="47" t="n"/>
      <c r="H352" s="47" t="n"/>
      <c r="I352" s="51">
        <f>IF(OR($A352="",$F352=""),"",$F352-TODAY())</f>
        <v/>
      </c>
      <c r="J352" s="47" t="n"/>
      <c r="K352">
        <f>IF(AND(ISNUMBER($I352),$I352&lt;=تنبيه_وثيقة_90),SUMPRODUCT(ISNUMBER($I$3:$I$502)*($I$3:$I$502&lt;=تنبيه_وثيقة_90)*(ROW($I$3:$I$502)&lt;=ROW())),"")</f>
        <v/>
      </c>
    </row>
    <row r="353">
      <c r="A353" s="40" t="n"/>
      <c r="B353" s="43">
        <f>IFERROR(INDEX(الموظفون_الاسم,MATCH($A353,الموظفون_الرقم,0)),"")</f>
        <v/>
      </c>
      <c r="C353" s="40" t="n"/>
      <c r="D353" s="40" t="n"/>
      <c r="E353" s="110" t="n"/>
      <c r="F353" s="110" t="n"/>
      <c r="G353" s="40" t="n"/>
      <c r="H353" s="40" t="n"/>
      <c r="I353" s="44">
        <f>IF(OR($A353="",$F353=""),"",$F353-TODAY())</f>
        <v/>
      </c>
      <c r="J353" s="40" t="n"/>
      <c r="K353">
        <f>IF(AND(ISNUMBER($I353),$I353&lt;=تنبيه_وثيقة_90),SUMPRODUCT(ISNUMBER($I$3:$I$502)*($I$3:$I$502&lt;=تنبيه_وثيقة_90)*(ROW($I$3:$I$502)&lt;=ROW())),"")</f>
        <v/>
      </c>
    </row>
    <row r="354">
      <c r="A354" s="47" t="n"/>
      <c r="B354" s="50">
        <f>IFERROR(INDEX(الموظفون_الاسم,MATCH($A354,الموظفون_الرقم,0)),"")</f>
        <v/>
      </c>
      <c r="C354" s="47" t="n"/>
      <c r="D354" s="47" t="n"/>
      <c r="E354" s="112" t="n"/>
      <c r="F354" s="112" t="n"/>
      <c r="G354" s="47" t="n"/>
      <c r="H354" s="47" t="n"/>
      <c r="I354" s="51">
        <f>IF(OR($A354="",$F354=""),"",$F354-TODAY())</f>
        <v/>
      </c>
      <c r="J354" s="47" t="n"/>
      <c r="K354">
        <f>IF(AND(ISNUMBER($I354),$I354&lt;=تنبيه_وثيقة_90),SUMPRODUCT(ISNUMBER($I$3:$I$502)*($I$3:$I$502&lt;=تنبيه_وثيقة_90)*(ROW($I$3:$I$502)&lt;=ROW())),"")</f>
        <v/>
      </c>
    </row>
    <row r="355">
      <c r="A355" s="40" t="n"/>
      <c r="B355" s="43">
        <f>IFERROR(INDEX(الموظفون_الاسم,MATCH($A355,الموظفون_الرقم,0)),"")</f>
        <v/>
      </c>
      <c r="C355" s="40" t="n"/>
      <c r="D355" s="40" t="n"/>
      <c r="E355" s="110" t="n"/>
      <c r="F355" s="110" t="n"/>
      <c r="G355" s="40" t="n"/>
      <c r="H355" s="40" t="n"/>
      <c r="I355" s="44">
        <f>IF(OR($A355="",$F355=""),"",$F355-TODAY())</f>
        <v/>
      </c>
      <c r="J355" s="40" t="n"/>
      <c r="K355">
        <f>IF(AND(ISNUMBER($I355),$I355&lt;=تنبيه_وثيقة_90),SUMPRODUCT(ISNUMBER($I$3:$I$502)*($I$3:$I$502&lt;=تنبيه_وثيقة_90)*(ROW($I$3:$I$502)&lt;=ROW())),"")</f>
        <v/>
      </c>
    </row>
    <row r="356">
      <c r="A356" s="47" t="n"/>
      <c r="B356" s="50">
        <f>IFERROR(INDEX(الموظفون_الاسم,MATCH($A356,الموظفون_الرقم,0)),"")</f>
        <v/>
      </c>
      <c r="C356" s="47" t="n"/>
      <c r="D356" s="47" t="n"/>
      <c r="E356" s="112" t="n"/>
      <c r="F356" s="112" t="n"/>
      <c r="G356" s="47" t="n"/>
      <c r="H356" s="47" t="n"/>
      <c r="I356" s="51">
        <f>IF(OR($A356="",$F356=""),"",$F356-TODAY())</f>
        <v/>
      </c>
      <c r="J356" s="47" t="n"/>
      <c r="K356">
        <f>IF(AND(ISNUMBER($I356),$I356&lt;=تنبيه_وثيقة_90),SUMPRODUCT(ISNUMBER($I$3:$I$502)*($I$3:$I$502&lt;=تنبيه_وثيقة_90)*(ROW($I$3:$I$502)&lt;=ROW())),"")</f>
        <v/>
      </c>
    </row>
    <row r="357">
      <c r="A357" s="40" t="n"/>
      <c r="B357" s="43">
        <f>IFERROR(INDEX(الموظفون_الاسم,MATCH($A357,الموظفون_الرقم,0)),"")</f>
        <v/>
      </c>
      <c r="C357" s="40" t="n"/>
      <c r="D357" s="40" t="n"/>
      <c r="E357" s="110" t="n"/>
      <c r="F357" s="110" t="n"/>
      <c r="G357" s="40" t="n"/>
      <c r="H357" s="40" t="n"/>
      <c r="I357" s="44">
        <f>IF(OR($A357="",$F357=""),"",$F357-TODAY())</f>
        <v/>
      </c>
      <c r="J357" s="40" t="n"/>
      <c r="K357">
        <f>IF(AND(ISNUMBER($I357),$I357&lt;=تنبيه_وثيقة_90),SUMPRODUCT(ISNUMBER($I$3:$I$502)*($I$3:$I$502&lt;=تنبيه_وثيقة_90)*(ROW($I$3:$I$502)&lt;=ROW())),"")</f>
        <v/>
      </c>
    </row>
    <row r="358">
      <c r="A358" s="47" t="n"/>
      <c r="B358" s="50">
        <f>IFERROR(INDEX(الموظفون_الاسم,MATCH($A358,الموظفون_الرقم,0)),"")</f>
        <v/>
      </c>
      <c r="C358" s="47" t="n"/>
      <c r="D358" s="47" t="n"/>
      <c r="E358" s="112" t="n"/>
      <c r="F358" s="112" t="n"/>
      <c r="G358" s="47" t="n"/>
      <c r="H358" s="47" t="n"/>
      <c r="I358" s="51">
        <f>IF(OR($A358="",$F358=""),"",$F358-TODAY())</f>
        <v/>
      </c>
      <c r="J358" s="47" t="n"/>
      <c r="K358">
        <f>IF(AND(ISNUMBER($I358),$I358&lt;=تنبيه_وثيقة_90),SUMPRODUCT(ISNUMBER($I$3:$I$502)*($I$3:$I$502&lt;=تنبيه_وثيقة_90)*(ROW($I$3:$I$502)&lt;=ROW())),"")</f>
        <v/>
      </c>
    </row>
    <row r="359">
      <c r="A359" s="40" t="n"/>
      <c r="B359" s="43">
        <f>IFERROR(INDEX(الموظفون_الاسم,MATCH($A359,الموظفون_الرقم,0)),"")</f>
        <v/>
      </c>
      <c r="C359" s="40" t="n"/>
      <c r="D359" s="40" t="n"/>
      <c r="E359" s="110" t="n"/>
      <c r="F359" s="110" t="n"/>
      <c r="G359" s="40" t="n"/>
      <c r="H359" s="40" t="n"/>
      <c r="I359" s="44">
        <f>IF(OR($A359="",$F359=""),"",$F359-TODAY())</f>
        <v/>
      </c>
      <c r="J359" s="40" t="n"/>
      <c r="K359">
        <f>IF(AND(ISNUMBER($I359),$I359&lt;=تنبيه_وثيقة_90),SUMPRODUCT(ISNUMBER($I$3:$I$502)*($I$3:$I$502&lt;=تنبيه_وثيقة_90)*(ROW($I$3:$I$502)&lt;=ROW())),"")</f>
        <v/>
      </c>
    </row>
    <row r="360">
      <c r="A360" s="47" t="n"/>
      <c r="B360" s="50">
        <f>IFERROR(INDEX(الموظفون_الاسم,MATCH($A360,الموظفون_الرقم,0)),"")</f>
        <v/>
      </c>
      <c r="C360" s="47" t="n"/>
      <c r="D360" s="47" t="n"/>
      <c r="E360" s="112" t="n"/>
      <c r="F360" s="112" t="n"/>
      <c r="G360" s="47" t="n"/>
      <c r="H360" s="47" t="n"/>
      <c r="I360" s="51">
        <f>IF(OR($A360="",$F360=""),"",$F360-TODAY())</f>
        <v/>
      </c>
      <c r="J360" s="47" t="n"/>
      <c r="K360">
        <f>IF(AND(ISNUMBER($I360),$I360&lt;=تنبيه_وثيقة_90),SUMPRODUCT(ISNUMBER($I$3:$I$502)*($I$3:$I$502&lt;=تنبيه_وثيقة_90)*(ROW($I$3:$I$502)&lt;=ROW())),"")</f>
        <v/>
      </c>
    </row>
    <row r="361">
      <c r="A361" s="40" t="n"/>
      <c r="B361" s="43">
        <f>IFERROR(INDEX(الموظفون_الاسم,MATCH($A361,الموظفون_الرقم,0)),"")</f>
        <v/>
      </c>
      <c r="C361" s="40" t="n"/>
      <c r="D361" s="40" t="n"/>
      <c r="E361" s="110" t="n"/>
      <c r="F361" s="110" t="n"/>
      <c r="G361" s="40" t="n"/>
      <c r="H361" s="40" t="n"/>
      <c r="I361" s="44">
        <f>IF(OR($A361="",$F361=""),"",$F361-TODAY())</f>
        <v/>
      </c>
      <c r="J361" s="40" t="n"/>
      <c r="K361">
        <f>IF(AND(ISNUMBER($I361),$I361&lt;=تنبيه_وثيقة_90),SUMPRODUCT(ISNUMBER($I$3:$I$502)*($I$3:$I$502&lt;=تنبيه_وثيقة_90)*(ROW($I$3:$I$502)&lt;=ROW())),"")</f>
        <v/>
      </c>
    </row>
    <row r="362">
      <c r="A362" s="47" t="n"/>
      <c r="B362" s="50">
        <f>IFERROR(INDEX(الموظفون_الاسم,MATCH($A362,الموظفون_الرقم,0)),"")</f>
        <v/>
      </c>
      <c r="C362" s="47" t="n"/>
      <c r="D362" s="47" t="n"/>
      <c r="E362" s="112" t="n"/>
      <c r="F362" s="112" t="n"/>
      <c r="G362" s="47" t="n"/>
      <c r="H362" s="47" t="n"/>
      <c r="I362" s="51">
        <f>IF(OR($A362="",$F362=""),"",$F362-TODAY())</f>
        <v/>
      </c>
      <c r="J362" s="47" t="n"/>
      <c r="K362">
        <f>IF(AND(ISNUMBER($I362),$I362&lt;=تنبيه_وثيقة_90),SUMPRODUCT(ISNUMBER($I$3:$I$502)*($I$3:$I$502&lt;=تنبيه_وثيقة_90)*(ROW($I$3:$I$502)&lt;=ROW())),"")</f>
        <v/>
      </c>
    </row>
    <row r="363">
      <c r="A363" s="40" t="n"/>
      <c r="B363" s="43">
        <f>IFERROR(INDEX(الموظفون_الاسم,MATCH($A363,الموظفون_الرقم,0)),"")</f>
        <v/>
      </c>
      <c r="C363" s="40" t="n"/>
      <c r="D363" s="40" t="n"/>
      <c r="E363" s="110" t="n"/>
      <c r="F363" s="110" t="n"/>
      <c r="G363" s="40" t="n"/>
      <c r="H363" s="40" t="n"/>
      <c r="I363" s="44">
        <f>IF(OR($A363="",$F363=""),"",$F363-TODAY())</f>
        <v/>
      </c>
      <c r="J363" s="40" t="n"/>
      <c r="K363">
        <f>IF(AND(ISNUMBER($I363),$I363&lt;=تنبيه_وثيقة_90),SUMPRODUCT(ISNUMBER($I$3:$I$502)*($I$3:$I$502&lt;=تنبيه_وثيقة_90)*(ROW($I$3:$I$502)&lt;=ROW())),"")</f>
        <v/>
      </c>
    </row>
    <row r="364">
      <c r="A364" s="47" t="n"/>
      <c r="B364" s="50">
        <f>IFERROR(INDEX(الموظفون_الاسم,MATCH($A364,الموظفون_الرقم,0)),"")</f>
        <v/>
      </c>
      <c r="C364" s="47" t="n"/>
      <c r="D364" s="47" t="n"/>
      <c r="E364" s="112" t="n"/>
      <c r="F364" s="112" t="n"/>
      <c r="G364" s="47" t="n"/>
      <c r="H364" s="47" t="n"/>
      <c r="I364" s="51">
        <f>IF(OR($A364="",$F364=""),"",$F364-TODAY())</f>
        <v/>
      </c>
      <c r="J364" s="47" t="n"/>
      <c r="K364">
        <f>IF(AND(ISNUMBER($I364),$I364&lt;=تنبيه_وثيقة_90),SUMPRODUCT(ISNUMBER($I$3:$I$502)*($I$3:$I$502&lt;=تنبيه_وثيقة_90)*(ROW($I$3:$I$502)&lt;=ROW())),"")</f>
        <v/>
      </c>
    </row>
    <row r="365">
      <c r="A365" s="40" t="n"/>
      <c r="B365" s="43">
        <f>IFERROR(INDEX(الموظفون_الاسم,MATCH($A365,الموظفون_الرقم,0)),"")</f>
        <v/>
      </c>
      <c r="C365" s="40" t="n"/>
      <c r="D365" s="40" t="n"/>
      <c r="E365" s="110" t="n"/>
      <c r="F365" s="110" t="n"/>
      <c r="G365" s="40" t="n"/>
      <c r="H365" s="40" t="n"/>
      <c r="I365" s="44">
        <f>IF(OR($A365="",$F365=""),"",$F365-TODAY())</f>
        <v/>
      </c>
      <c r="J365" s="40" t="n"/>
      <c r="K365">
        <f>IF(AND(ISNUMBER($I365),$I365&lt;=تنبيه_وثيقة_90),SUMPRODUCT(ISNUMBER($I$3:$I$502)*($I$3:$I$502&lt;=تنبيه_وثيقة_90)*(ROW($I$3:$I$502)&lt;=ROW())),"")</f>
        <v/>
      </c>
    </row>
    <row r="366">
      <c r="A366" s="47" t="n"/>
      <c r="B366" s="50">
        <f>IFERROR(INDEX(الموظفون_الاسم,MATCH($A366,الموظفون_الرقم,0)),"")</f>
        <v/>
      </c>
      <c r="C366" s="47" t="n"/>
      <c r="D366" s="47" t="n"/>
      <c r="E366" s="112" t="n"/>
      <c r="F366" s="112" t="n"/>
      <c r="G366" s="47" t="n"/>
      <c r="H366" s="47" t="n"/>
      <c r="I366" s="51">
        <f>IF(OR($A366="",$F366=""),"",$F366-TODAY())</f>
        <v/>
      </c>
      <c r="J366" s="47" t="n"/>
      <c r="K366">
        <f>IF(AND(ISNUMBER($I366),$I366&lt;=تنبيه_وثيقة_90),SUMPRODUCT(ISNUMBER($I$3:$I$502)*($I$3:$I$502&lt;=تنبيه_وثيقة_90)*(ROW($I$3:$I$502)&lt;=ROW())),"")</f>
        <v/>
      </c>
    </row>
    <row r="367">
      <c r="A367" s="40" t="n"/>
      <c r="B367" s="43">
        <f>IFERROR(INDEX(الموظفون_الاسم,MATCH($A367,الموظفون_الرقم,0)),"")</f>
        <v/>
      </c>
      <c r="C367" s="40" t="n"/>
      <c r="D367" s="40" t="n"/>
      <c r="E367" s="110" t="n"/>
      <c r="F367" s="110" t="n"/>
      <c r="G367" s="40" t="n"/>
      <c r="H367" s="40" t="n"/>
      <c r="I367" s="44">
        <f>IF(OR($A367="",$F367=""),"",$F367-TODAY())</f>
        <v/>
      </c>
      <c r="J367" s="40" t="n"/>
      <c r="K367">
        <f>IF(AND(ISNUMBER($I367),$I367&lt;=تنبيه_وثيقة_90),SUMPRODUCT(ISNUMBER($I$3:$I$502)*($I$3:$I$502&lt;=تنبيه_وثيقة_90)*(ROW($I$3:$I$502)&lt;=ROW())),"")</f>
        <v/>
      </c>
    </row>
    <row r="368">
      <c r="A368" s="47" t="n"/>
      <c r="B368" s="50">
        <f>IFERROR(INDEX(الموظفون_الاسم,MATCH($A368,الموظفون_الرقم,0)),"")</f>
        <v/>
      </c>
      <c r="C368" s="47" t="n"/>
      <c r="D368" s="47" t="n"/>
      <c r="E368" s="112" t="n"/>
      <c r="F368" s="112" t="n"/>
      <c r="G368" s="47" t="n"/>
      <c r="H368" s="47" t="n"/>
      <c r="I368" s="51">
        <f>IF(OR($A368="",$F368=""),"",$F368-TODAY())</f>
        <v/>
      </c>
      <c r="J368" s="47" t="n"/>
      <c r="K368">
        <f>IF(AND(ISNUMBER($I368),$I368&lt;=تنبيه_وثيقة_90),SUMPRODUCT(ISNUMBER($I$3:$I$502)*($I$3:$I$502&lt;=تنبيه_وثيقة_90)*(ROW($I$3:$I$502)&lt;=ROW())),"")</f>
        <v/>
      </c>
    </row>
    <row r="369">
      <c r="A369" s="40" t="n"/>
      <c r="B369" s="43">
        <f>IFERROR(INDEX(الموظفون_الاسم,MATCH($A369,الموظفون_الرقم,0)),"")</f>
        <v/>
      </c>
      <c r="C369" s="40" t="n"/>
      <c r="D369" s="40" t="n"/>
      <c r="E369" s="110" t="n"/>
      <c r="F369" s="110" t="n"/>
      <c r="G369" s="40" t="n"/>
      <c r="H369" s="40" t="n"/>
      <c r="I369" s="44">
        <f>IF(OR($A369="",$F369=""),"",$F369-TODAY())</f>
        <v/>
      </c>
      <c r="J369" s="40" t="n"/>
      <c r="K369">
        <f>IF(AND(ISNUMBER($I369),$I369&lt;=تنبيه_وثيقة_90),SUMPRODUCT(ISNUMBER($I$3:$I$502)*($I$3:$I$502&lt;=تنبيه_وثيقة_90)*(ROW($I$3:$I$502)&lt;=ROW())),"")</f>
        <v/>
      </c>
    </row>
    <row r="370">
      <c r="A370" s="47" t="n"/>
      <c r="B370" s="50">
        <f>IFERROR(INDEX(الموظفون_الاسم,MATCH($A370,الموظفون_الرقم,0)),"")</f>
        <v/>
      </c>
      <c r="C370" s="47" t="n"/>
      <c r="D370" s="47" t="n"/>
      <c r="E370" s="112" t="n"/>
      <c r="F370" s="112" t="n"/>
      <c r="G370" s="47" t="n"/>
      <c r="H370" s="47" t="n"/>
      <c r="I370" s="51">
        <f>IF(OR($A370="",$F370=""),"",$F370-TODAY())</f>
        <v/>
      </c>
      <c r="J370" s="47" t="n"/>
      <c r="K370">
        <f>IF(AND(ISNUMBER($I370),$I370&lt;=تنبيه_وثيقة_90),SUMPRODUCT(ISNUMBER($I$3:$I$502)*($I$3:$I$502&lt;=تنبيه_وثيقة_90)*(ROW($I$3:$I$502)&lt;=ROW())),"")</f>
        <v/>
      </c>
    </row>
    <row r="371">
      <c r="A371" s="40" t="n"/>
      <c r="B371" s="43">
        <f>IFERROR(INDEX(الموظفون_الاسم,MATCH($A371,الموظفون_الرقم,0)),"")</f>
        <v/>
      </c>
      <c r="C371" s="40" t="n"/>
      <c r="D371" s="40" t="n"/>
      <c r="E371" s="110" t="n"/>
      <c r="F371" s="110" t="n"/>
      <c r="G371" s="40" t="n"/>
      <c r="H371" s="40" t="n"/>
      <c r="I371" s="44">
        <f>IF(OR($A371="",$F371=""),"",$F371-TODAY())</f>
        <v/>
      </c>
      <c r="J371" s="40" t="n"/>
      <c r="K371">
        <f>IF(AND(ISNUMBER($I371),$I371&lt;=تنبيه_وثيقة_90),SUMPRODUCT(ISNUMBER($I$3:$I$502)*($I$3:$I$502&lt;=تنبيه_وثيقة_90)*(ROW($I$3:$I$502)&lt;=ROW())),"")</f>
        <v/>
      </c>
    </row>
    <row r="372">
      <c r="A372" s="47" t="n"/>
      <c r="B372" s="50">
        <f>IFERROR(INDEX(الموظفون_الاسم,MATCH($A372,الموظفون_الرقم,0)),"")</f>
        <v/>
      </c>
      <c r="C372" s="47" t="n"/>
      <c r="D372" s="47" t="n"/>
      <c r="E372" s="112" t="n"/>
      <c r="F372" s="112" t="n"/>
      <c r="G372" s="47" t="n"/>
      <c r="H372" s="47" t="n"/>
      <c r="I372" s="51">
        <f>IF(OR($A372="",$F372=""),"",$F372-TODAY())</f>
        <v/>
      </c>
      <c r="J372" s="47" t="n"/>
      <c r="K372">
        <f>IF(AND(ISNUMBER($I372),$I372&lt;=تنبيه_وثيقة_90),SUMPRODUCT(ISNUMBER($I$3:$I$502)*($I$3:$I$502&lt;=تنبيه_وثيقة_90)*(ROW($I$3:$I$502)&lt;=ROW())),"")</f>
        <v/>
      </c>
    </row>
    <row r="373">
      <c r="A373" s="40" t="n"/>
      <c r="B373" s="43">
        <f>IFERROR(INDEX(الموظفون_الاسم,MATCH($A373,الموظفون_الرقم,0)),"")</f>
        <v/>
      </c>
      <c r="C373" s="40" t="n"/>
      <c r="D373" s="40" t="n"/>
      <c r="E373" s="110" t="n"/>
      <c r="F373" s="110" t="n"/>
      <c r="G373" s="40" t="n"/>
      <c r="H373" s="40" t="n"/>
      <c r="I373" s="44">
        <f>IF(OR($A373="",$F373=""),"",$F373-TODAY())</f>
        <v/>
      </c>
      <c r="J373" s="40" t="n"/>
      <c r="K373">
        <f>IF(AND(ISNUMBER($I373),$I373&lt;=تنبيه_وثيقة_90),SUMPRODUCT(ISNUMBER($I$3:$I$502)*($I$3:$I$502&lt;=تنبيه_وثيقة_90)*(ROW($I$3:$I$502)&lt;=ROW())),"")</f>
        <v/>
      </c>
    </row>
    <row r="374">
      <c r="A374" s="47" t="n"/>
      <c r="B374" s="50">
        <f>IFERROR(INDEX(الموظفون_الاسم,MATCH($A374,الموظفون_الرقم,0)),"")</f>
        <v/>
      </c>
      <c r="C374" s="47" t="n"/>
      <c r="D374" s="47" t="n"/>
      <c r="E374" s="112" t="n"/>
      <c r="F374" s="112" t="n"/>
      <c r="G374" s="47" t="n"/>
      <c r="H374" s="47" t="n"/>
      <c r="I374" s="51">
        <f>IF(OR($A374="",$F374=""),"",$F374-TODAY())</f>
        <v/>
      </c>
      <c r="J374" s="47" t="n"/>
      <c r="K374">
        <f>IF(AND(ISNUMBER($I374),$I374&lt;=تنبيه_وثيقة_90),SUMPRODUCT(ISNUMBER($I$3:$I$502)*($I$3:$I$502&lt;=تنبيه_وثيقة_90)*(ROW($I$3:$I$502)&lt;=ROW())),"")</f>
        <v/>
      </c>
    </row>
    <row r="375">
      <c r="A375" s="40" t="n"/>
      <c r="B375" s="43">
        <f>IFERROR(INDEX(الموظفون_الاسم,MATCH($A375,الموظفون_الرقم,0)),"")</f>
        <v/>
      </c>
      <c r="C375" s="40" t="n"/>
      <c r="D375" s="40" t="n"/>
      <c r="E375" s="110" t="n"/>
      <c r="F375" s="110" t="n"/>
      <c r="G375" s="40" t="n"/>
      <c r="H375" s="40" t="n"/>
      <c r="I375" s="44">
        <f>IF(OR($A375="",$F375=""),"",$F375-TODAY())</f>
        <v/>
      </c>
      <c r="J375" s="40" t="n"/>
      <c r="K375">
        <f>IF(AND(ISNUMBER($I375),$I375&lt;=تنبيه_وثيقة_90),SUMPRODUCT(ISNUMBER($I$3:$I$502)*($I$3:$I$502&lt;=تنبيه_وثيقة_90)*(ROW($I$3:$I$502)&lt;=ROW())),"")</f>
        <v/>
      </c>
    </row>
    <row r="376">
      <c r="A376" s="47" t="n"/>
      <c r="B376" s="50">
        <f>IFERROR(INDEX(الموظفون_الاسم,MATCH($A376,الموظفون_الرقم,0)),"")</f>
        <v/>
      </c>
      <c r="C376" s="47" t="n"/>
      <c r="D376" s="47" t="n"/>
      <c r="E376" s="112" t="n"/>
      <c r="F376" s="112" t="n"/>
      <c r="G376" s="47" t="n"/>
      <c r="H376" s="47" t="n"/>
      <c r="I376" s="51">
        <f>IF(OR($A376="",$F376=""),"",$F376-TODAY())</f>
        <v/>
      </c>
      <c r="J376" s="47" t="n"/>
      <c r="K376">
        <f>IF(AND(ISNUMBER($I376),$I376&lt;=تنبيه_وثيقة_90),SUMPRODUCT(ISNUMBER($I$3:$I$502)*($I$3:$I$502&lt;=تنبيه_وثيقة_90)*(ROW($I$3:$I$502)&lt;=ROW())),"")</f>
        <v/>
      </c>
    </row>
    <row r="377">
      <c r="A377" s="40" t="n"/>
      <c r="B377" s="43">
        <f>IFERROR(INDEX(الموظفون_الاسم,MATCH($A377,الموظفون_الرقم,0)),"")</f>
        <v/>
      </c>
      <c r="C377" s="40" t="n"/>
      <c r="D377" s="40" t="n"/>
      <c r="E377" s="110" t="n"/>
      <c r="F377" s="110" t="n"/>
      <c r="G377" s="40" t="n"/>
      <c r="H377" s="40" t="n"/>
      <c r="I377" s="44">
        <f>IF(OR($A377="",$F377=""),"",$F377-TODAY())</f>
        <v/>
      </c>
      <c r="J377" s="40" t="n"/>
      <c r="K377">
        <f>IF(AND(ISNUMBER($I377),$I377&lt;=تنبيه_وثيقة_90),SUMPRODUCT(ISNUMBER($I$3:$I$502)*($I$3:$I$502&lt;=تنبيه_وثيقة_90)*(ROW($I$3:$I$502)&lt;=ROW())),"")</f>
        <v/>
      </c>
    </row>
    <row r="378">
      <c r="A378" s="47" t="n"/>
      <c r="B378" s="50">
        <f>IFERROR(INDEX(الموظفون_الاسم,MATCH($A378,الموظفون_الرقم,0)),"")</f>
        <v/>
      </c>
      <c r="C378" s="47" t="n"/>
      <c r="D378" s="47" t="n"/>
      <c r="E378" s="112" t="n"/>
      <c r="F378" s="112" t="n"/>
      <c r="G378" s="47" t="n"/>
      <c r="H378" s="47" t="n"/>
      <c r="I378" s="51">
        <f>IF(OR($A378="",$F378=""),"",$F378-TODAY())</f>
        <v/>
      </c>
      <c r="J378" s="47" t="n"/>
      <c r="K378">
        <f>IF(AND(ISNUMBER($I378),$I378&lt;=تنبيه_وثيقة_90),SUMPRODUCT(ISNUMBER($I$3:$I$502)*($I$3:$I$502&lt;=تنبيه_وثيقة_90)*(ROW($I$3:$I$502)&lt;=ROW())),"")</f>
        <v/>
      </c>
    </row>
    <row r="379">
      <c r="A379" s="40" t="n"/>
      <c r="B379" s="43">
        <f>IFERROR(INDEX(الموظفون_الاسم,MATCH($A379,الموظفون_الرقم,0)),"")</f>
        <v/>
      </c>
      <c r="C379" s="40" t="n"/>
      <c r="D379" s="40" t="n"/>
      <c r="E379" s="110" t="n"/>
      <c r="F379" s="110" t="n"/>
      <c r="G379" s="40" t="n"/>
      <c r="H379" s="40" t="n"/>
      <c r="I379" s="44">
        <f>IF(OR($A379="",$F379=""),"",$F379-TODAY())</f>
        <v/>
      </c>
      <c r="J379" s="40" t="n"/>
      <c r="K379">
        <f>IF(AND(ISNUMBER($I379),$I379&lt;=تنبيه_وثيقة_90),SUMPRODUCT(ISNUMBER($I$3:$I$502)*($I$3:$I$502&lt;=تنبيه_وثيقة_90)*(ROW($I$3:$I$502)&lt;=ROW())),"")</f>
        <v/>
      </c>
    </row>
    <row r="380">
      <c r="A380" s="47" t="n"/>
      <c r="B380" s="50">
        <f>IFERROR(INDEX(الموظفون_الاسم,MATCH($A380,الموظفون_الرقم,0)),"")</f>
        <v/>
      </c>
      <c r="C380" s="47" t="n"/>
      <c r="D380" s="47" t="n"/>
      <c r="E380" s="112" t="n"/>
      <c r="F380" s="112" t="n"/>
      <c r="G380" s="47" t="n"/>
      <c r="H380" s="47" t="n"/>
      <c r="I380" s="51">
        <f>IF(OR($A380="",$F380=""),"",$F380-TODAY())</f>
        <v/>
      </c>
      <c r="J380" s="47" t="n"/>
      <c r="K380">
        <f>IF(AND(ISNUMBER($I380),$I380&lt;=تنبيه_وثيقة_90),SUMPRODUCT(ISNUMBER($I$3:$I$502)*($I$3:$I$502&lt;=تنبيه_وثيقة_90)*(ROW($I$3:$I$502)&lt;=ROW())),"")</f>
        <v/>
      </c>
    </row>
    <row r="381">
      <c r="A381" s="40" t="n"/>
      <c r="B381" s="43">
        <f>IFERROR(INDEX(الموظفون_الاسم,MATCH($A381,الموظفون_الرقم,0)),"")</f>
        <v/>
      </c>
      <c r="C381" s="40" t="n"/>
      <c r="D381" s="40" t="n"/>
      <c r="E381" s="110" t="n"/>
      <c r="F381" s="110" t="n"/>
      <c r="G381" s="40" t="n"/>
      <c r="H381" s="40" t="n"/>
      <c r="I381" s="44">
        <f>IF(OR($A381="",$F381=""),"",$F381-TODAY())</f>
        <v/>
      </c>
      <c r="J381" s="40" t="n"/>
      <c r="K381">
        <f>IF(AND(ISNUMBER($I381),$I381&lt;=تنبيه_وثيقة_90),SUMPRODUCT(ISNUMBER($I$3:$I$502)*($I$3:$I$502&lt;=تنبيه_وثيقة_90)*(ROW($I$3:$I$502)&lt;=ROW())),"")</f>
        <v/>
      </c>
    </row>
    <row r="382">
      <c r="A382" s="47" t="n"/>
      <c r="B382" s="50">
        <f>IFERROR(INDEX(الموظفون_الاسم,MATCH($A382,الموظفون_الرقم,0)),"")</f>
        <v/>
      </c>
      <c r="C382" s="47" t="n"/>
      <c r="D382" s="47" t="n"/>
      <c r="E382" s="112" t="n"/>
      <c r="F382" s="112" t="n"/>
      <c r="G382" s="47" t="n"/>
      <c r="H382" s="47" t="n"/>
      <c r="I382" s="51">
        <f>IF(OR($A382="",$F382=""),"",$F382-TODAY())</f>
        <v/>
      </c>
      <c r="J382" s="47" t="n"/>
      <c r="K382">
        <f>IF(AND(ISNUMBER($I382),$I382&lt;=تنبيه_وثيقة_90),SUMPRODUCT(ISNUMBER($I$3:$I$502)*($I$3:$I$502&lt;=تنبيه_وثيقة_90)*(ROW($I$3:$I$502)&lt;=ROW())),"")</f>
        <v/>
      </c>
    </row>
    <row r="383">
      <c r="A383" s="40" t="n"/>
      <c r="B383" s="43">
        <f>IFERROR(INDEX(الموظفون_الاسم,MATCH($A383,الموظفون_الرقم,0)),"")</f>
        <v/>
      </c>
      <c r="C383" s="40" t="n"/>
      <c r="D383" s="40" t="n"/>
      <c r="E383" s="110" t="n"/>
      <c r="F383" s="110" t="n"/>
      <c r="G383" s="40" t="n"/>
      <c r="H383" s="40" t="n"/>
      <c r="I383" s="44">
        <f>IF(OR($A383="",$F383=""),"",$F383-TODAY())</f>
        <v/>
      </c>
      <c r="J383" s="40" t="n"/>
      <c r="K383">
        <f>IF(AND(ISNUMBER($I383),$I383&lt;=تنبيه_وثيقة_90),SUMPRODUCT(ISNUMBER($I$3:$I$502)*($I$3:$I$502&lt;=تنبيه_وثيقة_90)*(ROW($I$3:$I$502)&lt;=ROW())),"")</f>
        <v/>
      </c>
    </row>
    <row r="384">
      <c r="A384" s="47" t="n"/>
      <c r="B384" s="50">
        <f>IFERROR(INDEX(الموظفون_الاسم,MATCH($A384,الموظفون_الرقم,0)),"")</f>
        <v/>
      </c>
      <c r="C384" s="47" t="n"/>
      <c r="D384" s="47" t="n"/>
      <c r="E384" s="112" t="n"/>
      <c r="F384" s="112" t="n"/>
      <c r="G384" s="47" t="n"/>
      <c r="H384" s="47" t="n"/>
      <c r="I384" s="51">
        <f>IF(OR($A384="",$F384=""),"",$F384-TODAY())</f>
        <v/>
      </c>
      <c r="J384" s="47" t="n"/>
      <c r="K384">
        <f>IF(AND(ISNUMBER($I384),$I384&lt;=تنبيه_وثيقة_90),SUMPRODUCT(ISNUMBER($I$3:$I$502)*($I$3:$I$502&lt;=تنبيه_وثيقة_90)*(ROW($I$3:$I$502)&lt;=ROW())),"")</f>
        <v/>
      </c>
    </row>
    <row r="385">
      <c r="A385" s="40" t="n"/>
      <c r="B385" s="43">
        <f>IFERROR(INDEX(الموظفون_الاسم,MATCH($A385,الموظفون_الرقم,0)),"")</f>
        <v/>
      </c>
      <c r="C385" s="40" t="n"/>
      <c r="D385" s="40" t="n"/>
      <c r="E385" s="110" t="n"/>
      <c r="F385" s="110" t="n"/>
      <c r="G385" s="40" t="n"/>
      <c r="H385" s="40" t="n"/>
      <c r="I385" s="44">
        <f>IF(OR($A385="",$F385=""),"",$F385-TODAY())</f>
        <v/>
      </c>
      <c r="J385" s="40" t="n"/>
      <c r="K385">
        <f>IF(AND(ISNUMBER($I385),$I385&lt;=تنبيه_وثيقة_90),SUMPRODUCT(ISNUMBER($I$3:$I$502)*($I$3:$I$502&lt;=تنبيه_وثيقة_90)*(ROW($I$3:$I$502)&lt;=ROW())),"")</f>
        <v/>
      </c>
    </row>
    <row r="386">
      <c r="A386" s="47" t="n"/>
      <c r="B386" s="50">
        <f>IFERROR(INDEX(الموظفون_الاسم,MATCH($A386,الموظفون_الرقم,0)),"")</f>
        <v/>
      </c>
      <c r="C386" s="47" t="n"/>
      <c r="D386" s="47" t="n"/>
      <c r="E386" s="112" t="n"/>
      <c r="F386" s="112" t="n"/>
      <c r="G386" s="47" t="n"/>
      <c r="H386" s="47" t="n"/>
      <c r="I386" s="51">
        <f>IF(OR($A386="",$F386=""),"",$F386-TODAY())</f>
        <v/>
      </c>
      <c r="J386" s="47" t="n"/>
      <c r="K386">
        <f>IF(AND(ISNUMBER($I386),$I386&lt;=تنبيه_وثيقة_90),SUMPRODUCT(ISNUMBER($I$3:$I$502)*($I$3:$I$502&lt;=تنبيه_وثيقة_90)*(ROW($I$3:$I$502)&lt;=ROW())),"")</f>
        <v/>
      </c>
    </row>
    <row r="387">
      <c r="A387" s="40" t="n"/>
      <c r="B387" s="43">
        <f>IFERROR(INDEX(الموظفون_الاسم,MATCH($A387,الموظفون_الرقم,0)),"")</f>
        <v/>
      </c>
      <c r="C387" s="40" t="n"/>
      <c r="D387" s="40" t="n"/>
      <c r="E387" s="110" t="n"/>
      <c r="F387" s="110" t="n"/>
      <c r="G387" s="40" t="n"/>
      <c r="H387" s="40" t="n"/>
      <c r="I387" s="44">
        <f>IF(OR($A387="",$F387=""),"",$F387-TODAY())</f>
        <v/>
      </c>
      <c r="J387" s="40" t="n"/>
      <c r="K387">
        <f>IF(AND(ISNUMBER($I387),$I387&lt;=تنبيه_وثيقة_90),SUMPRODUCT(ISNUMBER($I$3:$I$502)*($I$3:$I$502&lt;=تنبيه_وثيقة_90)*(ROW($I$3:$I$502)&lt;=ROW())),"")</f>
        <v/>
      </c>
    </row>
    <row r="388">
      <c r="A388" s="47" t="n"/>
      <c r="B388" s="50">
        <f>IFERROR(INDEX(الموظفون_الاسم,MATCH($A388,الموظفون_الرقم,0)),"")</f>
        <v/>
      </c>
      <c r="C388" s="47" t="n"/>
      <c r="D388" s="47" t="n"/>
      <c r="E388" s="112" t="n"/>
      <c r="F388" s="112" t="n"/>
      <c r="G388" s="47" t="n"/>
      <c r="H388" s="47" t="n"/>
      <c r="I388" s="51">
        <f>IF(OR($A388="",$F388=""),"",$F388-TODAY())</f>
        <v/>
      </c>
      <c r="J388" s="47" t="n"/>
      <c r="K388">
        <f>IF(AND(ISNUMBER($I388),$I388&lt;=تنبيه_وثيقة_90),SUMPRODUCT(ISNUMBER($I$3:$I$502)*($I$3:$I$502&lt;=تنبيه_وثيقة_90)*(ROW($I$3:$I$502)&lt;=ROW())),"")</f>
        <v/>
      </c>
    </row>
    <row r="389">
      <c r="A389" s="40" t="n"/>
      <c r="B389" s="43">
        <f>IFERROR(INDEX(الموظفون_الاسم,MATCH($A389,الموظفون_الرقم,0)),"")</f>
        <v/>
      </c>
      <c r="C389" s="40" t="n"/>
      <c r="D389" s="40" t="n"/>
      <c r="E389" s="110" t="n"/>
      <c r="F389" s="110" t="n"/>
      <c r="G389" s="40" t="n"/>
      <c r="H389" s="40" t="n"/>
      <c r="I389" s="44">
        <f>IF(OR($A389="",$F389=""),"",$F389-TODAY())</f>
        <v/>
      </c>
      <c r="J389" s="40" t="n"/>
      <c r="K389">
        <f>IF(AND(ISNUMBER($I389),$I389&lt;=تنبيه_وثيقة_90),SUMPRODUCT(ISNUMBER($I$3:$I$502)*($I$3:$I$502&lt;=تنبيه_وثيقة_90)*(ROW($I$3:$I$502)&lt;=ROW())),"")</f>
        <v/>
      </c>
    </row>
    <row r="390">
      <c r="A390" s="47" t="n"/>
      <c r="B390" s="50">
        <f>IFERROR(INDEX(الموظفون_الاسم,MATCH($A390,الموظفون_الرقم,0)),"")</f>
        <v/>
      </c>
      <c r="C390" s="47" t="n"/>
      <c r="D390" s="47" t="n"/>
      <c r="E390" s="112" t="n"/>
      <c r="F390" s="112" t="n"/>
      <c r="G390" s="47" t="n"/>
      <c r="H390" s="47" t="n"/>
      <c r="I390" s="51">
        <f>IF(OR($A390="",$F390=""),"",$F390-TODAY())</f>
        <v/>
      </c>
      <c r="J390" s="47" t="n"/>
      <c r="K390">
        <f>IF(AND(ISNUMBER($I390),$I390&lt;=تنبيه_وثيقة_90),SUMPRODUCT(ISNUMBER($I$3:$I$502)*($I$3:$I$502&lt;=تنبيه_وثيقة_90)*(ROW($I$3:$I$502)&lt;=ROW())),"")</f>
        <v/>
      </c>
    </row>
    <row r="391">
      <c r="A391" s="40" t="n"/>
      <c r="B391" s="43">
        <f>IFERROR(INDEX(الموظفون_الاسم,MATCH($A391,الموظفون_الرقم,0)),"")</f>
        <v/>
      </c>
      <c r="C391" s="40" t="n"/>
      <c r="D391" s="40" t="n"/>
      <c r="E391" s="110" t="n"/>
      <c r="F391" s="110" t="n"/>
      <c r="G391" s="40" t="n"/>
      <c r="H391" s="40" t="n"/>
      <c r="I391" s="44">
        <f>IF(OR($A391="",$F391=""),"",$F391-TODAY())</f>
        <v/>
      </c>
      <c r="J391" s="40" t="n"/>
      <c r="K391">
        <f>IF(AND(ISNUMBER($I391),$I391&lt;=تنبيه_وثيقة_90),SUMPRODUCT(ISNUMBER($I$3:$I$502)*($I$3:$I$502&lt;=تنبيه_وثيقة_90)*(ROW($I$3:$I$502)&lt;=ROW())),"")</f>
        <v/>
      </c>
    </row>
    <row r="392">
      <c r="A392" s="47" t="n"/>
      <c r="B392" s="50">
        <f>IFERROR(INDEX(الموظفون_الاسم,MATCH($A392,الموظفون_الرقم,0)),"")</f>
        <v/>
      </c>
      <c r="C392" s="47" t="n"/>
      <c r="D392" s="47" t="n"/>
      <c r="E392" s="112" t="n"/>
      <c r="F392" s="112" t="n"/>
      <c r="G392" s="47" t="n"/>
      <c r="H392" s="47" t="n"/>
      <c r="I392" s="51">
        <f>IF(OR($A392="",$F392=""),"",$F392-TODAY())</f>
        <v/>
      </c>
      <c r="J392" s="47" t="n"/>
      <c r="K392">
        <f>IF(AND(ISNUMBER($I392),$I392&lt;=تنبيه_وثيقة_90),SUMPRODUCT(ISNUMBER($I$3:$I$502)*($I$3:$I$502&lt;=تنبيه_وثيقة_90)*(ROW($I$3:$I$502)&lt;=ROW())),"")</f>
        <v/>
      </c>
    </row>
    <row r="393">
      <c r="A393" s="40" t="n"/>
      <c r="B393" s="43">
        <f>IFERROR(INDEX(الموظفون_الاسم,MATCH($A393,الموظفون_الرقم,0)),"")</f>
        <v/>
      </c>
      <c r="C393" s="40" t="n"/>
      <c r="D393" s="40" t="n"/>
      <c r="E393" s="110" t="n"/>
      <c r="F393" s="110" t="n"/>
      <c r="G393" s="40" t="n"/>
      <c r="H393" s="40" t="n"/>
      <c r="I393" s="44">
        <f>IF(OR($A393="",$F393=""),"",$F393-TODAY())</f>
        <v/>
      </c>
      <c r="J393" s="40" t="n"/>
      <c r="K393">
        <f>IF(AND(ISNUMBER($I393),$I393&lt;=تنبيه_وثيقة_90),SUMPRODUCT(ISNUMBER($I$3:$I$502)*($I$3:$I$502&lt;=تنبيه_وثيقة_90)*(ROW($I$3:$I$502)&lt;=ROW())),"")</f>
        <v/>
      </c>
    </row>
    <row r="394">
      <c r="A394" s="47" t="n"/>
      <c r="B394" s="50">
        <f>IFERROR(INDEX(الموظفون_الاسم,MATCH($A394,الموظفون_الرقم,0)),"")</f>
        <v/>
      </c>
      <c r="C394" s="47" t="n"/>
      <c r="D394" s="47" t="n"/>
      <c r="E394" s="112" t="n"/>
      <c r="F394" s="112" t="n"/>
      <c r="G394" s="47" t="n"/>
      <c r="H394" s="47" t="n"/>
      <c r="I394" s="51">
        <f>IF(OR($A394="",$F394=""),"",$F394-TODAY())</f>
        <v/>
      </c>
      <c r="J394" s="47" t="n"/>
      <c r="K394">
        <f>IF(AND(ISNUMBER($I394),$I394&lt;=تنبيه_وثيقة_90),SUMPRODUCT(ISNUMBER($I$3:$I$502)*($I$3:$I$502&lt;=تنبيه_وثيقة_90)*(ROW($I$3:$I$502)&lt;=ROW())),"")</f>
        <v/>
      </c>
    </row>
    <row r="395">
      <c r="A395" s="40" t="n"/>
      <c r="B395" s="43">
        <f>IFERROR(INDEX(الموظفون_الاسم,MATCH($A395,الموظفون_الرقم,0)),"")</f>
        <v/>
      </c>
      <c r="C395" s="40" t="n"/>
      <c r="D395" s="40" t="n"/>
      <c r="E395" s="110" t="n"/>
      <c r="F395" s="110" t="n"/>
      <c r="G395" s="40" t="n"/>
      <c r="H395" s="40" t="n"/>
      <c r="I395" s="44">
        <f>IF(OR($A395="",$F395=""),"",$F395-TODAY())</f>
        <v/>
      </c>
      <c r="J395" s="40" t="n"/>
      <c r="K395">
        <f>IF(AND(ISNUMBER($I395),$I395&lt;=تنبيه_وثيقة_90),SUMPRODUCT(ISNUMBER($I$3:$I$502)*($I$3:$I$502&lt;=تنبيه_وثيقة_90)*(ROW($I$3:$I$502)&lt;=ROW())),"")</f>
        <v/>
      </c>
    </row>
    <row r="396">
      <c r="A396" s="47" t="n"/>
      <c r="B396" s="50">
        <f>IFERROR(INDEX(الموظفون_الاسم,MATCH($A396,الموظفون_الرقم,0)),"")</f>
        <v/>
      </c>
      <c r="C396" s="47" t="n"/>
      <c r="D396" s="47" t="n"/>
      <c r="E396" s="112" t="n"/>
      <c r="F396" s="112" t="n"/>
      <c r="G396" s="47" t="n"/>
      <c r="H396" s="47" t="n"/>
      <c r="I396" s="51">
        <f>IF(OR($A396="",$F396=""),"",$F396-TODAY())</f>
        <v/>
      </c>
      <c r="J396" s="47" t="n"/>
      <c r="K396">
        <f>IF(AND(ISNUMBER($I396),$I396&lt;=تنبيه_وثيقة_90),SUMPRODUCT(ISNUMBER($I$3:$I$502)*($I$3:$I$502&lt;=تنبيه_وثيقة_90)*(ROW($I$3:$I$502)&lt;=ROW())),"")</f>
        <v/>
      </c>
    </row>
    <row r="397">
      <c r="A397" s="40" t="n"/>
      <c r="B397" s="43">
        <f>IFERROR(INDEX(الموظفون_الاسم,MATCH($A397,الموظفون_الرقم,0)),"")</f>
        <v/>
      </c>
      <c r="C397" s="40" t="n"/>
      <c r="D397" s="40" t="n"/>
      <c r="E397" s="110" t="n"/>
      <c r="F397" s="110" t="n"/>
      <c r="G397" s="40" t="n"/>
      <c r="H397" s="40" t="n"/>
      <c r="I397" s="44">
        <f>IF(OR($A397="",$F397=""),"",$F397-TODAY())</f>
        <v/>
      </c>
      <c r="J397" s="40" t="n"/>
      <c r="K397">
        <f>IF(AND(ISNUMBER($I397),$I397&lt;=تنبيه_وثيقة_90),SUMPRODUCT(ISNUMBER($I$3:$I$502)*($I$3:$I$502&lt;=تنبيه_وثيقة_90)*(ROW($I$3:$I$502)&lt;=ROW())),"")</f>
        <v/>
      </c>
    </row>
    <row r="398">
      <c r="A398" s="47" t="n"/>
      <c r="B398" s="50">
        <f>IFERROR(INDEX(الموظفون_الاسم,MATCH($A398,الموظفون_الرقم,0)),"")</f>
        <v/>
      </c>
      <c r="C398" s="47" t="n"/>
      <c r="D398" s="47" t="n"/>
      <c r="E398" s="112" t="n"/>
      <c r="F398" s="112" t="n"/>
      <c r="G398" s="47" t="n"/>
      <c r="H398" s="47" t="n"/>
      <c r="I398" s="51">
        <f>IF(OR($A398="",$F398=""),"",$F398-TODAY())</f>
        <v/>
      </c>
      <c r="J398" s="47" t="n"/>
      <c r="K398">
        <f>IF(AND(ISNUMBER($I398),$I398&lt;=تنبيه_وثيقة_90),SUMPRODUCT(ISNUMBER($I$3:$I$502)*($I$3:$I$502&lt;=تنبيه_وثيقة_90)*(ROW($I$3:$I$502)&lt;=ROW())),"")</f>
        <v/>
      </c>
    </row>
    <row r="399">
      <c r="A399" s="40" t="n"/>
      <c r="B399" s="43">
        <f>IFERROR(INDEX(الموظفون_الاسم,MATCH($A399,الموظفون_الرقم,0)),"")</f>
        <v/>
      </c>
      <c r="C399" s="40" t="n"/>
      <c r="D399" s="40" t="n"/>
      <c r="E399" s="110" t="n"/>
      <c r="F399" s="110" t="n"/>
      <c r="G399" s="40" t="n"/>
      <c r="H399" s="40" t="n"/>
      <c r="I399" s="44">
        <f>IF(OR($A399="",$F399=""),"",$F399-TODAY())</f>
        <v/>
      </c>
      <c r="J399" s="40" t="n"/>
      <c r="K399">
        <f>IF(AND(ISNUMBER($I399),$I399&lt;=تنبيه_وثيقة_90),SUMPRODUCT(ISNUMBER($I$3:$I$502)*($I$3:$I$502&lt;=تنبيه_وثيقة_90)*(ROW($I$3:$I$502)&lt;=ROW())),"")</f>
        <v/>
      </c>
    </row>
    <row r="400">
      <c r="A400" s="47" t="n"/>
      <c r="B400" s="50">
        <f>IFERROR(INDEX(الموظفون_الاسم,MATCH($A400,الموظفون_الرقم,0)),"")</f>
        <v/>
      </c>
      <c r="C400" s="47" t="n"/>
      <c r="D400" s="47" t="n"/>
      <c r="E400" s="112" t="n"/>
      <c r="F400" s="112" t="n"/>
      <c r="G400" s="47" t="n"/>
      <c r="H400" s="47" t="n"/>
      <c r="I400" s="51">
        <f>IF(OR($A400="",$F400=""),"",$F400-TODAY())</f>
        <v/>
      </c>
      <c r="J400" s="47" t="n"/>
      <c r="K400">
        <f>IF(AND(ISNUMBER($I400),$I400&lt;=تنبيه_وثيقة_90),SUMPRODUCT(ISNUMBER($I$3:$I$502)*($I$3:$I$502&lt;=تنبيه_وثيقة_90)*(ROW($I$3:$I$502)&lt;=ROW())),"")</f>
        <v/>
      </c>
    </row>
    <row r="401">
      <c r="A401" s="40" t="n"/>
      <c r="B401" s="43">
        <f>IFERROR(INDEX(الموظفون_الاسم,MATCH($A401,الموظفون_الرقم,0)),"")</f>
        <v/>
      </c>
      <c r="C401" s="40" t="n"/>
      <c r="D401" s="40" t="n"/>
      <c r="E401" s="110" t="n"/>
      <c r="F401" s="110" t="n"/>
      <c r="G401" s="40" t="n"/>
      <c r="H401" s="40" t="n"/>
      <c r="I401" s="44">
        <f>IF(OR($A401="",$F401=""),"",$F401-TODAY())</f>
        <v/>
      </c>
      <c r="J401" s="40" t="n"/>
      <c r="K401">
        <f>IF(AND(ISNUMBER($I401),$I401&lt;=تنبيه_وثيقة_90),SUMPRODUCT(ISNUMBER($I$3:$I$502)*($I$3:$I$502&lt;=تنبيه_وثيقة_90)*(ROW($I$3:$I$502)&lt;=ROW())),"")</f>
        <v/>
      </c>
    </row>
    <row r="402">
      <c r="A402" s="47" t="n"/>
      <c r="B402" s="50">
        <f>IFERROR(INDEX(الموظفون_الاسم,MATCH($A402,الموظفون_الرقم,0)),"")</f>
        <v/>
      </c>
      <c r="C402" s="47" t="n"/>
      <c r="D402" s="47" t="n"/>
      <c r="E402" s="112" t="n"/>
      <c r="F402" s="112" t="n"/>
      <c r="G402" s="47" t="n"/>
      <c r="H402" s="47" t="n"/>
      <c r="I402" s="51">
        <f>IF(OR($A402="",$F402=""),"",$F402-TODAY())</f>
        <v/>
      </c>
      <c r="J402" s="47" t="n"/>
      <c r="K402">
        <f>IF(AND(ISNUMBER($I402),$I402&lt;=تنبيه_وثيقة_90),SUMPRODUCT(ISNUMBER($I$3:$I$502)*($I$3:$I$502&lt;=تنبيه_وثيقة_90)*(ROW($I$3:$I$502)&lt;=ROW())),"")</f>
        <v/>
      </c>
    </row>
    <row r="403">
      <c r="A403" s="40" t="n"/>
      <c r="B403" s="43">
        <f>IFERROR(INDEX(الموظفون_الاسم,MATCH($A403,الموظفون_الرقم,0)),"")</f>
        <v/>
      </c>
      <c r="C403" s="40" t="n"/>
      <c r="D403" s="40" t="n"/>
      <c r="E403" s="110" t="n"/>
      <c r="F403" s="110" t="n"/>
      <c r="G403" s="40" t="n"/>
      <c r="H403" s="40" t="n"/>
      <c r="I403" s="44">
        <f>IF(OR($A403="",$F403=""),"",$F403-TODAY())</f>
        <v/>
      </c>
      <c r="J403" s="40" t="n"/>
      <c r="K403">
        <f>IF(AND(ISNUMBER($I403),$I403&lt;=تنبيه_وثيقة_90),SUMPRODUCT(ISNUMBER($I$3:$I$502)*($I$3:$I$502&lt;=تنبيه_وثيقة_90)*(ROW($I$3:$I$502)&lt;=ROW())),"")</f>
        <v/>
      </c>
    </row>
    <row r="404">
      <c r="A404" s="47" t="n"/>
      <c r="B404" s="50">
        <f>IFERROR(INDEX(الموظفون_الاسم,MATCH($A404,الموظفون_الرقم,0)),"")</f>
        <v/>
      </c>
      <c r="C404" s="47" t="n"/>
      <c r="D404" s="47" t="n"/>
      <c r="E404" s="112" t="n"/>
      <c r="F404" s="112" t="n"/>
      <c r="G404" s="47" t="n"/>
      <c r="H404" s="47" t="n"/>
      <c r="I404" s="51">
        <f>IF(OR($A404="",$F404=""),"",$F404-TODAY())</f>
        <v/>
      </c>
      <c r="J404" s="47" t="n"/>
      <c r="K404">
        <f>IF(AND(ISNUMBER($I404),$I404&lt;=تنبيه_وثيقة_90),SUMPRODUCT(ISNUMBER($I$3:$I$502)*($I$3:$I$502&lt;=تنبيه_وثيقة_90)*(ROW($I$3:$I$502)&lt;=ROW())),"")</f>
        <v/>
      </c>
    </row>
    <row r="405">
      <c r="A405" s="40" t="n"/>
      <c r="B405" s="43">
        <f>IFERROR(INDEX(الموظفون_الاسم,MATCH($A405,الموظفون_الرقم,0)),"")</f>
        <v/>
      </c>
      <c r="C405" s="40" t="n"/>
      <c r="D405" s="40" t="n"/>
      <c r="E405" s="110" t="n"/>
      <c r="F405" s="110" t="n"/>
      <c r="G405" s="40" t="n"/>
      <c r="H405" s="40" t="n"/>
      <c r="I405" s="44">
        <f>IF(OR($A405="",$F405=""),"",$F405-TODAY())</f>
        <v/>
      </c>
      <c r="J405" s="40" t="n"/>
      <c r="K405">
        <f>IF(AND(ISNUMBER($I405),$I405&lt;=تنبيه_وثيقة_90),SUMPRODUCT(ISNUMBER($I$3:$I$502)*($I$3:$I$502&lt;=تنبيه_وثيقة_90)*(ROW($I$3:$I$502)&lt;=ROW())),"")</f>
        <v/>
      </c>
    </row>
    <row r="406">
      <c r="A406" s="47" t="n"/>
      <c r="B406" s="50">
        <f>IFERROR(INDEX(الموظفون_الاسم,MATCH($A406,الموظفون_الرقم,0)),"")</f>
        <v/>
      </c>
      <c r="C406" s="47" t="n"/>
      <c r="D406" s="47" t="n"/>
      <c r="E406" s="112" t="n"/>
      <c r="F406" s="112" t="n"/>
      <c r="G406" s="47" t="n"/>
      <c r="H406" s="47" t="n"/>
      <c r="I406" s="51">
        <f>IF(OR($A406="",$F406=""),"",$F406-TODAY())</f>
        <v/>
      </c>
      <c r="J406" s="47" t="n"/>
      <c r="K406">
        <f>IF(AND(ISNUMBER($I406),$I406&lt;=تنبيه_وثيقة_90),SUMPRODUCT(ISNUMBER($I$3:$I$502)*($I$3:$I$502&lt;=تنبيه_وثيقة_90)*(ROW($I$3:$I$502)&lt;=ROW())),"")</f>
        <v/>
      </c>
    </row>
    <row r="407">
      <c r="A407" s="40" t="n"/>
      <c r="B407" s="43">
        <f>IFERROR(INDEX(الموظفون_الاسم,MATCH($A407,الموظفون_الرقم,0)),"")</f>
        <v/>
      </c>
      <c r="C407" s="40" t="n"/>
      <c r="D407" s="40" t="n"/>
      <c r="E407" s="110" t="n"/>
      <c r="F407" s="110" t="n"/>
      <c r="G407" s="40" t="n"/>
      <c r="H407" s="40" t="n"/>
      <c r="I407" s="44">
        <f>IF(OR($A407="",$F407=""),"",$F407-TODAY())</f>
        <v/>
      </c>
      <c r="J407" s="40" t="n"/>
      <c r="K407">
        <f>IF(AND(ISNUMBER($I407),$I407&lt;=تنبيه_وثيقة_90),SUMPRODUCT(ISNUMBER($I$3:$I$502)*($I$3:$I$502&lt;=تنبيه_وثيقة_90)*(ROW($I$3:$I$502)&lt;=ROW())),"")</f>
        <v/>
      </c>
    </row>
    <row r="408">
      <c r="A408" s="47" t="n"/>
      <c r="B408" s="50">
        <f>IFERROR(INDEX(الموظفون_الاسم,MATCH($A408,الموظفون_الرقم,0)),"")</f>
        <v/>
      </c>
      <c r="C408" s="47" t="n"/>
      <c r="D408" s="47" t="n"/>
      <c r="E408" s="112" t="n"/>
      <c r="F408" s="112" t="n"/>
      <c r="G408" s="47" t="n"/>
      <c r="H408" s="47" t="n"/>
      <c r="I408" s="51">
        <f>IF(OR($A408="",$F408=""),"",$F408-TODAY())</f>
        <v/>
      </c>
      <c r="J408" s="47" t="n"/>
      <c r="K408">
        <f>IF(AND(ISNUMBER($I408),$I408&lt;=تنبيه_وثيقة_90),SUMPRODUCT(ISNUMBER($I$3:$I$502)*($I$3:$I$502&lt;=تنبيه_وثيقة_90)*(ROW($I$3:$I$502)&lt;=ROW())),"")</f>
        <v/>
      </c>
    </row>
    <row r="409">
      <c r="A409" s="40" t="n"/>
      <c r="B409" s="43">
        <f>IFERROR(INDEX(الموظفون_الاسم,MATCH($A409,الموظفون_الرقم,0)),"")</f>
        <v/>
      </c>
      <c r="C409" s="40" t="n"/>
      <c r="D409" s="40" t="n"/>
      <c r="E409" s="110" t="n"/>
      <c r="F409" s="110" t="n"/>
      <c r="G409" s="40" t="n"/>
      <c r="H409" s="40" t="n"/>
      <c r="I409" s="44">
        <f>IF(OR($A409="",$F409=""),"",$F409-TODAY())</f>
        <v/>
      </c>
      <c r="J409" s="40" t="n"/>
      <c r="K409">
        <f>IF(AND(ISNUMBER($I409),$I409&lt;=تنبيه_وثيقة_90),SUMPRODUCT(ISNUMBER($I$3:$I$502)*($I$3:$I$502&lt;=تنبيه_وثيقة_90)*(ROW($I$3:$I$502)&lt;=ROW())),"")</f>
        <v/>
      </c>
    </row>
    <row r="410">
      <c r="A410" s="47" t="n"/>
      <c r="B410" s="50">
        <f>IFERROR(INDEX(الموظفون_الاسم,MATCH($A410,الموظفون_الرقم,0)),"")</f>
        <v/>
      </c>
      <c r="C410" s="47" t="n"/>
      <c r="D410" s="47" t="n"/>
      <c r="E410" s="112" t="n"/>
      <c r="F410" s="112" t="n"/>
      <c r="G410" s="47" t="n"/>
      <c r="H410" s="47" t="n"/>
      <c r="I410" s="51">
        <f>IF(OR($A410="",$F410=""),"",$F410-TODAY())</f>
        <v/>
      </c>
      <c r="J410" s="47" t="n"/>
      <c r="K410">
        <f>IF(AND(ISNUMBER($I410),$I410&lt;=تنبيه_وثيقة_90),SUMPRODUCT(ISNUMBER($I$3:$I$502)*($I$3:$I$502&lt;=تنبيه_وثيقة_90)*(ROW($I$3:$I$502)&lt;=ROW())),"")</f>
        <v/>
      </c>
    </row>
    <row r="411">
      <c r="A411" s="40" t="n"/>
      <c r="B411" s="43">
        <f>IFERROR(INDEX(الموظفون_الاسم,MATCH($A411,الموظفون_الرقم,0)),"")</f>
        <v/>
      </c>
      <c r="C411" s="40" t="n"/>
      <c r="D411" s="40" t="n"/>
      <c r="E411" s="110" t="n"/>
      <c r="F411" s="110" t="n"/>
      <c r="G411" s="40" t="n"/>
      <c r="H411" s="40" t="n"/>
      <c r="I411" s="44">
        <f>IF(OR($A411="",$F411=""),"",$F411-TODAY())</f>
        <v/>
      </c>
      <c r="J411" s="40" t="n"/>
      <c r="K411">
        <f>IF(AND(ISNUMBER($I411),$I411&lt;=تنبيه_وثيقة_90),SUMPRODUCT(ISNUMBER($I$3:$I$502)*($I$3:$I$502&lt;=تنبيه_وثيقة_90)*(ROW($I$3:$I$502)&lt;=ROW())),"")</f>
        <v/>
      </c>
    </row>
    <row r="412">
      <c r="A412" s="47" t="n"/>
      <c r="B412" s="50">
        <f>IFERROR(INDEX(الموظفون_الاسم,MATCH($A412,الموظفون_الرقم,0)),"")</f>
        <v/>
      </c>
      <c r="C412" s="47" t="n"/>
      <c r="D412" s="47" t="n"/>
      <c r="E412" s="112" t="n"/>
      <c r="F412" s="112" t="n"/>
      <c r="G412" s="47" t="n"/>
      <c r="H412" s="47" t="n"/>
      <c r="I412" s="51">
        <f>IF(OR($A412="",$F412=""),"",$F412-TODAY())</f>
        <v/>
      </c>
      <c r="J412" s="47" t="n"/>
      <c r="K412">
        <f>IF(AND(ISNUMBER($I412),$I412&lt;=تنبيه_وثيقة_90),SUMPRODUCT(ISNUMBER($I$3:$I$502)*($I$3:$I$502&lt;=تنبيه_وثيقة_90)*(ROW($I$3:$I$502)&lt;=ROW())),"")</f>
        <v/>
      </c>
    </row>
    <row r="413">
      <c r="A413" s="40" t="n"/>
      <c r="B413" s="43">
        <f>IFERROR(INDEX(الموظفون_الاسم,MATCH($A413,الموظفون_الرقم,0)),"")</f>
        <v/>
      </c>
      <c r="C413" s="40" t="n"/>
      <c r="D413" s="40" t="n"/>
      <c r="E413" s="110" t="n"/>
      <c r="F413" s="110" t="n"/>
      <c r="G413" s="40" t="n"/>
      <c r="H413" s="40" t="n"/>
      <c r="I413" s="44">
        <f>IF(OR($A413="",$F413=""),"",$F413-TODAY())</f>
        <v/>
      </c>
      <c r="J413" s="40" t="n"/>
      <c r="K413">
        <f>IF(AND(ISNUMBER($I413),$I413&lt;=تنبيه_وثيقة_90),SUMPRODUCT(ISNUMBER($I$3:$I$502)*($I$3:$I$502&lt;=تنبيه_وثيقة_90)*(ROW($I$3:$I$502)&lt;=ROW())),"")</f>
        <v/>
      </c>
    </row>
    <row r="414">
      <c r="A414" s="47" t="n"/>
      <c r="B414" s="50">
        <f>IFERROR(INDEX(الموظفون_الاسم,MATCH($A414,الموظفون_الرقم,0)),"")</f>
        <v/>
      </c>
      <c r="C414" s="47" t="n"/>
      <c r="D414" s="47" t="n"/>
      <c r="E414" s="112" t="n"/>
      <c r="F414" s="112" t="n"/>
      <c r="G414" s="47" t="n"/>
      <c r="H414" s="47" t="n"/>
      <c r="I414" s="51">
        <f>IF(OR($A414="",$F414=""),"",$F414-TODAY())</f>
        <v/>
      </c>
      <c r="J414" s="47" t="n"/>
      <c r="K414">
        <f>IF(AND(ISNUMBER($I414),$I414&lt;=تنبيه_وثيقة_90),SUMPRODUCT(ISNUMBER($I$3:$I$502)*($I$3:$I$502&lt;=تنبيه_وثيقة_90)*(ROW($I$3:$I$502)&lt;=ROW())),"")</f>
        <v/>
      </c>
    </row>
    <row r="415">
      <c r="A415" s="40" t="n"/>
      <c r="B415" s="43">
        <f>IFERROR(INDEX(الموظفون_الاسم,MATCH($A415,الموظفون_الرقم,0)),"")</f>
        <v/>
      </c>
      <c r="C415" s="40" t="n"/>
      <c r="D415" s="40" t="n"/>
      <c r="E415" s="110" t="n"/>
      <c r="F415" s="110" t="n"/>
      <c r="G415" s="40" t="n"/>
      <c r="H415" s="40" t="n"/>
      <c r="I415" s="44">
        <f>IF(OR($A415="",$F415=""),"",$F415-TODAY())</f>
        <v/>
      </c>
      <c r="J415" s="40" t="n"/>
      <c r="K415">
        <f>IF(AND(ISNUMBER($I415),$I415&lt;=تنبيه_وثيقة_90),SUMPRODUCT(ISNUMBER($I$3:$I$502)*($I$3:$I$502&lt;=تنبيه_وثيقة_90)*(ROW($I$3:$I$502)&lt;=ROW())),"")</f>
        <v/>
      </c>
    </row>
    <row r="416">
      <c r="A416" s="47" t="n"/>
      <c r="B416" s="50">
        <f>IFERROR(INDEX(الموظفون_الاسم,MATCH($A416,الموظفون_الرقم,0)),"")</f>
        <v/>
      </c>
      <c r="C416" s="47" t="n"/>
      <c r="D416" s="47" t="n"/>
      <c r="E416" s="112" t="n"/>
      <c r="F416" s="112" t="n"/>
      <c r="G416" s="47" t="n"/>
      <c r="H416" s="47" t="n"/>
      <c r="I416" s="51">
        <f>IF(OR($A416="",$F416=""),"",$F416-TODAY())</f>
        <v/>
      </c>
      <c r="J416" s="47" t="n"/>
      <c r="K416">
        <f>IF(AND(ISNUMBER($I416),$I416&lt;=تنبيه_وثيقة_90),SUMPRODUCT(ISNUMBER($I$3:$I$502)*($I$3:$I$502&lt;=تنبيه_وثيقة_90)*(ROW($I$3:$I$502)&lt;=ROW())),"")</f>
        <v/>
      </c>
    </row>
    <row r="417">
      <c r="A417" s="40" t="n"/>
      <c r="B417" s="43">
        <f>IFERROR(INDEX(الموظفون_الاسم,MATCH($A417,الموظفون_الرقم,0)),"")</f>
        <v/>
      </c>
      <c r="C417" s="40" t="n"/>
      <c r="D417" s="40" t="n"/>
      <c r="E417" s="110" t="n"/>
      <c r="F417" s="110" t="n"/>
      <c r="G417" s="40" t="n"/>
      <c r="H417" s="40" t="n"/>
      <c r="I417" s="44">
        <f>IF(OR($A417="",$F417=""),"",$F417-TODAY())</f>
        <v/>
      </c>
      <c r="J417" s="40" t="n"/>
      <c r="K417">
        <f>IF(AND(ISNUMBER($I417),$I417&lt;=تنبيه_وثيقة_90),SUMPRODUCT(ISNUMBER($I$3:$I$502)*($I$3:$I$502&lt;=تنبيه_وثيقة_90)*(ROW($I$3:$I$502)&lt;=ROW())),"")</f>
        <v/>
      </c>
    </row>
    <row r="418">
      <c r="A418" s="47" t="n"/>
      <c r="B418" s="50">
        <f>IFERROR(INDEX(الموظفون_الاسم,MATCH($A418,الموظفون_الرقم,0)),"")</f>
        <v/>
      </c>
      <c r="C418" s="47" t="n"/>
      <c r="D418" s="47" t="n"/>
      <c r="E418" s="112" t="n"/>
      <c r="F418" s="112" t="n"/>
      <c r="G418" s="47" t="n"/>
      <c r="H418" s="47" t="n"/>
      <c r="I418" s="51">
        <f>IF(OR($A418="",$F418=""),"",$F418-TODAY())</f>
        <v/>
      </c>
      <c r="J418" s="47" t="n"/>
      <c r="K418">
        <f>IF(AND(ISNUMBER($I418),$I418&lt;=تنبيه_وثيقة_90),SUMPRODUCT(ISNUMBER($I$3:$I$502)*($I$3:$I$502&lt;=تنبيه_وثيقة_90)*(ROW($I$3:$I$502)&lt;=ROW())),"")</f>
        <v/>
      </c>
    </row>
    <row r="419">
      <c r="A419" s="40" t="n"/>
      <c r="B419" s="43">
        <f>IFERROR(INDEX(الموظفون_الاسم,MATCH($A419,الموظفون_الرقم,0)),"")</f>
        <v/>
      </c>
      <c r="C419" s="40" t="n"/>
      <c r="D419" s="40" t="n"/>
      <c r="E419" s="110" t="n"/>
      <c r="F419" s="110" t="n"/>
      <c r="G419" s="40" t="n"/>
      <c r="H419" s="40" t="n"/>
      <c r="I419" s="44">
        <f>IF(OR($A419="",$F419=""),"",$F419-TODAY())</f>
        <v/>
      </c>
      <c r="J419" s="40" t="n"/>
      <c r="K419">
        <f>IF(AND(ISNUMBER($I419),$I419&lt;=تنبيه_وثيقة_90),SUMPRODUCT(ISNUMBER($I$3:$I$502)*($I$3:$I$502&lt;=تنبيه_وثيقة_90)*(ROW($I$3:$I$502)&lt;=ROW())),"")</f>
        <v/>
      </c>
    </row>
    <row r="420">
      <c r="A420" s="47" t="n"/>
      <c r="B420" s="50">
        <f>IFERROR(INDEX(الموظفون_الاسم,MATCH($A420,الموظفون_الرقم,0)),"")</f>
        <v/>
      </c>
      <c r="C420" s="47" t="n"/>
      <c r="D420" s="47" t="n"/>
      <c r="E420" s="112" t="n"/>
      <c r="F420" s="112" t="n"/>
      <c r="G420" s="47" t="n"/>
      <c r="H420" s="47" t="n"/>
      <c r="I420" s="51">
        <f>IF(OR($A420="",$F420=""),"",$F420-TODAY())</f>
        <v/>
      </c>
      <c r="J420" s="47" t="n"/>
      <c r="K420">
        <f>IF(AND(ISNUMBER($I420),$I420&lt;=تنبيه_وثيقة_90),SUMPRODUCT(ISNUMBER($I$3:$I$502)*($I$3:$I$502&lt;=تنبيه_وثيقة_90)*(ROW($I$3:$I$502)&lt;=ROW())),"")</f>
        <v/>
      </c>
    </row>
    <row r="421">
      <c r="A421" s="40" t="n"/>
      <c r="B421" s="43">
        <f>IFERROR(INDEX(الموظفون_الاسم,MATCH($A421,الموظفون_الرقم,0)),"")</f>
        <v/>
      </c>
      <c r="C421" s="40" t="n"/>
      <c r="D421" s="40" t="n"/>
      <c r="E421" s="110" t="n"/>
      <c r="F421" s="110" t="n"/>
      <c r="G421" s="40" t="n"/>
      <c r="H421" s="40" t="n"/>
      <c r="I421" s="44">
        <f>IF(OR($A421="",$F421=""),"",$F421-TODAY())</f>
        <v/>
      </c>
      <c r="J421" s="40" t="n"/>
      <c r="K421">
        <f>IF(AND(ISNUMBER($I421),$I421&lt;=تنبيه_وثيقة_90),SUMPRODUCT(ISNUMBER($I$3:$I$502)*($I$3:$I$502&lt;=تنبيه_وثيقة_90)*(ROW($I$3:$I$502)&lt;=ROW())),"")</f>
        <v/>
      </c>
    </row>
    <row r="422">
      <c r="A422" s="47" t="n"/>
      <c r="B422" s="50">
        <f>IFERROR(INDEX(الموظفون_الاسم,MATCH($A422,الموظفون_الرقم,0)),"")</f>
        <v/>
      </c>
      <c r="C422" s="47" t="n"/>
      <c r="D422" s="47" t="n"/>
      <c r="E422" s="112" t="n"/>
      <c r="F422" s="112" t="n"/>
      <c r="G422" s="47" t="n"/>
      <c r="H422" s="47" t="n"/>
      <c r="I422" s="51">
        <f>IF(OR($A422="",$F422=""),"",$F422-TODAY())</f>
        <v/>
      </c>
      <c r="J422" s="47" t="n"/>
      <c r="K422">
        <f>IF(AND(ISNUMBER($I422),$I422&lt;=تنبيه_وثيقة_90),SUMPRODUCT(ISNUMBER($I$3:$I$502)*($I$3:$I$502&lt;=تنبيه_وثيقة_90)*(ROW($I$3:$I$502)&lt;=ROW())),"")</f>
        <v/>
      </c>
    </row>
    <row r="423">
      <c r="A423" s="40" t="n"/>
      <c r="B423" s="43">
        <f>IFERROR(INDEX(الموظفون_الاسم,MATCH($A423,الموظفون_الرقم,0)),"")</f>
        <v/>
      </c>
      <c r="C423" s="40" t="n"/>
      <c r="D423" s="40" t="n"/>
      <c r="E423" s="110" t="n"/>
      <c r="F423" s="110" t="n"/>
      <c r="G423" s="40" t="n"/>
      <c r="H423" s="40" t="n"/>
      <c r="I423" s="44">
        <f>IF(OR($A423="",$F423=""),"",$F423-TODAY())</f>
        <v/>
      </c>
      <c r="J423" s="40" t="n"/>
      <c r="K423">
        <f>IF(AND(ISNUMBER($I423),$I423&lt;=تنبيه_وثيقة_90),SUMPRODUCT(ISNUMBER($I$3:$I$502)*($I$3:$I$502&lt;=تنبيه_وثيقة_90)*(ROW($I$3:$I$502)&lt;=ROW())),"")</f>
        <v/>
      </c>
    </row>
    <row r="424">
      <c r="A424" s="47" t="n"/>
      <c r="B424" s="50">
        <f>IFERROR(INDEX(الموظفون_الاسم,MATCH($A424,الموظفون_الرقم,0)),"")</f>
        <v/>
      </c>
      <c r="C424" s="47" t="n"/>
      <c r="D424" s="47" t="n"/>
      <c r="E424" s="112" t="n"/>
      <c r="F424" s="112" t="n"/>
      <c r="G424" s="47" t="n"/>
      <c r="H424" s="47" t="n"/>
      <c r="I424" s="51">
        <f>IF(OR($A424="",$F424=""),"",$F424-TODAY())</f>
        <v/>
      </c>
      <c r="J424" s="47" t="n"/>
      <c r="K424">
        <f>IF(AND(ISNUMBER($I424),$I424&lt;=تنبيه_وثيقة_90),SUMPRODUCT(ISNUMBER($I$3:$I$502)*($I$3:$I$502&lt;=تنبيه_وثيقة_90)*(ROW($I$3:$I$502)&lt;=ROW())),"")</f>
        <v/>
      </c>
    </row>
    <row r="425">
      <c r="A425" s="40" t="n"/>
      <c r="B425" s="43">
        <f>IFERROR(INDEX(الموظفون_الاسم,MATCH($A425,الموظفون_الرقم,0)),"")</f>
        <v/>
      </c>
      <c r="C425" s="40" t="n"/>
      <c r="D425" s="40" t="n"/>
      <c r="E425" s="110" t="n"/>
      <c r="F425" s="110" t="n"/>
      <c r="G425" s="40" t="n"/>
      <c r="H425" s="40" t="n"/>
      <c r="I425" s="44">
        <f>IF(OR($A425="",$F425=""),"",$F425-TODAY())</f>
        <v/>
      </c>
      <c r="J425" s="40" t="n"/>
      <c r="K425">
        <f>IF(AND(ISNUMBER($I425),$I425&lt;=تنبيه_وثيقة_90),SUMPRODUCT(ISNUMBER($I$3:$I$502)*($I$3:$I$502&lt;=تنبيه_وثيقة_90)*(ROW($I$3:$I$502)&lt;=ROW())),"")</f>
        <v/>
      </c>
    </row>
    <row r="426">
      <c r="A426" s="47" t="n"/>
      <c r="B426" s="50">
        <f>IFERROR(INDEX(الموظفون_الاسم,MATCH($A426,الموظفون_الرقم,0)),"")</f>
        <v/>
      </c>
      <c r="C426" s="47" t="n"/>
      <c r="D426" s="47" t="n"/>
      <c r="E426" s="112" t="n"/>
      <c r="F426" s="112" t="n"/>
      <c r="G426" s="47" t="n"/>
      <c r="H426" s="47" t="n"/>
      <c r="I426" s="51">
        <f>IF(OR($A426="",$F426=""),"",$F426-TODAY())</f>
        <v/>
      </c>
      <c r="J426" s="47" t="n"/>
      <c r="K426">
        <f>IF(AND(ISNUMBER($I426),$I426&lt;=تنبيه_وثيقة_90),SUMPRODUCT(ISNUMBER($I$3:$I$502)*($I$3:$I$502&lt;=تنبيه_وثيقة_90)*(ROW($I$3:$I$502)&lt;=ROW())),"")</f>
        <v/>
      </c>
    </row>
    <row r="427">
      <c r="A427" s="40" t="n"/>
      <c r="B427" s="43">
        <f>IFERROR(INDEX(الموظفون_الاسم,MATCH($A427,الموظفون_الرقم,0)),"")</f>
        <v/>
      </c>
      <c r="C427" s="40" t="n"/>
      <c r="D427" s="40" t="n"/>
      <c r="E427" s="110" t="n"/>
      <c r="F427" s="110" t="n"/>
      <c r="G427" s="40" t="n"/>
      <c r="H427" s="40" t="n"/>
      <c r="I427" s="44">
        <f>IF(OR($A427="",$F427=""),"",$F427-TODAY())</f>
        <v/>
      </c>
      <c r="J427" s="40" t="n"/>
      <c r="K427">
        <f>IF(AND(ISNUMBER($I427),$I427&lt;=تنبيه_وثيقة_90),SUMPRODUCT(ISNUMBER($I$3:$I$502)*($I$3:$I$502&lt;=تنبيه_وثيقة_90)*(ROW($I$3:$I$502)&lt;=ROW())),"")</f>
        <v/>
      </c>
    </row>
    <row r="428">
      <c r="A428" s="47" t="n"/>
      <c r="B428" s="50">
        <f>IFERROR(INDEX(الموظفون_الاسم,MATCH($A428,الموظفون_الرقم,0)),"")</f>
        <v/>
      </c>
      <c r="C428" s="47" t="n"/>
      <c r="D428" s="47" t="n"/>
      <c r="E428" s="112" t="n"/>
      <c r="F428" s="112" t="n"/>
      <c r="G428" s="47" t="n"/>
      <c r="H428" s="47" t="n"/>
      <c r="I428" s="51">
        <f>IF(OR($A428="",$F428=""),"",$F428-TODAY())</f>
        <v/>
      </c>
      <c r="J428" s="47" t="n"/>
      <c r="K428">
        <f>IF(AND(ISNUMBER($I428),$I428&lt;=تنبيه_وثيقة_90),SUMPRODUCT(ISNUMBER($I$3:$I$502)*($I$3:$I$502&lt;=تنبيه_وثيقة_90)*(ROW($I$3:$I$502)&lt;=ROW())),"")</f>
        <v/>
      </c>
    </row>
    <row r="429">
      <c r="A429" s="40" t="n"/>
      <c r="B429" s="43">
        <f>IFERROR(INDEX(الموظفون_الاسم,MATCH($A429,الموظفون_الرقم,0)),"")</f>
        <v/>
      </c>
      <c r="C429" s="40" t="n"/>
      <c r="D429" s="40" t="n"/>
      <c r="E429" s="110" t="n"/>
      <c r="F429" s="110" t="n"/>
      <c r="G429" s="40" t="n"/>
      <c r="H429" s="40" t="n"/>
      <c r="I429" s="44">
        <f>IF(OR($A429="",$F429=""),"",$F429-TODAY())</f>
        <v/>
      </c>
      <c r="J429" s="40" t="n"/>
      <c r="K429">
        <f>IF(AND(ISNUMBER($I429),$I429&lt;=تنبيه_وثيقة_90),SUMPRODUCT(ISNUMBER($I$3:$I$502)*($I$3:$I$502&lt;=تنبيه_وثيقة_90)*(ROW($I$3:$I$502)&lt;=ROW())),"")</f>
        <v/>
      </c>
    </row>
    <row r="430">
      <c r="A430" s="47" t="n"/>
      <c r="B430" s="50">
        <f>IFERROR(INDEX(الموظفون_الاسم,MATCH($A430,الموظفون_الرقم,0)),"")</f>
        <v/>
      </c>
      <c r="C430" s="47" t="n"/>
      <c r="D430" s="47" t="n"/>
      <c r="E430" s="112" t="n"/>
      <c r="F430" s="112" t="n"/>
      <c r="G430" s="47" t="n"/>
      <c r="H430" s="47" t="n"/>
      <c r="I430" s="51">
        <f>IF(OR($A430="",$F430=""),"",$F430-TODAY())</f>
        <v/>
      </c>
      <c r="J430" s="47" t="n"/>
      <c r="K430">
        <f>IF(AND(ISNUMBER($I430),$I430&lt;=تنبيه_وثيقة_90),SUMPRODUCT(ISNUMBER($I$3:$I$502)*($I$3:$I$502&lt;=تنبيه_وثيقة_90)*(ROW($I$3:$I$502)&lt;=ROW())),"")</f>
        <v/>
      </c>
    </row>
    <row r="431">
      <c r="A431" s="40" t="n"/>
      <c r="B431" s="43">
        <f>IFERROR(INDEX(الموظفون_الاسم,MATCH($A431,الموظفون_الرقم,0)),"")</f>
        <v/>
      </c>
      <c r="C431" s="40" t="n"/>
      <c r="D431" s="40" t="n"/>
      <c r="E431" s="110" t="n"/>
      <c r="F431" s="110" t="n"/>
      <c r="G431" s="40" t="n"/>
      <c r="H431" s="40" t="n"/>
      <c r="I431" s="44">
        <f>IF(OR($A431="",$F431=""),"",$F431-TODAY())</f>
        <v/>
      </c>
      <c r="J431" s="40" t="n"/>
      <c r="K431">
        <f>IF(AND(ISNUMBER($I431),$I431&lt;=تنبيه_وثيقة_90),SUMPRODUCT(ISNUMBER($I$3:$I$502)*($I$3:$I$502&lt;=تنبيه_وثيقة_90)*(ROW($I$3:$I$502)&lt;=ROW())),"")</f>
        <v/>
      </c>
    </row>
    <row r="432">
      <c r="A432" s="47" t="n"/>
      <c r="B432" s="50">
        <f>IFERROR(INDEX(الموظفون_الاسم,MATCH($A432,الموظفون_الرقم,0)),"")</f>
        <v/>
      </c>
      <c r="C432" s="47" t="n"/>
      <c r="D432" s="47" t="n"/>
      <c r="E432" s="112" t="n"/>
      <c r="F432" s="112" t="n"/>
      <c r="G432" s="47" t="n"/>
      <c r="H432" s="47" t="n"/>
      <c r="I432" s="51">
        <f>IF(OR($A432="",$F432=""),"",$F432-TODAY())</f>
        <v/>
      </c>
      <c r="J432" s="47" t="n"/>
      <c r="K432">
        <f>IF(AND(ISNUMBER($I432),$I432&lt;=تنبيه_وثيقة_90),SUMPRODUCT(ISNUMBER($I$3:$I$502)*($I$3:$I$502&lt;=تنبيه_وثيقة_90)*(ROW($I$3:$I$502)&lt;=ROW())),"")</f>
        <v/>
      </c>
    </row>
    <row r="433">
      <c r="A433" s="40" t="n"/>
      <c r="B433" s="43">
        <f>IFERROR(INDEX(الموظفون_الاسم,MATCH($A433,الموظفون_الرقم,0)),"")</f>
        <v/>
      </c>
      <c r="C433" s="40" t="n"/>
      <c r="D433" s="40" t="n"/>
      <c r="E433" s="110" t="n"/>
      <c r="F433" s="110" t="n"/>
      <c r="G433" s="40" t="n"/>
      <c r="H433" s="40" t="n"/>
      <c r="I433" s="44">
        <f>IF(OR($A433="",$F433=""),"",$F433-TODAY())</f>
        <v/>
      </c>
      <c r="J433" s="40" t="n"/>
      <c r="K433">
        <f>IF(AND(ISNUMBER($I433),$I433&lt;=تنبيه_وثيقة_90),SUMPRODUCT(ISNUMBER($I$3:$I$502)*($I$3:$I$502&lt;=تنبيه_وثيقة_90)*(ROW($I$3:$I$502)&lt;=ROW())),"")</f>
        <v/>
      </c>
    </row>
    <row r="434">
      <c r="A434" s="47" t="n"/>
      <c r="B434" s="50">
        <f>IFERROR(INDEX(الموظفون_الاسم,MATCH($A434,الموظفون_الرقم,0)),"")</f>
        <v/>
      </c>
      <c r="C434" s="47" t="n"/>
      <c r="D434" s="47" t="n"/>
      <c r="E434" s="112" t="n"/>
      <c r="F434" s="112" t="n"/>
      <c r="G434" s="47" t="n"/>
      <c r="H434" s="47" t="n"/>
      <c r="I434" s="51">
        <f>IF(OR($A434="",$F434=""),"",$F434-TODAY())</f>
        <v/>
      </c>
      <c r="J434" s="47" t="n"/>
      <c r="K434">
        <f>IF(AND(ISNUMBER($I434),$I434&lt;=تنبيه_وثيقة_90),SUMPRODUCT(ISNUMBER($I$3:$I$502)*($I$3:$I$502&lt;=تنبيه_وثيقة_90)*(ROW($I$3:$I$502)&lt;=ROW())),"")</f>
        <v/>
      </c>
    </row>
    <row r="435">
      <c r="A435" s="40" t="n"/>
      <c r="B435" s="43">
        <f>IFERROR(INDEX(الموظفون_الاسم,MATCH($A435,الموظفون_الرقم,0)),"")</f>
        <v/>
      </c>
      <c r="C435" s="40" t="n"/>
      <c r="D435" s="40" t="n"/>
      <c r="E435" s="110" t="n"/>
      <c r="F435" s="110" t="n"/>
      <c r="G435" s="40" t="n"/>
      <c r="H435" s="40" t="n"/>
      <c r="I435" s="44">
        <f>IF(OR($A435="",$F435=""),"",$F435-TODAY())</f>
        <v/>
      </c>
      <c r="J435" s="40" t="n"/>
      <c r="K435">
        <f>IF(AND(ISNUMBER($I435),$I435&lt;=تنبيه_وثيقة_90),SUMPRODUCT(ISNUMBER($I$3:$I$502)*($I$3:$I$502&lt;=تنبيه_وثيقة_90)*(ROW($I$3:$I$502)&lt;=ROW())),"")</f>
        <v/>
      </c>
    </row>
    <row r="436">
      <c r="A436" s="47" t="n"/>
      <c r="B436" s="50">
        <f>IFERROR(INDEX(الموظفون_الاسم,MATCH($A436,الموظفون_الرقم,0)),"")</f>
        <v/>
      </c>
      <c r="C436" s="47" t="n"/>
      <c r="D436" s="47" t="n"/>
      <c r="E436" s="112" t="n"/>
      <c r="F436" s="112" t="n"/>
      <c r="G436" s="47" t="n"/>
      <c r="H436" s="47" t="n"/>
      <c r="I436" s="51">
        <f>IF(OR($A436="",$F436=""),"",$F436-TODAY())</f>
        <v/>
      </c>
      <c r="J436" s="47" t="n"/>
      <c r="K436">
        <f>IF(AND(ISNUMBER($I436),$I436&lt;=تنبيه_وثيقة_90),SUMPRODUCT(ISNUMBER($I$3:$I$502)*($I$3:$I$502&lt;=تنبيه_وثيقة_90)*(ROW($I$3:$I$502)&lt;=ROW())),"")</f>
        <v/>
      </c>
    </row>
    <row r="437">
      <c r="A437" s="40" t="n"/>
      <c r="B437" s="43">
        <f>IFERROR(INDEX(الموظفون_الاسم,MATCH($A437,الموظفون_الرقم,0)),"")</f>
        <v/>
      </c>
      <c r="C437" s="40" t="n"/>
      <c r="D437" s="40" t="n"/>
      <c r="E437" s="110" t="n"/>
      <c r="F437" s="110" t="n"/>
      <c r="G437" s="40" t="n"/>
      <c r="H437" s="40" t="n"/>
      <c r="I437" s="44">
        <f>IF(OR($A437="",$F437=""),"",$F437-TODAY())</f>
        <v/>
      </c>
      <c r="J437" s="40" t="n"/>
      <c r="K437">
        <f>IF(AND(ISNUMBER($I437),$I437&lt;=تنبيه_وثيقة_90),SUMPRODUCT(ISNUMBER($I$3:$I$502)*($I$3:$I$502&lt;=تنبيه_وثيقة_90)*(ROW($I$3:$I$502)&lt;=ROW())),"")</f>
        <v/>
      </c>
    </row>
    <row r="438">
      <c r="A438" s="47" t="n"/>
      <c r="B438" s="50">
        <f>IFERROR(INDEX(الموظفون_الاسم,MATCH($A438,الموظفون_الرقم,0)),"")</f>
        <v/>
      </c>
      <c r="C438" s="47" t="n"/>
      <c r="D438" s="47" t="n"/>
      <c r="E438" s="112" t="n"/>
      <c r="F438" s="112" t="n"/>
      <c r="G438" s="47" t="n"/>
      <c r="H438" s="47" t="n"/>
      <c r="I438" s="51">
        <f>IF(OR($A438="",$F438=""),"",$F438-TODAY())</f>
        <v/>
      </c>
      <c r="J438" s="47" t="n"/>
      <c r="K438">
        <f>IF(AND(ISNUMBER($I438),$I438&lt;=تنبيه_وثيقة_90),SUMPRODUCT(ISNUMBER($I$3:$I$502)*($I$3:$I$502&lt;=تنبيه_وثيقة_90)*(ROW($I$3:$I$502)&lt;=ROW())),"")</f>
        <v/>
      </c>
    </row>
    <row r="439">
      <c r="A439" s="40" t="n"/>
      <c r="B439" s="43">
        <f>IFERROR(INDEX(الموظفون_الاسم,MATCH($A439,الموظفون_الرقم,0)),"")</f>
        <v/>
      </c>
      <c r="C439" s="40" t="n"/>
      <c r="D439" s="40" t="n"/>
      <c r="E439" s="110" t="n"/>
      <c r="F439" s="110" t="n"/>
      <c r="G439" s="40" t="n"/>
      <c r="H439" s="40" t="n"/>
      <c r="I439" s="44">
        <f>IF(OR($A439="",$F439=""),"",$F439-TODAY())</f>
        <v/>
      </c>
      <c r="J439" s="40" t="n"/>
      <c r="K439">
        <f>IF(AND(ISNUMBER($I439),$I439&lt;=تنبيه_وثيقة_90),SUMPRODUCT(ISNUMBER($I$3:$I$502)*($I$3:$I$502&lt;=تنبيه_وثيقة_90)*(ROW($I$3:$I$502)&lt;=ROW())),"")</f>
        <v/>
      </c>
    </row>
    <row r="440">
      <c r="A440" s="47" t="n"/>
      <c r="B440" s="50">
        <f>IFERROR(INDEX(الموظفون_الاسم,MATCH($A440,الموظفون_الرقم,0)),"")</f>
        <v/>
      </c>
      <c r="C440" s="47" t="n"/>
      <c r="D440" s="47" t="n"/>
      <c r="E440" s="112" t="n"/>
      <c r="F440" s="112" t="n"/>
      <c r="G440" s="47" t="n"/>
      <c r="H440" s="47" t="n"/>
      <c r="I440" s="51">
        <f>IF(OR($A440="",$F440=""),"",$F440-TODAY())</f>
        <v/>
      </c>
      <c r="J440" s="47" t="n"/>
      <c r="K440">
        <f>IF(AND(ISNUMBER($I440),$I440&lt;=تنبيه_وثيقة_90),SUMPRODUCT(ISNUMBER($I$3:$I$502)*($I$3:$I$502&lt;=تنبيه_وثيقة_90)*(ROW($I$3:$I$502)&lt;=ROW())),"")</f>
        <v/>
      </c>
    </row>
    <row r="441">
      <c r="A441" s="40" t="n"/>
      <c r="B441" s="43">
        <f>IFERROR(INDEX(الموظفون_الاسم,MATCH($A441,الموظفون_الرقم,0)),"")</f>
        <v/>
      </c>
      <c r="C441" s="40" t="n"/>
      <c r="D441" s="40" t="n"/>
      <c r="E441" s="110" t="n"/>
      <c r="F441" s="110" t="n"/>
      <c r="G441" s="40" t="n"/>
      <c r="H441" s="40" t="n"/>
      <c r="I441" s="44">
        <f>IF(OR($A441="",$F441=""),"",$F441-TODAY())</f>
        <v/>
      </c>
      <c r="J441" s="40" t="n"/>
      <c r="K441">
        <f>IF(AND(ISNUMBER($I441),$I441&lt;=تنبيه_وثيقة_90),SUMPRODUCT(ISNUMBER($I$3:$I$502)*($I$3:$I$502&lt;=تنبيه_وثيقة_90)*(ROW($I$3:$I$502)&lt;=ROW())),"")</f>
        <v/>
      </c>
    </row>
    <row r="442">
      <c r="A442" s="47" t="n"/>
      <c r="B442" s="50">
        <f>IFERROR(INDEX(الموظفون_الاسم,MATCH($A442,الموظفون_الرقم,0)),"")</f>
        <v/>
      </c>
      <c r="C442" s="47" t="n"/>
      <c r="D442" s="47" t="n"/>
      <c r="E442" s="112" t="n"/>
      <c r="F442" s="112" t="n"/>
      <c r="G442" s="47" t="n"/>
      <c r="H442" s="47" t="n"/>
      <c r="I442" s="51">
        <f>IF(OR($A442="",$F442=""),"",$F442-TODAY())</f>
        <v/>
      </c>
      <c r="J442" s="47" t="n"/>
      <c r="K442">
        <f>IF(AND(ISNUMBER($I442),$I442&lt;=تنبيه_وثيقة_90),SUMPRODUCT(ISNUMBER($I$3:$I$502)*($I$3:$I$502&lt;=تنبيه_وثيقة_90)*(ROW($I$3:$I$502)&lt;=ROW())),"")</f>
        <v/>
      </c>
    </row>
    <row r="443">
      <c r="A443" s="40" t="n"/>
      <c r="B443" s="43">
        <f>IFERROR(INDEX(الموظفون_الاسم,MATCH($A443,الموظفون_الرقم,0)),"")</f>
        <v/>
      </c>
      <c r="C443" s="40" t="n"/>
      <c r="D443" s="40" t="n"/>
      <c r="E443" s="110" t="n"/>
      <c r="F443" s="110" t="n"/>
      <c r="G443" s="40" t="n"/>
      <c r="H443" s="40" t="n"/>
      <c r="I443" s="44">
        <f>IF(OR($A443="",$F443=""),"",$F443-TODAY())</f>
        <v/>
      </c>
      <c r="J443" s="40" t="n"/>
      <c r="K443">
        <f>IF(AND(ISNUMBER($I443),$I443&lt;=تنبيه_وثيقة_90),SUMPRODUCT(ISNUMBER($I$3:$I$502)*($I$3:$I$502&lt;=تنبيه_وثيقة_90)*(ROW($I$3:$I$502)&lt;=ROW())),"")</f>
        <v/>
      </c>
    </row>
    <row r="444">
      <c r="A444" s="47" t="n"/>
      <c r="B444" s="50">
        <f>IFERROR(INDEX(الموظفون_الاسم,MATCH($A444,الموظفون_الرقم,0)),"")</f>
        <v/>
      </c>
      <c r="C444" s="47" t="n"/>
      <c r="D444" s="47" t="n"/>
      <c r="E444" s="112" t="n"/>
      <c r="F444" s="112" t="n"/>
      <c r="G444" s="47" t="n"/>
      <c r="H444" s="47" t="n"/>
      <c r="I444" s="51">
        <f>IF(OR($A444="",$F444=""),"",$F444-TODAY())</f>
        <v/>
      </c>
      <c r="J444" s="47" t="n"/>
      <c r="K444">
        <f>IF(AND(ISNUMBER($I444),$I444&lt;=تنبيه_وثيقة_90),SUMPRODUCT(ISNUMBER($I$3:$I$502)*($I$3:$I$502&lt;=تنبيه_وثيقة_90)*(ROW($I$3:$I$502)&lt;=ROW())),"")</f>
        <v/>
      </c>
    </row>
    <row r="445">
      <c r="A445" s="40" t="n"/>
      <c r="B445" s="43">
        <f>IFERROR(INDEX(الموظفون_الاسم,MATCH($A445,الموظفون_الرقم,0)),"")</f>
        <v/>
      </c>
      <c r="C445" s="40" t="n"/>
      <c r="D445" s="40" t="n"/>
      <c r="E445" s="110" t="n"/>
      <c r="F445" s="110" t="n"/>
      <c r="G445" s="40" t="n"/>
      <c r="H445" s="40" t="n"/>
      <c r="I445" s="44">
        <f>IF(OR($A445="",$F445=""),"",$F445-TODAY())</f>
        <v/>
      </c>
      <c r="J445" s="40" t="n"/>
      <c r="K445">
        <f>IF(AND(ISNUMBER($I445),$I445&lt;=تنبيه_وثيقة_90),SUMPRODUCT(ISNUMBER($I$3:$I$502)*($I$3:$I$502&lt;=تنبيه_وثيقة_90)*(ROW($I$3:$I$502)&lt;=ROW())),"")</f>
        <v/>
      </c>
    </row>
    <row r="446">
      <c r="A446" s="47" t="n"/>
      <c r="B446" s="50">
        <f>IFERROR(INDEX(الموظفون_الاسم,MATCH($A446,الموظفون_الرقم,0)),"")</f>
        <v/>
      </c>
      <c r="C446" s="47" t="n"/>
      <c r="D446" s="47" t="n"/>
      <c r="E446" s="112" t="n"/>
      <c r="F446" s="112" t="n"/>
      <c r="G446" s="47" t="n"/>
      <c r="H446" s="47" t="n"/>
      <c r="I446" s="51">
        <f>IF(OR($A446="",$F446=""),"",$F446-TODAY())</f>
        <v/>
      </c>
      <c r="J446" s="47" t="n"/>
      <c r="K446">
        <f>IF(AND(ISNUMBER($I446),$I446&lt;=تنبيه_وثيقة_90),SUMPRODUCT(ISNUMBER($I$3:$I$502)*($I$3:$I$502&lt;=تنبيه_وثيقة_90)*(ROW($I$3:$I$502)&lt;=ROW())),"")</f>
        <v/>
      </c>
    </row>
    <row r="447">
      <c r="A447" s="40" t="n"/>
      <c r="B447" s="43">
        <f>IFERROR(INDEX(الموظفون_الاسم,MATCH($A447,الموظفون_الرقم,0)),"")</f>
        <v/>
      </c>
      <c r="C447" s="40" t="n"/>
      <c r="D447" s="40" t="n"/>
      <c r="E447" s="110" t="n"/>
      <c r="F447" s="110" t="n"/>
      <c r="G447" s="40" t="n"/>
      <c r="H447" s="40" t="n"/>
      <c r="I447" s="44">
        <f>IF(OR($A447="",$F447=""),"",$F447-TODAY())</f>
        <v/>
      </c>
      <c r="J447" s="40" t="n"/>
      <c r="K447">
        <f>IF(AND(ISNUMBER($I447),$I447&lt;=تنبيه_وثيقة_90),SUMPRODUCT(ISNUMBER($I$3:$I$502)*($I$3:$I$502&lt;=تنبيه_وثيقة_90)*(ROW($I$3:$I$502)&lt;=ROW())),"")</f>
        <v/>
      </c>
    </row>
    <row r="448">
      <c r="A448" s="47" t="n"/>
      <c r="B448" s="50">
        <f>IFERROR(INDEX(الموظفون_الاسم,MATCH($A448,الموظفون_الرقم,0)),"")</f>
        <v/>
      </c>
      <c r="C448" s="47" t="n"/>
      <c r="D448" s="47" t="n"/>
      <c r="E448" s="112" t="n"/>
      <c r="F448" s="112" t="n"/>
      <c r="G448" s="47" t="n"/>
      <c r="H448" s="47" t="n"/>
      <c r="I448" s="51">
        <f>IF(OR($A448="",$F448=""),"",$F448-TODAY())</f>
        <v/>
      </c>
      <c r="J448" s="47" t="n"/>
      <c r="K448">
        <f>IF(AND(ISNUMBER($I448),$I448&lt;=تنبيه_وثيقة_90),SUMPRODUCT(ISNUMBER($I$3:$I$502)*($I$3:$I$502&lt;=تنبيه_وثيقة_90)*(ROW($I$3:$I$502)&lt;=ROW())),"")</f>
        <v/>
      </c>
    </row>
    <row r="449">
      <c r="A449" s="40" t="n"/>
      <c r="B449" s="43">
        <f>IFERROR(INDEX(الموظفون_الاسم,MATCH($A449,الموظفون_الرقم,0)),"")</f>
        <v/>
      </c>
      <c r="C449" s="40" t="n"/>
      <c r="D449" s="40" t="n"/>
      <c r="E449" s="110" t="n"/>
      <c r="F449" s="110" t="n"/>
      <c r="G449" s="40" t="n"/>
      <c r="H449" s="40" t="n"/>
      <c r="I449" s="44">
        <f>IF(OR($A449="",$F449=""),"",$F449-TODAY())</f>
        <v/>
      </c>
      <c r="J449" s="40" t="n"/>
      <c r="K449">
        <f>IF(AND(ISNUMBER($I449),$I449&lt;=تنبيه_وثيقة_90),SUMPRODUCT(ISNUMBER($I$3:$I$502)*($I$3:$I$502&lt;=تنبيه_وثيقة_90)*(ROW($I$3:$I$502)&lt;=ROW())),"")</f>
        <v/>
      </c>
    </row>
    <row r="450">
      <c r="A450" s="47" t="n"/>
      <c r="B450" s="50">
        <f>IFERROR(INDEX(الموظفون_الاسم,MATCH($A450,الموظفون_الرقم,0)),"")</f>
        <v/>
      </c>
      <c r="C450" s="47" t="n"/>
      <c r="D450" s="47" t="n"/>
      <c r="E450" s="112" t="n"/>
      <c r="F450" s="112" t="n"/>
      <c r="G450" s="47" t="n"/>
      <c r="H450" s="47" t="n"/>
      <c r="I450" s="51">
        <f>IF(OR($A450="",$F450=""),"",$F450-TODAY())</f>
        <v/>
      </c>
      <c r="J450" s="47" t="n"/>
      <c r="K450">
        <f>IF(AND(ISNUMBER($I450),$I450&lt;=تنبيه_وثيقة_90),SUMPRODUCT(ISNUMBER($I$3:$I$502)*($I$3:$I$502&lt;=تنبيه_وثيقة_90)*(ROW($I$3:$I$502)&lt;=ROW())),"")</f>
        <v/>
      </c>
    </row>
    <row r="451">
      <c r="A451" s="40" t="n"/>
      <c r="B451" s="43">
        <f>IFERROR(INDEX(الموظفون_الاسم,MATCH($A451,الموظفون_الرقم,0)),"")</f>
        <v/>
      </c>
      <c r="C451" s="40" t="n"/>
      <c r="D451" s="40" t="n"/>
      <c r="E451" s="110" t="n"/>
      <c r="F451" s="110" t="n"/>
      <c r="G451" s="40" t="n"/>
      <c r="H451" s="40" t="n"/>
      <c r="I451" s="44">
        <f>IF(OR($A451="",$F451=""),"",$F451-TODAY())</f>
        <v/>
      </c>
      <c r="J451" s="40" t="n"/>
      <c r="K451">
        <f>IF(AND(ISNUMBER($I451),$I451&lt;=تنبيه_وثيقة_90),SUMPRODUCT(ISNUMBER($I$3:$I$502)*($I$3:$I$502&lt;=تنبيه_وثيقة_90)*(ROW($I$3:$I$502)&lt;=ROW())),"")</f>
        <v/>
      </c>
    </row>
    <row r="452">
      <c r="A452" s="47" t="n"/>
      <c r="B452" s="50">
        <f>IFERROR(INDEX(الموظفون_الاسم,MATCH($A452,الموظفون_الرقم,0)),"")</f>
        <v/>
      </c>
      <c r="C452" s="47" t="n"/>
      <c r="D452" s="47" t="n"/>
      <c r="E452" s="112" t="n"/>
      <c r="F452" s="112" t="n"/>
      <c r="G452" s="47" t="n"/>
      <c r="H452" s="47" t="n"/>
      <c r="I452" s="51">
        <f>IF(OR($A452="",$F452=""),"",$F452-TODAY())</f>
        <v/>
      </c>
      <c r="J452" s="47" t="n"/>
      <c r="K452">
        <f>IF(AND(ISNUMBER($I452),$I452&lt;=تنبيه_وثيقة_90),SUMPRODUCT(ISNUMBER($I$3:$I$502)*($I$3:$I$502&lt;=تنبيه_وثيقة_90)*(ROW($I$3:$I$502)&lt;=ROW())),"")</f>
        <v/>
      </c>
    </row>
    <row r="453">
      <c r="A453" s="40" t="n"/>
      <c r="B453" s="43">
        <f>IFERROR(INDEX(الموظفون_الاسم,MATCH($A453,الموظفون_الرقم,0)),"")</f>
        <v/>
      </c>
      <c r="C453" s="40" t="n"/>
      <c r="D453" s="40" t="n"/>
      <c r="E453" s="110" t="n"/>
      <c r="F453" s="110" t="n"/>
      <c r="G453" s="40" t="n"/>
      <c r="H453" s="40" t="n"/>
      <c r="I453" s="44">
        <f>IF(OR($A453="",$F453=""),"",$F453-TODAY())</f>
        <v/>
      </c>
      <c r="J453" s="40" t="n"/>
      <c r="K453">
        <f>IF(AND(ISNUMBER($I453),$I453&lt;=تنبيه_وثيقة_90),SUMPRODUCT(ISNUMBER($I$3:$I$502)*($I$3:$I$502&lt;=تنبيه_وثيقة_90)*(ROW($I$3:$I$502)&lt;=ROW())),"")</f>
        <v/>
      </c>
    </row>
    <row r="454">
      <c r="A454" s="47" t="n"/>
      <c r="B454" s="50">
        <f>IFERROR(INDEX(الموظفون_الاسم,MATCH($A454,الموظفون_الرقم,0)),"")</f>
        <v/>
      </c>
      <c r="C454" s="47" t="n"/>
      <c r="D454" s="47" t="n"/>
      <c r="E454" s="112" t="n"/>
      <c r="F454" s="112" t="n"/>
      <c r="G454" s="47" t="n"/>
      <c r="H454" s="47" t="n"/>
      <c r="I454" s="51">
        <f>IF(OR($A454="",$F454=""),"",$F454-TODAY())</f>
        <v/>
      </c>
      <c r="J454" s="47" t="n"/>
      <c r="K454">
        <f>IF(AND(ISNUMBER($I454),$I454&lt;=تنبيه_وثيقة_90),SUMPRODUCT(ISNUMBER($I$3:$I$502)*($I$3:$I$502&lt;=تنبيه_وثيقة_90)*(ROW($I$3:$I$502)&lt;=ROW())),"")</f>
        <v/>
      </c>
    </row>
    <row r="455">
      <c r="A455" s="40" t="n"/>
      <c r="B455" s="43">
        <f>IFERROR(INDEX(الموظفون_الاسم,MATCH($A455,الموظفون_الرقم,0)),"")</f>
        <v/>
      </c>
      <c r="C455" s="40" t="n"/>
      <c r="D455" s="40" t="n"/>
      <c r="E455" s="110" t="n"/>
      <c r="F455" s="110" t="n"/>
      <c r="G455" s="40" t="n"/>
      <c r="H455" s="40" t="n"/>
      <c r="I455" s="44">
        <f>IF(OR($A455="",$F455=""),"",$F455-TODAY())</f>
        <v/>
      </c>
      <c r="J455" s="40" t="n"/>
      <c r="K455">
        <f>IF(AND(ISNUMBER($I455),$I455&lt;=تنبيه_وثيقة_90),SUMPRODUCT(ISNUMBER($I$3:$I$502)*($I$3:$I$502&lt;=تنبيه_وثيقة_90)*(ROW($I$3:$I$502)&lt;=ROW())),"")</f>
        <v/>
      </c>
    </row>
    <row r="456">
      <c r="A456" s="47" t="n"/>
      <c r="B456" s="50">
        <f>IFERROR(INDEX(الموظفون_الاسم,MATCH($A456,الموظفون_الرقم,0)),"")</f>
        <v/>
      </c>
      <c r="C456" s="47" t="n"/>
      <c r="D456" s="47" t="n"/>
      <c r="E456" s="112" t="n"/>
      <c r="F456" s="112" t="n"/>
      <c r="G456" s="47" t="n"/>
      <c r="H456" s="47" t="n"/>
      <c r="I456" s="51">
        <f>IF(OR($A456="",$F456=""),"",$F456-TODAY())</f>
        <v/>
      </c>
      <c r="J456" s="47" t="n"/>
      <c r="K456">
        <f>IF(AND(ISNUMBER($I456),$I456&lt;=تنبيه_وثيقة_90),SUMPRODUCT(ISNUMBER($I$3:$I$502)*($I$3:$I$502&lt;=تنبيه_وثيقة_90)*(ROW($I$3:$I$502)&lt;=ROW())),"")</f>
        <v/>
      </c>
    </row>
    <row r="457">
      <c r="A457" s="40" t="n"/>
      <c r="B457" s="43">
        <f>IFERROR(INDEX(الموظفون_الاسم,MATCH($A457,الموظفون_الرقم,0)),"")</f>
        <v/>
      </c>
      <c r="C457" s="40" t="n"/>
      <c r="D457" s="40" t="n"/>
      <c r="E457" s="110" t="n"/>
      <c r="F457" s="110" t="n"/>
      <c r="G457" s="40" t="n"/>
      <c r="H457" s="40" t="n"/>
      <c r="I457" s="44">
        <f>IF(OR($A457="",$F457=""),"",$F457-TODAY())</f>
        <v/>
      </c>
      <c r="J457" s="40" t="n"/>
      <c r="K457">
        <f>IF(AND(ISNUMBER($I457),$I457&lt;=تنبيه_وثيقة_90),SUMPRODUCT(ISNUMBER($I$3:$I$502)*($I$3:$I$502&lt;=تنبيه_وثيقة_90)*(ROW($I$3:$I$502)&lt;=ROW())),"")</f>
        <v/>
      </c>
    </row>
    <row r="458">
      <c r="A458" s="47" t="n"/>
      <c r="B458" s="50">
        <f>IFERROR(INDEX(الموظفون_الاسم,MATCH($A458,الموظفون_الرقم,0)),"")</f>
        <v/>
      </c>
      <c r="C458" s="47" t="n"/>
      <c r="D458" s="47" t="n"/>
      <c r="E458" s="112" t="n"/>
      <c r="F458" s="112" t="n"/>
      <c r="G458" s="47" t="n"/>
      <c r="H458" s="47" t="n"/>
      <c r="I458" s="51">
        <f>IF(OR($A458="",$F458=""),"",$F458-TODAY())</f>
        <v/>
      </c>
      <c r="J458" s="47" t="n"/>
      <c r="K458">
        <f>IF(AND(ISNUMBER($I458),$I458&lt;=تنبيه_وثيقة_90),SUMPRODUCT(ISNUMBER($I$3:$I$502)*($I$3:$I$502&lt;=تنبيه_وثيقة_90)*(ROW($I$3:$I$502)&lt;=ROW())),"")</f>
        <v/>
      </c>
    </row>
    <row r="459">
      <c r="A459" s="40" t="n"/>
      <c r="B459" s="43">
        <f>IFERROR(INDEX(الموظفون_الاسم,MATCH($A459,الموظفون_الرقم,0)),"")</f>
        <v/>
      </c>
      <c r="C459" s="40" t="n"/>
      <c r="D459" s="40" t="n"/>
      <c r="E459" s="110" t="n"/>
      <c r="F459" s="110" t="n"/>
      <c r="G459" s="40" t="n"/>
      <c r="H459" s="40" t="n"/>
      <c r="I459" s="44">
        <f>IF(OR($A459="",$F459=""),"",$F459-TODAY())</f>
        <v/>
      </c>
      <c r="J459" s="40" t="n"/>
      <c r="K459">
        <f>IF(AND(ISNUMBER($I459),$I459&lt;=تنبيه_وثيقة_90),SUMPRODUCT(ISNUMBER($I$3:$I$502)*($I$3:$I$502&lt;=تنبيه_وثيقة_90)*(ROW($I$3:$I$502)&lt;=ROW())),"")</f>
        <v/>
      </c>
    </row>
    <row r="460">
      <c r="A460" s="47" t="n"/>
      <c r="B460" s="50">
        <f>IFERROR(INDEX(الموظفون_الاسم,MATCH($A460,الموظفون_الرقم,0)),"")</f>
        <v/>
      </c>
      <c r="C460" s="47" t="n"/>
      <c r="D460" s="47" t="n"/>
      <c r="E460" s="112" t="n"/>
      <c r="F460" s="112" t="n"/>
      <c r="G460" s="47" t="n"/>
      <c r="H460" s="47" t="n"/>
      <c r="I460" s="51">
        <f>IF(OR($A460="",$F460=""),"",$F460-TODAY())</f>
        <v/>
      </c>
      <c r="J460" s="47" t="n"/>
      <c r="K460">
        <f>IF(AND(ISNUMBER($I460),$I460&lt;=تنبيه_وثيقة_90),SUMPRODUCT(ISNUMBER($I$3:$I$502)*($I$3:$I$502&lt;=تنبيه_وثيقة_90)*(ROW($I$3:$I$502)&lt;=ROW())),"")</f>
        <v/>
      </c>
    </row>
    <row r="461">
      <c r="A461" s="40" t="n"/>
      <c r="B461" s="43">
        <f>IFERROR(INDEX(الموظفون_الاسم,MATCH($A461,الموظفون_الرقم,0)),"")</f>
        <v/>
      </c>
      <c r="C461" s="40" t="n"/>
      <c r="D461" s="40" t="n"/>
      <c r="E461" s="110" t="n"/>
      <c r="F461" s="110" t="n"/>
      <c r="G461" s="40" t="n"/>
      <c r="H461" s="40" t="n"/>
      <c r="I461" s="44">
        <f>IF(OR($A461="",$F461=""),"",$F461-TODAY())</f>
        <v/>
      </c>
      <c r="J461" s="40" t="n"/>
      <c r="K461">
        <f>IF(AND(ISNUMBER($I461),$I461&lt;=تنبيه_وثيقة_90),SUMPRODUCT(ISNUMBER($I$3:$I$502)*($I$3:$I$502&lt;=تنبيه_وثيقة_90)*(ROW($I$3:$I$502)&lt;=ROW())),"")</f>
        <v/>
      </c>
    </row>
    <row r="462">
      <c r="A462" s="47" t="n"/>
      <c r="B462" s="50">
        <f>IFERROR(INDEX(الموظفون_الاسم,MATCH($A462,الموظفون_الرقم,0)),"")</f>
        <v/>
      </c>
      <c r="C462" s="47" t="n"/>
      <c r="D462" s="47" t="n"/>
      <c r="E462" s="112" t="n"/>
      <c r="F462" s="112" t="n"/>
      <c r="G462" s="47" t="n"/>
      <c r="H462" s="47" t="n"/>
      <c r="I462" s="51">
        <f>IF(OR($A462="",$F462=""),"",$F462-TODAY())</f>
        <v/>
      </c>
      <c r="J462" s="47" t="n"/>
      <c r="K462">
        <f>IF(AND(ISNUMBER($I462),$I462&lt;=تنبيه_وثيقة_90),SUMPRODUCT(ISNUMBER($I$3:$I$502)*($I$3:$I$502&lt;=تنبيه_وثيقة_90)*(ROW($I$3:$I$502)&lt;=ROW())),"")</f>
        <v/>
      </c>
    </row>
    <row r="463">
      <c r="A463" s="40" t="n"/>
      <c r="B463" s="43">
        <f>IFERROR(INDEX(الموظفون_الاسم,MATCH($A463,الموظفون_الرقم,0)),"")</f>
        <v/>
      </c>
      <c r="C463" s="40" t="n"/>
      <c r="D463" s="40" t="n"/>
      <c r="E463" s="110" t="n"/>
      <c r="F463" s="110" t="n"/>
      <c r="G463" s="40" t="n"/>
      <c r="H463" s="40" t="n"/>
      <c r="I463" s="44">
        <f>IF(OR($A463="",$F463=""),"",$F463-TODAY())</f>
        <v/>
      </c>
      <c r="J463" s="40" t="n"/>
      <c r="K463">
        <f>IF(AND(ISNUMBER($I463),$I463&lt;=تنبيه_وثيقة_90),SUMPRODUCT(ISNUMBER($I$3:$I$502)*($I$3:$I$502&lt;=تنبيه_وثيقة_90)*(ROW($I$3:$I$502)&lt;=ROW())),"")</f>
        <v/>
      </c>
    </row>
    <row r="464">
      <c r="A464" s="47" t="n"/>
      <c r="B464" s="50">
        <f>IFERROR(INDEX(الموظفون_الاسم,MATCH($A464,الموظفون_الرقم,0)),"")</f>
        <v/>
      </c>
      <c r="C464" s="47" t="n"/>
      <c r="D464" s="47" t="n"/>
      <c r="E464" s="112" t="n"/>
      <c r="F464" s="112" t="n"/>
      <c r="G464" s="47" t="n"/>
      <c r="H464" s="47" t="n"/>
      <c r="I464" s="51">
        <f>IF(OR($A464="",$F464=""),"",$F464-TODAY())</f>
        <v/>
      </c>
      <c r="J464" s="47" t="n"/>
      <c r="K464">
        <f>IF(AND(ISNUMBER($I464),$I464&lt;=تنبيه_وثيقة_90),SUMPRODUCT(ISNUMBER($I$3:$I$502)*($I$3:$I$502&lt;=تنبيه_وثيقة_90)*(ROW($I$3:$I$502)&lt;=ROW())),"")</f>
        <v/>
      </c>
    </row>
    <row r="465">
      <c r="A465" s="40" t="n"/>
      <c r="B465" s="43">
        <f>IFERROR(INDEX(الموظفون_الاسم,MATCH($A465,الموظفون_الرقم,0)),"")</f>
        <v/>
      </c>
      <c r="C465" s="40" t="n"/>
      <c r="D465" s="40" t="n"/>
      <c r="E465" s="110" t="n"/>
      <c r="F465" s="110" t="n"/>
      <c r="G465" s="40" t="n"/>
      <c r="H465" s="40" t="n"/>
      <c r="I465" s="44">
        <f>IF(OR($A465="",$F465=""),"",$F465-TODAY())</f>
        <v/>
      </c>
      <c r="J465" s="40" t="n"/>
      <c r="K465">
        <f>IF(AND(ISNUMBER($I465),$I465&lt;=تنبيه_وثيقة_90),SUMPRODUCT(ISNUMBER($I$3:$I$502)*($I$3:$I$502&lt;=تنبيه_وثيقة_90)*(ROW($I$3:$I$502)&lt;=ROW())),"")</f>
        <v/>
      </c>
    </row>
    <row r="466">
      <c r="A466" s="47" t="n"/>
      <c r="B466" s="50">
        <f>IFERROR(INDEX(الموظفون_الاسم,MATCH($A466,الموظفون_الرقم,0)),"")</f>
        <v/>
      </c>
      <c r="C466" s="47" t="n"/>
      <c r="D466" s="47" t="n"/>
      <c r="E466" s="112" t="n"/>
      <c r="F466" s="112" t="n"/>
      <c r="G466" s="47" t="n"/>
      <c r="H466" s="47" t="n"/>
      <c r="I466" s="51">
        <f>IF(OR($A466="",$F466=""),"",$F466-TODAY())</f>
        <v/>
      </c>
      <c r="J466" s="47" t="n"/>
      <c r="K466">
        <f>IF(AND(ISNUMBER($I466),$I466&lt;=تنبيه_وثيقة_90),SUMPRODUCT(ISNUMBER($I$3:$I$502)*($I$3:$I$502&lt;=تنبيه_وثيقة_90)*(ROW($I$3:$I$502)&lt;=ROW())),"")</f>
        <v/>
      </c>
    </row>
    <row r="467">
      <c r="A467" s="40" t="n"/>
      <c r="B467" s="43">
        <f>IFERROR(INDEX(الموظفون_الاسم,MATCH($A467,الموظفون_الرقم,0)),"")</f>
        <v/>
      </c>
      <c r="C467" s="40" t="n"/>
      <c r="D467" s="40" t="n"/>
      <c r="E467" s="110" t="n"/>
      <c r="F467" s="110" t="n"/>
      <c r="G467" s="40" t="n"/>
      <c r="H467" s="40" t="n"/>
      <c r="I467" s="44">
        <f>IF(OR($A467="",$F467=""),"",$F467-TODAY())</f>
        <v/>
      </c>
      <c r="J467" s="40" t="n"/>
      <c r="K467">
        <f>IF(AND(ISNUMBER($I467),$I467&lt;=تنبيه_وثيقة_90),SUMPRODUCT(ISNUMBER($I$3:$I$502)*($I$3:$I$502&lt;=تنبيه_وثيقة_90)*(ROW($I$3:$I$502)&lt;=ROW())),"")</f>
        <v/>
      </c>
    </row>
    <row r="468">
      <c r="A468" s="47" t="n"/>
      <c r="B468" s="50">
        <f>IFERROR(INDEX(الموظفون_الاسم,MATCH($A468,الموظفون_الرقم,0)),"")</f>
        <v/>
      </c>
      <c r="C468" s="47" t="n"/>
      <c r="D468" s="47" t="n"/>
      <c r="E468" s="112" t="n"/>
      <c r="F468" s="112" t="n"/>
      <c r="G468" s="47" t="n"/>
      <c r="H468" s="47" t="n"/>
      <c r="I468" s="51">
        <f>IF(OR($A468="",$F468=""),"",$F468-TODAY())</f>
        <v/>
      </c>
      <c r="J468" s="47" t="n"/>
      <c r="K468">
        <f>IF(AND(ISNUMBER($I468),$I468&lt;=تنبيه_وثيقة_90),SUMPRODUCT(ISNUMBER($I$3:$I$502)*($I$3:$I$502&lt;=تنبيه_وثيقة_90)*(ROW($I$3:$I$502)&lt;=ROW())),"")</f>
        <v/>
      </c>
    </row>
    <row r="469">
      <c r="A469" s="40" t="n"/>
      <c r="B469" s="43">
        <f>IFERROR(INDEX(الموظفون_الاسم,MATCH($A469,الموظفون_الرقم,0)),"")</f>
        <v/>
      </c>
      <c r="C469" s="40" t="n"/>
      <c r="D469" s="40" t="n"/>
      <c r="E469" s="110" t="n"/>
      <c r="F469" s="110" t="n"/>
      <c r="G469" s="40" t="n"/>
      <c r="H469" s="40" t="n"/>
      <c r="I469" s="44">
        <f>IF(OR($A469="",$F469=""),"",$F469-TODAY())</f>
        <v/>
      </c>
      <c r="J469" s="40" t="n"/>
      <c r="K469">
        <f>IF(AND(ISNUMBER($I469),$I469&lt;=تنبيه_وثيقة_90),SUMPRODUCT(ISNUMBER($I$3:$I$502)*($I$3:$I$502&lt;=تنبيه_وثيقة_90)*(ROW($I$3:$I$502)&lt;=ROW())),"")</f>
        <v/>
      </c>
    </row>
    <row r="470">
      <c r="A470" s="47" t="n"/>
      <c r="B470" s="50">
        <f>IFERROR(INDEX(الموظفون_الاسم,MATCH($A470,الموظفون_الرقم,0)),"")</f>
        <v/>
      </c>
      <c r="C470" s="47" t="n"/>
      <c r="D470" s="47" t="n"/>
      <c r="E470" s="112" t="n"/>
      <c r="F470" s="112" t="n"/>
      <c r="G470" s="47" t="n"/>
      <c r="H470" s="47" t="n"/>
      <c r="I470" s="51">
        <f>IF(OR($A470="",$F470=""),"",$F470-TODAY())</f>
        <v/>
      </c>
      <c r="J470" s="47" t="n"/>
      <c r="K470">
        <f>IF(AND(ISNUMBER($I470),$I470&lt;=تنبيه_وثيقة_90),SUMPRODUCT(ISNUMBER($I$3:$I$502)*($I$3:$I$502&lt;=تنبيه_وثيقة_90)*(ROW($I$3:$I$502)&lt;=ROW())),"")</f>
        <v/>
      </c>
    </row>
    <row r="471">
      <c r="A471" s="40" t="n"/>
      <c r="B471" s="43">
        <f>IFERROR(INDEX(الموظفون_الاسم,MATCH($A471,الموظفون_الرقم,0)),"")</f>
        <v/>
      </c>
      <c r="C471" s="40" t="n"/>
      <c r="D471" s="40" t="n"/>
      <c r="E471" s="110" t="n"/>
      <c r="F471" s="110" t="n"/>
      <c r="G471" s="40" t="n"/>
      <c r="H471" s="40" t="n"/>
      <c r="I471" s="44">
        <f>IF(OR($A471="",$F471=""),"",$F471-TODAY())</f>
        <v/>
      </c>
      <c r="J471" s="40" t="n"/>
      <c r="K471">
        <f>IF(AND(ISNUMBER($I471),$I471&lt;=تنبيه_وثيقة_90),SUMPRODUCT(ISNUMBER($I$3:$I$502)*($I$3:$I$502&lt;=تنبيه_وثيقة_90)*(ROW($I$3:$I$502)&lt;=ROW())),"")</f>
        <v/>
      </c>
    </row>
    <row r="472">
      <c r="A472" s="47" t="n"/>
      <c r="B472" s="50">
        <f>IFERROR(INDEX(الموظفون_الاسم,MATCH($A472,الموظفون_الرقم,0)),"")</f>
        <v/>
      </c>
      <c r="C472" s="47" t="n"/>
      <c r="D472" s="47" t="n"/>
      <c r="E472" s="112" t="n"/>
      <c r="F472" s="112" t="n"/>
      <c r="G472" s="47" t="n"/>
      <c r="H472" s="47" t="n"/>
      <c r="I472" s="51">
        <f>IF(OR($A472="",$F472=""),"",$F472-TODAY())</f>
        <v/>
      </c>
      <c r="J472" s="47" t="n"/>
      <c r="K472">
        <f>IF(AND(ISNUMBER($I472),$I472&lt;=تنبيه_وثيقة_90),SUMPRODUCT(ISNUMBER($I$3:$I$502)*($I$3:$I$502&lt;=تنبيه_وثيقة_90)*(ROW($I$3:$I$502)&lt;=ROW())),"")</f>
        <v/>
      </c>
    </row>
    <row r="473">
      <c r="A473" s="40" t="n"/>
      <c r="B473" s="43">
        <f>IFERROR(INDEX(الموظفون_الاسم,MATCH($A473,الموظفون_الرقم,0)),"")</f>
        <v/>
      </c>
      <c r="C473" s="40" t="n"/>
      <c r="D473" s="40" t="n"/>
      <c r="E473" s="110" t="n"/>
      <c r="F473" s="110" t="n"/>
      <c r="G473" s="40" t="n"/>
      <c r="H473" s="40" t="n"/>
      <c r="I473" s="44">
        <f>IF(OR($A473="",$F473=""),"",$F473-TODAY())</f>
        <v/>
      </c>
      <c r="J473" s="40" t="n"/>
      <c r="K473">
        <f>IF(AND(ISNUMBER($I473),$I473&lt;=تنبيه_وثيقة_90),SUMPRODUCT(ISNUMBER($I$3:$I$502)*($I$3:$I$502&lt;=تنبيه_وثيقة_90)*(ROW($I$3:$I$502)&lt;=ROW())),"")</f>
        <v/>
      </c>
    </row>
    <row r="474">
      <c r="A474" s="47" t="n"/>
      <c r="B474" s="50">
        <f>IFERROR(INDEX(الموظفون_الاسم,MATCH($A474,الموظفون_الرقم,0)),"")</f>
        <v/>
      </c>
      <c r="C474" s="47" t="n"/>
      <c r="D474" s="47" t="n"/>
      <c r="E474" s="112" t="n"/>
      <c r="F474" s="112" t="n"/>
      <c r="G474" s="47" t="n"/>
      <c r="H474" s="47" t="n"/>
      <c r="I474" s="51">
        <f>IF(OR($A474="",$F474=""),"",$F474-TODAY())</f>
        <v/>
      </c>
      <c r="J474" s="47" t="n"/>
      <c r="K474">
        <f>IF(AND(ISNUMBER($I474),$I474&lt;=تنبيه_وثيقة_90),SUMPRODUCT(ISNUMBER($I$3:$I$502)*($I$3:$I$502&lt;=تنبيه_وثيقة_90)*(ROW($I$3:$I$502)&lt;=ROW())),"")</f>
        <v/>
      </c>
    </row>
    <row r="475">
      <c r="A475" s="40" t="n"/>
      <c r="B475" s="43">
        <f>IFERROR(INDEX(الموظفون_الاسم,MATCH($A475,الموظفون_الرقم,0)),"")</f>
        <v/>
      </c>
      <c r="C475" s="40" t="n"/>
      <c r="D475" s="40" t="n"/>
      <c r="E475" s="110" t="n"/>
      <c r="F475" s="110" t="n"/>
      <c r="G475" s="40" t="n"/>
      <c r="H475" s="40" t="n"/>
      <c r="I475" s="44">
        <f>IF(OR($A475="",$F475=""),"",$F475-TODAY())</f>
        <v/>
      </c>
      <c r="J475" s="40" t="n"/>
      <c r="K475">
        <f>IF(AND(ISNUMBER($I475),$I475&lt;=تنبيه_وثيقة_90),SUMPRODUCT(ISNUMBER($I$3:$I$502)*($I$3:$I$502&lt;=تنبيه_وثيقة_90)*(ROW($I$3:$I$502)&lt;=ROW())),"")</f>
        <v/>
      </c>
    </row>
    <row r="476">
      <c r="A476" s="47" t="n"/>
      <c r="B476" s="50">
        <f>IFERROR(INDEX(الموظفون_الاسم,MATCH($A476,الموظفون_الرقم,0)),"")</f>
        <v/>
      </c>
      <c r="C476" s="47" t="n"/>
      <c r="D476" s="47" t="n"/>
      <c r="E476" s="112" t="n"/>
      <c r="F476" s="112" t="n"/>
      <c r="G476" s="47" t="n"/>
      <c r="H476" s="47" t="n"/>
      <c r="I476" s="51">
        <f>IF(OR($A476="",$F476=""),"",$F476-TODAY())</f>
        <v/>
      </c>
      <c r="J476" s="47" t="n"/>
      <c r="K476">
        <f>IF(AND(ISNUMBER($I476),$I476&lt;=تنبيه_وثيقة_90),SUMPRODUCT(ISNUMBER($I$3:$I$502)*($I$3:$I$502&lt;=تنبيه_وثيقة_90)*(ROW($I$3:$I$502)&lt;=ROW())),"")</f>
        <v/>
      </c>
    </row>
    <row r="477">
      <c r="A477" s="40" t="n"/>
      <c r="B477" s="43">
        <f>IFERROR(INDEX(الموظفون_الاسم,MATCH($A477,الموظفون_الرقم,0)),"")</f>
        <v/>
      </c>
      <c r="C477" s="40" t="n"/>
      <c r="D477" s="40" t="n"/>
      <c r="E477" s="110" t="n"/>
      <c r="F477" s="110" t="n"/>
      <c r="G477" s="40" t="n"/>
      <c r="H477" s="40" t="n"/>
      <c r="I477" s="44">
        <f>IF(OR($A477="",$F477=""),"",$F477-TODAY())</f>
        <v/>
      </c>
      <c r="J477" s="40" t="n"/>
      <c r="K477">
        <f>IF(AND(ISNUMBER($I477),$I477&lt;=تنبيه_وثيقة_90),SUMPRODUCT(ISNUMBER($I$3:$I$502)*($I$3:$I$502&lt;=تنبيه_وثيقة_90)*(ROW($I$3:$I$502)&lt;=ROW())),"")</f>
        <v/>
      </c>
    </row>
    <row r="478">
      <c r="A478" s="47" t="n"/>
      <c r="B478" s="50">
        <f>IFERROR(INDEX(الموظفون_الاسم,MATCH($A478,الموظفون_الرقم,0)),"")</f>
        <v/>
      </c>
      <c r="C478" s="47" t="n"/>
      <c r="D478" s="47" t="n"/>
      <c r="E478" s="112" t="n"/>
      <c r="F478" s="112" t="n"/>
      <c r="G478" s="47" t="n"/>
      <c r="H478" s="47" t="n"/>
      <c r="I478" s="51">
        <f>IF(OR($A478="",$F478=""),"",$F478-TODAY())</f>
        <v/>
      </c>
      <c r="J478" s="47" t="n"/>
      <c r="K478">
        <f>IF(AND(ISNUMBER($I478),$I478&lt;=تنبيه_وثيقة_90),SUMPRODUCT(ISNUMBER($I$3:$I$502)*($I$3:$I$502&lt;=تنبيه_وثيقة_90)*(ROW($I$3:$I$502)&lt;=ROW())),"")</f>
        <v/>
      </c>
    </row>
    <row r="479">
      <c r="A479" s="40" t="n"/>
      <c r="B479" s="43">
        <f>IFERROR(INDEX(الموظفون_الاسم,MATCH($A479,الموظفون_الرقم,0)),"")</f>
        <v/>
      </c>
      <c r="C479" s="40" t="n"/>
      <c r="D479" s="40" t="n"/>
      <c r="E479" s="110" t="n"/>
      <c r="F479" s="110" t="n"/>
      <c r="G479" s="40" t="n"/>
      <c r="H479" s="40" t="n"/>
      <c r="I479" s="44">
        <f>IF(OR($A479="",$F479=""),"",$F479-TODAY())</f>
        <v/>
      </c>
      <c r="J479" s="40" t="n"/>
      <c r="K479">
        <f>IF(AND(ISNUMBER($I479),$I479&lt;=تنبيه_وثيقة_90),SUMPRODUCT(ISNUMBER($I$3:$I$502)*($I$3:$I$502&lt;=تنبيه_وثيقة_90)*(ROW($I$3:$I$502)&lt;=ROW())),"")</f>
        <v/>
      </c>
    </row>
    <row r="480">
      <c r="A480" s="47" t="n"/>
      <c r="B480" s="50">
        <f>IFERROR(INDEX(الموظفون_الاسم,MATCH($A480,الموظفون_الرقم,0)),"")</f>
        <v/>
      </c>
      <c r="C480" s="47" t="n"/>
      <c r="D480" s="47" t="n"/>
      <c r="E480" s="112" t="n"/>
      <c r="F480" s="112" t="n"/>
      <c r="G480" s="47" t="n"/>
      <c r="H480" s="47" t="n"/>
      <c r="I480" s="51">
        <f>IF(OR($A480="",$F480=""),"",$F480-TODAY())</f>
        <v/>
      </c>
      <c r="J480" s="47" t="n"/>
      <c r="K480">
        <f>IF(AND(ISNUMBER($I480),$I480&lt;=تنبيه_وثيقة_90),SUMPRODUCT(ISNUMBER($I$3:$I$502)*($I$3:$I$502&lt;=تنبيه_وثيقة_90)*(ROW($I$3:$I$502)&lt;=ROW())),"")</f>
        <v/>
      </c>
    </row>
    <row r="481">
      <c r="A481" s="40" t="n"/>
      <c r="B481" s="43">
        <f>IFERROR(INDEX(الموظفون_الاسم,MATCH($A481,الموظفون_الرقم,0)),"")</f>
        <v/>
      </c>
      <c r="C481" s="40" t="n"/>
      <c r="D481" s="40" t="n"/>
      <c r="E481" s="110" t="n"/>
      <c r="F481" s="110" t="n"/>
      <c r="G481" s="40" t="n"/>
      <c r="H481" s="40" t="n"/>
      <c r="I481" s="44">
        <f>IF(OR($A481="",$F481=""),"",$F481-TODAY())</f>
        <v/>
      </c>
      <c r="J481" s="40" t="n"/>
      <c r="K481">
        <f>IF(AND(ISNUMBER($I481),$I481&lt;=تنبيه_وثيقة_90),SUMPRODUCT(ISNUMBER($I$3:$I$502)*($I$3:$I$502&lt;=تنبيه_وثيقة_90)*(ROW($I$3:$I$502)&lt;=ROW())),"")</f>
        <v/>
      </c>
    </row>
    <row r="482">
      <c r="A482" s="47" t="n"/>
      <c r="B482" s="50">
        <f>IFERROR(INDEX(الموظفون_الاسم,MATCH($A482,الموظفون_الرقم,0)),"")</f>
        <v/>
      </c>
      <c r="C482" s="47" t="n"/>
      <c r="D482" s="47" t="n"/>
      <c r="E482" s="112" t="n"/>
      <c r="F482" s="112" t="n"/>
      <c r="G482" s="47" t="n"/>
      <c r="H482" s="47" t="n"/>
      <c r="I482" s="51">
        <f>IF(OR($A482="",$F482=""),"",$F482-TODAY())</f>
        <v/>
      </c>
      <c r="J482" s="47" t="n"/>
      <c r="K482">
        <f>IF(AND(ISNUMBER($I482),$I482&lt;=تنبيه_وثيقة_90),SUMPRODUCT(ISNUMBER($I$3:$I$502)*($I$3:$I$502&lt;=تنبيه_وثيقة_90)*(ROW($I$3:$I$502)&lt;=ROW())),"")</f>
        <v/>
      </c>
    </row>
    <row r="483">
      <c r="A483" s="40" t="n"/>
      <c r="B483" s="43">
        <f>IFERROR(INDEX(الموظفون_الاسم,MATCH($A483,الموظفون_الرقم,0)),"")</f>
        <v/>
      </c>
      <c r="C483" s="40" t="n"/>
      <c r="D483" s="40" t="n"/>
      <c r="E483" s="110" t="n"/>
      <c r="F483" s="110" t="n"/>
      <c r="G483" s="40" t="n"/>
      <c r="H483" s="40" t="n"/>
      <c r="I483" s="44">
        <f>IF(OR($A483="",$F483=""),"",$F483-TODAY())</f>
        <v/>
      </c>
      <c r="J483" s="40" t="n"/>
      <c r="K483">
        <f>IF(AND(ISNUMBER($I483),$I483&lt;=تنبيه_وثيقة_90),SUMPRODUCT(ISNUMBER($I$3:$I$502)*($I$3:$I$502&lt;=تنبيه_وثيقة_90)*(ROW($I$3:$I$502)&lt;=ROW())),"")</f>
        <v/>
      </c>
    </row>
    <row r="484">
      <c r="A484" s="47" t="n"/>
      <c r="B484" s="50">
        <f>IFERROR(INDEX(الموظفون_الاسم,MATCH($A484,الموظفون_الرقم,0)),"")</f>
        <v/>
      </c>
      <c r="C484" s="47" t="n"/>
      <c r="D484" s="47" t="n"/>
      <c r="E484" s="112" t="n"/>
      <c r="F484" s="112" t="n"/>
      <c r="G484" s="47" t="n"/>
      <c r="H484" s="47" t="n"/>
      <c r="I484" s="51">
        <f>IF(OR($A484="",$F484=""),"",$F484-TODAY())</f>
        <v/>
      </c>
      <c r="J484" s="47" t="n"/>
      <c r="K484">
        <f>IF(AND(ISNUMBER($I484),$I484&lt;=تنبيه_وثيقة_90),SUMPRODUCT(ISNUMBER($I$3:$I$502)*($I$3:$I$502&lt;=تنبيه_وثيقة_90)*(ROW($I$3:$I$502)&lt;=ROW())),"")</f>
        <v/>
      </c>
    </row>
    <row r="485">
      <c r="A485" s="40" t="n"/>
      <c r="B485" s="43">
        <f>IFERROR(INDEX(الموظفون_الاسم,MATCH($A485,الموظفون_الرقم,0)),"")</f>
        <v/>
      </c>
      <c r="C485" s="40" t="n"/>
      <c r="D485" s="40" t="n"/>
      <c r="E485" s="110" t="n"/>
      <c r="F485" s="110" t="n"/>
      <c r="G485" s="40" t="n"/>
      <c r="H485" s="40" t="n"/>
      <c r="I485" s="44">
        <f>IF(OR($A485="",$F485=""),"",$F485-TODAY())</f>
        <v/>
      </c>
      <c r="J485" s="40" t="n"/>
      <c r="K485">
        <f>IF(AND(ISNUMBER($I485),$I485&lt;=تنبيه_وثيقة_90),SUMPRODUCT(ISNUMBER($I$3:$I$502)*($I$3:$I$502&lt;=تنبيه_وثيقة_90)*(ROW($I$3:$I$502)&lt;=ROW())),"")</f>
        <v/>
      </c>
    </row>
    <row r="486">
      <c r="A486" s="47" t="n"/>
      <c r="B486" s="50">
        <f>IFERROR(INDEX(الموظفون_الاسم,MATCH($A486,الموظفون_الرقم,0)),"")</f>
        <v/>
      </c>
      <c r="C486" s="47" t="n"/>
      <c r="D486" s="47" t="n"/>
      <c r="E486" s="112" t="n"/>
      <c r="F486" s="112" t="n"/>
      <c r="G486" s="47" t="n"/>
      <c r="H486" s="47" t="n"/>
      <c r="I486" s="51">
        <f>IF(OR($A486="",$F486=""),"",$F486-TODAY())</f>
        <v/>
      </c>
      <c r="J486" s="47" t="n"/>
      <c r="K486">
        <f>IF(AND(ISNUMBER($I486),$I486&lt;=تنبيه_وثيقة_90),SUMPRODUCT(ISNUMBER($I$3:$I$502)*($I$3:$I$502&lt;=تنبيه_وثيقة_90)*(ROW($I$3:$I$502)&lt;=ROW())),"")</f>
        <v/>
      </c>
    </row>
    <row r="487">
      <c r="A487" s="40" t="n"/>
      <c r="B487" s="43">
        <f>IFERROR(INDEX(الموظفون_الاسم,MATCH($A487,الموظفون_الرقم,0)),"")</f>
        <v/>
      </c>
      <c r="C487" s="40" t="n"/>
      <c r="D487" s="40" t="n"/>
      <c r="E487" s="110" t="n"/>
      <c r="F487" s="110" t="n"/>
      <c r="G487" s="40" t="n"/>
      <c r="H487" s="40" t="n"/>
      <c r="I487" s="44">
        <f>IF(OR($A487="",$F487=""),"",$F487-TODAY())</f>
        <v/>
      </c>
      <c r="J487" s="40" t="n"/>
      <c r="K487">
        <f>IF(AND(ISNUMBER($I487),$I487&lt;=تنبيه_وثيقة_90),SUMPRODUCT(ISNUMBER($I$3:$I$502)*($I$3:$I$502&lt;=تنبيه_وثيقة_90)*(ROW($I$3:$I$502)&lt;=ROW())),"")</f>
        <v/>
      </c>
    </row>
    <row r="488">
      <c r="A488" s="47" t="n"/>
      <c r="B488" s="50">
        <f>IFERROR(INDEX(الموظفون_الاسم,MATCH($A488,الموظفون_الرقم,0)),"")</f>
        <v/>
      </c>
      <c r="C488" s="47" t="n"/>
      <c r="D488" s="47" t="n"/>
      <c r="E488" s="112" t="n"/>
      <c r="F488" s="112" t="n"/>
      <c r="G488" s="47" t="n"/>
      <c r="H488" s="47" t="n"/>
      <c r="I488" s="51">
        <f>IF(OR($A488="",$F488=""),"",$F488-TODAY())</f>
        <v/>
      </c>
      <c r="J488" s="47" t="n"/>
      <c r="K488">
        <f>IF(AND(ISNUMBER($I488),$I488&lt;=تنبيه_وثيقة_90),SUMPRODUCT(ISNUMBER($I$3:$I$502)*($I$3:$I$502&lt;=تنبيه_وثيقة_90)*(ROW($I$3:$I$502)&lt;=ROW())),"")</f>
        <v/>
      </c>
    </row>
    <row r="489">
      <c r="A489" s="40" t="n"/>
      <c r="B489" s="43">
        <f>IFERROR(INDEX(الموظفون_الاسم,MATCH($A489,الموظفون_الرقم,0)),"")</f>
        <v/>
      </c>
      <c r="C489" s="40" t="n"/>
      <c r="D489" s="40" t="n"/>
      <c r="E489" s="110" t="n"/>
      <c r="F489" s="110" t="n"/>
      <c r="G489" s="40" t="n"/>
      <c r="H489" s="40" t="n"/>
      <c r="I489" s="44">
        <f>IF(OR($A489="",$F489=""),"",$F489-TODAY())</f>
        <v/>
      </c>
      <c r="J489" s="40" t="n"/>
      <c r="K489">
        <f>IF(AND(ISNUMBER($I489),$I489&lt;=تنبيه_وثيقة_90),SUMPRODUCT(ISNUMBER($I$3:$I$502)*($I$3:$I$502&lt;=تنبيه_وثيقة_90)*(ROW($I$3:$I$502)&lt;=ROW())),"")</f>
        <v/>
      </c>
    </row>
    <row r="490">
      <c r="A490" s="47" t="n"/>
      <c r="B490" s="50">
        <f>IFERROR(INDEX(الموظفون_الاسم,MATCH($A490,الموظفون_الرقم,0)),"")</f>
        <v/>
      </c>
      <c r="C490" s="47" t="n"/>
      <c r="D490" s="47" t="n"/>
      <c r="E490" s="112" t="n"/>
      <c r="F490" s="112" t="n"/>
      <c r="G490" s="47" t="n"/>
      <c r="H490" s="47" t="n"/>
      <c r="I490" s="51">
        <f>IF(OR($A490="",$F490=""),"",$F490-TODAY())</f>
        <v/>
      </c>
      <c r="J490" s="47" t="n"/>
      <c r="K490">
        <f>IF(AND(ISNUMBER($I490),$I490&lt;=تنبيه_وثيقة_90),SUMPRODUCT(ISNUMBER($I$3:$I$502)*($I$3:$I$502&lt;=تنبيه_وثيقة_90)*(ROW($I$3:$I$502)&lt;=ROW())),"")</f>
        <v/>
      </c>
    </row>
    <row r="491">
      <c r="A491" s="40" t="n"/>
      <c r="B491" s="43">
        <f>IFERROR(INDEX(الموظفون_الاسم,MATCH($A491,الموظفون_الرقم,0)),"")</f>
        <v/>
      </c>
      <c r="C491" s="40" t="n"/>
      <c r="D491" s="40" t="n"/>
      <c r="E491" s="110" t="n"/>
      <c r="F491" s="110" t="n"/>
      <c r="G491" s="40" t="n"/>
      <c r="H491" s="40" t="n"/>
      <c r="I491" s="44">
        <f>IF(OR($A491="",$F491=""),"",$F491-TODAY())</f>
        <v/>
      </c>
      <c r="J491" s="40" t="n"/>
      <c r="K491">
        <f>IF(AND(ISNUMBER($I491),$I491&lt;=تنبيه_وثيقة_90),SUMPRODUCT(ISNUMBER($I$3:$I$502)*($I$3:$I$502&lt;=تنبيه_وثيقة_90)*(ROW($I$3:$I$502)&lt;=ROW())),"")</f>
        <v/>
      </c>
    </row>
    <row r="492">
      <c r="A492" s="47" t="n"/>
      <c r="B492" s="50">
        <f>IFERROR(INDEX(الموظفون_الاسم,MATCH($A492,الموظفون_الرقم,0)),"")</f>
        <v/>
      </c>
      <c r="C492" s="47" t="n"/>
      <c r="D492" s="47" t="n"/>
      <c r="E492" s="112" t="n"/>
      <c r="F492" s="112" t="n"/>
      <c r="G492" s="47" t="n"/>
      <c r="H492" s="47" t="n"/>
      <c r="I492" s="51">
        <f>IF(OR($A492="",$F492=""),"",$F492-TODAY())</f>
        <v/>
      </c>
      <c r="J492" s="47" t="n"/>
      <c r="K492">
        <f>IF(AND(ISNUMBER($I492),$I492&lt;=تنبيه_وثيقة_90),SUMPRODUCT(ISNUMBER($I$3:$I$502)*($I$3:$I$502&lt;=تنبيه_وثيقة_90)*(ROW($I$3:$I$502)&lt;=ROW())),"")</f>
        <v/>
      </c>
    </row>
    <row r="493">
      <c r="A493" s="40" t="n"/>
      <c r="B493" s="43">
        <f>IFERROR(INDEX(الموظفون_الاسم,MATCH($A493,الموظفون_الرقم,0)),"")</f>
        <v/>
      </c>
      <c r="C493" s="40" t="n"/>
      <c r="D493" s="40" t="n"/>
      <c r="E493" s="110" t="n"/>
      <c r="F493" s="110" t="n"/>
      <c r="G493" s="40" t="n"/>
      <c r="H493" s="40" t="n"/>
      <c r="I493" s="44">
        <f>IF(OR($A493="",$F493=""),"",$F493-TODAY())</f>
        <v/>
      </c>
      <c r="J493" s="40" t="n"/>
      <c r="K493">
        <f>IF(AND(ISNUMBER($I493),$I493&lt;=تنبيه_وثيقة_90),SUMPRODUCT(ISNUMBER($I$3:$I$502)*($I$3:$I$502&lt;=تنبيه_وثيقة_90)*(ROW($I$3:$I$502)&lt;=ROW())),"")</f>
        <v/>
      </c>
    </row>
    <row r="494">
      <c r="A494" s="47" t="n"/>
      <c r="B494" s="50">
        <f>IFERROR(INDEX(الموظفون_الاسم,MATCH($A494,الموظفون_الرقم,0)),"")</f>
        <v/>
      </c>
      <c r="C494" s="47" t="n"/>
      <c r="D494" s="47" t="n"/>
      <c r="E494" s="112" t="n"/>
      <c r="F494" s="112" t="n"/>
      <c r="G494" s="47" t="n"/>
      <c r="H494" s="47" t="n"/>
      <c r="I494" s="51">
        <f>IF(OR($A494="",$F494=""),"",$F494-TODAY())</f>
        <v/>
      </c>
      <c r="J494" s="47" t="n"/>
      <c r="K494">
        <f>IF(AND(ISNUMBER($I494),$I494&lt;=تنبيه_وثيقة_90),SUMPRODUCT(ISNUMBER($I$3:$I$502)*($I$3:$I$502&lt;=تنبيه_وثيقة_90)*(ROW($I$3:$I$502)&lt;=ROW())),"")</f>
        <v/>
      </c>
    </row>
    <row r="495">
      <c r="A495" s="40" t="n"/>
      <c r="B495" s="43">
        <f>IFERROR(INDEX(الموظفون_الاسم,MATCH($A495,الموظفون_الرقم,0)),"")</f>
        <v/>
      </c>
      <c r="C495" s="40" t="n"/>
      <c r="D495" s="40" t="n"/>
      <c r="E495" s="110" t="n"/>
      <c r="F495" s="110" t="n"/>
      <c r="G495" s="40" t="n"/>
      <c r="H495" s="40" t="n"/>
      <c r="I495" s="44">
        <f>IF(OR($A495="",$F495=""),"",$F495-TODAY())</f>
        <v/>
      </c>
      <c r="J495" s="40" t="n"/>
      <c r="K495">
        <f>IF(AND(ISNUMBER($I495),$I495&lt;=تنبيه_وثيقة_90),SUMPRODUCT(ISNUMBER($I$3:$I$502)*($I$3:$I$502&lt;=تنبيه_وثيقة_90)*(ROW($I$3:$I$502)&lt;=ROW())),"")</f>
        <v/>
      </c>
    </row>
    <row r="496">
      <c r="A496" s="47" t="n"/>
      <c r="B496" s="50">
        <f>IFERROR(INDEX(الموظفون_الاسم,MATCH($A496,الموظفون_الرقم,0)),"")</f>
        <v/>
      </c>
      <c r="C496" s="47" t="n"/>
      <c r="D496" s="47" t="n"/>
      <c r="E496" s="112" t="n"/>
      <c r="F496" s="112" t="n"/>
      <c r="G496" s="47" t="n"/>
      <c r="H496" s="47" t="n"/>
      <c r="I496" s="51">
        <f>IF(OR($A496="",$F496=""),"",$F496-TODAY())</f>
        <v/>
      </c>
      <c r="J496" s="47" t="n"/>
      <c r="K496">
        <f>IF(AND(ISNUMBER($I496),$I496&lt;=تنبيه_وثيقة_90),SUMPRODUCT(ISNUMBER($I$3:$I$502)*($I$3:$I$502&lt;=تنبيه_وثيقة_90)*(ROW($I$3:$I$502)&lt;=ROW())),"")</f>
        <v/>
      </c>
    </row>
    <row r="497">
      <c r="A497" s="40" t="n"/>
      <c r="B497" s="43">
        <f>IFERROR(INDEX(الموظفون_الاسم,MATCH($A497,الموظفون_الرقم,0)),"")</f>
        <v/>
      </c>
      <c r="C497" s="40" t="n"/>
      <c r="D497" s="40" t="n"/>
      <c r="E497" s="110" t="n"/>
      <c r="F497" s="110" t="n"/>
      <c r="G497" s="40" t="n"/>
      <c r="H497" s="40" t="n"/>
      <c r="I497" s="44">
        <f>IF(OR($A497="",$F497=""),"",$F497-TODAY())</f>
        <v/>
      </c>
      <c r="J497" s="40" t="n"/>
      <c r="K497">
        <f>IF(AND(ISNUMBER($I497),$I497&lt;=تنبيه_وثيقة_90),SUMPRODUCT(ISNUMBER($I$3:$I$502)*($I$3:$I$502&lt;=تنبيه_وثيقة_90)*(ROW($I$3:$I$502)&lt;=ROW())),"")</f>
        <v/>
      </c>
    </row>
    <row r="498">
      <c r="A498" s="47" t="n"/>
      <c r="B498" s="50">
        <f>IFERROR(INDEX(الموظفون_الاسم,MATCH($A498,الموظفون_الرقم,0)),"")</f>
        <v/>
      </c>
      <c r="C498" s="47" t="n"/>
      <c r="D498" s="47" t="n"/>
      <c r="E498" s="112" t="n"/>
      <c r="F498" s="112" t="n"/>
      <c r="G498" s="47" t="n"/>
      <c r="H498" s="47" t="n"/>
      <c r="I498" s="51">
        <f>IF(OR($A498="",$F498=""),"",$F498-TODAY())</f>
        <v/>
      </c>
      <c r="J498" s="47" t="n"/>
      <c r="K498">
        <f>IF(AND(ISNUMBER($I498),$I498&lt;=تنبيه_وثيقة_90),SUMPRODUCT(ISNUMBER($I$3:$I$502)*($I$3:$I$502&lt;=تنبيه_وثيقة_90)*(ROW($I$3:$I$502)&lt;=ROW())),"")</f>
        <v/>
      </c>
    </row>
    <row r="499">
      <c r="A499" s="40" t="n"/>
      <c r="B499" s="43">
        <f>IFERROR(INDEX(الموظفون_الاسم,MATCH($A499,الموظفون_الرقم,0)),"")</f>
        <v/>
      </c>
      <c r="C499" s="40" t="n"/>
      <c r="D499" s="40" t="n"/>
      <c r="E499" s="110" t="n"/>
      <c r="F499" s="110" t="n"/>
      <c r="G499" s="40" t="n"/>
      <c r="H499" s="40" t="n"/>
      <c r="I499" s="44">
        <f>IF(OR($A499="",$F499=""),"",$F499-TODAY())</f>
        <v/>
      </c>
      <c r="J499" s="40" t="n"/>
      <c r="K499">
        <f>IF(AND(ISNUMBER($I499),$I499&lt;=تنبيه_وثيقة_90),SUMPRODUCT(ISNUMBER($I$3:$I$502)*($I$3:$I$502&lt;=تنبيه_وثيقة_90)*(ROW($I$3:$I$502)&lt;=ROW())),"")</f>
        <v/>
      </c>
    </row>
    <row r="500">
      <c r="A500" s="47" t="n"/>
      <c r="B500" s="50">
        <f>IFERROR(INDEX(الموظفون_الاسم,MATCH($A500,الموظفون_الرقم,0)),"")</f>
        <v/>
      </c>
      <c r="C500" s="47" t="n"/>
      <c r="D500" s="47" t="n"/>
      <c r="E500" s="112" t="n"/>
      <c r="F500" s="112" t="n"/>
      <c r="G500" s="47" t="n"/>
      <c r="H500" s="47" t="n"/>
      <c r="I500" s="51">
        <f>IF(OR($A500="",$F500=""),"",$F500-TODAY())</f>
        <v/>
      </c>
      <c r="J500" s="47" t="n"/>
      <c r="K500">
        <f>IF(AND(ISNUMBER($I500),$I500&lt;=تنبيه_وثيقة_90),SUMPRODUCT(ISNUMBER($I$3:$I$502)*($I$3:$I$502&lt;=تنبيه_وثيقة_90)*(ROW($I$3:$I$502)&lt;=ROW())),"")</f>
        <v/>
      </c>
    </row>
    <row r="501">
      <c r="A501" s="40" t="n"/>
      <c r="B501" s="43">
        <f>IFERROR(INDEX(الموظفون_الاسم,MATCH($A501,الموظفون_الرقم,0)),"")</f>
        <v/>
      </c>
      <c r="C501" s="40" t="n"/>
      <c r="D501" s="40" t="n"/>
      <c r="E501" s="110" t="n"/>
      <c r="F501" s="110" t="n"/>
      <c r="G501" s="40" t="n"/>
      <c r="H501" s="40" t="n"/>
      <c r="I501" s="44">
        <f>IF(OR($A501="",$F501=""),"",$F501-TODAY())</f>
        <v/>
      </c>
      <c r="J501" s="40" t="n"/>
      <c r="K501">
        <f>IF(AND(ISNUMBER($I501),$I501&lt;=تنبيه_وثيقة_90),SUMPRODUCT(ISNUMBER($I$3:$I$502)*($I$3:$I$502&lt;=تنبيه_وثيقة_90)*(ROW($I$3:$I$502)&lt;=ROW())),"")</f>
        <v/>
      </c>
    </row>
    <row r="502">
      <c r="A502" s="47" t="n"/>
      <c r="B502" s="50">
        <f>IFERROR(INDEX(الموظفون_الاسم,MATCH($A502,الموظفون_الرقم,0)),"")</f>
        <v/>
      </c>
      <c r="C502" s="47" t="n"/>
      <c r="D502" s="47" t="n"/>
      <c r="E502" s="112" t="n"/>
      <c r="F502" s="112" t="n"/>
      <c r="G502" s="47" t="n"/>
      <c r="H502" s="47" t="n"/>
      <c r="I502" s="51">
        <f>IF(OR($A502="",$F502=""),"",$F502-TODAY())</f>
        <v/>
      </c>
      <c r="J502" s="47" t="n"/>
      <c r="K502">
        <f>IF(AND(ISNUMBER($I502),$I502&lt;=تنبيه_وثيقة_90),SUMPRODUCT(ISNUMBER($I$3:$I$502)*($I$3:$I$502&lt;=تنبيه_وثيقة_90)*(ROW($I$3:$I$502)&lt;=ROW())),"")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C605"/>
  <autoFilter ref="A2:J502"/>
  <mergeCells count="1">
    <mergeCell ref="A1:J1"/>
  </mergeCells>
  <conditionalFormatting sqref="I3:I502">
    <cfRule type="cellIs" priority="1" operator="lessThan" dxfId="3">
      <formula>0</formula>
    </cfRule>
    <cfRule type="expression" priority="2" dxfId="3">
      <formula>AND($I3&gt;=0,$I3&lt;=تنبيه_وثيقة_7)</formula>
    </cfRule>
    <cfRule type="expression" priority="3" dxfId="5">
      <formula>AND($I3&gt;تنبيه_وثيقة_7,$I3&lt;=تنبيه_وثيقة_30)</formula>
    </cfRule>
    <cfRule type="expression" priority="4" dxfId="1">
      <formula>AND($I3&gt;تنبيه_وثيقة_30,$I3&lt;=تنبيه_وثيقة_90)</formula>
    </cfRule>
  </conditionalFormatting>
  <dataValidations count="3">
    <dataValidation sqref="A3:A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=قائمة_الرقم_الوظيفي</formula1>
    </dataValidation>
    <dataValidation sqref="C3:C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=قائمة_أنواع_الوثائق</formula1>
    </dataValidation>
    <dataValidation sqref="H3:H502" showDropDown="0" showInputMessage="0" showErrorMessage="0" allowBlank="1" type="list">
      <formula1>"سارية,قاربت على الانتهاء,منتهية,قيد التجديد,ملغاة"</formula1>
    </dataValidation>
  </dataValidation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tabColor rgb="002E5C9A"/>
    <outlinePr summaryBelow="1" summaryRight="1"/>
    <pageSetUpPr fitToPage="1"/>
  </sheetPr>
  <dimension ref="A1:M502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18" customWidth="1" min="4" max="4"/>
    <col width="18" customWidth="1" min="5" max="5"/>
    <col width="12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5" customWidth="1" min="12" max="12"/>
    <col width="24" customWidth="1" min="13" max="13"/>
  </cols>
  <sheetData>
    <row r="1" ht="32" customHeight="1">
      <c r="A1" s="1" t="inlineStr">
        <is>
          <t>التوظيف  —  نموذج إدخال</t>
        </is>
      </c>
    </row>
    <row r="2" ht="42" customHeight="1">
      <c r="A2" s="38" t="inlineStr">
        <is>
          <t>رقم الطلب</t>
        </is>
      </c>
      <c r="B2" s="38" t="inlineStr">
        <is>
          <t>اسم المتقدم</t>
        </is>
      </c>
      <c r="C2" s="38" t="inlineStr">
        <is>
          <t>الوظيفة المطلوبة</t>
        </is>
      </c>
      <c r="D2" s="38" t="inlineStr">
        <is>
          <t>الإدارة المطلوبة</t>
        </is>
      </c>
      <c r="E2" s="38" t="inlineStr">
        <is>
          <t>المؤهل</t>
        </is>
      </c>
      <c r="F2" s="38" t="inlineStr">
        <is>
          <t>سنوات الخبرة</t>
        </is>
      </c>
      <c r="G2" s="38" t="inlineStr">
        <is>
          <t>تاريخ التقديم</t>
        </is>
      </c>
      <c r="H2" s="38" t="inlineStr">
        <is>
          <t>حالة الطلب</t>
        </is>
      </c>
      <c r="I2" s="38" t="inlineStr">
        <is>
          <t>موعد المقابلة</t>
        </is>
      </c>
      <c r="J2" s="38" t="inlineStr">
        <is>
          <t>نتيجة المقابلة</t>
        </is>
      </c>
      <c r="K2" s="38" t="inlineStr">
        <is>
          <t>القرار النهائي</t>
        </is>
      </c>
      <c r="L2" s="38" t="inlineStr">
        <is>
          <t>تاريخ المباشرة المتوقع</t>
        </is>
      </c>
      <c r="M2" s="38" t="inlineStr">
        <is>
          <t>الملاحظات</t>
        </is>
      </c>
    </row>
    <row r="3">
      <c r="A3" s="40" t="n"/>
      <c r="B3" s="40" t="n"/>
      <c r="C3" s="40" t="n"/>
      <c r="D3" s="40" t="n"/>
      <c r="E3" s="40" t="n"/>
      <c r="F3" s="59" t="n"/>
      <c r="G3" s="110" t="n"/>
      <c r="H3" s="40" t="n"/>
      <c r="I3" s="110" t="n"/>
      <c r="J3" s="40" t="n"/>
      <c r="K3" s="40" t="n"/>
      <c r="L3" s="110" t="n"/>
      <c r="M3" s="40" t="n"/>
    </row>
    <row r="4">
      <c r="A4" s="47" t="n"/>
      <c r="B4" s="47" t="n"/>
      <c r="C4" s="47" t="n"/>
      <c r="D4" s="47" t="n"/>
      <c r="E4" s="47" t="n"/>
      <c r="F4" s="62" t="n"/>
      <c r="G4" s="112" t="n"/>
      <c r="H4" s="47" t="n"/>
      <c r="I4" s="112" t="n"/>
      <c r="J4" s="47" t="n"/>
      <c r="K4" s="47" t="n"/>
      <c r="L4" s="112" t="n"/>
      <c r="M4" s="47" t="n"/>
    </row>
    <row r="5">
      <c r="A5" s="40" t="n"/>
      <c r="B5" s="40" t="n"/>
      <c r="C5" s="40" t="n"/>
      <c r="D5" s="40" t="n"/>
      <c r="E5" s="40" t="n"/>
      <c r="F5" s="59" t="n"/>
      <c r="G5" s="110" t="n"/>
      <c r="H5" s="40" t="n"/>
      <c r="I5" s="110" t="n"/>
      <c r="J5" s="40" t="n"/>
      <c r="K5" s="40" t="n"/>
      <c r="L5" s="110" t="n"/>
      <c r="M5" s="40" t="n"/>
    </row>
    <row r="6">
      <c r="A6" s="47" t="n"/>
      <c r="B6" s="47" t="n"/>
      <c r="C6" s="47" t="n"/>
      <c r="D6" s="47" t="n"/>
      <c r="E6" s="47" t="n"/>
      <c r="F6" s="62" t="n"/>
      <c r="G6" s="112" t="n"/>
      <c r="H6" s="47" t="n"/>
      <c r="I6" s="112" t="n"/>
      <c r="J6" s="47" t="n"/>
      <c r="K6" s="47" t="n"/>
      <c r="L6" s="112" t="n"/>
      <c r="M6" s="47" t="n"/>
    </row>
    <row r="7">
      <c r="A7" s="40" t="n"/>
      <c r="B7" s="40" t="n"/>
      <c r="C7" s="40" t="n"/>
      <c r="D7" s="40" t="n"/>
      <c r="E7" s="40" t="n"/>
      <c r="F7" s="59" t="n"/>
      <c r="G7" s="110" t="n"/>
      <c r="H7" s="40" t="n"/>
      <c r="I7" s="110" t="n"/>
      <c r="J7" s="40" t="n"/>
      <c r="K7" s="40" t="n"/>
      <c r="L7" s="110" t="n"/>
      <c r="M7" s="40" t="n"/>
    </row>
    <row r="8">
      <c r="A8" s="47" t="n"/>
      <c r="B8" s="47" t="n"/>
      <c r="C8" s="47" t="n"/>
      <c r="D8" s="47" t="n"/>
      <c r="E8" s="47" t="n"/>
      <c r="F8" s="62" t="n"/>
      <c r="G8" s="112" t="n"/>
      <c r="H8" s="47" t="n"/>
      <c r="I8" s="112" t="n"/>
      <c r="J8" s="47" t="n"/>
      <c r="K8" s="47" t="n"/>
      <c r="L8" s="112" t="n"/>
      <c r="M8" s="47" t="n"/>
    </row>
    <row r="9">
      <c r="A9" s="40" t="n"/>
      <c r="B9" s="40" t="n"/>
      <c r="C9" s="40" t="n"/>
      <c r="D9" s="40" t="n"/>
      <c r="E9" s="40" t="n"/>
      <c r="F9" s="59" t="n"/>
      <c r="G9" s="110" t="n"/>
      <c r="H9" s="40" t="n"/>
      <c r="I9" s="110" t="n"/>
      <c r="J9" s="40" t="n"/>
      <c r="K9" s="40" t="n"/>
      <c r="L9" s="110" t="n"/>
      <c r="M9" s="40" t="n"/>
    </row>
    <row r="10">
      <c r="A10" s="47" t="n"/>
      <c r="B10" s="47" t="n"/>
      <c r="C10" s="47" t="n"/>
      <c r="D10" s="47" t="n"/>
      <c r="E10" s="47" t="n"/>
      <c r="F10" s="62" t="n"/>
      <c r="G10" s="112" t="n"/>
      <c r="H10" s="47" t="n"/>
      <c r="I10" s="112" t="n"/>
      <c r="J10" s="47" t="n"/>
      <c r="K10" s="47" t="n"/>
      <c r="L10" s="112" t="n"/>
      <c r="M10" s="47" t="n"/>
    </row>
    <row r="11">
      <c r="A11" s="40" t="n"/>
      <c r="B11" s="40" t="n"/>
      <c r="C11" s="40" t="n"/>
      <c r="D11" s="40" t="n"/>
      <c r="E11" s="40" t="n"/>
      <c r="F11" s="59" t="n"/>
      <c r="G11" s="110" t="n"/>
      <c r="H11" s="40" t="n"/>
      <c r="I11" s="110" t="n"/>
      <c r="J11" s="40" t="n"/>
      <c r="K11" s="40" t="n"/>
      <c r="L11" s="110" t="n"/>
      <c r="M11" s="40" t="n"/>
    </row>
    <row r="12">
      <c r="A12" s="47" t="n"/>
      <c r="B12" s="47" t="n"/>
      <c r="C12" s="47" t="n"/>
      <c r="D12" s="47" t="n"/>
      <c r="E12" s="47" t="n"/>
      <c r="F12" s="62" t="n"/>
      <c r="G12" s="112" t="n"/>
      <c r="H12" s="47" t="n"/>
      <c r="I12" s="112" t="n"/>
      <c r="J12" s="47" t="n"/>
      <c r="K12" s="47" t="n"/>
      <c r="L12" s="112" t="n"/>
      <c r="M12" s="47" t="n"/>
    </row>
    <row r="13">
      <c r="A13" s="40" t="n"/>
      <c r="B13" s="40" t="n"/>
      <c r="C13" s="40" t="n"/>
      <c r="D13" s="40" t="n"/>
      <c r="E13" s="40" t="n"/>
      <c r="F13" s="59" t="n"/>
      <c r="G13" s="110" t="n"/>
      <c r="H13" s="40" t="n"/>
      <c r="I13" s="110" t="n"/>
      <c r="J13" s="40" t="n"/>
      <c r="K13" s="40" t="n"/>
      <c r="L13" s="110" t="n"/>
      <c r="M13" s="40" t="n"/>
    </row>
    <row r="14">
      <c r="A14" s="47" t="n"/>
      <c r="B14" s="47" t="n"/>
      <c r="C14" s="47" t="n"/>
      <c r="D14" s="47" t="n"/>
      <c r="E14" s="47" t="n"/>
      <c r="F14" s="62" t="n"/>
      <c r="G14" s="112" t="n"/>
      <c r="H14" s="47" t="n"/>
      <c r="I14" s="112" t="n"/>
      <c r="J14" s="47" t="n"/>
      <c r="K14" s="47" t="n"/>
      <c r="L14" s="112" t="n"/>
      <c r="M14" s="47" t="n"/>
    </row>
    <row r="15">
      <c r="A15" s="40" t="n"/>
      <c r="B15" s="40" t="n"/>
      <c r="C15" s="40" t="n"/>
      <c r="D15" s="40" t="n"/>
      <c r="E15" s="40" t="n"/>
      <c r="F15" s="59" t="n"/>
      <c r="G15" s="110" t="n"/>
      <c r="H15" s="40" t="n"/>
      <c r="I15" s="110" t="n"/>
      <c r="J15" s="40" t="n"/>
      <c r="K15" s="40" t="n"/>
      <c r="L15" s="110" t="n"/>
      <c r="M15" s="40" t="n"/>
    </row>
    <row r="16">
      <c r="A16" s="47" t="n"/>
      <c r="B16" s="47" t="n"/>
      <c r="C16" s="47" t="n"/>
      <c r="D16" s="47" t="n"/>
      <c r="E16" s="47" t="n"/>
      <c r="F16" s="62" t="n"/>
      <c r="G16" s="112" t="n"/>
      <c r="H16" s="47" t="n"/>
      <c r="I16" s="112" t="n"/>
      <c r="J16" s="47" t="n"/>
      <c r="K16" s="47" t="n"/>
      <c r="L16" s="112" t="n"/>
      <c r="M16" s="47" t="n"/>
    </row>
    <row r="17">
      <c r="A17" s="40" t="n"/>
      <c r="B17" s="40" t="n"/>
      <c r="C17" s="40" t="n"/>
      <c r="D17" s="40" t="n"/>
      <c r="E17" s="40" t="n"/>
      <c r="F17" s="59" t="n"/>
      <c r="G17" s="110" t="n"/>
      <c r="H17" s="40" t="n"/>
      <c r="I17" s="110" t="n"/>
      <c r="J17" s="40" t="n"/>
      <c r="K17" s="40" t="n"/>
      <c r="L17" s="110" t="n"/>
      <c r="M17" s="40" t="n"/>
    </row>
    <row r="18">
      <c r="A18" s="47" t="n"/>
      <c r="B18" s="47" t="n"/>
      <c r="C18" s="47" t="n"/>
      <c r="D18" s="47" t="n"/>
      <c r="E18" s="47" t="n"/>
      <c r="F18" s="62" t="n"/>
      <c r="G18" s="112" t="n"/>
      <c r="H18" s="47" t="n"/>
      <c r="I18" s="112" t="n"/>
      <c r="J18" s="47" t="n"/>
      <c r="K18" s="47" t="n"/>
      <c r="L18" s="112" t="n"/>
      <c r="M18" s="47" t="n"/>
    </row>
    <row r="19">
      <c r="A19" s="40" t="n"/>
      <c r="B19" s="40" t="n"/>
      <c r="C19" s="40" t="n"/>
      <c r="D19" s="40" t="n"/>
      <c r="E19" s="40" t="n"/>
      <c r="F19" s="59" t="n"/>
      <c r="G19" s="110" t="n"/>
      <c r="H19" s="40" t="n"/>
      <c r="I19" s="110" t="n"/>
      <c r="J19" s="40" t="n"/>
      <c r="K19" s="40" t="n"/>
      <c r="L19" s="110" t="n"/>
      <c r="M19" s="40" t="n"/>
    </row>
    <row r="20">
      <c r="A20" s="47" t="n"/>
      <c r="B20" s="47" t="n"/>
      <c r="C20" s="47" t="n"/>
      <c r="D20" s="47" t="n"/>
      <c r="E20" s="47" t="n"/>
      <c r="F20" s="62" t="n"/>
      <c r="G20" s="112" t="n"/>
      <c r="H20" s="47" t="n"/>
      <c r="I20" s="112" t="n"/>
      <c r="J20" s="47" t="n"/>
      <c r="K20" s="47" t="n"/>
      <c r="L20" s="112" t="n"/>
      <c r="M20" s="47" t="n"/>
    </row>
    <row r="21">
      <c r="A21" s="40" t="n"/>
      <c r="B21" s="40" t="n"/>
      <c r="C21" s="40" t="n"/>
      <c r="D21" s="40" t="n"/>
      <c r="E21" s="40" t="n"/>
      <c r="F21" s="59" t="n"/>
      <c r="G21" s="110" t="n"/>
      <c r="H21" s="40" t="n"/>
      <c r="I21" s="110" t="n"/>
      <c r="J21" s="40" t="n"/>
      <c r="K21" s="40" t="n"/>
      <c r="L21" s="110" t="n"/>
      <c r="M21" s="40" t="n"/>
    </row>
    <row r="22">
      <c r="A22" s="47" t="n"/>
      <c r="B22" s="47" t="n"/>
      <c r="C22" s="47" t="n"/>
      <c r="D22" s="47" t="n"/>
      <c r="E22" s="47" t="n"/>
      <c r="F22" s="62" t="n"/>
      <c r="G22" s="112" t="n"/>
      <c r="H22" s="47" t="n"/>
      <c r="I22" s="112" t="n"/>
      <c r="J22" s="47" t="n"/>
      <c r="K22" s="47" t="n"/>
      <c r="L22" s="112" t="n"/>
      <c r="M22" s="47" t="n"/>
    </row>
    <row r="23">
      <c r="A23" s="40" t="n"/>
      <c r="B23" s="40" t="n"/>
      <c r="C23" s="40" t="n"/>
      <c r="D23" s="40" t="n"/>
      <c r="E23" s="40" t="n"/>
      <c r="F23" s="59" t="n"/>
      <c r="G23" s="110" t="n"/>
      <c r="H23" s="40" t="n"/>
      <c r="I23" s="110" t="n"/>
      <c r="J23" s="40" t="n"/>
      <c r="K23" s="40" t="n"/>
      <c r="L23" s="110" t="n"/>
      <c r="M23" s="40" t="n"/>
    </row>
    <row r="24">
      <c r="A24" s="47" t="n"/>
      <c r="B24" s="47" t="n"/>
      <c r="C24" s="47" t="n"/>
      <c r="D24" s="47" t="n"/>
      <c r="E24" s="47" t="n"/>
      <c r="F24" s="62" t="n"/>
      <c r="G24" s="112" t="n"/>
      <c r="H24" s="47" t="n"/>
      <c r="I24" s="112" t="n"/>
      <c r="J24" s="47" t="n"/>
      <c r="K24" s="47" t="n"/>
      <c r="L24" s="112" t="n"/>
      <c r="M24" s="47" t="n"/>
    </row>
    <row r="25">
      <c r="A25" s="40" t="n"/>
      <c r="B25" s="40" t="n"/>
      <c r="C25" s="40" t="n"/>
      <c r="D25" s="40" t="n"/>
      <c r="E25" s="40" t="n"/>
      <c r="F25" s="59" t="n"/>
      <c r="G25" s="110" t="n"/>
      <c r="H25" s="40" t="n"/>
      <c r="I25" s="110" t="n"/>
      <c r="J25" s="40" t="n"/>
      <c r="K25" s="40" t="n"/>
      <c r="L25" s="110" t="n"/>
      <c r="M25" s="40" t="n"/>
    </row>
    <row r="26">
      <c r="A26" s="47" t="n"/>
      <c r="B26" s="47" t="n"/>
      <c r="C26" s="47" t="n"/>
      <c r="D26" s="47" t="n"/>
      <c r="E26" s="47" t="n"/>
      <c r="F26" s="62" t="n"/>
      <c r="G26" s="112" t="n"/>
      <c r="H26" s="47" t="n"/>
      <c r="I26" s="112" t="n"/>
      <c r="J26" s="47" t="n"/>
      <c r="K26" s="47" t="n"/>
      <c r="L26" s="112" t="n"/>
      <c r="M26" s="47" t="n"/>
    </row>
    <row r="27">
      <c r="A27" s="40" t="n"/>
      <c r="B27" s="40" t="n"/>
      <c r="C27" s="40" t="n"/>
      <c r="D27" s="40" t="n"/>
      <c r="E27" s="40" t="n"/>
      <c r="F27" s="59" t="n"/>
      <c r="G27" s="110" t="n"/>
      <c r="H27" s="40" t="n"/>
      <c r="I27" s="110" t="n"/>
      <c r="J27" s="40" t="n"/>
      <c r="K27" s="40" t="n"/>
      <c r="L27" s="110" t="n"/>
      <c r="M27" s="40" t="n"/>
    </row>
    <row r="28">
      <c r="A28" s="47" t="n"/>
      <c r="B28" s="47" t="n"/>
      <c r="C28" s="47" t="n"/>
      <c r="D28" s="47" t="n"/>
      <c r="E28" s="47" t="n"/>
      <c r="F28" s="62" t="n"/>
      <c r="G28" s="112" t="n"/>
      <c r="H28" s="47" t="n"/>
      <c r="I28" s="112" t="n"/>
      <c r="J28" s="47" t="n"/>
      <c r="K28" s="47" t="n"/>
      <c r="L28" s="112" t="n"/>
      <c r="M28" s="47" t="n"/>
    </row>
    <row r="29">
      <c r="A29" s="40" t="n"/>
      <c r="B29" s="40" t="n"/>
      <c r="C29" s="40" t="n"/>
      <c r="D29" s="40" t="n"/>
      <c r="E29" s="40" t="n"/>
      <c r="F29" s="59" t="n"/>
      <c r="G29" s="110" t="n"/>
      <c r="H29" s="40" t="n"/>
      <c r="I29" s="110" t="n"/>
      <c r="J29" s="40" t="n"/>
      <c r="K29" s="40" t="n"/>
      <c r="L29" s="110" t="n"/>
      <c r="M29" s="40" t="n"/>
    </row>
    <row r="30">
      <c r="A30" s="47" t="n"/>
      <c r="B30" s="47" t="n"/>
      <c r="C30" s="47" t="n"/>
      <c r="D30" s="47" t="n"/>
      <c r="E30" s="47" t="n"/>
      <c r="F30" s="62" t="n"/>
      <c r="G30" s="112" t="n"/>
      <c r="H30" s="47" t="n"/>
      <c r="I30" s="112" t="n"/>
      <c r="J30" s="47" t="n"/>
      <c r="K30" s="47" t="n"/>
      <c r="L30" s="112" t="n"/>
      <c r="M30" s="47" t="n"/>
    </row>
    <row r="31">
      <c r="A31" s="40" t="n"/>
      <c r="B31" s="40" t="n"/>
      <c r="C31" s="40" t="n"/>
      <c r="D31" s="40" t="n"/>
      <c r="E31" s="40" t="n"/>
      <c r="F31" s="59" t="n"/>
      <c r="G31" s="110" t="n"/>
      <c r="H31" s="40" t="n"/>
      <c r="I31" s="110" t="n"/>
      <c r="J31" s="40" t="n"/>
      <c r="K31" s="40" t="n"/>
      <c r="L31" s="110" t="n"/>
      <c r="M31" s="40" t="n"/>
    </row>
    <row r="32">
      <c r="A32" s="47" t="n"/>
      <c r="B32" s="47" t="n"/>
      <c r="C32" s="47" t="n"/>
      <c r="D32" s="47" t="n"/>
      <c r="E32" s="47" t="n"/>
      <c r="F32" s="62" t="n"/>
      <c r="G32" s="112" t="n"/>
      <c r="H32" s="47" t="n"/>
      <c r="I32" s="112" t="n"/>
      <c r="J32" s="47" t="n"/>
      <c r="K32" s="47" t="n"/>
      <c r="L32" s="112" t="n"/>
      <c r="M32" s="47" t="n"/>
    </row>
    <row r="33">
      <c r="A33" s="40" t="n"/>
      <c r="B33" s="40" t="n"/>
      <c r="C33" s="40" t="n"/>
      <c r="D33" s="40" t="n"/>
      <c r="E33" s="40" t="n"/>
      <c r="F33" s="59" t="n"/>
      <c r="G33" s="110" t="n"/>
      <c r="H33" s="40" t="n"/>
      <c r="I33" s="110" t="n"/>
      <c r="J33" s="40" t="n"/>
      <c r="K33" s="40" t="n"/>
      <c r="L33" s="110" t="n"/>
      <c r="M33" s="40" t="n"/>
    </row>
    <row r="34">
      <c r="A34" s="47" t="n"/>
      <c r="B34" s="47" t="n"/>
      <c r="C34" s="47" t="n"/>
      <c r="D34" s="47" t="n"/>
      <c r="E34" s="47" t="n"/>
      <c r="F34" s="62" t="n"/>
      <c r="G34" s="112" t="n"/>
      <c r="H34" s="47" t="n"/>
      <c r="I34" s="112" t="n"/>
      <c r="J34" s="47" t="n"/>
      <c r="K34" s="47" t="n"/>
      <c r="L34" s="112" t="n"/>
      <c r="M34" s="47" t="n"/>
    </row>
    <row r="35">
      <c r="A35" s="40" t="n"/>
      <c r="B35" s="40" t="n"/>
      <c r="C35" s="40" t="n"/>
      <c r="D35" s="40" t="n"/>
      <c r="E35" s="40" t="n"/>
      <c r="F35" s="59" t="n"/>
      <c r="G35" s="110" t="n"/>
      <c r="H35" s="40" t="n"/>
      <c r="I35" s="110" t="n"/>
      <c r="J35" s="40" t="n"/>
      <c r="K35" s="40" t="n"/>
      <c r="L35" s="110" t="n"/>
      <c r="M35" s="40" t="n"/>
    </row>
    <row r="36">
      <c r="A36" s="47" t="n"/>
      <c r="B36" s="47" t="n"/>
      <c r="C36" s="47" t="n"/>
      <c r="D36" s="47" t="n"/>
      <c r="E36" s="47" t="n"/>
      <c r="F36" s="62" t="n"/>
      <c r="G36" s="112" t="n"/>
      <c r="H36" s="47" t="n"/>
      <c r="I36" s="112" t="n"/>
      <c r="J36" s="47" t="n"/>
      <c r="K36" s="47" t="n"/>
      <c r="L36" s="112" t="n"/>
      <c r="M36" s="47" t="n"/>
    </row>
    <row r="37">
      <c r="A37" s="40" t="n"/>
      <c r="B37" s="40" t="n"/>
      <c r="C37" s="40" t="n"/>
      <c r="D37" s="40" t="n"/>
      <c r="E37" s="40" t="n"/>
      <c r="F37" s="59" t="n"/>
      <c r="G37" s="110" t="n"/>
      <c r="H37" s="40" t="n"/>
      <c r="I37" s="110" t="n"/>
      <c r="J37" s="40" t="n"/>
      <c r="K37" s="40" t="n"/>
      <c r="L37" s="110" t="n"/>
      <c r="M37" s="40" t="n"/>
    </row>
    <row r="38">
      <c r="A38" s="47" t="n"/>
      <c r="B38" s="47" t="n"/>
      <c r="C38" s="47" t="n"/>
      <c r="D38" s="47" t="n"/>
      <c r="E38" s="47" t="n"/>
      <c r="F38" s="62" t="n"/>
      <c r="G38" s="112" t="n"/>
      <c r="H38" s="47" t="n"/>
      <c r="I38" s="112" t="n"/>
      <c r="J38" s="47" t="n"/>
      <c r="K38" s="47" t="n"/>
      <c r="L38" s="112" t="n"/>
      <c r="M38" s="47" t="n"/>
    </row>
    <row r="39">
      <c r="A39" s="40" t="n"/>
      <c r="B39" s="40" t="n"/>
      <c r="C39" s="40" t="n"/>
      <c r="D39" s="40" t="n"/>
      <c r="E39" s="40" t="n"/>
      <c r="F39" s="59" t="n"/>
      <c r="G39" s="110" t="n"/>
      <c r="H39" s="40" t="n"/>
      <c r="I39" s="110" t="n"/>
      <c r="J39" s="40" t="n"/>
      <c r="K39" s="40" t="n"/>
      <c r="L39" s="110" t="n"/>
      <c r="M39" s="40" t="n"/>
    </row>
    <row r="40">
      <c r="A40" s="47" t="n"/>
      <c r="B40" s="47" t="n"/>
      <c r="C40" s="47" t="n"/>
      <c r="D40" s="47" t="n"/>
      <c r="E40" s="47" t="n"/>
      <c r="F40" s="62" t="n"/>
      <c r="G40" s="112" t="n"/>
      <c r="H40" s="47" t="n"/>
      <c r="I40" s="112" t="n"/>
      <c r="J40" s="47" t="n"/>
      <c r="K40" s="47" t="n"/>
      <c r="L40" s="112" t="n"/>
      <c r="M40" s="47" t="n"/>
    </row>
    <row r="41">
      <c r="A41" s="40" t="n"/>
      <c r="B41" s="40" t="n"/>
      <c r="C41" s="40" t="n"/>
      <c r="D41" s="40" t="n"/>
      <c r="E41" s="40" t="n"/>
      <c r="F41" s="59" t="n"/>
      <c r="G41" s="110" t="n"/>
      <c r="H41" s="40" t="n"/>
      <c r="I41" s="110" t="n"/>
      <c r="J41" s="40" t="n"/>
      <c r="K41" s="40" t="n"/>
      <c r="L41" s="110" t="n"/>
      <c r="M41" s="40" t="n"/>
    </row>
    <row r="42">
      <c r="A42" s="47" t="n"/>
      <c r="B42" s="47" t="n"/>
      <c r="C42" s="47" t="n"/>
      <c r="D42" s="47" t="n"/>
      <c r="E42" s="47" t="n"/>
      <c r="F42" s="62" t="n"/>
      <c r="G42" s="112" t="n"/>
      <c r="H42" s="47" t="n"/>
      <c r="I42" s="112" t="n"/>
      <c r="J42" s="47" t="n"/>
      <c r="K42" s="47" t="n"/>
      <c r="L42" s="112" t="n"/>
      <c r="M42" s="47" t="n"/>
    </row>
    <row r="43">
      <c r="A43" s="40" t="n"/>
      <c r="B43" s="40" t="n"/>
      <c r="C43" s="40" t="n"/>
      <c r="D43" s="40" t="n"/>
      <c r="E43" s="40" t="n"/>
      <c r="F43" s="59" t="n"/>
      <c r="G43" s="110" t="n"/>
      <c r="H43" s="40" t="n"/>
      <c r="I43" s="110" t="n"/>
      <c r="J43" s="40" t="n"/>
      <c r="K43" s="40" t="n"/>
      <c r="L43" s="110" t="n"/>
      <c r="M43" s="40" t="n"/>
    </row>
    <row r="44">
      <c r="A44" s="47" t="n"/>
      <c r="B44" s="47" t="n"/>
      <c r="C44" s="47" t="n"/>
      <c r="D44" s="47" t="n"/>
      <c r="E44" s="47" t="n"/>
      <c r="F44" s="62" t="n"/>
      <c r="G44" s="112" t="n"/>
      <c r="H44" s="47" t="n"/>
      <c r="I44" s="112" t="n"/>
      <c r="J44" s="47" t="n"/>
      <c r="K44" s="47" t="n"/>
      <c r="L44" s="112" t="n"/>
      <c r="M44" s="47" t="n"/>
    </row>
    <row r="45">
      <c r="A45" s="40" t="n"/>
      <c r="B45" s="40" t="n"/>
      <c r="C45" s="40" t="n"/>
      <c r="D45" s="40" t="n"/>
      <c r="E45" s="40" t="n"/>
      <c r="F45" s="59" t="n"/>
      <c r="G45" s="110" t="n"/>
      <c r="H45" s="40" t="n"/>
      <c r="I45" s="110" t="n"/>
      <c r="J45" s="40" t="n"/>
      <c r="K45" s="40" t="n"/>
      <c r="L45" s="110" t="n"/>
      <c r="M45" s="40" t="n"/>
    </row>
    <row r="46">
      <c r="A46" s="47" t="n"/>
      <c r="B46" s="47" t="n"/>
      <c r="C46" s="47" t="n"/>
      <c r="D46" s="47" t="n"/>
      <c r="E46" s="47" t="n"/>
      <c r="F46" s="62" t="n"/>
      <c r="G46" s="112" t="n"/>
      <c r="H46" s="47" t="n"/>
      <c r="I46" s="112" t="n"/>
      <c r="J46" s="47" t="n"/>
      <c r="K46" s="47" t="n"/>
      <c r="L46" s="112" t="n"/>
      <c r="M46" s="47" t="n"/>
    </row>
    <row r="47">
      <c r="A47" s="40" t="n"/>
      <c r="B47" s="40" t="n"/>
      <c r="C47" s="40" t="n"/>
      <c r="D47" s="40" t="n"/>
      <c r="E47" s="40" t="n"/>
      <c r="F47" s="59" t="n"/>
      <c r="G47" s="110" t="n"/>
      <c r="H47" s="40" t="n"/>
      <c r="I47" s="110" t="n"/>
      <c r="J47" s="40" t="n"/>
      <c r="K47" s="40" t="n"/>
      <c r="L47" s="110" t="n"/>
      <c r="M47" s="40" t="n"/>
    </row>
    <row r="48">
      <c r="A48" s="47" t="n"/>
      <c r="B48" s="47" t="n"/>
      <c r="C48" s="47" t="n"/>
      <c r="D48" s="47" t="n"/>
      <c r="E48" s="47" t="n"/>
      <c r="F48" s="62" t="n"/>
      <c r="G48" s="112" t="n"/>
      <c r="H48" s="47" t="n"/>
      <c r="I48" s="112" t="n"/>
      <c r="J48" s="47" t="n"/>
      <c r="K48" s="47" t="n"/>
      <c r="L48" s="112" t="n"/>
      <c r="M48" s="47" t="n"/>
    </row>
    <row r="49">
      <c r="A49" s="40" t="n"/>
      <c r="B49" s="40" t="n"/>
      <c r="C49" s="40" t="n"/>
      <c r="D49" s="40" t="n"/>
      <c r="E49" s="40" t="n"/>
      <c r="F49" s="59" t="n"/>
      <c r="G49" s="110" t="n"/>
      <c r="H49" s="40" t="n"/>
      <c r="I49" s="110" t="n"/>
      <c r="J49" s="40" t="n"/>
      <c r="K49" s="40" t="n"/>
      <c r="L49" s="110" t="n"/>
      <c r="M49" s="40" t="n"/>
    </row>
    <row r="50">
      <c r="A50" s="47" t="n"/>
      <c r="B50" s="47" t="n"/>
      <c r="C50" s="47" t="n"/>
      <c r="D50" s="47" t="n"/>
      <c r="E50" s="47" t="n"/>
      <c r="F50" s="62" t="n"/>
      <c r="G50" s="112" t="n"/>
      <c r="H50" s="47" t="n"/>
      <c r="I50" s="112" t="n"/>
      <c r="J50" s="47" t="n"/>
      <c r="K50" s="47" t="n"/>
      <c r="L50" s="112" t="n"/>
      <c r="M50" s="47" t="n"/>
    </row>
    <row r="51">
      <c r="A51" s="40" t="n"/>
      <c r="B51" s="40" t="n"/>
      <c r="C51" s="40" t="n"/>
      <c r="D51" s="40" t="n"/>
      <c r="E51" s="40" t="n"/>
      <c r="F51" s="59" t="n"/>
      <c r="G51" s="110" t="n"/>
      <c r="H51" s="40" t="n"/>
      <c r="I51" s="110" t="n"/>
      <c r="J51" s="40" t="n"/>
      <c r="K51" s="40" t="n"/>
      <c r="L51" s="110" t="n"/>
      <c r="M51" s="40" t="n"/>
    </row>
    <row r="52">
      <c r="A52" s="47" t="n"/>
      <c r="B52" s="47" t="n"/>
      <c r="C52" s="47" t="n"/>
      <c r="D52" s="47" t="n"/>
      <c r="E52" s="47" t="n"/>
      <c r="F52" s="62" t="n"/>
      <c r="G52" s="112" t="n"/>
      <c r="H52" s="47" t="n"/>
      <c r="I52" s="112" t="n"/>
      <c r="J52" s="47" t="n"/>
      <c r="K52" s="47" t="n"/>
      <c r="L52" s="112" t="n"/>
      <c r="M52" s="47" t="n"/>
    </row>
    <row r="53">
      <c r="A53" s="40" t="n"/>
      <c r="B53" s="40" t="n"/>
      <c r="C53" s="40" t="n"/>
      <c r="D53" s="40" t="n"/>
      <c r="E53" s="40" t="n"/>
      <c r="F53" s="59" t="n"/>
      <c r="G53" s="110" t="n"/>
      <c r="H53" s="40" t="n"/>
      <c r="I53" s="110" t="n"/>
      <c r="J53" s="40" t="n"/>
      <c r="K53" s="40" t="n"/>
      <c r="L53" s="110" t="n"/>
      <c r="M53" s="40" t="n"/>
    </row>
    <row r="54">
      <c r="A54" s="47" t="n"/>
      <c r="B54" s="47" t="n"/>
      <c r="C54" s="47" t="n"/>
      <c r="D54" s="47" t="n"/>
      <c r="E54" s="47" t="n"/>
      <c r="F54" s="62" t="n"/>
      <c r="G54" s="112" t="n"/>
      <c r="H54" s="47" t="n"/>
      <c r="I54" s="112" t="n"/>
      <c r="J54" s="47" t="n"/>
      <c r="K54" s="47" t="n"/>
      <c r="L54" s="112" t="n"/>
      <c r="M54" s="47" t="n"/>
    </row>
    <row r="55">
      <c r="A55" s="40" t="n"/>
      <c r="B55" s="40" t="n"/>
      <c r="C55" s="40" t="n"/>
      <c r="D55" s="40" t="n"/>
      <c r="E55" s="40" t="n"/>
      <c r="F55" s="59" t="n"/>
      <c r="G55" s="110" t="n"/>
      <c r="H55" s="40" t="n"/>
      <c r="I55" s="110" t="n"/>
      <c r="J55" s="40" t="n"/>
      <c r="K55" s="40" t="n"/>
      <c r="L55" s="110" t="n"/>
      <c r="M55" s="40" t="n"/>
    </row>
    <row r="56">
      <c r="A56" s="47" t="n"/>
      <c r="B56" s="47" t="n"/>
      <c r="C56" s="47" t="n"/>
      <c r="D56" s="47" t="n"/>
      <c r="E56" s="47" t="n"/>
      <c r="F56" s="62" t="n"/>
      <c r="G56" s="112" t="n"/>
      <c r="H56" s="47" t="n"/>
      <c r="I56" s="112" t="n"/>
      <c r="J56" s="47" t="n"/>
      <c r="K56" s="47" t="n"/>
      <c r="L56" s="112" t="n"/>
      <c r="M56" s="47" t="n"/>
    </row>
    <row r="57">
      <c r="A57" s="40" t="n"/>
      <c r="B57" s="40" t="n"/>
      <c r="C57" s="40" t="n"/>
      <c r="D57" s="40" t="n"/>
      <c r="E57" s="40" t="n"/>
      <c r="F57" s="59" t="n"/>
      <c r="G57" s="110" t="n"/>
      <c r="H57" s="40" t="n"/>
      <c r="I57" s="110" t="n"/>
      <c r="J57" s="40" t="n"/>
      <c r="K57" s="40" t="n"/>
      <c r="L57" s="110" t="n"/>
      <c r="M57" s="40" t="n"/>
    </row>
    <row r="58">
      <c r="A58" s="47" t="n"/>
      <c r="B58" s="47" t="n"/>
      <c r="C58" s="47" t="n"/>
      <c r="D58" s="47" t="n"/>
      <c r="E58" s="47" t="n"/>
      <c r="F58" s="62" t="n"/>
      <c r="G58" s="112" t="n"/>
      <c r="H58" s="47" t="n"/>
      <c r="I58" s="112" t="n"/>
      <c r="J58" s="47" t="n"/>
      <c r="K58" s="47" t="n"/>
      <c r="L58" s="112" t="n"/>
      <c r="M58" s="47" t="n"/>
    </row>
    <row r="59">
      <c r="A59" s="40" t="n"/>
      <c r="B59" s="40" t="n"/>
      <c r="C59" s="40" t="n"/>
      <c r="D59" s="40" t="n"/>
      <c r="E59" s="40" t="n"/>
      <c r="F59" s="59" t="n"/>
      <c r="G59" s="110" t="n"/>
      <c r="H59" s="40" t="n"/>
      <c r="I59" s="110" t="n"/>
      <c r="J59" s="40" t="n"/>
      <c r="K59" s="40" t="n"/>
      <c r="L59" s="110" t="n"/>
      <c r="M59" s="40" t="n"/>
    </row>
    <row r="60">
      <c r="A60" s="47" t="n"/>
      <c r="B60" s="47" t="n"/>
      <c r="C60" s="47" t="n"/>
      <c r="D60" s="47" t="n"/>
      <c r="E60" s="47" t="n"/>
      <c r="F60" s="62" t="n"/>
      <c r="G60" s="112" t="n"/>
      <c r="H60" s="47" t="n"/>
      <c r="I60" s="112" t="n"/>
      <c r="J60" s="47" t="n"/>
      <c r="K60" s="47" t="n"/>
      <c r="L60" s="112" t="n"/>
      <c r="M60" s="47" t="n"/>
    </row>
    <row r="61">
      <c r="A61" s="40" t="n"/>
      <c r="B61" s="40" t="n"/>
      <c r="C61" s="40" t="n"/>
      <c r="D61" s="40" t="n"/>
      <c r="E61" s="40" t="n"/>
      <c r="F61" s="59" t="n"/>
      <c r="G61" s="110" t="n"/>
      <c r="H61" s="40" t="n"/>
      <c r="I61" s="110" t="n"/>
      <c r="J61" s="40" t="n"/>
      <c r="K61" s="40" t="n"/>
      <c r="L61" s="110" t="n"/>
      <c r="M61" s="40" t="n"/>
    </row>
    <row r="62">
      <c r="A62" s="47" t="n"/>
      <c r="B62" s="47" t="n"/>
      <c r="C62" s="47" t="n"/>
      <c r="D62" s="47" t="n"/>
      <c r="E62" s="47" t="n"/>
      <c r="F62" s="62" t="n"/>
      <c r="G62" s="112" t="n"/>
      <c r="H62" s="47" t="n"/>
      <c r="I62" s="112" t="n"/>
      <c r="J62" s="47" t="n"/>
      <c r="K62" s="47" t="n"/>
      <c r="L62" s="112" t="n"/>
      <c r="M62" s="47" t="n"/>
    </row>
    <row r="63">
      <c r="A63" s="40" t="n"/>
      <c r="B63" s="40" t="n"/>
      <c r="C63" s="40" t="n"/>
      <c r="D63" s="40" t="n"/>
      <c r="E63" s="40" t="n"/>
      <c r="F63" s="59" t="n"/>
      <c r="G63" s="110" t="n"/>
      <c r="H63" s="40" t="n"/>
      <c r="I63" s="110" t="n"/>
      <c r="J63" s="40" t="n"/>
      <c r="K63" s="40" t="n"/>
      <c r="L63" s="110" t="n"/>
      <c r="M63" s="40" t="n"/>
    </row>
    <row r="64">
      <c r="A64" s="47" t="n"/>
      <c r="B64" s="47" t="n"/>
      <c r="C64" s="47" t="n"/>
      <c r="D64" s="47" t="n"/>
      <c r="E64" s="47" t="n"/>
      <c r="F64" s="62" t="n"/>
      <c r="G64" s="112" t="n"/>
      <c r="H64" s="47" t="n"/>
      <c r="I64" s="112" t="n"/>
      <c r="J64" s="47" t="n"/>
      <c r="K64" s="47" t="n"/>
      <c r="L64" s="112" t="n"/>
      <c r="M64" s="47" t="n"/>
    </row>
    <row r="65">
      <c r="A65" s="40" t="n"/>
      <c r="B65" s="40" t="n"/>
      <c r="C65" s="40" t="n"/>
      <c r="D65" s="40" t="n"/>
      <c r="E65" s="40" t="n"/>
      <c r="F65" s="59" t="n"/>
      <c r="G65" s="110" t="n"/>
      <c r="H65" s="40" t="n"/>
      <c r="I65" s="110" t="n"/>
      <c r="J65" s="40" t="n"/>
      <c r="K65" s="40" t="n"/>
      <c r="L65" s="110" t="n"/>
      <c r="M65" s="40" t="n"/>
    </row>
    <row r="66">
      <c r="A66" s="47" t="n"/>
      <c r="B66" s="47" t="n"/>
      <c r="C66" s="47" t="n"/>
      <c r="D66" s="47" t="n"/>
      <c r="E66" s="47" t="n"/>
      <c r="F66" s="62" t="n"/>
      <c r="G66" s="112" t="n"/>
      <c r="H66" s="47" t="n"/>
      <c r="I66" s="112" t="n"/>
      <c r="J66" s="47" t="n"/>
      <c r="K66" s="47" t="n"/>
      <c r="L66" s="112" t="n"/>
      <c r="M66" s="47" t="n"/>
    </row>
    <row r="67">
      <c r="A67" s="40" t="n"/>
      <c r="B67" s="40" t="n"/>
      <c r="C67" s="40" t="n"/>
      <c r="D67" s="40" t="n"/>
      <c r="E67" s="40" t="n"/>
      <c r="F67" s="59" t="n"/>
      <c r="G67" s="110" t="n"/>
      <c r="H67" s="40" t="n"/>
      <c r="I67" s="110" t="n"/>
      <c r="J67" s="40" t="n"/>
      <c r="K67" s="40" t="n"/>
      <c r="L67" s="110" t="n"/>
      <c r="M67" s="40" t="n"/>
    </row>
    <row r="68">
      <c r="A68" s="47" t="n"/>
      <c r="B68" s="47" t="n"/>
      <c r="C68" s="47" t="n"/>
      <c r="D68" s="47" t="n"/>
      <c r="E68" s="47" t="n"/>
      <c r="F68" s="62" t="n"/>
      <c r="G68" s="112" t="n"/>
      <c r="H68" s="47" t="n"/>
      <c r="I68" s="112" t="n"/>
      <c r="J68" s="47" t="n"/>
      <c r="K68" s="47" t="n"/>
      <c r="L68" s="112" t="n"/>
      <c r="M68" s="47" t="n"/>
    </row>
    <row r="69">
      <c r="A69" s="40" t="n"/>
      <c r="B69" s="40" t="n"/>
      <c r="C69" s="40" t="n"/>
      <c r="D69" s="40" t="n"/>
      <c r="E69" s="40" t="n"/>
      <c r="F69" s="59" t="n"/>
      <c r="G69" s="110" t="n"/>
      <c r="H69" s="40" t="n"/>
      <c r="I69" s="110" t="n"/>
      <c r="J69" s="40" t="n"/>
      <c r="K69" s="40" t="n"/>
      <c r="L69" s="110" t="n"/>
      <c r="M69" s="40" t="n"/>
    </row>
    <row r="70">
      <c r="A70" s="47" t="n"/>
      <c r="B70" s="47" t="n"/>
      <c r="C70" s="47" t="n"/>
      <c r="D70" s="47" t="n"/>
      <c r="E70" s="47" t="n"/>
      <c r="F70" s="62" t="n"/>
      <c r="G70" s="112" t="n"/>
      <c r="H70" s="47" t="n"/>
      <c r="I70" s="112" t="n"/>
      <c r="J70" s="47" t="n"/>
      <c r="K70" s="47" t="n"/>
      <c r="L70" s="112" t="n"/>
      <c r="M70" s="47" t="n"/>
    </row>
    <row r="71">
      <c r="A71" s="40" t="n"/>
      <c r="B71" s="40" t="n"/>
      <c r="C71" s="40" t="n"/>
      <c r="D71" s="40" t="n"/>
      <c r="E71" s="40" t="n"/>
      <c r="F71" s="59" t="n"/>
      <c r="G71" s="110" t="n"/>
      <c r="H71" s="40" t="n"/>
      <c r="I71" s="110" t="n"/>
      <c r="J71" s="40" t="n"/>
      <c r="K71" s="40" t="n"/>
      <c r="L71" s="110" t="n"/>
      <c r="M71" s="40" t="n"/>
    </row>
    <row r="72">
      <c r="A72" s="47" t="n"/>
      <c r="B72" s="47" t="n"/>
      <c r="C72" s="47" t="n"/>
      <c r="D72" s="47" t="n"/>
      <c r="E72" s="47" t="n"/>
      <c r="F72" s="62" t="n"/>
      <c r="G72" s="112" t="n"/>
      <c r="H72" s="47" t="n"/>
      <c r="I72" s="112" t="n"/>
      <c r="J72" s="47" t="n"/>
      <c r="K72" s="47" t="n"/>
      <c r="L72" s="112" t="n"/>
      <c r="M72" s="47" t="n"/>
    </row>
    <row r="73">
      <c r="A73" s="40" t="n"/>
      <c r="B73" s="40" t="n"/>
      <c r="C73" s="40" t="n"/>
      <c r="D73" s="40" t="n"/>
      <c r="E73" s="40" t="n"/>
      <c r="F73" s="59" t="n"/>
      <c r="G73" s="110" t="n"/>
      <c r="H73" s="40" t="n"/>
      <c r="I73" s="110" t="n"/>
      <c r="J73" s="40" t="n"/>
      <c r="K73" s="40" t="n"/>
      <c r="L73" s="110" t="n"/>
      <c r="M73" s="40" t="n"/>
    </row>
    <row r="74">
      <c r="A74" s="47" t="n"/>
      <c r="B74" s="47" t="n"/>
      <c r="C74" s="47" t="n"/>
      <c r="D74" s="47" t="n"/>
      <c r="E74" s="47" t="n"/>
      <c r="F74" s="62" t="n"/>
      <c r="G74" s="112" t="n"/>
      <c r="H74" s="47" t="n"/>
      <c r="I74" s="112" t="n"/>
      <c r="J74" s="47" t="n"/>
      <c r="K74" s="47" t="n"/>
      <c r="L74" s="112" t="n"/>
      <c r="M74" s="47" t="n"/>
    </row>
    <row r="75">
      <c r="A75" s="40" t="n"/>
      <c r="B75" s="40" t="n"/>
      <c r="C75" s="40" t="n"/>
      <c r="D75" s="40" t="n"/>
      <c r="E75" s="40" t="n"/>
      <c r="F75" s="59" t="n"/>
      <c r="G75" s="110" t="n"/>
      <c r="H75" s="40" t="n"/>
      <c r="I75" s="110" t="n"/>
      <c r="J75" s="40" t="n"/>
      <c r="K75" s="40" t="n"/>
      <c r="L75" s="110" t="n"/>
      <c r="M75" s="40" t="n"/>
    </row>
    <row r="76">
      <c r="A76" s="47" t="n"/>
      <c r="B76" s="47" t="n"/>
      <c r="C76" s="47" t="n"/>
      <c r="D76" s="47" t="n"/>
      <c r="E76" s="47" t="n"/>
      <c r="F76" s="62" t="n"/>
      <c r="G76" s="112" t="n"/>
      <c r="H76" s="47" t="n"/>
      <c r="I76" s="112" t="n"/>
      <c r="J76" s="47" t="n"/>
      <c r="K76" s="47" t="n"/>
      <c r="L76" s="112" t="n"/>
      <c r="M76" s="47" t="n"/>
    </row>
    <row r="77">
      <c r="A77" s="40" t="n"/>
      <c r="B77" s="40" t="n"/>
      <c r="C77" s="40" t="n"/>
      <c r="D77" s="40" t="n"/>
      <c r="E77" s="40" t="n"/>
      <c r="F77" s="59" t="n"/>
      <c r="G77" s="110" t="n"/>
      <c r="H77" s="40" t="n"/>
      <c r="I77" s="110" t="n"/>
      <c r="J77" s="40" t="n"/>
      <c r="K77" s="40" t="n"/>
      <c r="L77" s="110" t="n"/>
      <c r="M77" s="40" t="n"/>
    </row>
    <row r="78">
      <c r="A78" s="47" t="n"/>
      <c r="B78" s="47" t="n"/>
      <c r="C78" s="47" t="n"/>
      <c r="D78" s="47" t="n"/>
      <c r="E78" s="47" t="n"/>
      <c r="F78" s="62" t="n"/>
      <c r="G78" s="112" t="n"/>
      <c r="H78" s="47" t="n"/>
      <c r="I78" s="112" t="n"/>
      <c r="J78" s="47" t="n"/>
      <c r="K78" s="47" t="n"/>
      <c r="L78" s="112" t="n"/>
      <c r="M78" s="47" t="n"/>
    </row>
    <row r="79">
      <c r="A79" s="40" t="n"/>
      <c r="B79" s="40" t="n"/>
      <c r="C79" s="40" t="n"/>
      <c r="D79" s="40" t="n"/>
      <c r="E79" s="40" t="n"/>
      <c r="F79" s="59" t="n"/>
      <c r="G79" s="110" t="n"/>
      <c r="H79" s="40" t="n"/>
      <c r="I79" s="110" t="n"/>
      <c r="J79" s="40" t="n"/>
      <c r="K79" s="40" t="n"/>
      <c r="L79" s="110" t="n"/>
      <c r="M79" s="40" t="n"/>
    </row>
    <row r="80">
      <c r="A80" s="47" t="n"/>
      <c r="B80" s="47" t="n"/>
      <c r="C80" s="47" t="n"/>
      <c r="D80" s="47" t="n"/>
      <c r="E80" s="47" t="n"/>
      <c r="F80" s="62" t="n"/>
      <c r="G80" s="112" t="n"/>
      <c r="H80" s="47" t="n"/>
      <c r="I80" s="112" t="n"/>
      <c r="J80" s="47" t="n"/>
      <c r="K80" s="47" t="n"/>
      <c r="L80" s="112" t="n"/>
      <c r="M80" s="47" t="n"/>
    </row>
    <row r="81">
      <c r="A81" s="40" t="n"/>
      <c r="B81" s="40" t="n"/>
      <c r="C81" s="40" t="n"/>
      <c r="D81" s="40" t="n"/>
      <c r="E81" s="40" t="n"/>
      <c r="F81" s="59" t="n"/>
      <c r="G81" s="110" t="n"/>
      <c r="H81" s="40" t="n"/>
      <c r="I81" s="110" t="n"/>
      <c r="J81" s="40" t="n"/>
      <c r="K81" s="40" t="n"/>
      <c r="L81" s="110" t="n"/>
      <c r="M81" s="40" t="n"/>
    </row>
    <row r="82">
      <c r="A82" s="47" t="n"/>
      <c r="B82" s="47" t="n"/>
      <c r="C82" s="47" t="n"/>
      <c r="D82" s="47" t="n"/>
      <c r="E82" s="47" t="n"/>
      <c r="F82" s="62" t="n"/>
      <c r="G82" s="112" t="n"/>
      <c r="H82" s="47" t="n"/>
      <c r="I82" s="112" t="n"/>
      <c r="J82" s="47" t="n"/>
      <c r="K82" s="47" t="n"/>
      <c r="L82" s="112" t="n"/>
      <c r="M82" s="47" t="n"/>
    </row>
    <row r="83">
      <c r="A83" s="40" t="n"/>
      <c r="B83" s="40" t="n"/>
      <c r="C83" s="40" t="n"/>
      <c r="D83" s="40" t="n"/>
      <c r="E83" s="40" t="n"/>
      <c r="F83" s="59" t="n"/>
      <c r="G83" s="110" t="n"/>
      <c r="H83" s="40" t="n"/>
      <c r="I83" s="110" t="n"/>
      <c r="J83" s="40" t="n"/>
      <c r="K83" s="40" t="n"/>
      <c r="L83" s="110" t="n"/>
      <c r="M83" s="40" t="n"/>
    </row>
    <row r="84">
      <c r="A84" s="47" t="n"/>
      <c r="B84" s="47" t="n"/>
      <c r="C84" s="47" t="n"/>
      <c r="D84" s="47" t="n"/>
      <c r="E84" s="47" t="n"/>
      <c r="F84" s="62" t="n"/>
      <c r="G84" s="112" t="n"/>
      <c r="H84" s="47" t="n"/>
      <c r="I84" s="112" t="n"/>
      <c r="J84" s="47" t="n"/>
      <c r="K84" s="47" t="n"/>
      <c r="L84" s="112" t="n"/>
      <c r="M84" s="47" t="n"/>
    </row>
    <row r="85">
      <c r="A85" s="40" t="n"/>
      <c r="B85" s="40" t="n"/>
      <c r="C85" s="40" t="n"/>
      <c r="D85" s="40" t="n"/>
      <c r="E85" s="40" t="n"/>
      <c r="F85" s="59" t="n"/>
      <c r="G85" s="110" t="n"/>
      <c r="H85" s="40" t="n"/>
      <c r="I85" s="110" t="n"/>
      <c r="J85" s="40" t="n"/>
      <c r="K85" s="40" t="n"/>
      <c r="L85" s="110" t="n"/>
      <c r="M85" s="40" t="n"/>
    </row>
    <row r="86">
      <c r="A86" s="47" t="n"/>
      <c r="B86" s="47" t="n"/>
      <c r="C86" s="47" t="n"/>
      <c r="D86" s="47" t="n"/>
      <c r="E86" s="47" t="n"/>
      <c r="F86" s="62" t="n"/>
      <c r="G86" s="112" t="n"/>
      <c r="H86" s="47" t="n"/>
      <c r="I86" s="112" t="n"/>
      <c r="J86" s="47" t="n"/>
      <c r="K86" s="47" t="n"/>
      <c r="L86" s="112" t="n"/>
      <c r="M86" s="47" t="n"/>
    </row>
    <row r="87">
      <c r="A87" s="40" t="n"/>
      <c r="B87" s="40" t="n"/>
      <c r="C87" s="40" t="n"/>
      <c r="D87" s="40" t="n"/>
      <c r="E87" s="40" t="n"/>
      <c r="F87" s="59" t="n"/>
      <c r="G87" s="110" t="n"/>
      <c r="H87" s="40" t="n"/>
      <c r="I87" s="110" t="n"/>
      <c r="J87" s="40" t="n"/>
      <c r="K87" s="40" t="n"/>
      <c r="L87" s="110" t="n"/>
      <c r="M87" s="40" t="n"/>
    </row>
    <row r="88">
      <c r="A88" s="47" t="n"/>
      <c r="B88" s="47" t="n"/>
      <c r="C88" s="47" t="n"/>
      <c r="D88" s="47" t="n"/>
      <c r="E88" s="47" t="n"/>
      <c r="F88" s="62" t="n"/>
      <c r="G88" s="112" t="n"/>
      <c r="H88" s="47" t="n"/>
      <c r="I88" s="112" t="n"/>
      <c r="J88" s="47" t="n"/>
      <c r="K88" s="47" t="n"/>
      <c r="L88" s="112" t="n"/>
      <c r="M88" s="47" t="n"/>
    </row>
    <row r="89">
      <c r="A89" s="40" t="n"/>
      <c r="B89" s="40" t="n"/>
      <c r="C89" s="40" t="n"/>
      <c r="D89" s="40" t="n"/>
      <c r="E89" s="40" t="n"/>
      <c r="F89" s="59" t="n"/>
      <c r="G89" s="110" t="n"/>
      <c r="H89" s="40" t="n"/>
      <c r="I89" s="110" t="n"/>
      <c r="J89" s="40" t="n"/>
      <c r="K89" s="40" t="n"/>
      <c r="L89" s="110" t="n"/>
      <c r="M89" s="40" t="n"/>
    </row>
    <row r="90">
      <c r="A90" s="47" t="n"/>
      <c r="B90" s="47" t="n"/>
      <c r="C90" s="47" t="n"/>
      <c r="D90" s="47" t="n"/>
      <c r="E90" s="47" t="n"/>
      <c r="F90" s="62" t="n"/>
      <c r="G90" s="112" t="n"/>
      <c r="H90" s="47" t="n"/>
      <c r="I90" s="112" t="n"/>
      <c r="J90" s="47" t="n"/>
      <c r="K90" s="47" t="n"/>
      <c r="L90" s="112" t="n"/>
      <c r="M90" s="47" t="n"/>
    </row>
    <row r="91">
      <c r="A91" s="40" t="n"/>
      <c r="B91" s="40" t="n"/>
      <c r="C91" s="40" t="n"/>
      <c r="D91" s="40" t="n"/>
      <c r="E91" s="40" t="n"/>
      <c r="F91" s="59" t="n"/>
      <c r="G91" s="110" t="n"/>
      <c r="H91" s="40" t="n"/>
      <c r="I91" s="110" t="n"/>
      <c r="J91" s="40" t="n"/>
      <c r="K91" s="40" t="n"/>
      <c r="L91" s="110" t="n"/>
      <c r="M91" s="40" t="n"/>
    </row>
    <row r="92">
      <c r="A92" s="47" t="n"/>
      <c r="B92" s="47" t="n"/>
      <c r="C92" s="47" t="n"/>
      <c r="D92" s="47" t="n"/>
      <c r="E92" s="47" t="n"/>
      <c r="F92" s="62" t="n"/>
      <c r="G92" s="112" t="n"/>
      <c r="H92" s="47" t="n"/>
      <c r="I92" s="112" t="n"/>
      <c r="J92" s="47" t="n"/>
      <c r="K92" s="47" t="n"/>
      <c r="L92" s="112" t="n"/>
      <c r="M92" s="47" t="n"/>
    </row>
    <row r="93">
      <c r="A93" s="40" t="n"/>
      <c r="B93" s="40" t="n"/>
      <c r="C93" s="40" t="n"/>
      <c r="D93" s="40" t="n"/>
      <c r="E93" s="40" t="n"/>
      <c r="F93" s="59" t="n"/>
      <c r="G93" s="110" t="n"/>
      <c r="H93" s="40" t="n"/>
      <c r="I93" s="110" t="n"/>
      <c r="J93" s="40" t="n"/>
      <c r="K93" s="40" t="n"/>
      <c r="L93" s="110" t="n"/>
      <c r="M93" s="40" t="n"/>
    </row>
    <row r="94">
      <c r="A94" s="47" t="n"/>
      <c r="B94" s="47" t="n"/>
      <c r="C94" s="47" t="n"/>
      <c r="D94" s="47" t="n"/>
      <c r="E94" s="47" t="n"/>
      <c r="F94" s="62" t="n"/>
      <c r="G94" s="112" t="n"/>
      <c r="H94" s="47" t="n"/>
      <c r="I94" s="112" t="n"/>
      <c r="J94" s="47" t="n"/>
      <c r="K94" s="47" t="n"/>
      <c r="L94" s="112" t="n"/>
      <c r="M94" s="47" t="n"/>
    </row>
    <row r="95">
      <c r="A95" s="40" t="n"/>
      <c r="B95" s="40" t="n"/>
      <c r="C95" s="40" t="n"/>
      <c r="D95" s="40" t="n"/>
      <c r="E95" s="40" t="n"/>
      <c r="F95" s="59" t="n"/>
      <c r="G95" s="110" t="n"/>
      <c r="H95" s="40" t="n"/>
      <c r="I95" s="110" t="n"/>
      <c r="J95" s="40" t="n"/>
      <c r="K95" s="40" t="n"/>
      <c r="L95" s="110" t="n"/>
      <c r="M95" s="40" t="n"/>
    </row>
    <row r="96">
      <c r="A96" s="47" t="n"/>
      <c r="B96" s="47" t="n"/>
      <c r="C96" s="47" t="n"/>
      <c r="D96" s="47" t="n"/>
      <c r="E96" s="47" t="n"/>
      <c r="F96" s="62" t="n"/>
      <c r="G96" s="112" t="n"/>
      <c r="H96" s="47" t="n"/>
      <c r="I96" s="112" t="n"/>
      <c r="J96" s="47" t="n"/>
      <c r="K96" s="47" t="n"/>
      <c r="L96" s="112" t="n"/>
      <c r="M96" s="47" t="n"/>
    </row>
    <row r="97">
      <c r="A97" s="40" t="n"/>
      <c r="B97" s="40" t="n"/>
      <c r="C97" s="40" t="n"/>
      <c r="D97" s="40" t="n"/>
      <c r="E97" s="40" t="n"/>
      <c r="F97" s="59" t="n"/>
      <c r="G97" s="110" t="n"/>
      <c r="H97" s="40" t="n"/>
      <c r="I97" s="110" t="n"/>
      <c r="J97" s="40" t="n"/>
      <c r="K97" s="40" t="n"/>
      <c r="L97" s="110" t="n"/>
      <c r="M97" s="40" t="n"/>
    </row>
    <row r="98">
      <c r="A98" s="47" t="n"/>
      <c r="B98" s="47" t="n"/>
      <c r="C98" s="47" t="n"/>
      <c r="D98" s="47" t="n"/>
      <c r="E98" s="47" t="n"/>
      <c r="F98" s="62" t="n"/>
      <c r="G98" s="112" t="n"/>
      <c r="H98" s="47" t="n"/>
      <c r="I98" s="112" t="n"/>
      <c r="J98" s="47" t="n"/>
      <c r="K98" s="47" t="n"/>
      <c r="L98" s="112" t="n"/>
      <c r="M98" s="47" t="n"/>
    </row>
    <row r="99">
      <c r="A99" s="40" t="n"/>
      <c r="B99" s="40" t="n"/>
      <c r="C99" s="40" t="n"/>
      <c r="D99" s="40" t="n"/>
      <c r="E99" s="40" t="n"/>
      <c r="F99" s="59" t="n"/>
      <c r="G99" s="110" t="n"/>
      <c r="H99" s="40" t="n"/>
      <c r="I99" s="110" t="n"/>
      <c r="J99" s="40" t="n"/>
      <c r="K99" s="40" t="n"/>
      <c r="L99" s="110" t="n"/>
      <c r="M99" s="40" t="n"/>
    </row>
    <row r="100">
      <c r="A100" s="47" t="n"/>
      <c r="B100" s="47" t="n"/>
      <c r="C100" s="47" t="n"/>
      <c r="D100" s="47" t="n"/>
      <c r="E100" s="47" t="n"/>
      <c r="F100" s="62" t="n"/>
      <c r="G100" s="112" t="n"/>
      <c r="H100" s="47" t="n"/>
      <c r="I100" s="112" t="n"/>
      <c r="J100" s="47" t="n"/>
      <c r="K100" s="47" t="n"/>
      <c r="L100" s="112" t="n"/>
      <c r="M100" s="47" t="n"/>
    </row>
    <row r="101">
      <c r="A101" s="40" t="n"/>
      <c r="B101" s="40" t="n"/>
      <c r="C101" s="40" t="n"/>
      <c r="D101" s="40" t="n"/>
      <c r="E101" s="40" t="n"/>
      <c r="F101" s="59" t="n"/>
      <c r="G101" s="110" t="n"/>
      <c r="H101" s="40" t="n"/>
      <c r="I101" s="110" t="n"/>
      <c r="J101" s="40" t="n"/>
      <c r="K101" s="40" t="n"/>
      <c r="L101" s="110" t="n"/>
      <c r="M101" s="40" t="n"/>
    </row>
    <row r="102">
      <c r="A102" s="47" t="n"/>
      <c r="B102" s="47" t="n"/>
      <c r="C102" s="47" t="n"/>
      <c r="D102" s="47" t="n"/>
      <c r="E102" s="47" t="n"/>
      <c r="F102" s="62" t="n"/>
      <c r="G102" s="112" t="n"/>
      <c r="H102" s="47" t="n"/>
      <c r="I102" s="112" t="n"/>
      <c r="J102" s="47" t="n"/>
      <c r="K102" s="47" t="n"/>
      <c r="L102" s="112" t="n"/>
      <c r="M102" s="47" t="n"/>
    </row>
    <row r="103">
      <c r="A103" s="40" t="n"/>
      <c r="B103" s="40" t="n"/>
      <c r="C103" s="40" t="n"/>
      <c r="D103" s="40" t="n"/>
      <c r="E103" s="40" t="n"/>
      <c r="F103" s="59" t="n"/>
      <c r="G103" s="110" t="n"/>
      <c r="H103" s="40" t="n"/>
      <c r="I103" s="110" t="n"/>
      <c r="J103" s="40" t="n"/>
      <c r="K103" s="40" t="n"/>
      <c r="L103" s="110" t="n"/>
      <c r="M103" s="40" t="n"/>
    </row>
    <row r="104">
      <c r="A104" s="47" t="n"/>
      <c r="B104" s="47" t="n"/>
      <c r="C104" s="47" t="n"/>
      <c r="D104" s="47" t="n"/>
      <c r="E104" s="47" t="n"/>
      <c r="F104" s="62" t="n"/>
      <c r="G104" s="112" t="n"/>
      <c r="H104" s="47" t="n"/>
      <c r="I104" s="112" t="n"/>
      <c r="J104" s="47" t="n"/>
      <c r="K104" s="47" t="n"/>
      <c r="L104" s="112" t="n"/>
      <c r="M104" s="47" t="n"/>
    </row>
    <row r="105">
      <c r="A105" s="40" t="n"/>
      <c r="B105" s="40" t="n"/>
      <c r="C105" s="40" t="n"/>
      <c r="D105" s="40" t="n"/>
      <c r="E105" s="40" t="n"/>
      <c r="F105" s="59" t="n"/>
      <c r="G105" s="110" t="n"/>
      <c r="H105" s="40" t="n"/>
      <c r="I105" s="110" t="n"/>
      <c r="J105" s="40" t="n"/>
      <c r="K105" s="40" t="n"/>
      <c r="L105" s="110" t="n"/>
      <c r="M105" s="40" t="n"/>
    </row>
    <row r="106">
      <c r="A106" s="47" t="n"/>
      <c r="B106" s="47" t="n"/>
      <c r="C106" s="47" t="n"/>
      <c r="D106" s="47" t="n"/>
      <c r="E106" s="47" t="n"/>
      <c r="F106" s="62" t="n"/>
      <c r="G106" s="112" t="n"/>
      <c r="H106" s="47" t="n"/>
      <c r="I106" s="112" t="n"/>
      <c r="J106" s="47" t="n"/>
      <c r="K106" s="47" t="n"/>
      <c r="L106" s="112" t="n"/>
      <c r="M106" s="47" t="n"/>
    </row>
    <row r="107">
      <c r="A107" s="40" t="n"/>
      <c r="B107" s="40" t="n"/>
      <c r="C107" s="40" t="n"/>
      <c r="D107" s="40" t="n"/>
      <c r="E107" s="40" t="n"/>
      <c r="F107" s="59" t="n"/>
      <c r="G107" s="110" t="n"/>
      <c r="H107" s="40" t="n"/>
      <c r="I107" s="110" t="n"/>
      <c r="J107" s="40" t="n"/>
      <c r="K107" s="40" t="n"/>
      <c r="L107" s="110" t="n"/>
      <c r="M107" s="40" t="n"/>
    </row>
    <row r="108">
      <c r="A108" s="47" t="n"/>
      <c r="B108" s="47" t="n"/>
      <c r="C108" s="47" t="n"/>
      <c r="D108" s="47" t="n"/>
      <c r="E108" s="47" t="n"/>
      <c r="F108" s="62" t="n"/>
      <c r="G108" s="112" t="n"/>
      <c r="H108" s="47" t="n"/>
      <c r="I108" s="112" t="n"/>
      <c r="J108" s="47" t="n"/>
      <c r="K108" s="47" t="n"/>
      <c r="L108" s="112" t="n"/>
      <c r="M108" s="47" t="n"/>
    </row>
    <row r="109">
      <c r="A109" s="40" t="n"/>
      <c r="B109" s="40" t="n"/>
      <c r="C109" s="40" t="n"/>
      <c r="D109" s="40" t="n"/>
      <c r="E109" s="40" t="n"/>
      <c r="F109" s="59" t="n"/>
      <c r="G109" s="110" t="n"/>
      <c r="H109" s="40" t="n"/>
      <c r="I109" s="110" t="n"/>
      <c r="J109" s="40" t="n"/>
      <c r="K109" s="40" t="n"/>
      <c r="L109" s="110" t="n"/>
      <c r="M109" s="40" t="n"/>
    </row>
    <row r="110">
      <c r="A110" s="47" t="n"/>
      <c r="B110" s="47" t="n"/>
      <c r="C110" s="47" t="n"/>
      <c r="D110" s="47" t="n"/>
      <c r="E110" s="47" t="n"/>
      <c r="F110" s="62" t="n"/>
      <c r="G110" s="112" t="n"/>
      <c r="H110" s="47" t="n"/>
      <c r="I110" s="112" t="n"/>
      <c r="J110" s="47" t="n"/>
      <c r="K110" s="47" t="n"/>
      <c r="L110" s="112" t="n"/>
      <c r="M110" s="47" t="n"/>
    </row>
    <row r="111">
      <c r="A111" s="40" t="n"/>
      <c r="B111" s="40" t="n"/>
      <c r="C111" s="40" t="n"/>
      <c r="D111" s="40" t="n"/>
      <c r="E111" s="40" t="n"/>
      <c r="F111" s="59" t="n"/>
      <c r="G111" s="110" t="n"/>
      <c r="H111" s="40" t="n"/>
      <c r="I111" s="110" t="n"/>
      <c r="J111" s="40" t="n"/>
      <c r="K111" s="40" t="n"/>
      <c r="L111" s="110" t="n"/>
      <c r="M111" s="40" t="n"/>
    </row>
    <row r="112">
      <c r="A112" s="47" t="n"/>
      <c r="B112" s="47" t="n"/>
      <c r="C112" s="47" t="n"/>
      <c r="D112" s="47" t="n"/>
      <c r="E112" s="47" t="n"/>
      <c r="F112" s="62" t="n"/>
      <c r="G112" s="112" t="n"/>
      <c r="H112" s="47" t="n"/>
      <c r="I112" s="112" t="n"/>
      <c r="J112" s="47" t="n"/>
      <c r="K112" s="47" t="n"/>
      <c r="L112" s="112" t="n"/>
      <c r="M112" s="47" t="n"/>
    </row>
    <row r="113">
      <c r="A113" s="40" t="n"/>
      <c r="B113" s="40" t="n"/>
      <c r="C113" s="40" t="n"/>
      <c r="D113" s="40" t="n"/>
      <c r="E113" s="40" t="n"/>
      <c r="F113" s="59" t="n"/>
      <c r="G113" s="110" t="n"/>
      <c r="H113" s="40" t="n"/>
      <c r="I113" s="110" t="n"/>
      <c r="J113" s="40" t="n"/>
      <c r="K113" s="40" t="n"/>
      <c r="L113" s="110" t="n"/>
      <c r="M113" s="40" t="n"/>
    </row>
    <row r="114">
      <c r="A114" s="47" t="n"/>
      <c r="B114" s="47" t="n"/>
      <c r="C114" s="47" t="n"/>
      <c r="D114" s="47" t="n"/>
      <c r="E114" s="47" t="n"/>
      <c r="F114" s="62" t="n"/>
      <c r="G114" s="112" t="n"/>
      <c r="H114" s="47" t="n"/>
      <c r="I114" s="112" t="n"/>
      <c r="J114" s="47" t="n"/>
      <c r="K114" s="47" t="n"/>
      <c r="L114" s="112" t="n"/>
      <c r="M114" s="47" t="n"/>
    </row>
    <row r="115">
      <c r="A115" s="40" t="n"/>
      <c r="B115" s="40" t="n"/>
      <c r="C115" s="40" t="n"/>
      <c r="D115" s="40" t="n"/>
      <c r="E115" s="40" t="n"/>
      <c r="F115" s="59" t="n"/>
      <c r="G115" s="110" t="n"/>
      <c r="H115" s="40" t="n"/>
      <c r="I115" s="110" t="n"/>
      <c r="J115" s="40" t="n"/>
      <c r="K115" s="40" t="n"/>
      <c r="L115" s="110" t="n"/>
      <c r="M115" s="40" t="n"/>
    </row>
    <row r="116">
      <c r="A116" s="47" t="n"/>
      <c r="B116" s="47" t="n"/>
      <c r="C116" s="47" t="n"/>
      <c r="D116" s="47" t="n"/>
      <c r="E116" s="47" t="n"/>
      <c r="F116" s="62" t="n"/>
      <c r="G116" s="112" t="n"/>
      <c r="H116" s="47" t="n"/>
      <c r="I116" s="112" t="n"/>
      <c r="J116" s="47" t="n"/>
      <c r="K116" s="47" t="n"/>
      <c r="L116" s="112" t="n"/>
      <c r="M116" s="47" t="n"/>
    </row>
    <row r="117">
      <c r="A117" s="40" t="n"/>
      <c r="B117" s="40" t="n"/>
      <c r="C117" s="40" t="n"/>
      <c r="D117" s="40" t="n"/>
      <c r="E117" s="40" t="n"/>
      <c r="F117" s="59" t="n"/>
      <c r="G117" s="110" t="n"/>
      <c r="H117" s="40" t="n"/>
      <c r="I117" s="110" t="n"/>
      <c r="J117" s="40" t="n"/>
      <c r="K117" s="40" t="n"/>
      <c r="L117" s="110" t="n"/>
      <c r="M117" s="40" t="n"/>
    </row>
    <row r="118">
      <c r="A118" s="47" t="n"/>
      <c r="B118" s="47" t="n"/>
      <c r="C118" s="47" t="n"/>
      <c r="D118" s="47" t="n"/>
      <c r="E118" s="47" t="n"/>
      <c r="F118" s="62" t="n"/>
      <c r="G118" s="112" t="n"/>
      <c r="H118" s="47" t="n"/>
      <c r="I118" s="112" t="n"/>
      <c r="J118" s="47" t="n"/>
      <c r="K118" s="47" t="n"/>
      <c r="L118" s="112" t="n"/>
      <c r="M118" s="47" t="n"/>
    </row>
    <row r="119">
      <c r="A119" s="40" t="n"/>
      <c r="B119" s="40" t="n"/>
      <c r="C119" s="40" t="n"/>
      <c r="D119" s="40" t="n"/>
      <c r="E119" s="40" t="n"/>
      <c r="F119" s="59" t="n"/>
      <c r="G119" s="110" t="n"/>
      <c r="H119" s="40" t="n"/>
      <c r="I119" s="110" t="n"/>
      <c r="J119" s="40" t="n"/>
      <c r="K119" s="40" t="n"/>
      <c r="L119" s="110" t="n"/>
      <c r="M119" s="40" t="n"/>
    </row>
    <row r="120">
      <c r="A120" s="47" t="n"/>
      <c r="B120" s="47" t="n"/>
      <c r="C120" s="47" t="n"/>
      <c r="D120" s="47" t="n"/>
      <c r="E120" s="47" t="n"/>
      <c r="F120" s="62" t="n"/>
      <c r="G120" s="112" t="n"/>
      <c r="H120" s="47" t="n"/>
      <c r="I120" s="112" t="n"/>
      <c r="J120" s="47" t="n"/>
      <c r="K120" s="47" t="n"/>
      <c r="L120" s="112" t="n"/>
      <c r="M120" s="47" t="n"/>
    </row>
    <row r="121">
      <c r="A121" s="40" t="n"/>
      <c r="B121" s="40" t="n"/>
      <c r="C121" s="40" t="n"/>
      <c r="D121" s="40" t="n"/>
      <c r="E121" s="40" t="n"/>
      <c r="F121" s="59" t="n"/>
      <c r="G121" s="110" t="n"/>
      <c r="H121" s="40" t="n"/>
      <c r="I121" s="110" t="n"/>
      <c r="J121" s="40" t="n"/>
      <c r="K121" s="40" t="n"/>
      <c r="L121" s="110" t="n"/>
      <c r="M121" s="40" t="n"/>
    </row>
    <row r="122">
      <c r="A122" s="47" t="n"/>
      <c r="B122" s="47" t="n"/>
      <c r="C122" s="47" t="n"/>
      <c r="D122" s="47" t="n"/>
      <c r="E122" s="47" t="n"/>
      <c r="F122" s="62" t="n"/>
      <c r="G122" s="112" t="n"/>
      <c r="H122" s="47" t="n"/>
      <c r="I122" s="112" t="n"/>
      <c r="J122" s="47" t="n"/>
      <c r="K122" s="47" t="n"/>
      <c r="L122" s="112" t="n"/>
      <c r="M122" s="47" t="n"/>
    </row>
    <row r="123">
      <c r="A123" s="40" t="n"/>
      <c r="B123" s="40" t="n"/>
      <c r="C123" s="40" t="n"/>
      <c r="D123" s="40" t="n"/>
      <c r="E123" s="40" t="n"/>
      <c r="F123" s="59" t="n"/>
      <c r="G123" s="110" t="n"/>
      <c r="H123" s="40" t="n"/>
      <c r="I123" s="110" t="n"/>
      <c r="J123" s="40" t="n"/>
      <c r="K123" s="40" t="n"/>
      <c r="L123" s="110" t="n"/>
      <c r="M123" s="40" t="n"/>
    </row>
    <row r="124">
      <c r="A124" s="47" t="n"/>
      <c r="B124" s="47" t="n"/>
      <c r="C124" s="47" t="n"/>
      <c r="D124" s="47" t="n"/>
      <c r="E124" s="47" t="n"/>
      <c r="F124" s="62" t="n"/>
      <c r="G124" s="112" t="n"/>
      <c r="H124" s="47" t="n"/>
      <c r="I124" s="112" t="n"/>
      <c r="J124" s="47" t="n"/>
      <c r="K124" s="47" t="n"/>
      <c r="L124" s="112" t="n"/>
      <c r="M124" s="47" t="n"/>
    </row>
    <row r="125">
      <c r="A125" s="40" t="n"/>
      <c r="B125" s="40" t="n"/>
      <c r="C125" s="40" t="n"/>
      <c r="D125" s="40" t="n"/>
      <c r="E125" s="40" t="n"/>
      <c r="F125" s="59" t="n"/>
      <c r="G125" s="110" t="n"/>
      <c r="H125" s="40" t="n"/>
      <c r="I125" s="110" t="n"/>
      <c r="J125" s="40" t="n"/>
      <c r="K125" s="40" t="n"/>
      <c r="L125" s="110" t="n"/>
      <c r="M125" s="40" t="n"/>
    </row>
    <row r="126">
      <c r="A126" s="47" t="n"/>
      <c r="B126" s="47" t="n"/>
      <c r="C126" s="47" t="n"/>
      <c r="D126" s="47" t="n"/>
      <c r="E126" s="47" t="n"/>
      <c r="F126" s="62" t="n"/>
      <c r="G126" s="112" t="n"/>
      <c r="H126" s="47" t="n"/>
      <c r="I126" s="112" t="n"/>
      <c r="J126" s="47" t="n"/>
      <c r="K126" s="47" t="n"/>
      <c r="L126" s="112" t="n"/>
      <c r="M126" s="47" t="n"/>
    </row>
    <row r="127">
      <c r="A127" s="40" t="n"/>
      <c r="B127" s="40" t="n"/>
      <c r="C127" s="40" t="n"/>
      <c r="D127" s="40" t="n"/>
      <c r="E127" s="40" t="n"/>
      <c r="F127" s="59" t="n"/>
      <c r="G127" s="110" t="n"/>
      <c r="H127" s="40" t="n"/>
      <c r="I127" s="110" t="n"/>
      <c r="J127" s="40" t="n"/>
      <c r="K127" s="40" t="n"/>
      <c r="L127" s="110" t="n"/>
      <c r="M127" s="40" t="n"/>
    </row>
    <row r="128">
      <c r="A128" s="47" t="n"/>
      <c r="B128" s="47" t="n"/>
      <c r="C128" s="47" t="n"/>
      <c r="D128" s="47" t="n"/>
      <c r="E128" s="47" t="n"/>
      <c r="F128" s="62" t="n"/>
      <c r="G128" s="112" t="n"/>
      <c r="H128" s="47" t="n"/>
      <c r="I128" s="112" t="n"/>
      <c r="J128" s="47" t="n"/>
      <c r="K128" s="47" t="n"/>
      <c r="L128" s="112" t="n"/>
      <c r="M128" s="47" t="n"/>
    </row>
    <row r="129">
      <c r="A129" s="40" t="n"/>
      <c r="B129" s="40" t="n"/>
      <c r="C129" s="40" t="n"/>
      <c r="D129" s="40" t="n"/>
      <c r="E129" s="40" t="n"/>
      <c r="F129" s="59" t="n"/>
      <c r="G129" s="110" t="n"/>
      <c r="H129" s="40" t="n"/>
      <c r="I129" s="110" t="n"/>
      <c r="J129" s="40" t="n"/>
      <c r="K129" s="40" t="n"/>
      <c r="L129" s="110" t="n"/>
      <c r="M129" s="40" t="n"/>
    </row>
    <row r="130">
      <c r="A130" s="47" t="n"/>
      <c r="B130" s="47" t="n"/>
      <c r="C130" s="47" t="n"/>
      <c r="D130" s="47" t="n"/>
      <c r="E130" s="47" t="n"/>
      <c r="F130" s="62" t="n"/>
      <c r="G130" s="112" t="n"/>
      <c r="H130" s="47" t="n"/>
      <c r="I130" s="112" t="n"/>
      <c r="J130" s="47" t="n"/>
      <c r="K130" s="47" t="n"/>
      <c r="L130" s="112" t="n"/>
      <c r="M130" s="47" t="n"/>
    </row>
    <row r="131">
      <c r="A131" s="40" t="n"/>
      <c r="B131" s="40" t="n"/>
      <c r="C131" s="40" t="n"/>
      <c r="D131" s="40" t="n"/>
      <c r="E131" s="40" t="n"/>
      <c r="F131" s="59" t="n"/>
      <c r="G131" s="110" t="n"/>
      <c r="H131" s="40" t="n"/>
      <c r="I131" s="110" t="n"/>
      <c r="J131" s="40" t="n"/>
      <c r="K131" s="40" t="n"/>
      <c r="L131" s="110" t="n"/>
      <c r="M131" s="40" t="n"/>
    </row>
    <row r="132">
      <c r="A132" s="47" t="n"/>
      <c r="B132" s="47" t="n"/>
      <c r="C132" s="47" t="n"/>
      <c r="D132" s="47" t="n"/>
      <c r="E132" s="47" t="n"/>
      <c r="F132" s="62" t="n"/>
      <c r="G132" s="112" t="n"/>
      <c r="H132" s="47" t="n"/>
      <c r="I132" s="112" t="n"/>
      <c r="J132" s="47" t="n"/>
      <c r="K132" s="47" t="n"/>
      <c r="L132" s="112" t="n"/>
      <c r="M132" s="47" t="n"/>
    </row>
    <row r="133">
      <c r="A133" s="40" t="n"/>
      <c r="B133" s="40" t="n"/>
      <c r="C133" s="40" t="n"/>
      <c r="D133" s="40" t="n"/>
      <c r="E133" s="40" t="n"/>
      <c r="F133" s="59" t="n"/>
      <c r="G133" s="110" t="n"/>
      <c r="H133" s="40" t="n"/>
      <c r="I133" s="110" t="n"/>
      <c r="J133" s="40" t="n"/>
      <c r="K133" s="40" t="n"/>
      <c r="L133" s="110" t="n"/>
      <c r="M133" s="40" t="n"/>
    </row>
    <row r="134">
      <c r="A134" s="47" t="n"/>
      <c r="B134" s="47" t="n"/>
      <c r="C134" s="47" t="n"/>
      <c r="D134" s="47" t="n"/>
      <c r="E134" s="47" t="n"/>
      <c r="F134" s="62" t="n"/>
      <c r="G134" s="112" t="n"/>
      <c r="H134" s="47" t="n"/>
      <c r="I134" s="112" t="n"/>
      <c r="J134" s="47" t="n"/>
      <c r="K134" s="47" t="n"/>
      <c r="L134" s="112" t="n"/>
      <c r="M134" s="47" t="n"/>
    </row>
    <row r="135">
      <c r="A135" s="40" t="n"/>
      <c r="B135" s="40" t="n"/>
      <c r="C135" s="40" t="n"/>
      <c r="D135" s="40" t="n"/>
      <c r="E135" s="40" t="n"/>
      <c r="F135" s="59" t="n"/>
      <c r="G135" s="110" t="n"/>
      <c r="H135" s="40" t="n"/>
      <c r="I135" s="110" t="n"/>
      <c r="J135" s="40" t="n"/>
      <c r="K135" s="40" t="n"/>
      <c r="L135" s="110" t="n"/>
      <c r="M135" s="40" t="n"/>
    </row>
    <row r="136">
      <c r="A136" s="47" t="n"/>
      <c r="B136" s="47" t="n"/>
      <c r="C136" s="47" t="n"/>
      <c r="D136" s="47" t="n"/>
      <c r="E136" s="47" t="n"/>
      <c r="F136" s="62" t="n"/>
      <c r="G136" s="112" t="n"/>
      <c r="H136" s="47" t="n"/>
      <c r="I136" s="112" t="n"/>
      <c r="J136" s="47" t="n"/>
      <c r="K136" s="47" t="n"/>
      <c r="L136" s="112" t="n"/>
      <c r="M136" s="47" t="n"/>
    </row>
    <row r="137">
      <c r="A137" s="40" t="n"/>
      <c r="B137" s="40" t="n"/>
      <c r="C137" s="40" t="n"/>
      <c r="D137" s="40" t="n"/>
      <c r="E137" s="40" t="n"/>
      <c r="F137" s="59" t="n"/>
      <c r="G137" s="110" t="n"/>
      <c r="H137" s="40" t="n"/>
      <c r="I137" s="110" t="n"/>
      <c r="J137" s="40" t="n"/>
      <c r="K137" s="40" t="n"/>
      <c r="L137" s="110" t="n"/>
      <c r="M137" s="40" t="n"/>
    </row>
    <row r="138">
      <c r="A138" s="47" t="n"/>
      <c r="B138" s="47" t="n"/>
      <c r="C138" s="47" t="n"/>
      <c r="D138" s="47" t="n"/>
      <c r="E138" s="47" t="n"/>
      <c r="F138" s="62" t="n"/>
      <c r="G138" s="112" t="n"/>
      <c r="H138" s="47" t="n"/>
      <c r="I138" s="112" t="n"/>
      <c r="J138" s="47" t="n"/>
      <c r="K138" s="47" t="n"/>
      <c r="L138" s="112" t="n"/>
      <c r="M138" s="47" t="n"/>
    </row>
    <row r="139">
      <c r="A139" s="40" t="n"/>
      <c r="B139" s="40" t="n"/>
      <c r="C139" s="40" t="n"/>
      <c r="D139" s="40" t="n"/>
      <c r="E139" s="40" t="n"/>
      <c r="F139" s="59" t="n"/>
      <c r="G139" s="110" t="n"/>
      <c r="H139" s="40" t="n"/>
      <c r="I139" s="110" t="n"/>
      <c r="J139" s="40" t="n"/>
      <c r="K139" s="40" t="n"/>
      <c r="L139" s="110" t="n"/>
      <c r="M139" s="40" t="n"/>
    </row>
    <row r="140">
      <c r="A140" s="47" t="n"/>
      <c r="B140" s="47" t="n"/>
      <c r="C140" s="47" t="n"/>
      <c r="D140" s="47" t="n"/>
      <c r="E140" s="47" t="n"/>
      <c r="F140" s="62" t="n"/>
      <c r="G140" s="112" t="n"/>
      <c r="H140" s="47" t="n"/>
      <c r="I140" s="112" t="n"/>
      <c r="J140" s="47" t="n"/>
      <c r="K140" s="47" t="n"/>
      <c r="L140" s="112" t="n"/>
      <c r="M140" s="47" t="n"/>
    </row>
    <row r="141">
      <c r="A141" s="40" t="n"/>
      <c r="B141" s="40" t="n"/>
      <c r="C141" s="40" t="n"/>
      <c r="D141" s="40" t="n"/>
      <c r="E141" s="40" t="n"/>
      <c r="F141" s="59" t="n"/>
      <c r="G141" s="110" t="n"/>
      <c r="H141" s="40" t="n"/>
      <c r="I141" s="110" t="n"/>
      <c r="J141" s="40" t="n"/>
      <c r="K141" s="40" t="n"/>
      <c r="L141" s="110" t="n"/>
      <c r="M141" s="40" t="n"/>
    </row>
    <row r="142">
      <c r="A142" s="47" t="n"/>
      <c r="B142" s="47" t="n"/>
      <c r="C142" s="47" t="n"/>
      <c r="D142" s="47" t="n"/>
      <c r="E142" s="47" t="n"/>
      <c r="F142" s="62" t="n"/>
      <c r="G142" s="112" t="n"/>
      <c r="H142" s="47" t="n"/>
      <c r="I142" s="112" t="n"/>
      <c r="J142" s="47" t="n"/>
      <c r="K142" s="47" t="n"/>
      <c r="L142" s="112" t="n"/>
      <c r="M142" s="47" t="n"/>
    </row>
    <row r="143">
      <c r="A143" s="40" t="n"/>
      <c r="B143" s="40" t="n"/>
      <c r="C143" s="40" t="n"/>
      <c r="D143" s="40" t="n"/>
      <c r="E143" s="40" t="n"/>
      <c r="F143" s="59" t="n"/>
      <c r="G143" s="110" t="n"/>
      <c r="H143" s="40" t="n"/>
      <c r="I143" s="110" t="n"/>
      <c r="J143" s="40" t="n"/>
      <c r="K143" s="40" t="n"/>
      <c r="L143" s="110" t="n"/>
      <c r="M143" s="40" t="n"/>
    </row>
    <row r="144">
      <c r="A144" s="47" t="n"/>
      <c r="B144" s="47" t="n"/>
      <c r="C144" s="47" t="n"/>
      <c r="D144" s="47" t="n"/>
      <c r="E144" s="47" t="n"/>
      <c r="F144" s="62" t="n"/>
      <c r="G144" s="112" t="n"/>
      <c r="H144" s="47" t="n"/>
      <c r="I144" s="112" t="n"/>
      <c r="J144" s="47" t="n"/>
      <c r="K144" s="47" t="n"/>
      <c r="L144" s="112" t="n"/>
      <c r="M144" s="47" t="n"/>
    </row>
    <row r="145">
      <c r="A145" s="40" t="n"/>
      <c r="B145" s="40" t="n"/>
      <c r="C145" s="40" t="n"/>
      <c r="D145" s="40" t="n"/>
      <c r="E145" s="40" t="n"/>
      <c r="F145" s="59" t="n"/>
      <c r="G145" s="110" t="n"/>
      <c r="H145" s="40" t="n"/>
      <c r="I145" s="110" t="n"/>
      <c r="J145" s="40" t="n"/>
      <c r="K145" s="40" t="n"/>
      <c r="L145" s="110" t="n"/>
      <c r="M145" s="40" t="n"/>
    </row>
    <row r="146">
      <c r="A146" s="47" t="n"/>
      <c r="B146" s="47" t="n"/>
      <c r="C146" s="47" t="n"/>
      <c r="D146" s="47" t="n"/>
      <c r="E146" s="47" t="n"/>
      <c r="F146" s="62" t="n"/>
      <c r="G146" s="112" t="n"/>
      <c r="H146" s="47" t="n"/>
      <c r="I146" s="112" t="n"/>
      <c r="J146" s="47" t="n"/>
      <c r="K146" s="47" t="n"/>
      <c r="L146" s="112" t="n"/>
      <c r="M146" s="47" t="n"/>
    </row>
    <row r="147">
      <c r="A147" s="40" t="n"/>
      <c r="B147" s="40" t="n"/>
      <c r="C147" s="40" t="n"/>
      <c r="D147" s="40" t="n"/>
      <c r="E147" s="40" t="n"/>
      <c r="F147" s="59" t="n"/>
      <c r="G147" s="110" t="n"/>
      <c r="H147" s="40" t="n"/>
      <c r="I147" s="110" t="n"/>
      <c r="J147" s="40" t="n"/>
      <c r="K147" s="40" t="n"/>
      <c r="L147" s="110" t="n"/>
      <c r="M147" s="40" t="n"/>
    </row>
    <row r="148">
      <c r="A148" s="47" t="n"/>
      <c r="B148" s="47" t="n"/>
      <c r="C148" s="47" t="n"/>
      <c r="D148" s="47" t="n"/>
      <c r="E148" s="47" t="n"/>
      <c r="F148" s="62" t="n"/>
      <c r="G148" s="112" t="n"/>
      <c r="H148" s="47" t="n"/>
      <c r="I148" s="112" t="n"/>
      <c r="J148" s="47" t="n"/>
      <c r="K148" s="47" t="n"/>
      <c r="L148" s="112" t="n"/>
      <c r="M148" s="47" t="n"/>
    </row>
    <row r="149">
      <c r="A149" s="40" t="n"/>
      <c r="B149" s="40" t="n"/>
      <c r="C149" s="40" t="n"/>
      <c r="D149" s="40" t="n"/>
      <c r="E149" s="40" t="n"/>
      <c r="F149" s="59" t="n"/>
      <c r="G149" s="110" t="n"/>
      <c r="H149" s="40" t="n"/>
      <c r="I149" s="110" t="n"/>
      <c r="J149" s="40" t="n"/>
      <c r="K149" s="40" t="n"/>
      <c r="L149" s="110" t="n"/>
      <c r="M149" s="40" t="n"/>
    </row>
    <row r="150">
      <c r="A150" s="47" t="n"/>
      <c r="B150" s="47" t="n"/>
      <c r="C150" s="47" t="n"/>
      <c r="D150" s="47" t="n"/>
      <c r="E150" s="47" t="n"/>
      <c r="F150" s="62" t="n"/>
      <c r="G150" s="112" t="n"/>
      <c r="H150" s="47" t="n"/>
      <c r="I150" s="112" t="n"/>
      <c r="J150" s="47" t="n"/>
      <c r="K150" s="47" t="n"/>
      <c r="L150" s="112" t="n"/>
      <c r="M150" s="47" t="n"/>
    </row>
    <row r="151">
      <c r="A151" s="40" t="n"/>
      <c r="B151" s="40" t="n"/>
      <c r="C151" s="40" t="n"/>
      <c r="D151" s="40" t="n"/>
      <c r="E151" s="40" t="n"/>
      <c r="F151" s="59" t="n"/>
      <c r="G151" s="110" t="n"/>
      <c r="H151" s="40" t="n"/>
      <c r="I151" s="110" t="n"/>
      <c r="J151" s="40" t="n"/>
      <c r="K151" s="40" t="n"/>
      <c r="L151" s="110" t="n"/>
      <c r="M151" s="40" t="n"/>
    </row>
    <row r="152">
      <c r="A152" s="47" t="n"/>
      <c r="B152" s="47" t="n"/>
      <c r="C152" s="47" t="n"/>
      <c r="D152" s="47" t="n"/>
      <c r="E152" s="47" t="n"/>
      <c r="F152" s="62" t="n"/>
      <c r="G152" s="112" t="n"/>
      <c r="H152" s="47" t="n"/>
      <c r="I152" s="112" t="n"/>
      <c r="J152" s="47" t="n"/>
      <c r="K152" s="47" t="n"/>
      <c r="L152" s="112" t="n"/>
      <c r="M152" s="47" t="n"/>
    </row>
    <row r="153">
      <c r="A153" s="40" t="n"/>
      <c r="B153" s="40" t="n"/>
      <c r="C153" s="40" t="n"/>
      <c r="D153" s="40" t="n"/>
      <c r="E153" s="40" t="n"/>
      <c r="F153" s="59" t="n"/>
      <c r="G153" s="110" t="n"/>
      <c r="H153" s="40" t="n"/>
      <c r="I153" s="110" t="n"/>
      <c r="J153" s="40" t="n"/>
      <c r="K153" s="40" t="n"/>
      <c r="L153" s="110" t="n"/>
      <c r="M153" s="40" t="n"/>
    </row>
    <row r="154">
      <c r="A154" s="47" t="n"/>
      <c r="B154" s="47" t="n"/>
      <c r="C154" s="47" t="n"/>
      <c r="D154" s="47" t="n"/>
      <c r="E154" s="47" t="n"/>
      <c r="F154" s="62" t="n"/>
      <c r="G154" s="112" t="n"/>
      <c r="H154" s="47" t="n"/>
      <c r="I154" s="112" t="n"/>
      <c r="J154" s="47" t="n"/>
      <c r="K154" s="47" t="n"/>
      <c r="L154" s="112" t="n"/>
      <c r="M154" s="47" t="n"/>
    </row>
    <row r="155">
      <c r="A155" s="40" t="n"/>
      <c r="B155" s="40" t="n"/>
      <c r="C155" s="40" t="n"/>
      <c r="D155" s="40" t="n"/>
      <c r="E155" s="40" t="n"/>
      <c r="F155" s="59" t="n"/>
      <c r="G155" s="110" t="n"/>
      <c r="H155" s="40" t="n"/>
      <c r="I155" s="110" t="n"/>
      <c r="J155" s="40" t="n"/>
      <c r="K155" s="40" t="n"/>
      <c r="L155" s="110" t="n"/>
      <c r="M155" s="40" t="n"/>
    </row>
    <row r="156">
      <c r="A156" s="47" t="n"/>
      <c r="B156" s="47" t="n"/>
      <c r="C156" s="47" t="n"/>
      <c r="D156" s="47" t="n"/>
      <c r="E156" s="47" t="n"/>
      <c r="F156" s="62" t="n"/>
      <c r="G156" s="112" t="n"/>
      <c r="H156" s="47" t="n"/>
      <c r="I156" s="112" t="n"/>
      <c r="J156" s="47" t="n"/>
      <c r="K156" s="47" t="n"/>
      <c r="L156" s="112" t="n"/>
      <c r="M156" s="47" t="n"/>
    </row>
    <row r="157">
      <c r="A157" s="40" t="n"/>
      <c r="B157" s="40" t="n"/>
      <c r="C157" s="40" t="n"/>
      <c r="D157" s="40" t="n"/>
      <c r="E157" s="40" t="n"/>
      <c r="F157" s="59" t="n"/>
      <c r="G157" s="110" t="n"/>
      <c r="H157" s="40" t="n"/>
      <c r="I157" s="110" t="n"/>
      <c r="J157" s="40" t="n"/>
      <c r="K157" s="40" t="n"/>
      <c r="L157" s="110" t="n"/>
      <c r="M157" s="40" t="n"/>
    </row>
    <row r="158">
      <c r="A158" s="47" t="n"/>
      <c r="B158" s="47" t="n"/>
      <c r="C158" s="47" t="n"/>
      <c r="D158" s="47" t="n"/>
      <c r="E158" s="47" t="n"/>
      <c r="F158" s="62" t="n"/>
      <c r="G158" s="112" t="n"/>
      <c r="H158" s="47" t="n"/>
      <c r="I158" s="112" t="n"/>
      <c r="J158" s="47" t="n"/>
      <c r="K158" s="47" t="n"/>
      <c r="L158" s="112" t="n"/>
      <c r="M158" s="47" t="n"/>
    </row>
    <row r="159">
      <c r="A159" s="40" t="n"/>
      <c r="B159" s="40" t="n"/>
      <c r="C159" s="40" t="n"/>
      <c r="D159" s="40" t="n"/>
      <c r="E159" s="40" t="n"/>
      <c r="F159" s="59" t="n"/>
      <c r="G159" s="110" t="n"/>
      <c r="H159" s="40" t="n"/>
      <c r="I159" s="110" t="n"/>
      <c r="J159" s="40" t="n"/>
      <c r="K159" s="40" t="n"/>
      <c r="L159" s="110" t="n"/>
      <c r="M159" s="40" t="n"/>
    </row>
    <row r="160">
      <c r="A160" s="47" t="n"/>
      <c r="B160" s="47" t="n"/>
      <c r="C160" s="47" t="n"/>
      <c r="D160" s="47" t="n"/>
      <c r="E160" s="47" t="n"/>
      <c r="F160" s="62" t="n"/>
      <c r="G160" s="112" t="n"/>
      <c r="H160" s="47" t="n"/>
      <c r="I160" s="112" t="n"/>
      <c r="J160" s="47" t="n"/>
      <c r="K160" s="47" t="n"/>
      <c r="L160" s="112" t="n"/>
      <c r="M160" s="47" t="n"/>
    </row>
    <row r="161">
      <c r="A161" s="40" t="n"/>
      <c r="B161" s="40" t="n"/>
      <c r="C161" s="40" t="n"/>
      <c r="D161" s="40" t="n"/>
      <c r="E161" s="40" t="n"/>
      <c r="F161" s="59" t="n"/>
      <c r="G161" s="110" t="n"/>
      <c r="H161" s="40" t="n"/>
      <c r="I161" s="110" t="n"/>
      <c r="J161" s="40" t="n"/>
      <c r="K161" s="40" t="n"/>
      <c r="L161" s="110" t="n"/>
      <c r="M161" s="40" t="n"/>
    </row>
    <row r="162">
      <c r="A162" s="47" t="n"/>
      <c r="B162" s="47" t="n"/>
      <c r="C162" s="47" t="n"/>
      <c r="D162" s="47" t="n"/>
      <c r="E162" s="47" t="n"/>
      <c r="F162" s="62" t="n"/>
      <c r="G162" s="112" t="n"/>
      <c r="H162" s="47" t="n"/>
      <c r="I162" s="112" t="n"/>
      <c r="J162" s="47" t="n"/>
      <c r="K162" s="47" t="n"/>
      <c r="L162" s="112" t="n"/>
      <c r="M162" s="47" t="n"/>
    </row>
    <row r="163">
      <c r="A163" s="40" t="n"/>
      <c r="B163" s="40" t="n"/>
      <c r="C163" s="40" t="n"/>
      <c r="D163" s="40" t="n"/>
      <c r="E163" s="40" t="n"/>
      <c r="F163" s="59" t="n"/>
      <c r="G163" s="110" t="n"/>
      <c r="H163" s="40" t="n"/>
      <c r="I163" s="110" t="n"/>
      <c r="J163" s="40" t="n"/>
      <c r="K163" s="40" t="n"/>
      <c r="L163" s="110" t="n"/>
      <c r="M163" s="40" t="n"/>
    </row>
    <row r="164">
      <c r="A164" s="47" t="n"/>
      <c r="B164" s="47" t="n"/>
      <c r="C164" s="47" t="n"/>
      <c r="D164" s="47" t="n"/>
      <c r="E164" s="47" t="n"/>
      <c r="F164" s="62" t="n"/>
      <c r="G164" s="112" t="n"/>
      <c r="H164" s="47" t="n"/>
      <c r="I164" s="112" t="n"/>
      <c r="J164" s="47" t="n"/>
      <c r="K164" s="47" t="n"/>
      <c r="L164" s="112" t="n"/>
      <c r="M164" s="47" t="n"/>
    </row>
    <row r="165">
      <c r="A165" s="40" t="n"/>
      <c r="B165" s="40" t="n"/>
      <c r="C165" s="40" t="n"/>
      <c r="D165" s="40" t="n"/>
      <c r="E165" s="40" t="n"/>
      <c r="F165" s="59" t="n"/>
      <c r="G165" s="110" t="n"/>
      <c r="H165" s="40" t="n"/>
      <c r="I165" s="110" t="n"/>
      <c r="J165" s="40" t="n"/>
      <c r="K165" s="40" t="n"/>
      <c r="L165" s="110" t="n"/>
      <c r="M165" s="40" t="n"/>
    </row>
    <row r="166">
      <c r="A166" s="47" t="n"/>
      <c r="B166" s="47" t="n"/>
      <c r="C166" s="47" t="n"/>
      <c r="D166" s="47" t="n"/>
      <c r="E166" s="47" t="n"/>
      <c r="F166" s="62" t="n"/>
      <c r="G166" s="112" t="n"/>
      <c r="H166" s="47" t="n"/>
      <c r="I166" s="112" t="n"/>
      <c r="J166" s="47" t="n"/>
      <c r="K166" s="47" t="n"/>
      <c r="L166" s="112" t="n"/>
      <c r="M166" s="47" t="n"/>
    </row>
    <row r="167">
      <c r="A167" s="40" t="n"/>
      <c r="B167" s="40" t="n"/>
      <c r="C167" s="40" t="n"/>
      <c r="D167" s="40" t="n"/>
      <c r="E167" s="40" t="n"/>
      <c r="F167" s="59" t="n"/>
      <c r="G167" s="110" t="n"/>
      <c r="H167" s="40" t="n"/>
      <c r="I167" s="110" t="n"/>
      <c r="J167" s="40" t="n"/>
      <c r="K167" s="40" t="n"/>
      <c r="L167" s="110" t="n"/>
      <c r="M167" s="40" t="n"/>
    </row>
    <row r="168">
      <c r="A168" s="47" t="n"/>
      <c r="B168" s="47" t="n"/>
      <c r="C168" s="47" t="n"/>
      <c r="D168" s="47" t="n"/>
      <c r="E168" s="47" t="n"/>
      <c r="F168" s="62" t="n"/>
      <c r="G168" s="112" t="n"/>
      <c r="H168" s="47" t="n"/>
      <c r="I168" s="112" t="n"/>
      <c r="J168" s="47" t="n"/>
      <c r="K168" s="47" t="n"/>
      <c r="L168" s="112" t="n"/>
      <c r="M168" s="47" t="n"/>
    </row>
    <row r="169">
      <c r="A169" s="40" t="n"/>
      <c r="B169" s="40" t="n"/>
      <c r="C169" s="40" t="n"/>
      <c r="D169" s="40" t="n"/>
      <c r="E169" s="40" t="n"/>
      <c r="F169" s="59" t="n"/>
      <c r="G169" s="110" t="n"/>
      <c r="H169" s="40" t="n"/>
      <c r="I169" s="110" t="n"/>
      <c r="J169" s="40" t="n"/>
      <c r="K169" s="40" t="n"/>
      <c r="L169" s="110" t="n"/>
      <c r="M169" s="40" t="n"/>
    </row>
    <row r="170">
      <c r="A170" s="47" t="n"/>
      <c r="B170" s="47" t="n"/>
      <c r="C170" s="47" t="n"/>
      <c r="D170" s="47" t="n"/>
      <c r="E170" s="47" t="n"/>
      <c r="F170" s="62" t="n"/>
      <c r="G170" s="112" t="n"/>
      <c r="H170" s="47" t="n"/>
      <c r="I170" s="112" t="n"/>
      <c r="J170" s="47" t="n"/>
      <c r="K170" s="47" t="n"/>
      <c r="L170" s="112" t="n"/>
      <c r="M170" s="47" t="n"/>
    </row>
    <row r="171">
      <c r="A171" s="40" t="n"/>
      <c r="B171" s="40" t="n"/>
      <c r="C171" s="40" t="n"/>
      <c r="D171" s="40" t="n"/>
      <c r="E171" s="40" t="n"/>
      <c r="F171" s="59" t="n"/>
      <c r="G171" s="110" t="n"/>
      <c r="H171" s="40" t="n"/>
      <c r="I171" s="110" t="n"/>
      <c r="J171" s="40" t="n"/>
      <c r="K171" s="40" t="n"/>
      <c r="L171" s="110" t="n"/>
      <c r="M171" s="40" t="n"/>
    </row>
    <row r="172">
      <c r="A172" s="47" t="n"/>
      <c r="B172" s="47" t="n"/>
      <c r="C172" s="47" t="n"/>
      <c r="D172" s="47" t="n"/>
      <c r="E172" s="47" t="n"/>
      <c r="F172" s="62" t="n"/>
      <c r="G172" s="112" t="n"/>
      <c r="H172" s="47" t="n"/>
      <c r="I172" s="112" t="n"/>
      <c r="J172" s="47" t="n"/>
      <c r="K172" s="47" t="n"/>
      <c r="L172" s="112" t="n"/>
      <c r="M172" s="47" t="n"/>
    </row>
    <row r="173">
      <c r="A173" s="40" t="n"/>
      <c r="B173" s="40" t="n"/>
      <c r="C173" s="40" t="n"/>
      <c r="D173" s="40" t="n"/>
      <c r="E173" s="40" t="n"/>
      <c r="F173" s="59" t="n"/>
      <c r="G173" s="110" t="n"/>
      <c r="H173" s="40" t="n"/>
      <c r="I173" s="110" t="n"/>
      <c r="J173" s="40" t="n"/>
      <c r="K173" s="40" t="n"/>
      <c r="L173" s="110" t="n"/>
      <c r="M173" s="40" t="n"/>
    </row>
    <row r="174">
      <c r="A174" s="47" t="n"/>
      <c r="B174" s="47" t="n"/>
      <c r="C174" s="47" t="n"/>
      <c r="D174" s="47" t="n"/>
      <c r="E174" s="47" t="n"/>
      <c r="F174" s="62" t="n"/>
      <c r="G174" s="112" t="n"/>
      <c r="H174" s="47" t="n"/>
      <c r="I174" s="112" t="n"/>
      <c r="J174" s="47" t="n"/>
      <c r="K174" s="47" t="n"/>
      <c r="L174" s="112" t="n"/>
      <c r="M174" s="47" t="n"/>
    </row>
    <row r="175">
      <c r="A175" s="40" t="n"/>
      <c r="B175" s="40" t="n"/>
      <c r="C175" s="40" t="n"/>
      <c r="D175" s="40" t="n"/>
      <c r="E175" s="40" t="n"/>
      <c r="F175" s="59" t="n"/>
      <c r="G175" s="110" t="n"/>
      <c r="H175" s="40" t="n"/>
      <c r="I175" s="110" t="n"/>
      <c r="J175" s="40" t="n"/>
      <c r="K175" s="40" t="n"/>
      <c r="L175" s="110" t="n"/>
      <c r="M175" s="40" t="n"/>
    </row>
    <row r="176">
      <c r="A176" s="47" t="n"/>
      <c r="B176" s="47" t="n"/>
      <c r="C176" s="47" t="n"/>
      <c r="D176" s="47" t="n"/>
      <c r="E176" s="47" t="n"/>
      <c r="F176" s="62" t="n"/>
      <c r="G176" s="112" t="n"/>
      <c r="H176" s="47" t="n"/>
      <c r="I176" s="112" t="n"/>
      <c r="J176" s="47" t="n"/>
      <c r="K176" s="47" t="n"/>
      <c r="L176" s="112" t="n"/>
      <c r="M176" s="47" t="n"/>
    </row>
    <row r="177">
      <c r="A177" s="40" t="n"/>
      <c r="B177" s="40" t="n"/>
      <c r="C177" s="40" t="n"/>
      <c r="D177" s="40" t="n"/>
      <c r="E177" s="40" t="n"/>
      <c r="F177" s="59" t="n"/>
      <c r="G177" s="110" t="n"/>
      <c r="H177" s="40" t="n"/>
      <c r="I177" s="110" t="n"/>
      <c r="J177" s="40" t="n"/>
      <c r="K177" s="40" t="n"/>
      <c r="L177" s="110" t="n"/>
      <c r="M177" s="40" t="n"/>
    </row>
    <row r="178">
      <c r="A178" s="47" t="n"/>
      <c r="B178" s="47" t="n"/>
      <c r="C178" s="47" t="n"/>
      <c r="D178" s="47" t="n"/>
      <c r="E178" s="47" t="n"/>
      <c r="F178" s="62" t="n"/>
      <c r="G178" s="112" t="n"/>
      <c r="H178" s="47" t="n"/>
      <c r="I178" s="112" t="n"/>
      <c r="J178" s="47" t="n"/>
      <c r="K178" s="47" t="n"/>
      <c r="L178" s="112" t="n"/>
      <c r="M178" s="47" t="n"/>
    </row>
    <row r="179">
      <c r="A179" s="40" t="n"/>
      <c r="B179" s="40" t="n"/>
      <c r="C179" s="40" t="n"/>
      <c r="D179" s="40" t="n"/>
      <c r="E179" s="40" t="n"/>
      <c r="F179" s="59" t="n"/>
      <c r="G179" s="110" t="n"/>
      <c r="H179" s="40" t="n"/>
      <c r="I179" s="110" t="n"/>
      <c r="J179" s="40" t="n"/>
      <c r="K179" s="40" t="n"/>
      <c r="L179" s="110" t="n"/>
      <c r="M179" s="40" t="n"/>
    </row>
    <row r="180">
      <c r="A180" s="47" t="n"/>
      <c r="B180" s="47" t="n"/>
      <c r="C180" s="47" t="n"/>
      <c r="D180" s="47" t="n"/>
      <c r="E180" s="47" t="n"/>
      <c r="F180" s="62" t="n"/>
      <c r="G180" s="112" t="n"/>
      <c r="H180" s="47" t="n"/>
      <c r="I180" s="112" t="n"/>
      <c r="J180" s="47" t="n"/>
      <c r="K180" s="47" t="n"/>
      <c r="L180" s="112" t="n"/>
      <c r="M180" s="47" t="n"/>
    </row>
    <row r="181">
      <c r="A181" s="40" t="n"/>
      <c r="B181" s="40" t="n"/>
      <c r="C181" s="40" t="n"/>
      <c r="D181" s="40" t="n"/>
      <c r="E181" s="40" t="n"/>
      <c r="F181" s="59" t="n"/>
      <c r="G181" s="110" t="n"/>
      <c r="H181" s="40" t="n"/>
      <c r="I181" s="110" t="n"/>
      <c r="J181" s="40" t="n"/>
      <c r="K181" s="40" t="n"/>
      <c r="L181" s="110" t="n"/>
      <c r="M181" s="40" t="n"/>
    </row>
    <row r="182">
      <c r="A182" s="47" t="n"/>
      <c r="B182" s="47" t="n"/>
      <c r="C182" s="47" t="n"/>
      <c r="D182" s="47" t="n"/>
      <c r="E182" s="47" t="n"/>
      <c r="F182" s="62" t="n"/>
      <c r="G182" s="112" t="n"/>
      <c r="H182" s="47" t="n"/>
      <c r="I182" s="112" t="n"/>
      <c r="J182" s="47" t="n"/>
      <c r="K182" s="47" t="n"/>
      <c r="L182" s="112" t="n"/>
      <c r="M182" s="47" t="n"/>
    </row>
    <row r="183">
      <c r="A183" s="40" t="n"/>
      <c r="B183" s="40" t="n"/>
      <c r="C183" s="40" t="n"/>
      <c r="D183" s="40" t="n"/>
      <c r="E183" s="40" t="n"/>
      <c r="F183" s="59" t="n"/>
      <c r="G183" s="110" t="n"/>
      <c r="H183" s="40" t="n"/>
      <c r="I183" s="110" t="n"/>
      <c r="J183" s="40" t="n"/>
      <c r="K183" s="40" t="n"/>
      <c r="L183" s="110" t="n"/>
      <c r="M183" s="40" t="n"/>
    </row>
    <row r="184">
      <c r="A184" s="47" t="n"/>
      <c r="B184" s="47" t="n"/>
      <c r="C184" s="47" t="n"/>
      <c r="D184" s="47" t="n"/>
      <c r="E184" s="47" t="n"/>
      <c r="F184" s="62" t="n"/>
      <c r="G184" s="112" t="n"/>
      <c r="H184" s="47" t="n"/>
      <c r="I184" s="112" t="n"/>
      <c r="J184" s="47" t="n"/>
      <c r="K184" s="47" t="n"/>
      <c r="L184" s="112" t="n"/>
      <c r="M184" s="47" t="n"/>
    </row>
    <row r="185">
      <c r="A185" s="40" t="n"/>
      <c r="B185" s="40" t="n"/>
      <c r="C185" s="40" t="n"/>
      <c r="D185" s="40" t="n"/>
      <c r="E185" s="40" t="n"/>
      <c r="F185" s="59" t="n"/>
      <c r="G185" s="110" t="n"/>
      <c r="H185" s="40" t="n"/>
      <c r="I185" s="110" t="n"/>
      <c r="J185" s="40" t="n"/>
      <c r="K185" s="40" t="n"/>
      <c r="L185" s="110" t="n"/>
      <c r="M185" s="40" t="n"/>
    </row>
    <row r="186">
      <c r="A186" s="47" t="n"/>
      <c r="B186" s="47" t="n"/>
      <c r="C186" s="47" t="n"/>
      <c r="D186" s="47" t="n"/>
      <c r="E186" s="47" t="n"/>
      <c r="F186" s="62" t="n"/>
      <c r="G186" s="112" t="n"/>
      <c r="H186" s="47" t="n"/>
      <c r="I186" s="112" t="n"/>
      <c r="J186" s="47" t="n"/>
      <c r="K186" s="47" t="n"/>
      <c r="L186" s="112" t="n"/>
      <c r="M186" s="47" t="n"/>
    </row>
    <row r="187">
      <c r="A187" s="40" t="n"/>
      <c r="B187" s="40" t="n"/>
      <c r="C187" s="40" t="n"/>
      <c r="D187" s="40" t="n"/>
      <c r="E187" s="40" t="n"/>
      <c r="F187" s="59" t="n"/>
      <c r="G187" s="110" t="n"/>
      <c r="H187" s="40" t="n"/>
      <c r="I187" s="110" t="n"/>
      <c r="J187" s="40" t="n"/>
      <c r="K187" s="40" t="n"/>
      <c r="L187" s="110" t="n"/>
      <c r="M187" s="40" t="n"/>
    </row>
    <row r="188">
      <c r="A188" s="47" t="n"/>
      <c r="B188" s="47" t="n"/>
      <c r="C188" s="47" t="n"/>
      <c r="D188" s="47" t="n"/>
      <c r="E188" s="47" t="n"/>
      <c r="F188" s="62" t="n"/>
      <c r="G188" s="112" t="n"/>
      <c r="H188" s="47" t="n"/>
      <c r="I188" s="112" t="n"/>
      <c r="J188" s="47" t="n"/>
      <c r="K188" s="47" t="n"/>
      <c r="L188" s="112" t="n"/>
      <c r="M188" s="47" t="n"/>
    </row>
    <row r="189">
      <c r="A189" s="40" t="n"/>
      <c r="B189" s="40" t="n"/>
      <c r="C189" s="40" t="n"/>
      <c r="D189" s="40" t="n"/>
      <c r="E189" s="40" t="n"/>
      <c r="F189" s="59" t="n"/>
      <c r="G189" s="110" t="n"/>
      <c r="H189" s="40" t="n"/>
      <c r="I189" s="110" t="n"/>
      <c r="J189" s="40" t="n"/>
      <c r="K189" s="40" t="n"/>
      <c r="L189" s="110" t="n"/>
      <c r="M189" s="40" t="n"/>
    </row>
    <row r="190">
      <c r="A190" s="47" t="n"/>
      <c r="B190" s="47" t="n"/>
      <c r="C190" s="47" t="n"/>
      <c r="D190" s="47" t="n"/>
      <c r="E190" s="47" t="n"/>
      <c r="F190" s="62" t="n"/>
      <c r="G190" s="112" t="n"/>
      <c r="H190" s="47" t="n"/>
      <c r="I190" s="112" t="n"/>
      <c r="J190" s="47" t="n"/>
      <c r="K190" s="47" t="n"/>
      <c r="L190" s="112" t="n"/>
      <c r="M190" s="47" t="n"/>
    </row>
    <row r="191">
      <c r="A191" s="40" t="n"/>
      <c r="B191" s="40" t="n"/>
      <c r="C191" s="40" t="n"/>
      <c r="D191" s="40" t="n"/>
      <c r="E191" s="40" t="n"/>
      <c r="F191" s="59" t="n"/>
      <c r="G191" s="110" t="n"/>
      <c r="H191" s="40" t="n"/>
      <c r="I191" s="110" t="n"/>
      <c r="J191" s="40" t="n"/>
      <c r="K191" s="40" t="n"/>
      <c r="L191" s="110" t="n"/>
      <c r="M191" s="40" t="n"/>
    </row>
    <row r="192">
      <c r="A192" s="47" t="n"/>
      <c r="B192" s="47" t="n"/>
      <c r="C192" s="47" t="n"/>
      <c r="D192" s="47" t="n"/>
      <c r="E192" s="47" t="n"/>
      <c r="F192" s="62" t="n"/>
      <c r="G192" s="112" t="n"/>
      <c r="H192" s="47" t="n"/>
      <c r="I192" s="112" t="n"/>
      <c r="J192" s="47" t="n"/>
      <c r="K192" s="47" t="n"/>
      <c r="L192" s="112" t="n"/>
      <c r="M192" s="47" t="n"/>
    </row>
    <row r="193">
      <c r="A193" s="40" t="n"/>
      <c r="B193" s="40" t="n"/>
      <c r="C193" s="40" t="n"/>
      <c r="D193" s="40" t="n"/>
      <c r="E193" s="40" t="n"/>
      <c r="F193" s="59" t="n"/>
      <c r="G193" s="110" t="n"/>
      <c r="H193" s="40" t="n"/>
      <c r="I193" s="110" t="n"/>
      <c r="J193" s="40" t="n"/>
      <c r="K193" s="40" t="n"/>
      <c r="L193" s="110" t="n"/>
      <c r="M193" s="40" t="n"/>
    </row>
    <row r="194">
      <c r="A194" s="47" t="n"/>
      <c r="B194" s="47" t="n"/>
      <c r="C194" s="47" t="n"/>
      <c r="D194" s="47" t="n"/>
      <c r="E194" s="47" t="n"/>
      <c r="F194" s="62" t="n"/>
      <c r="G194" s="112" t="n"/>
      <c r="H194" s="47" t="n"/>
      <c r="I194" s="112" t="n"/>
      <c r="J194" s="47" t="n"/>
      <c r="K194" s="47" t="n"/>
      <c r="L194" s="112" t="n"/>
      <c r="M194" s="47" t="n"/>
    </row>
    <row r="195">
      <c r="A195" s="40" t="n"/>
      <c r="B195" s="40" t="n"/>
      <c r="C195" s="40" t="n"/>
      <c r="D195" s="40" t="n"/>
      <c r="E195" s="40" t="n"/>
      <c r="F195" s="59" t="n"/>
      <c r="G195" s="110" t="n"/>
      <c r="H195" s="40" t="n"/>
      <c r="I195" s="110" t="n"/>
      <c r="J195" s="40" t="n"/>
      <c r="K195" s="40" t="n"/>
      <c r="L195" s="110" t="n"/>
      <c r="M195" s="40" t="n"/>
    </row>
    <row r="196">
      <c r="A196" s="47" t="n"/>
      <c r="B196" s="47" t="n"/>
      <c r="C196" s="47" t="n"/>
      <c r="D196" s="47" t="n"/>
      <c r="E196" s="47" t="n"/>
      <c r="F196" s="62" t="n"/>
      <c r="G196" s="112" t="n"/>
      <c r="H196" s="47" t="n"/>
      <c r="I196" s="112" t="n"/>
      <c r="J196" s="47" t="n"/>
      <c r="K196" s="47" t="n"/>
      <c r="L196" s="112" t="n"/>
      <c r="M196" s="47" t="n"/>
    </row>
    <row r="197">
      <c r="A197" s="40" t="n"/>
      <c r="B197" s="40" t="n"/>
      <c r="C197" s="40" t="n"/>
      <c r="D197" s="40" t="n"/>
      <c r="E197" s="40" t="n"/>
      <c r="F197" s="59" t="n"/>
      <c r="G197" s="110" t="n"/>
      <c r="H197" s="40" t="n"/>
      <c r="I197" s="110" t="n"/>
      <c r="J197" s="40" t="n"/>
      <c r="K197" s="40" t="n"/>
      <c r="L197" s="110" t="n"/>
      <c r="M197" s="40" t="n"/>
    </row>
    <row r="198">
      <c r="A198" s="47" t="n"/>
      <c r="B198" s="47" t="n"/>
      <c r="C198" s="47" t="n"/>
      <c r="D198" s="47" t="n"/>
      <c r="E198" s="47" t="n"/>
      <c r="F198" s="62" t="n"/>
      <c r="G198" s="112" t="n"/>
      <c r="H198" s="47" t="n"/>
      <c r="I198" s="112" t="n"/>
      <c r="J198" s="47" t="n"/>
      <c r="K198" s="47" t="n"/>
      <c r="L198" s="112" t="n"/>
      <c r="M198" s="47" t="n"/>
    </row>
    <row r="199">
      <c r="A199" s="40" t="n"/>
      <c r="B199" s="40" t="n"/>
      <c r="C199" s="40" t="n"/>
      <c r="D199" s="40" t="n"/>
      <c r="E199" s="40" t="n"/>
      <c r="F199" s="59" t="n"/>
      <c r="G199" s="110" t="n"/>
      <c r="H199" s="40" t="n"/>
      <c r="I199" s="110" t="n"/>
      <c r="J199" s="40" t="n"/>
      <c r="K199" s="40" t="n"/>
      <c r="L199" s="110" t="n"/>
      <c r="M199" s="40" t="n"/>
    </row>
    <row r="200">
      <c r="A200" s="47" t="n"/>
      <c r="B200" s="47" t="n"/>
      <c r="C200" s="47" t="n"/>
      <c r="D200" s="47" t="n"/>
      <c r="E200" s="47" t="n"/>
      <c r="F200" s="62" t="n"/>
      <c r="G200" s="112" t="n"/>
      <c r="H200" s="47" t="n"/>
      <c r="I200" s="112" t="n"/>
      <c r="J200" s="47" t="n"/>
      <c r="K200" s="47" t="n"/>
      <c r="L200" s="112" t="n"/>
      <c r="M200" s="47" t="n"/>
    </row>
    <row r="201">
      <c r="A201" s="40" t="n"/>
      <c r="B201" s="40" t="n"/>
      <c r="C201" s="40" t="n"/>
      <c r="D201" s="40" t="n"/>
      <c r="E201" s="40" t="n"/>
      <c r="F201" s="59" t="n"/>
      <c r="G201" s="110" t="n"/>
      <c r="H201" s="40" t="n"/>
      <c r="I201" s="110" t="n"/>
      <c r="J201" s="40" t="n"/>
      <c r="K201" s="40" t="n"/>
      <c r="L201" s="110" t="n"/>
      <c r="M201" s="40" t="n"/>
    </row>
    <row r="202">
      <c r="A202" s="47" t="n"/>
      <c r="B202" s="47" t="n"/>
      <c r="C202" s="47" t="n"/>
      <c r="D202" s="47" t="n"/>
      <c r="E202" s="47" t="n"/>
      <c r="F202" s="62" t="n"/>
      <c r="G202" s="112" t="n"/>
      <c r="H202" s="47" t="n"/>
      <c r="I202" s="112" t="n"/>
      <c r="J202" s="47" t="n"/>
      <c r="K202" s="47" t="n"/>
      <c r="L202" s="112" t="n"/>
      <c r="M202" s="47" t="n"/>
    </row>
    <row r="203">
      <c r="A203" s="40" t="n"/>
      <c r="B203" s="40" t="n"/>
      <c r="C203" s="40" t="n"/>
      <c r="D203" s="40" t="n"/>
      <c r="E203" s="40" t="n"/>
      <c r="F203" s="59" t="n"/>
      <c r="G203" s="110" t="n"/>
      <c r="H203" s="40" t="n"/>
      <c r="I203" s="110" t="n"/>
      <c r="J203" s="40" t="n"/>
      <c r="K203" s="40" t="n"/>
      <c r="L203" s="110" t="n"/>
      <c r="M203" s="40" t="n"/>
    </row>
    <row r="204">
      <c r="A204" s="47" t="n"/>
      <c r="B204" s="47" t="n"/>
      <c r="C204" s="47" t="n"/>
      <c r="D204" s="47" t="n"/>
      <c r="E204" s="47" t="n"/>
      <c r="F204" s="62" t="n"/>
      <c r="G204" s="112" t="n"/>
      <c r="H204" s="47" t="n"/>
      <c r="I204" s="112" t="n"/>
      <c r="J204" s="47" t="n"/>
      <c r="K204" s="47" t="n"/>
      <c r="L204" s="112" t="n"/>
      <c r="M204" s="47" t="n"/>
    </row>
    <row r="205">
      <c r="A205" s="40" t="n"/>
      <c r="B205" s="40" t="n"/>
      <c r="C205" s="40" t="n"/>
      <c r="D205" s="40" t="n"/>
      <c r="E205" s="40" t="n"/>
      <c r="F205" s="59" t="n"/>
      <c r="G205" s="110" t="n"/>
      <c r="H205" s="40" t="n"/>
      <c r="I205" s="110" t="n"/>
      <c r="J205" s="40" t="n"/>
      <c r="K205" s="40" t="n"/>
      <c r="L205" s="110" t="n"/>
      <c r="M205" s="40" t="n"/>
    </row>
    <row r="206">
      <c r="A206" s="47" t="n"/>
      <c r="B206" s="47" t="n"/>
      <c r="C206" s="47" t="n"/>
      <c r="D206" s="47" t="n"/>
      <c r="E206" s="47" t="n"/>
      <c r="F206" s="62" t="n"/>
      <c r="G206" s="112" t="n"/>
      <c r="H206" s="47" t="n"/>
      <c r="I206" s="112" t="n"/>
      <c r="J206" s="47" t="n"/>
      <c r="K206" s="47" t="n"/>
      <c r="L206" s="112" t="n"/>
      <c r="M206" s="47" t="n"/>
    </row>
    <row r="207">
      <c r="A207" s="40" t="n"/>
      <c r="B207" s="40" t="n"/>
      <c r="C207" s="40" t="n"/>
      <c r="D207" s="40" t="n"/>
      <c r="E207" s="40" t="n"/>
      <c r="F207" s="59" t="n"/>
      <c r="G207" s="110" t="n"/>
      <c r="H207" s="40" t="n"/>
      <c r="I207" s="110" t="n"/>
      <c r="J207" s="40" t="n"/>
      <c r="K207" s="40" t="n"/>
      <c r="L207" s="110" t="n"/>
      <c r="M207" s="40" t="n"/>
    </row>
    <row r="208">
      <c r="A208" s="47" t="n"/>
      <c r="B208" s="47" t="n"/>
      <c r="C208" s="47" t="n"/>
      <c r="D208" s="47" t="n"/>
      <c r="E208" s="47" t="n"/>
      <c r="F208" s="62" t="n"/>
      <c r="G208" s="112" t="n"/>
      <c r="H208" s="47" t="n"/>
      <c r="I208" s="112" t="n"/>
      <c r="J208" s="47" t="n"/>
      <c r="K208" s="47" t="n"/>
      <c r="L208" s="112" t="n"/>
      <c r="M208" s="47" t="n"/>
    </row>
    <row r="209">
      <c r="A209" s="40" t="n"/>
      <c r="B209" s="40" t="n"/>
      <c r="C209" s="40" t="n"/>
      <c r="D209" s="40" t="n"/>
      <c r="E209" s="40" t="n"/>
      <c r="F209" s="59" t="n"/>
      <c r="G209" s="110" t="n"/>
      <c r="H209" s="40" t="n"/>
      <c r="I209" s="110" t="n"/>
      <c r="J209" s="40" t="n"/>
      <c r="K209" s="40" t="n"/>
      <c r="L209" s="110" t="n"/>
      <c r="M209" s="40" t="n"/>
    </row>
    <row r="210">
      <c r="A210" s="47" t="n"/>
      <c r="B210" s="47" t="n"/>
      <c r="C210" s="47" t="n"/>
      <c r="D210" s="47" t="n"/>
      <c r="E210" s="47" t="n"/>
      <c r="F210" s="62" t="n"/>
      <c r="G210" s="112" t="n"/>
      <c r="H210" s="47" t="n"/>
      <c r="I210" s="112" t="n"/>
      <c r="J210" s="47" t="n"/>
      <c r="K210" s="47" t="n"/>
      <c r="L210" s="112" t="n"/>
      <c r="M210" s="47" t="n"/>
    </row>
    <row r="211">
      <c r="A211" s="40" t="n"/>
      <c r="B211" s="40" t="n"/>
      <c r="C211" s="40" t="n"/>
      <c r="D211" s="40" t="n"/>
      <c r="E211" s="40" t="n"/>
      <c r="F211" s="59" t="n"/>
      <c r="G211" s="110" t="n"/>
      <c r="H211" s="40" t="n"/>
      <c r="I211" s="110" t="n"/>
      <c r="J211" s="40" t="n"/>
      <c r="K211" s="40" t="n"/>
      <c r="L211" s="110" t="n"/>
      <c r="M211" s="40" t="n"/>
    </row>
    <row r="212">
      <c r="A212" s="47" t="n"/>
      <c r="B212" s="47" t="n"/>
      <c r="C212" s="47" t="n"/>
      <c r="D212" s="47" t="n"/>
      <c r="E212" s="47" t="n"/>
      <c r="F212" s="62" t="n"/>
      <c r="G212" s="112" t="n"/>
      <c r="H212" s="47" t="n"/>
      <c r="I212" s="112" t="n"/>
      <c r="J212" s="47" t="n"/>
      <c r="K212" s="47" t="n"/>
      <c r="L212" s="112" t="n"/>
      <c r="M212" s="47" t="n"/>
    </row>
    <row r="213">
      <c r="A213" s="40" t="n"/>
      <c r="B213" s="40" t="n"/>
      <c r="C213" s="40" t="n"/>
      <c r="D213" s="40" t="n"/>
      <c r="E213" s="40" t="n"/>
      <c r="F213" s="59" t="n"/>
      <c r="G213" s="110" t="n"/>
      <c r="H213" s="40" t="n"/>
      <c r="I213" s="110" t="n"/>
      <c r="J213" s="40" t="n"/>
      <c r="K213" s="40" t="n"/>
      <c r="L213" s="110" t="n"/>
      <c r="M213" s="40" t="n"/>
    </row>
    <row r="214">
      <c r="A214" s="47" t="n"/>
      <c r="B214" s="47" t="n"/>
      <c r="C214" s="47" t="n"/>
      <c r="D214" s="47" t="n"/>
      <c r="E214" s="47" t="n"/>
      <c r="F214" s="62" t="n"/>
      <c r="G214" s="112" t="n"/>
      <c r="H214" s="47" t="n"/>
      <c r="I214" s="112" t="n"/>
      <c r="J214" s="47" t="n"/>
      <c r="K214" s="47" t="n"/>
      <c r="L214" s="112" t="n"/>
      <c r="M214" s="47" t="n"/>
    </row>
    <row r="215">
      <c r="A215" s="40" t="n"/>
      <c r="B215" s="40" t="n"/>
      <c r="C215" s="40" t="n"/>
      <c r="D215" s="40" t="n"/>
      <c r="E215" s="40" t="n"/>
      <c r="F215" s="59" t="n"/>
      <c r="G215" s="110" t="n"/>
      <c r="H215" s="40" t="n"/>
      <c r="I215" s="110" t="n"/>
      <c r="J215" s="40" t="n"/>
      <c r="K215" s="40" t="n"/>
      <c r="L215" s="110" t="n"/>
      <c r="M215" s="40" t="n"/>
    </row>
    <row r="216">
      <c r="A216" s="47" t="n"/>
      <c r="B216" s="47" t="n"/>
      <c r="C216" s="47" t="n"/>
      <c r="D216" s="47" t="n"/>
      <c r="E216" s="47" t="n"/>
      <c r="F216" s="62" t="n"/>
      <c r="G216" s="112" t="n"/>
      <c r="H216" s="47" t="n"/>
      <c r="I216" s="112" t="n"/>
      <c r="J216" s="47" t="n"/>
      <c r="K216" s="47" t="n"/>
      <c r="L216" s="112" t="n"/>
      <c r="M216" s="47" t="n"/>
    </row>
    <row r="217">
      <c r="A217" s="40" t="n"/>
      <c r="B217" s="40" t="n"/>
      <c r="C217" s="40" t="n"/>
      <c r="D217" s="40" t="n"/>
      <c r="E217" s="40" t="n"/>
      <c r="F217" s="59" t="n"/>
      <c r="G217" s="110" t="n"/>
      <c r="H217" s="40" t="n"/>
      <c r="I217" s="110" t="n"/>
      <c r="J217" s="40" t="n"/>
      <c r="K217" s="40" t="n"/>
      <c r="L217" s="110" t="n"/>
      <c r="M217" s="40" t="n"/>
    </row>
    <row r="218">
      <c r="A218" s="47" t="n"/>
      <c r="B218" s="47" t="n"/>
      <c r="C218" s="47" t="n"/>
      <c r="D218" s="47" t="n"/>
      <c r="E218" s="47" t="n"/>
      <c r="F218" s="62" t="n"/>
      <c r="G218" s="112" t="n"/>
      <c r="H218" s="47" t="n"/>
      <c r="I218" s="112" t="n"/>
      <c r="J218" s="47" t="n"/>
      <c r="K218" s="47" t="n"/>
      <c r="L218" s="112" t="n"/>
      <c r="M218" s="47" t="n"/>
    </row>
    <row r="219">
      <c r="A219" s="40" t="n"/>
      <c r="B219" s="40" t="n"/>
      <c r="C219" s="40" t="n"/>
      <c r="D219" s="40" t="n"/>
      <c r="E219" s="40" t="n"/>
      <c r="F219" s="59" t="n"/>
      <c r="G219" s="110" t="n"/>
      <c r="H219" s="40" t="n"/>
      <c r="I219" s="110" t="n"/>
      <c r="J219" s="40" t="n"/>
      <c r="K219" s="40" t="n"/>
      <c r="L219" s="110" t="n"/>
      <c r="M219" s="40" t="n"/>
    </row>
    <row r="220">
      <c r="A220" s="47" t="n"/>
      <c r="B220" s="47" t="n"/>
      <c r="C220" s="47" t="n"/>
      <c r="D220" s="47" t="n"/>
      <c r="E220" s="47" t="n"/>
      <c r="F220" s="62" t="n"/>
      <c r="G220" s="112" t="n"/>
      <c r="H220" s="47" t="n"/>
      <c r="I220" s="112" t="n"/>
      <c r="J220" s="47" t="n"/>
      <c r="K220" s="47" t="n"/>
      <c r="L220" s="112" t="n"/>
      <c r="M220" s="47" t="n"/>
    </row>
    <row r="221">
      <c r="A221" s="40" t="n"/>
      <c r="B221" s="40" t="n"/>
      <c r="C221" s="40" t="n"/>
      <c r="D221" s="40" t="n"/>
      <c r="E221" s="40" t="n"/>
      <c r="F221" s="59" t="n"/>
      <c r="G221" s="110" t="n"/>
      <c r="H221" s="40" t="n"/>
      <c r="I221" s="110" t="n"/>
      <c r="J221" s="40" t="n"/>
      <c r="K221" s="40" t="n"/>
      <c r="L221" s="110" t="n"/>
      <c r="M221" s="40" t="n"/>
    </row>
    <row r="222">
      <c r="A222" s="47" t="n"/>
      <c r="B222" s="47" t="n"/>
      <c r="C222" s="47" t="n"/>
      <c r="D222" s="47" t="n"/>
      <c r="E222" s="47" t="n"/>
      <c r="F222" s="62" t="n"/>
      <c r="G222" s="112" t="n"/>
      <c r="H222" s="47" t="n"/>
      <c r="I222" s="112" t="n"/>
      <c r="J222" s="47" t="n"/>
      <c r="K222" s="47" t="n"/>
      <c r="L222" s="112" t="n"/>
      <c r="M222" s="47" t="n"/>
    </row>
    <row r="223">
      <c r="A223" s="40" t="n"/>
      <c r="B223" s="40" t="n"/>
      <c r="C223" s="40" t="n"/>
      <c r="D223" s="40" t="n"/>
      <c r="E223" s="40" t="n"/>
      <c r="F223" s="59" t="n"/>
      <c r="G223" s="110" t="n"/>
      <c r="H223" s="40" t="n"/>
      <c r="I223" s="110" t="n"/>
      <c r="J223" s="40" t="n"/>
      <c r="K223" s="40" t="n"/>
      <c r="L223" s="110" t="n"/>
      <c r="M223" s="40" t="n"/>
    </row>
    <row r="224">
      <c r="A224" s="47" t="n"/>
      <c r="B224" s="47" t="n"/>
      <c r="C224" s="47" t="n"/>
      <c r="D224" s="47" t="n"/>
      <c r="E224" s="47" t="n"/>
      <c r="F224" s="62" t="n"/>
      <c r="G224" s="112" t="n"/>
      <c r="H224" s="47" t="n"/>
      <c r="I224" s="112" t="n"/>
      <c r="J224" s="47" t="n"/>
      <c r="K224" s="47" t="n"/>
      <c r="L224" s="112" t="n"/>
      <c r="M224" s="47" t="n"/>
    </row>
    <row r="225">
      <c r="A225" s="40" t="n"/>
      <c r="B225" s="40" t="n"/>
      <c r="C225" s="40" t="n"/>
      <c r="D225" s="40" t="n"/>
      <c r="E225" s="40" t="n"/>
      <c r="F225" s="59" t="n"/>
      <c r="G225" s="110" t="n"/>
      <c r="H225" s="40" t="n"/>
      <c r="I225" s="110" t="n"/>
      <c r="J225" s="40" t="n"/>
      <c r="K225" s="40" t="n"/>
      <c r="L225" s="110" t="n"/>
      <c r="M225" s="40" t="n"/>
    </row>
    <row r="226">
      <c r="A226" s="47" t="n"/>
      <c r="B226" s="47" t="n"/>
      <c r="C226" s="47" t="n"/>
      <c r="D226" s="47" t="n"/>
      <c r="E226" s="47" t="n"/>
      <c r="F226" s="62" t="n"/>
      <c r="G226" s="112" t="n"/>
      <c r="H226" s="47" t="n"/>
      <c r="I226" s="112" t="n"/>
      <c r="J226" s="47" t="n"/>
      <c r="K226" s="47" t="n"/>
      <c r="L226" s="112" t="n"/>
      <c r="M226" s="47" t="n"/>
    </row>
    <row r="227">
      <c r="A227" s="40" t="n"/>
      <c r="B227" s="40" t="n"/>
      <c r="C227" s="40" t="n"/>
      <c r="D227" s="40" t="n"/>
      <c r="E227" s="40" t="n"/>
      <c r="F227" s="59" t="n"/>
      <c r="G227" s="110" t="n"/>
      <c r="H227" s="40" t="n"/>
      <c r="I227" s="110" t="n"/>
      <c r="J227" s="40" t="n"/>
      <c r="K227" s="40" t="n"/>
      <c r="L227" s="110" t="n"/>
      <c r="M227" s="40" t="n"/>
    </row>
    <row r="228">
      <c r="A228" s="47" t="n"/>
      <c r="B228" s="47" t="n"/>
      <c r="C228" s="47" t="n"/>
      <c r="D228" s="47" t="n"/>
      <c r="E228" s="47" t="n"/>
      <c r="F228" s="62" t="n"/>
      <c r="G228" s="112" t="n"/>
      <c r="H228" s="47" t="n"/>
      <c r="I228" s="112" t="n"/>
      <c r="J228" s="47" t="n"/>
      <c r="K228" s="47" t="n"/>
      <c r="L228" s="112" t="n"/>
      <c r="M228" s="47" t="n"/>
    </row>
    <row r="229">
      <c r="A229" s="40" t="n"/>
      <c r="B229" s="40" t="n"/>
      <c r="C229" s="40" t="n"/>
      <c r="D229" s="40" t="n"/>
      <c r="E229" s="40" t="n"/>
      <c r="F229" s="59" t="n"/>
      <c r="G229" s="110" t="n"/>
      <c r="H229" s="40" t="n"/>
      <c r="I229" s="110" t="n"/>
      <c r="J229" s="40" t="n"/>
      <c r="K229" s="40" t="n"/>
      <c r="L229" s="110" t="n"/>
      <c r="M229" s="40" t="n"/>
    </row>
    <row r="230">
      <c r="A230" s="47" t="n"/>
      <c r="B230" s="47" t="n"/>
      <c r="C230" s="47" t="n"/>
      <c r="D230" s="47" t="n"/>
      <c r="E230" s="47" t="n"/>
      <c r="F230" s="62" t="n"/>
      <c r="G230" s="112" t="n"/>
      <c r="H230" s="47" t="n"/>
      <c r="I230" s="112" t="n"/>
      <c r="J230" s="47" t="n"/>
      <c r="K230" s="47" t="n"/>
      <c r="L230" s="112" t="n"/>
      <c r="M230" s="47" t="n"/>
    </row>
    <row r="231">
      <c r="A231" s="40" t="n"/>
      <c r="B231" s="40" t="n"/>
      <c r="C231" s="40" t="n"/>
      <c r="D231" s="40" t="n"/>
      <c r="E231" s="40" t="n"/>
      <c r="F231" s="59" t="n"/>
      <c r="G231" s="110" t="n"/>
      <c r="H231" s="40" t="n"/>
      <c r="I231" s="110" t="n"/>
      <c r="J231" s="40" t="n"/>
      <c r="K231" s="40" t="n"/>
      <c r="L231" s="110" t="n"/>
      <c r="M231" s="40" t="n"/>
    </row>
    <row r="232">
      <c r="A232" s="47" t="n"/>
      <c r="B232" s="47" t="n"/>
      <c r="C232" s="47" t="n"/>
      <c r="D232" s="47" t="n"/>
      <c r="E232" s="47" t="n"/>
      <c r="F232" s="62" t="n"/>
      <c r="G232" s="112" t="n"/>
      <c r="H232" s="47" t="n"/>
      <c r="I232" s="112" t="n"/>
      <c r="J232" s="47" t="n"/>
      <c r="K232" s="47" t="n"/>
      <c r="L232" s="112" t="n"/>
      <c r="M232" s="47" t="n"/>
    </row>
    <row r="233">
      <c r="A233" s="40" t="n"/>
      <c r="B233" s="40" t="n"/>
      <c r="C233" s="40" t="n"/>
      <c r="D233" s="40" t="n"/>
      <c r="E233" s="40" t="n"/>
      <c r="F233" s="59" t="n"/>
      <c r="G233" s="110" t="n"/>
      <c r="H233" s="40" t="n"/>
      <c r="I233" s="110" t="n"/>
      <c r="J233" s="40" t="n"/>
      <c r="K233" s="40" t="n"/>
      <c r="L233" s="110" t="n"/>
      <c r="M233" s="40" t="n"/>
    </row>
    <row r="234">
      <c r="A234" s="47" t="n"/>
      <c r="B234" s="47" t="n"/>
      <c r="C234" s="47" t="n"/>
      <c r="D234" s="47" t="n"/>
      <c r="E234" s="47" t="n"/>
      <c r="F234" s="62" t="n"/>
      <c r="G234" s="112" t="n"/>
      <c r="H234" s="47" t="n"/>
      <c r="I234" s="112" t="n"/>
      <c r="J234" s="47" t="n"/>
      <c r="K234" s="47" t="n"/>
      <c r="L234" s="112" t="n"/>
      <c r="M234" s="47" t="n"/>
    </row>
    <row r="235">
      <c r="A235" s="40" t="n"/>
      <c r="B235" s="40" t="n"/>
      <c r="C235" s="40" t="n"/>
      <c r="D235" s="40" t="n"/>
      <c r="E235" s="40" t="n"/>
      <c r="F235" s="59" t="n"/>
      <c r="G235" s="110" t="n"/>
      <c r="H235" s="40" t="n"/>
      <c r="I235" s="110" t="n"/>
      <c r="J235" s="40" t="n"/>
      <c r="K235" s="40" t="n"/>
      <c r="L235" s="110" t="n"/>
      <c r="M235" s="40" t="n"/>
    </row>
    <row r="236">
      <c r="A236" s="47" t="n"/>
      <c r="B236" s="47" t="n"/>
      <c r="C236" s="47" t="n"/>
      <c r="D236" s="47" t="n"/>
      <c r="E236" s="47" t="n"/>
      <c r="F236" s="62" t="n"/>
      <c r="G236" s="112" t="n"/>
      <c r="H236" s="47" t="n"/>
      <c r="I236" s="112" t="n"/>
      <c r="J236" s="47" t="n"/>
      <c r="K236" s="47" t="n"/>
      <c r="L236" s="112" t="n"/>
      <c r="M236" s="47" t="n"/>
    </row>
    <row r="237">
      <c r="A237" s="40" t="n"/>
      <c r="B237" s="40" t="n"/>
      <c r="C237" s="40" t="n"/>
      <c r="D237" s="40" t="n"/>
      <c r="E237" s="40" t="n"/>
      <c r="F237" s="59" t="n"/>
      <c r="G237" s="110" t="n"/>
      <c r="H237" s="40" t="n"/>
      <c r="I237" s="110" t="n"/>
      <c r="J237" s="40" t="n"/>
      <c r="K237" s="40" t="n"/>
      <c r="L237" s="110" t="n"/>
      <c r="M237" s="40" t="n"/>
    </row>
    <row r="238">
      <c r="A238" s="47" t="n"/>
      <c r="B238" s="47" t="n"/>
      <c r="C238" s="47" t="n"/>
      <c r="D238" s="47" t="n"/>
      <c r="E238" s="47" t="n"/>
      <c r="F238" s="62" t="n"/>
      <c r="G238" s="112" t="n"/>
      <c r="H238" s="47" t="n"/>
      <c r="I238" s="112" t="n"/>
      <c r="J238" s="47" t="n"/>
      <c r="K238" s="47" t="n"/>
      <c r="L238" s="112" t="n"/>
      <c r="M238" s="47" t="n"/>
    </row>
    <row r="239">
      <c r="A239" s="40" t="n"/>
      <c r="B239" s="40" t="n"/>
      <c r="C239" s="40" t="n"/>
      <c r="D239" s="40" t="n"/>
      <c r="E239" s="40" t="n"/>
      <c r="F239" s="59" t="n"/>
      <c r="G239" s="110" t="n"/>
      <c r="H239" s="40" t="n"/>
      <c r="I239" s="110" t="n"/>
      <c r="J239" s="40" t="n"/>
      <c r="K239" s="40" t="n"/>
      <c r="L239" s="110" t="n"/>
      <c r="M239" s="40" t="n"/>
    </row>
    <row r="240">
      <c r="A240" s="47" t="n"/>
      <c r="B240" s="47" t="n"/>
      <c r="C240" s="47" t="n"/>
      <c r="D240" s="47" t="n"/>
      <c r="E240" s="47" t="n"/>
      <c r="F240" s="62" t="n"/>
      <c r="G240" s="112" t="n"/>
      <c r="H240" s="47" t="n"/>
      <c r="I240" s="112" t="n"/>
      <c r="J240" s="47" t="n"/>
      <c r="K240" s="47" t="n"/>
      <c r="L240" s="112" t="n"/>
      <c r="M240" s="47" t="n"/>
    </row>
    <row r="241">
      <c r="A241" s="40" t="n"/>
      <c r="B241" s="40" t="n"/>
      <c r="C241" s="40" t="n"/>
      <c r="D241" s="40" t="n"/>
      <c r="E241" s="40" t="n"/>
      <c r="F241" s="59" t="n"/>
      <c r="G241" s="110" t="n"/>
      <c r="H241" s="40" t="n"/>
      <c r="I241" s="110" t="n"/>
      <c r="J241" s="40" t="n"/>
      <c r="K241" s="40" t="n"/>
      <c r="L241" s="110" t="n"/>
      <c r="M241" s="40" t="n"/>
    </row>
    <row r="242">
      <c r="A242" s="47" t="n"/>
      <c r="B242" s="47" t="n"/>
      <c r="C242" s="47" t="n"/>
      <c r="D242" s="47" t="n"/>
      <c r="E242" s="47" t="n"/>
      <c r="F242" s="62" t="n"/>
      <c r="G242" s="112" t="n"/>
      <c r="H242" s="47" t="n"/>
      <c r="I242" s="112" t="n"/>
      <c r="J242" s="47" t="n"/>
      <c r="K242" s="47" t="n"/>
      <c r="L242" s="112" t="n"/>
      <c r="M242" s="47" t="n"/>
    </row>
    <row r="243">
      <c r="A243" s="40" t="n"/>
      <c r="B243" s="40" t="n"/>
      <c r="C243" s="40" t="n"/>
      <c r="D243" s="40" t="n"/>
      <c r="E243" s="40" t="n"/>
      <c r="F243" s="59" t="n"/>
      <c r="G243" s="110" t="n"/>
      <c r="H243" s="40" t="n"/>
      <c r="I243" s="110" t="n"/>
      <c r="J243" s="40" t="n"/>
      <c r="K243" s="40" t="n"/>
      <c r="L243" s="110" t="n"/>
      <c r="M243" s="40" t="n"/>
    </row>
    <row r="244">
      <c r="A244" s="47" t="n"/>
      <c r="B244" s="47" t="n"/>
      <c r="C244" s="47" t="n"/>
      <c r="D244" s="47" t="n"/>
      <c r="E244" s="47" t="n"/>
      <c r="F244" s="62" t="n"/>
      <c r="G244" s="112" t="n"/>
      <c r="H244" s="47" t="n"/>
      <c r="I244" s="112" t="n"/>
      <c r="J244" s="47" t="n"/>
      <c r="K244" s="47" t="n"/>
      <c r="L244" s="112" t="n"/>
      <c r="M244" s="47" t="n"/>
    </row>
    <row r="245">
      <c r="A245" s="40" t="n"/>
      <c r="B245" s="40" t="n"/>
      <c r="C245" s="40" t="n"/>
      <c r="D245" s="40" t="n"/>
      <c r="E245" s="40" t="n"/>
      <c r="F245" s="59" t="n"/>
      <c r="G245" s="110" t="n"/>
      <c r="H245" s="40" t="n"/>
      <c r="I245" s="110" t="n"/>
      <c r="J245" s="40" t="n"/>
      <c r="K245" s="40" t="n"/>
      <c r="L245" s="110" t="n"/>
      <c r="M245" s="40" t="n"/>
    </row>
    <row r="246">
      <c r="A246" s="47" t="n"/>
      <c r="B246" s="47" t="n"/>
      <c r="C246" s="47" t="n"/>
      <c r="D246" s="47" t="n"/>
      <c r="E246" s="47" t="n"/>
      <c r="F246" s="62" t="n"/>
      <c r="G246" s="112" t="n"/>
      <c r="H246" s="47" t="n"/>
      <c r="I246" s="112" t="n"/>
      <c r="J246" s="47" t="n"/>
      <c r="K246" s="47" t="n"/>
      <c r="L246" s="112" t="n"/>
      <c r="M246" s="47" t="n"/>
    </row>
    <row r="247">
      <c r="A247" s="40" t="n"/>
      <c r="B247" s="40" t="n"/>
      <c r="C247" s="40" t="n"/>
      <c r="D247" s="40" t="n"/>
      <c r="E247" s="40" t="n"/>
      <c r="F247" s="59" t="n"/>
      <c r="G247" s="110" t="n"/>
      <c r="H247" s="40" t="n"/>
      <c r="I247" s="110" t="n"/>
      <c r="J247" s="40" t="n"/>
      <c r="K247" s="40" t="n"/>
      <c r="L247" s="110" t="n"/>
      <c r="M247" s="40" t="n"/>
    </row>
    <row r="248">
      <c r="A248" s="47" t="n"/>
      <c r="B248" s="47" t="n"/>
      <c r="C248" s="47" t="n"/>
      <c r="D248" s="47" t="n"/>
      <c r="E248" s="47" t="n"/>
      <c r="F248" s="62" t="n"/>
      <c r="G248" s="112" t="n"/>
      <c r="H248" s="47" t="n"/>
      <c r="I248" s="112" t="n"/>
      <c r="J248" s="47" t="n"/>
      <c r="K248" s="47" t="n"/>
      <c r="L248" s="112" t="n"/>
      <c r="M248" s="47" t="n"/>
    </row>
    <row r="249">
      <c r="A249" s="40" t="n"/>
      <c r="B249" s="40" t="n"/>
      <c r="C249" s="40" t="n"/>
      <c r="D249" s="40" t="n"/>
      <c r="E249" s="40" t="n"/>
      <c r="F249" s="59" t="n"/>
      <c r="G249" s="110" t="n"/>
      <c r="H249" s="40" t="n"/>
      <c r="I249" s="110" t="n"/>
      <c r="J249" s="40" t="n"/>
      <c r="K249" s="40" t="n"/>
      <c r="L249" s="110" t="n"/>
      <c r="M249" s="40" t="n"/>
    </row>
    <row r="250">
      <c r="A250" s="47" t="n"/>
      <c r="B250" s="47" t="n"/>
      <c r="C250" s="47" t="n"/>
      <c r="D250" s="47" t="n"/>
      <c r="E250" s="47" t="n"/>
      <c r="F250" s="62" t="n"/>
      <c r="G250" s="112" t="n"/>
      <c r="H250" s="47" t="n"/>
      <c r="I250" s="112" t="n"/>
      <c r="J250" s="47" t="n"/>
      <c r="K250" s="47" t="n"/>
      <c r="L250" s="112" t="n"/>
      <c r="M250" s="47" t="n"/>
    </row>
    <row r="251">
      <c r="A251" s="40" t="n"/>
      <c r="B251" s="40" t="n"/>
      <c r="C251" s="40" t="n"/>
      <c r="D251" s="40" t="n"/>
      <c r="E251" s="40" t="n"/>
      <c r="F251" s="59" t="n"/>
      <c r="G251" s="110" t="n"/>
      <c r="H251" s="40" t="n"/>
      <c r="I251" s="110" t="n"/>
      <c r="J251" s="40" t="n"/>
      <c r="K251" s="40" t="n"/>
      <c r="L251" s="110" t="n"/>
      <c r="M251" s="40" t="n"/>
    </row>
    <row r="252">
      <c r="A252" s="47" t="n"/>
      <c r="B252" s="47" t="n"/>
      <c r="C252" s="47" t="n"/>
      <c r="D252" s="47" t="n"/>
      <c r="E252" s="47" t="n"/>
      <c r="F252" s="62" t="n"/>
      <c r="G252" s="112" t="n"/>
      <c r="H252" s="47" t="n"/>
      <c r="I252" s="112" t="n"/>
      <c r="J252" s="47" t="n"/>
      <c r="K252" s="47" t="n"/>
      <c r="L252" s="112" t="n"/>
      <c r="M252" s="47" t="n"/>
    </row>
    <row r="253">
      <c r="A253" s="40" t="n"/>
      <c r="B253" s="40" t="n"/>
      <c r="C253" s="40" t="n"/>
      <c r="D253" s="40" t="n"/>
      <c r="E253" s="40" t="n"/>
      <c r="F253" s="59" t="n"/>
      <c r="G253" s="110" t="n"/>
      <c r="H253" s="40" t="n"/>
      <c r="I253" s="110" t="n"/>
      <c r="J253" s="40" t="n"/>
      <c r="K253" s="40" t="n"/>
      <c r="L253" s="110" t="n"/>
      <c r="M253" s="40" t="n"/>
    </row>
    <row r="254">
      <c r="A254" s="47" t="n"/>
      <c r="B254" s="47" t="n"/>
      <c r="C254" s="47" t="n"/>
      <c r="D254" s="47" t="n"/>
      <c r="E254" s="47" t="n"/>
      <c r="F254" s="62" t="n"/>
      <c r="G254" s="112" t="n"/>
      <c r="H254" s="47" t="n"/>
      <c r="I254" s="112" t="n"/>
      <c r="J254" s="47" t="n"/>
      <c r="K254" s="47" t="n"/>
      <c r="L254" s="112" t="n"/>
      <c r="M254" s="47" t="n"/>
    </row>
    <row r="255">
      <c r="A255" s="40" t="n"/>
      <c r="B255" s="40" t="n"/>
      <c r="C255" s="40" t="n"/>
      <c r="D255" s="40" t="n"/>
      <c r="E255" s="40" t="n"/>
      <c r="F255" s="59" t="n"/>
      <c r="G255" s="110" t="n"/>
      <c r="H255" s="40" t="n"/>
      <c r="I255" s="110" t="n"/>
      <c r="J255" s="40" t="n"/>
      <c r="K255" s="40" t="n"/>
      <c r="L255" s="110" t="n"/>
      <c r="M255" s="40" t="n"/>
    </row>
    <row r="256">
      <c r="A256" s="47" t="n"/>
      <c r="B256" s="47" t="n"/>
      <c r="C256" s="47" t="n"/>
      <c r="D256" s="47" t="n"/>
      <c r="E256" s="47" t="n"/>
      <c r="F256" s="62" t="n"/>
      <c r="G256" s="112" t="n"/>
      <c r="H256" s="47" t="n"/>
      <c r="I256" s="112" t="n"/>
      <c r="J256" s="47" t="n"/>
      <c r="K256" s="47" t="n"/>
      <c r="L256" s="112" t="n"/>
      <c r="M256" s="47" t="n"/>
    </row>
    <row r="257">
      <c r="A257" s="40" t="n"/>
      <c r="B257" s="40" t="n"/>
      <c r="C257" s="40" t="n"/>
      <c r="D257" s="40" t="n"/>
      <c r="E257" s="40" t="n"/>
      <c r="F257" s="59" t="n"/>
      <c r="G257" s="110" t="n"/>
      <c r="H257" s="40" t="n"/>
      <c r="I257" s="110" t="n"/>
      <c r="J257" s="40" t="n"/>
      <c r="K257" s="40" t="n"/>
      <c r="L257" s="110" t="n"/>
      <c r="M257" s="40" t="n"/>
    </row>
    <row r="258">
      <c r="A258" s="47" t="n"/>
      <c r="B258" s="47" t="n"/>
      <c r="C258" s="47" t="n"/>
      <c r="D258" s="47" t="n"/>
      <c r="E258" s="47" t="n"/>
      <c r="F258" s="62" t="n"/>
      <c r="G258" s="112" t="n"/>
      <c r="H258" s="47" t="n"/>
      <c r="I258" s="112" t="n"/>
      <c r="J258" s="47" t="n"/>
      <c r="K258" s="47" t="n"/>
      <c r="L258" s="112" t="n"/>
      <c r="M258" s="47" t="n"/>
    </row>
    <row r="259">
      <c r="A259" s="40" t="n"/>
      <c r="B259" s="40" t="n"/>
      <c r="C259" s="40" t="n"/>
      <c r="D259" s="40" t="n"/>
      <c r="E259" s="40" t="n"/>
      <c r="F259" s="59" t="n"/>
      <c r="G259" s="110" t="n"/>
      <c r="H259" s="40" t="n"/>
      <c r="I259" s="110" t="n"/>
      <c r="J259" s="40" t="n"/>
      <c r="K259" s="40" t="n"/>
      <c r="L259" s="110" t="n"/>
      <c r="M259" s="40" t="n"/>
    </row>
    <row r="260">
      <c r="A260" s="47" t="n"/>
      <c r="B260" s="47" t="n"/>
      <c r="C260" s="47" t="n"/>
      <c r="D260" s="47" t="n"/>
      <c r="E260" s="47" t="n"/>
      <c r="F260" s="62" t="n"/>
      <c r="G260" s="112" t="n"/>
      <c r="H260" s="47" t="n"/>
      <c r="I260" s="112" t="n"/>
      <c r="J260" s="47" t="n"/>
      <c r="K260" s="47" t="n"/>
      <c r="L260" s="112" t="n"/>
      <c r="M260" s="47" t="n"/>
    </row>
    <row r="261">
      <c r="A261" s="40" t="n"/>
      <c r="B261" s="40" t="n"/>
      <c r="C261" s="40" t="n"/>
      <c r="D261" s="40" t="n"/>
      <c r="E261" s="40" t="n"/>
      <c r="F261" s="59" t="n"/>
      <c r="G261" s="110" t="n"/>
      <c r="H261" s="40" t="n"/>
      <c r="I261" s="110" t="n"/>
      <c r="J261" s="40" t="n"/>
      <c r="K261" s="40" t="n"/>
      <c r="L261" s="110" t="n"/>
      <c r="M261" s="40" t="n"/>
    </row>
    <row r="262">
      <c r="A262" s="47" t="n"/>
      <c r="B262" s="47" t="n"/>
      <c r="C262" s="47" t="n"/>
      <c r="D262" s="47" t="n"/>
      <c r="E262" s="47" t="n"/>
      <c r="F262" s="62" t="n"/>
      <c r="G262" s="112" t="n"/>
      <c r="H262" s="47" t="n"/>
      <c r="I262" s="112" t="n"/>
      <c r="J262" s="47" t="n"/>
      <c r="K262" s="47" t="n"/>
      <c r="L262" s="112" t="n"/>
      <c r="M262" s="47" t="n"/>
    </row>
    <row r="263">
      <c r="A263" s="40" t="n"/>
      <c r="B263" s="40" t="n"/>
      <c r="C263" s="40" t="n"/>
      <c r="D263" s="40" t="n"/>
      <c r="E263" s="40" t="n"/>
      <c r="F263" s="59" t="n"/>
      <c r="G263" s="110" t="n"/>
      <c r="H263" s="40" t="n"/>
      <c r="I263" s="110" t="n"/>
      <c r="J263" s="40" t="n"/>
      <c r="K263" s="40" t="n"/>
      <c r="L263" s="110" t="n"/>
      <c r="M263" s="40" t="n"/>
    </row>
    <row r="264">
      <c r="A264" s="47" t="n"/>
      <c r="B264" s="47" t="n"/>
      <c r="C264" s="47" t="n"/>
      <c r="D264" s="47" t="n"/>
      <c r="E264" s="47" t="n"/>
      <c r="F264" s="62" t="n"/>
      <c r="G264" s="112" t="n"/>
      <c r="H264" s="47" t="n"/>
      <c r="I264" s="112" t="n"/>
      <c r="J264" s="47" t="n"/>
      <c r="K264" s="47" t="n"/>
      <c r="L264" s="112" t="n"/>
      <c r="M264" s="47" t="n"/>
    </row>
    <row r="265">
      <c r="A265" s="40" t="n"/>
      <c r="B265" s="40" t="n"/>
      <c r="C265" s="40" t="n"/>
      <c r="D265" s="40" t="n"/>
      <c r="E265" s="40" t="n"/>
      <c r="F265" s="59" t="n"/>
      <c r="G265" s="110" t="n"/>
      <c r="H265" s="40" t="n"/>
      <c r="I265" s="110" t="n"/>
      <c r="J265" s="40" t="n"/>
      <c r="K265" s="40" t="n"/>
      <c r="L265" s="110" t="n"/>
      <c r="M265" s="40" t="n"/>
    </row>
    <row r="266">
      <c r="A266" s="47" t="n"/>
      <c r="B266" s="47" t="n"/>
      <c r="C266" s="47" t="n"/>
      <c r="D266" s="47" t="n"/>
      <c r="E266" s="47" t="n"/>
      <c r="F266" s="62" t="n"/>
      <c r="G266" s="112" t="n"/>
      <c r="H266" s="47" t="n"/>
      <c r="I266" s="112" t="n"/>
      <c r="J266" s="47" t="n"/>
      <c r="K266" s="47" t="n"/>
      <c r="L266" s="112" t="n"/>
      <c r="M266" s="47" t="n"/>
    </row>
    <row r="267">
      <c r="A267" s="40" t="n"/>
      <c r="B267" s="40" t="n"/>
      <c r="C267" s="40" t="n"/>
      <c r="D267" s="40" t="n"/>
      <c r="E267" s="40" t="n"/>
      <c r="F267" s="59" t="n"/>
      <c r="G267" s="110" t="n"/>
      <c r="H267" s="40" t="n"/>
      <c r="I267" s="110" t="n"/>
      <c r="J267" s="40" t="n"/>
      <c r="K267" s="40" t="n"/>
      <c r="L267" s="110" t="n"/>
      <c r="M267" s="40" t="n"/>
    </row>
    <row r="268">
      <c r="A268" s="47" t="n"/>
      <c r="B268" s="47" t="n"/>
      <c r="C268" s="47" t="n"/>
      <c r="D268" s="47" t="n"/>
      <c r="E268" s="47" t="n"/>
      <c r="F268" s="62" t="n"/>
      <c r="G268" s="112" t="n"/>
      <c r="H268" s="47" t="n"/>
      <c r="I268" s="112" t="n"/>
      <c r="J268" s="47" t="n"/>
      <c r="K268" s="47" t="n"/>
      <c r="L268" s="112" t="n"/>
      <c r="M268" s="47" t="n"/>
    </row>
    <row r="269">
      <c r="A269" s="40" t="n"/>
      <c r="B269" s="40" t="n"/>
      <c r="C269" s="40" t="n"/>
      <c r="D269" s="40" t="n"/>
      <c r="E269" s="40" t="n"/>
      <c r="F269" s="59" t="n"/>
      <c r="G269" s="110" t="n"/>
      <c r="H269" s="40" t="n"/>
      <c r="I269" s="110" t="n"/>
      <c r="J269" s="40" t="n"/>
      <c r="K269" s="40" t="n"/>
      <c r="L269" s="110" t="n"/>
      <c r="M269" s="40" t="n"/>
    </row>
    <row r="270">
      <c r="A270" s="47" t="n"/>
      <c r="B270" s="47" t="n"/>
      <c r="C270" s="47" t="n"/>
      <c r="D270" s="47" t="n"/>
      <c r="E270" s="47" t="n"/>
      <c r="F270" s="62" t="n"/>
      <c r="G270" s="112" t="n"/>
      <c r="H270" s="47" t="n"/>
      <c r="I270" s="112" t="n"/>
      <c r="J270" s="47" t="n"/>
      <c r="K270" s="47" t="n"/>
      <c r="L270" s="112" t="n"/>
      <c r="M270" s="47" t="n"/>
    </row>
    <row r="271">
      <c r="A271" s="40" t="n"/>
      <c r="B271" s="40" t="n"/>
      <c r="C271" s="40" t="n"/>
      <c r="D271" s="40" t="n"/>
      <c r="E271" s="40" t="n"/>
      <c r="F271" s="59" t="n"/>
      <c r="G271" s="110" t="n"/>
      <c r="H271" s="40" t="n"/>
      <c r="I271" s="110" t="n"/>
      <c r="J271" s="40" t="n"/>
      <c r="K271" s="40" t="n"/>
      <c r="L271" s="110" t="n"/>
      <c r="M271" s="40" t="n"/>
    </row>
    <row r="272">
      <c r="A272" s="47" t="n"/>
      <c r="B272" s="47" t="n"/>
      <c r="C272" s="47" t="n"/>
      <c r="D272" s="47" t="n"/>
      <c r="E272" s="47" t="n"/>
      <c r="F272" s="62" t="n"/>
      <c r="G272" s="112" t="n"/>
      <c r="H272" s="47" t="n"/>
      <c r="I272" s="112" t="n"/>
      <c r="J272" s="47" t="n"/>
      <c r="K272" s="47" t="n"/>
      <c r="L272" s="112" t="n"/>
      <c r="M272" s="47" t="n"/>
    </row>
    <row r="273">
      <c r="A273" s="40" t="n"/>
      <c r="B273" s="40" t="n"/>
      <c r="C273" s="40" t="n"/>
      <c r="D273" s="40" t="n"/>
      <c r="E273" s="40" t="n"/>
      <c r="F273" s="59" t="n"/>
      <c r="G273" s="110" t="n"/>
      <c r="H273" s="40" t="n"/>
      <c r="I273" s="110" t="n"/>
      <c r="J273" s="40" t="n"/>
      <c r="K273" s="40" t="n"/>
      <c r="L273" s="110" t="n"/>
      <c r="M273" s="40" t="n"/>
    </row>
    <row r="274">
      <c r="A274" s="47" t="n"/>
      <c r="B274" s="47" t="n"/>
      <c r="C274" s="47" t="n"/>
      <c r="D274" s="47" t="n"/>
      <c r="E274" s="47" t="n"/>
      <c r="F274" s="62" t="n"/>
      <c r="G274" s="112" t="n"/>
      <c r="H274" s="47" t="n"/>
      <c r="I274" s="112" t="n"/>
      <c r="J274" s="47" t="n"/>
      <c r="K274" s="47" t="n"/>
      <c r="L274" s="112" t="n"/>
      <c r="M274" s="47" t="n"/>
    </row>
    <row r="275">
      <c r="A275" s="40" t="n"/>
      <c r="B275" s="40" t="n"/>
      <c r="C275" s="40" t="n"/>
      <c r="D275" s="40" t="n"/>
      <c r="E275" s="40" t="n"/>
      <c r="F275" s="59" t="n"/>
      <c r="G275" s="110" t="n"/>
      <c r="H275" s="40" t="n"/>
      <c r="I275" s="110" t="n"/>
      <c r="J275" s="40" t="n"/>
      <c r="K275" s="40" t="n"/>
      <c r="L275" s="110" t="n"/>
      <c r="M275" s="40" t="n"/>
    </row>
    <row r="276">
      <c r="A276" s="47" t="n"/>
      <c r="B276" s="47" t="n"/>
      <c r="C276" s="47" t="n"/>
      <c r="D276" s="47" t="n"/>
      <c r="E276" s="47" t="n"/>
      <c r="F276" s="62" t="n"/>
      <c r="G276" s="112" t="n"/>
      <c r="H276" s="47" t="n"/>
      <c r="I276" s="112" t="n"/>
      <c r="J276" s="47" t="n"/>
      <c r="K276" s="47" t="n"/>
      <c r="L276" s="112" t="n"/>
      <c r="M276" s="47" t="n"/>
    </row>
    <row r="277">
      <c r="A277" s="40" t="n"/>
      <c r="B277" s="40" t="n"/>
      <c r="C277" s="40" t="n"/>
      <c r="D277" s="40" t="n"/>
      <c r="E277" s="40" t="n"/>
      <c r="F277" s="59" t="n"/>
      <c r="G277" s="110" t="n"/>
      <c r="H277" s="40" t="n"/>
      <c r="I277" s="110" t="n"/>
      <c r="J277" s="40" t="n"/>
      <c r="K277" s="40" t="n"/>
      <c r="L277" s="110" t="n"/>
      <c r="M277" s="40" t="n"/>
    </row>
    <row r="278">
      <c r="A278" s="47" t="n"/>
      <c r="B278" s="47" t="n"/>
      <c r="C278" s="47" t="n"/>
      <c r="D278" s="47" t="n"/>
      <c r="E278" s="47" t="n"/>
      <c r="F278" s="62" t="n"/>
      <c r="G278" s="112" t="n"/>
      <c r="H278" s="47" t="n"/>
      <c r="I278" s="112" t="n"/>
      <c r="J278" s="47" t="n"/>
      <c r="K278" s="47" t="n"/>
      <c r="L278" s="112" t="n"/>
      <c r="M278" s="47" t="n"/>
    </row>
    <row r="279">
      <c r="A279" s="40" t="n"/>
      <c r="B279" s="40" t="n"/>
      <c r="C279" s="40" t="n"/>
      <c r="D279" s="40" t="n"/>
      <c r="E279" s="40" t="n"/>
      <c r="F279" s="59" t="n"/>
      <c r="G279" s="110" t="n"/>
      <c r="H279" s="40" t="n"/>
      <c r="I279" s="110" t="n"/>
      <c r="J279" s="40" t="n"/>
      <c r="K279" s="40" t="n"/>
      <c r="L279" s="110" t="n"/>
      <c r="M279" s="40" t="n"/>
    </row>
    <row r="280">
      <c r="A280" s="47" t="n"/>
      <c r="B280" s="47" t="n"/>
      <c r="C280" s="47" t="n"/>
      <c r="D280" s="47" t="n"/>
      <c r="E280" s="47" t="n"/>
      <c r="F280" s="62" t="n"/>
      <c r="G280" s="112" t="n"/>
      <c r="H280" s="47" t="n"/>
      <c r="I280" s="112" t="n"/>
      <c r="J280" s="47" t="n"/>
      <c r="K280" s="47" t="n"/>
      <c r="L280" s="112" t="n"/>
      <c r="M280" s="47" t="n"/>
    </row>
    <row r="281">
      <c r="A281" s="40" t="n"/>
      <c r="B281" s="40" t="n"/>
      <c r="C281" s="40" t="n"/>
      <c r="D281" s="40" t="n"/>
      <c r="E281" s="40" t="n"/>
      <c r="F281" s="59" t="n"/>
      <c r="G281" s="110" t="n"/>
      <c r="H281" s="40" t="n"/>
      <c r="I281" s="110" t="n"/>
      <c r="J281" s="40" t="n"/>
      <c r="K281" s="40" t="n"/>
      <c r="L281" s="110" t="n"/>
      <c r="M281" s="40" t="n"/>
    </row>
    <row r="282">
      <c r="A282" s="47" t="n"/>
      <c r="B282" s="47" t="n"/>
      <c r="C282" s="47" t="n"/>
      <c r="D282" s="47" t="n"/>
      <c r="E282" s="47" t="n"/>
      <c r="F282" s="62" t="n"/>
      <c r="G282" s="112" t="n"/>
      <c r="H282" s="47" t="n"/>
      <c r="I282" s="112" t="n"/>
      <c r="J282" s="47" t="n"/>
      <c r="K282" s="47" t="n"/>
      <c r="L282" s="112" t="n"/>
      <c r="M282" s="47" t="n"/>
    </row>
    <row r="283">
      <c r="A283" s="40" t="n"/>
      <c r="B283" s="40" t="n"/>
      <c r="C283" s="40" t="n"/>
      <c r="D283" s="40" t="n"/>
      <c r="E283" s="40" t="n"/>
      <c r="F283" s="59" t="n"/>
      <c r="G283" s="110" t="n"/>
      <c r="H283" s="40" t="n"/>
      <c r="I283" s="110" t="n"/>
      <c r="J283" s="40" t="n"/>
      <c r="K283" s="40" t="n"/>
      <c r="L283" s="110" t="n"/>
      <c r="M283" s="40" t="n"/>
    </row>
    <row r="284">
      <c r="A284" s="47" t="n"/>
      <c r="B284" s="47" t="n"/>
      <c r="C284" s="47" t="n"/>
      <c r="D284" s="47" t="n"/>
      <c r="E284" s="47" t="n"/>
      <c r="F284" s="62" t="n"/>
      <c r="G284" s="112" t="n"/>
      <c r="H284" s="47" t="n"/>
      <c r="I284" s="112" t="n"/>
      <c r="J284" s="47" t="n"/>
      <c r="K284" s="47" t="n"/>
      <c r="L284" s="112" t="n"/>
      <c r="M284" s="47" t="n"/>
    </row>
    <row r="285">
      <c r="A285" s="40" t="n"/>
      <c r="B285" s="40" t="n"/>
      <c r="C285" s="40" t="n"/>
      <c r="D285" s="40" t="n"/>
      <c r="E285" s="40" t="n"/>
      <c r="F285" s="59" t="n"/>
      <c r="G285" s="110" t="n"/>
      <c r="H285" s="40" t="n"/>
      <c r="I285" s="110" t="n"/>
      <c r="J285" s="40" t="n"/>
      <c r="K285" s="40" t="n"/>
      <c r="L285" s="110" t="n"/>
      <c r="M285" s="40" t="n"/>
    </row>
    <row r="286">
      <c r="A286" s="47" t="n"/>
      <c r="B286" s="47" t="n"/>
      <c r="C286" s="47" t="n"/>
      <c r="D286" s="47" t="n"/>
      <c r="E286" s="47" t="n"/>
      <c r="F286" s="62" t="n"/>
      <c r="G286" s="112" t="n"/>
      <c r="H286" s="47" t="n"/>
      <c r="I286" s="112" t="n"/>
      <c r="J286" s="47" t="n"/>
      <c r="K286" s="47" t="n"/>
      <c r="L286" s="112" t="n"/>
      <c r="M286" s="47" t="n"/>
    </row>
    <row r="287">
      <c r="A287" s="40" t="n"/>
      <c r="B287" s="40" t="n"/>
      <c r="C287" s="40" t="n"/>
      <c r="D287" s="40" t="n"/>
      <c r="E287" s="40" t="n"/>
      <c r="F287" s="59" t="n"/>
      <c r="G287" s="110" t="n"/>
      <c r="H287" s="40" t="n"/>
      <c r="I287" s="110" t="n"/>
      <c r="J287" s="40" t="n"/>
      <c r="K287" s="40" t="n"/>
      <c r="L287" s="110" t="n"/>
      <c r="M287" s="40" t="n"/>
    </row>
    <row r="288">
      <c r="A288" s="47" t="n"/>
      <c r="B288" s="47" t="n"/>
      <c r="C288" s="47" t="n"/>
      <c r="D288" s="47" t="n"/>
      <c r="E288" s="47" t="n"/>
      <c r="F288" s="62" t="n"/>
      <c r="G288" s="112" t="n"/>
      <c r="H288" s="47" t="n"/>
      <c r="I288" s="112" t="n"/>
      <c r="J288" s="47" t="n"/>
      <c r="K288" s="47" t="n"/>
      <c r="L288" s="112" t="n"/>
      <c r="M288" s="47" t="n"/>
    </row>
    <row r="289">
      <c r="A289" s="40" t="n"/>
      <c r="B289" s="40" t="n"/>
      <c r="C289" s="40" t="n"/>
      <c r="D289" s="40" t="n"/>
      <c r="E289" s="40" t="n"/>
      <c r="F289" s="59" t="n"/>
      <c r="G289" s="110" t="n"/>
      <c r="H289" s="40" t="n"/>
      <c r="I289" s="110" t="n"/>
      <c r="J289" s="40" t="n"/>
      <c r="K289" s="40" t="n"/>
      <c r="L289" s="110" t="n"/>
      <c r="M289" s="40" t="n"/>
    </row>
    <row r="290">
      <c r="A290" s="47" t="n"/>
      <c r="B290" s="47" t="n"/>
      <c r="C290" s="47" t="n"/>
      <c r="D290" s="47" t="n"/>
      <c r="E290" s="47" t="n"/>
      <c r="F290" s="62" t="n"/>
      <c r="G290" s="112" t="n"/>
      <c r="H290" s="47" t="n"/>
      <c r="I290" s="112" t="n"/>
      <c r="J290" s="47" t="n"/>
      <c r="K290" s="47" t="n"/>
      <c r="L290" s="112" t="n"/>
      <c r="M290" s="47" t="n"/>
    </row>
    <row r="291">
      <c r="A291" s="40" t="n"/>
      <c r="B291" s="40" t="n"/>
      <c r="C291" s="40" t="n"/>
      <c r="D291" s="40" t="n"/>
      <c r="E291" s="40" t="n"/>
      <c r="F291" s="59" t="n"/>
      <c r="G291" s="110" t="n"/>
      <c r="H291" s="40" t="n"/>
      <c r="I291" s="110" t="n"/>
      <c r="J291" s="40" t="n"/>
      <c r="K291" s="40" t="n"/>
      <c r="L291" s="110" t="n"/>
      <c r="M291" s="40" t="n"/>
    </row>
    <row r="292">
      <c r="A292" s="47" t="n"/>
      <c r="B292" s="47" t="n"/>
      <c r="C292" s="47" t="n"/>
      <c r="D292" s="47" t="n"/>
      <c r="E292" s="47" t="n"/>
      <c r="F292" s="62" t="n"/>
      <c r="G292" s="112" t="n"/>
      <c r="H292" s="47" t="n"/>
      <c r="I292" s="112" t="n"/>
      <c r="J292" s="47" t="n"/>
      <c r="K292" s="47" t="n"/>
      <c r="L292" s="112" t="n"/>
      <c r="M292" s="47" t="n"/>
    </row>
    <row r="293">
      <c r="A293" s="40" t="n"/>
      <c r="B293" s="40" t="n"/>
      <c r="C293" s="40" t="n"/>
      <c r="D293" s="40" t="n"/>
      <c r="E293" s="40" t="n"/>
      <c r="F293" s="59" t="n"/>
      <c r="G293" s="110" t="n"/>
      <c r="H293" s="40" t="n"/>
      <c r="I293" s="110" t="n"/>
      <c r="J293" s="40" t="n"/>
      <c r="K293" s="40" t="n"/>
      <c r="L293" s="110" t="n"/>
      <c r="M293" s="40" t="n"/>
    </row>
    <row r="294">
      <c r="A294" s="47" t="n"/>
      <c r="B294" s="47" t="n"/>
      <c r="C294" s="47" t="n"/>
      <c r="D294" s="47" t="n"/>
      <c r="E294" s="47" t="n"/>
      <c r="F294" s="62" t="n"/>
      <c r="G294" s="112" t="n"/>
      <c r="H294" s="47" t="n"/>
      <c r="I294" s="112" t="n"/>
      <c r="J294" s="47" t="n"/>
      <c r="K294" s="47" t="n"/>
      <c r="L294" s="112" t="n"/>
      <c r="M294" s="47" t="n"/>
    </row>
    <row r="295">
      <c r="A295" s="40" t="n"/>
      <c r="B295" s="40" t="n"/>
      <c r="C295" s="40" t="n"/>
      <c r="D295" s="40" t="n"/>
      <c r="E295" s="40" t="n"/>
      <c r="F295" s="59" t="n"/>
      <c r="G295" s="110" t="n"/>
      <c r="H295" s="40" t="n"/>
      <c r="I295" s="110" t="n"/>
      <c r="J295" s="40" t="n"/>
      <c r="K295" s="40" t="n"/>
      <c r="L295" s="110" t="n"/>
      <c r="M295" s="40" t="n"/>
    </row>
    <row r="296">
      <c r="A296" s="47" t="n"/>
      <c r="B296" s="47" t="n"/>
      <c r="C296" s="47" t="n"/>
      <c r="D296" s="47" t="n"/>
      <c r="E296" s="47" t="n"/>
      <c r="F296" s="62" t="n"/>
      <c r="G296" s="112" t="n"/>
      <c r="H296" s="47" t="n"/>
      <c r="I296" s="112" t="n"/>
      <c r="J296" s="47" t="n"/>
      <c r="K296" s="47" t="n"/>
      <c r="L296" s="112" t="n"/>
      <c r="M296" s="47" t="n"/>
    </row>
    <row r="297">
      <c r="A297" s="40" t="n"/>
      <c r="B297" s="40" t="n"/>
      <c r="C297" s="40" t="n"/>
      <c r="D297" s="40" t="n"/>
      <c r="E297" s="40" t="n"/>
      <c r="F297" s="59" t="n"/>
      <c r="G297" s="110" t="n"/>
      <c r="H297" s="40" t="n"/>
      <c r="I297" s="110" t="n"/>
      <c r="J297" s="40" t="n"/>
      <c r="K297" s="40" t="n"/>
      <c r="L297" s="110" t="n"/>
      <c r="M297" s="40" t="n"/>
    </row>
    <row r="298">
      <c r="A298" s="47" t="n"/>
      <c r="B298" s="47" t="n"/>
      <c r="C298" s="47" t="n"/>
      <c r="D298" s="47" t="n"/>
      <c r="E298" s="47" t="n"/>
      <c r="F298" s="62" t="n"/>
      <c r="G298" s="112" t="n"/>
      <c r="H298" s="47" t="n"/>
      <c r="I298" s="112" t="n"/>
      <c r="J298" s="47" t="n"/>
      <c r="K298" s="47" t="n"/>
      <c r="L298" s="112" t="n"/>
      <c r="M298" s="47" t="n"/>
    </row>
    <row r="299">
      <c r="A299" s="40" t="n"/>
      <c r="B299" s="40" t="n"/>
      <c r="C299" s="40" t="n"/>
      <c r="D299" s="40" t="n"/>
      <c r="E299" s="40" t="n"/>
      <c r="F299" s="59" t="n"/>
      <c r="G299" s="110" t="n"/>
      <c r="H299" s="40" t="n"/>
      <c r="I299" s="110" t="n"/>
      <c r="J299" s="40" t="n"/>
      <c r="K299" s="40" t="n"/>
      <c r="L299" s="110" t="n"/>
      <c r="M299" s="40" t="n"/>
    </row>
    <row r="300">
      <c r="A300" s="47" t="n"/>
      <c r="B300" s="47" t="n"/>
      <c r="C300" s="47" t="n"/>
      <c r="D300" s="47" t="n"/>
      <c r="E300" s="47" t="n"/>
      <c r="F300" s="62" t="n"/>
      <c r="G300" s="112" t="n"/>
      <c r="H300" s="47" t="n"/>
      <c r="I300" s="112" t="n"/>
      <c r="J300" s="47" t="n"/>
      <c r="K300" s="47" t="n"/>
      <c r="L300" s="112" t="n"/>
      <c r="M300" s="47" t="n"/>
    </row>
    <row r="301">
      <c r="A301" s="40" t="n"/>
      <c r="B301" s="40" t="n"/>
      <c r="C301" s="40" t="n"/>
      <c r="D301" s="40" t="n"/>
      <c r="E301" s="40" t="n"/>
      <c r="F301" s="59" t="n"/>
      <c r="G301" s="110" t="n"/>
      <c r="H301" s="40" t="n"/>
      <c r="I301" s="110" t="n"/>
      <c r="J301" s="40" t="n"/>
      <c r="K301" s="40" t="n"/>
      <c r="L301" s="110" t="n"/>
      <c r="M301" s="40" t="n"/>
    </row>
    <row r="302">
      <c r="A302" s="47" t="n"/>
      <c r="B302" s="47" t="n"/>
      <c r="C302" s="47" t="n"/>
      <c r="D302" s="47" t="n"/>
      <c r="E302" s="47" t="n"/>
      <c r="F302" s="62" t="n"/>
      <c r="G302" s="112" t="n"/>
      <c r="H302" s="47" t="n"/>
      <c r="I302" s="112" t="n"/>
      <c r="J302" s="47" t="n"/>
      <c r="K302" s="47" t="n"/>
      <c r="L302" s="112" t="n"/>
      <c r="M302" s="47" t="n"/>
    </row>
    <row r="303">
      <c r="A303" s="40" t="n"/>
      <c r="B303" s="40" t="n"/>
      <c r="C303" s="40" t="n"/>
      <c r="D303" s="40" t="n"/>
      <c r="E303" s="40" t="n"/>
      <c r="F303" s="59" t="n"/>
      <c r="G303" s="110" t="n"/>
      <c r="H303" s="40" t="n"/>
      <c r="I303" s="110" t="n"/>
      <c r="J303" s="40" t="n"/>
      <c r="K303" s="40" t="n"/>
      <c r="L303" s="110" t="n"/>
      <c r="M303" s="40" t="n"/>
    </row>
    <row r="304">
      <c r="A304" s="47" t="n"/>
      <c r="B304" s="47" t="n"/>
      <c r="C304" s="47" t="n"/>
      <c r="D304" s="47" t="n"/>
      <c r="E304" s="47" t="n"/>
      <c r="F304" s="62" t="n"/>
      <c r="G304" s="112" t="n"/>
      <c r="H304" s="47" t="n"/>
      <c r="I304" s="112" t="n"/>
      <c r="J304" s="47" t="n"/>
      <c r="K304" s="47" t="n"/>
      <c r="L304" s="112" t="n"/>
      <c r="M304" s="47" t="n"/>
    </row>
    <row r="305">
      <c r="A305" s="40" t="n"/>
      <c r="B305" s="40" t="n"/>
      <c r="C305" s="40" t="n"/>
      <c r="D305" s="40" t="n"/>
      <c r="E305" s="40" t="n"/>
      <c r="F305" s="59" t="n"/>
      <c r="G305" s="110" t="n"/>
      <c r="H305" s="40" t="n"/>
      <c r="I305" s="110" t="n"/>
      <c r="J305" s="40" t="n"/>
      <c r="K305" s="40" t="n"/>
      <c r="L305" s="110" t="n"/>
      <c r="M305" s="40" t="n"/>
    </row>
    <row r="306">
      <c r="A306" s="47" t="n"/>
      <c r="B306" s="47" t="n"/>
      <c r="C306" s="47" t="n"/>
      <c r="D306" s="47" t="n"/>
      <c r="E306" s="47" t="n"/>
      <c r="F306" s="62" t="n"/>
      <c r="G306" s="112" t="n"/>
      <c r="H306" s="47" t="n"/>
      <c r="I306" s="112" t="n"/>
      <c r="J306" s="47" t="n"/>
      <c r="K306" s="47" t="n"/>
      <c r="L306" s="112" t="n"/>
      <c r="M306" s="47" t="n"/>
    </row>
    <row r="307">
      <c r="A307" s="40" t="n"/>
      <c r="B307" s="40" t="n"/>
      <c r="C307" s="40" t="n"/>
      <c r="D307" s="40" t="n"/>
      <c r="E307" s="40" t="n"/>
      <c r="F307" s="59" t="n"/>
      <c r="G307" s="110" t="n"/>
      <c r="H307" s="40" t="n"/>
      <c r="I307" s="110" t="n"/>
      <c r="J307" s="40" t="n"/>
      <c r="K307" s="40" t="n"/>
      <c r="L307" s="110" t="n"/>
      <c r="M307" s="40" t="n"/>
    </row>
    <row r="308">
      <c r="A308" s="47" t="n"/>
      <c r="B308" s="47" t="n"/>
      <c r="C308" s="47" t="n"/>
      <c r="D308" s="47" t="n"/>
      <c r="E308" s="47" t="n"/>
      <c r="F308" s="62" t="n"/>
      <c r="G308" s="112" t="n"/>
      <c r="H308" s="47" t="n"/>
      <c r="I308" s="112" t="n"/>
      <c r="J308" s="47" t="n"/>
      <c r="K308" s="47" t="n"/>
      <c r="L308" s="112" t="n"/>
      <c r="M308" s="47" t="n"/>
    </row>
    <row r="309">
      <c r="A309" s="40" t="n"/>
      <c r="B309" s="40" t="n"/>
      <c r="C309" s="40" t="n"/>
      <c r="D309" s="40" t="n"/>
      <c r="E309" s="40" t="n"/>
      <c r="F309" s="59" t="n"/>
      <c r="G309" s="110" t="n"/>
      <c r="H309" s="40" t="n"/>
      <c r="I309" s="110" t="n"/>
      <c r="J309" s="40" t="n"/>
      <c r="K309" s="40" t="n"/>
      <c r="L309" s="110" t="n"/>
      <c r="M309" s="40" t="n"/>
    </row>
    <row r="310">
      <c r="A310" s="47" t="n"/>
      <c r="B310" s="47" t="n"/>
      <c r="C310" s="47" t="n"/>
      <c r="D310" s="47" t="n"/>
      <c r="E310" s="47" t="n"/>
      <c r="F310" s="62" t="n"/>
      <c r="G310" s="112" t="n"/>
      <c r="H310" s="47" t="n"/>
      <c r="I310" s="112" t="n"/>
      <c r="J310" s="47" t="n"/>
      <c r="K310" s="47" t="n"/>
      <c r="L310" s="112" t="n"/>
      <c r="M310" s="47" t="n"/>
    </row>
    <row r="311">
      <c r="A311" s="40" t="n"/>
      <c r="B311" s="40" t="n"/>
      <c r="C311" s="40" t="n"/>
      <c r="D311" s="40" t="n"/>
      <c r="E311" s="40" t="n"/>
      <c r="F311" s="59" t="n"/>
      <c r="G311" s="110" t="n"/>
      <c r="H311" s="40" t="n"/>
      <c r="I311" s="110" t="n"/>
      <c r="J311" s="40" t="n"/>
      <c r="K311" s="40" t="n"/>
      <c r="L311" s="110" t="n"/>
      <c r="M311" s="40" t="n"/>
    </row>
    <row r="312">
      <c r="A312" s="47" t="n"/>
      <c r="B312" s="47" t="n"/>
      <c r="C312" s="47" t="n"/>
      <c r="D312" s="47" t="n"/>
      <c r="E312" s="47" t="n"/>
      <c r="F312" s="62" t="n"/>
      <c r="G312" s="112" t="n"/>
      <c r="H312" s="47" t="n"/>
      <c r="I312" s="112" t="n"/>
      <c r="J312" s="47" t="n"/>
      <c r="K312" s="47" t="n"/>
      <c r="L312" s="112" t="n"/>
      <c r="M312" s="47" t="n"/>
    </row>
    <row r="313">
      <c r="A313" s="40" t="n"/>
      <c r="B313" s="40" t="n"/>
      <c r="C313" s="40" t="n"/>
      <c r="D313" s="40" t="n"/>
      <c r="E313" s="40" t="n"/>
      <c r="F313" s="59" t="n"/>
      <c r="G313" s="110" t="n"/>
      <c r="H313" s="40" t="n"/>
      <c r="I313" s="110" t="n"/>
      <c r="J313" s="40" t="n"/>
      <c r="K313" s="40" t="n"/>
      <c r="L313" s="110" t="n"/>
      <c r="M313" s="40" t="n"/>
    </row>
    <row r="314">
      <c r="A314" s="47" t="n"/>
      <c r="B314" s="47" t="n"/>
      <c r="C314" s="47" t="n"/>
      <c r="D314" s="47" t="n"/>
      <c r="E314" s="47" t="n"/>
      <c r="F314" s="62" t="n"/>
      <c r="G314" s="112" t="n"/>
      <c r="H314" s="47" t="n"/>
      <c r="I314" s="112" t="n"/>
      <c r="J314" s="47" t="n"/>
      <c r="K314" s="47" t="n"/>
      <c r="L314" s="112" t="n"/>
      <c r="M314" s="47" t="n"/>
    </row>
    <row r="315">
      <c r="A315" s="40" t="n"/>
      <c r="B315" s="40" t="n"/>
      <c r="C315" s="40" t="n"/>
      <c r="D315" s="40" t="n"/>
      <c r="E315" s="40" t="n"/>
      <c r="F315" s="59" t="n"/>
      <c r="G315" s="110" t="n"/>
      <c r="H315" s="40" t="n"/>
      <c r="I315" s="110" t="n"/>
      <c r="J315" s="40" t="n"/>
      <c r="K315" s="40" t="n"/>
      <c r="L315" s="110" t="n"/>
      <c r="M315" s="40" t="n"/>
    </row>
    <row r="316">
      <c r="A316" s="47" t="n"/>
      <c r="B316" s="47" t="n"/>
      <c r="C316" s="47" t="n"/>
      <c r="D316" s="47" t="n"/>
      <c r="E316" s="47" t="n"/>
      <c r="F316" s="62" t="n"/>
      <c r="G316" s="112" t="n"/>
      <c r="H316" s="47" t="n"/>
      <c r="I316" s="112" t="n"/>
      <c r="J316" s="47" t="n"/>
      <c r="K316" s="47" t="n"/>
      <c r="L316" s="112" t="n"/>
      <c r="M316" s="47" t="n"/>
    </row>
    <row r="317">
      <c r="A317" s="40" t="n"/>
      <c r="B317" s="40" t="n"/>
      <c r="C317" s="40" t="n"/>
      <c r="D317" s="40" t="n"/>
      <c r="E317" s="40" t="n"/>
      <c r="F317" s="59" t="n"/>
      <c r="G317" s="110" t="n"/>
      <c r="H317" s="40" t="n"/>
      <c r="I317" s="110" t="n"/>
      <c r="J317" s="40" t="n"/>
      <c r="K317" s="40" t="n"/>
      <c r="L317" s="110" t="n"/>
      <c r="M317" s="40" t="n"/>
    </row>
    <row r="318">
      <c r="A318" s="47" t="n"/>
      <c r="B318" s="47" t="n"/>
      <c r="C318" s="47" t="n"/>
      <c r="D318" s="47" t="n"/>
      <c r="E318" s="47" t="n"/>
      <c r="F318" s="62" t="n"/>
      <c r="G318" s="112" t="n"/>
      <c r="H318" s="47" t="n"/>
      <c r="I318" s="112" t="n"/>
      <c r="J318" s="47" t="n"/>
      <c r="K318" s="47" t="n"/>
      <c r="L318" s="112" t="n"/>
      <c r="M318" s="47" t="n"/>
    </row>
    <row r="319">
      <c r="A319" s="40" t="n"/>
      <c r="B319" s="40" t="n"/>
      <c r="C319" s="40" t="n"/>
      <c r="D319" s="40" t="n"/>
      <c r="E319" s="40" t="n"/>
      <c r="F319" s="59" t="n"/>
      <c r="G319" s="110" t="n"/>
      <c r="H319" s="40" t="n"/>
      <c r="I319" s="110" t="n"/>
      <c r="J319" s="40" t="n"/>
      <c r="K319" s="40" t="n"/>
      <c r="L319" s="110" t="n"/>
      <c r="M319" s="40" t="n"/>
    </row>
    <row r="320">
      <c r="A320" s="47" t="n"/>
      <c r="B320" s="47" t="n"/>
      <c r="C320" s="47" t="n"/>
      <c r="D320" s="47" t="n"/>
      <c r="E320" s="47" t="n"/>
      <c r="F320" s="62" t="n"/>
      <c r="G320" s="112" t="n"/>
      <c r="H320" s="47" t="n"/>
      <c r="I320" s="112" t="n"/>
      <c r="J320" s="47" t="n"/>
      <c r="K320" s="47" t="n"/>
      <c r="L320" s="112" t="n"/>
      <c r="M320" s="47" t="n"/>
    </row>
    <row r="321">
      <c r="A321" s="40" t="n"/>
      <c r="B321" s="40" t="n"/>
      <c r="C321" s="40" t="n"/>
      <c r="D321" s="40" t="n"/>
      <c r="E321" s="40" t="n"/>
      <c r="F321" s="59" t="n"/>
      <c r="G321" s="110" t="n"/>
      <c r="H321" s="40" t="n"/>
      <c r="I321" s="110" t="n"/>
      <c r="J321" s="40" t="n"/>
      <c r="K321" s="40" t="n"/>
      <c r="L321" s="110" t="n"/>
      <c r="M321" s="40" t="n"/>
    </row>
    <row r="322">
      <c r="A322" s="47" t="n"/>
      <c r="B322" s="47" t="n"/>
      <c r="C322" s="47" t="n"/>
      <c r="D322" s="47" t="n"/>
      <c r="E322" s="47" t="n"/>
      <c r="F322" s="62" t="n"/>
      <c r="G322" s="112" t="n"/>
      <c r="H322" s="47" t="n"/>
      <c r="I322" s="112" t="n"/>
      <c r="J322" s="47" t="n"/>
      <c r="K322" s="47" t="n"/>
      <c r="L322" s="112" t="n"/>
      <c r="M322" s="47" t="n"/>
    </row>
    <row r="323">
      <c r="A323" s="40" t="n"/>
      <c r="B323" s="40" t="n"/>
      <c r="C323" s="40" t="n"/>
      <c r="D323" s="40" t="n"/>
      <c r="E323" s="40" t="n"/>
      <c r="F323" s="59" t="n"/>
      <c r="G323" s="110" t="n"/>
      <c r="H323" s="40" t="n"/>
      <c r="I323" s="110" t="n"/>
      <c r="J323" s="40" t="n"/>
      <c r="K323" s="40" t="n"/>
      <c r="L323" s="110" t="n"/>
      <c r="M323" s="40" t="n"/>
    </row>
    <row r="324">
      <c r="A324" s="47" t="n"/>
      <c r="B324" s="47" t="n"/>
      <c r="C324" s="47" t="n"/>
      <c r="D324" s="47" t="n"/>
      <c r="E324" s="47" t="n"/>
      <c r="F324" s="62" t="n"/>
      <c r="G324" s="112" t="n"/>
      <c r="H324" s="47" t="n"/>
      <c r="I324" s="112" t="n"/>
      <c r="J324" s="47" t="n"/>
      <c r="K324" s="47" t="n"/>
      <c r="L324" s="112" t="n"/>
      <c r="M324" s="47" t="n"/>
    </row>
    <row r="325">
      <c r="A325" s="40" t="n"/>
      <c r="B325" s="40" t="n"/>
      <c r="C325" s="40" t="n"/>
      <c r="D325" s="40" t="n"/>
      <c r="E325" s="40" t="n"/>
      <c r="F325" s="59" t="n"/>
      <c r="G325" s="110" t="n"/>
      <c r="H325" s="40" t="n"/>
      <c r="I325" s="110" t="n"/>
      <c r="J325" s="40" t="n"/>
      <c r="K325" s="40" t="n"/>
      <c r="L325" s="110" t="n"/>
      <c r="M325" s="40" t="n"/>
    </row>
    <row r="326">
      <c r="A326" s="47" t="n"/>
      <c r="B326" s="47" t="n"/>
      <c r="C326" s="47" t="n"/>
      <c r="D326" s="47" t="n"/>
      <c r="E326" s="47" t="n"/>
      <c r="F326" s="62" t="n"/>
      <c r="G326" s="112" t="n"/>
      <c r="H326" s="47" t="n"/>
      <c r="I326" s="112" t="n"/>
      <c r="J326" s="47" t="n"/>
      <c r="K326" s="47" t="n"/>
      <c r="L326" s="112" t="n"/>
      <c r="M326" s="47" t="n"/>
    </row>
    <row r="327">
      <c r="A327" s="40" t="n"/>
      <c r="B327" s="40" t="n"/>
      <c r="C327" s="40" t="n"/>
      <c r="D327" s="40" t="n"/>
      <c r="E327" s="40" t="n"/>
      <c r="F327" s="59" t="n"/>
      <c r="G327" s="110" t="n"/>
      <c r="H327" s="40" t="n"/>
      <c r="I327" s="110" t="n"/>
      <c r="J327" s="40" t="n"/>
      <c r="K327" s="40" t="n"/>
      <c r="L327" s="110" t="n"/>
      <c r="M327" s="40" t="n"/>
    </row>
    <row r="328">
      <c r="A328" s="47" t="n"/>
      <c r="B328" s="47" t="n"/>
      <c r="C328" s="47" t="n"/>
      <c r="D328" s="47" t="n"/>
      <c r="E328" s="47" t="n"/>
      <c r="F328" s="62" t="n"/>
      <c r="G328" s="112" t="n"/>
      <c r="H328" s="47" t="n"/>
      <c r="I328" s="112" t="n"/>
      <c r="J328" s="47" t="n"/>
      <c r="K328" s="47" t="n"/>
      <c r="L328" s="112" t="n"/>
      <c r="M328" s="47" t="n"/>
    </row>
    <row r="329">
      <c r="A329" s="40" t="n"/>
      <c r="B329" s="40" t="n"/>
      <c r="C329" s="40" t="n"/>
      <c r="D329" s="40" t="n"/>
      <c r="E329" s="40" t="n"/>
      <c r="F329" s="59" t="n"/>
      <c r="G329" s="110" t="n"/>
      <c r="H329" s="40" t="n"/>
      <c r="I329" s="110" t="n"/>
      <c r="J329" s="40" t="n"/>
      <c r="K329" s="40" t="n"/>
      <c r="L329" s="110" t="n"/>
      <c r="M329" s="40" t="n"/>
    </row>
    <row r="330">
      <c r="A330" s="47" t="n"/>
      <c r="B330" s="47" t="n"/>
      <c r="C330" s="47" t="n"/>
      <c r="D330" s="47" t="n"/>
      <c r="E330" s="47" t="n"/>
      <c r="F330" s="62" t="n"/>
      <c r="G330" s="112" t="n"/>
      <c r="H330" s="47" t="n"/>
      <c r="I330" s="112" t="n"/>
      <c r="J330" s="47" t="n"/>
      <c r="K330" s="47" t="n"/>
      <c r="L330" s="112" t="n"/>
      <c r="M330" s="47" t="n"/>
    </row>
    <row r="331">
      <c r="A331" s="40" t="n"/>
      <c r="B331" s="40" t="n"/>
      <c r="C331" s="40" t="n"/>
      <c r="D331" s="40" t="n"/>
      <c r="E331" s="40" t="n"/>
      <c r="F331" s="59" t="n"/>
      <c r="G331" s="110" t="n"/>
      <c r="H331" s="40" t="n"/>
      <c r="I331" s="110" t="n"/>
      <c r="J331" s="40" t="n"/>
      <c r="K331" s="40" t="n"/>
      <c r="L331" s="110" t="n"/>
      <c r="M331" s="40" t="n"/>
    </row>
    <row r="332">
      <c r="A332" s="47" t="n"/>
      <c r="B332" s="47" t="n"/>
      <c r="C332" s="47" t="n"/>
      <c r="D332" s="47" t="n"/>
      <c r="E332" s="47" t="n"/>
      <c r="F332" s="62" t="n"/>
      <c r="G332" s="112" t="n"/>
      <c r="H332" s="47" t="n"/>
      <c r="I332" s="112" t="n"/>
      <c r="J332" s="47" t="n"/>
      <c r="K332" s="47" t="n"/>
      <c r="L332" s="112" t="n"/>
      <c r="M332" s="47" t="n"/>
    </row>
    <row r="333">
      <c r="A333" s="40" t="n"/>
      <c r="B333" s="40" t="n"/>
      <c r="C333" s="40" t="n"/>
      <c r="D333" s="40" t="n"/>
      <c r="E333" s="40" t="n"/>
      <c r="F333" s="59" t="n"/>
      <c r="G333" s="110" t="n"/>
      <c r="H333" s="40" t="n"/>
      <c r="I333" s="110" t="n"/>
      <c r="J333" s="40" t="n"/>
      <c r="K333" s="40" t="n"/>
      <c r="L333" s="110" t="n"/>
      <c r="M333" s="40" t="n"/>
    </row>
    <row r="334">
      <c r="A334" s="47" t="n"/>
      <c r="B334" s="47" t="n"/>
      <c r="C334" s="47" t="n"/>
      <c r="D334" s="47" t="n"/>
      <c r="E334" s="47" t="n"/>
      <c r="F334" s="62" t="n"/>
      <c r="G334" s="112" t="n"/>
      <c r="H334" s="47" t="n"/>
      <c r="I334" s="112" t="n"/>
      <c r="J334" s="47" t="n"/>
      <c r="K334" s="47" t="n"/>
      <c r="L334" s="112" t="n"/>
      <c r="M334" s="47" t="n"/>
    </row>
    <row r="335">
      <c r="A335" s="40" t="n"/>
      <c r="B335" s="40" t="n"/>
      <c r="C335" s="40" t="n"/>
      <c r="D335" s="40" t="n"/>
      <c r="E335" s="40" t="n"/>
      <c r="F335" s="59" t="n"/>
      <c r="G335" s="110" t="n"/>
      <c r="H335" s="40" t="n"/>
      <c r="I335" s="110" t="n"/>
      <c r="J335" s="40" t="n"/>
      <c r="K335" s="40" t="n"/>
      <c r="L335" s="110" t="n"/>
      <c r="M335" s="40" t="n"/>
    </row>
    <row r="336">
      <c r="A336" s="47" t="n"/>
      <c r="B336" s="47" t="n"/>
      <c r="C336" s="47" t="n"/>
      <c r="D336" s="47" t="n"/>
      <c r="E336" s="47" t="n"/>
      <c r="F336" s="62" t="n"/>
      <c r="G336" s="112" t="n"/>
      <c r="H336" s="47" t="n"/>
      <c r="I336" s="112" t="n"/>
      <c r="J336" s="47" t="n"/>
      <c r="K336" s="47" t="n"/>
      <c r="L336" s="112" t="n"/>
      <c r="M336" s="47" t="n"/>
    </row>
    <row r="337">
      <c r="A337" s="40" t="n"/>
      <c r="B337" s="40" t="n"/>
      <c r="C337" s="40" t="n"/>
      <c r="D337" s="40" t="n"/>
      <c r="E337" s="40" t="n"/>
      <c r="F337" s="59" t="n"/>
      <c r="G337" s="110" t="n"/>
      <c r="H337" s="40" t="n"/>
      <c r="I337" s="110" t="n"/>
      <c r="J337" s="40" t="n"/>
      <c r="K337" s="40" t="n"/>
      <c r="L337" s="110" t="n"/>
      <c r="M337" s="40" t="n"/>
    </row>
    <row r="338">
      <c r="A338" s="47" t="n"/>
      <c r="B338" s="47" t="n"/>
      <c r="C338" s="47" t="n"/>
      <c r="D338" s="47" t="n"/>
      <c r="E338" s="47" t="n"/>
      <c r="F338" s="62" t="n"/>
      <c r="G338" s="112" t="n"/>
      <c r="H338" s="47" t="n"/>
      <c r="I338" s="112" t="n"/>
      <c r="J338" s="47" t="n"/>
      <c r="K338" s="47" t="n"/>
      <c r="L338" s="112" t="n"/>
      <c r="M338" s="47" t="n"/>
    </row>
    <row r="339">
      <c r="A339" s="40" t="n"/>
      <c r="B339" s="40" t="n"/>
      <c r="C339" s="40" t="n"/>
      <c r="D339" s="40" t="n"/>
      <c r="E339" s="40" t="n"/>
      <c r="F339" s="59" t="n"/>
      <c r="G339" s="110" t="n"/>
      <c r="H339" s="40" t="n"/>
      <c r="I339" s="110" t="n"/>
      <c r="J339" s="40" t="n"/>
      <c r="K339" s="40" t="n"/>
      <c r="L339" s="110" t="n"/>
      <c r="M339" s="40" t="n"/>
    </row>
    <row r="340">
      <c r="A340" s="47" t="n"/>
      <c r="B340" s="47" t="n"/>
      <c r="C340" s="47" t="n"/>
      <c r="D340" s="47" t="n"/>
      <c r="E340" s="47" t="n"/>
      <c r="F340" s="62" t="n"/>
      <c r="G340" s="112" t="n"/>
      <c r="H340" s="47" t="n"/>
      <c r="I340" s="112" t="n"/>
      <c r="J340" s="47" t="n"/>
      <c r="K340" s="47" t="n"/>
      <c r="L340" s="112" t="n"/>
      <c r="M340" s="47" t="n"/>
    </row>
    <row r="341">
      <c r="A341" s="40" t="n"/>
      <c r="B341" s="40" t="n"/>
      <c r="C341" s="40" t="n"/>
      <c r="D341" s="40" t="n"/>
      <c r="E341" s="40" t="n"/>
      <c r="F341" s="59" t="n"/>
      <c r="G341" s="110" t="n"/>
      <c r="H341" s="40" t="n"/>
      <c r="I341" s="110" t="n"/>
      <c r="J341" s="40" t="n"/>
      <c r="K341" s="40" t="n"/>
      <c r="L341" s="110" t="n"/>
      <c r="M341" s="40" t="n"/>
    </row>
    <row r="342">
      <c r="A342" s="47" t="n"/>
      <c r="B342" s="47" t="n"/>
      <c r="C342" s="47" t="n"/>
      <c r="D342" s="47" t="n"/>
      <c r="E342" s="47" t="n"/>
      <c r="F342" s="62" t="n"/>
      <c r="G342" s="112" t="n"/>
      <c r="H342" s="47" t="n"/>
      <c r="I342" s="112" t="n"/>
      <c r="J342" s="47" t="n"/>
      <c r="K342" s="47" t="n"/>
      <c r="L342" s="112" t="n"/>
      <c r="M342" s="47" t="n"/>
    </row>
    <row r="343">
      <c r="A343" s="40" t="n"/>
      <c r="B343" s="40" t="n"/>
      <c r="C343" s="40" t="n"/>
      <c r="D343" s="40" t="n"/>
      <c r="E343" s="40" t="n"/>
      <c r="F343" s="59" t="n"/>
      <c r="G343" s="110" t="n"/>
      <c r="H343" s="40" t="n"/>
      <c r="I343" s="110" t="n"/>
      <c r="J343" s="40" t="n"/>
      <c r="K343" s="40" t="n"/>
      <c r="L343" s="110" t="n"/>
      <c r="M343" s="40" t="n"/>
    </row>
    <row r="344">
      <c r="A344" s="47" t="n"/>
      <c r="B344" s="47" t="n"/>
      <c r="C344" s="47" t="n"/>
      <c r="D344" s="47" t="n"/>
      <c r="E344" s="47" t="n"/>
      <c r="F344" s="62" t="n"/>
      <c r="G344" s="112" t="n"/>
      <c r="H344" s="47" t="n"/>
      <c r="I344" s="112" t="n"/>
      <c r="J344" s="47" t="n"/>
      <c r="K344" s="47" t="n"/>
      <c r="L344" s="112" t="n"/>
      <c r="M344" s="47" t="n"/>
    </row>
    <row r="345">
      <c r="A345" s="40" t="n"/>
      <c r="B345" s="40" t="n"/>
      <c r="C345" s="40" t="n"/>
      <c r="D345" s="40" t="n"/>
      <c r="E345" s="40" t="n"/>
      <c r="F345" s="59" t="n"/>
      <c r="G345" s="110" t="n"/>
      <c r="H345" s="40" t="n"/>
      <c r="I345" s="110" t="n"/>
      <c r="J345" s="40" t="n"/>
      <c r="K345" s="40" t="n"/>
      <c r="L345" s="110" t="n"/>
      <c r="M345" s="40" t="n"/>
    </row>
    <row r="346">
      <c r="A346" s="47" t="n"/>
      <c r="B346" s="47" t="n"/>
      <c r="C346" s="47" t="n"/>
      <c r="D346" s="47" t="n"/>
      <c r="E346" s="47" t="n"/>
      <c r="F346" s="62" t="n"/>
      <c r="G346" s="112" t="n"/>
      <c r="H346" s="47" t="n"/>
      <c r="I346" s="112" t="n"/>
      <c r="J346" s="47" t="n"/>
      <c r="K346" s="47" t="n"/>
      <c r="L346" s="112" t="n"/>
      <c r="M346" s="47" t="n"/>
    </row>
    <row r="347">
      <c r="A347" s="40" t="n"/>
      <c r="B347" s="40" t="n"/>
      <c r="C347" s="40" t="n"/>
      <c r="D347" s="40" t="n"/>
      <c r="E347" s="40" t="n"/>
      <c r="F347" s="59" t="n"/>
      <c r="G347" s="110" t="n"/>
      <c r="H347" s="40" t="n"/>
      <c r="I347" s="110" t="n"/>
      <c r="J347" s="40" t="n"/>
      <c r="K347" s="40" t="n"/>
      <c r="L347" s="110" t="n"/>
      <c r="M347" s="40" t="n"/>
    </row>
    <row r="348">
      <c r="A348" s="47" t="n"/>
      <c r="B348" s="47" t="n"/>
      <c r="C348" s="47" t="n"/>
      <c r="D348" s="47" t="n"/>
      <c r="E348" s="47" t="n"/>
      <c r="F348" s="62" t="n"/>
      <c r="G348" s="112" t="n"/>
      <c r="H348" s="47" t="n"/>
      <c r="I348" s="112" t="n"/>
      <c r="J348" s="47" t="n"/>
      <c r="K348" s="47" t="n"/>
      <c r="L348" s="112" t="n"/>
      <c r="M348" s="47" t="n"/>
    </row>
    <row r="349">
      <c r="A349" s="40" t="n"/>
      <c r="B349" s="40" t="n"/>
      <c r="C349" s="40" t="n"/>
      <c r="D349" s="40" t="n"/>
      <c r="E349" s="40" t="n"/>
      <c r="F349" s="59" t="n"/>
      <c r="G349" s="110" t="n"/>
      <c r="H349" s="40" t="n"/>
      <c r="I349" s="110" t="n"/>
      <c r="J349" s="40" t="n"/>
      <c r="K349" s="40" t="n"/>
      <c r="L349" s="110" t="n"/>
      <c r="M349" s="40" t="n"/>
    </row>
    <row r="350">
      <c r="A350" s="47" t="n"/>
      <c r="B350" s="47" t="n"/>
      <c r="C350" s="47" t="n"/>
      <c r="D350" s="47" t="n"/>
      <c r="E350" s="47" t="n"/>
      <c r="F350" s="62" t="n"/>
      <c r="G350" s="112" t="n"/>
      <c r="H350" s="47" t="n"/>
      <c r="I350" s="112" t="n"/>
      <c r="J350" s="47" t="n"/>
      <c r="K350" s="47" t="n"/>
      <c r="L350" s="112" t="n"/>
      <c r="M350" s="47" t="n"/>
    </row>
    <row r="351">
      <c r="A351" s="40" t="n"/>
      <c r="B351" s="40" t="n"/>
      <c r="C351" s="40" t="n"/>
      <c r="D351" s="40" t="n"/>
      <c r="E351" s="40" t="n"/>
      <c r="F351" s="59" t="n"/>
      <c r="G351" s="110" t="n"/>
      <c r="H351" s="40" t="n"/>
      <c r="I351" s="110" t="n"/>
      <c r="J351" s="40" t="n"/>
      <c r="K351" s="40" t="n"/>
      <c r="L351" s="110" t="n"/>
      <c r="M351" s="40" t="n"/>
    </row>
    <row r="352">
      <c r="A352" s="47" t="n"/>
      <c r="B352" s="47" t="n"/>
      <c r="C352" s="47" t="n"/>
      <c r="D352" s="47" t="n"/>
      <c r="E352" s="47" t="n"/>
      <c r="F352" s="62" t="n"/>
      <c r="G352" s="112" t="n"/>
      <c r="H352" s="47" t="n"/>
      <c r="I352" s="112" t="n"/>
      <c r="J352" s="47" t="n"/>
      <c r="K352" s="47" t="n"/>
      <c r="L352" s="112" t="n"/>
      <c r="M352" s="47" t="n"/>
    </row>
    <row r="353">
      <c r="A353" s="40" t="n"/>
      <c r="B353" s="40" t="n"/>
      <c r="C353" s="40" t="n"/>
      <c r="D353" s="40" t="n"/>
      <c r="E353" s="40" t="n"/>
      <c r="F353" s="59" t="n"/>
      <c r="G353" s="110" t="n"/>
      <c r="H353" s="40" t="n"/>
      <c r="I353" s="110" t="n"/>
      <c r="J353" s="40" t="n"/>
      <c r="K353" s="40" t="n"/>
      <c r="L353" s="110" t="n"/>
      <c r="M353" s="40" t="n"/>
    </row>
    <row r="354">
      <c r="A354" s="47" t="n"/>
      <c r="B354" s="47" t="n"/>
      <c r="C354" s="47" t="n"/>
      <c r="D354" s="47" t="n"/>
      <c r="E354" s="47" t="n"/>
      <c r="F354" s="62" t="n"/>
      <c r="G354" s="112" t="n"/>
      <c r="H354" s="47" t="n"/>
      <c r="I354" s="112" t="n"/>
      <c r="J354" s="47" t="n"/>
      <c r="K354" s="47" t="n"/>
      <c r="L354" s="112" t="n"/>
      <c r="M354" s="47" t="n"/>
    </row>
    <row r="355">
      <c r="A355" s="40" t="n"/>
      <c r="B355" s="40" t="n"/>
      <c r="C355" s="40" t="n"/>
      <c r="D355" s="40" t="n"/>
      <c r="E355" s="40" t="n"/>
      <c r="F355" s="59" t="n"/>
      <c r="G355" s="110" t="n"/>
      <c r="H355" s="40" t="n"/>
      <c r="I355" s="110" t="n"/>
      <c r="J355" s="40" t="n"/>
      <c r="K355" s="40" t="n"/>
      <c r="L355" s="110" t="n"/>
      <c r="M355" s="40" t="n"/>
    </row>
    <row r="356">
      <c r="A356" s="47" t="n"/>
      <c r="B356" s="47" t="n"/>
      <c r="C356" s="47" t="n"/>
      <c r="D356" s="47" t="n"/>
      <c r="E356" s="47" t="n"/>
      <c r="F356" s="62" t="n"/>
      <c r="G356" s="112" t="n"/>
      <c r="H356" s="47" t="n"/>
      <c r="I356" s="112" t="n"/>
      <c r="J356" s="47" t="n"/>
      <c r="K356" s="47" t="n"/>
      <c r="L356" s="112" t="n"/>
      <c r="M356" s="47" t="n"/>
    </row>
    <row r="357">
      <c r="A357" s="40" t="n"/>
      <c r="B357" s="40" t="n"/>
      <c r="C357" s="40" t="n"/>
      <c r="D357" s="40" t="n"/>
      <c r="E357" s="40" t="n"/>
      <c r="F357" s="59" t="n"/>
      <c r="G357" s="110" t="n"/>
      <c r="H357" s="40" t="n"/>
      <c r="I357" s="110" t="n"/>
      <c r="J357" s="40" t="n"/>
      <c r="K357" s="40" t="n"/>
      <c r="L357" s="110" t="n"/>
      <c r="M357" s="40" t="n"/>
    </row>
    <row r="358">
      <c r="A358" s="47" t="n"/>
      <c r="B358" s="47" t="n"/>
      <c r="C358" s="47" t="n"/>
      <c r="D358" s="47" t="n"/>
      <c r="E358" s="47" t="n"/>
      <c r="F358" s="62" t="n"/>
      <c r="G358" s="112" t="n"/>
      <c r="H358" s="47" t="n"/>
      <c r="I358" s="112" t="n"/>
      <c r="J358" s="47" t="n"/>
      <c r="K358" s="47" t="n"/>
      <c r="L358" s="112" t="n"/>
      <c r="M358" s="47" t="n"/>
    </row>
    <row r="359">
      <c r="A359" s="40" t="n"/>
      <c r="B359" s="40" t="n"/>
      <c r="C359" s="40" t="n"/>
      <c r="D359" s="40" t="n"/>
      <c r="E359" s="40" t="n"/>
      <c r="F359" s="59" t="n"/>
      <c r="G359" s="110" t="n"/>
      <c r="H359" s="40" t="n"/>
      <c r="I359" s="110" t="n"/>
      <c r="J359" s="40" t="n"/>
      <c r="K359" s="40" t="n"/>
      <c r="L359" s="110" t="n"/>
      <c r="M359" s="40" t="n"/>
    </row>
    <row r="360">
      <c r="A360" s="47" t="n"/>
      <c r="B360" s="47" t="n"/>
      <c r="C360" s="47" t="n"/>
      <c r="D360" s="47" t="n"/>
      <c r="E360" s="47" t="n"/>
      <c r="F360" s="62" t="n"/>
      <c r="G360" s="112" t="n"/>
      <c r="H360" s="47" t="n"/>
      <c r="I360" s="112" t="n"/>
      <c r="J360" s="47" t="n"/>
      <c r="K360" s="47" t="n"/>
      <c r="L360" s="112" t="n"/>
      <c r="M360" s="47" t="n"/>
    </row>
    <row r="361">
      <c r="A361" s="40" t="n"/>
      <c r="B361" s="40" t="n"/>
      <c r="C361" s="40" t="n"/>
      <c r="D361" s="40" t="n"/>
      <c r="E361" s="40" t="n"/>
      <c r="F361" s="59" t="n"/>
      <c r="G361" s="110" t="n"/>
      <c r="H361" s="40" t="n"/>
      <c r="I361" s="110" t="n"/>
      <c r="J361" s="40" t="n"/>
      <c r="K361" s="40" t="n"/>
      <c r="L361" s="110" t="n"/>
      <c r="M361" s="40" t="n"/>
    </row>
    <row r="362">
      <c r="A362" s="47" t="n"/>
      <c r="B362" s="47" t="n"/>
      <c r="C362" s="47" t="n"/>
      <c r="D362" s="47" t="n"/>
      <c r="E362" s="47" t="n"/>
      <c r="F362" s="62" t="n"/>
      <c r="G362" s="112" t="n"/>
      <c r="H362" s="47" t="n"/>
      <c r="I362" s="112" t="n"/>
      <c r="J362" s="47" t="n"/>
      <c r="K362" s="47" t="n"/>
      <c r="L362" s="112" t="n"/>
      <c r="M362" s="47" t="n"/>
    </row>
    <row r="363">
      <c r="A363" s="40" t="n"/>
      <c r="B363" s="40" t="n"/>
      <c r="C363" s="40" t="n"/>
      <c r="D363" s="40" t="n"/>
      <c r="E363" s="40" t="n"/>
      <c r="F363" s="59" t="n"/>
      <c r="G363" s="110" t="n"/>
      <c r="H363" s="40" t="n"/>
      <c r="I363" s="110" t="n"/>
      <c r="J363" s="40" t="n"/>
      <c r="K363" s="40" t="n"/>
      <c r="L363" s="110" t="n"/>
      <c r="M363" s="40" t="n"/>
    </row>
    <row r="364">
      <c r="A364" s="47" t="n"/>
      <c r="B364" s="47" t="n"/>
      <c r="C364" s="47" t="n"/>
      <c r="D364" s="47" t="n"/>
      <c r="E364" s="47" t="n"/>
      <c r="F364" s="62" t="n"/>
      <c r="G364" s="112" t="n"/>
      <c r="H364" s="47" t="n"/>
      <c r="I364" s="112" t="n"/>
      <c r="J364" s="47" t="n"/>
      <c r="K364" s="47" t="n"/>
      <c r="L364" s="112" t="n"/>
      <c r="M364" s="47" t="n"/>
    </row>
    <row r="365">
      <c r="A365" s="40" t="n"/>
      <c r="B365" s="40" t="n"/>
      <c r="C365" s="40" t="n"/>
      <c r="D365" s="40" t="n"/>
      <c r="E365" s="40" t="n"/>
      <c r="F365" s="59" t="n"/>
      <c r="G365" s="110" t="n"/>
      <c r="H365" s="40" t="n"/>
      <c r="I365" s="110" t="n"/>
      <c r="J365" s="40" t="n"/>
      <c r="K365" s="40" t="n"/>
      <c r="L365" s="110" t="n"/>
      <c r="M365" s="40" t="n"/>
    </row>
    <row r="366">
      <c r="A366" s="47" t="n"/>
      <c r="B366" s="47" t="n"/>
      <c r="C366" s="47" t="n"/>
      <c r="D366" s="47" t="n"/>
      <c r="E366" s="47" t="n"/>
      <c r="F366" s="62" t="n"/>
      <c r="G366" s="112" t="n"/>
      <c r="H366" s="47" t="n"/>
      <c r="I366" s="112" t="n"/>
      <c r="J366" s="47" t="n"/>
      <c r="K366" s="47" t="n"/>
      <c r="L366" s="112" t="n"/>
      <c r="M366" s="47" t="n"/>
    </row>
    <row r="367">
      <c r="A367" s="40" t="n"/>
      <c r="B367" s="40" t="n"/>
      <c r="C367" s="40" t="n"/>
      <c r="D367" s="40" t="n"/>
      <c r="E367" s="40" t="n"/>
      <c r="F367" s="59" t="n"/>
      <c r="G367" s="110" t="n"/>
      <c r="H367" s="40" t="n"/>
      <c r="I367" s="110" t="n"/>
      <c r="J367" s="40" t="n"/>
      <c r="K367" s="40" t="n"/>
      <c r="L367" s="110" t="n"/>
      <c r="M367" s="40" t="n"/>
    </row>
    <row r="368">
      <c r="A368" s="47" t="n"/>
      <c r="B368" s="47" t="n"/>
      <c r="C368" s="47" t="n"/>
      <c r="D368" s="47" t="n"/>
      <c r="E368" s="47" t="n"/>
      <c r="F368" s="62" t="n"/>
      <c r="G368" s="112" t="n"/>
      <c r="H368" s="47" t="n"/>
      <c r="I368" s="112" t="n"/>
      <c r="J368" s="47" t="n"/>
      <c r="K368" s="47" t="n"/>
      <c r="L368" s="112" t="n"/>
      <c r="M368" s="47" t="n"/>
    </row>
    <row r="369">
      <c r="A369" s="40" t="n"/>
      <c r="B369" s="40" t="n"/>
      <c r="C369" s="40" t="n"/>
      <c r="D369" s="40" t="n"/>
      <c r="E369" s="40" t="n"/>
      <c r="F369" s="59" t="n"/>
      <c r="G369" s="110" t="n"/>
      <c r="H369" s="40" t="n"/>
      <c r="I369" s="110" t="n"/>
      <c r="J369" s="40" t="n"/>
      <c r="K369" s="40" t="n"/>
      <c r="L369" s="110" t="n"/>
      <c r="M369" s="40" t="n"/>
    </row>
    <row r="370">
      <c r="A370" s="47" t="n"/>
      <c r="B370" s="47" t="n"/>
      <c r="C370" s="47" t="n"/>
      <c r="D370" s="47" t="n"/>
      <c r="E370" s="47" t="n"/>
      <c r="F370" s="62" t="n"/>
      <c r="G370" s="112" t="n"/>
      <c r="H370" s="47" t="n"/>
      <c r="I370" s="112" t="n"/>
      <c r="J370" s="47" t="n"/>
      <c r="K370" s="47" t="n"/>
      <c r="L370" s="112" t="n"/>
      <c r="M370" s="47" t="n"/>
    </row>
    <row r="371">
      <c r="A371" s="40" t="n"/>
      <c r="B371" s="40" t="n"/>
      <c r="C371" s="40" t="n"/>
      <c r="D371" s="40" t="n"/>
      <c r="E371" s="40" t="n"/>
      <c r="F371" s="59" t="n"/>
      <c r="G371" s="110" t="n"/>
      <c r="H371" s="40" t="n"/>
      <c r="I371" s="110" t="n"/>
      <c r="J371" s="40" t="n"/>
      <c r="K371" s="40" t="n"/>
      <c r="L371" s="110" t="n"/>
      <c r="M371" s="40" t="n"/>
    </row>
    <row r="372">
      <c r="A372" s="47" t="n"/>
      <c r="B372" s="47" t="n"/>
      <c r="C372" s="47" t="n"/>
      <c r="D372" s="47" t="n"/>
      <c r="E372" s="47" t="n"/>
      <c r="F372" s="62" t="n"/>
      <c r="G372" s="112" t="n"/>
      <c r="H372" s="47" t="n"/>
      <c r="I372" s="112" t="n"/>
      <c r="J372" s="47" t="n"/>
      <c r="K372" s="47" t="n"/>
      <c r="L372" s="112" t="n"/>
      <c r="M372" s="47" t="n"/>
    </row>
    <row r="373">
      <c r="A373" s="40" t="n"/>
      <c r="B373" s="40" t="n"/>
      <c r="C373" s="40" t="n"/>
      <c r="D373" s="40" t="n"/>
      <c r="E373" s="40" t="n"/>
      <c r="F373" s="59" t="n"/>
      <c r="G373" s="110" t="n"/>
      <c r="H373" s="40" t="n"/>
      <c r="I373" s="110" t="n"/>
      <c r="J373" s="40" t="n"/>
      <c r="K373" s="40" t="n"/>
      <c r="L373" s="110" t="n"/>
      <c r="M373" s="40" t="n"/>
    </row>
    <row r="374">
      <c r="A374" s="47" t="n"/>
      <c r="B374" s="47" t="n"/>
      <c r="C374" s="47" t="n"/>
      <c r="D374" s="47" t="n"/>
      <c r="E374" s="47" t="n"/>
      <c r="F374" s="62" t="n"/>
      <c r="G374" s="112" t="n"/>
      <c r="H374" s="47" t="n"/>
      <c r="I374" s="112" t="n"/>
      <c r="J374" s="47" t="n"/>
      <c r="K374" s="47" t="n"/>
      <c r="L374" s="112" t="n"/>
      <c r="M374" s="47" t="n"/>
    </row>
    <row r="375">
      <c r="A375" s="40" t="n"/>
      <c r="B375" s="40" t="n"/>
      <c r="C375" s="40" t="n"/>
      <c r="D375" s="40" t="n"/>
      <c r="E375" s="40" t="n"/>
      <c r="F375" s="59" t="n"/>
      <c r="G375" s="110" t="n"/>
      <c r="H375" s="40" t="n"/>
      <c r="I375" s="110" t="n"/>
      <c r="J375" s="40" t="n"/>
      <c r="K375" s="40" t="n"/>
      <c r="L375" s="110" t="n"/>
      <c r="M375" s="40" t="n"/>
    </row>
    <row r="376">
      <c r="A376" s="47" t="n"/>
      <c r="B376" s="47" t="n"/>
      <c r="C376" s="47" t="n"/>
      <c r="D376" s="47" t="n"/>
      <c r="E376" s="47" t="n"/>
      <c r="F376" s="62" t="n"/>
      <c r="G376" s="112" t="n"/>
      <c r="H376" s="47" t="n"/>
      <c r="I376" s="112" t="n"/>
      <c r="J376" s="47" t="n"/>
      <c r="K376" s="47" t="n"/>
      <c r="L376" s="112" t="n"/>
      <c r="M376" s="47" t="n"/>
    </row>
    <row r="377">
      <c r="A377" s="40" t="n"/>
      <c r="B377" s="40" t="n"/>
      <c r="C377" s="40" t="n"/>
      <c r="D377" s="40" t="n"/>
      <c r="E377" s="40" t="n"/>
      <c r="F377" s="59" t="n"/>
      <c r="G377" s="110" t="n"/>
      <c r="H377" s="40" t="n"/>
      <c r="I377" s="110" t="n"/>
      <c r="J377" s="40" t="n"/>
      <c r="K377" s="40" t="n"/>
      <c r="L377" s="110" t="n"/>
      <c r="M377" s="40" t="n"/>
    </row>
    <row r="378">
      <c r="A378" s="47" t="n"/>
      <c r="B378" s="47" t="n"/>
      <c r="C378" s="47" t="n"/>
      <c r="D378" s="47" t="n"/>
      <c r="E378" s="47" t="n"/>
      <c r="F378" s="62" t="n"/>
      <c r="G378" s="112" t="n"/>
      <c r="H378" s="47" t="n"/>
      <c r="I378" s="112" t="n"/>
      <c r="J378" s="47" t="n"/>
      <c r="K378" s="47" t="n"/>
      <c r="L378" s="112" t="n"/>
      <c r="M378" s="47" t="n"/>
    </row>
    <row r="379">
      <c r="A379" s="40" t="n"/>
      <c r="B379" s="40" t="n"/>
      <c r="C379" s="40" t="n"/>
      <c r="D379" s="40" t="n"/>
      <c r="E379" s="40" t="n"/>
      <c r="F379" s="59" t="n"/>
      <c r="G379" s="110" t="n"/>
      <c r="H379" s="40" t="n"/>
      <c r="I379" s="110" t="n"/>
      <c r="J379" s="40" t="n"/>
      <c r="K379" s="40" t="n"/>
      <c r="L379" s="110" t="n"/>
      <c r="M379" s="40" t="n"/>
    </row>
    <row r="380">
      <c r="A380" s="47" t="n"/>
      <c r="B380" s="47" t="n"/>
      <c r="C380" s="47" t="n"/>
      <c r="D380" s="47" t="n"/>
      <c r="E380" s="47" t="n"/>
      <c r="F380" s="62" t="n"/>
      <c r="G380" s="112" t="n"/>
      <c r="H380" s="47" t="n"/>
      <c r="I380" s="112" t="n"/>
      <c r="J380" s="47" t="n"/>
      <c r="K380" s="47" t="n"/>
      <c r="L380" s="112" t="n"/>
      <c r="M380" s="47" t="n"/>
    </row>
    <row r="381">
      <c r="A381" s="40" t="n"/>
      <c r="B381" s="40" t="n"/>
      <c r="C381" s="40" t="n"/>
      <c r="D381" s="40" t="n"/>
      <c r="E381" s="40" t="n"/>
      <c r="F381" s="59" t="n"/>
      <c r="G381" s="110" t="n"/>
      <c r="H381" s="40" t="n"/>
      <c r="I381" s="110" t="n"/>
      <c r="J381" s="40" t="n"/>
      <c r="K381" s="40" t="n"/>
      <c r="L381" s="110" t="n"/>
      <c r="M381" s="40" t="n"/>
    </row>
    <row r="382">
      <c r="A382" s="47" t="n"/>
      <c r="B382" s="47" t="n"/>
      <c r="C382" s="47" t="n"/>
      <c r="D382" s="47" t="n"/>
      <c r="E382" s="47" t="n"/>
      <c r="F382" s="62" t="n"/>
      <c r="G382" s="112" t="n"/>
      <c r="H382" s="47" t="n"/>
      <c r="I382" s="112" t="n"/>
      <c r="J382" s="47" t="n"/>
      <c r="K382" s="47" t="n"/>
      <c r="L382" s="112" t="n"/>
      <c r="M382" s="47" t="n"/>
    </row>
    <row r="383">
      <c r="A383" s="40" t="n"/>
      <c r="B383" s="40" t="n"/>
      <c r="C383" s="40" t="n"/>
      <c r="D383" s="40" t="n"/>
      <c r="E383" s="40" t="n"/>
      <c r="F383" s="59" t="n"/>
      <c r="G383" s="110" t="n"/>
      <c r="H383" s="40" t="n"/>
      <c r="I383" s="110" t="n"/>
      <c r="J383" s="40" t="n"/>
      <c r="K383" s="40" t="n"/>
      <c r="L383" s="110" t="n"/>
      <c r="M383" s="40" t="n"/>
    </row>
    <row r="384">
      <c r="A384" s="47" t="n"/>
      <c r="B384" s="47" t="n"/>
      <c r="C384" s="47" t="n"/>
      <c r="D384" s="47" t="n"/>
      <c r="E384" s="47" t="n"/>
      <c r="F384" s="62" t="n"/>
      <c r="G384" s="112" t="n"/>
      <c r="H384" s="47" t="n"/>
      <c r="I384" s="112" t="n"/>
      <c r="J384" s="47" t="n"/>
      <c r="K384" s="47" t="n"/>
      <c r="L384" s="112" t="n"/>
      <c r="M384" s="47" t="n"/>
    </row>
    <row r="385">
      <c r="A385" s="40" t="n"/>
      <c r="B385" s="40" t="n"/>
      <c r="C385" s="40" t="n"/>
      <c r="D385" s="40" t="n"/>
      <c r="E385" s="40" t="n"/>
      <c r="F385" s="59" t="n"/>
      <c r="G385" s="110" t="n"/>
      <c r="H385" s="40" t="n"/>
      <c r="I385" s="110" t="n"/>
      <c r="J385" s="40" t="n"/>
      <c r="K385" s="40" t="n"/>
      <c r="L385" s="110" t="n"/>
      <c r="M385" s="40" t="n"/>
    </row>
    <row r="386">
      <c r="A386" s="47" t="n"/>
      <c r="B386" s="47" t="n"/>
      <c r="C386" s="47" t="n"/>
      <c r="D386" s="47" t="n"/>
      <c r="E386" s="47" t="n"/>
      <c r="F386" s="62" t="n"/>
      <c r="G386" s="112" t="n"/>
      <c r="H386" s="47" t="n"/>
      <c r="I386" s="112" t="n"/>
      <c r="J386" s="47" t="n"/>
      <c r="K386" s="47" t="n"/>
      <c r="L386" s="112" t="n"/>
      <c r="M386" s="47" t="n"/>
    </row>
    <row r="387">
      <c r="A387" s="40" t="n"/>
      <c r="B387" s="40" t="n"/>
      <c r="C387" s="40" t="n"/>
      <c r="D387" s="40" t="n"/>
      <c r="E387" s="40" t="n"/>
      <c r="F387" s="59" t="n"/>
      <c r="G387" s="110" t="n"/>
      <c r="H387" s="40" t="n"/>
      <c r="I387" s="110" t="n"/>
      <c r="J387" s="40" t="n"/>
      <c r="K387" s="40" t="n"/>
      <c r="L387" s="110" t="n"/>
      <c r="M387" s="40" t="n"/>
    </row>
    <row r="388">
      <c r="A388" s="47" t="n"/>
      <c r="B388" s="47" t="n"/>
      <c r="C388" s="47" t="n"/>
      <c r="D388" s="47" t="n"/>
      <c r="E388" s="47" t="n"/>
      <c r="F388" s="62" t="n"/>
      <c r="G388" s="112" t="n"/>
      <c r="H388" s="47" t="n"/>
      <c r="I388" s="112" t="n"/>
      <c r="J388" s="47" t="n"/>
      <c r="K388" s="47" t="n"/>
      <c r="L388" s="112" t="n"/>
      <c r="M388" s="47" t="n"/>
    </row>
    <row r="389">
      <c r="A389" s="40" t="n"/>
      <c r="B389" s="40" t="n"/>
      <c r="C389" s="40" t="n"/>
      <c r="D389" s="40" t="n"/>
      <c r="E389" s="40" t="n"/>
      <c r="F389" s="59" t="n"/>
      <c r="G389" s="110" t="n"/>
      <c r="H389" s="40" t="n"/>
      <c r="I389" s="110" t="n"/>
      <c r="J389" s="40" t="n"/>
      <c r="K389" s="40" t="n"/>
      <c r="L389" s="110" t="n"/>
      <c r="M389" s="40" t="n"/>
    </row>
    <row r="390">
      <c r="A390" s="47" t="n"/>
      <c r="B390" s="47" t="n"/>
      <c r="C390" s="47" t="n"/>
      <c r="D390" s="47" t="n"/>
      <c r="E390" s="47" t="n"/>
      <c r="F390" s="62" t="n"/>
      <c r="G390" s="112" t="n"/>
      <c r="H390" s="47" t="n"/>
      <c r="I390" s="112" t="n"/>
      <c r="J390" s="47" t="n"/>
      <c r="K390" s="47" t="n"/>
      <c r="L390" s="112" t="n"/>
      <c r="M390" s="47" t="n"/>
    </row>
    <row r="391">
      <c r="A391" s="40" t="n"/>
      <c r="B391" s="40" t="n"/>
      <c r="C391" s="40" t="n"/>
      <c r="D391" s="40" t="n"/>
      <c r="E391" s="40" t="n"/>
      <c r="F391" s="59" t="n"/>
      <c r="G391" s="110" t="n"/>
      <c r="H391" s="40" t="n"/>
      <c r="I391" s="110" t="n"/>
      <c r="J391" s="40" t="n"/>
      <c r="K391" s="40" t="n"/>
      <c r="L391" s="110" t="n"/>
      <c r="M391" s="40" t="n"/>
    </row>
    <row r="392">
      <c r="A392" s="47" t="n"/>
      <c r="B392" s="47" t="n"/>
      <c r="C392" s="47" t="n"/>
      <c r="D392" s="47" t="n"/>
      <c r="E392" s="47" t="n"/>
      <c r="F392" s="62" t="n"/>
      <c r="G392" s="112" t="n"/>
      <c r="H392" s="47" t="n"/>
      <c r="I392" s="112" t="n"/>
      <c r="J392" s="47" t="n"/>
      <c r="K392" s="47" t="n"/>
      <c r="L392" s="112" t="n"/>
      <c r="M392" s="47" t="n"/>
    </row>
    <row r="393">
      <c r="A393" s="40" t="n"/>
      <c r="B393" s="40" t="n"/>
      <c r="C393" s="40" t="n"/>
      <c r="D393" s="40" t="n"/>
      <c r="E393" s="40" t="n"/>
      <c r="F393" s="59" t="n"/>
      <c r="G393" s="110" t="n"/>
      <c r="H393" s="40" t="n"/>
      <c r="I393" s="110" t="n"/>
      <c r="J393" s="40" t="n"/>
      <c r="K393" s="40" t="n"/>
      <c r="L393" s="110" t="n"/>
      <c r="M393" s="40" t="n"/>
    </row>
    <row r="394">
      <c r="A394" s="47" t="n"/>
      <c r="B394" s="47" t="n"/>
      <c r="C394" s="47" t="n"/>
      <c r="D394" s="47" t="n"/>
      <c r="E394" s="47" t="n"/>
      <c r="F394" s="62" t="n"/>
      <c r="G394" s="112" t="n"/>
      <c r="H394" s="47" t="n"/>
      <c r="I394" s="112" t="n"/>
      <c r="J394" s="47" t="n"/>
      <c r="K394" s="47" t="n"/>
      <c r="L394" s="112" t="n"/>
      <c r="M394" s="47" t="n"/>
    </row>
    <row r="395">
      <c r="A395" s="40" t="n"/>
      <c r="B395" s="40" t="n"/>
      <c r="C395" s="40" t="n"/>
      <c r="D395" s="40" t="n"/>
      <c r="E395" s="40" t="n"/>
      <c r="F395" s="59" t="n"/>
      <c r="G395" s="110" t="n"/>
      <c r="H395" s="40" t="n"/>
      <c r="I395" s="110" t="n"/>
      <c r="J395" s="40" t="n"/>
      <c r="K395" s="40" t="n"/>
      <c r="L395" s="110" t="n"/>
      <c r="M395" s="40" t="n"/>
    </row>
    <row r="396">
      <c r="A396" s="47" t="n"/>
      <c r="B396" s="47" t="n"/>
      <c r="C396" s="47" t="n"/>
      <c r="D396" s="47" t="n"/>
      <c r="E396" s="47" t="n"/>
      <c r="F396" s="62" t="n"/>
      <c r="G396" s="112" t="n"/>
      <c r="H396" s="47" t="n"/>
      <c r="I396" s="112" t="n"/>
      <c r="J396" s="47" t="n"/>
      <c r="K396" s="47" t="n"/>
      <c r="L396" s="112" t="n"/>
      <c r="M396" s="47" t="n"/>
    </row>
    <row r="397">
      <c r="A397" s="40" t="n"/>
      <c r="B397" s="40" t="n"/>
      <c r="C397" s="40" t="n"/>
      <c r="D397" s="40" t="n"/>
      <c r="E397" s="40" t="n"/>
      <c r="F397" s="59" t="n"/>
      <c r="G397" s="110" t="n"/>
      <c r="H397" s="40" t="n"/>
      <c r="I397" s="110" t="n"/>
      <c r="J397" s="40" t="n"/>
      <c r="K397" s="40" t="n"/>
      <c r="L397" s="110" t="n"/>
      <c r="M397" s="40" t="n"/>
    </row>
    <row r="398">
      <c r="A398" s="47" t="n"/>
      <c r="B398" s="47" t="n"/>
      <c r="C398" s="47" t="n"/>
      <c r="D398" s="47" t="n"/>
      <c r="E398" s="47" t="n"/>
      <c r="F398" s="62" t="n"/>
      <c r="G398" s="112" t="n"/>
      <c r="H398" s="47" t="n"/>
      <c r="I398" s="112" t="n"/>
      <c r="J398" s="47" t="n"/>
      <c r="K398" s="47" t="n"/>
      <c r="L398" s="112" t="n"/>
      <c r="M398" s="47" t="n"/>
    </row>
    <row r="399">
      <c r="A399" s="40" t="n"/>
      <c r="B399" s="40" t="n"/>
      <c r="C399" s="40" t="n"/>
      <c r="D399" s="40" t="n"/>
      <c r="E399" s="40" t="n"/>
      <c r="F399" s="59" t="n"/>
      <c r="G399" s="110" t="n"/>
      <c r="H399" s="40" t="n"/>
      <c r="I399" s="110" t="n"/>
      <c r="J399" s="40" t="n"/>
      <c r="K399" s="40" t="n"/>
      <c r="L399" s="110" t="n"/>
      <c r="M399" s="40" t="n"/>
    </row>
    <row r="400">
      <c r="A400" s="47" t="n"/>
      <c r="B400" s="47" t="n"/>
      <c r="C400" s="47" t="n"/>
      <c r="D400" s="47" t="n"/>
      <c r="E400" s="47" t="n"/>
      <c r="F400" s="62" t="n"/>
      <c r="G400" s="112" t="n"/>
      <c r="H400" s="47" t="n"/>
      <c r="I400" s="112" t="n"/>
      <c r="J400" s="47" t="n"/>
      <c r="K400" s="47" t="n"/>
      <c r="L400" s="112" t="n"/>
      <c r="M400" s="47" t="n"/>
    </row>
    <row r="401">
      <c r="A401" s="40" t="n"/>
      <c r="B401" s="40" t="n"/>
      <c r="C401" s="40" t="n"/>
      <c r="D401" s="40" t="n"/>
      <c r="E401" s="40" t="n"/>
      <c r="F401" s="59" t="n"/>
      <c r="G401" s="110" t="n"/>
      <c r="H401" s="40" t="n"/>
      <c r="I401" s="110" t="n"/>
      <c r="J401" s="40" t="n"/>
      <c r="K401" s="40" t="n"/>
      <c r="L401" s="110" t="n"/>
      <c r="M401" s="40" t="n"/>
    </row>
    <row r="402">
      <c r="A402" s="47" t="n"/>
      <c r="B402" s="47" t="n"/>
      <c r="C402" s="47" t="n"/>
      <c r="D402" s="47" t="n"/>
      <c r="E402" s="47" t="n"/>
      <c r="F402" s="62" t="n"/>
      <c r="G402" s="112" t="n"/>
      <c r="H402" s="47" t="n"/>
      <c r="I402" s="112" t="n"/>
      <c r="J402" s="47" t="n"/>
      <c r="K402" s="47" t="n"/>
      <c r="L402" s="112" t="n"/>
      <c r="M402" s="47" t="n"/>
    </row>
    <row r="403">
      <c r="A403" s="40" t="n"/>
      <c r="B403" s="40" t="n"/>
      <c r="C403" s="40" t="n"/>
      <c r="D403" s="40" t="n"/>
      <c r="E403" s="40" t="n"/>
      <c r="F403" s="59" t="n"/>
      <c r="G403" s="110" t="n"/>
      <c r="H403" s="40" t="n"/>
      <c r="I403" s="110" t="n"/>
      <c r="J403" s="40" t="n"/>
      <c r="K403" s="40" t="n"/>
      <c r="L403" s="110" t="n"/>
      <c r="M403" s="40" t="n"/>
    </row>
    <row r="404">
      <c r="A404" s="47" t="n"/>
      <c r="B404" s="47" t="n"/>
      <c r="C404" s="47" t="n"/>
      <c r="D404" s="47" t="n"/>
      <c r="E404" s="47" t="n"/>
      <c r="F404" s="62" t="n"/>
      <c r="G404" s="112" t="n"/>
      <c r="H404" s="47" t="n"/>
      <c r="I404" s="112" t="n"/>
      <c r="J404" s="47" t="n"/>
      <c r="K404" s="47" t="n"/>
      <c r="L404" s="112" t="n"/>
      <c r="M404" s="47" t="n"/>
    </row>
    <row r="405">
      <c r="A405" s="40" t="n"/>
      <c r="B405" s="40" t="n"/>
      <c r="C405" s="40" t="n"/>
      <c r="D405" s="40" t="n"/>
      <c r="E405" s="40" t="n"/>
      <c r="F405" s="59" t="n"/>
      <c r="G405" s="110" t="n"/>
      <c r="H405" s="40" t="n"/>
      <c r="I405" s="110" t="n"/>
      <c r="J405" s="40" t="n"/>
      <c r="K405" s="40" t="n"/>
      <c r="L405" s="110" t="n"/>
      <c r="M405" s="40" t="n"/>
    </row>
    <row r="406">
      <c r="A406" s="47" t="n"/>
      <c r="B406" s="47" t="n"/>
      <c r="C406" s="47" t="n"/>
      <c r="D406" s="47" t="n"/>
      <c r="E406" s="47" t="n"/>
      <c r="F406" s="62" t="n"/>
      <c r="G406" s="112" t="n"/>
      <c r="H406" s="47" t="n"/>
      <c r="I406" s="112" t="n"/>
      <c r="J406" s="47" t="n"/>
      <c r="K406" s="47" t="n"/>
      <c r="L406" s="112" t="n"/>
      <c r="M406" s="47" t="n"/>
    </row>
    <row r="407">
      <c r="A407" s="40" t="n"/>
      <c r="B407" s="40" t="n"/>
      <c r="C407" s="40" t="n"/>
      <c r="D407" s="40" t="n"/>
      <c r="E407" s="40" t="n"/>
      <c r="F407" s="59" t="n"/>
      <c r="G407" s="110" t="n"/>
      <c r="H407" s="40" t="n"/>
      <c r="I407" s="110" t="n"/>
      <c r="J407" s="40" t="n"/>
      <c r="K407" s="40" t="n"/>
      <c r="L407" s="110" t="n"/>
      <c r="M407" s="40" t="n"/>
    </row>
    <row r="408">
      <c r="A408" s="47" t="n"/>
      <c r="B408" s="47" t="n"/>
      <c r="C408" s="47" t="n"/>
      <c r="D408" s="47" t="n"/>
      <c r="E408" s="47" t="n"/>
      <c r="F408" s="62" t="n"/>
      <c r="G408" s="112" t="n"/>
      <c r="H408" s="47" t="n"/>
      <c r="I408" s="112" t="n"/>
      <c r="J408" s="47" t="n"/>
      <c r="K408" s="47" t="n"/>
      <c r="L408" s="112" t="n"/>
      <c r="M408" s="47" t="n"/>
    </row>
    <row r="409">
      <c r="A409" s="40" t="n"/>
      <c r="B409" s="40" t="n"/>
      <c r="C409" s="40" t="n"/>
      <c r="D409" s="40" t="n"/>
      <c r="E409" s="40" t="n"/>
      <c r="F409" s="59" t="n"/>
      <c r="G409" s="110" t="n"/>
      <c r="H409" s="40" t="n"/>
      <c r="I409" s="110" t="n"/>
      <c r="J409" s="40" t="n"/>
      <c r="K409" s="40" t="n"/>
      <c r="L409" s="110" t="n"/>
      <c r="M409" s="40" t="n"/>
    </row>
    <row r="410">
      <c r="A410" s="47" t="n"/>
      <c r="B410" s="47" t="n"/>
      <c r="C410" s="47" t="n"/>
      <c r="D410" s="47" t="n"/>
      <c r="E410" s="47" t="n"/>
      <c r="F410" s="62" t="n"/>
      <c r="G410" s="112" t="n"/>
      <c r="H410" s="47" t="n"/>
      <c r="I410" s="112" t="n"/>
      <c r="J410" s="47" t="n"/>
      <c r="K410" s="47" t="n"/>
      <c r="L410" s="112" t="n"/>
      <c r="M410" s="47" t="n"/>
    </row>
    <row r="411">
      <c r="A411" s="40" t="n"/>
      <c r="B411" s="40" t="n"/>
      <c r="C411" s="40" t="n"/>
      <c r="D411" s="40" t="n"/>
      <c r="E411" s="40" t="n"/>
      <c r="F411" s="59" t="n"/>
      <c r="G411" s="110" t="n"/>
      <c r="H411" s="40" t="n"/>
      <c r="I411" s="110" t="n"/>
      <c r="J411" s="40" t="n"/>
      <c r="K411" s="40" t="n"/>
      <c r="L411" s="110" t="n"/>
      <c r="M411" s="40" t="n"/>
    </row>
    <row r="412">
      <c r="A412" s="47" t="n"/>
      <c r="B412" s="47" t="n"/>
      <c r="C412" s="47" t="n"/>
      <c r="D412" s="47" t="n"/>
      <c r="E412" s="47" t="n"/>
      <c r="F412" s="62" t="n"/>
      <c r="G412" s="112" t="n"/>
      <c r="H412" s="47" t="n"/>
      <c r="I412" s="112" t="n"/>
      <c r="J412" s="47" t="n"/>
      <c r="K412" s="47" t="n"/>
      <c r="L412" s="112" t="n"/>
      <c r="M412" s="47" t="n"/>
    </row>
    <row r="413">
      <c r="A413" s="40" t="n"/>
      <c r="B413" s="40" t="n"/>
      <c r="C413" s="40" t="n"/>
      <c r="D413" s="40" t="n"/>
      <c r="E413" s="40" t="n"/>
      <c r="F413" s="59" t="n"/>
      <c r="G413" s="110" t="n"/>
      <c r="H413" s="40" t="n"/>
      <c r="I413" s="110" t="n"/>
      <c r="J413" s="40" t="n"/>
      <c r="K413" s="40" t="n"/>
      <c r="L413" s="110" t="n"/>
      <c r="M413" s="40" t="n"/>
    </row>
    <row r="414">
      <c r="A414" s="47" t="n"/>
      <c r="B414" s="47" t="n"/>
      <c r="C414" s="47" t="n"/>
      <c r="D414" s="47" t="n"/>
      <c r="E414" s="47" t="n"/>
      <c r="F414" s="62" t="n"/>
      <c r="G414" s="112" t="n"/>
      <c r="H414" s="47" t="n"/>
      <c r="I414" s="112" t="n"/>
      <c r="J414" s="47" t="n"/>
      <c r="K414" s="47" t="n"/>
      <c r="L414" s="112" t="n"/>
      <c r="M414" s="47" t="n"/>
    </row>
    <row r="415">
      <c r="A415" s="40" t="n"/>
      <c r="B415" s="40" t="n"/>
      <c r="C415" s="40" t="n"/>
      <c r="D415" s="40" t="n"/>
      <c r="E415" s="40" t="n"/>
      <c r="F415" s="59" t="n"/>
      <c r="G415" s="110" t="n"/>
      <c r="H415" s="40" t="n"/>
      <c r="I415" s="110" t="n"/>
      <c r="J415" s="40" t="n"/>
      <c r="K415" s="40" t="n"/>
      <c r="L415" s="110" t="n"/>
      <c r="M415" s="40" t="n"/>
    </row>
    <row r="416">
      <c r="A416" s="47" t="n"/>
      <c r="B416" s="47" t="n"/>
      <c r="C416" s="47" t="n"/>
      <c r="D416" s="47" t="n"/>
      <c r="E416" s="47" t="n"/>
      <c r="F416" s="62" t="n"/>
      <c r="G416" s="112" t="n"/>
      <c r="H416" s="47" t="n"/>
      <c r="I416" s="112" t="n"/>
      <c r="J416" s="47" t="n"/>
      <c r="K416" s="47" t="n"/>
      <c r="L416" s="112" t="n"/>
      <c r="M416" s="47" t="n"/>
    </row>
    <row r="417">
      <c r="A417" s="40" t="n"/>
      <c r="B417" s="40" t="n"/>
      <c r="C417" s="40" t="n"/>
      <c r="D417" s="40" t="n"/>
      <c r="E417" s="40" t="n"/>
      <c r="F417" s="59" t="n"/>
      <c r="G417" s="110" t="n"/>
      <c r="H417" s="40" t="n"/>
      <c r="I417" s="110" t="n"/>
      <c r="J417" s="40" t="n"/>
      <c r="K417" s="40" t="n"/>
      <c r="L417" s="110" t="n"/>
      <c r="M417" s="40" t="n"/>
    </row>
    <row r="418">
      <c r="A418" s="47" t="n"/>
      <c r="B418" s="47" t="n"/>
      <c r="C418" s="47" t="n"/>
      <c r="D418" s="47" t="n"/>
      <c r="E418" s="47" t="n"/>
      <c r="F418" s="62" t="n"/>
      <c r="G418" s="112" t="n"/>
      <c r="H418" s="47" t="n"/>
      <c r="I418" s="112" t="n"/>
      <c r="J418" s="47" t="n"/>
      <c r="K418" s="47" t="n"/>
      <c r="L418" s="112" t="n"/>
      <c r="M418" s="47" t="n"/>
    </row>
    <row r="419">
      <c r="A419" s="40" t="n"/>
      <c r="B419" s="40" t="n"/>
      <c r="C419" s="40" t="n"/>
      <c r="D419" s="40" t="n"/>
      <c r="E419" s="40" t="n"/>
      <c r="F419" s="59" t="n"/>
      <c r="G419" s="110" t="n"/>
      <c r="H419" s="40" t="n"/>
      <c r="I419" s="110" t="n"/>
      <c r="J419" s="40" t="n"/>
      <c r="K419" s="40" t="n"/>
      <c r="L419" s="110" t="n"/>
      <c r="M419" s="40" t="n"/>
    </row>
    <row r="420">
      <c r="A420" s="47" t="n"/>
      <c r="B420" s="47" t="n"/>
      <c r="C420" s="47" t="n"/>
      <c r="D420" s="47" t="n"/>
      <c r="E420" s="47" t="n"/>
      <c r="F420" s="62" t="n"/>
      <c r="G420" s="112" t="n"/>
      <c r="H420" s="47" t="n"/>
      <c r="I420" s="112" t="n"/>
      <c r="J420" s="47" t="n"/>
      <c r="K420" s="47" t="n"/>
      <c r="L420" s="112" t="n"/>
      <c r="M420" s="47" t="n"/>
    </row>
    <row r="421">
      <c r="A421" s="40" t="n"/>
      <c r="B421" s="40" t="n"/>
      <c r="C421" s="40" t="n"/>
      <c r="D421" s="40" t="n"/>
      <c r="E421" s="40" t="n"/>
      <c r="F421" s="59" t="n"/>
      <c r="G421" s="110" t="n"/>
      <c r="H421" s="40" t="n"/>
      <c r="I421" s="110" t="n"/>
      <c r="J421" s="40" t="n"/>
      <c r="K421" s="40" t="n"/>
      <c r="L421" s="110" t="n"/>
      <c r="M421" s="40" t="n"/>
    </row>
    <row r="422">
      <c r="A422" s="47" t="n"/>
      <c r="B422" s="47" t="n"/>
      <c r="C422" s="47" t="n"/>
      <c r="D422" s="47" t="n"/>
      <c r="E422" s="47" t="n"/>
      <c r="F422" s="62" t="n"/>
      <c r="G422" s="112" t="n"/>
      <c r="H422" s="47" t="n"/>
      <c r="I422" s="112" t="n"/>
      <c r="J422" s="47" t="n"/>
      <c r="K422" s="47" t="n"/>
      <c r="L422" s="112" t="n"/>
      <c r="M422" s="47" t="n"/>
    </row>
    <row r="423">
      <c r="A423" s="40" t="n"/>
      <c r="B423" s="40" t="n"/>
      <c r="C423" s="40" t="n"/>
      <c r="D423" s="40" t="n"/>
      <c r="E423" s="40" t="n"/>
      <c r="F423" s="59" t="n"/>
      <c r="G423" s="110" t="n"/>
      <c r="H423" s="40" t="n"/>
      <c r="I423" s="110" t="n"/>
      <c r="J423" s="40" t="n"/>
      <c r="K423" s="40" t="n"/>
      <c r="L423" s="110" t="n"/>
      <c r="M423" s="40" t="n"/>
    </row>
    <row r="424">
      <c r="A424" s="47" t="n"/>
      <c r="B424" s="47" t="n"/>
      <c r="C424" s="47" t="n"/>
      <c r="D424" s="47" t="n"/>
      <c r="E424" s="47" t="n"/>
      <c r="F424" s="62" t="n"/>
      <c r="G424" s="112" t="n"/>
      <c r="H424" s="47" t="n"/>
      <c r="I424" s="112" t="n"/>
      <c r="J424" s="47" t="n"/>
      <c r="K424" s="47" t="n"/>
      <c r="L424" s="112" t="n"/>
      <c r="M424" s="47" t="n"/>
    </row>
    <row r="425">
      <c r="A425" s="40" t="n"/>
      <c r="B425" s="40" t="n"/>
      <c r="C425" s="40" t="n"/>
      <c r="D425" s="40" t="n"/>
      <c r="E425" s="40" t="n"/>
      <c r="F425" s="59" t="n"/>
      <c r="G425" s="110" t="n"/>
      <c r="H425" s="40" t="n"/>
      <c r="I425" s="110" t="n"/>
      <c r="J425" s="40" t="n"/>
      <c r="K425" s="40" t="n"/>
      <c r="L425" s="110" t="n"/>
      <c r="M425" s="40" t="n"/>
    </row>
    <row r="426">
      <c r="A426" s="47" t="n"/>
      <c r="B426" s="47" t="n"/>
      <c r="C426" s="47" t="n"/>
      <c r="D426" s="47" t="n"/>
      <c r="E426" s="47" t="n"/>
      <c r="F426" s="62" t="n"/>
      <c r="G426" s="112" t="n"/>
      <c r="H426" s="47" t="n"/>
      <c r="I426" s="112" t="n"/>
      <c r="J426" s="47" t="n"/>
      <c r="K426" s="47" t="n"/>
      <c r="L426" s="112" t="n"/>
      <c r="M426" s="47" t="n"/>
    </row>
    <row r="427">
      <c r="A427" s="40" t="n"/>
      <c r="B427" s="40" t="n"/>
      <c r="C427" s="40" t="n"/>
      <c r="D427" s="40" t="n"/>
      <c r="E427" s="40" t="n"/>
      <c r="F427" s="59" t="n"/>
      <c r="G427" s="110" t="n"/>
      <c r="H427" s="40" t="n"/>
      <c r="I427" s="110" t="n"/>
      <c r="J427" s="40" t="n"/>
      <c r="K427" s="40" t="n"/>
      <c r="L427" s="110" t="n"/>
      <c r="M427" s="40" t="n"/>
    </row>
    <row r="428">
      <c r="A428" s="47" t="n"/>
      <c r="B428" s="47" t="n"/>
      <c r="C428" s="47" t="n"/>
      <c r="D428" s="47" t="n"/>
      <c r="E428" s="47" t="n"/>
      <c r="F428" s="62" t="n"/>
      <c r="G428" s="112" t="n"/>
      <c r="H428" s="47" t="n"/>
      <c r="I428" s="112" t="n"/>
      <c r="J428" s="47" t="n"/>
      <c r="K428" s="47" t="n"/>
      <c r="L428" s="112" t="n"/>
      <c r="M428" s="47" t="n"/>
    </row>
    <row r="429">
      <c r="A429" s="40" t="n"/>
      <c r="B429" s="40" t="n"/>
      <c r="C429" s="40" t="n"/>
      <c r="D429" s="40" t="n"/>
      <c r="E429" s="40" t="n"/>
      <c r="F429" s="59" t="n"/>
      <c r="G429" s="110" t="n"/>
      <c r="H429" s="40" t="n"/>
      <c r="I429" s="110" t="n"/>
      <c r="J429" s="40" t="n"/>
      <c r="K429" s="40" t="n"/>
      <c r="L429" s="110" t="n"/>
      <c r="M429" s="40" t="n"/>
    </row>
    <row r="430">
      <c r="A430" s="47" t="n"/>
      <c r="B430" s="47" t="n"/>
      <c r="C430" s="47" t="n"/>
      <c r="D430" s="47" t="n"/>
      <c r="E430" s="47" t="n"/>
      <c r="F430" s="62" t="n"/>
      <c r="G430" s="112" t="n"/>
      <c r="H430" s="47" t="n"/>
      <c r="I430" s="112" t="n"/>
      <c r="J430" s="47" t="n"/>
      <c r="K430" s="47" t="n"/>
      <c r="L430" s="112" t="n"/>
      <c r="M430" s="47" t="n"/>
    </row>
    <row r="431">
      <c r="A431" s="40" t="n"/>
      <c r="B431" s="40" t="n"/>
      <c r="C431" s="40" t="n"/>
      <c r="D431" s="40" t="n"/>
      <c r="E431" s="40" t="n"/>
      <c r="F431" s="59" t="n"/>
      <c r="G431" s="110" t="n"/>
      <c r="H431" s="40" t="n"/>
      <c r="I431" s="110" t="n"/>
      <c r="J431" s="40" t="n"/>
      <c r="K431" s="40" t="n"/>
      <c r="L431" s="110" t="n"/>
      <c r="M431" s="40" t="n"/>
    </row>
    <row r="432">
      <c r="A432" s="47" t="n"/>
      <c r="B432" s="47" t="n"/>
      <c r="C432" s="47" t="n"/>
      <c r="D432" s="47" t="n"/>
      <c r="E432" s="47" t="n"/>
      <c r="F432" s="62" t="n"/>
      <c r="G432" s="112" t="n"/>
      <c r="H432" s="47" t="n"/>
      <c r="I432" s="112" t="n"/>
      <c r="J432" s="47" t="n"/>
      <c r="K432" s="47" t="n"/>
      <c r="L432" s="112" t="n"/>
      <c r="M432" s="47" t="n"/>
    </row>
    <row r="433">
      <c r="A433" s="40" t="n"/>
      <c r="B433" s="40" t="n"/>
      <c r="C433" s="40" t="n"/>
      <c r="D433" s="40" t="n"/>
      <c r="E433" s="40" t="n"/>
      <c r="F433" s="59" t="n"/>
      <c r="G433" s="110" t="n"/>
      <c r="H433" s="40" t="n"/>
      <c r="I433" s="110" t="n"/>
      <c r="J433" s="40" t="n"/>
      <c r="K433" s="40" t="n"/>
      <c r="L433" s="110" t="n"/>
      <c r="M433" s="40" t="n"/>
    </row>
    <row r="434">
      <c r="A434" s="47" t="n"/>
      <c r="B434" s="47" t="n"/>
      <c r="C434" s="47" t="n"/>
      <c r="D434" s="47" t="n"/>
      <c r="E434" s="47" t="n"/>
      <c r="F434" s="62" t="n"/>
      <c r="G434" s="112" t="n"/>
      <c r="H434" s="47" t="n"/>
      <c r="I434" s="112" t="n"/>
      <c r="J434" s="47" t="n"/>
      <c r="K434" s="47" t="n"/>
      <c r="L434" s="112" t="n"/>
      <c r="M434" s="47" t="n"/>
    </row>
    <row r="435">
      <c r="A435" s="40" t="n"/>
      <c r="B435" s="40" t="n"/>
      <c r="C435" s="40" t="n"/>
      <c r="D435" s="40" t="n"/>
      <c r="E435" s="40" t="n"/>
      <c r="F435" s="59" t="n"/>
      <c r="G435" s="110" t="n"/>
      <c r="H435" s="40" t="n"/>
      <c r="I435" s="110" t="n"/>
      <c r="J435" s="40" t="n"/>
      <c r="K435" s="40" t="n"/>
      <c r="L435" s="110" t="n"/>
      <c r="M435" s="40" t="n"/>
    </row>
    <row r="436">
      <c r="A436" s="47" t="n"/>
      <c r="B436" s="47" t="n"/>
      <c r="C436" s="47" t="n"/>
      <c r="D436" s="47" t="n"/>
      <c r="E436" s="47" t="n"/>
      <c r="F436" s="62" t="n"/>
      <c r="G436" s="112" t="n"/>
      <c r="H436" s="47" t="n"/>
      <c r="I436" s="112" t="n"/>
      <c r="J436" s="47" t="n"/>
      <c r="K436" s="47" t="n"/>
      <c r="L436" s="112" t="n"/>
      <c r="M436" s="47" t="n"/>
    </row>
    <row r="437">
      <c r="A437" s="40" t="n"/>
      <c r="B437" s="40" t="n"/>
      <c r="C437" s="40" t="n"/>
      <c r="D437" s="40" t="n"/>
      <c r="E437" s="40" t="n"/>
      <c r="F437" s="59" t="n"/>
      <c r="G437" s="110" t="n"/>
      <c r="H437" s="40" t="n"/>
      <c r="I437" s="110" t="n"/>
      <c r="J437" s="40" t="n"/>
      <c r="K437" s="40" t="n"/>
      <c r="L437" s="110" t="n"/>
      <c r="M437" s="40" t="n"/>
    </row>
    <row r="438">
      <c r="A438" s="47" t="n"/>
      <c r="B438" s="47" t="n"/>
      <c r="C438" s="47" t="n"/>
      <c r="D438" s="47" t="n"/>
      <c r="E438" s="47" t="n"/>
      <c r="F438" s="62" t="n"/>
      <c r="G438" s="112" t="n"/>
      <c r="H438" s="47" t="n"/>
      <c r="I438" s="112" t="n"/>
      <c r="J438" s="47" t="n"/>
      <c r="K438" s="47" t="n"/>
      <c r="L438" s="112" t="n"/>
      <c r="M438" s="47" t="n"/>
    </row>
    <row r="439">
      <c r="A439" s="40" t="n"/>
      <c r="B439" s="40" t="n"/>
      <c r="C439" s="40" t="n"/>
      <c r="D439" s="40" t="n"/>
      <c r="E439" s="40" t="n"/>
      <c r="F439" s="59" t="n"/>
      <c r="G439" s="110" t="n"/>
      <c r="H439" s="40" t="n"/>
      <c r="I439" s="110" t="n"/>
      <c r="J439" s="40" t="n"/>
      <c r="K439" s="40" t="n"/>
      <c r="L439" s="110" t="n"/>
      <c r="M439" s="40" t="n"/>
    </row>
    <row r="440">
      <c r="A440" s="47" t="n"/>
      <c r="B440" s="47" t="n"/>
      <c r="C440" s="47" t="n"/>
      <c r="D440" s="47" t="n"/>
      <c r="E440" s="47" t="n"/>
      <c r="F440" s="62" t="n"/>
      <c r="G440" s="112" t="n"/>
      <c r="H440" s="47" t="n"/>
      <c r="I440" s="112" t="n"/>
      <c r="J440" s="47" t="n"/>
      <c r="K440" s="47" t="n"/>
      <c r="L440" s="112" t="n"/>
      <c r="M440" s="47" t="n"/>
    </row>
    <row r="441">
      <c r="A441" s="40" t="n"/>
      <c r="B441" s="40" t="n"/>
      <c r="C441" s="40" t="n"/>
      <c r="D441" s="40" t="n"/>
      <c r="E441" s="40" t="n"/>
      <c r="F441" s="59" t="n"/>
      <c r="G441" s="110" t="n"/>
      <c r="H441" s="40" t="n"/>
      <c r="I441" s="110" t="n"/>
      <c r="J441" s="40" t="n"/>
      <c r="K441" s="40" t="n"/>
      <c r="L441" s="110" t="n"/>
      <c r="M441" s="40" t="n"/>
    </row>
    <row r="442">
      <c r="A442" s="47" t="n"/>
      <c r="B442" s="47" t="n"/>
      <c r="C442" s="47" t="n"/>
      <c r="D442" s="47" t="n"/>
      <c r="E442" s="47" t="n"/>
      <c r="F442" s="62" t="n"/>
      <c r="G442" s="112" t="n"/>
      <c r="H442" s="47" t="n"/>
      <c r="I442" s="112" t="n"/>
      <c r="J442" s="47" t="n"/>
      <c r="K442" s="47" t="n"/>
      <c r="L442" s="112" t="n"/>
      <c r="M442" s="47" t="n"/>
    </row>
    <row r="443">
      <c r="A443" s="40" t="n"/>
      <c r="B443" s="40" t="n"/>
      <c r="C443" s="40" t="n"/>
      <c r="D443" s="40" t="n"/>
      <c r="E443" s="40" t="n"/>
      <c r="F443" s="59" t="n"/>
      <c r="G443" s="110" t="n"/>
      <c r="H443" s="40" t="n"/>
      <c r="I443" s="110" t="n"/>
      <c r="J443" s="40" t="n"/>
      <c r="K443" s="40" t="n"/>
      <c r="L443" s="110" t="n"/>
      <c r="M443" s="40" t="n"/>
    </row>
    <row r="444">
      <c r="A444" s="47" t="n"/>
      <c r="B444" s="47" t="n"/>
      <c r="C444" s="47" t="n"/>
      <c r="D444" s="47" t="n"/>
      <c r="E444" s="47" t="n"/>
      <c r="F444" s="62" t="n"/>
      <c r="G444" s="112" t="n"/>
      <c r="H444" s="47" t="n"/>
      <c r="I444" s="112" t="n"/>
      <c r="J444" s="47" t="n"/>
      <c r="K444" s="47" t="n"/>
      <c r="L444" s="112" t="n"/>
      <c r="M444" s="47" t="n"/>
    </row>
    <row r="445">
      <c r="A445" s="40" t="n"/>
      <c r="B445" s="40" t="n"/>
      <c r="C445" s="40" t="n"/>
      <c r="D445" s="40" t="n"/>
      <c r="E445" s="40" t="n"/>
      <c r="F445" s="59" t="n"/>
      <c r="G445" s="110" t="n"/>
      <c r="H445" s="40" t="n"/>
      <c r="I445" s="110" t="n"/>
      <c r="J445" s="40" t="n"/>
      <c r="K445" s="40" t="n"/>
      <c r="L445" s="110" t="n"/>
      <c r="M445" s="40" t="n"/>
    </row>
    <row r="446">
      <c r="A446" s="47" t="n"/>
      <c r="B446" s="47" t="n"/>
      <c r="C446" s="47" t="n"/>
      <c r="D446" s="47" t="n"/>
      <c r="E446" s="47" t="n"/>
      <c r="F446" s="62" t="n"/>
      <c r="G446" s="112" t="n"/>
      <c r="H446" s="47" t="n"/>
      <c r="I446" s="112" t="n"/>
      <c r="J446" s="47" t="n"/>
      <c r="K446" s="47" t="n"/>
      <c r="L446" s="112" t="n"/>
      <c r="M446" s="47" t="n"/>
    </row>
    <row r="447">
      <c r="A447" s="40" t="n"/>
      <c r="B447" s="40" t="n"/>
      <c r="C447" s="40" t="n"/>
      <c r="D447" s="40" t="n"/>
      <c r="E447" s="40" t="n"/>
      <c r="F447" s="59" t="n"/>
      <c r="G447" s="110" t="n"/>
      <c r="H447" s="40" t="n"/>
      <c r="I447" s="110" t="n"/>
      <c r="J447" s="40" t="n"/>
      <c r="K447" s="40" t="n"/>
      <c r="L447" s="110" t="n"/>
      <c r="M447" s="40" t="n"/>
    </row>
    <row r="448">
      <c r="A448" s="47" t="n"/>
      <c r="B448" s="47" t="n"/>
      <c r="C448" s="47" t="n"/>
      <c r="D448" s="47" t="n"/>
      <c r="E448" s="47" t="n"/>
      <c r="F448" s="62" t="n"/>
      <c r="G448" s="112" t="n"/>
      <c r="H448" s="47" t="n"/>
      <c r="I448" s="112" t="n"/>
      <c r="J448" s="47" t="n"/>
      <c r="K448" s="47" t="n"/>
      <c r="L448" s="112" t="n"/>
      <c r="M448" s="47" t="n"/>
    </row>
    <row r="449">
      <c r="A449" s="40" t="n"/>
      <c r="B449" s="40" t="n"/>
      <c r="C449" s="40" t="n"/>
      <c r="D449" s="40" t="n"/>
      <c r="E449" s="40" t="n"/>
      <c r="F449" s="59" t="n"/>
      <c r="G449" s="110" t="n"/>
      <c r="H449" s="40" t="n"/>
      <c r="I449" s="110" t="n"/>
      <c r="J449" s="40" t="n"/>
      <c r="K449" s="40" t="n"/>
      <c r="L449" s="110" t="n"/>
      <c r="M449" s="40" t="n"/>
    </row>
    <row r="450">
      <c r="A450" s="47" t="n"/>
      <c r="B450" s="47" t="n"/>
      <c r="C450" s="47" t="n"/>
      <c r="D450" s="47" t="n"/>
      <c r="E450" s="47" t="n"/>
      <c r="F450" s="62" t="n"/>
      <c r="G450" s="112" t="n"/>
      <c r="H450" s="47" t="n"/>
      <c r="I450" s="112" t="n"/>
      <c r="J450" s="47" t="n"/>
      <c r="K450" s="47" t="n"/>
      <c r="L450" s="112" t="n"/>
      <c r="M450" s="47" t="n"/>
    </row>
    <row r="451">
      <c r="A451" s="40" t="n"/>
      <c r="B451" s="40" t="n"/>
      <c r="C451" s="40" t="n"/>
      <c r="D451" s="40" t="n"/>
      <c r="E451" s="40" t="n"/>
      <c r="F451" s="59" t="n"/>
      <c r="G451" s="110" t="n"/>
      <c r="H451" s="40" t="n"/>
      <c r="I451" s="110" t="n"/>
      <c r="J451" s="40" t="n"/>
      <c r="K451" s="40" t="n"/>
      <c r="L451" s="110" t="n"/>
      <c r="M451" s="40" t="n"/>
    </row>
    <row r="452">
      <c r="A452" s="47" t="n"/>
      <c r="B452" s="47" t="n"/>
      <c r="C452" s="47" t="n"/>
      <c r="D452" s="47" t="n"/>
      <c r="E452" s="47" t="n"/>
      <c r="F452" s="62" t="n"/>
      <c r="G452" s="112" t="n"/>
      <c r="H452" s="47" t="n"/>
      <c r="I452" s="112" t="n"/>
      <c r="J452" s="47" t="n"/>
      <c r="K452" s="47" t="n"/>
      <c r="L452" s="112" t="n"/>
      <c r="M452" s="47" t="n"/>
    </row>
    <row r="453">
      <c r="A453" s="40" t="n"/>
      <c r="B453" s="40" t="n"/>
      <c r="C453" s="40" t="n"/>
      <c r="D453" s="40" t="n"/>
      <c r="E453" s="40" t="n"/>
      <c r="F453" s="59" t="n"/>
      <c r="G453" s="110" t="n"/>
      <c r="H453" s="40" t="n"/>
      <c r="I453" s="110" t="n"/>
      <c r="J453" s="40" t="n"/>
      <c r="K453" s="40" t="n"/>
      <c r="L453" s="110" t="n"/>
      <c r="M453" s="40" t="n"/>
    </row>
    <row r="454">
      <c r="A454" s="47" t="n"/>
      <c r="B454" s="47" t="n"/>
      <c r="C454" s="47" t="n"/>
      <c r="D454" s="47" t="n"/>
      <c r="E454" s="47" t="n"/>
      <c r="F454" s="62" t="n"/>
      <c r="G454" s="112" t="n"/>
      <c r="H454" s="47" t="n"/>
      <c r="I454" s="112" t="n"/>
      <c r="J454" s="47" t="n"/>
      <c r="K454" s="47" t="n"/>
      <c r="L454" s="112" t="n"/>
      <c r="M454" s="47" t="n"/>
    </row>
    <row r="455">
      <c r="A455" s="40" t="n"/>
      <c r="B455" s="40" t="n"/>
      <c r="C455" s="40" t="n"/>
      <c r="D455" s="40" t="n"/>
      <c r="E455" s="40" t="n"/>
      <c r="F455" s="59" t="n"/>
      <c r="G455" s="110" t="n"/>
      <c r="H455" s="40" t="n"/>
      <c r="I455" s="110" t="n"/>
      <c r="J455" s="40" t="n"/>
      <c r="K455" s="40" t="n"/>
      <c r="L455" s="110" t="n"/>
      <c r="M455" s="40" t="n"/>
    </row>
    <row r="456">
      <c r="A456" s="47" t="n"/>
      <c r="B456" s="47" t="n"/>
      <c r="C456" s="47" t="n"/>
      <c r="D456" s="47" t="n"/>
      <c r="E456" s="47" t="n"/>
      <c r="F456" s="62" t="n"/>
      <c r="G456" s="112" t="n"/>
      <c r="H456" s="47" t="n"/>
      <c r="I456" s="112" t="n"/>
      <c r="J456" s="47" t="n"/>
      <c r="K456" s="47" t="n"/>
      <c r="L456" s="112" t="n"/>
      <c r="M456" s="47" t="n"/>
    </row>
    <row r="457">
      <c r="A457" s="40" t="n"/>
      <c r="B457" s="40" t="n"/>
      <c r="C457" s="40" t="n"/>
      <c r="D457" s="40" t="n"/>
      <c r="E457" s="40" t="n"/>
      <c r="F457" s="59" t="n"/>
      <c r="G457" s="110" t="n"/>
      <c r="H457" s="40" t="n"/>
      <c r="I457" s="110" t="n"/>
      <c r="J457" s="40" t="n"/>
      <c r="K457" s="40" t="n"/>
      <c r="L457" s="110" t="n"/>
      <c r="M457" s="40" t="n"/>
    </row>
    <row r="458">
      <c r="A458" s="47" t="n"/>
      <c r="B458" s="47" t="n"/>
      <c r="C458" s="47" t="n"/>
      <c r="D458" s="47" t="n"/>
      <c r="E458" s="47" t="n"/>
      <c r="F458" s="62" t="n"/>
      <c r="G458" s="112" t="n"/>
      <c r="H458" s="47" t="n"/>
      <c r="I458" s="112" t="n"/>
      <c r="J458" s="47" t="n"/>
      <c r="K458" s="47" t="n"/>
      <c r="L458" s="112" t="n"/>
      <c r="M458" s="47" t="n"/>
    </row>
    <row r="459">
      <c r="A459" s="40" t="n"/>
      <c r="B459" s="40" t="n"/>
      <c r="C459" s="40" t="n"/>
      <c r="D459" s="40" t="n"/>
      <c r="E459" s="40" t="n"/>
      <c r="F459" s="59" t="n"/>
      <c r="G459" s="110" t="n"/>
      <c r="H459" s="40" t="n"/>
      <c r="I459" s="110" t="n"/>
      <c r="J459" s="40" t="n"/>
      <c r="K459" s="40" t="n"/>
      <c r="L459" s="110" t="n"/>
      <c r="M459" s="40" t="n"/>
    </row>
    <row r="460">
      <c r="A460" s="47" t="n"/>
      <c r="B460" s="47" t="n"/>
      <c r="C460" s="47" t="n"/>
      <c r="D460" s="47" t="n"/>
      <c r="E460" s="47" t="n"/>
      <c r="F460" s="62" t="n"/>
      <c r="G460" s="112" t="n"/>
      <c r="H460" s="47" t="n"/>
      <c r="I460" s="112" t="n"/>
      <c r="J460" s="47" t="n"/>
      <c r="K460" s="47" t="n"/>
      <c r="L460" s="112" t="n"/>
      <c r="M460" s="47" t="n"/>
    </row>
    <row r="461">
      <c r="A461" s="40" t="n"/>
      <c r="B461" s="40" t="n"/>
      <c r="C461" s="40" t="n"/>
      <c r="D461" s="40" t="n"/>
      <c r="E461" s="40" t="n"/>
      <c r="F461" s="59" t="n"/>
      <c r="G461" s="110" t="n"/>
      <c r="H461" s="40" t="n"/>
      <c r="I461" s="110" t="n"/>
      <c r="J461" s="40" t="n"/>
      <c r="K461" s="40" t="n"/>
      <c r="L461" s="110" t="n"/>
      <c r="M461" s="40" t="n"/>
    </row>
    <row r="462">
      <c r="A462" s="47" t="n"/>
      <c r="B462" s="47" t="n"/>
      <c r="C462" s="47" t="n"/>
      <c r="D462" s="47" t="n"/>
      <c r="E462" s="47" t="n"/>
      <c r="F462" s="62" t="n"/>
      <c r="G462" s="112" t="n"/>
      <c r="H462" s="47" t="n"/>
      <c r="I462" s="112" t="n"/>
      <c r="J462" s="47" t="n"/>
      <c r="K462" s="47" t="n"/>
      <c r="L462" s="112" t="n"/>
      <c r="M462" s="47" t="n"/>
    </row>
    <row r="463">
      <c r="A463" s="40" t="n"/>
      <c r="B463" s="40" t="n"/>
      <c r="C463" s="40" t="n"/>
      <c r="D463" s="40" t="n"/>
      <c r="E463" s="40" t="n"/>
      <c r="F463" s="59" t="n"/>
      <c r="G463" s="110" t="n"/>
      <c r="H463" s="40" t="n"/>
      <c r="I463" s="110" t="n"/>
      <c r="J463" s="40" t="n"/>
      <c r="K463" s="40" t="n"/>
      <c r="L463" s="110" t="n"/>
      <c r="M463" s="40" t="n"/>
    </row>
    <row r="464">
      <c r="A464" s="47" t="n"/>
      <c r="B464" s="47" t="n"/>
      <c r="C464" s="47" t="n"/>
      <c r="D464" s="47" t="n"/>
      <c r="E464" s="47" t="n"/>
      <c r="F464" s="62" t="n"/>
      <c r="G464" s="112" t="n"/>
      <c r="H464" s="47" t="n"/>
      <c r="I464" s="112" t="n"/>
      <c r="J464" s="47" t="n"/>
      <c r="K464" s="47" t="n"/>
      <c r="L464" s="112" t="n"/>
      <c r="M464" s="47" t="n"/>
    </row>
    <row r="465">
      <c r="A465" s="40" t="n"/>
      <c r="B465" s="40" t="n"/>
      <c r="C465" s="40" t="n"/>
      <c r="D465" s="40" t="n"/>
      <c r="E465" s="40" t="n"/>
      <c r="F465" s="59" t="n"/>
      <c r="G465" s="110" t="n"/>
      <c r="H465" s="40" t="n"/>
      <c r="I465" s="110" t="n"/>
      <c r="J465" s="40" t="n"/>
      <c r="K465" s="40" t="n"/>
      <c r="L465" s="110" t="n"/>
      <c r="M465" s="40" t="n"/>
    </row>
    <row r="466">
      <c r="A466" s="47" t="n"/>
      <c r="B466" s="47" t="n"/>
      <c r="C466" s="47" t="n"/>
      <c r="D466" s="47" t="n"/>
      <c r="E466" s="47" t="n"/>
      <c r="F466" s="62" t="n"/>
      <c r="G466" s="112" t="n"/>
      <c r="H466" s="47" t="n"/>
      <c r="I466" s="112" t="n"/>
      <c r="J466" s="47" t="n"/>
      <c r="K466" s="47" t="n"/>
      <c r="L466" s="112" t="n"/>
      <c r="M466" s="47" t="n"/>
    </row>
    <row r="467">
      <c r="A467" s="40" t="n"/>
      <c r="B467" s="40" t="n"/>
      <c r="C467" s="40" t="n"/>
      <c r="D467" s="40" t="n"/>
      <c r="E467" s="40" t="n"/>
      <c r="F467" s="59" t="n"/>
      <c r="G467" s="110" t="n"/>
      <c r="H467" s="40" t="n"/>
      <c r="I467" s="110" t="n"/>
      <c r="J467" s="40" t="n"/>
      <c r="K467" s="40" t="n"/>
      <c r="L467" s="110" t="n"/>
      <c r="M467" s="40" t="n"/>
    </row>
    <row r="468">
      <c r="A468" s="47" t="n"/>
      <c r="B468" s="47" t="n"/>
      <c r="C468" s="47" t="n"/>
      <c r="D468" s="47" t="n"/>
      <c r="E468" s="47" t="n"/>
      <c r="F468" s="62" t="n"/>
      <c r="G468" s="112" t="n"/>
      <c r="H468" s="47" t="n"/>
      <c r="I468" s="112" t="n"/>
      <c r="J468" s="47" t="n"/>
      <c r="K468" s="47" t="n"/>
      <c r="L468" s="112" t="n"/>
      <c r="M468" s="47" t="n"/>
    </row>
    <row r="469">
      <c r="A469" s="40" t="n"/>
      <c r="B469" s="40" t="n"/>
      <c r="C469" s="40" t="n"/>
      <c r="D469" s="40" t="n"/>
      <c r="E469" s="40" t="n"/>
      <c r="F469" s="59" t="n"/>
      <c r="G469" s="110" t="n"/>
      <c r="H469" s="40" t="n"/>
      <c r="I469" s="110" t="n"/>
      <c r="J469" s="40" t="n"/>
      <c r="K469" s="40" t="n"/>
      <c r="L469" s="110" t="n"/>
      <c r="M469" s="40" t="n"/>
    </row>
    <row r="470">
      <c r="A470" s="47" t="n"/>
      <c r="B470" s="47" t="n"/>
      <c r="C470" s="47" t="n"/>
      <c r="D470" s="47" t="n"/>
      <c r="E470" s="47" t="n"/>
      <c r="F470" s="62" t="n"/>
      <c r="G470" s="112" t="n"/>
      <c r="H470" s="47" t="n"/>
      <c r="I470" s="112" t="n"/>
      <c r="J470" s="47" t="n"/>
      <c r="K470" s="47" t="n"/>
      <c r="L470" s="112" t="n"/>
      <c r="M470" s="47" t="n"/>
    </row>
    <row r="471">
      <c r="A471" s="40" t="n"/>
      <c r="B471" s="40" t="n"/>
      <c r="C471" s="40" t="n"/>
      <c r="D471" s="40" t="n"/>
      <c r="E471" s="40" t="n"/>
      <c r="F471" s="59" t="n"/>
      <c r="G471" s="110" t="n"/>
      <c r="H471" s="40" t="n"/>
      <c r="I471" s="110" t="n"/>
      <c r="J471" s="40" t="n"/>
      <c r="K471" s="40" t="n"/>
      <c r="L471" s="110" t="n"/>
      <c r="M471" s="40" t="n"/>
    </row>
    <row r="472">
      <c r="A472" s="47" t="n"/>
      <c r="B472" s="47" t="n"/>
      <c r="C472" s="47" t="n"/>
      <c r="D472" s="47" t="n"/>
      <c r="E472" s="47" t="n"/>
      <c r="F472" s="62" t="n"/>
      <c r="G472" s="112" t="n"/>
      <c r="H472" s="47" t="n"/>
      <c r="I472" s="112" t="n"/>
      <c r="J472" s="47" t="n"/>
      <c r="K472" s="47" t="n"/>
      <c r="L472" s="112" t="n"/>
      <c r="M472" s="47" t="n"/>
    </row>
    <row r="473">
      <c r="A473" s="40" t="n"/>
      <c r="B473" s="40" t="n"/>
      <c r="C473" s="40" t="n"/>
      <c r="D473" s="40" t="n"/>
      <c r="E473" s="40" t="n"/>
      <c r="F473" s="59" t="n"/>
      <c r="G473" s="110" t="n"/>
      <c r="H473" s="40" t="n"/>
      <c r="I473" s="110" t="n"/>
      <c r="J473" s="40" t="n"/>
      <c r="K473" s="40" t="n"/>
      <c r="L473" s="110" t="n"/>
      <c r="M473" s="40" t="n"/>
    </row>
    <row r="474">
      <c r="A474" s="47" t="n"/>
      <c r="B474" s="47" t="n"/>
      <c r="C474" s="47" t="n"/>
      <c r="D474" s="47" t="n"/>
      <c r="E474" s="47" t="n"/>
      <c r="F474" s="62" t="n"/>
      <c r="G474" s="112" t="n"/>
      <c r="H474" s="47" t="n"/>
      <c r="I474" s="112" t="n"/>
      <c r="J474" s="47" t="n"/>
      <c r="K474" s="47" t="n"/>
      <c r="L474" s="112" t="n"/>
      <c r="M474" s="47" t="n"/>
    </row>
    <row r="475">
      <c r="A475" s="40" t="n"/>
      <c r="B475" s="40" t="n"/>
      <c r="C475" s="40" t="n"/>
      <c r="D475" s="40" t="n"/>
      <c r="E475" s="40" t="n"/>
      <c r="F475" s="59" t="n"/>
      <c r="G475" s="110" t="n"/>
      <c r="H475" s="40" t="n"/>
      <c r="I475" s="110" t="n"/>
      <c r="J475" s="40" t="n"/>
      <c r="K475" s="40" t="n"/>
      <c r="L475" s="110" t="n"/>
      <c r="M475" s="40" t="n"/>
    </row>
    <row r="476">
      <c r="A476" s="47" t="n"/>
      <c r="B476" s="47" t="n"/>
      <c r="C476" s="47" t="n"/>
      <c r="D476" s="47" t="n"/>
      <c r="E476" s="47" t="n"/>
      <c r="F476" s="62" t="n"/>
      <c r="G476" s="112" t="n"/>
      <c r="H476" s="47" t="n"/>
      <c r="I476" s="112" t="n"/>
      <c r="J476" s="47" t="n"/>
      <c r="K476" s="47" t="n"/>
      <c r="L476" s="112" t="n"/>
      <c r="M476" s="47" t="n"/>
    </row>
    <row r="477">
      <c r="A477" s="40" t="n"/>
      <c r="B477" s="40" t="n"/>
      <c r="C477" s="40" t="n"/>
      <c r="D477" s="40" t="n"/>
      <c r="E477" s="40" t="n"/>
      <c r="F477" s="59" t="n"/>
      <c r="G477" s="110" t="n"/>
      <c r="H477" s="40" t="n"/>
      <c r="I477" s="110" t="n"/>
      <c r="J477" s="40" t="n"/>
      <c r="K477" s="40" t="n"/>
      <c r="L477" s="110" t="n"/>
      <c r="M477" s="40" t="n"/>
    </row>
    <row r="478">
      <c r="A478" s="47" t="n"/>
      <c r="B478" s="47" t="n"/>
      <c r="C478" s="47" t="n"/>
      <c r="D478" s="47" t="n"/>
      <c r="E478" s="47" t="n"/>
      <c r="F478" s="62" t="n"/>
      <c r="G478" s="112" t="n"/>
      <c r="H478" s="47" t="n"/>
      <c r="I478" s="112" t="n"/>
      <c r="J478" s="47" t="n"/>
      <c r="K478" s="47" t="n"/>
      <c r="L478" s="112" t="n"/>
      <c r="M478" s="47" t="n"/>
    </row>
    <row r="479">
      <c r="A479" s="40" t="n"/>
      <c r="B479" s="40" t="n"/>
      <c r="C479" s="40" t="n"/>
      <c r="D479" s="40" t="n"/>
      <c r="E479" s="40" t="n"/>
      <c r="F479" s="59" t="n"/>
      <c r="G479" s="110" t="n"/>
      <c r="H479" s="40" t="n"/>
      <c r="I479" s="110" t="n"/>
      <c r="J479" s="40" t="n"/>
      <c r="K479" s="40" t="n"/>
      <c r="L479" s="110" t="n"/>
      <c r="M479" s="40" t="n"/>
    </row>
    <row r="480">
      <c r="A480" s="47" t="n"/>
      <c r="B480" s="47" t="n"/>
      <c r="C480" s="47" t="n"/>
      <c r="D480" s="47" t="n"/>
      <c r="E480" s="47" t="n"/>
      <c r="F480" s="62" t="n"/>
      <c r="G480" s="112" t="n"/>
      <c r="H480" s="47" t="n"/>
      <c r="I480" s="112" t="n"/>
      <c r="J480" s="47" t="n"/>
      <c r="K480" s="47" t="n"/>
      <c r="L480" s="112" t="n"/>
      <c r="M480" s="47" t="n"/>
    </row>
    <row r="481">
      <c r="A481" s="40" t="n"/>
      <c r="B481" s="40" t="n"/>
      <c r="C481" s="40" t="n"/>
      <c r="D481" s="40" t="n"/>
      <c r="E481" s="40" t="n"/>
      <c r="F481" s="59" t="n"/>
      <c r="G481" s="110" t="n"/>
      <c r="H481" s="40" t="n"/>
      <c r="I481" s="110" t="n"/>
      <c r="J481" s="40" t="n"/>
      <c r="K481" s="40" t="n"/>
      <c r="L481" s="110" t="n"/>
      <c r="M481" s="40" t="n"/>
    </row>
    <row r="482">
      <c r="A482" s="47" t="n"/>
      <c r="B482" s="47" t="n"/>
      <c r="C482" s="47" t="n"/>
      <c r="D482" s="47" t="n"/>
      <c r="E482" s="47" t="n"/>
      <c r="F482" s="62" t="n"/>
      <c r="G482" s="112" t="n"/>
      <c r="H482" s="47" t="n"/>
      <c r="I482" s="112" t="n"/>
      <c r="J482" s="47" t="n"/>
      <c r="K482" s="47" t="n"/>
      <c r="L482" s="112" t="n"/>
      <c r="M482" s="47" t="n"/>
    </row>
    <row r="483">
      <c r="A483" s="40" t="n"/>
      <c r="B483" s="40" t="n"/>
      <c r="C483" s="40" t="n"/>
      <c r="D483" s="40" t="n"/>
      <c r="E483" s="40" t="n"/>
      <c r="F483" s="59" t="n"/>
      <c r="G483" s="110" t="n"/>
      <c r="H483" s="40" t="n"/>
      <c r="I483" s="110" t="n"/>
      <c r="J483" s="40" t="n"/>
      <c r="K483" s="40" t="n"/>
      <c r="L483" s="110" t="n"/>
      <c r="M483" s="40" t="n"/>
    </row>
    <row r="484">
      <c r="A484" s="47" t="n"/>
      <c r="B484" s="47" t="n"/>
      <c r="C484" s="47" t="n"/>
      <c r="D484" s="47" t="n"/>
      <c r="E484" s="47" t="n"/>
      <c r="F484" s="62" t="n"/>
      <c r="G484" s="112" t="n"/>
      <c r="H484" s="47" t="n"/>
      <c r="I484" s="112" t="n"/>
      <c r="J484" s="47" t="n"/>
      <c r="K484" s="47" t="n"/>
      <c r="L484" s="112" t="n"/>
      <c r="M484" s="47" t="n"/>
    </row>
    <row r="485">
      <c r="A485" s="40" t="n"/>
      <c r="B485" s="40" t="n"/>
      <c r="C485" s="40" t="n"/>
      <c r="D485" s="40" t="n"/>
      <c r="E485" s="40" t="n"/>
      <c r="F485" s="59" t="n"/>
      <c r="G485" s="110" t="n"/>
      <c r="H485" s="40" t="n"/>
      <c r="I485" s="110" t="n"/>
      <c r="J485" s="40" t="n"/>
      <c r="K485" s="40" t="n"/>
      <c r="L485" s="110" t="n"/>
      <c r="M485" s="40" t="n"/>
    </row>
    <row r="486">
      <c r="A486" s="47" t="n"/>
      <c r="B486" s="47" t="n"/>
      <c r="C486" s="47" t="n"/>
      <c r="D486" s="47" t="n"/>
      <c r="E486" s="47" t="n"/>
      <c r="F486" s="62" t="n"/>
      <c r="G486" s="112" t="n"/>
      <c r="H486" s="47" t="n"/>
      <c r="I486" s="112" t="n"/>
      <c r="J486" s="47" t="n"/>
      <c r="K486" s="47" t="n"/>
      <c r="L486" s="112" t="n"/>
      <c r="M486" s="47" t="n"/>
    </row>
    <row r="487">
      <c r="A487" s="40" t="n"/>
      <c r="B487" s="40" t="n"/>
      <c r="C487" s="40" t="n"/>
      <c r="D487" s="40" t="n"/>
      <c r="E487" s="40" t="n"/>
      <c r="F487" s="59" t="n"/>
      <c r="G487" s="110" t="n"/>
      <c r="H487" s="40" t="n"/>
      <c r="I487" s="110" t="n"/>
      <c r="J487" s="40" t="n"/>
      <c r="K487" s="40" t="n"/>
      <c r="L487" s="110" t="n"/>
      <c r="M487" s="40" t="n"/>
    </row>
    <row r="488">
      <c r="A488" s="47" t="n"/>
      <c r="B488" s="47" t="n"/>
      <c r="C488" s="47" t="n"/>
      <c r="D488" s="47" t="n"/>
      <c r="E488" s="47" t="n"/>
      <c r="F488" s="62" t="n"/>
      <c r="G488" s="112" t="n"/>
      <c r="H488" s="47" t="n"/>
      <c r="I488" s="112" t="n"/>
      <c r="J488" s="47" t="n"/>
      <c r="K488" s="47" t="n"/>
      <c r="L488" s="112" t="n"/>
      <c r="M488" s="47" t="n"/>
    </row>
    <row r="489">
      <c r="A489" s="40" t="n"/>
      <c r="B489" s="40" t="n"/>
      <c r="C489" s="40" t="n"/>
      <c r="D489" s="40" t="n"/>
      <c r="E489" s="40" t="n"/>
      <c r="F489" s="59" t="n"/>
      <c r="G489" s="110" t="n"/>
      <c r="H489" s="40" t="n"/>
      <c r="I489" s="110" t="n"/>
      <c r="J489" s="40" t="n"/>
      <c r="K489" s="40" t="n"/>
      <c r="L489" s="110" t="n"/>
      <c r="M489" s="40" t="n"/>
    </row>
    <row r="490">
      <c r="A490" s="47" t="n"/>
      <c r="B490" s="47" t="n"/>
      <c r="C490" s="47" t="n"/>
      <c r="D490" s="47" t="n"/>
      <c r="E490" s="47" t="n"/>
      <c r="F490" s="62" t="n"/>
      <c r="G490" s="112" t="n"/>
      <c r="H490" s="47" t="n"/>
      <c r="I490" s="112" t="n"/>
      <c r="J490" s="47" t="n"/>
      <c r="K490" s="47" t="n"/>
      <c r="L490" s="112" t="n"/>
      <c r="M490" s="47" t="n"/>
    </row>
    <row r="491">
      <c r="A491" s="40" t="n"/>
      <c r="B491" s="40" t="n"/>
      <c r="C491" s="40" t="n"/>
      <c r="D491" s="40" t="n"/>
      <c r="E491" s="40" t="n"/>
      <c r="F491" s="59" t="n"/>
      <c r="G491" s="110" t="n"/>
      <c r="H491" s="40" t="n"/>
      <c r="I491" s="110" t="n"/>
      <c r="J491" s="40" t="n"/>
      <c r="K491" s="40" t="n"/>
      <c r="L491" s="110" t="n"/>
      <c r="M491" s="40" t="n"/>
    </row>
    <row r="492">
      <c r="A492" s="47" t="n"/>
      <c r="B492" s="47" t="n"/>
      <c r="C492" s="47" t="n"/>
      <c r="D492" s="47" t="n"/>
      <c r="E492" s="47" t="n"/>
      <c r="F492" s="62" t="n"/>
      <c r="G492" s="112" t="n"/>
      <c r="H492" s="47" t="n"/>
      <c r="I492" s="112" t="n"/>
      <c r="J492" s="47" t="n"/>
      <c r="K492" s="47" t="n"/>
      <c r="L492" s="112" t="n"/>
      <c r="M492" s="47" t="n"/>
    </row>
    <row r="493">
      <c r="A493" s="40" t="n"/>
      <c r="B493" s="40" t="n"/>
      <c r="C493" s="40" t="n"/>
      <c r="D493" s="40" t="n"/>
      <c r="E493" s="40" t="n"/>
      <c r="F493" s="59" t="n"/>
      <c r="G493" s="110" t="n"/>
      <c r="H493" s="40" t="n"/>
      <c r="I493" s="110" t="n"/>
      <c r="J493" s="40" t="n"/>
      <c r="K493" s="40" t="n"/>
      <c r="L493" s="110" t="n"/>
      <c r="M493" s="40" t="n"/>
    </row>
    <row r="494">
      <c r="A494" s="47" t="n"/>
      <c r="B494" s="47" t="n"/>
      <c r="C494" s="47" t="n"/>
      <c r="D494" s="47" t="n"/>
      <c r="E494" s="47" t="n"/>
      <c r="F494" s="62" t="n"/>
      <c r="G494" s="112" t="n"/>
      <c r="H494" s="47" t="n"/>
      <c r="I494" s="112" t="n"/>
      <c r="J494" s="47" t="n"/>
      <c r="K494" s="47" t="n"/>
      <c r="L494" s="112" t="n"/>
      <c r="M494" s="47" t="n"/>
    </row>
    <row r="495">
      <c r="A495" s="40" t="n"/>
      <c r="B495" s="40" t="n"/>
      <c r="C495" s="40" t="n"/>
      <c r="D495" s="40" t="n"/>
      <c r="E495" s="40" t="n"/>
      <c r="F495" s="59" t="n"/>
      <c r="G495" s="110" t="n"/>
      <c r="H495" s="40" t="n"/>
      <c r="I495" s="110" t="n"/>
      <c r="J495" s="40" t="n"/>
      <c r="K495" s="40" t="n"/>
      <c r="L495" s="110" t="n"/>
      <c r="M495" s="40" t="n"/>
    </row>
    <row r="496">
      <c r="A496" s="47" t="n"/>
      <c r="B496" s="47" t="n"/>
      <c r="C496" s="47" t="n"/>
      <c r="D496" s="47" t="n"/>
      <c r="E496" s="47" t="n"/>
      <c r="F496" s="62" t="n"/>
      <c r="G496" s="112" t="n"/>
      <c r="H496" s="47" t="n"/>
      <c r="I496" s="112" t="n"/>
      <c r="J496" s="47" t="n"/>
      <c r="K496" s="47" t="n"/>
      <c r="L496" s="112" t="n"/>
      <c r="M496" s="47" t="n"/>
    </row>
    <row r="497">
      <c r="A497" s="40" t="n"/>
      <c r="B497" s="40" t="n"/>
      <c r="C497" s="40" t="n"/>
      <c r="D497" s="40" t="n"/>
      <c r="E497" s="40" t="n"/>
      <c r="F497" s="59" t="n"/>
      <c r="G497" s="110" t="n"/>
      <c r="H497" s="40" t="n"/>
      <c r="I497" s="110" t="n"/>
      <c r="J497" s="40" t="n"/>
      <c r="K497" s="40" t="n"/>
      <c r="L497" s="110" t="n"/>
      <c r="M497" s="40" t="n"/>
    </row>
    <row r="498">
      <c r="A498" s="47" t="n"/>
      <c r="B498" s="47" t="n"/>
      <c r="C498" s="47" t="n"/>
      <c r="D498" s="47" t="n"/>
      <c r="E498" s="47" t="n"/>
      <c r="F498" s="62" t="n"/>
      <c r="G498" s="112" t="n"/>
      <c r="H498" s="47" t="n"/>
      <c r="I498" s="112" t="n"/>
      <c r="J498" s="47" t="n"/>
      <c r="K498" s="47" t="n"/>
      <c r="L498" s="112" t="n"/>
      <c r="M498" s="47" t="n"/>
    </row>
    <row r="499">
      <c r="A499" s="40" t="n"/>
      <c r="B499" s="40" t="n"/>
      <c r="C499" s="40" t="n"/>
      <c r="D499" s="40" t="n"/>
      <c r="E499" s="40" t="n"/>
      <c r="F499" s="59" t="n"/>
      <c r="G499" s="110" t="n"/>
      <c r="H499" s="40" t="n"/>
      <c r="I499" s="110" t="n"/>
      <c r="J499" s="40" t="n"/>
      <c r="K499" s="40" t="n"/>
      <c r="L499" s="110" t="n"/>
      <c r="M499" s="40" t="n"/>
    </row>
    <row r="500">
      <c r="A500" s="47" t="n"/>
      <c r="B500" s="47" t="n"/>
      <c r="C500" s="47" t="n"/>
      <c r="D500" s="47" t="n"/>
      <c r="E500" s="47" t="n"/>
      <c r="F500" s="62" t="n"/>
      <c r="G500" s="112" t="n"/>
      <c r="H500" s="47" t="n"/>
      <c r="I500" s="112" t="n"/>
      <c r="J500" s="47" t="n"/>
      <c r="K500" s="47" t="n"/>
      <c r="L500" s="112" t="n"/>
      <c r="M500" s="47" t="n"/>
    </row>
    <row r="501">
      <c r="A501" s="40" t="n"/>
      <c r="B501" s="40" t="n"/>
      <c r="C501" s="40" t="n"/>
      <c r="D501" s="40" t="n"/>
      <c r="E501" s="40" t="n"/>
      <c r="F501" s="59" t="n"/>
      <c r="G501" s="110" t="n"/>
      <c r="H501" s="40" t="n"/>
      <c r="I501" s="110" t="n"/>
      <c r="J501" s="40" t="n"/>
      <c r="K501" s="40" t="n"/>
      <c r="L501" s="110" t="n"/>
      <c r="M501" s="40" t="n"/>
    </row>
    <row r="502">
      <c r="A502" s="47" t="n"/>
      <c r="B502" s="47" t="n"/>
      <c r="C502" s="47" t="n"/>
      <c r="D502" s="47" t="n"/>
      <c r="E502" s="47" t="n"/>
      <c r="F502" s="62" t="n"/>
      <c r="G502" s="112" t="n"/>
      <c r="H502" s="47" t="n"/>
      <c r="I502" s="112" t="n"/>
      <c r="J502" s="47" t="n"/>
      <c r="K502" s="47" t="n"/>
      <c r="L502" s="112" t="n"/>
      <c r="M502" s="4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C605"/>
  <autoFilter ref="A2:M502"/>
  <mergeCells count="1">
    <mergeCell ref="A1:M1"/>
  </mergeCells>
  <conditionalFormatting sqref="H3:H502">
    <cfRule type="cellIs" priority="1" operator="equal" dxfId="2">
      <formula>"تم التعيين"</formula>
    </cfRule>
    <cfRule type="cellIs" priority="2" operator="equal" dxfId="3">
      <formula>"مرفوض"</formula>
    </cfRule>
  </conditionalFormatting>
  <dataValidations count="3">
    <dataValidation sqref="H3:H502" showDropDown="0" showInputMessage="0" showErrorMessage="1" allowBlank="1" type="list" errorStyle="stop">
      <formula1>"جديد,قيد المراجعة,مقابلة,مقبول,مرفوض,تم التعيين,منسحب"</formula1>
    </dataValidation>
    <dataValidation sqref="J3:J502" showDropDown="0" showInputMessage="0" showErrorMessage="1" allowBlank="1" type="list" errorStyle="stop">
      <formula1>"ممتاز,جيد جدًا,جيد,مقبول,ضعيف"</formula1>
    </dataValidation>
    <dataValidation sqref="K3:K502" showDropDown="0" showInputMessage="0" showErrorMessage="1" allowBlank="1" type="list" errorStyle="stop">
      <formula1>"مقبول,مرفوض,قيد الانتظار,تم التعيين"</formula1>
    </dataValidation>
  </dataValidation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tabColor rgb="00BF8F00"/>
    <outlinePr summaryBelow="1" summaryRight="1"/>
    <pageSetUpPr fitToPage="1"/>
  </sheetPr>
  <dimension ref="A1:J502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4" customWidth="1" min="3" max="3"/>
    <col width="20" customWidth="1" min="4" max="4"/>
    <col width="13" customWidth="1" min="5" max="5"/>
    <col width="13" customWidth="1" min="6" max="6"/>
    <col width="12" customWidth="1" min="7" max="7"/>
    <col width="14" customWidth="1" min="8" max="8"/>
    <col width="14" customWidth="1" min="9" max="9"/>
    <col width="24" customWidth="1" min="10" max="10"/>
  </cols>
  <sheetData>
    <row r="1" ht="32" customHeight="1">
      <c r="A1" s="1" t="inlineStr">
        <is>
          <t>التدريب  —  نموذج إدخال</t>
        </is>
      </c>
    </row>
    <row r="2" ht="42" customHeight="1">
      <c r="A2" s="38" t="inlineStr">
        <is>
          <t>الرقم الوظيفي</t>
        </is>
      </c>
      <c r="B2" s="38" t="inlineStr">
        <is>
          <t>اسم الموظف</t>
        </is>
      </c>
      <c r="C2" s="38" t="inlineStr">
        <is>
          <t>اسم الدورة</t>
        </is>
      </c>
      <c r="D2" s="38" t="inlineStr">
        <is>
          <t>الجهة التدريبية</t>
        </is>
      </c>
      <c r="E2" s="38" t="inlineStr">
        <is>
          <t>تاريخ البداية</t>
        </is>
      </c>
      <c r="F2" s="38" t="inlineStr">
        <is>
          <t>تاريخ النهاية</t>
        </is>
      </c>
      <c r="G2" s="38" t="inlineStr">
        <is>
          <t>التكلفة</t>
        </is>
      </c>
      <c r="H2" s="38" t="inlineStr">
        <is>
          <t>حالة الحضور</t>
        </is>
      </c>
      <c r="I2" s="38" t="inlineStr">
        <is>
          <t>نتيجة التدريب</t>
        </is>
      </c>
      <c r="J2" s="38" t="inlineStr">
        <is>
          <t>الملاحظات</t>
        </is>
      </c>
    </row>
    <row r="3">
      <c r="A3" s="40" t="n"/>
      <c r="B3" s="43">
        <f>IFERROR(INDEX(الموظفون_الاسم,MATCH($A3,الموظفون_الرقم,0)),"")</f>
        <v/>
      </c>
      <c r="C3" s="40" t="n"/>
      <c r="D3" s="40" t="n"/>
      <c r="E3" s="110" t="n"/>
      <c r="F3" s="110" t="n"/>
      <c r="G3" s="42" t="n"/>
      <c r="H3" s="40" t="n"/>
      <c r="I3" s="40" t="n"/>
      <c r="J3" s="40" t="n"/>
    </row>
    <row r="4">
      <c r="A4" s="47" t="n"/>
      <c r="B4" s="50">
        <f>IFERROR(INDEX(الموظفون_الاسم,MATCH($A4,الموظفون_الرقم,0)),"")</f>
        <v/>
      </c>
      <c r="C4" s="47" t="n"/>
      <c r="D4" s="47" t="n"/>
      <c r="E4" s="112" t="n"/>
      <c r="F4" s="112" t="n"/>
      <c r="G4" s="49" t="n"/>
      <c r="H4" s="47" t="n"/>
      <c r="I4" s="47" t="n"/>
      <c r="J4" s="47" t="n"/>
    </row>
    <row r="5">
      <c r="A5" s="40" t="n"/>
      <c r="B5" s="43">
        <f>IFERROR(INDEX(الموظفون_الاسم,MATCH($A5,الموظفون_الرقم,0)),"")</f>
        <v/>
      </c>
      <c r="C5" s="40" t="n"/>
      <c r="D5" s="40" t="n"/>
      <c r="E5" s="110" t="n"/>
      <c r="F5" s="110" t="n"/>
      <c r="G5" s="42" t="n"/>
      <c r="H5" s="40" t="n"/>
      <c r="I5" s="40" t="n"/>
      <c r="J5" s="40" t="n"/>
    </row>
    <row r="6">
      <c r="A6" s="47" t="n"/>
      <c r="B6" s="50">
        <f>IFERROR(INDEX(الموظفون_الاسم,MATCH($A6,الموظفون_الرقم,0)),"")</f>
        <v/>
      </c>
      <c r="C6" s="47" t="n"/>
      <c r="D6" s="47" t="n"/>
      <c r="E6" s="112" t="n"/>
      <c r="F6" s="112" t="n"/>
      <c r="G6" s="49" t="n"/>
      <c r="H6" s="47" t="n"/>
      <c r="I6" s="47" t="n"/>
      <c r="J6" s="47" t="n"/>
    </row>
    <row r="7">
      <c r="A7" s="40" t="n"/>
      <c r="B7" s="43">
        <f>IFERROR(INDEX(الموظفون_الاسم,MATCH($A7,الموظفون_الرقم,0)),"")</f>
        <v/>
      </c>
      <c r="C7" s="40" t="n"/>
      <c r="D7" s="40" t="n"/>
      <c r="E7" s="110" t="n"/>
      <c r="F7" s="110" t="n"/>
      <c r="G7" s="42" t="n"/>
      <c r="H7" s="40" t="n"/>
      <c r="I7" s="40" t="n"/>
      <c r="J7" s="40" t="n"/>
    </row>
    <row r="8">
      <c r="A8" s="47" t="n"/>
      <c r="B8" s="50">
        <f>IFERROR(INDEX(الموظفون_الاسم,MATCH($A8,الموظفون_الرقم,0)),"")</f>
        <v/>
      </c>
      <c r="C8" s="47" t="n"/>
      <c r="D8" s="47" t="n"/>
      <c r="E8" s="112" t="n"/>
      <c r="F8" s="112" t="n"/>
      <c r="G8" s="49" t="n"/>
      <c r="H8" s="47" t="n"/>
      <c r="I8" s="47" t="n"/>
      <c r="J8" s="47" t="n"/>
    </row>
    <row r="9">
      <c r="A9" s="40" t="n"/>
      <c r="B9" s="43">
        <f>IFERROR(INDEX(الموظفون_الاسم,MATCH($A9,الموظفون_الرقم,0)),"")</f>
        <v/>
      </c>
      <c r="C9" s="40" t="n"/>
      <c r="D9" s="40" t="n"/>
      <c r="E9" s="110" t="n"/>
      <c r="F9" s="110" t="n"/>
      <c r="G9" s="42" t="n"/>
      <c r="H9" s="40" t="n"/>
      <c r="I9" s="40" t="n"/>
      <c r="J9" s="40" t="n"/>
    </row>
    <row r="10">
      <c r="A10" s="47" t="n"/>
      <c r="B10" s="50">
        <f>IFERROR(INDEX(الموظفون_الاسم,MATCH($A10,الموظفون_الرقم,0)),"")</f>
        <v/>
      </c>
      <c r="C10" s="47" t="n"/>
      <c r="D10" s="47" t="n"/>
      <c r="E10" s="112" t="n"/>
      <c r="F10" s="112" t="n"/>
      <c r="G10" s="49" t="n"/>
      <c r="H10" s="47" t="n"/>
      <c r="I10" s="47" t="n"/>
      <c r="J10" s="47" t="n"/>
    </row>
    <row r="11">
      <c r="A11" s="40" t="n"/>
      <c r="B11" s="43">
        <f>IFERROR(INDEX(الموظفون_الاسم,MATCH($A11,الموظفون_الرقم,0)),"")</f>
        <v/>
      </c>
      <c r="C11" s="40" t="n"/>
      <c r="D11" s="40" t="n"/>
      <c r="E11" s="110" t="n"/>
      <c r="F11" s="110" t="n"/>
      <c r="G11" s="42" t="n"/>
      <c r="H11" s="40" t="n"/>
      <c r="I11" s="40" t="n"/>
      <c r="J11" s="40" t="n"/>
    </row>
    <row r="12">
      <c r="A12" s="47" t="n"/>
      <c r="B12" s="50">
        <f>IFERROR(INDEX(الموظفون_الاسم,MATCH($A12,الموظفون_الرقم,0)),"")</f>
        <v/>
      </c>
      <c r="C12" s="47" t="n"/>
      <c r="D12" s="47" t="n"/>
      <c r="E12" s="112" t="n"/>
      <c r="F12" s="112" t="n"/>
      <c r="G12" s="49" t="n"/>
      <c r="H12" s="47" t="n"/>
      <c r="I12" s="47" t="n"/>
      <c r="J12" s="47" t="n"/>
    </row>
    <row r="13">
      <c r="A13" s="40" t="n"/>
      <c r="B13" s="43">
        <f>IFERROR(INDEX(الموظفون_الاسم,MATCH($A13,الموظفون_الرقم,0)),"")</f>
        <v/>
      </c>
      <c r="C13" s="40" t="n"/>
      <c r="D13" s="40" t="n"/>
      <c r="E13" s="110" t="n"/>
      <c r="F13" s="110" t="n"/>
      <c r="G13" s="42" t="n"/>
      <c r="H13" s="40" t="n"/>
      <c r="I13" s="40" t="n"/>
      <c r="J13" s="40" t="n"/>
    </row>
    <row r="14">
      <c r="A14" s="47" t="n"/>
      <c r="B14" s="50">
        <f>IFERROR(INDEX(الموظفون_الاسم,MATCH($A14,الموظفون_الرقم,0)),"")</f>
        <v/>
      </c>
      <c r="C14" s="47" t="n"/>
      <c r="D14" s="47" t="n"/>
      <c r="E14" s="112" t="n"/>
      <c r="F14" s="112" t="n"/>
      <c r="G14" s="49" t="n"/>
      <c r="H14" s="47" t="n"/>
      <c r="I14" s="47" t="n"/>
      <c r="J14" s="47" t="n"/>
    </row>
    <row r="15">
      <c r="A15" s="40" t="n"/>
      <c r="B15" s="43">
        <f>IFERROR(INDEX(الموظفون_الاسم,MATCH($A15,الموظفون_الرقم,0)),"")</f>
        <v/>
      </c>
      <c r="C15" s="40" t="n"/>
      <c r="D15" s="40" t="n"/>
      <c r="E15" s="110" t="n"/>
      <c r="F15" s="110" t="n"/>
      <c r="G15" s="42" t="n"/>
      <c r="H15" s="40" t="n"/>
      <c r="I15" s="40" t="n"/>
      <c r="J15" s="40" t="n"/>
    </row>
    <row r="16">
      <c r="A16" s="47" t="n"/>
      <c r="B16" s="50">
        <f>IFERROR(INDEX(الموظفون_الاسم,MATCH($A16,الموظفون_الرقم,0)),"")</f>
        <v/>
      </c>
      <c r="C16" s="47" t="n"/>
      <c r="D16" s="47" t="n"/>
      <c r="E16" s="112" t="n"/>
      <c r="F16" s="112" t="n"/>
      <c r="G16" s="49" t="n"/>
      <c r="H16" s="47" t="n"/>
      <c r="I16" s="47" t="n"/>
      <c r="J16" s="47" t="n"/>
    </row>
    <row r="17">
      <c r="A17" s="40" t="n"/>
      <c r="B17" s="43">
        <f>IFERROR(INDEX(الموظفون_الاسم,MATCH($A17,الموظفون_الرقم,0)),"")</f>
        <v/>
      </c>
      <c r="C17" s="40" t="n"/>
      <c r="D17" s="40" t="n"/>
      <c r="E17" s="110" t="n"/>
      <c r="F17" s="110" t="n"/>
      <c r="G17" s="42" t="n"/>
      <c r="H17" s="40" t="n"/>
      <c r="I17" s="40" t="n"/>
      <c r="J17" s="40" t="n"/>
    </row>
    <row r="18">
      <c r="A18" s="47" t="n"/>
      <c r="B18" s="50">
        <f>IFERROR(INDEX(الموظفون_الاسم,MATCH($A18,الموظفون_الرقم,0)),"")</f>
        <v/>
      </c>
      <c r="C18" s="47" t="n"/>
      <c r="D18" s="47" t="n"/>
      <c r="E18" s="112" t="n"/>
      <c r="F18" s="112" t="n"/>
      <c r="G18" s="49" t="n"/>
      <c r="H18" s="47" t="n"/>
      <c r="I18" s="47" t="n"/>
      <c r="J18" s="47" t="n"/>
    </row>
    <row r="19">
      <c r="A19" s="40" t="n"/>
      <c r="B19" s="43">
        <f>IFERROR(INDEX(الموظفون_الاسم,MATCH($A19,الموظفون_الرقم,0)),"")</f>
        <v/>
      </c>
      <c r="C19" s="40" t="n"/>
      <c r="D19" s="40" t="n"/>
      <c r="E19" s="110" t="n"/>
      <c r="F19" s="110" t="n"/>
      <c r="G19" s="42" t="n"/>
      <c r="H19" s="40" t="n"/>
      <c r="I19" s="40" t="n"/>
      <c r="J19" s="40" t="n"/>
    </row>
    <row r="20">
      <c r="A20" s="47" t="n"/>
      <c r="B20" s="50">
        <f>IFERROR(INDEX(الموظفون_الاسم,MATCH($A20,الموظفون_الرقم,0)),"")</f>
        <v/>
      </c>
      <c r="C20" s="47" t="n"/>
      <c r="D20" s="47" t="n"/>
      <c r="E20" s="112" t="n"/>
      <c r="F20" s="112" t="n"/>
      <c r="G20" s="49" t="n"/>
      <c r="H20" s="47" t="n"/>
      <c r="I20" s="47" t="n"/>
      <c r="J20" s="47" t="n"/>
    </row>
    <row r="21">
      <c r="A21" s="40" t="n"/>
      <c r="B21" s="43">
        <f>IFERROR(INDEX(الموظفون_الاسم,MATCH($A21,الموظفون_الرقم,0)),"")</f>
        <v/>
      </c>
      <c r="C21" s="40" t="n"/>
      <c r="D21" s="40" t="n"/>
      <c r="E21" s="110" t="n"/>
      <c r="F21" s="110" t="n"/>
      <c r="G21" s="42" t="n"/>
      <c r="H21" s="40" t="n"/>
      <c r="I21" s="40" t="n"/>
      <c r="J21" s="40" t="n"/>
    </row>
    <row r="22">
      <c r="A22" s="47" t="n"/>
      <c r="B22" s="50">
        <f>IFERROR(INDEX(الموظفون_الاسم,MATCH($A22,الموظفون_الرقم,0)),"")</f>
        <v/>
      </c>
      <c r="C22" s="47" t="n"/>
      <c r="D22" s="47" t="n"/>
      <c r="E22" s="112" t="n"/>
      <c r="F22" s="112" t="n"/>
      <c r="G22" s="49" t="n"/>
      <c r="H22" s="47" t="n"/>
      <c r="I22" s="47" t="n"/>
      <c r="J22" s="47" t="n"/>
    </row>
    <row r="23">
      <c r="A23" s="40" t="n"/>
      <c r="B23" s="43">
        <f>IFERROR(INDEX(الموظفون_الاسم,MATCH($A23,الموظفون_الرقم,0)),"")</f>
        <v/>
      </c>
      <c r="C23" s="40" t="n"/>
      <c r="D23" s="40" t="n"/>
      <c r="E23" s="110" t="n"/>
      <c r="F23" s="110" t="n"/>
      <c r="G23" s="42" t="n"/>
      <c r="H23" s="40" t="n"/>
      <c r="I23" s="40" t="n"/>
      <c r="J23" s="40" t="n"/>
    </row>
    <row r="24">
      <c r="A24" s="47" t="n"/>
      <c r="B24" s="50">
        <f>IFERROR(INDEX(الموظفون_الاسم,MATCH($A24,الموظفون_الرقم,0)),"")</f>
        <v/>
      </c>
      <c r="C24" s="47" t="n"/>
      <c r="D24" s="47" t="n"/>
      <c r="E24" s="112" t="n"/>
      <c r="F24" s="112" t="n"/>
      <c r="G24" s="49" t="n"/>
      <c r="H24" s="47" t="n"/>
      <c r="I24" s="47" t="n"/>
      <c r="J24" s="47" t="n"/>
    </row>
    <row r="25">
      <c r="A25" s="40" t="n"/>
      <c r="B25" s="43">
        <f>IFERROR(INDEX(الموظفون_الاسم,MATCH($A25,الموظفون_الرقم,0)),"")</f>
        <v/>
      </c>
      <c r="C25" s="40" t="n"/>
      <c r="D25" s="40" t="n"/>
      <c r="E25" s="110" t="n"/>
      <c r="F25" s="110" t="n"/>
      <c r="G25" s="42" t="n"/>
      <c r="H25" s="40" t="n"/>
      <c r="I25" s="40" t="n"/>
      <c r="J25" s="40" t="n"/>
    </row>
    <row r="26">
      <c r="A26" s="47" t="n"/>
      <c r="B26" s="50">
        <f>IFERROR(INDEX(الموظفون_الاسم,MATCH($A26,الموظفون_الرقم,0)),"")</f>
        <v/>
      </c>
      <c r="C26" s="47" t="n"/>
      <c r="D26" s="47" t="n"/>
      <c r="E26" s="112" t="n"/>
      <c r="F26" s="112" t="n"/>
      <c r="G26" s="49" t="n"/>
      <c r="H26" s="47" t="n"/>
      <c r="I26" s="47" t="n"/>
      <c r="J26" s="47" t="n"/>
    </row>
    <row r="27">
      <c r="A27" s="40" t="n"/>
      <c r="B27" s="43">
        <f>IFERROR(INDEX(الموظفون_الاسم,MATCH($A27,الموظفون_الرقم,0)),"")</f>
        <v/>
      </c>
      <c r="C27" s="40" t="n"/>
      <c r="D27" s="40" t="n"/>
      <c r="E27" s="110" t="n"/>
      <c r="F27" s="110" t="n"/>
      <c r="G27" s="42" t="n"/>
      <c r="H27" s="40" t="n"/>
      <c r="I27" s="40" t="n"/>
      <c r="J27" s="40" t="n"/>
    </row>
    <row r="28">
      <c r="A28" s="47" t="n"/>
      <c r="B28" s="50">
        <f>IFERROR(INDEX(الموظفون_الاسم,MATCH($A28,الموظفون_الرقم,0)),"")</f>
        <v/>
      </c>
      <c r="C28" s="47" t="n"/>
      <c r="D28" s="47" t="n"/>
      <c r="E28" s="112" t="n"/>
      <c r="F28" s="112" t="n"/>
      <c r="G28" s="49" t="n"/>
      <c r="H28" s="47" t="n"/>
      <c r="I28" s="47" t="n"/>
      <c r="J28" s="47" t="n"/>
    </row>
    <row r="29">
      <c r="A29" s="40" t="n"/>
      <c r="B29" s="43">
        <f>IFERROR(INDEX(الموظفون_الاسم,MATCH($A29,الموظفون_الرقم,0)),"")</f>
        <v/>
      </c>
      <c r="C29" s="40" t="n"/>
      <c r="D29" s="40" t="n"/>
      <c r="E29" s="110" t="n"/>
      <c r="F29" s="110" t="n"/>
      <c r="G29" s="42" t="n"/>
      <c r="H29" s="40" t="n"/>
      <c r="I29" s="40" t="n"/>
      <c r="J29" s="40" t="n"/>
    </row>
    <row r="30">
      <c r="A30" s="47" t="n"/>
      <c r="B30" s="50">
        <f>IFERROR(INDEX(الموظفون_الاسم,MATCH($A30,الموظفون_الرقم,0)),"")</f>
        <v/>
      </c>
      <c r="C30" s="47" t="n"/>
      <c r="D30" s="47" t="n"/>
      <c r="E30" s="112" t="n"/>
      <c r="F30" s="112" t="n"/>
      <c r="G30" s="49" t="n"/>
      <c r="H30" s="47" t="n"/>
      <c r="I30" s="47" t="n"/>
      <c r="J30" s="47" t="n"/>
    </row>
    <row r="31">
      <c r="A31" s="40" t="n"/>
      <c r="B31" s="43">
        <f>IFERROR(INDEX(الموظفون_الاسم,MATCH($A31,الموظفون_الرقم,0)),"")</f>
        <v/>
      </c>
      <c r="C31" s="40" t="n"/>
      <c r="D31" s="40" t="n"/>
      <c r="E31" s="110" t="n"/>
      <c r="F31" s="110" t="n"/>
      <c r="G31" s="42" t="n"/>
      <c r="H31" s="40" t="n"/>
      <c r="I31" s="40" t="n"/>
      <c r="J31" s="40" t="n"/>
    </row>
    <row r="32">
      <c r="A32" s="47" t="n"/>
      <c r="B32" s="50">
        <f>IFERROR(INDEX(الموظفون_الاسم,MATCH($A32,الموظفون_الرقم,0)),"")</f>
        <v/>
      </c>
      <c r="C32" s="47" t="n"/>
      <c r="D32" s="47" t="n"/>
      <c r="E32" s="112" t="n"/>
      <c r="F32" s="112" t="n"/>
      <c r="G32" s="49" t="n"/>
      <c r="H32" s="47" t="n"/>
      <c r="I32" s="47" t="n"/>
      <c r="J32" s="47" t="n"/>
    </row>
    <row r="33">
      <c r="A33" s="40" t="n"/>
      <c r="B33" s="43">
        <f>IFERROR(INDEX(الموظفون_الاسم,MATCH($A33,الموظفون_الرقم,0)),"")</f>
        <v/>
      </c>
      <c r="C33" s="40" t="n"/>
      <c r="D33" s="40" t="n"/>
      <c r="E33" s="110" t="n"/>
      <c r="F33" s="110" t="n"/>
      <c r="G33" s="42" t="n"/>
      <c r="H33" s="40" t="n"/>
      <c r="I33" s="40" t="n"/>
      <c r="J33" s="40" t="n"/>
    </row>
    <row r="34">
      <c r="A34" s="47" t="n"/>
      <c r="B34" s="50">
        <f>IFERROR(INDEX(الموظفون_الاسم,MATCH($A34,الموظفون_الرقم,0)),"")</f>
        <v/>
      </c>
      <c r="C34" s="47" t="n"/>
      <c r="D34" s="47" t="n"/>
      <c r="E34" s="112" t="n"/>
      <c r="F34" s="112" t="n"/>
      <c r="G34" s="49" t="n"/>
      <c r="H34" s="47" t="n"/>
      <c r="I34" s="47" t="n"/>
      <c r="J34" s="47" t="n"/>
    </row>
    <row r="35">
      <c r="A35" s="40" t="n"/>
      <c r="B35" s="43">
        <f>IFERROR(INDEX(الموظفون_الاسم,MATCH($A35,الموظفون_الرقم,0)),"")</f>
        <v/>
      </c>
      <c r="C35" s="40" t="n"/>
      <c r="D35" s="40" t="n"/>
      <c r="E35" s="110" t="n"/>
      <c r="F35" s="110" t="n"/>
      <c r="G35" s="42" t="n"/>
      <c r="H35" s="40" t="n"/>
      <c r="I35" s="40" t="n"/>
      <c r="J35" s="40" t="n"/>
    </row>
    <row r="36">
      <c r="A36" s="47" t="n"/>
      <c r="B36" s="50">
        <f>IFERROR(INDEX(الموظفون_الاسم,MATCH($A36,الموظفون_الرقم,0)),"")</f>
        <v/>
      </c>
      <c r="C36" s="47" t="n"/>
      <c r="D36" s="47" t="n"/>
      <c r="E36" s="112" t="n"/>
      <c r="F36" s="112" t="n"/>
      <c r="G36" s="49" t="n"/>
      <c r="H36" s="47" t="n"/>
      <c r="I36" s="47" t="n"/>
      <c r="J36" s="47" t="n"/>
    </row>
    <row r="37">
      <c r="A37" s="40" t="n"/>
      <c r="B37" s="43">
        <f>IFERROR(INDEX(الموظفون_الاسم,MATCH($A37,الموظفون_الرقم,0)),"")</f>
        <v/>
      </c>
      <c r="C37" s="40" t="n"/>
      <c r="D37" s="40" t="n"/>
      <c r="E37" s="110" t="n"/>
      <c r="F37" s="110" t="n"/>
      <c r="G37" s="42" t="n"/>
      <c r="H37" s="40" t="n"/>
      <c r="I37" s="40" t="n"/>
      <c r="J37" s="40" t="n"/>
    </row>
    <row r="38">
      <c r="A38" s="47" t="n"/>
      <c r="B38" s="50">
        <f>IFERROR(INDEX(الموظفون_الاسم,MATCH($A38,الموظفون_الرقم,0)),"")</f>
        <v/>
      </c>
      <c r="C38" s="47" t="n"/>
      <c r="D38" s="47" t="n"/>
      <c r="E38" s="112" t="n"/>
      <c r="F38" s="112" t="n"/>
      <c r="G38" s="49" t="n"/>
      <c r="H38" s="47" t="n"/>
      <c r="I38" s="47" t="n"/>
      <c r="J38" s="47" t="n"/>
    </row>
    <row r="39">
      <c r="A39" s="40" t="n"/>
      <c r="B39" s="43">
        <f>IFERROR(INDEX(الموظفون_الاسم,MATCH($A39,الموظفون_الرقم,0)),"")</f>
        <v/>
      </c>
      <c r="C39" s="40" t="n"/>
      <c r="D39" s="40" t="n"/>
      <c r="E39" s="110" t="n"/>
      <c r="F39" s="110" t="n"/>
      <c r="G39" s="42" t="n"/>
      <c r="H39" s="40" t="n"/>
      <c r="I39" s="40" t="n"/>
      <c r="J39" s="40" t="n"/>
    </row>
    <row r="40">
      <c r="A40" s="47" t="n"/>
      <c r="B40" s="50">
        <f>IFERROR(INDEX(الموظفون_الاسم,MATCH($A40,الموظفون_الرقم,0)),"")</f>
        <v/>
      </c>
      <c r="C40" s="47" t="n"/>
      <c r="D40" s="47" t="n"/>
      <c r="E40" s="112" t="n"/>
      <c r="F40" s="112" t="n"/>
      <c r="G40" s="49" t="n"/>
      <c r="H40" s="47" t="n"/>
      <c r="I40" s="47" t="n"/>
      <c r="J40" s="47" t="n"/>
    </row>
    <row r="41">
      <c r="A41" s="40" t="n"/>
      <c r="B41" s="43">
        <f>IFERROR(INDEX(الموظفون_الاسم,MATCH($A41,الموظفون_الرقم,0)),"")</f>
        <v/>
      </c>
      <c r="C41" s="40" t="n"/>
      <c r="D41" s="40" t="n"/>
      <c r="E41" s="110" t="n"/>
      <c r="F41" s="110" t="n"/>
      <c r="G41" s="42" t="n"/>
      <c r="H41" s="40" t="n"/>
      <c r="I41" s="40" t="n"/>
      <c r="J41" s="40" t="n"/>
    </row>
    <row r="42">
      <c r="A42" s="47" t="n"/>
      <c r="B42" s="50">
        <f>IFERROR(INDEX(الموظفون_الاسم,MATCH($A42,الموظفون_الرقم,0)),"")</f>
        <v/>
      </c>
      <c r="C42" s="47" t="n"/>
      <c r="D42" s="47" t="n"/>
      <c r="E42" s="112" t="n"/>
      <c r="F42" s="112" t="n"/>
      <c r="G42" s="49" t="n"/>
      <c r="H42" s="47" t="n"/>
      <c r="I42" s="47" t="n"/>
      <c r="J42" s="47" t="n"/>
    </row>
    <row r="43">
      <c r="A43" s="40" t="n"/>
      <c r="B43" s="43">
        <f>IFERROR(INDEX(الموظفون_الاسم,MATCH($A43,الموظفون_الرقم,0)),"")</f>
        <v/>
      </c>
      <c r="C43" s="40" t="n"/>
      <c r="D43" s="40" t="n"/>
      <c r="E43" s="110" t="n"/>
      <c r="F43" s="110" t="n"/>
      <c r="G43" s="42" t="n"/>
      <c r="H43" s="40" t="n"/>
      <c r="I43" s="40" t="n"/>
      <c r="J43" s="40" t="n"/>
    </row>
    <row r="44">
      <c r="A44" s="47" t="n"/>
      <c r="B44" s="50">
        <f>IFERROR(INDEX(الموظفون_الاسم,MATCH($A44,الموظفون_الرقم,0)),"")</f>
        <v/>
      </c>
      <c r="C44" s="47" t="n"/>
      <c r="D44" s="47" t="n"/>
      <c r="E44" s="112" t="n"/>
      <c r="F44" s="112" t="n"/>
      <c r="G44" s="49" t="n"/>
      <c r="H44" s="47" t="n"/>
      <c r="I44" s="47" t="n"/>
      <c r="J44" s="47" t="n"/>
    </row>
    <row r="45">
      <c r="A45" s="40" t="n"/>
      <c r="B45" s="43">
        <f>IFERROR(INDEX(الموظفون_الاسم,MATCH($A45,الموظفون_الرقم,0)),"")</f>
        <v/>
      </c>
      <c r="C45" s="40" t="n"/>
      <c r="D45" s="40" t="n"/>
      <c r="E45" s="110" t="n"/>
      <c r="F45" s="110" t="n"/>
      <c r="G45" s="42" t="n"/>
      <c r="H45" s="40" t="n"/>
      <c r="I45" s="40" t="n"/>
      <c r="J45" s="40" t="n"/>
    </row>
    <row r="46">
      <c r="A46" s="47" t="n"/>
      <c r="B46" s="50">
        <f>IFERROR(INDEX(الموظفون_الاسم,MATCH($A46,الموظفون_الرقم,0)),"")</f>
        <v/>
      </c>
      <c r="C46" s="47" t="n"/>
      <c r="D46" s="47" t="n"/>
      <c r="E46" s="112" t="n"/>
      <c r="F46" s="112" t="n"/>
      <c r="G46" s="49" t="n"/>
      <c r="H46" s="47" t="n"/>
      <c r="I46" s="47" t="n"/>
      <c r="J46" s="47" t="n"/>
    </row>
    <row r="47">
      <c r="A47" s="40" t="n"/>
      <c r="B47" s="43">
        <f>IFERROR(INDEX(الموظفون_الاسم,MATCH($A47,الموظفون_الرقم,0)),"")</f>
        <v/>
      </c>
      <c r="C47" s="40" t="n"/>
      <c r="D47" s="40" t="n"/>
      <c r="E47" s="110" t="n"/>
      <c r="F47" s="110" t="n"/>
      <c r="G47" s="42" t="n"/>
      <c r="H47" s="40" t="n"/>
      <c r="I47" s="40" t="n"/>
      <c r="J47" s="40" t="n"/>
    </row>
    <row r="48">
      <c r="A48" s="47" t="n"/>
      <c r="B48" s="50">
        <f>IFERROR(INDEX(الموظفون_الاسم,MATCH($A48,الموظفون_الرقم,0)),"")</f>
        <v/>
      </c>
      <c r="C48" s="47" t="n"/>
      <c r="D48" s="47" t="n"/>
      <c r="E48" s="112" t="n"/>
      <c r="F48" s="112" t="n"/>
      <c r="G48" s="49" t="n"/>
      <c r="H48" s="47" t="n"/>
      <c r="I48" s="47" t="n"/>
      <c r="J48" s="47" t="n"/>
    </row>
    <row r="49">
      <c r="A49" s="40" t="n"/>
      <c r="B49" s="43">
        <f>IFERROR(INDEX(الموظفون_الاسم,MATCH($A49,الموظفون_الرقم,0)),"")</f>
        <v/>
      </c>
      <c r="C49" s="40" t="n"/>
      <c r="D49" s="40" t="n"/>
      <c r="E49" s="110" t="n"/>
      <c r="F49" s="110" t="n"/>
      <c r="G49" s="42" t="n"/>
      <c r="H49" s="40" t="n"/>
      <c r="I49" s="40" t="n"/>
      <c r="J49" s="40" t="n"/>
    </row>
    <row r="50">
      <c r="A50" s="47" t="n"/>
      <c r="B50" s="50">
        <f>IFERROR(INDEX(الموظفون_الاسم,MATCH($A50,الموظفون_الرقم,0)),"")</f>
        <v/>
      </c>
      <c r="C50" s="47" t="n"/>
      <c r="D50" s="47" t="n"/>
      <c r="E50" s="112" t="n"/>
      <c r="F50" s="112" t="n"/>
      <c r="G50" s="49" t="n"/>
      <c r="H50" s="47" t="n"/>
      <c r="I50" s="47" t="n"/>
      <c r="J50" s="47" t="n"/>
    </row>
    <row r="51">
      <c r="A51" s="40" t="n"/>
      <c r="B51" s="43">
        <f>IFERROR(INDEX(الموظفون_الاسم,MATCH($A51,الموظفون_الرقم,0)),"")</f>
        <v/>
      </c>
      <c r="C51" s="40" t="n"/>
      <c r="D51" s="40" t="n"/>
      <c r="E51" s="110" t="n"/>
      <c r="F51" s="110" t="n"/>
      <c r="G51" s="42" t="n"/>
      <c r="H51" s="40" t="n"/>
      <c r="I51" s="40" t="n"/>
      <c r="J51" s="40" t="n"/>
    </row>
    <row r="52">
      <c r="A52" s="47" t="n"/>
      <c r="B52" s="50">
        <f>IFERROR(INDEX(الموظفون_الاسم,MATCH($A52,الموظفون_الرقم,0)),"")</f>
        <v/>
      </c>
      <c r="C52" s="47" t="n"/>
      <c r="D52" s="47" t="n"/>
      <c r="E52" s="112" t="n"/>
      <c r="F52" s="112" t="n"/>
      <c r="G52" s="49" t="n"/>
      <c r="H52" s="47" t="n"/>
      <c r="I52" s="47" t="n"/>
      <c r="J52" s="47" t="n"/>
    </row>
    <row r="53">
      <c r="A53" s="40" t="n"/>
      <c r="B53" s="43">
        <f>IFERROR(INDEX(الموظفون_الاسم,MATCH($A53,الموظفون_الرقم,0)),"")</f>
        <v/>
      </c>
      <c r="C53" s="40" t="n"/>
      <c r="D53" s="40" t="n"/>
      <c r="E53" s="110" t="n"/>
      <c r="F53" s="110" t="n"/>
      <c r="G53" s="42" t="n"/>
      <c r="H53" s="40" t="n"/>
      <c r="I53" s="40" t="n"/>
      <c r="J53" s="40" t="n"/>
    </row>
    <row r="54">
      <c r="A54" s="47" t="n"/>
      <c r="B54" s="50">
        <f>IFERROR(INDEX(الموظفون_الاسم,MATCH($A54,الموظفون_الرقم,0)),"")</f>
        <v/>
      </c>
      <c r="C54" s="47" t="n"/>
      <c r="D54" s="47" t="n"/>
      <c r="E54" s="112" t="n"/>
      <c r="F54" s="112" t="n"/>
      <c r="G54" s="49" t="n"/>
      <c r="H54" s="47" t="n"/>
      <c r="I54" s="47" t="n"/>
      <c r="J54" s="47" t="n"/>
    </row>
    <row r="55">
      <c r="A55" s="40" t="n"/>
      <c r="B55" s="43">
        <f>IFERROR(INDEX(الموظفون_الاسم,MATCH($A55,الموظفون_الرقم,0)),"")</f>
        <v/>
      </c>
      <c r="C55" s="40" t="n"/>
      <c r="D55" s="40" t="n"/>
      <c r="E55" s="110" t="n"/>
      <c r="F55" s="110" t="n"/>
      <c r="G55" s="42" t="n"/>
      <c r="H55" s="40" t="n"/>
      <c r="I55" s="40" t="n"/>
      <c r="J55" s="40" t="n"/>
    </row>
    <row r="56">
      <c r="A56" s="47" t="n"/>
      <c r="B56" s="50">
        <f>IFERROR(INDEX(الموظفون_الاسم,MATCH($A56,الموظفون_الرقم,0)),"")</f>
        <v/>
      </c>
      <c r="C56" s="47" t="n"/>
      <c r="D56" s="47" t="n"/>
      <c r="E56" s="112" t="n"/>
      <c r="F56" s="112" t="n"/>
      <c r="G56" s="49" t="n"/>
      <c r="H56" s="47" t="n"/>
      <c r="I56" s="47" t="n"/>
      <c r="J56" s="47" t="n"/>
    </row>
    <row r="57">
      <c r="A57" s="40" t="n"/>
      <c r="B57" s="43">
        <f>IFERROR(INDEX(الموظفون_الاسم,MATCH($A57,الموظفون_الرقم,0)),"")</f>
        <v/>
      </c>
      <c r="C57" s="40" t="n"/>
      <c r="D57" s="40" t="n"/>
      <c r="E57" s="110" t="n"/>
      <c r="F57" s="110" t="n"/>
      <c r="G57" s="42" t="n"/>
      <c r="H57" s="40" t="n"/>
      <c r="I57" s="40" t="n"/>
      <c r="J57" s="40" t="n"/>
    </row>
    <row r="58">
      <c r="A58" s="47" t="n"/>
      <c r="B58" s="50">
        <f>IFERROR(INDEX(الموظفون_الاسم,MATCH($A58,الموظفون_الرقم,0)),"")</f>
        <v/>
      </c>
      <c r="C58" s="47" t="n"/>
      <c r="D58" s="47" t="n"/>
      <c r="E58" s="112" t="n"/>
      <c r="F58" s="112" t="n"/>
      <c r="G58" s="49" t="n"/>
      <c r="H58" s="47" t="n"/>
      <c r="I58" s="47" t="n"/>
      <c r="J58" s="47" t="n"/>
    </row>
    <row r="59">
      <c r="A59" s="40" t="n"/>
      <c r="B59" s="43">
        <f>IFERROR(INDEX(الموظفون_الاسم,MATCH($A59,الموظفون_الرقم,0)),"")</f>
        <v/>
      </c>
      <c r="C59" s="40" t="n"/>
      <c r="D59" s="40" t="n"/>
      <c r="E59" s="110" t="n"/>
      <c r="F59" s="110" t="n"/>
      <c r="G59" s="42" t="n"/>
      <c r="H59" s="40" t="n"/>
      <c r="I59" s="40" t="n"/>
      <c r="J59" s="40" t="n"/>
    </row>
    <row r="60">
      <c r="A60" s="47" t="n"/>
      <c r="B60" s="50">
        <f>IFERROR(INDEX(الموظفون_الاسم,MATCH($A60,الموظفون_الرقم,0)),"")</f>
        <v/>
      </c>
      <c r="C60" s="47" t="n"/>
      <c r="D60" s="47" t="n"/>
      <c r="E60" s="112" t="n"/>
      <c r="F60" s="112" t="n"/>
      <c r="G60" s="49" t="n"/>
      <c r="H60" s="47" t="n"/>
      <c r="I60" s="47" t="n"/>
      <c r="J60" s="47" t="n"/>
    </row>
    <row r="61">
      <c r="A61" s="40" t="n"/>
      <c r="B61" s="43">
        <f>IFERROR(INDEX(الموظفون_الاسم,MATCH($A61,الموظفون_الرقم,0)),"")</f>
        <v/>
      </c>
      <c r="C61" s="40" t="n"/>
      <c r="D61" s="40" t="n"/>
      <c r="E61" s="110" t="n"/>
      <c r="F61" s="110" t="n"/>
      <c r="G61" s="42" t="n"/>
      <c r="H61" s="40" t="n"/>
      <c r="I61" s="40" t="n"/>
      <c r="J61" s="40" t="n"/>
    </row>
    <row r="62">
      <c r="A62" s="47" t="n"/>
      <c r="B62" s="50">
        <f>IFERROR(INDEX(الموظفون_الاسم,MATCH($A62,الموظفون_الرقم,0)),"")</f>
        <v/>
      </c>
      <c r="C62" s="47" t="n"/>
      <c r="D62" s="47" t="n"/>
      <c r="E62" s="112" t="n"/>
      <c r="F62" s="112" t="n"/>
      <c r="G62" s="49" t="n"/>
      <c r="H62" s="47" t="n"/>
      <c r="I62" s="47" t="n"/>
      <c r="J62" s="47" t="n"/>
    </row>
    <row r="63">
      <c r="A63" s="40" t="n"/>
      <c r="B63" s="43">
        <f>IFERROR(INDEX(الموظفون_الاسم,MATCH($A63,الموظفون_الرقم,0)),"")</f>
        <v/>
      </c>
      <c r="C63" s="40" t="n"/>
      <c r="D63" s="40" t="n"/>
      <c r="E63" s="110" t="n"/>
      <c r="F63" s="110" t="n"/>
      <c r="G63" s="42" t="n"/>
      <c r="H63" s="40" t="n"/>
      <c r="I63" s="40" t="n"/>
      <c r="J63" s="40" t="n"/>
    </row>
    <row r="64">
      <c r="A64" s="47" t="n"/>
      <c r="B64" s="50">
        <f>IFERROR(INDEX(الموظفون_الاسم,MATCH($A64,الموظفون_الرقم,0)),"")</f>
        <v/>
      </c>
      <c r="C64" s="47" t="n"/>
      <c r="D64" s="47" t="n"/>
      <c r="E64" s="112" t="n"/>
      <c r="F64" s="112" t="n"/>
      <c r="G64" s="49" t="n"/>
      <c r="H64" s="47" t="n"/>
      <c r="I64" s="47" t="n"/>
      <c r="J64" s="47" t="n"/>
    </row>
    <row r="65">
      <c r="A65" s="40" t="n"/>
      <c r="B65" s="43">
        <f>IFERROR(INDEX(الموظفون_الاسم,MATCH($A65,الموظفون_الرقم,0)),"")</f>
        <v/>
      </c>
      <c r="C65" s="40" t="n"/>
      <c r="D65" s="40" t="n"/>
      <c r="E65" s="110" t="n"/>
      <c r="F65" s="110" t="n"/>
      <c r="G65" s="42" t="n"/>
      <c r="H65" s="40" t="n"/>
      <c r="I65" s="40" t="n"/>
      <c r="J65" s="40" t="n"/>
    </row>
    <row r="66">
      <c r="A66" s="47" t="n"/>
      <c r="B66" s="50">
        <f>IFERROR(INDEX(الموظفون_الاسم,MATCH($A66,الموظفون_الرقم,0)),"")</f>
        <v/>
      </c>
      <c r="C66" s="47" t="n"/>
      <c r="D66" s="47" t="n"/>
      <c r="E66" s="112" t="n"/>
      <c r="F66" s="112" t="n"/>
      <c r="G66" s="49" t="n"/>
      <c r="H66" s="47" t="n"/>
      <c r="I66" s="47" t="n"/>
      <c r="J66" s="47" t="n"/>
    </row>
    <row r="67">
      <c r="A67" s="40" t="n"/>
      <c r="B67" s="43">
        <f>IFERROR(INDEX(الموظفون_الاسم,MATCH($A67,الموظفون_الرقم,0)),"")</f>
        <v/>
      </c>
      <c r="C67" s="40" t="n"/>
      <c r="D67" s="40" t="n"/>
      <c r="E67" s="110" t="n"/>
      <c r="F67" s="110" t="n"/>
      <c r="G67" s="42" t="n"/>
      <c r="H67" s="40" t="n"/>
      <c r="I67" s="40" t="n"/>
      <c r="J67" s="40" t="n"/>
    </row>
    <row r="68">
      <c r="A68" s="47" t="n"/>
      <c r="B68" s="50">
        <f>IFERROR(INDEX(الموظفون_الاسم,MATCH($A68,الموظفون_الرقم,0)),"")</f>
        <v/>
      </c>
      <c r="C68" s="47" t="n"/>
      <c r="D68" s="47" t="n"/>
      <c r="E68" s="112" t="n"/>
      <c r="F68" s="112" t="n"/>
      <c r="G68" s="49" t="n"/>
      <c r="H68" s="47" t="n"/>
      <c r="I68" s="47" t="n"/>
      <c r="J68" s="47" t="n"/>
    </row>
    <row r="69">
      <c r="A69" s="40" t="n"/>
      <c r="B69" s="43">
        <f>IFERROR(INDEX(الموظفون_الاسم,MATCH($A69,الموظفون_الرقم,0)),"")</f>
        <v/>
      </c>
      <c r="C69" s="40" t="n"/>
      <c r="D69" s="40" t="n"/>
      <c r="E69" s="110" t="n"/>
      <c r="F69" s="110" t="n"/>
      <c r="G69" s="42" t="n"/>
      <c r="H69" s="40" t="n"/>
      <c r="I69" s="40" t="n"/>
      <c r="J69" s="40" t="n"/>
    </row>
    <row r="70">
      <c r="A70" s="47" t="n"/>
      <c r="B70" s="50">
        <f>IFERROR(INDEX(الموظفون_الاسم,MATCH($A70,الموظفون_الرقم,0)),"")</f>
        <v/>
      </c>
      <c r="C70" s="47" t="n"/>
      <c r="D70" s="47" t="n"/>
      <c r="E70" s="112" t="n"/>
      <c r="F70" s="112" t="n"/>
      <c r="G70" s="49" t="n"/>
      <c r="H70" s="47" t="n"/>
      <c r="I70" s="47" t="n"/>
      <c r="J70" s="47" t="n"/>
    </row>
    <row r="71">
      <c r="A71" s="40" t="n"/>
      <c r="B71" s="43">
        <f>IFERROR(INDEX(الموظفون_الاسم,MATCH($A71,الموظفون_الرقم,0)),"")</f>
        <v/>
      </c>
      <c r="C71" s="40" t="n"/>
      <c r="D71" s="40" t="n"/>
      <c r="E71" s="110" t="n"/>
      <c r="F71" s="110" t="n"/>
      <c r="G71" s="42" t="n"/>
      <c r="H71" s="40" t="n"/>
      <c r="I71" s="40" t="n"/>
      <c r="J71" s="40" t="n"/>
    </row>
    <row r="72">
      <c r="A72" s="47" t="n"/>
      <c r="B72" s="50">
        <f>IFERROR(INDEX(الموظفون_الاسم,MATCH($A72,الموظفون_الرقم,0)),"")</f>
        <v/>
      </c>
      <c r="C72" s="47" t="n"/>
      <c r="D72" s="47" t="n"/>
      <c r="E72" s="112" t="n"/>
      <c r="F72" s="112" t="n"/>
      <c r="G72" s="49" t="n"/>
      <c r="H72" s="47" t="n"/>
      <c r="I72" s="47" t="n"/>
      <c r="J72" s="47" t="n"/>
    </row>
    <row r="73">
      <c r="A73" s="40" t="n"/>
      <c r="B73" s="43">
        <f>IFERROR(INDEX(الموظفون_الاسم,MATCH($A73,الموظفون_الرقم,0)),"")</f>
        <v/>
      </c>
      <c r="C73" s="40" t="n"/>
      <c r="D73" s="40" t="n"/>
      <c r="E73" s="110" t="n"/>
      <c r="F73" s="110" t="n"/>
      <c r="G73" s="42" t="n"/>
      <c r="H73" s="40" t="n"/>
      <c r="I73" s="40" t="n"/>
      <c r="J73" s="40" t="n"/>
    </row>
    <row r="74">
      <c r="A74" s="47" t="n"/>
      <c r="B74" s="50">
        <f>IFERROR(INDEX(الموظفون_الاسم,MATCH($A74,الموظفون_الرقم,0)),"")</f>
        <v/>
      </c>
      <c r="C74" s="47" t="n"/>
      <c r="D74" s="47" t="n"/>
      <c r="E74" s="112" t="n"/>
      <c r="F74" s="112" t="n"/>
      <c r="G74" s="49" t="n"/>
      <c r="H74" s="47" t="n"/>
      <c r="I74" s="47" t="n"/>
      <c r="J74" s="47" t="n"/>
    </row>
    <row r="75">
      <c r="A75" s="40" t="n"/>
      <c r="B75" s="43">
        <f>IFERROR(INDEX(الموظفون_الاسم,MATCH($A75,الموظفون_الرقم,0)),"")</f>
        <v/>
      </c>
      <c r="C75" s="40" t="n"/>
      <c r="D75" s="40" t="n"/>
      <c r="E75" s="110" t="n"/>
      <c r="F75" s="110" t="n"/>
      <c r="G75" s="42" t="n"/>
      <c r="H75" s="40" t="n"/>
      <c r="I75" s="40" t="n"/>
      <c r="J75" s="40" t="n"/>
    </row>
    <row r="76">
      <c r="A76" s="47" t="n"/>
      <c r="B76" s="50">
        <f>IFERROR(INDEX(الموظفون_الاسم,MATCH($A76,الموظفون_الرقم,0)),"")</f>
        <v/>
      </c>
      <c r="C76" s="47" t="n"/>
      <c r="D76" s="47" t="n"/>
      <c r="E76" s="112" t="n"/>
      <c r="F76" s="112" t="n"/>
      <c r="G76" s="49" t="n"/>
      <c r="H76" s="47" t="n"/>
      <c r="I76" s="47" t="n"/>
      <c r="J76" s="47" t="n"/>
    </row>
    <row r="77">
      <c r="A77" s="40" t="n"/>
      <c r="B77" s="43">
        <f>IFERROR(INDEX(الموظفون_الاسم,MATCH($A77,الموظفون_الرقم,0)),"")</f>
        <v/>
      </c>
      <c r="C77" s="40" t="n"/>
      <c r="D77" s="40" t="n"/>
      <c r="E77" s="110" t="n"/>
      <c r="F77" s="110" t="n"/>
      <c r="G77" s="42" t="n"/>
      <c r="H77" s="40" t="n"/>
      <c r="I77" s="40" t="n"/>
      <c r="J77" s="40" t="n"/>
    </row>
    <row r="78">
      <c r="A78" s="47" t="n"/>
      <c r="B78" s="50">
        <f>IFERROR(INDEX(الموظفون_الاسم,MATCH($A78,الموظفون_الرقم,0)),"")</f>
        <v/>
      </c>
      <c r="C78" s="47" t="n"/>
      <c r="D78" s="47" t="n"/>
      <c r="E78" s="112" t="n"/>
      <c r="F78" s="112" t="n"/>
      <c r="G78" s="49" t="n"/>
      <c r="H78" s="47" t="n"/>
      <c r="I78" s="47" t="n"/>
      <c r="J78" s="47" t="n"/>
    </row>
    <row r="79">
      <c r="A79" s="40" t="n"/>
      <c r="B79" s="43">
        <f>IFERROR(INDEX(الموظفون_الاسم,MATCH($A79,الموظفون_الرقم,0)),"")</f>
        <v/>
      </c>
      <c r="C79" s="40" t="n"/>
      <c r="D79" s="40" t="n"/>
      <c r="E79" s="110" t="n"/>
      <c r="F79" s="110" t="n"/>
      <c r="G79" s="42" t="n"/>
      <c r="H79" s="40" t="n"/>
      <c r="I79" s="40" t="n"/>
      <c r="J79" s="40" t="n"/>
    </row>
    <row r="80">
      <c r="A80" s="47" t="n"/>
      <c r="B80" s="50">
        <f>IFERROR(INDEX(الموظفون_الاسم,MATCH($A80,الموظفون_الرقم,0)),"")</f>
        <v/>
      </c>
      <c r="C80" s="47" t="n"/>
      <c r="D80" s="47" t="n"/>
      <c r="E80" s="112" t="n"/>
      <c r="F80" s="112" t="n"/>
      <c r="G80" s="49" t="n"/>
      <c r="H80" s="47" t="n"/>
      <c r="I80" s="47" t="n"/>
      <c r="J80" s="47" t="n"/>
    </row>
    <row r="81">
      <c r="A81" s="40" t="n"/>
      <c r="B81" s="43">
        <f>IFERROR(INDEX(الموظفون_الاسم,MATCH($A81,الموظفون_الرقم,0)),"")</f>
        <v/>
      </c>
      <c r="C81" s="40" t="n"/>
      <c r="D81" s="40" t="n"/>
      <c r="E81" s="110" t="n"/>
      <c r="F81" s="110" t="n"/>
      <c r="G81" s="42" t="n"/>
      <c r="H81" s="40" t="n"/>
      <c r="I81" s="40" t="n"/>
      <c r="J81" s="40" t="n"/>
    </row>
    <row r="82">
      <c r="A82" s="47" t="n"/>
      <c r="B82" s="50">
        <f>IFERROR(INDEX(الموظفون_الاسم,MATCH($A82,الموظفون_الرقم,0)),"")</f>
        <v/>
      </c>
      <c r="C82" s="47" t="n"/>
      <c r="D82" s="47" t="n"/>
      <c r="E82" s="112" t="n"/>
      <c r="F82" s="112" t="n"/>
      <c r="G82" s="49" t="n"/>
      <c r="H82" s="47" t="n"/>
      <c r="I82" s="47" t="n"/>
      <c r="J82" s="47" t="n"/>
    </row>
    <row r="83">
      <c r="A83" s="40" t="n"/>
      <c r="B83" s="43">
        <f>IFERROR(INDEX(الموظفون_الاسم,MATCH($A83,الموظفون_الرقم,0)),"")</f>
        <v/>
      </c>
      <c r="C83" s="40" t="n"/>
      <c r="D83" s="40" t="n"/>
      <c r="E83" s="110" t="n"/>
      <c r="F83" s="110" t="n"/>
      <c r="G83" s="42" t="n"/>
      <c r="H83" s="40" t="n"/>
      <c r="I83" s="40" t="n"/>
      <c r="J83" s="40" t="n"/>
    </row>
    <row r="84">
      <c r="A84" s="47" t="n"/>
      <c r="B84" s="50">
        <f>IFERROR(INDEX(الموظفون_الاسم,MATCH($A84,الموظفون_الرقم,0)),"")</f>
        <v/>
      </c>
      <c r="C84" s="47" t="n"/>
      <c r="D84" s="47" t="n"/>
      <c r="E84" s="112" t="n"/>
      <c r="F84" s="112" t="n"/>
      <c r="G84" s="49" t="n"/>
      <c r="H84" s="47" t="n"/>
      <c r="I84" s="47" t="n"/>
      <c r="J84" s="47" t="n"/>
    </row>
    <row r="85">
      <c r="A85" s="40" t="n"/>
      <c r="B85" s="43">
        <f>IFERROR(INDEX(الموظفون_الاسم,MATCH($A85,الموظفون_الرقم,0)),"")</f>
        <v/>
      </c>
      <c r="C85" s="40" t="n"/>
      <c r="D85" s="40" t="n"/>
      <c r="E85" s="110" t="n"/>
      <c r="F85" s="110" t="n"/>
      <c r="G85" s="42" t="n"/>
      <c r="H85" s="40" t="n"/>
      <c r="I85" s="40" t="n"/>
      <c r="J85" s="40" t="n"/>
    </row>
    <row r="86">
      <c r="A86" s="47" t="n"/>
      <c r="B86" s="50">
        <f>IFERROR(INDEX(الموظفون_الاسم,MATCH($A86,الموظفون_الرقم,0)),"")</f>
        <v/>
      </c>
      <c r="C86" s="47" t="n"/>
      <c r="D86" s="47" t="n"/>
      <c r="E86" s="112" t="n"/>
      <c r="F86" s="112" t="n"/>
      <c r="G86" s="49" t="n"/>
      <c r="H86" s="47" t="n"/>
      <c r="I86" s="47" t="n"/>
      <c r="J86" s="47" t="n"/>
    </row>
    <row r="87">
      <c r="A87" s="40" t="n"/>
      <c r="B87" s="43">
        <f>IFERROR(INDEX(الموظفون_الاسم,MATCH($A87,الموظفون_الرقم,0)),"")</f>
        <v/>
      </c>
      <c r="C87" s="40" t="n"/>
      <c r="D87" s="40" t="n"/>
      <c r="E87" s="110" t="n"/>
      <c r="F87" s="110" t="n"/>
      <c r="G87" s="42" t="n"/>
      <c r="H87" s="40" t="n"/>
      <c r="I87" s="40" t="n"/>
      <c r="J87" s="40" t="n"/>
    </row>
    <row r="88">
      <c r="A88" s="47" t="n"/>
      <c r="B88" s="50">
        <f>IFERROR(INDEX(الموظفون_الاسم,MATCH($A88,الموظفون_الرقم,0)),"")</f>
        <v/>
      </c>
      <c r="C88" s="47" t="n"/>
      <c r="D88" s="47" t="n"/>
      <c r="E88" s="112" t="n"/>
      <c r="F88" s="112" t="n"/>
      <c r="G88" s="49" t="n"/>
      <c r="H88" s="47" t="n"/>
      <c r="I88" s="47" t="n"/>
      <c r="J88" s="47" t="n"/>
    </row>
    <row r="89">
      <c r="A89" s="40" t="n"/>
      <c r="B89" s="43">
        <f>IFERROR(INDEX(الموظفون_الاسم,MATCH($A89,الموظفون_الرقم,0)),"")</f>
        <v/>
      </c>
      <c r="C89" s="40" t="n"/>
      <c r="D89" s="40" t="n"/>
      <c r="E89" s="110" t="n"/>
      <c r="F89" s="110" t="n"/>
      <c r="G89" s="42" t="n"/>
      <c r="H89" s="40" t="n"/>
      <c r="I89" s="40" t="n"/>
      <c r="J89" s="40" t="n"/>
    </row>
    <row r="90">
      <c r="A90" s="47" t="n"/>
      <c r="B90" s="50">
        <f>IFERROR(INDEX(الموظفون_الاسم,MATCH($A90,الموظفون_الرقم,0)),"")</f>
        <v/>
      </c>
      <c r="C90" s="47" t="n"/>
      <c r="D90" s="47" t="n"/>
      <c r="E90" s="112" t="n"/>
      <c r="F90" s="112" t="n"/>
      <c r="G90" s="49" t="n"/>
      <c r="H90" s="47" t="n"/>
      <c r="I90" s="47" t="n"/>
      <c r="J90" s="47" t="n"/>
    </row>
    <row r="91">
      <c r="A91" s="40" t="n"/>
      <c r="B91" s="43">
        <f>IFERROR(INDEX(الموظفون_الاسم,MATCH($A91,الموظفون_الرقم,0)),"")</f>
        <v/>
      </c>
      <c r="C91" s="40" t="n"/>
      <c r="D91" s="40" t="n"/>
      <c r="E91" s="110" t="n"/>
      <c r="F91" s="110" t="n"/>
      <c r="G91" s="42" t="n"/>
      <c r="H91" s="40" t="n"/>
      <c r="I91" s="40" t="n"/>
      <c r="J91" s="40" t="n"/>
    </row>
    <row r="92">
      <c r="A92" s="47" t="n"/>
      <c r="B92" s="50">
        <f>IFERROR(INDEX(الموظفون_الاسم,MATCH($A92,الموظفون_الرقم,0)),"")</f>
        <v/>
      </c>
      <c r="C92" s="47" t="n"/>
      <c r="D92" s="47" t="n"/>
      <c r="E92" s="112" t="n"/>
      <c r="F92" s="112" t="n"/>
      <c r="G92" s="49" t="n"/>
      <c r="H92" s="47" t="n"/>
      <c r="I92" s="47" t="n"/>
      <c r="J92" s="47" t="n"/>
    </row>
    <row r="93">
      <c r="A93" s="40" t="n"/>
      <c r="B93" s="43">
        <f>IFERROR(INDEX(الموظفون_الاسم,MATCH($A93,الموظفون_الرقم,0)),"")</f>
        <v/>
      </c>
      <c r="C93" s="40" t="n"/>
      <c r="D93" s="40" t="n"/>
      <c r="E93" s="110" t="n"/>
      <c r="F93" s="110" t="n"/>
      <c r="G93" s="42" t="n"/>
      <c r="H93" s="40" t="n"/>
      <c r="I93" s="40" t="n"/>
      <c r="J93" s="40" t="n"/>
    </row>
    <row r="94">
      <c r="A94" s="47" t="n"/>
      <c r="B94" s="50">
        <f>IFERROR(INDEX(الموظفون_الاسم,MATCH($A94,الموظفون_الرقم,0)),"")</f>
        <v/>
      </c>
      <c r="C94" s="47" t="n"/>
      <c r="D94" s="47" t="n"/>
      <c r="E94" s="112" t="n"/>
      <c r="F94" s="112" t="n"/>
      <c r="G94" s="49" t="n"/>
      <c r="H94" s="47" t="n"/>
      <c r="I94" s="47" t="n"/>
      <c r="J94" s="47" t="n"/>
    </row>
    <row r="95">
      <c r="A95" s="40" t="n"/>
      <c r="B95" s="43">
        <f>IFERROR(INDEX(الموظفون_الاسم,MATCH($A95,الموظفون_الرقم,0)),"")</f>
        <v/>
      </c>
      <c r="C95" s="40" t="n"/>
      <c r="D95" s="40" t="n"/>
      <c r="E95" s="110" t="n"/>
      <c r="F95" s="110" t="n"/>
      <c r="G95" s="42" t="n"/>
      <c r="H95" s="40" t="n"/>
      <c r="I95" s="40" t="n"/>
      <c r="J95" s="40" t="n"/>
    </row>
    <row r="96">
      <c r="A96" s="47" t="n"/>
      <c r="B96" s="50">
        <f>IFERROR(INDEX(الموظفون_الاسم,MATCH($A96,الموظفون_الرقم,0)),"")</f>
        <v/>
      </c>
      <c r="C96" s="47" t="n"/>
      <c r="D96" s="47" t="n"/>
      <c r="E96" s="112" t="n"/>
      <c r="F96" s="112" t="n"/>
      <c r="G96" s="49" t="n"/>
      <c r="H96" s="47" t="n"/>
      <c r="I96" s="47" t="n"/>
      <c r="J96" s="47" t="n"/>
    </row>
    <row r="97">
      <c r="A97" s="40" t="n"/>
      <c r="B97" s="43">
        <f>IFERROR(INDEX(الموظفون_الاسم,MATCH($A97,الموظفون_الرقم,0)),"")</f>
        <v/>
      </c>
      <c r="C97" s="40" t="n"/>
      <c r="D97" s="40" t="n"/>
      <c r="E97" s="110" t="n"/>
      <c r="F97" s="110" t="n"/>
      <c r="G97" s="42" t="n"/>
      <c r="H97" s="40" t="n"/>
      <c r="I97" s="40" t="n"/>
      <c r="J97" s="40" t="n"/>
    </row>
    <row r="98">
      <c r="A98" s="47" t="n"/>
      <c r="B98" s="50">
        <f>IFERROR(INDEX(الموظفون_الاسم,MATCH($A98,الموظفون_الرقم,0)),"")</f>
        <v/>
      </c>
      <c r="C98" s="47" t="n"/>
      <c r="D98" s="47" t="n"/>
      <c r="E98" s="112" t="n"/>
      <c r="F98" s="112" t="n"/>
      <c r="G98" s="49" t="n"/>
      <c r="H98" s="47" t="n"/>
      <c r="I98" s="47" t="n"/>
      <c r="J98" s="47" t="n"/>
    </row>
    <row r="99">
      <c r="A99" s="40" t="n"/>
      <c r="B99" s="43">
        <f>IFERROR(INDEX(الموظفون_الاسم,MATCH($A99,الموظفون_الرقم,0)),"")</f>
        <v/>
      </c>
      <c r="C99" s="40" t="n"/>
      <c r="D99" s="40" t="n"/>
      <c r="E99" s="110" t="n"/>
      <c r="F99" s="110" t="n"/>
      <c r="G99" s="42" t="n"/>
      <c r="H99" s="40" t="n"/>
      <c r="I99" s="40" t="n"/>
      <c r="J99" s="40" t="n"/>
    </row>
    <row r="100">
      <c r="A100" s="47" t="n"/>
      <c r="B100" s="50">
        <f>IFERROR(INDEX(الموظفون_الاسم,MATCH($A100,الموظفون_الرقم,0)),"")</f>
        <v/>
      </c>
      <c r="C100" s="47" t="n"/>
      <c r="D100" s="47" t="n"/>
      <c r="E100" s="112" t="n"/>
      <c r="F100" s="112" t="n"/>
      <c r="G100" s="49" t="n"/>
      <c r="H100" s="47" t="n"/>
      <c r="I100" s="47" t="n"/>
      <c r="J100" s="47" t="n"/>
    </row>
    <row r="101">
      <c r="A101" s="40" t="n"/>
      <c r="B101" s="43">
        <f>IFERROR(INDEX(الموظفون_الاسم,MATCH($A101,الموظفون_الرقم,0)),"")</f>
        <v/>
      </c>
      <c r="C101" s="40" t="n"/>
      <c r="D101" s="40" t="n"/>
      <c r="E101" s="110" t="n"/>
      <c r="F101" s="110" t="n"/>
      <c r="G101" s="42" t="n"/>
      <c r="H101" s="40" t="n"/>
      <c r="I101" s="40" t="n"/>
      <c r="J101" s="40" t="n"/>
    </row>
    <row r="102">
      <c r="A102" s="47" t="n"/>
      <c r="B102" s="50">
        <f>IFERROR(INDEX(الموظفون_الاسم,MATCH($A102,الموظفون_الرقم,0)),"")</f>
        <v/>
      </c>
      <c r="C102" s="47" t="n"/>
      <c r="D102" s="47" t="n"/>
      <c r="E102" s="112" t="n"/>
      <c r="F102" s="112" t="n"/>
      <c r="G102" s="49" t="n"/>
      <c r="H102" s="47" t="n"/>
      <c r="I102" s="47" t="n"/>
      <c r="J102" s="47" t="n"/>
    </row>
    <row r="103">
      <c r="A103" s="40" t="n"/>
      <c r="B103" s="43">
        <f>IFERROR(INDEX(الموظفون_الاسم,MATCH($A103,الموظفون_الرقم,0)),"")</f>
        <v/>
      </c>
      <c r="C103" s="40" t="n"/>
      <c r="D103" s="40" t="n"/>
      <c r="E103" s="110" t="n"/>
      <c r="F103" s="110" t="n"/>
      <c r="G103" s="42" t="n"/>
      <c r="H103" s="40" t="n"/>
      <c r="I103" s="40" t="n"/>
      <c r="J103" s="40" t="n"/>
    </row>
    <row r="104">
      <c r="A104" s="47" t="n"/>
      <c r="B104" s="50">
        <f>IFERROR(INDEX(الموظفون_الاسم,MATCH($A104,الموظفون_الرقم,0)),"")</f>
        <v/>
      </c>
      <c r="C104" s="47" t="n"/>
      <c r="D104" s="47" t="n"/>
      <c r="E104" s="112" t="n"/>
      <c r="F104" s="112" t="n"/>
      <c r="G104" s="49" t="n"/>
      <c r="H104" s="47" t="n"/>
      <c r="I104" s="47" t="n"/>
      <c r="J104" s="47" t="n"/>
    </row>
    <row r="105">
      <c r="A105" s="40" t="n"/>
      <c r="B105" s="43">
        <f>IFERROR(INDEX(الموظفون_الاسم,MATCH($A105,الموظفون_الرقم,0)),"")</f>
        <v/>
      </c>
      <c r="C105" s="40" t="n"/>
      <c r="D105" s="40" t="n"/>
      <c r="E105" s="110" t="n"/>
      <c r="F105" s="110" t="n"/>
      <c r="G105" s="42" t="n"/>
      <c r="H105" s="40" t="n"/>
      <c r="I105" s="40" t="n"/>
      <c r="J105" s="40" t="n"/>
    </row>
    <row r="106">
      <c r="A106" s="47" t="n"/>
      <c r="B106" s="50">
        <f>IFERROR(INDEX(الموظفون_الاسم,MATCH($A106,الموظفون_الرقم,0)),"")</f>
        <v/>
      </c>
      <c r="C106" s="47" t="n"/>
      <c r="D106" s="47" t="n"/>
      <c r="E106" s="112" t="n"/>
      <c r="F106" s="112" t="n"/>
      <c r="G106" s="49" t="n"/>
      <c r="H106" s="47" t="n"/>
      <c r="I106" s="47" t="n"/>
      <c r="J106" s="47" t="n"/>
    </row>
    <row r="107">
      <c r="A107" s="40" t="n"/>
      <c r="B107" s="43">
        <f>IFERROR(INDEX(الموظفون_الاسم,MATCH($A107,الموظفون_الرقم,0)),"")</f>
        <v/>
      </c>
      <c r="C107" s="40" t="n"/>
      <c r="D107" s="40" t="n"/>
      <c r="E107" s="110" t="n"/>
      <c r="F107" s="110" t="n"/>
      <c r="G107" s="42" t="n"/>
      <c r="H107" s="40" t="n"/>
      <c r="I107" s="40" t="n"/>
      <c r="J107" s="40" t="n"/>
    </row>
    <row r="108">
      <c r="A108" s="47" t="n"/>
      <c r="B108" s="50">
        <f>IFERROR(INDEX(الموظفون_الاسم,MATCH($A108,الموظفون_الرقم,0)),"")</f>
        <v/>
      </c>
      <c r="C108" s="47" t="n"/>
      <c r="D108" s="47" t="n"/>
      <c r="E108" s="112" t="n"/>
      <c r="F108" s="112" t="n"/>
      <c r="G108" s="49" t="n"/>
      <c r="H108" s="47" t="n"/>
      <c r="I108" s="47" t="n"/>
      <c r="J108" s="47" t="n"/>
    </row>
    <row r="109">
      <c r="A109" s="40" t="n"/>
      <c r="B109" s="43">
        <f>IFERROR(INDEX(الموظفون_الاسم,MATCH($A109,الموظفون_الرقم,0)),"")</f>
        <v/>
      </c>
      <c r="C109" s="40" t="n"/>
      <c r="D109" s="40" t="n"/>
      <c r="E109" s="110" t="n"/>
      <c r="F109" s="110" t="n"/>
      <c r="G109" s="42" t="n"/>
      <c r="H109" s="40" t="n"/>
      <c r="I109" s="40" t="n"/>
      <c r="J109" s="40" t="n"/>
    </row>
    <row r="110">
      <c r="A110" s="47" t="n"/>
      <c r="B110" s="50">
        <f>IFERROR(INDEX(الموظفون_الاسم,MATCH($A110,الموظفون_الرقم,0)),"")</f>
        <v/>
      </c>
      <c r="C110" s="47" t="n"/>
      <c r="D110" s="47" t="n"/>
      <c r="E110" s="112" t="n"/>
      <c r="F110" s="112" t="n"/>
      <c r="G110" s="49" t="n"/>
      <c r="H110" s="47" t="n"/>
      <c r="I110" s="47" t="n"/>
      <c r="J110" s="47" t="n"/>
    </row>
    <row r="111">
      <c r="A111" s="40" t="n"/>
      <c r="B111" s="43">
        <f>IFERROR(INDEX(الموظفون_الاسم,MATCH($A111,الموظفون_الرقم,0)),"")</f>
        <v/>
      </c>
      <c r="C111" s="40" t="n"/>
      <c r="D111" s="40" t="n"/>
      <c r="E111" s="110" t="n"/>
      <c r="F111" s="110" t="n"/>
      <c r="G111" s="42" t="n"/>
      <c r="H111" s="40" t="n"/>
      <c r="I111" s="40" t="n"/>
      <c r="J111" s="40" t="n"/>
    </row>
    <row r="112">
      <c r="A112" s="47" t="n"/>
      <c r="B112" s="50">
        <f>IFERROR(INDEX(الموظفون_الاسم,MATCH($A112,الموظفون_الرقم,0)),"")</f>
        <v/>
      </c>
      <c r="C112" s="47" t="n"/>
      <c r="D112" s="47" t="n"/>
      <c r="E112" s="112" t="n"/>
      <c r="F112" s="112" t="n"/>
      <c r="G112" s="49" t="n"/>
      <c r="H112" s="47" t="n"/>
      <c r="I112" s="47" t="n"/>
      <c r="J112" s="47" t="n"/>
    </row>
    <row r="113">
      <c r="A113" s="40" t="n"/>
      <c r="B113" s="43">
        <f>IFERROR(INDEX(الموظفون_الاسم,MATCH($A113,الموظفون_الرقم,0)),"")</f>
        <v/>
      </c>
      <c r="C113" s="40" t="n"/>
      <c r="D113" s="40" t="n"/>
      <c r="E113" s="110" t="n"/>
      <c r="F113" s="110" t="n"/>
      <c r="G113" s="42" t="n"/>
      <c r="H113" s="40" t="n"/>
      <c r="I113" s="40" t="n"/>
      <c r="J113" s="40" t="n"/>
    </row>
    <row r="114">
      <c r="A114" s="47" t="n"/>
      <c r="B114" s="50">
        <f>IFERROR(INDEX(الموظفون_الاسم,MATCH($A114,الموظفون_الرقم,0)),"")</f>
        <v/>
      </c>
      <c r="C114" s="47" t="n"/>
      <c r="D114" s="47" t="n"/>
      <c r="E114" s="112" t="n"/>
      <c r="F114" s="112" t="n"/>
      <c r="G114" s="49" t="n"/>
      <c r="H114" s="47" t="n"/>
      <c r="I114" s="47" t="n"/>
      <c r="J114" s="47" t="n"/>
    </row>
    <row r="115">
      <c r="A115" s="40" t="n"/>
      <c r="B115" s="43">
        <f>IFERROR(INDEX(الموظفون_الاسم,MATCH($A115,الموظفون_الرقم,0)),"")</f>
        <v/>
      </c>
      <c r="C115" s="40" t="n"/>
      <c r="D115" s="40" t="n"/>
      <c r="E115" s="110" t="n"/>
      <c r="F115" s="110" t="n"/>
      <c r="G115" s="42" t="n"/>
      <c r="H115" s="40" t="n"/>
      <c r="I115" s="40" t="n"/>
      <c r="J115" s="40" t="n"/>
    </row>
    <row r="116">
      <c r="A116" s="47" t="n"/>
      <c r="B116" s="50">
        <f>IFERROR(INDEX(الموظفون_الاسم,MATCH($A116,الموظفون_الرقم,0)),"")</f>
        <v/>
      </c>
      <c r="C116" s="47" t="n"/>
      <c r="D116" s="47" t="n"/>
      <c r="E116" s="112" t="n"/>
      <c r="F116" s="112" t="n"/>
      <c r="G116" s="49" t="n"/>
      <c r="H116" s="47" t="n"/>
      <c r="I116" s="47" t="n"/>
      <c r="J116" s="47" t="n"/>
    </row>
    <row r="117">
      <c r="A117" s="40" t="n"/>
      <c r="B117" s="43">
        <f>IFERROR(INDEX(الموظفون_الاسم,MATCH($A117,الموظفون_الرقم,0)),"")</f>
        <v/>
      </c>
      <c r="C117" s="40" t="n"/>
      <c r="D117" s="40" t="n"/>
      <c r="E117" s="110" t="n"/>
      <c r="F117" s="110" t="n"/>
      <c r="G117" s="42" t="n"/>
      <c r="H117" s="40" t="n"/>
      <c r="I117" s="40" t="n"/>
      <c r="J117" s="40" t="n"/>
    </row>
    <row r="118">
      <c r="A118" s="47" t="n"/>
      <c r="B118" s="50">
        <f>IFERROR(INDEX(الموظفون_الاسم,MATCH($A118,الموظفون_الرقم,0)),"")</f>
        <v/>
      </c>
      <c r="C118" s="47" t="n"/>
      <c r="D118" s="47" t="n"/>
      <c r="E118" s="112" t="n"/>
      <c r="F118" s="112" t="n"/>
      <c r="G118" s="49" t="n"/>
      <c r="H118" s="47" t="n"/>
      <c r="I118" s="47" t="n"/>
      <c r="J118" s="47" t="n"/>
    </row>
    <row r="119">
      <c r="A119" s="40" t="n"/>
      <c r="B119" s="43">
        <f>IFERROR(INDEX(الموظفون_الاسم,MATCH($A119,الموظفون_الرقم,0)),"")</f>
        <v/>
      </c>
      <c r="C119" s="40" t="n"/>
      <c r="D119" s="40" t="n"/>
      <c r="E119" s="110" t="n"/>
      <c r="F119" s="110" t="n"/>
      <c r="G119" s="42" t="n"/>
      <c r="H119" s="40" t="n"/>
      <c r="I119" s="40" t="n"/>
      <c r="J119" s="40" t="n"/>
    </row>
    <row r="120">
      <c r="A120" s="47" t="n"/>
      <c r="B120" s="50">
        <f>IFERROR(INDEX(الموظفون_الاسم,MATCH($A120,الموظفون_الرقم,0)),"")</f>
        <v/>
      </c>
      <c r="C120" s="47" t="n"/>
      <c r="D120" s="47" t="n"/>
      <c r="E120" s="112" t="n"/>
      <c r="F120" s="112" t="n"/>
      <c r="G120" s="49" t="n"/>
      <c r="H120" s="47" t="n"/>
      <c r="I120" s="47" t="n"/>
      <c r="J120" s="47" t="n"/>
    </row>
    <row r="121">
      <c r="A121" s="40" t="n"/>
      <c r="B121" s="43">
        <f>IFERROR(INDEX(الموظفون_الاسم,MATCH($A121,الموظفون_الرقم,0)),"")</f>
        <v/>
      </c>
      <c r="C121" s="40" t="n"/>
      <c r="D121" s="40" t="n"/>
      <c r="E121" s="110" t="n"/>
      <c r="F121" s="110" t="n"/>
      <c r="G121" s="42" t="n"/>
      <c r="H121" s="40" t="n"/>
      <c r="I121" s="40" t="n"/>
      <c r="J121" s="40" t="n"/>
    </row>
    <row r="122">
      <c r="A122" s="47" t="n"/>
      <c r="B122" s="50">
        <f>IFERROR(INDEX(الموظفون_الاسم,MATCH($A122,الموظفون_الرقم,0)),"")</f>
        <v/>
      </c>
      <c r="C122" s="47" t="n"/>
      <c r="D122" s="47" t="n"/>
      <c r="E122" s="112" t="n"/>
      <c r="F122" s="112" t="n"/>
      <c r="G122" s="49" t="n"/>
      <c r="H122" s="47" t="n"/>
      <c r="I122" s="47" t="n"/>
      <c r="J122" s="47" t="n"/>
    </row>
    <row r="123">
      <c r="A123" s="40" t="n"/>
      <c r="B123" s="43">
        <f>IFERROR(INDEX(الموظفون_الاسم,MATCH($A123,الموظفون_الرقم,0)),"")</f>
        <v/>
      </c>
      <c r="C123" s="40" t="n"/>
      <c r="D123" s="40" t="n"/>
      <c r="E123" s="110" t="n"/>
      <c r="F123" s="110" t="n"/>
      <c r="G123" s="42" t="n"/>
      <c r="H123" s="40" t="n"/>
      <c r="I123" s="40" t="n"/>
      <c r="J123" s="40" t="n"/>
    </row>
    <row r="124">
      <c r="A124" s="47" t="n"/>
      <c r="B124" s="50">
        <f>IFERROR(INDEX(الموظفون_الاسم,MATCH($A124,الموظفون_الرقم,0)),"")</f>
        <v/>
      </c>
      <c r="C124" s="47" t="n"/>
      <c r="D124" s="47" t="n"/>
      <c r="E124" s="112" t="n"/>
      <c r="F124" s="112" t="n"/>
      <c r="G124" s="49" t="n"/>
      <c r="H124" s="47" t="n"/>
      <c r="I124" s="47" t="n"/>
      <c r="J124" s="47" t="n"/>
    </row>
    <row r="125">
      <c r="A125" s="40" t="n"/>
      <c r="B125" s="43">
        <f>IFERROR(INDEX(الموظفون_الاسم,MATCH($A125,الموظفون_الرقم,0)),"")</f>
        <v/>
      </c>
      <c r="C125" s="40" t="n"/>
      <c r="D125" s="40" t="n"/>
      <c r="E125" s="110" t="n"/>
      <c r="F125" s="110" t="n"/>
      <c r="G125" s="42" t="n"/>
      <c r="H125" s="40" t="n"/>
      <c r="I125" s="40" t="n"/>
      <c r="J125" s="40" t="n"/>
    </row>
    <row r="126">
      <c r="A126" s="47" t="n"/>
      <c r="B126" s="50">
        <f>IFERROR(INDEX(الموظفون_الاسم,MATCH($A126,الموظفون_الرقم,0)),"")</f>
        <v/>
      </c>
      <c r="C126" s="47" t="n"/>
      <c r="D126" s="47" t="n"/>
      <c r="E126" s="112" t="n"/>
      <c r="F126" s="112" t="n"/>
      <c r="G126" s="49" t="n"/>
      <c r="H126" s="47" t="n"/>
      <c r="I126" s="47" t="n"/>
      <c r="J126" s="47" t="n"/>
    </row>
    <row r="127">
      <c r="A127" s="40" t="n"/>
      <c r="B127" s="43">
        <f>IFERROR(INDEX(الموظفون_الاسم,MATCH($A127,الموظفون_الرقم,0)),"")</f>
        <v/>
      </c>
      <c r="C127" s="40" t="n"/>
      <c r="D127" s="40" t="n"/>
      <c r="E127" s="110" t="n"/>
      <c r="F127" s="110" t="n"/>
      <c r="G127" s="42" t="n"/>
      <c r="H127" s="40" t="n"/>
      <c r="I127" s="40" t="n"/>
      <c r="J127" s="40" t="n"/>
    </row>
    <row r="128">
      <c r="A128" s="47" t="n"/>
      <c r="B128" s="50">
        <f>IFERROR(INDEX(الموظفون_الاسم,MATCH($A128,الموظفون_الرقم,0)),"")</f>
        <v/>
      </c>
      <c r="C128" s="47" t="n"/>
      <c r="D128" s="47" t="n"/>
      <c r="E128" s="112" t="n"/>
      <c r="F128" s="112" t="n"/>
      <c r="G128" s="49" t="n"/>
      <c r="H128" s="47" t="n"/>
      <c r="I128" s="47" t="n"/>
      <c r="J128" s="47" t="n"/>
    </row>
    <row r="129">
      <c r="A129" s="40" t="n"/>
      <c r="B129" s="43">
        <f>IFERROR(INDEX(الموظفون_الاسم,MATCH($A129,الموظفون_الرقم,0)),"")</f>
        <v/>
      </c>
      <c r="C129" s="40" t="n"/>
      <c r="D129" s="40" t="n"/>
      <c r="E129" s="110" t="n"/>
      <c r="F129" s="110" t="n"/>
      <c r="G129" s="42" t="n"/>
      <c r="H129" s="40" t="n"/>
      <c r="I129" s="40" t="n"/>
      <c r="J129" s="40" t="n"/>
    </row>
    <row r="130">
      <c r="A130" s="47" t="n"/>
      <c r="B130" s="50">
        <f>IFERROR(INDEX(الموظفون_الاسم,MATCH($A130,الموظفون_الرقم,0)),"")</f>
        <v/>
      </c>
      <c r="C130" s="47" t="n"/>
      <c r="D130" s="47" t="n"/>
      <c r="E130" s="112" t="n"/>
      <c r="F130" s="112" t="n"/>
      <c r="G130" s="49" t="n"/>
      <c r="H130" s="47" t="n"/>
      <c r="I130" s="47" t="n"/>
      <c r="J130" s="47" t="n"/>
    </row>
    <row r="131">
      <c r="A131" s="40" t="n"/>
      <c r="B131" s="43">
        <f>IFERROR(INDEX(الموظفون_الاسم,MATCH($A131,الموظفون_الرقم,0)),"")</f>
        <v/>
      </c>
      <c r="C131" s="40" t="n"/>
      <c r="D131" s="40" t="n"/>
      <c r="E131" s="110" t="n"/>
      <c r="F131" s="110" t="n"/>
      <c r="G131" s="42" t="n"/>
      <c r="H131" s="40" t="n"/>
      <c r="I131" s="40" t="n"/>
      <c r="J131" s="40" t="n"/>
    </row>
    <row r="132">
      <c r="A132" s="47" t="n"/>
      <c r="B132" s="50">
        <f>IFERROR(INDEX(الموظفون_الاسم,MATCH($A132,الموظفون_الرقم,0)),"")</f>
        <v/>
      </c>
      <c r="C132" s="47" t="n"/>
      <c r="D132" s="47" t="n"/>
      <c r="E132" s="112" t="n"/>
      <c r="F132" s="112" t="n"/>
      <c r="G132" s="49" t="n"/>
      <c r="H132" s="47" t="n"/>
      <c r="I132" s="47" t="n"/>
      <c r="J132" s="47" t="n"/>
    </row>
    <row r="133">
      <c r="A133" s="40" t="n"/>
      <c r="B133" s="43">
        <f>IFERROR(INDEX(الموظفون_الاسم,MATCH($A133,الموظفون_الرقم,0)),"")</f>
        <v/>
      </c>
      <c r="C133" s="40" t="n"/>
      <c r="D133" s="40" t="n"/>
      <c r="E133" s="110" t="n"/>
      <c r="F133" s="110" t="n"/>
      <c r="G133" s="42" t="n"/>
      <c r="H133" s="40" t="n"/>
      <c r="I133" s="40" t="n"/>
      <c r="J133" s="40" t="n"/>
    </row>
    <row r="134">
      <c r="A134" s="47" t="n"/>
      <c r="B134" s="50">
        <f>IFERROR(INDEX(الموظفون_الاسم,MATCH($A134,الموظفون_الرقم,0)),"")</f>
        <v/>
      </c>
      <c r="C134" s="47" t="n"/>
      <c r="D134" s="47" t="n"/>
      <c r="E134" s="112" t="n"/>
      <c r="F134" s="112" t="n"/>
      <c r="G134" s="49" t="n"/>
      <c r="H134" s="47" t="n"/>
      <c r="I134" s="47" t="n"/>
      <c r="J134" s="47" t="n"/>
    </row>
    <row r="135">
      <c r="A135" s="40" t="n"/>
      <c r="B135" s="43">
        <f>IFERROR(INDEX(الموظفون_الاسم,MATCH($A135,الموظفون_الرقم,0)),"")</f>
        <v/>
      </c>
      <c r="C135" s="40" t="n"/>
      <c r="D135" s="40" t="n"/>
      <c r="E135" s="110" t="n"/>
      <c r="F135" s="110" t="n"/>
      <c r="G135" s="42" t="n"/>
      <c r="H135" s="40" t="n"/>
      <c r="I135" s="40" t="n"/>
      <c r="J135" s="40" t="n"/>
    </row>
    <row r="136">
      <c r="A136" s="47" t="n"/>
      <c r="B136" s="50">
        <f>IFERROR(INDEX(الموظفون_الاسم,MATCH($A136,الموظفون_الرقم,0)),"")</f>
        <v/>
      </c>
      <c r="C136" s="47" t="n"/>
      <c r="D136" s="47" t="n"/>
      <c r="E136" s="112" t="n"/>
      <c r="F136" s="112" t="n"/>
      <c r="G136" s="49" t="n"/>
      <c r="H136" s="47" t="n"/>
      <c r="I136" s="47" t="n"/>
      <c r="J136" s="47" t="n"/>
    </row>
    <row r="137">
      <c r="A137" s="40" t="n"/>
      <c r="B137" s="43">
        <f>IFERROR(INDEX(الموظفون_الاسم,MATCH($A137,الموظفون_الرقم,0)),"")</f>
        <v/>
      </c>
      <c r="C137" s="40" t="n"/>
      <c r="D137" s="40" t="n"/>
      <c r="E137" s="110" t="n"/>
      <c r="F137" s="110" t="n"/>
      <c r="G137" s="42" t="n"/>
      <c r="H137" s="40" t="n"/>
      <c r="I137" s="40" t="n"/>
      <c r="J137" s="40" t="n"/>
    </row>
    <row r="138">
      <c r="A138" s="47" t="n"/>
      <c r="B138" s="50">
        <f>IFERROR(INDEX(الموظفون_الاسم,MATCH($A138,الموظفون_الرقم,0)),"")</f>
        <v/>
      </c>
      <c r="C138" s="47" t="n"/>
      <c r="D138" s="47" t="n"/>
      <c r="E138" s="112" t="n"/>
      <c r="F138" s="112" t="n"/>
      <c r="G138" s="49" t="n"/>
      <c r="H138" s="47" t="n"/>
      <c r="I138" s="47" t="n"/>
      <c r="J138" s="47" t="n"/>
    </row>
    <row r="139">
      <c r="A139" s="40" t="n"/>
      <c r="B139" s="43">
        <f>IFERROR(INDEX(الموظفون_الاسم,MATCH($A139,الموظفون_الرقم,0)),"")</f>
        <v/>
      </c>
      <c r="C139" s="40" t="n"/>
      <c r="D139" s="40" t="n"/>
      <c r="E139" s="110" t="n"/>
      <c r="F139" s="110" t="n"/>
      <c r="G139" s="42" t="n"/>
      <c r="H139" s="40" t="n"/>
      <c r="I139" s="40" t="n"/>
      <c r="J139" s="40" t="n"/>
    </row>
    <row r="140">
      <c r="A140" s="47" t="n"/>
      <c r="B140" s="50">
        <f>IFERROR(INDEX(الموظفون_الاسم,MATCH($A140,الموظفون_الرقم,0)),"")</f>
        <v/>
      </c>
      <c r="C140" s="47" t="n"/>
      <c r="D140" s="47" t="n"/>
      <c r="E140" s="112" t="n"/>
      <c r="F140" s="112" t="n"/>
      <c r="G140" s="49" t="n"/>
      <c r="H140" s="47" t="n"/>
      <c r="I140" s="47" t="n"/>
      <c r="J140" s="47" t="n"/>
    </row>
    <row r="141">
      <c r="A141" s="40" t="n"/>
      <c r="B141" s="43">
        <f>IFERROR(INDEX(الموظفون_الاسم,MATCH($A141,الموظفون_الرقم,0)),"")</f>
        <v/>
      </c>
      <c r="C141" s="40" t="n"/>
      <c r="D141" s="40" t="n"/>
      <c r="E141" s="110" t="n"/>
      <c r="F141" s="110" t="n"/>
      <c r="G141" s="42" t="n"/>
      <c r="H141" s="40" t="n"/>
      <c r="I141" s="40" t="n"/>
      <c r="J141" s="40" t="n"/>
    </row>
    <row r="142">
      <c r="A142" s="47" t="n"/>
      <c r="B142" s="50">
        <f>IFERROR(INDEX(الموظفون_الاسم,MATCH($A142,الموظفون_الرقم,0)),"")</f>
        <v/>
      </c>
      <c r="C142" s="47" t="n"/>
      <c r="D142" s="47" t="n"/>
      <c r="E142" s="112" t="n"/>
      <c r="F142" s="112" t="n"/>
      <c r="G142" s="49" t="n"/>
      <c r="H142" s="47" t="n"/>
      <c r="I142" s="47" t="n"/>
      <c r="J142" s="47" t="n"/>
    </row>
    <row r="143">
      <c r="A143" s="40" t="n"/>
      <c r="B143" s="43">
        <f>IFERROR(INDEX(الموظفون_الاسم,MATCH($A143,الموظفون_الرقم,0)),"")</f>
        <v/>
      </c>
      <c r="C143" s="40" t="n"/>
      <c r="D143" s="40" t="n"/>
      <c r="E143" s="110" t="n"/>
      <c r="F143" s="110" t="n"/>
      <c r="G143" s="42" t="n"/>
      <c r="H143" s="40" t="n"/>
      <c r="I143" s="40" t="n"/>
      <c r="J143" s="40" t="n"/>
    </row>
    <row r="144">
      <c r="A144" s="47" t="n"/>
      <c r="B144" s="50">
        <f>IFERROR(INDEX(الموظفون_الاسم,MATCH($A144,الموظفون_الرقم,0)),"")</f>
        <v/>
      </c>
      <c r="C144" s="47" t="n"/>
      <c r="D144" s="47" t="n"/>
      <c r="E144" s="112" t="n"/>
      <c r="F144" s="112" t="n"/>
      <c r="G144" s="49" t="n"/>
      <c r="H144" s="47" t="n"/>
      <c r="I144" s="47" t="n"/>
      <c r="J144" s="47" t="n"/>
    </row>
    <row r="145">
      <c r="A145" s="40" t="n"/>
      <c r="B145" s="43">
        <f>IFERROR(INDEX(الموظفون_الاسم,MATCH($A145,الموظفون_الرقم,0)),"")</f>
        <v/>
      </c>
      <c r="C145" s="40" t="n"/>
      <c r="D145" s="40" t="n"/>
      <c r="E145" s="110" t="n"/>
      <c r="F145" s="110" t="n"/>
      <c r="G145" s="42" t="n"/>
      <c r="H145" s="40" t="n"/>
      <c r="I145" s="40" t="n"/>
      <c r="J145" s="40" t="n"/>
    </row>
    <row r="146">
      <c r="A146" s="47" t="n"/>
      <c r="B146" s="50">
        <f>IFERROR(INDEX(الموظفون_الاسم,MATCH($A146,الموظفون_الرقم,0)),"")</f>
        <v/>
      </c>
      <c r="C146" s="47" t="n"/>
      <c r="D146" s="47" t="n"/>
      <c r="E146" s="112" t="n"/>
      <c r="F146" s="112" t="n"/>
      <c r="G146" s="49" t="n"/>
      <c r="H146" s="47" t="n"/>
      <c r="I146" s="47" t="n"/>
      <c r="J146" s="47" t="n"/>
    </row>
    <row r="147">
      <c r="A147" s="40" t="n"/>
      <c r="B147" s="43">
        <f>IFERROR(INDEX(الموظفون_الاسم,MATCH($A147,الموظفون_الرقم,0)),"")</f>
        <v/>
      </c>
      <c r="C147" s="40" t="n"/>
      <c r="D147" s="40" t="n"/>
      <c r="E147" s="110" t="n"/>
      <c r="F147" s="110" t="n"/>
      <c r="G147" s="42" t="n"/>
      <c r="H147" s="40" t="n"/>
      <c r="I147" s="40" t="n"/>
      <c r="J147" s="40" t="n"/>
    </row>
    <row r="148">
      <c r="A148" s="47" t="n"/>
      <c r="B148" s="50">
        <f>IFERROR(INDEX(الموظفون_الاسم,MATCH($A148,الموظفون_الرقم,0)),"")</f>
        <v/>
      </c>
      <c r="C148" s="47" t="n"/>
      <c r="D148" s="47" t="n"/>
      <c r="E148" s="112" t="n"/>
      <c r="F148" s="112" t="n"/>
      <c r="G148" s="49" t="n"/>
      <c r="H148" s="47" t="n"/>
      <c r="I148" s="47" t="n"/>
      <c r="J148" s="47" t="n"/>
    </row>
    <row r="149">
      <c r="A149" s="40" t="n"/>
      <c r="B149" s="43">
        <f>IFERROR(INDEX(الموظفون_الاسم,MATCH($A149,الموظفون_الرقم,0)),"")</f>
        <v/>
      </c>
      <c r="C149" s="40" t="n"/>
      <c r="D149" s="40" t="n"/>
      <c r="E149" s="110" t="n"/>
      <c r="F149" s="110" t="n"/>
      <c r="G149" s="42" t="n"/>
      <c r="H149" s="40" t="n"/>
      <c r="I149" s="40" t="n"/>
      <c r="J149" s="40" t="n"/>
    </row>
    <row r="150">
      <c r="A150" s="47" t="n"/>
      <c r="B150" s="50">
        <f>IFERROR(INDEX(الموظفون_الاسم,MATCH($A150,الموظفون_الرقم,0)),"")</f>
        <v/>
      </c>
      <c r="C150" s="47" t="n"/>
      <c r="D150" s="47" t="n"/>
      <c r="E150" s="112" t="n"/>
      <c r="F150" s="112" t="n"/>
      <c r="G150" s="49" t="n"/>
      <c r="H150" s="47" t="n"/>
      <c r="I150" s="47" t="n"/>
      <c r="J150" s="47" t="n"/>
    </row>
    <row r="151">
      <c r="A151" s="40" t="n"/>
      <c r="B151" s="43">
        <f>IFERROR(INDEX(الموظفون_الاسم,MATCH($A151,الموظفون_الرقم,0)),"")</f>
        <v/>
      </c>
      <c r="C151" s="40" t="n"/>
      <c r="D151" s="40" t="n"/>
      <c r="E151" s="110" t="n"/>
      <c r="F151" s="110" t="n"/>
      <c r="G151" s="42" t="n"/>
      <c r="H151" s="40" t="n"/>
      <c r="I151" s="40" t="n"/>
      <c r="J151" s="40" t="n"/>
    </row>
    <row r="152">
      <c r="A152" s="47" t="n"/>
      <c r="B152" s="50">
        <f>IFERROR(INDEX(الموظفون_الاسم,MATCH($A152,الموظفون_الرقم,0)),"")</f>
        <v/>
      </c>
      <c r="C152" s="47" t="n"/>
      <c r="D152" s="47" t="n"/>
      <c r="E152" s="112" t="n"/>
      <c r="F152" s="112" t="n"/>
      <c r="G152" s="49" t="n"/>
      <c r="H152" s="47" t="n"/>
      <c r="I152" s="47" t="n"/>
      <c r="J152" s="47" t="n"/>
    </row>
    <row r="153">
      <c r="A153" s="40" t="n"/>
      <c r="B153" s="43">
        <f>IFERROR(INDEX(الموظفون_الاسم,MATCH($A153,الموظفون_الرقم,0)),"")</f>
        <v/>
      </c>
      <c r="C153" s="40" t="n"/>
      <c r="D153" s="40" t="n"/>
      <c r="E153" s="110" t="n"/>
      <c r="F153" s="110" t="n"/>
      <c r="G153" s="42" t="n"/>
      <c r="H153" s="40" t="n"/>
      <c r="I153" s="40" t="n"/>
      <c r="J153" s="40" t="n"/>
    </row>
    <row r="154">
      <c r="A154" s="47" t="n"/>
      <c r="B154" s="50">
        <f>IFERROR(INDEX(الموظفون_الاسم,MATCH($A154,الموظفون_الرقم,0)),"")</f>
        <v/>
      </c>
      <c r="C154" s="47" t="n"/>
      <c r="D154" s="47" t="n"/>
      <c r="E154" s="112" t="n"/>
      <c r="F154" s="112" t="n"/>
      <c r="G154" s="49" t="n"/>
      <c r="H154" s="47" t="n"/>
      <c r="I154" s="47" t="n"/>
      <c r="J154" s="47" t="n"/>
    </row>
    <row r="155">
      <c r="A155" s="40" t="n"/>
      <c r="B155" s="43">
        <f>IFERROR(INDEX(الموظفون_الاسم,MATCH($A155,الموظفون_الرقم,0)),"")</f>
        <v/>
      </c>
      <c r="C155" s="40" t="n"/>
      <c r="D155" s="40" t="n"/>
      <c r="E155" s="110" t="n"/>
      <c r="F155" s="110" t="n"/>
      <c r="G155" s="42" t="n"/>
      <c r="H155" s="40" t="n"/>
      <c r="I155" s="40" t="n"/>
      <c r="J155" s="40" t="n"/>
    </row>
    <row r="156">
      <c r="A156" s="47" t="n"/>
      <c r="B156" s="50">
        <f>IFERROR(INDEX(الموظفون_الاسم,MATCH($A156,الموظفون_الرقم,0)),"")</f>
        <v/>
      </c>
      <c r="C156" s="47" t="n"/>
      <c r="D156" s="47" t="n"/>
      <c r="E156" s="112" t="n"/>
      <c r="F156" s="112" t="n"/>
      <c r="G156" s="49" t="n"/>
      <c r="H156" s="47" t="n"/>
      <c r="I156" s="47" t="n"/>
      <c r="J156" s="47" t="n"/>
    </row>
    <row r="157">
      <c r="A157" s="40" t="n"/>
      <c r="B157" s="43">
        <f>IFERROR(INDEX(الموظفون_الاسم,MATCH($A157,الموظفون_الرقم,0)),"")</f>
        <v/>
      </c>
      <c r="C157" s="40" t="n"/>
      <c r="D157" s="40" t="n"/>
      <c r="E157" s="110" t="n"/>
      <c r="F157" s="110" t="n"/>
      <c r="G157" s="42" t="n"/>
      <c r="H157" s="40" t="n"/>
      <c r="I157" s="40" t="n"/>
      <c r="J157" s="40" t="n"/>
    </row>
    <row r="158">
      <c r="A158" s="47" t="n"/>
      <c r="B158" s="50">
        <f>IFERROR(INDEX(الموظفون_الاسم,MATCH($A158,الموظفون_الرقم,0)),"")</f>
        <v/>
      </c>
      <c r="C158" s="47" t="n"/>
      <c r="D158" s="47" t="n"/>
      <c r="E158" s="112" t="n"/>
      <c r="F158" s="112" t="n"/>
      <c r="G158" s="49" t="n"/>
      <c r="H158" s="47" t="n"/>
      <c r="I158" s="47" t="n"/>
      <c r="J158" s="47" t="n"/>
    </row>
    <row r="159">
      <c r="A159" s="40" t="n"/>
      <c r="B159" s="43">
        <f>IFERROR(INDEX(الموظفون_الاسم,MATCH($A159,الموظفون_الرقم,0)),"")</f>
        <v/>
      </c>
      <c r="C159" s="40" t="n"/>
      <c r="D159" s="40" t="n"/>
      <c r="E159" s="110" t="n"/>
      <c r="F159" s="110" t="n"/>
      <c r="G159" s="42" t="n"/>
      <c r="H159" s="40" t="n"/>
      <c r="I159" s="40" t="n"/>
      <c r="J159" s="40" t="n"/>
    </row>
    <row r="160">
      <c r="A160" s="47" t="n"/>
      <c r="B160" s="50">
        <f>IFERROR(INDEX(الموظفون_الاسم,MATCH($A160,الموظفون_الرقم,0)),"")</f>
        <v/>
      </c>
      <c r="C160" s="47" t="n"/>
      <c r="D160" s="47" t="n"/>
      <c r="E160" s="112" t="n"/>
      <c r="F160" s="112" t="n"/>
      <c r="G160" s="49" t="n"/>
      <c r="H160" s="47" t="n"/>
      <c r="I160" s="47" t="n"/>
      <c r="J160" s="47" t="n"/>
    </row>
    <row r="161">
      <c r="A161" s="40" t="n"/>
      <c r="B161" s="43">
        <f>IFERROR(INDEX(الموظفون_الاسم,MATCH($A161,الموظفون_الرقم,0)),"")</f>
        <v/>
      </c>
      <c r="C161" s="40" t="n"/>
      <c r="D161" s="40" t="n"/>
      <c r="E161" s="110" t="n"/>
      <c r="F161" s="110" t="n"/>
      <c r="G161" s="42" t="n"/>
      <c r="H161" s="40" t="n"/>
      <c r="I161" s="40" t="n"/>
      <c r="J161" s="40" t="n"/>
    </row>
    <row r="162">
      <c r="A162" s="47" t="n"/>
      <c r="B162" s="50">
        <f>IFERROR(INDEX(الموظفون_الاسم,MATCH($A162,الموظفون_الرقم,0)),"")</f>
        <v/>
      </c>
      <c r="C162" s="47" t="n"/>
      <c r="D162" s="47" t="n"/>
      <c r="E162" s="112" t="n"/>
      <c r="F162" s="112" t="n"/>
      <c r="G162" s="49" t="n"/>
      <c r="H162" s="47" t="n"/>
      <c r="I162" s="47" t="n"/>
      <c r="J162" s="47" t="n"/>
    </row>
    <row r="163">
      <c r="A163" s="40" t="n"/>
      <c r="B163" s="43">
        <f>IFERROR(INDEX(الموظفون_الاسم,MATCH($A163,الموظفون_الرقم,0)),"")</f>
        <v/>
      </c>
      <c r="C163" s="40" t="n"/>
      <c r="D163" s="40" t="n"/>
      <c r="E163" s="110" t="n"/>
      <c r="F163" s="110" t="n"/>
      <c r="G163" s="42" t="n"/>
      <c r="H163" s="40" t="n"/>
      <c r="I163" s="40" t="n"/>
      <c r="J163" s="40" t="n"/>
    </row>
    <row r="164">
      <c r="A164" s="47" t="n"/>
      <c r="B164" s="50">
        <f>IFERROR(INDEX(الموظفون_الاسم,MATCH($A164,الموظفون_الرقم,0)),"")</f>
        <v/>
      </c>
      <c r="C164" s="47" t="n"/>
      <c r="D164" s="47" t="n"/>
      <c r="E164" s="112" t="n"/>
      <c r="F164" s="112" t="n"/>
      <c r="G164" s="49" t="n"/>
      <c r="H164" s="47" t="n"/>
      <c r="I164" s="47" t="n"/>
      <c r="J164" s="47" t="n"/>
    </row>
    <row r="165">
      <c r="A165" s="40" t="n"/>
      <c r="B165" s="43">
        <f>IFERROR(INDEX(الموظفون_الاسم,MATCH($A165,الموظفون_الرقم,0)),"")</f>
        <v/>
      </c>
      <c r="C165" s="40" t="n"/>
      <c r="D165" s="40" t="n"/>
      <c r="E165" s="110" t="n"/>
      <c r="F165" s="110" t="n"/>
      <c r="G165" s="42" t="n"/>
      <c r="H165" s="40" t="n"/>
      <c r="I165" s="40" t="n"/>
      <c r="J165" s="40" t="n"/>
    </row>
    <row r="166">
      <c r="A166" s="47" t="n"/>
      <c r="B166" s="50">
        <f>IFERROR(INDEX(الموظفون_الاسم,MATCH($A166,الموظفون_الرقم,0)),"")</f>
        <v/>
      </c>
      <c r="C166" s="47" t="n"/>
      <c r="D166" s="47" t="n"/>
      <c r="E166" s="112" t="n"/>
      <c r="F166" s="112" t="n"/>
      <c r="G166" s="49" t="n"/>
      <c r="H166" s="47" t="n"/>
      <c r="I166" s="47" t="n"/>
      <c r="J166" s="47" t="n"/>
    </row>
    <row r="167">
      <c r="A167" s="40" t="n"/>
      <c r="B167" s="43">
        <f>IFERROR(INDEX(الموظفون_الاسم,MATCH($A167,الموظفون_الرقم,0)),"")</f>
        <v/>
      </c>
      <c r="C167" s="40" t="n"/>
      <c r="D167" s="40" t="n"/>
      <c r="E167" s="110" t="n"/>
      <c r="F167" s="110" t="n"/>
      <c r="G167" s="42" t="n"/>
      <c r="H167" s="40" t="n"/>
      <c r="I167" s="40" t="n"/>
      <c r="J167" s="40" t="n"/>
    </row>
    <row r="168">
      <c r="A168" s="47" t="n"/>
      <c r="B168" s="50">
        <f>IFERROR(INDEX(الموظفون_الاسم,MATCH($A168,الموظفون_الرقم,0)),"")</f>
        <v/>
      </c>
      <c r="C168" s="47" t="n"/>
      <c r="D168" s="47" t="n"/>
      <c r="E168" s="112" t="n"/>
      <c r="F168" s="112" t="n"/>
      <c r="G168" s="49" t="n"/>
      <c r="H168" s="47" t="n"/>
      <c r="I168" s="47" t="n"/>
      <c r="J168" s="47" t="n"/>
    </row>
    <row r="169">
      <c r="A169" s="40" t="n"/>
      <c r="B169" s="43">
        <f>IFERROR(INDEX(الموظفون_الاسم,MATCH($A169,الموظفون_الرقم,0)),"")</f>
        <v/>
      </c>
      <c r="C169" s="40" t="n"/>
      <c r="D169" s="40" t="n"/>
      <c r="E169" s="110" t="n"/>
      <c r="F169" s="110" t="n"/>
      <c r="G169" s="42" t="n"/>
      <c r="H169" s="40" t="n"/>
      <c r="I169" s="40" t="n"/>
      <c r="J169" s="40" t="n"/>
    </row>
    <row r="170">
      <c r="A170" s="47" t="n"/>
      <c r="B170" s="50">
        <f>IFERROR(INDEX(الموظفون_الاسم,MATCH($A170,الموظفون_الرقم,0)),"")</f>
        <v/>
      </c>
      <c r="C170" s="47" t="n"/>
      <c r="D170" s="47" t="n"/>
      <c r="E170" s="112" t="n"/>
      <c r="F170" s="112" t="n"/>
      <c r="G170" s="49" t="n"/>
      <c r="H170" s="47" t="n"/>
      <c r="I170" s="47" t="n"/>
      <c r="J170" s="47" t="n"/>
    </row>
    <row r="171">
      <c r="A171" s="40" t="n"/>
      <c r="B171" s="43">
        <f>IFERROR(INDEX(الموظفون_الاسم,MATCH($A171,الموظفون_الرقم,0)),"")</f>
        <v/>
      </c>
      <c r="C171" s="40" t="n"/>
      <c r="D171" s="40" t="n"/>
      <c r="E171" s="110" t="n"/>
      <c r="F171" s="110" t="n"/>
      <c r="G171" s="42" t="n"/>
      <c r="H171" s="40" t="n"/>
      <c r="I171" s="40" t="n"/>
      <c r="J171" s="40" t="n"/>
    </row>
    <row r="172">
      <c r="A172" s="47" t="n"/>
      <c r="B172" s="50">
        <f>IFERROR(INDEX(الموظفون_الاسم,MATCH($A172,الموظفون_الرقم,0)),"")</f>
        <v/>
      </c>
      <c r="C172" s="47" t="n"/>
      <c r="D172" s="47" t="n"/>
      <c r="E172" s="112" t="n"/>
      <c r="F172" s="112" t="n"/>
      <c r="G172" s="49" t="n"/>
      <c r="H172" s="47" t="n"/>
      <c r="I172" s="47" t="n"/>
      <c r="J172" s="47" t="n"/>
    </row>
    <row r="173">
      <c r="A173" s="40" t="n"/>
      <c r="B173" s="43">
        <f>IFERROR(INDEX(الموظفون_الاسم,MATCH($A173,الموظفون_الرقم,0)),"")</f>
        <v/>
      </c>
      <c r="C173" s="40" t="n"/>
      <c r="D173" s="40" t="n"/>
      <c r="E173" s="110" t="n"/>
      <c r="F173" s="110" t="n"/>
      <c r="G173" s="42" t="n"/>
      <c r="H173" s="40" t="n"/>
      <c r="I173" s="40" t="n"/>
      <c r="J173" s="40" t="n"/>
    </row>
    <row r="174">
      <c r="A174" s="47" t="n"/>
      <c r="B174" s="50">
        <f>IFERROR(INDEX(الموظفون_الاسم,MATCH($A174,الموظفون_الرقم,0)),"")</f>
        <v/>
      </c>
      <c r="C174" s="47" t="n"/>
      <c r="D174" s="47" t="n"/>
      <c r="E174" s="112" t="n"/>
      <c r="F174" s="112" t="n"/>
      <c r="G174" s="49" t="n"/>
      <c r="H174" s="47" t="n"/>
      <c r="I174" s="47" t="n"/>
      <c r="J174" s="47" t="n"/>
    </row>
    <row r="175">
      <c r="A175" s="40" t="n"/>
      <c r="B175" s="43">
        <f>IFERROR(INDEX(الموظفون_الاسم,MATCH($A175,الموظفون_الرقم,0)),"")</f>
        <v/>
      </c>
      <c r="C175" s="40" t="n"/>
      <c r="D175" s="40" t="n"/>
      <c r="E175" s="110" t="n"/>
      <c r="F175" s="110" t="n"/>
      <c r="G175" s="42" t="n"/>
      <c r="H175" s="40" t="n"/>
      <c r="I175" s="40" t="n"/>
      <c r="J175" s="40" t="n"/>
    </row>
    <row r="176">
      <c r="A176" s="47" t="n"/>
      <c r="B176" s="50">
        <f>IFERROR(INDEX(الموظفون_الاسم,MATCH($A176,الموظفون_الرقم,0)),"")</f>
        <v/>
      </c>
      <c r="C176" s="47" t="n"/>
      <c r="D176" s="47" t="n"/>
      <c r="E176" s="112" t="n"/>
      <c r="F176" s="112" t="n"/>
      <c r="G176" s="49" t="n"/>
      <c r="H176" s="47" t="n"/>
      <c r="I176" s="47" t="n"/>
      <c r="J176" s="47" t="n"/>
    </row>
    <row r="177">
      <c r="A177" s="40" t="n"/>
      <c r="B177" s="43">
        <f>IFERROR(INDEX(الموظفون_الاسم,MATCH($A177,الموظفون_الرقم,0)),"")</f>
        <v/>
      </c>
      <c r="C177" s="40" t="n"/>
      <c r="D177" s="40" t="n"/>
      <c r="E177" s="110" t="n"/>
      <c r="F177" s="110" t="n"/>
      <c r="G177" s="42" t="n"/>
      <c r="H177" s="40" t="n"/>
      <c r="I177" s="40" t="n"/>
      <c r="J177" s="40" t="n"/>
    </row>
    <row r="178">
      <c r="A178" s="47" t="n"/>
      <c r="B178" s="50">
        <f>IFERROR(INDEX(الموظفون_الاسم,MATCH($A178,الموظفون_الرقم,0)),"")</f>
        <v/>
      </c>
      <c r="C178" s="47" t="n"/>
      <c r="D178" s="47" t="n"/>
      <c r="E178" s="112" t="n"/>
      <c r="F178" s="112" t="n"/>
      <c r="G178" s="49" t="n"/>
      <c r="H178" s="47" t="n"/>
      <c r="I178" s="47" t="n"/>
      <c r="J178" s="47" t="n"/>
    </row>
    <row r="179">
      <c r="A179" s="40" t="n"/>
      <c r="B179" s="43">
        <f>IFERROR(INDEX(الموظفون_الاسم,MATCH($A179,الموظفون_الرقم,0)),"")</f>
        <v/>
      </c>
      <c r="C179" s="40" t="n"/>
      <c r="D179" s="40" t="n"/>
      <c r="E179" s="110" t="n"/>
      <c r="F179" s="110" t="n"/>
      <c r="G179" s="42" t="n"/>
      <c r="H179" s="40" t="n"/>
      <c r="I179" s="40" t="n"/>
      <c r="J179" s="40" t="n"/>
    </row>
    <row r="180">
      <c r="A180" s="47" t="n"/>
      <c r="B180" s="50">
        <f>IFERROR(INDEX(الموظفون_الاسم,MATCH($A180,الموظفون_الرقم,0)),"")</f>
        <v/>
      </c>
      <c r="C180" s="47" t="n"/>
      <c r="D180" s="47" t="n"/>
      <c r="E180" s="112" t="n"/>
      <c r="F180" s="112" t="n"/>
      <c r="G180" s="49" t="n"/>
      <c r="H180" s="47" t="n"/>
      <c r="I180" s="47" t="n"/>
      <c r="J180" s="47" t="n"/>
    </row>
    <row r="181">
      <c r="A181" s="40" t="n"/>
      <c r="B181" s="43">
        <f>IFERROR(INDEX(الموظفون_الاسم,MATCH($A181,الموظفون_الرقم,0)),"")</f>
        <v/>
      </c>
      <c r="C181" s="40" t="n"/>
      <c r="D181" s="40" t="n"/>
      <c r="E181" s="110" t="n"/>
      <c r="F181" s="110" t="n"/>
      <c r="G181" s="42" t="n"/>
      <c r="H181" s="40" t="n"/>
      <c r="I181" s="40" t="n"/>
      <c r="J181" s="40" t="n"/>
    </row>
    <row r="182">
      <c r="A182" s="47" t="n"/>
      <c r="B182" s="50">
        <f>IFERROR(INDEX(الموظفون_الاسم,MATCH($A182,الموظفون_الرقم,0)),"")</f>
        <v/>
      </c>
      <c r="C182" s="47" t="n"/>
      <c r="D182" s="47" t="n"/>
      <c r="E182" s="112" t="n"/>
      <c r="F182" s="112" t="n"/>
      <c r="G182" s="49" t="n"/>
      <c r="H182" s="47" t="n"/>
      <c r="I182" s="47" t="n"/>
      <c r="J182" s="47" t="n"/>
    </row>
    <row r="183">
      <c r="A183" s="40" t="n"/>
      <c r="B183" s="43">
        <f>IFERROR(INDEX(الموظفون_الاسم,MATCH($A183,الموظفون_الرقم,0)),"")</f>
        <v/>
      </c>
      <c r="C183" s="40" t="n"/>
      <c r="D183" s="40" t="n"/>
      <c r="E183" s="110" t="n"/>
      <c r="F183" s="110" t="n"/>
      <c r="G183" s="42" t="n"/>
      <c r="H183" s="40" t="n"/>
      <c r="I183" s="40" t="n"/>
      <c r="J183" s="40" t="n"/>
    </row>
    <row r="184">
      <c r="A184" s="47" t="n"/>
      <c r="B184" s="50">
        <f>IFERROR(INDEX(الموظفون_الاسم,MATCH($A184,الموظفون_الرقم,0)),"")</f>
        <v/>
      </c>
      <c r="C184" s="47" t="n"/>
      <c r="D184" s="47" t="n"/>
      <c r="E184" s="112" t="n"/>
      <c r="F184" s="112" t="n"/>
      <c r="G184" s="49" t="n"/>
      <c r="H184" s="47" t="n"/>
      <c r="I184" s="47" t="n"/>
      <c r="J184" s="47" t="n"/>
    </row>
    <row r="185">
      <c r="A185" s="40" t="n"/>
      <c r="B185" s="43">
        <f>IFERROR(INDEX(الموظفون_الاسم,MATCH($A185,الموظفون_الرقم,0)),"")</f>
        <v/>
      </c>
      <c r="C185" s="40" t="n"/>
      <c r="D185" s="40" t="n"/>
      <c r="E185" s="110" t="n"/>
      <c r="F185" s="110" t="n"/>
      <c r="G185" s="42" t="n"/>
      <c r="H185" s="40" t="n"/>
      <c r="I185" s="40" t="n"/>
      <c r="J185" s="40" t="n"/>
    </row>
    <row r="186">
      <c r="A186" s="47" t="n"/>
      <c r="B186" s="50">
        <f>IFERROR(INDEX(الموظفون_الاسم,MATCH($A186,الموظفون_الرقم,0)),"")</f>
        <v/>
      </c>
      <c r="C186" s="47" t="n"/>
      <c r="D186" s="47" t="n"/>
      <c r="E186" s="112" t="n"/>
      <c r="F186" s="112" t="n"/>
      <c r="G186" s="49" t="n"/>
      <c r="H186" s="47" t="n"/>
      <c r="I186" s="47" t="n"/>
      <c r="J186" s="47" t="n"/>
    </row>
    <row r="187">
      <c r="A187" s="40" t="n"/>
      <c r="B187" s="43">
        <f>IFERROR(INDEX(الموظفون_الاسم,MATCH($A187,الموظفون_الرقم,0)),"")</f>
        <v/>
      </c>
      <c r="C187" s="40" t="n"/>
      <c r="D187" s="40" t="n"/>
      <c r="E187" s="110" t="n"/>
      <c r="F187" s="110" t="n"/>
      <c r="G187" s="42" t="n"/>
      <c r="H187" s="40" t="n"/>
      <c r="I187" s="40" t="n"/>
      <c r="J187" s="40" t="n"/>
    </row>
    <row r="188">
      <c r="A188" s="47" t="n"/>
      <c r="B188" s="50">
        <f>IFERROR(INDEX(الموظفون_الاسم,MATCH($A188,الموظفون_الرقم,0)),"")</f>
        <v/>
      </c>
      <c r="C188" s="47" t="n"/>
      <c r="D188" s="47" t="n"/>
      <c r="E188" s="112" t="n"/>
      <c r="F188" s="112" t="n"/>
      <c r="G188" s="49" t="n"/>
      <c r="H188" s="47" t="n"/>
      <c r="I188" s="47" t="n"/>
      <c r="J188" s="47" t="n"/>
    </row>
    <row r="189">
      <c r="A189" s="40" t="n"/>
      <c r="B189" s="43">
        <f>IFERROR(INDEX(الموظفون_الاسم,MATCH($A189,الموظفون_الرقم,0)),"")</f>
        <v/>
      </c>
      <c r="C189" s="40" t="n"/>
      <c r="D189" s="40" t="n"/>
      <c r="E189" s="110" t="n"/>
      <c r="F189" s="110" t="n"/>
      <c r="G189" s="42" t="n"/>
      <c r="H189" s="40" t="n"/>
      <c r="I189" s="40" t="n"/>
      <c r="J189" s="40" t="n"/>
    </row>
    <row r="190">
      <c r="A190" s="47" t="n"/>
      <c r="B190" s="50">
        <f>IFERROR(INDEX(الموظفون_الاسم,MATCH($A190,الموظفون_الرقم,0)),"")</f>
        <v/>
      </c>
      <c r="C190" s="47" t="n"/>
      <c r="D190" s="47" t="n"/>
      <c r="E190" s="112" t="n"/>
      <c r="F190" s="112" t="n"/>
      <c r="G190" s="49" t="n"/>
      <c r="H190" s="47" t="n"/>
      <c r="I190" s="47" t="n"/>
      <c r="J190" s="47" t="n"/>
    </row>
    <row r="191">
      <c r="A191" s="40" t="n"/>
      <c r="B191" s="43">
        <f>IFERROR(INDEX(الموظفون_الاسم,MATCH($A191,الموظفون_الرقم,0)),"")</f>
        <v/>
      </c>
      <c r="C191" s="40" t="n"/>
      <c r="D191" s="40" t="n"/>
      <c r="E191" s="110" t="n"/>
      <c r="F191" s="110" t="n"/>
      <c r="G191" s="42" t="n"/>
      <c r="H191" s="40" t="n"/>
      <c r="I191" s="40" t="n"/>
      <c r="J191" s="40" t="n"/>
    </row>
    <row r="192">
      <c r="A192" s="47" t="n"/>
      <c r="B192" s="50">
        <f>IFERROR(INDEX(الموظفون_الاسم,MATCH($A192,الموظفون_الرقم,0)),"")</f>
        <v/>
      </c>
      <c r="C192" s="47" t="n"/>
      <c r="D192" s="47" t="n"/>
      <c r="E192" s="112" t="n"/>
      <c r="F192" s="112" t="n"/>
      <c r="G192" s="49" t="n"/>
      <c r="H192" s="47" t="n"/>
      <c r="I192" s="47" t="n"/>
      <c r="J192" s="47" t="n"/>
    </row>
    <row r="193">
      <c r="A193" s="40" t="n"/>
      <c r="B193" s="43">
        <f>IFERROR(INDEX(الموظفون_الاسم,MATCH($A193,الموظفون_الرقم,0)),"")</f>
        <v/>
      </c>
      <c r="C193" s="40" t="n"/>
      <c r="D193" s="40" t="n"/>
      <c r="E193" s="110" t="n"/>
      <c r="F193" s="110" t="n"/>
      <c r="G193" s="42" t="n"/>
      <c r="H193" s="40" t="n"/>
      <c r="I193" s="40" t="n"/>
      <c r="J193" s="40" t="n"/>
    </row>
    <row r="194">
      <c r="A194" s="47" t="n"/>
      <c r="B194" s="50">
        <f>IFERROR(INDEX(الموظفون_الاسم,MATCH($A194,الموظفون_الرقم,0)),"")</f>
        <v/>
      </c>
      <c r="C194" s="47" t="n"/>
      <c r="D194" s="47" t="n"/>
      <c r="E194" s="112" t="n"/>
      <c r="F194" s="112" t="n"/>
      <c r="G194" s="49" t="n"/>
      <c r="H194" s="47" t="n"/>
      <c r="I194" s="47" t="n"/>
      <c r="J194" s="47" t="n"/>
    </row>
    <row r="195">
      <c r="A195" s="40" t="n"/>
      <c r="B195" s="43">
        <f>IFERROR(INDEX(الموظفون_الاسم,MATCH($A195,الموظفون_الرقم,0)),"")</f>
        <v/>
      </c>
      <c r="C195" s="40" t="n"/>
      <c r="D195" s="40" t="n"/>
      <c r="E195" s="110" t="n"/>
      <c r="F195" s="110" t="n"/>
      <c r="G195" s="42" t="n"/>
      <c r="H195" s="40" t="n"/>
      <c r="I195" s="40" t="n"/>
      <c r="J195" s="40" t="n"/>
    </row>
    <row r="196">
      <c r="A196" s="47" t="n"/>
      <c r="B196" s="50">
        <f>IFERROR(INDEX(الموظفون_الاسم,MATCH($A196,الموظفون_الرقم,0)),"")</f>
        <v/>
      </c>
      <c r="C196" s="47" t="n"/>
      <c r="D196" s="47" t="n"/>
      <c r="E196" s="112" t="n"/>
      <c r="F196" s="112" t="n"/>
      <c r="G196" s="49" t="n"/>
      <c r="H196" s="47" t="n"/>
      <c r="I196" s="47" t="n"/>
      <c r="J196" s="47" t="n"/>
    </row>
    <row r="197">
      <c r="A197" s="40" t="n"/>
      <c r="B197" s="43">
        <f>IFERROR(INDEX(الموظفون_الاسم,MATCH($A197,الموظفون_الرقم,0)),"")</f>
        <v/>
      </c>
      <c r="C197" s="40" t="n"/>
      <c r="D197" s="40" t="n"/>
      <c r="E197" s="110" t="n"/>
      <c r="F197" s="110" t="n"/>
      <c r="G197" s="42" t="n"/>
      <c r="H197" s="40" t="n"/>
      <c r="I197" s="40" t="n"/>
      <c r="J197" s="40" t="n"/>
    </row>
    <row r="198">
      <c r="A198" s="47" t="n"/>
      <c r="B198" s="50">
        <f>IFERROR(INDEX(الموظفون_الاسم,MATCH($A198,الموظفون_الرقم,0)),"")</f>
        <v/>
      </c>
      <c r="C198" s="47" t="n"/>
      <c r="D198" s="47" t="n"/>
      <c r="E198" s="112" t="n"/>
      <c r="F198" s="112" t="n"/>
      <c r="G198" s="49" t="n"/>
      <c r="H198" s="47" t="n"/>
      <c r="I198" s="47" t="n"/>
      <c r="J198" s="47" t="n"/>
    </row>
    <row r="199">
      <c r="A199" s="40" t="n"/>
      <c r="B199" s="43">
        <f>IFERROR(INDEX(الموظفون_الاسم,MATCH($A199,الموظفون_الرقم,0)),"")</f>
        <v/>
      </c>
      <c r="C199" s="40" t="n"/>
      <c r="D199" s="40" t="n"/>
      <c r="E199" s="110" t="n"/>
      <c r="F199" s="110" t="n"/>
      <c r="G199" s="42" t="n"/>
      <c r="H199" s="40" t="n"/>
      <c r="I199" s="40" t="n"/>
      <c r="J199" s="40" t="n"/>
    </row>
    <row r="200">
      <c r="A200" s="47" t="n"/>
      <c r="B200" s="50">
        <f>IFERROR(INDEX(الموظفون_الاسم,MATCH($A200,الموظفون_الرقم,0)),"")</f>
        <v/>
      </c>
      <c r="C200" s="47" t="n"/>
      <c r="D200" s="47" t="n"/>
      <c r="E200" s="112" t="n"/>
      <c r="F200" s="112" t="n"/>
      <c r="G200" s="49" t="n"/>
      <c r="H200" s="47" t="n"/>
      <c r="I200" s="47" t="n"/>
      <c r="J200" s="47" t="n"/>
    </row>
    <row r="201">
      <c r="A201" s="40" t="n"/>
      <c r="B201" s="43">
        <f>IFERROR(INDEX(الموظفون_الاسم,MATCH($A201,الموظفون_الرقم,0)),"")</f>
        <v/>
      </c>
      <c r="C201" s="40" t="n"/>
      <c r="D201" s="40" t="n"/>
      <c r="E201" s="110" t="n"/>
      <c r="F201" s="110" t="n"/>
      <c r="G201" s="42" t="n"/>
      <c r="H201" s="40" t="n"/>
      <c r="I201" s="40" t="n"/>
      <c r="J201" s="40" t="n"/>
    </row>
    <row r="202">
      <c r="A202" s="47" t="n"/>
      <c r="B202" s="50">
        <f>IFERROR(INDEX(الموظفون_الاسم,MATCH($A202,الموظفون_الرقم,0)),"")</f>
        <v/>
      </c>
      <c r="C202" s="47" t="n"/>
      <c r="D202" s="47" t="n"/>
      <c r="E202" s="112" t="n"/>
      <c r="F202" s="112" t="n"/>
      <c r="G202" s="49" t="n"/>
      <c r="H202" s="47" t="n"/>
      <c r="I202" s="47" t="n"/>
      <c r="J202" s="47" t="n"/>
    </row>
    <row r="203">
      <c r="A203" s="40" t="n"/>
      <c r="B203" s="43">
        <f>IFERROR(INDEX(الموظفون_الاسم,MATCH($A203,الموظفون_الرقم,0)),"")</f>
        <v/>
      </c>
      <c r="C203" s="40" t="n"/>
      <c r="D203" s="40" t="n"/>
      <c r="E203" s="110" t="n"/>
      <c r="F203" s="110" t="n"/>
      <c r="G203" s="42" t="n"/>
      <c r="H203" s="40" t="n"/>
      <c r="I203" s="40" t="n"/>
      <c r="J203" s="40" t="n"/>
    </row>
    <row r="204">
      <c r="A204" s="47" t="n"/>
      <c r="B204" s="50">
        <f>IFERROR(INDEX(الموظفون_الاسم,MATCH($A204,الموظفون_الرقم,0)),"")</f>
        <v/>
      </c>
      <c r="C204" s="47" t="n"/>
      <c r="D204" s="47" t="n"/>
      <c r="E204" s="112" t="n"/>
      <c r="F204" s="112" t="n"/>
      <c r="G204" s="49" t="n"/>
      <c r="H204" s="47" t="n"/>
      <c r="I204" s="47" t="n"/>
      <c r="J204" s="47" t="n"/>
    </row>
    <row r="205">
      <c r="A205" s="40" t="n"/>
      <c r="B205" s="43">
        <f>IFERROR(INDEX(الموظفون_الاسم,MATCH($A205,الموظفون_الرقم,0)),"")</f>
        <v/>
      </c>
      <c r="C205" s="40" t="n"/>
      <c r="D205" s="40" t="n"/>
      <c r="E205" s="110" t="n"/>
      <c r="F205" s="110" t="n"/>
      <c r="G205" s="42" t="n"/>
      <c r="H205" s="40" t="n"/>
      <c r="I205" s="40" t="n"/>
      <c r="J205" s="40" t="n"/>
    </row>
    <row r="206">
      <c r="A206" s="47" t="n"/>
      <c r="B206" s="50">
        <f>IFERROR(INDEX(الموظفون_الاسم,MATCH($A206,الموظفون_الرقم,0)),"")</f>
        <v/>
      </c>
      <c r="C206" s="47" t="n"/>
      <c r="D206" s="47" t="n"/>
      <c r="E206" s="112" t="n"/>
      <c r="F206" s="112" t="n"/>
      <c r="G206" s="49" t="n"/>
      <c r="H206" s="47" t="n"/>
      <c r="I206" s="47" t="n"/>
      <c r="J206" s="47" t="n"/>
    </row>
    <row r="207">
      <c r="A207" s="40" t="n"/>
      <c r="B207" s="43">
        <f>IFERROR(INDEX(الموظفون_الاسم,MATCH($A207,الموظفون_الرقم,0)),"")</f>
        <v/>
      </c>
      <c r="C207" s="40" t="n"/>
      <c r="D207" s="40" t="n"/>
      <c r="E207" s="110" t="n"/>
      <c r="F207" s="110" t="n"/>
      <c r="G207" s="42" t="n"/>
      <c r="H207" s="40" t="n"/>
      <c r="I207" s="40" t="n"/>
      <c r="J207" s="40" t="n"/>
    </row>
    <row r="208">
      <c r="A208" s="47" t="n"/>
      <c r="B208" s="50">
        <f>IFERROR(INDEX(الموظفون_الاسم,MATCH($A208,الموظفون_الرقم,0)),"")</f>
        <v/>
      </c>
      <c r="C208" s="47" t="n"/>
      <c r="D208" s="47" t="n"/>
      <c r="E208" s="112" t="n"/>
      <c r="F208" s="112" t="n"/>
      <c r="G208" s="49" t="n"/>
      <c r="H208" s="47" t="n"/>
      <c r="I208" s="47" t="n"/>
      <c r="J208" s="47" t="n"/>
    </row>
    <row r="209">
      <c r="A209" s="40" t="n"/>
      <c r="B209" s="43">
        <f>IFERROR(INDEX(الموظفون_الاسم,MATCH($A209,الموظفون_الرقم,0)),"")</f>
        <v/>
      </c>
      <c r="C209" s="40" t="n"/>
      <c r="D209" s="40" t="n"/>
      <c r="E209" s="110" t="n"/>
      <c r="F209" s="110" t="n"/>
      <c r="G209" s="42" t="n"/>
      <c r="H209" s="40" t="n"/>
      <c r="I209" s="40" t="n"/>
      <c r="J209" s="40" t="n"/>
    </row>
    <row r="210">
      <c r="A210" s="47" t="n"/>
      <c r="B210" s="50">
        <f>IFERROR(INDEX(الموظفون_الاسم,MATCH($A210,الموظفون_الرقم,0)),"")</f>
        <v/>
      </c>
      <c r="C210" s="47" t="n"/>
      <c r="D210" s="47" t="n"/>
      <c r="E210" s="112" t="n"/>
      <c r="F210" s="112" t="n"/>
      <c r="G210" s="49" t="n"/>
      <c r="H210" s="47" t="n"/>
      <c r="I210" s="47" t="n"/>
      <c r="J210" s="47" t="n"/>
    </row>
    <row r="211">
      <c r="A211" s="40" t="n"/>
      <c r="B211" s="43">
        <f>IFERROR(INDEX(الموظفون_الاسم,MATCH($A211,الموظفون_الرقم,0)),"")</f>
        <v/>
      </c>
      <c r="C211" s="40" t="n"/>
      <c r="D211" s="40" t="n"/>
      <c r="E211" s="110" t="n"/>
      <c r="F211" s="110" t="n"/>
      <c r="G211" s="42" t="n"/>
      <c r="H211" s="40" t="n"/>
      <c r="I211" s="40" t="n"/>
      <c r="J211" s="40" t="n"/>
    </row>
    <row r="212">
      <c r="A212" s="47" t="n"/>
      <c r="B212" s="50">
        <f>IFERROR(INDEX(الموظفون_الاسم,MATCH($A212,الموظفون_الرقم,0)),"")</f>
        <v/>
      </c>
      <c r="C212" s="47" t="n"/>
      <c r="D212" s="47" t="n"/>
      <c r="E212" s="112" t="n"/>
      <c r="F212" s="112" t="n"/>
      <c r="G212" s="49" t="n"/>
      <c r="H212" s="47" t="n"/>
      <c r="I212" s="47" t="n"/>
      <c r="J212" s="47" t="n"/>
    </row>
    <row r="213">
      <c r="A213" s="40" t="n"/>
      <c r="B213" s="43">
        <f>IFERROR(INDEX(الموظفون_الاسم,MATCH($A213,الموظفون_الرقم,0)),"")</f>
        <v/>
      </c>
      <c r="C213" s="40" t="n"/>
      <c r="D213" s="40" t="n"/>
      <c r="E213" s="110" t="n"/>
      <c r="F213" s="110" t="n"/>
      <c r="G213" s="42" t="n"/>
      <c r="H213" s="40" t="n"/>
      <c r="I213" s="40" t="n"/>
      <c r="J213" s="40" t="n"/>
    </row>
    <row r="214">
      <c r="A214" s="47" t="n"/>
      <c r="B214" s="50">
        <f>IFERROR(INDEX(الموظفون_الاسم,MATCH($A214,الموظفون_الرقم,0)),"")</f>
        <v/>
      </c>
      <c r="C214" s="47" t="n"/>
      <c r="D214" s="47" t="n"/>
      <c r="E214" s="112" t="n"/>
      <c r="F214" s="112" t="n"/>
      <c r="G214" s="49" t="n"/>
      <c r="H214" s="47" t="n"/>
      <c r="I214" s="47" t="n"/>
      <c r="J214" s="47" t="n"/>
    </row>
    <row r="215">
      <c r="A215" s="40" t="n"/>
      <c r="B215" s="43">
        <f>IFERROR(INDEX(الموظفون_الاسم,MATCH($A215,الموظفون_الرقم,0)),"")</f>
        <v/>
      </c>
      <c r="C215" s="40" t="n"/>
      <c r="D215" s="40" t="n"/>
      <c r="E215" s="110" t="n"/>
      <c r="F215" s="110" t="n"/>
      <c r="G215" s="42" t="n"/>
      <c r="H215" s="40" t="n"/>
      <c r="I215" s="40" t="n"/>
      <c r="J215" s="40" t="n"/>
    </row>
    <row r="216">
      <c r="A216" s="47" t="n"/>
      <c r="B216" s="50">
        <f>IFERROR(INDEX(الموظفون_الاسم,MATCH($A216,الموظفون_الرقم,0)),"")</f>
        <v/>
      </c>
      <c r="C216" s="47" t="n"/>
      <c r="D216" s="47" t="n"/>
      <c r="E216" s="112" t="n"/>
      <c r="F216" s="112" t="n"/>
      <c r="G216" s="49" t="n"/>
      <c r="H216" s="47" t="n"/>
      <c r="I216" s="47" t="n"/>
      <c r="J216" s="47" t="n"/>
    </row>
    <row r="217">
      <c r="A217" s="40" t="n"/>
      <c r="B217" s="43">
        <f>IFERROR(INDEX(الموظفون_الاسم,MATCH($A217,الموظفون_الرقم,0)),"")</f>
        <v/>
      </c>
      <c r="C217" s="40" t="n"/>
      <c r="D217" s="40" t="n"/>
      <c r="E217" s="110" t="n"/>
      <c r="F217" s="110" t="n"/>
      <c r="G217" s="42" t="n"/>
      <c r="H217" s="40" t="n"/>
      <c r="I217" s="40" t="n"/>
      <c r="J217" s="40" t="n"/>
    </row>
    <row r="218">
      <c r="A218" s="47" t="n"/>
      <c r="B218" s="50">
        <f>IFERROR(INDEX(الموظفون_الاسم,MATCH($A218,الموظفون_الرقم,0)),"")</f>
        <v/>
      </c>
      <c r="C218" s="47" t="n"/>
      <c r="D218" s="47" t="n"/>
      <c r="E218" s="112" t="n"/>
      <c r="F218" s="112" t="n"/>
      <c r="G218" s="49" t="n"/>
      <c r="H218" s="47" t="n"/>
      <c r="I218" s="47" t="n"/>
      <c r="J218" s="47" t="n"/>
    </row>
    <row r="219">
      <c r="A219" s="40" t="n"/>
      <c r="B219" s="43">
        <f>IFERROR(INDEX(الموظفون_الاسم,MATCH($A219,الموظفون_الرقم,0)),"")</f>
        <v/>
      </c>
      <c r="C219" s="40" t="n"/>
      <c r="D219" s="40" t="n"/>
      <c r="E219" s="110" t="n"/>
      <c r="F219" s="110" t="n"/>
      <c r="G219" s="42" t="n"/>
      <c r="H219" s="40" t="n"/>
      <c r="I219" s="40" t="n"/>
      <c r="J219" s="40" t="n"/>
    </row>
    <row r="220">
      <c r="A220" s="47" t="n"/>
      <c r="B220" s="50">
        <f>IFERROR(INDEX(الموظفون_الاسم,MATCH($A220,الموظفون_الرقم,0)),"")</f>
        <v/>
      </c>
      <c r="C220" s="47" t="n"/>
      <c r="D220" s="47" t="n"/>
      <c r="E220" s="112" t="n"/>
      <c r="F220" s="112" t="n"/>
      <c r="G220" s="49" t="n"/>
      <c r="H220" s="47" t="n"/>
      <c r="I220" s="47" t="n"/>
      <c r="J220" s="47" t="n"/>
    </row>
    <row r="221">
      <c r="A221" s="40" t="n"/>
      <c r="B221" s="43">
        <f>IFERROR(INDEX(الموظفون_الاسم,MATCH($A221,الموظفون_الرقم,0)),"")</f>
        <v/>
      </c>
      <c r="C221" s="40" t="n"/>
      <c r="D221" s="40" t="n"/>
      <c r="E221" s="110" t="n"/>
      <c r="F221" s="110" t="n"/>
      <c r="G221" s="42" t="n"/>
      <c r="H221" s="40" t="n"/>
      <c r="I221" s="40" t="n"/>
      <c r="J221" s="40" t="n"/>
    </row>
    <row r="222">
      <c r="A222" s="47" t="n"/>
      <c r="B222" s="50">
        <f>IFERROR(INDEX(الموظفون_الاسم,MATCH($A222,الموظفون_الرقم,0)),"")</f>
        <v/>
      </c>
      <c r="C222" s="47" t="n"/>
      <c r="D222" s="47" t="n"/>
      <c r="E222" s="112" t="n"/>
      <c r="F222" s="112" t="n"/>
      <c r="G222" s="49" t="n"/>
      <c r="H222" s="47" t="n"/>
      <c r="I222" s="47" t="n"/>
      <c r="J222" s="47" t="n"/>
    </row>
    <row r="223">
      <c r="A223" s="40" t="n"/>
      <c r="B223" s="43">
        <f>IFERROR(INDEX(الموظفون_الاسم,MATCH($A223,الموظفون_الرقم,0)),"")</f>
        <v/>
      </c>
      <c r="C223" s="40" t="n"/>
      <c r="D223" s="40" t="n"/>
      <c r="E223" s="110" t="n"/>
      <c r="F223" s="110" t="n"/>
      <c r="G223" s="42" t="n"/>
      <c r="H223" s="40" t="n"/>
      <c r="I223" s="40" t="n"/>
      <c r="J223" s="40" t="n"/>
    </row>
    <row r="224">
      <c r="A224" s="47" t="n"/>
      <c r="B224" s="50">
        <f>IFERROR(INDEX(الموظفون_الاسم,MATCH($A224,الموظفون_الرقم,0)),"")</f>
        <v/>
      </c>
      <c r="C224" s="47" t="n"/>
      <c r="D224" s="47" t="n"/>
      <c r="E224" s="112" t="n"/>
      <c r="F224" s="112" t="n"/>
      <c r="G224" s="49" t="n"/>
      <c r="H224" s="47" t="n"/>
      <c r="I224" s="47" t="n"/>
      <c r="J224" s="47" t="n"/>
    </row>
    <row r="225">
      <c r="A225" s="40" t="n"/>
      <c r="B225" s="43">
        <f>IFERROR(INDEX(الموظفون_الاسم,MATCH($A225,الموظفون_الرقم,0)),"")</f>
        <v/>
      </c>
      <c r="C225" s="40" t="n"/>
      <c r="D225" s="40" t="n"/>
      <c r="E225" s="110" t="n"/>
      <c r="F225" s="110" t="n"/>
      <c r="G225" s="42" t="n"/>
      <c r="H225" s="40" t="n"/>
      <c r="I225" s="40" t="n"/>
      <c r="J225" s="40" t="n"/>
    </row>
    <row r="226">
      <c r="A226" s="47" t="n"/>
      <c r="B226" s="50">
        <f>IFERROR(INDEX(الموظفون_الاسم,MATCH($A226,الموظفون_الرقم,0)),"")</f>
        <v/>
      </c>
      <c r="C226" s="47" t="n"/>
      <c r="D226" s="47" t="n"/>
      <c r="E226" s="112" t="n"/>
      <c r="F226" s="112" t="n"/>
      <c r="G226" s="49" t="n"/>
      <c r="H226" s="47" t="n"/>
      <c r="I226" s="47" t="n"/>
      <c r="J226" s="47" t="n"/>
    </row>
    <row r="227">
      <c r="A227" s="40" t="n"/>
      <c r="B227" s="43">
        <f>IFERROR(INDEX(الموظفون_الاسم,MATCH($A227,الموظفون_الرقم,0)),"")</f>
        <v/>
      </c>
      <c r="C227" s="40" t="n"/>
      <c r="D227" s="40" t="n"/>
      <c r="E227" s="110" t="n"/>
      <c r="F227" s="110" t="n"/>
      <c r="G227" s="42" t="n"/>
      <c r="H227" s="40" t="n"/>
      <c r="I227" s="40" t="n"/>
      <c r="J227" s="40" t="n"/>
    </row>
    <row r="228">
      <c r="A228" s="47" t="n"/>
      <c r="B228" s="50">
        <f>IFERROR(INDEX(الموظفون_الاسم,MATCH($A228,الموظفون_الرقم,0)),"")</f>
        <v/>
      </c>
      <c r="C228" s="47" t="n"/>
      <c r="D228" s="47" t="n"/>
      <c r="E228" s="112" t="n"/>
      <c r="F228" s="112" t="n"/>
      <c r="G228" s="49" t="n"/>
      <c r="H228" s="47" t="n"/>
      <c r="I228" s="47" t="n"/>
      <c r="J228" s="47" t="n"/>
    </row>
    <row r="229">
      <c r="A229" s="40" t="n"/>
      <c r="B229" s="43">
        <f>IFERROR(INDEX(الموظفون_الاسم,MATCH($A229,الموظفون_الرقم,0)),"")</f>
        <v/>
      </c>
      <c r="C229" s="40" t="n"/>
      <c r="D229" s="40" t="n"/>
      <c r="E229" s="110" t="n"/>
      <c r="F229" s="110" t="n"/>
      <c r="G229" s="42" t="n"/>
      <c r="H229" s="40" t="n"/>
      <c r="I229" s="40" t="n"/>
      <c r="J229" s="40" t="n"/>
    </row>
    <row r="230">
      <c r="A230" s="47" t="n"/>
      <c r="B230" s="50">
        <f>IFERROR(INDEX(الموظفون_الاسم,MATCH($A230,الموظفون_الرقم,0)),"")</f>
        <v/>
      </c>
      <c r="C230" s="47" t="n"/>
      <c r="D230" s="47" t="n"/>
      <c r="E230" s="112" t="n"/>
      <c r="F230" s="112" t="n"/>
      <c r="G230" s="49" t="n"/>
      <c r="H230" s="47" t="n"/>
      <c r="I230" s="47" t="n"/>
      <c r="J230" s="47" t="n"/>
    </row>
    <row r="231">
      <c r="A231" s="40" t="n"/>
      <c r="B231" s="43">
        <f>IFERROR(INDEX(الموظفون_الاسم,MATCH($A231,الموظفون_الرقم,0)),"")</f>
        <v/>
      </c>
      <c r="C231" s="40" t="n"/>
      <c r="D231" s="40" t="n"/>
      <c r="E231" s="110" t="n"/>
      <c r="F231" s="110" t="n"/>
      <c r="G231" s="42" t="n"/>
      <c r="H231" s="40" t="n"/>
      <c r="I231" s="40" t="n"/>
      <c r="J231" s="40" t="n"/>
    </row>
    <row r="232">
      <c r="A232" s="47" t="n"/>
      <c r="B232" s="50">
        <f>IFERROR(INDEX(الموظفون_الاسم,MATCH($A232,الموظفون_الرقم,0)),"")</f>
        <v/>
      </c>
      <c r="C232" s="47" t="n"/>
      <c r="D232" s="47" t="n"/>
      <c r="E232" s="112" t="n"/>
      <c r="F232" s="112" t="n"/>
      <c r="G232" s="49" t="n"/>
      <c r="H232" s="47" t="n"/>
      <c r="I232" s="47" t="n"/>
      <c r="J232" s="47" t="n"/>
    </row>
    <row r="233">
      <c r="A233" s="40" t="n"/>
      <c r="B233" s="43">
        <f>IFERROR(INDEX(الموظفون_الاسم,MATCH($A233,الموظفون_الرقم,0)),"")</f>
        <v/>
      </c>
      <c r="C233" s="40" t="n"/>
      <c r="D233" s="40" t="n"/>
      <c r="E233" s="110" t="n"/>
      <c r="F233" s="110" t="n"/>
      <c r="G233" s="42" t="n"/>
      <c r="H233" s="40" t="n"/>
      <c r="I233" s="40" t="n"/>
      <c r="J233" s="40" t="n"/>
    </row>
    <row r="234">
      <c r="A234" s="47" t="n"/>
      <c r="B234" s="50">
        <f>IFERROR(INDEX(الموظفون_الاسم,MATCH($A234,الموظفون_الرقم,0)),"")</f>
        <v/>
      </c>
      <c r="C234" s="47" t="n"/>
      <c r="D234" s="47" t="n"/>
      <c r="E234" s="112" t="n"/>
      <c r="F234" s="112" t="n"/>
      <c r="G234" s="49" t="n"/>
      <c r="H234" s="47" t="n"/>
      <c r="I234" s="47" t="n"/>
      <c r="J234" s="47" t="n"/>
    </row>
    <row r="235">
      <c r="A235" s="40" t="n"/>
      <c r="B235" s="43">
        <f>IFERROR(INDEX(الموظفون_الاسم,MATCH($A235,الموظفون_الرقم,0)),"")</f>
        <v/>
      </c>
      <c r="C235" s="40" t="n"/>
      <c r="D235" s="40" t="n"/>
      <c r="E235" s="110" t="n"/>
      <c r="F235" s="110" t="n"/>
      <c r="G235" s="42" t="n"/>
      <c r="H235" s="40" t="n"/>
      <c r="I235" s="40" t="n"/>
      <c r="J235" s="40" t="n"/>
    </row>
    <row r="236">
      <c r="A236" s="47" t="n"/>
      <c r="B236" s="50">
        <f>IFERROR(INDEX(الموظفون_الاسم,MATCH($A236,الموظفون_الرقم,0)),"")</f>
        <v/>
      </c>
      <c r="C236" s="47" t="n"/>
      <c r="D236" s="47" t="n"/>
      <c r="E236" s="112" t="n"/>
      <c r="F236" s="112" t="n"/>
      <c r="G236" s="49" t="n"/>
      <c r="H236" s="47" t="n"/>
      <c r="I236" s="47" t="n"/>
      <c r="J236" s="47" t="n"/>
    </row>
    <row r="237">
      <c r="A237" s="40" t="n"/>
      <c r="B237" s="43">
        <f>IFERROR(INDEX(الموظفون_الاسم,MATCH($A237,الموظفون_الرقم,0)),"")</f>
        <v/>
      </c>
      <c r="C237" s="40" t="n"/>
      <c r="D237" s="40" t="n"/>
      <c r="E237" s="110" t="n"/>
      <c r="F237" s="110" t="n"/>
      <c r="G237" s="42" t="n"/>
      <c r="H237" s="40" t="n"/>
      <c r="I237" s="40" t="n"/>
      <c r="J237" s="40" t="n"/>
    </row>
    <row r="238">
      <c r="A238" s="47" t="n"/>
      <c r="B238" s="50">
        <f>IFERROR(INDEX(الموظفون_الاسم,MATCH($A238,الموظفون_الرقم,0)),"")</f>
        <v/>
      </c>
      <c r="C238" s="47" t="n"/>
      <c r="D238" s="47" t="n"/>
      <c r="E238" s="112" t="n"/>
      <c r="F238" s="112" t="n"/>
      <c r="G238" s="49" t="n"/>
      <c r="H238" s="47" t="n"/>
      <c r="I238" s="47" t="n"/>
      <c r="J238" s="47" t="n"/>
    </row>
    <row r="239">
      <c r="A239" s="40" t="n"/>
      <c r="B239" s="43">
        <f>IFERROR(INDEX(الموظفون_الاسم,MATCH($A239,الموظفون_الرقم,0)),"")</f>
        <v/>
      </c>
      <c r="C239" s="40" t="n"/>
      <c r="D239" s="40" t="n"/>
      <c r="E239" s="110" t="n"/>
      <c r="F239" s="110" t="n"/>
      <c r="G239" s="42" t="n"/>
      <c r="H239" s="40" t="n"/>
      <c r="I239" s="40" t="n"/>
      <c r="J239" s="40" t="n"/>
    </row>
    <row r="240">
      <c r="A240" s="47" t="n"/>
      <c r="B240" s="50">
        <f>IFERROR(INDEX(الموظفون_الاسم,MATCH($A240,الموظفون_الرقم,0)),"")</f>
        <v/>
      </c>
      <c r="C240" s="47" t="n"/>
      <c r="D240" s="47" t="n"/>
      <c r="E240" s="112" t="n"/>
      <c r="F240" s="112" t="n"/>
      <c r="G240" s="49" t="n"/>
      <c r="H240" s="47" t="n"/>
      <c r="I240" s="47" t="n"/>
      <c r="J240" s="47" t="n"/>
    </row>
    <row r="241">
      <c r="A241" s="40" t="n"/>
      <c r="B241" s="43">
        <f>IFERROR(INDEX(الموظفون_الاسم,MATCH($A241,الموظفون_الرقم,0)),"")</f>
        <v/>
      </c>
      <c r="C241" s="40" t="n"/>
      <c r="D241" s="40" t="n"/>
      <c r="E241" s="110" t="n"/>
      <c r="F241" s="110" t="n"/>
      <c r="G241" s="42" t="n"/>
      <c r="H241" s="40" t="n"/>
      <c r="I241" s="40" t="n"/>
      <c r="J241" s="40" t="n"/>
    </row>
    <row r="242">
      <c r="A242" s="47" t="n"/>
      <c r="B242" s="50">
        <f>IFERROR(INDEX(الموظفون_الاسم,MATCH($A242,الموظفون_الرقم,0)),"")</f>
        <v/>
      </c>
      <c r="C242" s="47" t="n"/>
      <c r="D242" s="47" t="n"/>
      <c r="E242" s="112" t="n"/>
      <c r="F242" s="112" t="n"/>
      <c r="G242" s="49" t="n"/>
      <c r="H242" s="47" t="n"/>
      <c r="I242" s="47" t="n"/>
      <c r="J242" s="47" t="n"/>
    </row>
    <row r="243">
      <c r="A243" s="40" t="n"/>
      <c r="B243" s="43">
        <f>IFERROR(INDEX(الموظفون_الاسم,MATCH($A243,الموظفون_الرقم,0)),"")</f>
        <v/>
      </c>
      <c r="C243" s="40" t="n"/>
      <c r="D243" s="40" t="n"/>
      <c r="E243" s="110" t="n"/>
      <c r="F243" s="110" t="n"/>
      <c r="G243" s="42" t="n"/>
      <c r="H243" s="40" t="n"/>
      <c r="I243" s="40" t="n"/>
      <c r="J243" s="40" t="n"/>
    </row>
    <row r="244">
      <c r="A244" s="47" t="n"/>
      <c r="B244" s="50">
        <f>IFERROR(INDEX(الموظفون_الاسم,MATCH($A244,الموظفون_الرقم,0)),"")</f>
        <v/>
      </c>
      <c r="C244" s="47" t="n"/>
      <c r="D244" s="47" t="n"/>
      <c r="E244" s="112" t="n"/>
      <c r="F244" s="112" t="n"/>
      <c r="G244" s="49" t="n"/>
      <c r="H244" s="47" t="n"/>
      <c r="I244" s="47" t="n"/>
      <c r="J244" s="47" t="n"/>
    </row>
    <row r="245">
      <c r="A245" s="40" t="n"/>
      <c r="B245" s="43">
        <f>IFERROR(INDEX(الموظفون_الاسم,MATCH($A245,الموظفون_الرقم,0)),"")</f>
        <v/>
      </c>
      <c r="C245" s="40" t="n"/>
      <c r="D245" s="40" t="n"/>
      <c r="E245" s="110" t="n"/>
      <c r="F245" s="110" t="n"/>
      <c r="G245" s="42" t="n"/>
      <c r="H245" s="40" t="n"/>
      <c r="I245" s="40" t="n"/>
      <c r="J245" s="40" t="n"/>
    </row>
    <row r="246">
      <c r="A246" s="47" t="n"/>
      <c r="B246" s="50">
        <f>IFERROR(INDEX(الموظفون_الاسم,MATCH($A246,الموظفون_الرقم,0)),"")</f>
        <v/>
      </c>
      <c r="C246" s="47" t="n"/>
      <c r="D246" s="47" t="n"/>
      <c r="E246" s="112" t="n"/>
      <c r="F246" s="112" t="n"/>
      <c r="G246" s="49" t="n"/>
      <c r="H246" s="47" t="n"/>
      <c r="I246" s="47" t="n"/>
      <c r="J246" s="47" t="n"/>
    </row>
    <row r="247">
      <c r="A247" s="40" t="n"/>
      <c r="B247" s="43">
        <f>IFERROR(INDEX(الموظفون_الاسم,MATCH($A247,الموظفون_الرقم,0)),"")</f>
        <v/>
      </c>
      <c r="C247" s="40" t="n"/>
      <c r="D247" s="40" t="n"/>
      <c r="E247" s="110" t="n"/>
      <c r="F247" s="110" t="n"/>
      <c r="G247" s="42" t="n"/>
      <c r="H247" s="40" t="n"/>
      <c r="I247" s="40" t="n"/>
      <c r="J247" s="40" t="n"/>
    </row>
    <row r="248">
      <c r="A248" s="47" t="n"/>
      <c r="B248" s="50">
        <f>IFERROR(INDEX(الموظفون_الاسم,MATCH($A248,الموظفون_الرقم,0)),"")</f>
        <v/>
      </c>
      <c r="C248" s="47" t="n"/>
      <c r="D248" s="47" t="n"/>
      <c r="E248" s="112" t="n"/>
      <c r="F248" s="112" t="n"/>
      <c r="G248" s="49" t="n"/>
      <c r="H248" s="47" t="n"/>
      <c r="I248" s="47" t="n"/>
      <c r="J248" s="47" t="n"/>
    </row>
    <row r="249">
      <c r="A249" s="40" t="n"/>
      <c r="B249" s="43">
        <f>IFERROR(INDEX(الموظفون_الاسم,MATCH($A249,الموظفون_الرقم,0)),"")</f>
        <v/>
      </c>
      <c r="C249" s="40" t="n"/>
      <c r="D249" s="40" t="n"/>
      <c r="E249" s="110" t="n"/>
      <c r="F249" s="110" t="n"/>
      <c r="G249" s="42" t="n"/>
      <c r="H249" s="40" t="n"/>
      <c r="I249" s="40" t="n"/>
      <c r="J249" s="40" t="n"/>
    </row>
    <row r="250">
      <c r="A250" s="47" t="n"/>
      <c r="B250" s="50">
        <f>IFERROR(INDEX(الموظفون_الاسم,MATCH($A250,الموظفون_الرقم,0)),"")</f>
        <v/>
      </c>
      <c r="C250" s="47" t="n"/>
      <c r="D250" s="47" t="n"/>
      <c r="E250" s="112" t="n"/>
      <c r="F250" s="112" t="n"/>
      <c r="G250" s="49" t="n"/>
      <c r="H250" s="47" t="n"/>
      <c r="I250" s="47" t="n"/>
      <c r="J250" s="47" t="n"/>
    </row>
    <row r="251">
      <c r="A251" s="40" t="n"/>
      <c r="B251" s="43">
        <f>IFERROR(INDEX(الموظفون_الاسم,MATCH($A251,الموظفون_الرقم,0)),"")</f>
        <v/>
      </c>
      <c r="C251" s="40" t="n"/>
      <c r="D251" s="40" t="n"/>
      <c r="E251" s="110" t="n"/>
      <c r="F251" s="110" t="n"/>
      <c r="G251" s="42" t="n"/>
      <c r="H251" s="40" t="n"/>
      <c r="I251" s="40" t="n"/>
      <c r="J251" s="40" t="n"/>
    </row>
    <row r="252">
      <c r="A252" s="47" t="n"/>
      <c r="B252" s="50">
        <f>IFERROR(INDEX(الموظفون_الاسم,MATCH($A252,الموظفون_الرقم,0)),"")</f>
        <v/>
      </c>
      <c r="C252" s="47" t="n"/>
      <c r="D252" s="47" t="n"/>
      <c r="E252" s="112" t="n"/>
      <c r="F252" s="112" t="n"/>
      <c r="G252" s="49" t="n"/>
      <c r="H252" s="47" t="n"/>
      <c r="I252" s="47" t="n"/>
      <c r="J252" s="47" t="n"/>
    </row>
    <row r="253">
      <c r="A253" s="40" t="n"/>
      <c r="B253" s="43">
        <f>IFERROR(INDEX(الموظفون_الاسم,MATCH($A253,الموظفون_الرقم,0)),"")</f>
        <v/>
      </c>
      <c r="C253" s="40" t="n"/>
      <c r="D253" s="40" t="n"/>
      <c r="E253" s="110" t="n"/>
      <c r="F253" s="110" t="n"/>
      <c r="G253" s="42" t="n"/>
      <c r="H253" s="40" t="n"/>
      <c r="I253" s="40" t="n"/>
      <c r="J253" s="40" t="n"/>
    </row>
    <row r="254">
      <c r="A254" s="47" t="n"/>
      <c r="B254" s="50">
        <f>IFERROR(INDEX(الموظفون_الاسم,MATCH($A254,الموظفون_الرقم,0)),"")</f>
        <v/>
      </c>
      <c r="C254" s="47" t="n"/>
      <c r="D254" s="47" t="n"/>
      <c r="E254" s="112" t="n"/>
      <c r="F254" s="112" t="n"/>
      <c r="G254" s="49" t="n"/>
      <c r="H254" s="47" t="n"/>
      <c r="I254" s="47" t="n"/>
      <c r="J254" s="47" t="n"/>
    </row>
    <row r="255">
      <c r="A255" s="40" t="n"/>
      <c r="B255" s="43">
        <f>IFERROR(INDEX(الموظفون_الاسم,MATCH($A255,الموظفون_الرقم,0)),"")</f>
        <v/>
      </c>
      <c r="C255" s="40" t="n"/>
      <c r="D255" s="40" t="n"/>
      <c r="E255" s="110" t="n"/>
      <c r="F255" s="110" t="n"/>
      <c r="G255" s="42" t="n"/>
      <c r="H255" s="40" t="n"/>
      <c r="I255" s="40" t="n"/>
      <c r="J255" s="40" t="n"/>
    </row>
    <row r="256">
      <c r="A256" s="47" t="n"/>
      <c r="B256" s="50">
        <f>IFERROR(INDEX(الموظفون_الاسم,MATCH($A256,الموظفون_الرقم,0)),"")</f>
        <v/>
      </c>
      <c r="C256" s="47" t="n"/>
      <c r="D256" s="47" t="n"/>
      <c r="E256" s="112" t="n"/>
      <c r="F256" s="112" t="n"/>
      <c r="G256" s="49" t="n"/>
      <c r="H256" s="47" t="n"/>
      <c r="I256" s="47" t="n"/>
      <c r="J256" s="47" t="n"/>
    </row>
    <row r="257">
      <c r="A257" s="40" t="n"/>
      <c r="B257" s="43">
        <f>IFERROR(INDEX(الموظفون_الاسم,MATCH($A257,الموظفون_الرقم,0)),"")</f>
        <v/>
      </c>
      <c r="C257" s="40" t="n"/>
      <c r="D257" s="40" t="n"/>
      <c r="E257" s="110" t="n"/>
      <c r="F257" s="110" t="n"/>
      <c r="G257" s="42" t="n"/>
      <c r="H257" s="40" t="n"/>
      <c r="I257" s="40" t="n"/>
      <c r="J257" s="40" t="n"/>
    </row>
    <row r="258">
      <c r="A258" s="47" t="n"/>
      <c r="B258" s="50">
        <f>IFERROR(INDEX(الموظفون_الاسم,MATCH($A258,الموظفون_الرقم,0)),"")</f>
        <v/>
      </c>
      <c r="C258" s="47" t="n"/>
      <c r="D258" s="47" t="n"/>
      <c r="E258" s="112" t="n"/>
      <c r="F258" s="112" t="n"/>
      <c r="G258" s="49" t="n"/>
      <c r="H258" s="47" t="n"/>
      <c r="I258" s="47" t="n"/>
      <c r="J258" s="47" t="n"/>
    </row>
    <row r="259">
      <c r="A259" s="40" t="n"/>
      <c r="B259" s="43">
        <f>IFERROR(INDEX(الموظفون_الاسم,MATCH($A259,الموظفون_الرقم,0)),"")</f>
        <v/>
      </c>
      <c r="C259" s="40" t="n"/>
      <c r="D259" s="40" t="n"/>
      <c r="E259" s="110" t="n"/>
      <c r="F259" s="110" t="n"/>
      <c r="G259" s="42" t="n"/>
      <c r="H259" s="40" t="n"/>
      <c r="I259" s="40" t="n"/>
      <c r="J259" s="40" t="n"/>
    </row>
    <row r="260">
      <c r="A260" s="47" t="n"/>
      <c r="B260" s="50">
        <f>IFERROR(INDEX(الموظفون_الاسم,MATCH($A260,الموظفون_الرقم,0)),"")</f>
        <v/>
      </c>
      <c r="C260" s="47" t="n"/>
      <c r="D260" s="47" t="n"/>
      <c r="E260" s="112" t="n"/>
      <c r="F260" s="112" t="n"/>
      <c r="G260" s="49" t="n"/>
      <c r="H260" s="47" t="n"/>
      <c r="I260" s="47" t="n"/>
      <c r="J260" s="47" t="n"/>
    </row>
    <row r="261">
      <c r="A261" s="40" t="n"/>
      <c r="B261" s="43">
        <f>IFERROR(INDEX(الموظفون_الاسم,MATCH($A261,الموظفون_الرقم,0)),"")</f>
        <v/>
      </c>
      <c r="C261" s="40" t="n"/>
      <c r="D261" s="40" t="n"/>
      <c r="E261" s="110" t="n"/>
      <c r="F261" s="110" t="n"/>
      <c r="G261" s="42" t="n"/>
      <c r="H261" s="40" t="n"/>
      <c r="I261" s="40" t="n"/>
      <c r="J261" s="40" t="n"/>
    </row>
    <row r="262">
      <c r="A262" s="47" t="n"/>
      <c r="B262" s="50">
        <f>IFERROR(INDEX(الموظفون_الاسم,MATCH($A262,الموظفون_الرقم,0)),"")</f>
        <v/>
      </c>
      <c r="C262" s="47" t="n"/>
      <c r="D262" s="47" t="n"/>
      <c r="E262" s="112" t="n"/>
      <c r="F262" s="112" t="n"/>
      <c r="G262" s="49" t="n"/>
      <c r="H262" s="47" t="n"/>
      <c r="I262" s="47" t="n"/>
      <c r="J262" s="47" t="n"/>
    </row>
    <row r="263">
      <c r="A263" s="40" t="n"/>
      <c r="B263" s="43">
        <f>IFERROR(INDEX(الموظفون_الاسم,MATCH($A263,الموظفون_الرقم,0)),"")</f>
        <v/>
      </c>
      <c r="C263" s="40" t="n"/>
      <c r="D263" s="40" t="n"/>
      <c r="E263" s="110" t="n"/>
      <c r="F263" s="110" t="n"/>
      <c r="G263" s="42" t="n"/>
      <c r="H263" s="40" t="n"/>
      <c r="I263" s="40" t="n"/>
      <c r="J263" s="40" t="n"/>
    </row>
    <row r="264">
      <c r="A264" s="47" t="n"/>
      <c r="B264" s="50">
        <f>IFERROR(INDEX(الموظفون_الاسم,MATCH($A264,الموظفون_الرقم,0)),"")</f>
        <v/>
      </c>
      <c r="C264" s="47" t="n"/>
      <c r="D264" s="47" t="n"/>
      <c r="E264" s="112" t="n"/>
      <c r="F264" s="112" t="n"/>
      <c r="G264" s="49" t="n"/>
      <c r="H264" s="47" t="n"/>
      <c r="I264" s="47" t="n"/>
      <c r="J264" s="47" t="n"/>
    </row>
    <row r="265">
      <c r="A265" s="40" t="n"/>
      <c r="B265" s="43">
        <f>IFERROR(INDEX(الموظفون_الاسم,MATCH($A265,الموظفون_الرقم,0)),"")</f>
        <v/>
      </c>
      <c r="C265" s="40" t="n"/>
      <c r="D265" s="40" t="n"/>
      <c r="E265" s="110" t="n"/>
      <c r="F265" s="110" t="n"/>
      <c r="G265" s="42" t="n"/>
      <c r="H265" s="40" t="n"/>
      <c r="I265" s="40" t="n"/>
      <c r="J265" s="40" t="n"/>
    </row>
    <row r="266">
      <c r="A266" s="47" t="n"/>
      <c r="B266" s="50">
        <f>IFERROR(INDEX(الموظفون_الاسم,MATCH($A266,الموظفون_الرقم,0)),"")</f>
        <v/>
      </c>
      <c r="C266" s="47" t="n"/>
      <c r="D266" s="47" t="n"/>
      <c r="E266" s="112" t="n"/>
      <c r="F266" s="112" t="n"/>
      <c r="G266" s="49" t="n"/>
      <c r="H266" s="47" t="n"/>
      <c r="I266" s="47" t="n"/>
      <c r="J266" s="47" t="n"/>
    </row>
    <row r="267">
      <c r="A267" s="40" t="n"/>
      <c r="B267" s="43">
        <f>IFERROR(INDEX(الموظفون_الاسم,MATCH($A267,الموظفون_الرقم,0)),"")</f>
        <v/>
      </c>
      <c r="C267" s="40" t="n"/>
      <c r="D267" s="40" t="n"/>
      <c r="E267" s="110" t="n"/>
      <c r="F267" s="110" t="n"/>
      <c r="G267" s="42" t="n"/>
      <c r="H267" s="40" t="n"/>
      <c r="I267" s="40" t="n"/>
      <c r="J267" s="40" t="n"/>
    </row>
    <row r="268">
      <c r="A268" s="47" t="n"/>
      <c r="B268" s="50">
        <f>IFERROR(INDEX(الموظفون_الاسم,MATCH($A268,الموظفون_الرقم,0)),"")</f>
        <v/>
      </c>
      <c r="C268" s="47" t="n"/>
      <c r="D268" s="47" t="n"/>
      <c r="E268" s="112" t="n"/>
      <c r="F268" s="112" t="n"/>
      <c r="G268" s="49" t="n"/>
      <c r="H268" s="47" t="n"/>
      <c r="I268" s="47" t="n"/>
      <c r="J268" s="47" t="n"/>
    </row>
    <row r="269">
      <c r="A269" s="40" t="n"/>
      <c r="B269" s="43">
        <f>IFERROR(INDEX(الموظفون_الاسم,MATCH($A269,الموظفون_الرقم,0)),"")</f>
        <v/>
      </c>
      <c r="C269" s="40" t="n"/>
      <c r="D269" s="40" t="n"/>
      <c r="E269" s="110" t="n"/>
      <c r="F269" s="110" t="n"/>
      <c r="G269" s="42" t="n"/>
      <c r="H269" s="40" t="n"/>
      <c r="I269" s="40" t="n"/>
      <c r="J269" s="40" t="n"/>
    </row>
    <row r="270">
      <c r="A270" s="47" t="n"/>
      <c r="B270" s="50">
        <f>IFERROR(INDEX(الموظفون_الاسم,MATCH($A270,الموظفون_الرقم,0)),"")</f>
        <v/>
      </c>
      <c r="C270" s="47" t="n"/>
      <c r="D270" s="47" t="n"/>
      <c r="E270" s="112" t="n"/>
      <c r="F270" s="112" t="n"/>
      <c r="G270" s="49" t="n"/>
      <c r="H270" s="47" t="n"/>
      <c r="I270" s="47" t="n"/>
      <c r="J270" s="47" t="n"/>
    </row>
    <row r="271">
      <c r="A271" s="40" t="n"/>
      <c r="B271" s="43">
        <f>IFERROR(INDEX(الموظفون_الاسم,MATCH($A271,الموظفون_الرقم,0)),"")</f>
        <v/>
      </c>
      <c r="C271" s="40" t="n"/>
      <c r="D271" s="40" t="n"/>
      <c r="E271" s="110" t="n"/>
      <c r="F271" s="110" t="n"/>
      <c r="G271" s="42" t="n"/>
      <c r="H271" s="40" t="n"/>
      <c r="I271" s="40" t="n"/>
      <c r="J271" s="40" t="n"/>
    </row>
    <row r="272">
      <c r="A272" s="47" t="n"/>
      <c r="B272" s="50">
        <f>IFERROR(INDEX(الموظفون_الاسم,MATCH($A272,الموظفون_الرقم,0)),"")</f>
        <v/>
      </c>
      <c r="C272" s="47" t="n"/>
      <c r="D272" s="47" t="n"/>
      <c r="E272" s="112" t="n"/>
      <c r="F272" s="112" t="n"/>
      <c r="G272" s="49" t="n"/>
      <c r="H272" s="47" t="n"/>
      <c r="I272" s="47" t="n"/>
      <c r="J272" s="47" t="n"/>
    </row>
    <row r="273">
      <c r="A273" s="40" t="n"/>
      <c r="B273" s="43">
        <f>IFERROR(INDEX(الموظفون_الاسم,MATCH($A273,الموظفون_الرقم,0)),"")</f>
        <v/>
      </c>
      <c r="C273" s="40" t="n"/>
      <c r="D273" s="40" t="n"/>
      <c r="E273" s="110" t="n"/>
      <c r="F273" s="110" t="n"/>
      <c r="G273" s="42" t="n"/>
      <c r="H273" s="40" t="n"/>
      <c r="I273" s="40" t="n"/>
      <c r="J273" s="40" t="n"/>
    </row>
    <row r="274">
      <c r="A274" s="47" t="n"/>
      <c r="B274" s="50">
        <f>IFERROR(INDEX(الموظفون_الاسم,MATCH($A274,الموظفون_الرقم,0)),"")</f>
        <v/>
      </c>
      <c r="C274" s="47" t="n"/>
      <c r="D274" s="47" t="n"/>
      <c r="E274" s="112" t="n"/>
      <c r="F274" s="112" t="n"/>
      <c r="G274" s="49" t="n"/>
      <c r="H274" s="47" t="n"/>
      <c r="I274" s="47" t="n"/>
      <c r="J274" s="47" t="n"/>
    </row>
    <row r="275">
      <c r="A275" s="40" t="n"/>
      <c r="B275" s="43">
        <f>IFERROR(INDEX(الموظفون_الاسم,MATCH($A275,الموظفون_الرقم,0)),"")</f>
        <v/>
      </c>
      <c r="C275" s="40" t="n"/>
      <c r="D275" s="40" t="n"/>
      <c r="E275" s="110" t="n"/>
      <c r="F275" s="110" t="n"/>
      <c r="G275" s="42" t="n"/>
      <c r="H275" s="40" t="n"/>
      <c r="I275" s="40" t="n"/>
      <c r="J275" s="40" t="n"/>
    </row>
    <row r="276">
      <c r="A276" s="47" t="n"/>
      <c r="B276" s="50">
        <f>IFERROR(INDEX(الموظفون_الاسم,MATCH($A276,الموظفون_الرقم,0)),"")</f>
        <v/>
      </c>
      <c r="C276" s="47" t="n"/>
      <c r="D276" s="47" t="n"/>
      <c r="E276" s="112" t="n"/>
      <c r="F276" s="112" t="n"/>
      <c r="G276" s="49" t="n"/>
      <c r="H276" s="47" t="n"/>
      <c r="I276" s="47" t="n"/>
      <c r="J276" s="47" t="n"/>
    </row>
    <row r="277">
      <c r="A277" s="40" t="n"/>
      <c r="B277" s="43">
        <f>IFERROR(INDEX(الموظفون_الاسم,MATCH($A277,الموظفون_الرقم,0)),"")</f>
        <v/>
      </c>
      <c r="C277" s="40" t="n"/>
      <c r="D277" s="40" t="n"/>
      <c r="E277" s="110" t="n"/>
      <c r="F277" s="110" t="n"/>
      <c r="G277" s="42" t="n"/>
      <c r="H277" s="40" t="n"/>
      <c r="I277" s="40" t="n"/>
      <c r="J277" s="40" t="n"/>
    </row>
    <row r="278">
      <c r="A278" s="47" t="n"/>
      <c r="B278" s="50">
        <f>IFERROR(INDEX(الموظفون_الاسم,MATCH($A278,الموظفون_الرقم,0)),"")</f>
        <v/>
      </c>
      <c r="C278" s="47" t="n"/>
      <c r="D278" s="47" t="n"/>
      <c r="E278" s="112" t="n"/>
      <c r="F278" s="112" t="n"/>
      <c r="G278" s="49" t="n"/>
      <c r="H278" s="47" t="n"/>
      <c r="I278" s="47" t="n"/>
      <c r="J278" s="47" t="n"/>
    </row>
    <row r="279">
      <c r="A279" s="40" t="n"/>
      <c r="B279" s="43">
        <f>IFERROR(INDEX(الموظفون_الاسم,MATCH($A279,الموظفون_الرقم,0)),"")</f>
        <v/>
      </c>
      <c r="C279" s="40" t="n"/>
      <c r="D279" s="40" t="n"/>
      <c r="E279" s="110" t="n"/>
      <c r="F279" s="110" t="n"/>
      <c r="G279" s="42" t="n"/>
      <c r="H279" s="40" t="n"/>
      <c r="I279" s="40" t="n"/>
      <c r="J279" s="40" t="n"/>
    </row>
    <row r="280">
      <c r="A280" s="47" t="n"/>
      <c r="B280" s="50">
        <f>IFERROR(INDEX(الموظفون_الاسم,MATCH($A280,الموظفون_الرقم,0)),"")</f>
        <v/>
      </c>
      <c r="C280" s="47" t="n"/>
      <c r="D280" s="47" t="n"/>
      <c r="E280" s="112" t="n"/>
      <c r="F280" s="112" t="n"/>
      <c r="G280" s="49" t="n"/>
      <c r="H280" s="47" t="n"/>
      <c r="I280" s="47" t="n"/>
      <c r="J280" s="47" t="n"/>
    </row>
    <row r="281">
      <c r="A281" s="40" t="n"/>
      <c r="B281" s="43">
        <f>IFERROR(INDEX(الموظفون_الاسم,MATCH($A281,الموظفون_الرقم,0)),"")</f>
        <v/>
      </c>
      <c r="C281" s="40" t="n"/>
      <c r="D281" s="40" t="n"/>
      <c r="E281" s="110" t="n"/>
      <c r="F281" s="110" t="n"/>
      <c r="G281" s="42" t="n"/>
      <c r="H281" s="40" t="n"/>
      <c r="I281" s="40" t="n"/>
      <c r="J281" s="40" t="n"/>
    </row>
    <row r="282">
      <c r="A282" s="47" t="n"/>
      <c r="B282" s="50">
        <f>IFERROR(INDEX(الموظفون_الاسم,MATCH($A282,الموظفون_الرقم,0)),"")</f>
        <v/>
      </c>
      <c r="C282" s="47" t="n"/>
      <c r="D282" s="47" t="n"/>
      <c r="E282" s="112" t="n"/>
      <c r="F282" s="112" t="n"/>
      <c r="G282" s="49" t="n"/>
      <c r="H282" s="47" t="n"/>
      <c r="I282" s="47" t="n"/>
      <c r="J282" s="47" t="n"/>
    </row>
    <row r="283">
      <c r="A283" s="40" t="n"/>
      <c r="B283" s="43">
        <f>IFERROR(INDEX(الموظفون_الاسم,MATCH($A283,الموظفون_الرقم,0)),"")</f>
        <v/>
      </c>
      <c r="C283" s="40" t="n"/>
      <c r="D283" s="40" t="n"/>
      <c r="E283" s="110" t="n"/>
      <c r="F283" s="110" t="n"/>
      <c r="G283" s="42" t="n"/>
      <c r="H283" s="40" t="n"/>
      <c r="I283" s="40" t="n"/>
      <c r="J283" s="40" t="n"/>
    </row>
    <row r="284">
      <c r="A284" s="47" t="n"/>
      <c r="B284" s="50">
        <f>IFERROR(INDEX(الموظفون_الاسم,MATCH($A284,الموظفون_الرقم,0)),"")</f>
        <v/>
      </c>
      <c r="C284" s="47" t="n"/>
      <c r="D284" s="47" t="n"/>
      <c r="E284" s="112" t="n"/>
      <c r="F284" s="112" t="n"/>
      <c r="G284" s="49" t="n"/>
      <c r="H284" s="47" t="n"/>
      <c r="I284" s="47" t="n"/>
      <c r="J284" s="47" t="n"/>
    </row>
    <row r="285">
      <c r="A285" s="40" t="n"/>
      <c r="B285" s="43">
        <f>IFERROR(INDEX(الموظفون_الاسم,MATCH($A285,الموظفون_الرقم,0)),"")</f>
        <v/>
      </c>
      <c r="C285" s="40" t="n"/>
      <c r="D285" s="40" t="n"/>
      <c r="E285" s="110" t="n"/>
      <c r="F285" s="110" t="n"/>
      <c r="G285" s="42" t="n"/>
      <c r="H285" s="40" t="n"/>
      <c r="I285" s="40" t="n"/>
      <c r="J285" s="40" t="n"/>
    </row>
    <row r="286">
      <c r="A286" s="47" t="n"/>
      <c r="B286" s="50">
        <f>IFERROR(INDEX(الموظفون_الاسم,MATCH($A286,الموظفون_الرقم,0)),"")</f>
        <v/>
      </c>
      <c r="C286" s="47" t="n"/>
      <c r="D286" s="47" t="n"/>
      <c r="E286" s="112" t="n"/>
      <c r="F286" s="112" t="n"/>
      <c r="G286" s="49" t="n"/>
      <c r="H286" s="47" t="n"/>
      <c r="I286" s="47" t="n"/>
      <c r="J286" s="47" t="n"/>
    </row>
    <row r="287">
      <c r="A287" s="40" t="n"/>
      <c r="B287" s="43">
        <f>IFERROR(INDEX(الموظفون_الاسم,MATCH($A287,الموظفون_الرقم,0)),"")</f>
        <v/>
      </c>
      <c r="C287" s="40" t="n"/>
      <c r="D287" s="40" t="n"/>
      <c r="E287" s="110" t="n"/>
      <c r="F287" s="110" t="n"/>
      <c r="G287" s="42" t="n"/>
      <c r="H287" s="40" t="n"/>
      <c r="I287" s="40" t="n"/>
      <c r="J287" s="40" t="n"/>
    </row>
    <row r="288">
      <c r="A288" s="47" t="n"/>
      <c r="B288" s="50">
        <f>IFERROR(INDEX(الموظفون_الاسم,MATCH($A288,الموظفون_الرقم,0)),"")</f>
        <v/>
      </c>
      <c r="C288" s="47" t="n"/>
      <c r="D288" s="47" t="n"/>
      <c r="E288" s="112" t="n"/>
      <c r="F288" s="112" t="n"/>
      <c r="G288" s="49" t="n"/>
      <c r="H288" s="47" t="n"/>
      <c r="I288" s="47" t="n"/>
      <c r="J288" s="47" t="n"/>
    </row>
    <row r="289">
      <c r="A289" s="40" t="n"/>
      <c r="B289" s="43">
        <f>IFERROR(INDEX(الموظفون_الاسم,MATCH($A289,الموظفون_الرقم,0)),"")</f>
        <v/>
      </c>
      <c r="C289" s="40" t="n"/>
      <c r="D289" s="40" t="n"/>
      <c r="E289" s="110" t="n"/>
      <c r="F289" s="110" t="n"/>
      <c r="G289" s="42" t="n"/>
      <c r="H289" s="40" t="n"/>
      <c r="I289" s="40" t="n"/>
      <c r="J289" s="40" t="n"/>
    </row>
    <row r="290">
      <c r="A290" s="47" t="n"/>
      <c r="B290" s="50">
        <f>IFERROR(INDEX(الموظفون_الاسم,MATCH($A290,الموظفون_الرقم,0)),"")</f>
        <v/>
      </c>
      <c r="C290" s="47" t="n"/>
      <c r="D290" s="47" t="n"/>
      <c r="E290" s="112" t="n"/>
      <c r="F290" s="112" t="n"/>
      <c r="G290" s="49" t="n"/>
      <c r="H290" s="47" t="n"/>
      <c r="I290" s="47" t="n"/>
      <c r="J290" s="47" t="n"/>
    </row>
    <row r="291">
      <c r="A291" s="40" t="n"/>
      <c r="B291" s="43">
        <f>IFERROR(INDEX(الموظفون_الاسم,MATCH($A291,الموظفون_الرقم,0)),"")</f>
        <v/>
      </c>
      <c r="C291" s="40" t="n"/>
      <c r="D291" s="40" t="n"/>
      <c r="E291" s="110" t="n"/>
      <c r="F291" s="110" t="n"/>
      <c r="G291" s="42" t="n"/>
      <c r="H291" s="40" t="n"/>
      <c r="I291" s="40" t="n"/>
      <c r="J291" s="40" t="n"/>
    </row>
    <row r="292">
      <c r="A292" s="47" t="n"/>
      <c r="B292" s="50">
        <f>IFERROR(INDEX(الموظفون_الاسم,MATCH($A292,الموظفون_الرقم,0)),"")</f>
        <v/>
      </c>
      <c r="C292" s="47" t="n"/>
      <c r="D292" s="47" t="n"/>
      <c r="E292" s="112" t="n"/>
      <c r="F292" s="112" t="n"/>
      <c r="G292" s="49" t="n"/>
      <c r="H292" s="47" t="n"/>
      <c r="I292" s="47" t="n"/>
      <c r="J292" s="47" t="n"/>
    </row>
    <row r="293">
      <c r="A293" s="40" t="n"/>
      <c r="B293" s="43">
        <f>IFERROR(INDEX(الموظفون_الاسم,MATCH($A293,الموظفون_الرقم,0)),"")</f>
        <v/>
      </c>
      <c r="C293" s="40" t="n"/>
      <c r="D293" s="40" t="n"/>
      <c r="E293" s="110" t="n"/>
      <c r="F293" s="110" t="n"/>
      <c r="G293" s="42" t="n"/>
      <c r="H293" s="40" t="n"/>
      <c r="I293" s="40" t="n"/>
      <c r="J293" s="40" t="n"/>
    </row>
    <row r="294">
      <c r="A294" s="47" t="n"/>
      <c r="B294" s="50">
        <f>IFERROR(INDEX(الموظفون_الاسم,MATCH($A294,الموظفون_الرقم,0)),"")</f>
        <v/>
      </c>
      <c r="C294" s="47" t="n"/>
      <c r="D294" s="47" t="n"/>
      <c r="E294" s="112" t="n"/>
      <c r="F294" s="112" t="n"/>
      <c r="G294" s="49" t="n"/>
      <c r="H294" s="47" t="n"/>
      <c r="I294" s="47" t="n"/>
      <c r="J294" s="47" t="n"/>
    </row>
    <row r="295">
      <c r="A295" s="40" t="n"/>
      <c r="B295" s="43">
        <f>IFERROR(INDEX(الموظفون_الاسم,MATCH($A295,الموظفون_الرقم,0)),"")</f>
        <v/>
      </c>
      <c r="C295" s="40" t="n"/>
      <c r="D295" s="40" t="n"/>
      <c r="E295" s="110" t="n"/>
      <c r="F295" s="110" t="n"/>
      <c r="G295" s="42" t="n"/>
      <c r="H295" s="40" t="n"/>
      <c r="I295" s="40" t="n"/>
      <c r="J295" s="40" t="n"/>
    </row>
    <row r="296">
      <c r="A296" s="47" t="n"/>
      <c r="B296" s="50">
        <f>IFERROR(INDEX(الموظفون_الاسم,MATCH($A296,الموظفون_الرقم,0)),"")</f>
        <v/>
      </c>
      <c r="C296" s="47" t="n"/>
      <c r="D296" s="47" t="n"/>
      <c r="E296" s="112" t="n"/>
      <c r="F296" s="112" t="n"/>
      <c r="G296" s="49" t="n"/>
      <c r="H296" s="47" t="n"/>
      <c r="I296" s="47" t="n"/>
      <c r="J296" s="47" t="n"/>
    </row>
    <row r="297">
      <c r="A297" s="40" t="n"/>
      <c r="B297" s="43">
        <f>IFERROR(INDEX(الموظفون_الاسم,MATCH($A297,الموظفون_الرقم,0)),"")</f>
        <v/>
      </c>
      <c r="C297" s="40" t="n"/>
      <c r="D297" s="40" t="n"/>
      <c r="E297" s="110" t="n"/>
      <c r="F297" s="110" t="n"/>
      <c r="G297" s="42" t="n"/>
      <c r="H297" s="40" t="n"/>
      <c r="I297" s="40" t="n"/>
      <c r="J297" s="40" t="n"/>
    </row>
    <row r="298">
      <c r="A298" s="47" t="n"/>
      <c r="B298" s="50">
        <f>IFERROR(INDEX(الموظفون_الاسم,MATCH($A298,الموظفون_الرقم,0)),"")</f>
        <v/>
      </c>
      <c r="C298" s="47" t="n"/>
      <c r="D298" s="47" t="n"/>
      <c r="E298" s="112" t="n"/>
      <c r="F298" s="112" t="n"/>
      <c r="G298" s="49" t="n"/>
      <c r="H298" s="47" t="n"/>
      <c r="I298" s="47" t="n"/>
      <c r="J298" s="47" t="n"/>
    </row>
    <row r="299">
      <c r="A299" s="40" t="n"/>
      <c r="B299" s="43">
        <f>IFERROR(INDEX(الموظفون_الاسم,MATCH($A299,الموظفون_الرقم,0)),"")</f>
        <v/>
      </c>
      <c r="C299" s="40" t="n"/>
      <c r="D299" s="40" t="n"/>
      <c r="E299" s="110" t="n"/>
      <c r="F299" s="110" t="n"/>
      <c r="G299" s="42" t="n"/>
      <c r="H299" s="40" t="n"/>
      <c r="I299" s="40" t="n"/>
      <c r="J299" s="40" t="n"/>
    </row>
    <row r="300">
      <c r="A300" s="47" t="n"/>
      <c r="B300" s="50">
        <f>IFERROR(INDEX(الموظفون_الاسم,MATCH($A300,الموظفون_الرقم,0)),"")</f>
        <v/>
      </c>
      <c r="C300" s="47" t="n"/>
      <c r="D300" s="47" t="n"/>
      <c r="E300" s="112" t="n"/>
      <c r="F300" s="112" t="n"/>
      <c r="G300" s="49" t="n"/>
      <c r="H300" s="47" t="n"/>
      <c r="I300" s="47" t="n"/>
      <c r="J300" s="47" t="n"/>
    </row>
    <row r="301">
      <c r="A301" s="40" t="n"/>
      <c r="B301" s="43">
        <f>IFERROR(INDEX(الموظفون_الاسم,MATCH($A301,الموظفون_الرقم,0)),"")</f>
        <v/>
      </c>
      <c r="C301" s="40" t="n"/>
      <c r="D301" s="40" t="n"/>
      <c r="E301" s="110" t="n"/>
      <c r="F301" s="110" t="n"/>
      <c r="G301" s="42" t="n"/>
      <c r="H301" s="40" t="n"/>
      <c r="I301" s="40" t="n"/>
      <c r="J301" s="40" t="n"/>
    </row>
    <row r="302">
      <c r="A302" s="47" t="n"/>
      <c r="B302" s="50">
        <f>IFERROR(INDEX(الموظفون_الاسم,MATCH($A302,الموظفون_الرقم,0)),"")</f>
        <v/>
      </c>
      <c r="C302" s="47" t="n"/>
      <c r="D302" s="47" t="n"/>
      <c r="E302" s="112" t="n"/>
      <c r="F302" s="112" t="n"/>
      <c r="G302" s="49" t="n"/>
      <c r="H302" s="47" t="n"/>
      <c r="I302" s="47" t="n"/>
      <c r="J302" s="47" t="n"/>
    </row>
    <row r="303">
      <c r="A303" s="40" t="n"/>
      <c r="B303" s="43">
        <f>IFERROR(INDEX(الموظفون_الاسم,MATCH($A303,الموظفون_الرقم,0)),"")</f>
        <v/>
      </c>
      <c r="C303" s="40" t="n"/>
      <c r="D303" s="40" t="n"/>
      <c r="E303" s="110" t="n"/>
      <c r="F303" s="110" t="n"/>
      <c r="G303" s="42" t="n"/>
      <c r="H303" s="40" t="n"/>
      <c r="I303" s="40" t="n"/>
      <c r="J303" s="40" t="n"/>
    </row>
    <row r="304">
      <c r="A304" s="47" t="n"/>
      <c r="B304" s="50">
        <f>IFERROR(INDEX(الموظفون_الاسم,MATCH($A304,الموظفون_الرقم,0)),"")</f>
        <v/>
      </c>
      <c r="C304" s="47" t="n"/>
      <c r="D304" s="47" t="n"/>
      <c r="E304" s="112" t="n"/>
      <c r="F304" s="112" t="n"/>
      <c r="G304" s="49" t="n"/>
      <c r="H304" s="47" t="n"/>
      <c r="I304" s="47" t="n"/>
      <c r="J304" s="47" t="n"/>
    </row>
    <row r="305">
      <c r="A305" s="40" t="n"/>
      <c r="B305" s="43">
        <f>IFERROR(INDEX(الموظفون_الاسم,MATCH($A305,الموظفون_الرقم,0)),"")</f>
        <v/>
      </c>
      <c r="C305" s="40" t="n"/>
      <c r="D305" s="40" t="n"/>
      <c r="E305" s="110" t="n"/>
      <c r="F305" s="110" t="n"/>
      <c r="G305" s="42" t="n"/>
      <c r="H305" s="40" t="n"/>
      <c r="I305" s="40" t="n"/>
      <c r="J305" s="40" t="n"/>
    </row>
    <row r="306">
      <c r="A306" s="47" t="n"/>
      <c r="B306" s="50">
        <f>IFERROR(INDEX(الموظفون_الاسم,MATCH($A306,الموظفون_الرقم,0)),"")</f>
        <v/>
      </c>
      <c r="C306" s="47" t="n"/>
      <c r="D306" s="47" t="n"/>
      <c r="E306" s="112" t="n"/>
      <c r="F306" s="112" t="n"/>
      <c r="G306" s="49" t="n"/>
      <c r="H306" s="47" t="n"/>
      <c r="I306" s="47" t="n"/>
      <c r="J306" s="47" t="n"/>
    </row>
    <row r="307">
      <c r="A307" s="40" t="n"/>
      <c r="B307" s="43">
        <f>IFERROR(INDEX(الموظفون_الاسم,MATCH($A307,الموظفون_الرقم,0)),"")</f>
        <v/>
      </c>
      <c r="C307" s="40" t="n"/>
      <c r="D307" s="40" t="n"/>
      <c r="E307" s="110" t="n"/>
      <c r="F307" s="110" t="n"/>
      <c r="G307" s="42" t="n"/>
      <c r="H307" s="40" t="n"/>
      <c r="I307" s="40" t="n"/>
      <c r="J307" s="40" t="n"/>
    </row>
    <row r="308">
      <c r="A308" s="47" t="n"/>
      <c r="B308" s="50">
        <f>IFERROR(INDEX(الموظفون_الاسم,MATCH($A308,الموظفون_الرقم,0)),"")</f>
        <v/>
      </c>
      <c r="C308" s="47" t="n"/>
      <c r="D308" s="47" t="n"/>
      <c r="E308" s="112" t="n"/>
      <c r="F308" s="112" t="n"/>
      <c r="G308" s="49" t="n"/>
      <c r="H308" s="47" t="n"/>
      <c r="I308" s="47" t="n"/>
      <c r="J308" s="47" t="n"/>
    </row>
    <row r="309">
      <c r="A309" s="40" t="n"/>
      <c r="B309" s="43">
        <f>IFERROR(INDEX(الموظفون_الاسم,MATCH($A309,الموظفون_الرقم,0)),"")</f>
        <v/>
      </c>
      <c r="C309" s="40" t="n"/>
      <c r="D309" s="40" t="n"/>
      <c r="E309" s="110" t="n"/>
      <c r="F309" s="110" t="n"/>
      <c r="G309" s="42" t="n"/>
      <c r="H309" s="40" t="n"/>
      <c r="I309" s="40" t="n"/>
      <c r="J309" s="40" t="n"/>
    </row>
    <row r="310">
      <c r="A310" s="47" t="n"/>
      <c r="B310" s="50">
        <f>IFERROR(INDEX(الموظفون_الاسم,MATCH($A310,الموظفون_الرقم,0)),"")</f>
        <v/>
      </c>
      <c r="C310" s="47" t="n"/>
      <c r="D310" s="47" t="n"/>
      <c r="E310" s="112" t="n"/>
      <c r="F310" s="112" t="n"/>
      <c r="G310" s="49" t="n"/>
      <c r="H310" s="47" t="n"/>
      <c r="I310" s="47" t="n"/>
      <c r="J310" s="47" t="n"/>
    </row>
    <row r="311">
      <c r="A311" s="40" t="n"/>
      <c r="B311" s="43">
        <f>IFERROR(INDEX(الموظفون_الاسم,MATCH($A311,الموظفون_الرقم,0)),"")</f>
        <v/>
      </c>
      <c r="C311" s="40" t="n"/>
      <c r="D311" s="40" t="n"/>
      <c r="E311" s="110" t="n"/>
      <c r="F311" s="110" t="n"/>
      <c r="G311" s="42" t="n"/>
      <c r="H311" s="40" t="n"/>
      <c r="I311" s="40" t="n"/>
      <c r="J311" s="40" t="n"/>
    </row>
    <row r="312">
      <c r="A312" s="47" t="n"/>
      <c r="B312" s="50">
        <f>IFERROR(INDEX(الموظفون_الاسم,MATCH($A312,الموظفون_الرقم,0)),"")</f>
        <v/>
      </c>
      <c r="C312" s="47" t="n"/>
      <c r="D312" s="47" t="n"/>
      <c r="E312" s="112" t="n"/>
      <c r="F312" s="112" t="n"/>
      <c r="G312" s="49" t="n"/>
      <c r="H312" s="47" t="n"/>
      <c r="I312" s="47" t="n"/>
      <c r="J312" s="47" t="n"/>
    </row>
    <row r="313">
      <c r="A313" s="40" t="n"/>
      <c r="B313" s="43">
        <f>IFERROR(INDEX(الموظفون_الاسم,MATCH($A313,الموظفون_الرقم,0)),"")</f>
        <v/>
      </c>
      <c r="C313" s="40" t="n"/>
      <c r="D313" s="40" t="n"/>
      <c r="E313" s="110" t="n"/>
      <c r="F313" s="110" t="n"/>
      <c r="G313" s="42" t="n"/>
      <c r="H313" s="40" t="n"/>
      <c r="I313" s="40" t="n"/>
      <c r="J313" s="40" t="n"/>
    </row>
    <row r="314">
      <c r="A314" s="47" t="n"/>
      <c r="B314" s="50">
        <f>IFERROR(INDEX(الموظفون_الاسم,MATCH($A314,الموظفون_الرقم,0)),"")</f>
        <v/>
      </c>
      <c r="C314" s="47" t="n"/>
      <c r="D314" s="47" t="n"/>
      <c r="E314" s="112" t="n"/>
      <c r="F314" s="112" t="n"/>
      <c r="G314" s="49" t="n"/>
      <c r="H314" s="47" t="n"/>
      <c r="I314" s="47" t="n"/>
      <c r="J314" s="47" t="n"/>
    </row>
    <row r="315">
      <c r="A315" s="40" t="n"/>
      <c r="B315" s="43">
        <f>IFERROR(INDEX(الموظفون_الاسم,MATCH($A315,الموظفون_الرقم,0)),"")</f>
        <v/>
      </c>
      <c r="C315" s="40" t="n"/>
      <c r="D315" s="40" t="n"/>
      <c r="E315" s="110" t="n"/>
      <c r="F315" s="110" t="n"/>
      <c r="G315" s="42" t="n"/>
      <c r="H315" s="40" t="n"/>
      <c r="I315" s="40" t="n"/>
      <c r="J315" s="40" t="n"/>
    </row>
    <row r="316">
      <c r="A316" s="47" t="n"/>
      <c r="B316" s="50">
        <f>IFERROR(INDEX(الموظفون_الاسم,MATCH($A316,الموظفون_الرقم,0)),"")</f>
        <v/>
      </c>
      <c r="C316" s="47" t="n"/>
      <c r="D316" s="47" t="n"/>
      <c r="E316" s="112" t="n"/>
      <c r="F316" s="112" t="n"/>
      <c r="G316" s="49" t="n"/>
      <c r="H316" s="47" t="n"/>
      <c r="I316" s="47" t="n"/>
      <c r="J316" s="47" t="n"/>
    </row>
    <row r="317">
      <c r="A317" s="40" t="n"/>
      <c r="B317" s="43">
        <f>IFERROR(INDEX(الموظفون_الاسم,MATCH($A317,الموظفون_الرقم,0)),"")</f>
        <v/>
      </c>
      <c r="C317" s="40" t="n"/>
      <c r="D317" s="40" t="n"/>
      <c r="E317" s="110" t="n"/>
      <c r="F317" s="110" t="n"/>
      <c r="G317" s="42" t="n"/>
      <c r="H317" s="40" t="n"/>
      <c r="I317" s="40" t="n"/>
      <c r="J317" s="40" t="n"/>
    </row>
    <row r="318">
      <c r="A318" s="47" t="n"/>
      <c r="B318" s="50">
        <f>IFERROR(INDEX(الموظفون_الاسم,MATCH($A318,الموظفون_الرقم,0)),"")</f>
        <v/>
      </c>
      <c r="C318" s="47" t="n"/>
      <c r="D318" s="47" t="n"/>
      <c r="E318" s="112" t="n"/>
      <c r="F318" s="112" t="n"/>
      <c r="G318" s="49" t="n"/>
      <c r="H318" s="47" t="n"/>
      <c r="I318" s="47" t="n"/>
      <c r="J318" s="47" t="n"/>
    </row>
    <row r="319">
      <c r="A319" s="40" t="n"/>
      <c r="B319" s="43">
        <f>IFERROR(INDEX(الموظفون_الاسم,MATCH($A319,الموظفون_الرقم,0)),"")</f>
        <v/>
      </c>
      <c r="C319" s="40" t="n"/>
      <c r="D319" s="40" t="n"/>
      <c r="E319" s="110" t="n"/>
      <c r="F319" s="110" t="n"/>
      <c r="G319" s="42" t="n"/>
      <c r="H319" s="40" t="n"/>
      <c r="I319" s="40" t="n"/>
      <c r="J319" s="40" t="n"/>
    </row>
    <row r="320">
      <c r="A320" s="47" t="n"/>
      <c r="B320" s="50">
        <f>IFERROR(INDEX(الموظفون_الاسم,MATCH($A320,الموظفون_الرقم,0)),"")</f>
        <v/>
      </c>
      <c r="C320" s="47" t="n"/>
      <c r="D320" s="47" t="n"/>
      <c r="E320" s="112" t="n"/>
      <c r="F320" s="112" t="n"/>
      <c r="G320" s="49" t="n"/>
      <c r="H320" s="47" t="n"/>
      <c r="I320" s="47" t="n"/>
      <c r="J320" s="47" t="n"/>
    </row>
    <row r="321">
      <c r="A321" s="40" t="n"/>
      <c r="B321" s="43">
        <f>IFERROR(INDEX(الموظفون_الاسم,MATCH($A321,الموظفون_الرقم,0)),"")</f>
        <v/>
      </c>
      <c r="C321" s="40" t="n"/>
      <c r="D321" s="40" t="n"/>
      <c r="E321" s="110" t="n"/>
      <c r="F321" s="110" t="n"/>
      <c r="G321" s="42" t="n"/>
      <c r="H321" s="40" t="n"/>
      <c r="I321" s="40" t="n"/>
      <c r="J321" s="40" t="n"/>
    </row>
    <row r="322">
      <c r="A322" s="47" t="n"/>
      <c r="B322" s="50">
        <f>IFERROR(INDEX(الموظفون_الاسم,MATCH($A322,الموظفون_الرقم,0)),"")</f>
        <v/>
      </c>
      <c r="C322" s="47" t="n"/>
      <c r="D322" s="47" t="n"/>
      <c r="E322" s="112" t="n"/>
      <c r="F322" s="112" t="n"/>
      <c r="G322" s="49" t="n"/>
      <c r="H322" s="47" t="n"/>
      <c r="I322" s="47" t="n"/>
      <c r="J322" s="47" t="n"/>
    </row>
    <row r="323">
      <c r="A323" s="40" t="n"/>
      <c r="B323" s="43">
        <f>IFERROR(INDEX(الموظفون_الاسم,MATCH($A323,الموظفون_الرقم,0)),"")</f>
        <v/>
      </c>
      <c r="C323" s="40" t="n"/>
      <c r="D323" s="40" t="n"/>
      <c r="E323" s="110" t="n"/>
      <c r="F323" s="110" t="n"/>
      <c r="G323" s="42" t="n"/>
      <c r="H323" s="40" t="n"/>
      <c r="I323" s="40" t="n"/>
      <c r="J323" s="40" t="n"/>
    </row>
    <row r="324">
      <c r="A324" s="47" t="n"/>
      <c r="B324" s="50">
        <f>IFERROR(INDEX(الموظفون_الاسم,MATCH($A324,الموظفون_الرقم,0)),"")</f>
        <v/>
      </c>
      <c r="C324" s="47" t="n"/>
      <c r="D324" s="47" t="n"/>
      <c r="E324" s="112" t="n"/>
      <c r="F324" s="112" t="n"/>
      <c r="G324" s="49" t="n"/>
      <c r="H324" s="47" t="n"/>
      <c r="I324" s="47" t="n"/>
      <c r="J324" s="47" t="n"/>
    </row>
    <row r="325">
      <c r="A325" s="40" t="n"/>
      <c r="B325" s="43">
        <f>IFERROR(INDEX(الموظفون_الاسم,MATCH($A325,الموظفون_الرقم,0)),"")</f>
        <v/>
      </c>
      <c r="C325" s="40" t="n"/>
      <c r="D325" s="40" t="n"/>
      <c r="E325" s="110" t="n"/>
      <c r="F325" s="110" t="n"/>
      <c r="G325" s="42" t="n"/>
      <c r="H325" s="40" t="n"/>
      <c r="I325" s="40" t="n"/>
      <c r="J325" s="40" t="n"/>
    </row>
    <row r="326">
      <c r="A326" s="47" t="n"/>
      <c r="B326" s="50">
        <f>IFERROR(INDEX(الموظفون_الاسم,MATCH($A326,الموظفون_الرقم,0)),"")</f>
        <v/>
      </c>
      <c r="C326" s="47" t="n"/>
      <c r="D326" s="47" t="n"/>
      <c r="E326" s="112" t="n"/>
      <c r="F326" s="112" t="n"/>
      <c r="G326" s="49" t="n"/>
      <c r="H326" s="47" t="n"/>
      <c r="I326" s="47" t="n"/>
      <c r="J326" s="47" t="n"/>
    </row>
    <row r="327">
      <c r="A327" s="40" t="n"/>
      <c r="B327" s="43">
        <f>IFERROR(INDEX(الموظفون_الاسم,MATCH($A327,الموظفون_الرقم,0)),"")</f>
        <v/>
      </c>
      <c r="C327" s="40" t="n"/>
      <c r="D327" s="40" t="n"/>
      <c r="E327" s="110" t="n"/>
      <c r="F327" s="110" t="n"/>
      <c r="G327" s="42" t="n"/>
      <c r="H327" s="40" t="n"/>
      <c r="I327" s="40" t="n"/>
      <c r="J327" s="40" t="n"/>
    </row>
    <row r="328">
      <c r="A328" s="47" t="n"/>
      <c r="B328" s="50">
        <f>IFERROR(INDEX(الموظفون_الاسم,MATCH($A328,الموظفون_الرقم,0)),"")</f>
        <v/>
      </c>
      <c r="C328" s="47" t="n"/>
      <c r="D328" s="47" t="n"/>
      <c r="E328" s="112" t="n"/>
      <c r="F328" s="112" t="n"/>
      <c r="G328" s="49" t="n"/>
      <c r="H328" s="47" t="n"/>
      <c r="I328" s="47" t="n"/>
      <c r="J328" s="47" t="n"/>
    </row>
    <row r="329">
      <c r="A329" s="40" t="n"/>
      <c r="B329" s="43">
        <f>IFERROR(INDEX(الموظفون_الاسم,MATCH($A329,الموظفون_الرقم,0)),"")</f>
        <v/>
      </c>
      <c r="C329" s="40" t="n"/>
      <c r="D329" s="40" t="n"/>
      <c r="E329" s="110" t="n"/>
      <c r="F329" s="110" t="n"/>
      <c r="G329" s="42" t="n"/>
      <c r="H329" s="40" t="n"/>
      <c r="I329" s="40" t="n"/>
      <c r="J329" s="40" t="n"/>
    </row>
    <row r="330">
      <c r="A330" s="47" t="n"/>
      <c r="B330" s="50">
        <f>IFERROR(INDEX(الموظفون_الاسم,MATCH($A330,الموظفون_الرقم,0)),"")</f>
        <v/>
      </c>
      <c r="C330" s="47" t="n"/>
      <c r="D330" s="47" t="n"/>
      <c r="E330" s="112" t="n"/>
      <c r="F330" s="112" t="n"/>
      <c r="G330" s="49" t="n"/>
      <c r="H330" s="47" t="n"/>
      <c r="I330" s="47" t="n"/>
      <c r="J330" s="47" t="n"/>
    </row>
    <row r="331">
      <c r="A331" s="40" t="n"/>
      <c r="B331" s="43">
        <f>IFERROR(INDEX(الموظفون_الاسم,MATCH($A331,الموظفون_الرقم,0)),"")</f>
        <v/>
      </c>
      <c r="C331" s="40" t="n"/>
      <c r="D331" s="40" t="n"/>
      <c r="E331" s="110" t="n"/>
      <c r="F331" s="110" t="n"/>
      <c r="G331" s="42" t="n"/>
      <c r="H331" s="40" t="n"/>
      <c r="I331" s="40" t="n"/>
      <c r="J331" s="40" t="n"/>
    </row>
    <row r="332">
      <c r="A332" s="47" t="n"/>
      <c r="B332" s="50">
        <f>IFERROR(INDEX(الموظفون_الاسم,MATCH($A332,الموظفون_الرقم,0)),"")</f>
        <v/>
      </c>
      <c r="C332" s="47" t="n"/>
      <c r="D332" s="47" t="n"/>
      <c r="E332" s="112" t="n"/>
      <c r="F332" s="112" t="n"/>
      <c r="G332" s="49" t="n"/>
      <c r="H332" s="47" t="n"/>
      <c r="I332" s="47" t="n"/>
      <c r="J332" s="47" t="n"/>
    </row>
    <row r="333">
      <c r="A333" s="40" t="n"/>
      <c r="B333" s="43">
        <f>IFERROR(INDEX(الموظفون_الاسم,MATCH($A333,الموظفون_الرقم,0)),"")</f>
        <v/>
      </c>
      <c r="C333" s="40" t="n"/>
      <c r="D333" s="40" t="n"/>
      <c r="E333" s="110" t="n"/>
      <c r="F333" s="110" t="n"/>
      <c r="G333" s="42" t="n"/>
      <c r="H333" s="40" t="n"/>
      <c r="I333" s="40" t="n"/>
      <c r="J333" s="40" t="n"/>
    </row>
    <row r="334">
      <c r="A334" s="47" t="n"/>
      <c r="B334" s="50">
        <f>IFERROR(INDEX(الموظفون_الاسم,MATCH($A334,الموظفون_الرقم,0)),"")</f>
        <v/>
      </c>
      <c r="C334" s="47" t="n"/>
      <c r="D334" s="47" t="n"/>
      <c r="E334" s="112" t="n"/>
      <c r="F334" s="112" t="n"/>
      <c r="G334" s="49" t="n"/>
      <c r="H334" s="47" t="n"/>
      <c r="I334" s="47" t="n"/>
      <c r="J334" s="47" t="n"/>
    </row>
    <row r="335">
      <c r="A335" s="40" t="n"/>
      <c r="B335" s="43">
        <f>IFERROR(INDEX(الموظفون_الاسم,MATCH($A335,الموظفون_الرقم,0)),"")</f>
        <v/>
      </c>
      <c r="C335" s="40" t="n"/>
      <c r="D335" s="40" t="n"/>
      <c r="E335" s="110" t="n"/>
      <c r="F335" s="110" t="n"/>
      <c r="G335" s="42" t="n"/>
      <c r="H335" s="40" t="n"/>
      <c r="I335" s="40" t="n"/>
      <c r="J335" s="40" t="n"/>
    </row>
    <row r="336">
      <c r="A336" s="47" t="n"/>
      <c r="B336" s="50">
        <f>IFERROR(INDEX(الموظفون_الاسم,MATCH($A336,الموظفون_الرقم,0)),"")</f>
        <v/>
      </c>
      <c r="C336" s="47" t="n"/>
      <c r="D336" s="47" t="n"/>
      <c r="E336" s="112" t="n"/>
      <c r="F336" s="112" t="n"/>
      <c r="G336" s="49" t="n"/>
      <c r="H336" s="47" t="n"/>
      <c r="I336" s="47" t="n"/>
      <c r="J336" s="47" t="n"/>
    </row>
    <row r="337">
      <c r="A337" s="40" t="n"/>
      <c r="B337" s="43">
        <f>IFERROR(INDEX(الموظفون_الاسم,MATCH($A337,الموظفون_الرقم,0)),"")</f>
        <v/>
      </c>
      <c r="C337" s="40" t="n"/>
      <c r="D337" s="40" t="n"/>
      <c r="E337" s="110" t="n"/>
      <c r="F337" s="110" t="n"/>
      <c r="G337" s="42" t="n"/>
      <c r="H337" s="40" t="n"/>
      <c r="I337" s="40" t="n"/>
      <c r="J337" s="40" t="n"/>
    </row>
    <row r="338">
      <c r="A338" s="47" t="n"/>
      <c r="B338" s="50">
        <f>IFERROR(INDEX(الموظفون_الاسم,MATCH($A338,الموظفون_الرقم,0)),"")</f>
        <v/>
      </c>
      <c r="C338" s="47" t="n"/>
      <c r="D338" s="47" t="n"/>
      <c r="E338" s="112" t="n"/>
      <c r="F338" s="112" t="n"/>
      <c r="G338" s="49" t="n"/>
      <c r="H338" s="47" t="n"/>
      <c r="I338" s="47" t="n"/>
      <c r="J338" s="47" t="n"/>
    </row>
    <row r="339">
      <c r="A339" s="40" t="n"/>
      <c r="B339" s="43">
        <f>IFERROR(INDEX(الموظفون_الاسم,MATCH($A339,الموظفون_الرقم,0)),"")</f>
        <v/>
      </c>
      <c r="C339" s="40" t="n"/>
      <c r="D339" s="40" t="n"/>
      <c r="E339" s="110" t="n"/>
      <c r="F339" s="110" t="n"/>
      <c r="G339" s="42" t="n"/>
      <c r="H339" s="40" t="n"/>
      <c r="I339" s="40" t="n"/>
      <c r="J339" s="40" t="n"/>
    </row>
    <row r="340">
      <c r="A340" s="47" t="n"/>
      <c r="B340" s="50">
        <f>IFERROR(INDEX(الموظفون_الاسم,MATCH($A340,الموظفون_الرقم,0)),"")</f>
        <v/>
      </c>
      <c r="C340" s="47" t="n"/>
      <c r="D340" s="47" t="n"/>
      <c r="E340" s="112" t="n"/>
      <c r="F340" s="112" t="n"/>
      <c r="G340" s="49" t="n"/>
      <c r="H340" s="47" t="n"/>
      <c r="I340" s="47" t="n"/>
      <c r="J340" s="47" t="n"/>
    </row>
    <row r="341">
      <c r="A341" s="40" t="n"/>
      <c r="B341" s="43">
        <f>IFERROR(INDEX(الموظفون_الاسم,MATCH($A341,الموظفون_الرقم,0)),"")</f>
        <v/>
      </c>
      <c r="C341" s="40" t="n"/>
      <c r="D341" s="40" t="n"/>
      <c r="E341" s="110" t="n"/>
      <c r="F341" s="110" t="n"/>
      <c r="G341" s="42" t="n"/>
      <c r="H341" s="40" t="n"/>
      <c r="I341" s="40" t="n"/>
      <c r="J341" s="40" t="n"/>
    </row>
    <row r="342">
      <c r="A342" s="47" t="n"/>
      <c r="B342" s="50">
        <f>IFERROR(INDEX(الموظفون_الاسم,MATCH($A342,الموظفون_الرقم,0)),"")</f>
        <v/>
      </c>
      <c r="C342" s="47" t="n"/>
      <c r="D342" s="47" t="n"/>
      <c r="E342" s="112" t="n"/>
      <c r="F342" s="112" t="n"/>
      <c r="G342" s="49" t="n"/>
      <c r="H342" s="47" t="n"/>
      <c r="I342" s="47" t="n"/>
      <c r="J342" s="47" t="n"/>
    </row>
    <row r="343">
      <c r="A343" s="40" t="n"/>
      <c r="B343" s="43">
        <f>IFERROR(INDEX(الموظفون_الاسم,MATCH($A343,الموظفون_الرقم,0)),"")</f>
        <v/>
      </c>
      <c r="C343" s="40" t="n"/>
      <c r="D343" s="40" t="n"/>
      <c r="E343" s="110" t="n"/>
      <c r="F343" s="110" t="n"/>
      <c r="G343" s="42" t="n"/>
      <c r="H343" s="40" t="n"/>
      <c r="I343" s="40" t="n"/>
      <c r="J343" s="40" t="n"/>
    </row>
    <row r="344">
      <c r="A344" s="47" t="n"/>
      <c r="B344" s="50">
        <f>IFERROR(INDEX(الموظفون_الاسم,MATCH($A344,الموظفون_الرقم,0)),"")</f>
        <v/>
      </c>
      <c r="C344" s="47" t="n"/>
      <c r="D344" s="47" t="n"/>
      <c r="E344" s="112" t="n"/>
      <c r="F344" s="112" t="n"/>
      <c r="G344" s="49" t="n"/>
      <c r="H344" s="47" t="n"/>
      <c r="I344" s="47" t="n"/>
      <c r="J344" s="47" t="n"/>
    </row>
    <row r="345">
      <c r="A345" s="40" t="n"/>
      <c r="B345" s="43">
        <f>IFERROR(INDEX(الموظفون_الاسم,MATCH($A345,الموظفون_الرقم,0)),"")</f>
        <v/>
      </c>
      <c r="C345" s="40" t="n"/>
      <c r="D345" s="40" t="n"/>
      <c r="E345" s="110" t="n"/>
      <c r="F345" s="110" t="n"/>
      <c r="G345" s="42" t="n"/>
      <c r="H345" s="40" t="n"/>
      <c r="I345" s="40" t="n"/>
      <c r="J345" s="40" t="n"/>
    </row>
    <row r="346">
      <c r="A346" s="47" t="n"/>
      <c r="B346" s="50">
        <f>IFERROR(INDEX(الموظفون_الاسم,MATCH($A346,الموظفون_الرقم,0)),"")</f>
        <v/>
      </c>
      <c r="C346" s="47" t="n"/>
      <c r="D346" s="47" t="n"/>
      <c r="E346" s="112" t="n"/>
      <c r="F346" s="112" t="n"/>
      <c r="G346" s="49" t="n"/>
      <c r="H346" s="47" t="n"/>
      <c r="I346" s="47" t="n"/>
      <c r="J346" s="47" t="n"/>
    </row>
    <row r="347">
      <c r="A347" s="40" t="n"/>
      <c r="B347" s="43">
        <f>IFERROR(INDEX(الموظفون_الاسم,MATCH($A347,الموظفون_الرقم,0)),"")</f>
        <v/>
      </c>
      <c r="C347" s="40" t="n"/>
      <c r="D347" s="40" t="n"/>
      <c r="E347" s="110" t="n"/>
      <c r="F347" s="110" t="n"/>
      <c r="G347" s="42" t="n"/>
      <c r="H347" s="40" t="n"/>
      <c r="I347" s="40" t="n"/>
      <c r="J347" s="40" t="n"/>
    </row>
    <row r="348">
      <c r="A348" s="47" t="n"/>
      <c r="B348" s="50">
        <f>IFERROR(INDEX(الموظفون_الاسم,MATCH($A348,الموظفون_الرقم,0)),"")</f>
        <v/>
      </c>
      <c r="C348" s="47" t="n"/>
      <c r="D348" s="47" t="n"/>
      <c r="E348" s="112" t="n"/>
      <c r="F348" s="112" t="n"/>
      <c r="G348" s="49" t="n"/>
      <c r="H348" s="47" t="n"/>
      <c r="I348" s="47" t="n"/>
      <c r="J348" s="47" t="n"/>
    </row>
    <row r="349">
      <c r="A349" s="40" t="n"/>
      <c r="B349" s="43">
        <f>IFERROR(INDEX(الموظفون_الاسم,MATCH($A349,الموظفون_الرقم,0)),"")</f>
        <v/>
      </c>
      <c r="C349" s="40" t="n"/>
      <c r="D349" s="40" t="n"/>
      <c r="E349" s="110" t="n"/>
      <c r="F349" s="110" t="n"/>
      <c r="G349" s="42" t="n"/>
      <c r="H349" s="40" t="n"/>
      <c r="I349" s="40" t="n"/>
      <c r="J349" s="40" t="n"/>
    </row>
    <row r="350">
      <c r="A350" s="47" t="n"/>
      <c r="B350" s="50">
        <f>IFERROR(INDEX(الموظفون_الاسم,MATCH($A350,الموظفون_الرقم,0)),"")</f>
        <v/>
      </c>
      <c r="C350" s="47" t="n"/>
      <c r="D350" s="47" t="n"/>
      <c r="E350" s="112" t="n"/>
      <c r="F350" s="112" t="n"/>
      <c r="G350" s="49" t="n"/>
      <c r="H350" s="47" t="n"/>
      <c r="I350" s="47" t="n"/>
      <c r="J350" s="47" t="n"/>
    </row>
    <row r="351">
      <c r="A351" s="40" t="n"/>
      <c r="B351" s="43">
        <f>IFERROR(INDEX(الموظفون_الاسم,MATCH($A351,الموظفون_الرقم,0)),"")</f>
        <v/>
      </c>
      <c r="C351" s="40" t="n"/>
      <c r="D351" s="40" t="n"/>
      <c r="E351" s="110" t="n"/>
      <c r="F351" s="110" t="n"/>
      <c r="G351" s="42" t="n"/>
      <c r="H351" s="40" t="n"/>
      <c r="I351" s="40" t="n"/>
      <c r="J351" s="40" t="n"/>
    </row>
    <row r="352">
      <c r="A352" s="47" t="n"/>
      <c r="B352" s="50">
        <f>IFERROR(INDEX(الموظفون_الاسم,MATCH($A352,الموظفون_الرقم,0)),"")</f>
        <v/>
      </c>
      <c r="C352" s="47" t="n"/>
      <c r="D352" s="47" t="n"/>
      <c r="E352" s="112" t="n"/>
      <c r="F352" s="112" t="n"/>
      <c r="G352" s="49" t="n"/>
      <c r="H352" s="47" t="n"/>
      <c r="I352" s="47" t="n"/>
      <c r="J352" s="47" t="n"/>
    </row>
    <row r="353">
      <c r="A353" s="40" t="n"/>
      <c r="B353" s="43">
        <f>IFERROR(INDEX(الموظفون_الاسم,MATCH($A353,الموظفون_الرقم,0)),"")</f>
        <v/>
      </c>
      <c r="C353" s="40" t="n"/>
      <c r="D353" s="40" t="n"/>
      <c r="E353" s="110" t="n"/>
      <c r="F353" s="110" t="n"/>
      <c r="G353" s="42" t="n"/>
      <c r="H353" s="40" t="n"/>
      <c r="I353" s="40" t="n"/>
      <c r="J353" s="40" t="n"/>
    </row>
    <row r="354">
      <c r="A354" s="47" t="n"/>
      <c r="B354" s="50">
        <f>IFERROR(INDEX(الموظفون_الاسم,MATCH($A354,الموظفون_الرقم,0)),"")</f>
        <v/>
      </c>
      <c r="C354" s="47" t="n"/>
      <c r="D354" s="47" t="n"/>
      <c r="E354" s="112" t="n"/>
      <c r="F354" s="112" t="n"/>
      <c r="G354" s="49" t="n"/>
      <c r="H354" s="47" t="n"/>
      <c r="I354" s="47" t="n"/>
      <c r="J354" s="47" t="n"/>
    </row>
    <row r="355">
      <c r="A355" s="40" t="n"/>
      <c r="B355" s="43">
        <f>IFERROR(INDEX(الموظفون_الاسم,MATCH($A355,الموظفون_الرقم,0)),"")</f>
        <v/>
      </c>
      <c r="C355" s="40" t="n"/>
      <c r="D355" s="40" t="n"/>
      <c r="E355" s="110" t="n"/>
      <c r="F355" s="110" t="n"/>
      <c r="G355" s="42" t="n"/>
      <c r="H355" s="40" t="n"/>
      <c r="I355" s="40" t="n"/>
      <c r="J355" s="40" t="n"/>
    </row>
    <row r="356">
      <c r="A356" s="47" t="n"/>
      <c r="B356" s="50">
        <f>IFERROR(INDEX(الموظفون_الاسم,MATCH($A356,الموظفون_الرقم,0)),"")</f>
        <v/>
      </c>
      <c r="C356" s="47" t="n"/>
      <c r="D356" s="47" t="n"/>
      <c r="E356" s="112" t="n"/>
      <c r="F356" s="112" t="n"/>
      <c r="G356" s="49" t="n"/>
      <c r="H356" s="47" t="n"/>
      <c r="I356" s="47" t="n"/>
      <c r="J356" s="47" t="n"/>
    </row>
    <row r="357">
      <c r="A357" s="40" t="n"/>
      <c r="B357" s="43">
        <f>IFERROR(INDEX(الموظفون_الاسم,MATCH($A357,الموظفون_الرقم,0)),"")</f>
        <v/>
      </c>
      <c r="C357" s="40" t="n"/>
      <c r="D357" s="40" t="n"/>
      <c r="E357" s="110" t="n"/>
      <c r="F357" s="110" t="n"/>
      <c r="G357" s="42" t="n"/>
      <c r="H357" s="40" t="n"/>
      <c r="I357" s="40" t="n"/>
      <c r="J357" s="40" t="n"/>
    </row>
    <row r="358">
      <c r="A358" s="47" t="n"/>
      <c r="B358" s="50">
        <f>IFERROR(INDEX(الموظفون_الاسم,MATCH($A358,الموظفون_الرقم,0)),"")</f>
        <v/>
      </c>
      <c r="C358" s="47" t="n"/>
      <c r="D358" s="47" t="n"/>
      <c r="E358" s="112" t="n"/>
      <c r="F358" s="112" t="n"/>
      <c r="G358" s="49" t="n"/>
      <c r="H358" s="47" t="n"/>
      <c r="I358" s="47" t="n"/>
      <c r="J358" s="47" t="n"/>
    </row>
    <row r="359">
      <c r="A359" s="40" t="n"/>
      <c r="B359" s="43">
        <f>IFERROR(INDEX(الموظفون_الاسم,MATCH($A359,الموظفون_الرقم,0)),"")</f>
        <v/>
      </c>
      <c r="C359" s="40" t="n"/>
      <c r="D359" s="40" t="n"/>
      <c r="E359" s="110" t="n"/>
      <c r="F359" s="110" t="n"/>
      <c r="G359" s="42" t="n"/>
      <c r="H359" s="40" t="n"/>
      <c r="I359" s="40" t="n"/>
      <c r="J359" s="40" t="n"/>
    </row>
    <row r="360">
      <c r="A360" s="47" t="n"/>
      <c r="B360" s="50">
        <f>IFERROR(INDEX(الموظفون_الاسم,MATCH($A360,الموظفون_الرقم,0)),"")</f>
        <v/>
      </c>
      <c r="C360" s="47" t="n"/>
      <c r="D360" s="47" t="n"/>
      <c r="E360" s="112" t="n"/>
      <c r="F360" s="112" t="n"/>
      <c r="G360" s="49" t="n"/>
      <c r="H360" s="47" t="n"/>
      <c r="I360" s="47" t="n"/>
      <c r="J360" s="47" t="n"/>
    </row>
    <row r="361">
      <c r="A361" s="40" t="n"/>
      <c r="B361" s="43">
        <f>IFERROR(INDEX(الموظفون_الاسم,MATCH($A361,الموظفون_الرقم,0)),"")</f>
        <v/>
      </c>
      <c r="C361" s="40" t="n"/>
      <c r="D361" s="40" t="n"/>
      <c r="E361" s="110" t="n"/>
      <c r="F361" s="110" t="n"/>
      <c r="G361" s="42" t="n"/>
      <c r="H361" s="40" t="n"/>
      <c r="I361" s="40" t="n"/>
      <c r="J361" s="40" t="n"/>
    </row>
    <row r="362">
      <c r="A362" s="47" t="n"/>
      <c r="B362" s="50">
        <f>IFERROR(INDEX(الموظفون_الاسم,MATCH($A362,الموظفون_الرقم,0)),"")</f>
        <v/>
      </c>
      <c r="C362" s="47" t="n"/>
      <c r="D362" s="47" t="n"/>
      <c r="E362" s="112" t="n"/>
      <c r="F362" s="112" t="n"/>
      <c r="G362" s="49" t="n"/>
      <c r="H362" s="47" t="n"/>
      <c r="I362" s="47" t="n"/>
      <c r="J362" s="47" t="n"/>
    </row>
    <row r="363">
      <c r="A363" s="40" t="n"/>
      <c r="B363" s="43">
        <f>IFERROR(INDEX(الموظفون_الاسم,MATCH($A363,الموظفون_الرقم,0)),"")</f>
        <v/>
      </c>
      <c r="C363" s="40" t="n"/>
      <c r="D363" s="40" t="n"/>
      <c r="E363" s="110" t="n"/>
      <c r="F363" s="110" t="n"/>
      <c r="G363" s="42" t="n"/>
      <c r="H363" s="40" t="n"/>
      <c r="I363" s="40" t="n"/>
      <c r="J363" s="40" t="n"/>
    </row>
    <row r="364">
      <c r="A364" s="47" t="n"/>
      <c r="B364" s="50">
        <f>IFERROR(INDEX(الموظفون_الاسم,MATCH($A364,الموظفون_الرقم,0)),"")</f>
        <v/>
      </c>
      <c r="C364" s="47" t="n"/>
      <c r="D364" s="47" t="n"/>
      <c r="E364" s="112" t="n"/>
      <c r="F364" s="112" t="n"/>
      <c r="G364" s="49" t="n"/>
      <c r="H364" s="47" t="n"/>
      <c r="I364" s="47" t="n"/>
      <c r="J364" s="47" t="n"/>
    </row>
    <row r="365">
      <c r="A365" s="40" t="n"/>
      <c r="B365" s="43">
        <f>IFERROR(INDEX(الموظفون_الاسم,MATCH($A365,الموظفون_الرقم,0)),"")</f>
        <v/>
      </c>
      <c r="C365" s="40" t="n"/>
      <c r="D365" s="40" t="n"/>
      <c r="E365" s="110" t="n"/>
      <c r="F365" s="110" t="n"/>
      <c r="G365" s="42" t="n"/>
      <c r="H365" s="40" t="n"/>
      <c r="I365" s="40" t="n"/>
      <c r="J365" s="40" t="n"/>
    </row>
    <row r="366">
      <c r="A366" s="47" t="n"/>
      <c r="B366" s="50">
        <f>IFERROR(INDEX(الموظفون_الاسم,MATCH($A366,الموظفون_الرقم,0)),"")</f>
        <v/>
      </c>
      <c r="C366" s="47" t="n"/>
      <c r="D366" s="47" t="n"/>
      <c r="E366" s="112" t="n"/>
      <c r="F366" s="112" t="n"/>
      <c r="G366" s="49" t="n"/>
      <c r="H366" s="47" t="n"/>
      <c r="I366" s="47" t="n"/>
      <c r="J366" s="47" t="n"/>
    </row>
    <row r="367">
      <c r="A367" s="40" t="n"/>
      <c r="B367" s="43">
        <f>IFERROR(INDEX(الموظفون_الاسم,MATCH($A367,الموظفون_الرقم,0)),"")</f>
        <v/>
      </c>
      <c r="C367" s="40" t="n"/>
      <c r="D367" s="40" t="n"/>
      <c r="E367" s="110" t="n"/>
      <c r="F367" s="110" t="n"/>
      <c r="G367" s="42" t="n"/>
      <c r="H367" s="40" t="n"/>
      <c r="I367" s="40" t="n"/>
      <c r="J367" s="40" t="n"/>
    </row>
    <row r="368">
      <c r="A368" s="47" t="n"/>
      <c r="B368" s="50">
        <f>IFERROR(INDEX(الموظفون_الاسم,MATCH($A368,الموظفون_الرقم,0)),"")</f>
        <v/>
      </c>
      <c r="C368" s="47" t="n"/>
      <c r="D368" s="47" t="n"/>
      <c r="E368" s="112" t="n"/>
      <c r="F368" s="112" t="n"/>
      <c r="G368" s="49" t="n"/>
      <c r="H368" s="47" t="n"/>
      <c r="I368" s="47" t="n"/>
      <c r="J368" s="47" t="n"/>
    </row>
    <row r="369">
      <c r="A369" s="40" t="n"/>
      <c r="B369" s="43">
        <f>IFERROR(INDEX(الموظفون_الاسم,MATCH($A369,الموظفون_الرقم,0)),"")</f>
        <v/>
      </c>
      <c r="C369" s="40" t="n"/>
      <c r="D369" s="40" t="n"/>
      <c r="E369" s="110" t="n"/>
      <c r="F369" s="110" t="n"/>
      <c r="G369" s="42" t="n"/>
      <c r="H369" s="40" t="n"/>
      <c r="I369" s="40" t="n"/>
      <c r="J369" s="40" t="n"/>
    </row>
    <row r="370">
      <c r="A370" s="47" t="n"/>
      <c r="B370" s="50">
        <f>IFERROR(INDEX(الموظفون_الاسم,MATCH($A370,الموظفون_الرقم,0)),"")</f>
        <v/>
      </c>
      <c r="C370" s="47" t="n"/>
      <c r="D370" s="47" t="n"/>
      <c r="E370" s="112" t="n"/>
      <c r="F370" s="112" t="n"/>
      <c r="G370" s="49" t="n"/>
      <c r="H370" s="47" t="n"/>
      <c r="I370" s="47" t="n"/>
      <c r="J370" s="47" t="n"/>
    </row>
    <row r="371">
      <c r="A371" s="40" t="n"/>
      <c r="B371" s="43">
        <f>IFERROR(INDEX(الموظفون_الاسم,MATCH($A371,الموظفون_الرقم,0)),"")</f>
        <v/>
      </c>
      <c r="C371" s="40" t="n"/>
      <c r="D371" s="40" t="n"/>
      <c r="E371" s="110" t="n"/>
      <c r="F371" s="110" t="n"/>
      <c r="G371" s="42" t="n"/>
      <c r="H371" s="40" t="n"/>
      <c r="I371" s="40" t="n"/>
      <c r="J371" s="40" t="n"/>
    </row>
    <row r="372">
      <c r="A372" s="47" t="n"/>
      <c r="B372" s="50">
        <f>IFERROR(INDEX(الموظفون_الاسم,MATCH($A372,الموظفون_الرقم,0)),"")</f>
        <v/>
      </c>
      <c r="C372" s="47" t="n"/>
      <c r="D372" s="47" t="n"/>
      <c r="E372" s="112" t="n"/>
      <c r="F372" s="112" t="n"/>
      <c r="G372" s="49" t="n"/>
      <c r="H372" s="47" t="n"/>
      <c r="I372" s="47" t="n"/>
      <c r="J372" s="47" t="n"/>
    </row>
    <row r="373">
      <c r="A373" s="40" t="n"/>
      <c r="B373" s="43">
        <f>IFERROR(INDEX(الموظفون_الاسم,MATCH($A373,الموظفون_الرقم,0)),"")</f>
        <v/>
      </c>
      <c r="C373" s="40" t="n"/>
      <c r="D373" s="40" t="n"/>
      <c r="E373" s="110" t="n"/>
      <c r="F373" s="110" t="n"/>
      <c r="G373" s="42" t="n"/>
      <c r="H373" s="40" t="n"/>
      <c r="I373" s="40" t="n"/>
      <c r="J373" s="40" t="n"/>
    </row>
    <row r="374">
      <c r="A374" s="47" t="n"/>
      <c r="B374" s="50">
        <f>IFERROR(INDEX(الموظفون_الاسم,MATCH($A374,الموظفون_الرقم,0)),"")</f>
        <v/>
      </c>
      <c r="C374" s="47" t="n"/>
      <c r="D374" s="47" t="n"/>
      <c r="E374" s="112" t="n"/>
      <c r="F374" s="112" t="n"/>
      <c r="G374" s="49" t="n"/>
      <c r="H374" s="47" t="n"/>
      <c r="I374" s="47" t="n"/>
      <c r="J374" s="47" t="n"/>
    </row>
    <row r="375">
      <c r="A375" s="40" t="n"/>
      <c r="B375" s="43">
        <f>IFERROR(INDEX(الموظفون_الاسم,MATCH($A375,الموظفون_الرقم,0)),"")</f>
        <v/>
      </c>
      <c r="C375" s="40" t="n"/>
      <c r="D375" s="40" t="n"/>
      <c r="E375" s="110" t="n"/>
      <c r="F375" s="110" t="n"/>
      <c r="G375" s="42" t="n"/>
      <c r="H375" s="40" t="n"/>
      <c r="I375" s="40" t="n"/>
      <c r="J375" s="40" t="n"/>
    </row>
    <row r="376">
      <c r="A376" s="47" t="n"/>
      <c r="B376" s="50">
        <f>IFERROR(INDEX(الموظفون_الاسم,MATCH($A376,الموظفون_الرقم,0)),"")</f>
        <v/>
      </c>
      <c r="C376" s="47" t="n"/>
      <c r="D376" s="47" t="n"/>
      <c r="E376" s="112" t="n"/>
      <c r="F376" s="112" t="n"/>
      <c r="G376" s="49" t="n"/>
      <c r="H376" s="47" t="n"/>
      <c r="I376" s="47" t="n"/>
      <c r="J376" s="47" t="n"/>
    </row>
    <row r="377">
      <c r="A377" s="40" t="n"/>
      <c r="B377" s="43">
        <f>IFERROR(INDEX(الموظفون_الاسم,MATCH($A377,الموظفون_الرقم,0)),"")</f>
        <v/>
      </c>
      <c r="C377" s="40" t="n"/>
      <c r="D377" s="40" t="n"/>
      <c r="E377" s="110" t="n"/>
      <c r="F377" s="110" t="n"/>
      <c r="G377" s="42" t="n"/>
      <c r="H377" s="40" t="n"/>
      <c r="I377" s="40" t="n"/>
      <c r="J377" s="40" t="n"/>
    </row>
    <row r="378">
      <c r="A378" s="47" t="n"/>
      <c r="B378" s="50">
        <f>IFERROR(INDEX(الموظفون_الاسم,MATCH($A378,الموظفون_الرقم,0)),"")</f>
        <v/>
      </c>
      <c r="C378" s="47" t="n"/>
      <c r="D378" s="47" t="n"/>
      <c r="E378" s="112" t="n"/>
      <c r="F378" s="112" t="n"/>
      <c r="G378" s="49" t="n"/>
      <c r="H378" s="47" t="n"/>
      <c r="I378" s="47" t="n"/>
      <c r="J378" s="47" t="n"/>
    </row>
    <row r="379">
      <c r="A379" s="40" t="n"/>
      <c r="B379" s="43">
        <f>IFERROR(INDEX(الموظفون_الاسم,MATCH($A379,الموظفون_الرقم,0)),"")</f>
        <v/>
      </c>
      <c r="C379" s="40" t="n"/>
      <c r="D379" s="40" t="n"/>
      <c r="E379" s="110" t="n"/>
      <c r="F379" s="110" t="n"/>
      <c r="G379" s="42" t="n"/>
      <c r="H379" s="40" t="n"/>
      <c r="I379" s="40" t="n"/>
      <c r="J379" s="40" t="n"/>
    </row>
    <row r="380">
      <c r="A380" s="47" t="n"/>
      <c r="B380" s="50">
        <f>IFERROR(INDEX(الموظفون_الاسم,MATCH($A380,الموظفون_الرقم,0)),"")</f>
        <v/>
      </c>
      <c r="C380" s="47" t="n"/>
      <c r="D380" s="47" t="n"/>
      <c r="E380" s="112" t="n"/>
      <c r="F380" s="112" t="n"/>
      <c r="G380" s="49" t="n"/>
      <c r="H380" s="47" t="n"/>
      <c r="I380" s="47" t="n"/>
      <c r="J380" s="47" t="n"/>
    </row>
    <row r="381">
      <c r="A381" s="40" t="n"/>
      <c r="B381" s="43">
        <f>IFERROR(INDEX(الموظفون_الاسم,MATCH($A381,الموظفون_الرقم,0)),"")</f>
        <v/>
      </c>
      <c r="C381" s="40" t="n"/>
      <c r="D381" s="40" t="n"/>
      <c r="E381" s="110" t="n"/>
      <c r="F381" s="110" t="n"/>
      <c r="G381" s="42" t="n"/>
      <c r="H381" s="40" t="n"/>
      <c r="I381" s="40" t="n"/>
      <c r="J381" s="40" t="n"/>
    </row>
    <row r="382">
      <c r="A382" s="47" t="n"/>
      <c r="B382" s="50">
        <f>IFERROR(INDEX(الموظفون_الاسم,MATCH($A382,الموظفون_الرقم,0)),"")</f>
        <v/>
      </c>
      <c r="C382" s="47" t="n"/>
      <c r="D382" s="47" t="n"/>
      <c r="E382" s="112" t="n"/>
      <c r="F382" s="112" t="n"/>
      <c r="G382" s="49" t="n"/>
      <c r="H382" s="47" t="n"/>
      <c r="I382" s="47" t="n"/>
      <c r="J382" s="47" t="n"/>
    </row>
    <row r="383">
      <c r="A383" s="40" t="n"/>
      <c r="B383" s="43">
        <f>IFERROR(INDEX(الموظفون_الاسم,MATCH($A383,الموظفون_الرقم,0)),"")</f>
        <v/>
      </c>
      <c r="C383" s="40" t="n"/>
      <c r="D383" s="40" t="n"/>
      <c r="E383" s="110" t="n"/>
      <c r="F383" s="110" t="n"/>
      <c r="G383" s="42" t="n"/>
      <c r="H383" s="40" t="n"/>
      <c r="I383" s="40" t="n"/>
      <c r="J383" s="40" t="n"/>
    </row>
    <row r="384">
      <c r="A384" s="47" t="n"/>
      <c r="B384" s="50">
        <f>IFERROR(INDEX(الموظفون_الاسم,MATCH($A384,الموظفون_الرقم,0)),"")</f>
        <v/>
      </c>
      <c r="C384" s="47" t="n"/>
      <c r="D384" s="47" t="n"/>
      <c r="E384" s="112" t="n"/>
      <c r="F384" s="112" t="n"/>
      <c r="G384" s="49" t="n"/>
      <c r="H384" s="47" t="n"/>
      <c r="I384" s="47" t="n"/>
      <c r="J384" s="47" t="n"/>
    </row>
    <row r="385">
      <c r="A385" s="40" t="n"/>
      <c r="B385" s="43">
        <f>IFERROR(INDEX(الموظفون_الاسم,MATCH($A385,الموظفون_الرقم,0)),"")</f>
        <v/>
      </c>
      <c r="C385" s="40" t="n"/>
      <c r="D385" s="40" t="n"/>
      <c r="E385" s="110" t="n"/>
      <c r="F385" s="110" t="n"/>
      <c r="G385" s="42" t="n"/>
      <c r="H385" s="40" t="n"/>
      <c r="I385" s="40" t="n"/>
      <c r="J385" s="40" t="n"/>
    </row>
    <row r="386">
      <c r="A386" s="47" t="n"/>
      <c r="B386" s="50">
        <f>IFERROR(INDEX(الموظفون_الاسم,MATCH($A386,الموظفون_الرقم,0)),"")</f>
        <v/>
      </c>
      <c r="C386" s="47" t="n"/>
      <c r="D386" s="47" t="n"/>
      <c r="E386" s="112" t="n"/>
      <c r="F386" s="112" t="n"/>
      <c r="G386" s="49" t="n"/>
      <c r="H386" s="47" t="n"/>
      <c r="I386" s="47" t="n"/>
      <c r="J386" s="47" t="n"/>
    </row>
    <row r="387">
      <c r="A387" s="40" t="n"/>
      <c r="B387" s="43">
        <f>IFERROR(INDEX(الموظفون_الاسم,MATCH($A387,الموظفون_الرقم,0)),"")</f>
        <v/>
      </c>
      <c r="C387" s="40" t="n"/>
      <c r="D387" s="40" t="n"/>
      <c r="E387" s="110" t="n"/>
      <c r="F387" s="110" t="n"/>
      <c r="G387" s="42" t="n"/>
      <c r="H387" s="40" t="n"/>
      <c r="I387" s="40" t="n"/>
      <c r="J387" s="40" t="n"/>
    </row>
    <row r="388">
      <c r="A388" s="47" t="n"/>
      <c r="B388" s="50">
        <f>IFERROR(INDEX(الموظفون_الاسم,MATCH($A388,الموظفون_الرقم,0)),"")</f>
        <v/>
      </c>
      <c r="C388" s="47" t="n"/>
      <c r="D388" s="47" t="n"/>
      <c r="E388" s="112" t="n"/>
      <c r="F388" s="112" t="n"/>
      <c r="G388" s="49" t="n"/>
      <c r="H388" s="47" t="n"/>
      <c r="I388" s="47" t="n"/>
      <c r="J388" s="47" t="n"/>
    </row>
    <row r="389">
      <c r="A389" s="40" t="n"/>
      <c r="B389" s="43">
        <f>IFERROR(INDEX(الموظفون_الاسم,MATCH($A389,الموظفون_الرقم,0)),"")</f>
        <v/>
      </c>
      <c r="C389" s="40" t="n"/>
      <c r="D389" s="40" t="n"/>
      <c r="E389" s="110" t="n"/>
      <c r="F389" s="110" t="n"/>
      <c r="G389" s="42" t="n"/>
      <c r="H389" s="40" t="n"/>
      <c r="I389" s="40" t="n"/>
      <c r="J389" s="40" t="n"/>
    </row>
    <row r="390">
      <c r="A390" s="47" t="n"/>
      <c r="B390" s="50">
        <f>IFERROR(INDEX(الموظفون_الاسم,MATCH($A390,الموظفون_الرقم,0)),"")</f>
        <v/>
      </c>
      <c r="C390" s="47" t="n"/>
      <c r="D390" s="47" t="n"/>
      <c r="E390" s="112" t="n"/>
      <c r="F390" s="112" t="n"/>
      <c r="G390" s="49" t="n"/>
      <c r="H390" s="47" t="n"/>
      <c r="I390" s="47" t="n"/>
      <c r="J390" s="47" t="n"/>
    </row>
    <row r="391">
      <c r="A391" s="40" t="n"/>
      <c r="B391" s="43">
        <f>IFERROR(INDEX(الموظفون_الاسم,MATCH($A391,الموظفون_الرقم,0)),"")</f>
        <v/>
      </c>
      <c r="C391" s="40" t="n"/>
      <c r="D391" s="40" t="n"/>
      <c r="E391" s="110" t="n"/>
      <c r="F391" s="110" t="n"/>
      <c r="G391" s="42" t="n"/>
      <c r="H391" s="40" t="n"/>
      <c r="I391" s="40" t="n"/>
      <c r="J391" s="40" t="n"/>
    </row>
    <row r="392">
      <c r="A392" s="47" t="n"/>
      <c r="B392" s="50">
        <f>IFERROR(INDEX(الموظفون_الاسم,MATCH($A392,الموظفون_الرقم,0)),"")</f>
        <v/>
      </c>
      <c r="C392" s="47" t="n"/>
      <c r="D392" s="47" t="n"/>
      <c r="E392" s="112" t="n"/>
      <c r="F392" s="112" t="n"/>
      <c r="G392" s="49" t="n"/>
      <c r="H392" s="47" t="n"/>
      <c r="I392" s="47" t="n"/>
      <c r="J392" s="47" t="n"/>
    </row>
    <row r="393">
      <c r="A393" s="40" t="n"/>
      <c r="B393" s="43">
        <f>IFERROR(INDEX(الموظفون_الاسم,MATCH($A393,الموظفون_الرقم,0)),"")</f>
        <v/>
      </c>
      <c r="C393" s="40" t="n"/>
      <c r="D393" s="40" t="n"/>
      <c r="E393" s="110" t="n"/>
      <c r="F393" s="110" t="n"/>
      <c r="G393" s="42" t="n"/>
      <c r="H393" s="40" t="n"/>
      <c r="I393" s="40" t="n"/>
      <c r="J393" s="40" t="n"/>
    </row>
    <row r="394">
      <c r="A394" s="47" t="n"/>
      <c r="B394" s="50">
        <f>IFERROR(INDEX(الموظفون_الاسم,MATCH($A394,الموظفون_الرقم,0)),"")</f>
        <v/>
      </c>
      <c r="C394" s="47" t="n"/>
      <c r="D394" s="47" t="n"/>
      <c r="E394" s="112" t="n"/>
      <c r="F394" s="112" t="n"/>
      <c r="G394" s="49" t="n"/>
      <c r="H394" s="47" t="n"/>
      <c r="I394" s="47" t="n"/>
      <c r="J394" s="47" t="n"/>
    </row>
    <row r="395">
      <c r="A395" s="40" t="n"/>
      <c r="B395" s="43">
        <f>IFERROR(INDEX(الموظفون_الاسم,MATCH($A395,الموظفون_الرقم,0)),"")</f>
        <v/>
      </c>
      <c r="C395" s="40" t="n"/>
      <c r="D395" s="40" t="n"/>
      <c r="E395" s="110" t="n"/>
      <c r="F395" s="110" t="n"/>
      <c r="G395" s="42" t="n"/>
      <c r="H395" s="40" t="n"/>
      <c r="I395" s="40" t="n"/>
      <c r="J395" s="40" t="n"/>
    </row>
    <row r="396">
      <c r="A396" s="47" t="n"/>
      <c r="B396" s="50">
        <f>IFERROR(INDEX(الموظفون_الاسم,MATCH($A396,الموظفون_الرقم,0)),"")</f>
        <v/>
      </c>
      <c r="C396" s="47" t="n"/>
      <c r="D396" s="47" t="n"/>
      <c r="E396" s="112" t="n"/>
      <c r="F396" s="112" t="n"/>
      <c r="G396" s="49" t="n"/>
      <c r="H396" s="47" t="n"/>
      <c r="I396" s="47" t="n"/>
      <c r="J396" s="47" t="n"/>
    </row>
    <row r="397">
      <c r="A397" s="40" t="n"/>
      <c r="B397" s="43">
        <f>IFERROR(INDEX(الموظفون_الاسم,MATCH($A397,الموظفون_الرقم,0)),"")</f>
        <v/>
      </c>
      <c r="C397" s="40" t="n"/>
      <c r="D397" s="40" t="n"/>
      <c r="E397" s="110" t="n"/>
      <c r="F397" s="110" t="n"/>
      <c r="G397" s="42" t="n"/>
      <c r="H397" s="40" t="n"/>
      <c r="I397" s="40" t="n"/>
      <c r="J397" s="40" t="n"/>
    </row>
    <row r="398">
      <c r="A398" s="47" t="n"/>
      <c r="B398" s="50">
        <f>IFERROR(INDEX(الموظفون_الاسم,MATCH($A398,الموظفون_الرقم,0)),"")</f>
        <v/>
      </c>
      <c r="C398" s="47" t="n"/>
      <c r="D398" s="47" t="n"/>
      <c r="E398" s="112" t="n"/>
      <c r="F398" s="112" t="n"/>
      <c r="G398" s="49" t="n"/>
      <c r="H398" s="47" t="n"/>
      <c r="I398" s="47" t="n"/>
      <c r="J398" s="47" t="n"/>
    </row>
    <row r="399">
      <c r="A399" s="40" t="n"/>
      <c r="B399" s="43">
        <f>IFERROR(INDEX(الموظفون_الاسم,MATCH($A399,الموظفون_الرقم,0)),"")</f>
        <v/>
      </c>
      <c r="C399" s="40" t="n"/>
      <c r="D399" s="40" t="n"/>
      <c r="E399" s="110" t="n"/>
      <c r="F399" s="110" t="n"/>
      <c r="G399" s="42" t="n"/>
      <c r="H399" s="40" t="n"/>
      <c r="I399" s="40" t="n"/>
      <c r="J399" s="40" t="n"/>
    </row>
    <row r="400">
      <c r="A400" s="47" t="n"/>
      <c r="B400" s="50">
        <f>IFERROR(INDEX(الموظفون_الاسم,MATCH($A400,الموظفون_الرقم,0)),"")</f>
        <v/>
      </c>
      <c r="C400" s="47" t="n"/>
      <c r="D400" s="47" t="n"/>
      <c r="E400" s="112" t="n"/>
      <c r="F400" s="112" t="n"/>
      <c r="G400" s="49" t="n"/>
      <c r="H400" s="47" t="n"/>
      <c r="I400" s="47" t="n"/>
      <c r="J400" s="47" t="n"/>
    </row>
    <row r="401">
      <c r="A401" s="40" t="n"/>
      <c r="B401" s="43">
        <f>IFERROR(INDEX(الموظفون_الاسم,MATCH($A401,الموظفون_الرقم,0)),"")</f>
        <v/>
      </c>
      <c r="C401" s="40" t="n"/>
      <c r="D401" s="40" t="n"/>
      <c r="E401" s="110" t="n"/>
      <c r="F401" s="110" t="n"/>
      <c r="G401" s="42" t="n"/>
      <c r="H401" s="40" t="n"/>
      <c r="I401" s="40" t="n"/>
      <c r="J401" s="40" t="n"/>
    </row>
    <row r="402">
      <c r="A402" s="47" t="n"/>
      <c r="B402" s="50">
        <f>IFERROR(INDEX(الموظفون_الاسم,MATCH($A402,الموظفون_الرقم,0)),"")</f>
        <v/>
      </c>
      <c r="C402" s="47" t="n"/>
      <c r="D402" s="47" t="n"/>
      <c r="E402" s="112" t="n"/>
      <c r="F402" s="112" t="n"/>
      <c r="G402" s="49" t="n"/>
      <c r="H402" s="47" t="n"/>
      <c r="I402" s="47" t="n"/>
      <c r="J402" s="47" t="n"/>
    </row>
    <row r="403">
      <c r="A403" s="40" t="n"/>
      <c r="B403" s="43">
        <f>IFERROR(INDEX(الموظفون_الاسم,MATCH($A403,الموظفون_الرقم,0)),"")</f>
        <v/>
      </c>
      <c r="C403" s="40" t="n"/>
      <c r="D403" s="40" t="n"/>
      <c r="E403" s="110" t="n"/>
      <c r="F403" s="110" t="n"/>
      <c r="G403" s="42" t="n"/>
      <c r="H403" s="40" t="n"/>
      <c r="I403" s="40" t="n"/>
      <c r="J403" s="40" t="n"/>
    </row>
    <row r="404">
      <c r="A404" s="47" t="n"/>
      <c r="B404" s="50">
        <f>IFERROR(INDEX(الموظفون_الاسم,MATCH($A404,الموظفون_الرقم,0)),"")</f>
        <v/>
      </c>
      <c r="C404" s="47" t="n"/>
      <c r="D404" s="47" t="n"/>
      <c r="E404" s="112" t="n"/>
      <c r="F404" s="112" t="n"/>
      <c r="G404" s="49" t="n"/>
      <c r="H404" s="47" t="n"/>
      <c r="I404" s="47" t="n"/>
      <c r="J404" s="47" t="n"/>
    </row>
    <row r="405">
      <c r="A405" s="40" t="n"/>
      <c r="B405" s="43">
        <f>IFERROR(INDEX(الموظفون_الاسم,MATCH($A405,الموظفون_الرقم,0)),"")</f>
        <v/>
      </c>
      <c r="C405" s="40" t="n"/>
      <c r="D405" s="40" t="n"/>
      <c r="E405" s="110" t="n"/>
      <c r="F405" s="110" t="n"/>
      <c r="G405" s="42" t="n"/>
      <c r="H405" s="40" t="n"/>
      <c r="I405" s="40" t="n"/>
      <c r="J405" s="40" t="n"/>
    </row>
    <row r="406">
      <c r="A406" s="47" t="n"/>
      <c r="B406" s="50">
        <f>IFERROR(INDEX(الموظفون_الاسم,MATCH($A406,الموظفون_الرقم,0)),"")</f>
        <v/>
      </c>
      <c r="C406" s="47" t="n"/>
      <c r="D406" s="47" t="n"/>
      <c r="E406" s="112" t="n"/>
      <c r="F406" s="112" t="n"/>
      <c r="G406" s="49" t="n"/>
      <c r="H406" s="47" t="n"/>
      <c r="I406" s="47" t="n"/>
      <c r="J406" s="47" t="n"/>
    </row>
    <row r="407">
      <c r="A407" s="40" t="n"/>
      <c r="B407" s="43">
        <f>IFERROR(INDEX(الموظفون_الاسم,MATCH($A407,الموظفون_الرقم,0)),"")</f>
        <v/>
      </c>
      <c r="C407" s="40" t="n"/>
      <c r="D407" s="40" t="n"/>
      <c r="E407" s="110" t="n"/>
      <c r="F407" s="110" t="n"/>
      <c r="G407" s="42" t="n"/>
      <c r="H407" s="40" t="n"/>
      <c r="I407" s="40" t="n"/>
      <c r="J407" s="40" t="n"/>
    </row>
    <row r="408">
      <c r="A408" s="47" t="n"/>
      <c r="B408" s="50">
        <f>IFERROR(INDEX(الموظفون_الاسم,MATCH($A408,الموظفون_الرقم,0)),"")</f>
        <v/>
      </c>
      <c r="C408" s="47" t="n"/>
      <c r="D408" s="47" t="n"/>
      <c r="E408" s="112" t="n"/>
      <c r="F408" s="112" t="n"/>
      <c r="G408" s="49" t="n"/>
      <c r="H408" s="47" t="n"/>
      <c r="I408" s="47" t="n"/>
      <c r="J408" s="47" t="n"/>
    </row>
    <row r="409">
      <c r="A409" s="40" t="n"/>
      <c r="B409" s="43">
        <f>IFERROR(INDEX(الموظفون_الاسم,MATCH($A409,الموظفون_الرقم,0)),"")</f>
        <v/>
      </c>
      <c r="C409" s="40" t="n"/>
      <c r="D409" s="40" t="n"/>
      <c r="E409" s="110" t="n"/>
      <c r="F409" s="110" t="n"/>
      <c r="G409" s="42" t="n"/>
      <c r="H409" s="40" t="n"/>
      <c r="I409" s="40" t="n"/>
      <c r="J409" s="40" t="n"/>
    </row>
    <row r="410">
      <c r="A410" s="47" t="n"/>
      <c r="B410" s="50">
        <f>IFERROR(INDEX(الموظفون_الاسم,MATCH($A410,الموظفون_الرقم,0)),"")</f>
        <v/>
      </c>
      <c r="C410" s="47" t="n"/>
      <c r="D410" s="47" t="n"/>
      <c r="E410" s="112" t="n"/>
      <c r="F410" s="112" t="n"/>
      <c r="G410" s="49" t="n"/>
      <c r="H410" s="47" t="n"/>
      <c r="I410" s="47" t="n"/>
      <c r="J410" s="47" t="n"/>
    </row>
    <row r="411">
      <c r="A411" s="40" t="n"/>
      <c r="B411" s="43">
        <f>IFERROR(INDEX(الموظفون_الاسم,MATCH($A411,الموظفون_الرقم,0)),"")</f>
        <v/>
      </c>
      <c r="C411" s="40" t="n"/>
      <c r="D411" s="40" t="n"/>
      <c r="E411" s="110" t="n"/>
      <c r="F411" s="110" t="n"/>
      <c r="G411" s="42" t="n"/>
      <c r="H411" s="40" t="n"/>
      <c r="I411" s="40" t="n"/>
      <c r="J411" s="40" t="n"/>
    </row>
    <row r="412">
      <c r="A412" s="47" t="n"/>
      <c r="B412" s="50">
        <f>IFERROR(INDEX(الموظفون_الاسم,MATCH($A412,الموظفون_الرقم,0)),"")</f>
        <v/>
      </c>
      <c r="C412" s="47" t="n"/>
      <c r="D412" s="47" t="n"/>
      <c r="E412" s="112" t="n"/>
      <c r="F412" s="112" t="n"/>
      <c r="G412" s="49" t="n"/>
      <c r="H412" s="47" t="n"/>
      <c r="I412" s="47" t="n"/>
      <c r="J412" s="47" t="n"/>
    </row>
    <row r="413">
      <c r="A413" s="40" t="n"/>
      <c r="B413" s="43">
        <f>IFERROR(INDEX(الموظفون_الاسم,MATCH($A413,الموظفون_الرقم,0)),"")</f>
        <v/>
      </c>
      <c r="C413" s="40" t="n"/>
      <c r="D413" s="40" t="n"/>
      <c r="E413" s="110" t="n"/>
      <c r="F413" s="110" t="n"/>
      <c r="G413" s="42" t="n"/>
      <c r="H413" s="40" t="n"/>
      <c r="I413" s="40" t="n"/>
      <c r="J413" s="40" t="n"/>
    </row>
    <row r="414">
      <c r="A414" s="47" t="n"/>
      <c r="B414" s="50">
        <f>IFERROR(INDEX(الموظفون_الاسم,MATCH($A414,الموظفون_الرقم,0)),"")</f>
        <v/>
      </c>
      <c r="C414" s="47" t="n"/>
      <c r="D414" s="47" t="n"/>
      <c r="E414" s="112" t="n"/>
      <c r="F414" s="112" t="n"/>
      <c r="G414" s="49" t="n"/>
      <c r="H414" s="47" t="n"/>
      <c r="I414" s="47" t="n"/>
      <c r="J414" s="47" t="n"/>
    </row>
    <row r="415">
      <c r="A415" s="40" t="n"/>
      <c r="B415" s="43">
        <f>IFERROR(INDEX(الموظفون_الاسم,MATCH($A415,الموظفون_الرقم,0)),"")</f>
        <v/>
      </c>
      <c r="C415" s="40" t="n"/>
      <c r="D415" s="40" t="n"/>
      <c r="E415" s="110" t="n"/>
      <c r="F415" s="110" t="n"/>
      <c r="G415" s="42" t="n"/>
      <c r="H415" s="40" t="n"/>
      <c r="I415" s="40" t="n"/>
      <c r="J415" s="40" t="n"/>
    </row>
    <row r="416">
      <c r="A416" s="47" t="n"/>
      <c r="B416" s="50">
        <f>IFERROR(INDEX(الموظفون_الاسم,MATCH($A416,الموظفون_الرقم,0)),"")</f>
        <v/>
      </c>
      <c r="C416" s="47" t="n"/>
      <c r="D416" s="47" t="n"/>
      <c r="E416" s="112" t="n"/>
      <c r="F416" s="112" t="n"/>
      <c r="G416" s="49" t="n"/>
      <c r="H416" s="47" t="n"/>
      <c r="I416" s="47" t="n"/>
      <c r="J416" s="47" t="n"/>
    </row>
    <row r="417">
      <c r="A417" s="40" t="n"/>
      <c r="B417" s="43">
        <f>IFERROR(INDEX(الموظفون_الاسم,MATCH($A417,الموظفون_الرقم,0)),"")</f>
        <v/>
      </c>
      <c r="C417" s="40" t="n"/>
      <c r="D417" s="40" t="n"/>
      <c r="E417" s="110" t="n"/>
      <c r="F417" s="110" t="n"/>
      <c r="G417" s="42" t="n"/>
      <c r="H417" s="40" t="n"/>
      <c r="I417" s="40" t="n"/>
      <c r="J417" s="40" t="n"/>
    </row>
    <row r="418">
      <c r="A418" s="47" t="n"/>
      <c r="B418" s="50">
        <f>IFERROR(INDEX(الموظفون_الاسم,MATCH($A418,الموظفون_الرقم,0)),"")</f>
        <v/>
      </c>
      <c r="C418" s="47" t="n"/>
      <c r="D418" s="47" t="n"/>
      <c r="E418" s="112" t="n"/>
      <c r="F418" s="112" t="n"/>
      <c r="G418" s="49" t="n"/>
      <c r="H418" s="47" t="n"/>
      <c r="I418" s="47" t="n"/>
      <c r="J418" s="47" t="n"/>
    </row>
    <row r="419">
      <c r="A419" s="40" t="n"/>
      <c r="B419" s="43">
        <f>IFERROR(INDEX(الموظفون_الاسم,MATCH($A419,الموظفون_الرقم,0)),"")</f>
        <v/>
      </c>
      <c r="C419" s="40" t="n"/>
      <c r="D419" s="40" t="n"/>
      <c r="E419" s="110" t="n"/>
      <c r="F419" s="110" t="n"/>
      <c r="G419" s="42" t="n"/>
      <c r="H419" s="40" t="n"/>
      <c r="I419" s="40" t="n"/>
      <c r="J419" s="40" t="n"/>
    </row>
    <row r="420">
      <c r="A420" s="47" t="n"/>
      <c r="B420" s="50">
        <f>IFERROR(INDEX(الموظفون_الاسم,MATCH($A420,الموظفون_الرقم,0)),"")</f>
        <v/>
      </c>
      <c r="C420" s="47" t="n"/>
      <c r="D420" s="47" t="n"/>
      <c r="E420" s="112" t="n"/>
      <c r="F420" s="112" t="n"/>
      <c r="G420" s="49" t="n"/>
      <c r="H420" s="47" t="n"/>
      <c r="I420" s="47" t="n"/>
      <c r="J420" s="47" t="n"/>
    </row>
    <row r="421">
      <c r="A421" s="40" t="n"/>
      <c r="B421" s="43">
        <f>IFERROR(INDEX(الموظفون_الاسم,MATCH($A421,الموظفون_الرقم,0)),"")</f>
        <v/>
      </c>
      <c r="C421" s="40" t="n"/>
      <c r="D421" s="40" t="n"/>
      <c r="E421" s="110" t="n"/>
      <c r="F421" s="110" t="n"/>
      <c r="G421" s="42" t="n"/>
      <c r="H421" s="40" t="n"/>
      <c r="I421" s="40" t="n"/>
      <c r="J421" s="40" t="n"/>
    </row>
    <row r="422">
      <c r="A422" s="47" t="n"/>
      <c r="B422" s="50">
        <f>IFERROR(INDEX(الموظفون_الاسم,MATCH($A422,الموظفون_الرقم,0)),"")</f>
        <v/>
      </c>
      <c r="C422" s="47" t="n"/>
      <c r="D422" s="47" t="n"/>
      <c r="E422" s="112" t="n"/>
      <c r="F422" s="112" t="n"/>
      <c r="G422" s="49" t="n"/>
      <c r="H422" s="47" t="n"/>
      <c r="I422" s="47" t="n"/>
      <c r="J422" s="47" t="n"/>
    </row>
    <row r="423">
      <c r="A423" s="40" t="n"/>
      <c r="B423" s="43">
        <f>IFERROR(INDEX(الموظفون_الاسم,MATCH($A423,الموظفون_الرقم,0)),"")</f>
        <v/>
      </c>
      <c r="C423" s="40" t="n"/>
      <c r="D423" s="40" t="n"/>
      <c r="E423" s="110" t="n"/>
      <c r="F423" s="110" t="n"/>
      <c r="G423" s="42" t="n"/>
      <c r="H423" s="40" t="n"/>
      <c r="I423" s="40" t="n"/>
      <c r="J423" s="40" t="n"/>
    </row>
    <row r="424">
      <c r="A424" s="47" t="n"/>
      <c r="B424" s="50">
        <f>IFERROR(INDEX(الموظفون_الاسم,MATCH($A424,الموظفون_الرقم,0)),"")</f>
        <v/>
      </c>
      <c r="C424" s="47" t="n"/>
      <c r="D424" s="47" t="n"/>
      <c r="E424" s="112" t="n"/>
      <c r="F424" s="112" t="n"/>
      <c r="G424" s="49" t="n"/>
      <c r="H424" s="47" t="n"/>
      <c r="I424" s="47" t="n"/>
      <c r="J424" s="47" t="n"/>
    </row>
    <row r="425">
      <c r="A425" s="40" t="n"/>
      <c r="B425" s="43">
        <f>IFERROR(INDEX(الموظفون_الاسم,MATCH($A425,الموظفون_الرقم,0)),"")</f>
        <v/>
      </c>
      <c r="C425" s="40" t="n"/>
      <c r="D425" s="40" t="n"/>
      <c r="E425" s="110" t="n"/>
      <c r="F425" s="110" t="n"/>
      <c r="G425" s="42" t="n"/>
      <c r="H425" s="40" t="n"/>
      <c r="I425" s="40" t="n"/>
      <c r="J425" s="40" t="n"/>
    </row>
    <row r="426">
      <c r="A426" s="47" t="n"/>
      <c r="B426" s="50">
        <f>IFERROR(INDEX(الموظفون_الاسم,MATCH($A426,الموظفون_الرقم,0)),"")</f>
        <v/>
      </c>
      <c r="C426" s="47" t="n"/>
      <c r="D426" s="47" t="n"/>
      <c r="E426" s="112" t="n"/>
      <c r="F426" s="112" t="n"/>
      <c r="G426" s="49" t="n"/>
      <c r="H426" s="47" t="n"/>
      <c r="I426" s="47" t="n"/>
      <c r="J426" s="47" t="n"/>
    </row>
    <row r="427">
      <c r="A427" s="40" t="n"/>
      <c r="B427" s="43">
        <f>IFERROR(INDEX(الموظفون_الاسم,MATCH($A427,الموظفون_الرقم,0)),"")</f>
        <v/>
      </c>
      <c r="C427" s="40" t="n"/>
      <c r="D427" s="40" t="n"/>
      <c r="E427" s="110" t="n"/>
      <c r="F427" s="110" t="n"/>
      <c r="G427" s="42" t="n"/>
      <c r="H427" s="40" t="n"/>
      <c r="I427" s="40" t="n"/>
      <c r="J427" s="40" t="n"/>
    </row>
    <row r="428">
      <c r="A428" s="47" t="n"/>
      <c r="B428" s="50">
        <f>IFERROR(INDEX(الموظفون_الاسم,MATCH($A428,الموظفون_الرقم,0)),"")</f>
        <v/>
      </c>
      <c r="C428" s="47" t="n"/>
      <c r="D428" s="47" t="n"/>
      <c r="E428" s="112" t="n"/>
      <c r="F428" s="112" t="n"/>
      <c r="G428" s="49" t="n"/>
      <c r="H428" s="47" t="n"/>
      <c r="I428" s="47" t="n"/>
      <c r="J428" s="47" t="n"/>
    </row>
    <row r="429">
      <c r="A429" s="40" t="n"/>
      <c r="B429" s="43">
        <f>IFERROR(INDEX(الموظفون_الاسم,MATCH($A429,الموظفون_الرقم,0)),"")</f>
        <v/>
      </c>
      <c r="C429" s="40" t="n"/>
      <c r="D429" s="40" t="n"/>
      <c r="E429" s="110" t="n"/>
      <c r="F429" s="110" t="n"/>
      <c r="G429" s="42" t="n"/>
      <c r="H429" s="40" t="n"/>
      <c r="I429" s="40" t="n"/>
      <c r="J429" s="40" t="n"/>
    </row>
    <row r="430">
      <c r="A430" s="47" t="n"/>
      <c r="B430" s="50">
        <f>IFERROR(INDEX(الموظفون_الاسم,MATCH($A430,الموظفون_الرقم,0)),"")</f>
        <v/>
      </c>
      <c r="C430" s="47" t="n"/>
      <c r="D430" s="47" t="n"/>
      <c r="E430" s="112" t="n"/>
      <c r="F430" s="112" t="n"/>
      <c r="G430" s="49" t="n"/>
      <c r="H430" s="47" t="n"/>
      <c r="I430" s="47" t="n"/>
      <c r="J430" s="47" t="n"/>
    </row>
    <row r="431">
      <c r="A431" s="40" t="n"/>
      <c r="B431" s="43">
        <f>IFERROR(INDEX(الموظفون_الاسم,MATCH($A431,الموظفون_الرقم,0)),"")</f>
        <v/>
      </c>
      <c r="C431" s="40" t="n"/>
      <c r="D431" s="40" t="n"/>
      <c r="E431" s="110" t="n"/>
      <c r="F431" s="110" t="n"/>
      <c r="G431" s="42" t="n"/>
      <c r="H431" s="40" t="n"/>
      <c r="I431" s="40" t="n"/>
      <c r="J431" s="40" t="n"/>
    </row>
    <row r="432">
      <c r="A432" s="47" t="n"/>
      <c r="B432" s="50">
        <f>IFERROR(INDEX(الموظفون_الاسم,MATCH($A432,الموظفون_الرقم,0)),"")</f>
        <v/>
      </c>
      <c r="C432" s="47" t="n"/>
      <c r="D432" s="47" t="n"/>
      <c r="E432" s="112" t="n"/>
      <c r="F432" s="112" t="n"/>
      <c r="G432" s="49" t="n"/>
      <c r="H432" s="47" t="n"/>
      <c r="I432" s="47" t="n"/>
      <c r="J432" s="47" t="n"/>
    </row>
    <row r="433">
      <c r="A433" s="40" t="n"/>
      <c r="B433" s="43">
        <f>IFERROR(INDEX(الموظفون_الاسم,MATCH($A433,الموظفون_الرقم,0)),"")</f>
        <v/>
      </c>
      <c r="C433" s="40" t="n"/>
      <c r="D433" s="40" t="n"/>
      <c r="E433" s="110" t="n"/>
      <c r="F433" s="110" t="n"/>
      <c r="G433" s="42" t="n"/>
      <c r="H433" s="40" t="n"/>
      <c r="I433" s="40" t="n"/>
      <c r="J433" s="40" t="n"/>
    </row>
    <row r="434">
      <c r="A434" s="47" t="n"/>
      <c r="B434" s="50">
        <f>IFERROR(INDEX(الموظفون_الاسم,MATCH($A434,الموظفون_الرقم,0)),"")</f>
        <v/>
      </c>
      <c r="C434" s="47" t="n"/>
      <c r="D434" s="47" t="n"/>
      <c r="E434" s="112" t="n"/>
      <c r="F434" s="112" t="n"/>
      <c r="G434" s="49" t="n"/>
      <c r="H434" s="47" t="n"/>
      <c r="I434" s="47" t="n"/>
      <c r="J434" s="47" t="n"/>
    </row>
    <row r="435">
      <c r="A435" s="40" t="n"/>
      <c r="B435" s="43">
        <f>IFERROR(INDEX(الموظفون_الاسم,MATCH($A435,الموظفون_الرقم,0)),"")</f>
        <v/>
      </c>
      <c r="C435" s="40" t="n"/>
      <c r="D435" s="40" t="n"/>
      <c r="E435" s="110" t="n"/>
      <c r="F435" s="110" t="n"/>
      <c r="G435" s="42" t="n"/>
      <c r="H435" s="40" t="n"/>
      <c r="I435" s="40" t="n"/>
      <c r="J435" s="40" t="n"/>
    </row>
    <row r="436">
      <c r="A436" s="47" t="n"/>
      <c r="B436" s="50">
        <f>IFERROR(INDEX(الموظفون_الاسم,MATCH($A436,الموظفون_الرقم,0)),"")</f>
        <v/>
      </c>
      <c r="C436" s="47" t="n"/>
      <c r="D436" s="47" t="n"/>
      <c r="E436" s="112" t="n"/>
      <c r="F436" s="112" t="n"/>
      <c r="G436" s="49" t="n"/>
      <c r="H436" s="47" t="n"/>
      <c r="I436" s="47" t="n"/>
      <c r="J436" s="47" t="n"/>
    </row>
    <row r="437">
      <c r="A437" s="40" t="n"/>
      <c r="B437" s="43">
        <f>IFERROR(INDEX(الموظفون_الاسم,MATCH($A437,الموظفون_الرقم,0)),"")</f>
        <v/>
      </c>
      <c r="C437" s="40" t="n"/>
      <c r="D437" s="40" t="n"/>
      <c r="E437" s="110" t="n"/>
      <c r="F437" s="110" t="n"/>
      <c r="G437" s="42" t="n"/>
      <c r="H437" s="40" t="n"/>
      <c r="I437" s="40" t="n"/>
      <c r="J437" s="40" t="n"/>
    </row>
    <row r="438">
      <c r="A438" s="47" t="n"/>
      <c r="B438" s="50">
        <f>IFERROR(INDEX(الموظفون_الاسم,MATCH($A438,الموظفون_الرقم,0)),"")</f>
        <v/>
      </c>
      <c r="C438" s="47" t="n"/>
      <c r="D438" s="47" t="n"/>
      <c r="E438" s="112" t="n"/>
      <c r="F438" s="112" t="n"/>
      <c r="G438" s="49" t="n"/>
      <c r="H438" s="47" t="n"/>
      <c r="I438" s="47" t="n"/>
      <c r="J438" s="47" t="n"/>
    </row>
    <row r="439">
      <c r="A439" s="40" t="n"/>
      <c r="B439" s="43">
        <f>IFERROR(INDEX(الموظفون_الاسم,MATCH($A439,الموظفون_الرقم,0)),"")</f>
        <v/>
      </c>
      <c r="C439" s="40" t="n"/>
      <c r="D439" s="40" t="n"/>
      <c r="E439" s="110" t="n"/>
      <c r="F439" s="110" t="n"/>
      <c r="G439" s="42" t="n"/>
      <c r="H439" s="40" t="n"/>
      <c r="I439" s="40" t="n"/>
      <c r="J439" s="40" t="n"/>
    </row>
    <row r="440">
      <c r="A440" s="47" t="n"/>
      <c r="B440" s="50">
        <f>IFERROR(INDEX(الموظفون_الاسم,MATCH($A440,الموظفون_الرقم,0)),"")</f>
        <v/>
      </c>
      <c r="C440" s="47" t="n"/>
      <c r="D440" s="47" t="n"/>
      <c r="E440" s="112" t="n"/>
      <c r="F440" s="112" t="n"/>
      <c r="G440" s="49" t="n"/>
      <c r="H440" s="47" t="n"/>
      <c r="I440" s="47" t="n"/>
      <c r="J440" s="47" t="n"/>
    </row>
    <row r="441">
      <c r="A441" s="40" t="n"/>
      <c r="B441" s="43">
        <f>IFERROR(INDEX(الموظفون_الاسم,MATCH($A441,الموظفون_الرقم,0)),"")</f>
        <v/>
      </c>
      <c r="C441" s="40" t="n"/>
      <c r="D441" s="40" t="n"/>
      <c r="E441" s="110" t="n"/>
      <c r="F441" s="110" t="n"/>
      <c r="G441" s="42" t="n"/>
      <c r="H441" s="40" t="n"/>
      <c r="I441" s="40" t="n"/>
      <c r="J441" s="40" t="n"/>
    </row>
    <row r="442">
      <c r="A442" s="47" t="n"/>
      <c r="B442" s="50">
        <f>IFERROR(INDEX(الموظفون_الاسم,MATCH($A442,الموظفون_الرقم,0)),"")</f>
        <v/>
      </c>
      <c r="C442" s="47" t="n"/>
      <c r="D442" s="47" t="n"/>
      <c r="E442" s="112" t="n"/>
      <c r="F442" s="112" t="n"/>
      <c r="G442" s="49" t="n"/>
      <c r="H442" s="47" t="n"/>
      <c r="I442" s="47" t="n"/>
      <c r="J442" s="47" t="n"/>
    </row>
    <row r="443">
      <c r="A443" s="40" t="n"/>
      <c r="B443" s="43">
        <f>IFERROR(INDEX(الموظفون_الاسم,MATCH($A443,الموظفون_الرقم,0)),"")</f>
        <v/>
      </c>
      <c r="C443" s="40" t="n"/>
      <c r="D443" s="40" t="n"/>
      <c r="E443" s="110" t="n"/>
      <c r="F443" s="110" t="n"/>
      <c r="G443" s="42" t="n"/>
      <c r="H443" s="40" t="n"/>
      <c r="I443" s="40" t="n"/>
      <c r="J443" s="40" t="n"/>
    </row>
    <row r="444">
      <c r="A444" s="47" t="n"/>
      <c r="B444" s="50">
        <f>IFERROR(INDEX(الموظفون_الاسم,MATCH($A444,الموظفون_الرقم,0)),"")</f>
        <v/>
      </c>
      <c r="C444" s="47" t="n"/>
      <c r="D444" s="47" t="n"/>
      <c r="E444" s="112" t="n"/>
      <c r="F444" s="112" t="n"/>
      <c r="G444" s="49" t="n"/>
      <c r="H444" s="47" t="n"/>
      <c r="I444" s="47" t="n"/>
      <c r="J444" s="47" t="n"/>
    </row>
    <row r="445">
      <c r="A445" s="40" t="n"/>
      <c r="B445" s="43">
        <f>IFERROR(INDEX(الموظفون_الاسم,MATCH($A445,الموظفون_الرقم,0)),"")</f>
        <v/>
      </c>
      <c r="C445" s="40" t="n"/>
      <c r="D445" s="40" t="n"/>
      <c r="E445" s="110" t="n"/>
      <c r="F445" s="110" t="n"/>
      <c r="G445" s="42" t="n"/>
      <c r="H445" s="40" t="n"/>
      <c r="I445" s="40" t="n"/>
      <c r="J445" s="40" t="n"/>
    </row>
    <row r="446">
      <c r="A446" s="47" t="n"/>
      <c r="B446" s="50">
        <f>IFERROR(INDEX(الموظفون_الاسم,MATCH($A446,الموظفون_الرقم,0)),"")</f>
        <v/>
      </c>
      <c r="C446" s="47" t="n"/>
      <c r="D446" s="47" t="n"/>
      <c r="E446" s="112" t="n"/>
      <c r="F446" s="112" t="n"/>
      <c r="G446" s="49" t="n"/>
      <c r="H446" s="47" t="n"/>
      <c r="I446" s="47" t="n"/>
      <c r="J446" s="47" t="n"/>
    </row>
    <row r="447">
      <c r="A447" s="40" t="n"/>
      <c r="B447" s="43">
        <f>IFERROR(INDEX(الموظفون_الاسم,MATCH($A447,الموظفون_الرقم,0)),"")</f>
        <v/>
      </c>
      <c r="C447" s="40" t="n"/>
      <c r="D447" s="40" t="n"/>
      <c r="E447" s="110" t="n"/>
      <c r="F447" s="110" t="n"/>
      <c r="G447" s="42" t="n"/>
      <c r="H447" s="40" t="n"/>
      <c r="I447" s="40" t="n"/>
      <c r="J447" s="40" t="n"/>
    </row>
    <row r="448">
      <c r="A448" s="47" t="n"/>
      <c r="B448" s="50">
        <f>IFERROR(INDEX(الموظفون_الاسم,MATCH($A448,الموظفون_الرقم,0)),"")</f>
        <v/>
      </c>
      <c r="C448" s="47" t="n"/>
      <c r="D448" s="47" t="n"/>
      <c r="E448" s="112" t="n"/>
      <c r="F448" s="112" t="n"/>
      <c r="G448" s="49" t="n"/>
      <c r="H448" s="47" t="n"/>
      <c r="I448" s="47" t="n"/>
      <c r="J448" s="47" t="n"/>
    </row>
    <row r="449">
      <c r="A449" s="40" t="n"/>
      <c r="B449" s="43">
        <f>IFERROR(INDEX(الموظفون_الاسم,MATCH($A449,الموظفون_الرقم,0)),"")</f>
        <v/>
      </c>
      <c r="C449" s="40" t="n"/>
      <c r="D449" s="40" t="n"/>
      <c r="E449" s="110" t="n"/>
      <c r="F449" s="110" t="n"/>
      <c r="G449" s="42" t="n"/>
      <c r="H449" s="40" t="n"/>
      <c r="I449" s="40" t="n"/>
      <c r="J449" s="40" t="n"/>
    </row>
    <row r="450">
      <c r="A450" s="47" t="n"/>
      <c r="B450" s="50">
        <f>IFERROR(INDEX(الموظفون_الاسم,MATCH($A450,الموظفون_الرقم,0)),"")</f>
        <v/>
      </c>
      <c r="C450" s="47" t="n"/>
      <c r="D450" s="47" t="n"/>
      <c r="E450" s="112" t="n"/>
      <c r="F450" s="112" t="n"/>
      <c r="G450" s="49" t="n"/>
      <c r="H450" s="47" t="n"/>
      <c r="I450" s="47" t="n"/>
      <c r="J450" s="47" t="n"/>
    </row>
    <row r="451">
      <c r="A451" s="40" t="n"/>
      <c r="B451" s="43">
        <f>IFERROR(INDEX(الموظفون_الاسم,MATCH($A451,الموظفون_الرقم,0)),"")</f>
        <v/>
      </c>
      <c r="C451" s="40" t="n"/>
      <c r="D451" s="40" t="n"/>
      <c r="E451" s="110" t="n"/>
      <c r="F451" s="110" t="n"/>
      <c r="G451" s="42" t="n"/>
      <c r="H451" s="40" t="n"/>
      <c r="I451" s="40" t="n"/>
      <c r="J451" s="40" t="n"/>
    </row>
    <row r="452">
      <c r="A452" s="47" t="n"/>
      <c r="B452" s="50">
        <f>IFERROR(INDEX(الموظفون_الاسم,MATCH($A452,الموظفون_الرقم,0)),"")</f>
        <v/>
      </c>
      <c r="C452" s="47" t="n"/>
      <c r="D452" s="47" t="n"/>
      <c r="E452" s="112" t="n"/>
      <c r="F452" s="112" t="n"/>
      <c r="G452" s="49" t="n"/>
      <c r="H452" s="47" t="n"/>
      <c r="I452" s="47" t="n"/>
      <c r="J452" s="47" t="n"/>
    </row>
    <row r="453">
      <c r="A453" s="40" t="n"/>
      <c r="B453" s="43">
        <f>IFERROR(INDEX(الموظفون_الاسم,MATCH($A453,الموظفون_الرقم,0)),"")</f>
        <v/>
      </c>
      <c r="C453" s="40" t="n"/>
      <c r="D453" s="40" t="n"/>
      <c r="E453" s="110" t="n"/>
      <c r="F453" s="110" t="n"/>
      <c r="G453" s="42" t="n"/>
      <c r="H453" s="40" t="n"/>
      <c r="I453" s="40" t="n"/>
      <c r="J453" s="40" t="n"/>
    </row>
    <row r="454">
      <c r="A454" s="47" t="n"/>
      <c r="B454" s="50">
        <f>IFERROR(INDEX(الموظفون_الاسم,MATCH($A454,الموظفون_الرقم,0)),"")</f>
        <v/>
      </c>
      <c r="C454" s="47" t="n"/>
      <c r="D454" s="47" t="n"/>
      <c r="E454" s="112" t="n"/>
      <c r="F454" s="112" t="n"/>
      <c r="G454" s="49" t="n"/>
      <c r="H454" s="47" t="n"/>
      <c r="I454" s="47" t="n"/>
      <c r="J454" s="47" t="n"/>
    </row>
    <row r="455">
      <c r="A455" s="40" t="n"/>
      <c r="B455" s="43">
        <f>IFERROR(INDEX(الموظفون_الاسم,MATCH($A455,الموظفون_الرقم,0)),"")</f>
        <v/>
      </c>
      <c r="C455" s="40" t="n"/>
      <c r="D455" s="40" t="n"/>
      <c r="E455" s="110" t="n"/>
      <c r="F455" s="110" t="n"/>
      <c r="G455" s="42" t="n"/>
      <c r="H455" s="40" t="n"/>
      <c r="I455" s="40" t="n"/>
      <c r="J455" s="40" t="n"/>
    </row>
    <row r="456">
      <c r="A456" s="47" t="n"/>
      <c r="B456" s="50">
        <f>IFERROR(INDEX(الموظفون_الاسم,MATCH($A456,الموظفون_الرقم,0)),"")</f>
        <v/>
      </c>
      <c r="C456" s="47" t="n"/>
      <c r="D456" s="47" t="n"/>
      <c r="E456" s="112" t="n"/>
      <c r="F456" s="112" t="n"/>
      <c r="G456" s="49" t="n"/>
      <c r="H456" s="47" t="n"/>
      <c r="I456" s="47" t="n"/>
      <c r="J456" s="47" t="n"/>
    </row>
    <row r="457">
      <c r="A457" s="40" t="n"/>
      <c r="B457" s="43">
        <f>IFERROR(INDEX(الموظفون_الاسم,MATCH($A457,الموظفون_الرقم,0)),"")</f>
        <v/>
      </c>
      <c r="C457" s="40" t="n"/>
      <c r="D457" s="40" t="n"/>
      <c r="E457" s="110" t="n"/>
      <c r="F457" s="110" t="n"/>
      <c r="G457" s="42" t="n"/>
      <c r="H457" s="40" t="n"/>
      <c r="I457" s="40" t="n"/>
      <c r="J457" s="40" t="n"/>
    </row>
    <row r="458">
      <c r="A458" s="47" t="n"/>
      <c r="B458" s="50">
        <f>IFERROR(INDEX(الموظفون_الاسم,MATCH($A458,الموظفون_الرقم,0)),"")</f>
        <v/>
      </c>
      <c r="C458" s="47" t="n"/>
      <c r="D458" s="47" t="n"/>
      <c r="E458" s="112" t="n"/>
      <c r="F458" s="112" t="n"/>
      <c r="G458" s="49" t="n"/>
      <c r="H458" s="47" t="n"/>
      <c r="I458" s="47" t="n"/>
      <c r="J458" s="47" t="n"/>
    </row>
    <row r="459">
      <c r="A459" s="40" t="n"/>
      <c r="B459" s="43">
        <f>IFERROR(INDEX(الموظفون_الاسم,MATCH($A459,الموظفون_الرقم,0)),"")</f>
        <v/>
      </c>
      <c r="C459" s="40" t="n"/>
      <c r="D459" s="40" t="n"/>
      <c r="E459" s="110" t="n"/>
      <c r="F459" s="110" t="n"/>
      <c r="G459" s="42" t="n"/>
      <c r="H459" s="40" t="n"/>
      <c r="I459" s="40" t="n"/>
      <c r="J459" s="40" t="n"/>
    </row>
    <row r="460">
      <c r="A460" s="47" t="n"/>
      <c r="B460" s="50">
        <f>IFERROR(INDEX(الموظفون_الاسم,MATCH($A460,الموظفون_الرقم,0)),"")</f>
        <v/>
      </c>
      <c r="C460" s="47" t="n"/>
      <c r="D460" s="47" t="n"/>
      <c r="E460" s="112" t="n"/>
      <c r="F460" s="112" t="n"/>
      <c r="G460" s="49" t="n"/>
      <c r="H460" s="47" t="n"/>
      <c r="I460" s="47" t="n"/>
      <c r="J460" s="47" t="n"/>
    </row>
    <row r="461">
      <c r="A461" s="40" t="n"/>
      <c r="B461" s="43">
        <f>IFERROR(INDEX(الموظفون_الاسم,MATCH($A461,الموظفون_الرقم,0)),"")</f>
        <v/>
      </c>
      <c r="C461" s="40" t="n"/>
      <c r="D461" s="40" t="n"/>
      <c r="E461" s="110" t="n"/>
      <c r="F461" s="110" t="n"/>
      <c r="G461" s="42" t="n"/>
      <c r="H461" s="40" t="n"/>
      <c r="I461" s="40" t="n"/>
      <c r="J461" s="40" t="n"/>
    </row>
    <row r="462">
      <c r="A462" s="47" t="n"/>
      <c r="B462" s="50">
        <f>IFERROR(INDEX(الموظفون_الاسم,MATCH($A462,الموظفون_الرقم,0)),"")</f>
        <v/>
      </c>
      <c r="C462" s="47" t="n"/>
      <c r="D462" s="47" t="n"/>
      <c r="E462" s="112" t="n"/>
      <c r="F462" s="112" t="n"/>
      <c r="G462" s="49" t="n"/>
      <c r="H462" s="47" t="n"/>
      <c r="I462" s="47" t="n"/>
      <c r="J462" s="47" t="n"/>
    </row>
    <row r="463">
      <c r="A463" s="40" t="n"/>
      <c r="B463" s="43">
        <f>IFERROR(INDEX(الموظفون_الاسم,MATCH($A463,الموظفون_الرقم,0)),"")</f>
        <v/>
      </c>
      <c r="C463" s="40" t="n"/>
      <c r="D463" s="40" t="n"/>
      <c r="E463" s="110" t="n"/>
      <c r="F463" s="110" t="n"/>
      <c r="G463" s="42" t="n"/>
      <c r="H463" s="40" t="n"/>
      <c r="I463" s="40" t="n"/>
      <c r="J463" s="40" t="n"/>
    </row>
    <row r="464">
      <c r="A464" s="47" t="n"/>
      <c r="B464" s="50">
        <f>IFERROR(INDEX(الموظفون_الاسم,MATCH($A464,الموظفون_الرقم,0)),"")</f>
        <v/>
      </c>
      <c r="C464" s="47" t="n"/>
      <c r="D464" s="47" t="n"/>
      <c r="E464" s="112" t="n"/>
      <c r="F464" s="112" t="n"/>
      <c r="G464" s="49" t="n"/>
      <c r="H464" s="47" t="n"/>
      <c r="I464" s="47" t="n"/>
      <c r="J464" s="47" t="n"/>
    </row>
    <row r="465">
      <c r="A465" s="40" t="n"/>
      <c r="B465" s="43">
        <f>IFERROR(INDEX(الموظفون_الاسم,MATCH($A465,الموظفون_الرقم,0)),"")</f>
        <v/>
      </c>
      <c r="C465" s="40" t="n"/>
      <c r="D465" s="40" t="n"/>
      <c r="E465" s="110" t="n"/>
      <c r="F465" s="110" t="n"/>
      <c r="G465" s="42" t="n"/>
      <c r="H465" s="40" t="n"/>
      <c r="I465" s="40" t="n"/>
      <c r="J465" s="40" t="n"/>
    </row>
    <row r="466">
      <c r="A466" s="47" t="n"/>
      <c r="B466" s="50">
        <f>IFERROR(INDEX(الموظفون_الاسم,MATCH($A466,الموظفون_الرقم,0)),"")</f>
        <v/>
      </c>
      <c r="C466" s="47" t="n"/>
      <c r="D466" s="47" t="n"/>
      <c r="E466" s="112" t="n"/>
      <c r="F466" s="112" t="n"/>
      <c r="G466" s="49" t="n"/>
      <c r="H466" s="47" t="n"/>
      <c r="I466" s="47" t="n"/>
      <c r="J466" s="47" t="n"/>
    </row>
    <row r="467">
      <c r="A467" s="40" t="n"/>
      <c r="B467" s="43">
        <f>IFERROR(INDEX(الموظفون_الاسم,MATCH($A467,الموظفون_الرقم,0)),"")</f>
        <v/>
      </c>
      <c r="C467" s="40" t="n"/>
      <c r="D467" s="40" t="n"/>
      <c r="E467" s="110" t="n"/>
      <c r="F467" s="110" t="n"/>
      <c r="G467" s="42" t="n"/>
      <c r="H467" s="40" t="n"/>
      <c r="I467" s="40" t="n"/>
      <c r="J467" s="40" t="n"/>
    </row>
    <row r="468">
      <c r="A468" s="47" t="n"/>
      <c r="B468" s="50">
        <f>IFERROR(INDEX(الموظفون_الاسم,MATCH($A468,الموظفون_الرقم,0)),"")</f>
        <v/>
      </c>
      <c r="C468" s="47" t="n"/>
      <c r="D468" s="47" t="n"/>
      <c r="E468" s="112" t="n"/>
      <c r="F468" s="112" t="n"/>
      <c r="G468" s="49" t="n"/>
      <c r="H468" s="47" t="n"/>
      <c r="I468" s="47" t="n"/>
      <c r="J468" s="47" t="n"/>
    </row>
    <row r="469">
      <c r="A469" s="40" t="n"/>
      <c r="B469" s="43">
        <f>IFERROR(INDEX(الموظفون_الاسم,MATCH($A469,الموظفون_الرقم,0)),"")</f>
        <v/>
      </c>
      <c r="C469" s="40" t="n"/>
      <c r="D469" s="40" t="n"/>
      <c r="E469" s="110" t="n"/>
      <c r="F469" s="110" t="n"/>
      <c r="G469" s="42" t="n"/>
      <c r="H469" s="40" t="n"/>
      <c r="I469" s="40" t="n"/>
      <c r="J469" s="40" t="n"/>
    </row>
    <row r="470">
      <c r="A470" s="47" t="n"/>
      <c r="B470" s="50">
        <f>IFERROR(INDEX(الموظفون_الاسم,MATCH($A470,الموظفون_الرقم,0)),"")</f>
        <v/>
      </c>
      <c r="C470" s="47" t="n"/>
      <c r="D470" s="47" t="n"/>
      <c r="E470" s="112" t="n"/>
      <c r="F470" s="112" t="n"/>
      <c r="G470" s="49" t="n"/>
      <c r="H470" s="47" t="n"/>
      <c r="I470" s="47" t="n"/>
      <c r="J470" s="47" t="n"/>
    </row>
    <row r="471">
      <c r="A471" s="40" t="n"/>
      <c r="B471" s="43">
        <f>IFERROR(INDEX(الموظفون_الاسم,MATCH($A471,الموظفون_الرقم,0)),"")</f>
        <v/>
      </c>
      <c r="C471" s="40" t="n"/>
      <c r="D471" s="40" t="n"/>
      <c r="E471" s="110" t="n"/>
      <c r="F471" s="110" t="n"/>
      <c r="G471" s="42" t="n"/>
      <c r="H471" s="40" t="n"/>
      <c r="I471" s="40" t="n"/>
      <c r="J471" s="40" t="n"/>
    </row>
    <row r="472">
      <c r="A472" s="47" t="n"/>
      <c r="B472" s="50">
        <f>IFERROR(INDEX(الموظفون_الاسم,MATCH($A472,الموظفون_الرقم,0)),"")</f>
        <v/>
      </c>
      <c r="C472" s="47" t="n"/>
      <c r="D472" s="47" t="n"/>
      <c r="E472" s="112" t="n"/>
      <c r="F472" s="112" t="n"/>
      <c r="G472" s="49" t="n"/>
      <c r="H472" s="47" t="n"/>
      <c r="I472" s="47" t="n"/>
      <c r="J472" s="47" t="n"/>
    </row>
    <row r="473">
      <c r="A473" s="40" t="n"/>
      <c r="B473" s="43">
        <f>IFERROR(INDEX(الموظفون_الاسم,MATCH($A473,الموظفون_الرقم,0)),"")</f>
        <v/>
      </c>
      <c r="C473" s="40" t="n"/>
      <c r="D473" s="40" t="n"/>
      <c r="E473" s="110" t="n"/>
      <c r="F473" s="110" t="n"/>
      <c r="G473" s="42" t="n"/>
      <c r="H473" s="40" t="n"/>
      <c r="I473" s="40" t="n"/>
      <c r="J473" s="40" t="n"/>
    </row>
    <row r="474">
      <c r="A474" s="47" t="n"/>
      <c r="B474" s="50">
        <f>IFERROR(INDEX(الموظفون_الاسم,MATCH($A474,الموظفون_الرقم,0)),"")</f>
        <v/>
      </c>
      <c r="C474" s="47" t="n"/>
      <c r="D474" s="47" t="n"/>
      <c r="E474" s="112" t="n"/>
      <c r="F474" s="112" t="n"/>
      <c r="G474" s="49" t="n"/>
      <c r="H474" s="47" t="n"/>
      <c r="I474" s="47" t="n"/>
      <c r="J474" s="47" t="n"/>
    </row>
    <row r="475">
      <c r="A475" s="40" t="n"/>
      <c r="B475" s="43">
        <f>IFERROR(INDEX(الموظفون_الاسم,MATCH($A475,الموظفون_الرقم,0)),"")</f>
        <v/>
      </c>
      <c r="C475" s="40" t="n"/>
      <c r="D475" s="40" t="n"/>
      <c r="E475" s="110" t="n"/>
      <c r="F475" s="110" t="n"/>
      <c r="G475" s="42" t="n"/>
      <c r="H475" s="40" t="n"/>
      <c r="I475" s="40" t="n"/>
      <c r="J475" s="40" t="n"/>
    </row>
    <row r="476">
      <c r="A476" s="47" t="n"/>
      <c r="B476" s="50">
        <f>IFERROR(INDEX(الموظفون_الاسم,MATCH($A476,الموظفون_الرقم,0)),"")</f>
        <v/>
      </c>
      <c r="C476" s="47" t="n"/>
      <c r="D476" s="47" t="n"/>
      <c r="E476" s="112" t="n"/>
      <c r="F476" s="112" t="n"/>
      <c r="G476" s="49" t="n"/>
      <c r="H476" s="47" t="n"/>
      <c r="I476" s="47" t="n"/>
      <c r="J476" s="47" t="n"/>
    </row>
    <row r="477">
      <c r="A477" s="40" t="n"/>
      <c r="B477" s="43">
        <f>IFERROR(INDEX(الموظفون_الاسم,MATCH($A477,الموظفون_الرقم,0)),"")</f>
        <v/>
      </c>
      <c r="C477" s="40" t="n"/>
      <c r="D477" s="40" t="n"/>
      <c r="E477" s="110" t="n"/>
      <c r="F477" s="110" t="n"/>
      <c r="G477" s="42" t="n"/>
      <c r="H477" s="40" t="n"/>
      <c r="I477" s="40" t="n"/>
      <c r="J477" s="40" t="n"/>
    </row>
    <row r="478">
      <c r="A478" s="47" t="n"/>
      <c r="B478" s="50">
        <f>IFERROR(INDEX(الموظفون_الاسم,MATCH($A478,الموظفون_الرقم,0)),"")</f>
        <v/>
      </c>
      <c r="C478" s="47" t="n"/>
      <c r="D478" s="47" t="n"/>
      <c r="E478" s="112" t="n"/>
      <c r="F478" s="112" t="n"/>
      <c r="G478" s="49" t="n"/>
      <c r="H478" s="47" t="n"/>
      <c r="I478" s="47" t="n"/>
      <c r="J478" s="47" t="n"/>
    </row>
    <row r="479">
      <c r="A479" s="40" t="n"/>
      <c r="B479" s="43">
        <f>IFERROR(INDEX(الموظفون_الاسم,MATCH($A479,الموظفون_الرقم,0)),"")</f>
        <v/>
      </c>
      <c r="C479" s="40" t="n"/>
      <c r="D479" s="40" t="n"/>
      <c r="E479" s="110" t="n"/>
      <c r="F479" s="110" t="n"/>
      <c r="G479" s="42" t="n"/>
      <c r="H479" s="40" t="n"/>
      <c r="I479" s="40" t="n"/>
      <c r="J479" s="40" t="n"/>
    </row>
    <row r="480">
      <c r="A480" s="47" t="n"/>
      <c r="B480" s="50">
        <f>IFERROR(INDEX(الموظفون_الاسم,MATCH($A480,الموظفون_الرقم,0)),"")</f>
        <v/>
      </c>
      <c r="C480" s="47" t="n"/>
      <c r="D480" s="47" t="n"/>
      <c r="E480" s="112" t="n"/>
      <c r="F480" s="112" t="n"/>
      <c r="G480" s="49" t="n"/>
      <c r="H480" s="47" t="n"/>
      <c r="I480" s="47" t="n"/>
      <c r="J480" s="47" t="n"/>
    </row>
    <row r="481">
      <c r="A481" s="40" t="n"/>
      <c r="B481" s="43">
        <f>IFERROR(INDEX(الموظفون_الاسم,MATCH($A481,الموظفون_الرقم,0)),"")</f>
        <v/>
      </c>
      <c r="C481" s="40" t="n"/>
      <c r="D481" s="40" t="n"/>
      <c r="E481" s="110" t="n"/>
      <c r="F481" s="110" t="n"/>
      <c r="G481" s="42" t="n"/>
      <c r="H481" s="40" t="n"/>
      <c r="I481" s="40" t="n"/>
      <c r="J481" s="40" t="n"/>
    </row>
    <row r="482">
      <c r="A482" s="47" t="n"/>
      <c r="B482" s="50">
        <f>IFERROR(INDEX(الموظفون_الاسم,MATCH($A482,الموظفون_الرقم,0)),"")</f>
        <v/>
      </c>
      <c r="C482" s="47" t="n"/>
      <c r="D482" s="47" t="n"/>
      <c r="E482" s="112" t="n"/>
      <c r="F482" s="112" t="n"/>
      <c r="G482" s="49" t="n"/>
      <c r="H482" s="47" t="n"/>
      <c r="I482" s="47" t="n"/>
      <c r="J482" s="47" t="n"/>
    </row>
    <row r="483">
      <c r="A483" s="40" t="n"/>
      <c r="B483" s="43">
        <f>IFERROR(INDEX(الموظفون_الاسم,MATCH($A483,الموظفون_الرقم,0)),"")</f>
        <v/>
      </c>
      <c r="C483" s="40" t="n"/>
      <c r="D483" s="40" t="n"/>
      <c r="E483" s="110" t="n"/>
      <c r="F483" s="110" t="n"/>
      <c r="G483" s="42" t="n"/>
      <c r="H483" s="40" t="n"/>
      <c r="I483" s="40" t="n"/>
      <c r="J483" s="40" t="n"/>
    </row>
    <row r="484">
      <c r="A484" s="47" t="n"/>
      <c r="B484" s="50">
        <f>IFERROR(INDEX(الموظفون_الاسم,MATCH($A484,الموظفون_الرقم,0)),"")</f>
        <v/>
      </c>
      <c r="C484" s="47" t="n"/>
      <c r="D484" s="47" t="n"/>
      <c r="E484" s="112" t="n"/>
      <c r="F484" s="112" t="n"/>
      <c r="G484" s="49" t="n"/>
      <c r="H484" s="47" t="n"/>
      <c r="I484" s="47" t="n"/>
      <c r="J484" s="47" t="n"/>
    </row>
    <row r="485">
      <c r="A485" s="40" t="n"/>
      <c r="B485" s="43">
        <f>IFERROR(INDEX(الموظفون_الاسم,MATCH($A485,الموظفون_الرقم,0)),"")</f>
        <v/>
      </c>
      <c r="C485" s="40" t="n"/>
      <c r="D485" s="40" t="n"/>
      <c r="E485" s="110" t="n"/>
      <c r="F485" s="110" t="n"/>
      <c r="G485" s="42" t="n"/>
      <c r="H485" s="40" t="n"/>
      <c r="I485" s="40" t="n"/>
      <c r="J485" s="40" t="n"/>
    </row>
    <row r="486">
      <c r="A486" s="47" t="n"/>
      <c r="B486" s="50">
        <f>IFERROR(INDEX(الموظفون_الاسم,MATCH($A486,الموظفون_الرقم,0)),"")</f>
        <v/>
      </c>
      <c r="C486" s="47" t="n"/>
      <c r="D486" s="47" t="n"/>
      <c r="E486" s="112" t="n"/>
      <c r="F486" s="112" t="n"/>
      <c r="G486" s="49" t="n"/>
      <c r="H486" s="47" t="n"/>
      <c r="I486" s="47" t="n"/>
      <c r="J486" s="47" t="n"/>
    </row>
    <row r="487">
      <c r="A487" s="40" t="n"/>
      <c r="B487" s="43">
        <f>IFERROR(INDEX(الموظفون_الاسم,MATCH($A487,الموظفون_الرقم,0)),"")</f>
        <v/>
      </c>
      <c r="C487" s="40" t="n"/>
      <c r="D487" s="40" t="n"/>
      <c r="E487" s="110" t="n"/>
      <c r="F487" s="110" t="n"/>
      <c r="G487" s="42" t="n"/>
      <c r="H487" s="40" t="n"/>
      <c r="I487" s="40" t="n"/>
      <c r="J487" s="40" t="n"/>
    </row>
    <row r="488">
      <c r="A488" s="47" t="n"/>
      <c r="B488" s="50">
        <f>IFERROR(INDEX(الموظفون_الاسم,MATCH($A488,الموظفون_الرقم,0)),"")</f>
        <v/>
      </c>
      <c r="C488" s="47" t="n"/>
      <c r="D488" s="47" t="n"/>
      <c r="E488" s="112" t="n"/>
      <c r="F488" s="112" t="n"/>
      <c r="G488" s="49" t="n"/>
      <c r="H488" s="47" t="n"/>
      <c r="I488" s="47" t="n"/>
      <c r="J488" s="47" t="n"/>
    </row>
    <row r="489">
      <c r="A489" s="40" t="n"/>
      <c r="B489" s="43">
        <f>IFERROR(INDEX(الموظفون_الاسم,MATCH($A489,الموظفون_الرقم,0)),"")</f>
        <v/>
      </c>
      <c r="C489" s="40" t="n"/>
      <c r="D489" s="40" t="n"/>
      <c r="E489" s="110" t="n"/>
      <c r="F489" s="110" t="n"/>
      <c r="G489" s="42" t="n"/>
      <c r="H489" s="40" t="n"/>
      <c r="I489" s="40" t="n"/>
      <c r="J489" s="40" t="n"/>
    </row>
    <row r="490">
      <c r="A490" s="47" t="n"/>
      <c r="B490" s="50">
        <f>IFERROR(INDEX(الموظفون_الاسم,MATCH($A490,الموظفون_الرقم,0)),"")</f>
        <v/>
      </c>
      <c r="C490" s="47" t="n"/>
      <c r="D490" s="47" t="n"/>
      <c r="E490" s="112" t="n"/>
      <c r="F490" s="112" t="n"/>
      <c r="G490" s="49" t="n"/>
      <c r="H490" s="47" t="n"/>
      <c r="I490" s="47" t="n"/>
      <c r="J490" s="47" t="n"/>
    </row>
    <row r="491">
      <c r="A491" s="40" t="n"/>
      <c r="B491" s="43">
        <f>IFERROR(INDEX(الموظفون_الاسم,MATCH($A491,الموظفون_الرقم,0)),"")</f>
        <v/>
      </c>
      <c r="C491" s="40" t="n"/>
      <c r="D491" s="40" t="n"/>
      <c r="E491" s="110" t="n"/>
      <c r="F491" s="110" t="n"/>
      <c r="G491" s="42" t="n"/>
      <c r="H491" s="40" t="n"/>
      <c r="I491" s="40" t="n"/>
      <c r="J491" s="40" t="n"/>
    </row>
    <row r="492">
      <c r="A492" s="47" t="n"/>
      <c r="B492" s="50">
        <f>IFERROR(INDEX(الموظفون_الاسم,MATCH($A492,الموظفون_الرقم,0)),"")</f>
        <v/>
      </c>
      <c r="C492" s="47" t="n"/>
      <c r="D492" s="47" t="n"/>
      <c r="E492" s="112" t="n"/>
      <c r="F492" s="112" t="n"/>
      <c r="G492" s="49" t="n"/>
      <c r="H492" s="47" t="n"/>
      <c r="I492" s="47" t="n"/>
      <c r="J492" s="47" t="n"/>
    </row>
    <row r="493">
      <c r="A493" s="40" t="n"/>
      <c r="B493" s="43">
        <f>IFERROR(INDEX(الموظفون_الاسم,MATCH($A493,الموظفون_الرقم,0)),"")</f>
        <v/>
      </c>
      <c r="C493" s="40" t="n"/>
      <c r="D493" s="40" t="n"/>
      <c r="E493" s="110" t="n"/>
      <c r="F493" s="110" t="n"/>
      <c r="G493" s="42" t="n"/>
      <c r="H493" s="40" t="n"/>
      <c r="I493" s="40" t="n"/>
      <c r="J493" s="40" t="n"/>
    </row>
    <row r="494">
      <c r="A494" s="47" t="n"/>
      <c r="B494" s="50">
        <f>IFERROR(INDEX(الموظفون_الاسم,MATCH($A494,الموظفون_الرقم,0)),"")</f>
        <v/>
      </c>
      <c r="C494" s="47" t="n"/>
      <c r="D494" s="47" t="n"/>
      <c r="E494" s="112" t="n"/>
      <c r="F494" s="112" t="n"/>
      <c r="G494" s="49" t="n"/>
      <c r="H494" s="47" t="n"/>
      <c r="I494" s="47" t="n"/>
      <c r="J494" s="47" t="n"/>
    </row>
    <row r="495">
      <c r="A495" s="40" t="n"/>
      <c r="B495" s="43">
        <f>IFERROR(INDEX(الموظفون_الاسم,MATCH($A495,الموظفون_الرقم,0)),"")</f>
        <v/>
      </c>
      <c r="C495" s="40" t="n"/>
      <c r="D495" s="40" t="n"/>
      <c r="E495" s="110" t="n"/>
      <c r="F495" s="110" t="n"/>
      <c r="G495" s="42" t="n"/>
      <c r="H495" s="40" t="n"/>
      <c r="I495" s="40" t="n"/>
      <c r="J495" s="40" t="n"/>
    </row>
    <row r="496">
      <c r="A496" s="47" t="n"/>
      <c r="B496" s="50">
        <f>IFERROR(INDEX(الموظفون_الاسم,MATCH($A496,الموظفون_الرقم,0)),"")</f>
        <v/>
      </c>
      <c r="C496" s="47" t="n"/>
      <c r="D496" s="47" t="n"/>
      <c r="E496" s="112" t="n"/>
      <c r="F496" s="112" t="n"/>
      <c r="G496" s="49" t="n"/>
      <c r="H496" s="47" t="n"/>
      <c r="I496" s="47" t="n"/>
      <c r="J496" s="47" t="n"/>
    </row>
    <row r="497">
      <c r="A497" s="40" t="n"/>
      <c r="B497" s="43">
        <f>IFERROR(INDEX(الموظفون_الاسم,MATCH($A497,الموظفون_الرقم,0)),"")</f>
        <v/>
      </c>
      <c r="C497" s="40" t="n"/>
      <c r="D497" s="40" t="n"/>
      <c r="E497" s="110" t="n"/>
      <c r="F497" s="110" t="n"/>
      <c r="G497" s="42" t="n"/>
      <c r="H497" s="40" t="n"/>
      <c r="I497" s="40" t="n"/>
      <c r="J497" s="40" t="n"/>
    </row>
    <row r="498">
      <c r="A498" s="47" t="n"/>
      <c r="B498" s="50">
        <f>IFERROR(INDEX(الموظفون_الاسم,MATCH($A498,الموظفون_الرقم,0)),"")</f>
        <v/>
      </c>
      <c r="C498" s="47" t="n"/>
      <c r="D498" s="47" t="n"/>
      <c r="E498" s="112" t="n"/>
      <c r="F498" s="112" t="n"/>
      <c r="G498" s="49" t="n"/>
      <c r="H498" s="47" t="n"/>
      <c r="I498" s="47" t="n"/>
      <c r="J498" s="47" t="n"/>
    </row>
    <row r="499">
      <c r="A499" s="40" t="n"/>
      <c r="B499" s="43">
        <f>IFERROR(INDEX(الموظفون_الاسم,MATCH($A499,الموظفون_الرقم,0)),"")</f>
        <v/>
      </c>
      <c r="C499" s="40" t="n"/>
      <c r="D499" s="40" t="n"/>
      <c r="E499" s="110" t="n"/>
      <c r="F499" s="110" t="n"/>
      <c r="G499" s="42" t="n"/>
      <c r="H499" s="40" t="n"/>
      <c r="I499" s="40" t="n"/>
      <c r="J499" s="40" t="n"/>
    </row>
    <row r="500">
      <c r="A500" s="47" t="n"/>
      <c r="B500" s="50">
        <f>IFERROR(INDEX(الموظفون_الاسم,MATCH($A500,الموظفون_الرقم,0)),"")</f>
        <v/>
      </c>
      <c r="C500" s="47" t="n"/>
      <c r="D500" s="47" t="n"/>
      <c r="E500" s="112" t="n"/>
      <c r="F500" s="112" t="n"/>
      <c r="G500" s="49" t="n"/>
      <c r="H500" s="47" t="n"/>
      <c r="I500" s="47" t="n"/>
      <c r="J500" s="47" t="n"/>
    </row>
    <row r="501">
      <c r="A501" s="40" t="n"/>
      <c r="B501" s="43">
        <f>IFERROR(INDEX(الموظفون_الاسم,MATCH($A501,الموظفون_الرقم,0)),"")</f>
        <v/>
      </c>
      <c r="C501" s="40" t="n"/>
      <c r="D501" s="40" t="n"/>
      <c r="E501" s="110" t="n"/>
      <c r="F501" s="110" t="n"/>
      <c r="G501" s="42" t="n"/>
      <c r="H501" s="40" t="n"/>
      <c r="I501" s="40" t="n"/>
      <c r="J501" s="40" t="n"/>
    </row>
    <row r="502">
      <c r="A502" s="47" t="n"/>
      <c r="B502" s="50">
        <f>IFERROR(INDEX(الموظفون_الاسم,MATCH($A502,الموظفون_الرقم,0)),"")</f>
        <v/>
      </c>
      <c r="C502" s="47" t="n"/>
      <c r="D502" s="47" t="n"/>
      <c r="E502" s="112" t="n"/>
      <c r="F502" s="112" t="n"/>
      <c r="G502" s="49" t="n"/>
      <c r="H502" s="47" t="n"/>
      <c r="I502" s="47" t="n"/>
      <c r="J502" s="4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C605"/>
  <autoFilter ref="A2:J502"/>
  <mergeCells count="1">
    <mergeCell ref="A1:J1"/>
  </mergeCells>
  <conditionalFormatting sqref="H3:H502">
    <cfRule type="cellIs" priority="1" operator="equal" dxfId="2">
      <formula>"مكتمل"</formula>
    </cfRule>
    <cfRule type="cellIs" priority="2" operator="equal" dxfId="3">
      <formula>"لم يحضر"</formula>
    </cfRule>
  </conditionalFormatting>
  <dataValidations count="2">
    <dataValidation sqref="A3:A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=قائمة_الرقم_الوظيفي</formula1>
    </dataValidation>
    <dataValidation sqref="H3:H502" showDropDown="0" showInputMessage="0" showErrorMessage="1" allowBlank="1" type="list" errorStyle="stop">
      <formula1>"مسجل,حاضر,مكتمل,منسحب,لم يحضر"</formula1>
    </dataValidation>
  </dataValidations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K502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14" customWidth="1" min="4" max="4"/>
    <col width="16" customWidth="1" min="5" max="5"/>
    <col width="14" customWidth="1" min="6" max="6"/>
    <col width="14" customWidth="1" min="7" max="7"/>
    <col width="15" customWidth="1" min="8" max="8"/>
    <col width="15" customWidth="1" min="9" max="9"/>
    <col width="14" customWidth="1" min="10" max="10"/>
    <col width="30" customWidth="1" min="11" max="11"/>
  </cols>
  <sheetData>
    <row r="1" ht="32" customHeight="1">
      <c r="A1" s="1" t="inlineStr">
        <is>
          <t>تقييم الأداء  —  نموذج إدخال</t>
        </is>
      </c>
    </row>
    <row r="2" ht="42" customHeight="1">
      <c r="A2" s="38" t="inlineStr">
        <is>
          <t>الرقم الوظيفي</t>
        </is>
      </c>
      <c r="B2" s="38" t="inlineStr">
        <is>
          <t>اسم الموظف</t>
        </is>
      </c>
      <c r="C2" s="38" t="inlineStr">
        <is>
          <t>فترة التقييم</t>
        </is>
      </c>
      <c r="D2" s="38" t="inlineStr">
        <is>
          <t>جودة العمل (100)</t>
        </is>
      </c>
      <c r="E2" s="38" t="inlineStr">
        <is>
          <t>الالتزام بالدوام (100)</t>
        </is>
      </c>
      <c r="F2" s="38" t="inlineStr">
        <is>
          <t>الإنتاجية (100)</t>
        </is>
      </c>
      <c r="G2" s="38" t="inlineStr">
        <is>
          <t>التعاون (100)</t>
        </is>
      </c>
      <c r="H2" s="38" t="inlineStr">
        <is>
          <t>تحقيق الأهداف (100)</t>
        </is>
      </c>
      <c r="I2" s="38" t="inlineStr">
        <is>
          <t>التقييم النهائي (100)</t>
        </is>
      </c>
      <c r="J2" s="38" t="inlineStr">
        <is>
          <t>التقدير</t>
        </is>
      </c>
      <c r="K2" s="38" t="inlineStr">
        <is>
          <t>ملاحظات المسؤول</t>
        </is>
      </c>
    </row>
    <row r="3">
      <c r="A3" s="40" t="n"/>
      <c r="B3" s="43">
        <f>IFERROR(INDEX(الموظفون_الاسم,MATCH($A3,الموظفون_الرقم,0)),"")</f>
        <v/>
      </c>
      <c r="C3" s="40" t="n"/>
      <c r="D3" s="59" t="n"/>
      <c r="E3" s="59" t="n"/>
      <c r="F3" s="59" t="n"/>
      <c r="G3" s="59" t="n"/>
      <c r="H3" s="59" t="n"/>
      <c r="I3" s="111">
        <f>IF($A3="","",IF(COUNT($D3:$H3)=0,"",ROUND($D3*وزن_جودة_العمل+$E3*وزن_الالتزام+$F3*وزن_الإنتاجية+$G3*وزن_التعاون+$H3*وزن_الأهداف,1)))</f>
        <v/>
      </c>
      <c r="J3" s="43">
        <f>IF($I3="","",IF($I3&gt;=90,"ممتاز",IF($I3&gt;=80,"جيد جدًا",IF($I3&gt;=70,"جيد",IF($I3&gt;=60,"مقبول","يحتاج تحسين")))))</f>
        <v/>
      </c>
      <c r="K3" s="40" t="n"/>
    </row>
    <row r="4">
      <c r="A4" s="47" t="n"/>
      <c r="B4" s="50">
        <f>IFERROR(INDEX(الموظفون_الاسم,MATCH($A4,الموظفون_الرقم,0)),"")</f>
        <v/>
      </c>
      <c r="C4" s="47" t="n"/>
      <c r="D4" s="62" t="n"/>
      <c r="E4" s="62" t="n"/>
      <c r="F4" s="62" t="n"/>
      <c r="G4" s="62" t="n"/>
      <c r="H4" s="62" t="n"/>
      <c r="I4" s="113">
        <f>IF($A4="","",IF(COUNT($D4:$H4)=0,"",ROUND($D4*وزن_جودة_العمل+$E4*وزن_الالتزام+$F4*وزن_الإنتاجية+$G4*وزن_التعاون+$H4*وزن_الأهداف,1)))</f>
        <v/>
      </c>
      <c r="J4" s="50">
        <f>IF($I4="","",IF($I4&gt;=90,"ممتاز",IF($I4&gt;=80,"جيد جدًا",IF($I4&gt;=70,"جيد",IF($I4&gt;=60,"مقبول","يحتاج تحسين")))))</f>
        <v/>
      </c>
      <c r="K4" s="47" t="n"/>
    </row>
    <row r="5">
      <c r="A5" s="40" t="n"/>
      <c r="B5" s="43">
        <f>IFERROR(INDEX(الموظفون_الاسم,MATCH($A5,الموظفون_الرقم,0)),"")</f>
        <v/>
      </c>
      <c r="C5" s="40" t="n"/>
      <c r="D5" s="59" t="n"/>
      <c r="E5" s="59" t="n"/>
      <c r="F5" s="59" t="n"/>
      <c r="G5" s="59" t="n"/>
      <c r="H5" s="59" t="n"/>
      <c r="I5" s="111">
        <f>IF($A5="","",IF(COUNT($D5:$H5)=0,"",ROUND($D5*وزن_جودة_العمل+$E5*وزن_الالتزام+$F5*وزن_الإنتاجية+$G5*وزن_التعاون+$H5*وزن_الأهداف,1)))</f>
        <v/>
      </c>
      <c r="J5" s="43">
        <f>IF($I5="","",IF($I5&gt;=90,"ممتاز",IF($I5&gt;=80,"جيد جدًا",IF($I5&gt;=70,"جيد",IF($I5&gt;=60,"مقبول","يحتاج تحسين")))))</f>
        <v/>
      </c>
      <c r="K5" s="40" t="n"/>
    </row>
    <row r="6">
      <c r="A6" s="47" t="n"/>
      <c r="B6" s="50">
        <f>IFERROR(INDEX(الموظفون_الاسم,MATCH($A6,الموظفون_الرقم,0)),"")</f>
        <v/>
      </c>
      <c r="C6" s="47" t="n"/>
      <c r="D6" s="62" t="n"/>
      <c r="E6" s="62" t="n"/>
      <c r="F6" s="62" t="n"/>
      <c r="G6" s="62" t="n"/>
      <c r="H6" s="62" t="n"/>
      <c r="I6" s="113">
        <f>IF($A6="","",IF(COUNT($D6:$H6)=0,"",ROUND($D6*وزن_جودة_العمل+$E6*وزن_الالتزام+$F6*وزن_الإنتاجية+$G6*وزن_التعاون+$H6*وزن_الأهداف,1)))</f>
        <v/>
      </c>
      <c r="J6" s="50">
        <f>IF($I6="","",IF($I6&gt;=90,"ممتاز",IF($I6&gt;=80,"جيد جدًا",IF($I6&gt;=70,"جيد",IF($I6&gt;=60,"مقبول","يحتاج تحسين")))))</f>
        <v/>
      </c>
      <c r="K6" s="47" t="n"/>
    </row>
    <row r="7">
      <c r="A7" s="40" t="n"/>
      <c r="B7" s="43">
        <f>IFERROR(INDEX(الموظفون_الاسم,MATCH($A7,الموظفون_الرقم,0)),"")</f>
        <v/>
      </c>
      <c r="C7" s="40" t="n"/>
      <c r="D7" s="59" t="n"/>
      <c r="E7" s="59" t="n"/>
      <c r="F7" s="59" t="n"/>
      <c r="G7" s="59" t="n"/>
      <c r="H7" s="59" t="n"/>
      <c r="I7" s="111">
        <f>IF($A7="","",IF(COUNT($D7:$H7)=0,"",ROUND($D7*وزن_جودة_العمل+$E7*وزن_الالتزام+$F7*وزن_الإنتاجية+$G7*وزن_التعاون+$H7*وزن_الأهداف,1)))</f>
        <v/>
      </c>
      <c r="J7" s="43">
        <f>IF($I7="","",IF($I7&gt;=90,"ممتاز",IF($I7&gt;=80,"جيد جدًا",IF($I7&gt;=70,"جيد",IF($I7&gt;=60,"مقبول","يحتاج تحسين")))))</f>
        <v/>
      </c>
      <c r="K7" s="40" t="n"/>
    </row>
    <row r="8">
      <c r="A8" s="47" t="n"/>
      <c r="B8" s="50">
        <f>IFERROR(INDEX(الموظفون_الاسم,MATCH($A8,الموظفون_الرقم,0)),"")</f>
        <v/>
      </c>
      <c r="C8" s="47" t="n"/>
      <c r="D8" s="62" t="n"/>
      <c r="E8" s="62" t="n"/>
      <c r="F8" s="62" t="n"/>
      <c r="G8" s="62" t="n"/>
      <c r="H8" s="62" t="n"/>
      <c r="I8" s="113">
        <f>IF($A8="","",IF(COUNT($D8:$H8)=0,"",ROUND($D8*وزن_جودة_العمل+$E8*وزن_الالتزام+$F8*وزن_الإنتاجية+$G8*وزن_التعاون+$H8*وزن_الأهداف,1)))</f>
        <v/>
      </c>
      <c r="J8" s="50">
        <f>IF($I8="","",IF($I8&gt;=90,"ممتاز",IF($I8&gt;=80,"جيد جدًا",IF($I8&gt;=70,"جيد",IF($I8&gt;=60,"مقبول","يحتاج تحسين")))))</f>
        <v/>
      </c>
      <c r="K8" s="47" t="n"/>
    </row>
    <row r="9">
      <c r="A9" s="40" t="n"/>
      <c r="B9" s="43">
        <f>IFERROR(INDEX(الموظفون_الاسم,MATCH($A9,الموظفون_الرقم,0)),"")</f>
        <v/>
      </c>
      <c r="C9" s="40" t="n"/>
      <c r="D9" s="59" t="n"/>
      <c r="E9" s="59" t="n"/>
      <c r="F9" s="59" t="n"/>
      <c r="G9" s="59" t="n"/>
      <c r="H9" s="59" t="n"/>
      <c r="I9" s="111">
        <f>IF($A9="","",IF(COUNT($D9:$H9)=0,"",ROUND($D9*وزن_جودة_العمل+$E9*وزن_الالتزام+$F9*وزن_الإنتاجية+$G9*وزن_التعاون+$H9*وزن_الأهداف,1)))</f>
        <v/>
      </c>
      <c r="J9" s="43">
        <f>IF($I9="","",IF($I9&gt;=90,"ممتاز",IF($I9&gt;=80,"جيد جدًا",IF($I9&gt;=70,"جيد",IF($I9&gt;=60,"مقبول","يحتاج تحسين")))))</f>
        <v/>
      </c>
      <c r="K9" s="40" t="n"/>
    </row>
    <row r="10">
      <c r="A10" s="47" t="n"/>
      <c r="B10" s="50">
        <f>IFERROR(INDEX(الموظفون_الاسم,MATCH($A10,الموظفون_الرقم,0)),"")</f>
        <v/>
      </c>
      <c r="C10" s="47" t="n"/>
      <c r="D10" s="62" t="n"/>
      <c r="E10" s="62" t="n"/>
      <c r="F10" s="62" t="n"/>
      <c r="G10" s="62" t="n"/>
      <c r="H10" s="62" t="n"/>
      <c r="I10" s="113">
        <f>IF($A10="","",IF(COUNT($D10:$H10)=0,"",ROUND($D10*وزن_جودة_العمل+$E10*وزن_الالتزام+$F10*وزن_الإنتاجية+$G10*وزن_التعاون+$H10*وزن_الأهداف,1)))</f>
        <v/>
      </c>
      <c r="J10" s="50">
        <f>IF($I10="","",IF($I10&gt;=90,"ممتاز",IF($I10&gt;=80,"جيد جدًا",IF($I10&gt;=70,"جيد",IF($I10&gt;=60,"مقبول","يحتاج تحسين")))))</f>
        <v/>
      </c>
      <c r="K10" s="47" t="n"/>
    </row>
    <row r="11">
      <c r="A11" s="40" t="n"/>
      <c r="B11" s="43">
        <f>IFERROR(INDEX(الموظفون_الاسم,MATCH($A11,الموظفون_الرقم,0)),"")</f>
        <v/>
      </c>
      <c r="C11" s="40" t="n"/>
      <c r="D11" s="59" t="n"/>
      <c r="E11" s="59" t="n"/>
      <c r="F11" s="59" t="n"/>
      <c r="G11" s="59" t="n"/>
      <c r="H11" s="59" t="n"/>
      <c r="I11" s="111">
        <f>IF($A11="","",IF(COUNT($D11:$H11)=0,"",ROUND($D11*وزن_جودة_العمل+$E11*وزن_الالتزام+$F11*وزن_الإنتاجية+$G11*وزن_التعاون+$H11*وزن_الأهداف,1)))</f>
        <v/>
      </c>
      <c r="J11" s="43">
        <f>IF($I11="","",IF($I11&gt;=90,"ممتاز",IF($I11&gt;=80,"جيد جدًا",IF($I11&gt;=70,"جيد",IF($I11&gt;=60,"مقبول","يحتاج تحسين")))))</f>
        <v/>
      </c>
      <c r="K11" s="40" t="n"/>
    </row>
    <row r="12">
      <c r="A12" s="47" t="n"/>
      <c r="B12" s="50">
        <f>IFERROR(INDEX(الموظفون_الاسم,MATCH($A12,الموظفون_الرقم,0)),"")</f>
        <v/>
      </c>
      <c r="C12" s="47" t="n"/>
      <c r="D12" s="62" t="n"/>
      <c r="E12" s="62" t="n"/>
      <c r="F12" s="62" t="n"/>
      <c r="G12" s="62" t="n"/>
      <c r="H12" s="62" t="n"/>
      <c r="I12" s="113">
        <f>IF($A12="","",IF(COUNT($D12:$H12)=0,"",ROUND($D12*وزن_جودة_العمل+$E12*وزن_الالتزام+$F12*وزن_الإنتاجية+$G12*وزن_التعاون+$H12*وزن_الأهداف,1)))</f>
        <v/>
      </c>
      <c r="J12" s="50">
        <f>IF($I12="","",IF($I12&gt;=90,"ممتاز",IF($I12&gt;=80,"جيد جدًا",IF($I12&gt;=70,"جيد",IF($I12&gt;=60,"مقبول","يحتاج تحسين")))))</f>
        <v/>
      </c>
      <c r="K12" s="47" t="n"/>
    </row>
    <row r="13">
      <c r="A13" s="40" t="n"/>
      <c r="B13" s="43">
        <f>IFERROR(INDEX(الموظفون_الاسم,MATCH($A13,الموظفون_الرقم,0)),"")</f>
        <v/>
      </c>
      <c r="C13" s="40" t="n"/>
      <c r="D13" s="59" t="n"/>
      <c r="E13" s="59" t="n"/>
      <c r="F13" s="59" t="n"/>
      <c r="G13" s="59" t="n"/>
      <c r="H13" s="59" t="n"/>
      <c r="I13" s="111">
        <f>IF($A13="","",IF(COUNT($D13:$H13)=0,"",ROUND($D13*وزن_جودة_العمل+$E13*وزن_الالتزام+$F13*وزن_الإنتاجية+$G13*وزن_التعاون+$H13*وزن_الأهداف,1)))</f>
        <v/>
      </c>
      <c r="J13" s="43">
        <f>IF($I13="","",IF($I13&gt;=90,"ممتاز",IF($I13&gt;=80,"جيد جدًا",IF($I13&gt;=70,"جيد",IF($I13&gt;=60,"مقبول","يحتاج تحسين")))))</f>
        <v/>
      </c>
      <c r="K13" s="40" t="n"/>
    </row>
    <row r="14">
      <c r="A14" s="47" t="n"/>
      <c r="B14" s="50">
        <f>IFERROR(INDEX(الموظفون_الاسم,MATCH($A14,الموظفون_الرقم,0)),"")</f>
        <v/>
      </c>
      <c r="C14" s="47" t="n"/>
      <c r="D14" s="62" t="n"/>
      <c r="E14" s="62" t="n"/>
      <c r="F14" s="62" t="n"/>
      <c r="G14" s="62" t="n"/>
      <c r="H14" s="62" t="n"/>
      <c r="I14" s="113">
        <f>IF($A14="","",IF(COUNT($D14:$H14)=0,"",ROUND($D14*وزن_جودة_العمل+$E14*وزن_الالتزام+$F14*وزن_الإنتاجية+$G14*وزن_التعاون+$H14*وزن_الأهداف,1)))</f>
        <v/>
      </c>
      <c r="J14" s="50">
        <f>IF($I14="","",IF($I14&gt;=90,"ممتاز",IF($I14&gt;=80,"جيد جدًا",IF($I14&gt;=70,"جيد",IF($I14&gt;=60,"مقبول","يحتاج تحسين")))))</f>
        <v/>
      </c>
      <c r="K14" s="47" t="n"/>
    </row>
    <row r="15">
      <c r="A15" s="40" t="n"/>
      <c r="B15" s="43">
        <f>IFERROR(INDEX(الموظفون_الاسم,MATCH($A15,الموظفون_الرقم,0)),"")</f>
        <v/>
      </c>
      <c r="C15" s="40" t="n"/>
      <c r="D15" s="59" t="n"/>
      <c r="E15" s="59" t="n"/>
      <c r="F15" s="59" t="n"/>
      <c r="G15" s="59" t="n"/>
      <c r="H15" s="59" t="n"/>
      <c r="I15" s="111">
        <f>IF($A15="","",IF(COUNT($D15:$H15)=0,"",ROUND($D15*وزن_جودة_العمل+$E15*وزن_الالتزام+$F15*وزن_الإنتاجية+$G15*وزن_التعاون+$H15*وزن_الأهداف,1)))</f>
        <v/>
      </c>
      <c r="J15" s="43">
        <f>IF($I15="","",IF($I15&gt;=90,"ممتاز",IF($I15&gt;=80,"جيد جدًا",IF($I15&gt;=70,"جيد",IF($I15&gt;=60,"مقبول","يحتاج تحسين")))))</f>
        <v/>
      </c>
      <c r="K15" s="40" t="n"/>
    </row>
    <row r="16">
      <c r="A16" s="47" t="n"/>
      <c r="B16" s="50">
        <f>IFERROR(INDEX(الموظفون_الاسم,MATCH($A16,الموظفون_الرقم,0)),"")</f>
        <v/>
      </c>
      <c r="C16" s="47" t="n"/>
      <c r="D16" s="62" t="n"/>
      <c r="E16" s="62" t="n"/>
      <c r="F16" s="62" t="n"/>
      <c r="G16" s="62" t="n"/>
      <c r="H16" s="62" t="n"/>
      <c r="I16" s="113">
        <f>IF($A16="","",IF(COUNT($D16:$H16)=0,"",ROUND($D16*وزن_جودة_العمل+$E16*وزن_الالتزام+$F16*وزن_الإنتاجية+$G16*وزن_التعاون+$H16*وزن_الأهداف,1)))</f>
        <v/>
      </c>
      <c r="J16" s="50">
        <f>IF($I16="","",IF($I16&gt;=90,"ممتاز",IF($I16&gt;=80,"جيد جدًا",IF($I16&gt;=70,"جيد",IF($I16&gt;=60,"مقبول","يحتاج تحسين")))))</f>
        <v/>
      </c>
      <c r="K16" s="47" t="n"/>
    </row>
    <row r="17">
      <c r="A17" s="40" t="n"/>
      <c r="B17" s="43">
        <f>IFERROR(INDEX(الموظفون_الاسم,MATCH($A17,الموظفون_الرقم,0)),"")</f>
        <v/>
      </c>
      <c r="C17" s="40" t="n"/>
      <c r="D17" s="59" t="n"/>
      <c r="E17" s="59" t="n"/>
      <c r="F17" s="59" t="n"/>
      <c r="G17" s="59" t="n"/>
      <c r="H17" s="59" t="n"/>
      <c r="I17" s="111">
        <f>IF($A17="","",IF(COUNT($D17:$H17)=0,"",ROUND($D17*وزن_جودة_العمل+$E17*وزن_الالتزام+$F17*وزن_الإنتاجية+$G17*وزن_التعاون+$H17*وزن_الأهداف,1)))</f>
        <v/>
      </c>
      <c r="J17" s="43">
        <f>IF($I17="","",IF($I17&gt;=90,"ممتاز",IF($I17&gt;=80,"جيد جدًا",IF($I17&gt;=70,"جيد",IF($I17&gt;=60,"مقبول","يحتاج تحسين")))))</f>
        <v/>
      </c>
      <c r="K17" s="40" t="n"/>
    </row>
    <row r="18">
      <c r="A18" s="47" t="n"/>
      <c r="B18" s="50">
        <f>IFERROR(INDEX(الموظفون_الاسم,MATCH($A18,الموظفون_الرقم,0)),"")</f>
        <v/>
      </c>
      <c r="C18" s="47" t="n"/>
      <c r="D18" s="62" t="n"/>
      <c r="E18" s="62" t="n"/>
      <c r="F18" s="62" t="n"/>
      <c r="G18" s="62" t="n"/>
      <c r="H18" s="62" t="n"/>
      <c r="I18" s="113">
        <f>IF($A18="","",IF(COUNT($D18:$H18)=0,"",ROUND($D18*وزن_جودة_العمل+$E18*وزن_الالتزام+$F18*وزن_الإنتاجية+$G18*وزن_التعاون+$H18*وزن_الأهداف,1)))</f>
        <v/>
      </c>
      <c r="J18" s="50">
        <f>IF($I18="","",IF($I18&gt;=90,"ممتاز",IF($I18&gt;=80,"جيد جدًا",IF($I18&gt;=70,"جيد",IF($I18&gt;=60,"مقبول","يحتاج تحسين")))))</f>
        <v/>
      </c>
      <c r="K18" s="47" t="n"/>
    </row>
    <row r="19">
      <c r="A19" s="40" t="n"/>
      <c r="B19" s="43">
        <f>IFERROR(INDEX(الموظفون_الاسم,MATCH($A19,الموظفون_الرقم,0)),"")</f>
        <v/>
      </c>
      <c r="C19" s="40" t="n"/>
      <c r="D19" s="59" t="n"/>
      <c r="E19" s="59" t="n"/>
      <c r="F19" s="59" t="n"/>
      <c r="G19" s="59" t="n"/>
      <c r="H19" s="59" t="n"/>
      <c r="I19" s="111">
        <f>IF($A19="","",IF(COUNT($D19:$H19)=0,"",ROUND($D19*وزن_جودة_العمل+$E19*وزن_الالتزام+$F19*وزن_الإنتاجية+$G19*وزن_التعاون+$H19*وزن_الأهداف,1)))</f>
        <v/>
      </c>
      <c r="J19" s="43">
        <f>IF($I19="","",IF($I19&gt;=90,"ممتاز",IF($I19&gt;=80,"جيد جدًا",IF($I19&gt;=70,"جيد",IF($I19&gt;=60,"مقبول","يحتاج تحسين")))))</f>
        <v/>
      </c>
      <c r="K19" s="40" t="n"/>
    </row>
    <row r="20">
      <c r="A20" s="47" t="n"/>
      <c r="B20" s="50">
        <f>IFERROR(INDEX(الموظفون_الاسم,MATCH($A20,الموظفون_الرقم,0)),"")</f>
        <v/>
      </c>
      <c r="C20" s="47" t="n"/>
      <c r="D20" s="62" t="n"/>
      <c r="E20" s="62" t="n"/>
      <c r="F20" s="62" t="n"/>
      <c r="G20" s="62" t="n"/>
      <c r="H20" s="62" t="n"/>
      <c r="I20" s="113">
        <f>IF($A20="","",IF(COUNT($D20:$H20)=0,"",ROUND($D20*وزن_جودة_العمل+$E20*وزن_الالتزام+$F20*وزن_الإنتاجية+$G20*وزن_التعاون+$H20*وزن_الأهداف,1)))</f>
        <v/>
      </c>
      <c r="J20" s="50">
        <f>IF($I20="","",IF($I20&gt;=90,"ممتاز",IF($I20&gt;=80,"جيد جدًا",IF($I20&gt;=70,"جيد",IF($I20&gt;=60,"مقبول","يحتاج تحسين")))))</f>
        <v/>
      </c>
      <c r="K20" s="47" t="n"/>
    </row>
    <row r="21">
      <c r="A21" s="40" t="n"/>
      <c r="B21" s="43">
        <f>IFERROR(INDEX(الموظفون_الاسم,MATCH($A21,الموظفون_الرقم,0)),"")</f>
        <v/>
      </c>
      <c r="C21" s="40" t="n"/>
      <c r="D21" s="59" t="n"/>
      <c r="E21" s="59" t="n"/>
      <c r="F21" s="59" t="n"/>
      <c r="G21" s="59" t="n"/>
      <c r="H21" s="59" t="n"/>
      <c r="I21" s="111">
        <f>IF($A21="","",IF(COUNT($D21:$H21)=0,"",ROUND($D21*وزن_جودة_العمل+$E21*وزن_الالتزام+$F21*وزن_الإنتاجية+$G21*وزن_التعاون+$H21*وزن_الأهداف,1)))</f>
        <v/>
      </c>
      <c r="J21" s="43">
        <f>IF($I21="","",IF($I21&gt;=90,"ممتاز",IF($I21&gt;=80,"جيد جدًا",IF($I21&gt;=70,"جيد",IF($I21&gt;=60,"مقبول","يحتاج تحسين")))))</f>
        <v/>
      </c>
      <c r="K21" s="40" t="n"/>
    </row>
    <row r="22">
      <c r="A22" s="47" t="n"/>
      <c r="B22" s="50">
        <f>IFERROR(INDEX(الموظفون_الاسم,MATCH($A22,الموظفون_الرقم,0)),"")</f>
        <v/>
      </c>
      <c r="C22" s="47" t="n"/>
      <c r="D22" s="62" t="n"/>
      <c r="E22" s="62" t="n"/>
      <c r="F22" s="62" t="n"/>
      <c r="G22" s="62" t="n"/>
      <c r="H22" s="62" t="n"/>
      <c r="I22" s="113">
        <f>IF($A22="","",IF(COUNT($D22:$H22)=0,"",ROUND($D22*وزن_جودة_العمل+$E22*وزن_الالتزام+$F22*وزن_الإنتاجية+$G22*وزن_التعاون+$H22*وزن_الأهداف,1)))</f>
        <v/>
      </c>
      <c r="J22" s="50">
        <f>IF($I22="","",IF($I22&gt;=90,"ممتاز",IF($I22&gt;=80,"جيد جدًا",IF($I22&gt;=70,"جيد",IF($I22&gt;=60,"مقبول","يحتاج تحسين")))))</f>
        <v/>
      </c>
      <c r="K22" s="47" t="n"/>
    </row>
    <row r="23">
      <c r="A23" s="40" t="n"/>
      <c r="B23" s="43">
        <f>IFERROR(INDEX(الموظفون_الاسم,MATCH($A23,الموظفون_الرقم,0)),"")</f>
        <v/>
      </c>
      <c r="C23" s="40" t="n"/>
      <c r="D23" s="59" t="n"/>
      <c r="E23" s="59" t="n"/>
      <c r="F23" s="59" t="n"/>
      <c r="G23" s="59" t="n"/>
      <c r="H23" s="59" t="n"/>
      <c r="I23" s="111">
        <f>IF($A23="","",IF(COUNT($D23:$H23)=0,"",ROUND($D23*وزن_جودة_العمل+$E23*وزن_الالتزام+$F23*وزن_الإنتاجية+$G23*وزن_التعاون+$H23*وزن_الأهداف,1)))</f>
        <v/>
      </c>
      <c r="J23" s="43">
        <f>IF($I23="","",IF($I23&gt;=90,"ممتاز",IF($I23&gt;=80,"جيد جدًا",IF($I23&gt;=70,"جيد",IF($I23&gt;=60,"مقبول","يحتاج تحسين")))))</f>
        <v/>
      </c>
      <c r="K23" s="40" t="n"/>
    </row>
    <row r="24">
      <c r="A24" s="47" t="n"/>
      <c r="B24" s="50">
        <f>IFERROR(INDEX(الموظفون_الاسم,MATCH($A24,الموظفون_الرقم,0)),"")</f>
        <v/>
      </c>
      <c r="C24" s="47" t="n"/>
      <c r="D24" s="62" t="n"/>
      <c r="E24" s="62" t="n"/>
      <c r="F24" s="62" t="n"/>
      <c r="G24" s="62" t="n"/>
      <c r="H24" s="62" t="n"/>
      <c r="I24" s="113">
        <f>IF($A24="","",IF(COUNT($D24:$H24)=0,"",ROUND($D24*وزن_جودة_العمل+$E24*وزن_الالتزام+$F24*وزن_الإنتاجية+$G24*وزن_التعاون+$H24*وزن_الأهداف,1)))</f>
        <v/>
      </c>
      <c r="J24" s="50">
        <f>IF($I24="","",IF($I24&gt;=90,"ممتاز",IF($I24&gt;=80,"جيد جدًا",IF($I24&gt;=70,"جيد",IF($I24&gt;=60,"مقبول","يحتاج تحسين")))))</f>
        <v/>
      </c>
      <c r="K24" s="47" t="n"/>
    </row>
    <row r="25">
      <c r="A25" s="40" t="n"/>
      <c r="B25" s="43">
        <f>IFERROR(INDEX(الموظفون_الاسم,MATCH($A25,الموظفون_الرقم,0)),"")</f>
        <v/>
      </c>
      <c r="C25" s="40" t="n"/>
      <c r="D25" s="59" t="n"/>
      <c r="E25" s="59" t="n"/>
      <c r="F25" s="59" t="n"/>
      <c r="G25" s="59" t="n"/>
      <c r="H25" s="59" t="n"/>
      <c r="I25" s="111">
        <f>IF($A25="","",IF(COUNT($D25:$H25)=0,"",ROUND($D25*وزن_جودة_العمل+$E25*وزن_الالتزام+$F25*وزن_الإنتاجية+$G25*وزن_التعاون+$H25*وزن_الأهداف,1)))</f>
        <v/>
      </c>
      <c r="J25" s="43">
        <f>IF($I25="","",IF($I25&gt;=90,"ممتاز",IF($I25&gt;=80,"جيد جدًا",IF($I25&gt;=70,"جيد",IF($I25&gt;=60,"مقبول","يحتاج تحسين")))))</f>
        <v/>
      </c>
      <c r="K25" s="40" t="n"/>
    </row>
    <row r="26">
      <c r="A26" s="47" t="n"/>
      <c r="B26" s="50">
        <f>IFERROR(INDEX(الموظفون_الاسم,MATCH($A26,الموظفون_الرقم,0)),"")</f>
        <v/>
      </c>
      <c r="C26" s="47" t="n"/>
      <c r="D26" s="62" t="n"/>
      <c r="E26" s="62" t="n"/>
      <c r="F26" s="62" t="n"/>
      <c r="G26" s="62" t="n"/>
      <c r="H26" s="62" t="n"/>
      <c r="I26" s="113">
        <f>IF($A26="","",IF(COUNT($D26:$H26)=0,"",ROUND($D26*وزن_جودة_العمل+$E26*وزن_الالتزام+$F26*وزن_الإنتاجية+$G26*وزن_التعاون+$H26*وزن_الأهداف,1)))</f>
        <v/>
      </c>
      <c r="J26" s="50">
        <f>IF($I26="","",IF($I26&gt;=90,"ممتاز",IF($I26&gt;=80,"جيد جدًا",IF($I26&gt;=70,"جيد",IF($I26&gt;=60,"مقبول","يحتاج تحسين")))))</f>
        <v/>
      </c>
      <c r="K26" s="47" t="n"/>
    </row>
    <row r="27">
      <c r="A27" s="40" t="n"/>
      <c r="B27" s="43">
        <f>IFERROR(INDEX(الموظفون_الاسم,MATCH($A27,الموظفون_الرقم,0)),"")</f>
        <v/>
      </c>
      <c r="C27" s="40" t="n"/>
      <c r="D27" s="59" t="n"/>
      <c r="E27" s="59" t="n"/>
      <c r="F27" s="59" t="n"/>
      <c r="G27" s="59" t="n"/>
      <c r="H27" s="59" t="n"/>
      <c r="I27" s="111">
        <f>IF($A27="","",IF(COUNT($D27:$H27)=0,"",ROUND($D27*وزن_جودة_العمل+$E27*وزن_الالتزام+$F27*وزن_الإنتاجية+$G27*وزن_التعاون+$H27*وزن_الأهداف,1)))</f>
        <v/>
      </c>
      <c r="J27" s="43">
        <f>IF($I27="","",IF($I27&gt;=90,"ممتاز",IF($I27&gt;=80,"جيد جدًا",IF($I27&gt;=70,"جيد",IF($I27&gt;=60,"مقبول","يحتاج تحسين")))))</f>
        <v/>
      </c>
      <c r="K27" s="40" t="n"/>
    </row>
    <row r="28">
      <c r="A28" s="47" t="n"/>
      <c r="B28" s="50">
        <f>IFERROR(INDEX(الموظفون_الاسم,MATCH($A28,الموظفون_الرقم,0)),"")</f>
        <v/>
      </c>
      <c r="C28" s="47" t="n"/>
      <c r="D28" s="62" t="n"/>
      <c r="E28" s="62" t="n"/>
      <c r="F28" s="62" t="n"/>
      <c r="G28" s="62" t="n"/>
      <c r="H28" s="62" t="n"/>
      <c r="I28" s="113">
        <f>IF($A28="","",IF(COUNT($D28:$H28)=0,"",ROUND($D28*وزن_جودة_العمل+$E28*وزن_الالتزام+$F28*وزن_الإنتاجية+$G28*وزن_التعاون+$H28*وزن_الأهداف,1)))</f>
        <v/>
      </c>
      <c r="J28" s="50">
        <f>IF($I28="","",IF($I28&gt;=90,"ممتاز",IF($I28&gt;=80,"جيد جدًا",IF($I28&gt;=70,"جيد",IF($I28&gt;=60,"مقبول","يحتاج تحسين")))))</f>
        <v/>
      </c>
      <c r="K28" s="47" t="n"/>
    </row>
    <row r="29">
      <c r="A29" s="40" t="n"/>
      <c r="B29" s="43">
        <f>IFERROR(INDEX(الموظفون_الاسم,MATCH($A29,الموظفون_الرقم,0)),"")</f>
        <v/>
      </c>
      <c r="C29" s="40" t="n"/>
      <c r="D29" s="59" t="n"/>
      <c r="E29" s="59" t="n"/>
      <c r="F29" s="59" t="n"/>
      <c r="G29" s="59" t="n"/>
      <c r="H29" s="59" t="n"/>
      <c r="I29" s="111">
        <f>IF($A29="","",IF(COUNT($D29:$H29)=0,"",ROUND($D29*وزن_جودة_العمل+$E29*وزن_الالتزام+$F29*وزن_الإنتاجية+$G29*وزن_التعاون+$H29*وزن_الأهداف,1)))</f>
        <v/>
      </c>
      <c r="J29" s="43">
        <f>IF($I29="","",IF($I29&gt;=90,"ممتاز",IF($I29&gt;=80,"جيد جدًا",IF($I29&gt;=70,"جيد",IF($I29&gt;=60,"مقبول","يحتاج تحسين")))))</f>
        <v/>
      </c>
      <c r="K29" s="40" t="n"/>
    </row>
    <row r="30">
      <c r="A30" s="47" t="n"/>
      <c r="B30" s="50">
        <f>IFERROR(INDEX(الموظفون_الاسم,MATCH($A30,الموظفون_الرقم,0)),"")</f>
        <v/>
      </c>
      <c r="C30" s="47" t="n"/>
      <c r="D30" s="62" t="n"/>
      <c r="E30" s="62" t="n"/>
      <c r="F30" s="62" t="n"/>
      <c r="G30" s="62" t="n"/>
      <c r="H30" s="62" t="n"/>
      <c r="I30" s="113">
        <f>IF($A30="","",IF(COUNT($D30:$H30)=0,"",ROUND($D30*وزن_جودة_العمل+$E30*وزن_الالتزام+$F30*وزن_الإنتاجية+$G30*وزن_التعاون+$H30*وزن_الأهداف,1)))</f>
        <v/>
      </c>
      <c r="J30" s="50">
        <f>IF($I30="","",IF($I30&gt;=90,"ممتاز",IF($I30&gt;=80,"جيد جدًا",IF($I30&gt;=70,"جيد",IF($I30&gt;=60,"مقبول","يحتاج تحسين")))))</f>
        <v/>
      </c>
      <c r="K30" s="47" t="n"/>
    </row>
    <row r="31">
      <c r="A31" s="40" t="n"/>
      <c r="B31" s="43">
        <f>IFERROR(INDEX(الموظفون_الاسم,MATCH($A31,الموظفون_الرقم,0)),"")</f>
        <v/>
      </c>
      <c r="C31" s="40" t="n"/>
      <c r="D31" s="59" t="n"/>
      <c r="E31" s="59" t="n"/>
      <c r="F31" s="59" t="n"/>
      <c r="G31" s="59" t="n"/>
      <c r="H31" s="59" t="n"/>
      <c r="I31" s="111">
        <f>IF($A31="","",IF(COUNT($D31:$H31)=0,"",ROUND($D31*وزن_جودة_العمل+$E31*وزن_الالتزام+$F31*وزن_الإنتاجية+$G31*وزن_التعاون+$H31*وزن_الأهداف,1)))</f>
        <v/>
      </c>
      <c r="J31" s="43">
        <f>IF($I31="","",IF($I31&gt;=90,"ممتاز",IF($I31&gt;=80,"جيد جدًا",IF($I31&gt;=70,"جيد",IF($I31&gt;=60,"مقبول","يحتاج تحسين")))))</f>
        <v/>
      </c>
      <c r="K31" s="40" t="n"/>
    </row>
    <row r="32">
      <c r="A32" s="47" t="n"/>
      <c r="B32" s="50">
        <f>IFERROR(INDEX(الموظفون_الاسم,MATCH($A32,الموظفون_الرقم,0)),"")</f>
        <v/>
      </c>
      <c r="C32" s="47" t="n"/>
      <c r="D32" s="62" t="n"/>
      <c r="E32" s="62" t="n"/>
      <c r="F32" s="62" t="n"/>
      <c r="G32" s="62" t="n"/>
      <c r="H32" s="62" t="n"/>
      <c r="I32" s="113">
        <f>IF($A32="","",IF(COUNT($D32:$H32)=0,"",ROUND($D32*وزن_جودة_العمل+$E32*وزن_الالتزام+$F32*وزن_الإنتاجية+$G32*وزن_التعاون+$H32*وزن_الأهداف,1)))</f>
        <v/>
      </c>
      <c r="J32" s="50">
        <f>IF($I32="","",IF($I32&gt;=90,"ممتاز",IF($I32&gt;=80,"جيد جدًا",IF($I32&gt;=70,"جيد",IF($I32&gt;=60,"مقبول","يحتاج تحسين")))))</f>
        <v/>
      </c>
      <c r="K32" s="47" t="n"/>
    </row>
    <row r="33">
      <c r="A33" s="40" t="n"/>
      <c r="B33" s="43">
        <f>IFERROR(INDEX(الموظفون_الاسم,MATCH($A33,الموظفون_الرقم,0)),"")</f>
        <v/>
      </c>
      <c r="C33" s="40" t="n"/>
      <c r="D33" s="59" t="n"/>
      <c r="E33" s="59" t="n"/>
      <c r="F33" s="59" t="n"/>
      <c r="G33" s="59" t="n"/>
      <c r="H33" s="59" t="n"/>
      <c r="I33" s="111">
        <f>IF($A33="","",IF(COUNT($D33:$H33)=0,"",ROUND($D33*وزن_جودة_العمل+$E33*وزن_الالتزام+$F33*وزن_الإنتاجية+$G33*وزن_التعاون+$H33*وزن_الأهداف,1)))</f>
        <v/>
      </c>
      <c r="J33" s="43">
        <f>IF($I33="","",IF($I33&gt;=90,"ممتاز",IF($I33&gt;=80,"جيد جدًا",IF($I33&gt;=70,"جيد",IF($I33&gt;=60,"مقبول","يحتاج تحسين")))))</f>
        <v/>
      </c>
      <c r="K33" s="40" t="n"/>
    </row>
    <row r="34">
      <c r="A34" s="47" t="n"/>
      <c r="B34" s="50">
        <f>IFERROR(INDEX(الموظفون_الاسم,MATCH($A34,الموظفون_الرقم,0)),"")</f>
        <v/>
      </c>
      <c r="C34" s="47" t="n"/>
      <c r="D34" s="62" t="n"/>
      <c r="E34" s="62" t="n"/>
      <c r="F34" s="62" t="n"/>
      <c r="G34" s="62" t="n"/>
      <c r="H34" s="62" t="n"/>
      <c r="I34" s="113">
        <f>IF($A34="","",IF(COUNT($D34:$H34)=0,"",ROUND($D34*وزن_جودة_العمل+$E34*وزن_الالتزام+$F34*وزن_الإنتاجية+$G34*وزن_التعاون+$H34*وزن_الأهداف,1)))</f>
        <v/>
      </c>
      <c r="J34" s="50">
        <f>IF($I34="","",IF($I34&gt;=90,"ممتاز",IF($I34&gt;=80,"جيد جدًا",IF($I34&gt;=70,"جيد",IF($I34&gt;=60,"مقبول","يحتاج تحسين")))))</f>
        <v/>
      </c>
      <c r="K34" s="47" t="n"/>
    </row>
    <row r="35">
      <c r="A35" s="40" t="n"/>
      <c r="B35" s="43">
        <f>IFERROR(INDEX(الموظفون_الاسم,MATCH($A35,الموظفون_الرقم,0)),"")</f>
        <v/>
      </c>
      <c r="C35" s="40" t="n"/>
      <c r="D35" s="59" t="n"/>
      <c r="E35" s="59" t="n"/>
      <c r="F35" s="59" t="n"/>
      <c r="G35" s="59" t="n"/>
      <c r="H35" s="59" t="n"/>
      <c r="I35" s="111">
        <f>IF($A35="","",IF(COUNT($D35:$H35)=0,"",ROUND($D35*وزن_جودة_العمل+$E35*وزن_الالتزام+$F35*وزن_الإنتاجية+$G35*وزن_التعاون+$H35*وزن_الأهداف,1)))</f>
        <v/>
      </c>
      <c r="J35" s="43">
        <f>IF($I35="","",IF($I35&gt;=90,"ممتاز",IF($I35&gt;=80,"جيد جدًا",IF($I35&gt;=70,"جيد",IF($I35&gt;=60,"مقبول","يحتاج تحسين")))))</f>
        <v/>
      </c>
      <c r="K35" s="40" t="n"/>
    </row>
    <row r="36">
      <c r="A36" s="47" t="n"/>
      <c r="B36" s="50">
        <f>IFERROR(INDEX(الموظفون_الاسم,MATCH($A36,الموظفون_الرقم,0)),"")</f>
        <v/>
      </c>
      <c r="C36" s="47" t="n"/>
      <c r="D36" s="62" t="n"/>
      <c r="E36" s="62" t="n"/>
      <c r="F36" s="62" t="n"/>
      <c r="G36" s="62" t="n"/>
      <c r="H36" s="62" t="n"/>
      <c r="I36" s="113">
        <f>IF($A36="","",IF(COUNT($D36:$H36)=0,"",ROUND($D36*وزن_جودة_العمل+$E36*وزن_الالتزام+$F36*وزن_الإنتاجية+$G36*وزن_التعاون+$H36*وزن_الأهداف,1)))</f>
        <v/>
      </c>
      <c r="J36" s="50">
        <f>IF($I36="","",IF($I36&gt;=90,"ممتاز",IF($I36&gt;=80,"جيد جدًا",IF($I36&gt;=70,"جيد",IF($I36&gt;=60,"مقبول","يحتاج تحسين")))))</f>
        <v/>
      </c>
      <c r="K36" s="47" t="n"/>
    </row>
    <row r="37">
      <c r="A37" s="40" t="n"/>
      <c r="B37" s="43">
        <f>IFERROR(INDEX(الموظفون_الاسم,MATCH($A37,الموظفون_الرقم,0)),"")</f>
        <v/>
      </c>
      <c r="C37" s="40" t="n"/>
      <c r="D37" s="59" t="n"/>
      <c r="E37" s="59" t="n"/>
      <c r="F37" s="59" t="n"/>
      <c r="G37" s="59" t="n"/>
      <c r="H37" s="59" t="n"/>
      <c r="I37" s="111">
        <f>IF($A37="","",IF(COUNT($D37:$H37)=0,"",ROUND($D37*وزن_جودة_العمل+$E37*وزن_الالتزام+$F37*وزن_الإنتاجية+$G37*وزن_التعاون+$H37*وزن_الأهداف,1)))</f>
        <v/>
      </c>
      <c r="J37" s="43">
        <f>IF($I37="","",IF($I37&gt;=90,"ممتاز",IF($I37&gt;=80,"جيد جدًا",IF($I37&gt;=70,"جيد",IF($I37&gt;=60,"مقبول","يحتاج تحسين")))))</f>
        <v/>
      </c>
      <c r="K37" s="40" t="n"/>
    </row>
    <row r="38">
      <c r="A38" s="47" t="n"/>
      <c r="B38" s="50">
        <f>IFERROR(INDEX(الموظفون_الاسم,MATCH($A38,الموظفون_الرقم,0)),"")</f>
        <v/>
      </c>
      <c r="C38" s="47" t="n"/>
      <c r="D38" s="62" t="n"/>
      <c r="E38" s="62" t="n"/>
      <c r="F38" s="62" t="n"/>
      <c r="G38" s="62" t="n"/>
      <c r="H38" s="62" t="n"/>
      <c r="I38" s="113">
        <f>IF($A38="","",IF(COUNT($D38:$H38)=0,"",ROUND($D38*وزن_جودة_العمل+$E38*وزن_الالتزام+$F38*وزن_الإنتاجية+$G38*وزن_التعاون+$H38*وزن_الأهداف,1)))</f>
        <v/>
      </c>
      <c r="J38" s="50">
        <f>IF($I38="","",IF($I38&gt;=90,"ممتاز",IF($I38&gt;=80,"جيد جدًا",IF($I38&gt;=70,"جيد",IF($I38&gt;=60,"مقبول","يحتاج تحسين")))))</f>
        <v/>
      </c>
      <c r="K38" s="47" t="n"/>
    </row>
    <row r="39">
      <c r="A39" s="40" t="n"/>
      <c r="B39" s="43">
        <f>IFERROR(INDEX(الموظفون_الاسم,MATCH($A39,الموظفون_الرقم,0)),"")</f>
        <v/>
      </c>
      <c r="C39" s="40" t="n"/>
      <c r="D39" s="59" t="n"/>
      <c r="E39" s="59" t="n"/>
      <c r="F39" s="59" t="n"/>
      <c r="G39" s="59" t="n"/>
      <c r="H39" s="59" t="n"/>
      <c r="I39" s="111">
        <f>IF($A39="","",IF(COUNT($D39:$H39)=0,"",ROUND($D39*وزن_جودة_العمل+$E39*وزن_الالتزام+$F39*وزن_الإنتاجية+$G39*وزن_التعاون+$H39*وزن_الأهداف,1)))</f>
        <v/>
      </c>
      <c r="J39" s="43">
        <f>IF($I39="","",IF($I39&gt;=90,"ممتاز",IF($I39&gt;=80,"جيد جدًا",IF($I39&gt;=70,"جيد",IF($I39&gt;=60,"مقبول","يحتاج تحسين")))))</f>
        <v/>
      </c>
      <c r="K39" s="40" t="n"/>
    </row>
    <row r="40">
      <c r="A40" s="47" t="n"/>
      <c r="B40" s="50">
        <f>IFERROR(INDEX(الموظفون_الاسم,MATCH($A40,الموظفون_الرقم,0)),"")</f>
        <v/>
      </c>
      <c r="C40" s="47" t="n"/>
      <c r="D40" s="62" t="n"/>
      <c r="E40" s="62" t="n"/>
      <c r="F40" s="62" t="n"/>
      <c r="G40" s="62" t="n"/>
      <c r="H40" s="62" t="n"/>
      <c r="I40" s="113">
        <f>IF($A40="","",IF(COUNT($D40:$H40)=0,"",ROUND($D40*وزن_جودة_العمل+$E40*وزن_الالتزام+$F40*وزن_الإنتاجية+$G40*وزن_التعاون+$H40*وزن_الأهداف,1)))</f>
        <v/>
      </c>
      <c r="J40" s="50">
        <f>IF($I40="","",IF($I40&gt;=90,"ممتاز",IF($I40&gt;=80,"جيد جدًا",IF($I40&gt;=70,"جيد",IF($I40&gt;=60,"مقبول","يحتاج تحسين")))))</f>
        <v/>
      </c>
      <c r="K40" s="47" t="n"/>
    </row>
    <row r="41">
      <c r="A41" s="40" t="n"/>
      <c r="B41" s="43">
        <f>IFERROR(INDEX(الموظفون_الاسم,MATCH($A41,الموظفون_الرقم,0)),"")</f>
        <v/>
      </c>
      <c r="C41" s="40" t="n"/>
      <c r="D41" s="59" t="n"/>
      <c r="E41" s="59" t="n"/>
      <c r="F41" s="59" t="n"/>
      <c r="G41" s="59" t="n"/>
      <c r="H41" s="59" t="n"/>
      <c r="I41" s="111">
        <f>IF($A41="","",IF(COUNT($D41:$H41)=0,"",ROUND($D41*وزن_جودة_العمل+$E41*وزن_الالتزام+$F41*وزن_الإنتاجية+$G41*وزن_التعاون+$H41*وزن_الأهداف,1)))</f>
        <v/>
      </c>
      <c r="J41" s="43">
        <f>IF($I41="","",IF($I41&gt;=90,"ممتاز",IF($I41&gt;=80,"جيد جدًا",IF($I41&gt;=70,"جيد",IF($I41&gt;=60,"مقبول","يحتاج تحسين")))))</f>
        <v/>
      </c>
      <c r="K41" s="40" t="n"/>
    </row>
    <row r="42">
      <c r="A42" s="47" t="n"/>
      <c r="B42" s="50">
        <f>IFERROR(INDEX(الموظفون_الاسم,MATCH($A42,الموظفون_الرقم,0)),"")</f>
        <v/>
      </c>
      <c r="C42" s="47" t="n"/>
      <c r="D42" s="62" t="n"/>
      <c r="E42" s="62" t="n"/>
      <c r="F42" s="62" t="n"/>
      <c r="G42" s="62" t="n"/>
      <c r="H42" s="62" t="n"/>
      <c r="I42" s="113">
        <f>IF($A42="","",IF(COUNT($D42:$H42)=0,"",ROUND($D42*وزن_جودة_العمل+$E42*وزن_الالتزام+$F42*وزن_الإنتاجية+$G42*وزن_التعاون+$H42*وزن_الأهداف,1)))</f>
        <v/>
      </c>
      <c r="J42" s="50">
        <f>IF($I42="","",IF($I42&gt;=90,"ممتاز",IF($I42&gt;=80,"جيد جدًا",IF($I42&gt;=70,"جيد",IF($I42&gt;=60,"مقبول","يحتاج تحسين")))))</f>
        <v/>
      </c>
      <c r="K42" s="47" t="n"/>
    </row>
    <row r="43">
      <c r="A43" s="40" t="n"/>
      <c r="B43" s="43">
        <f>IFERROR(INDEX(الموظفون_الاسم,MATCH($A43,الموظفون_الرقم,0)),"")</f>
        <v/>
      </c>
      <c r="C43" s="40" t="n"/>
      <c r="D43" s="59" t="n"/>
      <c r="E43" s="59" t="n"/>
      <c r="F43" s="59" t="n"/>
      <c r="G43" s="59" t="n"/>
      <c r="H43" s="59" t="n"/>
      <c r="I43" s="111">
        <f>IF($A43="","",IF(COUNT($D43:$H43)=0,"",ROUND($D43*وزن_جودة_العمل+$E43*وزن_الالتزام+$F43*وزن_الإنتاجية+$G43*وزن_التعاون+$H43*وزن_الأهداف,1)))</f>
        <v/>
      </c>
      <c r="J43" s="43">
        <f>IF($I43="","",IF($I43&gt;=90,"ممتاز",IF($I43&gt;=80,"جيد جدًا",IF($I43&gt;=70,"جيد",IF($I43&gt;=60,"مقبول","يحتاج تحسين")))))</f>
        <v/>
      </c>
      <c r="K43" s="40" t="n"/>
    </row>
    <row r="44">
      <c r="A44" s="47" t="n"/>
      <c r="B44" s="50">
        <f>IFERROR(INDEX(الموظفون_الاسم,MATCH($A44,الموظفون_الرقم,0)),"")</f>
        <v/>
      </c>
      <c r="C44" s="47" t="n"/>
      <c r="D44" s="62" t="n"/>
      <c r="E44" s="62" t="n"/>
      <c r="F44" s="62" t="n"/>
      <c r="G44" s="62" t="n"/>
      <c r="H44" s="62" t="n"/>
      <c r="I44" s="113">
        <f>IF($A44="","",IF(COUNT($D44:$H44)=0,"",ROUND($D44*وزن_جودة_العمل+$E44*وزن_الالتزام+$F44*وزن_الإنتاجية+$G44*وزن_التعاون+$H44*وزن_الأهداف,1)))</f>
        <v/>
      </c>
      <c r="J44" s="50">
        <f>IF($I44="","",IF($I44&gt;=90,"ممتاز",IF($I44&gt;=80,"جيد جدًا",IF($I44&gt;=70,"جيد",IF($I44&gt;=60,"مقبول","يحتاج تحسين")))))</f>
        <v/>
      </c>
      <c r="K44" s="47" t="n"/>
    </row>
    <row r="45">
      <c r="A45" s="40" t="n"/>
      <c r="B45" s="43">
        <f>IFERROR(INDEX(الموظفون_الاسم,MATCH($A45,الموظفون_الرقم,0)),"")</f>
        <v/>
      </c>
      <c r="C45" s="40" t="n"/>
      <c r="D45" s="59" t="n"/>
      <c r="E45" s="59" t="n"/>
      <c r="F45" s="59" t="n"/>
      <c r="G45" s="59" t="n"/>
      <c r="H45" s="59" t="n"/>
      <c r="I45" s="111">
        <f>IF($A45="","",IF(COUNT($D45:$H45)=0,"",ROUND($D45*وزن_جودة_العمل+$E45*وزن_الالتزام+$F45*وزن_الإنتاجية+$G45*وزن_التعاون+$H45*وزن_الأهداف,1)))</f>
        <v/>
      </c>
      <c r="J45" s="43">
        <f>IF($I45="","",IF($I45&gt;=90,"ممتاز",IF($I45&gt;=80,"جيد جدًا",IF($I45&gt;=70,"جيد",IF($I45&gt;=60,"مقبول","يحتاج تحسين")))))</f>
        <v/>
      </c>
      <c r="K45" s="40" t="n"/>
    </row>
    <row r="46">
      <c r="A46" s="47" t="n"/>
      <c r="B46" s="50">
        <f>IFERROR(INDEX(الموظفون_الاسم,MATCH($A46,الموظفون_الرقم,0)),"")</f>
        <v/>
      </c>
      <c r="C46" s="47" t="n"/>
      <c r="D46" s="62" t="n"/>
      <c r="E46" s="62" t="n"/>
      <c r="F46" s="62" t="n"/>
      <c r="G46" s="62" t="n"/>
      <c r="H46" s="62" t="n"/>
      <c r="I46" s="113">
        <f>IF($A46="","",IF(COUNT($D46:$H46)=0,"",ROUND($D46*وزن_جودة_العمل+$E46*وزن_الالتزام+$F46*وزن_الإنتاجية+$G46*وزن_التعاون+$H46*وزن_الأهداف,1)))</f>
        <v/>
      </c>
      <c r="J46" s="50">
        <f>IF($I46="","",IF($I46&gt;=90,"ممتاز",IF($I46&gt;=80,"جيد جدًا",IF($I46&gt;=70,"جيد",IF($I46&gt;=60,"مقبول","يحتاج تحسين")))))</f>
        <v/>
      </c>
      <c r="K46" s="47" t="n"/>
    </row>
    <row r="47">
      <c r="A47" s="40" t="n"/>
      <c r="B47" s="43">
        <f>IFERROR(INDEX(الموظفون_الاسم,MATCH($A47,الموظفون_الرقم,0)),"")</f>
        <v/>
      </c>
      <c r="C47" s="40" t="n"/>
      <c r="D47" s="59" t="n"/>
      <c r="E47" s="59" t="n"/>
      <c r="F47" s="59" t="n"/>
      <c r="G47" s="59" t="n"/>
      <c r="H47" s="59" t="n"/>
      <c r="I47" s="111">
        <f>IF($A47="","",IF(COUNT($D47:$H47)=0,"",ROUND($D47*وزن_جودة_العمل+$E47*وزن_الالتزام+$F47*وزن_الإنتاجية+$G47*وزن_التعاون+$H47*وزن_الأهداف,1)))</f>
        <v/>
      </c>
      <c r="J47" s="43">
        <f>IF($I47="","",IF($I47&gt;=90,"ممتاز",IF($I47&gt;=80,"جيد جدًا",IF($I47&gt;=70,"جيد",IF($I47&gt;=60,"مقبول","يحتاج تحسين")))))</f>
        <v/>
      </c>
      <c r="K47" s="40" t="n"/>
    </row>
    <row r="48">
      <c r="A48" s="47" t="n"/>
      <c r="B48" s="50">
        <f>IFERROR(INDEX(الموظفون_الاسم,MATCH($A48,الموظفون_الرقم,0)),"")</f>
        <v/>
      </c>
      <c r="C48" s="47" t="n"/>
      <c r="D48" s="62" t="n"/>
      <c r="E48" s="62" t="n"/>
      <c r="F48" s="62" t="n"/>
      <c r="G48" s="62" t="n"/>
      <c r="H48" s="62" t="n"/>
      <c r="I48" s="113">
        <f>IF($A48="","",IF(COUNT($D48:$H48)=0,"",ROUND($D48*وزن_جودة_العمل+$E48*وزن_الالتزام+$F48*وزن_الإنتاجية+$G48*وزن_التعاون+$H48*وزن_الأهداف,1)))</f>
        <v/>
      </c>
      <c r="J48" s="50">
        <f>IF($I48="","",IF($I48&gt;=90,"ممتاز",IF($I48&gt;=80,"جيد جدًا",IF($I48&gt;=70,"جيد",IF($I48&gt;=60,"مقبول","يحتاج تحسين")))))</f>
        <v/>
      </c>
      <c r="K48" s="47" t="n"/>
    </row>
    <row r="49">
      <c r="A49" s="40" t="n"/>
      <c r="B49" s="43">
        <f>IFERROR(INDEX(الموظفون_الاسم,MATCH($A49,الموظفون_الرقم,0)),"")</f>
        <v/>
      </c>
      <c r="C49" s="40" t="n"/>
      <c r="D49" s="59" t="n"/>
      <c r="E49" s="59" t="n"/>
      <c r="F49" s="59" t="n"/>
      <c r="G49" s="59" t="n"/>
      <c r="H49" s="59" t="n"/>
      <c r="I49" s="111">
        <f>IF($A49="","",IF(COUNT($D49:$H49)=0,"",ROUND($D49*وزن_جودة_العمل+$E49*وزن_الالتزام+$F49*وزن_الإنتاجية+$G49*وزن_التعاون+$H49*وزن_الأهداف,1)))</f>
        <v/>
      </c>
      <c r="J49" s="43">
        <f>IF($I49="","",IF($I49&gt;=90,"ممتاز",IF($I49&gt;=80,"جيد جدًا",IF($I49&gt;=70,"جيد",IF($I49&gt;=60,"مقبول","يحتاج تحسين")))))</f>
        <v/>
      </c>
      <c r="K49" s="40" t="n"/>
    </row>
    <row r="50">
      <c r="A50" s="47" t="n"/>
      <c r="B50" s="50">
        <f>IFERROR(INDEX(الموظفون_الاسم,MATCH($A50,الموظفون_الرقم,0)),"")</f>
        <v/>
      </c>
      <c r="C50" s="47" t="n"/>
      <c r="D50" s="62" t="n"/>
      <c r="E50" s="62" t="n"/>
      <c r="F50" s="62" t="n"/>
      <c r="G50" s="62" t="n"/>
      <c r="H50" s="62" t="n"/>
      <c r="I50" s="113">
        <f>IF($A50="","",IF(COUNT($D50:$H50)=0,"",ROUND($D50*وزن_جودة_العمل+$E50*وزن_الالتزام+$F50*وزن_الإنتاجية+$G50*وزن_التعاون+$H50*وزن_الأهداف,1)))</f>
        <v/>
      </c>
      <c r="J50" s="50">
        <f>IF($I50="","",IF($I50&gt;=90,"ممتاز",IF($I50&gt;=80,"جيد جدًا",IF($I50&gt;=70,"جيد",IF($I50&gt;=60,"مقبول","يحتاج تحسين")))))</f>
        <v/>
      </c>
      <c r="K50" s="47" t="n"/>
    </row>
    <row r="51">
      <c r="A51" s="40" t="n"/>
      <c r="B51" s="43">
        <f>IFERROR(INDEX(الموظفون_الاسم,MATCH($A51,الموظفون_الرقم,0)),"")</f>
        <v/>
      </c>
      <c r="C51" s="40" t="n"/>
      <c r="D51" s="59" t="n"/>
      <c r="E51" s="59" t="n"/>
      <c r="F51" s="59" t="n"/>
      <c r="G51" s="59" t="n"/>
      <c r="H51" s="59" t="n"/>
      <c r="I51" s="111">
        <f>IF($A51="","",IF(COUNT($D51:$H51)=0,"",ROUND($D51*وزن_جودة_العمل+$E51*وزن_الالتزام+$F51*وزن_الإنتاجية+$G51*وزن_التعاون+$H51*وزن_الأهداف,1)))</f>
        <v/>
      </c>
      <c r="J51" s="43">
        <f>IF($I51="","",IF($I51&gt;=90,"ممتاز",IF($I51&gt;=80,"جيد جدًا",IF($I51&gt;=70,"جيد",IF($I51&gt;=60,"مقبول","يحتاج تحسين")))))</f>
        <v/>
      </c>
      <c r="K51" s="40" t="n"/>
    </row>
    <row r="52">
      <c r="A52" s="47" t="n"/>
      <c r="B52" s="50">
        <f>IFERROR(INDEX(الموظفون_الاسم,MATCH($A52,الموظفون_الرقم,0)),"")</f>
        <v/>
      </c>
      <c r="C52" s="47" t="n"/>
      <c r="D52" s="62" t="n"/>
      <c r="E52" s="62" t="n"/>
      <c r="F52" s="62" t="n"/>
      <c r="G52" s="62" t="n"/>
      <c r="H52" s="62" t="n"/>
      <c r="I52" s="113">
        <f>IF($A52="","",IF(COUNT($D52:$H52)=0,"",ROUND($D52*وزن_جودة_العمل+$E52*وزن_الالتزام+$F52*وزن_الإنتاجية+$G52*وزن_التعاون+$H52*وزن_الأهداف,1)))</f>
        <v/>
      </c>
      <c r="J52" s="50">
        <f>IF($I52="","",IF($I52&gt;=90,"ممتاز",IF($I52&gt;=80,"جيد جدًا",IF($I52&gt;=70,"جيد",IF($I52&gt;=60,"مقبول","يحتاج تحسين")))))</f>
        <v/>
      </c>
      <c r="K52" s="47" t="n"/>
    </row>
    <row r="53">
      <c r="A53" s="40" t="n"/>
      <c r="B53" s="43">
        <f>IFERROR(INDEX(الموظفون_الاسم,MATCH($A53,الموظفون_الرقم,0)),"")</f>
        <v/>
      </c>
      <c r="C53" s="40" t="n"/>
      <c r="D53" s="59" t="n"/>
      <c r="E53" s="59" t="n"/>
      <c r="F53" s="59" t="n"/>
      <c r="G53" s="59" t="n"/>
      <c r="H53" s="59" t="n"/>
      <c r="I53" s="111">
        <f>IF($A53="","",IF(COUNT($D53:$H53)=0,"",ROUND($D53*وزن_جودة_العمل+$E53*وزن_الالتزام+$F53*وزن_الإنتاجية+$G53*وزن_التعاون+$H53*وزن_الأهداف,1)))</f>
        <v/>
      </c>
      <c r="J53" s="43">
        <f>IF($I53="","",IF($I53&gt;=90,"ممتاز",IF($I53&gt;=80,"جيد جدًا",IF($I53&gt;=70,"جيد",IF($I53&gt;=60,"مقبول","يحتاج تحسين")))))</f>
        <v/>
      </c>
      <c r="K53" s="40" t="n"/>
    </row>
    <row r="54">
      <c r="A54" s="47" t="n"/>
      <c r="B54" s="50">
        <f>IFERROR(INDEX(الموظفون_الاسم,MATCH($A54,الموظفون_الرقم,0)),"")</f>
        <v/>
      </c>
      <c r="C54" s="47" t="n"/>
      <c r="D54" s="62" t="n"/>
      <c r="E54" s="62" t="n"/>
      <c r="F54" s="62" t="n"/>
      <c r="G54" s="62" t="n"/>
      <c r="H54" s="62" t="n"/>
      <c r="I54" s="113">
        <f>IF($A54="","",IF(COUNT($D54:$H54)=0,"",ROUND($D54*وزن_جودة_العمل+$E54*وزن_الالتزام+$F54*وزن_الإنتاجية+$G54*وزن_التعاون+$H54*وزن_الأهداف,1)))</f>
        <v/>
      </c>
      <c r="J54" s="50">
        <f>IF($I54="","",IF($I54&gt;=90,"ممتاز",IF($I54&gt;=80,"جيد جدًا",IF($I54&gt;=70,"جيد",IF($I54&gt;=60,"مقبول","يحتاج تحسين")))))</f>
        <v/>
      </c>
      <c r="K54" s="47" t="n"/>
    </row>
    <row r="55">
      <c r="A55" s="40" t="n"/>
      <c r="B55" s="43">
        <f>IFERROR(INDEX(الموظفون_الاسم,MATCH($A55,الموظفون_الرقم,0)),"")</f>
        <v/>
      </c>
      <c r="C55" s="40" t="n"/>
      <c r="D55" s="59" t="n"/>
      <c r="E55" s="59" t="n"/>
      <c r="F55" s="59" t="n"/>
      <c r="G55" s="59" t="n"/>
      <c r="H55" s="59" t="n"/>
      <c r="I55" s="111">
        <f>IF($A55="","",IF(COUNT($D55:$H55)=0,"",ROUND($D55*وزن_جودة_العمل+$E55*وزن_الالتزام+$F55*وزن_الإنتاجية+$G55*وزن_التعاون+$H55*وزن_الأهداف,1)))</f>
        <v/>
      </c>
      <c r="J55" s="43">
        <f>IF($I55="","",IF($I55&gt;=90,"ممتاز",IF($I55&gt;=80,"جيد جدًا",IF($I55&gt;=70,"جيد",IF($I55&gt;=60,"مقبول","يحتاج تحسين")))))</f>
        <v/>
      </c>
      <c r="K55" s="40" t="n"/>
    </row>
    <row r="56">
      <c r="A56" s="47" t="n"/>
      <c r="B56" s="50">
        <f>IFERROR(INDEX(الموظفون_الاسم,MATCH($A56,الموظفون_الرقم,0)),"")</f>
        <v/>
      </c>
      <c r="C56" s="47" t="n"/>
      <c r="D56" s="62" t="n"/>
      <c r="E56" s="62" t="n"/>
      <c r="F56" s="62" t="n"/>
      <c r="G56" s="62" t="n"/>
      <c r="H56" s="62" t="n"/>
      <c r="I56" s="113">
        <f>IF($A56="","",IF(COUNT($D56:$H56)=0,"",ROUND($D56*وزن_جودة_العمل+$E56*وزن_الالتزام+$F56*وزن_الإنتاجية+$G56*وزن_التعاون+$H56*وزن_الأهداف,1)))</f>
        <v/>
      </c>
      <c r="J56" s="50">
        <f>IF($I56="","",IF($I56&gt;=90,"ممتاز",IF($I56&gt;=80,"جيد جدًا",IF($I56&gt;=70,"جيد",IF($I56&gt;=60,"مقبول","يحتاج تحسين")))))</f>
        <v/>
      </c>
      <c r="K56" s="47" t="n"/>
    </row>
    <row r="57">
      <c r="A57" s="40" t="n"/>
      <c r="B57" s="43">
        <f>IFERROR(INDEX(الموظفون_الاسم,MATCH($A57,الموظفون_الرقم,0)),"")</f>
        <v/>
      </c>
      <c r="C57" s="40" t="n"/>
      <c r="D57" s="59" t="n"/>
      <c r="E57" s="59" t="n"/>
      <c r="F57" s="59" t="n"/>
      <c r="G57" s="59" t="n"/>
      <c r="H57" s="59" t="n"/>
      <c r="I57" s="111">
        <f>IF($A57="","",IF(COUNT($D57:$H57)=0,"",ROUND($D57*وزن_جودة_العمل+$E57*وزن_الالتزام+$F57*وزن_الإنتاجية+$G57*وزن_التعاون+$H57*وزن_الأهداف,1)))</f>
        <v/>
      </c>
      <c r="J57" s="43">
        <f>IF($I57="","",IF($I57&gt;=90,"ممتاز",IF($I57&gt;=80,"جيد جدًا",IF($I57&gt;=70,"جيد",IF($I57&gt;=60,"مقبول","يحتاج تحسين")))))</f>
        <v/>
      </c>
      <c r="K57" s="40" t="n"/>
    </row>
    <row r="58">
      <c r="A58" s="47" t="n"/>
      <c r="B58" s="50">
        <f>IFERROR(INDEX(الموظفون_الاسم,MATCH($A58,الموظفون_الرقم,0)),"")</f>
        <v/>
      </c>
      <c r="C58" s="47" t="n"/>
      <c r="D58" s="62" t="n"/>
      <c r="E58" s="62" t="n"/>
      <c r="F58" s="62" t="n"/>
      <c r="G58" s="62" t="n"/>
      <c r="H58" s="62" t="n"/>
      <c r="I58" s="113">
        <f>IF($A58="","",IF(COUNT($D58:$H58)=0,"",ROUND($D58*وزن_جودة_العمل+$E58*وزن_الالتزام+$F58*وزن_الإنتاجية+$G58*وزن_التعاون+$H58*وزن_الأهداف,1)))</f>
        <v/>
      </c>
      <c r="J58" s="50">
        <f>IF($I58="","",IF($I58&gt;=90,"ممتاز",IF($I58&gt;=80,"جيد جدًا",IF($I58&gt;=70,"جيد",IF($I58&gt;=60,"مقبول","يحتاج تحسين")))))</f>
        <v/>
      </c>
      <c r="K58" s="47" t="n"/>
    </row>
    <row r="59">
      <c r="A59" s="40" t="n"/>
      <c r="B59" s="43">
        <f>IFERROR(INDEX(الموظفون_الاسم,MATCH($A59,الموظفون_الرقم,0)),"")</f>
        <v/>
      </c>
      <c r="C59" s="40" t="n"/>
      <c r="D59" s="59" t="n"/>
      <c r="E59" s="59" t="n"/>
      <c r="F59" s="59" t="n"/>
      <c r="G59" s="59" t="n"/>
      <c r="H59" s="59" t="n"/>
      <c r="I59" s="111">
        <f>IF($A59="","",IF(COUNT($D59:$H59)=0,"",ROUND($D59*وزن_جودة_العمل+$E59*وزن_الالتزام+$F59*وزن_الإنتاجية+$G59*وزن_التعاون+$H59*وزن_الأهداف,1)))</f>
        <v/>
      </c>
      <c r="J59" s="43">
        <f>IF($I59="","",IF($I59&gt;=90,"ممتاز",IF($I59&gt;=80,"جيد جدًا",IF($I59&gt;=70,"جيد",IF($I59&gt;=60,"مقبول","يحتاج تحسين")))))</f>
        <v/>
      </c>
      <c r="K59" s="40" t="n"/>
    </row>
    <row r="60">
      <c r="A60" s="47" t="n"/>
      <c r="B60" s="50">
        <f>IFERROR(INDEX(الموظفون_الاسم,MATCH($A60,الموظفون_الرقم,0)),"")</f>
        <v/>
      </c>
      <c r="C60" s="47" t="n"/>
      <c r="D60" s="62" t="n"/>
      <c r="E60" s="62" t="n"/>
      <c r="F60" s="62" t="n"/>
      <c r="G60" s="62" t="n"/>
      <c r="H60" s="62" t="n"/>
      <c r="I60" s="113">
        <f>IF($A60="","",IF(COUNT($D60:$H60)=0,"",ROUND($D60*وزن_جودة_العمل+$E60*وزن_الالتزام+$F60*وزن_الإنتاجية+$G60*وزن_التعاون+$H60*وزن_الأهداف,1)))</f>
        <v/>
      </c>
      <c r="J60" s="50">
        <f>IF($I60="","",IF($I60&gt;=90,"ممتاز",IF($I60&gt;=80,"جيد جدًا",IF($I60&gt;=70,"جيد",IF($I60&gt;=60,"مقبول","يحتاج تحسين")))))</f>
        <v/>
      </c>
      <c r="K60" s="47" t="n"/>
    </row>
    <row r="61">
      <c r="A61" s="40" t="n"/>
      <c r="B61" s="43">
        <f>IFERROR(INDEX(الموظفون_الاسم,MATCH($A61,الموظفون_الرقم,0)),"")</f>
        <v/>
      </c>
      <c r="C61" s="40" t="n"/>
      <c r="D61" s="59" t="n"/>
      <c r="E61" s="59" t="n"/>
      <c r="F61" s="59" t="n"/>
      <c r="G61" s="59" t="n"/>
      <c r="H61" s="59" t="n"/>
      <c r="I61" s="111">
        <f>IF($A61="","",IF(COUNT($D61:$H61)=0,"",ROUND($D61*وزن_جودة_العمل+$E61*وزن_الالتزام+$F61*وزن_الإنتاجية+$G61*وزن_التعاون+$H61*وزن_الأهداف,1)))</f>
        <v/>
      </c>
      <c r="J61" s="43">
        <f>IF($I61="","",IF($I61&gt;=90,"ممتاز",IF($I61&gt;=80,"جيد جدًا",IF($I61&gt;=70,"جيد",IF($I61&gt;=60,"مقبول","يحتاج تحسين")))))</f>
        <v/>
      </c>
      <c r="K61" s="40" t="n"/>
    </row>
    <row r="62">
      <c r="A62" s="47" t="n"/>
      <c r="B62" s="50">
        <f>IFERROR(INDEX(الموظفون_الاسم,MATCH($A62,الموظفون_الرقم,0)),"")</f>
        <v/>
      </c>
      <c r="C62" s="47" t="n"/>
      <c r="D62" s="62" t="n"/>
      <c r="E62" s="62" t="n"/>
      <c r="F62" s="62" t="n"/>
      <c r="G62" s="62" t="n"/>
      <c r="H62" s="62" t="n"/>
      <c r="I62" s="113">
        <f>IF($A62="","",IF(COUNT($D62:$H62)=0,"",ROUND($D62*وزن_جودة_العمل+$E62*وزن_الالتزام+$F62*وزن_الإنتاجية+$G62*وزن_التعاون+$H62*وزن_الأهداف,1)))</f>
        <v/>
      </c>
      <c r="J62" s="50">
        <f>IF($I62="","",IF($I62&gt;=90,"ممتاز",IF($I62&gt;=80,"جيد جدًا",IF($I62&gt;=70,"جيد",IF($I62&gt;=60,"مقبول","يحتاج تحسين")))))</f>
        <v/>
      </c>
      <c r="K62" s="47" t="n"/>
    </row>
    <row r="63">
      <c r="A63" s="40" t="n"/>
      <c r="B63" s="43">
        <f>IFERROR(INDEX(الموظفون_الاسم,MATCH($A63,الموظفون_الرقم,0)),"")</f>
        <v/>
      </c>
      <c r="C63" s="40" t="n"/>
      <c r="D63" s="59" t="n"/>
      <c r="E63" s="59" t="n"/>
      <c r="F63" s="59" t="n"/>
      <c r="G63" s="59" t="n"/>
      <c r="H63" s="59" t="n"/>
      <c r="I63" s="111">
        <f>IF($A63="","",IF(COUNT($D63:$H63)=0,"",ROUND($D63*وزن_جودة_العمل+$E63*وزن_الالتزام+$F63*وزن_الإنتاجية+$G63*وزن_التعاون+$H63*وزن_الأهداف,1)))</f>
        <v/>
      </c>
      <c r="J63" s="43">
        <f>IF($I63="","",IF($I63&gt;=90,"ممتاز",IF($I63&gt;=80,"جيد جدًا",IF($I63&gt;=70,"جيد",IF($I63&gt;=60,"مقبول","يحتاج تحسين")))))</f>
        <v/>
      </c>
      <c r="K63" s="40" t="n"/>
    </row>
    <row r="64">
      <c r="A64" s="47" t="n"/>
      <c r="B64" s="50">
        <f>IFERROR(INDEX(الموظفون_الاسم,MATCH($A64,الموظفون_الرقم,0)),"")</f>
        <v/>
      </c>
      <c r="C64" s="47" t="n"/>
      <c r="D64" s="62" t="n"/>
      <c r="E64" s="62" t="n"/>
      <c r="F64" s="62" t="n"/>
      <c r="G64" s="62" t="n"/>
      <c r="H64" s="62" t="n"/>
      <c r="I64" s="113">
        <f>IF($A64="","",IF(COUNT($D64:$H64)=0,"",ROUND($D64*وزن_جودة_العمل+$E64*وزن_الالتزام+$F64*وزن_الإنتاجية+$G64*وزن_التعاون+$H64*وزن_الأهداف,1)))</f>
        <v/>
      </c>
      <c r="J64" s="50">
        <f>IF($I64="","",IF($I64&gt;=90,"ممتاز",IF($I64&gt;=80,"جيد جدًا",IF($I64&gt;=70,"جيد",IF($I64&gt;=60,"مقبول","يحتاج تحسين")))))</f>
        <v/>
      </c>
      <c r="K64" s="47" t="n"/>
    </row>
    <row r="65">
      <c r="A65" s="40" t="n"/>
      <c r="B65" s="43">
        <f>IFERROR(INDEX(الموظفون_الاسم,MATCH($A65,الموظفون_الرقم,0)),"")</f>
        <v/>
      </c>
      <c r="C65" s="40" t="n"/>
      <c r="D65" s="59" t="n"/>
      <c r="E65" s="59" t="n"/>
      <c r="F65" s="59" t="n"/>
      <c r="G65" s="59" t="n"/>
      <c r="H65" s="59" t="n"/>
      <c r="I65" s="111">
        <f>IF($A65="","",IF(COUNT($D65:$H65)=0,"",ROUND($D65*وزن_جودة_العمل+$E65*وزن_الالتزام+$F65*وزن_الإنتاجية+$G65*وزن_التعاون+$H65*وزن_الأهداف,1)))</f>
        <v/>
      </c>
      <c r="J65" s="43">
        <f>IF($I65="","",IF($I65&gt;=90,"ممتاز",IF($I65&gt;=80,"جيد جدًا",IF($I65&gt;=70,"جيد",IF($I65&gt;=60,"مقبول","يحتاج تحسين")))))</f>
        <v/>
      </c>
      <c r="K65" s="40" t="n"/>
    </row>
    <row r="66">
      <c r="A66" s="47" t="n"/>
      <c r="B66" s="50">
        <f>IFERROR(INDEX(الموظفون_الاسم,MATCH($A66,الموظفون_الرقم,0)),"")</f>
        <v/>
      </c>
      <c r="C66" s="47" t="n"/>
      <c r="D66" s="62" t="n"/>
      <c r="E66" s="62" t="n"/>
      <c r="F66" s="62" t="n"/>
      <c r="G66" s="62" t="n"/>
      <c r="H66" s="62" t="n"/>
      <c r="I66" s="113">
        <f>IF($A66="","",IF(COUNT($D66:$H66)=0,"",ROUND($D66*وزن_جودة_العمل+$E66*وزن_الالتزام+$F66*وزن_الإنتاجية+$G66*وزن_التعاون+$H66*وزن_الأهداف,1)))</f>
        <v/>
      </c>
      <c r="J66" s="50">
        <f>IF($I66="","",IF($I66&gt;=90,"ممتاز",IF($I66&gt;=80,"جيد جدًا",IF($I66&gt;=70,"جيد",IF($I66&gt;=60,"مقبول","يحتاج تحسين")))))</f>
        <v/>
      </c>
      <c r="K66" s="47" t="n"/>
    </row>
    <row r="67">
      <c r="A67" s="40" t="n"/>
      <c r="B67" s="43">
        <f>IFERROR(INDEX(الموظفون_الاسم,MATCH($A67,الموظفون_الرقم,0)),"")</f>
        <v/>
      </c>
      <c r="C67" s="40" t="n"/>
      <c r="D67" s="59" t="n"/>
      <c r="E67" s="59" t="n"/>
      <c r="F67" s="59" t="n"/>
      <c r="G67" s="59" t="n"/>
      <c r="H67" s="59" t="n"/>
      <c r="I67" s="111">
        <f>IF($A67="","",IF(COUNT($D67:$H67)=0,"",ROUND($D67*وزن_جودة_العمل+$E67*وزن_الالتزام+$F67*وزن_الإنتاجية+$G67*وزن_التعاون+$H67*وزن_الأهداف,1)))</f>
        <v/>
      </c>
      <c r="J67" s="43">
        <f>IF($I67="","",IF($I67&gt;=90,"ممتاز",IF($I67&gt;=80,"جيد جدًا",IF($I67&gt;=70,"جيد",IF($I67&gt;=60,"مقبول","يحتاج تحسين")))))</f>
        <v/>
      </c>
      <c r="K67" s="40" t="n"/>
    </row>
    <row r="68">
      <c r="A68" s="47" t="n"/>
      <c r="B68" s="50">
        <f>IFERROR(INDEX(الموظفون_الاسم,MATCH($A68,الموظفون_الرقم,0)),"")</f>
        <v/>
      </c>
      <c r="C68" s="47" t="n"/>
      <c r="D68" s="62" t="n"/>
      <c r="E68" s="62" t="n"/>
      <c r="F68" s="62" t="n"/>
      <c r="G68" s="62" t="n"/>
      <c r="H68" s="62" t="n"/>
      <c r="I68" s="113">
        <f>IF($A68="","",IF(COUNT($D68:$H68)=0,"",ROUND($D68*وزن_جودة_العمل+$E68*وزن_الالتزام+$F68*وزن_الإنتاجية+$G68*وزن_التعاون+$H68*وزن_الأهداف,1)))</f>
        <v/>
      </c>
      <c r="J68" s="50">
        <f>IF($I68="","",IF($I68&gt;=90,"ممتاز",IF($I68&gt;=80,"جيد جدًا",IF($I68&gt;=70,"جيد",IF($I68&gt;=60,"مقبول","يحتاج تحسين")))))</f>
        <v/>
      </c>
      <c r="K68" s="47" t="n"/>
    </row>
    <row r="69">
      <c r="A69" s="40" t="n"/>
      <c r="B69" s="43">
        <f>IFERROR(INDEX(الموظفون_الاسم,MATCH($A69,الموظفون_الرقم,0)),"")</f>
        <v/>
      </c>
      <c r="C69" s="40" t="n"/>
      <c r="D69" s="59" t="n"/>
      <c r="E69" s="59" t="n"/>
      <c r="F69" s="59" t="n"/>
      <c r="G69" s="59" t="n"/>
      <c r="H69" s="59" t="n"/>
      <c r="I69" s="111">
        <f>IF($A69="","",IF(COUNT($D69:$H69)=0,"",ROUND($D69*وزن_جودة_العمل+$E69*وزن_الالتزام+$F69*وزن_الإنتاجية+$G69*وزن_التعاون+$H69*وزن_الأهداف,1)))</f>
        <v/>
      </c>
      <c r="J69" s="43">
        <f>IF($I69="","",IF($I69&gt;=90,"ممتاز",IF($I69&gt;=80,"جيد جدًا",IF($I69&gt;=70,"جيد",IF($I69&gt;=60,"مقبول","يحتاج تحسين")))))</f>
        <v/>
      </c>
      <c r="K69" s="40" t="n"/>
    </row>
    <row r="70">
      <c r="A70" s="47" t="n"/>
      <c r="B70" s="50">
        <f>IFERROR(INDEX(الموظفون_الاسم,MATCH($A70,الموظفون_الرقم,0)),"")</f>
        <v/>
      </c>
      <c r="C70" s="47" t="n"/>
      <c r="D70" s="62" t="n"/>
      <c r="E70" s="62" t="n"/>
      <c r="F70" s="62" t="n"/>
      <c r="G70" s="62" t="n"/>
      <c r="H70" s="62" t="n"/>
      <c r="I70" s="113">
        <f>IF($A70="","",IF(COUNT($D70:$H70)=0,"",ROUND($D70*وزن_جودة_العمل+$E70*وزن_الالتزام+$F70*وزن_الإنتاجية+$G70*وزن_التعاون+$H70*وزن_الأهداف,1)))</f>
        <v/>
      </c>
      <c r="J70" s="50">
        <f>IF($I70="","",IF($I70&gt;=90,"ممتاز",IF($I70&gt;=80,"جيد جدًا",IF($I70&gt;=70,"جيد",IF($I70&gt;=60,"مقبول","يحتاج تحسين")))))</f>
        <v/>
      </c>
      <c r="K70" s="47" t="n"/>
    </row>
    <row r="71">
      <c r="A71" s="40" t="n"/>
      <c r="B71" s="43">
        <f>IFERROR(INDEX(الموظفون_الاسم,MATCH($A71,الموظفون_الرقم,0)),"")</f>
        <v/>
      </c>
      <c r="C71" s="40" t="n"/>
      <c r="D71" s="59" t="n"/>
      <c r="E71" s="59" t="n"/>
      <c r="F71" s="59" t="n"/>
      <c r="G71" s="59" t="n"/>
      <c r="H71" s="59" t="n"/>
      <c r="I71" s="111">
        <f>IF($A71="","",IF(COUNT($D71:$H71)=0,"",ROUND($D71*وزن_جودة_العمل+$E71*وزن_الالتزام+$F71*وزن_الإنتاجية+$G71*وزن_التعاون+$H71*وزن_الأهداف,1)))</f>
        <v/>
      </c>
      <c r="J71" s="43">
        <f>IF($I71="","",IF($I71&gt;=90,"ممتاز",IF($I71&gt;=80,"جيد جدًا",IF($I71&gt;=70,"جيد",IF($I71&gt;=60,"مقبول","يحتاج تحسين")))))</f>
        <v/>
      </c>
      <c r="K71" s="40" t="n"/>
    </row>
    <row r="72">
      <c r="A72" s="47" t="n"/>
      <c r="B72" s="50">
        <f>IFERROR(INDEX(الموظفون_الاسم,MATCH($A72,الموظفون_الرقم,0)),"")</f>
        <v/>
      </c>
      <c r="C72" s="47" t="n"/>
      <c r="D72" s="62" t="n"/>
      <c r="E72" s="62" t="n"/>
      <c r="F72" s="62" t="n"/>
      <c r="G72" s="62" t="n"/>
      <c r="H72" s="62" t="n"/>
      <c r="I72" s="113">
        <f>IF($A72="","",IF(COUNT($D72:$H72)=0,"",ROUND($D72*وزن_جودة_العمل+$E72*وزن_الالتزام+$F72*وزن_الإنتاجية+$G72*وزن_التعاون+$H72*وزن_الأهداف,1)))</f>
        <v/>
      </c>
      <c r="J72" s="50">
        <f>IF($I72="","",IF($I72&gt;=90,"ممتاز",IF($I72&gt;=80,"جيد جدًا",IF($I72&gt;=70,"جيد",IF($I72&gt;=60,"مقبول","يحتاج تحسين")))))</f>
        <v/>
      </c>
      <c r="K72" s="47" t="n"/>
    </row>
    <row r="73">
      <c r="A73" s="40" t="n"/>
      <c r="B73" s="43">
        <f>IFERROR(INDEX(الموظفون_الاسم,MATCH($A73,الموظفون_الرقم,0)),"")</f>
        <v/>
      </c>
      <c r="C73" s="40" t="n"/>
      <c r="D73" s="59" t="n"/>
      <c r="E73" s="59" t="n"/>
      <c r="F73" s="59" t="n"/>
      <c r="G73" s="59" t="n"/>
      <c r="H73" s="59" t="n"/>
      <c r="I73" s="111">
        <f>IF($A73="","",IF(COUNT($D73:$H73)=0,"",ROUND($D73*وزن_جودة_العمل+$E73*وزن_الالتزام+$F73*وزن_الإنتاجية+$G73*وزن_التعاون+$H73*وزن_الأهداف,1)))</f>
        <v/>
      </c>
      <c r="J73" s="43">
        <f>IF($I73="","",IF($I73&gt;=90,"ممتاز",IF($I73&gt;=80,"جيد جدًا",IF($I73&gt;=70,"جيد",IF($I73&gt;=60,"مقبول","يحتاج تحسين")))))</f>
        <v/>
      </c>
      <c r="K73" s="40" t="n"/>
    </row>
    <row r="74">
      <c r="A74" s="47" t="n"/>
      <c r="B74" s="50">
        <f>IFERROR(INDEX(الموظفون_الاسم,MATCH($A74,الموظفون_الرقم,0)),"")</f>
        <v/>
      </c>
      <c r="C74" s="47" t="n"/>
      <c r="D74" s="62" t="n"/>
      <c r="E74" s="62" t="n"/>
      <c r="F74" s="62" t="n"/>
      <c r="G74" s="62" t="n"/>
      <c r="H74" s="62" t="n"/>
      <c r="I74" s="113">
        <f>IF($A74="","",IF(COUNT($D74:$H74)=0,"",ROUND($D74*وزن_جودة_العمل+$E74*وزن_الالتزام+$F74*وزن_الإنتاجية+$G74*وزن_التعاون+$H74*وزن_الأهداف,1)))</f>
        <v/>
      </c>
      <c r="J74" s="50">
        <f>IF($I74="","",IF($I74&gt;=90,"ممتاز",IF($I74&gt;=80,"جيد جدًا",IF($I74&gt;=70,"جيد",IF($I74&gt;=60,"مقبول","يحتاج تحسين")))))</f>
        <v/>
      </c>
      <c r="K74" s="47" t="n"/>
    </row>
    <row r="75">
      <c r="A75" s="40" t="n"/>
      <c r="B75" s="43">
        <f>IFERROR(INDEX(الموظفون_الاسم,MATCH($A75,الموظفون_الرقم,0)),"")</f>
        <v/>
      </c>
      <c r="C75" s="40" t="n"/>
      <c r="D75" s="59" t="n"/>
      <c r="E75" s="59" t="n"/>
      <c r="F75" s="59" t="n"/>
      <c r="G75" s="59" t="n"/>
      <c r="H75" s="59" t="n"/>
      <c r="I75" s="111">
        <f>IF($A75="","",IF(COUNT($D75:$H75)=0,"",ROUND($D75*وزن_جودة_العمل+$E75*وزن_الالتزام+$F75*وزن_الإنتاجية+$G75*وزن_التعاون+$H75*وزن_الأهداف,1)))</f>
        <v/>
      </c>
      <c r="J75" s="43">
        <f>IF($I75="","",IF($I75&gt;=90,"ممتاز",IF($I75&gt;=80,"جيد جدًا",IF($I75&gt;=70,"جيد",IF($I75&gt;=60,"مقبول","يحتاج تحسين")))))</f>
        <v/>
      </c>
      <c r="K75" s="40" t="n"/>
    </row>
    <row r="76">
      <c r="A76" s="47" t="n"/>
      <c r="B76" s="50">
        <f>IFERROR(INDEX(الموظفون_الاسم,MATCH($A76,الموظفون_الرقم,0)),"")</f>
        <v/>
      </c>
      <c r="C76" s="47" t="n"/>
      <c r="D76" s="62" t="n"/>
      <c r="E76" s="62" t="n"/>
      <c r="F76" s="62" t="n"/>
      <c r="G76" s="62" t="n"/>
      <c r="H76" s="62" t="n"/>
      <c r="I76" s="113">
        <f>IF($A76="","",IF(COUNT($D76:$H76)=0,"",ROUND($D76*وزن_جودة_العمل+$E76*وزن_الالتزام+$F76*وزن_الإنتاجية+$G76*وزن_التعاون+$H76*وزن_الأهداف,1)))</f>
        <v/>
      </c>
      <c r="J76" s="50">
        <f>IF($I76="","",IF($I76&gt;=90,"ممتاز",IF($I76&gt;=80,"جيد جدًا",IF($I76&gt;=70,"جيد",IF($I76&gt;=60,"مقبول","يحتاج تحسين")))))</f>
        <v/>
      </c>
      <c r="K76" s="47" t="n"/>
    </row>
    <row r="77">
      <c r="A77" s="40" t="n"/>
      <c r="B77" s="43">
        <f>IFERROR(INDEX(الموظفون_الاسم,MATCH($A77,الموظفون_الرقم,0)),"")</f>
        <v/>
      </c>
      <c r="C77" s="40" t="n"/>
      <c r="D77" s="59" t="n"/>
      <c r="E77" s="59" t="n"/>
      <c r="F77" s="59" t="n"/>
      <c r="G77" s="59" t="n"/>
      <c r="H77" s="59" t="n"/>
      <c r="I77" s="111">
        <f>IF($A77="","",IF(COUNT($D77:$H77)=0,"",ROUND($D77*وزن_جودة_العمل+$E77*وزن_الالتزام+$F77*وزن_الإنتاجية+$G77*وزن_التعاون+$H77*وزن_الأهداف,1)))</f>
        <v/>
      </c>
      <c r="J77" s="43">
        <f>IF($I77="","",IF($I77&gt;=90,"ممتاز",IF($I77&gt;=80,"جيد جدًا",IF($I77&gt;=70,"جيد",IF($I77&gt;=60,"مقبول","يحتاج تحسين")))))</f>
        <v/>
      </c>
      <c r="K77" s="40" t="n"/>
    </row>
    <row r="78">
      <c r="A78" s="47" t="n"/>
      <c r="B78" s="50">
        <f>IFERROR(INDEX(الموظفون_الاسم,MATCH($A78,الموظفون_الرقم,0)),"")</f>
        <v/>
      </c>
      <c r="C78" s="47" t="n"/>
      <c r="D78" s="62" t="n"/>
      <c r="E78" s="62" t="n"/>
      <c r="F78" s="62" t="n"/>
      <c r="G78" s="62" t="n"/>
      <c r="H78" s="62" t="n"/>
      <c r="I78" s="113">
        <f>IF($A78="","",IF(COUNT($D78:$H78)=0,"",ROUND($D78*وزن_جودة_العمل+$E78*وزن_الالتزام+$F78*وزن_الإنتاجية+$G78*وزن_التعاون+$H78*وزن_الأهداف,1)))</f>
        <v/>
      </c>
      <c r="J78" s="50">
        <f>IF($I78="","",IF($I78&gt;=90,"ممتاز",IF($I78&gt;=80,"جيد جدًا",IF($I78&gt;=70,"جيد",IF($I78&gt;=60,"مقبول","يحتاج تحسين")))))</f>
        <v/>
      </c>
      <c r="K78" s="47" t="n"/>
    </row>
    <row r="79">
      <c r="A79" s="40" t="n"/>
      <c r="B79" s="43">
        <f>IFERROR(INDEX(الموظفون_الاسم,MATCH($A79,الموظفون_الرقم,0)),"")</f>
        <v/>
      </c>
      <c r="C79" s="40" t="n"/>
      <c r="D79" s="59" t="n"/>
      <c r="E79" s="59" t="n"/>
      <c r="F79" s="59" t="n"/>
      <c r="G79" s="59" t="n"/>
      <c r="H79" s="59" t="n"/>
      <c r="I79" s="111">
        <f>IF($A79="","",IF(COUNT($D79:$H79)=0,"",ROUND($D79*وزن_جودة_العمل+$E79*وزن_الالتزام+$F79*وزن_الإنتاجية+$G79*وزن_التعاون+$H79*وزن_الأهداف,1)))</f>
        <v/>
      </c>
      <c r="J79" s="43">
        <f>IF($I79="","",IF($I79&gt;=90,"ممتاز",IF($I79&gt;=80,"جيد جدًا",IF($I79&gt;=70,"جيد",IF($I79&gt;=60,"مقبول","يحتاج تحسين")))))</f>
        <v/>
      </c>
      <c r="K79" s="40" t="n"/>
    </row>
    <row r="80">
      <c r="A80" s="47" t="n"/>
      <c r="B80" s="50">
        <f>IFERROR(INDEX(الموظفون_الاسم,MATCH($A80,الموظفون_الرقم,0)),"")</f>
        <v/>
      </c>
      <c r="C80" s="47" t="n"/>
      <c r="D80" s="62" t="n"/>
      <c r="E80" s="62" t="n"/>
      <c r="F80" s="62" t="n"/>
      <c r="G80" s="62" t="n"/>
      <c r="H80" s="62" t="n"/>
      <c r="I80" s="113">
        <f>IF($A80="","",IF(COUNT($D80:$H80)=0,"",ROUND($D80*وزن_جودة_العمل+$E80*وزن_الالتزام+$F80*وزن_الإنتاجية+$G80*وزن_التعاون+$H80*وزن_الأهداف,1)))</f>
        <v/>
      </c>
      <c r="J80" s="50">
        <f>IF($I80="","",IF($I80&gt;=90,"ممتاز",IF($I80&gt;=80,"جيد جدًا",IF($I80&gt;=70,"جيد",IF($I80&gt;=60,"مقبول","يحتاج تحسين")))))</f>
        <v/>
      </c>
      <c r="K80" s="47" t="n"/>
    </row>
    <row r="81">
      <c r="A81" s="40" t="n"/>
      <c r="B81" s="43">
        <f>IFERROR(INDEX(الموظفون_الاسم,MATCH($A81,الموظفون_الرقم,0)),"")</f>
        <v/>
      </c>
      <c r="C81" s="40" t="n"/>
      <c r="D81" s="59" t="n"/>
      <c r="E81" s="59" t="n"/>
      <c r="F81" s="59" t="n"/>
      <c r="G81" s="59" t="n"/>
      <c r="H81" s="59" t="n"/>
      <c r="I81" s="111">
        <f>IF($A81="","",IF(COUNT($D81:$H81)=0,"",ROUND($D81*وزن_جودة_العمل+$E81*وزن_الالتزام+$F81*وزن_الإنتاجية+$G81*وزن_التعاون+$H81*وزن_الأهداف,1)))</f>
        <v/>
      </c>
      <c r="J81" s="43">
        <f>IF($I81="","",IF($I81&gt;=90,"ممتاز",IF($I81&gt;=80,"جيد جدًا",IF($I81&gt;=70,"جيد",IF($I81&gt;=60,"مقبول","يحتاج تحسين")))))</f>
        <v/>
      </c>
      <c r="K81" s="40" t="n"/>
    </row>
    <row r="82">
      <c r="A82" s="47" t="n"/>
      <c r="B82" s="50">
        <f>IFERROR(INDEX(الموظفون_الاسم,MATCH($A82,الموظفون_الرقم,0)),"")</f>
        <v/>
      </c>
      <c r="C82" s="47" t="n"/>
      <c r="D82" s="62" t="n"/>
      <c r="E82" s="62" t="n"/>
      <c r="F82" s="62" t="n"/>
      <c r="G82" s="62" t="n"/>
      <c r="H82" s="62" t="n"/>
      <c r="I82" s="113">
        <f>IF($A82="","",IF(COUNT($D82:$H82)=0,"",ROUND($D82*وزن_جودة_العمل+$E82*وزن_الالتزام+$F82*وزن_الإنتاجية+$G82*وزن_التعاون+$H82*وزن_الأهداف,1)))</f>
        <v/>
      </c>
      <c r="J82" s="50">
        <f>IF($I82="","",IF($I82&gt;=90,"ممتاز",IF($I82&gt;=80,"جيد جدًا",IF($I82&gt;=70,"جيد",IF($I82&gt;=60,"مقبول","يحتاج تحسين")))))</f>
        <v/>
      </c>
      <c r="K82" s="47" t="n"/>
    </row>
    <row r="83">
      <c r="A83" s="40" t="n"/>
      <c r="B83" s="43">
        <f>IFERROR(INDEX(الموظفون_الاسم,MATCH($A83,الموظفون_الرقم,0)),"")</f>
        <v/>
      </c>
      <c r="C83" s="40" t="n"/>
      <c r="D83" s="59" t="n"/>
      <c r="E83" s="59" t="n"/>
      <c r="F83" s="59" t="n"/>
      <c r="G83" s="59" t="n"/>
      <c r="H83" s="59" t="n"/>
      <c r="I83" s="111">
        <f>IF($A83="","",IF(COUNT($D83:$H83)=0,"",ROUND($D83*وزن_جودة_العمل+$E83*وزن_الالتزام+$F83*وزن_الإنتاجية+$G83*وزن_التعاون+$H83*وزن_الأهداف,1)))</f>
        <v/>
      </c>
      <c r="J83" s="43">
        <f>IF($I83="","",IF($I83&gt;=90,"ممتاز",IF($I83&gt;=80,"جيد جدًا",IF($I83&gt;=70,"جيد",IF($I83&gt;=60,"مقبول","يحتاج تحسين")))))</f>
        <v/>
      </c>
      <c r="K83" s="40" t="n"/>
    </row>
    <row r="84">
      <c r="A84" s="47" t="n"/>
      <c r="B84" s="50">
        <f>IFERROR(INDEX(الموظفون_الاسم,MATCH($A84,الموظفون_الرقم,0)),"")</f>
        <v/>
      </c>
      <c r="C84" s="47" t="n"/>
      <c r="D84" s="62" t="n"/>
      <c r="E84" s="62" t="n"/>
      <c r="F84" s="62" t="n"/>
      <c r="G84" s="62" t="n"/>
      <c r="H84" s="62" t="n"/>
      <c r="I84" s="113">
        <f>IF($A84="","",IF(COUNT($D84:$H84)=0,"",ROUND($D84*وزن_جودة_العمل+$E84*وزن_الالتزام+$F84*وزن_الإنتاجية+$G84*وزن_التعاون+$H84*وزن_الأهداف,1)))</f>
        <v/>
      </c>
      <c r="J84" s="50">
        <f>IF($I84="","",IF($I84&gt;=90,"ممتاز",IF($I84&gt;=80,"جيد جدًا",IF($I84&gt;=70,"جيد",IF($I84&gt;=60,"مقبول","يحتاج تحسين")))))</f>
        <v/>
      </c>
      <c r="K84" s="47" t="n"/>
    </row>
    <row r="85">
      <c r="A85" s="40" t="n"/>
      <c r="B85" s="43">
        <f>IFERROR(INDEX(الموظفون_الاسم,MATCH($A85,الموظفون_الرقم,0)),"")</f>
        <v/>
      </c>
      <c r="C85" s="40" t="n"/>
      <c r="D85" s="59" t="n"/>
      <c r="E85" s="59" t="n"/>
      <c r="F85" s="59" t="n"/>
      <c r="G85" s="59" t="n"/>
      <c r="H85" s="59" t="n"/>
      <c r="I85" s="111">
        <f>IF($A85="","",IF(COUNT($D85:$H85)=0,"",ROUND($D85*وزن_جودة_العمل+$E85*وزن_الالتزام+$F85*وزن_الإنتاجية+$G85*وزن_التعاون+$H85*وزن_الأهداف,1)))</f>
        <v/>
      </c>
      <c r="J85" s="43">
        <f>IF($I85="","",IF($I85&gt;=90,"ممتاز",IF($I85&gt;=80,"جيد جدًا",IF($I85&gt;=70,"جيد",IF($I85&gt;=60,"مقبول","يحتاج تحسين")))))</f>
        <v/>
      </c>
      <c r="K85" s="40" t="n"/>
    </row>
    <row r="86">
      <c r="A86" s="47" t="n"/>
      <c r="B86" s="50">
        <f>IFERROR(INDEX(الموظفون_الاسم,MATCH($A86,الموظفون_الرقم,0)),"")</f>
        <v/>
      </c>
      <c r="C86" s="47" t="n"/>
      <c r="D86" s="62" t="n"/>
      <c r="E86" s="62" t="n"/>
      <c r="F86" s="62" t="n"/>
      <c r="G86" s="62" t="n"/>
      <c r="H86" s="62" t="n"/>
      <c r="I86" s="113">
        <f>IF($A86="","",IF(COUNT($D86:$H86)=0,"",ROUND($D86*وزن_جودة_العمل+$E86*وزن_الالتزام+$F86*وزن_الإنتاجية+$G86*وزن_التعاون+$H86*وزن_الأهداف,1)))</f>
        <v/>
      </c>
      <c r="J86" s="50">
        <f>IF($I86="","",IF($I86&gt;=90,"ممتاز",IF($I86&gt;=80,"جيد جدًا",IF($I86&gt;=70,"جيد",IF($I86&gt;=60,"مقبول","يحتاج تحسين")))))</f>
        <v/>
      </c>
      <c r="K86" s="47" t="n"/>
    </row>
    <row r="87">
      <c r="A87" s="40" t="n"/>
      <c r="B87" s="43">
        <f>IFERROR(INDEX(الموظفون_الاسم,MATCH($A87,الموظفون_الرقم,0)),"")</f>
        <v/>
      </c>
      <c r="C87" s="40" t="n"/>
      <c r="D87" s="59" t="n"/>
      <c r="E87" s="59" t="n"/>
      <c r="F87" s="59" t="n"/>
      <c r="G87" s="59" t="n"/>
      <c r="H87" s="59" t="n"/>
      <c r="I87" s="111">
        <f>IF($A87="","",IF(COUNT($D87:$H87)=0,"",ROUND($D87*وزن_جودة_العمل+$E87*وزن_الالتزام+$F87*وزن_الإنتاجية+$G87*وزن_التعاون+$H87*وزن_الأهداف,1)))</f>
        <v/>
      </c>
      <c r="J87" s="43">
        <f>IF($I87="","",IF($I87&gt;=90,"ممتاز",IF($I87&gt;=80,"جيد جدًا",IF($I87&gt;=70,"جيد",IF($I87&gt;=60,"مقبول","يحتاج تحسين")))))</f>
        <v/>
      </c>
      <c r="K87" s="40" t="n"/>
    </row>
    <row r="88">
      <c r="A88" s="47" t="n"/>
      <c r="B88" s="50">
        <f>IFERROR(INDEX(الموظفون_الاسم,MATCH($A88,الموظفون_الرقم,0)),"")</f>
        <v/>
      </c>
      <c r="C88" s="47" t="n"/>
      <c r="D88" s="62" t="n"/>
      <c r="E88" s="62" t="n"/>
      <c r="F88" s="62" t="n"/>
      <c r="G88" s="62" t="n"/>
      <c r="H88" s="62" t="n"/>
      <c r="I88" s="113">
        <f>IF($A88="","",IF(COUNT($D88:$H88)=0,"",ROUND($D88*وزن_جودة_العمل+$E88*وزن_الالتزام+$F88*وزن_الإنتاجية+$G88*وزن_التعاون+$H88*وزن_الأهداف,1)))</f>
        <v/>
      </c>
      <c r="J88" s="50">
        <f>IF($I88="","",IF($I88&gt;=90,"ممتاز",IF($I88&gt;=80,"جيد جدًا",IF($I88&gt;=70,"جيد",IF($I88&gt;=60,"مقبول","يحتاج تحسين")))))</f>
        <v/>
      </c>
      <c r="K88" s="47" t="n"/>
    </row>
    <row r="89">
      <c r="A89" s="40" t="n"/>
      <c r="B89" s="43">
        <f>IFERROR(INDEX(الموظفون_الاسم,MATCH($A89,الموظفون_الرقم,0)),"")</f>
        <v/>
      </c>
      <c r="C89" s="40" t="n"/>
      <c r="D89" s="59" t="n"/>
      <c r="E89" s="59" t="n"/>
      <c r="F89" s="59" t="n"/>
      <c r="G89" s="59" t="n"/>
      <c r="H89" s="59" t="n"/>
      <c r="I89" s="111">
        <f>IF($A89="","",IF(COUNT($D89:$H89)=0,"",ROUND($D89*وزن_جودة_العمل+$E89*وزن_الالتزام+$F89*وزن_الإنتاجية+$G89*وزن_التعاون+$H89*وزن_الأهداف,1)))</f>
        <v/>
      </c>
      <c r="J89" s="43">
        <f>IF($I89="","",IF($I89&gt;=90,"ممتاز",IF($I89&gt;=80,"جيد جدًا",IF($I89&gt;=70,"جيد",IF($I89&gt;=60,"مقبول","يحتاج تحسين")))))</f>
        <v/>
      </c>
      <c r="K89" s="40" t="n"/>
    </row>
    <row r="90">
      <c r="A90" s="47" t="n"/>
      <c r="B90" s="50">
        <f>IFERROR(INDEX(الموظفون_الاسم,MATCH($A90,الموظفون_الرقم,0)),"")</f>
        <v/>
      </c>
      <c r="C90" s="47" t="n"/>
      <c r="D90" s="62" t="n"/>
      <c r="E90" s="62" t="n"/>
      <c r="F90" s="62" t="n"/>
      <c r="G90" s="62" t="n"/>
      <c r="H90" s="62" t="n"/>
      <c r="I90" s="113">
        <f>IF($A90="","",IF(COUNT($D90:$H90)=0,"",ROUND($D90*وزن_جودة_العمل+$E90*وزن_الالتزام+$F90*وزن_الإنتاجية+$G90*وزن_التعاون+$H90*وزن_الأهداف,1)))</f>
        <v/>
      </c>
      <c r="J90" s="50">
        <f>IF($I90="","",IF($I90&gt;=90,"ممتاز",IF($I90&gt;=80,"جيد جدًا",IF($I90&gt;=70,"جيد",IF($I90&gt;=60,"مقبول","يحتاج تحسين")))))</f>
        <v/>
      </c>
      <c r="K90" s="47" t="n"/>
    </row>
    <row r="91">
      <c r="A91" s="40" t="n"/>
      <c r="B91" s="43">
        <f>IFERROR(INDEX(الموظفون_الاسم,MATCH($A91,الموظفون_الرقم,0)),"")</f>
        <v/>
      </c>
      <c r="C91" s="40" t="n"/>
      <c r="D91" s="59" t="n"/>
      <c r="E91" s="59" t="n"/>
      <c r="F91" s="59" t="n"/>
      <c r="G91" s="59" t="n"/>
      <c r="H91" s="59" t="n"/>
      <c r="I91" s="111">
        <f>IF($A91="","",IF(COUNT($D91:$H91)=0,"",ROUND($D91*وزن_جودة_العمل+$E91*وزن_الالتزام+$F91*وزن_الإنتاجية+$G91*وزن_التعاون+$H91*وزن_الأهداف,1)))</f>
        <v/>
      </c>
      <c r="J91" s="43">
        <f>IF($I91="","",IF($I91&gt;=90,"ممتاز",IF($I91&gt;=80,"جيد جدًا",IF($I91&gt;=70,"جيد",IF($I91&gt;=60,"مقبول","يحتاج تحسين")))))</f>
        <v/>
      </c>
      <c r="K91" s="40" t="n"/>
    </row>
    <row r="92">
      <c r="A92" s="47" t="n"/>
      <c r="B92" s="50">
        <f>IFERROR(INDEX(الموظفون_الاسم,MATCH($A92,الموظفون_الرقم,0)),"")</f>
        <v/>
      </c>
      <c r="C92" s="47" t="n"/>
      <c r="D92" s="62" t="n"/>
      <c r="E92" s="62" t="n"/>
      <c r="F92" s="62" t="n"/>
      <c r="G92" s="62" t="n"/>
      <c r="H92" s="62" t="n"/>
      <c r="I92" s="113">
        <f>IF($A92="","",IF(COUNT($D92:$H92)=0,"",ROUND($D92*وزن_جودة_العمل+$E92*وزن_الالتزام+$F92*وزن_الإنتاجية+$G92*وزن_التعاون+$H92*وزن_الأهداف,1)))</f>
        <v/>
      </c>
      <c r="J92" s="50">
        <f>IF($I92="","",IF($I92&gt;=90,"ممتاز",IF($I92&gt;=80,"جيد جدًا",IF($I92&gt;=70,"جيد",IF($I92&gt;=60,"مقبول","يحتاج تحسين")))))</f>
        <v/>
      </c>
      <c r="K92" s="47" t="n"/>
    </row>
    <row r="93">
      <c r="A93" s="40" t="n"/>
      <c r="B93" s="43">
        <f>IFERROR(INDEX(الموظفون_الاسم,MATCH($A93,الموظفون_الرقم,0)),"")</f>
        <v/>
      </c>
      <c r="C93" s="40" t="n"/>
      <c r="D93" s="59" t="n"/>
      <c r="E93" s="59" t="n"/>
      <c r="F93" s="59" t="n"/>
      <c r="G93" s="59" t="n"/>
      <c r="H93" s="59" t="n"/>
      <c r="I93" s="111">
        <f>IF($A93="","",IF(COUNT($D93:$H93)=0,"",ROUND($D93*وزن_جودة_العمل+$E93*وزن_الالتزام+$F93*وزن_الإنتاجية+$G93*وزن_التعاون+$H93*وزن_الأهداف,1)))</f>
        <v/>
      </c>
      <c r="J93" s="43">
        <f>IF($I93="","",IF($I93&gt;=90,"ممتاز",IF($I93&gt;=80,"جيد جدًا",IF($I93&gt;=70,"جيد",IF($I93&gt;=60,"مقبول","يحتاج تحسين")))))</f>
        <v/>
      </c>
      <c r="K93" s="40" t="n"/>
    </row>
    <row r="94">
      <c r="A94" s="47" t="n"/>
      <c r="B94" s="50">
        <f>IFERROR(INDEX(الموظفون_الاسم,MATCH($A94,الموظفون_الرقم,0)),"")</f>
        <v/>
      </c>
      <c r="C94" s="47" t="n"/>
      <c r="D94" s="62" t="n"/>
      <c r="E94" s="62" t="n"/>
      <c r="F94" s="62" t="n"/>
      <c r="G94" s="62" t="n"/>
      <c r="H94" s="62" t="n"/>
      <c r="I94" s="113">
        <f>IF($A94="","",IF(COUNT($D94:$H94)=0,"",ROUND($D94*وزن_جودة_العمل+$E94*وزن_الالتزام+$F94*وزن_الإنتاجية+$G94*وزن_التعاون+$H94*وزن_الأهداف,1)))</f>
        <v/>
      </c>
      <c r="J94" s="50">
        <f>IF($I94="","",IF($I94&gt;=90,"ممتاز",IF($I94&gt;=80,"جيد جدًا",IF($I94&gt;=70,"جيد",IF($I94&gt;=60,"مقبول","يحتاج تحسين")))))</f>
        <v/>
      </c>
      <c r="K94" s="47" t="n"/>
    </row>
    <row r="95">
      <c r="A95" s="40" t="n"/>
      <c r="B95" s="43">
        <f>IFERROR(INDEX(الموظفون_الاسم,MATCH($A95,الموظفون_الرقم,0)),"")</f>
        <v/>
      </c>
      <c r="C95" s="40" t="n"/>
      <c r="D95" s="59" t="n"/>
      <c r="E95" s="59" t="n"/>
      <c r="F95" s="59" t="n"/>
      <c r="G95" s="59" t="n"/>
      <c r="H95" s="59" t="n"/>
      <c r="I95" s="111">
        <f>IF($A95="","",IF(COUNT($D95:$H95)=0,"",ROUND($D95*وزن_جودة_العمل+$E95*وزن_الالتزام+$F95*وزن_الإنتاجية+$G95*وزن_التعاون+$H95*وزن_الأهداف,1)))</f>
        <v/>
      </c>
      <c r="J95" s="43">
        <f>IF($I95="","",IF($I95&gt;=90,"ممتاز",IF($I95&gt;=80,"جيد جدًا",IF($I95&gt;=70,"جيد",IF($I95&gt;=60,"مقبول","يحتاج تحسين")))))</f>
        <v/>
      </c>
      <c r="K95" s="40" t="n"/>
    </row>
    <row r="96">
      <c r="A96" s="47" t="n"/>
      <c r="B96" s="50">
        <f>IFERROR(INDEX(الموظفون_الاسم,MATCH($A96,الموظفون_الرقم,0)),"")</f>
        <v/>
      </c>
      <c r="C96" s="47" t="n"/>
      <c r="D96" s="62" t="n"/>
      <c r="E96" s="62" t="n"/>
      <c r="F96" s="62" t="n"/>
      <c r="G96" s="62" t="n"/>
      <c r="H96" s="62" t="n"/>
      <c r="I96" s="113">
        <f>IF($A96="","",IF(COUNT($D96:$H96)=0,"",ROUND($D96*وزن_جودة_العمل+$E96*وزن_الالتزام+$F96*وزن_الإنتاجية+$G96*وزن_التعاون+$H96*وزن_الأهداف,1)))</f>
        <v/>
      </c>
      <c r="J96" s="50">
        <f>IF($I96="","",IF($I96&gt;=90,"ممتاز",IF($I96&gt;=80,"جيد جدًا",IF($I96&gt;=70,"جيد",IF($I96&gt;=60,"مقبول","يحتاج تحسين")))))</f>
        <v/>
      </c>
      <c r="K96" s="47" t="n"/>
    </row>
    <row r="97">
      <c r="A97" s="40" t="n"/>
      <c r="B97" s="43">
        <f>IFERROR(INDEX(الموظفون_الاسم,MATCH($A97,الموظفون_الرقم,0)),"")</f>
        <v/>
      </c>
      <c r="C97" s="40" t="n"/>
      <c r="D97" s="59" t="n"/>
      <c r="E97" s="59" t="n"/>
      <c r="F97" s="59" t="n"/>
      <c r="G97" s="59" t="n"/>
      <c r="H97" s="59" t="n"/>
      <c r="I97" s="111">
        <f>IF($A97="","",IF(COUNT($D97:$H97)=0,"",ROUND($D97*وزن_جودة_العمل+$E97*وزن_الالتزام+$F97*وزن_الإنتاجية+$G97*وزن_التعاون+$H97*وزن_الأهداف,1)))</f>
        <v/>
      </c>
      <c r="J97" s="43">
        <f>IF($I97="","",IF($I97&gt;=90,"ممتاز",IF($I97&gt;=80,"جيد جدًا",IF($I97&gt;=70,"جيد",IF($I97&gt;=60,"مقبول","يحتاج تحسين")))))</f>
        <v/>
      </c>
      <c r="K97" s="40" t="n"/>
    </row>
    <row r="98">
      <c r="A98" s="47" t="n"/>
      <c r="B98" s="50">
        <f>IFERROR(INDEX(الموظفون_الاسم,MATCH($A98,الموظفون_الرقم,0)),"")</f>
        <v/>
      </c>
      <c r="C98" s="47" t="n"/>
      <c r="D98" s="62" t="n"/>
      <c r="E98" s="62" t="n"/>
      <c r="F98" s="62" t="n"/>
      <c r="G98" s="62" t="n"/>
      <c r="H98" s="62" t="n"/>
      <c r="I98" s="113">
        <f>IF($A98="","",IF(COUNT($D98:$H98)=0,"",ROUND($D98*وزن_جودة_العمل+$E98*وزن_الالتزام+$F98*وزن_الإنتاجية+$G98*وزن_التعاون+$H98*وزن_الأهداف,1)))</f>
        <v/>
      </c>
      <c r="J98" s="50">
        <f>IF($I98="","",IF($I98&gt;=90,"ممتاز",IF($I98&gt;=80,"جيد جدًا",IF($I98&gt;=70,"جيد",IF($I98&gt;=60,"مقبول","يحتاج تحسين")))))</f>
        <v/>
      </c>
      <c r="K98" s="47" t="n"/>
    </row>
    <row r="99">
      <c r="A99" s="40" t="n"/>
      <c r="B99" s="43">
        <f>IFERROR(INDEX(الموظفون_الاسم,MATCH($A99,الموظفون_الرقم,0)),"")</f>
        <v/>
      </c>
      <c r="C99" s="40" t="n"/>
      <c r="D99" s="59" t="n"/>
      <c r="E99" s="59" t="n"/>
      <c r="F99" s="59" t="n"/>
      <c r="G99" s="59" t="n"/>
      <c r="H99" s="59" t="n"/>
      <c r="I99" s="111">
        <f>IF($A99="","",IF(COUNT($D99:$H99)=0,"",ROUND($D99*وزن_جودة_العمل+$E99*وزن_الالتزام+$F99*وزن_الإنتاجية+$G99*وزن_التعاون+$H99*وزن_الأهداف,1)))</f>
        <v/>
      </c>
      <c r="J99" s="43">
        <f>IF($I99="","",IF($I99&gt;=90,"ممتاز",IF($I99&gt;=80,"جيد جدًا",IF($I99&gt;=70,"جيد",IF($I99&gt;=60,"مقبول","يحتاج تحسين")))))</f>
        <v/>
      </c>
      <c r="K99" s="40" t="n"/>
    </row>
    <row r="100">
      <c r="A100" s="47" t="n"/>
      <c r="B100" s="50">
        <f>IFERROR(INDEX(الموظفون_الاسم,MATCH($A100,الموظفون_الرقم,0)),"")</f>
        <v/>
      </c>
      <c r="C100" s="47" t="n"/>
      <c r="D100" s="62" t="n"/>
      <c r="E100" s="62" t="n"/>
      <c r="F100" s="62" t="n"/>
      <c r="G100" s="62" t="n"/>
      <c r="H100" s="62" t="n"/>
      <c r="I100" s="113">
        <f>IF($A100="","",IF(COUNT($D100:$H100)=0,"",ROUND($D100*وزن_جودة_العمل+$E100*وزن_الالتزام+$F100*وزن_الإنتاجية+$G100*وزن_التعاون+$H100*وزن_الأهداف,1)))</f>
        <v/>
      </c>
      <c r="J100" s="50">
        <f>IF($I100="","",IF($I100&gt;=90,"ممتاز",IF($I100&gt;=80,"جيد جدًا",IF($I100&gt;=70,"جيد",IF($I100&gt;=60,"مقبول","يحتاج تحسين")))))</f>
        <v/>
      </c>
      <c r="K100" s="47" t="n"/>
    </row>
    <row r="101">
      <c r="A101" s="40" t="n"/>
      <c r="B101" s="43">
        <f>IFERROR(INDEX(الموظفون_الاسم,MATCH($A101,الموظفون_الرقم,0)),"")</f>
        <v/>
      </c>
      <c r="C101" s="40" t="n"/>
      <c r="D101" s="59" t="n"/>
      <c r="E101" s="59" t="n"/>
      <c r="F101" s="59" t="n"/>
      <c r="G101" s="59" t="n"/>
      <c r="H101" s="59" t="n"/>
      <c r="I101" s="111">
        <f>IF($A101="","",IF(COUNT($D101:$H101)=0,"",ROUND($D101*وزن_جودة_العمل+$E101*وزن_الالتزام+$F101*وزن_الإنتاجية+$G101*وزن_التعاون+$H101*وزن_الأهداف,1)))</f>
        <v/>
      </c>
      <c r="J101" s="43">
        <f>IF($I101="","",IF($I101&gt;=90,"ممتاز",IF($I101&gt;=80,"جيد جدًا",IF($I101&gt;=70,"جيد",IF($I101&gt;=60,"مقبول","يحتاج تحسين")))))</f>
        <v/>
      </c>
      <c r="K101" s="40" t="n"/>
    </row>
    <row r="102">
      <c r="A102" s="47" t="n"/>
      <c r="B102" s="50">
        <f>IFERROR(INDEX(الموظفون_الاسم,MATCH($A102,الموظفون_الرقم,0)),"")</f>
        <v/>
      </c>
      <c r="C102" s="47" t="n"/>
      <c r="D102" s="62" t="n"/>
      <c r="E102" s="62" t="n"/>
      <c r="F102" s="62" t="n"/>
      <c r="G102" s="62" t="n"/>
      <c r="H102" s="62" t="n"/>
      <c r="I102" s="113">
        <f>IF($A102="","",IF(COUNT($D102:$H102)=0,"",ROUND($D102*وزن_جودة_العمل+$E102*وزن_الالتزام+$F102*وزن_الإنتاجية+$G102*وزن_التعاون+$H102*وزن_الأهداف,1)))</f>
        <v/>
      </c>
      <c r="J102" s="50">
        <f>IF($I102="","",IF($I102&gt;=90,"ممتاز",IF($I102&gt;=80,"جيد جدًا",IF($I102&gt;=70,"جيد",IF($I102&gt;=60,"مقبول","يحتاج تحسين")))))</f>
        <v/>
      </c>
      <c r="K102" s="47" t="n"/>
    </row>
    <row r="103">
      <c r="A103" s="40" t="n"/>
      <c r="B103" s="43">
        <f>IFERROR(INDEX(الموظفون_الاسم,MATCH($A103,الموظفون_الرقم,0)),"")</f>
        <v/>
      </c>
      <c r="C103" s="40" t="n"/>
      <c r="D103" s="59" t="n"/>
      <c r="E103" s="59" t="n"/>
      <c r="F103" s="59" t="n"/>
      <c r="G103" s="59" t="n"/>
      <c r="H103" s="59" t="n"/>
      <c r="I103" s="111">
        <f>IF($A103="","",IF(COUNT($D103:$H103)=0,"",ROUND($D103*وزن_جودة_العمل+$E103*وزن_الالتزام+$F103*وزن_الإنتاجية+$G103*وزن_التعاون+$H103*وزن_الأهداف,1)))</f>
        <v/>
      </c>
      <c r="J103" s="43">
        <f>IF($I103="","",IF($I103&gt;=90,"ممتاز",IF($I103&gt;=80,"جيد جدًا",IF($I103&gt;=70,"جيد",IF($I103&gt;=60,"مقبول","يحتاج تحسين")))))</f>
        <v/>
      </c>
      <c r="K103" s="40" t="n"/>
    </row>
    <row r="104">
      <c r="A104" s="47" t="n"/>
      <c r="B104" s="50">
        <f>IFERROR(INDEX(الموظفون_الاسم,MATCH($A104,الموظفون_الرقم,0)),"")</f>
        <v/>
      </c>
      <c r="C104" s="47" t="n"/>
      <c r="D104" s="62" t="n"/>
      <c r="E104" s="62" t="n"/>
      <c r="F104" s="62" t="n"/>
      <c r="G104" s="62" t="n"/>
      <c r="H104" s="62" t="n"/>
      <c r="I104" s="113">
        <f>IF($A104="","",IF(COUNT($D104:$H104)=0,"",ROUND($D104*وزن_جودة_العمل+$E104*وزن_الالتزام+$F104*وزن_الإنتاجية+$G104*وزن_التعاون+$H104*وزن_الأهداف,1)))</f>
        <v/>
      </c>
      <c r="J104" s="50">
        <f>IF($I104="","",IF($I104&gt;=90,"ممتاز",IF($I104&gt;=80,"جيد جدًا",IF($I104&gt;=70,"جيد",IF($I104&gt;=60,"مقبول","يحتاج تحسين")))))</f>
        <v/>
      </c>
      <c r="K104" s="47" t="n"/>
    </row>
    <row r="105">
      <c r="A105" s="40" t="n"/>
      <c r="B105" s="43">
        <f>IFERROR(INDEX(الموظفون_الاسم,MATCH($A105,الموظفون_الرقم,0)),"")</f>
        <v/>
      </c>
      <c r="C105" s="40" t="n"/>
      <c r="D105" s="59" t="n"/>
      <c r="E105" s="59" t="n"/>
      <c r="F105" s="59" t="n"/>
      <c r="G105" s="59" t="n"/>
      <c r="H105" s="59" t="n"/>
      <c r="I105" s="111">
        <f>IF($A105="","",IF(COUNT($D105:$H105)=0,"",ROUND($D105*وزن_جودة_العمل+$E105*وزن_الالتزام+$F105*وزن_الإنتاجية+$G105*وزن_التعاون+$H105*وزن_الأهداف,1)))</f>
        <v/>
      </c>
      <c r="J105" s="43">
        <f>IF($I105="","",IF($I105&gt;=90,"ممتاز",IF($I105&gt;=80,"جيد جدًا",IF($I105&gt;=70,"جيد",IF($I105&gt;=60,"مقبول","يحتاج تحسين")))))</f>
        <v/>
      </c>
      <c r="K105" s="40" t="n"/>
    </row>
    <row r="106">
      <c r="A106" s="47" t="n"/>
      <c r="B106" s="50">
        <f>IFERROR(INDEX(الموظفون_الاسم,MATCH($A106,الموظفون_الرقم,0)),"")</f>
        <v/>
      </c>
      <c r="C106" s="47" t="n"/>
      <c r="D106" s="62" t="n"/>
      <c r="E106" s="62" t="n"/>
      <c r="F106" s="62" t="n"/>
      <c r="G106" s="62" t="n"/>
      <c r="H106" s="62" t="n"/>
      <c r="I106" s="113">
        <f>IF($A106="","",IF(COUNT($D106:$H106)=0,"",ROUND($D106*وزن_جودة_العمل+$E106*وزن_الالتزام+$F106*وزن_الإنتاجية+$G106*وزن_التعاون+$H106*وزن_الأهداف,1)))</f>
        <v/>
      </c>
      <c r="J106" s="50">
        <f>IF($I106="","",IF($I106&gt;=90,"ممتاز",IF($I106&gt;=80,"جيد جدًا",IF($I106&gt;=70,"جيد",IF($I106&gt;=60,"مقبول","يحتاج تحسين")))))</f>
        <v/>
      </c>
      <c r="K106" s="47" t="n"/>
    </row>
    <row r="107">
      <c r="A107" s="40" t="n"/>
      <c r="B107" s="43">
        <f>IFERROR(INDEX(الموظفون_الاسم,MATCH($A107,الموظفون_الرقم,0)),"")</f>
        <v/>
      </c>
      <c r="C107" s="40" t="n"/>
      <c r="D107" s="59" t="n"/>
      <c r="E107" s="59" t="n"/>
      <c r="F107" s="59" t="n"/>
      <c r="G107" s="59" t="n"/>
      <c r="H107" s="59" t="n"/>
      <c r="I107" s="111">
        <f>IF($A107="","",IF(COUNT($D107:$H107)=0,"",ROUND($D107*وزن_جودة_العمل+$E107*وزن_الالتزام+$F107*وزن_الإنتاجية+$G107*وزن_التعاون+$H107*وزن_الأهداف,1)))</f>
        <v/>
      </c>
      <c r="J107" s="43">
        <f>IF($I107="","",IF($I107&gt;=90,"ممتاز",IF($I107&gt;=80,"جيد جدًا",IF($I107&gt;=70,"جيد",IF($I107&gt;=60,"مقبول","يحتاج تحسين")))))</f>
        <v/>
      </c>
      <c r="K107" s="40" t="n"/>
    </row>
    <row r="108">
      <c r="A108" s="47" t="n"/>
      <c r="B108" s="50">
        <f>IFERROR(INDEX(الموظفون_الاسم,MATCH($A108,الموظفون_الرقم,0)),"")</f>
        <v/>
      </c>
      <c r="C108" s="47" t="n"/>
      <c r="D108" s="62" t="n"/>
      <c r="E108" s="62" t="n"/>
      <c r="F108" s="62" t="n"/>
      <c r="G108" s="62" t="n"/>
      <c r="H108" s="62" t="n"/>
      <c r="I108" s="113">
        <f>IF($A108="","",IF(COUNT($D108:$H108)=0,"",ROUND($D108*وزن_جودة_العمل+$E108*وزن_الالتزام+$F108*وزن_الإنتاجية+$G108*وزن_التعاون+$H108*وزن_الأهداف,1)))</f>
        <v/>
      </c>
      <c r="J108" s="50">
        <f>IF($I108="","",IF($I108&gt;=90,"ممتاز",IF($I108&gt;=80,"جيد جدًا",IF($I108&gt;=70,"جيد",IF($I108&gt;=60,"مقبول","يحتاج تحسين")))))</f>
        <v/>
      </c>
      <c r="K108" s="47" t="n"/>
    </row>
    <row r="109">
      <c r="A109" s="40" t="n"/>
      <c r="B109" s="43">
        <f>IFERROR(INDEX(الموظفون_الاسم,MATCH($A109,الموظفون_الرقم,0)),"")</f>
        <v/>
      </c>
      <c r="C109" s="40" t="n"/>
      <c r="D109" s="59" t="n"/>
      <c r="E109" s="59" t="n"/>
      <c r="F109" s="59" t="n"/>
      <c r="G109" s="59" t="n"/>
      <c r="H109" s="59" t="n"/>
      <c r="I109" s="111">
        <f>IF($A109="","",IF(COUNT($D109:$H109)=0,"",ROUND($D109*وزن_جودة_العمل+$E109*وزن_الالتزام+$F109*وزن_الإنتاجية+$G109*وزن_التعاون+$H109*وزن_الأهداف,1)))</f>
        <v/>
      </c>
      <c r="J109" s="43">
        <f>IF($I109="","",IF($I109&gt;=90,"ممتاز",IF($I109&gt;=80,"جيد جدًا",IF($I109&gt;=70,"جيد",IF($I109&gt;=60,"مقبول","يحتاج تحسين")))))</f>
        <v/>
      </c>
      <c r="K109" s="40" t="n"/>
    </row>
    <row r="110">
      <c r="A110" s="47" t="n"/>
      <c r="B110" s="50">
        <f>IFERROR(INDEX(الموظفون_الاسم,MATCH($A110,الموظفون_الرقم,0)),"")</f>
        <v/>
      </c>
      <c r="C110" s="47" t="n"/>
      <c r="D110" s="62" t="n"/>
      <c r="E110" s="62" t="n"/>
      <c r="F110" s="62" t="n"/>
      <c r="G110" s="62" t="n"/>
      <c r="H110" s="62" t="n"/>
      <c r="I110" s="113">
        <f>IF($A110="","",IF(COUNT($D110:$H110)=0,"",ROUND($D110*وزن_جودة_العمل+$E110*وزن_الالتزام+$F110*وزن_الإنتاجية+$G110*وزن_التعاون+$H110*وزن_الأهداف,1)))</f>
        <v/>
      </c>
      <c r="J110" s="50">
        <f>IF($I110="","",IF($I110&gt;=90,"ممتاز",IF($I110&gt;=80,"جيد جدًا",IF($I110&gt;=70,"جيد",IF($I110&gt;=60,"مقبول","يحتاج تحسين")))))</f>
        <v/>
      </c>
      <c r="K110" s="47" t="n"/>
    </row>
    <row r="111">
      <c r="A111" s="40" t="n"/>
      <c r="B111" s="43">
        <f>IFERROR(INDEX(الموظفون_الاسم,MATCH($A111,الموظفون_الرقم,0)),"")</f>
        <v/>
      </c>
      <c r="C111" s="40" t="n"/>
      <c r="D111" s="59" t="n"/>
      <c r="E111" s="59" t="n"/>
      <c r="F111" s="59" t="n"/>
      <c r="G111" s="59" t="n"/>
      <c r="H111" s="59" t="n"/>
      <c r="I111" s="111">
        <f>IF($A111="","",IF(COUNT($D111:$H111)=0,"",ROUND($D111*وزن_جودة_العمل+$E111*وزن_الالتزام+$F111*وزن_الإنتاجية+$G111*وزن_التعاون+$H111*وزن_الأهداف,1)))</f>
        <v/>
      </c>
      <c r="J111" s="43">
        <f>IF($I111="","",IF($I111&gt;=90,"ممتاز",IF($I111&gt;=80,"جيد جدًا",IF($I111&gt;=70,"جيد",IF($I111&gt;=60,"مقبول","يحتاج تحسين")))))</f>
        <v/>
      </c>
      <c r="K111" s="40" t="n"/>
    </row>
    <row r="112">
      <c r="A112" s="47" t="n"/>
      <c r="B112" s="50">
        <f>IFERROR(INDEX(الموظفون_الاسم,MATCH($A112,الموظفون_الرقم,0)),"")</f>
        <v/>
      </c>
      <c r="C112" s="47" t="n"/>
      <c r="D112" s="62" t="n"/>
      <c r="E112" s="62" t="n"/>
      <c r="F112" s="62" t="n"/>
      <c r="G112" s="62" t="n"/>
      <c r="H112" s="62" t="n"/>
      <c r="I112" s="113">
        <f>IF($A112="","",IF(COUNT($D112:$H112)=0,"",ROUND($D112*وزن_جودة_العمل+$E112*وزن_الالتزام+$F112*وزن_الإنتاجية+$G112*وزن_التعاون+$H112*وزن_الأهداف,1)))</f>
        <v/>
      </c>
      <c r="J112" s="50">
        <f>IF($I112="","",IF($I112&gt;=90,"ممتاز",IF($I112&gt;=80,"جيد جدًا",IF($I112&gt;=70,"جيد",IF($I112&gt;=60,"مقبول","يحتاج تحسين")))))</f>
        <v/>
      </c>
      <c r="K112" s="47" t="n"/>
    </row>
    <row r="113">
      <c r="A113" s="40" t="n"/>
      <c r="B113" s="43">
        <f>IFERROR(INDEX(الموظفون_الاسم,MATCH($A113,الموظفون_الرقم,0)),"")</f>
        <v/>
      </c>
      <c r="C113" s="40" t="n"/>
      <c r="D113" s="59" t="n"/>
      <c r="E113" s="59" t="n"/>
      <c r="F113" s="59" t="n"/>
      <c r="G113" s="59" t="n"/>
      <c r="H113" s="59" t="n"/>
      <c r="I113" s="111">
        <f>IF($A113="","",IF(COUNT($D113:$H113)=0,"",ROUND($D113*وزن_جودة_العمل+$E113*وزن_الالتزام+$F113*وزن_الإنتاجية+$G113*وزن_التعاون+$H113*وزن_الأهداف,1)))</f>
        <v/>
      </c>
      <c r="J113" s="43">
        <f>IF($I113="","",IF($I113&gt;=90,"ممتاز",IF($I113&gt;=80,"جيد جدًا",IF($I113&gt;=70,"جيد",IF($I113&gt;=60,"مقبول","يحتاج تحسين")))))</f>
        <v/>
      </c>
      <c r="K113" s="40" t="n"/>
    </row>
    <row r="114">
      <c r="A114" s="47" t="n"/>
      <c r="B114" s="50">
        <f>IFERROR(INDEX(الموظفون_الاسم,MATCH($A114,الموظفون_الرقم,0)),"")</f>
        <v/>
      </c>
      <c r="C114" s="47" t="n"/>
      <c r="D114" s="62" t="n"/>
      <c r="E114" s="62" t="n"/>
      <c r="F114" s="62" t="n"/>
      <c r="G114" s="62" t="n"/>
      <c r="H114" s="62" t="n"/>
      <c r="I114" s="113">
        <f>IF($A114="","",IF(COUNT($D114:$H114)=0,"",ROUND($D114*وزن_جودة_العمل+$E114*وزن_الالتزام+$F114*وزن_الإنتاجية+$G114*وزن_التعاون+$H114*وزن_الأهداف,1)))</f>
        <v/>
      </c>
      <c r="J114" s="50">
        <f>IF($I114="","",IF($I114&gt;=90,"ممتاز",IF($I114&gt;=80,"جيد جدًا",IF($I114&gt;=70,"جيد",IF($I114&gt;=60,"مقبول","يحتاج تحسين")))))</f>
        <v/>
      </c>
      <c r="K114" s="47" t="n"/>
    </row>
    <row r="115">
      <c r="A115" s="40" t="n"/>
      <c r="B115" s="43">
        <f>IFERROR(INDEX(الموظفون_الاسم,MATCH($A115,الموظفون_الرقم,0)),"")</f>
        <v/>
      </c>
      <c r="C115" s="40" t="n"/>
      <c r="D115" s="59" t="n"/>
      <c r="E115" s="59" t="n"/>
      <c r="F115" s="59" t="n"/>
      <c r="G115" s="59" t="n"/>
      <c r="H115" s="59" t="n"/>
      <c r="I115" s="111">
        <f>IF($A115="","",IF(COUNT($D115:$H115)=0,"",ROUND($D115*وزن_جودة_العمل+$E115*وزن_الالتزام+$F115*وزن_الإنتاجية+$G115*وزن_التعاون+$H115*وزن_الأهداف,1)))</f>
        <v/>
      </c>
      <c r="J115" s="43">
        <f>IF($I115="","",IF($I115&gt;=90,"ممتاز",IF($I115&gt;=80,"جيد جدًا",IF($I115&gt;=70,"جيد",IF($I115&gt;=60,"مقبول","يحتاج تحسين")))))</f>
        <v/>
      </c>
      <c r="K115" s="40" t="n"/>
    </row>
    <row r="116">
      <c r="A116" s="47" t="n"/>
      <c r="B116" s="50">
        <f>IFERROR(INDEX(الموظفون_الاسم,MATCH($A116,الموظفون_الرقم,0)),"")</f>
        <v/>
      </c>
      <c r="C116" s="47" t="n"/>
      <c r="D116" s="62" t="n"/>
      <c r="E116" s="62" t="n"/>
      <c r="F116" s="62" t="n"/>
      <c r="G116" s="62" t="n"/>
      <c r="H116" s="62" t="n"/>
      <c r="I116" s="113">
        <f>IF($A116="","",IF(COUNT($D116:$H116)=0,"",ROUND($D116*وزن_جودة_العمل+$E116*وزن_الالتزام+$F116*وزن_الإنتاجية+$G116*وزن_التعاون+$H116*وزن_الأهداف,1)))</f>
        <v/>
      </c>
      <c r="J116" s="50">
        <f>IF($I116="","",IF($I116&gt;=90,"ممتاز",IF($I116&gt;=80,"جيد جدًا",IF($I116&gt;=70,"جيد",IF($I116&gt;=60,"مقبول","يحتاج تحسين")))))</f>
        <v/>
      </c>
      <c r="K116" s="47" t="n"/>
    </row>
    <row r="117">
      <c r="A117" s="40" t="n"/>
      <c r="B117" s="43">
        <f>IFERROR(INDEX(الموظفون_الاسم,MATCH($A117,الموظفون_الرقم,0)),"")</f>
        <v/>
      </c>
      <c r="C117" s="40" t="n"/>
      <c r="D117" s="59" t="n"/>
      <c r="E117" s="59" t="n"/>
      <c r="F117" s="59" t="n"/>
      <c r="G117" s="59" t="n"/>
      <c r="H117" s="59" t="n"/>
      <c r="I117" s="111">
        <f>IF($A117="","",IF(COUNT($D117:$H117)=0,"",ROUND($D117*وزن_جودة_العمل+$E117*وزن_الالتزام+$F117*وزن_الإنتاجية+$G117*وزن_التعاون+$H117*وزن_الأهداف,1)))</f>
        <v/>
      </c>
      <c r="J117" s="43">
        <f>IF($I117="","",IF($I117&gt;=90,"ممتاز",IF($I117&gt;=80,"جيد جدًا",IF($I117&gt;=70,"جيد",IF($I117&gt;=60,"مقبول","يحتاج تحسين")))))</f>
        <v/>
      </c>
      <c r="K117" s="40" t="n"/>
    </row>
    <row r="118">
      <c r="A118" s="47" t="n"/>
      <c r="B118" s="50">
        <f>IFERROR(INDEX(الموظفون_الاسم,MATCH($A118,الموظفون_الرقم,0)),"")</f>
        <v/>
      </c>
      <c r="C118" s="47" t="n"/>
      <c r="D118" s="62" t="n"/>
      <c r="E118" s="62" t="n"/>
      <c r="F118" s="62" t="n"/>
      <c r="G118" s="62" t="n"/>
      <c r="H118" s="62" t="n"/>
      <c r="I118" s="113">
        <f>IF($A118="","",IF(COUNT($D118:$H118)=0,"",ROUND($D118*وزن_جودة_العمل+$E118*وزن_الالتزام+$F118*وزن_الإنتاجية+$G118*وزن_التعاون+$H118*وزن_الأهداف,1)))</f>
        <v/>
      </c>
      <c r="J118" s="50">
        <f>IF($I118="","",IF($I118&gt;=90,"ممتاز",IF($I118&gt;=80,"جيد جدًا",IF($I118&gt;=70,"جيد",IF($I118&gt;=60,"مقبول","يحتاج تحسين")))))</f>
        <v/>
      </c>
      <c r="K118" s="47" t="n"/>
    </row>
    <row r="119">
      <c r="A119" s="40" t="n"/>
      <c r="B119" s="43">
        <f>IFERROR(INDEX(الموظفون_الاسم,MATCH($A119,الموظفون_الرقم,0)),"")</f>
        <v/>
      </c>
      <c r="C119" s="40" t="n"/>
      <c r="D119" s="59" t="n"/>
      <c r="E119" s="59" t="n"/>
      <c r="F119" s="59" t="n"/>
      <c r="G119" s="59" t="n"/>
      <c r="H119" s="59" t="n"/>
      <c r="I119" s="111">
        <f>IF($A119="","",IF(COUNT($D119:$H119)=0,"",ROUND($D119*وزن_جودة_العمل+$E119*وزن_الالتزام+$F119*وزن_الإنتاجية+$G119*وزن_التعاون+$H119*وزن_الأهداف,1)))</f>
        <v/>
      </c>
      <c r="J119" s="43">
        <f>IF($I119="","",IF($I119&gt;=90,"ممتاز",IF($I119&gt;=80,"جيد جدًا",IF($I119&gt;=70,"جيد",IF($I119&gt;=60,"مقبول","يحتاج تحسين")))))</f>
        <v/>
      </c>
      <c r="K119" s="40" t="n"/>
    </row>
    <row r="120">
      <c r="A120" s="47" t="n"/>
      <c r="B120" s="50">
        <f>IFERROR(INDEX(الموظفون_الاسم,MATCH($A120,الموظفون_الرقم,0)),"")</f>
        <v/>
      </c>
      <c r="C120" s="47" t="n"/>
      <c r="D120" s="62" t="n"/>
      <c r="E120" s="62" t="n"/>
      <c r="F120" s="62" t="n"/>
      <c r="G120" s="62" t="n"/>
      <c r="H120" s="62" t="n"/>
      <c r="I120" s="113">
        <f>IF($A120="","",IF(COUNT($D120:$H120)=0,"",ROUND($D120*وزن_جودة_العمل+$E120*وزن_الالتزام+$F120*وزن_الإنتاجية+$G120*وزن_التعاون+$H120*وزن_الأهداف,1)))</f>
        <v/>
      </c>
      <c r="J120" s="50">
        <f>IF($I120="","",IF($I120&gt;=90,"ممتاز",IF($I120&gt;=80,"جيد جدًا",IF($I120&gt;=70,"جيد",IF($I120&gt;=60,"مقبول","يحتاج تحسين")))))</f>
        <v/>
      </c>
      <c r="K120" s="47" t="n"/>
    </row>
    <row r="121">
      <c r="A121" s="40" t="n"/>
      <c r="B121" s="43">
        <f>IFERROR(INDEX(الموظفون_الاسم,MATCH($A121,الموظفون_الرقم,0)),"")</f>
        <v/>
      </c>
      <c r="C121" s="40" t="n"/>
      <c r="D121" s="59" t="n"/>
      <c r="E121" s="59" t="n"/>
      <c r="F121" s="59" t="n"/>
      <c r="G121" s="59" t="n"/>
      <c r="H121" s="59" t="n"/>
      <c r="I121" s="111">
        <f>IF($A121="","",IF(COUNT($D121:$H121)=0,"",ROUND($D121*وزن_جودة_العمل+$E121*وزن_الالتزام+$F121*وزن_الإنتاجية+$G121*وزن_التعاون+$H121*وزن_الأهداف,1)))</f>
        <v/>
      </c>
      <c r="J121" s="43">
        <f>IF($I121="","",IF($I121&gt;=90,"ممتاز",IF($I121&gt;=80,"جيد جدًا",IF($I121&gt;=70,"جيد",IF($I121&gt;=60,"مقبول","يحتاج تحسين")))))</f>
        <v/>
      </c>
      <c r="K121" s="40" t="n"/>
    </row>
    <row r="122">
      <c r="A122" s="47" t="n"/>
      <c r="B122" s="50">
        <f>IFERROR(INDEX(الموظفون_الاسم,MATCH($A122,الموظفون_الرقم,0)),"")</f>
        <v/>
      </c>
      <c r="C122" s="47" t="n"/>
      <c r="D122" s="62" t="n"/>
      <c r="E122" s="62" t="n"/>
      <c r="F122" s="62" t="n"/>
      <c r="G122" s="62" t="n"/>
      <c r="H122" s="62" t="n"/>
      <c r="I122" s="113">
        <f>IF($A122="","",IF(COUNT($D122:$H122)=0,"",ROUND($D122*وزن_جودة_العمل+$E122*وزن_الالتزام+$F122*وزن_الإنتاجية+$G122*وزن_التعاون+$H122*وزن_الأهداف,1)))</f>
        <v/>
      </c>
      <c r="J122" s="50">
        <f>IF($I122="","",IF($I122&gt;=90,"ممتاز",IF($I122&gt;=80,"جيد جدًا",IF($I122&gt;=70,"جيد",IF($I122&gt;=60,"مقبول","يحتاج تحسين")))))</f>
        <v/>
      </c>
      <c r="K122" s="47" t="n"/>
    </row>
    <row r="123">
      <c r="A123" s="40" t="n"/>
      <c r="B123" s="43">
        <f>IFERROR(INDEX(الموظفون_الاسم,MATCH($A123,الموظفون_الرقم,0)),"")</f>
        <v/>
      </c>
      <c r="C123" s="40" t="n"/>
      <c r="D123" s="59" t="n"/>
      <c r="E123" s="59" t="n"/>
      <c r="F123" s="59" t="n"/>
      <c r="G123" s="59" t="n"/>
      <c r="H123" s="59" t="n"/>
      <c r="I123" s="111">
        <f>IF($A123="","",IF(COUNT($D123:$H123)=0,"",ROUND($D123*وزن_جودة_العمل+$E123*وزن_الالتزام+$F123*وزن_الإنتاجية+$G123*وزن_التعاون+$H123*وزن_الأهداف,1)))</f>
        <v/>
      </c>
      <c r="J123" s="43">
        <f>IF($I123="","",IF($I123&gt;=90,"ممتاز",IF($I123&gt;=80,"جيد جدًا",IF($I123&gt;=70,"جيد",IF($I123&gt;=60,"مقبول","يحتاج تحسين")))))</f>
        <v/>
      </c>
      <c r="K123" s="40" t="n"/>
    </row>
    <row r="124">
      <c r="A124" s="47" t="n"/>
      <c r="B124" s="50">
        <f>IFERROR(INDEX(الموظفون_الاسم,MATCH($A124,الموظفون_الرقم,0)),"")</f>
        <v/>
      </c>
      <c r="C124" s="47" t="n"/>
      <c r="D124" s="62" t="n"/>
      <c r="E124" s="62" t="n"/>
      <c r="F124" s="62" t="n"/>
      <c r="G124" s="62" t="n"/>
      <c r="H124" s="62" t="n"/>
      <c r="I124" s="113">
        <f>IF($A124="","",IF(COUNT($D124:$H124)=0,"",ROUND($D124*وزن_جودة_العمل+$E124*وزن_الالتزام+$F124*وزن_الإنتاجية+$G124*وزن_التعاون+$H124*وزن_الأهداف,1)))</f>
        <v/>
      </c>
      <c r="J124" s="50">
        <f>IF($I124="","",IF($I124&gt;=90,"ممتاز",IF($I124&gt;=80,"جيد جدًا",IF($I124&gt;=70,"جيد",IF($I124&gt;=60,"مقبول","يحتاج تحسين")))))</f>
        <v/>
      </c>
      <c r="K124" s="47" t="n"/>
    </row>
    <row r="125">
      <c r="A125" s="40" t="n"/>
      <c r="B125" s="43">
        <f>IFERROR(INDEX(الموظفون_الاسم,MATCH($A125,الموظفون_الرقم,0)),"")</f>
        <v/>
      </c>
      <c r="C125" s="40" t="n"/>
      <c r="D125" s="59" t="n"/>
      <c r="E125" s="59" t="n"/>
      <c r="F125" s="59" t="n"/>
      <c r="G125" s="59" t="n"/>
      <c r="H125" s="59" t="n"/>
      <c r="I125" s="111">
        <f>IF($A125="","",IF(COUNT($D125:$H125)=0,"",ROUND($D125*وزن_جودة_العمل+$E125*وزن_الالتزام+$F125*وزن_الإنتاجية+$G125*وزن_التعاون+$H125*وزن_الأهداف,1)))</f>
        <v/>
      </c>
      <c r="J125" s="43">
        <f>IF($I125="","",IF($I125&gt;=90,"ممتاز",IF($I125&gt;=80,"جيد جدًا",IF($I125&gt;=70,"جيد",IF($I125&gt;=60,"مقبول","يحتاج تحسين")))))</f>
        <v/>
      </c>
      <c r="K125" s="40" t="n"/>
    </row>
    <row r="126">
      <c r="A126" s="47" t="n"/>
      <c r="B126" s="50">
        <f>IFERROR(INDEX(الموظفون_الاسم,MATCH($A126,الموظفون_الرقم,0)),"")</f>
        <v/>
      </c>
      <c r="C126" s="47" t="n"/>
      <c r="D126" s="62" t="n"/>
      <c r="E126" s="62" t="n"/>
      <c r="F126" s="62" t="n"/>
      <c r="G126" s="62" t="n"/>
      <c r="H126" s="62" t="n"/>
      <c r="I126" s="113">
        <f>IF($A126="","",IF(COUNT($D126:$H126)=0,"",ROUND($D126*وزن_جودة_العمل+$E126*وزن_الالتزام+$F126*وزن_الإنتاجية+$G126*وزن_التعاون+$H126*وزن_الأهداف,1)))</f>
        <v/>
      </c>
      <c r="J126" s="50">
        <f>IF($I126="","",IF($I126&gt;=90,"ممتاز",IF($I126&gt;=80,"جيد جدًا",IF($I126&gt;=70,"جيد",IF($I126&gt;=60,"مقبول","يحتاج تحسين")))))</f>
        <v/>
      </c>
      <c r="K126" s="47" t="n"/>
    </row>
    <row r="127">
      <c r="A127" s="40" t="n"/>
      <c r="B127" s="43">
        <f>IFERROR(INDEX(الموظفون_الاسم,MATCH($A127,الموظفون_الرقم,0)),"")</f>
        <v/>
      </c>
      <c r="C127" s="40" t="n"/>
      <c r="D127" s="59" t="n"/>
      <c r="E127" s="59" t="n"/>
      <c r="F127" s="59" t="n"/>
      <c r="G127" s="59" t="n"/>
      <c r="H127" s="59" t="n"/>
      <c r="I127" s="111">
        <f>IF($A127="","",IF(COUNT($D127:$H127)=0,"",ROUND($D127*وزن_جودة_العمل+$E127*وزن_الالتزام+$F127*وزن_الإنتاجية+$G127*وزن_التعاون+$H127*وزن_الأهداف,1)))</f>
        <v/>
      </c>
      <c r="J127" s="43">
        <f>IF($I127="","",IF($I127&gt;=90,"ممتاز",IF($I127&gt;=80,"جيد جدًا",IF($I127&gt;=70,"جيد",IF($I127&gt;=60,"مقبول","يحتاج تحسين")))))</f>
        <v/>
      </c>
      <c r="K127" s="40" t="n"/>
    </row>
    <row r="128">
      <c r="A128" s="47" t="n"/>
      <c r="B128" s="50">
        <f>IFERROR(INDEX(الموظفون_الاسم,MATCH($A128,الموظفون_الرقم,0)),"")</f>
        <v/>
      </c>
      <c r="C128" s="47" t="n"/>
      <c r="D128" s="62" t="n"/>
      <c r="E128" s="62" t="n"/>
      <c r="F128" s="62" t="n"/>
      <c r="G128" s="62" t="n"/>
      <c r="H128" s="62" t="n"/>
      <c r="I128" s="113">
        <f>IF($A128="","",IF(COUNT($D128:$H128)=0,"",ROUND($D128*وزن_جودة_العمل+$E128*وزن_الالتزام+$F128*وزن_الإنتاجية+$G128*وزن_التعاون+$H128*وزن_الأهداف,1)))</f>
        <v/>
      </c>
      <c r="J128" s="50">
        <f>IF($I128="","",IF($I128&gt;=90,"ممتاز",IF($I128&gt;=80,"جيد جدًا",IF($I128&gt;=70,"جيد",IF($I128&gt;=60,"مقبول","يحتاج تحسين")))))</f>
        <v/>
      </c>
      <c r="K128" s="47" t="n"/>
    </row>
    <row r="129">
      <c r="A129" s="40" t="n"/>
      <c r="B129" s="43">
        <f>IFERROR(INDEX(الموظفون_الاسم,MATCH($A129,الموظفون_الرقم,0)),"")</f>
        <v/>
      </c>
      <c r="C129" s="40" t="n"/>
      <c r="D129" s="59" t="n"/>
      <c r="E129" s="59" t="n"/>
      <c r="F129" s="59" t="n"/>
      <c r="G129" s="59" t="n"/>
      <c r="H129" s="59" t="n"/>
      <c r="I129" s="111">
        <f>IF($A129="","",IF(COUNT($D129:$H129)=0,"",ROUND($D129*وزن_جودة_العمل+$E129*وزن_الالتزام+$F129*وزن_الإنتاجية+$G129*وزن_التعاون+$H129*وزن_الأهداف,1)))</f>
        <v/>
      </c>
      <c r="J129" s="43">
        <f>IF($I129="","",IF($I129&gt;=90,"ممتاز",IF($I129&gt;=80,"جيد جدًا",IF($I129&gt;=70,"جيد",IF($I129&gt;=60,"مقبول","يحتاج تحسين")))))</f>
        <v/>
      </c>
      <c r="K129" s="40" t="n"/>
    </row>
    <row r="130">
      <c r="A130" s="47" t="n"/>
      <c r="B130" s="50">
        <f>IFERROR(INDEX(الموظفون_الاسم,MATCH($A130,الموظفون_الرقم,0)),"")</f>
        <v/>
      </c>
      <c r="C130" s="47" t="n"/>
      <c r="D130" s="62" t="n"/>
      <c r="E130" s="62" t="n"/>
      <c r="F130" s="62" t="n"/>
      <c r="G130" s="62" t="n"/>
      <c r="H130" s="62" t="n"/>
      <c r="I130" s="113">
        <f>IF($A130="","",IF(COUNT($D130:$H130)=0,"",ROUND($D130*وزن_جودة_العمل+$E130*وزن_الالتزام+$F130*وزن_الإنتاجية+$G130*وزن_التعاون+$H130*وزن_الأهداف,1)))</f>
        <v/>
      </c>
      <c r="J130" s="50">
        <f>IF($I130="","",IF($I130&gt;=90,"ممتاز",IF($I130&gt;=80,"جيد جدًا",IF($I130&gt;=70,"جيد",IF($I130&gt;=60,"مقبول","يحتاج تحسين")))))</f>
        <v/>
      </c>
      <c r="K130" s="47" t="n"/>
    </row>
    <row r="131">
      <c r="A131" s="40" t="n"/>
      <c r="B131" s="43">
        <f>IFERROR(INDEX(الموظفون_الاسم,MATCH($A131,الموظفون_الرقم,0)),"")</f>
        <v/>
      </c>
      <c r="C131" s="40" t="n"/>
      <c r="D131" s="59" t="n"/>
      <c r="E131" s="59" t="n"/>
      <c r="F131" s="59" t="n"/>
      <c r="G131" s="59" t="n"/>
      <c r="H131" s="59" t="n"/>
      <c r="I131" s="111">
        <f>IF($A131="","",IF(COUNT($D131:$H131)=0,"",ROUND($D131*وزن_جودة_العمل+$E131*وزن_الالتزام+$F131*وزن_الإنتاجية+$G131*وزن_التعاون+$H131*وزن_الأهداف,1)))</f>
        <v/>
      </c>
      <c r="J131" s="43">
        <f>IF($I131="","",IF($I131&gt;=90,"ممتاز",IF($I131&gt;=80,"جيد جدًا",IF($I131&gt;=70,"جيد",IF($I131&gt;=60,"مقبول","يحتاج تحسين")))))</f>
        <v/>
      </c>
      <c r="K131" s="40" t="n"/>
    </row>
    <row r="132">
      <c r="A132" s="47" t="n"/>
      <c r="B132" s="50">
        <f>IFERROR(INDEX(الموظفون_الاسم,MATCH($A132,الموظفون_الرقم,0)),"")</f>
        <v/>
      </c>
      <c r="C132" s="47" t="n"/>
      <c r="D132" s="62" t="n"/>
      <c r="E132" s="62" t="n"/>
      <c r="F132" s="62" t="n"/>
      <c r="G132" s="62" t="n"/>
      <c r="H132" s="62" t="n"/>
      <c r="I132" s="113">
        <f>IF($A132="","",IF(COUNT($D132:$H132)=0,"",ROUND($D132*وزن_جودة_العمل+$E132*وزن_الالتزام+$F132*وزن_الإنتاجية+$G132*وزن_التعاون+$H132*وزن_الأهداف,1)))</f>
        <v/>
      </c>
      <c r="J132" s="50">
        <f>IF($I132="","",IF($I132&gt;=90,"ممتاز",IF($I132&gt;=80,"جيد جدًا",IF($I132&gt;=70,"جيد",IF($I132&gt;=60,"مقبول","يحتاج تحسين")))))</f>
        <v/>
      </c>
      <c r="K132" s="47" t="n"/>
    </row>
    <row r="133">
      <c r="A133" s="40" t="n"/>
      <c r="B133" s="43">
        <f>IFERROR(INDEX(الموظفون_الاسم,MATCH($A133,الموظفون_الرقم,0)),"")</f>
        <v/>
      </c>
      <c r="C133" s="40" t="n"/>
      <c r="D133" s="59" t="n"/>
      <c r="E133" s="59" t="n"/>
      <c r="F133" s="59" t="n"/>
      <c r="G133" s="59" t="n"/>
      <c r="H133" s="59" t="n"/>
      <c r="I133" s="111">
        <f>IF($A133="","",IF(COUNT($D133:$H133)=0,"",ROUND($D133*وزن_جودة_العمل+$E133*وزن_الالتزام+$F133*وزن_الإنتاجية+$G133*وزن_التعاون+$H133*وزن_الأهداف,1)))</f>
        <v/>
      </c>
      <c r="J133" s="43">
        <f>IF($I133="","",IF($I133&gt;=90,"ممتاز",IF($I133&gt;=80,"جيد جدًا",IF($I133&gt;=70,"جيد",IF($I133&gt;=60,"مقبول","يحتاج تحسين")))))</f>
        <v/>
      </c>
      <c r="K133" s="40" t="n"/>
    </row>
    <row r="134">
      <c r="A134" s="47" t="n"/>
      <c r="B134" s="50">
        <f>IFERROR(INDEX(الموظفون_الاسم,MATCH($A134,الموظفون_الرقم,0)),"")</f>
        <v/>
      </c>
      <c r="C134" s="47" t="n"/>
      <c r="D134" s="62" t="n"/>
      <c r="E134" s="62" t="n"/>
      <c r="F134" s="62" t="n"/>
      <c r="G134" s="62" t="n"/>
      <c r="H134" s="62" t="n"/>
      <c r="I134" s="113">
        <f>IF($A134="","",IF(COUNT($D134:$H134)=0,"",ROUND($D134*وزن_جودة_العمل+$E134*وزن_الالتزام+$F134*وزن_الإنتاجية+$G134*وزن_التعاون+$H134*وزن_الأهداف,1)))</f>
        <v/>
      </c>
      <c r="J134" s="50">
        <f>IF($I134="","",IF($I134&gt;=90,"ممتاز",IF($I134&gt;=80,"جيد جدًا",IF($I134&gt;=70,"جيد",IF($I134&gt;=60,"مقبول","يحتاج تحسين")))))</f>
        <v/>
      </c>
      <c r="K134" s="47" t="n"/>
    </row>
    <row r="135">
      <c r="A135" s="40" t="n"/>
      <c r="B135" s="43">
        <f>IFERROR(INDEX(الموظفون_الاسم,MATCH($A135,الموظفون_الرقم,0)),"")</f>
        <v/>
      </c>
      <c r="C135" s="40" t="n"/>
      <c r="D135" s="59" t="n"/>
      <c r="E135" s="59" t="n"/>
      <c r="F135" s="59" t="n"/>
      <c r="G135" s="59" t="n"/>
      <c r="H135" s="59" t="n"/>
      <c r="I135" s="111">
        <f>IF($A135="","",IF(COUNT($D135:$H135)=0,"",ROUND($D135*وزن_جودة_العمل+$E135*وزن_الالتزام+$F135*وزن_الإنتاجية+$G135*وزن_التعاون+$H135*وزن_الأهداف,1)))</f>
        <v/>
      </c>
      <c r="J135" s="43">
        <f>IF($I135="","",IF($I135&gt;=90,"ممتاز",IF($I135&gt;=80,"جيد جدًا",IF($I135&gt;=70,"جيد",IF($I135&gt;=60,"مقبول","يحتاج تحسين")))))</f>
        <v/>
      </c>
      <c r="K135" s="40" t="n"/>
    </row>
    <row r="136">
      <c r="A136" s="47" t="n"/>
      <c r="B136" s="50">
        <f>IFERROR(INDEX(الموظفون_الاسم,MATCH($A136,الموظفون_الرقم,0)),"")</f>
        <v/>
      </c>
      <c r="C136" s="47" t="n"/>
      <c r="D136" s="62" t="n"/>
      <c r="E136" s="62" t="n"/>
      <c r="F136" s="62" t="n"/>
      <c r="G136" s="62" t="n"/>
      <c r="H136" s="62" t="n"/>
      <c r="I136" s="113">
        <f>IF($A136="","",IF(COUNT($D136:$H136)=0,"",ROUND($D136*وزن_جودة_العمل+$E136*وزن_الالتزام+$F136*وزن_الإنتاجية+$G136*وزن_التعاون+$H136*وزن_الأهداف,1)))</f>
        <v/>
      </c>
      <c r="J136" s="50">
        <f>IF($I136="","",IF($I136&gt;=90,"ممتاز",IF($I136&gt;=80,"جيد جدًا",IF($I136&gt;=70,"جيد",IF($I136&gt;=60,"مقبول","يحتاج تحسين")))))</f>
        <v/>
      </c>
      <c r="K136" s="47" t="n"/>
    </row>
    <row r="137">
      <c r="A137" s="40" t="n"/>
      <c r="B137" s="43">
        <f>IFERROR(INDEX(الموظفون_الاسم,MATCH($A137,الموظفون_الرقم,0)),"")</f>
        <v/>
      </c>
      <c r="C137" s="40" t="n"/>
      <c r="D137" s="59" t="n"/>
      <c r="E137" s="59" t="n"/>
      <c r="F137" s="59" t="n"/>
      <c r="G137" s="59" t="n"/>
      <c r="H137" s="59" t="n"/>
      <c r="I137" s="111">
        <f>IF($A137="","",IF(COUNT($D137:$H137)=0,"",ROUND($D137*وزن_جودة_العمل+$E137*وزن_الالتزام+$F137*وزن_الإنتاجية+$G137*وزن_التعاون+$H137*وزن_الأهداف,1)))</f>
        <v/>
      </c>
      <c r="J137" s="43">
        <f>IF($I137="","",IF($I137&gt;=90,"ممتاز",IF($I137&gt;=80,"جيد جدًا",IF($I137&gt;=70,"جيد",IF($I137&gt;=60,"مقبول","يحتاج تحسين")))))</f>
        <v/>
      </c>
      <c r="K137" s="40" t="n"/>
    </row>
    <row r="138">
      <c r="A138" s="47" t="n"/>
      <c r="B138" s="50">
        <f>IFERROR(INDEX(الموظفون_الاسم,MATCH($A138,الموظفون_الرقم,0)),"")</f>
        <v/>
      </c>
      <c r="C138" s="47" t="n"/>
      <c r="D138" s="62" t="n"/>
      <c r="E138" s="62" t="n"/>
      <c r="F138" s="62" t="n"/>
      <c r="G138" s="62" t="n"/>
      <c r="H138" s="62" t="n"/>
      <c r="I138" s="113">
        <f>IF($A138="","",IF(COUNT($D138:$H138)=0,"",ROUND($D138*وزن_جودة_العمل+$E138*وزن_الالتزام+$F138*وزن_الإنتاجية+$G138*وزن_التعاون+$H138*وزن_الأهداف,1)))</f>
        <v/>
      </c>
      <c r="J138" s="50">
        <f>IF($I138="","",IF($I138&gt;=90,"ممتاز",IF($I138&gt;=80,"جيد جدًا",IF($I138&gt;=70,"جيد",IF($I138&gt;=60,"مقبول","يحتاج تحسين")))))</f>
        <v/>
      </c>
      <c r="K138" s="47" t="n"/>
    </row>
    <row r="139">
      <c r="A139" s="40" t="n"/>
      <c r="B139" s="43">
        <f>IFERROR(INDEX(الموظفون_الاسم,MATCH($A139,الموظفون_الرقم,0)),"")</f>
        <v/>
      </c>
      <c r="C139" s="40" t="n"/>
      <c r="D139" s="59" t="n"/>
      <c r="E139" s="59" t="n"/>
      <c r="F139" s="59" t="n"/>
      <c r="G139" s="59" t="n"/>
      <c r="H139" s="59" t="n"/>
      <c r="I139" s="111">
        <f>IF($A139="","",IF(COUNT($D139:$H139)=0,"",ROUND($D139*وزن_جودة_العمل+$E139*وزن_الالتزام+$F139*وزن_الإنتاجية+$G139*وزن_التعاون+$H139*وزن_الأهداف,1)))</f>
        <v/>
      </c>
      <c r="J139" s="43">
        <f>IF($I139="","",IF($I139&gt;=90,"ممتاز",IF($I139&gt;=80,"جيد جدًا",IF($I139&gt;=70,"جيد",IF($I139&gt;=60,"مقبول","يحتاج تحسين")))))</f>
        <v/>
      </c>
      <c r="K139" s="40" t="n"/>
    </row>
    <row r="140">
      <c r="A140" s="47" t="n"/>
      <c r="B140" s="50">
        <f>IFERROR(INDEX(الموظفون_الاسم,MATCH($A140,الموظفون_الرقم,0)),"")</f>
        <v/>
      </c>
      <c r="C140" s="47" t="n"/>
      <c r="D140" s="62" t="n"/>
      <c r="E140" s="62" t="n"/>
      <c r="F140" s="62" t="n"/>
      <c r="G140" s="62" t="n"/>
      <c r="H140" s="62" t="n"/>
      <c r="I140" s="113">
        <f>IF($A140="","",IF(COUNT($D140:$H140)=0,"",ROUND($D140*وزن_جودة_العمل+$E140*وزن_الالتزام+$F140*وزن_الإنتاجية+$G140*وزن_التعاون+$H140*وزن_الأهداف,1)))</f>
        <v/>
      </c>
      <c r="J140" s="50">
        <f>IF($I140="","",IF($I140&gt;=90,"ممتاز",IF($I140&gt;=80,"جيد جدًا",IF($I140&gt;=70,"جيد",IF($I140&gt;=60,"مقبول","يحتاج تحسين")))))</f>
        <v/>
      </c>
      <c r="K140" s="47" t="n"/>
    </row>
    <row r="141">
      <c r="A141" s="40" t="n"/>
      <c r="B141" s="43">
        <f>IFERROR(INDEX(الموظفون_الاسم,MATCH($A141,الموظفون_الرقم,0)),"")</f>
        <v/>
      </c>
      <c r="C141" s="40" t="n"/>
      <c r="D141" s="59" t="n"/>
      <c r="E141" s="59" t="n"/>
      <c r="F141" s="59" t="n"/>
      <c r="G141" s="59" t="n"/>
      <c r="H141" s="59" t="n"/>
      <c r="I141" s="111">
        <f>IF($A141="","",IF(COUNT($D141:$H141)=0,"",ROUND($D141*وزن_جودة_العمل+$E141*وزن_الالتزام+$F141*وزن_الإنتاجية+$G141*وزن_التعاون+$H141*وزن_الأهداف,1)))</f>
        <v/>
      </c>
      <c r="J141" s="43">
        <f>IF($I141="","",IF($I141&gt;=90,"ممتاز",IF($I141&gt;=80,"جيد جدًا",IF($I141&gt;=70,"جيد",IF($I141&gt;=60,"مقبول","يحتاج تحسين")))))</f>
        <v/>
      </c>
      <c r="K141" s="40" t="n"/>
    </row>
    <row r="142">
      <c r="A142" s="47" t="n"/>
      <c r="B142" s="50">
        <f>IFERROR(INDEX(الموظفون_الاسم,MATCH($A142,الموظفون_الرقم,0)),"")</f>
        <v/>
      </c>
      <c r="C142" s="47" t="n"/>
      <c r="D142" s="62" t="n"/>
      <c r="E142" s="62" t="n"/>
      <c r="F142" s="62" t="n"/>
      <c r="G142" s="62" t="n"/>
      <c r="H142" s="62" t="n"/>
      <c r="I142" s="113">
        <f>IF($A142="","",IF(COUNT($D142:$H142)=0,"",ROUND($D142*وزن_جودة_العمل+$E142*وزن_الالتزام+$F142*وزن_الإنتاجية+$G142*وزن_التعاون+$H142*وزن_الأهداف,1)))</f>
        <v/>
      </c>
      <c r="J142" s="50">
        <f>IF($I142="","",IF($I142&gt;=90,"ممتاز",IF($I142&gt;=80,"جيد جدًا",IF($I142&gt;=70,"جيد",IF($I142&gt;=60,"مقبول","يحتاج تحسين")))))</f>
        <v/>
      </c>
      <c r="K142" s="47" t="n"/>
    </row>
    <row r="143">
      <c r="A143" s="40" t="n"/>
      <c r="B143" s="43">
        <f>IFERROR(INDEX(الموظفون_الاسم,MATCH($A143,الموظفون_الرقم,0)),"")</f>
        <v/>
      </c>
      <c r="C143" s="40" t="n"/>
      <c r="D143" s="59" t="n"/>
      <c r="E143" s="59" t="n"/>
      <c r="F143" s="59" t="n"/>
      <c r="G143" s="59" t="n"/>
      <c r="H143" s="59" t="n"/>
      <c r="I143" s="111">
        <f>IF($A143="","",IF(COUNT($D143:$H143)=0,"",ROUND($D143*وزن_جودة_العمل+$E143*وزن_الالتزام+$F143*وزن_الإنتاجية+$G143*وزن_التعاون+$H143*وزن_الأهداف,1)))</f>
        <v/>
      </c>
      <c r="J143" s="43">
        <f>IF($I143="","",IF($I143&gt;=90,"ممتاز",IF($I143&gt;=80,"جيد جدًا",IF($I143&gt;=70,"جيد",IF($I143&gt;=60,"مقبول","يحتاج تحسين")))))</f>
        <v/>
      </c>
      <c r="K143" s="40" t="n"/>
    </row>
    <row r="144">
      <c r="A144" s="47" t="n"/>
      <c r="B144" s="50">
        <f>IFERROR(INDEX(الموظفون_الاسم,MATCH($A144,الموظفون_الرقم,0)),"")</f>
        <v/>
      </c>
      <c r="C144" s="47" t="n"/>
      <c r="D144" s="62" t="n"/>
      <c r="E144" s="62" t="n"/>
      <c r="F144" s="62" t="n"/>
      <c r="G144" s="62" t="n"/>
      <c r="H144" s="62" t="n"/>
      <c r="I144" s="113">
        <f>IF($A144="","",IF(COUNT($D144:$H144)=0,"",ROUND($D144*وزن_جودة_العمل+$E144*وزن_الالتزام+$F144*وزن_الإنتاجية+$G144*وزن_التعاون+$H144*وزن_الأهداف,1)))</f>
        <v/>
      </c>
      <c r="J144" s="50">
        <f>IF($I144="","",IF($I144&gt;=90,"ممتاز",IF($I144&gt;=80,"جيد جدًا",IF($I144&gt;=70,"جيد",IF($I144&gt;=60,"مقبول","يحتاج تحسين")))))</f>
        <v/>
      </c>
      <c r="K144" s="47" t="n"/>
    </row>
    <row r="145">
      <c r="A145" s="40" t="n"/>
      <c r="B145" s="43">
        <f>IFERROR(INDEX(الموظفون_الاسم,MATCH($A145,الموظفون_الرقم,0)),"")</f>
        <v/>
      </c>
      <c r="C145" s="40" t="n"/>
      <c r="D145" s="59" t="n"/>
      <c r="E145" s="59" t="n"/>
      <c r="F145" s="59" t="n"/>
      <c r="G145" s="59" t="n"/>
      <c r="H145" s="59" t="n"/>
      <c r="I145" s="111">
        <f>IF($A145="","",IF(COUNT($D145:$H145)=0,"",ROUND($D145*وزن_جودة_العمل+$E145*وزن_الالتزام+$F145*وزن_الإنتاجية+$G145*وزن_التعاون+$H145*وزن_الأهداف,1)))</f>
        <v/>
      </c>
      <c r="J145" s="43">
        <f>IF($I145="","",IF($I145&gt;=90,"ممتاز",IF($I145&gt;=80,"جيد جدًا",IF($I145&gt;=70,"جيد",IF($I145&gt;=60,"مقبول","يحتاج تحسين")))))</f>
        <v/>
      </c>
      <c r="K145" s="40" t="n"/>
    </row>
    <row r="146">
      <c r="A146" s="47" t="n"/>
      <c r="B146" s="50">
        <f>IFERROR(INDEX(الموظفون_الاسم,MATCH($A146,الموظفون_الرقم,0)),"")</f>
        <v/>
      </c>
      <c r="C146" s="47" t="n"/>
      <c r="D146" s="62" t="n"/>
      <c r="E146" s="62" t="n"/>
      <c r="F146" s="62" t="n"/>
      <c r="G146" s="62" t="n"/>
      <c r="H146" s="62" t="n"/>
      <c r="I146" s="113">
        <f>IF($A146="","",IF(COUNT($D146:$H146)=0,"",ROUND($D146*وزن_جودة_العمل+$E146*وزن_الالتزام+$F146*وزن_الإنتاجية+$G146*وزن_التعاون+$H146*وزن_الأهداف,1)))</f>
        <v/>
      </c>
      <c r="J146" s="50">
        <f>IF($I146="","",IF($I146&gt;=90,"ممتاز",IF($I146&gt;=80,"جيد جدًا",IF($I146&gt;=70,"جيد",IF($I146&gt;=60,"مقبول","يحتاج تحسين")))))</f>
        <v/>
      </c>
      <c r="K146" s="47" t="n"/>
    </row>
    <row r="147">
      <c r="A147" s="40" t="n"/>
      <c r="B147" s="43">
        <f>IFERROR(INDEX(الموظفون_الاسم,MATCH($A147,الموظفون_الرقم,0)),"")</f>
        <v/>
      </c>
      <c r="C147" s="40" t="n"/>
      <c r="D147" s="59" t="n"/>
      <c r="E147" s="59" t="n"/>
      <c r="F147" s="59" t="n"/>
      <c r="G147" s="59" t="n"/>
      <c r="H147" s="59" t="n"/>
      <c r="I147" s="111">
        <f>IF($A147="","",IF(COUNT($D147:$H147)=0,"",ROUND($D147*وزن_جودة_العمل+$E147*وزن_الالتزام+$F147*وزن_الإنتاجية+$G147*وزن_التعاون+$H147*وزن_الأهداف,1)))</f>
        <v/>
      </c>
      <c r="J147" s="43">
        <f>IF($I147="","",IF($I147&gt;=90,"ممتاز",IF($I147&gt;=80,"جيد جدًا",IF($I147&gt;=70,"جيد",IF($I147&gt;=60,"مقبول","يحتاج تحسين")))))</f>
        <v/>
      </c>
      <c r="K147" s="40" t="n"/>
    </row>
    <row r="148">
      <c r="A148" s="47" t="n"/>
      <c r="B148" s="50">
        <f>IFERROR(INDEX(الموظفون_الاسم,MATCH($A148,الموظفون_الرقم,0)),"")</f>
        <v/>
      </c>
      <c r="C148" s="47" t="n"/>
      <c r="D148" s="62" t="n"/>
      <c r="E148" s="62" t="n"/>
      <c r="F148" s="62" t="n"/>
      <c r="G148" s="62" t="n"/>
      <c r="H148" s="62" t="n"/>
      <c r="I148" s="113">
        <f>IF($A148="","",IF(COUNT($D148:$H148)=0,"",ROUND($D148*وزن_جودة_العمل+$E148*وزن_الالتزام+$F148*وزن_الإنتاجية+$G148*وزن_التعاون+$H148*وزن_الأهداف,1)))</f>
        <v/>
      </c>
      <c r="J148" s="50">
        <f>IF($I148="","",IF($I148&gt;=90,"ممتاز",IF($I148&gt;=80,"جيد جدًا",IF($I148&gt;=70,"جيد",IF($I148&gt;=60,"مقبول","يحتاج تحسين")))))</f>
        <v/>
      </c>
      <c r="K148" s="47" t="n"/>
    </row>
    <row r="149">
      <c r="A149" s="40" t="n"/>
      <c r="B149" s="43">
        <f>IFERROR(INDEX(الموظفون_الاسم,MATCH($A149,الموظفون_الرقم,0)),"")</f>
        <v/>
      </c>
      <c r="C149" s="40" t="n"/>
      <c r="D149" s="59" t="n"/>
      <c r="E149" s="59" t="n"/>
      <c r="F149" s="59" t="n"/>
      <c r="G149" s="59" t="n"/>
      <c r="H149" s="59" t="n"/>
      <c r="I149" s="111">
        <f>IF($A149="","",IF(COUNT($D149:$H149)=0,"",ROUND($D149*وزن_جودة_العمل+$E149*وزن_الالتزام+$F149*وزن_الإنتاجية+$G149*وزن_التعاون+$H149*وزن_الأهداف,1)))</f>
        <v/>
      </c>
      <c r="J149" s="43">
        <f>IF($I149="","",IF($I149&gt;=90,"ممتاز",IF($I149&gt;=80,"جيد جدًا",IF($I149&gt;=70,"جيد",IF($I149&gt;=60,"مقبول","يحتاج تحسين")))))</f>
        <v/>
      </c>
      <c r="K149" s="40" t="n"/>
    </row>
    <row r="150">
      <c r="A150" s="47" t="n"/>
      <c r="B150" s="50">
        <f>IFERROR(INDEX(الموظفون_الاسم,MATCH($A150,الموظفون_الرقم,0)),"")</f>
        <v/>
      </c>
      <c r="C150" s="47" t="n"/>
      <c r="D150" s="62" t="n"/>
      <c r="E150" s="62" t="n"/>
      <c r="F150" s="62" t="n"/>
      <c r="G150" s="62" t="n"/>
      <c r="H150" s="62" t="n"/>
      <c r="I150" s="113">
        <f>IF($A150="","",IF(COUNT($D150:$H150)=0,"",ROUND($D150*وزن_جودة_العمل+$E150*وزن_الالتزام+$F150*وزن_الإنتاجية+$G150*وزن_التعاون+$H150*وزن_الأهداف,1)))</f>
        <v/>
      </c>
      <c r="J150" s="50">
        <f>IF($I150="","",IF($I150&gt;=90,"ممتاز",IF($I150&gt;=80,"جيد جدًا",IF($I150&gt;=70,"جيد",IF($I150&gt;=60,"مقبول","يحتاج تحسين")))))</f>
        <v/>
      </c>
      <c r="K150" s="47" t="n"/>
    </row>
    <row r="151">
      <c r="A151" s="40" t="n"/>
      <c r="B151" s="43">
        <f>IFERROR(INDEX(الموظفون_الاسم,MATCH($A151,الموظفون_الرقم,0)),"")</f>
        <v/>
      </c>
      <c r="C151" s="40" t="n"/>
      <c r="D151" s="59" t="n"/>
      <c r="E151" s="59" t="n"/>
      <c r="F151" s="59" t="n"/>
      <c r="G151" s="59" t="n"/>
      <c r="H151" s="59" t="n"/>
      <c r="I151" s="111">
        <f>IF($A151="","",IF(COUNT($D151:$H151)=0,"",ROUND($D151*وزن_جودة_العمل+$E151*وزن_الالتزام+$F151*وزن_الإنتاجية+$G151*وزن_التعاون+$H151*وزن_الأهداف,1)))</f>
        <v/>
      </c>
      <c r="J151" s="43">
        <f>IF($I151="","",IF($I151&gt;=90,"ممتاز",IF($I151&gt;=80,"جيد جدًا",IF($I151&gt;=70,"جيد",IF($I151&gt;=60,"مقبول","يحتاج تحسين")))))</f>
        <v/>
      </c>
      <c r="K151" s="40" t="n"/>
    </row>
    <row r="152">
      <c r="A152" s="47" t="n"/>
      <c r="B152" s="50">
        <f>IFERROR(INDEX(الموظفون_الاسم,MATCH($A152,الموظفون_الرقم,0)),"")</f>
        <v/>
      </c>
      <c r="C152" s="47" t="n"/>
      <c r="D152" s="62" t="n"/>
      <c r="E152" s="62" t="n"/>
      <c r="F152" s="62" t="n"/>
      <c r="G152" s="62" t="n"/>
      <c r="H152" s="62" t="n"/>
      <c r="I152" s="113">
        <f>IF($A152="","",IF(COUNT($D152:$H152)=0,"",ROUND($D152*وزن_جودة_العمل+$E152*وزن_الالتزام+$F152*وزن_الإنتاجية+$G152*وزن_التعاون+$H152*وزن_الأهداف,1)))</f>
        <v/>
      </c>
      <c r="J152" s="50">
        <f>IF($I152="","",IF($I152&gt;=90,"ممتاز",IF($I152&gt;=80,"جيد جدًا",IF($I152&gt;=70,"جيد",IF($I152&gt;=60,"مقبول","يحتاج تحسين")))))</f>
        <v/>
      </c>
      <c r="K152" s="47" t="n"/>
    </row>
    <row r="153">
      <c r="A153" s="40" t="n"/>
      <c r="B153" s="43">
        <f>IFERROR(INDEX(الموظفون_الاسم,MATCH($A153,الموظفون_الرقم,0)),"")</f>
        <v/>
      </c>
      <c r="C153" s="40" t="n"/>
      <c r="D153" s="59" t="n"/>
      <c r="E153" s="59" t="n"/>
      <c r="F153" s="59" t="n"/>
      <c r="G153" s="59" t="n"/>
      <c r="H153" s="59" t="n"/>
      <c r="I153" s="111">
        <f>IF($A153="","",IF(COUNT($D153:$H153)=0,"",ROUND($D153*وزن_جودة_العمل+$E153*وزن_الالتزام+$F153*وزن_الإنتاجية+$G153*وزن_التعاون+$H153*وزن_الأهداف,1)))</f>
        <v/>
      </c>
      <c r="J153" s="43">
        <f>IF($I153="","",IF($I153&gt;=90,"ممتاز",IF($I153&gt;=80,"جيد جدًا",IF($I153&gt;=70,"جيد",IF($I153&gt;=60,"مقبول","يحتاج تحسين")))))</f>
        <v/>
      </c>
      <c r="K153" s="40" t="n"/>
    </row>
    <row r="154">
      <c r="A154" s="47" t="n"/>
      <c r="B154" s="50">
        <f>IFERROR(INDEX(الموظفون_الاسم,MATCH($A154,الموظفون_الرقم,0)),"")</f>
        <v/>
      </c>
      <c r="C154" s="47" t="n"/>
      <c r="D154" s="62" t="n"/>
      <c r="E154" s="62" t="n"/>
      <c r="F154" s="62" t="n"/>
      <c r="G154" s="62" t="n"/>
      <c r="H154" s="62" t="n"/>
      <c r="I154" s="113">
        <f>IF($A154="","",IF(COUNT($D154:$H154)=0,"",ROUND($D154*وزن_جودة_العمل+$E154*وزن_الالتزام+$F154*وزن_الإنتاجية+$G154*وزن_التعاون+$H154*وزن_الأهداف,1)))</f>
        <v/>
      </c>
      <c r="J154" s="50">
        <f>IF($I154="","",IF($I154&gt;=90,"ممتاز",IF($I154&gt;=80,"جيد جدًا",IF($I154&gt;=70,"جيد",IF($I154&gt;=60,"مقبول","يحتاج تحسين")))))</f>
        <v/>
      </c>
      <c r="K154" s="47" t="n"/>
    </row>
    <row r="155">
      <c r="A155" s="40" t="n"/>
      <c r="B155" s="43">
        <f>IFERROR(INDEX(الموظفون_الاسم,MATCH($A155,الموظفون_الرقم,0)),"")</f>
        <v/>
      </c>
      <c r="C155" s="40" t="n"/>
      <c r="D155" s="59" t="n"/>
      <c r="E155" s="59" t="n"/>
      <c r="F155" s="59" t="n"/>
      <c r="G155" s="59" t="n"/>
      <c r="H155" s="59" t="n"/>
      <c r="I155" s="111">
        <f>IF($A155="","",IF(COUNT($D155:$H155)=0,"",ROUND($D155*وزن_جودة_العمل+$E155*وزن_الالتزام+$F155*وزن_الإنتاجية+$G155*وزن_التعاون+$H155*وزن_الأهداف,1)))</f>
        <v/>
      </c>
      <c r="J155" s="43">
        <f>IF($I155="","",IF($I155&gt;=90,"ممتاز",IF($I155&gt;=80,"جيد جدًا",IF($I155&gt;=70,"جيد",IF($I155&gt;=60,"مقبول","يحتاج تحسين")))))</f>
        <v/>
      </c>
      <c r="K155" s="40" t="n"/>
    </row>
    <row r="156">
      <c r="A156" s="47" t="n"/>
      <c r="B156" s="50">
        <f>IFERROR(INDEX(الموظفون_الاسم,MATCH($A156,الموظفون_الرقم,0)),"")</f>
        <v/>
      </c>
      <c r="C156" s="47" t="n"/>
      <c r="D156" s="62" t="n"/>
      <c r="E156" s="62" t="n"/>
      <c r="F156" s="62" t="n"/>
      <c r="G156" s="62" t="n"/>
      <c r="H156" s="62" t="n"/>
      <c r="I156" s="113">
        <f>IF($A156="","",IF(COUNT($D156:$H156)=0,"",ROUND($D156*وزن_جودة_العمل+$E156*وزن_الالتزام+$F156*وزن_الإنتاجية+$G156*وزن_التعاون+$H156*وزن_الأهداف,1)))</f>
        <v/>
      </c>
      <c r="J156" s="50">
        <f>IF($I156="","",IF($I156&gt;=90,"ممتاز",IF($I156&gt;=80,"جيد جدًا",IF($I156&gt;=70,"جيد",IF($I156&gt;=60,"مقبول","يحتاج تحسين")))))</f>
        <v/>
      </c>
      <c r="K156" s="47" t="n"/>
    </row>
    <row r="157">
      <c r="A157" s="40" t="n"/>
      <c r="B157" s="43">
        <f>IFERROR(INDEX(الموظفون_الاسم,MATCH($A157,الموظفون_الرقم,0)),"")</f>
        <v/>
      </c>
      <c r="C157" s="40" t="n"/>
      <c r="D157" s="59" t="n"/>
      <c r="E157" s="59" t="n"/>
      <c r="F157" s="59" t="n"/>
      <c r="G157" s="59" t="n"/>
      <c r="H157" s="59" t="n"/>
      <c r="I157" s="111">
        <f>IF($A157="","",IF(COUNT($D157:$H157)=0,"",ROUND($D157*وزن_جودة_العمل+$E157*وزن_الالتزام+$F157*وزن_الإنتاجية+$G157*وزن_التعاون+$H157*وزن_الأهداف,1)))</f>
        <v/>
      </c>
      <c r="J157" s="43">
        <f>IF($I157="","",IF($I157&gt;=90,"ممتاز",IF($I157&gt;=80,"جيد جدًا",IF($I157&gt;=70,"جيد",IF($I157&gt;=60,"مقبول","يحتاج تحسين")))))</f>
        <v/>
      </c>
      <c r="K157" s="40" t="n"/>
    </row>
    <row r="158">
      <c r="A158" s="47" t="n"/>
      <c r="B158" s="50">
        <f>IFERROR(INDEX(الموظفون_الاسم,MATCH($A158,الموظفون_الرقم,0)),"")</f>
        <v/>
      </c>
      <c r="C158" s="47" t="n"/>
      <c r="D158" s="62" t="n"/>
      <c r="E158" s="62" t="n"/>
      <c r="F158" s="62" t="n"/>
      <c r="G158" s="62" t="n"/>
      <c r="H158" s="62" t="n"/>
      <c r="I158" s="113">
        <f>IF($A158="","",IF(COUNT($D158:$H158)=0,"",ROUND($D158*وزن_جودة_العمل+$E158*وزن_الالتزام+$F158*وزن_الإنتاجية+$G158*وزن_التعاون+$H158*وزن_الأهداف,1)))</f>
        <v/>
      </c>
      <c r="J158" s="50">
        <f>IF($I158="","",IF($I158&gt;=90,"ممتاز",IF($I158&gt;=80,"جيد جدًا",IF($I158&gt;=70,"جيد",IF($I158&gt;=60,"مقبول","يحتاج تحسين")))))</f>
        <v/>
      </c>
      <c r="K158" s="47" t="n"/>
    </row>
    <row r="159">
      <c r="A159" s="40" t="n"/>
      <c r="B159" s="43">
        <f>IFERROR(INDEX(الموظفون_الاسم,MATCH($A159,الموظفون_الرقم,0)),"")</f>
        <v/>
      </c>
      <c r="C159" s="40" t="n"/>
      <c r="D159" s="59" t="n"/>
      <c r="E159" s="59" t="n"/>
      <c r="F159" s="59" t="n"/>
      <c r="G159" s="59" t="n"/>
      <c r="H159" s="59" t="n"/>
      <c r="I159" s="111">
        <f>IF($A159="","",IF(COUNT($D159:$H159)=0,"",ROUND($D159*وزن_جودة_العمل+$E159*وزن_الالتزام+$F159*وزن_الإنتاجية+$G159*وزن_التعاون+$H159*وزن_الأهداف,1)))</f>
        <v/>
      </c>
      <c r="J159" s="43">
        <f>IF($I159="","",IF($I159&gt;=90,"ممتاز",IF($I159&gt;=80,"جيد جدًا",IF($I159&gt;=70,"جيد",IF($I159&gt;=60,"مقبول","يحتاج تحسين")))))</f>
        <v/>
      </c>
      <c r="K159" s="40" t="n"/>
    </row>
    <row r="160">
      <c r="A160" s="47" t="n"/>
      <c r="B160" s="50">
        <f>IFERROR(INDEX(الموظفون_الاسم,MATCH($A160,الموظفون_الرقم,0)),"")</f>
        <v/>
      </c>
      <c r="C160" s="47" t="n"/>
      <c r="D160" s="62" t="n"/>
      <c r="E160" s="62" t="n"/>
      <c r="F160" s="62" t="n"/>
      <c r="G160" s="62" t="n"/>
      <c r="H160" s="62" t="n"/>
      <c r="I160" s="113">
        <f>IF($A160="","",IF(COUNT($D160:$H160)=0,"",ROUND($D160*وزن_جودة_العمل+$E160*وزن_الالتزام+$F160*وزن_الإنتاجية+$G160*وزن_التعاون+$H160*وزن_الأهداف,1)))</f>
        <v/>
      </c>
      <c r="J160" s="50">
        <f>IF($I160="","",IF($I160&gt;=90,"ممتاز",IF($I160&gt;=80,"جيد جدًا",IF($I160&gt;=70,"جيد",IF($I160&gt;=60,"مقبول","يحتاج تحسين")))))</f>
        <v/>
      </c>
      <c r="K160" s="47" t="n"/>
    </row>
    <row r="161">
      <c r="A161" s="40" t="n"/>
      <c r="B161" s="43">
        <f>IFERROR(INDEX(الموظفون_الاسم,MATCH($A161,الموظفون_الرقم,0)),"")</f>
        <v/>
      </c>
      <c r="C161" s="40" t="n"/>
      <c r="D161" s="59" t="n"/>
      <c r="E161" s="59" t="n"/>
      <c r="F161" s="59" t="n"/>
      <c r="G161" s="59" t="n"/>
      <c r="H161" s="59" t="n"/>
      <c r="I161" s="111">
        <f>IF($A161="","",IF(COUNT($D161:$H161)=0,"",ROUND($D161*وزن_جودة_العمل+$E161*وزن_الالتزام+$F161*وزن_الإنتاجية+$G161*وزن_التعاون+$H161*وزن_الأهداف,1)))</f>
        <v/>
      </c>
      <c r="J161" s="43">
        <f>IF($I161="","",IF($I161&gt;=90,"ممتاز",IF($I161&gt;=80,"جيد جدًا",IF($I161&gt;=70,"جيد",IF($I161&gt;=60,"مقبول","يحتاج تحسين")))))</f>
        <v/>
      </c>
      <c r="K161" s="40" t="n"/>
    </row>
    <row r="162">
      <c r="A162" s="47" t="n"/>
      <c r="B162" s="50">
        <f>IFERROR(INDEX(الموظفون_الاسم,MATCH($A162,الموظفون_الرقم,0)),"")</f>
        <v/>
      </c>
      <c r="C162" s="47" t="n"/>
      <c r="D162" s="62" t="n"/>
      <c r="E162" s="62" t="n"/>
      <c r="F162" s="62" t="n"/>
      <c r="G162" s="62" t="n"/>
      <c r="H162" s="62" t="n"/>
      <c r="I162" s="113">
        <f>IF($A162="","",IF(COUNT($D162:$H162)=0,"",ROUND($D162*وزن_جودة_العمل+$E162*وزن_الالتزام+$F162*وزن_الإنتاجية+$G162*وزن_التعاون+$H162*وزن_الأهداف,1)))</f>
        <v/>
      </c>
      <c r="J162" s="50">
        <f>IF($I162="","",IF($I162&gt;=90,"ممتاز",IF($I162&gt;=80,"جيد جدًا",IF($I162&gt;=70,"جيد",IF($I162&gt;=60,"مقبول","يحتاج تحسين")))))</f>
        <v/>
      </c>
      <c r="K162" s="47" t="n"/>
    </row>
    <row r="163">
      <c r="A163" s="40" t="n"/>
      <c r="B163" s="43">
        <f>IFERROR(INDEX(الموظفون_الاسم,MATCH($A163,الموظفون_الرقم,0)),"")</f>
        <v/>
      </c>
      <c r="C163" s="40" t="n"/>
      <c r="D163" s="59" t="n"/>
      <c r="E163" s="59" t="n"/>
      <c r="F163" s="59" t="n"/>
      <c r="G163" s="59" t="n"/>
      <c r="H163" s="59" t="n"/>
      <c r="I163" s="111">
        <f>IF($A163="","",IF(COUNT($D163:$H163)=0,"",ROUND($D163*وزن_جودة_العمل+$E163*وزن_الالتزام+$F163*وزن_الإنتاجية+$G163*وزن_التعاون+$H163*وزن_الأهداف,1)))</f>
        <v/>
      </c>
      <c r="J163" s="43">
        <f>IF($I163="","",IF($I163&gt;=90,"ممتاز",IF($I163&gt;=80,"جيد جدًا",IF($I163&gt;=70,"جيد",IF($I163&gt;=60,"مقبول","يحتاج تحسين")))))</f>
        <v/>
      </c>
      <c r="K163" s="40" t="n"/>
    </row>
    <row r="164">
      <c r="A164" s="47" t="n"/>
      <c r="B164" s="50">
        <f>IFERROR(INDEX(الموظفون_الاسم,MATCH($A164,الموظفون_الرقم,0)),"")</f>
        <v/>
      </c>
      <c r="C164" s="47" t="n"/>
      <c r="D164" s="62" t="n"/>
      <c r="E164" s="62" t="n"/>
      <c r="F164" s="62" t="n"/>
      <c r="G164" s="62" t="n"/>
      <c r="H164" s="62" t="n"/>
      <c r="I164" s="113">
        <f>IF($A164="","",IF(COUNT($D164:$H164)=0,"",ROUND($D164*وزن_جودة_العمل+$E164*وزن_الالتزام+$F164*وزن_الإنتاجية+$G164*وزن_التعاون+$H164*وزن_الأهداف,1)))</f>
        <v/>
      </c>
      <c r="J164" s="50">
        <f>IF($I164="","",IF($I164&gt;=90,"ممتاز",IF($I164&gt;=80,"جيد جدًا",IF($I164&gt;=70,"جيد",IF($I164&gt;=60,"مقبول","يحتاج تحسين")))))</f>
        <v/>
      </c>
      <c r="K164" s="47" t="n"/>
    </row>
    <row r="165">
      <c r="A165" s="40" t="n"/>
      <c r="B165" s="43">
        <f>IFERROR(INDEX(الموظفون_الاسم,MATCH($A165,الموظفون_الرقم,0)),"")</f>
        <v/>
      </c>
      <c r="C165" s="40" t="n"/>
      <c r="D165" s="59" t="n"/>
      <c r="E165" s="59" t="n"/>
      <c r="F165" s="59" t="n"/>
      <c r="G165" s="59" t="n"/>
      <c r="H165" s="59" t="n"/>
      <c r="I165" s="111">
        <f>IF($A165="","",IF(COUNT($D165:$H165)=0,"",ROUND($D165*وزن_جودة_العمل+$E165*وزن_الالتزام+$F165*وزن_الإنتاجية+$G165*وزن_التعاون+$H165*وزن_الأهداف,1)))</f>
        <v/>
      </c>
      <c r="J165" s="43">
        <f>IF($I165="","",IF($I165&gt;=90,"ممتاز",IF($I165&gt;=80,"جيد جدًا",IF($I165&gt;=70,"جيد",IF($I165&gt;=60,"مقبول","يحتاج تحسين")))))</f>
        <v/>
      </c>
      <c r="K165" s="40" t="n"/>
    </row>
    <row r="166">
      <c r="A166" s="47" t="n"/>
      <c r="B166" s="50">
        <f>IFERROR(INDEX(الموظفون_الاسم,MATCH($A166,الموظفون_الرقم,0)),"")</f>
        <v/>
      </c>
      <c r="C166" s="47" t="n"/>
      <c r="D166" s="62" t="n"/>
      <c r="E166" s="62" t="n"/>
      <c r="F166" s="62" t="n"/>
      <c r="G166" s="62" t="n"/>
      <c r="H166" s="62" t="n"/>
      <c r="I166" s="113">
        <f>IF($A166="","",IF(COUNT($D166:$H166)=0,"",ROUND($D166*وزن_جودة_العمل+$E166*وزن_الالتزام+$F166*وزن_الإنتاجية+$G166*وزن_التعاون+$H166*وزن_الأهداف,1)))</f>
        <v/>
      </c>
      <c r="J166" s="50">
        <f>IF($I166="","",IF($I166&gt;=90,"ممتاز",IF($I166&gt;=80,"جيد جدًا",IF($I166&gt;=70,"جيد",IF($I166&gt;=60,"مقبول","يحتاج تحسين")))))</f>
        <v/>
      </c>
      <c r="K166" s="47" t="n"/>
    </row>
    <row r="167">
      <c r="A167" s="40" t="n"/>
      <c r="B167" s="43">
        <f>IFERROR(INDEX(الموظفون_الاسم,MATCH($A167,الموظفون_الرقم,0)),"")</f>
        <v/>
      </c>
      <c r="C167" s="40" t="n"/>
      <c r="D167" s="59" t="n"/>
      <c r="E167" s="59" t="n"/>
      <c r="F167" s="59" t="n"/>
      <c r="G167" s="59" t="n"/>
      <c r="H167" s="59" t="n"/>
      <c r="I167" s="111">
        <f>IF($A167="","",IF(COUNT($D167:$H167)=0,"",ROUND($D167*وزن_جودة_العمل+$E167*وزن_الالتزام+$F167*وزن_الإنتاجية+$G167*وزن_التعاون+$H167*وزن_الأهداف,1)))</f>
        <v/>
      </c>
      <c r="J167" s="43">
        <f>IF($I167="","",IF($I167&gt;=90,"ممتاز",IF($I167&gt;=80,"جيد جدًا",IF($I167&gt;=70,"جيد",IF($I167&gt;=60,"مقبول","يحتاج تحسين")))))</f>
        <v/>
      </c>
      <c r="K167" s="40" t="n"/>
    </row>
    <row r="168">
      <c r="A168" s="47" t="n"/>
      <c r="B168" s="50">
        <f>IFERROR(INDEX(الموظفون_الاسم,MATCH($A168,الموظفون_الرقم,0)),"")</f>
        <v/>
      </c>
      <c r="C168" s="47" t="n"/>
      <c r="D168" s="62" t="n"/>
      <c r="E168" s="62" t="n"/>
      <c r="F168" s="62" t="n"/>
      <c r="G168" s="62" t="n"/>
      <c r="H168" s="62" t="n"/>
      <c r="I168" s="113">
        <f>IF($A168="","",IF(COUNT($D168:$H168)=0,"",ROUND($D168*وزن_جودة_العمل+$E168*وزن_الالتزام+$F168*وزن_الإنتاجية+$G168*وزن_التعاون+$H168*وزن_الأهداف,1)))</f>
        <v/>
      </c>
      <c r="J168" s="50">
        <f>IF($I168="","",IF($I168&gt;=90,"ممتاز",IF($I168&gt;=80,"جيد جدًا",IF($I168&gt;=70,"جيد",IF($I168&gt;=60,"مقبول","يحتاج تحسين")))))</f>
        <v/>
      </c>
      <c r="K168" s="47" t="n"/>
    </row>
    <row r="169">
      <c r="A169" s="40" t="n"/>
      <c r="B169" s="43">
        <f>IFERROR(INDEX(الموظفون_الاسم,MATCH($A169,الموظفون_الرقم,0)),"")</f>
        <v/>
      </c>
      <c r="C169" s="40" t="n"/>
      <c r="D169" s="59" t="n"/>
      <c r="E169" s="59" t="n"/>
      <c r="F169" s="59" t="n"/>
      <c r="G169" s="59" t="n"/>
      <c r="H169" s="59" t="n"/>
      <c r="I169" s="111">
        <f>IF($A169="","",IF(COUNT($D169:$H169)=0,"",ROUND($D169*وزن_جودة_العمل+$E169*وزن_الالتزام+$F169*وزن_الإنتاجية+$G169*وزن_التعاون+$H169*وزن_الأهداف,1)))</f>
        <v/>
      </c>
      <c r="J169" s="43">
        <f>IF($I169="","",IF($I169&gt;=90,"ممتاز",IF($I169&gt;=80,"جيد جدًا",IF($I169&gt;=70,"جيد",IF($I169&gt;=60,"مقبول","يحتاج تحسين")))))</f>
        <v/>
      </c>
      <c r="K169" s="40" t="n"/>
    </row>
    <row r="170">
      <c r="A170" s="47" t="n"/>
      <c r="B170" s="50">
        <f>IFERROR(INDEX(الموظفون_الاسم,MATCH($A170,الموظفون_الرقم,0)),"")</f>
        <v/>
      </c>
      <c r="C170" s="47" t="n"/>
      <c r="D170" s="62" t="n"/>
      <c r="E170" s="62" t="n"/>
      <c r="F170" s="62" t="n"/>
      <c r="G170" s="62" t="n"/>
      <c r="H170" s="62" t="n"/>
      <c r="I170" s="113">
        <f>IF($A170="","",IF(COUNT($D170:$H170)=0,"",ROUND($D170*وزن_جودة_العمل+$E170*وزن_الالتزام+$F170*وزن_الإنتاجية+$G170*وزن_التعاون+$H170*وزن_الأهداف,1)))</f>
        <v/>
      </c>
      <c r="J170" s="50">
        <f>IF($I170="","",IF($I170&gt;=90,"ممتاز",IF($I170&gt;=80,"جيد جدًا",IF($I170&gt;=70,"جيد",IF($I170&gt;=60,"مقبول","يحتاج تحسين")))))</f>
        <v/>
      </c>
      <c r="K170" s="47" t="n"/>
    </row>
    <row r="171">
      <c r="A171" s="40" t="n"/>
      <c r="B171" s="43">
        <f>IFERROR(INDEX(الموظفون_الاسم,MATCH($A171,الموظفون_الرقم,0)),"")</f>
        <v/>
      </c>
      <c r="C171" s="40" t="n"/>
      <c r="D171" s="59" t="n"/>
      <c r="E171" s="59" t="n"/>
      <c r="F171" s="59" t="n"/>
      <c r="G171" s="59" t="n"/>
      <c r="H171" s="59" t="n"/>
      <c r="I171" s="111">
        <f>IF($A171="","",IF(COUNT($D171:$H171)=0,"",ROUND($D171*وزن_جودة_العمل+$E171*وزن_الالتزام+$F171*وزن_الإنتاجية+$G171*وزن_التعاون+$H171*وزن_الأهداف,1)))</f>
        <v/>
      </c>
      <c r="J171" s="43">
        <f>IF($I171="","",IF($I171&gt;=90,"ممتاز",IF($I171&gt;=80,"جيد جدًا",IF($I171&gt;=70,"جيد",IF($I171&gt;=60,"مقبول","يحتاج تحسين")))))</f>
        <v/>
      </c>
      <c r="K171" s="40" t="n"/>
    </row>
    <row r="172">
      <c r="A172" s="47" t="n"/>
      <c r="B172" s="50">
        <f>IFERROR(INDEX(الموظفون_الاسم,MATCH($A172,الموظفون_الرقم,0)),"")</f>
        <v/>
      </c>
      <c r="C172" s="47" t="n"/>
      <c r="D172" s="62" t="n"/>
      <c r="E172" s="62" t="n"/>
      <c r="F172" s="62" t="n"/>
      <c r="G172" s="62" t="n"/>
      <c r="H172" s="62" t="n"/>
      <c r="I172" s="113">
        <f>IF($A172="","",IF(COUNT($D172:$H172)=0,"",ROUND($D172*وزن_جودة_العمل+$E172*وزن_الالتزام+$F172*وزن_الإنتاجية+$G172*وزن_التعاون+$H172*وزن_الأهداف,1)))</f>
        <v/>
      </c>
      <c r="J172" s="50">
        <f>IF($I172="","",IF($I172&gt;=90,"ممتاز",IF($I172&gt;=80,"جيد جدًا",IF($I172&gt;=70,"جيد",IF($I172&gt;=60,"مقبول","يحتاج تحسين")))))</f>
        <v/>
      </c>
      <c r="K172" s="47" t="n"/>
    </row>
    <row r="173">
      <c r="A173" s="40" t="n"/>
      <c r="B173" s="43">
        <f>IFERROR(INDEX(الموظفون_الاسم,MATCH($A173,الموظفون_الرقم,0)),"")</f>
        <v/>
      </c>
      <c r="C173" s="40" t="n"/>
      <c r="D173" s="59" t="n"/>
      <c r="E173" s="59" t="n"/>
      <c r="F173" s="59" t="n"/>
      <c r="G173" s="59" t="n"/>
      <c r="H173" s="59" t="n"/>
      <c r="I173" s="111">
        <f>IF($A173="","",IF(COUNT($D173:$H173)=0,"",ROUND($D173*وزن_جودة_العمل+$E173*وزن_الالتزام+$F173*وزن_الإنتاجية+$G173*وزن_التعاون+$H173*وزن_الأهداف,1)))</f>
        <v/>
      </c>
      <c r="J173" s="43">
        <f>IF($I173="","",IF($I173&gt;=90,"ممتاز",IF($I173&gt;=80,"جيد جدًا",IF($I173&gt;=70,"جيد",IF($I173&gt;=60,"مقبول","يحتاج تحسين")))))</f>
        <v/>
      </c>
      <c r="K173" s="40" t="n"/>
    </row>
    <row r="174">
      <c r="A174" s="47" t="n"/>
      <c r="B174" s="50">
        <f>IFERROR(INDEX(الموظفون_الاسم,MATCH($A174,الموظفون_الرقم,0)),"")</f>
        <v/>
      </c>
      <c r="C174" s="47" t="n"/>
      <c r="D174" s="62" t="n"/>
      <c r="E174" s="62" t="n"/>
      <c r="F174" s="62" t="n"/>
      <c r="G174" s="62" t="n"/>
      <c r="H174" s="62" t="n"/>
      <c r="I174" s="113">
        <f>IF($A174="","",IF(COUNT($D174:$H174)=0,"",ROUND($D174*وزن_جودة_العمل+$E174*وزن_الالتزام+$F174*وزن_الإنتاجية+$G174*وزن_التعاون+$H174*وزن_الأهداف,1)))</f>
        <v/>
      </c>
      <c r="J174" s="50">
        <f>IF($I174="","",IF($I174&gt;=90,"ممتاز",IF($I174&gt;=80,"جيد جدًا",IF($I174&gt;=70,"جيد",IF($I174&gt;=60,"مقبول","يحتاج تحسين")))))</f>
        <v/>
      </c>
      <c r="K174" s="47" t="n"/>
    </row>
    <row r="175">
      <c r="A175" s="40" t="n"/>
      <c r="B175" s="43">
        <f>IFERROR(INDEX(الموظفون_الاسم,MATCH($A175,الموظفون_الرقم,0)),"")</f>
        <v/>
      </c>
      <c r="C175" s="40" t="n"/>
      <c r="D175" s="59" t="n"/>
      <c r="E175" s="59" t="n"/>
      <c r="F175" s="59" t="n"/>
      <c r="G175" s="59" t="n"/>
      <c r="H175" s="59" t="n"/>
      <c r="I175" s="111">
        <f>IF($A175="","",IF(COUNT($D175:$H175)=0,"",ROUND($D175*وزن_جودة_العمل+$E175*وزن_الالتزام+$F175*وزن_الإنتاجية+$G175*وزن_التعاون+$H175*وزن_الأهداف,1)))</f>
        <v/>
      </c>
      <c r="J175" s="43">
        <f>IF($I175="","",IF($I175&gt;=90,"ممتاز",IF($I175&gt;=80,"جيد جدًا",IF($I175&gt;=70,"جيد",IF($I175&gt;=60,"مقبول","يحتاج تحسين")))))</f>
        <v/>
      </c>
      <c r="K175" s="40" t="n"/>
    </row>
    <row r="176">
      <c r="A176" s="47" t="n"/>
      <c r="B176" s="50">
        <f>IFERROR(INDEX(الموظفون_الاسم,MATCH($A176,الموظفون_الرقم,0)),"")</f>
        <v/>
      </c>
      <c r="C176" s="47" t="n"/>
      <c r="D176" s="62" t="n"/>
      <c r="E176" s="62" t="n"/>
      <c r="F176" s="62" t="n"/>
      <c r="G176" s="62" t="n"/>
      <c r="H176" s="62" t="n"/>
      <c r="I176" s="113">
        <f>IF($A176="","",IF(COUNT($D176:$H176)=0,"",ROUND($D176*وزن_جودة_العمل+$E176*وزن_الالتزام+$F176*وزن_الإنتاجية+$G176*وزن_التعاون+$H176*وزن_الأهداف,1)))</f>
        <v/>
      </c>
      <c r="J176" s="50">
        <f>IF($I176="","",IF($I176&gt;=90,"ممتاز",IF($I176&gt;=80,"جيد جدًا",IF($I176&gt;=70,"جيد",IF($I176&gt;=60,"مقبول","يحتاج تحسين")))))</f>
        <v/>
      </c>
      <c r="K176" s="47" t="n"/>
    </row>
    <row r="177">
      <c r="A177" s="40" t="n"/>
      <c r="B177" s="43">
        <f>IFERROR(INDEX(الموظفون_الاسم,MATCH($A177,الموظفون_الرقم,0)),"")</f>
        <v/>
      </c>
      <c r="C177" s="40" t="n"/>
      <c r="D177" s="59" t="n"/>
      <c r="E177" s="59" t="n"/>
      <c r="F177" s="59" t="n"/>
      <c r="G177" s="59" t="n"/>
      <c r="H177" s="59" t="n"/>
      <c r="I177" s="111">
        <f>IF($A177="","",IF(COUNT($D177:$H177)=0,"",ROUND($D177*وزن_جودة_العمل+$E177*وزن_الالتزام+$F177*وزن_الإنتاجية+$G177*وزن_التعاون+$H177*وزن_الأهداف,1)))</f>
        <v/>
      </c>
      <c r="J177" s="43">
        <f>IF($I177="","",IF($I177&gt;=90,"ممتاز",IF($I177&gt;=80,"جيد جدًا",IF($I177&gt;=70,"جيد",IF($I177&gt;=60,"مقبول","يحتاج تحسين")))))</f>
        <v/>
      </c>
      <c r="K177" s="40" t="n"/>
    </row>
    <row r="178">
      <c r="A178" s="47" t="n"/>
      <c r="B178" s="50">
        <f>IFERROR(INDEX(الموظفون_الاسم,MATCH($A178,الموظفون_الرقم,0)),"")</f>
        <v/>
      </c>
      <c r="C178" s="47" t="n"/>
      <c r="D178" s="62" t="n"/>
      <c r="E178" s="62" t="n"/>
      <c r="F178" s="62" t="n"/>
      <c r="G178" s="62" t="n"/>
      <c r="H178" s="62" t="n"/>
      <c r="I178" s="113">
        <f>IF($A178="","",IF(COUNT($D178:$H178)=0,"",ROUND($D178*وزن_جودة_العمل+$E178*وزن_الالتزام+$F178*وزن_الإنتاجية+$G178*وزن_التعاون+$H178*وزن_الأهداف,1)))</f>
        <v/>
      </c>
      <c r="J178" s="50">
        <f>IF($I178="","",IF($I178&gt;=90,"ممتاز",IF($I178&gt;=80,"جيد جدًا",IF($I178&gt;=70,"جيد",IF($I178&gt;=60,"مقبول","يحتاج تحسين")))))</f>
        <v/>
      </c>
      <c r="K178" s="47" t="n"/>
    </row>
    <row r="179">
      <c r="A179" s="40" t="n"/>
      <c r="B179" s="43">
        <f>IFERROR(INDEX(الموظفون_الاسم,MATCH($A179,الموظفون_الرقم,0)),"")</f>
        <v/>
      </c>
      <c r="C179" s="40" t="n"/>
      <c r="D179" s="59" t="n"/>
      <c r="E179" s="59" t="n"/>
      <c r="F179" s="59" t="n"/>
      <c r="G179" s="59" t="n"/>
      <c r="H179" s="59" t="n"/>
      <c r="I179" s="111">
        <f>IF($A179="","",IF(COUNT($D179:$H179)=0,"",ROUND($D179*وزن_جودة_العمل+$E179*وزن_الالتزام+$F179*وزن_الإنتاجية+$G179*وزن_التعاون+$H179*وزن_الأهداف,1)))</f>
        <v/>
      </c>
      <c r="J179" s="43">
        <f>IF($I179="","",IF($I179&gt;=90,"ممتاز",IF($I179&gt;=80,"جيد جدًا",IF($I179&gt;=70,"جيد",IF($I179&gt;=60,"مقبول","يحتاج تحسين")))))</f>
        <v/>
      </c>
      <c r="K179" s="40" t="n"/>
    </row>
    <row r="180">
      <c r="A180" s="47" t="n"/>
      <c r="B180" s="50">
        <f>IFERROR(INDEX(الموظفون_الاسم,MATCH($A180,الموظفون_الرقم,0)),"")</f>
        <v/>
      </c>
      <c r="C180" s="47" t="n"/>
      <c r="D180" s="62" t="n"/>
      <c r="E180" s="62" t="n"/>
      <c r="F180" s="62" t="n"/>
      <c r="G180" s="62" t="n"/>
      <c r="H180" s="62" t="n"/>
      <c r="I180" s="113">
        <f>IF($A180="","",IF(COUNT($D180:$H180)=0,"",ROUND($D180*وزن_جودة_العمل+$E180*وزن_الالتزام+$F180*وزن_الإنتاجية+$G180*وزن_التعاون+$H180*وزن_الأهداف,1)))</f>
        <v/>
      </c>
      <c r="J180" s="50">
        <f>IF($I180="","",IF($I180&gt;=90,"ممتاز",IF($I180&gt;=80,"جيد جدًا",IF($I180&gt;=70,"جيد",IF($I180&gt;=60,"مقبول","يحتاج تحسين")))))</f>
        <v/>
      </c>
      <c r="K180" s="47" t="n"/>
    </row>
    <row r="181">
      <c r="A181" s="40" t="n"/>
      <c r="B181" s="43">
        <f>IFERROR(INDEX(الموظفون_الاسم,MATCH($A181,الموظفون_الرقم,0)),"")</f>
        <v/>
      </c>
      <c r="C181" s="40" t="n"/>
      <c r="D181" s="59" t="n"/>
      <c r="E181" s="59" t="n"/>
      <c r="F181" s="59" t="n"/>
      <c r="G181" s="59" t="n"/>
      <c r="H181" s="59" t="n"/>
      <c r="I181" s="111">
        <f>IF($A181="","",IF(COUNT($D181:$H181)=0,"",ROUND($D181*وزن_جودة_العمل+$E181*وزن_الالتزام+$F181*وزن_الإنتاجية+$G181*وزن_التعاون+$H181*وزن_الأهداف,1)))</f>
        <v/>
      </c>
      <c r="J181" s="43">
        <f>IF($I181="","",IF($I181&gt;=90,"ممتاز",IF($I181&gt;=80,"جيد جدًا",IF($I181&gt;=70,"جيد",IF($I181&gt;=60,"مقبول","يحتاج تحسين")))))</f>
        <v/>
      </c>
      <c r="K181" s="40" t="n"/>
    </row>
    <row r="182">
      <c r="A182" s="47" t="n"/>
      <c r="B182" s="50">
        <f>IFERROR(INDEX(الموظفون_الاسم,MATCH($A182,الموظفون_الرقم,0)),"")</f>
        <v/>
      </c>
      <c r="C182" s="47" t="n"/>
      <c r="D182" s="62" t="n"/>
      <c r="E182" s="62" t="n"/>
      <c r="F182" s="62" t="n"/>
      <c r="G182" s="62" t="n"/>
      <c r="H182" s="62" t="n"/>
      <c r="I182" s="113">
        <f>IF($A182="","",IF(COUNT($D182:$H182)=0,"",ROUND($D182*وزن_جودة_العمل+$E182*وزن_الالتزام+$F182*وزن_الإنتاجية+$G182*وزن_التعاون+$H182*وزن_الأهداف,1)))</f>
        <v/>
      </c>
      <c r="J182" s="50">
        <f>IF($I182="","",IF($I182&gt;=90,"ممتاز",IF($I182&gt;=80,"جيد جدًا",IF($I182&gt;=70,"جيد",IF($I182&gt;=60,"مقبول","يحتاج تحسين")))))</f>
        <v/>
      </c>
      <c r="K182" s="47" t="n"/>
    </row>
    <row r="183">
      <c r="A183" s="40" t="n"/>
      <c r="B183" s="43">
        <f>IFERROR(INDEX(الموظفون_الاسم,MATCH($A183,الموظفون_الرقم,0)),"")</f>
        <v/>
      </c>
      <c r="C183" s="40" t="n"/>
      <c r="D183" s="59" t="n"/>
      <c r="E183" s="59" t="n"/>
      <c r="F183" s="59" t="n"/>
      <c r="G183" s="59" t="n"/>
      <c r="H183" s="59" t="n"/>
      <c r="I183" s="111">
        <f>IF($A183="","",IF(COUNT($D183:$H183)=0,"",ROUND($D183*وزن_جودة_العمل+$E183*وزن_الالتزام+$F183*وزن_الإنتاجية+$G183*وزن_التعاون+$H183*وزن_الأهداف,1)))</f>
        <v/>
      </c>
      <c r="J183" s="43">
        <f>IF($I183="","",IF($I183&gt;=90,"ممتاز",IF($I183&gt;=80,"جيد جدًا",IF($I183&gt;=70,"جيد",IF($I183&gt;=60,"مقبول","يحتاج تحسين")))))</f>
        <v/>
      </c>
      <c r="K183" s="40" t="n"/>
    </row>
    <row r="184">
      <c r="A184" s="47" t="n"/>
      <c r="B184" s="50">
        <f>IFERROR(INDEX(الموظفون_الاسم,MATCH($A184,الموظفون_الرقم,0)),"")</f>
        <v/>
      </c>
      <c r="C184" s="47" t="n"/>
      <c r="D184" s="62" t="n"/>
      <c r="E184" s="62" t="n"/>
      <c r="F184" s="62" t="n"/>
      <c r="G184" s="62" t="n"/>
      <c r="H184" s="62" t="n"/>
      <c r="I184" s="113">
        <f>IF($A184="","",IF(COUNT($D184:$H184)=0,"",ROUND($D184*وزن_جودة_العمل+$E184*وزن_الالتزام+$F184*وزن_الإنتاجية+$G184*وزن_التعاون+$H184*وزن_الأهداف,1)))</f>
        <v/>
      </c>
      <c r="J184" s="50">
        <f>IF($I184="","",IF($I184&gt;=90,"ممتاز",IF($I184&gt;=80,"جيد جدًا",IF($I184&gt;=70,"جيد",IF($I184&gt;=60,"مقبول","يحتاج تحسين")))))</f>
        <v/>
      </c>
      <c r="K184" s="47" t="n"/>
    </row>
    <row r="185">
      <c r="A185" s="40" t="n"/>
      <c r="B185" s="43">
        <f>IFERROR(INDEX(الموظفون_الاسم,MATCH($A185,الموظفون_الرقم,0)),"")</f>
        <v/>
      </c>
      <c r="C185" s="40" t="n"/>
      <c r="D185" s="59" t="n"/>
      <c r="E185" s="59" t="n"/>
      <c r="F185" s="59" t="n"/>
      <c r="G185" s="59" t="n"/>
      <c r="H185" s="59" t="n"/>
      <c r="I185" s="111">
        <f>IF($A185="","",IF(COUNT($D185:$H185)=0,"",ROUND($D185*وزن_جودة_العمل+$E185*وزن_الالتزام+$F185*وزن_الإنتاجية+$G185*وزن_التعاون+$H185*وزن_الأهداف,1)))</f>
        <v/>
      </c>
      <c r="J185" s="43">
        <f>IF($I185="","",IF($I185&gt;=90,"ممتاز",IF($I185&gt;=80,"جيد جدًا",IF($I185&gt;=70,"جيد",IF($I185&gt;=60,"مقبول","يحتاج تحسين")))))</f>
        <v/>
      </c>
      <c r="K185" s="40" t="n"/>
    </row>
    <row r="186">
      <c r="A186" s="47" t="n"/>
      <c r="B186" s="50">
        <f>IFERROR(INDEX(الموظفون_الاسم,MATCH($A186,الموظفون_الرقم,0)),"")</f>
        <v/>
      </c>
      <c r="C186" s="47" t="n"/>
      <c r="D186" s="62" t="n"/>
      <c r="E186" s="62" t="n"/>
      <c r="F186" s="62" t="n"/>
      <c r="G186" s="62" t="n"/>
      <c r="H186" s="62" t="n"/>
      <c r="I186" s="113">
        <f>IF($A186="","",IF(COUNT($D186:$H186)=0,"",ROUND($D186*وزن_جودة_العمل+$E186*وزن_الالتزام+$F186*وزن_الإنتاجية+$G186*وزن_التعاون+$H186*وزن_الأهداف,1)))</f>
        <v/>
      </c>
      <c r="J186" s="50">
        <f>IF($I186="","",IF($I186&gt;=90,"ممتاز",IF($I186&gt;=80,"جيد جدًا",IF($I186&gt;=70,"جيد",IF($I186&gt;=60,"مقبول","يحتاج تحسين")))))</f>
        <v/>
      </c>
      <c r="K186" s="47" t="n"/>
    </row>
    <row r="187">
      <c r="A187" s="40" t="n"/>
      <c r="B187" s="43">
        <f>IFERROR(INDEX(الموظفون_الاسم,MATCH($A187,الموظفون_الرقم,0)),"")</f>
        <v/>
      </c>
      <c r="C187" s="40" t="n"/>
      <c r="D187" s="59" t="n"/>
      <c r="E187" s="59" t="n"/>
      <c r="F187" s="59" t="n"/>
      <c r="G187" s="59" t="n"/>
      <c r="H187" s="59" t="n"/>
      <c r="I187" s="111">
        <f>IF($A187="","",IF(COUNT($D187:$H187)=0,"",ROUND($D187*وزن_جودة_العمل+$E187*وزن_الالتزام+$F187*وزن_الإنتاجية+$G187*وزن_التعاون+$H187*وزن_الأهداف,1)))</f>
        <v/>
      </c>
      <c r="J187" s="43">
        <f>IF($I187="","",IF($I187&gt;=90,"ممتاز",IF($I187&gt;=80,"جيد جدًا",IF($I187&gt;=70,"جيد",IF($I187&gt;=60,"مقبول","يحتاج تحسين")))))</f>
        <v/>
      </c>
      <c r="K187" s="40" t="n"/>
    </row>
    <row r="188">
      <c r="A188" s="47" t="n"/>
      <c r="B188" s="50">
        <f>IFERROR(INDEX(الموظفون_الاسم,MATCH($A188,الموظفون_الرقم,0)),"")</f>
        <v/>
      </c>
      <c r="C188" s="47" t="n"/>
      <c r="D188" s="62" t="n"/>
      <c r="E188" s="62" t="n"/>
      <c r="F188" s="62" t="n"/>
      <c r="G188" s="62" t="n"/>
      <c r="H188" s="62" t="n"/>
      <c r="I188" s="113">
        <f>IF($A188="","",IF(COUNT($D188:$H188)=0,"",ROUND($D188*وزن_جودة_العمل+$E188*وزن_الالتزام+$F188*وزن_الإنتاجية+$G188*وزن_التعاون+$H188*وزن_الأهداف,1)))</f>
        <v/>
      </c>
      <c r="J188" s="50">
        <f>IF($I188="","",IF($I188&gt;=90,"ممتاز",IF($I188&gt;=80,"جيد جدًا",IF($I188&gt;=70,"جيد",IF($I188&gt;=60,"مقبول","يحتاج تحسين")))))</f>
        <v/>
      </c>
      <c r="K188" s="47" t="n"/>
    </row>
    <row r="189">
      <c r="A189" s="40" t="n"/>
      <c r="B189" s="43">
        <f>IFERROR(INDEX(الموظفون_الاسم,MATCH($A189,الموظفون_الرقم,0)),"")</f>
        <v/>
      </c>
      <c r="C189" s="40" t="n"/>
      <c r="D189" s="59" t="n"/>
      <c r="E189" s="59" t="n"/>
      <c r="F189" s="59" t="n"/>
      <c r="G189" s="59" t="n"/>
      <c r="H189" s="59" t="n"/>
      <c r="I189" s="111">
        <f>IF($A189="","",IF(COUNT($D189:$H189)=0,"",ROUND($D189*وزن_جودة_العمل+$E189*وزن_الالتزام+$F189*وزن_الإنتاجية+$G189*وزن_التعاون+$H189*وزن_الأهداف,1)))</f>
        <v/>
      </c>
      <c r="J189" s="43">
        <f>IF($I189="","",IF($I189&gt;=90,"ممتاز",IF($I189&gt;=80,"جيد جدًا",IF($I189&gt;=70,"جيد",IF($I189&gt;=60,"مقبول","يحتاج تحسين")))))</f>
        <v/>
      </c>
      <c r="K189" s="40" t="n"/>
    </row>
    <row r="190">
      <c r="A190" s="47" t="n"/>
      <c r="B190" s="50">
        <f>IFERROR(INDEX(الموظفون_الاسم,MATCH($A190,الموظفون_الرقم,0)),"")</f>
        <v/>
      </c>
      <c r="C190" s="47" t="n"/>
      <c r="D190" s="62" t="n"/>
      <c r="E190" s="62" t="n"/>
      <c r="F190" s="62" t="n"/>
      <c r="G190" s="62" t="n"/>
      <c r="H190" s="62" t="n"/>
      <c r="I190" s="113">
        <f>IF($A190="","",IF(COUNT($D190:$H190)=0,"",ROUND($D190*وزن_جودة_العمل+$E190*وزن_الالتزام+$F190*وزن_الإنتاجية+$G190*وزن_التعاون+$H190*وزن_الأهداف,1)))</f>
        <v/>
      </c>
      <c r="J190" s="50">
        <f>IF($I190="","",IF($I190&gt;=90,"ممتاز",IF($I190&gt;=80,"جيد جدًا",IF($I190&gt;=70,"جيد",IF($I190&gt;=60,"مقبول","يحتاج تحسين")))))</f>
        <v/>
      </c>
      <c r="K190" s="47" t="n"/>
    </row>
    <row r="191">
      <c r="A191" s="40" t="n"/>
      <c r="B191" s="43">
        <f>IFERROR(INDEX(الموظفون_الاسم,MATCH($A191,الموظفون_الرقم,0)),"")</f>
        <v/>
      </c>
      <c r="C191" s="40" t="n"/>
      <c r="D191" s="59" t="n"/>
      <c r="E191" s="59" t="n"/>
      <c r="F191" s="59" t="n"/>
      <c r="G191" s="59" t="n"/>
      <c r="H191" s="59" t="n"/>
      <c r="I191" s="111">
        <f>IF($A191="","",IF(COUNT($D191:$H191)=0,"",ROUND($D191*وزن_جودة_العمل+$E191*وزن_الالتزام+$F191*وزن_الإنتاجية+$G191*وزن_التعاون+$H191*وزن_الأهداف,1)))</f>
        <v/>
      </c>
      <c r="J191" s="43">
        <f>IF($I191="","",IF($I191&gt;=90,"ممتاز",IF($I191&gt;=80,"جيد جدًا",IF($I191&gt;=70,"جيد",IF($I191&gt;=60,"مقبول","يحتاج تحسين")))))</f>
        <v/>
      </c>
      <c r="K191" s="40" t="n"/>
    </row>
    <row r="192">
      <c r="A192" s="47" t="n"/>
      <c r="B192" s="50">
        <f>IFERROR(INDEX(الموظفون_الاسم,MATCH($A192,الموظفون_الرقم,0)),"")</f>
        <v/>
      </c>
      <c r="C192" s="47" t="n"/>
      <c r="D192" s="62" t="n"/>
      <c r="E192" s="62" t="n"/>
      <c r="F192" s="62" t="n"/>
      <c r="G192" s="62" t="n"/>
      <c r="H192" s="62" t="n"/>
      <c r="I192" s="113">
        <f>IF($A192="","",IF(COUNT($D192:$H192)=0,"",ROUND($D192*وزن_جودة_العمل+$E192*وزن_الالتزام+$F192*وزن_الإنتاجية+$G192*وزن_التعاون+$H192*وزن_الأهداف,1)))</f>
        <v/>
      </c>
      <c r="J192" s="50">
        <f>IF($I192="","",IF($I192&gt;=90,"ممتاز",IF($I192&gt;=80,"جيد جدًا",IF($I192&gt;=70,"جيد",IF($I192&gt;=60,"مقبول","يحتاج تحسين")))))</f>
        <v/>
      </c>
      <c r="K192" s="47" t="n"/>
    </row>
    <row r="193">
      <c r="A193" s="40" t="n"/>
      <c r="B193" s="43">
        <f>IFERROR(INDEX(الموظفون_الاسم,MATCH($A193,الموظفون_الرقم,0)),"")</f>
        <v/>
      </c>
      <c r="C193" s="40" t="n"/>
      <c r="D193" s="59" t="n"/>
      <c r="E193" s="59" t="n"/>
      <c r="F193" s="59" t="n"/>
      <c r="G193" s="59" t="n"/>
      <c r="H193" s="59" t="n"/>
      <c r="I193" s="111">
        <f>IF($A193="","",IF(COUNT($D193:$H193)=0,"",ROUND($D193*وزن_جودة_العمل+$E193*وزن_الالتزام+$F193*وزن_الإنتاجية+$G193*وزن_التعاون+$H193*وزن_الأهداف,1)))</f>
        <v/>
      </c>
      <c r="J193" s="43">
        <f>IF($I193="","",IF($I193&gt;=90,"ممتاز",IF($I193&gt;=80,"جيد جدًا",IF($I193&gt;=70,"جيد",IF($I193&gt;=60,"مقبول","يحتاج تحسين")))))</f>
        <v/>
      </c>
      <c r="K193" s="40" t="n"/>
    </row>
    <row r="194">
      <c r="A194" s="47" t="n"/>
      <c r="B194" s="50">
        <f>IFERROR(INDEX(الموظفون_الاسم,MATCH($A194,الموظفون_الرقم,0)),"")</f>
        <v/>
      </c>
      <c r="C194" s="47" t="n"/>
      <c r="D194" s="62" t="n"/>
      <c r="E194" s="62" t="n"/>
      <c r="F194" s="62" t="n"/>
      <c r="G194" s="62" t="n"/>
      <c r="H194" s="62" t="n"/>
      <c r="I194" s="113">
        <f>IF($A194="","",IF(COUNT($D194:$H194)=0,"",ROUND($D194*وزن_جودة_العمل+$E194*وزن_الالتزام+$F194*وزن_الإنتاجية+$G194*وزن_التعاون+$H194*وزن_الأهداف,1)))</f>
        <v/>
      </c>
      <c r="J194" s="50">
        <f>IF($I194="","",IF($I194&gt;=90,"ممتاز",IF($I194&gt;=80,"جيد جدًا",IF($I194&gt;=70,"جيد",IF($I194&gt;=60,"مقبول","يحتاج تحسين")))))</f>
        <v/>
      </c>
      <c r="K194" s="47" t="n"/>
    </row>
    <row r="195">
      <c r="A195" s="40" t="n"/>
      <c r="B195" s="43">
        <f>IFERROR(INDEX(الموظفون_الاسم,MATCH($A195,الموظفون_الرقم,0)),"")</f>
        <v/>
      </c>
      <c r="C195" s="40" t="n"/>
      <c r="D195" s="59" t="n"/>
      <c r="E195" s="59" t="n"/>
      <c r="F195" s="59" t="n"/>
      <c r="G195" s="59" t="n"/>
      <c r="H195" s="59" t="n"/>
      <c r="I195" s="111">
        <f>IF($A195="","",IF(COUNT($D195:$H195)=0,"",ROUND($D195*وزن_جودة_العمل+$E195*وزن_الالتزام+$F195*وزن_الإنتاجية+$G195*وزن_التعاون+$H195*وزن_الأهداف,1)))</f>
        <v/>
      </c>
      <c r="J195" s="43">
        <f>IF($I195="","",IF($I195&gt;=90,"ممتاز",IF($I195&gt;=80,"جيد جدًا",IF($I195&gt;=70,"جيد",IF($I195&gt;=60,"مقبول","يحتاج تحسين")))))</f>
        <v/>
      </c>
      <c r="K195" s="40" t="n"/>
    </row>
    <row r="196">
      <c r="A196" s="47" t="n"/>
      <c r="B196" s="50">
        <f>IFERROR(INDEX(الموظفون_الاسم,MATCH($A196,الموظفون_الرقم,0)),"")</f>
        <v/>
      </c>
      <c r="C196" s="47" t="n"/>
      <c r="D196" s="62" t="n"/>
      <c r="E196" s="62" t="n"/>
      <c r="F196" s="62" t="n"/>
      <c r="G196" s="62" t="n"/>
      <c r="H196" s="62" t="n"/>
      <c r="I196" s="113">
        <f>IF($A196="","",IF(COUNT($D196:$H196)=0,"",ROUND($D196*وزن_جودة_العمل+$E196*وزن_الالتزام+$F196*وزن_الإنتاجية+$G196*وزن_التعاون+$H196*وزن_الأهداف,1)))</f>
        <v/>
      </c>
      <c r="J196" s="50">
        <f>IF($I196="","",IF($I196&gt;=90,"ممتاز",IF($I196&gt;=80,"جيد جدًا",IF($I196&gt;=70,"جيد",IF($I196&gt;=60,"مقبول","يحتاج تحسين")))))</f>
        <v/>
      </c>
      <c r="K196" s="47" t="n"/>
    </row>
    <row r="197">
      <c r="A197" s="40" t="n"/>
      <c r="B197" s="43">
        <f>IFERROR(INDEX(الموظفون_الاسم,MATCH($A197,الموظفون_الرقم,0)),"")</f>
        <v/>
      </c>
      <c r="C197" s="40" t="n"/>
      <c r="D197" s="59" t="n"/>
      <c r="E197" s="59" t="n"/>
      <c r="F197" s="59" t="n"/>
      <c r="G197" s="59" t="n"/>
      <c r="H197" s="59" t="n"/>
      <c r="I197" s="111">
        <f>IF($A197="","",IF(COUNT($D197:$H197)=0,"",ROUND($D197*وزن_جودة_العمل+$E197*وزن_الالتزام+$F197*وزن_الإنتاجية+$G197*وزن_التعاون+$H197*وزن_الأهداف,1)))</f>
        <v/>
      </c>
      <c r="J197" s="43">
        <f>IF($I197="","",IF($I197&gt;=90,"ممتاز",IF($I197&gt;=80,"جيد جدًا",IF($I197&gt;=70,"جيد",IF($I197&gt;=60,"مقبول","يحتاج تحسين")))))</f>
        <v/>
      </c>
      <c r="K197" s="40" t="n"/>
    </row>
    <row r="198">
      <c r="A198" s="47" t="n"/>
      <c r="B198" s="50">
        <f>IFERROR(INDEX(الموظفون_الاسم,MATCH($A198,الموظفون_الرقم,0)),"")</f>
        <v/>
      </c>
      <c r="C198" s="47" t="n"/>
      <c r="D198" s="62" t="n"/>
      <c r="E198" s="62" t="n"/>
      <c r="F198" s="62" t="n"/>
      <c r="G198" s="62" t="n"/>
      <c r="H198" s="62" t="n"/>
      <c r="I198" s="113">
        <f>IF($A198="","",IF(COUNT($D198:$H198)=0,"",ROUND($D198*وزن_جودة_العمل+$E198*وزن_الالتزام+$F198*وزن_الإنتاجية+$G198*وزن_التعاون+$H198*وزن_الأهداف,1)))</f>
        <v/>
      </c>
      <c r="J198" s="50">
        <f>IF($I198="","",IF($I198&gt;=90,"ممتاز",IF($I198&gt;=80,"جيد جدًا",IF($I198&gt;=70,"جيد",IF($I198&gt;=60,"مقبول","يحتاج تحسين")))))</f>
        <v/>
      </c>
      <c r="K198" s="47" t="n"/>
    </row>
    <row r="199">
      <c r="A199" s="40" t="n"/>
      <c r="B199" s="43">
        <f>IFERROR(INDEX(الموظفون_الاسم,MATCH($A199,الموظفون_الرقم,0)),"")</f>
        <v/>
      </c>
      <c r="C199" s="40" t="n"/>
      <c r="D199" s="59" t="n"/>
      <c r="E199" s="59" t="n"/>
      <c r="F199" s="59" t="n"/>
      <c r="G199" s="59" t="n"/>
      <c r="H199" s="59" t="n"/>
      <c r="I199" s="111">
        <f>IF($A199="","",IF(COUNT($D199:$H199)=0,"",ROUND($D199*وزن_جودة_العمل+$E199*وزن_الالتزام+$F199*وزن_الإنتاجية+$G199*وزن_التعاون+$H199*وزن_الأهداف,1)))</f>
        <v/>
      </c>
      <c r="J199" s="43">
        <f>IF($I199="","",IF($I199&gt;=90,"ممتاز",IF($I199&gt;=80,"جيد جدًا",IF($I199&gt;=70,"جيد",IF($I199&gt;=60,"مقبول","يحتاج تحسين")))))</f>
        <v/>
      </c>
      <c r="K199" s="40" t="n"/>
    </row>
    <row r="200">
      <c r="A200" s="47" t="n"/>
      <c r="B200" s="50">
        <f>IFERROR(INDEX(الموظفون_الاسم,MATCH($A200,الموظفون_الرقم,0)),"")</f>
        <v/>
      </c>
      <c r="C200" s="47" t="n"/>
      <c r="D200" s="62" t="n"/>
      <c r="E200" s="62" t="n"/>
      <c r="F200" s="62" t="n"/>
      <c r="G200" s="62" t="n"/>
      <c r="H200" s="62" t="n"/>
      <c r="I200" s="113">
        <f>IF($A200="","",IF(COUNT($D200:$H200)=0,"",ROUND($D200*وزن_جودة_العمل+$E200*وزن_الالتزام+$F200*وزن_الإنتاجية+$G200*وزن_التعاون+$H200*وزن_الأهداف,1)))</f>
        <v/>
      </c>
      <c r="J200" s="50">
        <f>IF($I200="","",IF($I200&gt;=90,"ممتاز",IF($I200&gt;=80,"جيد جدًا",IF($I200&gt;=70,"جيد",IF($I200&gt;=60,"مقبول","يحتاج تحسين")))))</f>
        <v/>
      </c>
      <c r="K200" s="47" t="n"/>
    </row>
    <row r="201">
      <c r="A201" s="40" t="n"/>
      <c r="B201" s="43">
        <f>IFERROR(INDEX(الموظفون_الاسم,MATCH($A201,الموظفون_الرقم,0)),"")</f>
        <v/>
      </c>
      <c r="C201" s="40" t="n"/>
      <c r="D201" s="59" t="n"/>
      <c r="E201" s="59" t="n"/>
      <c r="F201" s="59" t="n"/>
      <c r="G201" s="59" t="n"/>
      <c r="H201" s="59" t="n"/>
      <c r="I201" s="111">
        <f>IF($A201="","",IF(COUNT($D201:$H201)=0,"",ROUND($D201*وزن_جودة_العمل+$E201*وزن_الالتزام+$F201*وزن_الإنتاجية+$G201*وزن_التعاون+$H201*وزن_الأهداف,1)))</f>
        <v/>
      </c>
      <c r="J201" s="43">
        <f>IF($I201="","",IF($I201&gt;=90,"ممتاز",IF($I201&gt;=80,"جيد جدًا",IF($I201&gt;=70,"جيد",IF($I201&gt;=60,"مقبول","يحتاج تحسين")))))</f>
        <v/>
      </c>
      <c r="K201" s="40" t="n"/>
    </row>
    <row r="202">
      <c r="A202" s="47" t="n"/>
      <c r="B202" s="50">
        <f>IFERROR(INDEX(الموظفون_الاسم,MATCH($A202,الموظفون_الرقم,0)),"")</f>
        <v/>
      </c>
      <c r="C202" s="47" t="n"/>
      <c r="D202" s="62" t="n"/>
      <c r="E202" s="62" t="n"/>
      <c r="F202" s="62" t="n"/>
      <c r="G202" s="62" t="n"/>
      <c r="H202" s="62" t="n"/>
      <c r="I202" s="113">
        <f>IF($A202="","",IF(COUNT($D202:$H202)=0,"",ROUND($D202*وزن_جودة_العمل+$E202*وزن_الالتزام+$F202*وزن_الإنتاجية+$G202*وزن_التعاون+$H202*وزن_الأهداف,1)))</f>
        <v/>
      </c>
      <c r="J202" s="50">
        <f>IF($I202="","",IF($I202&gt;=90,"ممتاز",IF($I202&gt;=80,"جيد جدًا",IF($I202&gt;=70,"جيد",IF($I202&gt;=60,"مقبول","يحتاج تحسين")))))</f>
        <v/>
      </c>
      <c r="K202" s="47" t="n"/>
    </row>
    <row r="203">
      <c r="A203" s="40" t="n"/>
      <c r="B203" s="43">
        <f>IFERROR(INDEX(الموظفون_الاسم,MATCH($A203,الموظفون_الرقم,0)),"")</f>
        <v/>
      </c>
      <c r="C203" s="40" t="n"/>
      <c r="D203" s="59" t="n"/>
      <c r="E203" s="59" t="n"/>
      <c r="F203" s="59" t="n"/>
      <c r="G203" s="59" t="n"/>
      <c r="H203" s="59" t="n"/>
      <c r="I203" s="111">
        <f>IF($A203="","",IF(COUNT($D203:$H203)=0,"",ROUND($D203*وزن_جودة_العمل+$E203*وزن_الالتزام+$F203*وزن_الإنتاجية+$G203*وزن_التعاون+$H203*وزن_الأهداف,1)))</f>
        <v/>
      </c>
      <c r="J203" s="43">
        <f>IF($I203="","",IF($I203&gt;=90,"ممتاز",IF($I203&gt;=80,"جيد جدًا",IF($I203&gt;=70,"جيد",IF($I203&gt;=60,"مقبول","يحتاج تحسين")))))</f>
        <v/>
      </c>
      <c r="K203" s="40" t="n"/>
    </row>
    <row r="204">
      <c r="A204" s="47" t="n"/>
      <c r="B204" s="50">
        <f>IFERROR(INDEX(الموظفون_الاسم,MATCH($A204,الموظفون_الرقم,0)),"")</f>
        <v/>
      </c>
      <c r="C204" s="47" t="n"/>
      <c r="D204" s="62" t="n"/>
      <c r="E204" s="62" t="n"/>
      <c r="F204" s="62" t="n"/>
      <c r="G204" s="62" t="n"/>
      <c r="H204" s="62" t="n"/>
      <c r="I204" s="113">
        <f>IF($A204="","",IF(COUNT($D204:$H204)=0,"",ROUND($D204*وزن_جودة_العمل+$E204*وزن_الالتزام+$F204*وزن_الإنتاجية+$G204*وزن_التعاون+$H204*وزن_الأهداف,1)))</f>
        <v/>
      </c>
      <c r="J204" s="50">
        <f>IF($I204="","",IF($I204&gt;=90,"ممتاز",IF($I204&gt;=80,"جيد جدًا",IF($I204&gt;=70,"جيد",IF($I204&gt;=60,"مقبول","يحتاج تحسين")))))</f>
        <v/>
      </c>
      <c r="K204" s="47" t="n"/>
    </row>
    <row r="205">
      <c r="A205" s="40" t="n"/>
      <c r="B205" s="43">
        <f>IFERROR(INDEX(الموظفون_الاسم,MATCH($A205,الموظفون_الرقم,0)),"")</f>
        <v/>
      </c>
      <c r="C205" s="40" t="n"/>
      <c r="D205" s="59" t="n"/>
      <c r="E205" s="59" t="n"/>
      <c r="F205" s="59" t="n"/>
      <c r="G205" s="59" t="n"/>
      <c r="H205" s="59" t="n"/>
      <c r="I205" s="111">
        <f>IF($A205="","",IF(COUNT($D205:$H205)=0,"",ROUND($D205*وزن_جودة_العمل+$E205*وزن_الالتزام+$F205*وزن_الإنتاجية+$G205*وزن_التعاون+$H205*وزن_الأهداف,1)))</f>
        <v/>
      </c>
      <c r="J205" s="43">
        <f>IF($I205="","",IF($I205&gt;=90,"ممتاز",IF($I205&gt;=80,"جيد جدًا",IF($I205&gt;=70,"جيد",IF($I205&gt;=60,"مقبول","يحتاج تحسين")))))</f>
        <v/>
      </c>
      <c r="K205" s="40" t="n"/>
    </row>
    <row r="206">
      <c r="A206" s="47" t="n"/>
      <c r="B206" s="50">
        <f>IFERROR(INDEX(الموظفون_الاسم,MATCH($A206,الموظفون_الرقم,0)),"")</f>
        <v/>
      </c>
      <c r="C206" s="47" t="n"/>
      <c r="D206" s="62" t="n"/>
      <c r="E206" s="62" t="n"/>
      <c r="F206" s="62" t="n"/>
      <c r="G206" s="62" t="n"/>
      <c r="H206" s="62" t="n"/>
      <c r="I206" s="113">
        <f>IF($A206="","",IF(COUNT($D206:$H206)=0,"",ROUND($D206*وزن_جودة_العمل+$E206*وزن_الالتزام+$F206*وزن_الإنتاجية+$G206*وزن_التعاون+$H206*وزن_الأهداف,1)))</f>
        <v/>
      </c>
      <c r="J206" s="50">
        <f>IF($I206="","",IF($I206&gt;=90,"ممتاز",IF($I206&gt;=80,"جيد جدًا",IF($I206&gt;=70,"جيد",IF($I206&gt;=60,"مقبول","يحتاج تحسين")))))</f>
        <v/>
      </c>
      <c r="K206" s="47" t="n"/>
    </row>
    <row r="207">
      <c r="A207" s="40" t="n"/>
      <c r="B207" s="43">
        <f>IFERROR(INDEX(الموظفون_الاسم,MATCH($A207,الموظفون_الرقم,0)),"")</f>
        <v/>
      </c>
      <c r="C207" s="40" t="n"/>
      <c r="D207" s="59" t="n"/>
      <c r="E207" s="59" t="n"/>
      <c r="F207" s="59" t="n"/>
      <c r="G207" s="59" t="n"/>
      <c r="H207" s="59" t="n"/>
      <c r="I207" s="111">
        <f>IF($A207="","",IF(COUNT($D207:$H207)=0,"",ROUND($D207*وزن_جودة_العمل+$E207*وزن_الالتزام+$F207*وزن_الإنتاجية+$G207*وزن_التعاون+$H207*وزن_الأهداف,1)))</f>
        <v/>
      </c>
      <c r="J207" s="43">
        <f>IF($I207="","",IF($I207&gt;=90,"ممتاز",IF($I207&gt;=80,"جيد جدًا",IF($I207&gt;=70,"جيد",IF($I207&gt;=60,"مقبول","يحتاج تحسين")))))</f>
        <v/>
      </c>
      <c r="K207" s="40" t="n"/>
    </row>
    <row r="208">
      <c r="A208" s="47" t="n"/>
      <c r="B208" s="50">
        <f>IFERROR(INDEX(الموظفون_الاسم,MATCH($A208,الموظفون_الرقم,0)),"")</f>
        <v/>
      </c>
      <c r="C208" s="47" t="n"/>
      <c r="D208" s="62" t="n"/>
      <c r="E208" s="62" t="n"/>
      <c r="F208" s="62" t="n"/>
      <c r="G208" s="62" t="n"/>
      <c r="H208" s="62" t="n"/>
      <c r="I208" s="113">
        <f>IF($A208="","",IF(COUNT($D208:$H208)=0,"",ROUND($D208*وزن_جودة_العمل+$E208*وزن_الالتزام+$F208*وزن_الإنتاجية+$G208*وزن_التعاون+$H208*وزن_الأهداف,1)))</f>
        <v/>
      </c>
      <c r="J208" s="50">
        <f>IF($I208="","",IF($I208&gt;=90,"ممتاز",IF($I208&gt;=80,"جيد جدًا",IF($I208&gt;=70,"جيد",IF($I208&gt;=60,"مقبول","يحتاج تحسين")))))</f>
        <v/>
      </c>
      <c r="K208" s="47" t="n"/>
    </row>
    <row r="209">
      <c r="A209" s="40" t="n"/>
      <c r="B209" s="43">
        <f>IFERROR(INDEX(الموظفون_الاسم,MATCH($A209,الموظفون_الرقم,0)),"")</f>
        <v/>
      </c>
      <c r="C209" s="40" t="n"/>
      <c r="D209" s="59" t="n"/>
      <c r="E209" s="59" t="n"/>
      <c r="F209" s="59" t="n"/>
      <c r="G209" s="59" t="n"/>
      <c r="H209" s="59" t="n"/>
      <c r="I209" s="111">
        <f>IF($A209="","",IF(COUNT($D209:$H209)=0,"",ROUND($D209*وزن_جودة_العمل+$E209*وزن_الالتزام+$F209*وزن_الإنتاجية+$G209*وزن_التعاون+$H209*وزن_الأهداف,1)))</f>
        <v/>
      </c>
      <c r="J209" s="43">
        <f>IF($I209="","",IF($I209&gt;=90,"ممتاز",IF($I209&gt;=80,"جيد جدًا",IF($I209&gt;=70,"جيد",IF($I209&gt;=60,"مقبول","يحتاج تحسين")))))</f>
        <v/>
      </c>
      <c r="K209" s="40" t="n"/>
    </row>
    <row r="210">
      <c r="A210" s="47" t="n"/>
      <c r="B210" s="50">
        <f>IFERROR(INDEX(الموظفون_الاسم,MATCH($A210,الموظفون_الرقم,0)),"")</f>
        <v/>
      </c>
      <c r="C210" s="47" t="n"/>
      <c r="D210" s="62" t="n"/>
      <c r="E210" s="62" t="n"/>
      <c r="F210" s="62" t="n"/>
      <c r="G210" s="62" t="n"/>
      <c r="H210" s="62" t="n"/>
      <c r="I210" s="113">
        <f>IF($A210="","",IF(COUNT($D210:$H210)=0,"",ROUND($D210*وزن_جودة_العمل+$E210*وزن_الالتزام+$F210*وزن_الإنتاجية+$G210*وزن_التعاون+$H210*وزن_الأهداف,1)))</f>
        <v/>
      </c>
      <c r="J210" s="50">
        <f>IF($I210="","",IF($I210&gt;=90,"ممتاز",IF($I210&gt;=80,"جيد جدًا",IF($I210&gt;=70,"جيد",IF($I210&gt;=60,"مقبول","يحتاج تحسين")))))</f>
        <v/>
      </c>
      <c r="K210" s="47" t="n"/>
    </row>
    <row r="211">
      <c r="A211" s="40" t="n"/>
      <c r="B211" s="43">
        <f>IFERROR(INDEX(الموظفون_الاسم,MATCH($A211,الموظفون_الرقم,0)),"")</f>
        <v/>
      </c>
      <c r="C211" s="40" t="n"/>
      <c r="D211" s="59" t="n"/>
      <c r="E211" s="59" t="n"/>
      <c r="F211" s="59" t="n"/>
      <c r="G211" s="59" t="n"/>
      <c r="H211" s="59" t="n"/>
      <c r="I211" s="111">
        <f>IF($A211="","",IF(COUNT($D211:$H211)=0,"",ROUND($D211*وزن_جودة_العمل+$E211*وزن_الالتزام+$F211*وزن_الإنتاجية+$G211*وزن_التعاون+$H211*وزن_الأهداف,1)))</f>
        <v/>
      </c>
      <c r="J211" s="43">
        <f>IF($I211="","",IF($I211&gt;=90,"ممتاز",IF($I211&gt;=80,"جيد جدًا",IF($I211&gt;=70,"جيد",IF($I211&gt;=60,"مقبول","يحتاج تحسين")))))</f>
        <v/>
      </c>
      <c r="K211" s="40" t="n"/>
    </row>
    <row r="212">
      <c r="A212" s="47" t="n"/>
      <c r="B212" s="50">
        <f>IFERROR(INDEX(الموظفون_الاسم,MATCH($A212,الموظفون_الرقم,0)),"")</f>
        <v/>
      </c>
      <c r="C212" s="47" t="n"/>
      <c r="D212" s="62" t="n"/>
      <c r="E212" s="62" t="n"/>
      <c r="F212" s="62" t="n"/>
      <c r="G212" s="62" t="n"/>
      <c r="H212" s="62" t="n"/>
      <c r="I212" s="113">
        <f>IF($A212="","",IF(COUNT($D212:$H212)=0,"",ROUND($D212*وزن_جودة_العمل+$E212*وزن_الالتزام+$F212*وزن_الإنتاجية+$G212*وزن_التعاون+$H212*وزن_الأهداف,1)))</f>
        <v/>
      </c>
      <c r="J212" s="50">
        <f>IF($I212="","",IF($I212&gt;=90,"ممتاز",IF($I212&gt;=80,"جيد جدًا",IF($I212&gt;=70,"جيد",IF($I212&gt;=60,"مقبول","يحتاج تحسين")))))</f>
        <v/>
      </c>
      <c r="K212" s="47" t="n"/>
    </row>
    <row r="213">
      <c r="A213" s="40" t="n"/>
      <c r="B213" s="43">
        <f>IFERROR(INDEX(الموظفون_الاسم,MATCH($A213,الموظفون_الرقم,0)),"")</f>
        <v/>
      </c>
      <c r="C213" s="40" t="n"/>
      <c r="D213" s="59" t="n"/>
      <c r="E213" s="59" t="n"/>
      <c r="F213" s="59" t="n"/>
      <c r="G213" s="59" t="n"/>
      <c r="H213" s="59" t="n"/>
      <c r="I213" s="111">
        <f>IF($A213="","",IF(COUNT($D213:$H213)=0,"",ROUND($D213*وزن_جودة_العمل+$E213*وزن_الالتزام+$F213*وزن_الإنتاجية+$G213*وزن_التعاون+$H213*وزن_الأهداف,1)))</f>
        <v/>
      </c>
      <c r="J213" s="43">
        <f>IF($I213="","",IF($I213&gt;=90,"ممتاز",IF($I213&gt;=80,"جيد جدًا",IF($I213&gt;=70,"جيد",IF($I213&gt;=60,"مقبول","يحتاج تحسين")))))</f>
        <v/>
      </c>
      <c r="K213" s="40" t="n"/>
    </row>
    <row r="214">
      <c r="A214" s="47" t="n"/>
      <c r="B214" s="50">
        <f>IFERROR(INDEX(الموظفون_الاسم,MATCH($A214,الموظفون_الرقم,0)),"")</f>
        <v/>
      </c>
      <c r="C214" s="47" t="n"/>
      <c r="D214" s="62" t="n"/>
      <c r="E214" s="62" t="n"/>
      <c r="F214" s="62" t="n"/>
      <c r="G214" s="62" t="n"/>
      <c r="H214" s="62" t="n"/>
      <c r="I214" s="113">
        <f>IF($A214="","",IF(COUNT($D214:$H214)=0,"",ROUND($D214*وزن_جودة_العمل+$E214*وزن_الالتزام+$F214*وزن_الإنتاجية+$G214*وزن_التعاون+$H214*وزن_الأهداف,1)))</f>
        <v/>
      </c>
      <c r="J214" s="50">
        <f>IF($I214="","",IF($I214&gt;=90,"ممتاز",IF($I214&gt;=80,"جيد جدًا",IF($I214&gt;=70,"جيد",IF($I214&gt;=60,"مقبول","يحتاج تحسين")))))</f>
        <v/>
      </c>
      <c r="K214" s="47" t="n"/>
    </row>
    <row r="215">
      <c r="A215" s="40" t="n"/>
      <c r="B215" s="43">
        <f>IFERROR(INDEX(الموظفون_الاسم,MATCH($A215,الموظفون_الرقم,0)),"")</f>
        <v/>
      </c>
      <c r="C215" s="40" t="n"/>
      <c r="D215" s="59" t="n"/>
      <c r="E215" s="59" t="n"/>
      <c r="F215" s="59" t="n"/>
      <c r="G215" s="59" t="n"/>
      <c r="H215" s="59" t="n"/>
      <c r="I215" s="111">
        <f>IF($A215="","",IF(COUNT($D215:$H215)=0,"",ROUND($D215*وزن_جودة_العمل+$E215*وزن_الالتزام+$F215*وزن_الإنتاجية+$G215*وزن_التعاون+$H215*وزن_الأهداف,1)))</f>
        <v/>
      </c>
      <c r="J215" s="43">
        <f>IF($I215="","",IF($I215&gt;=90,"ممتاز",IF($I215&gt;=80,"جيد جدًا",IF($I215&gt;=70,"جيد",IF($I215&gt;=60,"مقبول","يحتاج تحسين")))))</f>
        <v/>
      </c>
      <c r="K215" s="40" t="n"/>
    </row>
    <row r="216">
      <c r="A216" s="47" t="n"/>
      <c r="B216" s="50">
        <f>IFERROR(INDEX(الموظفون_الاسم,MATCH($A216,الموظفون_الرقم,0)),"")</f>
        <v/>
      </c>
      <c r="C216" s="47" t="n"/>
      <c r="D216" s="62" t="n"/>
      <c r="E216" s="62" t="n"/>
      <c r="F216" s="62" t="n"/>
      <c r="G216" s="62" t="n"/>
      <c r="H216" s="62" t="n"/>
      <c r="I216" s="113">
        <f>IF($A216="","",IF(COUNT($D216:$H216)=0,"",ROUND($D216*وزن_جودة_العمل+$E216*وزن_الالتزام+$F216*وزن_الإنتاجية+$G216*وزن_التعاون+$H216*وزن_الأهداف,1)))</f>
        <v/>
      </c>
      <c r="J216" s="50">
        <f>IF($I216="","",IF($I216&gt;=90,"ممتاز",IF($I216&gt;=80,"جيد جدًا",IF($I216&gt;=70,"جيد",IF($I216&gt;=60,"مقبول","يحتاج تحسين")))))</f>
        <v/>
      </c>
      <c r="K216" s="47" t="n"/>
    </row>
    <row r="217">
      <c r="A217" s="40" t="n"/>
      <c r="B217" s="43">
        <f>IFERROR(INDEX(الموظفون_الاسم,MATCH($A217,الموظفون_الرقم,0)),"")</f>
        <v/>
      </c>
      <c r="C217" s="40" t="n"/>
      <c r="D217" s="59" t="n"/>
      <c r="E217" s="59" t="n"/>
      <c r="F217" s="59" t="n"/>
      <c r="G217" s="59" t="n"/>
      <c r="H217" s="59" t="n"/>
      <c r="I217" s="111">
        <f>IF($A217="","",IF(COUNT($D217:$H217)=0,"",ROUND($D217*وزن_جودة_العمل+$E217*وزن_الالتزام+$F217*وزن_الإنتاجية+$G217*وزن_التعاون+$H217*وزن_الأهداف,1)))</f>
        <v/>
      </c>
      <c r="J217" s="43">
        <f>IF($I217="","",IF($I217&gt;=90,"ممتاز",IF($I217&gt;=80,"جيد جدًا",IF($I217&gt;=70,"جيد",IF($I217&gt;=60,"مقبول","يحتاج تحسين")))))</f>
        <v/>
      </c>
      <c r="K217" s="40" t="n"/>
    </row>
    <row r="218">
      <c r="A218" s="47" t="n"/>
      <c r="B218" s="50">
        <f>IFERROR(INDEX(الموظفون_الاسم,MATCH($A218,الموظفون_الرقم,0)),"")</f>
        <v/>
      </c>
      <c r="C218" s="47" t="n"/>
      <c r="D218" s="62" t="n"/>
      <c r="E218" s="62" t="n"/>
      <c r="F218" s="62" t="n"/>
      <c r="G218" s="62" t="n"/>
      <c r="H218" s="62" t="n"/>
      <c r="I218" s="113">
        <f>IF($A218="","",IF(COUNT($D218:$H218)=0,"",ROUND($D218*وزن_جودة_العمل+$E218*وزن_الالتزام+$F218*وزن_الإنتاجية+$G218*وزن_التعاون+$H218*وزن_الأهداف,1)))</f>
        <v/>
      </c>
      <c r="J218" s="50">
        <f>IF($I218="","",IF($I218&gt;=90,"ممتاز",IF($I218&gt;=80,"جيد جدًا",IF($I218&gt;=70,"جيد",IF($I218&gt;=60,"مقبول","يحتاج تحسين")))))</f>
        <v/>
      </c>
      <c r="K218" s="47" t="n"/>
    </row>
    <row r="219">
      <c r="A219" s="40" t="n"/>
      <c r="B219" s="43">
        <f>IFERROR(INDEX(الموظفون_الاسم,MATCH($A219,الموظفون_الرقم,0)),"")</f>
        <v/>
      </c>
      <c r="C219" s="40" t="n"/>
      <c r="D219" s="59" t="n"/>
      <c r="E219" s="59" t="n"/>
      <c r="F219" s="59" t="n"/>
      <c r="G219" s="59" t="n"/>
      <c r="H219" s="59" t="n"/>
      <c r="I219" s="111">
        <f>IF($A219="","",IF(COUNT($D219:$H219)=0,"",ROUND($D219*وزن_جودة_العمل+$E219*وزن_الالتزام+$F219*وزن_الإنتاجية+$G219*وزن_التعاون+$H219*وزن_الأهداف,1)))</f>
        <v/>
      </c>
      <c r="J219" s="43">
        <f>IF($I219="","",IF($I219&gt;=90,"ممتاز",IF($I219&gt;=80,"جيد جدًا",IF($I219&gt;=70,"جيد",IF($I219&gt;=60,"مقبول","يحتاج تحسين")))))</f>
        <v/>
      </c>
      <c r="K219" s="40" t="n"/>
    </row>
    <row r="220">
      <c r="A220" s="47" t="n"/>
      <c r="B220" s="50">
        <f>IFERROR(INDEX(الموظفون_الاسم,MATCH($A220,الموظفون_الرقم,0)),"")</f>
        <v/>
      </c>
      <c r="C220" s="47" t="n"/>
      <c r="D220" s="62" t="n"/>
      <c r="E220" s="62" t="n"/>
      <c r="F220" s="62" t="n"/>
      <c r="G220" s="62" t="n"/>
      <c r="H220" s="62" t="n"/>
      <c r="I220" s="113">
        <f>IF($A220="","",IF(COUNT($D220:$H220)=0,"",ROUND($D220*وزن_جودة_العمل+$E220*وزن_الالتزام+$F220*وزن_الإنتاجية+$G220*وزن_التعاون+$H220*وزن_الأهداف,1)))</f>
        <v/>
      </c>
      <c r="J220" s="50">
        <f>IF($I220="","",IF($I220&gt;=90,"ممتاز",IF($I220&gt;=80,"جيد جدًا",IF($I220&gt;=70,"جيد",IF($I220&gt;=60,"مقبول","يحتاج تحسين")))))</f>
        <v/>
      </c>
      <c r="K220" s="47" t="n"/>
    </row>
    <row r="221">
      <c r="A221" s="40" t="n"/>
      <c r="B221" s="43">
        <f>IFERROR(INDEX(الموظفون_الاسم,MATCH($A221,الموظفون_الرقم,0)),"")</f>
        <v/>
      </c>
      <c r="C221" s="40" t="n"/>
      <c r="D221" s="59" t="n"/>
      <c r="E221" s="59" t="n"/>
      <c r="F221" s="59" t="n"/>
      <c r="G221" s="59" t="n"/>
      <c r="H221" s="59" t="n"/>
      <c r="I221" s="111">
        <f>IF($A221="","",IF(COUNT($D221:$H221)=0,"",ROUND($D221*وزن_جودة_العمل+$E221*وزن_الالتزام+$F221*وزن_الإنتاجية+$G221*وزن_التعاون+$H221*وزن_الأهداف,1)))</f>
        <v/>
      </c>
      <c r="J221" s="43">
        <f>IF($I221="","",IF($I221&gt;=90,"ممتاز",IF($I221&gt;=80,"جيد جدًا",IF($I221&gt;=70,"جيد",IF($I221&gt;=60,"مقبول","يحتاج تحسين")))))</f>
        <v/>
      </c>
      <c r="K221" s="40" t="n"/>
    </row>
    <row r="222">
      <c r="A222" s="47" t="n"/>
      <c r="B222" s="50">
        <f>IFERROR(INDEX(الموظفون_الاسم,MATCH($A222,الموظفون_الرقم,0)),"")</f>
        <v/>
      </c>
      <c r="C222" s="47" t="n"/>
      <c r="D222" s="62" t="n"/>
      <c r="E222" s="62" t="n"/>
      <c r="F222" s="62" t="n"/>
      <c r="G222" s="62" t="n"/>
      <c r="H222" s="62" t="n"/>
      <c r="I222" s="113">
        <f>IF($A222="","",IF(COUNT($D222:$H222)=0,"",ROUND($D222*وزن_جودة_العمل+$E222*وزن_الالتزام+$F222*وزن_الإنتاجية+$G222*وزن_التعاون+$H222*وزن_الأهداف,1)))</f>
        <v/>
      </c>
      <c r="J222" s="50">
        <f>IF($I222="","",IF($I222&gt;=90,"ممتاز",IF($I222&gt;=80,"جيد جدًا",IF($I222&gt;=70,"جيد",IF($I222&gt;=60,"مقبول","يحتاج تحسين")))))</f>
        <v/>
      </c>
      <c r="K222" s="47" t="n"/>
    </row>
    <row r="223">
      <c r="A223" s="40" t="n"/>
      <c r="B223" s="43">
        <f>IFERROR(INDEX(الموظفون_الاسم,MATCH($A223,الموظفون_الرقم,0)),"")</f>
        <v/>
      </c>
      <c r="C223" s="40" t="n"/>
      <c r="D223" s="59" t="n"/>
      <c r="E223" s="59" t="n"/>
      <c r="F223" s="59" t="n"/>
      <c r="G223" s="59" t="n"/>
      <c r="H223" s="59" t="n"/>
      <c r="I223" s="111">
        <f>IF($A223="","",IF(COUNT($D223:$H223)=0,"",ROUND($D223*وزن_جودة_العمل+$E223*وزن_الالتزام+$F223*وزن_الإنتاجية+$G223*وزن_التعاون+$H223*وزن_الأهداف,1)))</f>
        <v/>
      </c>
      <c r="J223" s="43">
        <f>IF($I223="","",IF($I223&gt;=90,"ممتاز",IF($I223&gt;=80,"جيد جدًا",IF($I223&gt;=70,"جيد",IF($I223&gt;=60,"مقبول","يحتاج تحسين")))))</f>
        <v/>
      </c>
      <c r="K223" s="40" t="n"/>
    </row>
    <row r="224">
      <c r="A224" s="47" t="n"/>
      <c r="B224" s="50">
        <f>IFERROR(INDEX(الموظفون_الاسم,MATCH($A224,الموظفون_الرقم,0)),"")</f>
        <v/>
      </c>
      <c r="C224" s="47" t="n"/>
      <c r="D224" s="62" t="n"/>
      <c r="E224" s="62" t="n"/>
      <c r="F224" s="62" t="n"/>
      <c r="G224" s="62" t="n"/>
      <c r="H224" s="62" t="n"/>
      <c r="I224" s="113">
        <f>IF($A224="","",IF(COUNT($D224:$H224)=0,"",ROUND($D224*وزن_جودة_العمل+$E224*وزن_الالتزام+$F224*وزن_الإنتاجية+$G224*وزن_التعاون+$H224*وزن_الأهداف,1)))</f>
        <v/>
      </c>
      <c r="J224" s="50">
        <f>IF($I224="","",IF($I224&gt;=90,"ممتاز",IF($I224&gt;=80,"جيد جدًا",IF($I224&gt;=70,"جيد",IF($I224&gt;=60,"مقبول","يحتاج تحسين")))))</f>
        <v/>
      </c>
      <c r="K224" s="47" t="n"/>
    </row>
    <row r="225">
      <c r="A225" s="40" t="n"/>
      <c r="B225" s="43">
        <f>IFERROR(INDEX(الموظفون_الاسم,MATCH($A225,الموظفون_الرقم,0)),"")</f>
        <v/>
      </c>
      <c r="C225" s="40" t="n"/>
      <c r="D225" s="59" t="n"/>
      <c r="E225" s="59" t="n"/>
      <c r="F225" s="59" t="n"/>
      <c r="G225" s="59" t="n"/>
      <c r="H225" s="59" t="n"/>
      <c r="I225" s="111">
        <f>IF($A225="","",IF(COUNT($D225:$H225)=0,"",ROUND($D225*وزن_جودة_العمل+$E225*وزن_الالتزام+$F225*وزن_الإنتاجية+$G225*وزن_التعاون+$H225*وزن_الأهداف,1)))</f>
        <v/>
      </c>
      <c r="J225" s="43">
        <f>IF($I225="","",IF($I225&gt;=90,"ممتاز",IF($I225&gt;=80,"جيد جدًا",IF($I225&gt;=70,"جيد",IF($I225&gt;=60,"مقبول","يحتاج تحسين")))))</f>
        <v/>
      </c>
      <c r="K225" s="40" t="n"/>
    </row>
    <row r="226">
      <c r="A226" s="47" t="n"/>
      <c r="B226" s="50">
        <f>IFERROR(INDEX(الموظفون_الاسم,MATCH($A226,الموظفون_الرقم,0)),"")</f>
        <v/>
      </c>
      <c r="C226" s="47" t="n"/>
      <c r="D226" s="62" t="n"/>
      <c r="E226" s="62" t="n"/>
      <c r="F226" s="62" t="n"/>
      <c r="G226" s="62" t="n"/>
      <c r="H226" s="62" t="n"/>
      <c r="I226" s="113">
        <f>IF($A226="","",IF(COUNT($D226:$H226)=0,"",ROUND($D226*وزن_جودة_العمل+$E226*وزن_الالتزام+$F226*وزن_الإنتاجية+$G226*وزن_التعاون+$H226*وزن_الأهداف,1)))</f>
        <v/>
      </c>
      <c r="J226" s="50">
        <f>IF($I226="","",IF($I226&gt;=90,"ممتاز",IF($I226&gt;=80,"جيد جدًا",IF($I226&gt;=70,"جيد",IF($I226&gt;=60,"مقبول","يحتاج تحسين")))))</f>
        <v/>
      </c>
      <c r="K226" s="47" t="n"/>
    </row>
    <row r="227">
      <c r="A227" s="40" t="n"/>
      <c r="B227" s="43">
        <f>IFERROR(INDEX(الموظفون_الاسم,MATCH($A227,الموظفون_الرقم,0)),"")</f>
        <v/>
      </c>
      <c r="C227" s="40" t="n"/>
      <c r="D227" s="59" t="n"/>
      <c r="E227" s="59" t="n"/>
      <c r="F227" s="59" t="n"/>
      <c r="G227" s="59" t="n"/>
      <c r="H227" s="59" t="n"/>
      <c r="I227" s="111">
        <f>IF($A227="","",IF(COUNT($D227:$H227)=0,"",ROUND($D227*وزن_جودة_العمل+$E227*وزن_الالتزام+$F227*وزن_الإنتاجية+$G227*وزن_التعاون+$H227*وزن_الأهداف,1)))</f>
        <v/>
      </c>
      <c r="J227" s="43">
        <f>IF($I227="","",IF($I227&gt;=90,"ممتاز",IF($I227&gt;=80,"جيد جدًا",IF($I227&gt;=70,"جيد",IF($I227&gt;=60,"مقبول","يحتاج تحسين")))))</f>
        <v/>
      </c>
      <c r="K227" s="40" t="n"/>
    </row>
    <row r="228">
      <c r="A228" s="47" t="n"/>
      <c r="B228" s="50">
        <f>IFERROR(INDEX(الموظفون_الاسم,MATCH($A228,الموظفون_الرقم,0)),"")</f>
        <v/>
      </c>
      <c r="C228" s="47" t="n"/>
      <c r="D228" s="62" t="n"/>
      <c r="E228" s="62" t="n"/>
      <c r="F228" s="62" t="n"/>
      <c r="G228" s="62" t="n"/>
      <c r="H228" s="62" t="n"/>
      <c r="I228" s="113">
        <f>IF($A228="","",IF(COUNT($D228:$H228)=0,"",ROUND($D228*وزن_جودة_العمل+$E228*وزن_الالتزام+$F228*وزن_الإنتاجية+$G228*وزن_التعاون+$H228*وزن_الأهداف,1)))</f>
        <v/>
      </c>
      <c r="J228" s="50">
        <f>IF($I228="","",IF($I228&gt;=90,"ممتاز",IF($I228&gt;=80,"جيد جدًا",IF($I228&gt;=70,"جيد",IF($I228&gt;=60,"مقبول","يحتاج تحسين")))))</f>
        <v/>
      </c>
      <c r="K228" s="47" t="n"/>
    </row>
    <row r="229">
      <c r="A229" s="40" t="n"/>
      <c r="B229" s="43">
        <f>IFERROR(INDEX(الموظفون_الاسم,MATCH($A229,الموظفون_الرقم,0)),"")</f>
        <v/>
      </c>
      <c r="C229" s="40" t="n"/>
      <c r="D229" s="59" t="n"/>
      <c r="E229" s="59" t="n"/>
      <c r="F229" s="59" t="n"/>
      <c r="G229" s="59" t="n"/>
      <c r="H229" s="59" t="n"/>
      <c r="I229" s="111">
        <f>IF($A229="","",IF(COUNT($D229:$H229)=0,"",ROUND($D229*وزن_جودة_العمل+$E229*وزن_الالتزام+$F229*وزن_الإنتاجية+$G229*وزن_التعاون+$H229*وزن_الأهداف,1)))</f>
        <v/>
      </c>
      <c r="J229" s="43">
        <f>IF($I229="","",IF($I229&gt;=90,"ممتاز",IF($I229&gt;=80,"جيد جدًا",IF($I229&gt;=70,"جيد",IF($I229&gt;=60,"مقبول","يحتاج تحسين")))))</f>
        <v/>
      </c>
      <c r="K229" s="40" t="n"/>
    </row>
    <row r="230">
      <c r="A230" s="47" t="n"/>
      <c r="B230" s="50">
        <f>IFERROR(INDEX(الموظفون_الاسم,MATCH($A230,الموظفون_الرقم,0)),"")</f>
        <v/>
      </c>
      <c r="C230" s="47" t="n"/>
      <c r="D230" s="62" t="n"/>
      <c r="E230" s="62" t="n"/>
      <c r="F230" s="62" t="n"/>
      <c r="G230" s="62" t="n"/>
      <c r="H230" s="62" t="n"/>
      <c r="I230" s="113">
        <f>IF($A230="","",IF(COUNT($D230:$H230)=0,"",ROUND($D230*وزن_جودة_العمل+$E230*وزن_الالتزام+$F230*وزن_الإنتاجية+$G230*وزن_التعاون+$H230*وزن_الأهداف,1)))</f>
        <v/>
      </c>
      <c r="J230" s="50">
        <f>IF($I230="","",IF($I230&gt;=90,"ممتاز",IF($I230&gt;=80,"جيد جدًا",IF($I230&gt;=70,"جيد",IF($I230&gt;=60,"مقبول","يحتاج تحسين")))))</f>
        <v/>
      </c>
      <c r="K230" s="47" t="n"/>
    </row>
    <row r="231">
      <c r="A231" s="40" t="n"/>
      <c r="B231" s="43">
        <f>IFERROR(INDEX(الموظفون_الاسم,MATCH($A231,الموظفون_الرقم,0)),"")</f>
        <v/>
      </c>
      <c r="C231" s="40" t="n"/>
      <c r="D231" s="59" t="n"/>
      <c r="E231" s="59" t="n"/>
      <c r="F231" s="59" t="n"/>
      <c r="G231" s="59" t="n"/>
      <c r="H231" s="59" t="n"/>
      <c r="I231" s="111">
        <f>IF($A231="","",IF(COUNT($D231:$H231)=0,"",ROUND($D231*وزن_جودة_العمل+$E231*وزن_الالتزام+$F231*وزن_الإنتاجية+$G231*وزن_التعاون+$H231*وزن_الأهداف,1)))</f>
        <v/>
      </c>
      <c r="J231" s="43">
        <f>IF($I231="","",IF($I231&gt;=90,"ممتاز",IF($I231&gt;=80,"جيد جدًا",IF($I231&gt;=70,"جيد",IF($I231&gt;=60,"مقبول","يحتاج تحسين")))))</f>
        <v/>
      </c>
      <c r="K231" s="40" t="n"/>
    </row>
    <row r="232">
      <c r="A232" s="47" t="n"/>
      <c r="B232" s="50">
        <f>IFERROR(INDEX(الموظفون_الاسم,MATCH($A232,الموظفون_الرقم,0)),"")</f>
        <v/>
      </c>
      <c r="C232" s="47" t="n"/>
      <c r="D232" s="62" t="n"/>
      <c r="E232" s="62" t="n"/>
      <c r="F232" s="62" t="n"/>
      <c r="G232" s="62" t="n"/>
      <c r="H232" s="62" t="n"/>
      <c r="I232" s="113">
        <f>IF($A232="","",IF(COUNT($D232:$H232)=0,"",ROUND($D232*وزن_جودة_العمل+$E232*وزن_الالتزام+$F232*وزن_الإنتاجية+$G232*وزن_التعاون+$H232*وزن_الأهداف,1)))</f>
        <v/>
      </c>
      <c r="J232" s="50">
        <f>IF($I232="","",IF($I232&gt;=90,"ممتاز",IF($I232&gt;=80,"جيد جدًا",IF($I232&gt;=70,"جيد",IF($I232&gt;=60,"مقبول","يحتاج تحسين")))))</f>
        <v/>
      </c>
      <c r="K232" s="47" t="n"/>
    </row>
    <row r="233">
      <c r="A233" s="40" t="n"/>
      <c r="B233" s="43">
        <f>IFERROR(INDEX(الموظفون_الاسم,MATCH($A233,الموظفون_الرقم,0)),"")</f>
        <v/>
      </c>
      <c r="C233" s="40" t="n"/>
      <c r="D233" s="59" t="n"/>
      <c r="E233" s="59" t="n"/>
      <c r="F233" s="59" t="n"/>
      <c r="G233" s="59" t="n"/>
      <c r="H233" s="59" t="n"/>
      <c r="I233" s="111">
        <f>IF($A233="","",IF(COUNT($D233:$H233)=0,"",ROUND($D233*وزن_جودة_العمل+$E233*وزن_الالتزام+$F233*وزن_الإنتاجية+$G233*وزن_التعاون+$H233*وزن_الأهداف,1)))</f>
        <v/>
      </c>
      <c r="J233" s="43">
        <f>IF($I233="","",IF($I233&gt;=90,"ممتاز",IF($I233&gt;=80,"جيد جدًا",IF($I233&gt;=70,"جيد",IF($I233&gt;=60,"مقبول","يحتاج تحسين")))))</f>
        <v/>
      </c>
      <c r="K233" s="40" t="n"/>
    </row>
    <row r="234">
      <c r="A234" s="47" t="n"/>
      <c r="B234" s="50">
        <f>IFERROR(INDEX(الموظفون_الاسم,MATCH($A234,الموظفون_الرقم,0)),"")</f>
        <v/>
      </c>
      <c r="C234" s="47" t="n"/>
      <c r="D234" s="62" t="n"/>
      <c r="E234" s="62" t="n"/>
      <c r="F234" s="62" t="n"/>
      <c r="G234" s="62" t="n"/>
      <c r="H234" s="62" t="n"/>
      <c r="I234" s="113">
        <f>IF($A234="","",IF(COUNT($D234:$H234)=0,"",ROUND($D234*وزن_جودة_العمل+$E234*وزن_الالتزام+$F234*وزن_الإنتاجية+$G234*وزن_التعاون+$H234*وزن_الأهداف,1)))</f>
        <v/>
      </c>
      <c r="J234" s="50">
        <f>IF($I234="","",IF($I234&gt;=90,"ممتاز",IF($I234&gt;=80,"جيد جدًا",IF($I234&gt;=70,"جيد",IF($I234&gt;=60,"مقبول","يحتاج تحسين")))))</f>
        <v/>
      </c>
      <c r="K234" s="47" t="n"/>
    </row>
    <row r="235">
      <c r="A235" s="40" t="n"/>
      <c r="B235" s="43">
        <f>IFERROR(INDEX(الموظفون_الاسم,MATCH($A235,الموظفون_الرقم,0)),"")</f>
        <v/>
      </c>
      <c r="C235" s="40" t="n"/>
      <c r="D235" s="59" t="n"/>
      <c r="E235" s="59" t="n"/>
      <c r="F235" s="59" t="n"/>
      <c r="G235" s="59" t="n"/>
      <c r="H235" s="59" t="n"/>
      <c r="I235" s="111">
        <f>IF($A235="","",IF(COUNT($D235:$H235)=0,"",ROUND($D235*وزن_جودة_العمل+$E235*وزن_الالتزام+$F235*وزن_الإنتاجية+$G235*وزن_التعاون+$H235*وزن_الأهداف,1)))</f>
        <v/>
      </c>
      <c r="J235" s="43">
        <f>IF($I235="","",IF($I235&gt;=90,"ممتاز",IF($I235&gt;=80,"جيد جدًا",IF($I235&gt;=70,"جيد",IF($I235&gt;=60,"مقبول","يحتاج تحسين")))))</f>
        <v/>
      </c>
      <c r="K235" s="40" t="n"/>
    </row>
    <row r="236">
      <c r="A236" s="47" t="n"/>
      <c r="B236" s="50">
        <f>IFERROR(INDEX(الموظفون_الاسم,MATCH($A236,الموظفون_الرقم,0)),"")</f>
        <v/>
      </c>
      <c r="C236" s="47" t="n"/>
      <c r="D236" s="62" t="n"/>
      <c r="E236" s="62" t="n"/>
      <c r="F236" s="62" t="n"/>
      <c r="G236" s="62" t="n"/>
      <c r="H236" s="62" t="n"/>
      <c r="I236" s="113">
        <f>IF($A236="","",IF(COUNT($D236:$H236)=0,"",ROUND($D236*وزن_جودة_العمل+$E236*وزن_الالتزام+$F236*وزن_الإنتاجية+$G236*وزن_التعاون+$H236*وزن_الأهداف,1)))</f>
        <v/>
      </c>
      <c r="J236" s="50">
        <f>IF($I236="","",IF($I236&gt;=90,"ممتاز",IF($I236&gt;=80,"جيد جدًا",IF($I236&gt;=70,"جيد",IF($I236&gt;=60,"مقبول","يحتاج تحسين")))))</f>
        <v/>
      </c>
      <c r="K236" s="47" t="n"/>
    </row>
    <row r="237">
      <c r="A237" s="40" t="n"/>
      <c r="B237" s="43">
        <f>IFERROR(INDEX(الموظفون_الاسم,MATCH($A237,الموظفون_الرقم,0)),"")</f>
        <v/>
      </c>
      <c r="C237" s="40" t="n"/>
      <c r="D237" s="59" t="n"/>
      <c r="E237" s="59" t="n"/>
      <c r="F237" s="59" t="n"/>
      <c r="G237" s="59" t="n"/>
      <c r="H237" s="59" t="n"/>
      <c r="I237" s="111">
        <f>IF($A237="","",IF(COUNT($D237:$H237)=0,"",ROUND($D237*وزن_جودة_العمل+$E237*وزن_الالتزام+$F237*وزن_الإنتاجية+$G237*وزن_التعاون+$H237*وزن_الأهداف,1)))</f>
        <v/>
      </c>
      <c r="J237" s="43">
        <f>IF($I237="","",IF($I237&gt;=90,"ممتاز",IF($I237&gt;=80,"جيد جدًا",IF($I237&gt;=70,"جيد",IF($I237&gt;=60,"مقبول","يحتاج تحسين")))))</f>
        <v/>
      </c>
      <c r="K237" s="40" t="n"/>
    </row>
    <row r="238">
      <c r="A238" s="47" t="n"/>
      <c r="B238" s="50">
        <f>IFERROR(INDEX(الموظفون_الاسم,MATCH($A238,الموظفون_الرقم,0)),"")</f>
        <v/>
      </c>
      <c r="C238" s="47" t="n"/>
      <c r="D238" s="62" t="n"/>
      <c r="E238" s="62" t="n"/>
      <c r="F238" s="62" t="n"/>
      <c r="G238" s="62" t="n"/>
      <c r="H238" s="62" t="n"/>
      <c r="I238" s="113">
        <f>IF($A238="","",IF(COUNT($D238:$H238)=0,"",ROUND($D238*وزن_جودة_العمل+$E238*وزن_الالتزام+$F238*وزن_الإنتاجية+$G238*وزن_التعاون+$H238*وزن_الأهداف,1)))</f>
        <v/>
      </c>
      <c r="J238" s="50">
        <f>IF($I238="","",IF($I238&gt;=90,"ممتاز",IF($I238&gt;=80,"جيد جدًا",IF($I238&gt;=70,"جيد",IF($I238&gt;=60,"مقبول","يحتاج تحسين")))))</f>
        <v/>
      </c>
      <c r="K238" s="47" t="n"/>
    </row>
    <row r="239">
      <c r="A239" s="40" t="n"/>
      <c r="B239" s="43">
        <f>IFERROR(INDEX(الموظفون_الاسم,MATCH($A239,الموظفون_الرقم,0)),"")</f>
        <v/>
      </c>
      <c r="C239" s="40" t="n"/>
      <c r="D239" s="59" t="n"/>
      <c r="E239" s="59" t="n"/>
      <c r="F239" s="59" t="n"/>
      <c r="G239" s="59" t="n"/>
      <c r="H239" s="59" t="n"/>
      <c r="I239" s="111">
        <f>IF($A239="","",IF(COUNT($D239:$H239)=0,"",ROUND($D239*وزن_جودة_العمل+$E239*وزن_الالتزام+$F239*وزن_الإنتاجية+$G239*وزن_التعاون+$H239*وزن_الأهداف,1)))</f>
        <v/>
      </c>
      <c r="J239" s="43">
        <f>IF($I239="","",IF($I239&gt;=90,"ممتاز",IF($I239&gt;=80,"جيد جدًا",IF($I239&gt;=70,"جيد",IF($I239&gt;=60,"مقبول","يحتاج تحسين")))))</f>
        <v/>
      </c>
      <c r="K239" s="40" t="n"/>
    </row>
    <row r="240">
      <c r="A240" s="47" t="n"/>
      <c r="B240" s="50">
        <f>IFERROR(INDEX(الموظفون_الاسم,MATCH($A240,الموظفون_الرقم,0)),"")</f>
        <v/>
      </c>
      <c r="C240" s="47" t="n"/>
      <c r="D240" s="62" t="n"/>
      <c r="E240" s="62" t="n"/>
      <c r="F240" s="62" t="n"/>
      <c r="G240" s="62" t="n"/>
      <c r="H240" s="62" t="n"/>
      <c r="I240" s="113">
        <f>IF($A240="","",IF(COUNT($D240:$H240)=0,"",ROUND($D240*وزن_جودة_العمل+$E240*وزن_الالتزام+$F240*وزن_الإنتاجية+$G240*وزن_التعاون+$H240*وزن_الأهداف,1)))</f>
        <v/>
      </c>
      <c r="J240" s="50">
        <f>IF($I240="","",IF($I240&gt;=90,"ممتاز",IF($I240&gt;=80,"جيد جدًا",IF($I240&gt;=70,"جيد",IF($I240&gt;=60,"مقبول","يحتاج تحسين")))))</f>
        <v/>
      </c>
      <c r="K240" s="47" t="n"/>
    </row>
    <row r="241">
      <c r="A241" s="40" t="n"/>
      <c r="B241" s="43">
        <f>IFERROR(INDEX(الموظفون_الاسم,MATCH($A241,الموظفون_الرقم,0)),"")</f>
        <v/>
      </c>
      <c r="C241" s="40" t="n"/>
      <c r="D241" s="59" t="n"/>
      <c r="E241" s="59" t="n"/>
      <c r="F241" s="59" t="n"/>
      <c r="G241" s="59" t="n"/>
      <c r="H241" s="59" t="n"/>
      <c r="I241" s="111">
        <f>IF($A241="","",IF(COUNT($D241:$H241)=0,"",ROUND($D241*وزن_جودة_العمل+$E241*وزن_الالتزام+$F241*وزن_الإنتاجية+$G241*وزن_التعاون+$H241*وزن_الأهداف,1)))</f>
        <v/>
      </c>
      <c r="J241" s="43">
        <f>IF($I241="","",IF($I241&gt;=90,"ممتاز",IF($I241&gt;=80,"جيد جدًا",IF($I241&gt;=70,"جيد",IF($I241&gt;=60,"مقبول","يحتاج تحسين")))))</f>
        <v/>
      </c>
      <c r="K241" s="40" t="n"/>
    </row>
    <row r="242">
      <c r="A242" s="47" t="n"/>
      <c r="B242" s="50">
        <f>IFERROR(INDEX(الموظفون_الاسم,MATCH($A242,الموظفون_الرقم,0)),"")</f>
        <v/>
      </c>
      <c r="C242" s="47" t="n"/>
      <c r="D242" s="62" t="n"/>
      <c r="E242" s="62" t="n"/>
      <c r="F242" s="62" t="n"/>
      <c r="G242" s="62" t="n"/>
      <c r="H242" s="62" t="n"/>
      <c r="I242" s="113">
        <f>IF($A242="","",IF(COUNT($D242:$H242)=0,"",ROUND($D242*وزن_جودة_العمل+$E242*وزن_الالتزام+$F242*وزن_الإنتاجية+$G242*وزن_التعاون+$H242*وزن_الأهداف,1)))</f>
        <v/>
      </c>
      <c r="J242" s="50">
        <f>IF($I242="","",IF($I242&gt;=90,"ممتاز",IF($I242&gt;=80,"جيد جدًا",IF($I242&gt;=70,"جيد",IF($I242&gt;=60,"مقبول","يحتاج تحسين")))))</f>
        <v/>
      </c>
      <c r="K242" s="47" t="n"/>
    </row>
    <row r="243">
      <c r="A243" s="40" t="n"/>
      <c r="B243" s="43">
        <f>IFERROR(INDEX(الموظفون_الاسم,MATCH($A243,الموظفون_الرقم,0)),"")</f>
        <v/>
      </c>
      <c r="C243" s="40" t="n"/>
      <c r="D243" s="59" t="n"/>
      <c r="E243" s="59" t="n"/>
      <c r="F243" s="59" t="n"/>
      <c r="G243" s="59" t="n"/>
      <c r="H243" s="59" t="n"/>
      <c r="I243" s="111">
        <f>IF($A243="","",IF(COUNT($D243:$H243)=0,"",ROUND($D243*وزن_جودة_العمل+$E243*وزن_الالتزام+$F243*وزن_الإنتاجية+$G243*وزن_التعاون+$H243*وزن_الأهداف,1)))</f>
        <v/>
      </c>
      <c r="J243" s="43">
        <f>IF($I243="","",IF($I243&gt;=90,"ممتاز",IF($I243&gt;=80,"جيد جدًا",IF($I243&gt;=70,"جيد",IF($I243&gt;=60,"مقبول","يحتاج تحسين")))))</f>
        <v/>
      </c>
      <c r="K243" s="40" t="n"/>
    </row>
    <row r="244">
      <c r="A244" s="47" t="n"/>
      <c r="B244" s="50">
        <f>IFERROR(INDEX(الموظفون_الاسم,MATCH($A244,الموظفون_الرقم,0)),"")</f>
        <v/>
      </c>
      <c r="C244" s="47" t="n"/>
      <c r="D244" s="62" t="n"/>
      <c r="E244" s="62" t="n"/>
      <c r="F244" s="62" t="n"/>
      <c r="G244" s="62" t="n"/>
      <c r="H244" s="62" t="n"/>
      <c r="I244" s="113">
        <f>IF($A244="","",IF(COUNT($D244:$H244)=0,"",ROUND($D244*وزن_جودة_العمل+$E244*وزن_الالتزام+$F244*وزن_الإنتاجية+$G244*وزن_التعاون+$H244*وزن_الأهداف,1)))</f>
        <v/>
      </c>
      <c r="J244" s="50">
        <f>IF($I244="","",IF($I244&gt;=90,"ممتاز",IF($I244&gt;=80,"جيد جدًا",IF($I244&gt;=70,"جيد",IF($I244&gt;=60,"مقبول","يحتاج تحسين")))))</f>
        <v/>
      </c>
      <c r="K244" s="47" t="n"/>
    </row>
    <row r="245">
      <c r="A245" s="40" t="n"/>
      <c r="B245" s="43">
        <f>IFERROR(INDEX(الموظفون_الاسم,MATCH($A245,الموظفون_الرقم,0)),"")</f>
        <v/>
      </c>
      <c r="C245" s="40" t="n"/>
      <c r="D245" s="59" t="n"/>
      <c r="E245" s="59" t="n"/>
      <c r="F245" s="59" t="n"/>
      <c r="G245" s="59" t="n"/>
      <c r="H245" s="59" t="n"/>
      <c r="I245" s="111">
        <f>IF($A245="","",IF(COUNT($D245:$H245)=0,"",ROUND($D245*وزن_جودة_العمل+$E245*وزن_الالتزام+$F245*وزن_الإنتاجية+$G245*وزن_التعاون+$H245*وزن_الأهداف,1)))</f>
        <v/>
      </c>
      <c r="J245" s="43">
        <f>IF($I245="","",IF($I245&gt;=90,"ممتاز",IF($I245&gt;=80,"جيد جدًا",IF($I245&gt;=70,"جيد",IF($I245&gt;=60,"مقبول","يحتاج تحسين")))))</f>
        <v/>
      </c>
      <c r="K245" s="40" t="n"/>
    </row>
    <row r="246">
      <c r="A246" s="47" t="n"/>
      <c r="B246" s="50">
        <f>IFERROR(INDEX(الموظفون_الاسم,MATCH($A246,الموظفون_الرقم,0)),"")</f>
        <v/>
      </c>
      <c r="C246" s="47" t="n"/>
      <c r="D246" s="62" t="n"/>
      <c r="E246" s="62" t="n"/>
      <c r="F246" s="62" t="n"/>
      <c r="G246" s="62" t="n"/>
      <c r="H246" s="62" t="n"/>
      <c r="I246" s="113">
        <f>IF($A246="","",IF(COUNT($D246:$H246)=0,"",ROUND($D246*وزن_جودة_العمل+$E246*وزن_الالتزام+$F246*وزن_الإنتاجية+$G246*وزن_التعاون+$H246*وزن_الأهداف,1)))</f>
        <v/>
      </c>
      <c r="J246" s="50">
        <f>IF($I246="","",IF($I246&gt;=90,"ممتاز",IF($I246&gt;=80,"جيد جدًا",IF($I246&gt;=70,"جيد",IF($I246&gt;=60,"مقبول","يحتاج تحسين")))))</f>
        <v/>
      </c>
      <c r="K246" s="47" t="n"/>
    </row>
    <row r="247">
      <c r="A247" s="40" t="n"/>
      <c r="B247" s="43">
        <f>IFERROR(INDEX(الموظفون_الاسم,MATCH($A247,الموظفون_الرقم,0)),"")</f>
        <v/>
      </c>
      <c r="C247" s="40" t="n"/>
      <c r="D247" s="59" t="n"/>
      <c r="E247" s="59" t="n"/>
      <c r="F247" s="59" t="n"/>
      <c r="G247" s="59" t="n"/>
      <c r="H247" s="59" t="n"/>
      <c r="I247" s="111">
        <f>IF($A247="","",IF(COUNT($D247:$H247)=0,"",ROUND($D247*وزن_جودة_العمل+$E247*وزن_الالتزام+$F247*وزن_الإنتاجية+$G247*وزن_التعاون+$H247*وزن_الأهداف,1)))</f>
        <v/>
      </c>
      <c r="J247" s="43">
        <f>IF($I247="","",IF($I247&gt;=90,"ممتاز",IF($I247&gt;=80,"جيد جدًا",IF($I247&gt;=70,"جيد",IF($I247&gt;=60,"مقبول","يحتاج تحسين")))))</f>
        <v/>
      </c>
      <c r="K247" s="40" t="n"/>
    </row>
    <row r="248">
      <c r="A248" s="47" t="n"/>
      <c r="B248" s="50">
        <f>IFERROR(INDEX(الموظفون_الاسم,MATCH($A248,الموظفون_الرقم,0)),"")</f>
        <v/>
      </c>
      <c r="C248" s="47" t="n"/>
      <c r="D248" s="62" t="n"/>
      <c r="E248" s="62" t="n"/>
      <c r="F248" s="62" t="n"/>
      <c r="G248" s="62" t="n"/>
      <c r="H248" s="62" t="n"/>
      <c r="I248" s="113">
        <f>IF($A248="","",IF(COUNT($D248:$H248)=0,"",ROUND($D248*وزن_جودة_العمل+$E248*وزن_الالتزام+$F248*وزن_الإنتاجية+$G248*وزن_التعاون+$H248*وزن_الأهداف,1)))</f>
        <v/>
      </c>
      <c r="J248" s="50">
        <f>IF($I248="","",IF($I248&gt;=90,"ممتاز",IF($I248&gt;=80,"جيد جدًا",IF($I248&gt;=70,"جيد",IF($I248&gt;=60,"مقبول","يحتاج تحسين")))))</f>
        <v/>
      </c>
      <c r="K248" s="47" t="n"/>
    </row>
    <row r="249">
      <c r="A249" s="40" t="n"/>
      <c r="B249" s="43">
        <f>IFERROR(INDEX(الموظفون_الاسم,MATCH($A249,الموظفون_الرقم,0)),"")</f>
        <v/>
      </c>
      <c r="C249" s="40" t="n"/>
      <c r="D249" s="59" t="n"/>
      <c r="E249" s="59" t="n"/>
      <c r="F249" s="59" t="n"/>
      <c r="G249" s="59" t="n"/>
      <c r="H249" s="59" t="n"/>
      <c r="I249" s="111">
        <f>IF($A249="","",IF(COUNT($D249:$H249)=0,"",ROUND($D249*وزن_جودة_العمل+$E249*وزن_الالتزام+$F249*وزن_الإنتاجية+$G249*وزن_التعاون+$H249*وزن_الأهداف,1)))</f>
        <v/>
      </c>
      <c r="J249" s="43">
        <f>IF($I249="","",IF($I249&gt;=90,"ممتاز",IF($I249&gt;=80,"جيد جدًا",IF($I249&gt;=70,"جيد",IF($I249&gt;=60,"مقبول","يحتاج تحسين")))))</f>
        <v/>
      </c>
      <c r="K249" s="40" t="n"/>
    </row>
    <row r="250">
      <c r="A250" s="47" t="n"/>
      <c r="B250" s="50">
        <f>IFERROR(INDEX(الموظفون_الاسم,MATCH($A250,الموظفون_الرقم,0)),"")</f>
        <v/>
      </c>
      <c r="C250" s="47" t="n"/>
      <c r="D250" s="62" t="n"/>
      <c r="E250" s="62" t="n"/>
      <c r="F250" s="62" t="n"/>
      <c r="G250" s="62" t="n"/>
      <c r="H250" s="62" t="n"/>
      <c r="I250" s="113">
        <f>IF($A250="","",IF(COUNT($D250:$H250)=0,"",ROUND($D250*وزن_جودة_العمل+$E250*وزن_الالتزام+$F250*وزن_الإنتاجية+$G250*وزن_التعاون+$H250*وزن_الأهداف,1)))</f>
        <v/>
      </c>
      <c r="J250" s="50">
        <f>IF($I250="","",IF($I250&gt;=90,"ممتاز",IF($I250&gt;=80,"جيد جدًا",IF($I250&gt;=70,"جيد",IF($I250&gt;=60,"مقبول","يحتاج تحسين")))))</f>
        <v/>
      </c>
      <c r="K250" s="47" t="n"/>
    </row>
    <row r="251">
      <c r="A251" s="40" t="n"/>
      <c r="B251" s="43">
        <f>IFERROR(INDEX(الموظفون_الاسم,MATCH($A251,الموظفون_الرقم,0)),"")</f>
        <v/>
      </c>
      <c r="C251" s="40" t="n"/>
      <c r="D251" s="59" t="n"/>
      <c r="E251" s="59" t="n"/>
      <c r="F251" s="59" t="n"/>
      <c r="G251" s="59" t="n"/>
      <c r="H251" s="59" t="n"/>
      <c r="I251" s="111">
        <f>IF($A251="","",IF(COUNT($D251:$H251)=0,"",ROUND($D251*وزن_جودة_العمل+$E251*وزن_الالتزام+$F251*وزن_الإنتاجية+$G251*وزن_التعاون+$H251*وزن_الأهداف,1)))</f>
        <v/>
      </c>
      <c r="J251" s="43">
        <f>IF($I251="","",IF($I251&gt;=90,"ممتاز",IF($I251&gt;=80,"جيد جدًا",IF($I251&gt;=70,"جيد",IF($I251&gt;=60,"مقبول","يحتاج تحسين")))))</f>
        <v/>
      </c>
      <c r="K251" s="40" t="n"/>
    </row>
    <row r="252">
      <c r="A252" s="47" t="n"/>
      <c r="B252" s="50">
        <f>IFERROR(INDEX(الموظفون_الاسم,MATCH($A252,الموظفون_الرقم,0)),"")</f>
        <v/>
      </c>
      <c r="C252" s="47" t="n"/>
      <c r="D252" s="62" t="n"/>
      <c r="E252" s="62" t="n"/>
      <c r="F252" s="62" t="n"/>
      <c r="G252" s="62" t="n"/>
      <c r="H252" s="62" t="n"/>
      <c r="I252" s="113">
        <f>IF($A252="","",IF(COUNT($D252:$H252)=0,"",ROUND($D252*وزن_جودة_العمل+$E252*وزن_الالتزام+$F252*وزن_الإنتاجية+$G252*وزن_التعاون+$H252*وزن_الأهداف,1)))</f>
        <v/>
      </c>
      <c r="J252" s="50">
        <f>IF($I252="","",IF($I252&gt;=90,"ممتاز",IF($I252&gt;=80,"جيد جدًا",IF($I252&gt;=70,"جيد",IF($I252&gt;=60,"مقبول","يحتاج تحسين")))))</f>
        <v/>
      </c>
      <c r="K252" s="47" t="n"/>
    </row>
    <row r="253">
      <c r="A253" s="40" t="n"/>
      <c r="B253" s="43">
        <f>IFERROR(INDEX(الموظفون_الاسم,MATCH($A253,الموظفون_الرقم,0)),"")</f>
        <v/>
      </c>
      <c r="C253" s="40" t="n"/>
      <c r="D253" s="59" t="n"/>
      <c r="E253" s="59" t="n"/>
      <c r="F253" s="59" t="n"/>
      <c r="G253" s="59" t="n"/>
      <c r="H253" s="59" t="n"/>
      <c r="I253" s="111">
        <f>IF($A253="","",IF(COUNT($D253:$H253)=0,"",ROUND($D253*وزن_جودة_العمل+$E253*وزن_الالتزام+$F253*وزن_الإنتاجية+$G253*وزن_التعاون+$H253*وزن_الأهداف,1)))</f>
        <v/>
      </c>
      <c r="J253" s="43">
        <f>IF($I253="","",IF($I253&gt;=90,"ممتاز",IF($I253&gt;=80,"جيد جدًا",IF($I253&gt;=70,"جيد",IF($I253&gt;=60,"مقبول","يحتاج تحسين")))))</f>
        <v/>
      </c>
      <c r="K253" s="40" t="n"/>
    </row>
    <row r="254">
      <c r="A254" s="47" t="n"/>
      <c r="B254" s="50">
        <f>IFERROR(INDEX(الموظفون_الاسم,MATCH($A254,الموظفون_الرقم,0)),"")</f>
        <v/>
      </c>
      <c r="C254" s="47" t="n"/>
      <c r="D254" s="62" t="n"/>
      <c r="E254" s="62" t="n"/>
      <c r="F254" s="62" t="n"/>
      <c r="G254" s="62" t="n"/>
      <c r="H254" s="62" t="n"/>
      <c r="I254" s="113">
        <f>IF($A254="","",IF(COUNT($D254:$H254)=0,"",ROUND($D254*وزن_جودة_العمل+$E254*وزن_الالتزام+$F254*وزن_الإنتاجية+$G254*وزن_التعاون+$H254*وزن_الأهداف,1)))</f>
        <v/>
      </c>
      <c r="J254" s="50">
        <f>IF($I254="","",IF($I254&gt;=90,"ممتاز",IF($I254&gt;=80,"جيد جدًا",IF($I254&gt;=70,"جيد",IF($I254&gt;=60,"مقبول","يحتاج تحسين")))))</f>
        <v/>
      </c>
      <c r="K254" s="47" t="n"/>
    </row>
    <row r="255">
      <c r="A255" s="40" t="n"/>
      <c r="B255" s="43">
        <f>IFERROR(INDEX(الموظفون_الاسم,MATCH($A255,الموظفون_الرقم,0)),"")</f>
        <v/>
      </c>
      <c r="C255" s="40" t="n"/>
      <c r="D255" s="59" t="n"/>
      <c r="E255" s="59" t="n"/>
      <c r="F255" s="59" t="n"/>
      <c r="G255" s="59" t="n"/>
      <c r="H255" s="59" t="n"/>
      <c r="I255" s="111">
        <f>IF($A255="","",IF(COUNT($D255:$H255)=0,"",ROUND($D255*وزن_جودة_العمل+$E255*وزن_الالتزام+$F255*وزن_الإنتاجية+$G255*وزن_التعاون+$H255*وزن_الأهداف,1)))</f>
        <v/>
      </c>
      <c r="J255" s="43">
        <f>IF($I255="","",IF($I255&gt;=90,"ممتاز",IF($I255&gt;=80,"جيد جدًا",IF($I255&gt;=70,"جيد",IF($I255&gt;=60,"مقبول","يحتاج تحسين")))))</f>
        <v/>
      </c>
      <c r="K255" s="40" t="n"/>
    </row>
    <row r="256">
      <c r="A256" s="47" t="n"/>
      <c r="B256" s="50">
        <f>IFERROR(INDEX(الموظفون_الاسم,MATCH($A256,الموظفون_الرقم,0)),"")</f>
        <v/>
      </c>
      <c r="C256" s="47" t="n"/>
      <c r="D256" s="62" t="n"/>
      <c r="E256" s="62" t="n"/>
      <c r="F256" s="62" t="n"/>
      <c r="G256" s="62" t="n"/>
      <c r="H256" s="62" t="n"/>
      <c r="I256" s="113">
        <f>IF($A256="","",IF(COUNT($D256:$H256)=0,"",ROUND($D256*وزن_جودة_العمل+$E256*وزن_الالتزام+$F256*وزن_الإنتاجية+$G256*وزن_التعاون+$H256*وزن_الأهداف,1)))</f>
        <v/>
      </c>
      <c r="J256" s="50">
        <f>IF($I256="","",IF($I256&gt;=90,"ممتاز",IF($I256&gt;=80,"جيد جدًا",IF($I256&gt;=70,"جيد",IF($I256&gt;=60,"مقبول","يحتاج تحسين")))))</f>
        <v/>
      </c>
      <c r="K256" s="47" t="n"/>
    </row>
    <row r="257">
      <c r="A257" s="40" t="n"/>
      <c r="B257" s="43">
        <f>IFERROR(INDEX(الموظفون_الاسم,MATCH($A257,الموظفون_الرقم,0)),"")</f>
        <v/>
      </c>
      <c r="C257" s="40" t="n"/>
      <c r="D257" s="59" t="n"/>
      <c r="E257" s="59" t="n"/>
      <c r="F257" s="59" t="n"/>
      <c r="G257" s="59" t="n"/>
      <c r="H257" s="59" t="n"/>
      <c r="I257" s="111">
        <f>IF($A257="","",IF(COUNT($D257:$H257)=0,"",ROUND($D257*وزن_جودة_العمل+$E257*وزن_الالتزام+$F257*وزن_الإنتاجية+$G257*وزن_التعاون+$H257*وزن_الأهداف,1)))</f>
        <v/>
      </c>
      <c r="J257" s="43">
        <f>IF($I257="","",IF($I257&gt;=90,"ممتاز",IF($I257&gt;=80,"جيد جدًا",IF($I257&gt;=70,"جيد",IF($I257&gt;=60,"مقبول","يحتاج تحسين")))))</f>
        <v/>
      </c>
      <c r="K257" s="40" t="n"/>
    </row>
    <row r="258">
      <c r="A258" s="47" t="n"/>
      <c r="B258" s="50">
        <f>IFERROR(INDEX(الموظفون_الاسم,MATCH($A258,الموظفون_الرقم,0)),"")</f>
        <v/>
      </c>
      <c r="C258" s="47" t="n"/>
      <c r="D258" s="62" t="n"/>
      <c r="E258" s="62" t="n"/>
      <c r="F258" s="62" t="n"/>
      <c r="G258" s="62" t="n"/>
      <c r="H258" s="62" t="n"/>
      <c r="I258" s="113">
        <f>IF($A258="","",IF(COUNT($D258:$H258)=0,"",ROUND($D258*وزن_جودة_العمل+$E258*وزن_الالتزام+$F258*وزن_الإنتاجية+$G258*وزن_التعاون+$H258*وزن_الأهداف,1)))</f>
        <v/>
      </c>
      <c r="J258" s="50">
        <f>IF($I258="","",IF($I258&gt;=90,"ممتاز",IF($I258&gt;=80,"جيد جدًا",IF($I258&gt;=70,"جيد",IF($I258&gt;=60,"مقبول","يحتاج تحسين")))))</f>
        <v/>
      </c>
      <c r="K258" s="47" t="n"/>
    </row>
    <row r="259">
      <c r="A259" s="40" t="n"/>
      <c r="B259" s="43">
        <f>IFERROR(INDEX(الموظفون_الاسم,MATCH($A259,الموظفون_الرقم,0)),"")</f>
        <v/>
      </c>
      <c r="C259" s="40" t="n"/>
      <c r="D259" s="59" t="n"/>
      <c r="E259" s="59" t="n"/>
      <c r="F259" s="59" t="n"/>
      <c r="G259" s="59" t="n"/>
      <c r="H259" s="59" t="n"/>
      <c r="I259" s="111">
        <f>IF($A259="","",IF(COUNT($D259:$H259)=0,"",ROUND($D259*وزن_جودة_العمل+$E259*وزن_الالتزام+$F259*وزن_الإنتاجية+$G259*وزن_التعاون+$H259*وزن_الأهداف,1)))</f>
        <v/>
      </c>
      <c r="J259" s="43">
        <f>IF($I259="","",IF($I259&gt;=90,"ممتاز",IF($I259&gt;=80,"جيد جدًا",IF($I259&gt;=70,"جيد",IF($I259&gt;=60,"مقبول","يحتاج تحسين")))))</f>
        <v/>
      </c>
      <c r="K259" s="40" t="n"/>
    </row>
    <row r="260">
      <c r="A260" s="47" t="n"/>
      <c r="B260" s="50">
        <f>IFERROR(INDEX(الموظفون_الاسم,MATCH($A260,الموظفون_الرقم,0)),"")</f>
        <v/>
      </c>
      <c r="C260" s="47" t="n"/>
      <c r="D260" s="62" t="n"/>
      <c r="E260" s="62" t="n"/>
      <c r="F260" s="62" t="n"/>
      <c r="G260" s="62" t="n"/>
      <c r="H260" s="62" t="n"/>
      <c r="I260" s="113">
        <f>IF($A260="","",IF(COUNT($D260:$H260)=0,"",ROUND($D260*وزن_جودة_العمل+$E260*وزن_الالتزام+$F260*وزن_الإنتاجية+$G260*وزن_التعاون+$H260*وزن_الأهداف,1)))</f>
        <v/>
      </c>
      <c r="J260" s="50">
        <f>IF($I260="","",IF($I260&gt;=90,"ممتاز",IF($I260&gt;=80,"جيد جدًا",IF($I260&gt;=70,"جيد",IF($I260&gt;=60,"مقبول","يحتاج تحسين")))))</f>
        <v/>
      </c>
      <c r="K260" s="47" t="n"/>
    </row>
    <row r="261">
      <c r="A261" s="40" t="n"/>
      <c r="B261" s="43">
        <f>IFERROR(INDEX(الموظفون_الاسم,MATCH($A261,الموظفون_الرقم,0)),"")</f>
        <v/>
      </c>
      <c r="C261" s="40" t="n"/>
      <c r="D261" s="59" t="n"/>
      <c r="E261" s="59" t="n"/>
      <c r="F261" s="59" t="n"/>
      <c r="G261" s="59" t="n"/>
      <c r="H261" s="59" t="n"/>
      <c r="I261" s="111">
        <f>IF($A261="","",IF(COUNT($D261:$H261)=0,"",ROUND($D261*وزن_جودة_العمل+$E261*وزن_الالتزام+$F261*وزن_الإنتاجية+$G261*وزن_التعاون+$H261*وزن_الأهداف,1)))</f>
        <v/>
      </c>
      <c r="J261" s="43">
        <f>IF($I261="","",IF($I261&gt;=90,"ممتاز",IF($I261&gt;=80,"جيد جدًا",IF($I261&gt;=70,"جيد",IF($I261&gt;=60,"مقبول","يحتاج تحسين")))))</f>
        <v/>
      </c>
      <c r="K261" s="40" t="n"/>
    </row>
    <row r="262">
      <c r="A262" s="47" t="n"/>
      <c r="B262" s="50">
        <f>IFERROR(INDEX(الموظفون_الاسم,MATCH($A262,الموظفون_الرقم,0)),"")</f>
        <v/>
      </c>
      <c r="C262" s="47" t="n"/>
      <c r="D262" s="62" t="n"/>
      <c r="E262" s="62" t="n"/>
      <c r="F262" s="62" t="n"/>
      <c r="G262" s="62" t="n"/>
      <c r="H262" s="62" t="n"/>
      <c r="I262" s="113">
        <f>IF($A262="","",IF(COUNT($D262:$H262)=0,"",ROUND($D262*وزن_جودة_العمل+$E262*وزن_الالتزام+$F262*وزن_الإنتاجية+$G262*وزن_التعاون+$H262*وزن_الأهداف,1)))</f>
        <v/>
      </c>
      <c r="J262" s="50">
        <f>IF($I262="","",IF($I262&gt;=90,"ممتاز",IF($I262&gt;=80,"جيد جدًا",IF($I262&gt;=70,"جيد",IF($I262&gt;=60,"مقبول","يحتاج تحسين")))))</f>
        <v/>
      </c>
      <c r="K262" s="47" t="n"/>
    </row>
    <row r="263">
      <c r="A263" s="40" t="n"/>
      <c r="B263" s="43">
        <f>IFERROR(INDEX(الموظفون_الاسم,MATCH($A263,الموظفون_الرقم,0)),"")</f>
        <v/>
      </c>
      <c r="C263" s="40" t="n"/>
      <c r="D263" s="59" t="n"/>
      <c r="E263" s="59" t="n"/>
      <c r="F263" s="59" t="n"/>
      <c r="G263" s="59" t="n"/>
      <c r="H263" s="59" t="n"/>
      <c r="I263" s="111">
        <f>IF($A263="","",IF(COUNT($D263:$H263)=0,"",ROUND($D263*وزن_جودة_العمل+$E263*وزن_الالتزام+$F263*وزن_الإنتاجية+$G263*وزن_التعاون+$H263*وزن_الأهداف,1)))</f>
        <v/>
      </c>
      <c r="J263" s="43">
        <f>IF($I263="","",IF($I263&gt;=90,"ممتاز",IF($I263&gt;=80,"جيد جدًا",IF($I263&gt;=70,"جيد",IF($I263&gt;=60,"مقبول","يحتاج تحسين")))))</f>
        <v/>
      </c>
      <c r="K263" s="40" t="n"/>
    </row>
    <row r="264">
      <c r="A264" s="47" t="n"/>
      <c r="B264" s="50">
        <f>IFERROR(INDEX(الموظفون_الاسم,MATCH($A264,الموظفون_الرقم,0)),"")</f>
        <v/>
      </c>
      <c r="C264" s="47" t="n"/>
      <c r="D264" s="62" t="n"/>
      <c r="E264" s="62" t="n"/>
      <c r="F264" s="62" t="n"/>
      <c r="G264" s="62" t="n"/>
      <c r="H264" s="62" t="n"/>
      <c r="I264" s="113">
        <f>IF($A264="","",IF(COUNT($D264:$H264)=0,"",ROUND($D264*وزن_جودة_العمل+$E264*وزن_الالتزام+$F264*وزن_الإنتاجية+$G264*وزن_التعاون+$H264*وزن_الأهداف,1)))</f>
        <v/>
      </c>
      <c r="J264" s="50">
        <f>IF($I264="","",IF($I264&gt;=90,"ممتاز",IF($I264&gt;=80,"جيد جدًا",IF($I264&gt;=70,"جيد",IF($I264&gt;=60,"مقبول","يحتاج تحسين")))))</f>
        <v/>
      </c>
      <c r="K264" s="47" t="n"/>
    </row>
    <row r="265">
      <c r="A265" s="40" t="n"/>
      <c r="B265" s="43">
        <f>IFERROR(INDEX(الموظفون_الاسم,MATCH($A265,الموظفون_الرقم,0)),"")</f>
        <v/>
      </c>
      <c r="C265" s="40" t="n"/>
      <c r="D265" s="59" t="n"/>
      <c r="E265" s="59" t="n"/>
      <c r="F265" s="59" t="n"/>
      <c r="G265" s="59" t="n"/>
      <c r="H265" s="59" t="n"/>
      <c r="I265" s="111">
        <f>IF($A265="","",IF(COUNT($D265:$H265)=0,"",ROUND($D265*وزن_جودة_العمل+$E265*وزن_الالتزام+$F265*وزن_الإنتاجية+$G265*وزن_التعاون+$H265*وزن_الأهداف,1)))</f>
        <v/>
      </c>
      <c r="J265" s="43">
        <f>IF($I265="","",IF($I265&gt;=90,"ممتاز",IF($I265&gt;=80,"جيد جدًا",IF($I265&gt;=70,"جيد",IF($I265&gt;=60,"مقبول","يحتاج تحسين")))))</f>
        <v/>
      </c>
      <c r="K265" s="40" t="n"/>
    </row>
    <row r="266">
      <c r="A266" s="47" t="n"/>
      <c r="B266" s="50">
        <f>IFERROR(INDEX(الموظفون_الاسم,MATCH($A266,الموظفون_الرقم,0)),"")</f>
        <v/>
      </c>
      <c r="C266" s="47" t="n"/>
      <c r="D266" s="62" t="n"/>
      <c r="E266" s="62" t="n"/>
      <c r="F266" s="62" t="n"/>
      <c r="G266" s="62" t="n"/>
      <c r="H266" s="62" t="n"/>
      <c r="I266" s="113">
        <f>IF($A266="","",IF(COUNT($D266:$H266)=0,"",ROUND($D266*وزن_جودة_العمل+$E266*وزن_الالتزام+$F266*وزن_الإنتاجية+$G266*وزن_التعاون+$H266*وزن_الأهداف,1)))</f>
        <v/>
      </c>
      <c r="J266" s="50">
        <f>IF($I266="","",IF($I266&gt;=90,"ممتاز",IF($I266&gt;=80,"جيد جدًا",IF($I266&gt;=70,"جيد",IF($I266&gt;=60,"مقبول","يحتاج تحسين")))))</f>
        <v/>
      </c>
      <c r="K266" s="47" t="n"/>
    </row>
    <row r="267">
      <c r="A267" s="40" t="n"/>
      <c r="B267" s="43">
        <f>IFERROR(INDEX(الموظفون_الاسم,MATCH($A267,الموظفون_الرقم,0)),"")</f>
        <v/>
      </c>
      <c r="C267" s="40" t="n"/>
      <c r="D267" s="59" t="n"/>
      <c r="E267" s="59" t="n"/>
      <c r="F267" s="59" t="n"/>
      <c r="G267" s="59" t="n"/>
      <c r="H267" s="59" t="n"/>
      <c r="I267" s="111">
        <f>IF($A267="","",IF(COUNT($D267:$H267)=0,"",ROUND($D267*وزن_جودة_العمل+$E267*وزن_الالتزام+$F267*وزن_الإنتاجية+$G267*وزن_التعاون+$H267*وزن_الأهداف,1)))</f>
        <v/>
      </c>
      <c r="J267" s="43">
        <f>IF($I267="","",IF($I267&gt;=90,"ممتاز",IF($I267&gt;=80,"جيد جدًا",IF($I267&gt;=70,"جيد",IF($I267&gt;=60,"مقبول","يحتاج تحسين")))))</f>
        <v/>
      </c>
      <c r="K267" s="40" t="n"/>
    </row>
    <row r="268">
      <c r="A268" s="47" t="n"/>
      <c r="B268" s="50">
        <f>IFERROR(INDEX(الموظفون_الاسم,MATCH($A268,الموظفون_الرقم,0)),"")</f>
        <v/>
      </c>
      <c r="C268" s="47" t="n"/>
      <c r="D268" s="62" t="n"/>
      <c r="E268" s="62" t="n"/>
      <c r="F268" s="62" t="n"/>
      <c r="G268" s="62" t="n"/>
      <c r="H268" s="62" t="n"/>
      <c r="I268" s="113">
        <f>IF($A268="","",IF(COUNT($D268:$H268)=0,"",ROUND($D268*وزن_جودة_العمل+$E268*وزن_الالتزام+$F268*وزن_الإنتاجية+$G268*وزن_التعاون+$H268*وزن_الأهداف,1)))</f>
        <v/>
      </c>
      <c r="J268" s="50">
        <f>IF($I268="","",IF($I268&gt;=90,"ممتاز",IF($I268&gt;=80,"جيد جدًا",IF($I268&gt;=70,"جيد",IF($I268&gt;=60,"مقبول","يحتاج تحسين")))))</f>
        <v/>
      </c>
      <c r="K268" s="47" t="n"/>
    </row>
    <row r="269">
      <c r="A269" s="40" t="n"/>
      <c r="B269" s="43">
        <f>IFERROR(INDEX(الموظفون_الاسم,MATCH($A269,الموظفون_الرقم,0)),"")</f>
        <v/>
      </c>
      <c r="C269" s="40" t="n"/>
      <c r="D269" s="59" t="n"/>
      <c r="E269" s="59" t="n"/>
      <c r="F269" s="59" t="n"/>
      <c r="G269" s="59" t="n"/>
      <c r="H269" s="59" t="n"/>
      <c r="I269" s="111">
        <f>IF($A269="","",IF(COUNT($D269:$H269)=0,"",ROUND($D269*وزن_جودة_العمل+$E269*وزن_الالتزام+$F269*وزن_الإنتاجية+$G269*وزن_التعاون+$H269*وزن_الأهداف,1)))</f>
        <v/>
      </c>
      <c r="J269" s="43">
        <f>IF($I269="","",IF($I269&gt;=90,"ممتاز",IF($I269&gt;=80,"جيد جدًا",IF($I269&gt;=70,"جيد",IF($I269&gt;=60,"مقبول","يحتاج تحسين")))))</f>
        <v/>
      </c>
      <c r="K269" s="40" t="n"/>
    </row>
    <row r="270">
      <c r="A270" s="47" t="n"/>
      <c r="B270" s="50">
        <f>IFERROR(INDEX(الموظفون_الاسم,MATCH($A270,الموظفون_الرقم,0)),"")</f>
        <v/>
      </c>
      <c r="C270" s="47" t="n"/>
      <c r="D270" s="62" t="n"/>
      <c r="E270" s="62" t="n"/>
      <c r="F270" s="62" t="n"/>
      <c r="G270" s="62" t="n"/>
      <c r="H270" s="62" t="n"/>
      <c r="I270" s="113">
        <f>IF($A270="","",IF(COUNT($D270:$H270)=0,"",ROUND($D270*وزن_جودة_العمل+$E270*وزن_الالتزام+$F270*وزن_الإنتاجية+$G270*وزن_التعاون+$H270*وزن_الأهداف,1)))</f>
        <v/>
      </c>
      <c r="J270" s="50">
        <f>IF($I270="","",IF($I270&gt;=90,"ممتاز",IF($I270&gt;=80,"جيد جدًا",IF($I270&gt;=70,"جيد",IF($I270&gt;=60,"مقبول","يحتاج تحسين")))))</f>
        <v/>
      </c>
      <c r="K270" s="47" t="n"/>
    </row>
    <row r="271">
      <c r="A271" s="40" t="n"/>
      <c r="B271" s="43">
        <f>IFERROR(INDEX(الموظفون_الاسم,MATCH($A271,الموظفون_الرقم,0)),"")</f>
        <v/>
      </c>
      <c r="C271" s="40" t="n"/>
      <c r="D271" s="59" t="n"/>
      <c r="E271" s="59" t="n"/>
      <c r="F271" s="59" t="n"/>
      <c r="G271" s="59" t="n"/>
      <c r="H271" s="59" t="n"/>
      <c r="I271" s="111">
        <f>IF($A271="","",IF(COUNT($D271:$H271)=0,"",ROUND($D271*وزن_جودة_العمل+$E271*وزن_الالتزام+$F271*وزن_الإنتاجية+$G271*وزن_التعاون+$H271*وزن_الأهداف,1)))</f>
        <v/>
      </c>
      <c r="J271" s="43">
        <f>IF($I271="","",IF($I271&gt;=90,"ممتاز",IF($I271&gt;=80,"جيد جدًا",IF($I271&gt;=70,"جيد",IF($I271&gt;=60,"مقبول","يحتاج تحسين")))))</f>
        <v/>
      </c>
      <c r="K271" s="40" t="n"/>
    </row>
    <row r="272">
      <c r="A272" s="47" t="n"/>
      <c r="B272" s="50">
        <f>IFERROR(INDEX(الموظفون_الاسم,MATCH($A272,الموظفون_الرقم,0)),"")</f>
        <v/>
      </c>
      <c r="C272" s="47" t="n"/>
      <c r="D272" s="62" t="n"/>
      <c r="E272" s="62" t="n"/>
      <c r="F272" s="62" t="n"/>
      <c r="G272" s="62" t="n"/>
      <c r="H272" s="62" t="n"/>
      <c r="I272" s="113">
        <f>IF($A272="","",IF(COUNT($D272:$H272)=0,"",ROUND($D272*وزن_جودة_العمل+$E272*وزن_الالتزام+$F272*وزن_الإنتاجية+$G272*وزن_التعاون+$H272*وزن_الأهداف,1)))</f>
        <v/>
      </c>
      <c r="J272" s="50">
        <f>IF($I272="","",IF($I272&gt;=90,"ممتاز",IF($I272&gt;=80,"جيد جدًا",IF($I272&gt;=70,"جيد",IF($I272&gt;=60,"مقبول","يحتاج تحسين")))))</f>
        <v/>
      </c>
      <c r="K272" s="47" t="n"/>
    </row>
    <row r="273">
      <c r="A273" s="40" t="n"/>
      <c r="B273" s="43">
        <f>IFERROR(INDEX(الموظفون_الاسم,MATCH($A273,الموظفون_الرقم,0)),"")</f>
        <v/>
      </c>
      <c r="C273" s="40" t="n"/>
      <c r="D273" s="59" t="n"/>
      <c r="E273" s="59" t="n"/>
      <c r="F273" s="59" t="n"/>
      <c r="G273" s="59" t="n"/>
      <c r="H273" s="59" t="n"/>
      <c r="I273" s="111">
        <f>IF($A273="","",IF(COUNT($D273:$H273)=0,"",ROUND($D273*وزن_جودة_العمل+$E273*وزن_الالتزام+$F273*وزن_الإنتاجية+$G273*وزن_التعاون+$H273*وزن_الأهداف,1)))</f>
        <v/>
      </c>
      <c r="J273" s="43">
        <f>IF($I273="","",IF($I273&gt;=90,"ممتاز",IF($I273&gt;=80,"جيد جدًا",IF($I273&gt;=70,"جيد",IF($I273&gt;=60,"مقبول","يحتاج تحسين")))))</f>
        <v/>
      </c>
      <c r="K273" s="40" t="n"/>
    </row>
    <row r="274">
      <c r="A274" s="47" t="n"/>
      <c r="B274" s="50">
        <f>IFERROR(INDEX(الموظفون_الاسم,MATCH($A274,الموظفون_الرقم,0)),"")</f>
        <v/>
      </c>
      <c r="C274" s="47" t="n"/>
      <c r="D274" s="62" t="n"/>
      <c r="E274" s="62" t="n"/>
      <c r="F274" s="62" t="n"/>
      <c r="G274" s="62" t="n"/>
      <c r="H274" s="62" t="n"/>
      <c r="I274" s="113">
        <f>IF($A274="","",IF(COUNT($D274:$H274)=0,"",ROUND($D274*وزن_جودة_العمل+$E274*وزن_الالتزام+$F274*وزن_الإنتاجية+$G274*وزن_التعاون+$H274*وزن_الأهداف,1)))</f>
        <v/>
      </c>
      <c r="J274" s="50">
        <f>IF($I274="","",IF($I274&gt;=90,"ممتاز",IF($I274&gt;=80,"جيد جدًا",IF($I274&gt;=70,"جيد",IF($I274&gt;=60,"مقبول","يحتاج تحسين")))))</f>
        <v/>
      </c>
      <c r="K274" s="47" t="n"/>
    </row>
    <row r="275">
      <c r="A275" s="40" t="n"/>
      <c r="B275" s="43">
        <f>IFERROR(INDEX(الموظفون_الاسم,MATCH($A275,الموظفون_الرقم,0)),"")</f>
        <v/>
      </c>
      <c r="C275" s="40" t="n"/>
      <c r="D275" s="59" t="n"/>
      <c r="E275" s="59" t="n"/>
      <c r="F275" s="59" t="n"/>
      <c r="G275" s="59" t="n"/>
      <c r="H275" s="59" t="n"/>
      <c r="I275" s="111">
        <f>IF($A275="","",IF(COUNT($D275:$H275)=0,"",ROUND($D275*وزن_جودة_العمل+$E275*وزن_الالتزام+$F275*وزن_الإنتاجية+$G275*وزن_التعاون+$H275*وزن_الأهداف,1)))</f>
        <v/>
      </c>
      <c r="J275" s="43">
        <f>IF($I275="","",IF($I275&gt;=90,"ممتاز",IF($I275&gt;=80,"جيد جدًا",IF($I275&gt;=70,"جيد",IF($I275&gt;=60,"مقبول","يحتاج تحسين")))))</f>
        <v/>
      </c>
      <c r="K275" s="40" t="n"/>
    </row>
    <row r="276">
      <c r="A276" s="47" t="n"/>
      <c r="B276" s="50">
        <f>IFERROR(INDEX(الموظفون_الاسم,MATCH($A276,الموظفون_الرقم,0)),"")</f>
        <v/>
      </c>
      <c r="C276" s="47" t="n"/>
      <c r="D276" s="62" t="n"/>
      <c r="E276" s="62" t="n"/>
      <c r="F276" s="62" t="n"/>
      <c r="G276" s="62" t="n"/>
      <c r="H276" s="62" t="n"/>
      <c r="I276" s="113">
        <f>IF($A276="","",IF(COUNT($D276:$H276)=0,"",ROUND($D276*وزن_جودة_العمل+$E276*وزن_الالتزام+$F276*وزن_الإنتاجية+$G276*وزن_التعاون+$H276*وزن_الأهداف,1)))</f>
        <v/>
      </c>
      <c r="J276" s="50">
        <f>IF($I276="","",IF($I276&gt;=90,"ممتاز",IF($I276&gt;=80,"جيد جدًا",IF($I276&gt;=70,"جيد",IF($I276&gt;=60,"مقبول","يحتاج تحسين")))))</f>
        <v/>
      </c>
      <c r="K276" s="47" t="n"/>
    </row>
    <row r="277">
      <c r="A277" s="40" t="n"/>
      <c r="B277" s="43">
        <f>IFERROR(INDEX(الموظفون_الاسم,MATCH($A277,الموظفون_الرقم,0)),"")</f>
        <v/>
      </c>
      <c r="C277" s="40" t="n"/>
      <c r="D277" s="59" t="n"/>
      <c r="E277" s="59" t="n"/>
      <c r="F277" s="59" t="n"/>
      <c r="G277" s="59" t="n"/>
      <c r="H277" s="59" t="n"/>
      <c r="I277" s="111">
        <f>IF($A277="","",IF(COUNT($D277:$H277)=0,"",ROUND($D277*وزن_جودة_العمل+$E277*وزن_الالتزام+$F277*وزن_الإنتاجية+$G277*وزن_التعاون+$H277*وزن_الأهداف,1)))</f>
        <v/>
      </c>
      <c r="J277" s="43">
        <f>IF($I277="","",IF($I277&gt;=90,"ممتاز",IF($I277&gt;=80,"جيد جدًا",IF($I277&gt;=70,"جيد",IF($I277&gt;=60,"مقبول","يحتاج تحسين")))))</f>
        <v/>
      </c>
      <c r="K277" s="40" t="n"/>
    </row>
    <row r="278">
      <c r="A278" s="47" t="n"/>
      <c r="B278" s="50">
        <f>IFERROR(INDEX(الموظفون_الاسم,MATCH($A278,الموظفون_الرقم,0)),"")</f>
        <v/>
      </c>
      <c r="C278" s="47" t="n"/>
      <c r="D278" s="62" t="n"/>
      <c r="E278" s="62" t="n"/>
      <c r="F278" s="62" t="n"/>
      <c r="G278" s="62" t="n"/>
      <c r="H278" s="62" t="n"/>
      <c r="I278" s="113">
        <f>IF($A278="","",IF(COUNT($D278:$H278)=0,"",ROUND($D278*وزن_جودة_العمل+$E278*وزن_الالتزام+$F278*وزن_الإنتاجية+$G278*وزن_التعاون+$H278*وزن_الأهداف,1)))</f>
        <v/>
      </c>
      <c r="J278" s="50">
        <f>IF($I278="","",IF($I278&gt;=90,"ممتاز",IF($I278&gt;=80,"جيد جدًا",IF($I278&gt;=70,"جيد",IF($I278&gt;=60,"مقبول","يحتاج تحسين")))))</f>
        <v/>
      </c>
      <c r="K278" s="47" t="n"/>
    </row>
    <row r="279">
      <c r="A279" s="40" t="n"/>
      <c r="B279" s="43">
        <f>IFERROR(INDEX(الموظفون_الاسم,MATCH($A279,الموظفون_الرقم,0)),"")</f>
        <v/>
      </c>
      <c r="C279" s="40" t="n"/>
      <c r="D279" s="59" t="n"/>
      <c r="E279" s="59" t="n"/>
      <c r="F279" s="59" t="n"/>
      <c r="G279" s="59" t="n"/>
      <c r="H279" s="59" t="n"/>
      <c r="I279" s="111">
        <f>IF($A279="","",IF(COUNT($D279:$H279)=0,"",ROUND($D279*وزن_جودة_العمل+$E279*وزن_الالتزام+$F279*وزن_الإنتاجية+$G279*وزن_التعاون+$H279*وزن_الأهداف,1)))</f>
        <v/>
      </c>
      <c r="J279" s="43">
        <f>IF($I279="","",IF($I279&gt;=90,"ممتاز",IF($I279&gt;=80,"جيد جدًا",IF($I279&gt;=70,"جيد",IF($I279&gt;=60,"مقبول","يحتاج تحسين")))))</f>
        <v/>
      </c>
      <c r="K279" s="40" t="n"/>
    </row>
    <row r="280">
      <c r="A280" s="47" t="n"/>
      <c r="B280" s="50">
        <f>IFERROR(INDEX(الموظفون_الاسم,MATCH($A280,الموظفون_الرقم,0)),"")</f>
        <v/>
      </c>
      <c r="C280" s="47" t="n"/>
      <c r="D280" s="62" t="n"/>
      <c r="E280" s="62" t="n"/>
      <c r="F280" s="62" t="n"/>
      <c r="G280" s="62" t="n"/>
      <c r="H280" s="62" t="n"/>
      <c r="I280" s="113">
        <f>IF($A280="","",IF(COUNT($D280:$H280)=0,"",ROUND($D280*وزن_جودة_العمل+$E280*وزن_الالتزام+$F280*وزن_الإنتاجية+$G280*وزن_التعاون+$H280*وزن_الأهداف,1)))</f>
        <v/>
      </c>
      <c r="J280" s="50">
        <f>IF($I280="","",IF($I280&gt;=90,"ممتاز",IF($I280&gt;=80,"جيد جدًا",IF($I280&gt;=70,"جيد",IF($I280&gt;=60,"مقبول","يحتاج تحسين")))))</f>
        <v/>
      </c>
      <c r="K280" s="47" t="n"/>
    </row>
    <row r="281">
      <c r="A281" s="40" t="n"/>
      <c r="B281" s="43">
        <f>IFERROR(INDEX(الموظفون_الاسم,MATCH($A281,الموظفون_الرقم,0)),"")</f>
        <v/>
      </c>
      <c r="C281" s="40" t="n"/>
      <c r="D281" s="59" t="n"/>
      <c r="E281" s="59" t="n"/>
      <c r="F281" s="59" t="n"/>
      <c r="G281" s="59" t="n"/>
      <c r="H281" s="59" t="n"/>
      <c r="I281" s="111">
        <f>IF($A281="","",IF(COUNT($D281:$H281)=0,"",ROUND($D281*وزن_جودة_العمل+$E281*وزن_الالتزام+$F281*وزن_الإنتاجية+$G281*وزن_التعاون+$H281*وزن_الأهداف,1)))</f>
        <v/>
      </c>
      <c r="J281" s="43">
        <f>IF($I281="","",IF($I281&gt;=90,"ممتاز",IF($I281&gt;=80,"جيد جدًا",IF($I281&gt;=70,"جيد",IF($I281&gt;=60,"مقبول","يحتاج تحسين")))))</f>
        <v/>
      </c>
      <c r="K281" s="40" t="n"/>
    </row>
    <row r="282">
      <c r="A282" s="47" t="n"/>
      <c r="B282" s="50">
        <f>IFERROR(INDEX(الموظفون_الاسم,MATCH($A282,الموظفون_الرقم,0)),"")</f>
        <v/>
      </c>
      <c r="C282" s="47" t="n"/>
      <c r="D282" s="62" t="n"/>
      <c r="E282" s="62" t="n"/>
      <c r="F282" s="62" t="n"/>
      <c r="G282" s="62" t="n"/>
      <c r="H282" s="62" t="n"/>
      <c r="I282" s="113">
        <f>IF($A282="","",IF(COUNT($D282:$H282)=0,"",ROUND($D282*وزن_جودة_العمل+$E282*وزن_الالتزام+$F282*وزن_الإنتاجية+$G282*وزن_التعاون+$H282*وزن_الأهداف,1)))</f>
        <v/>
      </c>
      <c r="J282" s="50">
        <f>IF($I282="","",IF($I282&gt;=90,"ممتاز",IF($I282&gt;=80,"جيد جدًا",IF($I282&gt;=70,"جيد",IF($I282&gt;=60,"مقبول","يحتاج تحسين")))))</f>
        <v/>
      </c>
      <c r="K282" s="47" t="n"/>
    </row>
    <row r="283">
      <c r="A283" s="40" t="n"/>
      <c r="B283" s="43">
        <f>IFERROR(INDEX(الموظفون_الاسم,MATCH($A283,الموظفون_الرقم,0)),"")</f>
        <v/>
      </c>
      <c r="C283" s="40" t="n"/>
      <c r="D283" s="59" t="n"/>
      <c r="E283" s="59" t="n"/>
      <c r="F283" s="59" t="n"/>
      <c r="G283" s="59" t="n"/>
      <c r="H283" s="59" t="n"/>
      <c r="I283" s="111">
        <f>IF($A283="","",IF(COUNT($D283:$H283)=0,"",ROUND($D283*وزن_جودة_العمل+$E283*وزن_الالتزام+$F283*وزن_الإنتاجية+$G283*وزن_التعاون+$H283*وزن_الأهداف,1)))</f>
        <v/>
      </c>
      <c r="J283" s="43">
        <f>IF($I283="","",IF($I283&gt;=90,"ممتاز",IF($I283&gt;=80,"جيد جدًا",IF($I283&gt;=70,"جيد",IF($I283&gt;=60,"مقبول","يحتاج تحسين")))))</f>
        <v/>
      </c>
      <c r="K283" s="40" t="n"/>
    </row>
    <row r="284">
      <c r="A284" s="47" t="n"/>
      <c r="B284" s="50">
        <f>IFERROR(INDEX(الموظفون_الاسم,MATCH($A284,الموظفون_الرقم,0)),"")</f>
        <v/>
      </c>
      <c r="C284" s="47" t="n"/>
      <c r="D284" s="62" t="n"/>
      <c r="E284" s="62" t="n"/>
      <c r="F284" s="62" t="n"/>
      <c r="G284" s="62" t="n"/>
      <c r="H284" s="62" t="n"/>
      <c r="I284" s="113">
        <f>IF($A284="","",IF(COUNT($D284:$H284)=0,"",ROUND($D284*وزن_جودة_العمل+$E284*وزن_الالتزام+$F284*وزن_الإنتاجية+$G284*وزن_التعاون+$H284*وزن_الأهداف,1)))</f>
        <v/>
      </c>
      <c r="J284" s="50">
        <f>IF($I284="","",IF($I284&gt;=90,"ممتاز",IF($I284&gt;=80,"جيد جدًا",IF($I284&gt;=70,"جيد",IF($I284&gt;=60,"مقبول","يحتاج تحسين")))))</f>
        <v/>
      </c>
      <c r="K284" s="47" t="n"/>
    </row>
    <row r="285">
      <c r="A285" s="40" t="n"/>
      <c r="B285" s="43">
        <f>IFERROR(INDEX(الموظفون_الاسم,MATCH($A285,الموظفون_الرقم,0)),"")</f>
        <v/>
      </c>
      <c r="C285" s="40" t="n"/>
      <c r="D285" s="59" t="n"/>
      <c r="E285" s="59" t="n"/>
      <c r="F285" s="59" t="n"/>
      <c r="G285" s="59" t="n"/>
      <c r="H285" s="59" t="n"/>
      <c r="I285" s="111">
        <f>IF($A285="","",IF(COUNT($D285:$H285)=0,"",ROUND($D285*وزن_جودة_العمل+$E285*وزن_الالتزام+$F285*وزن_الإنتاجية+$G285*وزن_التعاون+$H285*وزن_الأهداف,1)))</f>
        <v/>
      </c>
      <c r="J285" s="43">
        <f>IF($I285="","",IF($I285&gt;=90,"ممتاز",IF($I285&gt;=80,"جيد جدًا",IF($I285&gt;=70,"جيد",IF($I285&gt;=60,"مقبول","يحتاج تحسين")))))</f>
        <v/>
      </c>
      <c r="K285" s="40" t="n"/>
    </row>
    <row r="286">
      <c r="A286" s="47" t="n"/>
      <c r="B286" s="50">
        <f>IFERROR(INDEX(الموظفون_الاسم,MATCH($A286,الموظفون_الرقم,0)),"")</f>
        <v/>
      </c>
      <c r="C286" s="47" t="n"/>
      <c r="D286" s="62" t="n"/>
      <c r="E286" s="62" t="n"/>
      <c r="F286" s="62" t="n"/>
      <c r="G286" s="62" t="n"/>
      <c r="H286" s="62" t="n"/>
      <c r="I286" s="113">
        <f>IF($A286="","",IF(COUNT($D286:$H286)=0,"",ROUND($D286*وزن_جودة_العمل+$E286*وزن_الالتزام+$F286*وزن_الإنتاجية+$G286*وزن_التعاون+$H286*وزن_الأهداف,1)))</f>
        <v/>
      </c>
      <c r="J286" s="50">
        <f>IF($I286="","",IF($I286&gt;=90,"ممتاز",IF($I286&gt;=80,"جيد جدًا",IF($I286&gt;=70,"جيد",IF($I286&gt;=60,"مقبول","يحتاج تحسين")))))</f>
        <v/>
      </c>
      <c r="K286" s="47" t="n"/>
    </row>
    <row r="287">
      <c r="A287" s="40" t="n"/>
      <c r="B287" s="43">
        <f>IFERROR(INDEX(الموظفون_الاسم,MATCH($A287,الموظفون_الرقم,0)),"")</f>
        <v/>
      </c>
      <c r="C287" s="40" t="n"/>
      <c r="D287" s="59" t="n"/>
      <c r="E287" s="59" t="n"/>
      <c r="F287" s="59" t="n"/>
      <c r="G287" s="59" t="n"/>
      <c r="H287" s="59" t="n"/>
      <c r="I287" s="111">
        <f>IF($A287="","",IF(COUNT($D287:$H287)=0,"",ROUND($D287*وزن_جودة_العمل+$E287*وزن_الالتزام+$F287*وزن_الإنتاجية+$G287*وزن_التعاون+$H287*وزن_الأهداف,1)))</f>
        <v/>
      </c>
      <c r="J287" s="43">
        <f>IF($I287="","",IF($I287&gt;=90,"ممتاز",IF($I287&gt;=80,"جيد جدًا",IF($I287&gt;=70,"جيد",IF($I287&gt;=60,"مقبول","يحتاج تحسين")))))</f>
        <v/>
      </c>
      <c r="K287" s="40" t="n"/>
    </row>
    <row r="288">
      <c r="A288" s="47" t="n"/>
      <c r="B288" s="50">
        <f>IFERROR(INDEX(الموظفون_الاسم,MATCH($A288,الموظفون_الرقم,0)),"")</f>
        <v/>
      </c>
      <c r="C288" s="47" t="n"/>
      <c r="D288" s="62" t="n"/>
      <c r="E288" s="62" t="n"/>
      <c r="F288" s="62" t="n"/>
      <c r="G288" s="62" t="n"/>
      <c r="H288" s="62" t="n"/>
      <c r="I288" s="113">
        <f>IF($A288="","",IF(COUNT($D288:$H288)=0,"",ROUND($D288*وزن_جودة_العمل+$E288*وزن_الالتزام+$F288*وزن_الإنتاجية+$G288*وزن_التعاون+$H288*وزن_الأهداف,1)))</f>
        <v/>
      </c>
      <c r="J288" s="50">
        <f>IF($I288="","",IF($I288&gt;=90,"ممتاز",IF($I288&gt;=80,"جيد جدًا",IF($I288&gt;=70,"جيد",IF($I288&gt;=60,"مقبول","يحتاج تحسين")))))</f>
        <v/>
      </c>
      <c r="K288" s="47" t="n"/>
    </row>
    <row r="289">
      <c r="A289" s="40" t="n"/>
      <c r="B289" s="43">
        <f>IFERROR(INDEX(الموظفون_الاسم,MATCH($A289,الموظفون_الرقم,0)),"")</f>
        <v/>
      </c>
      <c r="C289" s="40" t="n"/>
      <c r="D289" s="59" t="n"/>
      <c r="E289" s="59" t="n"/>
      <c r="F289" s="59" t="n"/>
      <c r="G289" s="59" t="n"/>
      <c r="H289" s="59" t="n"/>
      <c r="I289" s="111">
        <f>IF($A289="","",IF(COUNT($D289:$H289)=0,"",ROUND($D289*وزن_جودة_العمل+$E289*وزن_الالتزام+$F289*وزن_الإنتاجية+$G289*وزن_التعاون+$H289*وزن_الأهداف,1)))</f>
        <v/>
      </c>
      <c r="J289" s="43">
        <f>IF($I289="","",IF($I289&gt;=90,"ممتاز",IF($I289&gt;=80,"جيد جدًا",IF($I289&gt;=70,"جيد",IF($I289&gt;=60,"مقبول","يحتاج تحسين")))))</f>
        <v/>
      </c>
      <c r="K289" s="40" t="n"/>
    </row>
    <row r="290">
      <c r="A290" s="47" t="n"/>
      <c r="B290" s="50">
        <f>IFERROR(INDEX(الموظفون_الاسم,MATCH($A290,الموظفون_الرقم,0)),"")</f>
        <v/>
      </c>
      <c r="C290" s="47" t="n"/>
      <c r="D290" s="62" t="n"/>
      <c r="E290" s="62" t="n"/>
      <c r="F290" s="62" t="n"/>
      <c r="G290" s="62" t="n"/>
      <c r="H290" s="62" t="n"/>
      <c r="I290" s="113">
        <f>IF($A290="","",IF(COUNT($D290:$H290)=0,"",ROUND($D290*وزن_جودة_العمل+$E290*وزن_الالتزام+$F290*وزن_الإنتاجية+$G290*وزن_التعاون+$H290*وزن_الأهداف,1)))</f>
        <v/>
      </c>
      <c r="J290" s="50">
        <f>IF($I290="","",IF($I290&gt;=90,"ممتاز",IF($I290&gt;=80,"جيد جدًا",IF($I290&gt;=70,"جيد",IF($I290&gt;=60,"مقبول","يحتاج تحسين")))))</f>
        <v/>
      </c>
      <c r="K290" s="47" t="n"/>
    </row>
    <row r="291">
      <c r="A291" s="40" t="n"/>
      <c r="B291" s="43">
        <f>IFERROR(INDEX(الموظفون_الاسم,MATCH($A291,الموظفون_الرقم,0)),"")</f>
        <v/>
      </c>
      <c r="C291" s="40" t="n"/>
      <c r="D291" s="59" t="n"/>
      <c r="E291" s="59" t="n"/>
      <c r="F291" s="59" t="n"/>
      <c r="G291" s="59" t="n"/>
      <c r="H291" s="59" t="n"/>
      <c r="I291" s="111">
        <f>IF($A291="","",IF(COUNT($D291:$H291)=0,"",ROUND($D291*وزن_جودة_العمل+$E291*وزن_الالتزام+$F291*وزن_الإنتاجية+$G291*وزن_التعاون+$H291*وزن_الأهداف,1)))</f>
        <v/>
      </c>
      <c r="J291" s="43">
        <f>IF($I291="","",IF($I291&gt;=90,"ممتاز",IF($I291&gt;=80,"جيد جدًا",IF($I291&gt;=70,"جيد",IF($I291&gt;=60,"مقبول","يحتاج تحسين")))))</f>
        <v/>
      </c>
      <c r="K291" s="40" t="n"/>
    </row>
    <row r="292">
      <c r="A292" s="47" t="n"/>
      <c r="B292" s="50">
        <f>IFERROR(INDEX(الموظفون_الاسم,MATCH($A292,الموظفون_الرقم,0)),"")</f>
        <v/>
      </c>
      <c r="C292" s="47" t="n"/>
      <c r="D292" s="62" t="n"/>
      <c r="E292" s="62" t="n"/>
      <c r="F292" s="62" t="n"/>
      <c r="G292" s="62" t="n"/>
      <c r="H292" s="62" t="n"/>
      <c r="I292" s="113">
        <f>IF($A292="","",IF(COUNT($D292:$H292)=0,"",ROUND($D292*وزن_جودة_العمل+$E292*وزن_الالتزام+$F292*وزن_الإنتاجية+$G292*وزن_التعاون+$H292*وزن_الأهداف,1)))</f>
        <v/>
      </c>
      <c r="J292" s="50">
        <f>IF($I292="","",IF($I292&gt;=90,"ممتاز",IF($I292&gt;=80,"جيد جدًا",IF($I292&gt;=70,"جيد",IF($I292&gt;=60,"مقبول","يحتاج تحسين")))))</f>
        <v/>
      </c>
      <c r="K292" s="47" t="n"/>
    </row>
    <row r="293">
      <c r="A293" s="40" t="n"/>
      <c r="B293" s="43">
        <f>IFERROR(INDEX(الموظفون_الاسم,MATCH($A293,الموظفون_الرقم,0)),"")</f>
        <v/>
      </c>
      <c r="C293" s="40" t="n"/>
      <c r="D293" s="59" t="n"/>
      <c r="E293" s="59" t="n"/>
      <c r="F293" s="59" t="n"/>
      <c r="G293" s="59" t="n"/>
      <c r="H293" s="59" t="n"/>
      <c r="I293" s="111">
        <f>IF($A293="","",IF(COUNT($D293:$H293)=0,"",ROUND($D293*وزن_جودة_العمل+$E293*وزن_الالتزام+$F293*وزن_الإنتاجية+$G293*وزن_التعاون+$H293*وزن_الأهداف,1)))</f>
        <v/>
      </c>
      <c r="J293" s="43">
        <f>IF($I293="","",IF($I293&gt;=90,"ممتاز",IF($I293&gt;=80,"جيد جدًا",IF($I293&gt;=70,"جيد",IF($I293&gt;=60,"مقبول","يحتاج تحسين")))))</f>
        <v/>
      </c>
      <c r="K293" s="40" t="n"/>
    </row>
    <row r="294">
      <c r="A294" s="47" t="n"/>
      <c r="B294" s="50">
        <f>IFERROR(INDEX(الموظفون_الاسم,MATCH($A294,الموظفون_الرقم,0)),"")</f>
        <v/>
      </c>
      <c r="C294" s="47" t="n"/>
      <c r="D294" s="62" t="n"/>
      <c r="E294" s="62" t="n"/>
      <c r="F294" s="62" t="n"/>
      <c r="G294" s="62" t="n"/>
      <c r="H294" s="62" t="n"/>
      <c r="I294" s="113">
        <f>IF($A294="","",IF(COUNT($D294:$H294)=0,"",ROUND($D294*وزن_جودة_العمل+$E294*وزن_الالتزام+$F294*وزن_الإنتاجية+$G294*وزن_التعاون+$H294*وزن_الأهداف,1)))</f>
        <v/>
      </c>
      <c r="J294" s="50">
        <f>IF($I294="","",IF($I294&gt;=90,"ممتاز",IF($I294&gt;=80,"جيد جدًا",IF($I294&gt;=70,"جيد",IF($I294&gt;=60,"مقبول","يحتاج تحسين")))))</f>
        <v/>
      </c>
      <c r="K294" s="47" t="n"/>
    </row>
    <row r="295">
      <c r="A295" s="40" t="n"/>
      <c r="B295" s="43">
        <f>IFERROR(INDEX(الموظفون_الاسم,MATCH($A295,الموظفون_الرقم,0)),"")</f>
        <v/>
      </c>
      <c r="C295" s="40" t="n"/>
      <c r="D295" s="59" t="n"/>
      <c r="E295" s="59" t="n"/>
      <c r="F295" s="59" t="n"/>
      <c r="G295" s="59" t="n"/>
      <c r="H295" s="59" t="n"/>
      <c r="I295" s="111">
        <f>IF($A295="","",IF(COUNT($D295:$H295)=0,"",ROUND($D295*وزن_جودة_العمل+$E295*وزن_الالتزام+$F295*وزن_الإنتاجية+$G295*وزن_التعاون+$H295*وزن_الأهداف,1)))</f>
        <v/>
      </c>
      <c r="J295" s="43">
        <f>IF($I295="","",IF($I295&gt;=90,"ممتاز",IF($I295&gt;=80,"جيد جدًا",IF($I295&gt;=70,"جيد",IF($I295&gt;=60,"مقبول","يحتاج تحسين")))))</f>
        <v/>
      </c>
      <c r="K295" s="40" t="n"/>
    </row>
    <row r="296">
      <c r="A296" s="47" t="n"/>
      <c r="B296" s="50">
        <f>IFERROR(INDEX(الموظفون_الاسم,MATCH($A296,الموظفون_الرقم,0)),"")</f>
        <v/>
      </c>
      <c r="C296" s="47" t="n"/>
      <c r="D296" s="62" t="n"/>
      <c r="E296" s="62" t="n"/>
      <c r="F296" s="62" t="n"/>
      <c r="G296" s="62" t="n"/>
      <c r="H296" s="62" t="n"/>
      <c r="I296" s="113">
        <f>IF($A296="","",IF(COUNT($D296:$H296)=0,"",ROUND($D296*وزن_جودة_العمل+$E296*وزن_الالتزام+$F296*وزن_الإنتاجية+$G296*وزن_التعاون+$H296*وزن_الأهداف,1)))</f>
        <v/>
      </c>
      <c r="J296" s="50">
        <f>IF($I296="","",IF($I296&gt;=90,"ممتاز",IF($I296&gt;=80,"جيد جدًا",IF($I296&gt;=70,"جيد",IF($I296&gt;=60,"مقبول","يحتاج تحسين")))))</f>
        <v/>
      </c>
      <c r="K296" s="47" t="n"/>
    </row>
    <row r="297">
      <c r="A297" s="40" t="n"/>
      <c r="B297" s="43">
        <f>IFERROR(INDEX(الموظفون_الاسم,MATCH($A297,الموظفون_الرقم,0)),"")</f>
        <v/>
      </c>
      <c r="C297" s="40" t="n"/>
      <c r="D297" s="59" t="n"/>
      <c r="E297" s="59" t="n"/>
      <c r="F297" s="59" t="n"/>
      <c r="G297" s="59" t="n"/>
      <c r="H297" s="59" t="n"/>
      <c r="I297" s="111">
        <f>IF($A297="","",IF(COUNT($D297:$H297)=0,"",ROUND($D297*وزن_جودة_العمل+$E297*وزن_الالتزام+$F297*وزن_الإنتاجية+$G297*وزن_التعاون+$H297*وزن_الأهداف,1)))</f>
        <v/>
      </c>
      <c r="J297" s="43">
        <f>IF($I297="","",IF($I297&gt;=90,"ممتاز",IF($I297&gt;=80,"جيد جدًا",IF($I297&gt;=70,"جيد",IF($I297&gt;=60,"مقبول","يحتاج تحسين")))))</f>
        <v/>
      </c>
      <c r="K297" s="40" t="n"/>
    </row>
    <row r="298">
      <c r="A298" s="47" t="n"/>
      <c r="B298" s="50">
        <f>IFERROR(INDEX(الموظفون_الاسم,MATCH($A298,الموظفون_الرقم,0)),"")</f>
        <v/>
      </c>
      <c r="C298" s="47" t="n"/>
      <c r="D298" s="62" t="n"/>
      <c r="E298" s="62" t="n"/>
      <c r="F298" s="62" t="n"/>
      <c r="G298" s="62" t="n"/>
      <c r="H298" s="62" t="n"/>
      <c r="I298" s="113">
        <f>IF($A298="","",IF(COUNT($D298:$H298)=0,"",ROUND($D298*وزن_جودة_العمل+$E298*وزن_الالتزام+$F298*وزن_الإنتاجية+$G298*وزن_التعاون+$H298*وزن_الأهداف,1)))</f>
        <v/>
      </c>
      <c r="J298" s="50">
        <f>IF($I298="","",IF($I298&gt;=90,"ممتاز",IF($I298&gt;=80,"جيد جدًا",IF($I298&gt;=70,"جيد",IF($I298&gt;=60,"مقبول","يحتاج تحسين")))))</f>
        <v/>
      </c>
      <c r="K298" s="47" t="n"/>
    </row>
    <row r="299">
      <c r="A299" s="40" t="n"/>
      <c r="B299" s="43">
        <f>IFERROR(INDEX(الموظفون_الاسم,MATCH($A299,الموظفون_الرقم,0)),"")</f>
        <v/>
      </c>
      <c r="C299" s="40" t="n"/>
      <c r="D299" s="59" t="n"/>
      <c r="E299" s="59" t="n"/>
      <c r="F299" s="59" t="n"/>
      <c r="G299" s="59" t="n"/>
      <c r="H299" s="59" t="n"/>
      <c r="I299" s="111">
        <f>IF($A299="","",IF(COUNT($D299:$H299)=0,"",ROUND($D299*وزن_جودة_العمل+$E299*وزن_الالتزام+$F299*وزن_الإنتاجية+$G299*وزن_التعاون+$H299*وزن_الأهداف,1)))</f>
        <v/>
      </c>
      <c r="J299" s="43">
        <f>IF($I299="","",IF($I299&gt;=90,"ممتاز",IF($I299&gt;=80,"جيد جدًا",IF($I299&gt;=70,"جيد",IF($I299&gt;=60,"مقبول","يحتاج تحسين")))))</f>
        <v/>
      </c>
      <c r="K299" s="40" t="n"/>
    </row>
    <row r="300">
      <c r="A300" s="47" t="n"/>
      <c r="B300" s="50">
        <f>IFERROR(INDEX(الموظفون_الاسم,MATCH($A300,الموظفون_الرقم,0)),"")</f>
        <v/>
      </c>
      <c r="C300" s="47" t="n"/>
      <c r="D300" s="62" t="n"/>
      <c r="E300" s="62" t="n"/>
      <c r="F300" s="62" t="n"/>
      <c r="G300" s="62" t="n"/>
      <c r="H300" s="62" t="n"/>
      <c r="I300" s="113">
        <f>IF($A300="","",IF(COUNT($D300:$H300)=0,"",ROUND($D300*وزن_جودة_العمل+$E300*وزن_الالتزام+$F300*وزن_الإنتاجية+$G300*وزن_التعاون+$H300*وزن_الأهداف,1)))</f>
        <v/>
      </c>
      <c r="J300" s="50">
        <f>IF($I300="","",IF($I300&gt;=90,"ممتاز",IF($I300&gt;=80,"جيد جدًا",IF($I300&gt;=70,"جيد",IF($I300&gt;=60,"مقبول","يحتاج تحسين")))))</f>
        <v/>
      </c>
      <c r="K300" s="47" t="n"/>
    </row>
    <row r="301">
      <c r="A301" s="40" t="n"/>
      <c r="B301" s="43">
        <f>IFERROR(INDEX(الموظفون_الاسم,MATCH($A301,الموظفون_الرقم,0)),"")</f>
        <v/>
      </c>
      <c r="C301" s="40" t="n"/>
      <c r="D301" s="59" t="n"/>
      <c r="E301" s="59" t="n"/>
      <c r="F301" s="59" t="n"/>
      <c r="G301" s="59" t="n"/>
      <c r="H301" s="59" t="n"/>
      <c r="I301" s="111">
        <f>IF($A301="","",IF(COUNT($D301:$H301)=0,"",ROUND($D301*وزن_جودة_العمل+$E301*وزن_الالتزام+$F301*وزن_الإنتاجية+$G301*وزن_التعاون+$H301*وزن_الأهداف,1)))</f>
        <v/>
      </c>
      <c r="J301" s="43">
        <f>IF($I301="","",IF($I301&gt;=90,"ممتاز",IF($I301&gt;=80,"جيد جدًا",IF($I301&gt;=70,"جيد",IF($I301&gt;=60,"مقبول","يحتاج تحسين")))))</f>
        <v/>
      </c>
      <c r="K301" s="40" t="n"/>
    </row>
    <row r="302">
      <c r="A302" s="47" t="n"/>
      <c r="B302" s="50">
        <f>IFERROR(INDEX(الموظفون_الاسم,MATCH($A302,الموظفون_الرقم,0)),"")</f>
        <v/>
      </c>
      <c r="C302" s="47" t="n"/>
      <c r="D302" s="62" t="n"/>
      <c r="E302" s="62" t="n"/>
      <c r="F302" s="62" t="n"/>
      <c r="G302" s="62" t="n"/>
      <c r="H302" s="62" t="n"/>
      <c r="I302" s="113">
        <f>IF($A302="","",IF(COUNT($D302:$H302)=0,"",ROUND($D302*وزن_جودة_العمل+$E302*وزن_الالتزام+$F302*وزن_الإنتاجية+$G302*وزن_التعاون+$H302*وزن_الأهداف,1)))</f>
        <v/>
      </c>
      <c r="J302" s="50">
        <f>IF($I302="","",IF($I302&gt;=90,"ممتاز",IF($I302&gt;=80,"جيد جدًا",IF($I302&gt;=70,"جيد",IF($I302&gt;=60,"مقبول","يحتاج تحسين")))))</f>
        <v/>
      </c>
      <c r="K302" s="47" t="n"/>
    </row>
    <row r="303">
      <c r="A303" s="40" t="n"/>
      <c r="B303" s="43">
        <f>IFERROR(INDEX(الموظفون_الاسم,MATCH($A303,الموظفون_الرقم,0)),"")</f>
        <v/>
      </c>
      <c r="C303" s="40" t="n"/>
      <c r="D303" s="59" t="n"/>
      <c r="E303" s="59" t="n"/>
      <c r="F303" s="59" t="n"/>
      <c r="G303" s="59" t="n"/>
      <c r="H303" s="59" t="n"/>
      <c r="I303" s="111">
        <f>IF($A303="","",IF(COUNT($D303:$H303)=0,"",ROUND($D303*وزن_جودة_العمل+$E303*وزن_الالتزام+$F303*وزن_الإنتاجية+$G303*وزن_التعاون+$H303*وزن_الأهداف,1)))</f>
        <v/>
      </c>
      <c r="J303" s="43">
        <f>IF($I303="","",IF($I303&gt;=90,"ممتاز",IF($I303&gt;=80,"جيد جدًا",IF($I303&gt;=70,"جيد",IF($I303&gt;=60,"مقبول","يحتاج تحسين")))))</f>
        <v/>
      </c>
      <c r="K303" s="40" t="n"/>
    </row>
    <row r="304">
      <c r="A304" s="47" t="n"/>
      <c r="B304" s="50">
        <f>IFERROR(INDEX(الموظفون_الاسم,MATCH($A304,الموظفون_الرقم,0)),"")</f>
        <v/>
      </c>
      <c r="C304" s="47" t="n"/>
      <c r="D304" s="62" t="n"/>
      <c r="E304" s="62" t="n"/>
      <c r="F304" s="62" t="n"/>
      <c r="G304" s="62" t="n"/>
      <c r="H304" s="62" t="n"/>
      <c r="I304" s="113">
        <f>IF($A304="","",IF(COUNT($D304:$H304)=0,"",ROUND($D304*وزن_جودة_العمل+$E304*وزن_الالتزام+$F304*وزن_الإنتاجية+$G304*وزن_التعاون+$H304*وزن_الأهداف,1)))</f>
        <v/>
      </c>
      <c r="J304" s="50">
        <f>IF($I304="","",IF($I304&gt;=90,"ممتاز",IF($I304&gt;=80,"جيد جدًا",IF($I304&gt;=70,"جيد",IF($I304&gt;=60,"مقبول","يحتاج تحسين")))))</f>
        <v/>
      </c>
      <c r="K304" s="47" t="n"/>
    </row>
    <row r="305">
      <c r="A305" s="40" t="n"/>
      <c r="B305" s="43">
        <f>IFERROR(INDEX(الموظفون_الاسم,MATCH($A305,الموظفون_الرقم,0)),"")</f>
        <v/>
      </c>
      <c r="C305" s="40" t="n"/>
      <c r="D305" s="59" t="n"/>
      <c r="E305" s="59" t="n"/>
      <c r="F305" s="59" t="n"/>
      <c r="G305" s="59" t="n"/>
      <c r="H305" s="59" t="n"/>
      <c r="I305" s="111">
        <f>IF($A305="","",IF(COUNT($D305:$H305)=0,"",ROUND($D305*وزن_جودة_العمل+$E305*وزن_الالتزام+$F305*وزن_الإنتاجية+$G305*وزن_التعاون+$H305*وزن_الأهداف,1)))</f>
        <v/>
      </c>
      <c r="J305" s="43">
        <f>IF($I305="","",IF($I305&gt;=90,"ممتاز",IF($I305&gt;=80,"جيد جدًا",IF($I305&gt;=70,"جيد",IF($I305&gt;=60,"مقبول","يحتاج تحسين")))))</f>
        <v/>
      </c>
      <c r="K305" s="40" t="n"/>
    </row>
    <row r="306">
      <c r="A306" s="47" t="n"/>
      <c r="B306" s="50">
        <f>IFERROR(INDEX(الموظفون_الاسم,MATCH($A306,الموظفون_الرقم,0)),"")</f>
        <v/>
      </c>
      <c r="C306" s="47" t="n"/>
      <c r="D306" s="62" t="n"/>
      <c r="E306" s="62" t="n"/>
      <c r="F306" s="62" t="n"/>
      <c r="G306" s="62" t="n"/>
      <c r="H306" s="62" t="n"/>
      <c r="I306" s="113">
        <f>IF($A306="","",IF(COUNT($D306:$H306)=0,"",ROUND($D306*وزن_جودة_العمل+$E306*وزن_الالتزام+$F306*وزن_الإنتاجية+$G306*وزن_التعاون+$H306*وزن_الأهداف,1)))</f>
        <v/>
      </c>
      <c r="J306" s="50">
        <f>IF($I306="","",IF($I306&gt;=90,"ممتاز",IF($I306&gt;=80,"جيد جدًا",IF($I306&gt;=70,"جيد",IF($I306&gt;=60,"مقبول","يحتاج تحسين")))))</f>
        <v/>
      </c>
      <c r="K306" s="47" t="n"/>
    </row>
    <row r="307">
      <c r="A307" s="40" t="n"/>
      <c r="B307" s="43">
        <f>IFERROR(INDEX(الموظفون_الاسم,MATCH($A307,الموظفون_الرقم,0)),"")</f>
        <v/>
      </c>
      <c r="C307" s="40" t="n"/>
      <c r="D307" s="59" t="n"/>
      <c r="E307" s="59" t="n"/>
      <c r="F307" s="59" t="n"/>
      <c r="G307" s="59" t="n"/>
      <c r="H307" s="59" t="n"/>
      <c r="I307" s="111">
        <f>IF($A307="","",IF(COUNT($D307:$H307)=0,"",ROUND($D307*وزن_جودة_العمل+$E307*وزن_الالتزام+$F307*وزن_الإنتاجية+$G307*وزن_التعاون+$H307*وزن_الأهداف,1)))</f>
        <v/>
      </c>
      <c r="J307" s="43">
        <f>IF($I307="","",IF($I307&gt;=90,"ممتاز",IF($I307&gt;=80,"جيد جدًا",IF($I307&gt;=70,"جيد",IF($I307&gt;=60,"مقبول","يحتاج تحسين")))))</f>
        <v/>
      </c>
      <c r="K307" s="40" t="n"/>
    </row>
    <row r="308">
      <c r="A308" s="47" t="n"/>
      <c r="B308" s="50">
        <f>IFERROR(INDEX(الموظفون_الاسم,MATCH($A308,الموظفون_الرقم,0)),"")</f>
        <v/>
      </c>
      <c r="C308" s="47" t="n"/>
      <c r="D308" s="62" t="n"/>
      <c r="E308" s="62" t="n"/>
      <c r="F308" s="62" t="n"/>
      <c r="G308" s="62" t="n"/>
      <c r="H308" s="62" t="n"/>
      <c r="I308" s="113">
        <f>IF($A308="","",IF(COUNT($D308:$H308)=0,"",ROUND($D308*وزن_جودة_العمل+$E308*وزن_الالتزام+$F308*وزن_الإنتاجية+$G308*وزن_التعاون+$H308*وزن_الأهداف,1)))</f>
        <v/>
      </c>
      <c r="J308" s="50">
        <f>IF($I308="","",IF($I308&gt;=90,"ممتاز",IF($I308&gt;=80,"جيد جدًا",IF($I308&gt;=70,"جيد",IF($I308&gt;=60,"مقبول","يحتاج تحسين")))))</f>
        <v/>
      </c>
      <c r="K308" s="47" t="n"/>
    </row>
    <row r="309">
      <c r="A309" s="40" t="n"/>
      <c r="B309" s="43">
        <f>IFERROR(INDEX(الموظفون_الاسم,MATCH($A309,الموظفون_الرقم,0)),"")</f>
        <v/>
      </c>
      <c r="C309" s="40" t="n"/>
      <c r="D309" s="59" t="n"/>
      <c r="E309" s="59" t="n"/>
      <c r="F309" s="59" t="n"/>
      <c r="G309" s="59" t="n"/>
      <c r="H309" s="59" t="n"/>
      <c r="I309" s="111">
        <f>IF($A309="","",IF(COUNT($D309:$H309)=0,"",ROUND($D309*وزن_جودة_العمل+$E309*وزن_الالتزام+$F309*وزن_الإنتاجية+$G309*وزن_التعاون+$H309*وزن_الأهداف,1)))</f>
        <v/>
      </c>
      <c r="J309" s="43">
        <f>IF($I309="","",IF($I309&gt;=90,"ممتاز",IF($I309&gt;=80,"جيد جدًا",IF($I309&gt;=70,"جيد",IF($I309&gt;=60,"مقبول","يحتاج تحسين")))))</f>
        <v/>
      </c>
      <c r="K309" s="40" t="n"/>
    </row>
    <row r="310">
      <c r="A310" s="47" t="n"/>
      <c r="B310" s="50">
        <f>IFERROR(INDEX(الموظفون_الاسم,MATCH($A310,الموظفون_الرقم,0)),"")</f>
        <v/>
      </c>
      <c r="C310" s="47" t="n"/>
      <c r="D310" s="62" t="n"/>
      <c r="E310" s="62" t="n"/>
      <c r="F310" s="62" t="n"/>
      <c r="G310" s="62" t="n"/>
      <c r="H310" s="62" t="n"/>
      <c r="I310" s="113">
        <f>IF($A310="","",IF(COUNT($D310:$H310)=0,"",ROUND($D310*وزن_جودة_العمل+$E310*وزن_الالتزام+$F310*وزن_الإنتاجية+$G310*وزن_التعاون+$H310*وزن_الأهداف,1)))</f>
        <v/>
      </c>
      <c r="J310" s="50">
        <f>IF($I310="","",IF($I310&gt;=90,"ممتاز",IF($I310&gt;=80,"جيد جدًا",IF($I310&gt;=70,"جيد",IF($I310&gt;=60,"مقبول","يحتاج تحسين")))))</f>
        <v/>
      </c>
      <c r="K310" s="47" t="n"/>
    </row>
    <row r="311">
      <c r="A311" s="40" t="n"/>
      <c r="B311" s="43">
        <f>IFERROR(INDEX(الموظفون_الاسم,MATCH($A311,الموظفون_الرقم,0)),"")</f>
        <v/>
      </c>
      <c r="C311" s="40" t="n"/>
      <c r="D311" s="59" t="n"/>
      <c r="E311" s="59" t="n"/>
      <c r="F311" s="59" t="n"/>
      <c r="G311" s="59" t="n"/>
      <c r="H311" s="59" t="n"/>
      <c r="I311" s="111">
        <f>IF($A311="","",IF(COUNT($D311:$H311)=0,"",ROUND($D311*وزن_جودة_العمل+$E311*وزن_الالتزام+$F311*وزن_الإنتاجية+$G311*وزن_التعاون+$H311*وزن_الأهداف,1)))</f>
        <v/>
      </c>
      <c r="J311" s="43">
        <f>IF($I311="","",IF($I311&gt;=90,"ممتاز",IF($I311&gt;=80,"جيد جدًا",IF($I311&gt;=70,"جيد",IF($I311&gt;=60,"مقبول","يحتاج تحسين")))))</f>
        <v/>
      </c>
      <c r="K311" s="40" t="n"/>
    </row>
    <row r="312">
      <c r="A312" s="47" t="n"/>
      <c r="B312" s="50">
        <f>IFERROR(INDEX(الموظفون_الاسم,MATCH($A312,الموظفون_الرقم,0)),"")</f>
        <v/>
      </c>
      <c r="C312" s="47" t="n"/>
      <c r="D312" s="62" t="n"/>
      <c r="E312" s="62" t="n"/>
      <c r="F312" s="62" t="n"/>
      <c r="G312" s="62" t="n"/>
      <c r="H312" s="62" t="n"/>
      <c r="I312" s="113">
        <f>IF($A312="","",IF(COUNT($D312:$H312)=0,"",ROUND($D312*وزن_جودة_العمل+$E312*وزن_الالتزام+$F312*وزن_الإنتاجية+$G312*وزن_التعاون+$H312*وزن_الأهداف,1)))</f>
        <v/>
      </c>
      <c r="J312" s="50">
        <f>IF($I312="","",IF($I312&gt;=90,"ممتاز",IF($I312&gt;=80,"جيد جدًا",IF($I312&gt;=70,"جيد",IF($I312&gt;=60,"مقبول","يحتاج تحسين")))))</f>
        <v/>
      </c>
      <c r="K312" s="47" t="n"/>
    </row>
    <row r="313">
      <c r="A313" s="40" t="n"/>
      <c r="B313" s="43">
        <f>IFERROR(INDEX(الموظفون_الاسم,MATCH($A313,الموظفون_الرقم,0)),"")</f>
        <v/>
      </c>
      <c r="C313" s="40" t="n"/>
      <c r="D313" s="59" t="n"/>
      <c r="E313" s="59" t="n"/>
      <c r="F313" s="59" t="n"/>
      <c r="G313" s="59" t="n"/>
      <c r="H313" s="59" t="n"/>
      <c r="I313" s="111">
        <f>IF($A313="","",IF(COUNT($D313:$H313)=0,"",ROUND($D313*وزن_جودة_العمل+$E313*وزن_الالتزام+$F313*وزن_الإنتاجية+$G313*وزن_التعاون+$H313*وزن_الأهداف,1)))</f>
        <v/>
      </c>
      <c r="J313" s="43">
        <f>IF($I313="","",IF($I313&gt;=90,"ممتاز",IF($I313&gt;=80,"جيد جدًا",IF($I313&gt;=70,"جيد",IF($I313&gt;=60,"مقبول","يحتاج تحسين")))))</f>
        <v/>
      </c>
      <c r="K313" s="40" t="n"/>
    </row>
    <row r="314">
      <c r="A314" s="47" t="n"/>
      <c r="B314" s="50">
        <f>IFERROR(INDEX(الموظفون_الاسم,MATCH($A314,الموظفون_الرقم,0)),"")</f>
        <v/>
      </c>
      <c r="C314" s="47" t="n"/>
      <c r="D314" s="62" t="n"/>
      <c r="E314" s="62" t="n"/>
      <c r="F314" s="62" t="n"/>
      <c r="G314" s="62" t="n"/>
      <c r="H314" s="62" t="n"/>
      <c r="I314" s="113">
        <f>IF($A314="","",IF(COUNT($D314:$H314)=0,"",ROUND($D314*وزن_جودة_العمل+$E314*وزن_الالتزام+$F314*وزن_الإنتاجية+$G314*وزن_التعاون+$H314*وزن_الأهداف,1)))</f>
        <v/>
      </c>
      <c r="J314" s="50">
        <f>IF($I314="","",IF($I314&gt;=90,"ممتاز",IF($I314&gt;=80,"جيد جدًا",IF($I314&gt;=70,"جيد",IF($I314&gt;=60,"مقبول","يحتاج تحسين")))))</f>
        <v/>
      </c>
      <c r="K314" s="47" t="n"/>
    </row>
    <row r="315">
      <c r="A315" s="40" t="n"/>
      <c r="B315" s="43">
        <f>IFERROR(INDEX(الموظفون_الاسم,MATCH($A315,الموظفون_الرقم,0)),"")</f>
        <v/>
      </c>
      <c r="C315" s="40" t="n"/>
      <c r="D315" s="59" t="n"/>
      <c r="E315" s="59" t="n"/>
      <c r="F315" s="59" t="n"/>
      <c r="G315" s="59" t="n"/>
      <c r="H315" s="59" t="n"/>
      <c r="I315" s="111">
        <f>IF($A315="","",IF(COUNT($D315:$H315)=0,"",ROUND($D315*وزن_جودة_العمل+$E315*وزن_الالتزام+$F315*وزن_الإنتاجية+$G315*وزن_التعاون+$H315*وزن_الأهداف,1)))</f>
        <v/>
      </c>
      <c r="J315" s="43">
        <f>IF($I315="","",IF($I315&gt;=90,"ممتاز",IF($I315&gt;=80,"جيد جدًا",IF($I315&gt;=70,"جيد",IF($I315&gt;=60,"مقبول","يحتاج تحسين")))))</f>
        <v/>
      </c>
      <c r="K315" s="40" t="n"/>
    </row>
    <row r="316">
      <c r="A316" s="47" t="n"/>
      <c r="B316" s="50">
        <f>IFERROR(INDEX(الموظفون_الاسم,MATCH($A316,الموظفون_الرقم,0)),"")</f>
        <v/>
      </c>
      <c r="C316" s="47" t="n"/>
      <c r="D316" s="62" t="n"/>
      <c r="E316" s="62" t="n"/>
      <c r="F316" s="62" t="n"/>
      <c r="G316" s="62" t="n"/>
      <c r="H316" s="62" t="n"/>
      <c r="I316" s="113">
        <f>IF($A316="","",IF(COUNT($D316:$H316)=0,"",ROUND($D316*وزن_جودة_العمل+$E316*وزن_الالتزام+$F316*وزن_الإنتاجية+$G316*وزن_التعاون+$H316*وزن_الأهداف,1)))</f>
        <v/>
      </c>
      <c r="J316" s="50">
        <f>IF($I316="","",IF($I316&gt;=90,"ممتاز",IF($I316&gt;=80,"جيد جدًا",IF($I316&gt;=70,"جيد",IF($I316&gt;=60,"مقبول","يحتاج تحسين")))))</f>
        <v/>
      </c>
      <c r="K316" s="47" t="n"/>
    </row>
    <row r="317">
      <c r="A317" s="40" t="n"/>
      <c r="B317" s="43">
        <f>IFERROR(INDEX(الموظفون_الاسم,MATCH($A317,الموظفون_الرقم,0)),"")</f>
        <v/>
      </c>
      <c r="C317" s="40" t="n"/>
      <c r="D317" s="59" t="n"/>
      <c r="E317" s="59" t="n"/>
      <c r="F317" s="59" t="n"/>
      <c r="G317" s="59" t="n"/>
      <c r="H317" s="59" t="n"/>
      <c r="I317" s="111">
        <f>IF($A317="","",IF(COUNT($D317:$H317)=0,"",ROUND($D317*وزن_جودة_العمل+$E317*وزن_الالتزام+$F317*وزن_الإنتاجية+$G317*وزن_التعاون+$H317*وزن_الأهداف,1)))</f>
        <v/>
      </c>
      <c r="J317" s="43">
        <f>IF($I317="","",IF($I317&gt;=90,"ممتاز",IF($I317&gt;=80,"جيد جدًا",IF($I317&gt;=70,"جيد",IF($I317&gt;=60,"مقبول","يحتاج تحسين")))))</f>
        <v/>
      </c>
      <c r="K317" s="40" t="n"/>
    </row>
    <row r="318">
      <c r="A318" s="47" t="n"/>
      <c r="B318" s="50">
        <f>IFERROR(INDEX(الموظفون_الاسم,MATCH($A318,الموظفون_الرقم,0)),"")</f>
        <v/>
      </c>
      <c r="C318" s="47" t="n"/>
      <c r="D318" s="62" t="n"/>
      <c r="E318" s="62" t="n"/>
      <c r="F318" s="62" t="n"/>
      <c r="G318" s="62" t="n"/>
      <c r="H318" s="62" t="n"/>
      <c r="I318" s="113">
        <f>IF($A318="","",IF(COUNT($D318:$H318)=0,"",ROUND($D318*وزن_جودة_العمل+$E318*وزن_الالتزام+$F318*وزن_الإنتاجية+$G318*وزن_التعاون+$H318*وزن_الأهداف,1)))</f>
        <v/>
      </c>
      <c r="J318" s="50">
        <f>IF($I318="","",IF($I318&gt;=90,"ممتاز",IF($I318&gt;=80,"جيد جدًا",IF($I318&gt;=70,"جيد",IF($I318&gt;=60,"مقبول","يحتاج تحسين")))))</f>
        <v/>
      </c>
      <c r="K318" s="47" t="n"/>
    </row>
    <row r="319">
      <c r="A319" s="40" t="n"/>
      <c r="B319" s="43">
        <f>IFERROR(INDEX(الموظفون_الاسم,MATCH($A319,الموظفون_الرقم,0)),"")</f>
        <v/>
      </c>
      <c r="C319" s="40" t="n"/>
      <c r="D319" s="59" t="n"/>
      <c r="E319" s="59" t="n"/>
      <c r="F319" s="59" t="n"/>
      <c r="G319" s="59" t="n"/>
      <c r="H319" s="59" t="n"/>
      <c r="I319" s="111">
        <f>IF($A319="","",IF(COUNT($D319:$H319)=0,"",ROUND($D319*وزن_جودة_العمل+$E319*وزن_الالتزام+$F319*وزن_الإنتاجية+$G319*وزن_التعاون+$H319*وزن_الأهداف,1)))</f>
        <v/>
      </c>
      <c r="J319" s="43">
        <f>IF($I319="","",IF($I319&gt;=90,"ممتاز",IF($I319&gt;=80,"جيد جدًا",IF($I319&gt;=70,"جيد",IF($I319&gt;=60,"مقبول","يحتاج تحسين")))))</f>
        <v/>
      </c>
      <c r="K319" s="40" t="n"/>
    </row>
    <row r="320">
      <c r="A320" s="47" t="n"/>
      <c r="B320" s="50">
        <f>IFERROR(INDEX(الموظفون_الاسم,MATCH($A320,الموظفون_الرقم,0)),"")</f>
        <v/>
      </c>
      <c r="C320" s="47" t="n"/>
      <c r="D320" s="62" t="n"/>
      <c r="E320" s="62" t="n"/>
      <c r="F320" s="62" t="n"/>
      <c r="G320" s="62" t="n"/>
      <c r="H320" s="62" t="n"/>
      <c r="I320" s="113">
        <f>IF($A320="","",IF(COUNT($D320:$H320)=0,"",ROUND($D320*وزن_جودة_العمل+$E320*وزن_الالتزام+$F320*وزن_الإنتاجية+$G320*وزن_التعاون+$H320*وزن_الأهداف,1)))</f>
        <v/>
      </c>
      <c r="J320" s="50">
        <f>IF($I320="","",IF($I320&gt;=90,"ممتاز",IF($I320&gt;=80,"جيد جدًا",IF($I320&gt;=70,"جيد",IF($I320&gt;=60,"مقبول","يحتاج تحسين")))))</f>
        <v/>
      </c>
      <c r="K320" s="47" t="n"/>
    </row>
    <row r="321">
      <c r="A321" s="40" t="n"/>
      <c r="B321" s="43">
        <f>IFERROR(INDEX(الموظفون_الاسم,MATCH($A321,الموظفون_الرقم,0)),"")</f>
        <v/>
      </c>
      <c r="C321" s="40" t="n"/>
      <c r="D321" s="59" t="n"/>
      <c r="E321" s="59" t="n"/>
      <c r="F321" s="59" t="n"/>
      <c r="G321" s="59" t="n"/>
      <c r="H321" s="59" t="n"/>
      <c r="I321" s="111">
        <f>IF($A321="","",IF(COUNT($D321:$H321)=0,"",ROUND($D321*وزن_جودة_العمل+$E321*وزن_الالتزام+$F321*وزن_الإنتاجية+$G321*وزن_التعاون+$H321*وزن_الأهداف,1)))</f>
        <v/>
      </c>
      <c r="J321" s="43">
        <f>IF($I321="","",IF($I321&gt;=90,"ممتاز",IF($I321&gt;=80,"جيد جدًا",IF($I321&gt;=70,"جيد",IF($I321&gt;=60,"مقبول","يحتاج تحسين")))))</f>
        <v/>
      </c>
      <c r="K321" s="40" t="n"/>
    </row>
    <row r="322">
      <c r="A322" s="47" t="n"/>
      <c r="B322" s="50">
        <f>IFERROR(INDEX(الموظفون_الاسم,MATCH($A322,الموظفون_الرقم,0)),"")</f>
        <v/>
      </c>
      <c r="C322" s="47" t="n"/>
      <c r="D322" s="62" t="n"/>
      <c r="E322" s="62" t="n"/>
      <c r="F322" s="62" t="n"/>
      <c r="G322" s="62" t="n"/>
      <c r="H322" s="62" t="n"/>
      <c r="I322" s="113">
        <f>IF($A322="","",IF(COUNT($D322:$H322)=0,"",ROUND($D322*وزن_جودة_العمل+$E322*وزن_الالتزام+$F322*وزن_الإنتاجية+$G322*وزن_التعاون+$H322*وزن_الأهداف,1)))</f>
        <v/>
      </c>
      <c r="J322" s="50">
        <f>IF($I322="","",IF($I322&gt;=90,"ممتاز",IF($I322&gt;=80,"جيد جدًا",IF($I322&gt;=70,"جيد",IF($I322&gt;=60,"مقبول","يحتاج تحسين")))))</f>
        <v/>
      </c>
      <c r="K322" s="47" t="n"/>
    </row>
    <row r="323">
      <c r="A323" s="40" t="n"/>
      <c r="B323" s="43">
        <f>IFERROR(INDEX(الموظفون_الاسم,MATCH($A323,الموظفون_الرقم,0)),"")</f>
        <v/>
      </c>
      <c r="C323" s="40" t="n"/>
      <c r="D323" s="59" t="n"/>
      <c r="E323" s="59" t="n"/>
      <c r="F323" s="59" t="n"/>
      <c r="G323" s="59" t="n"/>
      <c r="H323" s="59" t="n"/>
      <c r="I323" s="111">
        <f>IF($A323="","",IF(COUNT($D323:$H323)=0,"",ROUND($D323*وزن_جودة_العمل+$E323*وزن_الالتزام+$F323*وزن_الإنتاجية+$G323*وزن_التعاون+$H323*وزن_الأهداف,1)))</f>
        <v/>
      </c>
      <c r="J323" s="43">
        <f>IF($I323="","",IF($I323&gt;=90,"ممتاز",IF($I323&gt;=80,"جيد جدًا",IF($I323&gt;=70,"جيد",IF($I323&gt;=60,"مقبول","يحتاج تحسين")))))</f>
        <v/>
      </c>
      <c r="K323" s="40" t="n"/>
    </row>
    <row r="324">
      <c r="A324" s="47" t="n"/>
      <c r="B324" s="50">
        <f>IFERROR(INDEX(الموظفون_الاسم,MATCH($A324,الموظفون_الرقم,0)),"")</f>
        <v/>
      </c>
      <c r="C324" s="47" t="n"/>
      <c r="D324" s="62" t="n"/>
      <c r="E324" s="62" t="n"/>
      <c r="F324" s="62" t="n"/>
      <c r="G324" s="62" t="n"/>
      <c r="H324" s="62" t="n"/>
      <c r="I324" s="113">
        <f>IF($A324="","",IF(COUNT($D324:$H324)=0,"",ROUND($D324*وزن_جودة_العمل+$E324*وزن_الالتزام+$F324*وزن_الإنتاجية+$G324*وزن_التعاون+$H324*وزن_الأهداف,1)))</f>
        <v/>
      </c>
      <c r="J324" s="50">
        <f>IF($I324="","",IF($I324&gt;=90,"ممتاز",IF($I324&gt;=80,"جيد جدًا",IF($I324&gt;=70,"جيد",IF($I324&gt;=60,"مقبول","يحتاج تحسين")))))</f>
        <v/>
      </c>
      <c r="K324" s="47" t="n"/>
    </row>
    <row r="325">
      <c r="A325" s="40" t="n"/>
      <c r="B325" s="43">
        <f>IFERROR(INDEX(الموظفون_الاسم,MATCH($A325,الموظفون_الرقم,0)),"")</f>
        <v/>
      </c>
      <c r="C325" s="40" t="n"/>
      <c r="D325" s="59" t="n"/>
      <c r="E325" s="59" t="n"/>
      <c r="F325" s="59" t="n"/>
      <c r="G325" s="59" t="n"/>
      <c r="H325" s="59" t="n"/>
      <c r="I325" s="111">
        <f>IF($A325="","",IF(COUNT($D325:$H325)=0,"",ROUND($D325*وزن_جودة_العمل+$E325*وزن_الالتزام+$F325*وزن_الإنتاجية+$G325*وزن_التعاون+$H325*وزن_الأهداف,1)))</f>
        <v/>
      </c>
      <c r="J325" s="43">
        <f>IF($I325="","",IF($I325&gt;=90,"ممتاز",IF($I325&gt;=80,"جيد جدًا",IF($I325&gt;=70,"جيد",IF($I325&gt;=60,"مقبول","يحتاج تحسين")))))</f>
        <v/>
      </c>
      <c r="K325" s="40" t="n"/>
    </row>
    <row r="326">
      <c r="A326" s="47" t="n"/>
      <c r="B326" s="50">
        <f>IFERROR(INDEX(الموظفون_الاسم,MATCH($A326,الموظفون_الرقم,0)),"")</f>
        <v/>
      </c>
      <c r="C326" s="47" t="n"/>
      <c r="D326" s="62" t="n"/>
      <c r="E326" s="62" t="n"/>
      <c r="F326" s="62" t="n"/>
      <c r="G326" s="62" t="n"/>
      <c r="H326" s="62" t="n"/>
      <c r="I326" s="113">
        <f>IF($A326="","",IF(COUNT($D326:$H326)=0,"",ROUND($D326*وزن_جودة_العمل+$E326*وزن_الالتزام+$F326*وزن_الإنتاجية+$G326*وزن_التعاون+$H326*وزن_الأهداف,1)))</f>
        <v/>
      </c>
      <c r="J326" s="50">
        <f>IF($I326="","",IF($I326&gt;=90,"ممتاز",IF($I326&gt;=80,"جيد جدًا",IF($I326&gt;=70,"جيد",IF($I326&gt;=60,"مقبول","يحتاج تحسين")))))</f>
        <v/>
      </c>
      <c r="K326" s="47" t="n"/>
    </row>
    <row r="327">
      <c r="A327" s="40" t="n"/>
      <c r="B327" s="43">
        <f>IFERROR(INDEX(الموظفون_الاسم,MATCH($A327,الموظفون_الرقم,0)),"")</f>
        <v/>
      </c>
      <c r="C327" s="40" t="n"/>
      <c r="D327" s="59" t="n"/>
      <c r="E327" s="59" t="n"/>
      <c r="F327" s="59" t="n"/>
      <c r="G327" s="59" t="n"/>
      <c r="H327" s="59" t="n"/>
      <c r="I327" s="111">
        <f>IF($A327="","",IF(COUNT($D327:$H327)=0,"",ROUND($D327*وزن_جودة_العمل+$E327*وزن_الالتزام+$F327*وزن_الإنتاجية+$G327*وزن_التعاون+$H327*وزن_الأهداف,1)))</f>
        <v/>
      </c>
      <c r="J327" s="43">
        <f>IF($I327="","",IF($I327&gt;=90,"ممتاز",IF($I327&gt;=80,"جيد جدًا",IF($I327&gt;=70,"جيد",IF($I327&gt;=60,"مقبول","يحتاج تحسين")))))</f>
        <v/>
      </c>
      <c r="K327" s="40" t="n"/>
    </row>
    <row r="328">
      <c r="A328" s="47" t="n"/>
      <c r="B328" s="50">
        <f>IFERROR(INDEX(الموظفون_الاسم,MATCH($A328,الموظفون_الرقم,0)),"")</f>
        <v/>
      </c>
      <c r="C328" s="47" t="n"/>
      <c r="D328" s="62" t="n"/>
      <c r="E328" s="62" t="n"/>
      <c r="F328" s="62" t="n"/>
      <c r="G328" s="62" t="n"/>
      <c r="H328" s="62" t="n"/>
      <c r="I328" s="113">
        <f>IF($A328="","",IF(COUNT($D328:$H328)=0,"",ROUND($D328*وزن_جودة_العمل+$E328*وزن_الالتزام+$F328*وزن_الإنتاجية+$G328*وزن_التعاون+$H328*وزن_الأهداف,1)))</f>
        <v/>
      </c>
      <c r="J328" s="50">
        <f>IF($I328="","",IF($I328&gt;=90,"ممتاز",IF($I328&gt;=80,"جيد جدًا",IF($I328&gt;=70,"جيد",IF($I328&gt;=60,"مقبول","يحتاج تحسين")))))</f>
        <v/>
      </c>
      <c r="K328" s="47" t="n"/>
    </row>
    <row r="329">
      <c r="A329" s="40" t="n"/>
      <c r="B329" s="43">
        <f>IFERROR(INDEX(الموظفون_الاسم,MATCH($A329,الموظفون_الرقم,0)),"")</f>
        <v/>
      </c>
      <c r="C329" s="40" t="n"/>
      <c r="D329" s="59" t="n"/>
      <c r="E329" s="59" t="n"/>
      <c r="F329" s="59" t="n"/>
      <c r="G329" s="59" t="n"/>
      <c r="H329" s="59" t="n"/>
      <c r="I329" s="111">
        <f>IF($A329="","",IF(COUNT($D329:$H329)=0,"",ROUND($D329*وزن_جودة_العمل+$E329*وزن_الالتزام+$F329*وزن_الإنتاجية+$G329*وزن_التعاون+$H329*وزن_الأهداف,1)))</f>
        <v/>
      </c>
      <c r="J329" s="43">
        <f>IF($I329="","",IF($I329&gt;=90,"ممتاز",IF($I329&gt;=80,"جيد جدًا",IF($I329&gt;=70,"جيد",IF($I329&gt;=60,"مقبول","يحتاج تحسين")))))</f>
        <v/>
      </c>
      <c r="K329" s="40" t="n"/>
    </row>
    <row r="330">
      <c r="A330" s="47" t="n"/>
      <c r="B330" s="50">
        <f>IFERROR(INDEX(الموظفون_الاسم,MATCH($A330,الموظفون_الرقم,0)),"")</f>
        <v/>
      </c>
      <c r="C330" s="47" t="n"/>
      <c r="D330" s="62" t="n"/>
      <c r="E330" s="62" t="n"/>
      <c r="F330" s="62" t="n"/>
      <c r="G330" s="62" t="n"/>
      <c r="H330" s="62" t="n"/>
      <c r="I330" s="113">
        <f>IF($A330="","",IF(COUNT($D330:$H330)=0,"",ROUND($D330*وزن_جودة_العمل+$E330*وزن_الالتزام+$F330*وزن_الإنتاجية+$G330*وزن_التعاون+$H330*وزن_الأهداف,1)))</f>
        <v/>
      </c>
      <c r="J330" s="50">
        <f>IF($I330="","",IF($I330&gt;=90,"ممتاز",IF($I330&gt;=80,"جيد جدًا",IF($I330&gt;=70,"جيد",IF($I330&gt;=60,"مقبول","يحتاج تحسين")))))</f>
        <v/>
      </c>
      <c r="K330" s="47" t="n"/>
    </row>
    <row r="331">
      <c r="A331" s="40" t="n"/>
      <c r="B331" s="43">
        <f>IFERROR(INDEX(الموظفون_الاسم,MATCH($A331,الموظفون_الرقم,0)),"")</f>
        <v/>
      </c>
      <c r="C331" s="40" t="n"/>
      <c r="D331" s="59" t="n"/>
      <c r="E331" s="59" t="n"/>
      <c r="F331" s="59" t="n"/>
      <c r="G331" s="59" t="n"/>
      <c r="H331" s="59" t="n"/>
      <c r="I331" s="111">
        <f>IF($A331="","",IF(COUNT($D331:$H331)=0,"",ROUND($D331*وزن_جودة_العمل+$E331*وزن_الالتزام+$F331*وزن_الإنتاجية+$G331*وزن_التعاون+$H331*وزن_الأهداف,1)))</f>
        <v/>
      </c>
      <c r="J331" s="43">
        <f>IF($I331="","",IF($I331&gt;=90,"ممتاز",IF($I331&gt;=80,"جيد جدًا",IF($I331&gt;=70,"جيد",IF($I331&gt;=60,"مقبول","يحتاج تحسين")))))</f>
        <v/>
      </c>
      <c r="K331" s="40" t="n"/>
    </row>
    <row r="332">
      <c r="A332" s="47" t="n"/>
      <c r="B332" s="50">
        <f>IFERROR(INDEX(الموظفون_الاسم,MATCH($A332,الموظفون_الرقم,0)),"")</f>
        <v/>
      </c>
      <c r="C332" s="47" t="n"/>
      <c r="D332" s="62" t="n"/>
      <c r="E332" s="62" t="n"/>
      <c r="F332" s="62" t="n"/>
      <c r="G332" s="62" t="n"/>
      <c r="H332" s="62" t="n"/>
      <c r="I332" s="113">
        <f>IF($A332="","",IF(COUNT($D332:$H332)=0,"",ROUND($D332*وزن_جودة_العمل+$E332*وزن_الالتزام+$F332*وزن_الإنتاجية+$G332*وزن_التعاون+$H332*وزن_الأهداف,1)))</f>
        <v/>
      </c>
      <c r="J332" s="50">
        <f>IF($I332="","",IF($I332&gt;=90,"ممتاز",IF($I332&gt;=80,"جيد جدًا",IF($I332&gt;=70,"جيد",IF($I332&gt;=60,"مقبول","يحتاج تحسين")))))</f>
        <v/>
      </c>
      <c r="K332" s="47" t="n"/>
    </row>
    <row r="333">
      <c r="A333" s="40" t="n"/>
      <c r="B333" s="43">
        <f>IFERROR(INDEX(الموظفون_الاسم,MATCH($A333,الموظفون_الرقم,0)),"")</f>
        <v/>
      </c>
      <c r="C333" s="40" t="n"/>
      <c r="D333" s="59" t="n"/>
      <c r="E333" s="59" t="n"/>
      <c r="F333" s="59" t="n"/>
      <c r="G333" s="59" t="n"/>
      <c r="H333" s="59" t="n"/>
      <c r="I333" s="111">
        <f>IF($A333="","",IF(COUNT($D333:$H333)=0,"",ROUND($D333*وزن_جودة_العمل+$E333*وزن_الالتزام+$F333*وزن_الإنتاجية+$G333*وزن_التعاون+$H333*وزن_الأهداف,1)))</f>
        <v/>
      </c>
      <c r="J333" s="43">
        <f>IF($I333="","",IF($I333&gt;=90,"ممتاز",IF($I333&gt;=80,"جيد جدًا",IF($I333&gt;=70,"جيد",IF($I333&gt;=60,"مقبول","يحتاج تحسين")))))</f>
        <v/>
      </c>
      <c r="K333" s="40" t="n"/>
    </row>
    <row r="334">
      <c r="A334" s="47" t="n"/>
      <c r="B334" s="50">
        <f>IFERROR(INDEX(الموظفون_الاسم,MATCH($A334,الموظفون_الرقم,0)),"")</f>
        <v/>
      </c>
      <c r="C334" s="47" t="n"/>
      <c r="D334" s="62" t="n"/>
      <c r="E334" s="62" t="n"/>
      <c r="F334" s="62" t="n"/>
      <c r="G334" s="62" t="n"/>
      <c r="H334" s="62" t="n"/>
      <c r="I334" s="113">
        <f>IF($A334="","",IF(COUNT($D334:$H334)=0,"",ROUND($D334*وزن_جودة_العمل+$E334*وزن_الالتزام+$F334*وزن_الإنتاجية+$G334*وزن_التعاون+$H334*وزن_الأهداف,1)))</f>
        <v/>
      </c>
      <c r="J334" s="50">
        <f>IF($I334="","",IF($I334&gt;=90,"ممتاز",IF($I334&gt;=80,"جيد جدًا",IF($I334&gt;=70,"جيد",IF($I334&gt;=60,"مقبول","يحتاج تحسين")))))</f>
        <v/>
      </c>
      <c r="K334" s="47" t="n"/>
    </row>
    <row r="335">
      <c r="A335" s="40" t="n"/>
      <c r="B335" s="43">
        <f>IFERROR(INDEX(الموظفون_الاسم,MATCH($A335,الموظفون_الرقم,0)),"")</f>
        <v/>
      </c>
      <c r="C335" s="40" t="n"/>
      <c r="D335" s="59" t="n"/>
      <c r="E335" s="59" t="n"/>
      <c r="F335" s="59" t="n"/>
      <c r="G335" s="59" t="n"/>
      <c r="H335" s="59" t="n"/>
      <c r="I335" s="111">
        <f>IF($A335="","",IF(COUNT($D335:$H335)=0,"",ROUND($D335*وزن_جودة_العمل+$E335*وزن_الالتزام+$F335*وزن_الإنتاجية+$G335*وزن_التعاون+$H335*وزن_الأهداف,1)))</f>
        <v/>
      </c>
      <c r="J335" s="43">
        <f>IF($I335="","",IF($I335&gt;=90,"ممتاز",IF($I335&gt;=80,"جيد جدًا",IF($I335&gt;=70,"جيد",IF($I335&gt;=60,"مقبول","يحتاج تحسين")))))</f>
        <v/>
      </c>
      <c r="K335" s="40" t="n"/>
    </row>
    <row r="336">
      <c r="A336" s="47" t="n"/>
      <c r="B336" s="50">
        <f>IFERROR(INDEX(الموظفون_الاسم,MATCH($A336,الموظفون_الرقم,0)),"")</f>
        <v/>
      </c>
      <c r="C336" s="47" t="n"/>
      <c r="D336" s="62" t="n"/>
      <c r="E336" s="62" t="n"/>
      <c r="F336" s="62" t="n"/>
      <c r="G336" s="62" t="n"/>
      <c r="H336" s="62" t="n"/>
      <c r="I336" s="113">
        <f>IF($A336="","",IF(COUNT($D336:$H336)=0,"",ROUND($D336*وزن_جودة_العمل+$E336*وزن_الالتزام+$F336*وزن_الإنتاجية+$G336*وزن_التعاون+$H336*وزن_الأهداف,1)))</f>
        <v/>
      </c>
      <c r="J336" s="50">
        <f>IF($I336="","",IF($I336&gt;=90,"ممتاز",IF($I336&gt;=80,"جيد جدًا",IF($I336&gt;=70,"جيد",IF($I336&gt;=60,"مقبول","يحتاج تحسين")))))</f>
        <v/>
      </c>
      <c r="K336" s="47" t="n"/>
    </row>
    <row r="337">
      <c r="A337" s="40" t="n"/>
      <c r="B337" s="43">
        <f>IFERROR(INDEX(الموظفون_الاسم,MATCH($A337,الموظفون_الرقم,0)),"")</f>
        <v/>
      </c>
      <c r="C337" s="40" t="n"/>
      <c r="D337" s="59" t="n"/>
      <c r="E337" s="59" t="n"/>
      <c r="F337" s="59" t="n"/>
      <c r="G337" s="59" t="n"/>
      <c r="H337" s="59" t="n"/>
      <c r="I337" s="111">
        <f>IF($A337="","",IF(COUNT($D337:$H337)=0,"",ROUND($D337*وزن_جودة_العمل+$E337*وزن_الالتزام+$F337*وزن_الإنتاجية+$G337*وزن_التعاون+$H337*وزن_الأهداف,1)))</f>
        <v/>
      </c>
      <c r="J337" s="43">
        <f>IF($I337="","",IF($I337&gt;=90,"ممتاز",IF($I337&gt;=80,"جيد جدًا",IF($I337&gt;=70,"جيد",IF($I337&gt;=60,"مقبول","يحتاج تحسين")))))</f>
        <v/>
      </c>
      <c r="K337" s="40" t="n"/>
    </row>
    <row r="338">
      <c r="A338" s="47" t="n"/>
      <c r="B338" s="50">
        <f>IFERROR(INDEX(الموظفون_الاسم,MATCH($A338,الموظفون_الرقم,0)),"")</f>
        <v/>
      </c>
      <c r="C338" s="47" t="n"/>
      <c r="D338" s="62" t="n"/>
      <c r="E338" s="62" t="n"/>
      <c r="F338" s="62" t="n"/>
      <c r="G338" s="62" t="n"/>
      <c r="H338" s="62" t="n"/>
      <c r="I338" s="113">
        <f>IF($A338="","",IF(COUNT($D338:$H338)=0,"",ROUND($D338*وزن_جودة_العمل+$E338*وزن_الالتزام+$F338*وزن_الإنتاجية+$G338*وزن_التعاون+$H338*وزن_الأهداف,1)))</f>
        <v/>
      </c>
      <c r="J338" s="50">
        <f>IF($I338="","",IF($I338&gt;=90,"ممتاز",IF($I338&gt;=80,"جيد جدًا",IF($I338&gt;=70,"جيد",IF($I338&gt;=60,"مقبول","يحتاج تحسين")))))</f>
        <v/>
      </c>
      <c r="K338" s="47" t="n"/>
    </row>
    <row r="339">
      <c r="A339" s="40" t="n"/>
      <c r="B339" s="43">
        <f>IFERROR(INDEX(الموظفون_الاسم,MATCH($A339,الموظفون_الرقم,0)),"")</f>
        <v/>
      </c>
      <c r="C339" s="40" t="n"/>
      <c r="D339" s="59" t="n"/>
      <c r="E339" s="59" t="n"/>
      <c r="F339" s="59" t="n"/>
      <c r="G339" s="59" t="n"/>
      <c r="H339" s="59" t="n"/>
      <c r="I339" s="111">
        <f>IF($A339="","",IF(COUNT($D339:$H339)=0,"",ROUND($D339*وزن_جودة_العمل+$E339*وزن_الالتزام+$F339*وزن_الإنتاجية+$G339*وزن_التعاون+$H339*وزن_الأهداف,1)))</f>
        <v/>
      </c>
      <c r="J339" s="43">
        <f>IF($I339="","",IF($I339&gt;=90,"ممتاز",IF($I339&gt;=80,"جيد جدًا",IF($I339&gt;=70,"جيد",IF($I339&gt;=60,"مقبول","يحتاج تحسين")))))</f>
        <v/>
      </c>
      <c r="K339" s="40" t="n"/>
    </row>
    <row r="340">
      <c r="A340" s="47" t="n"/>
      <c r="B340" s="50">
        <f>IFERROR(INDEX(الموظفون_الاسم,MATCH($A340,الموظفون_الرقم,0)),"")</f>
        <v/>
      </c>
      <c r="C340" s="47" t="n"/>
      <c r="D340" s="62" t="n"/>
      <c r="E340" s="62" t="n"/>
      <c r="F340" s="62" t="n"/>
      <c r="G340" s="62" t="n"/>
      <c r="H340" s="62" t="n"/>
      <c r="I340" s="113">
        <f>IF($A340="","",IF(COUNT($D340:$H340)=0,"",ROUND($D340*وزن_جودة_العمل+$E340*وزن_الالتزام+$F340*وزن_الإنتاجية+$G340*وزن_التعاون+$H340*وزن_الأهداف,1)))</f>
        <v/>
      </c>
      <c r="J340" s="50">
        <f>IF($I340="","",IF($I340&gt;=90,"ممتاز",IF($I340&gt;=80,"جيد جدًا",IF($I340&gt;=70,"جيد",IF($I340&gt;=60,"مقبول","يحتاج تحسين")))))</f>
        <v/>
      </c>
      <c r="K340" s="47" t="n"/>
    </row>
    <row r="341">
      <c r="A341" s="40" t="n"/>
      <c r="B341" s="43">
        <f>IFERROR(INDEX(الموظفون_الاسم,MATCH($A341,الموظفون_الرقم,0)),"")</f>
        <v/>
      </c>
      <c r="C341" s="40" t="n"/>
      <c r="D341" s="59" t="n"/>
      <c r="E341" s="59" t="n"/>
      <c r="F341" s="59" t="n"/>
      <c r="G341" s="59" t="n"/>
      <c r="H341" s="59" t="n"/>
      <c r="I341" s="111">
        <f>IF($A341="","",IF(COUNT($D341:$H341)=0,"",ROUND($D341*وزن_جودة_العمل+$E341*وزن_الالتزام+$F341*وزن_الإنتاجية+$G341*وزن_التعاون+$H341*وزن_الأهداف,1)))</f>
        <v/>
      </c>
      <c r="J341" s="43">
        <f>IF($I341="","",IF($I341&gt;=90,"ممتاز",IF($I341&gt;=80,"جيد جدًا",IF($I341&gt;=70,"جيد",IF($I341&gt;=60,"مقبول","يحتاج تحسين")))))</f>
        <v/>
      </c>
      <c r="K341" s="40" t="n"/>
    </row>
    <row r="342">
      <c r="A342" s="47" t="n"/>
      <c r="B342" s="50">
        <f>IFERROR(INDEX(الموظفون_الاسم,MATCH($A342,الموظفون_الرقم,0)),"")</f>
        <v/>
      </c>
      <c r="C342" s="47" t="n"/>
      <c r="D342" s="62" t="n"/>
      <c r="E342" s="62" t="n"/>
      <c r="F342" s="62" t="n"/>
      <c r="G342" s="62" t="n"/>
      <c r="H342" s="62" t="n"/>
      <c r="I342" s="113">
        <f>IF($A342="","",IF(COUNT($D342:$H342)=0,"",ROUND($D342*وزن_جودة_العمل+$E342*وزن_الالتزام+$F342*وزن_الإنتاجية+$G342*وزن_التعاون+$H342*وزن_الأهداف,1)))</f>
        <v/>
      </c>
      <c r="J342" s="50">
        <f>IF($I342="","",IF($I342&gt;=90,"ممتاز",IF($I342&gt;=80,"جيد جدًا",IF($I342&gt;=70,"جيد",IF($I342&gt;=60,"مقبول","يحتاج تحسين")))))</f>
        <v/>
      </c>
      <c r="K342" s="47" t="n"/>
    </row>
    <row r="343">
      <c r="A343" s="40" t="n"/>
      <c r="B343" s="43">
        <f>IFERROR(INDEX(الموظفون_الاسم,MATCH($A343,الموظفون_الرقم,0)),"")</f>
        <v/>
      </c>
      <c r="C343" s="40" t="n"/>
      <c r="D343" s="59" t="n"/>
      <c r="E343" s="59" t="n"/>
      <c r="F343" s="59" t="n"/>
      <c r="G343" s="59" t="n"/>
      <c r="H343" s="59" t="n"/>
      <c r="I343" s="111">
        <f>IF($A343="","",IF(COUNT($D343:$H343)=0,"",ROUND($D343*وزن_جودة_العمل+$E343*وزن_الالتزام+$F343*وزن_الإنتاجية+$G343*وزن_التعاون+$H343*وزن_الأهداف,1)))</f>
        <v/>
      </c>
      <c r="J343" s="43">
        <f>IF($I343="","",IF($I343&gt;=90,"ممتاز",IF($I343&gt;=80,"جيد جدًا",IF($I343&gt;=70,"جيد",IF($I343&gt;=60,"مقبول","يحتاج تحسين")))))</f>
        <v/>
      </c>
      <c r="K343" s="40" t="n"/>
    </row>
    <row r="344">
      <c r="A344" s="47" t="n"/>
      <c r="B344" s="50">
        <f>IFERROR(INDEX(الموظفون_الاسم,MATCH($A344,الموظفون_الرقم,0)),"")</f>
        <v/>
      </c>
      <c r="C344" s="47" t="n"/>
      <c r="D344" s="62" t="n"/>
      <c r="E344" s="62" t="n"/>
      <c r="F344" s="62" t="n"/>
      <c r="G344" s="62" t="n"/>
      <c r="H344" s="62" t="n"/>
      <c r="I344" s="113">
        <f>IF($A344="","",IF(COUNT($D344:$H344)=0,"",ROUND($D344*وزن_جودة_العمل+$E344*وزن_الالتزام+$F344*وزن_الإنتاجية+$G344*وزن_التعاون+$H344*وزن_الأهداف,1)))</f>
        <v/>
      </c>
      <c r="J344" s="50">
        <f>IF($I344="","",IF($I344&gt;=90,"ممتاز",IF($I344&gt;=80,"جيد جدًا",IF($I344&gt;=70,"جيد",IF($I344&gt;=60,"مقبول","يحتاج تحسين")))))</f>
        <v/>
      </c>
      <c r="K344" s="47" t="n"/>
    </row>
    <row r="345">
      <c r="A345" s="40" t="n"/>
      <c r="B345" s="43">
        <f>IFERROR(INDEX(الموظفون_الاسم,MATCH($A345,الموظفون_الرقم,0)),"")</f>
        <v/>
      </c>
      <c r="C345" s="40" t="n"/>
      <c r="D345" s="59" t="n"/>
      <c r="E345" s="59" t="n"/>
      <c r="F345" s="59" t="n"/>
      <c r="G345" s="59" t="n"/>
      <c r="H345" s="59" t="n"/>
      <c r="I345" s="111">
        <f>IF($A345="","",IF(COUNT($D345:$H345)=0,"",ROUND($D345*وزن_جودة_العمل+$E345*وزن_الالتزام+$F345*وزن_الإنتاجية+$G345*وزن_التعاون+$H345*وزن_الأهداف,1)))</f>
        <v/>
      </c>
      <c r="J345" s="43">
        <f>IF($I345="","",IF($I345&gt;=90,"ممتاز",IF($I345&gt;=80,"جيد جدًا",IF($I345&gt;=70,"جيد",IF($I345&gt;=60,"مقبول","يحتاج تحسين")))))</f>
        <v/>
      </c>
      <c r="K345" s="40" t="n"/>
    </row>
    <row r="346">
      <c r="A346" s="47" t="n"/>
      <c r="B346" s="50">
        <f>IFERROR(INDEX(الموظفون_الاسم,MATCH($A346,الموظفون_الرقم,0)),"")</f>
        <v/>
      </c>
      <c r="C346" s="47" t="n"/>
      <c r="D346" s="62" t="n"/>
      <c r="E346" s="62" t="n"/>
      <c r="F346" s="62" t="n"/>
      <c r="G346" s="62" t="n"/>
      <c r="H346" s="62" t="n"/>
      <c r="I346" s="113">
        <f>IF($A346="","",IF(COUNT($D346:$H346)=0,"",ROUND($D346*وزن_جودة_العمل+$E346*وزن_الالتزام+$F346*وزن_الإنتاجية+$G346*وزن_التعاون+$H346*وزن_الأهداف,1)))</f>
        <v/>
      </c>
      <c r="J346" s="50">
        <f>IF($I346="","",IF($I346&gt;=90,"ممتاز",IF($I346&gt;=80,"جيد جدًا",IF($I346&gt;=70,"جيد",IF($I346&gt;=60,"مقبول","يحتاج تحسين")))))</f>
        <v/>
      </c>
      <c r="K346" s="47" t="n"/>
    </row>
    <row r="347">
      <c r="A347" s="40" t="n"/>
      <c r="B347" s="43">
        <f>IFERROR(INDEX(الموظفون_الاسم,MATCH($A347,الموظفون_الرقم,0)),"")</f>
        <v/>
      </c>
      <c r="C347" s="40" t="n"/>
      <c r="D347" s="59" t="n"/>
      <c r="E347" s="59" t="n"/>
      <c r="F347" s="59" t="n"/>
      <c r="G347" s="59" t="n"/>
      <c r="H347" s="59" t="n"/>
      <c r="I347" s="111">
        <f>IF($A347="","",IF(COUNT($D347:$H347)=0,"",ROUND($D347*وزن_جودة_العمل+$E347*وزن_الالتزام+$F347*وزن_الإنتاجية+$G347*وزن_التعاون+$H347*وزن_الأهداف,1)))</f>
        <v/>
      </c>
      <c r="J347" s="43">
        <f>IF($I347="","",IF($I347&gt;=90,"ممتاز",IF($I347&gt;=80,"جيد جدًا",IF($I347&gt;=70,"جيد",IF($I347&gt;=60,"مقبول","يحتاج تحسين")))))</f>
        <v/>
      </c>
      <c r="K347" s="40" t="n"/>
    </row>
    <row r="348">
      <c r="A348" s="47" t="n"/>
      <c r="B348" s="50">
        <f>IFERROR(INDEX(الموظفون_الاسم,MATCH($A348,الموظفون_الرقم,0)),"")</f>
        <v/>
      </c>
      <c r="C348" s="47" t="n"/>
      <c r="D348" s="62" t="n"/>
      <c r="E348" s="62" t="n"/>
      <c r="F348" s="62" t="n"/>
      <c r="G348" s="62" t="n"/>
      <c r="H348" s="62" t="n"/>
      <c r="I348" s="113">
        <f>IF($A348="","",IF(COUNT($D348:$H348)=0,"",ROUND($D348*وزن_جودة_العمل+$E348*وزن_الالتزام+$F348*وزن_الإنتاجية+$G348*وزن_التعاون+$H348*وزن_الأهداف,1)))</f>
        <v/>
      </c>
      <c r="J348" s="50">
        <f>IF($I348="","",IF($I348&gt;=90,"ممتاز",IF($I348&gt;=80,"جيد جدًا",IF($I348&gt;=70,"جيد",IF($I348&gt;=60,"مقبول","يحتاج تحسين")))))</f>
        <v/>
      </c>
      <c r="K348" s="47" t="n"/>
    </row>
    <row r="349">
      <c r="A349" s="40" t="n"/>
      <c r="B349" s="43">
        <f>IFERROR(INDEX(الموظفون_الاسم,MATCH($A349,الموظفون_الرقم,0)),"")</f>
        <v/>
      </c>
      <c r="C349" s="40" t="n"/>
      <c r="D349" s="59" t="n"/>
      <c r="E349" s="59" t="n"/>
      <c r="F349" s="59" t="n"/>
      <c r="G349" s="59" t="n"/>
      <c r="H349" s="59" t="n"/>
      <c r="I349" s="111">
        <f>IF($A349="","",IF(COUNT($D349:$H349)=0,"",ROUND($D349*وزن_جودة_العمل+$E349*وزن_الالتزام+$F349*وزن_الإنتاجية+$G349*وزن_التعاون+$H349*وزن_الأهداف,1)))</f>
        <v/>
      </c>
      <c r="J349" s="43">
        <f>IF($I349="","",IF($I349&gt;=90,"ممتاز",IF($I349&gt;=80,"جيد جدًا",IF($I349&gt;=70,"جيد",IF($I349&gt;=60,"مقبول","يحتاج تحسين")))))</f>
        <v/>
      </c>
      <c r="K349" s="40" t="n"/>
    </row>
    <row r="350">
      <c r="A350" s="47" t="n"/>
      <c r="B350" s="50">
        <f>IFERROR(INDEX(الموظفون_الاسم,MATCH($A350,الموظفون_الرقم,0)),"")</f>
        <v/>
      </c>
      <c r="C350" s="47" t="n"/>
      <c r="D350" s="62" t="n"/>
      <c r="E350" s="62" t="n"/>
      <c r="F350" s="62" t="n"/>
      <c r="G350" s="62" t="n"/>
      <c r="H350" s="62" t="n"/>
      <c r="I350" s="113">
        <f>IF($A350="","",IF(COUNT($D350:$H350)=0,"",ROUND($D350*وزن_جودة_العمل+$E350*وزن_الالتزام+$F350*وزن_الإنتاجية+$G350*وزن_التعاون+$H350*وزن_الأهداف,1)))</f>
        <v/>
      </c>
      <c r="J350" s="50">
        <f>IF($I350="","",IF($I350&gt;=90,"ممتاز",IF($I350&gt;=80,"جيد جدًا",IF($I350&gt;=70,"جيد",IF($I350&gt;=60,"مقبول","يحتاج تحسين")))))</f>
        <v/>
      </c>
      <c r="K350" s="47" t="n"/>
    </row>
    <row r="351">
      <c r="A351" s="40" t="n"/>
      <c r="B351" s="43">
        <f>IFERROR(INDEX(الموظفون_الاسم,MATCH($A351,الموظفون_الرقم,0)),"")</f>
        <v/>
      </c>
      <c r="C351" s="40" t="n"/>
      <c r="D351" s="59" t="n"/>
      <c r="E351" s="59" t="n"/>
      <c r="F351" s="59" t="n"/>
      <c r="G351" s="59" t="n"/>
      <c r="H351" s="59" t="n"/>
      <c r="I351" s="111">
        <f>IF($A351="","",IF(COUNT($D351:$H351)=0,"",ROUND($D351*وزن_جودة_العمل+$E351*وزن_الالتزام+$F351*وزن_الإنتاجية+$G351*وزن_التعاون+$H351*وزن_الأهداف,1)))</f>
        <v/>
      </c>
      <c r="J351" s="43">
        <f>IF($I351="","",IF($I351&gt;=90,"ممتاز",IF($I351&gt;=80,"جيد جدًا",IF($I351&gt;=70,"جيد",IF($I351&gt;=60,"مقبول","يحتاج تحسين")))))</f>
        <v/>
      </c>
      <c r="K351" s="40" t="n"/>
    </row>
    <row r="352">
      <c r="A352" s="47" t="n"/>
      <c r="B352" s="50">
        <f>IFERROR(INDEX(الموظفون_الاسم,MATCH($A352,الموظفون_الرقم,0)),"")</f>
        <v/>
      </c>
      <c r="C352" s="47" t="n"/>
      <c r="D352" s="62" t="n"/>
      <c r="E352" s="62" t="n"/>
      <c r="F352" s="62" t="n"/>
      <c r="G352" s="62" t="n"/>
      <c r="H352" s="62" t="n"/>
      <c r="I352" s="113">
        <f>IF($A352="","",IF(COUNT($D352:$H352)=0,"",ROUND($D352*وزن_جودة_العمل+$E352*وزن_الالتزام+$F352*وزن_الإنتاجية+$G352*وزن_التعاون+$H352*وزن_الأهداف,1)))</f>
        <v/>
      </c>
      <c r="J352" s="50">
        <f>IF($I352="","",IF($I352&gt;=90,"ممتاز",IF($I352&gt;=80,"جيد جدًا",IF($I352&gt;=70,"جيد",IF($I352&gt;=60,"مقبول","يحتاج تحسين")))))</f>
        <v/>
      </c>
      <c r="K352" s="47" t="n"/>
    </row>
    <row r="353">
      <c r="A353" s="40" t="n"/>
      <c r="B353" s="43">
        <f>IFERROR(INDEX(الموظفون_الاسم,MATCH($A353,الموظفون_الرقم,0)),"")</f>
        <v/>
      </c>
      <c r="C353" s="40" t="n"/>
      <c r="D353" s="59" t="n"/>
      <c r="E353" s="59" t="n"/>
      <c r="F353" s="59" t="n"/>
      <c r="G353" s="59" t="n"/>
      <c r="H353" s="59" t="n"/>
      <c r="I353" s="111">
        <f>IF($A353="","",IF(COUNT($D353:$H353)=0,"",ROUND($D353*وزن_جودة_العمل+$E353*وزن_الالتزام+$F353*وزن_الإنتاجية+$G353*وزن_التعاون+$H353*وزن_الأهداف,1)))</f>
        <v/>
      </c>
      <c r="J353" s="43">
        <f>IF($I353="","",IF($I353&gt;=90,"ممتاز",IF($I353&gt;=80,"جيد جدًا",IF($I353&gt;=70,"جيد",IF($I353&gt;=60,"مقبول","يحتاج تحسين")))))</f>
        <v/>
      </c>
      <c r="K353" s="40" t="n"/>
    </row>
    <row r="354">
      <c r="A354" s="47" t="n"/>
      <c r="B354" s="50">
        <f>IFERROR(INDEX(الموظفون_الاسم,MATCH($A354,الموظفون_الرقم,0)),"")</f>
        <v/>
      </c>
      <c r="C354" s="47" t="n"/>
      <c r="D354" s="62" t="n"/>
      <c r="E354" s="62" t="n"/>
      <c r="F354" s="62" t="n"/>
      <c r="G354" s="62" t="n"/>
      <c r="H354" s="62" t="n"/>
      <c r="I354" s="113">
        <f>IF($A354="","",IF(COUNT($D354:$H354)=0,"",ROUND($D354*وزن_جودة_العمل+$E354*وزن_الالتزام+$F354*وزن_الإنتاجية+$G354*وزن_التعاون+$H354*وزن_الأهداف,1)))</f>
        <v/>
      </c>
      <c r="J354" s="50">
        <f>IF($I354="","",IF($I354&gt;=90,"ممتاز",IF($I354&gt;=80,"جيد جدًا",IF($I354&gt;=70,"جيد",IF($I354&gt;=60,"مقبول","يحتاج تحسين")))))</f>
        <v/>
      </c>
      <c r="K354" s="47" t="n"/>
    </row>
    <row r="355">
      <c r="A355" s="40" t="n"/>
      <c r="B355" s="43">
        <f>IFERROR(INDEX(الموظفون_الاسم,MATCH($A355,الموظفون_الرقم,0)),"")</f>
        <v/>
      </c>
      <c r="C355" s="40" t="n"/>
      <c r="D355" s="59" t="n"/>
      <c r="E355" s="59" t="n"/>
      <c r="F355" s="59" t="n"/>
      <c r="G355" s="59" t="n"/>
      <c r="H355" s="59" t="n"/>
      <c r="I355" s="111">
        <f>IF($A355="","",IF(COUNT($D355:$H355)=0,"",ROUND($D355*وزن_جودة_العمل+$E355*وزن_الالتزام+$F355*وزن_الإنتاجية+$G355*وزن_التعاون+$H355*وزن_الأهداف,1)))</f>
        <v/>
      </c>
      <c r="J355" s="43">
        <f>IF($I355="","",IF($I355&gt;=90,"ممتاز",IF($I355&gt;=80,"جيد جدًا",IF($I355&gt;=70,"جيد",IF($I355&gt;=60,"مقبول","يحتاج تحسين")))))</f>
        <v/>
      </c>
      <c r="K355" s="40" t="n"/>
    </row>
    <row r="356">
      <c r="A356" s="47" t="n"/>
      <c r="B356" s="50">
        <f>IFERROR(INDEX(الموظفون_الاسم,MATCH($A356,الموظفون_الرقم,0)),"")</f>
        <v/>
      </c>
      <c r="C356" s="47" t="n"/>
      <c r="D356" s="62" t="n"/>
      <c r="E356" s="62" t="n"/>
      <c r="F356" s="62" t="n"/>
      <c r="G356" s="62" t="n"/>
      <c r="H356" s="62" t="n"/>
      <c r="I356" s="113">
        <f>IF($A356="","",IF(COUNT($D356:$H356)=0,"",ROUND($D356*وزن_جودة_العمل+$E356*وزن_الالتزام+$F356*وزن_الإنتاجية+$G356*وزن_التعاون+$H356*وزن_الأهداف,1)))</f>
        <v/>
      </c>
      <c r="J356" s="50">
        <f>IF($I356="","",IF($I356&gt;=90,"ممتاز",IF($I356&gt;=80,"جيد جدًا",IF($I356&gt;=70,"جيد",IF($I356&gt;=60,"مقبول","يحتاج تحسين")))))</f>
        <v/>
      </c>
      <c r="K356" s="47" t="n"/>
    </row>
    <row r="357">
      <c r="A357" s="40" t="n"/>
      <c r="B357" s="43">
        <f>IFERROR(INDEX(الموظفون_الاسم,MATCH($A357,الموظفون_الرقم,0)),"")</f>
        <v/>
      </c>
      <c r="C357" s="40" t="n"/>
      <c r="D357" s="59" t="n"/>
      <c r="E357" s="59" t="n"/>
      <c r="F357" s="59" t="n"/>
      <c r="G357" s="59" t="n"/>
      <c r="H357" s="59" t="n"/>
      <c r="I357" s="111">
        <f>IF($A357="","",IF(COUNT($D357:$H357)=0,"",ROUND($D357*وزن_جودة_العمل+$E357*وزن_الالتزام+$F357*وزن_الإنتاجية+$G357*وزن_التعاون+$H357*وزن_الأهداف,1)))</f>
        <v/>
      </c>
      <c r="J357" s="43">
        <f>IF($I357="","",IF($I357&gt;=90,"ممتاز",IF($I357&gt;=80,"جيد جدًا",IF($I357&gt;=70,"جيد",IF($I357&gt;=60,"مقبول","يحتاج تحسين")))))</f>
        <v/>
      </c>
      <c r="K357" s="40" t="n"/>
    </row>
    <row r="358">
      <c r="A358" s="47" t="n"/>
      <c r="B358" s="50">
        <f>IFERROR(INDEX(الموظفون_الاسم,MATCH($A358,الموظفون_الرقم,0)),"")</f>
        <v/>
      </c>
      <c r="C358" s="47" t="n"/>
      <c r="D358" s="62" t="n"/>
      <c r="E358" s="62" t="n"/>
      <c r="F358" s="62" t="n"/>
      <c r="G358" s="62" t="n"/>
      <c r="H358" s="62" t="n"/>
      <c r="I358" s="113">
        <f>IF($A358="","",IF(COUNT($D358:$H358)=0,"",ROUND($D358*وزن_جودة_العمل+$E358*وزن_الالتزام+$F358*وزن_الإنتاجية+$G358*وزن_التعاون+$H358*وزن_الأهداف,1)))</f>
        <v/>
      </c>
      <c r="J358" s="50">
        <f>IF($I358="","",IF($I358&gt;=90,"ممتاز",IF($I358&gt;=80,"جيد جدًا",IF($I358&gt;=70,"جيد",IF($I358&gt;=60,"مقبول","يحتاج تحسين")))))</f>
        <v/>
      </c>
      <c r="K358" s="47" t="n"/>
    </row>
    <row r="359">
      <c r="A359" s="40" t="n"/>
      <c r="B359" s="43">
        <f>IFERROR(INDEX(الموظفون_الاسم,MATCH($A359,الموظفون_الرقم,0)),"")</f>
        <v/>
      </c>
      <c r="C359" s="40" t="n"/>
      <c r="D359" s="59" t="n"/>
      <c r="E359" s="59" t="n"/>
      <c r="F359" s="59" t="n"/>
      <c r="G359" s="59" t="n"/>
      <c r="H359" s="59" t="n"/>
      <c r="I359" s="111">
        <f>IF($A359="","",IF(COUNT($D359:$H359)=0,"",ROUND($D359*وزن_جودة_العمل+$E359*وزن_الالتزام+$F359*وزن_الإنتاجية+$G359*وزن_التعاون+$H359*وزن_الأهداف,1)))</f>
        <v/>
      </c>
      <c r="J359" s="43">
        <f>IF($I359="","",IF($I359&gt;=90,"ممتاز",IF($I359&gt;=80,"جيد جدًا",IF($I359&gt;=70,"جيد",IF($I359&gt;=60,"مقبول","يحتاج تحسين")))))</f>
        <v/>
      </c>
      <c r="K359" s="40" t="n"/>
    </row>
    <row r="360">
      <c r="A360" s="47" t="n"/>
      <c r="B360" s="50">
        <f>IFERROR(INDEX(الموظفون_الاسم,MATCH($A360,الموظفون_الرقم,0)),"")</f>
        <v/>
      </c>
      <c r="C360" s="47" t="n"/>
      <c r="D360" s="62" t="n"/>
      <c r="E360" s="62" t="n"/>
      <c r="F360" s="62" t="n"/>
      <c r="G360" s="62" t="n"/>
      <c r="H360" s="62" t="n"/>
      <c r="I360" s="113">
        <f>IF($A360="","",IF(COUNT($D360:$H360)=0,"",ROUND($D360*وزن_جودة_العمل+$E360*وزن_الالتزام+$F360*وزن_الإنتاجية+$G360*وزن_التعاون+$H360*وزن_الأهداف,1)))</f>
        <v/>
      </c>
      <c r="J360" s="50">
        <f>IF($I360="","",IF($I360&gt;=90,"ممتاز",IF($I360&gt;=80,"جيد جدًا",IF($I360&gt;=70,"جيد",IF($I360&gt;=60,"مقبول","يحتاج تحسين")))))</f>
        <v/>
      </c>
      <c r="K360" s="47" t="n"/>
    </row>
    <row r="361">
      <c r="A361" s="40" t="n"/>
      <c r="B361" s="43">
        <f>IFERROR(INDEX(الموظفون_الاسم,MATCH($A361,الموظفون_الرقم,0)),"")</f>
        <v/>
      </c>
      <c r="C361" s="40" t="n"/>
      <c r="D361" s="59" t="n"/>
      <c r="E361" s="59" t="n"/>
      <c r="F361" s="59" t="n"/>
      <c r="G361" s="59" t="n"/>
      <c r="H361" s="59" t="n"/>
      <c r="I361" s="111">
        <f>IF($A361="","",IF(COUNT($D361:$H361)=0,"",ROUND($D361*وزن_جودة_العمل+$E361*وزن_الالتزام+$F361*وزن_الإنتاجية+$G361*وزن_التعاون+$H361*وزن_الأهداف,1)))</f>
        <v/>
      </c>
      <c r="J361" s="43">
        <f>IF($I361="","",IF($I361&gt;=90,"ممتاز",IF($I361&gt;=80,"جيد جدًا",IF($I361&gt;=70,"جيد",IF($I361&gt;=60,"مقبول","يحتاج تحسين")))))</f>
        <v/>
      </c>
      <c r="K361" s="40" t="n"/>
    </row>
    <row r="362">
      <c r="A362" s="47" t="n"/>
      <c r="B362" s="50">
        <f>IFERROR(INDEX(الموظفون_الاسم,MATCH($A362,الموظفون_الرقم,0)),"")</f>
        <v/>
      </c>
      <c r="C362" s="47" t="n"/>
      <c r="D362" s="62" t="n"/>
      <c r="E362" s="62" t="n"/>
      <c r="F362" s="62" t="n"/>
      <c r="G362" s="62" t="n"/>
      <c r="H362" s="62" t="n"/>
      <c r="I362" s="113">
        <f>IF($A362="","",IF(COUNT($D362:$H362)=0,"",ROUND($D362*وزن_جودة_العمل+$E362*وزن_الالتزام+$F362*وزن_الإنتاجية+$G362*وزن_التعاون+$H362*وزن_الأهداف,1)))</f>
        <v/>
      </c>
      <c r="J362" s="50">
        <f>IF($I362="","",IF($I362&gt;=90,"ممتاز",IF($I362&gt;=80,"جيد جدًا",IF($I362&gt;=70,"جيد",IF($I362&gt;=60,"مقبول","يحتاج تحسين")))))</f>
        <v/>
      </c>
      <c r="K362" s="47" t="n"/>
    </row>
    <row r="363">
      <c r="A363" s="40" t="n"/>
      <c r="B363" s="43">
        <f>IFERROR(INDEX(الموظفون_الاسم,MATCH($A363,الموظفون_الرقم,0)),"")</f>
        <v/>
      </c>
      <c r="C363" s="40" t="n"/>
      <c r="D363" s="59" t="n"/>
      <c r="E363" s="59" t="n"/>
      <c r="F363" s="59" t="n"/>
      <c r="G363" s="59" t="n"/>
      <c r="H363" s="59" t="n"/>
      <c r="I363" s="111">
        <f>IF($A363="","",IF(COUNT($D363:$H363)=0,"",ROUND($D363*وزن_جودة_العمل+$E363*وزن_الالتزام+$F363*وزن_الإنتاجية+$G363*وزن_التعاون+$H363*وزن_الأهداف,1)))</f>
        <v/>
      </c>
      <c r="J363" s="43">
        <f>IF($I363="","",IF($I363&gt;=90,"ممتاز",IF($I363&gt;=80,"جيد جدًا",IF($I363&gt;=70,"جيد",IF($I363&gt;=60,"مقبول","يحتاج تحسين")))))</f>
        <v/>
      </c>
      <c r="K363" s="40" t="n"/>
    </row>
    <row r="364">
      <c r="A364" s="47" t="n"/>
      <c r="B364" s="50">
        <f>IFERROR(INDEX(الموظفون_الاسم,MATCH($A364,الموظفون_الرقم,0)),"")</f>
        <v/>
      </c>
      <c r="C364" s="47" t="n"/>
      <c r="D364" s="62" t="n"/>
      <c r="E364" s="62" t="n"/>
      <c r="F364" s="62" t="n"/>
      <c r="G364" s="62" t="n"/>
      <c r="H364" s="62" t="n"/>
      <c r="I364" s="113">
        <f>IF($A364="","",IF(COUNT($D364:$H364)=0,"",ROUND($D364*وزن_جودة_العمل+$E364*وزن_الالتزام+$F364*وزن_الإنتاجية+$G364*وزن_التعاون+$H364*وزن_الأهداف,1)))</f>
        <v/>
      </c>
      <c r="J364" s="50">
        <f>IF($I364="","",IF($I364&gt;=90,"ممتاز",IF($I364&gt;=80,"جيد جدًا",IF($I364&gt;=70,"جيد",IF($I364&gt;=60,"مقبول","يحتاج تحسين")))))</f>
        <v/>
      </c>
      <c r="K364" s="47" t="n"/>
    </row>
    <row r="365">
      <c r="A365" s="40" t="n"/>
      <c r="B365" s="43">
        <f>IFERROR(INDEX(الموظفون_الاسم,MATCH($A365,الموظفون_الرقم,0)),"")</f>
        <v/>
      </c>
      <c r="C365" s="40" t="n"/>
      <c r="D365" s="59" t="n"/>
      <c r="E365" s="59" t="n"/>
      <c r="F365" s="59" t="n"/>
      <c r="G365" s="59" t="n"/>
      <c r="H365" s="59" t="n"/>
      <c r="I365" s="111">
        <f>IF($A365="","",IF(COUNT($D365:$H365)=0,"",ROUND($D365*وزن_جودة_العمل+$E365*وزن_الالتزام+$F365*وزن_الإنتاجية+$G365*وزن_التعاون+$H365*وزن_الأهداف,1)))</f>
        <v/>
      </c>
      <c r="J365" s="43">
        <f>IF($I365="","",IF($I365&gt;=90,"ممتاز",IF($I365&gt;=80,"جيد جدًا",IF($I365&gt;=70,"جيد",IF($I365&gt;=60,"مقبول","يحتاج تحسين")))))</f>
        <v/>
      </c>
      <c r="K365" s="40" t="n"/>
    </row>
    <row r="366">
      <c r="A366" s="47" t="n"/>
      <c r="B366" s="50">
        <f>IFERROR(INDEX(الموظفون_الاسم,MATCH($A366,الموظفون_الرقم,0)),"")</f>
        <v/>
      </c>
      <c r="C366" s="47" t="n"/>
      <c r="D366" s="62" t="n"/>
      <c r="E366" s="62" t="n"/>
      <c r="F366" s="62" t="n"/>
      <c r="G366" s="62" t="n"/>
      <c r="H366" s="62" t="n"/>
      <c r="I366" s="113">
        <f>IF($A366="","",IF(COUNT($D366:$H366)=0,"",ROUND($D366*وزن_جودة_العمل+$E366*وزن_الالتزام+$F366*وزن_الإنتاجية+$G366*وزن_التعاون+$H366*وزن_الأهداف,1)))</f>
        <v/>
      </c>
      <c r="J366" s="50">
        <f>IF($I366="","",IF($I366&gt;=90,"ممتاز",IF($I366&gt;=80,"جيد جدًا",IF($I366&gt;=70,"جيد",IF($I366&gt;=60,"مقبول","يحتاج تحسين")))))</f>
        <v/>
      </c>
      <c r="K366" s="47" t="n"/>
    </row>
    <row r="367">
      <c r="A367" s="40" t="n"/>
      <c r="B367" s="43">
        <f>IFERROR(INDEX(الموظفون_الاسم,MATCH($A367,الموظفون_الرقم,0)),"")</f>
        <v/>
      </c>
      <c r="C367" s="40" t="n"/>
      <c r="D367" s="59" t="n"/>
      <c r="E367" s="59" t="n"/>
      <c r="F367" s="59" t="n"/>
      <c r="G367" s="59" t="n"/>
      <c r="H367" s="59" t="n"/>
      <c r="I367" s="111">
        <f>IF($A367="","",IF(COUNT($D367:$H367)=0,"",ROUND($D367*وزن_جودة_العمل+$E367*وزن_الالتزام+$F367*وزن_الإنتاجية+$G367*وزن_التعاون+$H367*وزن_الأهداف,1)))</f>
        <v/>
      </c>
      <c r="J367" s="43">
        <f>IF($I367="","",IF($I367&gt;=90,"ممتاز",IF($I367&gt;=80,"جيد جدًا",IF($I367&gt;=70,"جيد",IF($I367&gt;=60,"مقبول","يحتاج تحسين")))))</f>
        <v/>
      </c>
      <c r="K367" s="40" t="n"/>
    </row>
    <row r="368">
      <c r="A368" s="47" t="n"/>
      <c r="B368" s="50">
        <f>IFERROR(INDEX(الموظفون_الاسم,MATCH($A368,الموظفون_الرقم,0)),"")</f>
        <v/>
      </c>
      <c r="C368" s="47" t="n"/>
      <c r="D368" s="62" t="n"/>
      <c r="E368" s="62" t="n"/>
      <c r="F368" s="62" t="n"/>
      <c r="G368" s="62" t="n"/>
      <c r="H368" s="62" t="n"/>
      <c r="I368" s="113">
        <f>IF($A368="","",IF(COUNT($D368:$H368)=0,"",ROUND($D368*وزن_جودة_العمل+$E368*وزن_الالتزام+$F368*وزن_الإنتاجية+$G368*وزن_التعاون+$H368*وزن_الأهداف,1)))</f>
        <v/>
      </c>
      <c r="J368" s="50">
        <f>IF($I368="","",IF($I368&gt;=90,"ممتاز",IF($I368&gt;=80,"جيد جدًا",IF($I368&gt;=70,"جيد",IF($I368&gt;=60,"مقبول","يحتاج تحسين")))))</f>
        <v/>
      </c>
      <c r="K368" s="47" t="n"/>
    </row>
    <row r="369">
      <c r="A369" s="40" t="n"/>
      <c r="B369" s="43">
        <f>IFERROR(INDEX(الموظفون_الاسم,MATCH($A369,الموظفون_الرقم,0)),"")</f>
        <v/>
      </c>
      <c r="C369" s="40" t="n"/>
      <c r="D369" s="59" t="n"/>
      <c r="E369" s="59" t="n"/>
      <c r="F369" s="59" t="n"/>
      <c r="G369" s="59" t="n"/>
      <c r="H369" s="59" t="n"/>
      <c r="I369" s="111">
        <f>IF($A369="","",IF(COUNT($D369:$H369)=0,"",ROUND($D369*وزن_جودة_العمل+$E369*وزن_الالتزام+$F369*وزن_الإنتاجية+$G369*وزن_التعاون+$H369*وزن_الأهداف,1)))</f>
        <v/>
      </c>
      <c r="J369" s="43">
        <f>IF($I369="","",IF($I369&gt;=90,"ممتاز",IF($I369&gt;=80,"جيد جدًا",IF($I369&gt;=70,"جيد",IF($I369&gt;=60,"مقبول","يحتاج تحسين")))))</f>
        <v/>
      </c>
      <c r="K369" s="40" t="n"/>
    </row>
    <row r="370">
      <c r="A370" s="47" t="n"/>
      <c r="B370" s="50">
        <f>IFERROR(INDEX(الموظفون_الاسم,MATCH($A370,الموظفون_الرقم,0)),"")</f>
        <v/>
      </c>
      <c r="C370" s="47" t="n"/>
      <c r="D370" s="62" t="n"/>
      <c r="E370" s="62" t="n"/>
      <c r="F370" s="62" t="n"/>
      <c r="G370" s="62" t="n"/>
      <c r="H370" s="62" t="n"/>
      <c r="I370" s="113">
        <f>IF($A370="","",IF(COUNT($D370:$H370)=0,"",ROUND($D370*وزن_جودة_العمل+$E370*وزن_الالتزام+$F370*وزن_الإنتاجية+$G370*وزن_التعاون+$H370*وزن_الأهداف,1)))</f>
        <v/>
      </c>
      <c r="J370" s="50">
        <f>IF($I370="","",IF($I370&gt;=90,"ممتاز",IF($I370&gt;=80,"جيد جدًا",IF($I370&gt;=70,"جيد",IF($I370&gt;=60,"مقبول","يحتاج تحسين")))))</f>
        <v/>
      </c>
      <c r="K370" s="47" t="n"/>
    </row>
    <row r="371">
      <c r="A371" s="40" t="n"/>
      <c r="B371" s="43">
        <f>IFERROR(INDEX(الموظفون_الاسم,MATCH($A371,الموظفون_الرقم,0)),"")</f>
        <v/>
      </c>
      <c r="C371" s="40" t="n"/>
      <c r="D371" s="59" t="n"/>
      <c r="E371" s="59" t="n"/>
      <c r="F371" s="59" t="n"/>
      <c r="G371" s="59" t="n"/>
      <c r="H371" s="59" t="n"/>
      <c r="I371" s="111">
        <f>IF($A371="","",IF(COUNT($D371:$H371)=0,"",ROUND($D371*وزن_جودة_العمل+$E371*وزن_الالتزام+$F371*وزن_الإنتاجية+$G371*وزن_التعاون+$H371*وزن_الأهداف,1)))</f>
        <v/>
      </c>
      <c r="J371" s="43">
        <f>IF($I371="","",IF($I371&gt;=90,"ممتاز",IF($I371&gt;=80,"جيد جدًا",IF($I371&gt;=70,"جيد",IF($I371&gt;=60,"مقبول","يحتاج تحسين")))))</f>
        <v/>
      </c>
      <c r="K371" s="40" t="n"/>
    </row>
    <row r="372">
      <c r="A372" s="47" t="n"/>
      <c r="B372" s="50">
        <f>IFERROR(INDEX(الموظفون_الاسم,MATCH($A372,الموظفون_الرقم,0)),"")</f>
        <v/>
      </c>
      <c r="C372" s="47" t="n"/>
      <c r="D372" s="62" t="n"/>
      <c r="E372" s="62" t="n"/>
      <c r="F372" s="62" t="n"/>
      <c r="G372" s="62" t="n"/>
      <c r="H372" s="62" t="n"/>
      <c r="I372" s="113">
        <f>IF($A372="","",IF(COUNT($D372:$H372)=0,"",ROUND($D372*وزن_جودة_العمل+$E372*وزن_الالتزام+$F372*وزن_الإنتاجية+$G372*وزن_التعاون+$H372*وزن_الأهداف,1)))</f>
        <v/>
      </c>
      <c r="J372" s="50">
        <f>IF($I372="","",IF($I372&gt;=90,"ممتاز",IF($I372&gt;=80,"جيد جدًا",IF($I372&gt;=70,"جيد",IF($I372&gt;=60,"مقبول","يحتاج تحسين")))))</f>
        <v/>
      </c>
      <c r="K372" s="47" t="n"/>
    </row>
    <row r="373">
      <c r="A373" s="40" t="n"/>
      <c r="B373" s="43">
        <f>IFERROR(INDEX(الموظفون_الاسم,MATCH($A373,الموظفون_الرقم,0)),"")</f>
        <v/>
      </c>
      <c r="C373" s="40" t="n"/>
      <c r="D373" s="59" t="n"/>
      <c r="E373" s="59" t="n"/>
      <c r="F373" s="59" t="n"/>
      <c r="G373" s="59" t="n"/>
      <c r="H373" s="59" t="n"/>
      <c r="I373" s="111">
        <f>IF($A373="","",IF(COUNT($D373:$H373)=0,"",ROUND($D373*وزن_جودة_العمل+$E373*وزن_الالتزام+$F373*وزن_الإنتاجية+$G373*وزن_التعاون+$H373*وزن_الأهداف,1)))</f>
        <v/>
      </c>
      <c r="J373" s="43">
        <f>IF($I373="","",IF($I373&gt;=90,"ممتاز",IF($I373&gt;=80,"جيد جدًا",IF($I373&gt;=70,"جيد",IF($I373&gt;=60,"مقبول","يحتاج تحسين")))))</f>
        <v/>
      </c>
      <c r="K373" s="40" t="n"/>
    </row>
    <row r="374">
      <c r="A374" s="47" t="n"/>
      <c r="B374" s="50">
        <f>IFERROR(INDEX(الموظفون_الاسم,MATCH($A374,الموظفون_الرقم,0)),"")</f>
        <v/>
      </c>
      <c r="C374" s="47" t="n"/>
      <c r="D374" s="62" t="n"/>
      <c r="E374" s="62" t="n"/>
      <c r="F374" s="62" t="n"/>
      <c r="G374" s="62" t="n"/>
      <c r="H374" s="62" t="n"/>
      <c r="I374" s="113">
        <f>IF($A374="","",IF(COUNT($D374:$H374)=0,"",ROUND($D374*وزن_جودة_العمل+$E374*وزن_الالتزام+$F374*وزن_الإنتاجية+$G374*وزن_التعاون+$H374*وزن_الأهداف,1)))</f>
        <v/>
      </c>
      <c r="J374" s="50">
        <f>IF($I374="","",IF($I374&gt;=90,"ممتاز",IF($I374&gt;=80,"جيد جدًا",IF($I374&gt;=70,"جيد",IF($I374&gt;=60,"مقبول","يحتاج تحسين")))))</f>
        <v/>
      </c>
      <c r="K374" s="47" t="n"/>
    </row>
    <row r="375">
      <c r="A375" s="40" t="n"/>
      <c r="B375" s="43">
        <f>IFERROR(INDEX(الموظفون_الاسم,MATCH($A375,الموظفون_الرقم,0)),"")</f>
        <v/>
      </c>
      <c r="C375" s="40" t="n"/>
      <c r="D375" s="59" t="n"/>
      <c r="E375" s="59" t="n"/>
      <c r="F375" s="59" t="n"/>
      <c r="G375" s="59" t="n"/>
      <c r="H375" s="59" t="n"/>
      <c r="I375" s="111">
        <f>IF($A375="","",IF(COUNT($D375:$H375)=0,"",ROUND($D375*وزن_جودة_العمل+$E375*وزن_الالتزام+$F375*وزن_الإنتاجية+$G375*وزن_التعاون+$H375*وزن_الأهداف,1)))</f>
        <v/>
      </c>
      <c r="J375" s="43">
        <f>IF($I375="","",IF($I375&gt;=90,"ممتاز",IF($I375&gt;=80,"جيد جدًا",IF($I375&gt;=70,"جيد",IF($I375&gt;=60,"مقبول","يحتاج تحسين")))))</f>
        <v/>
      </c>
      <c r="K375" s="40" t="n"/>
    </row>
    <row r="376">
      <c r="A376" s="47" t="n"/>
      <c r="B376" s="50">
        <f>IFERROR(INDEX(الموظفون_الاسم,MATCH($A376,الموظفون_الرقم,0)),"")</f>
        <v/>
      </c>
      <c r="C376" s="47" t="n"/>
      <c r="D376" s="62" t="n"/>
      <c r="E376" s="62" t="n"/>
      <c r="F376" s="62" t="n"/>
      <c r="G376" s="62" t="n"/>
      <c r="H376" s="62" t="n"/>
      <c r="I376" s="113">
        <f>IF($A376="","",IF(COUNT($D376:$H376)=0,"",ROUND($D376*وزن_جودة_العمل+$E376*وزن_الالتزام+$F376*وزن_الإنتاجية+$G376*وزن_التعاون+$H376*وزن_الأهداف,1)))</f>
        <v/>
      </c>
      <c r="J376" s="50">
        <f>IF($I376="","",IF($I376&gt;=90,"ممتاز",IF($I376&gt;=80,"جيد جدًا",IF($I376&gt;=70,"جيد",IF($I376&gt;=60,"مقبول","يحتاج تحسين")))))</f>
        <v/>
      </c>
      <c r="K376" s="47" t="n"/>
    </row>
    <row r="377">
      <c r="A377" s="40" t="n"/>
      <c r="B377" s="43">
        <f>IFERROR(INDEX(الموظفون_الاسم,MATCH($A377,الموظفون_الرقم,0)),"")</f>
        <v/>
      </c>
      <c r="C377" s="40" t="n"/>
      <c r="D377" s="59" t="n"/>
      <c r="E377" s="59" t="n"/>
      <c r="F377" s="59" t="n"/>
      <c r="G377" s="59" t="n"/>
      <c r="H377" s="59" t="n"/>
      <c r="I377" s="111">
        <f>IF($A377="","",IF(COUNT($D377:$H377)=0,"",ROUND($D377*وزن_جودة_العمل+$E377*وزن_الالتزام+$F377*وزن_الإنتاجية+$G377*وزن_التعاون+$H377*وزن_الأهداف,1)))</f>
        <v/>
      </c>
      <c r="J377" s="43">
        <f>IF($I377="","",IF($I377&gt;=90,"ممتاز",IF($I377&gt;=80,"جيد جدًا",IF($I377&gt;=70,"جيد",IF($I377&gt;=60,"مقبول","يحتاج تحسين")))))</f>
        <v/>
      </c>
      <c r="K377" s="40" t="n"/>
    </row>
    <row r="378">
      <c r="A378" s="47" t="n"/>
      <c r="B378" s="50">
        <f>IFERROR(INDEX(الموظفون_الاسم,MATCH($A378,الموظفون_الرقم,0)),"")</f>
        <v/>
      </c>
      <c r="C378" s="47" t="n"/>
      <c r="D378" s="62" t="n"/>
      <c r="E378" s="62" t="n"/>
      <c r="F378" s="62" t="n"/>
      <c r="G378" s="62" t="n"/>
      <c r="H378" s="62" t="n"/>
      <c r="I378" s="113">
        <f>IF($A378="","",IF(COUNT($D378:$H378)=0,"",ROUND($D378*وزن_جودة_العمل+$E378*وزن_الالتزام+$F378*وزن_الإنتاجية+$G378*وزن_التعاون+$H378*وزن_الأهداف,1)))</f>
        <v/>
      </c>
      <c r="J378" s="50">
        <f>IF($I378="","",IF($I378&gt;=90,"ممتاز",IF($I378&gt;=80,"جيد جدًا",IF($I378&gt;=70,"جيد",IF($I378&gt;=60,"مقبول","يحتاج تحسين")))))</f>
        <v/>
      </c>
      <c r="K378" s="47" t="n"/>
    </row>
    <row r="379">
      <c r="A379" s="40" t="n"/>
      <c r="B379" s="43">
        <f>IFERROR(INDEX(الموظفون_الاسم,MATCH($A379,الموظفون_الرقم,0)),"")</f>
        <v/>
      </c>
      <c r="C379" s="40" t="n"/>
      <c r="D379" s="59" t="n"/>
      <c r="E379" s="59" t="n"/>
      <c r="F379" s="59" t="n"/>
      <c r="G379" s="59" t="n"/>
      <c r="H379" s="59" t="n"/>
      <c r="I379" s="111">
        <f>IF($A379="","",IF(COUNT($D379:$H379)=0,"",ROUND($D379*وزن_جودة_العمل+$E379*وزن_الالتزام+$F379*وزن_الإنتاجية+$G379*وزن_التعاون+$H379*وزن_الأهداف,1)))</f>
        <v/>
      </c>
      <c r="J379" s="43">
        <f>IF($I379="","",IF($I379&gt;=90,"ممتاز",IF($I379&gt;=80,"جيد جدًا",IF($I379&gt;=70,"جيد",IF($I379&gt;=60,"مقبول","يحتاج تحسين")))))</f>
        <v/>
      </c>
      <c r="K379" s="40" t="n"/>
    </row>
    <row r="380">
      <c r="A380" s="47" t="n"/>
      <c r="B380" s="50">
        <f>IFERROR(INDEX(الموظفون_الاسم,MATCH($A380,الموظفون_الرقم,0)),"")</f>
        <v/>
      </c>
      <c r="C380" s="47" t="n"/>
      <c r="D380" s="62" t="n"/>
      <c r="E380" s="62" t="n"/>
      <c r="F380" s="62" t="n"/>
      <c r="G380" s="62" t="n"/>
      <c r="H380" s="62" t="n"/>
      <c r="I380" s="113">
        <f>IF($A380="","",IF(COUNT($D380:$H380)=0,"",ROUND($D380*وزن_جودة_العمل+$E380*وزن_الالتزام+$F380*وزن_الإنتاجية+$G380*وزن_التعاون+$H380*وزن_الأهداف,1)))</f>
        <v/>
      </c>
      <c r="J380" s="50">
        <f>IF($I380="","",IF($I380&gt;=90,"ممتاز",IF($I380&gt;=80,"جيد جدًا",IF($I380&gt;=70,"جيد",IF($I380&gt;=60,"مقبول","يحتاج تحسين")))))</f>
        <v/>
      </c>
      <c r="K380" s="47" t="n"/>
    </row>
    <row r="381">
      <c r="A381" s="40" t="n"/>
      <c r="B381" s="43">
        <f>IFERROR(INDEX(الموظفون_الاسم,MATCH($A381,الموظفون_الرقم,0)),"")</f>
        <v/>
      </c>
      <c r="C381" s="40" t="n"/>
      <c r="D381" s="59" t="n"/>
      <c r="E381" s="59" t="n"/>
      <c r="F381" s="59" t="n"/>
      <c r="G381" s="59" t="n"/>
      <c r="H381" s="59" t="n"/>
      <c r="I381" s="111">
        <f>IF($A381="","",IF(COUNT($D381:$H381)=0,"",ROUND($D381*وزن_جودة_العمل+$E381*وزن_الالتزام+$F381*وزن_الإنتاجية+$G381*وزن_التعاون+$H381*وزن_الأهداف,1)))</f>
        <v/>
      </c>
      <c r="J381" s="43">
        <f>IF($I381="","",IF($I381&gt;=90,"ممتاز",IF($I381&gt;=80,"جيد جدًا",IF($I381&gt;=70,"جيد",IF($I381&gt;=60,"مقبول","يحتاج تحسين")))))</f>
        <v/>
      </c>
      <c r="K381" s="40" t="n"/>
    </row>
    <row r="382">
      <c r="A382" s="47" t="n"/>
      <c r="B382" s="50">
        <f>IFERROR(INDEX(الموظفون_الاسم,MATCH($A382,الموظفون_الرقم,0)),"")</f>
        <v/>
      </c>
      <c r="C382" s="47" t="n"/>
      <c r="D382" s="62" t="n"/>
      <c r="E382" s="62" t="n"/>
      <c r="F382" s="62" t="n"/>
      <c r="G382" s="62" t="n"/>
      <c r="H382" s="62" t="n"/>
      <c r="I382" s="113">
        <f>IF($A382="","",IF(COUNT($D382:$H382)=0,"",ROUND($D382*وزن_جودة_العمل+$E382*وزن_الالتزام+$F382*وزن_الإنتاجية+$G382*وزن_التعاون+$H382*وزن_الأهداف,1)))</f>
        <v/>
      </c>
      <c r="J382" s="50">
        <f>IF($I382="","",IF($I382&gt;=90,"ممتاز",IF($I382&gt;=80,"جيد جدًا",IF($I382&gt;=70,"جيد",IF($I382&gt;=60,"مقبول","يحتاج تحسين")))))</f>
        <v/>
      </c>
      <c r="K382" s="47" t="n"/>
    </row>
    <row r="383">
      <c r="A383" s="40" t="n"/>
      <c r="B383" s="43">
        <f>IFERROR(INDEX(الموظفون_الاسم,MATCH($A383,الموظفون_الرقم,0)),"")</f>
        <v/>
      </c>
      <c r="C383" s="40" t="n"/>
      <c r="D383" s="59" t="n"/>
      <c r="E383" s="59" t="n"/>
      <c r="F383" s="59" t="n"/>
      <c r="G383" s="59" t="n"/>
      <c r="H383" s="59" t="n"/>
      <c r="I383" s="111">
        <f>IF($A383="","",IF(COUNT($D383:$H383)=0,"",ROUND($D383*وزن_جودة_العمل+$E383*وزن_الالتزام+$F383*وزن_الإنتاجية+$G383*وزن_التعاون+$H383*وزن_الأهداف,1)))</f>
        <v/>
      </c>
      <c r="J383" s="43">
        <f>IF($I383="","",IF($I383&gt;=90,"ممتاز",IF($I383&gt;=80,"جيد جدًا",IF($I383&gt;=70,"جيد",IF($I383&gt;=60,"مقبول","يحتاج تحسين")))))</f>
        <v/>
      </c>
      <c r="K383" s="40" t="n"/>
    </row>
    <row r="384">
      <c r="A384" s="47" t="n"/>
      <c r="B384" s="50">
        <f>IFERROR(INDEX(الموظفون_الاسم,MATCH($A384,الموظفون_الرقم,0)),"")</f>
        <v/>
      </c>
      <c r="C384" s="47" t="n"/>
      <c r="D384" s="62" t="n"/>
      <c r="E384" s="62" t="n"/>
      <c r="F384" s="62" t="n"/>
      <c r="G384" s="62" t="n"/>
      <c r="H384" s="62" t="n"/>
      <c r="I384" s="113">
        <f>IF($A384="","",IF(COUNT($D384:$H384)=0,"",ROUND($D384*وزن_جودة_العمل+$E384*وزن_الالتزام+$F384*وزن_الإنتاجية+$G384*وزن_التعاون+$H384*وزن_الأهداف,1)))</f>
        <v/>
      </c>
      <c r="J384" s="50">
        <f>IF($I384="","",IF($I384&gt;=90,"ممتاز",IF($I384&gt;=80,"جيد جدًا",IF($I384&gt;=70,"جيد",IF($I384&gt;=60,"مقبول","يحتاج تحسين")))))</f>
        <v/>
      </c>
      <c r="K384" s="47" t="n"/>
    </row>
    <row r="385">
      <c r="A385" s="40" t="n"/>
      <c r="B385" s="43">
        <f>IFERROR(INDEX(الموظفون_الاسم,MATCH($A385,الموظفون_الرقم,0)),"")</f>
        <v/>
      </c>
      <c r="C385" s="40" t="n"/>
      <c r="D385" s="59" t="n"/>
      <c r="E385" s="59" t="n"/>
      <c r="F385" s="59" t="n"/>
      <c r="G385" s="59" t="n"/>
      <c r="H385" s="59" t="n"/>
      <c r="I385" s="111">
        <f>IF($A385="","",IF(COUNT($D385:$H385)=0,"",ROUND($D385*وزن_جودة_العمل+$E385*وزن_الالتزام+$F385*وزن_الإنتاجية+$G385*وزن_التعاون+$H385*وزن_الأهداف,1)))</f>
        <v/>
      </c>
      <c r="J385" s="43">
        <f>IF($I385="","",IF($I385&gt;=90,"ممتاز",IF($I385&gt;=80,"جيد جدًا",IF($I385&gt;=70,"جيد",IF($I385&gt;=60,"مقبول","يحتاج تحسين")))))</f>
        <v/>
      </c>
      <c r="K385" s="40" t="n"/>
    </row>
    <row r="386">
      <c r="A386" s="47" t="n"/>
      <c r="B386" s="50">
        <f>IFERROR(INDEX(الموظفون_الاسم,MATCH($A386,الموظفون_الرقم,0)),"")</f>
        <v/>
      </c>
      <c r="C386" s="47" t="n"/>
      <c r="D386" s="62" t="n"/>
      <c r="E386" s="62" t="n"/>
      <c r="F386" s="62" t="n"/>
      <c r="G386" s="62" t="n"/>
      <c r="H386" s="62" t="n"/>
      <c r="I386" s="113">
        <f>IF($A386="","",IF(COUNT($D386:$H386)=0,"",ROUND($D386*وزن_جودة_العمل+$E386*وزن_الالتزام+$F386*وزن_الإنتاجية+$G386*وزن_التعاون+$H386*وزن_الأهداف,1)))</f>
        <v/>
      </c>
      <c r="J386" s="50">
        <f>IF($I386="","",IF($I386&gt;=90,"ممتاز",IF($I386&gt;=80,"جيد جدًا",IF($I386&gt;=70,"جيد",IF($I386&gt;=60,"مقبول","يحتاج تحسين")))))</f>
        <v/>
      </c>
      <c r="K386" s="47" t="n"/>
    </row>
    <row r="387">
      <c r="A387" s="40" t="n"/>
      <c r="B387" s="43">
        <f>IFERROR(INDEX(الموظفون_الاسم,MATCH($A387,الموظفون_الرقم,0)),"")</f>
        <v/>
      </c>
      <c r="C387" s="40" t="n"/>
      <c r="D387" s="59" t="n"/>
      <c r="E387" s="59" t="n"/>
      <c r="F387" s="59" t="n"/>
      <c r="G387" s="59" t="n"/>
      <c r="H387" s="59" t="n"/>
      <c r="I387" s="111">
        <f>IF($A387="","",IF(COUNT($D387:$H387)=0,"",ROUND($D387*وزن_جودة_العمل+$E387*وزن_الالتزام+$F387*وزن_الإنتاجية+$G387*وزن_التعاون+$H387*وزن_الأهداف,1)))</f>
        <v/>
      </c>
      <c r="J387" s="43">
        <f>IF($I387="","",IF($I387&gt;=90,"ممتاز",IF($I387&gt;=80,"جيد جدًا",IF($I387&gt;=70,"جيد",IF($I387&gt;=60,"مقبول","يحتاج تحسين")))))</f>
        <v/>
      </c>
      <c r="K387" s="40" t="n"/>
    </row>
    <row r="388">
      <c r="A388" s="47" t="n"/>
      <c r="B388" s="50">
        <f>IFERROR(INDEX(الموظفون_الاسم,MATCH($A388,الموظفون_الرقم,0)),"")</f>
        <v/>
      </c>
      <c r="C388" s="47" t="n"/>
      <c r="D388" s="62" t="n"/>
      <c r="E388" s="62" t="n"/>
      <c r="F388" s="62" t="n"/>
      <c r="G388" s="62" t="n"/>
      <c r="H388" s="62" t="n"/>
      <c r="I388" s="113">
        <f>IF($A388="","",IF(COUNT($D388:$H388)=0,"",ROUND($D388*وزن_جودة_العمل+$E388*وزن_الالتزام+$F388*وزن_الإنتاجية+$G388*وزن_التعاون+$H388*وزن_الأهداف,1)))</f>
        <v/>
      </c>
      <c r="J388" s="50">
        <f>IF($I388="","",IF($I388&gt;=90,"ممتاز",IF($I388&gt;=80,"جيد جدًا",IF($I388&gt;=70,"جيد",IF($I388&gt;=60,"مقبول","يحتاج تحسين")))))</f>
        <v/>
      </c>
      <c r="K388" s="47" t="n"/>
    </row>
    <row r="389">
      <c r="A389" s="40" t="n"/>
      <c r="B389" s="43">
        <f>IFERROR(INDEX(الموظفون_الاسم,MATCH($A389,الموظفون_الرقم,0)),"")</f>
        <v/>
      </c>
      <c r="C389" s="40" t="n"/>
      <c r="D389" s="59" t="n"/>
      <c r="E389" s="59" t="n"/>
      <c r="F389" s="59" t="n"/>
      <c r="G389" s="59" t="n"/>
      <c r="H389" s="59" t="n"/>
      <c r="I389" s="111">
        <f>IF($A389="","",IF(COUNT($D389:$H389)=0,"",ROUND($D389*وزن_جودة_العمل+$E389*وزن_الالتزام+$F389*وزن_الإنتاجية+$G389*وزن_التعاون+$H389*وزن_الأهداف,1)))</f>
        <v/>
      </c>
      <c r="J389" s="43">
        <f>IF($I389="","",IF($I389&gt;=90,"ممتاز",IF($I389&gt;=80,"جيد جدًا",IF($I389&gt;=70,"جيد",IF($I389&gt;=60,"مقبول","يحتاج تحسين")))))</f>
        <v/>
      </c>
      <c r="K389" s="40" t="n"/>
    </row>
    <row r="390">
      <c r="A390" s="47" t="n"/>
      <c r="B390" s="50">
        <f>IFERROR(INDEX(الموظفون_الاسم,MATCH($A390,الموظفون_الرقم,0)),"")</f>
        <v/>
      </c>
      <c r="C390" s="47" t="n"/>
      <c r="D390" s="62" t="n"/>
      <c r="E390" s="62" t="n"/>
      <c r="F390" s="62" t="n"/>
      <c r="G390" s="62" t="n"/>
      <c r="H390" s="62" t="n"/>
      <c r="I390" s="113">
        <f>IF($A390="","",IF(COUNT($D390:$H390)=0,"",ROUND($D390*وزن_جودة_العمل+$E390*وزن_الالتزام+$F390*وزن_الإنتاجية+$G390*وزن_التعاون+$H390*وزن_الأهداف,1)))</f>
        <v/>
      </c>
      <c r="J390" s="50">
        <f>IF($I390="","",IF($I390&gt;=90,"ممتاز",IF($I390&gt;=80,"جيد جدًا",IF($I390&gt;=70,"جيد",IF($I390&gt;=60,"مقبول","يحتاج تحسين")))))</f>
        <v/>
      </c>
      <c r="K390" s="47" t="n"/>
    </row>
    <row r="391">
      <c r="A391" s="40" t="n"/>
      <c r="B391" s="43">
        <f>IFERROR(INDEX(الموظفون_الاسم,MATCH($A391,الموظفون_الرقم,0)),"")</f>
        <v/>
      </c>
      <c r="C391" s="40" t="n"/>
      <c r="D391" s="59" t="n"/>
      <c r="E391" s="59" t="n"/>
      <c r="F391" s="59" t="n"/>
      <c r="G391" s="59" t="n"/>
      <c r="H391" s="59" t="n"/>
      <c r="I391" s="111">
        <f>IF($A391="","",IF(COUNT($D391:$H391)=0,"",ROUND($D391*وزن_جودة_العمل+$E391*وزن_الالتزام+$F391*وزن_الإنتاجية+$G391*وزن_التعاون+$H391*وزن_الأهداف,1)))</f>
        <v/>
      </c>
      <c r="J391" s="43">
        <f>IF($I391="","",IF($I391&gt;=90,"ممتاز",IF($I391&gt;=80,"جيد جدًا",IF($I391&gt;=70,"جيد",IF($I391&gt;=60,"مقبول","يحتاج تحسين")))))</f>
        <v/>
      </c>
      <c r="K391" s="40" t="n"/>
    </row>
    <row r="392">
      <c r="A392" s="47" t="n"/>
      <c r="B392" s="50">
        <f>IFERROR(INDEX(الموظفون_الاسم,MATCH($A392,الموظفون_الرقم,0)),"")</f>
        <v/>
      </c>
      <c r="C392" s="47" t="n"/>
      <c r="D392" s="62" t="n"/>
      <c r="E392" s="62" t="n"/>
      <c r="F392" s="62" t="n"/>
      <c r="G392" s="62" t="n"/>
      <c r="H392" s="62" t="n"/>
      <c r="I392" s="113">
        <f>IF($A392="","",IF(COUNT($D392:$H392)=0,"",ROUND($D392*وزن_جودة_العمل+$E392*وزن_الالتزام+$F392*وزن_الإنتاجية+$G392*وزن_التعاون+$H392*وزن_الأهداف,1)))</f>
        <v/>
      </c>
      <c r="J392" s="50">
        <f>IF($I392="","",IF($I392&gt;=90,"ممتاز",IF($I392&gt;=80,"جيد جدًا",IF($I392&gt;=70,"جيد",IF($I392&gt;=60,"مقبول","يحتاج تحسين")))))</f>
        <v/>
      </c>
      <c r="K392" s="47" t="n"/>
    </row>
    <row r="393">
      <c r="A393" s="40" t="n"/>
      <c r="B393" s="43">
        <f>IFERROR(INDEX(الموظفون_الاسم,MATCH($A393,الموظفون_الرقم,0)),"")</f>
        <v/>
      </c>
      <c r="C393" s="40" t="n"/>
      <c r="D393" s="59" t="n"/>
      <c r="E393" s="59" t="n"/>
      <c r="F393" s="59" t="n"/>
      <c r="G393" s="59" t="n"/>
      <c r="H393" s="59" t="n"/>
      <c r="I393" s="111">
        <f>IF($A393="","",IF(COUNT($D393:$H393)=0,"",ROUND($D393*وزن_جودة_العمل+$E393*وزن_الالتزام+$F393*وزن_الإنتاجية+$G393*وزن_التعاون+$H393*وزن_الأهداف,1)))</f>
        <v/>
      </c>
      <c r="J393" s="43">
        <f>IF($I393="","",IF($I393&gt;=90,"ممتاز",IF($I393&gt;=80,"جيد جدًا",IF($I393&gt;=70,"جيد",IF($I393&gt;=60,"مقبول","يحتاج تحسين")))))</f>
        <v/>
      </c>
      <c r="K393" s="40" t="n"/>
    </row>
    <row r="394">
      <c r="A394" s="47" t="n"/>
      <c r="B394" s="50">
        <f>IFERROR(INDEX(الموظفون_الاسم,MATCH($A394,الموظفون_الرقم,0)),"")</f>
        <v/>
      </c>
      <c r="C394" s="47" t="n"/>
      <c r="D394" s="62" t="n"/>
      <c r="E394" s="62" t="n"/>
      <c r="F394" s="62" t="n"/>
      <c r="G394" s="62" t="n"/>
      <c r="H394" s="62" t="n"/>
      <c r="I394" s="113">
        <f>IF($A394="","",IF(COUNT($D394:$H394)=0,"",ROUND($D394*وزن_جودة_العمل+$E394*وزن_الالتزام+$F394*وزن_الإنتاجية+$G394*وزن_التعاون+$H394*وزن_الأهداف,1)))</f>
        <v/>
      </c>
      <c r="J394" s="50">
        <f>IF($I394="","",IF($I394&gt;=90,"ممتاز",IF($I394&gt;=80,"جيد جدًا",IF($I394&gt;=70,"جيد",IF($I394&gt;=60,"مقبول","يحتاج تحسين")))))</f>
        <v/>
      </c>
      <c r="K394" s="47" t="n"/>
    </row>
    <row r="395">
      <c r="A395" s="40" t="n"/>
      <c r="B395" s="43">
        <f>IFERROR(INDEX(الموظفون_الاسم,MATCH($A395,الموظفون_الرقم,0)),"")</f>
        <v/>
      </c>
      <c r="C395" s="40" t="n"/>
      <c r="D395" s="59" t="n"/>
      <c r="E395" s="59" t="n"/>
      <c r="F395" s="59" t="n"/>
      <c r="G395" s="59" t="n"/>
      <c r="H395" s="59" t="n"/>
      <c r="I395" s="111">
        <f>IF($A395="","",IF(COUNT($D395:$H395)=0,"",ROUND($D395*وزن_جودة_العمل+$E395*وزن_الالتزام+$F395*وزن_الإنتاجية+$G395*وزن_التعاون+$H395*وزن_الأهداف,1)))</f>
        <v/>
      </c>
      <c r="J395" s="43">
        <f>IF($I395="","",IF($I395&gt;=90,"ممتاز",IF($I395&gt;=80,"جيد جدًا",IF($I395&gt;=70,"جيد",IF($I395&gt;=60,"مقبول","يحتاج تحسين")))))</f>
        <v/>
      </c>
      <c r="K395" s="40" t="n"/>
    </row>
    <row r="396">
      <c r="A396" s="47" t="n"/>
      <c r="B396" s="50">
        <f>IFERROR(INDEX(الموظفون_الاسم,MATCH($A396,الموظفون_الرقم,0)),"")</f>
        <v/>
      </c>
      <c r="C396" s="47" t="n"/>
      <c r="D396" s="62" t="n"/>
      <c r="E396" s="62" t="n"/>
      <c r="F396" s="62" t="n"/>
      <c r="G396" s="62" t="n"/>
      <c r="H396" s="62" t="n"/>
      <c r="I396" s="113">
        <f>IF($A396="","",IF(COUNT($D396:$H396)=0,"",ROUND($D396*وزن_جودة_العمل+$E396*وزن_الالتزام+$F396*وزن_الإنتاجية+$G396*وزن_التعاون+$H396*وزن_الأهداف,1)))</f>
        <v/>
      </c>
      <c r="J396" s="50">
        <f>IF($I396="","",IF($I396&gt;=90,"ممتاز",IF($I396&gt;=80,"جيد جدًا",IF($I396&gt;=70,"جيد",IF($I396&gt;=60,"مقبول","يحتاج تحسين")))))</f>
        <v/>
      </c>
      <c r="K396" s="47" t="n"/>
    </row>
    <row r="397">
      <c r="A397" s="40" t="n"/>
      <c r="B397" s="43">
        <f>IFERROR(INDEX(الموظفون_الاسم,MATCH($A397,الموظفون_الرقم,0)),"")</f>
        <v/>
      </c>
      <c r="C397" s="40" t="n"/>
      <c r="D397" s="59" t="n"/>
      <c r="E397" s="59" t="n"/>
      <c r="F397" s="59" t="n"/>
      <c r="G397" s="59" t="n"/>
      <c r="H397" s="59" t="n"/>
      <c r="I397" s="111">
        <f>IF($A397="","",IF(COUNT($D397:$H397)=0,"",ROUND($D397*وزن_جودة_العمل+$E397*وزن_الالتزام+$F397*وزن_الإنتاجية+$G397*وزن_التعاون+$H397*وزن_الأهداف,1)))</f>
        <v/>
      </c>
      <c r="J397" s="43">
        <f>IF($I397="","",IF($I397&gt;=90,"ممتاز",IF($I397&gt;=80,"جيد جدًا",IF($I397&gt;=70,"جيد",IF($I397&gt;=60,"مقبول","يحتاج تحسين")))))</f>
        <v/>
      </c>
      <c r="K397" s="40" t="n"/>
    </row>
    <row r="398">
      <c r="A398" s="47" t="n"/>
      <c r="B398" s="50">
        <f>IFERROR(INDEX(الموظفون_الاسم,MATCH($A398,الموظفون_الرقم,0)),"")</f>
        <v/>
      </c>
      <c r="C398" s="47" t="n"/>
      <c r="D398" s="62" t="n"/>
      <c r="E398" s="62" t="n"/>
      <c r="F398" s="62" t="n"/>
      <c r="G398" s="62" t="n"/>
      <c r="H398" s="62" t="n"/>
      <c r="I398" s="113">
        <f>IF($A398="","",IF(COUNT($D398:$H398)=0,"",ROUND($D398*وزن_جودة_العمل+$E398*وزن_الالتزام+$F398*وزن_الإنتاجية+$G398*وزن_التعاون+$H398*وزن_الأهداف,1)))</f>
        <v/>
      </c>
      <c r="J398" s="50">
        <f>IF($I398="","",IF($I398&gt;=90,"ممتاز",IF($I398&gt;=80,"جيد جدًا",IF($I398&gt;=70,"جيد",IF($I398&gt;=60,"مقبول","يحتاج تحسين")))))</f>
        <v/>
      </c>
      <c r="K398" s="47" t="n"/>
    </row>
    <row r="399">
      <c r="A399" s="40" t="n"/>
      <c r="B399" s="43">
        <f>IFERROR(INDEX(الموظفون_الاسم,MATCH($A399,الموظفون_الرقم,0)),"")</f>
        <v/>
      </c>
      <c r="C399" s="40" t="n"/>
      <c r="D399" s="59" t="n"/>
      <c r="E399" s="59" t="n"/>
      <c r="F399" s="59" t="n"/>
      <c r="G399" s="59" t="n"/>
      <c r="H399" s="59" t="n"/>
      <c r="I399" s="111">
        <f>IF($A399="","",IF(COUNT($D399:$H399)=0,"",ROUND($D399*وزن_جودة_العمل+$E399*وزن_الالتزام+$F399*وزن_الإنتاجية+$G399*وزن_التعاون+$H399*وزن_الأهداف,1)))</f>
        <v/>
      </c>
      <c r="J399" s="43">
        <f>IF($I399="","",IF($I399&gt;=90,"ممتاز",IF($I399&gt;=80,"جيد جدًا",IF($I399&gt;=70,"جيد",IF($I399&gt;=60,"مقبول","يحتاج تحسين")))))</f>
        <v/>
      </c>
      <c r="K399" s="40" t="n"/>
    </row>
    <row r="400">
      <c r="A400" s="47" t="n"/>
      <c r="B400" s="50">
        <f>IFERROR(INDEX(الموظفون_الاسم,MATCH($A400,الموظفون_الرقم,0)),"")</f>
        <v/>
      </c>
      <c r="C400" s="47" t="n"/>
      <c r="D400" s="62" t="n"/>
      <c r="E400" s="62" t="n"/>
      <c r="F400" s="62" t="n"/>
      <c r="G400" s="62" t="n"/>
      <c r="H400" s="62" t="n"/>
      <c r="I400" s="113">
        <f>IF($A400="","",IF(COUNT($D400:$H400)=0,"",ROUND($D400*وزن_جودة_العمل+$E400*وزن_الالتزام+$F400*وزن_الإنتاجية+$G400*وزن_التعاون+$H400*وزن_الأهداف,1)))</f>
        <v/>
      </c>
      <c r="J400" s="50">
        <f>IF($I400="","",IF($I400&gt;=90,"ممتاز",IF($I400&gt;=80,"جيد جدًا",IF($I400&gt;=70,"جيد",IF($I400&gt;=60,"مقبول","يحتاج تحسين")))))</f>
        <v/>
      </c>
      <c r="K400" s="47" t="n"/>
    </row>
    <row r="401">
      <c r="A401" s="40" t="n"/>
      <c r="B401" s="43">
        <f>IFERROR(INDEX(الموظفون_الاسم,MATCH($A401,الموظفون_الرقم,0)),"")</f>
        <v/>
      </c>
      <c r="C401" s="40" t="n"/>
      <c r="D401" s="59" t="n"/>
      <c r="E401" s="59" t="n"/>
      <c r="F401" s="59" t="n"/>
      <c r="G401" s="59" t="n"/>
      <c r="H401" s="59" t="n"/>
      <c r="I401" s="111">
        <f>IF($A401="","",IF(COUNT($D401:$H401)=0,"",ROUND($D401*وزن_جودة_العمل+$E401*وزن_الالتزام+$F401*وزن_الإنتاجية+$G401*وزن_التعاون+$H401*وزن_الأهداف,1)))</f>
        <v/>
      </c>
      <c r="J401" s="43">
        <f>IF($I401="","",IF($I401&gt;=90,"ممتاز",IF($I401&gt;=80,"جيد جدًا",IF($I401&gt;=70,"جيد",IF($I401&gt;=60,"مقبول","يحتاج تحسين")))))</f>
        <v/>
      </c>
      <c r="K401" s="40" t="n"/>
    </row>
    <row r="402">
      <c r="A402" s="47" t="n"/>
      <c r="B402" s="50">
        <f>IFERROR(INDEX(الموظفون_الاسم,MATCH($A402,الموظفون_الرقم,0)),"")</f>
        <v/>
      </c>
      <c r="C402" s="47" t="n"/>
      <c r="D402" s="62" t="n"/>
      <c r="E402" s="62" t="n"/>
      <c r="F402" s="62" t="n"/>
      <c r="G402" s="62" t="n"/>
      <c r="H402" s="62" t="n"/>
      <c r="I402" s="113">
        <f>IF($A402="","",IF(COUNT($D402:$H402)=0,"",ROUND($D402*وزن_جودة_العمل+$E402*وزن_الالتزام+$F402*وزن_الإنتاجية+$G402*وزن_التعاون+$H402*وزن_الأهداف,1)))</f>
        <v/>
      </c>
      <c r="J402" s="50">
        <f>IF($I402="","",IF($I402&gt;=90,"ممتاز",IF($I402&gt;=80,"جيد جدًا",IF($I402&gt;=70,"جيد",IF($I402&gt;=60,"مقبول","يحتاج تحسين")))))</f>
        <v/>
      </c>
      <c r="K402" s="47" t="n"/>
    </row>
    <row r="403">
      <c r="A403" s="40" t="n"/>
      <c r="B403" s="43">
        <f>IFERROR(INDEX(الموظفون_الاسم,MATCH($A403,الموظفون_الرقم,0)),"")</f>
        <v/>
      </c>
      <c r="C403" s="40" t="n"/>
      <c r="D403" s="59" t="n"/>
      <c r="E403" s="59" t="n"/>
      <c r="F403" s="59" t="n"/>
      <c r="G403" s="59" t="n"/>
      <c r="H403" s="59" t="n"/>
      <c r="I403" s="111">
        <f>IF($A403="","",IF(COUNT($D403:$H403)=0,"",ROUND($D403*وزن_جودة_العمل+$E403*وزن_الالتزام+$F403*وزن_الإنتاجية+$G403*وزن_التعاون+$H403*وزن_الأهداف,1)))</f>
        <v/>
      </c>
      <c r="J403" s="43">
        <f>IF($I403="","",IF($I403&gt;=90,"ممتاز",IF($I403&gt;=80,"جيد جدًا",IF($I403&gt;=70,"جيد",IF($I403&gt;=60,"مقبول","يحتاج تحسين")))))</f>
        <v/>
      </c>
      <c r="K403" s="40" t="n"/>
    </row>
    <row r="404">
      <c r="A404" s="47" t="n"/>
      <c r="B404" s="50">
        <f>IFERROR(INDEX(الموظفون_الاسم,MATCH($A404,الموظفون_الرقم,0)),"")</f>
        <v/>
      </c>
      <c r="C404" s="47" t="n"/>
      <c r="D404" s="62" t="n"/>
      <c r="E404" s="62" t="n"/>
      <c r="F404" s="62" t="n"/>
      <c r="G404" s="62" t="n"/>
      <c r="H404" s="62" t="n"/>
      <c r="I404" s="113">
        <f>IF($A404="","",IF(COUNT($D404:$H404)=0,"",ROUND($D404*وزن_جودة_العمل+$E404*وزن_الالتزام+$F404*وزن_الإنتاجية+$G404*وزن_التعاون+$H404*وزن_الأهداف,1)))</f>
        <v/>
      </c>
      <c r="J404" s="50">
        <f>IF($I404="","",IF($I404&gt;=90,"ممتاز",IF($I404&gt;=80,"جيد جدًا",IF($I404&gt;=70,"جيد",IF($I404&gt;=60,"مقبول","يحتاج تحسين")))))</f>
        <v/>
      </c>
      <c r="K404" s="47" t="n"/>
    </row>
    <row r="405">
      <c r="A405" s="40" t="n"/>
      <c r="B405" s="43">
        <f>IFERROR(INDEX(الموظفون_الاسم,MATCH($A405,الموظفون_الرقم,0)),"")</f>
        <v/>
      </c>
      <c r="C405" s="40" t="n"/>
      <c r="D405" s="59" t="n"/>
      <c r="E405" s="59" t="n"/>
      <c r="F405" s="59" t="n"/>
      <c r="G405" s="59" t="n"/>
      <c r="H405" s="59" t="n"/>
      <c r="I405" s="111">
        <f>IF($A405="","",IF(COUNT($D405:$H405)=0,"",ROUND($D405*وزن_جودة_العمل+$E405*وزن_الالتزام+$F405*وزن_الإنتاجية+$G405*وزن_التعاون+$H405*وزن_الأهداف,1)))</f>
        <v/>
      </c>
      <c r="J405" s="43">
        <f>IF($I405="","",IF($I405&gt;=90,"ممتاز",IF($I405&gt;=80,"جيد جدًا",IF($I405&gt;=70,"جيد",IF($I405&gt;=60,"مقبول","يحتاج تحسين")))))</f>
        <v/>
      </c>
      <c r="K405" s="40" t="n"/>
    </row>
    <row r="406">
      <c r="A406" s="47" t="n"/>
      <c r="B406" s="50">
        <f>IFERROR(INDEX(الموظفون_الاسم,MATCH($A406,الموظفون_الرقم,0)),"")</f>
        <v/>
      </c>
      <c r="C406" s="47" t="n"/>
      <c r="D406" s="62" t="n"/>
      <c r="E406" s="62" t="n"/>
      <c r="F406" s="62" t="n"/>
      <c r="G406" s="62" t="n"/>
      <c r="H406" s="62" t="n"/>
      <c r="I406" s="113">
        <f>IF($A406="","",IF(COUNT($D406:$H406)=0,"",ROUND($D406*وزن_جودة_العمل+$E406*وزن_الالتزام+$F406*وزن_الإنتاجية+$G406*وزن_التعاون+$H406*وزن_الأهداف,1)))</f>
        <v/>
      </c>
      <c r="J406" s="50">
        <f>IF($I406="","",IF($I406&gt;=90,"ممتاز",IF($I406&gt;=80,"جيد جدًا",IF($I406&gt;=70,"جيد",IF($I406&gt;=60,"مقبول","يحتاج تحسين")))))</f>
        <v/>
      </c>
      <c r="K406" s="47" t="n"/>
    </row>
    <row r="407">
      <c r="A407" s="40" t="n"/>
      <c r="B407" s="43">
        <f>IFERROR(INDEX(الموظفون_الاسم,MATCH($A407,الموظفون_الرقم,0)),"")</f>
        <v/>
      </c>
      <c r="C407" s="40" t="n"/>
      <c r="D407" s="59" t="n"/>
      <c r="E407" s="59" t="n"/>
      <c r="F407" s="59" t="n"/>
      <c r="G407" s="59" t="n"/>
      <c r="H407" s="59" t="n"/>
      <c r="I407" s="111">
        <f>IF($A407="","",IF(COUNT($D407:$H407)=0,"",ROUND($D407*وزن_جودة_العمل+$E407*وزن_الالتزام+$F407*وزن_الإنتاجية+$G407*وزن_التعاون+$H407*وزن_الأهداف,1)))</f>
        <v/>
      </c>
      <c r="J407" s="43">
        <f>IF($I407="","",IF($I407&gt;=90,"ممتاز",IF($I407&gt;=80,"جيد جدًا",IF($I407&gt;=70,"جيد",IF($I407&gt;=60,"مقبول","يحتاج تحسين")))))</f>
        <v/>
      </c>
      <c r="K407" s="40" t="n"/>
    </row>
    <row r="408">
      <c r="A408" s="47" t="n"/>
      <c r="B408" s="50">
        <f>IFERROR(INDEX(الموظفون_الاسم,MATCH($A408,الموظفون_الرقم,0)),"")</f>
        <v/>
      </c>
      <c r="C408" s="47" t="n"/>
      <c r="D408" s="62" t="n"/>
      <c r="E408" s="62" t="n"/>
      <c r="F408" s="62" t="n"/>
      <c r="G408" s="62" t="n"/>
      <c r="H408" s="62" t="n"/>
      <c r="I408" s="113">
        <f>IF($A408="","",IF(COUNT($D408:$H408)=0,"",ROUND($D408*وزن_جودة_العمل+$E408*وزن_الالتزام+$F408*وزن_الإنتاجية+$G408*وزن_التعاون+$H408*وزن_الأهداف,1)))</f>
        <v/>
      </c>
      <c r="J408" s="50">
        <f>IF($I408="","",IF($I408&gt;=90,"ممتاز",IF($I408&gt;=80,"جيد جدًا",IF($I408&gt;=70,"جيد",IF($I408&gt;=60,"مقبول","يحتاج تحسين")))))</f>
        <v/>
      </c>
      <c r="K408" s="47" t="n"/>
    </row>
    <row r="409">
      <c r="A409" s="40" t="n"/>
      <c r="B409" s="43">
        <f>IFERROR(INDEX(الموظفون_الاسم,MATCH($A409,الموظفون_الرقم,0)),"")</f>
        <v/>
      </c>
      <c r="C409" s="40" t="n"/>
      <c r="D409" s="59" t="n"/>
      <c r="E409" s="59" t="n"/>
      <c r="F409" s="59" t="n"/>
      <c r="G409" s="59" t="n"/>
      <c r="H409" s="59" t="n"/>
      <c r="I409" s="111">
        <f>IF($A409="","",IF(COUNT($D409:$H409)=0,"",ROUND($D409*وزن_جودة_العمل+$E409*وزن_الالتزام+$F409*وزن_الإنتاجية+$G409*وزن_التعاون+$H409*وزن_الأهداف,1)))</f>
        <v/>
      </c>
      <c r="J409" s="43">
        <f>IF($I409="","",IF($I409&gt;=90,"ممتاز",IF($I409&gt;=80,"جيد جدًا",IF($I409&gt;=70,"جيد",IF($I409&gt;=60,"مقبول","يحتاج تحسين")))))</f>
        <v/>
      </c>
      <c r="K409" s="40" t="n"/>
    </row>
    <row r="410">
      <c r="A410" s="47" t="n"/>
      <c r="B410" s="50">
        <f>IFERROR(INDEX(الموظفون_الاسم,MATCH($A410,الموظفون_الرقم,0)),"")</f>
        <v/>
      </c>
      <c r="C410" s="47" t="n"/>
      <c r="D410" s="62" t="n"/>
      <c r="E410" s="62" t="n"/>
      <c r="F410" s="62" t="n"/>
      <c r="G410" s="62" t="n"/>
      <c r="H410" s="62" t="n"/>
      <c r="I410" s="113">
        <f>IF($A410="","",IF(COUNT($D410:$H410)=0,"",ROUND($D410*وزن_جودة_العمل+$E410*وزن_الالتزام+$F410*وزن_الإنتاجية+$G410*وزن_التعاون+$H410*وزن_الأهداف,1)))</f>
        <v/>
      </c>
      <c r="J410" s="50">
        <f>IF($I410="","",IF($I410&gt;=90,"ممتاز",IF($I410&gt;=80,"جيد جدًا",IF($I410&gt;=70,"جيد",IF($I410&gt;=60,"مقبول","يحتاج تحسين")))))</f>
        <v/>
      </c>
      <c r="K410" s="47" t="n"/>
    </row>
    <row r="411">
      <c r="A411" s="40" t="n"/>
      <c r="B411" s="43">
        <f>IFERROR(INDEX(الموظفون_الاسم,MATCH($A411,الموظفون_الرقم,0)),"")</f>
        <v/>
      </c>
      <c r="C411" s="40" t="n"/>
      <c r="D411" s="59" t="n"/>
      <c r="E411" s="59" t="n"/>
      <c r="F411" s="59" t="n"/>
      <c r="G411" s="59" t="n"/>
      <c r="H411" s="59" t="n"/>
      <c r="I411" s="111">
        <f>IF($A411="","",IF(COUNT($D411:$H411)=0,"",ROUND($D411*وزن_جودة_العمل+$E411*وزن_الالتزام+$F411*وزن_الإنتاجية+$G411*وزن_التعاون+$H411*وزن_الأهداف,1)))</f>
        <v/>
      </c>
      <c r="J411" s="43">
        <f>IF($I411="","",IF($I411&gt;=90,"ممتاز",IF($I411&gt;=80,"جيد جدًا",IF($I411&gt;=70,"جيد",IF($I411&gt;=60,"مقبول","يحتاج تحسين")))))</f>
        <v/>
      </c>
      <c r="K411" s="40" t="n"/>
    </row>
    <row r="412">
      <c r="A412" s="47" t="n"/>
      <c r="B412" s="50">
        <f>IFERROR(INDEX(الموظفون_الاسم,MATCH($A412,الموظفون_الرقم,0)),"")</f>
        <v/>
      </c>
      <c r="C412" s="47" t="n"/>
      <c r="D412" s="62" t="n"/>
      <c r="E412" s="62" t="n"/>
      <c r="F412" s="62" t="n"/>
      <c r="G412" s="62" t="n"/>
      <c r="H412" s="62" t="n"/>
      <c r="I412" s="113">
        <f>IF($A412="","",IF(COUNT($D412:$H412)=0,"",ROUND($D412*وزن_جودة_العمل+$E412*وزن_الالتزام+$F412*وزن_الإنتاجية+$G412*وزن_التعاون+$H412*وزن_الأهداف,1)))</f>
        <v/>
      </c>
      <c r="J412" s="50">
        <f>IF($I412="","",IF($I412&gt;=90,"ممتاز",IF($I412&gt;=80,"جيد جدًا",IF($I412&gt;=70,"جيد",IF($I412&gt;=60,"مقبول","يحتاج تحسين")))))</f>
        <v/>
      </c>
      <c r="K412" s="47" t="n"/>
    </row>
    <row r="413">
      <c r="A413" s="40" t="n"/>
      <c r="B413" s="43">
        <f>IFERROR(INDEX(الموظفون_الاسم,MATCH($A413,الموظفون_الرقم,0)),"")</f>
        <v/>
      </c>
      <c r="C413" s="40" t="n"/>
      <c r="D413" s="59" t="n"/>
      <c r="E413" s="59" t="n"/>
      <c r="F413" s="59" t="n"/>
      <c r="G413" s="59" t="n"/>
      <c r="H413" s="59" t="n"/>
      <c r="I413" s="111">
        <f>IF($A413="","",IF(COUNT($D413:$H413)=0,"",ROUND($D413*وزن_جودة_العمل+$E413*وزن_الالتزام+$F413*وزن_الإنتاجية+$G413*وزن_التعاون+$H413*وزن_الأهداف,1)))</f>
        <v/>
      </c>
      <c r="J413" s="43">
        <f>IF($I413="","",IF($I413&gt;=90,"ممتاز",IF($I413&gt;=80,"جيد جدًا",IF($I413&gt;=70,"جيد",IF($I413&gt;=60,"مقبول","يحتاج تحسين")))))</f>
        <v/>
      </c>
      <c r="K413" s="40" t="n"/>
    </row>
    <row r="414">
      <c r="A414" s="47" t="n"/>
      <c r="B414" s="50">
        <f>IFERROR(INDEX(الموظفون_الاسم,MATCH($A414,الموظفون_الرقم,0)),"")</f>
        <v/>
      </c>
      <c r="C414" s="47" t="n"/>
      <c r="D414" s="62" t="n"/>
      <c r="E414" s="62" t="n"/>
      <c r="F414" s="62" t="n"/>
      <c r="G414" s="62" t="n"/>
      <c r="H414" s="62" t="n"/>
      <c r="I414" s="113">
        <f>IF($A414="","",IF(COUNT($D414:$H414)=0,"",ROUND($D414*وزن_جودة_العمل+$E414*وزن_الالتزام+$F414*وزن_الإنتاجية+$G414*وزن_التعاون+$H414*وزن_الأهداف,1)))</f>
        <v/>
      </c>
      <c r="J414" s="50">
        <f>IF($I414="","",IF($I414&gt;=90,"ممتاز",IF($I414&gt;=80,"جيد جدًا",IF($I414&gt;=70,"جيد",IF($I414&gt;=60,"مقبول","يحتاج تحسين")))))</f>
        <v/>
      </c>
      <c r="K414" s="47" t="n"/>
    </row>
    <row r="415">
      <c r="A415" s="40" t="n"/>
      <c r="B415" s="43">
        <f>IFERROR(INDEX(الموظفون_الاسم,MATCH($A415,الموظفون_الرقم,0)),"")</f>
        <v/>
      </c>
      <c r="C415" s="40" t="n"/>
      <c r="D415" s="59" t="n"/>
      <c r="E415" s="59" t="n"/>
      <c r="F415" s="59" t="n"/>
      <c r="G415" s="59" t="n"/>
      <c r="H415" s="59" t="n"/>
      <c r="I415" s="111">
        <f>IF($A415="","",IF(COUNT($D415:$H415)=0,"",ROUND($D415*وزن_جودة_العمل+$E415*وزن_الالتزام+$F415*وزن_الإنتاجية+$G415*وزن_التعاون+$H415*وزن_الأهداف,1)))</f>
        <v/>
      </c>
      <c r="J415" s="43">
        <f>IF($I415="","",IF($I415&gt;=90,"ممتاز",IF($I415&gt;=80,"جيد جدًا",IF($I415&gt;=70,"جيد",IF($I415&gt;=60,"مقبول","يحتاج تحسين")))))</f>
        <v/>
      </c>
      <c r="K415" s="40" t="n"/>
    </row>
    <row r="416">
      <c r="A416" s="47" t="n"/>
      <c r="B416" s="50">
        <f>IFERROR(INDEX(الموظفون_الاسم,MATCH($A416,الموظفون_الرقم,0)),"")</f>
        <v/>
      </c>
      <c r="C416" s="47" t="n"/>
      <c r="D416" s="62" t="n"/>
      <c r="E416" s="62" t="n"/>
      <c r="F416" s="62" t="n"/>
      <c r="G416" s="62" t="n"/>
      <c r="H416" s="62" t="n"/>
      <c r="I416" s="113">
        <f>IF($A416="","",IF(COUNT($D416:$H416)=0,"",ROUND($D416*وزن_جودة_العمل+$E416*وزن_الالتزام+$F416*وزن_الإنتاجية+$G416*وزن_التعاون+$H416*وزن_الأهداف,1)))</f>
        <v/>
      </c>
      <c r="J416" s="50">
        <f>IF($I416="","",IF($I416&gt;=90,"ممتاز",IF($I416&gt;=80,"جيد جدًا",IF($I416&gt;=70,"جيد",IF($I416&gt;=60,"مقبول","يحتاج تحسين")))))</f>
        <v/>
      </c>
      <c r="K416" s="47" t="n"/>
    </row>
    <row r="417">
      <c r="A417" s="40" t="n"/>
      <c r="B417" s="43">
        <f>IFERROR(INDEX(الموظفون_الاسم,MATCH($A417,الموظفون_الرقم,0)),"")</f>
        <v/>
      </c>
      <c r="C417" s="40" t="n"/>
      <c r="D417" s="59" t="n"/>
      <c r="E417" s="59" t="n"/>
      <c r="F417" s="59" t="n"/>
      <c r="G417" s="59" t="n"/>
      <c r="H417" s="59" t="n"/>
      <c r="I417" s="111">
        <f>IF($A417="","",IF(COUNT($D417:$H417)=0,"",ROUND($D417*وزن_جودة_العمل+$E417*وزن_الالتزام+$F417*وزن_الإنتاجية+$G417*وزن_التعاون+$H417*وزن_الأهداف,1)))</f>
        <v/>
      </c>
      <c r="J417" s="43">
        <f>IF($I417="","",IF($I417&gt;=90,"ممتاز",IF($I417&gt;=80,"جيد جدًا",IF($I417&gt;=70,"جيد",IF($I417&gt;=60,"مقبول","يحتاج تحسين")))))</f>
        <v/>
      </c>
      <c r="K417" s="40" t="n"/>
    </row>
    <row r="418">
      <c r="A418" s="47" t="n"/>
      <c r="B418" s="50">
        <f>IFERROR(INDEX(الموظفون_الاسم,MATCH($A418,الموظفون_الرقم,0)),"")</f>
        <v/>
      </c>
      <c r="C418" s="47" t="n"/>
      <c r="D418" s="62" t="n"/>
      <c r="E418" s="62" t="n"/>
      <c r="F418" s="62" t="n"/>
      <c r="G418" s="62" t="n"/>
      <c r="H418" s="62" t="n"/>
      <c r="I418" s="113">
        <f>IF($A418="","",IF(COUNT($D418:$H418)=0,"",ROUND($D418*وزن_جودة_العمل+$E418*وزن_الالتزام+$F418*وزن_الإنتاجية+$G418*وزن_التعاون+$H418*وزن_الأهداف,1)))</f>
        <v/>
      </c>
      <c r="J418" s="50">
        <f>IF($I418="","",IF($I418&gt;=90,"ممتاز",IF($I418&gt;=80,"جيد جدًا",IF($I418&gt;=70,"جيد",IF($I418&gt;=60,"مقبول","يحتاج تحسين")))))</f>
        <v/>
      </c>
      <c r="K418" s="47" t="n"/>
    </row>
    <row r="419">
      <c r="A419" s="40" t="n"/>
      <c r="B419" s="43">
        <f>IFERROR(INDEX(الموظفون_الاسم,MATCH($A419,الموظفون_الرقم,0)),"")</f>
        <v/>
      </c>
      <c r="C419" s="40" t="n"/>
      <c r="D419" s="59" t="n"/>
      <c r="E419" s="59" t="n"/>
      <c r="F419" s="59" t="n"/>
      <c r="G419" s="59" t="n"/>
      <c r="H419" s="59" t="n"/>
      <c r="I419" s="111">
        <f>IF($A419="","",IF(COUNT($D419:$H419)=0,"",ROUND($D419*وزن_جودة_العمل+$E419*وزن_الالتزام+$F419*وزن_الإنتاجية+$G419*وزن_التعاون+$H419*وزن_الأهداف,1)))</f>
        <v/>
      </c>
      <c r="J419" s="43">
        <f>IF($I419="","",IF($I419&gt;=90,"ممتاز",IF($I419&gt;=80,"جيد جدًا",IF($I419&gt;=70,"جيد",IF($I419&gt;=60,"مقبول","يحتاج تحسين")))))</f>
        <v/>
      </c>
      <c r="K419" s="40" t="n"/>
    </row>
    <row r="420">
      <c r="A420" s="47" t="n"/>
      <c r="B420" s="50">
        <f>IFERROR(INDEX(الموظفون_الاسم,MATCH($A420,الموظفون_الرقم,0)),"")</f>
        <v/>
      </c>
      <c r="C420" s="47" t="n"/>
      <c r="D420" s="62" t="n"/>
      <c r="E420" s="62" t="n"/>
      <c r="F420" s="62" t="n"/>
      <c r="G420" s="62" t="n"/>
      <c r="H420" s="62" t="n"/>
      <c r="I420" s="113">
        <f>IF($A420="","",IF(COUNT($D420:$H420)=0,"",ROUND($D420*وزن_جودة_العمل+$E420*وزن_الالتزام+$F420*وزن_الإنتاجية+$G420*وزن_التعاون+$H420*وزن_الأهداف,1)))</f>
        <v/>
      </c>
      <c r="J420" s="50">
        <f>IF($I420="","",IF($I420&gt;=90,"ممتاز",IF($I420&gt;=80,"جيد جدًا",IF($I420&gt;=70,"جيد",IF($I420&gt;=60,"مقبول","يحتاج تحسين")))))</f>
        <v/>
      </c>
      <c r="K420" s="47" t="n"/>
    </row>
    <row r="421">
      <c r="A421" s="40" t="n"/>
      <c r="B421" s="43">
        <f>IFERROR(INDEX(الموظفون_الاسم,MATCH($A421,الموظفون_الرقم,0)),"")</f>
        <v/>
      </c>
      <c r="C421" s="40" t="n"/>
      <c r="D421" s="59" t="n"/>
      <c r="E421" s="59" t="n"/>
      <c r="F421" s="59" t="n"/>
      <c r="G421" s="59" t="n"/>
      <c r="H421" s="59" t="n"/>
      <c r="I421" s="111">
        <f>IF($A421="","",IF(COUNT($D421:$H421)=0,"",ROUND($D421*وزن_جودة_العمل+$E421*وزن_الالتزام+$F421*وزن_الإنتاجية+$G421*وزن_التعاون+$H421*وزن_الأهداف,1)))</f>
        <v/>
      </c>
      <c r="J421" s="43">
        <f>IF($I421="","",IF($I421&gt;=90,"ممتاز",IF($I421&gt;=80,"جيد جدًا",IF($I421&gt;=70,"جيد",IF($I421&gt;=60,"مقبول","يحتاج تحسين")))))</f>
        <v/>
      </c>
      <c r="K421" s="40" t="n"/>
    </row>
    <row r="422">
      <c r="A422" s="47" t="n"/>
      <c r="B422" s="50">
        <f>IFERROR(INDEX(الموظفون_الاسم,MATCH($A422,الموظفون_الرقم,0)),"")</f>
        <v/>
      </c>
      <c r="C422" s="47" t="n"/>
      <c r="D422" s="62" t="n"/>
      <c r="E422" s="62" t="n"/>
      <c r="F422" s="62" t="n"/>
      <c r="G422" s="62" t="n"/>
      <c r="H422" s="62" t="n"/>
      <c r="I422" s="113">
        <f>IF($A422="","",IF(COUNT($D422:$H422)=0,"",ROUND($D422*وزن_جودة_العمل+$E422*وزن_الالتزام+$F422*وزن_الإنتاجية+$G422*وزن_التعاون+$H422*وزن_الأهداف,1)))</f>
        <v/>
      </c>
      <c r="J422" s="50">
        <f>IF($I422="","",IF($I422&gt;=90,"ممتاز",IF($I422&gt;=80,"جيد جدًا",IF($I422&gt;=70,"جيد",IF($I422&gt;=60,"مقبول","يحتاج تحسين")))))</f>
        <v/>
      </c>
      <c r="K422" s="47" t="n"/>
    </row>
    <row r="423">
      <c r="A423" s="40" t="n"/>
      <c r="B423" s="43">
        <f>IFERROR(INDEX(الموظفون_الاسم,MATCH($A423,الموظفون_الرقم,0)),"")</f>
        <v/>
      </c>
      <c r="C423" s="40" t="n"/>
      <c r="D423" s="59" t="n"/>
      <c r="E423" s="59" t="n"/>
      <c r="F423" s="59" t="n"/>
      <c r="G423" s="59" t="n"/>
      <c r="H423" s="59" t="n"/>
      <c r="I423" s="111">
        <f>IF($A423="","",IF(COUNT($D423:$H423)=0,"",ROUND($D423*وزن_جودة_العمل+$E423*وزن_الالتزام+$F423*وزن_الإنتاجية+$G423*وزن_التعاون+$H423*وزن_الأهداف,1)))</f>
        <v/>
      </c>
      <c r="J423" s="43">
        <f>IF($I423="","",IF($I423&gt;=90,"ممتاز",IF($I423&gt;=80,"جيد جدًا",IF($I423&gt;=70,"جيد",IF($I423&gt;=60,"مقبول","يحتاج تحسين")))))</f>
        <v/>
      </c>
      <c r="K423" s="40" t="n"/>
    </row>
    <row r="424">
      <c r="A424" s="47" t="n"/>
      <c r="B424" s="50">
        <f>IFERROR(INDEX(الموظفون_الاسم,MATCH($A424,الموظفون_الرقم,0)),"")</f>
        <v/>
      </c>
      <c r="C424" s="47" t="n"/>
      <c r="D424" s="62" t="n"/>
      <c r="E424" s="62" t="n"/>
      <c r="F424" s="62" t="n"/>
      <c r="G424" s="62" t="n"/>
      <c r="H424" s="62" t="n"/>
      <c r="I424" s="113">
        <f>IF($A424="","",IF(COUNT($D424:$H424)=0,"",ROUND($D424*وزن_جودة_العمل+$E424*وزن_الالتزام+$F424*وزن_الإنتاجية+$G424*وزن_التعاون+$H424*وزن_الأهداف,1)))</f>
        <v/>
      </c>
      <c r="J424" s="50">
        <f>IF($I424="","",IF($I424&gt;=90,"ممتاز",IF($I424&gt;=80,"جيد جدًا",IF($I424&gt;=70,"جيد",IF($I424&gt;=60,"مقبول","يحتاج تحسين")))))</f>
        <v/>
      </c>
      <c r="K424" s="47" t="n"/>
    </row>
    <row r="425">
      <c r="A425" s="40" t="n"/>
      <c r="B425" s="43">
        <f>IFERROR(INDEX(الموظفون_الاسم,MATCH($A425,الموظفون_الرقم,0)),"")</f>
        <v/>
      </c>
      <c r="C425" s="40" t="n"/>
      <c r="D425" s="59" t="n"/>
      <c r="E425" s="59" t="n"/>
      <c r="F425" s="59" t="n"/>
      <c r="G425" s="59" t="n"/>
      <c r="H425" s="59" t="n"/>
      <c r="I425" s="111">
        <f>IF($A425="","",IF(COUNT($D425:$H425)=0,"",ROUND($D425*وزن_جودة_العمل+$E425*وزن_الالتزام+$F425*وزن_الإنتاجية+$G425*وزن_التعاون+$H425*وزن_الأهداف,1)))</f>
        <v/>
      </c>
      <c r="J425" s="43">
        <f>IF($I425="","",IF($I425&gt;=90,"ممتاز",IF($I425&gt;=80,"جيد جدًا",IF($I425&gt;=70,"جيد",IF($I425&gt;=60,"مقبول","يحتاج تحسين")))))</f>
        <v/>
      </c>
      <c r="K425" s="40" t="n"/>
    </row>
    <row r="426">
      <c r="A426" s="47" t="n"/>
      <c r="B426" s="50">
        <f>IFERROR(INDEX(الموظفون_الاسم,MATCH($A426,الموظفون_الرقم,0)),"")</f>
        <v/>
      </c>
      <c r="C426" s="47" t="n"/>
      <c r="D426" s="62" t="n"/>
      <c r="E426" s="62" t="n"/>
      <c r="F426" s="62" t="n"/>
      <c r="G426" s="62" t="n"/>
      <c r="H426" s="62" t="n"/>
      <c r="I426" s="113">
        <f>IF($A426="","",IF(COUNT($D426:$H426)=0,"",ROUND($D426*وزن_جودة_العمل+$E426*وزن_الالتزام+$F426*وزن_الإنتاجية+$G426*وزن_التعاون+$H426*وزن_الأهداف,1)))</f>
        <v/>
      </c>
      <c r="J426" s="50">
        <f>IF($I426="","",IF($I426&gt;=90,"ممتاز",IF($I426&gt;=80,"جيد جدًا",IF($I426&gt;=70,"جيد",IF($I426&gt;=60,"مقبول","يحتاج تحسين")))))</f>
        <v/>
      </c>
      <c r="K426" s="47" t="n"/>
    </row>
    <row r="427">
      <c r="A427" s="40" t="n"/>
      <c r="B427" s="43">
        <f>IFERROR(INDEX(الموظفون_الاسم,MATCH($A427,الموظفون_الرقم,0)),"")</f>
        <v/>
      </c>
      <c r="C427" s="40" t="n"/>
      <c r="D427" s="59" t="n"/>
      <c r="E427" s="59" t="n"/>
      <c r="F427" s="59" t="n"/>
      <c r="G427" s="59" t="n"/>
      <c r="H427" s="59" t="n"/>
      <c r="I427" s="111">
        <f>IF($A427="","",IF(COUNT($D427:$H427)=0,"",ROUND($D427*وزن_جودة_العمل+$E427*وزن_الالتزام+$F427*وزن_الإنتاجية+$G427*وزن_التعاون+$H427*وزن_الأهداف,1)))</f>
        <v/>
      </c>
      <c r="J427" s="43">
        <f>IF($I427="","",IF($I427&gt;=90,"ممتاز",IF($I427&gt;=80,"جيد جدًا",IF($I427&gt;=70,"جيد",IF($I427&gt;=60,"مقبول","يحتاج تحسين")))))</f>
        <v/>
      </c>
      <c r="K427" s="40" t="n"/>
    </row>
    <row r="428">
      <c r="A428" s="47" t="n"/>
      <c r="B428" s="50">
        <f>IFERROR(INDEX(الموظفون_الاسم,MATCH($A428,الموظفون_الرقم,0)),"")</f>
        <v/>
      </c>
      <c r="C428" s="47" t="n"/>
      <c r="D428" s="62" t="n"/>
      <c r="E428" s="62" t="n"/>
      <c r="F428" s="62" t="n"/>
      <c r="G428" s="62" t="n"/>
      <c r="H428" s="62" t="n"/>
      <c r="I428" s="113">
        <f>IF($A428="","",IF(COUNT($D428:$H428)=0,"",ROUND($D428*وزن_جودة_العمل+$E428*وزن_الالتزام+$F428*وزن_الإنتاجية+$G428*وزن_التعاون+$H428*وزن_الأهداف,1)))</f>
        <v/>
      </c>
      <c r="J428" s="50">
        <f>IF($I428="","",IF($I428&gt;=90,"ممتاز",IF($I428&gt;=80,"جيد جدًا",IF($I428&gt;=70,"جيد",IF($I428&gt;=60,"مقبول","يحتاج تحسين")))))</f>
        <v/>
      </c>
      <c r="K428" s="47" t="n"/>
    </row>
    <row r="429">
      <c r="A429" s="40" t="n"/>
      <c r="B429" s="43">
        <f>IFERROR(INDEX(الموظفون_الاسم,MATCH($A429,الموظفون_الرقم,0)),"")</f>
        <v/>
      </c>
      <c r="C429" s="40" t="n"/>
      <c r="D429" s="59" t="n"/>
      <c r="E429" s="59" t="n"/>
      <c r="F429" s="59" t="n"/>
      <c r="G429" s="59" t="n"/>
      <c r="H429" s="59" t="n"/>
      <c r="I429" s="111">
        <f>IF($A429="","",IF(COUNT($D429:$H429)=0,"",ROUND($D429*وزن_جودة_العمل+$E429*وزن_الالتزام+$F429*وزن_الإنتاجية+$G429*وزن_التعاون+$H429*وزن_الأهداف,1)))</f>
        <v/>
      </c>
      <c r="J429" s="43">
        <f>IF($I429="","",IF($I429&gt;=90,"ممتاز",IF($I429&gt;=80,"جيد جدًا",IF($I429&gt;=70,"جيد",IF($I429&gt;=60,"مقبول","يحتاج تحسين")))))</f>
        <v/>
      </c>
      <c r="K429" s="40" t="n"/>
    </row>
    <row r="430">
      <c r="A430" s="47" t="n"/>
      <c r="B430" s="50">
        <f>IFERROR(INDEX(الموظفون_الاسم,MATCH($A430,الموظفون_الرقم,0)),"")</f>
        <v/>
      </c>
      <c r="C430" s="47" t="n"/>
      <c r="D430" s="62" t="n"/>
      <c r="E430" s="62" t="n"/>
      <c r="F430" s="62" t="n"/>
      <c r="G430" s="62" t="n"/>
      <c r="H430" s="62" t="n"/>
      <c r="I430" s="113">
        <f>IF($A430="","",IF(COUNT($D430:$H430)=0,"",ROUND($D430*وزن_جودة_العمل+$E430*وزن_الالتزام+$F430*وزن_الإنتاجية+$G430*وزن_التعاون+$H430*وزن_الأهداف,1)))</f>
        <v/>
      </c>
      <c r="J430" s="50">
        <f>IF($I430="","",IF($I430&gt;=90,"ممتاز",IF($I430&gt;=80,"جيد جدًا",IF($I430&gt;=70,"جيد",IF($I430&gt;=60,"مقبول","يحتاج تحسين")))))</f>
        <v/>
      </c>
      <c r="K430" s="47" t="n"/>
    </row>
    <row r="431">
      <c r="A431" s="40" t="n"/>
      <c r="B431" s="43">
        <f>IFERROR(INDEX(الموظفون_الاسم,MATCH($A431,الموظفون_الرقم,0)),"")</f>
        <v/>
      </c>
      <c r="C431" s="40" t="n"/>
      <c r="D431" s="59" t="n"/>
      <c r="E431" s="59" t="n"/>
      <c r="F431" s="59" t="n"/>
      <c r="G431" s="59" t="n"/>
      <c r="H431" s="59" t="n"/>
      <c r="I431" s="111">
        <f>IF($A431="","",IF(COUNT($D431:$H431)=0,"",ROUND($D431*وزن_جودة_العمل+$E431*وزن_الالتزام+$F431*وزن_الإنتاجية+$G431*وزن_التعاون+$H431*وزن_الأهداف,1)))</f>
        <v/>
      </c>
      <c r="J431" s="43">
        <f>IF($I431="","",IF($I431&gt;=90,"ممتاز",IF($I431&gt;=80,"جيد جدًا",IF($I431&gt;=70,"جيد",IF($I431&gt;=60,"مقبول","يحتاج تحسين")))))</f>
        <v/>
      </c>
      <c r="K431" s="40" t="n"/>
    </row>
    <row r="432">
      <c r="A432" s="47" t="n"/>
      <c r="B432" s="50">
        <f>IFERROR(INDEX(الموظفون_الاسم,MATCH($A432,الموظفون_الرقم,0)),"")</f>
        <v/>
      </c>
      <c r="C432" s="47" t="n"/>
      <c r="D432" s="62" t="n"/>
      <c r="E432" s="62" t="n"/>
      <c r="F432" s="62" t="n"/>
      <c r="G432" s="62" t="n"/>
      <c r="H432" s="62" t="n"/>
      <c r="I432" s="113">
        <f>IF($A432="","",IF(COUNT($D432:$H432)=0,"",ROUND($D432*وزن_جودة_العمل+$E432*وزن_الالتزام+$F432*وزن_الإنتاجية+$G432*وزن_التعاون+$H432*وزن_الأهداف,1)))</f>
        <v/>
      </c>
      <c r="J432" s="50">
        <f>IF($I432="","",IF($I432&gt;=90,"ممتاز",IF($I432&gt;=80,"جيد جدًا",IF($I432&gt;=70,"جيد",IF($I432&gt;=60,"مقبول","يحتاج تحسين")))))</f>
        <v/>
      </c>
      <c r="K432" s="47" t="n"/>
    </row>
    <row r="433">
      <c r="A433" s="40" t="n"/>
      <c r="B433" s="43">
        <f>IFERROR(INDEX(الموظفون_الاسم,MATCH($A433,الموظفون_الرقم,0)),"")</f>
        <v/>
      </c>
      <c r="C433" s="40" t="n"/>
      <c r="D433" s="59" t="n"/>
      <c r="E433" s="59" t="n"/>
      <c r="F433" s="59" t="n"/>
      <c r="G433" s="59" t="n"/>
      <c r="H433" s="59" t="n"/>
      <c r="I433" s="111">
        <f>IF($A433="","",IF(COUNT($D433:$H433)=0,"",ROUND($D433*وزن_جودة_العمل+$E433*وزن_الالتزام+$F433*وزن_الإنتاجية+$G433*وزن_التعاون+$H433*وزن_الأهداف,1)))</f>
        <v/>
      </c>
      <c r="J433" s="43">
        <f>IF($I433="","",IF($I433&gt;=90,"ممتاز",IF($I433&gt;=80,"جيد جدًا",IF($I433&gt;=70,"جيد",IF($I433&gt;=60,"مقبول","يحتاج تحسين")))))</f>
        <v/>
      </c>
      <c r="K433" s="40" t="n"/>
    </row>
    <row r="434">
      <c r="A434" s="47" t="n"/>
      <c r="B434" s="50">
        <f>IFERROR(INDEX(الموظفون_الاسم,MATCH($A434,الموظفون_الرقم,0)),"")</f>
        <v/>
      </c>
      <c r="C434" s="47" t="n"/>
      <c r="D434" s="62" t="n"/>
      <c r="E434" s="62" t="n"/>
      <c r="F434" s="62" t="n"/>
      <c r="G434" s="62" t="n"/>
      <c r="H434" s="62" t="n"/>
      <c r="I434" s="113">
        <f>IF($A434="","",IF(COUNT($D434:$H434)=0,"",ROUND($D434*وزن_جودة_العمل+$E434*وزن_الالتزام+$F434*وزن_الإنتاجية+$G434*وزن_التعاون+$H434*وزن_الأهداف,1)))</f>
        <v/>
      </c>
      <c r="J434" s="50">
        <f>IF($I434="","",IF($I434&gt;=90,"ممتاز",IF($I434&gt;=80,"جيد جدًا",IF($I434&gt;=70,"جيد",IF($I434&gt;=60,"مقبول","يحتاج تحسين")))))</f>
        <v/>
      </c>
      <c r="K434" s="47" t="n"/>
    </row>
    <row r="435">
      <c r="A435" s="40" t="n"/>
      <c r="B435" s="43">
        <f>IFERROR(INDEX(الموظفون_الاسم,MATCH($A435,الموظفون_الرقم,0)),"")</f>
        <v/>
      </c>
      <c r="C435" s="40" t="n"/>
      <c r="D435" s="59" t="n"/>
      <c r="E435" s="59" t="n"/>
      <c r="F435" s="59" t="n"/>
      <c r="G435" s="59" t="n"/>
      <c r="H435" s="59" t="n"/>
      <c r="I435" s="111">
        <f>IF($A435="","",IF(COUNT($D435:$H435)=0,"",ROUND($D435*وزن_جودة_العمل+$E435*وزن_الالتزام+$F435*وزن_الإنتاجية+$G435*وزن_التعاون+$H435*وزن_الأهداف,1)))</f>
        <v/>
      </c>
      <c r="J435" s="43">
        <f>IF($I435="","",IF($I435&gt;=90,"ممتاز",IF($I435&gt;=80,"جيد جدًا",IF($I435&gt;=70,"جيد",IF($I435&gt;=60,"مقبول","يحتاج تحسين")))))</f>
        <v/>
      </c>
      <c r="K435" s="40" t="n"/>
    </row>
    <row r="436">
      <c r="A436" s="47" t="n"/>
      <c r="B436" s="50">
        <f>IFERROR(INDEX(الموظفون_الاسم,MATCH($A436,الموظفون_الرقم,0)),"")</f>
        <v/>
      </c>
      <c r="C436" s="47" t="n"/>
      <c r="D436" s="62" t="n"/>
      <c r="E436" s="62" t="n"/>
      <c r="F436" s="62" t="n"/>
      <c r="G436" s="62" t="n"/>
      <c r="H436" s="62" t="n"/>
      <c r="I436" s="113">
        <f>IF($A436="","",IF(COUNT($D436:$H436)=0,"",ROUND($D436*وزن_جودة_العمل+$E436*وزن_الالتزام+$F436*وزن_الإنتاجية+$G436*وزن_التعاون+$H436*وزن_الأهداف,1)))</f>
        <v/>
      </c>
      <c r="J436" s="50">
        <f>IF($I436="","",IF($I436&gt;=90,"ممتاز",IF($I436&gt;=80,"جيد جدًا",IF($I436&gt;=70,"جيد",IF($I436&gt;=60,"مقبول","يحتاج تحسين")))))</f>
        <v/>
      </c>
      <c r="K436" s="47" t="n"/>
    </row>
    <row r="437">
      <c r="A437" s="40" t="n"/>
      <c r="B437" s="43">
        <f>IFERROR(INDEX(الموظفون_الاسم,MATCH($A437,الموظفون_الرقم,0)),"")</f>
        <v/>
      </c>
      <c r="C437" s="40" t="n"/>
      <c r="D437" s="59" t="n"/>
      <c r="E437" s="59" t="n"/>
      <c r="F437" s="59" t="n"/>
      <c r="G437" s="59" t="n"/>
      <c r="H437" s="59" t="n"/>
      <c r="I437" s="111">
        <f>IF($A437="","",IF(COUNT($D437:$H437)=0,"",ROUND($D437*وزن_جودة_العمل+$E437*وزن_الالتزام+$F437*وزن_الإنتاجية+$G437*وزن_التعاون+$H437*وزن_الأهداف,1)))</f>
        <v/>
      </c>
      <c r="J437" s="43">
        <f>IF($I437="","",IF($I437&gt;=90,"ممتاز",IF($I437&gt;=80,"جيد جدًا",IF($I437&gt;=70,"جيد",IF($I437&gt;=60,"مقبول","يحتاج تحسين")))))</f>
        <v/>
      </c>
      <c r="K437" s="40" t="n"/>
    </row>
    <row r="438">
      <c r="A438" s="47" t="n"/>
      <c r="B438" s="50">
        <f>IFERROR(INDEX(الموظفون_الاسم,MATCH($A438,الموظفون_الرقم,0)),"")</f>
        <v/>
      </c>
      <c r="C438" s="47" t="n"/>
      <c r="D438" s="62" t="n"/>
      <c r="E438" s="62" t="n"/>
      <c r="F438" s="62" t="n"/>
      <c r="G438" s="62" t="n"/>
      <c r="H438" s="62" t="n"/>
      <c r="I438" s="113">
        <f>IF($A438="","",IF(COUNT($D438:$H438)=0,"",ROUND($D438*وزن_جودة_العمل+$E438*وزن_الالتزام+$F438*وزن_الإنتاجية+$G438*وزن_التعاون+$H438*وزن_الأهداف,1)))</f>
        <v/>
      </c>
      <c r="J438" s="50">
        <f>IF($I438="","",IF($I438&gt;=90,"ممتاز",IF($I438&gt;=80,"جيد جدًا",IF($I438&gt;=70,"جيد",IF($I438&gt;=60,"مقبول","يحتاج تحسين")))))</f>
        <v/>
      </c>
      <c r="K438" s="47" t="n"/>
    </row>
    <row r="439">
      <c r="A439" s="40" t="n"/>
      <c r="B439" s="43">
        <f>IFERROR(INDEX(الموظفون_الاسم,MATCH($A439,الموظفون_الرقم,0)),"")</f>
        <v/>
      </c>
      <c r="C439" s="40" t="n"/>
      <c r="D439" s="59" t="n"/>
      <c r="E439" s="59" t="n"/>
      <c r="F439" s="59" t="n"/>
      <c r="G439" s="59" t="n"/>
      <c r="H439" s="59" t="n"/>
      <c r="I439" s="111">
        <f>IF($A439="","",IF(COUNT($D439:$H439)=0,"",ROUND($D439*وزن_جودة_العمل+$E439*وزن_الالتزام+$F439*وزن_الإنتاجية+$G439*وزن_التعاون+$H439*وزن_الأهداف,1)))</f>
        <v/>
      </c>
      <c r="J439" s="43">
        <f>IF($I439="","",IF($I439&gt;=90,"ممتاز",IF($I439&gt;=80,"جيد جدًا",IF($I439&gt;=70,"جيد",IF($I439&gt;=60,"مقبول","يحتاج تحسين")))))</f>
        <v/>
      </c>
      <c r="K439" s="40" t="n"/>
    </row>
    <row r="440">
      <c r="A440" s="47" t="n"/>
      <c r="B440" s="50">
        <f>IFERROR(INDEX(الموظفون_الاسم,MATCH($A440,الموظفون_الرقم,0)),"")</f>
        <v/>
      </c>
      <c r="C440" s="47" t="n"/>
      <c r="D440" s="62" t="n"/>
      <c r="E440" s="62" t="n"/>
      <c r="F440" s="62" t="n"/>
      <c r="G440" s="62" t="n"/>
      <c r="H440" s="62" t="n"/>
      <c r="I440" s="113">
        <f>IF($A440="","",IF(COUNT($D440:$H440)=0,"",ROUND($D440*وزن_جودة_العمل+$E440*وزن_الالتزام+$F440*وزن_الإنتاجية+$G440*وزن_التعاون+$H440*وزن_الأهداف,1)))</f>
        <v/>
      </c>
      <c r="J440" s="50">
        <f>IF($I440="","",IF($I440&gt;=90,"ممتاز",IF($I440&gt;=80,"جيد جدًا",IF($I440&gt;=70,"جيد",IF($I440&gt;=60,"مقبول","يحتاج تحسين")))))</f>
        <v/>
      </c>
      <c r="K440" s="47" t="n"/>
    </row>
    <row r="441">
      <c r="A441" s="40" t="n"/>
      <c r="B441" s="43">
        <f>IFERROR(INDEX(الموظفون_الاسم,MATCH($A441,الموظفون_الرقم,0)),"")</f>
        <v/>
      </c>
      <c r="C441" s="40" t="n"/>
      <c r="D441" s="59" t="n"/>
      <c r="E441" s="59" t="n"/>
      <c r="F441" s="59" t="n"/>
      <c r="G441" s="59" t="n"/>
      <c r="H441" s="59" t="n"/>
      <c r="I441" s="111">
        <f>IF($A441="","",IF(COUNT($D441:$H441)=0,"",ROUND($D441*وزن_جودة_العمل+$E441*وزن_الالتزام+$F441*وزن_الإنتاجية+$G441*وزن_التعاون+$H441*وزن_الأهداف,1)))</f>
        <v/>
      </c>
      <c r="J441" s="43">
        <f>IF($I441="","",IF($I441&gt;=90,"ممتاز",IF($I441&gt;=80,"جيد جدًا",IF($I441&gt;=70,"جيد",IF($I441&gt;=60,"مقبول","يحتاج تحسين")))))</f>
        <v/>
      </c>
      <c r="K441" s="40" t="n"/>
    </row>
    <row r="442">
      <c r="A442" s="47" t="n"/>
      <c r="B442" s="50">
        <f>IFERROR(INDEX(الموظفون_الاسم,MATCH($A442,الموظفون_الرقم,0)),"")</f>
        <v/>
      </c>
      <c r="C442" s="47" t="n"/>
      <c r="D442" s="62" t="n"/>
      <c r="E442" s="62" t="n"/>
      <c r="F442" s="62" t="n"/>
      <c r="G442" s="62" t="n"/>
      <c r="H442" s="62" t="n"/>
      <c r="I442" s="113">
        <f>IF($A442="","",IF(COUNT($D442:$H442)=0,"",ROUND($D442*وزن_جودة_العمل+$E442*وزن_الالتزام+$F442*وزن_الإنتاجية+$G442*وزن_التعاون+$H442*وزن_الأهداف,1)))</f>
        <v/>
      </c>
      <c r="J442" s="50">
        <f>IF($I442="","",IF($I442&gt;=90,"ممتاز",IF($I442&gt;=80,"جيد جدًا",IF($I442&gt;=70,"جيد",IF($I442&gt;=60,"مقبول","يحتاج تحسين")))))</f>
        <v/>
      </c>
      <c r="K442" s="47" t="n"/>
    </row>
    <row r="443">
      <c r="A443" s="40" t="n"/>
      <c r="B443" s="43">
        <f>IFERROR(INDEX(الموظفون_الاسم,MATCH($A443,الموظفون_الرقم,0)),"")</f>
        <v/>
      </c>
      <c r="C443" s="40" t="n"/>
      <c r="D443" s="59" t="n"/>
      <c r="E443" s="59" t="n"/>
      <c r="F443" s="59" t="n"/>
      <c r="G443" s="59" t="n"/>
      <c r="H443" s="59" t="n"/>
      <c r="I443" s="111">
        <f>IF($A443="","",IF(COUNT($D443:$H443)=0,"",ROUND($D443*وزن_جودة_العمل+$E443*وزن_الالتزام+$F443*وزن_الإنتاجية+$G443*وزن_التعاون+$H443*وزن_الأهداف,1)))</f>
        <v/>
      </c>
      <c r="J443" s="43">
        <f>IF($I443="","",IF($I443&gt;=90,"ممتاز",IF($I443&gt;=80,"جيد جدًا",IF($I443&gt;=70,"جيد",IF($I443&gt;=60,"مقبول","يحتاج تحسين")))))</f>
        <v/>
      </c>
      <c r="K443" s="40" t="n"/>
    </row>
    <row r="444">
      <c r="A444" s="47" t="n"/>
      <c r="B444" s="50">
        <f>IFERROR(INDEX(الموظفون_الاسم,MATCH($A444,الموظفون_الرقم,0)),"")</f>
        <v/>
      </c>
      <c r="C444" s="47" t="n"/>
      <c r="D444" s="62" t="n"/>
      <c r="E444" s="62" t="n"/>
      <c r="F444" s="62" t="n"/>
      <c r="G444" s="62" t="n"/>
      <c r="H444" s="62" t="n"/>
      <c r="I444" s="113">
        <f>IF($A444="","",IF(COUNT($D444:$H444)=0,"",ROUND($D444*وزن_جودة_العمل+$E444*وزن_الالتزام+$F444*وزن_الإنتاجية+$G444*وزن_التعاون+$H444*وزن_الأهداف,1)))</f>
        <v/>
      </c>
      <c r="J444" s="50">
        <f>IF($I444="","",IF($I444&gt;=90,"ممتاز",IF($I444&gt;=80,"جيد جدًا",IF($I444&gt;=70,"جيد",IF($I444&gt;=60,"مقبول","يحتاج تحسين")))))</f>
        <v/>
      </c>
      <c r="K444" s="47" t="n"/>
    </row>
    <row r="445">
      <c r="A445" s="40" t="n"/>
      <c r="B445" s="43">
        <f>IFERROR(INDEX(الموظفون_الاسم,MATCH($A445,الموظفون_الرقم,0)),"")</f>
        <v/>
      </c>
      <c r="C445" s="40" t="n"/>
      <c r="D445" s="59" t="n"/>
      <c r="E445" s="59" t="n"/>
      <c r="F445" s="59" t="n"/>
      <c r="G445" s="59" t="n"/>
      <c r="H445" s="59" t="n"/>
      <c r="I445" s="111">
        <f>IF($A445="","",IF(COUNT($D445:$H445)=0,"",ROUND($D445*وزن_جودة_العمل+$E445*وزن_الالتزام+$F445*وزن_الإنتاجية+$G445*وزن_التعاون+$H445*وزن_الأهداف,1)))</f>
        <v/>
      </c>
      <c r="J445" s="43">
        <f>IF($I445="","",IF($I445&gt;=90,"ممتاز",IF($I445&gt;=80,"جيد جدًا",IF($I445&gt;=70,"جيد",IF($I445&gt;=60,"مقبول","يحتاج تحسين")))))</f>
        <v/>
      </c>
      <c r="K445" s="40" t="n"/>
    </row>
    <row r="446">
      <c r="A446" s="47" t="n"/>
      <c r="B446" s="50">
        <f>IFERROR(INDEX(الموظفون_الاسم,MATCH($A446,الموظفون_الرقم,0)),"")</f>
        <v/>
      </c>
      <c r="C446" s="47" t="n"/>
      <c r="D446" s="62" t="n"/>
      <c r="E446" s="62" t="n"/>
      <c r="F446" s="62" t="n"/>
      <c r="G446" s="62" t="n"/>
      <c r="H446" s="62" t="n"/>
      <c r="I446" s="113">
        <f>IF($A446="","",IF(COUNT($D446:$H446)=0,"",ROUND($D446*وزن_جودة_العمل+$E446*وزن_الالتزام+$F446*وزن_الإنتاجية+$G446*وزن_التعاون+$H446*وزن_الأهداف,1)))</f>
        <v/>
      </c>
      <c r="J446" s="50">
        <f>IF($I446="","",IF($I446&gt;=90,"ممتاز",IF($I446&gt;=80,"جيد جدًا",IF($I446&gt;=70,"جيد",IF($I446&gt;=60,"مقبول","يحتاج تحسين")))))</f>
        <v/>
      </c>
      <c r="K446" s="47" t="n"/>
    </row>
    <row r="447">
      <c r="A447" s="40" t="n"/>
      <c r="B447" s="43">
        <f>IFERROR(INDEX(الموظفون_الاسم,MATCH($A447,الموظفون_الرقم,0)),"")</f>
        <v/>
      </c>
      <c r="C447" s="40" t="n"/>
      <c r="D447" s="59" t="n"/>
      <c r="E447" s="59" t="n"/>
      <c r="F447" s="59" t="n"/>
      <c r="G447" s="59" t="n"/>
      <c r="H447" s="59" t="n"/>
      <c r="I447" s="111">
        <f>IF($A447="","",IF(COUNT($D447:$H447)=0,"",ROUND($D447*وزن_جودة_العمل+$E447*وزن_الالتزام+$F447*وزن_الإنتاجية+$G447*وزن_التعاون+$H447*وزن_الأهداف,1)))</f>
        <v/>
      </c>
      <c r="J447" s="43">
        <f>IF($I447="","",IF($I447&gt;=90,"ممتاز",IF($I447&gt;=80,"جيد جدًا",IF($I447&gt;=70,"جيد",IF($I447&gt;=60,"مقبول","يحتاج تحسين")))))</f>
        <v/>
      </c>
      <c r="K447" s="40" t="n"/>
    </row>
    <row r="448">
      <c r="A448" s="47" t="n"/>
      <c r="B448" s="50">
        <f>IFERROR(INDEX(الموظفون_الاسم,MATCH($A448,الموظفون_الرقم,0)),"")</f>
        <v/>
      </c>
      <c r="C448" s="47" t="n"/>
      <c r="D448" s="62" t="n"/>
      <c r="E448" s="62" t="n"/>
      <c r="F448" s="62" t="n"/>
      <c r="G448" s="62" t="n"/>
      <c r="H448" s="62" t="n"/>
      <c r="I448" s="113">
        <f>IF($A448="","",IF(COUNT($D448:$H448)=0,"",ROUND($D448*وزن_جودة_العمل+$E448*وزن_الالتزام+$F448*وزن_الإنتاجية+$G448*وزن_التعاون+$H448*وزن_الأهداف,1)))</f>
        <v/>
      </c>
      <c r="J448" s="50">
        <f>IF($I448="","",IF($I448&gt;=90,"ممتاز",IF($I448&gt;=80,"جيد جدًا",IF($I448&gt;=70,"جيد",IF($I448&gt;=60,"مقبول","يحتاج تحسين")))))</f>
        <v/>
      </c>
      <c r="K448" s="47" t="n"/>
    </row>
    <row r="449">
      <c r="A449" s="40" t="n"/>
      <c r="B449" s="43">
        <f>IFERROR(INDEX(الموظفون_الاسم,MATCH($A449,الموظفون_الرقم,0)),"")</f>
        <v/>
      </c>
      <c r="C449" s="40" t="n"/>
      <c r="D449" s="59" t="n"/>
      <c r="E449" s="59" t="n"/>
      <c r="F449" s="59" t="n"/>
      <c r="G449" s="59" t="n"/>
      <c r="H449" s="59" t="n"/>
      <c r="I449" s="111">
        <f>IF($A449="","",IF(COUNT($D449:$H449)=0,"",ROUND($D449*وزن_جودة_العمل+$E449*وزن_الالتزام+$F449*وزن_الإنتاجية+$G449*وزن_التعاون+$H449*وزن_الأهداف,1)))</f>
        <v/>
      </c>
      <c r="J449" s="43">
        <f>IF($I449="","",IF($I449&gt;=90,"ممتاز",IF($I449&gt;=80,"جيد جدًا",IF($I449&gt;=70,"جيد",IF($I449&gt;=60,"مقبول","يحتاج تحسين")))))</f>
        <v/>
      </c>
      <c r="K449" s="40" t="n"/>
    </row>
    <row r="450">
      <c r="A450" s="47" t="n"/>
      <c r="B450" s="50">
        <f>IFERROR(INDEX(الموظفون_الاسم,MATCH($A450,الموظفون_الرقم,0)),"")</f>
        <v/>
      </c>
      <c r="C450" s="47" t="n"/>
      <c r="D450" s="62" t="n"/>
      <c r="E450" s="62" t="n"/>
      <c r="F450" s="62" t="n"/>
      <c r="G450" s="62" t="n"/>
      <c r="H450" s="62" t="n"/>
      <c r="I450" s="113">
        <f>IF($A450="","",IF(COUNT($D450:$H450)=0,"",ROUND($D450*وزن_جودة_العمل+$E450*وزن_الالتزام+$F450*وزن_الإنتاجية+$G450*وزن_التعاون+$H450*وزن_الأهداف,1)))</f>
        <v/>
      </c>
      <c r="J450" s="50">
        <f>IF($I450="","",IF($I450&gt;=90,"ممتاز",IF($I450&gt;=80,"جيد جدًا",IF($I450&gt;=70,"جيد",IF($I450&gt;=60,"مقبول","يحتاج تحسين")))))</f>
        <v/>
      </c>
      <c r="K450" s="47" t="n"/>
    </row>
    <row r="451">
      <c r="A451" s="40" t="n"/>
      <c r="B451" s="43">
        <f>IFERROR(INDEX(الموظفون_الاسم,MATCH($A451,الموظفون_الرقم,0)),"")</f>
        <v/>
      </c>
      <c r="C451" s="40" t="n"/>
      <c r="D451" s="59" t="n"/>
      <c r="E451" s="59" t="n"/>
      <c r="F451" s="59" t="n"/>
      <c r="G451" s="59" t="n"/>
      <c r="H451" s="59" t="n"/>
      <c r="I451" s="111">
        <f>IF($A451="","",IF(COUNT($D451:$H451)=0,"",ROUND($D451*وزن_جودة_العمل+$E451*وزن_الالتزام+$F451*وزن_الإنتاجية+$G451*وزن_التعاون+$H451*وزن_الأهداف,1)))</f>
        <v/>
      </c>
      <c r="J451" s="43">
        <f>IF($I451="","",IF($I451&gt;=90,"ممتاز",IF($I451&gt;=80,"جيد جدًا",IF($I451&gt;=70,"جيد",IF($I451&gt;=60,"مقبول","يحتاج تحسين")))))</f>
        <v/>
      </c>
      <c r="K451" s="40" t="n"/>
    </row>
    <row r="452">
      <c r="A452" s="47" t="n"/>
      <c r="B452" s="50">
        <f>IFERROR(INDEX(الموظفون_الاسم,MATCH($A452,الموظفون_الرقم,0)),"")</f>
        <v/>
      </c>
      <c r="C452" s="47" t="n"/>
      <c r="D452" s="62" t="n"/>
      <c r="E452" s="62" t="n"/>
      <c r="F452" s="62" t="n"/>
      <c r="G452" s="62" t="n"/>
      <c r="H452" s="62" t="n"/>
      <c r="I452" s="113">
        <f>IF($A452="","",IF(COUNT($D452:$H452)=0,"",ROUND($D452*وزن_جودة_العمل+$E452*وزن_الالتزام+$F452*وزن_الإنتاجية+$G452*وزن_التعاون+$H452*وزن_الأهداف,1)))</f>
        <v/>
      </c>
      <c r="J452" s="50">
        <f>IF($I452="","",IF($I452&gt;=90,"ممتاز",IF($I452&gt;=80,"جيد جدًا",IF($I452&gt;=70,"جيد",IF($I452&gt;=60,"مقبول","يحتاج تحسين")))))</f>
        <v/>
      </c>
      <c r="K452" s="47" t="n"/>
    </row>
    <row r="453">
      <c r="A453" s="40" t="n"/>
      <c r="B453" s="43">
        <f>IFERROR(INDEX(الموظفون_الاسم,MATCH($A453,الموظفون_الرقم,0)),"")</f>
        <v/>
      </c>
      <c r="C453" s="40" t="n"/>
      <c r="D453" s="59" t="n"/>
      <c r="E453" s="59" t="n"/>
      <c r="F453" s="59" t="n"/>
      <c r="G453" s="59" t="n"/>
      <c r="H453" s="59" t="n"/>
      <c r="I453" s="111">
        <f>IF($A453="","",IF(COUNT($D453:$H453)=0,"",ROUND($D453*وزن_جودة_العمل+$E453*وزن_الالتزام+$F453*وزن_الإنتاجية+$G453*وزن_التعاون+$H453*وزن_الأهداف,1)))</f>
        <v/>
      </c>
      <c r="J453" s="43">
        <f>IF($I453="","",IF($I453&gt;=90,"ممتاز",IF($I453&gt;=80,"جيد جدًا",IF($I453&gt;=70,"جيد",IF($I453&gt;=60,"مقبول","يحتاج تحسين")))))</f>
        <v/>
      </c>
      <c r="K453" s="40" t="n"/>
    </row>
    <row r="454">
      <c r="A454" s="47" t="n"/>
      <c r="B454" s="50">
        <f>IFERROR(INDEX(الموظفون_الاسم,MATCH($A454,الموظفون_الرقم,0)),"")</f>
        <v/>
      </c>
      <c r="C454" s="47" t="n"/>
      <c r="D454" s="62" t="n"/>
      <c r="E454" s="62" t="n"/>
      <c r="F454" s="62" t="n"/>
      <c r="G454" s="62" t="n"/>
      <c r="H454" s="62" t="n"/>
      <c r="I454" s="113">
        <f>IF($A454="","",IF(COUNT($D454:$H454)=0,"",ROUND($D454*وزن_جودة_العمل+$E454*وزن_الالتزام+$F454*وزن_الإنتاجية+$G454*وزن_التعاون+$H454*وزن_الأهداف,1)))</f>
        <v/>
      </c>
      <c r="J454" s="50">
        <f>IF($I454="","",IF($I454&gt;=90,"ممتاز",IF($I454&gt;=80,"جيد جدًا",IF($I454&gt;=70,"جيد",IF($I454&gt;=60,"مقبول","يحتاج تحسين")))))</f>
        <v/>
      </c>
      <c r="K454" s="47" t="n"/>
    </row>
    <row r="455">
      <c r="A455" s="40" t="n"/>
      <c r="B455" s="43">
        <f>IFERROR(INDEX(الموظفون_الاسم,MATCH($A455,الموظفون_الرقم,0)),"")</f>
        <v/>
      </c>
      <c r="C455" s="40" t="n"/>
      <c r="D455" s="59" t="n"/>
      <c r="E455" s="59" t="n"/>
      <c r="F455" s="59" t="n"/>
      <c r="G455" s="59" t="n"/>
      <c r="H455" s="59" t="n"/>
      <c r="I455" s="111">
        <f>IF($A455="","",IF(COUNT($D455:$H455)=0,"",ROUND($D455*وزن_جودة_العمل+$E455*وزن_الالتزام+$F455*وزن_الإنتاجية+$G455*وزن_التعاون+$H455*وزن_الأهداف,1)))</f>
        <v/>
      </c>
      <c r="J455" s="43">
        <f>IF($I455="","",IF($I455&gt;=90,"ممتاز",IF($I455&gt;=80,"جيد جدًا",IF($I455&gt;=70,"جيد",IF($I455&gt;=60,"مقبول","يحتاج تحسين")))))</f>
        <v/>
      </c>
      <c r="K455" s="40" t="n"/>
    </row>
    <row r="456">
      <c r="A456" s="47" t="n"/>
      <c r="B456" s="50">
        <f>IFERROR(INDEX(الموظفون_الاسم,MATCH($A456,الموظفون_الرقم,0)),"")</f>
        <v/>
      </c>
      <c r="C456" s="47" t="n"/>
      <c r="D456" s="62" t="n"/>
      <c r="E456" s="62" t="n"/>
      <c r="F456" s="62" t="n"/>
      <c r="G456" s="62" t="n"/>
      <c r="H456" s="62" t="n"/>
      <c r="I456" s="113">
        <f>IF($A456="","",IF(COUNT($D456:$H456)=0,"",ROUND($D456*وزن_جودة_العمل+$E456*وزن_الالتزام+$F456*وزن_الإنتاجية+$G456*وزن_التعاون+$H456*وزن_الأهداف,1)))</f>
        <v/>
      </c>
      <c r="J456" s="50">
        <f>IF($I456="","",IF($I456&gt;=90,"ممتاز",IF($I456&gt;=80,"جيد جدًا",IF($I456&gt;=70,"جيد",IF($I456&gt;=60,"مقبول","يحتاج تحسين")))))</f>
        <v/>
      </c>
      <c r="K456" s="47" t="n"/>
    </row>
    <row r="457">
      <c r="A457" s="40" t="n"/>
      <c r="B457" s="43">
        <f>IFERROR(INDEX(الموظفون_الاسم,MATCH($A457,الموظفون_الرقم,0)),"")</f>
        <v/>
      </c>
      <c r="C457" s="40" t="n"/>
      <c r="D457" s="59" t="n"/>
      <c r="E457" s="59" t="n"/>
      <c r="F457" s="59" t="n"/>
      <c r="G457" s="59" t="n"/>
      <c r="H457" s="59" t="n"/>
      <c r="I457" s="111">
        <f>IF($A457="","",IF(COUNT($D457:$H457)=0,"",ROUND($D457*وزن_جودة_العمل+$E457*وزن_الالتزام+$F457*وزن_الإنتاجية+$G457*وزن_التعاون+$H457*وزن_الأهداف,1)))</f>
        <v/>
      </c>
      <c r="J457" s="43">
        <f>IF($I457="","",IF($I457&gt;=90,"ممتاز",IF($I457&gt;=80,"جيد جدًا",IF($I457&gt;=70,"جيد",IF($I457&gt;=60,"مقبول","يحتاج تحسين")))))</f>
        <v/>
      </c>
      <c r="K457" s="40" t="n"/>
    </row>
    <row r="458">
      <c r="A458" s="47" t="n"/>
      <c r="B458" s="50">
        <f>IFERROR(INDEX(الموظفون_الاسم,MATCH($A458,الموظفون_الرقم,0)),"")</f>
        <v/>
      </c>
      <c r="C458" s="47" t="n"/>
      <c r="D458" s="62" t="n"/>
      <c r="E458" s="62" t="n"/>
      <c r="F458" s="62" t="n"/>
      <c r="G458" s="62" t="n"/>
      <c r="H458" s="62" t="n"/>
      <c r="I458" s="113">
        <f>IF($A458="","",IF(COUNT($D458:$H458)=0,"",ROUND($D458*وزن_جودة_العمل+$E458*وزن_الالتزام+$F458*وزن_الإنتاجية+$G458*وزن_التعاون+$H458*وزن_الأهداف,1)))</f>
        <v/>
      </c>
      <c r="J458" s="50">
        <f>IF($I458="","",IF($I458&gt;=90,"ممتاز",IF($I458&gt;=80,"جيد جدًا",IF($I458&gt;=70,"جيد",IF($I458&gt;=60,"مقبول","يحتاج تحسين")))))</f>
        <v/>
      </c>
      <c r="K458" s="47" t="n"/>
    </row>
    <row r="459">
      <c r="A459" s="40" t="n"/>
      <c r="B459" s="43">
        <f>IFERROR(INDEX(الموظفون_الاسم,MATCH($A459,الموظفون_الرقم,0)),"")</f>
        <v/>
      </c>
      <c r="C459" s="40" t="n"/>
      <c r="D459" s="59" t="n"/>
      <c r="E459" s="59" t="n"/>
      <c r="F459" s="59" t="n"/>
      <c r="G459" s="59" t="n"/>
      <c r="H459" s="59" t="n"/>
      <c r="I459" s="111">
        <f>IF($A459="","",IF(COUNT($D459:$H459)=0,"",ROUND($D459*وزن_جودة_العمل+$E459*وزن_الالتزام+$F459*وزن_الإنتاجية+$G459*وزن_التعاون+$H459*وزن_الأهداف,1)))</f>
        <v/>
      </c>
      <c r="J459" s="43">
        <f>IF($I459="","",IF($I459&gt;=90,"ممتاز",IF($I459&gt;=80,"جيد جدًا",IF($I459&gt;=70,"جيد",IF($I459&gt;=60,"مقبول","يحتاج تحسين")))))</f>
        <v/>
      </c>
      <c r="K459" s="40" t="n"/>
    </row>
    <row r="460">
      <c r="A460" s="47" t="n"/>
      <c r="B460" s="50">
        <f>IFERROR(INDEX(الموظفون_الاسم,MATCH($A460,الموظفون_الرقم,0)),"")</f>
        <v/>
      </c>
      <c r="C460" s="47" t="n"/>
      <c r="D460" s="62" t="n"/>
      <c r="E460" s="62" t="n"/>
      <c r="F460" s="62" t="n"/>
      <c r="G460" s="62" t="n"/>
      <c r="H460" s="62" t="n"/>
      <c r="I460" s="113">
        <f>IF($A460="","",IF(COUNT($D460:$H460)=0,"",ROUND($D460*وزن_جودة_العمل+$E460*وزن_الالتزام+$F460*وزن_الإنتاجية+$G460*وزن_التعاون+$H460*وزن_الأهداف,1)))</f>
        <v/>
      </c>
      <c r="J460" s="50">
        <f>IF($I460="","",IF($I460&gt;=90,"ممتاز",IF($I460&gt;=80,"جيد جدًا",IF($I460&gt;=70,"جيد",IF($I460&gt;=60,"مقبول","يحتاج تحسين")))))</f>
        <v/>
      </c>
      <c r="K460" s="47" t="n"/>
    </row>
    <row r="461">
      <c r="A461" s="40" t="n"/>
      <c r="B461" s="43">
        <f>IFERROR(INDEX(الموظفون_الاسم,MATCH($A461,الموظفون_الرقم,0)),"")</f>
        <v/>
      </c>
      <c r="C461" s="40" t="n"/>
      <c r="D461" s="59" t="n"/>
      <c r="E461" s="59" t="n"/>
      <c r="F461" s="59" t="n"/>
      <c r="G461" s="59" t="n"/>
      <c r="H461" s="59" t="n"/>
      <c r="I461" s="111">
        <f>IF($A461="","",IF(COUNT($D461:$H461)=0,"",ROUND($D461*وزن_جودة_العمل+$E461*وزن_الالتزام+$F461*وزن_الإنتاجية+$G461*وزن_التعاون+$H461*وزن_الأهداف,1)))</f>
        <v/>
      </c>
      <c r="J461" s="43">
        <f>IF($I461="","",IF($I461&gt;=90,"ممتاز",IF($I461&gt;=80,"جيد جدًا",IF($I461&gt;=70,"جيد",IF($I461&gt;=60,"مقبول","يحتاج تحسين")))))</f>
        <v/>
      </c>
      <c r="K461" s="40" t="n"/>
    </row>
    <row r="462">
      <c r="A462" s="47" t="n"/>
      <c r="B462" s="50">
        <f>IFERROR(INDEX(الموظفون_الاسم,MATCH($A462,الموظفون_الرقم,0)),"")</f>
        <v/>
      </c>
      <c r="C462" s="47" t="n"/>
      <c r="D462" s="62" t="n"/>
      <c r="E462" s="62" t="n"/>
      <c r="F462" s="62" t="n"/>
      <c r="G462" s="62" t="n"/>
      <c r="H462" s="62" t="n"/>
      <c r="I462" s="113">
        <f>IF($A462="","",IF(COUNT($D462:$H462)=0,"",ROUND($D462*وزن_جودة_العمل+$E462*وزن_الالتزام+$F462*وزن_الإنتاجية+$G462*وزن_التعاون+$H462*وزن_الأهداف,1)))</f>
        <v/>
      </c>
      <c r="J462" s="50">
        <f>IF($I462="","",IF($I462&gt;=90,"ممتاز",IF($I462&gt;=80,"جيد جدًا",IF($I462&gt;=70,"جيد",IF($I462&gt;=60,"مقبول","يحتاج تحسين")))))</f>
        <v/>
      </c>
      <c r="K462" s="47" t="n"/>
    </row>
    <row r="463">
      <c r="A463" s="40" t="n"/>
      <c r="B463" s="43">
        <f>IFERROR(INDEX(الموظفون_الاسم,MATCH($A463,الموظفون_الرقم,0)),"")</f>
        <v/>
      </c>
      <c r="C463" s="40" t="n"/>
      <c r="D463" s="59" t="n"/>
      <c r="E463" s="59" t="n"/>
      <c r="F463" s="59" t="n"/>
      <c r="G463" s="59" t="n"/>
      <c r="H463" s="59" t="n"/>
      <c r="I463" s="111">
        <f>IF($A463="","",IF(COUNT($D463:$H463)=0,"",ROUND($D463*وزن_جودة_العمل+$E463*وزن_الالتزام+$F463*وزن_الإنتاجية+$G463*وزن_التعاون+$H463*وزن_الأهداف,1)))</f>
        <v/>
      </c>
      <c r="J463" s="43">
        <f>IF($I463="","",IF($I463&gt;=90,"ممتاز",IF($I463&gt;=80,"جيد جدًا",IF($I463&gt;=70,"جيد",IF($I463&gt;=60,"مقبول","يحتاج تحسين")))))</f>
        <v/>
      </c>
      <c r="K463" s="40" t="n"/>
    </row>
    <row r="464">
      <c r="A464" s="47" t="n"/>
      <c r="B464" s="50">
        <f>IFERROR(INDEX(الموظفون_الاسم,MATCH($A464,الموظفون_الرقم,0)),"")</f>
        <v/>
      </c>
      <c r="C464" s="47" t="n"/>
      <c r="D464" s="62" t="n"/>
      <c r="E464" s="62" t="n"/>
      <c r="F464" s="62" t="n"/>
      <c r="G464" s="62" t="n"/>
      <c r="H464" s="62" t="n"/>
      <c r="I464" s="113">
        <f>IF($A464="","",IF(COUNT($D464:$H464)=0,"",ROUND($D464*وزن_جودة_العمل+$E464*وزن_الالتزام+$F464*وزن_الإنتاجية+$G464*وزن_التعاون+$H464*وزن_الأهداف,1)))</f>
        <v/>
      </c>
      <c r="J464" s="50">
        <f>IF($I464="","",IF($I464&gt;=90,"ممتاز",IF($I464&gt;=80,"جيد جدًا",IF($I464&gt;=70,"جيد",IF($I464&gt;=60,"مقبول","يحتاج تحسين")))))</f>
        <v/>
      </c>
      <c r="K464" s="47" t="n"/>
    </row>
    <row r="465">
      <c r="A465" s="40" t="n"/>
      <c r="B465" s="43">
        <f>IFERROR(INDEX(الموظفون_الاسم,MATCH($A465,الموظفون_الرقم,0)),"")</f>
        <v/>
      </c>
      <c r="C465" s="40" t="n"/>
      <c r="D465" s="59" t="n"/>
      <c r="E465" s="59" t="n"/>
      <c r="F465" s="59" t="n"/>
      <c r="G465" s="59" t="n"/>
      <c r="H465" s="59" t="n"/>
      <c r="I465" s="111">
        <f>IF($A465="","",IF(COUNT($D465:$H465)=0,"",ROUND($D465*وزن_جودة_العمل+$E465*وزن_الالتزام+$F465*وزن_الإنتاجية+$G465*وزن_التعاون+$H465*وزن_الأهداف,1)))</f>
        <v/>
      </c>
      <c r="J465" s="43">
        <f>IF($I465="","",IF($I465&gt;=90,"ممتاز",IF($I465&gt;=80,"جيد جدًا",IF($I465&gt;=70,"جيد",IF($I465&gt;=60,"مقبول","يحتاج تحسين")))))</f>
        <v/>
      </c>
      <c r="K465" s="40" t="n"/>
    </row>
    <row r="466">
      <c r="A466" s="47" t="n"/>
      <c r="B466" s="50">
        <f>IFERROR(INDEX(الموظفون_الاسم,MATCH($A466,الموظفون_الرقم,0)),"")</f>
        <v/>
      </c>
      <c r="C466" s="47" t="n"/>
      <c r="D466" s="62" t="n"/>
      <c r="E466" s="62" t="n"/>
      <c r="F466" s="62" t="n"/>
      <c r="G466" s="62" t="n"/>
      <c r="H466" s="62" t="n"/>
      <c r="I466" s="113">
        <f>IF($A466="","",IF(COUNT($D466:$H466)=0,"",ROUND($D466*وزن_جودة_العمل+$E466*وزن_الالتزام+$F466*وزن_الإنتاجية+$G466*وزن_التعاون+$H466*وزن_الأهداف,1)))</f>
        <v/>
      </c>
      <c r="J466" s="50">
        <f>IF($I466="","",IF($I466&gt;=90,"ممتاز",IF($I466&gt;=80,"جيد جدًا",IF($I466&gt;=70,"جيد",IF($I466&gt;=60,"مقبول","يحتاج تحسين")))))</f>
        <v/>
      </c>
      <c r="K466" s="47" t="n"/>
    </row>
    <row r="467">
      <c r="A467" s="40" t="n"/>
      <c r="B467" s="43">
        <f>IFERROR(INDEX(الموظفون_الاسم,MATCH($A467,الموظفون_الرقم,0)),"")</f>
        <v/>
      </c>
      <c r="C467" s="40" t="n"/>
      <c r="D467" s="59" t="n"/>
      <c r="E467" s="59" t="n"/>
      <c r="F467" s="59" t="n"/>
      <c r="G467" s="59" t="n"/>
      <c r="H467" s="59" t="n"/>
      <c r="I467" s="111">
        <f>IF($A467="","",IF(COUNT($D467:$H467)=0,"",ROUND($D467*وزن_جودة_العمل+$E467*وزن_الالتزام+$F467*وزن_الإنتاجية+$G467*وزن_التعاون+$H467*وزن_الأهداف,1)))</f>
        <v/>
      </c>
      <c r="J467" s="43">
        <f>IF($I467="","",IF($I467&gt;=90,"ممتاز",IF($I467&gt;=80,"جيد جدًا",IF($I467&gt;=70,"جيد",IF($I467&gt;=60,"مقبول","يحتاج تحسين")))))</f>
        <v/>
      </c>
      <c r="K467" s="40" t="n"/>
    </row>
    <row r="468">
      <c r="A468" s="47" t="n"/>
      <c r="B468" s="50">
        <f>IFERROR(INDEX(الموظفون_الاسم,MATCH($A468,الموظفون_الرقم,0)),"")</f>
        <v/>
      </c>
      <c r="C468" s="47" t="n"/>
      <c r="D468" s="62" t="n"/>
      <c r="E468" s="62" t="n"/>
      <c r="F468" s="62" t="n"/>
      <c r="G468" s="62" t="n"/>
      <c r="H468" s="62" t="n"/>
      <c r="I468" s="113">
        <f>IF($A468="","",IF(COUNT($D468:$H468)=0,"",ROUND($D468*وزن_جودة_العمل+$E468*وزن_الالتزام+$F468*وزن_الإنتاجية+$G468*وزن_التعاون+$H468*وزن_الأهداف,1)))</f>
        <v/>
      </c>
      <c r="J468" s="50">
        <f>IF($I468="","",IF($I468&gt;=90,"ممتاز",IF($I468&gt;=80,"جيد جدًا",IF($I468&gt;=70,"جيد",IF($I468&gt;=60,"مقبول","يحتاج تحسين")))))</f>
        <v/>
      </c>
      <c r="K468" s="47" t="n"/>
    </row>
    <row r="469">
      <c r="A469" s="40" t="n"/>
      <c r="B469" s="43">
        <f>IFERROR(INDEX(الموظفون_الاسم,MATCH($A469,الموظفون_الرقم,0)),"")</f>
        <v/>
      </c>
      <c r="C469" s="40" t="n"/>
      <c r="D469" s="59" t="n"/>
      <c r="E469" s="59" t="n"/>
      <c r="F469" s="59" t="n"/>
      <c r="G469" s="59" t="n"/>
      <c r="H469" s="59" t="n"/>
      <c r="I469" s="111">
        <f>IF($A469="","",IF(COUNT($D469:$H469)=0,"",ROUND($D469*وزن_جودة_العمل+$E469*وزن_الالتزام+$F469*وزن_الإنتاجية+$G469*وزن_التعاون+$H469*وزن_الأهداف,1)))</f>
        <v/>
      </c>
      <c r="J469" s="43">
        <f>IF($I469="","",IF($I469&gt;=90,"ممتاز",IF($I469&gt;=80,"جيد جدًا",IF($I469&gt;=70,"جيد",IF($I469&gt;=60,"مقبول","يحتاج تحسين")))))</f>
        <v/>
      </c>
      <c r="K469" s="40" t="n"/>
    </row>
    <row r="470">
      <c r="A470" s="47" t="n"/>
      <c r="B470" s="50">
        <f>IFERROR(INDEX(الموظفون_الاسم,MATCH($A470,الموظفون_الرقم,0)),"")</f>
        <v/>
      </c>
      <c r="C470" s="47" t="n"/>
      <c r="D470" s="62" t="n"/>
      <c r="E470" s="62" t="n"/>
      <c r="F470" s="62" t="n"/>
      <c r="G470" s="62" t="n"/>
      <c r="H470" s="62" t="n"/>
      <c r="I470" s="113">
        <f>IF($A470="","",IF(COUNT($D470:$H470)=0,"",ROUND($D470*وزن_جودة_العمل+$E470*وزن_الالتزام+$F470*وزن_الإنتاجية+$G470*وزن_التعاون+$H470*وزن_الأهداف,1)))</f>
        <v/>
      </c>
      <c r="J470" s="50">
        <f>IF($I470="","",IF($I470&gt;=90,"ممتاز",IF($I470&gt;=80,"جيد جدًا",IF($I470&gt;=70,"جيد",IF($I470&gt;=60,"مقبول","يحتاج تحسين")))))</f>
        <v/>
      </c>
      <c r="K470" s="47" t="n"/>
    </row>
    <row r="471">
      <c r="A471" s="40" t="n"/>
      <c r="B471" s="43">
        <f>IFERROR(INDEX(الموظفون_الاسم,MATCH($A471,الموظفون_الرقم,0)),"")</f>
        <v/>
      </c>
      <c r="C471" s="40" t="n"/>
      <c r="D471" s="59" t="n"/>
      <c r="E471" s="59" t="n"/>
      <c r="F471" s="59" t="n"/>
      <c r="G471" s="59" t="n"/>
      <c r="H471" s="59" t="n"/>
      <c r="I471" s="111">
        <f>IF($A471="","",IF(COUNT($D471:$H471)=0,"",ROUND($D471*وزن_جودة_العمل+$E471*وزن_الالتزام+$F471*وزن_الإنتاجية+$G471*وزن_التعاون+$H471*وزن_الأهداف,1)))</f>
        <v/>
      </c>
      <c r="J471" s="43">
        <f>IF($I471="","",IF($I471&gt;=90,"ممتاز",IF($I471&gt;=80,"جيد جدًا",IF($I471&gt;=70,"جيد",IF($I471&gt;=60,"مقبول","يحتاج تحسين")))))</f>
        <v/>
      </c>
      <c r="K471" s="40" t="n"/>
    </row>
    <row r="472">
      <c r="A472" s="47" t="n"/>
      <c r="B472" s="50">
        <f>IFERROR(INDEX(الموظفون_الاسم,MATCH($A472,الموظفون_الرقم,0)),"")</f>
        <v/>
      </c>
      <c r="C472" s="47" t="n"/>
      <c r="D472" s="62" t="n"/>
      <c r="E472" s="62" t="n"/>
      <c r="F472" s="62" t="n"/>
      <c r="G472" s="62" t="n"/>
      <c r="H472" s="62" t="n"/>
      <c r="I472" s="113">
        <f>IF($A472="","",IF(COUNT($D472:$H472)=0,"",ROUND($D472*وزن_جودة_العمل+$E472*وزن_الالتزام+$F472*وزن_الإنتاجية+$G472*وزن_التعاون+$H472*وزن_الأهداف,1)))</f>
        <v/>
      </c>
      <c r="J472" s="50">
        <f>IF($I472="","",IF($I472&gt;=90,"ممتاز",IF($I472&gt;=80,"جيد جدًا",IF($I472&gt;=70,"جيد",IF($I472&gt;=60,"مقبول","يحتاج تحسين")))))</f>
        <v/>
      </c>
      <c r="K472" s="47" t="n"/>
    </row>
    <row r="473">
      <c r="A473" s="40" t="n"/>
      <c r="B473" s="43">
        <f>IFERROR(INDEX(الموظفون_الاسم,MATCH($A473,الموظفون_الرقم,0)),"")</f>
        <v/>
      </c>
      <c r="C473" s="40" t="n"/>
      <c r="D473" s="59" t="n"/>
      <c r="E473" s="59" t="n"/>
      <c r="F473" s="59" t="n"/>
      <c r="G473" s="59" t="n"/>
      <c r="H473" s="59" t="n"/>
      <c r="I473" s="111">
        <f>IF($A473="","",IF(COUNT($D473:$H473)=0,"",ROUND($D473*وزن_جودة_العمل+$E473*وزن_الالتزام+$F473*وزن_الإنتاجية+$G473*وزن_التعاون+$H473*وزن_الأهداف,1)))</f>
        <v/>
      </c>
      <c r="J473" s="43">
        <f>IF($I473="","",IF($I473&gt;=90,"ممتاز",IF($I473&gt;=80,"جيد جدًا",IF($I473&gt;=70,"جيد",IF($I473&gt;=60,"مقبول","يحتاج تحسين")))))</f>
        <v/>
      </c>
      <c r="K473" s="40" t="n"/>
    </row>
    <row r="474">
      <c r="A474" s="47" t="n"/>
      <c r="B474" s="50">
        <f>IFERROR(INDEX(الموظفون_الاسم,MATCH($A474,الموظفون_الرقم,0)),"")</f>
        <v/>
      </c>
      <c r="C474" s="47" t="n"/>
      <c r="D474" s="62" t="n"/>
      <c r="E474" s="62" t="n"/>
      <c r="F474" s="62" t="n"/>
      <c r="G474" s="62" t="n"/>
      <c r="H474" s="62" t="n"/>
      <c r="I474" s="113">
        <f>IF($A474="","",IF(COUNT($D474:$H474)=0,"",ROUND($D474*وزن_جودة_العمل+$E474*وزن_الالتزام+$F474*وزن_الإنتاجية+$G474*وزن_التعاون+$H474*وزن_الأهداف,1)))</f>
        <v/>
      </c>
      <c r="J474" s="50">
        <f>IF($I474="","",IF($I474&gt;=90,"ممتاز",IF($I474&gt;=80,"جيد جدًا",IF($I474&gt;=70,"جيد",IF($I474&gt;=60,"مقبول","يحتاج تحسين")))))</f>
        <v/>
      </c>
      <c r="K474" s="47" t="n"/>
    </row>
    <row r="475">
      <c r="A475" s="40" t="n"/>
      <c r="B475" s="43">
        <f>IFERROR(INDEX(الموظفون_الاسم,MATCH($A475,الموظفون_الرقم,0)),"")</f>
        <v/>
      </c>
      <c r="C475" s="40" t="n"/>
      <c r="D475" s="59" t="n"/>
      <c r="E475" s="59" t="n"/>
      <c r="F475" s="59" t="n"/>
      <c r="G475" s="59" t="n"/>
      <c r="H475" s="59" t="n"/>
      <c r="I475" s="111">
        <f>IF($A475="","",IF(COUNT($D475:$H475)=0,"",ROUND($D475*وزن_جودة_العمل+$E475*وزن_الالتزام+$F475*وزن_الإنتاجية+$G475*وزن_التعاون+$H475*وزن_الأهداف,1)))</f>
        <v/>
      </c>
      <c r="J475" s="43">
        <f>IF($I475="","",IF($I475&gt;=90,"ممتاز",IF($I475&gt;=80,"جيد جدًا",IF($I475&gt;=70,"جيد",IF($I475&gt;=60,"مقبول","يحتاج تحسين")))))</f>
        <v/>
      </c>
      <c r="K475" s="40" t="n"/>
    </row>
    <row r="476">
      <c r="A476" s="47" t="n"/>
      <c r="B476" s="50">
        <f>IFERROR(INDEX(الموظفون_الاسم,MATCH($A476,الموظفون_الرقم,0)),"")</f>
        <v/>
      </c>
      <c r="C476" s="47" t="n"/>
      <c r="D476" s="62" t="n"/>
      <c r="E476" s="62" t="n"/>
      <c r="F476" s="62" t="n"/>
      <c r="G476" s="62" t="n"/>
      <c r="H476" s="62" t="n"/>
      <c r="I476" s="113">
        <f>IF($A476="","",IF(COUNT($D476:$H476)=0,"",ROUND($D476*وزن_جودة_العمل+$E476*وزن_الالتزام+$F476*وزن_الإنتاجية+$G476*وزن_التعاون+$H476*وزن_الأهداف,1)))</f>
        <v/>
      </c>
      <c r="J476" s="50">
        <f>IF($I476="","",IF($I476&gt;=90,"ممتاز",IF($I476&gt;=80,"جيد جدًا",IF($I476&gt;=70,"جيد",IF($I476&gt;=60,"مقبول","يحتاج تحسين")))))</f>
        <v/>
      </c>
      <c r="K476" s="47" t="n"/>
    </row>
    <row r="477">
      <c r="A477" s="40" t="n"/>
      <c r="B477" s="43">
        <f>IFERROR(INDEX(الموظفون_الاسم,MATCH($A477,الموظفون_الرقم,0)),"")</f>
        <v/>
      </c>
      <c r="C477" s="40" t="n"/>
      <c r="D477" s="59" t="n"/>
      <c r="E477" s="59" t="n"/>
      <c r="F477" s="59" t="n"/>
      <c r="G477" s="59" t="n"/>
      <c r="H477" s="59" t="n"/>
      <c r="I477" s="111">
        <f>IF($A477="","",IF(COUNT($D477:$H477)=0,"",ROUND($D477*وزن_جودة_العمل+$E477*وزن_الالتزام+$F477*وزن_الإنتاجية+$G477*وزن_التعاون+$H477*وزن_الأهداف,1)))</f>
        <v/>
      </c>
      <c r="J477" s="43">
        <f>IF($I477="","",IF($I477&gt;=90,"ممتاز",IF($I477&gt;=80,"جيد جدًا",IF($I477&gt;=70,"جيد",IF($I477&gt;=60,"مقبول","يحتاج تحسين")))))</f>
        <v/>
      </c>
      <c r="K477" s="40" t="n"/>
    </row>
    <row r="478">
      <c r="A478" s="47" t="n"/>
      <c r="B478" s="50">
        <f>IFERROR(INDEX(الموظفون_الاسم,MATCH($A478,الموظفون_الرقم,0)),"")</f>
        <v/>
      </c>
      <c r="C478" s="47" t="n"/>
      <c r="D478" s="62" t="n"/>
      <c r="E478" s="62" t="n"/>
      <c r="F478" s="62" t="n"/>
      <c r="G478" s="62" t="n"/>
      <c r="H478" s="62" t="n"/>
      <c r="I478" s="113">
        <f>IF($A478="","",IF(COUNT($D478:$H478)=0,"",ROUND($D478*وزن_جودة_العمل+$E478*وزن_الالتزام+$F478*وزن_الإنتاجية+$G478*وزن_التعاون+$H478*وزن_الأهداف,1)))</f>
        <v/>
      </c>
      <c r="J478" s="50">
        <f>IF($I478="","",IF($I478&gt;=90,"ممتاز",IF($I478&gt;=80,"جيد جدًا",IF($I478&gt;=70,"جيد",IF($I478&gt;=60,"مقبول","يحتاج تحسين")))))</f>
        <v/>
      </c>
      <c r="K478" s="47" t="n"/>
    </row>
    <row r="479">
      <c r="A479" s="40" t="n"/>
      <c r="B479" s="43">
        <f>IFERROR(INDEX(الموظفون_الاسم,MATCH($A479,الموظفون_الرقم,0)),"")</f>
        <v/>
      </c>
      <c r="C479" s="40" t="n"/>
      <c r="D479" s="59" t="n"/>
      <c r="E479" s="59" t="n"/>
      <c r="F479" s="59" t="n"/>
      <c r="G479" s="59" t="n"/>
      <c r="H479" s="59" t="n"/>
      <c r="I479" s="111">
        <f>IF($A479="","",IF(COUNT($D479:$H479)=0,"",ROUND($D479*وزن_جودة_العمل+$E479*وزن_الالتزام+$F479*وزن_الإنتاجية+$G479*وزن_التعاون+$H479*وزن_الأهداف,1)))</f>
        <v/>
      </c>
      <c r="J479" s="43">
        <f>IF($I479="","",IF($I479&gt;=90,"ممتاز",IF($I479&gt;=80,"جيد جدًا",IF($I479&gt;=70,"جيد",IF($I479&gt;=60,"مقبول","يحتاج تحسين")))))</f>
        <v/>
      </c>
      <c r="K479" s="40" t="n"/>
    </row>
    <row r="480">
      <c r="A480" s="47" t="n"/>
      <c r="B480" s="50">
        <f>IFERROR(INDEX(الموظفون_الاسم,MATCH($A480,الموظفون_الرقم,0)),"")</f>
        <v/>
      </c>
      <c r="C480" s="47" t="n"/>
      <c r="D480" s="62" t="n"/>
      <c r="E480" s="62" t="n"/>
      <c r="F480" s="62" t="n"/>
      <c r="G480" s="62" t="n"/>
      <c r="H480" s="62" t="n"/>
      <c r="I480" s="113">
        <f>IF($A480="","",IF(COUNT($D480:$H480)=0,"",ROUND($D480*وزن_جودة_العمل+$E480*وزن_الالتزام+$F480*وزن_الإنتاجية+$G480*وزن_التعاون+$H480*وزن_الأهداف,1)))</f>
        <v/>
      </c>
      <c r="J480" s="50">
        <f>IF($I480="","",IF($I480&gt;=90,"ممتاز",IF($I480&gt;=80,"جيد جدًا",IF($I480&gt;=70,"جيد",IF($I480&gt;=60,"مقبول","يحتاج تحسين")))))</f>
        <v/>
      </c>
      <c r="K480" s="47" t="n"/>
    </row>
    <row r="481">
      <c r="A481" s="40" t="n"/>
      <c r="B481" s="43">
        <f>IFERROR(INDEX(الموظفون_الاسم,MATCH($A481,الموظفون_الرقم,0)),"")</f>
        <v/>
      </c>
      <c r="C481" s="40" t="n"/>
      <c r="D481" s="59" t="n"/>
      <c r="E481" s="59" t="n"/>
      <c r="F481" s="59" t="n"/>
      <c r="G481" s="59" t="n"/>
      <c r="H481" s="59" t="n"/>
      <c r="I481" s="111">
        <f>IF($A481="","",IF(COUNT($D481:$H481)=0,"",ROUND($D481*وزن_جودة_العمل+$E481*وزن_الالتزام+$F481*وزن_الإنتاجية+$G481*وزن_التعاون+$H481*وزن_الأهداف,1)))</f>
        <v/>
      </c>
      <c r="J481" s="43">
        <f>IF($I481="","",IF($I481&gt;=90,"ممتاز",IF($I481&gt;=80,"جيد جدًا",IF($I481&gt;=70,"جيد",IF($I481&gt;=60,"مقبول","يحتاج تحسين")))))</f>
        <v/>
      </c>
      <c r="K481" s="40" t="n"/>
    </row>
    <row r="482">
      <c r="A482" s="47" t="n"/>
      <c r="B482" s="50">
        <f>IFERROR(INDEX(الموظفون_الاسم,MATCH($A482,الموظفون_الرقم,0)),"")</f>
        <v/>
      </c>
      <c r="C482" s="47" t="n"/>
      <c r="D482" s="62" t="n"/>
      <c r="E482" s="62" t="n"/>
      <c r="F482" s="62" t="n"/>
      <c r="G482" s="62" t="n"/>
      <c r="H482" s="62" t="n"/>
      <c r="I482" s="113">
        <f>IF($A482="","",IF(COUNT($D482:$H482)=0,"",ROUND($D482*وزن_جودة_العمل+$E482*وزن_الالتزام+$F482*وزن_الإنتاجية+$G482*وزن_التعاون+$H482*وزن_الأهداف,1)))</f>
        <v/>
      </c>
      <c r="J482" s="50">
        <f>IF($I482="","",IF($I482&gt;=90,"ممتاز",IF($I482&gt;=80,"جيد جدًا",IF($I482&gt;=70,"جيد",IF($I482&gt;=60,"مقبول","يحتاج تحسين")))))</f>
        <v/>
      </c>
      <c r="K482" s="47" t="n"/>
    </row>
    <row r="483">
      <c r="A483" s="40" t="n"/>
      <c r="B483" s="43">
        <f>IFERROR(INDEX(الموظفون_الاسم,MATCH($A483,الموظفون_الرقم,0)),"")</f>
        <v/>
      </c>
      <c r="C483" s="40" t="n"/>
      <c r="D483" s="59" t="n"/>
      <c r="E483" s="59" t="n"/>
      <c r="F483" s="59" t="n"/>
      <c r="G483" s="59" t="n"/>
      <c r="H483" s="59" t="n"/>
      <c r="I483" s="111">
        <f>IF($A483="","",IF(COUNT($D483:$H483)=0,"",ROUND($D483*وزن_جودة_العمل+$E483*وزن_الالتزام+$F483*وزن_الإنتاجية+$G483*وزن_التعاون+$H483*وزن_الأهداف,1)))</f>
        <v/>
      </c>
      <c r="J483" s="43">
        <f>IF($I483="","",IF($I483&gt;=90,"ممتاز",IF($I483&gt;=80,"جيد جدًا",IF($I483&gt;=70,"جيد",IF($I483&gt;=60,"مقبول","يحتاج تحسين")))))</f>
        <v/>
      </c>
      <c r="K483" s="40" t="n"/>
    </row>
    <row r="484">
      <c r="A484" s="47" t="n"/>
      <c r="B484" s="50">
        <f>IFERROR(INDEX(الموظفون_الاسم,MATCH($A484,الموظفون_الرقم,0)),"")</f>
        <v/>
      </c>
      <c r="C484" s="47" t="n"/>
      <c r="D484" s="62" t="n"/>
      <c r="E484" s="62" t="n"/>
      <c r="F484" s="62" t="n"/>
      <c r="G484" s="62" t="n"/>
      <c r="H484" s="62" t="n"/>
      <c r="I484" s="113">
        <f>IF($A484="","",IF(COUNT($D484:$H484)=0,"",ROUND($D484*وزن_جودة_العمل+$E484*وزن_الالتزام+$F484*وزن_الإنتاجية+$G484*وزن_التعاون+$H484*وزن_الأهداف,1)))</f>
        <v/>
      </c>
      <c r="J484" s="50">
        <f>IF($I484="","",IF($I484&gt;=90,"ممتاز",IF($I484&gt;=80,"جيد جدًا",IF($I484&gt;=70,"جيد",IF($I484&gt;=60,"مقبول","يحتاج تحسين")))))</f>
        <v/>
      </c>
      <c r="K484" s="47" t="n"/>
    </row>
    <row r="485">
      <c r="A485" s="40" t="n"/>
      <c r="B485" s="43">
        <f>IFERROR(INDEX(الموظفون_الاسم,MATCH($A485,الموظفون_الرقم,0)),"")</f>
        <v/>
      </c>
      <c r="C485" s="40" t="n"/>
      <c r="D485" s="59" t="n"/>
      <c r="E485" s="59" t="n"/>
      <c r="F485" s="59" t="n"/>
      <c r="G485" s="59" t="n"/>
      <c r="H485" s="59" t="n"/>
      <c r="I485" s="111">
        <f>IF($A485="","",IF(COUNT($D485:$H485)=0,"",ROUND($D485*وزن_جودة_العمل+$E485*وزن_الالتزام+$F485*وزن_الإنتاجية+$G485*وزن_التعاون+$H485*وزن_الأهداف,1)))</f>
        <v/>
      </c>
      <c r="J485" s="43">
        <f>IF($I485="","",IF($I485&gt;=90,"ممتاز",IF($I485&gt;=80,"جيد جدًا",IF($I485&gt;=70,"جيد",IF($I485&gt;=60,"مقبول","يحتاج تحسين")))))</f>
        <v/>
      </c>
      <c r="K485" s="40" t="n"/>
    </row>
    <row r="486">
      <c r="A486" s="47" t="n"/>
      <c r="B486" s="50">
        <f>IFERROR(INDEX(الموظفون_الاسم,MATCH($A486,الموظفون_الرقم,0)),"")</f>
        <v/>
      </c>
      <c r="C486" s="47" t="n"/>
      <c r="D486" s="62" t="n"/>
      <c r="E486" s="62" t="n"/>
      <c r="F486" s="62" t="n"/>
      <c r="G486" s="62" t="n"/>
      <c r="H486" s="62" t="n"/>
      <c r="I486" s="113">
        <f>IF($A486="","",IF(COUNT($D486:$H486)=0,"",ROUND($D486*وزن_جودة_العمل+$E486*وزن_الالتزام+$F486*وزن_الإنتاجية+$G486*وزن_التعاون+$H486*وزن_الأهداف,1)))</f>
        <v/>
      </c>
      <c r="J486" s="50">
        <f>IF($I486="","",IF($I486&gt;=90,"ممتاز",IF($I486&gt;=80,"جيد جدًا",IF($I486&gt;=70,"جيد",IF($I486&gt;=60,"مقبول","يحتاج تحسين")))))</f>
        <v/>
      </c>
      <c r="K486" s="47" t="n"/>
    </row>
    <row r="487">
      <c r="A487" s="40" t="n"/>
      <c r="B487" s="43">
        <f>IFERROR(INDEX(الموظفون_الاسم,MATCH($A487,الموظفون_الرقم,0)),"")</f>
        <v/>
      </c>
      <c r="C487" s="40" t="n"/>
      <c r="D487" s="59" t="n"/>
      <c r="E487" s="59" t="n"/>
      <c r="F487" s="59" t="n"/>
      <c r="G487" s="59" t="n"/>
      <c r="H487" s="59" t="n"/>
      <c r="I487" s="111">
        <f>IF($A487="","",IF(COUNT($D487:$H487)=0,"",ROUND($D487*وزن_جودة_العمل+$E487*وزن_الالتزام+$F487*وزن_الإنتاجية+$G487*وزن_التعاون+$H487*وزن_الأهداف,1)))</f>
        <v/>
      </c>
      <c r="J487" s="43">
        <f>IF($I487="","",IF($I487&gt;=90,"ممتاز",IF($I487&gt;=80,"جيد جدًا",IF($I487&gt;=70,"جيد",IF($I487&gt;=60,"مقبول","يحتاج تحسين")))))</f>
        <v/>
      </c>
      <c r="K487" s="40" t="n"/>
    </row>
    <row r="488">
      <c r="A488" s="47" t="n"/>
      <c r="B488" s="50">
        <f>IFERROR(INDEX(الموظفون_الاسم,MATCH($A488,الموظفون_الرقم,0)),"")</f>
        <v/>
      </c>
      <c r="C488" s="47" t="n"/>
      <c r="D488" s="62" t="n"/>
      <c r="E488" s="62" t="n"/>
      <c r="F488" s="62" t="n"/>
      <c r="G488" s="62" t="n"/>
      <c r="H488" s="62" t="n"/>
      <c r="I488" s="113">
        <f>IF($A488="","",IF(COUNT($D488:$H488)=0,"",ROUND($D488*وزن_جودة_العمل+$E488*وزن_الالتزام+$F488*وزن_الإنتاجية+$G488*وزن_التعاون+$H488*وزن_الأهداف,1)))</f>
        <v/>
      </c>
      <c r="J488" s="50">
        <f>IF($I488="","",IF($I488&gt;=90,"ممتاز",IF($I488&gt;=80,"جيد جدًا",IF($I488&gt;=70,"جيد",IF($I488&gt;=60,"مقبول","يحتاج تحسين")))))</f>
        <v/>
      </c>
      <c r="K488" s="47" t="n"/>
    </row>
    <row r="489">
      <c r="A489" s="40" t="n"/>
      <c r="B489" s="43">
        <f>IFERROR(INDEX(الموظفون_الاسم,MATCH($A489,الموظفون_الرقم,0)),"")</f>
        <v/>
      </c>
      <c r="C489" s="40" t="n"/>
      <c r="D489" s="59" t="n"/>
      <c r="E489" s="59" t="n"/>
      <c r="F489" s="59" t="n"/>
      <c r="G489" s="59" t="n"/>
      <c r="H489" s="59" t="n"/>
      <c r="I489" s="111">
        <f>IF($A489="","",IF(COUNT($D489:$H489)=0,"",ROUND($D489*وزن_جودة_العمل+$E489*وزن_الالتزام+$F489*وزن_الإنتاجية+$G489*وزن_التعاون+$H489*وزن_الأهداف,1)))</f>
        <v/>
      </c>
      <c r="J489" s="43">
        <f>IF($I489="","",IF($I489&gt;=90,"ممتاز",IF($I489&gt;=80,"جيد جدًا",IF($I489&gt;=70,"جيد",IF($I489&gt;=60,"مقبول","يحتاج تحسين")))))</f>
        <v/>
      </c>
      <c r="K489" s="40" t="n"/>
    </row>
    <row r="490">
      <c r="A490" s="47" t="n"/>
      <c r="B490" s="50">
        <f>IFERROR(INDEX(الموظفون_الاسم,MATCH($A490,الموظفون_الرقم,0)),"")</f>
        <v/>
      </c>
      <c r="C490" s="47" t="n"/>
      <c r="D490" s="62" t="n"/>
      <c r="E490" s="62" t="n"/>
      <c r="F490" s="62" t="n"/>
      <c r="G490" s="62" t="n"/>
      <c r="H490" s="62" t="n"/>
      <c r="I490" s="113">
        <f>IF($A490="","",IF(COUNT($D490:$H490)=0,"",ROUND($D490*وزن_جودة_العمل+$E490*وزن_الالتزام+$F490*وزن_الإنتاجية+$G490*وزن_التعاون+$H490*وزن_الأهداف,1)))</f>
        <v/>
      </c>
      <c r="J490" s="50">
        <f>IF($I490="","",IF($I490&gt;=90,"ممتاز",IF($I490&gt;=80,"جيد جدًا",IF($I490&gt;=70,"جيد",IF($I490&gt;=60,"مقبول","يحتاج تحسين")))))</f>
        <v/>
      </c>
      <c r="K490" s="47" t="n"/>
    </row>
    <row r="491">
      <c r="A491" s="40" t="n"/>
      <c r="B491" s="43">
        <f>IFERROR(INDEX(الموظفون_الاسم,MATCH($A491,الموظفون_الرقم,0)),"")</f>
        <v/>
      </c>
      <c r="C491" s="40" t="n"/>
      <c r="D491" s="59" t="n"/>
      <c r="E491" s="59" t="n"/>
      <c r="F491" s="59" t="n"/>
      <c r="G491" s="59" t="n"/>
      <c r="H491" s="59" t="n"/>
      <c r="I491" s="111">
        <f>IF($A491="","",IF(COUNT($D491:$H491)=0,"",ROUND($D491*وزن_جودة_العمل+$E491*وزن_الالتزام+$F491*وزن_الإنتاجية+$G491*وزن_التعاون+$H491*وزن_الأهداف,1)))</f>
        <v/>
      </c>
      <c r="J491" s="43">
        <f>IF($I491="","",IF($I491&gt;=90,"ممتاز",IF($I491&gt;=80,"جيد جدًا",IF($I491&gt;=70,"جيد",IF($I491&gt;=60,"مقبول","يحتاج تحسين")))))</f>
        <v/>
      </c>
      <c r="K491" s="40" t="n"/>
    </row>
    <row r="492">
      <c r="A492" s="47" t="n"/>
      <c r="B492" s="50">
        <f>IFERROR(INDEX(الموظفون_الاسم,MATCH($A492,الموظفون_الرقم,0)),"")</f>
        <v/>
      </c>
      <c r="C492" s="47" t="n"/>
      <c r="D492" s="62" t="n"/>
      <c r="E492" s="62" t="n"/>
      <c r="F492" s="62" t="n"/>
      <c r="G492" s="62" t="n"/>
      <c r="H492" s="62" t="n"/>
      <c r="I492" s="113">
        <f>IF($A492="","",IF(COUNT($D492:$H492)=0,"",ROUND($D492*وزن_جودة_العمل+$E492*وزن_الالتزام+$F492*وزن_الإنتاجية+$G492*وزن_التعاون+$H492*وزن_الأهداف,1)))</f>
        <v/>
      </c>
      <c r="J492" s="50">
        <f>IF($I492="","",IF($I492&gt;=90,"ممتاز",IF($I492&gt;=80,"جيد جدًا",IF($I492&gt;=70,"جيد",IF($I492&gt;=60,"مقبول","يحتاج تحسين")))))</f>
        <v/>
      </c>
      <c r="K492" s="47" t="n"/>
    </row>
    <row r="493">
      <c r="A493" s="40" t="n"/>
      <c r="B493" s="43">
        <f>IFERROR(INDEX(الموظفون_الاسم,MATCH($A493,الموظفون_الرقم,0)),"")</f>
        <v/>
      </c>
      <c r="C493" s="40" t="n"/>
      <c r="D493" s="59" t="n"/>
      <c r="E493" s="59" t="n"/>
      <c r="F493" s="59" t="n"/>
      <c r="G493" s="59" t="n"/>
      <c r="H493" s="59" t="n"/>
      <c r="I493" s="111">
        <f>IF($A493="","",IF(COUNT($D493:$H493)=0,"",ROUND($D493*وزن_جودة_العمل+$E493*وزن_الالتزام+$F493*وزن_الإنتاجية+$G493*وزن_التعاون+$H493*وزن_الأهداف,1)))</f>
        <v/>
      </c>
      <c r="J493" s="43">
        <f>IF($I493="","",IF($I493&gt;=90,"ممتاز",IF($I493&gt;=80,"جيد جدًا",IF($I493&gt;=70,"جيد",IF($I493&gt;=60,"مقبول","يحتاج تحسين")))))</f>
        <v/>
      </c>
      <c r="K493" s="40" t="n"/>
    </row>
    <row r="494">
      <c r="A494" s="47" t="n"/>
      <c r="B494" s="50">
        <f>IFERROR(INDEX(الموظفون_الاسم,MATCH($A494,الموظفون_الرقم,0)),"")</f>
        <v/>
      </c>
      <c r="C494" s="47" t="n"/>
      <c r="D494" s="62" t="n"/>
      <c r="E494" s="62" t="n"/>
      <c r="F494" s="62" t="n"/>
      <c r="G494" s="62" t="n"/>
      <c r="H494" s="62" t="n"/>
      <c r="I494" s="113">
        <f>IF($A494="","",IF(COUNT($D494:$H494)=0,"",ROUND($D494*وزن_جودة_العمل+$E494*وزن_الالتزام+$F494*وزن_الإنتاجية+$G494*وزن_التعاون+$H494*وزن_الأهداف,1)))</f>
        <v/>
      </c>
      <c r="J494" s="50">
        <f>IF($I494="","",IF($I494&gt;=90,"ممتاز",IF($I494&gt;=80,"جيد جدًا",IF($I494&gt;=70,"جيد",IF($I494&gt;=60,"مقبول","يحتاج تحسين")))))</f>
        <v/>
      </c>
      <c r="K494" s="47" t="n"/>
    </row>
    <row r="495">
      <c r="A495" s="40" t="n"/>
      <c r="B495" s="43">
        <f>IFERROR(INDEX(الموظفون_الاسم,MATCH($A495,الموظفون_الرقم,0)),"")</f>
        <v/>
      </c>
      <c r="C495" s="40" t="n"/>
      <c r="D495" s="59" t="n"/>
      <c r="E495" s="59" t="n"/>
      <c r="F495" s="59" t="n"/>
      <c r="G495" s="59" t="n"/>
      <c r="H495" s="59" t="n"/>
      <c r="I495" s="111">
        <f>IF($A495="","",IF(COUNT($D495:$H495)=0,"",ROUND($D495*وزن_جودة_العمل+$E495*وزن_الالتزام+$F495*وزن_الإنتاجية+$G495*وزن_التعاون+$H495*وزن_الأهداف,1)))</f>
        <v/>
      </c>
      <c r="J495" s="43">
        <f>IF($I495="","",IF($I495&gt;=90,"ممتاز",IF($I495&gt;=80,"جيد جدًا",IF($I495&gt;=70,"جيد",IF($I495&gt;=60,"مقبول","يحتاج تحسين")))))</f>
        <v/>
      </c>
      <c r="K495" s="40" t="n"/>
    </row>
    <row r="496">
      <c r="A496" s="47" t="n"/>
      <c r="B496" s="50">
        <f>IFERROR(INDEX(الموظفون_الاسم,MATCH($A496,الموظفون_الرقم,0)),"")</f>
        <v/>
      </c>
      <c r="C496" s="47" t="n"/>
      <c r="D496" s="62" t="n"/>
      <c r="E496" s="62" t="n"/>
      <c r="F496" s="62" t="n"/>
      <c r="G496" s="62" t="n"/>
      <c r="H496" s="62" t="n"/>
      <c r="I496" s="113">
        <f>IF($A496="","",IF(COUNT($D496:$H496)=0,"",ROUND($D496*وزن_جودة_العمل+$E496*وزن_الالتزام+$F496*وزن_الإنتاجية+$G496*وزن_التعاون+$H496*وزن_الأهداف,1)))</f>
        <v/>
      </c>
      <c r="J496" s="50">
        <f>IF($I496="","",IF($I496&gt;=90,"ممتاز",IF($I496&gt;=80,"جيد جدًا",IF($I496&gt;=70,"جيد",IF($I496&gt;=60,"مقبول","يحتاج تحسين")))))</f>
        <v/>
      </c>
      <c r="K496" s="47" t="n"/>
    </row>
    <row r="497">
      <c r="A497" s="40" t="n"/>
      <c r="B497" s="43">
        <f>IFERROR(INDEX(الموظفون_الاسم,MATCH($A497,الموظفون_الرقم,0)),"")</f>
        <v/>
      </c>
      <c r="C497" s="40" t="n"/>
      <c r="D497" s="59" t="n"/>
      <c r="E497" s="59" t="n"/>
      <c r="F497" s="59" t="n"/>
      <c r="G497" s="59" t="n"/>
      <c r="H497" s="59" t="n"/>
      <c r="I497" s="111">
        <f>IF($A497="","",IF(COUNT($D497:$H497)=0,"",ROUND($D497*وزن_جودة_العمل+$E497*وزن_الالتزام+$F497*وزن_الإنتاجية+$G497*وزن_التعاون+$H497*وزن_الأهداف,1)))</f>
        <v/>
      </c>
      <c r="J497" s="43">
        <f>IF($I497="","",IF($I497&gt;=90,"ممتاز",IF($I497&gt;=80,"جيد جدًا",IF($I497&gt;=70,"جيد",IF($I497&gt;=60,"مقبول","يحتاج تحسين")))))</f>
        <v/>
      </c>
      <c r="K497" s="40" t="n"/>
    </row>
    <row r="498">
      <c r="A498" s="47" t="n"/>
      <c r="B498" s="50">
        <f>IFERROR(INDEX(الموظفون_الاسم,MATCH($A498,الموظفون_الرقم,0)),"")</f>
        <v/>
      </c>
      <c r="C498" s="47" t="n"/>
      <c r="D498" s="62" t="n"/>
      <c r="E498" s="62" t="n"/>
      <c r="F498" s="62" t="n"/>
      <c r="G498" s="62" t="n"/>
      <c r="H498" s="62" t="n"/>
      <c r="I498" s="113">
        <f>IF($A498="","",IF(COUNT($D498:$H498)=0,"",ROUND($D498*وزن_جودة_العمل+$E498*وزن_الالتزام+$F498*وزن_الإنتاجية+$G498*وزن_التعاون+$H498*وزن_الأهداف,1)))</f>
        <v/>
      </c>
      <c r="J498" s="50">
        <f>IF($I498="","",IF($I498&gt;=90,"ممتاز",IF($I498&gt;=80,"جيد جدًا",IF($I498&gt;=70,"جيد",IF($I498&gt;=60,"مقبول","يحتاج تحسين")))))</f>
        <v/>
      </c>
      <c r="K498" s="47" t="n"/>
    </row>
    <row r="499">
      <c r="A499" s="40" t="n"/>
      <c r="B499" s="43">
        <f>IFERROR(INDEX(الموظفون_الاسم,MATCH($A499,الموظفون_الرقم,0)),"")</f>
        <v/>
      </c>
      <c r="C499" s="40" t="n"/>
      <c r="D499" s="59" t="n"/>
      <c r="E499" s="59" t="n"/>
      <c r="F499" s="59" t="n"/>
      <c r="G499" s="59" t="n"/>
      <c r="H499" s="59" t="n"/>
      <c r="I499" s="111">
        <f>IF($A499="","",IF(COUNT($D499:$H499)=0,"",ROUND($D499*وزن_جودة_العمل+$E499*وزن_الالتزام+$F499*وزن_الإنتاجية+$G499*وزن_التعاون+$H499*وزن_الأهداف,1)))</f>
        <v/>
      </c>
      <c r="J499" s="43">
        <f>IF($I499="","",IF($I499&gt;=90,"ممتاز",IF($I499&gt;=80,"جيد جدًا",IF($I499&gt;=70,"جيد",IF($I499&gt;=60,"مقبول","يحتاج تحسين")))))</f>
        <v/>
      </c>
      <c r="K499" s="40" t="n"/>
    </row>
    <row r="500">
      <c r="A500" s="47" t="n"/>
      <c r="B500" s="50">
        <f>IFERROR(INDEX(الموظفون_الاسم,MATCH($A500,الموظفون_الرقم,0)),"")</f>
        <v/>
      </c>
      <c r="C500" s="47" t="n"/>
      <c r="D500" s="62" t="n"/>
      <c r="E500" s="62" t="n"/>
      <c r="F500" s="62" t="n"/>
      <c r="G500" s="62" t="n"/>
      <c r="H500" s="62" t="n"/>
      <c r="I500" s="113">
        <f>IF($A500="","",IF(COUNT($D500:$H500)=0,"",ROUND($D500*وزن_جودة_العمل+$E500*وزن_الالتزام+$F500*وزن_الإنتاجية+$G500*وزن_التعاون+$H500*وزن_الأهداف,1)))</f>
        <v/>
      </c>
      <c r="J500" s="50">
        <f>IF($I500="","",IF($I500&gt;=90,"ممتاز",IF($I500&gt;=80,"جيد جدًا",IF($I500&gt;=70,"جيد",IF($I500&gt;=60,"مقبول","يحتاج تحسين")))))</f>
        <v/>
      </c>
      <c r="K500" s="47" t="n"/>
    </row>
    <row r="501">
      <c r="A501" s="40" t="n"/>
      <c r="B501" s="43">
        <f>IFERROR(INDEX(الموظفون_الاسم,MATCH($A501,الموظفون_الرقم,0)),"")</f>
        <v/>
      </c>
      <c r="C501" s="40" t="n"/>
      <c r="D501" s="59" t="n"/>
      <c r="E501" s="59" t="n"/>
      <c r="F501" s="59" t="n"/>
      <c r="G501" s="59" t="n"/>
      <c r="H501" s="59" t="n"/>
      <c r="I501" s="111">
        <f>IF($A501="","",IF(COUNT($D501:$H501)=0,"",ROUND($D501*وزن_جودة_العمل+$E501*وزن_الالتزام+$F501*وزن_الإنتاجية+$G501*وزن_التعاون+$H501*وزن_الأهداف,1)))</f>
        <v/>
      </c>
      <c r="J501" s="43">
        <f>IF($I501="","",IF($I501&gt;=90,"ممتاز",IF($I501&gt;=80,"جيد جدًا",IF($I501&gt;=70,"جيد",IF($I501&gt;=60,"مقبول","يحتاج تحسين")))))</f>
        <v/>
      </c>
      <c r="K501" s="40" t="n"/>
    </row>
    <row r="502">
      <c r="A502" s="47" t="n"/>
      <c r="B502" s="50">
        <f>IFERROR(INDEX(الموظفون_الاسم,MATCH($A502,الموظفون_الرقم,0)),"")</f>
        <v/>
      </c>
      <c r="C502" s="47" t="n"/>
      <c r="D502" s="62" t="n"/>
      <c r="E502" s="62" t="n"/>
      <c r="F502" s="62" t="n"/>
      <c r="G502" s="62" t="n"/>
      <c r="H502" s="62" t="n"/>
      <c r="I502" s="113">
        <f>IF($A502="","",IF(COUNT($D502:$H502)=0,"",ROUND($D502*وزن_جودة_العمل+$E502*وزن_الالتزام+$F502*وزن_الإنتاجية+$G502*وزن_التعاون+$H502*وزن_الأهداف,1)))</f>
        <v/>
      </c>
      <c r="J502" s="50">
        <f>IF($I502="","",IF($I502&gt;=90,"ممتاز",IF($I502&gt;=80,"جيد جدًا",IF($I502&gt;=70,"جيد",IF($I502&gt;=60,"مقبول","يحتاج تحسين")))))</f>
        <v/>
      </c>
      <c r="K502" s="4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C605"/>
  <autoFilter ref="A2:K502"/>
  <mergeCells count="1">
    <mergeCell ref="A1:K1"/>
  </mergeCells>
  <conditionalFormatting sqref="I3:I502">
    <cfRule type="cellIs" priority="1" operator="greaterThanOrEqual" dxfId="2">
      <formula>90</formula>
    </cfRule>
    <cfRule type="cellIs" priority="2" operator="lessThan" dxfId="3">
      <formula>60</formula>
    </cfRule>
  </conditionalFormatting>
  <dataValidations count="2">
    <dataValidation sqref="A3:A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=قائمة_الرقم_الوظيفي</formula1>
    </dataValidation>
    <dataValidation sqref="J3:J502" showDropDown="0" showInputMessage="0" showErrorMessage="1" allowBlank="1" type="list" errorStyle="stop">
      <formula1>"ممتاز,جيد جدًا,جيد,مقبول,يحتاج تحسين"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K502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14" customWidth="1" min="4" max="4"/>
    <col width="13" customWidth="1" min="5" max="5"/>
    <col width="26" customWidth="1" min="6" max="6"/>
    <col width="18" customWidth="1" min="7" max="7"/>
    <col width="13" customWidth="1" min="8" max="8"/>
    <col width="13" customWidth="1" min="9" max="9"/>
    <col width="12" customWidth="1" min="10" max="10"/>
    <col width="24" customWidth="1" min="11" max="11"/>
  </cols>
  <sheetData>
    <row r="1" ht="32" customHeight="1">
      <c r="A1" s="1" t="inlineStr">
        <is>
          <t>الجزاءات والمكافآت  —  نموذج إدخال</t>
        </is>
      </c>
    </row>
    <row r="2" ht="42" customHeight="1">
      <c r="A2" s="38" t="inlineStr">
        <is>
          <t>الرقم الوظيفي</t>
        </is>
      </c>
      <c r="B2" s="38" t="inlineStr">
        <is>
          <t>اسم الموظف</t>
        </is>
      </c>
      <c r="C2" s="38" t="inlineStr">
        <is>
          <t>نوع القرار</t>
        </is>
      </c>
      <c r="D2" s="38" t="inlineStr">
        <is>
          <t>تصنيف القرار</t>
        </is>
      </c>
      <c r="E2" s="38" t="inlineStr">
        <is>
          <t>تاريخ القرار</t>
        </is>
      </c>
      <c r="F2" s="38" t="inlineStr">
        <is>
          <t>سبب القرار</t>
        </is>
      </c>
      <c r="G2" s="38" t="inlineStr">
        <is>
          <t>الجهة المعتمدة</t>
        </is>
      </c>
      <c r="H2" s="38" t="inlineStr">
        <is>
          <t>الأثر المالي</t>
        </is>
      </c>
      <c r="I2" s="38" t="inlineStr">
        <is>
          <t>تاريخ التنفيذ</t>
        </is>
      </c>
      <c r="J2" s="38" t="inlineStr">
        <is>
          <t>حالة التنفيذ</t>
        </is>
      </c>
      <c r="K2" s="38" t="inlineStr">
        <is>
          <t>الملاحظات</t>
        </is>
      </c>
    </row>
    <row r="3">
      <c r="A3" s="40" t="n"/>
      <c r="B3" s="43">
        <f>IFERROR(INDEX(الموظفون_الاسم,MATCH($A3,الموظفون_الرقم,0)),"")</f>
        <v/>
      </c>
      <c r="C3" s="40" t="n"/>
      <c r="D3" s="40" t="n"/>
      <c r="E3" s="110" t="n"/>
      <c r="F3" s="40" t="n"/>
      <c r="G3" s="40" t="n"/>
      <c r="H3" s="42" t="n"/>
      <c r="I3" s="110" t="n"/>
      <c r="J3" s="40" t="n"/>
      <c r="K3" s="40" t="n"/>
    </row>
    <row r="4">
      <c r="A4" s="47" t="n"/>
      <c r="B4" s="50">
        <f>IFERROR(INDEX(الموظفون_الاسم,MATCH($A4,الموظفون_الرقم,0)),"")</f>
        <v/>
      </c>
      <c r="C4" s="47" t="n"/>
      <c r="D4" s="47" t="n"/>
      <c r="E4" s="112" t="n"/>
      <c r="F4" s="47" t="n"/>
      <c r="G4" s="47" t="n"/>
      <c r="H4" s="49" t="n"/>
      <c r="I4" s="112" t="n"/>
      <c r="J4" s="47" t="n"/>
      <c r="K4" s="47" t="n"/>
    </row>
    <row r="5">
      <c r="A5" s="40" t="n"/>
      <c r="B5" s="43">
        <f>IFERROR(INDEX(الموظفون_الاسم,MATCH($A5,الموظفون_الرقم,0)),"")</f>
        <v/>
      </c>
      <c r="C5" s="40" t="n"/>
      <c r="D5" s="40" t="n"/>
      <c r="E5" s="110" t="n"/>
      <c r="F5" s="40" t="n"/>
      <c r="G5" s="40" t="n"/>
      <c r="H5" s="42" t="n"/>
      <c r="I5" s="110" t="n"/>
      <c r="J5" s="40" t="n"/>
      <c r="K5" s="40" t="n"/>
    </row>
    <row r="6">
      <c r="A6" s="47" t="n"/>
      <c r="B6" s="50">
        <f>IFERROR(INDEX(الموظفون_الاسم,MATCH($A6,الموظفون_الرقم,0)),"")</f>
        <v/>
      </c>
      <c r="C6" s="47" t="n"/>
      <c r="D6" s="47" t="n"/>
      <c r="E6" s="112" t="n"/>
      <c r="F6" s="47" t="n"/>
      <c r="G6" s="47" t="n"/>
      <c r="H6" s="49" t="n"/>
      <c r="I6" s="112" t="n"/>
      <c r="J6" s="47" t="n"/>
      <c r="K6" s="47" t="n"/>
    </row>
    <row r="7">
      <c r="A7" s="40" t="n"/>
      <c r="B7" s="43">
        <f>IFERROR(INDEX(الموظفون_الاسم,MATCH($A7,الموظفون_الرقم,0)),"")</f>
        <v/>
      </c>
      <c r="C7" s="40" t="n"/>
      <c r="D7" s="40" t="n"/>
      <c r="E7" s="110" t="n"/>
      <c r="F7" s="40" t="n"/>
      <c r="G7" s="40" t="n"/>
      <c r="H7" s="42" t="n"/>
      <c r="I7" s="110" t="n"/>
      <c r="J7" s="40" t="n"/>
      <c r="K7" s="40" t="n"/>
    </row>
    <row r="8">
      <c r="A8" s="47" t="n"/>
      <c r="B8" s="50">
        <f>IFERROR(INDEX(الموظفون_الاسم,MATCH($A8,الموظفون_الرقم,0)),"")</f>
        <v/>
      </c>
      <c r="C8" s="47" t="n"/>
      <c r="D8" s="47" t="n"/>
      <c r="E8" s="112" t="n"/>
      <c r="F8" s="47" t="n"/>
      <c r="G8" s="47" t="n"/>
      <c r="H8" s="49" t="n"/>
      <c r="I8" s="112" t="n"/>
      <c r="J8" s="47" t="n"/>
      <c r="K8" s="47" t="n"/>
    </row>
    <row r="9">
      <c r="A9" s="40" t="n"/>
      <c r="B9" s="43">
        <f>IFERROR(INDEX(الموظفون_الاسم,MATCH($A9,الموظفون_الرقم,0)),"")</f>
        <v/>
      </c>
      <c r="C9" s="40" t="n"/>
      <c r="D9" s="40" t="n"/>
      <c r="E9" s="110" t="n"/>
      <c r="F9" s="40" t="n"/>
      <c r="G9" s="40" t="n"/>
      <c r="H9" s="42" t="n"/>
      <c r="I9" s="110" t="n"/>
      <c r="J9" s="40" t="n"/>
      <c r="K9" s="40" t="n"/>
    </row>
    <row r="10">
      <c r="A10" s="47" t="n"/>
      <c r="B10" s="50">
        <f>IFERROR(INDEX(الموظفون_الاسم,MATCH($A10,الموظفون_الرقم,0)),"")</f>
        <v/>
      </c>
      <c r="C10" s="47" t="n"/>
      <c r="D10" s="47" t="n"/>
      <c r="E10" s="112" t="n"/>
      <c r="F10" s="47" t="n"/>
      <c r="G10" s="47" t="n"/>
      <c r="H10" s="49" t="n"/>
      <c r="I10" s="112" t="n"/>
      <c r="J10" s="47" t="n"/>
      <c r="K10" s="47" t="n"/>
    </row>
    <row r="11">
      <c r="A11" s="40" t="n"/>
      <c r="B11" s="43">
        <f>IFERROR(INDEX(الموظفون_الاسم,MATCH($A11,الموظفون_الرقم,0)),"")</f>
        <v/>
      </c>
      <c r="C11" s="40" t="n"/>
      <c r="D11" s="40" t="n"/>
      <c r="E11" s="110" t="n"/>
      <c r="F11" s="40" t="n"/>
      <c r="G11" s="40" t="n"/>
      <c r="H11" s="42" t="n"/>
      <c r="I11" s="110" t="n"/>
      <c r="J11" s="40" t="n"/>
      <c r="K11" s="40" t="n"/>
    </row>
    <row r="12">
      <c r="A12" s="47" t="n"/>
      <c r="B12" s="50">
        <f>IFERROR(INDEX(الموظفون_الاسم,MATCH($A12,الموظفون_الرقم,0)),"")</f>
        <v/>
      </c>
      <c r="C12" s="47" t="n"/>
      <c r="D12" s="47" t="n"/>
      <c r="E12" s="112" t="n"/>
      <c r="F12" s="47" t="n"/>
      <c r="G12" s="47" t="n"/>
      <c r="H12" s="49" t="n"/>
      <c r="I12" s="112" t="n"/>
      <c r="J12" s="47" t="n"/>
      <c r="K12" s="47" t="n"/>
    </row>
    <row r="13">
      <c r="A13" s="40" t="n"/>
      <c r="B13" s="43">
        <f>IFERROR(INDEX(الموظفون_الاسم,MATCH($A13,الموظفون_الرقم,0)),"")</f>
        <v/>
      </c>
      <c r="C13" s="40" t="n"/>
      <c r="D13" s="40" t="n"/>
      <c r="E13" s="110" t="n"/>
      <c r="F13" s="40" t="n"/>
      <c r="G13" s="40" t="n"/>
      <c r="H13" s="42" t="n"/>
      <c r="I13" s="110" t="n"/>
      <c r="J13" s="40" t="n"/>
      <c r="K13" s="40" t="n"/>
    </row>
    <row r="14">
      <c r="A14" s="47" t="n"/>
      <c r="B14" s="50">
        <f>IFERROR(INDEX(الموظفون_الاسم,MATCH($A14,الموظفون_الرقم,0)),"")</f>
        <v/>
      </c>
      <c r="C14" s="47" t="n"/>
      <c r="D14" s="47" t="n"/>
      <c r="E14" s="112" t="n"/>
      <c r="F14" s="47" t="n"/>
      <c r="G14" s="47" t="n"/>
      <c r="H14" s="49" t="n"/>
      <c r="I14" s="112" t="n"/>
      <c r="J14" s="47" t="n"/>
      <c r="K14" s="47" t="n"/>
    </row>
    <row r="15">
      <c r="A15" s="40" t="n"/>
      <c r="B15" s="43">
        <f>IFERROR(INDEX(الموظفون_الاسم,MATCH($A15,الموظفون_الرقم,0)),"")</f>
        <v/>
      </c>
      <c r="C15" s="40" t="n"/>
      <c r="D15" s="40" t="n"/>
      <c r="E15" s="110" t="n"/>
      <c r="F15" s="40" t="n"/>
      <c r="G15" s="40" t="n"/>
      <c r="H15" s="42" t="n"/>
      <c r="I15" s="110" t="n"/>
      <c r="J15" s="40" t="n"/>
      <c r="K15" s="40" t="n"/>
    </row>
    <row r="16">
      <c r="A16" s="47" t="n"/>
      <c r="B16" s="50">
        <f>IFERROR(INDEX(الموظفون_الاسم,MATCH($A16,الموظفون_الرقم,0)),"")</f>
        <v/>
      </c>
      <c r="C16" s="47" t="n"/>
      <c r="D16" s="47" t="n"/>
      <c r="E16" s="112" t="n"/>
      <c r="F16" s="47" t="n"/>
      <c r="G16" s="47" t="n"/>
      <c r="H16" s="49" t="n"/>
      <c r="I16" s="112" t="n"/>
      <c r="J16" s="47" t="n"/>
      <c r="K16" s="47" t="n"/>
    </row>
    <row r="17">
      <c r="A17" s="40" t="n"/>
      <c r="B17" s="43">
        <f>IFERROR(INDEX(الموظفون_الاسم,MATCH($A17,الموظفون_الرقم,0)),"")</f>
        <v/>
      </c>
      <c r="C17" s="40" t="n"/>
      <c r="D17" s="40" t="n"/>
      <c r="E17" s="110" t="n"/>
      <c r="F17" s="40" t="n"/>
      <c r="G17" s="40" t="n"/>
      <c r="H17" s="42" t="n"/>
      <c r="I17" s="110" t="n"/>
      <c r="J17" s="40" t="n"/>
      <c r="K17" s="40" t="n"/>
    </row>
    <row r="18">
      <c r="A18" s="47" t="n"/>
      <c r="B18" s="50">
        <f>IFERROR(INDEX(الموظفون_الاسم,MATCH($A18,الموظفون_الرقم,0)),"")</f>
        <v/>
      </c>
      <c r="C18" s="47" t="n"/>
      <c r="D18" s="47" t="n"/>
      <c r="E18" s="112" t="n"/>
      <c r="F18" s="47" t="n"/>
      <c r="G18" s="47" t="n"/>
      <c r="H18" s="49" t="n"/>
      <c r="I18" s="112" t="n"/>
      <c r="J18" s="47" t="n"/>
      <c r="K18" s="47" t="n"/>
    </row>
    <row r="19">
      <c r="A19" s="40" t="n"/>
      <c r="B19" s="43">
        <f>IFERROR(INDEX(الموظفون_الاسم,MATCH($A19,الموظفون_الرقم,0)),"")</f>
        <v/>
      </c>
      <c r="C19" s="40" t="n"/>
      <c r="D19" s="40" t="n"/>
      <c r="E19" s="110" t="n"/>
      <c r="F19" s="40" t="n"/>
      <c r="G19" s="40" t="n"/>
      <c r="H19" s="42" t="n"/>
      <c r="I19" s="110" t="n"/>
      <c r="J19" s="40" t="n"/>
      <c r="K19" s="40" t="n"/>
    </row>
    <row r="20">
      <c r="A20" s="47" t="n"/>
      <c r="B20" s="50">
        <f>IFERROR(INDEX(الموظفون_الاسم,MATCH($A20,الموظفون_الرقم,0)),"")</f>
        <v/>
      </c>
      <c r="C20" s="47" t="n"/>
      <c r="D20" s="47" t="n"/>
      <c r="E20" s="112" t="n"/>
      <c r="F20" s="47" t="n"/>
      <c r="G20" s="47" t="n"/>
      <c r="H20" s="49" t="n"/>
      <c r="I20" s="112" t="n"/>
      <c r="J20" s="47" t="n"/>
      <c r="K20" s="47" t="n"/>
    </row>
    <row r="21">
      <c r="A21" s="40" t="n"/>
      <c r="B21" s="43">
        <f>IFERROR(INDEX(الموظفون_الاسم,MATCH($A21,الموظفون_الرقم,0)),"")</f>
        <v/>
      </c>
      <c r="C21" s="40" t="n"/>
      <c r="D21" s="40" t="n"/>
      <c r="E21" s="110" t="n"/>
      <c r="F21" s="40" t="n"/>
      <c r="G21" s="40" t="n"/>
      <c r="H21" s="42" t="n"/>
      <c r="I21" s="110" t="n"/>
      <c r="J21" s="40" t="n"/>
      <c r="K21" s="40" t="n"/>
    </row>
    <row r="22">
      <c r="A22" s="47" t="n"/>
      <c r="B22" s="50">
        <f>IFERROR(INDEX(الموظفون_الاسم,MATCH($A22,الموظفون_الرقم,0)),"")</f>
        <v/>
      </c>
      <c r="C22" s="47" t="n"/>
      <c r="D22" s="47" t="n"/>
      <c r="E22" s="112" t="n"/>
      <c r="F22" s="47" t="n"/>
      <c r="G22" s="47" t="n"/>
      <c r="H22" s="49" t="n"/>
      <c r="I22" s="112" t="n"/>
      <c r="J22" s="47" t="n"/>
      <c r="K22" s="47" t="n"/>
    </row>
    <row r="23">
      <c r="A23" s="40" t="n"/>
      <c r="B23" s="43">
        <f>IFERROR(INDEX(الموظفون_الاسم,MATCH($A23,الموظفون_الرقم,0)),"")</f>
        <v/>
      </c>
      <c r="C23" s="40" t="n"/>
      <c r="D23" s="40" t="n"/>
      <c r="E23" s="110" t="n"/>
      <c r="F23" s="40" t="n"/>
      <c r="G23" s="40" t="n"/>
      <c r="H23" s="42" t="n"/>
      <c r="I23" s="110" t="n"/>
      <c r="J23" s="40" t="n"/>
      <c r="K23" s="40" t="n"/>
    </row>
    <row r="24">
      <c r="A24" s="47" t="n"/>
      <c r="B24" s="50">
        <f>IFERROR(INDEX(الموظفون_الاسم,MATCH($A24,الموظفون_الرقم,0)),"")</f>
        <v/>
      </c>
      <c r="C24" s="47" t="n"/>
      <c r="D24" s="47" t="n"/>
      <c r="E24" s="112" t="n"/>
      <c r="F24" s="47" t="n"/>
      <c r="G24" s="47" t="n"/>
      <c r="H24" s="49" t="n"/>
      <c r="I24" s="112" t="n"/>
      <c r="J24" s="47" t="n"/>
      <c r="K24" s="47" t="n"/>
    </row>
    <row r="25">
      <c r="A25" s="40" t="n"/>
      <c r="B25" s="43">
        <f>IFERROR(INDEX(الموظفون_الاسم,MATCH($A25,الموظفون_الرقم,0)),"")</f>
        <v/>
      </c>
      <c r="C25" s="40" t="n"/>
      <c r="D25" s="40" t="n"/>
      <c r="E25" s="110" t="n"/>
      <c r="F25" s="40" t="n"/>
      <c r="G25" s="40" t="n"/>
      <c r="H25" s="42" t="n"/>
      <c r="I25" s="110" t="n"/>
      <c r="J25" s="40" t="n"/>
      <c r="K25" s="40" t="n"/>
    </row>
    <row r="26">
      <c r="A26" s="47" t="n"/>
      <c r="B26" s="50">
        <f>IFERROR(INDEX(الموظفون_الاسم,MATCH($A26,الموظفون_الرقم,0)),"")</f>
        <v/>
      </c>
      <c r="C26" s="47" t="n"/>
      <c r="D26" s="47" t="n"/>
      <c r="E26" s="112" t="n"/>
      <c r="F26" s="47" t="n"/>
      <c r="G26" s="47" t="n"/>
      <c r="H26" s="49" t="n"/>
      <c r="I26" s="112" t="n"/>
      <c r="J26" s="47" t="n"/>
      <c r="K26" s="47" t="n"/>
    </row>
    <row r="27">
      <c r="A27" s="40" t="n"/>
      <c r="B27" s="43">
        <f>IFERROR(INDEX(الموظفون_الاسم,MATCH($A27,الموظفون_الرقم,0)),"")</f>
        <v/>
      </c>
      <c r="C27" s="40" t="n"/>
      <c r="D27" s="40" t="n"/>
      <c r="E27" s="110" t="n"/>
      <c r="F27" s="40" t="n"/>
      <c r="G27" s="40" t="n"/>
      <c r="H27" s="42" t="n"/>
      <c r="I27" s="110" t="n"/>
      <c r="J27" s="40" t="n"/>
      <c r="K27" s="40" t="n"/>
    </row>
    <row r="28">
      <c r="A28" s="47" t="n"/>
      <c r="B28" s="50">
        <f>IFERROR(INDEX(الموظفون_الاسم,MATCH($A28,الموظفون_الرقم,0)),"")</f>
        <v/>
      </c>
      <c r="C28" s="47" t="n"/>
      <c r="D28" s="47" t="n"/>
      <c r="E28" s="112" t="n"/>
      <c r="F28" s="47" t="n"/>
      <c r="G28" s="47" t="n"/>
      <c r="H28" s="49" t="n"/>
      <c r="I28" s="112" t="n"/>
      <c r="J28" s="47" t="n"/>
      <c r="K28" s="47" t="n"/>
    </row>
    <row r="29">
      <c r="A29" s="40" t="n"/>
      <c r="B29" s="43">
        <f>IFERROR(INDEX(الموظفون_الاسم,MATCH($A29,الموظفون_الرقم,0)),"")</f>
        <v/>
      </c>
      <c r="C29" s="40" t="n"/>
      <c r="D29" s="40" t="n"/>
      <c r="E29" s="110" t="n"/>
      <c r="F29" s="40" t="n"/>
      <c r="G29" s="40" t="n"/>
      <c r="H29" s="42" t="n"/>
      <c r="I29" s="110" t="n"/>
      <c r="J29" s="40" t="n"/>
      <c r="K29" s="40" t="n"/>
    </row>
    <row r="30">
      <c r="A30" s="47" t="n"/>
      <c r="B30" s="50">
        <f>IFERROR(INDEX(الموظفون_الاسم,MATCH($A30,الموظفون_الرقم,0)),"")</f>
        <v/>
      </c>
      <c r="C30" s="47" t="n"/>
      <c r="D30" s="47" t="n"/>
      <c r="E30" s="112" t="n"/>
      <c r="F30" s="47" t="n"/>
      <c r="G30" s="47" t="n"/>
      <c r="H30" s="49" t="n"/>
      <c r="I30" s="112" t="n"/>
      <c r="J30" s="47" t="n"/>
      <c r="K30" s="47" t="n"/>
    </row>
    <row r="31">
      <c r="A31" s="40" t="n"/>
      <c r="B31" s="43">
        <f>IFERROR(INDEX(الموظفون_الاسم,MATCH($A31,الموظفون_الرقم,0)),"")</f>
        <v/>
      </c>
      <c r="C31" s="40" t="n"/>
      <c r="D31" s="40" t="n"/>
      <c r="E31" s="110" t="n"/>
      <c r="F31" s="40" t="n"/>
      <c r="G31" s="40" t="n"/>
      <c r="H31" s="42" t="n"/>
      <c r="I31" s="110" t="n"/>
      <c r="J31" s="40" t="n"/>
      <c r="K31" s="40" t="n"/>
    </row>
    <row r="32">
      <c r="A32" s="47" t="n"/>
      <c r="B32" s="50">
        <f>IFERROR(INDEX(الموظفون_الاسم,MATCH($A32,الموظفون_الرقم,0)),"")</f>
        <v/>
      </c>
      <c r="C32" s="47" t="n"/>
      <c r="D32" s="47" t="n"/>
      <c r="E32" s="112" t="n"/>
      <c r="F32" s="47" t="n"/>
      <c r="G32" s="47" t="n"/>
      <c r="H32" s="49" t="n"/>
      <c r="I32" s="112" t="n"/>
      <c r="J32" s="47" t="n"/>
      <c r="K32" s="47" t="n"/>
    </row>
    <row r="33">
      <c r="A33" s="40" t="n"/>
      <c r="B33" s="43">
        <f>IFERROR(INDEX(الموظفون_الاسم,MATCH($A33,الموظفون_الرقم,0)),"")</f>
        <v/>
      </c>
      <c r="C33" s="40" t="n"/>
      <c r="D33" s="40" t="n"/>
      <c r="E33" s="110" t="n"/>
      <c r="F33" s="40" t="n"/>
      <c r="G33" s="40" t="n"/>
      <c r="H33" s="42" t="n"/>
      <c r="I33" s="110" t="n"/>
      <c r="J33" s="40" t="n"/>
      <c r="K33" s="40" t="n"/>
    </row>
    <row r="34">
      <c r="A34" s="47" t="n"/>
      <c r="B34" s="50">
        <f>IFERROR(INDEX(الموظفون_الاسم,MATCH($A34,الموظفون_الرقم,0)),"")</f>
        <v/>
      </c>
      <c r="C34" s="47" t="n"/>
      <c r="D34" s="47" t="n"/>
      <c r="E34" s="112" t="n"/>
      <c r="F34" s="47" t="n"/>
      <c r="G34" s="47" t="n"/>
      <c r="H34" s="49" t="n"/>
      <c r="I34" s="112" t="n"/>
      <c r="J34" s="47" t="n"/>
      <c r="K34" s="47" t="n"/>
    </row>
    <row r="35">
      <c r="A35" s="40" t="n"/>
      <c r="B35" s="43">
        <f>IFERROR(INDEX(الموظفون_الاسم,MATCH($A35,الموظفون_الرقم,0)),"")</f>
        <v/>
      </c>
      <c r="C35" s="40" t="n"/>
      <c r="D35" s="40" t="n"/>
      <c r="E35" s="110" t="n"/>
      <c r="F35" s="40" t="n"/>
      <c r="G35" s="40" t="n"/>
      <c r="H35" s="42" t="n"/>
      <c r="I35" s="110" t="n"/>
      <c r="J35" s="40" t="n"/>
      <c r="K35" s="40" t="n"/>
    </row>
    <row r="36">
      <c r="A36" s="47" t="n"/>
      <c r="B36" s="50">
        <f>IFERROR(INDEX(الموظفون_الاسم,MATCH($A36,الموظفون_الرقم,0)),"")</f>
        <v/>
      </c>
      <c r="C36" s="47" t="n"/>
      <c r="D36" s="47" t="n"/>
      <c r="E36" s="112" t="n"/>
      <c r="F36" s="47" t="n"/>
      <c r="G36" s="47" t="n"/>
      <c r="H36" s="49" t="n"/>
      <c r="I36" s="112" t="n"/>
      <c r="J36" s="47" t="n"/>
      <c r="K36" s="47" t="n"/>
    </row>
    <row r="37">
      <c r="A37" s="40" t="n"/>
      <c r="B37" s="43">
        <f>IFERROR(INDEX(الموظفون_الاسم,MATCH($A37,الموظفون_الرقم,0)),"")</f>
        <v/>
      </c>
      <c r="C37" s="40" t="n"/>
      <c r="D37" s="40" t="n"/>
      <c r="E37" s="110" t="n"/>
      <c r="F37" s="40" t="n"/>
      <c r="G37" s="40" t="n"/>
      <c r="H37" s="42" t="n"/>
      <c r="I37" s="110" t="n"/>
      <c r="J37" s="40" t="n"/>
      <c r="K37" s="40" t="n"/>
    </row>
    <row r="38">
      <c r="A38" s="47" t="n"/>
      <c r="B38" s="50">
        <f>IFERROR(INDEX(الموظفون_الاسم,MATCH($A38,الموظفون_الرقم,0)),"")</f>
        <v/>
      </c>
      <c r="C38" s="47" t="n"/>
      <c r="D38" s="47" t="n"/>
      <c r="E38" s="112" t="n"/>
      <c r="F38" s="47" t="n"/>
      <c r="G38" s="47" t="n"/>
      <c r="H38" s="49" t="n"/>
      <c r="I38" s="112" t="n"/>
      <c r="J38" s="47" t="n"/>
      <c r="K38" s="47" t="n"/>
    </row>
    <row r="39">
      <c r="A39" s="40" t="n"/>
      <c r="B39" s="43">
        <f>IFERROR(INDEX(الموظفون_الاسم,MATCH($A39,الموظفون_الرقم,0)),"")</f>
        <v/>
      </c>
      <c r="C39" s="40" t="n"/>
      <c r="D39" s="40" t="n"/>
      <c r="E39" s="110" t="n"/>
      <c r="F39" s="40" t="n"/>
      <c r="G39" s="40" t="n"/>
      <c r="H39" s="42" t="n"/>
      <c r="I39" s="110" t="n"/>
      <c r="J39" s="40" t="n"/>
      <c r="K39" s="40" t="n"/>
    </row>
    <row r="40">
      <c r="A40" s="47" t="n"/>
      <c r="B40" s="50">
        <f>IFERROR(INDEX(الموظفون_الاسم,MATCH($A40,الموظفون_الرقم,0)),"")</f>
        <v/>
      </c>
      <c r="C40" s="47" t="n"/>
      <c r="D40" s="47" t="n"/>
      <c r="E40" s="112" t="n"/>
      <c r="F40" s="47" t="n"/>
      <c r="G40" s="47" t="n"/>
      <c r="H40" s="49" t="n"/>
      <c r="I40" s="112" t="n"/>
      <c r="J40" s="47" t="n"/>
      <c r="K40" s="47" t="n"/>
    </row>
    <row r="41">
      <c r="A41" s="40" t="n"/>
      <c r="B41" s="43">
        <f>IFERROR(INDEX(الموظفون_الاسم,MATCH($A41,الموظفون_الرقم,0)),"")</f>
        <v/>
      </c>
      <c r="C41" s="40" t="n"/>
      <c r="D41" s="40" t="n"/>
      <c r="E41" s="110" t="n"/>
      <c r="F41" s="40" t="n"/>
      <c r="G41" s="40" t="n"/>
      <c r="H41" s="42" t="n"/>
      <c r="I41" s="110" t="n"/>
      <c r="J41" s="40" t="n"/>
      <c r="K41" s="40" t="n"/>
    </row>
    <row r="42">
      <c r="A42" s="47" t="n"/>
      <c r="B42" s="50">
        <f>IFERROR(INDEX(الموظفون_الاسم,MATCH($A42,الموظفون_الرقم,0)),"")</f>
        <v/>
      </c>
      <c r="C42" s="47" t="n"/>
      <c r="D42" s="47" t="n"/>
      <c r="E42" s="112" t="n"/>
      <c r="F42" s="47" t="n"/>
      <c r="G42" s="47" t="n"/>
      <c r="H42" s="49" t="n"/>
      <c r="I42" s="112" t="n"/>
      <c r="J42" s="47" t="n"/>
      <c r="K42" s="47" t="n"/>
    </row>
    <row r="43">
      <c r="A43" s="40" t="n"/>
      <c r="B43" s="43">
        <f>IFERROR(INDEX(الموظفون_الاسم,MATCH($A43,الموظفون_الرقم,0)),"")</f>
        <v/>
      </c>
      <c r="C43" s="40" t="n"/>
      <c r="D43" s="40" t="n"/>
      <c r="E43" s="110" t="n"/>
      <c r="F43" s="40" t="n"/>
      <c r="G43" s="40" t="n"/>
      <c r="H43" s="42" t="n"/>
      <c r="I43" s="110" t="n"/>
      <c r="J43" s="40" t="n"/>
      <c r="K43" s="40" t="n"/>
    </row>
    <row r="44">
      <c r="A44" s="47" t="n"/>
      <c r="B44" s="50">
        <f>IFERROR(INDEX(الموظفون_الاسم,MATCH($A44,الموظفون_الرقم,0)),"")</f>
        <v/>
      </c>
      <c r="C44" s="47" t="n"/>
      <c r="D44" s="47" t="n"/>
      <c r="E44" s="112" t="n"/>
      <c r="F44" s="47" t="n"/>
      <c r="G44" s="47" t="n"/>
      <c r="H44" s="49" t="n"/>
      <c r="I44" s="112" t="n"/>
      <c r="J44" s="47" t="n"/>
      <c r="K44" s="47" t="n"/>
    </row>
    <row r="45">
      <c r="A45" s="40" t="n"/>
      <c r="B45" s="43">
        <f>IFERROR(INDEX(الموظفون_الاسم,MATCH($A45,الموظفون_الرقم,0)),"")</f>
        <v/>
      </c>
      <c r="C45" s="40" t="n"/>
      <c r="D45" s="40" t="n"/>
      <c r="E45" s="110" t="n"/>
      <c r="F45" s="40" t="n"/>
      <c r="G45" s="40" t="n"/>
      <c r="H45" s="42" t="n"/>
      <c r="I45" s="110" t="n"/>
      <c r="J45" s="40" t="n"/>
      <c r="K45" s="40" t="n"/>
    </row>
    <row r="46">
      <c r="A46" s="47" t="n"/>
      <c r="B46" s="50">
        <f>IFERROR(INDEX(الموظفون_الاسم,MATCH($A46,الموظفون_الرقم,0)),"")</f>
        <v/>
      </c>
      <c r="C46" s="47" t="n"/>
      <c r="D46" s="47" t="n"/>
      <c r="E46" s="112" t="n"/>
      <c r="F46" s="47" t="n"/>
      <c r="G46" s="47" t="n"/>
      <c r="H46" s="49" t="n"/>
      <c r="I46" s="112" t="n"/>
      <c r="J46" s="47" t="n"/>
      <c r="K46" s="47" t="n"/>
    </row>
    <row r="47">
      <c r="A47" s="40" t="n"/>
      <c r="B47" s="43">
        <f>IFERROR(INDEX(الموظفون_الاسم,MATCH($A47,الموظفون_الرقم,0)),"")</f>
        <v/>
      </c>
      <c r="C47" s="40" t="n"/>
      <c r="D47" s="40" t="n"/>
      <c r="E47" s="110" t="n"/>
      <c r="F47" s="40" t="n"/>
      <c r="G47" s="40" t="n"/>
      <c r="H47" s="42" t="n"/>
      <c r="I47" s="110" t="n"/>
      <c r="J47" s="40" t="n"/>
      <c r="K47" s="40" t="n"/>
    </row>
    <row r="48">
      <c r="A48" s="47" t="n"/>
      <c r="B48" s="50">
        <f>IFERROR(INDEX(الموظفون_الاسم,MATCH($A48,الموظفون_الرقم,0)),"")</f>
        <v/>
      </c>
      <c r="C48" s="47" t="n"/>
      <c r="D48" s="47" t="n"/>
      <c r="E48" s="112" t="n"/>
      <c r="F48" s="47" t="n"/>
      <c r="G48" s="47" t="n"/>
      <c r="H48" s="49" t="n"/>
      <c r="I48" s="112" t="n"/>
      <c r="J48" s="47" t="n"/>
      <c r="K48" s="47" t="n"/>
    </row>
    <row r="49">
      <c r="A49" s="40" t="n"/>
      <c r="B49" s="43">
        <f>IFERROR(INDEX(الموظفون_الاسم,MATCH($A49,الموظفون_الرقم,0)),"")</f>
        <v/>
      </c>
      <c r="C49" s="40" t="n"/>
      <c r="D49" s="40" t="n"/>
      <c r="E49" s="110" t="n"/>
      <c r="F49" s="40" t="n"/>
      <c r="G49" s="40" t="n"/>
      <c r="H49" s="42" t="n"/>
      <c r="I49" s="110" t="n"/>
      <c r="J49" s="40" t="n"/>
      <c r="K49" s="40" t="n"/>
    </row>
    <row r="50">
      <c r="A50" s="47" t="n"/>
      <c r="B50" s="50">
        <f>IFERROR(INDEX(الموظفون_الاسم,MATCH($A50,الموظفون_الرقم,0)),"")</f>
        <v/>
      </c>
      <c r="C50" s="47" t="n"/>
      <c r="D50" s="47" t="n"/>
      <c r="E50" s="112" t="n"/>
      <c r="F50" s="47" t="n"/>
      <c r="G50" s="47" t="n"/>
      <c r="H50" s="49" t="n"/>
      <c r="I50" s="112" t="n"/>
      <c r="J50" s="47" t="n"/>
      <c r="K50" s="47" t="n"/>
    </row>
    <row r="51">
      <c r="A51" s="40" t="n"/>
      <c r="B51" s="43">
        <f>IFERROR(INDEX(الموظفون_الاسم,MATCH($A51,الموظفون_الرقم,0)),"")</f>
        <v/>
      </c>
      <c r="C51" s="40" t="n"/>
      <c r="D51" s="40" t="n"/>
      <c r="E51" s="110" t="n"/>
      <c r="F51" s="40" t="n"/>
      <c r="G51" s="40" t="n"/>
      <c r="H51" s="42" t="n"/>
      <c r="I51" s="110" t="n"/>
      <c r="J51" s="40" t="n"/>
      <c r="K51" s="40" t="n"/>
    </row>
    <row r="52">
      <c r="A52" s="47" t="n"/>
      <c r="B52" s="50">
        <f>IFERROR(INDEX(الموظفون_الاسم,MATCH($A52,الموظفون_الرقم,0)),"")</f>
        <v/>
      </c>
      <c r="C52" s="47" t="n"/>
      <c r="D52" s="47" t="n"/>
      <c r="E52" s="112" t="n"/>
      <c r="F52" s="47" t="n"/>
      <c r="G52" s="47" t="n"/>
      <c r="H52" s="49" t="n"/>
      <c r="I52" s="112" t="n"/>
      <c r="J52" s="47" t="n"/>
      <c r="K52" s="47" t="n"/>
    </row>
    <row r="53">
      <c r="A53" s="40" t="n"/>
      <c r="B53" s="43">
        <f>IFERROR(INDEX(الموظفون_الاسم,MATCH($A53,الموظفون_الرقم,0)),"")</f>
        <v/>
      </c>
      <c r="C53" s="40" t="n"/>
      <c r="D53" s="40" t="n"/>
      <c r="E53" s="110" t="n"/>
      <c r="F53" s="40" t="n"/>
      <c r="G53" s="40" t="n"/>
      <c r="H53" s="42" t="n"/>
      <c r="I53" s="110" t="n"/>
      <c r="J53" s="40" t="n"/>
      <c r="K53" s="40" t="n"/>
    </row>
    <row r="54">
      <c r="A54" s="47" t="n"/>
      <c r="B54" s="50">
        <f>IFERROR(INDEX(الموظفون_الاسم,MATCH($A54,الموظفون_الرقم,0)),"")</f>
        <v/>
      </c>
      <c r="C54" s="47" t="n"/>
      <c r="D54" s="47" t="n"/>
      <c r="E54" s="112" t="n"/>
      <c r="F54" s="47" t="n"/>
      <c r="G54" s="47" t="n"/>
      <c r="H54" s="49" t="n"/>
      <c r="I54" s="112" t="n"/>
      <c r="J54" s="47" t="n"/>
      <c r="K54" s="47" t="n"/>
    </row>
    <row r="55">
      <c r="A55" s="40" t="n"/>
      <c r="B55" s="43">
        <f>IFERROR(INDEX(الموظفون_الاسم,MATCH($A55,الموظفون_الرقم,0)),"")</f>
        <v/>
      </c>
      <c r="C55" s="40" t="n"/>
      <c r="D55" s="40" t="n"/>
      <c r="E55" s="110" t="n"/>
      <c r="F55" s="40" t="n"/>
      <c r="G55" s="40" t="n"/>
      <c r="H55" s="42" t="n"/>
      <c r="I55" s="110" t="n"/>
      <c r="J55" s="40" t="n"/>
      <c r="K55" s="40" t="n"/>
    </row>
    <row r="56">
      <c r="A56" s="47" t="n"/>
      <c r="B56" s="50">
        <f>IFERROR(INDEX(الموظفون_الاسم,MATCH($A56,الموظفون_الرقم,0)),"")</f>
        <v/>
      </c>
      <c r="C56" s="47" t="n"/>
      <c r="D56" s="47" t="n"/>
      <c r="E56" s="112" t="n"/>
      <c r="F56" s="47" t="n"/>
      <c r="G56" s="47" t="n"/>
      <c r="H56" s="49" t="n"/>
      <c r="I56" s="112" t="n"/>
      <c r="J56" s="47" t="n"/>
      <c r="K56" s="47" t="n"/>
    </row>
    <row r="57">
      <c r="A57" s="40" t="n"/>
      <c r="B57" s="43">
        <f>IFERROR(INDEX(الموظفون_الاسم,MATCH($A57,الموظفون_الرقم,0)),"")</f>
        <v/>
      </c>
      <c r="C57" s="40" t="n"/>
      <c r="D57" s="40" t="n"/>
      <c r="E57" s="110" t="n"/>
      <c r="F57" s="40" t="n"/>
      <c r="G57" s="40" t="n"/>
      <c r="H57" s="42" t="n"/>
      <c r="I57" s="110" t="n"/>
      <c r="J57" s="40" t="n"/>
      <c r="K57" s="40" t="n"/>
    </row>
    <row r="58">
      <c r="A58" s="47" t="n"/>
      <c r="B58" s="50">
        <f>IFERROR(INDEX(الموظفون_الاسم,MATCH($A58,الموظفون_الرقم,0)),"")</f>
        <v/>
      </c>
      <c r="C58" s="47" t="n"/>
      <c r="D58" s="47" t="n"/>
      <c r="E58" s="112" t="n"/>
      <c r="F58" s="47" t="n"/>
      <c r="G58" s="47" t="n"/>
      <c r="H58" s="49" t="n"/>
      <c r="I58" s="112" t="n"/>
      <c r="J58" s="47" t="n"/>
      <c r="K58" s="47" t="n"/>
    </row>
    <row r="59">
      <c r="A59" s="40" t="n"/>
      <c r="B59" s="43">
        <f>IFERROR(INDEX(الموظفون_الاسم,MATCH($A59,الموظفون_الرقم,0)),"")</f>
        <v/>
      </c>
      <c r="C59" s="40" t="n"/>
      <c r="D59" s="40" t="n"/>
      <c r="E59" s="110" t="n"/>
      <c r="F59" s="40" t="n"/>
      <c r="G59" s="40" t="n"/>
      <c r="H59" s="42" t="n"/>
      <c r="I59" s="110" t="n"/>
      <c r="J59" s="40" t="n"/>
      <c r="K59" s="40" t="n"/>
    </row>
    <row r="60">
      <c r="A60" s="47" t="n"/>
      <c r="B60" s="50">
        <f>IFERROR(INDEX(الموظفون_الاسم,MATCH($A60,الموظفون_الرقم,0)),"")</f>
        <v/>
      </c>
      <c r="C60" s="47" t="n"/>
      <c r="D60" s="47" t="n"/>
      <c r="E60" s="112" t="n"/>
      <c r="F60" s="47" t="n"/>
      <c r="G60" s="47" t="n"/>
      <c r="H60" s="49" t="n"/>
      <c r="I60" s="112" t="n"/>
      <c r="J60" s="47" t="n"/>
      <c r="K60" s="47" t="n"/>
    </row>
    <row r="61">
      <c r="A61" s="40" t="n"/>
      <c r="B61" s="43">
        <f>IFERROR(INDEX(الموظفون_الاسم,MATCH($A61,الموظفون_الرقم,0)),"")</f>
        <v/>
      </c>
      <c r="C61" s="40" t="n"/>
      <c r="D61" s="40" t="n"/>
      <c r="E61" s="110" t="n"/>
      <c r="F61" s="40" t="n"/>
      <c r="G61" s="40" t="n"/>
      <c r="H61" s="42" t="n"/>
      <c r="I61" s="110" t="n"/>
      <c r="J61" s="40" t="n"/>
      <c r="K61" s="40" t="n"/>
    </row>
    <row r="62">
      <c r="A62" s="47" t="n"/>
      <c r="B62" s="50">
        <f>IFERROR(INDEX(الموظفون_الاسم,MATCH($A62,الموظفون_الرقم,0)),"")</f>
        <v/>
      </c>
      <c r="C62" s="47" t="n"/>
      <c r="D62" s="47" t="n"/>
      <c r="E62" s="112" t="n"/>
      <c r="F62" s="47" t="n"/>
      <c r="G62" s="47" t="n"/>
      <c r="H62" s="49" t="n"/>
      <c r="I62" s="112" t="n"/>
      <c r="J62" s="47" t="n"/>
      <c r="K62" s="47" t="n"/>
    </row>
    <row r="63">
      <c r="A63" s="40" t="n"/>
      <c r="B63" s="43">
        <f>IFERROR(INDEX(الموظفون_الاسم,MATCH($A63,الموظفون_الرقم,0)),"")</f>
        <v/>
      </c>
      <c r="C63" s="40" t="n"/>
      <c r="D63" s="40" t="n"/>
      <c r="E63" s="110" t="n"/>
      <c r="F63" s="40" t="n"/>
      <c r="G63" s="40" t="n"/>
      <c r="H63" s="42" t="n"/>
      <c r="I63" s="110" t="n"/>
      <c r="J63" s="40" t="n"/>
      <c r="K63" s="40" t="n"/>
    </row>
    <row r="64">
      <c r="A64" s="47" t="n"/>
      <c r="B64" s="50">
        <f>IFERROR(INDEX(الموظفون_الاسم,MATCH($A64,الموظفون_الرقم,0)),"")</f>
        <v/>
      </c>
      <c r="C64" s="47" t="n"/>
      <c r="D64" s="47" t="n"/>
      <c r="E64" s="112" t="n"/>
      <c r="F64" s="47" t="n"/>
      <c r="G64" s="47" t="n"/>
      <c r="H64" s="49" t="n"/>
      <c r="I64" s="112" t="n"/>
      <c r="J64" s="47" t="n"/>
      <c r="K64" s="47" t="n"/>
    </row>
    <row r="65">
      <c r="A65" s="40" t="n"/>
      <c r="B65" s="43">
        <f>IFERROR(INDEX(الموظفون_الاسم,MATCH($A65,الموظفون_الرقم,0)),"")</f>
        <v/>
      </c>
      <c r="C65" s="40" t="n"/>
      <c r="D65" s="40" t="n"/>
      <c r="E65" s="110" t="n"/>
      <c r="F65" s="40" t="n"/>
      <c r="G65" s="40" t="n"/>
      <c r="H65" s="42" t="n"/>
      <c r="I65" s="110" t="n"/>
      <c r="J65" s="40" t="n"/>
      <c r="K65" s="40" t="n"/>
    </row>
    <row r="66">
      <c r="A66" s="47" t="n"/>
      <c r="B66" s="50">
        <f>IFERROR(INDEX(الموظفون_الاسم,MATCH($A66,الموظفون_الرقم,0)),"")</f>
        <v/>
      </c>
      <c r="C66" s="47" t="n"/>
      <c r="D66" s="47" t="n"/>
      <c r="E66" s="112" t="n"/>
      <c r="F66" s="47" t="n"/>
      <c r="G66" s="47" t="n"/>
      <c r="H66" s="49" t="n"/>
      <c r="I66" s="112" t="n"/>
      <c r="J66" s="47" t="n"/>
      <c r="K66" s="47" t="n"/>
    </row>
    <row r="67">
      <c r="A67" s="40" t="n"/>
      <c r="B67" s="43">
        <f>IFERROR(INDEX(الموظفون_الاسم,MATCH($A67,الموظفون_الرقم,0)),"")</f>
        <v/>
      </c>
      <c r="C67" s="40" t="n"/>
      <c r="D67" s="40" t="n"/>
      <c r="E67" s="110" t="n"/>
      <c r="F67" s="40" t="n"/>
      <c r="G67" s="40" t="n"/>
      <c r="H67" s="42" t="n"/>
      <c r="I67" s="110" t="n"/>
      <c r="J67" s="40" t="n"/>
      <c r="K67" s="40" t="n"/>
    </row>
    <row r="68">
      <c r="A68" s="47" t="n"/>
      <c r="B68" s="50">
        <f>IFERROR(INDEX(الموظفون_الاسم,MATCH($A68,الموظفون_الرقم,0)),"")</f>
        <v/>
      </c>
      <c r="C68" s="47" t="n"/>
      <c r="D68" s="47" t="n"/>
      <c r="E68" s="112" t="n"/>
      <c r="F68" s="47" t="n"/>
      <c r="G68" s="47" t="n"/>
      <c r="H68" s="49" t="n"/>
      <c r="I68" s="112" t="n"/>
      <c r="J68" s="47" t="n"/>
      <c r="K68" s="47" t="n"/>
    </row>
    <row r="69">
      <c r="A69" s="40" t="n"/>
      <c r="B69" s="43">
        <f>IFERROR(INDEX(الموظفون_الاسم,MATCH($A69,الموظفون_الرقم,0)),"")</f>
        <v/>
      </c>
      <c r="C69" s="40" t="n"/>
      <c r="D69" s="40" t="n"/>
      <c r="E69" s="110" t="n"/>
      <c r="F69" s="40" t="n"/>
      <c r="G69" s="40" t="n"/>
      <c r="H69" s="42" t="n"/>
      <c r="I69" s="110" t="n"/>
      <c r="J69" s="40" t="n"/>
      <c r="K69" s="40" t="n"/>
    </row>
    <row r="70">
      <c r="A70" s="47" t="n"/>
      <c r="B70" s="50">
        <f>IFERROR(INDEX(الموظفون_الاسم,MATCH($A70,الموظفون_الرقم,0)),"")</f>
        <v/>
      </c>
      <c r="C70" s="47" t="n"/>
      <c r="D70" s="47" t="n"/>
      <c r="E70" s="112" t="n"/>
      <c r="F70" s="47" t="n"/>
      <c r="G70" s="47" t="n"/>
      <c r="H70" s="49" t="n"/>
      <c r="I70" s="112" t="n"/>
      <c r="J70" s="47" t="n"/>
      <c r="K70" s="47" t="n"/>
    </row>
    <row r="71">
      <c r="A71" s="40" t="n"/>
      <c r="B71" s="43">
        <f>IFERROR(INDEX(الموظفون_الاسم,MATCH($A71,الموظفون_الرقم,0)),"")</f>
        <v/>
      </c>
      <c r="C71" s="40" t="n"/>
      <c r="D71" s="40" t="n"/>
      <c r="E71" s="110" t="n"/>
      <c r="F71" s="40" t="n"/>
      <c r="G71" s="40" t="n"/>
      <c r="H71" s="42" t="n"/>
      <c r="I71" s="110" t="n"/>
      <c r="J71" s="40" t="n"/>
      <c r="K71" s="40" t="n"/>
    </row>
    <row r="72">
      <c r="A72" s="47" t="n"/>
      <c r="B72" s="50">
        <f>IFERROR(INDEX(الموظفون_الاسم,MATCH($A72,الموظفون_الرقم,0)),"")</f>
        <v/>
      </c>
      <c r="C72" s="47" t="n"/>
      <c r="D72" s="47" t="n"/>
      <c r="E72" s="112" t="n"/>
      <c r="F72" s="47" t="n"/>
      <c r="G72" s="47" t="n"/>
      <c r="H72" s="49" t="n"/>
      <c r="I72" s="112" t="n"/>
      <c r="J72" s="47" t="n"/>
      <c r="K72" s="47" t="n"/>
    </row>
    <row r="73">
      <c r="A73" s="40" t="n"/>
      <c r="B73" s="43">
        <f>IFERROR(INDEX(الموظفون_الاسم,MATCH($A73,الموظفون_الرقم,0)),"")</f>
        <v/>
      </c>
      <c r="C73" s="40" t="n"/>
      <c r="D73" s="40" t="n"/>
      <c r="E73" s="110" t="n"/>
      <c r="F73" s="40" t="n"/>
      <c r="G73" s="40" t="n"/>
      <c r="H73" s="42" t="n"/>
      <c r="I73" s="110" t="n"/>
      <c r="J73" s="40" t="n"/>
      <c r="K73" s="40" t="n"/>
    </row>
    <row r="74">
      <c r="A74" s="47" t="n"/>
      <c r="B74" s="50">
        <f>IFERROR(INDEX(الموظفون_الاسم,MATCH($A74,الموظفون_الرقم,0)),"")</f>
        <v/>
      </c>
      <c r="C74" s="47" t="n"/>
      <c r="D74" s="47" t="n"/>
      <c r="E74" s="112" t="n"/>
      <c r="F74" s="47" t="n"/>
      <c r="G74" s="47" t="n"/>
      <c r="H74" s="49" t="n"/>
      <c r="I74" s="112" t="n"/>
      <c r="J74" s="47" t="n"/>
      <c r="K74" s="47" t="n"/>
    </row>
    <row r="75">
      <c r="A75" s="40" t="n"/>
      <c r="B75" s="43">
        <f>IFERROR(INDEX(الموظفون_الاسم,MATCH($A75,الموظفون_الرقم,0)),"")</f>
        <v/>
      </c>
      <c r="C75" s="40" t="n"/>
      <c r="D75" s="40" t="n"/>
      <c r="E75" s="110" t="n"/>
      <c r="F75" s="40" t="n"/>
      <c r="G75" s="40" t="n"/>
      <c r="H75" s="42" t="n"/>
      <c r="I75" s="110" t="n"/>
      <c r="J75" s="40" t="n"/>
      <c r="K75" s="40" t="n"/>
    </row>
    <row r="76">
      <c r="A76" s="47" t="n"/>
      <c r="B76" s="50">
        <f>IFERROR(INDEX(الموظفون_الاسم,MATCH($A76,الموظفون_الرقم,0)),"")</f>
        <v/>
      </c>
      <c r="C76" s="47" t="n"/>
      <c r="D76" s="47" t="n"/>
      <c r="E76" s="112" t="n"/>
      <c r="F76" s="47" t="n"/>
      <c r="G76" s="47" t="n"/>
      <c r="H76" s="49" t="n"/>
      <c r="I76" s="112" t="n"/>
      <c r="J76" s="47" t="n"/>
      <c r="K76" s="47" t="n"/>
    </row>
    <row r="77">
      <c r="A77" s="40" t="n"/>
      <c r="B77" s="43">
        <f>IFERROR(INDEX(الموظفون_الاسم,MATCH($A77,الموظفون_الرقم,0)),"")</f>
        <v/>
      </c>
      <c r="C77" s="40" t="n"/>
      <c r="D77" s="40" t="n"/>
      <c r="E77" s="110" t="n"/>
      <c r="F77" s="40" t="n"/>
      <c r="G77" s="40" t="n"/>
      <c r="H77" s="42" t="n"/>
      <c r="I77" s="110" t="n"/>
      <c r="J77" s="40" t="n"/>
      <c r="K77" s="40" t="n"/>
    </row>
    <row r="78">
      <c r="A78" s="47" t="n"/>
      <c r="B78" s="50">
        <f>IFERROR(INDEX(الموظفون_الاسم,MATCH($A78,الموظفون_الرقم,0)),"")</f>
        <v/>
      </c>
      <c r="C78" s="47" t="n"/>
      <c r="D78" s="47" t="n"/>
      <c r="E78" s="112" t="n"/>
      <c r="F78" s="47" t="n"/>
      <c r="G78" s="47" t="n"/>
      <c r="H78" s="49" t="n"/>
      <c r="I78" s="112" t="n"/>
      <c r="J78" s="47" t="n"/>
      <c r="K78" s="47" t="n"/>
    </row>
    <row r="79">
      <c r="A79" s="40" t="n"/>
      <c r="B79" s="43">
        <f>IFERROR(INDEX(الموظفون_الاسم,MATCH($A79,الموظفون_الرقم,0)),"")</f>
        <v/>
      </c>
      <c r="C79" s="40" t="n"/>
      <c r="D79" s="40" t="n"/>
      <c r="E79" s="110" t="n"/>
      <c r="F79" s="40" t="n"/>
      <c r="G79" s="40" t="n"/>
      <c r="H79" s="42" t="n"/>
      <c r="I79" s="110" t="n"/>
      <c r="J79" s="40" t="n"/>
      <c r="K79" s="40" t="n"/>
    </row>
    <row r="80">
      <c r="A80" s="47" t="n"/>
      <c r="B80" s="50">
        <f>IFERROR(INDEX(الموظفون_الاسم,MATCH($A80,الموظفون_الرقم,0)),"")</f>
        <v/>
      </c>
      <c r="C80" s="47" t="n"/>
      <c r="D80" s="47" t="n"/>
      <c r="E80" s="112" t="n"/>
      <c r="F80" s="47" t="n"/>
      <c r="G80" s="47" t="n"/>
      <c r="H80" s="49" t="n"/>
      <c r="I80" s="112" t="n"/>
      <c r="J80" s="47" t="n"/>
      <c r="K80" s="47" t="n"/>
    </row>
    <row r="81">
      <c r="A81" s="40" t="n"/>
      <c r="B81" s="43">
        <f>IFERROR(INDEX(الموظفون_الاسم,MATCH($A81,الموظفون_الرقم,0)),"")</f>
        <v/>
      </c>
      <c r="C81" s="40" t="n"/>
      <c r="D81" s="40" t="n"/>
      <c r="E81" s="110" t="n"/>
      <c r="F81" s="40" t="n"/>
      <c r="G81" s="40" t="n"/>
      <c r="H81" s="42" t="n"/>
      <c r="I81" s="110" t="n"/>
      <c r="J81" s="40" t="n"/>
      <c r="K81" s="40" t="n"/>
    </row>
    <row r="82">
      <c r="A82" s="47" t="n"/>
      <c r="B82" s="50">
        <f>IFERROR(INDEX(الموظفون_الاسم,MATCH($A82,الموظفون_الرقم,0)),"")</f>
        <v/>
      </c>
      <c r="C82" s="47" t="n"/>
      <c r="D82" s="47" t="n"/>
      <c r="E82" s="112" t="n"/>
      <c r="F82" s="47" t="n"/>
      <c r="G82" s="47" t="n"/>
      <c r="H82" s="49" t="n"/>
      <c r="I82" s="112" t="n"/>
      <c r="J82" s="47" t="n"/>
      <c r="K82" s="47" t="n"/>
    </row>
    <row r="83">
      <c r="A83" s="40" t="n"/>
      <c r="B83" s="43">
        <f>IFERROR(INDEX(الموظفون_الاسم,MATCH($A83,الموظفون_الرقم,0)),"")</f>
        <v/>
      </c>
      <c r="C83" s="40" t="n"/>
      <c r="D83" s="40" t="n"/>
      <c r="E83" s="110" t="n"/>
      <c r="F83" s="40" t="n"/>
      <c r="G83" s="40" t="n"/>
      <c r="H83" s="42" t="n"/>
      <c r="I83" s="110" t="n"/>
      <c r="J83" s="40" t="n"/>
      <c r="K83" s="40" t="n"/>
    </row>
    <row r="84">
      <c r="A84" s="47" t="n"/>
      <c r="B84" s="50">
        <f>IFERROR(INDEX(الموظفون_الاسم,MATCH($A84,الموظفون_الرقم,0)),"")</f>
        <v/>
      </c>
      <c r="C84" s="47" t="n"/>
      <c r="D84" s="47" t="n"/>
      <c r="E84" s="112" t="n"/>
      <c r="F84" s="47" t="n"/>
      <c r="G84" s="47" t="n"/>
      <c r="H84" s="49" t="n"/>
      <c r="I84" s="112" t="n"/>
      <c r="J84" s="47" t="n"/>
      <c r="K84" s="47" t="n"/>
    </row>
    <row r="85">
      <c r="A85" s="40" t="n"/>
      <c r="B85" s="43">
        <f>IFERROR(INDEX(الموظفون_الاسم,MATCH($A85,الموظفون_الرقم,0)),"")</f>
        <v/>
      </c>
      <c r="C85" s="40" t="n"/>
      <c r="D85" s="40" t="n"/>
      <c r="E85" s="110" t="n"/>
      <c r="F85" s="40" t="n"/>
      <c r="G85" s="40" t="n"/>
      <c r="H85" s="42" t="n"/>
      <c r="I85" s="110" t="n"/>
      <c r="J85" s="40" t="n"/>
      <c r="K85" s="40" t="n"/>
    </row>
    <row r="86">
      <c r="A86" s="47" t="n"/>
      <c r="B86" s="50">
        <f>IFERROR(INDEX(الموظفون_الاسم,MATCH($A86,الموظفون_الرقم,0)),"")</f>
        <v/>
      </c>
      <c r="C86" s="47" t="n"/>
      <c r="D86" s="47" t="n"/>
      <c r="E86" s="112" t="n"/>
      <c r="F86" s="47" t="n"/>
      <c r="G86" s="47" t="n"/>
      <c r="H86" s="49" t="n"/>
      <c r="I86" s="112" t="n"/>
      <c r="J86" s="47" t="n"/>
      <c r="K86" s="47" t="n"/>
    </row>
    <row r="87">
      <c r="A87" s="40" t="n"/>
      <c r="B87" s="43">
        <f>IFERROR(INDEX(الموظفون_الاسم,MATCH($A87,الموظفون_الرقم,0)),"")</f>
        <v/>
      </c>
      <c r="C87" s="40" t="n"/>
      <c r="D87" s="40" t="n"/>
      <c r="E87" s="110" t="n"/>
      <c r="F87" s="40" t="n"/>
      <c r="G87" s="40" t="n"/>
      <c r="H87" s="42" t="n"/>
      <c r="I87" s="110" t="n"/>
      <c r="J87" s="40" t="n"/>
      <c r="K87" s="40" t="n"/>
    </row>
    <row r="88">
      <c r="A88" s="47" t="n"/>
      <c r="B88" s="50">
        <f>IFERROR(INDEX(الموظفون_الاسم,MATCH($A88,الموظفون_الرقم,0)),"")</f>
        <v/>
      </c>
      <c r="C88" s="47" t="n"/>
      <c r="D88" s="47" t="n"/>
      <c r="E88" s="112" t="n"/>
      <c r="F88" s="47" t="n"/>
      <c r="G88" s="47" t="n"/>
      <c r="H88" s="49" t="n"/>
      <c r="I88" s="112" t="n"/>
      <c r="J88" s="47" t="n"/>
      <c r="K88" s="47" t="n"/>
    </row>
    <row r="89">
      <c r="A89" s="40" t="n"/>
      <c r="B89" s="43">
        <f>IFERROR(INDEX(الموظفون_الاسم,MATCH($A89,الموظفون_الرقم,0)),"")</f>
        <v/>
      </c>
      <c r="C89" s="40" t="n"/>
      <c r="D89" s="40" t="n"/>
      <c r="E89" s="110" t="n"/>
      <c r="F89" s="40" t="n"/>
      <c r="G89" s="40" t="n"/>
      <c r="H89" s="42" t="n"/>
      <c r="I89" s="110" t="n"/>
      <c r="J89" s="40" t="n"/>
      <c r="K89" s="40" t="n"/>
    </row>
    <row r="90">
      <c r="A90" s="47" t="n"/>
      <c r="B90" s="50">
        <f>IFERROR(INDEX(الموظفون_الاسم,MATCH($A90,الموظفون_الرقم,0)),"")</f>
        <v/>
      </c>
      <c r="C90" s="47" t="n"/>
      <c r="D90" s="47" t="n"/>
      <c r="E90" s="112" t="n"/>
      <c r="F90" s="47" t="n"/>
      <c r="G90" s="47" t="n"/>
      <c r="H90" s="49" t="n"/>
      <c r="I90" s="112" t="n"/>
      <c r="J90" s="47" t="n"/>
      <c r="K90" s="47" t="n"/>
    </row>
    <row r="91">
      <c r="A91" s="40" t="n"/>
      <c r="B91" s="43">
        <f>IFERROR(INDEX(الموظفون_الاسم,MATCH($A91,الموظفون_الرقم,0)),"")</f>
        <v/>
      </c>
      <c r="C91" s="40" t="n"/>
      <c r="D91" s="40" t="n"/>
      <c r="E91" s="110" t="n"/>
      <c r="F91" s="40" t="n"/>
      <c r="G91" s="40" t="n"/>
      <c r="H91" s="42" t="n"/>
      <c r="I91" s="110" t="n"/>
      <c r="J91" s="40" t="n"/>
      <c r="K91" s="40" t="n"/>
    </row>
    <row r="92">
      <c r="A92" s="47" t="n"/>
      <c r="B92" s="50">
        <f>IFERROR(INDEX(الموظفون_الاسم,MATCH($A92,الموظفون_الرقم,0)),"")</f>
        <v/>
      </c>
      <c r="C92" s="47" t="n"/>
      <c r="D92" s="47" t="n"/>
      <c r="E92" s="112" t="n"/>
      <c r="F92" s="47" t="n"/>
      <c r="G92" s="47" t="n"/>
      <c r="H92" s="49" t="n"/>
      <c r="I92" s="112" t="n"/>
      <c r="J92" s="47" t="n"/>
      <c r="K92" s="47" t="n"/>
    </row>
    <row r="93">
      <c r="A93" s="40" t="n"/>
      <c r="B93" s="43">
        <f>IFERROR(INDEX(الموظفون_الاسم,MATCH($A93,الموظفون_الرقم,0)),"")</f>
        <v/>
      </c>
      <c r="C93" s="40" t="n"/>
      <c r="D93" s="40" t="n"/>
      <c r="E93" s="110" t="n"/>
      <c r="F93" s="40" t="n"/>
      <c r="G93" s="40" t="n"/>
      <c r="H93" s="42" t="n"/>
      <c r="I93" s="110" t="n"/>
      <c r="J93" s="40" t="n"/>
      <c r="K93" s="40" t="n"/>
    </row>
    <row r="94">
      <c r="A94" s="47" t="n"/>
      <c r="B94" s="50">
        <f>IFERROR(INDEX(الموظفون_الاسم,MATCH($A94,الموظفون_الرقم,0)),"")</f>
        <v/>
      </c>
      <c r="C94" s="47" t="n"/>
      <c r="D94" s="47" t="n"/>
      <c r="E94" s="112" t="n"/>
      <c r="F94" s="47" t="n"/>
      <c r="G94" s="47" t="n"/>
      <c r="H94" s="49" t="n"/>
      <c r="I94" s="112" t="n"/>
      <c r="J94" s="47" t="n"/>
      <c r="K94" s="47" t="n"/>
    </row>
    <row r="95">
      <c r="A95" s="40" t="n"/>
      <c r="B95" s="43">
        <f>IFERROR(INDEX(الموظفون_الاسم,MATCH($A95,الموظفون_الرقم,0)),"")</f>
        <v/>
      </c>
      <c r="C95" s="40" t="n"/>
      <c r="D95" s="40" t="n"/>
      <c r="E95" s="110" t="n"/>
      <c r="F95" s="40" t="n"/>
      <c r="G95" s="40" t="n"/>
      <c r="H95" s="42" t="n"/>
      <c r="I95" s="110" t="n"/>
      <c r="J95" s="40" t="n"/>
      <c r="K95" s="40" t="n"/>
    </row>
    <row r="96">
      <c r="A96" s="47" t="n"/>
      <c r="B96" s="50">
        <f>IFERROR(INDEX(الموظفون_الاسم,MATCH($A96,الموظفون_الرقم,0)),"")</f>
        <v/>
      </c>
      <c r="C96" s="47" t="n"/>
      <c r="D96" s="47" t="n"/>
      <c r="E96" s="112" t="n"/>
      <c r="F96" s="47" t="n"/>
      <c r="G96" s="47" t="n"/>
      <c r="H96" s="49" t="n"/>
      <c r="I96" s="112" t="n"/>
      <c r="J96" s="47" t="n"/>
      <c r="K96" s="47" t="n"/>
    </row>
    <row r="97">
      <c r="A97" s="40" t="n"/>
      <c r="B97" s="43">
        <f>IFERROR(INDEX(الموظفون_الاسم,MATCH($A97,الموظفون_الرقم,0)),"")</f>
        <v/>
      </c>
      <c r="C97" s="40" t="n"/>
      <c r="D97" s="40" t="n"/>
      <c r="E97" s="110" t="n"/>
      <c r="F97" s="40" t="n"/>
      <c r="G97" s="40" t="n"/>
      <c r="H97" s="42" t="n"/>
      <c r="I97" s="110" t="n"/>
      <c r="J97" s="40" t="n"/>
      <c r="K97" s="40" t="n"/>
    </row>
    <row r="98">
      <c r="A98" s="47" t="n"/>
      <c r="B98" s="50">
        <f>IFERROR(INDEX(الموظفون_الاسم,MATCH($A98,الموظفون_الرقم,0)),"")</f>
        <v/>
      </c>
      <c r="C98" s="47" t="n"/>
      <c r="D98" s="47" t="n"/>
      <c r="E98" s="112" t="n"/>
      <c r="F98" s="47" t="n"/>
      <c r="G98" s="47" t="n"/>
      <c r="H98" s="49" t="n"/>
      <c r="I98" s="112" t="n"/>
      <c r="J98" s="47" t="n"/>
      <c r="K98" s="47" t="n"/>
    </row>
    <row r="99">
      <c r="A99" s="40" t="n"/>
      <c r="B99" s="43">
        <f>IFERROR(INDEX(الموظفون_الاسم,MATCH($A99,الموظفون_الرقم,0)),"")</f>
        <v/>
      </c>
      <c r="C99" s="40" t="n"/>
      <c r="D99" s="40" t="n"/>
      <c r="E99" s="110" t="n"/>
      <c r="F99" s="40" t="n"/>
      <c r="G99" s="40" t="n"/>
      <c r="H99" s="42" t="n"/>
      <c r="I99" s="110" t="n"/>
      <c r="J99" s="40" t="n"/>
      <c r="K99" s="40" t="n"/>
    </row>
    <row r="100">
      <c r="A100" s="47" t="n"/>
      <c r="B100" s="50">
        <f>IFERROR(INDEX(الموظفون_الاسم,MATCH($A100,الموظفون_الرقم,0)),"")</f>
        <v/>
      </c>
      <c r="C100" s="47" t="n"/>
      <c r="D100" s="47" t="n"/>
      <c r="E100" s="112" t="n"/>
      <c r="F100" s="47" t="n"/>
      <c r="G100" s="47" t="n"/>
      <c r="H100" s="49" t="n"/>
      <c r="I100" s="112" t="n"/>
      <c r="J100" s="47" t="n"/>
      <c r="K100" s="47" t="n"/>
    </row>
    <row r="101">
      <c r="A101" s="40" t="n"/>
      <c r="B101" s="43">
        <f>IFERROR(INDEX(الموظفون_الاسم,MATCH($A101,الموظفون_الرقم,0)),"")</f>
        <v/>
      </c>
      <c r="C101" s="40" t="n"/>
      <c r="D101" s="40" t="n"/>
      <c r="E101" s="110" t="n"/>
      <c r="F101" s="40" t="n"/>
      <c r="G101" s="40" t="n"/>
      <c r="H101" s="42" t="n"/>
      <c r="I101" s="110" t="n"/>
      <c r="J101" s="40" t="n"/>
      <c r="K101" s="40" t="n"/>
    </row>
    <row r="102">
      <c r="A102" s="47" t="n"/>
      <c r="B102" s="50">
        <f>IFERROR(INDEX(الموظفون_الاسم,MATCH($A102,الموظفون_الرقم,0)),"")</f>
        <v/>
      </c>
      <c r="C102" s="47" t="n"/>
      <c r="D102" s="47" t="n"/>
      <c r="E102" s="112" t="n"/>
      <c r="F102" s="47" t="n"/>
      <c r="G102" s="47" t="n"/>
      <c r="H102" s="49" t="n"/>
      <c r="I102" s="112" t="n"/>
      <c r="J102" s="47" t="n"/>
      <c r="K102" s="47" t="n"/>
    </row>
    <row r="103">
      <c r="A103" s="40" t="n"/>
      <c r="B103" s="43">
        <f>IFERROR(INDEX(الموظفون_الاسم,MATCH($A103,الموظفون_الرقم,0)),"")</f>
        <v/>
      </c>
      <c r="C103" s="40" t="n"/>
      <c r="D103" s="40" t="n"/>
      <c r="E103" s="110" t="n"/>
      <c r="F103" s="40" t="n"/>
      <c r="G103" s="40" t="n"/>
      <c r="H103" s="42" t="n"/>
      <c r="I103" s="110" t="n"/>
      <c r="J103" s="40" t="n"/>
      <c r="K103" s="40" t="n"/>
    </row>
    <row r="104">
      <c r="A104" s="47" t="n"/>
      <c r="B104" s="50">
        <f>IFERROR(INDEX(الموظفون_الاسم,MATCH($A104,الموظفون_الرقم,0)),"")</f>
        <v/>
      </c>
      <c r="C104" s="47" t="n"/>
      <c r="D104" s="47" t="n"/>
      <c r="E104" s="112" t="n"/>
      <c r="F104" s="47" t="n"/>
      <c r="G104" s="47" t="n"/>
      <c r="H104" s="49" t="n"/>
      <c r="I104" s="112" t="n"/>
      <c r="J104" s="47" t="n"/>
      <c r="K104" s="47" t="n"/>
    </row>
    <row r="105">
      <c r="A105" s="40" t="n"/>
      <c r="B105" s="43">
        <f>IFERROR(INDEX(الموظفون_الاسم,MATCH($A105,الموظفون_الرقم,0)),"")</f>
        <v/>
      </c>
      <c r="C105" s="40" t="n"/>
      <c r="D105" s="40" t="n"/>
      <c r="E105" s="110" t="n"/>
      <c r="F105" s="40" t="n"/>
      <c r="G105" s="40" t="n"/>
      <c r="H105" s="42" t="n"/>
      <c r="I105" s="110" t="n"/>
      <c r="J105" s="40" t="n"/>
      <c r="K105" s="40" t="n"/>
    </row>
    <row r="106">
      <c r="A106" s="47" t="n"/>
      <c r="B106" s="50">
        <f>IFERROR(INDEX(الموظفون_الاسم,MATCH($A106,الموظفون_الرقم,0)),"")</f>
        <v/>
      </c>
      <c r="C106" s="47" t="n"/>
      <c r="D106" s="47" t="n"/>
      <c r="E106" s="112" t="n"/>
      <c r="F106" s="47" t="n"/>
      <c r="G106" s="47" t="n"/>
      <c r="H106" s="49" t="n"/>
      <c r="I106" s="112" t="n"/>
      <c r="J106" s="47" t="n"/>
      <c r="K106" s="47" t="n"/>
    </row>
    <row r="107">
      <c r="A107" s="40" t="n"/>
      <c r="B107" s="43">
        <f>IFERROR(INDEX(الموظفون_الاسم,MATCH($A107,الموظفون_الرقم,0)),"")</f>
        <v/>
      </c>
      <c r="C107" s="40" t="n"/>
      <c r="D107" s="40" t="n"/>
      <c r="E107" s="110" t="n"/>
      <c r="F107" s="40" t="n"/>
      <c r="G107" s="40" t="n"/>
      <c r="H107" s="42" t="n"/>
      <c r="I107" s="110" t="n"/>
      <c r="J107" s="40" t="n"/>
      <c r="K107" s="40" t="n"/>
    </row>
    <row r="108">
      <c r="A108" s="47" t="n"/>
      <c r="B108" s="50">
        <f>IFERROR(INDEX(الموظفون_الاسم,MATCH($A108,الموظفون_الرقم,0)),"")</f>
        <v/>
      </c>
      <c r="C108" s="47" t="n"/>
      <c r="D108" s="47" t="n"/>
      <c r="E108" s="112" t="n"/>
      <c r="F108" s="47" t="n"/>
      <c r="G108" s="47" t="n"/>
      <c r="H108" s="49" t="n"/>
      <c r="I108" s="112" t="n"/>
      <c r="J108" s="47" t="n"/>
      <c r="K108" s="47" t="n"/>
    </row>
    <row r="109">
      <c r="A109" s="40" t="n"/>
      <c r="B109" s="43">
        <f>IFERROR(INDEX(الموظفون_الاسم,MATCH($A109,الموظفون_الرقم,0)),"")</f>
        <v/>
      </c>
      <c r="C109" s="40" t="n"/>
      <c r="D109" s="40" t="n"/>
      <c r="E109" s="110" t="n"/>
      <c r="F109" s="40" t="n"/>
      <c r="G109" s="40" t="n"/>
      <c r="H109" s="42" t="n"/>
      <c r="I109" s="110" t="n"/>
      <c r="J109" s="40" t="n"/>
      <c r="K109" s="40" t="n"/>
    </row>
    <row r="110">
      <c r="A110" s="47" t="n"/>
      <c r="B110" s="50">
        <f>IFERROR(INDEX(الموظفون_الاسم,MATCH($A110,الموظفون_الرقم,0)),"")</f>
        <v/>
      </c>
      <c r="C110" s="47" t="n"/>
      <c r="D110" s="47" t="n"/>
      <c r="E110" s="112" t="n"/>
      <c r="F110" s="47" t="n"/>
      <c r="G110" s="47" t="n"/>
      <c r="H110" s="49" t="n"/>
      <c r="I110" s="112" t="n"/>
      <c r="J110" s="47" t="n"/>
      <c r="K110" s="47" t="n"/>
    </row>
    <row r="111">
      <c r="A111" s="40" t="n"/>
      <c r="B111" s="43">
        <f>IFERROR(INDEX(الموظفون_الاسم,MATCH($A111,الموظفون_الرقم,0)),"")</f>
        <v/>
      </c>
      <c r="C111" s="40" t="n"/>
      <c r="D111" s="40" t="n"/>
      <c r="E111" s="110" t="n"/>
      <c r="F111" s="40" t="n"/>
      <c r="G111" s="40" t="n"/>
      <c r="H111" s="42" t="n"/>
      <c r="I111" s="110" t="n"/>
      <c r="J111" s="40" t="n"/>
      <c r="K111" s="40" t="n"/>
    </row>
    <row r="112">
      <c r="A112" s="47" t="n"/>
      <c r="B112" s="50">
        <f>IFERROR(INDEX(الموظفون_الاسم,MATCH($A112,الموظفون_الرقم,0)),"")</f>
        <v/>
      </c>
      <c r="C112" s="47" t="n"/>
      <c r="D112" s="47" t="n"/>
      <c r="E112" s="112" t="n"/>
      <c r="F112" s="47" t="n"/>
      <c r="G112" s="47" t="n"/>
      <c r="H112" s="49" t="n"/>
      <c r="I112" s="112" t="n"/>
      <c r="J112" s="47" t="n"/>
      <c r="K112" s="47" t="n"/>
    </row>
    <row r="113">
      <c r="A113" s="40" t="n"/>
      <c r="B113" s="43">
        <f>IFERROR(INDEX(الموظفون_الاسم,MATCH($A113,الموظفون_الرقم,0)),"")</f>
        <v/>
      </c>
      <c r="C113" s="40" t="n"/>
      <c r="D113" s="40" t="n"/>
      <c r="E113" s="110" t="n"/>
      <c r="F113" s="40" t="n"/>
      <c r="G113" s="40" t="n"/>
      <c r="H113" s="42" t="n"/>
      <c r="I113" s="110" t="n"/>
      <c r="J113" s="40" t="n"/>
      <c r="K113" s="40" t="n"/>
    </row>
    <row r="114">
      <c r="A114" s="47" t="n"/>
      <c r="B114" s="50">
        <f>IFERROR(INDEX(الموظفون_الاسم,MATCH($A114,الموظفون_الرقم,0)),"")</f>
        <v/>
      </c>
      <c r="C114" s="47" t="n"/>
      <c r="D114" s="47" t="n"/>
      <c r="E114" s="112" t="n"/>
      <c r="F114" s="47" t="n"/>
      <c r="G114" s="47" t="n"/>
      <c r="H114" s="49" t="n"/>
      <c r="I114" s="112" t="n"/>
      <c r="J114" s="47" t="n"/>
      <c r="K114" s="47" t="n"/>
    </row>
    <row r="115">
      <c r="A115" s="40" t="n"/>
      <c r="B115" s="43">
        <f>IFERROR(INDEX(الموظفون_الاسم,MATCH($A115,الموظفون_الرقم,0)),"")</f>
        <v/>
      </c>
      <c r="C115" s="40" t="n"/>
      <c r="D115" s="40" t="n"/>
      <c r="E115" s="110" t="n"/>
      <c r="F115" s="40" t="n"/>
      <c r="G115" s="40" t="n"/>
      <c r="H115" s="42" t="n"/>
      <c r="I115" s="110" t="n"/>
      <c r="J115" s="40" t="n"/>
      <c r="K115" s="40" t="n"/>
    </row>
    <row r="116">
      <c r="A116" s="47" t="n"/>
      <c r="B116" s="50">
        <f>IFERROR(INDEX(الموظفون_الاسم,MATCH($A116,الموظفون_الرقم,0)),"")</f>
        <v/>
      </c>
      <c r="C116" s="47" t="n"/>
      <c r="D116" s="47" t="n"/>
      <c r="E116" s="112" t="n"/>
      <c r="F116" s="47" t="n"/>
      <c r="G116" s="47" t="n"/>
      <c r="H116" s="49" t="n"/>
      <c r="I116" s="112" t="n"/>
      <c r="J116" s="47" t="n"/>
      <c r="K116" s="47" t="n"/>
    </row>
    <row r="117">
      <c r="A117" s="40" t="n"/>
      <c r="B117" s="43">
        <f>IFERROR(INDEX(الموظفون_الاسم,MATCH($A117,الموظفون_الرقم,0)),"")</f>
        <v/>
      </c>
      <c r="C117" s="40" t="n"/>
      <c r="D117" s="40" t="n"/>
      <c r="E117" s="110" t="n"/>
      <c r="F117" s="40" t="n"/>
      <c r="G117" s="40" t="n"/>
      <c r="H117" s="42" t="n"/>
      <c r="I117" s="110" t="n"/>
      <c r="J117" s="40" t="n"/>
      <c r="K117" s="40" t="n"/>
    </row>
    <row r="118">
      <c r="A118" s="47" t="n"/>
      <c r="B118" s="50">
        <f>IFERROR(INDEX(الموظفون_الاسم,MATCH($A118,الموظفون_الرقم,0)),"")</f>
        <v/>
      </c>
      <c r="C118" s="47" t="n"/>
      <c r="D118" s="47" t="n"/>
      <c r="E118" s="112" t="n"/>
      <c r="F118" s="47" t="n"/>
      <c r="G118" s="47" t="n"/>
      <c r="H118" s="49" t="n"/>
      <c r="I118" s="112" t="n"/>
      <c r="J118" s="47" t="n"/>
      <c r="K118" s="47" t="n"/>
    </row>
    <row r="119">
      <c r="A119" s="40" t="n"/>
      <c r="B119" s="43">
        <f>IFERROR(INDEX(الموظفون_الاسم,MATCH($A119,الموظفون_الرقم,0)),"")</f>
        <v/>
      </c>
      <c r="C119" s="40" t="n"/>
      <c r="D119" s="40" t="n"/>
      <c r="E119" s="110" t="n"/>
      <c r="F119" s="40" t="n"/>
      <c r="G119" s="40" t="n"/>
      <c r="H119" s="42" t="n"/>
      <c r="I119" s="110" t="n"/>
      <c r="J119" s="40" t="n"/>
      <c r="K119" s="40" t="n"/>
    </row>
    <row r="120">
      <c r="A120" s="47" t="n"/>
      <c r="B120" s="50">
        <f>IFERROR(INDEX(الموظفون_الاسم,MATCH($A120,الموظفون_الرقم,0)),"")</f>
        <v/>
      </c>
      <c r="C120" s="47" t="n"/>
      <c r="D120" s="47" t="n"/>
      <c r="E120" s="112" t="n"/>
      <c r="F120" s="47" t="n"/>
      <c r="G120" s="47" t="n"/>
      <c r="H120" s="49" t="n"/>
      <c r="I120" s="112" t="n"/>
      <c r="J120" s="47" t="n"/>
      <c r="K120" s="47" t="n"/>
    </row>
    <row r="121">
      <c r="A121" s="40" t="n"/>
      <c r="B121" s="43">
        <f>IFERROR(INDEX(الموظفون_الاسم,MATCH($A121,الموظفون_الرقم,0)),"")</f>
        <v/>
      </c>
      <c r="C121" s="40" t="n"/>
      <c r="D121" s="40" t="n"/>
      <c r="E121" s="110" t="n"/>
      <c r="F121" s="40" t="n"/>
      <c r="G121" s="40" t="n"/>
      <c r="H121" s="42" t="n"/>
      <c r="I121" s="110" t="n"/>
      <c r="J121" s="40" t="n"/>
      <c r="K121" s="40" t="n"/>
    </row>
    <row r="122">
      <c r="A122" s="47" t="n"/>
      <c r="B122" s="50">
        <f>IFERROR(INDEX(الموظفون_الاسم,MATCH($A122,الموظفون_الرقم,0)),"")</f>
        <v/>
      </c>
      <c r="C122" s="47" t="n"/>
      <c r="D122" s="47" t="n"/>
      <c r="E122" s="112" t="n"/>
      <c r="F122" s="47" t="n"/>
      <c r="G122" s="47" t="n"/>
      <c r="H122" s="49" t="n"/>
      <c r="I122" s="112" t="n"/>
      <c r="J122" s="47" t="n"/>
      <c r="K122" s="47" t="n"/>
    </row>
    <row r="123">
      <c r="A123" s="40" t="n"/>
      <c r="B123" s="43">
        <f>IFERROR(INDEX(الموظفون_الاسم,MATCH($A123,الموظفون_الرقم,0)),"")</f>
        <v/>
      </c>
      <c r="C123" s="40" t="n"/>
      <c r="D123" s="40" t="n"/>
      <c r="E123" s="110" t="n"/>
      <c r="F123" s="40" t="n"/>
      <c r="G123" s="40" t="n"/>
      <c r="H123" s="42" t="n"/>
      <c r="I123" s="110" t="n"/>
      <c r="J123" s="40" t="n"/>
      <c r="K123" s="40" t="n"/>
    </row>
    <row r="124">
      <c r="A124" s="47" t="n"/>
      <c r="B124" s="50">
        <f>IFERROR(INDEX(الموظفون_الاسم,MATCH($A124,الموظفون_الرقم,0)),"")</f>
        <v/>
      </c>
      <c r="C124" s="47" t="n"/>
      <c r="D124" s="47" t="n"/>
      <c r="E124" s="112" t="n"/>
      <c r="F124" s="47" t="n"/>
      <c r="G124" s="47" t="n"/>
      <c r="H124" s="49" t="n"/>
      <c r="I124" s="112" t="n"/>
      <c r="J124" s="47" t="n"/>
      <c r="K124" s="47" t="n"/>
    </row>
    <row r="125">
      <c r="A125" s="40" t="n"/>
      <c r="B125" s="43">
        <f>IFERROR(INDEX(الموظفون_الاسم,MATCH($A125,الموظفون_الرقم,0)),"")</f>
        <v/>
      </c>
      <c r="C125" s="40" t="n"/>
      <c r="D125" s="40" t="n"/>
      <c r="E125" s="110" t="n"/>
      <c r="F125" s="40" t="n"/>
      <c r="G125" s="40" t="n"/>
      <c r="H125" s="42" t="n"/>
      <c r="I125" s="110" t="n"/>
      <c r="J125" s="40" t="n"/>
      <c r="K125" s="40" t="n"/>
    </row>
    <row r="126">
      <c r="A126" s="47" t="n"/>
      <c r="B126" s="50">
        <f>IFERROR(INDEX(الموظفون_الاسم,MATCH($A126,الموظفون_الرقم,0)),"")</f>
        <v/>
      </c>
      <c r="C126" s="47" t="n"/>
      <c r="D126" s="47" t="n"/>
      <c r="E126" s="112" t="n"/>
      <c r="F126" s="47" t="n"/>
      <c r="G126" s="47" t="n"/>
      <c r="H126" s="49" t="n"/>
      <c r="I126" s="112" t="n"/>
      <c r="J126" s="47" t="n"/>
      <c r="K126" s="47" t="n"/>
    </row>
    <row r="127">
      <c r="A127" s="40" t="n"/>
      <c r="B127" s="43">
        <f>IFERROR(INDEX(الموظفون_الاسم,MATCH($A127,الموظفون_الرقم,0)),"")</f>
        <v/>
      </c>
      <c r="C127" s="40" t="n"/>
      <c r="D127" s="40" t="n"/>
      <c r="E127" s="110" t="n"/>
      <c r="F127" s="40" t="n"/>
      <c r="G127" s="40" t="n"/>
      <c r="H127" s="42" t="n"/>
      <c r="I127" s="110" t="n"/>
      <c r="J127" s="40" t="n"/>
      <c r="K127" s="40" t="n"/>
    </row>
    <row r="128">
      <c r="A128" s="47" t="n"/>
      <c r="B128" s="50">
        <f>IFERROR(INDEX(الموظفون_الاسم,MATCH($A128,الموظفون_الرقم,0)),"")</f>
        <v/>
      </c>
      <c r="C128" s="47" t="n"/>
      <c r="D128" s="47" t="n"/>
      <c r="E128" s="112" t="n"/>
      <c r="F128" s="47" t="n"/>
      <c r="G128" s="47" t="n"/>
      <c r="H128" s="49" t="n"/>
      <c r="I128" s="112" t="n"/>
      <c r="J128" s="47" t="n"/>
      <c r="K128" s="47" t="n"/>
    </row>
    <row r="129">
      <c r="A129" s="40" t="n"/>
      <c r="B129" s="43">
        <f>IFERROR(INDEX(الموظفون_الاسم,MATCH($A129,الموظفون_الرقم,0)),"")</f>
        <v/>
      </c>
      <c r="C129" s="40" t="n"/>
      <c r="D129" s="40" t="n"/>
      <c r="E129" s="110" t="n"/>
      <c r="F129" s="40" t="n"/>
      <c r="G129" s="40" t="n"/>
      <c r="H129" s="42" t="n"/>
      <c r="I129" s="110" t="n"/>
      <c r="J129" s="40" t="n"/>
      <c r="K129" s="40" t="n"/>
    </row>
    <row r="130">
      <c r="A130" s="47" t="n"/>
      <c r="B130" s="50">
        <f>IFERROR(INDEX(الموظفون_الاسم,MATCH($A130,الموظفون_الرقم,0)),"")</f>
        <v/>
      </c>
      <c r="C130" s="47" t="n"/>
      <c r="D130" s="47" t="n"/>
      <c r="E130" s="112" t="n"/>
      <c r="F130" s="47" t="n"/>
      <c r="G130" s="47" t="n"/>
      <c r="H130" s="49" t="n"/>
      <c r="I130" s="112" t="n"/>
      <c r="J130" s="47" t="n"/>
      <c r="K130" s="47" t="n"/>
    </row>
    <row r="131">
      <c r="A131" s="40" t="n"/>
      <c r="B131" s="43">
        <f>IFERROR(INDEX(الموظفون_الاسم,MATCH($A131,الموظفون_الرقم,0)),"")</f>
        <v/>
      </c>
      <c r="C131" s="40" t="n"/>
      <c r="D131" s="40" t="n"/>
      <c r="E131" s="110" t="n"/>
      <c r="F131" s="40" t="n"/>
      <c r="G131" s="40" t="n"/>
      <c r="H131" s="42" t="n"/>
      <c r="I131" s="110" t="n"/>
      <c r="J131" s="40" t="n"/>
      <c r="K131" s="40" t="n"/>
    </row>
    <row r="132">
      <c r="A132" s="47" t="n"/>
      <c r="B132" s="50">
        <f>IFERROR(INDEX(الموظفون_الاسم,MATCH($A132,الموظفون_الرقم,0)),"")</f>
        <v/>
      </c>
      <c r="C132" s="47" t="n"/>
      <c r="D132" s="47" t="n"/>
      <c r="E132" s="112" t="n"/>
      <c r="F132" s="47" t="n"/>
      <c r="G132" s="47" t="n"/>
      <c r="H132" s="49" t="n"/>
      <c r="I132" s="112" t="n"/>
      <c r="J132" s="47" t="n"/>
      <c r="K132" s="47" t="n"/>
    </row>
    <row r="133">
      <c r="A133" s="40" t="n"/>
      <c r="B133" s="43">
        <f>IFERROR(INDEX(الموظفون_الاسم,MATCH($A133,الموظفون_الرقم,0)),"")</f>
        <v/>
      </c>
      <c r="C133" s="40" t="n"/>
      <c r="D133" s="40" t="n"/>
      <c r="E133" s="110" t="n"/>
      <c r="F133" s="40" t="n"/>
      <c r="G133" s="40" t="n"/>
      <c r="H133" s="42" t="n"/>
      <c r="I133" s="110" t="n"/>
      <c r="J133" s="40" t="n"/>
      <c r="K133" s="40" t="n"/>
    </row>
    <row r="134">
      <c r="A134" s="47" t="n"/>
      <c r="B134" s="50">
        <f>IFERROR(INDEX(الموظفون_الاسم,MATCH($A134,الموظفون_الرقم,0)),"")</f>
        <v/>
      </c>
      <c r="C134" s="47" t="n"/>
      <c r="D134" s="47" t="n"/>
      <c r="E134" s="112" t="n"/>
      <c r="F134" s="47" t="n"/>
      <c r="G134" s="47" t="n"/>
      <c r="H134" s="49" t="n"/>
      <c r="I134" s="112" t="n"/>
      <c r="J134" s="47" t="n"/>
      <c r="K134" s="47" t="n"/>
    </row>
    <row r="135">
      <c r="A135" s="40" t="n"/>
      <c r="B135" s="43">
        <f>IFERROR(INDEX(الموظفون_الاسم,MATCH($A135,الموظفون_الرقم,0)),"")</f>
        <v/>
      </c>
      <c r="C135" s="40" t="n"/>
      <c r="D135" s="40" t="n"/>
      <c r="E135" s="110" t="n"/>
      <c r="F135" s="40" t="n"/>
      <c r="G135" s="40" t="n"/>
      <c r="H135" s="42" t="n"/>
      <c r="I135" s="110" t="n"/>
      <c r="J135" s="40" t="n"/>
      <c r="K135" s="40" t="n"/>
    </row>
    <row r="136">
      <c r="A136" s="47" t="n"/>
      <c r="B136" s="50">
        <f>IFERROR(INDEX(الموظفون_الاسم,MATCH($A136,الموظفون_الرقم,0)),"")</f>
        <v/>
      </c>
      <c r="C136" s="47" t="n"/>
      <c r="D136" s="47" t="n"/>
      <c r="E136" s="112" t="n"/>
      <c r="F136" s="47" t="n"/>
      <c r="G136" s="47" t="n"/>
      <c r="H136" s="49" t="n"/>
      <c r="I136" s="112" t="n"/>
      <c r="J136" s="47" t="n"/>
      <c r="K136" s="47" t="n"/>
    </row>
    <row r="137">
      <c r="A137" s="40" t="n"/>
      <c r="B137" s="43">
        <f>IFERROR(INDEX(الموظفون_الاسم,MATCH($A137,الموظفون_الرقم,0)),"")</f>
        <v/>
      </c>
      <c r="C137" s="40" t="n"/>
      <c r="D137" s="40" t="n"/>
      <c r="E137" s="110" t="n"/>
      <c r="F137" s="40" t="n"/>
      <c r="G137" s="40" t="n"/>
      <c r="H137" s="42" t="n"/>
      <c r="I137" s="110" t="n"/>
      <c r="J137" s="40" t="n"/>
      <c r="K137" s="40" t="n"/>
    </row>
    <row r="138">
      <c r="A138" s="47" t="n"/>
      <c r="B138" s="50">
        <f>IFERROR(INDEX(الموظفون_الاسم,MATCH($A138,الموظفون_الرقم,0)),"")</f>
        <v/>
      </c>
      <c r="C138" s="47" t="n"/>
      <c r="D138" s="47" t="n"/>
      <c r="E138" s="112" t="n"/>
      <c r="F138" s="47" t="n"/>
      <c r="G138" s="47" t="n"/>
      <c r="H138" s="49" t="n"/>
      <c r="I138" s="112" t="n"/>
      <c r="J138" s="47" t="n"/>
      <c r="K138" s="47" t="n"/>
    </row>
    <row r="139">
      <c r="A139" s="40" t="n"/>
      <c r="B139" s="43">
        <f>IFERROR(INDEX(الموظفون_الاسم,MATCH($A139,الموظفون_الرقم,0)),"")</f>
        <v/>
      </c>
      <c r="C139" s="40" t="n"/>
      <c r="D139" s="40" t="n"/>
      <c r="E139" s="110" t="n"/>
      <c r="F139" s="40" t="n"/>
      <c r="G139" s="40" t="n"/>
      <c r="H139" s="42" t="n"/>
      <c r="I139" s="110" t="n"/>
      <c r="J139" s="40" t="n"/>
      <c r="K139" s="40" t="n"/>
    </row>
    <row r="140">
      <c r="A140" s="47" t="n"/>
      <c r="B140" s="50">
        <f>IFERROR(INDEX(الموظفون_الاسم,MATCH($A140,الموظفون_الرقم,0)),"")</f>
        <v/>
      </c>
      <c r="C140" s="47" t="n"/>
      <c r="D140" s="47" t="n"/>
      <c r="E140" s="112" t="n"/>
      <c r="F140" s="47" t="n"/>
      <c r="G140" s="47" t="n"/>
      <c r="H140" s="49" t="n"/>
      <c r="I140" s="112" t="n"/>
      <c r="J140" s="47" t="n"/>
      <c r="K140" s="47" t="n"/>
    </row>
    <row r="141">
      <c r="A141" s="40" t="n"/>
      <c r="B141" s="43">
        <f>IFERROR(INDEX(الموظفون_الاسم,MATCH($A141,الموظفون_الرقم,0)),"")</f>
        <v/>
      </c>
      <c r="C141" s="40" t="n"/>
      <c r="D141" s="40" t="n"/>
      <c r="E141" s="110" t="n"/>
      <c r="F141" s="40" t="n"/>
      <c r="G141" s="40" t="n"/>
      <c r="H141" s="42" t="n"/>
      <c r="I141" s="110" t="n"/>
      <c r="J141" s="40" t="n"/>
      <c r="K141" s="40" t="n"/>
    </row>
    <row r="142">
      <c r="A142" s="47" t="n"/>
      <c r="B142" s="50">
        <f>IFERROR(INDEX(الموظفون_الاسم,MATCH($A142,الموظفون_الرقم,0)),"")</f>
        <v/>
      </c>
      <c r="C142" s="47" t="n"/>
      <c r="D142" s="47" t="n"/>
      <c r="E142" s="112" t="n"/>
      <c r="F142" s="47" t="n"/>
      <c r="G142" s="47" t="n"/>
      <c r="H142" s="49" t="n"/>
      <c r="I142" s="112" t="n"/>
      <c r="J142" s="47" t="n"/>
      <c r="K142" s="47" t="n"/>
    </row>
    <row r="143">
      <c r="A143" s="40" t="n"/>
      <c r="B143" s="43">
        <f>IFERROR(INDEX(الموظفون_الاسم,MATCH($A143,الموظفون_الرقم,0)),"")</f>
        <v/>
      </c>
      <c r="C143" s="40" t="n"/>
      <c r="D143" s="40" t="n"/>
      <c r="E143" s="110" t="n"/>
      <c r="F143" s="40" t="n"/>
      <c r="G143" s="40" t="n"/>
      <c r="H143" s="42" t="n"/>
      <c r="I143" s="110" t="n"/>
      <c r="J143" s="40" t="n"/>
      <c r="K143" s="40" t="n"/>
    </row>
    <row r="144">
      <c r="A144" s="47" t="n"/>
      <c r="B144" s="50">
        <f>IFERROR(INDEX(الموظفون_الاسم,MATCH($A144,الموظفون_الرقم,0)),"")</f>
        <v/>
      </c>
      <c r="C144" s="47" t="n"/>
      <c r="D144" s="47" t="n"/>
      <c r="E144" s="112" t="n"/>
      <c r="F144" s="47" t="n"/>
      <c r="G144" s="47" t="n"/>
      <c r="H144" s="49" t="n"/>
      <c r="I144" s="112" t="n"/>
      <c r="J144" s="47" t="n"/>
      <c r="K144" s="47" t="n"/>
    </row>
    <row r="145">
      <c r="A145" s="40" t="n"/>
      <c r="B145" s="43">
        <f>IFERROR(INDEX(الموظفون_الاسم,MATCH($A145,الموظفون_الرقم,0)),"")</f>
        <v/>
      </c>
      <c r="C145" s="40" t="n"/>
      <c r="D145" s="40" t="n"/>
      <c r="E145" s="110" t="n"/>
      <c r="F145" s="40" t="n"/>
      <c r="G145" s="40" t="n"/>
      <c r="H145" s="42" t="n"/>
      <c r="I145" s="110" t="n"/>
      <c r="J145" s="40" t="n"/>
      <c r="K145" s="40" t="n"/>
    </row>
    <row r="146">
      <c r="A146" s="47" t="n"/>
      <c r="B146" s="50">
        <f>IFERROR(INDEX(الموظفون_الاسم,MATCH($A146,الموظفون_الرقم,0)),"")</f>
        <v/>
      </c>
      <c r="C146" s="47" t="n"/>
      <c r="D146" s="47" t="n"/>
      <c r="E146" s="112" t="n"/>
      <c r="F146" s="47" t="n"/>
      <c r="G146" s="47" t="n"/>
      <c r="H146" s="49" t="n"/>
      <c r="I146" s="112" t="n"/>
      <c r="J146" s="47" t="n"/>
      <c r="K146" s="47" t="n"/>
    </row>
    <row r="147">
      <c r="A147" s="40" t="n"/>
      <c r="B147" s="43">
        <f>IFERROR(INDEX(الموظفون_الاسم,MATCH($A147,الموظفون_الرقم,0)),"")</f>
        <v/>
      </c>
      <c r="C147" s="40" t="n"/>
      <c r="D147" s="40" t="n"/>
      <c r="E147" s="110" t="n"/>
      <c r="F147" s="40" t="n"/>
      <c r="G147" s="40" t="n"/>
      <c r="H147" s="42" t="n"/>
      <c r="I147" s="110" t="n"/>
      <c r="J147" s="40" t="n"/>
      <c r="K147" s="40" t="n"/>
    </row>
    <row r="148">
      <c r="A148" s="47" t="n"/>
      <c r="B148" s="50">
        <f>IFERROR(INDEX(الموظفون_الاسم,MATCH($A148,الموظفون_الرقم,0)),"")</f>
        <v/>
      </c>
      <c r="C148" s="47" t="n"/>
      <c r="D148" s="47" t="n"/>
      <c r="E148" s="112" t="n"/>
      <c r="F148" s="47" t="n"/>
      <c r="G148" s="47" t="n"/>
      <c r="H148" s="49" t="n"/>
      <c r="I148" s="112" t="n"/>
      <c r="J148" s="47" t="n"/>
      <c r="K148" s="47" t="n"/>
    </row>
    <row r="149">
      <c r="A149" s="40" t="n"/>
      <c r="B149" s="43">
        <f>IFERROR(INDEX(الموظفون_الاسم,MATCH($A149,الموظفون_الرقم,0)),"")</f>
        <v/>
      </c>
      <c r="C149" s="40" t="n"/>
      <c r="D149" s="40" t="n"/>
      <c r="E149" s="110" t="n"/>
      <c r="F149" s="40" t="n"/>
      <c r="G149" s="40" t="n"/>
      <c r="H149" s="42" t="n"/>
      <c r="I149" s="110" t="n"/>
      <c r="J149" s="40" t="n"/>
      <c r="K149" s="40" t="n"/>
    </row>
    <row r="150">
      <c r="A150" s="47" t="n"/>
      <c r="B150" s="50">
        <f>IFERROR(INDEX(الموظفون_الاسم,MATCH($A150,الموظفون_الرقم,0)),"")</f>
        <v/>
      </c>
      <c r="C150" s="47" t="n"/>
      <c r="D150" s="47" t="n"/>
      <c r="E150" s="112" t="n"/>
      <c r="F150" s="47" t="n"/>
      <c r="G150" s="47" t="n"/>
      <c r="H150" s="49" t="n"/>
      <c r="I150" s="112" t="n"/>
      <c r="J150" s="47" t="n"/>
      <c r="K150" s="47" t="n"/>
    </row>
    <row r="151">
      <c r="A151" s="40" t="n"/>
      <c r="B151" s="43">
        <f>IFERROR(INDEX(الموظفون_الاسم,MATCH($A151,الموظفون_الرقم,0)),"")</f>
        <v/>
      </c>
      <c r="C151" s="40" t="n"/>
      <c r="D151" s="40" t="n"/>
      <c r="E151" s="110" t="n"/>
      <c r="F151" s="40" t="n"/>
      <c r="G151" s="40" t="n"/>
      <c r="H151" s="42" t="n"/>
      <c r="I151" s="110" t="n"/>
      <c r="J151" s="40" t="n"/>
      <c r="K151" s="40" t="n"/>
    </row>
    <row r="152">
      <c r="A152" s="47" t="n"/>
      <c r="B152" s="50">
        <f>IFERROR(INDEX(الموظفون_الاسم,MATCH($A152,الموظفون_الرقم,0)),"")</f>
        <v/>
      </c>
      <c r="C152" s="47" t="n"/>
      <c r="D152" s="47" t="n"/>
      <c r="E152" s="112" t="n"/>
      <c r="F152" s="47" t="n"/>
      <c r="G152" s="47" t="n"/>
      <c r="H152" s="49" t="n"/>
      <c r="I152" s="112" t="n"/>
      <c r="J152" s="47" t="n"/>
      <c r="K152" s="47" t="n"/>
    </row>
    <row r="153">
      <c r="A153" s="40" t="n"/>
      <c r="B153" s="43">
        <f>IFERROR(INDEX(الموظفون_الاسم,MATCH($A153,الموظفون_الرقم,0)),"")</f>
        <v/>
      </c>
      <c r="C153" s="40" t="n"/>
      <c r="D153" s="40" t="n"/>
      <c r="E153" s="110" t="n"/>
      <c r="F153" s="40" t="n"/>
      <c r="G153" s="40" t="n"/>
      <c r="H153" s="42" t="n"/>
      <c r="I153" s="110" t="n"/>
      <c r="J153" s="40" t="n"/>
      <c r="K153" s="40" t="n"/>
    </row>
    <row r="154">
      <c r="A154" s="47" t="n"/>
      <c r="B154" s="50">
        <f>IFERROR(INDEX(الموظفون_الاسم,MATCH($A154,الموظفون_الرقم,0)),"")</f>
        <v/>
      </c>
      <c r="C154" s="47" t="n"/>
      <c r="D154" s="47" t="n"/>
      <c r="E154" s="112" t="n"/>
      <c r="F154" s="47" t="n"/>
      <c r="G154" s="47" t="n"/>
      <c r="H154" s="49" t="n"/>
      <c r="I154" s="112" t="n"/>
      <c r="J154" s="47" t="n"/>
      <c r="K154" s="47" t="n"/>
    </row>
    <row r="155">
      <c r="A155" s="40" t="n"/>
      <c r="B155" s="43">
        <f>IFERROR(INDEX(الموظفون_الاسم,MATCH($A155,الموظفون_الرقم,0)),"")</f>
        <v/>
      </c>
      <c r="C155" s="40" t="n"/>
      <c r="D155" s="40" t="n"/>
      <c r="E155" s="110" t="n"/>
      <c r="F155" s="40" t="n"/>
      <c r="G155" s="40" t="n"/>
      <c r="H155" s="42" t="n"/>
      <c r="I155" s="110" t="n"/>
      <c r="J155" s="40" t="n"/>
      <c r="K155" s="40" t="n"/>
    </row>
    <row r="156">
      <c r="A156" s="47" t="n"/>
      <c r="B156" s="50">
        <f>IFERROR(INDEX(الموظفون_الاسم,MATCH($A156,الموظفون_الرقم,0)),"")</f>
        <v/>
      </c>
      <c r="C156" s="47" t="n"/>
      <c r="D156" s="47" t="n"/>
      <c r="E156" s="112" t="n"/>
      <c r="F156" s="47" t="n"/>
      <c r="G156" s="47" t="n"/>
      <c r="H156" s="49" t="n"/>
      <c r="I156" s="112" t="n"/>
      <c r="J156" s="47" t="n"/>
      <c r="K156" s="47" t="n"/>
    </row>
    <row r="157">
      <c r="A157" s="40" t="n"/>
      <c r="B157" s="43">
        <f>IFERROR(INDEX(الموظفون_الاسم,MATCH($A157,الموظفون_الرقم,0)),"")</f>
        <v/>
      </c>
      <c r="C157" s="40" t="n"/>
      <c r="D157" s="40" t="n"/>
      <c r="E157" s="110" t="n"/>
      <c r="F157" s="40" t="n"/>
      <c r="G157" s="40" t="n"/>
      <c r="H157" s="42" t="n"/>
      <c r="I157" s="110" t="n"/>
      <c r="J157" s="40" t="n"/>
      <c r="K157" s="40" t="n"/>
    </row>
    <row r="158">
      <c r="A158" s="47" t="n"/>
      <c r="B158" s="50">
        <f>IFERROR(INDEX(الموظفون_الاسم,MATCH($A158,الموظفون_الرقم,0)),"")</f>
        <v/>
      </c>
      <c r="C158" s="47" t="n"/>
      <c r="D158" s="47" t="n"/>
      <c r="E158" s="112" t="n"/>
      <c r="F158" s="47" t="n"/>
      <c r="G158" s="47" t="n"/>
      <c r="H158" s="49" t="n"/>
      <c r="I158" s="112" t="n"/>
      <c r="J158" s="47" t="n"/>
      <c r="K158" s="47" t="n"/>
    </row>
    <row r="159">
      <c r="A159" s="40" t="n"/>
      <c r="B159" s="43">
        <f>IFERROR(INDEX(الموظفون_الاسم,MATCH($A159,الموظفون_الرقم,0)),"")</f>
        <v/>
      </c>
      <c r="C159" s="40" t="n"/>
      <c r="D159" s="40" t="n"/>
      <c r="E159" s="110" t="n"/>
      <c r="F159" s="40" t="n"/>
      <c r="G159" s="40" t="n"/>
      <c r="H159" s="42" t="n"/>
      <c r="I159" s="110" t="n"/>
      <c r="J159" s="40" t="n"/>
      <c r="K159" s="40" t="n"/>
    </row>
    <row r="160">
      <c r="A160" s="47" t="n"/>
      <c r="B160" s="50">
        <f>IFERROR(INDEX(الموظفون_الاسم,MATCH($A160,الموظفون_الرقم,0)),"")</f>
        <v/>
      </c>
      <c r="C160" s="47" t="n"/>
      <c r="D160" s="47" t="n"/>
      <c r="E160" s="112" t="n"/>
      <c r="F160" s="47" t="n"/>
      <c r="G160" s="47" t="n"/>
      <c r="H160" s="49" t="n"/>
      <c r="I160" s="112" t="n"/>
      <c r="J160" s="47" t="n"/>
      <c r="K160" s="47" t="n"/>
    </row>
    <row r="161">
      <c r="A161" s="40" t="n"/>
      <c r="B161" s="43">
        <f>IFERROR(INDEX(الموظفون_الاسم,MATCH($A161,الموظفون_الرقم,0)),"")</f>
        <v/>
      </c>
      <c r="C161" s="40" t="n"/>
      <c r="D161" s="40" t="n"/>
      <c r="E161" s="110" t="n"/>
      <c r="F161" s="40" t="n"/>
      <c r="G161" s="40" t="n"/>
      <c r="H161" s="42" t="n"/>
      <c r="I161" s="110" t="n"/>
      <c r="J161" s="40" t="n"/>
      <c r="K161" s="40" t="n"/>
    </row>
    <row r="162">
      <c r="A162" s="47" t="n"/>
      <c r="B162" s="50">
        <f>IFERROR(INDEX(الموظفون_الاسم,MATCH($A162,الموظفون_الرقم,0)),"")</f>
        <v/>
      </c>
      <c r="C162" s="47" t="n"/>
      <c r="D162" s="47" t="n"/>
      <c r="E162" s="112" t="n"/>
      <c r="F162" s="47" t="n"/>
      <c r="G162" s="47" t="n"/>
      <c r="H162" s="49" t="n"/>
      <c r="I162" s="112" t="n"/>
      <c r="J162" s="47" t="n"/>
      <c r="K162" s="47" t="n"/>
    </row>
    <row r="163">
      <c r="A163" s="40" t="n"/>
      <c r="B163" s="43">
        <f>IFERROR(INDEX(الموظفون_الاسم,MATCH($A163,الموظفون_الرقم,0)),"")</f>
        <v/>
      </c>
      <c r="C163" s="40" t="n"/>
      <c r="D163" s="40" t="n"/>
      <c r="E163" s="110" t="n"/>
      <c r="F163" s="40" t="n"/>
      <c r="G163" s="40" t="n"/>
      <c r="H163" s="42" t="n"/>
      <c r="I163" s="110" t="n"/>
      <c r="J163" s="40" t="n"/>
      <c r="K163" s="40" t="n"/>
    </row>
    <row r="164">
      <c r="A164" s="47" t="n"/>
      <c r="B164" s="50">
        <f>IFERROR(INDEX(الموظفون_الاسم,MATCH($A164,الموظفون_الرقم,0)),"")</f>
        <v/>
      </c>
      <c r="C164" s="47" t="n"/>
      <c r="D164" s="47" t="n"/>
      <c r="E164" s="112" t="n"/>
      <c r="F164" s="47" t="n"/>
      <c r="G164" s="47" t="n"/>
      <c r="H164" s="49" t="n"/>
      <c r="I164" s="112" t="n"/>
      <c r="J164" s="47" t="n"/>
      <c r="K164" s="47" t="n"/>
    </row>
    <row r="165">
      <c r="A165" s="40" t="n"/>
      <c r="B165" s="43">
        <f>IFERROR(INDEX(الموظفون_الاسم,MATCH($A165,الموظفون_الرقم,0)),"")</f>
        <v/>
      </c>
      <c r="C165" s="40" t="n"/>
      <c r="D165" s="40" t="n"/>
      <c r="E165" s="110" t="n"/>
      <c r="F165" s="40" t="n"/>
      <c r="G165" s="40" t="n"/>
      <c r="H165" s="42" t="n"/>
      <c r="I165" s="110" t="n"/>
      <c r="J165" s="40" t="n"/>
      <c r="K165" s="40" t="n"/>
    </row>
    <row r="166">
      <c r="A166" s="47" t="n"/>
      <c r="B166" s="50">
        <f>IFERROR(INDEX(الموظفون_الاسم,MATCH($A166,الموظفون_الرقم,0)),"")</f>
        <v/>
      </c>
      <c r="C166" s="47" t="n"/>
      <c r="D166" s="47" t="n"/>
      <c r="E166" s="112" t="n"/>
      <c r="F166" s="47" t="n"/>
      <c r="G166" s="47" t="n"/>
      <c r="H166" s="49" t="n"/>
      <c r="I166" s="112" t="n"/>
      <c r="J166" s="47" t="n"/>
      <c r="K166" s="47" t="n"/>
    </row>
    <row r="167">
      <c r="A167" s="40" t="n"/>
      <c r="B167" s="43">
        <f>IFERROR(INDEX(الموظفون_الاسم,MATCH($A167,الموظفون_الرقم,0)),"")</f>
        <v/>
      </c>
      <c r="C167" s="40" t="n"/>
      <c r="D167" s="40" t="n"/>
      <c r="E167" s="110" t="n"/>
      <c r="F167" s="40" t="n"/>
      <c r="G167" s="40" t="n"/>
      <c r="H167" s="42" t="n"/>
      <c r="I167" s="110" t="n"/>
      <c r="J167" s="40" t="n"/>
      <c r="K167" s="40" t="n"/>
    </row>
    <row r="168">
      <c r="A168" s="47" t="n"/>
      <c r="B168" s="50">
        <f>IFERROR(INDEX(الموظفون_الاسم,MATCH($A168,الموظفون_الرقم,0)),"")</f>
        <v/>
      </c>
      <c r="C168" s="47" t="n"/>
      <c r="D168" s="47" t="n"/>
      <c r="E168" s="112" t="n"/>
      <c r="F168" s="47" t="n"/>
      <c r="G168" s="47" t="n"/>
      <c r="H168" s="49" t="n"/>
      <c r="I168" s="112" t="n"/>
      <c r="J168" s="47" t="n"/>
      <c r="K168" s="47" t="n"/>
    </row>
    <row r="169">
      <c r="A169" s="40" t="n"/>
      <c r="B169" s="43">
        <f>IFERROR(INDEX(الموظفون_الاسم,MATCH($A169,الموظفون_الرقم,0)),"")</f>
        <v/>
      </c>
      <c r="C169" s="40" t="n"/>
      <c r="D169" s="40" t="n"/>
      <c r="E169" s="110" t="n"/>
      <c r="F169" s="40" t="n"/>
      <c r="G169" s="40" t="n"/>
      <c r="H169" s="42" t="n"/>
      <c r="I169" s="110" t="n"/>
      <c r="J169" s="40" t="n"/>
      <c r="K169" s="40" t="n"/>
    </row>
    <row r="170">
      <c r="A170" s="47" t="n"/>
      <c r="B170" s="50">
        <f>IFERROR(INDEX(الموظفون_الاسم,MATCH($A170,الموظفون_الرقم,0)),"")</f>
        <v/>
      </c>
      <c r="C170" s="47" t="n"/>
      <c r="D170" s="47" t="n"/>
      <c r="E170" s="112" t="n"/>
      <c r="F170" s="47" t="n"/>
      <c r="G170" s="47" t="n"/>
      <c r="H170" s="49" t="n"/>
      <c r="I170" s="112" t="n"/>
      <c r="J170" s="47" t="n"/>
      <c r="K170" s="47" t="n"/>
    </row>
    <row r="171">
      <c r="A171" s="40" t="n"/>
      <c r="B171" s="43">
        <f>IFERROR(INDEX(الموظفون_الاسم,MATCH($A171,الموظفون_الرقم,0)),"")</f>
        <v/>
      </c>
      <c r="C171" s="40" t="n"/>
      <c r="D171" s="40" t="n"/>
      <c r="E171" s="110" t="n"/>
      <c r="F171" s="40" t="n"/>
      <c r="G171" s="40" t="n"/>
      <c r="H171" s="42" t="n"/>
      <c r="I171" s="110" t="n"/>
      <c r="J171" s="40" t="n"/>
      <c r="K171" s="40" t="n"/>
    </row>
    <row r="172">
      <c r="A172" s="47" t="n"/>
      <c r="B172" s="50">
        <f>IFERROR(INDEX(الموظفون_الاسم,MATCH($A172,الموظفون_الرقم,0)),"")</f>
        <v/>
      </c>
      <c r="C172" s="47" t="n"/>
      <c r="D172" s="47" t="n"/>
      <c r="E172" s="112" t="n"/>
      <c r="F172" s="47" t="n"/>
      <c r="G172" s="47" t="n"/>
      <c r="H172" s="49" t="n"/>
      <c r="I172" s="112" t="n"/>
      <c r="J172" s="47" t="n"/>
      <c r="K172" s="47" t="n"/>
    </row>
    <row r="173">
      <c r="A173" s="40" t="n"/>
      <c r="B173" s="43">
        <f>IFERROR(INDEX(الموظفون_الاسم,MATCH($A173,الموظفون_الرقم,0)),"")</f>
        <v/>
      </c>
      <c r="C173" s="40" t="n"/>
      <c r="D173" s="40" t="n"/>
      <c r="E173" s="110" t="n"/>
      <c r="F173" s="40" t="n"/>
      <c r="G173" s="40" t="n"/>
      <c r="H173" s="42" t="n"/>
      <c r="I173" s="110" t="n"/>
      <c r="J173" s="40" t="n"/>
      <c r="K173" s="40" t="n"/>
    </row>
    <row r="174">
      <c r="A174" s="47" t="n"/>
      <c r="B174" s="50">
        <f>IFERROR(INDEX(الموظفون_الاسم,MATCH($A174,الموظفون_الرقم,0)),"")</f>
        <v/>
      </c>
      <c r="C174" s="47" t="n"/>
      <c r="D174" s="47" t="n"/>
      <c r="E174" s="112" t="n"/>
      <c r="F174" s="47" t="n"/>
      <c r="G174" s="47" t="n"/>
      <c r="H174" s="49" t="n"/>
      <c r="I174" s="112" t="n"/>
      <c r="J174" s="47" t="n"/>
      <c r="K174" s="47" t="n"/>
    </row>
    <row r="175">
      <c r="A175" s="40" t="n"/>
      <c r="B175" s="43">
        <f>IFERROR(INDEX(الموظفون_الاسم,MATCH($A175,الموظفون_الرقم,0)),"")</f>
        <v/>
      </c>
      <c r="C175" s="40" t="n"/>
      <c r="D175" s="40" t="n"/>
      <c r="E175" s="110" t="n"/>
      <c r="F175" s="40" t="n"/>
      <c r="G175" s="40" t="n"/>
      <c r="H175" s="42" t="n"/>
      <c r="I175" s="110" t="n"/>
      <c r="J175" s="40" t="n"/>
      <c r="K175" s="40" t="n"/>
    </row>
    <row r="176">
      <c r="A176" s="47" t="n"/>
      <c r="B176" s="50">
        <f>IFERROR(INDEX(الموظفون_الاسم,MATCH($A176,الموظفون_الرقم,0)),"")</f>
        <v/>
      </c>
      <c r="C176" s="47" t="n"/>
      <c r="D176" s="47" t="n"/>
      <c r="E176" s="112" t="n"/>
      <c r="F176" s="47" t="n"/>
      <c r="G176" s="47" t="n"/>
      <c r="H176" s="49" t="n"/>
      <c r="I176" s="112" t="n"/>
      <c r="J176" s="47" t="n"/>
      <c r="K176" s="47" t="n"/>
    </row>
    <row r="177">
      <c r="A177" s="40" t="n"/>
      <c r="B177" s="43">
        <f>IFERROR(INDEX(الموظفون_الاسم,MATCH($A177,الموظفون_الرقم,0)),"")</f>
        <v/>
      </c>
      <c r="C177" s="40" t="n"/>
      <c r="D177" s="40" t="n"/>
      <c r="E177" s="110" t="n"/>
      <c r="F177" s="40" t="n"/>
      <c r="G177" s="40" t="n"/>
      <c r="H177" s="42" t="n"/>
      <c r="I177" s="110" t="n"/>
      <c r="J177" s="40" t="n"/>
      <c r="K177" s="40" t="n"/>
    </row>
    <row r="178">
      <c r="A178" s="47" t="n"/>
      <c r="B178" s="50">
        <f>IFERROR(INDEX(الموظفون_الاسم,MATCH($A178,الموظفون_الرقم,0)),"")</f>
        <v/>
      </c>
      <c r="C178" s="47" t="n"/>
      <c r="D178" s="47" t="n"/>
      <c r="E178" s="112" t="n"/>
      <c r="F178" s="47" t="n"/>
      <c r="G178" s="47" t="n"/>
      <c r="H178" s="49" t="n"/>
      <c r="I178" s="112" t="n"/>
      <c r="J178" s="47" t="n"/>
      <c r="K178" s="47" t="n"/>
    </row>
    <row r="179">
      <c r="A179" s="40" t="n"/>
      <c r="B179" s="43">
        <f>IFERROR(INDEX(الموظفون_الاسم,MATCH($A179,الموظفون_الرقم,0)),"")</f>
        <v/>
      </c>
      <c r="C179" s="40" t="n"/>
      <c r="D179" s="40" t="n"/>
      <c r="E179" s="110" t="n"/>
      <c r="F179" s="40" t="n"/>
      <c r="G179" s="40" t="n"/>
      <c r="H179" s="42" t="n"/>
      <c r="I179" s="110" t="n"/>
      <c r="J179" s="40" t="n"/>
      <c r="K179" s="40" t="n"/>
    </row>
    <row r="180">
      <c r="A180" s="47" t="n"/>
      <c r="B180" s="50">
        <f>IFERROR(INDEX(الموظفون_الاسم,MATCH($A180,الموظفون_الرقم,0)),"")</f>
        <v/>
      </c>
      <c r="C180" s="47" t="n"/>
      <c r="D180" s="47" t="n"/>
      <c r="E180" s="112" t="n"/>
      <c r="F180" s="47" t="n"/>
      <c r="G180" s="47" t="n"/>
      <c r="H180" s="49" t="n"/>
      <c r="I180" s="112" t="n"/>
      <c r="J180" s="47" t="n"/>
      <c r="K180" s="47" t="n"/>
    </row>
    <row r="181">
      <c r="A181" s="40" t="n"/>
      <c r="B181" s="43">
        <f>IFERROR(INDEX(الموظفون_الاسم,MATCH($A181,الموظفون_الرقم,0)),"")</f>
        <v/>
      </c>
      <c r="C181" s="40" t="n"/>
      <c r="D181" s="40" t="n"/>
      <c r="E181" s="110" t="n"/>
      <c r="F181" s="40" t="n"/>
      <c r="G181" s="40" t="n"/>
      <c r="H181" s="42" t="n"/>
      <c r="I181" s="110" t="n"/>
      <c r="J181" s="40" t="n"/>
      <c r="K181" s="40" t="n"/>
    </row>
    <row r="182">
      <c r="A182" s="47" t="n"/>
      <c r="B182" s="50">
        <f>IFERROR(INDEX(الموظفون_الاسم,MATCH($A182,الموظفون_الرقم,0)),"")</f>
        <v/>
      </c>
      <c r="C182" s="47" t="n"/>
      <c r="D182" s="47" t="n"/>
      <c r="E182" s="112" t="n"/>
      <c r="F182" s="47" t="n"/>
      <c r="G182" s="47" t="n"/>
      <c r="H182" s="49" t="n"/>
      <c r="I182" s="112" t="n"/>
      <c r="J182" s="47" t="n"/>
      <c r="K182" s="47" t="n"/>
    </row>
    <row r="183">
      <c r="A183" s="40" t="n"/>
      <c r="B183" s="43">
        <f>IFERROR(INDEX(الموظفون_الاسم,MATCH($A183,الموظفون_الرقم,0)),"")</f>
        <v/>
      </c>
      <c r="C183" s="40" t="n"/>
      <c r="D183" s="40" t="n"/>
      <c r="E183" s="110" t="n"/>
      <c r="F183" s="40" t="n"/>
      <c r="G183" s="40" t="n"/>
      <c r="H183" s="42" t="n"/>
      <c r="I183" s="110" t="n"/>
      <c r="J183" s="40" t="n"/>
      <c r="K183" s="40" t="n"/>
    </row>
    <row r="184">
      <c r="A184" s="47" t="n"/>
      <c r="B184" s="50">
        <f>IFERROR(INDEX(الموظفون_الاسم,MATCH($A184,الموظفون_الرقم,0)),"")</f>
        <v/>
      </c>
      <c r="C184" s="47" t="n"/>
      <c r="D184" s="47" t="n"/>
      <c r="E184" s="112" t="n"/>
      <c r="F184" s="47" t="n"/>
      <c r="G184" s="47" t="n"/>
      <c r="H184" s="49" t="n"/>
      <c r="I184" s="112" t="n"/>
      <c r="J184" s="47" t="n"/>
      <c r="K184" s="47" t="n"/>
    </row>
    <row r="185">
      <c r="A185" s="40" t="n"/>
      <c r="B185" s="43">
        <f>IFERROR(INDEX(الموظفون_الاسم,MATCH($A185,الموظفون_الرقم,0)),"")</f>
        <v/>
      </c>
      <c r="C185" s="40" t="n"/>
      <c r="D185" s="40" t="n"/>
      <c r="E185" s="110" t="n"/>
      <c r="F185" s="40" t="n"/>
      <c r="G185" s="40" t="n"/>
      <c r="H185" s="42" t="n"/>
      <c r="I185" s="110" t="n"/>
      <c r="J185" s="40" t="n"/>
      <c r="K185" s="40" t="n"/>
    </row>
    <row r="186">
      <c r="A186" s="47" t="n"/>
      <c r="B186" s="50">
        <f>IFERROR(INDEX(الموظفون_الاسم,MATCH($A186,الموظفون_الرقم,0)),"")</f>
        <v/>
      </c>
      <c r="C186" s="47" t="n"/>
      <c r="D186" s="47" t="n"/>
      <c r="E186" s="112" t="n"/>
      <c r="F186" s="47" t="n"/>
      <c r="G186" s="47" t="n"/>
      <c r="H186" s="49" t="n"/>
      <c r="I186" s="112" t="n"/>
      <c r="J186" s="47" t="n"/>
      <c r="K186" s="47" t="n"/>
    </row>
    <row r="187">
      <c r="A187" s="40" t="n"/>
      <c r="B187" s="43">
        <f>IFERROR(INDEX(الموظفون_الاسم,MATCH($A187,الموظفون_الرقم,0)),"")</f>
        <v/>
      </c>
      <c r="C187" s="40" t="n"/>
      <c r="D187" s="40" t="n"/>
      <c r="E187" s="110" t="n"/>
      <c r="F187" s="40" t="n"/>
      <c r="G187" s="40" t="n"/>
      <c r="H187" s="42" t="n"/>
      <c r="I187" s="110" t="n"/>
      <c r="J187" s="40" t="n"/>
      <c r="K187" s="40" t="n"/>
    </row>
    <row r="188">
      <c r="A188" s="47" t="n"/>
      <c r="B188" s="50">
        <f>IFERROR(INDEX(الموظفون_الاسم,MATCH($A188,الموظفون_الرقم,0)),"")</f>
        <v/>
      </c>
      <c r="C188" s="47" t="n"/>
      <c r="D188" s="47" t="n"/>
      <c r="E188" s="112" t="n"/>
      <c r="F188" s="47" t="n"/>
      <c r="G188" s="47" t="n"/>
      <c r="H188" s="49" t="n"/>
      <c r="I188" s="112" t="n"/>
      <c r="J188" s="47" t="n"/>
      <c r="K188" s="47" t="n"/>
    </row>
    <row r="189">
      <c r="A189" s="40" t="n"/>
      <c r="B189" s="43">
        <f>IFERROR(INDEX(الموظفون_الاسم,MATCH($A189,الموظفون_الرقم,0)),"")</f>
        <v/>
      </c>
      <c r="C189" s="40" t="n"/>
      <c r="D189" s="40" t="n"/>
      <c r="E189" s="110" t="n"/>
      <c r="F189" s="40" t="n"/>
      <c r="G189" s="40" t="n"/>
      <c r="H189" s="42" t="n"/>
      <c r="I189" s="110" t="n"/>
      <c r="J189" s="40" t="n"/>
      <c r="K189" s="40" t="n"/>
    </row>
    <row r="190">
      <c r="A190" s="47" t="n"/>
      <c r="B190" s="50">
        <f>IFERROR(INDEX(الموظفون_الاسم,MATCH($A190,الموظفون_الرقم,0)),"")</f>
        <v/>
      </c>
      <c r="C190" s="47" t="n"/>
      <c r="D190" s="47" t="n"/>
      <c r="E190" s="112" t="n"/>
      <c r="F190" s="47" t="n"/>
      <c r="G190" s="47" t="n"/>
      <c r="H190" s="49" t="n"/>
      <c r="I190" s="112" t="n"/>
      <c r="J190" s="47" t="n"/>
      <c r="K190" s="47" t="n"/>
    </row>
    <row r="191">
      <c r="A191" s="40" t="n"/>
      <c r="B191" s="43">
        <f>IFERROR(INDEX(الموظفون_الاسم,MATCH($A191,الموظفون_الرقم,0)),"")</f>
        <v/>
      </c>
      <c r="C191" s="40" t="n"/>
      <c r="D191" s="40" t="n"/>
      <c r="E191" s="110" t="n"/>
      <c r="F191" s="40" t="n"/>
      <c r="G191" s="40" t="n"/>
      <c r="H191" s="42" t="n"/>
      <c r="I191" s="110" t="n"/>
      <c r="J191" s="40" t="n"/>
      <c r="K191" s="40" t="n"/>
    </row>
    <row r="192">
      <c r="A192" s="47" t="n"/>
      <c r="B192" s="50">
        <f>IFERROR(INDEX(الموظفون_الاسم,MATCH($A192,الموظفون_الرقم,0)),"")</f>
        <v/>
      </c>
      <c r="C192" s="47" t="n"/>
      <c r="D192" s="47" t="n"/>
      <c r="E192" s="112" t="n"/>
      <c r="F192" s="47" t="n"/>
      <c r="G192" s="47" t="n"/>
      <c r="H192" s="49" t="n"/>
      <c r="I192" s="112" t="n"/>
      <c r="J192" s="47" t="n"/>
      <c r="K192" s="47" t="n"/>
    </row>
    <row r="193">
      <c r="A193" s="40" t="n"/>
      <c r="B193" s="43">
        <f>IFERROR(INDEX(الموظفون_الاسم,MATCH($A193,الموظفون_الرقم,0)),"")</f>
        <v/>
      </c>
      <c r="C193" s="40" t="n"/>
      <c r="D193" s="40" t="n"/>
      <c r="E193" s="110" t="n"/>
      <c r="F193" s="40" t="n"/>
      <c r="G193" s="40" t="n"/>
      <c r="H193" s="42" t="n"/>
      <c r="I193" s="110" t="n"/>
      <c r="J193" s="40" t="n"/>
      <c r="K193" s="40" t="n"/>
    </row>
    <row r="194">
      <c r="A194" s="47" t="n"/>
      <c r="B194" s="50">
        <f>IFERROR(INDEX(الموظفون_الاسم,MATCH($A194,الموظفون_الرقم,0)),"")</f>
        <v/>
      </c>
      <c r="C194" s="47" t="n"/>
      <c r="D194" s="47" t="n"/>
      <c r="E194" s="112" t="n"/>
      <c r="F194" s="47" t="n"/>
      <c r="G194" s="47" t="n"/>
      <c r="H194" s="49" t="n"/>
      <c r="I194" s="112" t="n"/>
      <c r="J194" s="47" t="n"/>
      <c r="K194" s="47" t="n"/>
    </row>
    <row r="195">
      <c r="A195" s="40" t="n"/>
      <c r="B195" s="43">
        <f>IFERROR(INDEX(الموظفون_الاسم,MATCH($A195,الموظفون_الرقم,0)),"")</f>
        <v/>
      </c>
      <c r="C195" s="40" t="n"/>
      <c r="D195" s="40" t="n"/>
      <c r="E195" s="110" t="n"/>
      <c r="F195" s="40" t="n"/>
      <c r="G195" s="40" t="n"/>
      <c r="H195" s="42" t="n"/>
      <c r="I195" s="110" t="n"/>
      <c r="J195" s="40" t="n"/>
      <c r="K195" s="40" t="n"/>
    </row>
    <row r="196">
      <c r="A196" s="47" t="n"/>
      <c r="B196" s="50">
        <f>IFERROR(INDEX(الموظفون_الاسم,MATCH($A196,الموظفون_الرقم,0)),"")</f>
        <v/>
      </c>
      <c r="C196" s="47" t="n"/>
      <c r="D196" s="47" t="n"/>
      <c r="E196" s="112" t="n"/>
      <c r="F196" s="47" t="n"/>
      <c r="G196" s="47" t="n"/>
      <c r="H196" s="49" t="n"/>
      <c r="I196" s="112" t="n"/>
      <c r="J196" s="47" t="n"/>
      <c r="K196" s="47" t="n"/>
    </row>
    <row r="197">
      <c r="A197" s="40" t="n"/>
      <c r="B197" s="43">
        <f>IFERROR(INDEX(الموظفون_الاسم,MATCH($A197,الموظفون_الرقم,0)),"")</f>
        <v/>
      </c>
      <c r="C197" s="40" t="n"/>
      <c r="D197" s="40" t="n"/>
      <c r="E197" s="110" t="n"/>
      <c r="F197" s="40" t="n"/>
      <c r="G197" s="40" t="n"/>
      <c r="H197" s="42" t="n"/>
      <c r="I197" s="110" t="n"/>
      <c r="J197" s="40" t="n"/>
      <c r="K197" s="40" t="n"/>
    </row>
    <row r="198">
      <c r="A198" s="47" t="n"/>
      <c r="B198" s="50">
        <f>IFERROR(INDEX(الموظفون_الاسم,MATCH($A198,الموظفون_الرقم,0)),"")</f>
        <v/>
      </c>
      <c r="C198" s="47" t="n"/>
      <c r="D198" s="47" t="n"/>
      <c r="E198" s="112" t="n"/>
      <c r="F198" s="47" t="n"/>
      <c r="G198" s="47" t="n"/>
      <c r="H198" s="49" t="n"/>
      <c r="I198" s="112" t="n"/>
      <c r="J198" s="47" t="n"/>
      <c r="K198" s="47" t="n"/>
    </row>
    <row r="199">
      <c r="A199" s="40" t="n"/>
      <c r="B199" s="43">
        <f>IFERROR(INDEX(الموظفون_الاسم,MATCH($A199,الموظفون_الرقم,0)),"")</f>
        <v/>
      </c>
      <c r="C199" s="40" t="n"/>
      <c r="D199" s="40" t="n"/>
      <c r="E199" s="110" t="n"/>
      <c r="F199" s="40" t="n"/>
      <c r="G199" s="40" t="n"/>
      <c r="H199" s="42" t="n"/>
      <c r="I199" s="110" t="n"/>
      <c r="J199" s="40" t="n"/>
      <c r="K199" s="40" t="n"/>
    </row>
    <row r="200">
      <c r="A200" s="47" t="n"/>
      <c r="B200" s="50">
        <f>IFERROR(INDEX(الموظفون_الاسم,MATCH($A200,الموظفون_الرقم,0)),"")</f>
        <v/>
      </c>
      <c r="C200" s="47" t="n"/>
      <c r="D200" s="47" t="n"/>
      <c r="E200" s="112" t="n"/>
      <c r="F200" s="47" t="n"/>
      <c r="G200" s="47" t="n"/>
      <c r="H200" s="49" t="n"/>
      <c r="I200" s="112" t="n"/>
      <c r="J200" s="47" t="n"/>
      <c r="K200" s="47" t="n"/>
    </row>
    <row r="201">
      <c r="A201" s="40" t="n"/>
      <c r="B201" s="43">
        <f>IFERROR(INDEX(الموظفون_الاسم,MATCH($A201,الموظفون_الرقم,0)),"")</f>
        <v/>
      </c>
      <c r="C201" s="40" t="n"/>
      <c r="D201" s="40" t="n"/>
      <c r="E201" s="110" t="n"/>
      <c r="F201" s="40" t="n"/>
      <c r="G201" s="40" t="n"/>
      <c r="H201" s="42" t="n"/>
      <c r="I201" s="110" t="n"/>
      <c r="J201" s="40" t="n"/>
      <c r="K201" s="40" t="n"/>
    </row>
    <row r="202">
      <c r="A202" s="47" t="n"/>
      <c r="B202" s="50">
        <f>IFERROR(INDEX(الموظفون_الاسم,MATCH($A202,الموظفون_الرقم,0)),"")</f>
        <v/>
      </c>
      <c r="C202" s="47" t="n"/>
      <c r="D202" s="47" t="n"/>
      <c r="E202" s="112" t="n"/>
      <c r="F202" s="47" t="n"/>
      <c r="G202" s="47" t="n"/>
      <c r="H202" s="49" t="n"/>
      <c r="I202" s="112" t="n"/>
      <c r="J202" s="47" t="n"/>
      <c r="K202" s="47" t="n"/>
    </row>
    <row r="203">
      <c r="A203" s="40" t="n"/>
      <c r="B203" s="43">
        <f>IFERROR(INDEX(الموظفون_الاسم,MATCH($A203,الموظفون_الرقم,0)),"")</f>
        <v/>
      </c>
      <c r="C203" s="40" t="n"/>
      <c r="D203" s="40" t="n"/>
      <c r="E203" s="110" t="n"/>
      <c r="F203" s="40" t="n"/>
      <c r="G203" s="40" t="n"/>
      <c r="H203" s="42" t="n"/>
      <c r="I203" s="110" t="n"/>
      <c r="J203" s="40" t="n"/>
      <c r="K203" s="40" t="n"/>
    </row>
    <row r="204">
      <c r="A204" s="47" t="n"/>
      <c r="B204" s="50">
        <f>IFERROR(INDEX(الموظفون_الاسم,MATCH($A204,الموظفون_الرقم,0)),"")</f>
        <v/>
      </c>
      <c r="C204" s="47" t="n"/>
      <c r="D204" s="47" t="n"/>
      <c r="E204" s="112" t="n"/>
      <c r="F204" s="47" t="n"/>
      <c r="G204" s="47" t="n"/>
      <c r="H204" s="49" t="n"/>
      <c r="I204" s="112" t="n"/>
      <c r="J204" s="47" t="n"/>
      <c r="K204" s="47" t="n"/>
    </row>
    <row r="205">
      <c r="A205" s="40" t="n"/>
      <c r="B205" s="43">
        <f>IFERROR(INDEX(الموظفون_الاسم,MATCH($A205,الموظفون_الرقم,0)),"")</f>
        <v/>
      </c>
      <c r="C205" s="40" t="n"/>
      <c r="D205" s="40" t="n"/>
      <c r="E205" s="110" t="n"/>
      <c r="F205" s="40" t="n"/>
      <c r="G205" s="40" t="n"/>
      <c r="H205" s="42" t="n"/>
      <c r="I205" s="110" t="n"/>
      <c r="J205" s="40" t="n"/>
      <c r="K205" s="40" t="n"/>
    </row>
    <row r="206">
      <c r="A206" s="47" t="n"/>
      <c r="B206" s="50">
        <f>IFERROR(INDEX(الموظفون_الاسم,MATCH($A206,الموظفون_الرقم,0)),"")</f>
        <v/>
      </c>
      <c r="C206" s="47" t="n"/>
      <c r="D206" s="47" t="n"/>
      <c r="E206" s="112" t="n"/>
      <c r="F206" s="47" t="n"/>
      <c r="G206" s="47" t="n"/>
      <c r="H206" s="49" t="n"/>
      <c r="I206" s="112" t="n"/>
      <c r="J206" s="47" t="n"/>
      <c r="K206" s="47" t="n"/>
    </row>
    <row r="207">
      <c r="A207" s="40" t="n"/>
      <c r="B207" s="43">
        <f>IFERROR(INDEX(الموظفون_الاسم,MATCH($A207,الموظفون_الرقم,0)),"")</f>
        <v/>
      </c>
      <c r="C207" s="40" t="n"/>
      <c r="D207" s="40" t="n"/>
      <c r="E207" s="110" t="n"/>
      <c r="F207" s="40" t="n"/>
      <c r="G207" s="40" t="n"/>
      <c r="H207" s="42" t="n"/>
      <c r="I207" s="110" t="n"/>
      <c r="J207" s="40" t="n"/>
      <c r="K207" s="40" t="n"/>
    </row>
    <row r="208">
      <c r="A208" s="47" t="n"/>
      <c r="B208" s="50">
        <f>IFERROR(INDEX(الموظفون_الاسم,MATCH($A208,الموظفون_الرقم,0)),"")</f>
        <v/>
      </c>
      <c r="C208" s="47" t="n"/>
      <c r="D208" s="47" t="n"/>
      <c r="E208" s="112" t="n"/>
      <c r="F208" s="47" t="n"/>
      <c r="G208" s="47" t="n"/>
      <c r="H208" s="49" t="n"/>
      <c r="I208" s="112" t="n"/>
      <c r="J208" s="47" t="n"/>
      <c r="K208" s="47" t="n"/>
    </row>
    <row r="209">
      <c r="A209" s="40" t="n"/>
      <c r="B209" s="43">
        <f>IFERROR(INDEX(الموظفون_الاسم,MATCH($A209,الموظفون_الرقم,0)),"")</f>
        <v/>
      </c>
      <c r="C209" s="40" t="n"/>
      <c r="D209" s="40" t="n"/>
      <c r="E209" s="110" t="n"/>
      <c r="F209" s="40" t="n"/>
      <c r="G209" s="40" t="n"/>
      <c r="H209" s="42" t="n"/>
      <c r="I209" s="110" t="n"/>
      <c r="J209" s="40" t="n"/>
      <c r="K209" s="40" t="n"/>
    </row>
    <row r="210">
      <c r="A210" s="47" t="n"/>
      <c r="B210" s="50">
        <f>IFERROR(INDEX(الموظفون_الاسم,MATCH($A210,الموظفون_الرقم,0)),"")</f>
        <v/>
      </c>
      <c r="C210" s="47" t="n"/>
      <c r="D210" s="47" t="n"/>
      <c r="E210" s="112" t="n"/>
      <c r="F210" s="47" t="n"/>
      <c r="G210" s="47" t="n"/>
      <c r="H210" s="49" t="n"/>
      <c r="I210" s="112" t="n"/>
      <c r="J210" s="47" t="n"/>
      <c r="K210" s="47" t="n"/>
    </row>
    <row r="211">
      <c r="A211" s="40" t="n"/>
      <c r="B211" s="43">
        <f>IFERROR(INDEX(الموظفون_الاسم,MATCH($A211,الموظفون_الرقم,0)),"")</f>
        <v/>
      </c>
      <c r="C211" s="40" t="n"/>
      <c r="D211" s="40" t="n"/>
      <c r="E211" s="110" t="n"/>
      <c r="F211" s="40" t="n"/>
      <c r="G211" s="40" t="n"/>
      <c r="H211" s="42" t="n"/>
      <c r="I211" s="110" t="n"/>
      <c r="J211" s="40" t="n"/>
      <c r="K211" s="40" t="n"/>
    </row>
    <row r="212">
      <c r="A212" s="47" t="n"/>
      <c r="B212" s="50">
        <f>IFERROR(INDEX(الموظفون_الاسم,MATCH($A212,الموظفون_الرقم,0)),"")</f>
        <v/>
      </c>
      <c r="C212" s="47" t="n"/>
      <c r="D212" s="47" t="n"/>
      <c r="E212" s="112" t="n"/>
      <c r="F212" s="47" t="n"/>
      <c r="G212" s="47" t="n"/>
      <c r="H212" s="49" t="n"/>
      <c r="I212" s="112" t="n"/>
      <c r="J212" s="47" t="n"/>
      <c r="K212" s="47" t="n"/>
    </row>
    <row r="213">
      <c r="A213" s="40" t="n"/>
      <c r="B213" s="43">
        <f>IFERROR(INDEX(الموظفون_الاسم,MATCH($A213,الموظفون_الرقم,0)),"")</f>
        <v/>
      </c>
      <c r="C213" s="40" t="n"/>
      <c r="D213" s="40" t="n"/>
      <c r="E213" s="110" t="n"/>
      <c r="F213" s="40" t="n"/>
      <c r="G213" s="40" t="n"/>
      <c r="H213" s="42" t="n"/>
      <c r="I213" s="110" t="n"/>
      <c r="J213" s="40" t="n"/>
      <c r="K213" s="40" t="n"/>
    </row>
    <row r="214">
      <c r="A214" s="47" t="n"/>
      <c r="B214" s="50">
        <f>IFERROR(INDEX(الموظفون_الاسم,MATCH($A214,الموظفون_الرقم,0)),"")</f>
        <v/>
      </c>
      <c r="C214" s="47" t="n"/>
      <c r="D214" s="47" t="n"/>
      <c r="E214" s="112" t="n"/>
      <c r="F214" s="47" t="n"/>
      <c r="G214" s="47" t="n"/>
      <c r="H214" s="49" t="n"/>
      <c r="I214" s="112" t="n"/>
      <c r="J214" s="47" t="n"/>
      <c r="K214" s="47" t="n"/>
    </row>
    <row r="215">
      <c r="A215" s="40" t="n"/>
      <c r="B215" s="43">
        <f>IFERROR(INDEX(الموظفون_الاسم,MATCH($A215,الموظفون_الرقم,0)),"")</f>
        <v/>
      </c>
      <c r="C215" s="40" t="n"/>
      <c r="D215" s="40" t="n"/>
      <c r="E215" s="110" t="n"/>
      <c r="F215" s="40" t="n"/>
      <c r="G215" s="40" t="n"/>
      <c r="H215" s="42" t="n"/>
      <c r="I215" s="110" t="n"/>
      <c r="J215" s="40" t="n"/>
      <c r="K215" s="40" t="n"/>
    </row>
    <row r="216">
      <c r="A216" s="47" t="n"/>
      <c r="B216" s="50">
        <f>IFERROR(INDEX(الموظفون_الاسم,MATCH($A216,الموظفون_الرقم,0)),"")</f>
        <v/>
      </c>
      <c r="C216" s="47" t="n"/>
      <c r="D216" s="47" t="n"/>
      <c r="E216" s="112" t="n"/>
      <c r="F216" s="47" t="n"/>
      <c r="G216" s="47" t="n"/>
      <c r="H216" s="49" t="n"/>
      <c r="I216" s="112" t="n"/>
      <c r="J216" s="47" t="n"/>
      <c r="K216" s="47" t="n"/>
    </row>
    <row r="217">
      <c r="A217" s="40" t="n"/>
      <c r="B217" s="43">
        <f>IFERROR(INDEX(الموظفون_الاسم,MATCH($A217,الموظفون_الرقم,0)),"")</f>
        <v/>
      </c>
      <c r="C217" s="40" t="n"/>
      <c r="D217" s="40" t="n"/>
      <c r="E217" s="110" t="n"/>
      <c r="F217" s="40" t="n"/>
      <c r="G217" s="40" t="n"/>
      <c r="H217" s="42" t="n"/>
      <c r="I217" s="110" t="n"/>
      <c r="J217" s="40" t="n"/>
      <c r="K217" s="40" t="n"/>
    </row>
    <row r="218">
      <c r="A218" s="47" t="n"/>
      <c r="B218" s="50">
        <f>IFERROR(INDEX(الموظفون_الاسم,MATCH($A218,الموظفون_الرقم,0)),"")</f>
        <v/>
      </c>
      <c r="C218" s="47" t="n"/>
      <c r="D218" s="47" t="n"/>
      <c r="E218" s="112" t="n"/>
      <c r="F218" s="47" t="n"/>
      <c r="G218" s="47" t="n"/>
      <c r="H218" s="49" t="n"/>
      <c r="I218" s="112" t="n"/>
      <c r="J218" s="47" t="n"/>
      <c r="K218" s="47" t="n"/>
    </row>
    <row r="219">
      <c r="A219" s="40" t="n"/>
      <c r="B219" s="43">
        <f>IFERROR(INDEX(الموظفون_الاسم,MATCH($A219,الموظفون_الرقم,0)),"")</f>
        <v/>
      </c>
      <c r="C219" s="40" t="n"/>
      <c r="D219" s="40" t="n"/>
      <c r="E219" s="110" t="n"/>
      <c r="F219" s="40" t="n"/>
      <c r="G219" s="40" t="n"/>
      <c r="H219" s="42" t="n"/>
      <c r="I219" s="110" t="n"/>
      <c r="J219" s="40" t="n"/>
      <c r="K219" s="40" t="n"/>
    </row>
    <row r="220">
      <c r="A220" s="47" t="n"/>
      <c r="B220" s="50">
        <f>IFERROR(INDEX(الموظفون_الاسم,MATCH($A220,الموظفون_الرقم,0)),"")</f>
        <v/>
      </c>
      <c r="C220" s="47" t="n"/>
      <c r="D220" s="47" t="n"/>
      <c r="E220" s="112" t="n"/>
      <c r="F220" s="47" t="n"/>
      <c r="G220" s="47" t="n"/>
      <c r="H220" s="49" t="n"/>
      <c r="I220" s="112" t="n"/>
      <c r="J220" s="47" t="n"/>
      <c r="K220" s="47" t="n"/>
    </row>
    <row r="221">
      <c r="A221" s="40" t="n"/>
      <c r="B221" s="43">
        <f>IFERROR(INDEX(الموظفون_الاسم,MATCH($A221,الموظفون_الرقم,0)),"")</f>
        <v/>
      </c>
      <c r="C221" s="40" t="n"/>
      <c r="D221" s="40" t="n"/>
      <c r="E221" s="110" t="n"/>
      <c r="F221" s="40" t="n"/>
      <c r="G221" s="40" t="n"/>
      <c r="H221" s="42" t="n"/>
      <c r="I221" s="110" t="n"/>
      <c r="J221" s="40" t="n"/>
      <c r="K221" s="40" t="n"/>
    </row>
    <row r="222">
      <c r="A222" s="47" t="n"/>
      <c r="B222" s="50">
        <f>IFERROR(INDEX(الموظفون_الاسم,MATCH($A222,الموظفون_الرقم,0)),"")</f>
        <v/>
      </c>
      <c r="C222" s="47" t="n"/>
      <c r="D222" s="47" t="n"/>
      <c r="E222" s="112" t="n"/>
      <c r="F222" s="47" t="n"/>
      <c r="G222" s="47" t="n"/>
      <c r="H222" s="49" t="n"/>
      <c r="I222" s="112" t="n"/>
      <c r="J222" s="47" t="n"/>
      <c r="K222" s="47" t="n"/>
    </row>
    <row r="223">
      <c r="A223" s="40" t="n"/>
      <c r="B223" s="43">
        <f>IFERROR(INDEX(الموظفون_الاسم,MATCH($A223,الموظفون_الرقم,0)),"")</f>
        <v/>
      </c>
      <c r="C223" s="40" t="n"/>
      <c r="D223" s="40" t="n"/>
      <c r="E223" s="110" t="n"/>
      <c r="F223" s="40" t="n"/>
      <c r="G223" s="40" t="n"/>
      <c r="H223" s="42" t="n"/>
      <c r="I223" s="110" t="n"/>
      <c r="J223" s="40" t="n"/>
      <c r="K223" s="40" t="n"/>
    </row>
    <row r="224">
      <c r="A224" s="47" t="n"/>
      <c r="B224" s="50">
        <f>IFERROR(INDEX(الموظفون_الاسم,MATCH($A224,الموظفون_الرقم,0)),"")</f>
        <v/>
      </c>
      <c r="C224" s="47" t="n"/>
      <c r="D224" s="47" t="n"/>
      <c r="E224" s="112" t="n"/>
      <c r="F224" s="47" t="n"/>
      <c r="G224" s="47" t="n"/>
      <c r="H224" s="49" t="n"/>
      <c r="I224" s="112" t="n"/>
      <c r="J224" s="47" t="n"/>
      <c r="K224" s="47" t="n"/>
    </row>
    <row r="225">
      <c r="A225" s="40" t="n"/>
      <c r="B225" s="43">
        <f>IFERROR(INDEX(الموظفون_الاسم,MATCH($A225,الموظفون_الرقم,0)),"")</f>
        <v/>
      </c>
      <c r="C225" s="40" t="n"/>
      <c r="D225" s="40" t="n"/>
      <c r="E225" s="110" t="n"/>
      <c r="F225" s="40" t="n"/>
      <c r="G225" s="40" t="n"/>
      <c r="H225" s="42" t="n"/>
      <c r="I225" s="110" t="n"/>
      <c r="J225" s="40" t="n"/>
      <c r="K225" s="40" t="n"/>
    </row>
    <row r="226">
      <c r="A226" s="47" t="n"/>
      <c r="B226" s="50">
        <f>IFERROR(INDEX(الموظفون_الاسم,MATCH($A226,الموظفون_الرقم,0)),"")</f>
        <v/>
      </c>
      <c r="C226" s="47" t="n"/>
      <c r="D226" s="47" t="n"/>
      <c r="E226" s="112" t="n"/>
      <c r="F226" s="47" t="n"/>
      <c r="G226" s="47" t="n"/>
      <c r="H226" s="49" t="n"/>
      <c r="I226" s="112" t="n"/>
      <c r="J226" s="47" t="n"/>
      <c r="K226" s="47" t="n"/>
    </row>
    <row r="227">
      <c r="A227" s="40" t="n"/>
      <c r="B227" s="43">
        <f>IFERROR(INDEX(الموظفون_الاسم,MATCH($A227,الموظفون_الرقم,0)),"")</f>
        <v/>
      </c>
      <c r="C227" s="40" t="n"/>
      <c r="D227" s="40" t="n"/>
      <c r="E227" s="110" t="n"/>
      <c r="F227" s="40" t="n"/>
      <c r="G227" s="40" t="n"/>
      <c r="H227" s="42" t="n"/>
      <c r="I227" s="110" t="n"/>
      <c r="J227" s="40" t="n"/>
      <c r="K227" s="40" t="n"/>
    </row>
    <row r="228">
      <c r="A228" s="47" t="n"/>
      <c r="B228" s="50">
        <f>IFERROR(INDEX(الموظفون_الاسم,MATCH($A228,الموظفون_الرقم,0)),"")</f>
        <v/>
      </c>
      <c r="C228" s="47" t="n"/>
      <c r="D228" s="47" t="n"/>
      <c r="E228" s="112" t="n"/>
      <c r="F228" s="47" t="n"/>
      <c r="G228" s="47" t="n"/>
      <c r="H228" s="49" t="n"/>
      <c r="I228" s="112" t="n"/>
      <c r="J228" s="47" t="n"/>
      <c r="K228" s="47" t="n"/>
    </row>
    <row r="229">
      <c r="A229" s="40" t="n"/>
      <c r="B229" s="43">
        <f>IFERROR(INDEX(الموظفون_الاسم,MATCH($A229,الموظفون_الرقم,0)),"")</f>
        <v/>
      </c>
      <c r="C229" s="40" t="n"/>
      <c r="D229" s="40" t="n"/>
      <c r="E229" s="110" t="n"/>
      <c r="F229" s="40" t="n"/>
      <c r="G229" s="40" t="n"/>
      <c r="H229" s="42" t="n"/>
      <c r="I229" s="110" t="n"/>
      <c r="J229" s="40" t="n"/>
      <c r="K229" s="40" t="n"/>
    </row>
    <row r="230">
      <c r="A230" s="47" t="n"/>
      <c r="B230" s="50">
        <f>IFERROR(INDEX(الموظفون_الاسم,MATCH($A230,الموظفون_الرقم,0)),"")</f>
        <v/>
      </c>
      <c r="C230" s="47" t="n"/>
      <c r="D230" s="47" t="n"/>
      <c r="E230" s="112" t="n"/>
      <c r="F230" s="47" t="n"/>
      <c r="G230" s="47" t="n"/>
      <c r="H230" s="49" t="n"/>
      <c r="I230" s="112" t="n"/>
      <c r="J230" s="47" t="n"/>
      <c r="K230" s="47" t="n"/>
    </row>
    <row r="231">
      <c r="A231" s="40" t="n"/>
      <c r="B231" s="43">
        <f>IFERROR(INDEX(الموظفون_الاسم,MATCH($A231,الموظفون_الرقم,0)),"")</f>
        <v/>
      </c>
      <c r="C231" s="40" t="n"/>
      <c r="D231" s="40" t="n"/>
      <c r="E231" s="110" t="n"/>
      <c r="F231" s="40" t="n"/>
      <c r="G231" s="40" t="n"/>
      <c r="H231" s="42" t="n"/>
      <c r="I231" s="110" t="n"/>
      <c r="J231" s="40" t="n"/>
      <c r="K231" s="40" t="n"/>
    </row>
    <row r="232">
      <c r="A232" s="47" t="n"/>
      <c r="B232" s="50">
        <f>IFERROR(INDEX(الموظفون_الاسم,MATCH($A232,الموظفون_الرقم,0)),"")</f>
        <v/>
      </c>
      <c r="C232" s="47" t="n"/>
      <c r="D232" s="47" t="n"/>
      <c r="E232" s="112" t="n"/>
      <c r="F232" s="47" t="n"/>
      <c r="G232" s="47" t="n"/>
      <c r="H232" s="49" t="n"/>
      <c r="I232" s="112" t="n"/>
      <c r="J232" s="47" t="n"/>
      <c r="K232" s="47" t="n"/>
    </row>
    <row r="233">
      <c r="A233" s="40" t="n"/>
      <c r="B233" s="43">
        <f>IFERROR(INDEX(الموظفون_الاسم,MATCH($A233,الموظفون_الرقم,0)),"")</f>
        <v/>
      </c>
      <c r="C233" s="40" t="n"/>
      <c r="D233" s="40" t="n"/>
      <c r="E233" s="110" t="n"/>
      <c r="F233" s="40" t="n"/>
      <c r="G233" s="40" t="n"/>
      <c r="H233" s="42" t="n"/>
      <c r="I233" s="110" t="n"/>
      <c r="J233" s="40" t="n"/>
      <c r="K233" s="40" t="n"/>
    </row>
    <row r="234">
      <c r="A234" s="47" t="n"/>
      <c r="B234" s="50">
        <f>IFERROR(INDEX(الموظفون_الاسم,MATCH($A234,الموظفون_الرقم,0)),"")</f>
        <v/>
      </c>
      <c r="C234" s="47" t="n"/>
      <c r="D234" s="47" t="n"/>
      <c r="E234" s="112" t="n"/>
      <c r="F234" s="47" t="n"/>
      <c r="G234" s="47" t="n"/>
      <c r="H234" s="49" t="n"/>
      <c r="I234" s="112" t="n"/>
      <c r="J234" s="47" t="n"/>
      <c r="K234" s="47" t="n"/>
    </row>
    <row r="235">
      <c r="A235" s="40" t="n"/>
      <c r="B235" s="43">
        <f>IFERROR(INDEX(الموظفون_الاسم,MATCH($A235,الموظفون_الرقم,0)),"")</f>
        <v/>
      </c>
      <c r="C235" s="40" t="n"/>
      <c r="D235" s="40" t="n"/>
      <c r="E235" s="110" t="n"/>
      <c r="F235" s="40" t="n"/>
      <c r="G235" s="40" t="n"/>
      <c r="H235" s="42" t="n"/>
      <c r="I235" s="110" t="n"/>
      <c r="J235" s="40" t="n"/>
      <c r="K235" s="40" t="n"/>
    </row>
    <row r="236">
      <c r="A236" s="47" t="n"/>
      <c r="B236" s="50">
        <f>IFERROR(INDEX(الموظفون_الاسم,MATCH($A236,الموظفون_الرقم,0)),"")</f>
        <v/>
      </c>
      <c r="C236" s="47" t="n"/>
      <c r="D236" s="47" t="n"/>
      <c r="E236" s="112" t="n"/>
      <c r="F236" s="47" t="n"/>
      <c r="G236" s="47" t="n"/>
      <c r="H236" s="49" t="n"/>
      <c r="I236" s="112" t="n"/>
      <c r="J236" s="47" t="n"/>
      <c r="K236" s="47" t="n"/>
    </row>
    <row r="237">
      <c r="A237" s="40" t="n"/>
      <c r="B237" s="43">
        <f>IFERROR(INDEX(الموظفون_الاسم,MATCH($A237,الموظفون_الرقم,0)),"")</f>
        <v/>
      </c>
      <c r="C237" s="40" t="n"/>
      <c r="D237" s="40" t="n"/>
      <c r="E237" s="110" t="n"/>
      <c r="F237" s="40" t="n"/>
      <c r="G237" s="40" t="n"/>
      <c r="H237" s="42" t="n"/>
      <c r="I237" s="110" t="n"/>
      <c r="J237" s="40" t="n"/>
      <c r="K237" s="40" t="n"/>
    </row>
    <row r="238">
      <c r="A238" s="47" t="n"/>
      <c r="B238" s="50">
        <f>IFERROR(INDEX(الموظفون_الاسم,MATCH($A238,الموظفون_الرقم,0)),"")</f>
        <v/>
      </c>
      <c r="C238" s="47" t="n"/>
      <c r="D238" s="47" t="n"/>
      <c r="E238" s="112" t="n"/>
      <c r="F238" s="47" t="n"/>
      <c r="G238" s="47" t="n"/>
      <c r="H238" s="49" t="n"/>
      <c r="I238" s="112" t="n"/>
      <c r="J238" s="47" t="n"/>
      <c r="K238" s="47" t="n"/>
    </row>
    <row r="239">
      <c r="A239" s="40" t="n"/>
      <c r="B239" s="43">
        <f>IFERROR(INDEX(الموظفون_الاسم,MATCH($A239,الموظفون_الرقم,0)),"")</f>
        <v/>
      </c>
      <c r="C239" s="40" t="n"/>
      <c r="D239" s="40" t="n"/>
      <c r="E239" s="110" t="n"/>
      <c r="F239" s="40" t="n"/>
      <c r="G239" s="40" t="n"/>
      <c r="H239" s="42" t="n"/>
      <c r="I239" s="110" t="n"/>
      <c r="J239" s="40" t="n"/>
      <c r="K239" s="40" t="n"/>
    </row>
    <row r="240">
      <c r="A240" s="47" t="n"/>
      <c r="B240" s="50">
        <f>IFERROR(INDEX(الموظفون_الاسم,MATCH($A240,الموظفون_الرقم,0)),"")</f>
        <v/>
      </c>
      <c r="C240" s="47" t="n"/>
      <c r="D240" s="47" t="n"/>
      <c r="E240" s="112" t="n"/>
      <c r="F240" s="47" t="n"/>
      <c r="G240" s="47" t="n"/>
      <c r="H240" s="49" t="n"/>
      <c r="I240" s="112" t="n"/>
      <c r="J240" s="47" t="n"/>
      <c r="K240" s="47" t="n"/>
    </row>
    <row r="241">
      <c r="A241" s="40" t="n"/>
      <c r="B241" s="43">
        <f>IFERROR(INDEX(الموظفون_الاسم,MATCH($A241,الموظفون_الرقم,0)),"")</f>
        <v/>
      </c>
      <c r="C241" s="40" t="n"/>
      <c r="D241" s="40" t="n"/>
      <c r="E241" s="110" t="n"/>
      <c r="F241" s="40" t="n"/>
      <c r="G241" s="40" t="n"/>
      <c r="H241" s="42" t="n"/>
      <c r="I241" s="110" t="n"/>
      <c r="J241" s="40" t="n"/>
      <c r="K241" s="40" t="n"/>
    </row>
    <row r="242">
      <c r="A242" s="47" t="n"/>
      <c r="B242" s="50">
        <f>IFERROR(INDEX(الموظفون_الاسم,MATCH($A242,الموظفون_الرقم,0)),"")</f>
        <v/>
      </c>
      <c r="C242" s="47" t="n"/>
      <c r="D242" s="47" t="n"/>
      <c r="E242" s="112" t="n"/>
      <c r="F242" s="47" t="n"/>
      <c r="G242" s="47" t="n"/>
      <c r="H242" s="49" t="n"/>
      <c r="I242" s="112" t="n"/>
      <c r="J242" s="47" t="n"/>
      <c r="K242" s="47" t="n"/>
    </row>
    <row r="243">
      <c r="A243" s="40" t="n"/>
      <c r="B243" s="43">
        <f>IFERROR(INDEX(الموظفون_الاسم,MATCH($A243,الموظفون_الرقم,0)),"")</f>
        <v/>
      </c>
      <c r="C243" s="40" t="n"/>
      <c r="D243" s="40" t="n"/>
      <c r="E243" s="110" t="n"/>
      <c r="F243" s="40" t="n"/>
      <c r="G243" s="40" t="n"/>
      <c r="H243" s="42" t="n"/>
      <c r="I243" s="110" t="n"/>
      <c r="J243" s="40" t="n"/>
      <c r="K243" s="40" t="n"/>
    </row>
    <row r="244">
      <c r="A244" s="47" t="n"/>
      <c r="B244" s="50">
        <f>IFERROR(INDEX(الموظفون_الاسم,MATCH($A244,الموظفون_الرقم,0)),"")</f>
        <v/>
      </c>
      <c r="C244" s="47" t="n"/>
      <c r="D244" s="47" t="n"/>
      <c r="E244" s="112" t="n"/>
      <c r="F244" s="47" t="n"/>
      <c r="G244" s="47" t="n"/>
      <c r="H244" s="49" t="n"/>
      <c r="I244" s="112" t="n"/>
      <c r="J244" s="47" t="n"/>
      <c r="K244" s="47" t="n"/>
    </row>
    <row r="245">
      <c r="A245" s="40" t="n"/>
      <c r="B245" s="43">
        <f>IFERROR(INDEX(الموظفون_الاسم,MATCH($A245,الموظفون_الرقم,0)),"")</f>
        <v/>
      </c>
      <c r="C245" s="40" t="n"/>
      <c r="D245" s="40" t="n"/>
      <c r="E245" s="110" t="n"/>
      <c r="F245" s="40" t="n"/>
      <c r="G245" s="40" t="n"/>
      <c r="H245" s="42" t="n"/>
      <c r="I245" s="110" t="n"/>
      <c r="J245" s="40" t="n"/>
      <c r="K245" s="40" t="n"/>
    </row>
    <row r="246">
      <c r="A246" s="47" t="n"/>
      <c r="B246" s="50">
        <f>IFERROR(INDEX(الموظفون_الاسم,MATCH($A246,الموظفون_الرقم,0)),"")</f>
        <v/>
      </c>
      <c r="C246" s="47" t="n"/>
      <c r="D246" s="47" t="n"/>
      <c r="E246" s="112" t="n"/>
      <c r="F246" s="47" t="n"/>
      <c r="G246" s="47" t="n"/>
      <c r="H246" s="49" t="n"/>
      <c r="I246" s="112" t="n"/>
      <c r="J246" s="47" t="n"/>
      <c r="K246" s="47" t="n"/>
    </row>
    <row r="247">
      <c r="A247" s="40" t="n"/>
      <c r="B247" s="43">
        <f>IFERROR(INDEX(الموظفون_الاسم,MATCH($A247,الموظفون_الرقم,0)),"")</f>
        <v/>
      </c>
      <c r="C247" s="40" t="n"/>
      <c r="D247" s="40" t="n"/>
      <c r="E247" s="110" t="n"/>
      <c r="F247" s="40" t="n"/>
      <c r="G247" s="40" t="n"/>
      <c r="H247" s="42" t="n"/>
      <c r="I247" s="110" t="n"/>
      <c r="J247" s="40" t="n"/>
      <c r="K247" s="40" t="n"/>
    </row>
    <row r="248">
      <c r="A248" s="47" t="n"/>
      <c r="B248" s="50">
        <f>IFERROR(INDEX(الموظفون_الاسم,MATCH($A248,الموظفون_الرقم,0)),"")</f>
        <v/>
      </c>
      <c r="C248" s="47" t="n"/>
      <c r="D248" s="47" t="n"/>
      <c r="E248" s="112" t="n"/>
      <c r="F248" s="47" t="n"/>
      <c r="G248" s="47" t="n"/>
      <c r="H248" s="49" t="n"/>
      <c r="I248" s="112" t="n"/>
      <c r="J248" s="47" t="n"/>
      <c r="K248" s="47" t="n"/>
    </row>
    <row r="249">
      <c r="A249" s="40" t="n"/>
      <c r="B249" s="43">
        <f>IFERROR(INDEX(الموظفون_الاسم,MATCH($A249,الموظفون_الرقم,0)),"")</f>
        <v/>
      </c>
      <c r="C249" s="40" t="n"/>
      <c r="D249" s="40" t="n"/>
      <c r="E249" s="110" t="n"/>
      <c r="F249" s="40" t="n"/>
      <c r="G249" s="40" t="n"/>
      <c r="H249" s="42" t="n"/>
      <c r="I249" s="110" t="n"/>
      <c r="J249" s="40" t="n"/>
      <c r="K249" s="40" t="n"/>
    </row>
    <row r="250">
      <c r="A250" s="47" t="n"/>
      <c r="B250" s="50">
        <f>IFERROR(INDEX(الموظفون_الاسم,MATCH($A250,الموظفون_الرقم,0)),"")</f>
        <v/>
      </c>
      <c r="C250" s="47" t="n"/>
      <c r="D250" s="47" t="n"/>
      <c r="E250" s="112" t="n"/>
      <c r="F250" s="47" t="n"/>
      <c r="G250" s="47" t="n"/>
      <c r="H250" s="49" t="n"/>
      <c r="I250" s="112" t="n"/>
      <c r="J250" s="47" t="n"/>
      <c r="K250" s="47" t="n"/>
    </row>
    <row r="251">
      <c r="A251" s="40" t="n"/>
      <c r="B251" s="43">
        <f>IFERROR(INDEX(الموظفون_الاسم,MATCH($A251,الموظفون_الرقم,0)),"")</f>
        <v/>
      </c>
      <c r="C251" s="40" t="n"/>
      <c r="D251" s="40" t="n"/>
      <c r="E251" s="110" t="n"/>
      <c r="F251" s="40" t="n"/>
      <c r="G251" s="40" t="n"/>
      <c r="H251" s="42" t="n"/>
      <c r="I251" s="110" t="n"/>
      <c r="J251" s="40" t="n"/>
      <c r="K251" s="40" t="n"/>
    </row>
    <row r="252">
      <c r="A252" s="47" t="n"/>
      <c r="B252" s="50">
        <f>IFERROR(INDEX(الموظفون_الاسم,MATCH($A252,الموظفون_الرقم,0)),"")</f>
        <v/>
      </c>
      <c r="C252" s="47" t="n"/>
      <c r="D252" s="47" t="n"/>
      <c r="E252" s="112" t="n"/>
      <c r="F252" s="47" t="n"/>
      <c r="G252" s="47" t="n"/>
      <c r="H252" s="49" t="n"/>
      <c r="I252" s="112" t="n"/>
      <c r="J252" s="47" t="n"/>
      <c r="K252" s="47" t="n"/>
    </row>
    <row r="253">
      <c r="A253" s="40" t="n"/>
      <c r="B253" s="43">
        <f>IFERROR(INDEX(الموظفون_الاسم,MATCH($A253,الموظفون_الرقم,0)),"")</f>
        <v/>
      </c>
      <c r="C253" s="40" t="n"/>
      <c r="D253" s="40" t="n"/>
      <c r="E253" s="110" t="n"/>
      <c r="F253" s="40" t="n"/>
      <c r="G253" s="40" t="n"/>
      <c r="H253" s="42" t="n"/>
      <c r="I253" s="110" t="n"/>
      <c r="J253" s="40" t="n"/>
      <c r="K253" s="40" t="n"/>
    </row>
    <row r="254">
      <c r="A254" s="47" t="n"/>
      <c r="B254" s="50">
        <f>IFERROR(INDEX(الموظفون_الاسم,MATCH($A254,الموظفون_الرقم,0)),"")</f>
        <v/>
      </c>
      <c r="C254" s="47" t="n"/>
      <c r="D254" s="47" t="n"/>
      <c r="E254" s="112" t="n"/>
      <c r="F254" s="47" t="n"/>
      <c r="G254" s="47" t="n"/>
      <c r="H254" s="49" t="n"/>
      <c r="I254" s="112" t="n"/>
      <c r="J254" s="47" t="n"/>
      <c r="K254" s="47" t="n"/>
    </row>
    <row r="255">
      <c r="A255" s="40" t="n"/>
      <c r="B255" s="43">
        <f>IFERROR(INDEX(الموظفون_الاسم,MATCH($A255,الموظفون_الرقم,0)),"")</f>
        <v/>
      </c>
      <c r="C255" s="40" t="n"/>
      <c r="D255" s="40" t="n"/>
      <c r="E255" s="110" t="n"/>
      <c r="F255" s="40" t="n"/>
      <c r="G255" s="40" t="n"/>
      <c r="H255" s="42" t="n"/>
      <c r="I255" s="110" t="n"/>
      <c r="J255" s="40" t="n"/>
      <c r="K255" s="40" t="n"/>
    </row>
    <row r="256">
      <c r="A256" s="47" t="n"/>
      <c r="B256" s="50">
        <f>IFERROR(INDEX(الموظفون_الاسم,MATCH($A256,الموظفون_الرقم,0)),"")</f>
        <v/>
      </c>
      <c r="C256" s="47" t="n"/>
      <c r="D256" s="47" t="n"/>
      <c r="E256" s="112" t="n"/>
      <c r="F256" s="47" t="n"/>
      <c r="G256" s="47" t="n"/>
      <c r="H256" s="49" t="n"/>
      <c r="I256" s="112" t="n"/>
      <c r="J256" s="47" t="n"/>
      <c r="K256" s="47" t="n"/>
    </row>
    <row r="257">
      <c r="A257" s="40" t="n"/>
      <c r="B257" s="43">
        <f>IFERROR(INDEX(الموظفون_الاسم,MATCH($A257,الموظفون_الرقم,0)),"")</f>
        <v/>
      </c>
      <c r="C257" s="40" t="n"/>
      <c r="D257" s="40" t="n"/>
      <c r="E257" s="110" t="n"/>
      <c r="F257" s="40" t="n"/>
      <c r="G257" s="40" t="n"/>
      <c r="H257" s="42" t="n"/>
      <c r="I257" s="110" t="n"/>
      <c r="J257" s="40" t="n"/>
      <c r="K257" s="40" t="n"/>
    </row>
    <row r="258">
      <c r="A258" s="47" t="n"/>
      <c r="B258" s="50">
        <f>IFERROR(INDEX(الموظفون_الاسم,MATCH($A258,الموظفون_الرقم,0)),"")</f>
        <v/>
      </c>
      <c r="C258" s="47" t="n"/>
      <c r="D258" s="47" t="n"/>
      <c r="E258" s="112" t="n"/>
      <c r="F258" s="47" t="n"/>
      <c r="G258" s="47" t="n"/>
      <c r="H258" s="49" t="n"/>
      <c r="I258" s="112" t="n"/>
      <c r="J258" s="47" t="n"/>
      <c r="K258" s="47" t="n"/>
    </row>
    <row r="259">
      <c r="A259" s="40" t="n"/>
      <c r="B259" s="43">
        <f>IFERROR(INDEX(الموظفون_الاسم,MATCH($A259,الموظفون_الرقم,0)),"")</f>
        <v/>
      </c>
      <c r="C259" s="40" t="n"/>
      <c r="D259" s="40" t="n"/>
      <c r="E259" s="110" t="n"/>
      <c r="F259" s="40" t="n"/>
      <c r="G259" s="40" t="n"/>
      <c r="H259" s="42" t="n"/>
      <c r="I259" s="110" t="n"/>
      <c r="J259" s="40" t="n"/>
      <c r="K259" s="40" t="n"/>
    </row>
    <row r="260">
      <c r="A260" s="47" t="n"/>
      <c r="B260" s="50">
        <f>IFERROR(INDEX(الموظفون_الاسم,MATCH($A260,الموظفون_الرقم,0)),"")</f>
        <v/>
      </c>
      <c r="C260" s="47" t="n"/>
      <c r="D260" s="47" t="n"/>
      <c r="E260" s="112" t="n"/>
      <c r="F260" s="47" t="n"/>
      <c r="G260" s="47" t="n"/>
      <c r="H260" s="49" t="n"/>
      <c r="I260" s="112" t="n"/>
      <c r="J260" s="47" t="n"/>
      <c r="K260" s="47" t="n"/>
    </row>
    <row r="261">
      <c r="A261" s="40" t="n"/>
      <c r="B261" s="43">
        <f>IFERROR(INDEX(الموظفون_الاسم,MATCH($A261,الموظفون_الرقم,0)),"")</f>
        <v/>
      </c>
      <c r="C261" s="40" t="n"/>
      <c r="D261" s="40" t="n"/>
      <c r="E261" s="110" t="n"/>
      <c r="F261" s="40" t="n"/>
      <c r="G261" s="40" t="n"/>
      <c r="H261" s="42" t="n"/>
      <c r="I261" s="110" t="n"/>
      <c r="J261" s="40" t="n"/>
      <c r="K261" s="40" t="n"/>
    </row>
    <row r="262">
      <c r="A262" s="47" t="n"/>
      <c r="B262" s="50">
        <f>IFERROR(INDEX(الموظفون_الاسم,MATCH($A262,الموظفون_الرقم,0)),"")</f>
        <v/>
      </c>
      <c r="C262" s="47" t="n"/>
      <c r="D262" s="47" t="n"/>
      <c r="E262" s="112" t="n"/>
      <c r="F262" s="47" t="n"/>
      <c r="G262" s="47" t="n"/>
      <c r="H262" s="49" t="n"/>
      <c r="I262" s="112" t="n"/>
      <c r="J262" s="47" t="n"/>
      <c r="K262" s="47" t="n"/>
    </row>
    <row r="263">
      <c r="A263" s="40" t="n"/>
      <c r="B263" s="43">
        <f>IFERROR(INDEX(الموظفون_الاسم,MATCH($A263,الموظفون_الرقم,0)),"")</f>
        <v/>
      </c>
      <c r="C263" s="40" t="n"/>
      <c r="D263" s="40" t="n"/>
      <c r="E263" s="110" t="n"/>
      <c r="F263" s="40" t="n"/>
      <c r="G263" s="40" t="n"/>
      <c r="H263" s="42" t="n"/>
      <c r="I263" s="110" t="n"/>
      <c r="J263" s="40" t="n"/>
      <c r="K263" s="40" t="n"/>
    </row>
    <row r="264">
      <c r="A264" s="47" t="n"/>
      <c r="B264" s="50">
        <f>IFERROR(INDEX(الموظفون_الاسم,MATCH($A264,الموظفون_الرقم,0)),"")</f>
        <v/>
      </c>
      <c r="C264" s="47" t="n"/>
      <c r="D264" s="47" t="n"/>
      <c r="E264" s="112" t="n"/>
      <c r="F264" s="47" t="n"/>
      <c r="G264" s="47" t="n"/>
      <c r="H264" s="49" t="n"/>
      <c r="I264" s="112" t="n"/>
      <c r="J264" s="47" t="n"/>
      <c r="K264" s="47" t="n"/>
    </row>
    <row r="265">
      <c r="A265" s="40" t="n"/>
      <c r="B265" s="43">
        <f>IFERROR(INDEX(الموظفون_الاسم,MATCH($A265,الموظفون_الرقم,0)),"")</f>
        <v/>
      </c>
      <c r="C265" s="40" t="n"/>
      <c r="D265" s="40" t="n"/>
      <c r="E265" s="110" t="n"/>
      <c r="F265" s="40" t="n"/>
      <c r="G265" s="40" t="n"/>
      <c r="H265" s="42" t="n"/>
      <c r="I265" s="110" t="n"/>
      <c r="J265" s="40" t="n"/>
      <c r="K265" s="40" t="n"/>
    </row>
    <row r="266">
      <c r="A266" s="47" t="n"/>
      <c r="B266" s="50">
        <f>IFERROR(INDEX(الموظفون_الاسم,MATCH($A266,الموظفون_الرقم,0)),"")</f>
        <v/>
      </c>
      <c r="C266" s="47" t="n"/>
      <c r="D266" s="47" t="n"/>
      <c r="E266" s="112" t="n"/>
      <c r="F266" s="47" t="n"/>
      <c r="G266" s="47" t="n"/>
      <c r="H266" s="49" t="n"/>
      <c r="I266" s="112" t="n"/>
      <c r="J266" s="47" t="n"/>
      <c r="K266" s="47" t="n"/>
    </row>
    <row r="267">
      <c r="A267" s="40" t="n"/>
      <c r="B267" s="43">
        <f>IFERROR(INDEX(الموظفون_الاسم,MATCH($A267,الموظفون_الرقم,0)),"")</f>
        <v/>
      </c>
      <c r="C267" s="40" t="n"/>
      <c r="D267" s="40" t="n"/>
      <c r="E267" s="110" t="n"/>
      <c r="F267" s="40" t="n"/>
      <c r="G267" s="40" t="n"/>
      <c r="H267" s="42" t="n"/>
      <c r="I267" s="110" t="n"/>
      <c r="J267" s="40" t="n"/>
      <c r="K267" s="40" t="n"/>
    </row>
    <row r="268">
      <c r="A268" s="47" t="n"/>
      <c r="B268" s="50">
        <f>IFERROR(INDEX(الموظفون_الاسم,MATCH($A268,الموظفون_الرقم,0)),"")</f>
        <v/>
      </c>
      <c r="C268" s="47" t="n"/>
      <c r="D268" s="47" t="n"/>
      <c r="E268" s="112" t="n"/>
      <c r="F268" s="47" t="n"/>
      <c r="G268" s="47" t="n"/>
      <c r="H268" s="49" t="n"/>
      <c r="I268" s="112" t="n"/>
      <c r="J268" s="47" t="n"/>
      <c r="K268" s="47" t="n"/>
    </row>
    <row r="269">
      <c r="A269" s="40" t="n"/>
      <c r="B269" s="43">
        <f>IFERROR(INDEX(الموظفون_الاسم,MATCH($A269,الموظفون_الرقم,0)),"")</f>
        <v/>
      </c>
      <c r="C269" s="40" t="n"/>
      <c r="D269" s="40" t="n"/>
      <c r="E269" s="110" t="n"/>
      <c r="F269" s="40" t="n"/>
      <c r="G269" s="40" t="n"/>
      <c r="H269" s="42" t="n"/>
      <c r="I269" s="110" t="n"/>
      <c r="J269" s="40" t="n"/>
      <c r="K269" s="40" t="n"/>
    </row>
    <row r="270">
      <c r="A270" s="47" t="n"/>
      <c r="B270" s="50">
        <f>IFERROR(INDEX(الموظفون_الاسم,MATCH($A270,الموظفون_الرقم,0)),"")</f>
        <v/>
      </c>
      <c r="C270" s="47" t="n"/>
      <c r="D270" s="47" t="n"/>
      <c r="E270" s="112" t="n"/>
      <c r="F270" s="47" t="n"/>
      <c r="G270" s="47" t="n"/>
      <c r="H270" s="49" t="n"/>
      <c r="I270" s="112" t="n"/>
      <c r="J270" s="47" t="n"/>
      <c r="K270" s="47" t="n"/>
    </row>
    <row r="271">
      <c r="A271" s="40" t="n"/>
      <c r="B271" s="43">
        <f>IFERROR(INDEX(الموظفون_الاسم,MATCH($A271,الموظفون_الرقم,0)),"")</f>
        <v/>
      </c>
      <c r="C271" s="40" t="n"/>
      <c r="D271" s="40" t="n"/>
      <c r="E271" s="110" t="n"/>
      <c r="F271" s="40" t="n"/>
      <c r="G271" s="40" t="n"/>
      <c r="H271" s="42" t="n"/>
      <c r="I271" s="110" t="n"/>
      <c r="J271" s="40" t="n"/>
      <c r="K271" s="40" t="n"/>
    </row>
    <row r="272">
      <c r="A272" s="47" t="n"/>
      <c r="B272" s="50">
        <f>IFERROR(INDEX(الموظفون_الاسم,MATCH($A272,الموظفون_الرقم,0)),"")</f>
        <v/>
      </c>
      <c r="C272" s="47" t="n"/>
      <c r="D272" s="47" t="n"/>
      <c r="E272" s="112" t="n"/>
      <c r="F272" s="47" t="n"/>
      <c r="G272" s="47" t="n"/>
      <c r="H272" s="49" t="n"/>
      <c r="I272" s="112" t="n"/>
      <c r="J272" s="47" t="n"/>
      <c r="K272" s="47" t="n"/>
    </row>
    <row r="273">
      <c r="A273" s="40" t="n"/>
      <c r="B273" s="43">
        <f>IFERROR(INDEX(الموظفون_الاسم,MATCH($A273,الموظفون_الرقم,0)),"")</f>
        <v/>
      </c>
      <c r="C273" s="40" t="n"/>
      <c r="D273" s="40" t="n"/>
      <c r="E273" s="110" t="n"/>
      <c r="F273" s="40" t="n"/>
      <c r="G273" s="40" t="n"/>
      <c r="H273" s="42" t="n"/>
      <c r="I273" s="110" t="n"/>
      <c r="J273" s="40" t="n"/>
      <c r="K273" s="40" t="n"/>
    </row>
    <row r="274">
      <c r="A274" s="47" t="n"/>
      <c r="B274" s="50">
        <f>IFERROR(INDEX(الموظفون_الاسم,MATCH($A274,الموظفون_الرقم,0)),"")</f>
        <v/>
      </c>
      <c r="C274" s="47" t="n"/>
      <c r="D274" s="47" t="n"/>
      <c r="E274" s="112" t="n"/>
      <c r="F274" s="47" t="n"/>
      <c r="G274" s="47" t="n"/>
      <c r="H274" s="49" t="n"/>
      <c r="I274" s="112" t="n"/>
      <c r="J274" s="47" t="n"/>
      <c r="K274" s="47" t="n"/>
    </row>
    <row r="275">
      <c r="A275" s="40" t="n"/>
      <c r="B275" s="43">
        <f>IFERROR(INDEX(الموظفون_الاسم,MATCH($A275,الموظفون_الرقم,0)),"")</f>
        <v/>
      </c>
      <c r="C275" s="40" t="n"/>
      <c r="D275" s="40" t="n"/>
      <c r="E275" s="110" t="n"/>
      <c r="F275" s="40" t="n"/>
      <c r="G275" s="40" t="n"/>
      <c r="H275" s="42" t="n"/>
      <c r="I275" s="110" t="n"/>
      <c r="J275" s="40" t="n"/>
      <c r="K275" s="40" t="n"/>
    </row>
    <row r="276">
      <c r="A276" s="47" t="n"/>
      <c r="B276" s="50">
        <f>IFERROR(INDEX(الموظفون_الاسم,MATCH($A276,الموظفون_الرقم,0)),"")</f>
        <v/>
      </c>
      <c r="C276" s="47" t="n"/>
      <c r="D276" s="47" t="n"/>
      <c r="E276" s="112" t="n"/>
      <c r="F276" s="47" t="n"/>
      <c r="G276" s="47" t="n"/>
      <c r="H276" s="49" t="n"/>
      <c r="I276" s="112" t="n"/>
      <c r="J276" s="47" t="n"/>
      <c r="K276" s="47" t="n"/>
    </row>
    <row r="277">
      <c r="A277" s="40" t="n"/>
      <c r="B277" s="43">
        <f>IFERROR(INDEX(الموظفون_الاسم,MATCH($A277,الموظفون_الرقم,0)),"")</f>
        <v/>
      </c>
      <c r="C277" s="40" t="n"/>
      <c r="D277" s="40" t="n"/>
      <c r="E277" s="110" t="n"/>
      <c r="F277" s="40" t="n"/>
      <c r="G277" s="40" t="n"/>
      <c r="H277" s="42" t="n"/>
      <c r="I277" s="110" t="n"/>
      <c r="J277" s="40" t="n"/>
      <c r="K277" s="40" t="n"/>
    </row>
    <row r="278">
      <c r="A278" s="47" t="n"/>
      <c r="B278" s="50">
        <f>IFERROR(INDEX(الموظفون_الاسم,MATCH($A278,الموظفون_الرقم,0)),"")</f>
        <v/>
      </c>
      <c r="C278" s="47" t="n"/>
      <c r="D278" s="47" t="n"/>
      <c r="E278" s="112" t="n"/>
      <c r="F278" s="47" t="n"/>
      <c r="G278" s="47" t="n"/>
      <c r="H278" s="49" t="n"/>
      <c r="I278" s="112" t="n"/>
      <c r="J278" s="47" t="n"/>
      <c r="K278" s="47" t="n"/>
    </row>
    <row r="279">
      <c r="A279" s="40" t="n"/>
      <c r="B279" s="43">
        <f>IFERROR(INDEX(الموظفون_الاسم,MATCH($A279,الموظفون_الرقم,0)),"")</f>
        <v/>
      </c>
      <c r="C279" s="40" t="n"/>
      <c r="D279" s="40" t="n"/>
      <c r="E279" s="110" t="n"/>
      <c r="F279" s="40" t="n"/>
      <c r="G279" s="40" t="n"/>
      <c r="H279" s="42" t="n"/>
      <c r="I279" s="110" t="n"/>
      <c r="J279" s="40" t="n"/>
      <c r="K279" s="40" t="n"/>
    </row>
    <row r="280">
      <c r="A280" s="47" t="n"/>
      <c r="B280" s="50">
        <f>IFERROR(INDEX(الموظفون_الاسم,MATCH($A280,الموظفون_الرقم,0)),"")</f>
        <v/>
      </c>
      <c r="C280" s="47" t="n"/>
      <c r="D280" s="47" t="n"/>
      <c r="E280" s="112" t="n"/>
      <c r="F280" s="47" t="n"/>
      <c r="G280" s="47" t="n"/>
      <c r="H280" s="49" t="n"/>
      <c r="I280" s="112" t="n"/>
      <c r="J280" s="47" t="n"/>
      <c r="K280" s="47" t="n"/>
    </row>
    <row r="281">
      <c r="A281" s="40" t="n"/>
      <c r="B281" s="43">
        <f>IFERROR(INDEX(الموظفون_الاسم,MATCH($A281,الموظفون_الرقم,0)),"")</f>
        <v/>
      </c>
      <c r="C281" s="40" t="n"/>
      <c r="D281" s="40" t="n"/>
      <c r="E281" s="110" t="n"/>
      <c r="F281" s="40" t="n"/>
      <c r="G281" s="40" t="n"/>
      <c r="H281" s="42" t="n"/>
      <c r="I281" s="110" t="n"/>
      <c r="J281" s="40" t="n"/>
      <c r="K281" s="40" t="n"/>
    </row>
    <row r="282">
      <c r="A282" s="47" t="n"/>
      <c r="B282" s="50">
        <f>IFERROR(INDEX(الموظفون_الاسم,MATCH($A282,الموظفون_الرقم,0)),"")</f>
        <v/>
      </c>
      <c r="C282" s="47" t="n"/>
      <c r="D282" s="47" t="n"/>
      <c r="E282" s="112" t="n"/>
      <c r="F282" s="47" t="n"/>
      <c r="G282" s="47" t="n"/>
      <c r="H282" s="49" t="n"/>
      <c r="I282" s="112" t="n"/>
      <c r="J282" s="47" t="n"/>
      <c r="K282" s="47" t="n"/>
    </row>
    <row r="283">
      <c r="A283" s="40" t="n"/>
      <c r="B283" s="43">
        <f>IFERROR(INDEX(الموظفون_الاسم,MATCH($A283,الموظفون_الرقم,0)),"")</f>
        <v/>
      </c>
      <c r="C283" s="40" t="n"/>
      <c r="D283" s="40" t="n"/>
      <c r="E283" s="110" t="n"/>
      <c r="F283" s="40" t="n"/>
      <c r="G283" s="40" t="n"/>
      <c r="H283" s="42" t="n"/>
      <c r="I283" s="110" t="n"/>
      <c r="J283" s="40" t="n"/>
      <c r="K283" s="40" t="n"/>
    </row>
    <row r="284">
      <c r="A284" s="47" t="n"/>
      <c r="B284" s="50">
        <f>IFERROR(INDEX(الموظفون_الاسم,MATCH($A284,الموظفون_الرقم,0)),"")</f>
        <v/>
      </c>
      <c r="C284" s="47" t="n"/>
      <c r="D284" s="47" t="n"/>
      <c r="E284" s="112" t="n"/>
      <c r="F284" s="47" t="n"/>
      <c r="G284" s="47" t="n"/>
      <c r="H284" s="49" t="n"/>
      <c r="I284" s="112" t="n"/>
      <c r="J284" s="47" t="n"/>
      <c r="K284" s="47" t="n"/>
    </row>
    <row r="285">
      <c r="A285" s="40" t="n"/>
      <c r="B285" s="43">
        <f>IFERROR(INDEX(الموظفون_الاسم,MATCH($A285,الموظفون_الرقم,0)),"")</f>
        <v/>
      </c>
      <c r="C285" s="40" t="n"/>
      <c r="D285" s="40" t="n"/>
      <c r="E285" s="110" t="n"/>
      <c r="F285" s="40" t="n"/>
      <c r="G285" s="40" t="n"/>
      <c r="H285" s="42" t="n"/>
      <c r="I285" s="110" t="n"/>
      <c r="J285" s="40" t="n"/>
      <c r="K285" s="40" t="n"/>
    </row>
    <row r="286">
      <c r="A286" s="47" t="n"/>
      <c r="B286" s="50">
        <f>IFERROR(INDEX(الموظفون_الاسم,MATCH($A286,الموظفون_الرقم,0)),"")</f>
        <v/>
      </c>
      <c r="C286" s="47" t="n"/>
      <c r="D286" s="47" t="n"/>
      <c r="E286" s="112" t="n"/>
      <c r="F286" s="47" t="n"/>
      <c r="G286" s="47" t="n"/>
      <c r="H286" s="49" t="n"/>
      <c r="I286" s="112" t="n"/>
      <c r="J286" s="47" t="n"/>
      <c r="K286" s="47" t="n"/>
    </row>
    <row r="287">
      <c r="A287" s="40" t="n"/>
      <c r="B287" s="43">
        <f>IFERROR(INDEX(الموظفون_الاسم,MATCH($A287,الموظفون_الرقم,0)),"")</f>
        <v/>
      </c>
      <c r="C287" s="40" t="n"/>
      <c r="D287" s="40" t="n"/>
      <c r="E287" s="110" t="n"/>
      <c r="F287" s="40" t="n"/>
      <c r="G287" s="40" t="n"/>
      <c r="H287" s="42" t="n"/>
      <c r="I287" s="110" t="n"/>
      <c r="J287" s="40" t="n"/>
      <c r="K287" s="40" t="n"/>
    </row>
    <row r="288">
      <c r="A288" s="47" t="n"/>
      <c r="B288" s="50">
        <f>IFERROR(INDEX(الموظفون_الاسم,MATCH($A288,الموظفون_الرقم,0)),"")</f>
        <v/>
      </c>
      <c r="C288" s="47" t="n"/>
      <c r="D288" s="47" t="n"/>
      <c r="E288" s="112" t="n"/>
      <c r="F288" s="47" t="n"/>
      <c r="G288" s="47" t="n"/>
      <c r="H288" s="49" t="n"/>
      <c r="I288" s="112" t="n"/>
      <c r="J288" s="47" t="n"/>
      <c r="K288" s="47" t="n"/>
    </row>
    <row r="289">
      <c r="A289" s="40" t="n"/>
      <c r="B289" s="43">
        <f>IFERROR(INDEX(الموظفون_الاسم,MATCH($A289,الموظفون_الرقم,0)),"")</f>
        <v/>
      </c>
      <c r="C289" s="40" t="n"/>
      <c r="D289" s="40" t="n"/>
      <c r="E289" s="110" t="n"/>
      <c r="F289" s="40" t="n"/>
      <c r="G289" s="40" t="n"/>
      <c r="H289" s="42" t="n"/>
      <c r="I289" s="110" t="n"/>
      <c r="J289" s="40" t="n"/>
      <c r="K289" s="40" t="n"/>
    </row>
    <row r="290">
      <c r="A290" s="47" t="n"/>
      <c r="B290" s="50">
        <f>IFERROR(INDEX(الموظفون_الاسم,MATCH($A290,الموظفون_الرقم,0)),"")</f>
        <v/>
      </c>
      <c r="C290" s="47" t="n"/>
      <c r="D290" s="47" t="n"/>
      <c r="E290" s="112" t="n"/>
      <c r="F290" s="47" t="n"/>
      <c r="G290" s="47" t="n"/>
      <c r="H290" s="49" t="n"/>
      <c r="I290" s="112" t="n"/>
      <c r="J290" s="47" t="n"/>
      <c r="K290" s="47" t="n"/>
    </row>
    <row r="291">
      <c r="A291" s="40" t="n"/>
      <c r="B291" s="43">
        <f>IFERROR(INDEX(الموظفون_الاسم,MATCH($A291,الموظفون_الرقم,0)),"")</f>
        <v/>
      </c>
      <c r="C291" s="40" t="n"/>
      <c r="D291" s="40" t="n"/>
      <c r="E291" s="110" t="n"/>
      <c r="F291" s="40" t="n"/>
      <c r="G291" s="40" t="n"/>
      <c r="H291" s="42" t="n"/>
      <c r="I291" s="110" t="n"/>
      <c r="J291" s="40" t="n"/>
      <c r="K291" s="40" t="n"/>
    </row>
    <row r="292">
      <c r="A292" s="47" t="n"/>
      <c r="B292" s="50">
        <f>IFERROR(INDEX(الموظفون_الاسم,MATCH($A292,الموظفون_الرقم,0)),"")</f>
        <v/>
      </c>
      <c r="C292" s="47" t="n"/>
      <c r="D292" s="47" t="n"/>
      <c r="E292" s="112" t="n"/>
      <c r="F292" s="47" t="n"/>
      <c r="G292" s="47" t="n"/>
      <c r="H292" s="49" t="n"/>
      <c r="I292" s="112" t="n"/>
      <c r="J292" s="47" t="n"/>
      <c r="K292" s="47" t="n"/>
    </row>
    <row r="293">
      <c r="A293" s="40" t="n"/>
      <c r="B293" s="43">
        <f>IFERROR(INDEX(الموظفون_الاسم,MATCH($A293,الموظفون_الرقم,0)),"")</f>
        <v/>
      </c>
      <c r="C293" s="40" t="n"/>
      <c r="D293" s="40" t="n"/>
      <c r="E293" s="110" t="n"/>
      <c r="F293" s="40" t="n"/>
      <c r="G293" s="40" t="n"/>
      <c r="H293" s="42" t="n"/>
      <c r="I293" s="110" t="n"/>
      <c r="J293" s="40" t="n"/>
      <c r="K293" s="40" t="n"/>
    </row>
    <row r="294">
      <c r="A294" s="47" t="n"/>
      <c r="B294" s="50">
        <f>IFERROR(INDEX(الموظفون_الاسم,MATCH($A294,الموظفون_الرقم,0)),"")</f>
        <v/>
      </c>
      <c r="C294" s="47" t="n"/>
      <c r="D294" s="47" t="n"/>
      <c r="E294" s="112" t="n"/>
      <c r="F294" s="47" t="n"/>
      <c r="G294" s="47" t="n"/>
      <c r="H294" s="49" t="n"/>
      <c r="I294" s="112" t="n"/>
      <c r="J294" s="47" t="n"/>
      <c r="K294" s="47" t="n"/>
    </row>
    <row r="295">
      <c r="A295" s="40" t="n"/>
      <c r="B295" s="43">
        <f>IFERROR(INDEX(الموظفون_الاسم,MATCH($A295,الموظفون_الرقم,0)),"")</f>
        <v/>
      </c>
      <c r="C295" s="40" t="n"/>
      <c r="D295" s="40" t="n"/>
      <c r="E295" s="110" t="n"/>
      <c r="F295" s="40" t="n"/>
      <c r="G295" s="40" t="n"/>
      <c r="H295" s="42" t="n"/>
      <c r="I295" s="110" t="n"/>
      <c r="J295" s="40" t="n"/>
      <c r="K295" s="40" t="n"/>
    </row>
    <row r="296">
      <c r="A296" s="47" t="n"/>
      <c r="B296" s="50">
        <f>IFERROR(INDEX(الموظفون_الاسم,MATCH($A296,الموظفون_الرقم,0)),"")</f>
        <v/>
      </c>
      <c r="C296" s="47" t="n"/>
      <c r="D296" s="47" t="n"/>
      <c r="E296" s="112" t="n"/>
      <c r="F296" s="47" t="n"/>
      <c r="G296" s="47" t="n"/>
      <c r="H296" s="49" t="n"/>
      <c r="I296" s="112" t="n"/>
      <c r="J296" s="47" t="n"/>
      <c r="K296" s="47" t="n"/>
    </row>
    <row r="297">
      <c r="A297" s="40" t="n"/>
      <c r="B297" s="43">
        <f>IFERROR(INDEX(الموظفون_الاسم,MATCH($A297,الموظفون_الرقم,0)),"")</f>
        <v/>
      </c>
      <c r="C297" s="40" t="n"/>
      <c r="D297" s="40" t="n"/>
      <c r="E297" s="110" t="n"/>
      <c r="F297" s="40" t="n"/>
      <c r="G297" s="40" t="n"/>
      <c r="H297" s="42" t="n"/>
      <c r="I297" s="110" t="n"/>
      <c r="J297" s="40" t="n"/>
      <c r="K297" s="40" t="n"/>
    </row>
    <row r="298">
      <c r="A298" s="47" t="n"/>
      <c r="B298" s="50">
        <f>IFERROR(INDEX(الموظفون_الاسم,MATCH($A298,الموظفون_الرقم,0)),"")</f>
        <v/>
      </c>
      <c r="C298" s="47" t="n"/>
      <c r="D298" s="47" t="n"/>
      <c r="E298" s="112" t="n"/>
      <c r="F298" s="47" t="n"/>
      <c r="G298" s="47" t="n"/>
      <c r="H298" s="49" t="n"/>
      <c r="I298" s="112" t="n"/>
      <c r="J298" s="47" t="n"/>
      <c r="K298" s="47" t="n"/>
    </row>
    <row r="299">
      <c r="A299" s="40" t="n"/>
      <c r="B299" s="43">
        <f>IFERROR(INDEX(الموظفون_الاسم,MATCH($A299,الموظفون_الرقم,0)),"")</f>
        <v/>
      </c>
      <c r="C299" s="40" t="n"/>
      <c r="D299" s="40" t="n"/>
      <c r="E299" s="110" t="n"/>
      <c r="F299" s="40" t="n"/>
      <c r="G299" s="40" t="n"/>
      <c r="H299" s="42" t="n"/>
      <c r="I299" s="110" t="n"/>
      <c r="J299" s="40" t="n"/>
      <c r="K299" s="40" t="n"/>
    </row>
    <row r="300">
      <c r="A300" s="47" t="n"/>
      <c r="B300" s="50">
        <f>IFERROR(INDEX(الموظفون_الاسم,MATCH($A300,الموظفون_الرقم,0)),"")</f>
        <v/>
      </c>
      <c r="C300" s="47" t="n"/>
      <c r="D300" s="47" t="n"/>
      <c r="E300" s="112" t="n"/>
      <c r="F300" s="47" t="n"/>
      <c r="G300" s="47" t="n"/>
      <c r="H300" s="49" t="n"/>
      <c r="I300" s="112" t="n"/>
      <c r="J300" s="47" t="n"/>
      <c r="K300" s="47" t="n"/>
    </row>
    <row r="301">
      <c r="A301" s="40" t="n"/>
      <c r="B301" s="43">
        <f>IFERROR(INDEX(الموظفون_الاسم,MATCH($A301,الموظفون_الرقم,0)),"")</f>
        <v/>
      </c>
      <c r="C301" s="40" t="n"/>
      <c r="D301" s="40" t="n"/>
      <c r="E301" s="110" t="n"/>
      <c r="F301" s="40" t="n"/>
      <c r="G301" s="40" t="n"/>
      <c r="H301" s="42" t="n"/>
      <c r="I301" s="110" t="n"/>
      <c r="J301" s="40" t="n"/>
      <c r="K301" s="40" t="n"/>
    </row>
    <row r="302">
      <c r="A302" s="47" t="n"/>
      <c r="B302" s="50">
        <f>IFERROR(INDEX(الموظفون_الاسم,MATCH($A302,الموظفون_الرقم,0)),"")</f>
        <v/>
      </c>
      <c r="C302" s="47" t="n"/>
      <c r="D302" s="47" t="n"/>
      <c r="E302" s="112" t="n"/>
      <c r="F302" s="47" t="n"/>
      <c r="G302" s="47" t="n"/>
      <c r="H302" s="49" t="n"/>
      <c r="I302" s="112" t="n"/>
      <c r="J302" s="47" t="n"/>
      <c r="K302" s="47" t="n"/>
    </row>
    <row r="303">
      <c r="A303" s="40" t="n"/>
      <c r="B303" s="43">
        <f>IFERROR(INDEX(الموظفون_الاسم,MATCH($A303,الموظفون_الرقم,0)),"")</f>
        <v/>
      </c>
      <c r="C303" s="40" t="n"/>
      <c r="D303" s="40" t="n"/>
      <c r="E303" s="110" t="n"/>
      <c r="F303" s="40" t="n"/>
      <c r="G303" s="40" t="n"/>
      <c r="H303" s="42" t="n"/>
      <c r="I303" s="110" t="n"/>
      <c r="J303" s="40" t="n"/>
      <c r="K303" s="40" t="n"/>
    </row>
    <row r="304">
      <c r="A304" s="47" t="n"/>
      <c r="B304" s="50">
        <f>IFERROR(INDEX(الموظفون_الاسم,MATCH($A304,الموظفون_الرقم,0)),"")</f>
        <v/>
      </c>
      <c r="C304" s="47" t="n"/>
      <c r="D304" s="47" t="n"/>
      <c r="E304" s="112" t="n"/>
      <c r="F304" s="47" t="n"/>
      <c r="G304" s="47" t="n"/>
      <c r="H304" s="49" t="n"/>
      <c r="I304" s="112" t="n"/>
      <c r="J304" s="47" t="n"/>
      <c r="K304" s="47" t="n"/>
    </row>
    <row r="305">
      <c r="A305" s="40" t="n"/>
      <c r="B305" s="43">
        <f>IFERROR(INDEX(الموظفون_الاسم,MATCH($A305,الموظفون_الرقم,0)),"")</f>
        <v/>
      </c>
      <c r="C305" s="40" t="n"/>
      <c r="D305" s="40" t="n"/>
      <c r="E305" s="110" t="n"/>
      <c r="F305" s="40" t="n"/>
      <c r="G305" s="40" t="n"/>
      <c r="H305" s="42" t="n"/>
      <c r="I305" s="110" t="n"/>
      <c r="J305" s="40" t="n"/>
      <c r="K305" s="40" t="n"/>
    </row>
    <row r="306">
      <c r="A306" s="47" t="n"/>
      <c r="B306" s="50">
        <f>IFERROR(INDEX(الموظفون_الاسم,MATCH($A306,الموظفون_الرقم,0)),"")</f>
        <v/>
      </c>
      <c r="C306" s="47" t="n"/>
      <c r="D306" s="47" t="n"/>
      <c r="E306" s="112" t="n"/>
      <c r="F306" s="47" t="n"/>
      <c r="G306" s="47" t="n"/>
      <c r="H306" s="49" t="n"/>
      <c r="I306" s="112" t="n"/>
      <c r="J306" s="47" t="n"/>
      <c r="K306" s="47" t="n"/>
    </row>
    <row r="307">
      <c r="A307" s="40" t="n"/>
      <c r="B307" s="43">
        <f>IFERROR(INDEX(الموظفون_الاسم,MATCH($A307,الموظفون_الرقم,0)),"")</f>
        <v/>
      </c>
      <c r="C307" s="40" t="n"/>
      <c r="D307" s="40" t="n"/>
      <c r="E307" s="110" t="n"/>
      <c r="F307" s="40" t="n"/>
      <c r="G307" s="40" t="n"/>
      <c r="H307" s="42" t="n"/>
      <c r="I307" s="110" t="n"/>
      <c r="J307" s="40" t="n"/>
      <c r="K307" s="40" t="n"/>
    </row>
    <row r="308">
      <c r="A308" s="47" t="n"/>
      <c r="B308" s="50">
        <f>IFERROR(INDEX(الموظفون_الاسم,MATCH($A308,الموظفون_الرقم,0)),"")</f>
        <v/>
      </c>
      <c r="C308" s="47" t="n"/>
      <c r="D308" s="47" t="n"/>
      <c r="E308" s="112" t="n"/>
      <c r="F308" s="47" t="n"/>
      <c r="G308" s="47" t="n"/>
      <c r="H308" s="49" t="n"/>
      <c r="I308" s="112" t="n"/>
      <c r="J308" s="47" t="n"/>
      <c r="K308" s="47" t="n"/>
    </row>
    <row r="309">
      <c r="A309" s="40" t="n"/>
      <c r="B309" s="43">
        <f>IFERROR(INDEX(الموظفون_الاسم,MATCH($A309,الموظفون_الرقم,0)),"")</f>
        <v/>
      </c>
      <c r="C309" s="40" t="n"/>
      <c r="D309" s="40" t="n"/>
      <c r="E309" s="110" t="n"/>
      <c r="F309" s="40" t="n"/>
      <c r="G309" s="40" t="n"/>
      <c r="H309" s="42" t="n"/>
      <c r="I309" s="110" t="n"/>
      <c r="J309" s="40" t="n"/>
      <c r="K309" s="40" t="n"/>
    </row>
    <row r="310">
      <c r="A310" s="47" t="n"/>
      <c r="B310" s="50">
        <f>IFERROR(INDEX(الموظفون_الاسم,MATCH($A310,الموظفون_الرقم,0)),"")</f>
        <v/>
      </c>
      <c r="C310" s="47" t="n"/>
      <c r="D310" s="47" t="n"/>
      <c r="E310" s="112" t="n"/>
      <c r="F310" s="47" t="n"/>
      <c r="G310" s="47" t="n"/>
      <c r="H310" s="49" t="n"/>
      <c r="I310" s="112" t="n"/>
      <c r="J310" s="47" t="n"/>
      <c r="K310" s="47" t="n"/>
    </row>
    <row r="311">
      <c r="A311" s="40" t="n"/>
      <c r="B311" s="43">
        <f>IFERROR(INDEX(الموظفون_الاسم,MATCH($A311,الموظفون_الرقم,0)),"")</f>
        <v/>
      </c>
      <c r="C311" s="40" t="n"/>
      <c r="D311" s="40" t="n"/>
      <c r="E311" s="110" t="n"/>
      <c r="F311" s="40" t="n"/>
      <c r="G311" s="40" t="n"/>
      <c r="H311" s="42" t="n"/>
      <c r="I311" s="110" t="n"/>
      <c r="J311" s="40" t="n"/>
      <c r="K311" s="40" t="n"/>
    </row>
    <row r="312">
      <c r="A312" s="47" t="n"/>
      <c r="B312" s="50">
        <f>IFERROR(INDEX(الموظفون_الاسم,MATCH($A312,الموظفون_الرقم,0)),"")</f>
        <v/>
      </c>
      <c r="C312" s="47" t="n"/>
      <c r="D312" s="47" t="n"/>
      <c r="E312" s="112" t="n"/>
      <c r="F312" s="47" t="n"/>
      <c r="G312" s="47" t="n"/>
      <c r="H312" s="49" t="n"/>
      <c r="I312" s="112" t="n"/>
      <c r="J312" s="47" t="n"/>
      <c r="K312" s="47" t="n"/>
    </row>
    <row r="313">
      <c r="A313" s="40" t="n"/>
      <c r="B313" s="43">
        <f>IFERROR(INDEX(الموظفون_الاسم,MATCH($A313,الموظفون_الرقم,0)),"")</f>
        <v/>
      </c>
      <c r="C313" s="40" t="n"/>
      <c r="D313" s="40" t="n"/>
      <c r="E313" s="110" t="n"/>
      <c r="F313" s="40" t="n"/>
      <c r="G313" s="40" t="n"/>
      <c r="H313" s="42" t="n"/>
      <c r="I313" s="110" t="n"/>
      <c r="J313" s="40" t="n"/>
      <c r="K313" s="40" t="n"/>
    </row>
    <row r="314">
      <c r="A314" s="47" t="n"/>
      <c r="B314" s="50">
        <f>IFERROR(INDEX(الموظفون_الاسم,MATCH($A314,الموظفون_الرقم,0)),"")</f>
        <v/>
      </c>
      <c r="C314" s="47" t="n"/>
      <c r="D314" s="47" t="n"/>
      <c r="E314" s="112" t="n"/>
      <c r="F314" s="47" t="n"/>
      <c r="G314" s="47" t="n"/>
      <c r="H314" s="49" t="n"/>
      <c r="I314" s="112" t="n"/>
      <c r="J314" s="47" t="n"/>
      <c r="K314" s="47" t="n"/>
    </row>
    <row r="315">
      <c r="A315" s="40" t="n"/>
      <c r="B315" s="43">
        <f>IFERROR(INDEX(الموظفون_الاسم,MATCH($A315,الموظفون_الرقم,0)),"")</f>
        <v/>
      </c>
      <c r="C315" s="40" t="n"/>
      <c r="D315" s="40" t="n"/>
      <c r="E315" s="110" t="n"/>
      <c r="F315" s="40" t="n"/>
      <c r="G315" s="40" t="n"/>
      <c r="H315" s="42" t="n"/>
      <c r="I315" s="110" t="n"/>
      <c r="J315" s="40" t="n"/>
      <c r="K315" s="40" t="n"/>
    </row>
    <row r="316">
      <c r="A316" s="47" t="n"/>
      <c r="B316" s="50">
        <f>IFERROR(INDEX(الموظفون_الاسم,MATCH($A316,الموظفون_الرقم,0)),"")</f>
        <v/>
      </c>
      <c r="C316" s="47" t="n"/>
      <c r="D316" s="47" t="n"/>
      <c r="E316" s="112" t="n"/>
      <c r="F316" s="47" t="n"/>
      <c r="G316" s="47" t="n"/>
      <c r="H316" s="49" t="n"/>
      <c r="I316" s="112" t="n"/>
      <c r="J316" s="47" t="n"/>
      <c r="K316" s="47" t="n"/>
    </row>
    <row r="317">
      <c r="A317" s="40" t="n"/>
      <c r="B317" s="43">
        <f>IFERROR(INDEX(الموظفون_الاسم,MATCH($A317,الموظفون_الرقم,0)),"")</f>
        <v/>
      </c>
      <c r="C317" s="40" t="n"/>
      <c r="D317" s="40" t="n"/>
      <c r="E317" s="110" t="n"/>
      <c r="F317" s="40" t="n"/>
      <c r="G317" s="40" t="n"/>
      <c r="H317" s="42" t="n"/>
      <c r="I317" s="110" t="n"/>
      <c r="J317" s="40" t="n"/>
      <c r="K317" s="40" t="n"/>
    </row>
    <row r="318">
      <c r="A318" s="47" t="n"/>
      <c r="B318" s="50">
        <f>IFERROR(INDEX(الموظفون_الاسم,MATCH($A318,الموظفون_الرقم,0)),"")</f>
        <v/>
      </c>
      <c r="C318" s="47" t="n"/>
      <c r="D318" s="47" t="n"/>
      <c r="E318" s="112" t="n"/>
      <c r="F318" s="47" t="n"/>
      <c r="G318" s="47" t="n"/>
      <c r="H318" s="49" t="n"/>
      <c r="I318" s="112" t="n"/>
      <c r="J318" s="47" t="n"/>
      <c r="K318" s="47" t="n"/>
    </row>
    <row r="319">
      <c r="A319" s="40" t="n"/>
      <c r="B319" s="43">
        <f>IFERROR(INDEX(الموظفون_الاسم,MATCH($A319,الموظفون_الرقم,0)),"")</f>
        <v/>
      </c>
      <c r="C319" s="40" t="n"/>
      <c r="D319" s="40" t="n"/>
      <c r="E319" s="110" t="n"/>
      <c r="F319" s="40" t="n"/>
      <c r="G319" s="40" t="n"/>
      <c r="H319" s="42" t="n"/>
      <c r="I319" s="110" t="n"/>
      <c r="J319" s="40" t="n"/>
      <c r="K319" s="40" t="n"/>
    </row>
    <row r="320">
      <c r="A320" s="47" t="n"/>
      <c r="B320" s="50">
        <f>IFERROR(INDEX(الموظفون_الاسم,MATCH($A320,الموظفون_الرقم,0)),"")</f>
        <v/>
      </c>
      <c r="C320" s="47" t="n"/>
      <c r="D320" s="47" t="n"/>
      <c r="E320" s="112" t="n"/>
      <c r="F320" s="47" t="n"/>
      <c r="G320" s="47" t="n"/>
      <c r="H320" s="49" t="n"/>
      <c r="I320" s="112" t="n"/>
      <c r="J320" s="47" t="n"/>
      <c r="K320" s="47" t="n"/>
    </row>
    <row r="321">
      <c r="A321" s="40" t="n"/>
      <c r="B321" s="43">
        <f>IFERROR(INDEX(الموظفون_الاسم,MATCH($A321,الموظفون_الرقم,0)),"")</f>
        <v/>
      </c>
      <c r="C321" s="40" t="n"/>
      <c r="D321" s="40" t="n"/>
      <c r="E321" s="110" t="n"/>
      <c r="F321" s="40" t="n"/>
      <c r="G321" s="40" t="n"/>
      <c r="H321" s="42" t="n"/>
      <c r="I321" s="110" t="n"/>
      <c r="J321" s="40" t="n"/>
      <c r="K321" s="40" t="n"/>
    </row>
    <row r="322">
      <c r="A322" s="47" t="n"/>
      <c r="B322" s="50">
        <f>IFERROR(INDEX(الموظفون_الاسم,MATCH($A322,الموظفون_الرقم,0)),"")</f>
        <v/>
      </c>
      <c r="C322" s="47" t="n"/>
      <c r="D322" s="47" t="n"/>
      <c r="E322" s="112" t="n"/>
      <c r="F322" s="47" t="n"/>
      <c r="G322" s="47" t="n"/>
      <c r="H322" s="49" t="n"/>
      <c r="I322" s="112" t="n"/>
      <c r="J322" s="47" t="n"/>
      <c r="K322" s="47" t="n"/>
    </row>
    <row r="323">
      <c r="A323" s="40" t="n"/>
      <c r="B323" s="43">
        <f>IFERROR(INDEX(الموظفون_الاسم,MATCH($A323,الموظفون_الرقم,0)),"")</f>
        <v/>
      </c>
      <c r="C323" s="40" t="n"/>
      <c r="D323" s="40" t="n"/>
      <c r="E323" s="110" t="n"/>
      <c r="F323" s="40" t="n"/>
      <c r="G323" s="40" t="n"/>
      <c r="H323" s="42" t="n"/>
      <c r="I323" s="110" t="n"/>
      <c r="J323" s="40" t="n"/>
      <c r="K323" s="40" t="n"/>
    </row>
    <row r="324">
      <c r="A324" s="47" t="n"/>
      <c r="B324" s="50">
        <f>IFERROR(INDEX(الموظفون_الاسم,MATCH($A324,الموظفون_الرقم,0)),"")</f>
        <v/>
      </c>
      <c r="C324" s="47" t="n"/>
      <c r="D324" s="47" t="n"/>
      <c r="E324" s="112" t="n"/>
      <c r="F324" s="47" t="n"/>
      <c r="G324" s="47" t="n"/>
      <c r="H324" s="49" t="n"/>
      <c r="I324" s="112" t="n"/>
      <c r="J324" s="47" t="n"/>
      <c r="K324" s="47" t="n"/>
    </row>
    <row r="325">
      <c r="A325" s="40" t="n"/>
      <c r="B325" s="43">
        <f>IFERROR(INDEX(الموظفون_الاسم,MATCH($A325,الموظفون_الرقم,0)),"")</f>
        <v/>
      </c>
      <c r="C325" s="40" t="n"/>
      <c r="D325" s="40" t="n"/>
      <c r="E325" s="110" t="n"/>
      <c r="F325" s="40" t="n"/>
      <c r="G325" s="40" t="n"/>
      <c r="H325" s="42" t="n"/>
      <c r="I325" s="110" t="n"/>
      <c r="J325" s="40" t="n"/>
      <c r="K325" s="40" t="n"/>
    </row>
    <row r="326">
      <c r="A326" s="47" t="n"/>
      <c r="B326" s="50">
        <f>IFERROR(INDEX(الموظفون_الاسم,MATCH($A326,الموظفون_الرقم,0)),"")</f>
        <v/>
      </c>
      <c r="C326" s="47" t="n"/>
      <c r="D326" s="47" t="n"/>
      <c r="E326" s="112" t="n"/>
      <c r="F326" s="47" t="n"/>
      <c r="G326" s="47" t="n"/>
      <c r="H326" s="49" t="n"/>
      <c r="I326" s="112" t="n"/>
      <c r="J326" s="47" t="n"/>
      <c r="K326" s="47" t="n"/>
    </row>
    <row r="327">
      <c r="A327" s="40" t="n"/>
      <c r="B327" s="43">
        <f>IFERROR(INDEX(الموظفون_الاسم,MATCH($A327,الموظفون_الرقم,0)),"")</f>
        <v/>
      </c>
      <c r="C327" s="40" t="n"/>
      <c r="D327" s="40" t="n"/>
      <c r="E327" s="110" t="n"/>
      <c r="F327" s="40" t="n"/>
      <c r="G327" s="40" t="n"/>
      <c r="H327" s="42" t="n"/>
      <c r="I327" s="110" t="n"/>
      <c r="J327" s="40" t="n"/>
      <c r="K327" s="40" t="n"/>
    </row>
    <row r="328">
      <c r="A328" s="47" t="n"/>
      <c r="B328" s="50">
        <f>IFERROR(INDEX(الموظفون_الاسم,MATCH($A328,الموظفون_الرقم,0)),"")</f>
        <v/>
      </c>
      <c r="C328" s="47" t="n"/>
      <c r="D328" s="47" t="n"/>
      <c r="E328" s="112" t="n"/>
      <c r="F328" s="47" t="n"/>
      <c r="G328" s="47" t="n"/>
      <c r="H328" s="49" t="n"/>
      <c r="I328" s="112" t="n"/>
      <c r="J328" s="47" t="n"/>
      <c r="K328" s="47" t="n"/>
    </row>
    <row r="329">
      <c r="A329" s="40" t="n"/>
      <c r="B329" s="43">
        <f>IFERROR(INDEX(الموظفون_الاسم,MATCH($A329,الموظفون_الرقم,0)),"")</f>
        <v/>
      </c>
      <c r="C329" s="40" t="n"/>
      <c r="D329" s="40" t="n"/>
      <c r="E329" s="110" t="n"/>
      <c r="F329" s="40" t="n"/>
      <c r="G329" s="40" t="n"/>
      <c r="H329" s="42" t="n"/>
      <c r="I329" s="110" t="n"/>
      <c r="J329" s="40" t="n"/>
      <c r="K329" s="40" t="n"/>
    </row>
    <row r="330">
      <c r="A330" s="47" t="n"/>
      <c r="B330" s="50">
        <f>IFERROR(INDEX(الموظفون_الاسم,MATCH($A330,الموظفون_الرقم,0)),"")</f>
        <v/>
      </c>
      <c r="C330" s="47" t="n"/>
      <c r="D330" s="47" t="n"/>
      <c r="E330" s="112" t="n"/>
      <c r="F330" s="47" t="n"/>
      <c r="G330" s="47" t="n"/>
      <c r="H330" s="49" t="n"/>
      <c r="I330" s="112" t="n"/>
      <c r="J330" s="47" t="n"/>
      <c r="K330" s="47" t="n"/>
    </row>
    <row r="331">
      <c r="A331" s="40" t="n"/>
      <c r="B331" s="43">
        <f>IFERROR(INDEX(الموظفون_الاسم,MATCH($A331,الموظفون_الرقم,0)),"")</f>
        <v/>
      </c>
      <c r="C331" s="40" t="n"/>
      <c r="D331" s="40" t="n"/>
      <c r="E331" s="110" t="n"/>
      <c r="F331" s="40" t="n"/>
      <c r="G331" s="40" t="n"/>
      <c r="H331" s="42" t="n"/>
      <c r="I331" s="110" t="n"/>
      <c r="J331" s="40" t="n"/>
      <c r="K331" s="40" t="n"/>
    </row>
    <row r="332">
      <c r="A332" s="47" t="n"/>
      <c r="B332" s="50">
        <f>IFERROR(INDEX(الموظفون_الاسم,MATCH($A332,الموظفون_الرقم,0)),"")</f>
        <v/>
      </c>
      <c r="C332" s="47" t="n"/>
      <c r="D332" s="47" t="n"/>
      <c r="E332" s="112" t="n"/>
      <c r="F332" s="47" t="n"/>
      <c r="G332" s="47" t="n"/>
      <c r="H332" s="49" t="n"/>
      <c r="I332" s="112" t="n"/>
      <c r="J332" s="47" t="n"/>
      <c r="K332" s="47" t="n"/>
    </row>
    <row r="333">
      <c r="A333" s="40" t="n"/>
      <c r="B333" s="43">
        <f>IFERROR(INDEX(الموظفون_الاسم,MATCH($A333,الموظفون_الرقم,0)),"")</f>
        <v/>
      </c>
      <c r="C333" s="40" t="n"/>
      <c r="D333" s="40" t="n"/>
      <c r="E333" s="110" t="n"/>
      <c r="F333" s="40" t="n"/>
      <c r="G333" s="40" t="n"/>
      <c r="H333" s="42" t="n"/>
      <c r="I333" s="110" t="n"/>
      <c r="J333" s="40" t="n"/>
      <c r="K333" s="40" t="n"/>
    </row>
    <row r="334">
      <c r="A334" s="47" t="n"/>
      <c r="B334" s="50">
        <f>IFERROR(INDEX(الموظفون_الاسم,MATCH($A334,الموظفون_الرقم,0)),"")</f>
        <v/>
      </c>
      <c r="C334" s="47" t="n"/>
      <c r="D334" s="47" t="n"/>
      <c r="E334" s="112" t="n"/>
      <c r="F334" s="47" t="n"/>
      <c r="G334" s="47" t="n"/>
      <c r="H334" s="49" t="n"/>
      <c r="I334" s="112" t="n"/>
      <c r="J334" s="47" t="n"/>
      <c r="K334" s="47" t="n"/>
    </row>
    <row r="335">
      <c r="A335" s="40" t="n"/>
      <c r="B335" s="43">
        <f>IFERROR(INDEX(الموظفون_الاسم,MATCH($A335,الموظفون_الرقم,0)),"")</f>
        <v/>
      </c>
      <c r="C335" s="40" t="n"/>
      <c r="D335" s="40" t="n"/>
      <c r="E335" s="110" t="n"/>
      <c r="F335" s="40" t="n"/>
      <c r="G335" s="40" t="n"/>
      <c r="H335" s="42" t="n"/>
      <c r="I335" s="110" t="n"/>
      <c r="J335" s="40" t="n"/>
      <c r="K335" s="40" t="n"/>
    </row>
    <row r="336">
      <c r="A336" s="47" t="n"/>
      <c r="B336" s="50">
        <f>IFERROR(INDEX(الموظفون_الاسم,MATCH($A336,الموظفون_الرقم,0)),"")</f>
        <v/>
      </c>
      <c r="C336" s="47" t="n"/>
      <c r="D336" s="47" t="n"/>
      <c r="E336" s="112" t="n"/>
      <c r="F336" s="47" t="n"/>
      <c r="G336" s="47" t="n"/>
      <c r="H336" s="49" t="n"/>
      <c r="I336" s="112" t="n"/>
      <c r="J336" s="47" t="n"/>
      <c r="K336" s="47" t="n"/>
    </row>
    <row r="337">
      <c r="A337" s="40" t="n"/>
      <c r="B337" s="43">
        <f>IFERROR(INDEX(الموظفون_الاسم,MATCH($A337,الموظفون_الرقم,0)),"")</f>
        <v/>
      </c>
      <c r="C337" s="40" t="n"/>
      <c r="D337" s="40" t="n"/>
      <c r="E337" s="110" t="n"/>
      <c r="F337" s="40" t="n"/>
      <c r="G337" s="40" t="n"/>
      <c r="H337" s="42" t="n"/>
      <c r="I337" s="110" t="n"/>
      <c r="J337" s="40" t="n"/>
      <c r="K337" s="40" t="n"/>
    </row>
    <row r="338">
      <c r="A338" s="47" t="n"/>
      <c r="B338" s="50">
        <f>IFERROR(INDEX(الموظفون_الاسم,MATCH($A338,الموظفون_الرقم,0)),"")</f>
        <v/>
      </c>
      <c r="C338" s="47" t="n"/>
      <c r="D338" s="47" t="n"/>
      <c r="E338" s="112" t="n"/>
      <c r="F338" s="47" t="n"/>
      <c r="G338" s="47" t="n"/>
      <c r="H338" s="49" t="n"/>
      <c r="I338" s="112" t="n"/>
      <c r="J338" s="47" t="n"/>
      <c r="K338" s="47" t="n"/>
    </row>
    <row r="339">
      <c r="A339" s="40" t="n"/>
      <c r="B339" s="43">
        <f>IFERROR(INDEX(الموظفون_الاسم,MATCH($A339,الموظفون_الرقم,0)),"")</f>
        <v/>
      </c>
      <c r="C339" s="40" t="n"/>
      <c r="D339" s="40" t="n"/>
      <c r="E339" s="110" t="n"/>
      <c r="F339" s="40" t="n"/>
      <c r="G339" s="40" t="n"/>
      <c r="H339" s="42" t="n"/>
      <c r="I339" s="110" t="n"/>
      <c r="J339" s="40" t="n"/>
      <c r="K339" s="40" t="n"/>
    </row>
    <row r="340">
      <c r="A340" s="47" t="n"/>
      <c r="B340" s="50">
        <f>IFERROR(INDEX(الموظفون_الاسم,MATCH($A340,الموظفون_الرقم,0)),"")</f>
        <v/>
      </c>
      <c r="C340" s="47" t="n"/>
      <c r="D340" s="47" t="n"/>
      <c r="E340" s="112" t="n"/>
      <c r="F340" s="47" t="n"/>
      <c r="G340" s="47" t="n"/>
      <c r="H340" s="49" t="n"/>
      <c r="I340" s="112" t="n"/>
      <c r="J340" s="47" t="n"/>
      <c r="K340" s="47" t="n"/>
    </row>
    <row r="341">
      <c r="A341" s="40" t="n"/>
      <c r="B341" s="43">
        <f>IFERROR(INDEX(الموظفون_الاسم,MATCH($A341,الموظفون_الرقم,0)),"")</f>
        <v/>
      </c>
      <c r="C341" s="40" t="n"/>
      <c r="D341" s="40" t="n"/>
      <c r="E341" s="110" t="n"/>
      <c r="F341" s="40" t="n"/>
      <c r="G341" s="40" t="n"/>
      <c r="H341" s="42" t="n"/>
      <c r="I341" s="110" t="n"/>
      <c r="J341" s="40" t="n"/>
      <c r="K341" s="40" t="n"/>
    </row>
    <row r="342">
      <c r="A342" s="47" t="n"/>
      <c r="B342" s="50">
        <f>IFERROR(INDEX(الموظفون_الاسم,MATCH($A342,الموظفون_الرقم,0)),"")</f>
        <v/>
      </c>
      <c r="C342" s="47" t="n"/>
      <c r="D342" s="47" t="n"/>
      <c r="E342" s="112" t="n"/>
      <c r="F342" s="47" t="n"/>
      <c r="G342" s="47" t="n"/>
      <c r="H342" s="49" t="n"/>
      <c r="I342" s="112" t="n"/>
      <c r="J342" s="47" t="n"/>
      <c r="K342" s="47" t="n"/>
    </row>
    <row r="343">
      <c r="A343" s="40" t="n"/>
      <c r="B343" s="43">
        <f>IFERROR(INDEX(الموظفون_الاسم,MATCH($A343,الموظفون_الرقم,0)),"")</f>
        <v/>
      </c>
      <c r="C343" s="40" t="n"/>
      <c r="D343" s="40" t="n"/>
      <c r="E343" s="110" t="n"/>
      <c r="F343" s="40" t="n"/>
      <c r="G343" s="40" t="n"/>
      <c r="H343" s="42" t="n"/>
      <c r="I343" s="110" t="n"/>
      <c r="J343" s="40" t="n"/>
      <c r="K343" s="40" t="n"/>
    </row>
    <row r="344">
      <c r="A344" s="47" t="n"/>
      <c r="B344" s="50">
        <f>IFERROR(INDEX(الموظفون_الاسم,MATCH($A344,الموظفون_الرقم,0)),"")</f>
        <v/>
      </c>
      <c r="C344" s="47" t="n"/>
      <c r="D344" s="47" t="n"/>
      <c r="E344" s="112" t="n"/>
      <c r="F344" s="47" t="n"/>
      <c r="G344" s="47" t="n"/>
      <c r="H344" s="49" t="n"/>
      <c r="I344" s="112" t="n"/>
      <c r="J344" s="47" t="n"/>
      <c r="K344" s="47" t="n"/>
    </row>
    <row r="345">
      <c r="A345" s="40" t="n"/>
      <c r="B345" s="43">
        <f>IFERROR(INDEX(الموظفون_الاسم,MATCH($A345,الموظفون_الرقم,0)),"")</f>
        <v/>
      </c>
      <c r="C345" s="40" t="n"/>
      <c r="D345" s="40" t="n"/>
      <c r="E345" s="110" t="n"/>
      <c r="F345" s="40" t="n"/>
      <c r="G345" s="40" t="n"/>
      <c r="H345" s="42" t="n"/>
      <c r="I345" s="110" t="n"/>
      <c r="J345" s="40" t="n"/>
      <c r="K345" s="40" t="n"/>
    </row>
    <row r="346">
      <c r="A346" s="47" t="n"/>
      <c r="B346" s="50">
        <f>IFERROR(INDEX(الموظفون_الاسم,MATCH($A346,الموظفون_الرقم,0)),"")</f>
        <v/>
      </c>
      <c r="C346" s="47" t="n"/>
      <c r="D346" s="47" t="n"/>
      <c r="E346" s="112" t="n"/>
      <c r="F346" s="47" t="n"/>
      <c r="G346" s="47" t="n"/>
      <c r="H346" s="49" t="n"/>
      <c r="I346" s="112" t="n"/>
      <c r="J346" s="47" t="n"/>
      <c r="K346" s="47" t="n"/>
    </row>
    <row r="347">
      <c r="A347" s="40" t="n"/>
      <c r="B347" s="43">
        <f>IFERROR(INDEX(الموظفون_الاسم,MATCH($A347,الموظفون_الرقم,0)),"")</f>
        <v/>
      </c>
      <c r="C347" s="40" t="n"/>
      <c r="D347" s="40" t="n"/>
      <c r="E347" s="110" t="n"/>
      <c r="F347" s="40" t="n"/>
      <c r="G347" s="40" t="n"/>
      <c r="H347" s="42" t="n"/>
      <c r="I347" s="110" t="n"/>
      <c r="J347" s="40" t="n"/>
      <c r="K347" s="40" t="n"/>
    </row>
    <row r="348">
      <c r="A348" s="47" t="n"/>
      <c r="B348" s="50">
        <f>IFERROR(INDEX(الموظفون_الاسم,MATCH($A348,الموظفون_الرقم,0)),"")</f>
        <v/>
      </c>
      <c r="C348" s="47" t="n"/>
      <c r="D348" s="47" t="n"/>
      <c r="E348" s="112" t="n"/>
      <c r="F348" s="47" t="n"/>
      <c r="G348" s="47" t="n"/>
      <c r="H348" s="49" t="n"/>
      <c r="I348" s="112" t="n"/>
      <c r="J348" s="47" t="n"/>
      <c r="K348" s="47" t="n"/>
    </row>
    <row r="349">
      <c r="A349" s="40" t="n"/>
      <c r="B349" s="43">
        <f>IFERROR(INDEX(الموظفون_الاسم,MATCH($A349,الموظفون_الرقم,0)),"")</f>
        <v/>
      </c>
      <c r="C349" s="40" t="n"/>
      <c r="D349" s="40" t="n"/>
      <c r="E349" s="110" t="n"/>
      <c r="F349" s="40" t="n"/>
      <c r="G349" s="40" t="n"/>
      <c r="H349" s="42" t="n"/>
      <c r="I349" s="110" t="n"/>
      <c r="J349" s="40" t="n"/>
      <c r="K349" s="40" t="n"/>
    </row>
    <row r="350">
      <c r="A350" s="47" t="n"/>
      <c r="B350" s="50">
        <f>IFERROR(INDEX(الموظفون_الاسم,MATCH($A350,الموظفون_الرقم,0)),"")</f>
        <v/>
      </c>
      <c r="C350" s="47" t="n"/>
      <c r="D350" s="47" t="n"/>
      <c r="E350" s="112" t="n"/>
      <c r="F350" s="47" t="n"/>
      <c r="G350" s="47" t="n"/>
      <c r="H350" s="49" t="n"/>
      <c r="I350" s="112" t="n"/>
      <c r="J350" s="47" t="n"/>
      <c r="K350" s="47" t="n"/>
    </row>
    <row r="351">
      <c r="A351" s="40" t="n"/>
      <c r="B351" s="43">
        <f>IFERROR(INDEX(الموظفون_الاسم,MATCH($A351,الموظفون_الرقم,0)),"")</f>
        <v/>
      </c>
      <c r="C351" s="40" t="n"/>
      <c r="D351" s="40" t="n"/>
      <c r="E351" s="110" t="n"/>
      <c r="F351" s="40" t="n"/>
      <c r="G351" s="40" t="n"/>
      <c r="H351" s="42" t="n"/>
      <c r="I351" s="110" t="n"/>
      <c r="J351" s="40" t="n"/>
      <c r="K351" s="40" t="n"/>
    </row>
    <row r="352">
      <c r="A352" s="47" t="n"/>
      <c r="B352" s="50">
        <f>IFERROR(INDEX(الموظفون_الاسم,MATCH($A352,الموظفون_الرقم,0)),"")</f>
        <v/>
      </c>
      <c r="C352" s="47" t="n"/>
      <c r="D352" s="47" t="n"/>
      <c r="E352" s="112" t="n"/>
      <c r="F352" s="47" t="n"/>
      <c r="G352" s="47" t="n"/>
      <c r="H352" s="49" t="n"/>
      <c r="I352" s="112" t="n"/>
      <c r="J352" s="47" t="n"/>
      <c r="K352" s="47" t="n"/>
    </row>
    <row r="353">
      <c r="A353" s="40" t="n"/>
      <c r="B353" s="43">
        <f>IFERROR(INDEX(الموظفون_الاسم,MATCH($A353,الموظفون_الرقم,0)),"")</f>
        <v/>
      </c>
      <c r="C353" s="40" t="n"/>
      <c r="D353" s="40" t="n"/>
      <c r="E353" s="110" t="n"/>
      <c r="F353" s="40" t="n"/>
      <c r="G353" s="40" t="n"/>
      <c r="H353" s="42" t="n"/>
      <c r="I353" s="110" t="n"/>
      <c r="J353" s="40" t="n"/>
      <c r="K353" s="40" t="n"/>
    </row>
    <row r="354">
      <c r="A354" s="47" t="n"/>
      <c r="B354" s="50">
        <f>IFERROR(INDEX(الموظفون_الاسم,MATCH($A354,الموظفون_الرقم,0)),"")</f>
        <v/>
      </c>
      <c r="C354" s="47" t="n"/>
      <c r="D354" s="47" t="n"/>
      <c r="E354" s="112" t="n"/>
      <c r="F354" s="47" t="n"/>
      <c r="G354" s="47" t="n"/>
      <c r="H354" s="49" t="n"/>
      <c r="I354" s="112" t="n"/>
      <c r="J354" s="47" t="n"/>
      <c r="K354" s="47" t="n"/>
    </row>
    <row r="355">
      <c r="A355" s="40" t="n"/>
      <c r="B355" s="43">
        <f>IFERROR(INDEX(الموظفون_الاسم,MATCH($A355,الموظفون_الرقم,0)),"")</f>
        <v/>
      </c>
      <c r="C355" s="40" t="n"/>
      <c r="D355" s="40" t="n"/>
      <c r="E355" s="110" t="n"/>
      <c r="F355" s="40" t="n"/>
      <c r="G355" s="40" t="n"/>
      <c r="H355" s="42" t="n"/>
      <c r="I355" s="110" t="n"/>
      <c r="J355" s="40" t="n"/>
      <c r="K355" s="40" t="n"/>
    </row>
    <row r="356">
      <c r="A356" s="47" t="n"/>
      <c r="B356" s="50">
        <f>IFERROR(INDEX(الموظفون_الاسم,MATCH($A356,الموظفون_الرقم,0)),"")</f>
        <v/>
      </c>
      <c r="C356" s="47" t="n"/>
      <c r="D356" s="47" t="n"/>
      <c r="E356" s="112" t="n"/>
      <c r="F356" s="47" t="n"/>
      <c r="G356" s="47" t="n"/>
      <c r="H356" s="49" t="n"/>
      <c r="I356" s="112" t="n"/>
      <c r="J356" s="47" t="n"/>
      <c r="K356" s="47" t="n"/>
    </row>
    <row r="357">
      <c r="A357" s="40" t="n"/>
      <c r="B357" s="43">
        <f>IFERROR(INDEX(الموظفون_الاسم,MATCH($A357,الموظفون_الرقم,0)),"")</f>
        <v/>
      </c>
      <c r="C357" s="40" t="n"/>
      <c r="D357" s="40" t="n"/>
      <c r="E357" s="110" t="n"/>
      <c r="F357" s="40" t="n"/>
      <c r="G357" s="40" t="n"/>
      <c r="H357" s="42" t="n"/>
      <c r="I357" s="110" t="n"/>
      <c r="J357" s="40" t="n"/>
      <c r="K357" s="40" t="n"/>
    </row>
    <row r="358">
      <c r="A358" s="47" t="n"/>
      <c r="B358" s="50">
        <f>IFERROR(INDEX(الموظفون_الاسم,MATCH($A358,الموظفون_الرقم,0)),"")</f>
        <v/>
      </c>
      <c r="C358" s="47" t="n"/>
      <c r="D358" s="47" t="n"/>
      <c r="E358" s="112" t="n"/>
      <c r="F358" s="47" t="n"/>
      <c r="G358" s="47" t="n"/>
      <c r="H358" s="49" t="n"/>
      <c r="I358" s="112" t="n"/>
      <c r="J358" s="47" t="n"/>
      <c r="K358" s="47" t="n"/>
    </row>
    <row r="359">
      <c r="A359" s="40" t="n"/>
      <c r="B359" s="43">
        <f>IFERROR(INDEX(الموظفون_الاسم,MATCH($A359,الموظفون_الرقم,0)),"")</f>
        <v/>
      </c>
      <c r="C359" s="40" t="n"/>
      <c r="D359" s="40" t="n"/>
      <c r="E359" s="110" t="n"/>
      <c r="F359" s="40" t="n"/>
      <c r="G359" s="40" t="n"/>
      <c r="H359" s="42" t="n"/>
      <c r="I359" s="110" t="n"/>
      <c r="J359" s="40" t="n"/>
      <c r="K359" s="40" t="n"/>
    </row>
    <row r="360">
      <c r="A360" s="47" t="n"/>
      <c r="B360" s="50">
        <f>IFERROR(INDEX(الموظفون_الاسم,MATCH($A360,الموظفون_الرقم,0)),"")</f>
        <v/>
      </c>
      <c r="C360" s="47" t="n"/>
      <c r="D360" s="47" t="n"/>
      <c r="E360" s="112" t="n"/>
      <c r="F360" s="47" t="n"/>
      <c r="G360" s="47" t="n"/>
      <c r="H360" s="49" t="n"/>
      <c r="I360" s="112" t="n"/>
      <c r="J360" s="47" t="n"/>
      <c r="K360" s="47" t="n"/>
    </row>
    <row r="361">
      <c r="A361" s="40" t="n"/>
      <c r="B361" s="43">
        <f>IFERROR(INDEX(الموظفون_الاسم,MATCH($A361,الموظفون_الرقم,0)),"")</f>
        <v/>
      </c>
      <c r="C361" s="40" t="n"/>
      <c r="D361" s="40" t="n"/>
      <c r="E361" s="110" t="n"/>
      <c r="F361" s="40" t="n"/>
      <c r="G361" s="40" t="n"/>
      <c r="H361" s="42" t="n"/>
      <c r="I361" s="110" t="n"/>
      <c r="J361" s="40" t="n"/>
      <c r="K361" s="40" t="n"/>
    </row>
    <row r="362">
      <c r="A362" s="47" t="n"/>
      <c r="B362" s="50">
        <f>IFERROR(INDEX(الموظفون_الاسم,MATCH($A362,الموظفون_الرقم,0)),"")</f>
        <v/>
      </c>
      <c r="C362" s="47" t="n"/>
      <c r="D362" s="47" t="n"/>
      <c r="E362" s="112" t="n"/>
      <c r="F362" s="47" t="n"/>
      <c r="G362" s="47" t="n"/>
      <c r="H362" s="49" t="n"/>
      <c r="I362" s="112" t="n"/>
      <c r="J362" s="47" t="n"/>
      <c r="K362" s="47" t="n"/>
    </row>
    <row r="363">
      <c r="A363" s="40" t="n"/>
      <c r="B363" s="43">
        <f>IFERROR(INDEX(الموظفون_الاسم,MATCH($A363,الموظفون_الرقم,0)),"")</f>
        <v/>
      </c>
      <c r="C363" s="40" t="n"/>
      <c r="D363" s="40" t="n"/>
      <c r="E363" s="110" t="n"/>
      <c r="F363" s="40" t="n"/>
      <c r="G363" s="40" t="n"/>
      <c r="H363" s="42" t="n"/>
      <c r="I363" s="110" t="n"/>
      <c r="J363" s="40" t="n"/>
      <c r="K363" s="40" t="n"/>
    </row>
    <row r="364">
      <c r="A364" s="47" t="n"/>
      <c r="B364" s="50">
        <f>IFERROR(INDEX(الموظفون_الاسم,MATCH($A364,الموظفون_الرقم,0)),"")</f>
        <v/>
      </c>
      <c r="C364" s="47" t="n"/>
      <c r="D364" s="47" t="n"/>
      <c r="E364" s="112" t="n"/>
      <c r="F364" s="47" t="n"/>
      <c r="G364" s="47" t="n"/>
      <c r="H364" s="49" t="n"/>
      <c r="I364" s="112" t="n"/>
      <c r="J364" s="47" t="n"/>
      <c r="K364" s="47" t="n"/>
    </row>
    <row r="365">
      <c r="A365" s="40" t="n"/>
      <c r="B365" s="43">
        <f>IFERROR(INDEX(الموظفون_الاسم,MATCH($A365,الموظفون_الرقم,0)),"")</f>
        <v/>
      </c>
      <c r="C365" s="40" t="n"/>
      <c r="D365" s="40" t="n"/>
      <c r="E365" s="110" t="n"/>
      <c r="F365" s="40" t="n"/>
      <c r="G365" s="40" t="n"/>
      <c r="H365" s="42" t="n"/>
      <c r="I365" s="110" t="n"/>
      <c r="J365" s="40" t="n"/>
      <c r="K365" s="40" t="n"/>
    </row>
    <row r="366">
      <c r="A366" s="47" t="n"/>
      <c r="B366" s="50">
        <f>IFERROR(INDEX(الموظفون_الاسم,MATCH($A366,الموظفون_الرقم,0)),"")</f>
        <v/>
      </c>
      <c r="C366" s="47" t="n"/>
      <c r="D366" s="47" t="n"/>
      <c r="E366" s="112" t="n"/>
      <c r="F366" s="47" t="n"/>
      <c r="G366" s="47" t="n"/>
      <c r="H366" s="49" t="n"/>
      <c r="I366" s="112" t="n"/>
      <c r="J366" s="47" t="n"/>
      <c r="K366" s="47" t="n"/>
    </row>
    <row r="367">
      <c r="A367" s="40" t="n"/>
      <c r="B367" s="43">
        <f>IFERROR(INDEX(الموظفون_الاسم,MATCH($A367,الموظفون_الرقم,0)),"")</f>
        <v/>
      </c>
      <c r="C367" s="40" t="n"/>
      <c r="D367" s="40" t="n"/>
      <c r="E367" s="110" t="n"/>
      <c r="F367" s="40" t="n"/>
      <c r="G367" s="40" t="n"/>
      <c r="H367" s="42" t="n"/>
      <c r="I367" s="110" t="n"/>
      <c r="J367" s="40" t="n"/>
      <c r="K367" s="40" t="n"/>
    </row>
    <row r="368">
      <c r="A368" s="47" t="n"/>
      <c r="B368" s="50">
        <f>IFERROR(INDEX(الموظفون_الاسم,MATCH($A368,الموظفون_الرقم,0)),"")</f>
        <v/>
      </c>
      <c r="C368" s="47" t="n"/>
      <c r="D368" s="47" t="n"/>
      <c r="E368" s="112" t="n"/>
      <c r="F368" s="47" t="n"/>
      <c r="G368" s="47" t="n"/>
      <c r="H368" s="49" t="n"/>
      <c r="I368" s="112" t="n"/>
      <c r="J368" s="47" t="n"/>
      <c r="K368" s="47" t="n"/>
    </row>
    <row r="369">
      <c r="A369" s="40" t="n"/>
      <c r="B369" s="43">
        <f>IFERROR(INDEX(الموظفون_الاسم,MATCH($A369,الموظفون_الرقم,0)),"")</f>
        <v/>
      </c>
      <c r="C369" s="40" t="n"/>
      <c r="D369" s="40" t="n"/>
      <c r="E369" s="110" t="n"/>
      <c r="F369" s="40" t="n"/>
      <c r="G369" s="40" t="n"/>
      <c r="H369" s="42" t="n"/>
      <c r="I369" s="110" t="n"/>
      <c r="J369" s="40" t="n"/>
      <c r="K369" s="40" t="n"/>
    </row>
    <row r="370">
      <c r="A370" s="47" t="n"/>
      <c r="B370" s="50">
        <f>IFERROR(INDEX(الموظفون_الاسم,MATCH($A370,الموظفون_الرقم,0)),"")</f>
        <v/>
      </c>
      <c r="C370" s="47" t="n"/>
      <c r="D370" s="47" t="n"/>
      <c r="E370" s="112" t="n"/>
      <c r="F370" s="47" t="n"/>
      <c r="G370" s="47" t="n"/>
      <c r="H370" s="49" t="n"/>
      <c r="I370" s="112" t="n"/>
      <c r="J370" s="47" t="n"/>
      <c r="K370" s="47" t="n"/>
    </row>
    <row r="371">
      <c r="A371" s="40" t="n"/>
      <c r="B371" s="43">
        <f>IFERROR(INDEX(الموظفون_الاسم,MATCH($A371,الموظفون_الرقم,0)),"")</f>
        <v/>
      </c>
      <c r="C371" s="40" t="n"/>
      <c r="D371" s="40" t="n"/>
      <c r="E371" s="110" t="n"/>
      <c r="F371" s="40" t="n"/>
      <c r="G371" s="40" t="n"/>
      <c r="H371" s="42" t="n"/>
      <c r="I371" s="110" t="n"/>
      <c r="J371" s="40" t="n"/>
      <c r="K371" s="40" t="n"/>
    </row>
    <row r="372">
      <c r="A372" s="47" t="n"/>
      <c r="B372" s="50">
        <f>IFERROR(INDEX(الموظفون_الاسم,MATCH($A372,الموظفون_الرقم,0)),"")</f>
        <v/>
      </c>
      <c r="C372" s="47" t="n"/>
      <c r="D372" s="47" t="n"/>
      <c r="E372" s="112" t="n"/>
      <c r="F372" s="47" t="n"/>
      <c r="G372" s="47" t="n"/>
      <c r="H372" s="49" t="n"/>
      <c r="I372" s="112" t="n"/>
      <c r="J372" s="47" t="n"/>
      <c r="K372" s="47" t="n"/>
    </row>
    <row r="373">
      <c r="A373" s="40" t="n"/>
      <c r="B373" s="43">
        <f>IFERROR(INDEX(الموظفون_الاسم,MATCH($A373,الموظفون_الرقم,0)),"")</f>
        <v/>
      </c>
      <c r="C373" s="40" t="n"/>
      <c r="D373" s="40" t="n"/>
      <c r="E373" s="110" t="n"/>
      <c r="F373" s="40" t="n"/>
      <c r="G373" s="40" t="n"/>
      <c r="H373" s="42" t="n"/>
      <c r="I373" s="110" t="n"/>
      <c r="J373" s="40" t="n"/>
      <c r="K373" s="40" t="n"/>
    </row>
    <row r="374">
      <c r="A374" s="47" t="n"/>
      <c r="B374" s="50">
        <f>IFERROR(INDEX(الموظفون_الاسم,MATCH($A374,الموظفون_الرقم,0)),"")</f>
        <v/>
      </c>
      <c r="C374" s="47" t="n"/>
      <c r="D374" s="47" t="n"/>
      <c r="E374" s="112" t="n"/>
      <c r="F374" s="47" t="n"/>
      <c r="G374" s="47" t="n"/>
      <c r="H374" s="49" t="n"/>
      <c r="I374" s="112" t="n"/>
      <c r="J374" s="47" t="n"/>
      <c r="K374" s="47" t="n"/>
    </row>
    <row r="375">
      <c r="A375" s="40" t="n"/>
      <c r="B375" s="43">
        <f>IFERROR(INDEX(الموظفون_الاسم,MATCH($A375,الموظفون_الرقم,0)),"")</f>
        <v/>
      </c>
      <c r="C375" s="40" t="n"/>
      <c r="D375" s="40" t="n"/>
      <c r="E375" s="110" t="n"/>
      <c r="F375" s="40" t="n"/>
      <c r="G375" s="40" t="n"/>
      <c r="H375" s="42" t="n"/>
      <c r="I375" s="110" t="n"/>
      <c r="J375" s="40" t="n"/>
      <c r="K375" s="40" t="n"/>
    </row>
    <row r="376">
      <c r="A376" s="47" t="n"/>
      <c r="B376" s="50">
        <f>IFERROR(INDEX(الموظفون_الاسم,MATCH($A376,الموظفون_الرقم,0)),"")</f>
        <v/>
      </c>
      <c r="C376" s="47" t="n"/>
      <c r="D376" s="47" t="n"/>
      <c r="E376" s="112" t="n"/>
      <c r="F376" s="47" t="n"/>
      <c r="G376" s="47" t="n"/>
      <c r="H376" s="49" t="n"/>
      <c r="I376" s="112" t="n"/>
      <c r="J376" s="47" t="n"/>
      <c r="K376" s="47" t="n"/>
    </row>
    <row r="377">
      <c r="A377" s="40" t="n"/>
      <c r="B377" s="43">
        <f>IFERROR(INDEX(الموظفون_الاسم,MATCH($A377,الموظفون_الرقم,0)),"")</f>
        <v/>
      </c>
      <c r="C377" s="40" t="n"/>
      <c r="D377" s="40" t="n"/>
      <c r="E377" s="110" t="n"/>
      <c r="F377" s="40" t="n"/>
      <c r="G377" s="40" t="n"/>
      <c r="H377" s="42" t="n"/>
      <c r="I377" s="110" t="n"/>
      <c r="J377" s="40" t="n"/>
      <c r="K377" s="40" t="n"/>
    </row>
    <row r="378">
      <c r="A378" s="47" t="n"/>
      <c r="B378" s="50">
        <f>IFERROR(INDEX(الموظفون_الاسم,MATCH($A378,الموظفون_الرقم,0)),"")</f>
        <v/>
      </c>
      <c r="C378" s="47" t="n"/>
      <c r="D378" s="47" t="n"/>
      <c r="E378" s="112" t="n"/>
      <c r="F378" s="47" t="n"/>
      <c r="G378" s="47" t="n"/>
      <c r="H378" s="49" t="n"/>
      <c r="I378" s="112" t="n"/>
      <c r="J378" s="47" t="n"/>
      <c r="K378" s="47" t="n"/>
    </row>
    <row r="379">
      <c r="A379" s="40" t="n"/>
      <c r="B379" s="43">
        <f>IFERROR(INDEX(الموظفون_الاسم,MATCH($A379,الموظفون_الرقم,0)),"")</f>
        <v/>
      </c>
      <c r="C379" s="40" t="n"/>
      <c r="D379" s="40" t="n"/>
      <c r="E379" s="110" t="n"/>
      <c r="F379" s="40" t="n"/>
      <c r="G379" s="40" t="n"/>
      <c r="H379" s="42" t="n"/>
      <c r="I379" s="110" t="n"/>
      <c r="J379" s="40" t="n"/>
      <c r="K379" s="40" t="n"/>
    </row>
    <row r="380">
      <c r="A380" s="47" t="n"/>
      <c r="B380" s="50">
        <f>IFERROR(INDEX(الموظفون_الاسم,MATCH($A380,الموظفون_الرقم,0)),"")</f>
        <v/>
      </c>
      <c r="C380" s="47" t="n"/>
      <c r="D380" s="47" t="n"/>
      <c r="E380" s="112" t="n"/>
      <c r="F380" s="47" t="n"/>
      <c r="G380" s="47" t="n"/>
      <c r="H380" s="49" t="n"/>
      <c r="I380" s="112" t="n"/>
      <c r="J380" s="47" t="n"/>
      <c r="K380" s="47" t="n"/>
    </row>
    <row r="381">
      <c r="A381" s="40" t="n"/>
      <c r="B381" s="43">
        <f>IFERROR(INDEX(الموظفون_الاسم,MATCH($A381,الموظفون_الرقم,0)),"")</f>
        <v/>
      </c>
      <c r="C381" s="40" t="n"/>
      <c r="D381" s="40" t="n"/>
      <c r="E381" s="110" t="n"/>
      <c r="F381" s="40" t="n"/>
      <c r="G381" s="40" t="n"/>
      <c r="H381" s="42" t="n"/>
      <c r="I381" s="110" t="n"/>
      <c r="J381" s="40" t="n"/>
      <c r="K381" s="40" t="n"/>
    </row>
    <row r="382">
      <c r="A382" s="47" t="n"/>
      <c r="B382" s="50">
        <f>IFERROR(INDEX(الموظفون_الاسم,MATCH($A382,الموظفون_الرقم,0)),"")</f>
        <v/>
      </c>
      <c r="C382" s="47" t="n"/>
      <c r="D382" s="47" t="n"/>
      <c r="E382" s="112" t="n"/>
      <c r="F382" s="47" t="n"/>
      <c r="G382" s="47" t="n"/>
      <c r="H382" s="49" t="n"/>
      <c r="I382" s="112" t="n"/>
      <c r="J382" s="47" t="n"/>
      <c r="K382" s="47" t="n"/>
    </row>
    <row r="383">
      <c r="A383" s="40" t="n"/>
      <c r="B383" s="43">
        <f>IFERROR(INDEX(الموظفون_الاسم,MATCH($A383,الموظفون_الرقم,0)),"")</f>
        <v/>
      </c>
      <c r="C383" s="40" t="n"/>
      <c r="D383" s="40" t="n"/>
      <c r="E383" s="110" t="n"/>
      <c r="F383" s="40" t="n"/>
      <c r="G383" s="40" t="n"/>
      <c r="H383" s="42" t="n"/>
      <c r="I383" s="110" t="n"/>
      <c r="J383" s="40" t="n"/>
      <c r="K383" s="40" t="n"/>
    </row>
    <row r="384">
      <c r="A384" s="47" t="n"/>
      <c r="B384" s="50">
        <f>IFERROR(INDEX(الموظفون_الاسم,MATCH($A384,الموظفون_الرقم,0)),"")</f>
        <v/>
      </c>
      <c r="C384" s="47" t="n"/>
      <c r="D384" s="47" t="n"/>
      <c r="E384" s="112" t="n"/>
      <c r="F384" s="47" t="n"/>
      <c r="G384" s="47" t="n"/>
      <c r="H384" s="49" t="n"/>
      <c r="I384" s="112" t="n"/>
      <c r="J384" s="47" t="n"/>
      <c r="K384" s="47" t="n"/>
    </row>
    <row r="385">
      <c r="A385" s="40" t="n"/>
      <c r="B385" s="43">
        <f>IFERROR(INDEX(الموظفون_الاسم,MATCH($A385,الموظفون_الرقم,0)),"")</f>
        <v/>
      </c>
      <c r="C385" s="40" t="n"/>
      <c r="D385" s="40" t="n"/>
      <c r="E385" s="110" t="n"/>
      <c r="F385" s="40" t="n"/>
      <c r="G385" s="40" t="n"/>
      <c r="H385" s="42" t="n"/>
      <c r="I385" s="110" t="n"/>
      <c r="J385" s="40" t="n"/>
      <c r="K385" s="40" t="n"/>
    </row>
    <row r="386">
      <c r="A386" s="47" t="n"/>
      <c r="B386" s="50">
        <f>IFERROR(INDEX(الموظفون_الاسم,MATCH($A386,الموظفون_الرقم,0)),"")</f>
        <v/>
      </c>
      <c r="C386" s="47" t="n"/>
      <c r="D386" s="47" t="n"/>
      <c r="E386" s="112" t="n"/>
      <c r="F386" s="47" t="n"/>
      <c r="G386" s="47" t="n"/>
      <c r="H386" s="49" t="n"/>
      <c r="I386" s="112" t="n"/>
      <c r="J386" s="47" t="n"/>
      <c r="K386" s="47" t="n"/>
    </row>
    <row r="387">
      <c r="A387" s="40" t="n"/>
      <c r="B387" s="43">
        <f>IFERROR(INDEX(الموظفون_الاسم,MATCH($A387,الموظفون_الرقم,0)),"")</f>
        <v/>
      </c>
      <c r="C387" s="40" t="n"/>
      <c r="D387" s="40" t="n"/>
      <c r="E387" s="110" t="n"/>
      <c r="F387" s="40" t="n"/>
      <c r="G387" s="40" t="n"/>
      <c r="H387" s="42" t="n"/>
      <c r="I387" s="110" t="n"/>
      <c r="J387" s="40" t="n"/>
      <c r="K387" s="40" t="n"/>
    </row>
    <row r="388">
      <c r="A388" s="47" t="n"/>
      <c r="B388" s="50">
        <f>IFERROR(INDEX(الموظفون_الاسم,MATCH($A388,الموظفون_الرقم,0)),"")</f>
        <v/>
      </c>
      <c r="C388" s="47" t="n"/>
      <c r="D388" s="47" t="n"/>
      <c r="E388" s="112" t="n"/>
      <c r="F388" s="47" t="n"/>
      <c r="G388" s="47" t="n"/>
      <c r="H388" s="49" t="n"/>
      <c r="I388" s="112" t="n"/>
      <c r="J388" s="47" t="n"/>
      <c r="K388" s="47" t="n"/>
    </row>
    <row r="389">
      <c r="A389" s="40" t="n"/>
      <c r="B389" s="43">
        <f>IFERROR(INDEX(الموظفون_الاسم,MATCH($A389,الموظفون_الرقم,0)),"")</f>
        <v/>
      </c>
      <c r="C389" s="40" t="n"/>
      <c r="D389" s="40" t="n"/>
      <c r="E389" s="110" t="n"/>
      <c r="F389" s="40" t="n"/>
      <c r="G389" s="40" t="n"/>
      <c r="H389" s="42" t="n"/>
      <c r="I389" s="110" t="n"/>
      <c r="J389" s="40" t="n"/>
      <c r="K389" s="40" t="n"/>
    </row>
    <row r="390">
      <c r="A390" s="47" t="n"/>
      <c r="B390" s="50">
        <f>IFERROR(INDEX(الموظفون_الاسم,MATCH($A390,الموظفون_الرقم,0)),"")</f>
        <v/>
      </c>
      <c r="C390" s="47" t="n"/>
      <c r="D390" s="47" t="n"/>
      <c r="E390" s="112" t="n"/>
      <c r="F390" s="47" t="n"/>
      <c r="G390" s="47" t="n"/>
      <c r="H390" s="49" t="n"/>
      <c r="I390" s="112" t="n"/>
      <c r="J390" s="47" t="n"/>
      <c r="K390" s="47" t="n"/>
    </row>
    <row r="391">
      <c r="A391" s="40" t="n"/>
      <c r="B391" s="43">
        <f>IFERROR(INDEX(الموظفون_الاسم,MATCH($A391,الموظفون_الرقم,0)),"")</f>
        <v/>
      </c>
      <c r="C391" s="40" t="n"/>
      <c r="D391" s="40" t="n"/>
      <c r="E391" s="110" t="n"/>
      <c r="F391" s="40" t="n"/>
      <c r="G391" s="40" t="n"/>
      <c r="H391" s="42" t="n"/>
      <c r="I391" s="110" t="n"/>
      <c r="J391" s="40" t="n"/>
      <c r="K391" s="40" t="n"/>
    </row>
    <row r="392">
      <c r="A392" s="47" t="n"/>
      <c r="B392" s="50">
        <f>IFERROR(INDEX(الموظفون_الاسم,MATCH($A392,الموظفون_الرقم,0)),"")</f>
        <v/>
      </c>
      <c r="C392" s="47" t="n"/>
      <c r="D392" s="47" t="n"/>
      <c r="E392" s="112" t="n"/>
      <c r="F392" s="47" t="n"/>
      <c r="G392" s="47" t="n"/>
      <c r="H392" s="49" t="n"/>
      <c r="I392" s="112" t="n"/>
      <c r="J392" s="47" t="n"/>
      <c r="K392" s="47" t="n"/>
    </row>
    <row r="393">
      <c r="A393" s="40" t="n"/>
      <c r="B393" s="43">
        <f>IFERROR(INDEX(الموظفون_الاسم,MATCH($A393,الموظفون_الرقم,0)),"")</f>
        <v/>
      </c>
      <c r="C393" s="40" t="n"/>
      <c r="D393" s="40" t="n"/>
      <c r="E393" s="110" t="n"/>
      <c r="F393" s="40" t="n"/>
      <c r="G393" s="40" t="n"/>
      <c r="H393" s="42" t="n"/>
      <c r="I393" s="110" t="n"/>
      <c r="J393" s="40" t="n"/>
      <c r="K393" s="40" t="n"/>
    </row>
    <row r="394">
      <c r="A394" s="47" t="n"/>
      <c r="B394" s="50">
        <f>IFERROR(INDEX(الموظفون_الاسم,MATCH($A394,الموظفون_الرقم,0)),"")</f>
        <v/>
      </c>
      <c r="C394" s="47" t="n"/>
      <c r="D394" s="47" t="n"/>
      <c r="E394" s="112" t="n"/>
      <c r="F394" s="47" t="n"/>
      <c r="G394" s="47" t="n"/>
      <c r="H394" s="49" t="n"/>
      <c r="I394" s="112" t="n"/>
      <c r="J394" s="47" t="n"/>
      <c r="K394" s="47" t="n"/>
    </row>
    <row r="395">
      <c r="A395" s="40" t="n"/>
      <c r="B395" s="43">
        <f>IFERROR(INDEX(الموظفون_الاسم,MATCH($A395,الموظفون_الرقم,0)),"")</f>
        <v/>
      </c>
      <c r="C395" s="40" t="n"/>
      <c r="D395" s="40" t="n"/>
      <c r="E395" s="110" t="n"/>
      <c r="F395" s="40" t="n"/>
      <c r="G395" s="40" t="n"/>
      <c r="H395" s="42" t="n"/>
      <c r="I395" s="110" t="n"/>
      <c r="J395" s="40" t="n"/>
      <c r="K395" s="40" t="n"/>
    </row>
    <row r="396">
      <c r="A396" s="47" t="n"/>
      <c r="B396" s="50">
        <f>IFERROR(INDEX(الموظفون_الاسم,MATCH($A396,الموظفون_الرقم,0)),"")</f>
        <v/>
      </c>
      <c r="C396" s="47" t="n"/>
      <c r="D396" s="47" t="n"/>
      <c r="E396" s="112" t="n"/>
      <c r="F396" s="47" t="n"/>
      <c r="G396" s="47" t="n"/>
      <c r="H396" s="49" t="n"/>
      <c r="I396" s="112" t="n"/>
      <c r="J396" s="47" t="n"/>
      <c r="K396" s="47" t="n"/>
    </row>
    <row r="397">
      <c r="A397" s="40" t="n"/>
      <c r="B397" s="43">
        <f>IFERROR(INDEX(الموظفون_الاسم,MATCH($A397,الموظفون_الرقم,0)),"")</f>
        <v/>
      </c>
      <c r="C397" s="40" t="n"/>
      <c r="D397" s="40" t="n"/>
      <c r="E397" s="110" t="n"/>
      <c r="F397" s="40" t="n"/>
      <c r="G397" s="40" t="n"/>
      <c r="H397" s="42" t="n"/>
      <c r="I397" s="110" t="n"/>
      <c r="J397" s="40" t="n"/>
      <c r="K397" s="40" t="n"/>
    </row>
    <row r="398">
      <c r="A398" s="47" t="n"/>
      <c r="B398" s="50">
        <f>IFERROR(INDEX(الموظفون_الاسم,MATCH($A398,الموظفون_الرقم,0)),"")</f>
        <v/>
      </c>
      <c r="C398" s="47" t="n"/>
      <c r="D398" s="47" t="n"/>
      <c r="E398" s="112" t="n"/>
      <c r="F398" s="47" t="n"/>
      <c r="G398" s="47" t="n"/>
      <c r="H398" s="49" t="n"/>
      <c r="I398" s="112" t="n"/>
      <c r="J398" s="47" t="n"/>
      <c r="K398" s="47" t="n"/>
    </row>
    <row r="399">
      <c r="A399" s="40" t="n"/>
      <c r="B399" s="43">
        <f>IFERROR(INDEX(الموظفون_الاسم,MATCH($A399,الموظفون_الرقم,0)),"")</f>
        <v/>
      </c>
      <c r="C399" s="40" t="n"/>
      <c r="D399" s="40" t="n"/>
      <c r="E399" s="110" t="n"/>
      <c r="F399" s="40" t="n"/>
      <c r="G399" s="40" t="n"/>
      <c r="H399" s="42" t="n"/>
      <c r="I399" s="110" t="n"/>
      <c r="J399" s="40" t="n"/>
      <c r="K399" s="40" t="n"/>
    </row>
    <row r="400">
      <c r="A400" s="47" t="n"/>
      <c r="B400" s="50">
        <f>IFERROR(INDEX(الموظفون_الاسم,MATCH($A400,الموظفون_الرقم,0)),"")</f>
        <v/>
      </c>
      <c r="C400" s="47" t="n"/>
      <c r="D400" s="47" t="n"/>
      <c r="E400" s="112" t="n"/>
      <c r="F400" s="47" t="n"/>
      <c r="G400" s="47" t="n"/>
      <c r="H400" s="49" t="n"/>
      <c r="I400" s="112" t="n"/>
      <c r="J400" s="47" t="n"/>
      <c r="K400" s="47" t="n"/>
    </row>
    <row r="401">
      <c r="A401" s="40" t="n"/>
      <c r="B401" s="43">
        <f>IFERROR(INDEX(الموظفون_الاسم,MATCH($A401,الموظفون_الرقم,0)),"")</f>
        <v/>
      </c>
      <c r="C401" s="40" t="n"/>
      <c r="D401" s="40" t="n"/>
      <c r="E401" s="110" t="n"/>
      <c r="F401" s="40" t="n"/>
      <c r="G401" s="40" t="n"/>
      <c r="H401" s="42" t="n"/>
      <c r="I401" s="110" t="n"/>
      <c r="J401" s="40" t="n"/>
      <c r="K401" s="40" t="n"/>
    </row>
    <row r="402">
      <c r="A402" s="47" t="n"/>
      <c r="B402" s="50">
        <f>IFERROR(INDEX(الموظفون_الاسم,MATCH($A402,الموظفون_الرقم,0)),"")</f>
        <v/>
      </c>
      <c r="C402" s="47" t="n"/>
      <c r="D402" s="47" t="n"/>
      <c r="E402" s="112" t="n"/>
      <c r="F402" s="47" t="n"/>
      <c r="G402" s="47" t="n"/>
      <c r="H402" s="49" t="n"/>
      <c r="I402" s="112" t="n"/>
      <c r="J402" s="47" t="n"/>
      <c r="K402" s="47" t="n"/>
    </row>
    <row r="403">
      <c r="A403" s="40" t="n"/>
      <c r="B403" s="43">
        <f>IFERROR(INDEX(الموظفون_الاسم,MATCH($A403,الموظفون_الرقم,0)),"")</f>
        <v/>
      </c>
      <c r="C403" s="40" t="n"/>
      <c r="D403" s="40" t="n"/>
      <c r="E403" s="110" t="n"/>
      <c r="F403" s="40" t="n"/>
      <c r="G403" s="40" t="n"/>
      <c r="H403" s="42" t="n"/>
      <c r="I403" s="110" t="n"/>
      <c r="J403" s="40" t="n"/>
      <c r="K403" s="40" t="n"/>
    </row>
    <row r="404">
      <c r="A404" s="47" t="n"/>
      <c r="B404" s="50">
        <f>IFERROR(INDEX(الموظفون_الاسم,MATCH($A404,الموظفون_الرقم,0)),"")</f>
        <v/>
      </c>
      <c r="C404" s="47" t="n"/>
      <c r="D404" s="47" t="n"/>
      <c r="E404" s="112" t="n"/>
      <c r="F404" s="47" t="n"/>
      <c r="G404" s="47" t="n"/>
      <c r="H404" s="49" t="n"/>
      <c r="I404" s="112" t="n"/>
      <c r="J404" s="47" t="n"/>
      <c r="K404" s="47" t="n"/>
    </row>
    <row r="405">
      <c r="A405" s="40" t="n"/>
      <c r="B405" s="43">
        <f>IFERROR(INDEX(الموظفون_الاسم,MATCH($A405,الموظفون_الرقم,0)),"")</f>
        <v/>
      </c>
      <c r="C405" s="40" t="n"/>
      <c r="D405" s="40" t="n"/>
      <c r="E405" s="110" t="n"/>
      <c r="F405" s="40" t="n"/>
      <c r="G405" s="40" t="n"/>
      <c r="H405" s="42" t="n"/>
      <c r="I405" s="110" t="n"/>
      <c r="J405" s="40" t="n"/>
      <c r="K405" s="40" t="n"/>
    </row>
    <row r="406">
      <c r="A406" s="47" t="n"/>
      <c r="B406" s="50">
        <f>IFERROR(INDEX(الموظفون_الاسم,MATCH($A406,الموظفون_الرقم,0)),"")</f>
        <v/>
      </c>
      <c r="C406" s="47" t="n"/>
      <c r="D406" s="47" t="n"/>
      <c r="E406" s="112" t="n"/>
      <c r="F406" s="47" t="n"/>
      <c r="G406" s="47" t="n"/>
      <c r="H406" s="49" t="n"/>
      <c r="I406" s="112" t="n"/>
      <c r="J406" s="47" t="n"/>
      <c r="K406" s="47" t="n"/>
    </row>
    <row r="407">
      <c r="A407" s="40" t="n"/>
      <c r="B407" s="43">
        <f>IFERROR(INDEX(الموظفون_الاسم,MATCH($A407,الموظفون_الرقم,0)),"")</f>
        <v/>
      </c>
      <c r="C407" s="40" t="n"/>
      <c r="D407" s="40" t="n"/>
      <c r="E407" s="110" t="n"/>
      <c r="F407" s="40" t="n"/>
      <c r="G407" s="40" t="n"/>
      <c r="H407" s="42" t="n"/>
      <c r="I407" s="110" t="n"/>
      <c r="J407" s="40" t="n"/>
      <c r="K407" s="40" t="n"/>
    </row>
    <row r="408">
      <c r="A408" s="47" t="n"/>
      <c r="B408" s="50">
        <f>IFERROR(INDEX(الموظفون_الاسم,MATCH($A408,الموظفون_الرقم,0)),"")</f>
        <v/>
      </c>
      <c r="C408" s="47" t="n"/>
      <c r="D408" s="47" t="n"/>
      <c r="E408" s="112" t="n"/>
      <c r="F408" s="47" t="n"/>
      <c r="G408" s="47" t="n"/>
      <c r="H408" s="49" t="n"/>
      <c r="I408" s="112" t="n"/>
      <c r="J408" s="47" t="n"/>
      <c r="K408" s="47" t="n"/>
    </row>
    <row r="409">
      <c r="A409" s="40" t="n"/>
      <c r="B409" s="43">
        <f>IFERROR(INDEX(الموظفون_الاسم,MATCH($A409,الموظفون_الرقم,0)),"")</f>
        <v/>
      </c>
      <c r="C409" s="40" t="n"/>
      <c r="D409" s="40" t="n"/>
      <c r="E409" s="110" t="n"/>
      <c r="F409" s="40" t="n"/>
      <c r="G409" s="40" t="n"/>
      <c r="H409" s="42" t="n"/>
      <c r="I409" s="110" t="n"/>
      <c r="J409" s="40" t="n"/>
      <c r="K409" s="40" t="n"/>
    </row>
    <row r="410">
      <c r="A410" s="47" t="n"/>
      <c r="B410" s="50">
        <f>IFERROR(INDEX(الموظفون_الاسم,MATCH($A410,الموظفون_الرقم,0)),"")</f>
        <v/>
      </c>
      <c r="C410" s="47" t="n"/>
      <c r="D410" s="47" t="n"/>
      <c r="E410" s="112" t="n"/>
      <c r="F410" s="47" t="n"/>
      <c r="G410" s="47" t="n"/>
      <c r="H410" s="49" t="n"/>
      <c r="I410" s="112" t="n"/>
      <c r="J410" s="47" t="n"/>
      <c r="K410" s="47" t="n"/>
    </row>
    <row r="411">
      <c r="A411" s="40" t="n"/>
      <c r="B411" s="43">
        <f>IFERROR(INDEX(الموظفون_الاسم,MATCH($A411,الموظفون_الرقم,0)),"")</f>
        <v/>
      </c>
      <c r="C411" s="40" t="n"/>
      <c r="D411" s="40" t="n"/>
      <c r="E411" s="110" t="n"/>
      <c r="F411" s="40" t="n"/>
      <c r="G411" s="40" t="n"/>
      <c r="H411" s="42" t="n"/>
      <c r="I411" s="110" t="n"/>
      <c r="J411" s="40" t="n"/>
      <c r="K411" s="40" t="n"/>
    </row>
    <row r="412">
      <c r="A412" s="47" t="n"/>
      <c r="B412" s="50">
        <f>IFERROR(INDEX(الموظفون_الاسم,MATCH($A412,الموظفون_الرقم,0)),"")</f>
        <v/>
      </c>
      <c r="C412" s="47" t="n"/>
      <c r="D412" s="47" t="n"/>
      <c r="E412" s="112" t="n"/>
      <c r="F412" s="47" t="n"/>
      <c r="G412" s="47" t="n"/>
      <c r="H412" s="49" t="n"/>
      <c r="I412" s="112" t="n"/>
      <c r="J412" s="47" t="n"/>
      <c r="K412" s="47" t="n"/>
    </row>
    <row r="413">
      <c r="A413" s="40" t="n"/>
      <c r="B413" s="43">
        <f>IFERROR(INDEX(الموظفون_الاسم,MATCH($A413,الموظفون_الرقم,0)),"")</f>
        <v/>
      </c>
      <c r="C413" s="40" t="n"/>
      <c r="D413" s="40" t="n"/>
      <c r="E413" s="110" t="n"/>
      <c r="F413" s="40" t="n"/>
      <c r="G413" s="40" t="n"/>
      <c r="H413" s="42" t="n"/>
      <c r="I413" s="110" t="n"/>
      <c r="J413" s="40" t="n"/>
      <c r="K413" s="40" t="n"/>
    </row>
    <row r="414">
      <c r="A414" s="47" t="n"/>
      <c r="B414" s="50">
        <f>IFERROR(INDEX(الموظفون_الاسم,MATCH($A414,الموظفون_الرقم,0)),"")</f>
        <v/>
      </c>
      <c r="C414" s="47" t="n"/>
      <c r="D414" s="47" t="n"/>
      <c r="E414" s="112" t="n"/>
      <c r="F414" s="47" t="n"/>
      <c r="G414" s="47" t="n"/>
      <c r="H414" s="49" t="n"/>
      <c r="I414" s="112" t="n"/>
      <c r="J414" s="47" t="n"/>
      <c r="K414" s="47" t="n"/>
    </row>
    <row r="415">
      <c r="A415" s="40" t="n"/>
      <c r="B415" s="43">
        <f>IFERROR(INDEX(الموظفون_الاسم,MATCH($A415,الموظفون_الرقم,0)),"")</f>
        <v/>
      </c>
      <c r="C415" s="40" t="n"/>
      <c r="D415" s="40" t="n"/>
      <c r="E415" s="110" t="n"/>
      <c r="F415" s="40" t="n"/>
      <c r="G415" s="40" t="n"/>
      <c r="H415" s="42" t="n"/>
      <c r="I415" s="110" t="n"/>
      <c r="J415" s="40" t="n"/>
      <c r="K415" s="40" t="n"/>
    </row>
    <row r="416">
      <c r="A416" s="47" t="n"/>
      <c r="B416" s="50">
        <f>IFERROR(INDEX(الموظفون_الاسم,MATCH($A416,الموظفون_الرقم,0)),"")</f>
        <v/>
      </c>
      <c r="C416" s="47" t="n"/>
      <c r="D416" s="47" t="n"/>
      <c r="E416" s="112" t="n"/>
      <c r="F416" s="47" t="n"/>
      <c r="G416" s="47" t="n"/>
      <c r="H416" s="49" t="n"/>
      <c r="I416" s="112" t="n"/>
      <c r="J416" s="47" t="n"/>
      <c r="K416" s="47" t="n"/>
    </row>
    <row r="417">
      <c r="A417" s="40" t="n"/>
      <c r="B417" s="43">
        <f>IFERROR(INDEX(الموظفون_الاسم,MATCH($A417,الموظفون_الرقم,0)),"")</f>
        <v/>
      </c>
      <c r="C417" s="40" t="n"/>
      <c r="D417" s="40" t="n"/>
      <c r="E417" s="110" t="n"/>
      <c r="F417" s="40" t="n"/>
      <c r="G417" s="40" t="n"/>
      <c r="H417" s="42" t="n"/>
      <c r="I417" s="110" t="n"/>
      <c r="J417" s="40" t="n"/>
      <c r="K417" s="40" t="n"/>
    </row>
    <row r="418">
      <c r="A418" s="47" t="n"/>
      <c r="B418" s="50">
        <f>IFERROR(INDEX(الموظفون_الاسم,MATCH($A418,الموظفون_الرقم,0)),"")</f>
        <v/>
      </c>
      <c r="C418" s="47" t="n"/>
      <c r="D418" s="47" t="n"/>
      <c r="E418" s="112" t="n"/>
      <c r="F418" s="47" t="n"/>
      <c r="G418" s="47" t="n"/>
      <c r="H418" s="49" t="n"/>
      <c r="I418" s="112" t="n"/>
      <c r="J418" s="47" t="n"/>
      <c r="K418" s="47" t="n"/>
    </row>
    <row r="419">
      <c r="A419" s="40" t="n"/>
      <c r="B419" s="43">
        <f>IFERROR(INDEX(الموظفون_الاسم,MATCH($A419,الموظفون_الرقم,0)),"")</f>
        <v/>
      </c>
      <c r="C419" s="40" t="n"/>
      <c r="D419" s="40" t="n"/>
      <c r="E419" s="110" t="n"/>
      <c r="F419" s="40" t="n"/>
      <c r="G419" s="40" t="n"/>
      <c r="H419" s="42" t="n"/>
      <c r="I419" s="110" t="n"/>
      <c r="J419" s="40" t="n"/>
      <c r="K419" s="40" t="n"/>
    </row>
    <row r="420">
      <c r="A420" s="47" t="n"/>
      <c r="B420" s="50">
        <f>IFERROR(INDEX(الموظفون_الاسم,MATCH($A420,الموظفون_الرقم,0)),"")</f>
        <v/>
      </c>
      <c r="C420" s="47" t="n"/>
      <c r="D420" s="47" t="n"/>
      <c r="E420" s="112" t="n"/>
      <c r="F420" s="47" t="n"/>
      <c r="G420" s="47" t="n"/>
      <c r="H420" s="49" t="n"/>
      <c r="I420" s="112" t="n"/>
      <c r="J420" s="47" t="n"/>
      <c r="K420" s="47" t="n"/>
    </row>
    <row r="421">
      <c r="A421" s="40" t="n"/>
      <c r="B421" s="43">
        <f>IFERROR(INDEX(الموظفون_الاسم,MATCH($A421,الموظفون_الرقم,0)),"")</f>
        <v/>
      </c>
      <c r="C421" s="40" t="n"/>
      <c r="D421" s="40" t="n"/>
      <c r="E421" s="110" t="n"/>
      <c r="F421" s="40" t="n"/>
      <c r="G421" s="40" t="n"/>
      <c r="H421" s="42" t="n"/>
      <c r="I421" s="110" t="n"/>
      <c r="J421" s="40" t="n"/>
      <c r="K421" s="40" t="n"/>
    </row>
    <row r="422">
      <c r="A422" s="47" t="n"/>
      <c r="B422" s="50">
        <f>IFERROR(INDEX(الموظفون_الاسم,MATCH($A422,الموظفون_الرقم,0)),"")</f>
        <v/>
      </c>
      <c r="C422" s="47" t="n"/>
      <c r="D422" s="47" t="n"/>
      <c r="E422" s="112" t="n"/>
      <c r="F422" s="47" t="n"/>
      <c r="G422" s="47" t="n"/>
      <c r="H422" s="49" t="n"/>
      <c r="I422" s="112" t="n"/>
      <c r="J422" s="47" t="n"/>
      <c r="K422" s="47" t="n"/>
    </row>
    <row r="423">
      <c r="A423" s="40" t="n"/>
      <c r="B423" s="43">
        <f>IFERROR(INDEX(الموظفون_الاسم,MATCH($A423,الموظفون_الرقم,0)),"")</f>
        <v/>
      </c>
      <c r="C423" s="40" t="n"/>
      <c r="D423" s="40" t="n"/>
      <c r="E423" s="110" t="n"/>
      <c r="F423" s="40" t="n"/>
      <c r="G423" s="40" t="n"/>
      <c r="H423" s="42" t="n"/>
      <c r="I423" s="110" t="n"/>
      <c r="J423" s="40" t="n"/>
      <c r="K423" s="40" t="n"/>
    </row>
    <row r="424">
      <c r="A424" s="47" t="n"/>
      <c r="B424" s="50">
        <f>IFERROR(INDEX(الموظفون_الاسم,MATCH($A424,الموظفون_الرقم,0)),"")</f>
        <v/>
      </c>
      <c r="C424" s="47" t="n"/>
      <c r="D424" s="47" t="n"/>
      <c r="E424" s="112" t="n"/>
      <c r="F424" s="47" t="n"/>
      <c r="G424" s="47" t="n"/>
      <c r="H424" s="49" t="n"/>
      <c r="I424" s="112" t="n"/>
      <c r="J424" s="47" t="n"/>
      <c r="K424" s="47" t="n"/>
    </row>
    <row r="425">
      <c r="A425" s="40" t="n"/>
      <c r="B425" s="43">
        <f>IFERROR(INDEX(الموظفون_الاسم,MATCH($A425,الموظفون_الرقم,0)),"")</f>
        <v/>
      </c>
      <c r="C425" s="40" t="n"/>
      <c r="D425" s="40" t="n"/>
      <c r="E425" s="110" t="n"/>
      <c r="F425" s="40" t="n"/>
      <c r="G425" s="40" t="n"/>
      <c r="H425" s="42" t="n"/>
      <c r="I425" s="110" t="n"/>
      <c r="J425" s="40" t="n"/>
      <c r="K425" s="40" t="n"/>
    </row>
    <row r="426">
      <c r="A426" s="47" t="n"/>
      <c r="B426" s="50">
        <f>IFERROR(INDEX(الموظفون_الاسم,MATCH($A426,الموظفون_الرقم,0)),"")</f>
        <v/>
      </c>
      <c r="C426" s="47" t="n"/>
      <c r="D426" s="47" t="n"/>
      <c r="E426" s="112" t="n"/>
      <c r="F426" s="47" t="n"/>
      <c r="G426" s="47" t="n"/>
      <c r="H426" s="49" t="n"/>
      <c r="I426" s="112" t="n"/>
      <c r="J426" s="47" t="n"/>
      <c r="K426" s="47" t="n"/>
    </row>
    <row r="427">
      <c r="A427" s="40" t="n"/>
      <c r="B427" s="43">
        <f>IFERROR(INDEX(الموظفون_الاسم,MATCH($A427,الموظفون_الرقم,0)),"")</f>
        <v/>
      </c>
      <c r="C427" s="40" t="n"/>
      <c r="D427" s="40" t="n"/>
      <c r="E427" s="110" t="n"/>
      <c r="F427" s="40" t="n"/>
      <c r="G427" s="40" t="n"/>
      <c r="H427" s="42" t="n"/>
      <c r="I427" s="110" t="n"/>
      <c r="J427" s="40" t="n"/>
      <c r="K427" s="40" t="n"/>
    </row>
    <row r="428">
      <c r="A428" s="47" t="n"/>
      <c r="B428" s="50">
        <f>IFERROR(INDEX(الموظفون_الاسم,MATCH($A428,الموظفون_الرقم,0)),"")</f>
        <v/>
      </c>
      <c r="C428" s="47" t="n"/>
      <c r="D428" s="47" t="n"/>
      <c r="E428" s="112" t="n"/>
      <c r="F428" s="47" t="n"/>
      <c r="G428" s="47" t="n"/>
      <c r="H428" s="49" t="n"/>
      <c r="I428" s="112" t="n"/>
      <c r="J428" s="47" t="n"/>
      <c r="K428" s="47" t="n"/>
    </row>
    <row r="429">
      <c r="A429" s="40" t="n"/>
      <c r="B429" s="43">
        <f>IFERROR(INDEX(الموظفون_الاسم,MATCH($A429,الموظفون_الرقم,0)),"")</f>
        <v/>
      </c>
      <c r="C429" s="40" t="n"/>
      <c r="D429" s="40" t="n"/>
      <c r="E429" s="110" t="n"/>
      <c r="F429" s="40" t="n"/>
      <c r="G429" s="40" t="n"/>
      <c r="H429" s="42" t="n"/>
      <c r="I429" s="110" t="n"/>
      <c r="J429" s="40" t="n"/>
      <c r="K429" s="40" t="n"/>
    </row>
    <row r="430">
      <c r="A430" s="47" t="n"/>
      <c r="B430" s="50">
        <f>IFERROR(INDEX(الموظفون_الاسم,MATCH($A430,الموظفون_الرقم,0)),"")</f>
        <v/>
      </c>
      <c r="C430" s="47" t="n"/>
      <c r="D430" s="47" t="n"/>
      <c r="E430" s="112" t="n"/>
      <c r="F430" s="47" t="n"/>
      <c r="G430" s="47" t="n"/>
      <c r="H430" s="49" t="n"/>
      <c r="I430" s="112" t="n"/>
      <c r="J430" s="47" t="n"/>
      <c r="K430" s="47" t="n"/>
    </row>
    <row r="431">
      <c r="A431" s="40" t="n"/>
      <c r="B431" s="43">
        <f>IFERROR(INDEX(الموظفون_الاسم,MATCH($A431,الموظفون_الرقم,0)),"")</f>
        <v/>
      </c>
      <c r="C431" s="40" t="n"/>
      <c r="D431" s="40" t="n"/>
      <c r="E431" s="110" t="n"/>
      <c r="F431" s="40" t="n"/>
      <c r="G431" s="40" t="n"/>
      <c r="H431" s="42" t="n"/>
      <c r="I431" s="110" t="n"/>
      <c r="J431" s="40" t="n"/>
      <c r="K431" s="40" t="n"/>
    </row>
    <row r="432">
      <c r="A432" s="47" t="n"/>
      <c r="B432" s="50">
        <f>IFERROR(INDEX(الموظفون_الاسم,MATCH($A432,الموظفون_الرقم,0)),"")</f>
        <v/>
      </c>
      <c r="C432" s="47" t="n"/>
      <c r="D432" s="47" t="n"/>
      <c r="E432" s="112" t="n"/>
      <c r="F432" s="47" t="n"/>
      <c r="G432" s="47" t="n"/>
      <c r="H432" s="49" t="n"/>
      <c r="I432" s="112" t="n"/>
      <c r="J432" s="47" t="n"/>
      <c r="K432" s="47" t="n"/>
    </row>
    <row r="433">
      <c r="A433" s="40" t="n"/>
      <c r="B433" s="43">
        <f>IFERROR(INDEX(الموظفون_الاسم,MATCH($A433,الموظفون_الرقم,0)),"")</f>
        <v/>
      </c>
      <c r="C433" s="40" t="n"/>
      <c r="D433" s="40" t="n"/>
      <c r="E433" s="110" t="n"/>
      <c r="F433" s="40" t="n"/>
      <c r="G433" s="40" t="n"/>
      <c r="H433" s="42" t="n"/>
      <c r="I433" s="110" t="n"/>
      <c r="J433" s="40" t="n"/>
      <c r="K433" s="40" t="n"/>
    </row>
    <row r="434">
      <c r="A434" s="47" t="n"/>
      <c r="B434" s="50">
        <f>IFERROR(INDEX(الموظفون_الاسم,MATCH($A434,الموظفون_الرقم,0)),"")</f>
        <v/>
      </c>
      <c r="C434" s="47" t="n"/>
      <c r="D434" s="47" t="n"/>
      <c r="E434" s="112" t="n"/>
      <c r="F434" s="47" t="n"/>
      <c r="G434" s="47" t="n"/>
      <c r="H434" s="49" t="n"/>
      <c r="I434" s="112" t="n"/>
      <c r="J434" s="47" t="n"/>
      <c r="K434" s="47" t="n"/>
    </row>
    <row r="435">
      <c r="A435" s="40" t="n"/>
      <c r="B435" s="43">
        <f>IFERROR(INDEX(الموظفون_الاسم,MATCH($A435,الموظفون_الرقم,0)),"")</f>
        <v/>
      </c>
      <c r="C435" s="40" t="n"/>
      <c r="D435" s="40" t="n"/>
      <c r="E435" s="110" t="n"/>
      <c r="F435" s="40" t="n"/>
      <c r="G435" s="40" t="n"/>
      <c r="H435" s="42" t="n"/>
      <c r="I435" s="110" t="n"/>
      <c r="J435" s="40" t="n"/>
      <c r="K435" s="40" t="n"/>
    </row>
    <row r="436">
      <c r="A436" s="47" t="n"/>
      <c r="B436" s="50">
        <f>IFERROR(INDEX(الموظفون_الاسم,MATCH($A436,الموظفون_الرقم,0)),"")</f>
        <v/>
      </c>
      <c r="C436" s="47" t="n"/>
      <c r="D436" s="47" t="n"/>
      <c r="E436" s="112" t="n"/>
      <c r="F436" s="47" t="n"/>
      <c r="G436" s="47" t="n"/>
      <c r="H436" s="49" t="n"/>
      <c r="I436" s="112" t="n"/>
      <c r="J436" s="47" t="n"/>
      <c r="K436" s="47" t="n"/>
    </row>
    <row r="437">
      <c r="A437" s="40" t="n"/>
      <c r="B437" s="43">
        <f>IFERROR(INDEX(الموظفون_الاسم,MATCH($A437,الموظفون_الرقم,0)),"")</f>
        <v/>
      </c>
      <c r="C437" s="40" t="n"/>
      <c r="D437" s="40" t="n"/>
      <c r="E437" s="110" t="n"/>
      <c r="F437" s="40" t="n"/>
      <c r="G437" s="40" t="n"/>
      <c r="H437" s="42" t="n"/>
      <c r="I437" s="110" t="n"/>
      <c r="J437" s="40" t="n"/>
      <c r="K437" s="40" t="n"/>
    </row>
    <row r="438">
      <c r="A438" s="47" t="n"/>
      <c r="B438" s="50">
        <f>IFERROR(INDEX(الموظفون_الاسم,MATCH($A438,الموظفون_الرقم,0)),"")</f>
        <v/>
      </c>
      <c r="C438" s="47" t="n"/>
      <c r="D438" s="47" t="n"/>
      <c r="E438" s="112" t="n"/>
      <c r="F438" s="47" t="n"/>
      <c r="G438" s="47" t="n"/>
      <c r="H438" s="49" t="n"/>
      <c r="I438" s="112" t="n"/>
      <c r="J438" s="47" t="n"/>
      <c r="K438" s="47" t="n"/>
    </row>
    <row r="439">
      <c r="A439" s="40" t="n"/>
      <c r="B439" s="43">
        <f>IFERROR(INDEX(الموظفون_الاسم,MATCH($A439,الموظفون_الرقم,0)),"")</f>
        <v/>
      </c>
      <c r="C439" s="40" t="n"/>
      <c r="D439" s="40" t="n"/>
      <c r="E439" s="110" t="n"/>
      <c r="F439" s="40" t="n"/>
      <c r="G439" s="40" t="n"/>
      <c r="H439" s="42" t="n"/>
      <c r="I439" s="110" t="n"/>
      <c r="J439" s="40" t="n"/>
      <c r="K439" s="40" t="n"/>
    </row>
    <row r="440">
      <c r="A440" s="47" t="n"/>
      <c r="B440" s="50">
        <f>IFERROR(INDEX(الموظفون_الاسم,MATCH($A440,الموظفون_الرقم,0)),"")</f>
        <v/>
      </c>
      <c r="C440" s="47" t="n"/>
      <c r="D440" s="47" t="n"/>
      <c r="E440" s="112" t="n"/>
      <c r="F440" s="47" t="n"/>
      <c r="G440" s="47" t="n"/>
      <c r="H440" s="49" t="n"/>
      <c r="I440" s="112" t="n"/>
      <c r="J440" s="47" t="n"/>
      <c r="K440" s="47" t="n"/>
    </row>
    <row r="441">
      <c r="A441" s="40" t="n"/>
      <c r="B441" s="43">
        <f>IFERROR(INDEX(الموظفون_الاسم,MATCH($A441,الموظفون_الرقم,0)),"")</f>
        <v/>
      </c>
      <c r="C441" s="40" t="n"/>
      <c r="D441" s="40" t="n"/>
      <c r="E441" s="110" t="n"/>
      <c r="F441" s="40" t="n"/>
      <c r="G441" s="40" t="n"/>
      <c r="H441" s="42" t="n"/>
      <c r="I441" s="110" t="n"/>
      <c r="J441" s="40" t="n"/>
      <c r="K441" s="40" t="n"/>
    </row>
    <row r="442">
      <c r="A442" s="47" t="n"/>
      <c r="B442" s="50">
        <f>IFERROR(INDEX(الموظفون_الاسم,MATCH($A442,الموظفون_الرقم,0)),"")</f>
        <v/>
      </c>
      <c r="C442" s="47" t="n"/>
      <c r="D442" s="47" t="n"/>
      <c r="E442" s="112" t="n"/>
      <c r="F442" s="47" t="n"/>
      <c r="G442" s="47" t="n"/>
      <c r="H442" s="49" t="n"/>
      <c r="I442" s="112" t="n"/>
      <c r="J442" s="47" t="n"/>
      <c r="K442" s="47" t="n"/>
    </row>
    <row r="443">
      <c r="A443" s="40" t="n"/>
      <c r="B443" s="43">
        <f>IFERROR(INDEX(الموظفون_الاسم,MATCH($A443,الموظفون_الرقم,0)),"")</f>
        <v/>
      </c>
      <c r="C443" s="40" t="n"/>
      <c r="D443" s="40" t="n"/>
      <c r="E443" s="110" t="n"/>
      <c r="F443" s="40" t="n"/>
      <c r="G443" s="40" t="n"/>
      <c r="H443" s="42" t="n"/>
      <c r="I443" s="110" t="n"/>
      <c r="J443" s="40" t="n"/>
      <c r="K443" s="40" t="n"/>
    </row>
    <row r="444">
      <c r="A444" s="47" t="n"/>
      <c r="B444" s="50">
        <f>IFERROR(INDEX(الموظفون_الاسم,MATCH($A444,الموظفون_الرقم,0)),"")</f>
        <v/>
      </c>
      <c r="C444" s="47" t="n"/>
      <c r="D444" s="47" t="n"/>
      <c r="E444" s="112" t="n"/>
      <c r="F444" s="47" t="n"/>
      <c r="G444" s="47" t="n"/>
      <c r="H444" s="49" t="n"/>
      <c r="I444" s="112" t="n"/>
      <c r="J444" s="47" t="n"/>
      <c r="K444" s="47" t="n"/>
    </row>
    <row r="445">
      <c r="A445" s="40" t="n"/>
      <c r="B445" s="43">
        <f>IFERROR(INDEX(الموظفون_الاسم,MATCH($A445,الموظفون_الرقم,0)),"")</f>
        <v/>
      </c>
      <c r="C445" s="40" t="n"/>
      <c r="D445" s="40" t="n"/>
      <c r="E445" s="110" t="n"/>
      <c r="F445" s="40" t="n"/>
      <c r="G445" s="40" t="n"/>
      <c r="H445" s="42" t="n"/>
      <c r="I445" s="110" t="n"/>
      <c r="J445" s="40" t="n"/>
      <c r="K445" s="40" t="n"/>
    </row>
    <row r="446">
      <c r="A446" s="47" t="n"/>
      <c r="B446" s="50">
        <f>IFERROR(INDEX(الموظفون_الاسم,MATCH($A446,الموظفون_الرقم,0)),"")</f>
        <v/>
      </c>
      <c r="C446" s="47" t="n"/>
      <c r="D446" s="47" t="n"/>
      <c r="E446" s="112" t="n"/>
      <c r="F446" s="47" t="n"/>
      <c r="G446" s="47" t="n"/>
      <c r="H446" s="49" t="n"/>
      <c r="I446" s="112" t="n"/>
      <c r="J446" s="47" t="n"/>
      <c r="K446" s="47" t="n"/>
    </row>
    <row r="447">
      <c r="A447" s="40" t="n"/>
      <c r="B447" s="43">
        <f>IFERROR(INDEX(الموظفون_الاسم,MATCH($A447,الموظفون_الرقم,0)),"")</f>
        <v/>
      </c>
      <c r="C447" s="40" t="n"/>
      <c r="D447" s="40" t="n"/>
      <c r="E447" s="110" t="n"/>
      <c r="F447" s="40" t="n"/>
      <c r="G447" s="40" t="n"/>
      <c r="H447" s="42" t="n"/>
      <c r="I447" s="110" t="n"/>
      <c r="J447" s="40" t="n"/>
      <c r="K447" s="40" t="n"/>
    </row>
    <row r="448">
      <c r="A448" s="47" t="n"/>
      <c r="B448" s="50">
        <f>IFERROR(INDEX(الموظفون_الاسم,MATCH($A448,الموظفون_الرقم,0)),"")</f>
        <v/>
      </c>
      <c r="C448" s="47" t="n"/>
      <c r="D448" s="47" t="n"/>
      <c r="E448" s="112" t="n"/>
      <c r="F448" s="47" t="n"/>
      <c r="G448" s="47" t="n"/>
      <c r="H448" s="49" t="n"/>
      <c r="I448" s="112" t="n"/>
      <c r="J448" s="47" t="n"/>
      <c r="K448" s="47" t="n"/>
    </row>
    <row r="449">
      <c r="A449" s="40" t="n"/>
      <c r="B449" s="43">
        <f>IFERROR(INDEX(الموظفون_الاسم,MATCH($A449,الموظفون_الرقم,0)),"")</f>
        <v/>
      </c>
      <c r="C449" s="40" t="n"/>
      <c r="D449" s="40" t="n"/>
      <c r="E449" s="110" t="n"/>
      <c r="F449" s="40" t="n"/>
      <c r="G449" s="40" t="n"/>
      <c r="H449" s="42" t="n"/>
      <c r="I449" s="110" t="n"/>
      <c r="J449" s="40" t="n"/>
      <c r="K449" s="40" t="n"/>
    </row>
    <row r="450">
      <c r="A450" s="47" t="n"/>
      <c r="B450" s="50">
        <f>IFERROR(INDEX(الموظفون_الاسم,MATCH($A450,الموظفون_الرقم,0)),"")</f>
        <v/>
      </c>
      <c r="C450" s="47" t="n"/>
      <c r="D450" s="47" t="n"/>
      <c r="E450" s="112" t="n"/>
      <c r="F450" s="47" t="n"/>
      <c r="G450" s="47" t="n"/>
      <c r="H450" s="49" t="n"/>
      <c r="I450" s="112" t="n"/>
      <c r="J450" s="47" t="n"/>
      <c r="K450" s="47" t="n"/>
    </row>
    <row r="451">
      <c r="A451" s="40" t="n"/>
      <c r="B451" s="43">
        <f>IFERROR(INDEX(الموظفون_الاسم,MATCH($A451,الموظفون_الرقم,0)),"")</f>
        <v/>
      </c>
      <c r="C451" s="40" t="n"/>
      <c r="D451" s="40" t="n"/>
      <c r="E451" s="110" t="n"/>
      <c r="F451" s="40" t="n"/>
      <c r="G451" s="40" t="n"/>
      <c r="H451" s="42" t="n"/>
      <c r="I451" s="110" t="n"/>
      <c r="J451" s="40" t="n"/>
      <c r="K451" s="40" t="n"/>
    </row>
    <row r="452">
      <c r="A452" s="47" t="n"/>
      <c r="B452" s="50">
        <f>IFERROR(INDEX(الموظفون_الاسم,MATCH($A452,الموظفون_الرقم,0)),"")</f>
        <v/>
      </c>
      <c r="C452" s="47" t="n"/>
      <c r="D452" s="47" t="n"/>
      <c r="E452" s="112" t="n"/>
      <c r="F452" s="47" t="n"/>
      <c r="G452" s="47" t="n"/>
      <c r="H452" s="49" t="n"/>
      <c r="I452" s="112" t="n"/>
      <c r="J452" s="47" t="n"/>
      <c r="K452" s="47" t="n"/>
    </row>
    <row r="453">
      <c r="A453" s="40" t="n"/>
      <c r="B453" s="43">
        <f>IFERROR(INDEX(الموظفون_الاسم,MATCH($A453,الموظفون_الرقم,0)),"")</f>
        <v/>
      </c>
      <c r="C453" s="40" t="n"/>
      <c r="D453" s="40" t="n"/>
      <c r="E453" s="110" t="n"/>
      <c r="F453" s="40" t="n"/>
      <c r="G453" s="40" t="n"/>
      <c r="H453" s="42" t="n"/>
      <c r="I453" s="110" t="n"/>
      <c r="J453" s="40" t="n"/>
      <c r="K453" s="40" t="n"/>
    </row>
    <row r="454">
      <c r="A454" s="47" t="n"/>
      <c r="B454" s="50">
        <f>IFERROR(INDEX(الموظفون_الاسم,MATCH($A454,الموظفون_الرقم,0)),"")</f>
        <v/>
      </c>
      <c r="C454" s="47" t="n"/>
      <c r="D454" s="47" t="n"/>
      <c r="E454" s="112" t="n"/>
      <c r="F454" s="47" t="n"/>
      <c r="G454" s="47" t="n"/>
      <c r="H454" s="49" t="n"/>
      <c r="I454" s="112" t="n"/>
      <c r="J454" s="47" t="n"/>
      <c r="K454" s="47" t="n"/>
    </row>
    <row r="455">
      <c r="A455" s="40" t="n"/>
      <c r="B455" s="43">
        <f>IFERROR(INDEX(الموظفون_الاسم,MATCH($A455,الموظفون_الرقم,0)),"")</f>
        <v/>
      </c>
      <c r="C455" s="40" t="n"/>
      <c r="D455" s="40" t="n"/>
      <c r="E455" s="110" t="n"/>
      <c r="F455" s="40" t="n"/>
      <c r="G455" s="40" t="n"/>
      <c r="H455" s="42" t="n"/>
      <c r="I455" s="110" t="n"/>
      <c r="J455" s="40" t="n"/>
      <c r="K455" s="40" t="n"/>
    </row>
    <row r="456">
      <c r="A456" s="47" t="n"/>
      <c r="B456" s="50">
        <f>IFERROR(INDEX(الموظفون_الاسم,MATCH($A456,الموظفون_الرقم,0)),"")</f>
        <v/>
      </c>
      <c r="C456" s="47" t="n"/>
      <c r="D456" s="47" t="n"/>
      <c r="E456" s="112" t="n"/>
      <c r="F456" s="47" t="n"/>
      <c r="G456" s="47" t="n"/>
      <c r="H456" s="49" t="n"/>
      <c r="I456" s="112" t="n"/>
      <c r="J456" s="47" t="n"/>
      <c r="K456" s="47" t="n"/>
    </row>
    <row r="457">
      <c r="A457" s="40" t="n"/>
      <c r="B457" s="43">
        <f>IFERROR(INDEX(الموظفون_الاسم,MATCH($A457,الموظفون_الرقم,0)),"")</f>
        <v/>
      </c>
      <c r="C457" s="40" t="n"/>
      <c r="D457" s="40" t="n"/>
      <c r="E457" s="110" t="n"/>
      <c r="F457" s="40" t="n"/>
      <c r="G457" s="40" t="n"/>
      <c r="H457" s="42" t="n"/>
      <c r="I457" s="110" t="n"/>
      <c r="J457" s="40" t="n"/>
      <c r="K457" s="40" t="n"/>
    </row>
    <row r="458">
      <c r="A458" s="47" t="n"/>
      <c r="B458" s="50">
        <f>IFERROR(INDEX(الموظفون_الاسم,MATCH($A458,الموظفون_الرقم,0)),"")</f>
        <v/>
      </c>
      <c r="C458" s="47" t="n"/>
      <c r="D458" s="47" t="n"/>
      <c r="E458" s="112" t="n"/>
      <c r="F458" s="47" t="n"/>
      <c r="G458" s="47" t="n"/>
      <c r="H458" s="49" t="n"/>
      <c r="I458" s="112" t="n"/>
      <c r="J458" s="47" t="n"/>
      <c r="K458" s="47" t="n"/>
    </row>
    <row r="459">
      <c r="A459" s="40" t="n"/>
      <c r="B459" s="43">
        <f>IFERROR(INDEX(الموظفون_الاسم,MATCH($A459,الموظفون_الرقم,0)),"")</f>
        <v/>
      </c>
      <c r="C459" s="40" t="n"/>
      <c r="D459" s="40" t="n"/>
      <c r="E459" s="110" t="n"/>
      <c r="F459" s="40" t="n"/>
      <c r="G459" s="40" t="n"/>
      <c r="H459" s="42" t="n"/>
      <c r="I459" s="110" t="n"/>
      <c r="J459" s="40" t="n"/>
      <c r="K459" s="40" t="n"/>
    </row>
    <row r="460">
      <c r="A460" s="47" t="n"/>
      <c r="B460" s="50">
        <f>IFERROR(INDEX(الموظفون_الاسم,MATCH($A460,الموظفون_الرقم,0)),"")</f>
        <v/>
      </c>
      <c r="C460" s="47" t="n"/>
      <c r="D460" s="47" t="n"/>
      <c r="E460" s="112" t="n"/>
      <c r="F460" s="47" t="n"/>
      <c r="G460" s="47" t="n"/>
      <c r="H460" s="49" t="n"/>
      <c r="I460" s="112" t="n"/>
      <c r="J460" s="47" t="n"/>
      <c r="K460" s="47" t="n"/>
    </row>
    <row r="461">
      <c r="A461" s="40" t="n"/>
      <c r="B461" s="43">
        <f>IFERROR(INDEX(الموظفون_الاسم,MATCH($A461,الموظفون_الرقم,0)),"")</f>
        <v/>
      </c>
      <c r="C461" s="40" t="n"/>
      <c r="D461" s="40" t="n"/>
      <c r="E461" s="110" t="n"/>
      <c r="F461" s="40" t="n"/>
      <c r="G461" s="40" t="n"/>
      <c r="H461" s="42" t="n"/>
      <c r="I461" s="110" t="n"/>
      <c r="J461" s="40" t="n"/>
      <c r="K461" s="40" t="n"/>
    </row>
    <row r="462">
      <c r="A462" s="47" t="n"/>
      <c r="B462" s="50">
        <f>IFERROR(INDEX(الموظفون_الاسم,MATCH($A462,الموظفون_الرقم,0)),"")</f>
        <v/>
      </c>
      <c r="C462" s="47" t="n"/>
      <c r="D462" s="47" t="n"/>
      <c r="E462" s="112" t="n"/>
      <c r="F462" s="47" t="n"/>
      <c r="G462" s="47" t="n"/>
      <c r="H462" s="49" t="n"/>
      <c r="I462" s="112" t="n"/>
      <c r="J462" s="47" t="n"/>
      <c r="K462" s="47" t="n"/>
    </row>
    <row r="463">
      <c r="A463" s="40" t="n"/>
      <c r="B463" s="43">
        <f>IFERROR(INDEX(الموظفون_الاسم,MATCH($A463,الموظفون_الرقم,0)),"")</f>
        <v/>
      </c>
      <c r="C463" s="40" t="n"/>
      <c r="D463" s="40" t="n"/>
      <c r="E463" s="110" t="n"/>
      <c r="F463" s="40" t="n"/>
      <c r="G463" s="40" t="n"/>
      <c r="H463" s="42" t="n"/>
      <c r="I463" s="110" t="n"/>
      <c r="J463" s="40" t="n"/>
      <c r="K463" s="40" t="n"/>
    </row>
    <row r="464">
      <c r="A464" s="47" t="n"/>
      <c r="B464" s="50">
        <f>IFERROR(INDEX(الموظفون_الاسم,MATCH($A464,الموظفون_الرقم,0)),"")</f>
        <v/>
      </c>
      <c r="C464" s="47" t="n"/>
      <c r="D464" s="47" t="n"/>
      <c r="E464" s="112" t="n"/>
      <c r="F464" s="47" t="n"/>
      <c r="G464" s="47" t="n"/>
      <c r="H464" s="49" t="n"/>
      <c r="I464" s="112" t="n"/>
      <c r="J464" s="47" t="n"/>
      <c r="K464" s="47" t="n"/>
    </row>
    <row r="465">
      <c r="A465" s="40" t="n"/>
      <c r="B465" s="43">
        <f>IFERROR(INDEX(الموظفون_الاسم,MATCH($A465,الموظفون_الرقم,0)),"")</f>
        <v/>
      </c>
      <c r="C465" s="40" t="n"/>
      <c r="D465" s="40" t="n"/>
      <c r="E465" s="110" t="n"/>
      <c r="F465" s="40" t="n"/>
      <c r="G465" s="40" t="n"/>
      <c r="H465" s="42" t="n"/>
      <c r="I465" s="110" t="n"/>
      <c r="J465" s="40" t="n"/>
      <c r="K465" s="40" t="n"/>
    </row>
    <row r="466">
      <c r="A466" s="47" t="n"/>
      <c r="B466" s="50">
        <f>IFERROR(INDEX(الموظفون_الاسم,MATCH($A466,الموظفون_الرقم,0)),"")</f>
        <v/>
      </c>
      <c r="C466" s="47" t="n"/>
      <c r="D466" s="47" t="n"/>
      <c r="E466" s="112" t="n"/>
      <c r="F466" s="47" t="n"/>
      <c r="G466" s="47" t="n"/>
      <c r="H466" s="49" t="n"/>
      <c r="I466" s="112" t="n"/>
      <c r="J466" s="47" t="n"/>
      <c r="K466" s="47" t="n"/>
    </row>
    <row r="467">
      <c r="A467" s="40" t="n"/>
      <c r="B467" s="43">
        <f>IFERROR(INDEX(الموظفون_الاسم,MATCH($A467,الموظفون_الرقم,0)),"")</f>
        <v/>
      </c>
      <c r="C467" s="40" t="n"/>
      <c r="D467" s="40" t="n"/>
      <c r="E467" s="110" t="n"/>
      <c r="F467" s="40" t="n"/>
      <c r="G467" s="40" t="n"/>
      <c r="H467" s="42" t="n"/>
      <c r="I467" s="110" t="n"/>
      <c r="J467" s="40" t="n"/>
      <c r="K467" s="40" t="n"/>
    </row>
    <row r="468">
      <c r="A468" s="47" t="n"/>
      <c r="B468" s="50">
        <f>IFERROR(INDEX(الموظفون_الاسم,MATCH($A468,الموظفون_الرقم,0)),"")</f>
        <v/>
      </c>
      <c r="C468" s="47" t="n"/>
      <c r="D468" s="47" t="n"/>
      <c r="E468" s="112" t="n"/>
      <c r="F468" s="47" t="n"/>
      <c r="G468" s="47" t="n"/>
      <c r="H468" s="49" t="n"/>
      <c r="I468" s="112" t="n"/>
      <c r="J468" s="47" t="n"/>
      <c r="K468" s="47" t="n"/>
    </row>
    <row r="469">
      <c r="A469" s="40" t="n"/>
      <c r="B469" s="43">
        <f>IFERROR(INDEX(الموظفون_الاسم,MATCH($A469,الموظفون_الرقم,0)),"")</f>
        <v/>
      </c>
      <c r="C469" s="40" t="n"/>
      <c r="D469" s="40" t="n"/>
      <c r="E469" s="110" t="n"/>
      <c r="F469" s="40" t="n"/>
      <c r="G469" s="40" t="n"/>
      <c r="H469" s="42" t="n"/>
      <c r="I469" s="110" t="n"/>
      <c r="J469" s="40" t="n"/>
      <c r="K469" s="40" t="n"/>
    </row>
    <row r="470">
      <c r="A470" s="47" t="n"/>
      <c r="B470" s="50">
        <f>IFERROR(INDEX(الموظفون_الاسم,MATCH($A470,الموظفون_الرقم,0)),"")</f>
        <v/>
      </c>
      <c r="C470" s="47" t="n"/>
      <c r="D470" s="47" t="n"/>
      <c r="E470" s="112" t="n"/>
      <c r="F470" s="47" t="n"/>
      <c r="G470" s="47" t="n"/>
      <c r="H470" s="49" t="n"/>
      <c r="I470" s="112" t="n"/>
      <c r="J470" s="47" t="n"/>
      <c r="K470" s="47" t="n"/>
    </row>
    <row r="471">
      <c r="A471" s="40" t="n"/>
      <c r="B471" s="43">
        <f>IFERROR(INDEX(الموظفون_الاسم,MATCH($A471,الموظفون_الرقم,0)),"")</f>
        <v/>
      </c>
      <c r="C471" s="40" t="n"/>
      <c r="D471" s="40" t="n"/>
      <c r="E471" s="110" t="n"/>
      <c r="F471" s="40" t="n"/>
      <c r="G471" s="40" t="n"/>
      <c r="H471" s="42" t="n"/>
      <c r="I471" s="110" t="n"/>
      <c r="J471" s="40" t="n"/>
      <c r="K471" s="40" t="n"/>
    </row>
    <row r="472">
      <c r="A472" s="47" t="n"/>
      <c r="B472" s="50">
        <f>IFERROR(INDEX(الموظفون_الاسم,MATCH($A472,الموظفون_الرقم,0)),"")</f>
        <v/>
      </c>
      <c r="C472" s="47" t="n"/>
      <c r="D472" s="47" t="n"/>
      <c r="E472" s="112" t="n"/>
      <c r="F472" s="47" t="n"/>
      <c r="G472" s="47" t="n"/>
      <c r="H472" s="49" t="n"/>
      <c r="I472" s="112" t="n"/>
      <c r="J472" s="47" t="n"/>
      <c r="K472" s="47" t="n"/>
    </row>
    <row r="473">
      <c r="A473" s="40" t="n"/>
      <c r="B473" s="43">
        <f>IFERROR(INDEX(الموظفون_الاسم,MATCH($A473,الموظفون_الرقم,0)),"")</f>
        <v/>
      </c>
      <c r="C473" s="40" t="n"/>
      <c r="D473" s="40" t="n"/>
      <c r="E473" s="110" t="n"/>
      <c r="F473" s="40" t="n"/>
      <c r="G473" s="40" t="n"/>
      <c r="H473" s="42" t="n"/>
      <c r="I473" s="110" t="n"/>
      <c r="J473" s="40" t="n"/>
      <c r="K473" s="40" t="n"/>
    </row>
    <row r="474">
      <c r="A474" s="47" t="n"/>
      <c r="B474" s="50">
        <f>IFERROR(INDEX(الموظفون_الاسم,MATCH($A474,الموظفون_الرقم,0)),"")</f>
        <v/>
      </c>
      <c r="C474" s="47" t="n"/>
      <c r="D474" s="47" t="n"/>
      <c r="E474" s="112" t="n"/>
      <c r="F474" s="47" t="n"/>
      <c r="G474" s="47" t="n"/>
      <c r="H474" s="49" t="n"/>
      <c r="I474" s="112" t="n"/>
      <c r="J474" s="47" t="n"/>
      <c r="K474" s="47" t="n"/>
    </row>
    <row r="475">
      <c r="A475" s="40" t="n"/>
      <c r="B475" s="43">
        <f>IFERROR(INDEX(الموظفون_الاسم,MATCH($A475,الموظفون_الرقم,0)),"")</f>
        <v/>
      </c>
      <c r="C475" s="40" t="n"/>
      <c r="D475" s="40" t="n"/>
      <c r="E475" s="110" t="n"/>
      <c r="F475" s="40" t="n"/>
      <c r="G475" s="40" t="n"/>
      <c r="H475" s="42" t="n"/>
      <c r="I475" s="110" t="n"/>
      <c r="J475" s="40" t="n"/>
      <c r="K475" s="40" t="n"/>
    </row>
    <row r="476">
      <c r="A476" s="47" t="n"/>
      <c r="B476" s="50">
        <f>IFERROR(INDEX(الموظفون_الاسم,MATCH($A476,الموظفون_الرقم,0)),"")</f>
        <v/>
      </c>
      <c r="C476" s="47" t="n"/>
      <c r="D476" s="47" t="n"/>
      <c r="E476" s="112" t="n"/>
      <c r="F476" s="47" t="n"/>
      <c r="G476" s="47" t="n"/>
      <c r="H476" s="49" t="n"/>
      <c r="I476" s="112" t="n"/>
      <c r="J476" s="47" t="n"/>
      <c r="K476" s="47" t="n"/>
    </row>
    <row r="477">
      <c r="A477" s="40" t="n"/>
      <c r="B477" s="43">
        <f>IFERROR(INDEX(الموظفون_الاسم,MATCH($A477,الموظفون_الرقم,0)),"")</f>
        <v/>
      </c>
      <c r="C477" s="40" t="n"/>
      <c r="D477" s="40" t="n"/>
      <c r="E477" s="110" t="n"/>
      <c r="F477" s="40" t="n"/>
      <c r="G477" s="40" t="n"/>
      <c r="H477" s="42" t="n"/>
      <c r="I477" s="110" t="n"/>
      <c r="J477" s="40" t="n"/>
      <c r="K477" s="40" t="n"/>
    </row>
    <row r="478">
      <c r="A478" s="47" t="n"/>
      <c r="B478" s="50">
        <f>IFERROR(INDEX(الموظفون_الاسم,MATCH($A478,الموظفون_الرقم,0)),"")</f>
        <v/>
      </c>
      <c r="C478" s="47" t="n"/>
      <c r="D478" s="47" t="n"/>
      <c r="E478" s="112" t="n"/>
      <c r="F478" s="47" t="n"/>
      <c r="G478" s="47" t="n"/>
      <c r="H478" s="49" t="n"/>
      <c r="I478" s="112" t="n"/>
      <c r="J478" s="47" t="n"/>
      <c r="K478" s="47" t="n"/>
    </row>
    <row r="479">
      <c r="A479" s="40" t="n"/>
      <c r="B479" s="43">
        <f>IFERROR(INDEX(الموظفون_الاسم,MATCH($A479,الموظفون_الرقم,0)),"")</f>
        <v/>
      </c>
      <c r="C479" s="40" t="n"/>
      <c r="D479" s="40" t="n"/>
      <c r="E479" s="110" t="n"/>
      <c r="F479" s="40" t="n"/>
      <c r="G479" s="40" t="n"/>
      <c r="H479" s="42" t="n"/>
      <c r="I479" s="110" t="n"/>
      <c r="J479" s="40" t="n"/>
      <c r="K479" s="40" t="n"/>
    </row>
    <row r="480">
      <c r="A480" s="47" t="n"/>
      <c r="B480" s="50">
        <f>IFERROR(INDEX(الموظفون_الاسم,MATCH($A480,الموظفون_الرقم,0)),"")</f>
        <v/>
      </c>
      <c r="C480" s="47" t="n"/>
      <c r="D480" s="47" t="n"/>
      <c r="E480" s="112" t="n"/>
      <c r="F480" s="47" t="n"/>
      <c r="G480" s="47" t="n"/>
      <c r="H480" s="49" t="n"/>
      <c r="I480" s="112" t="n"/>
      <c r="J480" s="47" t="n"/>
      <c r="K480" s="47" t="n"/>
    </row>
    <row r="481">
      <c r="A481" s="40" t="n"/>
      <c r="B481" s="43">
        <f>IFERROR(INDEX(الموظفون_الاسم,MATCH($A481,الموظفون_الرقم,0)),"")</f>
        <v/>
      </c>
      <c r="C481" s="40" t="n"/>
      <c r="D481" s="40" t="n"/>
      <c r="E481" s="110" t="n"/>
      <c r="F481" s="40" t="n"/>
      <c r="G481" s="40" t="n"/>
      <c r="H481" s="42" t="n"/>
      <c r="I481" s="110" t="n"/>
      <c r="J481" s="40" t="n"/>
      <c r="K481" s="40" t="n"/>
    </row>
    <row r="482">
      <c r="A482" s="47" t="n"/>
      <c r="B482" s="50">
        <f>IFERROR(INDEX(الموظفون_الاسم,MATCH($A482,الموظفون_الرقم,0)),"")</f>
        <v/>
      </c>
      <c r="C482" s="47" t="n"/>
      <c r="D482" s="47" t="n"/>
      <c r="E482" s="112" t="n"/>
      <c r="F482" s="47" t="n"/>
      <c r="G482" s="47" t="n"/>
      <c r="H482" s="49" t="n"/>
      <c r="I482" s="112" t="n"/>
      <c r="J482" s="47" t="n"/>
      <c r="K482" s="47" t="n"/>
    </row>
    <row r="483">
      <c r="A483" s="40" t="n"/>
      <c r="B483" s="43">
        <f>IFERROR(INDEX(الموظفون_الاسم,MATCH($A483,الموظفون_الرقم,0)),"")</f>
        <v/>
      </c>
      <c r="C483" s="40" t="n"/>
      <c r="D483" s="40" t="n"/>
      <c r="E483" s="110" t="n"/>
      <c r="F483" s="40" t="n"/>
      <c r="G483" s="40" t="n"/>
      <c r="H483" s="42" t="n"/>
      <c r="I483" s="110" t="n"/>
      <c r="J483" s="40" t="n"/>
      <c r="K483" s="40" t="n"/>
    </row>
    <row r="484">
      <c r="A484" s="47" t="n"/>
      <c r="B484" s="50">
        <f>IFERROR(INDEX(الموظفون_الاسم,MATCH($A484,الموظفون_الرقم,0)),"")</f>
        <v/>
      </c>
      <c r="C484" s="47" t="n"/>
      <c r="D484" s="47" t="n"/>
      <c r="E484" s="112" t="n"/>
      <c r="F484" s="47" t="n"/>
      <c r="G484" s="47" t="n"/>
      <c r="H484" s="49" t="n"/>
      <c r="I484" s="112" t="n"/>
      <c r="J484" s="47" t="n"/>
      <c r="K484" s="47" t="n"/>
    </row>
    <row r="485">
      <c r="A485" s="40" t="n"/>
      <c r="B485" s="43">
        <f>IFERROR(INDEX(الموظفون_الاسم,MATCH($A485,الموظفون_الرقم,0)),"")</f>
        <v/>
      </c>
      <c r="C485" s="40" t="n"/>
      <c r="D485" s="40" t="n"/>
      <c r="E485" s="110" t="n"/>
      <c r="F485" s="40" t="n"/>
      <c r="G485" s="40" t="n"/>
      <c r="H485" s="42" t="n"/>
      <c r="I485" s="110" t="n"/>
      <c r="J485" s="40" t="n"/>
      <c r="K485" s="40" t="n"/>
    </row>
    <row r="486">
      <c r="A486" s="47" t="n"/>
      <c r="B486" s="50">
        <f>IFERROR(INDEX(الموظفون_الاسم,MATCH($A486,الموظفون_الرقم,0)),"")</f>
        <v/>
      </c>
      <c r="C486" s="47" t="n"/>
      <c r="D486" s="47" t="n"/>
      <c r="E486" s="112" t="n"/>
      <c r="F486" s="47" t="n"/>
      <c r="G486" s="47" t="n"/>
      <c r="H486" s="49" t="n"/>
      <c r="I486" s="112" t="n"/>
      <c r="J486" s="47" t="n"/>
      <c r="K486" s="47" t="n"/>
    </row>
    <row r="487">
      <c r="A487" s="40" t="n"/>
      <c r="B487" s="43">
        <f>IFERROR(INDEX(الموظفون_الاسم,MATCH($A487,الموظفون_الرقم,0)),"")</f>
        <v/>
      </c>
      <c r="C487" s="40" t="n"/>
      <c r="D487" s="40" t="n"/>
      <c r="E487" s="110" t="n"/>
      <c r="F487" s="40" t="n"/>
      <c r="G487" s="40" t="n"/>
      <c r="H487" s="42" t="n"/>
      <c r="I487" s="110" t="n"/>
      <c r="J487" s="40" t="n"/>
      <c r="K487" s="40" t="n"/>
    </row>
    <row r="488">
      <c r="A488" s="47" t="n"/>
      <c r="B488" s="50">
        <f>IFERROR(INDEX(الموظفون_الاسم,MATCH($A488,الموظفون_الرقم,0)),"")</f>
        <v/>
      </c>
      <c r="C488" s="47" t="n"/>
      <c r="D488" s="47" t="n"/>
      <c r="E488" s="112" t="n"/>
      <c r="F488" s="47" t="n"/>
      <c r="G488" s="47" t="n"/>
      <c r="H488" s="49" t="n"/>
      <c r="I488" s="112" t="n"/>
      <c r="J488" s="47" t="n"/>
      <c r="K488" s="47" t="n"/>
    </row>
    <row r="489">
      <c r="A489" s="40" t="n"/>
      <c r="B489" s="43">
        <f>IFERROR(INDEX(الموظفون_الاسم,MATCH($A489,الموظفون_الرقم,0)),"")</f>
        <v/>
      </c>
      <c r="C489" s="40" t="n"/>
      <c r="D489" s="40" t="n"/>
      <c r="E489" s="110" t="n"/>
      <c r="F489" s="40" t="n"/>
      <c r="G489" s="40" t="n"/>
      <c r="H489" s="42" t="n"/>
      <c r="I489" s="110" t="n"/>
      <c r="J489" s="40" t="n"/>
      <c r="K489" s="40" t="n"/>
    </row>
    <row r="490">
      <c r="A490" s="47" t="n"/>
      <c r="B490" s="50">
        <f>IFERROR(INDEX(الموظفون_الاسم,MATCH($A490,الموظفون_الرقم,0)),"")</f>
        <v/>
      </c>
      <c r="C490" s="47" t="n"/>
      <c r="D490" s="47" t="n"/>
      <c r="E490" s="112" t="n"/>
      <c r="F490" s="47" t="n"/>
      <c r="G490" s="47" t="n"/>
      <c r="H490" s="49" t="n"/>
      <c r="I490" s="112" t="n"/>
      <c r="J490" s="47" t="n"/>
      <c r="K490" s="47" t="n"/>
    </row>
    <row r="491">
      <c r="A491" s="40" t="n"/>
      <c r="B491" s="43">
        <f>IFERROR(INDEX(الموظفون_الاسم,MATCH($A491,الموظفون_الرقم,0)),"")</f>
        <v/>
      </c>
      <c r="C491" s="40" t="n"/>
      <c r="D491" s="40" t="n"/>
      <c r="E491" s="110" t="n"/>
      <c r="F491" s="40" t="n"/>
      <c r="G491" s="40" t="n"/>
      <c r="H491" s="42" t="n"/>
      <c r="I491" s="110" t="n"/>
      <c r="J491" s="40" t="n"/>
      <c r="K491" s="40" t="n"/>
    </row>
    <row r="492">
      <c r="A492" s="47" t="n"/>
      <c r="B492" s="50">
        <f>IFERROR(INDEX(الموظفون_الاسم,MATCH($A492,الموظفون_الرقم,0)),"")</f>
        <v/>
      </c>
      <c r="C492" s="47" t="n"/>
      <c r="D492" s="47" t="n"/>
      <c r="E492" s="112" t="n"/>
      <c r="F492" s="47" t="n"/>
      <c r="G492" s="47" t="n"/>
      <c r="H492" s="49" t="n"/>
      <c r="I492" s="112" t="n"/>
      <c r="J492" s="47" t="n"/>
      <c r="K492" s="47" t="n"/>
    </row>
    <row r="493">
      <c r="A493" s="40" t="n"/>
      <c r="B493" s="43">
        <f>IFERROR(INDEX(الموظفون_الاسم,MATCH($A493,الموظفون_الرقم,0)),"")</f>
        <v/>
      </c>
      <c r="C493" s="40" t="n"/>
      <c r="D493" s="40" t="n"/>
      <c r="E493" s="110" t="n"/>
      <c r="F493" s="40" t="n"/>
      <c r="G493" s="40" t="n"/>
      <c r="H493" s="42" t="n"/>
      <c r="I493" s="110" t="n"/>
      <c r="J493" s="40" t="n"/>
      <c r="K493" s="40" t="n"/>
    </row>
    <row r="494">
      <c r="A494" s="47" t="n"/>
      <c r="B494" s="50">
        <f>IFERROR(INDEX(الموظفون_الاسم,MATCH($A494,الموظفون_الرقم,0)),"")</f>
        <v/>
      </c>
      <c r="C494" s="47" t="n"/>
      <c r="D494" s="47" t="n"/>
      <c r="E494" s="112" t="n"/>
      <c r="F494" s="47" t="n"/>
      <c r="G494" s="47" t="n"/>
      <c r="H494" s="49" t="n"/>
      <c r="I494" s="112" t="n"/>
      <c r="J494" s="47" t="n"/>
      <c r="K494" s="47" t="n"/>
    </row>
    <row r="495">
      <c r="A495" s="40" t="n"/>
      <c r="B495" s="43">
        <f>IFERROR(INDEX(الموظفون_الاسم,MATCH($A495,الموظفون_الرقم,0)),"")</f>
        <v/>
      </c>
      <c r="C495" s="40" t="n"/>
      <c r="D495" s="40" t="n"/>
      <c r="E495" s="110" t="n"/>
      <c r="F495" s="40" t="n"/>
      <c r="G495" s="40" t="n"/>
      <c r="H495" s="42" t="n"/>
      <c r="I495" s="110" t="n"/>
      <c r="J495" s="40" t="n"/>
      <c r="K495" s="40" t="n"/>
    </row>
    <row r="496">
      <c r="A496" s="47" t="n"/>
      <c r="B496" s="50">
        <f>IFERROR(INDEX(الموظفون_الاسم,MATCH($A496,الموظفون_الرقم,0)),"")</f>
        <v/>
      </c>
      <c r="C496" s="47" t="n"/>
      <c r="D496" s="47" t="n"/>
      <c r="E496" s="112" t="n"/>
      <c r="F496" s="47" t="n"/>
      <c r="G496" s="47" t="n"/>
      <c r="H496" s="49" t="n"/>
      <c r="I496" s="112" t="n"/>
      <c r="J496" s="47" t="n"/>
      <c r="K496" s="47" t="n"/>
    </row>
    <row r="497">
      <c r="A497" s="40" t="n"/>
      <c r="B497" s="43">
        <f>IFERROR(INDEX(الموظفون_الاسم,MATCH($A497,الموظفون_الرقم,0)),"")</f>
        <v/>
      </c>
      <c r="C497" s="40" t="n"/>
      <c r="D497" s="40" t="n"/>
      <c r="E497" s="110" t="n"/>
      <c r="F497" s="40" t="n"/>
      <c r="G497" s="40" t="n"/>
      <c r="H497" s="42" t="n"/>
      <c r="I497" s="110" t="n"/>
      <c r="J497" s="40" t="n"/>
      <c r="K497" s="40" t="n"/>
    </row>
    <row r="498">
      <c r="A498" s="47" t="n"/>
      <c r="B498" s="50">
        <f>IFERROR(INDEX(الموظفون_الاسم,MATCH($A498,الموظفون_الرقم,0)),"")</f>
        <v/>
      </c>
      <c r="C498" s="47" t="n"/>
      <c r="D498" s="47" t="n"/>
      <c r="E498" s="112" t="n"/>
      <c r="F498" s="47" t="n"/>
      <c r="G498" s="47" t="n"/>
      <c r="H498" s="49" t="n"/>
      <c r="I498" s="112" t="n"/>
      <c r="J498" s="47" t="n"/>
      <c r="K498" s="47" t="n"/>
    </row>
    <row r="499">
      <c r="A499" s="40" t="n"/>
      <c r="B499" s="43">
        <f>IFERROR(INDEX(الموظفون_الاسم,MATCH($A499,الموظفون_الرقم,0)),"")</f>
        <v/>
      </c>
      <c r="C499" s="40" t="n"/>
      <c r="D499" s="40" t="n"/>
      <c r="E499" s="110" t="n"/>
      <c r="F499" s="40" t="n"/>
      <c r="G499" s="40" t="n"/>
      <c r="H499" s="42" t="n"/>
      <c r="I499" s="110" t="n"/>
      <c r="J499" s="40" t="n"/>
      <c r="K499" s="40" t="n"/>
    </row>
    <row r="500">
      <c r="A500" s="47" t="n"/>
      <c r="B500" s="50">
        <f>IFERROR(INDEX(الموظفون_الاسم,MATCH($A500,الموظفون_الرقم,0)),"")</f>
        <v/>
      </c>
      <c r="C500" s="47" t="n"/>
      <c r="D500" s="47" t="n"/>
      <c r="E500" s="112" t="n"/>
      <c r="F500" s="47" t="n"/>
      <c r="G500" s="47" t="n"/>
      <c r="H500" s="49" t="n"/>
      <c r="I500" s="112" t="n"/>
      <c r="J500" s="47" t="n"/>
      <c r="K500" s="47" t="n"/>
    </row>
    <row r="501">
      <c r="A501" s="40" t="n"/>
      <c r="B501" s="43">
        <f>IFERROR(INDEX(الموظفون_الاسم,MATCH($A501,الموظفون_الرقم,0)),"")</f>
        <v/>
      </c>
      <c r="C501" s="40" t="n"/>
      <c r="D501" s="40" t="n"/>
      <c r="E501" s="110" t="n"/>
      <c r="F501" s="40" t="n"/>
      <c r="G501" s="40" t="n"/>
      <c r="H501" s="42" t="n"/>
      <c r="I501" s="110" t="n"/>
      <c r="J501" s="40" t="n"/>
      <c r="K501" s="40" t="n"/>
    </row>
    <row r="502">
      <c r="A502" s="47" t="n"/>
      <c r="B502" s="50">
        <f>IFERROR(INDEX(الموظفون_الاسم,MATCH($A502,الموظفون_الرقم,0)),"")</f>
        <v/>
      </c>
      <c r="C502" s="47" t="n"/>
      <c r="D502" s="47" t="n"/>
      <c r="E502" s="112" t="n"/>
      <c r="F502" s="47" t="n"/>
      <c r="G502" s="47" t="n"/>
      <c r="H502" s="49" t="n"/>
      <c r="I502" s="112" t="n"/>
      <c r="J502" s="47" t="n"/>
      <c r="K502" s="4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C605"/>
  <autoFilter ref="A2:K502"/>
  <mergeCells count="1">
    <mergeCell ref="A1:K1"/>
  </mergeCells>
  <conditionalFormatting sqref="D3:D502">
    <cfRule type="cellIs" priority="1" operator="equal" dxfId="3">
      <formula>"جزاء"</formula>
    </cfRule>
    <cfRule type="cellIs" priority="2" operator="equal" dxfId="2">
      <formula>"مكافأة"</formula>
    </cfRule>
  </conditionalFormatting>
  <dataValidations count="3">
    <dataValidation sqref="A3:A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=قائمة_الرقم_الوظيفي</formula1>
    </dataValidation>
    <dataValidation sqref="D3:D502" showDropDown="0" showInputMessage="0" showErrorMessage="1" allowBlank="1" type="list" errorStyle="stop">
      <formula1>"جزاء,مكافأة"</formula1>
    </dataValidation>
    <dataValidation sqref="J3:J502" showDropDown="0" showInputMessage="0" showErrorMessage="1" allowBlank="1" type="list" errorStyle="stop">
      <formula1>"مقترح,معتمد,منفذ,ملغي"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E36C0A"/>
    <outlinePr summaryBelow="1" summaryRight="1"/>
    <pageSetUpPr fitToPage="1"/>
  </sheetPr>
  <dimension ref="A1:L502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4" customWidth="1" min="3" max="3"/>
    <col width="18" customWidth="1" min="4" max="4"/>
    <col width="13" customWidth="1" min="5" max="5"/>
    <col width="24" customWidth="1" min="6" max="6"/>
    <col width="16" customWidth="1" min="7" max="7"/>
    <col width="24" customWidth="1" min="8" max="8"/>
    <col width="14" customWidth="1" min="9" max="9"/>
    <col width="16" customWidth="1" min="10" max="10"/>
    <col width="14" customWidth="1" min="11" max="11"/>
    <col width="24" customWidth="1" min="12" max="12"/>
  </cols>
  <sheetData>
    <row r="1" ht="32" customHeight="1">
      <c r="A1" s="1" t="inlineStr">
        <is>
          <t>إنهاء الخدمة  —  نموذج إدخال</t>
        </is>
      </c>
    </row>
    <row r="2" ht="42" customHeight="1">
      <c r="A2" s="38" t="inlineStr">
        <is>
          <t>الرقم الوظيفي</t>
        </is>
      </c>
      <c r="B2" s="38" t="inlineStr">
        <is>
          <t>اسم الموظف</t>
        </is>
      </c>
      <c r="C2" s="38" t="inlineStr">
        <is>
          <t>تاريخ تقديم الطلب</t>
        </is>
      </c>
      <c r="D2" s="38" t="inlineStr">
        <is>
          <t>نوع إنهاء الخدمة</t>
        </is>
      </c>
      <c r="E2" s="38" t="inlineStr">
        <is>
          <t>آخر يوم عمل</t>
        </is>
      </c>
      <c r="F2" s="38" t="inlineStr">
        <is>
          <t>سبب الإنهاء</t>
        </is>
      </c>
      <c r="G2" s="38" t="inlineStr">
        <is>
          <t>حالة إخلاء الطرف</t>
        </is>
      </c>
      <c r="H2" s="38" t="inlineStr">
        <is>
          <t>العهد الواجب تسليمها</t>
        </is>
      </c>
      <c r="I2" s="38" t="inlineStr">
        <is>
          <t>المستحقات النهائية</t>
        </is>
      </c>
      <c r="J2" s="38" t="inlineStr">
        <is>
          <t>حالة التسوية المالية</t>
        </is>
      </c>
      <c r="K2" s="38" t="inlineStr">
        <is>
          <t>حالة إغلاق الملف</t>
        </is>
      </c>
      <c r="L2" s="38" t="inlineStr">
        <is>
          <t>الملاحظات</t>
        </is>
      </c>
    </row>
    <row r="3">
      <c r="A3" s="40" t="n"/>
      <c r="B3" s="43">
        <f>IFERROR(INDEX(الموظفون_الاسم,MATCH($A3,الموظفون_الرقم,0)),"")</f>
        <v/>
      </c>
      <c r="C3" s="110" t="n"/>
      <c r="D3" s="40" t="n"/>
      <c r="E3" s="110" t="n"/>
      <c r="F3" s="40" t="n"/>
      <c r="G3" s="40" t="n"/>
      <c r="H3" s="43">
        <f>IF($A3="","",IF(COUNTIFS(العهد_الرقم,$A3,العهد_الحالة,"&lt;&gt;مسترجعة")&gt;0,"⚠ يوجد عهد غير مسترجعة","لا عهد معلقة"))</f>
        <v/>
      </c>
      <c r="I3" s="60" t="n"/>
      <c r="J3" s="40" t="n"/>
      <c r="K3" s="40" t="n"/>
      <c r="L3" s="40" t="n"/>
    </row>
    <row r="4">
      <c r="A4" s="47" t="n"/>
      <c r="B4" s="50">
        <f>IFERROR(INDEX(الموظفون_الاسم,MATCH($A4,الموظفون_الرقم,0)),"")</f>
        <v/>
      </c>
      <c r="C4" s="112" t="n"/>
      <c r="D4" s="47" t="n"/>
      <c r="E4" s="112" t="n"/>
      <c r="F4" s="47" t="n"/>
      <c r="G4" s="47" t="n"/>
      <c r="H4" s="50">
        <f>IF($A4="","",IF(COUNTIFS(العهد_الرقم,$A4,العهد_الحالة,"&lt;&gt;مسترجعة")&gt;0,"⚠ يوجد عهد غير مسترجعة","لا عهد معلقة"))</f>
        <v/>
      </c>
      <c r="I4" s="63" t="n"/>
      <c r="J4" s="47" t="n"/>
      <c r="K4" s="47" t="n"/>
      <c r="L4" s="47" t="n"/>
    </row>
    <row r="5">
      <c r="A5" s="40" t="n"/>
      <c r="B5" s="43">
        <f>IFERROR(INDEX(الموظفون_الاسم,MATCH($A5,الموظفون_الرقم,0)),"")</f>
        <v/>
      </c>
      <c r="C5" s="110" t="n"/>
      <c r="D5" s="40" t="n"/>
      <c r="E5" s="110" t="n"/>
      <c r="F5" s="40" t="n"/>
      <c r="G5" s="40" t="n"/>
      <c r="H5" s="43">
        <f>IF($A5="","",IF(COUNTIFS(العهد_الرقم,$A5,العهد_الحالة,"&lt;&gt;مسترجعة")&gt;0,"⚠ يوجد عهد غير مسترجعة","لا عهد معلقة"))</f>
        <v/>
      </c>
      <c r="I5" s="60" t="n"/>
      <c r="J5" s="40" t="n"/>
      <c r="K5" s="40" t="n"/>
      <c r="L5" s="40" t="n"/>
    </row>
    <row r="6">
      <c r="A6" s="47" t="n"/>
      <c r="B6" s="50">
        <f>IFERROR(INDEX(الموظفون_الاسم,MATCH($A6,الموظفون_الرقم,0)),"")</f>
        <v/>
      </c>
      <c r="C6" s="112" t="n"/>
      <c r="D6" s="47" t="n"/>
      <c r="E6" s="112" t="n"/>
      <c r="F6" s="47" t="n"/>
      <c r="G6" s="47" t="n"/>
      <c r="H6" s="50">
        <f>IF($A6="","",IF(COUNTIFS(العهد_الرقم,$A6,العهد_الحالة,"&lt;&gt;مسترجعة")&gt;0,"⚠ يوجد عهد غير مسترجعة","لا عهد معلقة"))</f>
        <v/>
      </c>
      <c r="I6" s="63" t="n"/>
      <c r="J6" s="47" t="n"/>
      <c r="K6" s="47" t="n"/>
      <c r="L6" s="47" t="n"/>
    </row>
    <row r="7">
      <c r="A7" s="40" t="n"/>
      <c r="B7" s="43">
        <f>IFERROR(INDEX(الموظفون_الاسم,MATCH($A7,الموظفون_الرقم,0)),"")</f>
        <v/>
      </c>
      <c r="C7" s="110" t="n"/>
      <c r="D7" s="40" t="n"/>
      <c r="E7" s="110" t="n"/>
      <c r="F7" s="40" t="n"/>
      <c r="G7" s="40" t="n"/>
      <c r="H7" s="43">
        <f>IF($A7="","",IF(COUNTIFS(العهد_الرقم,$A7,العهد_الحالة,"&lt;&gt;مسترجعة")&gt;0,"⚠ يوجد عهد غير مسترجعة","لا عهد معلقة"))</f>
        <v/>
      </c>
      <c r="I7" s="60" t="n"/>
      <c r="J7" s="40" t="n"/>
      <c r="K7" s="40" t="n"/>
      <c r="L7" s="40" t="n"/>
    </row>
    <row r="8">
      <c r="A8" s="47" t="n"/>
      <c r="B8" s="50">
        <f>IFERROR(INDEX(الموظفون_الاسم,MATCH($A8,الموظفون_الرقم,0)),"")</f>
        <v/>
      </c>
      <c r="C8" s="112" t="n"/>
      <c r="D8" s="47" t="n"/>
      <c r="E8" s="112" t="n"/>
      <c r="F8" s="47" t="n"/>
      <c r="G8" s="47" t="n"/>
      <c r="H8" s="50">
        <f>IF($A8="","",IF(COUNTIFS(العهد_الرقم,$A8,العهد_الحالة,"&lt;&gt;مسترجعة")&gt;0,"⚠ يوجد عهد غير مسترجعة","لا عهد معلقة"))</f>
        <v/>
      </c>
      <c r="I8" s="63" t="n"/>
      <c r="J8" s="47" t="n"/>
      <c r="K8" s="47" t="n"/>
      <c r="L8" s="47" t="n"/>
    </row>
    <row r="9">
      <c r="A9" s="40" t="n"/>
      <c r="B9" s="43">
        <f>IFERROR(INDEX(الموظفون_الاسم,MATCH($A9,الموظفون_الرقم,0)),"")</f>
        <v/>
      </c>
      <c r="C9" s="110" t="n"/>
      <c r="D9" s="40" t="n"/>
      <c r="E9" s="110" t="n"/>
      <c r="F9" s="40" t="n"/>
      <c r="G9" s="40" t="n"/>
      <c r="H9" s="43">
        <f>IF($A9="","",IF(COUNTIFS(العهد_الرقم,$A9,العهد_الحالة,"&lt;&gt;مسترجعة")&gt;0,"⚠ يوجد عهد غير مسترجعة","لا عهد معلقة"))</f>
        <v/>
      </c>
      <c r="I9" s="60" t="n"/>
      <c r="J9" s="40" t="n"/>
      <c r="K9" s="40" t="n"/>
      <c r="L9" s="40" t="n"/>
    </row>
    <row r="10">
      <c r="A10" s="47" t="n"/>
      <c r="B10" s="50">
        <f>IFERROR(INDEX(الموظفون_الاسم,MATCH($A10,الموظفون_الرقم,0)),"")</f>
        <v/>
      </c>
      <c r="C10" s="112" t="n"/>
      <c r="D10" s="47" t="n"/>
      <c r="E10" s="112" t="n"/>
      <c r="F10" s="47" t="n"/>
      <c r="G10" s="47" t="n"/>
      <c r="H10" s="50">
        <f>IF($A10="","",IF(COUNTIFS(العهد_الرقم,$A10,العهد_الحالة,"&lt;&gt;مسترجعة")&gt;0,"⚠ يوجد عهد غير مسترجعة","لا عهد معلقة"))</f>
        <v/>
      </c>
      <c r="I10" s="63" t="n"/>
      <c r="J10" s="47" t="n"/>
      <c r="K10" s="47" t="n"/>
      <c r="L10" s="47" t="n"/>
    </row>
    <row r="11">
      <c r="A11" s="40" t="n"/>
      <c r="B11" s="43">
        <f>IFERROR(INDEX(الموظفون_الاسم,MATCH($A11,الموظفون_الرقم,0)),"")</f>
        <v/>
      </c>
      <c r="C11" s="110" t="n"/>
      <c r="D11" s="40" t="n"/>
      <c r="E11" s="110" t="n"/>
      <c r="F11" s="40" t="n"/>
      <c r="G11" s="40" t="n"/>
      <c r="H11" s="43">
        <f>IF($A11="","",IF(COUNTIFS(العهد_الرقم,$A11,العهد_الحالة,"&lt;&gt;مسترجعة")&gt;0,"⚠ يوجد عهد غير مسترجعة","لا عهد معلقة"))</f>
        <v/>
      </c>
      <c r="I11" s="60" t="n"/>
      <c r="J11" s="40" t="n"/>
      <c r="K11" s="40" t="n"/>
      <c r="L11" s="40" t="n"/>
    </row>
    <row r="12">
      <c r="A12" s="47" t="n"/>
      <c r="B12" s="50">
        <f>IFERROR(INDEX(الموظفون_الاسم,MATCH($A12,الموظفون_الرقم,0)),"")</f>
        <v/>
      </c>
      <c r="C12" s="112" t="n"/>
      <c r="D12" s="47" t="n"/>
      <c r="E12" s="112" t="n"/>
      <c r="F12" s="47" t="n"/>
      <c r="G12" s="47" t="n"/>
      <c r="H12" s="50">
        <f>IF($A12="","",IF(COUNTIFS(العهد_الرقم,$A12,العهد_الحالة,"&lt;&gt;مسترجعة")&gt;0,"⚠ يوجد عهد غير مسترجعة","لا عهد معلقة"))</f>
        <v/>
      </c>
      <c r="I12" s="63" t="n"/>
      <c r="J12" s="47" t="n"/>
      <c r="K12" s="47" t="n"/>
      <c r="L12" s="47" t="n"/>
    </row>
    <row r="13">
      <c r="A13" s="40" t="n"/>
      <c r="B13" s="43">
        <f>IFERROR(INDEX(الموظفون_الاسم,MATCH($A13,الموظفون_الرقم,0)),"")</f>
        <v/>
      </c>
      <c r="C13" s="110" t="n"/>
      <c r="D13" s="40" t="n"/>
      <c r="E13" s="110" t="n"/>
      <c r="F13" s="40" t="n"/>
      <c r="G13" s="40" t="n"/>
      <c r="H13" s="43">
        <f>IF($A13="","",IF(COUNTIFS(العهد_الرقم,$A13,العهد_الحالة,"&lt;&gt;مسترجعة")&gt;0,"⚠ يوجد عهد غير مسترجعة","لا عهد معلقة"))</f>
        <v/>
      </c>
      <c r="I13" s="60" t="n"/>
      <c r="J13" s="40" t="n"/>
      <c r="K13" s="40" t="n"/>
      <c r="L13" s="40" t="n"/>
    </row>
    <row r="14">
      <c r="A14" s="47" t="n"/>
      <c r="B14" s="50">
        <f>IFERROR(INDEX(الموظفون_الاسم,MATCH($A14,الموظفون_الرقم,0)),"")</f>
        <v/>
      </c>
      <c r="C14" s="112" t="n"/>
      <c r="D14" s="47" t="n"/>
      <c r="E14" s="112" t="n"/>
      <c r="F14" s="47" t="n"/>
      <c r="G14" s="47" t="n"/>
      <c r="H14" s="50">
        <f>IF($A14="","",IF(COUNTIFS(العهد_الرقم,$A14,العهد_الحالة,"&lt;&gt;مسترجعة")&gt;0,"⚠ يوجد عهد غير مسترجعة","لا عهد معلقة"))</f>
        <v/>
      </c>
      <c r="I14" s="63" t="n"/>
      <c r="J14" s="47" t="n"/>
      <c r="K14" s="47" t="n"/>
      <c r="L14" s="47" t="n"/>
    </row>
    <row r="15">
      <c r="A15" s="40" t="n"/>
      <c r="B15" s="43">
        <f>IFERROR(INDEX(الموظفون_الاسم,MATCH($A15,الموظفون_الرقم,0)),"")</f>
        <v/>
      </c>
      <c r="C15" s="110" t="n"/>
      <c r="D15" s="40" t="n"/>
      <c r="E15" s="110" t="n"/>
      <c r="F15" s="40" t="n"/>
      <c r="G15" s="40" t="n"/>
      <c r="H15" s="43">
        <f>IF($A15="","",IF(COUNTIFS(العهد_الرقم,$A15,العهد_الحالة,"&lt;&gt;مسترجعة")&gt;0,"⚠ يوجد عهد غير مسترجعة","لا عهد معلقة"))</f>
        <v/>
      </c>
      <c r="I15" s="60" t="n"/>
      <c r="J15" s="40" t="n"/>
      <c r="K15" s="40" t="n"/>
      <c r="L15" s="40" t="n"/>
    </row>
    <row r="16">
      <c r="A16" s="47" t="n"/>
      <c r="B16" s="50">
        <f>IFERROR(INDEX(الموظفون_الاسم,MATCH($A16,الموظفون_الرقم,0)),"")</f>
        <v/>
      </c>
      <c r="C16" s="112" t="n"/>
      <c r="D16" s="47" t="n"/>
      <c r="E16" s="112" t="n"/>
      <c r="F16" s="47" t="n"/>
      <c r="G16" s="47" t="n"/>
      <c r="H16" s="50">
        <f>IF($A16="","",IF(COUNTIFS(العهد_الرقم,$A16,العهد_الحالة,"&lt;&gt;مسترجعة")&gt;0,"⚠ يوجد عهد غير مسترجعة","لا عهد معلقة"))</f>
        <v/>
      </c>
      <c r="I16" s="63" t="n"/>
      <c r="J16" s="47" t="n"/>
      <c r="K16" s="47" t="n"/>
      <c r="L16" s="47" t="n"/>
    </row>
    <row r="17">
      <c r="A17" s="40" t="n"/>
      <c r="B17" s="43">
        <f>IFERROR(INDEX(الموظفون_الاسم,MATCH($A17,الموظفون_الرقم,0)),"")</f>
        <v/>
      </c>
      <c r="C17" s="110" t="n"/>
      <c r="D17" s="40" t="n"/>
      <c r="E17" s="110" t="n"/>
      <c r="F17" s="40" t="n"/>
      <c r="G17" s="40" t="n"/>
      <c r="H17" s="43">
        <f>IF($A17="","",IF(COUNTIFS(العهد_الرقم,$A17,العهد_الحالة,"&lt;&gt;مسترجعة")&gt;0,"⚠ يوجد عهد غير مسترجعة","لا عهد معلقة"))</f>
        <v/>
      </c>
      <c r="I17" s="60" t="n"/>
      <c r="J17" s="40" t="n"/>
      <c r="K17" s="40" t="n"/>
      <c r="L17" s="40" t="n"/>
    </row>
    <row r="18">
      <c r="A18" s="47" t="n"/>
      <c r="B18" s="50">
        <f>IFERROR(INDEX(الموظفون_الاسم,MATCH($A18,الموظفون_الرقم,0)),"")</f>
        <v/>
      </c>
      <c r="C18" s="112" t="n"/>
      <c r="D18" s="47" t="n"/>
      <c r="E18" s="112" t="n"/>
      <c r="F18" s="47" t="n"/>
      <c r="G18" s="47" t="n"/>
      <c r="H18" s="50">
        <f>IF($A18="","",IF(COUNTIFS(العهد_الرقم,$A18,العهد_الحالة,"&lt;&gt;مسترجعة")&gt;0,"⚠ يوجد عهد غير مسترجعة","لا عهد معلقة"))</f>
        <v/>
      </c>
      <c r="I18" s="63" t="n"/>
      <c r="J18" s="47" t="n"/>
      <c r="K18" s="47" t="n"/>
      <c r="L18" s="47" t="n"/>
    </row>
    <row r="19">
      <c r="A19" s="40" t="n"/>
      <c r="B19" s="43">
        <f>IFERROR(INDEX(الموظفون_الاسم,MATCH($A19,الموظفون_الرقم,0)),"")</f>
        <v/>
      </c>
      <c r="C19" s="110" t="n"/>
      <c r="D19" s="40" t="n"/>
      <c r="E19" s="110" t="n"/>
      <c r="F19" s="40" t="n"/>
      <c r="G19" s="40" t="n"/>
      <c r="H19" s="43">
        <f>IF($A19="","",IF(COUNTIFS(العهد_الرقم,$A19,العهد_الحالة,"&lt;&gt;مسترجعة")&gt;0,"⚠ يوجد عهد غير مسترجعة","لا عهد معلقة"))</f>
        <v/>
      </c>
      <c r="I19" s="60" t="n"/>
      <c r="J19" s="40" t="n"/>
      <c r="K19" s="40" t="n"/>
      <c r="L19" s="40" t="n"/>
    </row>
    <row r="20">
      <c r="A20" s="47" t="n"/>
      <c r="B20" s="50">
        <f>IFERROR(INDEX(الموظفون_الاسم,MATCH($A20,الموظفون_الرقم,0)),"")</f>
        <v/>
      </c>
      <c r="C20" s="112" t="n"/>
      <c r="D20" s="47" t="n"/>
      <c r="E20" s="112" t="n"/>
      <c r="F20" s="47" t="n"/>
      <c r="G20" s="47" t="n"/>
      <c r="H20" s="50">
        <f>IF($A20="","",IF(COUNTIFS(العهد_الرقم,$A20,العهد_الحالة,"&lt;&gt;مسترجعة")&gt;0,"⚠ يوجد عهد غير مسترجعة","لا عهد معلقة"))</f>
        <v/>
      </c>
      <c r="I20" s="63" t="n"/>
      <c r="J20" s="47" t="n"/>
      <c r="K20" s="47" t="n"/>
      <c r="L20" s="47" t="n"/>
    </row>
    <row r="21">
      <c r="A21" s="40" t="n"/>
      <c r="B21" s="43">
        <f>IFERROR(INDEX(الموظفون_الاسم,MATCH($A21,الموظفون_الرقم,0)),"")</f>
        <v/>
      </c>
      <c r="C21" s="110" t="n"/>
      <c r="D21" s="40" t="n"/>
      <c r="E21" s="110" t="n"/>
      <c r="F21" s="40" t="n"/>
      <c r="G21" s="40" t="n"/>
      <c r="H21" s="43">
        <f>IF($A21="","",IF(COUNTIFS(العهد_الرقم,$A21,العهد_الحالة,"&lt;&gt;مسترجعة")&gt;0,"⚠ يوجد عهد غير مسترجعة","لا عهد معلقة"))</f>
        <v/>
      </c>
      <c r="I21" s="60" t="n"/>
      <c r="J21" s="40" t="n"/>
      <c r="K21" s="40" t="n"/>
      <c r="L21" s="40" t="n"/>
    </row>
    <row r="22">
      <c r="A22" s="47" t="n"/>
      <c r="B22" s="50">
        <f>IFERROR(INDEX(الموظفون_الاسم,MATCH($A22,الموظفون_الرقم,0)),"")</f>
        <v/>
      </c>
      <c r="C22" s="112" t="n"/>
      <c r="D22" s="47" t="n"/>
      <c r="E22" s="112" t="n"/>
      <c r="F22" s="47" t="n"/>
      <c r="G22" s="47" t="n"/>
      <c r="H22" s="50">
        <f>IF($A22="","",IF(COUNTIFS(العهد_الرقم,$A22,العهد_الحالة,"&lt;&gt;مسترجعة")&gt;0,"⚠ يوجد عهد غير مسترجعة","لا عهد معلقة"))</f>
        <v/>
      </c>
      <c r="I22" s="63" t="n"/>
      <c r="J22" s="47" t="n"/>
      <c r="K22" s="47" t="n"/>
      <c r="L22" s="47" t="n"/>
    </row>
    <row r="23">
      <c r="A23" s="40" t="n"/>
      <c r="B23" s="43">
        <f>IFERROR(INDEX(الموظفون_الاسم,MATCH($A23,الموظفون_الرقم,0)),"")</f>
        <v/>
      </c>
      <c r="C23" s="110" t="n"/>
      <c r="D23" s="40" t="n"/>
      <c r="E23" s="110" t="n"/>
      <c r="F23" s="40" t="n"/>
      <c r="G23" s="40" t="n"/>
      <c r="H23" s="43">
        <f>IF($A23="","",IF(COUNTIFS(العهد_الرقم,$A23,العهد_الحالة,"&lt;&gt;مسترجعة")&gt;0,"⚠ يوجد عهد غير مسترجعة","لا عهد معلقة"))</f>
        <v/>
      </c>
      <c r="I23" s="60" t="n"/>
      <c r="J23" s="40" t="n"/>
      <c r="K23" s="40" t="n"/>
      <c r="L23" s="40" t="n"/>
    </row>
    <row r="24">
      <c r="A24" s="47" t="n"/>
      <c r="B24" s="50">
        <f>IFERROR(INDEX(الموظفون_الاسم,MATCH($A24,الموظفون_الرقم,0)),"")</f>
        <v/>
      </c>
      <c r="C24" s="112" t="n"/>
      <c r="D24" s="47" t="n"/>
      <c r="E24" s="112" t="n"/>
      <c r="F24" s="47" t="n"/>
      <c r="G24" s="47" t="n"/>
      <c r="H24" s="50">
        <f>IF($A24="","",IF(COUNTIFS(العهد_الرقم,$A24,العهد_الحالة,"&lt;&gt;مسترجعة")&gt;0,"⚠ يوجد عهد غير مسترجعة","لا عهد معلقة"))</f>
        <v/>
      </c>
      <c r="I24" s="63" t="n"/>
      <c r="J24" s="47" t="n"/>
      <c r="K24" s="47" t="n"/>
      <c r="L24" s="47" t="n"/>
    </row>
    <row r="25">
      <c r="A25" s="40" t="n"/>
      <c r="B25" s="43">
        <f>IFERROR(INDEX(الموظفون_الاسم,MATCH($A25,الموظفون_الرقم,0)),"")</f>
        <v/>
      </c>
      <c r="C25" s="110" t="n"/>
      <c r="D25" s="40" t="n"/>
      <c r="E25" s="110" t="n"/>
      <c r="F25" s="40" t="n"/>
      <c r="G25" s="40" t="n"/>
      <c r="H25" s="43">
        <f>IF($A25="","",IF(COUNTIFS(العهد_الرقم,$A25,العهد_الحالة,"&lt;&gt;مسترجعة")&gt;0,"⚠ يوجد عهد غير مسترجعة","لا عهد معلقة"))</f>
        <v/>
      </c>
      <c r="I25" s="60" t="n"/>
      <c r="J25" s="40" t="n"/>
      <c r="K25" s="40" t="n"/>
      <c r="L25" s="40" t="n"/>
    </row>
    <row r="26">
      <c r="A26" s="47" t="n"/>
      <c r="B26" s="50">
        <f>IFERROR(INDEX(الموظفون_الاسم,MATCH($A26,الموظفون_الرقم,0)),"")</f>
        <v/>
      </c>
      <c r="C26" s="112" t="n"/>
      <c r="D26" s="47" t="n"/>
      <c r="E26" s="112" t="n"/>
      <c r="F26" s="47" t="n"/>
      <c r="G26" s="47" t="n"/>
      <c r="H26" s="50">
        <f>IF($A26="","",IF(COUNTIFS(العهد_الرقم,$A26,العهد_الحالة,"&lt;&gt;مسترجعة")&gt;0,"⚠ يوجد عهد غير مسترجعة","لا عهد معلقة"))</f>
        <v/>
      </c>
      <c r="I26" s="63" t="n"/>
      <c r="J26" s="47" t="n"/>
      <c r="K26" s="47" t="n"/>
      <c r="L26" s="47" t="n"/>
    </row>
    <row r="27">
      <c r="A27" s="40" t="n"/>
      <c r="B27" s="43">
        <f>IFERROR(INDEX(الموظفون_الاسم,MATCH($A27,الموظفون_الرقم,0)),"")</f>
        <v/>
      </c>
      <c r="C27" s="110" t="n"/>
      <c r="D27" s="40" t="n"/>
      <c r="E27" s="110" t="n"/>
      <c r="F27" s="40" t="n"/>
      <c r="G27" s="40" t="n"/>
      <c r="H27" s="43">
        <f>IF($A27="","",IF(COUNTIFS(العهد_الرقم,$A27,العهد_الحالة,"&lt;&gt;مسترجعة")&gt;0,"⚠ يوجد عهد غير مسترجعة","لا عهد معلقة"))</f>
        <v/>
      </c>
      <c r="I27" s="60" t="n"/>
      <c r="J27" s="40" t="n"/>
      <c r="K27" s="40" t="n"/>
      <c r="L27" s="40" t="n"/>
    </row>
    <row r="28">
      <c r="A28" s="47" t="n"/>
      <c r="B28" s="50">
        <f>IFERROR(INDEX(الموظفون_الاسم,MATCH($A28,الموظفون_الرقم,0)),"")</f>
        <v/>
      </c>
      <c r="C28" s="112" t="n"/>
      <c r="D28" s="47" t="n"/>
      <c r="E28" s="112" t="n"/>
      <c r="F28" s="47" t="n"/>
      <c r="G28" s="47" t="n"/>
      <c r="H28" s="50">
        <f>IF($A28="","",IF(COUNTIFS(العهد_الرقم,$A28,العهد_الحالة,"&lt;&gt;مسترجعة")&gt;0,"⚠ يوجد عهد غير مسترجعة","لا عهد معلقة"))</f>
        <v/>
      </c>
      <c r="I28" s="63" t="n"/>
      <c r="J28" s="47" t="n"/>
      <c r="K28" s="47" t="n"/>
      <c r="L28" s="47" t="n"/>
    </row>
    <row r="29">
      <c r="A29" s="40" t="n"/>
      <c r="B29" s="43">
        <f>IFERROR(INDEX(الموظفون_الاسم,MATCH($A29,الموظفون_الرقم,0)),"")</f>
        <v/>
      </c>
      <c r="C29" s="110" t="n"/>
      <c r="D29" s="40" t="n"/>
      <c r="E29" s="110" t="n"/>
      <c r="F29" s="40" t="n"/>
      <c r="G29" s="40" t="n"/>
      <c r="H29" s="43">
        <f>IF($A29="","",IF(COUNTIFS(العهد_الرقم,$A29,العهد_الحالة,"&lt;&gt;مسترجعة")&gt;0,"⚠ يوجد عهد غير مسترجعة","لا عهد معلقة"))</f>
        <v/>
      </c>
      <c r="I29" s="60" t="n"/>
      <c r="J29" s="40" t="n"/>
      <c r="K29" s="40" t="n"/>
      <c r="L29" s="40" t="n"/>
    </row>
    <row r="30">
      <c r="A30" s="47" t="n"/>
      <c r="B30" s="50">
        <f>IFERROR(INDEX(الموظفون_الاسم,MATCH($A30,الموظفون_الرقم,0)),"")</f>
        <v/>
      </c>
      <c r="C30" s="112" t="n"/>
      <c r="D30" s="47" t="n"/>
      <c r="E30" s="112" t="n"/>
      <c r="F30" s="47" t="n"/>
      <c r="G30" s="47" t="n"/>
      <c r="H30" s="50">
        <f>IF($A30="","",IF(COUNTIFS(العهد_الرقم,$A30,العهد_الحالة,"&lt;&gt;مسترجعة")&gt;0,"⚠ يوجد عهد غير مسترجعة","لا عهد معلقة"))</f>
        <v/>
      </c>
      <c r="I30" s="63" t="n"/>
      <c r="J30" s="47" t="n"/>
      <c r="K30" s="47" t="n"/>
      <c r="L30" s="47" t="n"/>
    </row>
    <row r="31">
      <c r="A31" s="40" t="n"/>
      <c r="B31" s="43">
        <f>IFERROR(INDEX(الموظفون_الاسم,MATCH($A31,الموظفون_الرقم,0)),"")</f>
        <v/>
      </c>
      <c r="C31" s="110" t="n"/>
      <c r="D31" s="40" t="n"/>
      <c r="E31" s="110" t="n"/>
      <c r="F31" s="40" t="n"/>
      <c r="G31" s="40" t="n"/>
      <c r="H31" s="43">
        <f>IF($A31="","",IF(COUNTIFS(العهد_الرقم,$A31,العهد_الحالة,"&lt;&gt;مسترجعة")&gt;0,"⚠ يوجد عهد غير مسترجعة","لا عهد معلقة"))</f>
        <v/>
      </c>
      <c r="I31" s="60" t="n"/>
      <c r="J31" s="40" t="n"/>
      <c r="K31" s="40" t="n"/>
      <c r="L31" s="40" t="n"/>
    </row>
    <row r="32">
      <c r="A32" s="47" t="n"/>
      <c r="B32" s="50">
        <f>IFERROR(INDEX(الموظفون_الاسم,MATCH($A32,الموظفون_الرقم,0)),"")</f>
        <v/>
      </c>
      <c r="C32" s="112" t="n"/>
      <c r="D32" s="47" t="n"/>
      <c r="E32" s="112" t="n"/>
      <c r="F32" s="47" t="n"/>
      <c r="G32" s="47" t="n"/>
      <c r="H32" s="50">
        <f>IF($A32="","",IF(COUNTIFS(العهد_الرقم,$A32,العهد_الحالة,"&lt;&gt;مسترجعة")&gt;0,"⚠ يوجد عهد غير مسترجعة","لا عهد معلقة"))</f>
        <v/>
      </c>
      <c r="I32" s="63" t="n"/>
      <c r="J32" s="47" t="n"/>
      <c r="K32" s="47" t="n"/>
      <c r="L32" s="47" t="n"/>
    </row>
    <row r="33">
      <c r="A33" s="40" t="n"/>
      <c r="B33" s="43">
        <f>IFERROR(INDEX(الموظفون_الاسم,MATCH($A33,الموظفون_الرقم,0)),"")</f>
        <v/>
      </c>
      <c r="C33" s="110" t="n"/>
      <c r="D33" s="40" t="n"/>
      <c r="E33" s="110" t="n"/>
      <c r="F33" s="40" t="n"/>
      <c r="G33" s="40" t="n"/>
      <c r="H33" s="43">
        <f>IF($A33="","",IF(COUNTIFS(العهد_الرقم,$A33,العهد_الحالة,"&lt;&gt;مسترجعة")&gt;0,"⚠ يوجد عهد غير مسترجعة","لا عهد معلقة"))</f>
        <v/>
      </c>
      <c r="I33" s="60" t="n"/>
      <c r="J33" s="40" t="n"/>
      <c r="K33" s="40" t="n"/>
      <c r="L33" s="40" t="n"/>
    </row>
    <row r="34">
      <c r="A34" s="47" t="n"/>
      <c r="B34" s="50">
        <f>IFERROR(INDEX(الموظفون_الاسم,MATCH($A34,الموظفون_الرقم,0)),"")</f>
        <v/>
      </c>
      <c r="C34" s="112" t="n"/>
      <c r="D34" s="47" t="n"/>
      <c r="E34" s="112" t="n"/>
      <c r="F34" s="47" t="n"/>
      <c r="G34" s="47" t="n"/>
      <c r="H34" s="50">
        <f>IF($A34="","",IF(COUNTIFS(العهد_الرقم,$A34,العهد_الحالة,"&lt;&gt;مسترجعة")&gt;0,"⚠ يوجد عهد غير مسترجعة","لا عهد معلقة"))</f>
        <v/>
      </c>
      <c r="I34" s="63" t="n"/>
      <c r="J34" s="47" t="n"/>
      <c r="K34" s="47" t="n"/>
      <c r="L34" s="47" t="n"/>
    </row>
    <row r="35">
      <c r="A35" s="40" t="n"/>
      <c r="B35" s="43">
        <f>IFERROR(INDEX(الموظفون_الاسم,MATCH($A35,الموظفون_الرقم,0)),"")</f>
        <v/>
      </c>
      <c r="C35" s="110" t="n"/>
      <c r="D35" s="40" t="n"/>
      <c r="E35" s="110" t="n"/>
      <c r="F35" s="40" t="n"/>
      <c r="G35" s="40" t="n"/>
      <c r="H35" s="43">
        <f>IF($A35="","",IF(COUNTIFS(العهد_الرقم,$A35,العهد_الحالة,"&lt;&gt;مسترجعة")&gt;0,"⚠ يوجد عهد غير مسترجعة","لا عهد معلقة"))</f>
        <v/>
      </c>
      <c r="I35" s="60" t="n"/>
      <c r="J35" s="40" t="n"/>
      <c r="K35" s="40" t="n"/>
      <c r="L35" s="40" t="n"/>
    </row>
    <row r="36">
      <c r="A36" s="47" t="n"/>
      <c r="B36" s="50">
        <f>IFERROR(INDEX(الموظفون_الاسم,MATCH($A36,الموظفون_الرقم,0)),"")</f>
        <v/>
      </c>
      <c r="C36" s="112" t="n"/>
      <c r="D36" s="47" t="n"/>
      <c r="E36" s="112" t="n"/>
      <c r="F36" s="47" t="n"/>
      <c r="G36" s="47" t="n"/>
      <c r="H36" s="50">
        <f>IF($A36="","",IF(COUNTIFS(العهد_الرقم,$A36,العهد_الحالة,"&lt;&gt;مسترجعة")&gt;0,"⚠ يوجد عهد غير مسترجعة","لا عهد معلقة"))</f>
        <v/>
      </c>
      <c r="I36" s="63" t="n"/>
      <c r="J36" s="47" t="n"/>
      <c r="K36" s="47" t="n"/>
      <c r="L36" s="47" t="n"/>
    </row>
    <row r="37">
      <c r="A37" s="40" t="n"/>
      <c r="B37" s="43">
        <f>IFERROR(INDEX(الموظفون_الاسم,MATCH($A37,الموظفون_الرقم,0)),"")</f>
        <v/>
      </c>
      <c r="C37" s="110" t="n"/>
      <c r="D37" s="40" t="n"/>
      <c r="E37" s="110" t="n"/>
      <c r="F37" s="40" t="n"/>
      <c r="G37" s="40" t="n"/>
      <c r="H37" s="43">
        <f>IF($A37="","",IF(COUNTIFS(العهد_الرقم,$A37,العهد_الحالة,"&lt;&gt;مسترجعة")&gt;0,"⚠ يوجد عهد غير مسترجعة","لا عهد معلقة"))</f>
        <v/>
      </c>
      <c r="I37" s="60" t="n"/>
      <c r="J37" s="40" t="n"/>
      <c r="K37" s="40" t="n"/>
      <c r="L37" s="40" t="n"/>
    </row>
    <row r="38">
      <c r="A38" s="47" t="n"/>
      <c r="B38" s="50">
        <f>IFERROR(INDEX(الموظفون_الاسم,MATCH($A38,الموظفون_الرقم,0)),"")</f>
        <v/>
      </c>
      <c r="C38" s="112" t="n"/>
      <c r="D38" s="47" t="n"/>
      <c r="E38" s="112" t="n"/>
      <c r="F38" s="47" t="n"/>
      <c r="G38" s="47" t="n"/>
      <c r="H38" s="50">
        <f>IF($A38="","",IF(COUNTIFS(العهد_الرقم,$A38,العهد_الحالة,"&lt;&gt;مسترجعة")&gt;0,"⚠ يوجد عهد غير مسترجعة","لا عهد معلقة"))</f>
        <v/>
      </c>
      <c r="I38" s="63" t="n"/>
      <c r="J38" s="47" t="n"/>
      <c r="K38" s="47" t="n"/>
      <c r="L38" s="47" t="n"/>
    </row>
    <row r="39">
      <c r="A39" s="40" t="n"/>
      <c r="B39" s="43">
        <f>IFERROR(INDEX(الموظفون_الاسم,MATCH($A39,الموظفون_الرقم,0)),"")</f>
        <v/>
      </c>
      <c r="C39" s="110" t="n"/>
      <c r="D39" s="40" t="n"/>
      <c r="E39" s="110" t="n"/>
      <c r="F39" s="40" t="n"/>
      <c r="G39" s="40" t="n"/>
      <c r="H39" s="43">
        <f>IF($A39="","",IF(COUNTIFS(العهد_الرقم,$A39,العهد_الحالة,"&lt;&gt;مسترجعة")&gt;0,"⚠ يوجد عهد غير مسترجعة","لا عهد معلقة"))</f>
        <v/>
      </c>
      <c r="I39" s="60" t="n"/>
      <c r="J39" s="40" t="n"/>
      <c r="K39" s="40" t="n"/>
      <c r="L39" s="40" t="n"/>
    </row>
    <row r="40">
      <c r="A40" s="47" t="n"/>
      <c r="B40" s="50">
        <f>IFERROR(INDEX(الموظفون_الاسم,MATCH($A40,الموظفون_الرقم,0)),"")</f>
        <v/>
      </c>
      <c r="C40" s="112" t="n"/>
      <c r="D40" s="47" t="n"/>
      <c r="E40" s="112" t="n"/>
      <c r="F40" s="47" t="n"/>
      <c r="G40" s="47" t="n"/>
      <c r="H40" s="50">
        <f>IF($A40="","",IF(COUNTIFS(العهد_الرقم,$A40,العهد_الحالة,"&lt;&gt;مسترجعة")&gt;0,"⚠ يوجد عهد غير مسترجعة","لا عهد معلقة"))</f>
        <v/>
      </c>
      <c r="I40" s="63" t="n"/>
      <c r="J40" s="47" t="n"/>
      <c r="K40" s="47" t="n"/>
      <c r="L40" s="47" t="n"/>
    </row>
    <row r="41">
      <c r="A41" s="40" t="n"/>
      <c r="B41" s="43">
        <f>IFERROR(INDEX(الموظفون_الاسم,MATCH($A41,الموظفون_الرقم,0)),"")</f>
        <v/>
      </c>
      <c r="C41" s="110" t="n"/>
      <c r="D41" s="40" t="n"/>
      <c r="E41" s="110" t="n"/>
      <c r="F41" s="40" t="n"/>
      <c r="G41" s="40" t="n"/>
      <c r="H41" s="43">
        <f>IF($A41="","",IF(COUNTIFS(العهد_الرقم,$A41,العهد_الحالة,"&lt;&gt;مسترجعة")&gt;0,"⚠ يوجد عهد غير مسترجعة","لا عهد معلقة"))</f>
        <v/>
      </c>
      <c r="I41" s="60" t="n"/>
      <c r="J41" s="40" t="n"/>
      <c r="K41" s="40" t="n"/>
      <c r="L41" s="40" t="n"/>
    </row>
    <row r="42">
      <c r="A42" s="47" t="n"/>
      <c r="B42" s="50">
        <f>IFERROR(INDEX(الموظفون_الاسم,MATCH($A42,الموظفون_الرقم,0)),"")</f>
        <v/>
      </c>
      <c r="C42" s="112" t="n"/>
      <c r="D42" s="47" t="n"/>
      <c r="E42" s="112" t="n"/>
      <c r="F42" s="47" t="n"/>
      <c r="G42" s="47" t="n"/>
      <c r="H42" s="50">
        <f>IF($A42="","",IF(COUNTIFS(العهد_الرقم,$A42,العهد_الحالة,"&lt;&gt;مسترجعة")&gt;0,"⚠ يوجد عهد غير مسترجعة","لا عهد معلقة"))</f>
        <v/>
      </c>
      <c r="I42" s="63" t="n"/>
      <c r="J42" s="47" t="n"/>
      <c r="K42" s="47" t="n"/>
      <c r="L42" s="47" t="n"/>
    </row>
    <row r="43">
      <c r="A43" s="40" t="n"/>
      <c r="B43" s="43">
        <f>IFERROR(INDEX(الموظفون_الاسم,MATCH($A43,الموظفون_الرقم,0)),"")</f>
        <v/>
      </c>
      <c r="C43" s="110" t="n"/>
      <c r="D43" s="40" t="n"/>
      <c r="E43" s="110" t="n"/>
      <c r="F43" s="40" t="n"/>
      <c r="G43" s="40" t="n"/>
      <c r="H43" s="43">
        <f>IF($A43="","",IF(COUNTIFS(العهد_الرقم,$A43,العهد_الحالة,"&lt;&gt;مسترجعة")&gt;0,"⚠ يوجد عهد غير مسترجعة","لا عهد معلقة"))</f>
        <v/>
      </c>
      <c r="I43" s="60" t="n"/>
      <c r="J43" s="40" t="n"/>
      <c r="K43" s="40" t="n"/>
      <c r="L43" s="40" t="n"/>
    </row>
    <row r="44">
      <c r="A44" s="47" t="n"/>
      <c r="B44" s="50">
        <f>IFERROR(INDEX(الموظفون_الاسم,MATCH($A44,الموظفون_الرقم,0)),"")</f>
        <v/>
      </c>
      <c r="C44" s="112" t="n"/>
      <c r="D44" s="47" t="n"/>
      <c r="E44" s="112" t="n"/>
      <c r="F44" s="47" t="n"/>
      <c r="G44" s="47" t="n"/>
      <c r="H44" s="50">
        <f>IF($A44="","",IF(COUNTIFS(العهد_الرقم,$A44,العهد_الحالة,"&lt;&gt;مسترجعة")&gt;0,"⚠ يوجد عهد غير مسترجعة","لا عهد معلقة"))</f>
        <v/>
      </c>
      <c r="I44" s="63" t="n"/>
      <c r="J44" s="47" t="n"/>
      <c r="K44" s="47" t="n"/>
      <c r="L44" s="47" t="n"/>
    </row>
    <row r="45">
      <c r="A45" s="40" t="n"/>
      <c r="B45" s="43">
        <f>IFERROR(INDEX(الموظفون_الاسم,MATCH($A45,الموظفون_الرقم,0)),"")</f>
        <v/>
      </c>
      <c r="C45" s="110" t="n"/>
      <c r="D45" s="40" t="n"/>
      <c r="E45" s="110" t="n"/>
      <c r="F45" s="40" t="n"/>
      <c r="G45" s="40" t="n"/>
      <c r="H45" s="43">
        <f>IF($A45="","",IF(COUNTIFS(العهد_الرقم,$A45,العهد_الحالة,"&lt;&gt;مسترجعة")&gt;0,"⚠ يوجد عهد غير مسترجعة","لا عهد معلقة"))</f>
        <v/>
      </c>
      <c r="I45" s="60" t="n"/>
      <c r="J45" s="40" t="n"/>
      <c r="K45" s="40" t="n"/>
      <c r="L45" s="40" t="n"/>
    </row>
    <row r="46">
      <c r="A46" s="47" t="n"/>
      <c r="B46" s="50">
        <f>IFERROR(INDEX(الموظفون_الاسم,MATCH($A46,الموظفون_الرقم,0)),"")</f>
        <v/>
      </c>
      <c r="C46" s="112" t="n"/>
      <c r="D46" s="47" t="n"/>
      <c r="E46" s="112" t="n"/>
      <c r="F46" s="47" t="n"/>
      <c r="G46" s="47" t="n"/>
      <c r="H46" s="50">
        <f>IF($A46="","",IF(COUNTIFS(العهد_الرقم,$A46,العهد_الحالة,"&lt;&gt;مسترجعة")&gt;0,"⚠ يوجد عهد غير مسترجعة","لا عهد معلقة"))</f>
        <v/>
      </c>
      <c r="I46" s="63" t="n"/>
      <c r="J46" s="47" t="n"/>
      <c r="K46" s="47" t="n"/>
      <c r="L46" s="47" t="n"/>
    </row>
    <row r="47">
      <c r="A47" s="40" t="n"/>
      <c r="B47" s="43">
        <f>IFERROR(INDEX(الموظفون_الاسم,MATCH($A47,الموظفون_الرقم,0)),"")</f>
        <v/>
      </c>
      <c r="C47" s="110" t="n"/>
      <c r="D47" s="40" t="n"/>
      <c r="E47" s="110" t="n"/>
      <c r="F47" s="40" t="n"/>
      <c r="G47" s="40" t="n"/>
      <c r="H47" s="43">
        <f>IF($A47="","",IF(COUNTIFS(العهد_الرقم,$A47,العهد_الحالة,"&lt;&gt;مسترجعة")&gt;0,"⚠ يوجد عهد غير مسترجعة","لا عهد معلقة"))</f>
        <v/>
      </c>
      <c r="I47" s="60" t="n"/>
      <c r="J47" s="40" t="n"/>
      <c r="K47" s="40" t="n"/>
      <c r="L47" s="40" t="n"/>
    </row>
    <row r="48">
      <c r="A48" s="47" t="n"/>
      <c r="B48" s="50">
        <f>IFERROR(INDEX(الموظفون_الاسم,MATCH($A48,الموظفون_الرقم,0)),"")</f>
        <v/>
      </c>
      <c r="C48" s="112" t="n"/>
      <c r="D48" s="47" t="n"/>
      <c r="E48" s="112" t="n"/>
      <c r="F48" s="47" t="n"/>
      <c r="G48" s="47" t="n"/>
      <c r="H48" s="50">
        <f>IF($A48="","",IF(COUNTIFS(العهد_الرقم,$A48,العهد_الحالة,"&lt;&gt;مسترجعة")&gt;0,"⚠ يوجد عهد غير مسترجعة","لا عهد معلقة"))</f>
        <v/>
      </c>
      <c r="I48" s="63" t="n"/>
      <c r="J48" s="47" t="n"/>
      <c r="K48" s="47" t="n"/>
      <c r="L48" s="47" t="n"/>
    </row>
    <row r="49">
      <c r="A49" s="40" t="n"/>
      <c r="B49" s="43">
        <f>IFERROR(INDEX(الموظفون_الاسم,MATCH($A49,الموظفون_الرقم,0)),"")</f>
        <v/>
      </c>
      <c r="C49" s="110" t="n"/>
      <c r="D49" s="40" t="n"/>
      <c r="E49" s="110" t="n"/>
      <c r="F49" s="40" t="n"/>
      <c r="G49" s="40" t="n"/>
      <c r="H49" s="43">
        <f>IF($A49="","",IF(COUNTIFS(العهد_الرقم,$A49,العهد_الحالة,"&lt;&gt;مسترجعة")&gt;0,"⚠ يوجد عهد غير مسترجعة","لا عهد معلقة"))</f>
        <v/>
      </c>
      <c r="I49" s="60" t="n"/>
      <c r="J49" s="40" t="n"/>
      <c r="K49" s="40" t="n"/>
      <c r="L49" s="40" t="n"/>
    </row>
    <row r="50">
      <c r="A50" s="47" t="n"/>
      <c r="B50" s="50">
        <f>IFERROR(INDEX(الموظفون_الاسم,MATCH($A50,الموظفون_الرقم,0)),"")</f>
        <v/>
      </c>
      <c r="C50" s="112" t="n"/>
      <c r="D50" s="47" t="n"/>
      <c r="E50" s="112" t="n"/>
      <c r="F50" s="47" t="n"/>
      <c r="G50" s="47" t="n"/>
      <c r="H50" s="50">
        <f>IF($A50="","",IF(COUNTIFS(العهد_الرقم,$A50,العهد_الحالة,"&lt;&gt;مسترجعة")&gt;0,"⚠ يوجد عهد غير مسترجعة","لا عهد معلقة"))</f>
        <v/>
      </c>
      <c r="I50" s="63" t="n"/>
      <c r="J50" s="47" t="n"/>
      <c r="K50" s="47" t="n"/>
      <c r="L50" s="47" t="n"/>
    </row>
    <row r="51">
      <c r="A51" s="40" t="n"/>
      <c r="B51" s="43">
        <f>IFERROR(INDEX(الموظفون_الاسم,MATCH($A51,الموظفون_الرقم,0)),"")</f>
        <v/>
      </c>
      <c r="C51" s="110" t="n"/>
      <c r="D51" s="40" t="n"/>
      <c r="E51" s="110" t="n"/>
      <c r="F51" s="40" t="n"/>
      <c r="G51" s="40" t="n"/>
      <c r="H51" s="43">
        <f>IF($A51="","",IF(COUNTIFS(العهد_الرقم,$A51,العهد_الحالة,"&lt;&gt;مسترجعة")&gt;0,"⚠ يوجد عهد غير مسترجعة","لا عهد معلقة"))</f>
        <v/>
      </c>
      <c r="I51" s="60" t="n"/>
      <c r="J51" s="40" t="n"/>
      <c r="K51" s="40" t="n"/>
      <c r="L51" s="40" t="n"/>
    </row>
    <row r="52">
      <c r="A52" s="47" t="n"/>
      <c r="B52" s="50">
        <f>IFERROR(INDEX(الموظفون_الاسم,MATCH($A52,الموظفون_الرقم,0)),"")</f>
        <v/>
      </c>
      <c r="C52" s="112" t="n"/>
      <c r="D52" s="47" t="n"/>
      <c r="E52" s="112" t="n"/>
      <c r="F52" s="47" t="n"/>
      <c r="G52" s="47" t="n"/>
      <c r="H52" s="50">
        <f>IF($A52="","",IF(COUNTIFS(العهد_الرقم,$A52,العهد_الحالة,"&lt;&gt;مسترجعة")&gt;0,"⚠ يوجد عهد غير مسترجعة","لا عهد معلقة"))</f>
        <v/>
      </c>
      <c r="I52" s="63" t="n"/>
      <c r="J52" s="47" t="n"/>
      <c r="K52" s="47" t="n"/>
      <c r="L52" s="47" t="n"/>
    </row>
    <row r="53">
      <c r="A53" s="40" t="n"/>
      <c r="B53" s="43">
        <f>IFERROR(INDEX(الموظفون_الاسم,MATCH($A53,الموظفون_الرقم,0)),"")</f>
        <v/>
      </c>
      <c r="C53" s="110" t="n"/>
      <c r="D53" s="40" t="n"/>
      <c r="E53" s="110" t="n"/>
      <c r="F53" s="40" t="n"/>
      <c r="G53" s="40" t="n"/>
      <c r="H53" s="43">
        <f>IF($A53="","",IF(COUNTIFS(العهد_الرقم,$A53,العهد_الحالة,"&lt;&gt;مسترجعة")&gt;0,"⚠ يوجد عهد غير مسترجعة","لا عهد معلقة"))</f>
        <v/>
      </c>
      <c r="I53" s="60" t="n"/>
      <c r="J53" s="40" t="n"/>
      <c r="K53" s="40" t="n"/>
      <c r="L53" s="40" t="n"/>
    </row>
    <row r="54">
      <c r="A54" s="47" t="n"/>
      <c r="B54" s="50">
        <f>IFERROR(INDEX(الموظفون_الاسم,MATCH($A54,الموظفون_الرقم,0)),"")</f>
        <v/>
      </c>
      <c r="C54" s="112" t="n"/>
      <c r="D54" s="47" t="n"/>
      <c r="E54" s="112" t="n"/>
      <c r="F54" s="47" t="n"/>
      <c r="G54" s="47" t="n"/>
      <c r="H54" s="50">
        <f>IF($A54="","",IF(COUNTIFS(العهد_الرقم,$A54,العهد_الحالة,"&lt;&gt;مسترجعة")&gt;0,"⚠ يوجد عهد غير مسترجعة","لا عهد معلقة"))</f>
        <v/>
      </c>
      <c r="I54" s="63" t="n"/>
      <c r="J54" s="47" t="n"/>
      <c r="K54" s="47" t="n"/>
      <c r="L54" s="47" t="n"/>
    </row>
    <row r="55">
      <c r="A55" s="40" t="n"/>
      <c r="B55" s="43">
        <f>IFERROR(INDEX(الموظفون_الاسم,MATCH($A55,الموظفون_الرقم,0)),"")</f>
        <v/>
      </c>
      <c r="C55" s="110" t="n"/>
      <c r="D55" s="40" t="n"/>
      <c r="E55" s="110" t="n"/>
      <c r="F55" s="40" t="n"/>
      <c r="G55" s="40" t="n"/>
      <c r="H55" s="43">
        <f>IF($A55="","",IF(COUNTIFS(العهد_الرقم,$A55,العهد_الحالة,"&lt;&gt;مسترجعة")&gt;0,"⚠ يوجد عهد غير مسترجعة","لا عهد معلقة"))</f>
        <v/>
      </c>
      <c r="I55" s="60" t="n"/>
      <c r="J55" s="40" t="n"/>
      <c r="K55" s="40" t="n"/>
      <c r="L55" s="40" t="n"/>
    </row>
    <row r="56">
      <c r="A56" s="47" t="n"/>
      <c r="B56" s="50">
        <f>IFERROR(INDEX(الموظفون_الاسم,MATCH($A56,الموظفون_الرقم,0)),"")</f>
        <v/>
      </c>
      <c r="C56" s="112" t="n"/>
      <c r="D56" s="47" t="n"/>
      <c r="E56" s="112" t="n"/>
      <c r="F56" s="47" t="n"/>
      <c r="G56" s="47" t="n"/>
      <c r="H56" s="50">
        <f>IF($A56="","",IF(COUNTIFS(العهد_الرقم,$A56,العهد_الحالة,"&lt;&gt;مسترجعة")&gt;0,"⚠ يوجد عهد غير مسترجعة","لا عهد معلقة"))</f>
        <v/>
      </c>
      <c r="I56" s="63" t="n"/>
      <c r="J56" s="47" t="n"/>
      <c r="K56" s="47" t="n"/>
      <c r="L56" s="47" t="n"/>
    </row>
    <row r="57">
      <c r="A57" s="40" t="n"/>
      <c r="B57" s="43">
        <f>IFERROR(INDEX(الموظفون_الاسم,MATCH($A57,الموظفون_الرقم,0)),"")</f>
        <v/>
      </c>
      <c r="C57" s="110" t="n"/>
      <c r="D57" s="40" t="n"/>
      <c r="E57" s="110" t="n"/>
      <c r="F57" s="40" t="n"/>
      <c r="G57" s="40" t="n"/>
      <c r="H57" s="43">
        <f>IF($A57="","",IF(COUNTIFS(العهد_الرقم,$A57,العهد_الحالة,"&lt;&gt;مسترجعة")&gt;0,"⚠ يوجد عهد غير مسترجعة","لا عهد معلقة"))</f>
        <v/>
      </c>
      <c r="I57" s="60" t="n"/>
      <c r="J57" s="40" t="n"/>
      <c r="K57" s="40" t="n"/>
      <c r="L57" s="40" t="n"/>
    </row>
    <row r="58">
      <c r="A58" s="47" t="n"/>
      <c r="B58" s="50">
        <f>IFERROR(INDEX(الموظفون_الاسم,MATCH($A58,الموظفون_الرقم,0)),"")</f>
        <v/>
      </c>
      <c r="C58" s="112" t="n"/>
      <c r="D58" s="47" t="n"/>
      <c r="E58" s="112" t="n"/>
      <c r="F58" s="47" t="n"/>
      <c r="G58" s="47" t="n"/>
      <c r="H58" s="50">
        <f>IF($A58="","",IF(COUNTIFS(العهد_الرقم,$A58,العهد_الحالة,"&lt;&gt;مسترجعة")&gt;0,"⚠ يوجد عهد غير مسترجعة","لا عهد معلقة"))</f>
        <v/>
      </c>
      <c r="I58" s="63" t="n"/>
      <c r="J58" s="47" t="n"/>
      <c r="K58" s="47" t="n"/>
      <c r="L58" s="47" t="n"/>
    </row>
    <row r="59">
      <c r="A59" s="40" t="n"/>
      <c r="B59" s="43">
        <f>IFERROR(INDEX(الموظفون_الاسم,MATCH($A59,الموظفون_الرقم,0)),"")</f>
        <v/>
      </c>
      <c r="C59" s="110" t="n"/>
      <c r="D59" s="40" t="n"/>
      <c r="E59" s="110" t="n"/>
      <c r="F59" s="40" t="n"/>
      <c r="G59" s="40" t="n"/>
      <c r="H59" s="43">
        <f>IF($A59="","",IF(COUNTIFS(العهد_الرقم,$A59,العهد_الحالة,"&lt;&gt;مسترجعة")&gt;0,"⚠ يوجد عهد غير مسترجعة","لا عهد معلقة"))</f>
        <v/>
      </c>
      <c r="I59" s="60" t="n"/>
      <c r="J59" s="40" t="n"/>
      <c r="K59" s="40" t="n"/>
      <c r="L59" s="40" t="n"/>
    </row>
    <row r="60">
      <c r="A60" s="47" t="n"/>
      <c r="B60" s="50">
        <f>IFERROR(INDEX(الموظفون_الاسم,MATCH($A60,الموظفون_الرقم,0)),"")</f>
        <v/>
      </c>
      <c r="C60" s="112" t="n"/>
      <c r="D60" s="47" t="n"/>
      <c r="E60" s="112" t="n"/>
      <c r="F60" s="47" t="n"/>
      <c r="G60" s="47" t="n"/>
      <c r="H60" s="50">
        <f>IF($A60="","",IF(COUNTIFS(العهد_الرقم,$A60,العهد_الحالة,"&lt;&gt;مسترجعة")&gt;0,"⚠ يوجد عهد غير مسترجعة","لا عهد معلقة"))</f>
        <v/>
      </c>
      <c r="I60" s="63" t="n"/>
      <c r="J60" s="47" t="n"/>
      <c r="K60" s="47" t="n"/>
      <c r="L60" s="47" t="n"/>
    </row>
    <row r="61">
      <c r="A61" s="40" t="n"/>
      <c r="B61" s="43">
        <f>IFERROR(INDEX(الموظفون_الاسم,MATCH($A61,الموظفون_الرقم,0)),"")</f>
        <v/>
      </c>
      <c r="C61" s="110" t="n"/>
      <c r="D61" s="40" t="n"/>
      <c r="E61" s="110" t="n"/>
      <c r="F61" s="40" t="n"/>
      <c r="G61" s="40" t="n"/>
      <c r="H61" s="43">
        <f>IF($A61="","",IF(COUNTIFS(العهد_الرقم,$A61,العهد_الحالة,"&lt;&gt;مسترجعة")&gt;0,"⚠ يوجد عهد غير مسترجعة","لا عهد معلقة"))</f>
        <v/>
      </c>
      <c r="I61" s="60" t="n"/>
      <c r="J61" s="40" t="n"/>
      <c r="K61" s="40" t="n"/>
      <c r="L61" s="40" t="n"/>
    </row>
    <row r="62">
      <c r="A62" s="47" t="n"/>
      <c r="B62" s="50">
        <f>IFERROR(INDEX(الموظفون_الاسم,MATCH($A62,الموظفون_الرقم,0)),"")</f>
        <v/>
      </c>
      <c r="C62" s="112" t="n"/>
      <c r="D62" s="47" t="n"/>
      <c r="E62" s="112" t="n"/>
      <c r="F62" s="47" t="n"/>
      <c r="G62" s="47" t="n"/>
      <c r="H62" s="50">
        <f>IF($A62="","",IF(COUNTIFS(العهد_الرقم,$A62,العهد_الحالة,"&lt;&gt;مسترجعة")&gt;0,"⚠ يوجد عهد غير مسترجعة","لا عهد معلقة"))</f>
        <v/>
      </c>
      <c r="I62" s="63" t="n"/>
      <c r="J62" s="47" t="n"/>
      <c r="K62" s="47" t="n"/>
      <c r="L62" s="47" t="n"/>
    </row>
    <row r="63">
      <c r="A63" s="40" t="n"/>
      <c r="B63" s="43">
        <f>IFERROR(INDEX(الموظفون_الاسم,MATCH($A63,الموظفون_الرقم,0)),"")</f>
        <v/>
      </c>
      <c r="C63" s="110" t="n"/>
      <c r="D63" s="40" t="n"/>
      <c r="E63" s="110" t="n"/>
      <c r="F63" s="40" t="n"/>
      <c r="G63" s="40" t="n"/>
      <c r="H63" s="43">
        <f>IF($A63="","",IF(COUNTIFS(العهد_الرقم,$A63,العهد_الحالة,"&lt;&gt;مسترجعة")&gt;0,"⚠ يوجد عهد غير مسترجعة","لا عهد معلقة"))</f>
        <v/>
      </c>
      <c r="I63" s="60" t="n"/>
      <c r="J63" s="40" t="n"/>
      <c r="K63" s="40" t="n"/>
      <c r="L63" s="40" t="n"/>
    </row>
    <row r="64">
      <c r="A64" s="47" t="n"/>
      <c r="B64" s="50">
        <f>IFERROR(INDEX(الموظفون_الاسم,MATCH($A64,الموظفون_الرقم,0)),"")</f>
        <v/>
      </c>
      <c r="C64" s="112" t="n"/>
      <c r="D64" s="47" t="n"/>
      <c r="E64" s="112" t="n"/>
      <c r="F64" s="47" t="n"/>
      <c r="G64" s="47" t="n"/>
      <c r="H64" s="50">
        <f>IF($A64="","",IF(COUNTIFS(العهد_الرقم,$A64,العهد_الحالة,"&lt;&gt;مسترجعة")&gt;0,"⚠ يوجد عهد غير مسترجعة","لا عهد معلقة"))</f>
        <v/>
      </c>
      <c r="I64" s="63" t="n"/>
      <c r="J64" s="47" t="n"/>
      <c r="K64" s="47" t="n"/>
      <c r="L64" s="47" t="n"/>
    </row>
    <row r="65">
      <c r="A65" s="40" t="n"/>
      <c r="B65" s="43">
        <f>IFERROR(INDEX(الموظفون_الاسم,MATCH($A65,الموظفون_الرقم,0)),"")</f>
        <v/>
      </c>
      <c r="C65" s="110" t="n"/>
      <c r="D65" s="40" t="n"/>
      <c r="E65" s="110" t="n"/>
      <c r="F65" s="40" t="n"/>
      <c r="G65" s="40" t="n"/>
      <c r="H65" s="43">
        <f>IF($A65="","",IF(COUNTIFS(العهد_الرقم,$A65,العهد_الحالة,"&lt;&gt;مسترجعة")&gt;0,"⚠ يوجد عهد غير مسترجعة","لا عهد معلقة"))</f>
        <v/>
      </c>
      <c r="I65" s="60" t="n"/>
      <c r="J65" s="40" t="n"/>
      <c r="K65" s="40" t="n"/>
      <c r="L65" s="40" t="n"/>
    </row>
    <row r="66">
      <c r="A66" s="47" t="n"/>
      <c r="B66" s="50">
        <f>IFERROR(INDEX(الموظفون_الاسم,MATCH($A66,الموظفون_الرقم,0)),"")</f>
        <v/>
      </c>
      <c r="C66" s="112" t="n"/>
      <c r="D66" s="47" t="n"/>
      <c r="E66" s="112" t="n"/>
      <c r="F66" s="47" t="n"/>
      <c r="G66" s="47" t="n"/>
      <c r="H66" s="50">
        <f>IF($A66="","",IF(COUNTIFS(العهد_الرقم,$A66,العهد_الحالة,"&lt;&gt;مسترجعة")&gt;0,"⚠ يوجد عهد غير مسترجعة","لا عهد معلقة"))</f>
        <v/>
      </c>
      <c r="I66" s="63" t="n"/>
      <c r="J66" s="47" t="n"/>
      <c r="K66" s="47" t="n"/>
      <c r="L66" s="47" t="n"/>
    </row>
    <row r="67">
      <c r="A67" s="40" t="n"/>
      <c r="B67" s="43">
        <f>IFERROR(INDEX(الموظفون_الاسم,MATCH($A67,الموظفون_الرقم,0)),"")</f>
        <v/>
      </c>
      <c r="C67" s="110" t="n"/>
      <c r="D67" s="40" t="n"/>
      <c r="E67" s="110" t="n"/>
      <c r="F67" s="40" t="n"/>
      <c r="G67" s="40" t="n"/>
      <c r="H67" s="43">
        <f>IF($A67="","",IF(COUNTIFS(العهد_الرقم,$A67,العهد_الحالة,"&lt;&gt;مسترجعة")&gt;0,"⚠ يوجد عهد غير مسترجعة","لا عهد معلقة"))</f>
        <v/>
      </c>
      <c r="I67" s="60" t="n"/>
      <c r="J67" s="40" t="n"/>
      <c r="K67" s="40" t="n"/>
      <c r="L67" s="40" t="n"/>
    </row>
    <row r="68">
      <c r="A68" s="47" t="n"/>
      <c r="B68" s="50">
        <f>IFERROR(INDEX(الموظفون_الاسم,MATCH($A68,الموظفون_الرقم,0)),"")</f>
        <v/>
      </c>
      <c r="C68" s="112" t="n"/>
      <c r="D68" s="47" t="n"/>
      <c r="E68" s="112" t="n"/>
      <c r="F68" s="47" t="n"/>
      <c r="G68" s="47" t="n"/>
      <c r="H68" s="50">
        <f>IF($A68="","",IF(COUNTIFS(العهد_الرقم,$A68,العهد_الحالة,"&lt;&gt;مسترجعة")&gt;0,"⚠ يوجد عهد غير مسترجعة","لا عهد معلقة"))</f>
        <v/>
      </c>
      <c r="I68" s="63" t="n"/>
      <c r="J68" s="47" t="n"/>
      <c r="K68" s="47" t="n"/>
      <c r="L68" s="47" t="n"/>
    </row>
    <row r="69">
      <c r="A69" s="40" t="n"/>
      <c r="B69" s="43">
        <f>IFERROR(INDEX(الموظفون_الاسم,MATCH($A69,الموظفون_الرقم,0)),"")</f>
        <v/>
      </c>
      <c r="C69" s="110" t="n"/>
      <c r="D69" s="40" t="n"/>
      <c r="E69" s="110" t="n"/>
      <c r="F69" s="40" t="n"/>
      <c r="G69" s="40" t="n"/>
      <c r="H69" s="43">
        <f>IF($A69="","",IF(COUNTIFS(العهد_الرقم,$A69,العهد_الحالة,"&lt;&gt;مسترجعة")&gt;0,"⚠ يوجد عهد غير مسترجعة","لا عهد معلقة"))</f>
        <v/>
      </c>
      <c r="I69" s="60" t="n"/>
      <c r="J69" s="40" t="n"/>
      <c r="K69" s="40" t="n"/>
      <c r="L69" s="40" t="n"/>
    </row>
    <row r="70">
      <c r="A70" s="47" t="n"/>
      <c r="B70" s="50">
        <f>IFERROR(INDEX(الموظفون_الاسم,MATCH($A70,الموظفون_الرقم,0)),"")</f>
        <v/>
      </c>
      <c r="C70" s="112" t="n"/>
      <c r="D70" s="47" t="n"/>
      <c r="E70" s="112" t="n"/>
      <c r="F70" s="47" t="n"/>
      <c r="G70" s="47" t="n"/>
      <c r="H70" s="50">
        <f>IF($A70="","",IF(COUNTIFS(العهد_الرقم,$A70,العهد_الحالة,"&lt;&gt;مسترجعة")&gt;0,"⚠ يوجد عهد غير مسترجعة","لا عهد معلقة"))</f>
        <v/>
      </c>
      <c r="I70" s="63" t="n"/>
      <c r="J70" s="47" t="n"/>
      <c r="K70" s="47" t="n"/>
      <c r="L70" s="47" t="n"/>
    </row>
    <row r="71">
      <c r="A71" s="40" t="n"/>
      <c r="B71" s="43">
        <f>IFERROR(INDEX(الموظفون_الاسم,MATCH($A71,الموظفون_الرقم,0)),"")</f>
        <v/>
      </c>
      <c r="C71" s="110" t="n"/>
      <c r="D71" s="40" t="n"/>
      <c r="E71" s="110" t="n"/>
      <c r="F71" s="40" t="n"/>
      <c r="G71" s="40" t="n"/>
      <c r="H71" s="43">
        <f>IF($A71="","",IF(COUNTIFS(العهد_الرقم,$A71,العهد_الحالة,"&lt;&gt;مسترجعة")&gt;0,"⚠ يوجد عهد غير مسترجعة","لا عهد معلقة"))</f>
        <v/>
      </c>
      <c r="I71" s="60" t="n"/>
      <c r="J71" s="40" t="n"/>
      <c r="K71" s="40" t="n"/>
      <c r="L71" s="40" t="n"/>
    </row>
    <row r="72">
      <c r="A72" s="47" t="n"/>
      <c r="B72" s="50">
        <f>IFERROR(INDEX(الموظفون_الاسم,MATCH($A72,الموظفون_الرقم,0)),"")</f>
        <v/>
      </c>
      <c r="C72" s="112" t="n"/>
      <c r="D72" s="47" t="n"/>
      <c r="E72" s="112" t="n"/>
      <c r="F72" s="47" t="n"/>
      <c r="G72" s="47" t="n"/>
      <c r="H72" s="50">
        <f>IF($A72="","",IF(COUNTIFS(العهد_الرقم,$A72,العهد_الحالة,"&lt;&gt;مسترجعة")&gt;0,"⚠ يوجد عهد غير مسترجعة","لا عهد معلقة"))</f>
        <v/>
      </c>
      <c r="I72" s="63" t="n"/>
      <c r="J72" s="47" t="n"/>
      <c r="K72" s="47" t="n"/>
      <c r="L72" s="47" t="n"/>
    </row>
    <row r="73">
      <c r="A73" s="40" t="n"/>
      <c r="B73" s="43">
        <f>IFERROR(INDEX(الموظفون_الاسم,MATCH($A73,الموظفون_الرقم,0)),"")</f>
        <v/>
      </c>
      <c r="C73" s="110" t="n"/>
      <c r="D73" s="40" t="n"/>
      <c r="E73" s="110" t="n"/>
      <c r="F73" s="40" t="n"/>
      <c r="G73" s="40" t="n"/>
      <c r="H73" s="43">
        <f>IF($A73="","",IF(COUNTIFS(العهد_الرقم,$A73,العهد_الحالة,"&lt;&gt;مسترجعة")&gt;0,"⚠ يوجد عهد غير مسترجعة","لا عهد معلقة"))</f>
        <v/>
      </c>
      <c r="I73" s="60" t="n"/>
      <c r="J73" s="40" t="n"/>
      <c r="K73" s="40" t="n"/>
      <c r="L73" s="40" t="n"/>
    </row>
    <row r="74">
      <c r="A74" s="47" t="n"/>
      <c r="B74" s="50">
        <f>IFERROR(INDEX(الموظفون_الاسم,MATCH($A74,الموظفون_الرقم,0)),"")</f>
        <v/>
      </c>
      <c r="C74" s="112" t="n"/>
      <c r="D74" s="47" t="n"/>
      <c r="E74" s="112" t="n"/>
      <c r="F74" s="47" t="n"/>
      <c r="G74" s="47" t="n"/>
      <c r="H74" s="50">
        <f>IF($A74="","",IF(COUNTIFS(العهد_الرقم,$A74,العهد_الحالة,"&lt;&gt;مسترجعة")&gt;0,"⚠ يوجد عهد غير مسترجعة","لا عهد معلقة"))</f>
        <v/>
      </c>
      <c r="I74" s="63" t="n"/>
      <c r="J74" s="47" t="n"/>
      <c r="K74" s="47" t="n"/>
      <c r="L74" s="47" t="n"/>
    </row>
    <row r="75">
      <c r="A75" s="40" t="n"/>
      <c r="B75" s="43">
        <f>IFERROR(INDEX(الموظفون_الاسم,MATCH($A75,الموظفون_الرقم,0)),"")</f>
        <v/>
      </c>
      <c r="C75" s="110" t="n"/>
      <c r="D75" s="40" t="n"/>
      <c r="E75" s="110" t="n"/>
      <c r="F75" s="40" t="n"/>
      <c r="G75" s="40" t="n"/>
      <c r="H75" s="43">
        <f>IF($A75="","",IF(COUNTIFS(العهد_الرقم,$A75,العهد_الحالة,"&lt;&gt;مسترجعة")&gt;0,"⚠ يوجد عهد غير مسترجعة","لا عهد معلقة"))</f>
        <v/>
      </c>
      <c r="I75" s="60" t="n"/>
      <c r="J75" s="40" t="n"/>
      <c r="K75" s="40" t="n"/>
      <c r="L75" s="40" t="n"/>
    </row>
    <row r="76">
      <c r="A76" s="47" t="n"/>
      <c r="B76" s="50">
        <f>IFERROR(INDEX(الموظفون_الاسم,MATCH($A76,الموظفون_الرقم,0)),"")</f>
        <v/>
      </c>
      <c r="C76" s="112" t="n"/>
      <c r="D76" s="47" t="n"/>
      <c r="E76" s="112" t="n"/>
      <c r="F76" s="47" t="n"/>
      <c r="G76" s="47" t="n"/>
      <c r="H76" s="50">
        <f>IF($A76="","",IF(COUNTIFS(العهد_الرقم,$A76,العهد_الحالة,"&lt;&gt;مسترجعة")&gt;0,"⚠ يوجد عهد غير مسترجعة","لا عهد معلقة"))</f>
        <v/>
      </c>
      <c r="I76" s="63" t="n"/>
      <c r="J76" s="47" t="n"/>
      <c r="K76" s="47" t="n"/>
      <c r="L76" s="47" t="n"/>
    </row>
    <row r="77">
      <c r="A77" s="40" t="n"/>
      <c r="B77" s="43">
        <f>IFERROR(INDEX(الموظفون_الاسم,MATCH($A77,الموظفون_الرقم,0)),"")</f>
        <v/>
      </c>
      <c r="C77" s="110" t="n"/>
      <c r="D77" s="40" t="n"/>
      <c r="E77" s="110" t="n"/>
      <c r="F77" s="40" t="n"/>
      <c r="G77" s="40" t="n"/>
      <c r="H77" s="43">
        <f>IF($A77="","",IF(COUNTIFS(العهد_الرقم,$A77,العهد_الحالة,"&lt;&gt;مسترجعة")&gt;0,"⚠ يوجد عهد غير مسترجعة","لا عهد معلقة"))</f>
        <v/>
      </c>
      <c r="I77" s="60" t="n"/>
      <c r="J77" s="40" t="n"/>
      <c r="K77" s="40" t="n"/>
      <c r="L77" s="40" t="n"/>
    </row>
    <row r="78">
      <c r="A78" s="47" t="n"/>
      <c r="B78" s="50">
        <f>IFERROR(INDEX(الموظفون_الاسم,MATCH($A78,الموظفون_الرقم,0)),"")</f>
        <v/>
      </c>
      <c r="C78" s="112" t="n"/>
      <c r="D78" s="47" t="n"/>
      <c r="E78" s="112" t="n"/>
      <c r="F78" s="47" t="n"/>
      <c r="G78" s="47" t="n"/>
      <c r="H78" s="50">
        <f>IF($A78="","",IF(COUNTIFS(العهد_الرقم,$A78,العهد_الحالة,"&lt;&gt;مسترجعة")&gt;0,"⚠ يوجد عهد غير مسترجعة","لا عهد معلقة"))</f>
        <v/>
      </c>
      <c r="I78" s="63" t="n"/>
      <c r="J78" s="47" t="n"/>
      <c r="K78" s="47" t="n"/>
      <c r="L78" s="47" t="n"/>
    </row>
    <row r="79">
      <c r="A79" s="40" t="n"/>
      <c r="B79" s="43">
        <f>IFERROR(INDEX(الموظفون_الاسم,MATCH($A79,الموظفون_الرقم,0)),"")</f>
        <v/>
      </c>
      <c r="C79" s="110" t="n"/>
      <c r="D79" s="40" t="n"/>
      <c r="E79" s="110" t="n"/>
      <c r="F79" s="40" t="n"/>
      <c r="G79" s="40" t="n"/>
      <c r="H79" s="43">
        <f>IF($A79="","",IF(COUNTIFS(العهد_الرقم,$A79,العهد_الحالة,"&lt;&gt;مسترجعة")&gt;0,"⚠ يوجد عهد غير مسترجعة","لا عهد معلقة"))</f>
        <v/>
      </c>
      <c r="I79" s="60" t="n"/>
      <c r="J79" s="40" t="n"/>
      <c r="K79" s="40" t="n"/>
      <c r="L79" s="40" t="n"/>
    </row>
    <row r="80">
      <c r="A80" s="47" t="n"/>
      <c r="B80" s="50">
        <f>IFERROR(INDEX(الموظفون_الاسم,MATCH($A80,الموظفون_الرقم,0)),"")</f>
        <v/>
      </c>
      <c r="C80" s="112" t="n"/>
      <c r="D80" s="47" t="n"/>
      <c r="E80" s="112" t="n"/>
      <c r="F80" s="47" t="n"/>
      <c r="G80" s="47" t="n"/>
      <c r="H80" s="50">
        <f>IF($A80="","",IF(COUNTIFS(العهد_الرقم,$A80,العهد_الحالة,"&lt;&gt;مسترجعة")&gt;0,"⚠ يوجد عهد غير مسترجعة","لا عهد معلقة"))</f>
        <v/>
      </c>
      <c r="I80" s="63" t="n"/>
      <c r="J80" s="47" t="n"/>
      <c r="K80" s="47" t="n"/>
      <c r="L80" s="47" t="n"/>
    </row>
    <row r="81">
      <c r="A81" s="40" t="n"/>
      <c r="B81" s="43">
        <f>IFERROR(INDEX(الموظفون_الاسم,MATCH($A81,الموظفون_الرقم,0)),"")</f>
        <v/>
      </c>
      <c r="C81" s="110" t="n"/>
      <c r="D81" s="40" t="n"/>
      <c r="E81" s="110" t="n"/>
      <c r="F81" s="40" t="n"/>
      <c r="G81" s="40" t="n"/>
      <c r="H81" s="43">
        <f>IF($A81="","",IF(COUNTIFS(العهد_الرقم,$A81,العهد_الحالة,"&lt;&gt;مسترجعة")&gt;0,"⚠ يوجد عهد غير مسترجعة","لا عهد معلقة"))</f>
        <v/>
      </c>
      <c r="I81" s="60" t="n"/>
      <c r="J81" s="40" t="n"/>
      <c r="K81" s="40" t="n"/>
      <c r="L81" s="40" t="n"/>
    </row>
    <row r="82">
      <c r="A82" s="47" t="n"/>
      <c r="B82" s="50">
        <f>IFERROR(INDEX(الموظفون_الاسم,MATCH($A82,الموظفون_الرقم,0)),"")</f>
        <v/>
      </c>
      <c r="C82" s="112" t="n"/>
      <c r="D82" s="47" t="n"/>
      <c r="E82" s="112" t="n"/>
      <c r="F82" s="47" t="n"/>
      <c r="G82" s="47" t="n"/>
      <c r="H82" s="50">
        <f>IF($A82="","",IF(COUNTIFS(العهد_الرقم,$A82,العهد_الحالة,"&lt;&gt;مسترجعة")&gt;0,"⚠ يوجد عهد غير مسترجعة","لا عهد معلقة"))</f>
        <v/>
      </c>
      <c r="I82" s="63" t="n"/>
      <c r="J82" s="47" t="n"/>
      <c r="K82" s="47" t="n"/>
      <c r="L82" s="47" t="n"/>
    </row>
    <row r="83">
      <c r="A83" s="40" t="n"/>
      <c r="B83" s="43">
        <f>IFERROR(INDEX(الموظفون_الاسم,MATCH($A83,الموظفون_الرقم,0)),"")</f>
        <v/>
      </c>
      <c r="C83" s="110" t="n"/>
      <c r="D83" s="40" t="n"/>
      <c r="E83" s="110" t="n"/>
      <c r="F83" s="40" t="n"/>
      <c r="G83" s="40" t="n"/>
      <c r="H83" s="43">
        <f>IF($A83="","",IF(COUNTIFS(العهد_الرقم,$A83,العهد_الحالة,"&lt;&gt;مسترجعة")&gt;0,"⚠ يوجد عهد غير مسترجعة","لا عهد معلقة"))</f>
        <v/>
      </c>
      <c r="I83" s="60" t="n"/>
      <c r="J83" s="40" t="n"/>
      <c r="K83" s="40" t="n"/>
      <c r="L83" s="40" t="n"/>
    </row>
    <row r="84">
      <c r="A84" s="47" t="n"/>
      <c r="B84" s="50">
        <f>IFERROR(INDEX(الموظفون_الاسم,MATCH($A84,الموظفون_الرقم,0)),"")</f>
        <v/>
      </c>
      <c r="C84" s="112" t="n"/>
      <c r="D84" s="47" t="n"/>
      <c r="E84" s="112" t="n"/>
      <c r="F84" s="47" t="n"/>
      <c r="G84" s="47" t="n"/>
      <c r="H84" s="50">
        <f>IF($A84="","",IF(COUNTIFS(العهد_الرقم,$A84,العهد_الحالة,"&lt;&gt;مسترجعة")&gt;0,"⚠ يوجد عهد غير مسترجعة","لا عهد معلقة"))</f>
        <v/>
      </c>
      <c r="I84" s="63" t="n"/>
      <c r="J84" s="47" t="n"/>
      <c r="K84" s="47" t="n"/>
      <c r="L84" s="47" t="n"/>
    </row>
    <row r="85">
      <c r="A85" s="40" t="n"/>
      <c r="B85" s="43">
        <f>IFERROR(INDEX(الموظفون_الاسم,MATCH($A85,الموظفون_الرقم,0)),"")</f>
        <v/>
      </c>
      <c r="C85" s="110" t="n"/>
      <c r="D85" s="40" t="n"/>
      <c r="E85" s="110" t="n"/>
      <c r="F85" s="40" t="n"/>
      <c r="G85" s="40" t="n"/>
      <c r="H85" s="43">
        <f>IF($A85="","",IF(COUNTIFS(العهد_الرقم,$A85,العهد_الحالة,"&lt;&gt;مسترجعة")&gt;0,"⚠ يوجد عهد غير مسترجعة","لا عهد معلقة"))</f>
        <v/>
      </c>
      <c r="I85" s="60" t="n"/>
      <c r="J85" s="40" t="n"/>
      <c r="K85" s="40" t="n"/>
      <c r="L85" s="40" t="n"/>
    </row>
    <row r="86">
      <c r="A86" s="47" t="n"/>
      <c r="B86" s="50">
        <f>IFERROR(INDEX(الموظفون_الاسم,MATCH($A86,الموظفون_الرقم,0)),"")</f>
        <v/>
      </c>
      <c r="C86" s="112" t="n"/>
      <c r="D86" s="47" t="n"/>
      <c r="E86" s="112" t="n"/>
      <c r="F86" s="47" t="n"/>
      <c r="G86" s="47" t="n"/>
      <c r="H86" s="50">
        <f>IF($A86="","",IF(COUNTIFS(العهد_الرقم,$A86,العهد_الحالة,"&lt;&gt;مسترجعة")&gt;0,"⚠ يوجد عهد غير مسترجعة","لا عهد معلقة"))</f>
        <v/>
      </c>
      <c r="I86" s="63" t="n"/>
      <c r="J86" s="47" t="n"/>
      <c r="K86" s="47" t="n"/>
      <c r="L86" s="47" t="n"/>
    </row>
    <row r="87">
      <c r="A87" s="40" t="n"/>
      <c r="B87" s="43">
        <f>IFERROR(INDEX(الموظفون_الاسم,MATCH($A87,الموظفون_الرقم,0)),"")</f>
        <v/>
      </c>
      <c r="C87" s="110" t="n"/>
      <c r="D87" s="40" t="n"/>
      <c r="E87" s="110" t="n"/>
      <c r="F87" s="40" t="n"/>
      <c r="G87" s="40" t="n"/>
      <c r="H87" s="43">
        <f>IF($A87="","",IF(COUNTIFS(العهد_الرقم,$A87,العهد_الحالة,"&lt;&gt;مسترجعة")&gt;0,"⚠ يوجد عهد غير مسترجعة","لا عهد معلقة"))</f>
        <v/>
      </c>
      <c r="I87" s="60" t="n"/>
      <c r="J87" s="40" t="n"/>
      <c r="K87" s="40" t="n"/>
      <c r="L87" s="40" t="n"/>
    </row>
    <row r="88">
      <c r="A88" s="47" t="n"/>
      <c r="B88" s="50">
        <f>IFERROR(INDEX(الموظفون_الاسم,MATCH($A88,الموظفون_الرقم,0)),"")</f>
        <v/>
      </c>
      <c r="C88" s="112" t="n"/>
      <c r="D88" s="47" t="n"/>
      <c r="E88" s="112" t="n"/>
      <c r="F88" s="47" t="n"/>
      <c r="G88" s="47" t="n"/>
      <c r="H88" s="50">
        <f>IF($A88="","",IF(COUNTIFS(العهد_الرقم,$A88,العهد_الحالة,"&lt;&gt;مسترجعة")&gt;0,"⚠ يوجد عهد غير مسترجعة","لا عهد معلقة"))</f>
        <v/>
      </c>
      <c r="I88" s="63" t="n"/>
      <c r="J88" s="47" t="n"/>
      <c r="K88" s="47" t="n"/>
      <c r="L88" s="47" t="n"/>
    </row>
    <row r="89">
      <c r="A89" s="40" t="n"/>
      <c r="B89" s="43">
        <f>IFERROR(INDEX(الموظفون_الاسم,MATCH($A89,الموظفون_الرقم,0)),"")</f>
        <v/>
      </c>
      <c r="C89" s="110" t="n"/>
      <c r="D89" s="40" t="n"/>
      <c r="E89" s="110" t="n"/>
      <c r="F89" s="40" t="n"/>
      <c r="G89" s="40" t="n"/>
      <c r="H89" s="43">
        <f>IF($A89="","",IF(COUNTIFS(العهد_الرقم,$A89,العهد_الحالة,"&lt;&gt;مسترجعة")&gt;0,"⚠ يوجد عهد غير مسترجعة","لا عهد معلقة"))</f>
        <v/>
      </c>
      <c r="I89" s="60" t="n"/>
      <c r="J89" s="40" t="n"/>
      <c r="K89" s="40" t="n"/>
      <c r="L89" s="40" t="n"/>
    </row>
    <row r="90">
      <c r="A90" s="47" t="n"/>
      <c r="B90" s="50">
        <f>IFERROR(INDEX(الموظفون_الاسم,MATCH($A90,الموظفون_الرقم,0)),"")</f>
        <v/>
      </c>
      <c r="C90" s="112" t="n"/>
      <c r="D90" s="47" t="n"/>
      <c r="E90" s="112" t="n"/>
      <c r="F90" s="47" t="n"/>
      <c r="G90" s="47" t="n"/>
      <c r="H90" s="50">
        <f>IF($A90="","",IF(COUNTIFS(العهد_الرقم,$A90,العهد_الحالة,"&lt;&gt;مسترجعة")&gt;0,"⚠ يوجد عهد غير مسترجعة","لا عهد معلقة"))</f>
        <v/>
      </c>
      <c r="I90" s="63" t="n"/>
      <c r="J90" s="47" t="n"/>
      <c r="K90" s="47" t="n"/>
      <c r="L90" s="47" t="n"/>
    </row>
    <row r="91">
      <c r="A91" s="40" t="n"/>
      <c r="B91" s="43">
        <f>IFERROR(INDEX(الموظفون_الاسم,MATCH($A91,الموظفون_الرقم,0)),"")</f>
        <v/>
      </c>
      <c r="C91" s="110" t="n"/>
      <c r="D91" s="40" t="n"/>
      <c r="E91" s="110" t="n"/>
      <c r="F91" s="40" t="n"/>
      <c r="G91" s="40" t="n"/>
      <c r="H91" s="43">
        <f>IF($A91="","",IF(COUNTIFS(العهد_الرقم,$A91,العهد_الحالة,"&lt;&gt;مسترجعة")&gt;0,"⚠ يوجد عهد غير مسترجعة","لا عهد معلقة"))</f>
        <v/>
      </c>
      <c r="I91" s="60" t="n"/>
      <c r="J91" s="40" t="n"/>
      <c r="K91" s="40" t="n"/>
      <c r="L91" s="40" t="n"/>
    </row>
    <row r="92">
      <c r="A92" s="47" t="n"/>
      <c r="B92" s="50">
        <f>IFERROR(INDEX(الموظفون_الاسم,MATCH($A92,الموظفون_الرقم,0)),"")</f>
        <v/>
      </c>
      <c r="C92" s="112" t="n"/>
      <c r="D92" s="47" t="n"/>
      <c r="E92" s="112" t="n"/>
      <c r="F92" s="47" t="n"/>
      <c r="G92" s="47" t="n"/>
      <c r="H92" s="50">
        <f>IF($A92="","",IF(COUNTIFS(العهد_الرقم,$A92,العهد_الحالة,"&lt;&gt;مسترجعة")&gt;0,"⚠ يوجد عهد غير مسترجعة","لا عهد معلقة"))</f>
        <v/>
      </c>
      <c r="I92" s="63" t="n"/>
      <c r="J92" s="47" t="n"/>
      <c r="K92" s="47" t="n"/>
      <c r="L92" s="47" t="n"/>
    </row>
    <row r="93">
      <c r="A93" s="40" t="n"/>
      <c r="B93" s="43">
        <f>IFERROR(INDEX(الموظفون_الاسم,MATCH($A93,الموظفون_الرقم,0)),"")</f>
        <v/>
      </c>
      <c r="C93" s="110" t="n"/>
      <c r="D93" s="40" t="n"/>
      <c r="E93" s="110" t="n"/>
      <c r="F93" s="40" t="n"/>
      <c r="G93" s="40" t="n"/>
      <c r="H93" s="43">
        <f>IF($A93="","",IF(COUNTIFS(العهد_الرقم,$A93,العهد_الحالة,"&lt;&gt;مسترجعة")&gt;0,"⚠ يوجد عهد غير مسترجعة","لا عهد معلقة"))</f>
        <v/>
      </c>
      <c r="I93" s="60" t="n"/>
      <c r="J93" s="40" t="n"/>
      <c r="K93" s="40" t="n"/>
      <c r="L93" s="40" t="n"/>
    </row>
    <row r="94">
      <c r="A94" s="47" t="n"/>
      <c r="B94" s="50">
        <f>IFERROR(INDEX(الموظفون_الاسم,MATCH($A94,الموظفون_الرقم,0)),"")</f>
        <v/>
      </c>
      <c r="C94" s="112" t="n"/>
      <c r="D94" s="47" t="n"/>
      <c r="E94" s="112" t="n"/>
      <c r="F94" s="47" t="n"/>
      <c r="G94" s="47" t="n"/>
      <c r="H94" s="50">
        <f>IF($A94="","",IF(COUNTIFS(العهد_الرقم,$A94,العهد_الحالة,"&lt;&gt;مسترجعة")&gt;0,"⚠ يوجد عهد غير مسترجعة","لا عهد معلقة"))</f>
        <v/>
      </c>
      <c r="I94" s="63" t="n"/>
      <c r="J94" s="47" t="n"/>
      <c r="K94" s="47" t="n"/>
      <c r="L94" s="47" t="n"/>
    </row>
    <row r="95">
      <c r="A95" s="40" t="n"/>
      <c r="B95" s="43">
        <f>IFERROR(INDEX(الموظفون_الاسم,MATCH($A95,الموظفون_الرقم,0)),"")</f>
        <v/>
      </c>
      <c r="C95" s="110" t="n"/>
      <c r="D95" s="40" t="n"/>
      <c r="E95" s="110" t="n"/>
      <c r="F95" s="40" t="n"/>
      <c r="G95" s="40" t="n"/>
      <c r="H95" s="43">
        <f>IF($A95="","",IF(COUNTIFS(العهد_الرقم,$A95,العهد_الحالة,"&lt;&gt;مسترجعة")&gt;0,"⚠ يوجد عهد غير مسترجعة","لا عهد معلقة"))</f>
        <v/>
      </c>
      <c r="I95" s="60" t="n"/>
      <c r="J95" s="40" t="n"/>
      <c r="K95" s="40" t="n"/>
      <c r="L95" s="40" t="n"/>
    </row>
    <row r="96">
      <c r="A96" s="47" t="n"/>
      <c r="B96" s="50">
        <f>IFERROR(INDEX(الموظفون_الاسم,MATCH($A96,الموظفون_الرقم,0)),"")</f>
        <v/>
      </c>
      <c r="C96" s="112" t="n"/>
      <c r="D96" s="47" t="n"/>
      <c r="E96" s="112" t="n"/>
      <c r="F96" s="47" t="n"/>
      <c r="G96" s="47" t="n"/>
      <c r="H96" s="50">
        <f>IF($A96="","",IF(COUNTIFS(العهد_الرقم,$A96,العهد_الحالة,"&lt;&gt;مسترجعة")&gt;0,"⚠ يوجد عهد غير مسترجعة","لا عهد معلقة"))</f>
        <v/>
      </c>
      <c r="I96" s="63" t="n"/>
      <c r="J96" s="47" t="n"/>
      <c r="K96" s="47" t="n"/>
      <c r="L96" s="47" t="n"/>
    </row>
    <row r="97">
      <c r="A97" s="40" t="n"/>
      <c r="B97" s="43">
        <f>IFERROR(INDEX(الموظفون_الاسم,MATCH($A97,الموظفون_الرقم,0)),"")</f>
        <v/>
      </c>
      <c r="C97" s="110" t="n"/>
      <c r="D97" s="40" t="n"/>
      <c r="E97" s="110" t="n"/>
      <c r="F97" s="40" t="n"/>
      <c r="G97" s="40" t="n"/>
      <c r="H97" s="43">
        <f>IF($A97="","",IF(COUNTIFS(العهد_الرقم,$A97,العهد_الحالة,"&lt;&gt;مسترجعة")&gt;0,"⚠ يوجد عهد غير مسترجعة","لا عهد معلقة"))</f>
        <v/>
      </c>
      <c r="I97" s="60" t="n"/>
      <c r="J97" s="40" t="n"/>
      <c r="K97" s="40" t="n"/>
      <c r="L97" s="40" t="n"/>
    </row>
    <row r="98">
      <c r="A98" s="47" t="n"/>
      <c r="B98" s="50">
        <f>IFERROR(INDEX(الموظفون_الاسم,MATCH($A98,الموظفون_الرقم,0)),"")</f>
        <v/>
      </c>
      <c r="C98" s="112" t="n"/>
      <c r="D98" s="47" t="n"/>
      <c r="E98" s="112" t="n"/>
      <c r="F98" s="47" t="n"/>
      <c r="G98" s="47" t="n"/>
      <c r="H98" s="50">
        <f>IF($A98="","",IF(COUNTIFS(العهد_الرقم,$A98,العهد_الحالة,"&lt;&gt;مسترجعة")&gt;0,"⚠ يوجد عهد غير مسترجعة","لا عهد معلقة"))</f>
        <v/>
      </c>
      <c r="I98" s="63" t="n"/>
      <c r="J98" s="47" t="n"/>
      <c r="K98" s="47" t="n"/>
      <c r="L98" s="47" t="n"/>
    </row>
    <row r="99">
      <c r="A99" s="40" t="n"/>
      <c r="B99" s="43">
        <f>IFERROR(INDEX(الموظفون_الاسم,MATCH($A99,الموظفون_الرقم,0)),"")</f>
        <v/>
      </c>
      <c r="C99" s="110" t="n"/>
      <c r="D99" s="40" t="n"/>
      <c r="E99" s="110" t="n"/>
      <c r="F99" s="40" t="n"/>
      <c r="G99" s="40" t="n"/>
      <c r="H99" s="43">
        <f>IF($A99="","",IF(COUNTIFS(العهد_الرقم,$A99,العهد_الحالة,"&lt;&gt;مسترجعة")&gt;0,"⚠ يوجد عهد غير مسترجعة","لا عهد معلقة"))</f>
        <v/>
      </c>
      <c r="I99" s="60" t="n"/>
      <c r="J99" s="40" t="n"/>
      <c r="K99" s="40" t="n"/>
      <c r="L99" s="40" t="n"/>
    </row>
    <row r="100">
      <c r="A100" s="47" t="n"/>
      <c r="B100" s="50">
        <f>IFERROR(INDEX(الموظفون_الاسم,MATCH($A100,الموظفون_الرقم,0)),"")</f>
        <v/>
      </c>
      <c r="C100" s="112" t="n"/>
      <c r="D100" s="47" t="n"/>
      <c r="E100" s="112" t="n"/>
      <c r="F100" s="47" t="n"/>
      <c r="G100" s="47" t="n"/>
      <c r="H100" s="50">
        <f>IF($A100="","",IF(COUNTIFS(العهد_الرقم,$A100,العهد_الحالة,"&lt;&gt;مسترجعة")&gt;0,"⚠ يوجد عهد غير مسترجعة","لا عهد معلقة"))</f>
        <v/>
      </c>
      <c r="I100" s="63" t="n"/>
      <c r="J100" s="47" t="n"/>
      <c r="K100" s="47" t="n"/>
      <c r="L100" s="47" t="n"/>
    </row>
    <row r="101">
      <c r="A101" s="40" t="n"/>
      <c r="B101" s="43">
        <f>IFERROR(INDEX(الموظفون_الاسم,MATCH($A101,الموظفون_الرقم,0)),"")</f>
        <v/>
      </c>
      <c r="C101" s="110" t="n"/>
      <c r="D101" s="40" t="n"/>
      <c r="E101" s="110" t="n"/>
      <c r="F101" s="40" t="n"/>
      <c r="G101" s="40" t="n"/>
      <c r="H101" s="43">
        <f>IF($A101="","",IF(COUNTIFS(العهد_الرقم,$A101,العهد_الحالة,"&lt;&gt;مسترجعة")&gt;0,"⚠ يوجد عهد غير مسترجعة","لا عهد معلقة"))</f>
        <v/>
      </c>
      <c r="I101" s="60" t="n"/>
      <c r="J101" s="40" t="n"/>
      <c r="K101" s="40" t="n"/>
      <c r="L101" s="40" t="n"/>
    </row>
    <row r="102">
      <c r="A102" s="47" t="n"/>
      <c r="B102" s="50">
        <f>IFERROR(INDEX(الموظفون_الاسم,MATCH($A102,الموظفون_الرقم,0)),"")</f>
        <v/>
      </c>
      <c r="C102" s="112" t="n"/>
      <c r="D102" s="47" t="n"/>
      <c r="E102" s="112" t="n"/>
      <c r="F102" s="47" t="n"/>
      <c r="G102" s="47" t="n"/>
      <c r="H102" s="50">
        <f>IF($A102="","",IF(COUNTIFS(العهد_الرقم,$A102,العهد_الحالة,"&lt;&gt;مسترجعة")&gt;0,"⚠ يوجد عهد غير مسترجعة","لا عهد معلقة"))</f>
        <v/>
      </c>
      <c r="I102" s="63" t="n"/>
      <c r="J102" s="47" t="n"/>
      <c r="K102" s="47" t="n"/>
      <c r="L102" s="47" t="n"/>
    </row>
    <row r="103">
      <c r="A103" s="40" t="n"/>
      <c r="B103" s="43">
        <f>IFERROR(INDEX(الموظفون_الاسم,MATCH($A103,الموظفون_الرقم,0)),"")</f>
        <v/>
      </c>
      <c r="C103" s="110" t="n"/>
      <c r="D103" s="40" t="n"/>
      <c r="E103" s="110" t="n"/>
      <c r="F103" s="40" t="n"/>
      <c r="G103" s="40" t="n"/>
      <c r="H103" s="43">
        <f>IF($A103="","",IF(COUNTIFS(العهد_الرقم,$A103,العهد_الحالة,"&lt;&gt;مسترجعة")&gt;0,"⚠ يوجد عهد غير مسترجعة","لا عهد معلقة"))</f>
        <v/>
      </c>
      <c r="I103" s="60" t="n"/>
      <c r="J103" s="40" t="n"/>
      <c r="K103" s="40" t="n"/>
      <c r="L103" s="40" t="n"/>
    </row>
    <row r="104">
      <c r="A104" s="47" t="n"/>
      <c r="B104" s="50">
        <f>IFERROR(INDEX(الموظفون_الاسم,MATCH($A104,الموظفون_الرقم,0)),"")</f>
        <v/>
      </c>
      <c r="C104" s="112" t="n"/>
      <c r="D104" s="47" t="n"/>
      <c r="E104" s="112" t="n"/>
      <c r="F104" s="47" t="n"/>
      <c r="G104" s="47" t="n"/>
      <c r="H104" s="50">
        <f>IF($A104="","",IF(COUNTIFS(العهد_الرقم,$A104,العهد_الحالة,"&lt;&gt;مسترجعة")&gt;0,"⚠ يوجد عهد غير مسترجعة","لا عهد معلقة"))</f>
        <v/>
      </c>
      <c r="I104" s="63" t="n"/>
      <c r="J104" s="47" t="n"/>
      <c r="K104" s="47" t="n"/>
      <c r="L104" s="47" t="n"/>
    </row>
    <row r="105">
      <c r="A105" s="40" t="n"/>
      <c r="B105" s="43">
        <f>IFERROR(INDEX(الموظفون_الاسم,MATCH($A105,الموظفون_الرقم,0)),"")</f>
        <v/>
      </c>
      <c r="C105" s="110" t="n"/>
      <c r="D105" s="40" t="n"/>
      <c r="E105" s="110" t="n"/>
      <c r="F105" s="40" t="n"/>
      <c r="G105" s="40" t="n"/>
      <c r="H105" s="43">
        <f>IF($A105="","",IF(COUNTIFS(العهد_الرقم,$A105,العهد_الحالة,"&lt;&gt;مسترجعة")&gt;0,"⚠ يوجد عهد غير مسترجعة","لا عهد معلقة"))</f>
        <v/>
      </c>
      <c r="I105" s="60" t="n"/>
      <c r="J105" s="40" t="n"/>
      <c r="K105" s="40" t="n"/>
      <c r="L105" s="40" t="n"/>
    </row>
    <row r="106">
      <c r="A106" s="47" t="n"/>
      <c r="B106" s="50">
        <f>IFERROR(INDEX(الموظفون_الاسم,MATCH($A106,الموظفون_الرقم,0)),"")</f>
        <v/>
      </c>
      <c r="C106" s="112" t="n"/>
      <c r="D106" s="47" t="n"/>
      <c r="E106" s="112" t="n"/>
      <c r="F106" s="47" t="n"/>
      <c r="G106" s="47" t="n"/>
      <c r="H106" s="50">
        <f>IF($A106="","",IF(COUNTIFS(العهد_الرقم,$A106,العهد_الحالة,"&lt;&gt;مسترجعة")&gt;0,"⚠ يوجد عهد غير مسترجعة","لا عهد معلقة"))</f>
        <v/>
      </c>
      <c r="I106" s="63" t="n"/>
      <c r="J106" s="47" t="n"/>
      <c r="K106" s="47" t="n"/>
      <c r="L106" s="47" t="n"/>
    </row>
    <row r="107">
      <c r="A107" s="40" t="n"/>
      <c r="B107" s="43">
        <f>IFERROR(INDEX(الموظفون_الاسم,MATCH($A107,الموظفون_الرقم,0)),"")</f>
        <v/>
      </c>
      <c r="C107" s="110" t="n"/>
      <c r="D107" s="40" t="n"/>
      <c r="E107" s="110" t="n"/>
      <c r="F107" s="40" t="n"/>
      <c r="G107" s="40" t="n"/>
      <c r="H107" s="43">
        <f>IF($A107="","",IF(COUNTIFS(العهد_الرقم,$A107,العهد_الحالة,"&lt;&gt;مسترجعة")&gt;0,"⚠ يوجد عهد غير مسترجعة","لا عهد معلقة"))</f>
        <v/>
      </c>
      <c r="I107" s="60" t="n"/>
      <c r="J107" s="40" t="n"/>
      <c r="K107" s="40" t="n"/>
      <c r="L107" s="40" t="n"/>
    </row>
    <row r="108">
      <c r="A108" s="47" t="n"/>
      <c r="B108" s="50">
        <f>IFERROR(INDEX(الموظفون_الاسم,MATCH($A108,الموظفون_الرقم,0)),"")</f>
        <v/>
      </c>
      <c r="C108" s="112" t="n"/>
      <c r="D108" s="47" t="n"/>
      <c r="E108" s="112" t="n"/>
      <c r="F108" s="47" t="n"/>
      <c r="G108" s="47" t="n"/>
      <c r="H108" s="50">
        <f>IF($A108="","",IF(COUNTIFS(العهد_الرقم,$A108,العهد_الحالة,"&lt;&gt;مسترجعة")&gt;0,"⚠ يوجد عهد غير مسترجعة","لا عهد معلقة"))</f>
        <v/>
      </c>
      <c r="I108" s="63" t="n"/>
      <c r="J108" s="47" t="n"/>
      <c r="K108" s="47" t="n"/>
      <c r="L108" s="47" t="n"/>
    </row>
    <row r="109">
      <c r="A109" s="40" t="n"/>
      <c r="B109" s="43">
        <f>IFERROR(INDEX(الموظفون_الاسم,MATCH($A109,الموظفون_الرقم,0)),"")</f>
        <v/>
      </c>
      <c r="C109" s="110" t="n"/>
      <c r="D109" s="40" t="n"/>
      <c r="E109" s="110" t="n"/>
      <c r="F109" s="40" t="n"/>
      <c r="G109" s="40" t="n"/>
      <c r="H109" s="43">
        <f>IF($A109="","",IF(COUNTIFS(العهد_الرقم,$A109,العهد_الحالة,"&lt;&gt;مسترجعة")&gt;0,"⚠ يوجد عهد غير مسترجعة","لا عهد معلقة"))</f>
        <v/>
      </c>
      <c r="I109" s="60" t="n"/>
      <c r="J109" s="40" t="n"/>
      <c r="K109" s="40" t="n"/>
      <c r="L109" s="40" t="n"/>
    </row>
    <row r="110">
      <c r="A110" s="47" t="n"/>
      <c r="B110" s="50">
        <f>IFERROR(INDEX(الموظفون_الاسم,MATCH($A110,الموظفون_الرقم,0)),"")</f>
        <v/>
      </c>
      <c r="C110" s="112" t="n"/>
      <c r="D110" s="47" t="n"/>
      <c r="E110" s="112" t="n"/>
      <c r="F110" s="47" t="n"/>
      <c r="G110" s="47" t="n"/>
      <c r="H110" s="50">
        <f>IF($A110="","",IF(COUNTIFS(العهد_الرقم,$A110,العهد_الحالة,"&lt;&gt;مسترجعة")&gt;0,"⚠ يوجد عهد غير مسترجعة","لا عهد معلقة"))</f>
        <v/>
      </c>
      <c r="I110" s="63" t="n"/>
      <c r="J110" s="47" t="n"/>
      <c r="K110" s="47" t="n"/>
      <c r="L110" s="47" t="n"/>
    </row>
    <row r="111">
      <c r="A111" s="40" t="n"/>
      <c r="B111" s="43">
        <f>IFERROR(INDEX(الموظفون_الاسم,MATCH($A111,الموظفون_الرقم,0)),"")</f>
        <v/>
      </c>
      <c r="C111" s="110" t="n"/>
      <c r="D111" s="40" t="n"/>
      <c r="E111" s="110" t="n"/>
      <c r="F111" s="40" t="n"/>
      <c r="G111" s="40" t="n"/>
      <c r="H111" s="43">
        <f>IF($A111="","",IF(COUNTIFS(العهد_الرقم,$A111,العهد_الحالة,"&lt;&gt;مسترجعة")&gt;0,"⚠ يوجد عهد غير مسترجعة","لا عهد معلقة"))</f>
        <v/>
      </c>
      <c r="I111" s="60" t="n"/>
      <c r="J111" s="40" t="n"/>
      <c r="K111" s="40" t="n"/>
      <c r="L111" s="40" t="n"/>
    </row>
    <row r="112">
      <c r="A112" s="47" t="n"/>
      <c r="B112" s="50">
        <f>IFERROR(INDEX(الموظفون_الاسم,MATCH($A112,الموظفون_الرقم,0)),"")</f>
        <v/>
      </c>
      <c r="C112" s="112" t="n"/>
      <c r="D112" s="47" t="n"/>
      <c r="E112" s="112" t="n"/>
      <c r="F112" s="47" t="n"/>
      <c r="G112" s="47" t="n"/>
      <c r="H112" s="50">
        <f>IF($A112="","",IF(COUNTIFS(العهد_الرقم,$A112,العهد_الحالة,"&lt;&gt;مسترجعة")&gt;0,"⚠ يوجد عهد غير مسترجعة","لا عهد معلقة"))</f>
        <v/>
      </c>
      <c r="I112" s="63" t="n"/>
      <c r="J112" s="47" t="n"/>
      <c r="K112" s="47" t="n"/>
      <c r="L112" s="47" t="n"/>
    </row>
    <row r="113">
      <c r="A113" s="40" t="n"/>
      <c r="B113" s="43">
        <f>IFERROR(INDEX(الموظفون_الاسم,MATCH($A113,الموظفون_الرقم,0)),"")</f>
        <v/>
      </c>
      <c r="C113" s="110" t="n"/>
      <c r="D113" s="40" t="n"/>
      <c r="E113" s="110" t="n"/>
      <c r="F113" s="40" t="n"/>
      <c r="G113" s="40" t="n"/>
      <c r="H113" s="43">
        <f>IF($A113="","",IF(COUNTIFS(العهد_الرقم,$A113,العهد_الحالة,"&lt;&gt;مسترجعة")&gt;0,"⚠ يوجد عهد غير مسترجعة","لا عهد معلقة"))</f>
        <v/>
      </c>
      <c r="I113" s="60" t="n"/>
      <c r="J113" s="40" t="n"/>
      <c r="K113" s="40" t="n"/>
      <c r="L113" s="40" t="n"/>
    </row>
    <row r="114">
      <c r="A114" s="47" t="n"/>
      <c r="B114" s="50">
        <f>IFERROR(INDEX(الموظفون_الاسم,MATCH($A114,الموظفون_الرقم,0)),"")</f>
        <v/>
      </c>
      <c r="C114" s="112" t="n"/>
      <c r="D114" s="47" t="n"/>
      <c r="E114" s="112" t="n"/>
      <c r="F114" s="47" t="n"/>
      <c r="G114" s="47" t="n"/>
      <c r="H114" s="50">
        <f>IF($A114="","",IF(COUNTIFS(العهد_الرقم,$A114,العهد_الحالة,"&lt;&gt;مسترجعة")&gt;0,"⚠ يوجد عهد غير مسترجعة","لا عهد معلقة"))</f>
        <v/>
      </c>
      <c r="I114" s="63" t="n"/>
      <c r="J114" s="47" t="n"/>
      <c r="K114" s="47" t="n"/>
      <c r="L114" s="47" t="n"/>
    </row>
    <row r="115">
      <c r="A115" s="40" t="n"/>
      <c r="B115" s="43">
        <f>IFERROR(INDEX(الموظفون_الاسم,MATCH($A115,الموظفون_الرقم,0)),"")</f>
        <v/>
      </c>
      <c r="C115" s="110" t="n"/>
      <c r="D115" s="40" t="n"/>
      <c r="E115" s="110" t="n"/>
      <c r="F115" s="40" t="n"/>
      <c r="G115" s="40" t="n"/>
      <c r="H115" s="43">
        <f>IF($A115="","",IF(COUNTIFS(العهد_الرقم,$A115,العهد_الحالة,"&lt;&gt;مسترجعة")&gt;0,"⚠ يوجد عهد غير مسترجعة","لا عهد معلقة"))</f>
        <v/>
      </c>
      <c r="I115" s="60" t="n"/>
      <c r="J115" s="40" t="n"/>
      <c r="K115" s="40" t="n"/>
      <c r="L115" s="40" t="n"/>
    </row>
    <row r="116">
      <c r="A116" s="47" t="n"/>
      <c r="B116" s="50">
        <f>IFERROR(INDEX(الموظفون_الاسم,MATCH($A116,الموظفون_الرقم,0)),"")</f>
        <v/>
      </c>
      <c r="C116" s="112" t="n"/>
      <c r="D116" s="47" t="n"/>
      <c r="E116" s="112" t="n"/>
      <c r="F116" s="47" t="n"/>
      <c r="G116" s="47" t="n"/>
      <c r="H116" s="50">
        <f>IF($A116="","",IF(COUNTIFS(العهد_الرقم,$A116,العهد_الحالة,"&lt;&gt;مسترجعة")&gt;0,"⚠ يوجد عهد غير مسترجعة","لا عهد معلقة"))</f>
        <v/>
      </c>
      <c r="I116" s="63" t="n"/>
      <c r="J116" s="47" t="n"/>
      <c r="K116" s="47" t="n"/>
      <c r="L116" s="47" t="n"/>
    </row>
    <row r="117">
      <c r="A117" s="40" t="n"/>
      <c r="B117" s="43">
        <f>IFERROR(INDEX(الموظفون_الاسم,MATCH($A117,الموظفون_الرقم,0)),"")</f>
        <v/>
      </c>
      <c r="C117" s="110" t="n"/>
      <c r="D117" s="40" t="n"/>
      <c r="E117" s="110" t="n"/>
      <c r="F117" s="40" t="n"/>
      <c r="G117" s="40" t="n"/>
      <c r="H117" s="43">
        <f>IF($A117="","",IF(COUNTIFS(العهد_الرقم,$A117,العهد_الحالة,"&lt;&gt;مسترجعة")&gt;0,"⚠ يوجد عهد غير مسترجعة","لا عهد معلقة"))</f>
        <v/>
      </c>
      <c r="I117" s="60" t="n"/>
      <c r="J117" s="40" t="n"/>
      <c r="K117" s="40" t="n"/>
      <c r="L117" s="40" t="n"/>
    </row>
    <row r="118">
      <c r="A118" s="47" t="n"/>
      <c r="B118" s="50">
        <f>IFERROR(INDEX(الموظفون_الاسم,MATCH($A118,الموظفون_الرقم,0)),"")</f>
        <v/>
      </c>
      <c r="C118" s="112" t="n"/>
      <c r="D118" s="47" t="n"/>
      <c r="E118" s="112" t="n"/>
      <c r="F118" s="47" t="n"/>
      <c r="G118" s="47" t="n"/>
      <c r="H118" s="50">
        <f>IF($A118="","",IF(COUNTIFS(العهد_الرقم,$A118,العهد_الحالة,"&lt;&gt;مسترجعة")&gt;0,"⚠ يوجد عهد غير مسترجعة","لا عهد معلقة"))</f>
        <v/>
      </c>
      <c r="I118" s="63" t="n"/>
      <c r="J118" s="47" t="n"/>
      <c r="K118" s="47" t="n"/>
      <c r="L118" s="47" t="n"/>
    </row>
    <row r="119">
      <c r="A119" s="40" t="n"/>
      <c r="B119" s="43">
        <f>IFERROR(INDEX(الموظفون_الاسم,MATCH($A119,الموظفون_الرقم,0)),"")</f>
        <v/>
      </c>
      <c r="C119" s="110" t="n"/>
      <c r="D119" s="40" t="n"/>
      <c r="E119" s="110" t="n"/>
      <c r="F119" s="40" t="n"/>
      <c r="G119" s="40" t="n"/>
      <c r="H119" s="43">
        <f>IF($A119="","",IF(COUNTIFS(العهد_الرقم,$A119,العهد_الحالة,"&lt;&gt;مسترجعة")&gt;0,"⚠ يوجد عهد غير مسترجعة","لا عهد معلقة"))</f>
        <v/>
      </c>
      <c r="I119" s="60" t="n"/>
      <c r="J119" s="40" t="n"/>
      <c r="K119" s="40" t="n"/>
      <c r="L119" s="40" t="n"/>
    </row>
    <row r="120">
      <c r="A120" s="47" t="n"/>
      <c r="B120" s="50">
        <f>IFERROR(INDEX(الموظفون_الاسم,MATCH($A120,الموظفون_الرقم,0)),"")</f>
        <v/>
      </c>
      <c r="C120" s="112" t="n"/>
      <c r="D120" s="47" t="n"/>
      <c r="E120" s="112" t="n"/>
      <c r="F120" s="47" t="n"/>
      <c r="G120" s="47" t="n"/>
      <c r="H120" s="50">
        <f>IF($A120="","",IF(COUNTIFS(العهد_الرقم,$A120,العهد_الحالة,"&lt;&gt;مسترجعة")&gt;0,"⚠ يوجد عهد غير مسترجعة","لا عهد معلقة"))</f>
        <v/>
      </c>
      <c r="I120" s="63" t="n"/>
      <c r="J120" s="47" t="n"/>
      <c r="K120" s="47" t="n"/>
      <c r="L120" s="47" t="n"/>
    </row>
    <row r="121">
      <c r="A121" s="40" t="n"/>
      <c r="B121" s="43">
        <f>IFERROR(INDEX(الموظفون_الاسم,MATCH($A121,الموظفون_الرقم,0)),"")</f>
        <v/>
      </c>
      <c r="C121" s="110" t="n"/>
      <c r="D121" s="40" t="n"/>
      <c r="E121" s="110" t="n"/>
      <c r="F121" s="40" t="n"/>
      <c r="G121" s="40" t="n"/>
      <c r="H121" s="43">
        <f>IF($A121="","",IF(COUNTIFS(العهد_الرقم,$A121,العهد_الحالة,"&lt;&gt;مسترجعة")&gt;0,"⚠ يوجد عهد غير مسترجعة","لا عهد معلقة"))</f>
        <v/>
      </c>
      <c r="I121" s="60" t="n"/>
      <c r="J121" s="40" t="n"/>
      <c r="K121" s="40" t="n"/>
      <c r="L121" s="40" t="n"/>
    </row>
    <row r="122">
      <c r="A122" s="47" t="n"/>
      <c r="B122" s="50">
        <f>IFERROR(INDEX(الموظفون_الاسم,MATCH($A122,الموظفون_الرقم,0)),"")</f>
        <v/>
      </c>
      <c r="C122" s="112" t="n"/>
      <c r="D122" s="47" t="n"/>
      <c r="E122" s="112" t="n"/>
      <c r="F122" s="47" t="n"/>
      <c r="G122" s="47" t="n"/>
      <c r="H122" s="50">
        <f>IF($A122="","",IF(COUNTIFS(العهد_الرقم,$A122,العهد_الحالة,"&lt;&gt;مسترجعة")&gt;0,"⚠ يوجد عهد غير مسترجعة","لا عهد معلقة"))</f>
        <v/>
      </c>
      <c r="I122" s="63" t="n"/>
      <c r="J122" s="47" t="n"/>
      <c r="K122" s="47" t="n"/>
      <c r="L122" s="47" t="n"/>
    </row>
    <row r="123">
      <c r="A123" s="40" t="n"/>
      <c r="B123" s="43">
        <f>IFERROR(INDEX(الموظفون_الاسم,MATCH($A123,الموظفون_الرقم,0)),"")</f>
        <v/>
      </c>
      <c r="C123" s="110" t="n"/>
      <c r="D123" s="40" t="n"/>
      <c r="E123" s="110" t="n"/>
      <c r="F123" s="40" t="n"/>
      <c r="G123" s="40" t="n"/>
      <c r="H123" s="43">
        <f>IF($A123="","",IF(COUNTIFS(العهد_الرقم,$A123,العهد_الحالة,"&lt;&gt;مسترجعة")&gt;0,"⚠ يوجد عهد غير مسترجعة","لا عهد معلقة"))</f>
        <v/>
      </c>
      <c r="I123" s="60" t="n"/>
      <c r="J123" s="40" t="n"/>
      <c r="K123" s="40" t="n"/>
      <c r="L123" s="40" t="n"/>
    </row>
    <row r="124">
      <c r="A124" s="47" t="n"/>
      <c r="B124" s="50">
        <f>IFERROR(INDEX(الموظفون_الاسم,MATCH($A124,الموظفون_الرقم,0)),"")</f>
        <v/>
      </c>
      <c r="C124" s="112" t="n"/>
      <c r="D124" s="47" t="n"/>
      <c r="E124" s="112" t="n"/>
      <c r="F124" s="47" t="n"/>
      <c r="G124" s="47" t="n"/>
      <c r="H124" s="50">
        <f>IF($A124="","",IF(COUNTIFS(العهد_الرقم,$A124,العهد_الحالة,"&lt;&gt;مسترجعة")&gt;0,"⚠ يوجد عهد غير مسترجعة","لا عهد معلقة"))</f>
        <v/>
      </c>
      <c r="I124" s="63" t="n"/>
      <c r="J124" s="47" t="n"/>
      <c r="K124" s="47" t="n"/>
      <c r="L124" s="47" t="n"/>
    </row>
    <row r="125">
      <c r="A125" s="40" t="n"/>
      <c r="B125" s="43">
        <f>IFERROR(INDEX(الموظفون_الاسم,MATCH($A125,الموظفون_الرقم,0)),"")</f>
        <v/>
      </c>
      <c r="C125" s="110" t="n"/>
      <c r="D125" s="40" t="n"/>
      <c r="E125" s="110" t="n"/>
      <c r="F125" s="40" t="n"/>
      <c r="G125" s="40" t="n"/>
      <c r="H125" s="43">
        <f>IF($A125="","",IF(COUNTIFS(العهد_الرقم,$A125,العهد_الحالة,"&lt;&gt;مسترجعة")&gt;0,"⚠ يوجد عهد غير مسترجعة","لا عهد معلقة"))</f>
        <v/>
      </c>
      <c r="I125" s="60" t="n"/>
      <c r="J125" s="40" t="n"/>
      <c r="K125" s="40" t="n"/>
      <c r="L125" s="40" t="n"/>
    </row>
    <row r="126">
      <c r="A126" s="47" t="n"/>
      <c r="B126" s="50">
        <f>IFERROR(INDEX(الموظفون_الاسم,MATCH($A126,الموظفون_الرقم,0)),"")</f>
        <v/>
      </c>
      <c r="C126" s="112" t="n"/>
      <c r="D126" s="47" t="n"/>
      <c r="E126" s="112" t="n"/>
      <c r="F126" s="47" t="n"/>
      <c r="G126" s="47" t="n"/>
      <c r="H126" s="50">
        <f>IF($A126="","",IF(COUNTIFS(العهد_الرقم,$A126,العهد_الحالة,"&lt;&gt;مسترجعة")&gt;0,"⚠ يوجد عهد غير مسترجعة","لا عهد معلقة"))</f>
        <v/>
      </c>
      <c r="I126" s="63" t="n"/>
      <c r="J126" s="47" t="n"/>
      <c r="K126" s="47" t="n"/>
      <c r="L126" s="47" t="n"/>
    </row>
    <row r="127">
      <c r="A127" s="40" t="n"/>
      <c r="B127" s="43">
        <f>IFERROR(INDEX(الموظفون_الاسم,MATCH($A127,الموظفون_الرقم,0)),"")</f>
        <v/>
      </c>
      <c r="C127" s="110" t="n"/>
      <c r="D127" s="40" t="n"/>
      <c r="E127" s="110" t="n"/>
      <c r="F127" s="40" t="n"/>
      <c r="G127" s="40" t="n"/>
      <c r="H127" s="43">
        <f>IF($A127="","",IF(COUNTIFS(العهد_الرقم,$A127,العهد_الحالة,"&lt;&gt;مسترجعة")&gt;0,"⚠ يوجد عهد غير مسترجعة","لا عهد معلقة"))</f>
        <v/>
      </c>
      <c r="I127" s="60" t="n"/>
      <c r="J127" s="40" t="n"/>
      <c r="K127" s="40" t="n"/>
      <c r="L127" s="40" t="n"/>
    </row>
    <row r="128">
      <c r="A128" s="47" t="n"/>
      <c r="B128" s="50">
        <f>IFERROR(INDEX(الموظفون_الاسم,MATCH($A128,الموظفون_الرقم,0)),"")</f>
        <v/>
      </c>
      <c r="C128" s="112" t="n"/>
      <c r="D128" s="47" t="n"/>
      <c r="E128" s="112" t="n"/>
      <c r="F128" s="47" t="n"/>
      <c r="G128" s="47" t="n"/>
      <c r="H128" s="50">
        <f>IF($A128="","",IF(COUNTIFS(العهد_الرقم,$A128,العهد_الحالة,"&lt;&gt;مسترجعة")&gt;0,"⚠ يوجد عهد غير مسترجعة","لا عهد معلقة"))</f>
        <v/>
      </c>
      <c r="I128" s="63" t="n"/>
      <c r="J128" s="47" t="n"/>
      <c r="K128" s="47" t="n"/>
      <c r="L128" s="47" t="n"/>
    </row>
    <row r="129">
      <c r="A129" s="40" t="n"/>
      <c r="B129" s="43">
        <f>IFERROR(INDEX(الموظفون_الاسم,MATCH($A129,الموظفون_الرقم,0)),"")</f>
        <v/>
      </c>
      <c r="C129" s="110" t="n"/>
      <c r="D129" s="40" t="n"/>
      <c r="E129" s="110" t="n"/>
      <c r="F129" s="40" t="n"/>
      <c r="G129" s="40" t="n"/>
      <c r="H129" s="43">
        <f>IF($A129="","",IF(COUNTIFS(العهد_الرقم,$A129,العهد_الحالة,"&lt;&gt;مسترجعة")&gt;0,"⚠ يوجد عهد غير مسترجعة","لا عهد معلقة"))</f>
        <v/>
      </c>
      <c r="I129" s="60" t="n"/>
      <c r="J129" s="40" t="n"/>
      <c r="K129" s="40" t="n"/>
      <c r="L129" s="40" t="n"/>
    </row>
    <row r="130">
      <c r="A130" s="47" t="n"/>
      <c r="B130" s="50">
        <f>IFERROR(INDEX(الموظفون_الاسم,MATCH($A130,الموظفون_الرقم,0)),"")</f>
        <v/>
      </c>
      <c r="C130" s="112" t="n"/>
      <c r="D130" s="47" t="n"/>
      <c r="E130" s="112" t="n"/>
      <c r="F130" s="47" t="n"/>
      <c r="G130" s="47" t="n"/>
      <c r="H130" s="50">
        <f>IF($A130="","",IF(COUNTIFS(العهد_الرقم,$A130,العهد_الحالة,"&lt;&gt;مسترجعة")&gt;0,"⚠ يوجد عهد غير مسترجعة","لا عهد معلقة"))</f>
        <v/>
      </c>
      <c r="I130" s="63" t="n"/>
      <c r="J130" s="47" t="n"/>
      <c r="K130" s="47" t="n"/>
      <c r="L130" s="47" t="n"/>
    </row>
    <row r="131">
      <c r="A131" s="40" t="n"/>
      <c r="B131" s="43">
        <f>IFERROR(INDEX(الموظفون_الاسم,MATCH($A131,الموظفون_الرقم,0)),"")</f>
        <v/>
      </c>
      <c r="C131" s="110" t="n"/>
      <c r="D131" s="40" t="n"/>
      <c r="E131" s="110" t="n"/>
      <c r="F131" s="40" t="n"/>
      <c r="G131" s="40" t="n"/>
      <c r="H131" s="43">
        <f>IF($A131="","",IF(COUNTIFS(العهد_الرقم,$A131,العهد_الحالة,"&lt;&gt;مسترجعة")&gt;0,"⚠ يوجد عهد غير مسترجعة","لا عهد معلقة"))</f>
        <v/>
      </c>
      <c r="I131" s="60" t="n"/>
      <c r="J131" s="40" t="n"/>
      <c r="K131" s="40" t="n"/>
      <c r="L131" s="40" t="n"/>
    </row>
    <row r="132">
      <c r="A132" s="47" t="n"/>
      <c r="B132" s="50">
        <f>IFERROR(INDEX(الموظفون_الاسم,MATCH($A132,الموظفون_الرقم,0)),"")</f>
        <v/>
      </c>
      <c r="C132" s="112" t="n"/>
      <c r="D132" s="47" t="n"/>
      <c r="E132" s="112" t="n"/>
      <c r="F132" s="47" t="n"/>
      <c r="G132" s="47" t="n"/>
      <c r="H132" s="50">
        <f>IF($A132="","",IF(COUNTIFS(العهد_الرقم,$A132,العهد_الحالة,"&lt;&gt;مسترجعة")&gt;0,"⚠ يوجد عهد غير مسترجعة","لا عهد معلقة"))</f>
        <v/>
      </c>
      <c r="I132" s="63" t="n"/>
      <c r="J132" s="47" t="n"/>
      <c r="K132" s="47" t="n"/>
      <c r="L132" s="47" t="n"/>
    </row>
    <row r="133">
      <c r="A133" s="40" t="n"/>
      <c r="B133" s="43">
        <f>IFERROR(INDEX(الموظفون_الاسم,MATCH($A133,الموظفون_الرقم,0)),"")</f>
        <v/>
      </c>
      <c r="C133" s="110" t="n"/>
      <c r="D133" s="40" t="n"/>
      <c r="E133" s="110" t="n"/>
      <c r="F133" s="40" t="n"/>
      <c r="G133" s="40" t="n"/>
      <c r="H133" s="43">
        <f>IF($A133="","",IF(COUNTIFS(العهد_الرقم,$A133,العهد_الحالة,"&lt;&gt;مسترجعة")&gt;0,"⚠ يوجد عهد غير مسترجعة","لا عهد معلقة"))</f>
        <v/>
      </c>
      <c r="I133" s="60" t="n"/>
      <c r="J133" s="40" t="n"/>
      <c r="K133" s="40" t="n"/>
      <c r="L133" s="40" t="n"/>
    </row>
    <row r="134">
      <c r="A134" s="47" t="n"/>
      <c r="B134" s="50">
        <f>IFERROR(INDEX(الموظفون_الاسم,MATCH($A134,الموظفون_الرقم,0)),"")</f>
        <v/>
      </c>
      <c r="C134" s="112" t="n"/>
      <c r="D134" s="47" t="n"/>
      <c r="E134" s="112" t="n"/>
      <c r="F134" s="47" t="n"/>
      <c r="G134" s="47" t="n"/>
      <c r="H134" s="50">
        <f>IF($A134="","",IF(COUNTIFS(العهد_الرقم,$A134,العهد_الحالة,"&lt;&gt;مسترجعة")&gt;0,"⚠ يوجد عهد غير مسترجعة","لا عهد معلقة"))</f>
        <v/>
      </c>
      <c r="I134" s="63" t="n"/>
      <c r="J134" s="47" t="n"/>
      <c r="K134" s="47" t="n"/>
      <c r="L134" s="47" t="n"/>
    </row>
    <row r="135">
      <c r="A135" s="40" t="n"/>
      <c r="B135" s="43">
        <f>IFERROR(INDEX(الموظفون_الاسم,MATCH($A135,الموظفون_الرقم,0)),"")</f>
        <v/>
      </c>
      <c r="C135" s="110" t="n"/>
      <c r="D135" s="40" t="n"/>
      <c r="E135" s="110" t="n"/>
      <c r="F135" s="40" t="n"/>
      <c r="G135" s="40" t="n"/>
      <c r="H135" s="43">
        <f>IF($A135="","",IF(COUNTIFS(العهد_الرقم,$A135,العهد_الحالة,"&lt;&gt;مسترجعة")&gt;0,"⚠ يوجد عهد غير مسترجعة","لا عهد معلقة"))</f>
        <v/>
      </c>
      <c r="I135" s="60" t="n"/>
      <c r="J135" s="40" t="n"/>
      <c r="K135" s="40" t="n"/>
      <c r="L135" s="40" t="n"/>
    </row>
    <row r="136">
      <c r="A136" s="47" t="n"/>
      <c r="B136" s="50">
        <f>IFERROR(INDEX(الموظفون_الاسم,MATCH($A136,الموظفون_الرقم,0)),"")</f>
        <v/>
      </c>
      <c r="C136" s="112" t="n"/>
      <c r="D136" s="47" t="n"/>
      <c r="E136" s="112" t="n"/>
      <c r="F136" s="47" t="n"/>
      <c r="G136" s="47" t="n"/>
      <c r="H136" s="50">
        <f>IF($A136="","",IF(COUNTIFS(العهد_الرقم,$A136,العهد_الحالة,"&lt;&gt;مسترجعة")&gt;0,"⚠ يوجد عهد غير مسترجعة","لا عهد معلقة"))</f>
        <v/>
      </c>
      <c r="I136" s="63" t="n"/>
      <c r="J136" s="47" t="n"/>
      <c r="K136" s="47" t="n"/>
      <c r="L136" s="47" t="n"/>
    </row>
    <row r="137">
      <c r="A137" s="40" t="n"/>
      <c r="B137" s="43">
        <f>IFERROR(INDEX(الموظفون_الاسم,MATCH($A137,الموظفون_الرقم,0)),"")</f>
        <v/>
      </c>
      <c r="C137" s="110" t="n"/>
      <c r="D137" s="40" t="n"/>
      <c r="E137" s="110" t="n"/>
      <c r="F137" s="40" t="n"/>
      <c r="G137" s="40" t="n"/>
      <c r="H137" s="43">
        <f>IF($A137="","",IF(COUNTIFS(العهد_الرقم,$A137,العهد_الحالة,"&lt;&gt;مسترجعة")&gt;0,"⚠ يوجد عهد غير مسترجعة","لا عهد معلقة"))</f>
        <v/>
      </c>
      <c r="I137" s="60" t="n"/>
      <c r="J137" s="40" t="n"/>
      <c r="K137" s="40" t="n"/>
      <c r="L137" s="40" t="n"/>
    </row>
    <row r="138">
      <c r="A138" s="47" t="n"/>
      <c r="B138" s="50">
        <f>IFERROR(INDEX(الموظفون_الاسم,MATCH($A138,الموظفون_الرقم,0)),"")</f>
        <v/>
      </c>
      <c r="C138" s="112" t="n"/>
      <c r="D138" s="47" t="n"/>
      <c r="E138" s="112" t="n"/>
      <c r="F138" s="47" t="n"/>
      <c r="G138" s="47" t="n"/>
      <c r="H138" s="50">
        <f>IF($A138="","",IF(COUNTIFS(العهد_الرقم,$A138,العهد_الحالة,"&lt;&gt;مسترجعة")&gt;0,"⚠ يوجد عهد غير مسترجعة","لا عهد معلقة"))</f>
        <v/>
      </c>
      <c r="I138" s="63" t="n"/>
      <c r="J138" s="47" t="n"/>
      <c r="K138" s="47" t="n"/>
      <c r="L138" s="47" t="n"/>
    </row>
    <row r="139">
      <c r="A139" s="40" t="n"/>
      <c r="B139" s="43">
        <f>IFERROR(INDEX(الموظفون_الاسم,MATCH($A139,الموظفون_الرقم,0)),"")</f>
        <v/>
      </c>
      <c r="C139" s="110" t="n"/>
      <c r="D139" s="40" t="n"/>
      <c r="E139" s="110" t="n"/>
      <c r="F139" s="40" t="n"/>
      <c r="G139" s="40" t="n"/>
      <c r="H139" s="43">
        <f>IF($A139="","",IF(COUNTIFS(العهد_الرقم,$A139,العهد_الحالة,"&lt;&gt;مسترجعة")&gt;0,"⚠ يوجد عهد غير مسترجعة","لا عهد معلقة"))</f>
        <v/>
      </c>
      <c r="I139" s="60" t="n"/>
      <c r="J139" s="40" t="n"/>
      <c r="K139" s="40" t="n"/>
      <c r="L139" s="40" t="n"/>
    </row>
    <row r="140">
      <c r="A140" s="47" t="n"/>
      <c r="B140" s="50">
        <f>IFERROR(INDEX(الموظفون_الاسم,MATCH($A140,الموظفون_الرقم,0)),"")</f>
        <v/>
      </c>
      <c r="C140" s="112" t="n"/>
      <c r="D140" s="47" t="n"/>
      <c r="E140" s="112" t="n"/>
      <c r="F140" s="47" t="n"/>
      <c r="G140" s="47" t="n"/>
      <c r="H140" s="50">
        <f>IF($A140="","",IF(COUNTIFS(العهد_الرقم,$A140,العهد_الحالة,"&lt;&gt;مسترجعة")&gt;0,"⚠ يوجد عهد غير مسترجعة","لا عهد معلقة"))</f>
        <v/>
      </c>
      <c r="I140" s="63" t="n"/>
      <c r="J140" s="47" t="n"/>
      <c r="K140" s="47" t="n"/>
      <c r="L140" s="47" t="n"/>
    </row>
    <row r="141">
      <c r="A141" s="40" t="n"/>
      <c r="B141" s="43">
        <f>IFERROR(INDEX(الموظفون_الاسم,MATCH($A141,الموظفون_الرقم,0)),"")</f>
        <v/>
      </c>
      <c r="C141" s="110" t="n"/>
      <c r="D141" s="40" t="n"/>
      <c r="E141" s="110" t="n"/>
      <c r="F141" s="40" t="n"/>
      <c r="G141" s="40" t="n"/>
      <c r="H141" s="43">
        <f>IF($A141="","",IF(COUNTIFS(العهد_الرقم,$A141,العهد_الحالة,"&lt;&gt;مسترجعة")&gt;0,"⚠ يوجد عهد غير مسترجعة","لا عهد معلقة"))</f>
        <v/>
      </c>
      <c r="I141" s="60" t="n"/>
      <c r="J141" s="40" t="n"/>
      <c r="K141" s="40" t="n"/>
      <c r="L141" s="40" t="n"/>
    </row>
    <row r="142">
      <c r="A142" s="47" t="n"/>
      <c r="B142" s="50">
        <f>IFERROR(INDEX(الموظفون_الاسم,MATCH($A142,الموظفون_الرقم,0)),"")</f>
        <v/>
      </c>
      <c r="C142" s="112" t="n"/>
      <c r="D142" s="47" t="n"/>
      <c r="E142" s="112" t="n"/>
      <c r="F142" s="47" t="n"/>
      <c r="G142" s="47" t="n"/>
      <c r="H142" s="50">
        <f>IF($A142="","",IF(COUNTIFS(العهد_الرقم,$A142,العهد_الحالة,"&lt;&gt;مسترجعة")&gt;0,"⚠ يوجد عهد غير مسترجعة","لا عهد معلقة"))</f>
        <v/>
      </c>
      <c r="I142" s="63" t="n"/>
      <c r="J142" s="47" t="n"/>
      <c r="K142" s="47" t="n"/>
      <c r="L142" s="47" t="n"/>
    </row>
    <row r="143">
      <c r="A143" s="40" t="n"/>
      <c r="B143" s="43">
        <f>IFERROR(INDEX(الموظفون_الاسم,MATCH($A143,الموظفون_الرقم,0)),"")</f>
        <v/>
      </c>
      <c r="C143" s="110" t="n"/>
      <c r="D143" s="40" t="n"/>
      <c r="E143" s="110" t="n"/>
      <c r="F143" s="40" t="n"/>
      <c r="G143" s="40" t="n"/>
      <c r="H143" s="43">
        <f>IF($A143="","",IF(COUNTIFS(العهد_الرقم,$A143,العهد_الحالة,"&lt;&gt;مسترجعة")&gt;0,"⚠ يوجد عهد غير مسترجعة","لا عهد معلقة"))</f>
        <v/>
      </c>
      <c r="I143" s="60" t="n"/>
      <c r="J143" s="40" t="n"/>
      <c r="K143" s="40" t="n"/>
      <c r="L143" s="40" t="n"/>
    </row>
    <row r="144">
      <c r="A144" s="47" t="n"/>
      <c r="B144" s="50">
        <f>IFERROR(INDEX(الموظفون_الاسم,MATCH($A144,الموظفون_الرقم,0)),"")</f>
        <v/>
      </c>
      <c r="C144" s="112" t="n"/>
      <c r="D144" s="47" t="n"/>
      <c r="E144" s="112" t="n"/>
      <c r="F144" s="47" t="n"/>
      <c r="G144" s="47" t="n"/>
      <c r="H144" s="50">
        <f>IF($A144="","",IF(COUNTIFS(العهد_الرقم,$A144,العهد_الحالة,"&lt;&gt;مسترجعة")&gt;0,"⚠ يوجد عهد غير مسترجعة","لا عهد معلقة"))</f>
        <v/>
      </c>
      <c r="I144" s="63" t="n"/>
      <c r="J144" s="47" t="n"/>
      <c r="K144" s="47" t="n"/>
      <c r="L144" s="47" t="n"/>
    </row>
    <row r="145">
      <c r="A145" s="40" t="n"/>
      <c r="B145" s="43">
        <f>IFERROR(INDEX(الموظفون_الاسم,MATCH($A145,الموظفون_الرقم,0)),"")</f>
        <v/>
      </c>
      <c r="C145" s="110" t="n"/>
      <c r="D145" s="40" t="n"/>
      <c r="E145" s="110" t="n"/>
      <c r="F145" s="40" t="n"/>
      <c r="G145" s="40" t="n"/>
      <c r="H145" s="43">
        <f>IF($A145="","",IF(COUNTIFS(العهد_الرقم,$A145,العهد_الحالة,"&lt;&gt;مسترجعة")&gt;0,"⚠ يوجد عهد غير مسترجعة","لا عهد معلقة"))</f>
        <v/>
      </c>
      <c r="I145" s="60" t="n"/>
      <c r="J145" s="40" t="n"/>
      <c r="K145" s="40" t="n"/>
      <c r="L145" s="40" t="n"/>
    </row>
    <row r="146">
      <c r="A146" s="47" t="n"/>
      <c r="B146" s="50">
        <f>IFERROR(INDEX(الموظفون_الاسم,MATCH($A146,الموظفون_الرقم,0)),"")</f>
        <v/>
      </c>
      <c r="C146" s="112" t="n"/>
      <c r="D146" s="47" t="n"/>
      <c r="E146" s="112" t="n"/>
      <c r="F146" s="47" t="n"/>
      <c r="G146" s="47" t="n"/>
      <c r="H146" s="50">
        <f>IF($A146="","",IF(COUNTIFS(العهد_الرقم,$A146,العهد_الحالة,"&lt;&gt;مسترجعة")&gt;0,"⚠ يوجد عهد غير مسترجعة","لا عهد معلقة"))</f>
        <v/>
      </c>
      <c r="I146" s="63" t="n"/>
      <c r="J146" s="47" t="n"/>
      <c r="K146" s="47" t="n"/>
      <c r="L146" s="47" t="n"/>
    </row>
    <row r="147">
      <c r="A147" s="40" t="n"/>
      <c r="B147" s="43">
        <f>IFERROR(INDEX(الموظفون_الاسم,MATCH($A147,الموظفون_الرقم,0)),"")</f>
        <v/>
      </c>
      <c r="C147" s="110" t="n"/>
      <c r="D147" s="40" t="n"/>
      <c r="E147" s="110" t="n"/>
      <c r="F147" s="40" t="n"/>
      <c r="G147" s="40" t="n"/>
      <c r="H147" s="43">
        <f>IF($A147="","",IF(COUNTIFS(العهد_الرقم,$A147,العهد_الحالة,"&lt;&gt;مسترجعة")&gt;0,"⚠ يوجد عهد غير مسترجعة","لا عهد معلقة"))</f>
        <v/>
      </c>
      <c r="I147" s="60" t="n"/>
      <c r="J147" s="40" t="n"/>
      <c r="K147" s="40" t="n"/>
      <c r="L147" s="40" t="n"/>
    </row>
    <row r="148">
      <c r="A148" s="47" t="n"/>
      <c r="B148" s="50">
        <f>IFERROR(INDEX(الموظفون_الاسم,MATCH($A148,الموظفون_الرقم,0)),"")</f>
        <v/>
      </c>
      <c r="C148" s="112" t="n"/>
      <c r="D148" s="47" t="n"/>
      <c r="E148" s="112" t="n"/>
      <c r="F148" s="47" t="n"/>
      <c r="G148" s="47" t="n"/>
      <c r="H148" s="50">
        <f>IF($A148="","",IF(COUNTIFS(العهد_الرقم,$A148,العهد_الحالة,"&lt;&gt;مسترجعة")&gt;0,"⚠ يوجد عهد غير مسترجعة","لا عهد معلقة"))</f>
        <v/>
      </c>
      <c r="I148" s="63" t="n"/>
      <c r="J148" s="47" t="n"/>
      <c r="K148" s="47" t="n"/>
      <c r="L148" s="47" t="n"/>
    </row>
    <row r="149">
      <c r="A149" s="40" t="n"/>
      <c r="B149" s="43">
        <f>IFERROR(INDEX(الموظفون_الاسم,MATCH($A149,الموظفون_الرقم,0)),"")</f>
        <v/>
      </c>
      <c r="C149" s="110" t="n"/>
      <c r="D149" s="40" t="n"/>
      <c r="E149" s="110" t="n"/>
      <c r="F149" s="40" t="n"/>
      <c r="G149" s="40" t="n"/>
      <c r="H149" s="43">
        <f>IF($A149="","",IF(COUNTIFS(العهد_الرقم,$A149,العهد_الحالة,"&lt;&gt;مسترجعة")&gt;0,"⚠ يوجد عهد غير مسترجعة","لا عهد معلقة"))</f>
        <v/>
      </c>
      <c r="I149" s="60" t="n"/>
      <c r="J149" s="40" t="n"/>
      <c r="K149" s="40" t="n"/>
      <c r="L149" s="40" t="n"/>
    </row>
    <row r="150">
      <c r="A150" s="47" t="n"/>
      <c r="B150" s="50">
        <f>IFERROR(INDEX(الموظفون_الاسم,MATCH($A150,الموظفون_الرقم,0)),"")</f>
        <v/>
      </c>
      <c r="C150" s="112" t="n"/>
      <c r="D150" s="47" t="n"/>
      <c r="E150" s="112" t="n"/>
      <c r="F150" s="47" t="n"/>
      <c r="G150" s="47" t="n"/>
      <c r="H150" s="50">
        <f>IF($A150="","",IF(COUNTIFS(العهد_الرقم,$A150,العهد_الحالة,"&lt;&gt;مسترجعة")&gt;0,"⚠ يوجد عهد غير مسترجعة","لا عهد معلقة"))</f>
        <v/>
      </c>
      <c r="I150" s="63" t="n"/>
      <c r="J150" s="47" t="n"/>
      <c r="K150" s="47" t="n"/>
      <c r="L150" s="47" t="n"/>
    </row>
    <row r="151">
      <c r="A151" s="40" t="n"/>
      <c r="B151" s="43">
        <f>IFERROR(INDEX(الموظفون_الاسم,MATCH($A151,الموظفون_الرقم,0)),"")</f>
        <v/>
      </c>
      <c r="C151" s="110" t="n"/>
      <c r="D151" s="40" t="n"/>
      <c r="E151" s="110" t="n"/>
      <c r="F151" s="40" t="n"/>
      <c r="G151" s="40" t="n"/>
      <c r="H151" s="43">
        <f>IF($A151="","",IF(COUNTIFS(العهد_الرقم,$A151,العهد_الحالة,"&lt;&gt;مسترجعة")&gt;0,"⚠ يوجد عهد غير مسترجعة","لا عهد معلقة"))</f>
        <v/>
      </c>
      <c r="I151" s="60" t="n"/>
      <c r="J151" s="40" t="n"/>
      <c r="K151" s="40" t="n"/>
      <c r="L151" s="40" t="n"/>
    </row>
    <row r="152">
      <c r="A152" s="47" t="n"/>
      <c r="B152" s="50">
        <f>IFERROR(INDEX(الموظفون_الاسم,MATCH($A152,الموظفون_الرقم,0)),"")</f>
        <v/>
      </c>
      <c r="C152" s="112" t="n"/>
      <c r="D152" s="47" t="n"/>
      <c r="E152" s="112" t="n"/>
      <c r="F152" s="47" t="n"/>
      <c r="G152" s="47" t="n"/>
      <c r="H152" s="50">
        <f>IF($A152="","",IF(COUNTIFS(العهد_الرقم,$A152,العهد_الحالة,"&lt;&gt;مسترجعة")&gt;0,"⚠ يوجد عهد غير مسترجعة","لا عهد معلقة"))</f>
        <v/>
      </c>
      <c r="I152" s="63" t="n"/>
      <c r="J152" s="47" t="n"/>
      <c r="K152" s="47" t="n"/>
      <c r="L152" s="47" t="n"/>
    </row>
    <row r="153">
      <c r="A153" s="40" t="n"/>
      <c r="B153" s="43">
        <f>IFERROR(INDEX(الموظفون_الاسم,MATCH($A153,الموظفون_الرقم,0)),"")</f>
        <v/>
      </c>
      <c r="C153" s="110" t="n"/>
      <c r="D153" s="40" t="n"/>
      <c r="E153" s="110" t="n"/>
      <c r="F153" s="40" t="n"/>
      <c r="G153" s="40" t="n"/>
      <c r="H153" s="43">
        <f>IF($A153="","",IF(COUNTIFS(العهد_الرقم,$A153,العهد_الحالة,"&lt;&gt;مسترجعة")&gt;0,"⚠ يوجد عهد غير مسترجعة","لا عهد معلقة"))</f>
        <v/>
      </c>
      <c r="I153" s="60" t="n"/>
      <c r="J153" s="40" t="n"/>
      <c r="K153" s="40" t="n"/>
      <c r="L153" s="40" t="n"/>
    </row>
    <row r="154">
      <c r="A154" s="47" t="n"/>
      <c r="B154" s="50">
        <f>IFERROR(INDEX(الموظفون_الاسم,MATCH($A154,الموظفون_الرقم,0)),"")</f>
        <v/>
      </c>
      <c r="C154" s="112" t="n"/>
      <c r="D154" s="47" t="n"/>
      <c r="E154" s="112" t="n"/>
      <c r="F154" s="47" t="n"/>
      <c r="G154" s="47" t="n"/>
      <c r="H154" s="50">
        <f>IF($A154="","",IF(COUNTIFS(العهد_الرقم,$A154,العهد_الحالة,"&lt;&gt;مسترجعة")&gt;0,"⚠ يوجد عهد غير مسترجعة","لا عهد معلقة"))</f>
        <v/>
      </c>
      <c r="I154" s="63" t="n"/>
      <c r="J154" s="47" t="n"/>
      <c r="K154" s="47" t="n"/>
      <c r="L154" s="47" t="n"/>
    </row>
    <row r="155">
      <c r="A155" s="40" t="n"/>
      <c r="B155" s="43">
        <f>IFERROR(INDEX(الموظفون_الاسم,MATCH($A155,الموظفون_الرقم,0)),"")</f>
        <v/>
      </c>
      <c r="C155" s="110" t="n"/>
      <c r="D155" s="40" t="n"/>
      <c r="E155" s="110" t="n"/>
      <c r="F155" s="40" t="n"/>
      <c r="G155" s="40" t="n"/>
      <c r="H155" s="43">
        <f>IF($A155="","",IF(COUNTIFS(العهد_الرقم,$A155,العهد_الحالة,"&lt;&gt;مسترجعة")&gt;0,"⚠ يوجد عهد غير مسترجعة","لا عهد معلقة"))</f>
        <v/>
      </c>
      <c r="I155" s="60" t="n"/>
      <c r="J155" s="40" t="n"/>
      <c r="K155" s="40" t="n"/>
      <c r="L155" s="40" t="n"/>
    </row>
    <row r="156">
      <c r="A156" s="47" t="n"/>
      <c r="B156" s="50">
        <f>IFERROR(INDEX(الموظفون_الاسم,MATCH($A156,الموظفون_الرقم,0)),"")</f>
        <v/>
      </c>
      <c r="C156" s="112" t="n"/>
      <c r="D156" s="47" t="n"/>
      <c r="E156" s="112" t="n"/>
      <c r="F156" s="47" t="n"/>
      <c r="G156" s="47" t="n"/>
      <c r="H156" s="50">
        <f>IF($A156="","",IF(COUNTIFS(العهد_الرقم,$A156,العهد_الحالة,"&lt;&gt;مسترجعة")&gt;0,"⚠ يوجد عهد غير مسترجعة","لا عهد معلقة"))</f>
        <v/>
      </c>
      <c r="I156" s="63" t="n"/>
      <c r="J156" s="47" t="n"/>
      <c r="K156" s="47" t="n"/>
      <c r="L156" s="47" t="n"/>
    </row>
    <row r="157">
      <c r="A157" s="40" t="n"/>
      <c r="B157" s="43">
        <f>IFERROR(INDEX(الموظفون_الاسم,MATCH($A157,الموظفون_الرقم,0)),"")</f>
        <v/>
      </c>
      <c r="C157" s="110" t="n"/>
      <c r="D157" s="40" t="n"/>
      <c r="E157" s="110" t="n"/>
      <c r="F157" s="40" t="n"/>
      <c r="G157" s="40" t="n"/>
      <c r="H157" s="43">
        <f>IF($A157="","",IF(COUNTIFS(العهد_الرقم,$A157,العهد_الحالة,"&lt;&gt;مسترجعة")&gt;0,"⚠ يوجد عهد غير مسترجعة","لا عهد معلقة"))</f>
        <v/>
      </c>
      <c r="I157" s="60" t="n"/>
      <c r="J157" s="40" t="n"/>
      <c r="K157" s="40" t="n"/>
      <c r="L157" s="40" t="n"/>
    </row>
    <row r="158">
      <c r="A158" s="47" t="n"/>
      <c r="B158" s="50">
        <f>IFERROR(INDEX(الموظفون_الاسم,MATCH($A158,الموظفون_الرقم,0)),"")</f>
        <v/>
      </c>
      <c r="C158" s="112" t="n"/>
      <c r="D158" s="47" t="n"/>
      <c r="E158" s="112" t="n"/>
      <c r="F158" s="47" t="n"/>
      <c r="G158" s="47" t="n"/>
      <c r="H158" s="50">
        <f>IF($A158="","",IF(COUNTIFS(العهد_الرقم,$A158,العهد_الحالة,"&lt;&gt;مسترجعة")&gt;0,"⚠ يوجد عهد غير مسترجعة","لا عهد معلقة"))</f>
        <v/>
      </c>
      <c r="I158" s="63" t="n"/>
      <c r="J158" s="47" t="n"/>
      <c r="K158" s="47" t="n"/>
      <c r="L158" s="47" t="n"/>
    </row>
    <row r="159">
      <c r="A159" s="40" t="n"/>
      <c r="B159" s="43">
        <f>IFERROR(INDEX(الموظفون_الاسم,MATCH($A159,الموظفون_الرقم,0)),"")</f>
        <v/>
      </c>
      <c r="C159" s="110" t="n"/>
      <c r="D159" s="40" t="n"/>
      <c r="E159" s="110" t="n"/>
      <c r="F159" s="40" t="n"/>
      <c r="G159" s="40" t="n"/>
      <c r="H159" s="43">
        <f>IF($A159="","",IF(COUNTIFS(العهد_الرقم,$A159,العهد_الحالة,"&lt;&gt;مسترجعة")&gt;0,"⚠ يوجد عهد غير مسترجعة","لا عهد معلقة"))</f>
        <v/>
      </c>
      <c r="I159" s="60" t="n"/>
      <c r="J159" s="40" t="n"/>
      <c r="K159" s="40" t="n"/>
      <c r="L159" s="40" t="n"/>
    </row>
    <row r="160">
      <c r="A160" s="47" t="n"/>
      <c r="B160" s="50">
        <f>IFERROR(INDEX(الموظفون_الاسم,MATCH($A160,الموظفون_الرقم,0)),"")</f>
        <v/>
      </c>
      <c r="C160" s="112" t="n"/>
      <c r="D160" s="47" t="n"/>
      <c r="E160" s="112" t="n"/>
      <c r="F160" s="47" t="n"/>
      <c r="G160" s="47" t="n"/>
      <c r="H160" s="50">
        <f>IF($A160="","",IF(COUNTIFS(العهد_الرقم,$A160,العهد_الحالة,"&lt;&gt;مسترجعة")&gt;0,"⚠ يوجد عهد غير مسترجعة","لا عهد معلقة"))</f>
        <v/>
      </c>
      <c r="I160" s="63" t="n"/>
      <c r="J160" s="47" t="n"/>
      <c r="K160" s="47" t="n"/>
      <c r="L160" s="47" t="n"/>
    </row>
    <row r="161">
      <c r="A161" s="40" t="n"/>
      <c r="B161" s="43">
        <f>IFERROR(INDEX(الموظفون_الاسم,MATCH($A161,الموظفون_الرقم,0)),"")</f>
        <v/>
      </c>
      <c r="C161" s="110" t="n"/>
      <c r="D161" s="40" t="n"/>
      <c r="E161" s="110" t="n"/>
      <c r="F161" s="40" t="n"/>
      <c r="G161" s="40" t="n"/>
      <c r="H161" s="43">
        <f>IF($A161="","",IF(COUNTIFS(العهد_الرقم,$A161,العهد_الحالة,"&lt;&gt;مسترجعة")&gt;0,"⚠ يوجد عهد غير مسترجعة","لا عهد معلقة"))</f>
        <v/>
      </c>
      <c r="I161" s="60" t="n"/>
      <c r="J161" s="40" t="n"/>
      <c r="K161" s="40" t="n"/>
      <c r="L161" s="40" t="n"/>
    </row>
    <row r="162">
      <c r="A162" s="47" t="n"/>
      <c r="B162" s="50">
        <f>IFERROR(INDEX(الموظفون_الاسم,MATCH($A162,الموظفون_الرقم,0)),"")</f>
        <v/>
      </c>
      <c r="C162" s="112" t="n"/>
      <c r="D162" s="47" t="n"/>
      <c r="E162" s="112" t="n"/>
      <c r="F162" s="47" t="n"/>
      <c r="G162" s="47" t="n"/>
      <c r="H162" s="50">
        <f>IF($A162="","",IF(COUNTIFS(العهد_الرقم,$A162,العهد_الحالة,"&lt;&gt;مسترجعة")&gt;0,"⚠ يوجد عهد غير مسترجعة","لا عهد معلقة"))</f>
        <v/>
      </c>
      <c r="I162" s="63" t="n"/>
      <c r="J162" s="47" t="n"/>
      <c r="K162" s="47" t="n"/>
      <c r="L162" s="47" t="n"/>
    </row>
    <row r="163">
      <c r="A163" s="40" t="n"/>
      <c r="B163" s="43">
        <f>IFERROR(INDEX(الموظفون_الاسم,MATCH($A163,الموظفون_الرقم,0)),"")</f>
        <v/>
      </c>
      <c r="C163" s="110" t="n"/>
      <c r="D163" s="40" t="n"/>
      <c r="E163" s="110" t="n"/>
      <c r="F163" s="40" t="n"/>
      <c r="G163" s="40" t="n"/>
      <c r="H163" s="43">
        <f>IF($A163="","",IF(COUNTIFS(العهد_الرقم,$A163,العهد_الحالة,"&lt;&gt;مسترجعة")&gt;0,"⚠ يوجد عهد غير مسترجعة","لا عهد معلقة"))</f>
        <v/>
      </c>
      <c r="I163" s="60" t="n"/>
      <c r="J163" s="40" t="n"/>
      <c r="K163" s="40" t="n"/>
      <c r="L163" s="40" t="n"/>
    </row>
    <row r="164">
      <c r="A164" s="47" t="n"/>
      <c r="B164" s="50">
        <f>IFERROR(INDEX(الموظفون_الاسم,MATCH($A164,الموظفون_الرقم,0)),"")</f>
        <v/>
      </c>
      <c r="C164" s="112" t="n"/>
      <c r="D164" s="47" t="n"/>
      <c r="E164" s="112" t="n"/>
      <c r="F164" s="47" t="n"/>
      <c r="G164" s="47" t="n"/>
      <c r="H164" s="50">
        <f>IF($A164="","",IF(COUNTIFS(العهد_الرقم,$A164,العهد_الحالة,"&lt;&gt;مسترجعة")&gt;0,"⚠ يوجد عهد غير مسترجعة","لا عهد معلقة"))</f>
        <v/>
      </c>
      <c r="I164" s="63" t="n"/>
      <c r="J164" s="47" t="n"/>
      <c r="K164" s="47" t="n"/>
      <c r="L164" s="47" t="n"/>
    </row>
    <row r="165">
      <c r="A165" s="40" t="n"/>
      <c r="B165" s="43">
        <f>IFERROR(INDEX(الموظفون_الاسم,MATCH($A165,الموظفون_الرقم,0)),"")</f>
        <v/>
      </c>
      <c r="C165" s="110" t="n"/>
      <c r="D165" s="40" t="n"/>
      <c r="E165" s="110" t="n"/>
      <c r="F165" s="40" t="n"/>
      <c r="G165" s="40" t="n"/>
      <c r="H165" s="43">
        <f>IF($A165="","",IF(COUNTIFS(العهد_الرقم,$A165,العهد_الحالة,"&lt;&gt;مسترجعة")&gt;0,"⚠ يوجد عهد غير مسترجعة","لا عهد معلقة"))</f>
        <v/>
      </c>
      <c r="I165" s="60" t="n"/>
      <c r="J165" s="40" t="n"/>
      <c r="K165" s="40" t="n"/>
      <c r="L165" s="40" t="n"/>
    </row>
    <row r="166">
      <c r="A166" s="47" t="n"/>
      <c r="B166" s="50">
        <f>IFERROR(INDEX(الموظفون_الاسم,MATCH($A166,الموظفون_الرقم,0)),"")</f>
        <v/>
      </c>
      <c r="C166" s="112" t="n"/>
      <c r="D166" s="47" t="n"/>
      <c r="E166" s="112" t="n"/>
      <c r="F166" s="47" t="n"/>
      <c r="G166" s="47" t="n"/>
      <c r="H166" s="50">
        <f>IF($A166="","",IF(COUNTIFS(العهد_الرقم,$A166,العهد_الحالة,"&lt;&gt;مسترجعة")&gt;0,"⚠ يوجد عهد غير مسترجعة","لا عهد معلقة"))</f>
        <v/>
      </c>
      <c r="I166" s="63" t="n"/>
      <c r="J166" s="47" t="n"/>
      <c r="K166" s="47" t="n"/>
      <c r="L166" s="47" t="n"/>
    </row>
    <row r="167">
      <c r="A167" s="40" t="n"/>
      <c r="B167" s="43">
        <f>IFERROR(INDEX(الموظفون_الاسم,MATCH($A167,الموظفون_الرقم,0)),"")</f>
        <v/>
      </c>
      <c r="C167" s="110" t="n"/>
      <c r="D167" s="40" t="n"/>
      <c r="E167" s="110" t="n"/>
      <c r="F167" s="40" t="n"/>
      <c r="G167" s="40" t="n"/>
      <c r="H167" s="43">
        <f>IF($A167="","",IF(COUNTIFS(العهد_الرقم,$A167,العهد_الحالة,"&lt;&gt;مسترجعة")&gt;0,"⚠ يوجد عهد غير مسترجعة","لا عهد معلقة"))</f>
        <v/>
      </c>
      <c r="I167" s="60" t="n"/>
      <c r="J167" s="40" t="n"/>
      <c r="K167" s="40" t="n"/>
      <c r="L167" s="40" t="n"/>
    </row>
    <row r="168">
      <c r="A168" s="47" t="n"/>
      <c r="B168" s="50">
        <f>IFERROR(INDEX(الموظفون_الاسم,MATCH($A168,الموظفون_الرقم,0)),"")</f>
        <v/>
      </c>
      <c r="C168" s="112" t="n"/>
      <c r="D168" s="47" t="n"/>
      <c r="E168" s="112" t="n"/>
      <c r="F168" s="47" t="n"/>
      <c r="G168" s="47" t="n"/>
      <c r="H168" s="50">
        <f>IF($A168="","",IF(COUNTIFS(العهد_الرقم,$A168,العهد_الحالة,"&lt;&gt;مسترجعة")&gt;0,"⚠ يوجد عهد غير مسترجعة","لا عهد معلقة"))</f>
        <v/>
      </c>
      <c r="I168" s="63" t="n"/>
      <c r="J168" s="47" t="n"/>
      <c r="K168" s="47" t="n"/>
      <c r="L168" s="47" t="n"/>
    </row>
    <row r="169">
      <c r="A169" s="40" t="n"/>
      <c r="B169" s="43">
        <f>IFERROR(INDEX(الموظفون_الاسم,MATCH($A169,الموظفون_الرقم,0)),"")</f>
        <v/>
      </c>
      <c r="C169" s="110" t="n"/>
      <c r="D169" s="40" t="n"/>
      <c r="E169" s="110" t="n"/>
      <c r="F169" s="40" t="n"/>
      <c r="G169" s="40" t="n"/>
      <c r="H169" s="43">
        <f>IF($A169="","",IF(COUNTIFS(العهد_الرقم,$A169,العهد_الحالة,"&lt;&gt;مسترجعة")&gt;0,"⚠ يوجد عهد غير مسترجعة","لا عهد معلقة"))</f>
        <v/>
      </c>
      <c r="I169" s="60" t="n"/>
      <c r="J169" s="40" t="n"/>
      <c r="K169" s="40" t="n"/>
      <c r="L169" s="40" t="n"/>
    </row>
    <row r="170">
      <c r="A170" s="47" t="n"/>
      <c r="B170" s="50">
        <f>IFERROR(INDEX(الموظفون_الاسم,MATCH($A170,الموظفون_الرقم,0)),"")</f>
        <v/>
      </c>
      <c r="C170" s="112" t="n"/>
      <c r="D170" s="47" t="n"/>
      <c r="E170" s="112" t="n"/>
      <c r="F170" s="47" t="n"/>
      <c r="G170" s="47" t="n"/>
      <c r="H170" s="50">
        <f>IF($A170="","",IF(COUNTIFS(العهد_الرقم,$A170,العهد_الحالة,"&lt;&gt;مسترجعة")&gt;0,"⚠ يوجد عهد غير مسترجعة","لا عهد معلقة"))</f>
        <v/>
      </c>
      <c r="I170" s="63" t="n"/>
      <c r="J170" s="47" t="n"/>
      <c r="K170" s="47" t="n"/>
      <c r="L170" s="47" t="n"/>
    </row>
    <row r="171">
      <c r="A171" s="40" t="n"/>
      <c r="B171" s="43">
        <f>IFERROR(INDEX(الموظفون_الاسم,MATCH($A171,الموظفون_الرقم,0)),"")</f>
        <v/>
      </c>
      <c r="C171" s="110" t="n"/>
      <c r="D171" s="40" t="n"/>
      <c r="E171" s="110" t="n"/>
      <c r="F171" s="40" t="n"/>
      <c r="G171" s="40" t="n"/>
      <c r="H171" s="43">
        <f>IF($A171="","",IF(COUNTIFS(العهد_الرقم,$A171,العهد_الحالة,"&lt;&gt;مسترجعة")&gt;0,"⚠ يوجد عهد غير مسترجعة","لا عهد معلقة"))</f>
        <v/>
      </c>
      <c r="I171" s="60" t="n"/>
      <c r="J171" s="40" t="n"/>
      <c r="K171" s="40" t="n"/>
      <c r="L171" s="40" t="n"/>
    </row>
    <row r="172">
      <c r="A172" s="47" t="n"/>
      <c r="B172" s="50">
        <f>IFERROR(INDEX(الموظفون_الاسم,MATCH($A172,الموظفون_الرقم,0)),"")</f>
        <v/>
      </c>
      <c r="C172" s="112" t="n"/>
      <c r="D172" s="47" t="n"/>
      <c r="E172" s="112" t="n"/>
      <c r="F172" s="47" t="n"/>
      <c r="G172" s="47" t="n"/>
      <c r="H172" s="50">
        <f>IF($A172="","",IF(COUNTIFS(العهد_الرقم,$A172,العهد_الحالة,"&lt;&gt;مسترجعة")&gt;0,"⚠ يوجد عهد غير مسترجعة","لا عهد معلقة"))</f>
        <v/>
      </c>
      <c r="I172" s="63" t="n"/>
      <c r="J172" s="47" t="n"/>
      <c r="K172" s="47" t="n"/>
      <c r="L172" s="47" t="n"/>
    </row>
    <row r="173">
      <c r="A173" s="40" t="n"/>
      <c r="B173" s="43">
        <f>IFERROR(INDEX(الموظفون_الاسم,MATCH($A173,الموظفون_الرقم,0)),"")</f>
        <v/>
      </c>
      <c r="C173" s="110" t="n"/>
      <c r="D173" s="40" t="n"/>
      <c r="E173" s="110" t="n"/>
      <c r="F173" s="40" t="n"/>
      <c r="G173" s="40" t="n"/>
      <c r="H173" s="43">
        <f>IF($A173="","",IF(COUNTIFS(العهد_الرقم,$A173,العهد_الحالة,"&lt;&gt;مسترجعة")&gt;0,"⚠ يوجد عهد غير مسترجعة","لا عهد معلقة"))</f>
        <v/>
      </c>
      <c r="I173" s="60" t="n"/>
      <c r="J173" s="40" t="n"/>
      <c r="K173" s="40" t="n"/>
      <c r="L173" s="40" t="n"/>
    </row>
    <row r="174">
      <c r="A174" s="47" t="n"/>
      <c r="B174" s="50">
        <f>IFERROR(INDEX(الموظفون_الاسم,MATCH($A174,الموظفون_الرقم,0)),"")</f>
        <v/>
      </c>
      <c r="C174" s="112" t="n"/>
      <c r="D174" s="47" t="n"/>
      <c r="E174" s="112" t="n"/>
      <c r="F174" s="47" t="n"/>
      <c r="G174" s="47" t="n"/>
      <c r="H174" s="50">
        <f>IF($A174="","",IF(COUNTIFS(العهد_الرقم,$A174,العهد_الحالة,"&lt;&gt;مسترجعة")&gt;0,"⚠ يوجد عهد غير مسترجعة","لا عهد معلقة"))</f>
        <v/>
      </c>
      <c r="I174" s="63" t="n"/>
      <c r="J174" s="47" t="n"/>
      <c r="K174" s="47" t="n"/>
      <c r="L174" s="47" t="n"/>
    </row>
    <row r="175">
      <c r="A175" s="40" t="n"/>
      <c r="B175" s="43">
        <f>IFERROR(INDEX(الموظفون_الاسم,MATCH($A175,الموظفون_الرقم,0)),"")</f>
        <v/>
      </c>
      <c r="C175" s="110" t="n"/>
      <c r="D175" s="40" t="n"/>
      <c r="E175" s="110" t="n"/>
      <c r="F175" s="40" t="n"/>
      <c r="G175" s="40" t="n"/>
      <c r="H175" s="43">
        <f>IF($A175="","",IF(COUNTIFS(العهد_الرقم,$A175,العهد_الحالة,"&lt;&gt;مسترجعة")&gt;0,"⚠ يوجد عهد غير مسترجعة","لا عهد معلقة"))</f>
        <v/>
      </c>
      <c r="I175" s="60" t="n"/>
      <c r="J175" s="40" t="n"/>
      <c r="K175" s="40" t="n"/>
      <c r="L175" s="40" t="n"/>
    </row>
    <row r="176">
      <c r="A176" s="47" t="n"/>
      <c r="B176" s="50">
        <f>IFERROR(INDEX(الموظفون_الاسم,MATCH($A176,الموظفون_الرقم,0)),"")</f>
        <v/>
      </c>
      <c r="C176" s="112" t="n"/>
      <c r="D176" s="47" t="n"/>
      <c r="E176" s="112" t="n"/>
      <c r="F176" s="47" t="n"/>
      <c r="G176" s="47" t="n"/>
      <c r="H176" s="50">
        <f>IF($A176="","",IF(COUNTIFS(العهد_الرقم,$A176,العهد_الحالة,"&lt;&gt;مسترجعة")&gt;0,"⚠ يوجد عهد غير مسترجعة","لا عهد معلقة"))</f>
        <v/>
      </c>
      <c r="I176" s="63" t="n"/>
      <c r="J176" s="47" t="n"/>
      <c r="K176" s="47" t="n"/>
      <c r="L176" s="47" t="n"/>
    </row>
    <row r="177">
      <c r="A177" s="40" t="n"/>
      <c r="B177" s="43">
        <f>IFERROR(INDEX(الموظفون_الاسم,MATCH($A177,الموظفون_الرقم,0)),"")</f>
        <v/>
      </c>
      <c r="C177" s="110" t="n"/>
      <c r="D177" s="40" t="n"/>
      <c r="E177" s="110" t="n"/>
      <c r="F177" s="40" t="n"/>
      <c r="G177" s="40" t="n"/>
      <c r="H177" s="43">
        <f>IF($A177="","",IF(COUNTIFS(العهد_الرقم,$A177,العهد_الحالة,"&lt;&gt;مسترجعة")&gt;0,"⚠ يوجد عهد غير مسترجعة","لا عهد معلقة"))</f>
        <v/>
      </c>
      <c r="I177" s="60" t="n"/>
      <c r="J177" s="40" t="n"/>
      <c r="K177" s="40" t="n"/>
      <c r="L177" s="40" t="n"/>
    </row>
    <row r="178">
      <c r="A178" s="47" t="n"/>
      <c r="B178" s="50">
        <f>IFERROR(INDEX(الموظفون_الاسم,MATCH($A178,الموظفون_الرقم,0)),"")</f>
        <v/>
      </c>
      <c r="C178" s="112" t="n"/>
      <c r="D178" s="47" t="n"/>
      <c r="E178" s="112" t="n"/>
      <c r="F178" s="47" t="n"/>
      <c r="G178" s="47" t="n"/>
      <c r="H178" s="50">
        <f>IF($A178="","",IF(COUNTIFS(العهد_الرقم,$A178,العهد_الحالة,"&lt;&gt;مسترجعة")&gt;0,"⚠ يوجد عهد غير مسترجعة","لا عهد معلقة"))</f>
        <v/>
      </c>
      <c r="I178" s="63" t="n"/>
      <c r="J178" s="47" t="n"/>
      <c r="K178" s="47" t="n"/>
      <c r="L178" s="47" t="n"/>
    </row>
    <row r="179">
      <c r="A179" s="40" t="n"/>
      <c r="B179" s="43">
        <f>IFERROR(INDEX(الموظفون_الاسم,MATCH($A179,الموظفون_الرقم,0)),"")</f>
        <v/>
      </c>
      <c r="C179" s="110" t="n"/>
      <c r="D179" s="40" t="n"/>
      <c r="E179" s="110" t="n"/>
      <c r="F179" s="40" t="n"/>
      <c r="G179" s="40" t="n"/>
      <c r="H179" s="43">
        <f>IF($A179="","",IF(COUNTIFS(العهد_الرقم,$A179,العهد_الحالة,"&lt;&gt;مسترجعة")&gt;0,"⚠ يوجد عهد غير مسترجعة","لا عهد معلقة"))</f>
        <v/>
      </c>
      <c r="I179" s="60" t="n"/>
      <c r="J179" s="40" t="n"/>
      <c r="K179" s="40" t="n"/>
      <c r="L179" s="40" t="n"/>
    </row>
    <row r="180">
      <c r="A180" s="47" t="n"/>
      <c r="B180" s="50">
        <f>IFERROR(INDEX(الموظفون_الاسم,MATCH($A180,الموظفون_الرقم,0)),"")</f>
        <v/>
      </c>
      <c r="C180" s="112" t="n"/>
      <c r="D180" s="47" t="n"/>
      <c r="E180" s="112" t="n"/>
      <c r="F180" s="47" t="n"/>
      <c r="G180" s="47" t="n"/>
      <c r="H180" s="50">
        <f>IF($A180="","",IF(COUNTIFS(العهد_الرقم,$A180,العهد_الحالة,"&lt;&gt;مسترجعة")&gt;0,"⚠ يوجد عهد غير مسترجعة","لا عهد معلقة"))</f>
        <v/>
      </c>
      <c r="I180" s="63" t="n"/>
      <c r="J180" s="47" t="n"/>
      <c r="K180" s="47" t="n"/>
      <c r="L180" s="47" t="n"/>
    </row>
    <row r="181">
      <c r="A181" s="40" t="n"/>
      <c r="B181" s="43">
        <f>IFERROR(INDEX(الموظفون_الاسم,MATCH($A181,الموظفون_الرقم,0)),"")</f>
        <v/>
      </c>
      <c r="C181" s="110" t="n"/>
      <c r="D181" s="40" t="n"/>
      <c r="E181" s="110" t="n"/>
      <c r="F181" s="40" t="n"/>
      <c r="G181" s="40" t="n"/>
      <c r="H181" s="43">
        <f>IF($A181="","",IF(COUNTIFS(العهد_الرقم,$A181,العهد_الحالة,"&lt;&gt;مسترجعة")&gt;0,"⚠ يوجد عهد غير مسترجعة","لا عهد معلقة"))</f>
        <v/>
      </c>
      <c r="I181" s="60" t="n"/>
      <c r="J181" s="40" t="n"/>
      <c r="K181" s="40" t="n"/>
      <c r="L181" s="40" t="n"/>
    </row>
    <row r="182">
      <c r="A182" s="47" t="n"/>
      <c r="B182" s="50">
        <f>IFERROR(INDEX(الموظفون_الاسم,MATCH($A182,الموظفون_الرقم,0)),"")</f>
        <v/>
      </c>
      <c r="C182" s="112" t="n"/>
      <c r="D182" s="47" t="n"/>
      <c r="E182" s="112" t="n"/>
      <c r="F182" s="47" t="n"/>
      <c r="G182" s="47" t="n"/>
      <c r="H182" s="50">
        <f>IF($A182="","",IF(COUNTIFS(العهد_الرقم,$A182,العهد_الحالة,"&lt;&gt;مسترجعة")&gt;0,"⚠ يوجد عهد غير مسترجعة","لا عهد معلقة"))</f>
        <v/>
      </c>
      <c r="I182" s="63" t="n"/>
      <c r="J182" s="47" t="n"/>
      <c r="K182" s="47" t="n"/>
      <c r="L182" s="47" t="n"/>
    </row>
    <row r="183">
      <c r="A183" s="40" t="n"/>
      <c r="B183" s="43">
        <f>IFERROR(INDEX(الموظفون_الاسم,MATCH($A183,الموظفون_الرقم,0)),"")</f>
        <v/>
      </c>
      <c r="C183" s="110" t="n"/>
      <c r="D183" s="40" t="n"/>
      <c r="E183" s="110" t="n"/>
      <c r="F183" s="40" t="n"/>
      <c r="G183" s="40" t="n"/>
      <c r="H183" s="43">
        <f>IF($A183="","",IF(COUNTIFS(العهد_الرقم,$A183,العهد_الحالة,"&lt;&gt;مسترجعة")&gt;0,"⚠ يوجد عهد غير مسترجعة","لا عهد معلقة"))</f>
        <v/>
      </c>
      <c r="I183" s="60" t="n"/>
      <c r="J183" s="40" t="n"/>
      <c r="K183" s="40" t="n"/>
      <c r="L183" s="40" t="n"/>
    </row>
    <row r="184">
      <c r="A184" s="47" t="n"/>
      <c r="B184" s="50">
        <f>IFERROR(INDEX(الموظفون_الاسم,MATCH($A184,الموظفون_الرقم,0)),"")</f>
        <v/>
      </c>
      <c r="C184" s="112" t="n"/>
      <c r="D184" s="47" t="n"/>
      <c r="E184" s="112" t="n"/>
      <c r="F184" s="47" t="n"/>
      <c r="G184" s="47" t="n"/>
      <c r="H184" s="50">
        <f>IF($A184="","",IF(COUNTIFS(العهد_الرقم,$A184,العهد_الحالة,"&lt;&gt;مسترجعة")&gt;0,"⚠ يوجد عهد غير مسترجعة","لا عهد معلقة"))</f>
        <v/>
      </c>
      <c r="I184" s="63" t="n"/>
      <c r="J184" s="47" t="n"/>
      <c r="K184" s="47" t="n"/>
      <c r="L184" s="47" t="n"/>
    </row>
    <row r="185">
      <c r="A185" s="40" t="n"/>
      <c r="B185" s="43">
        <f>IFERROR(INDEX(الموظفون_الاسم,MATCH($A185,الموظفون_الرقم,0)),"")</f>
        <v/>
      </c>
      <c r="C185" s="110" t="n"/>
      <c r="D185" s="40" t="n"/>
      <c r="E185" s="110" t="n"/>
      <c r="F185" s="40" t="n"/>
      <c r="G185" s="40" t="n"/>
      <c r="H185" s="43">
        <f>IF($A185="","",IF(COUNTIFS(العهد_الرقم,$A185,العهد_الحالة,"&lt;&gt;مسترجعة")&gt;0,"⚠ يوجد عهد غير مسترجعة","لا عهد معلقة"))</f>
        <v/>
      </c>
      <c r="I185" s="60" t="n"/>
      <c r="J185" s="40" t="n"/>
      <c r="K185" s="40" t="n"/>
      <c r="L185" s="40" t="n"/>
    </row>
    <row r="186">
      <c r="A186" s="47" t="n"/>
      <c r="B186" s="50">
        <f>IFERROR(INDEX(الموظفون_الاسم,MATCH($A186,الموظفون_الرقم,0)),"")</f>
        <v/>
      </c>
      <c r="C186" s="112" t="n"/>
      <c r="D186" s="47" t="n"/>
      <c r="E186" s="112" t="n"/>
      <c r="F186" s="47" t="n"/>
      <c r="G186" s="47" t="n"/>
      <c r="H186" s="50">
        <f>IF($A186="","",IF(COUNTIFS(العهد_الرقم,$A186,العهد_الحالة,"&lt;&gt;مسترجعة")&gt;0,"⚠ يوجد عهد غير مسترجعة","لا عهد معلقة"))</f>
        <v/>
      </c>
      <c r="I186" s="63" t="n"/>
      <c r="J186" s="47" t="n"/>
      <c r="K186" s="47" t="n"/>
      <c r="L186" s="47" t="n"/>
    </row>
    <row r="187">
      <c r="A187" s="40" t="n"/>
      <c r="B187" s="43">
        <f>IFERROR(INDEX(الموظفون_الاسم,MATCH($A187,الموظفون_الرقم,0)),"")</f>
        <v/>
      </c>
      <c r="C187" s="110" t="n"/>
      <c r="D187" s="40" t="n"/>
      <c r="E187" s="110" t="n"/>
      <c r="F187" s="40" t="n"/>
      <c r="G187" s="40" t="n"/>
      <c r="H187" s="43">
        <f>IF($A187="","",IF(COUNTIFS(العهد_الرقم,$A187,العهد_الحالة,"&lt;&gt;مسترجعة")&gt;0,"⚠ يوجد عهد غير مسترجعة","لا عهد معلقة"))</f>
        <v/>
      </c>
      <c r="I187" s="60" t="n"/>
      <c r="J187" s="40" t="n"/>
      <c r="K187" s="40" t="n"/>
      <c r="L187" s="40" t="n"/>
    </row>
    <row r="188">
      <c r="A188" s="47" t="n"/>
      <c r="B188" s="50">
        <f>IFERROR(INDEX(الموظفون_الاسم,MATCH($A188,الموظفون_الرقم,0)),"")</f>
        <v/>
      </c>
      <c r="C188" s="112" t="n"/>
      <c r="D188" s="47" t="n"/>
      <c r="E188" s="112" t="n"/>
      <c r="F188" s="47" t="n"/>
      <c r="G188" s="47" t="n"/>
      <c r="H188" s="50">
        <f>IF($A188="","",IF(COUNTIFS(العهد_الرقم,$A188,العهد_الحالة,"&lt;&gt;مسترجعة")&gt;0,"⚠ يوجد عهد غير مسترجعة","لا عهد معلقة"))</f>
        <v/>
      </c>
      <c r="I188" s="63" t="n"/>
      <c r="J188" s="47" t="n"/>
      <c r="K188" s="47" t="n"/>
      <c r="L188" s="47" t="n"/>
    </row>
    <row r="189">
      <c r="A189" s="40" t="n"/>
      <c r="B189" s="43">
        <f>IFERROR(INDEX(الموظفون_الاسم,MATCH($A189,الموظفون_الرقم,0)),"")</f>
        <v/>
      </c>
      <c r="C189" s="110" t="n"/>
      <c r="D189" s="40" t="n"/>
      <c r="E189" s="110" t="n"/>
      <c r="F189" s="40" t="n"/>
      <c r="G189" s="40" t="n"/>
      <c r="H189" s="43">
        <f>IF($A189="","",IF(COUNTIFS(العهد_الرقم,$A189,العهد_الحالة,"&lt;&gt;مسترجعة")&gt;0,"⚠ يوجد عهد غير مسترجعة","لا عهد معلقة"))</f>
        <v/>
      </c>
      <c r="I189" s="60" t="n"/>
      <c r="J189" s="40" t="n"/>
      <c r="K189" s="40" t="n"/>
      <c r="L189" s="40" t="n"/>
    </row>
    <row r="190">
      <c r="A190" s="47" t="n"/>
      <c r="B190" s="50">
        <f>IFERROR(INDEX(الموظفون_الاسم,MATCH($A190,الموظفون_الرقم,0)),"")</f>
        <v/>
      </c>
      <c r="C190" s="112" t="n"/>
      <c r="D190" s="47" t="n"/>
      <c r="E190" s="112" t="n"/>
      <c r="F190" s="47" t="n"/>
      <c r="G190" s="47" t="n"/>
      <c r="H190" s="50">
        <f>IF($A190="","",IF(COUNTIFS(العهد_الرقم,$A190,العهد_الحالة,"&lt;&gt;مسترجعة")&gt;0,"⚠ يوجد عهد غير مسترجعة","لا عهد معلقة"))</f>
        <v/>
      </c>
      <c r="I190" s="63" t="n"/>
      <c r="J190" s="47" t="n"/>
      <c r="K190" s="47" t="n"/>
      <c r="L190" s="47" t="n"/>
    </row>
    <row r="191">
      <c r="A191" s="40" t="n"/>
      <c r="B191" s="43">
        <f>IFERROR(INDEX(الموظفون_الاسم,MATCH($A191,الموظفون_الرقم,0)),"")</f>
        <v/>
      </c>
      <c r="C191" s="110" t="n"/>
      <c r="D191" s="40" t="n"/>
      <c r="E191" s="110" t="n"/>
      <c r="F191" s="40" t="n"/>
      <c r="G191" s="40" t="n"/>
      <c r="H191" s="43">
        <f>IF($A191="","",IF(COUNTIFS(العهد_الرقم,$A191,العهد_الحالة,"&lt;&gt;مسترجعة")&gt;0,"⚠ يوجد عهد غير مسترجعة","لا عهد معلقة"))</f>
        <v/>
      </c>
      <c r="I191" s="60" t="n"/>
      <c r="J191" s="40" t="n"/>
      <c r="K191" s="40" t="n"/>
      <c r="L191" s="40" t="n"/>
    </row>
    <row r="192">
      <c r="A192" s="47" t="n"/>
      <c r="B192" s="50">
        <f>IFERROR(INDEX(الموظفون_الاسم,MATCH($A192,الموظفون_الرقم,0)),"")</f>
        <v/>
      </c>
      <c r="C192" s="112" t="n"/>
      <c r="D192" s="47" t="n"/>
      <c r="E192" s="112" t="n"/>
      <c r="F192" s="47" t="n"/>
      <c r="G192" s="47" t="n"/>
      <c r="H192" s="50">
        <f>IF($A192="","",IF(COUNTIFS(العهد_الرقم,$A192,العهد_الحالة,"&lt;&gt;مسترجعة")&gt;0,"⚠ يوجد عهد غير مسترجعة","لا عهد معلقة"))</f>
        <v/>
      </c>
      <c r="I192" s="63" t="n"/>
      <c r="J192" s="47" t="n"/>
      <c r="K192" s="47" t="n"/>
      <c r="L192" s="47" t="n"/>
    </row>
    <row r="193">
      <c r="A193" s="40" t="n"/>
      <c r="B193" s="43">
        <f>IFERROR(INDEX(الموظفون_الاسم,MATCH($A193,الموظفون_الرقم,0)),"")</f>
        <v/>
      </c>
      <c r="C193" s="110" t="n"/>
      <c r="D193" s="40" t="n"/>
      <c r="E193" s="110" t="n"/>
      <c r="F193" s="40" t="n"/>
      <c r="G193" s="40" t="n"/>
      <c r="H193" s="43">
        <f>IF($A193="","",IF(COUNTIFS(العهد_الرقم,$A193,العهد_الحالة,"&lt;&gt;مسترجعة")&gt;0,"⚠ يوجد عهد غير مسترجعة","لا عهد معلقة"))</f>
        <v/>
      </c>
      <c r="I193" s="60" t="n"/>
      <c r="J193" s="40" t="n"/>
      <c r="K193" s="40" t="n"/>
      <c r="L193" s="40" t="n"/>
    </row>
    <row r="194">
      <c r="A194" s="47" t="n"/>
      <c r="B194" s="50">
        <f>IFERROR(INDEX(الموظفون_الاسم,MATCH($A194,الموظفون_الرقم,0)),"")</f>
        <v/>
      </c>
      <c r="C194" s="112" t="n"/>
      <c r="D194" s="47" t="n"/>
      <c r="E194" s="112" t="n"/>
      <c r="F194" s="47" t="n"/>
      <c r="G194" s="47" t="n"/>
      <c r="H194" s="50">
        <f>IF($A194="","",IF(COUNTIFS(العهد_الرقم,$A194,العهد_الحالة,"&lt;&gt;مسترجعة")&gt;0,"⚠ يوجد عهد غير مسترجعة","لا عهد معلقة"))</f>
        <v/>
      </c>
      <c r="I194" s="63" t="n"/>
      <c r="J194" s="47" t="n"/>
      <c r="K194" s="47" t="n"/>
      <c r="L194" s="47" t="n"/>
    </row>
    <row r="195">
      <c r="A195" s="40" t="n"/>
      <c r="B195" s="43">
        <f>IFERROR(INDEX(الموظفون_الاسم,MATCH($A195,الموظفون_الرقم,0)),"")</f>
        <v/>
      </c>
      <c r="C195" s="110" t="n"/>
      <c r="D195" s="40" t="n"/>
      <c r="E195" s="110" t="n"/>
      <c r="F195" s="40" t="n"/>
      <c r="G195" s="40" t="n"/>
      <c r="H195" s="43">
        <f>IF($A195="","",IF(COUNTIFS(العهد_الرقم,$A195,العهد_الحالة,"&lt;&gt;مسترجعة")&gt;0,"⚠ يوجد عهد غير مسترجعة","لا عهد معلقة"))</f>
        <v/>
      </c>
      <c r="I195" s="60" t="n"/>
      <c r="J195" s="40" t="n"/>
      <c r="K195" s="40" t="n"/>
      <c r="L195" s="40" t="n"/>
    </row>
    <row r="196">
      <c r="A196" s="47" t="n"/>
      <c r="B196" s="50">
        <f>IFERROR(INDEX(الموظفون_الاسم,MATCH($A196,الموظفون_الرقم,0)),"")</f>
        <v/>
      </c>
      <c r="C196" s="112" t="n"/>
      <c r="D196" s="47" t="n"/>
      <c r="E196" s="112" t="n"/>
      <c r="F196" s="47" t="n"/>
      <c r="G196" s="47" t="n"/>
      <c r="H196" s="50">
        <f>IF($A196="","",IF(COUNTIFS(العهد_الرقم,$A196,العهد_الحالة,"&lt;&gt;مسترجعة")&gt;0,"⚠ يوجد عهد غير مسترجعة","لا عهد معلقة"))</f>
        <v/>
      </c>
      <c r="I196" s="63" t="n"/>
      <c r="J196" s="47" t="n"/>
      <c r="K196" s="47" t="n"/>
      <c r="L196" s="47" t="n"/>
    </row>
    <row r="197">
      <c r="A197" s="40" t="n"/>
      <c r="B197" s="43">
        <f>IFERROR(INDEX(الموظفون_الاسم,MATCH($A197,الموظفون_الرقم,0)),"")</f>
        <v/>
      </c>
      <c r="C197" s="110" t="n"/>
      <c r="D197" s="40" t="n"/>
      <c r="E197" s="110" t="n"/>
      <c r="F197" s="40" t="n"/>
      <c r="G197" s="40" t="n"/>
      <c r="H197" s="43">
        <f>IF($A197="","",IF(COUNTIFS(العهد_الرقم,$A197,العهد_الحالة,"&lt;&gt;مسترجعة")&gt;0,"⚠ يوجد عهد غير مسترجعة","لا عهد معلقة"))</f>
        <v/>
      </c>
      <c r="I197" s="60" t="n"/>
      <c r="J197" s="40" t="n"/>
      <c r="K197" s="40" t="n"/>
      <c r="L197" s="40" t="n"/>
    </row>
    <row r="198">
      <c r="A198" s="47" t="n"/>
      <c r="B198" s="50">
        <f>IFERROR(INDEX(الموظفون_الاسم,MATCH($A198,الموظفون_الرقم,0)),"")</f>
        <v/>
      </c>
      <c r="C198" s="112" t="n"/>
      <c r="D198" s="47" t="n"/>
      <c r="E198" s="112" t="n"/>
      <c r="F198" s="47" t="n"/>
      <c r="G198" s="47" t="n"/>
      <c r="H198" s="50">
        <f>IF($A198="","",IF(COUNTIFS(العهد_الرقم,$A198,العهد_الحالة,"&lt;&gt;مسترجعة")&gt;0,"⚠ يوجد عهد غير مسترجعة","لا عهد معلقة"))</f>
        <v/>
      </c>
      <c r="I198" s="63" t="n"/>
      <c r="J198" s="47" t="n"/>
      <c r="K198" s="47" t="n"/>
      <c r="L198" s="47" t="n"/>
    </row>
    <row r="199">
      <c r="A199" s="40" t="n"/>
      <c r="B199" s="43">
        <f>IFERROR(INDEX(الموظفون_الاسم,MATCH($A199,الموظفون_الرقم,0)),"")</f>
        <v/>
      </c>
      <c r="C199" s="110" t="n"/>
      <c r="D199" s="40" t="n"/>
      <c r="E199" s="110" t="n"/>
      <c r="F199" s="40" t="n"/>
      <c r="G199" s="40" t="n"/>
      <c r="H199" s="43">
        <f>IF($A199="","",IF(COUNTIFS(العهد_الرقم,$A199,العهد_الحالة,"&lt;&gt;مسترجعة")&gt;0,"⚠ يوجد عهد غير مسترجعة","لا عهد معلقة"))</f>
        <v/>
      </c>
      <c r="I199" s="60" t="n"/>
      <c r="J199" s="40" t="n"/>
      <c r="K199" s="40" t="n"/>
      <c r="L199" s="40" t="n"/>
    </row>
    <row r="200">
      <c r="A200" s="47" t="n"/>
      <c r="B200" s="50">
        <f>IFERROR(INDEX(الموظفون_الاسم,MATCH($A200,الموظفون_الرقم,0)),"")</f>
        <v/>
      </c>
      <c r="C200" s="112" t="n"/>
      <c r="D200" s="47" t="n"/>
      <c r="E200" s="112" t="n"/>
      <c r="F200" s="47" t="n"/>
      <c r="G200" s="47" t="n"/>
      <c r="H200" s="50">
        <f>IF($A200="","",IF(COUNTIFS(العهد_الرقم,$A200,العهد_الحالة,"&lt;&gt;مسترجعة")&gt;0,"⚠ يوجد عهد غير مسترجعة","لا عهد معلقة"))</f>
        <v/>
      </c>
      <c r="I200" s="63" t="n"/>
      <c r="J200" s="47" t="n"/>
      <c r="K200" s="47" t="n"/>
      <c r="L200" s="47" t="n"/>
    </row>
    <row r="201">
      <c r="A201" s="40" t="n"/>
      <c r="B201" s="43">
        <f>IFERROR(INDEX(الموظفون_الاسم,MATCH($A201,الموظفون_الرقم,0)),"")</f>
        <v/>
      </c>
      <c r="C201" s="110" t="n"/>
      <c r="D201" s="40" t="n"/>
      <c r="E201" s="110" t="n"/>
      <c r="F201" s="40" t="n"/>
      <c r="G201" s="40" t="n"/>
      <c r="H201" s="43">
        <f>IF($A201="","",IF(COUNTIFS(العهد_الرقم,$A201,العهد_الحالة,"&lt;&gt;مسترجعة")&gt;0,"⚠ يوجد عهد غير مسترجعة","لا عهد معلقة"))</f>
        <v/>
      </c>
      <c r="I201" s="60" t="n"/>
      <c r="J201" s="40" t="n"/>
      <c r="K201" s="40" t="n"/>
      <c r="L201" s="40" t="n"/>
    </row>
    <row r="202">
      <c r="A202" s="47" t="n"/>
      <c r="B202" s="50">
        <f>IFERROR(INDEX(الموظفون_الاسم,MATCH($A202,الموظفون_الرقم,0)),"")</f>
        <v/>
      </c>
      <c r="C202" s="112" t="n"/>
      <c r="D202" s="47" t="n"/>
      <c r="E202" s="112" t="n"/>
      <c r="F202" s="47" t="n"/>
      <c r="G202" s="47" t="n"/>
      <c r="H202" s="50">
        <f>IF($A202="","",IF(COUNTIFS(العهد_الرقم,$A202,العهد_الحالة,"&lt;&gt;مسترجعة")&gt;0,"⚠ يوجد عهد غير مسترجعة","لا عهد معلقة"))</f>
        <v/>
      </c>
      <c r="I202" s="63" t="n"/>
      <c r="J202" s="47" t="n"/>
      <c r="K202" s="47" t="n"/>
      <c r="L202" s="47" t="n"/>
    </row>
    <row r="203">
      <c r="A203" s="40" t="n"/>
      <c r="B203" s="43">
        <f>IFERROR(INDEX(الموظفون_الاسم,MATCH($A203,الموظفون_الرقم,0)),"")</f>
        <v/>
      </c>
      <c r="C203" s="110" t="n"/>
      <c r="D203" s="40" t="n"/>
      <c r="E203" s="110" t="n"/>
      <c r="F203" s="40" t="n"/>
      <c r="G203" s="40" t="n"/>
      <c r="H203" s="43">
        <f>IF($A203="","",IF(COUNTIFS(العهد_الرقم,$A203,العهد_الحالة,"&lt;&gt;مسترجعة")&gt;0,"⚠ يوجد عهد غير مسترجعة","لا عهد معلقة"))</f>
        <v/>
      </c>
      <c r="I203" s="60" t="n"/>
      <c r="J203" s="40" t="n"/>
      <c r="K203" s="40" t="n"/>
      <c r="L203" s="40" t="n"/>
    </row>
    <row r="204">
      <c r="A204" s="47" t="n"/>
      <c r="B204" s="50">
        <f>IFERROR(INDEX(الموظفون_الاسم,MATCH($A204,الموظفون_الرقم,0)),"")</f>
        <v/>
      </c>
      <c r="C204" s="112" t="n"/>
      <c r="D204" s="47" t="n"/>
      <c r="E204" s="112" t="n"/>
      <c r="F204" s="47" t="n"/>
      <c r="G204" s="47" t="n"/>
      <c r="H204" s="50">
        <f>IF($A204="","",IF(COUNTIFS(العهد_الرقم,$A204,العهد_الحالة,"&lt;&gt;مسترجعة")&gt;0,"⚠ يوجد عهد غير مسترجعة","لا عهد معلقة"))</f>
        <v/>
      </c>
      <c r="I204" s="63" t="n"/>
      <c r="J204" s="47" t="n"/>
      <c r="K204" s="47" t="n"/>
      <c r="L204" s="47" t="n"/>
    </row>
    <row r="205">
      <c r="A205" s="40" t="n"/>
      <c r="B205" s="43">
        <f>IFERROR(INDEX(الموظفون_الاسم,MATCH($A205,الموظفون_الرقم,0)),"")</f>
        <v/>
      </c>
      <c r="C205" s="110" t="n"/>
      <c r="D205" s="40" t="n"/>
      <c r="E205" s="110" t="n"/>
      <c r="F205" s="40" t="n"/>
      <c r="G205" s="40" t="n"/>
      <c r="H205" s="43">
        <f>IF($A205="","",IF(COUNTIFS(العهد_الرقم,$A205,العهد_الحالة,"&lt;&gt;مسترجعة")&gt;0,"⚠ يوجد عهد غير مسترجعة","لا عهد معلقة"))</f>
        <v/>
      </c>
      <c r="I205" s="60" t="n"/>
      <c r="J205" s="40" t="n"/>
      <c r="K205" s="40" t="n"/>
      <c r="L205" s="40" t="n"/>
    </row>
    <row r="206">
      <c r="A206" s="47" t="n"/>
      <c r="B206" s="50">
        <f>IFERROR(INDEX(الموظفون_الاسم,MATCH($A206,الموظفون_الرقم,0)),"")</f>
        <v/>
      </c>
      <c r="C206" s="112" t="n"/>
      <c r="D206" s="47" t="n"/>
      <c r="E206" s="112" t="n"/>
      <c r="F206" s="47" t="n"/>
      <c r="G206" s="47" t="n"/>
      <c r="H206" s="50">
        <f>IF($A206="","",IF(COUNTIFS(العهد_الرقم,$A206,العهد_الحالة,"&lt;&gt;مسترجعة")&gt;0,"⚠ يوجد عهد غير مسترجعة","لا عهد معلقة"))</f>
        <v/>
      </c>
      <c r="I206" s="63" t="n"/>
      <c r="J206" s="47" t="n"/>
      <c r="K206" s="47" t="n"/>
      <c r="L206" s="47" t="n"/>
    </row>
    <row r="207">
      <c r="A207" s="40" t="n"/>
      <c r="B207" s="43">
        <f>IFERROR(INDEX(الموظفون_الاسم,MATCH($A207,الموظفون_الرقم,0)),"")</f>
        <v/>
      </c>
      <c r="C207" s="110" t="n"/>
      <c r="D207" s="40" t="n"/>
      <c r="E207" s="110" t="n"/>
      <c r="F207" s="40" t="n"/>
      <c r="G207" s="40" t="n"/>
      <c r="H207" s="43">
        <f>IF($A207="","",IF(COUNTIFS(العهد_الرقم,$A207,العهد_الحالة,"&lt;&gt;مسترجعة")&gt;0,"⚠ يوجد عهد غير مسترجعة","لا عهد معلقة"))</f>
        <v/>
      </c>
      <c r="I207" s="60" t="n"/>
      <c r="J207" s="40" t="n"/>
      <c r="K207" s="40" t="n"/>
      <c r="L207" s="40" t="n"/>
    </row>
    <row r="208">
      <c r="A208" s="47" t="n"/>
      <c r="B208" s="50">
        <f>IFERROR(INDEX(الموظفون_الاسم,MATCH($A208,الموظفون_الرقم,0)),"")</f>
        <v/>
      </c>
      <c r="C208" s="112" t="n"/>
      <c r="D208" s="47" t="n"/>
      <c r="E208" s="112" t="n"/>
      <c r="F208" s="47" t="n"/>
      <c r="G208" s="47" t="n"/>
      <c r="H208" s="50">
        <f>IF($A208="","",IF(COUNTIFS(العهد_الرقم,$A208,العهد_الحالة,"&lt;&gt;مسترجعة")&gt;0,"⚠ يوجد عهد غير مسترجعة","لا عهد معلقة"))</f>
        <v/>
      </c>
      <c r="I208" s="63" t="n"/>
      <c r="J208" s="47" t="n"/>
      <c r="K208" s="47" t="n"/>
      <c r="L208" s="47" t="n"/>
    </row>
    <row r="209">
      <c r="A209" s="40" t="n"/>
      <c r="B209" s="43">
        <f>IFERROR(INDEX(الموظفون_الاسم,MATCH($A209,الموظفون_الرقم,0)),"")</f>
        <v/>
      </c>
      <c r="C209" s="110" t="n"/>
      <c r="D209" s="40" t="n"/>
      <c r="E209" s="110" t="n"/>
      <c r="F209" s="40" t="n"/>
      <c r="G209" s="40" t="n"/>
      <c r="H209" s="43">
        <f>IF($A209="","",IF(COUNTIFS(العهد_الرقم,$A209,العهد_الحالة,"&lt;&gt;مسترجعة")&gt;0,"⚠ يوجد عهد غير مسترجعة","لا عهد معلقة"))</f>
        <v/>
      </c>
      <c r="I209" s="60" t="n"/>
      <c r="J209" s="40" t="n"/>
      <c r="K209" s="40" t="n"/>
      <c r="L209" s="40" t="n"/>
    </row>
    <row r="210">
      <c r="A210" s="47" t="n"/>
      <c r="B210" s="50">
        <f>IFERROR(INDEX(الموظفون_الاسم,MATCH($A210,الموظفون_الرقم,0)),"")</f>
        <v/>
      </c>
      <c r="C210" s="112" t="n"/>
      <c r="D210" s="47" t="n"/>
      <c r="E210" s="112" t="n"/>
      <c r="F210" s="47" t="n"/>
      <c r="G210" s="47" t="n"/>
      <c r="H210" s="50">
        <f>IF($A210="","",IF(COUNTIFS(العهد_الرقم,$A210,العهد_الحالة,"&lt;&gt;مسترجعة")&gt;0,"⚠ يوجد عهد غير مسترجعة","لا عهد معلقة"))</f>
        <v/>
      </c>
      <c r="I210" s="63" t="n"/>
      <c r="J210" s="47" t="n"/>
      <c r="K210" s="47" t="n"/>
      <c r="L210" s="47" t="n"/>
    </row>
    <row r="211">
      <c r="A211" s="40" t="n"/>
      <c r="B211" s="43">
        <f>IFERROR(INDEX(الموظفون_الاسم,MATCH($A211,الموظفون_الرقم,0)),"")</f>
        <v/>
      </c>
      <c r="C211" s="110" t="n"/>
      <c r="D211" s="40" t="n"/>
      <c r="E211" s="110" t="n"/>
      <c r="F211" s="40" t="n"/>
      <c r="G211" s="40" t="n"/>
      <c r="H211" s="43">
        <f>IF($A211="","",IF(COUNTIFS(العهد_الرقم,$A211,العهد_الحالة,"&lt;&gt;مسترجعة")&gt;0,"⚠ يوجد عهد غير مسترجعة","لا عهد معلقة"))</f>
        <v/>
      </c>
      <c r="I211" s="60" t="n"/>
      <c r="J211" s="40" t="n"/>
      <c r="K211" s="40" t="n"/>
      <c r="L211" s="40" t="n"/>
    </row>
    <row r="212">
      <c r="A212" s="47" t="n"/>
      <c r="B212" s="50">
        <f>IFERROR(INDEX(الموظفون_الاسم,MATCH($A212,الموظفون_الرقم,0)),"")</f>
        <v/>
      </c>
      <c r="C212" s="112" t="n"/>
      <c r="D212" s="47" t="n"/>
      <c r="E212" s="112" t="n"/>
      <c r="F212" s="47" t="n"/>
      <c r="G212" s="47" t="n"/>
      <c r="H212" s="50">
        <f>IF($A212="","",IF(COUNTIFS(العهد_الرقم,$A212,العهد_الحالة,"&lt;&gt;مسترجعة")&gt;0,"⚠ يوجد عهد غير مسترجعة","لا عهد معلقة"))</f>
        <v/>
      </c>
      <c r="I212" s="63" t="n"/>
      <c r="J212" s="47" t="n"/>
      <c r="K212" s="47" t="n"/>
      <c r="L212" s="47" t="n"/>
    </row>
    <row r="213">
      <c r="A213" s="40" t="n"/>
      <c r="B213" s="43">
        <f>IFERROR(INDEX(الموظفون_الاسم,MATCH($A213,الموظفون_الرقم,0)),"")</f>
        <v/>
      </c>
      <c r="C213" s="110" t="n"/>
      <c r="D213" s="40" t="n"/>
      <c r="E213" s="110" t="n"/>
      <c r="F213" s="40" t="n"/>
      <c r="G213" s="40" t="n"/>
      <c r="H213" s="43">
        <f>IF($A213="","",IF(COUNTIFS(العهد_الرقم,$A213,العهد_الحالة,"&lt;&gt;مسترجعة")&gt;0,"⚠ يوجد عهد غير مسترجعة","لا عهد معلقة"))</f>
        <v/>
      </c>
      <c r="I213" s="60" t="n"/>
      <c r="J213" s="40" t="n"/>
      <c r="K213" s="40" t="n"/>
      <c r="L213" s="40" t="n"/>
    </row>
    <row r="214">
      <c r="A214" s="47" t="n"/>
      <c r="B214" s="50">
        <f>IFERROR(INDEX(الموظفون_الاسم,MATCH($A214,الموظفون_الرقم,0)),"")</f>
        <v/>
      </c>
      <c r="C214" s="112" t="n"/>
      <c r="D214" s="47" t="n"/>
      <c r="E214" s="112" t="n"/>
      <c r="F214" s="47" t="n"/>
      <c r="G214" s="47" t="n"/>
      <c r="H214" s="50">
        <f>IF($A214="","",IF(COUNTIFS(العهد_الرقم,$A214,العهد_الحالة,"&lt;&gt;مسترجعة")&gt;0,"⚠ يوجد عهد غير مسترجعة","لا عهد معلقة"))</f>
        <v/>
      </c>
      <c r="I214" s="63" t="n"/>
      <c r="J214" s="47" t="n"/>
      <c r="K214" s="47" t="n"/>
      <c r="L214" s="47" t="n"/>
    </row>
    <row r="215">
      <c r="A215" s="40" t="n"/>
      <c r="B215" s="43">
        <f>IFERROR(INDEX(الموظفون_الاسم,MATCH($A215,الموظفون_الرقم,0)),"")</f>
        <v/>
      </c>
      <c r="C215" s="110" t="n"/>
      <c r="D215" s="40" t="n"/>
      <c r="E215" s="110" t="n"/>
      <c r="F215" s="40" t="n"/>
      <c r="G215" s="40" t="n"/>
      <c r="H215" s="43">
        <f>IF($A215="","",IF(COUNTIFS(العهد_الرقم,$A215,العهد_الحالة,"&lt;&gt;مسترجعة")&gt;0,"⚠ يوجد عهد غير مسترجعة","لا عهد معلقة"))</f>
        <v/>
      </c>
      <c r="I215" s="60" t="n"/>
      <c r="J215" s="40" t="n"/>
      <c r="K215" s="40" t="n"/>
      <c r="L215" s="40" t="n"/>
    </row>
    <row r="216">
      <c r="A216" s="47" t="n"/>
      <c r="B216" s="50">
        <f>IFERROR(INDEX(الموظفون_الاسم,MATCH($A216,الموظفون_الرقم,0)),"")</f>
        <v/>
      </c>
      <c r="C216" s="112" t="n"/>
      <c r="D216" s="47" t="n"/>
      <c r="E216" s="112" t="n"/>
      <c r="F216" s="47" t="n"/>
      <c r="G216" s="47" t="n"/>
      <c r="H216" s="50">
        <f>IF($A216="","",IF(COUNTIFS(العهد_الرقم,$A216,العهد_الحالة,"&lt;&gt;مسترجعة")&gt;0,"⚠ يوجد عهد غير مسترجعة","لا عهد معلقة"))</f>
        <v/>
      </c>
      <c r="I216" s="63" t="n"/>
      <c r="J216" s="47" t="n"/>
      <c r="K216" s="47" t="n"/>
      <c r="L216" s="47" t="n"/>
    </row>
    <row r="217">
      <c r="A217" s="40" t="n"/>
      <c r="B217" s="43">
        <f>IFERROR(INDEX(الموظفون_الاسم,MATCH($A217,الموظفون_الرقم,0)),"")</f>
        <v/>
      </c>
      <c r="C217" s="110" t="n"/>
      <c r="D217" s="40" t="n"/>
      <c r="E217" s="110" t="n"/>
      <c r="F217" s="40" t="n"/>
      <c r="G217" s="40" t="n"/>
      <c r="H217" s="43">
        <f>IF($A217="","",IF(COUNTIFS(العهد_الرقم,$A217,العهد_الحالة,"&lt;&gt;مسترجعة")&gt;0,"⚠ يوجد عهد غير مسترجعة","لا عهد معلقة"))</f>
        <v/>
      </c>
      <c r="I217" s="60" t="n"/>
      <c r="J217" s="40" t="n"/>
      <c r="K217" s="40" t="n"/>
      <c r="L217" s="40" t="n"/>
    </row>
    <row r="218">
      <c r="A218" s="47" t="n"/>
      <c r="B218" s="50">
        <f>IFERROR(INDEX(الموظفون_الاسم,MATCH($A218,الموظفون_الرقم,0)),"")</f>
        <v/>
      </c>
      <c r="C218" s="112" t="n"/>
      <c r="D218" s="47" t="n"/>
      <c r="E218" s="112" t="n"/>
      <c r="F218" s="47" t="n"/>
      <c r="G218" s="47" t="n"/>
      <c r="H218" s="50">
        <f>IF($A218="","",IF(COUNTIFS(العهد_الرقم,$A218,العهد_الحالة,"&lt;&gt;مسترجعة")&gt;0,"⚠ يوجد عهد غير مسترجعة","لا عهد معلقة"))</f>
        <v/>
      </c>
      <c r="I218" s="63" t="n"/>
      <c r="J218" s="47" t="n"/>
      <c r="K218" s="47" t="n"/>
      <c r="L218" s="47" t="n"/>
    </row>
    <row r="219">
      <c r="A219" s="40" t="n"/>
      <c r="B219" s="43">
        <f>IFERROR(INDEX(الموظفون_الاسم,MATCH($A219,الموظفون_الرقم,0)),"")</f>
        <v/>
      </c>
      <c r="C219" s="110" t="n"/>
      <c r="D219" s="40" t="n"/>
      <c r="E219" s="110" t="n"/>
      <c r="F219" s="40" t="n"/>
      <c r="G219" s="40" t="n"/>
      <c r="H219" s="43">
        <f>IF($A219="","",IF(COUNTIFS(العهد_الرقم,$A219,العهد_الحالة,"&lt;&gt;مسترجعة")&gt;0,"⚠ يوجد عهد غير مسترجعة","لا عهد معلقة"))</f>
        <v/>
      </c>
      <c r="I219" s="60" t="n"/>
      <c r="J219" s="40" t="n"/>
      <c r="K219" s="40" t="n"/>
      <c r="L219" s="40" t="n"/>
    </row>
    <row r="220">
      <c r="A220" s="47" t="n"/>
      <c r="B220" s="50">
        <f>IFERROR(INDEX(الموظفون_الاسم,MATCH($A220,الموظفون_الرقم,0)),"")</f>
        <v/>
      </c>
      <c r="C220" s="112" t="n"/>
      <c r="D220" s="47" t="n"/>
      <c r="E220" s="112" t="n"/>
      <c r="F220" s="47" t="n"/>
      <c r="G220" s="47" t="n"/>
      <c r="H220" s="50">
        <f>IF($A220="","",IF(COUNTIFS(العهد_الرقم,$A220,العهد_الحالة,"&lt;&gt;مسترجعة")&gt;0,"⚠ يوجد عهد غير مسترجعة","لا عهد معلقة"))</f>
        <v/>
      </c>
      <c r="I220" s="63" t="n"/>
      <c r="J220" s="47" t="n"/>
      <c r="K220" s="47" t="n"/>
      <c r="L220" s="47" t="n"/>
    </row>
    <row r="221">
      <c r="A221" s="40" t="n"/>
      <c r="B221" s="43">
        <f>IFERROR(INDEX(الموظفون_الاسم,MATCH($A221,الموظفون_الرقم,0)),"")</f>
        <v/>
      </c>
      <c r="C221" s="110" t="n"/>
      <c r="D221" s="40" t="n"/>
      <c r="E221" s="110" t="n"/>
      <c r="F221" s="40" t="n"/>
      <c r="G221" s="40" t="n"/>
      <c r="H221" s="43">
        <f>IF($A221="","",IF(COUNTIFS(العهد_الرقم,$A221,العهد_الحالة,"&lt;&gt;مسترجعة")&gt;0,"⚠ يوجد عهد غير مسترجعة","لا عهد معلقة"))</f>
        <v/>
      </c>
      <c r="I221" s="60" t="n"/>
      <c r="J221" s="40" t="n"/>
      <c r="K221" s="40" t="n"/>
      <c r="L221" s="40" t="n"/>
    </row>
    <row r="222">
      <c r="A222" s="47" t="n"/>
      <c r="B222" s="50">
        <f>IFERROR(INDEX(الموظفون_الاسم,MATCH($A222,الموظفون_الرقم,0)),"")</f>
        <v/>
      </c>
      <c r="C222" s="112" t="n"/>
      <c r="D222" s="47" t="n"/>
      <c r="E222" s="112" t="n"/>
      <c r="F222" s="47" t="n"/>
      <c r="G222" s="47" t="n"/>
      <c r="H222" s="50">
        <f>IF($A222="","",IF(COUNTIFS(العهد_الرقم,$A222,العهد_الحالة,"&lt;&gt;مسترجعة")&gt;0,"⚠ يوجد عهد غير مسترجعة","لا عهد معلقة"))</f>
        <v/>
      </c>
      <c r="I222" s="63" t="n"/>
      <c r="J222" s="47" t="n"/>
      <c r="K222" s="47" t="n"/>
      <c r="L222" s="47" t="n"/>
    </row>
    <row r="223">
      <c r="A223" s="40" t="n"/>
      <c r="B223" s="43">
        <f>IFERROR(INDEX(الموظفون_الاسم,MATCH($A223,الموظفون_الرقم,0)),"")</f>
        <v/>
      </c>
      <c r="C223" s="110" t="n"/>
      <c r="D223" s="40" t="n"/>
      <c r="E223" s="110" t="n"/>
      <c r="F223" s="40" t="n"/>
      <c r="G223" s="40" t="n"/>
      <c r="H223" s="43">
        <f>IF($A223="","",IF(COUNTIFS(العهد_الرقم,$A223,العهد_الحالة,"&lt;&gt;مسترجعة")&gt;0,"⚠ يوجد عهد غير مسترجعة","لا عهد معلقة"))</f>
        <v/>
      </c>
      <c r="I223" s="60" t="n"/>
      <c r="J223" s="40" t="n"/>
      <c r="K223" s="40" t="n"/>
      <c r="L223" s="40" t="n"/>
    </row>
    <row r="224">
      <c r="A224" s="47" t="n"/>
      <c r="B224" s="50">
        <f>IFERROR(INDEX(الموظفون_الاسم,MATCH($A224,الموظفون_الرقم,0)),"")</f>
        <v/>
      </c>
      <c r="C224" s="112" t="n"/>
      <c r="D224" s="47" t="n"/>
      <c r="E224" s="112" t="n"/>
      <c r="F224" s="47" t="n"/>
      <c r="G224" s="47" t="n"/>
      <c r="H224" s="50">
        <f>IF($A224="","",IF(COUNTIFS(العهد_الرقم,$A224,العهد_الحالة,"&lt;&gt;مسترجعة")&gt;0,"⚠ يوجد عهد غير مسترجعة","لا عهد معلقة"))</f>
        <v/>
      </c>
      <c r="I224" s="63" t="n"/>
      <c r="J224" s="47" t="n"/>
      <c r="K224" s="47" t="n"/>
      <c r="L224" s="47" t="n"/>
    </row>
    <row r="225">
      <c r="A225" s="40" t="n"/>
      <c r="B225" s="43">
        <f>IFERROR(INDEX(الموظفون_الاسم,MATCH($A225,الموظفون_الرقم,0)),"")</f>
        <v/>
      </c>
      <c r="C225" s="110" t="n"/>
      <c r="D225" s="40" t="n"/>
      <c r="E225" s="110" t="n"/>
      <c r="F225" s="40" t="n"/>
      <c r="G225" s="40" t="n"/>
      <c r="H225" s="43">
        <f>IF($A225="","",IF(COUNTIFS(العهد_الرقم,$A225,العهد_الحالة,"&lt;&gt;مسترجعة")&gt;0,"⚠ يوجد عهد غير مسترجعة","لا عهد معلقة"))</f>
        <v/>
      </c>
      <c r="I225" s="60" t="n"/>
      <c r="J225" s="40" t="n"/>
      <c r="K225" s="40" t="n"/>
      <c r="L225" s="40" t="n"/>
    </row>
    <row r="226">
      <c r="A226" s="47" t="n"/>
      <c r="B226" s="50">
        <f>IFERROR(INDEX(الموظفون_الاسم,MATCH($A226,الموظفون_الرقم,0)),"")</f>
        <v/>
      </c>
      <c r="C226" s="112" t="n"/>
      <c r="D226" s="47" t="n"/>
      <c r="E226" s="112" t="n"/>
      <c r="F226" s="47" t="n"/>
      <c r="G226" s="47" t="n"/>
      <c r="H226" s="50">
        <f>IF($A226="","",IF(COUNTIFS(العهد_الرقم,$A226,العهد_الحالة,"&lt;&gt;مسترجعة")&gt;0,"⚠ يوجد عهد غير مسترجعة","لا عهد معلقة"))</f>
        <v/>
      </c>
      <c r="I226" s="63" t="n"/>
      <c r="J226" s="47" t="n"/>
      <c r="K226" s="47" t="n"/>
      <c r="L226" s="47" t="n"/>
    </row>
    <row r="227">
      <c r="A227" s="40" t="n"/>
      <c r="B227" s="43">
        <f>IFERROR(INDEX(الموظفون_الاسم,MATCH($A227,الموظفون_الرقم,0)),"")</f>
        <v/>
      </c>
      <c r="C227" s="110" t="n"/>
      <c r="D227" s="40" t="n"/>
      <c r="E227" s="110" t="n"/>
      <c r="F227" s="40" t="n"/>
      <c r="G227" s="40" t="n"/>
      <c r="H227" s="43">
        <f>IF($A227="","",IF(COUNTIFS(العهد_الرقم,$A227,العهد_الحالة,"&lt;&gt;مسترجعة")&gt;0,"⚠ يوجد عهد غير مسترجعة","لا عهد معلقة"))</f>
        <v/>
      </c>
      <c r="I227" s="60" t="n"/>
      <c r="J227" s="40" t="n"/>
      <c r="K227" s="40" t="n"/>
      <c r="L227" s="40" t="n"/>
    </row>
    <row r="228">
      <c r="A228" s="47" t="n"/>
      <c r="B228" s="50">
        <f>IFERROR(INDEX(الموظفون_الاسم,MATCH($A228,الموظفون_الرقم,0)),"")</f>
        <v/>
      </c>
      <c r="C228" s="112" t="n"/>
      <c r="D228" s="47" t="n"/>
      <c r="E228" s="112" t="n"/>
      <c r="F228" s="47" t="n"/>
      <c r="G228" s="47" t="n"/>
      <c r="H228" s="50">
        <f>IF($A228="","",IF(COUNTIFS(العهد_الرقم,$A228,العهد_الحالة,"&lt;&gt;مسترجعة")&gt;0,"⚠ يوجد عهد غير مسترجعة","لا عهد معلقة"))</f>
        <v/>
      </c>
      <c r="I228" s="63" t="n"/>
      <c r="J228" s="47" t="n"/>
      <c r="K228" s="47" t="n"/>
      <c r="L228" s="47" t="n"/>
    </row>
    <row r="229">
      <c r="A229" s="40" t="n"/>
      <c r="B229" s="43">
        <f>IFERROR(INDEX(الموظفون_الاسم,MATCH($A229,الموظفون_الرقم,0)),"")</f>
        <v/>
      </c>
      <c r="C229" s="110" t="n"/>
      <c r="D229" s="40" t="n"/>
      <c r="E229" s="110" t="n"/>
      <c r="F229" s="40" t="n"/>
      <c r="G229" s="40" t="n"/>
      <c r="H229" s="43">
        <f>IF($A229="","",IF(COUNTIFS(العهد_الرقم,$A229,العهد_الحالة,"&lt;&gt;مسترجعة")&gt;0,"⚠ يوجد عهد غير مسترجعة","لا عهد معلقة"))</f>
        <v/>
      </c>
      <c r="I229" s="60" t="n"/>
      <c r="J229" s="40" t="n"/>
      <c r="K229" s="40" t="n"/>
      <c r="L229" s="40" t="n"/>
    </row>
    <row r="230">
      <c r="A230" s="47" t="n"/>
      <c r="B230" s="50">
        <f>IFERROR(INDEX(الموظفون_الاسم,MATCH($A230,الموظفون_الرقم,0)),"")</f>
        <v/>
      </c>
      <c r="C230" s="112" t="n"/>
      <c r="D230" s="47" t="n"/>
      <c r="E230" s="112" t="n"/>
      <c r="F230" s="47" t="n"/>
      <c r="G230" s="47" t="n"/>
      <c r="H230" s="50">
        <f>IF($A230="","",IF(COUNTIFS(العهد_الرقم,$A230,العهد_الحالة,"&lt;&gt;مسترجعة")&gt;0,"⚠ يوجد عهد غير مسترجعة","لا عهد معلقة"))</f>
        <v/>
      </c>
      <c r="I230" s="63" t="n"/>
      <c r="J230" s="47" t="n"/>
      <c r="K230" s="47" t="n"/>
      <c r="L230" s="47" t="n"/>
    </row>
    <row r="231">
      <c r="A231" s="40" t="n"/>
      <c r="B231" s="43">
        <f>IFERROR(INDEX(الموظفون_الاسم,MATCH($A231,الموظفون_الرقم,0)),"")</f>
        <v/>
      </c>
      <c r="C231" s="110" t="n"/>
      <c r="D231" s="40" t="n"/>
      <c r="E231" s="110" t="n"/>
      <c r="F231" s="40" t="n"/>
      <c r="G231" s="40" t="n"/>
      <c r="H231" s="43">
        <f>IF($A231="","",IF(COUNTIFS(العهد_الرقم,$A231,العهد_الحالة,"&lt;&gt;مسترجعة")&gt;0,"⚠ يوجد عهد غير مسترجعة","لا عهد معلقة"))</f>
        <v/>
      </c>
      <c r="I231" s="60" t="n"/>
      <c r="J231" s="40" t="n"/>
      <c r="K231" s="40" t="n"/>
      <c r="L231" s="40" t="n"/>
    </row>
    <row r="232">
      <c r="A232" s="47" t="n"/>
      <c r="B232" s="50">
        <f>IFERROR(INDEX(الموظفون_الاسم,MATCH($A232,الموظفون_الرقم,0)),"")</f>
        <v/>
      </c>
      <c r="C232" s="112" t="n"/>
      <c r="D232" s="47" t="n"/>
      <c r="E232" s="112" t="n"/>
      <c r="F232" s="47" t="n"/>
      <c r="G232" s="47" t="n"/>
      <c r="H232" s="50">
        <f>IF($A232="","",IF(COUNTIFS(العهد_الرقم,$A232,العهد_الحالة,"&lt;&gt;مسترجعة")&gt;0,"⚠ يوجد عهد غير مسترجعة","لا عهد معلقة"))</f>
        <v/>
      </c>
      <c r="I232" s="63" t="n"/>
      <c r="J232" s="47" t="n"/>
      <c r="K232" s="47" t="n"/>
      <c r="L232" s="47" t="n"/>
    </row>
    <row r="233">
      <c r="A233" s="40" t="n"/>
      <c r="B233" s="43">
        <f>IFERROR(INDEX(الموظفون_الاسم,MATCH($A233,الموظفون_الرقم,0)),"")</f>
        <v/>
      </c>
      <c r="C233" s="110" t="n"/>
      <c r="D233" s="40" t="n"/>
      <c r="E233" s="110" t="n"/>
      <c r="F233" s="40" t="n"/>
      <c r="G233" s="40" t="n"/>
      <c r="H233" s="43">
        <f>IF($A233="","",IF(COUNTIFS(العهد_الرقم,$A233,العهد_الحالة,"&lt;&gt;مسترجعة")&gt;0,"⚠ يوجد عهد غير مسترجعة","لا عهد معلقة"))</f>
        <v/>
      </c>
      <c r="I233" s="60" t="n"/>
      <c r="J233" s="40" t="n"/>
      <c r="K233" s="40" t="n"/>
      <c r="L233" s="40" t="n"/>
    </row>
    <row r="234">
      <c r="A234" s="47" t="n"/>
      <c r="B234" s="50">
        <f>IFERROR(INDEX(الموظفون_الاسم,MATCH($A234,الموظفون_الرقم,0)),"")</f>
        <v/>
      </c>
      <c r="C234" s="112" t="n"/>
      <c r="D234" s="47" t="n"/>
      <c r="E234" s="112" t="n"/>
      <c r="F234" s="47" t="n"/>
      <c r="G234" s="47" t="n"/>
      <c r="H234" s="50">
        <f>IF($A234="","",IF(COUNTIFS(العهد_الرقم,$A234,العهد_الحالة,"&lt;&gt;مسترجعة")&gt;0,"⚠ يوجد عهد غير مسترجعة","لا عهد معلقة"))</f>
        <v/>
      </c>
      <c r="I234" s="63" t="n"/>
      <c r="J234" s="47" t="n"/>
      <c r="K234" s="47" t="n"/>
      <c r="L234" s="47" t="n"/>
    </row>
    <row r="235">
      <c r="A235" s="40" t="n"/>
      <c r="B235" s="43">
        <f>IFERROR(INDEX(الموظفون_الاسم,MATCH($A235,الموظفون_الرقم,0)),"")</f>
        <v/>
      </c>
      <c r="C235" s="110" t="n"/>
      <c r="D235" s="40" t="n"/>
      <c r="E235" s="110" t="n"/>
      <c r="F235" s="40" t="n"/>
      <c r="G235" s="40" t="n"/>
      <c r="H235" s="43">
        <f>IF($A235="","",IF(COUNTIFS(العهد_الرقم,$A235,العهد_الحالة,"&lt;&gt;مسترجعة")&gt;0,"⚠ يوجد عهد غير مسترجعة","لا عهد معلقة"))</f>
        <v/>
      </c>
      <c r="I235" s="60" t="n"/>
      <c r="J235" s="40" t="n"/>
      <c r="K235" s="40" t="n"/>
      <c r="L235" s="40" t="n"/>
    </row>
    <row r="236">
      <c r="A236" s="47" t="n"/>
      <c r="B236" s="50">
        <f>IFERROR(INDEX(الموظفون_الاسم,MATCH($A236,الموظفون_الرقم,0)),"")</f>
        <v/>
      </c>
      <c r="C236" s="112" t="n"/>
      <c r="D236" s="47" t="n"/>
      <c r="E236" s="112" t="n"/>
      <c r="F236" s="47" t="n"/>
      <c r="G236" s="47" t="n"/>
      <c r="H236" s="50">
        <f>IF($A236="","",IF(COUNTIFS(العهد_الرقم,$A236,العهد_الحالة,"&lt;&gt;مسترجعة")&gt;0,"⚠ يوجد عهد غير مسترجعة","لا عهد معلقة"))</f>
        <v/>
      </c>
      <c r="I236" s="63" t="n"/>
      <c r="J236" s="47" t="n"/>
      <c r="K236" s="47" t="n"/>
      <c r="L236" s="47" t="n"/>
    </row>
    <row r="237">
      <c r="A237" s="40" t="n"/>
      <c r="B237" s="43">
        <f>IFERROR(INDEX(الموظفون_الاسم,MATCH($A237,الموظفون_الرقم,0)),"")</f>
        <v/>
      </c>
      <c r="C237" s="110" t="n"/>
      <c r="D237" s="40" t="n"/>
      <c r="E237" s="110" t="n"/>
      <c r="F237" s="40" t="n"/>
      <c r="G237" s="40" t="n"/>
      <c r="H237" s="43">
        <f>IF($A237="","",IF(COUNTIFS(العهد_الرقم,$A237,العهد_الحالة,"&lt;&gt;مسترجعة")&gt;0,"⚠ يوجد عهد غير مسترجعة","لا عهد معلقة"))</f>
        <v/>
      </c>
      <c r="I237" s="60" t="n"/>
      <c r="J237" s="40" t="n"/>
      <c r="K237" s="40" t="n"/>
      <c r="L237" s="40" t="n"/>
    </row>
    <row r="238">
      <c r="A238" s="47" t="n"/>
      <c r="B238" s="50">
        <f>IFERROR(INDEX(الموظفون_الاسم,MATCH($A238,الموظفون_الرقم,0)),"")</f>
        <v/>
      </c>
      <c r="C238" s="112" t="n"/>
      <c r="D238" s="47" t="n"/>
      <c r="E238" s="112" t="n"/>
      <c r="F238" s="47" t="n"/>
      <c r="G238" s="47" t="n"/>
      <c r="H238" s="50">
        <f>IF($A238="","",IF(COUNTIFS(العهد_الرقم,$A238,العهد_الحالة,"&lt;&gt;مسترجعة")&gt;0,"⚠ يوجد عهد غير مسترجعة","لا عهد معلقة"))</f>
        <v/>
      </c>
      <c r="I238" s="63" t="n"/>
      <c r="J238" s="47" t="n"/>
      <c r="K238" s="47" t="n"/>
      <c r="L238" s="47" t="n"/>
    </row>
    <row r="239">
      <c r="A239" s="40" t="n"/>
      <c r="B239" s="43">
        <f>IFERROR(INDEX(الموظفون_الاسم,MATCH($A239,الموظفون_الرقم,0)),"")</f>
        <v/>
      </c>
      <c r="C239" s="110" t="n"/>
      <c r="D239" s="40" t="n"/>
      <c r="E239" s="110" t="n"/>
      <c r="F239" s="40" t="n"/>
      <c r="G239" s="40" t="n"/>
      <c r="H239" s="43">
        <f>IF($A239="","",IF(COUNTIFS(العهد_الرقم,$A239,العهد_الحالة,"&lt;&gt;مسترجعة")&gt;0,"⚠ يوجد عهد غير مسترجعة","لا عهد معلقة"))</f>
        <v/>
      </c>
      <c r="I239" s="60" t="n"/>
      <c r="J239" s="40" t="n"/>
      <c r="K239" s="40" t="n"/>
      <c r="L239" s="40" t="n"/>
    </row>
    <row r="240">
      <c r="A240" s="47" t="n"/>
      <c r="B240" s="50">
        <f>IFERROR(INDEX(الموظفون_الاسم,MATCH($A240,الموظفون_الرقم,0)),"")</f>
        <v/>
      </c>
      <c r="C240" s="112" t="n"/>
      <c r="D240" s="47" t="n"/>
      <c r="E240" s="112" t="n"/>
      <c r="F240" s="47" t="n"/>
      <c r="G240" s="47" t="n"/>
      <c r="H240" s="50">
        <f>IF($A240="","",IF(COUNTIFS(العهد_الرقم,$A240,العهد_الحالة,"&lt;&gt;مسترجعة")&gt;0,"⚠ يوجد عهد غير مسترجعة","لا عهد معلقة"))</f>
        <v/>
      </c>
      <c r="I240" s="63" t="n"/>
      <c r="J240" s="47" t="n"/>
      <c r="K240" s="47" t="n"/>
      <c r="L240" s="47" t="n"/>
    </row>
    <row r="241">
      <c r="A241" s="40" t="n"/>
      <c r="B241" s="43">
        <f>IFERROR(INDEX(الموظفون_الاسم,MATCH($A241,الموظفون_الرقم,0)),"")</f>
        <v/>
      </c>
      <c r="C241" s="110" t="n"/>
      <c r="D241" s="40" t="n"/>
      <c r="E241" s="110" t="n"/>
      <c r="F241" s="40" t="n"/>
      <c r="G241" s="40" t="n"/>
      <c r="H241" s="43">
        <f>IF($A241="","",IF(COUNTIFS(العهد_الرقم,$A241,العهد_الحالة,"&lt;&gt;مسترجعة")&gt;0,"⚠ يوجد عهد غير مسترجعة","لا عهد معلقة"))</f>
        <v/>
      </c>
      <c r="I241" s="60" t="n"/>
      <c r="J241" s="40" t="n"/>
      <c r="K241" s="40" t="n"/>
      <c r="L241" s="40" t="n"/>
    </row>
    <row r="242">
      <c r="A242" s="47" t="n"/>
      <c r="B242" s="50">
        <f>IFERROR(INDEX(الموظفون_الاسم,MATCH($A242,الموظفون_الرقم,0)),"")</f>
        <v/>
      </c>
      <c r="C242" s="112" t="n"/>
      <c r="D242" s="47" t="n"/>
      <c r="E242" s="112" t="n"/>
      <c r="F242" s="47" t="n"/>
      <c r="G242" s="47" t="n"/>
      <c r="H242" s="50">
        <f>IF($A242="","",IF(COUNTIFS(العهد_الرقم,$A242,العهد_الحالة,"&lt;&gt;مسترجعة")&gt;0,"⚠ يوجد عهد غير مسترجعة","لا عهد معلقة"))</f>
        <v/>
      </c>
      <c r="I242" s="63" t="n"/>
      <c r="J242" s="47" t="n"/>
      <c r="K242" s="47" t="n"/>
      <c r="L242" s="47" t="n"/>
    </row>
    <row r="243">
      <c r="A243" s="40" t="n"/>
      <c r="B243" s="43">
        <f>IFERROR(INDEX(الموظفون_الاسم,MATCH($A243,الموظفون_الرقم,0)),"")</f>
        <v/>
      </c>
      <c r="C243" s="110" t="n"/>
      <c r="D243" s="40" t="n"/>
      <c r="E243" s="110" t="n"/>
      <c r="F243" s="40" t="n"/>
      <c r="G243" s="40" t="n"/>
      <c r="H243" s="43">
        <f>IF($A243="","",IF(COUNTIFS(العهد_الرقم,$A243,العهد_الحالة,"&lt;&gt;مسترجعة")&gt;0,"⚠ يوجد عهد غير مسترجعة","لا عهد معلقة"))</f>
        <v/>
      </c>
      <c r="I243" s="60" t="n"/>
      <c r="J243" s="40" t="n"/>
      <c r="K243" s="40" t="n"/>
      <c r="L243" s="40" t="n"/>
    </row>
    <row r="244">
      <c r="A244" s="47" t="n"/>
      <c r="B244" s="50">
        <f>IFERROR(INDEX(الموظفون_الاسم,MATCH($A244,الموظفون_الرقم,0)),"")</f>
        <v/>
      </c>
      <c r="C244" s="112" t="n"/>
      <c r="D244" s="47" t="n"/>
      <c r="E244" s="112" t="n"/>
      <c r="F244" s="47" t="n"/>
      <c r="G244" s="47" t="n"/>
      <c r="H244" s="50">
        <f>IF($A244="","",IF(COUNTIFS(العهد_الرقم,$A244,العهد_الحالة,"&lt;&gt;مسترجعة")&gt;0,"⚠ يوجد عهد غير مسترجعة","لا عهد معلقة"))</f>
        <v/>
      </c>
      <c r="I244" s="63" t="n"/>
      <c r="J244" s="47" t="n"/>
      <c r="K244" s="47" t="n"/>
      <c r="L244" s="47" t="n"/>
    </row>
    <row r="245">
      <c r="A245" s="40" t="n"/>
      <c r="B245" s="43">
        <f>IFERROR(INDEX(الموظفون_الاسم,MATCH($A245,الموظفون_الرقم,0)),"")</f>
        <v/>
      </c>
      <c r="C245" s="110" t="n"/>
      <c r="D245" s="40" t="n"/>
      <c r="E245" s="110" t="n"/>
      <c r="F245" s="40" t="n"/>
      <c r="G245" s="40" t="n"/>
      <c r="H245" s="43">
        <f>IF($A245="","",IF(COUNTIFS(العهد_الرقم,$A245,العهد_الحالة,"&lt;&gt;مسترجعة")&gt;0,"⚠ يوجد عهد غير مسترجعة","لا عهد معلقة"))</f>
        <v/>
      </c>
      <c r="I245" s="60" t="n"/>
      <c r="J245" s="40" t="n"/>
      <c r="K245" s="40" t="n"/>
      <c r="L245" s="40" t="n"/>
    </row>
    <row r="246">
      <c r="A246" s="47" t="n"/>
      <c r="B246" s="50">
        <f>IFERROR(INDEX(الموظفون_الاسم,MATCH($A246,الموظفون_الرقم,0)),"")</f>
        <v/>
      </c>
      <c r="C246" s="112" t="n"/>
      <c r="D246" s="47" t="n"/>
      <c r="E246" s="112" t="n"/>
      <c r="F246" s="47" t="n"/>
      <c r="G246" s="47" t="n"/>
      <c r="H246" s="50">
        <f>IF($A246="","",IF(COUNTIFS(العهد_الرقم,$A246,العهد_الحالة,"&lt;&gt;مسترجعة")&gt;0,"⚠ يوجد عهد غير مسترجعة","لا عهد معلقة"))</f>
        <v/>
      </c>
      <c r="I246" s="63" t="n"/>
      <c r="J246" s="47" t="n"/>
      <c r="K246" s="47" t="n"/>
      <c r="L246" s="47" t="n"/>
    </row>
    <row r="247">
      <c r="A247" s="40" t="n"/>
      <c r="B247" s="43">
        <f>IFERROR(INDEX(الموظفون_الاسم,MATCH($A247,الموظفون_الرقم,0)),"")</f>
        <v/>
      </c>
      <c r="C247" s="110" t="n"/>
      <c r="D247" s="40" t="n"/>
      <c r="E247" s="110" t="n"/>
      <c r="F247" s="40" t="n"/>
      <c r="G247" s="40" t="n"/>
      <c r="H247" s="43">
        <f>IF($A247="","",IF(COUNTIFS(العهد_الرقم,$A247,العهد_الحالة,"&lt;&gt;مسترجعة")&gt;0,"⚠ يوجد عهد غير مسترجعة","لا عهد معلقة"))</f>
        <v/>
      </c>
      <c r="I247" s="60" t="n"/>
      <c r="J247" s="40" t="n"/>
      <c r="K247" s="40" t="n"/>
      <c r="L247" s="40" t="n"/>
    </row>
    <row r="248">
      <c r="A248" s="47" t="n"/>
      <c r="B248" s="50">
        <f>IFERROR(INDEX(الموظفون_الاسم,MATCH($A248,الموظفون_الرقم,0)),"")</f>
        <v/>
      </c>
      <c r="C248" s="112" t="n"/>
      <c r="D248" s="47" t="n"/>
      <c r="E248" s="112" t="n"/>
      <c r="F248" s="47" t="n"/>
      <c r="G248" s="47" t="n"/>
      <c r="H248" s="50">
        <f>IF($A248="","",IF(COUNTIFS(العهد_الرقم,$A248,العهد_الحالة,"&lt;&gt;مسترجعة")&gt;0,"⚠ يوجد عهد غير مسترجعة","لا عهد معلقة"))</f>
        <v/>
      </c>
      <c r="I248" s="63" t="n"/>
      <c r="J248" s="47" t="n"/>
      <c r="K248" s="47" t="n"/>
      <c r="L248" s="47" t="n"/>
    </row>
    <row r="249">
      <c r="A249" s="40" t="n"/>
      <c r="B249" s="43">
        <f>IFERROR(INDEX(الموظفون_الاسم,MATCH($A249,الموظفون_الرقم,0)),"")</f>
        <v/>
      </c>
      <c r="C249" s="110" t="n"/>
      <c r="D249" s="40" t="n"/>
      <c r="E249" s="110" t="n"/>
      <c r="F249" s="40" t="n"/>
      <c r="G249" s="40" t="n"/>
      <c r="H249" s="43">
        <f>IF($A249="","",IF(COUNTIFS(العهد_الرقم,$A249,العهد_الحالة,"&lt;&gt;مسترجعة")&gt;0,"⚠ يوجد عهد غير مسترجعة","لا عهد معلقة"))</f>
        <v/>
      </c>
      <c r="I249" s="60" t="n"/>
      <c r="J249" s="40" t="n"/>
      <c r="K249" s="40" t="n"/>
      <c r="L249" s="40" t="n"/>
    </row>
    <row r="250">
      <c r="A250" s="47" t="n"/>
      <c r="B250" s="50">
        <f>IFERROR(INDEX(الموظفون_الاسم,MATCH($A250,الموظفون_الرقم,0)),"")</f>
        <v/>
      </c>
      <c r="C250" s="112" t="n"/>
      <c r="D250" s="47" t="n"/>
      <c r="E250" s="112" t="n"/>
      <c r="F250" s="47" t="n"/>
      <c r="G250" s="47" t="n"/>
      <c r="H250" s="50">
        <f>IF($A250="","",IF(COUNTIFS(العهد_الرقم,$A250,العهد_الحالة,"&lt;&gt;مسترجعة")&gt;0,"⚠ يوجد عهد غير مسترجعة","لا عهد معلقة"))</f>
        <v/>
      </c>
      <c r="I250" s="63" t="n"/>
      <c r="J250" s="47" t="n"/>
      <c r="K250" s="47" t="n"/>
      <c r="L250" s="47" t="n"/>
    </row>
    <row r="251">
      <c r="A251" s="40" t="n"/>
      <c r="B251" s="43">
        <f>IFERROR(INDEX(الموظفون_الاسم,MATCH($A251,الموظفون_الرقم,0)),"")</f>
        <v/>
      </c>
      <c r="C251" s="110" t="n"/>
      <c r="D251" s="40" t="n"/>
      <c r="E251" s="110" t="n"/>
      <c r="F251" s="40" t="n"/>
      <c r="G251" s="40" t="n"/>
      <c r="H251" s="43">
        <f>IF($A251="","",IF(COUNTIFS(العهد_الرقم,$A251,العهد_الحالة,"&lt;&gt;مسترجعة")&gt;0,"⚠ يوجد عهد غير مسترجعة","لا عهد معلقة"))</f>
        <v/>
      </c>
      <c r="I251" s="60" t="n"/>
      <c r="J251" s="40" t="n"/>
      <c r="K251" s="40" t="n"/>
      <c r="L251" s="40" t="n"/>
    </row>
    <row r="252">
      <c r="A252" s="47" t="n"/>
      <c r="B252" s="50">
        <f>IFERROR(INDEX(الموظفون_الاسم,MATCH($A252,الموظفون_الرقم,0)),"")</f>
        <v/>
      </c>
      <c r="C252" s="112" t="n"/>
      <c r="D252" s="47" t="n"/>
      <c r="E252" s="112" t="n"/>
      <c r="F252" s="47" t="n"/>
      <c r="G252" s="47" t="n"/>
      <c r="H252" s="50">
        <f>IF($A252="","",IF(COUNTIFS(العهد_الرقم,$A252,العهد_الحالة,"&lt;&gt;مسترجعة")&gt;0,"⚠ يوجد عهد غير مسترجعة","لا عهد معلقة"))</f>
        <v/>
      </c>
      <c r="I252" s="63" t="n"/>
      <c r="J252" s="47" t="n"/>
      <c r="K252" s="47" t="n"/>
      <c r="L252" s="47" t="n"/>
    </row>
    <row r="253">
      <c r="A253" s="40" t="n"/>
      <c r="B253" s="43">
        <f>IFERROR(INDEX(الموظفون_الاسم,MATCH($A253,الموظفون_الرقم,0)),"")</f>
        <v/>
      </c>
      <c r="C253" s="110" t="n"/>
      <c r="D253" s="40" t="n"/>
      <c r="E253" s="110" t="n"/>
      <c r="F253" s="40" t="n"/>
      <c r="G253" s="40" t="n"/>
      <c r="H253" s="43">
        <f>IF($A253="","",IF(COUNTIFS(العهد_الرقم,$A253,العهد_الحالة,"&lt;&gt;مسترجعة")&gt;0,"⚠ يوجد عهد غير مسترجعة","لا عهد معلقة"))</f>
        <v/>
      </c>
      <c r="I253" s="60" t="n"/>
      <c r="J253" s="40" t="n"/>
      <c r="K253" s="40" t="n"/>
      <c r="L253" s="40" t="n"/>
    </row>
    <row r="254">
      <c r="A254" s="47" t="n"/>
      <c r="B254" s="50">
        <f>IFERROR(INDEX(الموظفون_الاسم,MATCH($A254,الموظفون_الرقم,0)),"")</f>
        <v/>
      </c>
      <c r="C254" s="112" t="n"/>
      <c r="D254" s="47" t="n"/>
      <c r="E254" s="112" t="n"/>
      <c r="F254" s="47" t="n"/>
      <c r="G254" s="47" t="n"/>
      <c r="H254" s="50">
        <f>IF($A254="","",IF(COUNTIFS(العهد_الرقم,$A254,العهد_الحالة,"&lt;&gt;مسترجعة")&gt;0,"⚠ يوجد عهد غير مسترجعة","لا عهد معلقة"))</f>
        <v/>
      </c>
      <c r="I254" s="63" t="n"/>
      <c r="J254" s="47" t="n"/>
      <c r="K254" s="47" t="n"/>
      <c r="L254" s="47" t="n"/>
    </row>
    <row r="255">
      <c r="A255" s="40" t="n"/>
      <c r="B255" s="43">
        <f>IFERROR(INDEX(الموظفون_الاسم,MATCH($A255,الموظفون_الرقم,0)),"")</f>
        <v/>
      </c>
      <c r="C255" s="110" t="n"/>
      <c r="D255" s="40" t="n"/>
      <c r="E255" s="110" t="n"/>
      <c r="F255" s="40" t="n"/>
      <c r="G255" s="40" t="n"/>
      <c r="H255" s="43">
        <f>IF($A255="","",IF(COUNTIFS(العهد_الرقم,$A255,العهد_الحالة,"&lt;&gt;مسترجعة")&gt;0,"⚠ يوجد عهد غير مسترجعة","لا عهد معلقة"))</f>
        <v/>
      </c>
      <c r="I255" s="60" t="n"/>
      <c r="J255" s="40" t="n"/>
      <c r="K255" s="40" t="n"/>
      <c r="L255" s="40" t="n"/>
    </row>
    <row r="256">
      <c r="A256" s="47" t="n"/>
      <c r="B256" s="50">
        <f>IFERROR(INDEX(الموظفون_الاسم,MATCH($A256,الموظفون_الرقم,0)),"")</f>
        <v/>
      </c>
      <c r="C256" s="112" t="n"/>
      <c r="D256" s="47" t="n"/>
      <c r="E256" s="112" t="n"/>
      <c r="F256" s="47" t="n"/>
      <c r="G256" s="47" t="n"/>
      <c r="H256" s="50">
        <f>IF($A256="","",IF(COUNTIFS(العهد_الرقم,$A256,العهد_الحالة,"&lt;&gt;مسترجعة")&gt;0,"⚠ يوجد عهد غير مسترجعة","لا عهد معلقة"))</f>
        <v/>
      </c>
      <c r="I256" s="63" t="n"/>
      <c r="J256" s="47" t="n"/>
      <c r="K256" s="47" t="n"/>
      <c r="L256" s="47" t="n"/>
    </row>
    <row r="257">
      <c r="A257" s="40" t="n"/>
      <c r="B257" s="43">
        <f>IFERROR(INDEX(الموظفون_الاسم,MATCH($A257,الموظفون_الرقم,0)),"")</f>
        <v/>
      </c>
      <c r="C257" s="110" t="n"/>
      <c r="D257" s="40" t="n"/>
      <c r="E257" s="110" t="n"/>
      <c r="F257" s="40" t="n"/>
      <c r="G257" s="40" t="n"/>
      <c r="H257" s="43">
        <f>IF($A257="","",IF(COUNTIFS(العهد_الرقم,$A257,العهد_الحالة,"&lt;&gt;مسترجعة")&gt;0,"⚠ يوجد عهد غير مسترجعة","لا عهد معلقة"))</f>
        <v/>
      </c>
      <c r="I257" s="60" t="n"/>
      <c r="J257" s="40" t="n"/>
      <c r="K257" s="40" t="n"/>
      <c r="L257" s="40" t="n"/>
    </row>
    <row r="258">
      <c r="A258" s="47" t="n"/>
      <c r="B258" s="50">
        <f>IFERROR(INDEX(الموظفون_الاسم,MATCH($A258,الموظفون_الرقم,0)),"")</f>
        <v/>
      </c>
      <c r="C258" s="112" t="n"/>
      <c r="D258" s="47" t="n"/>
      <c r="E258" s="112" t="n"/>
      <c r="F258" s="47" t="n"/>
      <c r="G258" s="47" t="n"/>
      <c r="H258" s="50">
        <f>IF($A258="","",IF(COUNTIFS(العهد_الرقم,$A258,العهد_الحالة,"&lt;&gt;مسترجعة")&gt;0,"⚠ يوجد عهد غير مسترجعة","لا عهد معلقة"))</f>
        <v/>
      </c>
      <c r="I258" s="63" t="n"/>
      <c r="J258" s="47" t="n"/>
      <c r="K258" s="47" t="n"/>
      <c r="L258" s="47" t="n"/>
    </row>
    <row r="259">
      <c r="A259" s="40" t="n"/>
      <c r="B259" s="43">
        <f>IFERROR(INDEX(الموظفون_الاسم,MATCH($A259,الموظفون_الرقم,0)),"")</f>
        <v/>
      </c>
      <c r="C259" s="110" t="n"/>
      <c r="D259" s="40" t="n"/>
      <c r="E259" s="110" t="n"/>
      <c r="F259" s="40" t="n"/>
      <c r="G259" s="40" t="n"/>
      <c r="H259" s="43">
        <f>IF($A259="","",IF(COUNTIFS(العهد_الرقم,$A259,العهد_الحالة,"&lt;&gt;مسترجعة")&gt;0,"⚠ يوجد عهد غير مسترجعة","لا عهد معلقة"))</f>
        <v/>
      </c>
      <c r="I259" s="60" t="n"/>
      <c r="J259" s="40" t="n"/>
      <c r="K259" s="40" t="n"/>
      <c r="L259" s="40" t="n"/>
    </row>
    <row r="260">
      <c r="A260" s="47" t="n"/>
      <c r="B260" s="50">
        <f>IFERROR(INDEX(الموظفون_الاسم,MATCH($A260,الموظفون_الرقم,0)),"")</f>
        <v/>
      </c>
      <c r="C260" s="112" t="n"/>
      <c r="D260" s="47" t="n"/>
      <c r="E260" s="112" t="n"/>
      <c r="F260" s="47" t="n"/>
      <c r="G260" s="47" t="n"/>
      <c r="H260" s="50">
        <f>IF($A260="","",IF(COUNTIFS(العهد_الرقم,$A260,العهد_الحالة,"&lt;&gt;مسترجعة")&gt;0,"⚠ يوجد عهد غير مسترجعة","لا عهد معلقة"))</f>
        <v/>
      </c>
      <c r="I260" s="63" t="n"/>
      <c r="J260" s="47" t="n"/>
      <c r="K260" s="47" t="n"/>
      <c r="L260" s="47" t="n"/>
    </row>
    <row r="261">
      <c r="A261" s="40" t="n"/>
      <c r="B261" s="43">
        <f>IFERROR(INDEX(الموظفون_الاسم,MATCH($A261,الموظفون_الرقم,0)),"")</f>
        <v/>
      </c>
      <c r="C261" s="110" t="n"/>
      <c r="D261" s="40" t="n"/>
      <c r="E261" s="110" t="n"/>
      <c r="F261" s="40" t="n"/>
      <c r="G261" s="40" t="n"/>
      <c r="H261" s="43">
        <f>IF($A261="","",IF(COUNTIFS(العهد_الرقم,$A261,العهد_الحالة,"&lt;&gt;مسترجعة")&gt;0,"⚠ يوجد عهد غير مسترجعة","لا عهد معلقة"))</f>
        <v/>
      </c>
      <c r="I261" s="60" t="n"/>
      <c r="J261" s="40" t="n"/>
      <c r="K261" s="40" t="n"/>
      <c r="L261" s="40" t="n"/>
    </row>
    <row r="262">
      <c r="A262" s="47" t="n"/>
      <c r="B262" s="50">
        <f>IFERROR(INDEX(الموظفون_الاسم,MATCH($A262,الموظفون_الرقم,0)),"")</f>
        <v/>
      </c>
      <c r="C262" s="112" t="n"/>
      <c r="D262" s="47" t="n"/>
      <c r="E262" s="112" t="n"/>
      <c r="F262" s="47" t="n"/>
      <c r="G262" s="47" t="n"/>
      <c r="H262" s="50">
        <f>IF($A262="","",IF(COUNTIFS(العهد_الرقم,$A262,العهد_الحالة,"&lt;&gt;مسترجعة")&gt;0,"⚠ يوجد عهد غير مسترجعة","لا عهد معلقة"))</f>
        <v/>
      </c>
      <c r="I262" s="63" t="n"/>
      <c r="J262" s="47" t="n"/>
      <c r="K262" s="47" t="n"/>
      <c r="L262" s="47" t="n"/>
    </row>
    <row r="263">
      <c r="A263" s="40" t="n"/>
      <c r="B263" s="43">
        <f>IFERROR(INDEX(الموظفون_الاسم,MATCH($A263,الموظفون_الرقم,0)),"")</f>
        <v/>
      </c>
      <c r="C263" s="110" t="n"/>
      <c r="D263" s="40" t="n"/>
      <c r="E263" s="110" t="n"/>
      <c r="F263" s="40" t="n"/>
      <c r="G263" s="40" t="n"/>
      <c r="H263" s="43">
        <f>IF($A263="","",IF(COUNTIFS(العهد_الرقم,$A263,العهد_الحالة,"&lt;&gt;مسترجعة")&gt;0,"⚠ يوجد عهد غير مسترجعة","لا عهد معلقة"))</f>
        <v/>
      </c>
      <c r="I263" s="60" t="n"/>
      <c r="J263" s="40" t="n"/>
      <c r="K263" s="40" t="n"/>
      <c r="L263" s="40" t="n"/>
    </row>
    <row r="264">
      <c r="A264" s="47" t="n"/>
      <c r="B264" s="50">
        <f>IFERROR(INDEX(الموظفون_الاسم,MATCH($A264,الموظفون_الرقم,0)),"")</f>
        <v/>
      </c>
      <c r="C264" s="112" t="n"/>
      <c r="D264" s="47" t="n"/>
      <c r="E264" s="112" t="n"/>
      <c r="F264" s="47" t="n"/>
      <c r="G264" s="47" t="n"/>
      <c r="H264" s="50">
        <f>IF($A264="","",IF(COUNTIFS(العهد_الرقم,$A264,العهد_الحالة,"&lt;&gt;مسترجعة")&gt;0,"⚠ يوجد عهد غير مسترجعة","لا عهد معلقة"))</f>
        <v/>
      </c>
      <c r="I264" s="63" t="n"/>
      <c r="J264" s="47" t="n"/>
      <c r="K264" s="47" t="n"/>
      <c r="L264" s="47" t="n"/>
    </row>
    <row r="265">
      <c r="A265" s="40" t="n"/>
      <c r="B265" s="43">
        <f>IFERROR(INDEX(الموظفون_الاسم,MATCH($A265,الموظفون_الرقم,0)),"")</f>
        <v/>
      </c>
      <c r="C265" s="110" t="n"/>
      <c r="D265" s="40" t="n"/>
      <c r="E265" s="110" t="n"/>
      <c r="F265" s="40" t="n"/>
      <c r="G265" s="40" t="n"/>
      <c r="H265" s="43">
        <f>IF($A265="","",IF(COUNTIFS(العهد_الرقم,$A265,العهد_الحالة,"&lt;&gt;مسترجعة")&gt;0,"⚠ يوجد عهد غير مسترجعة","لا عهد معلقة"))</f>
        <v/>
      </c>
      <c r="I265" s="60" t="n"/>
      <c r="J265" s="40" t="n"/>
      <c r="K265" s="40" t="n"/>
      <c r="L265" s="40" t="n"/>
    </row>
    <row r="266">
      <c r="A266" s="47" t="n"/>
      <c r="B266" s="50">
        <f>IFERROR(INDEX(الموظفون_الاسم,MATCH($A266,الموظفون_الرقم,0)),"")</f>
        <v/>
      </c>
      <c r="C266" s="112" t="n"/>
      <c r="D266" s="47" t="n"/>
      <c r="E266" s="112" t="n"/>
      <c r="F266" s="47" t="n"/>
      <c r="G266" s="47" t="n"/>
      <c r="H266" s="50">
        <f>IF($A266="","",IF(COUNTIFS(العهد_الرقم,$A266,العهد_الحالة,"&lt;&gt;مسترجعة")&gt;0,"⚠ يوجد عهد غير مسترجعة","لا عهد معلقة"))</f>
        <v/>
      </c>
      <c r="I266" s="63" t="n"/>
      <c r="J266" s="47" t="n"/>
      <c r="K266" s="47" t="n"/>
      <c r="L266" s="47" t="n"/>
    </row>
    <row r="267">
      <c r="A267" s="40" t="n"/>
      <c r="B267" s="43">
        <f>IFERROR(INDEX(الموظفون_الاسم,MATCH($A267,الموظفون_الرقم,0)),"")</f>
        <v/>
      </c>
      <c r="C267" s="110" t="n"/>
      <c r="D267" s="40" t="n"/>
      <c r="E267" s="110" t="n"/>
      <c r="F267" s="40" t="n"/>
      <c r="G267" s="40" t="n"/>
      <c r="H267" s="43">
        <f>IF($A267="","",IF(COUNTIFS(العهد_الرقم,$A267,العهد_الحالة,"&lt;&gt;مسترجعة")&gt;0,"⚠ يوجد عهد غير مسترجعة","لا عهد معلقة"))</f>
        <v/>
      </c>
      <c r="I267" s="60" t="n"/>
      <c r="J267" s="40" t="n"/>
      <c r="K267" s="40" t="n"/>
      <c r="L267" s="40" t="n"/>
    </row>
    <row r="268">
      <c r="A268" s="47" t="n"/>
      <c r="B268" s="50">
        <f>IFERROR(INDEX(الموظفون_الاسم,MATCH($A268,الموظفون_الرقم,0)),"")</f>
        <v/>
      </c>
      <c r="C268" s="112" t="n"/>
      <c r="D268" s="47" t="n"/>
      <c r="E268" s="112" t="n"/>
      <c r="F268" s="47" t="n"/>
      <c r="G268" s="47" t="n"/>
      <c r="H268" s="50">
        <f>IF($A268="","",IF(COUNTIFS(العهد_الرقم,$A268,العهد_الحالة,"&lt;&gt;مسترجعة")&gt;0,"⚠ يوجد عهد غير مسترجعة","لا عهد معلقة"))</f>
        <v/>
      </c>
      <c r="I268" s="63" t="n"/>
      <c r="J268" s="47" t="n"/>
      <c r="K268" s="47" t="n"/>
      <c r="L268" s="47" t="n"/>
    </row>
    <row r="269">
      <c r="A269" s="40" t="n"/>
      <c r="B269" s="43">
        <f>IFERROR(INDEX(الموظفون_الاسم,MATCH($A269,الموظفون_الرقم,0)),"")</f>
        <v/>
      </c>
      <c r="C269" s="110" t="n"/>
      <c r="D269" s="40" t="n"/>
      <c r="E269" s="110" t="n"/>
      <c r="F269" s="40" t="n"/>
      <c r="G269" s="40" t="n"/>
      <c r="H269" s="43">
        <f>IF($A269="","",IF(COUNTIFS(العهد_الرقم,$A269,العهد_الحالة,"&lt;&gt;مسترجعة")&gt;0,"⚠ يوجد عهد غير مسترجعة","لا عهد معلقة"))</f>
        <v/>
      </c>
      <c r="I269" s="60" t="n"/>
      <c r="J269" s="40" t="n"/>
      <c r="K269" s="40" t="n"/>
      <c r="L269" s="40" t="n"/>
    </row>
    <row r="270">
      <c r="A270" s="47" t="n"/>
      <c r="B270" s="50">
        <f>IFERROR(INDEX(الموظفون_الاسم,MATCH($A270,الموظفون_الرقم,0)),"")</f>
        <v/>
      </c>
      <c r="C270" s="112" t="n"/>
      <c r="D270" s="47" t="n"/>
      <c r="E270" s="112" t="n"/>
      <c r="F270" s="47" t="n"/>
      <c r="G270" s="47" t="n"/>
      <c r="H270" s="50">
        <f>IF($A270="","",IF(COUNTIFS(العهد_الرقم,$A270,العهد_الحالة,"&lt;&gt;مسترجعة")&gt;0,"⚠ يوجد عهد غير مسترجعة","لا عهد معلقة"))</f>
        <v/>
      </c>
      <c r="I270" s="63" t="n"/>
      <c r="J270" s="47" t="n"/>
      <c r="K270" s="47" t="n"/>
      <c r="L270" s="47" t="n"/>
    </row>
    <row r="271">
      <c r="A271" s="40" t="n"/>
      <c r="B271" s="43">
        <f>IFERROR(INDEX(الموظفون_الاسم,MATCH($A271,الموظفون_الرقم,0)),"")</f>
        <v/>
      </c>
      <c r="C271" s="110" t="n"/>
      <c r="D271" s="40" t="n"/>
      <c r="E271" s="110" t="n"/>
      <c r="F271" s="40" t="n"/>
      <c r="G271" s="40" t="n"/>
      <c r="H271" s="43">
        <f>IF($A271="","",IF(COUNTIFS(العهد_الرقم,$A271,العهد_الحالة,"&lt;&gt;مسترجعة")&gt;0,"⚠ يوجد عهد غير مسترجعة","لا عهد معلقة"))</f>
        <v/>
      </c>
      <c r="I271" s="60" t="n"/>
      <c r="J271" s="40" t="n"/>
      <c r="K271" s="40" t="n"/>
      <c r="L271" s="40" t="n"/>
    </row>
    <row r="272">
      <c r="A272" s="47" t="n"/>
      <c r="B272" s="50">
        <f>IFERROR(INDEX(الموظفون_الاسم,MATCH($A272,الموظفون_الرقم,0)),"")</f>
        <v/>
      </c>
      <c r="C272" s="112" t="n"/>
      <c r="D272" s="47" t="n"/>
      <c r="E272" s="112" t="n"/>
      <c r="F272" s="47" t="n"/>
      <c r="G272" s="47" t="n"/>
      <c r="H272" s="50">
        <f>IF($A272="","",IF(COUNTIFS(العهد_الرقم,$A272,العهد_الحالة,"&lt;&gt;مسترجعة")&gt;0,"⚠ يوجد عهد غير مسترجعة","لا عهد معلقة"))</f>
        <v/>
      </c>
      <c r="I272" s="63" t="n"/>
      <c r="J272" s="47" t="n"/>
      <c r="K272" s="47" t="n"/>
      <c r="L272" s="47" t="n"/>
    </row>
    <row r="273">
      <c r="A273" s="40" t="n"/>
      <c r="B273" s="43">
        <f>IFERROR(INDEX(الموظفون_الاسم,MATCH($A273,الموظفون_الرقم,0)),"")</f>
        <v/>
      </c>
      <c r="C273" s="110" t="n"/>
      <c r="D273" s="40" t="n"/>
      <c r="E273" s="110" t="n"/>
      <c r="F273" s="40" t="n"/>
      <c r="G273" s="40" t="n"/>
      <c r="H273" s="43">
        <f>IF($A273="","",IF(COUNTIFS(العهد_الرقم,$A273,العهد_الحالة,"&lt;&gt;مسترجعة")&gt;0,"⚠ يوجد عهد غير مسترجعة","لا عهد معلقة"))</f>
        <v/>
      </c>
      <c r="I273" s="60" t="n"/>
      <c r="J273" s="40" t="n"/>
      <c r="K273" s="40" t="n"/>
      <c r="L273" s="40" t="n"/>
    </row>
    <row r="274">
      <c r="A274" s="47" t="n"/>
      <c r="B274" s="50">
        <f>IFERROR(INDEX(الموظفون_الاسم,MATCH($A274,الموظفون_الرقم,0)),"")</f>
        <v/>
      </c>
      <c r="C274" s="112" t="n"/>
      <c r="D274" s="47" t="n"/>
      <c r="E274" s="112" t="n"/>
      <c r="F274" s="47" t="n"/>
      <c r="G274" s="47" t="n"/>
      <c r="H274" s="50">
        <f>IF($A274="","",IF(COUNTIFS(العهد_الرقم,$A274,العهد_الحالة,"&lt;&gt;مسترجعة")&gt;0,"⚠ يوجد عهد غير مسترجعة","لا عهد معلقة"))</f>
        <v/>
      </c>
      <c r="I274" s="63" t="n"/>
      <c r="J274" s="47" t="n"/>
      <c r="K274" s="47" t="n"/>
      <c r="L274" s="47" t="n"/>
    </row>
    <row r="275">
      <c r="A275" s="40" t="n"/>
      <c r="B275" s="43">
        <f>IFERROR(INDEX(الموظفون_الاسم,MATCH($A275,الموظفون_الرقم,0)),"")</f>
        <v/>
      </c>
      <c r="C275" s="110" t="n"/>
      <c r="D275" s="40" t="n"/>
      <c r="E275" s="110" t="n"/>
      <c r="F275" s="40" t="n"/>
      <c r="G275" s="40" t="n"/>
      <c r="H275" s="43">
        <f>IF($A275="","",IF(COUNTIFS(العهد_الرقم,$A275,العهد_الحالة,"&lt;&gt;مسترجعة")&gt;0,"⚠ يوجد عهد غير مسترجعة","لا عهد معلقة"))</f>
        <v/>
      </c>
      <c r="I275" s="60" t="n"/>
      <c r="J275" s="40" t="n"/>
      <c r="K275" s="40" t="n"/>
      <c r="L275" s="40" t="n"/>
    </row>
    <row r="276">
      <c r="A276" s="47" t="n"/>
      <c r="B276" s="50">
        <f>IFERROR(INDEX(الموظفون_الاسم,MATCH($A276,الموظفون_الرقم,0)),"")</f>
        <v/>
      </c>
      <c r="C276" s="112" t="n"/>
      <c r="D276" s="47" t="n"/>
      <c r="E276" s="112" t="n"/>
      <c r="F276" s="47" t="n"/>
      <c r="G276" s="47" t="n"/>
      <c r="H276" s="50">
        <f>IF($A276="","",IF(COUNTIFS(العهد_الرقم,$A276,العهد_الحالة,"&lt;&gt;مسترجعة")&gt;0,"⚠ يوجد عهد غير مسترجعة","لا عهد معلقة"))</f>
        <v/>
      </c>
      <c r="I276" s="63" t="n"/>
      <c r="J276" s="47" t="n"/>
      <c r="K276" s="47" t="n"/>
      <c r="L276" s="47" t="n"/>
    </row>
    <row r="277">
      <c r="A277" s="40" t="n"/>
      <c r="B277" s="43">
        <f>IFERROR(INDEX(الموظفون_الاسم,MATCH($A277,الموظفون_الرقم,0)),"")</f>
        <v/>
      </c>
      <c r="C277" s="110" t="n"/>
      <c r="D277" s="40" t="n"/>
      <c r="E277" s="110" t="n"/>
      <c r="F277" s="40" t="n"/>
      <c r="G277" s="40" t="n"/>
      <c r="H277" s="43">
        <f>IF($A277="","",IF(COUNTIFS(العهد_الرقم,$A277,العهد_الحالة,"&lt;&gt;مسترجعة")&gt;0,"⚠ يوجد عهد غير مسترجعة","لا عهد معلقة"))</f>
        <v/>
      </c>
      <c r="I277" s="60" t="n"/>
      <c r="J277" s="40" t="n"/>
      <c r="K277" s="40" t="n"/>
      <c r="L277" s="40" t="n"/>
    </row>
    <row r="278">
      <c r="A278" s="47" t="n"/>
      <c r="B278" s="50">
        <f>IFERROR(INDEX(الموظفون_الاسم,MATCH($A278,الموظفون_الرقم,0)),"")</f>
        <v/>
      </c>
      <c r="C278" s="112" t="n"/>
      <c r="D278" s="47" t="n"/>
      <c r="E278" s="112" t="n"/>
      <c r="F278" s="47" t="n"/>
      <c r="G278" s="47" t="n"/>
      <c r="H278" s="50">
        <f>IF($A278="","",IF(COUNTIFS(العهد_الرقم,$A278,العهد_الحالة,"&lt;&gt;مسترجعة")&gt;0,"⚠ يوجد عهد غير مسترجعة","لا عهد معلقة"))</f>
        <v/>
      </c>
      <c r="I278" s="63" t="n"/>
      <c r="J278" s="47" t="n"/>
      <c r="K278" s="47" t="n"/>
      <c r="L278" s="47" t="n"/>
    </row>
    <row r="279">
      <c r="A279" s="40" t="n"/>
      <c r="B279" s="43">
        <f>IFERROR(INDEX(الموظفون_الاسم,MATCH($A279,الموظفون_الرقم,0)),"")</f>
        <v/>
      </c>
      <c r="C279" s="110" t="n"/>
      <c r="D279" s="40" t="n"/>
      <c r="E279" s="110" t="n"/>
      <c r="F279" s="40" t="n"/>
      <c r="G279" s="40" t="n"/>
      <c r="H279" s="43">
        <f>IF($A279="","",IF(COUNTIFS(العهد_الرقم,$A279,العهد_الحالة,"&lt;&gt;مسترجعة")&gt;0,"⚠ يوجد عهد غير مسترجعة","لا عهد معلقة"))</f>
        <v/>
      </c>
      <c r="I279" s="60" t="n"/>
      <c r="J279" s="40" t="n"/>
      <c r="K279" s="40" t="n"/>
      <c r="L279" s="40" t="n"/>
    </row>
    <row r="280">
      <c r="A280" s="47" t="n"/>
      <c r="B280" s="50">
        <f>IFERROR(INDEX(الموظفون_الاسم,MATCH($A280,الموظفون_الرقم,0)),"")</f>
        <v/>
      </c>
      <c r="C280" s="112" t="n"/>
      <c r="D280" s="47" t="n"/>
      <c r="E280" s="112" t="n"/>
      <c r="F280" s="47" t="n"/>
      <c r="G280" s="47" t="n"/>
      <c r="H280" s="50">
        <f>IF($A280="","",IF(COUNTIFS(العهد_الرقم,$A280,العهد_الحالة,"&lt;&gt;مسترجعة")&gt;0,"⚠ يوجد عهد غير مسترجعة","لا عهد معلقة"))</f>
        <v/>
      </c>
      <c r="I280" s="63" t="n"/>
      <c r="J280" s="47" t="n"/>
      <c r="K280" s="47" t="n"/>
      <c r="L280" s="47" t="n"/>
    </row>
    <row r="281">
      <c r="A281" s="40" t="n"/>
      <c r="B281" s="43">
        <f>IFERROR(INDEX(الموظفون_الاسم,MATCH($A281,الموظفون_الرقم,0)),"")</f>
        <v/>
      </c>
      <c r="C281" s="110" t="n"/>
      <c r="D281" s="40" t="n"/>
      <c r="E281" s="110" t="n"/>
      <c r="F281" s="40" t="n"/>
      <c r="G281" s="40" t="n"/>
      <c r="H281" s="43">
        <f>IF($A281="","",IF(COUNTIFS(العهد_الرقم,$A281,العهد_الحالة,"&lt;&gt;مسترجعة")&gt;0,"⚠ يوجد عهد غير مسترجعة","لا عهد معلقة"))</f>
        <v/>
      </c>
      <c r="I281" s="60" t="n"/>
      <c r="J281" s="40" t="n"/>
      <c r="K281" s="40" t="n"/>
      <c r="L281" s="40" t="n"/>
    </row>
    <row r="282">
      <c r="A282" s="47" t="n"/>
      <c r="B282" s="50">
        <f>IFERROR(INDEX(الموظفون_الاسم,MATCH($A282,الموظفون_الرقم,0)),"")</f>
        <v/>
      </c>
      <c r="C282" s="112" t="n"/>
      <c r="D282" s="47" t="n"/>
      <c r="E282" s="112" t="n"/>
      <c r="F282" s="47" t="n"/>
      <c r="G282" s="47" t="n"/>
      <c r="H282" s="50">
        <f>IF($A282="","",IF(COUNTIFS(العهد_الرقم,$A282,العهد_الحالة,"&lt;&gt;مسترجعة")&gt;0,"⚠ يوجد عهد غير مسترجعة","لا عهد معلقة"))</f>
        <v/>
      </c>
      <c r="I282" s="63" t="n"/>
      <c r="J282" s="47" t="n"/>
      <c r="K282" s="47" t="n"/>
      <c r="L282" s="47" t="n"/>
    </row>
    <row r="283">
      <c r="A283" s="40" t="n"/>
      <c r="B283" s="43">
        <f>IFERROR(INDEX(الموظفون_الاسم,MATCH($A283,الموظفون_الرقم,0)),"")</f>
        <v/>
      </c>
      <c r="C283" s="110" t="n"/>
      <c r="D283" s="40" t="n"/>
      <c r="E283" s="110" t="n"/>
      <c r="F283" s="40" t="n"/>
      <c r="G283" s="40" t="n"/>
      <c r="H283" s="43">
        <f>IF($A283="","",IF(COUNTIFS(العهد_الرقم,$A283,العهد_الحالة,"&lt;&gt;مسترجعة")&gt;0,"⚠ يوجد عهد غير مسترجعة","لا عهد معلقة"))</f>
        <v/>
      </c>
      <c r="I283" s="60" t="n"/>
      <c r="J283" s="40" t="n"/>
      <c r="K283" s="40" t="n"/>
      <c r="L283" s="40" t="n"/>
    </row>
    <row r="284">
      <c r="A284" s="47" t="n"/>
      <c r="B284" s="50">
        <f>IFERROR(INDEX(الموظفون_الاسم,MATCH($A284,الموظفون_الرقم,0)),"")</f>
        <v/>
      </c>
      <c r="C284" s="112" t="n"/>
      <c r="D284" s="47" t="n"/>
      <c r="E284" s="112" t="n"/>
      <c r="F284" s="47" t="n"/>
      <c r="G284" s="47" t="n"/>
      <c r="H284" s="50">
        <f>IF($A284="","",IF(COUNTIFS(العهد_الرقم,$A284,العهد_الحالة,"&lt;&gt;مسترجعة")&gt;0,"⚠ يوجد عهد غير مسترجعة","لا عهد معلقة"))</f>
        <v/>
      </c>
      <c r="I284" s="63" t="n"/>
      <c r="J284" s="47" t="n"/>
      <c r="K284" s="47" t="n"/>
      <c r="L284" s="47" t="n"/>
    </row>
    <row r="285">
      <c r="A285" s="40" t="n"/>
      <c r="B285" s="43">
        <f>IFERROR(INDEX(الموظفون_الاسم,MATCH($A285,الموظفون_الرقم,0)),"")</f>
        <v/>
      </c>
      <c r="C285" s="110" t="n"/>
      <c r="D285" s="40" t="n"/>
      <c r="E285" s="110" t="n"/>
      <c r="F285" s="40" t="n"/>
      <c r="G285" s="40" t="n"/>
      <c r="H285" s="43">
        <f>IF($A285="","",IF(COUNTIFS(العهد_الرقم,$A285,العهد_الحالة,"&lt;&gt;مسترجعة")&gt;0,"⚠ يوجد عهد غير مسترجعة","لا عهد معلقة"))</f>
        <v/>
      </c>
      <c r="I285" s="60" t="n"/>
      <c r="J285" s="40" t="n"/>
      <c r="K285" s="40" t="n"/>
      <c r="L285" s="40" t="n"/>
    </row>
    <row r="286">
      <c r="A286" s="47" t="n"/>
      <c r="B286" s="50">
        <f>IFERROR(INDEX(الموظفون_الاسم,MATCH($A286,الموظفون_الرقم,0)),"")</f>
        <v/>
      </c>
      <c r="C286" s="112" t="n"/>
      <c r="D286" s="47" t="n"/>
      <c r="E286" s="112" t="n"/>
      <c r="F286" s="47" t="n"/>
      <c r="G286" s="47" t="n"/>
      <c r="H286" s="50">
        <f>IF($A286="","",IF(COUNTIFS(العهد_الرقم,$A286,العهد_الحالة,"&lt;&gt;مسترجعة")&gt;0,"⚠ يوجد عهد غير مسترجعة","لا عهد معلقة"))</f>
        <v/>
      </c>
      <c r="I286" s="63" t="n"/>
      <c r="J286" s="47" t="n"/>
      <c r="K286" s="47" t="n"/>
      <c r="L286" s="47" t="n"/>
    </row>
    <row r="287">
      <c r="A287" s="40" t="n"/>
      <c r="B287" s="43">
        <f>IFERROR(INDEX(الموظفون_الاسم,MATCH($A287,الموظفون_الرقم,0)),"")</f>
        <v/>
      </c>
      <c r="C287" s="110" t="n"/>
      <c r="D287" s="40" t="n"/>
      <c r="E287" s="110" t="n"/>
      <c r="F287" s="40" t="n"/>
      <c r="G287" s="40" t="n"/>
      <c r="H287" s="43">
        <f>IF($A287="","",IF(COUNTIFS(العهد_الرقم,$A287,العهد_الحالة,"&lt;&gt;مسترجعة")&gt;0,"⚠ يوجد عهد غير مسترجعة","لا عهد معلقة"))</f>
        <v/>
      </c>
      <c r="I287" s="60" t="n"/>
      <c r="J287" s="40" t="n"/>
      <c r="K287" s="40" t="n"/>
      <c r="L287" s="40" t="n"/>
    </row>
    <row r="288">
      <c r="A288" s="47" t="n"/>
      <c r="B288" s="50">
        <f>IFERROR(INDEX(الموظفون_الاسم,MATCH($A288,الموظفون_الرقم,0)),"")</f>
        <v/>
      </c>
      <c r="C288" s="112" t="n"/>
      <c r="D288" s="47" t="n"/>
      <c r="E288" s="112" t="n"/>
      <c r="F288" s="47" t="n"/>
      <c r="G288" s="47" t="n"/>
      <c r="H288" s="50">
        <f>IF($A288="","",IF(COUNTIFS(العهد_الرقم,$A288,العهد_الحالة,"&lt;&gt;مسترجعة")&gt;0,"⚠ يوجد عهد غير مسترجعة","لا عهد معلقة"))</f>
        <v/>
      </c>
      <c r="I288" s="63" t="n"/>
      <c r="J288" s="47" t="n"/>
      <c r="K288" s="47" t="n"/>
      <c r="L288" s="47" t="n"/>
    </row>
    <row r="289">
      <c r="A289" s="40" t="n"/>
      <c r="B289" s="43">
        <f>IFERROR(INDEX(الموظفون_الاسم,MATCH($A289,الموظفون_الرقم,0)),"")</f>
        <v/>
      </c>
      <c r="C289" s="110" t="n"/>
      <c r="D289" s="40" t="n"/>
      <c r="E289" s="110" t="n"/>
      <c r="F289" s="40" t="n"/>
      <c r="G289" s="40" t="n"/>
      <c r="H289" s="43">
        <f>IF($A289="","",IF(COUNTIFS(العهد_الرقم,$A289,العهد_الحالة,"&lt;&gt;مسترجعة")&gt;0,"⚠ يوجد عهد غير مسترجعة","لا عهد معلقة"))</f>
        <v/>
      </c>
      <c r="I289" s="60" t="n"/>
      <c r="J289" s="40" t="n"/>
      <c r="K289" s="40" t="n"/>
      <c r="L289" s="40" t="n"/>
    </row>
    <row r="290">
      <c r="A290" s="47" t="n"/>
      <c r="B290" s="50">
        <f>IFERROR(INDEX(الموظفون_الاسم,MATCH($A290,الموظفون_الرقم,0)),"")</f>
        <v/>
      </c>
      <c r="C290" s="112" t="n"/>
      <c r="D290" s="47" t="n"/>
      <c r="E290" s="112" t="n"/>
      <c r="F290" s="47" t="n"/>
      <c r="G290" s="47" t="n"/>
      <c r="H290" s="50">
        <f>IF($A290="","",IF(COUNTIFS(العهد_الرقم,$A290,العهد_الحالة,"&lt;&gt;مسترجعة")&gt;0,"⚠ يوجد عهد غير مسترجعة","لا عهد معلقة"))</f>
        <v/>
      </c>
      <c r="I290" s="63" t="n"/>
      <c r="J290" s="47" t="n"/>
      <c r="K290" s="47" t="n"/>
      <c r="L290" s="47" t="n"/>
    </row>
    <row r="291">
      <c r="A291" s="40" t="n"/>
      <c r="B291" s="43">
        <f>IFERROR(INDEX(الموظفون_الاسم,MATCH($A291,الموظفون_الرقم,0)),"")</f>
        <v/>
      </c>
      <c r="C291" s="110" t="n"/>
      <c r="D291" s="40" t="n"/>
      <c r="E291" s="110" t="n"/>
      <c r="F291" s="40" t="n"/>
      <c r="G291" s="40" t="n"/>
      <c r="H291" s="43">
        <f>IF($A291="","",IF(COUNTIFS(العهد_الرقم,$A291,العهد_الحالة,"&lt;&gt;مسترجعة")&gt;0,"⚠ يوجد عهد غير مسترجعة","لا عهد معلقة"))</f>
        <v/>
      </c>
      <c r="I291" s="60" t="n"/>
      <c r="J291" s="40" t="n"/>
      <c r="K291" s="40" t="n"/>
      <c r="L291" s="40" t="n"/>
    </row>
    <row r="292">
      <c r="A292" s="47" t="n"/>
      <c r="B292" s="50">
        <f>IFERROR(INDEX(الموظفون_الاسم,MATCH($A292,الموظفون_الرقم,0)),"")</f>
        <v/>
      </c>
      <c r="C292" s="112" t="n"/>
      <c r="D292" s="47" t="n"/>
      <c r="E292" s="112" t="n"/>
      <c r="F292" s="47" t="n"/>
      <c r="G292" s="47" t="n"/>
      <c r="H292" s="50">
        <f>IF($A292="","",IF(COUNTIFS(العهد_الرقم,$A292,العهد_الحالة,"&lt;&gt;مسترجعة")&gt;0,"⚠ يوجد عهد غير مسترجعة","لا عهد معلقة"))</f>
        <v/>
      </c>
      <c r="I292" s="63" t="n"/>
      <c r="J292" s="47" t="n"/>
      <c r="K292" s="47" t="n"/>
      <c r="L292" s="47" t="n"/>
    </row>
    <row r="293">
      <c r="A293" s="40" t="n"/>
      <c r="B293" s="43">
        <f>IFERROR(INDEX(الموظفون_الاسم,MATCH($A293,الموظفون_الرقم,0)),"")</f>
        <v/>
      </c>
      <c r="C293" s="110" t="n"/>
      <c r="D293" s="40" t="n"/>
      <c r="E293" s="110" t="n"/>
      <c r="F293" s="40" t="n"/>
      <c r="G293" s="40" t="n"/>
      <c r="H293" s="43">
        <f>IF($A293="","",IF(COUNTIFS(العهد_الرقم,$A293,العهد_الحالة,"&lt;&gt;مسترجعة")&gt;0,"⚠ يوجد عهد غير مسترجعة","لا عهد معلقة"))</f>
        <v/>
      </c>
      <c r="I293" s="60" t="n"/>
      <c r="J293" s="40" t="n"/>
      <c r="K293" s="40" t="n"/>
      <c r="L293" s="40" t="n"/>
    </row>
    <row r="294">
      <c r="A294" s="47" t="n"/>
      <c r="B294" s="50">
        <f>IFERROR(INDEX(الموظفون_الاسم,MATCH($A294,الموظفون_الرقم,0)),"")</f>
        <v/>
      </c>
      <c r="C294" s="112" t="n"/>
      <c r="D294" s="47" t="n"/>
      <c r="E294" s="112" t="n"/>
      <c r="F294" s="47" t="n"/>
      <c r="G294" s="47" t="n"/>
      <c r="H294" s="50">
        <f>IF($A294="","",IF(COUNTIFS(العهد_الرقم,$A294,العهد_الحالة,"&lt;&gt;مسترجعة")&gt;0,"⚠ يوجد عهد غير مسترجعة","لا عهد معلقة"))</f>
        <v/>
      </c>
      <c r="I294" s="63" t="n"/>
      <c r="J294" s="47" t="n"/>
      <c r="K294" s="47" t="n"/>
      <c r="L294" s="47" t="n"/>
    </row>
    <row r="295">
      <c r="A295" s="40" t="n"/>
      <c r="B295" s="43">
        <f>IFERROR(INDEX(الموظفون_الاسم,MATCH($A295,الموظفون_الرقم,0)),"")</f>
        <v/>
      </c>
      <c r="C295" s="110" t="n"/>
      <c r="D295" s="40" t="n"/>
      <c r="E295" s="110" t="n"/>
      <c r="F295" s="40" t="n"/>
      <c r="G295" s="40" t="n"/>
      <c r="H295" s="43">
        <f>IF($A295="","",IF(COUNTIFS(العهد_الرقم,$A295,العهد_الحالة,"&lt;&gt;مسترجعة")&gt;0,"⚠ يوجد عهد غير مسترجعة","لا عهد معلقة"))</f>
        <v/>
      </c>
      <c r="I295" s="60" t="n"/>
      <c r="J295" s="40" t="n"/>
      <c r="K295" s="40" t="n"/>
      <c r="L295" s="40" t="n"/>
    </row>
    <row r="296">
      <c r="A296" s="47" t="n"/>
      <c r="B296" s="50">
        <f>IFERROR(INDEX(الموظفون_الاسم,MATCH($A296,الموظفون_الرقم,0)),"")</f>
        <v/>
      </c>
      <c r="C296" s="112" t="n"/>
      <c r="D296" s="47" t="n"/>
      <c r="E296" s="112" t="n"/>
      <c r="F296" s="47" t="n"/>
      <c r="G296" s="47" t="n"/>
      <c r="H296" s="50">
        <f>IF($A296="","",IF(COUNTIFS(العهد_الرقم,$A296,العهد_الحالة,"&lt;&gt;مسترجعة")&gt;0,"⚠ يوجد عهد غير مسترجعة","لا عهد معلقة"))</f>
        <v/>
      </c>
      <c r="I296" s="63" t="n"/>
      <c r="J296" s="47" t="n"/>
      <c r="K296" s="47" t="n"/>
      <c r="L296" s="47" t="n"/>
    </row>
    <row r="297">
      <c r="A297" s="40" t="n"/>
      <c r="B297" s="43">
        <f>IFERROR(INDEX(الموظفون_الاسم,MATCH($A297,الموظفون_الرقم,0)),"")</f>
        <v/>
      </c>
      <c r="C297" s="110" t="n"/>
      <c r="D297" s="40" t="n"/>
      <c r="E297" s="110" t="n"/>
      <c r="F297" s="40" t="n"/>
      <c r="G297" s="40" t="n"/>
      <c r="H297" s="43">
        <f>IF($A297="","",IF(COUNTIFS(العهد_الرقم,$A297,العهد_الحالة,"&lt;&gt;مسترجعة")&gt;0,"⚠ يوجد عهد غير مسترجعة","لا عهد معلقة"))</f>
        <v/>
      </c>
      <c r="I297" s="60" t="n"/>
      <c r="J297" s="40" t="n"/>
      <c r="K297" s="40" t="n"/>
      <c r="L297" s="40" t="n"/>
    </row>
    <row r="298">
      <c r="A298" s="47" t="n"/>
      <c r="B298" s="50">
        <f>IFERROR(INDEX(الموظفون_الاسم,MATCH($A298,الموظفون_الرقم,0)),"")</f>
        <v/>
      </c>
      <c r="C298" s="112" t="n"/>
      <c r="D298" s="47" t="n"/>
      <c r="E298" s="112" t="n"/>
      <c r="F298" s="47" t="n"/>
      <c r="G298" s="47" t="n"/>
      <c r="H298" s="50">
        <f>IF($A298="","",IF(COUNTIFS(العهد_الرقم,$A298,العهد_الحالة,"&lt;&gt;مسترجعة")&gt;0,"⚠ يوجد عهد غير مسترجعة","لا عهد معلقة"))</f>
        <v/>
      </c>
      <c r="I298" s="63" t="n"/>
      <c r="J298" s="47" t="n"/>
      <c r="K298" s="47" t="n"/>
      <c r="L298" s="47" t="n"/>
    </row>
    <row r="299">
      <c r="A299" s="40" t="n"/>
      <c r="B299" s="43">
        <f>IFERROR(INDEX(الموظفون_الاسم,MATCH($A299,الموظفون_الرقم,0)),"")</f>
        <v/>
      </c>
      <c r="C299" s="110" t="n"/>
      <c r="D299" s="40" t="n"/>
      <c r="E299" s="110" t="n"/>
      <c r="F299" s="40" t="n"/>
      <c r="G299" s="40" t="n"/>
      <c r="H299" s="43">
        <f>IF($A299="","",IF(COUNTIFS(العهد_الرقم,$A299,العهد_الحالة,"&lt;&gt;مسترجعة")&gt;0,"⚠ يوجد عهد غير مسترجعة","لا عهد معلقة"))</f>
        <v/>
      </c>
      <c r="I299" s="60" t="n"/>
      <c r="J299" s="40" t="n"/>
      <c r="K299" s="40" t="n"/>
      <c r="L299" s="40" t="n"/>
    </row>
    <row r="300">
      <c r="A300" s="47" t="n"/>
      <c r="B300" s="50">
        <f>IFERROR(INDEX(الموظفون_الاسم,MATCH($A300,الموظفون_الرقم,0)),"")</f>
        <v/>
      </c>
      <c r="C300" s="112" t="n"/>
      <c r="D300" s="47" t="n"/>
      <c r="E300" s="112" t="n"/>
      <c r="F300" s="47" t="n"/>
      <c r="G300" s="47" t="n"/>
      <c r="H300" s="50">
        <f>IF($A300="","",IF(COUNTIFS(العهد_الرقم,$A300,العهد_الحالة,"&lt;&gt;مسترجعة")&gt;0,"⚠ يوجد عهد غير مسترجعة","لا عهد معلقة"))</f>
        <v/>
      </c>
      <c r="I300" s="63" t="n"/>
      <c r="J300" s="47" t="n"/>
      <c r="K300" s="47" t="n"/>
      <c r="L300" s="47" t="n"/>
    </row>
    <row r="301">
      <c r="A301" s="40" t="n"/>
      <c r="B301" s="43">
        <f>IFERROR(INDEX(الموظفون_الاسم,MATCH($A301,الموظفون_الرقم,0)),"")</f>
        <v/>
      </c>
      <c r="C301" s="110" t="n"/>
      <c r="D301" s="40" t="n"/>
      <c r="E301" s="110" t="n"/>
      <c r="F301" s="40" t="n"/>
      <c r="G301" s="40" t="n"/>
      <c r="H301" s="43">
        <f>IF($A301="","",IF(COUNTIFS(العهد_الرقم,$A301,العهد_الحالة,"&lt;&gt;مسترجعة")&gt;0,"⚠ يوجد عهد غير مسترجعة","لا عهد معلقة"))</f>
        <v/>
      </c>
      <c r="I301" s="60" t="n"/>
      <c r="J301" s="40" t="n"/>
      <c r="K301" s="40" t="n"/>
      <c r="L301" s="40" t="n"/>
    </row>
    <row r="302">
      <c r="A302" s="47" t="n"/>
      <c r="B302" s="50">
        <f>IFERROR(INDEX(الموظفون_الاسم,MATCH($A302,الموظفون_الرقم,0)),"")</f>
        <v/>
      </c>
      <c r="C302" s="112" t="n"/>
      <c r="D302" s="47" t="n"/>
      <c r="E302" s="112" t="n"/>
      <c r="F302" s="47" t="n"/>
      <c r="G302" s="47" t="n"/>
      <c r="H302" s="50">
        <f>IF($A302="","",IF(COUNTIFS(العهد_الرقم,$A302,العهد_الحالة,"&lt;&gt;مسترجعة")&gt;0,"⚠ يوجد عهد غير مسترجعة","لا عهد معلقة"))</f>
        <v/>
      </c>
      <c r="I302" s="63" t="n"/>
      <c r="J302" s="47" t="n"/>
      <c r="K302" s="47" t="n"/>
      <c r="L302" s="47" t="n"/>
    </row>
    <row r="303">
      <c r="A303" s="40" t="n"/>
      <c r="B303" s="43">
        <f>IFERROR(INDEX(الموظفون_الاسم,MATCH($A303,الموظفون_الرقم,0)),"")</f>
        <v/>
      </c>
      <c r="C303" s="110" t="n"/>
      <c r="D303" s="40" t="n"/>
      <c r="E303" s="110" t="n"/>
      <c r="F303" s="40" t="n"/>
      <c r="G303" s="40" t="n"/>
      <c r="H303" s="43">
        <f>IF($A303="","",IF(COUNTIFS(العهد_الرقم,$A303,العهد_الحالة,"&lt;&gt;مسترجعة")&gt;0,"⚠ يوجد عهد غير مسترجعة","لا عهد معلقة"))</f>
        <v/>
      </c>
      <c r="I303" s="60" t="n"/>
      <c r="J303" s="40" t="n"/>
      <c r="K303" s="40" t="n"/>
      <c r="L303" s="40" t="n"/>
    </row>
    <row r="304">
      <c r="A304" s="47" t="n"/>
      <c r="B304" s="50">
        <f>IFERROR(INDEX(الموظفون_الاسم,MATCH($A304,الموظفون_الرقم,0)),"")</f>
        <v/>
      </c>
      <c r="C304" s="112" t="n"/>
      <c r="D304" s="47" t="n"/>
      <c r="E304" s="112" t="n"/>
      <c r="F304" s="47" t="n"/>
      <c r="G304" s="47" t="n"/>
      <c r="H304" s="50">
        <f>IF($A304="","",IF(COUNTIFS(العهد_الرقم,$A304,العهد_الحالة,"&lt;&gt;مسترجعة")&gt;0,"⚠ يوجد عهد غير مسترجعة","لا عهد معلقة"))</f>
        <v/>
      </c>
      <c r="I304" s="63" t="n"/>
      <c r="J304" s="47" t="n"/>
      <c r="K304" s="47" t="n"/>
      <c r="L304" s="47" t="n"/>
    </row>
    <row r="305">
      <c r="A305" s="40" t="n"/>
      <c r="B305" s="43">
        <f>IFERROR(INDEX(الموظفون_الاسم,MATCH($A305,الموظفون_الرقم,0)),"")</f>
        <v/>
      </c>
      <c r="C305" s="110" t="n"/>
      <c r="D305" s="40" t="n"/>
      <c r="E305" s="110" t="n"/>
      <c r="F305" s="40" t="n"/>
      <c r="G305" s="40" t="n"/>
      <c r="H305" s="43">
        <f>IF($A305="","",IF(COUNTIFS(العهد_الرقم,$A305,العهد_الحالة,"&lt;&gt;مسترجعة")&gt;0,"⚠ يوجد عهد غير مسترجعة","لا عهد معلقة"))</f>
        <v/>
      </c>
      <c r="I305" s="60" t="n"/>
      <c r="J305" s="40" t="n"/>
      <c r="K305" s="40" t="n"/>
      <c r="L305" s="40" t="n"/>
    </row>
    <row r="306">
      <c r="A306" s="47" t="n"/>
      <c r="B306" s="50">
        <f>IFERROR(INDEX(الموظفون_الاسم,MATCH($A306,الموظفون_الرقم,0)),"")</f>
        <v/>
      </c>
      <c r="C306" s="112" t="n"/>
      <c r="D306" s="47" t="n"/>
      <c r="E306" s="112" t="n"/>
      <c r="F306" s="47" t="n"/>
      <c r="G306" s="47" t="n"/>
      <c r="H306" s="50">
        <f>IF($A306="","",IF(COUNTIFS(العهد_الرقم,$A306,العهد_الحالة,"&lt;&gt;مسترجعة")&gt;0,"⚠ يوجد عهد غير مسترجعة","لا عهد معلقة"))</f>
        <v/>
      </c>
      <c r="I306" s="63" t="n"/>
      <c r="J306" s="47" t="n"/>
      <c r="K306" s="47" t="n"/>
      <c r="L306" s="47" t="n"/>
    </row>
    <row r="307">
      <c r="A307" s="40" t="n"/>
      <c r="B307" s="43">
        <f>IFERROR(INDEX(الموظفون_الاسم,MATCH($A307,الموظفون_الرقم,0)),"")</f>
        <v/>
      </c>
      <c r="C307" s="110" t="n"/>
      <c r="D307" s="40" t="n"/>
      <c r="E307" s="110" t="n"/>
      <c r="F307" s="40" t="n"/>
      <c r="G307" s="40" t="n"/>
      <c r="H307" s="43">
        <f>IF($A307="","",IF(COUNTIFS(العهد_الرقم,$A307,العهد_الحالة,"&lt;&gt;مسترجعة")&gt;0,"⚠ يوجد عهد غير مسترجعة","لا عهد معلقة"))</f>
        <v/>
      </c>
      <c r="I307" s="60" t="n"/>
      <c r="J307" s="40" t="n"/>
      <c r="K307" s="40" t="n"/>
      <c r="L307" s="40" t="n"/>
    </row>
    <row r="308">
      <c r="A308" s="47" t="n"/>
      <c r="B308" s="50">
        <f>IFERROR(INDEX(الموظفون_الاسم,MATCH($A308,الموظفون_الرقم,0)),"")</f>
        <v/>
      </c>
      <c r="C308" s="112" t="n"/>
      <c r="D308" s="47" t="n"/>
      <c r="E308" s="112" t="n"/>
      <c r="F308" s="47" t="n"/>
      <c r="G308" s="47" t="n"/>
      <c r="H308" s="50">
        <f>IF($A308="","",IF(COUNTIFS(العهد_الرقم,$A308,العهد_الحالة,"&lt;&gt;مسترجعة")&gt;0,"⚠ يوجد عهد غير مسترجعة","لا عهد معلقة"))</f>
        <v/>
      </c>
      <c r="I308" s="63" t="n"/>
      <c r="J308" s="47" t="n"/>
      <c r="K308" s="47" t="n"/>
      <c r="L308" s="47" t="n"/>
    </row>
    <row r="309">
      <c r="A309" s="40" t="n"/>
      <c r="B309" s="43">
        <f>IFERROR(INDEX(الموظفون_الاسم,MATCH($A309,الموظفون_الرقم,0)),"")</f>
        <v/>
      </c>
      <c r="C309" s="110" t="n"/>
      <c r="D309" s="40" t="n"/>
      <c r="E309" s="110" t="n"/>
      <c r="F309" s="40" t="n"/>
      <c r="G309" s="40" t="n"/>
      <c r="H309" s="43">
        <f>IF($A309="","",IF(COUNTIFS(العهد_الرقم,$A309,العهد_الحالة,"&lt;&gt;مسترجعة")&gt;0,"⚠ يوجد عهد غير مسترجعة","لا عهد معلقة"))</f>
        <v/>
      </c>
      <c r="I309" s="60" t="n"/>
      <c r="J309" s="40" t="n"/>
      <c r="K309" s="40" t="n"/>
      <c r="L309" s="40" t="n"/>
    </row>
    <row r="310">
      <c r="A310" s="47" t="n"/>
      <c r="B310" s="50">
        <f>IFERROR(INDEX(الموظفون_الاسم,MATCH($A310,الموظفون_الرقم,0)),"")</f>
        <v/>
      </c>
      <c r="C310" s="112" t="n"/>
      <c r="D310" s="47" t="n"/>
      <c r="E310" s="112" t="n"/>
      <c r="F310" s="47" t="n"/>
      <c r="G310" s="47" t="n"/>
      <c r="H310" s="50">
        <f>IF($A310="","",IF(COUNTIFS(العهد_الرقم,$A310,العهد_الحالة,"&lt;&gt;مسترجعة")&gt;0,"⚠ يوجد عهد غير مسترجعة","لا عهد معلقة"))</f>
        <v/>
      </c>
      <c r="I310" s="63" t="n"/>
      <c r="J310" s="47" t="n"/>
      <c r="K310" s="47" t="n"/>
      <c r="L310" s="47" t="n"/>
    </row>
    <row r="311">
      <c r="A311" s="40" t="n"/>
      <c r="B311" s="43">
        <f>IFERROR(INDEX(الموظفون_الاسم,MATCH($A311,الموظفون_الرقم,0)),"")</f>
        <v/>
      </c>
      <c r="C311" s="110" t="n"/>
      <c r="D311" s="40" t="n"/>
      <c r="E311" s="110" t="n"/>
      <c r="F311" s="40" t="n"/>
      <c r="G311" s="40" t="n"/>
      <c r="H311" s="43">
        <f>IF($A311="","",IF(COUNTIFS(العهد_الرقم,$A311,العهد_الحالة,"&lt;&gt;مسترجعة")&gt;0,"⚠ يوجد عهد غير مسترجعة","لا عهد معلقة"))</f>
        <v/>
      </c>
      <c r="I311" s="60" t="n"/>
      <c r="J311" s="40" t="n"/>
      <c r="K311" s="40" t="n"/>
      <c r="L311" s="40" t="n"/>
    </row>
    <row r="312">
      <c r="A312" s="47" t="n"/>
      <c r="B312" s="50">
        <f>IFERROR(INDEX(الموظفون_الاسم,MATCH($A312,الموظفون_الرقم,0)),"")</f>
        <v/>
      </c>
      <c r="C312" s="112" t="n"/>
      <c r="D312" s="47" t="n"/>
      <c r="E312" s="112" t="n"/>
      <c r="F312" s="47" t="n"/>
      <c r="G312" s="47" t="n"/>
      <c r="H312" s="50">
        <f>IF($A312="","",IF(COUNTIFS(العهد_الرقم,$A312,العهد_الحالة,"&lt;&gt;مسترجعة")&gt;0,"⚠ يوجد عهد غير مسترجعة","لا عهد معلقة"))</f>
        <v/>
      </c>
      <c r="I312" s="63" t="n"/>
      <c r="J312" s="47" t="n"/>
      <c r="K312" s="47" t="n"/>
      <c r="L312" s="47" t="n"/>
    </row>
    <row r="313">
      <c r="A313" s="40" t="n"/>
      <c r="B313" s="43">
        <f>IFERROR(INDEX(الموظفون_الاسم,MATCH($A313,الموظفون_الرقم,0)),"")</f>
        <v/>
      </c>
      <c r="C313" s="110" t="n"/>
      <c r="D313" s="40" t="n"/>
      <c r="E313" s="110" t="n"/>
      <c r="F313" s="40" t="n"/>
      <c r="G313" s="40" t="n"/>
      <c r="H313" s="43">
        <f>IF($A313="","",IF(COUNTIFS(العهد_الرقم,$A313,العهد_الحالة,"&lt;&gt;مسترجعة")&gt;0,"⚠ يوجد عهد غير مسترجعة","لا عهد معلقة"))</f>
        <v/>
      </c>
      <c r="I313" s="60" t="n"/>
      <c r="J313" s="40" t="n"/>
      <c r="K313" s="40" t="n"/>
      <c r="L313" s="40" t="n"/>
    </row>
    <row r="314">
      <c r="A314" s="47" t="n"/>
      <c r="B314" s="50">
        <f>IFERROR(INDEX(الموظفون_الاسم,MATCH($A314,الموظفون_الرقم,0)),"")</f>
        <v/>
      </c>
      <c r="C314" s="112" t="n"/>
      <c r="D314" s="47" t="n"/>
      <c r="E314" s="112" t="n"/>
      <c r="F314" s="47" t="n"/>
      <c r="G314" s="47" t="n"/>
      <c r="H314" s="50">
        <f>IF($A314="","",IF(COUNTIFS(العهد_الرقم,$A314,العهد_الحالة,"&lt;&gt;مسترجعة")&gt;0,"⚠ يوجد عهد غير مسترجعة","لا عهد معلقة"))</f>
        <v/>
      </c>
      <c r="I314" s="63" t="n"/>
      <c r="J314" s="47" t="n"/>
      <c r="K314" s="47" t="n"/>
      <c r="L314" s="47" t="n"/>
    </row>
    <row r="315">
      <c r="A315" s="40" t="n"/>
      <c r="B315" s="43">
        <f>IFERROR(INDEX(الموظفون_الاسم,MATCH($A315,الموظفون_الرقم,0)),"")</f>
        <v/>
      </c>
      <c r="C315" s="110" t="n"/>
      <c r="D315" s="40" t="n"/>
      <c r="E315" s="110" t="n"/>
      <c r="F315" s="40" t="n"/>
      <c r="G315" s="40" t="n"/>
      <c r="H315" s="43">
        <f>IF($A315="","",IF(COUNTIFS(العهد_الرقم,$A315,العهد_الحالة,"&lt;&gt;مسترجعة")&gt;0,"⚠ يوجد عهد غير مسترجعة","لا عهد معلقة"))</f>
        <v/>
      </c>
      <c r="I315" s="60" t="n"/>
      <c r="J315" s="40" t="n"/>
      <c r="K315" s="40" t="n"/>
      <c r="L315" s="40" t="n"/>
    </row>
    <row r="316">
      <c r="A316" s="47" t="n"/>
      <c r="B316" s="50">
        <f>IFERROR(INDEX(الموظفون_الاسم,MATCH($A316,الموظفون_الرقم,0)),"")</f>
        <v/>
      </c>
      <c r="C316" s="112" t="n"/>
      <c r="D316" s="47" t="n"/>
      <c r="E316" s="112" t="n"/>
      <c r="F316" s="47" t="n"/>
      <c r="G316" s="47" t="n"/>
      <c r="H316" s="50">
        <f>IF($A316="","",IF(COUNTIFS(العهد_الرقم,$A316,العهد_الحالة,"&lt;&gt;مسترجعة")&gt;0,"⚠ يوجد عهد غير مسترجعة","لا عهد معلقة"))</f>
        <v/>
      </c>
      <c r="I316" s="63" t="n"/>
      <c r="J316" s="47" t="n"/>
      <c r="K316" s="47" t="n"/>
      <c r="L316" s="47" t="n"/>
    </row>
    <row r="317">
      <c r="A317" s="40" t="n"/>
      <c r="B317" s="43">
        <f>IFERROR(INDEX(الموظفون_الاسم,MATCH($A317,الموظفون_الرقم,0)),"")</f>
        <v/>
      </c>
      <c r="C317" s="110" t="n"/>
      <c r="D317" s="40" t="n"/>
      <c r="E317" s="110" t="n"/>
      <c r="F317" s="40" t="n"/>
      <c r="G317" s="40" t="n"/>
      <c r="H317" s="43">
        <f>IF($A317="","",IF(COUNTIFS(العهد_الرقم,$A317,العهد_الحالة,"&lt;&gt;مسترجعة")&gt;0,"⚠ يوجد عهد غير مسترجعة","لا عهد معلقة"))</f>
        <v/>
      </c>
      <c r="I317" s="60" t="n"/>
      <c r="J317" s="40" t="n"/>
      <c r="K317" s="40" t="n"/>
      <c r="L317" s="40" t="n"/>
    </row>
    <row r="318">
      <c r="A318" s="47" t="n"/>
      <c r="B318" s="50">
        <f>IFERROR(INDEX(الموظفون_الاسم,MATCH($A318,الموظفون_الرقم,0)),"")</f>
        <v/>
      </c>
      <c r="C318" s="112" t="n"/>
      <c r="D318" s="47" t="n"/>
      <c r="E318" s="112" t="n"/>
      <c r="F318" s="47" t="n"/>
      <c r="G318" s="47" t="n"/>
      <c r="H318" s="50">
        <f>IF($A318="","",IF(COUNTIFS(العهد_الرقم,$A318,العهد_الحالة,"&lt;&gt;مسترجعة")&gt;0,"⚠ يوجد عهد غير مسترجعة","لا عهد معلقة"))</f>
        <v/>
      </c>
      <c r="I318" s="63" t="n"/>
      <c r="J318" s="47" t="n"/>
      <c r="K318" s="47" t="n"/>
      <c r="L318" s="47" t="n"/>
    </row>
    <row r="319">
      <c r="A319" s="40" t="n"/>
      <c r="B319" s="43">
        <f>IFERROR(INDEX(الموظفون_الاسم,MATCH($A319,الموظفون_الرقم,0)),"")</f>
        <v/>
      </c>
      <c r="C319" s="110" t="n"/>
      <c r="D319" s="40" t="n"/>
      <c r="E319" s="110" t="n"/>
      <c r="F319" s="40" t="n"/>
      <c r="G319" s="40" t="n"/>
      <c r="H319" s="43">
        <f>IF($A319="","",IF(COUNTIFS(العهد_الرقم,$A319,العهد_الحالة,"&lt;&gt;مسترجعة")&gt;0,"⚠ يوجد عهد غير مسترجعة","لا عهد معلقة"))</f>
        <v/>
      </c>
      <c r="I319" s="60" t="n"/>
      <c r="J319" s="40" t="n"/>
      <c r="K319" s="40" t="n"/>
      <c r="L319" s="40" t="n"/>
    </row>
    <row r="320">
      <c r="A320" s="47" t="n"/>
      <c r="B320" s="50">
        <f>IFERROR(INDEX(الموظفون_الاسم,MATCH($A320,الموظفون_الرقم,0)),"")</f>
        <v/>
      </c>
      <c r="C320" s="112" t="n"/>
      <c r="D320" s="47" t="n"/>
      <c r="E320" s="112" t="n"/>
      <c r="F320" s="47" t="n"/>
      <c r="G320" s="47" t="n"/>
      <c r="H320" s="50">
        <f>IF($A320="","",IF(COUNTIFS(العهد_الرقم,$A320,العهد_الحالة,"&lt;&gt;مسترجعة")&gt;0,"⚠ يوجد عهد غير مسترجعة","لا عهد معلقة"))</f>
        <v/>
      </c>
      <c r="I320" s="63" t="n"/>
      <c r="J320" s="47" t="n"/>
      <c r="K320" s="47" t="n"/>
      <c r="L320" s="47" t="n"/>
    </row>
    <row r="321">
      <c r="A321" s="40" t="n"/>
      <c r="B321" s="43">
        <f>IFERROR(INDEX(الموظفون_الاسم,MATCH($A321,الموظفون_الرقم,0)),"")</f>
        <v/>
      </c>
      <c r="C321" s="110" t="n"/>
      <c r="D321" s="40" t="n"/>
      <c r="E321" s="110" t="n"/>
      <c r="F321" s="40" t="n"/>
      <c r="G321" s="40" t="n"/>
      <c r="H321" s="43">
        <f>IF($A321="","",IF(COUNTIFS(العهد_الرقم,$A321,العهد_الحالة,"&lt;&gt;مسترجعة")&gt;0,"⚠ يوجد عهد غير مسترجعة","لا عهد معلقة"))</f>
        <v/>
      </c>
      <c r="I321" s="60" t="n"/>
      <c r="J321" s="40" t="n"/>
      <c r="K321" s="40" t="n"/>
      <c r="L321" s="40" t="n"/>
    </row>
    <row r="322">
      <c r="A322" s="47" t="n"/>
      <c r="B322" s="50">
        <f>IFERROR(INDEX(الموظفون_الاسم,MATCH($A322,الموظفون_الرقم,0)),"")</f>
        <v/>
      </c>
      <c r="C322" s="112" t="n"/>
      <c r="D322" s="47" t="n"/>
      <c r="E322" s="112" t="n"/>
      <c r="F322" s="47" t="n"/>
      <c r="G322" s="47" t="n"/>
      <c r="H322" s="50">
        <f>IF($A322="","",IF(COUNTIFS(العهد_الرقم,$A322,العهد_الحالة,"&lt;&gt;مسترجعة")&gt;0,"⚠ يوجد عهد غير مسترجعة","لا عهد معلقة"))</f>
        <v/>
      </c>
      <c r="I322" s="63" t="n"/>
      <c r="J322" s="47" t="n"/>
      <c r="K322" s="47" t="n"/>
      <c r="L322" s="47" t="n"/>
    </row>
    <row r="323">
      <c r="A323" s="40" t="n"/>
      <c r="B323" s="43">
        <f>IFERROR(INDEX(الموظفون_الاسم,MATCH($A323,الموظفون_الرقم,0)),"")</f>
        <v/>
      </c>
      <c r="C323" s="110" t="n"/>
      <c r="D323" s="40" t="n"/>
      <c r="E323" s="110" t="n"/>
      <c r="F323" s="40" t="n"/>
      <c r="G323" s="40" t="n"/>
      <c r="H323" s="43">
        <f>IF($A323="","",IF(COUNTIFS(العهد_الرقم,$A323,العهد_الحالة,"&lt;&gt;مسترجعة")&gt;0,"⚠ يوجد عهد غير مسترجعة","لا عهد معلقة"))</f>
        <v/>
      </c>
      <c r="I323" s="60" t="n"/>
      <c r="J323" s="40" t="n"/>
      <c r="K323" s="40" t="n"/>
      <c r="L323" s="40" t="n"/>
    </row>
    <row r="324">
      <c r="A324" s="47" t="n"/>
      <c r="B324" s="50">
        <f>IFERROR(INDEX(الموظفون_الاسم,MATCH($A324,الموظفون_الرقم,0)),"")</f>
        <v/>
      </c>
      <c r="C324" s="112" t="n"/>
      <c r="D324" s="47" t="n"/>
      <c r="E324" s="112" t="n"/>
      <c r="F324" s="47" t="n"/>
      <c r="G324" s="47" t="n"/>
      <c r="H324" s="50">
        <f>IF($A324="","",IF(COUNTIFS(العهد_الرقم,$A324,العهد_الحالة,"&lt;&gt;مسترجعة")&gt;0,"⚠ يوجد عهد غير مسترجعة","لا عهد معلقة"))</f>
        <v/>
      </c>
      <c r="I324" s="63" t="n"/>
      <c r="J324" s="47" t="n"/>
      <c r="K324" s="47" t="n"/>
      <c r="L324" s="47" t="n"/>
    </row>
    <row r="325">
      <c r="A325" s="40" t="n"/>
      <c r="B325" s="43">
        <f>IFERROR(INDEX(الموظفون_الاسم,MATCH($A325,الموظفون_الرقم,0)),"")</f>
        <v/>
      </c>
      <c r="C325" s="110" t="n"/>
      <c r="D325" s="40" t="n"/>
      <c r="E325" s="110" t="n"/>
      <c r="F325" s="40" t="n"/>
      <c r="G325" s="40" t="n"/>
      <c r="H325" s="43">
        <f>IF($A325="","",IF(COUNTIFS(العهد_الرقم,$A325,العهد_الحالة,"&lt;&gt;مسترجعة")&gt;0,"⚠ يوجد عهد غير مسترجعة","لا عهد معلقة"))</f>
        <v/>
      </c>
      <c r="I325" s="60" t="n"/>
      <c r="J325" s="40" t="n"/>
      <c r="K325" s="40" t="n"/>
      <c r="L325" s="40" t="n"/>
    </row>
    <row r="326">
      <c r="A326" s="47" t="n"/>
      <c r="B326" s="50">
        <f>IFERROR(INDEX(الموظفون_الاسم,MATCH($A326,الموظفون_الرقم,0)),"")</f>
        <v/>
      </c>
      <c r="C326" s="112" t="n"/>
      <c r="D326" s="47" t="n"/>
      <c r="E326" s="112" t="n"/>
      <c r="F326" s="47" t="n"/>
      <c r="G326" s="47" t="n"/>
      <c r="H326" s="50">
        <f>IF($A326="","",IF(COUNTIFS(العهد_الرقم,$A326,العهد_الحالة,"&lt;&gt;مسترجعة")&gt;0,"⚠ يوجد عهد غير مسترجعة","لا عهد معلقة"))</f>
        <v/>
      </c>
      <c r="I326" s="63" t="n"/>
      <c r="J326" s="47" t="n"/>
      <c r="K326" s="47" t="n"/>
      <c r="L326" s="47" t="n"/>
    </row>
    <row r="327">
      <c r="A327" s="40" t="n"/>
      <c r="B327" s="43">
        <f>IFERROR(INDEX(الموظفون_الاسم,MATCH($A327,الموظفون_الرقم,0)),"")</f>
        <v/>
      </c>
      <c r="C327" s="110" t="n"/>
      <c r="D327" s="40" t="n"/>
      <c r="E327" s="110" t="n"/>
      <c r="F327" s="40" t="n"/>
      <c r="G327" s="40" t="n"/>
      <c r="H327" s="43">
        <f>IF($A327="","",IF(COUNTIFS(العهد_الرقم,$A327,العهد_الحالة,"&lt;&gt;مسترجعة")&gt;0,"⚠ يوجد عهد غير مسترجعة","لا عهد معلقة"))</f>
        <v/>
      </c>
      <c r="I327" s="60" t="n"/>
      <c r="J327" s="40" t="n"/>
      <c r="K327" s="40" t="n"/>
      <c r="L327" s="40" t="n"/>
    </row>
    <row r="328">
      <c r="A328" s="47" t="n"/>
      <c r="B328" s="50">
        <f>IFERROR(INDEX(الموظفون_الاسم,MATCH($A328,الموظفون_الرقم,0)),"")</f>
        <v/>
      </c>
      <c r="C328" s="112" t="n"/>
      <c r="D328" s="47" t="n"/>
      <c r="E328" s="112" t="n"/>
      <c r="F328" s="47" t="n"/>
      <c r="G328" s="47" t="n"/>
      <c r="H328" s="50">
        <f>IF($A328="","",IF(COUNTIFS(العهد_الرقم,$A328,العهد_الحالة,"&lt;&gt;مسترجعة")&gt;0,"⚠ يوجد عهد غير مسترجعة","لا عهد معلقة"))</f>
        <v/>
      </c>
      <c r="I328" s="63" t="n"/>
      <c r="J328" s="47" t="n"/>
      <c r="K328" s="47" t="n"/>
      <c r="L328" s="47" t="n"/>
    </row>
    <row r="329">
      <c r="A329" s="40" t="n"/>
      <c r="B329" s="43">
        <f>IFERROR(INDEX(الموظفون_الاسم,MATCH($A329,الموظفون_الرقم,0)),"")</f>
        <v/>
      </c>
      <c r="C329" s="110" t="n"/>
      <c r="D329" s="40" t="n"/>
      <c r="E329" s="110" t="n"/>
      <c r="F329" s="40" t="n"/>
      <c r="G329" s="40" t="n"/>
      <c r="H329" s="43">
        <f>IF($A329="","",IF(COUNTIFS(العهد_الرقم,$A329,العهد_الحالة,"&lt;&gt;مسترجعة")&gt;0,"⚠ يوجد عهد غير مسترجعة","لا عهد معلقة"))</f>
        <v/>
      </c>
      <c r="I329" s="60" t="n"/>
      <c r="J329" s="40" t="n"/>
      <c r="K329" s="40" t="n"/>
      <c r="L329" s="40" t="n"/>
    </row>
    <row r="330">
      <c r="A330" s="47" t="n"/>
      <c r="B330" s="50">
        <f>IFERROR(INDEX(الموظفون_الاسم,MATCH($A330,الموظفون_الرقم,0)),"")</f>
        <v/>
      </c>
      <c r="C330" s="112" t="n"/>
      <c r="D330" s="47" t="n"/>
      <c r="E330" s="112" t="n"/>
      <c r="F330" s="47" t="n"/>
      <c r="G330" s="47" t="n"/>
      <c r="H330" s="50">
        <f>IF($A330="","",IF(COUNTIFS(العهد_الرقم,$A330,العهد_الحالة,"&lt;&gt;مسترجعة")&gt;0,"⚠ يوجد عهد غير مسترجعة","لا عهد معلقة"))</f>
        <v/>
      </c>
      <c r="I330" s="63" t="n"/>
      <c r="J330" s="47" t="n"/>
      <c r="K330" s="47" t="n"/>
      <c r="L330" s="47" t="n"/>
    </row>
    <row r="331">
      <c r="A331" s="40" t="n"/>
      <c r="B331" s="43">
        <f>IFERROR(INDEX(الموظفون_الاسم,MATCH($A331,الموظفون_الرقم,0)),"")</f>
        <v/>
      </c>
      <c r="C331" s="110" t="n"/>
      <c r="D331" s="40" t="n"/>
      <c r="E331" s="110" t="n"/>
      <c r="F331" s="40" t="n"/>
      <c r="G331" s="40" t="n"/>
      <c r="H331" s="43">
        <f>IF($A331="","",IF(COUNTIFS(العهد_الرقم,$A331,العهد_الحالة,"&lt;&gt;مسترجعة")&gt;0,"⚠ يوجد عهد غير مسترجعة","لا عهد معلقة"))</f>
        <v/>
      </c>
      <c r="I331" s="60" t="n"/>
      <c r="J331" s="40" t="n"/>
      <c r="K331" s="40" t="n"/>
      <c r="L331" s="40" t="n"/>
    </row>
    <row r="332">
      <c r="A332" s="47" t="n"/>
      <c r="B332" s="50">
        <f>IFERROR(INDEX(الموظفون_الاسم,MATCH($A332,الموظفون_الرقم,0)),"")</f>
        <v/>
      </c>
      <c r="C332" s="112" t="n"/>
      <c r="D332" s="47" t="n"/>
      <c r="E332" s="112" t="n"/>
      <c r="F332" s="47" t="n"/>
      <c r="G332" s="47" t="n"/>
      <c r="H332" s="50">
        <f>IF($A332="","",IF(COUNTIFS(العهد_الرقم,$A332,العهد_الحالة,"&lt;&gt;مسترجعة")&gt;0,"⚠ يوجد عهد غير مسترجعة","لا عهد معلقة"))</f>
        <v/>
      </c>
      <c r="I332" s="63" t="n"/>
      <c r="J332" s="47" t="n"/>
      <c r="K332" s="47" t="n"/>
      <c r="L332" s="47" t="n"/>
    </row>
    <row r="333">
      <c r="A333" s="40" t="n"/>
      <c r="B333" s="43">
        <f>IFERROR(INDEX(الموظفون_الاسم,MATCH($A333,الموظفون_الرقم,0)),"")</f>
        <v/>
      </c>
      <c r="C333" s="110" t="n"/>
      <c r="D333" s="40" t="n"/>
      <c r="E333" s="110" t="n"/>
      <c r="F333" s="40" t="n"/>
      <c r="G333" s="40" t="n"/>
      <c r="H333" s="43">
        <f>IF($A333="","",IF(COUNTIFS(العهد_الرقم,$A333,العهد_الحالة,"&lt;&gt;مسترجعة")&gt;0,"⚠ يوجد عهد غير مسترجعة","لا عهد معلقة"))</f>
        <v/>
      </c>
      <c r="I333" s="60" t="n"/>
      <c r="J333" s="40" t="n"/>
      <c r="K333" s="40" t="n"/>
      <c r="L333" s="40" t="n"/>
    </row>
    <row r="334">
      <c r="A334" s="47" t="n"/>
      <c r="B334" s="50">
        <f>IFERROR(INDEX(الموظفون_الاسم,MATCH($A334,الموظفون_الرقم,0)),"")</f>
        <v/>
      </c>
      <c r="C334" s="112" t="n"/>
      <c r="D334" s="47" t="n"/>
      <c r="E334" s="112" t="n"/>
      <c r="F334" s="47" t="n"/>
      <c r="G334" s="47" t="n"/>
      <c r="H334" s="50">
        <f>IF($A334="","",IF(COUNTIFS(العهد_الرقم,$A334,العهد_الحالة,"&lt;&gt;مسترجعة")&gt;0,"⚠ يوجد عهد غير مسترجعة","لا عهد معلقة"))</f>
        <v/>
      </c>
      <c r="I334" s="63" t="n"/>
      <c r="J334" s="47" t="n"/>
      <c r="K334" s="47" t="n"/>
      <c r="L334" s="47" t="n"/>
    </row>
    <row r="335">
      <c r="A335" s="40" t="n"/>
      <c r="B335" s="43">
        <f>IFERROR(INDEX(الموظفون_الاسم,MATCH($A335,الموظفون_الرقم,0)),"")</f>
        <v/>
      </c>
      <c r="C335" s="110" t="n"/>
      <c r="D335" s="40" t="n"/>
      <c r="E335" s="110" t="n"/>
      <c r="F335" s="40" t="n"/>
      <c r="G335" s="40" t="n"/>
      <c r="H335" s="43">
        <f>IF($A335="","",IF(COUNTIFS(العهد_الرقم,$A335,العهد_الحالة,"&lt;&gt;مسترجعة")&gt;0,"⚠ يوجد عهد غير مسترجعة","لا عهد معلقة"))</f>
        <v/>
      </c>
      <c r="I335" s="60" t="n"/>
      <c r="J335" s="40" t="n"/>
      <c r="K335" s="40" t="n"/>
      <c r="L335" s="40" t="n"/>
    </row>
    <row r="336">
      <c r="A336" s="47" t="n"/>
      <c r="B336" s="50">
        <f>IFERROR(INDEX(الموظفون_الاسم,MATCH($A336,الموظفون_الرقم,0)),"")</f>
        <v/>
      </c>
      <c r="C336" s="112" t="n"/>
      <c r="D336" s="47" t="n"/>
      <c r="E336" s="112" t="n"/>
      <c r="F336" s="47" t="n"/>
      <c r="G336" s="47" t="n"/>
      <c r="H336" s="50">
        <f>IF($A336="","",IF(COUNTIFS(العهد_الرقم,$A336,العهد_الحالة,"&lt;&gt;مسترجعة")&gt;0,"⚠ يوجد عهد غير مسترجعة","لا عهد معلقة"))</f>
        <v/>
      </c>
      <c r="I336" s="63" t="n"/>
      <c r="J336" s="47" t="n"/>
      <c r="K336" s="47" t="n"/>
      <c r="L336" s="47" t="n"/>
    </row>
    <row r="337">
      <c r="A337" s="40" t="n"/>
      <c r="B337" s="43">
        <f>IFERROR(INDEX(الموظفون_الاسم,MATCH($A337,الموظفون_الرقم,0)),"")</f>
        <v/>
      </c>
      <c r="C337" s="110" t="n"/>
      <c r="D337" s="40" t="n"/>
      <c r="E337" s="110" t="n"/>
      <c r="F337" s="40" t="n"/>
      <c r="G337" s="40" t="n"/>
      <c r="H337" s="43">
        <f>IF($A337="","",IF(COUNTIFS(العهد_الرقم,$A337,العهد_الحالة,"&lt;&gt;مسترجعة")&gt;0,"⚠ يوجد عهد غير مسترجعة","لا عهد معلقة"))</f>
        <v/>
      </c>
      <c r="I337" s="60" t="n"/>
      <c r="J337" s="40" t="n"/>
      <c r="K337" s="40" t="n"/>
      <c r="L337" s="40" t="n"/>
    </row>
    <row r="338">
      <c r="A338" s="47" t="n"/>
      <c r="B338" s="50">
        <f>IFERROR(INDEX(الموظفون_الاسم,MATCH($A338,الموظفون_الرقم,0)),"")</f>
        <v/>
      </c>
      <c r="C338" s="112" t="n"/>
      <c r="D338" s="47" t="n"/>
      <c r="E338" s="112" t="n"/>
      <c r="F338" s="47" t="n"/>
      <c r="G338" s="47" t="n"/>
      <c r="H338" s="50">
        <f>IF($A338="","",IF(COUNTIFS(العهد_الرقم,$A338,العهد_الحالة,"&lt;&gt;مسترجعة")&gt;0,"⚠ يوجد عهد غير مسترجعة","لا عهد معلقة"))</f>
        <v/>
      </c>
      <c r="I338" s="63" t="n"/>
      <c r="J338" s="47" t="n"/>
      <c r="K338" s="47" t="n"/>
      <c r="L338" s="47" t="n"/>
    </row>
    <row r="339">
      <c r="A339" s="40" t="n"/>
      <c r="B339" s="43">
        <f>IFERROR(INDEX(الموظفون_الاسم,MATCH($A339,الموظفون_الرقم,0)),"")</f>
        <v/>
      </c>
      <c r="C339" s="110" t="n"/>
      <c r="D339" s="40" t="n"/>
      <c r="E339" s="110" t="n"/>
      <c r="F339" s="40" t="n"/>
      <c r="G339" s="40" t="n"/>
      <c r="H339" s="43">
        <f>IF($A339="","",IF(COUNTIFS(العهد_الرقم,$A339,العهد_الحالة,"&lt;&gt;مسترجعة")&gt;0,"⚠ يوجد عهد غير مسترجعة","لا عهد معلقة"))</f>
        <v/>
      </c>
      <c r="I339" s="60" t="n"/>
      <c r="J339" s="40" t="n"/>
      <c r="K339" s="40" t="n"/>
      <c r="L339" s="40" t="n"/>
    </row>
    <row r="340">
      <c r="A340" s="47" t="n"/>
      <c r="B340" s="50">
        <f>IFERROR(INDEX(الموظفون_الاسم,MATCH($A340,الموظفون_الرقم,0)),"")</f>
        <v/>
      </c>
      <c r="C340" s="112" t="n"/>
      <c r="D340" s="47" t="n"/>
      <c r="E340" s="112" t="n"/>
      <c r="F340" s="47" t="n"/>
      <c r="G340" s="47" t="n"/>
      <c r="H340" s="50">
        <f>IF($A340="","",IF(COUNTIFS(العهد_الرقم,$A340,العهد_الحالة,"&lt;&gt;مسترجعة")&gt;0,"⚠ يوجد عهد غير مسترجعة","لا عهد معلقة"))</f>
        <v/>
      </c>
      <c r="I340" s="63" t="n"/>
      <c r="J340" s="47" t="n"/>
      <c r="K340" s="47" t="n"/>
      <c r="L340" s="47" t="n"/>
    </row>
    <row r="341">
      <c r="A341" s="40" t="n"/>
      <c r="B341" s="43">
        <f>IFERROR(INDEX(الموظفون_الاسم,MATCH($A341,الموظفون_الرقم,0)),"")</f>
        <v/>
      </c>
      <c r="C341" s="110" t="n"/>
      <c r="D341" s="40" t="n"/>
      <c r="E341" s="110" t="n"/>
      <c r="F341" s="40" t="n"/>
      <c r="G341" s="40" t="n"/>
      <c r="H341" s="43">
        <f>IF($A341="","",IF(COUNTIFS(العهد_الرقم,$A341,العهد_الحالة,"&lt;&gt;مسترجعة")&gt;0,"⚠ يوجد عهد غير مسترجعة","لا عهد معلقة"))</f>
        <v/>
      </c>
      <c r="I341" s="60" t="n"/>
      <c r="J341" s="40" t="n"/>
      <c r="K341" s="40" t="n"/>
      <c r="L341" s="40" t="n"/>
    </row>
    <row r="342">
      <c r="A342" s="47" t="n"/>
      <c r="B342" s="50">
        <f>IFERROR(INDEX(الموظفون_الاسم,MATCH($A342,الموظفون_الرقم,0)),"")</f>
        <v/>
      </c>
      <c r="C342" s="112" t="n"/>
      <c r="D342" s="47" t="n"/>
      <c r="E342" s="112" t="n"/>
      <c r="F342" s="47" t="n"/>
      <c r="G342" s="47" t="n"/>
      <c r="H342" s="50">
        <f>IF($A342="","",IF(COUNTIFS(العهد_الرقم,$A342,العهد_الحالة,"&lt;&gt;مسترجعة")&gt;0,"⚠ يوجد عهد غير مسترجعة","لا عهد معلقة"))</f>
        <v/>
      </c>
      <c r="I342" s="63" t="n"/>
      <c r="J342" s="47" t="n"/>
      <c r="K342" s="47" t="n"/>
      <c r="L342" s="47" t="n"/>
    </row>
    <row r="343">
      <c r="A343" s="40" t="n"/>
      <c r="B343" s="43">
        <f>IFERROR(INDEX(الموظفون_الاسم,MATCH($A343,الموظفون_الرقم,0)),"")</f>
        <v/>
      </c>
      <c r="C343" s="110" t="n"/>
      <c r="D343" s="40" t="n"/>
      <c r="E343" s="110" t="n"/>
      <c r="F343" s="40" t="n"/>
      <c r="G343" s="40" t="n"/>
      <c r="H343" s="43">
        <f>IF($A343="","",IF(COUNTIFS(العهد_الرقم,$A343,العهد_الحالة,"&lt;&gt;مسترجعة")&gt;0,"⚠ يوجد عهد غير مسترجعة","لا عهد معلقة"))</f>
        <v/>
      </c>
      <c r="I343" s="60" t="n"/>
      <c r="J343" s="40" t="n"/>
      <c r="K343" s="40" t="n"/>
      <c r="L343" s="40" t="n"/>
    </row>
    <row r="344">
      <c r="A344" s="47" t="n"/>
      <c r="B344" s="50">
        <f>IFERROR(INDEX(الموظفون_الاسم,MATCH($A344,الموظفون_الرقم,0)),"")</f>
        <v/>
      </c>
      <c r="C344" s="112" t="n"/>
      <c r="D344" s="47" t="n"/>
      <c r="E344" s="112" t="n"/>
      <c r="F344" s="47" t="n"/>
      <c r="G344" s="47" t="n"/>
      <c r="H344" s="50">
        <f>IF($A344="","",IF(COUNTIFS(العهد_الرقم,$A344,العهد_الحالة,"&lt;&gt;مسترجعة")&gt;0,"⚠ يوجد عهد غير مسترجعة","لا عهد معلقة"))</f>
        <v/>
      </c>
      <c r="I344" s="63" t="n"/>
      <c r="J344" s="47" t="n"/>
      <c r="K344" s="47" t="n"/>
      <c r="L344" s="47" t="n"/>
    </row>
    <row r="345">
      <c r="A345" s="40" t="n"/>
      <c r="B345" s="43">
        <f>IFERROR(INDEX(الموظفون_الاسم,MATCH($A345,الموظفون_الرقم,0)),"")</f>
        <v/>
      </c>
      <c r="C345" s="110" t="n"/>
      <c r="D345" s="40" t="n"/>
      <c r="E345" s="110" t="n"/>
      <c r="F345" s="40" t="n"/>
      <c r="G345" s="40" t="n"/>
      <c r="H345" s="43">
        <f>IF($A345="","",IF(COUNTIFS(العهد_الرقم,$A345,العهد_الحالة,"&lt;&gt;مسترجعة")&gt;0,"⚠ يوجد عهد غير مسترجعة","لا عهد معلقة"))</f>
        <v/>
      </c>
      <c r="I345" s="60" t="n"/>
      <c r="J345" s="40" t="n"/>
      <c r="K345" s="40" t="n"/>
      <c r="L345" s="40" t="n"/>
    </row>
    <row r="346">
      <c r="A346" s="47" t="n"/>
      <c r="B346" s="50">
        <f>IFERROR(INDEX(الموظفون_الاسم,MATCH($A346,الموظفون_الرقم,0)),"")</f>
        <v/>
      </c>
      <c r="C346" s="112" t="n"/>
      <c r="D346" s="47" t="n"/>
      <c r="E346" s="112" t="n"/>
      <c r="F346" s="47" t="n"/>
      <c r="G346" s="47" t="n"/>
      <c r="H346" s="50">
        <f>IF($A346="","",IF(COUNTIFS(العهد_الرقم,$A346,العهد_الحالة,"&lt;&gt;مسترجعة")&gt;0,"⚠ يوجد عهد غير مسترجعة","لا عهد معلقة"))</f>
        <v/>
      </c>
      <c r="I346" s="63" t="n"/>
      <c r="J346" s="47" t="n"/>
      <c r="K346" s="47" t="n"/>
      <c r="L346" s="47" t="n"/>
    </row>
    <row r="347">
      <c r="A347" s="40" t="n"/>
      <c r="B347" s="43">
        <f>IFERROR(INDEX(الموظفون_الاسم,MATCH($A347,الموظفون_الرقم,0)),"")</f>
        <v/>
      </c>
      <c r="C347" s="110" t="n"/>
      <c r="D347" s="40" t="n"/>
      <c r="E347" s="110" t="n"/>
      <c r="F347" s="40" t="n"/>
      <c r="G347" s="40" t="n"/>
      <c r="H347" s="43">
        <f>IF($A347="","",IF(COUNTIFS(العهد_الرقم,$A347,العهد_الحالة,"&lt;&gt;مسترجعة")&gt;0,"⚠ يوجد عهد غير مسترجعة","لا عهد معلقة"))</f>
        <v/>
      </c>
      <c r="I347" s="60" t="n"/>
      <c r="J347" s="40" t="n"/>
      <c r="K347" s="40" t="n"/>
      <c r="L347" s="40" t="n"/>
    </row>
    <row r="348">
      <c r="A348" s="47" t="n"/>
      <c r="B348" s="50">
        <f>IFERROR(INDEX(الموظفون_الاسم,MATCH($A348,الموظفون_الرقم,0)),"")</f>
        <v/>
      </c>
      <c r="C348" s="112" t="n"/>
      <c r="D348" s="47" t="n"/>
      <c r="E348" s="112" t="n"/>
      <c r="F348" s="47" t="n"/>
      <c r="G348" s="47" t="n"/>
      <c r="H348" s="50">
        <f>IF($A348="","",IF(COUNTIFS(العهد_الرقم,$A348,العهد_الحالة,"&lt;&gt;مسترجعة")&gt;0,"⚠ يوجد عهد غير مسترجعة","لا عهد معلقة"))</f>
        <v/>
      </c>
      <c r="I348" s="63" t="n"/>
      <c r="J348" s="47" t="n"/>
      <c r="K348" s="47" t="n"/>
      <c r="L348" s="47" t="n"/>
    </row>
    <row r="349">
      <c r="A349" s="40" t="n"/>
      <c r="B349" s="43">
        <f>IFERROR(INDEX(الموظفون_الاسم,MATCH($A349,الموظفون_الرقم,0)),"")</f>
        <v/>
      </c>
      <c r="C349" s="110" t="n"/>
      <c r="D349" s="40" t="n"/>
      <c r="E349" s="110" t="n"/>
      <c r="F349" s="40" t="n"/>
      <c r="G349" s="40" t="n"/>
      <c r="H349" s="43">
        <f>IF($A349="","",IF(COUNTIFS(العهد_الرقم,$A349,العهد_الحالة,"&lt;&gt;مسترجعة")&gt;0,"⚠ يوجد عهد غير مسترجعة","لا عهد معلقة"))</f>
        <v/>
      </c>
      <c r="I349" s="60" t="n"/>
      <c r="J349" s="40" t="n"/>
      <c r="K349" s="40" t="n"/>
      <c r="L349" s="40" t="n"/>
    </row>
    <row r="350">
      <c r="A350" s="47" t="n"/>
      <c r="B350" s="50">
        <f>IFERROR(INDEX(الموظفون_الاسم,MATCH($A350,الموظفون_الرقم,0)),"")</f>
        <v/>
      </c>
      <c r="C350" s="112" t="n"/>
      <c r="D350" s="47" t="n"/>
      <c r="E350" s="112" t="n"/>
      <c r="F350" s="47" t="n"/>
      <c r="G350" s="47" t="n"/>
      <c r="H350" s="50">
        <f>IF($A350="","",IF(COUNTIFS(العهد_الرقم,$A350,العهد_الحالة,"&lt;&gt;مسترجعة")&gt;0,"⚠ يوجد عهد غير مسترجعة","لا عهد معلقة"))</f>
        <v/>
      </c>
      <c r="I350" s="63" t="n"/>
      <c r="J350" s="47" t="n"/>
      <c r="K350" s="47" t="n"/>
      <c r="L350" s="47" t="n"/>
    </row>
    <row r="351">
      <c r="A351" s="40" t="n"/>
      <c r="B351" s="43">
        <f>IFERROR(INDEX(الموظفون_الاسم,MATCH($A351,الموظفون_الرقم,0)),"")</f>
        <v/>
      </c>
      <c r="C351" s="110" t="n"/>
      <c r="D351" s="40" t="n"/>
      <c r="E351" s="110" t="n"/>
      <c r="F351" s="40" t="n"/>
      <c r="G351" s="40" t="n"/>
      <c r="H351" s="43">
        <f>IF($A351="","",IF(COUNTIFS(العهد_الرقم,$A351,العهد_الحالة,"&lt;&gt;مسترجعة")&gt;0,"⚠ يوجد عهد غير مسترجعة","لا عهد معلقة"))</f>
        <v/>
      </c>
      <c r="I351" s="60" t="n"/>
      <c r="J351" s="40" t="n"/>
      <c r="K351" s="40" t="n"/>
      <c r="L351" s="40" t="n"/>
    </row>
    <row r="352">
      <c r="A352" s="47" t="n"/>
      <c r="B352" s="50">
        <f>IFERROR(INDEX(الموظفون_الاسم,MATCH($A352,الموظفون_الرقم,0)),"")</f>
        <v/>
      </c>
      <c r="C352" s="112" t="n"/>
      <c r="D352" s="47" t="n"/>
      <c r="E352" s="112" t="n"/>
      <c r="F352" s="47" t="n"/>
      <c r="G352" s="47" t="n"/>
      <c r="H352" s="50">
        <f>IF($A352="","",IF(COUNTIFS(العهد_الرقم,$A352,العهد_الحالة,"&lt;&gt;مسترجعة")&gt;0,"⚠ يوجد عهد غير مسترجعة","لا عهد معلقة"))</f>
        <v/>
      </c>
      <c r="I352" s="63" t="n"/>
      <c r="J352" s="47" t="n"/>
      <c r="K352" s="47" t="n"/>
      <c r="L352" s="47" t="n"/>
    </row>
    <row r="353">
      <c r="A353" s="40" t="n"/>
      <c r="B353" s="43">
        <f>IFERROR(INDEX(الموظفون_الاسم,MATCH($A353,الموظفون_الرقم,0)),"")</f>
        <v/>
      </c>
      <c r="C353" s="110" t="n"/>
      <c r="D353" s="40" t="n"/>
      <c r="E353" s="110" t="n"/>
      <c r="F353" s="40" t="n"/>
      <c r="G353" s="40" t="n"/>
      <c r="H353" s="43">
        <f>IF($A353="","",IF(COUNTIFS(العهد_الرقم,$A353,العهد_الحالة,"&lt;&gt;مسترجعة")&gt;0,"⚠ يوجد عهد غير مسترجعة","لا عهد معلقة"))</f>
        <v/>
      </c>
      <c r="I353" s="60" t="n"/>
      <c r="J353" s="40" t="n"/>
      <c r="K353" s="40" t="n"/>
      <c r="L353" s="40" t="n"/>
    </row>
    <row r="354">
      <c r="A354" s="47" t="n"/>
      <c r="B354" s="50">
        <f>IFERROR(INDEX(الموظفون_الاسم,MATCH($A354,الموظفون_الرقم,0)),"")</f>
        <v/>
      </c>
      <c r="C354" s="112" t="n"/>
      <c r="D354" s="47" t="n"/>
      <c r="E354" s="112" t="n"/>
      <c r="F354" s="47" t="n"/>
      <c r="G354" s="47" t="n"/>
      <c r="H354" s="50">
        <f>IF($A354="","",IF(COUNTIFS(العهد_الرقم,$A354,العهد_الحالة,"&lt;&gt;مسترجعة")&gt;0,"⚠ يوجد عهد غير مسترجعة","لا عهد معلقة"))</f>
        <v/>
      </c>
      <c r="I354" s="63" t="n"/>
      <c r="J354" s="47" t="n"/>
      <c r="K354" s="47" t="n"/>
      <c r="L354" s="47" t="n"/>
    </row>
    <row r="355">
      <c r="A355" s="40" t="n"/>
      <c r="B355" s="43">
        <f>IFERROR(INDEX(الموظفون_الاسم,MATCH($A355,الموظفون_الرقم,0)),"")</f>
        <v/>
      </c>
      <c r="C355" s="110" t="n"/>
      <c r="D355" s="40" t="n"/>
      <c r="E355" s="110" t="n"/>
      <c r="F355" s="40" t="n"/>
      <c r="G355" s="40" t="n"/>
      <c r="H355" s="43">
        <f>IF($A355="","",IF(COUNTIFS(العهد_الرقم,$A355,العهد_الحالة,"&lt;&gt;مسترجعة")&gt;0,"⚠ يوجد عهد غير مسترجعة","لا عهد معلقة"))</f>
        <v/>
      </c>
      <c r="I355" s="60" t="n"/>
      <c r="J355" s="40" t="n"/>
      <c r="K355" s="40" t="n"/>
      <c r="L355" s="40" t="n"/>
    </row>
    <row r="356">
      <c r="A356" s="47" t="n"/>
      <c r="B356" s="50">
        <f>IFERROR(INDEX(الموظفون_الاسم,MATCH($A356,الموظفون_الرقم,0)),"")</f>
        <v/>
      </c>
      <c r="C356" s="112" t="n"/>
      <c r="D356" s="47" t="n"/>
      <c r="E356" s="112" t="n"/>
      <c r="F356" s="47" t="n"/>
      <c r="G356" s="47" t="n"/>
      <c r="H356" s="50">
        <f>IF($A356="","",IF(COUNTIFS(العهد_الرقم,$A356,العهد_الحالة,"&lt;&gt;مسترجعة")&gt;0,"⚠ يوجد عهد غير مسترجعة","لا عهد معلقة"))</f>
        <v/>
      </c>
      <c r="I356" s="63" t="n"/>
      <c r="J356" s="47" t="n"/>
      <c r="K356" s="47" t="n"/>
      <c r="L356" s="47" t="n"/>
    </row>
    <row r="357">
      <c r="A357" s="40" t="n"/>
      <c r="B357" s="43">
        <f>IFERROR(INDEX(الموظفون_الاسم,MATCH($A357,الموظفون_الرقم,0)),"")</f>
        <v/>
      </c>
      <c r="C357" s="110" t="n"/>
      <c r="D357" s="40" t="n"/>
      <c r="E357" s="110" t="n"/>
      <c r="F357" s="40" t="n"/>
      <c r="G357" s="40" t="n"/>
      <c r="H357" s="43">
        <f>IF($A357="","",IF(COUNTIFS(العهد_الرقم,$A357,العهد_الحالة,"&lt;&gt;مسترجعة")&gt;0,"⚠ يوجد عهد غير مسترجعة","لا عهد معلقة"))</f>
        <v/>
      </c>
      <c r="I357" s="60" t="n"/>
      <c r="J357" s="40" t="n"/>
      <c r="K357" s="40" t="n"/>
      <c r="L357" s="40" t="n"/>
    </row>
    <row r="358">
      <c r="A358" s="47" t="n"/>
      <c r="B358" s="50">
        <f>IFERROR(INDEX(الموظفون_الاسم,MATCH($A358,الموظفون_الرقم,0)),"")</f>
        <v/>
      </c>
      <c r="C358" s="112" t="n"/>
      <c r="D358" s="47" t="n"/>
      <c r="E358" s="112" t="n"/>
      <c r="F358" s="47" t="n"/>
      <c r="G358" s="47" t="n"/>
      <c r="H358" s="50">
        <f>IF($A358="","",IF(COUNTIFS(العهد_الرقم,$A358,العهد_الحالة,"&lt;&gt;مسترجعة")&gt;0,"⚠ يوجد عهد غير مسترجعة","لا عهد معلقة"))</f>
        <v/>
      </c>
      <c r="I358" s="63" t="n"/>
      <c r="J358" s="47" t="n"/>
      <c r="K358" s="47" t="n"/>
      <c r="L358" s="47" t="n"/>
    </row>
    <row r="359">
      <c r="A359" s="40" t="n"/>
      <c r="B359" s="43">
        <f>IFERROR(INDEX(الموظفون_الاسم,MATCH($A359,الموظفون_الرقم,0)),"")</f>
        <v/>
      </c>
      <c r="C359" s="110" t="n"/>
      <c r="D359" s="40" t="n"/>
      <c r="E359" s="110" t="n"/>
      <c r="F359" s="40" t="n"/>
      <c r="G359" s="40" t="n"/>
      <c r="H359" s="43">
        <f>IF($A359="","",IF(COUNTIFS(العهد_الرقم,$A359,العهد_الحالة,"&lt;&gt;مسترجعة")&gt;0,"⚠ يوجد عهد غير مسترجعة","لا عهد معلقة"))</f>
        <v/>
      </c>
      <c r="I359" s="60" t="n"/>
      <c r="J359" s="40" t="n"/>
      <c r="K359" s="40" t="n"/>
      <c r="L359" s="40" t="n"/>
    </row>
    <row r="360">
      <c r="A360" s="47" t="n"/>
      <c r="B360" s="50">
        <f>IFERROR(INDEX(الموظفون_الاسم,MATCH($A360,الموظفون_الرقم,0)),"")</f>
        <v/>
      </c>
      <c r="C360" s="112" t="n"/>
      <c r="D360" s="47" t="n"/>
      <c r="E360" s="112" t="n"/>
      <c r="F360" s="47" t="n"/>
      <c r="G360" s="47" t="n"/>
      <c r="H360" s="50">
        <f>IF($A360="","",IF(COUNTIFS(العهد_الرقم,$A360,العهد_الحالة,"&lt;&gt;مسترجعة")&gt;0,"⚠ يوجد عهد غير مسترجعة","لا عهد معلقة"))</f>
        <v/>
      </c>
      <c r="I360" s="63" t="n"/>
      <c r="J360" s="47" t="n"/>
      <c r="K360" s="47" t="n"/>
      <c r="L360" s="47" t="n"/>
    </row>
    <row r="361">
      <c r="A361" s="40" t="n"/>
      <c r="B361" s="43">
        <f>IFERROR(INDEX(الموظفون_الاسم,MATCH($A361,الموظفون_الرقم,0)),"")</f>
        <v/>
      </c>
      <c r="C361" s="110" t="n"/>
      <c r="D361" s="40" t="n"/>
      <c r="E361" s="110" t="n"/>
      <c r="F361" s="40" t="n"/>
      <c r="G361" s="40" t="n"/>
      <c r="H361" s="43">
        <f>IF($A361="","",IF(COUNTIFS(العهد_الرقم,$A361,العهد_الحالة,"&lt;&gt;مسترجعة")&gt;0,"⚠ يوجد عهد غير مسترجعة","لا عهد معلقة"))</f>
        <v/>
      </c>
      <c r="I361" s="60" t="n"/>
      <c r="J361" s="40" t="n"/>
      <c r="K361" s="40" t="n"/>
      <c r="L361" s="40" t="n"/>
    </row>
    <row r="362">
      <c r="A362" s="47" t="n"/>
      <c r="B362" s="50">
        <f>IFERROR(INDEX(الموظفون_الاسم,MATCH($A362,الموظفون_الرقم,0)),"")</f>
        <v/>
      </c>
      <c r="C362" s="112" t="n"/>
      <c r="D362" s="47" t="n"/>
      <c r="E362" s="112" t="n"/>
      <c r="F362" s="47" t="n"/>
      <c r="G362" s="47" t="n"/>
      <c r="H362" s="50">
        <f>IF($A362="","",IF(COUNTIFS(العهد_الرقم,$A362,العهد_الحالة,"&lt;&gt;مسترجعة")&gt;0,"⚠ يوجد عهد غير مسترجعة","لا عهد معلقة"))</f>
        <v/>
      </c>
      <c r="I362" s="63" t="n"/>
      <c r="J362" s="47" t="n"/>
      <c r="K362" s="47" t="n"/>
      <c r="L362" s="47" t="n"/>
    </row>
    <row r="363">
      <c r="A363" s="40" t="n"/>
      <c r="B363" s="43">
        <f>IFERROR(INDEX(الموظفون_الاسم,MATCH($A363,الموظفون_الرقم,0)),"")</f>
        <v/>
      </c>
      <c r="C363" s="110" t="n"/>
      <c r="D363" s="40" t="n"/>
      <c r="E363" s="110" t="n"/>
      <c r="F363" s="40" t="n"/>
      <c r="G363" s="40" t="n"/>
      <c r="H363" s="43">
        <f>IF($A363="","",IF(COUNTIFS(العهد_الرقم,$A363,العهد_الحالة,"&lt;&gt;مسترجعة")&gt;0,"⚠ يوجد عهد غير مسترجعة","لا عهد معلقة"))</f>
        <v/>
      </c>
      <c r="I363" s="60" t="n"/>
      <c r="J363" s="40" t="n"/>
      <c r="K363" s="40" t="n"/>
      <c r="L363" s="40" t="n"/>
    </row>
    <row r="364">
      <c r="A364" s="47" t="n"/>
      <c r="B364" s="50">
        <f>IFERROR(INDEX(الموظفون_الاسم,MATCH($A364,الموظفون_الرقم,0)),"")</f>
        <v/>
      </c>
      <c r="C364" s="112" t="n"/>
      <c r="D364" s="47" t="n"/>
      <c r="E364" s="112" t="n"/>
      <c r="F364" s="47" t="n"/>
      <c r="G364" s="47" t="n"/>
      <c r="H364" s="50">
        <f>IF($A364="","",IF(COUNTIFS(العهد_الرقم,$A364,العهد_الحالة,"&lt;&gt;مسترجعة")&gt;0,"⚠ يوجد عهد غير مسترجعة","لا عهد معلقة"))</f>
        <v/>
      </c>
      <c r="I364" s="63" t="n"/>
      <c r="J364" s="47" t="n"/>
      <c r="K364" s="47" t="n"/>
      <c r="L364" s="47" t="n"/>
    </row>
    <row r="365">
      <c r="A365" s="40" t="n"/>
      <c r="B365" s="43">
        <f>IFERROR(INDEX(الموظفون_الاسم,MATCH($A365,الموظفون_الرقم,0)),"")</f>
        <v/>
      </c>
      <c r="C365" s="110" t="n"/>
      <c r="D365" s="40" t="n"/>
      <c r="E365" s="110" t="n"/>
      <c r="F365" s="40" t="n"/>
      <c r="G365" s="40" t="n"/>
      <c r="H365" s="43">
        <f>IF($A365="","",IF(COUNTIFS(العهد_الرقم,$A365,العهد_الحالة,"&lt;&gt;مسترجعة")&gt;0,"⚠ يوجد عهد غير مسترجعة","لا عهد معلقة"))</f>
        <v/>
      </c>
      <c r="I365" s="60" t="n"/>
      <c r="J365" s="40" t="n"/>
      <c r="K365" s="40" t="n"/>
      <c r="L365" s="40" t="n"/>
    </row>
    <row r="366">
      <c r="A366" s="47" t="n"/>
      <c r="B366" s="50">
        <f>IFERROR(INDEX(الموظفون_الاسم,MATCH($A366,الموظفون_الرقم,0)),"")</f>
        <v/>
      </c>
      <c r="C366" s="112" t="n"/>
      <c r="D366" s="47" t="n"/>
      <c r="E366" s="112" t="n"/>
      <c r="F366" s="47" t="n"/>
      <c r="G366" s="47" t="n"/>
      <c r="H366" s="50">
        <f>IF($A366="","",IF(COUNTIFS(العهد_الرقم,$A366,العهد_الحالة,"&lt;&gt;مسترجعة")&gt;0,"⚠ يوجد عهد غير مسترجعة","لا عهد معلقة"))</f>
        <v/>
      </c>
      <c r="I366" s="63" t="n"/>
      <c r="J366" s="47" t="n"/>
      <c r="K366" s="47" t="n"/>
      <c r="L366" s="47" t="n"/>
    </row>
    <row r="367">
      <c r="A367" s="40" t="n"/>
      <c r="B367" s="43">
        <f>IFERROR(INDEX(الموظفون_الاسم,MATCH($A367,الموظفون_الرقم,0)),"")</f>
        <v/>
      </c>
      <c r="C367" s="110" t="n"/>
      <c r="D367" s="40" t="n"/>
      <c r="E367" s="110" t="n"/>
      <c r="F367" s="40" t="n"/>
      <c r="G367" s="40" t="n"/>
      <c r="H367" s="43">
        <f>IF($A367="","",IF(COUNTIFS(العهد_الرقم,$A367,العهد_الحالة,"&lt;&gt;مسترجعة")&gt;0,"⚠ يوجد عهد غير مسترجعة","لا عهد معلقة"))</f>
        <v/>
      </c>
      <c r="I367" s="60" t="n"/>
      <c r="J367" s="40" t="n"/>
      <c r="K367" s="40" t="n"/>
      <c r="L367" s="40" t="n"/>
    </row>
    <row r="368">
      <c r="A368" s="47" t="n"/>
      <c r="B368" s="50">
        <f>IFERROR(INDEX(الموظفون_الاسم,MATCH($A368,الموظفون_الرقم,0)),"")</f>
        <v/>
      </c>
      <c r="C368" s="112" t="n"/>
      <c r="D368" s="47" t="n"/>
      <c r="E368" s="112" t="n"/>
      <c r="F368" s="47" t="n"/>
      <c r="G368" s="47" t="n"/>
      <c r="H368" s="50">
        <f>IF($A368="","",IF(COUNTIFS(العهد_الرقم,$A368,العهد_الحالة,"&lt;&gt;مسترجعة")&gt;0,"⚠ يوجد عهد غير مسترجعة","لا عهد معلقة"))</f>
        <v/>
      </c>
      <c r="I368" s="63" t="n"/>
      <c r="J368" s="47" t="n"/>
      <c r="K368" s="47" t="n"/>
      <c r="L368" s="47" t="n"/>
    </row>
    <row r="369">
      <c r="A369" s="40" t="n"/>
      <c r="B369" s="43">
        <f>IFERROR(INDEX(الموظفون_الاسم,MATCH($A369,الموظفون_الرقم,0)),"")</f>
        <v/>
      </c>
      <c r="C369" s="110" t="n"/>
      <c r="D369" s="40" t="n"/>
      <c r="E369" s="110" t="n"/>
      <c r="F369" s="40" t="n"/>
      <c r="G369" s="40" t="n"/>
      <c r="H369" s="43">
        <f>IF($A369="","",IF(COUNTIFS(العهد_الرقم,$A369,العهد_الحالة,"&lt;&gt;مسترجعة")&gt;0,"⚠ يوجد عهد غير مسترجعة","لا عهد معلقة"))</f>
        <v/>
      </c>
      <c r="I369" s="60" t="n"/>
      <c r="J369" s="40" t="n"/>
      <c r="K369" s="40" t="n"/>
      <c r="L369" s="40" t="n"/>
    </row>
    <row r="370">
      <c r="A370" s="47" t="n"/>
      <c r="B370" s="50">
        <f>IFERROR(INDEX(الموظفون_الاسم,MATCH($A370,الموظفون_الرقم,0)),"")</f>
        <v/>
      </c>
      <c r="C370" s="112" t="n"/>
      <c r="D370" s="47" t="n"/>
      <c r="E370" s="112" t="n"/>
      <c r="F370" s="47" t="n"/>
      <c r="G370" s="47" t="n"/>
      <c r="H370" s="50">
        <f>IF($A370="","",IF(COUNTIFS(العهد_الرقم,$A370,العهد_الحالة,"&lt;&gt;مسترجعة")&gt;0,"⚠ يوجد عهد غير مسترجعة","لا عهد معلقة"))</f>
        <v/>
      </c>
      <c r="I370" s="63" t="n"/>
      <c r="J370" s="47" t="n"/>
      <c r="K370" s="47" t="n"/>
      <c r="L370" s="47" t="n"/>
    </row>
    <row r="371">
      <c r="A371" s="40" t="n"/>
      <c r="B371" s="43">
        <f>IFERROR(INDEX(الموظفون_الاسم,MATCH($A371,الموظفون_الرقم,0)),"")</f>
        <v/>
      </c>
      <c r="C371" s="110" t="n"/>
      <c r="D371" s="40" t="n"/>
      <c r="E371" s="110" t="n"/>
      <c r="F371" s="40" t="n"/>
      <c r="G371" s="40" t="n"/>
      <c r="H371" s="43">
        <f>IF($A371="","",IF(COUNTIFS(العهد_الرقم,$A371,العهد_الحالة,"&lt;&gt;مسترجعة")&gt;0,"⚠ يوجد عهد غير مسترجعة","لا عهد معلقة"))</f>
        <v/>
      </c>
      <c r="I371" s="60" t="n"/>
      <c r="J371" s="40" t="n"/>
      <c r="K371" s="40" t="n"/>
      <c r="L371" s="40" t="n"/>
    </row>
    <row r="372">
      <c r="A372" s="47" t="n"/>
      <c r="B372" s="50">
        <f>IFERROR(INDEX(الموظفون_الاسم,MATCH($A372,الموظفون_الرقم,0)),"")</f>
        <v/>
      </c>
      <c r="C372" s="112" t="n"/>
      <c r="D372" s="47" t="n"/>
      <c r="E372" s="112" t="n"/>
      <c r="F372" s="47" t="n"/>
      <c r="G372" s="47" t="n"/>
      <c r="H372" s="50">
        <f>IF($A372="","",IF(COUNTIFS(العهد_الرقم,$A372,العهد_الحالة,"&lt;&gt;مسترجعة")&gt;0,"⚠ يوجد عهد غير مسترجعة","لا عهد معلقة"))</f>
        <v/>
      </c>
      <c r="I372" s="63" t="n"/>
      <c r="J372" s="47" t="n"/>
      <c r="K372" s="47" t="n"/>
      <c r="L372" s="47" t="n"/>
    </row>
    <row r="373">
      <c r="A373" s="40" t="n"/>
      <c r="B373" s="43">
        <f>IFERROR(INDEX(الموظفون_الاسم,MATCH($A373,الموظفون_الرقم,0)),"")</f>
        <v/>
      </c>
      <c r="C373" s="110" t="n"/>
      <c r="D373" s="40" t="n"/>
      <c r="E373" s="110" t="n"/>
      <c r="F373" s="40" t="n"/>
      <c r="G373" s="40" t="n"/>
      <c r="H373" s="43">
        <f>IF($A373="","",IF(COUNTIFS(العهد_الرقم,$A373,العهد_الحالة,"&lt;&gt;مسترجعة")&gt;0,"⚠ يوجد عهد غير مسترجعة","لا عهد معلقة"))</f>
        <v/>
      </c>
      <c r="I373" s="60" t="n"/>
      <c r="J373" s="40" t="n"/>
      <c r="K373" s="40" t="n"/>
      <c r="L373" s="40" t="n"/>
    </row>
    <row r="374">
      <c r="A374" s="47" t="n"/>
      <c r="B374" s="50">
        <f>IFERROR(INDEX(الموظفون_الاسم,MATCH($A374,الموظفون_الرقم,0)),"")</f>
        <v/>
      </c>
      <c r="C374" s="112" t="n"/>
      <c r="D374" s="47" t="n"/>
      <c r="E374" s="112" t="n"/>
      <c r="F374" s="47" t="n"/>
      <c r="G374" s="47" t="n"/>
      <c r="H374" s="50">
        <f>IF($A374="","",IF(COUNTIFS(العهد_الرقم,$A374,العهد_الحالة,"&lt;&gt;مسترجعة")&gt;0,"⚠ يوجد عهد غير مسترجعة","لا عهد معلقة"))</f>
        <v/>
      </c>
      <c r="I374" s="63" t="n"/>
      <c r="J374" s="47" t="n"/>
      <c r="K374" s="47" t="n"/>
      <c r="L374" s="47" t="n"/>
    </row>
    <row r="375">
      <c r="A375" s="40" t="n"/>
      <c r="B375" s="43">
        <f>IFERROR(INDEX(الموظفون_الاسم,MATCH($A375,الموظفون_الرقم,0)),"")</f>
        <v/>
      </c>
      <c r="C375" s="110" t="n"/>
      <c r="D375" s="40" t="n"/>
      <c r="E375" s="110" t="n"/>
      <c r="F375" s="40" t="n"/>
      <c r="G375" s="40" t="n"/>
      <c r="H375" s="43">
        <f>IF($A375="","",IF(COUNTIFS(العهد_الرقم,$A375,العهد_الحالة,"&lt;&gt;مسترجعة")&gt;0,"⚠ يوجد عهد غير مسترجعة","لا عهد معلقة"))</f>
        <v/>
      </c>
      <c r="I375" s="60" t="n"/>
      <c r="J375" s="40" t="n"/>
      <c r="K375" s="40" t="n"/>
      <c r="L375" s="40" t="n"/>
    </row>
    <row r="376">
      <c r="A376" s="47" t="n"/>
      <c r="B376" s="50">
        <f>IFERROR(INDEX(الموظفون_الاسم,MATCH($A376,الموظفون_الرقم,0)),"")</f>
        <v/>
      </c>
      <c r="C376" s="112" t="n"/>
      <c r="D376" s="47" t="n"/>
      <c r="E376" s="112" t="n"/>
      <c r="F376" s="47" t="n"/>
      <c r="G376" s="47" t="n"/>
      <c r="H376" s="50">
        <f>IF($A376="","",IF(COUNTIFS(العهد_الرقم,$A376,العهد_الحالة,"&lt;&gt;مسترجعة")&gt;0,"⚠ يوجد عهد غير مسترجعة","لا عهد معلقة"))</f>
        <v/>
      </c>
      <c r="I376" s="63" t="n"/>
      <c r="J376" s="47" t="n"/>
      <c r="K376" s="47" t="n"/>
      <c r="L376" s="47" t="n"/>
    </row>
    <row r="377">
      <c r="A377" s="40" t="n"/>
      <c r="B377" s="43">
        <f>IFERROR(INDEX(الموظفون_الاسم,MATCH($A377,الموظفون_الرقم,0)),"")</f>
        <v/>
      </c>
      <c r="C377" s="110" t="n"/>
      <c r="D377" s="40" t="n"/>
      <c r="E377" s="110" t="n"/>
      <c r="F377" s="40" t="n"/>
      <c r="G377" s="40" t="n"/>
      <c r="H377" s="43">
        <f>IF($A377="","",IF(COUNTIFS(العهد_الرقم,$A377,العهد_الحالة,"&lt;&gt;مسترجعة")&gt;0,"⚠ يوجد عهد غير مسترجعة","لا عهد معلقة"))</f>
        <v/>
      </c>
      <c r="I377" s="60" t="n"/>
      <c r="J377" s="40" t="n"/>
      <c r="K377" s="40" t="n"/>
      <c r="L377" s="40" t="n"/>
    </row>
    <row r="378">
      <c r="A378" s="47" t="n"/>
      <c r="B378" s="50">
        <f>IFERROR(INDEX(الموظفون_الاسم,MATCH($A378,الموظفون_الرقم,0)),"")</f>
        <v/>
      </c>
      <c r="C378" s="112" t="n"/>
      <c r="D378" s="47" t="n"/>
      <c r="E378" s="112" t="n"/>
      <c r="F378" s="47" t="n"/>
      <c r="G378" s="47" t="n"/>
      <c r="H378" s="50">
        <f>IF($A378="","",IF(COUNTIFS(العهد_الرقم,$A378,العهد_الحالة,"&lt;&gt;مسترجعة")&gt;0,"⚠ يوجد عهد غير مسترجعة","لا عهد معلقة"))</f>
        <v/>
      </c>
      <c r="I378" s="63" t="n"/>
      <c r="J378" s="47" t="n"/>
      <c r="K378" s="47" t="n"/>
      <c r="L378" s="47" t="n"/>
    </row>
    <row r="379">
      <c r="A379" s="40" t="n"/>
      <c r="B379" s="43">
        <f>IFERROR(INDEX(الموظفون_الاسم,MATCH($A379,الموظفون_الرقم,0)),"")</f>
        <v/>
      </c>
      <c r="C379" s="110" t="n"/>
      <c r="D379" s="40" t="n"/>
      <c r="E379" s="110" t="n"/>
      <c r="F379" s="40" t="n"/>
      <c r="G379" s="40" t="n"/>
      <c r="H379" s="43">
        <f>IF($A379="","",IF(COUNTIFS(العهد_الرقم,$A379,العهد_الحالة,"&lt;&gt;مسترجعة")&gt;0,"⚠ يوجد عهد غير مسترجعة","لا عهد معلقة"))</f>
        <v/>
      </c>
      <c r="I379" s="60" t="n"/>
      <c r="J379" s="40" t="n"/>
      <c r="K379" s="40" t="n"/>
      <c r="L379" s="40" t="n"/>
    </row>
    <row r="380">
      <c r="A380" s="47" t="n"/>
      <c r="B380" s="50">
        <f>IFERROR(INDEX(الموظفون_الاسم,MATCH($A380,الموظفون_الرقم,0)),"")</f>
        <v/>
      </c>
      <c r="C380" s="112" t="n"/>
      <c r="D380" s="47" t="n"/>
      <c r="E380" s="112" t="n"/>
      <c r="F380" s="47" t="n"/>
      <c r="G380" s="47" t="n"/>
      <c r="H380" s="50">
        <f>IF($A380="","",IF(COUNTIFS(العهد_الرقم,$A380,العهد_الحالة,"&lt;&gt;مسترجعة")&gt;0,"⚠ يوجد عهد غير مسترجعة","لا عهد معلقة"))</f>
        <v/>
      </c>
      <c r="I380" s="63" t="n"/>
      <c r="J380" s="47" t="n"/>
      <c r="K380" s="47" t="n"/>
      <c r="L380" s="47" t="n"/>
    </row>
    <row r="381">
      <c r="A381" s="40" t="n"/>
      <c r="B381" s="43">
        <f>IFERROR(INDEX(الموظفون_الاسم,MATCH($A381,الموظفون_الرقم,0)),"")</f>
        <v/>
      </c>
      <c r="C381" s="110" t="n"/>
      <c r="D381" s="40" t="n"/>
      <c r="E381" s="110" t="n"/>
      <c r="F381" s="40" t="n"/>
      <c r="G381" s="40" t="n"/>
      <c r="H381" s="43">
        <f>IF($A381="","",IF(COUNTIFS(العهد_الرقم,$A381,العهد_الحالة,"&lt;&gt;مسترجعة")&gt;0,"⚠ يوجد عهد غير مسترجعة","لا عهد معلقة"))</f>
        <v/>
      </c>
      <c r="I381" s="60" t="n"/>
      <c r="J381" s="40" t="n"/>
      <c r="K381" s="40" t="n"/>
      <c r="L381" s="40" t="n"/>
    </row>
    <row r="382">
      <c r="A382" s="47" t="n"/>
      <c r="B382" s="50">
        <f>IFERROR(INDEX(الموظفون_الاسم,MATCH($A382,الموظفون_الرقم,0)),"")</f>
        <v/>
      </c>
      <c r="C382" s="112" t="n"/>
      <c r="D382" s="47" t="n"/>
      <c r="E382" s="112" t="n"/>
      <c r="F382" s="47" t="n"/>
      <c r="G382" s="47" t="n"/>
      <c r="H382" s="50">
        <f>IF($A382="","",IF(COUNTIFS(العهد_الرقم,$A382,العهد_الحالة,"&lt;&gt;مسترجعة")&gt;0,"⚠ يوجد عهد غير مسترجعة","لا عهد معلقة"))</f>
        <v/>
      </c>
      <c r="I382" s="63" t="n"/>
      <c r="J382" s="47" t="n"/>
      <c r="K382" s="47" t="n"/>
      <c r="L382" s="47" t="n"/>
    </row>
    <row r="383">
      <c r="A383" s="40" t="n"/>
      <c r="B383" s="43">
        <f>IFERROR(INDEX(الموظفون_الاسم,MATCH($A383,الموظفون_الرقم,0)),"")</f>
        <v/>
      </c>
      <c r="C383" s="110" t="n"/>
      <c r="D383" s="40" t="n"/>
      <c r="E383" s="110" t="n"/>
      <c r="F383" s="40" t="n"/>
      <c r="G383" s="40" t="n"/>
      <c r="H383" s="43">
        <f>IF($A383="","",IF(COUNTIFS(العهد_الرقم,$A383,العهد_الحالة,"&lt;&gt;مسترجعة")&gt;0,"⚠ يوجد عهد غير مسترجعة","لا عهد معلقة"))</f>
        <v/>
      </c>
      <c r="I383" s="60" t="n"/>
      <c r="J383" s="40" t="n"/>
      <c r="K383" s="40" t="n"/>
      <c r="L383" s="40" t="n"/>
    </row>
    <row r="384">
      <c r="A384" s="47" t="n"/>
      <c r="B384" s="50">
        <f>IFERROR(INDEX(الموظفون_الاسم,MATCH($A384,الموظفون_الرقم,0)),"")</f>
        <v/>
      </c>
      <c r="C384" s="112" t="n"/>
      <c r="D384" s="47" t="n"/>
      <c r="E384" s="112" t="n"/>
      <c r="F384" s="47" t="n"/>
      <c r="G384" s="47" t="n"/>
      <c r="H384" s="50">
        <f>IF($A384="","",IF(COUNTIFS(العهد_الرقم,$A384,العهد_الحالة,"&lt;&gt;مسترجعة")&gt;0,"⚠ يوجد عهد غير مسترجعة","لا عهد معلقة"))</f>
        <v/>
      </c>
      <c r="I384" s="63" t="n"/>
      <c r="J384" s="47" t="n"/>
      <c r="K384" s="47" t="n"/>
      <c r="L384" s="47" t="n"/>
    </row>
    <row r="385">
      <c r="A385" s="40" t="n"/>
      <c r="B385" s="43">
        <f>IFERROR(INDEX(الموظفون_الاسم,MATCH($A385,الموظفون_الرقم,0)),"")</f>
        <v/>
      </c>
      <c r="C385" s="110" t="n"/>
      <c r="D385" s="40" t="n"/>
      <c r="E385" s="110" t="n"/>
      <c r="F385" s="40" t="n"/>
      <c r="G385" s="40" t="n"/>
      <c r="H385" s="43">
        <f>IF($A385="","",IF(COUNTIFS(العهد_الرقم,$A385,العهد_الحالة,"&lt;&gt;مسترجعة")&gt;0,"⚠ يوجد عهد غير مسترجعة","لا عهد معلقة"))</f>
        <v/>
      </c>
      <c r="I385" s="60" t="n"/>
      <c r="J385" s="40" t="n"/>
      <c r="K385" s="40" t="n"/>
      <c r="L385" s="40" t="n"/>
    </row>
    <row r="386">
      <c r="A386" s="47" t="n"/>
      <c r="B386" s="50">
        <f>IFERROR(INDEX(الموظفون_الاسم,MATCH($A386,الموظفون_الرقم,0)),"")</f>
        <v/>
      </c>
      <c r="C386" s="112" t="n"/>
      <c r="D386" s="47" t="n"/>
      <c r="E386" s="112" t="n"/>
      <c r="F386" s="47" t="n"/>
      <c r="G386" s="47" t="n"/>
      <c r="H386" s="50">
        <f>IF($A386="","",IF(COUNTIFS(العهد_الرقم,$A386,العهد_الحالة,"&lt;&gt;مسترجعة")&gt;0,"⚠ يوجد عهد غير مسترجعة","لا عهد معلقة"))</f>
        <v/>
      </c>
      <c r="I386" s="63" t="n"/>
      <c r="J386" s="47" t="n"/>
      <c r="K386" s="47" t="n"/>
      <c r="L386" s="47" t="n"/>
    </row>
    <row r="387">
      <c r="A387" s="40" t="n"/>
      <c r="B387" s="43">
        <f>IFERROR(INDEX(الموظفون_الاسم,MATCH($A387,الموظفون_الرقم,0)),"")</f>
        <v/>
      </c>
      <c r="C387" s="110" t="n"/>
      <c r="D387" s="40" t="n"/>
      <c r="E387" s="110" t="n"/>
      <c r="F387" s="40" t="n"/>
      <c r="G387" s="40" t="n"/>
      <c r="H387" s="43">
        <f>IF($A387="","",IF(COUNTIFS(العهد_الرقم,$A387,العهد_الحالة,"&lt;&gt;مسترجعة")&gt;0,"⚠ يوجد عهد غير مسترجعة","لا عهد معلقة"))</f>
        <v/>
      </c>
      <c r="I387" s="60" t="n"/>
      <c r="J387" s="40" t="n"/>
      <c r="K387" s="40" t="n"/>
      <c r="L387" s="40" t="n"/>
    </row>
    <row r="388">
      <c r="A388" s="47" t="n"/>
      <c r="B388" s="50">
        <f>IFERROR(INDEX(الموظفون_الاسم,MATCH($A388,الموظفون_الرقم,0)),"")</f>
        <v/>
      </c>
      <c r="C388" s="112" t="n"/>
      <c r="D388" s="47" t="n"/>
      <c r="E388" s="112" t="n"/>
      <c r="F388" s="47" t="n"/>
      <c r="G388" s="47" t="n"/>
      <c r="H388" s="50">
        <f>IF($A388="","",IF(COUNTIFS(العهد_الرقم,$A388,العهد_الحالة,"&lt;&gt;مسترجعة")&gt;0,"⚠ يوجد عهد غير مسترجعة","لا عهد معلقة"))</f>
        <v/>
      </c>
      <c r="I388" s="63" t="n"/>
      <c r="J388" s="47" t="n"/>
      <c r="K388" s="47" t="n"/>
      <c r="L388" s="47" t="n"/>
    </row>
    <row r="389">
      <c r="A389" s="40" t="n"/>
      <c r="B389" s="43">
        <f>IFERROR(INDEX(الموظفون_الاسم,MATCH($A389,الموظفون_الرقم,0)),"")</f>
        <v/>
      </c>
      <c r="C389" s="110" t="n"/>
      <c r="D389" s="40" t="n"/>
      <c r="E389" s="110" t="n"/>
      <c r="F389" s="40" t="n"/>
      <c r="G389" s="40" t="n"/>
      <c r="H389" s="43">
        <f>IF($A389="","",IF(COUNTIFS(العهد_الرقم,$A389,العهد_الحالة,"&lt;&gt;مسترجعة")&gt;0,"⚠ يوجد عهد غير مسترجعة","لا عهد معلقة"))</f>
        <v/>
      </c>
      <c r="I389" s="60" t="n"/>
      <c r="J389" s="40" t="n"/>
      <c r="K389" s="40" t="n"/>
      <c r="L389" s="40" t="n"/>
    </row>
    <row r="390">
      <c r="A390" s="47" t="n"/>
      <c r="B390" s="50">
        <f>IFERROR(INDEX(الموظفون_الاسم,MATCH($A390,الموظفون_الرقم,0)),"")</f>
        <v/>
      </c>
      <c r="C390" s="112" t="n"/>
      <c r="D390" s="47" t="n"/>
      <c r="E390" s="112" t="n"/>
      <c r="F390" s="47" t="n"/>
      <c r="G390" s="47" t="n"/>
      <c r="H390" s="50">
        <f>IF($A390="","",IF(COUNTIFS(العهد_الرقم,$A390,العهد_الحالة,"&lt;&gt;مسترجعة")&gt;0,"⚠ يوجد عهد غير مسترجعة","لا عهد معلقة"))</f>
        <v/>
      </c>
      <c r="I390" s="63" t="n"/>
      <c r="J390" s="47" t="n"/>
      <c r="K390" s="47" t="n"/>
      <c r="L390" s="47" t="n"/>
    </row>
    <row r="391">
      <c r="A391" s="40" t="n"/>
      <c r="B391" s="43">
        <f>IFERROR(INDEX(الموظفون_الاسم,MATCH($A391,الموظفون_الرقم,0)),"")</f>
        <v/>
      </c>
      <c r="C391" s="110" t="n"/>
      <c r="D391" s="40" t="n"/>
      <c r="E391" s="110" t="n"/>
      <c r="F391" s="40" t="n"/>
      <c r="G391" s="40" t="n"/>
      <c r="H391" s="43">
        <f>IF($A391="","",IF(COUNTIFS(العهد_الرقم,$A391,العهد_الحالة,"&lt;&gt;مسترجعة")&gt;0,"⚠ يوجد عهد غير مسترجعة","لا عهد معلقة"))</f>
        <v/>
      </c>
      <c r="I391" s="60" t="n"/>
      <c r="J391" s="40" t="n"/>
      <c r="K391" s="40" t="n"/>
      <c r="L391" s="40" t="n"/>
    </row>
    <row r="392">
      <c r="A392" s="47" t="n"/>
      <c r="B392" s="50">
        <f>IFERROR(INDEX(الموظفون_الاسم,MATCH($A392,الموظفون_الرقم,0)),"")</f>
        <v/>
      </c>
      <c r="C392" s="112" t="n"/>
      <c r="D392" s="47" t="n"/>
      <c r="E392" s="112" t="n"/>
      <c r="F392" s="47" t="n"/>
      <c r="G392" s="47" t="n"/>
      <c r="H392" s="50">
        <f>IF($A392="","",IF(COUNTIFS(العهد_الرقم,$A392,العهد_الحالة,"&lt;&gt;مسترجعة")&gt;0,"⚠ يوجد عهد غير مسترجعة","لا عهد معلقة"))</f>
        <v/>
      </c>
      <c r="I392" s="63" t="n"/>
      <c r="J392" s="47" t="n"/>
      <c r="K392" s="47" t="n"/>
      <c r="L392" s="47" t="n"/>
    </row>
    <row r="393">
      <c r="A393" s="40" t="n"/>
      <c r="B393" s="43">
        <f>IFERROR(INDEX(الموظفون_الاسم,MATCH($A393,الموظفون_الرقم,0)),"")</f>
        <v/>
      </c>
      <c r="C393" s="110" t="n"/>
      <c r="D393" s="40" t="n"/>
      <c r="E393" s="110" t="n"/>
      <c r="F393" s="40" t="n"/>
      <c r="G393" s="40" t="n"/>
      <c r="H393" s="43">
        <f>IF($A393="","",IF(COUNTIFS(العهد_الرقم,$A393,العهد_الحالة,"&lt;&gt;مسترجعة")&gt;0,"⚠ يوجد عهد غير مسترجعة","لا عهد معلقة"))</f>
        <v/>
      </c>
      <c r="I393" s="60" t="n"/>
      <c r="J393" s="40" t="n"/>
      <c r="K393" s="40" t="n"/>
      <c r="L393" s="40" t="n"/>
    </row>
    <row r="394">
      <c r="A394" s="47" t="n"/>
      <c r="B394" s="50">
        <f>IFERROR(INDEX(الموظفون_الاسم,MATCH($A394,الموظفون_الرقم,0)),"")</f>
        <v/>
      </c>
      <c r="C394" s="112" t="n"/>
      <c r="D394" s="47" t="n"/>
      <c r="E394" s="112" t="n"/>
      <c r="F394" s="47" t="n"/>
      <c r="G394" s="47" t="n"/>
      <c r="H394" s="50">
        <f>IF($A394="","",IF(COUNTIFS(العهد_الرقم,$A394,العهد_الحالة,"&lt;&gt;مسترجعة")&gt;0,"⚠ يوجد عهد غير مسترجعة","لا عهد معلقة"))</f>
        <v/>
      </c>
      <c r="I394" s="63" t="n"/>
      <c r="J394" s="47" t="n"/>
      <c r="K394" s="47" t="n"/>
      <c r="L394" s="47" t="n"/>
    </row>
    <row r="395">
      <c r="A395" s="40" t="n"/>
      <c r="B395" s="43">
        <f>IFERROR(INDEX(الموظفون_الاسم,MATCH($A395,الموظفون_الرقم,0)),"")</f>
        <v/>
      </c>
      <c r="C395" s="110" t="n"/>
      <c r="D395" s="40" t="n"/>
      <c r="E395" s="110" t="n"/>
      <c r="F395" s="40" t="n"/>
      <c r="G395" s="40" t="n"/>
      <c r="H395" s="43">
        <f>IF($A395="","",IF(COUNTIFS(العهد_الرقم,$A395,العهد_الحالة,"&lt;&gt;مسترجعة")&gt;0,"⚠ يوجد عهد غير مسترجعة","لا عهد معلقة"))</f>
        <v/>
      </c>
      <c r="I395" s="60" t="n"/>
      <c r="J395" s="40" t="n"/>
      <c r="K395" s="40" t="n"/>
      <c r="L395" s="40" t="n"/>
    </row>
    <row r="396">
      <c r="A396" s="47" t="n"/>
      <c r="B396" s="50">
        <f>IFERROR(INDEX(الموظفون_الاسم,MATCH($A396,الموظفون_الرقم,0)),"")</f>
        <v/>
      </c>
      <c r="C396" s="112" t="n"/>
      <c r="D396" s="47" t="n"/>
      <c r="E396" s="112" t="n"/>
      <c r="F396" s="47" t="n"/>
      <c r="G396" s="47" t="n"/>
      <c r="H396" s="50">
        <f>IF($A396="","",IF(COUNTIFS(العهد_الرقم,$A396,العهد_الحالة,"&lt;&gt;مسترجعة")&gt;0,"⚠ يوجد عهد غير مسترجعة","لا عهد معلقة"))</f>
        <v/>
      </c>
      <c r="I396" s="63" t="n"/>
      <c r="J396" s="47" t="n"/>
      <c r="K396" s="47" t="n"/>
      <c r="L396" s="47" t="n"/>
    </row>
    <row r="397">
      <c r="A397" s="40" t="n"/>
      <c r="B397" s="43">
        <f>IFERROR(INDEX(الموظفون_الاسم,MATCH($A397,الموظفون_الرقم,0)),"")</f>
        <v/>
      </c>
      <c r="C397" s="110" t="n"/>
      <c r="D397" s="40" t="n"/>
      <c r="E397" s="110" t="n"/>
      <c r="F397" s="40" t="n"/>
      <c r="G397" s="40" t="n"/>
      <c r="H397" s="43">
        <f>IF($A397="","",IF(COUNTIFS(العهد_الرقم,$A397,العهد_الحالة,"&lt;&gt;مسترجعة")&gt;0,"⚠ يوجد عهد غير مسترجعة","لا عهد معلقة"))</f>
        <v/>
      </c>
      <c r="I397" s="60" t="n"/>
      <c r="J397" s="40" t="n"/>
      <c r="K397" s="40" t="n"/>
      <c r="L397" s="40" t="n"/>
    </row>
    <row r="398">
      <c r="A398" s="47" t="n"/>
      <c r="B398" s="50">
        <f>IFERROR(INDEX(الموظفون_الاسم,MATCH($A398,الموظفون_الرقم,0)),"")</f>
        <v/>
      </c>
      <c r="C398" s="112" t="n"/>
      <c r="D398" s="47" t="n"/>
      <c r="E398" s="112" t="n"/>
      <c r="F398" s="47" t="n"/>
      <c r="G398" s="47" t="n"/>
      <c r="H398" s="50">
        <f>IF($A398="","",IF(COUNTIFS(العهد_الرقم,$A398,العهد_الحالة,"&lt;&gt;مسترجعة")&gt;0,"⚠ يوجد عهد غير مسترجعة","لا عهد معلقة"))</f>
        <v/>
      </c>
      <c r="I398" s="63" t="n"/>
      <c r="J398" s="47" t="n"/>
      <c r="K398" s="47" t="n"/>
      <c r="L398" s="47" t="n"/>
    </row>
    <row r="399">
      <c r="A399" s="40" t="n"/>
      <c r="B399" s="43">
        <f>IFERROR(INDEX(الموظفون_الاسم,MATCH($A399,الموظفون_الرقم,0)),"")</f>
        <v/>
      </c>
      <c r="C399" s="110" t="n"/>
      <c r="D399" s="40" t="n"/>
      <c r="E399" s="110" t="n"/>
      <c r="F399" s="40" t="n"/>
      <c r="G399" s="40" t="n"/>
      <c r="H399" s="43">
        <f>IF($A399="","",IF(COUNTIFS(العهد_الرقم,$A399,العهد_الحالة,"&lt;&gt;مسترجعة")&gt;0,"⚠ يوجد عهد غير مسترجعة","لا عهد معلقة"))</f>
        <v/>
      </c>
      <c r="I399" s="60" t="n"/>
      <c r="J399" s="40" t="n"/>
      <c r="K399" s="40" t="n"/>
      <c r="L399" s="40" t="n"/>
    </row>
    <row r="400">
      <c r="A400" s="47" t="n"/>
      <c r="B400" s="50">
        <f>IFERROR(INDEX(الموظفون_الاسم,MATCH($A400,الموظفون_الرقم,0)),"")</f>
        <v/>
      </c>
      <c r="C400" s="112" t="n"/>
      <c r="D400" s="47" t="n"/>
      <c r="E400" s="112" t="n"/>
      <c r="F400" s="47" t="n"/>
      <c r="G400" s="47" t="n"/>
      <c r="H400" s="50">
        <f>IF($A400="","",IF(COUNTIFS(العهد_الرقم,$A400,العهد_الحالة,"&lt;&gt;مسترجعة")&gt;0,"⚠ يوجد عهد غير مسترجعة","لا عهد معلقة"))</f>
        <v/>
      </c>
      <c r="I400" s="63" t="n"/>
      <c r="J400" s="47" t="n"/>
      <c r="K400" s="47" t="n"/>
      <c r="L400" s="47" t="n"/>
    </row>
    <row r="401">
      <c r="A401" s="40" t="n"/>
      <c r="B401" s="43">
        <f>IFERROR(INDEX(الموظفون_الاسم,MATCH($A401,الموظفون_الرقم,0)),"")</f>
        <v/>
      </c>
      <c r="C401" s="110" t="n"/>
      <c r="D401" s="40" t="n"/>
      <c r="E401" s="110" t="n"/>
      <c r="F401" s="40" t="n"/>
      <c r="G401" s="40" t="n"/>
      <c r="H401" s="43">
        <f>IF($A401="","",IF(COUNTIFS(العهد_الرقم,$A401,العهد_الحالة,"&lt;&gt;مسترجعة")&gt;0,"⚠ يوجد عهد غير مسترجعة","لا عهد معلقة"))</f>
        <v/>
      </c>
      <c r="I401" s="60" t="n"/>
      <c r="J401" s="40" t="n"/>
      <c r="K401" s="40" t="n"/>
      <c r="L401" s="40" t="n"/>
    </row>
    <row r="402">
      <c r="A402" s="47" t="n"/>
      <c r="B402" s="50">
        <f>IFERROR(INDEX(الموظفون_الاسم,MATCH($A402,الموظفون_الرقم,0)),"")</f>
        <v/>
      </c>
      <c r="C402" s="112" t="n"/>
      <c r="D402" s="47" t="n"/>
      <c r="E402" s="112" t="n"/>
      <c r="F402" s="47" t="n"/>
      <c r="G402" s="47" t="n"/>
      <c r="H402" s="50">
        <f>IF($A402="","",IF(COUNTIFS(العهد_الرقم,$A402,العهد_الحالة,"&lt;&gt;مسترجعة")&gt;0,"⚠ يوجد عهد غير مسترجعة","لا عهد معلقة"))</f>
        <v/>
      </c>
      <c r="I402" s="63" t="n"/>
      <c r="J402" s="47" t="n"/>
      <c r="K402" s="47" t="n"/>
      <c r="L402" s="47" t="n"/>
    </row>
    <row r="403">
      <c r="A403" s="40" t="n"/>
      <c r="B403" s="43">
        <f>IFERROR(INDEX(الموظفون_الاسم,MATCH($A403,الموظفون_الرقم,0)),"")</f>
        <v/>
      </c>
      <c r="C403" s="110" t="n"/>
      <c r="D403" s="40" t="n"/>
      <c r="E403" s="110" t="n"/>
      <c r="F403" s="40" t="n"/>
      <c r="G403" s="40" t="n"/>
      <c r="H403" s="43">
        <f>IF($A403="","",IF(COUNTIFS(العهد_الرقم,$A403,العهد_الحالة,"&lt;&gt;مسترجعة")&gt;0,"⚠ يوجد عهد غير مسترجعة","لا عهد معلقة"))</f>
        <v/>
      </c>
      <c r="I403" s="60" t="n"/>
      <c r="J403" s="40" t="n"/>
      <c r="K403" s="40" t="n"/>
      <c r="L403" s="40" t="n"/>
    </row>
    <row r="404">
      <c r="A404" s="47" t="n"/>
      <c r="B404" s="50">
        <f>IFERROR(INDEX(الموظفون_الاسم,MATCH($A404,الموظفون_الرقم,0)),"")</f>
        <v/>
      </c>
      <c r="C404" s="112" t="n"/>
      <c r="D404" s="47" t="n"/>
      <c r="E404" s="112" t="n"/>
      <c r="F404" s="47" t="n"/>
      <c r="G404" s="47" t="n"/>
      <c r="H404" s="50">
        <f>IF($A404="","",IF(COUNTIFS(العهد_الرقم,$A404,العهد_الحالة,"&lt;&gt;مسترجعة")&gt;0,"⚠ يوجد عهد غير مسترجعة","لا عهد معلقة"))</f>
        <v/>
      </c>
      <c r="I404" s="63" t="n"/>
      <c r="J404" s="47" t="n"/>
      <c r="K404" s="47" t="n"/>
      <c r="L404" s="47" t="n"/>
    </row>
    <row r="405">
      <c r="A405" s="40" t="n"/>
      <c r="B405" s="43">
        <f>IFERROR(INDEX(الموظفون_الاسم,MATCH($A405,الموظفون_الرقم,0)),"")</f>
        <v/>
      </c>
      <c r="C405" s="110" t="n"/>
      <c r="D405" s="40" t="n"/>
      <c r="E405" s="110" t="n"/>
      <c r="F405" s="40" t="n"/>
      <c r="G405" s="40" t="n"/>
      <c r="H405" s="43">
        <f>IF($A405="","",IF(COUNTIFS(العهد_الرقم,$A405,العهد_الحالة,"&lt;&gt;مسترجعة")&gt;0,"⚠ يوجد عهد غير مسترجعة","لا عهد معلقة"))</f>
        <v/>
      </c>
      <c r="I405" s="60" t="n"/>
      <c r="J405" s="40" t="n"/>
      <c r="K405" s="40" t="n"/>
      <c r="L405" s="40" t="n"/>
    </row>
    <row r="406">
      <c r="A406" s="47" t="n"/>
      <c r="B406" s="50">
        <f>IFERROR(INDEX(الموظفون_الاسم,MATCH($A406,الموظفون_الرقم,0)),"")</f>
        <v/>
      </c>
      <c r="C406" s="112" t="n"/>
      <c r="D406" s="47" t="n"/>
      <c r="E406" s="112" t="n"/>
      <c r="F406" s="47" t="n"/>
      <c r="G406" s="47" t="n"/>
      <c r="H406" s="50">
        <f>IF($A406="","",IF(COUNTIFS(العهد_الرقم,$A406,العهد_الحالة,"&lt;&gt;مسترجعة")&gt;0,"⚠ يوجد عهد غير مسترجعة","لا عهد معلقة"))</f>
        <v/>
      </c>
      <c r="I406" s="63" t="n"/>
      <c r="J406" s="47" t="n"/>
      <c r="K406" s="47" t="n"/>
      <c r="L406" s="47" t="n"/>
    </row>
    <row r="407">
      <c r="A407" s="40" t="n"/>
      <c r="B407" s="43">
        <f>IFERROR(INDEX(الموظفون_الاسم,MATCH($A407,الموظفون_الرقم,0)),"")</f>
        <v/>
      </c>
      <c r="C407" s="110" t="n"/>
      <c r="D407" s="40" t="n"/>
      <c r="E407" s="110" t="n"/>
      <c r="F407" s="40" t="n"/>
      <c r="G407" s="40" t="n"/>
      <c r="H407" s="43">
        <f>IF($A407="","",IF(COUNTIFS(العهد_الرقم,$A407,العهد_الحالة,"&lt;&gt;مسترجعة")&gt;0,"⚠ يوجد عهد غير مسترجعة","لا عهد معلقة"))</f>
        <v/>
      </c>
      <c r="I407" s="60" t="n"/>
      <c r="J407" s="40" t="n"/>
      <c r="K407" s="40" t="n"/>
      <c r="L407" s="40" t="n"/>
    </row>
    <row r="408">
      <c r="A408" s="47" t="n"/>
      <c r="B408" s="50">
        <f>IFERROR(INDEX(الموظفون_الاسم,MATCH($A408,الموظفون_الرقم,0)),"")</f>
        <v/>
      </c>
      <c r="C408" s="112" t="n"/>
      <c r="D408" s="47" t="n"/>
      <c r="E408" s="112" t="n"/>
      <c r="F408" s="47" t="n"/>
      <c r="G408" s="47" t="n"/>
      <c r="H408" s="50">
        <f>IF($A408="","",IF(COUNTIFS(العهد_الرقم,$A408,العهد_الحالة,"&lt;&gt;مسترجعة")&gt;0,"⚠ يوجد عهد غير مسترجعة","لا عهد معلقة"))</f>
        <v/>
      </c>
      <c r="I408" s="63" t="n"/>
      <c r="J408" s="47" t="n"/>
      <c r="K408" s="47" t="n"/>
      <c r="L408" s="47" t="n"/>
    </row>
    <row r="409">
      <c r="A409" s="40" t="n"/>
      <c r="B409" s="43">
        <f>IFERROR(INDEX(الموظفون_الاسم,MATCH($A409,الموظفون_الرقم,0)),"")</f>
        <v/>
      </c>
      <c r="C409" s="110" t="n"/>
      <c r="D409" s="40" t="n"/>
      <c r="E409" s="110" t="n"/>
      <c r="F409" s="40" t="n"/>
      <c r="G409" s="40" t="n"/>
      <c r="H409" s="43">
        <f>IF($A409="","",IF(COUNTIFS(العهد_الرقم,$A409,العهد_الحالة,"&lt;&gt;مسترجعة")&gt;0,"⚠ يوجد عهد غير مسترجعة","لا عهد معلقة"))</f>
        <v/>
      </c>
      <c r="I409" s="60" t="n"/>
      <c r="J409" s="40" t="n"/>
      <c r="K409" s="40" t="n"/>
      <c r="L409" s="40" t="n"/>
    </row>
    <row r="410">
      <c r="A410" s="47" t="n"/>
      <c r="B410" s="50">
        <f>IFERROR(INDEX(الموظفون_الاسم,MATCH($A410,الموظفون_الرقم,0)),"")</f>
        <v/>
      </c>
      <c r="C410" s="112" t="n"/>
      <c r="D410" s="47" t="n"/>
      <c r="E410" s="112" t="n"/>
      <c r="F410" s="47" t="n"/>
      <c r="G410" s="47" t="n"/>
      <c r="H410" s="50">
        <f>IF($A410="","",IF(COUNTIFS(العهد_الرقم,$A410,العهد_الحالة,"&lt;&gt;مسترجعة")&gt;0,"⚠ يوجد عهد غير مسترجعة","لا عهد معلقة"))</f>
        <v/>
      </c>
      <c r="I410" s="63" t="n"/>
      <c r="J410" s="47" t="n"/>
      <c r="K410" s="47" t="n"/>
      <c r="L410" s="47" t="n"/>
    </row>
    <row r="411">
      <c r="A411" s="40" t="n"/>
      <c r="B411" s="43">
        <f>IFERROR(INDEX(الموظفون_الاسم,MATCH($A411,الموظفون_الرقم,0)),"")</f>
        <v/>
      </c>
      <c r="C411" s="110" t="n"/>
      <c r="D411" s="40" t="n"/>
      <c r="E411" s="110" t="n"/>
      <c r="F411" s="40" t="n"/>
      <c r="G411" s="40" t="n"/>
      <c r="H411" s="43">
        <f>IF($A411="","",IF(COUNTIFS(العهد_الرقم,$A411,العهد_الحالة,"&lt;&gt;مسترجعة")&gt;0,"⚠ يوجد عهد غير مسترجعة","لا عهد معلقة"))</f>
        <v/>
      </c>
      <c r="I411" s="60" t="n"/>
      <c r="J411" s="40" t="n"/>
      <c r="K411" s="40" t="n"/>
      <c r="L411" s="40" t="n"/>
    </row>
    <row r="412">
      <c r="A412" s="47" t="n"/>
      <c r="B412" s="50">
        <f>IFERROR(INDEX(الموظفون_الاسم,MATCH($A412,الموظفون_الرقم,0)),"")</f>
        <v/>
      </c>
      <c r="C412" s="112" t="n"/>
      <c r="D412" s="47" t="n"/>
      <c r="E412" s="112" t="n"/>
      <c r="F412" s="47" t="n"/>
      <c r="G412" s="47" t="n"/>
      <c r="H412" s="50">
        <f>IF($A412="","",IF(COUNTIFS(العهد_الرقم,$A412,العهد_الحالة,"&lt;&gt;مسترجعة")&gt;0,"⚠ يوجد عهد غير مسترجعة","لا عهد معلقة"))</f>
        <v/>
      </c>
      <c r="I412" s="63" t="n"/>
      <c r="J412" s="47" t="n"/>
      <c r="K412" s="47" t="n"/>
      <c r="L412" s="47" t="n"/>
    </row>
    <row r="413">
      <c r="A413" s="40" t="n"/>
      <c r="B413" s="43">
        <f>IFERROR(INDEX(الموظفون_الاسم,MATCH($A413,الموظفون_الرقم,0)),"")</f>
        <v/>
      </c>
      <c r="C413" s="110" t="n"/>
      <c r="D413" s="40" t="n"/>
      <c r="E413" s="110" t="n"/>
      <c r="F413" s="40" t="n"/>
      <c r="G413" s="40" t="n"/>
      <c r="H413" s="43">
        <f>IF($A413="","",IF(COUNTIFS(العهد_الرقم,$A413,العهد_الحالة,"&lt;&gt;مسترجعة")&gt;0,"⚠ يوجد عهد غير مسترجعة","لا عهد معلقة"))</f>
        <v/>
      </c>
      <c r="I413" s="60" t="n"/>
      <c r="J413" s="40" t="n"/>
      <c r="K413" s="40" t="n"/>
      <c r="L413" s="40" t="n"/>
    </row>
    <row r="414">
      <c r="A414" s="47" t="n"/>
      <c r="B414" s="50">
        <f>IFERROR(INDEX(الموظفون_الاسم,MATCH($A414,الموظفون_الرقم,0)),"")</f>
        <v/>
      </c>
      <c r="C414" s="112" t="n"/>
      <c r="D414" s="47" t="n"/>
      <c r="E414" s="112" t="n"/>
      <c r="F414" s="47" t="n"/>
      <c r="G414" s="47" t="n"/>
      <c r="H414" s="50">
        <f>IF($A414="","",IF(COUNTIFS(العهد_الرقم,$A414,العهد_الحالة,"&lt;&gt;مسترجعة")&gt;0,"⚠ يوجد عهد غير مسترجعة","لا عهد معلقة"))</f>
        <v/>
      </c>
      <c r="I414" s="63" t="n"/>
      <c r="J414" s="47" t="n"/>
      <c r="K414" s="47" t="n"/>
      <c r="L414" s="47" t="n"/>
    </row>
    <row r="415">
      <c r="A415" s="40" t="n"/>
      <c r="B415" s="43">
        <f>IFERROR(INDEX(الموظفون_الاسم,MATCH($A415,الموظفون_الرقم,0)),"")</f>
        <v/>
      </c>
      <c r="C415" s="110" t="n"/>
      <c r="D415" s="40" t="n"/>
      <c r="E415" s="110" t="n"/>
      <c r="F415" s="40" t="n"/>
      <c r="G415" s="40" t="n"/>
      <c r="H415" s="43">
        <f>IF($A415="","",IF(COUNTIFS(العهد_الرقم,$A415,العهد_الحالة,"&lt;&gt;مسترجعة")&gt;0,"⚠ يوجد عهد غير مسترجعة","لا عهد معلقة"))</f>
        <v/>
      </c>
      <c r="I415" s="60" t="n"/>
      <c r="J415" s="40" t="n"/>
      <c r="K415" s="40" t="n"/>
      <c r="L415" s="40" t="n"/>
    </row>
    <row r="416">
      <c r="A416" s="47" t="n"/>
      <c r="B416" s="50">
        <f>IFERROR(INDEX(الموظفون_الاسم,MATCH($A416,الموظفون_الرقم,0)),"")</f>
        <v/>
      </c>
      <c r="C416" s="112" t="n"/>
      <c r="D416" s="47" t="n"/>
      <c r="E416" s="112" t="n"/>
      <c r="F416" s="47" t="n"/>
      <c r="G416" s="47" t="n"/>
      <c r="H416" s="50">
        <f>IF($A416="","",IF(COUNTIFS(العهد_الرقم,$A416,العهد_الحالة,"&lt;&gt;مسترجعة")&gt;0,"⚠ يوجد عهد غير مسترجعة","لا عهد معلقة"))</f>
        <v/>
      </c>
      <c r="I416" s="63" t="n"/>
      <c r="J416" s="47" t="n"/>
      <c r="K416" s="47" t="n"/>
      <c r="L416" s="47" t="n"/>
    </row>
    <row r="417">
      <c r="A417" s="40" t="n"/>
      <c r="B417" s="43">
        <f>IFERROR(INDEX(الموظفون_الاسم,MATCH($A417,الموظفون_الرقم,0)),"")</f>
        <v/>
      </c>
      <c r="C417" s="110" t="n"/>
      <c r="D417" s="40" t="n"/>
      <c r="E417" s="110" t="n"/>
      <c r="F417" s="40" t="n"/>
      <c r="G417" s="40" t="n"/>
      <c r="H417" s="43">
        <f>IF($A417="","",IF(COUNTIFS(العهد_الرقم,$A417,العهد_الحالة,"&lt;&gt;مسترجعة")&gt;0,"⚠ يوجد عهد غير مسترجعة","لا عهد معلقة"))</f>
        <v/>
      </c>
      <c r="I417" s="60" t="n"/>
      <c r="J417" s="40" t="n"/>
      <c r="K417" s="40" t="n"/>
      <c r="L417" s="40" t="n"/>
    </row>
    <row r="418">
      <c r="A418" s="47" t="n"/>
      <c r="B418" s="50">
        <f>IFERROR(INDEX(الموظفون_الاسم,MATCH($A418,الموظفون_الرقم,0)),"")</f>
        <v/>
      </c>
      <c r="C418" s="112" t="n"/>
      <c r="D418" s="47" t="n"/>
      <c r="E418" s="112" t="n"/>
      <c r="F418" s="47" t="n"/>
      <c r="G418" s="47" t="n"/>
      <c r="H418" s="50">
        <f>IF($A418="","",IF(COUNTIFS(العهد_الرقم,$A418,العهد_الحالة,"&lt;&gt;مسترجعة")&gt;0,"⚠ يوجد عهد غير مسترجعة","لا عهد معلقة"))</f>
        <v/>
      </c>
      <c r="I418" s="63" t="n"/>
      <c r="J418" s="47" t="n"/>
      <c r="K418" s="47" t="n"/>
      <c r="L418" s="47" t="n"/>
    </row>
    <row r="419">
      <c r="A419" s="40" t="n"/>
      <c r="B419" s="43">
        <f>IFERROR(INDEX(الموظفون_الاسم,MATCH($A419,الموظفون_الرقم,0)),"")</f>
        <v/>
      </c>
      <c r="C419" s="110" t="n"/>
      <c r="D419" s="40" t="n"/>
      <c r="E419" s="110" t="n"/>
      <c r="F419" s="40" t="n"/>
      <c r="G419" s="40" t="n"/>
      <c r="H419" s="43">
        <f>IF($A419="","",IF(COUNTIFS(العهد_الرقم,$A419,العهد_الحالة,"&lt;&gt;مسترجعة")&gt;0,"⚠ يوجد عهد غير مسترجعة","لا عهد معلقة"))</f>
        <v/>
      </c>
      <c r="I419" s="60" t="n"/>
      <c r="J419" s="40" t="n"/>
      <c r="K419" s="40" t="n"/>
      <c r="L419" s="40" t="n"/>
    </row>
    <row r="420">
      <c r="A420" s="47" t="n"/>
      <c r="B420" s="50">
        <f>IFERROR(INDEX(الموظفون_الاسم,MATCH($A420,الموظفون_الرقم,0)),"")</f>
        <v/>
      </c>
      <c r="C420" s="112" t="n"/>
      <c r="D420" s="47" t="n"/>
      <c r="E420" s="112" t="n"/>
      <c r="F420" s="47" t="n"/>
      <c r="G420" s="47" t="n"/>
      <c r="H420" s="50">
        <f>IF($A420="","",IF(COUNTIFS(العهد_الرقم,$A420,العهد_الحالة,"&lt;&gt;مسترجعة")&gt;0,"⚠ يوجد عهد غير مسترجعة","لا عهد معلقة"))</f>
        <v/>
      </c>
      <c r="I420" s="63" t="n"/>
      <c r="J420" s="47" t="n"/>
      <c r="K420" s="47" t="n"/>
      <c r="L420" s="47" t="n"/>
    </row>
    <row r="421">
      <c r="A421" s="40" t="n"/>
      <c r="B421" s="43">
        <f>IFERROR(INDEX(الموظفون_الاسم,MATCH($A421,الموظفون_الرقم,0)),"")</f>
        <v/>
      </c>
      <c r="C421" s="110" t="n"/>
      <c r="D421" s="40" t="n"/>
      <c r="E421" s="110" t="n"/>
      <c r="F421" s="40" t="n"/>
      <c r="G421" s="40" t="n"/>
      <c r="H421" s="43">
        <f>IF($A421="","",IF(COUNTIFS(العهد_الرقم,$A421,العهد_الحالة,"&lt;&gt;مسترجعة")&gt;0,"⚠ يوجد عهد غير مسترجعة","لا عهد معلقة"))</f>
        <v/>
      </c>
      <c r="I421" s="60" t="n"/>
      <c r="J421" s="40" t="n"/>
      <c r="K421" s="40" t="n"/>
      <c r="L421" s="40" t="n"/>
    </row>
    <row r="422">
      <c r="A422" s="47" t="n"/>
      <c r="B422" s="50">
        <f>IFERROR(INDEX(الموظفون_الاسم,MATCH($A422,الموظفون_الرقم,0)),"")</f>
        <v/>
      </c>
      <c r="C422" s="112" t="n"/>
      <c r="D422" s="47" t="n"/>
      <c r="E422" s="112" t="n"/>
      <c r="F422" s="47" t="n"/>
      <c r="G422" s="47" t="n"/>
      <c r="H422" s="50">
        <f>IF($A422="","",IF(COUNTIFS(العهد_الرقم,$A422,العهد_الحالة,"&lt;&gt;مسترجعة")&gt;0,"⚠ يوجد عهد غير مسترجعة","لا عهد معلقة"))</f>
        <v/>
      </c>
      <c r="I422" s="63" t="n"/>
      <c r="J422" s="47" t="n"/>
      <c r="K422" s="47" t="n"/>
      <c r="L422" s="47" t="n"/>
    </row>
    <row r="423">
      <c r="A423" s="40" t="n"/>
      <c r="B423" s="43">
        <f>IFERROR(INDEX(الموظفون_الاسم,MATCH($A423,الموظفون_الرقم,0)),"")</f>
        <v/>
      </c>
      <c r="C423" s="110" t="n"/>
      <c r="D423" s="40" t="n"/>
      <c r="E423" s="110" t="n"/>
      <c r="F423" s="40" t="n"/>
      <c r="G423" s="40" t="n"/>
      <c r="H423" s="43">
        <f>IF($A423="","",IF(COUNTIFS(العهد_الرقم,$A423,العهد_الحالة,"&lt;&gt;مسترجعة")&gt;0,"⚠ يوجد عهد غير مسترجعة","لا عهد معلقة"))</f>
        <v/>
      </c>
      <c r="I423" s="60" t="n"/>
      <c r="J423" s="40" t="n"/>
      <c r="K423" s="40" t="n"/>
      <c r="L423" s="40" t="n"/>
    </row>
    <row r="424">
      <c r="A424" s="47" t="n"/>
      <c r="B424" s="50">
        <f>IFERROR(INDEX(الموظفون_الاسم,MATCH($A424,الموظفون_الرقم,0)),"")</f>
        <v/>
      </c>
      <c r="C424" s="112" t="n"/>
      <c r="D424" s="47" t="n"/>
      <c r="E424" s="112" t="n"/>
      <c r="F424" s="47" t="n"/>
      <c r="G424" s="47" t="n"/>
      <c r="H424" s="50">
        <f>IF($A424="","",IF(COUNTIFS(العهد_الرقم,$A424,العهد_الحالة,"&lt;&gt;مسترجعة")&gt;0,"⚠ يوجد عهد غير مسترجعة","لا عهد معلقة"))</f>
        <v/>
      </c>
      <c r="I424" s="63" t="n"/>
      <c r="J424" s="47" t="n"/>
      <c r="K424" s="47" t="n"/>
      <c r="L424" s="47" t="n"/>
    </row>
    <row r="425">
      <c r="A425" s="40" t="n"/>
      <c r="B425" s="43">
        <f>IFERROR(INDEX(الموظفون_الاسم,MATCH($A425,الموظفون_الرقم,0)),"")</f>
        <v/>
      </c>
      <c r="C425" s="110" t="n"/>
      <c r="D425" s="40" t="n"/>
      <c r="E425" s="110" t="n"/>
      <c r="F425" s="40" t="n"/>
      <c r="G425" s="40" t="n"/>
      <c r="H425" s="43">
        <f>IF($A425="","",IF(COUNTIFS(العهد_الرقم,$A425,العهد_الحالة,"&lt;&gt;مسترجعة")&gt;0,"⚠ يوجد عهد غير مسترجعة","لا عهد معلقة"))</f>
        <v/>
      </c>
      <c r="I425" s="60" t="n"/>
      <c r="J425" s="40" t="n"/>
      <c r="K425" s="40" t="n"/>
      <c r="L425" s="40" t="n"/>
    </row>
    <row r="426">
      <c r="A426" s="47" t="n"/>
      <c r="B426" s="50">
        <f>IFERROR(INDEX(الموظفون_الاسم,MATCH($A426,الموظفون_الرقم,0)),"")</f>
        <v/>
      </c>
      <c r="C426" s="112" t="n"/>
      <c r="D426" s="47" t="n"/>
      <c r="E426" s="112" t="n"/>
      <c r="F426" s="47" t="n"/>
      <c r="G426" s="47" t="n"/>
      <c r="H426" s="50">
        <f>IF($A426="","",IF(COUNTIFS(العهد_الرقم,$A426,العهد_الحالة,"&lt;&gt;مسترجعة")&gt;0,"⚠ يوجد عهد غير مسترجعة","لا عهد معلقة"))</f>
        <v/>
      </c>
      <c r="I426" s="63" t="n"/>
      <c r="J426" s="47" t="n"/>
      <c r="K426" s="47" t="n"/>
      <c r="L426" s="47" t="n"/>
    </row>
    <row r="427">
      <c r="A427" s="40" t="n"/>
      <c r="B427" s="43">
        <f>IFERROR(INDEX(الموظفون_الاسم,MATCH($A427,الموظفون_الرقم,0)),"")</f>
        <v/>
      </c>
      <c r="C427" s="110" t="n"/>
      <c r="D427" s="40" t="n"/>
      <c r="E427" s="110" t="n"/>
      <c r="F427" s="40" t="n"/>
      <c r="G427" s="40" t="n"/>
      <c r="H427" s="43">
        <f>IF($A427="","",IF(COUNTIFS(العهد_الرقم,$A427,العهد_الحالة,"&lt;&gt;مسترجعة")&gt;0,"⚠ يوجد عهد غير مسترجعة","لا عهد معلقة"))</f>
        <v/>
      </c>
      <c r="I427" s="60" t="n"/>
      <c r="J427" s="40" t="n"/>
      <c r="K427" s="40" t="n"/>
      <c r="L427" s="40" t="n"/>
    </row>
    <row r="428">
      <c r="A428" s="47" t="n"/>
      <c r="B428" s="50">
        <f>IFERROR(INDEX(الموظفون_الاسم,MATCH($A428,الموظفون_الرقم,0)),"")</f>
        <v/>
      </c>
      <c r="C428" s="112" t="n"/>
      <c r="D428" s="47" t="n"/>
      <c r="E428" s="112" t="n"/>
      <c r="F428" s="47" t="n"/>
      <c r="G428" s="47" t="n"/>
      <c r="H428" s="50">
        <f>IF($A428="","",IF(COUNTIFS(العهد_الرقم,$A428,العهد_الحالة,"&lt;&gt;مسترجعة")&gt;0,"⚠ يوجد عهد غير مسترجعة","لا عهد معلقة"))</f>
        <v/>
      </c>
      <c r="I428" s="63" t="n"/>
      <c r="J428" s="47" t="n"/>
      <c r="K428" s="47" t="n"/>
      <c r="L428" s="47" t="n"/>
    </row>
    <row r="429">
      <c r="A429" s="40" t="n"/>
      <c r="B429" s="43">
        <f>IFERROR(INDEX(الموظفون_الاسم,MATCH($A429,الموظفون_الرقم,0)),"")</f>
        <v/>
      </c>
      <c r="C429" s="110" t="n"/>
      <c r="D429" s="40" t="n"/>
      <c r="E429" s="110" t="n"/>
      <c r="F429" s="40" t="n"/>
      <c r="G429" s="40" t="n"/>
      <c r="H429" s="43">
        <f>IF($A429="","",IF(COUNTIFS(العهد_الرقم,$A429,العهد_الحالة,"&lt;&gt;مسترجعة")&gt;0,"⚠ يوجد عهد غير مسترجعة","لا عهد معلقة"))</f>
        <v/>
      </c>
      <c r="I429" s="60" t="n"/>
      <c r="J429" s="40" t="n"/>
      <c r="K429" s="40" t="n"/>
      <c r="L429" s="40" t="n"/>
    </row>
    <row r="430">
      <c r="A430" s="47" t="n"/>
      <c r="B430" s="50">
        <f>IFERROR(INDEX(الموظفون_الاسم,MATCH($A430,الموظفون_الرقم,0)),"")</f>
        <v/>
      </c>
      <c r="C430" s="112" t="n"/>
      <c r="D430" s="47" t="n"/>
      <c r="E430" s="112" t="n"/>
      <c r="F430" s="47" t="n"/>
      <c r="G430" s="47" t="n"/>
      <c r="H430" s="50">
        <f>IF($A430="","",IF(COUNTIFS(العهد_الرقم,$A430,العهد_الحالة,"&lt;&gt;مسترجعة")&gt;0,"⚠ يوجد عهد غير مسترجعة","لا عهد معلقة"))</f>
        <v/>
      </c>
      <c r="I430" s="63" t="n"/>
      <c r="J430" s="47" t="n"/>
      <c r="K430" s="47" t="n"/>
      <c r="L430" s="47" t="n"/>
    </row>
    <row r="431">
      <c r="A431" s="40" t="n"/>
      <c r="B431" s="43">
        <f>IFERROR(INDEX(الموظفون_الاسم,MATCH($A431,الموظفون_الرقم,0)),"")</f>
        <v/>
      </c>
      <c r="C431" s="110" t="n"/>
      <c r="D431" s="40" t="n"/>
      <c r="E431" s="110" t="n"/>
      <c r="F431" s="40" t="n"/>
      <c r="G431" s="40" t="n"/>
      <c r="H431" s="43">
        <f>IF($A431="","",IF(COUNTIFS(العهد_الرقم,$A431,العهد_الحالة,"&lt;&gt;مسترجعة")&gt;0,"⚠ يوجد عهد غير مسترجعة","لا عهد معلقة"))</f>
        <v/>
      </c>
      <c r="I431" s="60" t="n"/>
      <c r="J431" s="40" t="n"/>
      <c r="K431" s="40" t="n"/>
      <c r="L431" s="40" t="n"/>
    </row>
    <row r="432">
      <c r="A432" s="47" t="n"/>
      <c r="B432" s="50">
        <f>IFERROR(INDEX(الموظفون_الاسم,MATCH($A432,الموظفون_الرقم,0)),"")</f>
        <v/>
      </c>
      <c r="C432" s="112" t="n"/>
      <c r="D432" s="47" t="n"/>
      <c r="E432" s="112" t="n"/>
      <c r="F432" s="47" t="n"/>
      <c r="G432" s="47" t="n"/>
      <c r="H432" s="50">
        <f>IF($A432="","",IF(COUNTIFS(العهد_الرقم,$A432,العهد_الحالة,"&lt;&gt;مسترجعة")&gt;0,"⚠ يوجد عهد غير مسترجعة","لا عهد معلقة"))</f>
        <v/>
      </c>
      <c r="I432" s="63" t="n"/>
      <c r="J432" s="47" t="n"/>
      <c r="K432" s="47" t="n"/>
      <c r="L432" s="47" t="n"/>
    </row>
    <row r="433">
      <c r="A433" s="40" t="n"/>
      <c r="B433" s="43">
        <f>IFERROR(INDEX(الموظفون_الاسم,MATCH($A433,الموظفون_الرقم,0)),"")</f>
        <v/>
      </c>
      <c r="C433" s="110" t="n"/>
      <c r="D433" s="40" t="n"/>
      <c r="E433" s="110" t="n"/>
      <c r="F433" s="40" t="n"/>
      <c r="G433" s="40" t="n"/>
      <c r="H433" s="43">
        <f>IF($A433="","",IF(COUNTIFS(العهد_الرقم,$A433,العهد_الحالة,"&lt;&gt;مسترجعة")&gt;0,"⚠ يوجد عهد غير مسترجعة","لا عهد معلقة"))</f>
        <v/>
      </c>
      <c r="I433" s="60" t="n"/>
      <c r="J433" s="40" t="n"/>
      <c r="K433" s="40" t="n"/>
      <c r="L433" s="40" t="n"/>
    </row>
    <row r="434">
      <c r="A434" s="47" t="n"/>
      <c r="B434" s="50">
        <f>IFERROR(INDEX(الموظفون_الاسم,MATCH($A434,الموظفون_الرقم,0)),"")</f>
        <v/>
      </c>
      <c r="C434" s="112" t="n"/>
      <c r="D434" s="47" t="n"/>
      <c r="E434" s="112" t="n"/>
      <c r="F434" s="47" t="n"/>
      <c r="G434" s="47" t="n"/>
      <c r="H434" s="50">
        <f>IF($A434="","",IF(COUNTIFS(العهد_الرقم,$A434,العهد_الحالة,"&lt;&gt;مسترجعة")&gt;0,"⚠ يوجد عهد غير مسترجعة","لا عهد معلقة"))</f>
        <v/>
      </c>
      <c r="I434" s="63" t="n"/>
      <c r="J434" s="47" t="n"/>
      <c r="K434" s="47" t="n"/>
      <c r="L434" s="47" t="n"/>
    </row>
    <row r="435">
      <c r="A435" s="40" t="n"/>
      <c r="B435" s="43">
        <f>IFERROR(INDEX(الموظفون_الاسم,MATCH($A435,الموظفون_الرقم,0)),"")</f>
        <v/>
      </c>
      <c r="C435" s="110" t="n"/>
      <c r="D435" s="40" t="n"/>
      <c r="E435" s="110" t="n"/>
      <c r="F435" s="40" t="n"/>
      <c r="G435" s="40" t="n"/>
      <c r="H435" s="43">
        <f>IF($A435="","",IF(COUNTIFS(العهد_الرقم,$A435,العهد_الحالة,"&lt;&gt;مسترجعة")&gt;0,"⚠ يوجد عهد غير مسترجعة","لا عهد معلقة"))</f>
        <v/>
      </c>
      <c r="I435" s="60" t="n"/>
      <c r="J435" s="40" t="n"/>
      <c r="K435" s="40" t="n"/>
      <c r="L435" s="40" t="n"/>
    </row>
    <row r="436">
      <c r="A436" s="47" t="n"/>
      <c r="B436" s="50">
        <f>IFERROR(INDEX(الموظفون_الاسم,MATCH($A436,الموظفون_الرقم,0)),"")</f>
        <v/>
      </c>
      <c r="C436" s="112" t="n"/>
      <c r="D436" s="47" t="n"/>
      <c r="E436" s="112" t="n"/>
      <c r="F436" s="47" t="n"/>
      <c r="G436" s="47" t="n"/>
      <c r="H436" s="50">
        <f>IF($A436="","",IF(COUNTIFS(العهد_الرقم,$A436,العهد_الحالة,"&lt;&gt;مسترجعة")&gt;0,"⚠ يوجد عهد غير مسترجعة","لا عهد معلقة"))</f>
        <v/>
      </c>
      <c r="I436" s="63" t="n"/>
      <c r="J436" s="47" t="n"/>
      <c r="K436" s="47" t="n"/>
      <c r="L436" s="47" t="n"/>
    </row>
    <row r="437">
      <c r="A437" s="40" t="n"/>
      <c r="B437" s="43">
        <f>IFERROR(INDEX(الموظفون_الاسم,MATCH($A437,الموظفون_الرقم,0)),"")</f>
        <v/>
      </c>
      <c r="C437" s="110" t="n"/>
      <c r="D437" s="40" t="n"/>
      <c r="E437" s="110" t="n"/>
      <c r="F437" s="40" t="n"/>
      <c r="G437" s="40" t="n"/>
      <c r="H437" s="43">
        <f>IF($A437="","",IF(COUNTIFS(العهد_الرقم,$A437,العهد_الحالة,"&lt;&gt;مسترجعة")&gt;0,"⚠ يوجد عهد غير مسترجعة","لا عهد معلقة"))</f>
        <v/>
      </c>
      <c r="I437" s="60" t="n"/>
      <c r="J437" s="40" t="n"/>
      <c r="K437" s="40" t="n"/>
      <c r="L437" s="40" t="n"/>
    </row>
    <row r="438">
      <c r="A438" s="47" t="n"/>
      <c r="B438" s="50">
        <f>IFERROR(INDEX(الموظفون_الاسم,MATCH($A438,الموظفون_الرقم,0)),"")</f>
        <v/>
      </c>
      <c r="C438" s="112" t="n"/>
      <c r="D438" s="47" t="n"/>
      <c r="E438" s="112" t="n"/>
      <c r="F438" s="47" t="n"/>
      <c r="G438" s="47" t="n"/>
      <c r="H438" s="50">
        <f>IF($A438="","",IF(COUNTIFS(العهد_الرقم,$A438,العهد_الحالة,"&lt;&gt;مسترجعة")&gt;0,"⚠ يوجد عهد غير مسترجعة","لا عهد معلقة"))</f>
        <v/>
      </c>
      <c r="I438" s="63" t="n"/>
      <c r="J438" s="47" t="n"/>
      <c r="K438" s="47" t="n"/>
      <c r="L438" s="47" t="n"/>
    </row>
    <row r="439">
      <c r="A439" s="40" t="n"/>
      <c r="B439" s="43">
        <f>IFERROR(INDEX(الموظفون_الاسم,MATCH($A439,الموظفون_الرقم,0)),"")</f>
        <v/>
      </c>
      <c r="C439" s="110" t="n"/>
      <c r="D439" s="40" t="n"/>
      <c r="E439" s="110" t="n"/>
      <c r="F439" s="40" t="n"/>
      <c r="G439" s="40" t="n"/>
      <c r="H439" s="43">
        <f>IF($A439="","",IF(COUNTIFS(العهد_الرقم,$A439,العهد_الحالة,"&lt;&gt;مسترجعة")&gt;0,"⚠ يوجد عهد غير مسترجعة","لا عهد معلقة"))</f>
        <v/>
      </c>
      <c r="I439" s="60" t="n"/>
      <c r="J439" s="40" t="n"/>
      <c r="K439" s="40" t="n"/>
      <c r="L439" s="40" t="n"/>
    </row>
    <row r="440">
      <c r="A440" s="47" t="n"/>
      <c r="B440" s="50">
        <f>IFERROR(INDEX(الموظفون_الاسم,MATCH($A440,الموظفون_الرقم,0)),"")</f>
        <v/>
      </c>
      <c r="C440" s="112" t="n"/>
      <c r="D440" s="47" t="n"/>
      <c r="E440" s="112" t="n"/>
      <c r="F440" s="47" t="n"/>
      <c r="G440" s="47" t="n"/>
      <c r="H440" s="50">
        <f>IF($A440="","",IF(COUNTIFS(العهد_الرقم,$A440,العهد_الحالة,"&lt;&gt;مسترجعة")&gt;0,"⚠ يوجد عهد غير مسترجعة","لا عهد معلقة"))</f>
        <v/>
      </c>
      <c r="I440" s="63" t="n"/>
      <c r="J440" s="47" t="n"/>
      <c r="K440" s="47" t="n"/>
      <c r="L440" s="47" t="n"/>
    </row>
    <row r="441">
      <c r="A441" s="40" t="n"/>
      <c r="B441" s="43">
        <f>IFERROR(INDEX(الموظفون_الاسم,MATCH($A441,الموظفون_الرقم,0)),"")</f>
        <v/>
      </c>
      <c r="C441" s="110" t="n"/>
      <c r="D441" s="40" t="n"/>
      <c r="E441" s="110" t="n"/>
      <c r="F441" s="40" t="n"/>
      <c r="G441" s="40" t="n"/>
      <c r="H441" s="43">
        <f>IF($A441="","",IF(COUNTIFS(العهد_الرقم,$A441,العهد_الحالة,"&lt;&gt;مسترجعة")&gt;0,"⚠ يوجد عهد غير مسترجعة","لا عهد معلقة"))</f>
        <v/>
      </c>
      <c r="I441" s="60" t="n"/>
      <c r="J441" s="40" t="n"/>
      <c r="K441" s="40" t="n"/>
      <c r="L441" s="40" t="n"/>
    </row>
    <row r="442">
      <c r="A442" s="47" t="n"/>
      <c r="B442" s="50">
        <f>IFERROR(INDEX(الموظفون_الاسم,MATCH($A442,الموظفون_الرقم,0)),"")</f>
        <v/>
      </c>
      <c r="C442" s="112" t="n"/>
      <c r="D442" s="47" t="n"/>
      <c r="E442" s="112" t="n"/>
      <c r="F442" s="47" t="n"/>
      <c r="G442" s="47" t="n"/>
      <c r="H442" s="50">
        <f>IF($A442="","",IF(COUNTIFS(العهد_الرقم,$A442,العهد_الحالة,"&lt;&gt;مسترجعة")&gt;0,"⚠ يوجد عهد غير مسترجعة","لا عهد معلقة"))</f>
        <v/>
      </c>
      <c r="I442" s="63" t="n"/>
      <c r="J442" s="47" t="n"/>
      <c r="K442" s="47" t="n"/>
      <c r="L442" s="47" t="n"/>
    </row>
    <row r="443">
      <c r="A443" s="40" t="n"/>
      <c r="B443" s="43">
        <f>IFERROR(INDEX(الموظفون_الاسم,MATCH($A443,الموظفون_الرقم,0)),"")</f>
        <v/>
      </c>
      <c r="C443" s="110" t="n"/>
      <c r="D443" s="40" t="n"/>
      <c r="E443" s="110" t="n"/>
      <c r="F443" s="40" t="n"/>
      <c r="G443" s="40" t="n"/>
      <c r="H443" s="43">
        <f>IF($A443="","",IF(COUNTIFS(العهد_الرقم,$A443,العهد_الحالة,"&lt;&gt;مسترجعة")&gt;0,"⚠ يوجد عهد غير مسترجعة","لا عهد معلقة"))</f>
        <v/>
      </c>
      <c r="I443" s="60" t="n"/>
      <c r="J443" s="40" t="n"/>
      <c r="K443" s="40" t="n"/>
      <c r="L443" s="40" t="n"/>
    </row>
    <row r="444">
      <c r="A444" s="47" t="n"/>
      <c r="B444" s="50">
        <f>IFERROR(INDEX(الموظفون_الاسم,MATCH($A444,الموظفون_الرقم,0)),"")</f>
        <v/>
      </c>
      <c r="C444" s="112" t="n"/>
      <c r="D444" s="47" t="n"/>
      <c r="E444" s="112" t="n"/>
      <c r="F444" s="47" t="n"/>
      <c r="G444" s="47" t="n"/>
      <c r="H444" s="50">
        <f>IF($A444="","",IF(COUNTIFS(العهد_الرقم,$A444,العهد_الحالة,"&lt;&gt;مسترجعة")&gt;0,"⚠ يوجد عهد غير مسترجعة","لا عهد معلقة"))</f>
        <v/>
      </c>
      <c r="I444" s="63" t="n"/>
      <c r="J444" s="47" t="n"/>
      <c r="K444" s="47" t="n"/>
      <c r="L444" s="47" t="n"/>
    </row>
    <row r="445">
      <c r="A445" s="40" t="n"/>
      <c r="B445" s="43">
        <f>IFERROR(INDEX(الموظفون_الاسم,MATCH($A445,الموظفون_الرقم,0)),"")</f>
        <v/>
      </c>
      <c r="C445" s="110" t="n"/>
      <c r="D445" s="40" t="n"/>
      <c r="E445" s="110" t="n"/>
      <c r="F445" s="40" t="n"/>
      <c r="G445" s="40" t="n"/>
      <c r="H445" s="43">
        <f>IF($A445="","",IF(COUNTIFS(العهد_الرقم,$A445,العهد_الحالة,"&lt;&gt;مسترجعة")&gt;0,"⚠ يوجد عهد غير مسترجعة","لا عهد معلقة"))</f>
        <v/>
      </c>
      <c r="I445" s="60" t="n"/>
      <c r="J445" s="40" t="n"/>
      <c r="K445" s="40" t="n"/>
      <c r="L445" s="40" t="n"/>
    </row>
    <row r="446">
      <c r="A446" s="47" t="n"/>
      <c r="B446" s="50">
        <f>IFERROR(INDEX(الموظفون_الاسم,MATCH($A446,الموظفون_الرقم,0)),"")</f>
        <v/>
      </c>
      <c r="C446" s="112" t="n"/>
      <c r="D446" s="47" t="n"/>
      <c r="E446" s="112" t="n"/>
      <c r="F446" s="47" t="n"/>
      <c r="G446" s="47" t="n"/>
      <c r="H446" s="50">
        <f>IF($A446="","",IF(COUNTIFS(العهد_الرقم,$A446,العهد_الحالة,"&lt;&gt;مسترجعة")&gt;0,"⚠ يوجد عهد غير مسترجعة","لا عهد معلقة"))</f>
        <v/>
      </c>
      <c r="I446" s="63" t="n"/>
      <c r="J446" s="47" t="n"/>
      <c r="K446" s="47" t="n"/>
      <c r="L446" s="47" t="n"/>
    </row>
    <row r="447">
      <c r="A447" s="40" t="n"/>
      <c r="B447" s="43">
        <f>IFERROR(INDEX(الموظفون_الاسم,MATCH($A447,الموظفون_الرقم,0)),"")</f>
        <v/>
      </c>
      <c r="C447" s="110" t="n"/>
      <c r="D447" s="40" t="n"/>
      <c r="E447" s="110" t="n"/>
      <c r="F447" s="40" t="n"/>
      <c r="G447" s="40" t="n"/>
      <c r="H447" s="43">
        <f>IF($A447="","",IF(COUNTIFS(العهد_الرقم,$A447,العهد_الحالة,"&lt;&gt;مسترجعة")&gt;0,"⚠ يوجد عهد غير مسترجعة","لا عهد معلقة"))</f>
        <v/>
      </c>
      <c r="I447" s="60" t="n"/>
      <c r="J447" s="40" t="n"/>
      <c r="K447" s="40" t="n"/>
      <c r="L447" s="40" t="n"/>
    </row>
    <row r="448">
      <c r="A448" s="47" t="n"/>
      <c r="B448" s="50">
        <f>IFERROR(INDEX(الموظفون_الاسم,MATCH($A448,الموظفون_الرقم,0)),"")</f>
        <v/>
      </c>
      <c r="C448" s="112" t="n"/>
      <c r="D448" s="47" t="n"/>
      <c r="E448" s="112" t="n"/>
      <c r="F448" s="47" t="n"/>
      <c r="G448" s="47" t="n"/>
      <c r="H448" s="50">
        <f>IF($A448="","",IF(COUNTIFS(العهد_الرقم,$A448,العهد_الحالة,"&lt;&gt;مسترجعة")&gt;0,"⚠ يوجد عهد غير مسترجعة","لا عهد معلقة"))</f>
        <v/>
      </c>
      <c r="I448" s="63" t="n"/>
      <c r="J448" s="47" t="n"/>
      <c r="K448" s="47" t="n"/>
      <c r="L448" s="47" t="n"/>
    </row>
    <row r="449">
      <c r="A449" s="40" t="n"/>
      <c r="B449" s="43">
        <f>IFERROR(INDEX(الموظفون_الاسم,MATCH($A449,الموظفون_الرقم,0)),"")</f>
        <v/>
      </c>
      <c r="C449" s="110" t="n"/>
      <c r="D449" s="40" t="n"/>
      <c r="E449" s="110" t="n"/>
      <c r="F449" s="40" t="n"/>
      <c r="G449" s="40" t="n"/>
      <c r="H449" s="43">
        <f>IF($A449="","",IF(COUNTIFS(العهد_الرقم,$A449,العهد_الحالة,"&lt;&gt;مسترجعة")&gt;0,"⚠ يوجد عهد غير مسترجعة","لا عهد معلقة"))</f>
        <v/>
      </c>
      <c r="I449" s="60" t="n"/>
      <c r="J449" s="40" t="n"/>
      <c r="K449" s="40" t="n"/>
      <c r="L449" s="40" t="n"/>
    </row>
    <row r="450">
      <c r="A450" s="47" t="n"/>
      <c r="B450" s="50">
        <f>IFERROR(INDEX(الموظفون_الاسم,MATCH($A450,الموظفون_الرقم,0)),"")</f>
        <v/>
      </c>
      <c r="C450" s="112" t="n"/>
      <c r="D450" s="47" t="n"/>
      <c r="E450" s="112" t="n"/>
      <c r="F450" s="47" t="n"/>
      <c r="G450" s="47" t="n"/>
      <c r="H450" s="50">
        <f>IF($A450="","",IF(COUNTIFS(العهد_الرقم,$A450,العهد_الحالة,"&lt;&gt;مسترجعة")&gt;0,"⚠ يوجد عهد غير مسترجعة","لا عهد معلقة"))</f>
        <v/>
      </c>
      <c r="I450" s="63" t="n"/>
      <c r="J450" s="47" t="n"/>
      <c r="K450" s="47" t="n"/>
      <c r="L450" s="47" t="n"/>
    </row>
    <row r="451">
      <c r="A451" s="40" t="n"/>
      <c r="B451" s="43">
        <f>IFERROR(INDEX(الموظفون_الاسم,MATCH($A451,الموظفون_الرقم,0)),"")</f>
        <v/>
      </c>
      <c r="C451" s="110" t="n"/>
      <c r="D451" s="40" t="n"/>
      <c r="E451" s="110" t="n"/>
      <c r="F451" s="40" t="n"/>
      <c r="G451" s="40" t="n"/>
      <c r="H451" s="43">
        <f>IF($A451="","",IF(COUNTIFS(العهد_الرقم,$A451,العهد_الحالة,"&lt;&gt;مسترجعة")&gt;0,"⚠ يوجد عهد غير مسترجعة","لا عهد معلقة"))</f>
        <v/>
      </c>
      <c r="I451" s="60" t="n"/>
      <c r="J451" s="40" t="n"/>
      <c r="K451" s="40" t="n"/>
      <c r="L451" s="40" t="n"/>
    </row>
    <row r="452">
      <c r="A452" s="47" t="n"/>
      <c r="B452" s="50">
        <f>IFERROR(INDEX(الموظفون_الاسم,MATCH($A452,الموظفون_الرقم,0)),"")</f>
        <v/>
      </c>
      <c r="C452" s="112" t="n"/>
      <c r="D452" s="47" t="n"/>
      <c r="E452" s="112" t="n"/>
      <c r="F452" s="47" t="n"/>
      <c r="G452" s="47" t="n"/>
      <c r="H452" s="50">
        <f>IF($A452="","",IF(COUNTIFS(العهد_الرقم,$A452,العهد_الحالة,"&lt;&gt;مسترجعة")&gt;0,"⚠ يوجد عهد غير مسترجعة","لا عهد معلقة"))</f>
        <v/>
      </c>
      <c r="I452" s="63" t="n"/>
      <c r="J452" s="47" t="n"/>
      <c r="K452" s="47" t="n"/>
      <c r="L452" s="47" t="n"/>
    </row>
    <row r="453">
      <c r="A453" s="40" t="n"/>
      <c r="B453" s="43">
        <f>IFERROR(INDEX(الموظفون_الاسم,MATCH($A453,الموظفون_الرقم,0)),"")</f>
        <v/>
      </c>
      <c r="C453" s="110" t="n"/>
      <c r="D453" s="40" t="n"/>
      <c r="E453" s="110" t="n"/>
      <c r="F453" s="40" t="n"/>
      <c r="G453" s="40" t="n"/>
      <c r="H453" s="43">
        <f>IF($A453="","",IF(COUNTIFS(العهد_الرقم,$A453,العهد_الحالة,"&lt;&gt;مسترجعة")&gt;0,"⚠ يوجد عهد غير مسترجعة","لا عهد معلقة"))</f>
        <v/>
      </c>
      <c r="I453" s="60" t="n"/>
      <c r="J453" s="40" t="n"/>
      <c r="K453" s="40" t="n"/>
      <c r="L453" s="40" t="n"/>
    </row>
    <row r="454">
      <c r="A454" s="47" t="n"/>
      <c r="B454" s="50">
        <f>IFERROR(INDEX(الموظفون_الاسم,MATCH($A454,الموظفون_الرقم,0)),"")</f>
        <v/>
      </c>
      <c r="C454" s="112" t="n"/>
      <c r="D454" s="47" t="n"/>
      <c r="E454" s="112" t="n"/>
      <c r="F454" s="47" t="n"/>
      <c r="G454" s="47" t="n"/>
      <c r="H454" s="50">
        <f>IF($A454="","",IF(COUNTIFS(العهد_الرقم,$A454,العهد_الحالة,"&lt;&gt;مسترجعة")&gt;0,"⚠ يوجد عهد غير مسترجعة","لا عهد معلقة"))</f>
        <v/>
      </c>
      <c r="I454" s="63" t="n"/>
      <c r="J454" s="47" t="n"/>
      <c r="K454" s="47" t="n"/>
      <c r="L454" s="47" t="n"/>
    </row>
    <row r="455">
      <c r="A455" s="40" t="n"/>
      <c r="B455" s="43">
        <f>IFERROR(INDEX(الموظفون_الاسم,MATCH($A455,الموظفون_الرقم,0)),"")</f>
        <v/>
      </c>
      <c r="C455" s="110" t="n"/>
      <c r="D455" s="40" t="n"/>
      <c r="E455" s="110" t="n"/>
      <c r="F455" s="40" t="n"/>
      <c r="G455" s="40" t="n"/>
      <c r="H455" s="43">
        <f>IF($A455="","",IF(COUNTIFS(العهد_الرقم,$A455,العهد_الحالة,"&lt;&gt;مسترجعة")&gt;0,"⚠ يوجد عهد غير مسترجعة","لا عهد معلقة"))</f>
        <v/>
      </c>
      <c r="I455" s="60" t="n"/>
      <c r="J455" s="40" t="n"/>
      <c r="K455" s="40" t="n"/>
      <c r="L455" s="40" t="n"/>
    </row>
    <row r="456">
      <c r="A456" s="47" t="n"/>
      <c r="B456" s="50">
        <f>IFERROR(INDEX(الموظفون_الاسم,MATCH($A456,الموظفون_الرقم,0)),"")</f>
        <v/>
      </c>
      <c r="C456" s="112" t="n"/>
      <c r="D456" s="47" t="n"/>
      <c r="E456" s="112" t="n"/>
      <c r="F456" s="47" t="n"/>
      <c r="G456" s="47" t="n"/>
      <c r="H456" s="50">
        <f>IF($A456="","",IF(COUNTIFS(العهد_الرقم,$A456,العهد_الحالة,"&lt;&gt;مسترجعة")&gt;0,"⚠ يوجد عهد غير مسترجعة","لا عهد معلقة"))</f>
        <v/>
      </c>
      <c r="I456" s="63" t="n"/>
      <c r="J456" s="47" t="n"/>
      <c r="K456" s="47" t="n"/>
      <c r="L456" s="47" t="n"/>
    </row>
    <row r="457">
      <c r="A457" s="40" t="n"/>
      <c r="B457" s="43">
        <f>IFERROR(INDEX(الموظفون_الاسم,MATCH($A457,الموظفون_الرقم,0)),"")</f>
        <v/>
      </c>
      <c r="C457" s="110" t="n"/>
      <c r="D457" s="40" t="n"/>
      <c r="E457" s="110" t="n"/>
      <c r="F457" s="40" t="n"/>
      <c r="G457" s="40" t="n"/>
      <c r="H457" s="43">
        <f>IF($A457="","",IF(COUNTIFS(العهد_الرقم,$A457,العهد_الحالة,"&lt;&gt;مسترجعة")&gt;0,"⚠ يوجد عهد غير مسترجعة","لا عهد معلقة"))</f>
        <v/>
      </c>
      <c r="I457" s="60" t="n"/>
      <c r="J457" s="40" t="n"/>
      <c r="K457" s="40" t="n"/>
      <c r="L457" s="40" t="n"/>
    </row>
    <row r="458">
      <c r="A458" s="47" t="n"/>
      <c r="B458" s="50">
        <f>IFERROR(INDEX(الموظفون_الاسم,MATCH($A458,الموظفون_الرقم,0)),"")</f>
        <v/>
      </c>
      <c r="C458" s="112" t="n"/>
      <c r="D458" s="47" t="n"/>
      <c r="E458" s="112" t="n"/>
      <c r="F458" s="47" t="n"/>
      <c r="G458" s="47" t="n"/>
      <c r="H458" s="50">
        <f>IF($A458="","",IF(COUNTIFS(العهد_الرقم,$A458,العهد_الحالة,"&lt;&gt;مسترجعة")&gt;0,"⚠ يوجد عهد غير مسترجعة","لا عهد معلقة"))</f>
        <v/>
      </c>
      <c r="I458" s="63" t="n"/>
      <c r="J458" s="47" t="n"/>
      <c r="K458" s="47" t="n"/>
      <c r="L458" s="47" t="n"/>
    </row>
    <row r="459">
      <c r="A459" s="40" t="n"/>
      <c r="B459" s="43">
        <f>IFERROR(INDEX(الموظفون_الاسم,MATCH($A459,الموظفون_الرقم,0)),"")</f>
        <v/>
      </c>
      <c r="C459" s="110" t="n"/>
      <c r="D459" s="40" t="n"/>
      <c r="E459" s="110" t="n"/>
      <c r="F459" s="40" t="n"/>
      <c r="G459" s="40" t="n"/>
      <c r="H459" s="43">
        <f>IF($A459="","",IF(COUNTIFS(العهد_الرقم,$A459,العهد_الحالة,"&lt;&gt;مسترجعة")&gt;0,"⚠ يوجد عهد غير مسترجعة","لا عهد معلقة"))</f>
        <v/>
      </c>
      <c r="I459" s="60" t="n"/>
      <c r="J459" s="40" t="n"/>
      <c r="K459" s="40" t="n"/>
      <c r="L459" s="40" t="n"/>
    </row>
    <row r="460">
      <c r="A460" s="47" t="n"/>
      <c r="B460" s="50">
        <f>IFERROR(INDEX(الموظفون_الاسم,MATCH($A460,الموظفون_الرقم,0)),"")</f>
        <v/>
      </c>
      <c r="C460" s="112" t="n"/>
      <c r="D460" s="47" t="n"/>
      <c r="E460" s="112" t="n"/>
      <c r="F460" s="47" t="n"/>
      <c r="G460" s="47" t="n"/>
      <c r="H460" s="50">
        <f>IF($A460="","",IF(COUNTIFS(العهد_الرقم,$A460,العهد_الحالة,"&lt;&gt;مسترجعة")&gt;0,"⚠ يوجد عهد غير مسترجعة","لا عهد معلقة"))</f>
        <v/>
      </c>
      <c r="I460" s="63" t="n"/>
      <c r="J460" s="47" t="n"/>
      <c r="K460" s="47" t="n"/>
      <c r="L460" s="47" t="n"/>
    </row>
    <row r="461">
      <c r="A461" s="40" t="n"/>
      <c r="B461" s="43">
        <f>IFERROR(INDEX(الموظفون_الاسم,MATCH($A461,الموظفون_الرقم,0)),"")</f>
        <v/>
      </c>
      <c r="C461" s="110" t="n"/>
      <c r="D461" s="40" t="n"/>
      <c r="E461" s="110" t="n"/>
      <c r="F461" s="40" t="n"/>
      <c r="G461" s="40" t="n"/>
      <c r="H461" s="43">
        <f>IF($A461="","",IF(COUNTIFS(العهد_الرقم,$A461,العهد_الحالة,"&lt;&gt;مسترجعة")&gt;0,"⚠ يوجد عهد غير مسترجعة","لا عهد معلقة"))</f>
        <v/>
      </c>
      <c r="I461" s="60" t="n"/>
      <c r="J461" s="40" t="n"/>
      <c r="K461" s="40" t="n"/>
      <c r="L461" s="40" t="n"/>
    </row>
    <row r="462">
      <c r="A462" s="47" t="n"/>
      <c r="B462" s="50">
        <f>IFERROR(INDEX(الموظفون_الاسم,MATCH($A462,الموظفون_الرقم,0)),"")</f>
        <v/>
      </c>
      <c r="C462" s="112" t="n"/>
      <c r="D462" s="47" t="n"/>
      <c r="E462" s="112" t="n"/>
      <c r="F462" s="47" t="n"/>
      <c r="G462" s="47" t="n"/>
      <c r="H462" s="50">
        <f>IF($A462="","",IF(COUNTIFS(العهد_الرقم,$A462,العهد_الحالة,"&lt;&gt;مسترجعة")&gt;0,"⚠ يوجد عهد غير مسترجعة","لا عهد معلقة"))</f>
        <v/>
      </c>
      <c r="I462" s="63" t="n"/>
      <c r="J462" s="47" t="n"/>
      <c r="K462" s="47" t="n"/>
      <c r="L462" s="47" t="n"/>
    </row>
    <row r="463">
      <c r="A463" s="40" t="n"/>
      <c r="B463" s="43">
        <f>IFERROR(INDEX(الموظفون_الاسم,MATCH($A463,الموظفون_الرقم,0)),"")</f>
        <v/>
      </c>
      <c r="C463" s="110" t="n"/>
      <c r="D463" s="40" t="n"/>
      <c r="E463" s="110" t="n"/>
      <c r="F463" s="40" t="n"/>
      <c r="G463" s="40" t="n"/>
      <c r="H463" s="43">
        <f>IF($A463="","",IF(COUNTIFS(العهد_الرقم,$A463,العهد_الحالة,"&lt;&gt;مسترجعة")&gt;0,"⚠ يوجد عهد غير مسترجعة","لا عهد معلقة"))</f>
        <v/>
      </c>
      <c r="I463" s="60" t="n"/>
      <c r="J463" s="40" t="n"/>
      <c r="K463" s="40" t="n"/>
      <c r="L463" s="40" t="n"/>
    </row>
    <row r="464">
      <c r="A464" s="47" t="n"/>
      <c r="B464" s="50">
        <f>IFERROR(INDEX(الموظفون_الاسم,MATCH($A464,الموظفون_الرقم,0)),"")</f>
        <v/>
      </c>
      <c r="C464" s="112" t="n"/>
      <c r="D464" s="47" t="n"/>
      <c r="E464" s="112" t="n"/>
      <c r="F464" s="47" t="n"/>
      <c r="G464" s="47" t="n"/>
      <c r="H464" s="50">
        <f>IF($A464="","",IF(COUNTIFS(العهد_الرقم,$A464,العهد_الحالة,"&lt;&gt;مسترجعة")&gt;0,"⚠ يوجد عهد غير مسترجعة","لا عهد معلقة"))</f>
        <v/>
      </c>
      <c r="I464" s="63" t="n"/>
      <c r="J464" s="47" t="n"/>
      <c r="K464" s="47" t="n"/>
      <c r="L464" s="47" t="n"/>
    </row>
    <row r="465">
      <c r="A465" s="40" t="n"/>
      <c r="B465" s="43">
        <f>IFERROR(INDEX(الموظفون_الاسم,MATCH($A465,الموظفون_الرقم,0)),"")</f>
        <v/>
      </c>
      <c r="C465" s="110" t="n"/>
      <c r="D465" s="40" t="n"/>
      <c r="E465" s="110" t="n"/>
      <c r="F465" s="40" t="n"/>
      <c r="G465" s="40" t="n"/>
      <c r="H465" s="43">
        <f>IF($A465="","",IF(COUNTIFS(العهد_الرقم,$A465,العهد_الحالة,"&lt;&gt;مسترجعة")&gt;0,"⚠ يوجد عهد غير مسترجعة","لا عهد معلقة"))</f>
        <v/>
      </c>
      <c r="I465" s="60" t="n"/>
      <c r="J465" s="40" t="n"/>
      <c r="K465" s="40" t="n"/>
      <c r="L465" s="40" t="n"/>
    </row>
    <row r="466">
      <c r="A466" s="47" t="n"/>
      <c r="B466" s="50">
        <f>IFERROR(INDEX(الموظفون_الاسم,MATCH($A466,الموظفون_الرقم,0)),"")</f>
        <v/>
      </c>
      <c r="C466" s="112" t="n"/>
      <c r="D466" s="47" t="n"/>
      <c r="E466" s="112" t="n"/>
      <c r="F466" s="47" t="n"/>
      <c r="G466" s="47" t="n"/>
      <c r="H466" s="50">
        <f>IF($A466="","",IF(COUNTIFS(العهد_الرقم,$A466,العهد_الحالة,"&lt;&gt;مسترجعة")&gt;0,"⚠ يوجد عهد غير مسترجعة","لا عهد معلقة"))</f>
        <v/>
      </c>
      <c r="I466" s="63" t="n"/>
      <c r="J466" s="47" t="n"/>
      <c r="K466" s="47" t="n"/>
      <c r="L466" s="47" t="n"/>
    </row>
    <row r="467">
      <c r="A467" s="40" t="n"/>
      <c r="B467" s="43">
        <f>IFERROR(INDEX(الموظفون_الاسم,MATCH($A467,الموظفون_الرقم,0)),"")</f>
        <v/>
      </c>
      <c r="C467" s="110" t="n"/>
      <c r="D467" s="40" t="n"/>
      <c r="E467" s="110" t="n"/>
      <c r="F467" s="40" t="n"/>
      <c r="G467" s="40" t="n"/>
      <c r="H467" s="43">
        <f>IF($A467="","",IF(COUNTIFS(العهد_الرقم,$A467,العهد_الحالة,"&lt;&gt;مسترجعة")&gt;0,"⚠ يوجد عهد غير مسترجعة","لا عهد معلقة"))</f>
        <v/>
      </c>
      <c r="I467" s="60" t="n"/>
      <c r="J467" s="40" t="n"/>
      <c r="K467" s="40" t="n"/>
      <c r="L467" s="40" t="n"/>
    </row>
    <row r="468">
      <c r="A468" s="47" t="n"/>
      <c r="B468" s="50">
        <f>IFERROR(INDEX(الموظفون_الاسم,MATCH($A468,الموظفون_الرقم,0)),"")</f>
        <v/>
      </c>
      <c r="C468" s="112" t="n"/>
      <c r="D468" s="47" t="n"/>
      <c r="E468" s="112" t="n"/>
      <c r="F468" s="47" t="n"/>
      <c r="G468" s="47" t="n"/>
      <c r="H468" s="50">
        <f>IF($A468="","",IF(COUNTIFS(العهد_الرقم,$A468,العهد_الحالة,"&lt;&gt;مسترجعة")&gt;0,"⚠ يوجد عهد غير مسترجعة","لا عهد معلقة"))</f>
        <v/>
      </c>
      <c r="I468" s="63" t="n"/>
      <c r="J468" s="47" t="n"/>
      <c r="K468" s="47" t="n"/>
      <c r="L468" s="47" t="n"/>
    </row>
    <row r="469">
      <c r="A469" s="40" t="n"/>
      <c r="B469" s="43">
        <f>IFERROR(INDEX(الموظفون_الاسم,MATCH($A469,الموظفون_الرقم,0)),"")</f>
        <v/>
      </c>
      <c r="C469" s="110" t="n"/>
      <c r="D469" s="40" t="n"/>
      <c r="E469" s="110" t="n"/>
      <c r="F469" s="40" t="n"/>
      <c r="G469" s="40" t="n"/>
      <c r="H469" s="43">
        <f>IF($A469="","",IF(COUNTIFS(العهد_الرقم,$A469,العهد_الحالة,"&lt;&gt;مسترجعة")&gt;0,"⚠ يوجد عهد غير مسترجعة","لا عهد معلقة"))</f>
        <v/>
      </c>
      <c r="I469" s="60" t="n"/>
      <c r="J469" s="40" t="n"/>
      <c r="K469" s="40" t="n"/>
      <c r="L469" s="40" t="n"/>
    </row>
    <row r="470">
      <c r="A470" s="47" t="n"/>
      <c r="B470" s="50">
        <f>IFERROR(INDEX(الموظفون_الاسم,MATCH($A470,الموظفون_الرقم,0)),"")</f>
        <v/>
      </c>
      <c r="C470" s="112" t="n"/>
      <c r="D470" s="47" t="n"/>
      <c r="E470" s="112" t="n"/>
      <c r="F470" s="47" t="n"/>
      <c r="G470" s="47" t="n"/>
      <c r="H470" s="50">
        <f>IF($A470="","",IF(COUNTIFS(العهد_الرقم,$A470,العهد_الحالة,"&lt;&gt;مسترجعة")&gt;0,"⚠ يوجد عهد غير مسترجعة","لا عهد معلقة"))</f>
        <v/>
      </c>
      <c r="I470" s="63" t="n"/>
      <c r="J470" s="47" t="n"/>
      <c r="K470" s="47" t="n"/>
      <c r="L470" s="47" t="n"/>
    </row>
    <row r="471">
      <c r="A471" s="40" t="n"/>
      <c r="B471" s="43">
        <f>IFERROR(INDEX(الموظفون_الاسم,MATCH($A471,الموظفون_الرقم,0)),"")</f>
        <v/>
      </c>
      <c r="C471" s="110" t="n"/>
      <c r="D471" s="40" t="n"/>
      <c r="E471" s="110" t="n"/>
      <c r="F471" s="40" t="n"/>
      <c r="G471" s="40" t="n"/>
      <c r="H471" s="43">
        <f>IF($A471="","",IF(COUNTIFS(العهد_الرقم,$A471,العهد_الحالة,"&lt;&gt;مسترجعة")&gt;0,"⚠ يوجد عهد غير مسترجعة","لا عهد معلقة"))</f>
        <v/>
      </c>
      <c r="I471" s="60" t="n"/>
      <c r="J471" s="40" t="n"/>
      <c r="K471" s="40" t="n"/>
      <c r="L471" s="40" t="n"/>
    </row>
    <row r="472">
      <c r="A472" s="47" t="n"/>
      <c r="B472" s="50">
        <f>IFERROR(INDEX(الموظفون_الاسم,MATCH($A472,الموظفون_الرقم,0)),"")</f>
        <v/>
      </c>
      <c r="C472" s="112" t="n"/>
      <c r="D472" s="47" t="n"/>
      <c r="E472" s="112" t="n"/>
      <c r="F472" s="47" t="n"/>
      <c r="G472" s="47" t="n"/>
      <c r="H472" s="50">
        <f>IF($A472="","",IF(COUNTIFS(العهد_الرقم,$A472,العهد_الحالة,"&lt;&gt;مسترجعة")&gt;0,"⚠ يوجد عهد غير مسترجعة","لا عهد معلقة"))</f>
        <v/>
      </c>
      <c r="I472" s="63" t="n"/>
      <c r="J472" s="47" t="n"/>
      <c r="K472" s="47" t="n"/>
      <c r="L472" s="47" t="n"/>
    </row>
    <row r="473">
      <c r="A473" s="40" t="n"/>
      <c r="B473" s="43">
        <f>IFERROR(INDEX(الموظفون_الاسم,MATCH($A473,الموظفون_الرقم,0)),"")</f>
        <v/>
      </c>
      <c r="C473" s="110" t="n"/>
      <c r="D473" s="40" t="n"/>
      <c r="E473" s="110" t="n"/>
      <c r="F473" s="40" t="n"/>
      <c r="G473" s="40" t="n"/>
      <c r="H473" s="43">
        <f>IF($A473="","",IF(COUNTIFS(العهد_الرقم,$A473,العهد_الحالة,"&lt;&gt;مسترجعة")&gt;0,"⚠ يوجد عهد غير مسترجعة","لا عهد معلقة"))</f>
        <v/>
      </c>
      <c r="I473" s="60" t="n"/>
      <c r="J473" s="40" t="n"/>
      <c r="K473" s="40" t="n"/>
      <c r="L473" s="40" t="n"/>
    </row>
    <row r="474">
      <c r="A474" s="47" t="n"/>
      <c r="B474" s="50">
        <f>IFERROR(INDEX(الموظفون_الاسم,MATCH($A474,الموظفون_الرقم,0)),"")</f>
        <v/>
      </c>
      <c r="C474" s="112" t="n"/>
      <c r="D474" s="47" t="n"/>
      <c r="E474" s="112" t="n"/>
      <c r="F474" s="47" t="n"/>
      <c r="G474" s="47" t="n"/>
      <c r="H474" s="50">
        <f>IF($A474="","",IF(COUNTIFS(العهد_الرقم,$A474,العهد_الحالة,"&lt;&gt;مسترجعة")&gt;0,"⚠ يوجد عهد غير مسترجعة","لا عهد معلقة"))</f>
        <v/>
      </c>
      <c r="I474" s="63" t="n"/>
      <c r="J474" s="47" t="n"/>
      <c r="K474" s="47" t="n"/>
      <c r="L474" s="47" t="n"/>
    </row>
    <row r="475">
      <c r="A475" s="40" t="n"/>
      <c r="B475" s="43">
        <f>IFERROR(INDEX(الموظفون_الاسم,MATCH($A475,الموظفون_الرقم,0)),"")</f>
        <v/>
      </c>
      <c r="C475" s="110" t="n"/>
      <c r="D475" s="40" t="n"/>
      <c r="E475" s="110" t="n"/>
      <c r="F475" s="40" t="n"/>
      <c r="G475" s="40" t="n"/>
      <c r="H475" s="43">
        <f>IF($A475="","",IF(COUNTIFS(العهد_الرقم,$A475,العهد_الحالة,"&lt;&gt;مسترجعة")&gt;0,"⚠ يوجد عهد غير مسترجعة","لا عهد معلقة"))</f>
        <v/>
      </c>
      <c r="I475" s="60" t="n"/>
      <c r="J475" s="40" t="n"/>
      <c r="K475" s="40" t="n"/>
      <c r="L475" s="40" t="n"/>
    </row>
    <row r="476">
      <c r="A476" s="47" t="n"/>
      <c r="B476" s="50">
        <f>IFERROR(INDEX(الموظفون_الاسم,MATCH($A476,الموظفون_الرقم,0)),"")</f>
        <v/>
      </c>
      <c r="C476" s="112" t="n"/>
      <c r="D476" s="47" t="n"/>
      <c r="E476" s="112" t="n"/>
      <c r="F476" s="47" t="n"/>
      <c r="G476" s="47" t="n"/>
      <c r="H476" s="50">
        <f>IF($A476="","",IF(COUNTIFS(العهد_الرقم,$A476,العهد_الحالة,"&lt;&gt;مسترجعة")&gt;0,"⚠ يوجد عهد غير مسترجعة","لا عهد معلقة"))</f>
        <v/>
      </c>
      <c r="I476" s="63" t="n"/>
      <c r="J476" s="47" t="n"/>
      <c r="K476" s="47" t="n"/>
      <c r="L476" s="47" t="n"/>
    </row>
    <row r="477">
      <c r="A477" s="40" t="n"/>
      <c r="B477" s="43">
        <f>IFERROR(INDEX(الموظفون_الاسم,MATCH($A477,الموظفون_الرقم,0)),"")</f>
        <v/>
      </c>
      <c r="C477" s="110" t="n"/>
      <c r="D477" s="40" t="n"/>
      <c r="E477" s="110" t="n"/>
      <c r="F477" s="40" t="n"/>
      <c r="G477" s="40" t="n"/>
      <c r="H477" s="43">
        <f>IF($A477="","",IF(COUNTIFS(العهد_الرقم,$A477,العهد_الحالة,"&lt;&gt;مسترجعة")&gt;0,"⚠ يوجد عهد غير مسترجعة","لا عهد معلقة"))</f>
        <v/>
      </c>
      <c r="I477" s="60" t="n"/>
      <c r="J477" s="40" t="n"/>
      <c r="K477" s="40" t="n"/>
      <c r="L477" s="40" t="n"/>
    </row>
    <row r="478">
      <c r="A478" s="47" t="n"/>
      <c r="B478" s="50">
        <f>IFERROR(INDEX(الموظفون_الاسم,MATCH($A478,الموظفون_الرقم,0)),"")</f>
        <v/>
      </c>
      <c r="C478" s="112" t="n"/>
      <c r="D478" s="47" t="n"/>
      <c r="E478" s="112" t="n"/>
      <c r="F478" s="47" t="n"/>
      <c r="G478" s="47" t="n"/>
      <c r="H478" s="50">
        <f>IF($A478="","",IF(COUNTIFS(العهد_الرقم,$A478,العهد_الحالة,"&lt;&gt;مسترجعة")&gt;0,"⚠ يوجد عهد غير مسترجعة","لا عهد معلقة"))</f>
        <v/>
      </c>
      <c r="I478" s="63" t="n"/>
      <c r="J478" s="47" t="n"/>
      <c r="K478" s="47" t="n"/>
      <c r="L478" s="47" t="n"/>
    </row>
    <row r="479">
      <c r="A479" s="40" t="n"/>
      <c r="B479" s="43">
        <f>IFERROR(INDEX(الموظفون_الاسم,MATCH($A479,الموظفون_الرقم,0)),"")</f>
        <v/>
      </c>
      <c r="C479" s="110" t="n"/>
      <c r="D479" s="40" t="n"/>
      <c r="E479" s="110" t="n"/>
      <c r="F479" s="40" t="n"/>
      <c r="G479" s="40" t="n"/>
      <c r="H479" s="43">
        <f>IF($A479="","",IF(COUNTIFS(العهد_الرقم,$A479,العهد_الحالة,"&lt;&gt;مسترجعة")&gt;0,"⚠ يوجد عهد غير مسترجعة","لا عهد معلقة"))</f>
        <v/>
      </c>
      <c r="I479" s="60" t="n"/>
      <c r="J479" s="40" t="n"/>
      <c r="K479" s="40" t="n"/>
      <c r="L479" s="40" t="n"/>
    </row>
    <row r="480">
      <c r="A480" s="47" t="n"/>
      <c r="B480" s="50">
        <f>IFERROR(INDEX(الموظفون_الاسم,MATCH($A480,الموظفون_الرقم,0)),"")</f>
        <v/>
      </c>
      <c r="C480" s="112" t="n"/>
      <c r="D480" s="47" t="n"/>
      <c r="E480" s="112" t="n"/>
      <c r="F480" s="47" t="n"/>
      <c r="G480" s="47" t="n"/>
      <c r="H480" s="50">
        <f>IF($A480="","",IF(COUNTIFS(العهد_الرقم,$A480,العهد_الحالة,"&lt;&gt;مسترجعة")&gt;0,"⚠ يوجد عهد غير مسترجعة","لا عهد معلقة"))</f>
        <v/>
      </c>
      <c r="I480" s="63" t="n"/>
      <c r="J480" s="47" t="n"/>
      <c r="K480" s="47" t="n"/>
      <c r="L480" s="47" t="n"/>
    </row>
    <row r="481">
      <c r="A481" s="40" t="n"/>
      <c r="B481" s="43">
        <f>IFERROR(INDEX(الموظفون_الاسم,MATCH($A481,الموظفون_الرقم,0)),"")</f>
        <v/>
      </c>
      <c r="C481" s="110" t="n"/>
      <c r="D481" s="40" t="n"/>
      <c r="E481" s="110" t="n"/>
      <c r="F481" s="40" t="n"/>
      <c r="G481" s="40" t="n"/>
      <c r="H481" s="43">
        <f>IF($A481="","",IF(COUNTIFS(العهد_الرقم,$A481,العهد_الحالة,"&lt;&gt;مسترجعة")&gt;0,"⚠ يوجد عهد غير مسترجعة","لا عهد معلقة"))</f>
        <v/>
      </c>
      <c r="I481" s="60" t="n"/>
      <c r="J481" s="40" t="n"/>
      <c r="K481" s="40" t="n"/>
      <c r="L481" s="40" t="n"/>
    </row>
    <row r="482">
      <c r="A482" s="47" t="n"/>
      <c r="B482" s="50">
        <f>IFERROR(INDEX(الموظفون_الاسم,MATCH($A482,الموظفون_الرقم,0)),"")</f>
        <v/>
      </c>
      <c r="C482" s="112" t="n"/>
      <c r="D482" s="47" t="n"/>
      <c r="E482" s="112" t="n"/>
      <c r="F482" s="47" t="n"/>
      <c r="G482" s="47" t="n"/>
      <c r="H482" s="50">
        <f>IF($A482="","",IF(COUNTIFS(العهد_الرقم,$A482,العهد_الحالة,"&lt;&gt;مسترجعة")&gt;0,"⚠ يوجد عهد غير مسترجعة","لا عهد معلقة"))</f>
        <v/>
      </c>
      <c r="I482" s="63" t="n"/>
      <c r="J482" s="47" t="n"/>
      <c r="K482" s="47" t="n"/>
      <c r="L482" s="47" t="n"/>
    </row>
    <row r="483">
      <c r="A483" s="40" t="n"/>
      <c r="B483" s="43">
        <f>IFERROR(INDEX(الموظفون_الاسم,MATCH($A483,الموظفون_الرقم,0)),"")</f>
        <v/>
      </c>
      <c r="C483" s="110" t="n"/>
      <c r="D483" s="40" t="n"/>
      <c r="E483" s="110" t="n"/>
      <c r="F483" s="40" t="n"/>
      <c r="G483" s="40" t="n"/>
      <c r="H483" s="43">
        <f>IF($A483="","",IF(COUNTIFS(العهد_الرقم,$A483,العهد_الحالة,"&lt;&gt;مسترجعة")&gt;0,"⚠ يوجد عهد غير مسترجعة","لا عهد معلقة"))</f>
        <v/>
      </c>
      <c r="I483" s="60" t="n"/>
      <c r="J483" s="40" t="n"/>
      <c r="K483" s="40" t="n"/>
      <c r="L483" s="40" t="n"/>
    </row>
    <row r="484">
      <c r="A484" s="47" t="n"/>
      <c r="B484" s="50">
        <f>IFERROR(INDEX(الموظفون_الاسم,MATCH($A484,الموظفون_الرقم,0)),"")</f>
        <v/>
      </c>
      <c r="C484" s="112" t="n"/>
      <c r="D484" s="47" t="n"/>
      <c r="E484" s="112" t="n"/>
      <c r="F484" s="47" t="n"/>
      <c r="G484" s="47" t="n"/>
      <c r="H484" s="50">
        <f>IF($A484="","",IF(COUNTIFS(العهد_الرقم,$A484,العهد_الحالة,"&lt;&gt;مسترجعة")&gt;0,"⚠ يوجد عهد غير مسترجعة","لا عهد معلقة"))</f>
        <v/>
      </c>
      <c r="I484" s="63" t="n"/>
      <c r="J484" s="47" t="n"/>
      <c r="K484" s="47" t="n"/>
      <c r="L484" s="47" t="n"/>
    </row>
    <row r="485">
      <c r="A485" s="40" t="n"/>
      <c r="B485" s="43">
        <f>IFERROR(INDEX(الموظفون_الاسم,MATCH($A485,الموظفون_الرقم,0)),"")</f>
        <v/>
      </c>
      <c r="C485" s="110" t="n"/>
      <c r="D485" s="40" t="n"/>
      <c r="E485" s="110" t="n"/>
      <c r="F485" s="40" t="n"/>
      <c r="G485" s="40" t="n"/>
      <c r="H485" s="43">
        <f>IF($A485="","",IF(COUNTIFS(العهد_الرقم,$A485,العهد_الحالة,"&lt;&gt;مسترجعة")&gt;0,"⚠ يوجد عهد غير مسترجعة","لا عهد معلقة"))</f>
        <v/>
      </c>
      <c r="I485" s="60" t="n"/>
      <c r="J485" s="40" t="n"/>
      <c r="K485" s="40" t="n"/>
      <c r="L485" s="40" t="n"/>
    </row>
    <row r="486">
      <c r="A486" s="47" t="n"/>
      <c r="B486" s="50">
        <f>IFERROR(INDEX(الموظفون_الاسم,MATCH($A486,الموظفون_الرقم,0)),"")</f>
        <v/>
      </c>
      <c r="C486" s="112" t="n"/>
      <c r="D486" s="47" t="n"/>
      <c r="E486" s="112" t="n"/>
      <c r="F486" s="47" t="n"/>
      <c r="G486" s="47" t="n"/>
      <c r="H486" s="50">
        <f>IF($A486="","",IF(COUNTIFS(العهد_الرقم,$A486,العهد_الحالة,"&lt;&gt;مسترجعة")&gt;0,"⚠ يوجد عهد غير مسترجعة","لا عهد معلقة"))</f>
        <v/>
      </c>
      <c r="I486" s="63" t="n"/>
      <c r="J486" s="47" t="n"/>
      <c r="K486" s="47" t="n"/>
      <c r="L486" s="47" t="n"/>
    </row>
    <row r="487">
      <c r="A487" s="40" t="n"/>
      <c r="B487" s="43">
        <f>IFERROR(INDEX(الموظفون_الاسم,MATCH($A487,الموظفون_الرقم,0)),"")</f>
        <v/>
      </c>
      <c r="C487" s="110" t="n"/>
      <c r="D487" s="40" t="n"/>
      <c r="E487" s="110" t="n"/>
      <c r="F487" s="40" t="n"/>
      <c r="G487" s="40" t="n"/>
      <c r="H487" s="43">
        <f>IF($A487="","",IF(COUNTIFS(العهد_الرقم,$A487,العهد_الحالة,"&lt;&gt;مسترجعة")&gt;0,"⚠ يوجد عهد غير مسترجعة","لا عهد معلقة"))</f>
        <v/>
      </c>
      <c r="I487" s="60" t="n"/>
      <c r="J487" s="40" t="n"/>
      <c r="K487" s="40" t="n"/>
      <c r="L487" s="40" t="n"/>
    </row>
    <row r="488">
      <c r="A488" s="47" t="n"/>
      <c r="B488" s="50">
        <f>IFERROR(INDEX(الموظفون_الاسم,MATCH($A488,الموظفون_الرقم,0)),"")</f>
        <v/>
      </c>
      <c r="C488" s="112" t="n"/>
      <c r="D488" s="47" t="n"/>
      <c r="E488" s="112" t="n"/>
      <c r="F488" s="47" t="n"/>
      <c r="G488" s="47" t="n"/>
      <c r="H488" s="50">
        <f>IF($A488="","",IF(COUNTIFS(العهد_الرقم,$A488,العهد_الحالة,"&lt;&gt;مسترجعة")&gt;0,"⚠ يوجد عهد غير مسترجعة","لا عهد معلقة"))</f>
        <v/>
      </c>
      <c r="I488" s="63" t="n"/>
      <c r="J488" s="47" t="n"/>
      <c r="K488" s="47" t="n"/>
      <c r="L488" s="47" t="n"/>
    </row>
    <row r="489">
      <c r="A489" s="40" t="n"/>
      <c r="B489" s="43">
        <f>IFERROR(INDEX(الموظفون_الاسم,MATCH($A489,الموظفون_الرقم,0)),"")</f>
        <v/>
      </c>
      <c r="C489" s="110" t="n"/>
      <c r="D489" s="40" t="n"/>
      <c r="E489" s="110" t="n"/>
      <c r="F489" s="40" t="n"/>
      <c r="G489" s="40" t="n"/>
      <c r="H489" s="43">
        <f>IF($A489="","",IF(COUNTIFS(العهد_الرقم,$A489,العهد_الحالة,"&lt;&gt;مسترجعة")&gt;0,"⚠ يوجد عهد غير مسترجعة","لا عهد معلقة"))</f>
        <v/>
      </c>
      <c r="I489" s="60" t="n"/>
      <c r="J489" s="40" t="n"/>
      <c r="K489" s="40" t="n"/>
      <c r="L489" s="40" t="n"/>
    </row>
    <row r="490">
      <c r="A490" s="47" t="n"/>
      <c r="B490" s="50">
        <f>IFERROR(INDEX(الموظفون_الاسم,MATCH($A490,الموظفون_الرقم,0)),"")</f>
        <v/>
      </c>
      <c r="C490" s="112" t="n"/>
      <c r="D490" s="47" t="n"/>
      <c r="E490" s="112" t="n"/>
      <c r="F490" s="47" t="n"/>
      <c r="G490" s="47" t="n"/>
      <c r="H490" s="50">
        <f>IF($A490="","",IF(COUNTIFS(العهد_الرقم,$A490,العهد_الحالة,"&lt;&gt;مسترجعة")&gt;0,"⚠ يوجد عهد غير مسترجعة","لا عهد معلقة"))</f>
        <v/>
      </c>
      <c r="I490" s="63" t="n"/>
      <c r="J490" s="47" t="n"/>
      <c r="K490" s="47" t="n"/>
      <c r="L490" s="47" t="n"/>
    </row>
    <row r="491">
      <c r="A491" s="40" t="n"/>
      <c r="B491" s="43">
        <f>IFERROR(INDEX(الموظفون_الاسم,MATCH($A491,الموظفون_الرقم,0)),"")</f>
        <v/>
      </c>
      <c r="C491" s="110" t="n"/>
      <c r="D491" s="40" t="n"/>
      <c r="E491" s="110" t="n"/>
      <c r="F491" s="40" t="n"/>
      <c r="G491" s="40" t="n"/>
      <c r="H491" s="43">
        <f>IF($A491="","",IF(COUNTIFS(العهد_الرقم,$A491,العهد_الحالة,"&lt;&gt;مسترجعة")&gt;0,"⚠ يوجد عهد غير مسترجعة","لا عهد معلقة"))</f>
        <v/>
      </c>
      <c r="I491" s="60" t="n"/>
      <c r="J491" s="40" t="n"/>
      <c r="K491" s="40" t="n"/>
      <c r="L491" s="40" t="n"/>
    </row>
    <row r="492">
      <c r="A492" s="47" t="n"/>
      <c r="B492" s="50">
        <f>IFERROR(INDEX(الموظفون_الاسم,MATCH($A492,الموظفون_الرقم,0)),"")</f>
        <v/>
      </c>
      <c r="C492" s="112" t="n"/>
      <c r="D492" s="47" t="n"/>
      <c r="E492" s="112" t="n"/>
      <c r="F492" s="47" t="n"/>
      <c r="G492" s="47" t="n"/>
      <c r="H492" s="50">
        <f>IF($A492="","",IF(COUNTIFS(العهد_الرقم,$A492,العهد_الحالة,"&lt;&gt;مسترجعة")&gt;0,"⚠ يوجد عهد غير مسترجعة","لا عهد معلقة"))</f>
        <v/>
      </c>
      <c r="I492" s="63" t="n"/>
      <c r="J492" s="47" t="n"/>
      <c r="K492" s="47" t="n"/>
      <c r="L492" s="47" t="n"/>
    </row>
    <row r="493">
      <c r="A493" s="40" t="n"/>
      <c r="B493" s="43">
        <f>IFERROR(INDEX(الموظفون_الاسم,MATCH($A493,الموظفون_الرقم,0)),"")</f>
        <v/>
      </c>
      <c r="C493" s="110" t="n"/>
      <c r="D493" s="40" t="n"/>
      <c r="E493" s="110" t="n"/>
      <c r="F493" s="40" t="n"/>
      <c r="G493" s="40" t="n"/>
      <c r="H493" s="43">
        <f>IF($A493="","",IF(COUNTIFS(العهد_الرقم,$A493,العهد_الحالة,"&lt;&gt;مسترجعة")&gt;0,"⚠ يوجد عهد غير مسترجعة","لا عهد معلقة"))</f>
        <v/>
      </c>
      <c r="I493" s="60" t="n"/>
      <c r="J493" s="40" t="n"/>
      <c r="K493" s="40" t="n"/>
      <c r="L493" s="40" t="n"/>
    </row>
    <row r="494">
      <c r="A494" s="47" t="n"/>
      <c r="B494" s="50">
        <f>IFERROR(INDEX(الموظفون_الاسم,MATCH($A494,الموظفون_الرقم,0)),"")</f>
        <v/>
      </c>
      <c r="C494" s="112" t="n"/>
      <c r="D494" s="47" t="n"/>
      <c r="E494" s="112" t="n"/>
      <c r="F494" s="47" t="n"/>
      <c r="G494" s="47" t="n"/>
      <c r="H494" s="50">
        <f>IF($A494="","",IF(COUNTIFS(العهد_الرقم,$A494,العهد_الحالة,"&lt;&gt;مسترجعة")&gt;0,"⚠ يوجد عهد غير مسترجعة","لا عهد معلقة"))</f>
        <v/>
      </c>
      <c r="I494" s="63" t="n"/>
      <c r="J494" s="47" t="n"/>
      <c r="K494" s="47" t="n"/>
      <c r="L494" s="47" t="n"/>
    </row>
    <row r="495">
      <c r="A495" s="40" t="n"/>
      <c r="B495" s="43">
        <f>IFERROR(INDEX(الموظفون_الاسم,MATCH($A495,الموظفون_الرقم,0)),"")</f>
        <v/>
      </c>
      <c r="C495" s="110" t="n"/>
      <c r="D495" s="40" t="n"/>
      <c r="E495" s="110" t="n"/>
      <c r="F495" s="40" t="n"/>
      <c r="G495" s="40" t="n"/>
      <c r="H495" s="43">
        <f>IF($A495="","",IF(COUNTIFS(العهد_الرقم,$A495,العهد_الحالة,"&lt;&gt;مسترجعة")&gt;0,"⚠ يوجد عهد غير مسترجعة","لا عهد معلقة"))</f>
        <v/>
      </c>
      <c r="I495" s="60" t="n"/>
      <c r="J495" s="40" t="n"/>
      <c r="K495" s="40" t="n"/>
      <c r="L495" s="40" t="n"/>
    </row>
    <row r="496">
      <c r="A496" s="47" t="n"/>
      <c r="B496" s="50">
        <f>IFERROR(INDEX(الموظفون_الاسم,MATCH($A496,الموظفون_الرقم,0)),"")</f>
        <v/>
      </c>
      <c r="C496" s="112" t="n"/>
      <c r="D496" s="47" t="n"/>
      <c r="E496" s="112" t="n"/>
      <c r="F496" s="47" t="n"/>
      <c r="G496" s="47" t="n"/>
      <c r="H496" s="50">
        <f>IF($A496="","",IF(COUNTIFS(العهد_الرقم,$A496,العهد_الحالة,"&lt;&gt;مسترجعة")&gt;0,"⚠ يوجد عهد غير مسترجعة","لا عهد معلقة"))</f>
        <v/>
      </c>
      <c r="I496" s="63" t="n"/>
      <c r="J496" s="47" t="n"/>
      <c r="K496" s="47" t="n"/>
      <c r="L496" s="47" t="n"/>
    </row>
    <row r="497">
      <c r="A497" s="40" t="n"/>
      <c r="B497" s="43">
        <f>IFERROR(INDEX(الموظفون_الاسم,MATCH($A497,الموظفون_الرقم,0)),"")</f>
        <v/>
      </c>
      <c r="C497" s="110" t="n"/>
      <c r="D497" s="40" t="n"/>
      <c r="E497" s="110" t="n"/>
      <c r="F497" s="40" t="n"/>
      <c r="G497" s="40" t="n"/>
      <c r="H497" s="43">
        <f>IF($A497="","",IF(COUNTIFS(العهد_الرقم,$A497,العهد_الحالة,"&lt;&gt;مسترجعة")&gt;0,"⚠ يوجد عهد غير مسترجعة","لا عهد معلقة"))</f>
        <v/>
      </c>
      <c r="I497" s="60" t="n"/>
      <c r="J497" s="40" t="n"/>
      <c r="K497" s="40" t="n"/>
      <c r="L497" s="40" t="n"/>
    </row>
    <row r="498">
      <c r="A498" s="47" t="n"/>
      <c r="B498" s="50">
        <f>IFERROR(INDEX(الموظفون_الاسم,MATCH($A498,الموظفون_الرقم,0)),"")</f>
        <v/>
      </c>
      <c r="C498" s="112" t="n"/>
      <c r="D498" s="47" t="n"/>
      <c r="E498" s="112" t="n"/>
      <c r="F498" s="47" t="n"/>
      <c r="G498" s="47" t="n"/>
      <c r="H498" s="50">
        <f>IF($A498="","",IF(COUNTIFS(العهد_الرقم,$A498,العهد_الحالة,"&lt;&gt;مسترجعة")&gt;0,"⚠ يوجد عهد غير مسترجعة","لا عهد معلقة"))</f>
        <v/>
      </c>
      <c r="I498" s="63" t="n"/>
      <c r="J498" s="47" t="n"/>
      <c r="K498" s="47" t="n"/>
      <c r="L498" s="47" t="n"/>
    </row>
    <row r="499">
      <c r="A499" s="40" t="n"/>
      <c r="B499" s="43">
        <f>IFERROR(INDEX(الموظفون_الاسم,MATCH($A499,الموظفون_الرقم,0)),"")</f>
        <v/>
      </c>
      <c r="C499" s="110" t="n"/>
      <c r="D499" s="40" t="n"/>
      <c r="E499" s="110" t="n"/>
      <c r="F499" s="40" t="n"/>
      <c r="G499" s="40" t="n"/>
      <c r="H499" s="43">
        <f>IF($A499="","",IF(COUNTIFS(العهد_الرقم,$A499,العهد_الحالة,"&lt;&gt;مسترجعة")&gt;0,"⚠ يوجد عهد غير مسترجعة","لا عهد معلقة"))</f>
        <v/>
      </c>
      <c r="I499" s="60" t="n"/>
      <c r="J499" s="40" t="n"/>
      <c r="K499" s="40" t="n"/>
      <c r="L499" s="40" t="n"/>
    </row>
    <row r="500">
      <c r="A500" s="47" t="n"/>
      <c r="B500" s="50">
        <f>IFERROR(INDEX(الموظفون_الاسم,MATCH($A500,الموظفون_الرقم,0)),"")</f>
        <v/>
      </c>
      <c r="C500" s="112" t="n"/>
      <c r="D500" s="47" t="n"/>
      <c r="E500" s="112" t="n"/>
      <c r="F500" s="47" t="n"/>
      <c r="G500" s="47" t="n"/>
      <c r="H500" s="50">
        <f>IF($A500="","",IF(COUNTIFS(العهد_الرقم,$A500,العهد_الحالة,"&lt;&gt;مسترجعة")&gt;0,"⚠ يوجد عهد غير مسترجعة","لا عهد معلقة"))</f>
        <v/>
      </c>
      <c r="I500" s="63" t="n"/>
      <c r="J500" s="47" t="n"/>
      <c r="K500" s="47" t="n"/>
      <c r="L500" s="47" t="n"/>
    </row>
    <row r="501">
      <c r="A501" s="40" t="n"/>
      <c r="B501" s="43">
        <f>IFERROR(INDEX(الموظفون_الاسم,MATCH($A501,الموظفون_الرقم,0)),"")</f>
        <v/>
      </c>
      <c r="C501" s="110" t="n"/>
      <c r="D501" s="40" t="n"/>
      <c r="E501" s="110" t="n"/>
      <c r="F501" s="40" t="n"/>
      <c r="G501" s="40" t="n"/>
      <c r="H501" s="43">
        <f>IF($A501="","",IF(COUNTIFS(العهد_الرقم,$A501,العهد_الحالة,"&lt;&gt;مسترجعة")&gt;0,"⚠ يوجد عهد غير مسترجعة","لا عهد معلقة"))</f>
        <v/>
      </c>
      <c r="I501" s="60" t="n"/>
      <c r="J501" s="40" t="n"/>
      <c r="K501" s="40" t="n"/>
      <c r="L501" s="40" t="n"/>
    </row>
    <row r="502">
      <c r="A502" s="47" t="n"/>
      <c r="B502" s="50">
        <f>IFERROR(INDEX(الموظفون_الاسم,MATCH($A502,الموظفون_الرقم,0)),"")</f>
        <v/>
      </c>
      <c r="C502" s="112" t="n"/>
      <c r="D502" s="47" t="n"/>
      <c r="E502" s="112" t="n"/>
      <c r="F502" s="47" t="n"/>
      <c r="G502" s="47" t="n"/>
      <c r="H502" s="50">
        <f>IF($A502="","",IF(COUNTIFS(العهد_الرقم,$A502,العهد_الحالة,"&lt;&gt;مسترجعة")&gt;0,"⚠ يوجد عهد غير مسترجعة","لا عهد معلقة"))</f>
        <v/>
      </c>
      <c r="I502" s="63" t="n"/>
      <c r="J502" s="47" t="n"/>
      <c r="K502" s="47" t="n"/>
      <c r="L502" s="4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C605"/>
  <autoFilter ref="A2:L502"/>
  <mergeCells count="1">
    <mergeCell ref="A1:L1"/>
  </mergeCells>
  <conditionalFormatting sqref="H3:H502">
    <cfRule type="cellIs" priority="1" operator="equal" dxfId="3">
      <formula>"⚠ يوجد عهد غير مسترجعة"</formula>
    </cfRule>
  </conditionalFormatting>
  <conditionalFormatting sqref="G3:G502">
    <cfRule type="cellIs" priority="2" operator="equal" dxfId="2">
      <formula>"مكتمل"</formula>
    </cfRule>
  </conditionalFormatting>
  <dataValidations count="5">
    <dataValidation sqref="A3:A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=قائمة_الرقم_الوظيفي</formula1>
    </dataValidation>
    <dataValidation sqref="D3:D502" showDropDown="0" showInputMessage="0" showErrorMessage="1" allowBlank="1" type="list" errorStyle="stop">
      <formula1>"طلب استقالة,إنهاء من صاحب العمل,انتهاء عقد,تقاعد,إنهاء فوري,وفقًا لنظام العمل"</formula1>
    </dataValidation>
    <dataValidation sqref="G3:G502 J3:J502 K3:K502" showDropDown="0" showInputMessage="0" showErrorMessage="1" allowBlank="1" type="list" errorStyle="stop">
      <formula1>"مكتمل,قيد الإجراء,معلق"</formula1>
    </dataValidation>
    <dataValidation sqref="G3:G502 J3:J502 K3:K502" showDropDown="0" showInputMessage="0" showErrorMessage="1" allowBlank="1" type="list" errorStyle="stop">
      <formula1>"مكتمل,قيد الإجراء,معلق"</formula1>
    </dataValidation>
    <dataValidation sqref="G3:G502 J3:J502 K3:K502" showDropDown="0" showInputMessage="0" showErrorMessage="1" allowBlank="1" type="list" errorStyle="stop">
      <formula1>"مكتمل,قيد الإجراء,معلق"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00708C"/>
    <outlinePr summaryBelow="1" summaryRight="1"/>
    <pageSetUpPr fitToPage="1"/>
  </sheetPr>
  <dimension ref="A1:K502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3" customWidth="1" min="4" max="4"/>
    <col width="22" customWidth="1" min="5" max="5"/>
    <col width="13" customWidth="1" min="6" max="6"/>
    <col width="14" customWidth="1" min="7" max="7"/>
    <col width="13" customWidth="1" min="8" max="8"/>
    <col width="14" customWidth="1" min="9" max="9"/>
    <col width="14" customWidth="1" min="10" max="10"/>
    <col width="24" customWidth="1" min="11" max="11"/>
  </cols>
  <sheetData>
    <row r="1" ht="32" customHeight="1">
      <c r="A1" s="1" t="inlineStr">
        <is>
          <t>العهد  —  نموذج إدخال</t>
        </is>
      </c>
    </row>
    <row r="2" ht="42" customHeight="1">
      <c r="A2" s="38" t="inlineStr">
        <is>
          <t>رقم العهدة</t>
        </is>
      </c>
      <c r="B2" s="38" t="inlineStr">
        <is>
          <t>وصف الأصل</t>
        </is>
      </c>
      <c r="C2" s="38" t="inlineStr">
        <is>
          <t>الرقم التسلسلي</t>
        </is>
      </c>
      <c r="D2" s="38" t="inlineStr">
        <is>
          <t>الرقم الوظيفي</t>
        </is>
      </c>
      <c r="E2" s="38" t="inlineStr">
        <is>
          <t>اسم الموظف</t>
        </is>
      </c>
      <c r="F2" s="38" t="inlineStr">
        <is>
          <t>تاريخ التسليم</t>
        </is>
      </c>
      <c r="G2" s="38" t="inlineStr">
        <is>
          <t>الحالة عند التسليم</t>
        </is>
      </c>
      <c r="H2" s="38" t="inlineStr">
        <is>
          <t>تاريخ الإرجاع</t>
        </is>
      </c>
      <c r="I2" s="38" t="inlineStr">
        <is>
          <t>الحالة عند الإرجاع</t>
        </is>
      </c>
      <c r="J2" s="38" t="inlineStr">
        <is>
          <t>حالة العهدة</t>
        </is>
      </c>
      <c r="K2" s="38" t="inlineStr">
        <is>
          <t>الملاحظات</t>
        </is>
      </c>
    </row>
    <row r="3">
      <c r="A3" s="39" t="n"/>
      <c r="B3" s="40" t="n"/>
      <c r="C3" s="40" t="n"/>
      <c r="D3" s="40" t="n"/>
      <c r="E3" s="43">
        <f>IFERROR(INDEX(الموظفون_الاسم,MATCH($D3,الموظفون_الرقم,0)),"")</f>
        <v/>
      </c>
      <c r="F3" s="110" t="n"/>
      <c r="G3" s="40" t="n"/>
      <c r="H3" s="110" t="n"/>
      <c r="I3" s="40" t="n"/>
      <c r="J3" s="40" t="n"/>
      <c r="K3" s="40" t="n"/>
    </row>
    <row r="4">
      <c r="A4" s="46" t="n"/>
      <c r="B4" s="47" t="n"/>
      <c r="C4" s="47" t="n"/>
      <c r="D4" s="47" t="n"/>
      <c r="E4" s="50">
        <f>IFERROR(INDEX(الموظفون_الاسم,MATCH($D4,الموظفون_الرقم,0)),"")</f>
        <v/>
      </c>
      <c r="F4" s="112" t="n"/>
      <c r="G4" s="47" t="n"/>
      <c r="H4" s="112" t="n"/>
      <c r="I4" s="47" t="n"/>
      <c r="J4" s="47" t="n"/>
      <c r="K4" s="47" t="n"/>
    </row>
    <row r="5">
      <c r="A5" s="39" t="n"/>
      <c r="B5" s="40" t="n"/>
      <c r="C5" s="40" t="n"/>
      <c r="D5" s="40" t="n"/>
      <c r="E5" s="43">
        <f>IFERROR(INDEX(الموظفون_الاسم,MATCH($D5,الموظفون_الرقم,0)),"")</f>
        <v/>
      </c>
      <c r="F5" s="110" t="n"/>
      <c r="G5" s="40" t="n"/>
      <c r="H5" s="110" t="n"/>
      <c r="I5" s="40" t="n"/>
      <c r="J5" s="40" t="n"/>
      <c r="K5" s="40" t="n"/>
    </row>
    <row r="6">
      <c r="A6" s="46" t="n"/>
      <c r="B6" s="47" t="n"/>
      <c r="C6" s="47" t="n"/>
      <c r="D6" s="47" t="n"/>
      <c r="E6" s="50">
        <f>IFERROR(INDEX(الموظفون_الاسم,MATCH($D6,الموظفون_الرقم,0)),"")</f>
        <v/>
      </c>
      <c r="F6" s="112" t="n"/>
      <c r="G6" s="47" t="n"/>
      <c r="H6" s="112" t="n"/>
      <c r="I6" s="47" t="n"/>
      <c r="J6" s="47" t="n"/>
      <c r="K6" s="47" t="n"/>
    </row>
    <row r="7">
      <c r="A7" s="39" t="n"/>
      <c r="B7" s="40" t="n"/>
      <c r="C7" s="40" t="n"/>
      <c r="D7" s="40" t="n"/>
      <c r="E7" s="43">
        <f>IFERROR(INDEX(الموظفون_الاسم,MATCH($D7,الموظفون_الرقم,0)),"")</f>
        <v/>
      </c>
      <c r="F7" s="110" t="n"/>
      <c r="G7" s="40" t="n"/>
      <c r="H7" s="110" t="n"/>
      <c r="I7" s="40" t="n"/>
      <c r="J7" s="40" t="n"/>
      <c r="K7" s="40" t="n"/>
    </row>
    <row r="8">
      <c r="A8" s="46" t="n"/>
      <c r="B8" s="47" t="n"/>
      <c r="C8" s="47" t="n"/>
      <c r="D8" s="47" t="n"/>
      <c r="E8" s="50">
        <f>IFERROR(INDEX(الموظفون_الاسم,MATCH($D8,الموظفون_الرقم,0)),"")</f>
        <v/>
      </c>
      <c r="F8" s="112" t="n"/>
      <c r="G8" s="47" t="n"/>
      <c r="H8" s="112" t="n"/>
      <c r="I8" s="47" t="n"/>
      <c r="J8" s="47" t="n"/>
      <c r="K8" s="47" t="n"/>
    </row>
    <row r="9">
      <c r="A9" s="39" t="n"/>
      <c r="B9" s="40" t="n"/>
      <c r="C9" s="40" t="n"/>
      <c r="D9" s="40" t="n"/>
      <c r="E9" s="43">
        <f>IFERROR(INDEX(الموظفون_الاسم,MATCH($D9,الموظفون_الرقم,0)),"")</f>
        <v/>
      </c>
      <c r="F9" s="110" t="n"/>
      <c r="G9" s="40" t="n"/>
      <c r="H9" s="110" t="n"/>
      <c r="I9" s="40" t="n"/>
      <c r="J9" s="40" t="n"/>
      <c r="K9" s="40" t="n"/>
    </row>
    <row r="10">
      <c r="A10" s="46" t="n"/>
      <c r="B10" s="47" t="n"/>
      <c r="C10" s="47" t="n"/>
      <c r="D10" s="47" t="n"/>
      <c r="E10" s="50">
        <f>IFERROR(INDEX(الموظفون_الاسم,MATCH($D10,الموظفون_الرقم,0)),"")</f>
        <v/>
      </c>
      <c r="F10" s="112" t="n"/>
      <c r="G10" s="47" t="n"/>
      <c r="H10" s="112" t="n"/>
      <c r="I10" s="47" t="n"/>
      <c r="J10" s="47" t="n"/>
      <c r="K10" s="47" t="n"/>
    </row>
    <row r="11">
      <c r="A11" s="39" t="n"/>
      <c r="B11" s="40" t="n"/>
      <c r="C11" s="40" t="n"/>
      <c r="D11" s="40" t="n"/>
      <c r="E11" s="43">
        <f>IFERROR(INDEX(الموظفون_الاسم,MATCH($D11,الموظفون_الرقم,0)),"")</f>
        <v/>
      </c>
      <c r="F11" s="110" t="n"/>
      <c r="G11" s="40" t="n"/>
      <c r="H11" s="110" t="n"/>
      <c r="I11" s="40" t="n"/>
      <c r="J11" s="40" t="n"/>
      <c r="K11" s="40" t="n"/>
    </row>
    <row r="12">
      <c r="A12" s="46" t="n"/>
      <c r="B12" s="47" t="n"/>
      <c r="C12" s="47" t="n"/>
      <c r="D12" s="47" t="n"/>
      <c r="E12" s="50">
        <f>IFERROR(INDEX(الموظفون_الاسم,MATCH($D12,الموظفون_الرقم,0)),"")</f>
        <v/>
      </c>
      <c r="F12" s="112" t="n"/>
      <c r="G12" s="47" t="n"/>
      <c r="H12" s="112" t="n"/>
      <c r="I12" s="47" t="n"/>
      <c r="J12" s="47" t="n"/>
      <c r="K12" s="47" t="n"/>
    </row>
    <row r="13">
      <c r="A13" s="39" t="n"/>
      <c r="B13" s="40" t="n"/>
      <c r="C13" s="40" t="n"/>
      <c r="D13" s="40" t="n"/>
      <c r="E13" s="43">
        <f>IFERROR(INDEX(الموظفون_الاسم,MATCH($D13,الموظفون_الرقم,0)),"")</f>
        <v/>
      </c>
      <c r="F13" s="110" t="n"/>
      <c r="G13" s="40" t="n"/>
      <c r="H13" s="110" t="n"/>
      <c r="I13" s="40" t="n"/>
      <c r="J13" s="40" t="n"/>
      <c r="K13" s="40" t="n"/>
    </row>
    <row r="14">
      <c r="A14" s="46" t="n"/>
      <c r="B14" s="47" t="n"/>
      <c r="C14" s="47" t="n"/>
      <c r="D14" s="47" t="n"/>
      <c r="E14" s="50">
        <f>IFERROR(INDEX(الموظفون_الاسم,MATCH($D14,الموظفون_الرقم,0)),"")</f>
        <v/>
      </c>
      <c r="F14" s="112" t="n"/>
      <c r="G14" s="47" t="n"/>
      <c r="H14" s="112" t="n"/>
      <c r="I14" s="47" t="n"/>
      <c r="J14" s="47" t="n"/>
      <c r="K14" s="47" t="n"/>
    </row>
    <row r="15">
      <c r="A15" s="39" t="n"/>
      <c r="B15" s="40" t="n"/>
      <c r="C15" s="40" t="n"/>
      <c r="D15" s="40" t="n"/>
      <c r="E15" s="43">
        <f>IFERROR(INDEX(الموظفون_الاسم,MATCH($D15,الموظفون_الرقم,0)),"")</f>
        <v/>
      </c>
      <c r="F15" s="110" t="n"/>
      <c r="G15" s="40" t="n"/>
      <c r="H15" s="110" t="n"/>
      <c r="I15" s="40" t="n"/>
      <c r="J15" s="40" t="n"/>
      <c r="K15" s="40" t="n"/>
    </row>
    <row r="16">
      <c r="A16" s="46" t="n"/>
      <c r="B16" s="47" t="n"/>
      <c r="C16" s="47" t="n"/>
      <c r="D16" s="47" t="n"/>
      <c r="E16" s="50">
        <f>IFERROR(INDEX(الموظفون_الاسم,MATCH($D16,الموظفون_الرقم,0)),"")</f>
        <v/>
      </c>
      <c r="F16" s="112" t="n"/>
      <c r="G16" s="47" t="n"/>
      <c r="H16" s="112" t="n"/>
      <c r="I16" s="47" t="n"/>
      <c r="J16" s="47" t="n"/>
      <c r="K16" s="47" t="n"/>
    </row>
    <row r="17">
      <c r="A17" s="39" t="n"/>
      <c r="B17" s="40" t="n"/>
      <c r="C17" s="40" t="n"/>
      <c r="D17" s="40" t="n"/>
      <c r="E17" s="43">
        <f>IFERROR(INDEX(الموظفون_الاسم,MATCH($D17,الموظفون_الرقم,0)),"")</f>
        <v/>
      </c>
      <c r="F17" s="110" t="n"/>
      <c r="G17" s="40" t="n"/>
      <c r="H17" s="110" t="n"/>
      <c r="I17" s="40" t="n"/>
      <c r="J17" s="40" t="n"/>
      <c r="K17" s="40" t="n"/>
    </row>
    <row r="18">
      <c r="A18" s="46" t="n"/>
      <c r="B18" s="47" t="n"/>
      <c r="C18" s="47" t="n"/>
      <c r="D18" s="47" t="n"/>
      <c r="E18" s="50">
        <f>IFERROR(INDEX(الموظفون_الاسم,MATCH($D18,الموظفون_الرقم,0)),"")</f>
        <v/>
      </c>
      <c r="F18" s="112" t="n"/>
      <c r="G18" s="47" t="n"/>
      <c r="H18" s="112" t="n"/>
      <c r="I18" s="47" t="n"/>
      <c r="J18" s="47" t="n"/>
      <c r="K18" s="47" t="n"/>
    </row>
    <row r="19">
      <c r="A19" s="39" t="n"/>
      <c r="B19" s="40" t="n"/>
      <c r="C19" s="40" t="n"/>
      <c r="D19" s="40" t="n"/>
      <c r="E19" s="43">
        <f>IFERROR(INDEX(الموظفون_الاسم,MATCH($D19,الموظفون_الرقم,0)),"")</f>
        <v/>
      </c>
      <c r="F19" s="110" t="n"/>
      <c r="G19" s="40" t="n"/>
      <c r="H19" s="110" t="n"/>
      <c r="I19" s="40" t="n"/>
      <c r="J19" s="40" t="n"/>
      <c r="K19" s="40" t="n"/>
    </row>
    <row r="20">
      <c r="A20" s="46" t="n"/>
      <c r="B20" s="47" t="n"/>
      <c r="C20" s="47" t="n"/>
      <c r="D20" s="47" t="n"/>
      <c r="E20" s="50">
        <f>IFERROR(INDEX(الموظفون_الاسم,MATCH($D20,الموظفون_الرقم,0)),"")</f>
        <v/>
      </c>
      <c r="F20" s="112" t="n"/>
      <c r="G20" s="47" t="n"/>
      <c r="H20" s="112" t="n"/>
      <c r="I20" s="47" t="n"/>
      <c r="J20" s="47" t="n"/>
      <c r="K20" s="47" t="n"/>
    </row>
    <row r="21">
      <c r="A21" s="39" t="n"/>
      <c r="B21" s="40" t="n"/>
      <c r="C21" s="40" t="n"/>
      <c r="D21" s="40" t="n"/>
      <c r="E21" s="43">
        <f>IFERROR(INDEX(الموظفون_الاسم,MATCH($D21,الموظفون_الرقم,0)),"")</f>
        <v/>
      </c>
      <c r="F21" s="110" t="n"/>
      <c r="G21" s="40" t="n"/>
      <c r="H21" s="110" t="n"/>
      <c r="I21" s="40" t="n"/>
      <c r="J21" s="40" t="n"/>
      <c r="K21" s="40" t="n"/>
    </row>
    <row r="22">
      <c r="A22" s="46" t="n"/>
      <c r="B22" s="47" t="n"/>
      <c r="C22" s="47" t="n"/>
      <c r="D22" s="47" t="n"/>
      <c r="E22" s="50">
        <f>IFERROR(INDEX(الموظفون_الاسم,MATCH($D22,الموظفون_الرقم,0)),"")</f>
        <v/>
      </c>
      <c r="F22" s="112" t="n"/>
      <c r="G22" s="47" t="n"/>
      <c r="H22" s="112" t="n"/>
      <c r="I22" s="47" t="n"/>
      <c r="J22" s="47" t="n"/>
      <c r="K22" s="47" t="n"/>
    </row>
    <row r="23">
      <c r="A23" s="39" t="n"/>
      <c r="B23" s="40" t="n"/>
      <c r="C23" s="40" t="n"/>
      <c r="D23" s="40" t="n"/>
      <c r="E23" s="43">
        <f>IFERROR(INDEX(الموظفون_الاسم,MATCH($D23,الموظفون_الرقم,0)),"")</f>
        <v/>
      </c>
      <c r="F23" s="110" t="n"/>
      <c r="G23" s="40" t="n"/>
      <c r="H23" s="110" t="n"/>
      <c r="I23" s="40" t="n"/>
      <c r="J23" s="40" t="n"/>
      <c r="K23" s="40" t="n"/>
    </row>
    <row r="24">
      <c r="A24" s="46" t="n"/>
      <c r="B24" s="47" t="n"/>
      <c r="C24" s="47" t="n"/>
      <c r="D24" s="47" t="n"/>
      <c r="E24" s="50">
        <f>IFERROR(INDEX(الموظفون_الاسم,MATCH($D24,الموظفون_الرقم,0)),"")</f>
        <v/>
      </c>
      <c r="F24" s="112" t="n"/>
      <c r="G24" s="47" t="n"/>
      <c r="H24" s="112" t="n"/>
      <c r="I24" s="47" t="n"/>
      <c r="J24" s="47" t="n"/>
      <c r="K24" s="47" t="n"/>
    </row>
    <row r="25">
      <c r="A25" s="39" t="n"/>
      <c r="B25" s="40" t="n"/>
      <c r="C25" s="40" t="n"/>
      <c r="D25" s="40" t="n"/>
      <c r="E25" s="43">
        <f>IFERROR(INDEX(الموظفون_الاسم,MATCH($D25,الموظفون_الرقم,0)),"")</f>
        <v/>
      </c>
      <c r="F25" s="110" t="n"/>
      <c r="G25" s="40" t="n"/>
      <c r="H25" s="110" t="n"/>
      <c r="I25" s="40" t="n"/>
      <c r="J25" s="40" t="n"/>
      <c r="K25" s="40" t="n"/>
    </row>
    <row r="26">
      <c r="A26" s="46" t="n"/>
      <c r="B26" s="47" t="n"/>
      <c r="C26" s="47" t="n"/>
      <c r="D26" s="47" t="n"/>
      <c r="E26" s="50">
        <f>IFERROR(INDEX(الموظفون_الاسم,MATCH($D26,الموظفون_الرقم,0)),"")</f>
        <v/>
      </c>
      <c r="F26" s="112" t="n"/>
      <c r="G26" s="47" t="n"/>
      <c r="H26" s="112" t="n"/>
      <c r="I26" s="47" t="n"/>
      <c r="J26" s="47" t="n"/>
      <c r="K26" s="47" t="n"/>
    </row>
    <row r="27">
      <c r="A27" s="39" t="n"/>
      <c r="B27" s="40" t="n"/>
      <c r="C27" s="40" t="n"/>
      <c r="D27" s="40" t="n"/>
      <c r="E27" s="43">
        <f>IFERROR(INDEX(الموظفون_الاسم,MATCH($D27,الموظفون_الرقم,0)),"")</f>
        <v/>
      </c>
      <c r="F27" s="110" t="n"/>
      <c r="G27" s="40" t="n"/>
      <c r="H27" s="110" t="n"/>
      <c r="I27" s="40" t="n"/>
      <c r="J27" s="40" t="n"/>
      <c r="K27" s="40" t="n"/>
    </row>
    <row r="28">
      <c r="A28" s="46" t="n"/>
      <c r="B28" s="47" t="n"/>
      <c r="C28" s="47" t="n"/>
      <c r="D28" s="47" t="n"/>
      <c r="E28" s="50">
        <f>IFERROR(INDEX(الموظفون_الاسم,MATCH($D28,الموظفون_الرقم,0)),"")</f>
        <v/>
      </c>
      <c r="F28" s="112" t="n"/>
      <c r="G28" s="47" t="n"/>
      <c r="H28" s="112" t="n"/>
      <c r="I28" s="47" t="n"/>
      <c r="J28" s="47" t="n"/>
      <c r="K28" s="47" t="n"/>
    </row>
    <row r="29">
      <c r="A29" s="39" t="n"/>
      <c r="B29" s="40" t="n"/>
      <c r="C29" s="40" t="n"/>
      <c r="D29" s="40" t="n"/>
      <c r="E29" s="43">
        <f>IFERROR(INDEX(الموظفون_الاسم,MATCH($D29,الموظفون_الرقم,0)),"")</f>
        <v/>
      </c>
      <c r="F29" s="110" t="n"/>
      <c r="G29" s="40" t="n"/>
      <c r="H29" s="110" t="n"/>
      <c r="I29" s="40" t="n"/>
      <c r="J29" s="40" t="n"/>
      <c r="K29" s="40" t="n"/>
    </row>
    <row r="30">
      <c r="A30" s="46" t="n"/>
      <c r="B30" s="47" t="n"/>
      <c r="C30" s="47" t="n"/>
      <c r="D30" s="47" t="n"/>
      <c r="E30" s="50">
        <f>IFERROR(INDEX(الموظفون_الاسم,MATCH($D30,الموظفون_الرقم,0)),"")</f>
        <v/>
      </c>
      <c r="F30" s="112" t="n"/>
      <c r="G30" s="47" t="n"/>
      <c r="H30" s="112" t="n"/>
      <c r="I30" s="47" t="n"/>
      <c r="J30" s="47" t="n"/>
      <c r="K30" s="47" t="n"/>
    </row>
    <row r="31">
      <c r="A31" s="39" t="n"/>
      <c r="B31" s="40" t="n"/>
      <c r="C31" s="40" t="n"/>
      <c r="D31" s="40" t="n"/>
      <c r="E31" s="43">
        <f>IFERROR(INDEX(الموظفون_الاسم,MATCH($D31,الموظفون_الرقم,0)),"")</f>
        <v/>
      </c>
      <c r="F31" s="110" t="n"/>
      <c r="G31" s="40" t="n"/>
      <c r="H31" s="110" t="n"/>
      <c r="I31" s="40" t="n"/>
      <c r="J31" s="40" t="n"/>
      <c r="K31" s="40" t="n"/>
    </row>
    <row r="32">
      <c r="A32" s="46" t="n"/>
      <c r="B32" s="47" t="n"/>
      <c r="C32" s="47" t="n"/>
      <c r="D32" s="47" t="n"/>
      <c r="E32" s="50">
        <f>IFERROR(INDEX(الموظفون_الاسم,MATCH($D32,الموظفون_الرقم,0)),"")</f>
        <v/>
      </c>
      <c r="F32" s="112" t="n"/>
      <c r="G32" s="47" t="n"/>
      <c r="H32" s="112" t="n"/>
      <c r="I32" s="47" t="n"/>
      <c r="J32" s="47" t="n"/>
      <c r="K32" s="47" t="n"/>
    </row>
    <row r="33">
      <c r="A33" s="39" t="n"/>
      <c r="B33" s="40" t="n"/>
      <c r="C33" s="40" t="n"/>
      <c r="D33" s="40" t="n"/>
      <c r="E33" s="43">
        <f>IFERROR(INDEX(الموظفون_الاسم,MATCH($D33,الموظفون_الرقم,0)),"")</f>
        <v/>
      </c>
      <c r="F33" s="110" t="n"/>
      <c r="G33" s="40" t="n"/>
      <c r="H33" s="110" t="n"/>
      <c r="I33" s="40" t="n"/>
      <c r="J33" s="40" t="n"/>
      <c r="K33" s="40" t="n"/>
    </row>
    <row r="34">
      <c r="A34" s="46" t="n"/>
      <c r="B34" s="47" t="n"/>
      <c r="C34" s="47" t="n"/>
      <c r="D34" s="47" t="n"/>
      <c r="E34" s="50">
        <f>IFERROR(INDEX(الموظفون_الاسم,MATCH($D34,الموظفون_الرقم,0)),"")</f>
        <v/>
      </c>
      <c r="F34" s="112" t="n"/>
      <c r="G34" s="47" t="n"/>
      <c r="H34" s="112" t="n"/>
      <c r="I34" s="47" t="n"/>
      <c r="J34" s="47" t="n"/>
      <c r="K34" s="47" t="n"/>
    </row>
    <row r="35">
      <c r="A35" s="39" t="n"/>
      <c r="B35" s="40" t="n"/>
      <c r="C35" s="40" t="n"/>
      <c r="D35" s="40" t="n"/>
      <c r="E35" s="43">
        <f>IFERROR(INDEX(الموظفون_الاسم,MATCH($D35,الموظفون_الرقم,0)),"")</f>
        <v/>
      </c>
      <c r="F35" s="110" t="n"/>
      <c r="G35" s="40" t="n"/>
      <c r="H35" s="110" t="n"/>
      <c r="I35" s="40" t="n"/>
      <c r="J35" s="40" t="n"/>
      <c r="K35" s="40" t="n"/>
    </row>
    <row r="36">
      <c r="A36" s="46" t="n"/>
      <c r="B36" s="47" t="n"/>
      <c r="C36" s="47" t="n"/>
      <c r="D36" s="47" t="n"/>
      <c r="E36" s="50">
        <f>IFERROR(INDEX(الموظفون_الاسم,MATCH($D36,الموظفون_الرقم,0)),"")</f>
        <v/>
      </c>
      <c r="F36" s="112" t="n"/>
      <c r="G36" s="47" t="n"/>
      <c r="H36" s="112" t="n"/>
      <c r="I36" s="47" t="n"/>
      <c r="J36" s="47" t="n"/>
      <c r="K36" s="47" t="n"/>
    </row>
    <row r="37">
      <c r="A37" s="39" t="n"/>
      <c r="B37" s="40" t="n"/>
      <c r="C37" s="40" t="n"/>
      <c r="D37" s="40" t="n"/>
      <c r="E37" s="43">
        <f>IFERROR(INDEX(الموظفون_الاسم,MATCH($D37,الموظفون_الرقم,0)),"")</f>
        <v/>
      </c>
      <c r="F37" s="110" t="n"/>
      <c r="G37" s="40" t="n"/>
      <c r="H37" s="110" t="n"/>
      <c r="I37" s="40" t="n"/>
      <c r="J37" s="40" t="n"/>
      <c r="K37" s="40" t="n"/>
    </row>
    <row r="38">
      <c r="A38" s="46" t="n"/>
      <c r="B38" s="47" t="n"/>
      <c r="C38" s="47" t="n"/>
      <c r="D38" s="47" t="n"/>
      <c r="E38" s="50">
        <f>IFERROR(INDEX(الموظفون_الاسم,MATCH($D38,الموظفون_الرقم,0)),"")</f>
        <v/>
      </c>
      <c r="F38" s="112" t="n"/>
      <c r="G38" s="47" t="n"/>
      <c r="H38" s="112" t="n"/>
      <c r="I38" s="47" t="n"/>
      <c r="J38" s="47" t="n"/>
      <c r="K38" s="47" t="n"/>
    </row>
    <row r="39">
      <c r="A39" s="39" t="n"/>
      <c r="B39" s="40" t="n"/>
      <c r="C39" s="40" t="n"/>
      <c r="D39" s="40" t="n"/>
      <c r="E39" s="43">
        <f>IFERROR(INDEX(الموظفون_الاسم,MATCH($D39,الموظفون_الرقم,0)),"")</f>
        <v/>
      </c>
      <c r="F39" s="110" t="n"/>
      <c r="G39" s="40" t="n"/>
      <c r="H39" s="110" t="n"/>
      <c r="I39" s="40" t="n"/>
      <c r="J39" s="40" t="n"/>
      <c r="K39" s="40" t="n"/>
    </row>
    <row r="40">
      <c r="A40" s="46" t="n"/>
      <c r="B40" s="47" t="n"/>
      <c r="C40" s="47" t="n"/>
      <c r="D40" s="47" t="n"/>
      <c r="E40" s="50">
        <f>IFERROR(INDEX(الموظفون_الاسم,MATCH($D40,الموظفون_الرقم,0)),"")</f>
        <v/>
      </c>
      <c r="F40" s="112" t="n"/>
      <c r="G40" s="47" t="n"/>
      <c r="H40" s="112" t="n"/>
      <c r="I40" s="47" t="n"/>
      <c r="J40" s="47" t="n"/>
      <c r="K40" s="47" t="n"/>
    </row>
    <row r="41">
      <c r="A41" s="39" t="n"/>
      <c r="B41" s="40" t="n"/>
      <c r="C41" s="40" t="n"/>
      <c r="D41" s="40" t="n"/>
      <c r="E41" s="43">
        <f>IFERROR(INDEX(الموظفون_الاسم,MATCH($D41,الموظفون_الرقم,0)),"")</f>
        <v/>
      </c>
      <c r="F41" s="110" t="n"/>
      <c r="G41" s="40" t="n"/>
      <c r="H41" s="110" t="n"/>
      <c r="I41" s="40" t="n"/>
      <c r="J41" s="40" t="n"/>
      <c r="K41" s="40" t="n"/>
    </row>
    <row r="42">
      <c r="A42" s="46" t="n"/>
      <c r="B42" s="47" t="n"/>
      <c r="C42" s="47" t="n"/>
      <c r="D42" s="47" t="n"/>
      <c r="E42" s="50">
        <f>IFERROR(INDEX(الموظفون_الاسم,MATCH($D42,الموظفون_الرقم,0)),"")</f>
        <v/>
      </c>
      <c r="F42" s="112" t="n"/>
      <c r="G42" s="47" t="n"/>
      <c r="H42" s="112" t="n"/>
      <c r="I42" s="47" t="n"/>
      <c r="J42" s="47" t="n"/>
      <c r="K42" s="47" t="n"/>
    </row>
    <row r="43">
      <c r="A43" s="39" t="n"/>
      <c r="B43" s="40" t="n"/>
      <c r="C43" s="40" t="n"/>
      <c r="D43" s="40" t="n"/>
      <c r="E43" s="43">
        <f>IFERROR(INDEX(الموظفون_الاسم,MATCH($D43,الموظفون_الرقم,0)),"")</f>
        <v/>
      </c>
      <c r="F43" s="110" t="n"/>
      <c r="G43" s="40" t="n"/>
      <c r="H43" s="110" t="n"/>
      <c r="I43" s="40" t="n"/>
      <c r="J43" s="40" t="n"/>
      <c r="K43" s="40" t="n"/>
    </row>
    <row r="44">
      <c r="A44" s="46" t="n"/>
      <c r="B44" s="47" t="n"/>
      <c r="C44" s="47" t="n"/>
      <c r="D44" s="47" t="n"/>
      <c r="E44" s="50">
        <f>IFERROR(INDEX(الموظفون_الاسم,MATCH($D44,الموظفون_الرقم,0)),"")</f>
        <v/>
      </c>
      <c r="F44" s="112" t="n"/>
      <c r="G44" s="47" t="n"/>
      <c r="H44" s="112" t="n"/>
      <c r="I44" s="47" t="n"/>
      <c r="J44" s="47" t="n"/>
      <c r="K44" s="47" t="n"/>
    </row>
    <row r="45">
      <c r="A45" s="39" t="n"/>
      <c r="B45" s="40" t="n"/>
      <c r="C45" s="40" t="n"/>
      <c r="D45" s="40" t="n"/>
      <c r="E45" s="43">
        <f>IFERROR(INDEX(الموظفون_الاسم,MATCH($D45,الموظفون_الرقم,0)),"")</f>
        <v/>
      </c>
      <c r="F45" s="110" t="n"/>
      <c r="G45" s="40" t="n"/>
      <c r="H45" s="110" t="n"/>
      <c r="I45" s="40" t="n"/>
      <c r="J45" s="40" t="n"/>
      <c r="K45" s="40" t="n"/>
    </row>
    <row r="46">
      <c r="A46" s="46" t="n"/>
      <c r="B46" s="47" t="n"/>
      <c r="C46" s="47" t="n"/>
      <c r="D46" s="47" t="n"/>
      <c r="E46" s="50">
        <f>IFERROR(INDEX(الموظفون_الاسم,MATCH($D46,الموظفون_الرقم,0)),"")</f>
        <v/>
      </c>
      <c r="F46" s="112" t="n"/>
      <c r="G46" s="47" t="n"/>
      <c r="H46" s="112" t="n"/>
      <c r="I46" s="47" t="n"/>
      <c r="J46" s="47" t="n"/>
      <c r="K46" s="47" t="n"/>
    </row>
    <row r="47">
      <c r="A47" s="39" t="n"/>
      <c r="B47" s="40" t="n"/>
      <c r="C47" s="40" t="n"/>
      <c r="D47" s="40" t="n"/>
      <c r="E47" s="43">
        <f>IFERROR(INDEX(الموظفون_الاسم,MATCH($D47,الموظفون_الرقم,0)),"")</f>
        <v/>
      </c>
      <c r="F47" s="110" t="n"/>
      <c r="G47" s="40" t="n"/>
      <c r="H47" s="110" t="n"/>
      <c r="I47" s="40" t="n"/>
      <c r="J47" s="40" t="n"/>
      <c r="K47" s="40" t="n"/>
    </row>
    <row r="48">
      <c r="A48" s="46" t="n"/>
      <c r="B48" s="47" t="n"/>
      <c r="C48" s="47" t="n"/>
      <c r="D48" s="47" t="n"/>
      <c r="E48" s="50">
        <f>IFERROR(INDEX(الموظفون_الاسم,MATCH($D48,الموظفون_الرقم,0)),"")</f>
        <v/>
      </c>
      <c r="F48" s="112" t="n"/>
      <c r="G48" s="47" t="n"/>
      <c r="H48" s="112" t="n"/>
      <c r="I48" s="47" t="n"/>
      <c r="J48" s="47" t="n"/>
      <c r="K48" s="47" t="n"/>
    </row>
    <row r="49">
      <c r="A49" s="39" t="n"/>
      <c r="B49" s="40" t="n"/>
      <c r="C49" s="40" t="n"/>
      <c r="D49" s="40" t="n"/>
      <c r="E49" s="43">
        <f>IFERROR(INDEX(الموظفون_الاسم,MATCH($D49,الموظفون_الرقم,0)),"")</f>
        <v/>
      </c>
      <c r="F49" s="110" t="n"/>
      <c r="G49" s="40" t="n"/>
      <c r="H49" s="110" t="n"/>
      <c r="I49" s="40" t="n"/>
      <c r="J49" s="40" t="n"/>
      <c r="K49" s="40" t="n"/>
    </row>
    <row r="50">
      <c r="A50" s="46" t="n"/>
      <c r="B50" s="47" t="n"/>
      <c r="C50" s="47" t="n"/>
      <c r="D50" s="47" t="n"/>
      <c r="E50" s="50">
        <f>IFERROR(INDEX(الموظفون_الاسم,MATCH($D50,الموظفون_الرقم,0)),"")</f>
        <v/>
      </c>
      <c r="F50" s="112" t="n"/>
      <c r="G50" s="47" t="n"/>
      <c r="H50" s="112" t="n"/>
      <c r="I50" s="47" t="n"/>
      <c r="J50" s="47" t="n"/>
      <c r="K50" s="47" t="n"/>
    </row>
    <row r="51">
      <c r="A51" s="39" t="n"/>
      <c r="B51" s="40" t="n"/>
      <c r="C51" s="40" t="n"/>
      <c r="D51" s="40" t="n"/>
      <c r="E51" s="43">
        <f>IFERROR(INDEX(الموظفون_الاسم,MATCH($D51,الموظفون_الرقم,0)),"")</f>
        <v/>
      </c>
      <c r="F51" s="110" t="n"/>
      <c r="G51" s="40" t="n"/>
      <c r="H51" s="110" t="n"/>
      <c r="I51" s="40" t="n"/>
      <c r="J51" s="40" t="n"/>
      <c r="K51" s="40" t="n"/>
    </row>
    <row r="52">
      <c r="A52" s="46" t="n"/>
      <c r="B52" s="47" t="n"/>
      <c r="C52" s="47" t="n"/>
      <c r="D52" s="47" t="n"/>
      <c r="E52" s="50">
        <f>IFERROR(INDEX(الموظفون_الاسم,MATCH($D52,الموظفون_الرقم,0)),"")</f>
        <v/>
      </c>
      <c r="F52" s="112" t="n"/>
      <c r="G52" s="47" t="n"/>
      <c r="H52" s="112" t="n"/>
      <c r="I52" s="47" t="n"/>
      <c r="J52" s="47" t="n"/>
      <c r="K52" s="47" t="n"/>
    </row>
    <row r="53">
      <c r="A53" s="39" t="n"/>
      <c r="B53" s="40" t="n"/>
      <c r="C53" s="40" t="n"/>
      <c r="D53" s="40" t="n"/>
      <c r="E53" s="43">
        <f>IFERROR(INDEX(الموظفون_الاسم,MATCH($D53,الموظفون_الرقم,0)),"")</f>
        <v/>
      </c>
      <c r="F53" s="110" t="n"/>
      <c r="G53" s="40" t="n"/>
      <c r="H53" s="110" t="n"/>
      <c r="I53" s="40" t="n"/>
      <c r="J53" s="40" t="n"/>
      <c r="K53" s="40" t="n"/>
    </row>
    <row r="54">
      <c r="A54" s="46" t="n"/>
      <c r="B54" s="47" t="n"/>
      <c r="C54" s="47" t="n"/>
      <c r="D54" s="47" t="n"/>
      <c r="E54" s="50">
        <f>IFERROR(INDEX(الموظفون_الاسم,MATCH($D54,الموظفون_الرقم,0)),"")</f>
        <v/>
      </c>
      <c r="F54" s="112" t="n"/>
      <c r="G54" s="47" t="n"/>
      <c r="H54" s="112" t="n"/>
      <c r="I54" s="47" t="n"/>
      <c r="J54" s="47" t="n"/>
      <c r="K54" s="47" t="n"/>
    </row>
    <row r="55">
      <c r="A55" s="39" t="n"/>
      <c r="B55" s="40" t="n"/>
      <c r="C55" s="40" t="n"/>
      <c r="D55" s="40" t="n"/>
      <c r="E55" s="43">
        <f>IFERROR(INDEX(الموظفون_الاسم,MATCH($D55,الموظفون_الرقم,0)),"")</f>
        <v/>
      </c>
      <c r="F55" s="110" t="n"/>
      <c r="G55" s="40" t="n"/>
      <c r="H55" s="110" t="n"/>
      <c r="I55" s="40" t="n"/>
      <c r="J55" s="40" t="n"/>
      <c r="K55" s="40" t="n"/>
    </row>
    <row r="56">
      <c r="A56" s="46" t="n"/>
      <c r="B56" s="47" t="n"/>
      <c r="C56" s="47" t="n"/>
      <c r="D56" s="47" t="n"/>
      <c r="E56" s="50">
        <f>IFERROR(INDEX(الموظفون_الاسم,MATCH($D56,الموظفون_الرقم,0)),"")</f>
        <v/>
      </c>
      <c r="F56" s="112" t="n"/>
      <c r="G56" s="47" t="n"/>
      <c r="H56" s="112" t="n"/>
      <c r="I56" s="47" t="n"/>
      <c r="J56" s="47" t="n"/>
      <c r="K56" s="47" t="n"/>
    </row>
    <row r="57">
      <c r="A57" s="39" t="n"/>
      <c r="B57" s="40" t="n"/>
      <c r="C57" s="40" t="n"/>
      <c r="D57" s="40" t="n"/>
      <c r="E57" s="43">
        <f>IFERROR(INDEX(الموظفون_الاسم,MATCH($D57,الموظفون_الرقم,0)),"")</f>
        <v/>
      </c>
      <c r="F57" s="110" t="n"/>
      <c r="G57" s="40" t="n"/>
      <c r="H57" s="110" t="n"/>
      <c r="I57" s="40" t="n"/>
      <c r="J57" s="40" t="n"/>
      <c r="K57" s="40" t="n"/>
    </row>
    <row r="58">
      <c r="A58" s="46" t="n"/>
      <c r="B58" s="47" t="n"/>
      <c r="C58" s="47" t="n"/>
      <c r="D58" s="47" t="n"/>
      <c r="E58" s="50">
        <f>IFERROR(INDEX(الموظفون_الاسم,MATCH($D58,الموظفون_الرقم,0)),"")</f>
        <v/>
      </c>
      <c r="F58" s="112" t="n"/>
      <c r="G58" s="47" t="n"/>
      <c r="H58" s="112" t="n"/>
      <c r="I58" s="47" t="n"/>
      <c r="J58" s="47" t="n"/>
      <c r="K58" s="47" t="n"/>
    </row>
    <row r="59">
      <c r="A59" s="39" t="n"/>
      <c r="B59" s="40" t="n"/>
      <c r="C59" s="40" t="n"/>
      <c r="D59" s="40" t="n"/>
      <c r="E59" s="43">
        <f>IFERROR(INDEX(الموظفون_الاسم,MATCH($D59,الموظفون_الرقم,0)),"")</f>
        <v/>
      </c>
      <c r="F59" s="110" t="n"/>
      <c r="G59" s="40" t="n"/>
      <c r="H59" s="110" t="n"/>
      <c r="I59" s="40" t="n"/>
      <c r="J59" s="40" t="n"/>
      <c r="K59" s="40" t="n"/>
    </row>
    <row r="60">
      <c r="A60" s="46" t="n"/>
      <c r="B60" s="47" t="n"/>
      <c r="C60" s="47" t="n"/>
      <c r="D60" s="47" t="n"/>
      <c r="E60" s="50">
        <f>IFERROR(INDEX(الموظفون_الاسم,MATCH($D60,الموظفون_الرقم,0)),"")</f>
        <v/>
      </c>
      <c r="F60" s="112" t="n"/>
      <c r="G60" s="47" t="n"/>
      <c r="H60" s="112" t="n"/>
      <c r="I60" s="47" t="n"/>
      <c r="J60" s="47" t="n"/>
      <c r="K60" s="47" t="n"/>
    </row>
    <row r="61">
      <c r="A61" s="39" t="n"/>
      <c r="B61" s="40" t="n"/>
      <c r="C61" s="40" t="n"/>
      <c r="D61" s="40" t="n"/>
      <c r="E61" s="43">
        <f>IFERROR(INDEX(الموظفون_الاسم,MATCH($D61,الموظفون_الرقم,0)),"")</f>
        <v/>
      </c>
      <c r="F61" s="110" t="n"/>
      <c r="G61" s="40" t="n"/>
      <c r="H61" s="110" t="n"/>
      <c r="I61" s="40" t="n"/>
      <c r="J61" s="40" t="n"/>
      <c r="K61" s="40" t="n"/>
    </row>
    <row r="62">
      <c r="A62" s="46" t="n"/>
      <c r="B62" s="47" t="n"/>
      <c r="C62" s="47" t="n"/>
      <c r="D62" s="47" t="n"/>
      <c r="E62" s="50">
        <f>IFERROR(INDEX(الموظفون_الاسم,MATCH($D62,الموظفون_الرقم,0)),"")</f>
        <v/>
      </c>
      <c r="F62" s="112" t="n"/>
      <c r="G62" s="47" t="n"/>
      <c r="H62" s="112" t="n"/>
      <c r="I62" s="47" t="n"/>
      <c r="J62" s="47" t="n"/>
      <c r="K62" s="47" t="n"/>
    </row>
    <row r="63">
      <c r="A63" s="39" t="n"/>
      <c r="B63" s="40" t="n"/>
      <c r="C63" s="40" t="n"/>
      <c r="D63" s="40" t="n"/>
      <c r="E63" s="43">
        <f>IFERROR(INDEX(الموظفون_الاسم,MATCH($D63,الموظفون_الرقم,0)),"")</f>
        <v/>
      </c>
      <c r="F63" s="110" t="n"/>
      <c r="G63" s="40" t="n"/>
      <c r="H63" s="110" t="n"/>
      <c r="I63" s="40" t="n"/>
      <c r="J63" s="40" t="n"/>
      <c r="K63" s="40" t="n"/>
    </row>
    <row r="64">
      <c r="A64" s="46" t="n"/>
      <c r="B64" s="47" t="n"/>
      <c r="C64" s="47" t="n"/>
      <c r="D64" s="47" t="n"/>
      <c r="E64" s="50">
        <f>IFERROR(INDEX(الموظفون_الاسم,MATCH($D64,الموظفون_الرقم,0)),"")</f>
        <v/>
      </c>
      <c r="F64" s="112" t="n"/>
      <c r="G64" s="47" t="n"/>
      <c r="H64" s="112" t="n"/>
      <c r="I64" s="47" t="n"/>
      <c r="J64" s="47" t="n"/>
      <c r="K64" s="47" t="n"/>
    </row>
    <row r="65">
      <c r="A65" s="39" t="n"/>
      <c r="B65" s="40" t="n"/>
      <c r="C65" s="40" t="n"/>
      <c r="D65" s="40" t="n"/>
      <c r="E65" s="43">
        <f>IFERROR(INDEX(الموظفون_الاسم,MATCH($D65,الموظفون_الرقم,0)),"")</f>
        <v/>
      </c>
      <c r="F65" s="110" t="n"/>
      <c r="G65" s="40" t="n"/>
      <c r="H65" s="110" t="n"/>
      <c r="I65" s="40" t="n"/>
      <c r="J65" s="40" t="n"/>
      <c r="K65" s="40" t="n"/>
    </row>
    <row r="66">
      <c r="A66" s="46" t="n"/>
      <c r="B66" s="47" t="n"/>
      <c r="C66" s="47" t="n"/>
      <c r="D66" s="47" t="n"/>
      <c r="E66" s="50">
        <f>IFERROR(INDEX(الموظفون_الاسم,MATCH($D66,الموظفون_الرقم,0)),"")</f>
        <v/>
      </c>
      <c r="F66" s="112" t="n"/>
      <c r="G66" s="47" t="n"/>
      <c r="H66" s="112" t="n"/>
      <c r="I66" s="47" t="n"/>
      <c r="J66" s="47" t="n"/>
      <c r="K66" s="47" t="n"/>
    </row>
    <row r="67">
      <c r="A67" s="39" t="n"/>
      <c r="B67" s="40" t="n"/>
      <c r="C67" s="40" t="n"/>
      <c r="D67" s="40" t="n"/>
      <c r="E67" s="43">
        <f>IFERROR(INDEX(الموظفون_الاسم,MATCH($D67,الموظفون_الرقم,0)),"")</f>
        <v/>
      </c>
      <c r="F67" s="110" t="n"/>
      <c r="G67" s="40" t="n"/>
      <c r="H67" s="110" t="n"/>
      <c r="I67" s="40" t="n"/>
      <c r="J67" s="40" t="n"/>
      <c r="K67" s="40" t="n"/>
    </row>
    <row r="68">
      <c r="A68" s="46" t="n"/>
      <c r="B68" s="47" t="n"/>
      <c r="C68" s="47" t="n"/>
      <c r="D68" s="47" t="n"/>
      <c r="E68" s="50">
        <f>IFERROR(INDEX(الموظفون_الاسم,MATCH($D68,الموظفون_الرقم,0)),"")</f>
        <v/>
      </c>
      <c r="F68" s="112" t="n"/>
      <c r="G68" s="47" t="n"/>
      <c r="H68" s="112" t="n"/>
      <c r="I68" s="47" t="n"/>
      <c r="J68" s="47" t="n"/>
      <c r="K68" s="47" t="n"/>
    </row>
    <row r="69">
      <c r="A69" s="39" t="n"/>
      <c r="B69" s="40" t="n"/>
      <c r="C69" s="40" t="n"/>
      <c r="D69" s="40" t="n"/>
      <c r="E69" s="43">
        <f>IFERROR(INDEX(الموظفون_الاسم,MATCH($D69,الموظفون_الرقم,0)),"")</f>
        <v/>
      </c>
      <c r="F69" s="110" t="n"/>
      <c r="G69" s="40" t="n"/>
      <c r="H69" s="110" t="n"/>
      <c r="I69" s="40" t="n"/>
      <c r="J69" s="40" t="n"/>
      <c r="K69" s="40" t="n"/>
    </row>
    <row r="70">
      <c r="A70" s="46" t="n"/>
      <c r="B70" s="47" t="n"/>
      <c r="C70" s="47" t="n"/>
      <c r="D70" s="47" t="n"/>
      <c r="E70" s="50">
        <f>IFERROR(INDEX(الموظفون_الاسم,MATCH($D70,الموظفون_الرقم,0)),"")</f>
        <v/>
      </c>
      <c r="F70" s="112" t="n"/>
      <c r="G70" s="47" t="n"/>
      <c r="H70" s="112" t="n"/>
      <c r="I70" s="47" t="n"/>
      <c r="J70" s="47" t="n"/>
      <c r="K70" s="47" t="n"/>
    </row>
    <row r="71">
      <c r="A71" s="39" t="n"/>
      <c r="B71" s="40" t="n"/>
      <c r="C71" s="40" t="n"/>
      <c r="D71" s="40" t="n"/>
      <c r="E71" s="43">
        <f>IFERROR(INDEX(الموظفون_الاسم,MATCH($D71,الموظفون_الرقم,0)),"")</f>
        <v/>
      </c>
      <c r="F71" s="110" t="n"/>
      <c r="G71" s="40" t="n"/>
      <c r="H71" s="110" t="n"/>
      <c r="I71" s="40" t="n"/>
      <c r="J71" s="40" t="n"/>
      <c r="K71" s="40" t="n"/>
    </row>
    <row r="72">
      <c r="A72" s="46" t="n"/>
      <c r="B72" s="47" t="n"/>
      <c r="C72" s="47" t="n"/>
      <c r="D72" s="47" t="n"/>
      <c r="E72" s="50">
        <f>IFERROR(INDEX(الموظفون_الاسم,MATCH($D72,الموظفون_الرقم,0)),"")</f>
        <v/>
      </c>
      <c r="F72" s="112" t="n"/>
      <c r="G72" s="47" t="n"/>
      <c r="H72" s="112" t="n"/>
      <c r="I72" s="47" t="n"/>
      <c r="J72" s="47" t="n"/>
      <c r="K72" s="47" t="n"/>
    </row>
    <row r="73">
      <c r="A73" s="39" t="n"/>
      <c r="B73" s="40" t="n"/>
      <c r="C73" s="40" t="n"/>
      <c r="D73" s="40" t="n"/>
      <c r="E73" s="43">
        <f>IFERROR(INDEX(الموظفون_الاسم,MATCH($D73,الموظفون_الرقم,0)),"")</f>
        <v/>
      </c>
      <c r="F73" s="110" t="n"/>
      <c r="G73" s="40" t="n"/>
      <c r="H73" s="110" t="n"/>
      <c r="I73" s="40" t="n"/>
      <c r="J73" s="40" t="n"/>
      <c r="K73" s="40" t="n"/>
    </row>
    <row r="74">
      <c r="A74" s="46" t="n"/>
      <c r="B74" s="47" t="n"/>
      <c r="C74" s="47" t="n"/>
      <c r="D74" s="47" t="n"/>
      <c r="E74" s="50">
        <f>IFERROR(INDEX(الموظفون_الاسم,MATCH($D74,الموظفون_الرقم,0)),"")</f>
        <v/>
      </c>
      <c r="F74" s="112" t="n"/>
      <c r="G74" s="47" t="n"/>
      <c r="H74" s="112" t="n"/>
      <c r="I74" s="47" t="n"/>
      <c r="J74" s="47" t="n"/>
      <c r="K74" s="47" t="n"/>
    </row>
    <row r="75">
      <c r="A75" s="39" t="n"/>
      <c r="B75" s="40" t="n"/>
      <c r="C75" s="40" t="n"/>
      <c r="D75" s="40" t="n"/>
      <c r="E75" s="43">
        <f>IFERROR(INDEX(الموظفون_الاسم,MATCH($D75,الموظفون_الرقم,0)),"")</f>
        <v/>
      </c>
      <c r="F75" s="110" t="n"/>
      <c r="G75" s="40" t="n"/>
      <c r="H75" s="110" t="n"/>
      <c r="I75" s="40" t="n"/>
      <c r="J75" s="40" t="n"/>
      <c r="K75" s="40" t="n"/>
    </row>
    <row r="76">
      <c r="A76" s="46" t="n"/>
      <c r="B76" s="47" t="n"/>
      <c r="C76" s="47" t="n"/>
      <c r="D76" s="47" t="n"/>
      <c r="E76" s="50">
        <f>IFERROR(INDEX(الموظفون_الاسم,MATCH($D76,الموظفون_الرقم,0)),"")</f>
        <v/>
      </c>
      <c r="F76" s="112" t="n"/>
      <c r="G76" s="47" t="n"/>
      <c r="H76" s="112" t="n"/>
      <c r="I76" s="47" t="n"/>
      <c r="J76" s="47" t="n"/>
      <c r="K76" s="47" t="n"/>
    </row>
    <row r="77">
      <c r="A77" s="39" t="n"/>
      <c r="B77" s="40" t="n"/>
      <c r="C77" s="40" t="n"/>
      <c r="D77" s="40" t="n"/>
      <c r="E77" s="43">
        <f>IFERROR(INDEX(الموظفون_الاسم,MATCH($D77,الموظفون_الرقم,0)),"")</f>
        <v/>
      </c>
      <c r="F77" s="110" t="n"/>
      <c r="G77" s="40" t="n"/>
      <c r="H77" s="110" t="n"/>
      <c r="I77" s="40" t="n"/>
      <c r="J77" s="40" t="n"/>
      <c r="K77" s="40" t="n"/>
    </row>
    <row r="78">
      <c r="A78" s="46" t="n"/>
      <c r="B78" s="47" t="n"/>
      <c r="C78" s="47" t="n"/>
      <c r="D78" s="47" t="n"/>
      <c r="E78" s="50">
        <f>IFERROR(INDEX(الموظفون_الاسم,MATCH($D78,الموظفون_الرقم,0)),"")</f>
        <v/>
      </c>
      <c r="F78" s="112" t="n"/>
      <c r="G78" s="47" t="n"/>
      <c r="H78" s="112" t="n"/>
      <c r="I78" s="47" t="n"/>
      <c r="J78" s="47" t="n"/>
      <c r="K78" s="47" t="n"/>
    </row>
    <row r="79">
      <c r="A79" s="39" t="n"/>
      <c r="B79" s="40" t="n"/>
      <c r="C79" s="40" t="n"/>
      <c r="D79" s="40" t="n"/>
      <c r="E79" s="43">
        <f>IFERROR(INDEX(الموظفون_الاسم,MATCH($D79,الموظفون_الرقم,0)),"")</f>
        <v/>
      </c>
      <c r="F79" s="110" t="n"/>
      <c r="G79" s="40" t="n"/>
      <c r="H79" s="110" t="n"/>
      <c r="I79" s="40" t="n"/>
      <c r="J79" s="40" t="n"/>
      <c r="K79" s="40" t="n"/>
    </row>
    <row r="80">
      <c r="A80" s="46" t="n"/>
      <c r="B80" s="47" t="n"/>
      <c r="C80" s="47" t="n"/>
      <c r="D80" s="47" t="n"/>
      <c r="E80" s="50">
        <f>IFERROR(INDEX(الموظفون_الاسم,MATCH($D80,الموظفون_الرقم,0)),"")</f>
        <v/>
      </c>
      <c r="F80" s="112" t="n"/>
      <c r="G80" s="47" t="n"/>
      <c r="H80" s="112" t="n"/>
      <c r="I80" s="47" t="n"/>
      <c r="J80" s="47" t="n"/>
      <c r="K80" s="47" t="n"/>
    </row>
    <row r="81">
      <c r="A81" s="39" t="n"/>
      <c r="B81" s="40" t="n"/>
      <c r="C81" s="40" t="n"/>
      <c r="D81" s="40" t="n"/>
      <c r="E81" s="43">
        <f>IFERROR(INDEX(الموظفون_الاسم,MATCH($D81,الموظفون_الرقم,0)),"")</f>
        <v/>
      </c>
      <c r="F81" s="110" t="n"/>
      <c r="G81" s="40" t="n"/>
      <c r="H81" s="110" t="n"/>
      <c r="I81" s="40" t="n"/>
      <c r="J81" s="40" t="n"/>
      <c r="K81" s="40" t="n"/>
    </row>
    <row r="82">
      <c r="A82" s="46" t="n"/>
      <c r="B82" s="47" t="n"/>
      <c r="C82" s="47" t="n"/>
      <c r="D82" s="47" t="n"/>
      <c r="E82" s="50">
        <f>IFERROR(INDEX(الموظفون_الاسم,MATCH($D82,الموظفون_الرقم,0)),"")</f>
        <v/>
      </c>
      <c r="F82" s="112" t="n"/>
      <c r="G82" s="47" t="n"/>
      <c r="H82" s="112" t="n"/>
      <c r="I82" s="47" t="n"/>
      <c r="J82" s="47" t="n"/>
      <c r="K82" s="47" t="n"/>
    </row>
    <row r="83">
      <c r="A83" s="39" t="n"/>
      <c r="B83" s="40" t="n"/>
      <c r="C83" s="40" t="n"/>
      <c r="D83" s="40" t="n"/>
      <c r="E83" s="43">
        <f>IFERROR(INDEX(الموظفون_الاسم,MATCH($D83,الموظفون_الرقم,0)),"")</f>
        <v/>
      </c>
      <c r="F83" s="110" t="n"/>
      <c r="G83" s="40" t="n"/>
      <c r="H83" s="110" t="n"/>
      <c r="I83" s="40" t="n"/>
      <c r="J83" s="40" t="n"/>
      <c r="K83" s="40" t="n"/>
    </row>
    <row r="84">
      <c r="A84" s="46" t="n"/>
      <c r="B84" s="47" t="n"/>
      <c r="C84" s="47" t="n"/>
      <c r="D84" s="47" t="n"/>
      <c r="E84" s="50">
        <f>IFERROR(INDEX(الموظفون_الاسم,MATCH($D84,الموظفون_الرقم,0)),"")</f>
        <v/>
      </c>
      <c r="F84" s="112" t="n"/>
      <c r="G84" s="47" t="n"/>
      <c r="H84" s="112" t="n"/>
      <c r="I84" s="47" t="n"/>
      <c r="J84" s="47" t="n"/>
      <c r="K84" s="47" t="n"/>
    </row>
    <row r="85">
      <c r="A85" s="39" t="n"/>
      <c r="B85" s="40" t="n"/>
      <c r="C85" s="40" t="n"/>
      <c r="D85" s="40" t="n"/>
      <c r="E85" s="43">
        <f>IFERROR(INDEX(الموظفون_الاسم,MATCH($D85,الموظفون_الرقم,0)),"")</f>
        <v/>
      </c>
      <c r="F85" s="110" t="n"/>
      <c r="G85" s="40" t="n"/>
      <c r="H85" s="110" t="n"/>
      <c r="I85" s="40" t="n"/>
      <c r="J85" s="40" t="n"/>
      <c r="K85" s="40" t="n"/>
    </row>
    <row r="86">
      <c r="A86" s="46" t="n"/>
      <c r="B86" s="47" t="n"/>
      <c r="C86" s="47" t="n"/>
      <c r="D86" s="47" t="n"/>
      <c r="E86" s="50">
        <f>IFERROR(INDEX(الموظفون_الاسم,MATCH($D86,الموظفون_الرقم,0)),"")</f>
        <v/>
      </c>
      <c r="F86" s="112" t="n"/>
      <c r="G86" s="47" t="n"/>
      <c r="H86" s="112" t="n"/>
      <c r="I86" s="47" t="n"/>
      <c r="J86" s="47" t="n"/>
      <c r="K86" s="47" t="n"/>
    </row>
    <row r="87">
      <c r="A87" s="39" t="n"/>
      <c r="B87" s="40" t="n"/>
      <c r="C87" s="40" t="n"/>
      <c r="D87" s="40" t="n"/>
      <c r="E87" s="43">
        <f>IFERROR(INDEX(الموظفون_الاسم,MATCH($D87,الموظفون_الرقم,0)),"")</f>
        <v/>
      </c>
      <c r="F87" s="110" t="n"/>
      <c r="G87" s="40" t="n"/>
      <c r="H87" s="110" t="n"/>
      <c r="I87" s="40" t="n"/>
      <c r="J87" s="40" t="n"/>
      <c r="K87" s="40" t="n"/>
    </row>
    <row r="88">
      <c r="A88" s="46" t="n"/>
      <c r="B88" s="47" t="n"/>
      <c r="C88" s="47" t="n"/>
      <c r="D88" s="47" t="n"/>
      <c r="E88" s="50">
        <f>IFERROR(INDEX(الموظفون_الاسم,MATCH($D88,الموظفون_الرقم,0)),"")</f>
        <v/>
      </c>
      <c r="F88" s="112" t="n"/>
      <c r="G88" s="47" t="n"/>
      <c r="H88" s="112" t="n"/>
      <c r="I88" s="47" t="n"/>
      <c r="J88" s="47" t="n"/>
      <c r="K88" s="47" t="n"/>
    </row>
    <row r="89">
      <c r="A89" s="39" t="n"/>
      <c r="B89" s="40" t="n"/>
      <c r="C89" s="40" t="n"/>
      <c r="D89" s="40" t="n"/>
      <c r="E89" s="43">
        <f>IFERROR(INDEX(الموظفون_الاسم,MATCH($D89,الموظفون_الرقم,0)),"")</f>
        <v/>
      </c>
      <c r="F89" s="110" t="n"/>
      <c r="G89" s="40" t="n"/>
      <c r="H89" s="110" t="n"/>
      <c r="I89" s="40" t="n"/>
      <c r="J89" s="40" t="n"/>
      <c r="K89" s="40" t="n"/>
    </row>
    <row r="90">
      <c r="A90" s="46" t="n"/>
      <c r="B90" s="47" t="n"/>
      <c r="C90" s="47" t="n"/>
      <c r="D90" s="47" t="n"/>
      <c r="E90" s="50">
        <f>IFERROR(INDEX(الموظفون_الاسم,MATCH($D90,الموظفون_الرقم,0)),"")</f>
        <v/>
      </c>
      <c r="F90" s="112" t="n"/>
      <c r="G90" s="47" t="n"/>
      <c r="H90" s="112" t="n"/>
      <c r="I90" s="47" t="n"/>
      <c r="J90" s="47" t="n"/>
      <c r="K90" s="47" t="n"/>
    </row>
    <row r="91">
      <c r="A91" s="39" t="n"/>
      <c r="B91" s="40" t="n"/>
      <c r="C91" s="40" t="n"/>
      <c r="D91" s="40" t="n"/>
      <c r="E91" s="43">
        <f>IFERROR(INDEX(الموظفون_الاسم,MATCH($D91,الموظفون_الرقم,0)),"")</f>
        <v/>
      </c>
      <c r="F91" s="110" t="n"/>
      <c r="G91" s="40" t="n"/>
      <c r="H91" s="110" t="n"/>
      <c r="I91" s="40" t="n"/>
      <c r="J91" s="40" t="n"/>
      <c r="K91" s="40" t="n"/>
    </row>
    <row r="92">
      <c r="A92" s="46" t="n"/>
      <c r="B92" s="47" t="n"/>
      <c r="C92" s="47" t="n"/>
      <c r="D92" s="47" t="n"/>
      <c r="E92" s="50">
        <f>IFERROR(INDEX(الموظفون_الاسم,MATCH($D92,الموظفون_الرقم,0)),"")</f>
        <v/>
      </c>
      <c r="F92" s="112" t="n"/>
      <c r="G92" s="47" t="n"/>
      <c r="H92" s="112" t="n"/>
      <c r="I92" s="47" t="n"/>
      <c r="J92" s="47" t="n"/>
      <c r="K92" s="47" t="n"/>
    </row>
    <row r="93">
      <c r="A93" s="39" t="n"/>
      <c r="B93" s="40" t="n"/>
      <c r="C93" s="40" t="n"/>
      <c r="D93" s="40" t="n"/>
      <c r="E93" s="43">
        <f>IFERROR(INDEX(الموظفون_الاسم,MATCH($D93,الموظفون_الرقم,0)),"")</f>
        <v/>
      </c>
      <c r="F93" s="110" t="n"/>
      <c r="G93" s="40" t="n"/>
      <c r="H93" s="110" t="n"/>
      <c r="I93" s="40" t="n"/>
      <c r="J93" s="40" t="n"/>
      <c r="K93" s="40" t="n"/>
    </row>
    <row r="94">
      <c r="A94" s="46" t="n"/>
      <c r="B94" s="47" t="n"/>
      <c r="C94" s="47" t="n"/>
      <c r="D94" s="47" t="n"/>
      <c r="E94" s="50">
        <f>IFERROR(INDEX(الموظفون_الاسم,MATCH($D94,الموظفون_الرقم,0)),"")</f>
        <v/>
      </c>
      <c r="F94" s="112" t="n"/>
      <c r="G94" s="47" t="n"/>
      <c r="H94" s="112" t="n"/>
      <c r="I94" s="47" t="n"/>
      <c r="J94" s="47" t="n"/>
      <c r="K94" s="47" t="n"/>
    </row>
    <row r="95">
      <c r="A95" s="39" t="n"/>
      <c r="B95" s="40" t="n"/>
      <c r="C95" s="40" t="n"/>
      <c r="D95" s="40" t="n"/>
      <c r="E95" s="43">
        <f>IFERROR(INDEX(الموظفون_الاسم,MATCH($D95,الموظفون_الرقم,0)),"")</f>
        <v/>
      </c>
      <c r="F95" s="110" t="n"/>
      <c r="G95" s="40" t="n"/>
      <c r="H95" s="110" t="n"/>
      <c r="I95" s="40" t="n"/>
      <c r="J95" s="40" t="n"/>
      <c r="K95" s="40" t="n"/>
    </row>
    <row r="96">
      <c r="A96" s="46" t="n"/>
      <c r="B96" s="47" t="n"/>
      <c r="C96" s="47" t="n"/>
      <c r="D96" s="47" t="n"/>
      <c r="E96" s="50">
        <f>IFERROR(INDEX(الموظفون_الاسم,MATCH($D96,الموظفون_الرقم,0)),"")</f>
        <v/>
      </c>
      <c r="F96" s="112" t="n"/>
      <c r="G96" s="47" t="n"/>
      <c r="H96" s="112" t="n"/>
      <c r="I96" s="47" t="n"/>
      <c r="J96" s="47" t="n"/>
      <c r="K96" s="47" t="n"/>
    </row>
    <row r="97">
      <c r="A97" s="39" t="n"/>
      <c r="B97" s="40" t="n"/>
      <c r="C97" s="40" t="n"/>
      <c r="D97" s="40" t="n"/>
      <c r="E97" s="43">
        <f>IFERROR(INDEX(الموظفون_الاسم,MATCH($D97,الموظفون_الرقم,0)),"")</f>
        <v/>
      </c>
      <c r="F97" s="110" t="n"/>
      <c r="G97" s="40" t="n"/>
      <c r="H97" s="110" t="n"/>
      <c r="I97" s="40" t="n"/>
      <c r="J97" s="40" t="n"/>
      <c r="K97" s="40" t="n"/>
    </row>
    <row r="98">
      <c r="A98" s="46" t="n"/>
      <c r="B98" s="47" t="n"/>
      <c r="C98" s="47" t="n"/>
      <c r="D98" s="47" t="n"/>
      <c r="E98" s="50">
        <f>IFERROR(INDEX(الموظفون_الاسم,MATCH($D98,الموظفون_الرقم,0)),"")</f>
        <v/>
      </c>
      <c r="F98" s="112" t="n"/>
      <c r="G98" s="47" t="n"/>
      <c r="H98" s="112" t="n"/>
      <c r="I98" s="47" t="n"/>
      <c r="J98" s="47" t="n"/>
      <c r="K98" s="47" t="n"/>
    </row>
    <row r="99">
      <c r="A99" s="39" t="n"/>
      <c r="B99" s="40" t="n"/>
      <c r="C99" s="40" t="n"/>
      <c r="D99" s="40" t="n"/>
      <c r="E99" s="43">
        <f>IFERROR(INDEX(الموظفون_الاسم,MATCH($D99,الموظفون_الرقم,0)),"")</f>
        <v/>
      </c>
      <c r="F99" s="110" t="n"/>
      <c r="G99" s="40" t="n"/>
      <c r="H99" s="110" t="n"/>
      <c r="I99" s="40" t="n"/>
      <c r="J99" s="40" t="n"/>
      <c r="K99" s="40" t="n"/>
    </row>
    <row r="100">
      <c r="A100" s="46" t="n"/>
      <c r="B100" s="47" t="n"/>
      <c r="C100" s="47" t="n"/>
      <c r="D100" s="47" t="n"/>
      <c r="E100" s="50">
        <f>IFERROR(INDEX(الموظفون_الاسم,MATCH($D100,الموظفون_الرقم,0)),"")</f>
        <v/>
      </c>
      <c r="F100" s="112" t="n"/>
      <c r="G100" s="47" t="n"/>
      <c r="H100" s="112" t="n"/>
      <c r="I100" s="47" t="n"/>
      <c r="J100" s="47" t="n"/>
      <c r="K100" s="47" t="n"/>
    </row>
    <row r="101">
      <c r="A101" s="39" t="n"/>
      <c r="B101" s="40" t="n"/>
      <c r="C101" s="40" t="n"/>
      <c r="D101" s="40" t="n"/>
      <c r="E101" s="43">
        <f>IFERROR(INDEX(الموظفون_الاسم,MATCH($D101,الموظفون_الرقم,0)),"")</f>
        <v/>
      </c>
      <c r="F101" s="110" t="n"/>
      <c r="G101" s="40" t="n"/>
      <c r="H101" s="110" t="n"/>
      <c r="I101" s="40" t="n"/>
      <c r="J101" s="40" t="n"/>
      <c r="K101" s="40" t="n"/>
    </row>
    <row r="102">
      <c r="A102" s="46" t="n"/>
      <c r="B102" s="47" t="n"/>
      <c r="C102" s="47" t="n"/>
      <c r="D102" s="47" t="n"/>
      <c r="E102" s="50">
        <f>IFERROR(INDEX(الموظفون_الاسم,MATCH($D102,الموظفون_الرقم,0)),"")</f>
        <v/>
      </c>
      <c r="F102" s="112" t="n"/>
      <c r="G102" s="47" t="n"/>
      <c r="H102" s="112" t="n"/>
      <c r="I102" s="47" t="n"/>
      <c r="J102" s="47" t="n"/>
      <c r="K102" s="47" t="n"/>
    </row>
    <row r="103">
      <c r="A103" s="39" t="n"/>
      <c r="B103" s="40" t="n"/>
      <c r="C103" s="40" t="n"/>
      <c r="D103" s="40" t="n"/>
      <c r="E103" s="43">
        <f>IFERROR(INDEX(الموظفون_الاسم,MATCH($D103,الموظفون_الرقم,0)),"")</f>
        <v/>
      </c>
      <c r="F103" s="110" t="n"/>
      <c r="G103" s="40" t="n"/>
      <c r="H103" s="110" t="n"/>
      <c r="I103" s="40" t="n"/>
      <c r="J103" s="40" t="n"/>
      <c r="K103" s="40" t="n"/>
    </row>
    <row r="104">
      <c r="A104" s="46" t="n"/>
      <c r="B104" s="47" t="n"/>
      <c r="C104" s="47" t="n"/>
      <c r="D104" s="47" t="n"/>
      <c r="E104" s="50">
        <f>IFERROR(INDEX(الموظفون_الاسم,MATCH($D104,الموظفون_الرقم,0)),"")</f>
        <v/>
      </c>
      <c r="F104" s="112" t="n"/>
      <c r="G104" s="47" t="n"/>
      <c r="H104" s="112" t="n"/>
      <c r="I104" s="47" t="n"/>
      <c r="J104" s="47" t="n"/>
      <c r="K104" s="47" t="n"/>
    </row>
    <row r="105">
      <c r="A105" s="39" t="n"/>
      <c r="B105" s="40" t="n"/>
      <c r="C105" s="40" t="n"/>
      <c r="D105" s="40" t="n"/>
      <c r="E105" s="43">
        <f>IFERROR(INDEX(الموظفون_الاسم,MATCH($D105,الموظفون_الرقم,0)),"")</f>
        <v/>
      </c>
      <c r="F105" s="110" t="n"/>
      <c r="G105" s="40" t="n"/>
      <c r="H105" s="110" t="n"/>
      <c r="I105" s="40" t="n"/>
      <c r="J105" s="40" t="n"/>
      <c r="K105" s="40" t="n"/>
    </row>
    <row r="106">
      <c r="A106" s="46" t="n"/>
      <c r="B106" s="47" t="n"/>
      <c r="C106" s="47" t="n"/>
      <c r="D106" s="47" t="n"/>
      <c r="E106" s="50">
        <f>IFERROR(INDEX(الموظفون_الاسم,MATCH($D106,الموظفون_الرقم,0)),"")</f>
        <v/>
      </c>
      <c r="F106" s="112" t="n"/>
      <c r="G106" s="47" t="n"/>
      <c r="H106" s="112" t="n"/>
      <c r="I106" s="47" t="n"/>
      <c r="J106" s="47" t="n"/>
      <c r="K106" s="47" t="n"/>
    </row>
    <row r="107">
      <c r="A107" s="39" t="n"/>
      <c r="B107" s="40" t="n"/>
      <c r="C107" s="40" t="n"/>
      <c r="D107" s="40" t="n"/>
      <c r="E107" s="43">
        <f>IFERROR(INDEX(الموظفون_الاسم,MATCH($D107,الموظفون_الرقم,0)),"")</f>
        <v/>
      </c>
      <c r="F107" s="110" t="n"/>
      <c r="G107" s="40" t="n"/>
      <c r="H107" s="110" t="n"/>
      <c r="I107" s="40" t="n"/>
      <c r="J107" s="40" t="n"/>
      <c r="K107" s="40" t="n"/>
    </row>
    <row r="108">
      <c r="A108" s="46" t="n"/>
      <c r="B108" s="47" t="n"/>
      <c r="C108" s="47" t="n"/>
      <c r="D108" s="47" t="n"/>
      <c r="E108" s="50">
        <f>IFERROR(INDEX(الموظفون_الاسم,MATCH($D108,الموظفون_الرقم,0)),"")</f>
        <v/>
      </c>
      <c r="F108" s="112" t="n"/>
      <c r="G108" s="47" t="n"/>
      <c r="H108" s="112" t="n"/>
      <c r="I108" s="47" t="n"/>
      <c r="J108" s="47" t="n"/>
      <c r="K108" s="47" t="n"/>
    </row>
    <row r="109">
      <c r="A109" s="39" t="n"/>
      <c r="B109" s="40" t="n"/>
      <c r="C109" s="40" t="n"/>
      <c r="D109" s="40" t="n"/>
      <c r="E109" s="43">
        <f>IFERROR(INDEX(الموظفون_الاسم,MATCH($D109,الموظفون_الرقم,0)),"")</f>
        <v/>
      </c>
      <c r="F109" s="110" t="n"/>
      <c r="G109" s="40" t="n"/>
      <c r="H109" s="110" t="n"/>
      <c r="I109" s="40" t="n"/>
      <c r="J109" s="40" t="n"/>
      <c r="K109" s="40" t="n"/>
    </row>
    <row r="110">
      <c r="A110" s="46" t="n"/>
      <c r="B110" s="47" t="n"/>
      <c r="C110" s="47" t="n"/>
      <c r="D110" s="47" t="n"/>
      <c r="E110" s="50">
        <f>IFERROR(INDEX(الموظفون_الاسم,MATCH($D110,الموظفون_الرقم,0)),"")</f>
        <v/>
      </c>
      <c r="F110" s="112" t="n"/>
      <c r="G110" s="47" t="n"/>
      <c r="H110" s="112" t="n"/>
      <c r="I110" s="47" t="n"/>
      <c r="J110" s="47" t="n"/>
      <c r="K110" s="47" t="n"/>
    </row>
    <row r="111">
      <c r="A111" s="39" t="n"/>
      <c r="B111" s="40" t="n"/>
      <c r="C111" s="40" t="n"/>
      <c r="D111" s="40" t="n"/>
      <c r="E111" s="43">
        <f>IFERROR(INDEX(الموظفون_الاسم,MATCH($D111,الموظفون_الرقم,0)),"")</f>
        <v/>
      </c>
      <c r="F111" s="110" t="n"/>
      <c r="G111" s="40" t="n"/>
      <c r="H111" s="110" t="n"/>
      <c r="I111" s="40" t="n"/>
      <c r="J111" s="40" t="n"/>
      <c r="K111" s="40" t="n"/>
    </row>
    <row r="112">
      <c r="A112" s="46" t="n"/>
      <c r="B112" s="47" t="n"/>
      <c r="C112" s="47" t="n"/>
      <c r="D112" s="47" t="n"/>
      <c r="E112" s="50">
        <f>IFERROR(INDEX(الموظفون_الاسم,MATCH($D112,الموظفون_الرقم,0)),"")</f>
        <v/>
      </c>
      <c r="F112" s="112" t="n"/>
      <c r="G112" s="47" t="n"/>
      <c r="H112" s="112" t="n"/>
      <c r="I112" s="47" t="n"/>
      <c r="J112" s="47" t="n"/>
      <c r="K112" s="47" t="n"/>
    </row>
    <row r="113">
      <c r="A113" s="39" t="n"/>
      <c r="B113" s="40" t="n"/>
      <c r="C113" s="40" t="n"/>
      <c r="D113" s="40" t="n"/>
      <c r="E113" s="43">
        <f>IFERROR(INDEX(الموظفون_الاسم,MATCH($D113,الموظفون_الرقم,0)),"")</f>
        <v/>
      </c>
      <c r="F113" s="110" t="n"/>
      <c r="G113" s="40" t="n"/>
      <c r="H113" s="110" t="n"/>
      <c r="I113" s="40" t="n"/>
      <c r="J113" s="40" t="n"/>
      <c r="K113" s="40" t="n"/>
    </row>
    <row r="114">
      <c r="A114" s="46" t="n"/>
      <c r="B114" s="47" t="n"/>
      <c r="C114" s="47" t="n"/>
      <c r="D114" s="47" t="n"/>
      <c r="E114" s="50">
        <f>IFERROR(INDEX(الموظفون_الاسم,MATCH($D114,الموظفون_الرقم,0)),"")</f>
        <v/>
      </c>
      <c r="F114" s="112" t="n"/>
      <c r="G114" s="47" t="n"/>
      <c r="H114" s="112" t="n"/>
      <c r="I114" s="47" t="n"/>
      <c r="J114" s="47" t="n"/>
      <c r="K114" s="47" t="n"/>
    </row>
    <row r="115">
      <c r="A115" s="39" t="n"/>
      <c r="B115" s="40" t="n"/>
      <c r="C115" s="40" t="n"/>
      <c r="D115" s="40" t="n"/>
      <c r="E115" s="43">
        <f>IFERROR(INDEX(الموظفون_الاسم,MATCH($D115,الموظفون_الرقم,0)),"")</f>
        <v/>
      </c>
      <c r="F115" s="110" t="n"/>
      <c r="G115" s="40" t="n"/>
      <c r="H115" s="110" t="n"/>
      <c r="I115" s="40" t="n"/>
      <c r="J115" s="40" t="n"/>
      <c r="K115" s="40" t="n"/>
    </row>
    <row r="116">
      <c r="A116" s="46" t="n"/>
      <c r="B116" s="47" t="n"/>
      <c r="C116" s="47" t="n"/>
      <c r="D116" s="47" t="n"/>
      <c r="E116" s="50">
        <f>IFERROR(INDEX(الموظفون_الاسم,MATCH($D116,الموظفون_الرقم,0)),"")</f>
        <v/>
      </c>
      <c r="F116" s="112" t="n"/>
      <c r="G116" s="47" t="n"/>
      <c r="H116" s="112" t="n"/>
      <c r="I116" s="47" t="n"/>
      <c r="J116" s="47" t="n"/>
      <c r="K116" s="47" t="n"/>
    </row>
    <row r="117">
      <c r="A117" s="39" t="n"/>
      <c r="B117" s="40" t="n"/>
      <c r="C117" s="40" t="n"/>
      <c r="D117" s="40" t="n"/>
      <c r="E117" s="43">
        <f>IFERROR(INDEX(الموظفون_الاسم,MATCH($D117,الموظفون_الرقم,0)),"")</f>
        <v/>
      </c>
      <c r="F117" s="110" t="n"/>
      <c r="G117" s="40" t="n"/>
      <c r="H117" s="110" t="n"/>
      <c r="I117" s="40" t="n"/>
      <c r="J117" s="40" t="n"/>
      <c r="K117" s="40" t="n"/>
    </row>
    <row r="118">
      <c r="A118" s="46" t="n"/>
      <c r="B118" s="47" t="n"/>
      <c r="C118" s="47" t="n"/>
      <c r="D118" s="47" t="n"/>
      <c r="E118" s="50">
        <f>IFERROR(INDEX(الموظفون_الاسم,MATCH($D118,الموظفون_الرقم,0)),"")</f>
        <v/>
      </c>
      <c r="F118" s="112" t="n"/>
      <c r="G118" s="47" t="n"/>
      <c r="H118" s="112" t="n"/>
      <c r="I118" s="47" t="n"/>
      <c r="J118" s="47" t="n"/>
      <c r="K118" s="47" t="n"/>
    </row>
    <row r="119">
      <c r="A119" s="39" t="n"/>
      <c r="B119" s="40" t="n"/>
      <c r="C119" s="40" t="n"/>
      <c r="D119" s="40" t="n"/>
      <c r="E119" s="43">
        <f>IFERROR(INDEX(الموظفون_الاسم,MATCH($D119,الموظفون_الرقم,0)),"")</f>
        <v/>
      </c>
      <c r="F119" s="110" t="n"/>
      <c r="G119" s="40" t="n"/>
      <c r="H119" s="110" t="n"/>
      <c r="I119" s="40" t="n"/>
      <c r="J119" s="40" t="n"/>
      <c r="K119" s="40" t="n"/>
    </row>
    <row r="120">
      <c r="A120" s="46" t="n"/>
      <c r="B120" s="47" t="n"/>
      <c r="C120" s="47" t="n"/>
      <c r="D120" s="47" t="n"/>
      <c r="E120" s="50">
        <f>IFERROR(INDEX(الموظفون_الاسم,MATCH($D120,الموظفون_الرقم,0)),"")</f>
        <v/>
      </c>
      <c r="F120" s="112" t="n"/>
      <c r="G120" s="47" t="n"/>
      <c r="H120" s="112" t="n"/>
      <c r="I120" s="47" t="n"/>
      <c r="J120" s="47" t="n"/>
      <c r="K120" s="47" t="n"/>
    </row>
    <row r="121">
      <c r="A121" s="39" t="n"/>
      <c r="B121" s="40" t="n"/>
      <c r="C121" s="40" t="n"/>
      <c r="D121" s="40" t="n"/>
      <c r="E121" s="43">
        <f>IFERROR(INDEX(الموظفون_الاسم,MATCH($D121,الموظفون_الرقم,0)),"")</f>
        <v/>
      </c>
      <c r="F121" s="110" t="n"/>
      <c r="G121" s="40" t="n"/>
      <c r="H121" s="110" t="n"/>
      <c r="I121" s="40" t="n"/>
      <c r="J121" s="40" t="n"/>
      <c r="K121" s="40" t="n"/>
    </row>
    <row r="122">
      <c r="A122" s="46" t="n"/>
      <c r="B122" s="47" t="n"/>
      <c r="C122" s="47" t="n"/>
      <c r="D122" s="47" t="n"/>
      <c r="E122" s="50">
        <f>IFERROR(INDEX(الموظفون_الاسم,MATCH($D122,الموظفون_الرقم,0)),"")</f>
        <v/>
      </c>
      <c r="F122" s="112" t="n"/>
      <c r="G122" s="47" t="n"/>
      <c r="H122" s="112" t="n"/>
      <c r="I122" s="47" t="n"/>
      <c r="J122" s="47" t="n"/>
      <c r="K122" s="47" t="n"/>
    </row>
    <row r="123">
      <c r="A123" s="39" t="n"/>
      <c r="B123" s="40" t="n"/>
      <c r="C123" s="40" t="n"/>
      <c r="D123" s="40" t="n"/>
      <c r="E123" s="43">
        <f>IFERROR(INDEX(الموظفون_الاسم,MATCH($D123,الموظفون_الرقم,0)),"")</f>
        <v/>
      </c>
      <c r="F123" s="110" t="n"/>
      <c r="G123" s="40" t="n"/>
      <c r="H123" s="110" t="n"/>
      <c r="I123" s="40" t="n"/>
      <c r="J123" s="40" t="n"/>
      <c r="K123" s="40" t="n"/>
    </row>
    <row r="124">
      <c r="A124" s="46" t="n"/>
      <c r="B124" s="47" t="n"/>
      <c r="C124" s="47" t="n"/>
      <c r="D124" s="47" t="n"/>
      <c r="E124" s="50">
        <f>IFERROR(INDEX(الموظفون_الاسم,MATCH($D124,الموظفون_الرقم,0)),"")</f>
        <v/>
      </c>
      <c r="F124" s="112" t="n"/>
      <c r="G124" s="47" t="n"/>
      <c r="H124" s="112" t="n"/>
      <c r="I124" s="47" t="n"/>
      <c r="J124" s="47" t="n"/>
      <c r="K124" s="47" t="n"/>
    </row>
    <row r="125">
      <c r="A125" s="39" t="n"/>
      <c r="B125" s="40" t="n"/>
      <c r="C125" s="40" t="n"/>
      <c r="D125" s="40" t="n"/>
      <c r="E125" s="43">
        <f>IFERROR(INDEX(الموظفون_الاسم,MATCH($D125,الموظفون_الرقم,0)),"")</f>
        <v/>
      </c>
      <c r="F125" s="110" t="n"/>
      <c r="G125" s="40" t="n"/>
      <c r="H125" s="110" t="n"/>
      <c r="I125" s="40" t="n"/>
      <c r="J125" s="40" t="n"/>
      <c r="K125" s="40" t="n"/>
    </row>
    <row r="126">
      <c r="A126" s="46" t="n"/>
      <c r="B126" s="47" t="n"/>
      <c r="C126" s="47" t="n"/>
      <c r="D126" s="47" t="n"/>
      <c r="E126" s="50">
        <f>IFERROR(INDEX(الموظفون_الاسم,MATCH($D126,الموظفون_الرقم,0)),"")</f>
        <v/>
      </c>
      <c r="F126" s="112" t="n"/>
      <c r="G126" s="47" t="n"/>
      <c r="H126" s="112" t="n"/>
      <c r="I126" s="47" t="n"/>
      <c r="J126" s="47" t="n"/>
      <c r="K126" s="47" t="n"/>
    </row>
    <row r="127">
      <c r="A127" s="39" t="n"/>
      <c r="B127" s="40" t="n"/>
      <c r="C127" s="40" t="n"/>
      <c r="D127" s="40" t="n"/>
      <c r="E127" s="43">
        <f>IFERROR(INDEX(الموظفون_الاسم,MATCH($D127,الموظفون_الرقم,0)),"")</f>
        <v/>
      </c>
      <c r="F127" s="110" t="n"/>
      <c r="G127" s="40" t="n"/>
      <c r="H127" s="110" t="n"/>
      <c r="I127" s="40" t="n"/>
      <c r="J127" s="40" t="n"/>
      <c r="K127" s="40" t="n"/>
    </row>
    <row r="128">
      <c r="A128" s="46" t="n"/>
      <c r="B128" s="47" t="n"/>
      <c r="C128" s="47" t="n"/>
      <c r="D128" s="47" t="n"/>
      <c r="E128" s="50">
        <f>IFERROR(INDEX(الموظفون_الاسم,MATCH($D128,الموظفون_الرقم,0)),"")</f>
        <v/>
      </c>
      <c r="F128" s="112" t="n"/>
      <c r="G128" s="47" t="n"/>
      <c r="H128" s="112" t="n"/>
      <c r="I128" s="47" t="n"/>
      <c r="J128" s="47" t="n"/>
      <c r="K128" s="47" t="n"/>
    </row>
    <row r="129">
      <c r="A129" s="39" t="n"/>
      <c r="B129" s="40" t="n"/>
      <c r="C129" s="40" t="n"/>
      <c r="D129" s="40" t="n"/>
      <c r="E129" s="43">
        <f>IFERROR(INDEX(الموظفون_الاسم,MATCH($D129,الموظفون_الرقم,0)),"")</f>
        <v/>
      </c>
      <c r="F129" s="110" t="n"/>
      <c r="G129" s="40" t="n"/>
      <c r="H129" s="110" t="n"/>
      <c r="I129" s="40" t="n"/>
      <c r="J129" s="40" t="n"/>
      <c r="K129" s="40" t="n"/>
    </row>
    <row r="130">
      <c r="A130" s="46" t="n"/>
      <c r="B130" s="47" t="n"/>
      <c r="C130" s="47" t="n"/>
      <c r="D130" s="47" t="n"/>
      <c r="E130" s="50">
        <f>IFERROR(INDEX(الموظفون_الاسم,MATCH($D130,الموظفون_الرقم,0)),"")</f>
        <v/>
      </c>
      <c r="F130" s="112" t="n"/>
      <c r="G130" s="47" t="n"/>
      <c r="H130" s="112" t="n"/>
      <c r="I130" s="47" t="n"/>
      <c r="J130" s="47" t="n"/>
      <c r="K130" s="47" t="n"/>
    </row>
    <row r="131">
      <c r="A131" s="39" t="n"/>
      <c r="B131" s="40" t="n"/>
      <c r="C131" s="40" t="n"/>
      <c r="D131" s="40" t="n"/>
      <c r="E131" s="43">
        <f>IFERROR(INDEX(الموظفون_الاسم,MATCH($D131,الموظفون_الرقم,0)),"")</f>
        <v/>
      </c>
      <c r="F131" s="110" t="n"/>
      <c r="G131" s="40" t="n"/>
      <c r="H131" s="110" t="n"/>
      <c r="I131" s="40" t="n"/>
      <c r="J131" s="40" t="n"/>
      <c r="K131" s="40" t="n"/>
    </row>
    <row r="132">
      <c r="A132" s="46" t="n"/>
      <c r="B132" s="47" t="n"/>
      <c r="C132" s="47" t="n"/>
      <c r="D132" s="47" t="n"/>
      <c r="E132" s="50">
        <f>IFERROR(INDEX(الموظفون_الاسم,MATCH($D132,الموظفون_الرقم,0)),"")</f>
        <v/>
      </c>
      <c r="F132" s="112" t="n"/>
      <c r="G132" s="47" t="n"/>
      <c r="H132" s="112" t="n"/>
      <c r="I132" s="47" t="n"/>
      <c r="J132" s="47" t="n"/>
      <c r="K132" s="47" t="n"/>
    </row>
    <row r="133">
      <c r="A133" s="39" t="n"/>
      <c r="B133" s="40" t="n"/>
      <c r="C133" s="40" t="n"/>
      <c r="D133" s="40" t="n"/>
      <c r="E133" s="43">
        <f>IFERROR(INDEX(الموظفون_الاسم,MATCH($D133,الموظفون_الرقم,0)),"")</f>
        <v/>
      </c>
      <c r="F133" s="110" t="n"/>
      <c r="G133" s="40" t="n"/>
      <c r="H133" s="110" t="n"/>
      <c r="I133" s="40" t="n"/>
      <c r="J133" s="40" t="n"/>
      <c r="K133" s="40" t="n"/>
    </row>
    <row r="134">
      <c r="A134" s="46" t="n"/>
      <c r="B134" s="47" t="n"/>
      <c r="C134" s="47" t="n"/>
      <c r="D134" s="47" t="n"/>
      <c r="E134" s="50">
        <f>IFERROR(INDEX(الموظفون_الاسم,MATCH($D134,الموظفون_الرقم,0)),"")</f>
        <v/>
      </c>
      <c r="F134" s="112" t="n"/>
      <c r="G134" s="47" t="n"/>
      <c r="H134" s="112" t="n"/>
      <c r="I134" s="47" t="n"/>
      <c r="J134" s="47" t="n"/>
      <c r="K134" s="47" t="n"/>
    </row>
    <row r="135">
      <c r="A135" s="39" t="n"/>
      <c r="B135" s="40" t="n"/>
      <c r="C135" s="40" t="n"/>
      <c r="D135" s="40" t="n"/>
      <c r="E135" s="43">
        <f>IFERROR(INDEX(الموظفون_الاسم,MATCH($D135,الموظفون_الرقم,0)),"")</f>
        <v/>
      </c>
      <c r="F135" s="110" t="n"/>
      <c r="G135" s="40" t="n"/>
      <c r="H135" s="110" t="n"/>
      <c r="I135" s="40" t="n"/>
      <c r="J135" s="40" t="n"/>
      <c r="K135" s="40" t="n"/>
    </row>
    <row r="136">
      <c r="A136" s="46" t="n"/>
      <c r="B136" s="47" t="n"/>
      <c r="C136" s="47" t="n"/>
      <c r="D136" s="47" t="n"/>
      <c r="E136" s="50">
        <f>IFERROR(INDEX(الموظفون_الاسم,MATCH($D136,الموظفون_الرقم,0)),"")</f>
        <v/>
      </c>
      <c r="F136" s="112" t="n"/>
      <c r="G136" s="47" t="n"/>
      <c r="H136" s="112" t="n"/>
      <c r="I136" s="47" t="n"/>
      <c r="J136" s="47" t="n"/>
      <c r="K136" s="47" t="n"/>
    </row>
    <row r="137">
      <c r="A137" s="39" t="n"/>
      <c r="B137" s="40" t="n"/>
      <c r="C137" s="40" t="n"/>
      <c r="D137" s="40" t="n"/>
      <c r="E137" s="43">
        <f>IFERROR(INDEX(الموظفون_الاسم,MATCH($D137,الموظفون_الرقم,0)),"")</f>
        <v/>
      </c>
      <c r="F137" s="110" t="n"/>
      <c r="G137" s="40" t="n"/>
      <c r="H137" s="110" t="n"/>
      <c r="I137" s="40" t="n"/>
      <c r="J137" s="40" t="n"/>
      <c r="K137" s="40" t="n"/>
    </row>
    <row r="138">
      <c r="A138" s="46" t="n"/>
      <c r="B138" s="47" t="n"/>
      <c r="C138" s="47" t="n"/>
      <c r="D138" s="47" t="n"/>
      <c r="E138" s="50">
        <f>IFERROR(INDEX(الموظفون_الاسم,MATCH($D138,الموظفون_الرقم,0)),"")</f>
        <v/>
      </c>
      <c r="F138" s="112" t="n"/>
      <c r="G138" s="47" t="n"/>
      <c r="H138" s="112" t="n"/>
      <c r="I138" s="47" t="n"/>
      <c r="J138" s="47" t="n"/>
      <c r="K138" s="47" t="n"/>
    </row>
    <row r="139">
      <c r="A139" s="39" t="n"/>
      <c r="B139" s="40" t="n"/>
      <c r="C139" s="40" t="n"/>
      <c r="D139" s="40" t="n"/>
      <c r="E139" s="43">
        <f>IFERROR(INDEX(الموظفون_الاسم,MATCH($D139,الموظفون_الرقم,0)),"")</f>
        <v/>
      </c>
      <c r="F139" s="110" t="n"/>
      <c r="G139" s="40" t="n"/>
      <c r="H139" s="110" t="n"/>
      <c r="I139" s="40" t="n"/>
      <c r="J139" s="40" t="n"/>
      <c r="K139" s="40" t="n"/>
    </row>
    <row r="140">
      <c r="A140" s="46" t="n"/>
      <c r="B140" s="47" t="n"/>
      <c r="C140" s="47" t="n"/>
      <c r="D140" s="47" t="n"/>
      <c r="E140" s="50">
        <f>IFERROR(INDEX(الموظفون_الاسم,MATCH($D140,الموظفون_الرقم,0)),"")</f>
        <v/>
      </c>
      <c r="F140" s="112" t="n"/>
      <c r="G140" s="47" t="n"/>
      <c r="H140" s="112" t="n"/>
      <c r="I140" s="47" t="n"/>
      <c r="J140" s="47" t="n"/>
      <c r="K140" s="47" t="n"/>
    </row>
    <row r="141">
      <c r="A141" s="39" t="n"/>
      <c r="B141" s="40" t="n"/>
      <c r="C141" s="40" t="n"/>
      <c r="D141" s="40" t="n"/>
      <c r="E141" s="43">
        <f>IFERROR(INDEX(الموظفون_الاسم,MATCH($D141,الموظفون_الرقم,0)),"")</f>
        <v/>
      </c>
      <c r="F141" s="110" t="n"/>
      <c r="G141" s="40" t="n"/>
      <c r="H141" s="110" t="n"/>
      <c r="I141" s="40" t="n"/>
      <c r="J141" s="40" t="n"/>
      <c r="K141" s="40" t="n"/>
    </row>
    <row r="142">
      <c r="A142" s="46" t="n"/>
      <c r="B142" s="47" t="n"/>
      <c r="C142" s="47" t="n"/>
      <c r="D142" s="47" t="n"/>
      <c r="E142" s="50">
        <f>IFERROR(INDEX(الموظفون_الاسم,MATCH($D142,الموظفون_الرقم,0)),"")</f>
        <v/>
      </c>
      <c r="F142" s="112" t="n"/>
      <c r="G142" s="47" t="n"/>
      <c r="H142" s="112" t="n"/>
      <c r="I142" s="47" t="n"/>
      <c r="J142" s="47" t="n"/>
      <c r="K142" s="47" t="n"/>
    </row>
    <row r="143">
      <c r="A143" s="39" t="n"/>
      <c r="B143" s="40" t="n"/>
      <c r="C143" s="40" t="n"/>
      <c r="D143" s="40" t="n"/>
      <c r="E143" s="43">
        <f>IFERROR(INDEX(الموظفون_الاسم,MATCH($D143,الموظفون_الرقم,0)),"")</f>
        <v/>
      </c>
      <c r="F143" s="110" t="n"/>
      <c r="G143" s="40" t="n"/>
      <c r="H143" s="110" t="n"/>
      <c r="I143" s="40" t="n"/>
      <c r="J143" s="40" t="n"/>
      <c r="K143" s="40" t="n"/>
    </row>
    <row r="144">
      <c r="A144" s="46" t="n"/>
      <c r="B144" s="47" t="n"/>
      <c r="C144" s="47" t="n"/>
      <c r="D144" s="47" t="n"/>
      <c r="E144" s="50">
        <f>IFERROR(INDEX(الموظفون_الاسم,MATCH($D144,الموظفون_الرقم,0)),"")</f>
        <v/>
      </c>
      <c r="F144" s="112" t="n"/>
      <c r="G144" s="47" t="n"/>
      <c r="H144" s="112" t="n"/>
      <c r="I144" s="47" t="n"/>
      <c r="J144" s="47" t="n"/>
      <c r="K144" s="47" t="n"/>
    </row>
    <row r="145">
      <c r="A145" s="39" t="n"/>
      <c r="B145" s="40" t="n"/>
      <c r="C145" s="40" t="n"/>
      <c r="D145" s="40" t="n"/>
      <c r="E145" s="43">
        <f>IFERROR(INDEX(الموظفون_الاسم,MATCH($D145,الموظفون_الرقم,0)),"")</f>
        <v/>
      </c>
      <c r="F145" s="110" t="n"/>
      <c r="G145" s="40" t="n"/>
      <c r="H145" s="110" t="n"/>
      <c r="I145" s="40" t="n"/>
      <c r="J145" s="40" t="n"/>
      <c r="K145" s="40" t="n"/>
    </row>
    <row r="146">
      <c r="A146" s="46" t="n"/>
      <c r="B146" s="47" t="n"/>
      <c r="C146" s="47" t="n"/>
      <c r="D146" s="47" t="n"/>
      <c r="E146" s="50">
        <f>IFERROR(INDEX(الموظفون_الاسم,MATCH($D146,الموظفون_الرقم,0)),"")</f>
        <v/>
      </c>
      <c r="F146" s="112" t="n"/>
      <c r="G146" s="47" t="n"/>
      <c r="H146" s="112" t="n"/>
      <c r="I146" s="47" t="n"/>
      <c r="J146" s="47" t="n"/>
      <c r="K146" s="47" t="n"/>
    </row>
    <row r="147">
      <c r="A147" s="39" t="n"/>
      <c r="B147" s="40" t="n"/>
      <c r="C147" s="40" t="n"/>
      <c r="D147" s="40" t="n"/>
      <c r="E147" s="43">
        <f>IFERROR(INDEX(الموظفون_الاسم,MATCH($D147,الموظفون_الرقم,0)),"")</f>
        <v/>
      </c>
      <c r="F147" s="110" t="n"/>
      <c r="G147" s="40" t="n"/>
      <c r="H147" s="110" t="n"/>
      <c r="I147" s="40" t="n"/>
      <c r="J147" s="40" t="n"/>
      <c r="K147" s="40" t="n"/>
    </row>
    <row r="148">
      <c r="A148" s="46" t="n"/>
      <c r="B148" s="47" t="n"/>
      <c r="C148" s="47" t="n"/>
      <c r="D148" s="47" t="n"/>
      <c r="E148" s="50">
        <f>IFERROR(INDEX(الموظفون_الاسم,MATCH($D148,الموظفون_الرقم,0)),"")</f>
        <v/>
      </c>
      <c r="F148" s="112" t="n"/>
      <c r="G148" s="47" t="n"/>
      <c r="H148" s="112" t="n"/>
      <c r="I148" s="47" t="n"/>
      <c r="J148" s="47" t="n"/>
      <c r="K148" s="47" t="n"/>
    </row>
    <row r="149">
      <c r="A149" s="39" t="n"/>
      <c r="B149" s="40" t="n"/>
      <c r="C149" s="40" t="n"/>
      <c r="D149" s="40" t="n"/>
      <c r="E149" s="43">
        <f>IFERROR(INDEX(الموظفون_الاسم,MATCH($D149,الموظفون_الرقم,0)),"")</f>
        <v/>
      </c>
      <c r="F149" s="110" t="n"/>
      <c r="G149" s="40" t="n"/>
      <c r="H149" s="110" t="n"/>
      <c r="I149" s="40" t="n"/>
      <c r="J149" s="40" t="n"/>
      <c r="K149" s="40" t="n"/>
    </row>
    <row r="150">
      <c r="A150" s="46" t="n"/>
      <c r="B150" s="47" t="n"/>
      <c r="C150" s="47" t="n"/>
      <c r="D150" s="47" t="n"/>
      <c r="E150" s="50">
        <f>IFERROR(INDEX(الموظفون_الاسم,MATCH($D150,الموظفون_الرقم,0)),"")</f>
        <v/>
      </c>
      <c r="F150" s="112" t="n"/>
      <c r="G150" s="47" t="n"/>
      <c r="H150" s="112" t="n"/>
      <c r="I150" s="47" t="n"/>
      <c r="J150" s="47" t="n"/>
      <c r="K150" s="47" t="n"/>
    </row>
    <row r="151">
      <c r="A151" s="39" t="n"/>
      <c r="B151" s="40" t="n"/>
      <c r="C151" s="40" t="n"/>
      <c r="D151" s="40" t="n"/>
      <c r="E151" s="43">
        <f>IFERROR(INDEX(الموظفون_الاسم,MATCH($D151,الموظفون_الرقم,0)),"")</f>
        <v/>
      </c>
      <c r="F151" s="110" t="n"/>
      <c r="G151" s="40" t="n"/>
      <c r="H151" s="110" t="n"/>
      <c r="I151" s="40" t="n"/>
      <c r="J151" s="40" t="n"/>
      <c r="K151" s="40" t="n"/>
    </row>
    <row r="152">
      <c r="A152" s="46" t="n"/>
      <c r="B152" s="47" t="n"/>
      <c r="C152" s="47" t="n"/>
      <c r="D152" s="47" t="n"/>
      <c r="E152" s="50">
        <f>IFERROR(INDEX(الموظفون_الاسم,MATCH($D152,الموظفون_الرقم,0)),"")</f>
        <v/>
      </c>
      <c r="F152" s="112" t="n"/>
      <c r="G152" s="47" t="n"/>
      <c r="H152" s="112" t="n"/>
      <c r="I152" s="47" t="n"/>
      <c r="J152" s="47" t="n"/>
      <c r="K152" s="47" t="n"/>
    </row>
    <row r="153">
      <c r="A153" s="39" t="n"/>
      <c r="B153" s="40" t="n"/>
      <c r="C153" s="40" t="n"/>
      <c r="D153" s="40" t="n"/>
      <c r="E153" s="43">
        <f>IFERROR(INDEX(الموظفون_الاسم,MATCH($D153,الموظفون_الرقم,0)),"")</f>
        <v/>
      </c>
      <c r="F153" s="110" t="n"/>
      <c r="G153" s="40" t="n"/>
      <c r="H153" s="110" t="n"/>
      <c r="I153" s="40" t="n"/>
      <c r="J153" s="40" t="n"/>
      <c r="K153" s="40" t="n"/>
    </row>
    <row r="154">
      <c r="A154" s="46" t="n"/>
      <c r="B154" s="47" t="n"/>
      <c r="C154" s="47" t="n"/>
      <c r="D154" s="47" t="n"/>
      <c r="E154" s="50">
        <f>IFERROR(INDEX(الموظفون_الاسم,MATCH($D154,الموظفون_الرقم,0)),"")</f>
        <v/>
      </c>
      <c r="F154" s="112" t="n"/>
      <c r="G154" s="47" t="n"/>
      <c r="H154" s="112" t="n"/>
      <c r="I154" s="47" t="n"/>
      <c r="J154" s="47" t="n"/>
      <c r="K154" s="47" t="n"/>
    </row>
    <row r="155">
      <c r="A155" s="39" t="n"/>
      <c r="B155" s="40" t="n"/>
      <c r="C155" s="40" t="n"/>
      <c r="D155" s="40" t="n"/>
      <c r="E155" s="43">
        <f>IFERROR(INDEX(الموظفون_الاسم,MATCH($D155,الموظفون_الرقم,0)),"")</f>
        <v/>
      </c>
      <c r="F155" s="110" t="n"/>
      <c r="G155" s="40" t="n"/>
      <c r="H155" s="110" t="n"/>
      <c r="I155" s="40" t="n"/>
      <c r="J155" s="40" t="n"/>
      <c r="K155" s="40" t="n"/>
    </row>
    <row r="156">
      <c r="A156" s="46" t="n"/>
      <c r="B156" s="47" t="n"/>
      <c r="C156" s="47" t="n"/>
      <c r="D156" s="47" t="n"/>
      <c r="E156" s="50">
        <f>IFERROR(INDEX(الموظفون_الاسم,MATCH($D156,الموظفون_الرقم,0)),"")</f>
        <v/>
      </c>
      <c r="F156" s="112" t="n"/>
      <c r="G156" s="47" t="n"/>
      <c r="H156" s="112" t="n"/>
      <c r="I156" s="47" t="n"/>
      <c r="J156" s="47" t="n"/>
      <c r="K156" s="47" t="n"/>
    </row>
    <row r="157">
      <c r="A157" s="39" t="n"/>
      <c r="B157" s="40" t="n"/>
      <c r="C157" s="40" t="n"/>
      <c r="D157" s="40" t="n"/>
      <c r="E157" s="43">
        <f>IFERROR(INDEX(الموظفون_الاسم,MATCH($D157,الموظفون_الرقم,0)),"")</f>
        <v/>
      </c>
      <c r="F157" s="110" t="n"/>
      <c r="G157" s="40" t="n"/>
      <c r="H157" s="110" t="n"/>
      <c r="I157" s="40" t="n"/>
      <c r="J157" s="40" t="n"/>
      <c r="K157" s="40" t="n"/>
    </row>
    <row r="158">
      <c r="A158" s="46" t="n"/>
      <c r="B158" s="47" t="n"/>
      <c r="C158" s="47" t="n"/>
      <c r="D158" s="47" t="n"/>
      <c r="E158" s="50">
        <f>IFERROR(INDEX(الموظفون_الاسم,MATCH($D158,الموظفون_الرقم,0)),"")</f>
        <v/>
      </c>
      <c r="F158" s="112" t="n"/>
      <c r="G158" s="47" t="n"/>
      <c r="H158" s="112" t="n"/>
      <c r="I158" s="47" t="n"/>
      <c r="J158" s="47" t="n"/>
      <c r="K158" s="47" t="n"/>
    </row>
    <row r="159">
      <c r="A159" s="39" t="n"/>
      <c r="B159" s="40" t="n"/>
      <c r="C159" s="40" t="n"/>
      <c r="D159" s="40" t="n"/>
      <c r="E159" s="43">
        <f>IFERROR(INDEX(الموظفون_الاسم,MATCH($D159,الموظفون_الرقم,0)),"")</f>
        <v/>
      </c>
      <c r="F159" s="110" t="n"/>
      <c r="G159" s="40" t="n"/>
      <c r="H159" s="110" t="n"/>
      <c r="I159" s="40" t="n"/>
      <c r="J159" s="40" t="n"/>
      <c r="K159" s="40" t="n"/>
    </row>
    <row r="160">
      <c r="A160" s="46" t="n"/>
      <c r="B160" s="47" t="n"/>
      <c r="C160" s="47" t="n"/>
      <c r="D160" s="47" t="n"/>
      <c r="E160" s="50">
        <f>IFERROR(INDEX(الموظفون_الاسم,MATCH($D160,الموظفون_الرقم,0)),"")</f>
        <v/>
      </c>
      <c r="F160" s="112" t="n"/>
      <c r="G160" s="47" t="n"/>
      <c r="H160" s="112" t="n"/>
      <c r="I160" s="47" t="n"/>
      <c r="J160" s="47" t="n"/>
      <c r="K160" s="47" t="n"/>
    </row>
    <row r="161">
      <c r="A161" s="39" t="n"/>
      <c r="B161" s="40" t="n"/>
      <c r="C161" s="40" t="n"/>
      <c r="D161" s="40" t="n"/>
      <c r="E161" s="43">
        <f>IFERROR(INDEX(الموظفون_الاسم,MATCH($D161,الموظفون_الرقم,0)),"")</f>
        <v/>
      </c>
      <c r="F161" s="110" t="n"/>
      <c r="G161" s="40" t="n"/>
      <c r="H161" s="110" t="n"/>
      <c r="I161" s="40" t="n"/>
      <c r="J161" s="40" t="n"/>
      <c r="K161" s="40" t="n"/>
    </row>
    <row r="162">
      <c r="A162" s="46" t="n"/>
      <c r="B162" s="47" t="n"/>
      <c r="C162" s="47" t="n"/>
      <c r="D162" s="47" t="n"/>
      <c r="E162" s="50">
        <f>IFERROR(INDEX(الموظفون_الاسم,MATCH($D162,الموظفون_الرقم,0)),"")</f>
        <v/>
      </c>
      <c r="F162" s="112" t="n"/>
      <c r="G162" s="47" t="n"/>
      <c r="H162" s="112" t="n"/>
      <c r="I162" s="47" t="n"/>
      <c r="J162" s="47" t="n"/>
      <c r="K162" s="47" t="n"/>
    </row>
    <row r="163">
      <c r="A163" s="39" t="n"/>
      <c r="B163" s="40" t="n"/>
      <c r="C163" s="40" t="n"/>
      <c r="D163" s="40" t="n"/>
      <c r="E163" s="43">
        <f>IFERROR(INDEX(الموظفون_الاسم,MATCH($D163,الموظفون_الرقم,0)),"")</f>
        <v/>
      </c>
      <c r="F163" s="110" t="n"/>
      <c r="G163" s="40" t="n"/>
      <c r="H163" s="110" t="n"/>
      <c r="I163" s="40" t="n"/>
      <c r="J163" s="40" t="n"/>
      <c r="K163" s="40" t="n"/>
    </row>
    <row r="164">
      <c r="A164" s="46" t="n"/>
      <c r="B164" s="47" t="n"/>
      <c r="C164" s="47" t="n"/>
      <c r="D164" s="47" t="n"/>
      <c r="E164" s="50">
        <f>IFERROR(INDEX(الموظفون_الاسم,MATCH($D164,الموظفون_الرقم,0)),"")</f>
        <v/>
      </c>
      <c r="F164" s="112" t="n"/>
      <c r="G164" s="47" t="n"/>
      <c r="H164" s="112" t="n"/>
      <c r="I164" s="47" t="n"/>
      <c r="J164" s="47" t="n"/>
      <c r="K164" s="47" t="n"/>
    </row>
    <row r="165">
      <c r="A165" s="39" t="n"/>
      <c r="B165" s="40" t="n"/>
      <c r="C165" s="40" t="n"/>
      <c r="D165" s="40" t="n"/>
      <c r="E165" s="43">
        <f>IFERROR(INDEX(الموظفون_الاسم,MATCH($D165,الموظفون_الرقم,0)),"")</f>
        <v/>
      </c>
      <c r="F165" s="110" t="n"/>
      <c r="G165" s="40" t="n"/>
      <c r="H165" s="110" t="n"/>
      <c r="I165" s="40" t="n"/>
      <c r="J165" s="40" t="n"/>
      <c r="K165" s="40" t="n"/>
    </row>
    <row r="166">
      <c r="A166" s="46" t="n"/>
      <c r="B166" s="47" t="n"/>
      <c r="C166" s="47" t="n"/>
      <c r="D166" s="47" t="n"/>
      <c r="E166" s="50">
        <f>IFERROR(INDEX(الموظفون_الاسم,MATCH($D166,الموظفون_الرقم,0)),"")</f>
        <v/>
      </c>
      <c r="F166" s="112" t="n"/>
      <c r="G166" s="47" t="n"/>
      <c r="H166" s="112" t="n"/>
      <c r="I166" s="47" t="n"/>
      <c r="J166" s="47" t="n"/>
      <c r="K166" s="47" t="n"/>
    </row>
    <row r="167">
      <c r="A167" s="39" t="n"/>
      <c r="B167" s="40" t="n"/>
      <c r="C167" s="40" t="n"/>
      <c r="D167" s="40" t="n"/>
      <c r="E167" s="43">
        <f>IFERROR(INDEX(الموظفون_الاسم,MATCH($D167,الموظفون_الرقم,0)),"")</f>
        <v/>
      </c>
      <c r="F167" s="110" t="n"/>
      <c r="G167" s="40" t="n"/>
      <c r="H167" s="110" t="n"/>
      <c r="I167" s="40" t="n"/>
      <c r="J167" s="40" t="n"/>
      <c r="K167" s="40" t="n"/>
    </row>
    <row r="168">
      <c r="A168" s="46" t="n"/>
      <c r="B168" s="47" t="n"/>
      <c r="C168" s="47" t="n"/>
      <c r="D168" s="47" t="n"/>
      <c r="E168" s="50">
        <f>IFERROR(INDEX(الموظفون_الاسم,MATCH($D168,الموظفون_الرقم,0)),"")</f>
        <v/>
      </c>
      <c r="F168" s="112" t="n"/>
      <c r="G168" s="47" t="n"/>
      <c r="H168" s="112" t="n"/>
      <c r="I168" s="47" t="n"/>
      <c r="J168" s="47" t="n"/>
      <c r="K168" s="47" t="n"/>
    </row>
    <row r="169">
      <c r="A169" s="39" t="n"/>
      <c r="B169" s="40" t="n"/>
      <c r="C169" s="40" t="n"/>
      <c r="D169" s="40" t="n"/>
      <c r="E169" s="43">
        <f>IFERROR(INDEX(الموظفون_الاسم,MATCH($D169,الموظفون_الرقم,0)),"")</f>
        <v/>
      </c>
      <c r="F169" s="110" t="n"/>
      <c r="G169" s="40" t="n"/>
      <c r="H169" s="110" t="n"/>
      <c r="I169" s="40" t="n"/>
      <c r="J169" s="40" t="n"/>
      <c r="K169" s="40" t="n"/>
    </row>
    <row r="170">
      <c r="A170" s="46" t="n"/>
      <c r="B170" s="47" t="n"/>
      <c r="C170" s="47" t="n"/>
      <c r="D170" s="47" t="n"/>
      <c r="E170" s="50">
        <f>IFERROR(INDEX(الموظفون_الاسم,MATCH($D170,الموظفون_الرقم,0)),"")</f>
        <v/>
      </c>
      <c r="F170" s="112" t="n"/>
      <c r="G170" s="47" t="n"/>
      <c r="H170" s="112" t="n"/>
      <c r="I170" s="47" t="n"/>
      <c r="J170" s="47" t="n"/>
      <c r="K170" s="47" t="n"/>
    </row>
    <row r="171">
      <c r="A171" s="39" t="n"/>
      <c r="B171" s="40" t="n"/>
      <c r="C171" s="40" t="n"/>
      <c r="D171" s="40" t="n"/>
      <c r="E171" s="43">
        <f>IFERROR(INDEX(الموظفون_الاسم,MATCH($D171,الموظفون_الرقم,0)),"")</f>
        <v/>
      </c>
      <c r="F171" s="110" t="n"/>
      <c r="G171" s="40" t="n"/>
      <c r="H171" s="110" t="n"/>
      <c r="I171" s="40" t="n"/>
      <c r="J171" s="40" t="n"/>
      <c r="K171" s="40" t="n"/>
    </row>
    <row r="172">
      <c r="A172" s="46" t="n"/>
      <c r="B172" s="47" t="n"/>
      <c r="C172" s="47" t="n"/>
      <c r="D172" s="47" t="n"/>
      <c r="E172" s="50">
        <f>IFERROR(INDEX(الموظفون_الاسم,MATCH($D172,الموظفون_الرقم,0)),"")</f>
        <v/>
      </c>
      <c r="F172" s="112" t="n"/>
      <c r="G172" s="47" t="n"/>
      <c r="H172" s="112" t="n"/>
      <c r="I172" s="47" t="n"/>
      <c r="J172" s="47" t="n"/>
      <c r="K172" s="47" t="n"/>
    </row>
    <row r="173">
      <c r="A173" s="39" t="n"/>
      <c r="B173" s="40" t="n"/>
      <c r="C173" s="40" t="n"/>
      <c r="D173" s="40" t="n"/>
      <c r="E173" s="43">
        <f>IFERROR(INDEX(الموظفون_الاسم,MATCH($D173,الموظفون_الرقم,0)),"")</f>
        <v/>
      </c>
      <c r="F173" s="110" t="n"/>
      <c r="G173" s="40" t="n"/>
      <c r="H173" s="110" t="n"/>
      <c r="I173" s="40" t="n"/>
      <c r="J173" s="40" t="n"/>
      <c r="K173" s="40" t="n"/>
    </row>
    <row r="174">
      <c r="A174" s="46" t="n"/>
      <c r="B174" s="47" t="n"/>
      <c r="C174" s="47" t="n"/>
      <c r="D174" s="47" t="n"/>
      <c r="E174" s="50">
        <f>IFERROR(INDEX(الموظفون_الاسم,MATCH($D174,الموظفون_الرقم,0)),"")</f>
        <v/>
      </c>
      <c r="F174" s="112" t="n"/>
      <c r="G174" s="47" t="n"/>
      <c r="H174" s="112" t="n"/>
      <c r="I174" s="47" t="n"/>
      <c r="J174" s="47" t="n"/>
      <c r="K174" s="47" t="n"/>
    </row>
    <row r="175">
      <c r="A175" s="39" t="n"/>
      <c r="B175" s="40" t="n"/>
      <c r="C175" s="40" t="n"/>
      <c r="D175" s="40" t="n"/>
      <c r="E175" s="43">
        <f>IFERROR(INDEX(الموظفون_الاسم,MATCH($D175,الموظفون_الرقم,0)),"")</f>
        <v/>
      </c>
      <c r="F175" s="110" t="n"/>
      <c r="G175" s="40" t="n"/>
      <c r="H175" s="110" t="n"/>
      <c r="I175" s="40" t="n"/>
      <c r="J175" s="40" t="n"/>
      <c r="K175" s="40" t="n"/>
    </row>
    <row r="176">
      <c r="A176" s="46" t="n"/>
      <c r="B176" s="47" t="n"/>
      <c r="C176" s="47" t="n"/>
      <c r="D176" s="47" t="n"/>
      <c r="E176" s="50">
        <f>IFERROR(INDEX(الموظفون_الاسم,MATCH($D176,الموظفون_الرقم,0)),"")</f>
        <v/>
      </c>
      <c r="F176" s="112" t="n"/>
      <c r="G176" s="47" t="n"/>
      <c r="H176" s="112" t="n"/>
      <c r="I176" s="47" t="n"/>
      <c r="J176" s="47" t="n"/>
      <c r="K176" s="47" t="n"/>
    </row>
    <row r="177">
      <c r="A177" s="39" t="n"/>
      <c r="B177" s="40" t="n"/>
      <c r="C177" s="40" t="n"/>
      <c r="D177" s="40" t="n"/>
      <c r="E177" s="43">
        <f>IFERROR(INDEX(الموظفون_الاسم,MATCH($D177,الموظفون_الرقم,0)),"")</f>
        <v/>
      </c>
      <c r="F177" s="110" t="n"/>
      <c r="G177" s="40" t="n"/>
      <c r="H177" s="110" t="n"/>
      <c r="I177" s="40" t="n"/>
      <c r="J177" s="40" t="n"/>
      <c r="K177" s="40" t="n"/>
    </row>
    <row r="178">
      <c r="A178" s="46" t="n"/>
      <c r="B178" s="47" t="n"/>
      <c r="C178" s="47" t="n"/>
      <c r="D178" s="47" t="n"/>
      <c r="E178" s="50">
        <f>IFERROR(INDEX(الموظفون_الاسم,MATCH($D178,الموظفون_الرقم,0)),"")</f>
        <v/>
      </c>
      <c r="F178" s="112" t="n"/>
      <c r="G178" s="47" t="n"/>
      <c r="H178" s="112" t="n"/>
      <c r="I178" s="47" t="n"/>
      <c r="J178" s="47" t="n"/>
      <c r="K178" s="47" t="n"/>
    </row>
    <row r="179">
      <c r="A179" s="39" t="n"/>
      <c r="B179" s="40" t="n"/>
      <c r="C179" s="40" t="n"/>
      <c r="D179" s="40" t="n"/>
      <c r="E179" s="43">
        <f>IFERROR(INDEX(الموظفون_الاسم,MATCH($D179,الموظفون_الرقم,0)),"")</f>
        <v/>
      </c>
      <c r="F179" s="110" t="n"/>
      <c r="G179" s="40" t="n"/>
      <c r="H179" s="110" t="n"/>
      <c r="I179" s="40" t="n"/>
      <c r="J179" s="40" t="n"/>
      <c r="K179" s="40" t="n"/>
    </row>
    <row r="180">
      <c r="A180" s="46" t="n"/>
      <c r="B180" s="47" t="n"/>
      <c r="C180" s="47" t="n"/>
      <c r="D180" s="47" t="n"/>
      <c r="E180" s="50">
        <f>IFERROR(INDEX(الموظفون_الاسم,MATCH($D180,الموظفون_الرقم,0)),"")</f>
        <v/>
      </c>
      <c r="F180" s="112" t="n"/>
      <c r="G180" s="47" t="n"/>
      <c r="H180" s="112" t="n"/>
      <c r="I180" s="47" t="n"/>
      <c r="J180" s="47" t="n"/>
      <c r="K180" s="47" t="n"/>
    </row>
    <row r="181">
      <c r="A181" s="39" t="n"/>
      <c r="B181" s="40" t="n"/>
      <c r="C181" s="40" t="n"/>
      <c r="D181" s="40" t="n"/>
      <c r="E181" s="43">
        <f>IFERROR(INDEX(الموظفون_الاسم,MATCH($D181,الموظفون_الرقم,0)),"")</f>
        <v/>
      </c>
      <c r="F181" s="110" t="n"/>
      <c r="G181" s="40" t="n"/>
      <c r="H181" s="110" t="n"/>
      <c r="I181" s="40" t="n"/>
      <c r="J181" s="40" t="n"/>
      <c r="K181" s="40" t="n"/>
    </row>
    <row r="182">
      <c r="A182" s="46" t="n"/>
      <c r="B182" s="47" t="n"/>
      <c r="C182" s="47" t="n"/>
      <c r="D182" s="47" t="n"/>
      <c r="E182" s="50">
        <f>IFERROR(INDEX(الموظفون_الاسم,MATCH($D182,الموظفون_الرقم,0)),"")</f>
        <v/>
      </c>
      <c r="F182" s="112" t="n"/>
      <c r="G182" s="47" t="n"/>
      <c r="H182" s="112" t="n"/>
      <c r="I182" s="47" t="n"/>
      <c r="J182" s="47" t="n"/>
      <c r="K182" s="47" t="n"/>
    </row>
    <row r="183">
      <c r="A183" s="39" t="n"/>
      <c r="B183" s="40" t="n"/>
      <c r="C183" s="40" t="n"/>
      <c r="D183" s="40" t="n"/>
      <c r="E183" s="43">
        <f>IFERROR(INDEX(الموظفون_الاسم,MATCH($D183,الموظفون_الرقم,0)),"")</f>
        <v/>
      </c>
      <c r="F183" s="110" t="n"/>
      <c r="G183" s="40" t="n"/>
      <c r="H183" s="110" t="n"/>
      <c r="I183" s="40" t="n"/>
      <c r="J183" s="40" t="n"/>
      <c r="K183" s="40" t="n"/>
    </row>
    <row r="184">
      <c r="A184" s="46" t="n"/>
      <c r="B184" s="47" t="n"/>
      <c r="C184" s="47" t="n"/>
      <c r="D184" s="47" t="n"/>
      <c r="E184" s="50">
        <f>IFERROR(INDEX(الموظفون_الاسم,MATCH($D184,الموظفون_الرقم,0)),"")</f>
        <v/>
      </c>
      <c r="F184" s="112" t="n"/>
      <c r="G184" s="47" t="n"/>
      <c r="H184" s="112" t="n"/>
      <c r="I184" s="47" t="n"/>
      <c r="J184" s="47" t="n"/>
      <c r="K184" s="47" t="n"/>
    </row>
    <row r="185">
      <c r="A185" s="39" t="n"/>
      <c r="B185" s="40" t="n"/>
      <c r="C185" s="40" t="n"/>
      <c r="D185" s="40" t="n"/>
      <c r="E185" s="43">
        <f>IFERROR(INDEX(الموظفون_الاسم,MATCH($D185,الموظفون_الرقم,0)),"")</f>
        <v/>
      </c>
      <c r="F185" s="110" t="n"/>
      <c r="G185" s="40" t="n"/>
      <c r="H185" s="110" t="n"/>
      <c r="I185" s="40" t="n"/>
      <c r="J185" s="40" t="n"/>
      <c r="K185" s="40" t="n"/>
    </row>
    <row r="186">
      <c r="A186" s="46" t="n"/>
      <c r="B186" s="47" t="n"/>
      <c r="C186" s="47" t="n"/>
      <c r="D186" s="47" t="n"/>
      <c r="E186" s="50">
        <f>IFERROR(INDEX(الموظفون_الاسم,MATCH($D186,الموظفون_الرقم,0)),"")</f>
        <v/>
      </c>
      <c r="F186" s="112" t="n"/>
      <c r="G186" s="47" t="n"/>
      <c r="H186" s="112" t="n"/>
      <c r="I186" s="47" t="n"/>
      <c r="J186" s="47" t="n"/>
      <c r="K186" s="47" t="n"/>
    </row>
    <row r="187">
      <c r="A187" s="39" t="n"/>
      <c r="B187" s="40" t="n"/>
      <c r="C187" s="40" t="n"/>
      <c r="D187" s="40" t="n"/>
      <c r="E187" s="43">
        <f>IFERROR(INDEX(الموظفون_الاسم,MATCH($D187,الموظفون_الرقم,0)),"")</f>
        <v/>
      </c>
      <c r="F187" s="110" t="n"/>
      <c r="G187" s="40" t="n"/>
      <c r="H187" s="110" t="n"/>
      <c r="I187" s="40" t="n"/>
      <c r="J187" s="40" t="n"/>
      <c r="K187" s="40" t="n"/>
    </row>
    <row r="188">
      <c r="A188" s="46" t="n"/>
      <c r="B188" s="47" t="n"/>
      <c r="C188" s="47" t="n"/>
      <c r="D188" s="47" t="n"/>
      <c r="E188" s="50">
        <f>IFERROR(INDEX(الموظفون_الاسم,MATCH($D188,الموظفون_الرقم,0)),"")</f>
        <v/>
      </c>
      <c r="F188" s="112" t="n"/>
      <c r="G188" s="47" t="n"/>
      <c r="H188" s="112" t="n"/>
      <c r="I188" s="47" t="n"/>
      <c r="J188" s="47" t="n"/>
      <c r="K188" s="47" t="n"/>
    </row>
    <row r="189">
      <c r="A189" s="39" t="n"/>
      <c r="B189" s="40" t="n"/>
      <c r="C189" s="40" t="n"/>
      <c r="D189" s="40" t="n"/>
      <c r="E189" s="43">
        <f>IFERROR(INDEX(الموظفون_الاسم,MATCH($D189,الموظفون_الرقم,0)),"")</f>
        <v/>
      </c>
      <c r="F189" s="110" t="n"/>
      <c r="G189" s="40" t="n"/>
      <c r="H189" s="110" t="n"/>
      <c r="I189" s="40" t="n"/>
      <c r="J189" s="40" t="n"/>
      <c r="K189" s="40" t="n"/>
    </row>
    <row r="190">
      <c r="A190" s="46" t="n"/>
      <c r="B190" s="47" t="n"/>
      <c r="C190" s="47" t="n"/>
      <c r="D190" s="47" t="n"/>
      <c r="E190" s="50">
        <f>IFERROR(INDEX(الموظفون_الاسم,MATCH($D190,الموظفون_الرقم,0)),"")</f>
        <v/>
      </c>
      <c r="F190" s="112" t="n"/>
      <c r="G190" s="47" t="n"/>
      <c r="H190" s="112" t="n"/>
      <c r="I190" s="47" t="n"/>
      <c r="J190" s="47" t="n"/>
      <c r="K190" s="47" t="n"/>
    </row>
    <row r="191">
      <c r="A191" s="39" t="n"/>
      <c r="B191" s="40" t="n"/>
      <c r="C191" s="40" t="n"/>
      <c r="D191" s="40" t="n"/>
      <c r="E191" s="43">
        <f>IFERROR(INDEX(الموظفون_الاسم,MATCH($D191,الموظفون_الرقم,0)),"")</f>
        <v/>
      </c>
      <c r="F191" s="110" t="n"/>
      <c r="G191" s="40" t="n"/>
      <c r="H191" s="110" t="n"/>
      <c r="I191" s="40" t="n"/>
      <c r="J191" s="40" t="n"/>
      <c r="K191" s="40" t="n"/>
    </row>
    <row r="192">
      <c r="A192" s="46" t="n"/>
      <c r="B192" s="47" t="n"/>
      <c r="C192" s="47" t="n"/>
      <c r="D192" s="47" t="n"/>
      <c r="E192" s="50">
        <f>IFERROR(INDEX(الموظفون_الاسم,MATCH($D192,الموظفون_الرقم,0)),"")</f>
        <v/>
      </c>
      <c r="F192" s="112" t="n"/>
      <c r="G192" s="47" t="n"/>
      <c r="H192" s="112" t="n"/>
      <c r="I192" s="47" t="n"/>
      <c r="J192" s="47" t="n"/>
      <c r="K192" s="47" t="n"/>
    </row>
    <row r="193">
      <c r="A193" s="39" t="n"/>
      <c r="B193" s="40" t="n"/>
      <c r="C193" s="40" t="n"/>
      <c r="D193" s="40" t="n"/>
      <c r="E193" s="43">
        <f>IFERROR(INDEX(الموظفون_الاسم,MATCH($D193,الموظفون_الرقم,0)),"")</f>
        <v/>
      </c>
      <c r="F193" s="110" t="n"/>
      <c r="G193" s="40" t="n"/>
      <c r="H193" s="110" t="n"/>
      <c r="I193" s="40" t="n"/>
      <c r="J193" s="40" t="n"/>
      <c r="K193" s="40" t="n"/>
    </row>
    <row r="194">
      <c r="A194" s="46" t="n"/>
      <c r="B194" s="47" t="n"/>
      <c r="C194" s="47" t="n"/>
      <c r="D194" s="47" t="n"/>
      <c r="E194" s="50">
        <f>IFERROR(INDEX(الموظفون_الاسم,MATCH($D194,الموظفون_الرقم,0)),"")</f>
        <v/>
      </c>
      <c r="F194" s="112" t="n"/>
      <c r="G194" s="47" t="n"/>
      <c r="H194" s="112" t="n"/>
      <c r="I194" s="47" t="n"/>
      <c r="J194" s="47" t="n"/>
      <c r="K194" s="47" t="n"/>
    </row>
    <row r="195">
      <c r="A195" s="39" t="n"/>
      <c r="B195" s="40" t="n"/>
      <c r="C195" s="40" t="n"/>
      <c r="D195" s="40" t="n"/>
      <c r="E195" s="43">
        <f>IFERROR(INDEX(الموظفون_الاسم,MATCH($D195,الموظفون_الرقم,0)),"")</f>
        <v/>
      </c>
      <c r="F195" s="110" t="n"/>
      <c r="G195" s="40" t="n"/>
      <c r="H195" s="110" t="n"/>
      <c r="I195" s="40" t="n"/>
      <c r="J195" s="40" t="n"/>
      <c r="K195" s="40" t="n"/>
    </row>
    <row r="196">
      <c r="A196" s="46" t="n"/>
      <c r="B196" s="47" t="n"/>
      <c r="C196" s="47" t="n"/>
      <c r="D196" s="47" t="n"/>
      <c r="E196" s="50">
        <f>IFERROR(INDEX(الموظفون_الاسم,MATCH($D196,الموظفون_الرقم,0)),"")</f>
        <v/>
      </c>
      <c r="F196" s="112" t="n"/>
      <c r="G196" s="47" t="n"/>
      <c r="H196" s="112" t="n"/>
      <c r="I196" s="47" t="n"/>
      <c r="J196" s="47" t="n"/>
      <c r="K196" s="47" t="n"/>
    </row>
    <row r="197">
      <c r="A197" s="39" t="n"/>
      <c r="B197" s="40" t="n"/>
      <c r="C197" s="40" t="n"/>
      <c r="D197" s="40" t="n"/>
      <c r="E197" s="43">
        <f>IFERROR(INDEX(الموظفون_الاسم,MATCH($D197,الموظفون_الرقم,0)),"")</f>
        <v/>
      </c>
      <c r="F197" s="110" t="n"/>
      <c r="G197" s="40" t="n"/>
      <c r="H197" s="110" t="n"/>
      <c r="I197" s="40" t="n"/>
      <c r="J197" s="40" t="n"/>
      <c r="K197" s="40" t="n"/>
    </row>
    <row r="198">
      <c r="A198" s="46" t="n"/>
      <c r="B198" s="47" t="n"/>
      <c r="C198" s="47" t="n"/>
      <c r="D198" s="47" t="n"/>
      <c r="E198" s="50">
        <f>IFERROR(INDEX(الموظفون_الاسم,MATCH($D198,الموظفون_الرقم,0)),"")</f>
        <v/>
      </c>
      <c r="F198" s="112" t="n"/>
      <c r="G198" s="47" t="n"/>
      <c r="H198" s="112" t="n"/>
      <c r="I198" s="47" t="n"/>
      <c r="J198" s="47" t="n"/>
      <c r="K198" s="47" t="n"/>
    </row>
    <row r="199">
      <c r="A199" s="39" t="n"/>
      <c r="B199" s="40" t="n"/>
      <c r="C199" s="40" t="n"/>
      <c r="D199" s="40" t="n"/>
      <c r="E199" s="43">
        <f>IFERROR(INDEX(الموظفون_الاسم,MATCH($D199,الموظفون_الرقم,0)),"")</f>
        <v/>
      </c>
      <c r="F199" s="110" t="n"/>
      <c r="G199" s="40" t="n"/>
      <c r="H199" s="110" t="n"/>
      <c r="I199" s="40" t="n"/>
      <c r="J199" s="40" t="n"/>
      <c r="K199" s="40" t="n"/>
    </row>
    <row r="200">
      <c r="A200" s="46" t="n"/>
      <c r="B200" s="47" t="n"/>
      <c r="C200" s="47" t="n"/>
      <c r="D200" s="47" t="n"/>
      <c r="E200" s="50">
        <f>IFERROR(INDEX(الموظفون_الاسم,MATCH($D200,الموظفون_الرقم,0)),"")</f>
        <v/>
      </c>
      <c r="F200" s="112" t="n"/>
      <c r="G200" s="47" t="n"/>
      <c r="H200" s="112" t="n"/>
      <c r="I200" s="47" t="n"/>
      <c r="J200" s="47" t="n"/>
      <c r="K200" s="47" t="n"/>
    </row>
    <row r="201">
      <c r="A201" s="39" t="n"/>
      <c r="B201" s="40" t="n"/>
      <c r="C201" s="40" t="n"/>
      <c r="D201" s="40" t="n"/>
      <c r="E201" s="43">
        <f>IFERROR(INDEX(الموظفون_الاسم,MATCH($D201,الموظفون_الرقم,0)),"")</f>
        <v/>
      </c>
      <c r="F201" s="110" t="n"/>
      <c r="G201" s="40" t="n"/>
      <c r="H201" s="110" t="n"/>
      <c r="I201" s="40" t="n"/>
      <c r="J201" s="40" t="n"/>
      <c r="K201" s="40" t="n"/>
    </row>
    <row r="202">
      <c r="A202" s="46" t="n"/>
      <c r="B202" s="47" t="n"/>
      <c r="C202" s="47" t="n"/>
      <c r="D202" s="47" t="n"/>
      <c r="E202" s="50">
        <f>IFERROR(INDEX(الموظفون_الاسم,MATCH($D202,الموظفون_الرقم,0)),"")</f>
        <v/>
      </c>
      <c r="F202" s="112" t="n"/>
      <c r="G202" s="47" t="n"/>
      <c r="H202" s="112" t="n"/>
      <c r="I202" s="47" t="n"/>
      <c r="J202" s="47" t="n"/>
      <c r="K202" s="47" t="n"/>
    </row>
    <row r="203">
      <c r="A203" s="39" t="n"/>
      <c r="B203" s="40" t="n"/>
      <c r="C203" s="40" t="n"/>
      <c r="D203" s="40" t="n"/>
      <c r="E203" s="43">
        <f>IFERROR(INDEX(الموظفون_الاسم,MATCH($D203,الموظفون_الرقم,0)),"")</f>
        <v/>
      </c>
      <c r="F203" s="110" t="n"/>
      <c r="G203" s="40" t="n"/>
      <c r="H203" s="110" t="n"/>
      <c r="I203" s="40" t="n"/>
      <c r="J203" s="40" t="n"/>
      <c r="K203" s="40" t="n"/>
    </row>
    <row r="204">
      <c r="A204" s="46" t="n"/>
      <c r="B204" s="47" t="n"/>
      <c r="C204" s="47" t="n"/>
      <c r="D204" s="47" t="n"/>
      <c r="E204" s="50">
        <f>IFERROR(INDEX(الموظفون_الاسم,MATCH($D204,الموظفون_الرقم,0)),"")</f>
        <v/>
      </c>
      <c r="F204" s="112" t="n"/>
      <c r="G204" s="47" t="n"/>
      <c r="H204" s="112" t="n"/>
      <c r="I204" s="47" t="n"/>
      <c r="J204" s="47" t="n"/>
      <c r="K204" s="47" t="n"/>
    </row>
    <row r="205">
      <c r="A205" s="39" t="n"/>
      <c r="B205" s="40" t="n"/>
      <c r="C205" s="40" t="n"/>
      <c r="D205" s="40" t="n"/>
      <c r="E205" s="43">
        <f>IFERROR(INDEX(الموظفون_الاسم,MATCH($D205,الموظفون_الرقم,0)),"")</f>
        <v/>
      </c>
      <c r="F205" s="110" t="n"/>
      <c r="G205" s="40" t="n"/>
      <c r="H205" s="110" t="n"/>
      <c r="I205" s="40" t="n"/>
      <c r="J205" s="40" t="n"/>
      <c r="K205" s="40" t="n"/>
    </row>
    <row r="206">
      <c r="A206" s="46" t="n"/>
      <c r="B206" s="47" t="n"/>
      <c r="C206" s="47" t="n"/>
      <c r="D206" s="47" t="n"/>
      <c r="E206" s="50">
        <f>IFERROR(INDEX(الموظفون_الاسم,MATCH($D206,الموظفون_الرقم,0)),"")</f>
        <v/>
      </c>
      <c r="F206" s="112" t="n"/>
      <c r="G206" s="47" t="n"/>
      <c r="H206" s="112" t="n"/>
      <c r="I206" s="47" t="n"/>
      <c r="J206" s="47" t="n"/>
      <c r="K206" s="47" t="n"/>
    </row>
    <row r="207">
      <c r="A207" s="39" t="n"/>
      <c r="B207" s="40" t="n"/>
      <c r="C207" s="40" t="n"/>
      <c r="D207" s="40" t="n"/>
      <c r="E207" s="43">
        <f>IFERROR(INDEX(الموظفون_الاسم,MATCH($D207,الموظفون_الرقم,0)),"")</f>
        <v/>
      </c>
      <c r="F207" s="110" t="n"/>
      <c r="G207" s="40" t="n"/>
      <c r="H207" s="110" t="n"/>
      <c r="I207" s="40" t="n"/>
      <c r="J207" s="40" t="n"/>
      <c r="K207" s="40" t="n"/>
    </row>
    <row r="208">
      <c r="A208" s="46" t="n"/>
      <c r="B208" s="47" t="n"/>
      <c r="C208" s="47" t="n"/>
      <c r="D208" s="47" t="n"/>
      <c r="E208" s="50">
        <f>IFERROR(INDEX(الموظفون_الاسم,MATCH($D208,الموظفون_الرقم,0)),"")</f>
        <v/>
      </c>
      <c r="F208" s="112" t="n"/>
      <c r="G208" s="47" t="n"/>
      <c r="H208" s="112" t="n"/>
      <c r="I208" s="47" t="n"/>
      <c r="J208" s="47" t="n"/>
      <c r="K208" s="47" t="n"/>
    </row>
    <row r="209">
      <c r="A209" s="39" t="n"/>
      <c r="B209" s="40" t="n"/>
      <c r="C209" s="40" t="n"/>
      <c r="D209" s="40" t="n"/>
      <c r="E209" s="43">
        <f>IFERROR(INDEX(الموظفون_الاسم,MATCH($D209,الموظفون_الرقم,0)),"")</f>
        <v/>
      </c>
      <c r="F209" s="110" t="n"/>
      <c r="G209" s="40" t="n"/>
      <c r="H209" s="110" t="n"/>
      <c r="I209" s="40" t="n"/>
      <c r="J209" s="40" t="n"/>
      <c r="K209" s="40" t="n"/>
    </row>
    <row r="210">
      <c r="A210" s="46" t="n"/>
      <c r="B210" s="47" t="n"/>
      <c r="C210" s="47" t="n"/>
      <c r="D210" s="47" t="n"/>
      <c r="E210" s="50">
        <f>IFERROR(INDEX(الموظفون_الاسم,MATCH($D210,الموظفون_الرقم,0)),"")</f>
        <v/>
      </c>
      <c r="F210" s="112" t="n"/>
      <c r="G210" s="47" t="n"/>
      <c r="H210" s="112" t="n"/>
      <c r="I210" s="47" t="n"/>
      <c r="J210" s="47" t="n"/>
      <c r="K210" s="47" t="n"/>
    </row>
    <row r="211">
      <c r="A211" s="39" t="n"/>
      <c r="B211" s="40" t="n"/>
      <c r="C211" s="40" t="n"/>
      <c r="D211" s="40" t="n"/>
      <c r="E211" s="43">
        <f>IFERROR(INDEX(الموظفون_الاسم,MATCH($D211,الموظفون_الرقم,0)),"")</f>
        <v/>
      </c>
      <c r="F211" s="110" t="n"/>
      <c r="G211" s="40" t="n"/>
      <c r="H211" s="110" t="n"/>
      <c r="I211" s="40" t="n"/>
      <c r="J211" s="40" t="n"/>
      <c r="K211" s="40" t="n"/>
    </row>
    <row r="212">
      <c r="A212" s="46" t="n"/>
      <c r="B212" s="47" t="n"/>
      <c r="C212" s="47" t="n"/>
      <c r="D212" s="47" t="n"/>
      <c r="E212" s="50">
        <f>IFERROR(INDEX(الموظفون_الاسم,MATCH($D212,الموظفون_الرقم,0)),"")</f>
        <v/>
      </c>
      <c r="F212" s="112" t="n"/>
      <c r="G212" s="47" t="n"/>
      <c r="H212" s="112" t="n"/>
      <c r="I212" s="47" t="n"/>
      <c r="J212" s="47" t="n"/>
      <c r="K212" s="47" t="n"/>
    </row>
    <row r="213">
      <c r="A213" s="39" t="n"/>
      <c r="B213" s="40" t="n"/>
      <c r="C213" s="40" t="n"/>
      <c r="D213" s="40" t="n"/>
      <c r="E213" s="43">
        <f>IFERROR(INDEX(الموظفون_الاسم,MATCH($D213,الموظفون_الرقم,0)),"")</f>
        <v/>
      </c>
      <c r="F213" s="110" t="n"/>
      <c r="G213" s="40" t="n"/>
      <c r="H213" s="110" t="n"/>
      <c r="I213" s="40" t="n"/>
      <c r="J213" s="40" t="n"/>
      <c r="K213" s="40" t="n"/>
    </row>
    <row r="214">
      <c r="A214" s="46" t="n"/>
      <c r="B214" s="47" t="n"/>
      <c r="C214" s="47" t="n"/>
      <c r="D214" s="47" t="n"/>
      <c r="E214" s="50">
        <f>IFERROR(INDEX(الموظفون_الاسم,MATCH($D214,الموظفون_الرقم,0)),"")</f>
        <v/>
      </c>
      <c r="F214" s="112" t="n"/>
      <c r="G214" s="47" t="n"/>
      <c r="H214" s="112" t="n"/>
      <c r="I214" s="47" t="n"/>
      <c r="J214" s="47" t="n"/>
      <c r="K214" s="47" t="n"/>
    </row>
    <row r="215">
      <c r="A215" s="39" t="n"/>
      <c r="B215" s="40" t="n"/>
      <c r="C215" s="40" t="n"/>
      <c r="D215" s="40" t="n"/>
      <c r="E215" s="43">
        <f>IFERROR(INDEX(الموظفون_الاسم,MATCH($D215,الموظفون_الرقم,0)),"")</f>
        <v/>
      </c>
      <c r="F215" s="110" t="n"/>
      <c r="G215" s="40" t="n"/>
      <c r="H215" s="110" t="n"/>
      <c r="I215" s="40" t="n"/>
      <c r="J215" s="40" t="n"/>
      <c r="K215" s="40" t="n"/>
    </row>
    <row r="216">
      <c r="A216" s="46" t="n"/>
      <c r="B216" s="47" t="n"/>
      <c r="C216" s="47" t="n"/>
      <c r="D216" s="47" t="n"/>
      <c r="E216" s="50">
        <f>IFERROR(INDEX(الموظفون_الاسم,MATCH($D216,الموظفون_الرقم,0)),"")</f>
        <v/>
      </c>
      <c r="F216" s="112" t="n"/>
      <c r="G216" s="47" t="n"/>
      <c r="H216" s="112" t="n"/>
      <c r="I216" s="47" t="n"/>
      <c r="J216" s="47" t="n"/>
      <c r="K216" s="47" t="n"/>
    </row>
    <row r="217">
      <c r="A217" s="39" t="n"/>
      <c r="B217" s="40" t="n"/>
      <c r="C217" s="40" t="n"/>
      <c r="D217" s="40" t="n"/>
      <c r="E217" s="43">
        <f>IFERROR(INDEX(الموظفون_الاسم,MATCH($D217,الموظفون_الرقم,0)),"")</f>
        <v/>
      </c>
      <c r="F217" s="110" t="n"/>
      <c r="G217" s="40" t="n"/>
      <c r="H217" s="110" t="n"/>
      <c r="I217" s="40" t="n"/>
      <c r="J217" s="40" t="n"/>
      <c r="K217" s="40" t="n"/>
    </row>
    <row r="218">
      <c r="A218" s="46" t="n"/>
      <c r="B218" s="47" t="n"/>
      <c r="C218" s="47" t="n"/>
      <c r="D218" s="47" t="n"/>
      <c r="E218" s="50">
        <f>IFERROR(INDEX(الموظفون_الاسم,MATCH($D218,الموظفون_الرقم,0)),"")</f>
        <v/>
      </c>
      <c r="F218" s="112" t="n"/>
      <c r="G218" s="47" t="n"/>
      <c r="H218" s="112" t="n"/>
      <c r="I218" s="47" t="n"/>
      <c r="J218" s="47" t="n"/>
      <c r="K218" s="47" t="n"/>
    </row>
    <row r="219">
      <c r="A219" s="39" t="n"/>
      <c r="B219" s="40" t="n"/>
      <c r="C219" s="40" t="n"/>
      <c r="D219" s="40" t="n"/>
      <c r="E219" s="43">
        <f>IFERROR(INDEX(الموظفون_الاسم,MATCH($D219,الموظفون_الرقم,0)),"")</f>
        <v/>
      </c>
      <c r="F219" s="110" t="n"/>
      <c r="G219" s="40" t="n"/>
      <c r="H219" s="110" t="n"/>
      <c r="I219" s="40" t="n"/>
      <c r="J219" s="40" t="n"/>
      <c r="K219" s="40" t="n"/>
    </row>
    <row r="220">
      <c r="A220" s="46" t="n"/>
      <c r="B220" s="47" t="n"/>
      <c r="C220" s="47" t="n"/>
      <c r="D220" s="47" t="n"/>
      <c r="E220" s="50">
        <f>IFERROR(INDEX(الموظفون_الاسم,MATCH($D220,الموظفون_الرقم,0)),"")</f>
        <v/>
      </c>
      <c r="F220" s="112" t="n"/>
      <c r="G220" s="47" t="n"/>
      <c r="H220" s="112" t="n"/>
      <c r="I220" s="47" t="n"/>
      <c r="J220" s="47" t="n"/>
      <c r="K220" s="47" t="n"/>
    </row>
    <row r="221">
      <c r="A221" s="39" t="n"/>
      <c r="B221" s="40" t="n"/>
      <c r="C221" s="40" t="n"/>
      <c r="D221" s="40" t="n"/>
      <c r="E221" s="43">
        <f>IFERROR(INDEX(الموظفون_الاسم,MATCH($D221,الموظفون_الرقم,0)),"")</f>
        <v/>
      </c>
      <c r="F221" s="110" t="n"/>
      <c r="G221" s="40" t="n"/>
      <c r="H221" s="110" t="n"/>
      <c r="I221" s="40" t="n"/>
      <c r="J221" s="40" t="n"/>
      <c r="K221" s="40" t="n"/>
    </row>
    <row r="222">
      <c r="A222" s="46" t="n"/>
      <c r="B222" s="47" t="n"/>
      <c r="C222" s="47" t="n"/>
      <c r="D222" s="47" t="n"/>
      <c r="E222" s="50">
        <f>IFERROR(INDEX(الموظفون_الاسم,MATCH($D222,الموظفون_الرقم,0)),"")</f>
        <v/>
      </c>
      <c r="F222" s="112" t="n"/>
      <c r="G222" s="47" t="n"/>
      <c r="H222" s="112" t="n"/>
      <c r="I222" s="47" t="n"/>
      <c r="J222" s="47" t="n"/>
      <c r="K222" s="47" t="n"/>
    </row>
    <row r="223">
      <c r="A223" s="39" t="n"/>
      <c r="B223" s="40" t="n"/>
      <c r="C223" s="40" t="n"/>
      <c r="D223" s="40" t="n"/>
      <c r="E223" s="43">
        <f>IFERROR(INDEX(الموظفون_الاسم,MATCH($D223,الموظفون_الرقم,0)),"")</f>
        <v/>
      </c>
      <c r="F223" s="110" t="n"/>
      <c r="G223" s="40" t="n"/>
      <c r="H223" s="110" t="n"/>
      <c r="I223" s="40" t="n"/>
      <c r="J223" s="40" t="n"/>
      <c r="K223" s="40" t="n"/>
    </row>
    <row r="224">
      <c r="A224" s="46" t="n"/>
      <c r="B224" s="47" t="n"/>
      <c r="C224" s="47" t="n"/>
      <c r="D224" s="47" t="n"/>
      <c r="E224" s="50">
        <f>IFERROR(INDEX(الموظفون_الاسم,MATCH($D224,الموظفون_الرقم,0)),"")</f>
        <v/>
      </c>
      <c r="F224" s="112" t="n"/>
      <c r="G224" s="47" t="n"/>
      <c r="H224" s="112" t="n"/>
      <c r="I224" s="47" t="n"/>
      <c r="J224" s="47" t="n"/>
      <c r="K224" s="47" t="n"/>
    </row>
    <row r="225">
      <c r="A225" s="39" t="n"/>
      <c r="B225" s="40" t="n"/>
      <c r="C225" s="40" t="n"/>
      <c r="D225" s="40" t="n"/>
      <c r="E225" s="43">
        <f>IFERROR(INDEX(الموظفون_الاسم,MATCH($D225,الموظفون_الرقم,0)),"")</f>
        <v/>
      </c>
      <c r="F225" s="110" t="n"/>
      <c r="G225" s="40" t="n"/>
      <c r="H225" s="110" t="n"/>
      <c r="I225" s="40" t="n"/>
      <c r="J225" s="40" t="n"/>
      <c r="K225" s="40" t="n"/>
    </row>
    <row r="226">
      <c r="A226" s="46" t="n"/>
      <c r="B226" s="47" t="n"/>
      <c r="C226" s="47" t="n"/>
      <c r="D226" s="47" t="n"/>
      <c r="E226" s="50">
        <f>IFERROR(INDEX(الموظفون_الاسم,MATCH($D226,الموظفون_الرقم,0)),"")</f>
        <v/>
      </c>
      <c r="F226" s="112" t="n"/>
      <c r="G226" s="47" t="n"/>
      <c r="H226" s="112" t="n"/>
      <c r="I226" s="47" t="n"/>
      <c r="J226" s="47" t="n"/>
      <c r="K226" s="47" t="n"/>
    </row>
    <row r="227">
      <c r="A227" s="39" t="n"/>
      <c r="B227" s="40" t="n"/>
      <c r="C227" s="40" t="n"/>
      <c r="D227" s="40" t="n"/>
      <c r="E227" s="43">
        <f>IFERROR(INDEX(الموظفون_الاسم,MATCH($D227,الموظفون_الرقم,0)),"")</f>
        <v/>
      </c>
      <c r="F227" s="110" t="n"/>
      <c r="G227" s="40" t="n"/>
      <c r="H227" s="110" t="n"/>
      <c r="I227" s="40" t="n"/>
      <c r="J227" s="40" t="n"/>
      <c r="K227" s="40" t="n"/>
    </row>
    <row r="228">
      <c r="A228" s="46" t="n"/>
      <c r="B228" s="47" t="n"/>
      <c r="C228" s="47" t="n"/>
      <c r="D228" s="47" t="n"/>
      <c r="E228" s="50">
        <f>IFERROR(INDEX(الموظفون_الاسم,MATCH($D228,الموظفون_الرقم,0)),"")</f>
        <v/>
      </c>
      <c r="F228" s="112" t="n"/>
      <c r="G228" s="47" t="n"/>
      <c r="H228" s="112" t="n"/>
      <c r="I228" s="47" t="n"/>
      <c r="J228" s="47" t="n"/>
      <c r="K228" s="47" t="n"/>
    </row>
    <row r="229">
      <c r="A229" s="39" t="n"/>
      <c r="B229" s="40" t="n"/>
      <c r="C229" s="40" t="n"/>
      <c r="D229" s="40" t="n"/>
      <c r="E229" s="43">
        <f>IFERROR(INDEX(الموظفون_الاسم,MATCH($D229,الموظفون_الرقم,0)),"")</f>
        <v/>
      </c>
      <c r="F229" s="110" t="n"/>
      <c r="G229" s="40" t="n"/>
      <c r="H229" s="110" t="n"/>
      <c r="I229" s="40" t="n"/>
      <c r="J229" s="40" t="n"/>
      <c r="K229" s="40" t="n"/>
    </row>
    <row r="230">
      <c r="A230" s="46" t="n"/>
      <c r="B230" s="47" t="n"/>
      <c r="C230" s="47" t="n"/>
      <c r="D230" s="47" t="n"/>
      <c r="E230" s="50">
        <f>IFERROR(INDEX(الموظفون_الاسم,MATCH($D230,الموظفون_الرقم,0)),"")</f>
        <v/>
      </c>
      <c r="F230" s="112" t="n"/>
      <c r="G230" s="47" t="n"/>
      <c r="H230" s="112" t="n"/>
      <c r="I230" s="47" t="n"/>
      <c r="J230" s="47" t="n"/>
      <c r="K230" s="47" t="n"/>
    </row>
    <row r="231">
      <c r="A231" s="39" t="n"/>
      <c r="B231" s="40" t="n"/>
      <c r="C231" s="40" t="n"/>
      <c r="D231" s="40" t="n"/>
      <c r="E231" s="43">
        <f>IFERROR(INDEX(الموظفون_الاسم,MATCH($D231,الموظفون_الرقم,0)),"")</f>
        <v/>
      </c>
      <c r="F231" s="110" t="n"/>
      <c r="G231" s="40" t="n"/>
      <c r="H231" s="110" t="n"/>
      <c r="I231" s="40" t="n"/>
      <c r="J231" s="40" t="n"/>
      <c r="K231" s="40" t="n"/>
    </row>
    <row r="232">
      <c r="A232" s="46" t="n"/>
      <c r="B232" s="47" t="n"/>
      <c r="C232" s="47" t="n"/>
      <c r="D232" s="47" t="n"/>
      <c r="E232" s="50">
        <f>IFERROR(INDEX(الموظفون_الاسم,MATCH($D232,الموظفون_الرقم,0)),"")</f>
        <v/>
      </c>
      <c r="F232" s="112" t="n"/>
      <c r="G232" s="47" t="n"/>
      <c r="H232" s="112" t="n"/>
      <c r="I232" s="47" t="n"/>
      <c r="J232" s="47" t="n"/>
      <c r="K232" s="47" t="n"/>
    </row>
    <row r="233">
      <c r="A233" s="39" t="n"/>
      <c r="B233" s="40" t="n"/>
      <c r="C233" s="40" t="n"/>
      <c r="D233" s="40" t="n"/>
      <c r="E233" s="43">
        <f>IFERROR(INDEX(الموظفون_الاسم,MATCH($D233,الموظفون_الرقم,0)),"")</f>
        <v/>
      </c>
      <c r="F233" s="110" t="n"/>
      <c r="G233" s="40" t="n"/>
      <c r="H233" s="110" t="n"/>
      <c r="I233" s="40" t="n"/>
      <c r="J233" s="40" t="n"/>
      <c r="K233" s="40" t="n"/>
    </row>
    <row r="234">
      <c r="A234" s="46" t="n"/>
      <c r="B234" s="47" t="n"/>
      <c r="C234" s="47" t="n"/>
      <c r="D234" s="47" t="n"/>
      <c r="E234" s="50">
        <f>IFERROR(INDEX(الموظفون_الاسم,MATCH($D234,الموظفون_الرقم,0)),"")</f>
        <v/>
      </c>
      <c r="F234" s="112" t="n"/>
      <c r="G234" s="47" t="n"/>
      <c r="H234" s="112" t="n"/>
      <c r="I234" s="47" t="n"/>
      <c r="J234" s="47" t="n"/>
      <c r="K234" s="47" t="n"/>
    </row>
    <row r="235">
      <c r="A235" s="39" t="n"/>
      <c r="B235" s="40" t="n"/>
      <c r="C235" s="40" t="n"/>
      <c r="D235" s="40" t="n"/>
      <c r="E235" s="43">
        <f>IFERROR(INDEX(الموظفون_الاسم,MATCH($D235,الموظفون_الرقم,0)),"")</f>
        <v/>
      </c>
      <c r="F235" s="110" t="n"/>
      <c r="G235" s="40" t="n"/>
      <c r="H235" s="110" t="n"/>
      <c r="I235" s="40" t="n"/>
      <c r="J235" s="40" t="n"/>
      <c r="K235" s="40" t="n"/>
    </row>
    <row r="236">
      <c r="A236" s="46" t="n"/>
      <c r="B236" s="47" t="n"/>
      <c r="C236" s="47" t="n"/>
      <c r="D236" s="47" t="n"/>
      <c r="E236" s="50">
        <f>IFERROR(INDEX(الموظفون_الاسم,MATCH($D236,الموظفون_الرقم,0)),"")</f>
        <v/>
      </c>
      <c r="F236" s="112" t="n"/>
      <c r="G236" s="47" t="n"/>
      <c r="H236" s="112" t="n"/>
      <c r="I236" s="47" t="n"/>
      <c r="J236" s="47" t="n"/>
      <c r="K236" s="47" t="n"/>
    </row>
    <row r="237">
      <c r="A237" s="39" t="n"/>
      <c r="B237" s="40" t="n"/>
      <c r="C237" s="40" t="n"/>
      <c r="D237" s="40" t="n"/>
      <c r="E237" s="43">
        <f>IFERROR(INDEX(الموظفون_الاسم,MATCH($D237,الموظفون_الرقم,0)),"")</f>
        <v/>
      </c>
      <c r="F237" s="110" t="n"/>
      <c r="G237" s="40" t="n"/>
      <c r="H237" s="110" t="n"/>
      <c r="I237" s="40" t="n"/>
      <c r="J237" s="40" t="n"/>
      <c r="K237" s="40" t="n"/>
    </row>
    <row r="238">
      <c r="A238" s="46" t="n"/>
      <c r="B238" s="47" t="n"/>
      <c r="C238" s="47" t="n"/>
      <c r="D238" s="47" t="n"/>
      <c r="E238" s="50">
        <f>IFERROR(INDEX(الموظفون_الاسم,MATCH($D238,الموظفون_الرقم,0)),"")</f>
        <v/>
      </c>
      <c r="F238" s="112" t="n"/>
      <c r="G238" s="47" t="n"/>
      <c r="H238" s="112" t="n"/>
      <c r="I238" s="47" t="n"/>
      <c r="J238" s="47" t="n"/>
      <c r="K238" s="47" t="n"/>
    </row>
    <row r="239">
      <c r="A239" s="39" t="n"/>
      <c r="B239" s="40" t="n"/>
      <c r="C239" s="40" t="n"/>
      <c r="D239" s="40" t="n"/>
      <c r="E239" s="43">
        <f>IFERROR(INDEX(الموظفون_الاسم,MATCH($D239,الموظفون_الرقم,0)),"")</f>
        <v/>
      </c>
      <c r="F239" s="110" t="n"/>
      <c r="G239" s="40" t="n"/>
      <c r="H239" s="110" t="n"/>
      <c r="I239" s="40" t="n"/>
      <c r="J239" s="40" t="n"/>
      <c r="K239" s="40" t="n"/>
    </row>
    <row r="240">
      <c r="A240" s="46" t="n"/>
      <c r="B240" s="47" t="n"/>
      <c r="C240" s="47" t="n"/>
      <c r="D240" s="47" t="n"/>
      <c r="E240" s="50">
        <f>IFERROR(INDEX(الموظفون_الاسم,MATCH($D240,الموظفون_الرقم,0)),"")</f>
        <v/>
      </c>
      <c r="F240" s="112" t="n"/>
      <c r="G240" s="47" t="n"/>
      <c r="H240" s="112" t="n"/>
      <c r="I240" s="47" t="n"/>
      <c r="J240" s="47" t="n"/>
      <c r="K240" s="47" t="n"/>
    </row>
    <row r="241">
      <c r="A241" s="39" t="n"/>
      <c r="B241" s="40" t="n"/>
      <c r="C241" s="40" t="n"/>
      <c r="D241" s="40" t="n"/>
      <c r="E241" s="43">
        <f>IFERROR(INDEX(الموظفون_الاسم,MATCH($D241,الموظفون_الرقم,0)),"")</f>
        <v/>
      </c>
      <c r="F241" s="110" t="n"/>
      <c r="G241" s="40" t="n"/>
      <c r="H241" s="110" t="n"/>
      <c r="I241" s="40" t="n"/>
      <c r="J241" s="40" t="n"/>
      <c r="K241" s="40" t="n"/>
    </row>
    <row r="242">
      <c r="A242" s="46" t="n"/>
      <c r="B242" s="47" t="n"/>
      <c r="C242" s="47" t="n"/>
      <c r="D242" s="47" t="n"/>
      <c r="E242" s="50">
        <f>IFERROR(INDEX(الموظفون_الاسم,MATCH($D242,الموظفون_الرقم,0)),"")</f>
        <v/>
      </c>
      <c r="F242" s="112" t="n"/>
      <c r="G242" s="47" t="n"/>
      <c r="H242" s="112" t="n"/>
      <c r="I242" s="47" t="n"/>
      <c r="J242" s="47" t="n"/>
      <c r="K242" s="47" t="n"/>
    </row>
    <row r="243">
      <c r="A243" s="39" t="n"/>
      <c r="B243" s="40" t="n"/>
      <c r="C243" s="40" t="n"/>
      <c r="D243" s="40" t="n"/>
      <c r="E243" s="43">
        <f>IFERROR(INDEX(الموظفون_الاسم,MATCH($D243,الموظفون_الرقم,0)),"")</f>
        <v/>
      </c>
      <c r="F243" s="110" t="n"/>
      <c r="G243" s="40" t="n"/>
      <c r="H243" s="110" t="n"/>
      <c r="I243" s="40" t="n"/>
      <c r="J243" s="40" t="n"/>
      <c r="K243" s="40" t="n"/>
    </row>
    <row r="244">
      <c r="A244" s="46" t="n"/>
      <c r="B244" s="47" t="n"/>
      <c r="C244" s="47" t="n"/>
      <c r="D244" s="47" t="n"/>
      <c r="E244" s="50">
        <f>IFERROR(INDEX(الموظفون_الاسم,MATCH($D244,الموظفون_الرقم,0)),"")</f>
        <v/>
      </c>
      <c r="F244" s="112" t="n"/>
      <c r="G244" s="47" t="n"/>
      <c r="H244" s="112" t="n"/>
      <c r="I244" s="47" t="n"/>
      <c r="J244" s="47" t="n"/>
      <c r="K244" s="47" t="n"/>
    </row>
    <row r="245">
      <c r="A245" s="39" t="n"/>
      <c r="B245" s="40" t="n"/>
      <c r="C245" s="40" t="n"/>
      <c r="D245" s="40" t="n"/>
      <c r="E245" s="43">
        <f>IFERROR(INDEX(الموظفون_الاسم,MATCH($D245,الموظفون_الرقم,0)),"")</f>
        <v/>
      </c>
      <c r="F245" s="110" t="n"/>
      <c r="G245" s="40" t="n"/>
      <c r="H245" s="110" t="n"/>
      <c r="I245" s="40" t="n"/>
      <c r="J245" s="40" t="n"/>
      <c r="K245" s="40" t="n"/>
    </row>
    <row r="246">
      <c r="A246" s="46" t="n"/>
      <c r="B246" s="47" t="n"/>
      <c r="C246" s="47" t="n"/>
      <c r="D246" s="47" t="n"/>
      <c r="E246" s="50">
        <f>IFERROR(INDEX(الموظفون_الاسم,MATCH($D246,الموظفون_الرقم,0)),"")</f>
        <v/>
      </c>
      <c r="F246" s="112" t="n"/>
      <c r="G246" s="47" t="n"/>
      <c r="H246" s="112" t="n"/>
      <c r="I246" s="47" t="n"/>
      <c r="J246" s="47" t="n"/>
      <c r="K246" s="47" t="n"/>
    </row>
    <row r="247">
      <c r="A247" s="39" t="n"/>
      <c r="B247" s="40" t="n"/>
      <c r="C247" s="40" t="n"/>
      <c r="D247" s="40" t="n"/>
      <c r="E247" s="43">
        <f>IFERROR(INDEX(الموظفون_الاسم,MATCH($D247,الموظفون_الرقم,0)),"")</f>
        <v/>
      </c>
      <c r="F247" s="110" t="n"/>
      <c r="G247" s="40" t="n"/>
      <c r="H247" s="110" t="n"/>
      <c r="I247" s="40" t="n"/>
      <c r="J247" s="40" t="n"/>
      <c r="K247" s="40" t="n"/>
    </row>
    <row r="248">
      <c r="A248" s="46" t="n"/>
      <c r="B248" s="47" t="n"/>
      <c r="C248" s="47" t="n"/>
      <c r="D248" s="47" t="n"/>
      <c r="E248" s="50">
        <f>IFERROR(INDEX(الموظفون_الاسم,MATCH($D248,الموظفون_الرقم,0)),"")</f>
        <v/>
      </c>
      <c r="F248" s="112" t="n"/>
      <c r="G248" s="47" t="n"/>
      <c r="H248" s="112" t="n"/>
      <c r="I248" s="47" t="n"/>
      <c r="J248" s="47" t="n"/>
      <c r="K248" s="47" t="n"/>
    </row>
    <row r="249">
      <c r="A249" s="39" t="n"/>
      <c r="B249" s="40" t="n"/>
      <c r="C249" s="40" t="n"/>
      <c r="D249" s="40" t="n"/>
      <c r="E249" s="43">
        <f>IFERROR(INDEX(الموظفون_الاسم,MATCH($D249,الموظفون_الرقم,0)),"")</f>
        <v/>
      </c>
      <c r="F249" s="110" t="n"/>
      <c r="G249" s="40" t="n"/>
      <c r="H249" s="110" t="n"/>
      <c r="I249" s="40" t="n"/>
      <c r="J249" s="40" t="n"/>
      <c r="K249" s="40" t="n"/>
    </row>
    <row r="250">
      <c r="A250" s="46" t="n"/>
      <c r="B250" s="47" t="n"/>
      <c r="C250" s="47" t="n"/>
      <c r="D250" s="47" t="n"/>
      <c r="E250" s="50">
        <f>IFERROR(INDEX(الموظفون_الاسم,MATCH($D250,الموظفون_الرقم,0)),"")</f>
        <v/>
      </c>
      <c r="F250" s="112" t="n"/>
      <c r="G250" s="47" t="n"/>
      <c r="H250" s="112" t="n"/>
      <c r="I250" s="47" t="n"/>
      <c r="J250" s="47" t="n"/>
      <c r="K250" s="47" t="n"/>
    </row>
    <row r="251">
      <c r="A251" s="39" t="n"/>
      <c r="B251" s="40" t="n"/>
      <c r="C251" s="40" t="n"/>
      <c r="D251" s="40" t="n"/>
      <c r="E251" s="43">
        <f>IFERROR(INDEX(الموظفون_الاسم,MATCH($D251,الموظفون_الرقم,0)),"")</f>
        <v/>
      </c>
      <c r="F251" s="110" t="n"/>
      <c r="G251" s="40" t="n"/>
      <c r="H251" s="110" t="n"/>
      <c r="I251" s="40" t="n"/>
      <c r="J251" s="40" t="n"/>
      <c r="K251" s="40" t="n"/>
    </row>
    <row r="252">
      <c r="A252" s="46" t="n"/>
      <c r="B252" s="47" t="n"/>
      <c r="C252" s="47" t="n"/>
      <c r="D252" s="47" t="n"/>
      <c r="E252" s="50">
        <f>IFERROR(INDEX(الموظفون_الاسم,MATCH($D252,الموظفون_الرقم,0)),"")</f>
        <v/>
      </c>
      <c r="F252" s="112" t="n"/>
      <c r="G252" s="47" t="n"/>
      <c r="H252" s="112" t="n"/>
      <c r="I252" s="47" t="n"/>
      <c r="J252" s="47" t="n"/>
      <c r="K252" s="47" t="n"/>
    </row>
    <row r="253">
      <c r="A253" s="39" t="n"/>
      <c r="B253" s="40" t="n"/>
      <c r="C253" s="40" t="n"/>
      <c r="D253" s="40" t="n"/>
      <c r="E253" s="43">
        <f>IFERROR(INDEX(الموظفون_الاسم,MATCH($D253,الموظفون_الرقم,0)),"")</f>
        <v/>
      </c>
      <c r="F253" s="110" t="n"/>
      <c r="G253" s="40" t="n"/>
      <c r="H253" s="110" t="n"/>
      <c r="I253" s="40" t="n"/>
      <c r="J253" s="40" t="n"/>
      <c r="K253" s="40" t="n"/>
    </row>
    <row r="254">
      <c r="A254" s="46" t="n"/>
      <c r="B254" s="47" t="n"/>
      <c r="C254" s="47" t="n"/>
      <c r="D254" s="47" t="n"/>
      <c r="E254" s="50">
        <f>IFERROR(INDEX(الموظفون_الاسم,MATCH($D254,الموظفون_الرقم,0)),"")</f>
        <v/>
      </c>
      <c r="F254" s="112" t="n"/>
      <c r="G254" s="47" t="n"/>
      <c r="H254" s="112" t="n"/>
      <c r="I254" s="47" t="n"/>
      <c r="J254" s="47" t="n"/>
      <c r="K254" s="47" t="n"/>
    </row>
    <row r="255">
      <c r="A255" s="39" t="n"/>
      <c r="B255" s="40" t="n"/>
      <c r="C255" s="40" t="n"/>
      <c r="D255" s="40" t="n"/>
      <c r="E255" s="43">
        <f>IFERROR(INDEX(الموظفون_الاسم,MATCH($D255,الموظفون_الرقم,0)),"")</f>
        <v/>
      </c>
      <c r="F255" s="110" t="n"/>
      <c r="G255" s="40" t="n"/>
      <c r="H255" s="110" t="n"/>
      <c r="I255" s="40" t="n"/>
      <c r="J255" s="40" t="n"/>
      <c r="K255" s="40" t="n"/>
    </row>
    <row r="256">
      <c r="A256" s="46" t="n"/>
      <c r="B256" s="47" t="n"/>
      <c r="C256" s="47" t="n"/>
      <c r="D256" s="47" t="n"/>
      <c r="E256" s="50">
        <f>IFERROR(INDEX(الموظفون_الاسم,MATCH($D256,الموظفون_الرقم,0)),"")</f>
        <v/>
      </c>
      <c r="F256" s="112" t="n"/>
      <c r="G256" s="47" t="n"/>
      <c r="H256" s="112" t="n"/>
      <c r="I256" s="47" t="n"/>
      <c r="J256" s="47" t="n"/>
      <c r="K256" s="47" t="n"/>
    </row>
    <row r="257">
      <c r="A257" s="39" t="n"/>
      <c r="B257" s="40" t="n"/>
      <c r="C257" s="40" t="n"/>
      <c r="D257" s="40" t="n"/>
      <c r="E257" s="43">
        <f>IFERROR(INDEX(الموظفون_الاسم,MATCH($D257,الموظفون_الرقم,0)),"")</f>
        <v/>
      </c>
      <c r="F257" s="110" t="n"/>
      <c r="G257" s="40" t="n"/>
      <c r="H257" s="110" t="n"/>
      <c r="I257" s="40" t="n"/>
      <c r="J257" s="40" t="n"/>
      <c r="K257" s="40" t="n"/>
    </row>
    <row r="258">
      <c r="A258" s="46" t="n"/>
      <c r="B258" s="47" t="n"/>
      <c r="C258" s="47" t="n"/>
      <c r="D258" s="47" t="n"/>
      <c r="E258" s="50">
        <f>IFERROR(INDEX(الموظفون_الاسم,MATCH($D258,الموظفون_الرقم,0)),"")</f>
        <v/>
      </c>
      <c r="F258" s="112" t="n"/>
      <c r="G258" s="47" t="n"/>
      <c r="H258" s="112" t="n"/>
      <c r="I258" s="47" t="n"/>
      <c r="J258" s="47" t="n"/>
      <c r="K258" s="47" t="n"/>
    </row>
    <row r="259">
      <c r="A259" s="39" t="n"/>
      <c r="B259" s="40" t="n"/>
      <c r="C259" s="40" t="n"/>
      <c r="D259" s="40" t="n"/>
      <c r="E259" s="43">
        <f>IFERROR(INDEX(الموظفون_الاسم,MATCH($D259,الموظفون_الرقم,0)),"")</f>
        <v/>
      </c>
      <c r="F259" s="110" t="n"/>
      <c r="G259" s="40" t="n"/>
      <c r="H259" s="110" t="n"/>
      <c r="I259" s="40" t="n"/>
      <c r="J259" s="40" t="n"/>
      <c r="K259" s="40" t="n"/>
    </row>
    <row r="260">
      <c r="A260" s="46" t="n"/>
      <c r="B260" s="47" t="n"/>
      <c r="C260" s="47" t="n"/>
      <c r="D260" s="47" t="n"/>
      <c r="E260" s="50">
        <f>IFERROR(INDEX(الموظفون_الاسم,MATCH($D260,الموظفون_الرقم,0)),"")</f>
        <v/>
      </c>
      <c r="F260" s="112" t="n"/>
      <c r="G260" s="47" t="n"/>
      <c r="H260" s="112" t="n"/>
      <c r="I260" s="47" t="n"/>
      <c r="J260" s="47" t="n"/>
      <c r="K260" s="47" t="n"/>
    </row>
    <row r="261">
      <c r="A261" s="39" t="n"/>
      <c r="B261" s="40" t="n"/>
      <c r="C261" s="40" t="n"/>
      <c r="D261" s="40" t="n"/>
      <c r="E261" s="43">
        <f>IFERROR(INDEX(الموظفون_الاسم,MATCH($D261,الموظفون_الرقم,0)),"")</f>
        <v/>
      </c>
      <c r="F261" s="110" t="n"/>
      <c r="G261" s="40" t="n"/>
      <c r="H261" s="110" t="n"/>
      <c r="I261" s="40" t="n"/>
      <c r="J261" s="40" t="n"/>
      <c r="K261" s="40" t="n"/>
    </row>
    <row r="262">
      <c r="A262" s="46" t="n"/>
      <c r="B262" s="47" t="n"/>
      <c r="C262" s="47" t="n"/>
      <c r="D262" s="47" t="n"/>
      <c r="E262" s="50">
        <f>IFERROR(INDEX(الموظفون_الاسم,MATCH($D262,الموظفون_الرقم,0)),"")</f>
        <v/>
      </c>
      <c r="F262" s="112" t="n"/>
      <c r="G262" s="47" t="n"/>
      <c r="H262" s="112" t="n"/>
      <c r="I262" s="47" t="n"/>
      <c r="J262" s="47" t="n"/>
      <c r="K262" s="47" t="n"/>
    </row>
    <row r="263">
      <c r="A263" s="39" t="n"/>
      <c r="B263" s="40" t="n"/>
      <c r="C263" s="40" t="n"/>
      <c r="D263" s="40" t="n"/>
      <c r="E263" s="43">
        <f>IFERROR(INDEX(الموظفون_الاسم,MATCH($D263,الموظفون_الرقم,0)),"")</f>
        <v/>
      </c>
      <c r="F263" s="110" t="n"/>
      <c r="G263" s="40" t="n"/>
      <c r="H263" s="110" t="n"/>
      <c r="I263" s="40" t="n"/>
      <c r="J263" s="40" t="n"/>
      <c r="K263" s="40" t="n"/>
    </row>
    <row r="264">
      <c r="A264" s="46" t="n"/>
      <c r="B264" s="47" t="n"/>
      <c r="C264" s="47" t="n"/>
      <c r="D264" s="47" t="n"/>
      <c r="E264" s="50">
        <f>IFERROR(INDEX(الموظفون_الاسم,MATCH($D264,الموظفون_الرقم,0)),"")</f>
        <v/>
      </c>
      <c r="F264" s="112" t="n"/>
      <c r="G264" s="47" t="n"/>
      <c r="H264" s="112" t="n"/>
      <c r="I264" s="47" t="n"/>
      <c r="J264" s="47" t="n"/>
      <c r="K264" s="47" t="n"/>
    </row>
    <row r="265">
      <c r="A265" s="39" t="n"/>
      <c r="B265" s="40" t="n"/>
      <c r="C265" s="40" t="n"/>
      <c r="D265" s="40" t="n"/>
      <c r="E265" s="43">
        <f>IFERROR(INDEX(الموظفون_الاسم,MATCH($D265,الموظفون_الرقم,0)),"")</f>
        <v/>
      </c>
      <c r="F265" s="110" t="n"/>
      <c r="G265" s="40" t="n"/>
      <c r="H265" s="110" t="n"/>
      <c r="I265" s="40" t="n"/>
      <c r="J265" s="40" t="n"/>
      <c r="K265" s="40" t="n"/>
    </row>
    <row r="266">
      <c r="A266" s="46" t="n"/>
      <c r="B266" s="47" t="n"/>
      <c r="C266" s="47" t="n"/>
      <c r="D266" s="47" t="n"/>
      <c r="E266" s="50">
        <f>IFERROR(INDEX(الموظفون_الاسم,MATCH($D266,الموظفون_الرقم,0)),"")</f>
        <v/>
      </c>
      <c r="F266" s="112" t="n"/>
      <c r="G266" s="47" t="n"/>
      <c r="H266" s="112" t="n"/>
      <c r="I266" s="47" t="n"/>
      <c r="J266" s="47" t="n"/>
      <c r="K266" s="47" t="n"/>
    </row>
    <row r="267">
      <c r="A267" s="39" t="n"/>
      <c r="B267" s="40" t="n"/>
      <c r="C267" s="40" t="n"/>
      <c r="D267" s="40" t="n"/>
      <c r="E267" s="43">
        <f>IFERROR(INDEX(الموظفون_الاسم,MATCH($D267,الموظفون_الرقم,0)),"")</f>
        <v/>
      </c>
      <c r="F267" s="110" t="n"/>
      <c r="G267" s="40" t="n"/>
      <c r="H267" s="110" t="n"/>
      <c r="I267" s="40" t="n"/>
      <c r="J267" s="40" t="n"/>
      <c r="K267" s="40" t="n"/>
    </row>
    <row r="268">
      <c r="A268" s="46" t="n"/>
      <c r="B268" s="47" t="n"/>
      <c r="C268" s="47" t="n"/>
      <c r="D268" s="47" t="n"/>
      <c r="E268" s="50">
        <f>IFERROR(INDEX(الموظفون_الاسم,MATCH($D268,الموظفون_الرقم,0)),"")</f>
        <v/>
      </c>
      <c r="F268" s="112" t="n"/>
      <c r="G268" s="47" t="n"/>
      <c r="H268" s="112" t="n"/>
      <c r="I268" s="47" t="n"/>
      <c r="J268" s="47" t="n"/>
      <c r="K268" s="47" t="n"/>
    </row>
    <row r="269">
      <c r="A269" s="39" t="n"/>
      <c r="B269" s="40" t="n"/>
      <c r="C269" s="40" t="n"/>
      <c r="D269" s="40" t="n"/>
      <c r="E269" s="43">
        <f>IFERROR(INDEX(الموظفون_الاسم,MATCH($D269,الموظفون_الرقم,0)),"")</f>
        <v/>
      </c>
      <c r="F269" s="110" t="n"/>
      <c r="G269" s="40" t="n"/>
      <c r="H269" s="110" t="n"/>
      <c r="I269" s="40" t="n"/>
      <c r="J269" s="40" t="n"/>
      <c r="K269" s="40" t="n"/>
    </row>
    <row r="270">
      <c r="A270" s="46" t="n"/>
      <c r="B270" s="47" t="n"/>
      <c r="C270" s="47" t="n"/>
      <c r="D270" s="47" t="n"/>
      <c r="E270" s="50">
        <f>IFERROR(INDEX(الموظفون_الاسم,MATCH($D270,الموظفون_الرقم,0)),"")</f>
        <v/>
      </c>
      <c r="F270" s="112" t="n"/>
      <c r="G270" s="47" t="n"/>
      <c r="H270" s="112" t="n"/>
      <c r="I270" s="47" t="n"/>
      <c r="J270" s="47" t="n"/>
      <c r="K270" s="47" t="n"/>
    </row>
    <row r="271">
      <c r="A271" s="39" t="n"/>
      <c r="B271" s="40" t="n"/>
      <c r="C271" s="40" t="n"/>
      <c r="D271" s="40" t="n"/>
      <c r="E271" s="43">
        <f>IFERROR(INDEX(الموظفون_الاسم,MATCH($D271,الموظفون_الرقم,0)),"")</f>
        <v/>
      </c>
      <c r="F271" s="110" t="n"/>
      <c r="G271" s="40" t="n"/>
      <c r="H271" s="110" t="n"/>
      <c r="I271" s="40" t="n"/>
      <c r="J271" s="40" t="n"/>
      <c r="K271" s="40" t="n"/>
    </row>
    <row r="272">
      <c r="A272" s="46" t="n"/>
      <c r="B272" s="47" t="n"/>
      <c r="C272" s="47" t="n"/>
      <c r="D272" s="47" t="n"/>
      <c r="E272" s="50">
        <f>IFERROR(INDEX(الموظفون_الاسم,MATCH($D272,الموظفون_الرقم,0)),"")</f>
        <v/>
      </c>
      <c r="F272" s="112" t="n"/>
      <c r="G272" s="47" t="n"/>
      <c r="H272" s="112" t="n"/>
      <c r="I272" s="47" t="n"/>
      <c r="J272" s="47" t="n"/>
      <c r="K272" s="47" t="n"/>
    </row>
    <row r="273">
      <c r="A273" s="39" t="n"/>
      <c r="B273" s="40" t="n"/>
      <c r="C273" s="40" t="n"/>
      <c r="D273" s="40" t="n"/>
      <c r="E273" s="43">
        <f>IFERROR(INDEX(الموظفون_الاسم,MATCH($D273,الموظفون_الرقم,0)),"")</f>
        <v/>
      </c>
      <c r="F273" s="110" t="n"/>
      <c r="G273" s="40" t="n"/>
      <c r="H273" s="110" t="n"/>
      <c r="I273" s="40" t="n"/>
      <c r="J273" s="40" t="n"/>
      <c r="K273" s="40" t="n"/>
    </row>
    <row r="274">
      <c r="A274" s="46" t="n"/>
      <c r="B274" s="47" t="n"/>
      <c r="C274" s="47" t="n"/>
      <c r="D274" s="47" t="n"/>
      <c r="E274" s="50">
        <f>IFERROR(INDEX(الموظفون_الاسم,MATCH($D274,الموظفون_الرقم,0)),"")</f>
        <v/>
      </c>
      <c r="F274" s="112" t="n"/>
      <c r="G274" s="47" t="n"/>
      <c r="H274" s="112" t="n"/>
      <c r="I274" s="47" t="n"/>
      <c r="J274" s="47" t="n"/>
      <c r="K274" s="47" t="n"/>
    </row>
    <row r="275">
      <c r="A275" s="39" t="n"/>
      <c r="B275" s="40" t="n"/>
      <c r="C275" s="40" t="n"/>
      <c r="D275" s="40" t="n"/>
      <c r="E275" s="43">
        <f>IFERROR(INDEX(الموظفون_الاسم,MATCH($D275,الموظفون_الرقم,0)),"")</f>
        <v/>
      </c>
      <c r="F275" s="110" t="n"/>
      <c r="G275" s="40" t="n"/>
      <c r="H275" s="110" t="n"/>
      <c r="I275" s="40" t="n"/>
      <c r="J275" s="40" t="n"/>
      <c r="K275" s="40" t="n"/>
    </row>
    <row r="276">
      <c r="A276" s="46" t="n"/>
      <c r="B276" s="47" t="n"/>
      <c r="C276" s="47" t="n"/>
      <c r="D276" s="47" t="n"/>
      <c r="E276" s="50">
        <f>IFERROR(INDEX(الموظفون_الاسم,MATCH($D276,الموظفون_الرقم,0)),"")</f>
        <v/>
      </c>
      <c r="F276" s="112" t="n"/>
      <c r="G276" s="47" t="n"/>
      <c r="H276" s="112" t="n"/>
      <c r="I276" s="47" t="n"/>
      <c r="J276" s="47" t="n"/>
      <c r="K276" s="47" t="n"/>
    </row>
    <row r="277">
      <c r="A277" s="39" t="n"/>
      <c r="B277" s="40" t="n"/>
      <c r="C277" s="40" t="n"/>
      <c r="D277" s="40" t="n"/>
      <c r="E277" s="43">
        <f>IFERROR(INDEX(الموظفون_الاسم,MATCH($D277,الموظفون_الرقم,0)),"")</f>
        <v/>
      </c>
      <c r="F277" s="110" t="n"/>
      <c r="G277" s="40" t="n"/>
      <c r="H277" s="110" t="n"/>
      <c r="I277" s="40" t="n"/>
      <c r="J277" s="40" t="n"/>
      <c r="K277" s="40" t="n"/>
    </row>
    <row r="278">
      <c r="A278" s="46" t="n"/>
      <c r="B278" s="47" t="n"/>
      <c r="C278" s="47" t="n"/>
      <c r="D278" s="47" t="n"/>
      <c r="E278" s="50">
        <f>IFERROR(INDEX(الموظفون_الاسم,MATCH($D278,الموظفون_الرقم,0)),"")</f>
        <v/>
      </c>
      <c r="F278" s="112" t="n"/>
      <c r="G278" s="47" t="n"/>
      <c r="H278" s="112" t="n"/>
      <c r="I278" s="47" t="n"/>
      <c r="J278" s="47" t="n"/>
      <c r="K278" s="47" t="n"/>
    </row>
    <row r="279">
      <c r="A279" s="39" t="n"/>
      <c r="B279" s="40" t="n"/>
      <c r="C279" s="40" t="n"/>
      <c r="D279" s="40" t="n"/>
      <c r="E279" s="43">
        <f>IFERROR(INDEX(الموظفون_الاسم,MATCH($D279,الموظفون_الرقم,0)),"")</f>
        <v/>
      </c>
      <c r="F279" s="110" t="n"/>
      <c r="G279" s="40" t="n"/>
      <c r="H279" s="110" t="n"/>
      <c r="I279" s="40" t="n"/>
      <c r="J279" s="40" t="n"/>
      <c r="K279" s="40" t="n"/>
    </row>
    <row r="280">
      <c r="A280" s="46" t="n"/>
      <c r="B280" s="47" t="n"/>
      <c r="C280" s="47" t="n"/>
      <c r="D280" s="47" t="n"/>
      <c r="E280" s="50">
        <f>IFERROR(INDEX(الموظفون_الاسم,MATCH($D280,الموظفون_الرقم,0)),"")</f>
        <v/>
      </c>
      <c r="F280" s="112" t="n"/>
      <c r="G280" s="47" t="n"/>
      <c r="H280" s="112" t="n"/>
      <c r="I280" s="47" t="n"/>
      <c r="J280" s="47" t="n"/>
      <c r="K280" s="47" t="n"/>
    </row>
    <row r="281">
      <c r="A281" s="39" t="n"/>
      <c r="B281" s="40" t="n"/>
      <c r="C281" s="40" t="n"/>
      <c r="D281" s="40" t="n"/>
      <c r="E281" s="43">
        <f>IFERROR(INDEX(الموظفون_الاسم,MATCH($D281,الموظفون_الرقم,0)),"")</f>
        <v/>
      </c>
      <c r="F281" s="110" t="n"/>
      <c r="G281" s="40" t="n"/>
      <c r="H281" s="110" t="n"/>
      <c r="I281" s="40" t="n"/>
      <c r="J281" s="40" t="n"/>
      <c r="K281" s="40" t="n"/>
    </row>
    <row r="282">
      <c r="A282" s="46" t="n"/>
      <c r="B282" s="47" t="n"/>
      <c r="C282" s="47" t="n"/>
      <c r="D282" s="47" t="n"/>
      <c r="E282" s="50">
        <f>IFERROR(INDEX(الموظفون_الاسم,MATCH($D282,الموظفون_الرقم,0)),"")</f>
        <v/>
      </c>
      <c r="F282" s="112" t="n"/>
      <c r="G282" s="47" t="n"/>
      <c r="H282" s="112" t="n"/>
      <c r="I282" s="47" t="n"/>
      <c r="J282" s="47" t="n"/>
      <c r="K282" s="47" t="n"/>
    </row>
    <row r="283">
      <c r="A283" s="39" t="n"/>
      <c r="B283" s="40" t="n"/>
      <c r="C283" s="40" t="n"/>
      <c r="D283" s="40" t="n"/>
      <c r="E283" s="43">
        <f>IFERROR(INDEX(الموظفون_الاسم,MATCH($D283,الموظفون_الرقم,0)),"")</f>
        <v/>
      </c>
      <c r="F283" s="110" t="n"/>
      <c r="G283" s="40" t="n"/>
      <c r="H283" s="110" t="n"/>
      <c r="I283" s="40" t="n"/>
      <c r="J283" s="40" t="n"/>
      <c r="K283" s="40" t="n"/>
    </row>
    <row r="284">
      <c r="A284" s="46" t="n"/>
      <c r="B284" s="47" t="n"/>
      <c r="C284" s="47" t="n"/>
      <c r="D284" s="47" t="n"/>
      <c r="E284" s="50">
        <f>IFERROR(INDEX(الموظفون_الاسم,MATCH($D284,الموظفون_الرقم,0)),"")</f>
        <v/>
      </c>
      <c r="F284" s="112" t="n"/>
      <c r="G284" s="47" t="n"/>
      <c r="H284" s="112" t="n"/>
      <c r="I284" s="47" t="n"/>
      <c r="J284" s="47" t="n"/>
      <c r="K284" s="47" t="n"/>
    </row>
    <row r="285">
      <c r="A285" s="39" t="n"/>
      <c r="B285" s="40" t="n"/>
      <c r="C285" s="40" t="n"/>
      <c r="D285" s="40" t="n"/>
      <c r="E285" s="43">
        <f>IFERROR(INDEX(الموظفون_الاسم,MATCH($D285,الموظفون_الرقم,0)),"")</f>
        <v/>
      </c>
      <c r="F285" s="110" t="n"/>
      <c r="G285" s="40" t="n"/>
      <c r="H285" s="110" t="n"/>
      <c r="I285" s="40" t="n"/>
      <c r="J285" s="40" t="n"/>
      <c r="K285" s="40" t="n"/>
    </row>
    <row r="286">
      <c r="A286" s="46" t="n"/>
      <c r="B286" s="47" t="n"/>
      <c r="C286" s="47" t="n"/>
      <c r="D286" s="47" t="n"/>
      <c r="E286" s="50">
        <f>IFERROR(INDEX(الموظفون_الاسم,MATCH($D286,الموظفون_الرقم,0)),"")</f>
        <v/>
      </c>
      <c r="F286" s="112" t="n"/>
      <c r="G286" s="47" t="n"/>
      <c r="H286" s="112" t="n"/>
      <c r="I286" s="47" t="n"/>
      <c r="J286" s="47" t="n"/>
      <c r="K286" s="47" t="n"/>
    </row>
    <row r="287">
      <c r="A287" s="39" t="n"/>
      <c r="B287" s="40" t="n"/>
      <c r="C287" s="40" t="n"/>
      <c r="D287" s="40" t="n"/>
      <c r="E287" s="43">
        <f>IFERROR(INDEX(الموظفون_الاسم,MATCH($D287,الموظفون_الرقم,0)),"")</f>
        <v/>
      </c>
      <c r="F287" s="110" t="n"/>
      <c r="G287" s="40" t="n"/>
      <c r="H287" s="110" t="n"/>
      <c r="I287" s="40" t="n"/>
      <c r="J287" s="40" t="n"/>
      <c r="K287" s="40" t="n"/>
    </row>
    <row r="288">
      <c r="A288" s="46" t="n"/>
      <c r="B288" s="47" t="n"/>
      <c r="C288" s="47" t="n"/>
      <c r="D288" s="47" t="n"/>
      <c r="E288" s="50">
        <f>IFERROR(INDEX(الموظفون_الاسم,MATCH($D288,الموظفون_الرقم,0)),"")</f>
        <v/>
      </c>
      <c r="F288" s="112" t="n"/>
      <c r="G288" s="47" t="n"/>
      <c r="H288" s="112" t="n"/>
      <c r="I288" s="47" t="n"/>
      <c r="J288" s="47" t="n"/>
      <c r="K288" s="47" t="n"/>
    </row>
    <row r="289">
      <c r="A289" s="39" t="n"/>
      <c r="B289" s="40" t="n"/>
      <c r="C289" s="40" t="n"/>
      <c r="D289" s="40" t="n"/>
      <c r="E289" s="43">
        <f>IFERROR(INDEX(الموظفون_الاسم,MATCH($D289,الموظفون_الرقم,0)),"")</f>
        <v/>
      </c>
      <c r="F289" s="110" t="n"/>
      <c r="G289" s="40" t="n"/>
      <c r="H289" s="110" t="n"/>
      <c r="I289" s="40" t="n"/>
      <c r="J289" s="40" t="n"/>
      <c r="K289" s="40" t="n"/>
    </row>
    <row r="290">
      <c r="A290" s="46" t="n"/>
      <c r="B290" s="47" t="n"/>
      <c r="C290" s="47" t="n"/>
      <c r="D290" s="47" t="n"/>
      <c r="E290" s="50">
        <f>IFERROR(INDEX(الموظفون_الاسم,MATCH($D290,الموظفون_الرقم,0)),"")</f>
        <v/>
      </c>
      <c r="F290" s="112" t="n"/>
      <c r="G290" s="47" t="n"/>
      <c r="H290" s="112" t="n"/>
      <c r="I290" s="47" t="n"/>
      <c r="J290" s="47" t="n"/>
      <c r="K290" s="47" t="n"/>
    </row>
    <row r="291">
      <c r="A291" s="39" t="n"/>
      <c r="B291" s="40" t="n"/>
      <c r="C291" s="40" t="n"/>
      <c r="D291" s="40" t="n"/>
      <c r="E291" s="43">
        <f>IFERROR(INDEX(الموظفون_الاسم,MATCH($D291,الموظفون_الرقم,0)),"")</f>
        <v/>
      </c>
      <c r="F291" s="110" t="n"/>
      <c r="G291" s="40" t="n"/>
      <c r="H291" s="110" t="n"/>
      <c r="I291" s="40" t="n"/>
      <c r="J291" s="40" t="n"/>
      <c r="K291" s="40" t="n"/>
    </row>
    <row r="292">
      <c r="A292" s="46" t="n"/>
      <c r="B292" s="47" t="n"/>
      <c r="C292" s="47" t="n"/>
      <c r="D292" s="47" t="n"/>
      <c r="E292" s="50">
        <f>IFERROR(INDEX(الموظفون_الاسم,MATCH($D292,الموظفون_الرقم,0)),"")</f>
        <v/>
      </c>
      <c r="F292" s="112" t="n"/>
      <c r="G292" s="47" t="n"/>
      <c r="H292" s="112" t="n"/>
      <c r="I292" s="47" t="n"/>
      <c r="J292" s="47" t="n"/>
      <c r="K292" s="47" t="n"/>
    </row>
    <row r="293">
      <c r="A293" s="39" t="n"/>
      <c r="B293" s="40" t="n"/>
      <c r="C293" s="40" t="n"/>
      <c r="D293" s="40" t="n"/>
      <c r="E293" s="43">
        <f>IFERROR(INDEX(الموظفون_الاسم,MATCH($D293,الموظفون_الرقم,0)),"")</f>
        <v/>
      </c>
      <c r="F293" s="110" t="n"/>
      <c r="G293" s="40" t="n"/>
      <c r="H293" s="110" t="n"/>
      <c r="I293" s="40" t="n"/>
      <c r="J293" s="40" t="n"/>
      <c r="K293" s="40" t="n"/>
    </row>
    <row r="294">
      <c r="A294" s="46" t="n"/>
      <c r="B294" s="47" t="n"/>
      <c r="C294" s="47" t="n"/>
      <c r="D294" s="47" t="n"/>
      <c r="E294" s="50">
        <f>IFERROR(INDEX(الموظفون_الاسم,MATCH($D294,الموظفون_الرقم,0)),"")</f>
        <v/>
      </c>
      <c r="F294" s="112" t="n"/>
      <c r="G294" s="47" t="n"/>
      <c r="H294" s="112" t="n"/>
      <c r="I294" s="47" t="n"/>
      <c r="J294" s="47" t="n"/>
      <c r="K294" s="47" t="n"/>
    </row>
    <row r="295">
      <c r="A295" s="39" t="n"/>
      <c r="B295" s="40" t="n"/>
      <c r="C295" s="40" t="n"/>
      <c r="D295" s="40" t="n"/>
      <c r="E295" s="43">
        <f>IFERROR(INDEX(الموظفون_الاسم,MATCH($D295,الموظفون_الرقم,0)),"")</f>
        <v/>
      </c>
      <c r="F295" s="110" t="n"/>
      <c r="G295" s="40" t="n"/>
      <c r="H295" s="110" t="n"/>
      <c r="I295" s="40" t="n"/>
      <c r="J295" s="40" t="n"/>
      <c r="K295" s="40" t="n"/>
    </row>
    <row r="296">
      <c r="A296" s="46" t="n"/>
      <c r="B296" s="47" t="n"/>
      <c r="C296" s="47" t="n"/>
      <c r="D296" s="47" t="n"/>
      <c r="E296" s="50">
        <f>IFERROR(INDEX(الموظفون_الاسم,MATCH($D296,الموظفون_الرقم,0)),"")</f>
        <v/>
      </c>
      <c r="F296" s="112" t="n"/>
      <c r="G296" s="47" t="n"/>
      <c r="H296" s="112" t="n"/>
      <c r="I296" s="47" t="n"/>
      <c r="J296" s="47" t="n"/>
      <c r="K296" s="47" t="n"/>
    </row>
    <row r="297">
      <c r="A297" s="39" t="n"/>
      <c r="B297" s="40" t="n"/>
      <c r="C297" s="40" t="n"/>
      <c r="D297" s="40" t="n"/>
      <c r="E297" s="43">
        <f>IFERROR(INDEX(الموظفون_الاسم,MATCH($D297,الموظفون_الرقم,0)),"")</f>
        <v/>
      </c>
      <c r="F297" s="110" t="n"/>
      <c r="G297" s="40" t="n"/>
      <c r="H297" s="110" t="n"/>
      <c r="I297" s="40" t="n"/>
      <c r="J297" s="40" t="n"/>
      <c r="K297" s="40" t="n"/>
    </row>
    <row r="298">
      <c r="A298" s="46" t="n"/>
      <c r="B298" s="47" t="n"/>
      <c r="C298" s="47" t="n"/>
      <c r="D298" s="47" t="n"/>
      <c r="E298" s="50">
        <f>IFERROR(INDEX(الموظفون_الاسم,MATCH($D298,الموظفون_الرقم,0)),"")</f>
        <v/>
      </c>
      <c r="F298" s="112" t="n"/>
      <c r="G298" s="47" t="n"/>
      <c r="H298" s="112" t="n"/>
      <c r="I298" s="47" t="n"/>
      <c r="J298" s="47" t="n"/>
      <c r="K298" s="47" t="n"/>
    </row>
    <row r="299">
      <c r="A299" s="39" t="n"/>
      <c r="B299" s="40" t="n"/>
      <c r="C299" s="40" t="n"/>
      <c r="D299" s="40" t="n"/>
      <c r="E299" s="43">
        <f>IFERROR(INDEX(الموظفون_الاسم,MATCH($D299,الموظفون_الرقم,0)),"")</f>
        <v/>
      </c>
      <c r="F299" s="110" t="n"/>
      <c r="G299" s="40" t="n"/>
      <c r="H299" s="110" t="n"/>
      <c r="I299" s="40" t="n"/>
      <c r="J299" s="40" t="n"/>
      <c r="K299" s="40" t="n"/>
    </row>
    <row r="300">
      <c r="A300" s="46" t="n"/>
      <c r="B300" s="47" t="n"/>
      <c r="C300" s="47" t="n"/>
      <c r="D300" s="47" t="n"/>
      <c r="E300" s="50">
        <f>IFERROR(INDEX(الموظفون_الاسم,MATCH($D300,الموظفون_الرقم,0)),"")</f>
        <v/>
      </c>
      <c r="F300" s="112" t="n"/>
      <c r="G300" s="47" t="n"/>
      <c r="H300" s="112" t="n"/>
      <c r="I300" s="47" t="n"/>
      <c r="J300" s="47" t="n"/>
      <c r="K300" s="47" t="n"/>
    </row>
    <row r="301">
      <c r="A301" s="39" t="n"/>
      <c r="B301" s="40" t="n"/>
      <c r="C301" s="40" t="n"/>
      <c r="D301" s="40" t="n"/>
      <c r="E301" s="43">
        <f>IFERROR(INDEX(الموظفون_الاسم,MATCH($D301,الموظفون_الرقم,0)),"")</f>
        <v/>
      </c>
      <c r="F301" s="110" t="n"/>
      <c r="G301" s="40" t="n"/>
      <c r="H301" s="110" t="n"/>
      <c r="I301" s="40" t="n"/>
      <c r="J301" s="40" t="n"/>
      <c r="K301" s="40" t="n"/>
    </row>
    <row r="302">
      <c r="A302" s="46" t="n"/>
      <c r="B302" s="47" t="n"/>
      <c r="C302" s="47" t="n"/>
      <c r="D302" s="47" t="n"/>
      <c r="E302" s="50">
        <f>IFERROR(INDEX(الموظفون_الاسم,MATCH($D302,الموظفون_الرقم,0)),"")</f>
        <v/>
      </c>
      <c r="F302" s="112" t="n"/>
      <c r="G302" s="47" t="n"/>
      <c r="H302" s="112" t="n"/>
      <c r="I302" s="47" t="n"/>
      <c r="J302" s="47" t="n"/>
      <c r="K302" s="47" t="n"/>
    </row>
    <row r="303">
      <c r="A303" s="39" t="n"/>
      <c r="B303" s="40" t="n"/>
      <c r="C303" s="40" t="n"/>
      <c r="D303" s="40" t="n"/>
      <c r="E303" s="43">
        <f>IFERROR(INDEX(الموظفون_الاسم,MATCH($D303,الموظفون_الرقم,0)),"")</f>
        <v/>
      </c>
      <c r="F303" s="110" t="n"/>
      <c r="G303" s="40" t="n"/>
      <c r="H303" s="110" t="n"/>
      <c r="I303" s="40" t="n"/>
      <c r="J303" s="40" t="n"/>
      <c r="K303" s="40" t="n"/>
    </row>
    <row r="304">
      <c r="A304" s="46" t="n"/>
      <c r="B304" s="47" t="n"/>
      <c r="C304" s="47" t="n"/>
      <c r="D304" s="47" t="n"/>
      <c r="E304" s="50">
        <f>IFERROR(INDEX(الموظفون_الاسم,MATCH($D304,الموظفون_الرقم,0)),"")</f>
        <v/>
      </c>
      <c r="F304" s="112" t="n"/>
      <c r="G304" s="47" t="n"/>
      <c r="H304" s="112" t="n"/>
      <c r="I304" s="47" t="n"/>
      <c r="J304" s="47" t="n"/>
      <c r="K304" s="47" t="n"/>
    </row>
    <row r="305">
      <c r="A305" s="39" t="n"/>
      <c r="B305" s="40" t="n"/>
      <c r="C305" s="40" t="n"/>
      <c r="D305" s="40" t="n"/>
      <c r="E305" s="43">
        <f>IFERROR(INDEX(الموظفون_الاسم,MATCH($D305,الموظفون_الرقم,0)),"")</f>
        <v/>
      </c>
      <c r="F305" s="110" t="n"/>
      <c r="G305" s="40" t="n"/>
      <c r="H305" s="110" t="n"/>
      <c r="I305" s="40" t="n"/>
      <c r="J305" s="40" t="n"/>
      <c r="K305" s="40" t="n"/>
    </row>
    <row r="306">
      <c r="A306" s="46" t="n"/>
      <c r="B306" s="47" t="n"/>
      <c r="C306" s="47" t="n"/>
      <c r="D306" s="47" t="n"/>
      <c r="E306" s="50">
        <f>IFERROR(INDEX(الموظفون_الاسم,MATCH($D306,الموظفون_الرقم,0)),"")</f>
        <v/>
      </c>
      <c r="F306" s="112" t="n"/>
      <c r="G306" s="47" t="n"/>
      <c r="H306" s="112" t="n"/>
      <c r="I306" s="47" t="n"/>
      <c r="J306" s="47" t="n"/>
      <c r="K306" s="47" t="n"/>
    </row>
    <row r="307">
      <c r="A307" s="39" t="n"/>
      <c r="B307" s="40" t="n"/>
      <c r="C307" s="40" t="n"/>
      <c r="D307" s="40" t="n"/>
      <c r="E307" s="43">
        <f>IFERROR(INDEX(الموظفون_الاسم,MATCH($D307,الموظفون_الرقم,0)),"")</f>
        <v/>
      </c>
      <c r="F307" s="110" t="n"/>
      <c r="G307" s="40" t="n"/>
      <c r="H307" s="110" t="n"/>
      <c r="I307" s="40" t="n"/>
      <c r="J307" s="40" t="n"/>
      <c r="K307" s="40" t="n"/>
    </row>
    <row r="308">
      <c r="A308" s="46" t="n"/>
      <c r="B308" s="47" t="n"/>
      <c r="C308" s="47" t="n"/>
      <c r="D308" s="47" t="n"/>
      <c r="E308" s="50">
        <f>IFERROR(INDEX(الموظفون_الاسم,MATCH($D308,الموظفون_الرقم,0)),"")</f>
        <v/>
      </c>
      <c r="F308" s="112" t="n"/>
      <c r="G308" s="47" t="n"/>
      <c r="H308" s="112" t="n"/>
      <c r="I308" s="47" t="n"/>
      <c r="J308" s="47" t="n"/>
      <c r="K308" s="47" t="n"/>
    </row>
    <row r="309">
      <c r="A309" s="39" t="n"/>
      <c r="B309" s="40" t="n"/>
      <c r="C309" s="40" t="n"/>
      <c r="D309" s="40" t="n"/>
      <c r="E309" s="43">
        <f>IFERROR(INDEX(الموظفون_الاسم,MATCH($D309,الموظفون_الرقم,0)),"")</f>
        <v/>
      </c>
      <c r="F309" s="110" t="n"/>
      <c r="G309" s="40" t="n"/>
      <c r="H309" s="110" t="n"/>
      <c r="I309" s="40" t="n"/>
      <c r="J309" s="40" t="n"/>
      <c r="K309" s="40" t="n"/>
    </row>
    <row r="310">
      <c r="A310" s="46" t="n"/>
      <c r="B310" s="47" t="n"/>
      <c r="C310" s="47" t="n"/>
      <c r="D310" s="47" t="n"/>
      <c r="E310" s="50">
        <f>IFERROR(INDEX(الموظفون_الاسم,MATCH($D310,الموظفون_الرقم,0)),"")</f>
        <v/>
      </c>
      <c r="F310" s="112" t="n"/>
      <c r="G310" s="47" t="n"/>
      <c r="H310" s="112" t="n"/>
      <c r="I310" s="47" t="n"/>
      <c r="J310" s="47" t="n"/>
      <c r="K310" s="47" t="n"/>
    </row>
    <row r="311">
      <c r="A311" s="39" t="n"/>
      <c r="B311" s="40" t="n"/>
      <c r="C311" s="40" t="n"/>
      <c r="D311" s="40" t="n"/>
      <c r="E311" s="43">
        <f>IFERROR(INDEX(الموظفون_الاسم,MATCH($D311,الموظفون_الرقم,0)),"")</f>
        <v/>
      </c>
      <c r="F311" s="110" t="n"/>
      <c r="G311" s="40" t="n"/>
      <c r="H311" s="110" t="n"/>
      <c r="I311" s="40" t="n"/>
      <c r="J311" s="40" t="n"/>
      <c r="K311" s="40" t="n"/>
    </row>
    <row r="312">
      <c r="A312" s="46" t="n"/>
      <c r="B312" s="47" t="n"/>
      <c r="C312" s="47" t="n"/>
      <c r="D312" s="47" t="n"/>
      <c r="E312" s="50">
        <f>IFERROR(INDEX(الموظفون_الاسم,MATCH($D312,الموظفون_الرقم,0)),"")</f>
        <v/>
      </c>
      <c r="F312" s="112" t="n"/>
      <c r="G312" s="47" t="n"/>
      <c r="H312" s="112" t="n"/>
      <c r="I312" s="47" t="n"/>
      <c r="J312" s="47" t="n"/>
      <c r="K312" s="47" t="n"/>
    </row>
    <row r="313">
      <c r="A313" s="39" t="n"/>
      <c r="B313" s="40" t="n"/>
      <c r="C313" s="40" t="n"/>
      <c r="D313" s="40" t="n"/>
      <c r="E313" s="43">
        <f>IFERROR(INDEX(الموظفون_الاسم,MATCH($D313,الموظفون_الرقم,0)),"")</f>
        <v/>
      </c>
      <c r="F313" s="110" t="n"/>
      <c r="G313" s="40" t="n"/>
      <c r="H313" s="110" t="n"/>
      <c r="I313" s="40" t="n"/>
      <c r="J313" s="40" t="n"/>
      <c r="K313" s="40" t="n"/>
    </row>
    <row r="314">
      <c r="A314" s="46" t="n"/>
      <c r="B314" s="47" t="n"/>
      <c r="C314" s="47" t="n"/>
      <c r="D314" s="47" t="n"/>
      <c r="E314" s="50">
        <f>IFERROR(INDEX(الموظفون_الاسم,MATCH($D314,الموظفون_الرقم,0)),"")</f>
        <v/>
      </c>
      <c r="F314" s="112" t="n"/>
      <c r="G314" s="47" t="n"/>
      <c r="H314" s="112" t="n"/>
      <c r="I314" s="47" t="n"/>
      <c r="J314" s="47" t="n"/>
      <c r="K314" s="47" t="n"/>
    </row>
    <row r="315">
      <c r="A315" s="39" t="n"/>
      <c r="B315" s="40" t="n"/>
      <c r="C315" s="40" t="n"/>
      <c r="D315" s="40" t="n"/>
      <c r="E315" s="43">
        <f>IFERROR(INDEX(الموظفون_الاسم,MATCH($D315,الموظفون_الرقم,0)),"")</f>
        <v/>
      </c>
      <c r="F315" s="110" t="n"/>
      <c r="G315" s="40" t="n"/>
      <c r="H315" s="110" t="n"/>
      <c r="I315" s="40" t="n"/>
      <c r="J315" s="40" t="n"/>
      <c r="K315" s="40" t="n"/>
    </row>
    <row r="316">
      <c r="A316" s="46" t="n"/>
      <c r="B316" s="47" t="n"/>
      <c r="C316" s="47" t="n"/>
      <c r="D316" s="47" t="n"/>
      <c r="E316" s="50">
        <f>IFERROR(INDEX(الموظفون_الاسم,MATCH($D316,الموظفون_الرقم,0)),"")</f>
        <v/>
      </c>
      <c r="F316" s="112" t="n"/>
      <c r="G316" s="47" t="n"/>
      <c r="H316" s="112" t="n"/>
      <c r="I316" s="47" t="n"/>
      <c r="J316" s="47" t="n"/>
      <c r="K316" s="47" t="n"/>
    </row>
    <row r="317">
      <c r="A317" s="39" t="n"/>
      <c r="B317" s="40" t="n"/>
      <c r="C317" s="40" t="n"/>
      <c r="D317" s="40" t="n"/>
      <c r="E317" s="43">
        <f>IFERROR(INDEX(الموظفون_الاسم,MATCH($D317,الموظفون_الرقم,0)),"")</f>
        <v/>
      </c>
      <c r="F317" s="110" t="n"/>
      <c r="G317" s="40" t="n"/>
      <c r="H317" s="110" t="n"/>
      <c r="I317" s="40" t="n"/>
      <c r="J317" s="40" t="n"/>
      <c r="K317" s="40" t="n"/>
    </row>
    <row r="318">
      <c r="A318" s="46" t="n"/>
      <c r="B318" s="47" t="n"/>
      <c r="C318" s="47" t="n"/>
      <c r="D318" s="47" t="n"/>
      <c r="E318" s="50">
        <f>IFERROR(INDEX(الموظفون_الاسم,MATCH($D318,الموظفون_الرقم,0)),"")</f>
        <v/>
      </c>
      <c r="F318" s="112" t="n"/>
      <c r="G318" s="47" t="n"/>
      <c r="H318" s="112" t="n"/>
      <c r="I318" s="47" t="n"/>
      <c r="J318" s="47" t="n"/>
      <c r="K318" s="47" t="n"/>
    </row>
    <row r="319">
      <c r="A319" s="39" t="n"/>
      <c r="B319" s="40" t="n"/>
      <c r="C319" s="40" t="n"/>
      <c r="D319" s="40" t="n"/>
      <c r="E319" s="43">
        <f>IFERROR(INDEX(الموظفون_الاسم,MATCH($D319,الموظفون_الرقم,0)),"")</f>
        <v/>
      </c>
      <c r="F319" s="110" t="n"/>
      <c r="G319" s="40" t="n"/>
      <c r="H319" s="110" t="n"/>
      <c r="I319" s="40" t="n"/>
      <c r="J319" s="40" t="n"/>
      <c r="K319" s="40" t="n"/>
    </row>
    <row r="320">
      <c r="A320" s="46" t="n"/>
      <c r="B320" s="47" t="n"/>
      <c r="C320" s="47" t="n"/>
      <c r="D320" s="47" t="n"/>
      <c r="E320" s="50">
        <f>IFERROR(INDEX(الموظفون_الاسم,MATCH($D320,الموظفون_الرقم,0)),"")</f>
        <v/>
      </c>
      <c r="F320" s="112" t="n"/>
      <c r="G320" s="47" t="n"/>
      <c r="H320" s="112" t="n"/>
      <c r="I320" s="47" t="n"/>
      <c r="J320" s="47" t="n"/>
      <c r="K320" s="47" t="n"/>
    </row>
    <row r="321">
      <c r="A321" s="39" t="n"/>
      <c r="B321" s="40" t="n"/>
      <c r="C321" s="40" t="n"/>
      <c r="D321" s="40" t="n"/>
      <c r="E321" s="43">
        <f>IFERROR(INDEX(الموظفون_الاسم,MATCH($D321,الموظفون_الرقم,0)),"")</f>
        <v/>
      </c>
      <c r="F321" s="110" t="n"/>
      <c r="G321" s="40" t="n"/>
      <c r="H321" s="110" t="n"/>
      <c r="I321" s="40" t="n"/>
      <c r="J321" s="40" t="n"/>
      <c r="K321" s="40" t="n"/>
    </row>
    <row r="322">
      <c r="A322" s="46" t="n"/>
      <c r="B322" s="47" t="n"/>
      <c r="C322" s="47" t="n"/>
      <c r="D322" s="47" t="n"/>
      <c r="E322" s="50">
        <f>IFERROR(INDEX(الموظفون_الاسم,MATCH($D322,الموظفون_الرقم,0)),"")</f>
        <v/>
      </c>
      <c r="F322" s="112" t="n"/>
      <c r="G322" s="47" t="n"/>
      <c r="H322" s="112" t="n"/>
      <c r="I322" s="47" t="n"/>
      <c r="J322" s="47" t="n"/>
      <c r="K322" s="47" t="n"/>
    </row>
    <row r="323">
      <c r="A323" s="39" t="n"/>
      <c r="B323" s="40" t="n"/>
      <c r="C323" s="40" t="n"/>
      <c r="D323" s="40" t="n"/>
      <c r="E323" s="43">
        <f>IFERROR(INDEX(الموظفون_الاسم,MATCH($D323,الموظفون_الرقم,0)),"")</f>
        <v/>
      </c>
      <c r="F323" s="110" t="n"/>
      <c r="G323" s="40" t="n"/>
      <c r="H323" s="110" t="n"/>
      <c r="I323" s="40" t="n"/>
      <c r="J323" s="40" t="n"/>
      <c r="K323" s="40" t="n"/>
    </row>
    <row r="324">
      <c r="A324" s="46" t="n"/>
      <c r="B324" s="47" t="n"/>
      <c r="C324" s="47" t="n"/>
      <c r="D324" s="47" t="n"/>
      <c r="E324" s="50">
        <f>IFERROR(INDEX(الموظفون_الاسم,MATCH($D324,الموظفون_الرقم,0)),"")</f>
        <v/>
      </c>
      <c r="F324" s="112" t="n"/>
      <c r="G324" s="47" t="n"/>
      <c r="H324" s="112" t="n"/>
      <c r="I324" s="47" t="n"/>
      <c r="J324" s="47" t="n"/>
      <c r="K324" s="47" t="n"/>
    </row>
    <row r="325">
      <c r="A325" s="39" t="n"/>
      <c r="B325" s="40" t="n"/>
      <c r="C325" s="40" t="n"/>
      <c r="D325" s="40" t="n"/>
      <c r="E325" s="43">
        <f>IFERROR(INDEX(الموظفون_الاسم,MATCH($D325,الموظفون_الرقم,0)),"")</f>
        <v/>
      </c>
      <c r="F325" s="110" t="n"/>
      <c r="G325" s="40" t="n"/>
      <c r="H325" s="110" t="n"/>
      <c r="I325" s="40" t="n"/>
      <c r="J325" s="40" t="n"/>
      <c r="K325" s="40" t="n"/>
    </row>
    <row r="326">
      <c r="A326" s="46" t="n"/>
      <c r="B326" s="47" t="n"/>
      <c r="C326" s="47" t="n"/>
      <c r="D326" s="47" t="n"/>
      <c r="E326" s="50">
        <f>IFERROR(INDEX(الموظفون_الاسم,MATCH($D326,الموظفون_الرقم,0)),"")</f>
        <v/>
      </c>
      <c r="F326" s="112" t="n"/>
      <c r="G326" s="47" t="n"/>
      <c r="H326" s="112" t="n"/>
      <c r="I326" s="47" t="n"/>
      <c r="J326" s="47" t="n"/>
      <c r="K326" s="47" t="n"/>
    </row>
    <row r="327">
      <c r="A327" s="39" t="n"/>
      <c r="B327" s="40" t="n"/>
      <c r="C327" s="40" t="n"/>
      <c r="D327" s="40" t="n"/>
      <c r="E327" s="43">
        <f>IFERROR(INDEX(الموظفون_الاسم,MATCH($D327,الموظفون_الرقم,0)),"")</f>
        <v/>
      </c>
      <c r="F327" s="110" t="n"/>
      <c r="G327" s="40" t="n"/>
      <c r="H327" s="110" t="n"/>
      <c r="I327" s="40" t="n"/>
      <c r="J327" s="40" t="n"/>
      <c r="K327" s="40" t="n"/>
    </row>
    <row r="328">
      <c r="A328" s="46" t="n"/>
      <c r="B328" s="47" t="n"/>
      <c r="C328" s="47" t="n"/>
      <c r="D328" s="47" t="n"/>
      <c r="E328" s="50">
        <f>IFERROR(INDEX(الموظفون_الاسم,MATCH($D328,الموظفون_الرقم,0)),"")</f>
        <v/>
      </c>
      <c r="F328" s="112" t="n"/>
      <c r="G328" s="47" t="n"/>
      <c r="H328" s="112" t="n"/>
      <c r="I328" s="47" t="n"/>
      <c r="J328" s="47" t="n"/>
      <c r="K328" s="47" t="n"/>
    </row>
    <row r="329">
      <c r="A329" s="39" t="n"/>
      <c r="B329" s="40" t="n"/>
      <c r="C329" s="40" t="n"/>
      <c r="D329" s="40" t="n"/>
      <c r="E329" s="43">
        <f>IFERROR(INDEX(الموظفون_الاسم,MATCH($D329,الموظفون_الرقم,0)),"")</f>
        <v/>
      </c>
      <c r="F329" s="110" t="n"/>
      <c r="G329" s="40" t="n"/>
      <c r="H329" s="110" t="n"/>
      <c r="I329" s="40" t="n"/>
      <c r="J329" s="40" t="n"/>
      <c r="K329" s="40" t="n"/>
    </row>
    <row r="330">
      <c r="A330" s="46" t="n"/>
      <c r="B330" s="47" t="n"/>
      <c r="C330" s="47" t="n"/>
      <c r="D330" s="47" t="n"/>
      <c r="E330" s="50">
        <f>IFERROR(INDEX(الموظفون_الاسم,MATCH($D330,الموظفون_الرقم,0)),"")</f>
        <v/>
      </c>
      <c r="F330" s="112" t="n"/>
      <c r="G330" s="47" t="n"/>
      <c r="H330" s="112" t="n"/>
      <c r="I330" s="47" t="n"/>
      <c r="J330" s="47" t="n"/>
      <c r="K330" s="47" t="n"/>
    </row>
    <row r="331">
      <c r="A331" s="39" t="n"/>
      <c r="B331" s="40" t="n"/>
      <c r="C331" s="40" t="n"/>
      <c r="D331" s="40" t="n"/>
      <c r="E331" s="43">
        <f>IFERROR(INDEX(الموظفون_الاسم,MATCH($D331,الموظفون_الرقم,0)),"")</f>
        <v/>
      </c>
      <c r="F331" s="110" t="n"/>
      <c r="G331" s="40" t="n"/>
      <c r="H331" s="110" t="n"/>
      <c r="I331" s="40" t="n"/>
      <c r="J331" s="40" t="n"/>
      <c r="K331" s="40" t="n"/>
    </row>
    <row r="332">
      <c r="A332" s="46" t="n"/>
      <c r="B332" s="47" t="n"/>
      <c r="C332" s="47" t="n"/>
      <c r="D332" s="47" t="n"/>
      <c r="E332" s="50">
        <f>IFERROR(INDEX(الموظفون_الاسم,MATCH($D332,الموظفون_الرقم,0)),"")</f>
        <v/>
      </c>
      <c r="F332" s="112" t="n"/>
      <c r="G332" s="47" t="n"/>
      <c r="H332" s="112" t="n"/>
      <c r="I332" s="47" t="n"/>
      <c r="J332" s="47" t="n"/>
      <c r="K332" s="47" t="n"/>
    </row>
    <row r="333">
      <c r="A333" s="39" t="n"/>
      <c r="B333" s="40" t="n"/>
      <c r="C333" s="40" t="n"/>
      <c r="D333" s="40" t="n"/>
      <c r="E333" s="43">
        <f>IFERROR(INDEX(الموظفون_الاسم,MATCH($D333,الموظفون_الرقم,0)),"")</f>
        <v/>
      </c>
      <c r="F333" s="110" t="n"/>
      <c r="G333" s="40" t="n"/>
      <c r="H333" s="110" t="n"/>
      <c r="I333" s="40" t="n"/>
      <c r="J333" s="40" t="n"/>
      <c r="K333" s="40" t="n"/>
    </row>
    <row r="334">
      <c r="A334" s="46" t="n"/>
      <c r="B334" s="47" t="n"/>
      <c r="C334" s="47" t="n"/>
      <c r="D334" s="47" t="n"/>
      <c r="E334" s="50">
        <f>IFERROR(INDEX(الموظفون_الاسم,MATCH($D334,الموظفون_الرقم,0)),"")</f>
        <v/>
      </c>
      <c r="F334" s="112" t="n"/>
      <c r="G334" s="47" t="n"/>
      <c r="H334" s="112" t="n"/>
      <c r="I334" s="47" t="n"/>
      <c r="J334" s="47" t="n"/>
      <c r="K334" s="47" t="n"/>
    </row>
    <row r="335">
      <c r="A335" s="39" t="n"/>
      <c r="B335" s="40" t="n"/>
      <c r="C335" s="40" t="n"/>
      <c r="D335" s="40" t="n"/>
      <c r="E335" s="43">
        <f>IFERROR(INDEX(الموظفون_الاسم,MATCH($D335,الموظفون_الرقم,0)),"")</f>
        <v/>
      </c>
      <c r="F335" s="110" t="n"/>
      <c r="G335" s="40" t="n"/>
      <c r="H335" s="110" t="n"/>
      <c r="I335" s="40" t="n"/>
      <c r="J335" s="40" t="n"/>
      <c r="K335" s="40" t="n"/>
    </row>
    <row r="336">
      <c r="A336" s="46" t="n"/>
      <c r="B336" s="47" t="n"/>
      <c r="C336" s="47" t="n"/>
      <c r="D336" s="47" t="n"/>
      <c r="E336" s="50">
        <f>IFERROR(INDEX(الموظفون_الاسم,MATCH($D336,الموظفون_الرقم,0)),"")</f>
        <v/>
      </c>
      <c r="F336" s="112" t="n"/>
      <c r="G336" s="47" t="n"/>
      <c r="H336" s="112" t="n"/>
      <c r="I336" s="47" t="n"/>
      <c r="J336" s="47" t="n"/>
      <c r="K336" s="47" t="n"/>
    </row>
    <row r="337">
      <c r="A337" s="39" t="n"/>
      <c r="B337" s="40" t="n"/>
      <c r="C337" s="40" t="n"/>
      <c r="D337" s="40" t="n"/>
      <c r="E337" s="43">
        <f>IFERROR(INDEX(الموظفون_الاسم,MATCH($D337,الموظفون_الرقم,0)),"")</f>
        <v/>
      </c>
      <c r="F337" s="110" t="n"/>
      <c r="G337" s="40" t="n"/>
      <c r="H337" s="110" t="n"/>
      <c r="I337" s="40" t="n"/>
      <c r="J337" s="40" t="n"/>
      <c r="K337" s="40" t="n"/>
    </row>
    <row r="338">
      <c r="A338" s="46" t="n"/>
      <c r="B338" s="47" t="n"/>
      <c r="C338" s="47" t="n"/>
      <c r="D338" s="47" t="n"/>
      <c r="E338" s="50">
        <f>IFERROR(INDEX(الموظفون_الاسم,MATCH($D338,الموظفون_الرقم,0)),"")</f>
        <v/>
      </c>
      <c r="F338" s="112" t="n"/>
      <c r="G338" s="47" t="n"/>
      <c r="H338" s="112" t="n"/>
      <c r="I338" s="47" t="n"/>
      <c r="J338" s="47" t="n"/>
      <c r="K338" s="47" t="n"/>
    </row>
    <row r="339">
      <c r="A339" s="39" t="n"/>
      <c r="B339" s="40" t="n"/>
      <c r="C339" s="40" t="n"/>
      <c r="D339" s="40" t="n"/>
      <c r="E339" s="43">
        <f>IFERROR(INDEX(الموظفون_الاسم,MATCH($D339,الموظفون_الرقم,0)),"")</f>
        <v/>
      </c>
      <c r="F339" s="110" t="n"/>
      <c r="G339" s="40" t="n"/>
      <c r="H339" s="110" t="n"/>
      <c r="I339" s="40" t="n"/>
      <c r="J339" s="40" t="n"/>
      <c r="K339" s="40" t="n"/>
    </row>
    <row r="340">
      <c r="A340" s="46" t="n"/>
      <c r="B340" s="47" t="n"/>
      <c r="C340" s="47" t="n"/>
      <c r="D340" s="47" t="n"/>
      <c r="E340" s="50">
        <f>IFERROR(INDEX(الموظفون_الاسم,MATCH($D340,الموظفون_الرقم,0)),"")</f>
        <v/>
      </c>
      <c r="F340" s="112" t="n"/>
      <c r="G340" s="47" t="n"/>
      <c r="H340" s="112" t="n"/>
      <c r="I340" s="47" t="n"/>
      <c r="J340" s="47" t="n"/>
      <c r="K340" s="47" t="n"/>
    </row>
    <row r="341">
      <c r="A341" s="39" t="n"/>
      <c r="B341" s="40" t="n"/>
      <c r="C341" s="40" t="n"/>
      <c r="D341" s="40" t="n"/>
      <c r="E341" s="43">
        <f>IFERROR(INDEX(الموظفون_الاسم,MATCH($D341,الموظفون_الرقم,0)),"")</f>
        <v/>
      </c>
      <c r="F341" s="110" t="n"/>
      <c r="G341" s="40" t="n"/>
      <c r="H341" s="110" t="n"/>
      <c r="I341" s="40" t="n"/>
      <c r="J341" s="40" t="n"/>
      <c r="K341" s="40" t="n"/>
    </row>
    <row r="342">
      <c r="A342" s="46" t="n"/>
      <c r="B342" s="47" t="n"/>
      <c r="C342" s="47" t="n"/>
      <c r="D342" s="47" t="n"/>
      <c r="E342" s="50">
        <f>IFERROR(INDEX(الموظفون_الاسم,MATCH($D342,الموظفون_الرقم,0)),"")</f>
        <v/>
      </c>
      <c r="F342" s="112" t="n"/>
      <c r="G342" s="47" t="n"/>
      <c r="H342" s="112" t="n"/>
      <c r="I342" s="47" t="n"/>
      <c r="J342" s="47" t="n"/>
      <c r="K342" s="47" t="n"/>
    </row>
    <row r="343">
      <c r="A343" s="39" t="n"/>
      <c r="B343" s="40" t="n"/>
      <c r="C343" s="40" t="n"/>
      <c r="D343" s="40" t="n"/>
      <c r="E343" s="43">
        <f>IFERROR(INDEX(الموظفون_الاسم,MATCH($D343,الموظفون_الرقم,0)),"")</f>
        <v/>
      </c>
      <c r="F343" s="110" t="n"/>
      <c r="G343" s="40" t="n"/>
      <c r="H343" s="110" t="n"/>
      <c r="I343" s="40" t="n"/>
      <c r="J343" s="40" t="n"/>
      <c r="K343" s="40" t="n"/>
    </row>
    <row r="344">
      <c r="A344" s="46" t="n"/>
      <c r="B344" s="47" t="n"/>
      <c r="C344" s="47" t="n"/>
      <c r="D344" s="47" t="n"/>
      <c r="E344" s="50">
        <f>IFERROR(INDEX(الموظفون_الاسم,MATCH($D344,الموظفون_الرقم,0)),"")</f>
        <v/>
      </c>
      <c r="F344" s="112" t="n"/>
      <c r="G344" s="47" t="n"/>
      <c r="H344" s="112" t="n"/>
      <c r="I344" s="47" t="n"/>
      <c r="J344" s="47" t="n"/>
      <c r="K344" s="47" t="n"/>
    </row>
    <row r="345">
      <c r="A345" s="39" t="n"/>
      <c r="B345" s="40" t="n"/>
      <c r="C345" s="40" t="n"/>
      <c r="D345" s="40" t="n"/>
      <c r="E345" s="43">
        <f>IFERROR(INDEX(الموظفون_الاسم,MATCH($D345,الموظفون_الرقم,0)),"")</f>
        <v/>
      </c>
      <c r="F345" s="110" t="n"/>
      <c r="G345" s="40" t="n"/>
      <c r="H345" s="110" t="n"/>
      <c r="I345" s="40" t="n"/>
      <c r="J345" s="40" t="n"/>
      <c r="K345" s="40" t="n"/>
    </row>
    <row r="346">
      <c r="A346" s="46" t="n"/>
      <c r="B346" s="47" t="n"/>
      <c r="C346" s="47" t="n"/>
      <c r="D346" s="47" t="n"/>
      <c r="E346" s="50">
        <f>IFERROR(INDEX(الموظفون_الاسم,MATCH($D346,الموظفون_الرقم,0)),"")</f>
        <v/>
      </c>
      <c r="F346" s="112" t="n"/>
      <c r="G346" s="47" t="n"/>
      <c r="H346" s="112" t="n"/>
      <c r="I346" s="47" t="n"/>
      <c r="J346" s="47" t="n"/>
      <c r="K346" s="47" t="n"/>
    </row>
    <row r="347">
      <c r="A347" s="39" t="n"/>
      <c r="B347" s="40" t="n"/>
      <c r="C347" s="40" t="n"/>
      <c r="D347" s="40" t="n"/>
      <c r="E347" s="43">
        <f>IFERROR(INDEX(الموظفون_الاسم,MATCH($D347,الموظفون_الرقم,0)),"")</f>
        <v/>
      </c>
      <c r="F347" s="110" t="n"/>
      <c r="G347" s="40" t="n"/>
      <c r="H347" s="110" t="n"/>
      <c r="I347" s="40" t="n"/>
      <c r="J347" s="40" t="n"/>
      <c r="K347" s="40" t="n"/>
    </row>
    <row r="348">
      <c r="A348" s="46" t="n"/>
      <c r="B348" s="47" t="n"/>
      <c r="C348" s="47" t="n"/>
      <c r="D348" s="47" t="n"/>
      <c r="E348" s="50">
        <f>IFERROR(INDEX(الموظفون_الاسم,MATCH($D348,الموظفون_الرقم,0)),"")</f>
        <v/>
      </c>
      <c r="F348" s="112" t="n"/>
      <c r="G348" s="47" t="n"/>
      <c r="H348" s="112" t="n"/>
      <c r="I348" s="47" t="n"/>
      <c r="J348" s="47" t="n"/>
      <c r="K348" s="47" t="n"/>
    </row>
    <row r="349">
      <c r="A349" s="39" t="n"/>
      <c r="B349" s="40" t="n"/>
      <c r="C349" s="40" t="n"/>
      <c r="D349" s="40" t="n"/>
      <c r="E349" s="43">
        <f>IFERROR(INDEX(الموظفون_الاسم,MATCH($D349,الموظفون_الرقم,0)),"")</f>
        <v/>
      </c>
      <c r="F349" s="110" t="n"/>
      <c r="G349" s="40" t="n"/>
      <c r="H349" s="110" t="n"/>
      <c r="I349" s="40" t="n"/>
      <c r="J349" s="40" t="n"/>
      <c r="K349" s="40" t="n"/>
    </row>
    <row r="350">
      <c r="A350" s="46" t="n"/>
      <c r="B350" s="47" t="n"/>
      <c r="C350" s="47" t="n"/>
      <c r="D350" s="47" t="n"/>
      <c r="E350" s="50">
        <f>IFERROR(INDEX(الموظفون_الاسم,MATCH($D350,الموظفون_الرقم,0)),"")</f>
        <v/>
      </c>
      <c r="F350" s="112" t="n"/>
      <c r="G350" s="47" t="n"/>
      <c r="H350" s="112" t="n"/>
      <c r="I350" s="47" t="n"/>
      <c r="J350" s="47" t="n"/>
      <c r="K350" s="47" t="n"/>
    </row>
    <row r="351">
      <c r="A351" s="39" t="n"/>
      <c r="B351" s="40" t="n"/>
      <c r="C351" s="40" t="n"/>
      <c r="D351" s="40" t="n"/>
      <c r="E351" s="43">
        <f>IFERROR(INDEX(الموظفون_الاسم,MATCH($D351,الموظفون_الرقم,0)),"")</f>
        <v/>
      </c>
      <c r="F351" s="110" t="n"/>
      <c r="G351" s="40" t="n"/>
      <c r="H351" s="110" t="n"/>
      <c r="I351" s="40" t="n"/>
      <c r="J351" s="40" t="n"/>
      <c r="K351" s="40" t="n"/>
    </row>
    <row r="352">
      <c r="A352" s="46" t="n"/>
      <c r="B352" s="47" t="n"/>
      <c r="C352" s="47" t="n"/>
      <c r="D352" s="47" t="n"/>
      <c r="E352" s="50">
        <f>IFERROR(INDEX(الموظفون_الاسم,MATCH($D352,الموظفون_الرقم,0)),"")</f>
        <v/>
      </c>
      <c r="F352" s="112" t="n"/>
      <c r="G352" s="47" t="n"/>
      <c r="H352" s="112" t="n"/>
      <c r="I352" s="47" t="n"/>
      <c r="J352" s="47" t="n"/>
      <c r="K352" s="47" t="n"/>
    </row>
    <row r="353">
      <c r="A353" s="39" t="n"/>
      <c r="B353" s="40" t="n"/>
      <c r="C353" s="40" t="n"/>
      <c r="D353" s="40" t="n"/>
      <c r="E353" s="43">
        <f>IFERROR(INDEX(الموظفون_الاسم,MATCH($D353,الموظفون_الرقم,0)),"")</f>
        <v/>
      </c>
      <c r="F353" s="110" t="n"/>
      <c r="G353" s="40" t="n"/>
      <c r="H353" s="110" t="n"/>
      <c r="I353" s="40" t="n"/>
      <c r="J353" s="40" t="n"/>
      <c r="K353" s="40" t="n"/>
    </row>
    <row r="354">
      <c r="A354" s="46" t="n"/>
      <c r="B354" s="47" t="n"/>
      <c r="C354" s="47" t="n"/>
      <c r="D354" s="47" t="n"/>
      <c r="E354" s="50">
        <f>IFERROR(INDEX(الموظفون_الاسم,MATCH($D354,الموظفون_الرقم,0)),"")</f>
        <v/>
      </c>
      <c r="F354" s="112" t="n"/>
      <c r="G354" s="47" t="n"/>
      <c r="H354" s="112" t="n"/>
      <c r="I354" s="47" t="n"/>
      <c r="J354" s="47" t="n"/>
      <c r="K354" s="47" t="n"/>
    </row>
    <row r="355">
      <c r="A355" s="39" t="n"/>
      <c r="B355" s="40" t="n"/>
      <c r="C355" s="40" t="n"/>
      <c r="D355" s="40" t="n"/>
      <c r="E355" s="43">
        <f>IFERROR(INDEX(الموظفون_الاسم,MATCH($D355,الموظفون_الرقم,0)),"")</f>
        <v/>
      </c>
      <c r="F355" s="110" t="n"/>
      <c r="G355" s="40" t="n"/>
      <c r="H355" s="110" t="n"/>
      <c r="I355" s="40" t="n"/>
      <c r="J355" s="40" t="n"/>
      <c r="K355" s="40" t="n"/>
    </row>
    <row r="356">
      <c r="A356" s="46" t="n"/>
      <c r="B356" s="47" t="n"/>
      <c r="C356" s="47" t="n"/>
      <c r="D356" s="47" t="n"/>
      <c r="E356" s="50">
        <f>IFERROR(INDEX(الموظفون_الاسم,MATCH($D356,الموظفون_الرقم,0)),"")</f>
        <v/>
      </c>
      <c r="F356" s="112" t="n"/>
      <c r="G356" s="47" t="n"/>
      <c r="H356" s="112" t="n"/>
      <c r="I356" s="47" t="n"/>
      <c r="J356" s="47" t="n"/>
      <c r="K356" s="47" t="n"/>
    </row>
    <row r="357">
      <c r="A357" s="39" t="n"/>
      <c r="B357" s="40" t="n"/>
      <c r="C357" s="40" t="n"/>
      <c r="D357" s="40" t="n"/>
      <c r="E357" s="43">
        <f>IFERROR(INDEX(الموظفون_الاسم,MATCH($D357,الموظفون_الرقم,0)),"")</f>
        <v/>
      </c>
      <c r="F357" s="110" t="n"/>
      <c r="G357" s="40" t="n"/>
      <c r="H357" s="110" t="n"/>
      <c r="I357" s="40" t="n"/>
      <c r="J357" s="40" t="n"/>
      <c r="K357" s="40" t="n"/>
    </row>
    <row r="358">
      <c r="A358" s="46" t="n"/>
      <c r="B358" s="47" t="n"/>
      <c r="C358" s="47" t="n"/>
      <c r="D358" s="47" t="n"/>
      <c r="E358" s="50">
        <f>IFERROR(INDEX(الموظفون_الاسم,MATCH($D358,الموظفون_الرقم,0)),"")</f>
        <v/>
      </c>
      <c r="F358" s="112" t="n"/>
      <c r="G358" s="47" t="n"/>
      <c r="H358" s="112" t="n"/>
      <c r="I358" s="47" t="n"/>
      <c r="J358" s="47" t="n"/>
      <c r="K358" s="47" t="n"/>
    </row>
    <row r="359">
      <c r="A359" s="39" t="n"/>
      <c r="B359" s="40" t="n"/>
      <c r="C359" s="40" t="n"/>
      <c r="D359" s="40" t="n"/>
      <c r="E359" s="43">
        <f>IFERROR(INDEX(الموظفون_الاسم,MATCH($D359,الموظفون_الرقم,0)),"")</f>
        <v/>
      </c>
      <c r="F359" s="110" t="n"/>
      <c r="G359" s="40" t="n"/>
      <c r="H359" s="110" t="n"/>
      <c r="I359" s="40" t="n"/>
      <c r="J359" s="40" t="n"/>
      <c r="K359" s="40" t="n"/>
    </row>
    <row r="360">
      <c r="A360" s="46" t="n"/>
      <c r="B360" s="47" t="n"/>
      <c r="C360" s="47" t="n"/>
      <c r="D360" s="47" t="n"/>
      <c r="E360" s="50">
        <f>IFERROR(INDEX(الموظفون_الاسم,MATCH($D360,الموظفون_الرقم,0)),"")</f>
        <v/>
      </c>
      <c r="F360" s="112" t="n"/>
      <c r="G360" s="47" t="n"/>
      <c r="H360" s="112" t="n"/>
      <c r="I360" s="47" t="n"/>
      <c r="J360" s="47" t="n"/>
      <c r="K360" s="47" t="n"/>
    </row>
    <row r="361">
      <c r="A361" s="39" t="n"/>
      <c r="B361" s="40" t="n"/>
      <c r="C361" s="40" t="n"/>
      <c r="D361" s="40" t="n"/>
      <c r="E361" s="43">
        <f>IFERROR(INDEX(الموظفون_الاسم,MATCH($D361,الموظفون_الرقم,0)),"")</f>
        <v/>
      </c>
      <c r="F361" s="110" t="n"/>
      <c r="G361" s="40" t="n"/>
      <c r="H361" s="110" t="n"/>
      <c r="I361" s="40" t="n"/>
      <c r="J361" s="40" t="n"/>
      <c r="K361" s="40" t="n"/>
    </row>
    <row r="362">
      <c r="A362" s="46" t="n"/>
      <c r="B362" s="47" t="n"/>
      <c r="C362" s="47" t="n"/>
      <c r="D362" s="47" t="n"/>
      <c r="E362" s="50">
        <f>IFERROR(INDEX(الموظفون_الاسم,MATCH($D362,الموظفون_الرقم,0)),"")</f>
        <v/>
      </c>
      <c r="F362" s="112" t="n"/>
      <c r="G362" s="47" t="n"/>
      <c r="H362" s="112" t="n"/>
      <c r="I362" s="47" t="n"/>
      <c r="J362" s="47" t="n"/>
      <c r="K362" s="47" t="n"/>
    </row>
    <row r="363">
      <c r="A363" s="39" t="n"/>
      <c r="B363" s="40" t="n"/>
      <c r="C363" s="40" t="n"/>
      <c r="D363" s="40" t="n"/>
      <c r="E363" s="43">
        <f>IFERROR(INDEX(الموظفون_الاسم,MATCH($D363,الموظفون_الرقم,0)),"")</f>
        <v/>
      </c>
      <c r="F363" s="110" t="n"/>
      <c r="G363" s="40" t="n"/>
      <c r="H363" s="110" t="n"/>
      <c r="I363" s="40" t="n"/>
      <c r="J363" s="40" t="n"/>
      <c r="K363" s="40" t="n"/>
    </row>
    <row r="364">
      <c r="A364" s="46" t="n"/>
      <c r="B364" s="47" t="n"/>
      <c r="C364" s="47" t="n"/>
      <c r="D364" s="47" t="n"/>
      <c r="E364" s="50">
        <f>IFERROR(INDEX(الموظفون_الاسم,MATCH($D364,الموظفون_الرقم,0)),"")</f>
        <v/>
      </c>
      <c r="F364" s="112" t="n"/>
      <c r="G364" s="47" t="n"/>
      <c r="H364" s="112" t="n"/>
      <c r="I364" s="47" t="n"/>
      <c r="J364" s="47" t="n"/>
      <c r="K364" s="47" t="n"/>
    </row>
    <row r="365">
      <c r="A365" s="39" t="n"/>
      <c r="B365" s="40" t="n"/>
      <c r="C365" s="40" t="n"/>
      <c r="D365" s="40" t="n"/>
      <c r="E365" s="43">
        <f>IFERROR(INDEX(الموظفون_الاسم,MATCH($D365,الموظفون_الرقم,0)),"")</f>
        <v/>
      </c>
      <c r="F365" s="110" t="n"/>
      <c r="G365" s="40" t="n"/>
      <c r="H365" s="110" t="n"/>
      <c r="I365" s="40" t="n"/>
      <c r="J365" s="40" t="n"/>
      <c r="K365" s="40" t="n"/>
    </row>
    <row r="366">
      <c r="A366" s="46" t="n"/>
      <c r="B366" s="47" t="n"/>
      <c r="C366" s="47" t="n"/>
      <c r="D366" s="47" t="n"/>
      <c r="E366" s="50">
        <f>IFERROR(INDEX(الموظفون_الاسم,MATCH($D366,الموظفون_الرقم,0)),"")</f>
        <v/>
      </c>
      <c r="F366" s="112" t="n"/>
      <c r="G366" s="47" t="n"/>
      <c r="H366" s="112" t="n"/>
      <c r="I366" s="47" t="n"/>
      <c r="J366" s="47" t="n"/>
      <c r="K366" s="47" t="n"/>
    </row>
    <row r="367">
      <c r="A367" s="39" t="n"/>
      <c r="B367" s="40" t="n"/>
      <c r="C367" s="40" t="n"/>
      <c r="D367" s="40" t="n"/>
      <c r="E367" s="43">
        <f>IFERROR(INDEX(الموظفون_الاسم,MATCH($D367,الموظفون_الرقم,0)),"")</f>
        <v/>
      </c>
      <c r="F367" s="110" t="n"/>
      <c r="G367" s="40" t="n"/>
      <c r="H367" s="110" t="n"/>
      <c r="I367" s="40" t="n"/>
      <c r="J367" s="40" t="n"/>
      <c r="K367" s="40" t="n"/>
    </row>
    <row r="368">
      <c r="A368" s="46" t="n"/>
      <c r="B368" s="47" t="n"/>
      <c r="C368" s="47" t="n"/>
      <c r="D368" s="47" t="n"/>
      <c r="E368" s="50">
        <f>IFERROR(INDEX(الموظفون_الاسم,MATCH($D368,الموظفون_الرقم,0)),"")</f>
        <v/>
      </c>
      <c r="F368" s="112" t="n"/>
      <c r="G368" s="47" t="n"/>
      <c r="H368" s="112" t="n"/>
      <c r="I368" s="47" t="n"/>
      <c r="J368" s="47" t="n"/>
      <c r="K368" s="47" t="n"/>
    </row>
    <row r="369">
      <c r="A369" s="39" t="n"/>
      <c r="B369" s="40" t="n"/>
      <c r="C369" s="40" t="n"/>
      <c r="D369" s="40" t="n"/>
      <c r="E369" s="43">
        <f>IFERROR(INDEX(الموظفون_الاسم,MATCH($D369,الموظفون_الرقم,0)),"")</f>
        <v/>
      </c>
      <c r="F369" s="110" t="n"/>
      <c r="G369" s="40" t="n"/>
      <c r="H369" s="110" t="n"/>
      <c r="I369" s="40" t="n"/>
      <c r="J369" s="40" t="n"/>
      <c r="K369" s="40" t="n"/>
    </row>
    <row r="370">
      <c r="A370" s="46" t="n"/>
      <c r="B370" s="47" t="n"/>
      <c r="C370" s="47" t="n"/>
      <c r="D370" s="47" t="n"/>
      <c r="E370" s="50">
        <f>IFERROR(INDEX(الموظفون_الاسم,MATCH($D370,الموظفون_الرقم,0)),"")</f>
        <v/>
      </c>
      <c r="F370" s="112" t="n"/>
      <c r="G370" s="47" t="n"/>
      <c r="H370" s="112" t="n"/>
      <c r="I370" s="47" t="n"/>
      <c r="J370" s="47" t="n"/>
      <c r="K370" s="47" t="n"/>
    </row>
    <row r="371">
      <c r="A371" s="39" t="n"/>
      <c r="B371" s="40" t="n"/>
      <c r="C371" s="40" t="n"/>
      <c r="D371" s="40" t="n"/>
      <c r="E371" s="43">
        <f>IFERROR(INDEX(الموظفون_الاسم,MATCH($D371,الموظفون_الرقم,0)),"")</f>
        <v/>
      </c>
      <c r="F371" s="110" t="n"/>
      <c r="G371" s="40" t="n"/>
      <c r="H371" s="110" t="n"/>
      <c r="I371" s="40" t="n"/>
      <c r="J371" s="40" t="n"/>
      <c r="K371" s="40" t="n"/>
    </row>
    <row r="372">
      <c r="A372" s="46" t="n"/>
      <c r="B372" s="47" t="n"/>
      <c r="C372" s="47" t="n"/>
      <c r="D372" s="47" t="n"/>
      <c r="E372" s="50">
        <f>IFERROR(INDEX(الموظفون_الاسم,MATCH($D372,الموظفون_الرقم,0)),"")</f>
        <v/>
      </c>
      <c r="F372" s="112" t="n"/>
      <c r="G372" s="47" t="n"/>
      <c r="H372" s="112" t="n"/>
      <c r="I372" s="47" t="n"/>
      <c r="J372" s="47" t="n"/>
      <c r="K372" s="47" t="n"/>
    </row>
    <row r="373">
      <c r="A373" s="39" t="n"/>
      <c r="B373" s="40" t="n"/>
      <c r="C373" s="40" t="n"/>
      <c r="D373" s="40" t="n"/>
      <c r="E373" s="43">
        <f>IFERROR(INDEX(الموظفون_الاسم,MATCH($D373,الموظفون_الرقم,0)),"")</f>
        <v/>
      </c>
      <c r="F373" s="110" t="n"/>
      <c r="G373" s="40" t="n"/>
      <c r="H373" s="110" t="n"/>
      <c r="I373" s="40" t="n"/>
      <c r="J373" s="40" t="n"/>
      <c r="K373" s="40" t="n"/>
    </row>
    <row r="374">
      <c r="A374" s="46" t="n"/>
      <c r="B374" s="47" t="n"/>
      <c r="C374" s="47" t="n"/>
      <c r="D374" s="47" t="n"/>
      <c r="E374" s="50">
        <f>IFERROR(INDEX(الموظفون_الاسم,MATCH($D374,الموظفون_الرقم,0)),"")</f>
        <v/>
      </c>
      <c r="F374" s="112" t="n"/>
      <c r="G374" s="47" t="n"/>
      <c r="H374" s="112" t="n"/>
      <c r="I374" s="47" t="n"/>
      <c r="J374" s="47" t="n"/>
      <c r="K374" s="47" t="n"/>
    </row>
    <row r="375">
      <c r="A375" s="39" t="n"/>
      <c r="B375" s="40" t="n"/>
      <c r="C375" s="40" t="n"/>
      <c r="D375" s="40" t="n"/>
      <c r="E375" s="43">
        <f>IFERROR(INDEX(الموظفون_الاسم,MATCH($D375,الموظفون_الرقم,0)),"")</f>
        <v/>
      </c>
      <c r="F375" s="110" t="n"/>
      <c r="G375" s="40" t="n"/>
      <c r="H375" s="110" t="n"/>
      <c r="I375" s="40" t="n"/>
      <c r="J375" s="40" t="n"/>
      <c r="K375" s="40" t="n"/>
    </row>
    <row r="376">
      <c r="A376" s="46" t="n"/>
      <c r="B376" s="47" t="n"/>
      <c r="C376" s="47" t="n"/>
      <c r="D376" s="47" t="n"/>
      <c r="E376" s="50">
        <f>IFERROR(INDEX(الموظفون_الاسم,MATCH($D376,الموظفون_الرقم,0)),"")</f>
        <v/>
      </c>
      <c r="F376" s="112" t="n"/>
      <c r="G376" s="47" t="n"/>
      <c r="H376" s="112" t="n"/>
      <c r="I376" s="47" t="n"/>
      <c r="J376" s="47" t="n"/>
      <c r="K376" s="47" t="n"/>
    </row>
    <row r="377">
      <c r="A377" s="39" t="n"/>
      <c r="B377" s="40" t="n"/>
      <c r="C377" s="40" t="n"/>
      <c r="D377" s="40" t="n"/>
      <c r="E377" s="43">
        <f>IFERROR(INDEX(الموظفون_الاسم,MATCH($D377,الموظفون_الرقم,0)),"")</f>
        <v/>
      </c>
      <c r="F377" s="110" t="n"/>
      <c r="G377" s="40" t="n"/>
      <c r="H377" s="110" t="n"/>
      <c r="I377" s="40" t="n"/>
      <c r="J377" s="40" t="n"/>
      <c r="K377" s="40" t="n"/>
    </row>
    <row r="378">
      <c r="A378" s="46" t="n"/>
      <c r="B378" s="47" t="n"/>
      <c r="C378" s="47" t="n"/>
      <c r="D378" s="47" t="n"/>
      <c r="E378" s="50">
        <f>IFERROR(INDEX(الموظفون_الاسم,MATCH($D378,الموظفون_الرقم,0)),"")</f>
        <v/>
      </c>
      <c r="F378" s="112" t="n"/>
      <c r="G378" s="47" t="n"/>
      <c r="H378" s="112" t="n"/>
      <c r="I378" s="47" t="n"/>
      <c r="J378" s="47" t="n"/>
      <c r="K378" s="47" t="n"/>
    </row>
    <row r="379">
      <c r="A379" s="39" t="n"/>
      <c r="B379" s="40" t="n"/>
      <c r="C379" s="40" t="n"/>
      <c r="D379" s="40" t="n"/>
      <c r="E379" s="43">
        <f>IFERROR(INDEX(الموظفون_الاسم,MATCH($D379,الموظفون_الرقم,0)),"")</f>
        <v/>
      </c>
      <c r="F379" s="110" t="n"/>
      <c r="G379" s="40" t="n"/>
      <c r="H379" s="110" t="n"/>
      <c r="I379" s="40" t="n"/>
      <c r="J379" s="40" t="n"/>
      <c r="K379" s="40" t="n"/>
    </row>
    <row r="380">
      <c r="A380" s="46" t="n"/>
      <c r="B380" s="47" t="n"/>
      <c r="C380" s="47" t="n"/>
      <c r="D380" s="47" t="n"/>
      <c r="E380" s="50">
        <f>IFERROR(INDEX(الموظفون_الاسم,MATCH($D380,الموظفون_الرقم,0)),"")</f>
        <v/>
      </c>
      <c r="F380" s="112" t="n"/>
      <c r="G380" s="47" t="n"/>
      <c r="H380" s="112" t="n"/>
      <c r="I380" s="47" t="n"/>
      <c r="J380" s="47" t="n"/>
      <c r="K380" s="47" t="n"/>
    </row>
    <row r="381">
      <c r="A381" s="39" t="n"/>
      <c r="B381" s="40" t="n"/>
      <c r="C381" s="40" t="n"/>
      <c r="D381" s="40" t="n"/>
      <c r="E381" s="43">
        <f>IFERROR(INDEX(الموظفون_الاسم,MATCH($D381,الموظفون_الرقم,0)),"")</f>
        <v/>
      </c>
      <c r="F381" s="110" t="n"/>
      <c r="G381" s="40" t="n"/>
      <c r="H381" s="110" t="n"/>
      <c r="I381" s="40" t="n"/>
      <c r="J381" s="40" t="n"/>
      <c r="K381" s="40" t="n"/>
    </row>
    <row r="382">
      <c r="A382" s="46" t="n"/>
      <c r="B382" s="47" t="n"/>
      <c r="C382" s="47" t="n"/>
      <c r="D382" s="47" t="n"/>
      <c r="E382" s="50">
        <f>IFERROR(INDEX(الموظفون_الاسم,MATCH($D382,الموظفون_الرقم,0)),"")</f>
        <v/>
      </c>
      <c r="F382" s="112" t="n"/>
      <c r="G382" s="47" t="n"/>
      <c r="H382" s="112" t="n"/>
      <c r="I382" s="47" t="n"/>
      <c r="J382" s="47" t="n"/>
      <c r="K382" s="47" t="n"/>
    </row>
    <row r="383">
      <c r="A383" s="39" t="n"/>
      <c r="B383" s="40" t="n"/>
      <c r="C383" s="40" t="n"/>
      <c r="D383" s="40" t="n"/>
      <c r="E383" s="43">
        <f>IFERROR(INDEX(الموظفون_الاسم,MATCH($D383,الموظفون_الرقم,0)),"")</f>
        <v/>
      </c>
      <c r="F383" s="110" t="n"/>
      <c r="G383" s="40" t="n"/>
      <c r="H383" s="110" t="n"/>
      <c r="I383" s="40" t="n"/>
      <c r="J383" s="40" t="n"/>
      <c r="K383" s="40" t="n"/>
    </row>
    <row r="384">
      <c r="A384" s="46" t="n"/>
      <c r="B384" s="47" t="n"/>
      <c r="C384" s="47" t="n"/>
      <c r="D384" s="47" t="n"/>
      <c r="E384" s="50">
        <f>IFERROR(INDEX(الموظفون_الاسم,MATCH($D384,الموظفون_الرقم,0)),"")</f>
        <v/>
      </c>
      <c r="F384" s="112" t="n"/>
      <c r="G384" s="47" t="n"/>
      <c r="H384" s="112" t="n"/>
      <c r="I384" s="47" t="n"/>
      <c r="J384" s="47" t="n"/>
      <c r="K384" s="47" t="n"/>
    </row>
    <row r="385">
      <c r="A385" s="39" t="n"/>
      <c r="B385" s="40" t="n"/>
      <c r="C385" s="40" t="n"/>
      <c r="D385" s="40" t="n"/>
      <c r="E385" s="43">
        <f>IFERROR(INDEX(الموظفون_الاسم,MATCH($D385,الموظفون_الرقم,0)),"")</f>
        <v/>
      </c>
      <c r="F385" s="110" t="n"/>
      <c r="G385" s="40" t="n"/>
      <c r="H385" s="110" t="n"/>
      <c r="I385" s="40" t="n"/>
      <c r="J385" s="40" t="n"/>
      <c r="K385" s="40" t="n"/>
    </row>
    <row r="386">
      <c r="A386" s="46" t="n"/>
      <c r="B386" s="47" t="n"/>
      <c r="C386" s="47" t="n"/>
      <c r="D386" s="47" t="n"/>
      <c r="E386" s="50">
        <f>IFERROR(INDEX(الموظفون_الاسم,MATCH($D386,الموظفون_الرقم,0)),"")</f>
        <v/>
      </c>
      <c r="F386" s="112" t="n"/>
      <c r="G386" s="47" t="n"/>
      <c r="H386" s="112" t="n"/>
      <c r="I386" s="47" t="n"/>
      <c r="J386" s="47" t="n"/>
      <c r="K386" s="47" t="n"/>
    </row>
    <row r="387">
      <c r="A387" s="39" t="n"/>
      <c r="B387" s="40" t="n"/>
      <c r="C387" s="40" t="n"/>
      <c r="D387" s="40" t="n"/>
      <c r="E387" s="43">
        <f>IFERROR(INDEX(الموظفون_الاسم,MATCH($D387,الموظفون_الرقم,0)),"")</f>
        <v/>
      </c>
      <c r="F387" s="110" t="n"/>
      <c r="G387" s="40" t="n"/>
      <c r="H387" s="110" t="n"/>
      <c r="I387" s="40" t="n"/>
      <c r="J387" s="40" t="n"/>
      <c r="K387" s="40" t="n"/>
    </row>
    <row r="388">
      <c r="A388" s="46" t="n"/>
      <c r="B388" s="47" t="n"/>
      <c r="C388" s="47" t="n"/>
      <c r="D388" s="47" t="n"/>
      <c r="E388" s="50">
        <f>IFERROR(INDEX(الموظفون_الاسم,MATCH($D388,الموظفون_الرقم,0)),"")</f>
        <v/>
      </c>
      <c r="F388" s="112" t="n"/>
      <c r="G388" s="47" t="n"/>
      <c r="H388" s="112" t="n"/>
      <c r="I388" s="47" t="n"/>
      <c r="J388" s="47" t="n"/>
      <c r="K388" s="47" t="n"/>
    </row>
    <row r="389">
      <c r="A389" s="39" t="n"/>
      <c r="B389" s="40" t="n"/>
      <c r="C389" s="40" t="n"/>
      <c r="D389" s="40" t="n"/>
      <c r="E389" s="43">
        <f>IFERROR(INDEX(الموظفون_الاسم,MATCH($D389,الموظفون_الرقم,0)),"")</f>
        <v/>
      </c>
      <c r="F389" s="110" t="n"/>
      <c r="G389" s="40" t="n"/>
      <c r="H389" s="110" t="n"/>
      <c r="I389" s="40" t="n"/>
      <c r="J389" s="40" t="n"/>
      <c r="K389" s="40" t="n"/>
    </row>
    <row r="390">
      <c r="A390" s="46" t="n"/>
      <c r="B390" s="47" t="n"/>
      <c r="C390" s="47" t="n"/>
      <c r="D390" s="47" t="n"/>
      <c r="E390" s="50">
        <f>IFERROR(INDEX(الموظفون_الاسم,MATCH($D390,الموظفون_الرقم,0)),"")</f>
        <v/>
      </c>
      <c r="F390" s="112" t="n"/>
      <c r="G390" s="47" t="n"/>
      <c r="H390" s="112" t="n"/>
      <c r="I390" s="47" t="n"/>
      <c r="J390" s="47" t="n"/>
      <c r="K390" s="47" t="n"/>
    </row>
    <row r="391">
      <c r="A391" s="39" t="n"/>
      <c r="B391" s="40" t="n"/>
      <c r="C391" s="40" t="n"/>
      <c r="D391" s="40" t="n"/>
      <c r="E391" s="43">
        <f>IFERROR(INDEX(الموظفون_الاسم,MATCH($D391,الموظفون_الرقم,0)),"")</f>
        <v/>
      </c>
      <c r="F391" s="110" t="n"/>
      <c r="G391" s="40" t="n"/>
      <c r="H391" s="110" t="n"/>
      <c r="I391" s="40" t="n"/>
      <c r="J391" s="40" t="n"/>
      <c r="K391" s="40" t="n"/>
    </row>
    <row r="392">
      <c r="A392" s="46" t="n"/>
      <c r="B392" s="47" t="n"/>
      <c r="C392" s="47" t="n"/>
      <c r="D392" s="47" t="n"/>
      <c r="E392" s="50">
        <f>IFERROR(INDEX(الموظفون_الاسم,MATCH($D392,الموظفون_الرقم,0)),"")</f>
        <v/>
      </c>
      <c r="F392" s="112" t="n"/>
      <c r="G392" s="47" t="n"/>
      <c r="H392" s="112" t="n"/>
      <c r="I392" s="47" t="n"/>
      <c r="J392" s="47" t="n"/>
      <c r="K392" s="47" t="n"/>
    </row>
    <row r="393">
      <c r="A393" s="39" t="n"/>
      <c r="B393" s="40" t="n"/>
      <c r="C393" s="40" t="n"/>
      <c r="D393" s="40" t="n"/>
      <c r="E393" s="43">
        <f>IFERROR(INDEX(الموظفون_الاسم,MATCH($D393,الموظفون_الرقم,0)),"")</f>
        <v/>
      </c>
      <c r="F393" s="110" t="n"/>
      <c r="G393" s="40" t="n"/>
      <c r="H393" s="110" t="n"/>
      <c r="I393" s="40" t="n"/>
      <c r="J393" s="40" t="n"/>
      <c r="K393" s="40" t="n"/>
    </row>
    <row r="394">
      <c r="A394" s="46" t="n"/>
      <c r="B394" s="47" t="n"/>
      <c r="C394" s="47" t="n"/>
      <c r="D394" s="47" t="n"/>
      <c r="E394" s="50">
        <f>IFERROR(INDEX(الموظفون_الاسم,MATCH($D394,الموظفون_الرقم,0)),"")</f>
        <v/>
      </c>
      <c r="F394" s="112" t="n"/>
      <c r="G394" s="47" t="n"/>
      <c r="H394" s="112" t="n"/>
      <c r="I394" s="47" t="n"/>
      <c r="J394" s="47" t="n"/>
      <c r="K394" s="47" t="n"/>
    </row>
    <row r="395">
      <c r="A395" s="39" t="n"/>
      <c r="B395" s="40" t="n"/>
      <c r="C395" s="40" t="n"/>
      <c r="D395" s="40" t="n"/>
      <c r="E395" s="43">
        <f>IFERROR(INDEX(الموظفون_الاسم,MATCH($D395,الموظفون_الرقم,0)),"")</f>
        <v/>
      </c>
      <c r="F395" s="110" t="n"/>
      <c r="G395" s="40" t="n"/>
      <c r="H395" s="110" t="n"/>
      <c r="I395" s="40" t="n"/>
      <c r="J395" s="40" t="n"/>
      <c r="K395" s="40" t="n"/>
    </row>
    <row r="396">
      <c r="A396" s="46" t="n"/>
      <c r="B396" s="47" t="n"/>
      <c r="C396" s="47" t="n"/>
      <c r="D396" s="47" t="n"/>
      <c r="E396" s="50">
        <f>IFERROR(INDEX(الموظفون_الاسم,MATCH($D396,الموظفون_الرقم,0)),"")</f>
        <v/>
      </c>
      <c r="F396" s="112" t="n"/>
      <c r="G396" s="47" t="n"/>
      <c r="H396" s="112" t="n"/>
      <c r="I396" s="47" t="n"/>
      <c r="J396" s="47" t="n"/>
      <c r="K396" s="47" t="n"/>
    </row>
    <row r="397">
      <c r="A397" s="39" t="n"/>
      <c r="B397" s="40" t="n"/>
      <c r="C397" s="40" t="n"/>
      <c r="D397" s="40" t="n"/>
      <c r="E397" s="43">
        <f>IFERROR(INDEX(الموظفون_الاسم,MATCH($D397,الموظفون_الرقم,0)),"")</f>
        <v/>
      </c>
      <c r="F397" s="110" t="n"/>
      <c r="G397" s="40" t="n"/>
      <c r="H397" s="110" t="n"/>
      <c r="I397" s="40" t="n"/>
      <c r="J397" s="40" t="n"/>
      <c r="K397" s="40" t="n"/>
    </row>
    <row r="398">
      <c r="A398" s="46" t="n"/>
      <c r="B398" s="47" t="n"/>
      <c r="C398" s="47" t="n"/>
      <c r="D398" s="47" t="n"/>
      <c r="E398" s="50">
        <f>IFERROR(INDEX(الموظفون_الاسم,MATCH($D398,الموظفون_الرقم,0)),"")</f>
        <v/>
      </c>
      <c r="F398" s="112" t="n"/>
      <c r="G398" s="47" t="n"/>
      <c r="H398" s="112" t="n"/>
      <c r="I398" s="47" t="n"/>
      <c r="J398" s="47" t="n"/>
      <c r="K398" s="47" t="n"/>
    </row>
    <row r="399">
      <c r="A399" s="39" t="n"/>
      <c r="B399" s="40" t="n"/>
      <c r="C399" s="40" t="n"/>
      <c r="D399" s="40" t="n"/>
      <c r="E399" s="43">
        <f>IFERROR(INDEX(الموظفون_الاسم,MATCH($D399,الموظفون_الرقم,0)),"")</f>
        <v/>
      </c>
      <c r="F399" s="110" t="n"/>
      <c r="G399" s="40" t="n"/>
      <c r="H399" s="110" t="n"/>
      <c r="I399" s="40" t="n"/>
      <c r="J399" s="40" t="n"/>
      <c r="K399" s="40" t="n"/>
    </row>
    <row r="400">
      <c r="A400" s="46" t="n"/>
      <c r="B400" s="47" t="n"/>
      <c r="C400" s="47" t="n"/>
      <c r="D400" s="47" t="n"/>
      <c r="E400" s="50">
        <f>IFERROR(INDEX(الموظفون_الاسم,MATCH($D400,الموظفون_الرقم,0)),"")</f>
        <v/>
      </c>
      <c r="F400" s="112" t="n"/>
      <c r="G400" s="47" t="n"/>
      <c r="H400" s="112" t="n"/>
      <c r="I400" s="47" t="n"/>
      <c r="J400" s="47" t="n"/>
      <c r="K400" s="47" t="n"/>
    </row>
    <row r="401">
      <c r="A401" s="39" t="n"/>
      <c r="B401" s="40" t="n"/>
      <c r="C401" s="40" t="n"/>
      <c r="D401" s="40" t="n"/>
      <c r="E401" s="43">
        <f>IFERROR(INDEX(الموظفون_الاسم,MATCH($D401,الموظفون_الرقم,0)),"")</f>
        <v/>
      </c>
      <c r="F401" s="110" t="n"/>
      <c r="G401" s="40" t="n"/>
      <c r="H401" s="110" t="n"/>
      <c r="I401" s="40" t="n"/>
      <c r="J401" s="40" t="n"/>
      <c r="K401" s="40" t="n"/>
    </row>
    <row r="402">
      <c r="A402" s="46" t="n"/>
      <c r="B402" s="47" t="n"/>
      <c r="C402" s="47" t="n"/>
      <c r="D402" s="47" t="n"/>
      <c r="E402" s="50">
        <f>IFERROR(INDEX(الموظفون_الاسم,MATCH($D402,الموظفون_الرقم,0)),"")</f>
        <v/>
      </c>
      <c r="F402" s="112" t="n"/>
      <c r="G402" s="47" t="n"/>
      <c r="H402" s="112" t="n"/>
      <c r="I402" s="47" t="n"/>
      <c r="J402" s="47" t="n"/>
      <c r="K402" s="47" t="n"/>
    </row>
    <row r="403">
      <c r="A403" s="39" t="n"/>
      <c r="B403" s="40" t="n"/>
      <c r="C403" s="40" t="n"/>
      <c r="D403" s="40" t="n"/>
      <c r="E403" s="43">
        <f>IFERROR(INDEX(الموظفون_الاسم,MATCH($D403,الموظفون_الرقم,0)),"")</f>
        <v/>
      </c>
      <c r="F403" s="110" t="n"/>
      <c r="G403" s="40" t="n"/>
      <c r="H403" s="110" t="n"/>
      <c r="I403" s="40" t="n"/>
      <c r="J403" s="40" t="n"/>
      <c r="K403" s="40" t="n"/>
    </row>
    <row r="404">
      <c r="A404" s="46" t="n"/>
      <c r="B404" s="47" t="n"/>
      <c r="C404" s="47" t="n"/>
      <c r="D404" s="47" t="n"/>
      <c r="E404" s="50">
        <f>IFERROR(INDEX(الموظفون_الاسم,MATCH($D404,الموظفون_الرقم,0)),"")</f>
        <v/>
      </c>
      <c r="F404" s="112" t="n"/>
      <c r="G404" s="47" t="n"/>
      <c r="H404" s="112" t="n"/>
      <c r="I404" s="47" t="n"/>
      <c r="J404" s="47" t="n"/>
      <c r="K404" s="47" t="n"/>
    </row>
    <row r="405">
      <c r="A405" s="39" t="n"/>
      <c r="B405" s="40" t="n"/>
      <c r="C405" s="40" t="n"/>
      <c r="D405" s="40" t="n"/>
      <c r="E405" s="43">
        <f>IFERROR(INDEX(الموظفون_الاسم,MATCH($D405,الموظفون_الرقم,0)),"")</f>
        <v/>
      </c>
      <c r="F405" s="110" t="n"/>
      <c r="G405" s="40" t="n"/>
      <c r="H405" s="110" t="n"/>
      <c r="I405" s="40" t="n"/>
      <c r="J405" s="40" t="n"/>
      <c r="K405" s="40" t="n"/>
    </row>
    <row r="406">
      <c r="A406" s="46" t="n"/>
      <c r="B406" s="47" t="n"/>
      <c r="C406" s="47" t="n"/>
      <c r="D406" s="47" t="n"/>
      <c r="E406" s="50">
        <f>IFERROR(INDEX(الموظفون_الاسم,MATCH($D406,الموظفون_الرقم,0)),"")</f>
        <v/>
      </c>
      <c r="F406" s="112" t="n"/>
      <c r="G406" s="47" t="n"/>
      <c r="H406" s="112" t="n"/>
      <c r="I406" s="47" t="n"/>
      <c r="J406" s="47" t="n"/>
      <c r="K406" s="47" t="n"/>
    </row>
    <row r="407">
      <c r="A407" s="39" t="n"/>
      <c r="B407" s="40" t="n"/>
      <c r="C407" s="40" t="n"/>
      <c r="D407" s="40" t="n"/>
      <c r="E407" s="43">
        <f>IFERROR(INDEX(الموظفون_الاسم,MATCH($D407,الموظفون_الرقم,0)),"")</f>
        <v/>
      </c>
      <c r="F407" s="110" t="n"/>
      <c r="G407" s="40" t="n"/>
      <c r="H407" s="110" t="n"/>
      <c r="I407" s="40" t="n"/>
      <c r="J407" s="40" t="n"/>
      <c r="K407" s="40" t="n"/>
    </row>
    <row r="408">
      <c r="A408" s="46" t="n"/>
      <c r="B408" s="47" t="n"/>
      <c r="C408" s="47" t="n"/>
      <c r="D408" s="47" t="n"/>
      <c r="E408" s="50">
        <f>IFERROR(INDEX(الموظفون_الاسم,MATCH($D408,الموظفون_الرقم,0)),"")</f>
        <v/>
      </c>
      <c r="F408" s="112" t="n"/>
      <c r="G408" s="47" t="n"/>
      <c r="H408" s="112" t="n"/>
      <c r="I408" s="47" t="n"/>
      <c r="J408" s="47" t="n"/>
      <c r="K408" s="47" t="n"/>
    </row>
    <row r="409">
      <c r="A409" s="39" t="n"/>
      <c r="B409" s="40" t="n"/>
      <c r="C409" s="40" t="n"/>
      <c r="D409" s="40" t="n"/>
      <c r="E409" s="43">
        <f>IFERROR(INDEX(الموظفون_الاسم,MATCH($D409,الموظفون_الرقم,0)),"")</f>
        <v/>
      </c>
      <c r="F409" s="110" t="n"/>
      <c r="G409" s="40" t="n"/>
      <c r="H409" s="110" t="n"/>
      <c r="I409" s="40" t="n"/>
      <c r="J409" s="40" t="n"/>
      <c r="K409" s="40" t="n"/>
    </row>
    <row r="410">
      <c r="A410" s="46" t="n"/>
      <c r="B410" s="47" t="n"/>
      <c r="C410" s="47" t="n"/>
      <c r="D410" s="47" t="n"/>
      <c r="E410" s="50">
        <f>IFERROR(INDEX(الموظفون_الاسم,MATCH($D410,الموظفون_الرقم,0)),"")</f>
        <v/>
      </c>
      <c r="F410" s="112" t="n"/>
      <c r="G410" s="47" t="n"/>
      <c r="H410" s="112" t="n"/>
      <c r="I410" s="47" t="n"/>
      <c r="J410" s="47" t="n"/>
      <c r="K410" s="47" t="n"/>
    </row>
    <row r="411">
      <c r="A411" s="39" t="n"/>
      <c r="B411" s="40" t="n"/>
      <c r="C411" s="40" t="n"/>
      <c r="D411" s="40" t="n"/>
      <c r="E411" s="43">
        <f>IFERROR(INDEX(الموظفون_الاسم,MATCH($D411,الموظفون_الرقم,0)),"")</f>
        <v/>
      </c>
      <c r="F411" s="110" t="n"/>
      <c r="G411" s="40" t="n"/>
      <c r="H411" s="110" t="n"/>
      <c r="I411" s="40" t="n"/>
      <c r="J411" s="40" t="n"/>
      <c r="K411" s="40" t="n"/>
    </row>
    <row r="412">
      <c r="A412" s="46" t="n"/>
      <c r="B412" s="47" t="n"/>
      <c r="C412" s="47" t="n"/>
      <c r="D412" s="47" t="n"/>
      <c r="E412" s="50">
        <f>IFERROR(INDEX(الموظفون_الاسم,MATCH($D412,الموظفون_الرقم,0)),"")</f>
        <v/>
      </c>
      <c r="F412" s="112" t="n"/>
      <c r="G412" s="47" t="n"/>
      <c r="H412" s="112" t="n"/>
      <c r="I412" s="47" t="n"/>
      <c r="J412" s="47" t="n"/>
      <c r="K412" s="47" t="n"/>
    </row>
    <row r="413">
      <c r="A413" s="39" t="n"/>
      <c r="B413" s="40" t="n"/>
      <c r="C413" s="40" t="n"/>
      <c r="D413" s="40" t="n"/>
      <c r="E413" s="43">
        <f>IFERROR(INDEX(الموظفون_الاسم,MATCH($D413,الموظفون_الرقم,0)),"")</f>
        <v/>
      </c>
      <c r="F413" s="110" t="n"/>
      <c r="G413" s="40" t="n"/>
      <c r="H413" s="110" t="n"/>
      <c r="I413" s="40" t="n"/>
      <c r="J413" s="40" t="n"/>
      <c r="K413" s="40" t="n"/>
    </row>
    <row r="414">
      <c r="A414" s="46" t="n"/>
      <c r="B414" s="47" t="n"/>
      <c r="C414" s="47" t="n"/>
      <c r="D414" s="47" t="n"/>
      <c r="E414" s="50">
        <f>IFERROR(INDEX(الموظفون_الاسم,MATCH($D414,الموظفون_الرقم,0)),"")</f>
        <v/>
      </c>
      <c r="F414" s="112" t="n"/>
      <c r="G414" s="47" t="n"/>
      <c r="H414" s="112" t="n"/>
      <c r="I414" s="47" t="n"/>
      <c r="J414" s="47" t="n"/>
      <c r="K414" s="47" t="n"/>
    </row>
    <row r="415">
      <c r="A415" s="39" t="n"/>
      <c r="B415" s="40" t="n"/>
      <c r="C415" s="40" t="n"/>
      <c r="D415" s="40" t="n"/>
      <c r="E415" s="43">
        <f>IFERROR(INDEX(الموظفون_الاسم,MATCH($D415,الموظفون_الرقم,0)),"")</f>
        <v/>
      </c>
      <c r="F415" s="110" t="n"/>
      <c r="G415" s="40" t="n"/>
      <c r="H415" s="110" t="n"/>
      <c r="I415" s="40" t="n"/>
      <c r="J415" s="40" t="n"/>
      <c r="K415" s="40" t="n"/>
    </row>
    <row r="416">
      <c r="A416" s="46" t="n"/>
      <c r="B416" s="47" t="n"/>
      <c r="C416" s="47" t="n"/>
      <c r="D416" s="47" t="n"/>
      <c r="E416" s="50">
        <f>IFERROR(INDEX(الموظفون_الاسم,MATCH($D416,الموظفون_الرقم,0)),"")</f>
        <v/>
      </c>
      <c r="F416" s="112" t="n"/>
      <c r="G416" s="47" t="n"/>
      <c r="H416" s="112" t="n"/>
      <c r="I416" s="47" t="n"/>
      <c r="J416" s="47" t="n"/>
      <c r="K416" s="47" t="n"/>
    </row>
    <row r="417">
      <c r="A417" s="39" t="n"/>
      <c r="B417" s="40" t="n"/>
      <c r="C417" s="40" t="n"/>
      <c r="D417" s="40" t="n"/>
      <c r="E417" s="43">
        <f>IFERROR(INDEX(الموظفون_الاسم,MATCH($D417,الموظفون_الرقم,0)),"")</f>
        <v/>
      </c>
      <c r="F417" s="110" t="n"/>
      <c r="G417" s="40" t="n"/>
      <c r="H417" s="110" t="n"/>
      <c r="I417" s="40" t="n"/>
      <c r="J417" s="40" t="n"/>
      <c r="K417" s="40" t="n"/>
    </row>
    <row r="418">
      <c r="A418" s="46" t="n"/>
      <c r="B418" s="47" t="n"/>
      <c r="C418" s="47" t="n"/>
      <c r="D418" s="47" t="n"/>
      <c r="E418" s="50">
        <f>IFERROR(INDEX(الموظفون_الاسم,MATCH($D418,الموظفون_الرقم,0)),"")</f>
        <v/>
      </c>
      <c r="F418" s="112" t="n"/>
      <c r="G418" s="47" t="n"/>
      <c r="H418" s="112" t="n"/>
      <c r="I418" s="47" t="n"/>
      <c r="J418" s="47" t="n"/>
      <c r="K418" s="47" t="n"/>
    </row>
    <row r="419">
      <c r="A419" s="39" t="n"/>
      <c r="B419" s="40" t="n"/>
      <c r="C419" s="40" t="n"/>
      <c r="D419" s="40" t="n"/>
      <c r="E419" s="43">
        <f>IFERROR(INDEX(الموظفون_الاسم,MATCH($D419,الموظفون_الرقم,0)),"")</f>
        <v/>
      </c>
      <c r="F419" s="110" t="n"/>
      <c r="G419" s="40" t="n"/>
      <c r="H419" s="110" t="n"/>
      <c r="I419" s="40" t="n"/>
      <c r="J419" s="40" t="n"/>
      <c r="K419" s="40" t="n"/>
    </row>
    <row r="420">
      <c r="A420" s="46" t="n"/>
      <c r="B420" s="47" t="n"/>
      <c r="C420" s="47" t="n"/>
      <c r="D420" s="47" t="n"/>
      <c r="E420" s="50">
        <f>IFERROR(INDEX(الموظفون_الاسم,MATCH($D420,الموظفون_الرقم,0)),"")</f>
        <v/>
      </c>
      <c r="F420" s="112" t="n"/>
      <c r="G420" s="47" t="n"/>
      <c r="H420" s="112" t="n"/>
      <c r="I420" s="47" t="n"/>
      <c r="J420" s="47" t="n"/>
      <c r="K420" s="47" t="n"/>
    </row>
    <row r="421">
      <c r="A421" s="39" t="n"/>
      <c r="B421" s="40" t="n"/>
      <c r="C421" s="40" t="n"/>
      <c r="D421" s="40" t="n"/>
      <c r="E421" s="43">
        <f>IFERROR(INDEX(الموظفون_الاسم,MATCH($D421,الموظفون_الرقم,0)),"")</f>
        <v/>
      </c>
      <c r="F421" s="110" t="n"/>
      <c r="G421" s="40" t="n"/>
      <c r="H421" s="110" t="n"/>
      <c r="I421" s="40" t="n"/>
      <c r="J421" s="40" t="n"/>
      <c r="K421" s="40" t="n"/>
    </row>
    <row r="422">
      <c r="A422" s="46" t="n"/>
      <c r="B422" s="47" t="n"/>
      <c r="C422" s="47" t="n"/>
      <c r="D422" s="47" t="n"/>
      <c r="E422" s="50">
        <f>IFERROR(INDEX(الموظفون_الاسم,MATCH($D422,الموظفون_الرقم,0)),"")</f>
        <v/>
      </c>
      <c r="F422" s="112" t="n"/>
      <c r="G422" s="47" t="n"/>
      <c r="H422" s="112" t="n"/>
      <c r="I422" s="47" t="n"/>
      <c r="J422" s="47" t="n"/>
      <c r="K422" s="47" t="n"/>
    </row>
    <row r="423">
      <c r="A423" s="39" t="n"/>
      <c r="B423" s="40" t="n"/>
      <c r="C423" s="40" t="n"/>
      <c r="D423" s="40" t="n"/>
      <c r="E423" s="43">
        <f>IFERROR(INDEX(الموظفون_الاسم,MATCH($D423,الموظفون_الرقم,0)),"")</f>
        <v/>
      </c>
      <c r="F423" s="110" t="n"/>
      <c r="G423" s="40" t="n"/>
      <c r="H423" s="110" t="n"/>
      <c r="I423" s="40" t="n"/>
      <c r="J423" s="40" t="n"/>
      <c r="K423" s="40" t="n"/>
    </row>
    <row r="424">
      <c r="A424" s="46" t="n"/>
      <c r="B424" s="47" t="n"/>
      <c r="C424" s="47" t="n"/>
      <c r="D424" s="47" t="n"/>
      <c r="E424" s="50">
        <f>IFERROR(INDEX(الموظفون_الاسم,MATCH($D424,الموظفون_الرقم,0)),"")</f>
        <v/>
      </c>
      <c r="F424" s="112" t="n"/>
      <c r="G424" s="47" t="n"/>
      <c r="H424" s="112" t="n"/>
      <c r="I424" s="47" t="n"/>
      <c r="J424" s="47" t="n"/>
      <c r="K424" s="47" t="n"/>
    </row>
    <row r="425">
      <c r="A425" s="39" t="n"/>
      <c r="B425" s="40" t="n"/>
      <c r="C425" s="40" t="n"/>
      <c r="D425" s="40" t="n"/>
      <c r="E425" s="43">
        <f>IFERROR(INDEX(الموظفون_الاسم,MATCH($D425,الموظفون_الرقم,0)),"")</f>
        <v/>
      </c>
      <c r="F425" s="110" t="n"/>
      <c r="G425" s="40" t="n"/>
      <c r="H425" s="110" t="n"/>
      <c r="I425" s="40" t="n"/>
      <c r="J425" s="40" t="n"/>
      <c r="K425" s="40" t="n"/>
    </row>
    <row r="426">
      <c r="A426" s="46" t="n"/>
      <c r="B426" s="47" t="n"/>
      <c r="C426" s="47" t="n"/>
      <c r="D426" s="47" t="n"/>
      <c r="E426" s="50">
        <f>IFERROR(INDEX(الموظفون_الاسم,MATCH($D426,الموظفون_الرقم,0)),"")</f>
        <v/>
      </c>
      <c r="F426" s="112" t="n"/>
      <c r="G426" s="47" t="n"/>
      <c r="H426" s="112" t="n"/>
      <c r="I426" s="47" t="n"/>
      <c r="J426" s="47" t="n"/>
      <c r="K426" s="47" t="n"/>
    </row>
    <row r="427">
      <c r="A427" s="39" t="n"/>
      <c r="B427" s="40" t="n"/>
      <c r="C427" s="40" t="n"/>
      <c r="D427" s="40" t="n"/>
      <c r="E427" s="43">
        <f>IFERROR(INDEX(الموظفون_الاسم,MATCH($D427,الموظفون_الرقم,0)),"")</f>
        <v/>
      </c>
      <c r="F427" s="110" t="n"/>
      <c r="G427" s="40" t="n"/>
      <c r="H427" s="110" t="n"/>
      <c r="I427" s="40" t="n"/>
      <c r="J427" s="40" t="n"/>
      <c r="K427" s="40" t="n"/>
    </row>
    <row r="428">
      <c r="A428" s="46" t="n"/>
      <c r="B428" s="47" t="n"/>
      <c r="C428" s="47" t="n"/>
      <c r="D428" s="47" t="n"/>
      <c r="E428" s="50">
        <f>IFERROR(INDEX(الموظفون_الاسم,MATCH($D428,الموظفون_الرقم,0)),"")</f>
        <v/>
      </c>
      <c r="F428" s="112" t="n"/>
      <c r="G428" s="47" t="n"/>
      <c r="H428" s="112" t="n"/>
      <c r="I428" s="47" t="n"/>
      <c r="J428" s="47" t="n"/>
      <c r="K428" s="47" t="n"/>
    </row>
    <row r="429">
      <c r="A429" s="39" t="n"/>
      <c r="B429" s="40" t="n"/>
      <c r="C429" s="40" t="n"/>
      <c r="D429" s="40" t="n"/>
      <c r="E429" s="43">
        <f>IFERROR(INDEX(الموظفون_الاسم,MATCH($D429,الموظفون_الرقم,0)),"")</f>
        <v/>
      </c>
      <c r="F429" s="110" t="n"/>
      <c r="G429" s="40" t="n"/>
      <c r="H429" s="110" t="n"/>
      <c r="I429" s="40" t="n"/>
      <c r="J429" s="40" t="n"/>
      <c r="K429" s="40" t="n"/>
    </row>
    <row r="430">
      <c r="A430" s="46" t="n"/>
      <c r="B430" s="47" t="n"/>
      <c r="C430" s="47" t="n"/>
      <c r="D430" s="47" t="n"/>
      <c r="E430" s="50">
        <f>IFERROR(INDEX(الموظفون_الاسم,MATCH($D430,الموظفون_الرقم,0)),"")</f>
        <v/>
      </c>
      <c r="F430" s="112" t="n"/>
      <c r="G430" s="47" t="n"/>
      <c r="H430" s="112" t="n"/>
      <c r="I430" s="47" t="n"/>
      <c r="J430" s="47" t="n"/>
      <c r="K430" s="47" t="n"/>
    </row>
    <row r="431">
      <c r="A431" s="39" t="n"/>
      <c r="B431" s="40" t="n"/>
      <c r="C431" s="40" t="n"/>
      <c r="D431" s="40" t="n"/>
      <c r="E431" s="43">
        <f>IFERROR(INDEX(الموظفون_الاسم,MATCH($D431,الموظفون_الرقم,0)),"")</f>
        <v/>
      </c>
      <c r="F431" s="110" t="n"/>
      <c r="G431" s="40" t="n"/>
      <c r="H431" s="110" t="n"/>
      <c r="I431" s="40" t="n"/>
      <c r="J431" s="40" t="n"/>
      <c r="K431" s="40" t="n"/>
    </row>
    <row r="432">
      <c r="A432" s="46" t="n"/>
      <c r="B432" s="47" t="n"/>
      <c r="C432" s="47" t="n"/>
      <c r="D432" s="47" t="n"/>
      <c r="E432" s="50">
        <f>IFERROR(INDEX(الموظفون_الاسم,MATCH($D432,الموظفون_الرقم,0)),"")</f>
        <v/>
      </c>
      <c r="F432" s="112" t="n"/>
      <c r="G432" s="47" t="n"/>
      <c r="H432" s="112" t="n"/>
      <c r="I432" s="47" t="n"/>
      <c r="J432" s="47" t="n"/>
      <c r="K432" s="47" t="n"/>
    </row>
    <row r="433">
      <c r="A433" s="39" t="n"/>
      <c r="B433" s="40" t="n"/>
      <c r="C433" s="40" t="n"/>
      <c r="D433" s="40" t="n"/>
      <c r="E433" s="43">
        <f>IFERROR(INDEX(الموظفون_الاسم,MATCH($D433,الموظفون_الرقم,0)),"")</f>
        <v/>
      </c>
      <c r="F433" s="110" t="n"/>
      <c r="G433" s="40" t="n"/>
      <c r="H433" s="110" t="n"/>
      <c r="I433" s="40" t="n"/>
      <c r="J433" s="40" t="n"/>
      <c r="K433" s="40" t="n"/>
    </row>
    <row r="434">
      <c r="A434" s="46" t="n"/>
      <c r="B434" s="47" t="n"/>
      <c r="C434" s="47" t="n"/>
      <c r="D434" s="47" t="n"/>
      <c r="E434" s="50">
        <f>IFERROR(INDEX(الموظفون_الاسم,MATCH($D434,الموظفون_الرقم,0)),"")</f>
        <v/>
      </c>
      <c r="F434" s="112" t="n"/>
      <c r="G434" s="47" t="n"/>
      <c r="H434" s="112" t="n"/>
      <c r="I434" s="47" t="n"/>
      <c r="J434" s="47" t="n"/>
      <c r="K434" s="47" t="n"/>
    </row>
    <row r="435">
      <c r="A435" s="39" t="n"/>
      <c r="B435" s="40" t="n"/>
      <c r="C435" s="40" t="n"/>
      <c r="D435" s="40" t="n"/>
      <c r="E435" s="43">
        <f>IFERROR(INDEX(الموظفون_الاسم,MATCH($D435,الموظفون_الرقم,0)),"")</f>
        <v/>
      </c>
      <c r="F435" s="110" t="n"/>
      <c r="G435" s="40" t="n"/>
      <c r="H435" s="110" t="n"/>
      <c r="I435" s="40" t="n"/>
      <c r="J435" s="40" t="n"/>
      <c r="K435" s="40" t="n"/>
    </row>
    <row r="436">
      <c r="A436" s="46" t="n"/>
      <c r="B436" s="47" t="n"/>
      <c r="C436" s="47" t="n"/>
      <c r="D436" s="47" t="n"/>
      <c r="E436" s="50">
        <f>IFERROR(INDEX(الموظفون_الاسم,MATCH($D436,الموظفون_الرقم,0)),"")</f>
        <v/>
      </c>
      <c r="F436" s="112" t="n"/>
      <c r="G436" s="47" t="n"/>
      <c r="H436" s="112" t="n"/>
      <c r="I436" s="47" t="n"/>
      <c r="J436" s="47" t="n"/>
      <c r="K436" s="47" t="n"/>
    </row>
    <row r="437">
      <c r="A437" s="39" t="n"/>
      <c r="B437" s="40" t="n"/>
      <c r="C437" s="40" t="n"/>
      <c r="D437" s="40" t="n"/>
      <c r="E437" s="43">
        <f>IFERROR(INDEX(الموظفون_الاسم,MATCH($D437,الموظفون_الرقم,0)),"")</f>
        <v/>
      </c>
      <c r="F437" s="110" t="n"/>
      <c r="G437" s="40" t="n"/>
      <c r="H437" s="110" t="n"/>
      <c r="I437" s="40" t="n"/>
      <c r="J437" s="40" t="n"/>
      <c r="K437" s="40" t="n"/>
    </row>
    <row r="438">
      <c r="A438" s="46" t="n"/>
      <c r="B438" s="47" t="n"/>
      <c r="C438" s="47" t="n"/>
      <c r="D438" s="47" t="n"/>
      <c r="E438" s="50">
        <f>IFERROR(INDEX(الموظفون_الاسم,MATCH($D438,الموظفون_الرقم,0)),"")</f>
        <v/>
      </c>
      <c r="F438" s="112" t="n"/>
      <c r="G438" s="47" t="n"/>
      <c r="H438" s="112" t="n"/>
      <c r="I438" s="47" t="n"/>
      <c r="J438" s="47" t="n"/>
      <c r="K438" s="47" t="n"/>
    </row>
    <row r="439">
      <c r="A439" s="39" t="n"/>
      <c r="B439" s="40" t="n"/>
      <c r="C439" s="40" t="n"/>
      <c r="D439" s="40" t="n"/>
      <c r="E439" s="43">
        <f>IFERROR(INDEX(الموظفون_الاسم,MATCH($D439,الموظفون_الرقم,0)),"")</f>
        <v/>
      </c>
      <c r="F439" s="110" t="n"/>
      <c r="G439" s="40" t="n"/>
      <c r="H439" s="110" t="n"/>
      <c r="I439" s="40" t="n"/>
      <c r="J439" s="40" t="n"/>
      <c r="K439" s="40" t="n"/>
    </row>
    <row r="440">
      <c r="A440" s="46" t="n"/>
      <c r="B440" s="47" t="n"/>
      <c r="C440" s="47" t="n"/>
      <c r="D440" s="47" t="n"/>
      <c r="E440" s="50">
        <f>IFERROR(INDEX(الموظفون_الاسم,MATCH($D440,الموظفون_الرقم,0)),"")</f>
        <v/>
      </c>
      <c r="F440" s="112" t="n"/>
      <c r="G440" s="47" t="n"/>
      <c r="H440" s="112" t="n"/>
      <c r="I440" s="47" t="n"/>
      <c r="J440" s="47" t="n"/>
      <c r="K440" s="47" t="n"/>
    </row>
    <row r="441">
      <c r="A441" s="39" t="n"/>
      <c r="B441" s="40" t="n"/>
      <c r="C441" s="40" t="n"/>
      <c r="D441" s="40" t="n"/>
      <c r="E441" s="43">
        <f>IFERROR(INDEX(الموظفون_الاسم,MATCH($D441,الموظفون_الرقم,0)),"")</f>
        <v/>
      </c>
      <c r="F441" s="110" t="n"/>
      <c r="G441" s="40" t="n"/>
      <c r="H441" s="110" t="n"/>
      <c r="I441" s="40" t="n"/>
      <c r="J441" s="40" t="n"/>
      <c r="K441" s="40" t="n"/>
    </row>
    <row r="442">
      <c r="A442" s="46" t="n"/>
      <c r="B442" s="47" t="n"/>
      <c r="C442" s="47" t="n"/>
      <c r="D442" s="47" t="n"/>
      <c r="E442" s="50">
        <f>IFERROR(INDEX(الموظفون_الاسم,MATCH($D442,الموظفون_الرقم,0)),"")</f>
        <v/>
      </c>
      <c r="F442" s="112" t="n"/>
      <c r="G442" s="47" t="n"/>
      <c r="H442" s="112" t="n"/>
      <c r="I442" s="47" t="n"/>
      <c r="J442" s="47" t="n"/>
      <c r="K442" s="47" t="n"/>
    </row>
    <row r="443">
      <c r="A443" s="39" t="n"/>
      <c r="B443" s="40" t="n"/>
      <c r="C443" s="40" t="n"/>
      <c r="D443" s="40" t="n"/>
      <c r="E443" s="43">
        <f>IFERROR(INDEX(الموظفون_الاسم,MATCH($D443,الموظفون_الرقم,0)),"")</f>
        <v/>
      </c>
      <c r="F443" s="110" t="n"/>
      <c r="G443" s="40" t="n"/>
      <c r="H443" s="110" t="n"/>
      <c r="I443" s="40" t="n"/>
      <c r="J443" s="40" t="n"/>
      <c r="K443" s="40" t="n"/>
    </row>
    <row r="444">
      <c r="A444" s="46" t="n"/>
      <c r="B444" s="47" t="n"/>
      <c r="C444" s="47" t="n"/>
      <c r="D444" s="47" t="n"/>
      <c r="E444" s="50">
        <f>IFERROR(INDEX(الموظفون_الاسم,MATCH($D444,الموظفون_الرقم,0)),"")</f>
        <v/>
      </c>
      <c r="F444" s="112" t="n"/>
      <c r="G444" s="47" t="n"/>
      <c r="H444" s="112" t="n"/>
      <c r="I444" s="47" t="n"/>
      <c r="J444" s="47" t="n"/>
      <c r="K444" s="47" t="n"/>
    </row>
    <row r="445">
      <c r="A445" s="39" t="n"/>
      <c r="B445" s="40" t="n"/>
      <c r="C445" s="40" t="n"/>
      <c r="D445" s="40" t="n"/>
      <c r="E445" s="43">
        <f>IFERROR(INDEX(الموظفون_الاسم,MATCH($D445,الموظفون_الرقم,0)),"")</f>
        <v/>
      </c>
      <c r="F445" s="110" t="n"/>
      <c r="G445" s="40" t="n"/>
      <c r="H445" s="110" t="n"/>
      <c r="I445" s="40" t="n"/>
      <c r="J445" s="40" t="n"/>
      <c r="K445" s="40" t="n"/>
    </row>
    <row r="446">
      <c r="A446" s="46" t="n"/>
      <c r="B446" s="47" t="n"/>
      <c r="C446" s="47" t="n"/>
      <c r="D446" s="47" t="n"/>
      <c r="E446" s="50">
        <f>IFERROR(INDEX(الموظفون_الاسم,MATCH($D446,الموظفون_الرقم,0)),"")</f>
        <v/>
      </c>
      <c r="F446" s="112" t="n"/>
      <c r="G446" s="47" t="n"/>
      <c r="H446" s="112" t="n"/>
      <c r="I446" s="47" t="n"/>
      <c r="J446" s="47" t="n"/>
      <c r="K446" s="47" t="n"/>
    </row>
    <row r="447">
      <c r="A447" s="39" t="n"/>
      <c r="B447" s="40" t="n"/>
      <c r="C447" s="40" t="n"/>
      <c r="D447" s="40" t="n"/>
      <c r="E447" s="43">
        <f>IFERROR(INDEX(الموظفون_الاسم,MATCH($D447,الموظفون_الرقم,0)),"")</f>
        <v/>
      </c>
      <c r="F447" s="110" t="n"/>
      <c r="G447" s="40" t="n"/>
      <c r="H447" s="110" t="n"/>
      <c r="I447" s="40" t="n"/>
      <c r="J447" s="40" t="n"/>
      <c r="K447" s="40" t="n"/>
    </row>
    <row r="448">
      <c r="A448" s="46" t="n"/>
      <c r="B448" s="47" t="n"/>
      <c r="C448" s="47" t="n"/>
      <c r="D448" s="47" t="n"/>
      <c r="E448" s="50">
        <f>IFERROR(INDEX(الموظفون_الاسم,MATCH($D448,الموظفون_الرقم,0)),"")</f>
        <v/>
      </c>
      <c r="F448" s="112" t="n"/>
      <c r="G448" s="47" t="n"/>
      <c r="H448" s="112" t="n"/>
      <c r="I448" s="47" t="n"/>
      <c r="J448" s="47" t="n"/>
      <c r="K448" s="47" t="n"/>
    </row>
    <row r="449">
      <c r="A449" s="39" t="n"/>
      <c r="B449" s="40" t="n"/>
      <c r="C449" s="40" t="n"/>
      <c r="D449" s="40" t="n"/>
      <c r="E449" s="43">
        <f>IFERROR(INDEX(الموظفون_الاسم,MATCH($D449,الموظفون_الرقم,0)),"")</f>
        <v/>
      </c>
      <c r="F449" s="110" t="n"/>
      <c r="G449" s="40" t="n"/>
      <c r="H449" s="110" t="n"/>
      <c r="I449" s="40" t="n"/>
      <c r="J449" s="40" t="n"/>
      <c r="K449" s="40" t="n"/>
    </row>
    <row r="450">
      <c r="A450" s="46" t="n"/>
      <c r="B450" s="47" t="n"/>
      <c r="C450" s="47" t="n"/>
      <c r="D450" s="47" t="n"/>
      <c r="E450" s="50">
        <f>IFERROR(INDEX(الموظفون_الاسم,MATCH($D450,الموظفون_الرقم,0)),"")</f>
        <v/>
      </c>
      <c r="F450" s="112" t="n"/>
      <c r="G450" s="47" t="n"/>
      <c r="H450" s="112" t="n"/>
      <c r="I450" s="47" t="n"/>
      <c r="J450" s="47" t="n"/>
      <c r="K450" s="47" t="n"/>
    </row>
    <row r="451">
      <c r="A451" s="39" t="n"/>
      <c r="B451" s="40" t="n"/>
      <c r="C451" s="40" t="n"/>
      <c r="D451" s="40" t="n"/>
      <c r="E451" s="43">
        <f>IFERROR(INDEX(الموظفون_الاسم,MATCH($D451,الموظفون_الرقم,0)),"")</f>
        <v/>
      </c>
      <c r="F451" s="110" t="n"/>
      <c r="G451" s="40" t="n"/>
      <c r="H451" s="110" t="n"/>
      <c r="I451" s="40" t="n"/>
      <c r="J451" s="40" t="n"/>
      <c r="K451" s="40" t="n"/>
    </row>
    <row r="452">
      <c r="A452" s="46" t="n"/>
      <c r="B452" s="47" t="n"/>
      <c r="C452" s="47" t="n"/>
      <c r="D452" s="47" t="n"/>
      <c r="E452" s="50">
        <f>IFERROR(INDEX(الموظفون_الاسم,MATCH($D452,الموظفون_الرقم,0)),"")</f>
        <v/>
      </c>
      <c r="F452" s="112" t="n"/>
      <c r="G452" s="47" t="n"/>
      <c r="H452" s="112" t="n"/>
      <c r="I452" s="47" t="n"/>
      <c r="J452" s="47" t="n"/>
      <c r="K452" s="47" t="n"/>
    </row>
    <row r="453">
      <c r="A453" s="39" t="n"/>
      <c r="B453" s="40" t="n"/>
      <c r="C453" s="40" t="n"/>
      <c r="D453" s="40" t="n"/>
      <c r="E453" s="43">
        <f>IFERROR(INDEX(الموظفون_الاسم,MATCH($D453,الموظفون_الرقم,0)),"")</f>
        <v/>
      </c>
      <c r="F453" s="110" t="n"/>
      <c r="G453" s="40" t="n"/>
      <c r="H453" s="110" t="n"/>
      <c r="I453" s="40" t="n"/>
      <c r="J453" s="40" t="n"/>
      <c r="K453" s="40" t="n"/>
    </row>
    <row r="454">
      <c r="A454" s="46" t="n"/>
      <c r="B454" s="47" t="n"/>
      <c r="C454" s="47" t="n"/>
      <c r="D454" s="47" t="n"/>
      <c r="E454" s="50">
        <f>IFERROR(INDEX(الموظفون_الاسم,MATCH($D454,الموظفون_الرقم,0)),"")</f>
        <v/>
      </c>
      <c r="F454" s="112" t="n"/>
      <c r="G454" s="47" t="n"/>
      <c r="H454" s="112" t="n"/>
      <c r="I454" s="47" t="n"/>
      <c r="J454" s="47" t="n"/>
      <c r="K454" s="47" t="n"/>
    </row>
    <row r="455">
      <c r="A455" s="39" t="n"/>
      <c r="B455" s="40" t="n"/>
      <c r="C455" s="40" t="n"/>
      <c r="D455" s="40" t="n"/>
      <c r="E455" s="43">
        <f>IFERROR(INDEX(الموظفون_الاسم,MATCH($D455,الموظفون_الرقم,0)),"")</f>
        <v/>
      </c>
      <c r="F455" s="110" t="n"/>
      <c r="G455" s="40" t="n"/>
      <c r="H455" s="110" t="n"/>
      <c r="I455" s="40" t="n"/>
      <c r="J455" s="40" t="n"/>
      <c r="K455" s="40" t="n"/>
    </row>
    <row r="456">
      <c r="A456" s="46" t="n"/>
      <c r="B456" s="47" t="n"/>
      <c r="C456" s="47" t="n"/>
      <c r="D456" s="47" t="n"/>
      <c r="E456" s="50">
        <f>IFERROR(INDEX(الموظفون_الاسم,MATCH($D456,الموظفون_الرقم,0)),"")</f>
        <v/>
      </c>
      <c r="F456" s="112" t="n"/>
      <c r="G456" s="47" t="n"/>
      <c r="H456" s="112" t="n"/>
      <c r="I456" s="47" t="n"/>
      <c r="J456" s="47" t="n"/>
      <c r="K456" s="47" t="n"/>
    </row>
    <row r="457">
      <c r="A457" s="39" t="n"/>
      <c r="B457" s="40" t="n"/>
      <c r="C457" s="40" t="n"/>
      <c r="D457" s="40" t="n"/>
      <c r="E457" s="43">
        <f>IFERROR(INDEX(الموظفون_الاسم,MATCH($D457,الموظفون_الرقم,0)),"")</f>
        <v/>
      </c>
      <c r="F457" s="110" t="n"/>
      <c r="G457" s="40" t="n"/>
      <c r="H457" s="110" t="n"/>
      <c r="I457" s="40" t="n"/>
      <c r="J457" s="40" t="n"/>
      <c r="K457" s="40" t="n"/>
    </row>
    <row r="458">
      <c r="A458" s="46" t="n"/>
      <c r="B458" s="47" t="n"/>
      <c r="C458" s="47" t="n"/>
      <c r="D458" s="47" t="n"/>
      <c r="E458" s="50">
        <f>IFERROR(INDEX(الموظفون_الاسم,MATCH($D458,الموظفون_الرقم,0)),"")</f>
        <v/>
      </c>
      <c r="F458" s="112" t="n"/>
      <c r="G458" s="47" t="n"/>
      <c r="H458" s="112" t="n"/>
      <c r="I458" s="47" t="n"/>
      <c r="J458" s="47" t="n"/>
      <c r="K458" s="47" t="n"/>
    </row>
    <row r="459">
      <c r="A459" s="39" t="n"/>
      <c r="B459" s="40" t="n"/>
      <c r="C459" s="40" t="n"/>
      <c r="D459" s="40" t="n"/>
      <c r="E459" s="43">
        <f>IFERROR(INDEX(الموظفون_الاسم,MATCH($D459,الموظفون_الرقم,0)),"")</f>
        <v/>
      </c>
      <c r="F459" s="110" t="n"/>
      <c r="G459" s="40" t="n"/>
      <c r="H459" s="110" t="n"/>
      <c r="I459" s="40" t="n"/>
      <c r="J459" s="40" t="n"/>
      <c r="K459" s="40" t="n"/>
    </row>
    <row r="460">
      <c r="A460" s="46" t="n"/>
      <c r="B460" s="47" t="n"/>
      <c r="C460" s="47" t="n"/>
      <c r="D460" s="47" t="n"/>
      <c r="E460" s="50">
        <f>IFERROR(INDEX(الموظفون_الاسم,MATCH($D460,الموظفون_الرقم,0)),"")</f>
        <v/>
      </c>
      <c r="F460" s="112" t="n"/>
      <c r="G460" s="47" t="n"/>
      <c r="H460" s="112" t="n"/>
      <c r="I460" s="47" t="n"/>
      <c r="J460" s="47" t="n"/>
      <c r="K460" s="47" t="n"/>
    </row>
    <row r="461">
      <c r="A461" s="39" t="n"/>
      <c r="B461" s="40" t="n"/>
      <c r="C461" s="40" t="n"/>
      <c r="D461" s="40" t="n"/>
      <c r="E461" s="43">
        <f>IFERROR(INDEX(الموظفون_الاسم,MATCH($D461,الموظفون_الرقم,0)),"")</f>
        <v/>
      </c>
      <c r="F461" s="110" t="n"/>
      <c r="G461" s="40" t="n"/>
      <c r="H461" s="110" t="n"/>
      <c r="I461" s="40" t="n"/>
      <c r="J461" s="40" t="n"/>
      <c r="K461" s="40" t="n"/>
    </row>
    <row r="462">
      <c r="A462" s="46" t="n"/>
      <c r="B462" s="47" t="n"/>
      <c r="C462" s="47" t="n"/>
      <c r="D462" s="47" t="n"/>
      <c r="E462" s="50">
        <f>IFERROR(INDEX(الموظفون_الاسم,MATCH($D462,الموظفون_الرقم,0)),"")</f>
        <v/>
      </c>
      <c r="F462" s="112" t="n"/>
      <c r="G462" s="47" t="n"/>
      <c r="H462" s="112" t="n"/>
      <c r="I462" s="47" t="n"/>
      <c r="J462" s="47" t="n"/>
      <c r="K462" s="47" t="n"/>
    </row>
    <row r="463">
      <c r="A463" s="39" t="n"/>
      <c r="B463" s="40" t="n"/>
      <c r="C463" s="40" t="n"/>
      <c r="D463" s="40" t="n"/>
      <c r="E463" s="43">
        <f>IFERROR(INDEX(الموظفون_الاسم,MATCH($D463,الموظفون_الرقم,0)),"")</f>
        <v/>
      </c>
      <c r="F463" s="110" t="n"/>
      <c r="G463" s="40" t="n"/>
      <c r="H463" s="110" t="n"/>
      <c r="I463" s="40" t="n"/>
      <c r="J463" s="40" t="n"/>
      <c r="K463" s="40" t="n"/>
    </row>
    <row r="464">
      <c r="A464" s="46" t="n"/>
      <c r="B464" s="47" t="n"/>
      <c r="C464" s="47" t="n"/>
      <c r="D464" s="47" t="n"/>
      <c r="E464" s="50">
        <f>IFERROR(INDEX(الموظفون_الاسم,MATCH($D464,الموظفون_الرقم,0)),"")</f>
        <v/>
      </c>
      <c r="F464" s="112" t="n"/>
      <c r="G464" s="47" t="n"/>
      <c r="H464" s="112" t="n"/>
      <c r="I464" s="47" t="n"/>
      <c r="J464" s="47" t="n"/>
      <c r="K464" s="47" t="n"/>
    </row>
    <row r="465">
      <c r="A465" s="39" t="n"/>
      <c r="B465" s="40" t="n"/>
      <c r="C465" s="40" t="n"/>
      <c r="D465" s="40" t="n"/>
      <c r="E465" s="43">
        <f>IFERROR(INDEX(الموظفون_الاسم,MATCH($D465,الموظفون_الرقم,0)),"")</f>
        <v/>
      </c>
      <c r="F465" s="110" t="n"/>
      <c r="G465" s="40" t="n"/>
      <c r="H465" s="110" t="n"/>
      <c r="I465" s="40" t="n"/>
      <c r="J465" s="40" t="n"/>
      <c r="K465" s="40" t="n"/>
    </row>
    <row r="466">
      <c r="A466" s="46" t="n"/>
      <c r="B466" s="47" t="n"/>
      <c r="C466" s="47" t="n"/>
      <c r="D466" s="47" t="n"/>
      <c r="E466" s="50">
        <f>IFERROR(INDEX(الموظفون_الاسم,MATCH($D466,الموظفون_الرقم,0)),"")</f>
        <v/>
      </c>
      <c r="F466" s="112" t="n"/>
      <c r="G466" s="47" t="n"/>
      <c r="H466" s="112" t="n"/>
      <c r="I466" s="47" t="n"/>
      <c r="J466" s="47" t="n"/>
      <c r="K466" s="47" t="n"/>
    </row>
    <row r="467">
      <c r="A467" s="39" t="n"/>
      <c r="B467" s="40" t="n"/>
      <c r="C467" s="40" t="n"/>
      <c r="D467" s="40" t="n"/>
      <c r="E467" s="43">
        <f>IFERROR(INDEX(الموظفون_الاسم,MATCH($D467,الموظفون_الرقم,0)),"")</f>
        <v/>
      </c>
      <c r="F467" s="110" t="n"/>
      <c r="G467" s="40" t="n"/>
      <c r="H467" s="110" t="n"/>
      <c r="I467" s="40" t="n"/>
      <c r="J467" s="40" t="n"/>
      <c r="K467" s="40" t="n"/>
    </row>
    <row r="468">
      <c r="A468" s="46" t="n"/>
      <c r="B468" s="47" t="n"/>
      <c r="C468" s="47" t="n"/>
      <c r="D468" s="47" t="n"/>
      <c r="E468" s="50">
        <f>IFERROR(INDEX(الموظفون_الاسم,MATCH($D468,الموظفون_الرقم,0)),"")</f>
        <v/>
      </c>
      <c r="F468" s="112" t="n"/>
      <c r="G468" s="47" t="n"/>
      <c r="H468" s="112" t="n"/>
      <c r="I468" s="47" t="n"/>
      <c r="J468" s="47" t="n"/>
      <c r="K468" s="47" t="n"/>
    </row>
    <row r="469">
      <c r="A469" s="39" t="n"/>
      <c r="B469" s="40" t="n"/>
      <c r="C469" s="40" t="n"/>
      <c r="D469" s="40" t="n"/>
      <c r="E469" s="43">
        <f>IFERROR(INDEX(الموظفون_الاسم,MATCH($D469,الموظفون_الرقم,0)),"")</f>
        <v/>
      </c>
      <c r="F469" s="110" t="n"/>
      <c r="G469" s="40" t="n"/>
      <c r="H469" s="110" t="n"/>
      <c r="I469" s="40" t="n"/>
      <c r="J469" s="40" t="n"/>
      <c r="K469" s="40" t="n"/>
    </row>
    <row r="470">
      <c r="A470" s="46" t="n"/>
      <c r="B470" s="47" t="n"/>
      <c r="C470" s="47" t="n"/>
      <c r="D470" s="47" t="n"/>
      <c r="E470" s="50">
        <f>IFERROR(INDEX(الموظفون_الاسم,MATCH($D470,الموظفون_الرقم,0)),"")</f>
        <v/>
      </c>
      <c r="F470" s="112" t="n"/>
      <c r="G470" s="47" t="n"/>
      <c r="H470" s="112" t="n"/>
      <c r="I470" s="47" t="n"/>
      <c r="J470" s="47" t="n"/>
      <c r="K470" s="47" t="n"/>
    </row>
    <row r="471">
      <c r="A471" s="39" t="n"/>
      <c r="B471" s="40" t="n"/>
      <c r="C471" s="40" t="n"/>
      <c r="D471" s="40" t="n"/>
      <c r="E471" s="43">
        <f>IFERROR(INDEX(الموظفون_الاسم,MATCH($D471,الموظفون_الرقم,0)),"")</f>
        <v/>
      </c>
      <c r="F471" s="110" t="n"/>
      <c r="G471" s="40" t="n"/>
      <c r="H471" s="110" t="n"/>
      <c r="I471" s="40" t="n"/>
      <c r="J471" s="40" t="n"/>
      <c r="K471" s="40" t="n"/>
    </row>
    <row r="472">
      <c r="A472" s="46" t="n"/>
      <c r="B472" s="47" t="n"/>
      <c r="C472" s="47" t="n"/>
      <c r="D472" s="47" t="n"/>
      <c r="E472" s="50">
        <f>IFERROR(INDEX(الموظفون_الاسم,MATCH($D472,الموظفون_الرقم,0)),"")</f>
        <v/>
      </c>
      <c r="F472" s="112" t="n"/>
      <c r="G472" s="47" t="n"/>
      <c r="H472" s="112" t="n"/>
      <c r="I472" s="47" t="n"/>
      <c r="J472" s="47" t="n"/>
      <c r="K472" s="47" t="n"/>
    </row>
    <row r="473">
      <c r="A473" s="39" t="n"/>
      <c r="B473" s="40" t="n"/>
      <c r="C473" s="40" t="n"/>
      <c r="D473" s="40" t="n"/>
      <c r="E473" s="43">
        <f>IFERROR(INDEX(الموظفون_الاسم,MATCH($D473,الموظفون_الرقم,0)),"")</f>
        <v/>
      </c>
      <c r="F473" s="110" t="n"/>
      <c r="G473" s="40" t="n"/>
      <c r="H473" s="110" t="n"/>
      <c r="I473" s="40" t="n"/>
      <c r="J473" s="40" t="n"/>
      <c r="K473" s="40" t="n"/>
    </row>
    <row r="474">
      <c r="A474" s="46" t="n"/>
      <c r="B474" s="47" t="n"/>
      <c r="C474" s="47" t="n"/>
      <c r="D474" s="47" t="n"/>
      <c r="E474" s="50">
        <f>IFERROR(INDEX(الموظفون_الاسم,MATCH($D474,الموظفون_الرقم,0)),"")</f>
        <v/>
      </c>
      <c r="F474" s="112" t="n"/>
      <c r="G474" s="47" t="n"/>
      <c r="H474" s="112" t="n"/>
      <c r="I474" s="47" t="n"/>
      <c r="J474" s="47" t="n"/>
      <c r="K474" s="47" t="n"/>
    </row>
    <row r="475">
      <c r="A475" s="39" t="n"/>
      <c r="B475" s="40" t="n"/>
      <c r="C475" s="40" t="n"/>
      <c r="D475" s="40" t="n"/>
      <c r="E475" s="43">
        <f>IFERROR(INDEX(الموظفون_الاسم,MATCH($D475,الموظفون_الرقم,0)),"")</f>
        <v/>
      </c>
      <c r="F475" s="110" t="n"/>
      <c r="G475" s="40" t="n"/>
      <c r="H475" s="110" t="n"/>
      <c r="I475" s="40" t="n"/>
      <c r="J475" s="40" t="n"/>
      <c r="K475" s="40" t="n"/>
    </row>
    <row r="476">
      <c r="A476" s="46" t="n"/>
      <c r="B476" s="47" t="n"/>
      <c r="C476" s="47" t="n"/>
      <c r="D476" s="47" t="n"/>
      <c r="E476" s="50">
        <f>IFERROR(INDEX(الموظفون_الاسم,MATCH($D476,الموظفون_الرقم,0)),"")</f>
        <v/>
      </c>
      <c r="F476" s="112" t="n"/>
      <c r="G476" s="47" t="n"/>
      <c r="H476" s="112" t="n"/>
      <c r="I476" s="47" t="n"/>
      <c r="J476" s="47" t="n"/>
      <c r="K476" s="47" t="n"/>
    </row>
    <row r="477">
      <c r="A477" s="39" t="n"/>
      <c r="B477" s="40" t="n"/>
      <c r="C477" s="40" t="n"/>
      <c r="D477" s="40" t="n"/>
      <c r="E477" s="43">
        <f>IFERROR(INDEX(الموظفون_الاسم,MATCH($D477,الموظفون_الرقم,0)),"")</f>
        <v/>
      </c>
      <c r="F477" s="110" t="n"/>
      <c r="G477" s="40" t="n"/>
      <c r="H477" s="110" t="n"/>
      <c r="I477" s="40" t="n"/>
      <c r="J477" s="40" t="n"/>
      <c r="K477" s="40" t="n"/>
    </row>
    <row r="478">
      <c r="A478" s="46" t="n"/>
      <c r="B478" s="47" t="n"/>
      <c r="C478" s="47" t="n"/>
      <c r="D478" s="47" t="n"/>
      <c r="E478" s="50">
        <f>IFERROR(INDEX(الموظفون_الاسم,MATCH($D478,الموظفون_الرقم,0)),"")</f>
        <v/>
      </c>
      <c r="F478" s="112" t="n"/>
      <c r="G478" s="47" t="n"/>
      <c r="H478" s="112" t="n"/>
      <c r="I478" s="47" t="n"/>
      <c r="J478" s="47" t="n"/>
      <c r="K478" s="47" t="n"/>
    </row>
    <row r="479">
      <c r="A479" s="39" t="n"/>
      <c r="B479" s="40" t="n"/>
      <c r="C479" s="40" t="n"/>
      <c r="D479" s="40" t="n"/>
      <c r="E479" s="43">
        <f>IFERROR(INDEX(الموظفون_الاسم,MATCH($D479,الموظفون_الرقم,0)),"")</f>
        <v/>
      </c>
      <c r="F479" s="110" t="n"/>
      <c r="G479" s="40" t="n"/>
      <c r="H479" s="110" t="n"/>
      <c r="I479" s="40" t="n"/>
      <c r="J479" s="40" t="n"/>
      <c r="K479" s="40" t="n"/>
    </row>
    <row r="480">
      <c r="A480" s="46" t="n"/>
      <c r="B480" s="47" t="n"/>
      <c r="C480" s="47" t="n"/>
      <c r="D480" s="47" t="n"/>
      <c r="E480" s="50">
        <f>IFERROR(INDEX(الموظفون_الاسم,MATCH($D480,الموظفون_الرقم,0)),"")</f>
        <v/>
      </c>
      <c r="F480" s="112" t="n"/>
      <c r="G480" s="47" t="n"/>
      <c r="H480" s="112" t="n"/>
      <c r="I480" s="47" t="n"/>
      <c r="J480" s="47" t="n"/>
      <c r="K480" s="47" t="n"/>
    </row>
    <row r="481">
      <c r="A481" s="39" t="n"/>
      <c r="B481" s="40" t="n"/>
      <c r="C481" s="40" t="n"/>
      <c r="D481" s="40" t="n"/>
      <c r="E481" s="43">
        <f>IFERROR(INDEX(الموظفون_الاسم,MATCH($D481,الموظفون_الرقم,0)),"")</f>
        <v/>
      </c>
      <c r="F481" s="110" t="n"/>
      <c r="G481" s="40" t="n"/>
      <c r="H481" s="110" t="n"/>
      <c r="I481" s="40" t="n"/>
      <c r="J481" s="40" t="n"/>
      <c r="K481" s="40" t="n"/>
    </row>
    <row r="482">
      <c r="A482" s="46" t="n"/>
      <c r="B482" s="47" t="n"/>
      <c r="C482" s="47" t="n"/>
      <c r="D482" s="47" t="n"/>
      <c r="E482" s="50">
        <f>IFERROR(INDEX(الموظفون_الاسم,MATCH($D482,الموظفون_الرقم,0)),"")</f>
        <v/>
      </c>
      <c r="F482" s="112" t="n"/>
      <c r="G482" s="47" t="n"/>
      <c r="H482" s="112" t="n"/>
      <c r="I482" s="47" t="n"/>
      <c r="J482" s="47" t="n"/>
      <c r="K482" s="47" t="n"/>
    </row>
    <row r="483">
      <c r="A483" s="39" t="n"/>
      <c r="B483" s="40" t="n"/>
      <c r="C483" s="40" t="n"/>
      <c r="D483" s="40" t="n"/>
      <c r="E483" s="43">
        <f>IFERROR(INDEX(الموظفون_الاسم,MATCH($D483,الموظفون_الرقم,0)),"")</f>
        <v/>
      </c>
      <c r="F483" s="110" t="n"/>
      <c r="G483" s="40" t="n"/>
      <c r="H483" s="110" t="n"/>
      <c r="I483" s="40" t="n"/>
      <c r="J483" s="40" t="n"/>
      <c r="K483" s="40" t="n"/>
    </row>
    <row r="484">
      <c r="A484" s="46" t="n"/>
      <c r="B484" s="47" t="n"/>
      <c r="C484" s="47" t="n"/>
      <c r="D484" s="47" t="n"/>
      <c r="E484" s="50">
        <f>IFERROR(INDEX(الموظفون_الاسم,MATCH($D484,الموظفون_الرقم,0)),"")</f>
        <v/>
      </c>
      <c r="F484" s="112" t="n"/>
      <c r="G484" s="47" t="n"/>
      <c r="H484" s="112" t="n"/>
      <c r="I484" s="47" t="n"/>
      <c r="J484" s="47" t="n"/>
      <c r="K484" s="47" t="n"/>
    </row>
    <row r="485">
      <c r="A485" s="39" t="n"/>
      <c r="B485" s="40" t="n"/>
      <c r="C485" s="40" t="n"/>
      <c r="D485" s="40" t="n"/>
      <c r="E485" s="43">
        <f>IFERROR(INDEX(الموظفون_الاسم,MATCH($D485,الموظفون_الرقم,0)),"")</f>
        <v/>
      </c>
      <c r="F485" s="110" t="n"/>
      <c r="G485" s="40" t="n"/>
      <c r="H485" s="110" t="n"/>
      <c r="I485" s="40" t="n"/>
      <c r="J485" s="40" t="n"/>
      <c r="K485" s="40" t="n"/>
    </row>
    <row r="486">
      <c r="A486" s="46" t="n"/>
      <c r="B486" s="47" t="n"/>
      <c r="C486" s="47" t="n"/>
      <c r="D486" s="47" t="n"/>
      <c r="E486" s="50">
        <f>IFERROR(INDEX(الموظفون_الاسم,MATCH($D486,الموظفون_الرقم,0)),"")</f>
        <v/>
      </c>
      <c r="F486" s="112" t="n"/>
      <c r="G486" s="47" t="n"/>
      <c r="H486" s="112" t="n"/>
      <c r="I486" s="47" t="n"/>
      <c r="J486" s="47" t="n"/>
      <c r="K486" s="47" t="n"/>
    </row>
    <row r="487">
      <c r="A487" s="39" t="n"/>
      <c r="B487" s="40" t="n"/>
      <c r="C487" s="40" t="n"/>
      <c r="D487" s="40" t="n"/>
      <c r="E487" s="43">
        <f>IFERROR(INDEX(الموظفون_الاسم,MATCH($D487,الموظفون_الرقم,0)),"")</f>
        <v/>
      </c>
      <c r="F487" s="110" t="n"/>
      <c r="G487" s="40" t="n"/>
      <c r="H487" s="110" t="n"/>
      <c r="I487" s="40" t="n"/>
      <c r="J487" s="40" t="n"/>
      <c r="K487" s="40" t="n"/>
    </row>
    <row r="488">
      <c r="A488" s="46" t="n"/>
      <c r="B488" s="47" t="n"/>
      <c r="C488" s="47" t="n"/>
      <c r="D488" s="47" t="n"/>
      <c r="E488" s="50">
        <f>IFERROR(INDEX(الموظفون_الاسم,MATCH($D488,الموظفون_الرقم,0)),"")</f>
        <v/>
      </c>
      <c r="F488" s="112" t="n"/>
      <c r="G488" s="47" t="n"/>
      <c r="H488" s="112" t="n"/>
      <c r="I488" s="47" t="n"/>
      <c r="J488" s="47" t="n"/>
      <c r="K488" s="47" t="n"/>
    </row>
    <row r="489">
      <c r="A489" s="39" t="n"/>
      <c r="B489" s="40" t="n"/>
      <c r="C489" s="40" t="n"/>
      <c r="D489" s="40" t="n"/>
      <c r="E489" s="43">
        <f>IFERROR(INDEX(الموظفون_الاسم,MATCH($D489,الموظفون_الرقم,0)),"")</f>
        <v/>
      </c>
      <c r="F489" s="110" t="n"/>
      <c r="G489" s="40" t="n"/>
      <c r="H489" s="110" t="n"/>
      <c r="I489" s="40" t="n"/>
      <c r="J489" s="40" t="n"/>
      <c r="K489" s="40" t="n"/>
    </row>
    <row r="490">
      <c r="A490" s="46" t="n"/>
      <c r="B490" s="47" t="n"/>
      <c r="C490" s="47" t="n"/>
      <c r="D490" s="47" t="n"/>
      <c r="E490" s="50">
        <f>IFERROR(INDEX(الموظفون_الاسم,MATCH($D490,الموظفون_الرقم,0)),"")</f>
        <v/>
      </c>
      <c r="F490" s="112" t="n"/>
      <c r="G490" s="47" t="n"/>
      <c r="H490" s="112" t="n"/>
      <c r="I490" s="47" t="n"/>
      <c r="J490" s="47" t="n"/>
      <c r="K490" s="47" t="n"/>
    </row>
    <row r="491">
      <c r="A491" s="39" t="n"/>
      <c r="B491" s="40" t="n"/>
      <c r="C491" s="40" t="n"/>
      <c r="D491" s="40" t="n"/>
      <c r="E491" s="43">
        <f>IFERROR(INDEX(الموظفون_الاسم,MATCH($D491,الموظفون_الرقم,0)),"")</f>
        <v/>
      </c>
      <c r="F491" s="110" t="n"/>
      <c r="G491" s="40" t="n"/>
      <c r="H491" s="110" t="n"/>
      <c r="I491" s="40" t="n"/>
      <c r="J491" s="40" t="n"/>
      <c r="K491" s="40" t="n"/>
    </row>
    <row r="492">
      <c r="A492" s="46" t="n"/>
      <c r="B492" s="47" t="n"/>
      <c r="C492" s="47" t="n"/>
      <c r="D492" s="47" t="n"/>
      <c r="E492" s="50">
        <f>IFERROR(INDEX(الموظفون_الاسم,MATCH($D492,الموظفون_الرقم,0)),"")</f>
        <v/>
      </c>
      <c r="F492" s="112" t="n"/>
      <c r="G492" s="47" t="n"/>
      <c r="H492" s="112" t="n"/>
      <c r="I492" s="47" t="n"/>
      <c r="J492" s="47" t="n"/>
      <c r="K492" s="47" t="n"/>
    </row>
    <row r="493">
      <c r="A493" s="39" t="n"/>
      <c r="B493" s="40" t="n"/>
      <c r="C493" s="40" t="n"/>
      <c r="D493" s="40" t="n"/>
      <c r="E493" s="43">
        <f>IFERROR(INDEX(الموظفون_الاسم,MATCH($D493,الموظفون_الرقم,0)),"")</f>
        <v/>
      </c>
      <c r="F493" s="110" t="n"/>
      <c r="G493" s="40" t="n"/>
      <c r="H493" s="110" t="n"/>
      <c r="I493" s="40" t="n"/>
      <c r="J493" s="40" t="n"/>
      <c r="K493" s="40" t="n"/>
    </row>
    <row r="494">
      <c r="A494" s="46" t="n"/>
      <c r="B494" s="47" t="n"/>
      <c r="C494" s="47" t="n"/>
      <c r="D494" s="47" t="n"/>
      <c r="E494" s="50">
        <f>IFERROR(INDEX(الموظفون_الاسم,MATCH($D494,الموظفون_الرقم,0)),"")</f>
        <v/>
      </c>
      <c r="F494" s="112" t="n"/>
      <c r="G494" s="47" t="n"/>
      <c r="H494" s="112" t="n"/>
      <c r="I494" s="47" t="n"/>
      <c r="J494" s="47" t="n"/>
      <c r="K494" s="47" t="n"/>
    </row>
    <row r="495">
      <c r="A495" s="39" t="n"/>
      <c r="B495" s="40" t="n"/>
      <c r="C495" s="40" t="n"/>
      <c r="D495" s="40" t="n"/>
      <c r="E495" s="43">
        <f>IFERROR(INDEX(الموظفون_الاسم,MATCH($D495,الموظفون_الرقم,0)),"")</f>
        <v/>
      </c>
      <c r="F495" s="110" t="n"/>
      <c r="G495" s="40" t="n"/>
      <c r="H495" s="110" t="n"/>
      <c r="I495" s="40" t="n"/>
      <c r="J495" s="40" t="n"/>
      <c r="K495" s="40" t="n"/>
    </row>
    <row r="496">
      <c r="A496" s="46" t="n"/>
      <c r="B496" s="47" t="n"/>
      <c r="C496" s="47" t="n"/>
      <c r="D496" s="47" t="n"/>
      <c r="E496" s="50">
        <f>IFERROR(INDEX(الموظفون_الاسم,MATCH($D496,الموظفون_الرقم,0)),"")</f>
        <v/>
      </c>
      <c r="F496" s="112" t="n"/>
      <c r="G496" s="47" t="n"/>
      <c r="H496" s="112" t="n"/>
      <c r="I496" s="47" t="n"/>
      <c r="J496" s="47" t="n"/>
      <c r="K496" s="47" t="n"/>
    </row>
    <row r="497">
      <c r="A497" s="39" t="n"/>
      <c r="B497" s="40" t="n"/>
      <c r="C497" s="40" t="n"/>
      <c r="D497" s="40" t="n"/>
      <c r="E497" s="43">
        <f>IFERROR(INDEX(الموظفون_الاسم,MATCH($D497,الموظفون_الرقم,0)),"")</f>
        <v/>
      </c>
      <c r="F497" s="110" t="n"/>
      <c r="G497" s="40" t="n"/>
      <c r="H497" s="110" t="n"/>
      <c r="I497" s="40" t="n"/>
      <c r="J497" s="40" t="n"/>
      <c r="K497" s="40" t="n"/>
    </row>
    <row r="498">
      <c r="A498" s="46" t="n"/>
      <c r="B498" s="47" t="n"/>
      <c r="C498" s="47" t="n"/>
      <c r="D498" s="47" t="n"/>
      <c r="E498" s="50">
        <f>IFERROR(INDEX(الموظفون_الاسم,MATCH($D498,الموظفون_الرقم,0)),"")</f>
        <v/>
      </c>
      <c r="F498" s="112" t="n"/>
      <c r="G498" s="47" t="n"/>
      <c r="H498" s="112" t="n"/>
      <c r="I498" s="47" t="n"/>
      <c r="J498" s="47" t="n"/>
      <c r="K498" s="47" t="n"/>
    </row>
    <row r="499">
      <c r="A499" s="39" t="n"/>
      <c r="B499" s="40" t="n"/>
      <c r="C499" s="40" t="n"/>
      <c r="D499" s="40" t="n"/>
      <c r="E499" s="43">
        <f>IFERROR(INDEX(الموظفون_الاسم,MATCH($D499,الموظفون_الرقم,0)),"")</f>
        <v/>
      </c>
      <c r="F499" s="110" t="n"/>
      <c r="G499" s="40" t="n"/>
      <c r="H499" s="110" t="n"/>
      <c r="I499" s="40" t="n"/>
      <c r="J499" s="40" t="n"/>
      <c r="K499" s="40" t="n"/>
    </row>
    <row r="500">
      <c r="A500" s="46" t="n"/>
      <c r="B500" s="47" t="n"/>
      <c r="C500" s="47" t="n"/>
      <c r="D500" s="47" t="n"/>
      <c r="E500" s="50">
        <f>IFERROR(INDEX(الموظفون_الاسم,MATCH($D500,الموظفون_الرقم,0)),"")</f>
        <v/>
      </c>
      <c r="F500" s="112" t="n"/>
      <c r="G500" s="47" t="n"/>
      <c r="H500" s="112" t="n"/>
      <c r="I500" s="47" t="n"/>
      <c r="J500" s="47" t="n"/>
      <c r="K500" s="47" t="n"/>
    </row>
    <row r="501">
      <c r="A501" s="39" t="n"/>
      <c r="B501" s="40" t="n"/>
      <c r="C501" s="40" t="n"/>
      <c r="D501" s="40" t="n"/>
      <c r="E501" s="43">
        <f>IFERROR(INDEX(الموظفون_الاسم,MATCH($D501,الموظفون_الرقم,0)),"")</f>
        <v/>
      </c>
      <c r="F501" s="110" t="n"/>
      <c r="G501" s="40" t="n"/>
      <c r="H501" s="110" t="n"/>
      <c r="I501" s="40" t="n"/>
      <c r="J501" s="40" t="n"/>
      <c r="K501" s="40" t="n"/>
    </row>
    <row r="502">
      <c r="A502" s="46" t="n"/>
      <c r="B502" s="47" t="n"/>
      <c r="C502" s="47" t="n"/>
      <c r="D502" s="47" t="n"/>
      <c r="E502" s="50">
        <f>IFERROR(INDEX(الموظفون_الاسم,MATCH($D502,الموظفون_الرقم,0)),"")</f>
        <v/>
      </c>
      <c r="F502" s="112" t="n"/>
      <c r="G502" s="47" t="n"/>
      <c r="H502" s="112" t="n"/>
      <c r="I502" s="47" t="n"/>
      <c r="J502" s="47" t="n"/>
      <c r="K502" s="4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C605"/>
  <autoFilter ref="A2:K502"/>
  <mergeCells count="1">
    <mergeCell ref="A1:K1"/>
  </mergeCells>
  <conditionalFormatting sqref="J3:J502">
    <cfRule type="cellIs" priority="1" operator="equal" dxfId="1">
      <formula>"مسلمة"</formula>
    </cfRule>
    <cfRule type="cellIs" priority="2" operator="equal" dxfId="2">
      <formula>"مسترجعة"</formula>
    </cfRule>
    <cfRule type="cellIs" priority="3" operator="equal" dxfId="3">
      <formula>"مفقودة"</formula>
    </cfRule>
  </conditionalFormatting>
  <dataValidations count="4">
    <dataValidation sqref="D3:D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=قائمة_الرقم_الوظيفي</formula1>
    </dataValidation>
    <dataValidation sqref="G3:G502 I3:I502" showDropDown="0" showInputMessage="0" showErrorMessage="1" allowBlank="1" type="list" errorStyle="stop">
      <formula1>"جديد,جيد,مقبول,تالف,معيب"</formula1>
    </dataValidation>
    <dataValidation sqref="G3:G502 I3:I502" showDropDown="0" showInputMessage="0" showErrorMessage="1" allowBlank="1" type="list" errorStyle="stop">
      <formula1>"جديد,جيد,مقبول,تالف,معيب"</formula1>
    </dataValidation>
    <dataValidation sqref="J3:J502" showDropDown="0" showInputMessage="0" showErrorMessage="1" allowBlank="1" type="list" errorStyle="stop">
      <formula1>"مسلمة,مسترجعة,تالفة,مفقودة,قيد الاسترجاع"</formula1>
    </dataValidation>
  </dataValidations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L207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0" customWidth="1" min="3" max="3"/>
    <col width="18" customWidth="1" min="4" max="4"/>
    <col width="16" customWidth="1" min="5" max="5"/>
    <col width="14" customWidth="1" min="6" max="6"/>
    <col width="13" customWidth="1" min="7" max="7"/>
    <col width="13" customWidth="1" min="8" max="8"/>
    <col width="14" customWidth="1" min="9" max="9"/>
    <col width="14" customWidth="1" min="10" max="10"/>
    <col width="13" customWidth="1" min="11" max="11"/>
    <col width="20" customWidth="1" min="12" max="12"/>
  </cols>
  <sheetData>
    <row r="1" ht="30" customHeight="1">
      <c r="A1" s="1">
        <f>اسم_المؤسسة</f>
        <v/>
      </c>
    </row>
    <row r="2" ht="26" customHeight="1">
      <c r="A2" s="65" t="inlineStr">
        <is>
          <t>كشف بيانات الموظفين</t>
        </is>
      </c>
    </row>
    <row r="3">
      <c r="A3" s="66">
        <f>"تاريخ إعداد التقرير: "&amp;TEXT(TODAY(),"yyyy-mm-dd")</f>
        <v/>
      </c>
      <c r="G3" s="6">
        <f>"السنة المالية: "&amp;السنة_المالية</f>
        <v/>
      </c>
    </row>
    <row r="6" ht="34" customHeight="1">
      <c r="A6" s="67" t="inlineStr">
        <is>
          <t>الرقم الوظيفي</t>
        </is>
      </c>
      <c r="B6" s="67" t="inlineStr">
        <is>
          <t>الاسم الكامل</t>
        </is>
      </c>
      <c r="C6" s="67" t="inlineStr">
        <is>
          <t>المسمى الوظيفي</t>
        </is>
      </c>
      <c r="D6" s="67" t="inlineStr">
        <is>
          <t>الإدارة</t>
        </is>
      </c>
      <c r="E6" s="67" t="inlineStr">
        <is>
          <t>القسم</t>
        </is>
      </c>
      <c r="F6" s="67" t="inlineStr">
        <is>
          <t>نوع التوظيف</t>
        </is>
      </c>
      <c r="G6" s="67" t="inlineStr">
        <is>
          <t>تاريخ التعيين</t>
        </is>
      </c>
      <c r="H6" s="67" t="inlineStr">
        <is>
          <t>نهاية العقد</t>
        </is>
      </c>
      <c r="I6" s="67" t="inlineStr">
        <is>
          <t>الحالة الوظيفية</t>
        </is>
      </c>
      <c r="J6" s="67" t="inlineStr">
        <is>
          <t>الراتب الأساسي</t>
        </is>
      </c>
      <c r="K6" s="67" t="inlineStr">
        <is>
          <t>البدلات الثابتة</t>
        </is>
      </c>
      <c r="L6" s="67" t="inlineStr">
        <is>
          <t>إجمالي الراتب الأساسي والبدلات</t>
        </is>
      </c>
    </row>
    <row r="7">
      <c r="A7" s="43">
        <f>IFERROR(INDEX('الموظفون'!$A$3:$A$502,1),"")</f>
        <v/>
      </c>
      <c r="B7" s="43">
        <f>IFERROR(INDEX('الموظفون'!$B$3:$B$502,1),"")</f>
        <v/>
      </c>
      <c r="C7" s="43">
        <f>IFERROR(INDEX('الموظفون'!$J$3:$J$502,1),"")</f>
        <v/>
      </c>
      <c r="D7" s="43">
        <f>IFERROR(INDEX('الموظفون'!$K$3:$K$502,1),"")</f>
        <v/>
      </c>
      <c r="E7" s="43">
        <f>IFERROR(INDEX('الموظفون'!$L$3:$L$502,1),"")</f>
        <v/>
      </c>
      <c r="F7" s="43">
        <f>IFERROR(INDEX('الموظفون'!$N$3:$N$502,1),"")</f>
        <v/>
      </c>
      <c r="G7" s="118">
        <f>IFERROR(INDEX('الموظفون'!$O$3:$O$502,1),"")</f>
        <v/>
      </c>
      <c r="H7" s="118">
        <f>IFERROR(INDEX('الموظفون'!$Q$3:$Q$502,1),"")</f>
        <v/>
      </c>
      <c r="I7" s="43">
        <f>IFERROR(INDEX('الموظفون'!$R$3:$R$502,1),"")</f>
        <v/>
      </c>
      <c r="J7" s="60">
        <f>IFERROR(INDEX('الموظفون'!$S$3:$S$502,1),"")</f>
        <v/>
      </c>
      <c r="K7" s="60">
        <f>IFERROR(INDEX('الموظفون'!$T$3:$T$502,1),"")</f>
        <v/>
      </c>
      <c r="L7" s="69">
        <f>IFERROR(IF(INDEX(الموظفون_الرقم,1)="","",INDEX(الموظفون_الاساسي,1)+INDEX(الموظفون_البدلات,1)),"")</f>
        <v/>
      </c>
    </row>
    <row r="8">
      <c r="A8" s="50">
        <f>IFERROR(INDEX('الموظفون'!$A$3:$A$502,2),"")</f>
        <v/>
      </c>
      <c r="B8" s="50">
        <f>IFERROR(INDEX('الموظفون'!$B$3:$B$502,2),"")</f>
        <v/>
      </c>
      <c r="C8" s="50">
        <f>IFERROR(INDEX('الموظفون'!$J$3:$J$502,2),"")</f>
        <v/>
      </c>
      <c r="D8" s="50">
        <f>IFERROR(INDEX('الموظفون'!$K$3:$K$502,2),"")</f>
        <v/>
      </c>
      <c r="E8" s="50">
        <f>IFERROR(INDEX('الموظفون'!$L$3:$L$502,2),"")</f>
        <v/>
      </c>
      <c r="F8" s="50">
        <f>IFERROR(INDEX('الموظفون'!$N$3:$N$502,2),"")</f>
        <v/>
      </c>
      <c r="G8" s="119">
        <f>IFERROR(INDEX('الموظفون'!$O$3:$O$502,2),"")</f>
        <v/>
      </c>
      <c r="H8" s="119">
        <f>IFERROR(INDEX('الموظفون'!$Q$3:$Q$502,2),"")</f>
        <v/>
      </c>
      <c r="I8" s="50">
        <f>IFERROR(INDEX('الموظفون'!$R$3:$R$502,2),"")</f>
        <v/>
      </c>
      <c r="J8" s="63">
        <f>IFERROR(INDEX('الموظفون'!$S$3:$S$502,2),"")</f>
        <v/>
      </c>
      <c r="K8" s="63">
        <f>IFERROR(INDEX('الموظفون'!$T$3:$T$502,2),"")</f>
        <v/>
      </c>
      <c r="L8" s="69">
        <f>IFERROR(IF(INDEX(الموظفون_الرقم,2)="","",INDEX(الموظفون_الاساسي,2)+INDEX(الموظفون_البدلات,2)),"")</f>
        <v/>
      </c>
    </row>
    <row r="9">
      <c r="A9" s="43">
        <f>IFERROR(INDEX('الموظفون'!$A$3:$A$502,3),"")</f>
        <v/>
      </c>
      <c r="B9" s="43">
        <f>IFERROR(INDEX('الموظفون'!$B$3:$B$502,3),"")</f>
        <v/>
      </c>
      <c r="C9" s="43">
        <f>IFERROR(INDEX('الموظفون'!$J$3:$J$502,3),"")</f>
        <v/>
      </c>
      <c r="D9" s="43">
        <f>IFERROR(INDEX('الموظفون'!$K$3:$K$502,3),"")</f>
        <v/>
      </c>
      <c r="E9" s="43">
        <f>IFERROR(INDEX('الموظفون'!$L$3:$L$502,3),"")</f>
        <v/>
      </c>
      <c r="F9" s="43">
        <f>IFERROR(INDEX('الموظفون'!$N$3:$N$502,3),"")</f>
        <v/>
      </c>
      <c r="G9" s="118">
        <f>IFERROR(INDEX('الموظفون'!$O$3:$O$502,3),"")</f>
        <v/>
      </c>
      <c r="H9" s="118">
        <f>IFERROR(INDEX('الموظفون'!$Q$3:$Q$502,3),"")</f>
        <v/>
      </c>
      <c r="I9" s="43">
        <f>IFERROR(INDEX('الموظفون'!$R$3:$R$502,3),"")</f>
        <v/>
      </c>
      <c r="J9" s="60">
        <f>IFERROR(INDEX('الموظفون'!$S$3:$S$502,3),"")</f>
        <v/>
      </c>
      <c r="K9" s="60">
        <f>IFERROR(INDEX('الموظفون'!$T$3:$T$502,3),"")</f>
        <v/>
      </c>
      <c r="L9" s="69">
        <f>IFERROR(IF(INDEX(الموظفون_الرقم,3)="","",INDEX(الموظفون_الاساسي,3)+INDEX(الموظفون_البدلات,3)),"")</f>
        <v/>
      </c>
    </row>
    <row r="10">
      <c r="A10" s="50">
        <f>IFERROR(INDEX('الموظفون'!$A$3:$A$502,4),"")</f>
        <v/>
      </c>
      <c r="B10" s="50">
        <f>IFERROR(INDEX('الموظفون'!$B$3:$B$502,4),"")</f>
        <v/>
      </c>
      <c r="C10" s="50">
        <f>IFERROR(INDEX('الموظفون'!$J$3:$J$502,4),"")</f>
        <v/>
      </c>
      <c r="D10" s="50">
        <f>IFERROR(INDEX('الموظفون'!$K$3:$K$502,4),"")</f>
        <v/>
      </c>
      <c r="E10" s="50">
        <f>IFERROR(INDEX('الموظفون'!$L$3:$L$502,4),"")</f>
        <v/>
      </c>
      <c r="F10" s="50">
        <f>IFERROR(INDEX('الموظفون'!$N$3:$N$502,4),"")</f>
        <v/>
      </c>
      <c r="G10" s="119">
        <f>IFERROR(INDEX('الموظفون'!$O$3:$O$502,4),"")</f>
        <v/>
      </c>
      <c r="H10" s="119">
        <f>IFERROR(INDEX('الموظفون'!$Q$3:$Q$502,4),"")</f>
        <v/>
      </c>
      <c r="I10" s="50">
        <f>IFERROR(INDEX('الموظفون'!$R$3:$R$502,4),"")</f>
        <v/>
      </c>
      <c r="J10" s="63">
        <f>IFERROR(INDEX('الموظفون'!$S$3:$S$502,4),"")</f>
        <v/>
      </c>
      <c r="K10" s="63">
        <f>IFERROR(INDEX('الموظفون'!$T$3:$T$502,4),"")</f>
        <v/>
      </c>
      <c r="L10" s="69">
        <f>IFERROR(IF(INDEX(الموظفون_الرقم,4)="","",INDEX(الموظفون_الاساسي,4)+INDEX(الموظفون_البدلات,4)),"")</f>
        <v/>
      </c>
    </row>
    <row r="11">
      <c r="A11" s="43">
        <f>IFERROR(INDEX('الموظفون'!$A$3:$A$502,5),"")</f>
        <v/>
      </c>
      <c r="B11" s="43">
        <f>IFERROR(INDEX('الموظفون'!$B$3:$B$502,5),"")</f>
        <v/>
      </c>
      <c r="C11" s="43">
        <f>IFERROR(INDEX('الموظفون'!$J$3:$J$502,5),"")</f>
        <v/>
      </c>
      <c r="D11" s="43">
        <f>IFERROR(INDEX('الموظفون'!$K$3:$K$502,5),"")</f>
        <v/>
      </c>
      <c r="E11" s="43">
        <f>IFERROR(INDEX('الموظفون'!$L$3:$L$502,5),"")</f>
        <v/>
      </c>
      <c r="F11" s="43">
        <f>IFERROR(INDEX('الموظفون'!$N$3:$N$502,5),"")</f>
        <v/>
      </c>
      <c r="G11" s="118">
        <f>IFERROR(INDEX('الموظفون'!$O$3:$O$502,5),"")</f>
        <v/>
      </c>
      <c r="H11" s="118">
        <f>IFERROR(INDEX('الموظفون'!$Q$3:$Q$502,5),"")</f>
        <v/>
      </c>
      <c r="I11" s="43">
        <f>IFERROR(INDEX('الموظفون'!$R$3:$R$502,5),"")</f>
        <v/>
      </c>
      <c r="J11" s="60">
        <f>IFERROR(INDEX('الموظفون'!$S$3:$S$502,5),"")</f>
        <v/>
      </c>
      <c r="K11" s="60">
        <f>IFERROR(INDEX('الموظفون'!$T$3:$T$502,5),"")</f>
        <v/>
      </c>
      <c r="L11" s="69">
        <f>IFERROR(IF(INDEX(الموظفون_الرقم,5)="","",INDEX(الموظفون_الاساسي,5)+INDEX(الموظفون_البدلات,5)),"")</f>
        <v/>
      </c>
    </row>
    <row r="12">
      <c r="A12" s="50">
        <f>IFERROR(INDEX('الموظفون'!$A$3:$A$502,6),"")</f>
        <v/>
      </c>
      <c r="B12" s="50">
        <f>IFERROR(INDEX('الموظفون'!$B$3:$B$502,6),"")</f>
        <v/>
      </c>
      <c r="C12" s="50">
        <f>IFERROR(INDEX('الموظفون'!$J$3:$J$502,6),"")</f>
        <v/>
      </c>
      <c r="D12" s="50">
        <f>IFERROR(INDEX('الموظفون'!$K$3:$K$502,6),"")</f>
        <v/>
      </c>
      <c r="E12" s="50">
        <f>IFERROR(INDEX('الموظفون'!$L$3:$L$502,6),"")</f>
        <v/>
      </c>
      <c r="F12" s="50">
        <f>IFERROR(INDEX('الموظفون'!$N$3:$N$502,6),"")</f>
        <v/>
      </c>
      <c r="G12" s="119">
        <f>IFERROR(INDEX('الموظفون'!$O$3:$O$502,6),"")</f>
        <v/>
      </c>
      <c r="H12" s="119">
        <f>IFERROR(INDEX('الموظفون'!$Q$3:$Q$502,6),"")</f>
        <v/>
      </c>
      <c r="I12" s="50">
        <f>IFERROR(INDEX('الموظفون'!$R$3:$R$502,6),"")</f>
        <v/>
      </c>
      <c r="J12" s="63">
        <f>IFERROR(INDEX('الموظفون'!$S$3:$S$502,6),"")</f>
        <v/>
      </c>
      <c r="K12" s="63">
        <f>IFERROR(INDEX('الموظفون'!$T$3:$T$502,6),"")</f>
        <v/>
      </c>
      <c r="L12" s="69">
        <f>IFERROR(IF(INDEX(الموظفون_الرقم,6)="","",INDEX(الموظفون_الاساسي,6)+INDEX(الموظفون_البدلات,6)),"")</f>
        <v/>
      </c>
    </row>
    <row r="13">
      <c r="A13" s="43">
        <f>IFERROR(INDEX('الموظفون'!$A$3:$A$502,7),"")</f>
        <v/>
      </c>
      <c r="B13" s="43">
        <f>IFERROR(INDEX('الموظفون'!$B$3:$B$502,7),"")</f>
        <v/>
      </c>
      <c r="C13" s="43">
        <f>IFERROR(INDEX('الموظفون'!$J$3:$J$502,7),"")</f>
        <v/>
      </c>
      <c r="D13" s="43">
        <f>IFERROR(INDEX('الموظفون'!$K$3:$K$502,7),"")</f>
        <v/>
      </c>
      <c r="E13" s="43">
        <f>IFERROR(INDEX('الموظفون'!$L$3:$L$502,7),"")</f>
        <v/>
      </c>
      <c r="F13" s="43">
        <f>IFERROR(INDEX('الموظفون'!$N$3:$N$502,7),"")</f>
        <v/>
      </c>
      <c r="G13" s="118">
        <f>IFERROR(INDEX('الموظفون'!$O$3:$O$502,7),"")</f>
        <v/>
      </c>
      <c r="H13" s="118">
        <f>IFERROR(INDEX('الموظفون'!$Q$3:$Q$502,7),"")</f>
        <v/>
      </c>
      <c r="I13" s="43">
        <f>IFERROR(INDEX('الموظفون'!$R$3:$R$502,7),"")</f>
        <v/>
      </c>
      <c r="J13" s="60">
        <f>IFERROR(INDEX('الموظفون'!$S$3:$S$502,7),"")</f>
        <v/>
      </c>
      <c r="K13" s="60">
        <f>IFERROR(INDEX('الموظفون'!$T$3:$T$502,7),"")</f>
        <v/>
      </c>
      <c r="L13" s="69">
        <f>IFERROR(IF(INDEX(الموظفون_الرقم,7)="","",INDEX(الموظفون_الاساسي,7)+INDEX(الموظفون_البدلات,7)),"")</f>
        <v/>
      </c>
    </row>
    <row r="14">
      <c r="A14" s="50">
        <f>IFERROR(INDEX('الموظفون'!$A$3:$A$502,8),"")</f>
        <v/>
      </c>
      <c r="B14" s="50">
        <f>IFERROR(INDEX('الموظفون'!$B$3:$B$502,8),"")</f>
        <v/>
      </c>
      <c r="C14" s="50">
        <f>IFERROR(INDEX('الموظفون'!$J$3:$J$502,8),"")</f>
        <v/>
      </c>
      <c r="D14" s="50">
        <f>IFERROR(INDEX('الموظفون'!$K$3:$K$502,8),"")</f>
        <v/>
      </c>
      <c r="E14" s="50">
        <f>IFERROR(INDEX('الموظفون'!$L$3:$L$502,8),"")</f>
        <v/>
      </c>
      <c r="F14" s="50">
        <f>IFERROR(INDEX('الموظفون'!$N$3:$N$502,8),"")</f>
        <v/>
      </c>
      <c r="G14" s="119">
        <f>IFERROR(INDEX('الموظفون'!$O$3:$O$502,8),"")</f>
        <v/>
      </c>
      <c r="H14" s="119">
        <f>IFERROR(INDEX('الموظفون'!$Q$3:$Q$502,8),"")</f>
        <v/>
      </c>
      <c r="I14" s="50">
        <f>IFERROR(INDEX('الموظفون'!$R$3:$R$502,8),"")</f>
        <v/>
      </c>
      <c r="J14" s="63">
        <f>IFERROR(INDEX('الموظفون'!$S$3:$S$502,8),"")</f>
        <v/>
      </c>
      <c r="K14" s="63">
        <f>IFERROR(INDEX('الموظفون'!$T$3:$T$502,8),"")</f>
        <v/>
      </c>
      <c r="L14" s="69">
        <f>IFERROR(IF(INDEX(الموظفون_الرقم,8)="","",INDEX(الموظفون_الاساسي,8)+INDEX(الموظفون_البدلات,8)),"")</f>
        <v/>
      </c>
    </row>
    <row r="15">
      <c r="A15" s="43">
        <f>IFERROR(INDEX('الموظفون'!$A$3:$A$502,9),"")</f>
        <v/>
      </c>
      <c r="B15" s="43">
        <f>IFERROR(INDEX('الموظفون'!$B$3:$B$502,9),"")</f>
        <v/>
      </c>
      <c r="C15" s="43">
        <f>IFERROR(INDEX('الموظفون'!$J$3:$J$502,9),"")</f>
        <v/>
      </c>
      <c r="D15" s="43">
        <f>IFERROR(INDEX('الموظفون'!$K$3:$K$502,9),"")</f>
        <v/>
      </c>
      <c r="E15" s="43">
        <f>IFERROR(INDEX('الموظفون'!$L$3:$L$502,9),"")</f>
        <v/>
      </c>
      <c r="F15" s="43">
        <f>IFERROR(INDEX('الموظفون'!$N$3:$N$502,9),"")</f>
        <v/>
      </c>
      <c r="G15" s="118">
        <f>IFERROR(INDEX('الموظفون'!$O$3:$O$502,9),"")</f>
        <v/>
      </c>
      <c r="H15" s="118">
        <f>IFERROR(INDEX('الموظفون'!$Q$3:$Q$502,9),"")</f>
        <v/>
      </c>
      <c r="I15" s="43">
        <f>IFERROR(INDEX('الموظفون'!$R$3:$R$502,9),"")</f>
        <v/>
      </c>
      <c r="J15" s="60">
        <f>IFERROR(INDEX('الموظفون'!$S$3:$S$502,9),"")</f>
        <v/>
      </c>
      <c r="K15" s="60">
        <f>IFERROR(INDEX('الموظفون'!$T$3:$T$502,9),"")</f>
        <v/>
      </c>
      <c r="L15" s="69">
        <f>IFERROR(IF(INDEX(الموظفون_الرقم,9)="","",INDEX(الموظفون_الاساسي,9)+INDEX(الموظفون_البدلات,9)),"")</f>
        <v/>
      </c>
    </row>
    <row r="16">
      <c r="A16" s="50">
        <f>IFERROR(INDEX('الموظفون'!$A$3:$A$502,10),"")</f>
        <v/>
      </c>
      <c r="B16" s="50">
        <f>IFERROR(INDEX('الموظفون'!$B$3:$B$502,10),"")</f>
        <v/>
      </c>
      <c r="C16" s="50">
        <f>IFERROR(INDEX('الموظفون'!$J$3:$J$502,10),"")</f>
        <v/>
      </c>
      <c r="D16" s="50">
        <f>IFERROR(INDEX('الموظفون'!$K$3:$K$502,10),"")</f>
        <v/>
      </c>
      <c r="E16" s="50">
        <f>IFERROR(INDEX('الموظفون'!$L$3:$L$502,10),"")</f>
        <v/>
      </c>
      <c r="F16" s="50">
        <f>IFERROR(INDEX('الموظفون'!$N$3:$N$502,10),"")</f>
        <v/>
      </c>
      <c r="G16" s="119">
        <f>IFERROR(INDEX('الموظفون'!$O$3:$O$502,10),"")</f>
        <v/>
      </c>
      <c r="H16" s="119">
        <f>IFERROR(INDEX('الموظفون'!$Q$3:$Q$502,10),"")</f>
        <v/>
      </c>
      <c r="I16" s="50">
        <f>IFERROR(INDEX('الموظفون'!$R$3:$R$502,10),"")</f>
        <v/>
      </c>
      <c r="J16" s="63">
        <f>IFERROR(INDEX('الموظفون'!$S$3:$S$502,10),"")</f>
        <v/>
      </c>
      <c r="K16" s="63">
        <f>IFERROR(INDEX('الموظفون'!$T$3:$T$502,10),"")</f>
        <v/>
      </c>
      <c r="L16" s="69">
        <f>IFERROR(IF(INDEX(الموظفون_الرقم,10)="","",INDEX(الموظفون_الاساسي,10)+INDEX(الموظفون_البدلات,10)),"")</f>
        <v/>
      </c>
    </row>
    <row r="17">
      <c r="A17" s="43">
        <f>IFERROR(INDEX('الموظفون'!$A$3:$A$502,11),"")</f>
        <v/>
      </c>
      <c r="B17" s="43">
        <f>IFERROR(INDEX('الموظفون'!$B$3:$B$502,11),"")</f>
        <v/>
      </c>
      <c r="C17" s="43">
        <f>IFERROR(INDEX('الموظفون'!$J$3:$J$502,11),"")</f>
        <v/>
      </c>
      <c r="D17" s="43">
        <f>IFERROR(INDEX('الموظفون'!$K$3:$K$502,11),"")</f>
        <v/>
      </c>
      <c r="E17" s="43">
        <f>IFERROR(INDEX('الموظفون'!$L$3:$L$502,11),"")</f>
        <v/>
      </c>
      <c r="F17" s="43">
        <f>IFERROR(INDEX('الموظفون'!$N$3:$N$502,11),"")</f>
        <v/>
      </c>
      <c r="G17" s="118">
        <f>IFERROR(INDEX('الموظفون'!$O$3:$O$502,11),"")</f>
        <v/>
      </c>
      <c r="H17" s="118">
        <f>IFERROR(INDEX('الموظفون'!$Q$3:$Q$502,11),"")</f>
        <v/>
      </c>
      <c r="I17" s="43">
        <f>IFERROR(INDEX('الموظفون'!$R$3:$R$502,11),"")</f>
        <v/>
      </c>
      <c r="J17" s="60">
        <f>IFERROR(INDEX('الموظفون'!$S$3:$S$502,11),"")</f>
        <v/>
      </c>
      <c r="K17" s="60">
        <f>IFERROR(INDEX('الموظفون'!$T$3:$T$502,11),"")</f>
        <v/>
      </c>
      <c r="L17" s="69">
        <f>IFERROR(IF(INDEX(الموظفون_الرقم,11)="","",INDEX(الموظفون_الاساسي,11)+INDEX(الموظفون_البدلات,11)),"")</f>
        <v/>
      </c>
    </row>
    <row r="18">
      <c r="A18" s="50">
        <f>IFERROR(INDEX('الموظفون'!$A$3:$A$502,12),"")</f>
        <v/>
      </c>
      <c r="B18" s="50">
        <f>IFERROR(INDEX('الموظفون'!$B$3:$B$502,12),"")</f>
        <v/>
      </c>
      <c r="C18" s="50">
        <f>IFERROR(INDEX('الموظفون'!$J$3:$J$502,12),"")</f>
        <v/>
      </c>
      <c r="D18" s="50">
        <f>IFERROR(INDEX('الموظفون'!$K$3:$K$502,12),"")</f>
        <v/>
      </c>
      <c r="E18" s="50">
        <f>IFERROR(INDEX('الموظفون'!$L$3:$L$502,12),"")</f>
        <v/>
      </c>
      <c r="F18" s="50">
        <f>IFERROR(INDEX('الموظفون'!$N$3:$N$502,12),"")</f>
        <v/>
      </c>
      <c r="G18" s="119">
        <f>IFERROR(INDEX('الموظفون'!$O$3:$O$502,12),"")</f>
        <v/>
      </c>
      <c r="H18" s="119">
        <f>IFERROR(INDEX('الموظفون'!$Q$3:$Q$502,12),"")</f>
        <v/>
      </c>
      <c r="I18" s="50">
        <f>IFERROR(INDEX('الموظفون'!$R$3:$R$502,12),"")</f>
        <v/>
      </c>
      <c r="J18" s="63">
        <f>IFERROR(INDEX('الموظفون'!$S$3:$S$502,12),"")</f>
        <v/>
      </c>
      <c r="K18" s="63">
        <f>IFERROR(INDEX('الموظفون'!$T$3:$T$502,12),"")</f>
        <v/>
      </c>
      <c r="L18" s="69">
        <f>IFERROR(IF(INDEX(الموظفون_الرقم,12)="","",INDEX(الموظفون_الاساسي,12)+INDEX(الموظفون_البدلات,12)),"")</f>
        <v/>
      </c>
    </row>
    <row r="19">
      <c r="A19" s="43">
        <f>IFERROR(INDEX('الموظفون'!$A$3:$A$502,13),"")</f>
        <v/>
      </c>
      <c r="B19" s="43">
        <f>IFERROR(INDEX('الموظفون'!$B$3:$B$502,13),"")</f>
        <v/>
      </c>
      <c r="C19" s="43">
        <f>IFERROR(INDEX('الموظفون'!$J$3:$J$502,13),"")</f>
        <v/>
      </c>
      <c r="D19" s="43">
        <f>IFERROR(INDEX('الموظفون'!$K$3:$K$502,13),"")</f>
        <v/>
      </c>
      <c r="E19" s="43">
        <f>IFERROR(INDEX('الموظفون'!$L$3:$L$502,13),"")</f>
        <v/>
      </c>
      <c r="F19" s="43">
        <f>IFERROR(INDEX('الموظفون'!$N$3:$N$502,13),"")</f>
        <v/>
      </c>
      <c r="G19" s="118">
        <f>IFERROR(INDEX('الموظفون'!$O$3:$O$502,13),"")</f>
        <v/>
      </c>
      <c r="H19" s="118">
        <f>IFERROR(INDEX('الموظفون'!$Q$3:$Q$502,13),"")</f>
        <v/>
      </c>
      <c r="I19" s="43">
        <f>IFERROR(INDEX('الموظفون'!$R$3:$R$502,13),"")</f>
        <v/>
      </c>
      <c r="J19" s="60">
        <f>IFERROR(INDEX('الموظفون'!$S$3:$S$502,13),"")</f>
        <v/>
      </c>
      <c r="K19" s="60">
        <f>IFERROR(INDEX('الموظفون'!$T$3:$T$502,13),"")</f>
        <v/>
      </c>
      <c r="L19" s="69">
        <f>IFERROR(IF(INDEX(الموظفون_الرقم,13)="","",INDEX(الموظفون_الاساسي,13)+INDEX(الموظفون_البدلات,13)),"")</f>
        <v/>
      </c>
    </row>
    <row r="20">
      <c r="A20" s="50">
        <f>IFERROR(INDEX('الموظفون'!$A$3:$A$502,14),"")</f>
        <v/>
      </c>
      <c r="B20" s="50">
        <f>IFERROR(INDEX('الموظفون'!$B$3:$B$502,14),"")</f>
        <v/>
      </c>
      <c r="C20" s="50">
        <f>IFERROR(INDEX('الموظفون'!$J$3:$J$502,14),"")</f>
        <v/>
      </c>
      <c r="D20" s="50">
        <f>IFERROR(INDEX('الموظفون'!$K$3:$K$502,14),"")</f>
        <v/>
      </c>
      <c r="E20" s="50">
        <f>IFERROR(INDEX('الموظفون'!$L$3:$L$502,14),"")</f>
        <v/>
      </c>
      <c r="F20" s="50">
        <f>IFERROR(INDEX('الموظفون'!$N$3:$N$502,14),"")</f>
        <v/>
      </c>
      <c r="G20" s="119">
        <f>IFERROR(INDEX('الموظفون'!$O$3:$O$502,14),"")</f>
        <v/>
      </c>
      <c r="H20" s="119">
        <f>IFERROR(INDEX('الموظفون'!$Q$3:$Q$502,14),"")</f>
        <v/>
      </c>
      <c r="I20" s="50">
        <f>IFERROR(INDEX('الموظفون'!$R$3:$R$502,14),"")</f>
        <v/>
      </c>
      <c r="J20" s="63">
        <f>IFERROR(INDEX('الموظفون'!$S$3:$S$502,14),"")</f>
        <v/>
      </c>
      <c r="K20" s="63">
        <f>IFERROR(INDEX('الموظفون'!$T$3:$T$502,14),"")</f>
        <v/>
      </c>
      <c r="L20" s="69">
        <f>IFERROR(IF(INDEX(الموظفون_الرقم,14)="","",INDEX(الموظفون_الاساسي,14)+INDEX(الموظفون_البدلات,14)),"")</f>
        <v/>
      </c>
    </row>
    <row r="21">
      <c r="A21" s="43">
        <f>IFERROR(INDEX('الموظفون'!$A$3:$A$502,15),"")</f>
        <v/>
      </c>
      <c r="B21" s="43">
        <f>IFERROR(INDEX('الموظفون'!$B$3:$B$502,15),"")</f>
        <v/>
      </c>
      <c r="C21" s="43">
        <f>IFERROR(INDEX('الموظفون'!$J$3:$J$502,15),"")</f>
        <v/>
      </c>
      <c r="D21" s="43">
        <f>IFERROR(INDEX('الموظفون'!$K$3:$K$502,15),"")</f>
        <v/>
      </c>
      <c r="E21" s="43">
        <f>IFERROR(INDEX('الموظفون'!$L$3:$L$502,15),"")</f>
        <v/>
      </c>
      <c r="F21" s="43">
        <f>IFERROR(INDEX('الموظفون'!$N$3:$N$502,15),"")</f>
        <v/>
      </c>
      <c r="G21" s="118">
        <f>IFERROR(INDEX('الموظفون'!$O$3:$O$502,15),"")</f>
        <v/>
      </c>
      <c r="H21" s="118">
        <f>IFERROR(INDEX('الموظفون'!$Q$3:$Q$502,15),"")</f>
        <v/>
      </c>
      <c r="I21" s="43">
        <f>IFERROR(INDEX('الموظفون'!$R$3:$R$502,15),"")</f>
        <v/>
      </c>
      <c r="J21" s="60">
        <f>IFERROR(INDEX('الموظفون'!$S$3:$S$502,15),"")</f>
        <v/>
      </c>
      <c r="K21" s="60">
        <f>IFERROR(INDEX('الموظفون'!$T$3:$T$502,15),"")</f>
        <v/>
      </c>
      <c r="L21" s="69">
        <f>IFERROR(IF(INDEX(الموظفون_الرقم,15)="","",INDEX(الموظفون_الاساسي,15)+INDEX(الموظفون_البدلات,15)),"")</f>
        <v/>
      </c>
    </row>
    <row r="22">
      <c r="A22" s="50">
        <f>IFERROR(INDEX('الموظفون'!$A$3:$A$502,16),"")</f>
        <v/>
      </c>
      <c r="B22" s="50">
        <f>IFERROR(INDEX('الموظفون'!$B$3:$B$502,16),"")</f>
        <v/>
      </c>
      <c r="C22" s="50">
        <f>IFERROR(INDEX('الموظفون'!$J$3:$J$502,16),"")</f>
        <v/>
      </c>
      <c r="D22" s="50">
        <f>IFERROR(INDEX('الموظفون'!$K$3:$K$502,16),"")</f>
        <v/>
      </c>
      <c r="E22" s="50">
        <f>IFERROR(INDEX('الموظفون'!$L$3:$L$502,16),"")</f>
        <v/>
      </c>
      <c r="F22" s="50">
        <f>IFERROR(INDEX('الموظفون'!$N$3:$N$502,16),"")</f>
        <v/>
      </c>
      <c r="G22" s="119">
        <f>IFERROR(INDEX('الموظفون'!$O$3:$O$502,16),"")</f>
        <v/>
      </c>
      <c r="H22" s="119">
        <f>IFERROR(INDEX('الموظفون'!$Q$3:$Q$502,16),"")</f>
        <v/>
      </c>
      <c r="I22" s="50">
        <f>IFERROR(INDEX('الموظفون'!$R$3:$R$502,16),"")</f>
        <v/>
      </c>
      <c r="J22" s="63">
        <f>IFERROR(INDEX('الموظفون'!$S$3:$S$502,16),"")</f>
        <v/>
      </c>
      <c r="K22" s="63">
        <f>IFERROR(INDEX('الموظفون'!$T$3:$T$502,16),"")</f>
        <v/>
      </c>
      <c r="L22" s="69">
        <f>IFERROR(IF(INDEX(الموظفون_الرقم,16)="","",INDEX(الموظفون_الاساسي,16)+INDEX(الموظفون_البدلات,16)),"")</f>
        <v/>
      </c>
    </row>
    <row r="23">
      <c r="A23" s="43">
        <f>IFERROR(INDEX('الموظفون'!$A$3:$A$502,17),"")</f>
        <v/>
      </c>
      <c r="B23" s="43">
        <f>IFERROR(INDEX('الموظفون'!$B$3:$B$502,17),"")</f>
        <v/>
      </c>
      <c r="C23" s="43">
        <f>IFERROR(INDEX('الموظفون'!$J$3:$J$502,17),"")</f>
        <v/>
      </c>
      <c r="D23" s="43">
        <f>IFERROR(INDEX('الموظفون'!$K$3:$K$502,17),"")</f>
        <v/>
      </c>
      <c r="E23" s="43">
        <f>IFERROR(INDEX('الموظفون'!$L$3:$L$502,17),"")</f>
        <v/>
      </c>
      <c r="F23" s="43">
        <f>IFERROR(INDEX('الموظفون'!$N$3:$N$502,17),"")</f>
        <v/>
      </c>
      <c r="G23" s="118">
        <f>IFERROR(INDEX('الموظفون'!$O$3:$O$502,17),"")</f>
        <v/>
      </c>
      <c r="H23" s="118">
        <f>IFERROR(INDEX('الموظفون'!$Q$3:$Q$502,17),"")</f>
        <v/>
      </c>
      <c r="I23" s="43">
        <f>IFERROR(INDEX('الموظفون'!$R$3:$R$502,17),"")</f>
        <v/>
      </c>
      <c r="J23" s="60">
        <f>IFERROR(INDEX('الموظفون'!$S$3:$S$502,17),"")</f>
        <v/>
      </c>
      <c r="K23" s="60">
        <f>IFERROR(INDEX('الموظفون'!$T$3:$T$502,17),"")</f>
        <v/>
      </c>
      <c r="L23" s="69">
        <f>IFERROR(IF(INDEX(الموظفون_الرقم,17)="","",INDEX(الموظفون_الاساسي,17)+INDEX(الموظفون_البدلات,17)),"")</f>
        <v/>
      </c>
    </row>
    <row r="24">
      <c r="A24" s="50">
        <f>IFERROR(INDEX('الموظفون'!$A$3:$A$502,18),"")</f>
        <v/>
      </c>
      <c r="B24" s="50">
        <f>IFERROR(INDEX('الموظفون'!$B$3:$B$502,18),"")</f>
        <v/>
      </c>
      <c r="C24" s="50">
        <f>IFERROR(INDEX('الموظفون'!$J$3:$J$502,18),"")</f>
        <v/>
      </c>
      <c r="D24" s="50">
        <f>IFERROR(INDEX('الموظفون'!$K$3:$K$502,18),"")</f>
        <v/>
      </c>
      <c r="E24" s="50">
        <f>IFERROR(INDEX('الموظفون'!$L$3:$L$502,18),"")</f>
        <v/>
      </c>
      <c r="F24" s="50">
        <f>IFERROR(INDEX('الموظفون'!$N$3:$N$502,18),"")</f>
        <v/>
      </c>
      <c r="G24" s="119">
        <f>IFERROR(INDEX('الموظفون'!$O$3:$O$502,18),"")</f>
        <v/>
      </c>
      <c r="H24" s="119">
        <f>IFERROR(INDEX('الموظفون'!$Q$3:$Q$502,18),"")</f>
        <v/>
      </c>
      <c r="I24" s="50">
        <f>IFERROR(INDEX('الموظفون'!$R$3:$R$502,18),"")</f>
        <v/>
      </c>
      <c r="J24" s="63">
        <f>IFERROR(INDEX('الموظفون'!$S$3:$S$502,18),"")</f>
        <v/>
      </c>
      <c r="K24" s="63">
        <f>IFERROR(INDEX('الموظفون'!$T$3:$T$502,18),"")</f>
        <v/>
      </c>
      <c r="L24" s="69">
        <f>IFERROR(IF(INDEX(الموظفون_الرقم,18)="","",INDEX(الموظفون_الاساسي,18)+INDEX(الموظفون_البدلات,18)),"")</f>
        <v/>
      </c>
    </row>
    <row r="25">
      <c r="A25" s="43">
        <f>IFERROR(INDEX('الموظفون'!$A$3:$A$502,19),"")</f>
        <v/>
      </c>
      <c r="B25" s="43">
        <f>IFERROR(INDEX('الموظفون'!$B$3:$B$502,19),"")</f>
        <v/>
      </c>
      <c r="C25" s="43">
        <f>IFERROR(INDEX('الموظفون'!$J$3:$J$502,19),"")</f>
        <v/>
      </c>
      <c r="D25" s="43">
        <f>IFERROR(INDEX('الموظفون'!$K$3:$K$502,19),"")</f>
        <v/>
      </c>
      <c r="E25" s="43">
        <f>IFERROR(INDEX('الموظفون'!$L$3:$L$502,19),"")</f>
        <v/>
      </c>
      <c r="F25" s="43">
        <f>IFERROR(INDEX('الموظفون'!$N$3:$N$502,19),"")</f>
        <v/>
      </c>
      <c r="G25" s="118">
        <f>IFERROR(INDEX('الموظفون'!$O$3:$O$502,19),"")</f>
        <v/>
      </c>
      <c r="H25" s="118">
        <f>IFERROR(INDEX('الموظفون'!$Q$3:$Q$502,19),"")</f>
        <v/>
      </c>
      <c r="I25" s="43">
        <f>IFERROR(INDEX('الموظفون'!$R$3:$R$502,19),"")</f>
        <v/>
      </c>
      <c r="J25" s="60">
        <f>IFERROR(INDEX('الموظفون'!$S$3:$S$502,19),"")</f>
        <v/>
      </c>
      <c r="K25" s="60">
        <f>IFERROR(INDEX('الموظفون'!$T$3:$T$502,19),"")</f>
        <v/>
      </c>
      <c r="L25" s="69">
        <f>IFERROR(IF(INDEX(الموظفون_الرقم,19)="","",INDEX(الموظفون_الاساسي,19)+INDEX(الموظفون_البدلات,19)),"")</f>
        <v/>
      </c>
    </row>
    <row r="26">
      <c r="A26" s="50">
        <f>IFERROR(INDEX('الموظفون'!$A$3:$A$502,20),"")</f>
        <v/>
      </c>
      <c r="B26" s="50">
        <f>IFERROR(INDEX('الموظفون'!$B$3:$B$502,20),"")</f>
        <v/>
      </c>
      <c r="C26" s="50">
        <f>IFERROR(INDEX('الموظفون'!$J$3:$J$502,20),"")</f>
        <v/>
      </c>
      <c r="D26" s="50">
        <f>IFERROR(INDEX('الموظفون'!$K$3:$K$502,20),"")</f>
        <v/>
      </c>
      <c r="E26" s="50">
        <f>IFERROR(INDEX('الموظفون'!$L$3:$L$502,20),"")</f>
        <v/>
      </c>
      <c r="F26" s="50">
        <f>IFERROR(INDEX('الموظفون'!$N$3:$N$502,20),"")</f>
        <v/>
      </c>
      <c r="G26" s="119">
        <f>IFERROR(INDEX('الموظفون'!$O$3:$O$502,20),"")</f>
        <v/>
      </c>
      <c r="H26" s="119">
        <f>IFERROR(INDEX('الموظفون'!$Q$3:$Q$502,20),"")</f>
        <v/>
      </c>
      <c r="I26" s="50">
        <f>IFERROR(INDEX('الموظفون'!$R$3:$R$502,20),"")</f>
        <v/>
      </c>
      <c r="J26" s="63">
        <f>IFERROR(INDEX('الموظفون'!$S$3:$S$502,20),"")</f>
        <v/>
      </c>
      <c r="K26" s="63">
        <f>IFERROR(INDEX('الموظفون'!$T$3:$T$502,20),"")</f>
        <v/>
      </c>
      <c r="L26" s="69">
        <f>IFERROR(IF(INDEX(الموظفون_الرقم,20)="","",INDEX(الموظفون_الاساسي,20)+INDEX(الموظفون_البدلات,20)),"")</f>
        <v/>
      </c>
    </row>
    <row r="27">
      <c r="A27" s="43">
        <f>IFERROR(INDEX('الموظفون'!$A$3:$A$502,21),"")</f>
        <v/>
      </c>
      <c r="B27" s="43">
        <f>IFERROR(INDEX('الموظفون'!$B$3:$B$502,21),"")</f>
        <v/>
      </c>
      <c r="C27" s="43">
        <f>IFERROR(INDEX('الموظفون'!$J$3:$J$502,21),"")</f>
        <v/>
      </c>
      <c r="D27" s="43">
        <f>IFERROR(INDEX('الموظفون'!$K$3:$K$502,21),"")</f>
        <v/>
      </c>
      <c r="E27" s="43">
        <f>IFERROR(INDEX('الموظفون'!$L$3:$L$502,21),"")</f>
        <v/>
      </c>
      <c r="F27" s="43">
        <f>IFERROR(INDEX('الموظفون'!$N$3:$N$502,21),"")</f>
        <v/>
      </c>
      <c r="G27" s="118">
        <f>IFERROR(INDEX('الموظفون'!$O$3:$O$502,21),"")</f>
        <v/>
      </c>
      <c r="H27" s="118">
        <f>IFERROR(INDEX('الموظفون'!$Q$3:$Q$502,21),"")</f>
        <v/>
      </c>
      <c r="I27" s="43">
        <f>IFERROR(INDEX('الموظفون'!$R$3:$R$502,21),"")</f>
        <v/>
      </c>
      <c r="J27" s="60">
        <f>IFERROR(INDEX('الموظفون'!$S$3:$S$502,21),"")</f>
        <v/>
      </c>
      <c r="K27" s="60">
        <f>IFERROR(INDEX('الموظفون'!$T$3:$T$502,21),"")</f>
        <v/>
      </c>
      <c r="L27" s="69">
        <f>IFERROR(IF(INDEX(الموظفون_الرقم,21)="","",INDEX(الموظفون_الاساسي,21)+INDEX(الموظفون_البدلات,21)),"")</f>
        <v/>
      </c>
    </row>
    <row r="28">
      <c r="A28" s="50">
        <f>IFERROR(INDEX('الموظفون'!$A$3:$A$502,22),"")</f>
        <v/>
      </c>
      <c r="B28" s="50">
        <f>IFERROR(INDEX('الموظفون'!$B$3:$B$502,22),"")</f>
        <v/>
      </c>
      <c r="C28" s="50">
        <f>IFERROR(INDEX('الموظفون'!$J$3:$J$502,22),"")</f>
        <v/>
      </c>
      <c r="D28" s="50">
        <f>IFERROR(INDEX('الموظفون'!$K$3:$K$502,22),"")</f>
        <v/>
      </c>
      <c r="E28" s="50">
        <f>IFERROR(INDEX('الموظفون'!$L$3:$L$502,22),"")</f>
        <v/>
      </c>
      <c r="F28" s="50">
        <f>IFERROR(INDEX('الموظفون'!$N$3:$N$502,22),"")</f>
        <v/>
      </c>
      <c r="G28" s="119">
        <f>IFERROR(INDEX('الموظفون'!$O$3:$O$502,22),"")</f>
        <v/>
      </c>
      <c r="H28" s="119">
        <f>IFERROR(INDEX('الموظفون'!$Q$3:$Q$502,22),"")</f>
        <v/>
      </c>
      <c r="I28" s="50">
        <f>IFERROR(INDEX('الموظفون'!$R$3:$R$502,22),"")</f>
        <v/>
      </c>
      <c r="J28" s="63">
        <f>IFERROR(INDEX('الموظفون'!$S$3:$S$502,22),"")</f>
        <v/>
      </c>
      <c r="K28" s="63">
        <f>IFERROR(INDEX('الموظفون'!$T$3:$T$502,22),"")</f>
        <v/>
      </c>
      <c r="L28" s="69">
        <f>IFERROR(IF(INDEX(الموظفون_الرقم,22)="","",INDEX(الموظفون_الاساسي,22)+INDEX(الموظفون_البدلات,22)),"")</f>
        <v/>
      </c>
    </row>
    <row r="29">
      <c r="A29" s="43">
        <f>IFERROR(INDEX('الموظفون'!$A$3:$A$502,23),"")</f>
        <v/>
      </c>
      <c r="B29" s="43">
        <f>IFERROR(INDEX('الموظفون'!$B$3:$B$502,23),"")</f>
        <v/>
      </c>
      <c r="C29" s="43">
        <f>IFERROR(INDEX('الموظفون'!$J$3:$J$502,23),"")</f>
        <v/>
      </c>
      <c r="D29" s="43">
        <f>IFERROR(INDEX('الموظفون'!$K$3:$K$502,23),"")</f>
        <v/>
      </c>
      <c r="E29" s="43">
        <f>IFERROR(INDEX('الموظفون'!$L$3:$L$502,23),"")</f>
        <v/>
      </c>
      <c r="F29" s="43">
        <f>IFERROR(INDEX('الموظفون'!$N$3:$N$502,23),"")</f>
        <v/>
      </c>
      <c r="G29" s="118">
        <f>IFERROR(INDEX('الموظفون'!$O$3:$O$502,23),"")</f>
        <v/>
      </c>
      <c r="H29" s="118">
        <f>IFERROR(INDEX('الموظفون'!$Q$3:$Q$502,23),"")</f>
        <v/>
      </c>
      <c r="I29" s="43">
        <f>IFERROR(INDEX('الموظفون'!$R$3:$R$502,23),"")</f>
        <v/>
      </c>
      <c r="J29" s="60">
        <f>IFERROR(INDEX('الموظفون'!$S$3:$S$502,23),"")</f>
        <v/>
      </c>
      <c r="K29" s="60">
        <f>IFERROR(INDEX('الموظفون'!$T$3:$T$502,23),"")</f>
        <v/>
      </c>
      <c r="L29" s="69">
        <f>IFERROR(IF(INDEX(الموظفون_الرقم,23)="","",INDEX(الموظفون_الاساسي,23)+INDEX(الموظفون_البدلات,23)),"")</f>
        <v/>
      </c>
    </row>
    <row r="30">
      <c r="A30" s="50">
        <f>IFERROR(INDEX('الموظفون'!$A$3:$A$502,24),"")</f>
        <v/>
      </c>
      <c r="B30" s="50">
        <f>IFERROR(INDEX('الموظفون'!$B$3:$B$502,24),"")</f>
        <v/>
      </c>
      <c r="C30" s="50">
        <f>IFERROR(INDEX('الموظفون'!$J$3:$J$502,24),"")</f>
        <v/>
      </c>
      <c r="D30" s="50">
        <f>IFERROR(INDEX('الموظفون'!$K$3:$K$502,24),"")</f>
        <v/>
      </c>
      <c r="E30" s="50">
        <f>IFERROR(INDEX('الموظفون'!$L$3:$L$502,24),"")</f>
        <v/>
      </c>
      <c r="F30" s="50">
        <f>IFERROR(INDEX('الموظفون'!$N$3:$N$502,24),"")</f>
        <v/>
      </c>
      <c r="G30" s="119">
        <f>IFERROR(INDEX('الموظفون'!$O$3:$O$502,24),"")</f>
        <v/>
      </c>
      <c r="H30" s="119">
        <f>IFERROR(INDEX('الموظفون'!$Q$3:$Q$502,24),"")</f>
        <v/>
      </c>
      <c r="I30" s="50">
        <f>IFERROR(INDEX('الموظفون'!$R$3:$R$502,24),"")</f>
        <v/>
      </c>
      <c r="J30" s="63">
        <f>IFERROR(INDEX('الموظفون'!$S$3:$S$502,24),"")</f>
        <v/>
      </c>
      <c r="K30" s="63">
        <f>IFERROR(INDEX('الموظفون'!$T$3:$T$502,24),"")</f>
        <v/>
      </c>
      <c r="L30" s="69">
        <f>IFERROR(IF(INDEX(الموظفون_الرقم,24)="","",INDEX(الموظفون_الاساسي,24)+INDEX(الموظفون_البدلات,24)),"")</f>
        <v/>
      </c>
    </row>
    <row r="31">
      <c r="A31" s="43">
        <f>IFERROR(INDEX('الموظفون'!$A$3:$A$502,25),"")</f>
        <v/>
      </c>
      <c r="B31" s="43">
        <f>IFERROR(INDEX('الموظفون'!$B$3:$B$502,25),"")</f>
        <v/>
      </c>
      <c r="C31" s="43">
        <f>IFERROR(INDEX('الموظفون'!$J$3:$J$502,25),"")</f>
        <v/>
      </c>
      <c r="D31" s="43">
        <f>IFERROR(INDEX('الموظفون'!$K$3:$K$502,25),"")</f>
        <v/>
      </c>
      <c r="E31" s="43">
        <f>IFERROR(INDEX('الموظفون'!$L$3:$L$502,25),"")</f>
        <v/>
      </c>
      <c r="F31" s="43">
        <f>IFERROR(INDEX('الموظفون'!$N$3:$N$502,25),"")</f>
        <v/>
      </c>
      <c r="G31" s="118">
        <f>IFERROR(INDEX('الموظفون'!$O$3:$O$502,25),"")</f>
        <v/>
      </c>
      <c r="H31" s="118">
        <f>IFERROR(INDEX('الموظفون'!$Q$3:$Q$502,25),"")</f>
        <v/>
      </c>
      <c r="I31" s="43">
        <f>IFERROR(INDEX('الموظفون'!$R$3:$R$502,25),"")</f>
        <v/>
      </c>
      <c r="J31" s="60">
        <f>IFERROR(INDEX('الموظفون'!$S$3:$S$502,25),"")</f>
        <v/>
      </c>
      <c r="K31" s="60">
        <f>IFERROR(INDEX('الموظفون'!$T$3:$T$502,25),"")</f>
        <v/>
      </c>
      <c r="L31" s="69">
        <f>IFERROR(IF(INDEX(الموظفون_الرقم,25)="","",INDEX(الموظفون_الاساسي,25)+INDEX(الموظفون_البدلات,25)),"")</f>
        <v/>
      </c>
    </row>
    <row r="32">
      <c r="A32" s="50">
        <f>IFERROR(INDEX('الموظفون'!$A$3:$A$502,26),"")</f>
        <v/>
      </c>
      <c r="B32" s="50">
        <f>IFERROR(INDEX('الموظفون'!$B$3:$B$502,26),"")</f>
        <v/>
      </c>
      <c r="C32" s="50">
        <f>IFERROR(INDEX('الموظفون'!$J$3:$J$502,26),"")</f>
        <v/>
      </c>
      <c r="D32" s="50">
        <f>IFERROR(INDEX('الموظفون'!$K$3:$K$502,26),"")</f>
        <v/>
      </c>
      <c r="E32" s="50">
        <f>IFERROR(INDEX('الموظفون'!$L$3:$L$502,26),"")</f>
        <v/>
      </c>
      <c r="F32" s="50">
        <f>IFERROR(INDEX('الموظفون'!$N$3:$N$502,26),"")</f>
        <v/>
      </c>
      <c r="G32" s="119">
        <f>IFERROR(INDEX('الموظفون'!$O$3:$O$502,26),"")</f>
        <v/>
      </c>
      <c r="H32" s="119">
        <f>IFERROR(INDEX('الموظفون'!$Q$3:$Q$502,26),"")</f>
        <v/>
      </c>
      <c r="I32" s="50">
        <f>IFERROR(INDEX('الموظفون'!$R$3:$R$502,26),"")</f>
        <v/>
      </c>
      <c r="J32" s="63">
        <f>IFERROR(INDEX('الموظفون'!$S$3:$S$502,26),"")</f>
        <v/>
      </c>
      <c r="K32" s="63">
        <f>IFERROR(INDEX('الموظفون'!$T$3:$T$502,26),"")</f>
        <v/>
      </c>
      <c r="L32" s="69">
        <f>IFERROR(IF(INDEX(الموظفون_الرقم,26)="","",INDEX(الموظفون_الاساسي,26)+INDEX(الموظفون_البدلات,26)),"")</f>
        <v/>
      </c>
    </row>
    <row r="33">
      <c r="A33" s="43">
        <f>IFERROR(INDEX('الموظفون'!$A$3:$A$502,27),"")</f>
        <v/>
      </c>
      <c r="B33" s="43">
        <f>IFERROR(INDEX('الموظفون'!$B$3:$B$502,27),"")</f>
        <v/>
      </c>
      <c r="C33" s="43">
        <f>IFERROR(INDEX('الموظفون'!$J$3:$J$502,27),"")</f>
        <v/>
      </c>
      <c r="D33" s="43">
        <f>IFERROR(INDEX('الموظفون'!$K$3:$K$502,27),"")</f>
        <v/>
      </c>
      <c r="E33" s="43">
        <f>IFERROR(INDEX('الموظفون'!$L$3:$L$502,27),"")</f>
        <v/>
      </c>
      <c r="F33" s="43">
        <f>IFERROR(INDEX('الموظفون'!$N$3:$N$502,27),"")</f>
        <v/>
      </c>
      <c r="G33" s="118">
        <f>IFERROR(INDEX('الموظفون'!$O$3:$O$502,27),"")</f>
        <v/>
      </c>
      <c r="H33" s="118">
        <f>IFERROR(INDEX('الموظفون'!$Q$3:$Q$502,27),"")</f>
        <v/>
      </c>
      <c r="I33" s="43">
        <f>IFERROR(INDEX('الموظفون'!$R$3:$R$502,27),"")</f>
        <v/>
      </c>
      <c r="J33" s="60">
        <f>IFERROR(INDEX('الموظفون'!$S$3:$S$502,27),"")</f>
        <v/>
      </c>
      <c r="K33" s="60">
        <f>IFERROR(INDEX('الموظفون'!$T$3:$T$502,27),"")</f>
        <v/>
      </c>
      <c r="L33" s="69">
        <f>IFERROR(IF(INDEX(الموظفون_الرقم,27)="","",INDEX(الموظفون_الاساسي,27)+INDEX(الموظفون_البدلات,27)),"")</f>
        <v/>
      </c>
    </row>
    <row r="34">
      <c r="A34" s="50">
        <f>IFERROR(INDEX('الموظفون'!$A$3:$A$502,28),"")</f>
        <v/>
      </c>
      <c r="B34" s="50">
        <f>IFERROR(INDEX('الموظفون'!$B$3:$B$502,28),"")</f>
        <v/>
      </c>
      <c r="C34" s="50">
        <f>IFERROR(INDEX('الموظفون'!$J$3:$J$502,28),"")</f>
        <v/>
      </c>
      <c r="D34" s="50">
        <f>IFERROR(INDEX('الموظفون'!$K$3:$K$502,28),"")</f>
        <v/>
      </c>
      <c r="E34" s="50">
        <f>IFERROR(INDEX('الموظفون'!$L$3:$L$502,28),"")</f>
        <v/>
      </c>
      <c r="F34" s="50">
        <f>IFERROR(INDEX('الموظفون'!$N$3:$N$502,28),"")</f>
        <v/>
      </c>
      <c r="G34" s="119">
        <f>IFERROR(INDEX('الموظفون'!$O$3:$O$502,28),"")</f>
        <v/>
      </c>
      <c r="H34" s="119">
        <f>IFERROR(INDEX('الموظفون'!$Q$3:$Q$502,28),"")</f>
        <v/>
      </c>
      <c r="I34" s="50">
        <f>IFERROR(INDEX('الموظفون'!$R$3:$R$502,28),"")</f>
        <v/>
      </c>
      <c r="J34" s="63">
        <f>IFERROR(INDEX('الموظفون'!$S$3:$S$502,28),"")</f>
        <v/>
      </c>
      <c r="K34" s="63">
        <f>IFERROR(INDEX('الموظفون'!$T$3:$T$502,28),"")</f>
        <v/>
      </c>
      <c r="L34" s="69">
        <f>IFERROR(IF(INDEX(الموظفون_الرقم,28)="","",INDEX(الموظفون_الاساسي,28)+INDEX(الموظفون_البدلات,28)),"")</f>
        <v/>
      </c>
    </row>
    <row r="35">
      <c r="A35" s="43">
        <f>IFERROR(INDEX('الموظفون'!$A$3:$A$502,29),"")</f>
        <v/>
      </c>
      <c r="B35" s="43">
        <f>IFERROR(INDEX('الموظفون'!$B$3:$B$502,29),"")</f>
        <v/>
      </c>
      <c r="C35" s="43">
        <f>IFERROR(INDEX('الموظفون'!$J$3:$J$502,29),"")</f>
        <v/>
      </c>
      <c r="D35" s="43">
        <f>IFERROR(INDEX('الموظفون'!$K$3:$K$502,29),"")</f>
        <v/>
      </c>
      <c r="E35" s="43">
        <f>IFERROR(INDEX('الموظفون'!$L$3:$L$502,29),"")</f>
        <v/>
      </c>
      <c r="F35" s="43">
        <f>IFERROR(INDEX('الموظفون'!$N$3:$N$502,29),"")</f>
        <v/>
      </c>
      <c r="G35" s="118">
        <f>IFERROR(INDEX('الموظفون'!$O$3:$O$502,29),"")</f>
        <v/>
      </c>
      <c r="H35" s="118">
        <f>IFERROR(INDEX('الموظفون'!$Q$3:$Q$502,29),"")</f>
        <v/>
      </c>
      <c r="I35" s="43">
        <f>IFERROR(INDEX('الموظفون'!$R$3:$R$502,29),"")</f>
        <v/>
      </c>
      <c r="J35" s="60">
        <f>IFERROR(INDEX('الموظفون'!$S$3:$S$502,29),"")</f>
        <v/>
      </c>
      <c r="K35" s="60">
        <f>IFERROR(INDEX('الموظفون'!$T$3:$T$502,29),"")</f>
        <v/>
      </c>
      <c r="L35" s="69">
        <f>IFERROR(IF(INDEX(الموظفون_الرقم,29)="","",INDEX(الموظفون_الاساسي,29)+INDEX(الموظفون_البدلات,29)),"")</f>
        <v/>
      </c>
    </row>
    <row r="36">
      <c r="A36" s="50">
        <f>IFERROR(INDEX('الموظفون'!$A$3:$A$502,30),"")</f>
        <v/>
      </c>
      <c r="B36" s="50">
        <f>IFERROR(INDEX('الموظفون'!$B$3:$B$502,30),"")</f>
        <v/>
      </c>
      <c r="C36" s="50">
        <f>IFERROR(INDEX('الموظفون'!$J$3:$J$502,30),"")</f>
        <v/>
      </c>
      <c r="D36" s="50">
        <f>IFERROR(INDEX('الموظفون'!$K$3:$K$502,30),"")</f>
        <v/>
      </c>
      <c r="E36" s="50">
        <f>IFERROR(INDEX('الموظفون'!$L$3:$L$502,30),"")</f>
        <v/>
      </c>
      <c r="F36" s="50">
        <f>IFERROR(INDEX('الموظفون'!$N$3:$N$502,30),"")</f>
        <v/>
      </c>
      <c r="G36" s="119">
        <f>IFERROR(INDEX('الموظفون'!$O$3:$O$502,30),"")</f>
        <v/>
      </c>
      <c r="H36" s="119">
        <f>IFERROR(INDEX('الموظفون'!$Q$3:$Q$502,30),"")</f>
        <v/>
      </c>
      <c r="I36" s="50">
        <f>IFERROR(INDEX('الموظفون'!$R$3:$R$502,30),"")</f>
        <v/>
      </c>
      <c r="J36" s="63">
        <f>IFERROR(INDEX('الموظفون'!$S$3:$S$502,30),"")</f>
        <v/>
      </c>
      <c r="K36" s="63">
        <f>IFERROR(INDEX('الموظفون'!$T$3:$T$502,30),"")</f>
        <v/>
      </c>
      <c r="L36" s="69">
        <f>IFERROR(IF(INDEX(الموظفون_الرقم,30)="","",INDEX(الموظفون_الاساسي,30)+INDEX(الموظفون_البدلات,30)),"")</f>
        <v/>
      </c>
    </row>
    <row r="37">
      <c r="A37" s="43">
        <f>IFERROR(INDEX('الموظفون'!$A$3:$A$502,31),"")</f>
        <v/>
      </c>
      <c r="B37" s="43">
        <f>IFERROR(INDEX('الموظفون'!$B$3:$B$502,31),"")</f>
        <v/>
      </c>
      <c r="C37" s="43">
        <f>IFERROR(INDEX('الموظفون'!$J$3:$J$502,31),"")</f>
        <v/>
      </c>
      <c r="D37" s="43">
        <f>IFERROR(INDEX('الموظفون'!$K$3:$K$502,31),"")</f>
        <v/>
      </c>
      <c r="E37" s="43">
        <f>IFERROR(INDEX('الموظفون'!$L$3:$L$502,31),"")</f>
        <v/>
      </c>
      <c r="F37" s="43">
        <f>IFERROR(INDEX('الموظفون'!$N$3:$N$502,31),"")</f>
        <v/>
      </c>
      <c r="G37" s="118">
        <f>IFERROR(INDEX('الموظفون'!$O$3:$O$502,31),"")</f>
        <v/>
      </c>
      <c r="H37" s="118">
        <f>IFERROR(INDEX('الموظفون'!$Q$3:$Q$502,31),"")</f>
        <v/>
      </c>
      <c r="I37" s="43">
        <f>IFERROR(INDEX('الموظفون'!$R$3:$R$502,31),"")</f>
        <v/>
      </c>
      <c r="J37" s="60">
        <f>IFERROR(INDEX('الموظفون'!$S$3:$S$502,31),"")</f>
        <v/>
      </c>
      <c r="K37" s="60">
        <f>IFERROR(INDEX('الموظفون'!$T$3:$T$502,31),"")</f>
        <v/>
      </c>
      <c r="L37" s="69">
        <f>IFERROR(IF(INDEX(الموظفون_الرقم,31)="","",INDEX(الموظفون_الاساسي,31)+INDEX(الموظفون_البدلات,31)),"")</f>
        <v/>
      </c>
    </row>
    <row r="38">
      <c r="A38" s="50">
        <f>IFERROR(INDEX('الموظفون'!$A$3:$A$502,32),"")</f>
        <v/>
      </c>
      <c r="B38" s="50">
        <f>IFERROR(INDEX('الموظفون'!$B$3:$B$502,32),"")</f>
        <v/>
      </c>
      <c r="C38" s="50">
        <f>IFERROR(INDEX('الموظفون'!$J$3:$J$502,32),"")</f>
        <v/>
      </c>
      <c r="D38" s="50">
        <f>IFERROR(INDEX('الموظفون'!$K$3:$K$502,32),"")</f>
        <v/>
      </c>
      <c r="E38" s="50">
        <f>IFERROR(INDEX('الموظفون'!$L$3:$L$502,32),"")</f>
        <v/>
      </c>
      <c r="F38" s="50">
        <f>IFERROR(INDEX('الموظفون'!$N$3:$N$502,32),"")</f>
        <v/>
      </c>
      <c r="G38" s="119">
        <f>IFERROR(INDEX('الموظفون'!$O$3:$O$502,32),"")</f>
        <v/>
      </c>
      <c r="H38" s="119">
        <f>IFERROR(INDEX('الموظفون'!$Q$3:$Q$502,32),"")</f>
        <v/>
      </c>
      <c r="I38" s="50">
        <f>IFERROR(INDEX('الموظفون'!$R$3:$R$502,32),"")</f>
        <v/>
      </c>
      <c r="J38" s="63">
        <f>IFERROR(INDEX('الموظفون'!$S$3:$S$502,32),"")</f>
        <v/>
      </c>
      <c r="K38" s="63">
        <f>IFERROR(INDEX('الموظفون'!$T$3:$T$502,32),"")</f>
        <v/>
      </c>
      <c r="L38" s="69">
        <f>IFERROR(IF(INDEX(الموظفون_الرقم,32)="","",INDEX(الموظفون_الاساسي,32)+INDEX(الموظفون_البدلات,32)),"")</f>
        <v/>
      </c>
    </row>
    <row r="39">
      <c r="A39" s="43">
        <f>IFERROR(INDEX('الموظفون'!$A$3:$A$502,33),"")</f>
        <v/>
      </c>
      <c r="B39" s="43">
        <f>IFERROR(INDEX('الموظفون'!$B$3:$B$502,33),"")</f>
        <v/>
      </c>
      <c r="C39" s="43">
        <f>IFERROR(INDEX('الموظفون'!$J$3:$J$502,33),"")</f>
        <v/>
      </c>
      <c r="D39" s="43">
        <f>IFERROR(INDEX('الموظفون'!$K$3:$K$502,33),"")</f>
        <v/>
      </c>
      <c r="E39" s="43">
        <f>IFERROR(INDEX('الموظفون'!$L$3:$L$502,33),"")</f>
        <v/>
      </c>
      <c r="F39" s="43">
        <f>IFERROR(INDEX('الموظفون'!$N$3:$N$502,33),"")</f>
        <v/>
      </c>
      <c r="G39" s="118">
        <f>IFERROR(INDEX('الموظفون'!$O$3:$O$502,33),"")</f>
        <v/>
      </c>
      <c r="H39" s="118">
        <f>IFERROR(INDEX('الموظفون'!$Q$3:$Q$502,33),"")</f>
        <v/>
      </c>
      <c r="I39" s="43">
        <f>IFERROR(INDEX('الموظفون'!$R$3:$R$502,33),"")</f>
        <v/>
      </c>
      <c r="J39" s="60">
        <f>IFERROR(INDEX('الموظفون'!$S$3:$S$502,33),"")</f>
        <v/>
      </c>
      <c r="K39" s="60">
        <f>IFERROR(INDEX('الموظفون'!$T$3:$T$502,33),"")</f>
        <v/>
      </c>
      <c r="L39" s="69">
        <f>IFERROR(IF(INDEX(الموظفون_الرقم,33)="","",INDEX(الموظفون_الاساسي,33)+INDEX(الموظفون_البدلات,33)),"")</f>
        <v/>
      </c>
    </row>
    <row r="40">
      <c r="A40" s="50">
        <f>IFERROR(INDEX('الموظفون'!$A$3:$A$502,34),"")</f>
        <v/>
      </c>
      <c r="B40" s="50">
        <f>IFERROR(INDEX('الموظفون'!$B$3:$B$502,34),"")</f>
        <v/>
      </c>
      <c r="C40" s="50">
        <f>IFERROR(INDEX('الموظفون'!$J$3:$J$502,34),"")</f>
        <v/>
      </c>
      <c r="D40" s="50">
        <f>IFERROR(INDEX('الموظفون'!$K$3:$K$502,34),"")</f>
        <v/>
      </c>
      <c r="E40" s="50">
        <f>IFERROR(INDEX('الموظفون'!$L$3:$L$502,34),"")</f>
        <v/>
      </c>
      <c r="F40" s="50">
        <f>IFERROR(INDEX('الموظفون'!$N$3:$N$502,34),"")</f>
        <v/>
      </c>
      <c r="G40" s="119">
        <f>IFERROR(INDEX('الموظفون'!$O$3:$O$502,34),"")</f>
        <v/>
      </c>
      <c r="H40" s="119">
        <f>IFERROR(INDEX('الموظفون'!$Q$3:$Q$502,34),"")</f>
        <v/>
      </c>
      <c r="I40" s="50">
        <f>IFERROR(INDEX('الموظفون'!$R$3:$R$502,34),"")</f>
        <v/>
      </c>
      <c r="J40" s="63">
        <f>IFERROR(INDEX('الموظفون'!$S$3:$S$502,34),"")</f>
        <v/>
      </c>
      <c r="K40" s="63">
        <f>IFERROR(INDEX('الموظفون'!$T$3:$T$502,34),"")</f>
        <v/>
      </c>
      <c r="L40" s="69">
        <f>IFERROR(IF(INDEX(الموظفون_الرقم,34)="","",INDEX(الموظفون_الاساسي,34)+INDEX(الموظفون_البدلات,34)),"")</f>
        <v/>
      </c>
    </row>
    <row r="41">
      <c r="A41" s="43">
        <f>IFERROR(INDEX('الموظفون'!$A$3:$A$502,35),"")</f>
        <v/>
      </c>
      <c r="B41" s="43">
        <f>IFERROR(INDEX('الموظفون'!$B$3:$B$502,35),"")</f>
        <v/>
      </c>
      <c r="C41" s="43">
        <f>IFERROR(INDEX('الموظفون'!$J$3:$J$502,35),"")</f>
        <v/>
      </c>
      <c r="D41" s="43">
        <f>IFERROR(INDEX('الموظفون'!$K$3:$K$502,35),"")</f>
        <v/>
      </c>
      <c r="E41" s="43">
        <f>IFERROR(INDEX('الموظفون'!$L$3:$L$502,35),"")</f>
        <v/>
      </c>
      <c r="F41" s="43">
        <f>IFERROR(INDEX('الموظفون'!$N$3:$N$502,35),"")</f>
        <v/>
      </c>
      <c r="G41" s="118">
        <f>IFERROR(INDEX('الموظفون'!$O$3:$O$502,35),"")</f>
        <v/>
      </c>
      <c r="H41" s="118">
        <f>IFERROR(INDEX('الموظفون'!$Q$3:$Q$502,35),"")</f>
        <v/>
      </c>
      <c r="I41" s="43">
        <f>IFERROR(INDEX('الموظفون'!$R$3:$R$502,35),"")</f>
        <v/>
      </c>
      <c r="J41" s="60">
        <f>IFERROR(INDEX('الموظفون'!$S$3:$S$502,35),"")</f>
        <v/>
      </c>
      <c r="K41" s="60">
        <f>IFERROR(INDEX('الموظفون'!$T$3:$T$502,35),"")</f>
        <v/>
      </c>
      <c r="L41" s="69">
        <f>IFERROR(IF(INDEX(الموظفون_الرقم,35)="","",INDEX(الموظفون_الاساسي,35)+INDEX(الموظفون_البدلات,35)),"")</f>
        <v/>
      </c>
    </row>
    <row r="42">
      <c r="A42" s="50">
        <f>IFERROR(INDEX('الموظفون'!$A$3:$A$502,36),"")</f>
        <v/>
      </c>
      <c r="B42" s="50">
        <f>IFERROR(INDEX('الموظفون'!$B$3:$B$502,36),"")</f>
        <v/>
      </c>
      <c r="C42" s="50">
        <f>IFERROR(INDEX('الموظفون'!$J$3:$J$502,36),"")</f>
        <v/>
      </c>
      <c r="D42" s="50">
        <f>IFERROR(INDEX('الموظفون'!$K$3:$K$502,36),"")</f>
        <v/>
      </c>
      <c r="E42" s="50">
        <f>IFERROR(INDEX('الموظفون'!$L$3:$L$502,36),"")</f>
        <v/>
      </c>
      <c r="F42" s="50">
        <f>IFERROR(INDEX('الموظفون'!$N$3:$N$502,36),"")</f>
        <v/>
      </c>
      <c r="G42" s="119">
        <f>IFERROR(INDEX('الموظفون'!$O$3:$O$502,36),"")</f>
        <v/>
      </c>
      <c r="H42" s="119">
        <f>IFERROR(INDEX('الموظفون'!$Q$3:$Q$502,36),"")</f>
        <v/>
      </c>
      <c r="I42" s="50">
        <f>IFERROR(INDEX('الموظفون'!$R$3:$R$502,36),"")</f>
        <v/>
      </c>
      <c r="J42" s="63">
        <f>IFERROR(INDEX('الموظفون'!$S$3:$S$502,36),"")</f>
        <v/>
      </c>
      <c r="K42" s="63">
        <f>IFERROR(INDEX('الموظفون'!$T$3:$T$502,36),"")</f>
        <v/>
      </c>
      <c r="L42" s="69">
        <f>IFERROR(IF(INDEX(الموظفون_الرقم,36)="","",INDEX(الموظفون_الاساسي,36)+INDEX(الموظفون_البدلات,36)),"")</f>
        <v/>
      </c>
    </row>
    <row r="43">
      <c r="A43" s="43">
        <f>IFERROR(INDEX('الموظفون'!$A$3:$A$502,37),"")</f>
        <v/>
      </c>
      <c r="B43" s="43">
        <f>IFERROR(INDEX('الموظفون'!$B$3:$B$502,37),"")</f>
        <v/>
      </c>
      <c r="C43" s="43">
        <f>IFERROR(INDEX('الموظفون'!$J$3:$J$502,37),"")</f>
        <v/>
      </c>
      <c r="D43" s="43">
        <f>IFERROR(INDEX('الموظفون'!$K$3:$K$502,37),"")</f>
        <v/>
      </c>
      <c r="E43" s="43">
        <f>IFERROR(INDEX('الموظفون'!$L$3:$L$502,37),"")</f>
        <v/>
      </c>
      <c r="F43" s="43">
        <f>IFERROR(INDEX('الموظفون'!$N$3:$N$502,37),"")</f>
        <v/>
      </c>
      <c r="G43" s="118">
        <f>IFERROR(INDEX('الموظفون'!$O$3:$O$502,37),"")</f>
        <v/>
      </c>
      <c r="H43" s="118">
        <f>IFERROR(INDEX('الموظفون'!$Q$3:$Q$502,37),"")</f>
        <v/>
      </c>
      <c r="I43" s="43">
        <f>IFERROR(INDEX('الموظفون'!$R$3:$R$502,37),"")</f>
        <v/>
      </c>
      <c r="J43" s="60">
        <f>IFERROR(INDEX('الموظفون'!$S$3:$S$502,37),"")</f>
        <v/>
      </c>
      <c r="K43" s="60">
        <f>IFERROR(INDEX('الموظفون'!$T$3:$T$502,37),"")</f>
        <v/>
      </c>
      <c r="L43" s="69">
        <f>IFERROR(IF(INDEX(الموظفون_الرقم,37)="","",INDEX(الموظفون_الاساسي,37)+INDEX(الموظفون_البدلات,37)),"")</f>
        <v/>
      </c>
    </row>
    <row r="44">
      <c r="A44" s="50">
        <f>IFERROR(INDEX('الموظفون'!$A$3:$A$502,38),"")</f>
        <v/>
      </c>
      <c r="B44" s="50">
        <f>IFERROR(INDEX('الموظفون'!$B$3:$B$502,38),"")</f>
        <v/>
      </c>
      <c r="C44" s="50">
        <f>IFERROR(INDEX('الموظفون'!$J$3:$J$502,38),"")</f>
        <v/>
      </c>
      <c r="D44" s="50">
        <f>IFERROR(INDEX('الموظفون'!$K$3:$K$502,38),"")</f>
        <v/>
      </c>
      <c r="E44" s="50">
        <f>IFERROR(INDEX('الموظفون'!$L$3:$L$502,38),"")</f>
        <v/>
      </c>
      <c r="F44" s="50">
        <f>IFERROR(INDEX('الموظفون'!$N$3:$N$502,38),"")</f>
        <v/>
      </c>
      <c r="G44" s="119">
        <f>IFERROR(INDEX('الموظفون'!$O$3:$O$502,38),"")</f>
        <v/>
      </c>
      <c r="H44" s="119">
        <f>IFERROR(INDEX('الموظفون'!$Q$3:$Q$502,38),"")</f>
        <v/>
      </c>
      <c r="I44" s="50">
        <f>IFERROR(INDEX('الموظفون'!$R$3:$R$502,38),"")</f>
        <v/>
      </c>
      <c r="J44" s="63">
        <f>IFERROR(INDEX('الموظفون'!$S$3:$S$502,38),"")</f>
        <v/>
      </c>
      <c r="K44" s="63">
        <f>IFERROR(INDEX('الموظفون'!$T$3:$T$502,38),"")</f>
        <v/>
      </c>
      <c r="L44" s="69">
        <f>IFERROR(IF(INDEX(الموظفون_الرقم,38)="","",INDEX(الموظفون_الاساسي,38)+INDEX(الموظفون_البدلات,38)),"")</f>
        <v/>
      </c>
    </row>
    <row r="45">
      <c r="A45" s="43">
        <f>IFERROR(INDEX('الموظفون'!$A$3:$A$502,39),"")</f>
        <v/>
      </c>
      <c r="B45" s="43">
        <f>IFERROR(INDEX('الموظفون'!$B$3:$B$502,39),"")</f>
        <v/>
      </c>
      <c r="C45" s="43">
        <f>IFERROR(INDEX('الموظفون'!$J$3:$J$502,39),"")</f>
        <v/>
      </c>
      <c r="D45" s="43">
        <f>IFERROR(INDEX('الموظفون'!$K$3:$K$502,39),"")</f>
        <v/>
      </c>
      <c r="E45" s="43">
        <f>IFERROR(INDEX('الموظفون'!$L$3:$L$502,39),"")</f>
        <v/>
      </c>
      <c r="F45" s="43">
        <f>IFERROR(INDEX('الموظفون'!$N$3:$N$502,39),"")</f>
        <v/>
      </c>
      <c r="G45" s="118">
        <f>IFERROR(INDEX('الموظفون'!$O$3:$O$502,39),"")</f>
        <v/>
      </c>
      <c r="H45" s="118">
        <f>IFERROR(INDEX('الموظفون'!$Q$3:$Q$502,39),"")</f>
        <v/>
      </c>
      <c r="I45" s="43">
        <f>IFERROR(INDEX('الموظفون'!$R$3:$R$502,39),"")</f>
        <v/>
      </c>
      <c r="J45" s="60">
        <f>IFERROR(INDEX('الموظفون'!$S$3:$S$502,39),"")</f>
        <v/>
      </c>
      <c r="K45" s="60">
        <f>IFERROR(INDEX('الموظفون'!$T$3:$T$502,39),"")</f>
        <v/>
      </c>
      <c r="L45" s="69">
        <f>IFERROR(IF(INDEX(الموظفون_الرقم,39)="","",INDEX(الموظفون_الاساسي,39)+INDEX(الموظفون_البدلات,39)),"")</f>
        <v/>
      </c>
    </row>
    <row r="46">
      <c r="A46" s="50">
        <f>IFERROR(INDEX('الموظفون'!$A$3:$A$502,40),"")</f>
        <v/>
      </c>
      <c r="B46" s="50">
        <f>IFERROR(INDEX('الموظفون'!$B$3:$B$502,40),"")</f>
        <v/>
      </c>
      <c r="C46" s="50">
        <f>IFERROR(INDEX('الموظفون'!$J$3:$J$502,40),"")</f>
        <v/>
      </c>
      <c r="D46" s="50">
        <f>IFERROR(INDEX('الموظفون'!$K$3:$K$502,40),"")</f>
        <v/>
      </c>
      <c r="E46" s="50">
        <f>IFERROR(INDEX('الموظفون'!$L$3:$L$502,40),"")</f>
        <v/>
      </c>
      <c r="F46" s="50">
        <f>IFERROR(INDEX('الموظفون'!$N$3:$N$502,40),"")</f>
        <v/>
      </c>
      <c r="G46" s="119">
        <f>IFERROR(INDEX('الموظفون'!$O$3:$O$502,40),"")</f>
        <v/>
      </c>
      <c r="H46" s="119">
        <f>IFERROR(INDEX('الموظفون'!$Q$3:$Q$502,40),"")</f>
        <v/>
      </c>
      <c r="I46" s="50">
        <f>IFERROR(INDEX('الموظفون'!$R$3:$R$502,40),"")</f>
        <v/>
      </c>
      <c r="J46" s="63">
        <f>IFERROR(INDEX('الموظفون'!$S$3:$S$502,40),"")</f>
        <v/>
      </c>
      <c r="K46" s="63">
        <f>IFERROR(INDEX('الموظفون'!$T$3:$T$502,40),"")</f>
        <v/>
      </c>
      <c r="L46" s="69">
        <f>IFERROR(IF(INDEX(الموظفون_الرقم,40)="","",INDEX(الموظفون_الاساسي,40)+INDEX(الموظفون_البدلات,40)),"")</f>
        <v/>
      </c>
    </row>
    <row r="47">
      <c r="A47" s="43">
        <f>IFERROR(INDEX('الموظفون'!$A$3:$A$502,41),"")</f>
        <v/>
      </c>
      <c r="B47" s="43">
        <f>IFERROR(INDEX('الموظفون'!$B$3:$B$502,41),"")</f>
        <v/>
      </c>
      <c r="C47" s="43">
        <f>IFERROR(INDEX('الموظفون'!$J$3:$J$502,41),"")</f>
        <v/>
      </c>
      <c r="D47" s="43">
        <f>IFERROR(INDEX('الموظفون'!$K$3:$K$502,41),"")</f>
        <v/>
      </c>
      <c r="E47" s="43">
        <f>IFERROR(INDEX('الموظفون'!$L$3:$L$502,41),"")</f>
        <v/>
      </c>
      <c r="F47" s="43">
        <f>IFERROR(INDEX('الموظفون'!$N$3:$N$502,41),"")</f>
        <v/>
      </c>
      <c r="G47" s="118">
        <f>IFERROR(INDEX('الموظفون'!$O$3:$O$502,41),"")</f>
        <v/>
      </c>
      <c r="H47" s="118">
        <f>IFERROR(INDEX('الموظفون'!$Q$3:$Q$502,41),"")</f>
        <v/>
      </c>
      <c r="I47" s="43">
        <f>IFERROR(INDEX('الموظفون'!$R$3:$R$502,41),"")</f>
        <v/>
      </c>
      <c r="J47" s="60">
        <f>IFERROR(INDEX('الموظفون'!$S$3:$S$502,41),"")</f>
        <v/>
      </c>
      <c r="K47" s="60">
        <f>IFERROR(INDEX('الموظفون'!$T$3:$T$502,41),"")</f>
        <v/>
      </c>
      <c r="L47" s="69">
        <f>IFERROR(IF(INDEX(الموظفون_الرقم,41)="","",INDEX(الموظفون_الاساسي,41)+INDEX(الموظفون_البدلات,41)),"")</f>
        <v/>
      </c>
    </row>
    <row r="48">
      <c r="A48" s="50">
        <f>IFERROR(INDEX('الموظفون'!$A$3:$A$502,42),"")</f>
        <v/>
      </c>
      <c r="B48" s="50">
        <f>IFERROR(INDEX('الموظفون'!$B$3:$B$502,42),"")</f>
        <v/>
      </c>
      <c r="C48" s="50">
        <f>IFERROR(INDEX('الموظفون'!$J$3:$J$502,42),"")</f>
        <v/>
      </c>
      <c r="D48" s="50">
        <f>IFERROR(INDEX('الموظفون'!$K$3:$K$502,42),"")</f>
        <v/>
      </c>
      <c r="E48" s="50">
        <f>IFERROR(INDEX('الموظفون'!$L$3:$L$502,42),"")</f>
        <v/>
      </c>
      <c r="F48" s="50">
        <f>IFERROR(INDEX('الموظفون'!$N$3:$N$502,42),"")</f>
        <v/>
      </c>
      <c r="G48" s="119">
        <f>IFERROR(INDEX('الموظفون'!$O$3:$O$502,42),"")</f>
        <v/>
      </c>
      <c r="H48" s="119">
        <f>IFERROR(INDEX('الموظفون'!$Q$3:$Q$502,42),"")</f>
        <v/>
      </c>
      <c r="I48" s="50">
        <f>IFERROR(INDEX('الموظفون'!$R$3:$R$502,42),"")</f>
        <v/>
      </c>
      <c r="J48" s="63">
        <f>IFERROR(INDEX('الموظفون'!$S$3:$S$502,42),"")</f>
        <v/>
      </c>
      <c r="K48" s="63">
        <f>IFERROR(INDEX('الموظفون'!$T$3:$T$502,42),"")</f>
        <v/>
      </c>
      <c r="L48" s="69">
        <f>IFERROR(IF(INDEX(الموظفون_الرقم,42)="","",INDEX(الموظفون_الاساسي,42)+INDEX(الموظفون_البدلات,42)),"")</f>
        <v/>
      </c>
    </row>
    <row r="49">
      <c r="A49" s="43">
        <f>IFERROR(INDEX('الموظفون'!$A$3:$A$502,43),"")</f>
        <v/>
      </c>
      <c r="B49" s="43">
        <f>IFERROR(INDEX('الموظفون'!$B$3:$B$502,43),"")</f>
        <v/>
      </c>
      <c r="C49" s="43">
        <f>IFERROR(INDEX('الموظفون'!$J$3:$J$502,43),"")</f>
        <v/>
      </c>
      <c r="D49" s="43">
        <f>IFERROR(INDEX('الموظفون'!$K$3:$K$502,43),"")</f>
        <v/>
      </c>
      <c r="E49" s="43">
        <f>IFERROR(INDEX('الموظفون'!$L$3:$L$502,43),"")</f>
        <v/>
      </c>
      <c r="F49" s="43">
        <f>IFERROR(INDEX('الموظفون'!$N$3:$N$502,43),"")</f>
        <v/>
      </c>
      <c r="G49" s="118">
        <f>IFERROR(INDEX('الموظفون'!$O$3:$O$502,43),"")</f>
        <v/>
      </c>
      <c r="H49" s="118">
        <f>IFERROR(INDEX('الموظفون'!$Q$3:$Q$502,43),"")</f>
        <v/>
      </c>
      <c r="I49" s="43">
        <f>IFERROR(INDEX('الموظفون'!$R$3:$R$502,43),"")</f>
        <v/>
      </c>
      <c r="J49" s="60">
        <f>IFERROR(INDEX('الموظفون'!$S$3:$S$502,43),"")</f>
        <v/>
      </c>
      <c r="K49" s="60">
        <f>IFERROR(INDEX('الموظفون'!$T$3:$T$502,43),"")</f>
        <v/>
      </c>
      <c r="L49" s="69">
        <f>IFERROR(IF(INDEX(الموظفون_الرقم,43)="","",INDEX(الموظفون_الاساسي,43)+INDEX(الموظفون_البدلات,43)),"")</f>
        <v/>
      </c>
    </row>
    <row r="50">
      <c r="A50" s="50">
        <f>IFERROR(INDEX('الموظفون'!$A$3:$A$502,44),"")</f>
        <v/>
      </c>
      <c r="B50" s="50">
        <f>IFERROR(INDEX('الموظفون'!$B$3:$B$502,44),"")</f>
        <v/>
      </c>
      <c r="C50" s="50">
        <f>IFERROR(INDEX('الموظفون'!$J$3:$J$502,44),"")</f>
        <v/>
      </c>
      <c r="D50" s="50">
        <f>IFERROR(INDEX('الموظفون'!$K$3:$K$502,44),"")</f>
        <v/>
      </c>
      <c r="E50" s="50">
        <f>IFERROR(INDEX('الموظفون'!$L$3:$L$502,44),"")</f>
        <v/>
      </c>
      <c r="F50" s="50">
        <f>IFERROR(INDEX('الموظفون'!$N$3:$N$502,44),"")</f>
        <v/>
      </c>
      <c r="G50" s="119">
        <f>IFERROR(INDEX('الموظفون'!$O$3:$O$502,44),"")</f>
        <v/>
      </c>
      <c r="H50" s="119">
        <f>IFERROR(INDEX('الموظفون'!$Q$3:$Q$502,44),"")</f>
        <v/>
      </c>
      <c r="I50" s="50">
        <f>IFERROR(INDEX('الموظفون'!$R$3:$R$502,44),"")</f>
        <v/>
      </c>
      <c r="J50" s="63">
        <f>IFERROR(INDEX('الموظفون'!$S$3:$S$502,44),"")</f>
        <v/>
      </c>
      <c r="K50" s="63">
        <f>IFERROR(INDEX('الموظفون'!$T$3:$T$502,44),"")</f>
        <v/>
      </c>
      <c r="L50" s="69">
        <f>IFERROR(IF(INDEX(الموظفون_الرقم,44)="","",INDEX(الموظفون_الاساسي,44)+INDEX(الموظفون_البدلات,44)),"")</f>
        <v/>
      </c>
    </row>
    <row r="51">
      <c r="A51" s="43">
        <f>IFERROR(INDEX('الموظفون'!$A$3:$A$502,45),"")</f>
        <v/>
      </c>
      <c r="B51" s="43">
        <f>IFERROR(INDEX('الموظفون'!$B$3:$B$502,45),"")</f>
        <v/>
      </c>
      <c r="C51" s="43">
        <f>IFERROR(INDEX('الموظفون'!$J$3:$J$502,45),"")</f>
        <v/>
      </c>
      <c r="D51" s="43">
        <f>IFERROR(INDEX('الموظفون'!$K$3:$K$502,45),"")</f>
        <v/>
      </c>
      <c r="E51" s="43">
        <f>IFERROR(INDEX('الموظفون'!$L$3:$L$502,45),"")</f>
        <v/>
      </c>
      <c r="F51" s="43">
        <f>IFERROR(INDEX('الموظفون'!$N$3:$N$502,45),"")</f>
        <v/>
      </c>
      <c r="G51" s="118">
        <f>IFERROR(INDEX('الموظفون'!$O$3:$O$502,45),"")</f>
        <v/>
      </c>
      <c r="H51" s="118">
        <f>IFERROR(INDEX('الموظفون'!$Q$3:$Q$502,45),"")</f>
        <v/>
      </c>
      <c r="I51" s="43">
        <f>IFERROR(INDEX('الموظفون'!$R$3:$R$502,45),"")</f>
        <v/>
      </c>
      <c r="J51" s="60">
        <f>IFERROR(INDEX('الموظفون'!$S$3:$S$502,45),"")</f>
        <v/>
      </c>
      <c r="K51" s="60">
        <f>IFERROR(INDEX('الموظفون'!$T$3:$T$502,45),"")</f>
        <v/>
      </c>
      <c r="L51" s="69">
        <f>IFERROR(IF(INDEX(الموظفون_الرقم,45)="","",INDEX(الموظفون_الاساسي,45)+INDEX(الموظفون_البدلات,45)),"")</f>
        <v/>
      </c>
    </row>
    <row r="52">
      <c r="A52" s="50">
        <f>IFERROR(INDEX('الموظفون'!$A$3:$A$502,46),"")</f>
        <v/>
      </c>
      <c r="B52" s="50">
        <f>IFERROR(INDEX('الموظفون'!$B$3:$B$502,46),"")</f>
        <v/>
      </c>
      <c r="C52" s="50">
        <f>IFERROR(INDEX('الموظفون'!$J$3:$J$502,46),"")</f>
        <v/>
      </c>
      <c r="D52" s="50">
        <f>IFERROR(INDEX('الموظفون'!$K$3:$K$502,46),"")</f>
        <v/>
      </c>
      <c r="E52" s="50">
        <f>IFERROR(INDEX('الموظفون'!$L$3:$L$502,46),"")</f>
        <v/>
      </c>
      <c r="F52" s="50">
        <f>IFERROR(INDEX('الموظفون'!$N$3:$N$502,46),"")</f>
        <v/>
      </c>
      <c r="G52" s="119">
        <f>IFERROR(INDEX('الموظفون'!$O$3:$O$502,46),"")</f>
        <v/>
      </c>
      <c r="H52" s="119">
        <f>IFERROR(INDEX('الموظفون'!$Q$3:$Q$502,46),"")</f>
        <v/>
      </c>
      <c r="I52" s="50">
        <f>IFERROR(INDEX('الموظفون'!$R$3:$R$502,46),"")</f>
        <v/>
      </c>
      <c r="J52" s="63">
        <f>IFERROR(INDEX('الموظفون'!$S$3:$S$502,46),"")</f>
        <v/>
      </c>
      <c r="K52" s="63">
        <f>IFERROR(INDEX('الموظفون'!$T$3:$T$502,46),"")</f>
        <v/>
      </c>
      <c r="L52" s="69">
        <f>IFERROR(IF(INDEX(الموظفون_الرقم,46)="","",INDEX(الموظفون_الاساسي,46)+INDEX(الموظفون_البدلات,46)),"")</f>
        <v/>
      </c>
    </row>
    <row r="53">
      <c r="A53" s="43">
        <f>IFERROR(INDEX('الموظفون'!$A$3:$A$502,47),"")</f>
        <v/>
      </c>
      <c r="B53" s="43">
        <f>IFERROR(INDEX('الموظفون'!$B$3:$B$502,47),"")</f>
        <v/>
      </c>
      <c r="C53" s="43">
        <f>IFERROR(INDEX('الموظفون'!$J$3:$J$502,47),"")</f>
        <v/>
      </c>
      <c r="D53" s="43">
        <f>IFERROR(INDEX('الموظفون'!$K$3:$K$502,47),"")</f>
        <v/>
      </c>
      <c r="E53" s="43">
        <f>IFERROR(INDEX('الموظفون'!$L$3:$L$502,47),"")</f>
        <v/>
      </c>
      <c r="F53" s="43">
        <f>IFERROR(INDEX('الموظفون'!$N$3:$N$502,47),"")</f>
        <v/>
      </c>
      <c r="G53" s="118">
        <f>IFERROR(INDEX('الموظفون'!$O$3:$O$502,47),"")</f>
        <v/>
      </c>
      <c r="H53" s="118">
        <f>IFERROR(INDEX('الموظفون'!$Q$3:$Q$502,47),"")</f>
        <v/>
      </c>
      <c r="I53" s="43">
        <f>IFERROR(INDEX('الموظفون'!$R$3:$R$502,47),"")</f>
        <v/>
      </c>
      <c r="J53" s="60">
        <f>IFERROR(INDEX('الموظفون'!$S$3:$S$502,47),"")</f>
        <v/>
      </c>
      <c r="K53" s="60">
        <f>IFERROR(INDEX('الموظفون'!$T$3:$T$502,47),"")</f>
        <v/>
      </c>
      <c r="L53" s="69">
        <f>IFERROR(IF(INDEX(الموظفون_الرقم,47)="","",INDEX(الموظفون_الاساسي,47)+INDEX(الموظفون_البدلات,47)),"")</f>
        <v/>
      </c>
    </row>
    <row r="54">
      <c r="A54" s="50">
        <f>IFERROR(INDEX('الموظفون'!$A$3:$A$502,48),"")</f>
        <v/>
      </c>
      <c r="B54" s="50">
        <f>IFERROR(INDEX('الموظفون'!$B$3:$B$502,48),"")</f>
        <v/>
      </c>
      <c r="C54" s="50">
        <f>IFERROR(INDEX('الموظفون'!$J$3:$J$502,48),"")</f>
        <v/>
      </c>
      <c r="D54" s="50">
        <f>IFERROR(INDEX('الموظفون'!$K$3:$K$502,48),"")</f>
        <v/>
      </c>
      <c r="E54" s="50">
        <f>IFERROR(INDEX('الموظفون'!$L$3:$L$502,48),"")</f>
        <v/>
      </c>
      <c r="F54" s="50">
        <f>IFERROR(INDEX('الموظفون'!$N$3:$N$502,48),"")</f>
        <v/>
      </c>
      <c r="G54" s="119">
        <f>IFERROR(INDEX('الموظفون'!$O$3:$O$502,48),"")</f>
        <v/>
      </c>
      <c r="H54" s="119">
        <f>IFERROR(INDEX('الموظفون'!$Q$3:$Q$502,48),"")</f>
        <v/>
      </c>
      <c r="I54" s="50">
        <f>IFERROR(INDEX('الموظفون'!$R$3:$R$502,48),"")</f>
        <v/>
      </c>
      <c r="J54" s="63">
        <f>IFERROR(INDEX('الموظفون'!$S$3:$S$502,48),"")</f>
        <v/>
      </c>
      <c r="K54" s="63">
        <f>IFERROR(INDEX('الموظفون'!$T$3:$T$502,48),"")</f>
        <v/>
      </c>
      <c r="L54" s="69">
        <f>IFERROR(IF(INDEX(الموظفون_الرقم,48)="","",INDEX(الموظفون_الاساسي,48)+INDEX(الموظفون_البدلات,48)),"")</f>
        <v/>
      </c>
    </row>
    <row r="55">
      <c r="A55" s="43">
        <f>IFERROR(INDEX('الموظفون'!$A$3:$A$502,49),"")</f>
        <v/>
      </c>
      <c r="B55" s="43">
        <f>IFERROR(INDEX('الموظفون'!$B$3:$B$502,49),"")</f>
        <v/>
      </c>
      <c r="C55" s="43">
        <f>IFERROR(INDEX('الموظفون'!$J$3:$J$502,49),"")</f>
        <v/>
      </c>
      <c r="D55" s="43">
        <f>IFERROR(INDEX('الموظفون'!$K$3:$K$502,49),"")</f>
        <v/>
      </c>
      <c r="E55" s="43">
        <f>IFERROR(INDEX('الموظفون'!$L$3:$L$502,49),"")</f>
        <v/>
      </c>
      <c r="F55" s="43">
        <f>IFERROR(INDEX('الموظفون'!$N$3:$N$502,49),"")</f>
        <v/>
      </c>
      <c r="G55" s="118">
        <f>IFERROR(INDEX('الموظفون'!$O$3:$O$502,49),"")</f>
        <v/>
      </c>
      <c r="H55" s="118">
        <f>IFERROR(INDEX('الموظفون'!$Q$3:$Q$502,49),"")</f>
        <v/>
      </c>
      <c r="I55" s="43">
        <f>IFERROR(INDEX('الموظفون'!$R$3:$R$502,49),"")</f>
        <v/>
      </c>
      <c r="J55" s="60">
        <f>IFERROR(INDEX('الموظفون'!$S$3:$S$502,49),"")</f>
        <v/>
      </c>
      <c r="K55" s="60">
        <f>IFERROR(INDEX('الموظفون'!$T$3:$T$502,49),"")</f>
        <v/>
      </c>
      <c r="L55" s="69">
        <f>IFERROR(IF(INDEX(الموظفون_الرقم,49)="","",INDEX(الموظفون_الاساسي,49)+INDEX(الموظفون_البدلات,49)),"")</f>
        <v/>
      </c>
    </row>
    <row r="56">
      <c r="A56" s="50">
        <f>IFERROR(INDEX('الموظفون'!$A$3:$A$502,50),"")</f>
        <v/>
      </c>
      <c r="B56" s="50">
        <f>IFERROR(INDEX('الموظفون'!$B$3:$B$502,50),"")</f>
        <v/>
      </c>
      <c r="C56" s="50">
        <f>IFERROR(INDEX('الموظفون'!$J$3:$J$502,50),"")</f>
        <v/>
      </c>
      <c r="D56" s="50">
        <f>IFERROR(INDEX('الموظفون'!$K$3:$K$502,50),"")</f>
        <v/>
      </c>
      <c r="E56" s="50">
        <f>IFERROR(INDEX('الموظفون'!$L$3:$L$502,50),"")</f>
        <v/>
      </c>
      <c r="F56" s="50">
        <f>IFERROR(INDEX('الموظفون'!$N$3:$N$502,50),"")</f>
        <v/>
      </c>
      <c r="G56" s="119">
        <f>IFERROR(INDEX('الموظفون'!$O$3:$O$502,50),"")</f>
        <v/>
      </c>
      <c r="H56" s="119">
        <f>IFERROR(INDEX('الموظفون'!$Q$3:$Q$502,50),"")</f>
        <v/>
      </c>
      <c r="I56" s="50">
        <f>IFERROR(INDEX('الموظفون'!$R$3:$R$502,50),"")</f>
        <v/>
      </c>
      <c r="J56" s="63">
        <f>IFERROR(INDEX('الموظفون'!$S$3:$S$502,50),"")</f>
        <v/>
      </c>
      <c r="K56" s="63">
        <f>IFERROR(INDEX('الموظفون'!$T$3:$T$502,50),"")</f>
        <v/>
      </c>
      <c r="L56" s="69">
        <f>IFERROR(IF(INDEX(الموظفون_الرقم,50)="","",INDEX(الموظفون_الاساسي,50)+INDEX(الموظفون_البدلات,50)),"")</f>
        <v/>
      </c>
    </row>
    <row r="57">
      <c r="A57" s="43">
        <f>IFERROR(INDEX('الموظفون'!$A$3:$A$502,51),"")</f>
        <v/>
      </c>
      <c r="B57" s="43">
        <f>IFERROR(INDEX('الموظفون'!$B$3:$B$502,51),"")</f>
        <v/>
      </c>
      <c r="C57" s="43">
        <f>IFERROR(INDEX('الموظفون'!$J$3:$J$502,51),"")</f>
        <v/>
      </c>
      <c r="D57" s="43">
        <f>IFERROR(INDEX('الموظفون'!$K$3:$K$502,51),"")</f>
        <v/>
      </c>
      <c r="E57" s="43">
        <f>IFERROR(INDEX('الموظفون'!$L$3:$L$502,51),"")</f>
        <v/>
      </c>
      <c r="F57" s="43">
        <f>IFERROR(INDEX('الموظفون'!$N$3:$N$502,51),"")</f>
        <v/>
      </c>
      <c r="G57" s="118">
        <f>IFERROR(INDEX('الموظفون'!$O$3:$O$502,51),"")</f>
        <v/>
      </c>
      <c r="H57" s="118">
        <f>IFERROR(INDEX('الموظفون'!$Q$3:$Q$502,51),"")</f>
        <v/>
      </c>
      <c r="I57" s="43">
        <f>IFERROR(INDEX('الموظفون'!$R$3:$R$502,51),"")</f>
        <v/>
      </c>
      <c r="J57" s="60">
        <f>IFERROR(INDEX('الموظفون'!$S$3:$S$502,51),"")</f>
        <v/>
      </c>
      <c r="K57" s="60">
        <f>IFERROR(INDEX('الموظفون'!$T$3:$T$502,51),"")</f>
        <v/>
      </c>
      <c r="L57" s="69">
        <f>IFERROR(IF(INDEX(الموظفون_الرقم,51)="","",INDEX(الموظفون_الاساسي,51)+INDEX(الموظفون_البدلات,51)),"")</f>
        <v/>
      </c>
    </row>
    <row r="58">
      <c r="A58" s="50">
        <f>IFERROR(INDEX('الموظفون'!$A$3:$A$502,52),"")</f>
        <v/>
      </c>
      <c r="B58" s="50">
        <f>IFERROR(INDEX('الموظفون'!$B$3:$B$502,52),"")</f>
        <v/>
      </c>
      <c r="C58" s="50">
        <f>IFERROR(INDEX('الموظفون'!$J$3:$J$502,52),"")</f>
        <v/>
      </c>
      <c r="D58" s="50">
        <f>IFERROR(INDEX('الموظفون'!$K$3:$K$502,52),"")</f>
        <v/>
      </c>
      <c r="E58" s="50">
        <f>IFERROR(INDEX('الموظفون'!$L$3:$L$502,52),"")</f>
        <v/>
      </c>
      <c r="F58" s="50">
        <f>IFERROR(INDEX('الموظفون'!$N$3:$N$502,52),"")</f>
        <v/>
      </c>
      <c r="G58" s="119">
        <f>IFERROR(INDEX('الموظفون'!$O$3:$O$502,52),"")</f>
        <v/>
      </c>
      <c r="H58" s="119">
        <f>IFERROR(INDEX('الموظفون'!$Q$3:$Q$502,52),"")</f>
        <v/>
      </c>
      <c r="I58" s="50">
        <f>IFERROR(INDEX('الموظفون'!$R$3:$R$502,52),"")</f>
        <v/>
      </c>
      <c r="J58" s="63">
        <f>IFERROR(INDEX('الموظفون'!$S$3:$S$502,52),"")</f>
        <v/>
      </c>
      <c r="K58" s="63">
        <f>IFERROR(INDEX('الموظفون'!$T$3:$T$502,52),"")</f>
        <v/>
      </c>
      <c r="L58" s="69">
        <f>IFERROR(IF(INDEX(الموظفون_الرقم,52)="","",INDEX(الموظفون_الاساسي,52)+INDEX(الموظفون_البدلات,52)),"")</f>
        <v/>
      </c>
    </row>
    <row r="59">
      <c r="A59" s="43">
        <f>IFERROR(INDEX('الموظفون'!$A$3:$A$502,53),"")</f>
        <v/>
      </c>
      <c r="B59" s="43">
        <f>IFERROR(INDEX('الموظفون'!$B$3:$B$502,53),"")</f>
        <v/>
      </c>
      <c r="C59" s="43">
        <f>IFERROR(INDEX('الموظفون'!$J$3:$J$502,53),"")</f>
        <v/>
      </c>
      <c r="D59" s="43">
        <f>IFERROR(INDEX('الموظفون'!$K$3:$K$502,53),"")</f>
        <v/>
      </c>
      <c r="E59" s="43">
        <f>IFERROR(INDEX('الموظفون'!$L$3:$L$502,53),"")</f>
        <v/>
      </c>
      <c r="F59" s="43">
        <f>IFERROR(INDEX('الموظفون'!$N$3:$N$502,53),"")</f>
        <v/>
      </c>
      <c r="G59" s="118">
        <f>IFERROR(INDEX('الموظفون'!$O$3:$O$502,53),"")</f>
        <v/>
      </c>
      <c r="H59" s="118">
        <f>IFERROR(INDEX('الموظفون'!$Q$3:$Q$502,53),"")</f>
        <v/>
      </c>
      <c r="I59" s="43">
        <f>IFERROR(INDEX('الموظفون'!$R$3:$R$502,53),"")</f>
        <v/>
      </c>
      <c r="J59" s="60">
        <f>IFERROR(INDEX('الموظفون'!$S$3:$S$502,53),"")</f>
        <v/>
      </c>
      <c r="K59" s="60">
        <f>IFERROR(INDEX('الموظفون'!$T$3:$T$502,53),"")</f>
        <v/>
      </c>
      <c r="L59" s="69">
        <f>IFERROR(IF(INDEX(الموظفون_الرقم,53)="","",INDEX(الموظفون_الاساسي,53)+INDEX(الموظفون_البدلات,53)),"")</f>
        <v/>
      </c>
    </row>
    <row r="60">
      <c r="A60" s="50">
        <f>IFERROR(INDEX('الموظفون'!$A$3:$A$502,54),"")</f>
        <v/>
      </c>
      <c r="B60" s="50">
        <f>IFERROR(INDEX('الموظفون'!$B$3:$B$502,54),"")</f>
        <v/>
      </c>
      <c r="C60" s="50">
        <f>IFERROR(INDEX('الموظفون'!$J$3:$J$502,54),"")</f>
        <v/>
      </c>
      <c r="D60" s="50">
        <f>IFERROR(INDEX('الموظفون'!$K$3:$K$502,54),"")</f>
        <v/>
      </c>
      <c r="E60" s="50">
        <f>IFERROR(INDEX('الموظفون'!$L$3:$L$502,54),"")</f>
        <v/>
      </c>
      <c r="F60" s="50">
        <f>IFERROR(INDEX('الموظفون'!$N$3:$N$502,54),"")</f>
        <v/>
      </c>
      <c r="G60" s="119">
        <f>IFERROR(INDEX('الموظفون'!$O$3:$O$502,54),"")</f>
        <v/>
      </c>
      <c r="H60" s="119">
        <f>IFERROR(INDEX('الموظفون'!$Q$3:$Q$502,54),"")</f>
        <v/>
      </c>
      <c r="I60" s="50">
        <f>IFERROR(INDEX('الموظفون'!$R$3:$R$502,54),"")</f>
        <v/>
      </c>
      <c r="J60" s="63">
        <f>IFERROR(INDEX('الموظفون'!$S$3:$S$502,54),"")</f>
        <v/>
      </c>
      <c r="K60" s="63">
        <f>IFERROR(INDEX('الموظفون'!$T$3:$T$502,54),"")</f>
        <v/>
      </c>
      <c r="L60" s="69">
        <f>IFERROR(IF(INDEX(الموظفون_الرقم,54)="","",INDEX(الموظفون_الاساسي,54)+INDEX(الموظفون_البدلات,54)),"")</f>
        <v/>
      </c>
    </row>
    <row r="61">
      <c r="A61" s="43">
        <f>IFERROR(INDEX('الموظفون'!$A$3:$A$502,55),"")</f>
        <v/>
      </c>
      <c r="B61" s="43">
        <f>IFERROR(INDEX('الموظفون'!$B$3:$B$502,55),"")</f>
        <v/>
      </c>
      <c r="C61" s="43">
        <f>IFERROR(INDEX('الموظفون'!$J$3:$J$502,55),"")</f>
        <v/>
      </c>
      <c r="D61" s="43">
        <f>IFERROR(INDEX('الموظفون'!$K$3:$K$502,55),"")</f>
        <v/>
      </c>
      <c r="E61" s="43">
        <f>IFERROR(INDEX('الموظفون'!$L$3:$L$502,55),"")</f>
        <v/>
      </c>
      <c r="F61" s="43">
        <f>IFERROR(INDEX('الموظفون'!$N$3:$N$502,55),"")</f>
        <v/>
      </c>
      <c r="G61" s="118">
        <f>IFERROR(INDEX('الموظفون'!$O$3:$O$502,55),"")</f>
        <v/>
      </c>
      <c r="H61" s="118">
        <f>IFERROR(INDEX('الموظفون'!$Q$3:$Q$502,55),"")</f>
        <v/>
      </c>
      <c r="I61" s="43">
        <f>IFERROR(INDEX('الموظفون'!$R$3:$R$502,55),"")</f>
        <v/>
      </c>
      <c r="J61" s="60">
        <f>IFERROR(INDEX('الموظفون'!$S$3:$S$502,55),"")</f>
        <v/>
      </c>
      <c r="K61" s="60">
        <f>IFERROR(INDEX('الموظفون'!$T$3:$T$502,55),"")</f>
        <v/>
      </c>
      <c r="L61" s="69">
        <f>IFERROR(IF(INDEX(الموظفون_الرقم,55)="","",INDEX(الموظفون_الاساسي,55)+INDEX(الموظفون_البدلات,55)),"")</f>
        <v/>
      </c>
    </row>
    <row r="62">
      <c r="A62" s="50">
        <f>IFERROR(INDEX('الموظفون'!$A$3:$A$502,56),"")</f>
        <v/>
      </c>
      <c r="B62" s="50">
        <f>IFERROR(INDEX('الموظفون'!$B$3:$B$502,56),"")</f>
        <v/>
      </c>
      <c r="C62" s="50">
        <f>IFERROR(INDEX('الموظفون'!$J$3:$J$502,56),"")</f>
        <v/>
      </c>
      <c r="D62" s="50">
        <f>IFERROR(INDEX('الموظفون'!$K$3:$K$502,56),"")</f>
        <v/>
      </c>
      <c r="E62" s="50">
        <f>IFERROR(INDEX('الموظفون'!$L$3:$L$502,56),"")</f>
        <v/>
      </c>
      <c r="F62" s="50">
        <f>IFERROR(INDEX('الموظفون'!$N$3:$N$502,56),"")</f>
        <v/>
      </c>
      <c r="G62" s="119">
        <f>IFERROR(INDEX('الموظفون'!$O$3:$O$502,56),"")</f>
        <v/>
      </c>
      <c r="H62" s="119">
        <f>IFERROR(INDEX('الموظفون'!$Q$3:$Q$502,56),"")</f>
        <v/>
      </c>
      <c r="I62" s="50">
        <f>IFERROR(INDEX('الموظفون'!$R$3:$R$502,56),"")</f>
        <v/>
      </c>
      <c r="J62" s="63">
        <f>IFERROR(INDEX('الموظفون'!$S$3:$S$502,56),"")</f>
        <v/>
      </c>
      <c r="K62" s="63">
        <f>IFERROR(INDEX('الموظفون'!$T$3:$T$502,56),"")</f>
        <v/>
      </c>
      <c r="L62" s="69">
        <f>IFERROR(IF(INDEX(الموظفون_الرقم,56)="","",INDEX(الموظفون_الاساسي,56)+INDEX(الموظفون_البدلات,56)),"")</f>
        <v/>
      </c>
    </row>
    <row r="63">
      <c r="A63" s="43">
        <f>IFERROR(INDEX('الموظفون'!$A$3:$A$502,57),"")</f>
        <v/>
      </c>
      <c r="B63" s="43">
        <f>IFERROR(INDEX('الموظفون'!$B$3:$B$502,57),"")</f>
        <v/>
      </c>
      <c r="C63" s="43">
        <f>IFERROR(INDEX('الموظفون'!$J$3:$J$502,57),"")</f>
        <v/>
      </c>
      <c r="D63" s="43">
        <f>IFERROR(INDEX('الموظفون'!$K$3:$K$502,57),"")</f>
        <v/>
      </c>
      <c r="E63" s="43">
        <f>IFERROR(INDEX('الموظفون'!$L$3:$L$502,57),"")</f>
        <v/>
      </c>
      <c r="F63" s="43">
        <f>IFERROR(INDEX('الموظفون'!$N$3:$N$502,57),"")</f>
        <v/>
      </c>
      <c r="G63" s="118">
        <f>IFERROR(INDEX('الموظفون'!$O$3:$O$502,57),"")</f>
        <v/>
      </c>
      <c r="H63" s="118">
        <f>IFERROR(INDEX('الموظفون'!$Q$3:$Q$502,57),"")</f>
        <v/>
      </c>
      <c r="I63" s="43">
        <f>IFERROR(INDEX('الموظفون'!$R$3:$R$502,57),"")</f>
        <v/>
      </c>
      <c r="J63" s="60">
        <f>IFERROR(INDEX('الموظفون'!$S$3:$S$502,57),"")</f>
        <v/>
      </c>
      <c r="K63" s="60">
        <f>IFERROR(INDEX('الموظفون'!$T$3:$T$502,57),"")</f>
        <v/>
      </c>
      <c r="L63" s="69">
        <f>IFERROR(IF(INDEX(الموظفون_الرقم,57)="","",INDEX(الموظفون_الاساسي,57)+INDEX(الموظفون_البدلات,57)),"")</f>
        <v/>
      </c>
    </row>
    <row r="64">
      <c r="A64" s="50">
        <f>IFERROR(INDEX('الموظفون'!$A$3:$A$502,58),"")</f>
        <v/>
      </c>
      <c r="B64" s="50">
        <f>IFERROR(INDEX('الموظفون'!$B$3:$B$502,58),"")</f>
        <v/>
      </c>
      <c r="C64" s="50">
        <f>IFERROR(INDEX('الموظفون'!$J$3:$J$502,58),"")</f>
        <v/>
      </c>
      <c r="D64" s="50">
        <f>IFERROR(INDEX('الموظفون'!$K$3:$K$502,58),"")</f>
        <v/>
      </c>
      <c r="E64" s="50">
        <f>IFERROR(INDEX('الموظفون'!$L$3:$L$502,58),"")</f>
        <v/>
      </c>
      <c r="F64" s="50">
        <f>IFERROR(INDEX('الموظفون'!$N$3:$N$502,58),"")</f>
        <v/>
      </c>
      <c r="G64" s="119">
        <f>IFERROR(INDEX('الموظفون'!$O$3:$O$502,58),"")</f>
        <v/>
      </c>
      <c r="H64" s="119">
        <f>IFERROR(INDEX('الموظفون'!$Q$3:$Q$502,58),"")</f>
        <v/>
      </c>
      <c r="I64" s="50">
        <f>IFERROR(INDEX('الموظفون'!$R$3:$R$502,58),"")</f>
        <v/>
      </c>
      <c r="J64" s="63">
        <f>IFERROR(INDEX('الموظفون'!$S$3:$S$502,58),"")</f>
        <v/>
      </c>
      <c r="K64" s="63">
        <f>IFERROR(INDEX('الموظفون'!$T$3:$T$502,58),"")</f>
        <v/>
      </c>
      <c r="L64" s="69">
        <f>IFERROR(IF(INDEX(الموظفون_الرقم,58)="","",INDEX(الموظفون_الاساسي,58)+INDEX(الموظفون_البدلات,58)),"")</f>
        <v/>
      </c>
    </row>
    <row r="65">
      <c r="A65" s="43">
        <f>IFERROR(INDEX('الموظفون'!$A$3:$A$502,59),"")</f>
        <v/>
      </c>
      <c r="B65" s="43">
        <f>IFERROR(INDEX('الموظفون'!$B$3:$B$502,59),"")</f>
        <v/>
      </c>
      <c r="C65" s="43">
        <f>IFERROR(INDEX('الموظفون'!$J$3:$J$502,59),"")</f>
        <v/>
      </c>
      <c r="D65" s="43">
        <f>IFERROR(INDEX('الموظفون'!$K$3:$K$502,59),"")</f>
        <v/>
      </c>
      <c r="E65" s="43">
        <f>IFERROR(INDEX('الموظفون'!$L$3:$L$502,59),"")</f>
        <v/>
      </c>
      <c r="F65" s="43">
        <f>IFERROR(INDEX('الموظفون'!$N$3:$N$502,59),"")</f>
        <v/>
      </c>
      <c r="G65" s="118">
        <f>IFERROR(INDEX('الموظفون'!$O$3:$O$502,59),"")</f>
        <v/>
      </c>
      <c r="H65" s="118">
        <f>IFERROR(INDEX('الموظفون'!$Q$3:$Q$502,59),"")</f>
        <v/>
      </c>
      <c r="I65" s="43">
        <f>IFERROR(INDEX('الموظفون'!$R$3:$R$502,59),"")</f>
        <v/>
      </c>
      <c r="J65" s="60">
        <f>IFERROR(INDEX('الموظفون'!$S$3:$S$502,59),"")</f>
        <v/>
      </c>
      <c r="K65" s="60">
        <f>IFERROR(INDEX('الموظفون'!$T$3:$T$502,59),"")</f>
        <v/>
      </c>
      <c r="L65" s="69">
        <f>IFERROR(IF(INDEX(الموظفون_الرقم,59)="","",INDEX(الموظفون_الاساسي,59)+INDEX(الموظفون_البدلات,59)),"")</f>
        <v/>
      </c>
    </row>
    <row r="66">
      <c r="A66" s="50">
        <f>IFERROR(INDEX('الموظفون'!$A$3:$A$502,60),"")</f>
        <v/>
      </c>
      <c r="B66" s="50">
        <f>IFERROR(INDEX('الموظفون'!$B$3:$B$502,60),"")</f>
        <v/>
      </c>
      <c r="C66" s="50">
        <f>IFERROR(INDEX('الموظفون'!$J$3:$J$502,60),"")</f>
        <v/>
      </c>
      <c r="D66" s="50">
        <f>IFERROR(INDEX('الموظفون'!$K$3:$K$502,60),"")</f>
        <v/>
      </c>
      <c r="E66" s="50">
        <f>IFERROR(INDEX('الموظفون'!$L$3:$L$502,60),"")</f>
        <v/>
      </c>
      <c r="F66" s="50">
        <f>IFERROR(INDEX('الموظفون'!$N$3:$N$502,60),"")</f>
        <v/>
      </c>
      <c r="G66" s="119">
        <f>IFERROR(INDEX('الموظفون'!$O$3:$O$502,60),"")</f>
        <v/>
      </c>
      <c r="H66" s="119">
        <f>IFERROR(INDEX('الموظفون'!$Q$3:$Q$502,60),"")</f>
        <v/>
      </c>
      <c r="I66" s="50">
        <f>IFERROR(INDEX('الموظفون'!$R$3:$R$502,60),"")</f>
        <v/>
      </c>
      <c r="J66" s="63">
        <f>IFERROR(INDEX('الموظفون'!$S$3:$S$502,60),"")</f>
        <v/>
      </c>
      <c r="K66" s="63">
        <f>IFERROR(INDEX('الموظفون'!$T$3:$T$502,60),"")</f>
        <v/>
      </c>
      <c r="L66" s="69">
        <f>IFERROR(IF(INDEX(الموظفون_الرقم,60)="","",INDEX(الموظفون_الاساسي,60)+INDEX(الموظفون_البدلات,60)),"")</f>
        <v/>
      </c>
    </row>
    <row r="67">
      <c r="A67" s="43">
        <f>IFERROR(INDEX('الموظفون'!$A$3:$A$502,61),"")</f>
        <v/>
      </c>
      <c r="B67" s="43">
        <f>IFERROR(INDEX('الموظفون'!$B$3:$B$502,61),"")</f>
        <v/>
      </c>
      <c r="C67" s="43">
        <f>IFERROR(INDEX('الموظفون'!$J$3:$J$502,61),"")</f>
        <v/>
      </c>
      <c r="D67" s="43">
        <f>IFERROR(INDEX('الموظفون'!$K$3:$K$502,61),"")</f>
        <v/>
      </c>
      <c r="E67" s="43">
        <f>IFERROR(INDEX('الموظفون'!$L$3:$L$502,61),"")</f>
        <v/>
      </c>
      <c r="F67" s="43">
        <f>IFERROR(INDEX('الموظفون'!$N$3:$N$502,61),"")</f>
        <v/>
      </c>
      <c r="G67" s="118">
        <f>IFERROR(INDEX('الموظفون'!$O$3:$O$502,61),"")</f>
        <v/>
      </c>
      <c r="H67" s="118">
        <f>IFERROR(INDEX('الموظفون'!$Q$3:$Q$502,61),"")</f>
        <v/>
      </c>
      <c r="I67" s="43">
        <f>IFERROR(INDEX('الموظفون'!$R$3:$R$502,61),"")</f>
        <v/>
      </c>
      <c r="J67" s="60">
        <f>IFERROR(INDEX('الموظفون'!$S$3:$S$502,61),"")</f>
        <v/>
      </c>
      <c r="K67" s="60">
        <f>IFERROR(INDEX('الموظفون'!$T$3:$T$502,61),"")</f>
        <v/>
      </c>
      <c r="L67" s="69">
        <f>IFERROR(IF(INDEX(الموظفون_الرقم,61)="","",INDEX(الموظفون_الاساسي,61)+INDEX(الموظفون_البدلات,61)),"")</f>
        <v/>
      </c>
    </row>
    <row r="68">
      <c r="A68" s="50">
        <f>IFERROR(INDEX('الموظفون'!$A$3:$A$502,62),"")</f>
        <v/>
      </c>
      <c r="B68" s="50">
        <f>IFERROR(INDEX('الموظفون'!$B$3:$B$502,62),"")</f>
        <v/>
      </c>
      <c r="C68" s="50">
        <f>IFERROR(INDEX('الموظفون'!$J$3:$J$502,62),"")</f>
        <v/>
      </c>
      <c r="D68" s="50">
        <f>IFERROR(INDEX('الموظفون'!$K$3:$K$502,62),"")</f>
        <v/>
      </c>
      <c r="E68" s="50">
        <f>IFERROR(INDEX('الموظفون'!$L$3:$L$502,62),"")</f>
        <v/>
      </c>
      <c r="F68" s="50">
        <f>IFERROR(INDEX('الموظفون'!$N$3:$N$502,62),"")</f>
        <v/>
      </c>
      <c r="G68" s="119">
        <f>IFERROR(INDEX('الموظفون'!$O$3:$O$502,62),"")</f>
        <v/>
      </c>
      <c r="H68" s="119">
        <f>IFERROR(INDEX('الموظفون'!$Q$3:$Q$502,62),"")</f>
        <v/>
      </c>
      <c r="I68" s="50">
        <f>IFERROR(INDEX('الموظفون'!$R$3:$R$502,62),"")</f>
        <v/>
      </c>
      <c r="J68" s="63">
        <f>IFERROR(INDEX('الموظفون'!$S$3:$S$502,62),"")</f>
        <v/>
      </c>
      <c r="K68" s="63">
        <f>IFERROR(INDEX('الموظفون'!$T$3:$T$502,62),"")</f>
        <v/>
      </c>
      <c r="L68" s="69">
        <f>IFERROR(IF(INDEX(الموظفون_الرقم,62)="","",INDEX(الموظفون_الاساسي,62)+INDEX(الموظفون_البدلات,62)),"")</f>
        <v/>
      </c>
    </row>
    <row r="69">
      <c r="A69" s="43">
        <f>IFERROR(INDEX('الموظفون'!$A$3:$A$502,63),"")</f>
        <v/>
      </c>
      <c r="B69" s="43">
        <f>IFERROR(INDEX('الموظفون'!$B$3:$B$502,63),"")</f>
        <v/>
      </c>
      <c r="C69" s="43">
        <f>IFERROR(INDEX('الموظفون'!$J$3:$J$502,63),"")</f>
        <v/>
      </c>
      <c r="D69" s="43">
        <f>IFERROR(INDEX('الموظفون'!$K$3:$K$502,63),"")</f>
        <v/>
      </c>
      <c r="E69" s="43">
        <f>IFERROR(INDEX('الموظفون'!$L$3:$L$502,63),"")</f>
        <v/>
      </c>
      <c r="F69" s="43">
        <f>IFERROR(INDEX('الموظفون'!$N$3:$N$502,63),"")</f>
        <v/>
      </c>
      <c r="G69" s="118">
        <f>IFERROR(INDEX('الموظفون'!$O$3:$O$502,63),"")</f>
        <v/>
      </c>
      <c r="H69" s="118">
        <f>IFERROR(INDEX('الموظفون'!$Q$3:$Q$502,63),"")</f>
        <v/>
      </c>
      <c r="I69" s="43">
        <f>IFERROR(INDEX('الموظفون'!$R$3:$R$502,63),"")</f>
        <v/>
      </c>
      <c r="J69" s="60">
        <f>IFERROR(INDEX('الموظفون'!$S$3:$S$502,63),"")</f>
        <v/>
      </c>
      <c r="K69" s="60">
        <f>IFERROR(INDEX('الموظفون'!$T$3:$T$502,63),"")</f>
        <v/>
      </c>
      <c r="L69" s="69">
        <f>IFERROR(IF(INDEX(الموظفون_الرقم,63)="","",INDEX(الموظفون_الاساسي,63)+INDEX(الموظفون_البدلات,63)),"")</f>
        <v/>
      </c>
    </row>
    <row r="70">
      <c r="A70" s="50">
        <f>IFERROR(INDEX('الموظفون'!$A$3:$A$502,64),"")</f>
        <v/>
      </c>
      <c r="B70" s="50">
        <f>IFERROR(INDEX('الموظفون'!$B$3:$B$502,64),"")</f>
        <v/>
      </c>
      <c r="C70" s="50">
        <f>IFERROR(INDEX('الموظفون'!$J$3:$J$502,64),"")</f>
        <v/>
      </c>
      <c r="D70" s="50">
        <f>IFERROR(INDEX('الموظفون'!$K$3:$K$502,64),"")</f>
        <v/>
      </c>
      <c r="E70" s="50">
        <f>IFERROR(INDEX('الموظفون'!$L$3:$L$502,64),"")</f>
        <v/>
      </c>
      <c r="F70" s="50">
        <f>IFERROR(INDEX('الموظفون'!$N$3:$N$502,64),"")</f>
        <v/>
      </c>
      <c r="G70" s="119">
        <f>IFERROR(INDEX('الموظفون'!$O$3:$O$502,64),"")</f>
        <v/>
      </c>
      <c r="H70" s="119">
        <f>IFERROR(INDEX('الموظفون'!$Q$3:$Q$502,64),"")</f>
        <v/>
      </c>
      <c r="I70" s="50">
        <f>IFERROR(INDEX('الموظفون'!$R$3:$R$502,64),"")</f>
        <v/>
      </c>
      <c r="J70" s="63">
        <f>IFERROR(INDEX('الموظفون'!$S$3:$S$502,64),"")</f>
        <v/>
      </c>
      <c r="K70" s="63">
        <f>IFERROR(INDEX('الموظفون'!$T$3:$T$502,64),"")</f>
        <v/>
      </c>
      <c r="L70" s="69">
        <f>IFERROR(IF(INDEX(الموظفون_الرقم,64)="","",INDEX(الموظفون_الاساسي,64)+INDEX(الموظفون_البدلات,64)),"")</f>
        <v/>
      </c>
    </row>
    <row r="71">
      <c r="A71" s="43">
        <f>IFERROR(INDEX('الموظفون'!$A$3:$A$502,65),"")</f>
        <v/>
      </c>
      <c r="B71" s="43">
        <f>IFERROR(INDEX('الموظفون'!$B$3:$B$502,65),"")</f>
        <v/>
      </c>
      <c r="C71" s="43">
        <f>IFERROR(INDEX('الموظفون'!$J$3:$J$502,65),"")</f>
        <v/>
      </c>
      <c r="D71" s="43">
        <f>IFERROR(INDEX('الموظفون'!$K$3:$K$502,65),"")</f>
        <v/>
      </c>
      <c r="E71" s="43">
        <f>IFERROR(INDEX('الموظفون'!$L$3:$L$502,65),"")</f>
        <v/>
      </c>
      <c r="F71" s="43">
        <f>IFERROR(INDEX('الموظفون'!$N$3:$N$502,65),"")</f>
        <v/>
      </c>
      <c r="G71" s="118">
        <f>IFERROR(INDEX('الموظفون'!$O$3:$O$502,65),"")</f>
        <v/>
      </c>
      <c r="H71" s="118">
        <f>IFERROR(INDEX('الموظفون'!$Q$3:$Q$502,65),"")</f>
        <v/>
      </c>
      <c r="I71" s="43">
        <f>IFERROR(INDEX('الموظفون'!$R$3:$R$502,65),"")</f>
        <v/>
      </c>
      <c r="J71" s="60">
        <f>IFERROR(INDEX('الموظفون'!$S$3:$S$502,65),"")</f>
        <v/>
      </c>
      <c r="K71" s="60">
        <f>IFERROR(INDEX('الموظفون'!$T$3:$T$502,65),"")</f>
        <v/>
      </c>
      <c r="L71" s="69">
        <f>IFERROR(IF(INDEX(الموظفون_الرقم,65)="","",INDEX(الموظفون_الاساسي,65)+INDEX(الموظفون_البدلات,65)),"")</f>
        <v/>
      </c>
    </row>
    <row r="72">
      <c r="A72" s="50">
        <f>IFERROR(INDEX('الموظفون'!$A$3:$A$502,66),"")</f>
        <v/>
      </c>
      <c r="B72" s="50">
        <f>IFERROR(INDEX('الموظفون'!$B$3:$B$502,66),"")</f>
        <v/>
      </c>
      <c r="C72" s="50">
        <f>IFERROR(INDEX('الموظفون'!$J$3:$J$502,66),"")</f>
        <v/>
      </c>
      <c r="D72" s="50">
        <f>IFERROR(INDEX('الموظفون'!$K$3:$K$502,66),"")</f>
        <v/>
      </c>
      <c r="E72" s="50">
        <f>IFERROR(INDEX('الموظفون'!$L$3:$L$502,66),"")</f>
        <v/>
      </c>
      <c r="F72" s="50">
        <f>IFERROR(INDEX('الموظفون'!$N$3:$N$502,66),"")</f>
        <v/>
      </c>
      <c r="G72" s="119">
        <f>IFERROR(INDEX('الموظفون'!$O$3:$O$502,66),"")</f>
        <v/>
      </c>
      <c r="H72" s="119">
        <f>IFERROR(INDEX('الموظفون'!$Q$3:$Q$502,66),"")</f>
        <v/>
      </c>
      <c r="I72" s="50">
        <f>IFERROR(INDEX('الموظفون'!$R$3:$R$502,66),"")</f>
        <v/>
      </c>
      <c r="J72" s="63">
        <f>IFERROR(INDEX('الموظفون'!$S$3:$S$502,66),"")</f>
        <v/>
      </c>
      <c r="K72" s="63">
        <f>IFERROR(INDEX('الموظفون'!$T$3:$T$502,66),"")</f>
        <v/>
      </c>
      <c r="L72" s="69">
        <f>IFERROR(IF(INDEX(الموظفون_الرقم,66)="","",INDEX(الموظفون_الاساسي,66)+INDEX(الموظفون_البدلات,66)),"")</f>
        <v/>
      </c>
    </row>
    <row r="73">
      <c r="A73" s="43">
        <f>IFERROR(INDEX('الموظفون'!$A$3:$A$502,67),"")</f>
        <v/>
      </c>
      <c r="B73" s="43">
        <f>IFERROR(INDEX('الموظفون'!$B$3:$B$502,67),"")</f>
        <v/>
      </c>
      <c r="C73" s="43">
        <f>IFERROR(INDEX('الموظفون'!$J$3:$J$502,67),"")</f>
        <v/>
      </c>
      <c r="D73" s="43">
        <f>IFERROR(INDEX('الموظفون'!$K$3:$K$502,67),"")</f>
        <v/>
      </c>
      <c r="E73" s="43">
        <f>IFERROR(INDEX('الموظفون'!$L$3:$L$502,67),"")</f>
        <v/>
      </c>
      <c r="F73" s="43">
        <f>IFERROR(INDEX('الموظفون'!$N$3:$N$502,67),"")</f>
        <v/>
      </c>
      <c r="G73" s="118">
        <f>IFERROR(INDEX('الموظفون'!$O$3:$O$502,67),"")</f>
        <v/>
      </c>
      <c r="H73" s="118">
        <f>IFERROR(INDEX('الموظفون'!$Q$3:$Q$502,67),"")</f>
        <v/>
      </c>
      <c r="I73" s="43">
        <f>IFERROR(INDEX('الموظفون'!$R$3:$R$502,67),"")</f>
        <v/>
      </c>
      <c r="J73" s="60">
        <f>IFERROR(INDEX('الموظفون'!$S$3:$S$502,67),"")</f>
        <v/>
      </c>
      <c r="K73" s="60">
        <f>IFERROR(INDEX('الموظفون'!$T$3:$T$502,67),"")</f>
        <v/>
      </c>
      <c r="L73" s="69">
        <f>IFERROR(IF(INDEX(الموظفون_الرقم,67)="","",INDEX(الموظفون_الاساسي,67)+INDEX(الموظفون_البدلات,67)),"")</f>
        <v/>
      </c>
    </row>
    <row r="74">
      <c r="A74" s="50">
        <f>IFERROR(INDEX('الموظفون'!$A$3:$A$502,68),"")</f>
        <v/>
      </c>
      <c r="B74" s="50">
        <f>IFERROR(INDEX('الموظفون'!$B$3:$B$502,68),"")</f>
        <v/>
      </c>
      <c r="C74" s="50">
        <f>IFERROR(INDEX('الموظفون'!$J$3:$J$502,68),"")</f>
        <v/>
      </c>
      <c r="D74" s="50">
        <f>IFERROR(INDEX('الموظفون'!$K$3:$K$502,68),"")</f>
        <v/>
      </c>
      <c r="E74" s="50">
        <f>IFERROR(INDEX('الموظفون'!$L$3:$L$502,68),"")</f>
        <v/>
      </c>
      <c r="F74" s="50">
        <f>IFERROR(INDEX('الموظفون'!$N$3:$N$502,68),"")</f>
        <v/>
      </c>
      <c r="G74" s="119">
        <f>IFERROR(INDEX('الموظفون'!$O$3:$O$502,68),"")</f>
        <v/>
      </c>
      <c r="H74" s="119">
        <f>IFERROR(INDEX('الموظفون'!$Q$3:$Q$502,68),"")</f>
        <v/>
      </c>
      <c r="I74" s="50">
        <f>IFERROR(INDEX('الموظفون'!$R$3:$R$502,68),"")</f>
        <v/>
      </c>
      <c r="J74" s="63">
        <f>IFERROR(INDEX('الموظفون'!$S$3:$S$502,68),"")</f>
        <v/>
      </c>
      <c r="K74" s="63">
        <f>IFERROR(INDEX('الموظفون'!$T$3:$T$502,68),"")</f>
        <v/>
      </c>
      <c r="L74" s="69">
        <f>IFERROR(IF(INDEX(الموظفون_الرقم,68)="","",INDEX(الموظفون_الاساسي,68)+INDEX(الموظفون_البدلات,68)),"")</f>
        <v/>
      </c>
    </row>
    <row r="75">
      <c r="A75" s="43">
        <f>IFERROR(INDEX('الموظفون'!$A$3:$A$502,69),"")</f>
        <v/>
      </c>
      <c r="B75" s="43">
        <f>IFERROR(INDEX('الموظفون'!$B$3:$B$502,69),"")</f>
        <v/>
      </c>
      <c r="C75" s="43">
        <f>IFERROR(INDEX('الموظفون'!$J$3:$J$502,69),"")</f>
        <v/>
      </c>
      <c r="D75" s="43">
        <f>IFERROR(INDEX('الموظفون'!$K$3:$K$502,69),"")</f>
        <v/>
      </c>
      <c r="E75" s="43">
        <f>IFERROR(INDEX('الموظفون'!$L$3:$L$502,69),"")</f>
        <v/>
      </c>
      <c r="F75" s="43">
        <f>IFERROR(INDEX('الموظفون'!$N$3:$N$502,69),"")</f>
        <v/>
      </c>
      <c r="G75" s="118">
        <f>IFERROR(INDEX('الموظفون'!$O$3:$O$502,69),"")</f>
        <v/>
      </c>
      <c r="H75" s="118">
        <f>IFERROR(INDEX('الموظفون'!$Q$3:$Q$502,69),"")</f>
        <v/>
      </c>
      <c r="I75" s="43">
        <f>IFERROR(INDEX('الموظفون'!$R$3:$R$502,69),"")</f>
        <v/>
      </c>
      <c r="J75" s="60">
        <f>IFERROR(INDEX('الموظفون'!$S$3:$S$502,69),"")</f>
        <v/>
      </c>
      <c r="K75" s="60">
        <f>IFERROR(INDEX('الموظفون'!$T$3:$T$502,69),"")</f>
        <v/>
      </c>
      <c r="L75" s="69">
        <f>IFERROR(IF(INDEX(الموظفون_الرقم,69)="","",INDEX(الموظفون_الاساسي,69)+INDEX(الموظفون_البدلات,69)),"")</f>
        <v/>
      </c>
    </row>
    <row r="76">
      <c r="A76" s="50">
        <f>IFERROR(INDEX('الموظفون'!$A$3:$A$502,70),"")</f>
        <v/>
      </c>
      <c r="B76" s="50">
        <f>IFERROR(INDEX('الموظفون'!$B$3:$B$502,70),"")</f>
        <v/>
      </c>
      <c r="C76" s="50">
        <f>IFERROR(INDEX('الموظفون'!$J$3:$J$502,70),"")</f>
        <v/>
      </c>
      <c r="D76" s="50">
        <f>IFERROR(INDEX('الموظفون'!$K$3:$K$502,70),"")</f>
        <v/>
      </c>
      <c r="E76" s="50">
        <f>IFERROR(INDEX('الموظفون'!$L$3:$L$502,70),"")</f>
        <v/>
      </c>
      <c r="F76" s="50">
        <f>IFERROR(INDEX('الموظفون'!$N$3:$N$502,70),"")</f>
        <v/>
      </c>
      <c r="G76" s="119">
        <f>IFERROR(INDEX('الموظفون'!$O$3:$O$502,70),"")</f>
        <v/>
      </c>
      <c r="H76" s="119">
        <f>IFERROR(INDEX('الموظفون'!$Q$3:$Q$502,70),"")</f>
        <v/>
      </c>
      <c r="I76" s="50">
        <f>IFERROR(INDEX('الموظفون'!$R$3:$R$502,70),"")</f>
        <v/>
      </c>
      <c r="J76" s="63">
        <f>IFERROR(INDEX('الموظفون'!$S$3:$S$502,70),"")</f>
        <v/>
      </c>
      <c r="K76" s="63">
        <f>IFERROR(INDEX('الموظفون'!$T$3:$T$502,70),"")</f>
        <v/>
      </c>
      <c r="L76" s="69">
        <f>IFERROR(IF(INDEX(الموظفون_الرقم,70)="","",INDEX(الموظفون_الاساسي,70)+INDEX(الموظفون_البدلات,70)),"")</f>
        <v/>
      </c>
    </row>
    <row r="77">
      <c r="A77" s="43">
        <f>IFERROR(INDEX('الموظفون'!$A$3:$A$502,71),"")</f>
        <v/>
      </c>
      <c r="B77" s="43">
        <f>IFERROR(INDEX('الموظفون'!$B$3:$B$502,71),"")</f>
        <v/>
      </c>
      <c r="C77" s="43">
        <f>IFERROR(INDEX('الموظفون'!$J$3:$J$502,71),"")</f>
        <v/>
      </c>
      <c r="D77" s="43">
        <f>IFERROR(INDEX('الموظفون'!$K$3:$K$502,71),"")</f>
        <v/>
      </c>
      <c r="E77" s="43">
        <f>IFERROR(INDEX('الموظفون'!$L$3:$L$502,71),"")</f>
        <v/>
      </c>
      <c r="F77" s="43">
        <f>IFERROR(INDEX('الموظفون'!$N$3:$N$502,71),"")</f>
        <v/>
      </c>
      <c r="G77" s="118">
        <f>IFERROR(INDEX('الموظفون'!$O$3:$O$502,71),"")</f>
        <v/>
      </c>
      <c r="H77" s="118">
        <f>IFERROR(INDEX('الموظفون'!$Q$3:$Q$502,71),"")</f>
        <v/>
      </c>
      <c r="I77" s="43">
        <f>IFERROR(INDEX('الموظفون'!$R$3:$R$502,71),"")</f>
        <v/>
      </c>
      <c r="J77" s="60">
        <f>IFERROR(INDEX('الموظفون'!$S$3:$S$502,71),"")</f>
        <v/>
      </c>
      <c r="K77" s="60">
        <f>IFERROR(INDEX('الموظفون'!$T$3:$T$502,71),"")</f>
        <v/>
      </c>
      <c r="L77" s="69">
        <f>IFERROR(IF(INDEX(الموظفون_الرقم,71)="","",INDEX(الموظفون_الاساسي,71)+INDEX(الموظفون_البدلات,71)),"")</f>
        <v/>
      </c>
    </row>
    <row r="78">
      <c r="A78" s="50">
        <f>IFERROR(INDEX('الموظفون'!$A$3:$A$502,72),"")</f>
        <v/>
      </c>
      <c r="B78" s="50">
        <f>IFERROR(INDEX('الموظفون'!$B$3:$B$502,72),"")</f>
        <v/>
      </c>
      <c r="C78" s="50">
        <f>IFERROR(INDEX('الموظفون'!$J$3:$J$502,72),"")</f>
        <v/>
      </c>
      <c r="D78" s="50">
        <f>IFERROR(INDEX('الموظفون'!$K$3:$K$502,72),"")</f>
        <v/>
      </c>
      <c r="E78" s="50">
        <f>IFERROR(INDEX('الموظفون'!$L$3:$L$502,72),"")</f>
        <v/>
      </c>
      <c r="F78" s="50">
        <f>IFERROR(INDEX('الموظفون'!$N$3:$N$502,72),"")</f>
        <v/>
      </c>
      <c r="G78" s="119">
        <f>IFERROR(INDEX('الموظفون'!$O$3:$O$502,72),"")</f>
        <v/>
      </c>
      <c r="H78" s="119">
        <f>IFERROR(INDEX('الموظفون'!$Q$3:$Q$502,72),"")</f>
        <v/>
      </c>
      <c r="I78" s="50">
        <f>IFERROR(INDEX('الموظفون'!$R$3:$R$502,72),"")</f>
        <v/>
      </c>
      <c r="J78" s="63">
        <f>IFERROR(INDEX('الموظفون'!$S$3:$S$502,72),"")</f>
        <v/>
      </c>
      <c r="K78" s="63">
        <f>IFERROR(INDEX('الموظفون'!$T$3:$T$502,72),"")</f>
        <v/>
      </c>
      <c r="L78" s="69">
        <f>IFERROR(IF(INDEX(الموظفون_الرقم,72)="","",INDEX(الموظفون_الاساسي,72)+INDEX(الموظفون_البدلات,72)),"")</f>
        <v/>
      </c>
    </row>
    <row r="79">
      <c r="A79" s="43">
        <f>IFERROR(INDEX('الموظفون'!$A$3:$A$502,73),"")</f>
        <v/>
      </c>
      <c r="B79" s="43">
        <f>IFERROR(INDEX('الموظفون'!$B$3:$B$502,73),"")</f>
        <v/>
      </c>
      <c r="C79" s="43">
        <f>IFERROR(INDEX('الموظفون'!$J$3:$J$502,73),"")</f>
        <v/>
      </c>
      <c r="D79" s="43">
        <f>IFERROR(INDEX('الموظفون'!$K$3:$K$502,73),"")</f>
        <v/>
      </c>
      <c r="E79" s="43">
        <f>IFERROR(INDEX('الموظفون'!$L$3:$L$502,73),"")</f>
        <v/>
      </c>
      <c r="F79" s="43">
        <f>IFERROR(INDEX('الموظفون'!$N$3:$N$502,73),"")</f>
        <v/>
      </c>
      <c r="G79" s="118">
        <f>IFERROR(INDEX('الموظفون'!$O$3:$O$502,73),"")</f>
        <v/>
      </c>
      <c r="H79" s="118">
        <f>IFERROR(INDEX('الموظفون'!$Q$3:$Q$502,73),"")</f>
        <v/>
      </c>
      <c r="I79" s="43">
        <f>IFERROR(INDEX('الموظفون'!$R$3:$R$502,73),"")</f>
        <v/>
      </c>
      <c r="J79" s="60">
        <f>IFERROR(INDEX('الموظفون'!$S$3:$S$502,73),"")</f>
        <v/>
      </c>
      <c r="K79" s="60">
        <f>IFERROR(INDEX('الموظفون'!$T$3:$T$502,73),"")</f>
        <v/>
      </c>
      <c r="L79" s="69">
        <f>IFERROR(IF(INDEX(الموظفون_الرقم,73)="","",INDEX(الموظفون_الاساسي,73)+INDEX(الموظفون_البدلات,73)),"")</f>
        <v/>
      </c>
    </row>
    <row r="80">
      <c r="A80" s="50">
        <f>IFERROR(INDEX('الموظفون'!$A$3:$A$502,74),"")</f>
        <v/>
      </c>
      <c r="B80" s="50">
        <f>IFERROR(INDEX('الموظفون'!$B$3:$B$502,74),"")</f>
        <v/>
      </c>
      <c r="C80" s="50">
        <f>IFERROR(INDEX('الموظفون'!$J$3:$J$502,74),"")</f>
        <v/>
      </c>
      <c r="D80" s="50">
        <f>IFERROR(INDEX('الموظفون'!$K$3:$K$502,74),"")</f>
        <v/>
      </c>
      <c r="E80" s="50">
        <f>IFERROR(INDEX('الموظفون'!$L$3:$L$502,74),"")</f>
        <v/>
      </c>
      <c r="F80" s="50">
        <f>IFERROR(INDEX('الموظفون'!$N$3:$N$502,74),"")</f>
        <v/>
      </c>
      <c r="G80" s="119">
        <f>IFERROR(INDEX('الموظفون'!$O$3:$O$502,74),"")</f>
        <v/>
      </c>
      <c r="H80" s="119">
        <f>IFERROR(INDEX('الموظفون'!$Q$3:$Q$502,74),"")</f>
        <v/>
      </c>
      <c r="I80" s="50">
        <f>IFERROR(INDEX('الموظفون'!$R$3:$R$502,74),"")</f>
        <v/>
      </c>
      <c r="J80" s="63">
        <f>IFERROR(INDEX('الموظفون'!$S$3:$S$502,74),"")</f>
        <v/>
      </c>
      <c r="K80" s="63">
        <f>IFERROR(INDEX('الموظفون'!$T$3:$T$502,74),"")</f>
        <v/>
      </c>
      <c r="L80" s="69">
        <f>IFERROR(IF(INDEX(الموظفون_الرقم,74)="","",INDEX(الموظفون_الاساسي,74)+INDEX(الموظفون_البدلات,74)),"")</f>
        <v/>
      </c>
    </row>
    <row r="81">
      <c r="A81" s="43">
        <f>IFERROR(INDEX('الموظفون'!$A$3:$A$502,75),"")</f>
        <v/>
      </c>
      <c r="B81" s="43">
        <f>IFERROR(INDEX('الموظفون'!$B$3:$B$502,75),"")</f>
        <v/>
      </c>
      <c r="C81" s="43">
        <f>IFERROR(INDEX('الموظفون'!$J$3:$J$502,75),"")</f>
        <v/>
      </c>
      <c r="D81" s="43">
        <f>IFERROR(INDEX('الموظفون'!$K$3:$K$502,75),"")</f>
        <v/>
      </c>
      <c r="E81" s="43">
        <f>IFERROR(INDEX('الموظفون'!$L$3:$L$502,75),"")</f>
        <v/>
      </c>
      <c r="F81" s="43">
        <f>IFERROR(INDEX('الموظفون'!$N$3:$N$502,75),"")</f>
        <v/>
      </c>
      <c r="G81" s="118">
        <f>IFERROR(INDEX('الموظفون'!$O$3:$O$502,75),"")</f>
        <v/>
      </c>
      <c r="H81" s="118">
        <f>IFERROR(INDEX('الموظفون'!$Q$3:$Q$502,75),"")</f>
        <v/>
      </c>
      <c r="I81" s="43">
        <f>IFERROR(INDEX('الموظفون'!$R$3:$R$502,75),"")</f>
        <v/>
      </c>
      <c r="J81" s="60">
        <f>IFERROR(INDEX('الموظفون'!$S$3:$S$502,75),"")</f>
        <v/>
      </c>
      <c r="K81" s="60">
        <f>IFERROR(INDEX('الموظفون'!$T$3:$T$502,75),"")</f>
        <v/>
      </c>
      <c r="L81" s="69">
        <f>IFERROR(IF(INDEX(الموظفون_الرقم,75)="","",INDEX(الموظفون_الاساسي,75)+INDEX(الموظفون_البدلات,75)),"")</f>
        <v/>
      </c>
    </row>
    <row r="82">
      <c r="A82" s="50">
        <f>IFERROR(INDEX('الموظفون'!$A$3:$A$502,76),"")</f>
        <v/>
      </c>
      <c r="B82" s="50">
        <f>IFERROR(INDEX('الموظفون'!$B$3:$B$502,76),"")</f>
        <v/>
      </c>
      <c r="C82" s="50">
        <f>IFERROR(INDEX('الموظفون'!$J$3:$J$502,76),"")</f>
        <v/>
      </c>
      <c r="D82" s="50">
        <f>IFERROR(INDEX('الموظفون'!$K$3:$K$502,76),"")</f>
        <v/>
      </c>
      <c r="E82" s="50">
        <f>IFERROR(INDEX('الموظفون'!$L$3:$L$502,76),"")</f>
        <v/>
      </c>
      <c r="F82" s="50">
        <f>IFERROR(INDEX('الموظفون'!$N$3:$N$502,76),"")</f>
        <v/>
      </c>
      <c r="G82" s="119">
        <f>IFERROR(INDEX('الموظفون'!$O$3:$O$502,76),"")</f>
        <v/>
      </c>
      <c r="H82" s="119">
        <f>IFERROR(INDEX('الموظفون'!$Q$3:$Q$502,76),"")</f>
        <v/>
      </c>
      <c r="I82" s="50">
        <f>IFERROR(INDEX('الموظفون'!$R$3:$R$502,76),"")</f>
        <v/>
      </c>
      <c r="J82" s="63">
        <f>IFERROR(INDEX('الموظفون'!$S$3:$S$502,76),"")</f>
        <v/>
      </c>
      <c r="K82" s="63">
        <f>IFERROR(INDEX('الموظفون'!$T$3:$T$502,76),"")</f>
        <v/>
      </c>
      <c r="L82" s="69">
        <f>IFERROR(IF(INDEX(الموظفون_الرقم,76)="","",INDEX(الموظفون_الاساسي,76)+INDEX(الموظفون_البدلات,76)),"")</f>
        <v/>
      </c>
    </row>
    <row r="83">
      <c r="A83" s="43">
        <f>IFERROR(INDEX('الموظفون'!$A$3:$A$502,77),"")</f>
        <v/>
      </c>
      <c r="B83" s="43">
        <f>IFERROR(INDEX('الموظفون'!$B$3:$B$502,77),"")</f>
        <v/>
      </c>
      <c r="C83" s="43">
        <f>IFERROR(INDEX('الموظفون'!$J$3:$J$502,77),"")</f>
        <v/>
      </c>
      <c r="D83" s="43">
        <f>IFERROR(INDEX('الموظفون'!$K$3:$K$502,77),"")</f>
        <v/>
      </c>
      <c r="E83" s="43">
        <f>IFERROR(INDEX('الموظفون'!$L$3:$L$502,77),"")</f>
        <v/>
      </c>
      <c r="F83" s="43">
        <f>IFERROR(INDEX('الموظفون'!$N$3:$N$502,77),"")</f>
        <v/>
      </c>
      <c r="G83" s="118">
        <f>IFERROR(INDEX('الموظفون'!$O$3:$O$502,77),"")</f>
        <v/>
      </c>
      <c r="H83" s="118">
        <f>IFERROR(INDEX('الموظفون'!$Q$3:$Q$502,77),"")</f>
        <v/>
      </c>
      <c r="I83" s="43">
        <f>IFERROR(INDEX('الموظفون'!$R$3:$R$502,77),"")</f>
        <v/>
      </c>
      <c r="J83" s="60">
        <f>IFERROR(INDEX('الموظفون'!$S$3:$S$502,77),"")</f>
        <v/>
      </c>
      <c r="K83" s="60">
        <f>IFERROR(INDEX('الموظفون'!$T$3:$T$502,77),"")</f>
        <v/>
      </c>
      <c r="L83" s="69">
        <f>IFERROR(IF(INDEX(الموظفون_الرقم,77)="","",INDEX(الموظفون_الاساسي,77)+INDEX(الموظفون_البدلات,77)),"")</f>
        <v/>
      </c>
    </row>
    <row r="84">
      <c r="A84" s="50">
        <f>IFERROR(INDEX('الموظفون'!$A$3:$A$502,78),"")</f>
        <v/>
      </c>
      <c r="B84" s="50">
        <f>IFERROR(INDEX('الموظفون'!$B$3:$B$502,78),"")</f>
        <v/>
      </c>
      <c r="C84" s="50">
        <f>IFERROR(INDEX('الموظفون'!$J$3:$J$502,78),"")</f>
        <v/>
      </c>
      <c r="D84" s="50">
        <f>IFERROR(INDEX('الموظفون'!$K$3:$K$502,78),"")</f>
        <v/>
      </c>
      <c r="E84" s="50">
        <f>IFERROR(INDEX('الموظفون'!$L$3:$L$502,78),"")</f>
        <v/>
      </c>
      <c r="F84" s="50">
        <f>IFERROR(INDEX('الموظفون'!$N$3:$N$502,78),"")</f>
        <v/>
      </c>
      <c r="G84" s="119">
        <f>IFERROR(INDEX('الموظفون'!$O$3:$O$502,78),"")</f>
        <v/>
      </c>
      <c r="H84" s="119">
        <f>IFERROR(INDEX('الموظفون'!$Q$3:$Q$502,78),"")</f>
        <v/>
      </c>
      <c r="I84" s="50">
        <f>IFERROR(INDEX('الموظفون'!$R$3:$R$502,78),"")</f>
        <v/>
      </c>
      <c r="J84" s="63">
        <f>IFERROR(INDEX('الموظفون'!$S$3:$S$502,78),"")</f>
        <v/>
      </c>
      <c r="K84" s="63">
        <f>IFERROR(INDEX('الموظفون'!$T$3:$T$502,78),"")</f>
        <v/>
      </c>
      <c r="L84" s="69">
        <f>IFERROR(IF(INDEX(الموظفون_الرقم,78)="","",INDEX(الموظفون_الاساسي,78)+INDEX(الموظفون_البدلات,78)),"")</f>
        <v/>
      </c>
    </row>
    <row r="85">
      <c r="A85" s="43">
        <f>IFERROR(INDEX('الموظفون'!$A$3:$A$502,79),"")</f>
        <v/>
      </c>
      <c r="B85" s="43">
        <f>IFERROR(INDEX('الموظفون'!$B$3:$B$502,79),"")</f>
        <v/>
      </c>
      <c r="C85" s="43">
        <f>IFERROR(INDEX('الموظفون'!$J$3:$J$502,79),"")</f>
        <v/>
      </c>
      <c r="D85" s="43">
        <f>IFERROR(INDEX('الموظفون'!$K$3:$K$502,79),"")</f>
        <v/>
      </c>
      <c r="E85" s="43">
        <f>IFERROR(INDEX('الموظفون'!$L$3:$L$502,79),"")</f>
        <v/>
      </c>
      <c r="F85" s="43">
        <f>IFERROR(INDEX('الموظفون'!$N$3:$N$502,79),"")</f>
        <v/>
      </c>
      <c r="G85" s="118">
        <f>IFERROR(INDEX('الموظفون'!$O$3:$O$502,79),"")</f>
        <v/>
      </c>
      <c r="H85" s="118">
        <f>IFERROR(INDEX('الموظفون'!$Q$3:$Q$502,79),"")</f>
        <v/>
      </c>
      <c r="I85" s="43">
        <f>IFERROR(INDEX('الموظفون'!$R$3:$R$502,79),"")</f>
        <v/>
      </c>
      <c r="J85" s="60">
        <f>IFERROR(INDEX('الموظفون'!$S$3:$S$502,79),"")</f>
        <v/>
      </c>
      <c r="K85" s="60">
        <f>IFERROR(INDEX('الموظفون'!$T$3:$T$502,79),"")</f>
        <v/>
      </c>
      <c r="L85" s="69">
        <f>IFERROR(IF(INDEX(الموظفون_الرقم,79)="","",INDEX(الموظفون_الاساسي,79)+INDEX(الموظفون_البدلات,79)),"")</f>
        <v/>
      </c>
    </row>
    <row r="86">
      <c r="A86" s="50">
        <f>IFERROR(INDEX('الموظفون'!$A$3:$A$502,80),"")</f>
        <v/>
      </c>
      <c r="B86" s="50">
        <f>IFERROR(INDEX('الموظفون'!$B$3:$B$502,80),"")</f>
        <v/>
      </c>
      <c r="C86" s="50">
        <f>IFERROR(INDEX('الموظفون'!$J$3:$J$502,80),"")</f>
        <v/>
      </c>
      <c r="D86" s="50">
        <f>IFERROR(INDEX('الموظفون'!$K$3:$K$502,80),"")</f>
        <v/>
      </c>
      <c r="E86" s="50">
        <f>IFERROR(INDEX('الموظفون'!$L$3:$L$502,80),"")</f>
        <v/>
      </c>
      <c r="F86" s="50">
        <f>IFERROR(INDEX('الموظفون'!$N$3:$N$502,80),"")</f>
        <v/>
      </c>
      <c r="G86" s="119">
        <f>IFERROR(INDEX('الموظفون'!$O$3:$O$502,80),"")</f>
        <v/>
      </c>
      <c r="H86" s="119">
        <f>IFERROR(INDEX('الموظفون'!$Q$3:$Q$502,80),"")</f>
        <v/>
      </c>
      <c r="I86" s="50">
        <f>IFERROR(INDEX('الموظفون'!$R$3:$R$502,80),"")</f>
        <v/>
      </c>
      <c r="J86" s="63">
        <f>IFERROR(INDEX('الموظفون'!$S$3:$S$502,80),"")</f>
        <v/>
      </c>
      <c r="K86" s="63">
        <f>IFERROR(INDEX('الموظفون'!$T$3:$T$502,80),"")</f>
        <v/>
      </c>
      <c r="L86" s="69">
        <f>IFERROR(IF(INDEX(الموظفون_الرقم,80)="","",INDEX(الموظفون_الاساسي,80)+INDEX(الموظفون_البدلات,80)),"")</f>
        <v/>
      </c>
    </row>
    <row r="87">
      <c r="A87" s="43">
        <f>IFERROR(INDEX('الموظفون'!$A$3:$A$502,81),"")</f>
        <v/>
      </c>
      <c r="B87" s="43">
        <f>IFERROR(INDEX('الموظفون'!$B$3:$B$502,81),"")</f>
        <v/>
      </c>
      <c r="C87" s="43">
        <f>IFERROR(INDEX('الموظفون'!$J$3:$J$502,81),"")</f>
        <v/>
      </c>
      <c r="D87" s="43">
        <f>IFERROR(INDEX('الموظفون'!$K$3:$K$502,81),"")</f>
        <v/>
      </c>
      <c r="E87" s="43">
        <f>IFERROR(INDEX('الموظفون'!$L$3:$L$502,81),"")</f>
        <v/>
      </c>
      <c r="F87" s="43">
        <f>IFERROR(INDEX('الموظفون'!$N$3:$N$502,81),"")</f>
        <v/>
      </c>
      <c r="G87" s="118">
        <f>IFERROR(INDEX('الموظفون'!$O$3:$O$502,81),"")</f>
        <v/>
      </c>
      <c r="H87" s="118">
        <f>IFERROR(INDEX('الموظفون'!$Q$3:$Q$502,81),"")</f>
        <v/>
      </c>
      <c r="I87" s="43">
        <f>IFERROR(INDEX('الموظفون'!$R$3:$R$502,81),"")</f>
        <v/>
      </c>
      <c r="J87" s="60">
        <f>IFERROR(INDEX('الموظفون'!$S$3:$S$502,81),"")</f>
        <v/>
      </c>
      <c r="K87" s="60">
        <f>IFERROR(INDEX('الموظفون'!$T$3:$T$502,81),"")</f>
        <v/>
      </c>
      <c r="L87" s="69">
        <f>IFERROR(IF(INDEX(الموظفون_الرقم,81)="","",INDEX(الموظفون_الاساسي,81)+INDEX(الموظفون_البدلات,81)),"")</f>
        <v/>
      </c>
    </row>
    <row r="88">
      <c r="A88" s="50">
        <f>IFERROR(INDEX('الموظفون'!$A$3:$A$502,82),"")</f>
        <v/>
      </c>
      <c r="B88" s="50">
        <f>IFERROR(INDEX('الموظفون'!$B$3:$B$502,82),"")</f>
        <v/>
      </c>
      <c r="C88" s="50">
        <f>IFERROR(INDEX('الموظفون'!$J$3:$J$502,82),"")</f>
        <v/>
      </c>
      <c r="D88" s="50">
        <f>IFERROR(INDEX('الموظفون'!$K$3:$K$502,82),"")</f>
        <v/>
      </c>
      <c r="E88" s="50">
        <f>IFERROR(INDEX('الموظفون'!$L$3:$L$502,82),"")</f>
        <v/>
      </c>
      <c r="F88" s="50">
        <f>IFERROR(INDEX('الموظفون'!$N$3:$N$502,82),"")</f>
        <v/>
      </c>
      <c r="G88" s="119">
        <f>IFERROR(INDEX('الموظفون'!$O$3:$O$502,82),"")</f>
        <v/>
      </c>
      <c r="H88" s="119">
        <f>IFERROR(INDEX('الموظفون'!$Q$3:$Q$502,82),"")</f>
        <v/>
      </c>
      <c r="I88" s="50">
        <f>IFERROR(INDEX('الموظفون'!$R$3:$R$502,82),"")</f>
        <v/>
      </c>
      <c r="J88" s="63">
        <f>IFERROR(INDEX('الموظفون'!$S$3:$S$502,82),"")</f>
        <v/>
      </c>
      <c r="K88" s="63">
        <f>IFERROR(INDEX('الموظفون'!$T$3:$T$502,82),"")</f>
        <v/>
      </c>
      <c r="L88" s="69">
        <f>IFERROR(IF(INDEX(الموظفون_الرقم,82)="","",INDEX(الموظفون_الاساسي,82)+INDEX(الموظفون_البدلات,82)),"")</f>
        <v/>
      </c>
    </row>
    <row r="89">
      <c r="A89" s="43">
        <f>IFERROR(INDEX('الموظفون'!$A$3:$A$502,83),"")</f>
        <v/>
      </c>
      <c r="B89" s="43">
        <f>IFERROR(INDEX('الموظفون'!$B$3:$B$502,83),"")</f>
        <v/>
      </c>
      <c r="C89" s="43">
        <f>IFERROR(INDEX('الموظفون'!$J$3:$J$502,83),"")</f>
        <v/>
      </c>
      <c r="D89" s="43">
        <f>IFERROR(INDEX('الموظفون'!$K$3:$K$502,83),"")</f>
        <v/>
      </c>
      <c r="E89" s="43">
        <f>IFERROR(INDEX('الموظفون'!$L$3:$L$502,83),"")</f>
        <v/>
      </c>
      <c r="F89" s="43">
        <f>IFERROR(INDEX('الموظفون'!$N$3:$N$502,83),"")</f>
        <v/>
      </c>
      <c r="G89" s="118">
        <f>IFERROR(INDEX('الموظفون'!$O$3:$O$502,83),"")</f>
        <v/>
      </c>
      <c r="H89" s="118">
        <f>IFERROR(INDEX('الموظفون'!$Q$3:$Q$502,83),"")</f>
        <v/>
      </c>
      <c r="I89" s="43">
        <f>IFERROR(INDEX('الموظفون'!$R$3:$R$502,83),"")</f>
        <v/>
      </c>
      <c r="J89" s="60">
        <f>IFERROR(INDEX('الموظفون'!$S$3:$S$502,83),"")</f>
        <v/>
      </c>
      <c r="K89" s="60">
        <f>IFERROR(INDEX('الموظفون'!$T$3:$T$502,83),"")</f>
        <v/>
      </c>
      <c r="L89" s="69">
        <f>IFERROR(IF(INDEX(الموظفون_الرقم,83)="","",INDEX(الموظفون_الاساسي,83)+INDEX(الموظفون_البدلات,83)),"")</f>
        <v/>
      </c>
    </row>
    <row r="90">
      <c r="A90" s="50">
        <f>IFERROR(INDEX('الموظفون'!$A$3:$A$502,84),"")</f>
        <v/>
      </c>
      <c r="B90" s="50">
        <f>IFERROR(INDEX('الموظفون'!$B$3:$B$502,84),"")</f>
        <v/>
      </c>
      <c r="C90" s="50">
        <f>IFERROR(INDEX('الموظفون'!$J$3:$J$502,84),"")</f>
        <v/>
      </c>
      <c r="D90" s="50">
        <f>IFERROR(INDEX('الموظفون'!$K$3:$K$502,84),"")</f>
        <v/>
      </c>
      <c r="E90" s="50">
        <f>IFERROR(INDEX('الموظفون'!$L$3:$L$502,84),"")</f>
        <v/>
      </c>
      <c r="F90" s="50">
        <f>IFERROR(INDEX('الموظفون'!$N$3:$N$502,84),"")</f>
        <v/>
      </c>
      <c r="G90" s="119">
        <f>IFERROR(INDEX('الموظفون'!$O$3:$O$502,84),"")</f>
        <v/>
      </c>
      <c r="H90" s="119">
        <f>IFERROR(INDEX('الموظفون'!$Q$3:$Q$502,84),"")</f>
        <v/>
      </c>
      <c r="I90" s="50">
        <f>IFERROR(INDEX('الموظفون'!$R$3:$R$502,84),"")</f>
        <v/>
      </c>
      <c r="J90" s="63">
        <f>IFERROR(INDEX('الموظفون'!$S$3:$S$502,84),"")</f>
        <v/>
      </c>
      <c r="K90" s="63">
        <f>IFERROR(INDEX('الموظفون'!$T$3:$T$502,84),"")</f>
        <v/>
      </c>
      <c r="L90" s="69">
        <f>IFERROR(IF(INDEX(الموظفون_الرقم,84)="","",INDEX(الموظفون_الاساسي,84)+INDEX(الموظفون_البدلات,84)),"")</f>
        <v/>
      </c>
    </row>
    <row r="91">
      <c r="A91" s="43">
        <f>IFERROR(INDEX('الموظفون'!$A$3:$A$502,85),"")</f>
        <v/>
      </c>
      <c r="B91" s="43">
        <f>IFERROR(INDEX('الموظفون'!$B$3:$B$502,85),"")</f>
        <v/>
      </c>
      <c r="C91" s="43">
        <f>IFERROR(INDEX('الموظفون'!$J$3:$J$502,85),"")</f>
        <v/>
      </c>
      <c r="D91" s="43">
        <f>IFERROR(INDEX('الموظفون'!$K$3:$K$502,85),"")</f>
        <v/>
      </c>
      <c r="E91" s="43">
        <f>IFERROR(INDEX('الموظفون'!$L$3:$L$502,85),"")</f>
        <v/>
      </c>
      <c r="F91" s="43">
        <f>IFERROR(INDEX('الموظفون'!$N$3:$N$502,85),"")</f>
        <v/>
      </c>
      <c r="G91" s="118">
        <f>IFERROR(INDEX('الموظفون'!$O$3:$O$502,85),"")</f>
        <v/>
      </c>
      <c r="H91" s="118">
        <f>IFERROR(INDEX('الموظفون'!$Q$3:$Q$502,85),"")</f>
        <v/>
      </c>
      <c r="I91" s="43">
        <f>IFERROR(INDEX('الموظفون'!$R$3:$R$502,85),"")</f>
        <v/>
      </c>
      <c r="J91" s="60">
        <f>IFERROR(INDEX('الموظفون'!$S$3:$S$502,85),"")</f>
        <v/>
      </c>
      <c r="K91" s="60">
        <f>IFERROR(INDEX('الموظفون'!$T$3:$T$502,85),"")</f>
        <v/>
      </c>
      <c r="L91" s="69">
        <f>IFERROR(IF(INDEX(الموظفون_الرقم,85)="","",INDEX(الموظفون_الاساسي,85)+INDEX(الموظفون_البدلات,85)),"")</f>
        <v/>
      </c>
    </row>
    <row r="92">
      <c r="A92" s="50">
        <f>IFERROR(INDEX('الموظفون'!$A$3:$A$502,86),"")</f>
        <v/>
      </c>
      <c r="B92" s="50">
        <f>IFERROR(INDEX('الموظفون'!$B$3:$B$502,86),"")</f>
        <v/>
      </c>
      <c r="C92" s="50">
        <f>IFERROR(INDEX('الموظفون'!$J$3:$J$502,86),"")</f>
        <v/>
      </c>
      <c r="D92" s="50">
        <f>IFERROR(INDEX('الموظفون'!$K$3:$K$502,86),"")</f>
        <v/>
      </c>
      <c r="E92" s="50">
        <f>IFERROR(INDEX('الموظفون'!$L$3:$L$502,86),"")</f>
        <v/>
      </c>
      <c r="F92" s="50">
        <f>IFERROR(INDEX('الموظفون'!$N$3:$N$502,86),"")</f>
        <v/>
      </c>
      <c r="G92" s="119">
        <f>IFERROR(INDEX('الموظفون'!$O$3:$O$502,86),"")</f>
        <v/>
      </c>
      <c r="H92" s="119">
        <f>IFERROR(INDEX('الموظفون'!$Q$3:$Q$502,86),"")</f>
        <v/>
      </c>
      <c r="I92" s="50">
        <f>IFERROR(INDEX('الموظفون'!$R$3:$R$502,86),"")</f>
        <v/>
      </c>
      <c r="J92" s="63">
        <f>IFERROR(INDEX('الموظفون'!$S$3:$S$502,86),"")</f>
        <v/>
      </c>
      <c r="K92" s="63">
        <f>IFERROR(INDEX('الموظفون'!$T$3:$T$502,86),"")</f>
        <v/>
      </c>
      <c r="L92" s="69">
        <f>IFERROR(IF(INDEX(الموظفون_الرقم,86)="","",INDEX(الموظفون_الاساسي,86)+INDEX(الموظفون_البدلات,86)),"")</f>
        <v/>
      </c>
    </row>
    <row r="93">
      <c r="A93" s="43">
        <f>IFERROR(INDEX('الموظفون'!$A$3:$A$502,87),"")</f>
        <v/>
      </c>
      <c r="B93" s="43">
        <f>IFERROR(INDEX('الموظفون'!$B$3:$B$502,87),"")</f>
        <v/>
      </c>
      <c r="C93" s="43">
        <f>IFERROR(INDEX('الموظفون'!$J$3:$J$502,87),"")</f>
        <v/>
      </c>
      <c r="D93" s="43">
        <f>IFERROR(INDEX('الموظفون'!$K$3:$K$502,87),"")</f>
        <v/>
      </c>
      <c r="E93" s="43">
        <f>IFERROR(INDEX('الموظفون'!$L$3:$L$502,87),"")</f>
        <v/>
      </c>
      <c r="F93" s="43">
        <f>IFERROR(INDEX('الموظفون'!$N$3:$N$502,87),"")</f>
        <v/>
      </c>
      <c r="G93" s="118">
        <f>IFERROR(INDEX('الموظفون'!$O$3:$O$502,87),"")</f>
        <v/>
      </c>
      <c r="H93" s="118">
        <f>IFERROR(INDEX('الموظفون'!$Q$3:$Q$502,87),"")</f>
        <v/>
      </c>
      <c r="I93" s="43">
        <f>IFERROR(INDEX('الموظفون'!$R$3:$R$502,87),"")</f>
        <v/>
      </c>
      <c r="J93" s="60">
        <f>IFERROR(INDEX('الموظفون'!$S$3:$S$502,87),"")</f>
        <v/>
      </c>
      <c r="K93" s="60">
        <f>IFERROR(INDEX('الموظفون'!$T$3:$T$502,87),"")</f>
        <v/>
      </c>
      <c r="L93" s="69">
        <f>IFERROR(IF(INDEX(الموظفون_الرقم,87)="","",INDEX(الموظفون_الاساسي,87)+INDEX(الموظفون_البدلات,87)),"")</f>
        <v/>
      </c>
    </row>
    <row r="94">
      <c r="A94" s="50">
        <f>IFERROR(INDEX('الموظفون'!$A$3:$A$502,88),"")</f>
        <v/>
      </c>
      <c r="B94" s="50">
        <f>IFERROR(INDEX('الموظفون'!$B$3:$B$502,88),"")</f>
        <v/>
      </c>
      <c r="C94" s="50">
        <f>IFERROR(INDEX('الموظفون'!$J$3:$J$502,88),"")</f>
        <v/>
      </c>
      <c r="D94" s="50">
        <f>IFERROR(INDEX('الموظفون'!$K$3:$K$502,88),"")</f>
        <v/>
      </c>
      <c r="E94" s="50">
        <f>IFERROR(INDEX('الموظفون'!$L$3:$L$502,88),"")</f>
        <v/>
      </c>
      <c r="F94" s="50">
        <f>IFERROR(INDEX('الموظفون'!$N$3:$N$502,88),"")</f>
        <v/>
      </c>
      <c r="G94" s="119">
        <f>IFERROR(INDEX('الموظفون'!$O$3:$O$502,88),"")</f>
        <v/>
      </c>
      <c r="H94" s="119">
        <f>IFERROR(INDEX('الموظفون'!$Q$3:$Q$502,88),"")</f>
        <v/>
      </c>
      <c r="I94" s="50">
        <f>IFERROR(INDEX('الموظفون'!$R$3:$R$502,88),"")</f>
        <v/>
      </c>
      <c r="J94" s="63">
        <f>IFERROR(INDEX('الموظفون'!$S$3:$S$502,88),"")</f>
        <v/>
      </c>
      <c r="K94" s="63">
        <f>IFERROR(INDEX('الموظفون'!$T$3:$T$502,88),"")</f>
        <v/>
      </c>
      <c r="L94" s="69">
        <f>IFERROR(IF(INDEX(الموظفون_الرقم,88)="","",INDEX(الموظفون_الاساسي,88)+INDEX(الموظفون_البدلات,88)),"")</f>
        <v/>
      </c>
    </row>
    <row r="95">
      <c r="A95" s="43">
        <f>IFERROR(INDEX('الموظفون'!$A$3:$A$502,89),"")</f>
        <v/>
      </c>
      <c r="B95" s="43">
        <f>IFERROR(INDEX('الموظفون'!$B$3:$B$502,89),"")</f>
        <v/>
      </c>
      <c r="C95" s="43">
        <f>IFERROR(INDEX('الموظفون'!$J$3:$J$502,89),"")</f>
        <v/>
      </c>
      <c r="D95" s="43">
        <f>IFERROR(INDEX('الموظفون'!$K$3:$K$502,89),"")</f>
        <v/>
      </c>
      <c r="E95" s="43">
        <f>IFERROR(INDEX('الموظفون'!$L$3:$L$502,89),"")</f>
        <v/>
      </c>
      <c r="F95" s="43">
        <f>IFERROR(INDEX('الموظفون'!$N$3:$N$502,89),"")</f>
        <v/>
      </c>
      <c r="G95" s="118">
        <f>IFERROR(INDEX('الموظفون'!$O$3:$O$502,89),"")</f>
        <v/>
      </c>
      <c r="H95" s="118">
        <f>IFERROR(INDEX('الموظفون'!$Q$3:$Q$502,89),"")</f>
        <v/>
      </c>
      <c r="I95" s="43">
        <f>IFERROR(INDEX('الموظفون'!$R$3:$R$502,89),"")</f>
        <v/>
      </c>
      <c r="J95" s="60">
        <f>IFERROR(INDEX('الموظفون'!$S$3:$S$502,89),"")</f>
        <v/>
      </c>
      <c r="K95" s="60">
        <f>IFERROR(INDEX('الموظفون'!$T$3:$T$502,89),"")</f>
        <v/>
      </c>
      <c r="L95" s="69">
        <f>IFERROR(IF(INDEX(الموظفون_الرقم,89)="","",INDEX(الموظفون_الاساسي,89)+INDEX(الموظفون_البدلات,89)),"")</f>
        <v/>
      </c>
    </row>
    <row r="96">
      <c r="A96" s="50">
        <f>IFERROR(INDEX('الموظفون'!$A$3:$A$502,90),"")</f>
        <v/>
      </c>
      <c r="B96" s="50">
        <f>IFERROR(INDEX('الموظفون'!$B$3:$B$502,90),"")</f>
        <v/>
      </c>
      <c r="C96" s="50">
        <f>IFERROR(INDEX('الموظفون'!$J$3:$J$502,90),"")</f>
        <v/>
      </c>
      <c r="D96" s="50">
        <f>IFERROR(INDEX('الموظفون'!$K$3:$K$502,90),"")</f>
        <v/>
      </c>
      <c r="E96" s="50">
        <f>IFERROR(INDEX('الموظفون'!$L$3:$L$502,90),"")</f>
        <v/>
      </c>
      <c r="F96" s="50">
        <f>IFERROR(INDEX('الموظفون'!$N$3:$N$502,90),"")</f>
        <v/>
      </c>
      <c r="G96" s="119">
        <f>IFERROR(INDEX('الموظفون'!$O$3:$O$502,90),"")</f>
        <v/>
      </c>
      <c r="H96" s="119">
        <f>IFERROR(INDEX('الموظفون'!$Q$3:$Q$502,90),"")</f>
        <v/>
      </c>
      <c r="I96" s="50">
        <f>IFERROR(INDEX('الموظفون'!$R$3:$R$502,90),"")</f>
        <v/>
      </c>
      <c r="J96" s="63">
        <f>IFERROR(INDEX('الموظفون'!$S$3:$S$502,90),"")</f>
        <v/>
      </c>
      <c r="K96" s="63">
        <f>IFERROR(INDEX('الموظفون'!$T$3:$T$502,90),"")</f>
        <v/>
      </c>
      <c r="L96" s="69">
        <f>IFERROR(IF(INDEX(الموظفون_الرقم,90)="","",INDEX(الموظفون_الاساسي,90)+INDEX(الموظفون_البدلات,90)),"")</f>
        <v/>
      </c>
    </row>
    <row r="97">
      <c r="A97" s="43">
        <f>IFERROR(INDEX('الموظفون'!$A$3:$A$502,91),"")</f>
        <v/>
      </c>
      <c r="B97" s="43">
        <f>IFERROR(INDEX('الموظفون'!$B$3:$B$502,91),"")</f>
        <v/>
      </c>
      <c r="C97" s="43">
        <f>IFERROR(INDEX('الموظفون'!$J$3:$J$502,91),"")</f>
        <v/>
      </c>
      <c r="D97" s="43">
        <f>IFERROR(INDEX('الموظفون'!$K$3:$K$502,91),"")</f>
        <v/>
      </c>
      <c r="E97" s="43">
        <f>IFERROR(INDEX('الموظفون'!$L$3:$L$502,91),"")</f>
        <v/>
      </c>
      <c r="F97" s="43">
        <f>IFERROR(INDEX('الموظفون'!$N$3:$N$502,91),"")</f>
        <v/>
      </c>
      <c r="G97" s="118">
        <f>IFERROR(INDEX('الموظفون'!$O$3:$O$502,91),"")</f>
        <v/>
      </c>
      <c r="H97" s="118">
        <f>IFERROR(INDEX('الموظفون'!$Q$3:$Q$502,91),"")</f>
        <v/>
      </c>
      <c r="I97" s="43">
        <f>IFERROR(INDEX('الموظفون'!$R$3:$R$502,91),"")</f>
        <v/>
      </c>
      <c r="J97" s="60">
        <f>IFERROR(INDEX('الموظفون'!$S$3:$S$502,91),"")</f>
        <v/>
      </c>
      <c r="K97" s="60">
        <f>IFERROR(INDEX('الموظفون'!$T$3:$T$502,91),"")</f>
        <v/>
      </c>
      <c r="L97" s="69">
        <f>IFERROR(IF(INDEX(الموظفون_الرقم,91)="","",INDEX(الموظفون_الاساسي,91)+INDEX(الموظفون_البدلات,91)),"")</f>
        <v/>
      </c>
    </row>
    <row r="98">
      <c r="A98" s="50">
        <f>IFERROR(INDEX('الموظفون'!$A$3:$A$502,92),"")</f>
        <v/>
      </c>
      <c r="B98" s="50">
        <f>IFERROR(INDEX('الموظفون'!$B$3:$B$502,92),"")</f>
        <v/>
      </c>
      <c r="C98" s="50">
        <f>IFERROR(INDEX('الموظفون'!$J$3:$J$502,92),"")</f>
        <v/>
      </c>
      <c r="D98" s="50">
        <f>IFERROR(INDEX('الموظفون'!$K$3:$K$502,92),"")</f>
        <v/>
      </c>
      <c r="E98" s="50">
        <f>IFERROR(INDEX('الموظفون'!$L$3:$L$502,92),"")</f>
        <v/>
      </c>
      <c r="F98" s="50">
        <f>IFERROR(INDEX('الموظفون'!$N$3:$N$502,92),"")</f>
        <v/>
      </c>
      <c r="G98" s="119">
        <f>IFERROR(INDEX('الموظفون'!$O$3:$O$502,92),"")</f>
        <v/>
      </c>
      <c r="H98" s="119">
        <f>IFERROR(INDEX('الموظفون'!$Q$3:$Q$502,92),"")</f>
        <v/>
      </c>
      <c r="I98" s="50">
        <f>IFERROR(INDEX('الموظفون'!$R$3:$R$502,92),"")</f>
        <v/>
      </c>
      <c r="J98" s="63">
        <f>IFERROR(INDEX('الموظفون'!$S$3:$S$502,92),"")</f>
        <v/>
      </c>
      <c r="K98" s="63">
        <f>IFERROR(INDEX('الموظفون'!$T$3:$T$502,92),"")</f>
        <v/>
      </c>
      <c r="L98" s="69">
        <f>IFERROR(IF(INDEX(الموظفون_الرقم,92)="","",INDEX(الموظفون_الاساسي,92)+INDEX(الموظفون_البدلات,92)),"")</f>
        <v/>
      </c>
    </row>
    <row r="99">
      <c r="A99" s="43">
        <f>IFERROR(INDEX('الموظفون'!$A$3:$A$502,93),"")</f>
        <v/>
      </c>
      <c r="B99" s="43">
        <f>IFERROR(INDEX('الموظفون'!$B$3:$B$502,93),"")</f>
        <v/>
      </c>
      <c r="C99" s="43">
        <f>IFERROR(INDEX('الموظفون'!$J$3:$J$502,93),"")</f>
        <v/>
      </c>
      <c r="D99" s="43">
        <f>IFERROR(INDEX('الموظفون'!$K$3:$K$502,93),"")</f>
        <v/>
      </c>
      <c r="E99" s="43">
        <f>IFERROR(INDEX('الموظفون'!$L$3:$L$502,93),"")</f>
        <v/>
      </c>
      <c r="F99" s="43">
        <f>IFERROR(INDEX('الموظفون'!$N$3:$N$502,93),"")</f>
        <v/>
      </c>
      <c r="G99" s="118">
        <f>IFERROR(INDEX('الموظفون'!$O$3:$O$502,93),"")</f>
        <v/>
      </c>
      <c r="H99" s="118">
        <f>IFERROR(INDEX('الموظفون'!$Q$3:$Q$502,93),"")</f>
        <v/>
      </c>
      <c r="I99" s="43">
        <f>IFERROR(INDEX('الموظفون'!$R$3:$R$502,93),"")</f>
        <v/>
      </c>
      <c r="J99" s="60">
        <f>IFERROR(INDEX('الموظفون'!$S$3:$S$502,93),"")</f>
        <v/>
      </c>
      <c r="K99" s="60">
        <f>IFERROR(INDEX('الموظفون'!$T$3:$T$502,93),"")</f>
        <v/>
      </c>
      <c r="L99" s="69">
        <f>IFERROR(IF(INDEX(الموظفون_الرقم,93)="","",INDEX(الموظفون_الاساسي,93)+INDEX(الموظفون_البدلات,93)),"")</f>
        <v/>
      </c>
    </row>
    <row r="100">
      <c r="A100" s="50">
        <f>IFERROR(INDEX('الموظفون'!$A$3:$A$502,94),"")</f>
        <v/>
      </c>
      <c r="B100" s="50">
        <f>IFERROR(INDEX('الموظفون'!$B$3:$B$502,94),"")</f>
        <v/>
      </c>
      <c r="C100" s="50">
        <f>IFERROR(INDEX('الموظفون'!$J$3:$J$502,94),"")</f>
        <v/>
      </c>
      <c r="D100" s="50">
        <f>IFERROR(INDEX('الموظفون'!$K$3:$K$502,94),"")</f>
        <v/>
      </c>
      <c r="E100" s="50">
        <f>IFERROR(INDEX('الموظفون'!$L$3:$L$502,94),"")</f>
        <v/>
      </c>
      <c r="F100" s="50">
        <f>IFERROR(INDEX('الموظفون'!$N$3:$N$502,94),"")</f>
        <v/>
      </c>
      <c r="G100" s="119">
        <f>IFERROR(INDEX('الموظفون'!$O$3:$O$502,94),"")</f>
        <v/>
      </c>
      <c r="H100" s="119">
        <f>IFERROR(INDEX('الموظفون'!$Q$3:$Q$502,94),"")</f>
        <v/>
      </c>
      <c r="I100" s="50">
        <f>IFERROR(INDEX('الموظفون'!$R$3:$R$502,94),"")</f>
        <v/>
      </c>
      <c r="J100" s="63">
        <f>IFERROR(INDEX('الموظفون'!$S$3:$S$502,94),"")</f>
        <v/>
      </c>
      <c r="K100" s="63">
        <f>IFERROR(INDEX('الموظفون'!$T$3:$T$502,94),"")</f>
        <v/>
      </c>
      <c r="L100" s="69">
        <f>IFERROR(IF(INDEX(الموظفون_الرقم,94)="","",INDEX(الموظفون_الاساسي,94)+INDEX(الموظفون_البدلات,94)),"")</f>
        <v/>
      </c>
    </row>
    <row r="101">
      <c r="A101" s="43">
        <f>IFERROR(INDEX('الموظفون'!$A$3:$A$502,95),"")</f>
        <v/>
      </c>
      <c r="B101" s="43">
        <f>IFERROR(INDEX('الموظفون'!$B$3:$B$502,95),"")</f>
        <v/>
      </c>
      <c r="C101" s="43">
        <f>IFERROR(INDEX('الموظفون'!$J$3:$J$502,95),"")</f>
        <v/>
      </c>
      <c r="D101" s="43">
        <f>IFERROR(INDEX('الموظفون'!$K$3:$K$502,95),"")</f>
        <v/>
      </c>
      <c r="E101" s="43">
        <f>IFERROR(INDEX('الموظفون'!$L$3:$L$502,95),"")</f>
        <v/>
      </c>
      <c r="F101" s="43">
        <f>IFERROR(INDEX('الموظفون'!$N$3:$N$502,95),"")</f>
        <v/>
      </c>
      <c r="G101" s="118">
        <f>IFERROR(INDEX('الموظفون'!$O$3:$O$502,95),"")</f>
        <v/>
      </c>
      <c r="H101" s="118">
        <f>IFERROR(INDEX('الموظفون'!$Q$3:$Q$502,95),"")</f>
        <v/>
      </c>
      <c r="I101" s="43">
        <f>IFERROR(INDEX('الموظفون'!$R$3:$R$502,95),"")</f>
        <v/>
      </c>
      <c r="J101" s="60">
        <f>IFERROR(INDEX('الموظفون'!$S$3:$S$502,95),"")</f>
        <v/>
      </c>
      <c r="K101" s="60">
        <f>IFERROR(INDEX('الموظفون'!$T$3:$T$502,95),"")</f>
        <v/>
      </c>
      <c r="L101" s="69">
        <f>IFERROR(IF(INDEX(الموظفون_الرقم,95)="","",INDEX(الموظفون_الاساسي,95)+INDEX(الموظفون_البدلات,95)),"")</f>
        <v/>
      </c>
    </row>
    <row r="102">
      <c r="A102" s="50">
        <f>IFERROR(INDEX('الموظفون'!$A$3:$A$502,96),"")</f>
        <v/>
      </c>
      <c r="B102" s="50">
        <f>IFERROR(INDEX('الموظفون'!$B$3:$B$502,96),"")</f>
        <v/>
      </c>
      <c r="C102" s="50">
        <f>IFERROR(INDEX('الموظفون'!$J$3:$J$502,96),"")</f>
        <v/>
      </c>
      <c r="D102" s="50">
        <f>IFERROR(INDEX('الموظفون'!$K$3:$K$502,96),"")</f>
        <v/>
      </c>
      <c r="E102" s="50">
        <f>IFERROR(INDEX('الموظفون'!$L$3:$L$502,96),"")</f>
        <v/>
      </c>
      <c r="F102" s="50">
        <f>IFERROR(INDEX('الموظفون'!$N$3:$N$502,96),"")</f>
        <v/>
      </c>
      <c r="G102" s="119">
        <f>IFERROR(INDEX('الموظفون'!$O$3:$O$502,96),"")</f>
        <v/>
      </c>
      <c r="H102" s="119">
        <f>IFERROR(INDEX('الموظفون'!$Q$3:$Q$502,96),"")</f>
        <v/>
      </c>
      <c r="I102" s="50">
        <f>IFERROR(INDEX('الموظفون'!$R$3:$R$502,96),"")</f>
        <v/>
      </c>
      <c r="J102" s="63">
        <f>IFERROR(INDEX('الموظفون'!$S$3:$S$502,96),"")</f>
        <v/>
      </c>
      <c r="K102" s="63">
        <f>IFERROR(INDEX('الموظفون'!$T$3:$T$502,96),"")</f>
        <v/>
      </c>
      <c r="L102" s="69">
        <f>IFERROR(IF(INDEX(الموظفون_الرقم,96)="","",INDEX(الموظفون_الاساسي,96)+INDEX(الموظفون_البدلات,96)),"")</f>
        <v/>
      </c>
    </row>
    <row r="103">
      <c r="A103" s="43">
        <f>IFERROR(INDEX('الموظفون'!$A$3:$A$502,97),"")</f>
        <v/>
      </c>
      <c r="B103" s="43">
        <f>IFERROR(INDEX('الموظفون'!$B$3:$B$502,97),"")</f>
        <v/>
      </c>
      <c r="C103" s="43">
        <f>IFERROR(INDEX('الموظفون'!$J$3:$J$502,97),"")</f>
        <v/>
      </c>
      <c r="D103" s="43">
        <f>IFERROR(INDEX('الموظفون'!$K$3:$K$502,97),"")</f>
        <v/>
      </c>
      <c r="E103" s="43">
        <f>IFERROR(INDEX('الموظفون'!$L$3:$L$502,97),"")</f>
        <v/>
      </c>
      <c r="F103" s="43">
        <f>IFERROR(INDEX('الموظفون'!$N$3:$N$502,97),"")</f>
        <v/>
      </c>
      <c r="G103" s="118">
        <f>IFERROR(INDEX('الموظفون'!$O$3:$O$502,97),"")</f>
        <v/>
      </c>
      <c r="H103" s="118">
        <f>IFERROR(INDEX('الموظفون'!$Q$3:$Q$502,97),"")</f>
        <v/>
      </c>
      <c r="I103" s="43">
        <f>IFERROR(INDEX('الموظفون'!$R$3:$R$502,97),"")</f>
        <v/>
      </c>
      <c r="J103" s="60">
        <f>IFERROR(INDEX('الموظفون'!$S$3:$S$502,97),"")</f>
        <v/>
      </c>
      <c r="K103" s="60">
        <f>IFERROR(INDEX('الموظفون'!$T$3:$T$502,97),"")</f>
        <v/>
      </c>
      <c r="L103" s="69">
        <f>IFERROR(IF(INDEX(الموظفون_الرقم,97)="","",INDEX(الموظفون_الاساسي,97)+INDEX(الموظفون_البدلات,97)),"")</f>
        <v/>
      </c>
    </row>
    <row r="104">
      <c r="A104" s="50">
        <f>IFERROR(INDEX('الموظفون'!$A$3:$A$502,98),"")</f>
        <v/>
      </c>
      <c r="B104" s="50">
        <f>IFERROR(INDEX('الموظفون'!$B$3:$B$502,98),"")</f>
        <v/>
      </c>
      <c r="C104" s="50">
        <f>IFERROR(INDEX('الموظفون'!$J$3:$J$502,98),"")</f>
        <v/>
      </c>
      <c r="D104" s="50">
        <f>IFERROR(INDEX('الموظفون'!$K$3:$K$502,98),"")</f>
        <v/>
      </c>
      <c r="E104" s="50">
        <f>IFERROR(INDEX('الموظفون'!$L$3:$L$502,98),"")</f>
        <v/>
      </c>
      <c r="F104" s="50">
        <f>IFERROR(INDEX('الموظفون'!$N$3:$N$502,98),"")</f>
        <v/>
      </c>
      <c r="G104" s="119">
        <f>IFERROR(INDEX('الموظفون'!$O$3:$O$502,98),"")</f>
        <v/>
      </c>
      <c r="H104" s="119">
        <f>IFERROR(INDEX('الموظفون'!$Q$3:$Q$502,98),"")</f>
        <v/>
      </c>
      <c r="I104" s="50">
        <f>IFERROR(INDEX('الموظفون'!$R$3:$R$502,98),"")</f>
        <v/>
      </c>
      <c r="J104" s="63">
        <f>IFERROR(INDEX('الموظفون'!$S$3:$S$502,98),"")</f>
        <v/>
      </c>
      <c r="K104" s="63">
        <f>IFERROR(INDEX('الموظفون'!$T$3:$T$502,98),"")</f>
        <v/>
      </c>
      <c r="L104" s="69">
        <f>IFERROR(IF(INDEX(الموظفون_الرقم,98)="","",INDEX(الموظفون_الاساسي,98)+INDEX(الموظفون_البدلات,98)),"")</f>
        <v/>
      </c>
    </row>
    <row r="105">
      <c r="A105" s="43">
        <f>IFERROR(INDEX('الموظفون'!$A$3:$A$502,99),"")</f>
        <v/>
      </c>
      <c r="B105" s="43">
        <f>IFERROR(INDEX('الموظفون'!$B$3:$B$502,99),"")</f>
        <v/>
      </c>
      <c r="C105" s="43">
        <f>IFERROR(INDEX('الموظفون'!$J$3:$J$502,99),"")</f>
        <v/>
      </c>
      <c r="D105" s="43">
        <f>IFERROR(INDEX('الموظفون'!$K$3:$K$502,99),"")</f>
        <v/>
      </c>
      <c r="E105" s="43">
        <f>IFERROR(INDEX('الموظفون'!$L$3:$L$502,99),"")</f>
        <v/>
      </c>
      <c r="F105" s="43">
        <f>IFERROR(INDEX('الموظفون'!$N$3:$N$502,99),"")</f>
        <v/>
      </c>
      <c r="G105" s="118">
        <f>IFERROR(INDEX('الموظفون'!$O$3:$O$502,99),"")</f>
        <v/>
      </c>
      <c r="H105" s="118">
        <f>IFERROR(INDEX('الموظفون'!$Q$3:$Q$502,99),"")</f>
        <v/>
      </c>
      <c r="I105" s="43">
        <f>IFERROR(INDEX('الموظفون'!$R$3:$R$502,99),"")</f>
        <v/>
      </c>
      <c r="J105" s="60">
        <f>IFERROR(INDEX('الموظفون'!$S$3:$S$502,99),"")</f>
        <v/>
      </c>
      <c r="K105" s="60">
        <f>IFERROR(INDEX('الموظفون'!$T$3:$T$502,99),"")</f>
        <v/>
      </c>
      <c r="L105" s="69">
        <f>IFERROR(IF(INDEX(الموظفون_الرقم,99)="","",INDEX(الموظفون_الاساسي,99)+INDEX(الموظفون_البدلات,99)),"")</f>
        <v/>
      </c>
    </row>
    <row r="106">
      <c r="A106" s="50">
        <f>IFERROR(INDEX('الموظفون'!$A$3:$A$502,100),"")</f>
        <v/>
      </c>
      <c r="B106" s="50">
        <f>IFERROR(INDEX('الموظفون'!$B$3:$B$502,100),"")</f>
        <v/>
      </c>
      <c r="C106" s="50">
        <f>IFERROR(INDEX('الموظفون'!$J$3:$J$502,100),"")</f>
        <v/>
      </c>
      <c r="D106" s="50">
        <f>IFERROR(INDEX('الموظفون'!$K$3:$K$502,100),"")</f>
        <v/>
      </c>
      <c r="E106" s="50">
        <f>IFERROR(INDEX('الموظفون'!$L$3:$L$502,100),"")</f>
        <v/>
      </c>
      <c r="F106" s="50">
        <f>IFERROR(INDEX('الموظفون'!$N$3:$N$502,100),"")</f>
        <v/>
      </c>
      <c r="G106" s="119">
        <f>IFERROR(INDEX('الموظفون'!$O$3:$O$502,100),"")</f>
        <v/>
      </c>
      <c r="H106" s="119">
        <f>IFERROR(INDEX('الموظفون'!$Q$3:$Q$502,100),"")</f>
        <v/>
      </c>
      <c r="I106" s="50">
        <f>IFERROR(INDEX('الموظفون'!$R$3:$R$502,100),"")</f>
        <v/>
      </c>
      <c r="J106" s="63">
        <f>IFERROR(INDEX('الموظفون'!$S$3:$S$502,100),"")</f>
        <v/>
      </c>
      <c r="K106" s="63">
        <f>IFERROR(INDEX('الموظفون'!$T$3:$T$502,100),"")</f>
        <v/>
      </c>
      <c r="L106" s="69">
        <f>IFERROR(IF(INDEX(الموظفون_الرقم,100)="","",INDEX(الموظفون_الاساسي,100)+INDEX(الموظفون_البدلات,100)),"")</f>
        <v/>
      </c>
    </row>
    <row r="107">
      <c r="A107" s="43">
        <f>IFERROR(INDEX('الموظفون'!$A$3:$A$502,101),"")</f>
        <v/>
      </c>
      <c r="B107" s="43">
        <f>IFERROR(INDEX('الموظفون'!$B$3:$B$502,101),"")</f>
        <v/>
      </c>
      <c r="C107" s="43">
        <f>IFERROR(INDEX('الموظفون'!$J$3:$J$502,101),"")</f>
        <v/>
      </c>
      <c r="D107" s="43">
        <f>IFERROR(INDEX('الموظفون'!$K$3:$K$502,101),"")</f>
        <v/>
      </c>
      <c r="E107" s="43">
        <f>IFERROR(INDEX('الموظفون'!$L$3:$L$502,101),"")</f>
        <v/>
      </c>
      <c r="F107" s="43">
        <f>IFERROR(INDEX('الموظفون'!$N$3:$N$502,101),"")</f>
        <v/>
      </c>
      <c r="G107" s="118">
        <f>IFERROR(INDEX('الموظفون'!$O$3:$O$502,101),"")</f>
        <v/>
      </c>
      <c r="H107" s="118">
        <f>IFERROR(INDEX('الموظفون'!$Q$3:$Q$502,101),"")</f>
        <v/>
      </c>
      <c r="I107" s="43">
        <f>IFERROR(INDEX('الموظفون'!$R$3:$R$502,101),"")</f>
        <v/>
      </c>
      <c r="J107" s="60">
        <f>IFERROR(INDEX('الموظفون'!$S$3:$S$502,101),"")</f>
        <v/>
      </c>
      <c r="K107" s="60">
        <f>IFERROR(INDEX('الموظفون'!$T$3:$T$502,101),"")</f>
        <v/>
      </c>
      <c r="L107" s="69">
        <f>IFERROR(IF(INDEX(الموظفون_الرقم,101)="","",INDEX(الموظفون_الاساسي,101)+INDEX(الموظفون_البدلات,101)),"")</f>
        <v/>
      </c>
    </row>
    <row r="108">
      <c r="A108" s="50">
        <f>IFERROR(INDEX('الموظفون'!$A$3:$A$502,102),"")</f>
        <v/>
      </c>
      <c r="B108" s="50">
        <f>IFERROR(INDEX('الموظفون'!$B$3:$B$502,102),"")</f>
        <v/>
      </c>
      <c r="C108" s="50">
        <f>IFERROR(INDEX('الموظفون'!$J$3:$J$502,102),"")</f>
        <v/>
      </c>
      <c r="D108" s="50">
        <f>IFERROR(INDEX('الموظفون'!$K$3:$K$502,102),"")</f>
        <v/>
      </c>
      <c r="E108" s="50">
        <f>IFERROR(INDEX('الموظفون'!$L$3:$L$502,102),"")</f>
        <v/>
      </c>
      <c r="F108" s="50">
        <f>IFERROR(INDEX('الموظفون'!$N$3:$N$502,102),"")</f>
        <v/>
      </c>
      <c r="G108" s="119">
        <f>IFERROR(INDEX('الموظفون'!$O$3:$O$502,102),"")</f>
        <v/>
      </c>
      <c r="H108" s="119">
        <f>IFERROR(INDEX('الموظفون'!$Q$3:$Q$502,102),"")</f>
        <v/>
      </c>
      <c r="I108" s="50">
        <f>IFERROR(INDEX('الموظفون'!$R$3:$R$502,102),"")</f>
        <v/>
      </c>
      <c r="J108" s="63">
        <f>IFERROR(INDEX('الموظفون'!$S$3:$S$502,102),"")</f>
        <v/>
      </c>
      <c r="K108" s="63">
        <f>IFERROR(INDEX('الموظفون'!$T$3:$T$502,102),"")</f>
        <v/>
      </c>
      <c r="L108" s="69">
        <f>IFERROR(IF(INDEX(الموظفون_الرقم,102)="","",INDEX(الموظفون_الاساسي,102)+INDEX(الموظفون_البدلات,102)),"")</f>
        <v/>
      </c>
    </row>
    <row r="109">
      <c r="A109" s="43">
        <f>IFERROR(INDEX('الموظفون'!$A$3:$A$502,103),"")</f>
        <v/>
      </c>
      <c r="B109" s="43">
        <f>IFERROR(INDEX('الموظفون'!$B$3:$B$502,103),"")</f>
        <v/>
      </c>
      <c r="C109" s="43">
        <f>IFERROR(INDEX('الموظفون'!$J$3:$J$502,103),"")</f>
        <v/>
      </c>
      <c r="D109" s="43">
        <f>IFERROR(INDEX('الموظفون'!$K$3:$K$502,103),"")</f>
        <v/>
      </c>
      <c r="E109" s="43">
        <f>IFERROR(INDEX('الموظفون'!$L$3:$L$502,103),"")</f>
        <v/>
      </c>
      <c r="F109" s="43">
        <f>IFERROR(INDEX('الموظفون'!$N$3:$N$502,103),"")</f>
        <v/>
      </c>
      <c r="G109" s="118">
        <f>IFERROR(INDEX('الموظفون'!$O$3:$O$502,103),"")</f>
        <v/>
      </c>
      <c r="H109" s="118">
        <f>IFERROR(INDEX('الموظفون'!$Q$3:$Q$502,103),"")</f>
        <v/>
      </c>
      <c r="I109" s="43">
        <f>IFERROR(INDEX('الموظفون'!$R$3:$R$502,103),"")</f>
        <v/>
      </c>
      <c r="J109" s="60">
        <f>IFERROR(INDEX('الموظفون'!$S$3:$S$502,103),"")</f>
        <v/>
      </c>
      <c r="K109" s="60">
        <f>IFERROR(INDEX('الموظفون'!$T$3:$T$502,103),"")</f>
        <v/>
      </c>
      <c r="L109" s="69">
        <f>IFERROR(IF(INDEX(الموظفون_الرقم,103)="","",INDEX(الموظفون_الاساسي,103)+INDEX(الموظفون_البدلات,103)),"")</f>
        <v/>
      </c>
    </row>
    <row r="110">
      <c r="A110" s="50">
        <f>IFERROR(INDEX('الموظفون'!$A$3:$A$502,104),"")</f>
        <v/>
      </c>
      <c r="B110" s="50">
        <f>IFERROR(INDEX('الموظفون'!$B$3:$B$502,104),"")</f>
        <v/>
      </c>
      <c r="C110" s="50">
        <f>IFERROR(INDEX('الموظفون'!$J$3:$J$502,104),"")</f>
        <v/>
      </c>
      <c r="D110" s="50">
        <f>IFERROR(INDEX('الموظفون'!$K$3:$K$502,104),"")</f>
        <v/>
      </c>
      <c r="E110" s="50">
        <f>IFERROR(INDEX('الموظفون'!$L$3:$L$502,104),"")</f>
        <v/>
      </c>
      <c r="F110" s="50">
        <f>IFERROR(INDEX('الموظفون'!$N$3:$N$502,104),"")</f>
        <v/>
      </c>
      <c r="G110" s="119">
        <f>IFERROR(INDEX('الموظفون'!$O$3:$O$502,104),"")</f>
        <v/>
      </c>
      <c r="H110" s="119">
        <f>IFERROR(INDEX('الموظفون'!$Q$3:$Q$502,104),"")</f>
        <v/>
      </c>
      <c r="I110" s="50">
        <f>IFERROR(INDEX('الموظفون'!$R$3:$R$502,104),"")</f>
        <v/>
      </c>
      <c r="J110" s="63">
        <f>IFERROR(INDEX('الموظفون'!$S$3:$S$502,104),"")</f>
        <v/>
      </c>
      <c r="K110" s="63">
        <f>IFERROR(INDEX('الموظفون'!$T$3:$T$502,104),"")</f>
        <v/>
      </c>
      <c r="L110" s="69">
        <f>IFERROR(IF(INDEX(الموظفون_الرقم,104)="","",INDEX(الموظفون_الاساسي,104)+INDEX(الموظفون_البدلات,104)),"")</f>
        <v/>
      </c>
    </row>
    <row r="111">
      <c r="A111" s="43">
        <f>IFERROR(INDEX('الموظفون'!$A$3:$A$502,105),"")</f>
        <v/>
      </c>
      <c r="B111" s="43">
        <f>IFERROR(INDEX('الموظفون'!$B$3:$B$502,105),"")</f>
        <v/>
      </c>
      <c r="C111" s="43">
        <f>IFERROR(INDEX('الموظفون'!$J$3:$J$502,105),"")</f>
        <v/>
      </c>
      <c r="D111" s="43">
        <f>IFERROR(INDEX('الموظفون'!$K$3:$K$502,105),"")</f>
        <v/>
      </c>
      <c r="E111" s="43">
        <f>IFERROR(INDEX('الموظفون'!$L$3:$L$502,105),"")</f>
        <v/>
      </c>
      <c r="F111" s="43">
        <f>IFERROR(INDEX('الموظفون'!$N$3:$N$502,105),"")</f>
        <v/>
      </c>
      <c r="G111" s="118">
        <f>IFERROR(INDEX('الموظفون'!$O$3:$O$502,105),"")</f>
        <v/>
      </c>
      <c r="H111" s="118">
        <f>IFERROR(INDEX('الموظفون'!$Q$3:$Q$502,105),"")</f>
        <v/>
      </c>
      <c r="I111" s="43">
        <f>IFERROR(INDEX('الموظفون'!$R$3:$R$502,105),"")</f>
        <v/>
      </c>
      <c r="J111" s="60">
        <f>IFERROR(INDEX('الموظفون'!$S$3:$S$502,105),"")</f>
        <v/>
      </c>
      <c r="K111" s="60">
        <f>IFERROR(INDEX('الموظفون'!$T$3:$T$502,105),"")</f>
        <v/>
      </c>
      <c r="L111" s="69">
        <f>IFERROR(IF(INDEX(الموظفون_الرقم,105)="","",INDEX(الموظفون_الاساسي,105)+INDEX(الموظفون_البدلات,105)),"")</f>
        <v/>
      </c>
    </row>
    <row r="112">
      <c r="A112" s="50">
        <f>IFERROR(INDEX('الموظفون'!$A$3:$A$502,106),"")</f>
        <v/>
      </c>
      <c r="B112" s="50">
        <f>IFERROR(INDEX('الموظفون'!$B$3:$B$502,106),"")</f>
        <v/>
      </c>
      <c r="C112" s="50">
        <f>IFERROR(INDEX('الموظفون'!$J$3:$J$502,106),"")</f>
        <v/>
      </c>
      <c r="D112" s="50">
        <f>IFERROR(INDEX('الموظفون'!$K$3:$K$502,106),"")</f>
        <v/>
      </c>
      <c r="E112" s="50">
        <f>IFERROR(INDEX('الموظفون'!$L$3:$L$502,106),"")</f>
        <v/>
      </c>
      <c r="F112" s="50">
        <f>IFERROR(INDEX('الموظفون'!$N$3:$N$502,106),"")</f>
        <v/>
      </c>
      <c r="G112" s="119">
        <f>IFERROR(INDEX('الموظفون'!$O$3:$O$502,106),"")</f>
        <v/>
      </c>
      <c r="H112" s="119">
        <f>IFERROR(INDEX('الموظفون'!$Q$3:$Q$502,106),"")</f>
        <v/>
      </c>
      <c r="I112" s="50">
        <f>IFERROR(INDEX('الموظفون'!$R$3:$R$502,106),"")</f>
        <v/>
      </c>
      <c r="J112" s="63">
        <f>IFERROR(INDEX('الموظفون'!$S$3:$S$502,106),"")</f>
        <v/>
      </c>
      <c r="K112" s="63">
        <f>IFERROR(INDEX('الموظفون'!$T$3:$T$502,106),"")</f>
        <v/>
      </c>
      <c r="L112" s="69">
        <f>IFERROR(IF(INDEX(الموظفون_الرقم,106)="","",INDEX(الموظفون_الاساسي,106)+INDEX(الموظفون_البدلات,106)),"")</f>
        <v/>
      </c>
    </row>
    <row r="113">
      <c r="A113" s="43">
        <f>IFERROR(INDEX('الموظفون'!$A$3:$A$502,107),"")</f>
        <v/>
      </c>
      <c r="B113" s="43">
        <f>IFERROR(INDEX('الموظفون'!$B$3:$B$502,107),"")</f>
        <v/>
      </c>
      <c r="C113" s="43">
        <f>IFERROR(INDEX('الموظفون'!$J$3:$J$502,107),"")</f>
        <v/>
      </c>
      <c r="D113" s="43">
        <f>IFERROR(INDEX('الموظفون'!$K$3:$K$502,107),"")</f>
        <v/>
      </c>
      <c r="E113" s="43">
        <f>IFERROR(INDEX('الموظفون'!$L$3:$L$502,107),"")</f>
        <v/>
      </c>
      <c r="F113" s="43">
        <f>IFERROR(INDEX('الموظفون'!$N$3:$N$502,107),"")</f>
        <v/>
      </c>
      <c r="G113" s="118">
        <f>IFERROR(INDEX('الموظفون'!$O$3:$O$502,107),"")</f>
        <v/>
      </c>
      <c r="H113" s="118">
        <f>IFERROR(INDEX('الموظفون'!$Q$3:$Q$502,107),"")</f>
        <v/>
      </c>
      <c r="I113" s="43">
        <f>IFERROR(INDEX('الموظفون'!$R$3:$R$502,107),"")</f>
        <v/>
      </c>
      <c r="J113" s="60">
        <f>IFERROR(INDEX('الموظفون'!$S$3:$S$502,107),"")</f>
        <v/>
      </c>
      <c r="K113" s="60">
        <f>IFERROR(INDEX('الموظفون'!$T$3:$T$502,107),"")</f>
        <v/>
      </c>
      <c r="L113" s="69">
        <f>IFERROR(IF(INDEX(الموظفون_الرقم,107)="","",INDEX(الموظفون_الاساسي,107)+INDEX(الموظفون_البدلات,107)),"")</f>
        <v/>
      </c>
    </row>
    <row r="114">
      <c r="A114" s="50">
        <f>IFERROR(INDEX('الموظفون'!$A$3:$A$502,108),"")</f>
        <v/>
      </c>
      <c r="B114" s="50">
        <f>IFERROR(INDEX('الموظفون'!$B$3:$B$502,108),"")</f>
        <v/>
      </c>
      <c r="C114" s="50">
        <f>IFERROR(INDEX('الموظفون'!$J$3:$J$502,108),"")</f>
        <v/>
      </c>
      <c r="D114" s="50">
        <f>IFERROR(INDEX('الموظفون'!$K$3:$K$502,108),"")</f>
        <v/>
      </c>
      <c r="E114" s="50">
        <f>IFERROR(INDEX('الموظفون'!$L$3:$L$502,108),"")</f>
        <v/>
      </c>
      <c r="F114" s="50">
        <f>IFERROR(INDEX('الموظفون'!$N$3:$N$502,108),"")</f>
        <v/>
      </c>
      <c r="G114" s="119">
        <f>IFERROR(INDEX('الموظفون'!$O$3:$O$502,108),"")</f>
        <v/>
      </c>
      <c r="H114" s="119">
        <f>IFERROR(INDEX('الموظفون'!$Q$3:$Q$502,108),"")</f>
        <v/>
      </c>
      <c r="I114" s="50">
        <f>IFERROR(INDEX('الموظفون'!$R$3:$R$502,108),"")</f>
        <v/>
      </c>
      <c r="J114" s="63">
        <f>IFERROR(INDEX('الموظفون'!$S$3:$S$502,108),"")</f>
        <v/>
      </c>
      <c r="K114" s="63">
        <f>IFERROR(INDEX('الموظفون'!$T$3:$T$502,108),"")</f>
        <v/>
      </c>
      <c r="L114" s="69">
        <f>IFERROR(IF(INDEX(الموظفون_الرقم,108)="","",INDEX(الموظفون_الاساسي,108)+INDEX(الموظفون_البدلات,108)),"")</f>
        <v/>
      </c>
    </row>
    <row r="115">
      <c r="A115" s="43">
        <f>IFERROR(INDEX('الموظفون'!$A$3:$A$502,109),"")</f>
        <v/>
      </c>
      <c r="B115" s="43">
        <f>IFERROR(INDEX('الموظفون'!$B$3:$B$502,109),"")</f>
        <v/>
      </c>
      <c r="C115" s="43">
        <f>IFERROR(INDEX('الموظفون'!$J$3:$J$502,109),"")</f>
        <v/>
      </c>
      <c r="D115" s="43">
        <f>IFERROR(INDEX('الموظفون'!$K$3:$K$502,109),"")</f>
        <v/>
      </c>
      <c r="E115" s="43">
        <f>IFERROR(INDEX('الموظفون'!$L$3:$L$502,109),"")</f>
        <v/>
      </c>
      <c r="F115" s="43">
        <f>IFERROR(INDEX('الموظفون'!$N$3:$N$502,109),"")</f>
        <v/>
      </c>
      <c r="G115" s="118">
        <f>IFERROR(INDEX('الموظفون'!$O$3:$O$502,109),"")</f>
        <v/>
      </c>
      <c r="H115" s="118">
        <f>IFERROR(INDEX('الموظفون'!$Q$3:$Q$502,109),"")</f>
        <v/>
      </c>
      <c r="I115" s="43">
        <f>IFERROR(INDEX('الموظفون'!$R$3:$R$502,109),"")</f>
        <v/>
      </c>
      <c r="J115" s="60">
        <f>IFERROR(INDEX('الموظفون'!$S$3:$S$502,109),"")</f>
        <v/>
      </c>
      <c r="K115" s="60">
        <f>IFERROR(INDEX('الموظفون'!$T$3:$T$502,109),"")</f>
        <v/>
      </c>
      <c r="L115" s="69">
        <f>IFERROR(IF(INDEX(الموظفون_الرقم,109)="","",INDEX(الموظفون_الاساسي,109)+INDEX(الموظفون_البدلات,109)),"")</f>
        <v/>
      </c>
    </row>
    <row r="116">
      <c r="A116" s="50">
        <f>IFERROR(INDEX('الموظفون'!$A$3:$A$502,110),"")</f>
        <v/>
      </c>
      <c r="B116" s="50">
        <f>IFERROR(INDEX('الموظفون'!$B$3:$B$502,110),"")</f>
        <v/>
      </c>
      <c r="C116" s="50">
        <f>IFERROR(INDEX('الموظفون'!$J$3:$J$502,110),"")</f>
        <v/>
      </c>
      <c r="D116" s="50">
        <f>IFERROR(INDEX('الموظفون'!$K$3:$K$502,110),"")</f>
        <v/>
      </c>
      <c r="E116" s="50">
        <f>IFERROR(INDEX('الموظفون'!$L$3:$L$502,110),"")</f>
        <v/>
      </c>
      <c r="F116" s="50">
        <f>IFERROR(INDEX('الموظفون'!$N$3:$N$502,110),"")</f>
        <v/>
      </c>
      <c r="G116" s="119">
        <f>IFERROR(INDEX('الموظفون'!$O$3:$O$502,110),"")</f>
        <v/>
      </c>
      <c r="H116" s="119">
        <f>IFERROR(INDEX('الموظفون'!$Q$3:$Q$502,110),"")</f>
        <v/>
      </c>
      <c r="I116" s="50">
        <f>IFERROR(INDEX('الموظفون'!$R$3:$R$502,110),"")</f>
        <v/>
      </c>
      <c r="J116" s="63">
        <f>IFERROR(INDEX('الموظفون'!$S$3:$S$502,110),"")</f>
        <v/>
      </c>
      <c r="K116" s="63">
        <f>IFERROR(INDEX('الموظفون'!$T$3:$T$502,110),"")</f>
        <v/>
      </c>
      <c r="L116" s="69">
        <f>IFERROR(IF(INDEX(الموظفون_الرقم,110)="","",INDEX(الموظفون_الاساسي,110)+INDEX(الموظفون_البدلات,110)),"")</f>
        <v/>
      </c>
    </row>
    <row r="117">
      <c r="A117" s="43">
        <f>IFERROR(INDEX('الموظفون'!$A$3:$A$502,111),"")</f>
        <v/>
      </c>
      <c r="B117" s="43">
        <f>IFERROR(INDEX('الموظفون'!$B$3:$B$502,111),"")</f>
        <v/>
      </c>
      <c r="C117" s="43">
        <f>IFERROR(INDEX('الموظفون'!$J$3:$J$502,111),"")</f>
        <v/>
      </c>
      <c r="D117" s="43">
        <f>IFERROR(INDEX('الموظفون'!$K$3:$K$502,111),"")</f>
        <v/>
      </c>
      <c r="E117" s="43">
        <f>IFERROR(INDEX('الموظفون'!$L$3:$L$502,111),"")</f>
        <v/>
      </c>
      <c r="F117" s="43">
        <f>IFERROR(INDEX('الموظفون'!$N$3:$N$502,111),"")</f>
        <v/>
      </c>
      <c r="G117" s="118">
        <f>IFERROR(INDEX('الموظفون'!$O$3:$O$502,111),"")</f>
        <v/>
      </c>
      <c r="H117" s="118">
        <f>IFERROR(INDEX('الموظفون'!$Q$3:$Q$502,111),"")</f>
        <v/>
      </c>
      <c r="I117" s="43">
        <f>IFERROR(INDEX('الموظفون'!$R$3:$R$502,111),"")</f>
        <v/>
      </c>
      <c r="J117" s="60">
        <f>IFERROR(INDEX('الموظفون'!$S$3:$S$502,111),"")</f>
        <v/>
      </c>
      <c r="K117" s="60">
        <f>IFERROR(INDEX('الموظفون'!$T$3:$T$502,111),"")</f>
        <v/>
      </c>
      <c r="L117" s="69">
        <f>IFERROR(IF(INDEX(الموظفون_الرقم,111)="","",INDEX(الموظفون_الاساسي,111)+INDEX(الموظفون_البدلات,111)),"")</f>
        <v/>
      </c>
    </row>
    <row r="118">
      <c r="A118" s="50">
        <f>IFERROR(INDEX('الموظفون'!$A$3:$A$502,112),"")</f>
        <v/>
      </c>
      <c r="B118" s="50">
        <f>IFERROR(INDEX('الموظفون'!$B$3:$B$502,112),"")</f>
        <v/>
      </c>
      <c r="C118" s="50">
        <f>IFERROR(INDEX('الموظفون'!$J$3:$J$502,112),"")</f>
        <v/>
      </c>
      <c r="D118" s="50">
        <f>IFERROR(INDEX('الموظفون'!$K$3:$K$502,112),"")</f>
        <v/>
      </c>
      <c r="E118" s="50">
        <f>IFERROR(INDEX('الموظفون'!$L$3:$L$502,112),"")</f>
        <v/>
      </c>
      <c r="F118" s="50">
        <f>IFERROR(INDEX('الموظفون'!$N$3:$N$502,112),"")</f>
        <v/>
      </c>
      <c r="G118" s="119">
        <f>IFERROR(INDEX('الموظفون'!$O$3:$O$502,112),"")</f>
        <v/>
      </c>
      <c r="H118" s="119">
        <f>IFERROR(INDEX('الموظفون'!$Q$3:$Q$502,112),"")</f>
        <v/>
      </c>
      <c r="I118" s="50">
        <f>IFERROR(INDEX('الموظفون'!$R$3:$R$502,112),"")</f>
        <v/>
      </c>
      <c r="J118" s="63">
        <f>IFERROR(INDEX('الموظفون'!$S$3:$S$502,112),"")</f>
        <v/>
      </c>
      <c r="K118" s="63">
        <f>IFERROR(INDEX('الموظفون'!$T$3:$T$502,112),"")</f>
        <v/>
      </c>
      <c r="L118" s="69">
        <f>IFERROR(IF(INDEX(الموظفون_الرقم,112)="","",INDEX(الموظفون_الاساسي,112)+INDEX(الموظفون_البدلات,112)),"")</f>
        <v/>
      </c>
    </row>
    <row r="119">
      <c r="A119" s="43">
        <f>IFERROR(INDEX('الموظفون'!$A$3:$A$502,113),"")</f>
        <v/>
      </c>
      <c r="B119" s="43">
        <f>IFERROR(INDEX('الموظفون'!$B$3:$B$502,113),"")</f>
        <v/>
      </c>
      <c r="C119" s="43">
        <f>IFERROR(INDEX('الموظفون'!$J$3:$J$502,113),"")</f>
        <v/>
      </c>
      <c r="D119" s="43">
        <f>IFERROR(INDEX('الموظفون'!$K$3:$K$502,113),"")</f>
        <v/>
      </c>
      <c r="E119" s="43">
        <f>IFERROR(INDEX('الموظفون'!$L$3:$L$502,113),"")</f>
        <v/>
      </c>
      <c r="F119" s="43">
        <f>IFERROR(INDEX('الموظفون'!$N$3:$N$502,113),"")</f>
        <v/>
      </c>
      <c r="G119" s="118">
        <f>IFERROR(INDEX('الموظفون'!$O$3:$O$502,113),"")</f>
        <v/>
      </c>
      <c r="H119" s="118">
        <f>IFERROR(INDEX('الموظفون'!$Q$3:$Q$502,113),"")</f>
        <v/>
      </c>
      <c r="I119" s="43">
        <f>IFERROR(INDEX('الموظفون'!$R$3:$R$502,113),"")</f>
        <v/>
      </c>
      <c r="J119" s="60">
        <f>IFERROR(INDEX('الموظفون'!$S$3:$S$502,113),"")</f>
        <v/>
      </c>
      <c r="K119" s="60">
        <f>IFERROR(INDEX('الموظفون'!$T$3:$T$502,113),"")</f>
        <v/>
      </c>
      <c r="L119" s="69">
        <f>IFERROR(IF(INDEX(الموظفون_الرقم,113)="","",INDEX(الموظفون_الاساسي,113)+INDEX(الموظفون_البدلات,113)),"")</f>
        <v/>
      </c>
    </row>
    <row r="120">
      <c r="A120" s="50">
        <f>IFERROR(INDEX('الموظفون'!$A$3:$A$502,114),"")</f>
        <v/>
      </c>
      <c r="B120" s="50">
        <f>IFERROR(INDEX('الموظفون'!$B$3:$B$502,114),"")</f>
        <v/>
      </c>
      <c r="C120" s="50">
        <f>IFERROR(INDEX('الموظفون'!$J$3:$J$502,114),"")</f>
        <v/>
      </c>
      <c r="D120" s="50">
        <f>IFERROR(INDEX('الموظفون'!$K$3:$K$502,114),"")</f>
        <v/>
      </c>
      <c r="E120" s="50">
        <f>IFERROR(INDEX('الموظفون'!$L$3:$L$502,114),"")</f>
        <v/>
      </c>
      <c r="F120" s="50">
        <f>IFERROR(INDEX('الموظفون'!$N$3:$N$502,114),"")</f>
        <v/>
      </c>
      <c r="G120" s="119">
        <f>IFERROR(INDEX('الموظفون'!$O$3:$O$502,114),"")</f>
        <v/>
      </c>
      <c r="H120" s="119">
        <f>IFERROR(INDEX('الموظفون'!$Q$3:$Q$502,114),"")</f>
        <v/>
      </c>
      <c r="I120" s="50">
        <f>IFERROR(INDEX('الموظفون'!$R$3:$R$502,114),"")</f>
        <v/>
      </c>
      <c r="J120" s="63">
        <f>IFERROR(INDEX('الموظفون'!$S$3:$S$502,114),"")</f>
        <v/>
      </c>
      <c r="K120" s="63">
        <f>IFERROR(INDEX('الموظفون'!$T$3:$T$502,114),"")</f>
        <v/>
      </c>
      <c r="L120" s="69">
        <f>IFERROR(IF(INDEX(الموظفون_الرقم,114)="","",INDEX(الموظفون_الاساسي,114)+INDEX(الموظفون_البدلات,114)),"")</f>
        <v/>
      </c>
    </row>
    <row r="121">
      <c r="A121" s="43">
        <f>IFERROR(INDEX('الموظفون'!$A$3:$A$502,115),"")</f>
        <v/>
      </c>
      <c r="B121" s="43">
        <f>IFERROR(INDEX('الموظفون'!$B$3:$B$502,115),"")</f>
        <v/>
      </c>
      <c r="C121" s="43">
        <f>IFERROR(INDEX('الموظفون'!$J$3:$J$502,115),"")</f>
        <v/>
      </c>
      <c r="D121" s="43">
        <f>IFERROR(INDEX('الموظفون'!$K$3:$K$502,115),"")</f>
        <v/>
      </c>
      <c r="E121" s="43">
        <f>IFERROR(INDEX('الموظفون'!$L$3:$L$502,115),"")</f>
        <v/>
      </c>
      <c r="F121" s="43">
        <f>IFERROR(INDEX('الموظفون'!$N$3:$N$502,115),"")</f>
        <v/>
      </c>
      <c r="G121" s="118">
        <f>IFERROR(INDEX('الموظفون'!$O$3:$O$502,115),"")</f>
        <v/>
      </c>
      <c r="H121" s="118">
        <f>IFERROR(INDEX('الموظفون'!$Q$3:$Q$502,115),"")</f>
        <v/>
      </c>
      <c r="I121" s="43">
        <f>IFERROR(INDEX('الموظفون'!$R$3:$R$502,115),"")</f>
        <v/>
      </c>
      <c r="J121" s="60">
        <f>IFERROR(INDEX('الموظفون'!$S$3:$S$502,115),"")</f>
        <v/>
      </c>
      <c r="K121" s="60">
        <f>IFERROR(INDEX('الموظفون'!$T$3:$T$502,115),"")</f>
        <v/>
      </c>
      <c r="L121" s="69">
        <f>IFERROR(IF(INDEX(الموظفون_الرقم,115)="","",INDEX(الموظفون_الاساسي,115)+INDEX(الموظفون_البدلات,115)),"")</f>
        <v/>
      </c>
    </row>
    <row r="122">
      <c r="A122" s="50">
        <f>IFERROR(INDEX('الموظفون'!$A$3:$A$502,116),"")</f>
        <v/>
      </c>
      <c r="B122" s="50">
        <f>IFERROR(INDEX('الموظفون'!$B$3:$B$502,116),"")</f>
        <v/>
      </c>
      <c r="C122" s="50">
        <f>IFERROR(INDEX('الموظفون'!$J$3:$J$502,116),"")</f>
        <v/>
      </c>
      <c r="D122" s="50">
        <f>IFERROR(INDEX('الموظفون'!$K$3:$K$502,116),"")</f>
        <v/>
      </c>
      <c r="E122" s="50">
        <f>IFERROR(INDEX('الموظفون'!$L$3:$L$502,116),"")</f>
        <v/>
      </c>
      <c r="F122" s="50">
        <f>IFERROR(INDEX('الموظفون'!$N$3:$N$502,116),"")</f>
        <v/>
      </c>
      <c r="G122" s="119">
        <f>IFERROR(INDEX('الموظفون'!$O$3:$O$502,116),"")</f>
        <v/>
      </c>
      <c r="H122" s="119">
        <f>IFERROR(INDEX('الموظفون'!$Q$3:$Q$502,116),"")</f>
        <v/>
      </c>
      <c r="I122" s="50">
        <f>IFERROR(INDEX('الموظفون'!$R$3:$R$502,116),"")</f>
        <v/>
      </c>
      <c r="J122" s="63">
        <f>IFERROR(INDEX('الموظفون'!$S$3:$S$502,116),"")</f>
        <v/>
      </c>
      <c r="K122" s="63">
        <f>IFERROR(INDEX('الموظفون'!$T$3:$T$502,116),"")</f>
        <v/>
      </c>
      <c r="L122" s="69">
        <f>IFERROR(IF(INDEX(الموظفون_الرقم,116)="","",INDEX(الموظفون_الاساسي,116)+INDEX(الموظفون_البدلات,116)),"")</f>
        <v/>
      </c>
    </row>
    <row r="123">
      <c r="A123" s="43">
        <f>IFERROR(INDEX('الموظفون'!$A$3:$A$502,117),"")</f>
        <v/>
      </c>
      <c r="B123" s="43">
        <f>IFERROR(INDEX('الموظفون'!$B$3:$B$502,117),"")</f>
        <v/>
      </c>
      <c r="C123" s="43">
        <f>IFERROR(INDEX('الموظفون'!$J$3:$J$502,117),"")</f>
        <v/>
      </c>
      <c r="D123" s="43">
        <f>IFERROR(INDEX('الموظفون'!$K$3:$K$502,117),"")</f>
        <v/>
      </c>
      <c r="E123" s="43">
        <f>IFERROR(INDEX('الموظفون'!$L$3:$L$502,117),"")</f>
        <v/>
      </c>
      <c r="F123" s="43">
        <f>IFERROR(INDEX('الموظفون'!$N$3:$N$502,117),"")</f>
        <v/>
      </c>
      <c r="G123" s="118">
        <f>IFERROR(INDEX('الموظفون'!$O$3:$O$502,117),"")</f>
        <v/>
      </c>
      <c r="H123" s="118">
        <f>IFERROR(INDEX('الموظفون'!$Q$3:$Q$502,117),"")</f>
        <v/>
      </c>
      <c r="I123" s="43">
        <f>IFERROR(INDEX('الموظفون'!$R$3:$R$502,117),"")</f>
        <v/>
      </c>
      <c r="J123" s="60">
        <f>IFERROR(INDEX('الموظفون'!$S$3:$S$502,117),"")</f>
        <v/>
      </c>
      <c r="K123" s="60">
        <f>IFERROR(INDEX('الموظفون'!$T$3:$T$502,117),"")</f>
        <v/>
      </c>
      <c r="L123" s="69">
        <f>IFERROR(IF(INDEX(الموظفون_الرقم,117)="","",INDEX(الموظفون_الاساسي,117)+INDEX(الموظفون_البدلات,117)),"")</f>
        <v/>
      </c>
    </row>
    <row r="124">
      <c r="A124" s="50">
        <f>IFERROR(INDEX('الموظفون'!$A$3:$A$502,118),"")</f>
        <v/>
      </c>
      <c r="B124" s="50">
        <f>IFERROR(INDEX('الموظفون'!$B$3:$B$502,118),"")</f>
        <v/>
      </c>
      <c r="C124" s="50">
        <f>IFERROR(INDEX('الموظفون'!$J$3:$J$502,118),"")</f>
        <v/>
      </c>
      <c r="D124" s="50">
        <f>IFERROR(INDEX('الموظفون'!$K$3:$K$502,118),"")</f>
        <v/>
      </c>
      <c r="E124" s="50">
        <f>IFERROR(INDEX('الموظفون'!$L$3:$L$502,118),"")</f>
        <v/>
      </c>
      <c r="F124" s="50">
        <f>IFERROR(INDEX('الموظفون'!$N$3:$N$502,118),"")</f>
        <v/>
      </c>
      <c r="G124" s="119">
        <f>IFERROR(INDEX('الموظفون'!$O$3:$O$502,118),"")</f>
        <v/>
      </c>
      <c r="H124" s="119">
        <f>IFERROR(INDEX('الموظفون'!$Q$3:$Q$502,118),"")</f>
        <v/>
      </c>
      <c r="I124" s="50">
        <f>IFERROR(INDEX('الموظفون'!$R$3:$R$502,118),"")</f>
        <v/>
      </c>
      <c r="J124" s="63">
        <f>IFERROR(INDEX('الموظفون'!$S$3:$S$502,118),"")</f>
        <v/>
      </c>
      <c r="K124" s="63">
        <f>IFERROR(INDEX('الموظفون'!$T$3:$T$502,118),"")</f>
        <v/>
      </c>
      <c r="L124" s="69">
        <f>IFERROR(IF(INDEX(الموظفون_الرقم,118)="","",INDEX(الموظفون_الاساسي,118)+INDEX(الموظفون_البدلات,118)),"")</f>
        <v/>
      </c>
    </row>
    <row r="125">
      <c r="A125" s="43">
        <f>IFERROR(INDEX('الموظفون'!$A$3:$A$502,119),"")</f>
        <v/>
      </c>
      <c r="B125" s="43">
        <f>IFERROR(INDEX('الموظفون'!$B$3:$B$502,119),"")</f>
        <v/>
      </c>
      <c r="C125" s="43">
        <f>IFERROR(INDEX('الموظفون'!$J$3:$J$502,119),"")</f>
        <v/>
      </c>
      <c r="D125" s="43">
        <f>IFERROR(INDEX('الموظفون'!$K$3:$K$502,119),"")</f>
        <v/>
      </c>
      <c r="E125" s="43">
        <f>IFERROR(INDEX('الموظفون'!$L$3:$L$502,119),"")</f>
        <v/>
      </c>
      <c r="F125" s="43">
        <f>IFERROR(INDEX('الموظفون'!$N$3:$N$502,119),"")</f>
        <v/>
      </c>
      <c r="G125" s="118">
        <f>IFERROR(INDEX('الموظفون'!$O$3:$O$502,119),"")</f>
        <v/>
      </c>
      <c r="H125" s="118">
        <f>IFERROR(INDEX('الموظفون'!$Q$3:$Q$502,119),"")</f>
        <v/>
      </c>
      <c r="I125" s="43">
        <f>IFERROR(INDEX('الموظفون'!$R$3:$R$502,119),"")</f>
        <v/>
      </c>
      <c r="J125" s="60">
        <f>IFERROR(INDEX('الموظفون'!$S$3:$S$502,119),"")</f>
        <v/>
      </c>
      <c r="K125" s="60">
        <f>IFERROR(INDEX('الموظفون'!$T$3:$T$502,119),"")</f>
        <v/>
      </c>
      <c r="L125" s="69">
        <f>IFERROR(IF(INDEX(الموظفون_الرقم,119)="","",INDEX(الموظفون_الاساسي,119)+INDEX(الموظفون_البدلات,119)),"")</f>
        <v/>
      </c>
    </row>
    <row r="126">
      <c r="A126" s="50">
        <f>IFERROR(INDEX('الموظفون'!$A$3:$A$502,120),"")</f>
        <v/>
      </c>
      <c r="B126" s="50">
        <f>IFERROR(INDEX('الموظفون'!$B$3:$B$502,120),"")</f>
        <v/>
      </c>
      <c r="C126" s="50">
        <f>IFERROR(INDEX('الموظفون'!$J$3:$J$502,120),"")</f>
        <v/>
      </c>
      <c r="D126" s="50">
        <f>IFERROR(INDEX('الموظفون'!$K$3:$K$502,120),"")</f>
        <v/>
      </c>
      <c r="E126" s="50">
        <f>IFERROR(INDEX('الموظفون'!$L$3:$L$502,120),"")</f>
        <v/>
      </c>
      <c r="F126" s="50">
        <f>IFERROR(INDEX('الموظفون'!$N$3:$N$502,120),"")</f>
        <v/>
      </c>
      <c r="G126" s="119">
        <f>IFERROR(INDEX('الموظفون'!$O$3:$O$502,120),"")</f>
        <v/>
      </c>
      <c r="H126" s="119">
        <f>IFERROR(INDEX('الموظفون'!$Q$3:$Q$502,120),"")</f>
        <v/>
      </c>
      <c r="I126" s="50">
        <f>IFERROR(INDEX('الموظفون'!$R$3:$R$502,120),"")</f>
        <v/>
      </c>
      <c r="J126" s="63">
        <f>IFERROR(INDEX('الموظفون'!$S$3:$S$502,120),"")</f>
        <v/>
      </c>
      <c r="K126" s="63">
        <f>IFERROR(INDEX('الموظفون'!$T$3:$T$502,120),"")</f>
        <v/>
      </c>
      <c r="L126" s="69">
        <f>IFERROR(IF(INDEX(الموظفون_الرقم,120)="","",INDEX(الموظفون_الاساسي,120)+INDEX(الموظفون_البدلات,120)),"")</f>
        <v/>
      </c>
    </row>
    <row r="127">
      <c r="A127" s="43">
        <f>IFERROR(INDEX('الموظفون'!$A$3:$A$502,121),"")</f>
        <v/>
      </c>
      <c r="B127" s="43">
        <f>IFERROR(INDEX('الموظفون'!$B$3:$B$502,121),"")</f>
        <v/>
      </c>
      <c r="C127" s="43">
        <f>IFERROR(INDEX('الموظفون'!$J$3:$J$502,121),"")</f>
        <v/>
      </c>
      <c r="D127" s="43">
        <f>IFERROR(INDEX('الموظفون'!$K$3:$K$502,121),"")</f>
        <v/>
      </c>
      <c r="E127" s="43">
        <f>IFERROR(INDEX('الموظفون'!$L$3:$L$502,121),"")</f>
        <v/>
      </c>
      <c r="F127" s="43">
        <f>IFERROR(INDEX('الموظفون'!$N$3:$N$502,121),"")</f>
        <v/>
      </c>
      <c r="G127" s="118">
        <f>IFERROR(INDEX('الموظفون'!$O$3:$O$502,121),"")</f>
        <v/>
      </c>
      <c r="H127" s="118">
        <f>IFERROR(INDEX('الموظفون'!$Q$3:$Q$502,121),"")</f>
        <v/>
      </c>
      <c r="I127" s="43">
        <f>IFERROR(INDEX('الموظفون'!$R$3:$R$502,121),"")</f>
        <v/>
      </c>
      <c r="J127" s="60">
        <f>IFERROR(INDEX('الموظفون'!$S$3:$S$502,121),"")</f>
        <v/>
      </c>
      <c r="K127" s="60">
        <f>IFERROR(INDEX('الموظفون'!$T$3:$T$502,121),"")</f>
        <v/>
      </c>
      <c r="L127" s="69">
        <f>IFERROR(IF(INDEX(الموظفون_الرقم,121)="","",INDEX(الموظفون_الاساسي,121)+INDEX(الموظفون_البدلات,121)),"")</f>
        <v/>
      </c>
    </row>
    <row r="128">
      <c r="A128" s="50">
        <f>IFERROR(INDEX('الموظفون'!$A$3:$A$502,122),"")</f>
        <v/>
      </c>
      <c r="B128" s="50">
        <f>IFERROR(INDEX('الموظفون'!$B$3:$B$502,122),"")</f>
        <v/>
      </c>
      <c r="C128" s="50">
        <f>IFERROR(INDEX('الموظفون'!$J$3:$J$502,122),"")</f>
        <v/>
      </c>
      <c r="D128" s="50">
        <f>IFERROR(INDEX('الموظفون'!$K$3:$K$502,122),"")</f>
        <v/>
      </c>
      <c r="E128" s="50">
        <f>IFERROR(INDEX('الموظفون'!$L$3:$L$502,122),"")</f>
        <v/>
      </c>
      <c r="F128" s="50">
        <f>IFERROR(INDEX('الموظفون'!$N$3:$N$502,122),"")</f>
        <v/>
      </c>
      <c r="G128" s="119">
        <f>IFERROR(INDEX('الموظفون'!$O$3:$O$502,122),"")</f>
        <v/>
      </c>
      <c r="H128" s="119">
        <f>IFERROR(INDEX('الموظفون'!$Q$3:$Q$502,122),"")</f>
        <v/>
      </c>
      <c r="I128" s="50">
        <f>IFERROR(INDEX('الموظفون'!$R$3:$R$502,122),"")</f>
        <v/>
      </c>
      <c r="J128" s="63">
        <f>IFERROR(INDEX('الموظفون'!$S$3:$S$502,122),"")</f>
        <v/>
      </c>
      <c r="K128" s="63">
        <f>IFERROR(INDEX('الموظفون'!$T$3:$T$502,122),"")</f>
        <v/>
      </c>
      <c r="L128" s="69">
        <f>IFERROR(IF(INDEX(الموظفون_الرقم,122)="","",INDEX(الموظفون_الاساسي,122)+INDEX(الموظفون_البدلات,122)),"")</f>
        <v/>
      </c>
    </row>
    <row r="129">
      <c r="A129" s="43">
        <f>IFERROR(INDEX('الموظفون'!$A$3:$A$502,123),"")</f>
        <v/>
      </c>
      <c r="B129" s="43">
        <f>IFERROR(INDEX('الموظفون'!$B$3:$B$502,123),"")</f>
        <v/>
      </c>
      <c r="C129" s="43">
        <f>IFERROR(INDEX('الموظفون'!$J$3:$J$502,123),"")</f>
        <v/>
      </c>
      <c r="D129" s="43">
        <f>IFERROR(INDEX('الموظفون'!$K$3:$K$502,123),"")</f>
        <v/>
      </c>
      <c r="E129" s="43">
        <f>IFERROR(INDEX('الموظفون'!$L$3:$L$502,123),"")</f>
        <v/>
      </c>
      <c r="F129" s="43">
        <f>IFERROR(INDEX('الموظفون'!$N$3:$N$502,123),"")</f>
        <v/>
      </c>
      <c r="G129" s="118">
        <f>IFERROR(INDEX('الموظفون'!$O$3:$O$502,123),"")</f>
        <v/>
      </c>
      <c r="H129" s="118">
        <f>IFERROR(INDEX('الموظفون'!$Q$3:$Q$502,123),"")</f>
        <v/>
      </c>
      <c r="I129" s="43">
        <f>IFERROR(INDEX('الموظفون'!$R$3:$R$502,123),"")</f>
        <v/>
      </c>
      <c r="J129" s="60">
        <f>IFERROR(INDEX('الموظفون'!$S$3:$S$502,123),"")</f>
        <v/>
      </c>
      <c r="K129" s="60">
        <f>IFERROR(INDEX('الموظفون'!$T$3:$T$502,123),"")</f>
        <v/>
      </c>
      <c r="L129" s="69">
        <f>IFERROR(IF(INDEX(الموظفون_الرقم,123)="","",INDEX(الموظفون_الاساسي,123)+INDEX(الموظفون_البدلات,123)),"")</f>
        <v/>
      </c>
    </row>
    <row r="130">
      <c r="A130" s="50">
        <f>IFERROR(INDEX('الموظفون'!$A$3:$A$502,124),"")</f>
        <v/>
      </c>
      <c r="B130" s="50">
        <f>IFERROR(INDEX('الموظفون'!$B$3:$B$502,124),"")</f>
        <v/>
      </c>
      <c r="C130" s="50">
        <f>IFERROR(INDEX('الموظفون'!$J$3:$J$502,124),"")</f>
        <v/>
      </c>
      <c r="D130" s="50">
        <f>IFERROR(INDEX('الموظفون'!$K$3:$K$502,124),"")</f>
        <v/>
      </c>
      <c r="E130" s="50">
        <f>IFERROR(INDEX('الموظفون'!$L$3:$L$502,124),"")</f>
        <v/>
      </c>
      <c r="F130" s="50">
        <f>IFERROR(INDEX('الموظفون'!$N$3:$N$502,124),"")</f>
        <v/>
      </c>
      <c r="G130" s="119">
        <f>IFERROR(INDEX('الموظفون'!$O$3:$O$502,124),"")</f>
        <v/>
      </c>
      <c r="H130" s="119">
        <f>IFERROR(INDEX('الموظفون'!$Q$3:$Q$502,124),"")</f>
        <v/>
      </c>
      <c r="I130" s="50">
        <f>IFERROR(INDEX('الموظفون'!$R$3:$R$502,124),"")</f>
        <v/>
      </c>
      <c r="J130" s="63">
        <f>IFERROR(INDEX('الموظفون'!$S$3:$S$502,124),"")</f>
        <v/>
      </c>
      <c r="K130" s="63">
        <f>IFERROR(INDEX('الموظفون'!$T$3:$T$502,124),"")</f>
        <v/>
      </c>
      <c r="L130" s="69">
        <f>IFERROR(IF(INDEX(الموظفون_الرقم,124)="","",INDEX(الموظفون_الاساسي,124)+INDEX(الموظفون_البدلات,124)),"")</f>
        <v/>
      </c>
    </row>
    <row r="131">
      <c r="A131" s="43">
        <f>IFERROR(INDEX('الموظفون'!$A$3:$A$502,125),"")</f>
        <v/>
      </c>
      <c r="B131" s="43">
        <f>IFERROR(INDEX('الموظفون'!$B$3:$B$502,125),"")</f>
        <v/>
      </c>
      <c r="C131" s="43">
        <f>IFERROR(INDEX('الموظفون'!$J$3:$J$502,125),"")</f>
        <v/>
      </c>
      <c r="D131" s="43">
        <f>IFERROR(INDEX('الموظفون'!$K$3:$K$502,125),"")</f>
        <v/>
      </c>
      <c r="E131" s="43">
        <f>IFERROR(INDEX('الموظفون'!$L$3:$L$502,125),"")</f>
        <v/>
      </c>
      <c r="F131" s="43">
        <f>IFERROR(INDEX('الموظفون'!$N$3:$N$502,125),"")</f>
        <v/>
      </c>
      <c r="G131" s="118">
        <f>IFERROR(INDEX('الموظفون'!$O$3:$O$502,125),"")</f>
        <v/>
      </c>
      <c r="H131" s="118">
        <f>IFERROR(INDEX('الموظفون'!$Q$3:$Q$502,125),"")</f>
        <v/>
      </c>
      <c r="I131" s="43">
        <f>IFERROR(INDEX('الموظفون'!$R$3:$R$502,125),"")</f>
        <v/>
      </c>
      <c r="J131" s="60">
        <f>IFERROR(INDEX('الموظفون'!$S$3:$S$502,125),"")</f>
        <v/>
      </c>
      <c r="K131" s="60">
        <f>IFERROR(INDEX('الموظفون'!$T$3:$T$502,125),"")</f>
        <v/>
      </c>
      <c r="L131" s="69">
        <f>IFERROR(IF(INDEX(الموظفون_الرقم,125)="","",INDEX(الموظفون_الاساسي,125)+INDEX(الموظفون_البدلات,125)),"")</f>
        <v/>
      </c>
    </row>
    <row r="132">
      <c r="A132" s="50">
        <f>IFERROR(INDEX('الموظفون'!$A$3:$A$502,126),"")</f>
        <v/>
      </c>
      <c r="B132" s="50">
        <f>IFERROR(INDEX('الموظفون'!$B$3:$B$502,126),"")</f>
        <v/>
      </c>
      <c r="C132" s="50">
        <f>IFERROR(INDEX('الموظفون'!$J$3:$J$502,126),"")</f>
        <v/>
      </c>
      <c r="D132" s="50">
        <f>IFERROR(INDEX('الموظفون'!$K$3:$K$502,126),"")</f>
        <v/>
      </c>
      <c r="E132" s="50">
        <f>IFERROR(INDEX('الموظفون'!$L$3:$L$502,126),"")</f>
        <v/>
      </c>
      <c r="F132" s="50">
        <f>IFERROR(INDEX('الموظفون'!$N$3:$N$502,126),"")</f>
        <v/>
      </c>
      <c r="G132" s="119">
        <f>IFERROR(INDEX('الموظفون'!$O$3:$O$502,126),"")</f>
        <v/>
      </c>
      <c r="H132" s="119">
        <f>IFERROR(INDEX('الموظفون'!$Q$3:$Q$502,126),"")</f>
        <v/>
      </c>
      <c r="I132" s="50">
        <f>IFERROR(INDEX('الموظفون'!$R$3:$R$502,126),"")</f>
        <v/>
      </c>
      <c r="J132" s="63">
        <f>IFERROR(INDEX('الموظفون'!$S$3:$S$502,126),"")</f>
        <v/>
      </c>
      <c r="K132" s="63">
        <f>IFERROR(INDEX('الموظفون'!$T$3:$T$502,126),"")</f>
        <v/>
      </c>
      <c r="L132" s="69">
        <f>IFERROR(IF(INDEX(الموظفون_الرقم,126)="","",INDEX(الموظفون_الاساسي,126)+INDEX(الموظفون_البدلات,126)),"")</f>
        <v/>
      </c>
    </row>
    <row r="133">
      <c r="A133" s="43">
        <f>IFERROR(INDEX('الموظفون'!$A$3:$A$502,127),"")</f>
        <v/>
      </c>
      <c r="B133" s="43">
        <f>IFERROR(INDEX('الموظفون'!$B$3:$B$502,127),"")</f>
        <v/>
      </c>
      <c r="C133" s="43">
        <f>IFERROR(INDEX('الموظفون'!$J$3:$J$502,127),"")</f>
        <v/>
      </c>
      <c r="D133" s="43">
        <f>IFERROR(INDEX('الموظفون'!$K$3:$K$502,127),"")</f>
        <v/>
      </c>
      <c r="E133" s="43">
        <f>IFERROR(INDEX('الموظفون'!$L$3:$L$502,127),"")</f>
        <v/>
      </c>
      <c r="F133" s="43">
        <f>IFERROR(INDEX('الموظفون'!$N$3:$N$502,127),"")</f>
        <v/>
      </c>
      <c r="G133" s="118">
        <f>IFERROR(INDEX('الموظفون'!$O$3:$O$502,127),"")</f>
        <v/>
      </c>
      <c r="H133" s="118">
        <f>IFERROR(INDEX('الموظفون'!$Q$3:$Q$502,127),"")</f>
        <v/>
      </c>
      <c r="I133" s="43">
        <f>IFERROR(INDEX('الموظفون'!$R$3:$R$502,127),"")</f>
        <v/>
      </c>
      <c r="J133" s="60">
        <f>IFERROR(INDEX('الموظفون'!$S$3:$S$502,127),"")</f>
        <v/>
      </c>
      <c r="K133" s="60">
        <f>IFERROR(INDEX('الموظفون'!$T$3:$T$502,127),"")</f>
        <v/>
      </c>
      <c r="L133" s="69">
        <f>IFERROR(IF(INDEX(الموظفون_الرقم,127)="","",INDEX(الموظفون_الاساسي,127)+INDEX(الموظفون_البدلات,127)),"")</f>
        <v/>
      </c>
    </row>
    <row r="134">
      <c r="A134" s="50">
        <f>IFERROR(INDEX('الموظفون'!$A$3:$A$502,128),"")</f>
        <v/>
      </c>
      <c r="B134" s="50">
        <f>IFERROR(INDEX('الموظفون'!$B$3:$B$502,128),"")</f>
        <v/>
      </c>
      <c r="C134" s="50">
        <f>IFERROR(INDEX('الموظفون'!$J$3:$J$502,128),"")</f>
        <v/>
      </c>
      <c r="D134" s="50">
        <f>IFERROR(INDEX('الموظفون'!$K$3:$K$502,128),"")</f>
        <v/>
      </c>
      <c r="E134" s="50">
        <f>IFERROR(INDEX('الموظفون'!$L$3:$L$502,128),"")</f>
        <v/>
      </c>
      <c r="F134" s="50">
        <f>IFERROR(INDEX('الموظفون'!$N$3:$N$502,128),"")</f>
        <v/>
      </c>
      <c r="G134" s="119">
        <f>IFERROR(INDEX('الموظفون'!$O$3:$O$502,128),"")</f>
        <v/>
      </c>
      <c r="H134" s="119">
        <f>IFERROR(INDEX('الموظفون'!$Q$3:$Q$502,128),"")</f>
        <v/>
      </c>
      <c r="I134" s="50">
        <f>IFERROR(INDEX('الموظفون'!$R$3:$R$502,128),"")</f>
        <v/>
      </c>
      <c r="J134" s="63">
        <f>IFERROR(INDEX('الموظفون'!$S$3:$S$502,128),"")</f>
        <v/>
      </c>
      <c r="K134" s="63">
        <f>IFERROR(INDEX('الموظفون'!$T$3:$T$502,128),"")</f>
        <v/>
      </c>
      <c r="L134" s="69">
        <f>IFERROR(IF(INDEX(الموظفون_الرقم,128)="","",INDEX(الموظفون_الاساسي,128)+INDEX(الموظفون_البدلات,128)),"")</f>
        <v/>
      </c>
    </row>
    <row r="135">
      <c r="A135" s="43">
        <f>IFERROR(INDEX('الموظفون'!$A$3:$A$502,129),"")</f>
        <v/>
      </c>
      <c r="B135" s="43">
        <f>IFERROR(INDEX('الموظفون'!$B$3:$B$502,129),"")</f>
        <v/>
      </c>
      <c r="C135" s="43">
        <f>IFERROR(INDEX('الموظفون'!$J$3:$J$502,129),"")</f>
        <v/>
      </c>
      <c r="D135" s="43">
        <f>IFERROR(INDEX('الموظفون'!$K$3:$K$502,129),"")</f>
        <v/>
      </c>
      <c r="E135" s="43">
        <f>IFERROR(INDEX('الموظفون'!$L$3:$L$502,129),"")</f>
        <v/>
      </c>
      <c r="F135" s="43">
        <f>IFERROR(INDEX('الموظفون'!$N$3:$N$502,129),"")</f>
        <v/>
      </c>
      <c r="G135" s="118">
        <f>IFERROR(INDEX('الموظفون'!$O$3:$O$502,129),"")</f>
        <v/>
      </c>
      <c r="H135" s="118">
        <f>IFERROR(INDEX('الموظفون'!$Q$3:$Q$502,129),"")</f>
        <v/>
      </c>
      <c r="I135" s="43">
        <f>IFERROR(INDEX('الموظفون'!$R$3:$R$502,129),"")</f>
        <v/>
      </c>
      <c r="J135" s="60">
        <f>IFERROR(INDEX('الموظفون'!$S$3:$S$502,129),"")</f>
        <v/>
      </c>
      <c r="K135" s="60">
        <f>IFERROR(INDEX('الموظفون'!$T$3:$T$502,129),"")</f>
        <v/>
      </c>
      <c r="L135" s="69">
        <f>IFERROR(IF(INDEX(الموظفون_الرقم,129)="","",INDEX(الموظفون_الاساسي,129)+INDEX(الموظفون_البدلات,129)),"")</f>
        <v/>
      </c>
    </row>
    <row r="136">
      <c r="A136" s="50">
        <f>IFERROR(INDEX('الموظفون'!$A$3:$A$502,130),"")</f>
        <v/>
      </c>
      <c r="B136" s="50">
        <f>IFERROR(INDEX('الموظفون'!$B$3:$B$502,130),"")</f>
        <v/>
      </c>
      <c r="C136" s="50">
        <f>IFERROR(INDEX('الموظفون'!$J$3:$J$502,130),"")</f>
        <v/>
      </c>
      <c r="D136" s="50">
        <f>IFERROR(INDEX('الموظفون'!$K$3:$K$502,130),"")</f>
        <v/>
      </c>
      <c r="E136" s="50">
        <f>IFERROR(INDEX('الموظفون'!$L$3:$L$502,130),"")</f>
        <v/>
      </c>
      <c r="F136" s="50">
        <f>IFERROR(INDEX('الموظفون'!$N$3:$N$502,130),"")</f>
        <v/>
      </c>
      <c r="G136" s="119">
        <f>IFERROR(INDEX('الموظفون'!$O$3:$O$502,130),"")</f>
        <v/>
      </c>
      <c r="H136" s="119">
        <f>IFERROR(INDEX('الموظفون'!$Q$3:$Q$502,130),"")</f>
        <v/>
      </c>
      <c r="I136" s="50">
        <f>IFERROR(INDEX('الموظفون'!$R$3:$R$502,130),"")</f>
        <v/>
      </c>
      <c r="J136" s="63">
        <f>IFERROR(INDEX('الموظفون'!$S$3:$S$502,130),"")</f>
        <v/>
      </c>
      <c r="K136" s="63">
        <f>IFERROR(INDEX('الموظفون'!$T$3:$T$502,130),"")</f>
        <v/>
      </c>
      <c r="L136" s="69">
        <f>IFERROR(IF(INDEX(الموظفون_الرقم,130)="","",INDEX(الموظفون_الاساسي,130)+INDEX(الموظفون_البدلات,130)),"")</f>
        <v/>
      </c>
    </row>
    <row r="137">
      <c r="A137" s="43">
        <f>IFERROR(INDEX('الموظفون'!$A$3:$A$502,131),"")</f>
        <v/>
      </c>
      <c r="B137" s="43">
        <f>IFERROR(INDEX('الموظفون'!$B$3:$B$502,131),"")</f>
        <v/>
      </c>
      <c r="C137" s="43">
        <f>IFERROR(INDEX('الموظفون'!$J$3:$J$502,131),"")</f>
        <v/>
      </c>
      <c r="D137" s="43">
        <f>IFERROR(INDEX('الموظفون'!$K$3:$K$502,131),"")</f>
        <v/>
      </c>
      <c r="E137" s="43">
        <f>IFERROR(INDEX('الموظفون'!$L$3:$L$502,131),"")</f>
        <v/>
      </c>
      <c r="F137" s="43">
        <f>IFERROR(INDEX('الموظفون'!$N$3:$N$502,131),"")</f>
        <v/>
      </c>
      <c r="G137" s="118">
        <f>IFERROR(INDEX('الموظفون'!$O$3:$O$502,131),"")</f>
        <v/>
      </c>
      <c r="H137" s="118">
        <f>IFERROR(INDEX('الموظفون'!$Q$3:$Q$502,131),"")</f>
        <v/>
      </c>
      <c r="I137" s="43">
        <f>IFERROR(INDEX('الموظفون'!$R$3:$R$502,131),"")</f>
        <v/>
      </c>
      <c r="J137" s="60">
        <f>IFERROR(INDEX('الموظفون'!$S$3:$S$502,131),"")</f>
        <v/>
      </c>
      <c r="K137" s="60">
        <f>IFERROR(INDEX('الموظفون'!$T$3:$T$502,131),"")</f>
        <v/>
      </c>
      <c r="L137" s="69">
        <f>IFERROR(IF(INDEX(الموظفون_الرقم,131)="","",INDEX(الموظفون_الاساسي,131)+INDEX(الموظفون_البدلات,131)),"")</f>
        <v/>
      </c>
    </row>
    <row r="138">
      <c r="A138" s="50">
        <f>IFERROR(INDEX('الموظفون'!$A$3:$A$502,132),"")</f>
        <v/>
      </c>
      <c r="B138" s="50">
        <f>IFERROR(INDEX('الموظفون'!$B$3:$B$502,132),"")</f>
        <v/>
      </c>
      <c r="C138" s="50">
        <f>IFERROR(INDEX('الموظفون'!$J$3:$J$502,132),"")</f>
        <v/>
      </c>
      <c r="D138" s="50">
        <f>IFERROR(INDEX('الموظفون'!$K$3:$K$502,132),"")</f>
        <v/>
      </c>
      <c r="E138" s="50">
        <f>IFERROR(INDEX('الموظفون'!$L$3:$L$502,132),"")</f>
        <v/>
      </c>
      <c r="F138" s="50">
        <f>IFERROR(INDEX('الموظفون'!$N$3:$N$502,132),"")</f>
        <v/>
      </c>
      <c r="G138" s="119">
        <f>IFERROR(INDEX('الموظفون'!$O$3:$O$502,132),"")</f>
        <v/>
      </c>
      <c r="H138" s="119">
        <f>IFERROR(INDEX('الموظفون'!$Q$3:$Q$502,132),"")</f>
        <v/>
      </c>
      <c r="I138" s="50">
        <f>IFERROR(INDEX('الموظفون'!$R$3:$R$502,132),"")</f>
        <v/>
      </c>
      <c r="J138" s="63">
        <f>IFERROR(INDEX('الموظفون'!$S$3:$S$502,132),"")</f>
        <v/>
      </c>
      <c r="K138" s="63">
        <f>IFERROR(INDEX('الموظفون'!$T$3:$T$502,132),"")</f>
        <v/>
      </c>
      <c r="L138" s="69">
        <f>IFERROR(IF(INDEX(الموظفون_الرقم,132)="","",INDEX(الموظفون_الاساسي,132)+INDEX(الموظفون_البدلات,132)),"")</f>
        <v/>
      </c>
    </row>
    <row r="139">
      <c r="A139" s="43">
        <f>IFERROR(INDEX('الموظفون'!$A$3:$A$502,133),"")</f>
        <v/>
      </c>
      <c r="B139" s="43">
        <f>IFERROR(INDEX('الموظفون'!$B$3:$B$502,133),"")</f>
        <v/>
      </c>
      <c r="C139" s="43">
        <f>IFERROR(INDEX('الموظفون'!$J$3:$J$502,133),"")</f>
        <v/>
      </c>
      <c r="D139" s="43">
        <f>IFERROR(INDEX('الموظفون'!$K$3:$K$502,133),"")</f>
        <v/>
      </c>
      <c r="E139" s="43">
        <f>IFERROR(INDEX('الموظفون'!$L$3:$L$502,133),"")</f>
        <v/>
      </c>
      <c r="F139" s="43">
        <f>IFERROR(INDEX('الموظفون'!$N$3:$N$502,133),"")</f>
        <v/>
      </c>
      <c r="G139" s="118">
        <f>IFERROR(INDEX('الموظفون'!$O$3:$O$502,133),"")</f>
        <v/>
      </c>
      <c r="H139" s="118">
        <f>IFERROR(INDEX('الموظفون'!$Q$3:$Q$502,133),"")</f>
        <v/>
      </c>
      <c r="I139" s="43">
        <f>IFERROR(INDEX('الموظفون'!$R$3:$R$502,133),"")</f>
        <v/>
      </c>
      <c r="J139" s="60">
        <f>IFERROR(INDEX('الموظفون'!$S$3:$S$502,133),"")</f>
        <v/>
      </c>
      <c r="K139" s="60">
        <f>IFERROR(INDEX('الموظفون'!$T$3:$T$502,133),"")</f>
        <v/>
      </c>
      <c r="L139" s="69">
        <f>IFERROR(IF(INDEX(الموظفون_الرقم,133)="","",INDEX(الموظفون_الاساسي,133)+INDEX(الموظفون_البدلات,133)),"")</f>
        <v/>
      </c>
    </row>
    <row r="140">
      <c r="A140" s="50">
        <f>IFERROR(INDEX('الموظفون'!$A$3:$A$502,134),"")</f>
        <v/>
      </c>
      <c r="B140" s="50">
        <f>IFERROR(INDEX('الموظفون'!$B$3:$B$502,134),"")</f>
        <v/>
      </c>
      <c r="C140" s="50">
        <f>IFERROR(INDEX('الموظفون'!$J$3:$J$502,134),"")</f>
        <v/>
      </c>
      <c r="D140" s="50">
        <f>IFERROR(INDEX('الموظفون'!$K$3:$K$502,134),"")</f>
        <v/>
      </c>
      <c r="E140" s="50">
        <f>IFERROR(INDEX('الموظفون'!$L$3:$L$502,134),"")</f>
        <v/>
      </c>
      <c r="F140" s="50">
        <f>IFERROR(INDEX('الموظفون'!$N$3:$N$502,134),"")</f>
        <v/>
      </c>
      <c r="G140" s="119">
        <f>IFERROR(INDEX('الموظفون'!$O$3:$O$502,134),"")</f>
        <v/>
      </c>
      <c r="H140" s="119">
        <f>IFERROR(INDEX('الموظفون'!$Q$3:$Q$502,134),"")</f>
        <v/>
      </c>
      <c r="I140" s="50">
        <f>IFERROR(INDEX('الموظفون'!$R$3:$R$502,134),"")</f>
        <v/>
      </c>
      <c r="J140" s="63">
        <f>IFERROR(INDEX('الموظفون'!$S$3:$S$502,134),"")</f>
        <v/>
      </c>
      <c r="K140" s="63">
        <f>IFERROR(INDEX('الموظفون'!$T$3:$T$502,134),"")</f>
        <v/>
      </c>
      <c r="L140" s="69">
        <f>IFERROR(IF(INDEX(الموظفون_الرقم,134)="","",INDEX(الموظفون_الاساسي,134)+INDEX(الموظفون_البدلات,134)),"")</f>
        <v/>
      </c>
    </row>
    <row r="141">
      <c r="A141" s="43">
        <f>IFERROR(INDEX('الموظفون'!$A$3:$A$502,135),"")</f>
        <v/>
      </c>
      <c r="B141" s="43">
        <f>IFERROR(INDEX('الموظفون'!$B$3:$B$502,135),"")</f>
        <v/>
      </c>
      <c r="C141" s="43">
        <f>IFERROR(INDEX('الموظفون'!$J$3:$J$502,135),"")</f>
        <v/>
      </c>
      <c r="D141" s="43">
        <f>IFERROR(INDEX('الموظفون'!$K$3:$K$502,135),"")</f>
        <v/>
      </c>
      <c r="E141" s="43">
        <f>IFERROR(INDEX('الموظفون'!$L$3:$L$502,135),"")</f>
        <v/>
      </c>
      <c r="F141" s="43">
        <f>IFERROR(INDEX('الموظفون'!$N$3:$N$502,135),"")</f>
        <v/>
      </c>
      <c r="G141" s="118">
        <f>IFERROR(INDEX('الموظفون'!$O$3:$O$502,135),"")</f>
        <v/>
      </c>
      <c r="H141" s="118">
        <f>IFERROR(INDEX('الموظفون'!$Q$3:$Q$502,135),"")</f>
        <v/>
      </c>
      <c r="I141" s="43">
        <f>IFERROR(INDEX('الموظفون'!$R$3:$R$502,135),"")</f>
        <v/>
      </c>
      <c r="J141" s="60">
        <f>IFERROR(INDEX('الموظفون'!$S$3:$S$502,135),"")</f>
        <v/>
      </c>
      <c r="K141" s="60">
        <f>IFERROR(INDEX('الموظفون'!$T$3:$T$502,135),"")</f>
        <v/>
      </c>
      <c r="L141" s="69">
        <f>IFERROR(IF(INDEX(الموظفون_الرقم,135)="","",INDEX(الموظفون_الاساسي,135)+INDEX(الموظفون_البدلات,135)),"")</f>
        <v/>
      </c>
    </row>
    <row r="142">
      <c r="A142" s="50">
        <f>IFERROR(INDEX('الموظفون'!$A$3:$A$502,136),"")</f>
        <v/>
      </c>
      <c r="B142" s="50">
        <f>IFERROR(INDEX('الموظفون'!$B$3:$B$502,136),"")</f>
        <v/>
      </c>
      <c r="C142" s="50">
        <f>IFERROR(INDEX('الموظفون'!$J$3:$J$502,136),"")</f>
        <v/>
      </c>
      <c r="D142" s="50">
        <f>IFERROR(INDEX('الموظفون'!$K$3:$K$502,136),"")</f>
        <v/>
      </c>
      <c r="E142" s="50">
        <f>IFERROR(INDEX('الموظفون'!$L$3:$L$502,136),"")</f>
        <v/>
      </c>
      <c r="F142" s="50">
        <f>IFERROR(INDEX('الموظفون'!$N$3:$N$502,136),"")</f>
        <v/>
      </c>
      <c r="G142" s="119">
        <f>IFERROR(INDEX('الموظفون'!$O$3:$O$502,136),"")</f>
        <v/>
      </c>
      <c r="H142" s="119">
        <f>IFERROR(INDEX('الموظفون'!$Q$3:$Q$502,136),"")</f>
        <v/>
      </c>
      <c r="I142" s="50">
        <f>IFERROR(INDEX('الموظفون'!$R$3:$R$502,136),"")</f>
        <v/>
      </c>
      <c r="J142" s="63">
        <f>IFERROR(INDEX('الموظفون'!$S$3:$S$502,136),"")</f>
        <v/>
      </c>
      <c r="K142" s="63">
        <f>IFERROR(INDEX('الموظفون'!$T$3:$T$502,136),"")</f>
        <v/>
      </c>
      <c r="L142" s="69">
        <f>IFERROR(IF(INDEX(الموظفون_الرقم,136)="","",INDEX(الموظفون_الاساسي,136)+INDEX(الموظفون_البدلات,136)),"")</f>
        <v/>
      </c>
    </row>
    <row r="143">
      <c r="A143" s="43">
        <f>IFERROR(INDEX('الموظفون'!$A$3:$A$502,137),"")</f>
        <v/>
      </c>
      <c r="B143" s="43">
        <f>IFERROR(INDEX('الموظفون'!$B$3:$B$502,137),"")</f>
        <v/>
      </c>
      <c r="C143" s="43">
        <f>IFERROR(INDEX('الموظفون'!$J$3:$J$502,137),"")</f>
        <v/>
      </c>
      <c r="D143" s="43">
        <f>IFERROR(INDEX('الموظفون'!$K$3:$K$502,137),"")</f>
        <v/>
      </c>
      <c r="E143" s="43">
        <f>IFERROR(INDEX('الموظفون'!$L$3:$L$502,137),"")</f>
        <v/>
      </c>
      <c r="F143" s="43">
        <f>IFERROR(INDEX('الموظفون'!$N$3:$N$502,137),"")</f>
        <v/>
      </c>
      <c r="G143" s="118">
        <f>IFERROR(INDEX('الموظفون'!$O$3:$O$502,137),"")</f>
        <v/>
      </c>
      <c r="H143" s="118">
        <f>IFERROR(INDEX('الموظفون'!$Q$3:$Q$502,137),"")</f>
        <v/>
      </c>
      <c r="I143" s="43">
        <f>IFERROR(INDEX('الموظفون'!$R$3:$R$502,137),"")</f>
        <v/>
      </c>
      <c r="J143" s="60">
        <f>IFERROR(INDEX('الموظفون'!$S$3:$S$502,137),"")</f>
        <v/>
      </c>
      <c r="K143" s="60">
        <f>IFERROR(INDEX('الموظفون'!$T$3:$T$502,137),"")</f>
        <v/>
      </c>
      <c r="L143" s="69">
        <f>IFERROR(IF(INDEX(الموظفون_الرقم,137)="","",INDEX(الموظفون_الاساسي,137)+INDEX(الموظفون_البدلات,137)),"")</f>
        <v/>
      </c>
    </row>
    <row r="144">
      <c r="A144" s="50">
        <f>IFERROR(INDEX('الموظفون'!$A$3:$A$502,138),"")</f>
        <v/>
      </c>
      <c r="B144" s="50">
        <f>IFERROR(INDEX('الموظفون'!$B$3:$B$502,138),"")</f>
        <v/>
      </c>
      <c r="C144" s="50">
        <f>IFERROR(INDEX('الموظفون'!$J$3:$J$502,138),"")</f>
        <v/>
      </c>
      <c r="D144" s="50">
        <f>IFERROR(INDEX('الموظفون'!$K$3:$K$502,138),"")</f>
        <v/>
      </c>
      <c r="E144" s="50">
        <f>IFERROR(INDEX('الموظفون'!$L$3:$L$502,138),"")</f>
        <v/>
      </c>
      <c r="F144" s="50">
        <f>IFERROR(INDEX('الموظفون'!$N$3:$N$502,138),"")</f>
        <v/>
      </c>
      <c r="G144" s="119">
        <f>IFERROR(INDEX('الموظفون'!$O$3:$O$502,138),"")</f>
        <v/>
      </c>
      <c r="H144" s="119">
        <f>IFERROR(INDEX('الموظفون'!$Q$3:$Q$502,138),"")</f>
        <v/>
      </c>
      <c r="I144" s="50">
        <f>IFERROR(INDEX('الموظفون'!$R$3:$R$502,138),"")</f>
        <v/>
      </c>
      <c r="J144" s="63">
        <f>IFERROR(INDEX('الموظفون'!$S$3:$S$502,138),"")</f>
        <v/>
      </c>
      <c r="K144" s="63">
        <f>IFERROR(INDEX('الموظفون'!$T$3:$T$502,138),"")</f>
        <v/>
      </c>
      <c r="L144" s="69">
        <f>IFERROR(IF(INDEX(الموظفون_الرقم,138)="","",INDEX(الموظفون_الاساسي,138)+INDEX(الموظفون_البدلات,138)),"")</f>
        <v/>
      </c>
    </row>
    <row r="145">
      <c r="A145" s="43">
        <f>IFERROR(INDEX('الموظفون'!$A$3:$A$502,139),"")</f>
        <v/>
      </c>
      <c r="B145" s="43">
        <f>IFERROR(INDEX('الموظفون'!$B$3:$B$502,139),"")</f>
        <v/>
      </c>
      <c r="C145" s="43">
        <f>IFERROR(INDEX('الموظفون'!$J$3:$J$502,139),"")</f>
        <v/>
      </c>
      <c r="D145" s="43">
        <f>IFERROR(INDEX('الموظفون'!$K$3:$K$502,139),"")</f>
        <v/>
      </c>
      <c r="E145" s="43">
        <f>IFERROR(INDEX('الموظفون'!$L$3:$L$502,139),"")</f>
        <v/>
      </c>
      <c r="F145" s="43">
        <f>IFERROR(INDEX('الموظفون'!$N$3:$N$502,139),"")</f>
        <v/>
      </c>
      <c r="G145" s="118">
        <f>IFERROR(INDEX('الموظفون'!$O$3:$O$502,139),"")</f>
        <v/>
      </c>
      <c r="H145" s="118">
        <f>IFERROR(INDEX('الموظفون'!$Q$3:$Q$502,139),"")</f>
        <v/>
      </c>
      <c r="I145" s="43">
        <f>IFERROR(INDEX('الموظفون'!$R$3:$R$502,139),"")</f>
        <v/>
      </c>
      <c r="J145" s="60">
        <f>IFERROR(INDEX('الموظفون'!$S$3:$S$502,139),"")</f>
        <v/>
      </c>
      <c r="K145" s="60">
        <f>IFERROR(INDEX('الموظفون'!$T$3:$T$502,139),"")</f>
        <v/>
      </c>
      <c r="L145" s="69">
        <f>IFERROR(IF(INDEX(الموظفون_الرقم,139)="","",INDEX(الموظفون_الاساسي,139)+INDEX(الموظفون_البدلات,139)),"")</f>
        <v/>
      </c>
    </row>
    <row r="146">
      <c r="A146" s="50">
        <f>IFERROR(INDEX('الموظفون'!$A$3:$A$502,140),"")</f>
        <v/>
      </c>
      <c r="B146" s="50">
        <f>IFERROR(INDEX('الموظفون'!$B$3:$B$502,140),"")</f>
        <v/>
      </c>
      <c r="C146" s="50">
        <f>IFERROR(INDEX('الموظفون'!$J$3:$J$502,140),"")</f>
        <v/>
      </c>
      <c r="D146" s="50">
        <f>IFERROR(INDEX('الموظفون'!$K$3:$K$502,140),"")</f>
        <v/>
      </c>
      <c r="E146" s="50">
        <f>IFERROR(INDEX('الموظفون'!$L$3:$L$502,140),"")</f>
        <v/>
      </c>
      <c r="F146" s="50">
        <f>IFERROR(INDEX('الموظفون'!$N$3:$N$502,140),"")</f>
        <v/>
      </c>
      <c r="G146" s="119">
        <f>IFERROR(INDEX('الموظفون'!$O$3:$O$502,140),"")</f>
        <v/>
      </c>
      <c r="H146" s="119">
        <f>IFERROR(INDEX('الموظفون'!$Q$3:$Q$502,140),"")</f>
        <v/>
      </c>
      <c r="I146" s="50">
        <f>IFERROR(INDEX('الموظفون'!$R$3:$R$502,140),"")</f>
        <v/>
      </c>
      <c r="J146" s="63">
        <f>IFERROR(INDEX('الموظفون'!$S$3:$S$502,140),"")</f>
        <v/>
      </c>
      <c r="K146" s="63">
        <f>IFERROR(INDEX('الموظفون'!$T$3:$T$502,140),"")</f>
        <v/>
      </c>
      <c r="L146" s="69">
        <f>IFERROR(IF(INDEX(الموظفون_الرقم,140)="","",INDEX(الموظفون_الاساسي,140)+INDEX(الموظفون_البدلات,140)),"")</f>
        <v/>
      </c>
    </row>
    <row r="147">
      <c r="A147" s="43">
        <f>IFERROR(INDEX('الموظفون'!$A$3:$A$502,141),"")</f>
        <v/>
      </c>
      <c r="B147" s="43">
        <f>IFERROR(INDEX('الموظفون'!$B$3:$B$502,141),"")</f>
        <v/>
      </c>
      <c r="C147" s="43">
        <f>IFERROR(INDEX('الموظفون'!$J$3:$J$502,141),"")</f>
        <v/>
      </c>
      <c r="D147" s="43">
        <f>IFERROR(INDEX('الموظفون'!$K$3:$K$502,141),"")</f>
        <v/>
      </c>
      <c r="E147" s="43">
        <f>IFERROR(INDEX('الموظفون'!$L$3:$L$502,141),"")</f>
        <v/>
      </c>
      <c r="F147" s="43">
        <f>IFERROR(INDEX('الموظفون'!$N$3:$N$502,141),"")</f>
        <v/>
      </c>
      <c r="G147" s="118">
        <f>IFERROR(INDEX('الموظفون'!$O$3:$O$502,141),"")</f>
        <v/>
      </c>
      <c r="H147" s="118">
        <f>IFERROR(INDEX('الموظفون'!$Q$3:$Q$502,141),"")</f>
        <v/>
      </c>
      <c r="I147" s="43">
        <f>IFERROR(INDEX('الموظفون'!$R$3:$R$502,141),"")</f>
        <v/>
      </c>
      <c r="J147" s="60">
        <f>IFERROR(INDEX('الموظفون'!$S$3:$S$502,141),"")</f>
        <v/>
      </c>
      <c r="K147" s="60">
        <f>IFERROR(INDEX('الموظفون'!$T$3:$T$502,141),"")</f>
        <v/>
      </c>
      <c r="L147" s="69">
        <f>IFERROR(IF(INDEX(الموظفون_الرقم,141)="","",INDEX(الموظفون_الاساسي,141)+INDEX(الموظفون_البدلات,141)),"")</f>
        <v/>
      </c>
    </row>
    <row r="148">
      <c r="A148" s="50">
        <f>IFERROR(INDEX('الموظفون'!$A$3:$A$502,142),"")</f>
        <v/>
      </c>
      <c r="B148" s="50">
        <f>IFERROR(INDEX('الموظفون'!$B$3:$B$502,142),"")</f>
        <v/>
      </c>
      <c r="C148" s="50">
        <f>IFERROR(INDEX('الموظفون'!$J$3:$J$502,142),"")</f>
        <v/>
      </c>
      <c r="D148" s="50">
        <f>IFERROR(INDEX('الموظفون'!$K$3:$K$502,142),"")</f>
        <v/>
      </c>
      <c r="E148" s="50">
        <f>IFERROR(INDEX('الموظفون'!$L$3:$L$502,142),"")</f>
        <v/>
      </c>
      <c r="F148" s="50">
        <f>IFERROR(INDEX('الموظفون'!$N$3:$N$502,142),"")</f>
        <v/>
      </c>
      <c r="G148" s="119">
        <f>IFERROR(INDEX('الموظفون'!$O$3:$O$502,142),"")</f>
        <v/>
      </c>
      <c r="H148" s="119">
        <f>IFERROR(INDEX('الموظفون'!$Q$3:$Q$502,142),"")</f>
        <v/>
      </c>
      <c r="I148" s="50">
        <f>IFERROR(INDEX('الموظفون'!$R$3:$R$502,142),"")</f>
        <v/>
      </c>
      <c r="J148" s="63">
        <f>IFERROR(INDEX('الموظفون'!$S$3:$S$502,142),"")</f>
        <v/>
      </c>
      <c r="K148" s="63">
        <f>IFERROR(INDEX('الموظفون'!$T$3:$T$502,142),"")</f>
        <v/>
      </c>
      <c r="L148" s="69">
        <f>IFERROR(IF(INDEX(الموظفون_الرقم,142)="","",INDEX(الموظفون_الاساسي,142)+INDEX(الموظفون_البدلات,142)),"")</f>
        <v/>
      </c>
    </row>
    <row r="149">
      <c r="A149" s="43">
        <f>IFERROR(INDEX('الموظفون'!$A$3:$A$502,143),"")</f>
        <v/>
      </c>
      <c r="B149" s="43">
        <f>IFERROR(INDEX('الموظفون'!$B$3:$B$502,143),"")</f>
        <v/>
      </c>
      <c r="C149" s="43">
        <f>IFERROR(INDEX('الموظفون'!$J$3:$J$502,143),"")</f>
        <v/>
      </c>
      <c r="D149" s="43">
        <f>IFERROR(INDEX('الموظفون'!$K$3:$K$502,143),"")</f>
        <v/>
      </c>
      <c r="E149" s="43">
        <f>IFERROR(INDEX('الموظفون'!$L$3:$L$502,143),"")</f>
        <v/>
      </c>
      <c r="F149" s="43">
        <f>IFERROR(INDEX('الموظفون'!$N$3:$N$502,143),"")</f>
        <v/>
      </c>
      <c r="G149" s="118">
        <f>IFERROR(INDEX('الموظفون'!$O$3:$O$502,143),"")</f>
        <v/>
      </c>
      <c r="H149" s="118">
        <f>IFERROR(INDEX('الموظفون'!$Q$3:$Q$502,143),"")</f>
        <v/>
      </c>
      <c r="I149" s="43">
        <f>IFERROR(INDEX('الموظفون'!$R$3:$R$502,143),"")</f>
        <v/>
      </c>
      <c r="J149" s="60">
        <f>IFERROR(INDEX('الموظفون'!$S$3:$S$502,143),"")</f>
        <v/>
      </c>
      <c r="K149" s="60">
        <f>IFERROR(INDEX('الموظفون'!$T$3:$T$502,143),"")</f>
        <v/>
      </c>
      <c r="L149" s="69">
        <f>IFERROR(IF(INDEX(الموظفون_الرقم,143)="","",INDEX(الموظفون_الاساسي,143)+INDEX(الموظفون_البدلات,143)),"")</f>
        <v/>
      </c>
    </row>
    <row r="150">
      <c r="A150" s="50">
        <f>IFERROR(INDEX('الموظفون'!$A$3:$A$502,144),"")</f>
        <v/>
      </c>
      <c r="B150" s="50">
        <f>IFERROR(INDEX('الموظفون'!$B$3:$B$502,144),"")</f>
        <v/>
      </c>
      <c r="C150" s="50">
        <f>IFERROR(INDEX('الموظفون'!$J$3:$J$502,144),"")</f>
        <v/>
      </c>
      <c r="D150" s="50">
        <f>IFERROR(INDEX('الموظفون'!$K$3:$K$502,144),"")</f>
        <v/>
      </c>
      <c r="E150" s="50">
        <f>IFERROR(INDEX('الموظفون'!$L$3:$L$502,144),"")</f>
        <v/>
      </c>
      <c r="F150" s="50">
        <f>IFERROR(INDEX('الموظفون'!$N$3:$N$502,144),"")</f>
        <v/>
      </c>
      <c r="G150" s="119">
        <f>IFERROR(INDEX('الموظفون'!$O$3:$O$502,144),"")</f>
        <v/>
      </c>
      <c r="H150" s="119">
        <f>IFERROR(INDEX('الموظفون'!$Q$3:$Q$502,144),"")</f>
        <v/>
      </c>
      <c r="I150" s="50">
        <f>IFERROR(INDEX('الموظفون'!$R$3:$R$502,144),"")</f>
        <v/>
      </c>
      <c r="J150" s="63">
        <f>IFERROR(INDEX('الموظفون'!$S$3:$S$502,144),"")</f>
        <v/>
      </c>
      <c r="K150" s="63">
        <f>IFERROR(INDEX('الموظفون'!$T$3:$T$502,144),"")</f>
        <v/>
      </c>
      <c r="L150" s="69">
        <f>IFERROR(IF(INDEX(الموظفون_الرقم,144)="","",INDEX(الموظفون_الاساسي,144)+INDEX(الموظفون_البدلات,144)),"")</f>
        <v/>
      </c>
    </row>
    <row r="151">
      <c r="A151" s="43">
        <f>IFERROR(INDEX('الموظفون'!$A$3:$A$502,145),"")</f>
        <v/>
      </c>
      <c r="B151" s="43">
        <f>IFERROR(INDEX('الموظفون'!$B$3:$B$502,145),"")</f>
        <v/>
      </c>
      <c r="C151" s="43">
        <f>IFERROR(INDEX('الموظفون'!$J$3:$J$502,145),"")</f>
        <v/>
      </c>
      <c r="D151" s="43">
        <f>IFERROR(INDEX('الموظفون'!$K$3:$K$502,145),"")</f>
        <v/>
      </c>
      <c r="E151" s="43">
        <f>IFERROR(INDEX('الموظفون'!$L$3:$L$502,145),"")</f>
        <v/>
      </c>
      <c r="F151" s="43">
        <f>IFERROR(INDEX('الموظفون'!$N$3:$N$502,145),"")</f>
        <v/>
      </c>
      <c r="G151" s="118">
        <f>IFERROR(INDEX('الموظفون'!$O$3:$O$502,145),"")</f>
        <v/>
      </c>
      <c r="H151" s="118">
        <f>IFERROR(INDEX('الموظفون'!$Q$3:$Q$502,145),"")</f>
        <v/>
      </c>
      <c r="I151" s="43">
        <f>IFERROR(INDEX('الموظفون'!$R$3:$R$502,145),"")</f>
        <v/>
      </c>
      <c r="J151" s="60">
        <f>IFERROR(INDEX('الموظفون'!$S$3:$S$502,145),"")</f>
        <v/>
      </c>
      <c r="K151" s="60">
        <f>IFERROR(INDEX('الموظفون'!$T$3:$T$502,145),"")</f>
        <v/>
      </c>
      <c r="L151" s="69">
        <f>IFERROR(IF(INDEX(الموظفون_الرقم,145)="","",INDEX(الموظفون_الاساسي,145)+INDEX(الموظفون_البدلات,145)),"")</f>
        <v/>
      </c>
    </row>
    <row r="152">
      <c r="A152" s="50">
        <f>IFERROR(INDEX('الموظفون'!$A$3:$A$502,146),"")</f>
        <v/>
      </c>
      <c r="B152" s="50">
        <f>IFERROR(INDEX('الموظفون'!$B$3:$B$502,146),"")</f>
        <v/>
      </c>
      <c r="C152" s="50">
        <f>IFERROR(INDEX('الموظفون'!$J$3:$J$502,146),"")</f>
        <v/>
      </c>
      <c r="D152" s="50">
        <f>IFERROR(INDEX('الموظفون'!$K$3:$K$502,146),"")</f>
        <v/>
      </c>
      <c r="E152" s="50">
        <f>IFERROR(INDEX('الموظفون'!$L$3:$L$502,146),"")</f>
        <v/>
      </c>
      <c r="F152" s="50">
        <f>IFERROR(INDEX('الموظفون'!$N$3:$N$502,146),"")</f>
        <v/>
      </c>
      <c r="G152" s="119">
        <f>IFERROR(INDEX('الموظفون'!$O$3:$O$502,146),"")</f>
        <v/>
      </c>
      <c r="H152" s="119">
        <f>IFERROR(INDEX('الموظفون'!$Q$3:$Q$502,146),"")</f>
        <v/>
      </c>
      <c r="I152" s="50">
        <f>IFERROR(INDEX('الموظفون'!$R$3:$R$502,146),"")</f>
        <v/>
      </c>
      <c r="J152" s="63">
        <f>IFERROR(INDEX('الموظفون'!$S$3:$S$502,146),"")</f>
        <v/>
      </c>
      <c r="K152" s="63">
        <f>IFERROR(INDEX('الموظفون'!$T$3:$T$502,146),"")</f>
        <v/>
      </c>
      <c r="L152" s="69">
        <f>IFERROR(IF(INDEX(الموظفون_الرقم,146)="","",INDEX(الموظفون_الاساسي,146)+INDEX(الموظفون_البدلات,146)),"")</f>
        <v/>
      </c>
    </row>
    <row r="153">
      <c r="A153" s="43">
        <f>IFERROR(INDEX('الموظفون'!$A$3:$A$502,147),"")</f>
        <v/>
      </c>
      <c r="B153" s="43">
        <f>IFERROR(INDEX('الموظفون'!$B$3:$B$502,147),"")</f>
        <v/>
      </c>
      <c r="C153" s="43">
        <f>IFERROR(INDEX('الموظفون'!$J$3:$J$502,147),"")</f>
        <v/>
      </c>
      <c r="D153" s="43">
        <f>IFERROR(INDEX('الموظفون'!$K$3:$K$502,147),"")</f>
        <v/>
      </c>
      <c r="E153" s="43">
        <f>IFERROR(INDEX('الموظفون'!$L$3:$L$502,147),"")</f>
        <v/>
      </c>
      <c r="F153" s="43">
        <f>IFERROR(INDEX('الموظفون'!$N$3:$N$502,147),"")</f>
        <v/>
      </c>
      <c r="G153" s="118">
        <f>IFERROR(INDEX('الموظفون'!$O$3:$O$502,147),"")</f>
        <v/>
      </c>
      <c r="H153" s="118">
        <f>IFERROR(INDEX('الموظفون'!$Q$3:$Q$502,147),"")</f>
        <v/>
      </c>
      <c r="I153" s="43">
        <f>IFERROR(INDEX('الموظفون'!$R$3:$R$502,147),"")</f>
        <v/>
      </c>
      <c r="J153" s="60">
        <f>IFERROR(INDEX('الموظفون'!$S$3:$S$502,147),"")</f>
        <v/>
      </c>
      <c r="K153" s="60">
        <f>IFERROR(INDEX('الموظفون'!$T$3:$T$502,147),"")</f>
        <v/>
      </c>
      <c r="L153" s="69">
        <f>IFERROR(IF(INDEX(الموظفون_الرقم,147)="","",INDEX(الموظفون_الاساسي,147)+INDEX(الموظفون_البدلات,147)),"")</f>
        <v/>
      </c>
    </row>
    <row r="154">
      <c r="A154" s="50">
        <f>IFERROR(INDEX('الموظفون'!$A$3:$A$502,148),"")</f>
        <v/>
      </c>
      <c r="B154" s="50">
        <f>IFERROR(INDEX('الموظفون'!$B$3:$B$502,148),"")</f>
        <v/>
      </c>
      <c r="C154" s="50">
        <f>IFERROR(INDEX('الموظفون'!$J$3:$J$502,148),"")</f>
        <v/>
      </c>
      <c r="D154" s="50">
        <f>IFERROR(INDEX('الموظفون'!$K$3:$K$502,148),"")</f>
        <v/>
      </c>
      <c r="E154" s="50">
        <f>IFERROR(INDEX('الموظفون'!$L$3:$L$502,148),"")</f>
        <v/>
      </c>
      <c r="F154" s="50">
        <f>IFERROR(INDEX('الموظفون'!$N$3:$N$502,148),"")</f>
        <v/>
      </c>
      <c r="G154" s="119">
        <f>IFERROR(INDEX('الموظفون'!$O$3:$O$502,148),"")</f>
        <v/>
      </c>
      <c r="H154" s="119">
        <f>IFERROR(INDEX('الموظفون'!$Q$3:$Q$502,148),"")</f>
        <v/>
      </c>
      <c r="I154" s="50">
        <f>IFERROR(INDEX('الموظفون'!$R$3:$R$502,148),"")</f>
        <v/>
      </c>
      <c r="J154" s="63">
        <f>IFERROR(INDEX('الموظفون'!$S$3:$S$502,148),"")</f>
        <v/>
      </c>
      <c r="K154" s="63">
        <f>IFERROR(INDEX('الموظفون'!$T$3:$T$502,148),"")</f>
        <v/>
      </c>
      <c r="L154" s="69">
        <f>IFERROR(IF(INDEX(الموظفون_الرقم,148)="","",INDEX(الموظفون_الاساسي,148)+INDEX(الموظفون_البدلات,148)),"")</f>
        <v/>
      </c>
    </row>
    <row r="155">
      <c r="A155" s="43">
        <f>IFERROR(INDEX('الموظفون'!$A$3:$A$502,149),"")</f>
        <v/>
      </c>
      <c r="B155" s="43">
        <f>IFERROR(INDEX('الموظفون'!$B$3:$B$502,149),"")</f>
        <v/>
      </c>
      <c r="C155" s="43">
        <f>IFERROR(INDEX('الموظفون'!$J$3:$J$502,149),"")</f>
        <v/>
      </c>
      <c r="D155" s="43">
        <f>IFERROR(INDEX('الموظفون'!$K$3:$K$502,149),"")</f>
        <v/>
      </c>
      <c r="E155" s="43">
        <f>IFERROR(INDEX('الموظفون'!$L$3:$L$502,149),"")</f>
        <v/>
      </c>
      <c r="F155" s="43">
        <f>IFERROR(INDEX('الموظفون'!$N$3:$N$502,149),"")</f>
        <v/>
      </c>
      <c r="G155" s="118">
        <f>IFERROR(INDEX('الموظفون'!$O$3:$O$502,149),"")</f>
        <v/>
      </c>
      <c r="H155" s="118">
        <f>IFERROR(INDEX('الموظفون'!$Q$3:$Q$502,149),"")</f>
        <v/>
      </c>
      <c r="I155" s="43">
        <f>IFERROR(INDEX('الموظفون'!$R$3:$R$502,149),"")</f>
        <v/>
      </c>
      <c r="J155" s="60">
        <f>IFERROR(INDEX('الموظفون'!$S$3:$S$502,149),"")</f>
        <v/>
      </c>
      <c r="K155" s="60">
        <f>IFERROR(INDEX('الموظفون'!$T$3:$T$502,149),"")</f>
        <v/>
      </c>
      <c r="L155" s="69">
        <f>IFERROR(IF(INDEX(الموظفون_الرقم,149)="","",INDEX(الموظفون_الاساسي,149)+INDEX(الموظفون_البدلات,149)),"")</f>
        <v/>
      </c>
    </row>
    <row r="156">
      <c r="A156" s="50">
        <f>IFERROR(INDEX('الموظفون'!$A$3:$A$502,150),"")</f>
        <v/>
      </c>
      <c r="B156" s="50">
        <f>IFERROR(INDEX('الموظفون'!$B$3:$B$502,150),"")</f>
        <v/>
      </c>
      <c r="C156" s="50">
        <f>IFERROR(INDEX('الموظفون'!$J$3:$J$502,150),"")</f>
        <v/>
      </c>
      <c r="D156" s="50">
        <f>IFERROR(INDEX('الموظفون'!$K$3:$K$502,150),"")</f>
        <v/>
      </c>
      <c r="E156" s="50">
        <f>IFERROR(INDEX('الموظفون'!$L$3:$L$502,150),"")</f>
        <v/>
      </c>
      <c r="F156" s="50">
        <f>IFERROR(INDEX('الموظفون'!$N$3:$N$502,150),"")</f>
        <v/>
      </c>
      <c r="G156" s="119">
        <f>IFERROR(INDEX('الموظفون'!$O$3:$O$502,150),"")</f>
        <v/>
      </c>
      <c r="H156" s="119">
        <f>IFERROR(INDEX('الموظفون'!$Q$3:$Q$502,150),"")</f>
        <v/>
      </c>
      <c r="I156" s="50">
        <f>IFERROR(INDEX('الموظفون'!$R$3:$R$502,150),"")</f>
        <v/>
      </c>
      <c r="J156" s="63">
        <f>IFERROR(INDEX('الموظفون'!$S$3:$S$502,150),"")</f>
        <v/>
      </c>
      <c r="K156" s="63">
        <f>IFERROR(INDEX('الموظفون'!$T$3:$T$502,150),"")</f>
        <v/>
      </c>
      <c r="L156" s="69">
        <f>IFERROR(IF(INDEX(الموظفون_الرقم,150)="","",INDEX(الموظفون_الاساسي,150)+INDEX(الموظفون_البدلات,150)),"")</f>
        <v/>
      </c>
    </row>
    <row r="157">
      <c r="A157" s="43">
        <f>IFERROR(INDEX('الموظفون'!$A$3:$A$502,151),"")</f>
        <v/>
      </c>
      <c r="B157" s="43">
        <f>IFERROR(INDEX('الموظفون'!$B$3:$B$502,151),"")</f>
        <v/>
      </c>
      <c r="C157" s="43">
        <f>IFERROR(INDEX('الموظفون'!$J$3:$J$502,151),"")</f>
        <v/>
      </c>
      <c r="D157" s="43">
        <f>IFERROR(INDEX('الموظفون'!$K$3:$K$502,151),"")</f>
        <v/>
      </c>
      <c r="E157" s="43">
        <f>IFERROR(INDEX('الموظفون'!$L$3:$L$502,151),"")</f>
        <v/>
      </c>
      <c r="F157" s="43">
        <f>IFERROR(INDEX('الموظفون'!$N$3:$N$502,151),"")</f>
        <v/>
      </c>
      <c r="G157" s="118">
        <f>IFERROR(INDEX('الموظفون'!$O$3:$O$502,151),"")</f>
        <v/>
      </c>
      <c r="H157" s="118">
        <f>IFERROR(INDEX('الموظفون'!$Q$3:$Q$502,151),"")</f>
        <v/>
      </c>
      <c r="I157" s="43">
        <f>IFERROR(INDEX('الموظفون'!$R$3:$R$502,151),"")</f>
        <v/>
      </c>
      <c r="J157" s="60">
        <f>IFERROR(INDEX('الموظفون'!$S$3:$S$502,151),"")</f>
        <v/>
      </c>
      <c r="K157" s="60">
        <f>IFERROR(INDEX('الموظفون'!$T$3:$T$502,151),"")</f>
        <v/>
      </c>
      <c r="L157" s="69">
        <f>IFERROR(IF(INDEX(الموظفون_الرقم,151)="","",INDEX(الموظفون_الاساسي,151)+INDEX(الموظفون_البدلات,151)),"")</f>
        <v/>
      </c>
    </row>
    <row r="158">
      <c r="A158" s="50">
        <f>IFERROR(INDEX('الموظفون'!$A$3:$A$502,152),"")</f>
        <v/>
      </c>
      <c r="B158" s="50">
        <f>IFERROR(INDEX('الموظفون'!$B$3:$B$502,152),"")</f>
        <v/>
      </c>
      <c r="C158" s="50">
        <f>IFERROR(INDEX('الموظفون'!$J$3:$J$502,152),"")</f>
        <v/>
      </c>
      <c r="D158" s="50">
        <f>IFERROR(INDEX('الموظفون'!$K$3:$K$502,152),"")</f>
        <v/>
      </c>
      <c r="E158" s="50">
        <f>IFERROR(INDEX('الموظفون'!$L$3:$L$502,152),"")</f>
        <v/>
      </c>
      <c r="F158" s="50">
        <f>IFERROR(INDEX('الموظفون'!$N$3:$N$502,152),"")</f>
        <v/>
      </c>
      <c r="G158" s="119">
        <f>IFERROR(INDEX('الموظفون'!$O$3:$O$502,152),"")</f>
        <v/>
      </c>
      <c r="H158" s="119">
        <f>IFERROR(INDEX('الموظفون'!$Q$3:$Q$502,152),"")</f>
        <v/>
      </c>
      <c r="I158" s="50">
        <f>IFERROR(INDEX('الموظفون'!$R$3:$R$502,152),"")</f>
        <v/>
      </c>
      <c r="J158" s="63">
        <f>IFERROR(INDEX('الموظفون'!$S$3:$S$502,152),"")</f>
        <v/>
      </c>
      <c r="K158" s="63">
        <f>IFERROR(INDEX('الموظفون'!$T$3:$T$502,152),"")</f>
        <v/>
      </c>
      <c r="L158" s="69">
        <f>IFERROR(IF(INDEX(الموظفون_الرقم,152)="","",INDEX(الموظفون_الاساسي,152)+INDEX(الموظفون_البدلات,152)),"")</f>
        <v/>
      </c>
    </row>
    <row r="159">
      <c r="A159" s="43">
        <f>IFERROR(INDEX('الموظفون'!$A$3:$A$502,153),"")</f>
        <v/>
      </c>
      <c r="B159" s="43">
        <f>IFERROR(INDEX('الموظفون'!$B$3:$B$502,153),"")</f>
        <v/>
      </c>
      <c r="C159" s="43">
        <f>IFERROR(INDEX('الموظفون'!$J$3:$J$502,153),"")</f>
        <v/>
      </c>
      <c r="D159" s="43">
        <f>IFERROR(INDEX('الموظفون'!$K$3:$K$502,153),"")</f>
        <v/>
      </c>
      <c r="E159" s="43">
        <f>IFERROR(INDEX('الموظفون'!$L$3:$L$502,153),"")</f>
        <v/>
      </c>
      <c r="F159" s="43">
        <f>IFERROR(INDEX('الموظفون'!$N$3:$N$502,153),"")</f>
        <v/>
      </c>
      <c r="G159" s="118">
        <f>IFERROR(INDEX('الموظفون'!$O$3:$O$502,153),"")</f>
        <v/>
      </c>
      <c r="H159" s="118">
        <f>IFERROR(INDEX('الموظفون'!$Q$3:$Q$502,153),"")</f>
        <v/>
      </c>
      <c r="I159" s="43">
        <f>IFERROR(INDEX('الموظفون'!$R$3:$R$502,153),"")</f>
        <v/>
      </c>
      <c r="J159" s="60">
        <f>IFERROR(INDEX('الموظفون'!$S$3:$S$502,153),"")</f>
        <v/>
      </c>
      <c r="K159" s="60">
        <f>IFERROR(INDEX('الموظفون'!$T$3:$T$502,153),"")</f>
        <v/>
      </c>
      <c r="L159" s="69">
        <f>IFERROR(IF(INDEX(الموظفون_الرقم,153)="","",INDEX(الموظفون_الاساسي,153)+INDEX(الموظفون_البدلات,153)),"")</f>
        <v/>
      </c>
    </row>
    <row r="160">
      <c r="A160" s="50">
        <f>IFERROR(INDEX('الموظفون'!$A$3:$A$502,154),"")</f>
        <v/>
      </c>
      <c r="B160" s="50">
        <f>IFERROR(INDEX('الموظفون'!$B$3:$B$502,154),"")</f>
        <v/>
      </c>
      <c r="C160" s="50">
        <f>IFERROR(INDEX('الموظفون'!$J$3:$J$502,154),"")</f>
        <v/>
      </c>
      <c r="D160" s="50">
        <f>IFERROR(INDEX('الموظفون'!$K$3:$K$502,154),"")</f>
        <v/>
      </c>
      <c r="E160" s="50">
        <f>IFERROR(INDEX('الموظفون'!$L$3:$L$502,154),"")</f>
        <v/>
      </c>
      <c r="F160" s="50">
        <f>IFERROR(INDEX('الموظفون'!$N$3:$N$502,154),"")</f>
        <v/>
      </c>
      <c r="G160" s="119">
        <f>IFERROR(INDEX('الموظفون'!$O$3:$O$502,154),"")</f>
        <v/>
      </c>
      <c r="H160" s="119">
        <f>IFERROR(INDEX('الموظفون'!$Q$3:$Q$502,154),"")</f>
        <v/>
      </c>
      <c r="I160" s="50">
        <f>IFERROR(INDEX('الموظفون'!$R$3:$R$502,154),"")</f>
        <v/>
      </c>
      <c r="J160" s="63">
        <f>IFERROR(INDEX('الموظفون'!$S$3:$S$502,154),"")</f>
        <v/>
      </c>
      <c r="K160" s="63">
        <f>IFERROR(INDEX('الموظفون'!$T$3:$T$502,154),"")</f>
        <v/>
      </c>
      <c r="L160" s="69">
        <f>IFERROR(IF(INDEX(الموظفون_الرقم,154)="","",INDEX(الموظفون_الاساسي,154)+INDEX(الموظفون_البدلات,154)),"")</f>
        <v/>
      </c>
    </row>
    <row r="161">
      <c r="A161" s="43">
        <f>IFERROR(INDEX('الموظفون'!$A$3:$A$502,155),"")</f>
        <v/>
      </c>
      <c r="B161" s="43">
        <f>IFERROR(INDEX('الموظفون'!$B$3:$B$502,155),"")</f>
        <v/>
      </c>
      <c r="C161" s="43">
        <f>IFERROR(INDEX('الموظفون'!$J$3:$J$502,155),"")</f>
        <v/>
      </c>
      <c r="D161" s="43">
        <f>IFERROR(INDEX('الموظفون'!$K$3:$K$502,155),"")</f>
        <v/>
      </c>
      <c r="E161" s="43">
        <f>IFERROR(INDEX('الموظفون'!$L$3:$L$502,155),"")</f>
        <v/>
      </c>
      <c r="F161" s="43">
        <f>IFERROR(INDEX('الموظفون'!$N$3:$N$502,155),"")</f>
        <v/>
      </c>
      <c r="G161" s="118">
        <f>IFERROR(INDEX('الموظفون'!$O$3:$O$502,155),"")</f>
        <v/>
      </c>
      <c r="H161" s="118">
        <f>IFERROR(INDEX('الموظفون'!$Q$3:$Q$502,155),"")</f>
        <v/>
      </c>
      <c r="I161" s="43">
        <f>IFERROR(INDEX('الموظفون'!$R$3:$R$502,155),"")</f>
        <v/>
      </c>
      <c r="J161" s="60">
        <f>IFERROR(INDEX('الموظفون'!$S$3:$S$502,155),"")</f>
        <v/>
      </c>
      <c r="K161" s="60">
        <f>IFERROR(INDEX('الموظفون'!$T$3:$T$502,155),"")</f>
        <v/>
      </c>
      <c r="L161" s="69">
        <f>IFERROR(IF(INDEX(الموظفون_الرقم,155)="","",INDEX(الموظفون_الاساسي,155)+INDEX(الموظفون_البدلات,155)),"")</f>
        <v/>
      </c>
    </row>
    <row r="162">
      <c r="A162" s="50">
        <f>IFERROR(INDEX('الموظفون'!$A$3:$A$502,156),"")</f>
        <v/>
      </c>
      <c r="B162" s="50">
        <f>IFERROR(INDEX('الموظفون'!$B$3:$B$502,156),"")</f>
        <v/>
      </c>
      <c r="C162" s="50">
        <f>IFERROR(INDEX('الموظفون'!$J$3:$J$502,156),"")</f>
        <v/>
      </c>
      <c r="D162" s="50">
        <f>IFERROR(INDEX('الموظفون'!$K$3:$K$502,156),"")</f>
        <v/>
      </c>
      <c r="E162" s="50">
        <f>IFERROR(INDEX('الموظفون'!$L$3:$L$502,156),"")</f>
        <v/>
      </c>
      <c r="F162" s="50">
        <f>IFERROR(INDEX('الموظفون'!$N$3:$N$502,156),"")</f>
        <v/>
      </c>
      <c r="G162" s="119">
        <f>IFERROR(INDEX('الموظفون'!$O$3:$O$502,156),"")</f>
        <v/>
      </c>
      <c r="H162" s="119">
        <f>IFERROR(INDEX('الموظفون'!$Q$3:$Q$502,156),"")</f>
        <v/>
      </c>
      <c r="I162" s="50">
        <f>IFERROR(INDEX('الموظفون'!$R$3:$R$502,156),"")</f>
        <v/>
      </c>
      <c r="J162" s="63">
        <f>IFERROR(INDEX('الموظفون'!$S$3:$S$502,156),"")</f>
        <v/>
      </c>
      <c r="K162" s="63">
        <f>IFERROR(INDEX('الموظفون'!$T$3:$T$502,156),"")</f>
        <v/>
      </c>
      <c r="L162" s="69">
        <f>IFERROR(IF(INDEX(الموظفون_الرقم,156)="","",INDEX(الموظفون_الاساسي,156)+INDEX(الموظفون_البدلات,156)),"")</f>
        <v/>
      </c>
    </row>
    <row r="163">
      <c r="A163" s="43">
        <f>IFERROR(INDEX('الموظفون'!$A$3:$A$502,157),"")</f>
        <v/>
      </c>
      <c r="B163" s="43">
        <f>IFERROR(INDEX('الموظفون'!$B$3:$B$502,157),"")</f>
        <v/>
      </c>
      <c r="C163" s="43">
        <f>IFERROR(INDEX('الموظفون'!$J$3:$J$502,157),"")</f>
        <v/>
      </c>
      <c r="D163" s="43">
        <f>IFERROR(INDEX('الموظفون'!$K$3:$K$502,157),"")</f>
        <v/>
      </c>
      <c r="E163" s="43">
        <f>IFERROR(INDEX('الموظفون'!$L$3:$L$502,157),"")</f>
        <v/>
      </c>
      <c r="F163" s="43">
        <f>IFERROR(INDEX('الموظفون'!$N$3:$N$502,157),"")</f>
        <v/>
      </c>
      <c r="G163" s="118">
        <f>IFERROR(INDEX('الموظفون'!$O$3:$O$502,157),"")</f>
        <v/>
      </c>
      <c r="H163" s="118">
        <f>IFERROR(INDEX('الموظفون'!$Q$3:$Q$502,157),"")</f>
        <v/>
      </c>
      <c r="I163" s="43">
        <f>IFERROR(INDEX('الموظفون'!$R$3:$R$502,157),"")</f>
        <v/>
      </c>
      <c r="J163" s="60">
        <f>IFERROR(INDEX('الموظفون'!$S$3:$S$502,157),"")</f>
        <v/>
      </c>
      <c r="K163" s="60">
        <f>IFERROR(INDEX('الموظفون'!$T$3:$T$502,157),"")</f>
        <v/>
      </c>
      <c r="L163" s="69">
        <f>IFERROR(IF(INDEX(الموظفون_الرقم,157)="","",INDEX(الموظفون_الاساسي,157)+INDEX(الموظفون_البدلات,157)),"")</f>
        <v/>
      </c>
    </row>
    <row r="164">
      <c r="A164" s="50">
        <f>IFERROR(INDEX('الموظفون'!$A$3:$A$502,158),"")</f>
        <v/>
      </c>
      <c r="B164" s="50">
        <f>IFERROR(INDEX('الموظفون'!$B$3:$B$502,158),"")</f>
        <v/>
      </c>
      <c r="C164" s="50">
        <f>IFERROR(INDEX('الموظفون'!$J$3:$J$502,158),"")</f>
        <v/>
      </c>
      <c r="D164" s="50">
        <f>IFERROR(INDEX('الموظفون'!$K$3:$K$502,158),"")</f>
        <v/>
      </c>
      <c r="E164" s="50">
        <f>IFERROR(INDEX('الموظفون'!$L$3:$L$502,158),"")</f>
        <v/>
      </c>
      <c r="F164" s="50">
        <f>IFERROR(INDEX('الموظفون'!$N$3:$N$502,158),"")</f>
        <v/>
      </c>
      <c r="G164" s="119">
        <f>IFERROR(INDEX('الموظفون'!$O$3:$O$502,158),"")</f>
        <v/>
      </c>
      <c r="H164" s="119">
        <f>IFERROR(INDEX('الموظفون'!$Q$3:$Q$502,158),"")</f>
        <v/>
      </c>
      <c r="I164" s="50">
        <f>IFERROR(INDEX('الموظفون'!$R$3:$R$502,158),"")</f>
        <v/>
      </c>
      <c r="J164" s="63">
        <f>IFERROR(INDEX('الموظفون'!$S$3:$S$502,158),"")</f>
        <v/>
      </c>
      <c r="K164" s="63">
        <f>IFERROR(INDEX('الموظفون'!$T$3:$T$502,158),"")</f>
        <v/>
      </c>
      <c r="L164" s="69">
        <f>IFERROR(IF(INDEX(الموظفون_الرقم,158)="","",INDEX(الموظفون_الاساسي,158)+INDEX(الموظفون_البدلات,158)),"")</f>
        <v/>
      </c>
    </row>
    <row r="165">
      <c r="A165" s="43">
        <f>IFERROR(INDEX('الموظفون'!$A$3:$A$502,159),"")</f>
        <v/>
      </c>
      <c r="B165" s="43">
        <f>IFERROR(INDEX('الموظفون'!$B$3:$B$502,159),"")</f>
        <v/>
      </c>
      <c r="C165" s="43">
        <f>IFERROR(INDEX('الموظفون'!$J$3:$J$502,159),"")</f>
        <v/>
      </c>
      <c r="D165" s="43">
        <f>IFERROR(INDEX('الموظفون'!$K$3:$K$502,159),"")</f>
        <v/>
      </c>
      <c r="E165" s="43">
        <f>IFERROR(INDEX('الموظفون'!$L$3:$L$502,159),"")</f>
        <v/>
      </c>
      <c r="F165" s="43">
        <f>IFERROR(INDEX('الموظفون'!$N$3:$N$502,159),"")</f>
        <v/>
      </c>
      <c r="G165" s="118">
        <f>IFERROR(INDEX('الموظفون'!$O$3:$O$502,159),"")</f>
        <v/>
      </c>
      <c r="H165" s="118">
        <f>IFERROR(INDEX('الموظفون'!$Q$3:$Q$502,159),"")</f>
        <v/>
      </c>
      <c r="I165" s="43">
        <f>IFERROR(INDEX('الموظفون'!$R$3:$R$502,159),"")</f>
        <v/>
      </c>
      <c r="J165" s="60">
        <f>IFERROR(INDEX('الموظفون'!$S$3:$S$502,159),"")</f>
        <v/>
      </c>
      <c r="K165" s="60">
        <f>IFERROR(INDEX('الموظفون'!$T$3:$T$502,159),"")</f>
        <v/>
      </c>
      <c r="L165" s="69">
        <f>IFERROR(IF(INDEX(الموظفون_الرقم,159)="","",INDEX(الموظفون_الاساسي,159)+INDEX(الموظفون_البدلات,159)),"")</f>
        <v/>
      </c>
    </row>
    <row r="166">
      <c r="A166" s="50">
        <f>IFERROR(INDEX('الموظفون'!$A$3:$A$502,160),"")</f>
        <v/>
      </c>
      <c r="B166" s="50">
        <f>IFERROR(INDEX('الموظفون'!$B$3:$B$502,160),"")</f>
        <v/>
      </c>
      <c r="C166" s="50">
        <f>IFERROR(INDEX('الموظفون'!$J$3:$J$502,160),"")</f>
        <v/>
      </c>
      <c r="D166" s="50">
        <f>IFERROR(INDEX('الموظفون'!$K$3:$K$502,160),"")</f>
        <v/>
      </c>
      <c r="E166" s="50">
        <f>IFERROR(INDEX('الموظفون'!$L$3:$L$502,160),"")</f>
        <v/>
      </c>
      <c r="F166" s="50">
        <f>IFERROR(INDEX('الموظفون'!$N$3:$N$502,160),"")</f>
        <v/>
      </c>
      <c r="G166" s="119">
        <f>IFERROR(INDEX('الموظفون'!$O$3:$O$502,160),"")</f>
        <v/>
      </c>
      <c r="H166" s="119">
        <f>IFERROR(INDEX('الموظفون'!$Q$3:$Q$502,160),"")</f>
        <v/>
      </c>
      <c r="I166" s="50">
        <f>IFERROR(INDEX('الموظفون'!$R$3:$R$502,160),"")</f>
        <v/>
      </c>
      <c r="J166" s="63">
        <f>IFERROR(INDEX('الموظفون'!$S$3:$S$502,160),"")</f>
        <v/>
      </c>
      <c r="K166" s="63">
        <f>IFERROR(INDEX('الموظفون'!$T$3:$T$502,160),"")</f>
        <v/>
      </c>
      <c r="L166" s="69">
        <f>IFERROR(IF(INDEX(الموظفون_الرقم,160)="","",INDEX(الموظفون_الاساسي,160)+INDEX(الموظفون_البدلات,160)),"")</f>
        <v/>
      </c>
    </row>
    <row r="167">
      <c r="A167" s="43">
        <f>IFERROR(INDEX('الموظفون'!$A$3:$A$502,161),"")</f>
        <v/>
      </c>
      <c r="B167" s="43">
        <f>IFERROR(INDEX('الموظفون'!$B$3:$B$502,161),"")</f>
        <v/>
      </c>
      <c r="C167" s="43">
        <f>IFERROR(INDEX('الموظفون'!$J$3:$J$502,161),"")</f>
        <v/>
      </c>
      <c r="D167" s="43">
        <f>IFERROR(INDEX('الموظفون'!$K$3:$K$502,161),"")</f>
        <v/>
      </c>
      <c r="E167" s="43">
        <f>IFERROR(INDEX('الموظفون'!$L$3:$L$502,161),"")</f>
        <v/>
      </c>
      <c r="F167" s="43">
        <f>IFERROR(INDEX('الموظفون'!$N$3:$N$502,161),"")</f>
        <v/>
      </c>
      <c r="G167" s="118">
        <f>IFERROR(INDEX('الموظفون'!$O$3:$O$502,161),"")</f>
        <v/>
      </c>
      <c r="H167" s="118">
        <f>IFERROR(INDEX('الموظفون'!$Q$3:$Q$502,161),"")</f>
        <v/>
      </c>
      <c r="I167" s="43">
        <f>IFERROR(INDEX('الموظفون'!$R$3:$R$502,161),"")</f>
        <v/>
      </c>
      <c r="J167" s="60">
        <f>IFERROR(INDEX('الموظفون'!$S$3:$S$502,161),"")</f>
        <v/>
      </c>
      <c r="K167" s="60">
        <f>IFERROR(INDEX('الموظفون'!$T$3:$T$502,161),"")</f>
        <v/>
      </c>
      <c r="L167" s="69">
        <f>IFERROR(IF(INDEX(الموظفون_الرقم,161)="","",INDEX(الموظفون_الاساسي,161)+INDEX(الموظفون_البدلات,161)),"")</f>
        <v/>
      </c>
    </row>
    <row r="168">
      <c r="A168" s="50">
        <f>IFERROR(INDEX('الموظفون'!$A$3:$A$502,162),"")</f>
        <v/>
      </c>
      <c r="B168" s="50">
        <f>IFERROR(INDEX('الموظفون'!$B$3:$B$502,162),"")</f>
        <v/>
      </c>
      <c r="C168" s="50">
        <f>IFERROR(INDEX('الموظفون'!$J$3:$J$502,162),"")</f>
        <v/>
      </c>
      <c r="D168" s="50">
        <f>IFERROR(INDEX('الموظفون'!$K$3:$K$502,162),"")</f>
        <v/>
      </c>
      <c r="E168" s="50">
        <f>IFERROR(INDEX('الموظفون'!$L$3:$L$502,162),"")</f>
        <v/>
      </c>
      <c r="F168" s="50">
        <f>IFERROR(INDEX('الموظفون'!$N$3:$N$502,162),"")</f>
        <v/>
      </c>
      <c r="G168" s="119">
        <f>IFERROR(INDEX('الموظفون'!$O$3:$O$502,162),"")</f>
        <v/>
      </c>
      <c r="H168" s="119">
        <f>IFERROR(INDEX('الموظفون'!$Q$3:$Q$502,162),"")</f>
        <v/>
      </c>
      <c r="I168" s="50">
        <f>IFERROR(INDEX('الموظفون'!$R$3:$R$502,162),"")</f>
        <v/>
      </c>
      <c r="J168" s="63">
        <f>IFERROR(INDEX('الموظفون'!$S$3:$S$502,162),"")</f>
        <v/>
      </c>
      <c r="K168" s="63">
        <f>IFERROR(INDEX('الموظفون'!$T$3:$T$502,162),"")</f>
        <v/>
      </c>
      <c r="L168" s="69">
        <f>IFERROR(IF(INDEX(الموظفون_الرقم,162)="","",INDEX(الموظفون_الاساسي,162)+INDEX(الموظفون_البدلات,162)),"")</f>
        <v/>
      </c>
    </row>
    <row r="169">
      <c r="A169" s="43">
        <f>IFERROR(INDEX('الموظفون'!$A$3:$A$502,163),"")</f>
        <v/>
      </c>
      <c r="B169" s="43">
        <f>IFERROR(INDEX('الموظفون'!$B$3:$B$502,163),"")</f>
        <v/>
      </c>
      <c r="C169" s="43">
        <f>IFERROR(INDEX('الموظفون'!$J$3:$J$502,163),"")</f>
        <v/>
      </c>
      <c r="D169" s="43">
        <f>IFERROR(INDEX('الموظفون'!$K$3:$K$502,163),"")</f>
        <v/>
      </c>
      <c r="E169" s="43">
        <f>IFERROR(INDEX('الموظفون'!$L$3:$L$502,163),"")</f>
        <v/>
      </c>
      <c r="F169" s="43">
        <f>IFERROR(INDEX('الموظفون'!$N$3:$N$502,163),"")</f>
        <v/>
      </c>
      <c r="G169" s="118">
        <f>IFERROR(INDEX('الموظفون'!$O$3:$O$502,163),"")</f>
        <v/>
      </c>
      <c r="H169" s="118">
        <f>IFERROR(INDEX('الموظفون'!$Q$3:$Q$502,163),"")</f>
        <v/>
      </c>
      <c r="I169" s="43">
        <f>IFERROR(INDEX('الموظفون'!$R$3:$R$502,163),"")</f>
        <v/>
      </c>
      <c r="J169" s="60">
        <f>IFERROR(INDEX('الموظفون'!$S$3:$S$502,163),"")</f>
        <v/>
      </c>
      <c r="K169" s="60">
        <f>IFERROR(INDEX('الموظفون'!$T$3:$T$502,163),"")</f>
        <v/>
      </c>
      <c r="L169" s="69">
        <f>IFERROR(IF(INDEX(الموظفون_الرقم,163)="","",INDEX(الموظفون_الاساسي,163)+INDEX(الموظفون_البدلات,163)),"")</f>
        <v/>
      </c>
    </row>
    <row r="170">
      <c r="A170" s="50">
        <f>IFERROR(INDEX('الموظفون'!$A$3:$A$502,164),"")</f>
        <v/>
      </c>
      <c r="B170" s="50">
        <f>IFERROR(INDEX('الموظفون'!$B$3:$B$502,164),"")</f>
        <v/>
      </c>
      <c r="C170" s="50">
        <f>IFERROR(INDEX('الموظفون'!$J$3:$J$502,164),"")</f>
        <v/>
      </c>
      <c r="D170" s="50">
        <f>IFERROR(INDEX('الموظفون'!$K$3:$K$502,164),"")</f>
        <v/>
      </c>
      <c r="E170" s="50">
        <f>IFERROR(INDEX('الموظفون'!$L$3:$L$502,164),"")</f>
        <v/>
      </c>
      <c r="F170" s="50">
        <f>IFERROR(INDEX('الموظفون'!$N$3:$N$502,164),"")</f>
        <v/>
      </c>
      <c r="G170" s="119">
        <f>IFERROR(INDEX('الموظفون'!$O$3:$O$502,164),"")</f>
        <v/>
      </c>
      <c r="H170" s="119">
        <f>IFERROR(INDEX('الموظفون'!$Q$3:$Q$502,164),"")</f>
        <v/>
      </c>
      <c r="I170" s="50">
        <f>IFERROR(INDEX('الموظفون'!$R$3:$R$502,164),"")</f>
        <v/>
      </c>
      <c r="J170" s="63">
        <f>IFERROR(INDEX('الموظفون'!$S$3:$S$502,164),"")</f>
        <v/>
      </c>
      <c r="K170" s="63">
        <f>IFERROR(INDEX('الموظفون'!$T$3:$T$502,164),"")</f>
        <v/>
      </c>
      <c r="L170" s="69">
        <f>IFERROR(IF(INDEX(الموظفون_الرقم,164)="","",INDEX(الموظفون_الاساسي,164)+INDEX(الموظفون_البدلات,164)),"")</f>
        <v/>
      </c>
    </row>
    <row r="171">
      <c r="A171" s="43">
        <f>IFERROR(INDEX('الموظفون'!$A$3:$A$502,165),"")</f>
        <v/>
      </c>
      <c r="B171" s="43">
        <f>IFERROR(INDEX('الموظفون'!$B$3:$B$502,165),"")</f>
        <v/>
      </c>
      <c r="C171" s="43">
        <f>IFERROR(INDEX('الموظفون'!$J$3:$J$502,165),"")</f>
        <v/>
      </c>
      <c r="D171" s="43">
        <f>IFERROR(INDEX('الموظفون'!$K$3:$K$502,165),"")</f>
        <v/>
      </c>
      <c r="E171" s="43">
        <f>IFERROR(INDEX('الموظفون'!$L$3:$L$502,165),"")</f>
        <v/>
      </c>
      <c r="F171" s="43">
        <f>IFERROR(INDEX('الموظفون'!$N$3:$N$502,165),"")</f>
        <v/>
      </c>
      <c r="G171" s="118">
        <f>IFERROR(INDEX('الموظفون'!$O$3:$O$502,165),"")</f>
        <v/>
      </c>
      <c r="H171" s="118">
        <f>IFERROR(INDEX('الموظفون'!$Q$3:$Q$502,165),"")</f>
        <v/>
      </c>
      <c r="I171" s="43">
        <f>IFERROR(INDEX('الموظفون'!$R$3:$R$502,165),"")</f>
        <v/>
      </c>
      <c r="J171" s="60">
        <f>IFERROR(INDEX('الموظفون'!$S$3:$S$502,165),"")</f>
        <v/>
      </c>
      <c r="K171" s="60">
        <f>IFERROR(INDEX('الموظفون'!$T$3:$T$502,165),"")</f>
        <v/>
      </c>
      <c r="L171" s="69">
        <f>IFERROR(IF(INDEX(الموظفون_الرقم,165)="","",INDEX(الموظفون_الاساسي,165)+INDEX(الموظفون_البدلات,165)),"")</f>
        <v/>
      </c>
    </row>
    <row r="172">
      <c r="A172" s="50">
        <f>IFERROR(INDEX('الموظفون'!$A$3:$A$502,166),"")</f>
        <v/>
      </c>
      <c r="B172" s="50">
        <f>IFERROR(INDEX('الموظفون'!$B$3:$B$502,166),"")</f>
        <v/>
      </c>
      <c r="C172" s="50">
        <f>IFERROR(INDEX('الموظفون'!$J$3:$J$502,166),"")</f>
        <v/>
      </c>
      <c r="D172" s="50">
        <f>IFERROR(INDEX('الموظفون'!$K$3:$K$502,166),"")</f>
        <v/>
      </c>
      <c r="E172" s="50">
        <f>IFERROR(INDEX('الموظفون'!$L$3:$L$502,166),"")</f>
        <v/>
      </c>
      <c r="F172" s="50">
        <f>IFERROR(INDEX('الموظفون'!$N$3:$N$502,166),"")</f>
        <v/>
      </c>
      <c r="G172" s="119">
        <f>IFERROR(INDEX('الموظفون'!$O$3:$O$502,166),"")</f>
        <v/>
      </c>
      <c r="H172" s="119">
        <f>IFERROR(INDEX('الموظفون'!$Q$3:$Q$502,166),"")</f>
        <v/>
      </c>
      <c r="I172" s="50">
        <f>IFERROR(INDEX('الموظفون'!$R$3:$R$502,166),"")</f>
        <v/>
      </c>
      <c r="J172" s="63">
        <f>IFERROR(INDEX('الموظفون'!$S$3:$S$502,166),"")</f>
        <v/>
      </c>
      <c r="K172" s="63">
        <f>IFERROR(INDEX('الموظفون'!$T$3:$T$502,166),"")</f>
        <v/>
      </c>
      <c r="L172" s="69">
        <f>IFERROR(IF(INDEX(الموظفون_الرقم,166)="","",INDEX(الموظفون_الاساسي,166)+INDEX(الموظفون_البدلات,166)),"")</f>
        <v/>
      </c>
    </row>
    <row r="173">
      <c r="A173" s="43">
        <f>IFERROR(INDEX('الموظفون'!$A$3:$A$502,167),"")</f>
        <v/>
      </c>
      <c r="B173" s="43">
        <f>IFERROR(INDEX('الموظفون'!$B$3:$B$502,167),"")</f>
        <v/>
      </c>
      <c r="C173" s="43">
        <f>IFERROR(INDEX('الموظفون'!$J$3:$J$502,167),"")</f>
        <v/>
      </c>
      <c r="D173" s="43">
        <f>IFERROR(INDEX('الموظفون'!$K$3:$K$502,167),"")</f>
        <v/>
      </c>
      <c r="E173" s="43">
        <f>IFERROR(INDEX('الموظفون'!$L$3:$L$502,167),"")</f>
        <v/>
      </c>
      <c r="F173" s="43">
        <f>IFERROR(INDEX('الموظفون'!$N$3:$N$502,167),"")</f>
        <v/>
      </c>
      <c r="G173" s="118">
        <f>IFERROR(INDEX('الموظفون'!$O$3:$O$502,167),"")</f>
        <v/>
      </c>
      <c r="H173" s="118">
        <f>IFERROR(INDEX('الموظفون'!$Q$3:$Q$502,167),"")</f>
        <v/>
      </c>
      <c r="I173" s="43">
        <f>IFERROR(INDEX('الموظفون'!$R$3:$R$502,167),"")</f>
        <v/>
      </c>
      <c r="J173" s="60">
        <f>IFERROR(INDEX('الموظفون'!$S$3:$S$502,167),"")</f>
        <v/>
      </c>
      <c r="K173" s="60">
        <f>IFERROR(INDEX('الموظفون'!$T$3:$T$502,167),"")</f>
        <v/>
      </c>
      <c r="L173" s="69">
        <f>IFERROR(IF(INDEX(الموظفون_الرقم,167)="","",INDEX(الموظفون_الاساسي,167)+INDEX(الموظفون_البدلات,167)),"")</f>
        <v/>
      </c>
    </row>
    <row r="174">
      <c r="A174" s="50">
        <f>IFERROR(INDEX('الموظفون'!$A$3:$A$502,168),"")</f>
        <v/>
      </c>
      <c r="B174" s="50">
        <f>IFERROR(INDEX('الموظفون'!$B$3:$B$502,168),"")</f>
        <v/>
      </c>
      <c r="C174" s="50">
        <f>IFERROR(INDEX('الموظفون'!$J$3:$J$502,168),"")</f>
        <v/>
      </c>
      <c r="D174" s="50">
        <f>IFERROR(INDEX('الموظفون'!$K$3:$K$502,168),"")</f>
        <v/>
      </c>
      <c r="E174" s="50">
        <f>IFERROR(INDEX('الموظفون'!$L$3:$L$502,168),"")</f>
        <v/>
      </c>
      <c r="F174" s="50">
        <f>IFERROR(INDEX('الموظفون'!$N$3:$N$502,168),"")</f>
        <v/>
      </c>
      <c r="G174" s="119">
        <f>IFERROR(INDEX('الموظفون'!$O$3:$O$502,168),"")</f>
        <v/>
      </c>
      <c r="H174" s="119">
        <f>IFERROR(INDEX('الموظفون'!$Q$3:$Q$502,168),"")</f>
        <v/>
      </c>
      <c r="I174" s="50">
        <f>IFERROR(INDEX('الموظفون'!$R$3:$R$502,168),"")</f>
        <v/>
      </c>
      <c r="J174" s="63">
        <f>IFERROR(INDEX('الموظفون'!$S$3:$S$502,168),"")</f>
        <v/>
      </c>
      <c r="K174" s="63">
        <f>IFERROR(INDEX('الموظفون'!$T$3:$T$502,168),"")</f>
        <v/>
      </c>
      <c r="L174" s="69">
        <f>IFERROR(IF(INDEX(الموظفون_الرقم,168)="","",INDEX(الموظفون_الاساسي,168)+INDEX(الموظفون_البدلات,168)),"")</f>
        <v/>
      </c>
    </row>
    <row r="175">
      <c r="A175" s="43">
        <f>IFERROR(INDEX('الموظفون'!$A$3:$A$502,169),"")</f>
        <v/>
      </c>
      <c r="B175" s="43">
        <f>IFERROR(INDEX('الموظفون'!$B$3:$B$502,169),"")</f>
        <v/>
      </c>
      <c r="C175" s="43">
        <f>IFERROR(INDEX('الموظفون'!$J$3:$J$502,169),"")</f>
        <v/>
      </c>
      <c r="D175" s="43">
        <f>IFERROR(INDEX('الموظفون'!$K$3:$K$502,169),"")</f>
        <v/>
      </c>
      <c r="E175" s="43">
        <f>IFERROR(INDEX('الموظفون'!$L$3:$L$502,169),"")</f>
        <v/>
      </c>
      <c r="F175" s="43">
        <f>IFERROR(INDEX('الموظفون'!$N$3:$N$502,169),"")</f>
        <v/>
      </c>
      <c r="G175" s="118">
        <f>IFERROR(INDEX('الموظفون'!$O$3:$O$502,169),"")</f>
        <v/>
      </c>
      <c r="H175" s="118">
        <f>IFERROR(INDEX('الموظفون'!$Q$3:$Q$502,169),"")</f>
        <v/>
      </c>
      <c r="I175" s="43">
        <f>IFERROR(INDEX('الموظفون'!$R$3:$R$502,169),"")</f>
        <v/>
      </c>
      <c r="J175" s="60">
        <f>IFERROR(INDEX('الموظفون'!$S$3:$S$502,169),"")</f>
        <v/>
      </c>
      <c r="K175" s="60">
        <f>IFERROR(INDEX('الموظفون'!$T$3:$T$502,169),"")</f>
        <v/>
      </c>
      <c r="L175" s="69">
        <f>IFERROR(IF(INDEX(الموظفون_الرقم,169)="","",INDEX(الموظفون_الاساسي,169)+INDEX(الموظفون_البدلات,169)),"")</f>
        <v/>
      </c>
    </row>
    <row r="176">
      <c r="A176" s="50">
        <f>IFERROR(INDEX('الموظفون'!$A$3:$A$502,170),"")</f>
        <v/>
      </c>
      <c r="B176" s="50">
        <f>IFERROR(INDEX('الموظفون'!$B$3:$B$502,170),"")</f>
        <v/>
      </c>
      <c r="C176" s="50">
        <f>IFERROR(INDEX('الموظفون'!$J$3:$J$502,170),"")</f>
        <v/>
      </c>
      <c r="D176" s="50">
        <f>IFERROR(INDEX('الموظفون'!$K$3:$K$502,170),"")</f>
        <v/>
      </c>
      <c r="E176" s="50">
        <f>IFERROR(INDEX('الموظفون'!$L$3:$L$502,170),"")</f>
        <v/>
      </c>
      <c r="F176" s="50">
        <f>IFERROR(INDEX('الموظفون'!$N$3:$N$502,170),"")</f>
        <v/>
      </c>
      <c r="G176" s="119">
        <f>IFERROR(INDEX('الموظفون'!$O$3:$O$502,170),"")</f>
        <v/>
      </c>
      <c r="H176" s="119">
        <f>IFERROR(INDEX('الموظفون'!$Q$3:$Q$502,170),"")</f>
        <v/>
      </c>
      <c r="I176" s="50">
        <f>IFERROR(INDEX('الموظفون'!$R$3:$R$502,170),"")</f>
        <v/>
      </c>
      <c r="J176" s="63">
        <f>IFERROR(INDEX('الموظفون'!$S$3:$S$502,170),"")</f>
        <v/>
      </c>
      <c r="K176" s="63">
        <f>IFERROR(INDEX('الموظفون'!$T$3:$T$502,170),"")</f>
        <v/>
      </c>
      <c r="L176" s="69">
        <f>IFERROR(IF(INDEX(الموظفون_الرقم,170)="","",INDEX(الموظفون_الاساسي,170)+INDEX(الموظفون_البدلات,170)),"")</f>
        <v/>
      </c>
    </row>
    <row r="177">
      <c r="A177" s="43">
        <f>IFERROR(INDEX('الموظفون'!$A$3:$A$502,171),"")</f>
        <v/>
      </c>
      <c r="B177" s="43">
        <f>IFERROR(INDEX('الموظفون'!$B$3:$B$502,171),"")</f>
        <v/>
      </c>
      <c r="C177" s="43">
        <f>IFERROR(INDEX('الموظفون'!$J$3:$J$502,171),"")</f>
        <v/>
      </c>
      <c r="D177" s="43">
        <f>IFERROR(INDEX('الموظفون'!$K$3:$K$502,171),"")</f>
        <v/>
      </c>
      <c r="E177" s="43">
        <f>IFERROR(INDEX('الموظفون'!$L$3:$L$502,171),"")</f>
        <v/>
      </c>
      <c r="F177" s="43">
        <f>IFERROR(INDEX('الموظفون'!$N$3:$N$502,171),"")</f>
        <v/>
      </c>
      <c r="G177" s="118">
        <f>IFERROR(INDEX('الموظفون'!$O$3:$O$502,171),"")</f>
        <v/>
      </c>
      <c r="H177" s="118">
        <f>IFERROR(INDEX('الموظفون'!$Q$3:$Q$502,171),"")</f>
        <v/>
      </c>
      <c r="I177" s="43">
        <f>IFERROR(INDEX('الموظفون'!$R$3:$R$502,171),"")</f>
        <v/>
      </c>
      <c r="J177" s="60">
        <f>IFERROR(INDEX('الموظفون'!$S$3:$S$502,171),"")</f>
        <v/>
      </c>
      <c r="K177" s="60">
        <f>IFERROR(INDEX('الموظفون'!$T$3:$T$502,171),"")</f>
        <v/>
      </c>
      <c r="L177" s="69">
        <f>IFERROR(IF(INDEX(الموظفون_الرقم,171)="","",INDEX(الموظفون_الاساسي,171)+INDEX(الموظفون_البدلات,171)),"")</f>
        <v/>
      </c>
    </row>
    <row r="178">
      <c r="A178" s="50">
        <f>IFERROR(INDEX('الموظفون'!$A$3:$A$502,172),"")</f>
        <v/>
      </c>
      <c r="B178" s="50">
        <f>IFERROR(INDEX('الموظفون'!$B$3:$B$502,172),"")</f>
        <v/>
      </c>
      <c r="C178" s="50">
        <f>IFERROR(INDEX('الموظفون'!$J$3:$J$502,172),"")</f>
        <v/>
      </c>
      <c r="D178" s="50">
        <f>IFERROR(INDEX('الموظفون'!$K$3:$K$502,172),"")</f>
        <v/>
      </c>
      <c r="E178" s="50">
        <f>IFERROR(INDEX('الموظفون'!$L$3:$L$502,172),"")</f>
        <v/>
      </c>
      <c r="F178" s="50">
        <f>IFERROR(INDEX('الموظفون'!$N$3:$N$502,172),"")</f>
        <v/>
      </c>
      <c r="G178" s="119">
        <f>IFERROR(INDEX('الموظفون'!$O$3:$O$502,172),"")</f>
        <v/>
      </c>
      <c r="H178" s="119">
        <f>IFERROR(INDEX('الموظفون'!$Q$3:$Q$502,172),"")</f>
        <v/>
      </c>
      <c r="I178" s="50">
        <f>IFERROR(INDEX('الموظفون'!$R$3:$R$502,172),"")</f>
        <v/>
      </c>
      <c r="J178" s="63">
        <f>IFERROR(INDEX('الموظفون'!$S$3:$S$502,172),"")</f>
        <v/>
      </c>
      <c r="K178" s="63">
        <f>IFERROR(INDEX('الموظفون'!$T$3:$T$502,172),"")</f>
        <v/>
      </c>
      <c r="L178" s="69">
        <f>IFERROR(IF(INDEX(الموظفون_الرقم,172)="","",INDEX(الموظفون_الاساسي,172)+INDEX(الموظفون_البدلات,172)),"")</f>
        <v/>
      </c>
    </row>
    <row r="179">
      <c r="A179" s="43">
        <f>IFERROR(INDEX('الموظفون'!$A$3:$A$502,173),"")</f>
        <v/>
      </c>
      <c r="B179" s="43">
        <f>IFERROR(INDEX('الموظفون'!$B$3:$B$502,173),"")</f>
        <v/>
      </c>
      <c r="C179" s="43">
        <f>IFERROR(INDEX('الموظفون'!$J$3:$J$502,173),"")</f>
        <v/>
      </c>
      <c r="D179" s="43">
        <f>IFERROR(INDEX('الموظفون'!$K$3:$K$502,173),"")</f>
        <v/>
      </c>
      <c r="E179" s="43">
        <f>IFERROR(INDEX('الموظفون'!$L$3:$L$502,173),"")</f>
        <v/>
      </c>
      <c r="F179" s="43">
        <f>IFERROR(INDEX('الموظفون'!$N$3:$N$502,173),"")</f>
        <v/>
      </c>
      <c r="G179" s="118">
        <f>IFERROR(INDEX('الموظفون'!$O$3:$O$502,173),"")</f>
        <v/>
      </c>
      <c r="H179" s="118">
        <f>IFERROR(INDEX('الموظفون'!$Q$3:$Q$502,173),"")</f>
        <v/>
      </c>
      <c r="I179" s="43">
        <f>IFERROR(INDEX('الموظفون'!$R$3:$R$502,173),"")</f>
        <v/>
      </c>
      <c r="J179" s="60">
        <f>IFERROR(INDEX('الموظفون'!$S$3:$S$502,173),"")</f>
        <v/>
      </c>
      <c r="K179" s="60">
        <f>IFERROR(INDEX('الموظفون'!$T$3:$T$502,173),"")</f>
        <v/>
      </c>
      <c r="L179" s="69">
        <f>IFERROR(IF(INDEX(الموظفون_الرقم,173)="","",INDEX(الموظفون_الاساسي,173)+INDEX(الموظفون_البدلات,173)),"")</f>
        <v/>
      </c>
    </row>
    <row r="180">
      <c r="A180" s="50">
        <f>IFERROR(INDEX('الموظفون'!$A$3:$A$502,174),"")</f>
        <v/>
      </c>
      <c r="B180" s="50">
        <f>IFERROR(INDEX('الموظفون'!$B$3:$B$502,174),"")</f>
        <v/>
      </c>
      <c r="C180" s="50">
        <f>IFERROR(INDEX('الموظفون'!$J$3:$J$502,174),"")</f>
        <v/>
      </c>
      <c r="D180" s="50">
        <f>IFERROR(INDEX('الموظفون'!$K$3:$K$502,174),"")</f>
        <v/>
      </c>
      <c r="E180" s="50">
        <f>IFERROR(INDEX('الموظفون'!$L$3:$L$502,174),"")</f>
        <v/>
      </c>
      <c r="F180" s="50">
        <f>IFERROR(INDEX('الموظفون'!$N$3:$N$502,174),"")</f>
        <v/>
      </c>
      <c r="G180" s="119">
        <f>IFERROR(INDEX('الموظفون'!$O$3:$O$502,174),"")</f>
        <v/>
      </c>
      <c r="H180" s="119">
        <f>IFERROR(INDEX('الموظفون'!$Q$3:$Q$502,174),"")</f>
        <v/>
      </c>
      <c r="I180" s="50">
        <f>IFERROR(INDEX('الموظفون'!$R$3:$R$502,174),"")</f>
        <v/>
      </c>
      <c r="J180" s="63">
        <f>IFERROR(INDEX('الموظفون'!$S$3:$S$502,174),"")</f>
        <v/>
      </c>
      <c r="K180" s="63">
        <f>IFERROR(INDEX('الموظفون'!$T$3:$T$502,174),"")</f>
        <v/>
      </c>
      <c r="L180" s="69">
        <f>IFERROR(IF(INDEX(الموظفون_الرقم,174)="","",INDEX(الموظفون_الاساسي,174)+INDEX(الموظفون_البدلات,174)),"")</f>
        <v/>
      </c>
    </row>
    <row r="181">
      <c r="A181" s="43">
        <f>IFERROR(INDEX('الموظفون'!$A$3:$A$502,175),"")</f>
        <v/>
      </c>
      <c r="B181" s="43">
        <f>IFERROR(INDEX('الموظفون'!$B$3:$B$502,175),"")</f>
        <v/>
      </c>
      <c r="C181" s="43">
        <f>IFERROR(INDEX('الموظفون'!$J$3:$J$502,175),"")</f>
        <v/>
      </c>
      <c r="D181" s="43">
        <f>IFERROR(INDEX('الموظفون'!$K$3:$K$502,175),"")</f>
        <v/>
      </c>
      <c r="E181" s="43">
        <f>IFERROR(INDEX('الموظفون'!$L$3:$L$502,175),"")</f>
        <v/>
      </c>
      <c r="F181" s="43">
        <f>IFERROR(INDEX('الموظفون'!$N$3:$N$502,175),"")</f>
        <v/>
      </c>
      <c r="G181" s="118">
        <f>IFERROR(INDEX('الموظفون'!$O$3:$O$502,175),"")</f>
        <v/>
      </c>
      <c r="H181" s="118">
        <f>IFERROR(INDEX('الموظفون'!$Q$3:$Q$502,175),"")</f>
        <v/>
      </c>
      <c r="I181" s="43">
        <f>IFERROR(INDEX('الموظفون'!$R$3:$R$502,175),"")</f>
        <v/>
      </c>
      <c r="J181" s="60">
        <f>IFERROR(INDEX('الموظفون'!$S$3:$S$502,175),"")</f>
        <v/>
      </c>
      <c r="K181" s="60">
        <f>IFERROR(INDEX('الموظفون'!$T$3:$T$502,175),"")</f>
        <v/>
      </c>
      <c r="L181" s="69">
        <f>IFERROR(IF(INDEX(الموظفون_الرقم,175)="","",INDEX(الموظفون_الاساسي,175)+INDEX(الموظفون_البدلات,175)),"")</f>
        <v/>
      </c>
    </row>
    <row r="182">
      <c r="A182" s="50">
        <f>IFERROR(INDEX('الموظفون'!$A$3:$A$502,176),"")</f>
        <v/>
      </c>
      <c r="B182" s="50">
        <f>IFERROR(INDEX('الموظفون'!$B$3:$B$502,176),"")</f>
        <v/>
      </c>
      <c r="C182" s="50">
        <f>IFERROR(INDEX('الموظفون'!$J$3:$J$502,176),"")</f>
        <v/>
      </c>
      <c r="D182" s="50">
        <f>IFERROR(INDEX('الموظفون'!$K$3:$K$502,176),"")</f>
        <v/>
      </c>
      <c r="E182" s="50">
        <f>IFERROR(INDEX('الموظفون'!$L$3:$L$502,176),"")</f>
        <v/>
      </c>
      <c r="F182" s="50">
        <f>IFERROR(INDEX('الموظفون'!$N$3:$N$502,176),"")</f>
        <v/>
      </c>
      <c r="G182" s="119">
        <f>IFERROR(INDEX('الموظفون'!$O$3:$O$502,176),"")</f>
        <v/>
      </c>
      <c r="H182" s="119">
        <f>IFERROR(INDEX('الموظفون'!$Q$3:$Q$502,176),"")</f>
        <v/>
      </c>
      <c r="I182" s="50">
        <f>IFERROR(INDEX('الموظفون'!$R$3:$R$502,176),"")</f>
        <v/>
      </c>
      <c r="J182" s="63">
        <f>IFERROR(INDEX('الموظفون'!$S$3:$S$502,176),"")</f>
        <v/>
      </c>
      <c r="K182" s="63">
        <f>IFERROR(INDEX('الموظفون'!$T$3:$T$502,176),"")</f>
        <v/>
      </c>
      <c r="L182" s="69">
        <f>IFERROR(IF(INDEX(الموظفون_الرقم,176)="","",INDEX(الموظفون_الاساسي,176)+INDEX(الموظفون_البدلات,176)),"")</f>
        <v/>
      </c>
    </row>
    <row r="183">
      <c r="A183" s="43">
        <f>IFERROR(INDEX('الموظفون'!$A$3:$A$502,177),"")</f>
        <v/>
      </c>
      <c r="B183" s="43">
        <f>IFERROR(INDEX('الموظفون'!$B$3:$B$502,177),"")</f>
        <v/>
      </c>
      <c r="C183" s="43">
        <f>IFERROR(INDEX('الموظفون'!$J$3:$J$502,177),"")</f>
        <v/>
      </c>
      <c r="D183" s="43">
        <f>IFERROR(INDEX('الموظفون'!$K$3:$K$502,177),"")</f>
        <v/>
      </c>
      <c r="E183" s="43">
        <f>IFERROR(INDEX('الموظفون'!$L$3:$L$502,177),"")</f>
        <v/>
      </c>
      <c r="F183" s="43">
        <f>IFERROR(INDEX('الموظفون'!$N$3:$N$502,177),"")</f>
        <v/>
      </c>
      <c r="G183" s="118">
        <f>IFERROR(INDEX('الموظفون'!$O$3:$O$502,177),"")</f>
        <v/>
      </c>
      <c r="H183" s="118">
        <f>IFERROR(INDEX('الموظفون'!$Q$3:$Q$502,177),"")</f>
        <v/>
      </c>
      <c r="I183" s="43">
        <f>IFERROR(INDEX('الموظفون'!$R$3:$R$502,177),"")</f>
        <v/>
      </c>
      <c r="J183" s="60">
        <f>IFERROR(INDEX('الموظفون'!$S$3:$S$502,177),"")</f>
        <v/>
      </c>
      <c r="K183" s="60">
        <f>IFERROR(INDEX('الموظفون'!$T$3:$T$502,177),"")</f>
        <v/>
      </c>
      <c r="L183" s="69">
        <f>IFERROR(IF(INDEX(الموظفون_الرقم,177)="","",INDEX(الموظفون_الاساسي,177)+INDEX(الموظفون_البدلات,177)),"")</f>
        <v/>
      </c>
    </row>
    <row r="184">
      <c r="A184" s="50">
        <f>IFERROR(INDEX('الموظفون'!$A$3:$A$502,178),"")</f>
        <v/>
      </c>
      <c r="B184" s="50">
        <f>IFERROR(INDEX('الموظفون'!$B$3:$B$502,178),"")</f>
        <v/>
      </c>
      <c r="C184" s="50">
        <f>IFERROR(INDEX('الموظفون'!$J$3:$J$502,178),"")</f>
        <v/>
      </c>
      <c r="D184" s="50">
        <f>IFERROR(INDEX('الموظفون'!$K$3:$K$502,178),"")</f>
        <v/>
      </c>
      <c r="E184" s="50">
        <f>IFERROR(INDEX('الموظفون'!$L$3:$L$502,178),"")</f>
        <v/>
      </c>
      <c r="F184" s="50">
        <f>IFERROR(INDEX('الموظفون'!$N$3:$N$502,178),"")</f>
        <v/>
      </c>
      <c r="G184" s="119">
        <f>IFERROR(INDEX('الموظفون'!$O$3:$O$502,178),"")</f>
        <v/>
      </c>
      <c r="H184" s="119">
        <f>IFERROR(INDEX('الموظفون'!$Q$3:$Q$502,178),"")</f>
        <v/>
      </c>
      <c r="I184" s="50">
        <f>IFERROR(INDEX('الموظفون'!$R$3:$R$502,178),"")</f>
        <v/>
      </c>
      <c r="J184" s="63">
        <f>IFERROR(INDEX('الموظفون'!$S$3:$S$502,178),"")</f>
        <v/>
      </c>
      <c r="K184" s="63">
        <f>IFERROR(INDEX('الموظفون'!$T$3:$T$502,178),"")</f>
        <v/>
      </c>
      <c r="L184" s="69">
        <f>IFERROR(IF(INDEX(الموظفون_الرقم,178)="","",INDEX(الموظفون_الاساسي,178)+INDEX(الموظفون_البدلات,178)),"")</f>
        <v/>
      </c>
    </row>
    <row r="185">
      <c r="A185" s="43">
        <f>IFERROR(INDEX('الموظفون'!$A$3:$A$502,179),"")</f>
        <v/>
      </c>
      <c r="B185" s="43">
        <f>IFERROR(INDEX('الموظفون'!$B$3:$B$502,179),"")</f>
        <v/>
      </c>
      <c r="C185" s="43">
        <f>IFERROR(INDEX('الموظفون'!$J$3:$J$502,179),"")</f>
        <v/>
      </c>
      <c r="D185" s="43">
        <f>IFERROR(INDEX('الموظفون'!$K$3:$K$502,179),"")</f>
        <v/>
      </c>
      <c r="E185" s="43">
        <f>IFERROR(INDEX('الموظفون'!$L$3:$L$502,179),"")</f>
        <v/>
      </c>
      <c r="F185" s="43">
        <f>IFERROR(INDEX('الموظفون'!$N$3:$N$502,179),"")</f>
        <v/>
      </c>
      <c r="G185" s="118">
        <f>IFERROR(INDEX('الموظفون'!$O$3:$O$502,179),"")</f>
        <v/>
      </c>
      <c r="H185" s="118">
        <f>IFERROR(INDEX('الموظفون'!$Q$3:$Q$502,179),"")</f>
        <v/>
      </c>
      <c r="I185" s="43">
        <f>IFERROR(INDEX('الموظفون'!$R$3:$R$502,179),"")</f>
        <v/>
      </c>
      <c r="J185" s="60">
        <f>IFERROR(INDEX('الموظفون'!$S$3:$S$502,179),"")</f>
        <v/>
      </c>
      <c r="K185" s="60">
        <f>IFERROR(INDEX('الموظفون'!$T$3:$T$502,179),"")</f>
        <v/>
      </c>
      <c r="L185" s="69">
        <f>IFERROR(IF(INDEX(الموظفون_الرقم,179)="","",INDEX(الموظفون_الاساسي,179)+INDEX(الموظفون_البدلات,179)),"")</f>
        <v/>
      </c>
    </row>
    <row r="186">
      <c r="A186" s="50">
        <f>IFERROR(INDEX('الموظفون'!$A$3:$A$502,180),"")</f>
        <v/>
      </c>
      <c r="B186" s="50">
        <f>IFERROR(INDEX('الموظفون'!$B$3:$B$502,180),"")</f>
        <v/>
      </c>
      <c r="C186" s="50">
        <f>IFERROR(INDEX('الموظفون'!$J$3:$J$502,180),"")</f>
        <v/>
      </c>
      <c r="D186" s="50">
        <f>IFERROR(INDEX('الموظفون'!$K$3:$K$502,180),"")</f>
        <v/>
      </c>
      <c r="E186" s="50">
        <f>IFERROR(INDEX('الموظفون'!$L$3:$L$502,180),"")</f>
        <v/>
      </c>
      <c r="F186" s="50">
        <f>IFERROR(INDEX('الموظفون'!$N$3:$N$502,180),"")</f>
        <v/>
      </c>
      <c r="G186" s="119">
        <f>IFERROR(INDEX('الموظفون'!$O$3:$O$502,180),"")</f>
        <v/>
      </c>
      <c r="H186" s="119">
        <f>IFERROR(INDEX('الموظفون'!$Q$3:$Q$502,180),"")</f>
        <v/>
      </c>
      <c r="I186" s="50">
        <f>IFERROR(INDEX('الموظفون'!$R$3:$R$502,180),"")</f>
        <v/>
      </c>
      <c r="J186" s="63">
        <f>IFERROR(INDEX('الموظفون'!$S$3:$S$502,180),"")</f>
        <v/>
      </c>
      <c r="K186" s="63">
        <f>IFERROR(INDEX('الموظفون'!$T$3:$T$502,180),"")</f>
        <v/>
      </c>
      <c r="L186" s="69">
        <f>IFERROR(IF(INDEX(الموظفون_الرقم,180)="","",INDEX(الموظفون_الاساسي,180)+INDEX(الموظفون_البدلات,180)),"")</f>
        <v/>
      </c>
    </row>
    <row r="187">
      <c r="A187" s="43">
        <f>IFERROR(INDEX('الموظفون'!$A$3:$A$502,181),"")</f>
        <v/>
      </c>
      <c r="B187" s="43">
        <f>IFERROR(INDEX('الموظفون'!$B$3:$B$502,181),"")</f>
        <v/>
      </c>
      <c r="C187" s="43">
        <f>IFERROR(INDEX('الموظفون'!$J$3:$J$502,181),"")</f>
        <v/>
      </c>
      <c r="D187" s="43">
        <f>IFERROR(INDEX('الموظفون'!$K$3:$K$502,181),"")</f>
        <v/>
      </c>
      <c r="E187" s="43">
        <f>IFERROR(INDEX('الموظفون'!$L$3:$L$502,181),"")</f>
        <v/>
      </c>
      <c r="F187" s="43">
        <f>IFERROR(INDEX('الموظفون'!$N$3:$N$502,181),"")</f>
        <v/>
      </c>
      <c r="G187" s="118">
        <f>IFERROR(INDEX('الموظفون'!$O$3:$O$502,181),"")</f>
        <v/>
      </c>
      <c r="H187" s="118">
        <f>IFERROR(INDEX('الموظفون'!$Q$3:$Q$502,181),"")</f>
        <v/>
      </c>
      <c r="I187" s="43">
        <f>IFERROR(INDEX('الموظفون'!$R$3:$R$502,181),"")</f>
        <v/>
      </c>
      <c r="J187" s="60">
        <f>IFERROR(INDEX('الموظفون'!$S$3:$S$502,181),"")</f>
        <v/>
      </c>
      <c r="K187" s="60">
        <f>IFERROR(INDEX('الموظفون'!$T$3:$T$502,181),"")</f>
        <v/>
      </c>
      <c r="L187" s="69">
        <f>IFERROR(IF(INDEX(الموظفون_الرقم,181)="","",INDEX(الموظفون_الاساسي,181)+INDEX(الموظفون_البدلات,181)),"")</f>
        <v/>
      </c>
    </row>
    <row r="188">
      <c r="A188" s="50">
        <f>IFERROR(INDEX('الموظفون'!$A$3:$A$502,182),"")</f>
        <v/>
      </c>
      <c r="B188" s="50">
        <f>IFERROR(INDEX('الموظفون'!$B$3:$B$502,182),"")</f>
        <v/>
      </c>
      <c r="C188" s="50">
        <f>IFERROR(INDEX('الموظفون'!$J$3:$J$502,182),"")</f>
        <v/>
      </c>
      <c r="D188" s="50">
        <f>IFERROR(INDEX('الموظفون'!$K$3:$K$502,182),"")</f>
        <v/>
      </c>
      <c r="E188" s="50">
        <f>IFERROR(INDEX('الموظفون'!$L$3:$L$502,182),"")</f>
        <v/>
      </c>
      <c r="F188" s="50">
        <f>IFERROR(INDEX('الموظفون'!$N$3:$N$502,182),"")</f>
        <v/>
      </c>
      <c r="G188" s="119">
        <f>IFERROR(INDEX('الموظفون'!$O$3:$O$502,182),"")</f>
        <v/>
      </c>
      <c r="H188" s="119">
        <f>IFERROR(INDEX('الموظفون'!$Q$3:$Q$502,182),"")</f>
        <v/>
      </c>
      <c r="I188" s="50">
        <f>IFERROR(INDEX('الموظفون'!$R$3:$R$502,182),"")</f>
        <v/>
      </c>
      <c r="J188" s="63">
        <f>IFERROR(INDEX('الموظفون'!$S$3:$S$502,182),"")</f>
        <v/>
      </c>
      <c r="K188" s="63">
        <f>IFERROR(INDEX('الموظفون'!$T$3:$T$502,182),"")</f>
        <v/>
      </c>
      <c r="L188" s="69">
        <f>IFERROR(IF(INDEX(الموظفون_الرقم,182)="","",INDEX(الموظفون_الاساسي,182)+INDEX(الموظفون_البدلات,182)),"")</f>
        <v/>
      </c>
    </row>
    <row r="189">
      <c r="A189" s="43">
        <f>IFERROR(INDEX('الموظفون'!$A$3:$A$502,183),"")</f>
        <v/>
      </c>
      <c r="B189" s="43">
        <f>IFERROR(INDEX('الموظفون'!$B$3:$B$502,183),"")</f>
        <v/>
      </c>
      <c r="C189" s="43">
        <f>IFERROR(INDEX('الموظفون'!$J$3:$J$502,183),"")</f>
        <v/>
      </c>
      <c r="D189" s="43">
        <f>IFERROR(INDEX('الموظفون'!$K$3:$K$502,183),"")</f>
        <v/>
      </c>
      <c r="E189" s="43">
        <f>IFERROR(INDEX('الموظفون'!$L$3:$L$502,183),"")</f>
        <v/>
      </c>
      <c r="F189" s="43">
        <f>IFERROR(INDEX('الموظفون'!$N$3:$N$502,183),"")</f>
        <v/>
      </c>
      <c r="G189" s="118">
        <f>IFERROR(INDEX('الموظفون'!$O$3:$O$502,183),"")</f>
        <v/>
      </c>
      <c r="H189" s="118">
        <f>IFERROR(INDEX('الموظفون'!$Q$3:$Q$502,183),"")</f>
        <v/>
      </c>
      <c r="I189" s="43">
        <f>IFERROR(INDEX('الموظفون'!$R$3:$R$502,183),"")</f>
        <v/>
      </c>
      <c r="J189" s="60">
        <f>IFERROR(INDEX('الموظفون'!$S$3:$S$502,183),"")</f>
        <v/>
      </c>
      <c r="K189" s="60">
        <f>IFERROR(INDEX('الموظفون'!$T$3:$T$502,183),"")</f>
        <v/>
      </c>
      <c r="L189" s="69">
        <f>IFERROR(IF(INDEX(الموظفون_الرقم,183)="","",INDEX(الموظفون_الاساسي,183)+INDEX(الموظفون_البدلات,183)),"")</f>
        <v/>
      </c>
    </row>
    <row r="190">
      <c r="A190" s="50">
        <f>IFERROR(INDEX('الموظفون'!$A$3:$A$502,184),"")</f>
        <v/>
      </c>
      <c r="B190" s="50">
        <f>IFERROR(INDEX('الموظفون'!$B$3:$B$502,184),"")</f>
        <v/>
      </c>
      <c r="C190" s="50">
        <f>IFERROR(INDEX('الموظفون'!$J$3:$J$502,184),"")</f>
        <v/>
      </c>
      <c r="D190" s="50">
        <f>IFERROR(INDEX('الموظفون'!$K$3:$K$502,184),"")</f>
        <v/>
      </c>
      <c r="E190" s="50">
        <f>IFERROR(INDEX('الموظفون'!$L$3:$L$502,184),"")</f>
        <v/>
      </c>
      <c r="F190" s="50">
        <f>IFERROR(INDEX('الموظفون'!$N$3:$N$502,184),"")</f>
        <v/>
      </c>
      <c r="G190" s="119">
        <f>IFERROR(INDEX('الموظفون'!$O$3:$O$502,184),"")</f>
        <v/>
      </c>
      <c r="H190" s="119">
        <f>IFERROR(INDEX('الموظفون'!$Q$3:$Q$502,184),"")</f>
        <v/>
      </c>
      <c r="I190" s="50">
        <f>IFERROR(INDEX('الموظفون'!$R$3:$R$502,184),"")</f>
        <v/>
      </c>
      <c r="J190" s="63">
        <f>IFERROR(INDEX('الموظفون'!$S$3:$S$502,184),"")</f>
        <v/>
      </c>
      <c r="K190" s="63">
        <f>IFERROR(INDEX('الموظفون'!$T$3:$T$502,184),"")</f>
        <v/>
      </c>
      <c r="L190" s="69">
        <f>IFERROR(IF(INDEX(الموظفون_الرقم,184)="","",INDEX(الموظفون_الاساسي,184)+INDEX(الموظفون_البدلات,184)),"")</f>
        <v/>
      </c>
    </row>
    <row r="191">
      <c r="A191" s="43">
        <f>IFERROR(INDEX('الموظفون'!$A$3:$A$502,185),"")</f>
        <v/>
      </c>
      <c r="B191" s="43">
        <f>IFERROR(INDEX('الموظفون'!$B$3:$B$502,185),"")</f>
        <v/>
      </c>
      <c r="C191" s="43">
        <f>IFERROR(INDEX('الموظفون'!$J$3:$J$502,185),"")</f>
        <v/>
      </c>
      <c r="D191" s="43">
        <f>IFERROR(INDEX('الموظفون'!$K$3:$K$502,185),"")</f>
        <v/>
      </c>
      <c r="E191" s="43">
        <f>IFERROR(INDEX('الموظفون'!$L$3:$L$502,185),"")</f>
        <v/>
      </c>
      <c r="F191" s="43">
        <f>IFERROR(INDEX('الموظفون'!$N$3:$N$502,185),"")</f>
        <v/>
      </c>
      <c r="G191" s="118">
        <f>IFERROR(INDEX('الموظفون'!$O$3:$O$502,185),"")</f>
        <v/>
      </c>
      <c r="H191" s="118">
        <f>IFERROR(INDEX('الموظفون'!$Q$3:$Q$502,185),"")</f>
        <v/>
      </c>
      <c r="I191" s="43">
        <f>IFERROR(INDEX('الموظفون'!$R$3:$R$502,185),"")</f>
        <v/>
      </c>
      <c r="J191" s="60">
        <f>IFERROR(INDEX('الموظفون'!$S$3:$S$502,185),"")</f>
        <v/>
      </c>
      <c r="K191" s="60">
        <f>IFERROR(INDEX('الموظفون'!$T$3:$T$502,185),"")</f>
        <v/>
      </c>
      <c r="L191" s="69">
        <f>IFERROR(IF(INDEX(الموظفون_الرقم,185)="","",INDEX(الموظفون_الاساسي,185)+INDEX(الموظفون_البدلات,185)),"")</f>
        <v/>
      </c>
    </row>
    <row r="192">
      <c r="A192" s="50">
        <f>IFERROR(INDEX('الموظفون'!$A$3:$A$502,186),"")</f>
        <v/>
      </c>
      <c r="B192" s="50">
        <f>IFERROR(INDEX('الموظفون'!$B$3:$B$502,186),"")</f>
        <v/>
      </c>
      <c r="C192" s="50">
        <f>IFERROR(INDEX('الموظفون'!$J$3:$J$502,186),"")</f>
        <v/>
      </c>
      <c r="D192" s="50">
        <f>IFERROR(INDEX('الموظفون'!$K$3:$K$502,186),"")</f>
        <v/>
      </c>
      <c r="E192" s="50">
        <f>IFERROR(INDEX('الموظفون'!$L$3:$L$502,186),"")</f>
        <v/>
      </c>
      <c r="F192" s="50">
        <f>IFERROR(INDEX('الموظفون'!$N$3:$N$502,186),"")</f>
        <v/>
      </c>
      <c r="G192" s="119">
        <f>IFERROR(INDEX('الموظفون'!$O$3:$O$502,186),"")</f>
        <v/>
      </c>
      <c r="H192" s="119">
        <f>IFERROR(INDEX('الموظفون'!$Q$3:$Q$502,186),"")</f>
        <v/>
      </c>
      <c r="I192" s="50">
        <f>IFERROR(INDEX('الموظفون'!$R$3:$R$502,186),"")</f>
        <v/>
      </c>
      <c r="J192" s="63">
        <f>IFERROR(INDEX('الموظفون'!$S$3:$S$502,186),"")</f>
        <v/>
      </c>
      <c r="K192" s="63">
        <f>IFERROR(INDEX('الموظفون'!$T$3:$T$502,186),"")</f>
        <v/>
      </c>
      <c r="L192" s="69">
        <f>IFERROR(IF(INDEX(الموظفون_الرقم,186)="","",INDEX(الموظفون_الاساسي,186)+INDEX(الموظفون_البدلات,186)),"")</f>
        <v/>
      </c>
    </row>
    <row r="193">
      <c r="A193" s="43">
        <f>IFERROR(INDEX('الموظفون'!$A$3:$A$502,187),"")</f>
        <v/>
      </c>
      <c r="B193" s="43">
        <f>IFERROR(INDEX('الموظفون'!$B$3:$B$502,187),"")</f>
        <v/>
      </c>
      <c r="C193" s="43">
        <f>IFERROR(INDEX('الموظفون'!$J$3:$J$502,187),"")</f>
        <v/>
      </c>
      <c r="D193" s="43">
        <f>IFERROR(INDEX('الموظفون'!$K$3:$K$502,187),"")</f>
        <v/>
      </c>
      <c r="E193" s="43">
        <f>IFERROR(INDEX('الموظفون'!$L$3:$L$502,187),"")</f>
        <v/>
      </c>
      <c r="F193" s="43">
        <f>IFERROR(INDEX('الموظفون'!$N$3:$N$502,187),"")</f>
        <v/>
      </c>
      <c r="G193" s="118">
        <f>IFERROR(INDEX('الموظفون'!$O$3:$O$502,187),"")</f>
        <v/>
      </c>
      <c r="H193" s="118">
        <f>IFERROR(INDEX('الموظفون'!$Q$3:$Q$502,187),"")</f>
        <v/>
      </c>
      <c r="I193" s="43">
        <f>IFERROR(INDEX('الموظفون'!$R$3:$R$502,187),"")</f>
        <v/>
      </c>
      <c r="J193" s="60">
        <f>IFERROR(INDEX('الموظفون'!$S$3:$S$502,187),"")</f>
        <v/>
      </c>
      <c r="K193" s="60">
        <f>IFERROR(INDEX('الموظفون'!$T$3:$T$502,187),"")</f>
        <v/>
      </c>
      <c r="L193" s="69">
        <f>IFERROR(IF(INDEX(الموظفون_الرقم,187)="","",INDEX(الموظفون_الاساسي,187)+INDEX(الموظفون_البدلات,187)),"")</f>
        <v/>
      </c>
    </row>
    <row r="194">
      <c r="A194" s="50">
        <f>IFERROR(INDEX('الموظفون'!$A$3:$A$502,188),"")</f>
        <v/>
      </c>
      <c r="B194" s="50">
        <f>IFERROR(INDEX('الموظفون'!$B$3:$B$502,188),"")</f>
        <v/>
      </c>
      <c r="C194" s="50">
        <f>IFERROR(INDEX('الموظفون'!$J$3:$J$502,188),"")</f>
        <v/>
      </c>
      <c r="D194" s="50">
        <f>IFERROR(INDEX('الموظفون'!$K$3:$K$502,188),"")</f>
        <v/>
      </c>
      <c r="E194" s="50">
        <f>IFERROR(INDEX('الموظفون'!$L$3:$L$502,188),"")</f>
        <v/>
      </c>
      <c r="F194" s="50">
        <f>IFERROR(INDEX('الموظفون'!$N$3:$N$502,188),"")</f>
        <v/>
      </c>
      <c r="G194" s="119">
        <f>IFERROR(INDEX('الموظفون'!$O$3:$O$502,188),"")</f>
        <v/>
      </c>
      <c r="H194" s="119">
        <f>IFERROR(INDEX('الموظفون'!$Q$3:$Q$502,188),"")</f>
        <v/>
      </c>
      <c r="I194" s="50">
        <f>IFERROR(INDEX('الموظفون'!$R$3:$R$502,188),"")</f>
        <v/>
      </c>
      <c r="J194" s="63">
        <f>IFERROR(INDEX('الموظفون'!$S$3:$S$502,188),"")</f>
        <v/>
      </c>
      <c r="K194" s="63">
        <f>IFERROR(INDEX('الموظفون'!$T$3:$T$502,188),"")</f>
        <v/>
      </c>
      <c r="L194" s="69">
        <f>IFERROR(IF(INDEX(الموظفون_الرقم,188)="","",INDEX(الموظفون_الاساسي,188)+INDEX(الموظفون_البدلات,188)),"")</f>
        <v/>
      </c>
    </row>
    <row r="195">
      <c r="A195" s="43">
        <f>IFERROR(INDEX('الموظفون'!$A$3:$A$502,189),"")</f>
        <v/>
      </c>
      <c r="B195" s="43">
        <f>IFERROR(INDEX('الموظفون'!$B$3:$B$502,189),"")</f>
        <v/>
      </c>
      <c r="C195" s="43">
        <f>IFERROR(INDEX('الموظفون'!$J$3:$J$502,189),"")</f>
        <v/>
      </c>
      <c r="D195" s="43">
        <f>IFERROR(INDEX('الموظفون'!$K$3:$K$502,189),"")</f>
        <v/>
      </c>
      <c r="E195" s="43">
        <f>IFERROR(INDEX('الموظفون'!$L$3:$L$502,189),"")</f>
        <v/>
      </c>
      <c r="F195" s="43">
        <f>IFERROR(INDEX('الموظفون'!$N$3:$N$502,189),"")</f>
        <v/>
      </c>
      <c r="G195" s="118">
        <f>IFERROR(INDEX('الموظفون'!$O$3:$O$502,189),"")</f>
        <v/>
      </c>
      <c r="H195" s="118">
        <f>IFERROR(INDEX('الموظفون'!$Q$3:$Q$502,189),"")</f>
        <v/>
      </c>
      <c r="I195" s="43">
        <f>IFERROR(INDEX('الموظفون'!$R$3:$R$502,189),"")</f>
        <v/>
      </c>
      <c r="J195" s="60">
        <f>IFERROR(INDEX('الموظفون'!$S$3:$S$502,189),"")</f>
        <v/>
      </c>
      <c r="K195" s="60">
        <f>IFERROR(INDEX('الموظفون'!$T$3:$T$502,189),"")</f>
        <v/>
      </c>
      <c r="L195" s="69">
        <f>IFERROR(IF(INDEX(الموظفون_الرقم,189)="","",INDEX(الموظفون_الاساسي,189)+INDEX(الموظفون_البدلات,189)),"")</f>
        <v/>
      </c>
    </row>
    <row r="196">
      <c r="A196" s="50">
        <f>IFERROR(INDEX('الموظفون'!$A$3:$A$502,190),"")</f>
        <v/>
      </c>
      <c r="B196" s="50">
        <f>IFERROR(INDEX('الموظفون'!$B$3:$B$502,190),"")</f>
        <v/>
      </c>
      <c r="C196" s="50">
        <f>IFERROR(INDEX('الموظفون'!$J$3:$J$502,190),"")</f>
        <v/>
      </c>
      <c r="D196" s="50">
        <f>IFERROR(INDEX('الموظفون'!$K$3:$K$502,190),"")</f>
        <v/>
      </c>
      <c r="E196" s="50">
        <f>IFERROR(INDEX('الموظفون'!$L$3:$L$502,190),"")</f>
        <v/>
      </c>
      <c r="F196" s="50">
        <f>IFERROR(INDEX('الموظفون'!$N$3:$N$502,190),"")</f>
        <v/>
      </c>
      <c r="G196" s="119">
        <f>IFERROR(INDEX('الموظفون'!$O$3:$O$502,190),"")</f>
        <v/>
      </c>
      <c r="H196" s="119">
        <f>IFERROR(INDEX('الموظفون'!$Q$3:$Q$502,190),"")</f>
        <v/>
      </c>
      <c r="I196" s="50">
        <f>IFERROR(INDEX('الموظفون'!$R$3:$R$502,190),"")</f>
        <v/>
      </c>
      <c r="J196" s="63">
        <f>IFERROR(INDEX('الموظفون'!$S$3:$S$502,190),"")</f>
        <v/>
      </c>
      <c r="K196" s="63">
        <f>IFERROR(INDEX('الموظفون'!$T$3:$T$502,190),"")</f>
        <v/>
      </c>
      <c r="L196" s="69">
        <f>IFERROR(IF(INDEX(الموظفون_الرقم,190)="","",INDEX(الموظفون_الاساسي,190)+INDEX(الموظفون_البدلات,190)),"")</f>
        <v/>
      </c>
    </row>
    <row r="197">
      <c r="A197" s="43">
        <f>IFERROR(INDEX('الموظفون'!$A$3:$A$502,191),"")</f>
        <v/>
      </c>
      <c r="B197" s="43">
        <f>IFERROR(INDEX('الموظفون'!$B$3:$B$502,191),"")</f>
        <v/>
      </c>
      <c r="C197" s="43">
        <f>IFERROR(INDEX('الموظفون'!$J$3:$J$502,191),"")</f>
        <v/>
      </c>
      <c r="D197" s="43">
        <f>IFERROR(INDEX('الموظفون'!$K$3:$K$502,191),"")</f>
        <v/>
      </c>
      <c r="E197" s="43">
        <f>IFERROR(INDEX('الموظفون'!$L$3:$L$502,191),"")</f>
        <v/>
      </c>
      <c r="F197" s="43">
        <f>IFERROR(INDEX('الموظفون'!$N$3:$N$502,191),"")</f>
        <v/>
      </c>
      <c r="G197" s="118">
        <f>IFERROR(INDEX('الموظفون'!$O$3:$O$502,191),"")</f>
        <v/>
      </c>
      <c r="H197" s="118">
        <f>IFERROR(INDEX('الموظفون'!$Q$3:$Q$502,191),"")</f>
        <v/>
      </c>
      <c r="I197" s="43">
        <f>IFERROR(INDEX('الموظفون'!$R$3:$R$502,191),"")</f>
        <v/>
      </c>
      <c r="J197" s="60">
        <f>IFERROR(INDEX('الموظفون'!$S$3:$S$502,191),"")</f>
        <v/>
      </c>
      <c r="K197" s="60">
        <f>IFERROR(INDEX('الموظفون'!$T$3:$T$502,191),"")</f>
        <v/>
      </c>
      <c r="L197" s="69">
        <f>IFERROR(IF(INDEX(الموظفون_الرقم,191)="","",INDEX(الموظفون_الاساسي,191)+INDEX(الموظفون_البدلات,191)),"")</f>
        <v/>
      </c>
    </row>
    <row r="198">
      <c r="A198" s="50">
        <f>IFERROR(INDEX('الموظفون'!$A$3:$A$502,192),"")</f>
        <v/>
      </c>
      <c r="B198" s="50">
        <f>IFERROR(INDEX('الموظفون'!$B$3:$B$502,192),"")</f>
        <v/>
      </c>
      <c r="C198" s="50">
        <f>IFERROR(INDEX('الموظفون'!$J$3:$J$502,192),"")</f>
        <v/>
      </c>
      <c r="D198" s="50">
        <f>IFERROR(INDEX('الموظفون'!$K$3:$K$502,192),"")</f>
        <v/>
      </c>
      <c r="E198" s="50">
        <f>IFERROR(INDEX('الموظفون'!$L$3:$L$502,192),"")</f>
        <v/>
      </c>
      <c r="F198" s="50">
        <f>IFERROR(INDEX('الموظفون'!$N$3:$N$502,192),"")</f>
        <v/>
      </c>
      <c r="G198" s="119">
        <f>IFERROR(INDEX('الموظفون'!$O$3:$O$502,192),"")</f>
        <v/>
      </c>
      <c r="H198" s="119">
        <f>IFERROR(INDEX('الموظفون'!$Q$3:$Q$502,192),"")</f>
        <v/>
      </c>
      <c r="I198" s="50">
        <f>IFERROR(INDEX('الموظفون'!$R$3:$R$502,192),"")</f>
        <v/>
      </c>
      <c r="J198" s="63">
        <f>IFERROR(INDEX('الموظفون'!$S$3:$S$502,192),"")</f>
        <v/>
      </c>
      <c r="K198" s="63">
        <f>IFERROR(INDEX('الموظفون'!$T$3:$T$502,192),"")</f>
        <v/>
      </c>
      <c r="L198" s="69">
        <f>IFERROR(IF(INDEX(الموظفون_الرقم,192)="","",INDEX(الموظفون_الاساسي,192)+INDEX(الموظفون_البدلات,192)),"")</f>
        <v/>
      </c>
    </row>
    <row r="199">
      <c r="A199" s="43">
        <f>IFERROR(INDEX('الموظفون'!$A$3:$A$502,193),"")</f>
        <v/>
      </c>
      <c r="B199" s="43">
        <f>IFERROR(INDEX('الموظفون'!$B$3:$B$502,193),"")</f>
        <v/>
      </c>
      <c r="C199" s="43">
        <f>IFERROR(INDEX('الموظفون'!$J$3:$J$502,193),"")</f>
        <v/>
      </c>
      <c r="D199" s="43">
        <f>IFERROR(INDEX('الموظفون'!$K$3:$K$502,193),"")</f>
        <v/>
      </c>
      <c r="E199" s="43">
        <f>IFERROR(INDEX('الموظفون'!$L$3:$L$502,193),"")</f>
        <v/>
      </c>
      <c r="F199" s="43">
        <f>IFERROR(INDEX('الموظفون'!$N$3:$N$502,193),"")</f>
        <v/>
      </c>
      <c r="G199" s="118">
        <f>IFERROR(INDEX('الموظفون'!$O$3:$O$502,193),"")</f>
        <v/>
      </c>
      <c r="H199" s="118">
        <f>IFERROR(INDEX('الموظفون'!$Q$3:$Q$502,193),"")</f>
        <v/>
      </c>
      <c r="I199" s="43">
        <f>IFERROR(INDEX('الموظفون'!$R$3:$R$502,193),"")</f>
        <v/>
      </c>
      <c r="J199" s="60">
        <f>IFERROR(INDEX('الموظفون'!$S$3:$S$502,193),"")</f>
        <v/>
      </c>
      <c r="K199" s="60">
        <f>IFERROR(INDEX('الموظفون'!$T$3:$T$502,193),"")</f>
        <v/>
      </c>
      <c r="L199" s="69">
        <f>IFERROR(IF(INDEX(الموظفون_الرقم,193)="","",INDEX(الموظفون_الاساسي,193)+INDEX(الموظفون_البدلات,193)),"")</f>
        <v/>
      </c>
    </row>
    <row r="200">
      <c r="A200" s="50">
        <f>IFERROR(INDEX('الموظفون'!$A$3:$A$502,194),"")</f>
        <v/>
      </c>
      <c r="B200" s="50">
        <f>IFERROR(INDEX('الموظفون'!$B$3:$B$502,194),"")</f>
        <v/>
      </c>
      <c r="C200" s="50">
        <f>IFERROR(INDEX('الموظفون'!$J$3:$J$502,194),"")</f>
        <v/>
      </c>
      <c r="D200" s="50">
        <f>IFERROR(INDEX('الموظفون'!$K$3:$K$502,194),"")</f>
        <v/>
      </c>
      <c r="E200" s="50">
        <f>IFERROR(INDEX('الموظفون'!$L$3:$L$502,194),"")</f>
        <v/>
      </c>
      <c r="F200" s="50">
        <f>IFERROR(INDEX('الموظفون'!$N$3:$N$502,194),"")</f>
        <v/>
      </c>
      <c r="G200" s="119">
        <f>IFERROR(INDEX('الموظفون'!$O$3:$O$502,194),"")</f>
        <v/>
      </c>
      <c r="H200" s="119">
        <f>IFERROR(INDEX('الموظفون'!$Q$3:$Q$502,194),"")</f>
        <v/>
      </c>
      <c r="I200" s="50">
        <f>IFERROR(INDEX('الموظفون'!$R$3:$R$502,194),"")</f>
        <v/>
      </c>
      <c r="J200" s="63">
        <f>IFERROR(INDEX('الموظفون'!$S$3:$S$502,194),"")</f>
        <v/>
      </c>
      <c r="K200" s="63">
        <f>IFERROR(INDEX('الموظفون'!$T$3:$T$502,194),"")</f>
        <v/>
      </c>
      <c r="L200" s="69">
        <f>IFERROR(IF(INDEX(الموظفون_الرقم,194)="","",INDEX(الموظفون_الاساسي,194)+INDEX(الموظفون_البدلات,194)),"")</f>
        <v/>
      </c>
    </row>
    <row r="201">
      <c r="A201" s="43">
        <f>IFERROR(INDEX('الموظفون'!$A$3:$A$502,195),"")</f>
        <v/>
      </c>
      <c r="B201" s="43">
        <f>IFERROR(INDEX('الموظفون'!$B$3:$B$502,195),"")</f>
        <v/>
      </c>
      <c r="C201" s="43">
        <f>IFERROR(INDEX('الموظفون'!$J$3:$J$502,195),"")</f>
        <v/>
      </c>
      <c r="D201" s="43">
        <f>IFERROR(INDEX('الموظفون'!$K$3:$K$502,195),"")</f>
        <v/>
      </c>
      <c r="E201" s="43">
        <f>IFERROR(INDEX('الموظفون'!$L$3:$L$502,195),"")</f>
        <v/>
      </c>
      <c r="F201" s="43">
        <f>IFERROR(INDEX('الموظفون'!$N$3:$N$502,195),"")</f>
        <v/>
      </c>
      <c r="G201" s="118">
        <f>IFERROR(INDEX('الموظفون'!$O$3:$O$502,195),"")</f>
        <v/>
      </c>
      <c r="H201" s="118">
        <f>IFERROR(INDEX('الموظفون'!$Q$3:$Q$502,195),"")</f>
        <v/>
      </c>
      <c r="I201" s="43">
        <f>IFERROR(INDEX('الموظفون'!$R$3:$R$502,195),"")</f>
        <v/>
      </c>
      <c r="J201" s="60">
        <f>IFERROR(INDEX('الموظفون'!$S$3:$S$502,195),"")</f>
        <v/>
      </c>
      <c r="K201" s="60">
        <f>IFERROR(INDEX('الموظفون'!$T$3:$T$502,195),"")</f>
        <v/>
      </c>
      <c r="L201" s="69">
        <f>IFERROR(IF(INDEX(الموظفون_الرقم,195)="","",INDEX(الموظفون_الاساسي,195)+INDEX(الموظفون_البدلات,195)),"")</f>
        <v/>
      </c>
    </row>
    <row r="202">
      <c r="A202" s="50">
        <f>IFERROR(INDEX('الموظفون'!$A$3:$A$502,196),"")</f>
        <v/>
      </c>
      <c r="B202" s="50">
        <f>IFERROR(INDEX('الموظفون'!$B$3:$B$502,196),"")</f>
        <v/>
      </c>
      <c r="C202" s="50">
        <f>IFERROR(INDEX('الموظفون'!$J$3:$J$502,196),"")</f>
        <v/>
      </c>
      <c r="D202" s="50">
        <f>IFERROR(INDEX('الموظفون'!$K$3:$K$502,196),"")</f>
        <v/>
      </c>
      <c r="E202" s="50">
        <f>IFERROR(INDEX('الموظفون'!$L$3:$L$502,196),"")</f>
        <v/>
      </c>
      <c r="F202" s="50">
        <f>IFERROR(INDEX('الموظفون'!$N$3:$N$502,196),"")</f>
        <v/>
      </c>
      <c r="G202" s="119">
        <f>IFERROR(INDEX('الموظفون'!$O$3:$O$502,196),"")</f>
        <v/>
      </c>
      <c r="H202" s="119">
        <f>IFERROR(INDEX('الموظفون'!$Q$3:$Q$502,196),"")</f>
        <v/>
      </c>
      <c r="I202" s="50">
        <f>IFERROR(INDEX('الموظفون'!$R$3:$R$502,196),"")</f>
        <v/>
      </c>
      <c r="J202" s="63">
        <f>IFERROR(INDEX('الموظفون'!$S$3:$S$502,196),"")</f>
        <v/>
      </c>
      <c r="K202" s="63">
        <f>IFERROR(INDEX('الموظفون'!$T$3:$T$502,196),"")</f>
        <v/>
      </c>
      <c r="L202" s="69">
        <f>IFERROR(IF(INDEX(الموظفون_الرقم,196)="","",INDEX(الموظفون_الاساسي,196)+INDEX(الموظفون_البدلات,196)),"")</f>
        <v/>
      </c>
    </row>
    <row r="203">
      <c r="A203" s="43">
        <f>IFERROR(INDEX('الموظفون'!$A$3:$A$502,197),"")</f>
        <v/>
      </c>
      <c r="B203" s="43">
        <f>IFERROR(INDEX('الموظفون'!$B$3:$B$502,197),"")</f>
        <v/>
      </c>
      <c r="C203" s="43">
        <f>IFERROR(INDEX('الموظفون'!$J$3:$J$502,197),"")</f>
        <v/>
      </c>
      <c r="D203" s="43">
        <f>IFERROR(INDEX('الموظفون'!$K$3:$K$502,197),"")</f>
        <v/>
      </c>
      <c r="E203" s="43">
        <f>IFERROR(INDEX('الموظفون'!$L$3:$L$502,197),"")</f>
        <v/>
      </c>
      <c r="F203" s="43">
        <f>IFERROR(INDEX('الموظفون'!$N$3:$N$502,197),"")</f>
        <v/>
      </c>
      <c r="G203" s="118">
        <f>IFERROR(INDEX('الموظفون'!$O$3:$O$502,197),"")</f>
        <v/>
      </c>
      <c r="H203" s="118">
        <f>IFERROR(INDEX('الموظفون'!$Q$3:$Q$502,197),"")</f>
        <v/>
      </c>
      <c r="I203" s="43">
        <f>IFERROR(INDEX('الموظفون'!$R$3:$R$502,197),"")</f>
        <v/>
      </c>
      <c r="J203" s="60">
        <f>IFERROR(INDEX('الموظفون'!$S$3:$S$502,197),"")</f>
        <v/>
      </c>
      <c r="K203" s="60">
        <f>IFERROR(INDEX('الموظفون'!$T$3:$T$502,197),"")</f>
        <v/>
      </c>
      <c r="L203" s="69">
        <f>IFERROR(IF(INDEX(الموظفون_الرقم,197)="","",INDEX(الموظفون_الاساسي,197)+INDEX(الموظفون_البدلات,197)),"")</f>
        <v/>
      </c>
    </row>
    <row r="204">
      <c r="A204" s="50">
        <f>IFERROR(INDEX('الموظفون'!$A$3:$A$502,198),"")</f>
        <v/>
      </c>
      <c r="B204" s="50">
        <f>IFERROR(INDEX('الموظفون'!$B$3:$B$502,198),"")</f>
        <v/>
      </c>
      <c r="C204" s="50">
        <f>IFERROR(INDEX('الموظفون'!$J$3:$J$502,198),"")</f>
        <v/>
      </c>
      <c r="D204" s="50">
        <f>IFERROR(INDEX('الموظفون'!$K$3:$K$502,198),"")</f>
        <v/>
      </c>
      <c r="E204" s="50">
        <f>IFERROR(INDEX('الموظفون'!$L$3:$L$502,198),"")</f>
        <v/>
      </c>
      <c r="F204" s="50">
        <f>IFERROR(INDEX('الموظفون'!$N$3:$N$502,198),"")</f>
        <v/>
      </c>
      <c r="G204" s="119">
        <f>IFERROR(INDEX('الموظفون'!$O$3:$O$502,198),"")</f>
        <v/>
      </c>
      <c r="H204" s="119">
        <f>IFERROR(INDEX('الموظفون'!$Q$3:$Q$502,198),"")</f>
        <v/>
      </c>
      <c r="I204" s="50">
        <f>IFERROR(INDEX('الموظفون'!$R$3:$R$502,198),"")</f>
        <v/>
      </c>
      <c r="J204" s="63">
        <f>IFERROR(INDEX('الموظفون'!$S$3:$S$502,198),"")</f>
        <v/>
      </c>
      <c r="K204" s="63">
        <f>IFERROR(INDEX('الموظفون'!$T$3:$T$502,198),"")</f>
        <v/>
      </c>
      <c r="L204" s="69">
        <f>IFERROR(IF(INDEX(الموظفون_الرقم,198)="","",INDEX(الموظفون_الاساسي,198)+INDEX(الموظفون_البدلات,198)),"")</f>
        <v/>
      </c>
    </row>
    <row r="205">
      <c r="A205" s="43">
        <f>IFERROR(INDEX('الموظفون'!$A$3:$A$502,199),"")</f>
        <v/>
      </c>
      <c r="B205" s="43">
        <f>IFERROR(INDEX('الموظفون'!$B$3:$B$502,199),"")</f>
        <v/>
      </c>
      <c r="C205" s="43">
        <f>IFERROR(INDEX('الموظفون'!$J$3:$J$502,199),"")</f>
        <v/>
      </c>
      <c r="D205" s="43">
        <f>IFERROR(INDEX('الموظفون'!$K$3:$K$502,199),"")</f>
        <v/>
      </c>
      <c r="E205" s="43">
        <f>IFERROR(INDEX('الموظفون'!$L$3:$L$502,199),"")</f>
        <v/>
      </c>
      <c r="F205" s="43">
        <f>IFERROR(INDEX('الموظفون'!$N$3:$N$502,199),"")</f>
        <v/>
      </c>
      <c r="G205" s="118">
        <f>IFERROR(INDEX('الموظفون'!$O$3:$O$502,199),"")</f>
        <v/>
      </c>
      <c r="H205" s="118">
        <f>IFERROR(INDEX('الموظفون'!$Q$3:$Q$502,199),"")</f>
        <v/>
      </c>
      <c r="I205" s="43">
        <f>IFERROR(INDEX('الموظفون'!$R$3:$R$502,199),"")</f>
        <v/>
      </c>
      <c r="J205" s="60">
        <f>IFERROR(INDEX('الموظفون'!$S$3:$S$502,199),"")</f>
        <v/>
      </c>
      <c r="K205" s="60">
        <f>IFERROR(INDEX('الموظفون'!$T$3:$T$502,199),"")</f>
        <v/>
      </c>
      <c r="L205" s="69">
        <f>IFERROR(IF(INDEX(الموظفون_الرقم,199)="","",INDEX(الموظفون_الاساسي,199)+INDEX(الموظفون_البدلات,199)),"")</f>
        <v/>
      </c>
    </row>
    <row r="206">
      <c r="A206" s="50">
        <f>IFERROR(INDEX('الموظفون'!$A$3:$A$502,200),"")</f>
        <v/>
      </c>
      <c r="B206" s="50">
        <f>IFERROR(INDEX('الموظفون'!$B$3:$B$502,200),"")</f>
        <v/>
      </c>
      <c r="C206" s="50">
        <f>IFERROR(INDEX('الموظفون'!$J$3:$J$502,200),"")</f>
        <v/>
      </c>
      <c r="D206" s="50">
        <f>IFERROR(INDEX('الموظفون'!$K$3:$K$502,200),"")</f>
        <v/>
      </c>
      <c r="E206" s="50">
        <f>IFERROR(INDEX('الموظفون'!$L$3:$L$502,200),"")</f>
        <v/>
      </c>
      <c r="F206" s="50">
        <f>IFERROR(INDEX('الموظفون'!$N$3:$N$502,200),"")</f>
        <v/>
      </c>
      <c r="G206" s="119">
        <f>IFERROR(INDEX('الموظفون'!$O$3:$O$502,200),"")</f>
        <v/>
      </c>
      <c r="H206" s="119">
        <f>IFERROR(INDEX('الموظفون'!$Q$3:$Q$502,200),"")</f>
        <v/>
      </c>
      <c r="I206" s="50">
        <f>IFERROR(INDEX('الموظفون'!$R$3:$R$502,200),"")</f>
        <v/>
      </c>
      <c r="J206" s="63">
        <f>IFERROR(INDEX('الموظفون'!$S$3:$S$502,200),"")</f>
        <v/>
      </c>
      <c r="K206" s="63">
        <f>IFERROR(INDEX('الموظفون'!$T$3:$T$502,200),"")</f>
        <v/>
      </c>
      <c r="L206" s="69">
        <f>IFERROR(IF(INDEX(الموظفون_الرقم,200)="","",INDEX(الموظفون_الاساسي,200)+INDEX(الموظفون_البدلات,200)),"")</f>
        <v/>
      </c>
    </row>
    <row r="207">
      <c r="A207" s="71" t="inlineStr">
        <is>
          <t>الإجمالي</t>
        </is>
      </c>
      <c r="B207" s="72" t="n"/>
      <c r="C207" s="72" t="n"/>
      <c r="D207" s="72" t="n"/>
      <c r="E207" s="72" t="n"/>
      <c r="F207" s="72" t="n"/>
      <c r="G207" s="72" t="n"/>
      <c r="H207" s="72" t="n"/>
      <c r="I207" s="72" t="n"/>
      <c r="J207" s="73">
        <f>SUM(J7:J206)</f>
        <v/>
      </c>
      <c r="K207" s="73">
        <f>SUM(K7:K206)</f>
        <v/>
      </c>
      <c r="L207" s="73">
        <f>SUM(L7:L206)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05"/>
  <mergeCells count="5">
    <mergeCell ref="A2:L2"/>
    <mergeCell ref="A1:L1"/>
    <mergeCell ref="G3:L3"/>
    <mergeCell ref="A3:F3"/>
    <mergeCell ref="A207"/>
  </mergeCells>
  <pageMargins left="0.75" right="0.75" top="1" bottom="1" header="0.5" footer="0.5"/>
  <pageSetup orientation="landscape" paperSize="9" fitToHeight="0" fitToWidth="1"/>
  <headerFooter>
    <oddHeader/>
    <oddFooter>&amp;L&amp;8 نظام إدارة الموارد البشرية&amp;R&amp;8 صفحة &amp;P من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I207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8" customWidth="1" min="4" max="4"/>
    <col width="18" customWidth="1" min="5" max="5"/>
    <col width="16" customWidth="1" min="6" max="6"/>
    <col width="15" customWidth="1" min="7" max="7"/>
    <col width="15" customWidth="1" min="8" max="8"/>
    <col width="18" customWidth="1" min="9" max="9"/>
  </cols>
  <sheetData>
    <row r="1" ht="30" customHeight="1">
      <c r="A1" s="1">
        <f>اسم_المؤسسة</f>
        <v/>
      </c>
    </row>
    <row r="2" ht="26" customHeight="1">
      <c r="A2" s="65" t="inlineStr">
        <is>
          <t>تقرير الموظفين حسب الإدارة</t>
        </is>
      </c>
    </row>
    <row r="3">
      <c r="A3" s="66">
        <f>"تاريخ إعداد التقرير: "&amp;TEXT(TODAY(),"yyyy-mm-dd")</f>
        <v/>
      </c>
      <c r="E3" s="6">
        <f>"السنة المالية: "&amp;السنة_المالية</f>
        <v/>
      </c>
    </row>
    <row r="6" ht="34" customHeight="1">
      <c r="A6" s="67" t="inlineStr">
        <is>
          <t>الإدارة</t>
        </is>
      </c>
      <c r="B6" s="67" t="inlineStr">
        <is>
          <t>عدد الموظفين</t>
        </is>
      </c>
      <c r="C6" s="67" t="inlineStr">
        <is>
          <t>الموظفون النشطون</t>
        </is>
      </c>
      <c r="D6" s="67" t="inlineStr">
        <is>
          <t>إجمالي الرواتب الأساسية</t>
        </is>
      </c>
      <c r="E6" s="67" t="inlineStr">
        <is>
          <t>إجمالي البدلات الثابتة</t>
        </is>
      </c>
      <c r="F6" s="67" t="inlineStr">
        <is>
          <t>إجمالي الاستحقاقات</t>
        </is>
      </c>
      <c r="G6" s="67" t="inlineStr">
        <is>
          <t>إجمالي الخصومات</t>
        </is>
      </c>
      <c r="H6" s="67" t="inlineStr">
        <is>
          <t>صافي الرواتب</t>
        </is>
      </c>
      <c r="I6" s="67" t="inlineStr">
        <is>
          <t>متوسط الراتب الأساسي</t>
        </is>
      </c>
    </row>
    <row r="7">
      <c r="A7" s="74">
        <f>IFERROR(INDEX(قائمة_الإدارات,1),"")</f>
        <v/>
      </c>
      <c r="B7" s="44">
        <f>IF($A7="","",COUNTIF(الموظفون_الإدارة,$A7))</f>
        <v/>
      </c>
      <c r="C7" s="44">
        <f>IF($A7="","",COUNTIFS(الموظفون_الإدارة,$A7,الموظفون_الحالة,"نشط"))</f>
        <v/>
      </c>
      <c r="D7" s="60">
        <f>IF($A7="","",SUMIFS(الموظفون_الاساسي,الموظفون_الإدارة,$A7))</f>
        <v/>
      </c>
      <c r="E7" s="60">
        <f>IF($A7="","",SUMIFS(الموظفون_البدلات,الموظفون_الإدارة,$A7))</f>
        <v/>
      </c>
      <c r="F7" s="60">
        <f>IF($A7="","",SUMIFS(الرواتب_الاستحقاقات,الرواتب_الإدارة,$A7))</f>
        <v/>
      </c>
      <c r="G7" s="60">
        <f>IF($A7="","",SUMIFS(الرواتب_الخصومات,الرواتب_الإدارة,$A7))</f>
        <v/>
      </c>
      <c r="H7" s="60">
        <f>IF($A7="","",SUMIFS(الرواتب_الصافي,الرواتب_الإدارة,$A7))</f>
        <v/>
      </c>
      <c r="I7" s="60">
        <f>IF($A7="","",IFERROR(AVERAGEIFS(الموظفون_الاساسي,الموظفون_الإدارة,$A7),0))</f>
        <v/>
      </c>
    </row>
    <row r="8">
      <c r="A8" s="75">
        <f>IFERROR(INDEX(قائمة_الإدارات,2),"")</f>
        <v/>
      </c>
      <c r="B8" s="51">
        <f>IF($A8="","",COUNTIF(الموظفون_الإدارة,$A8))</f>
        <v/>
      </c>
      <c r="C8" s="51">
        <f>IF($A8="","",COUNTIFS(الموظفون_الإدارة,$A8,الموظفون_الحالة,"نشط"))</f>
        <v/>
      </c>
      <c r="D8" s="63">
        <f>IF($A8="","",SUMIFS(الموظفون_الاساسي,الموظفون_الإدارة,$A8))</f>
        <v/>
      </c>
      <c r="E8" s="63">
        <f>IF($A8="","",SUMIFS(الموظفون_البدلات,الموظفون_الإدارة,$A8))</f>
        <v/>
      </c>
      <c r="F8" s="63">
        <f>IF($A8="","",SUMIFS(الرواتب_الاستحقاقات,الرواتب_الإدارة,$A8))</f>
        <v/>
      </c>
      <c r="G8" s="63">
        <f>IF($A8="","",SUMIFS(الرواتب_الخصومات,الرواتب_الإدارة,$A8))</f>
        <v/>
      </c>
      <c r="H8" s="63">
        <f>IF($A8="","",SUMIFS(الرواتب_الصافي,الرواتب_الإدارة,$A8))</f>
        <v/>
      </c>
      <c r="I8" s="63">
        <f>IF($A8="","",IFERROR(AVERAGEIFS(الموظفون_الاساسي,الموظفون_الإدارة,$A8),0))</f>
        <v/>
      </c>
    </row>
    <row r="9">
      <c r="A9" s="74">
        <f>IFERROR(INDEX(قائمة_الإدارات,3),"")</f>
        <v/>
      </c>
      <c r="B9" s="44">
        <f>IF($A9="","",COUNTIF(الموظفون_الإدارة,$A9))</f>
        <v/>
      </c>
      <c r="C9" s="44">
        <f>IF($A9="","",COUNTIFS(الموظفون_الإدارة,$A9,الموظفون_الحالة,"نشط"))</f>
        <v/>
      </c>
      <c r="D9" s="60">
        <f>IF($A9="","",SUMIFS(الموظفون_الاساسي,الموظفون_الإدارة,$A9))</f>
        <v/>
      </c>
      <c r="E9" s="60">
        <f>IF($A9="","",SUMIFS(الموظفون_البدلات,الموظفون_الإدارة,$A9))</f>
        <v/>
      </c>
      <c r="F9" s="60">
        <f>IF($A9="","",SUMIFS(الرواتب_الاستحقاقات,الرواتب_الإدارة,$A9))</f>
        <v/>
      </c>
      <c r="G9" s="60">
        <f>IF($A9="","",SUMIFS(الرواتب_الخصومات,الرواتب_الإدارة,$A9))</f>
        <v/>
      </c>
      <c r="H9" s="60">
        <f>IF($A9="","",SUMIFS(الرواتب_الصافي,الرواتب_الإدارة,$A9))</f>
        <v/>
      </c>
      <c r="I9" s="60">
        <f>IF($A9="","",IFERROR(AVERAGEIFS(الموظفون_الاساسي,الموظفون_الإدارة,$A9),0))</f>
        <v/>
      </c>
    </row>
    <row r="10">
      <c r="A10" s="75">
        <f>IFERROR(INDEX(قائمة_الإدارات,4),"")</f>
        <v/>
      </c>
      <c r="B10" s="51">
        <f>IF($A10="","",COUNTIF(الموظفون_الإدارة,$A10))</f>
        <v/>
      </c>
      <c r="C10" s="51">
        <f>IF($A10="","",COUNTIFS(الموظفون_الإدارة,$A10,الموظفون_الحالة,"نشط"))</f>
        <v/>
      </c>
      <c r="D10" s="63">
        <f>IF($A10="","",SUMIFS(الموظفون_الاساسي,الموظفون_الإدارة,$A10))</f>
        <v/>
      </c>
      <c r="E10" s="63">
        <f>IF($A10="","",SUMIFS(الموظفون_البدلات,الموظفون_الإدارة,$A10))</f>
        <v/>
      </c>
      <c r="F10" s="63">
        <f>IF($A10="","",SUMIFS(الرواتب_الاستحقاقات,الرواتب_الإدارة,$A10))</f>
        <v/>
      </c>
      <c r="G10" s="63">
        <f>IF($A10="","",SUMIFS(الرواتب_الخصومات,الرواتب_الإدارة,$A10))</f>
        <v/>
      </c>
      <c r="H10" s="63">
        <f>IF($A10="","",SUMIFS(الرواتب_الصافي,الرواتب_الإدارة,$A10))</f>
        <v/>
      </c>
      <c r="I10" s="63">
        <f>IF($A10="","",IFERROR(AVERAGEIFS(الموظفون_الاساسي,الموظفون_الإدارة,$A10),0))</f>
        <v/>
      </c>
    </row>
    <row r="11">
      <c r="A11" s="74">
        <f>IFERROR(INDEX(قائمة_الإدارات,5),"")</f>
        <v/>
      </c>
      <c r="B11" s="44">
        <f>IF($A11="","",COUNTIF(الموظفون_الإدارة,$A11))</f>
        <v/>
      </c>
      <c r="C11" s="44">
        <f>IF($A11="","",COUNTIFS(الموظفون_الإدارة,$A11,الموظفون_الحالة,"نشط"))</f>
        <v/>
      </c>
      <c r="D11" s="60">
        <f>IF($A11="","",SUMIFS(الموظفون_الاساسي,الموظفون_الإدارة,$A11))</f>
        <v/>
      </c>
      <c r="E11" s="60">
        <f>IF($A11="","",SUMIFS(الموظفون_البدلات,الموظفون_الإدارة,$A11))</f>
        <v/>
      </c>
      <c r="F11" s="60">
        <f>IF($A11="","",SUMIFS(الرواتب_الاستحقاقات,الرواتب_الإدارة,$A11))</f>
        <v/>
      </c>
      <c r="G11" s="60">
        <f>IF($A11="","",SUMIFS(الرواتب_الخصومات,الرواتب_الإدارة,$A11))</f>
        <v/>
      </c>
      <c r="H11" s="60">
        <f>IF($A11="","",SUMIFS(الرواتب_الصافي,الرواتب_الإدارة,$A11))</f>
        <v/>
      </c>
      <c r="I11" s="60">
        <f>IF($A11="","",IFERROR(AVERAGEIFS(الموظفون_الاساسي,الموظفون_الإدارة,$A11),0))</f>
        <v/>
      </c>
    </row>
    <row r="12">
      <c r="A12" s="75">
        <f>IFERROR(INDEX(قائمة_الإدارات,6),"")</f>
        <v/>
      </c>
      <c r="B12" s="51">
        <f>IF($A12="","",COUNTIF(الموظفون_الإدارة,$A12))</f>
        <v/>
      </c>
      <c r="C12" s="51">
        <f>IF($A12="","",COUNTIFS(الموظفون_الإدارة,$A12,الموظفون_الحالة,"نشط"))</f>
        <v/>
      </c>
      <c r="D12" s="63">
        <f>IF($A12="","",SUMIFS(الموظفون_الاساسي,الموظفون_الإدارة,$A12))</f>
        <v/>
      </c>
      <c r="E12" s="63">
        <f>IF($A12="","",SUMIFS(الموظفون_البدلات,الموظفون_الإدارة,$A12))</f>
        <v/>
      </c>
      <c r="F12" s="63">
        <f>IF($A12="","",SUMIFS(الرواتب_الاستحقاقات,الرواتب_الإدارة,$A12))</f>
        <v/>
      </c>
      <c r="G12" s="63">
        <f>IF($A12="","",SUMIFS(الرواتب_الخصومات,الرواتب_الإدارة,$A12))</f>
        <v/>
      </c>
      <c r="H12" s="63">
        <f>IF($A12="","",SUMIFS(الرواتب_الصافي,الرواتب_الإدارة,$A12))</f>
        <v/>
      </c>
      <c r="I12" s="63">
        <f>IF($A12="","",IFERROR(AVERAGEIFS(الموظفون_الاساسي,الموظفون_الإدارة,$A12),0))</f>
        <v/>
      </c>
    </row>
    <row r="13">
      <c r="A13" s="74">
        <f>IFERROR(INDEX(قائمة_الإدارات,7),"")</f>
        <v/>
      </c>
      <c r="B13" s="44">
        <f>IF($A13="","",COUNTIF(الموظفون_الإدارة,$A13))</f>
        <v/>
      </c>
      <c r="C13" s="44">
        <f>IF($A13="","",COUNTIFS(الموظفون_الإدارة,$A13,الموظفون_الحالة,"نشط"))</f>
        <v/>
      </c>
      <c r="D13" s="60">
        <f>IF($A13="","",SUMIFS(الموظفون_الاساسي,الموظفون_الإدارة,$A13))</f>
        <v/>
      </c>
      <c r="E13" s="60">
        <f>IF($A13="","",SUMIFS(الموظفون_البدلات,الموظفون_الإدارة,$A13))</f>
        <v/>
      </c>
      <c r="F13" s="60">
        <f>IF($A13="","",SUMIFS(الرواتب_الاستحقاقات,الرواتب_الإدارة,$A13))</f>
        <v/>
      </c>
      <c r="G13" s="60">
        <f>IF($A13="","",SUMIFS(الرواتب_الخصومات,الرواتب_الإدارة,$A13))</f>
        <v/>
      </c>
      <c r="H13" s="60">
        <f>IF($A13="","",SUMIFS(الرواتب_الصافي,الرواتب_الإدارة,$A13))</f>
        <v/>
      </c>
      <c r="I13" s="60">
        <f>IF($A13="","",IFERROR(AVERAGEIFS(الموظفون_الاساسي,الموظفون_الإدارة,$A13),0))</f>
        <v/>
      </c>
    </row>
    <row r="14">
      <c r="A14" s="75">
        <f>IFERROR(INDEX(قائمة_الإدارات,8),"")</f>
        <v/>
      </c>
      <c r="B14" s="51">
        <f>IF($A14="","",COUNTIF(الموظفون_الإدارة,$A14))</f>
        <v/>
      </c>
      <c r="C14" s="51">
        <f>IF($A14="","",COUNTIFS(الموظفون_الإدارة,$A14,الموظفون_الحالة,"نشط"))</f>
        <v/>
      </c>
      <c r="D14" s="63">
        <f>IF($A14="","",SUMIFS(الموظفون_الاساسي,الموظفون_الإدارة,$A14))</f>
        <v/>
      </c>
      <c r="E14" s="63">
        <f>IF($A14="","",SUMIFS(الموظفون_البدلات,الموظفون_الإدارة,$A14))</f>
        <v/>
      </c>
      <c r="F14" s="63">
        <f>IF($A14="","",SUMIFS(الرواتب_الاستحقاقات,الرواتب_الإدارة,$A14))</f>
        <v/>
      </c>
      <c r="G14" s="63">
        <f>IF($A14="","",SUMIFS(الرواتب_الخصومات,الرواتب_الإدارة,$A14))</f>
        <v/>
      </c>
      <c r="H14" s="63">
        <f>IF($A14="","",SUMIFS(الرواتب_الصافي,الرواتب_الإدارة,$A14))</f>
        <v/>
      </c>
      <c r="I14" s="63">
        <f>IF($A14="","",IFERROR(AVERAGEIFS(الموظفون_الاساسي,الموظفون_الإدارة,$A14),0))</f>
        <v/>
      </c>
    </row>
    <row r="15">
      <c r="A15" s="74">
        <f>IFERROR(INDEX(قائمة_الإدارات,9),"")</f>
        <v/>
      </c>
      <c r="B15" s="44">
        <f>IF($A15="","",COUNTIF(الموظفون_الإدارة,$A15))</f>
        <v/>
      </c>
      <c r="C15" s="44">
        <f>IF($A15="","",COUNTIFS(الموظفون_الإدارة,$A15,الموظفون_الحالة,"نشط"))</f>
        <v/>
      </c>
      <c r="D15" s="60">
        <f>IF($A15="","",SUMIFS(الموظفون_الاساسي,الموظفون_الإدارة,$A15))</f>
        <v/>
      </c>
      <c r="E15" s="60">
        <f>IF($A15="","",SUMIFS(الموظفون_البدلات,الموظفون_الإدارة,$A15))</f>
        <v/>
      </c>
      <c r="F15" s="60">
        <f>IF($A15="","",SUMIFS(الرواتب_الاستحقاقات,الرواتب_الإدارة,$A15))</f>
        <v/>
      </c>
      <c r="G15" s="60">
        <f>IF($A15="","",SUMIFS(الرواتب_الخصومات,الرواتب_الإدارة,$A15))</f>
        <v/>
      </c>
      <c r="H15" s="60">
        <f>IF($A15="","",SUMIFS(الرواتب_الصافي,الرواتب_الإدارة,$A15))</f>
        <v/>
      </c>
      <c r="I15" s="60">
        <f>IF($A15="","",IFERROR(AVERAGEIFS(الموظفون_الاساسي,الموظفون_الإدارة,$A15),0))</f>
        <v/>
      </c>
    </row>
    <row r="16">
      <c r="A16" s="75">
        <f>IFERROR(INDEX(قائمة_الإدارات,10),"")</f>
        <v/>
      </c>
      <c r="B16" s="51">
        <f>IF($A16="","",COUNTIF(الموظفون_الإدارة,$A16))</f>
        <v/>
      </c>
      <c r="C16" s="51">
        <f>IF($A16="","",COUNTIFS(الموظفون_الإدارة,$A16,الموظفون_الحالة,"نشط"))</f>
        <v/>
      </c>
      <c r="D16" s="63">
        <f>IF($A16="","",SUMIFS(الموظفون_الاساسي,الموظفون_الإدارة,$A16))</f>
        <v/>
      </c>
      <c r="E16" s="63">
        <f>IF($A16="","",SUMIFS(الموظفون_البدلات,الموظفون_الإدارة,$A16))</f>
        <v/>
      </c>
      <c r="F16" s="63">
        <f>IF($A16="","",SUMIFS(الرواتب_الاستحقاقات,الرواتب_الإدارة,$A16))</f>
        <v/>
      </c>
      <c r="G16" s="63">
        <f>IF($A16="","",SUMIFS(الرواتب_الخصومات,الرواتب_الإدارة,$A16))</f>
        <v/>
      </c>
      <c r="H16" s="63">
        <f>IF($A16="","",SUMIFS(الرواتب_الصافي,الرواتب_الإدارة,$A16))</f>
        <v/>
      </c>
      <c r="I16" s="63">
        <f>IF($A16="","",IFERROR(AVERAGEIFS(الموظفون_الاساسي,الموظفون_الإدارة,$A16),0))</f>
        <v/>
      </c>
    </row>
    <row r="17">
      <c r="A17" s="74">
        <f>IFERROR(INDEX(قائمة_الإدارات,11),"")</f>
        <v/>
      </c>
      <c r="B17" s="44">
        <f>IF($A17="","",COUNTIF(الموظفون_الإدارة,$A17))</f>
        <v/>
      </c>
      <c r="C17" s="44">
        <f>IF($A17="","",COUNTIFS(الموظفون_الإدارة,$A17,الموظفون_الحالة,"نشط"))</f>
        <v/>
      </c>
      <c r="D17" s="60">
        <f>IF($A17="","",SUMIFS(الموظفون_الاساسي,الموظفون_الإدارة,$A17))</f>
        <v/>
      </c>
      <c r="E17" s="60">
        <f>IF($A17="","",SUMIFS(الموظفون_البدلات,الموظفون_الإدارة,$A17))</f>
        <v/>
      </c>
      <c r="F17" s="60">
        <f>IF($A17="","",SUMIFS(الرواتب_الاستحقاقات,الرواتب_الإدارة,$A17))</f>
        <v/>
      </c>
      <c r="G17" s="60">
        <f>IF($A17="","",SUMIFS(الرواتب_الخصومات,الرواتب_الإدارة,$A17))</f>
        <v/>
      </c>
      <c r="H17" s="60">
        <f>IF($A17="","",SUMIFS(الرواتب_الصافي,الرواتب_الإدارة,$A17))</f>
        <v/>
      </c>
      <c r="I17" s="60">
        <f>IF($A17="","",IFERROR(AVERAGEIFS(الموظفون_الاساسي,الموظفون_الإدارة,$A17),0))</f>
        <v/>
      </c>
    </row>
    <row r="18">
      <c r="A18" s="75">
        <f>IFERROR(INDEX(قائمة_الإدارات,12),"")</f>
        <v/>
      </c>
      <c r="B18" s="51">
        <f>IF($A18="","",COUNTIF(الموظفون_الإدارة,$A18))</f>
        <v/>
      </c>
      <c r="C18" s="51">
        <f>IF($A18="","",COUNTIFS(الموظفون_الإدارة,$A18,الموظفون_الحالة,"نشط"))</f>
        <v/>
      </c>
      <c r="D18" s="63">
        <f>IF($A18="","",SUMIFS(الموظفون_الاساسي,الموظفون_الإدارة,$A18))</f>
        <v/>
      </c>
      <c r="E18" s="63">
        <f>IF($A18="","",SUMIFS(الموظفون_البدلات,الموظفون_الإدارة,$A18))</f>
        <v/>
      </c>
      <c r="F18" s="63">
        <f>IF($A18="","",SUMIFS(الرواتب_الاستحقاقات,الرواتب_الإدارة,$A18))</f>
        <v/>
      </c>
      <c r="G18" s="63">
        <f>IF($A18="","",SUMIFS(الرواتب_الخصومات,الرواتب_الإدارة,$A18))</f>
        <v/>
      </c>
      <c r="H18" s="63">
        <f>IF($A18="","",SUMIFS(الرواتب_الصافي,الرواتب_الإدارة,$A18))</f>
        <v/>
      </c>
      <c r="I18" s="63">
        <f>IF($A18="","",IFERROR(AVERAGEIFS(الموظفون_الاساسي,الموظفون_الإدارة,$A18),0))</f>
        <v/>
      </c>
    </row>
    <row r="19">
      <c r="A19" s="74">
        <f>IFERROR(INDEX(قائمة_الإدارات,13),"")</f>
        <v/>
      </c>
      <c r="B19" s="44">
        <f>IF($A19="","",COUNTIF(الموظفون_الإدارة,$A19))</f>
        <v/>
      </c>
      <c r="C19" s="44">
        <f>IF($A19="","",COUNTIFS(الموظفون_الإدارة,$A19,الموظفون_الحالة,"نشط"))</f>
        <v/>
      </c>
      <c r="D19" s="60">
        <f>IF($A19="","",SUMIFS(الموظفون_الاساسي,الموظفون_الإدارة,$A19))</f>
        <v/>
      </c>
      <c r="E19" s="60">
        <f>IF($A19="","",SUMIFS(الموظفون_البدلات,الموظفون_الإدارة,$A19))</f>
        <v/>
      </c>
      <c r="F19" s="60">
        <f>IF($A19="","",SUMIFS(الرواتب_الاستحقاقات,الرواتب_الإدارة,$A19))</f>
        <v/>
      </c>
      <c r="G19" s="60">
        <f>IF($A19="","",SUMIFS(الرواتب_الخصومات,الرواتب_الإدارة,$A19))</f>
        <v/>
      </c>
      <c r="H19" s="60">
        <f>IF($A19="","",SUMIFS(الرواتب_الصافي,الرواتب_الإدارة,$A19))</f>
        <v/>
      </c>
      <c r="I19" s="60">
        <f>IF($A19="","",IFERROR(AVERAGEIFS(الموظفون_الاساسي,الموظفون_الإدارة,$A19),0))</f>
        <v/>
      </c>
    </row>
    <row r="20">
      <c r="A20" s="75">
        <f>IFERROR(INDEX(قائمة_الإدارات,14),"")</f>
        <v/>
      </c>
      <c r="B20" s="51">
        <f>IF($A20="","",COUNTIF(الموظفون_الإدارة,$A20))</f>
        <v/>
      </c>
      <c r="C20" s="51">
        <f>IF($A20="","",COUNTIFS(الموظفون_الإدارة,$A20,الموظفون_الحالة,"نشط"))</f>
        <v/>
      </c>
      <c r="D20" s="63">
        <f>IF($A20="","",SUMIFS(الموظفون_الاساسي,الموظفون_الإدارة,$A20))</f>
        <v/>
      </c>
      <c r="E20" s="63">
        <f>IF($A20="","",SUMIFS(الموظفون_البدلات,الموظفون_الإدارة,$A20))</f>
        <v/>
      </c>
      <c r="F20" s="63">
        <f>IF($A20="","",SUMIFS(الرواتب_الاستحقاقات,الرواتب_الإدارة,$A20))</f>
        <v/>
      </c>
      <c r="G20" s="63">
        <f>IF($A20="","",SUMIFS(الرواتب_الخصومات,الرواتب_الإدارة,$A20))</f>
        <v/>
      </c>
      <c r="H20" s="63">
        <f>IF($A20="","",SUMIFS(الرواتب_الصافي,الرواتب_الإدارة,$A20))</f>
        <v/>
      </c>
      <c r="I20" s="63">
        <f>IF($A20="","",IFERROR(AVERAGEIFS(الموظفون_الاساسي,الموظفون_الإدارة,$A20),0))</f>
        <v/>
      </c>
    </row>
    <row r="21">
      <c r="A21" s="74">
        <f>IFERROR(INDEX(قائمة_الإدارات,15),"")</f>
        <v/>
      </c>
      <c r="B21" s="44">
        <f>IF($A21="","",COUNTIF(الموظفون_الإدارة,$A21))</f>
        <v/>
      </c>
      <c r="C21" s="44">
        <f>IF($A21="","",COUNTIFS(الموظفون_الإدارة,$A21,الموظفون_الحالة,"نشط"))</f>
        <v/>
      </c>
      <c r="D21" s="60">
        <f>IF($A21="","",SUMIFS(الموظفون_الاساسي,الموظفون_الإدارة,$A21))</f>
        <v/>
      </c>
      <c r="E21" s="60">
        <f>IF($A21="","",SUMIFS(الموظفون_البدلات,الموظفون_الإدارة,$A21))</f>
        <v/>
      </c>
      <c r="F21" s="60">
        <f>IF($A21="","",SUMIFS(الرواتب_الاستحقاقات,الرواتب_الإدارة,$A21))</f>
        <v/>
      </c>
      <c r="G21" s="60">
        <f>IF($A21="","",SUMIFS(الرواتب_الخصومات,الرواتب_الإدارة,$A21))</f>
        <v/>
      </c>
      <c r="H21" s="60">
        <f>IF($A21="","",SUMIFS(الرواتب_الصافي,الرواتب_الإدارة,$A21))</f>
        <v/>
      </c>
      <c r="I21" s="60">
        <f>IF($A21="","",IFERROR(AVERAGEIFS(الموظفون_الاساسي,الموظفون_الإدارة,$A21),0))</f>
        <v/>
      </c>
    </row>
    <row r="22">
      <c r="A22" s="75">
        <f>IFERROR(INDEX(قائمة_الإدارات,16),"")</f>
        <v/>
      </c>
      <c r="B22" s="51">
        <f>IF($A22="","",COUNTIF(الموظفون_الإدارة,$A22))</f>
        <v/>
      </c>
      <c r="C22" s="51">
        <f>IF($A22="","",COUNTIFS(الموظفون_الإدارة,$A22,الموظفون_الحالة,"نشط"))</f>
        <v/>
      </c>
      <c r="D22" s="63">
        <f>IF($A22="","",SUMIFS(الموظفون_الاساسي,الموظفون_الإدارة,$A22))</f>
        <v/>
      </c>
      <c r="E22" s="63">
        <f>IF($A22="","",SUMIFS(الموظفون_البدلات,الموظفون_الإدارة,$A22))</f>
        <v/>
      </c>
      <c r="F22" s="63">
        <f>IF($A22="","",SUMIFS(الرواتب_الاستحقاقات,الرواتب_الإدارة,$A22))</f>
        <v/>
      </c>
      <c r="G22" s="63">
        <f>IF($A22="","",SUMIFS(الرواتب_الخصومات,الرواتب_الإدارة,$A22))</f>
        <v/>
      </c>
      <c r="H22" s="63">
        <f>IF($A22="","",SUMIFS(الرواتب_الصافي,الرواتب_الإدارة,$A22))</f>
        <v/>
      </c>
      <c r="I22" s="63">
        <f>IF($A22="","",IFERROR(AVERAGEIFS(الموظفون_الاساسي,الموظفون_الإدارة,$A22),0))</f>
        <v/>
      </c>
    </row>
    <row r="23">
      <c r="A23" s="74">
        <f>IFERROR(INDEX(قائمة_الإدارات,17),"")</f>
        <v/>
      </c>
      <c r="B23" s="44">
        <f>IF($A23="","",COUNTIF(الموظفون_الإدارة,$A23))</f>
        <v/>
      </c>
      <c r="C23" s="44">
        <f>IF($A23="","",COUNTIFS(الموظفون_الإدارة,$A23,الموظفون_الحالة,"نشط"))</f>
        <v/>
      </c>
      <c r="D23" s="60">
        <f>IF($A23="","",SUMIFS(الموظفون_الاساسي,الموظفون_الإدارة,$A23))</f>
        <v/>
      </c>
      <c r="E23" s="60">
        <f>IF($A23="","",SUMIFS(الموظفون_البدلات,الموظفون_الإدارة,$A23))</f>
        <v/>
      </c>
      <c r="F23" s="60">
        <f>IF($A23="","",SUMIFS(الرواتب_الاستحقاقات,الرواتب_الإدارة,$A23))</f>
        <v/>
      </c>
      <c r="G23" s="60">
        <f>IF($A23="","",SUMIFS(الرواتب_الخصومات,الرواتب_الإدارة,$A23))</f>
        <v/>
      </c>
      <c r="H23" s="60">
        <f>IF($A23="","",SUMIFS(الرواتب_الصافي,الرواتب_الإدارة,$A23))</f>
        <v/>
      </c>
      <c r="I23" s="60">
        <f>IF($A23="","",IFERROR(AVERAGEIFS(الموظفون_الاساسي,الموظفون_الإدارة,$A23),0))</f>
        <v/>
      </c>
    </row>
    <row r="24">
      <c r="A24" s="75">
        <f>IFERROR(INDEX(قائمة_الإدارات,18),"")</f>
        <v/>
      </c>
      <c r="B24" s="51">
        <f>IF($A24="","",COUNTIF(الموظفون_الإدارة,$A24))</f>
        <v/>
      </c>
      <c r="C24" s="51">
        <f>IF($A24="","",COUNTIFS(الموظفون_الإدارة,$A24,الموظفون_الحالة,"نشط"))</f>
        <v/>
      </c>
      <c r="D24" s="63">
        <f>IF($A24="","",SUMIFS(الموظفون_الاساسي,الموظفون_الإدارة,$A24))</f>
        <v/>
      </c>
      <c r="E24" s="63">
        <f>IF($A24="","",SUMIFS(الموظفون_البدلات,الموظفون_الإدارة,$A24))</f>
        <v/>
      </c>
      <c r="F24" s="63">
        <f>IF($A24="","",SUMIFS(الرواتب_الاستحقاقات,الرواتب_الإدارة,$A24))</f>
        <v/>
      </c>
      <c r="G24" s="63">
        <f>IF($A24="","",SUMIFS(الرواتب_الخصومات,الرواتب_الإدارة,$A24))</f>
        <v/>
      </c>
      <c r="H24" s="63">
        <f>IF($A24="","",SUMIFS(الرواتب_الصافي,الرواتب_الإدارة,$A24))</f>
        <v/>
      </c>
      <c r="I24" s="63">
        <f>IF($A24="","",IFERROR(AVERAGEIFS(الموظفون_الاساسي,الموظفون_الإدارة,$A24),0))</f>
        <v/>
      </c>
    </row>
    <row r="25">
      <c r="A25" s="74">
        <f>IFERROR(INDEX(قائمة_الإدارات,19),"")</f>
        <v/>
      </c>
      <c r="B25" s="44">
        <f>IF($A25="","",COUNTIF(الموظفون_الإدارة,$A25))</f>
        <v/>
      </c>
      <c r="C25" s="44">
        <f>IF($A25="","",COUNTIFS(الموظفون_الإدارة,$A25,الموظفون_الحالة,"نشط"))</f>
        <v/>
      </c>
      <c r="D25" s="60">
        <f>IF($A25="","",SUMIFS(الموظفون_الاساسي,الموظفون_الإدارة,$A25))</f>
        <v/>
      </c>
      <c r="E25" s="60">
        <f>IF($A25="","",SUMIFS(الموظفون_البدلات,الموظفون_الإدارة,$A25))</f>
        <v/>
      </c>
      <c r="F25" s="60">
        <f>IF($A25="","",SUMIFS(الرواتب_الاستحقاقات,الرواتب_الإدارة,$A25))</f>
        <v/>
      </c>
      <c r="G25" s="60">
        <f>IF($A25="","",SUMIFS(الرواتب_الخصومات,الرواتب_الإدارة,$A25))</f>
        <v/>
      </c>
      <c r="H25" s="60">
        <f>IF($A25="","",SUMIFS(الرواتب_الصافي,الرواتب_الإدارة,$A25))</f>
        <v/>
      </c>
      <c r="I25" s="60">
        <f>IF($A25="","",IFERROR(AVERAGEIFS(الموظفون_الاساسي,الموظفون_الإدارة,$A25),0))</f>
        <v/>
      </c>
    </row>
    <row r="26">
      <c r="A26" s="75">
        <f>IFERROR(INDEX(قائمة_الإدارات,20),"")</f>
        <v/>
      </c>
      <c r="B26" s="51">
        <f>IF($A26="","",COUNTIF(الموظفون_الإدارة,$A26))</f>
        <v/>
      </c>
      <c r="C26" s="51">
        <f>IF($A26="","",COUNTIFS(الموظفون_الإدارة,$A26,الموظفون_الحالة,"نشط"))</f>
        <v/>
      </c>
      <c r="D26" s="63">
        <f>IF($A26="","",SUMIFS(الموظفون_الاساسي,الموظفون_الإدارة,$A26))</f>
        <v/>
      </c>
      <c r="E26" s="63">
        <f>IF($A26="","",SUMIFS(الموظفون_البدلات,الموظفون_الإدارة,$A26))</f>
        <v/>
      </c>
      <c r="F26" s="63">
        <f>IF($A26="","",SUMIFS(الرواتب_الاستحقاقات,الرواتب_الإدارة,$A26))</f>
        <v/>
      </c>
      <c r="G26" s="63">
        <f>IF($A26="","",SUMIFS(الرواتب_الخصومات,الرواتب_الإدارة,$A26))</f>
        <v/>
      </c>
      <c r="H26" s="63">
        <f>IF($A26="","",SUMIFS(الرواتب_الصافي,الرواتب_الإدارة,$A26))</f>
        <v/>
      </c>
      <c r="I26" s="63">
        <f>IF($A26="","",IFERROR(AVERAGEIFS(الموظفون_الاساسي,الموظفون_الإدارة,$A26),0))</f>
        <v/>
      </c>
    </row>
    <row r="27">
      <c r="A27" s="74">
        <f>IFERROR(INDEX(قائمة_الإدارات,21),"")</f>
        <v/>
      </c>
      <c r="B27" s="44">
        <f>IF($A27="","",COUNTIF(الموظفون_الإدارة,$A27))</f>
        <v/>
      </c>
      <c r="C27" s="44">
        <f>IF($A27="","",COUNTIFS(الموظفون_الإدارة,$A27,الموظفون_الحالة,"نشط"))</f>
        <v/>
      </c>
      <c r="D27" s="60">
        <f>IF($A27="","",SUMIFS(الموظفون_الاساسي,الموظفون_الإدارة,$A27))</f>
        <v/>
      </c>
      <c r="E27" s="60">
        <f>IF($A27="","",SUMIFS(الموظفون_البدلات,الموظفون_الإدارة,$A27))</f>
        <v/>
      </c>
      <c r="F27" s="60">
        <f>IF($A27="","",SUMIFS(الرواتب_الاستحقاقات,الرواتب_الإدارة,$A27))</f>
        <v/>
      </c>
      <c r="G27" s="60">
        <f>IF($A27="","",SUMIFS(الرواتب_الخصومات,الرواتب_الإدارة,$A27))</f>
        <v/>
      </c>
      <c r="H27" s="60">
        <f>IF($A27="","",SUMIFS(الرواتب_الصافي,الرواتب_الإدارة,$A27))</f>
        <v/>
      </c>
      <c r="I27" s="60">
        <f>IF($A27="","",IFERROR(AVERAGEIFS(الموظفون_الاساسي,الموظفون_الإدارة,$A27),0))</f>
        <v/>
      </c>
    </row>
    <row r="28">
      <c r="A28" s="75">
        <f>IFERROR(INDEX(قائمة_الإدارات,22),"")</f>
        <v/>
      </c>
      <c r="B28" s="51">
        <f>IF($A28="","",COUNTIF(الموظفون_الإدارة,$A28))</f>
        <v/>
      </c>
      <c r="C28" s="51">
        <f>IF($A28="","",COUNTIFS(الموظفون_الإدارة,$A28,الموظفون_الحالة,"نشط"))</f>
        <v/>
      </c>
      <c r="D28" s="63">
        <f>IF($A28="","",SUMIFS(الموظفون_الاساسي,الموظفون_الإدارة,$A28))</f>
        <v/>
      </c>
      <c r="E28" s="63">
        <f>IF($A28="","",SUMIFS(الموظفون_البدلات,الموظفون_الإدارة,$A28))</f>
        <v/>
      </c>
      <c r="F28" s="63">
        <f>IF($A28="","",SUMIFS(الرواتب_الاستحقاقات,الرواتب_الإدارة,$A28))</f>
        <v/>
      </c>
      <c r="G28" s="63">
        <f>IF($A28="","",SUMIFS(الرواتب_الخصومات,الرواتب_الإدارة,$A28))</f>
        <v/>
      </c>
      <c r="H28" s="63">
        <f>IF($A28="","",SUMIFS(الرواتب_الصافي,الرواتب_الإدارة,$A28))</f>
        <v/>
      </c>
      <c r="I28" s="63">
        <f>IF($A28="","",IFERROR(AVERAGEIFS(الموظفون_الاساسي,الموظفون_الإدارة,$A28),0))</f>
        <v/>
      </c>
    </row>
    <row r="29">
      <c r="A29" s="74">
        <f>IFERROR(INDEX(قائمة_الإدارات,23),"")</f>
        <v/>
      </c>
      <c r="B29" s="44">
        <f>IF($A29="","",COUNTIF(الموظفون_الإدارة,$A29))</f>
        <v/>
      </c>
      <c r="C29" s="44">
        <f>IF($A29="","",COUNTIFS(الموظفون_الإدارة,$A29,الموظفون_الحالة,"نشط"))</f>
        <v/>
      </c>
      <c r="D29" s="60">
        <f>IF($A29="","",SUMIFS(الموظفون_الاساسي,الموظفون_الإدارة,$A29))</f>
        <v/>
      </c>
      <c r="E29" s="60">
        <f>IF($A29="","",SUMIFS(الموظفون_البدلات,الموظفون_الإدارة,$A29))</f>
        <v/>
      </c>
      <c r="F29" s="60">
        <f>IF($A29="","",SUMIFS(الرواتب_الاستحقاقات,الرواتب_الإدارة,$A29))</f>
        <v/>
      </c>
      <c r="G29" s="60">
        <f>IF($A29="","",SUMIFS(الرواتب_الخصومات,الرواتب_الإدارة,$A29))</f>
        <v/>
      </c>
      <c r="H29" s="60">
        <f>IF($A29="","",SUMIFS(الرواتب_الصافي,الرواتب_الإدارة,$A29))</f>
        <v/>
      </c>
      <c r="I29" s="60">
        <f>IF($A29="","",IFERROR(AVERAGEIFS(الموظفون_الاساسي,الموظفون_الإدارة,$A29),0))</f>
        <v/>
      </c>
    </row>
    <row r="30">
      <c r="A30" s="75">
        <f>IFERROR(INDEX(قائمة_الإدارات,24),"")</f>
        <v/>
      </c>
      <c r="B30" s="51">
        <f>IF($A30="","",COUNTIF(الموظفون_الإدارة,$A30))</f>
        <v/>
      </c>
      <c r="C30" s="51">
        <f>IF($A30="","",COUNTIFS(الموظفون_الإدارة,$A30,الموظفون_الحالة,"نشط"))</f>
        <v/>
      </c>
      <c r="D30" s="63">
        <f>IF($A30="","",SUMIFS(الموظفون_الاساسي,الموظفون_الإدارة,$A30))</f>
        <v/>
      </c>
      <c r="E30" s="63">
        <f>IF($A30="","",SUMIFS(الموظفون_البدلات,الموظفون_الإدارة,$A30))</f>
        <v/>
      </c>
      <c r="F30" s="63">
        <f>IF($A30="","",SUMIFS(الرواتب_الاستحقاقات,الرواتب_الإدارة,$A30))</f>
        <v/>
      </c>
      <c r="G30" s="63">
        <f>IF($A30="","",SUMIFS(الرواتب_الخصومات,الرواتب_الإدارة,$A30))</f>
        <v/>
      </c>
      <c r="H30" s="63">
        <f>IF($A30="","",SUMIFS(الرواتب_الصافي,الرواتب_الإدارة,$A30))</f>
        <v/>
      </c>
      <c r="I30" s="63">
        <f>IF($A30="","",IFERROR(AVERAGEIFS(الموظفون_الاساسي,الموظفون_الإدارة,$A30),0))</f>
        <v/>
      </c>
    </row>
    <row r="31">
      <c r="A31" s="74">
        <f>IFERROR(INDEX(قائمة_الإدارات,25),"")</f>
        <v/>
      </c>
      <c r="B31" s="44">
        <f>IF($A31="","",COUNTIF(الموظفون_الإدارة,$A31))</f>
        <v/>
      </c>
      <c r="C31" s="44">
        <f>IF($A31="","",COUNTIFS(الموظفون_الإدارة,$A31,الموظفون_الحالة,"نشط"))</f>
        <v/>
      </c>
      <c r="D31" s="60">
        <f>IF($A31="","",SUMIFS(الموظفون_الاساسي,الموظفون_الإدارة,$A31))</f>
        <v/>
      </c>
      <c r="E31" s="60">
        <f>IF($A31="","",SUMIFS(الموظفون_البدلات,الموظفون_الإدارة,$A31))</f>
        <v/>
      </c>
      <c r="F31" s="60">
        <f>IF($A31="","",SUMIFS(الرواتب_الاستحقاقات,الرواتب_الإدارة,$A31))</f>
        <v/>
      </c>
      <c r="G31" s="60">
        <f>IF($A31="","",SUMIFS(الرواتب_الخصومات,الرواتب_الإدارة,$A31))</f>
        <v/>
      </c>
      <c r="H31" s="60">
        <f>IF($A31="","",SUMIFS(الرواتب_الصافي,الرواتب_الإدارة,$A31))</f>
        <v/>
      </c>
      <c r="I31" s="60">
        <f>IF($A31="","",IFERROR(AVERAGEIFS(الموظفون_الاساسي,الموظفون_الإدارة,$A31),0))</f>
        <v/>
      </c>
    </row>
    <row r="32">
      <c r="A32" s="75">
        <f>IFERROR(INDEX(قائمة_الإدارات,26),"")</f>
        <v/>
      </c>
      <c r="B32" s="51">
        <f>IF($A32="","",COUNTIF(الموظفون_الإدارة,$A32))</f>
        <v/>
      </c>
      <c r="C32" s="51">
        <f>IF($A32="","",COUNTIFS(الموظفون_الإدارة,$A32,الموظفون_الحالة,"نشط"))</f>
        <v/>
      </c>
      <c r="D32" s="63">
        <f>IF($A32="","",SUMIFS(الموظفون_الاساسي,الموظفون_الإدارة,$A32))</f>
        <v/>
      </c>
      <c r="E32" s="63">
        <f>IF($A32="","",SUMIFS(الموظفون_البدلات,الموظفون_الإدارة,$A32))</f>
        <v/>
      </c>
      <c r="F32" s="63">
        <f>IF($A32="","",SUMIFS(الرواتب_الاستحقاقات,الرواتب_الإدارة,$A32))</f>
        <v/>
      </c>
      <c r="G32" s="63">
        <f>IF($A32="","",SUMIFS(الرواتب_الخصومات,الرواتب_الإدارة,$A32))</f>
        <v/>
      </c>
      <c r="H32" s="63">
        <f>IF($A32="","",SUMIFS(الرواتب_الصافي,الرواتب_الإدارة,$A32))</f>
        <v/>
      </c>
      <c r="I32" s="63">
        <f>IF($A32="","",IFERROR(AVERAGEIFS(الموظفون_الاساسي,الموظفون_الإدارة,$A32),0))</f>
        <v/>
      </c>
    </row>
    <row r="33">
      <c r="A33" s="74">
        <f>IFERROR(INDEX(قائمة_الإدارات,27),"")</f>
        <v/>
      </c>
      <c r="B33" s="44">
        <f>IF($A33="","",COUNTIF(الموظفون_الإدارة,$A33))</f>
        <v/>
      </c>
      <c r="C33" s="44">
        <f>IF($A33="","",COUNTIFS(الموظفون_الإدارة,$A33,الموظفون_الحالة,"نشط"))</f>
        <v/>
      </c>
      <c r="D33" s="60">
        <f>IF($A33="","",SUMIFS(الموظفون_الاساسي,الموظفون_الإدارة,$A33))</f>
        <v/>
      </c>
      <c r="E33" s="60">
        <f>IF($A33="","",SUMIFS(الموظفون_البدلات,الموظفون_الإدارة,$A33))</f>
        <v/>
      </c>
      <c r="F33" s="60">
        <f>IF($A33="","",SUMIFS(الرواتب_الاستحقاقات,الرواتب_الإدارة,$A33))</f>
        <v/>
      </c>
      <c r="G33" s="60">
        <f>IF($A33="","",SUMIFS(الرواتب_الخصومات,الرواتب_الإدارة,$A33))</f>
        <v/>
      </c>
      <c r="H33" s="60">
        <f>IF($A33="","",SUMIFS(الرواتب_الصافي,الرواتب_الإدارة,$A33))</f>
        <v/>
      </c>
      <c r="I33" s="60">
        <f>IF($A33="","",IFERROR(AVERAGEIFS(الموظفون_الاساسي,الموظفون_الإدارة,$A33),0))</f>
        <v/>
      </c>
    </row>
    <row r="34">
      <c r="A34" s="75">
        <f>IFERROR(INDEX(قائمة_الإدارات,28),"")</f>
        <v/>
      </c>
      <c r="B34" s="51">
        <f>IF($A34="","",COUNTIF(الموظفون_الإدارة,$A34))</f>
        <v/>
      </c>
      <c r="C34" s="51">
        <f>IF($A34="","",COUNTIFS(الموظفون_الإدارة,$A34,الموظفون_الحالة,"نشط"))</f>
        <v/>
      </c>
      <c r="D34" s="63">
        <f>IF($A34="","",SUMIFS(الموظفون_الاساسي,الموظفون_الإدارة,$A34))</f>
        <v/>
      </c>
      <c r="E34" s="63">
        <f>IF($A34="","",SUMIFS(الموظفون_البدلات,الموظفون_الإدارة,$A34))</f>
        <v/>
      </c>
      <c r="F34" s="63">
        <f>IF($A34="","",SUMIFS(الرواتب_الاستحقاقات,الرواتب_الإدارة,$A34))</f>
        <v/>
      </c>
      <c r="G34" s="63">
        <f>IF($A34="","",SUMIFS(الرواتب_الخصومات,الرواتب_الإدارة,$A34))</f>
        <v/>
      </c>
      <c r="H34" s="63">
        <f>IF($A34="","",SUMIFS(الرواتب_الصافي,الرواتب_الإدارة,$A34))</f>
        <v/>
      </c>
      <c r="I34" s="63">
        <f>IF($A34="","",IFERROR(AVERAGEIFS(الموظفون_الاساسي,الموظفون_الإدارة,$A34),0))</f>
        <v/>
      </c>
    </row>
    <row r="35">
      <c r="A35" s="74">
        <f>IFERROR(INDEX(قائمة_الإدارات,29),"")</f>
        <v/>
      </c>
      <c r="B35" s="44">
        <f>IF($A35="","",COUNTIF(الموظفون_الإدارة,$A35))</f>
        <v/>
      </c>
      <c r="C35" s="44">
        <f>IF($A35="","",COUNTIFS(الموظفون_الإدارة,$A35,الموظفون_الحالة,"نشط"))</f>
        <v/>
      </c>
      <c r="D35" s="60">
        <f>IF($A35="","",SUMIFS(الموظفون_الاساسي,الموظفون_الإدارة,$A35))</f>
        <v/>
      </c>
      <c r="E35" s="60">
        <f>IF($A35="","",SUMIFS(الموظفون_البدلات,الموظفون_الإدارة,$A35))</f>
        <v/>
      </c>
      <c r="F35" s="60">
        <f>IF($A35="","",SUMIFS(الرواتب_الاستحقاقات,الرواتب_الإدارة,$A35))</f>
        <v/>
      </c>
      <c r="G35" s="60">
        <f>IF($A35="","",SUMIFS(الرواتب_الخصومات,الرواتب_الإدارة,$A35))</f>
        <v/>
      </c>
      <c r="H35" s="60">
        <f>IF($A35="","",SUMIFS(الرواتب_الصافي,الرواتب_الإدارة,$A35))</f>
        <v/>
      </c>
      <c r="I35" s="60">
        <f>IF($A35="","",IFERROR(AVERAGEIFS(الموظفون_الاساسي,الموظفون_الإدارة,$A35),0))</f>
        <v/>
      </c>
    </row>
    <row r="36">
      <c r="A36" s="75">
        <f>IFERROR(INDEX(قائمة_الإدارات,30),"")</f>
        <v/>
      </c>
      <c r="B36" s="51">
        <f>IF($A36="","",COUNTIF(الموظفون_الإدارة,$A36))</f>
        <v/>
      </c>
      <c r="C36" s="51">
        <f>IF($A36="","",COUNTIFS(الموظفون_الإدارة,$A36,الموظفون_الحالة,"نشط"))</f>
        <v/>
      </c>
      <c r="D36" s="63">
        <f>IF($A36="","",SUMIFS(الموظفون_الاساسي,الموظفون_الإدارة,$A36))</f>
        <v/>
      </c>
      <c r="E36" s="63">
        <f>IF($A36="","",SUMIFS(الموظفون_البدلات,الموظفون_الإدارة,$A36))</f>
        <v/>
      </c>
      <c r="F36" s="63">
        <f>IF($A36="","",SUMIFS(الرواتب_الاستحقاقات,الرواتب_الإدارة,$A36))</f>
        <v/>
      </c>
      <c r="G36" s="63">
        <f>IF($A36="","",SUMIFS(الرواتب_الخصومات,الرواتب_الإدارة,$A36))</f>
        <v/>
      </c>
      <c r="H36" s="63">
        <f>IF($A36="","",SUMIFS(الرواتب_الصافي,الرواتب_الإدارة,$A36))</f>
        <v/>
      </c>
      <c r="I36" s="63">
        <f>IF($A36="","",IFERROR(AVERAGEIFS(الموظفون_الاساسي,الموظفون_الإدارة,$A36),0))</f>
        <v/>
      </c>
    </row>
    <row r="37">
      <c r="A37" s="74">
        <f>IFERROR(INDEX(قائمة_الإدارات,31),"")</f>
        <v/>
      </c>
      <c r="B37" s="44">
        <f>IF($A37="","",COUNTIF(الموظفون_الإدارة,$A37))</f>
        <v/>
      </c>
      <c r="C37" s="44">
        <f>IF($A37="","",COUNTIFS(الموظفون_الإدارة,$A37,الموظفون_الحالة,"نشط"))</f>
        <v/>
      </c>
      <c r="D37" s="60">
        <f>IF($A37="","",SUMIFS(الموظفون_الاساسي,الموظفون_الإدارة,$A37))</f>
        <v/>
      </c>
      <c r="E37" s="60">
        <f>IF($A37="","",SUMIFS(الموظفون_البدلات,الموظفون_الإدارة,$A37))</f>
        <v/>
      </c>
      <c r="F37" s="60">
        <f>IF($A37="","",SUMIFS(الرواتب_الاستحقاقات,الرواتب_الإدارة,$A37))</f>
        <v/>
      </c>
      <c r="G37" s="60">
        <f>IF($A37="","",SUMIFS(الرواتب_الخصومات,الرواتب_الإدارة,$A37))</f>
        <v/>
      </c>
      <c r="H37" s="60">
        <f>IF($A37="","",SUMIFS(الرواتب_الصافي,الرواتب_الإدارة,$A37))</f>
        <v/>
      </c>
      <c r="I37" s="60">
        <f>IF($A37="","",IFERROR(AVERAGEIFS(الموظفون_الاساسي,الموظفون_الإدارة,$A37),0))</f>
        <v/>
      </c>
    </row>
    <row r="38">
      <c r="A38" s="75">
        <f>IFERROR(INDEX(قائمة_الإدارات,32),"")</f>
        <v/>
      </c>
      <c r="B38" s="51">
        <f>IF($A38="","",COUNTIF(الموظفون_الإدارة,$A38))</f>
        <v/>
      </c>
      <c r="C38" s="51">
        <f>IF($A38="","",COUNTIFS(الموظفون_الإدارة,$A38,الموظفون_الحالة,"نشط"))</f>
        <v/>
      </c>
      <c r="D38" s="63">
        <f>IF($A38="","",SUMIFS(الموظفون_الاساسي,الموظفون_الإدارة,$A38))</f>
        <v/>
      </c>
      <c r="E38" s="63">
        <f>IF($A38="","",SUMIFS(الموظفون_البدلات,الموظفون_الإدارة,$A38))</f>
        <v/>
      </c>
      <c r="F38" s="63">
        <f>IF($A38="","",SUMIFS(الرواتب_الاستحقاقات,الرواتب_الإدارة,$A38))</f>
        <v/>
      </c>
      <c r="G38" s="63">
        <f>IF($A38="","",SUMIFS(الرواتب_الخصومات,الرواتب_الإدارة,$A38))</f>
        <v/>
      </c>
      <c r="H38" s="63">
        <f>IF($A38="","",SUMIFS(الرواتب_الصافي,الرواتب_الإدارة,$A38))</f>
        <v/>
      </c>
      <c r="I38" s="63">
        <f>IF($A38="","",IFERROR(AVERAGEIFS(الموظفون_الاساسي,الموظفون_الإدارة,$A38),0))</f>
        <v/>
      </c>
    </row>
    <row r="39">
      <c r="A39" s="74">
        <f>IFERROR(INDEX(قائمة_الإدارات,33),"")</f>
        <v/>
      </c>
      <c r="B39" s="44">
        <f>IF($A39="","",COUNTIF(الموظفون_الإدارة,$A39))</f>
        <v/>
      </c>
      <c r="C39" s="44">
        <f>IF($A39="","",COUNTIFS(الموظفون_الإدارة,$A39,الموظفون_الحالة,"نشط"))</f>
        <v/>
      </c>
      <c r="D39" s="60">
        <f>IF($A39="","",SUMIFS(الموظفون_الاساسي,الموظفون_الإدارة,$A39))</f>
        <v/>
      </c>
      <c r="E39" s="60">
        <f>IF($A39="","",SUMIFS(الموظفون_البدلات,الموظفون_الإدارة,$A39))</f>
        <v/>
      </c>
      <c r="F39" s="60">
        <f>IF($A39="","",SUMIFS(الرواتب_الاستحقاقات,الرواتب_الإدارة,$A39))</f>
        <v/>
      </c>
      <c r="G39" s="60">
        <f>IF($A39="","",SUMIFS(الرواتب_الخصومات,الرواتب_الإدارة,$A39))</f>
        <v/>
      </c>
      <c r="H39" s="60">
        <f>IF($A39="","",SUMIFS(الرواتب_الصافي,الرواتب_الإدارة,$A39))</f>
        <v/>
      </c>
      <c r="I39" s="60">
        <f>IF($A39="","",IFERROR(AVERAGEIFS(الموظفون_الاساسي,الموظفون_الإدارة,$A39),0))</f>
        <v/>
      </c>
    </row>
    <row r="40">
      <c r="A40" s="75">
        <f>IFERROR(INDEX(قائمة_الإدارات,34),"")</f>
        <v/>
      </c>
      <c r="B40" s="51">
        <f>IF($A40="","",COUNTIF(الموظفون_الإدارة,$A40))</f>
        <v/>
      </c>
      <c r="C40" s="51">
        <f>IF($A40="","",COUNTIFS(الموظفون_الإدارة,$A40,الموظفون_الحالة,"نشط"))</f>
        <v/>
      </c>
      <c r="D40" s="63">
        <f>IF($A40="","",SUMIFS(الموظفون_الاساسي,الموظفون_الإدارة,$A40))</f>
        <v/>
      </c>
      <c r="E40" s="63">
        <f>IF($A40="","",SUMIFS(الموظفون_البدلات,الموظفون_الإدارة,$A40))</f>
        <v/>
      </c>
      <c r="F40" s="63">
        <f>IF($A40="","",SUMIFS(الرواتب_الاستحقاقات,الرواتب_الإدارة,$A40))</f>
        <v/>
      </c>
      <c r="G40" s="63">
        <f>IF($A40="","",SUMIFS(الرواتب_الخصومات,الرواتب_الإدارة,$A40))</f>
        <v/>
      </c>
      <c r="H40" s="63">
        <f>IF($A40="","",SUMIFS(الرواتب_الصافي,الرواتب_الإدارة,$A40))</f>
        <v/>
      </c>
      <c r="I40" s="63">
        <f>IF($A40="","",IFERROR(AVERAGEIFS(الموظفون_الاساسي,الموظفون_الإدارة,$A40),0))</f>
        <v/>
      </c>
    </row>
    <row r="41">
      <c r="A41" s="74">
        <f>IFERROR(INDEX(قائمة_الإدارات,35),"")</f>
        <v/>
      </c>
      <c r="B41" s="44">
        <f>IF($A41="","",COUNTIF(الموظفون_الإدارة,$A41))</f>
        <v/>
      </c>
      <c r="C41" s="44">
        <f>IF($A41="","",COUNTIFS(الموظفون_الإدارة,$A41,الموظفون_الحالة,"نشط"))</f>
        <v/>
      </c>
      <c r="D41" s="60">
        <f>IF($A41="","",SUMIFS(الموظفون_الاساسي,الموظفون_الإدارة,$A41))</f>
        <v/>
      </c>
      <c r="E41" s="60">
        <f>IF($A41="","",SUMIFS(الموظفون_البدلات,الموظفون_الإدارة,$A41))</f>
        <v/>
      </c>
      <c r="F41" s="60">
        <f>IF($A41="","",SUMIFS(الرواتب_الاستحقاقات,الرواتب_الإدارة,$A41))</f>
        <v/>
      </c>
      <c r="G41" s="60">
        <f>IF($A41="","",SUMIFS(الرواتب_الخصومات,الرواتب_الإدارة,$A41))</f>
        <v/>
      </c>
      <c r="H41" s="60">
        <f>IF($A41="","",SUMIFS(الرواتب_الصافي,الرواتب_الإدارة,$A41))</f>
        <v/>
      </c>
      <c r="I41" s="60">
        <f>IF($A41="","",IFERROR(AVERAGEIFS(الموظفون_الاساسي,الموظفون_الإدارة,$A41),0))</f>
        <v/>
      </c>
    </row>
    <row r="42">
      <c r="A42" s="75">
        <f>IFERROR(INDEX(قائمة_الإدارات,36),"")</f>
        <v/>
      </c>
      <c r="B42" s="51">
        <f>IF($A42="","",COUNTIF(الموظفون_الإدارة,$A42))</f>
        <v/>
      </c>
      <c r="C42" s="51">
        <f>IF($A42="","",COUNTIFS(الموظفون_الإدارة,$A42,الموظفون_الحالة,"نشط"))</f>
        <v/>
      </c>
      <c r="D42" s="63">
        <f>IF($A42="","",SUMIFS(الموظفون_الاساسي,الموظفون_الإدارة,$A42))</f>
        <v/>
      </c>
      <c r="E42" s="63">
        <f>IF($A42="","",SUMIFS(الموظفون_البدلات,الموظفون_الإدارة,$A42))</f>
        <v/>
      </c>
      <c r="F42" s="63">
        <f>IF($A42="","",SUMIFS(الرواتب_الاستحقاقات,الرواتب_الإدارة,$A42))</f>
        <v/>
      </c>
      <c r="G42" s="63">
        <f>IF($A42="","",SUMIFS(الرواتب_الخصومات,الرواتب_الإدارة,$A42))</f>
        <v/>
      </c>
      <c r="H42" s="63">
        <f>IF($A42="","",SUMIFS(الرواتب_الصافي,الرواتب_الإدارة,$A42))</f>
        <v/>
      </c>
      <c r="I42" s="63">
        <f>IF($A42="","",IFERROR(AVERAGEIFS(الموظفون_الاساسي,الموظفون_الإدارة,$A42),0))</f>
        <v/>
      </c>
    </row>
    <row r="43">
      <c r="A43" s="74">
        <f>IFERROR(INDEX(قائمة_الإدارات,37),"")</f>
        <v/>
      </c>
      <c r="B43" s="44">
        <f>IF($A43="","",COUNTIF(الموظفون_الإدارة,$A43))</f>
        <v/>
      </c>
      <c r="C43" s="44">
        <f>IF($A43="","",COUNTIFS(الموظفون_الإدارة,$A43,الموظفون_الحالة,"نشط"))</f>
        <v/>
      </c>
      <c r="D43" s="60">
        <f>IF($A43="","",SUMIFS(الموظفون_الاساسي,الموظفون_الإدارة,$A43))</f>
        <v/>
      </c>
      <c r="E43" s="60">
        <f>IF($A43="","",SUMIFS(الموظفون_البدلات,الموظفون_الإدارة,$A43))</f>
        <v/>
      </c>
      <c r="F43" s="60">
        <f>IF($A43="","",SUMIFS(الرواتب_الاستحقاقات,الرواتب_الإدارة,$A43))</f>
        <v/>
      </c>
      <c r="G43" s="60">
        <f>IF($A43="","",SUMIFS(الرواتب_الخصومات,الرواتب_الإدارة,$A43))</f>
        <v/>
      </c>
      <c r="H43" s="60">
        <f>IF($A43="","",SUMIFS(الرواتب_الصافي,الرواتب_الإدارة,$A43))</f>
        <v/>
      </c>
      <c r="I43" s="60">
        <f>IF($A43="","",IFERROR(AVERAGEIFS(الموظفون_الاساسي,الموظفون_الإدارة,$A43),0))</f>
        <v/>
      </c>
    </row>
    <row r="44">
      <c r="A44" s="75">
        <f>IFERROR(INDEX(قائمة_الإدارات,38),"")</f>
        <v/>
      </c>
      <c r="B44" s="51">
        <f>IF($A44="","",COUNTIF(الموظفون_الإدارة,$A44))</f>
        <v/>
      </c>
      <c r="C44" s="51">
        <f>IF($A44="","",COUNTIFS(الموظفون_الإدارة,$A44,الموظفون_الحالة,"نشط"))</f>
        <v/>
      </c>
      <c r="D44" s="63">
        <f>IF($A44="","",SUMIFS(الموظفون_الاساسي,الموظفون_الإدارة,$A44))</f>
        <v/>
      </c>
      <c r="E44" s="63">
        <f>IF($A44="","",SUMIFS(الموظفون_البدلات,الموظفون_الإدارة,$A44))</f>
        <v/>
      </c>
      <c r="F44" s="63">
        <f>IF($A44="","",SUMIFS(الرواتب_الاستحقاقات,الرواتب_الإدارة,$A44))</f>
        <v/>
      </c>
      <c r="G44" s="63">
        <f>IF($A44="","",SUMIFS(الرواتب_الخصومات,الرواتب_الإدارة,$A44))</f>
        <v/>
      </c>
      <c r="H44" s="63">
        <f>IF($A44="","",SUMIFS(الرواتب_الصافي,الرواتب_الإدارة,$A44))</f>
        <v/>
      </c>
      <c r="I44" s="63">
        <f>IF($A44="","",IFERROR(AVERAGEIFS(الموظفون_الاساسي,الموظفون_الإدارة,$A44),0))</f>
        <v/>
      </c>
    </row>
    <row r="45">
      <c r="A45" s="74">
        <f>IFERROR(INDEX(قائمة_الإدارات,39),"")</f>
        <v/>
      </c>
      <c r="B45" s="44">
        <f>IF($A45="","",COUNTIF(الموظفون_الإدارة,$A45))</f>
        <v/>
      </c>
      <c r="C45" s="44">
        <f>IF($A45="","",COUNTIFS(الموظفون_الإدارة,$A45,الموظفون_الحالة,"نشط"))</f>
        <v/>
      </c>
      <c r="D45" s="60">
        <f>IF($A45="","",SUMIFS(الموظفون_الاساسي,الموظفون_الإدارة,$A45))</f>
        <v/>
      </c>
      <c r="E45" s="60">
        <f>IF($A45="","",SUMIFS(الموظفون_البدلات,الموظفون_الإدارة,$A45))</f>
        <v/>
      </c>
      <c r="F45" s="60">
        <f>IF($A45="","",SUMIFS(الرواتب_الاستحقاقات,الرواتب_الإدارة,$A45))</f>
        <v/>
      </c>
      <c r="G45" s="60">
        <f>IF($A45="","",SUMIFS(الرواتب_الخصومات,الرواتب_الإدارة,$A45))</f>
        <v/>
      </c>
      <c r="H45" s="60">
        <f>IF($A45="","",SUMIFS(الرواتب_الصافي,الرواتب_الإدارة,$A45))</f>
        <v/>
      </c>
      <c r="I45" s="60">
        <f>IF($A45="","",IFERROR(AVERAGEIFS(الموظفون_الاساسي,الموظفون_الإدارة,$A45),0))</f>
        <v/>
      </c>
    </row>
    <row r="46">
      <c r="A46" s="75">
        <f>IFERROR(INDEX(قائمة_الإدارات,40),"")</f>
        <v/>
      </c>
      <c r="B46" s="51">
        <f>IF($A46="","",COUNTIF(الموظفون_الإدارة,$A46))</f>
        <v/>
      </c>
      <c r="C46" s="51">
        <f>IF($A46="","",COUNTIFS(الموظفون_الإدارة,$A46,الموظفون_الحالة,"نشط"))</f>
        <v/>
      </c>
      <c r="D46" s="63">
        <f>IF($A46="","",SUMIFS(الموظفون_الاساسي,الموظفون_الإدارة,$A46))</f>
        <v/>
      </c>
      <c r="E46" s="63">
        <f>IF($A46="","",SUMIFS(الموظفون_البدلات,الموظفون_الإدارة,$A46))</f>
        <v/>
      </c>
      <c r="F46" s="63">
        <f>IF($A46="","",SUMIFS(الرواتب_الاستحقاقات,الرواتب_الإدارة,$A46))</f>
        <v/>
      </c>
      <c r="G46" s="63">
        <f>IF($A46="","",SUMIFS(الرواتب_الخصومات,الرواتب_الإدارة,$A46))</f>
        <v/>
      </c>
      <c r="H46" s="63">
        <f>IF($A46="","",SUMIFS(الرواتب_الصافي,الرواتب_الإدارة,$A46))</f>
        <v/>
      </c>
      <c r="I46" s="63">
        <f>IF($A46="","",IFERROR(AVERAGEIFS(الموظفون_الاساسي,الموظفون_الإدارة,$A46),0))</f>
        <v/>
      </c>
    </row>
    <row r="47">
      <c r="A47" s="74">
        <f>IFERROR(INDEX(قائمة_الإدارات,41),"")</f>
        <v/>
      </c>
      <c r="B47" s="44">
        <f>IF($A47="","",COUNTIF(الموظفون_الإدارة,$A47))</f>
        <v/>
      </c>
      <c r="C47" s="44">
        <f>IF($A47="","",COUNTIFS(الموظفون_الإدارة,$A47,الموظفون_الحالة,"نشط"))</f>
        <v/>
      </c>
      <c r="D47" s="60">
        <f>IF($A47="","",SUMIFS(الموظفون_الاساسي,الموظفون_الإدارة,$A47))</f>
        <v/>
      </c>
      <c r="E47" s="60">
        <f>IF($A47="","",SUMIFS(الموظفون_البدلات,الموظفون_الإدارة,$A47))</f>
        <v/>
      </c>
      <c r="F47" s="60">
        <f>IF($A47="","",SUMIFS(الرواتب_الاستحقاقات,الرواتب_الإدارة,$A47))</f>
        <v/>
      </c>
      <c r="G47" s="60">
        <f>IF($A47="","",SUMIFS(الرواتب_الخصومات,الرواتب_الإدارة,$A47))</f>
        <v/>
      </c>
      <c r="H47" s="60">
        <f>IF($A47="","",SUMIFS(الرواتب_الصافي,الرواتب_الإدارة,$A47))</f>
        <v/>
      </c>
      <c r="I47" s="60">
        <f>IF($A47="","",IFERROR(AVERAGEIFS(الموظفون_الاساسي,الموظفون_الإدارة,$A47),0))</f>
        <v/>
      </c>
    </row>
    <row r="48">
      <c r="A48" s="75">
        <f>IFERROR(INDEX(قائمة_الإدارات,42),"")</f>
        <v/>
      </c>
      <c r="B48" s="51">
        <f>IF($A48="","",COUNTIF(الموظفون_الإدارة,$A48))</f>
        <v/>
      </c>
      <c r="C48" s="51">
        <f>IF($A48="","",COUNTIFS(الموظفون_الإدارة,$A48,الموظفون_الحالة,"نشط"))</f>
        <v/>
      </c>
      <c r="D48" s="63">
        <f>IF($A48="","",SUMIFS(الموظفون_الاساسي,الموظفون_الإدارة,$A48))</f>
        <v/>
      </c>
      <c r="E48" s="63">
        <f>IF($A48="","",SUMIFS(الموظفون_البدلات,الموظفون_الإدارة,$A48))</f>
        <v/>
      </c>
      <c r="F48" s="63">
        <f>IF($A48="","",SUMIFS(الرواتب_الاستحقاقات,الرواتب_الإدارة,$A48))</f>
        <v/>
      </c>
      <c r="G48" s="63">
        <f>IF($A48="","",SUMIFS(الرواتب_الخصومات,الرواتب_الإدارة,$A48))</f>
        <v/>
      </c>
      <c r="H48" s="63">
        <f>IF($A48="","",SUMIFS(الرواتب_الصافي,الرواتب_الإدارة,$A48))</f>
        <v/>
      </c>
      <c r="I48" s="63">
        <f>IF($A48="","",IFERROR(AVERAGEIFS(الموظفون_الاساسي,الموظفون_الإدارة,$A48),0))</f>
        <v/>
      </c>
    </row>
    <row r="49">
      <c r="A49" s="74">
        <f>IFERROR(INDEX(قائمة_الإدارات,43),"")</f>
        <v/>
      </c>
      <c r="B49" s="44">
        <f>IF($A49="","",COUNTIF(الموظفون_الإدارة,$A49))</f>
        <v/>
      </c>
      <c r="C49" s="44">
        <f>IF($A49="","",COUNTIFS(الموظفون_الإدارة,$A49,الموظفون_الحالة,"نشط"))</f>
        <v/>
      </c>
      <c r="D49" s="60">
        <f>IF($A49="","",SUMIFS(الموظفون_الاساسي,الموظفون_الإدارة,$A49))</f>
        <v/>
      </c>
      <c r="E49" s="60">
        <f>IF($A49="","",SUMIFS(الموظفون_البدلات,الموظفون_الإدارة,$A49))</f>
        <v/>
      </c>
      <c r="F49" s="60">
        <f>IF($A49="","",SUMIFS(الرواتب_الاستحقاقات,الرواتب_الإدارة,$A49))</f>
        <v/>
      </c>
      <c r="G49" s="60">
        <f>IF($A49="","",SUMIFS(الرواتب_الخصومات,الرواتب_الإدارة,$A49))</f>
        <v/>
      </c>
      <c r="H49" s="60">
        <f>IF($A49="","",SUMIFS(الرواتب_الصافي,الرواتب_الإدارة,$A49))</f>
        <v/>
      </c>
      <c r="I49" s="60">
        <f>IF($A49="","",IFERROR(AVERAGEIFS(الموظفون_الاساسي,الموظفون_الإدارة,$A49),0))</f>
        <v/>
      </c>
    </row>
    <row r="50">
      <c r="A50" s="75">
        <f>IFERROR(INDEX(قائمة_الإدارات,44),"")</f>
        <v/>
      </c>
      <c r="B50" s="51">
        <f>IF($A50="","",COUNTIF(الموظفون_الإدارة,$A50))</f>
        <v/>
      </c>
      <c r="C50" s="51">
        <f>IF($A50="","",COUNTIFS(الموظفون_الإدارة,$A50,الموظفون_الحالة,"نشط"))</f>
        <v/>
      </c>
      <c r="D50" s="63">
        <f>IF($A50="","",SUMIFS(الموظفون_الاساسي,الموظفون_الإدارة,$A50))</f>
        <v/>
      </c>
      <c r="E50" s="63">
        <f>IF($A50="","",SUMIFS(الموظفون_البدلات,الموظفون_الإدارة,$A50))</f>
        <v/>
      </c>
      <c r="F50" s="63">
        <f>IF($A50="","",SUMIFS(الرواتب_الاستحقاقات,الرواتب_الإدارة,$A50))</f>
        <v/>
      </c>
      <c r="G50" s="63">
        <f>IF($A50="","",SUMIFS(الرواتب_الخصومات,الرواتب_الإدارة,$A50))</f>
        <v/>
      </c>
      <c r="H50" s="63">
        <f>IF($A50="","",SUMIFS(الرواتب_الصافي,الرواتب_الإدارة,$A50))</f>
        <v/>
      </c>
      <c r="I50" s="63">
        <f>IF($A50="","",IFERROR(AVERAGEIFS(الموظفون_الاساسي,الموظفون_الإدارة,$A50),0))</f>
        <v/>
      </c>
    </row>
    <row r="51">
      <c r="A51" s="74">
        <f>IFERROR(INDEX(قائمة_الإدارات,45),"")</f>
        <v/>
      </c>
      <c r="B51" s="44">
        <f>IF($A51="","",COUNTIF(الموظفون_الإدارة,$A51))</f>
        <v/>
      </c>
      <c r="C51" s="44">
        <f>IF($A51="","",COUNTIFS(الموظفون_الإدارة,$A51,الموظفون_الحالة,"نشط"))</f>
        <v/>
      </c>
      <c r="D51" s="60">
        <f>IF($A51="","",SUMIFS(الموظفون_الاساسي,الموظفون_الإدارة,$A51))</f>
        <v/>
      </c>
      <c r="E51" s="60">
        <f>IF($A51="","",SUMIFS(الموظفون_البدلات,الموظفون_الإدارة,$A51))</f>
        <v/>
      </c>
      <c r="F51" s="60">
        <f>IF($A51="","",SUMIFS(الرواتب_الاستحقاقات,الرواتب_الإدارة,$A51))</f>
        <v/>
      </c>
      <c r="G51" s="60">
        <f>IF($A51="","",SUMIFS(الرواتب_الخصومات,الرواتب_الإدارة,$A51))</f>
        <v/>
      </c>
      <c r="H51" s="60">
        <f>IF($A51="","",SUMIFS(الرواتب_الصافي,الرواتب_الإدارة,$A51))</f>
        <v/>
      </c>
      <c r="I51" s="60">
        <f>IF($A51="","",IFERROR(AVERAGEIFS(الموظفون_الاساسي,الموظفون_الإدارة,$A51),0))</f>
        <v/>
      </c>
    </row>
    <row r="52">
      <c r="A52" s="75">
        <f>IFERROR(INDEX(قائمة_الإدارات,46),"")</f>
        <v/>
      </c>
      <c r="B52" s="51">
        <f>IF($A52="","",COUNTIF(الموظفون_الإدارة,$A52))</f>
        <v/>
      </c>
      <c r="C52" s="51">
        <f>IF($A52="","",COUNTIFS(الموظفون_الإدارة,$A52,الموظفون_الحالة,"نشط"))</f>
        <v/>
      </c>
      <c r="D52" s="63">
        <f>IF($A52="","",SUMIFS(الموظفون_الاساسي,الموظفون_الإدارة,$A52))</f>
        <v/>
      </c>
      <c r="E52" s="63">
        <f>IF($A52="","",SUMIFS(الموظفون_البدلات,الموظفون_الإدارة,$A52))</f>
        <v/>
      </c>
      <c r="F52" s="63">
        <f>IF($A52="","",SUMIFS(الرواتب_الاستحقاقات,الرواتب_الإدارة,$A52))</f>
        <v/>
      </c>
      <c r="G52" s="63">
        <f>IF($A52="","",SUMIFS(الرواتب_الخصومات,الرواتب_الإدارة,$A52))</f>
        <v/>
      </c>
      <c r="H52" s="63">
        <f>IF($A52="","",SUMIFS(الرواتب_الصافي,الرواتب_الإدارة,$A52))</f>
        <v/>
      </c>
      <c r="I52" s="63">
        <f>IF($A52="","",IFERROR(AVERAGEIFS(الموظفون_الاساسي,الموظفون_الإدارة,$A52),0))</f>
        <v/>
      </c>
    </row>
    <row r="53">
      <c r="A53" s="74">
        <f>IFERROR(INDEX(قائمة_الإدارات,47),"")</f>
        <v/>
      </c>
      <c r="B53" s="44">
        <f>IF($A53="","",COUNTIF(الموظفون_الإدارة,$A53))</f>
        <v/>
      </c>
      <c r="C53" s="44">
        <f>IF($A53="","",COUNTIFS(الموظفون_الإدارة,$A53,الموظفون_الحالة,"نشط"))</f>
        <v/>
      </c>
      <c r="D53" s="60">
        <f>IF($A53="","",SUMIFS(الموظفون_الاساسي,الموظفون_الإدارة,$A53))</f>
        <v/>
      </c>
      <c r="E53" s="60">
        <f>IF($A53="","",SUMIFS(الموظفون_البدلات,الموظفون_الإدارة,$A53))</f>
        <v/>
      </c>
      <c r="F53" s="60">
        <f>IF($A53="","",SUMIFS(الرواتب_الاستحقاقات,الرواتب_الإدارة,$A53))</f>
        <v/>
      </c>
      <c r="G53" s="60">
        <f>IF($A53="","",SUMIFS(الرواتب_الخصومات,الرواتب_الإدارة,$A53))</f>
        <v/>
      </c>
      <c r="H53" s="60">
        <f>IF($A53="","",SUMIFS(الرواتب_الصافي,الرواتب_الإدارة,$A53))</f>
        <v/>
      </c>
      <c r="I53" s="60">
        <f>IF($A53="","",IFERROR(AVERAGEIFS(الموظفون_الاساسي,الموظفون_الإدارة,$A53),0))</f>
        <v/>
      </c>
    </row>
    <row r="54">
      <c r="A54" s="75">
        <f>IFERROR(INDEX(قائمة_الإدارات,48),"")</f>
        <v/>
      </c>
      <c r="B54" s="51">
        <f>IF($A54="","",COUNTIF(الموظفون_الإدارة,$A54))</f>
        <v/>
      </c>
      <c r="C54" s="51">
        <f>IF($A54="","",COUNTIFS(الموظفون_الإدارة,$A54,الموظفون_الحالة,"نشط"))</f>
        <v/>
      </c>
      <c r="D54" s="63">
        <f>IF($A54="","",SUMIFS(الموظفون_الاساسي,الموظفون_الإدارة,$A54))</f>
        <v/>
      </c>
      <c r="E54" s="63">
        <f>IF($A54="","",SUMIFS(الموظفون_البدلات,الموظفون_الإدارة,$A54))</f>
        <v/>
      </c>
      <c r="F54" s="63">
        <f>IF($A54="","",SUMIFS(الرواتب_الاستحقاقات,الرواتب_الإدارة,$A54))</f>
        <v/>
      </c>
      <c r="G54" s="63">
        <f>IF($A54="","",SUMIFS(الرواتب_الخصومات,الرواتب_الإدارة,$A54))</f>
        <v/>
      </c>
      <c r="H54" s="63">
        <f>IF($A54="","",SUMIFS(الرواتب_الصافي,الرواتب_الإدارة,$A54))</f>
        <v/>
      </c>
      <c r="I54" s="63">
        <f>IF($A54="","",IFERROR(AVERAGEIFS(الموظفون_الاساسي,الموظفون_الإدارة,$A54),0))</f>
        <v/>
      </c>
    </row>
    <row r="55">
      <c r="A55" s="74">
        <f>IFERROR(INDEX(قائمة_الإدارات,49),"")</f>
        <v/>
      </c>
      <c r="B55" s="44">
        <f>IF($A55="","",COUNTIF(الموظفون_الإدارة,$A55))</f>
        <v/>
      </c>
      <c r="C55" s="44">
        <f>IF($A55="","",COUNTIFS(الموظفون_الإدارة,$A55,الموظفون_الحالة,"نشط"))</f>
        <v/>
      </c>
      <c r="D55" s="60">
        <f>IF($A55="","",SUMIFS(الموظفون_الاساسي,الموظفون_الإدارة,$A55))</f>
        <v/>
      </c>
      <c r="E55" s="60">
        <f>IF($A55="","",SUMIFS(الموظفون_البدلات,الموظفون_الإدارة,$A55))</f>
        <v/>
      </c>
      <c r="F55" s="60">
        <f>IF($A55="","",SUMIFS(الرواتب_الاستحقاقات,الرواتب_الإدارة,$A55))</f>
        <v/>
      </c>
      <c r="G55" s="60">
        <f>IF($A55="","",SUMIFS(الرواتب_الخصومات,الرواتب_الإدارة,$A55))</f>
        <v/>
      </c>
      <c r="H55" s="60">
        <f>IF($A55="","",SUMIFS(الرواتب_الصافي,الرواتب_الإدارة,$A55))</f>
        <v/>
      </c>
      <c r="I55" s="60">
        <f>IF($A55="","",IFERROR(AVERAGEIFS(الموظفون_الاساسي,الموظفون_الإدارة,$A55),0))</f>
        <v/>
      </c>
    </row>
    <row r="56">
      <c r="A56" s="75">
        <f>IFERROR(INDEX(قائمة_الإدارات,50),"")</f>
        <v/>
      </c>
      <c r="B56" s="51">
        <f>IF($A56="","",COUNTIF(الموظفون_الإدارة,$A56))</f>
        <v/>
      </c>
      <c r="C56" s="51">
        <f>IF($A56="","",COUNTIFS(الموظفون_الإدارة,$A56,الموظفون_الحالة,"نشط"))</f>
        <v/>
      </c>
      <c r="D56" s="63">
        <f>IF($A56="","",SUMIFS(الموظفون_الاساسي,الموظفون_الإدارة,$A56))</f>
        <v/>
      </c>
      <c r="E56" s="63">
        <f>IF($A56="","",SUMIFS(الموظفون_البدلات,الموظفون_الإدارة,$A56))</f>
        <v/>
      </c>
      <c r="F56" s="63">
        <f>IF($A56="","",SUMIFS(الرواتب_الاستحقاقات,الرواتب_الإدارة,$A56))</f>
        <v/>
      </c>
      <c r="G56" s="63">
        <f>IF($A56="","",SUMIFS(الرواتب_الخصومات,الرواتب_الإدارة,$A56))</f>
        <v/>
      </c>
      <c r="H56" s="63">
        <f>IF($A56="","",SUMIFS(الرواتب_الصافي,الرواتب_الإدارة,$A56))</f>
        <v/>
      </c>
      <c r="I56" s="63">
        <f>IF($A56="","",IFERROR(AVERAGEIFS(الموظفون_الاساسي,الموظفون_الإدارة,$A56),0))</f>
        <v/>
      </c>
    </row>
    <row r="57">
      <c r="A57" s="74">
        <f>IFERROR(INDEX(قائمة_الإدارات,51),"")</f>
        <v/>
      </c>
      <c r="B57" s="44">
        <f>IF($A57="","",COUNTIF(الموظفون_الإدارة,$A57))</f>
        <v/>
      </c>
      <c r="C57" s="44">
        <f>IF($A57="","",COUNTIFS(الموظفون_الإدارة,$A57,الموظفون_الحالة,"نشط"))</f>
        <v/>
      </c>
      <c r="D57" s="60">
        <f>IF($A57="","",SUMIFS(الموظفون_الاساسي,الموظفون_الإدارة,$A57))</f>
        <v/>
      </c>
      <c r="E57" s="60">
        <f>IF($A57="","",SUMIFS(الموظفون_البدلات,الموظفون_الإدارة,$A57))</f>
        <v/>
      </c>
      <c r="F57" s="60">
        <f>IF($A57="","",SUMIFS(الرواتب_الاستحقاقات,الرواتب_الإدارة,$A57))</f>
        <v/>
      </c>
      <c r="G57" s="60">
        <f>IF($A57="","",SUMIFS(الرواتب_الخصومات,الرواتب_الإدارة,$A57))</f>
        <v/>
      </c>
      <c r="H57" s="60">
        <f>IF($A57="","",SUMIFS(الرواتب_الصافي,الرواتب_الإدارة,$A57))</f>
        <v/>
      </c>
      <c r="I57" s="60">
        <f>IF($A57="","",IFERROR(AVERAGEIFS(الموظفون_الاساسي,الموظفون_الإدارة,$A57),0))</f>
        <v/>
      </c>
    </row>
    <row r="58">
      <c r="A58" s="75">
        <f>IFERROR(INDEX(قائمة_الإدارات,52),"")</f>
        <v/>
      </c>
      <c r="B58" s="51">
        <f>IF($A58="","",COUNTIF(الموظفون_الإدارة,$A58))</f>
        <v/>
      </c>
      <c r="C58" s="51">
        <f>IF($A58="","",COUNTIFS(الموظفون_الإدارة,$A58,الموظفون_الحالة,"نشط"))</f>
        <v/>
      </c>
      <c r="D58" s="63">
        <f>IF($A58="","",SUMIFS(الموظفون_الاساسي,الموظفون_الإدارة,$A58))</f>
        <v/>
      </c>
      <c r="E58" s="63">
        <f>IF($A58="","",SUMIFS(الموظفون_البدلات,الموظفون_الإدارة,$A58))</f>
        <v/>
      </c>
      <c r="F58" s="63">
        <f>IF($A58="","",SUMIFS(الرواتب_الاستحقاقات,الرواتب_الإدارة,$A58))</f>
        <v/>
      </c>
      <c r="G58" s="63">
        <f>IF($A58="","",SUMIFS(الرواتب_الخصومات,الرواتب_الإدارة,$A58))</f>
        <v/>
      </c>
      <c r="H58" s="63">
        <f>IF($A58="","",SUMIFS(الرواتب_الصافي,الرواتب_الإدارة,$A58))</f>
        <v/>
      </c>
      <c r="I58" s="63">
        <f>IF($A58="","",IFERROR(AVERAGEIFS(الموظفون_الاساسي,الموظفون_الإدارة,$A58),0))</f>
        <v/>
      </c>
    </row>
    <row r="59">
      <c r="A59" s="74">
        <f>IFERROR(INDEX(قائمة_الإدارات,53),"")</f>
        <v/>
      </c>
      <c r="B59" s="44">
        <f>IF($A59="","",COUNTIF(الموظفون_الإدارة,$A59))</f>
        <v/>
      </c>
      <c r="C59" s="44">
        <f>IF($A59="","",COUNTIFS(الموظفون_الإدارة,$A59,الموظفون_الحالة,"نشط"))</f>
        <v/>
      </c>
      <c r="D59" s="60">
        <f>IF($A59="","",SUMIFS(الموظفون_الاساسي,الموظفون_الإدارة,$A59))</f>
        <v/>
      </c>
      <c r="E59" s="60">
        <f>IF($A59="","",SUMIFS(الموظفون_البدلات,الموظفون_الإدارة,$A59))</f>
        <v/>
      </c>
      <c r="F59" s="60">
        <f>IF($A59="","",SUMIFS(الرواتب_الاستحقاقات,الرواتب_الإدارة,$A59))</f>
        <v/>
      </c>
      <c r="G59" s="60">
        <f>IF($A59="","",SUMIFS(الرواتب_الخصومات,الرواتب_الإدارة,$A59))</f>
        <v/>
      </c>
      <c r="H59" s="60">
        <f>IF($A59="","",SUMIFS(الرواتب_الصافي,الرواتب_الإدارة,$A59))</f>
        <v/>
      </c>
      <c r="I59" s="60">
        <f>IF($A59="","",IFERROR(AVERAGEIFS(الموظفون_الاساسي,الموظفون_الإدارة,$A59),0))</f>
        <v/>
      </c>
    </row>
    <row r="60">
      <c r="A60" s="75">
        <f>IFERROR(INDEX(قائمة_الإدارات,54),"")</f>
        <v/>
      </c>
      <c r="B60" s="51">
        <f>IF($A60="","",COUNTIF(الموظفون_الإدارة,$A60))</f>
        <v/>
      </c>
      <c r="C60" s="51">
        <f>IF($A60="","",COUNTIFS(الموظفون_الإدارة,$A60,الموظفون_الحالة,"نشط"))</f>
        <v/>
      </c>
      <c r="D60" s="63">
        <f>IF($A60="","",SUMIFS(الموظفون_الاساسي,الموظفون_الإدارة,$A60))</f>
        <v/>
      </c>
      <c r="E60" s="63">
        <f>IF($A60="","",SUMIFS(الموظفون_البدلات,الموظفون_الإدارة,$A60))</f>
        <v/>
      </c>
      <c r="F60" s="63">
        <f>IF($A60="","",SUMIFS(الرواتب_الاستحقاقات,الرواتب_الإدارة,$A60))</f>
        <v/>
      </c>
      <c r="G60" s="63">
        <f>IF($A60="","",SUMIFS(الرواتب_الخصومات,الرواتب_الإدارة,$A60))</f>
        <v/>
      </c>
      <c r="H60" s="63">
        <f>IF($A60="","",SUMIFS(الرواتب_الصافي,الرواتب_الإدارة,$A60))</f>
        <v/>
      </c>
      <c r="I60" s="63">
        <f>IF($A60="","",IFERROR(AVERAGEIFS(الموظفون_الاساسي,الموظفون_الإدارة,$A60),0))</f>
        <v/>
      </c>
    </row>
    <row r="61">
      <c r="A61" s="74">
        <f>IFERROR(INDEX(قائمة_الإدارات,55),"")</f>
        <v/>
      </c>
      <c r="B61" s="44">
        <f>IF($A61="","",COUNTIF(الموظفون_الإدارة,$A61))</f>
        <v/>
      </c>
      <c r="C61" s="44">
        <f>IF($A61="","",COUNTIFS(الموظفون_الإدارة,$A61,الموظفون_الحالة,"نشط"))</f>
        <v/>
      </c>
      <c r="D61" s="60">
        <f>IF($A61="","",SUMIFS(الموظفون_الاساسي,الموظفون_الإدارة,$A61))</f>
        <v/>
      </c>
      <c r="E61" s="60">
        <f>IF($A61="","",SUMIFS(الموظفون_البدلات,الموظفون_الإدارة,$A61))</f>
        <v/>
      </c>
      <c r="F61" s="60">
        <f>IF($A61="","",SUMIFS(الرواتب_الاستحقاقات,الرواتب_الإدارة,$A61))</f>
        <v/>
      </c>
      <c r="G61" s="60">
        <f>IF($A61="","",SUMIFS(الرواتب_الخصومات,الرواتب_الإدارة,$A61))</f>
        <v/>
      </c>
      <c r="H61" s="60">
        <f>IF($A61="","",SUMIFS(الرواتب_الصافي,الرواتب_الإدارة,$A61))</f>
        <v/>
      </c>
      <c r="I61" s="60">
        <f>IF($A61="","",IFERROR(AVERAGEIFS(الموظفون_الاساسي,الموظفون_الإدارة,$A61),0))</f>
        <v/>
      </c>
    </row>
    <row r="62">
      <c r="A62" s="75">
        <f>IFERROR(INDEX(قائمة_الإدارات,56),"")</f>
        <v/>
      </c>
      <c r="B62" s="51">
        <f>IF($A62="","",COUNTIF(الموظفون_الإدارة,$A62))</f>
        <v/>
      </c>
      <c r="C62" s="51">
        <f>IF($A62="","",COUNTIFS(الموظفون_الإدارة,$A62,الموظفون_الحالة,"نشط"))</f>
        <v/>
      </c>
      <c r="D62" s="63">
        <f>IF($A62="","",SUMIFS(الموظفون_الاساسي,الموظفون_الإدارة,$A62))</f>
        <v/>
      </c>
      <c r="E62" s="63">
        <f>IF($A62="","",SUMIFS(الموظفون_البدلات,الموظفون_الإدارة,$A62))</f>
        <v/>
      </c>
      <c r="F62" s="63">
        <f>IF($A62="","",SUMIFS(الرواتب_الاستحقاقات,الرواتب_الإدارة,$A62))</f>
        <v/>
      </c>
      <c r="G62" s="63">
        <f>IF($A62="","",SUMIFS(الرواتب_الخصومات,الرواتب_الإدارة,$A62))</f>
        <v/>
      </c>
      <c r="H62" s="63">
        <f>IF($A62="","",SUMIFS(الرواتب_الصافي,الرواتب_الإدارة,$A62))</f>
        <v/>
      </c>
      <c r="I62" s="63">
        <f>IF($A62="","",IFERROR(AVERAGEIFS(الموظفون_الاساسي,الموظفون_الإدارة,$A62),0))</f>
        <v/>
      </c>
    </row>
    <row r="63">
      <c r="A63" s="74">
        <f>IFERROR(INDEX(قائمة_الإدارات,57),"")</f>
        <v/>
      </c>
      <c r="B63" s="44">
        <f>IF($A63="","",COUNTIF(الموظفون_الإدارة,$A63))</f>
        <v/>
      </c>
      <c r="C63" s="44">
        <f>IF($A63="","",COUNTIFS(الموظفون_الإدارة,$A63,الموظفون_الحالة,"نشط"))</f>
        <v/>
      </c>
      <c r="D63" s="60">
        <f>IF($A63="","",SUMIFS(الموظفون_الاساسي,الموظفون_الإدارة,$A63))</f>
        <v/>
      </c>
      <c r="E63" s="60">
        <f>IF($A63="","",SUMIFS(الموظفون_البدلات,الموظفون_الإدارة,$A63))</f>
        <v/>
      </c>
      <c r="F63" s="60">
        <f>IF($A63="","",SUMIFS(الرواتب_الاستحقاقات,الرواتب_الإدارة,$A63))</f>
        <v/>
      </c>
      <c r="G63" s="60">
        <f>IF($A63="","",SUMIFS(الرواتب_الخصومات,الرواتب_الإدارة,$A63))</f>
        <v/>
      </c>
      <c r="H63" s="60">
        <f>IF($A63="","",SUMIFS(الرواتب_الصافي,الرواتب_الإدارة,$A63))</f>
        <v/>
      </c>
      <c r="I63" s="60">
        <f>IF($A63="","",IFERROR(AVERAGEIFS(الموظفون_الاساسي,الموظفون_الإدارة,$A63),0))</f>
        <v/>
      </c>
    </row>
    <row r="64">
      <c r="A64" s="75">
        <f>IFERROR(INDEX(قائمة_الإدارات,58),"")</f>
        <v/>
      </c>
      <c r="B64" s="51">
        <f>IF($A64="","",COUNTIF(الموظفون_الإدارة,$A64))</f>
        <v/>
      </c>
      <c r="C64" s="51">
        <f>IF($A64="","",COUNTIFS(الموظفون_الإدارة,$A64,الموظفون_الحالة,"نشط"))</f>
        <v/>
      </c>
      <c r="D64" s="63">
        <f>IF($A64="","",SUMIFS(الموظفون_الاساسي,الموظفون_الإدارة,$A64))</f>
        <v/>
      </c>
      <c r="E64" s="63">
        <f>IF($A64="","",SUMIFS(الموظفون_البدلات,الموظفون_الإدارة,$A64))</f>
        <v/>
      </c>
      <c r="F64" s="63">
        <f>IF($A64="","",SUMIFS(الرواتب_الاستحقاقات,الرواتب_الإدارة,$A64))</f>
        <v/>
      </c>
      <c r="G64" s="63">
        <f>IF($A64="","",SUMIFS(الرواتب_الخصومات,الرواتب_الإدارة,$A64))</f>
        <v/>
      </c>
      <c r="H64" s="63">
        <f>IF($A64="","",SUMIFS(الرواتب_الصافي,الرواتب_الإدارة,$A64))</f>
        <v/>
      </c>
      <c r="I64" s="63">
        <f>IF($A64="","",IFERROR(AVERAGEIFS(الموظفون_الاساسي,الموظفون_الإدارة,$A64),0))</f>
        <v/>
      </c>
    </row>
    <row r="65">
      <c r="A65" s="74">
        <f>IFERROR(INDEX(قائمة_الإدارات,59),"")</f>
        <v/>
      </c>
      <c r="B65" s="44">
        <f>IF($A65="","",COUNTIF(الموظفون_الإدارة,$A65))</f>
        <v/>
      </c>
      <c r="C65" s="44">
        <f>IF($A65="","",COUNTIFS(الموظفون_الإدارة,$A65,الموظفون_الحالة,"نشط"))</f>
        <v/>
      </c>
      <c r="D65" s="60">
        <f>IF($A65="","",SUMIFS(الموظفون_الاساسي,الموظفون_الإدارة,$A65))</f>
        <v/>
      </c>
      <c r="E65" s="60">
        <f>IF($A65="","",SUMIFS(الموظفون_البدلات,الموظفون_الإدارة,$A65))</f>
        <v/>
      </c>
      <c r="F65" s="60">
        <f>IF($A65="","",SUMIFS(الرواتب_الاستحقاقات,الرواتب_الإدارة,$A65))</f>
        <v/>
      </c>
      <c r="G65" s="60">
        <f>IF($A65="","",SUMIFS(الرواتب_الخصومات,الرواتب_الإدارة,$A65))</f>
        <v/>
      </c>
      <c r="H65" s="60">
        <f>IF($A65="","",SUMIFS(الرواتب_الصافي,الرواتب_الإدارة,$A65))</f>
        <v/>
      </c>
      <c r="I65" s="60">
        <f>IF($A65="","",IFERROR(AVERAGEIFS(الموظفون_الاساسي,الموظفون_الإدارة,$A65),0))</f>
        <v/>
      </c>
    </row>
    <row r="66">
      <c r="A66" s="75">
        <f>IFERROR(INDEX(قائمة_الإدارات,60),"")</f>
        <v/>
      </c>
      <c r="B66" s="51">
        <f>IF($A66="","",COUNTIF(الموظفون_الإدارة,$A66))</f>
        <v/>
      </c>
      <c r="C66" s="51">
        <f>IF($A66="","",COUNTIFS(الموظفون_الإدارة,$A66,الموظفون_الحالة,"نشط"))</f>
        <v/>
      </c>
      <c r="D66" s="63">
        <f>IF($A66="","",SUMIFS(الموظفون_الاساسي,الموظفون_الإدارة,$A66))</f>
        <v/>
      </c>
      <c r="E66" s="63">
        <f>IF($A66="","",SUMIFS(الموظفون_البدلات,الموظفون_الإدارة,$A66))</f>
        <v/>
      </c>
      <c r="F66" s="63">
        <f>IF($A66="","",SUMIFS(الرواتب_الاستحقاقات,الرواتب_الإدارة,$A66))</f>
        <v/>
      </c>
      <c r="G66" s="63">
        <f>IF($A66="","",SUMIFS(الرواتب_الخصومات,الرواتب_الإدارة,$A66))</f>
        <v/>
      </c>
      <c r="H66" s="63">
        <f>IF($A66="","",SUMIFS(الرواتب_الصافي,الرواتب_الإدارة,$A66))</f>
        <v/>
      </c>
      <c r="I66" s="63">
        <f>IF($A66="","",IFERROR(AVERAGEIFS(الموظفون_الاساسي,الموظفون_الإدارة,$A66),0))</f>
        <v/>
      </c>
    </row>
    <row r="67">
      <c r="A67" s="74">
        <f>IFERROR(INDEX(قائمة_الإدارات,61),"")</f>
        <v/>
      </c>
      <c r="B67" s="44">
        <f>IF($A67="","",COUNTIF(الموظفون_الإدارة,$A67))</f>
        <v/>
      </c>
      <c r="C67" s="44">
        <f>IF($A67="","",COUNTIFS(الموظفون_الإدارة,$A67,الموظفون_الحالة,"نشط"))</f>
        <v/>
      </c>
      <c r="D67" s="60">
        <f>IF($A67="","",SUMIFS(الموظفون_الاساسي,الموظفون_الإدارة,$A67))</f>
        <v/>
      </c>
      <c r="E67" s="60">
        <f>IF($A67="","",SUMIFS(الموظفون_البدلات,الموظفون_الإدارة,$A67))</f>
        <v/>
      </c>
      <c r="F67" s="60">
        <f>IF($A67="","",SUMIFS(الرواتب_الاستحقاقات,الرواتب_الإدارة,$A67))</f>
        <v/>
      </c>
      <c r="G67" s="60">
        <f>IF($A67="","",SUMIFS(الرواتب_الخصومات,الرواتب_الإدارة,$A67))</f>
        <v/>
      </c>
      <c r="H67" s="60">
        <f>IF($A67="","",SUMIFS(الرواتب_الصافي,الرواتب_الإدارة,$A67))</f>
        <v/>
      </c>
      <c r="I67" s="60">
        <f>IF($A67="","",IFERROR(AVERAGEIFS(الموظفون_الاساسي,الموظفون_الإدارة,$A67),0))</f>
        <v/>
      </c>
    </row>
    <row r="68">
      <c r="A68" s="75">
        <f>IFERROR(INDEX(قائمة_الإدارات,62),"")</f>
        <v/>
      </c>
      <c r="B68" s="51">
        <f>IF($A68="","",COUNTIF(الموظفون_الإدارة,$A68))</f>
        <v/>
      </c>
      <c r="C68" s="51">
        <f>IF($A68="","",COUNTIFS(الموظفون_الإدارة,$A68,الموظفون_الحالة,"نشط"))</f>
        <v/>
      </c>
      <c r="D68" s="63">
        <f>IF($A68="","",SUMIFS(الموظفون_الاساسي,الموظفون_الإدارة,$A68))</f>
        <v/>
      </c>
      <c r="E68" s="63">
        <f>IF($A68="","",SUMIFS(الموظفون_البدلات,الموظفون_الإدارة,$A68))</f>
        <v/>
      </c>
      <c r="F68" s="63">
        <f>IF($A68="","",SUMIFS(الرواتب_الاستحقاقات,الرواتب_الإدارة,$A68))</f>
        <v/>
      </c>
      <c r="G68" s="63">
        <f>IF($A68="","",SUMIFS(الرواتب_الخصومات,الرواتب_الإدارة,$A68))</f>
        <v/>
      </c>
      <c r="H68" s="63">
        <f>IF($A68="","",SUMIFS(الرواتب_الصافي,الرواتب_الإدارة,$A68))</f>
        <v/>
      </c>
      <c r="I68" s="63">
        <f>IF($A68="","",IFERROR(AVERAGEIFS(الموظفون_الاساسي,الموظفون_الإدارة,$A68),0))</f>
        <v/>
      </c>
    </row>
    <row r="69">
      <c r="A69" s="74">
        <f>IFERROR(INDEX(قائمة_الإدارات,63),"")</f>
        <v/>
      </c>
      <c r="B69" s="44">
        <f>IF($A69="","",COUNTIF(الموظفون_الإدارة,$A69))</f>
        <v/>
      </c>
      <c r="C69" s="44">
        <f>IF($A69="","",COUNTIFS(الموظفون_الإدارة,$A69,الموظفون_الحالة,"نشط"))</f>
        <v/>
      </c>
      <c r="D69" s="60">
        <f>IF($A69="","",SUMIFS(الموظفون_الاساسي,الموظفون_الإدارة,$A69))</f>
        <v/>
      </c>
      <c r="E69" s="60">
        <f>IF($A69="","",SUMIFS(الموظفون_البدلات,الموظفون_الإدارة,$A69))</f>
        <v/>
      </c>
      <c r="F69" s="60">
        <f>IF($A69="","",SUMIFS(الرواتب_الاستحقاقات,الرواتب_الإدارة,$A69))</f>
        <v/>
      </c>
      <c r="G69" s="60">
        <f>IF($A69="","",SUMIFS(الرواتب_الخصومات,الرواتب_الإدارة,$A69))</f>
        <v/>
      </c>
      <c r="H69" s="60">
        <f>IF($A69="","",SUMIFS(الرواتب_الصافي,الرواتب_الإدارة,$A69))</f>
        <v/>
      </c>
      <c r="I69" s="60">
        <f>IF($A69="","",IFERROR(AVERAGEIFS(الموظفون_الاساسي,الموظفون_الإدارة,$A69),0))</f>
        <v/>
      </c>
    </row>
    <row r="70">
      <c r="A70" s="75">
        <f>IFERROR(INDEX(قائمة_الإدارات,64),"")</f>
        <v/>
      </c>
      <c r="B70" s="51">
        <f>IF($A70="","",COUNTIF(الموظفون_الإدارة,$A70))</f>
        <v/>
      </c>
      <c r="C70" s="51">
        <f>IF($A70="","",COUNTIFS(الموظفون_الإدارة,$A70,الموظفون_الحالة,"نشط"))</f>
        <v/>
      </c>
      <c r="D70" s="63">
        <f>IF($A70="","",SUMIFS(الموظفون_الاساسي,الموظفون_الإدارة,$A70))</f>
        <v/>
      </c>
      <c r="E70" s="63">
        <f>IF($A70="","",SUMIFS(الموظفون_البدلات,الموظفون_الإدارة,$A70))</f>
        <v/>
      </c>
      <c r="F70" s="63">
        <f>IF($A70="","",SUMIFS(الرواتب_الاستحقاقات,الرواتب_الإدارة,$A70))</f>
        <v/>
      </c>
      <c r="G70" s="63">
        <f>IF($A70="","",SUMIFS(الرواتب_الخصومات,الرواتب_الإدارة,$A70))</f>
        <v/>
      </c>
      <c r="H70" s="63">
        <f>IF($A70="","",SUMIFS(الرواتب_الصافي,الرواتب_الإدارة,$A70))</f>
        <v/>
      </c>
      <c r="I70" s="63">
        <f>IF($A70="","",IFERROR(AVERAGEIFS(الموظفون_الاساسي,الموظفون_الإدارة,$A70),0))</f>
        <v/>
      </c>
    </row>
    <row r="71">
      <c r="A71" s="74">
        <f>IFERROR(INDEX(قائمة_الإدارات,65),"")</f>
        <v/>
      </c>
      <c r="B71" s="44">
        <f>IF($A71="","",COUNTIF(الموظفون_الإدارة,$A71))</f>
        <v/>
      </c>
      <c r="C71" s="44">
        <f>IF($A71="","",COUNTIFS(الموظفون_الإدارة,$A71,الموظفون_الحالة,"نشط"))</f>
        <v/>
      </c>
      <c r="D71" s="60">
        <f>IF($A71="","",SUMIFS(الموظفون_الاساسي,الموظفون_الإدارة,$A71))</f>
        <v/>
      </c>
      <c r="E71" s="60">
        <f>IF($A71="","",SUMIFS(الموظفون_البدلات,الموظفون_الإدارة,$A71))</f>
        <v/>
      </c>
      <c r="F71" s="60">
        <f>IF($A71="","",SUMIFS(الرواتب_الاستحقاقات,الرواتب_الإدارة,$A71))</f>
        <v/>
      </c>
      <c r="G71" s="60">
        <f>IF($A71="","",SUMIFS(الرواتب_الخصومات,الرواتب_الإدارة,$A71))</f>
        <v/>
      </c>
      <c r="H71" s="60">
        <f>IF($A71="","",SUMIFS(الرواتب_الصافي,الرواتب_الإدارة,$A71))</f>
        <v/>
      </c>
      <c r="I71" s="60">
        <f>IF($A71="","",IFERROR(AVERAGEIFS(الموظفون_الاساسي,الموظفون_الإدارة,$A71),0))</f>
        <v/>
      </c>
    </row>
    <row r="72">
      <c r="A72" s="75">
        <f>IFERROR(INDEX(قائمة_الإدارات,66),"")</f>
        <v/>
      </c>
      <c r="B72" s="51">
        <f>IF($A72="","",COUNTIF(الموظفون_الإدارة,$A72))</f>
        <v/>
      </c>
      <c r="C72" s="51">
        <f>IF($A72="","",COUNTIFS(الموظفون_الإدارة,$A72,الموظفون_الحالة,"نشط"))</f>
        <v/>
      </c>
      <c r="D72" s="63">
        <f>IF($A72="","",SUMIFS(الموظفون_الاساسي,الموظفون_الإدارة,$A72))</f>
        <v/>
      </c>
      <c r="E72" s="63">
        <f>IF($A72="","",SUMIFS(الموظفون_البدلات,الموظفون_الإدارة,$A72))</f>
        <v/>
      </c>
      <c r="F72" s="63">
        <f>IF($A72="","",SUMIFS(الرواتب_الاستحقاقات,الرواتب_الإدارة,$A72))</f>
        <v/>
      </c>
      <c r="G72" s="63">
        <f>IF($A72="","",SUMIFS(الرواتب_الخصومات,الرواتب_الإدارة,$A72))</f>
        <v/>
      </c>
      <c r="H72" s="63">
        <f>IF($A72="","",SUMIFS(الرواتب_الصافي,الرواتب_الإدارة,$A72))</f>
        <v/>
      </c>
      <c r="I72" s="63">
        <f>IF($A72="","",IFERROR(AVERAGEIFS(الموظفون_الاساسي,الموظفون_الإدارة,$A72),0))</f>
        <v/>
      </c>
    </row>
    <row r="73">
      <c r="A73" s="74">
        <f>IFERROR(INDEX(قائمة_الإدارات,67),"")</f>
        <v/>
      </c>
      <c r="B73" s="44">
        <f>IF($A73="","",COUNTIF(الموظفون_الإدارة,$A73))</f>
        <v/>
      </c>
      <c r="C73" s="44">
        <f>IF($A73="","",COUNTIFS(الموظفون_الإدارة,$A73,الموظفون_الحالة,"نشط"))</f>
        <v/>
      </c>
      <c r="D73" s="60">
        <f>IF($A73="","",SUMIFS(الموظفون_الاساسي,الموظفون_الإدارة,$A73))</f>
        <v/>
      </c>
      <c r="E73" s="60">
        <f>IF($A73="","",SUMIFS(الموظفون_البدلات,الموظفون_الإدارة,$A73))</f>
        <v/>
      </c>
      <c r="F73" s="60">
        <f>IF($A73="","",SUMIFS(الرواتب_الاستحقاقات,الرواتب_الإدارة,$A73))</f>
        <v/>
      </c>
      <c r="G73" s="60">
        <f>IF($A73="","",SUMIFS(الرواتب_الخصومات,الرواتب_الإدارة,$A73))</f>
        <v/>
      </c>
      <c r="H73" s="60">
        <f>IF($A73="","",SUMIFS(الرواتب_الصافي,الرواتب_الإدارة,$A73))</f>
        <v/>
      </c>
      <c r="I73" s="60">
        <f>IF($A73="","",IFERROR(AVERAGEIFS(الموظفون_الاساسي,الموظفون_الإدارة,$A73),0))</f>
        <v/>
      </c>
    </row>
    <row r="74">
      <c r="A74" s="75">
        <f>IFERROR(INDEX(قائمة_الإدارات,68),"")</f>
        <v/>
      </c>
      <c r="B74" s="51">
        <f>IF($A74="","",COUNTIF(الموظفون_الإدارة,$A74))</f>
        <v/>
      </c>
      <c r="C74" s="51">
        <f>IF($A74="","",COUNTIFS(الموظفون_الإدارة,$A74,الموظفون_الحالة,"نشط"))</f>
        <v/>
      </c>
      <c r="D74" s="63">
        <f>IF($A74="","",SUMIFS(الموظفون_الاساسي,الموظفون_الإدارة,$A74))</f>
        <v/>
      </c>
      <c r="E74" s="63">
        <f>IF($A74="","",SUMIFS(الموظفون_البدلات,الموظفون_الإدارة,$A74))</f>
        <v/>
      </c>
      <c r="F74" s="63">
        <f>IF($A74="","",SUMIFS(الرواتب_الاستحقاقات,الرواتب_الإدارة,$A74))</f>
        <v/>
      </c>
      <c r="G74" s="63">
        <f>IF($A74="","",SUMIFS(الرواتب_الخصومات,الرواتب_الإدارة,$A74))</f>
        <v/>
      </c>
      <c r="H74" s="63">
        <f>IF($A74="","",SUMIFS(الرواتب_الصافي,الرواتب_الإدارة,$A74))</f>
        <v/>
      </c>
      <c r="I74" s="63">
        <f>IF($A74="","",IFERROR(AVERAGEIFS(الموظفون_الاساسي,الموظفون_الإدارة,$A74),0))</f>
        <v/>
      </c>
    </row>
    <row r="75">
      <c r="A75" s="74">
        <f>IFERROR(INDEX(قائمة_الإدارات,69),"")</f>
        <v/>
      </c>
      <c r="B75" s="44">
        <f>IF($A75="","",COUNTIF(الموظفون_الإدارة,$A75))</f>
        <v/>
      </c>
      <c r="C75" s="44">
        <f>IF($A75="","",COUNTIFS(الموظفون_الإدارة,$A75,الموظفون_الحالة,"نشط"))</f>
        <v/>
      </c>
      <c r="D75" s="60">
        <f>IF($A75="","",SUMIFS(الموظفون_الاساسي,الموظفون_الإدارة,$A75))</f>
        <v/>
      </c>
      <c r="E75" s="60">
        <f>IF($A75="","",SUMIFS(الموظفون_البدلات,الموظفون_الإدارة,$A75))</f>
        <v/>
      </c>
      <c r="F75" s="60">
        <f>IF($A75="","",SUMIFS(الرواتب_الاستحقاقات,الرواتب_الإدارة,$A75))</f>
        <v/>
      </c>
      <c r="G75" s="60">
        <f>IF($A75="","",SUMIFS(الرواتب_الخصومات,الرواتب_الإدارة,$A75))</f>
        <v/>
      </c>
      <c r="H75" s="60">
        <f>IF($A75="","",SUMIFS(الرواتب_الصافي,الرواتب_الإدارة,$A75))</f>
        <v/>
      </c>
      <c r="I75" s="60">
        <f>IF($A75="","",IFERROR(AVERAGEIFS(الموظفون_الاساسي,الموظفون_الإدارة,$A75),0))</f>
        <v/>
      </c>
    </row>
    <row r="76">
      <c r="A76" s="75">
        <f>IFERROR(INDEX(قائمة_الإدارات,70),"")</f>
        <v/>
      </c>
      <c r="B76" s="51">
        <f>IF($A76="","",COUNTIF(الموظفون_الإدارة,$A76))</f>
        <v/>
      </c>
      <c r="C76" s="51">
        <f>IF($A76="","",COUNTIFS(الموظفون_الإدارة,$A76,الموظفون_الحالة,"نشط"))</f>
        <v/>
      </c>
      <c r="D76" s="63">
        <f>IF($A76="","",SUMIFS(الموظفون_الاساسي,الموظفون_الإدارة,$A76))</f>
        <v/>
      </c>
      <c r="E76" s="63">
        <f>IF($A76="","",SUMIFS(الموظفون_البدلات,الموظفون_الإدارة,$A76))</f>
        <v/>
      </c>
      <c r="F76" s="63">
        <f>IF($A76="","",SUMIFS(الرواتب_الاستحقاقات,الرواتب_الإدارة,$A76))</f>
        <v/>
      </c>
      <c r="G76" s="63">
        <f>IF($A76="","",SUMIFS(الرواتب_الخصومات,الرواتب_الإدارة,$A76))</f>
        <v/>
      </c>
      <c r="H76" s="63">
        <f>IF($A76="","",SUMIFS(الرواتب_الصافي,الرواتب_الإدارة,$A76))</f>
        <v/>
      </c>
      <c r="I76" s="63">
        <f>IF($A76="","",IFERROR(AVERAGEIFS(الموظفون_الاساسي,الموظفون_الإدارة,$A76),0))</f>
        <v/>
      </c>
    </row>
    <row r="77">
      <c r="A77" s="74">
        <f>IFERROR(INDEX(قائمة_الإدارات,71),"")</f>
        <v/>
      </c>
      <c r="B77" s="44">
        <f>IF($A77="","",COUNTIF(الموظفون_الإدارة,$A77))</f>
        <v/>
      </c>
      <c r="C77" s="44">
        <f>IF($A77="","",COUNTIFS(الموظفون_الإدارة,$A77,الموظفون_الحالة,"نشط"))</f>
        <v/>
      </c>
      <c r="D77" s="60">
        <f>IF($A77="","",SUMIFS(الموظفون_الاساسي,الموظفون_الإدارة,$A77))</f>
        <v/>
      </c>
      <c r="E77" s="60">
        <f>IF($A77="","",SUMIFS(الموظفون_البدلات,الموظفون_الإدارة,$A77))</f>
        <v/>
      </c>
      <c r="F77" s="60">
        <f>IF($A77="","",SUMIFS(الرواتب_الاستحقاقات,الرواتب_الإدارة,$A77))</f>
        <v/>
      </c>
      <c r="G77" s="60">
        <f>IF($A77="","",SUMIFS(الرواتب_الخصومات,الرواتب_الإدارة,$A77))</f>
        <v/>
      </c>
      <c r="H77" s="60">
        <f>IF($A77="","",SUMIFS(الرواتب_الصافي,الرواتب_الإدارة,$A77))</f>
        <v/>
      </c>
      <c r="I77" s="60">
        <f>IF($A77="","",IFERROR(AVERAGEIFS(الموظفون_الاساسي,الموظفون_الإدارة,$A77),0))</f>
        <v/>
      </c>
    </row>
    <row r="78">
      <c r="A78" s="75">
        <f>IFERROR(INDEX(قائمة_الإدارات,72),"")</f>
        <v/>
      </c>
      <c r="B78" s="51">
        <f>IF($A78="","",COUNTIF(الموظفون_الإدارة,$A78))</f>
        <v/>
      </c>
      <c r="C78" s="51">
        <f>IF($A78="","",COUNTIFS(الموظفون_الإدارة,$A78,الموظفون_الحالة,"نشط"))</f>
        <v/>
      </c>
      <c r="D78" s="63">
        <f>IF($A78="","",SUMIFS(الموظفون_الاساسي,الموظفون_الإدارة,$A78))</f>
        <v/>
      </c>
      <c r="E78" s="63">
        <f>IF($A78="","",SUMIFS(الموظفون_البدلات,الموظفون_الإدارة,$A78))</f>
        <v/>
      </c>
      <c r="F78" s="63">
        <f>IF($A78="","",SUMIFS(الرواتب_الاستحقاقات,الرواتب_الإدارة,$A78))</f>
        <v/>
      </c>
      <c r="G78" s="63">
        <f>IF($A78="","",SUMIFS(الرواتب_الخصومات,الرواتب_الإدارة,$A78))</f>
        <v/>
      </c>
      <c r="H78" s="63">
        <f>IF($A78="","",SUMIFS(الرواتب_الصافي,الرواتب_الإدارة,$A78))</f>
        <v/>
      </c>
      <c r="I78" s="63">
        <f>IF($A78="","",IFERROR(AVERAGEIFS(الموظفون_الاساسي,الموظفون_الإدارة,$A78),0))</f>
        <v/>
      </c>
    </row>
    <row r="79">
      <c r="A79" s="74">
        <f>IFERROR(INDEX(قائمة_الإدارات,73),"")</f>
        <v/>
      </c>
      <c r="B79" s="44">
        <f>IF($A79="","",COUNTIF(الموظفون_الإدارة,$A79))</f>
        <v/>
      </c>
      <c r="C79" s="44">
        <f>IF($A79="","",COUNTIFS(الموظفون_الإدارة,$A79,الموظفون_الحالة,"نشط"))</f>
        <v/>
      </c>
      <c r="D79" s="60">
        <f>IF($A79="","",SUMIFS(الموظفون_الاساسي,الموظفون_الإدارة,$A79))</f>
        <v/>
      </c>
      <c r="E79" s="60">
        <f>IF($A79="","",SUMIFS(الموظفون_البدلات,الموظفون_الإدارة,$A79))</f>
        <v/>
      </c>
      <c r="F79" s="60">
        <f>IF($A79="","",SUMIFS(الرواتب_الاستحقاقات,الرواتب_الإدارة,$A79))</f>
        <v/>
      </c>
      <c r="G79" s="60">
        <f>IF($A79="","",SUMIFS(الرواتب_الخصومات,الرواتب_الإدارة,$A79))</f>
        <v/>
      </c>
      <c r="H79" s="60">
        <f>IF($A79="","",SUMIFS(الرواتب_الصافي,الرواتب_الإدارة,$A79))</f>
        <v/>
      </c>
      <c r="I79" s="60">
        <f>IF($A79="","",IFERROR(AVERAGEIFS(الموظفون_الاساسي,الموظفون_الإدارة,$A79),0))</f>
        <v/>
      </c>
    </row>
    <row r="80">
      <c r="A80" s="75">
        <f>IFERROR(INDEX(قائمة_الإدارات,74),"")</f>
        <v/>
      </c>
      <c r="B80" s="51">
        <f>IF($A80="","",COUNTIF(الموظفون_الإدارة,$A80))</f>
        <v/>
      </c>
      <c r="C80" s="51">
        <f>IF($A80="","",COUNTIFS(الموظفون_الإدارة,$A80,الموظفون_الحالة,"نشط"))</f>
        <v/>
      </c>
      <c r="D80" s="63">
        <f>IF($A80="","",SUMIFS(الموظفون_الاساسي,الموظفون_الإدارة,$A80))</f>
        <v/>
      </c>
      <c r="E80" s="63">
        <f>IF($A80="","",SUMIFS(الموظفون_البدلات,الموظفون_الإدارة,$A80))</f>
        <v/>
      </c>
      <c r="F80" s="63">
        <f>IF($A80="","",SUMIFS(الرواتب_الاستحقاقات,الرواتب_الإدارة,$A80))</f>
        <v/>
      </c>
      <c r="G80" s="63">
        <f>IF($A80="","",SUMIFS(الرواتب_الخصومات,الرواتب_الإدارة,$A80))</f>
        <v/>
      </c>
      <c r="H80" s="63">
        <f>IF($A80="","",SUMIFS(الرواتب_الصافي,الرواتب_الإدارة,$A80))</f>
        <v/>
      </c>
      <c r="I80" s="63">
        <f>IF($A80="","",IFERROR(AVERAGEIFS(الموظفون_الاساسي,الموظفون_الإدارة,$A80),0))</f>
        <v/>
      </c>
    </row>
    <row r="81">
      <c r="A81" s="74">
        <f>IFERROR(INDEX(قائمة_الإدارات,75),"")</f>
        <v/>
      </c>
      <c r="B81" s="44">
        <f>IF($A81="","",COUNTIF(الموظفون_الإدارة,$A81))</f>
        <v/>
      </c>
      <c r="C81" s="44">
        <f>IF($A81="","",COUNTIFS(الموظفون_الإدارة,$A81,الموظفون_الحالة,"نشط"))</f>
        <v/>
      </c>
      <c r="D81" s="60">
        <f>IF($A81="","",SUMIFS(الموظفون_الاساسي,الموظفون_الإدارة,$A81))</f>
        <v/>
      </c>
      <c r="E81" s="60">
        <f>IF($A81="","",SUMIFS(الموظفون_البدلات,الموظفون_الإدارة,$A81))</f>
        <v/>
      </c>
      <c r="F81" s="60">
        <f>IF($A81="","",SUMIFS(الرواتب_الاستحقاقات,الرواتب_الإدارة,$A81))</f>
        <v/>
      </c>
      <c r="G81" s="60">
        <f>IF($A81="","",SUMIFS(الرواتب_الخصومات,الرواتب_الإدارة,$A81))</f>
        <v/>
      </c>
      <c r="H81" s="60">
        <f>IF($A81="","",SUMIFS(الرواتب_الصافي,الرواتب_الإدارة,$A81))</f>
        <v/>
      </c>
      <c r="I81" s="60">
        <f>IF($A81="","",IFERROR(AVERAGEIFS(الموظفون_الاساسي,الموظفون_الإدارة,$A81),0))</f>
        <v/>
      </c>
    </row>
    <row r="82">
      <c r="A82" s="75">
        <f>IFERROR(INDEX(قائمة_الإدارات,76),"")</f>
        <v/>
      </c>
      <c r="B82" s="51">
        <f>IF($A82="","",COUNTIF(الموظفون_الإدارة,$A82))</f>
        <v/>
      </c>
      <c r="C82" s="51">
        <f>IF($A82="","",COUNTIFS(الموظفون_الإدارة,$A82,الموظفون_الحالة,"نشط"))</f>
        <v/>
      </c>
      <c r="D82" s="63">
        <f>IF($A82="","",SUMIFS(الموظفون_الاساسي,الموظفون_الإدارة,$A82))</f>
        <v/>
      </c>
      <c r="E82" s="63">
        <f>IF($A82="","",SUMIFS(الموظفون_البدلات,الموظفون_الإدارة,$A82))</f>
        <v/>
      </c>
      <c r="F82" s="63">
        <f>IF($A82="","",SUMIFS(الرواتب_الاستحقاقات,الرواتب_الإدارة,$A82))</f>
        <v/>
      </c>
      <c r="G82" s="63">
        <f>IF($A82="","",SUMIFS(الرواتب_الخصومات,الرواتب_الإدارة,$A82))</f>
        <v/>
      </c>
      <c r="H82" s="63">
        <f>IF($A82="","",SUMIFS(الرواتب_الصافي,الرواتب_الإدارة,$A82))</f>
        <v/>
      </c>
      <c r="I82" s="63">
        <f>IF($A82="","",IFERROR(AVERAGEIFS(الموظفون_الاساسي,الموظفون_الإدارة,$A82),0))</f>
        <v/>
      </c>
    </row>
    <row r="83">
      <c r="A83" s="74">
        <f>IFERROR(INDEX(قائمة_الإدارات,77),"")</f>
        <v/>
      </c>
      <c r="B83" s="44">
        <f>IF($A83="","",COUNTIF(الموظفون_الإدارة,$A83))</f>
        <v/>
      </c>
      <c r="C83" s="44">
        <f>IF($A83="","",COUNTIFS(الموظفون_الإدارة,$A83,الموظفون_الحالة,"نشط"))</f>
        <v/>
      </c>
      <c r="D83" s="60">
        <f>IF($A83="","",SUMIFS(الموظفون_الاساسي,الموظفون_الإدارة,$A83))</f>
        <v/>
      </c>
      <c r="E83" s="60">
        <f>IF($A83="","",SUMIFS(الموظفون_البدلات,الموظفون_الإدارة,$A83))</f>
        <v/>
      </c>
      <c r="F83" s="60">
        <f>IF($A83="","",SUMIFS(الرواتب_الاستحقاقات,الرواتب_الإدارة,$A83))</f>
        <v/>
      </c>
      <c r="G83" s="60">
        <f>IF($A83="","",SUMIFS(الرواتب_الخصومات,الرواتب_الإدارة,$A83))</f>
        <v/>
      </c>
      <c r="H83" s="60">
        <f>IF($A83="","",SUMIFS(الرواتب_الصافي,الرواتب_الإدارة,$A83))</f>
        <v/>
      </c>
      <c r="I83" s="60">
        <f>IF($A83="","",IFERROR(AVERAGEIFS(الموظفون_الاساسي,الموظفون_الإدارة,$A83),0))</f>
        <v/>
      </c>
    </row>
    <row r="84">
      <c r="A84" s="75">
        <f>IFERROR(INDEX(قائمة_الإدارات,78),"")</f>
        <v/>
      </c>
      <c r="B84" s="51">
        <f>IF($A84="","",COUNTIF(الموظفون_الإدارة,$A84))</f>
        <v/>
      </c>
      <c r="C84" s="51">
        <f>IF($A84="","",COUNTIFS(الموظفون_الإدارة,$A84,الموظفون_الحالة,"نشط"))</f>
        <v/>
      </c>
      <c r="D84" s="63">
        <f>IF($A84="","",SUMIFS(الموظفون_الاساسي,الموظفون_الإدارة,$A84))</f>
        <v/>
      </c>
      <c r="E84" s="63">
        <f>IF($A84="","",SUMIFS(الموظفون_البدلات,الموظفون_الإدارة,$A84))</f>
        <v/>
      </c>
      <c r="F84" s="63">
        <f>IF($A84="","",SUMIFS(الرواتب_الاستحقاقات,الرواتب_الإدارة,$A84))</f>
        <v/>
      </c>
      <c r="G84" s="63">
        <f>IF($A84="","",SUMIFS(الرواتب_الخصومات,الرواتب_الإدارة,$A84))</f>
        <v/>
      </c>
      <c r="H84" s="63">
        <f>IF($A84="","",SUMIFS(الرواتب_الصافي,الرواتب_الإدارة,$A84))</f>
        <v/>
      </c>
      <c r="I84" s="63">
        <f>IF($A84="","",IFERROR(AVERAGEIFS(الموظفون_الاساسي,الموظفون_الإدارة,$A84),0))</f>
        <v/>
      </c>
    </row>
    <row r="85">
      <c r="A85" s="74">
        <f>IFERROR(INDEX(قائمة_الإدارات,79),"")</f>
        <v/>
      </c>
      <c r="B85" s="44">
        <f>IF($A85="","",COUNTIF(الموظفون_الإدارة,$A85))</f>
        <v/>
      </c>
      <c r="C85" s="44">
        <f>IF($A85="","",COUNTIFS(الموظفون_الإدارة,$A85,الموظفون_الحالة,"نشط"))</f>
        <v/>
      </c>
      <c r="D85" s="60">
        <f>IF($A85="","",SUMIFS(الموظفون_الاساسي,الموظفون_الإدارة,$A85))</f>
        <v/>
      </c>
      <c r="E85" s="60">
        <f>IF($A85="","",SUMIFS(الموظفون_البدلات,الموظفون_الإدارة,$A85))</f>
        <v/>
      </c>
      <c r="F85" s="60">
        <f>IF($A85="","",SUMIFS(الرواتب_الاستحقاقات,الرواتب_الإدارة,$A85))</f>
        <v/>
      </c>
      <c r="G85" s="60">
        <f>IF($A85="","",SUMIFS(الرواتب_الخصومات,الرواتب_الإدارة,$A85))</f>
        <v/>
      </c>
      <c r="H85" s="60">
        <f>IF($A85="","",SUMIFS(الرواتب_الصافي,الرواتب_الإدارة,$A85))</f>
        <v/>
      </c>
      <c r="I85" s="60">
        <f>IF($A85="","",IFERROR(AVERAGEIFS(الموظفون_الاساسي,الموظفون_الإدارة,$A85),0))</f>
        <v/>
      </c>
    </row>
    <row r="86">
      <c r="A86" s="75">
        <f>IFERROR(INDEX(قائمة_الإدارات,80),"")</f>
        <v/>
      </c>
      <c r="B86" s="51">
        <f>IF($A86="","",COUNTIF(الموظفون_الإدارة,$A86))</f>
        <v/>
      </c>
      <c r="C86" s="51">
        <f>IF($A86="","",COUNTIFS(الموظفون_الإدارة,$A86,الموظفون_الحالة,"نشط"))</f>
        <v/>
      </c>
      <c r="D86" s="63">
        <f>IF($A86="","",SUMIFS(الموظفون_الاساسي,الموظفون_الإدارة,$A86))</f>
        <v/>
      </c>
      <c r="E86" s="63">
        <f>IF($A86="","",SUMIFS(الموظفون_البدلات,الموظفون_الإدارة,$A86))</f>
        <v/>
      </c>
      <c r="F86" s="63">
        <f>IF($A86="","",SUMIFS(الرواتب_الاستحقاقات,الرواتب_الإدارة,$A86))</f>
        <v/>
      </c>
      <c r="G86" s="63">
        <f>IF($A86="","",SUMIFS(الرواتب_الخصومات,الرواتب_الإدارة,$A86))</f>
        <v/>
      </c>
      <c r="H86" s="63">
        <f>IF($A86="","",SUMIFS(الرواتب_الصافي,الرواتب_الإدارة,$A86))</f>
        <v/>
      </c>
      <c r="I86" s="63">
        <f>IF($A86="","",IFERROR(AVERAGEIFS(الموظفون_الاساسي,الموظفون_الإدارة,$A86),0))</f>
        <v/>
      </c>
    </row>
    <row r="87">
      <c r="A87" s="74">
        <f>IFERROR(INDEX(قائمة_الإدارات,81),"")</f>
        <v/>
      </c>
      <c r="B87" s="44">
        <f>IF($A87="","",COUNTIF(الموظفون_الإدارة,$A87))</f>
        <v/>
      </c>
      <c r="C87" s="44">
        <f>IF($A87="","",COUNTIFS(الموظفون_الإدارة,$A87,الموظفون_الحالة,"نشط"))</f>
        <v/>
      </c>
      <c r="D87" s="60">
        <f>IF($A87="","",SUMIFS(الموظفون_الاساسي,الموظفون_الإدارة,$A87))</f>
        <v/>
      </c>
      <c r="E87" s="60">
        <f>IF($A87="","",SUMIFS(الموظفون_البدلات,الموظفون_الإدارة,$A87))</f>
        <v/>
      </c>
      <c r="F87" s="60">
        <f>IF($A87="","",SUMIFS(الرواتب_الاستحقاقات,الرواتب_الإدارة,$A87))</f>
        <v/>
      </c>
      <c r="G87" s="60">
        <f>IF($A87="","",SUMIFS(الرواتب_الخصومات,الرواتب_الإدارة,$A87))</f>
        <v/>
      </c>
      <c r="H87" s="60">
        <f>IF($A87="","",SUMIFS(الرواتب_الصافي,الرواتب_الإدارة,$A87))</f>
        <v/>
      </c>
      <c r="I87" s="60">
        <f>IF($A87="","",IFERROR(AVERAGEIFS(الموظفون_الاساسي,الموظفون_الإدارة,$A87),0))</f>
        <v/>
      </c>
    </row>
    <row r="88">
      <c r="A88" s="75">
        <f>IFERROR(INDEX(قائمة_الإدارات,82),"")</f>
        <v/>
      </c>
      <c r="B88" s="51">
        <f>IF($A88="","",COUNTIF(الموظفون_الإدارة,$A88))</f>
        <v/>
      </c>
      <c r="C88" s="51">
        <f>IF($A88="","",COUNTIFS(الموظفون_الإدارة,$A88,الموظفون_الحالة,"نشط"))</f>
        <v/>
      </c>
      <c r="D88" s="63">
        <f>IF($A88="","",SUMIFS(الموظفون_الاساسي,الموظفون_الإدارة,$A88))</f>
        <v/>
      </c>
      <c r="E88" s="63">
        <f>IF($A88="","",SUMIFS(الموظفون_البدلات,الموظفون_الإدارة,$A88))</f>
        <v/>
      </c>
      <c r="F88" s="63">
        <f>IF($A88="","",SUMIFS(الرواتب_الاستحقاقات,الرواتب_الإدارة,$A88))</f>
        <v/>
      </c>
      <c r="G88" s="63">
        <f>IF($A88="","",SUMIFS(الرواتب_الخصومات,الرواتب_الإدارة,$A88))</f>
        <v/>
      </c>
      <c r="H88" s="63">
        <f>IF($A88="","",SUMIFS(الرواتب_الصافي,الرواتب_الإدارة,$A88))</f>
        <v/>
      </c>
      <c r="I88" s="63">
        <f>IF($A88="","",IFERROR(AVERAGEIFS(الموظفون_الاساسي,الموظفون_الإدارة,$A88),0))</f>
        <v/>
      </c>
    </row>
    <row r="89">
      <c r="A89" s="74">
        <f>IFERROR(INDEX(قائمة_الإدارات,83),"")</f>
        <v/>
      </c>
      <c r="B89" s="44">
        <f>IF($A89="","",COUNTIF(الموظفون_الإدارة,$A89))</f>
        <v/>
      </c>
      <c r="C89" s="44">
        <f>IF($A89="","",COUNTIFS(الموظفون_الإدارة,$A89,الموظفون_الحالة,"نشط"))</f>
        <v/>
      </c>
      <c r="D89" s="60">
        <f>IF($A89="","",SUMIFS(الموظفون_الاساسي,الموظفون_الإدارة,$A89))</f>
        <v/>
      </c>
      <c r="E89" s="60">
        <f>IF($A89="","",SUMIFS(الموظفون_البدلات,الموظفون_الإدارة,$A89))</f>
        <v/>
      </c>
      <c r="F89" s="60">
        <f>IF($A89="","",SUMIFS(الرواتب_الاستحقاقات,الرواتب_الإدارة,$A89))</f>
        <v/>
      </c>
      <c r="G89" s="60">
        <f>IF($A89="","",SUMIFS(الرواتب_الخصومات,الرواتب_الإدارة,$A89))</f>
        <v/>
      </c>
      <c r="H89" s="60">
        <f>IF($A89="","",SUMIFS(الرواتب_الصافي,الرواتب_الإدارة,$A89))</f>
        <v/>
      </c>
      <c r="I89" s="60">
        <f>IF($A89="","",IFERROR(AVERAGEIFS(الموظفون_الاساسي,الموظفون_الإدارة,$A89),0))</f>
        <v/>
      </c>
    </row>
    <row r="90">
      <c r="A90" s="75">
        <f>IFERROR(INDEX(قائمة_الإدارات,84),"")</f>
        <v/>
      </c>
      <c r="B90" s="51">
        <f>IF($A90="","",COUNTIF(الموظفون_الإدارة,$A90))</f>
        <v/>
      </c>
      <c r="C90" s="51">
        <f>IF($A90="","",COUNTIFS(الموظفون_الإدارة,$A90,الموظفون_الحالة,"نشط"))</f>
        <v/>
      </c>
      <c r="D90" s="63">
        <f>IF($A90="","",SUMIFS(الموظفون_الاساسي,الموظفون_الإدارة,$A90))</f>
        <v/>
      </c>
      <c r="E90" s="63">
        <f>IF($A90="","",SUMIFS(الموظفون_البدلات,الموظفون_الإدارة,$A90))</f>
        <v/>
      </c>
      <c r="F90" s="63">
        <f>IF($A90="","",SUMIFS(الرواتب_الاستحقاقات,الرواتب_الإدارة,$A90))</f>
        <v/>
      </c>
      <c r="G90" s="63">
        <f>IF($A90="","",SUMIFS(الرواتب_الخصومات,الرواتب_الإدارة,$A90))</f>
        <v/>
      </c>
      <c r="H90" s="63">
        <f>IF($A90="","",SUMIFS(الرواتب_الصافي,الرواتب_الإدارة,$A90))</f>
        <v/>
      </c>
      <c r="I90" s="63">
        <f>IF($A90="","",IFERROR(AVERAGEIFS(الموظفون_الاساسي,الموظفون_الإدارة,$A90),0))</f>
        <v/>
      </c>
    </row>
    <row r="91">
      <c r="A91" s="74">
        <f>IFERROR(INDEX(قائمة_الإدارات,85),"")</f>
        <v/>
      </c>
      <c r="B91" s="44">
        <f>IF($A91="","",COUNTIF(الموظفون_الإدارة,$A91))</f>
        <v/>
      </c>
      <c r="C91" s="44">
        <f>IF($A91="","",COUNTIFS(الموظفون_الإدارة,$A91,الموظفون_الحالة,"نشط"))</f>
        <v/>
      </c>
      <c r="D91" s="60">
        <f>IF($A91="","",SUMIFS(الموظفون_الاساسي,الموظفون_الإدارة,$A91))</f>
        <v/>
      </c>
      <c r="E91" s="60">
        <f>IF($A91="","",SUMIFS(الموظفون_البدلات,الموظفون_الإدارة,$A91))</f>
        <v/>
      </c>
      <c r="F91" s="60">
        <f>IF($A91="","",SUMIFS(الرواتب_الاستحقاقات,الرواتب_الإدارة,$A91))</f>
        <v/>
      </c>
      <c r="G91" s="60">
        <f>IF($A91="","",SUMIFS(الرواتب_الخصومات,الرواتب_الإدارة,$A91))</f>
        <v/>
      </c>
      <c r="H91" s="60">
        <f>IF($A91="","",SUMIFS(الرواتب_الصافي,الرواتب_الإدارة,$A91))</f>
        <v/>
      </c>
      <c r="I91" s="60">
        <f>IF($A91="","",IFERROR(AVERAGEIFS(الموظفون_الاساسي,الموظفون_الإدارة,$A91),0))</f>
        <v/>
      </c>
    </row>
    <row r="92">
      <c r="A92" s="75">
        <f>IFERROR(INDEX(قائمة_الإدارات,86),"")</f>
        <v/>
      </c>
      <c r="B92" s="51">
        <f>IF($A92="","",COUNTIF(الموظفون_الإدارة,$A92))</f>
        <v/>
      </c>
      <c r="C92" s="51">
        <f>IF($A92="","",COUNTIFS(الموظفون_الإدارة,$A92,الموظفون_الحالة,"نشط"))</f>
        <v/>
      </c>
      <c r="D92" s="63">
        <f>IF($A92="","",SUMIFS(الموظفون_الاساسي,الموظفون_الإدارة,$A92))</f>
        <v/>
      </c>
      <c r="E92" s="63">
        <f>IF($A92="","",SUMIFS(الموظفون_البدلات,الموظفون_الإدارة,$A92))</f>
        <v/>
      </c>
      <c r="F92" s="63">
        <f>IF($A92="","",SUMIFS(الرواتب_الاستحقاقات,الرواتب_الإدارة,$A92))</f>
        <v/>
      </c>
      <c r="G92" s="63">
        <f>IF($A92="","",SUMIFS(الرواتب_الخصومات,الرواتب_الإدارة,$A92))</f>
        <v/>
      </c>
      <c r="H92" s="63">
        <f>IF($A92="","",SUMIFS(الرواتب_الصافي,الرواتب_الإدارة,$A92))</f>
        <v/>
      </c>
      <c r="I92" s="63">
        <f>IF($A92="","",IFERROR(AVERAGEIFS(الموظفون_الاساسي,الموظفون_الإدارة,$A92),0))</f>
        <v/>
      </c>
    </row>
    <row r="93">
      <c r="A93" s="74">
        <f>IFERROR(INDEX(قائمة_الإدارات,87),"")</f>
        <v/>
      </c>
      <c r="B93" s="44">
        <f>IF($A93="","",COUNTIF(الموظفون_الإدارة,$A93))</f>
        <v/>
      </c>
      <c r="C93" s="44">
        <f>IF($A93="","",COUNTIFS(الموظفون_الإدارة,$A93,الموظفون_الحالة,"نشط"))</f>
        <v/>
      </c>
      <c r="D93" s="60">
        <f>IF($A93="","",SUMIFS(الموظفون_الاساسي,الموظفون_الإدارة,$A93))</f>
        <v/>
      </c>
      <c r="E93" s="60">
        <f>IF($A93="","",SUMIFS(الموظفون_البدلات,الموظفون_الإدارة,$A93))</f>
        <v/>
      </c>
      <c r="F93" s="60">
        <f>IF($A93="","",SUMIFS(الرواتب_الاستحقاقات,الرواتب_الإدارة,$A93))</f>
        <v/>
      </c>
      <c r="G93" s="60">
        <f>IF($A93="","",SUMIFS(الرواتب_الخصومات,الرواتب_الإدارة,$A93))</f>
        <v/>
      </c>
      <c r="H93" s="60">
        <f>IF($A93="","",SUMIFS(الرواتب_الصافي,الرواتب_الإدارة,$A93))</f>
        <v/>
      </c>
      <c r="I93" s="60">
        <f>IF($A93="","",IFERROR(AVERAGEIFS(الموظفون_الاساسي,الموظفون_الإدارة,$A93),0))</f>
        <v/>
      </c>
    </row>
    <row r="94">
      <c r="A94" s="75">
        <f>IFERROR(INDEX(قائمة_الإدارات,88),"")</f>
        <v/>
      </c>
      <c r="B94" s="51">
        <f>IF($A94="","",COUNTIF(الموظفون_الإدارة,$A94))</f>
        <v/>
      </c>
      <c r="C94" s="51">
        <f>IF($A94="","",COUNTIFS(الموظفون_الإدارة,$A94,الموظفون_الحالة,"نشط"))</f>
        <v/>
      </c>
      <c r="D94" s="63">
        <f>IF($A94="","",SUMIFS(الموظفون_الاساسي,الموظفون_الإدارة,$A94))</f>
        <v/>
      </c>
      <c r="E94" s="63">
        <f>IF($A94="","",SUMIFS(الموظفون_البدلات,الموظفون_الإدارة,$A94))</f>
        <v/>
      </c>
      <c r="F94" s="63">
        <f>IF($A94="","",SUMIFS(الرواتب_الاستحقاقات,الرواتب_الإدارة,$A94))</f>
        <v/>
      </c>
      <c r="G94" s="63">
        <f>IF($A94="","",SUMIFS(الرواتب_الخصومات,الرواتب_الإدارة,$A94))</f>
        <v/>
      </c>
      <c r="H94" s="63">
        <f>IF($A94="","",SUMIFS(الرواتب_الصافي,الرواتب_الإدارة,$A94))</f>
        <v/>
      </c>
      <c r="I94" s="63">
        <f>IF($A94="","",IFERROR(AVERAGEIFS(الموظفون_الاساسي,الموظفون_الإدارة,$A94),0))</f>
        <v/>
      </c>
    </row>
    <row r="95">
      <c r="A95" s="74">
        <f>IFERROR(INDEX(قائمة_الإدارات,89),"")</f>
        <v/>
      </c>
      <c r="B95" s="44">
        <f>IF($A95="","",COUNTIF(الموظفون_الإدارة,$A95))</f>
        <v/>
      </c>
      <c r="C95" s="44">
        <f>IF($A95="","",COUNTIFS(الموظفون_الإدارة,$A95,الموظفون_الحالة,"نشط"))</f>
        <v/>
      </c>
      <c r="D95" s="60">
        <f>IF($A95="","",SUMIFS(الموظفون_الاساسي,الموظفون_الإدارة,$A95))</f>
        <v/>
      </c>
      <c r="E95" s="60">
        <f>IF($A95="","",SUMIFS(الموظفون_البدلات,الموظفون_الإدارة,$A95))</f>
        <v/>
      </c>
      <c r="F95" s="60">
        <f>IF($A95="","",SUMIFS(الرواتب_الاستحقاقات,الرواتب_الإدارة,$A95))</f>
        <v/>
      </c>
      <c r="G95" s="60">
        <f>IF($A95="","",SUMIFS(الرواتب_الخصومات,الرواتب_الإدارة,$A95))</f>
        <v/>
      </c>
      <c r="H95" s="60">
        <f>IF($A95="","",SUMIFS(الرواتب_الصافي,الرواتب_الإدارة,$A95))</f>
        <v/>
      </c>
      <c r="I95" s="60">
        <f>IF($A95="","",IFERROR(AVERAGEIFS(الموظفون_الاساسي,الموظفون_الإدارة,$A95),0))</f>
        <v/>
      </c>
    </row>
    <row r="96">
      <c r="A96" s="75">
        <f>IFERROR(INDEX(قائمة_الإدارات,90),"")</f>
        <v/>
      </c>
      <c r="B96" s="51">
        <f>IF($A96="","",COUNTIF(الموظفون_الإدارة,$A96))</f>
        <v/>
      </c>
      <c r="C96" s="51">
        <f>IF($A96="","",COUNTIFS(الموظفون_الإدارة,$A96,الموظفون_الحالة,"نشط"))</f>
        <v/>
      </c>
      <c r="D96" s="63">
        <f>IF($A96="","",SUMIFS(الموظفون_الاساسي,الموظفون_الإدارة,$A96))</f>
        <v/>
      </c>
      <c r="E96" s="63">
        <f>IF($A96="","",SUMIFS(الموظفون_البدلات,الموظفون_الإدارة,$A96))</f>
        <v/>
      </c>
      <c r="F96" s="63">
        <f>IF($A96="","",SUMIFS(الرواتب_الاستحقاقات,الرواتب_الإدارة,$A96))</f>
        <v/>
      </c>
      <c r="G96" s="63">
        <f>IF($A96="","",SUMIFS(الرواتب_الخصومات,الرواتب_الإدارة,$A96))</f>
        <v/>
      </c>
      <c r="H96" s="63">
        <f>IF($A96="","",SUMIFS(الرواتب_الصافي,الرواتب_الإدارة,$A96))</f>
        <v/>
      </c>
      <c r="I96" s="63">
        <f>IF($A96="","",IFERROR(AVERAGEIFS(الموظفون_الاساسي,الموظفون_الإدارة,$A96),0))</f>
        <v/>
      </c>
    </row>
    <row r="97">
      <c r="A97" s="74">
        <f>IFERROR(INDEX(قائمة_الإدارات,91),"")</f>
        <v/>
      </c>
      <c r="B97" s="44">
        <f>IF($A97="","",COUNTIF(الموظفون_الإدارة,$A97))</f>
        <v/>
      </c>
      <c r="C97" s="44">
        <f>IF($A97="","",COUNTIFS(الموظفون_الإدارة,$A97,الموظفون_الحالة,"نشط"))</f>
        <v/>
      </c>
      <c r="D97" s="60">
        <f>IF($A97="","",SUMIFS(الموظفون_الاساسي,الموظفون_الإدارة,$A97))</f>
        <v/>
      </c>
      <c r="E97" s="60">
        <f>IF($A97="","",SUMIFS(الموظفون_البدلات,الموظفون_الإدارة,$A97))</f>
        <v/>
      </c>
      <c r="F97" s="60">
        <f>IF($A97="","",SUMIFS(الرواتب_الاستحقاقات,الرواتب_الإدارة,$A97))</f>
        <v/>
      </c>
      <c r="G97" s="60">
        <f>IF($A97="","",SUMIFS(الرواتب_الخصومات,الرواتب_الإدارة,$A97))</f>
        <v/>
      </c>
      <c r="H97" s="60">
        <f>IF($A97="","",SUMIFS(الرواتب_الصافي,الرواتب_الإدارة,$A97))</f>
        <v/>
      </c>
      <c r="I97" s="60">
        <f>IF($A97="","",IFERROR(AVERAGEIFS(الموظفون_الاساسي,الموظفون_الإدارة,$A97),0))</f>
        <v/>
      </c>
    </row>
    <row r="98">
      <c r="A98" s="75">
        <f>IFERROR(INDEX(قائمة_الإدارات,92),"")</f>
        <v/>
      </c>
      <c r="B98" s="51">
        <f>IF($A98="","",COUNTIF(الموظفون_الإدارة,$A98))</f>
        <v/>
      </c>
      <c r="C98" s="51">
        <f>IF($A98="","",COUNTIFS(الموظفون_الإدارة,$A98,الموظفون_الحالة,"نشط"))</f>
        <v/>
      </c>
      <c r="D98" s="63">
        <f>IF($A98="","",SUMIFS(الموظفون_الاساسي,الموظفون_الإدارة,$A98))</f>
        <v/>
      </c>
      <c r="E98" s="63">
        <f>IF($A98="","",SUMIFS(الموظفون_البدلات,الموظفون_الإدارة,$A98))</f>
        <v/>
      </c>
      <c r="F98" s="63">
        <f>IF($A98="","",SUMIFS(الرواتب_الاستحقاقات,الرواتب_الإدارة,$A98))</f>
        <v/>
      </c>
      <c r="G98" s="63">
        <f>IF($A98="","",SUMIFS(الرواتب_الخصومات,الرواتب_الإدارة,$A98))</f>
        <v/>
      </c>
      <c r="H98" s="63">
        <f>IF($A98="","",SUMIFS(الرواتب_الصافي,الرواتب_الإدارة,$A98))</f>
        <v/>
      </c>
      <c r="I98" s="63">
        <f>IF($A98="","",IFERROR(AVERAGEIFS(الموظفون_الاساسي,الموظفون_الإدارة,$A98),0))</f>
        <v/>
      </c>
    </row>
    <row r="99">
      <c r="A99" s="74">
        <f>IFERROR(INDEX(قائمة_الإدارات,93),"")</f>
        <v/>
      </c>
      <c r="B99" s="44">
        <f>IF($A99="","",COUNTIF(الموظفون_الإدارة,$A99))</f>
        <v/>
      </c>
      <c r="C99" s="44">
        <f>IF($A99="","",COUNTIFS(الموظفون_الإدارة,$A99,الموظفون_الحالة,"نشط"))</f>
        <v/>
      </c>
      <c r="D99" s="60">
        <f>IF($A99="","",SUMIFS(الموظفون_الاساسي,الموظفون_الإدارة,$A99))</f>
        <v/>
      </c>
      <c r="E99" s="60">
        <f>IF($A99="","",SUMIFS(الموظفون_البدلات,الموظفون_الإدارة,$A99))</f>
        <v/>
      </c>
      <c r="F99" s="60">
        <f>IF($A99="","",SUMIFS(الرواتب_الاستحقاقات,الرواتب_الإدارة,$A99))</f>
        <v/>
      </c>
      <c r="G99" s="60">
        <f>IF($A99="","",SUMIFS(الرواتب_الخصومات,الرواتب_الإدارة,$A99))</f>
        <v/>
      </c>
      <c r="H99" s="60">
        <f>IF($A99="","",SUMIFS(الرواتب_الصافي,الرواتب_الإدارة,$A99))</f>
        <v/>
      </c>
      <c r="I99" s="60">
        <f>IF($A99="","",IFERROR(AVERAGEIFS(الموظفون_الاساسي,الموظفون_الإدارة,$A99),0))</f>
        <v/>
      </c>
    </row>
    <row r="100">
      <c r="A100" s="75">
        <f>IFERROR(INDEX(قائمة_الإدارات,94),"")</f>
        <v/>
      </c>
      <c r="B100" s="51">
        <f>IF($A100="","",COUNTIF(الموظفون_الإدارة,$A100))</f>
        <v/>
      </c>
      <c r="C100" s="51">
        <f>IF($A100="","",COUNTIFS(الموظفون_الإدارة,$A100,الموظفون_الحالة,"نشط"))</f>
        <v/>
      </c>
      <c r="D100" s="63">
        <f>IF($A100="","",SUMIFS(الموظفون_الاساسي,الموظفون_الإدارة,$A100))</f>
        <v/>
      </c>
      <c r="E100" s="63">
        <f>IF($A100="","",SUMIFS(الموظفون_البدلات,الموظفون_الإدارة,$A100))</f>
        <v/>
      </c>
      <c r="F100" s="63">
        <f>IF($A100="","",SUMIFS(الرواتب_الاستحقاقات,الرواتب_الإدارة,$A100))</f>
        <v/>
      </c>
      <c r="G100" s="63">
        <f>IF($A100="","",SUMIFS(الرواتب_الخصومات,الرواتب_الإدارة,$A100))</f>
        <v/>
      </c>
      <c r="H100" s="63">
        <f>IF($A100="","",SUMIFS(الرواتب_الصافي,الرواتب_الإدارة,$A100))</f>
        <v/>
      </c>
      <c r="I100" s="63">
        <f>IF($A100="","",IFERROR(AVERAGEIFS(الموظفون_الاساسي,الموظفون_الإدارة,$A100),0))</f>
        <v/>
      </c>
    </row>
    <row r="101">
      <c r="A101" s="74">
        <f>IFERROR(INDEX(قائمة_الإدارات,95),"")</f>
        <v/>
      </c>
      <c r="B101" s="44">
        <f>IF($A101="","",COUNTIF(الموظفون_الإدارة,$A101))</f>
        <v/>
      </c>
      <c r="C101" s="44">
        <f>IF($A101="","",COUNTIFS(الموظفون_الإدارة,$A101,الموظفون_الحالة,"نشط"))</f>
        <v/>
      </c>
      <c r="D101" s="60">
        <f>IF($A101="","",SUMIFS(الموظفون_الاساسي,الموظفون_الإدارة,$A101))</f>
        <v/>
      </c>
      <c r="E101" s="60">
        <f>IF($A101="","",SUMIFS(الموظفون_البدلات,الموظفون_الإدارة,$A101))</f>
        <v/>
      </c>
      <c r="F101" s="60">
        <f>IF($A101="","",SUMIFS(الرواتب_الاستحقاقات,الرواتب_الإدارة,$A101))</f>
        <v/>
      </c>
      <c r="G101" s="60">
        <f>IF($A101="","",SUMIFS(الرواتب_الخصومات,الرواتب_الإدارة,$A101))</f>
        <v/>
      </c>
      <c r="H101" s="60">
        <f>IF($A101="","",SUMIFS(الرواتب_الصافي,الرواتب_الإدارة,$A101))</f>
        <v/>
      </c>
      <c r="I101" s="60">
        <f>IF($A101="","",IFERROR(AVERAGEIFS(الموظفون_الاساسي,الموظفون_الإدارة,$A101),0))</f>
        <v/>
      </c>
    </row>
    <row r="102">
      <c r="A102" s="75">
        <f>IFERROR(INDEX(قائمة_الإدارات,96),"")</f>
        <v/>
      </c>
      <c r="B102" s="51">
        <f>IF($A102="","",COUNTIF(الموظفون_الإدارة,$A102))</f>
        <v/>
      </c>
      <c r="C102" s="51">
        <f>IF($A102="","",COUNTIFS(الموظفون_الإدارة,$A102,الموظفون_الحالة,"نشط"))</f>
        <v/>
      </c>
      <c r="D102" s="63">
        <f>IF($A102="","",SUMIFS(الموظفون_الاساسي,الموظفون_الإدارة,$A102))</f>
        <v/>
      </c>
      <c r="E102" s="63">
        <f>IF($A102="","",SUMIFS(الموظفون_البدلات,الموظفون_الإدارة,$A102))</f>
        <v/>
      </c>
      <c r="F102" s="63">
        <f>IF($A102="","",SUMIFS(الرواتب_الاستحقاقات,الرواتب_الإدارة,$A102))</f>
        <v/>
      </c>
      <c r="G102" s="63">
        <f>IF($A102="","",SUMIFS(الرواتب_الخصومات,الرواتب_الإدارة,$A102))</f>
        <v/>
      </c>
      <c r="H102" s="63">
        <f>IF($A102="","",SUMIFS(الرواتب_الصافي,الرواتب_الإدارة,$A102))</f>
        <v/>
      </c>
      <c r="I102" s="63">
        <f>IF($A102="","",IFERROR(AVERAGEIFS(الموظفون_الاساسي,الموظفون_الإدارة,$A102),0))</f>
        <v/>
      </c>
    </row>
    <row r="103">
      <c r="A103" s="74">
        <f>IFERROR(INDEX(قائمة_الإدارات,97),"")</f>
        <v/>
      </c>
      <c r="B103" s="44">
        <f>IF($A103="","",COUNTIF(الموظفون_الإدارة,$A103))</f>
        <v/>
      </c>
      <c r="C103" s="44">
        <f>IF($A103="","",COUNTIFS(الموظفون_الإدارة,$A103,الموظفون_الحالة,"نشط"))</f>
        <v/>
      </c>
      <c r="D103" s="60">
        <f>IF($A103="","",SUMIFS(الموظفون_الاساسي,الموظفون_الإدارة,$A103))</f>
        <v/>
      </c>
      <c r="E103" s="60">
        <f>IF($A103="","",SUMIFS(الموظفون_البدلات,الموظفون_الإدارة,$A103))</f>
        <v/>
      </c>
      <c r="F103" s="60">
        <f>IF($A103="","",SUMIFS(الرواتب_الاستحقاقات,الرواتب_الإدارة,$A103))</f>
        <v/>
      </c>
      <c r="G103" s="60">
        <f>IF($A103="","",SUMIFS(الرواتب_الخصومات,الرواتب_الإدارة,$A103))</f>
        <v/>
      </c>
      <c r="H103" s="60">
        <f>IF($A103="","",SUMIFS(الرواتب_الصافي,الرواتب_الإدارة,$A103))</f>
        <v/>
      </c>
      <c r="I103" s="60">
        <f>IF($A103="","",IFERROR(AVERAGEIFS(الموظفون_الاساسي,الموظفون_الإدارة,$A103),0))</f>
        <v/>
      </c>
    </row>
    <row r="104">
      <c r="A104" s="75">
        <f>IFERROR(INDEX(قائمة_الإدارات,98),"")</f>
        <v/>
      </c>
      <c r="B104" s="51">
        <f>IF($A104="","",COUNTIF(الموظفون_الإدارة,$A104))</f>
        <v/>
      </c>
      <c r="C104" s="51">
        <f>IF($A104="","",COUNTIFS(الموظفون_الإدارة,$A104,الموظفون_الحالة,"نشط"))</f>
        <v/>
      </c>
      <c r="D104" s="63">
        <f>IF($A104="","",SUMIFS(الموظفون_الاساسي,الموظفون_الإدارة,$A104))</f>
        <v/>
      </c>
      <c r="E104" s="63">
        <f>IF($A104="","",SUMIFS(الموظفون_البدلات,الموظفون_الإدارة,$A104))</f>
        <v/>
      </c>
      <c r="F104" s="63">
        <f>IF($A104="","",SUMIFS(الرواتب_الاستحقاقات,الرواتب_الإدارة,$A104))</f>
        <v/>
      </c>
      <c r="G104" s="63">
        <f>IF($A104="","",SUMIFS(الرواتب_الخصومات,الرواتب_الإدارة,$A104))</f>
        <v/>
      </c>
      <c r="H104" s="63">
        <f>IF($A104="","",SUMIFS(الرواتب_الصافي,الرواتب_الإدارة,$A104))</f>
        <v/>
      </c>
      <c r="I104" s="63">
        <f>IF($A104="","",IFERROR(AVERAGEIFS(الموظفون_الاساسي,الموظفون_الإدارة,$A104),0))</f>
        <v/>
      </c>
    </row>
    <row r="105">
      <c r="A105" s="74">
        <f>IFERROR(INDEX(قائمة_الإدارات,99),"")</f>
        <v/>
      </c>
      <c r="B105" s="44">
        <f>IF($A105="","",COUNTIF(الموظفون_الإدارة,$A105))</f>
        <v/>
      </c>
      <c r="C105" s="44">
        <f>IF($A105="","",COUNTIFS(الموظفون_الإدارة,$A105,الموظفون_الحالة,"نشط"))</f>
        <v/>
      </c>
      <c r="D105" s="60">
        <f>IF($A105="","",SUMIFS(الموظفون_الاساسي,الموظفون_الإدارة,$A105))</f>
        <v/>
      </c>
      <c r="E105" s="60">
        <f>IF($A105="","",SUMIFS(الموظفون_البدلات,الموظفون_الإدارة,$A105))</f>
        <v/>
      </c>
      <c r="F105" s="60">
        <f>IF($A105="","",SUMIFS(الرواتب_الاستحقاقات,الرواتب_الإدارة,$A105))</f>
        <v/>
      </c>
      <c r="G105" s="60">
        <f>IF($A105="","",SUMIFS(الرواتب_الخصومات,الرواتب_الإدارة,$A105))</f>
        <v/>
      </c>
      <c r="H105" s="60">
        <f>IF($A105="","",SUMIFS(الرواتب_الصافي,الرواتب_الإدارة,$A105))</f>
        <v/>
      </c>
      <c r="I105" s="60">
        <f>IF($A105="","",IFERROR(AVERAGEIFS(الموظفون_الاساسي,الموظفون_الإدارة,$A105),0))</f>
        <v/>
      </c>
    </row>
    <row r="106">
      <c r="A106" s="75">
        <f>IFERROR(INDEX(قائمة_الإدارات,100),"")</f>
        <v/>
      </c>
      <c r="B106" s="51">
        <f>IF($A106="","",COUNTIF(الموظفون_الإدارة,$A106))</f>
        <v/>
      </c>
      <c r="C106" s="51">
        <f>IF($A106="","",COUNTIFS(الموظفون_الإدارة,$A106,الموظفون_الحالة,"نشط"))</f>
        <v/>
      </c>
      <c r="D106" s="63">
        <f>IF($A106="","",SUMIFS(الموظفون_الاساسي,الموظفون_الإدارة,$A106))</f>
        <v/>
      </c>
      <c r="E106" s="63">
        <f>IF($A106="","",SUMIFS(الموظفون_البدلات,الموظفون_الإدارة,$A106))</f>
        <v/>
      </c>
      <c r="F106" s="63">
        <f>IF($A106="","",SUMIFS(الرواتب_الاستحقاقات,الرواتب_الإدارة,$A106))</f>
        <v/>
      </c>
      <c r="G106" s="63">
        <f>IF($A106="","",SUMIFS(الرواتب_الخصومات,الرواتب_الإدارة,$A106))</f>
        <v/>
      </c>
      <c r="H106" s="63">
        <f>IF($A106="","",SUMIFS(الرواتب_الصافي,الرواتب_الإدارة,$A106))</f>
        <v/>
      </c>
      <c r="I106" s="63">
        <f>IF($A106="","",IFERROR(AVERAGEIFS(الموظفون_الاساسي,الموظفون_الإدارة,$A106),0))</f>
        <v/>
      </c>
    </row>
    <row r="107">
      <c r="A107" s="74">
        <f>IFERROR(INDEX(قائمة_الإدارات,101),"")</f>
        <v/>
      </c>
      <c r="B107" s="44">
        <f>IF($A107="","",COUNTIF(الموظفون_الإدارة,$A107))</f>
        <v/>
      </c>
      <c r="C107" s="44">
        <f>IF($A107="","",COUNTIFS(الموظفون_الإدارة,$A107,الموظفون_الحالة,"نشط"))</f>
        <v/>
      </c>
      <c r="D107" s="60">
        <f>IF($A107="","",SUMIFS(الموظفون_الاساسي,الموظفون_الإدارة,$A107))</f>
        <v/>
      </c>
      <c r="E107" s="60">
        <f>IF($A107="","",SUMIFS(الموظفون_البدلات,الموظفون_الإدارة,$A107))</f>
        <v/>
      </c>
      <c r="F107" s="60">
        <f>IF($A107="","",SUMIFS(الرواتب_الاستحقاقات,الرواتب_الإدارة,$A107))</f>
        <v/>
      </c>
      <c r="G107" s="60">
        <f>IF($A107="","",SUMIFS(الرواتب_الخصومات,الرواتب_الإدارة,$A107))</f>
        <v/>
      </c>
      <c r="H107" s="60">
        <f>IF($A107="","",SUMIFS(الرواتب_الصافي,الرواتب_الإدارة,$A107))</f>
        <v/>
      </c>
      <c r="I107" s="60">
        <f>IF($A107="","",IFERROR(AVERAGEIFS(الموظفون_الاساسي,الموظفون_الإدارة,$A107),0))</f>
        <v/>
      </c>
    </row>
    <row r="108">
      <c r="A108" s="75">
        <f>IFERROR(INDEX(قائمة_الإدارات,102),"")</f>
        <v/>
      </c>
      <c r="B108" s="51">
        <f>IF($A108="","",COUNTIF(الموظفون_الإدارة,$A108))</f>
        <v/>
      </c>
      <c r="C108" s="51">
        <f>IF($A108="","",COUNTIFS(الموظفون_الإدارة,$A108,الموظفون_الحالة,"نشط"))</f>
        <v/>
      </c>
      <c r="D108" s="63">
        <f>IF($A108="","",SUMIFS(الموظفون_الاساسي,الموظفون_الإدارة,$A108))</f>
        <v/>
      </c>
      <c r="E108" s="63">
        <f>IF($A108="","",SUMIFS(الموظفون_البدلات,الموظفون_الإدارة,$A108))</f>
        <v/>
      </c>
      <c r="F108" s="63">
        <f>IF($A108="","",SUMIFS(الرواتب_الاستحقاقات,الرواتب_الإدارة,$A108))</f>
        <v/>
      </c>
      <c r="G108" s="63">
        <f>IF($A108="","",SUMIFS(الرواتب_الخصومات,الرواتب_الإدارة,$A108))</f>
        <v/>
      </c>
      <c r="H108" s="63">
        <f>IF($A108="","",SUMIFS(الرواتب_الصافي,الرواتب_الإدارة,$A108))</f>
        <v/>
      </c>
      <c r="I108" s="63">
        <f>IF($A108="","",IFERROR(AVERAGEIFS(الموظفون_الاساسي,الموظفون_الإدارة,$A108),0))</f>
        <v/>
      </c>
    </row>
    <row r="109">
      <c r="A109" s="74">
        <f>IFERROR(INDEX(قائمة_الإدارات,103),"")</f>
        <v/>
      </c>
      <c r="B109" s="44">
        <f>IF($A109="","",COUNTIF(الموظفون_الإدارة,$A109))</f>
        <v/>
      </c>
      <c r="C109" s="44">
        <f>IF($A109="","",COUNTIFS(الموظفون_الإدارة,$A109,الموظفون_الحالة,"نشط"))</f>
        <v/>
      </c>
      <c r="D109" s="60">
        <f>IF($A109="","",SUMIFS(الموظفون_الاساسي,الموظفون_الإدارة,$A109))</f>
        <v/>
      </c>
      <c r="E109" s="60">
        <f>IF($A109="","",SUMIFS(الموظفون_البدلات,الموظفون_الإدارة,$A109))</f>
        <v/>
      </c>
      <c r="F109" s="60">
        <f>IF($A109="","",SUMIFS(الرواتب_الاستحقاقات,الرواتب_الإدارة,$A109))</f>
        <v/>
      </c>
      <c r="G109" s="60">
        <f>IF($A109="","",SUMIFS(الرواتب_الخصومات,الرواتب_الإدارة,$A109))</f>
        <v/>
      </c>
      <c r="H109" s="60">
        <f>IF($A109="","",SUMIFS(الرواتب_الصافي,الرواتب_الإدارة,$A109))</f>
        <v/>
      </c>
      <c r="I109" s="60">
        <f>IF($A109="","",IFERROR(AVERAGEIFS(الموظفون_الاساسي,الموظفون_الإدارة,$A109),0))</f>
        <v/>
      </c>
    </row>
    <row r="110">
      <c r="A110" s="75">
        <f>IFERROR(INDEX(قائمة_الإدارات,104),"")</f>
        <v/>
      </c>
      <c r="B110" s="51">
        <f>IF($A110="","",COUNTIF(الموظفون_الإدارة,$A110))</f>
        <v/>
      </c>
      <c r="C110" s="51">
        <f>IF($A110="","",COUNTIFS(الموظفون_الإدارة,$A110,الموظفون_الحالة,"نشط"))</f>
        <v/>
      </c>
      <c r="D110" s="63">
        <f>IF($A110="","",SUMIFS(الموظفون_الاساسي,الموظفون_الإدارة,$A110))</f>
        <v/>
      </c>
      <c r="E110" s="63">
        <f>IF($A110="","",SUMIFS(الموظفون_البدلات,الموظفون_الإدارة,$A110))</f>
        <v/>
      </c>
      <c r="F110" s="63">
        <f>IF($A110="","",SUMIFS(الرواتب_الاستحقاقات,الرواتب_الإدارة,$A110))</f>
        <v/>
      </c>
      <c r="G110" s="63">
        <f>IF($A110="","",SUMIFS(الرواتب_الخصومات,الرواتب_الإدارة,$A110))</f>
        <v/>
      </c>
      <c r="H110" s="63">
        <f>IF($A110="","",SUMIFS(الرواتب_الصافي,الرواتب_الإدارة,$A110))</f>
        <v/>
      </c>
      <c r="I110" s="63">
        <f>IF($A110="","",IFERROR(AVERAGEIFS(الموظفون_الاساسي,الموظفون_الإدارة,$A110),0))</f>
        <v/>
      </c>
    </row>
    <row r="111">
      <c r="A111" s="74">
        <f>IFERROR(INDEX(قائمة_الإدارات,105),"")</f>
        <v/>
      </c>
      <c r="B111" s="44">
        <f>IF($A111="","",COUNTIF(الموظفون_الإدارة,$A111))</f>
        <v/>
      </c>
      <c r="C111" s="44">
        <f>IF($A111="","",COUNTIFS(الموظفون_الإدارة,$A111,الموظفون_الحالة,"نشط"))</f>
        <v/>
      </c>
      <c r="D111" s="60">
        <f>IF($A111="","",SUMIFS(الموظفون_الاساسي,الموظفون_الإدارة,$A111))</f>
        <v/>
      </c>
      <c r="E111" s="60">
        <f>IF($A111="","",SUMIFS(الموظفون_البدلات,الموظفون_الإدارة,$A111))</f>
        <v/>
      </c>
      <c r="F111" s="60">
        <f>IF($A111="","",SUMIFS(الرواتب_الاستحقاقات,الرواتب_الإدارة,$A111))</f>
        <v/>
      </c>
      <c r="G111" s="60">
        <f>IF($A111="","",SUMIFS(الرواتب_الخصومات,الرواتب_الإدارة,$A111))</f>
        <v/>
      </c>
      <c r="H111" s="60">
        <f>IF($A111="","",SUMIFS(الرواتب_الصافي,الرواتب_الإدارة,$A111))</f>
        <v/>
      </c>
      <c r="I111" s="60">
        <f>IF($A111="","",IFERROR(AVERAGEIFS(الموظفون_الاساسي,الموظفون_الإدارة,$A111),0))</f>
        <v/>
      </c>
    </row>
    <row r="112">
      <c r="A112" s="75">
        <f>IFERROR(INDEX(قائمة_الإدارات,106),"")</f>
        <v/>
      </c>
      <c r="B112" s="51">
        <f>IF($A112="","",COUNTIF(الموظفون_الإدارة,$A112))</f>
        <v/>
      </c>
      <c r="C112" s="51">
        <f>IF($A112="","",COUNTIFS(الموظفون_الإدارة,$A112,الموظفون_الحالة,"نشط"))</f>
        <v/>
      </c>
      <c r="D112" s="63">
        <f>IF($A112="","",SUMIFS(الموظفون_الاساسي,الموظفون_الإدارة,$A112))</f>
        <v/>
      </c>
      <c r="E112" s="63">
        <f>IF($A112="","",SUMIFS(الموظفون_البدلات,الموظفون_الإدارة,$A112))</f>
        <v/>
      </c>
      <c r="F112" s="63">
        <f>IF($A112="","",SUMIFS(الرواتب_الاستحقاقات,الرواتب_الإدارة,$A112))</f>
        <v/>
      </c>
      <c r="G112" s="63">
        <f>IF($A112="","",SUMIFS(الرواتب_الخصومات,الرواتب_الإدارة,$A112))</f>
        <v/>
      </c>
      <c r="H112" s="63">
        <f>IF($A112="","",SUMIFS(الرواتب_الصافي,الرواتب_الإدارة,$A112))</f>
        <v/>
      </c>
      <c r="I112" s="63">
        <f>IF($A112="","",IFERROR(AVERAGEIFS(الموظفون_الاساسي,الموظفون_الإدارة,$A112),0))</f>
        <v/>
      </c>
    </row>
    <row r="113">
      <c r="A113" s="74">
        <f>IFERROR(INDEX(قائمة_الإدارات,107),"")</f>
        <v/>
      </c>
      <c r="B113" s="44">
        <f>IF($A113="","",COUNTIF(الموظفون_الإدارة,$A113))</f>
        <v/>
      </c>
      <c r="C113" s="44">
        <f>IF($A113="","",COUNTIFS(الموظفون_الإدارة,$A113,الموظفون_الحالة,"نشط"))</f>
        <v/>
      </c>
      <c r="D113" s="60">
        <f>IF($A113="","",SUMIFS(الموظفون_الاساسي,الموظفون_الإدارة,$A113))</f>
        <v/>
      </c>
      <c r="E113" s="60">
        <f>IF($A113="","",SUMIFS(الموظفون_البدلات,الموظفون_الإدارة,$A113))</f>
        <v/>
      </c>
      <c r="F113" s="60">
        <f>IF($A113="","",SUMIFS(الرواتب_الاستحقاقات,الرواتب_الإدارة,$A113))</f>
        <v/>
      </c>
      <c r="G113" s="60">
        <f>IF($A113="","",SUMIFS(الرواتب_الخصومات,الرواتب_الإدارة,$A113))</f>
        <v/>
      </c>
      <c r="H113" s="60">
        <f>IF($A113="","",SUMIFS(الرواتب_الصافي,الرواتب_الإدارة,$A113))</f>
        <v/>
      </c>
      <c r="I113" s="60">
        <f>IF($A113="","",IFERROR(AVERAGEIFS(الموظفون_الاساسي,الموظفون_الإدارة,$A113),0))</f>
        <v/>
      </c>
    </row>
    <row r="114">
      <c r="A114" s="75">
        <f>IFERROR(INDEX(قائمة_الإدارات,108),"")</f>
        <v/>
      </c>
      <c r="B114" s="51">
        <f>IF($A114="","",COUNTIF(الموظفون_الإدارة,$A114))</f>
        <v/>
      </c>
      <c r="C114" s="51">
        <f>IF($A114="","",COUNTIFS(الموظفون_الإدارة,$A114,الموظفون_الحالة,"نشط"))</f>
        <v/>
      </c>
      <c r="D114" s="63">
        <f>IF($A114="","",SUMIFS(الموظفون_الاساسي,الموظفون_الإدارة,$A114))</f>
        <v/>
      </c>
      <c r="E114" s="63">
        <f>IF($A114="","",SUMIFS(الموظفون_البدلات,الموظفون_الإدارة,$A114))</f>
        <v/>
      </c>
      <c r="F114" s="63">
        <f>IF($A114="","",SUMIFS(الرواتب_الاستحقاقات,الرواتب_الإدارة,$A114))</f>
        <v/>
      </c>
      <c r="G114" s="63">
        <f>IF($A114="","",SUMIFS(الرواتب_الخصومات,الرواتب_الإدارة,$A114))</f>
        <v/>
      </c>
      <c r="H114" s="63">
        <f>IF($A114="","",SUMIFS(الرواتب_الصافي,الرواتب_الإدارة,$A114))</f>
        <v/>
      </c>
      <c r="I114" s="63">
        <f>IF($A114="","",IFERROR(AVERAGEIFS(الموظفون_الاساسي,الموظفون_الإدارة,$A114),0))</f>
        <v/>
      </c>
    </row>
    <row r="115">
      <c r="A115" s="74">
        <f>IFERROR(INDEX(قائمة_الإدارات,109),"")</f>
        <v/>
      </c>
      <c r="B115" s="44">
        <f>IF($A115="","",COUNTIF(الموظفون_الإدارة,$A115))</f>
        <v/>
      </c>
      <c r="C115" s="44">
        <f>IF($A115="","",COUNTIFS(الموظفون_الإدارة,$A115,الموظفون_الحالة,"نشط"))</f>
        <v/>
      </c>
      <c r="D115" s="60">
        <f>IF($A115="","",SUMIFS(الموظفون_الاساسي,الموظفون_الإدارة,$A115))</f>
        <v/>
      </c>
      <c r="E115" s="60">
        <f>IF($A115="","",SUMIFS(الموظفون_البدلات,الموظفون_الإدارة,$A115))</f>
        <v/>
      </c>
      <c r="F115" s="60">
        <f>IF($A115="","",SUMIFS(الرواتب_الاستحقاقات,الرواتب_الإدارة,$A115))</f>
        <v/>
      </c>
      <c r="G115" s="60">
        <f>IF($A115="","",SUMIFS(الرواتب_الخصومات,الرواتب_الإدارة,$A115))</f>
        <v/>
      </c>
      <c r="H115" s="60">
        <f>IF($A115="","",SUMIFS(الرواتب_الصافي,الرواتب_الإدارة,$A115))</f>
        <v/>
      </c>
      <c r="I115" s="60">
        <f>IF($A115="","",IFERROR(AVERAGEIFS(الموظفون_الاساسي,الموظفون_الإدارة,$A115),0))</f>
        <v/>
      </c>
    </row>
    <row r="116">
      <c r="A116" s="75">
        <f>IFERROR(INDEX(قائمة_الإدارات,110),"")</f>
        <v/>
      </c>
      <c r="B116" s="51">
        <f>IF($A116="","",COUNTIF(الموظفون_الإدارة,$A116))</f>
        <v/>
      </c>
      <c r="C116" s="51">
        <f>IF($A116="","",COUNTIFS(الموظفون_الإدارة,$A116,الموظفون_الحالة,"نشط"))</f>
        <v/>
      </c>
      <c r="D116" s="63">
        <f>IF($A116="","",SUMIFS(الموظفون_الاساسي,الموظفون_الإدارة,$A116))</f>
        <v/>
      </c>
      <c r="E116" s="63">
        <f>IF($A116="","",SUMIFS(الموظفون_البدلات,الموظفون_الإدارة,$A116))</f>
        <v/>
      </c>
      <c r="F116" s="63">
        <f>IF($A116="","",SUMIFS(الرواتب_الاستحقاقات,الرواتب_الإدارة,$A116))</f>
        <v/>
      </c>
      <c r="G116" s="63">
        <f>IF($A116="","",SUMIFS(الرواتب_الخصومات,الرواتب_الإدارة,$A116))</f>
        <v/>
      </c>
      <c r="H116" s="63">
        <f>IF($A116="","",SUMIFS(الرواتب_الصافي,الرواتب_الإدارة,$A116))</f>
        <v/>
      </c>
      <c r="I116" s="63">
        <f>IF($A116="","",IFERROR(AVERAGEIFS(الموظفون_الاساسي,الموظفون_الإدارة,$A116),0))</f>
        <v/>
      </c>
    </row>
    <row r="117">
      <c r="A117" s="74">
        <f>IFERROR(INDEX(قائمة_الإدارات,111),"")</f>
        <v/>
      </c>
      <c r="B117" s="44">
        <f>IF($A117="","",COUNTIF(الموظفون_الإدارة,$A117))</f>
        <v/>
      </c>
      <c r="C117" s="44">
        <f>IF($A117="","",COUNTIFS(الموظفون_الإدارة,$A117,الموظفون_الحالة,"نشط"))</f>
        <v/>
      </c>
      <c r="D117" s="60">
        <f>IF($A117="","",SUMIFS(الموظفون_الاساسي,الموظفون_الإدارة,$A117))</f>
        <v/>
      </c>
      <c r="E117" s="60">
        <f>IF($A117="","",SUMIFS(الموظفون_البدلات,الموظفون_الإدارة,$A117))</f>
        <v/>
      </c>
      <c r="F117" s="60">
        <f>IF($A117="","",SUMIFS(الرواتب_الاستحقاقات,الرواتب_الإدارة,$A117))</f>
        <v/>
      </c>
      <c r="G117" s="60">
        <f>IF($A117="","",SUMIFS(الرواتب_الخصومات,الرواتب_الإدارة,$A117))</f>
        <v/>
      </c>
      <c r="H117" s="60">
        <f>IF($A117="","",SUMIFS(الرواتب_الصافي,الرواتب_الإدارة,$A117))</f>
        <v/>
      </c>
      <c r="I117" s="60">
        <f>IF($A117="","",IFERROR(AVERAGEIFS(الموظفون_الاساسي,الموظفون_الإدارة,$A117),0))</f>
        <v/>
      </c>
    </row>
    <row r="118">
      <c r="A118" s="75">
        <f>IFERROR(INDEX(قائمة_الإدارات,112),"")</f>
        <v/>
      </c>
      <c r="B118" s="51">
        <f>IF($A118="","",COUNTIF(الموظفون_الإدارة,$A118))</f>
        <v/>
      </c>
      <c r="C118" s="51">
        <f>IF($A118="","",COUNTIFS(الموظفون_الإدارة,$A118,الموظفون_الحالة,"نشط"))</f>
        <v/>
      </c>
      <c r="D118" s="63">
        <f>IF($A118="","",SUMIFS(الموظفون_الاساسي,الموظفون_الإدارة,$A118))</f>
        <v/>
      </c>
      <c r="E118" s="63">
        <f>IF($A118="","",SUMIFS(الموظفون_البدلات,الموظفون_الإدارة,$A118))</f>
        <v/>
      </c>
      <c r="F118" s="63">
        <f>IF($A118="","",SUMIFS(الرواتب_الاستحقاقات,الرواتب_الإدارة,$A118))</f>
        <v/>
      </c>
      <c r="G118" s="63">
        <f>IF($A118="","",SUMIFS(الرواتب_الخصومات,الرواتب_الإدارة,$A118))</f>
        <v/>
      </c>
      <c r="H118" s="63">
        <f>IF($A118="","",SUMIFS(الرواتب_الصافي,الرواتب_الإدارة,$A118))</f>
        <v/>
      </c>
      <c r="I118" s="63">
        <f>IF($A118="","",IFERROR(AVERAGEIFS(الموظفون_الاساسي,الموظفون_الإدارة,$A118),0))</f>
        <v/>
      </c>
    </row>
    <row r="119">
      <c r="A119" s="74">
        <f>IFERROR(INDEX(قائمة_الإدارات,113),"")</f>
        <v/>
      </c>
      <c r="B119" s="44">
        <f>IF($A119="","",COUNTIF(الموظفون_الإدارة,$A119))</f>
        <v/>
      </c>
      <c r="C119" s="44">
        <f>IF($A119="","",COUNTIFS(الموظفون_الإدارة,$A119,الموظفون_الحالة,"نشط"))</f>
        <v/>
      </c>
      <c r="D119" s="60">
        <f>IF($A119="","",SUMIFS(الموظفون_الاساسي,الموظفون_الإدارة,$A119))</f>
        <v/>
      </c>
      <c r="E119" s="60">
        <f>IF($A119="","",SUMIFS(الموظفون_البدلات,الموظفون_الإدارة,$A119))</f>
        <v/>
      </c>
      <c r="F119" s="60">
        <f>IF($A119="","",SUMIFS(الرواتب_الاستحقاقات,الرواتب_الإدارة,$A119))</f>
        <v/>
      </c>
      <c r="G119" s="60">
        <f>IF($A119="","",SUMIFS(الرواتب_الخصومات,الرواتب_الإدارة,$A119))</f>
        <v/>
      </c>
      <c r="H119" s="60">
        <f>IF($A119="","",SUMIFS(الرواتب_الصافي,الرواتب_الإدارة,$A119))</f>
        <v/>
      </c>
      <c r="I119" s="60">
        <f>IF($A119="","",IFERROR(AVERAGEIFS(الموظفون_الاساسي,الموظفون_الإدارة,$A119),0))</f>
        <v/>
      </c>
    </row>
    <row r="120">
      <c r="A120" s="75">
        <f>IFERROR(INDEX(قائمة_الإدارات,114),"")</f>
        <v/>
      </c>
      <c r="B120" s="51">
        <f>IF($A120="","",COUNTIF(الموظفون_الإدارة,$A120))</f>
        <v/>
      </c>
      <c r="C120" s="51">
        <f>IF($A120="","",COUNTIFS(الموظفون_الإدارة,$A120,الموظفون_الحالة,"نشط"))</f>
        <v/>
      </c>
      <c r="D120" s="63">
        <f>IF($A120="","",SUMIFS(الموظفون_الاساسي,الموظفون_الإدارة,$A120))</f>
        <v/>
      </c>
      <c r="E120" s="63">
        <f>IF($A120="","",SUMIFS(الموظفون_البدلات,الموظفون_الإدارة,$A120))</f>
        <v/>
      </c>
      <c r="F120" s="63">
        <f>IF($A120="","",SUMIFS(الرواتب_الاستحقاقات,الرواتب_الإدارة,$A120))</f>
        <v/>
      </c>
      <c r="G120" s="63">
        <f>IF($A120="","",SUMIFS(الرواتب_الخصومات,الرواتب_الإدارة,$A120))</f>
        <v/>
      </c>
      <c r="H120" s="63">
        <f>IF($A120="","",SUMIFS(الرواتب_الصافي,الرواتب_الإدارة,$A120))</f>
        <v/>
      </c>
      <c r="I120" s="63">
        <f>IF($A120="","",IFERROR(AVERAGEIFS(الموظفون_الاساسي,الموظفون_الإدارة,$A120),0))</f>
        <v/>
      </c>
    </row>
    <row r="121">
      <c r="A121" s="74">
        <f>IFERROR(INDEX(قائمة_الإدارات,115),"")</f>
        <v/>
      </c>
      <c r="B121" s="44">
        <f>IF($A121="","",COUNTIF(الموظفون_الإدارة,$A121))</f>
        <v/>
      </c>
      <c r="C121" s="44">
        <f>IF($A121="","",COUNTIFS(الموظفون_الإدارة,$A121,الموظفون_الحالة,"نشط"))</f>
        <v/>
      </c>
      <c r="D121" s="60">
        <f>IF($A121="","",SUMIFS(الموظفون_الاساسي,الموظفون_الإدارة,$A121))</f>
        <v/>
      </c>
      <c r="E121" s="60">
        <f>IF($A121="","",SUMIFS(الموظفون_البدلات,الموظفون_الإدارة,$A121))</f>
        <v/>
      </c>
      <c r="F121" s="60">
        <f>IF($A121="","",SUMIFS(الرواتب_الاستحقاقات,الرواتب_الإدارة,$A121))</f>
        <v/>
      </c>
      <c r="G121" s="60">
        <f>IF($A121="","",SUMIFS(الرواتب_الخصومات,الرواتب_الإدارة,$A121))</f>
        <v/>
      </c>
      <c r="H121" s="60">
        <f>IF($A121="","",SUMIFS(الرواتب_الصافي,الرواتب_الإدارة,$A121))</f>
        <v/>
      </c>
      <c r="I121" s="60">
        <f>IF($A121="","",IFERROR(AVERAGEIFS(الموظفون_الاساسي,الموظفون_الإدارة,$A121),0))</f>
        <v/>
      </c>
    </row>
    <row r="122">
      <c r="A122" s="75">
        <f>IFERROR(INDEX(قائمة_الإدارات,116),"")</f>
        <v/>
      </c>
      <c r="B122" s="51">
        <f>IF($A122="","",COUNTIF(الموظفون_الإدارة,$A122))</f>
        <v/>
      </c>
      <c r="C122" s="51">
        <f>IF($A122="","",COUNTIFS(الموظفون_الإدارة,$A122,الموظفون_الحالة,"نشط"))</f>
        <v/>
      </c>
      <c r="D122" s="63">
        <f>IF($A122="","",SUMIFS(الموظفون_الاساسي,الموظفون_الإدارة,$A122))</f>
        <v/>
      </c>
      <c r="E122" s="63">
        <f>IF($A122="","",SUMIFS(الموظفون_البدلات,الموظفون_الإدارة,$A122))</f>
        <v/>
      </c>
      <c r="F122" s="63">
        <f>IF($A122="","",SUMIFS(الرواتب_الاستحقاقات,الرواتب_الإدارة,$A122))</f>
        <v/>
      </c>
      <c r="G122" s="63">
        <f>IF($A122="","",SUMIFS(الرواتب_الخصومات,الرواتب_الإدارة,$A122))</f>
        <v/>
      </c>
      <c r="H122" s="63">
        <f>IF($A122="","",SUMIFS(الرواتب_الصافي,الرواتب_الإدارة,$A122))</f>
        <v/>
      </c>
      <c r="I122" s="63">
        <f>IF($A122="","",IFERROR(AVERAGEIFS(الموظفون_الاساسي,الموظفون_الإدارة,$A122),0))</f>
        <v/>
      </c>
    </row>
    <row r="123">
      <c r="A123" s="74">
        <f>IFERROR(INDEX(قائمة_الإدارات,117),"")</f>
        <v/>
      </c>
      <c r="B123" s="44">
        <f>IF($A123="","",COUNTIF(الموظفون_الإدارة,$A123))</f>
        <v/>
      </c>
      <c r="C123" s="44">
        <f>IF($A123="","",COUNTIFS(الموظفون_الإدارة,$A123,الموظفون_الحالة,"نشط"))</f>
        <v/>
      </c>
      <c r="D123" s="60">
        <f>IF($A123="","",SUMIFS(الموظفون_الاساسي,الموظفون_الإدارة,$A123))</f>
        <v/>
      </c>
      <c r="E123" s="60">
        <f>IF($A123="","",SUMIFS(الموظفون_البدلات,الموظفون_الإدارة,$A123))</f>
        <v/>
      </c>
      <c r="F123" s="60">
        <f>IF($A123="","",SUMIFS(الرواتب_الاستحقاقات,الرواتب_الإدارة,$A123))</f>
        <v/>
      </c>
      <c r="G123" s="60">
        <f>IF($A123="","",SUMIFS(الرواتب_الخصومات,الرواتب_الإدارة,$A123))</f>
        <v/>
      </c>
      <c r="H123" s="60">
        <f>IF($A123="","",SUMIFS(الرواتب_الصافي,الرواتب_الإدارة,$A123))</f>
        <v/>
      </c>
      <c r="I123" s="60">
        <f>IF($A123="","",IFERROR(AVERAGEIFS(الموظفون_الاساسي,الموظفون_الإدارة,$A123),0))</f>
        <v/>
      </c>
    </row>
    <row r="124">
      <c r="A124" s="75">
        <f>IFERROR(INDEX(قائمة_الإدارات,118),"")</f>
        <v/>
      </c>
      <c r="B124" s="51">
        <f>IF($A124="","",COUNTIF(الموظفون_الإدارة,$A124))</f>
        <v/>
      </c>
      <c r="C124" s="51">
        <f>IF($A124="","",COUNTIFS(الموظفون_الإدارة,$A124,الموظفون_الحالة,"نشط"))</f>
        <v/>
      </c>
      <c r="D124" s="63">
        <f>IF($A124="","",SUMIFS(الموظفون_الاساسي,الموظفون_الإدارة,$A124))</f>
        <v/>
      </c>
      <c r="E124" s="63">
        <f>IF($A124="","",SUMIFS(الموظفون_البدلات,الموظفون_الإدارة,$A124))</f>
        <v/>
      </c>
      <c r="F124" s="63">
        <f>IF($A124="","",SUMIFS(الرواتب_الاستحقاقات,الرواتب_الإدارة,$A124))</f>
        <v/>
      </c>
      <c r="G124" s="63">
        <f>IF($A124="","",SUMIFS(الرواتب_الخصومات,الرواتب_الإدارة,$A124))</f>
        <v/>
      </c>
      <c r="H124" s="63">
        <f>IF($A124="","",SUMIFS(الرواتب_الصافي,الرواتب_الإدارة,$A124))</f>
        <v/>
      </c>
      <c r="I124" s="63">
        <f>IF($A124="","",IFERROR(AVERAGEIFS(الموظفون_الاساسي,الموظفون_الإدارة,$A124),0))</f>
        <v/>
      </c>
    </row>
    <row r="125">
      <c r="A125" s="74">
        <f>IFERROR(INDEX(قائمة_الإدارات,119),"")</f>
        <v/>
      </c>
      <c r="B125" s="44">
        <f>IF($A125="","",COUNTIF(الموظفون_الإدارة,$A125))</f>
        <v/>
      </c>
      <c r="C125" s="44">
        <f>IF($A125="","",COUNTIFS(الموظفون_الإدارة,$A125,الموظفون_الحالة,"نشط"))</f>
        <v/>
      </c>
      <c r="D125" s="60">
        <f>IF($A125="","",SUMIFS(الموظفون_الاساسي,الموظفون_الإدارة,$A125))</f>
        <v/>
      </c>
      <c r="E125" s="60">
        <f>IF($A125="","",SUMIFS(الموظفون_البدلات,الموظفون_الإدارة,$A125))</f>
        <v/>
      </c>
      <c r="F125" s="60">
        <f>IF($A125="","",SUMIFS(الرواتب_الاستحقاقات,الرواتب_الإدارة,$A125))</f>
        <v/>
      </c>
      <c r="G125" s="60">
        <f>IF($A125="","",SUMIFS(الرواتب_الخصومات,الرواتب_الإدارة,$A125))</f>
        <v/>
      </c>
      <c r="H125" s="60">
        <f>IF($A125="","",SUMIFS(الرواتب_الصافي,الرواتب_الإدارة,$A125))</f>
        <v/>
      </c>
      <c r="I125" s="60">
        <f>IF($A125="","",IFERROR(AVERAGEIFS(الموظفون_الاساسي,الموظفون_الإدارة,$A125),0))</f>
        <v/>
      </c>
    </row>
    <row r="126">
      <c r="A126" s="75">
        <f>IFERROR(INDEX(قائمة_الإدارات,120),"")</f>
        <v/>
      </c>
      <c r="B126" s="51">
        <f>IF($A126="","",COUNTIF(الموظفون_الإدارة,$A126))</f>
        <v/>
      </c>
      <c r="C126" s="51">
        <f>IF($A126="","",COUNTIFS(الموظفون_الإدارة,$A126,الموظفون_الحالة,"نشط"))</f>
        <v/>
      </c>
      <c r="D126" s="63">
        <f>IF($A126="","",SUMIFS(الموظفون_الاساسي,الموظفون_الإدارة,$A126))</f>
        <v/>
      </c>
      <c r="E126" s="63">
        <f>IF($A126="","",SUMIFS(الموظفون_البدلات,الموظفون_الإدارة,$A126))</f>
        <v/>
      </c>
      <c r="F126" s="63">
        <f>IF($A126="","",SUMIFS(الرواتب_الاستحقاقات,الرواتب_الإدارة,$A126))</f>
        <v/>
      </c>
      <c r="G126" s="63">
        <f>IF($A126="","",SUMIFS(الرواتب_الخصومات,الرواتب_الإدارة,$A126))</f>
        <v/>
      </c>
      <c r="H126" s="63">
        <f>IF($A126="","",SUMIFS(الرواتب_الصافي,الرواتب_الإدارة,$A126))</f>
        <v/>
      </c>
      <c r="I126" s="63">
        <f>IF($A126="","",IFERROR(AVERAGEIFS(الموظفون_الاساسي,الموظفون_الإدارة,$A126),0))</f>
        <v/>
      </c>
    </row>
    <row r="127">
      <c r="A127" s="74">
        <f>IFERROR(INDEX(قائمة_الإدارات,121),"")</f>
        <v/>
      </c>
      <c r="B127" s="44">
        <f>IF($A127="","",COUNTIF(الموظفون_الإدارة,$A127))</f>
        <v/>
      </c>
      <c r="C127" s="44">
        <f>IF($A127="","",COUNTIFS(الموظفون_الإدارة,$A127,الموظفون_الحالة,"نشط"))</f>
        <v/>
      </c>
      <c r="D127" s="60">
        <f>IF($A127="","",SUMIFS(الموظفون_الاساسي,الموظفون_الإدارة,$A127))</f>
        <v/>
      </c>
      <c r="E127" s="60">
        <f>IF($A127="","",SUMIFS(الموظفون_البدلات,الموظفون_الإدارة,$A127))</f>
        <v/>
      </c>
      <c r="F127" s="60">
        <f>IF($A127="","",SUMIFS(الرواتب_الاستحقاقات,الرواتب_الإدارة,$A127))</f>
        <v/>
      </c>
      <c r="G127" s="60">
        <f>IF($A127="","",SUMIFS(الرواتب_الخصومات,الرواتب_الإدارة,$A127))</f>
        <v/>
      </c>
      <c r="H127" s="60">
        <f>IF($A127="","",SUMIFS(الرواتب_الصافي,الرواتب_الإدارة,$A127))</f>
        <v/>
      </c>
      <c r="I127" s="60">
        <f>IF($A127="","",IFERROR(AVERAGEIFS(الموظفون_الاساسي,الموظفون_الإدارة,$A127),0))</f>
        <v/>
      </c>
    </row>
    <row r="128">
      <c r="A128" s="75">
        <f>IFERROR(INDEX(قائمة_الإدارات,122),"")</f>
        <v/>
      </c>
      <c r="B128" s="51">
        <f>IF($A128="","",COUNTIF(الموظفون_الإدارة,$A128))</f>
        <v/>
      </c>
      <c r="C128" s="51">
        <f>IF($A128="","",COUNTIFS(الموظفون_الإدارة,$A128,الموظفون_الحالة,"نشط"))</f>
        <v/>
      </c>
      <c r="D128" s="63">
        <f>IF($A128="","",SUMIFS(الموظفون_الاساسي,الموظفون_الإدارة,$A128))</f>
        <v/>
      </c>
      <c r="E128" s="63">
        <f>IF($A128="","",SUMIFS(الموظفون_البدلات,الموظفون_الإدارة,$A128))</f>
        <v/>
      </c>
      <c r="F128" s="63">
        <f>IF($A128="","",SUMIFS(الرواتب_الاستحقاقات,الرواتب_الإدارة,$A128))</f>
        <v/>
      </c>
      <c r="G128" s="63">
        <f>IF($A128="","",SUMIFS(الرواتب_الخصومات,الرواتب_الإدارة,$A128))</f>
        <v/>
      </c>
      <c r="H128" s="63">
        <f>IF($A128="","",SUMIFS(الرواتب_الصافي,الرواتب_الإدارة,$A128))</f>
        <v/>
      </c>
      <c r="I128" s="63">
        <f>IF($A128="","",IFERROR(AVERAGEIFS(الموظفون_الاساسي,الموظفون_الإدارة,$A128),0))</f>
        <v/>
      </c>
    </row>
    <row r="129">
      <c r="A129" s="74">
        <f>IFERROR(INDEX(قائمة_الإدارات,123),"")</f>
        <v/>
      </c>
      <c r="B129" s="44">
        <f>IF($A129="","",COUNTIF(الموظفون_الإدارة,$A129))</f>
        <v/>
      </c>
      <c r="C129" s="44">
        <f>IF($A129="","",COUNTIFS(الموظفون_الإدارة,$A129,الموظفون_الحالة,"نشط"))</f>
        <v/>
      </c>
      <c r="D129" s="60">
        <f>IF($A129="","",SUMIFS(الموظفون_الاساسي,الموظفون_الإدارة,$A129))</f>
        <v/>
      </c>
      <c r="E129" s="60">
        <f>IF($A129="","",SUMIFS(الموظفون_البدلات,الموظفون_الإدارة,$A129))</f>
        <v/>
      </c>
      <c r="F129" s="60">
        <f>IF($A129="","",SUMIFS(الرواتب_الاستحقاقات,الرواتب_الإدارة,$A129))</f>
        <v/>
      </c>
      <c r="G129" s="60">
        <f>IF($A129="","",SUMIFS(الرواتب_الخصومات,الرواتب_الإدارة,$A129))</f>
        <v/>
      </c>
      <c r="H129" s="60">
        <f>IF($A129="","",SUMIFS(الرواتب_الصافي,الرواتب_الإدارة,$A129))</f>
        <v/>
      </c>
      <c r="I129" s="60">
        <f>IF($A129="","",IFERROR(AVERAGEIFS(الموظفون_الاساسي,الموظفون_الإدارة,$A129),0))</f>
        <v/>
      </c>
    </row>
    <row r="130">
      <c r="A130" s="75">
        <f>IFERROR(INDEX(قائمة_الإدارات,124),"")</f>
        <v/>
      </c>
      <c r="B130" s="51">
        <f>IF($A130="","",COUNTIF(الموظفون_الإدارة,$A130))</f>
        <v/>
      </c>
      <c r="C130" s="51">
        <f>IF($A130="","",COUNTIFS(الموظفون_الإدارة,$A130,الموظفون_الحالة,"نشط"))</f>
        <v/>
      </c>
      <c r="D130" s="63">
        <f>IF($A130="","",SUMIFS(الموظفون_الاساسي,الموظفون_الإدارة,$A130))</f>
        <v/>
      </c>
      <c r="E130" s="63">
        <f>IF($A130="","",SUMIFS(الموظفون_البدلات,الموظفون_الإدارة,$A130))</f>
        <v/>
      </c>
      <c r="F130" s="63">
        <f>IF($A130="","",SUMIFS(الرواتب_الاستحقاقات,الرواتب_الإدارة,$A130))</f>
        <v/>
      </c>
      <c r="G130" s="63">
        <f>IF($A130="","",SUMIFS(الرواتب_الخصومات,الرواتب_الإدارة,$A130))</f>
        <v/>
      </c>
      <c r="H130" s="63">
        <f>IF($A130="","",SUMIFS(الرواتب_الصافي,الرواتب_الإدارة,$A130))</f>
        <v/>
      </c>
      <c r="I130" s="63">
        <f>IF($A130="","",IFERROR(AVERAGEIFS(الموظفون_الاساسي,الموظفون_الإدارة,$A130),0))</f>
        <v/>
      </c>
    </row>
    <row r="131">
      <c r="A131" s="74">
        <f>IFERROR(INDEX(قائمة_الإدارات,125),"")</f>
        <v/>
      </c>
      <c r="B131" s="44">
        <f>IF($A131="","",COUNTIF(الموظفون_الإدارة,$A131))</f>
        <v/>
      </c>
      <c r="C131" s="44">
        <f>IF($A131="","",COUNTIFS(الموظفون_الإدارة,$A131,الموظفون_الحالة,"نشط"))</f>
        <v/>
      </c>
      <c r="D131" s="60">
        <f>IF($A131="","",SUMIFS(الموظفون_الاساسي,الموظفون_الإدارة,$A131))</f>
        <v/>
      </c>
      <c r="E131" s="60">
        <f>IF($A131="","",SUMIFS(الموظفون_البدلات,الموظفون_الإدارة,$A131))</f>
        <v/>
      </c>
      <c r="F131" s="60">
        <f>IF($A131="","",SUMIFS(الرواتب_الاستحقاقات,الرواتب_الإدارة,$A131))</f>
        <v/>
      </c>
      <c r="G131" s="60">
        <f>IF($A131="","",SUMIFS(الرواتب_الخصومات,الرواتب_الإدارة,$A131))</f>
        <v/>
      </c>
      <c r="H131" s="60">
        <f>IF($A131="","",SUMIFS(الرواتب_الصافي,الرواتب_الإدارة,$A131))</f>
        <v/>
      </c>
      <c r="I131" s="60">
        <f>IF($A131="","",IFERROR(AVERAGEIFS(الموظفون_الاساسي,الموظفون_الإدارة,$A131),0))</f>
        <v/>
      </c>
    </row>
    <row r="132">
      <c r="A132" s="75">
        <f>IFERROR(INDEX(قائمة_الإدارات,126),"")</f>
        <v/>
      </c>
      <c r="B132" s="51">
        <f>IF($A132="","",COUNTIF(الموظفون_الإدارة,$A132))</f>
        <v/>
      </c>
      <c r="C132" s="51">
        <f>IF($A132="","",COUNTIFS(الموظفون_الإدارة,$A132,الموظفون_الحالة,"نشط"))</f>
        <v/>
      </c>
      <c r="D132" s="63">
        <f>IF($A132="","",SUMIFS(الموظفون_الاساسي,الموظفون_الإدارة,$A132))</f>
        <v/>
      </c>
      <c r="E132" s="63">
        <f>IF($A132="","",SUMIFS(الموظفون_البدلات,الموظفون_الإدارة,$A132))</f>
        <v/>
      </c>
      <c r="F132" s="63">
        <f>IF($A132="","",SUMIFS(الرواتب_الاستحقاقات,الرواتب_الإدارة,$A132))</f>
        <v/>
      </c>
      <c r="G132" s="63">
        <f>IF($A132="","",SUMIFS(الرواتب_الخصومات,الرواتب_الإدارة,$A132))</f>
        <v/>
      </c>
      <c r="H132" s="63">
        <f>IF($A132="","",SUMIFS(الرواتب_الصافي,الرواتب_الإدارة,$A132))</f>
        <v/>
      </c>
      <c r="I132" s="63">
        <f>IF($A132="","",IFERROR(AVERAGEIFS(الموظفون_الاساسي,الموظفون_الإدارة,$A132),0))</f>
        <v/>
      </c>
    </row>
    <row r="133">
      <c r="A133" s="74">
        <f>IFERROR(INDEX(قائمة_الإدارات,127),"")</f>
        <v/>
      </c>
      <c r="B133" s="44">
        <f>IF($A133="","",COUNTIF(الموظفون_الإدارة,$A133))</f>
        <v/>
      </c>
      <c r="C133" s="44">
        <f>IF($A133="","",COUNTIFS(الموظفون_الإدارة,$A133,الموظفون_الحالة,"نشط"))</f>
        <v/>
      </c>
      <c r="D133" s="60">
        <f>IF($A133="","",SUMIFS(الموظفون_الاساسي,الموظفون_الإدارة,$A133))</f>
        <v/>
      </c>
      <c r="E133" s="60">
        <f>IF($A133="","",SUMIFS(الموظفون_البدلات,الموظفون_الإدارة,$A133))</f>
        <v/>
      </c>
      <c r="F133" s="60">
        <f>IF($A133="","",SUMIFS(الرواتب_الاستحقاقات,الرواتب_الإدارة,$A133))</f>
        <v/>
      </c>
      <c r="G133" s="60">
        <f>IF($A133="","",SUMIFS(الرواتب_الخصومات,الرواتب_الإدارة,$A133))</f>
        <v/>
      </c>
      <c r="H133" s="60">
        <f>IF($A133="","",SUMIFS(الرواتب_الصافي,الرواتب_الإدارة,$A133))</f>
        <v/>
      </c>
      <c r="I133" s="60">
        <f>IF($A133="","",IFERROR(AVERAGEIFS(الموظفون_الاساسي,الموظفون_الإدارة,$A133),0))</f>
        <v/>
      </c>
    </row>
    <row r="134">
      <c r="A134" s="75">
        <f>IFERROR(INDEX(قائمة_الإدارات,128),"")</f>
        <v/>
      </c>
      <c r="B134" s="51">
        <f>IF($A134="","",COUNTIF(الموظفون_الإدارة,$A134))</f>
        <v/>
      </c>
      <c r="C134" s="51">
        <f>IF($A134="","",COUNTIFS(الموظفون_الإدارة,$A134,الموظفون_الحالة,"نشط"))</f>
        <v/>
      </c>
      <c r="D134" s="63">
        <f>IF($A134="","",SUMIFS(الموظفون_الاساسي,الموظفون_الإدارة,$A134))</f>
        <v/>
      </c>
      <c r="E134" s="63">
        <f>IF($A134="","",SUMIFS(الموظفون_البدلات,الموظفون_الإدارة,$A134))</f>
        <v/>
      </c>
      <c r="F134" s="63">
        <f>IF($A134="","",SUMIFS(الرواتب_الاستحقاقات,الرواتب_الإدارة,$A134))</f>
        <v/>
      </c>
      <c r="G134" s="63">
        <f>IF($A134="","",SUMIFS(الرواتب_الخصومات,الرواتب_الإدارة,$A134))</f>
        <v/>
      </c>
      <c r="H134" s="63">
        <f>IF($A134="","",SUMIFS(الرواتب_الصافي,الرواتب_الإدارة,$A134))</f>
        <v/>
      </c>
      <c r="I134" s="63">
        <f>IF($A134="","",IFERROR(AVERAGEIFS(الموظفون_الاساسي,الموظفون_الإدارة,$A134),0))</f>
        <v/>
      </c>
    </row>
    <row r="135">
      <c r="A135" s="74">
        <f>IFERROR(INDEX(قائمة_الإدارات,129),"")</f>
        <v/>
      </c>
      <c r="B135" s="44">
        <f>IF($A135="","",COUNTIF(الموظفون_الإدارة,$A135))</f>
        <v/>
      </c>
      <c r="C135" s="44">
        <f>IF($A135="","",COUNTIFS(الموظفون_الإدارة,$A135,الموظفون_الحالة,"نشط"))</f>
        <v/>
      </c>
      <c r="D135" s="60">
        <f>IF($A135="","",SUMIFS(الموظفون_الاساسي,الموظفون_الإدارة,$A135))</f>
        <v/>
      </c>
      <c r="E135" s="60">
        <f>IF($A135="","",SUMIFS(الموظفون_البدلات,الموظفون_الإدارة,$A135))</f>
        <v/>
      </c>
      <c r="F135" s="60">
        <f>IF($A135="","",SUMIFS(الرواتب_الاستحقاقات,الرواتب_الإدارة,$A135))</f>
        <v/>
      </c>
      <c r="G135" s="60">
        <f>IF($A135="","",SUMIFS(الرواتب_الخصومات,الرواتب_الإدارة,$A135))</f>
        <v/>
      </c>
      <c r="H135" s="60">
        <f>IF($A135="","",SUMIFS(الرواتب_الصافي,الرواتب_الإدارة,$A135))</f>
        <v/>
      </c>
      <c r="I135" s="60">
        <f>IF($A135="","",IFERROR(AVERAGEIFS(الموظفون_الاساسي,الموظفون_الإدارة,$A135),0))</f>
        <v/>
      </c>
    </row>
    <row r="136">
      <c r="A136" s="75">
        <f>IFERROR(INDEX(قائمة_الإدارات,130),"")</f>
        <v/>
      </c>
      <c r="B136" s="51">
        <f>IF($A136="","",COUNTIF(الموظفون_الإدارة,$A136))</f>
        <v/>
      </c>
      <c r="C136" s="51">
        <f>IF($A136="","",COUNTIFS(الموظفون_الإدارة,$A136,الموظفون_الحالة,"نشط"))</f>
        <v/>
      </c>
      <c r="D136" s="63">
        <f>IF($A136="","",SUMIFS(الموظفون_الاساسي,الموظفون_الإدارة,$A136))</f>
        <v/>
      </c>
      <c r="E136" s="63">
        <f>IF($A136="","",SUMIFS(الموظفون_البدلات,الموظفون_الإدارة,$A136))</f>
        <v/>
      </c>
      <c r="F136" s="63">
        <f>IF($A136="","",SUMIFS(الرواتب_الاستحقاقات,الرواتب_الإدارة,$A136))</f>
        <v/>
      </c>
      <c r="G136" s="63">
        <f>IF($A136="","",SUMIFS(الرواتب_الخصومات,الرواتب_الإدارة,$A136))</f>
        <v/>
      </c>
      <c r="H136" s="63">
        <f>IF($A136="","",SUMIFS(الرواتب_الصافي,الرواتب_الإدارة,$A136))</f>
        <v/>
      </c>
      <c r="I136" s="63">
        <f>IF($A136="","",IFERROR(AVERAGEIFS(الموظفون_الاساسي,الموظفون_الإدارة,$A136),0))</f>
        <v/>
      </c>
    </row>
    <row r="137">
      <c r="A137" s="74">
        <f>IFERROR(INDEX(قائمة_الإدارات,131),"")</f>
        <v/>
      </c>
      <c r="B137" s="44">
        <f>IF($A137="","",COUNTIF(الموظفون_الإدارة,$A137))</f>
        <v/>
      </c>
      <c r="C137" s="44">
        <f>IF($A137="","",COUNTIFS(الموظفون_الإدارة,$A137,الموظفون_الحالة,"نشط"))</f>
        <v/>
      </c>
      <c r="D137" s="60">
        <f>IF($A137="","",SUMIFS(الموظفون_الاساسي,الموظفون_الإدارة,$A137))</f>
        <v/>
      </c>
      <c r="E137" s="60">
        <f>IF($A137="","",SUMIFS(الموظفون_البدلات,الموظفون_الإدارة,$A137))</f>
        <v/>
      </c>
      <c r="F137" s="60">
        <f>IF($A137="","",SUMIFS(الرواتب_الاستحقاقات,الرواتب_الإدارة,$A137))</f>
        <v/>
      </c>
      <c r="G137" s="60">
        <f>IF($A137="","",SUMIFS(الرواتب_الخصومات,الرواتب_الإدارة,$A137))</f>
        <v/>
      </c>
      <c r="H137" s="60">
        <f>IF($A137="","",SUMIFS(الرواتب_الصافي,الرواتب_الإدارة,$A137))</f>
        <v/>
      </c>
      <c r="I137" s="60">
        <f>IF($A137="","",IFERROR(AVERAGEIFS(الموظفون_الاساسي,الموظفون_الإدارة,$A137),0))</f>
        <v/>
      </c>
    </row>
    <row r="138">
      <c r="A138" s="75">
        <f>IFERROR(INDEX(قائمة_الإدارات,132),"")</f>
        <v/>
      </c>
      <c r="B138" s="51">
        <f>IF($A138="","",COUNTIF(الموظفون_الإدارة,$A138))</f>
        <v/>
      </c>
      <c r="C138" s="51">
        <f>IF($A138="","",COUNTIFS(الموظفون_الإدارة,$A138,الموظفون_الحالة,"نشط"))</f>
        <v/>
      </c>
      <c r="D138" s="63">
        <f>IF($A138="","",SUMIFS(الموظفون_الاساسي,الموظفون_الإدارة,$A138))</f>
        <v/>
      </c>
      <c r="E138" s="63">
        <f>IF($A138="","",SUMIFS(الموظفون_البدلات,الموظفون_الإدارة,$A138))</f>
        <v/>
      </c>
      <c r="F138" s="63">
        <f>IF($A138="","",SUMIFS(الرواتب_الاستحقاقات,الرواتب_الإدارة,$A138))</f>
        <v/>
      </c>
      <c r="G138" s="63">
        <f>IF($A138="","",SUMIFS(الرواتب_الخصومات,الرواتب_الإدارة,$A138))</f>
        <v/>
      </c>
      <c r="H138" s="63">
        <f>IF($A138="","",SUMIFS(الرواتب_الصافي,الرواتب_الإدارة,$A138))</f>
        <v/>
      </c>
      <c r="I138" s="63">
        <f>IF($A138="","",IFERROR(AVERAGEIFS(الموظفون_الاساسي,الموظفون_الإدارة,$A138),0))</f>
        <v/>
      </c>
    </row>
    <row r="139">
      <c r="A139" s="74">
        <f>IFERROR(INDEX(قائمة_الإدارات,133),"")</f>
        <v/>
      </c>
      <c r="B139" s="44">
        <f>IF($A139="","",COUNTIF(الموظفون_الإدارة,$A139))</f>
        <v/>
      </c>
      <c r="C139" s="44">
        <f>IF($A139="","",COUNTIFS(الموظفون_الإدارة,$A139,الموظفون_الحالة,"نشط"))</f>
        <v/>
      </c>
      <c r="D139" s="60">
        <f>IF($A139="","",SUMIFS(الموظفون_الاساسي,الموظفون_الإدارة,$A139))</f>
        <v/>
      </c>
      <c r="E139" s="60">
        <f>IF($A139="","",SUMIFS(الموظفون_البدلات,الموظفون_الإدارة,$A139))</f>
        <v/>
      </c>
      <c r="F139" s="60">
        <f>IF($A139="","",SUMIFS(الرواتب_الاستحقاقات,الرواتب_الإدارة,$A139))</f>
        <v/>
      </c>
      <c r="G139" s="60">
        <f>IF($A139="","",SUMIFS(الرواتب_الخصومات,الرواتب_الإدارة,$A139))</f>
        <v/>
      </c>
      <c r="H139" s="60">
        <f>IF($A139="","",SUMIFS(الرواتب_الصافي,الرواتب_الإدارة,$A139))</f>
        <v/>
      </c>
      <c r="I139" s="60">
        <f>IF($A139="","",IFERROR(AVERAGEIFS(الموظفون_الاساسي,الموظفون_الإدارة,$A139),0))</f>
        <v/>
      </c>
    </row>
    <row r="140">
      <c r="A140" s="75">
        <f>IFERROR(INDEX(قائمة_الإدارات,134),"")</f>
        <v/>
      </c>
      <c r="B140" s="51">
        <f>IF($A140="","",COUNTIF(الموظفون_الإدارة,$A140))</f>
        <v/>
      </c>
      <c r="C140" s="51">
        <f>IF($A140="","",COUNTIFS(الموظفون_الإدارة,$A140,الموظفون_الحالة,"نشط"))</f>
        <v/>
      </c>
      <c r="D140" s="63">
        <f>IF($A140="","",SUMIFS(الموظفون_الاساسي,الموظفون_الإدارة,$A140))</f>
        <v/>
      </c>
      <c r="E140" s="63">
        <f>IF($A140="","",SUMIFS(الموظفون_البدلات,الموظفون_الإدارة,$A140))</f>
        <v/>
      </c>
      <c r="F140" s="63">
        <f>IF($A140="","",SUMIFS(الرواتب_الاستحقاقات,الرواتب_الإدارة,$A140))</f>
        <v/>
      </c>
      <c r="G140" s="63">
        <f>IF($A140="","",SUMIFS(الرواتب_الخصومات,الرواتب_الإدارة,$A140))</f>
        <v/>
      </c>
      <c r="H140" s="63">
        <f>IF($A140="","",SUMIFS(الرواتب_الصافي,الرواتب_الإدارة,$A140))</f>
        <v/>
      </c>
      <c r="I140" s="63">
        <f>IF($A140="","",IFERROR(AVERAGEIFS(الموظفون_الاساسي,الموظفون_الإدارة,$A140),0))</f>
        <v/>
      </c>
    </row>
    <row r="141">
      <c r="A141" s="74">
        <f>IFERROR(INDEX(قائمة_الإدارات,135),"")</f>
        <v/>
      </c>
      <c r="B141" s="44">
        <f>IF($A141="","",COUNTIF(الموظفون_الإدارة,$A141))</f>
        <v/>
      </c>
      <c r="C141" s="44">
        <f>IF($A141="","",COUNTIFS(الموظفون_الإدارة,$A141,الموظفون_الحالة,"نشط"))</f>
        <v/>
      </c>
      <c r="D141" s="60">
        <f>IF($A141="","",SUMIFS(الموظفون_الاساسي,الموظفون_الإدارة,$A141))</f>
        <v/>
      </c>
      <c r="E141" s="60">
        <f>IF($A141="","",SUMIFS(الموظفون_البدلات,الموظفون_الإدارة,$A141))</f>
        <v/>
      </c>
      <c r="F141" s="60">
        <f>IF($A141="","",SUMIFS(الرواتب_الاستحقاقات,الرواتب_الإدارة,$A141))</f>
        <v/>
      </c>
      <c r="G141" s="60">
        <f>IF($A141="","",SUMIFS(الرواتب_الخصومات,الرواتب_الإدارة,$A141))</f>
        <v/>
      </c>
      <c r="H141" s="60">
        <f>IF($A141="","",SUMIFS(الرواتب_الصافي,الرواتب_الإدارة,$A141))</f>
        <v/>
      </c>
      <c r="I141" s="60">
        <f>IF($A141="","",IFERROR(AVERAGEIFS(الموظفون_الاساسي,الموظفون_الإدارة,$A141),0))</f>
        <v/>
      </c>
    </row>
    <row r="142">
      <c r="A142" s="75">
        <f>IFERROR(INDEX(قائمة_الإدارات,136),"")</f>
        <v/>
      </c>
      <c r="B142" s="51">
        <f>IF($A142="","",COUNTIF(الموظفون_الإدارة,$A142))</f>
        <v/>
      </c>
      <c r="C142" s="51">
        <f>IF($A142="","",COUNTIFS(الموظفون_الإدارة,$A142,الموظفون_الحالة,"نشط"))</f>
        <v/>
      </c>
      <c r="D142" s="63">
        <f>IF($A142="","",SUMIFS(الموظفون_الاساسي,الموظفون_الإدارة,$A142))</f>
        <v/>
      </c>
      <c r="E142" s="63">
        <f>IF($A142="","",SUMIFS(الموظفون_البدلات,الموظفون_الإدارة,$A142))</f>
        <v/>
      </c>
      <c r="F142" s="63">
        <f>IF($A142="","",SUMIFS(الرواتب_الاستحقاقات,الرواتب_الإدارة,$A142))</f>
        <v/>
      </c>
      <c r="G142" s="63">
        <f>IF($A142="","",SUMIFS(الرواتب_الخصومات,الرواتب_الإدارة,$A142))</f>
        <v/>
      </c>
      <c r="H142" s="63">
        <f>IF($A142="","",SUMIFS(الرواتب_الصافي,الرواتب_الإدارة,$A142))</f>
        <v/>
      </c>
      <c r="I142" s="63">
        <f>IF($A142="","",IFERROR(AVERAGEIFS(الموظفون_الاساسي,الموظفون_الإدارة,$A142),0))</f>
        <v/>
      </c>
    </row>
    <row r="143">
      <c r="A143" s="74">
        <f>IFERROR(INDEX(قائمة_الإدارات,137),"")</f>
        <v/>
      </c>
      <c r="B143" s="44">
        <f>IF($A143="","",COUNTIF(الموظفون_الإدارة,$A143))</f>
        <v/>
      </c>
      <c r="C143" s="44">
        <f>IF($A143="","",COUNTIFS(الموظفون_الإدارة,$A143,الموظفون_الحالة,"نشط"))</f>
        <v/>
      </c>
      <c r="D143" s="60">
        <f>IF($A143="","",SUMIFS(الموظفون_الاساسي,الموظفون_الإدارة,$A143))</f>
        <v/>
      </c>
      <c r="E143" s="60">
        <f>IF($A143="","",SUMIFS(الموظفون_البدلات,الموظفون_الإدارة,$A143))</f>
        <v/>
      </c>
      <c r="F143" s="60">
        <f>IF($A143="","",SUMIFS(الرواتب_الاستحقاقات,الرواتب_الإدارة,$A143))</f>
        <v/>
      </c>
      <c r="G143" s="60">
        <f>IF($A143="","",SUMIFS(الرواتب_الخصومات,الرواتب_الإدارة,$A143))</f>
        <v/>
      </c>
      <c r="H143" s="60">
        <f>IF($A143="","",SUMIFS(الرواتب_الصافي,الرواتب_الإدارة,$A143))</f>
        <v/>
      </c>
      <c r="I143" s="60">
        <f>IF($A143="","",IFERROR(AVERAGEIFS(الموظفون_الاساسي,الموظفون_الإدارة,$A143),0))</f>
        <v/>
      </c>
    </row>
    <row r="144">
      <c r="A144" s="75">
        <f>IFERROR(INDEX(قائمة_الإدارات,138),"")</f>
        <v/>
      </c>
      <c r="B144" s="51">
        <f>IF($A144="","",COUNTIF(الموظفون_الإدارة,$A144))</f>
        <v/>
      </c>
      <c r="C144" s="51">
        <f>IF($A144="","",COUNTIFS(الموظفون_الإدارة,$A144,الموظفون_الحالة,"نشط"))</f>
        <v/>
      </c>
      <c r="D144" s="63">
        <f>IF($A144="","",SUMIFS(الموظفون_الاساسي,الموظفون_الإدارة,$A144))</f>
        <v/>
      </c>
      <c r="E144" s="63">
        <f>IF($A144="","",SUMIFS(الموظفون_البدلات,الموظفون_الإدارة,$A144))</f>
        <v/>
      </c>
      <c r="F144" s="63">
        <f>IF($A144="","",SUMIFS(الرواتب_الاستحقاقات,الرواتب_الإدارة,$A144))</f>
        <v/>
      </c>
      <c r="G144" s="63">
        <f>IF($A144="","",SUMIFS(الرواتب_الخصومات,الرواتب_الإدارة,$A144))</f>
        <v/>
      </c>
      <c r="H144" s="63">
        <f>IF($A144="","",SUMIFS(الرواتب_الصافي,الرواتب_الإدارة,$A144))</f>
        <v/>
      </c>
      <c r="I144" s="63">
        <f>IF($A144="","",IFERROR(AVERAGEIFS(الموظفون_الاساسي,الموظفون_الإدارة,$A144),0))</f>
        <v/>
      </c>
    </row>
    <row r="145">
      <c r="A145" s="74">
        <f>IFERROR(INDEX(قائمة_الإدارات,139),"")</f>
        <v/>
      </c>
      <c r="B145" s="44">
        <f>IF($A145="","",COUNTIF(الموظفون_الإدارة,$A145))</f>
        <v/>
      </c>
      <c r="C145" s="44">
        <f>IF($A145="","",COUNTIFS(الموظفون_الإدارة,$A145,الموظفون_الحالة,"نشط"))</f>
        <v/>
      </c>
      <c r="D145" s="60">
        <f>IF($A145="","",SUMIFS(الموظفون_الاساسي,الموظفون_الإدارة,$A145))</f>
        <v/>
      </c>
      <c r="E145" s="60">
        <f>IF($A145="","",SUMIFS(الموظفون_البدلات,الموظفون_الإدارة,$A145))</f>
        <v/>
      </c>
      <c r="F145" s="60">
        <f>IF($A145="","",SUMIFS(الرواتب_الاستحقاقات,الرواتب_الإدارة,$A145))</f>
        <v/>
      </c>
      <c r="G145" s="60">
        <f>IF($A145="","",SUMIFS(الرواتب_الخصومات,الرواتب_الإدارة,$A145))</f>
        <v/>
      </c>
      <c r="H145" s="60">
        <f>IF($A145="","",SUMIFS(الرواتب_الصافي,الرواتب_الإدارة,$A145))</f>
        <v/>
      </c>
      <c r="I145" s="60">
        <f>IF($A145="","",IFERROR(AVERAGEIFS(الموظفون_الاساسي,الموظفون_الإدارة,$A145),0))</f>
        <v/>
      </c>
    </row>
    <row r="146">
      <c r="A146" s="75">
        <f>IFERROR(INDEX(قائمة_الإدارات,140),"")</f>
        <v/>
      </c>
      <c r="B146" s="51">
        <f>IF($A146="","",COUNTIF(الموظفون_الإدارة,$A146))</f>
        <v/>
      </c>
      <c r="C146" s="51">
        <f>IF($A146="","",COUNTIFS(الموظفون_الإدارة,$A146,الموظفون_الحالة,"نشط"))</f>
        <v/>
      </c>
      <c r="D146" s="63">
        <f>IF($A146="","",SUMIFS(الموظفون_الاساسي,الموظفون_الإدارة,$A146))</f>
        <v/>
      </c>
      <c r="E146" s="63">
        <f>IF($A146="","",SUMIFS(الموظفون_البدلات,الموظفون_الإدارة,$A146))</f>
        <v/>
      </c>
      <c r="F146" s="63">
        <f>IF($A146="","",SUMIFS(الرواتب_الاستحقاقات,الرواتب_الإدارة,$A146))</f>
        <v/>
      </c>
      <c r="G146" s="63">
        <f>IF($A146="","",SUMIFS(الرواتب_الخصومات,الرواتب_الإدارة,$A146))</f>
        <v/>
      </c>
      <c r="H146" s="63">
        <f>IF($A146="","",SUMIFS(الرواتب_الصافي,الرواتب_الإدارة,$A146))</f>
        <v/>
      </c>
      <c r="I146" s="63">
        <f>IF($A146="","",IFERROR(AVERAGEIFS(الموظفون_الاساسي,الموظفون_الإدارة,$A146),0))</f>
        <v/>
      </c>
    </row>
    <row r="147">
      <c r="A147" s="74">
        <f>IFERROR(INDEX(قائمة_الإدارات,141),"")</f>
        <v/>
      </c>
      <c r="B147" s="44">
        <f>IF($A147="","",COUNTIF(الموظفون_الإدارة,$A147))</f>
        <v/>
      </c>
      <c r="C147" s="44">
        <f>IF($A147="","",COUNTIFS(الموظفون_الإدارة,$A147,الموظفون_الحالة,"نشط"))</f>
        <v/>
      </c>
      <c r="D147" s="60">
        <f>IF($A147="","",SUMIFS(الموظفون_الاساسي,الموظفون_الإدارة,$A147))</f>
        <v/>
      </c>
      <c r="E147" s="60">
        <f>IF($A147="","",SUMIFS(الموظفون_البدلات,الموظفون_الإدارة,$A147))</f>
        <v/>
      </c>
      <c r="F147" s="60">
        <f>IF($A147="","",SUMIFS(الرواتب_الاستحقاقات,الرواتب_الإدارة,$A147))</f>
        <v/>
      </c>
      <c r="G147" s="60">
        <f>IF($A147="","",SUMIFS(الرواتب_الخصومات,الرواتب_الإدارة,$A147))</f>
        <v/>
      </c>
      <c r="H147" s="60">
        <f>IF($A147="","",SUMIFS(الرواتب_الصافي,الرواتب_الإدارة,$A147))</f>
        <v/>
      </c>
      <c r="I147" s="60">
        <f>IF($A147="","",IFERROR(AVERAGEIFS(الموظفون_الاساسي,الموظفون_الإدارة,$A147),0))</f>
        <v/>
      </c>
    </row>
    <row r="148">
      <c r="A148" s="75">
        <f>IFERROR(INDEX(قائمة_الإدارات,142),"")</f>
        <v/>
      </c>
      <c r="B148" s="51">
        <f>IF($A148="","",COUNTIF(الموظفون_الإدارة,$A148))</f>
        <v/>
      </c>
      <c r="C148" s="51">
        <f>IF($A148="","",COUNTIFS(الموظفون_الإدارة,$A148,الموظفون_الحالة,"نشط"))</f>
        <v/>
      </c>
      <c r="D148" s="63">
        <f>IF($A148="","",SUMIFS(الموظفون_الاساسي,الموظفون_الإدارة,$A148))</f>
        <v/>
      </c>
      <c r="E148" s="63">
        <f>IF($A148="","",SUMIFS(الموظفون_البدلات,الموظفون_الإدارة,$A148))</f>
        <v/>
      </c>
      <c r="F148" s="63">
        <f>IF($A148="","",SUMIFS(الرواتب_الاستحقاقات,الرواتب_الإدارة,$A148))</f>
        <v/>
      </c>
      <c r="G148" s="63">
        <f>IF($A148="","",SUMIFS(الرواتب_الخصومات,الرواتب_الإدارة,$A148))</f>
        <v/>
      </c>
      <c r="H148" s="63">
        <f>IF($A148="","",SUMIFS(الرواتب_الصافي,الرواتب_الإدارة,$A148))</f>
        <v/>
      </c>
      <c r="I148" s="63">
        <f>IF($A148="","",IFERROR(AVERAGEIFS(الموظفون_الاساسي,الموظفون_الإدارة,$A148),0))</f>
        <v/>
      </c>
    </row>
    <row r="149">
      <c r="A149" s="74">
        <f>IFERROR(INDEX(قائمة_الإدارات,143),"")</f>
        <v/>
      </c>
      <c r="B149" s="44">
        <f>IF($A149="","",COUNTIF(الموظفون_الإدارة,$A149))</f>
        <v/>
      </c>
      <c r="C149" s="44">
        <f>IF($A149="","",COUNTIFS(الموظفون_الإدارة,$A149,الموظفون_الحالة,"نشط"))</f>
        <v/>
      </c>
      <c r="D149" s="60">
        <f>IF($A149="","",SUMIFS(الموظفون_الاساسي,الموظفون_الإدارة,$A149))</f>
        <v/>
      </c>
      <c r="E149" s="60">
        <f>IF($A149="","",SUMIFS(الموظفون_البدلات,الموظفون_الإدارة,$A149))</f>
        <v/>
      </c>
      <c r="F149" s="60">
        <f>IF($A149="","",SUMIFS(الرواتب_الاستحقاقات,الرواتب_الإدارة,$A149))</f>
        <v/>
      </c>
      <c r="G149" s="60">
        <f>IF($A149="","",SUMIFS(الرواتب_الخصومات,الرواتب_الإدارة,$A149))</f>
        <v/>
      </c>
      <c r="H149" s="60">
        <f>IF($A149="","",SUMIFS(الرواتب_الصافي,الرواتب_الإدارة,$A149))</f>
        <v/>
      </c>
      <c r="I149" s="60">
        <f>IF($A149="","",IFERROR(AVERAGEIFS(الموظفون_الاساسي,الموظفون_الإدارة,$A149),0))</f>
        <v/>
      </c>
    </row>
    <row r="150">
      <c r="A150" s="75">
        <f>IFERROR(INDEX(قائمة_الإدارات,144),"")</f>
        <v/>
      </c>
      <c r="B150" s="51">
        <f>IF($A150="","",COUNTIF(الموظفون_الإدارة,$A150))</f>
        <v/>
      </c>
      <c r="C150" s="51">
        <f>IF($A150="","",COUNTIFS(الموظفون_الإدارة,$A150,الموظفون_الحالة,"نشط"))</f>
        <v/>
      </c>
      <c r="D150" s="63">
        <f>IF($A150="","",SUMIFS(الموظفون_الاساسي,الموظفون_الإدارة,$A150))</f>
        <v/>
      </c>
      <c r="E150" s="63">
        <f>IF($A150="","",SUMIFS(الموظفون_البدلات,الموظفون_الإدارة,$A150))</f>
        <v/>
      </c>
      <c r="F150" s="63">
        <f>IF($A150="","",SUMIFS(الرواتب_الاستحقاقات,الرواتب_الإدارة,$A150))</f>
        <v/>
      </c>
      <c r="G150" s="63">
        <f>IF($A150="","",SUMIFS(الرواتب_الخصومات,الرواتب_الإدارة,$A150))</f>
        <v/>
      </c>
      <c r="H150" s="63">
        <f>IF($A150="","",SUMIFS(الرواتب_الصافي,الرواتب_الإدارة,$A150))</f>
        <v/>
      </c>
      <c r="I150" s="63">
        <f>IF($A150="","",IFERROR(AVERAGEIFS(الموظفون_الاساسي,الموظفون_الإدارة,$A150),0))</f>
        <v/>
      </c>
    </row>
    <row r="151">
      <c r="A151" s="74">
        <f>IFERROR(INDEX(قائمة_الإدارات,145),"")</f>
        <v/>
      </c>
      <c r="B151" s="44">
        <f>IF($A151="","",COUNTIF(الموظفون_الإدارة,$A151))</f>
        <v/>
      </c>
      <c r="C151" s="44">
        <f>IF($A151="","",COUNTIFS(الموظفون_الإدارة,$A151,الموظفون_الحالة,"نشط"))</f>
        <v/>
      </c>
      <c r="D151" s="60">
        <f>IF($A151="","",SUMIFS(الموظفون_الاساسي,الموظفون_الإدارة,$A151))</f>
        <v/>
      </c>
      <c r="E151" s="60">
        <f>IF($A151="","",SUMIFS(الموظفون_البدلات,الموظفون_الإدارة,$A151))</f>
        <v/>
      </c>
      <c r="F151" s="60">
        <f>IF($A151="","",SUMIFS(الرواتب_الاستحقاقات,الرواتب_الإدارة,$A151))</f>
        <v/>
      </c>
      <c r="G151" s="60">
        <f>IF($A151="","",SUMIFS(الرواتب_الخصومات,الرواتب_الإدارة,$A151))</f>
        <v/>
      </c>
      <c r="H151" s="60">
        <f>IF($A151="","",SUMIFS(الرواتب_الصافي,الرواتب_الإدارة,$A151))</f>
        <v/>
      </c>
      <c r="I151" s="60">
        <f>IF($A151="","",IFERROR(AVERAGEIFS(الموظفون_الاساسي,الموظفون_الإدارة,$A151),0))</f>
        <v/>
      </c>
    </row>
    <row r="152">
      <c r="A152" s="75">
        <f>IFERROR(INDEX(قائمة_الإدارات,146),"")</f>
        <v/>
      </c>
      <c r="B152" s="51">
        <f>IF($A152="","",COUNTIF(الموظفون_الإدارة,$A152))</f>
        <v/>
      </c>
      <c r="C152" s="51">
        <f>IF($A152="","",COUNTIFS(الموظفون_الإدارة,$A152,الموظفون_الحالة,"نشط"))</f>
        <v/>
      </c>
      <c r="D152" s="63">
        <f>IF($A152="","",SUMIFS(الموظفون_الاساسي,الموظفون_الإدارة,$A152))</f>
        <v/>
      </c>
      <c r="E152" s="63">
        <f>IF($A152="","",SUMIFS(الموظفون_البدلات,الموظفون_الإدارة,$A152))</f>
        <v/>
      </c>
      <c r="F152" s="63">
        <f>IF($A152="","",SUMIFS(الرواتب_الاستحقاقات,الرواتب_الإدارة,$A152))</f>
        <v/>
      </c>
      <c r="G152" s="63">
        <f>IF($A152="","",SUMIFS(الرواتب_الخصومات,الرواتب_الإدارة,$A152))</f>
        <v/>
      </c>
      <c r="H152" s="63">
        <f>IF($A152="","",SUMIFS(الرواتب_الصافي,الرواتب_الإدارة,$A152))</f>
        <v/>
      </c>
      <c r="I152" s="63">
        <f>IF($A152="","",IFERROR(AVERAGEIFS(الموظفون_الاساسي,الموظفون_الإدارة,$A152),0))</f>
        <v/>
      </c>
    </row>
    <row r="153">
      <c r="A153" s="74">
        <f>IFERROR(INDEX(قائمة_الإدارات,147),"")</f>
        <v/>
      </c>
      <c r="B153" s="44">
        <f>IF($A153="","",COUNTIF(الموظفون_الإدارة,$A153))</f>
        <v/>
      </c>
      <c r="C153" s="44">
        <f>IF($A153="","",COUNTIFS(الموظفون_الإدارة,$A153,الموظفون_الحالة,"نشط"))</f>
        <v/>
      </c>
      <c r="D153" s="60">
        <f>IF($A153="","",SUMIFS(الموظفون_الاساسي,الموظفون_الإدارة,$A153))</f>
        <v/>
      </c>
      <c r="E153" s="60">
        <f>IF($A153="","",SUMIFS(الموظفون_البدلات,الموظفون_الإدارة,$A153))</f>
        <v/>
      </c>
      <c r="F153" s="60">
        <f>IF($A153="","",SUMIFS(الرواتب_الاستحقاقات,الرواتب_الإدارة,$A153))</f>
        <v/>
      </c>
      <c r="G153" s="60">
        <f>IF($A153="","",SUMIFS(الرواتب_الخصومات,الرواتب_الإدارة,$A153))</f>
        <v/>
      </c>
      <c r="H153" s="60">
        <f>IF($A153="","",SUMIFS(الرواتب_الصافي,الرواتب_الإدارة,$A153))</f>
        <v/>
      </c>
      <c r="I153" s="60">
        <f>IF($A153="","",IFERROR(AVERAGEIFS(الموظفون_الاساسي,الموظفون_الإدارة,$A153),0))</f>
        <v/>
      </c>
    </row>
    <row r="154">
      <c r="A154" s="75">
        <f>IFERROR(INDEX(قائمة_الإدارات,148),"")</f>
        <v/>
      </c>
      <c r="B154" s="51">
        <f>IF($A154="","",COUNTIF(الموظفون_الإدارة,$A154))</f>
        <v/>
      </c>
      <c r="C154" s="51">
        <f>IF($A154="","",COUNTIFS(الموظفون_الإدارة,$A154,الموظفون_الحالة,"نشط"))</f>
        <v/>
      </c>
      <c r="D154" s="63">
        <f>IF($A154="","",SUMIFS(الموظفون_الاساسي,الموظفون_الإدارة,$A154))</f>
        <v/>
      </c>
      <c r="E154" s="63">
        <f>IF($A154="","",SUMIFS(الموظفون_البدلات,الموظفون_الإدارة,$A154))</f>
        <v/>
      </c>
      <c r="F154" s="63">
        <f>IF($A154="","",SUMIFS(الرواتب_الاستحقاقات,الرواتب_الإدارة,$A154))</f>
        <v/>
      </c>
      <c r="G154" s="63">
        <f>IF($A154="","",SUMIFS(الرواتب_الخصومات,الرواتب_الإدارة,$A154))</f>
        <v/>
      </c>
      <c r="H154" s="63">
        <f>IF($A154="","",SUMIFS(الرواتب_الصافي,الرواتب_الإدارة,$A154))</f>
        <v/>
      </c>
      <c r="I154" s="63">
        <f>IF($A154="","",IFERROR(AVERAGEIFS(الموظفون_الاساسي,الموظفون_الإدارة,$A154),0))</f>
        <v/>
      </c>
    </row>
    <row r="155">
      <c r="A155" s="74">
        <f>IFERROR(INDEX(قائمة_الإدارات,149),"")</f>
        <v/>
      </c>
      <c r="B155" s="44">
        <f>IF($A155="","",COUNTIF(الموظفون_الإدارة,$A155))</f>
        <v/>
      </c>
      <c r="C155" s="44">
        <f>IF($A155="","",COUNTIFS(الموظفون_الإدارة,$A155,الموظفون_الحالة,"نشط"))</f>
        <v/>
      </c>
      <c r="D155" s="60">
        <f>IF($A155="","",SUMIFS(الموظفون_الاساسي,الموظفون_الإدارة,$A155))</f>
        <v/>
      </c>
      <c r="E155" s="60">
        <f>IF($A155="","",SUMIFS(الموظفون_البدلات,الموظفون_الإدارة,$A155))</f>
        <v/>
      </c>
      <c r="F155" s="60">
        <f>IF($A155="","",SUMIFS(الرواتب_الاستحقاقات,الرواتب_الإدارة,$A155))</f>
        <v/>
      </c>
      <c r="G155" s="60">
        <f>IF($A155="","",SUMIFS(الرواتب_الخصومات,الرواتب_الإدارة,$A155))</f>
        <v/>
      </c>
      <c r="H155" s="60">
        <f>IF($A155="","",SUMIFS(الرواتب_الصافي,الرواتب_الإدارة,$A155))</f>
        <v/>
      </c>
      <c r="I155" s="60">
        <f>IF($A155="","",IFERROR(AVERAGEIFS(الموظفون_الاساسي,الموظفون_الإدارة,$A155),0))</f>
        <v/>
      </c>
    </row>
    <row r="156">
      <c r="A156" s="75">
        <f>IFERROR(INDEX(قائمة_الإدارات,150),"")</f>
        <v/>
      </c>
      <c r="B156" s="51">
        <f>IF($A156="","",COUNTIF(الموظفون_الإدارة,$A156))</f>
        <v/>
      </c>
      <c r="C156" s="51">
        <f>IF($A156="","",COUNTIFS(الموظفون_الإدارة,$A156,الموظفون_الحالة,"نشط"))</f>
        <v/>
      </c>
      <c r="D156" s="63">
        <f>IF($A156="","",SUMIFS(الموظفون_الاساسي,الموظفون_الإدارة,$A156))</f>
        <v/>
      </c>
      <c r="E156" s="63">
        <f>IF($A156="","",SUMIFS(الموظفون_البدلات,الموظفون_الإدارة,$A156))</f>
        <v/>
      </c>
      <c r="F156" s="63">
        <f>IF($A156="","",SUMIFS(الرواتب_الاستحقاقات,الرواتب_الإدارة,$A156))</f>
        <v/>
      </c>
      <c r="G156" s="63">
        <f>IF($A156="","",SUMIFS(الرواتب_الخصومات,الرواتب_الإدارة,$A156))</f>
        <v/>
      </c>
      <c r="H156" s="63">
        <f>IF($A156="","",SUMIFS(الرواتب_الصافي,الرواتب_الإدارة,$A156))</f>
        <v/>
      </c>
      <c r="I156" s="63">
        <f>IF($A156="","",IFERROR(AVERAGEIFS(الموظفون_الاساسي,الموظفون_الإدارة,$A156),0))</f>
        <v/>
      </c>
    </row>
    <row r="157">
      <c r="A157" s="74">
        <f>IFERROR(INDEX(قائمة_الإدارات,151),"")</f>
        <v/>
      </c>
      <c r="B157" s="44">
        <f>IF($A157="","",COUNTIF(الموظفون_الإدارة,$A157))</f>
        <v/>
      </c>
      <c r="C157" s="44">
        <f>IF($A157="","",COUNTIFS(الموظفون_الإدارة,$A157,الموظفون_الحالة,"نشط"))</f>
        <v/>
      </c>
      <c r="D157" s="60">
        <f>IF($A157="","",SUMIFS(الموظفون_الاساسي,الموظفون_الإدارة,$A157))</f>
        <v/>
      </c>
      <c r="E157" s="60">
        <f>IF($A157="","",SUMIFS(الموظفون_البدلات,الموظفون_الإدارة,$A157))</f>
        <v/>
      </c>
      <c r="F157" s="60">
        <f>IF($A157="","",SUMIFS(الرواتب_الاستحقاقات,الرواتب_الإدارة,$A157))</f>
        <v/>
      </c>
      <c r="G157" s="60">
        <f>IF($A157="","",SUMIFS(الرواتب_الخصومات,الرواتب_الإدارة,$A157))</f>
        <v/>
      </c>
      <c r="H157" s="60">
        <f>IF($A157="","",SUMIFS(الرواتب_الصافي,الرواتب_الإدارة,$A157))</f>
        <v/>
      </c>
      <c r="I157" s="60">
        <f>IF($A157="","",IFERROR(AVERAGEIFS(الموظفون_الاساسي,الموظفون_الإدارة,$A157),0))</f>
        <v/>
      </c>
    </row>
    <row r="158">
      <c r="A158" s="75">
        <f>IFERROR(INDEX(قائمة_الإدارات,152),"")</f>
        <v/>
      </c>
      <c r="B158" s="51">
        <f>IF($A158="","",COUNTIF(الموظفون_الإدارة,$A158))</f>
        <v/>
      </c>
      <c r="C158" s="51">
        <f>IF($A158="","",COUNTIFS(الموظفون_الإدارة,$A158,الموظفون_الحالة,"نشط"))</f>
        <v/>
      </c>
      <c r="D158" s="63">
        <f>IF($A158="","",SUMIFS(الموظفون_الاساسي,الموظفون_الإدارة,$A158))</f>
        <v/>
      </c>
      <c r="E158" s="63">
        <f>IF($A158="","",SUMIFS(الموظفون_البدلات,الموظفون_الإدارة,$A158))</f>
        <v/>
      </c>
      <c r="F158" s="63">
        <f>IF($A158="","",SUMIFS(الرواتب_الاستحقاقات,الرواتب_الإدارة,$A158))</f>
        <v/>
      </c>
      <c r="G158" s="63">
        <f>IF($A158="","",SUMIFS(الرواتب_الخصومات,الرواتب_الإدارة,$A158))</f>
        <v/>
      </c>
      <c r="H158" s="63">
        <f>IF($A158="","",SUMIFS(الرواتب_الصافي,الرواتب_الإدارة,$A158))</f>
        <v/>
      </c>
      <c r="I158" s="63">
        <f>IF($A158="","",IFERROR(AVERAGEIFS(الموظفون_الاساسي,الموظفون_الإدارة,$A158),0))</f>
        <v/>
      </c>
    </row>
    <row r="159">
      <c r="A159" s="74">
        <f>IFERROR(INDEX(قائمة_الإدارات,153),"")</f>
        <v/>
      </c>
      <c r="B159" s="44">
        <f>IF($A159="","",COUNTIF(الموظفون_الإدارة,$A159))</f>
        <v/>
      </c>
      <c r="C159" s="44">
        <f>IF($A159="","",COUNTIFS(الموظفون_الإدارة,$A159,الموظفون_الحالة,"نشط"))</f>
        <v/>
      </c>
      <c r="D159" s="60">
        <f>IF($A159="","",SUMIFS(الموظفون_الاساسي,الموظفون_الإدارة,$A159))</f>
        <v/>
      </c>
      <c r="E159" s="60">
        <f>IF($A159="","",SUMIFS(الموظفون_البدلات,الموظفون_الإدارة,$A159))</f>
        <v/>
      </c>
      <c r="F159" s="60">
        <f>IF($A159="","",SUMIFS(الرواتب_الاستحقاقات,الرواتب_الإدارة,$A159))</f>
        <v/>
      </c>
      <c r="G159" s="60">
        <f>IF($A159="","",SUMIFS(الرواتب_الخصومات,الرواتب_الإدارة,$A159))</f>
        <v/>
      </c>
      <c r="H159" s="60">
        <f>IF($A159="","",SUMIFS(الرواتب_الصافي,الرواتب_الإدارة,$A159))</f>
        <v/>
      </c>
      <c r="I159" s="60">
        <f>IF($A159="","",IFERROR(AVERAGEIFS(الموظفون_الاساسي,الموظفون_الإدارة,$A159),0))</f>
        <v/>
      </c>
    </row>
    <row r="160">
      <c r="A160" s="75">
        <f>IFERROR(INDEX(قائمة_الإدارات,154),"")</f>
        <v/>
      </c>
      <c r="B160" s="51">
        <f>IF($A160="","",COUNTIF(الموظفون_الإدارة,$A160))</f>
        <v/>
      </c>
      <c r="C160" s="51">
        <f>IF($A160="","",COUNTIFS(الموظفون_الإدارة,$A160,الموظفون_الحالة,"نشط"))</f>
        <v/>
      </c>
      <c r="D160" s="63">
        <f>IF($A160="","",SUMIFS(الموظفون_الاساسي,الموظفون_الإدارة,$A160))</f>
        <v/>
      </c>
      <c r="E160" s="63">
        <f>IF($A160="","",SUMIFS(الموظفون_البدلات,الموظفون_الإدارة,$A160))</f>
        <v/>
      </c>
      <c r="F160" s="63">
        <f>IF($A160="","",SUMIFS(الرواتب_الاستحقاقات,الرواتب_الإدارة,$A160))</f>
        <v/>
      </c>
      <c r="G160" s="63">
        <f>IF($A160="","",SUMIFS(الرواتب_الخصومات,الرواتب_الإدارة,$A160))</f>
        <v/>
      </c>
      <c r="H160" s="63">
        <f>IF($A160="","",SUMIFS(الرواتب_الصافي,الرواتب_الإدارة,$A160))</f>
        <v/>
      </c>
      <c r="I160" s="63">
        <f>IF($A160="","",IFERROR(AVERAGEIFS(الموظفون_الاساسي,الموظفون_الإدارة,$A160),0))</f>
        <v/>
      </c>
    </row>
    <row r="161">
      <c r="A161" s="74">
        <f>IFERROR(INDEX(قائمة_الإدارات,155),"")</f>
        <v/>
      </c>
      <c r="B161" s="44">
        <f>IF($A161="","",COUNTIF(الموظفون_الإدارة,$A161))</f>
        <v/>
      </c>
      <c r="C161" s="44">
        <f>IF($A161="","",COUNTIFS(الموظفون_الإدارة,$A161,الموظفون_الحالة,"نشط"))</f>
        <v/>
      </c>
      <c r="D161" s="60">
        <f>IF($A161="","",SUMIFS(الموظفون_الاساسي,الموظفون_الإدارة,$A161))</f>
        <v/>
      </c>
      <c r="E161" s="60">
        <f>IF($A161="","",SUMIFS(الموظفون_البدلات,الموظفون_الإدارة,$A161))</f>
        <v/>
      </c>
      <c r="F161" s="60">
        <f>IF($A161="","",SUMIFS(الرواتب_الاستحقاقات,الرواتب_الإدارة,$A161))</f>
        <v/>
      </c>
      <c r="G161" s="60">
        <f>IF($A161="","",SUMIFS(الرواتب_الخصومات,الرواتب_الإدارة,$A161))</f>
        <v/>
      </c>
      <c r="H161" s="60">
        <f>IF($A161="","",SUMIFS(الرواتب_الصافي,الرواتب_الإدارة,$A161))</f>
        <v/>
      </c>
      <c r="I161" s="60">
        <f>IF($A161="","",IFERROR(AVERAGEIFS(الموظفون_الاساسي,الموظفون_الإدارة,$A161),0))</f>
        <v/>
      </c>
    </row>
    <row r="162">
      <c r="A162" s="75">
        <f>IFERROR(INDEX(قائمة_الإدارات,156),"")</f>
        <v/>
      </c>
      <c r="B162" s="51">
        <f>IF($A162="","",COUNTIF(الموظفون_الإدارة,$A162))</f>
        <v/>
      </c>
      <c r="C162" s="51">
        <f>IF($A162="","",COUNTIFS(الموظفون_الإدارة,$A162,الموظفون_الحالة,"نشط"))</f>
        <v/>
      </c>
      <c r="D162" s="63">
        <f>IF($A162="","",SUMIFS(الموظفون_الاساسي,الموظفون_الإدارة,$A162))</f>
        <v/>
      </c>
      <c r="E162" s="63">
        <f>IF($A162="","",SUMIFS(الموظفون_البدلات,الموظفون_الإدارة,$A162))</f>
        <v/>
      </c>
      <c r="F162" s="63">
        <f>IF($A162="","",SUMIFS(الرواتب_الاستحقاقات,الرواتب_الإدارة,$A162))</f>
        <v/>
      </c>
      <c r="G162" s="63">
        <f>IF($A162="","",SUMIFS(الرواتب_الخصومات,الرواتب_الإدارة,$A162))</f>
        <v/>
      </c>
      <c r="H162" s="63">
        <f>IF($A162="","",SUMIFS(الرواتب_الصافي,الرواتب_الإدارة,$A162))</f>
        <v/>
      </c>
      <c r="I162" s="63">
        <f>IF($A162="","",IFERROR(AVERAGEIFS(الموظفون_الاساسي,الموظفون_الإدارة,$A162),0))</f>
        <v/>
      </c>
    </row>
    <row r="163">
      <c r="A163" s="74">
        <f>IFERROR(INDEX(قائمة_الإدارات,157),"")</f>
        <v/>
      </c>
      <c r="B163" s="44">
        <f>IF($A163="","",COUNTIF(الموظفون_الإدارة,$A163))</f>
        <v/>
      </c>
      <c r="C163" s="44">
        <f>IF($A163="","",COUNTIFS(الموظفون_الإدارة,$A163,الموظفون_الحالة,"نشط"))</f>
        <v/>
      </c>
      <c r="D163" s="60">
        <f>IF($A163="","",SUMIFS(الموظفون_الاساسي,الموظفون_الإدارة,$A163))</f>
        <v/>
      </c>
      <c r="E163" s="60">
        <f>IF($A163="","",SUMIFS(الموظفون_البدلات,الموظفون_الإدارة,$A163))</f>
        <v/>
      </c>
      <c r="F163" s="60">
        <f>IF($A163="","",SUMIFS(الرواتب_الاستحقاقات,الرواتب_الإدارة,$A163))</f>
        <v/>
      </c>
      <c r="G163" s="60">
        <f>IF($A163="","",SUMIFS(الرواتب_الخصومات,الرواتب_الإدارة,$A163))</f>
        <v/>
      </c>
      <c r="H163" s="60">
        <f>IF($A163="","",SUMIFS(الرواتب_الصافي,الرواتب_الإدارة,$A163))</f>
        <v/>
      </c>
      <c r="I163" s="60">
        <f>IF($A163="","",IFERROR(AVERAGEIFS(الموظفون_الاساسي,الموظفون_الإدارة,$A163),0))</f>
        <v/>
      </c>
    </row>
    <row r="164">
      <c r="A164" s="75">
        <f>IFERROR(INDEX(قائمة_الإدارات,158),"")</f>
        <v/>
      </c>
      <c r="B164" s="51">
        <f>IF($A164="","",COUNTIF(الموظفون_الإدارة,$A164))</f>
        <v/>
      </c>
      <c r="C164" s="51">
        <f>IF($A164="","",COUNTIFS(الموظفون_الإدارة,$A164,الموظفون_الحالة,"نشط"))</f>
        <v/>
      </c>
      <c r="D164" s="63">
        <f>IF($A164="","",SUMIFS(الموظفون_الاساسي,الموظفون_الإدارة,$A164))</f>
        <v/>
      </c>
      <c r="E164" s="63">
        <f>IF($A164="","",SUMIFS(الموظفون_البدلات,الموظفون_الإدارة,$A164))</f>
        <v/>
      </c>
      <c r="F164" s="63">
        <f>IF($A164="","",SUMIFS(الرواتب_الاستحقاقات,الرواتب_الإدارة,$A164))</f>
        <v/>
      </c>
      <c r="G164" s="63">
        <f>IF($A164="","",SUMIFS(الرواتب_الخصومات,الرواتب_الإدارة,$A164))</f>
        <v/>
      </c>
      <c r="H164" s="63">
        <f>IF($A164="","",SUMIFS(الرواتب_الصافي,الرواتب_الإدارة,$A164))</f>
        <v/>
      </c>
      <c r="I164" s="63">
        <f>IF($A164="","",IFERROR(AVERAGEIFS(الموظفون_الاساسي,الموظفون_الإدارة,$A164),0))</f>
        <v/>
      </c>
    </row>
    <row r="165">
      <c r="A165" s="74">
        <f>IFERROR(INDEX(قائمة_الإدارات,159),"")</f>
        <v/>
      </c>
      <c r="B165" s="44">
        <f>IF($A165="","",COUNTIF(الموظفون_الإدارة,$A165))</f>
        <v/>
      </c>
      <c r="C165" s="44">
        <f>IF($A165="","",COUNTIFS(الموظفون_الإدارة,$A165,الموظفون_الحالة,"نشط"))</f>
        <v/>
      </c>
      <c r="D165" s="60">
        <f>IF($A165="","",SUMIFS(الموظفون_الاساسي,الموظفون_الإدارة,$A165))</f>
        <v/>
      </c>
      <c r="E165" s="60">
        <f>IF($A165="","",SUMIFS(الموظفون_البدلات,الموظفون_الإدارة,$A165))</f>
        <v/>
      </c>
      <c r="F165" s="60">
        <f>IF($A165="","",SUMIFS(الرواتب_الاستحقاقات,الرواتب_الإدارة,$A165))</f>
        <v/>
      </c>
      <c r="G165" s="60">
        <f>IF($A165="","",SUMIFS(الرواتب_الخصومات,الرواتب_الإدارة,$A165))</f>
        <v/>
      </c>
      <c r="H165" s="60">
        <f>IF($A165="","",SUMIFS(الرواتب_الصافي,الرواتب_الإدارة,$A165))</f>
        <v/>
      </c>
      <c r="I165" s="60">
        <f>IF($A165="","",IFERROR(AVERAGEIFS(الموظفون_الاساسي,الموظفون_الإدارة,$A165),0))</f>
        <v/>
      </c>
    </row>
    <row r="166">
      <c r="A166" s="75">
        <f>IFERROR(INDEX(قائمة_الإدارات,160),"")</f>
        <v/>
      </c>
      <c r="B166" s="51">
        <f>IF($A166="","",COUNTIF(الموظفون_الإدارة,$A166))</f>
        <v/>
      </c>
      <c r="C166" s="51">
        <f>IF($A166="","",COUNTIFS(الموظفون_الإدارة,$A166,الموظفون_الحالة,"نشط"))</f>
        <v/>
      </c>
      <c r="D166" s="63">
        <f>IF($A166="","",SUMIFS(الموظفون_الاساسي,الموظفون_الإدارة,$A166))</f>
        <v/>
      </c>
      <c r="E166" s="63">
        <f>IF($A166="","",SUMIFS(الموظفون_البدلات,الموظفون_الإدارة,$A166))</f>
        <v/>
      </c>
      <c r="F166" s="63">
        <f>IF($A166="","",SUMIFS(الرواتب_الاستحقاقات,الرواتب_الإدارة,$A166))</f>
        <v/>
      </c>
      <c r="G166" s="63">
        <f>IF($A166="","",SUMIFS(الرواتب_الخصومات,الرواتب_الإدارة,$A166))</f>
        <v/>
      </c>
      <c r="H166" s="63">
        <f>IF($A166="","",SUMIFS(الرواتب_الصافي,الرواتب_الإدارة,$A166))</f>
        <v/>
      </c>
      <c r="I166" s="63">
        <f>IF($A166="","",IFERROR(AVERAGEIFS(الموظفون_الاساسي,الموظفون_الإدارة,$A166),0))</f>
        <v/>
      </c>
    </row>
    <row r="167">
      <c r="A167" s="74">
        <f>IFERROR(INDEX(قائمة_الإدارات,161),"")</f>
        <v/>
      </c>
      <c r="B167" s="44">
        <f>IF($A167="","",COUNTIF(الموظفون_الإدارة,$A167))</f>
        <v/>
      </c>
      <c r="C167" s="44">
        <f>IF($A167="","",COUNTIFS(الموظفون_الإدارة,$A167,الموظفون_الحالة,"نشط"))</f>
        <v/>
      </c>
      <c r="D167" s="60">
        <f>IF($A167="","",SUMIFS(الموظفون_الاساسي,الموظفون_الإدارة,$A167))</f>
        <v/>
      </c>
      <c r="E167" s="60">
        <f>IF($A167="","",SUMIFS(الموظفون_البدلات,الموظفون_الإدارة,$A167))</f>
        <v/>
      </c>
      <c r="F167" s="60">
        <f>IF($A167="","",SUMIFS(الرواتب_الاستحقاقات,الرواتب_الإدارة,$A167))</f>
        <v/>
      </c>
      <c r="G167" s="60">
        <f>IF($A167="","",SUMIFS(الرواتب_الخصومات,الرواتب_الإدارة,$A167))</f>
        <v/>
      </c>
      <c r="H167" s="60">
        <f>IF($A167="","",SUMIFS(الرواتب_الصافي,الرواتب_الإدارة,$A167))</f>
        <v/>
      </c>
      <c r="I167" s="60">
        <f>IF($A167="","",IFERROR(AVERAGEIFS(الموظفون_الاساسي,الموظفون_الإدارة,$A167),0))</f>
        <v/>
      </c>
    </row>
    <row r="168">
      <c r="A168" s="75">
        <f>IFERROR(INDEX(قائمة_الإدارات,162),"")</f>
        <v/>
      </c>
      <c r="B168" s="51">
        <f>IF($A168="","",COUNTIF(الموظفون_الإدارة,$A168))</f>
        <v/>
      </c>
      <c r="C168" s="51">
        <f>IF($A168="","",COUNTIFS(الموظفون_الإدارة,$A168,الموظفون_الحالة,"نشط"))</f>
        <v/>
      </c>
      <c r="D168" s="63">
        <f>IF($A168="","",SUMIFS(الموظفون_الاساسي,الموظفون_الإدارة,$A168))</f>
        <v/>
      </c>
      <c r="E168" s="63">
        <f>IF($A168="","",SUMIFS(الموظفون_البدلات,الموظفون_الإدارة,$A168))</f>
        <v/>
      </c>
      <c r="F168" s="63">
        <f>IF($A168="","",SUMIFS(الرواتب_الاستحقاقات,الرواتب_الإدارة,$A168))</f>
        <v/>
      </c>
      <c r="G168" s="63">
        <f>IF($A168="","",SUMIFS(الرواتب_الخصومات,الرواتب_الإدارة,$A168))</f>
        <v/>
      </c>
      <c r="H168" s="63">
        <f>IF($A168="","",SUMIFS(الرواتب_الصافي,الرواتب_الإدارة,$A168))</f>
        <v/>
      </c>
      <c r="I168" s="63">
        <f>IF($A168="","",IFERROR(AVERAGEIFS(الموظفون_الاساسي,الموظفون_الإدارة,$A168),0))</f>
        <v/>
      </c>
    </row>
    <row r="169">
      <c r="A169" s="74">
        <f>IFERROR(INDEX(قائمة_الإدارات,163),"")</f>
        <v/>
      </c>
      <c r="B169" s="44">
        <f>IF($A169="","",COUNTIF(الموظفون_الإدارة,$A169))</f>
        <v/>
      </c>
      <c r="C169" s="44">
        <f>IF($A169="","",COUNTIFS(الموظفون_الإدارة,$A169,الموظفون_الحالة,"نشط"))</f>
        <v/>
      </c>
      <c r="D169" s="60">
        <f>IF($A169="","",SUMIFS(الموظفون_الاساسي,الموظفون_الإدارة,$A169))</f>
        <v/>
      </c>
      <c r="E169" s="60">
        <f>IF($A169="","",SUMIFS(الموظفون_البدلات,الموظفون_الإدارة,$A169))</f>
        <v/>
      </c>
      <c r="F169" s="60">
        <f>IF($A169="","",SUMIFS(الرواتب_الاستحقاقات,الرواتب_الإدارة,$A169))</f>
        <v/>
      </c>
      <c r="G169" s="60">
        <f>IF($A169="","",SUMIFS(الرواتب_الخصومات,الرواتب_الإدارة,$A169))</f>
        <v/>
      </c>
      <c r="H169" s="60">
        <f>IF($A169="","",SUMIFS(الرواتب_الصافي,الرواتب_الإدارة,$A169))</f>
        <v/>
      </c>
      <c r="I169" s="60">
        <f>IF($A169="","",IFERROR(AVERAGEIFS(الموظفون_الاساسي,الموظفون_الإدارة,$A169),0))</f>
        <v/>
      </c>
    </row>
    <row r="170">
      <c r="A170" s="75">
        <f>IFERROR(INDEX(قائمة_الإدارات,164),"")</f>
        <v/>
      </c>
      <c r="B170" s="51">
        <f>IF($A170="","",COUNTIF(الموظفون_الإدارة,$A170))</f>
        <v/>
      </c>
      <c r="C170" s="51">
        <f>IF($A170="","",COUNTIFS(الموظفون_الإدارة,$A170,الموظفون_الحالة,"نشط"))</f>
        <v/>
      </c>
      <c r="D170" s="63">
        <f>IF($A170="","",SUMIFS(الموظفون_الاساسي,الموظفون_الإدارة,$A170))</f>
        <v/>
      </c>
      <c r="E170" s="63">
        <f>IF($A170="","",SUMIFS(الموظفون_البدلات,الموظفون_الإدارة,$A170))</f>
        <v/>
      </c>
      <c r="F170" s="63">
        <f>IF($A170="","",SUMIFS(الرواتب_الاستحقاقات,الرواتب_الإدارة,$A170))</f>
        <v/>
      </c>
      <c r="G170" s="63">
        <f>IF($A170="","",SUMIFS(الرواتب_الخصومات,الرواتب_الإدارة,$A170))</f>
        <v/>
      </c>
      <c r="H170" s="63">
        <f>IF($A170="","",SUMIFS(الرواتب_الصافي,الرواتب_الإدارة,$A170))</f>
        <v/>
      </c>
      <c r="I170" s="63">
        <f>IF($A170="","",IFERROR(AVERAGEIFS(الموظفون_الاساسي,الموظفون_الإدارة,$A170),0))</f>
        <v/>
      </c>
    </row>
    <row r="171">
      <c r="A171" s="74">
        <f>IFERROR(INDEX(قائمة_الإدارات,165),"")</f>
        <v/>
      </c>
      <c r="B171" s="44">
        <f>IF($A171="","",COUNTIF(الموظفون_الإدارة,$A171))</f>
        <v/>
      </c>
      <c r="C171" s="44">
        <f>IF($A171="","",COUNTIFS(الموظفون_الإدارة,$A171,الموظفون_الحالة,"نشط"))</f>
        <v/>
      </c>
      <c r="D171" s="60">
        <f>IF($A171="","",SUMIFS(الموظفون_الاساسي,الموظفون_الإدارة,$A171))</f>
        <v/>
      </c>
      <c r="E171" s="60">
        <f>IF($A171="","",SUMIFS(الموظفون_البدلات,الموظفون_الإدارة,$A171))</f>
        <v/>
      </c>
      <c r="F171" s="60">
        <f>IF($A171="","",SUMIFS(الرواتب_الاستحقاقات,الرواتب_الإدارة,$A171))</f>
        <v/>
      </c>
      <c r="G171" s="60">
        <f>IF($A171="","",SUMIFS(الرواتب_الخصومات,الرواتب_الإدارة,$A171))</f>
        <v/>
      </c>
      <c r="H171" s="60">
        <f>IF($A171="","",SUMIFS(الرواتب_الصافي,الرواتب_الإدارة,$A171))</f>
        <v/>
      </c>
      <c r="I171" s="60">
        <f>IF($A171="","",IFERROR(AVERAGEIFS(الموظفون_الاساسي,الموظفون_الإدارة,$A171),0))</f>
        <v/>
      </c>
    </row>
    <row r="172">
      <c r="A172" s="75">
        <f>IFERROR(INDEX(قائمة_الإدارات,166),"")</f>
        <v/>
      </c>
      <c r="B172" s="51">
        <f>IF($A172="","",COUNTIF(الموظفون_الإدارة,$A172))</f>
        <v/>
      </c>
      <c r="C172" s="51">
        <f>IF($A172="","",COUNTIFS(الموظفون_الإدارة,$A172,الموظفون_الحالة,"نشط"))</f>
        <v/>
      </c>
      <c r="D172" s="63">
        <f>IF($A172="","",SUMIFS(الموظفون_الاساسي,الموظفون_الإدارة,$A172))</f>
        <v/>
      </c>
      <c r="E172" s="63">
        <f>IF($A172="","",SUMIFS(الموظفون_البدلات,الموظفون_الإدارة,$A172))</f>
        <v/>
      </c>
      <c r="F172" s="63">
        <f>IF($A172="","",SUMIFS(الرواتب_الاستحقاقات,الرواتب_الإدارة,$A172))</f>
        <v/>
      </c>
      <c r="G172" s="63">
        <f>IF($A172="","",SUMIFS(الرواتب_الخصومات,الرواتب_الإدارة,$A172))</f>
        <v/>
      </c>
      <c r="H172" s="63">
        <f>IF($A172="","",SUMIFS(الرواتب_الصافي,الرواتب_الإدارة,$A172))</f>
        <v/>
      </c>
      <c r="I172" s="63">
        <f>IF($A172="","",IFERROR(AVERAGEIFS(الموظفون_الاساسي,الموظفون_الإدارة,$A172),0))</f>
        <v/>
      </c>
    </row>
    <row r="173">
      <c r="A173" s="74">
        <f>IFERROR(INDEX(قائمة_الإدارات,167),"")</f>
        <v/>
      </c>
      <c r="B173" s="44">
        <f>IF($A173="","",COUNTIF(الموظفون_الإدارة,$A173))</f>
        <v/>
      </c>
      <c r="C173" s="44">
        <f>IF($A173="","",COUNTIFS(الموظفون_الإدارة,$A173,الموظفون_الحالة,"نشط"))</f>
        <v/>
      </c>
      <c r="D173" s="60">
        <f>IF($A173="","",SUMIFS(الموظفون_الاساسي,الموظفون_الإدارة,$A173))</f>
        <v/>
      </c>
      <c r="E173" s="60">
        <f>IF($A173="","",SUMIFS(الموظفون_البدلات,الموظفون_الإدارة,$A173))</f>
        <v/>
      </c>
      <c r="F173" s="60">
        <f>IF($A173="","",SUMIFS(الرواتب_الاستحقاقات,الرواتب_الإدارة,$A173))</f>
        <v/>
      </c>
      <c r="G173" s="60">
        <f>IF($A173="","",SUMIFS(الرواتب_الخصومات,الرواتب_الإدارة,$A173))</f>
        <v/>
      </c>
      <c r="H173" s="60">
        <f>IF($A173="","",SUMIFS(الرواتب_الصافي,الرواتب_الإدارة,$A173))</f>
        <v/>
      </c>
      <c r="I173" s="60">
        <f>IF($A173="","",IFERROR(AVERAGEIFS(الموظفون_الاساسي,الموظفون_الإدارة,$A173),0))</f>
        <v/>
      </c>
    </row>
    <row r="174">
      <c r="A174" s="75">
        <f>IFERROR(INDEX(قائمة_الإدارات,168),"")</f>
        <v/>
      </c>
      <c r="B174" s="51">
        <f>IF($A174="","",COUNTIF(الموظفون_الإدارة,$A174))</f>
        <v/>
      </c>
      <c r="C174" s="51">
        <f>IF($A174="","",COUNTIFS(الموظفون_الإدارة,$A174,الموظفون_الحالة,"نشط"))</f>
        <v/>
      </c>
      <c r="D174" s="63">
        <f>IF($A174="","",SUMIFS(الموظفون_الاساسي,الموظفون_الإدارة,$A174))</f>
        <v/>
      </c>
      <c r="E174" s="63">
        <f>IF($A174="","",SUMIFS(الموظفون_البدلات,الموظفون_الإدارة,$A174))</f>
        <v/>
      </c>
      <c r="F174" s="63">
        <f>IF($A174="","",SUMIFS(الرواتب_الاستحقاقات,الرواتب_الإدارة,$A174))</f>
        <v/>
      </c>
      <c r="G174" s="63">
        <f>IF($A174="","",SUMIFS(الرواتب_الخصومات,الرواتب_الإدارة,$A174))</f>
        <v/>
      </c>
      <c r="H174" s="63">
        <f>IF($A174="","",SUMIFS(الرواتب_الصافي,الرواتب_الإدارة,$A174))</f>
        <v/>
      </c>
      <c r="I174" s="63">
        <f>IF($A174="","",IFERROR(AVERAGEIFS(الموظفون_الاساسي,الموظفون_الإدارة,$A174),0))</f>
        <v/>
      </c>
    </row>
    <row r="175">
      <c r="A175" s="74">
        <f>IFERROR(INDEX(قائمة_الإدارات,169),"")</f>
        <v/>
      </c>
      <c r="B175" s="44">
        <f>IF($A175="","",COUNTIF(الموظفون_الإدارة,$A175))</f>
        <v/>
      </c>
      <c r="C175" s="44">
        <f>IF($A175="","",COUNTIFS(الموظفون_الإدارة,$A175,الموظفون_الحالة,"نشط"))</f>
        <v/>
      </c>
      <c r="D175" s="60">
        <f>IF($A175="","",SUMIFS(الموظفون_الاساسي,الموظفون_الإدارة,$A175))</f>
        <v/>
      </c>
      <c r="E175" s="60">
        <f>IF($A175="","",SUMIFS(الموظفون_البدلات,الموظفون_الإدارة,$A175))</f>
        <v/>
      </c>
      <c r="F175" s="60">
        <f>IF($A175="","",SUMIFS(الرواتب_الاستحقاقات,الرواتب_الإدارة,$A175))</f>
        <v/>
      </c>
      <c r="G175" s="60">
        <f>IF($A175="","",SUMIFS(الرواتب_الخصومات,الرواتب_الإدارة,$A175))</f>
        <v/>
      </c>
      <c r="H175" s="60">
        <f>IF($A175="","",SUMIFS(الرواتب_الصافي,الرواتب_الإدارة,$A175))</f>
        <v/>
      </c>
      <c r="I175" s="60">
        <f>IF($A175="","",IFERROR(AVERAGEIFS(الموظفون_الاساسي,الموظفون_الإدارة,$A175),0))</f>
        <v/>
      </c>
    </row>
    <row r="176">
      <c r="A176" s="75">
        <f>IFERROR(INDEX(قائمة_الإدارات,170),"")</f>
        <v/>
      </c>
      <c r="B176" s="51">
        <f>IF($A176="","",COUNTIF(الموظفون_الإدارة,$A176))</f>
        <v/>
      </c>
      <c r="C176" s="51">
        <f>IF($A176="","",COUNTIFS(الموظفون_الإدارة,$A176,الموظفون_الحالة,"نشط"))</f>
        <v/>
      </c>
      <c r="D176" s="63">
        <f>IF($A176="","",SUMIFS(الموظفون_الاساسي,الموظفون_الإدارة,$A176))</f>
        <v/>
      </c>
      <c r="E176" s="63">
        <f>IF($A176="","",SUMIFS(الموظفون_البدلات,الموظفون_الإدارة,$A176))</f>
        <v/>
      </c>
      <c r="F176" s="63">
        <f>IF($A176="","",SUMIFS(الرواتب_الاستحقاقات,الرواتب_الإدارة,$A176))</f>
        <v/>
      </c>
      <c r="G176" s="63">
        <f>IF($A176="","",SUMIFS(الرواتب_الخصومات,الرواتب_الإدارة,$A176))</f>
        <v/>
      </c>
      <c r="H176" s="63">
        <f>IF($A176="","",SUMIFS(الرواتب_الصافي,الرواتب_الإدارة,$A176))</f>
        <v/>
      </c>
      <c r="I176" s="63">
        <f>IF($A176="","",IFERROR(AVERAGEIFS(الموظفون_الاساسي,الموظفون_الإدارة,$A176),0))</f>
        <v/>
      </c>
    </row>
    <row r="177">
      <c r="A177" s="74">
        <f>IFERROR(INDEX(قائمة_الإدارات,171),"")</f>
        <v/>
      </c>
      <c r="B177" s="44">
        <f>IF($A177="","",COUNTIF(الموظفون_الإدارة,$A177))</f>
        <v/>
      </c>
      <c r="C177" s="44">
        <f>IF($A177="","",COUNTIFS(الموظفون_الإدارة,$A177,الموظفون_الحالة,"نشط"))</f>
        <v/>
      </c>
      <c r="D177" s="60">
        <f>IF($A177="","",SUMIFS(الموظفون_الاساسي,الموظفون_الإدارة,$A177))</f>
        <v/>
      </c>
      <c r="E177" s="60">
        <f>IF($A177="","",SUMIFS(الموظفون_البدلات,الموظفون_الإدارة,$A177))</f>
        <v/>
      </c>
      <c r="F177" s="60">
        <f>IF($A177="","",SUMIFS(الرواتب_الاستحقاقات,الرواتب_الإدارة,$A177))</f>
        <v/>
      </c>
      <c r="G177" s="60">
        <f>IF($A177="","",SUMIFS(الرواتب_الخصومات,الرواتب_الإدارة,$A177))</f>
        <v/>
      </c>
      <c r="H177" s="60">
        <f>IF($A177="","",SUMIFS(الرواتب_الصافي,الرواتب_الإدارة,$A177))</f>
        <v/>
      </c>
      <c r="I177" s="60">
        <f>IF($A177="","",IFERROR(AVERAGEIFS(الموظفون_الاساسي,الموظفون_الإدارة,$A177),0))</f>
        <v/>
      </c>
    </row>
    <row r="178">
      <c r="A178" s="75">
        <f>IFERROR(INDEX(قائمة_الإدارات,172),"")</f>
        <v/>
      </c>
      <c r="B178" s="51">
        <f>IF($A178="","",COUNTIF(الموظفون_الإدارة,$A178))</f>
        <v/>
      </c>
      <c r="C178" s="51">
        <f>IF($A178="","",COUNTIFS(الموظفون_الإدارة,$A178,الموظفون_الحالة,"نشط"))</f>
        <v/>
      </c>
      <c r="D178" s="63">
        <f>IF($A178="","",SUMIFS(الموظفون_الاساسي,الموظفون_الإدارة,$A178))</f>
        <v/>
      </c>
      <c r="E178" s="63">
        <f>IF($A178="","",SUMIFS(الموظفون_البدلات,الموظفون_الإدارة,$A178))</f>
        <v/>
      </c>
      <c r="F178" s="63">
        <f>IF($A178="","",SUMIFS(الرواتب_الاستحقاقات,الرواتب_الإدارة,$A178))</f>
        <v/>
      </c>
      <c r="G178" s="63">
        <f>IF($A178="","",SUMIFS(الرواتب_الخصومات,الرواتب_الإدارة,$A178))</f>
        <v/>
      </c>
      <c r="H178" s="63">
        <f>IF($A178="","",SUMIFS(الرواتب_الصافي,الرواتب_الإدارة,$A178))</f>
        <v/>
      </c>
      <c r="I178" s="63">
        <f>IF($A178="","",IFERROR(AVERAGEIFS(الموظفون_الاساسي,الموظفون_الإدارة,$A178),0))</f>
        <v/>
      </c>
    </row>
    <row r="179">
      <c r="A179" s="74">
        <f>IFERROR(INDEX(قائمة_الإدارات,173),"")</f>
        <v/>
      </c>
      <c r="B179" s="44">
        <f>IF($A179="","",COUNTIF(الموظفون_الإدارة,$A179))</f>
        <v/>
      </c>
      <c r="C179" s="44">
        <f>IF($A179="","",COUNTIFS(الموظفون_الإدارة,$A179,الموظفون_الحالة,"نشط"))</f>
        <v/>
      </c>
      <c r="D179" s="60">
        <f>IF($A179="","",SUMIFS(الموظفون_الاساسي,الموظفون_الإدارة,$A179))</f>
        <v/>
      </c>
      <c r="E179" s="60">
        <f>IF($A179="","",SUMIFS(الموظفون_البدلات,الموظفون_الإدارة,$A179))</f>
        <v/>
      </c>
      <c r="F179" s="60">
        <f>IF($A179="","",SUMIFS(الرواتب_الاستحقاقات,الرواتب_الإدارة,$A179))</f>
        <v/>
      </c>
      <c r="G179" s="60">
        <f>IF($A179="","",SUMIFS(الرواتب_الخصومات,الرواتب_الإدارة,$A179))</f>
        <v/>
      </c>
      <c r="H179" s="60">
        <f>IF($A179="","",SUMIFS(الرواتب_الصافي,الرواتب_الإدارة,$A179))</f>
        <v/>
      </c>
      <c r="I179" s="60">
        <f>IF($A179="","",IFERROR(AVERAGEIFS(الموظفون_الاساسي,الموظفون_الإدارة,$A179),0))</f>
        <v/>
      </c>
    </row>
    <row r="180">
      <c r="A180" s="75">
        <f>IFERROR(INDEX(قائمة_الإدارات,174),"")</f>
        <v/>
      </c>
      <c r="B180" s="51">
        <f>IF($A180="","",COUNTIF(الموظفون_الإدارة,$A180))</f>
        <v/>
      </c>
      <c r="C180" s="51">
        <f>IF($A180="","",COUNTIFS(الموظفون_الإدارة,$A180,الموظفون_الحالة,"نشط"))</f>
        <v/>
      </c>
      <c r="D180" s="63">
        <f>IF($A180="","",SUMIFS(الموظفون_الاساسي,الموظفون_الإدارة,$A180))</f>
        <v/>
      </c>
      <c r="E180" s="63">
        <f>IF($A180="","",SUMIFS(الموظفون_البدلات,الموظفون_الإدارة,$A180))</f>
        <v/>
      </c>
      <c r="F180" s="63">
        <f>IF($A180="","",SUMIFS(الرواتب_الاستحقاقات,الرواتب_الإدارة,$A180))</f>
        <v/>
      </c>
      <c r="G180" s="63">
        <f>IF($A180="","",SUMIFS(الرواتب_الخصومات,الرواتب_الإدارة,$A180))</f>
        <v/>
      </c>
      <c r="H180" s="63">
        <f>IF($A180="","",SUMIFS(الرواتب_الصافي,الرواتب_الإدارة,$A180))</f>
        <v/>
      </c>
      <c r="I180" s="63">
        <f>IF($A180="","",IFERROR(AVERAGEIFS(الموظفون_الاساسي,الموظفون_الإدارة,$A180),0))</f>
        <v/>
      </c>
    </row>
    <row r="181">
      <c r="A181" s="74">
        <f>IFERROR(INDEX(قائمة_الإدارات,175),"")</f>
        <v/>
      </c>
      <c r="B181" s="44">
        <f>IF($A181="","",COUNTIF(الموظفون_الإدارة,$A181))</f>
        <v/>
      </c>
      <c r="C181" s="44">
        <f>IF($A181="","",COUNTIFS(الموظفون_الإدارة,$A181,الموظفون_الحالة,"نشط"))</f>
        <v/>
      </c>
      <c r="D181" s="60">
        <f>IF($A181="","",SUMIFS(الموظفون_الاساسي,الموظفون_الإدارة,$A181))</f>
        <v/>
      </c>
      <c r="E181" s="60">
        <f>IF($A181="","",SUMIFS(الموظفون_البدلات,الموظفون_الإدارة,$A181))</f>
        <v/>
      </c>
      <c r="F181" s="60">
        <f>IF($A181="","",SUMIFS(الرواتب_الاستحقاقات,الرواتب_الإدارة,$A181))</f>
        <v/>
      </c>
      <c r="G181" s="60">
        <f>IF($A181="","",SUMIFS(الرواتب_الخصومات,الرواتب_الإدارة,$A181))</f>
        <v/>
      </c>
      <c r="H181" s="60">
        <f>IF($A181="","",SUMIFS(الرواتب_الصافي,الرواتب_الإدارة,$A181))</f>
        <v/>
      </c>
      <c r="I181" s="60">
        <f>IF($A181="","",IFERROR(AVERAGEIFS(الموظفون_الاساسي,الموظفون_الإدارة,$A181),0))</f>
        <v/>
      </c>
    </row>
    <row r="182">
      <c r="A182" s="75">
        <f>IFERROR(INDEX(قائمة_الإدارات,176),"")</f>
        <v/>
      </c>
      <c r="B182" s="51">
        <f>IF($A182="","",COUNTIF(الموظفون_الإدارة,$A182))</f>
        <v/>
      </c>
      <c r="C182" s="51">
        <f>IF($A182="","",COUNTIFS(الموظفون_الإدارة,$A182,الموظفون_الحالة,"نشط"))</f>
        <v/>
      </c>
      <c r="D182" s="63">
        <f>IF($A182="","",SUMIFS(الموظفون_الاساسي,الموظفون_الإدارة,$A182))</f>
        <v/>
      </c>
      <c r="E182" s="63">
        <f>IF($A182="","",SUMIFS(الموظفون_البدلات,الموظفون_الإدارة,$A182))</f>
        <v/>
      </c>
      <c r="F182" s="63">
        <f>IF($A182="","",SUMIFS(الرواتب_الاستحقاقات,الرواتب_الإدارة,$A182))</f>
        <v/>
      </c>
      <c r="G182" s="63">
        <f>IF($A182="","",SUMIFS(الرواتب_الخصومات,الرواتب_الإدارة,$A182))</f>
        <v/>
      </c>
      <c r="H182" s="63">
        <f>IF($A182="","",SUMIFS(الرواتب_الصافي,الرواتب_الإدارة,$A182))</f>
        <v/>
      </c>
      <c r="I182" s="63">
        <f>IF($A182="","",IFERROR(AVERAGEIFS(الموظفون_الاساسي,الموظفون_الإدارة,$A182),0))</f>
        <v/>
      </c>
    </row>
    <row r="183">
      <c r="A183" s="74">
        <f>IFERROR(INDEX(قائمة_الإدارات,177),"")</f>
        <v/>
      </c>
      <c r="B183" s="44">
        <f>IF($A183="","",COUNTIF(الموظفون_الإدارة,$A183))</f>
        <v/>
      </c>
      <c r="C183" s="44">
        <f>IF($A183="","",COUNTIFS(الموظفون_الإدارة,$A183,الموظفون_الحالة,"نشط"))</f>
        <v/>
      </c>
      <c r="D183" s="60">
        <f>IF($A183="","",SUMIFS(الموظفون_الاساسي,الموظفون_الإدارة,$A183))</f>
        <v/>
      </c>
      <c r="E183" s="60">
        <f>IF($A183="","",SUMIFS(الموظفون_البدلات,الموظفون_الإدارة,$A183))</f>
        <v/>
      </c>
      <c r="F183" s="60">
        <f>IF($A183="","",SUMIFS(الرواتب_الاستحقاقات,الرواتب_الإدارة,$A183))</f>
        <v/>
      </c>
      <c r="G183" s="60">
        <f>IF($A183="","",SUMIFS(الرواتب_الخصومات,الرواتب_الإدارة,$A183))</f>
        <v/>
      </c>
      <c r="H183" s="60">
        <f>IF($A183="","",SUMIFS(الرواتب_الصافي,الرواتب_الإدارة,$A183))</f>
        <v/>
      </c>
      <c r="I183" s="60">
        <f>IF($A183="","",IFERROR(AVERAGEIFS(الموظفون_الاساسي,الموظفون_الإدارة,$A183),0))</f>
        <v/>
      </c>
    </row>
    <row r="184">
      <c r="A184" s="75">
        <f>IFERROR(INDEX(قائمة_الإدارات,178),"")</f>
        <v/>
      </c>
      <c r="B184" s="51">
        <f>IF($A184="","",COUNTIF(الموظفون_الإدارة,$A184))</f>
        <v/>
      </c>
      <c r="C184" s="51">
        <f>IF($A184="","",COUNTIFS(الموظفون_الإدارة,$A184,الموظفون_الحالة,"نشط"))</f>
        <v/>
      </c>
      <c r="D184" s="63">
        <f>IF($A184="","",SUMIFS(الموظفون_الاساسي,الموظفون_الإدارة,$A184))</f>
        <v/>
      </c>
      <c r="E184" s="63">
        <f>IF($A184="","",SUMIFS(الموظفون_البدلات,الموظفون_الإدارة,$A184))</f>
        <v/>
      </c>
      <c r="F184" s="63">
        <f>IF($A184="","",SUMIFS(الرواتب_الاستحقاقات,الرواتب_الإدارة,$A184))</f>
        <v/>
      </c>
      <c r="G184" s="63">
        <f>IF($A184="","",SUMIFS(الرواتب_الخصومات,الرواتب_الإدارة,$A184))</f>
        <v/>
      </c>
      <c r="H184" s="63">
        <f>IF($A184="","",SUMIFS(الرواتب_الصافي,الرواتب_الإدارة,$A184))</f>
        <v/>
      </c>
      <c r="I184" s="63">
        <f>IF($A184="","",IFERROR(AVERAGEIFS(الموظفون_الاساسي,الموظفون_الإدارة,$A184),0))</f>
        <v/>
      </c>
    </row>
    <row r="185">
      <c r="A185" s="74">
        <f>IFERROR(INDEX(قائمة_الإدارات,179),"")</f>
        <v/>
      </c>
      <c r="B185" s="44">
        <f>IF($A185="","",COUNTIF(الموظفون_الإدارة,$A185))</f>
        <v/>
      </c>
      <c r="C185" s="44">
        <f>IF($A185="","",COUNTIFS(الموظفون_الإدارة,$A185,الموظفون_الحالة,"نشط"))</f>
        <v/>
      </c>
      <c r="D185" s="60">
        <f>IF($A185="","",SUMIFS(الموظفون_الاساسي,الموظفون_الإدارة,$A185))</f>
        <v/>
      </c>
      <c r="E185" s="60">
        <f>IF($A185="","",SUMIFS(الموظفون_البدلات,الموظفون_الإدارة,$A185))</f>
        <v/>
      </c>
      <c r="F185" s="60">
        <f>IF($A185="","",SUMIFS(الرواتب_الاستحقاقات,الرواتب_الإدارة,$A185))</f>
        <v/>
      </c>
      <c r="G185" s="60">
        <f>IF($A185="","",SUMIFS(الرواتب_الخصومات,الرواتب_الإدارة,$A185))</f>
        <v/>
      </c>
      <c r="H185" s="60">
        <f>IF($A185="","",SUMIFS(الرواتب_الصافي,الرواتب_الإدارة,$A185))</f>
        <v/>
      </c>
      <c r="I185" s="60">
        <f>IF($A185="","",IFERROR(AVERAGEIFS(الموظفون_الاساسي,الموظفون_الإدارة,$A185),0))</f>
        <v/>
      </c>
    </row>
    <row r="186">
      <c r="A186" s="75">
        <f>IFERROR(INDEX(قائمة_الإدارات,180),"")</f>
        <v/>
      </c>
      <c r="B186" s="51">
        <f>IF($A186="","",COUNTIF(الموظفون_الإدارة,$A186))</f>
        <v/>
      </c>
      <c r="C186" s="51">
        <f>IF($A186="","",COUNTIFS(الموظفون_الإدارة,$A186,الموظفون_الحالة,"نشط"))</f>
        <v/>
      </c>
      <c r="D186" s="63">
        <f>IF($A186="","",SUMIFS(الموظفون_الاساسي,الموظفون_الإدارة,$A186))</f>
        <v/>
      </c>
      <c r="E186" s="63">
        <f>IF($A186="","",SUMIFS(الموظفون_البدلات,الموظفون_الإدارة,$A186))</f>
        <v/>
      </c>
      <c r="F186" s="63">
        <f>IF($A186="","",SUMIFS(الرواتب_الاستحقاقات,الرواتب_الإدارة,$A186))</f>
        <v/>
      </c>
      <c r="G186" s="63">
        <f>IF($A186="","",SUMIFS(الرواتب_الخصومات,الرواتب_الإدارة,$A186))</f>
        <v/>
      </c>
      <c r="H186" s="63">
        <f>IF($A186="","",SUMIFS(الرواتب_الصافي,الرواتب_الإدارة,$A186))</f>
        <v/>
      </c>
      <c r="I186" s="63">
        <f>IF($A186="","",IFERROR(AVERAGEIFS(الموظفون_الاساسي,الموظفون_الإدارة,$A186),0))</f>
        <v/>
      </c>
    </row>
    <row r="187">
      <c r="A187" s="74">
        <f>IFERROR(INDEX(قائمة_الإدارات,181),"")</f>
        <v/>
      </c>
      <c r="B187" s="44">
        <f>IF($A187="","",COUNTIF(الموظفون_الإدارة,$A187))</f>
        <v/>
      </c>
      <c r="C187" s="44">
        <f>IF($A187="","",COUNTIFS(الموظفون_الإدارة,$A187,الموظفون_الحالة,"نشط"))</f>
        <v/>
      </c>
      <c r="D187" s="60">
        <f>IF($A187="","",SUMIFS(الموظفون_الاساسي,الموظفون_الإدارة,$A187))</f>
        <v/>
      </c>
      <c r="E187" s="60">
        <f>IF($A187="","",SUMIFS(الموظفون_البدلات,الموظفون_الإدارة,$A187))</f>
        <v/>
      </c>
      <c r="F187" s="60">
        <f>IF($A187="","",SUMIFS(الرواتب_الاستحقاقات,الرواتب_الإدارة,$A187))</f>
        <v/>
      </c>
      <c r="G187" s="60">
        <f>IF($A187="","",SUMIFS(الرواتب_الخصومات,الرواتب_الإدارة,$A187))</f>
        <v/>
      </c>
      <c r="H187" s="60">
        <f>IF($A187="","",SUMIFS(الرواتب_الصافي,الرواتب_الإدارة,$A187))</f>
        <v/>
      </c>
      <c r="I187" s="60">
        <f>IF($A187="","",IFERROR(AVERAGEIFS(الموظفون_الاساسي,الموظفون_الإدارة,$A187),0))</f>
        <v/>
      </c>
    </row>
    <row r="188">
      <c r="A188" s="75">
        <f>IFERROR(INDEX(قائمة_الإدارات,182),"")</f>
        <v/>
      </c>
      <c r="B188" s="51">
        <f>IF($A188="","",COUNTIF(الموظفون_الإدارة,$A188))</f>
        <v/>
      </c>
      <c r="C188" s="51">
        <f>IF($A188="","",COUNTIFS(الموظفون_الإدارة,$A188,الموظفون_الحالة,"نشط"))</f>
        <v/>
      </c>
      <c r="D188" s="63">
        <f>IF($A188="","",SUMIFS(الموظفون_الاساسي,الموظفون_الإدارة,$A188))</f>
        <v/>
      </c>
      <c r="E188" s="63">
        <f>IF($A188="","",SUMIFS(الموظفون_البدلات,الموظفون_الإدارة,$A188))</f>
        <v/>
      </c>
      <c r="F188" s="63">
        <f>IF($A188="","",SUMIFS(الرواتب_الاستحقاقات,الرواتب_الإدارة,$A188))</f>
        <v/>
      </c>
      <c r="G188" s="63">
        <f>IF($A188="","",SUMIFS(الرواتب_الخصومات,الرواتب_الإدارة,$A188))</f>
        <v/>
      </c>
      <c r="H188" s="63">
        <f>IF($A188="","",SUMIFS(الرواتب_الصافي,الرواتب_الإدارة,$A188))</f>
        <v/>
      </c>
      <c r="I188" s="63">
        <f>IF($A188="","",IFERROR(AVERAGEIFS(الموظفون_الاساسي,الموظفون_الإدارة,$A188),0))</f>
        <v/>
      </c>
    </row>
    <row r="189">
      <c r="A189" s="74">
        <f>IFERROR(INDEX(قائمة_الإدارات,183),"")</f>
        <v/>
      </c>
      <c r="B189" s="44">
        <f>IF($A189="","",COUNTIF(الموظفون_الإدارة,$A189))</f>
        <v/>
      </c>
      <c r="C189" s="44">
        <f>IF($A189="","",COUNTIFS(الموظفون_الإدارة,$A189,الموظفون_الحالة,"نشط"))</f>
        <v/>
      </c>
      <c r="D189" s="60">
        <f>IF($A189="","",SUMIFS(الموظفون_الاساسي,الموظفون_الإدارة,$A189))</f>
        <v/>
      </c>
      <c r="E189" s="60">
        <f>IF($A189="","",SUMIFS(الموظفون_البدلات,الموظفون_الإدارة,$A189))</f>
        <v/>
      </c>
      <c r="F189" s="60">
        <f>IF($A189="","",SUMIFS(الرواتب_الاستحقاقات,الرواتب_الإدارة,$A189))</f>
        <v/>
      </c>
      <c r="G189" s="60">
        <f>IF($A189="","",SUMIFS(الرواتب_الخصومات,الرواتب_الإدارة,$A189))</f>
        <v/>
      </c>
      <c r="H189" s="60">
        <f>IF($A189="","",SUMIFS(الرواتب_الصافي,الرواتب_الإدارة,$A189))</f>
        <v/>
      </c>
      <c r="I189" s="60">
        <f>IF($A189="","",IFERROR(AVERAGEIFS(الموظفون_الاساسي,الموظفون_الإدارة,$A189),0))</f>
        <v/>
      </c>
    </row>
    <row r="190">
      <c r="A190" s="75">
        <f>IFERROR(INDEX(قائمة_الإدارات,184),"")</f>
        <v/>
      </c>
      <c r="B190" s="51">
        <f>IF($A190="","",COUNTIF(الموظفون_الإدارة,$A190))</f>
        <v/>
      </c>
      <c r="C190" s="51">
        <f>IF($A190="","",COUNTIFS(الموظفون_الإدارة,$A190,الموظفون_الحالة,"نشط"))</f>
        <v/>
      </c>
      <c r="D190" s="63">
        <f>IF($A190="","",SUMIFS(الموظفون_الاساسي,الموظفون_الإدارة,$A190))</f>
        <v/>
      </c>
      <c r="E190" s="63">
        <f>IF($A190="","",SUMIFS(الموظفون_البدلات,الموظفون_الإدارة,$A190))</f>
        <v/>
      </c>
      <c r="F190" s="63">
        <f>IF($A190="","",SUMIFS(الرواتب_الاستحقاقات,الرواتب_الإدارة,$A190))</f>
        <v/>
      </c>
      <c r="G190" s="63">
        <f>IF($A190="","",SUMIFS(الرواتب_الخصومات,الرواتب_الإدارة,$A190))</f>
        <v/>
      </c>
      <c r="H190" s="63">
        <f>IF($A190="","",SUMIFS(الرواتب_الصافي,الرواتب_الإدارة,$A190))</f>
        <v/>
      </c>
      <c r="I190" s="63">
        <f>IF($A190="","",IFERROR(AVERAGEIFS(الموظفون_الاساسي,الموظفون_الإدارة,$A190),0))</f>
        <v/>
      </c>
    </row>
    <row r="191">
      <c r="A191" s="74">
        <f>IFERROR(INDEX(قائمة_الإدارات,185),"")</f>
        <v/>
      </c>
      <c r="B191" s="44">
        <f>IF($A191="","",COUNTIF(الموظفون_الإدارة,$A191))</f>
        <v/>
      </c>
      <c r="C191" s="44">
        <f>IF($A191="","",COUNTIFS(الموظفون_الإدارة,$A191,الموظفون_الحالة,"نشط"))</f>
        <v/>
      </c>
      <c r="D191" s="60">
        <f>IF($A191="","",SUMIFS(الموظفون_الاساسي,الموظفون_الإدارة,$A191))</f>
        <v/>
      </c>
      <c r="E191" s="60">
        <f>IF($A191="","",SUMIFS(الموظفون_البدلات,الموظفون_الإدارة,$A191))</f>
        <v/>
      </c>
      <c r="F191" s="60">
        <f>IF($A191="","",SUMIFS(الرواتب_الاستحقاقات,الرواتب_الإدارة,$A191))</f>
        <v/>
      </c>
      <c r="G191" s="60">
        <f>IF($A191="","",SUMIFS(الرواتب_الخصومات,الرواتب_الإدارة,$A191))</f>
        <v/>
      </c>
      <c r="H191" s="60">
        <f>IF($A191="","",SUMIFS(الرواتب_الصافي,الرواتب_الإدارة,$A191))</f>
        <v/>
      </c>
      <c r="I191" s="60">
        <f>IF($A191="","",IFERROR(AVERAGEIFS(الموظفون_الاساسي,الموظفون_الإدارة,$A191),0))</f>
        <v/>
      </c>
    </row>
    <row r="192">
      <c r="A192" s="75">
        <f>IFERROR(INDEX(قائمة_الإدارات,186),"")</f>
        <v/>
      </c>
      <c r="B192" s="51">
        <f>IF($A192="","",COUNTIF(الموظفون_الإدارة,$A192))</f>
        <v/>
      </c>
      <c r="C192" s="51">
        <f>IF($A192="","",COUNTIFS(الموظفون_الإدارة,$A192,الموظفون_الحالة,"نشط"))</f>
        <v/>
      </c>
      <c r="D192" s="63">
        <f>IF($A192="","",SUMIFS(الموظفون_الاساسي,الموظفون_الإدارة,$A192))</f>
        <v/>
      </c>
      <c r="E192" s="63">
        <f>IF($A192="","",SUMIFS(الموظفون_البدلات,الموظفون_الإدارة,$A192))</f>
        <v/>
      </c>
      <c r="F192" s="63">
        <f>IF($A192="","",SUMIFS(الرواتب_الاستحقاقات,الرواتب_الإدارة,$A192))</f>
        <v/>
      </c>
      <c r="G192" s="63">
        <f>IF($A192="","",SUMIFS(الرواتب_الخصومات,الرواتب_الإدارة,$A192))</f>
        <v/>
      </c>
      <c r="H192" s="63">
        <f>IF($A192="","",SUMIFS(الرواتب_الصافي,الرواتب_الإدارة,$A192))</f>
        <v/>
      </c>
      <c r="I192" s="63">
        <f>IF($A192="","",IFERROR(AVERAGEIFS(الموظفون_الاساسي,الموظفون_الإدارة,$A192),0))</f>
        <v/>
      </c>
    </row>
    <row r="193">
      <c r="A193" s="74">
        <f>IFERROR(INDEX(قائمة_الإدارات,187),"")</f>
        <v/>
      </c>
      <c r="B193" s="44">
        <f>IF($A193="","",COUNTIF(الموظفون_الإدارة,$A193))</f>
        <v/>
      </c>
      <c r="C193" s="44">
        <f>IF($A193="","",COUNTIFS(الموظفون_الإدارة,$A193,الموظفون_الحالة,"نشط"))</f>
        <v/>
      </c>
      <c r="D193" s="60">
        <f>IF($A193="","",SUMIFS(الموظفون_الاساسي,الموظفون_الإدارة,$A193))</f>
        <v/>
      </c>
      <c r="E193" s="60">
        <f>IF($A193="","",SUMIFS(الموظفون_البدلات,الموظفون_الإدارة,$A193))</f>
        <v/>
      </c>
      <c r="F193" s="60">
        <f>IF($A193="","",SUMIFS(الرواتب_الاستحقاقات,الرواتب_الإدارة,$A193))</f>
        <v/>
      </c>
      <c r="G193" s="60">
        <f>IF($A193="","",SUMIFS(الرواتب_الخصومات,الرواتب_الإدارة,$A193))</f>
        <v/>
      </c>
      <c r="H193" s="60">
        <f>IF($A193="","",SUMIFS(الرواتب_الصافي,الرواتب_الإدارة,$A193))</f>
        <v/>
      </c>
      <c r="I193" s="60">
        <f>IF($A193="","",IFERROR(AVERAGEIFS(الموظفون_الاساسي,الموظفون_الإدارة,$A193),0))</f>
        <v/>
      </c>
    </row>
    <row r="194">
      <c r="A194" s="75">
        <f>IFERROR(INDEX(قائمة_الإدارات,188),"")</f>
        <v/>
      </c>
      <c r="B194" s="51">
        <f>IF($A194="","",COUNTIF(الموظفون_الإدارة,$A194))</f>
        <v/>
      </c>
      <c r="C194" s="51">
        <f>IF($A194="","",COUNTIFS(الموظفون_الإدارة,$A194,الموظفون_الحالة,"نشط"))</f>
        <v/>
      </c>
      <c r="D194" s="63">
        <f>IF($A194="","",SUMIFS(الموظفون_الاساسي,الموظفون_الإدارة,$A194))</f>
        <v/>
      </c>
      <c r="E194" s="63">
        <f>IF($A194="","",SUMIFS(الموظفون_البدلات,الموظفون_الإدارة,$A194))</f>
        <v/>
      </c>
      <c r="F194" s="63">
        <f>IF($A194="","",SUMIFS(الرواتب_الاستحقاقات,الرواتب_الإدارة,$A194))</f>
        <v/>
      </c>
      <c r="G194" s="63">
        <f>IF($A194="","",SUMIFS(الرواتب_الخصومات,الرواتب_الإدارة,$A194))</f>
        <v/>
      </c>
      <c r="H194" s="63">
        <f>IF($A194="","",SUMIFS(الرواتب_الصافي,الرواتب_الإدارة,$A194))</f>
        <v/>
      </c>
      <c r="I194" s="63">
        <f>IF($A194="","",IFERROR(AVERAGEIFS(الموظفون_الاساسي,الموظفون_الإدارة,$A194),0))</f>
        <v/>
      </c>
    </row>
    <row r="195">
      <c r="A195" s="74">
        <f>IFERROR(INDEX(قائمة_الإدارات,189),"")</f>
        <v/>
      </c>
      <c r="B195" s="44">
        <f>IF($A195="","",COUNTIF(الموظفون_الإدارة,$A195))</f>
        <v/>
      </c>
      <c r="C195" s="44">
        <f>IF($A195="","",COUNTIFS(الموظفون_الإدارة,$A195,الموظفون_الحالة,"نشط"))</f>
        <v/>
      </c>
      <c r="D195" s="60">
        <f>IF($A195="","",SUMIFS(الموظفون_الاساسي,الموظفون_الإدارة,$A195))</f>
        <v/>
      </c>
      <c r="E195" s="60">
        <f>IF($A195="","",SUMIFS(الموظفون_البدلات,الموظفون_الإدارة,$A195))</f>
        <v/>
      </c>
      <c r="F195" s="60">
        <f>IF($A195="","",SUMIFS(الرواتب_الاستحقاقات,الرواتب_الإدارة,$A195))</f>
        <v/>
      </c>
      <c r="G195" s="60">
        <f>IF($A195="","",SUMIFS(الرواتب_الخصومات,الرواتب_الإدارة,$A195))</f>
        <v/>
      </c>
      <c r="H195" s="60">
        <f>IF($A195="","",SUMIFS(الرواتب_الصافي,الرواتب_الإدارة,$A195))</f>
        <v/>
      </c>
      <c r="I195" s="60">
        <f>IF($A195="","",IFERROR(AVERAGEIFS(الموظفون_الاساسي,الموظفون_الإدارة,$A195),0))</f>
        <v/>
      </c>
    </row>
    <row r="196">
      <c r="A196" s="75">
        <f>IFERROR(INDEX(قائمة_الإدارات,190),"")</f>
        <v/>
      </c>
      <c r="B196" s="51">
        <f>IF($A196="","",COUNTIF(الموظفون_الإدارة,$A196))</f>
        <v/>
      </c>
      <c r="C196" s="51">
        <f>IF($A196="","",COUNTIFS(الموظفون_الإدارة,$A196,الموظفون_الحالة,"نشط"))</f>
        <v/>
      </c>
      <c r="D196" s="63">
        <f>IF($A196="","",SUMIFS(الموظفون_الاساسي,الموظفون_الإدارة,$A196))</f>
        <v/>
      </c>
      <c r="E196" s="63">
        <f>IF($A196="","",SUMIFS(الموظفون_البدلات,الموظفون_الإدارة,$A196))</f>
        <v/>
      </c>
      <c r="F196" s="63">
        <f>IF($A196="","",SUMIFS(الرواتب_الاستحقاقات,الرواتب_الإدارة,$A196))</f>
        <v/>
      </c>
      <c r="G196" s="63">
        <f>IF($A196="","",SUMIFS(الرواتب_الخصومات,الرواتب_الإدارة,$A196))</f>
        <v/>
      </c>
      <c r="H196" s="63">
        <f>IF($A196="","",SUMIFS(الرواتب_الصافي,الرواتب_الإدارة,$A196))</f>
        <v/>
      </c>
      <c r="I196" s="63">
        <f>IF($A196="","",IFERROR(AVERAGEIFS(الموظفون_الاساسي,الموظفون_الإدارة,$A196),0))</f>
        <v/>
      </c>
    </row>
    <row r="197">
      <c r="A197" s="74">
        <f>IFERROR(INDEX(قائمة_الإدارات,191),"")</f>
        <v/>
      </c>
      <c r="B197" s="44">
        <f>IF($A197="","",COUNTIF(الموظفون_الإدارة,$A197))</f>
        <v/>
      </c>
      <c r="C197" s="44">
        <f>IF($A197="","",COUNTIFS(الموظفون_الإدارة,$A197,الموظفون_الحالة,"نشط"))</f>
        <v/>
      </c>
      <c r="D197" s="60">
        <f>IF($A197="","",SUMIFS(الموظفون_الاساسي,الموظفون_الإدارة,$A197))</f>
        <v/>
      </c>
      <c r="E197" s="60">
        <f>IF($A197="","",SUMIFS(الموظفون_البدلات,الموظفون_الإدارة,$A197))</f>
        <v/>
      </c>
      <c r="F197" s="60">
        <f>IF($A197="","",SUMIFS(الرواتب_الاستحقاقات,الرواتب_الإدارة,$A197))</f>
        <v/>
      </c>
      <c r="G197" s="60">
        <f>IF($A197="","",SUMIFS(الرواتب_الخصومات,الرواتب_الإدارة,$A197))</f>
        <v/>
      </c>
      <c r="H197" s="60">
        <f>IF($A197="","",SUMIFS(الرواتب_الصافي,الرواتب_الإدارة,$A197))</f>
        <v/>
      </c>
      <c r="I197" s="60">
        <f>IF($A197="","",IFERROR(AVERAGEIFS(الموظفون_الاساسي,الموظفون_الإدارة,$A197),0))</f>
        <v/>
      </c>
    </row>
    <row r="198">
      <c r="A198" s="75">
        <f>IFERROR(INDEX(قائمة_الإدارات,192),"")</f>
        <v/>
      </c>
      <c r="B198" s="51">
        <f>IF($A198="","",COUNTIF(الموظفون_الإدارة,$A198))</f>
        <v/>
      </c>
      <c r="C198" s="51">
        <f>IF($A198="","",COUNTIFS(الموظفون_الإدارة,$A198,الموظفون_الحالة,"نشط"))</f>
        <v/>
      </c>
      <c r="D198" s="63">
        <f>IF($A198="","",SUMIFS(الموظفون_الاساسي,الموظفون_الإدارة,$A198))</f>
        <v/>
      </c>
      <c r="E198" s="63">
        <f>IF($A198="","",SUMIFS(الموظفون_البدلات,الموظفون_الإدارة,$A198))</f>
        <v/>
      </c>
      <c r="F198" s="63">
        <f>IF($A198="","",SUMIFS(الرواتب_الاستحقاقات,الرواتب_الإدارة,$A198))</f>
        <v/>
      </c>
      <c r="G198" s="63">
        <f>IF($A198="","",SUMIFS(الرواتب_الخصومات,الرواتب_الإدارة,$A198))</f>
        <v/>
      </c>
      <c r="H198" s="63">
        <f>IF($A198="","",SUMIFS(الرواتب_الصافي,الرواتب_الإدارة,$A198))</f>
        <v/>
      </c>
      <c r="I198" s="63">
        <f>IF($A198="","",IFERROR(AVERAGEIFS(الموظفون_الاساسي,الموظفون_الإدارة,$A198),0))</f>
        <v/>
      </c>
    </row>
    <row r="199">
      <c r="A199" s="74">
        <f>IFERROR(INDEX(قائمة_الإدارات,193),"")</f>
        <v/>
      </c>
      <c r="B199" s="44">
        <f>IF($A199="","",COUNTIF(الموظفون_الإدارة,$A199))</f>
        <v/>
      </c>
      <c r="C199" s="44">
        <f>IF($A199="","",COUNTIFS(الموظفون_الإدارة,$A199,الموظفون_الحالة,"نشط"))</f>
        <v/>
      </c>
      <c r="D199" s="60">
        <f>IF($A199="","",SUMIFS(الموظفون_الاساسي,الموظفون_الإدارة,$A199))</f>
        <v/>
      </c>
      <c r="E199" s="60">
        <f>IF($A199="","",SUMIFS(الموظفون_البدلات,الموظفون_الإدارة,$A199))</f>
        <v/>
      </c>
      <c r="F199" s="60">
        <f>IF($A199="","",SUMIFS(الرواتب_الاستحقاقات,الرواتب_الإدارة,$A199))</f>
        <v/>
      </c>
      <c r="G199" s="60">
        <f>IF($A199="","",SUMIFS(الرواتب_الخصومات,الرواتب_الإدارة,$A199))</f>
        <v/>
      </c>
      <c r="H199" s="60">
        <f>IF($A199="","",SUMIFS(الرواتب_الصافي,الرواتب_الإدارة,$A199))</f>
        <v/>
      </c>
      <c r="I199" s="60">
        <f>IF($A199="","",IFERROR(AVERAGEIFS(الموظفون_الاساسي,الموظفون_الإدارة,$A199),0))</f>
        <v/>
      </c>
    </row>
    <row r="200">
      <c r="A200" s="75">
        <f>IFERROR(INDEX(قائمة_الإدارات,194),"")</f>
        <v/>
      </c>
      <c r="B200" s="51">
        <f>IF($A200="","",COUNTIF(الموظفون_الإدارة,$A200))</f>
        <v/>
      </c>
      <c r="C200" s="51">
        <f>IF($A200="","",COUNTIFS(الموظفون_الإدارة,$A200,الموظفون_الحالة,"نشط"))</f>
        <v/>
      </c>
      <c r="D200" s="63">
        <f>IF($A200="","",SUMIFS(الموظفون_الاساسي,الموظفون_الإدارة,$A200))</f>
        <v/>
      </c>
      <c r="E200" s="63">
        <f>IF($A200="","",SUMIFS(الموظفون_البدلات,الموظفون_الإدارة,$A200))</f>
        <v/>
      </c>
      <c r="F200" s="63">
        <f>IF($A200="","",SUMIFS(الرواتب_الاستحقاقات,الرواتب_الإدارة,$A200))</f>
        <v/>
      </c>
      <c r="G200" s="63">
        <f>IF($A200="","",SUMIFS(الرواتب_الخصومات,الرواتب_الإدارة,$A200))</f>
        <v/>
      </c>
      <c r="H200" s="63">
        <f>IF($A200="","",SUMIFS(الرواتب_الصافي,الرواتب_الإدارة,$A200))</f>
        <v/>
      </c>
      <c r="I200" s="63">
        <f>IF($A200="","",IFERROR(AVERAGEIFS(الموظفون_الاساسي,الموظفون_الإدارة,$A200),0))</f>
        <v/>
      </c>
    </row>
    <row r="201">
      <c r="A201" s="74">
        <f>IFERROR(INDEX(قائمة_الإدارات,195),"")</f>
        <v/>
      </c>
      <c r="B201" s="44">
        <f>IF($A201="","",COUNTIF(الموظفون_الإدارة,$A201))</f>
        <v/>
      </c>
      <c r="C201" s="44">
        <f>IF($A201="","",COUNTIFS(الموظفون_الإدارة,$A201,الموظفون_الحالة,"نشط"))</f>
        <v/>
      </c>
      <c r="D201" s="60">
        <f>IF($A201="","",SUMIFS(الموظفون_الاساسي,الموظفون_الإدارة,$A201))</f>
        <v/>
      </c>
      <c r="E201" s="60">
        <f>IF($A201="","",SUMIFS(الموظفون_البدلات,الموظفون_الإدارة,$A201))</f>
        <v/>
      </c>
      <c r="F201" s="60">
        <f>IF($A201="","",SUMIFS(الرواتب_الاستحقاقات,الرواتب_الإدارة,$A201))</f>
        <v/>
      </c>
      <c r="G201" s="60">
        <f>IF($A201="","",SUMIFS(الرواتب_الخصومات,الرواتب_الإدارة,$A201))</f>
        <v/>
      </c>
      <c r="H201" s="60">
        <f>IF($A201="","",SUMIFS(الرواتب_الصافي,الرواتب_الإدارة,$A201))</f>
        <v/>
      </c>
      <c r="I201" s="60">
        <f>IF($A201="","",IFERROR(AVERAGEIFS(الموظفون_الاساسي,الموظفون_الإدارة,$A201),0))</f>
        <v/>
      </c>
    </row>
    <row r="202">
      <c r="A202" s="75">
        <f>IFERROR(INDEX(قائمة_الإدارات,196),"")</f>
        <v/>
      </c>
      <c r="B202" s="51">
        <f>IF($A202="","",COUNTIF(الموظفون_الإدارة,$A202))</f>
        <v/>
      </c>
      <c r="C202" s="51">
        <f>IF($A202="","",COUNTIFS(الموظفون_الإدارة,$A202,الموظفون_الحالة,"نشط"))</f>
        <v/>
      </c>
      <c r="D202" s="63">
        <f>IF($A202="","",SUMIFS(الموظفون_الاساسي,الموظفون_الإدارة,$A202))</f>
        <v/>
      </c>
      <c r="E202" s="63">
        <f>IF($A202="","",SUMIFS(الموظفون_البدلات,الموظفون_الإدارة,$A202))</f>
        <v/>
      </c>
      <c r="F202" s="63">
        <f>IF($A202="","",SUMIFS(الرواتب_الاستحقاقات,الرواتب_الإدارة,$A202))</f>
        <v/>
      </c>
      <c r="G202" s="63">
        <f>IF($A202="","",SUMIFS(الرواتب_الخصومات,الرواتب_الإدارة,$A202))</f>
        <v/>
      </c>
      <c r="H202" s="63">
        <f>IF($A202="","",SUMIFS(الرواتب_الصافي,الرواتب_الإدارة,$A202))</f>
        <v/>
      </c>
      <c r="I202" s="63">
        <f>IF($A202="","",IFERROR(AVERAGEIFS(الموظفون_الاساسي,الموظفون_الإدارة,$A202),0))</f>
        <v/>
      </c>
    </row>
    <row r="203">
      <c r="A203" s="74">
        <f>IFERROR(INDEX(قائمة_الإدارات,197),"")</f>
        <v/>
      </c>
      <c r="B203" s="44">
        <f>IF($A203="","",COUNTIF(الموظفون_الإدارة,$A203))</f>
        <v/>
      </c>
      <c r="C203" s="44">
        <f>IF($A203="","",COUNTIFS(الموظفون_الإدارة,$A203,الموظفون_الحالة,"نشط"))</f>
        <v/>
      </c>
      <c r="D203" s="60">
        <f>IF($A203="","",SUMIFS(الموظفون_الاساسي,الموظفون_الإدارة,$A203))</f>
        <v/>
      </c>
      <c r="E203" s="60">
        <f>IF($A203="","",SUMIFS(الموظفون_البدلات,الموظفون_الإدارة,$A203))</f>
        <v/>
      </c>
      <c r="F203" s="60">
        <f>IF($A203="","",SUMIFS(الرواتب_الاستحقاقات,الرواتب_الإدارة,$A203))</f>
        <v/>
      </c>
      <c r="G203" s="60">
        <f>IF($A203="","",SUMIFS(الرواتب_الخصومات,الرواتب_الإدارة,$A203))</f>
        <v/>
      </c>
      <c r="H203" s="60">
        <f>IF($A203="","",SUMIFS(الرواتب_الصافي,الرواتب_الإدارة,$A203))</f>
        <v/>
      </c>
      <c r="I203" s="60">
        <f>IF($A203="","",IFERROR(AVERAGEIFS(الموظفون_الاساسي,الموظفون_الإدارة,$A203),0))</f>
        <v/>
      </c>
    </row>
    <row r="204">
      <c r="A204" s="75">
        <f>IFERROR(INDEX(قائمة_الإدارات,198),"")</f>
        <v/>
      </c>
      <c r="B204" s="51">
        <f>IF($A204="","",COUNTIF(الموظفون_الإدارة,$A204))</f>
        <v/>
      </c>
      <c r="C204" s="51">
        <f>IF($A204="","",COUNTIFS(الموظفون_الإدارة,$A204,الموظفون_الحالة,"نشط"))</f>
        <v/>
      </c>
      <c r="D204" s="63">
        <f>IF($A204="","",SUMIFS(الموظفون_الاساسي,الموظفون_الإدارة,$A204))</f>
        <v/>
      </c>
      <c r="E204" s="63">
        <f>IF($A204="","",SUMIFS(الموظفون_البدلات,الموظفون_الإدارة,$A204))</f>
        <v/>
      </c>
      <c r="F204" s="63">
        <f>IF($A204="","",SUMIFS(الرواتب_الاستحقاقات,الرواتب_الإدارة,$A204))</f>
        <v/>
      </c>
      <c r="G204" s="63">
        <f>IF($A204="","",SUMIFS(الرواتب_الخصومات,الرواتب_الإدارة,$A204))</f>
        <v/>
      </c>
      <c r="H204" s="63">
        <f>IF($A204="","",SUMIFS(الرواتب_الصافي,الرواتب_الإدارة,$A204))</f>
        <v/>
      </c>
      <c r="I204" s="63">
        <f>IF($A204="","",IFERROR(AVERAGEIFS(الموظفون_الاساسي,الموظفون_الإدارة,$A204),0))</f>
        <v/>
      </c>
    </row>
    <row r="205">
      <c r="A205" s="74">
        <f>IFERROR(INDEX(قائمة_الإدارات,199),"")</f>
        <v/>
      </c>
      <c r="B205" s="44">
        <f>IF($A205="","",COUNTIF(الموظفون_الإدارة,$A205))</f>
        <v/>
      </c>
      <c r="C205" s="44">
        <f>IF($A205="","",COUNTIFS(الموظفون_الإدارة,$A205,الموظفون_الحالة,"نشط"))</f>
        <v/>
      </c>
      <c r="D205" s="60">
        <f>IF($A205="","",SUMIFS(الموظفون_الاساسي,الموظفون_الإدارة,$A205))</f>
        <v/>
      </c>
      <c r="E205" s="60">
        <f>IF($A205="","",SUMIFS(الموظفون_البدلات,الموظفون_الإدارة,$A205))</f>
        <v/>
      </c>
      <c r="F205" s="60">
        <f>IF($A205="","",SUMIFS(الرواتب_الاستحقاقات,الرواتب_الإدارة,$A205))</f>
        <v/>
      </c>
      <c r="G205" s="60">
        <f>IF($A205="","",SUMIFS(الرواتب_الخصومات,الرواتب_الإدارة,$A205))</f>
        <v/>
      </c>
      <c r="H205" s="60">
        <f>IF($A205="","",SUMIFS(الرواتب_الصافي,الرواتب_الإدارة,$A205))</f>
        <v/>
      </c>
      <c r="I205" s="60">
        <f>IF($A205="","",IFERROR(AVERAGEIFS(الموظفون_الاساسي,الموظفون_الإدارة,$A205),0))</f>
        <v/>
      </c>
    </row>
    <row r="206">
      <c r="A206" s="75">
        <f>IFERROR(INDEX(قائمة_الإدارات,200),"")</f>
        <v/>
      </c>
      <c r="B206" s="51">
        <f>IF($A206="","",COUNTIF(الموظفون_الإدارة,$A206))</f>
        <v/>
      </c>
      <c r="C206" s="51">
        <f>IF($A206="","",COUNTIFS(الموظفون_الإدارة,$A206,الموظفون_الحالة,"نشط"))</f>
        <v/>
      </c>
      <c r="D206" s="63">
        <f>IF($A206="","",SUMIFS(الموظفون_الاساسي,الموظفون_الإدارة,$A206))</f>
        <v/>
      </c>
      <c r="E206" s="63">
        <f>IF($A206="","",SUMIFS(الموظفون_البدلات,الموظفون_الإدارة,$A206))</f>
        <v/>
      </c>
      <c r="F206" s="63">
        <f>IF($A206="","",SUMIFS(الرواتب_الاستحقاقات,الرواتب_الإدارة,$A206))</f>
        <v/>
      </c>
      <c r="G206" s="63">
        <f>IF($A206="","",SUMIFS(الرواتب_الخصومات,الرواتب_الإدارة,$A206))</f>
        <v/>
      </c>
      <c r="H206" s="63">
        <f>IF($A206="","",SUMIFS(الرواتب_الصافي,الرواتب_الإدارة,$A206))</f>
        <v/>
      </c>
      <c r="I206" s="63">
        <f>IF($A206="","",IFERROR(AVERAGEIFS(الموظفون_الاساسي,الموظفون_الإدارة,$A206),0))</f>
        <v/>
      </c>
    </row>
    <row r="207">
      <c r="A207" s="71" t="inlineStr">
        <is>
          <t>الإجمالي</t>
        </is>
      </c>
      <c r="B207" s="73">
        <f>SUM(B7:B206)</f>
        <v/>
      </c>
      <c r="C207" s="73">
        <f>SUM(C7:C206)</f>
        <v/>
      </c>
      <c r="D207" s="73">
        <f>SUM(D7:D206)</f>
        <v/>
      </c>
      <c r="E207" s="73">
        <f>SUM(E7:E206)</f>
        <v/>
      </c>
      <c r="F207" s="73">
        <f>SUM(F7:F206)</f>
        <v/>
      </c>
      <c r="G207" s="73">
        <f>SUM(G7:G206)</f>
        <v/>
      </c>
      <c r="H207" s="73">
        <f>SUM(H7:H206)</f>
        <v/>
      </c>
      <c r="I207" s="7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05"/>
  <mergeCells count="5">
    <mergeCell ref="E3:I3"/>
    <mergeCell ref="A2:I2"/>
    <mergeCell ref="A3:D3"/>
    <mergeCell ref="A1:I1"/>
    <mergeCell ref="A207"/>
  </mergeCells>
  <pageMargins left="0.75" right="0.75" top="1" bottom="1" header="0.5" footer="0.5"/>
  <pageSetup orientation="landscape" paperSize="9" fitToHeight="0" fitToWidth="1"/>
  <headerFooter>
    <oddHeader/>
    <oddFooter>&amp;L&amp;8 نظام إدارة الموارد البشرية&amp;R&amp;8 صفحة &amp;P من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K207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  <col width="12" customWidth="1" min="4" max="4"/>
    <col width="11" customWidth="1" min="5" max="5"/>
    <col width="11" customWidth="1" min="6" max="6"/>
    <col width="12" customWidth="1" min="7" max="7"/>
    <col width="12" customWidth="1" min="8" max="8"/>
    <col width="12" customWidth="1" min="9" max="9"/>
    <col width="11" customWidth="1" min="10" max="10"/>
    <col width="13" customWidth="1" min="11" max="11"/>
  </cols>
  <sheetData>
    <row r="1" ht="30" customHeight="1">
      <c r="A1" s="1">
        <f>اسم_المؤسسة</f>
        <v/>
      </c>
    </row>
    <row r="2" ht="26" customHeight="1">
      <c r="A2" s="65" t="inlineStr">
        <is>
          <t>تقرير الحضور والانصراف</t>
        </is>
      </c>
    </row>
    <row r="3">
      <c r="A3" s="66">
        <f>"تاريخ إعداد التقرير: "&amp;TEXT(TODAY(),"yyyy-mm-dd")</f>
        <v/>
      </c>
      <c r="F3" s="6">
        <f>"السنة المالية: "&amp;السنة_المالية</f>
        <v/>
      </c>
    </row>
    <row r="6" ht="34" customHeight="1">
      <c r="A6" s="67" t="inlineStr">
        <is>
          <t>الرقم الوظيفي</t>
        </is>
      </c>
      <c r="B6" s="67" t="inlineStr">
        <is>
          <t>اسم الموظف</t>
        </is>
      </c>
      <c r="C6" s="67" t="inlineStr">
        <is>
          <t>التاريخ</t>
        </is>
      </c>
      <c r="D6" s="67" t="inlineStr">
        <is>
          <t>يوم الأسبوع</t>
        </is>
      </c>
      <c r="E6" s="67" t="inlineStr">
        <is>
          <t>الحضور</t>
        </is>
      </c>
      <c r="F6" s="67" t="inlineStr">
        <is>
          <t>الانصراف</t>
        </is>
      </c>
      <c r="G6" s="67" t="inlineStr">
        <is>
          <t>ساعات العمل</t>
        </is>
      </c>
      <c r="H6" s="67" t="inlineStr">
        <is>
          <t>ساعات التأخير</t>
        </is>
      </c>
      <c r="I6" s="67" t="inlineStr">
        <is>
          <t>انصراف مبكر</t>
        </is>
      </c>
      <c r="J6" s="67" t="inlineStr">
        <is>
          <t>إضافي</t>
        </is>
      </c>
      <c r="K6" s="67" t="inlineStr">
        <is>
          <t>حالة الدوام</t>
        </is>
      </c>
    </row>
    <row r="7">
      <c r="A7" s="43">
        <f>IFERROR(INDEX('الحضور'!$A$3:$A$502,1),"")</f>
        <v/>
      </c>
      <c r="B7" s="43">
        <f>IFERROR(INDEX('الحضور'!$B$3:$B$502,1),"")</f>
        <v/>
      </c>
      <c r="C7" s="118">
        <f>IFERROR(INDEX('الحضور'!$C$3:$C$502,1),"")</f>
        <v/>
      </c>
      <c r="D7" s="43">
        <f>IFERROR(INDEX('الحضور'!$D$3:$D$502,1),"")</f>
        <v/>
      </c>
      <c r="E7" s="115">
        <f>IFERROR(INDEX('الحضور'!$E$3:$E$502,1),"")</f>
        <v/>
      </c>
      <c r="F7" s="115">
        <f>IFERROR(INDEX('الحضور'!$F$3:$F$502,1),"")</f>
        <v/>
      </c>
      <c r="G7" s="55">
        <f>IFERROR(INDEX('الحضور'!$J$3:$J$502,1),"")</f>
        <v/>
      </c>
      <c r="H7" s="55">
        <f>IFERROR(INDEX('الحضور'!$K$3:$K$502,1),"")</f>
        <v/>
      </c>
      <c r="I7" s="55">
        <f>IFERROR(INDEX('الحضور'!$L$3:$L$502,1),"")</f>
        <v/>
      </c>
      <c r="J7" s="55">
        <f>IFERROR(INDEX('الحضور'!$M$3:$M$502,1),"")</f>
        <v/>
      </c>
      <c r="K7" s="43">
        <f>IFERROR(INDEX('الحضور'!$N$3:$N$502,1),"")</f>
        <v/>
      </c>
    </row>
    <row r="8">
      <c r="A8" s="50">
        <f>IFERROR(INDEX('الحضور'!$A$3:$A$502,2),"")</f>
        <v/>
      </c>
      <c r="B8" s="50">
        <f>IFERROR(INDEX('الحضور'!$B$3:$B$502,2),"")</f>
        <v/>
      </c>
      <c r="C8" s="119">
        <f>IFERROR(INDEX('الحضور'!$C$3:$C$502,2),"")</f>
        <v/>
      </c>
      <c r="D8" s="50">
        <f>IFERROR(INDEX('الحضور'!$D$3:$D$502,2),"")</f>
        <v/>
      </c>
      <c r="E8" s="117">
        <f>IFERROR(INDEX('الحضور'!$E$3:$E$502,2),"")</f>
        <v/>
      </c>
      <c r="F8" s="117">
        <f>IFERROR(INDEX('الحضور'!$F$3:$F$502,2),"")</f>
        <v/>
      </c>
      <c r="G8" s="58">
        <f>IFERROR(INDEX('الحضور'!$J$3:$J$502,2),"")</f>
        <v/>
      </c>
      <c r="H8" s="58">
        <f>IFERROR(INDEX('الحضور'!$K$3:$K$502,2),"")</f>
        <v/>
      </c>
      <c r="I8" s="58">
        <f>IFERROR(INDEX('الحضور'!$L$3:$L$502,2),"")</f>
        <v/>
      </c>
      <c r="J8" s="58">
        <f>IFERROR(INDEX('الحضور'!$M$3:$M$502,2),"")</f>
        <v/>
      </c>
      <c r="K8" s="50">
        <f>IFERROR(INDEX('الحضور'!$N$3:$N$502,2),"")</f>
        <v/>
      </c>
    </row>
    <row r="9">
      <c r="A9" s="43">
        <f>IFERROR(INDEX('الحضور'!$A$3:$A$502,3),"")</f>
        <v/>
      </c>
      <c r="B9" s="43">
        <f>IFERROR(INDEX('الحضور'!$B$3:$B$502,3),"")</f>
        <v/>
      </c>
      <c r="C9" s="118">
        <f>IFERROR(INDEX('الحضور'!$C$3:$C$502,3),"")</f>
        <v/>
      </c>
      <c r="D9" s="43">
        <f>IFERROR(INDEX('الحضور'!$D$3:$D$502,3),"")</f>
        <v/>
      </c>
      <c r="E9" s="115">
        <f>IFERROR(INDEX('الحضور'!$E$3:$E$502,3),"")</f>
        <v/>
      </c>
      <c r="F9" s="115">
        <f>IFERROR(INDEX('الحضور'!$F$3:$F$502,3),"")</f>
        <v/>
      </c>
      <c r="G9" s="55">
        <f>IFERROR(INDEX('الحضور'!$J$3:$J$502,3),"")</f>
        <v/>
      </c>
      <c r="H9" s="55">
        <f>IFERROR(INDEX('الحضور'!$K$3:$K$502,3),"")</f>
        <v/>
      </c>
      <c r="I9" s="55">
        <f>IFERROR(INDEX('الحضور'!$L$3:$L$502,3),"")</f>
        <v/>
      </c>
      <c r="J9" s="55">
        <f>IFERROR(INDEX('الحضور'!$M$3:$M$502,3),"")</f>
        <v/>
      </c>
      <c r="K9" s="43">
        <f>IFERROR(INDEX('الحضور'!$N$3:$N$502,3),"")</f>
        <v/>
      </c>
    </row>
    <row r="10">
      <c r="A10" s="50">
        <f>IFERROR(INDEX('الحضور'!$A$3:$A$502,4),"")</f>
        <v/>
      </c>
      <c r="B10" s="50">
        <f>IFERROR(INDEX('الحضور'!$B$3:$B$502,4),"")</f>
        <v/>
      </c>
      <c r="C10" s="119">
        <f>IFERROR(INDEX('الحضور'!$C$3:$C$502,4),"")</f>
        <v/>
      </c>
      <c r="D10" s="50">
        <f>IFERROR(INDEX('الحضور'!$D$3:$D$502,4),"")</f>
        <v/>
      </c>
      <c r="E10" s="117">
        <f>IFERROR(INDEX('الحضور'!$E$3:$E$502,4),"")</f>
        <v/>
      </c>
      <c r="F10" s="117">
        <f>IFERROR(INDEX('الحضور'!$F$3:$F$502,4),"")</f>
        <v/>
      </c>
      <c r="G10" s="58">
        <f>IFERROR(INDEX('الحضور'!$J$3:$J$502,4),"")</f>
        <v/>
      </c>
      <c r="H10" s="58">
        <f>IFERROR(INDEX('الحضور'!$K$3:$K$502,4),"")</f>
        <v/>
      </c>
      <c r="I10" s="58">
        <f>IFERROR(INDEX('الحضور'!$L$3:$L$502,4),"")</f>
        <v/>
      </c>
      <c r="J10" s="58">
        <f>IFERROR(INDEX('الحضور'!$M$3:$M$502,4),"")</f>
        <v/>
      </c>
      <c r="K10" s="50">
        <f>IFERROR(INDEX('الحضور'!$N$3:$N$502,4),"")</f>
        <v/>
      </c>
    </row>
    <row r="11">
      <c r="A11" s="43">
        <f>IFERROR(INDEX('الحضور'!$A$3:$A$502,5),"")</f>
        <v/>
      </c>
      <c r="B11" s="43">
        <f>IFERROR(INDEX('الحضور'!$B$3:$B$502,5),"")</f>
        <v/>
      </c>
      <c r="C11" s="118">
        <f>IFERROR(INDEX('الحضور'!$C$3:$C$502,5),"")</f>
        <v/>
      </c>
      <c r="D11" s="43">
        <f>IFERROR(INDEX('الحضور'!$D$3:$D$502,5),"")</f>
        <v/>
      </c>
      <c r="E11" s="115">
        <f>IFERROR(INDEX('الحضور'!$E$3:$E$502,5),"")</f>
        <v/>
      </c>
      <c r="F11" s="115">
        <f>IFERROR(INDEX('الحضور'!$F$3:$F$502,5),"")</f>
        <v/>
      </c>
      <c r="G11" s="55">
        <f>IFERROR(INDEX('الحضور'!$J$3:$J$502,5),"")</f>
        <v/>
      </c>
      <c r="H11" s="55">
        <f>IFERROR(INDEX('الحضور'!$K$3:$K$502,5),"")</f>
        <v/>
      </c>
      <c r="I11" s="55">
        <f>IFERROR(INDEX('الحضور'!$L$3:$L$502,5),"")</f>
        <v/>
      </c>
      <c r="J11" s="55">
        <f>IFERROR(INDEX('الحضور'!$M$3:$M$502,5),"")</f>
        <v/>
      </c>
      <c r="K11" s="43">
        <f>IFERROR(INDEX('الحضور'!$N$3:$N$502,5),"")</f>
        <v/>
      </c>
    </row>
    <row r="12">
      <c r="A12" s="50">
        <f>IFERROR(INDEX('الحضور'!$A$3:$A$502,6),"")</f>
        <v/>
      </c>
      <c r="B12" s="50">
        <f>IFERROR(INDEX('الحضور'!$B$3:$B$502,6),"")</f>
        <v/>
      </c>
      <c r="C12" s="119">
        <f>IFERROR(INDEX('الحضور'!$C$3:$C$502,6),"")</f>
        <v/>
      </c>
      <c r="D12" s="50">
        <f>IFERROR(INDEX('الحضور'!$D$3:$D$502,6),"")</f>
        <v/>
      </c>
      <c r="E12" s="117">
        <f>IFERROR(INDEX('الحضور'!$E$3:$E$502,6),"")</f>
        <v/>
      </c>
      <c r="F12" s="117">
        <f>IFERROR(INDEX('الحضور'!$F$3:$F$502,6),"")</f>
        <v/>
      </c>
      <c r="G12" s="58">
        <f>IFERROR(INDEX('الحضور'!$J$3:$J$502,6),"")</f>
        <v/>
      </c>
      <c r="H12" s="58">
        <f>IFERROR(INDEX('الحضور'!$K$3:$K$502,6),"")</f>
        <v/>
      </c>
      <c r="I12" s="58">
        <f>IFERROR(INDEX('الحضور'!$L$3:$L$502,6),"")</f>
        <v/>
      </c>
      <c r="J12" s="58">
        <f>IFERROR(INDEX('الحضور'!$M$3:$M$502,6),"")</f>
        <v/>
      </c>
      <c r="K12" s="50">
        <f>IFERROR(INDEX('الحضور'!$N$3:$N$502,6),"")</f>
        <v/>
      </c>
    </row>
    <row r="13">
      <c r="A13" s="43">
        <f>IFERROR(INDEX('الحضور'!$A$3:$A$502,7),"")</f>
        <v/>
      </c>
      <c r="B13" s="43">
        <f>IFERROR(INDEX('الحضور'!$B$3:$B$502,7),"")</f>
        <v/>
      </c>
      <c r="C13" s="118">
        <f>IFERROR(INDEX('الحضور'!$C$3:$C$502,7),"")</f>
        <v/>
      </c>
      <c r="D13" s="43">
        <f>IFERROR(INDEX('الحضور'!$D$3:$D$502,7),"")</f>
        <v/>
      </c>
      <c r="E13" s="115">
        <f>IFERROR(INDEX('الحضور'!$E$3:$E$502,7),"")</f>
        <v/>
      </c>
      <c r="F13" s="115">
        <f>IFERROR(INDEX('الحضور'!$F$3:$F$502,7),"")</f>
        <v/>
      </c>
      <c r="G13" s="55">
        <f>IFERROR(INDEX('الحضور'!$J$3:$J$502,7),"")</f>
        <v/>
      </c>
      <c r="H13" s="55">
        <f>IFERROR(INDEX('الحضور'!$K$3:$K$502,7),"")</f>
        <v/>
      </c>
      <c r="I13" s="55">
        <f>IFERROR(INDEX('الحضور'!$L$3:$L$502,7),"")</f>
        <v/>
      </c>
      <c r="J13" s="55">
        <f>IFERROR(INDEX('الحضور'!$M$3:$M$502,7),"")</f>
        <v/>
      </c>
      <c r="K13" s="43">
        <f>IFERROR(INDEX('الحضور'!$N$3:$N$502,7),"")</f>
        <v/>
      </c>
    </row>
    <row r="14">
      <c r="A14" s="50">
        <f>IFERROR(INDEX('الحضور'!$A$3:$A$502,8),"")</f>
        <v/>
      </c>
      <c r="B14" s="50">
        <f>IFERROR(INDEX('الحضور'!$B$3:$B$502,8),"")</f>
        <v/>
      </c>
      <c r="C14" s="119">
        <f>IFERROR(INDEX('الحضور'!$C$3:$C$502,8),"")</f>
        <v/>
      </c>
      <c r="D14" s="50">
        <f>IFERROR(INDEX('الحضور'!$D$3:$D$502,8),"")</f>
        <v/>
      </c>
      <c r="E14" s="117">
        <f>IFERROR(INDEX('الحضور'!$E$3:$E$502,8),"")</f>
        <v/>
      </c>
      <c r="F14" s="117">
        <f>IFERROR(INDEX('الحضور'!$F$3:$F$502,8),"")</f>
        <v/>
      </c>
      <c r="G14" s="58">
        <f>IFERROR(INDEX('الحضور'!$J$3:$J$502,8),"")</f>
        <v/>
      </c>
      <c r="H14" s="58">
        <f>IFERROR(INDEX('الحضور'!$K$3:$K$502,8),"")</f>
        <v/>
      </c>
      <c r="I14" s="58">
        <f>IFERROR(INDEX('الحضور'!$L$3:$L$502,8),"")</f>
        <v/>
      </c>
      <c r="J14" s="58">
        <f>IFERROR(INDEX('الحضور'!$M$3:$M$502,8),"")</f>
        <v/>
      </c>
      <c r="K14" s="50">
        <f>IFERROR(INDEX('الحضور'!$N$3:$N$502,8),"")</f>
        <v/>
      </c>
    </row>
    <row r="15">
      <c r="A15" s="43">
        <f>IFERROR(INDEX('الحضور'!$A$3:$A$502,9),"")</f>
        <v/>
      </c>
      <c r="B15" s="43">
        <f>IFERROR(INDEX('الحضور'!$B$3:$B$502,9),"")</f>
        <v/>
      </c>
      <c r="C15" s="118">
        <f>IFERROR(INDEX('الحضور'!$C$3:$C$502,9),"")</f>
        <v/>
      </c>
      <c r="D15" s="43">
        <f>IFERROR(INDEX('الحضور'!$D$3:$D$502,9),"")</f>
        <v/>
      </c>
      <c r="E15" s="115">
        <f>IFERROR(INDEX('الحضور'!$E$3:$E$502,9),"")</f>
        <v/>
      </c>
      <c r="F15" s="115">
        <f>IFERROR(INDEX('الحضور'!$F$3:$F$502,9),"")</f>
        <v/>
      </c>
      <c r="G15" s="55">
        <f>IFERROR(INDEX('الحضور'!$J$3:$J$502,9),"")</f>
        <v/>
      </c>
      <c r="H15" s="55">
        <f>IFERROR(INDEX('الحضور'!$K$3:$K$502,9),"")</f>
        <v/>
      </c>
      <c r="I15" s="55">
        <f>IFERROR(INDEX('الحضور'!$L$3:$L$502,9),"")</f>
        <v/>
      </c>
      <c r="J15" s="55">
        <f>IFERROR(INDEX('الحضور'!$M$3:$M$502,9),"")</f>
        <v/>
      </c>
      <c r="K15" s="43">
        <f>IFERROR(INDEX('الحضور'!$N$3:$N$502,9),"")</f>
        <v/>
      </c>
    </row>
    <row r="16">
      <c r="A16" s="50">
        <f>IFERROR(INDEX('الحضور'!$A$3:$A$502,10),"")</f>
        <v/>
      </c>
      <c r="B16" s="50">
        <f>IFERROR(INDEX('الحضور'!$B$3:$B$502,10),"")</f>
        <v/>
      </c>
      <c r="C16" s="119">
        <f>IFERROR(INDEX('الحضور'!$C$3:$C$502,10),"")</f>
        <v/>
      </c>
      <c r="D16" s="50">
        <f>IFERROR(INDEX('الحضور'!$D$3:$D$502,10),"")</f>
        <v/>
      </c>
      <c r="E16" s="117">
        <f>IFERROR(INDEX('الحضور'!$E$3:$E$502,10),"")</f>
        <v/>
      </c>
      <c r="F16" s="117">
        <f>IFERROR(INDEX('الحضور'!$F$3:$F$502,10),"")</f>
        <v/>
      </c>
      <c r="G16" s="58">
        <f>IFERROR(INDEX('الحضور'!$J$3:$J$502,10),"")</f>
        <v/>
      </c>
      <c r="H16" s="58">
        <f>IFERROR(INDEX('الحضور'!$K$3:$K$502,10),"")</f>
        <v/>
      </c>
      <c r="I16" s="58">
        <f>IFERROR(INDEX('الحضور'!$L$3:$L$502,10),"")</f>
        <v/>
      </c>
      <c r="J16" s="58">
        <f>IFERROR(INDEX('الحضور'!$M$3:$M$502,10),"")</f>
        <v/>
      </c>
      <c r="K16" s="50">
        <f>IFERROR(INDEX('الحضور'!$N$3:$N$502,10),"")</f>
        <v/>
      </c>
    </row>
    <row r="17">
      <c r="A17" s="43">
        <f>IFERROR(INDEX('الحضور'!$A$3:$A$502,11),"")</f>
        <v/>
      </c>
      <c r="B17" s="43">
        <f>IFERROR(INDEX('الحضور'!$B$3:$B$502,11),"")</f>
        <v/>
      </c>
      <c r="C17" s="118">
        <f>IFERROR(INDEX('الحضور'!$C$3:$C$502,11),"")</f>
        <v/>
      </c>
      <c r="D17" s="43">
        <f>IFERROR(INDEX('الحضور'!$D$3:$D$502,11),"")</f>
        <v/>
      </c>
      <c r="E17" s="115">
        <f>IFERROR(INDEX('الحضور'!$E$3:$E$502,11),"")</f>
        <v/>
      </c>
      <c r="F17" s="115">
        <f>IFERROR(INDEX('الحضور'!$F$3:$F$502,11),"")</f>
        <v/>
      </c>
      <c r="G17" s="55">
        <f>IFERROR(INDEX('الحضور'!$J$3:$J$502,11),"")</f>
        <v/>
      </c>
      <c r="H17" s="55">
        <f>IFERROR(INDEX('الحضور'!$K$3:$K$502,11),"")</f>
        <v/>
      </c>
      <c r="I17" s="55">
        <f>IFERROR(INDEX('الحضور'!$L$3:$L$502,11),"")</f>
        <v/>
      </c>
      <c r="J17" s="55">
        <f>IFERROR(INDEX('الحضور'!$M$3:$M$502,11),"")</f>
        <v/>
      </c>
      <c r="K17" s="43">
        <f>IFERROR(INDEX('الحضور'!$N$3:$N$502,11),"")</f>
        <v/>
      </c>
    </row>
    <row r="18">
      <c r="A18" s="50">
        <f>IFERROR(INDEX('الحضور'!$A$3:$A$502,12),"")</f>
        <v/>
      </c>
      <c r="B18" s="50">
        <f>IFERROR(INDEX('الحضور'!$B$3:$B$502,12),"")</f>
        <v/>
      </c>
      <c r="C18" s="119">
        <f>IFERROR(INDEX('الحضور'!$C$3:$C$502,12),"")</f>
        <v/>
      </c>
      <c r="D18" s="50">
        <f>IFERROR(INDEX('الحضور'!$D$3:$D$502,12),"")</f>
        <v/>
      </c>
      <c r="E18" s="117">
        <f>IFERROR(INDEX('الحضور'!$E$3:$E$502,12),"")</f>
        <v/>
      </c>
      <c r="F18" s="117">
        <f>IFERROR(INDEX('الحضور'!$F$3:$F$502,12),"")</f>
        <v/>
      </c>
      <c r="G18" s="58">
        <f>IFERROR(INDEX('الحضور'!$J$3:$J$502,12),"")</f>
        <v/>
      </c>
      <c r="H18" s="58">
        <f>IFERROR(INDEX('الحضور'!$K$3:$K$502,12),"")</f>
        <v/>
      </c>
      <c r="I18" s="58">
        <f>IFERROR(INDEX('الحضور'!$L$3:$L$502,12),"")</f>
        <v/>
      </c>
      <c r="J18" s="58">
        <f>IFERROR(INDEX('الحضور'!$M$3:$M$502,12),"")</f>
        <v/>
      </c>
      <c r="K18" s="50">
        <f>IFERROR(INDEX('الحضور'!$N$3:$N$502,12),"")</f>
        <v/>
      </c>
    </row>
    <row r="19">
      <c r="A19" s="43">
        <f>IFERROR(INDEX('الحضور'!$A$3:$A$502,13),"")</f>
        <v/>
      </c>
      <c r="B19" s="43">
        <f>IFERROR(INDEX('الحضور'!$B$3:$B$502,13),"")</f>
        <v/>
      </c>
      <c r="C19" s="118">
        <f>IFERROR(INDEX('الحضور'!$C$3:$C$502,13),"")</f>
        <v/>
      </c>
      <c r="D19" s="43">
        <f>IFERROR(INDEX('الحضور'!$D$3:$D$502,13),"")</f>
        <v/>
      </c>
      <c r="E19" s="115">
        <f>IFERROR(INDEX('الحضور'!$E$3:$E$502,13),"")</f>
        <v/>
      </c>
      <c r="F19" s="115">
        <f>IFERROR(INDEX('الحضور'!$F$3:$F$502,13),"")</f>
        <v/>
      </c>
      <c r="G19" s="55">
        <f>IFERROR(INDEX('الحضور'!$J$3:$J$502,13),"")</f>
        <v/>
      </c>
      <c r="H19" s="55">
        <f>IFERROR(INDEX('الحضور'!$K$3:$K$502,13),"")</f>
        <v/>
      </c>
      <c r="I19" s="55">
        <f>IFERROR(INDEX('الحضور'!$L$3:$L$502,13),"")</f>
        <v/>
      </c>
      <c r="J19" s="55">
        <f>IFERROR(INDEX('الحضور'!$M$3:$M$502,13),"")</f>
        <v/>
      </c>
      <c r="K19" s="43">
        <f>IFERROR(INDEX('الحضور'!$N$3:$N$502,13),"")</f>
        <v/>
      </c>
    </row>
    <row r="20">
      <c r="A20" s="50">
        <f>IFERROR(INDEX('الحضور'!$A$3:$A$502,14),"")</f>
        <v/>
      </c>
      <c r="B20" s="50">
        <f>IFERROR(INDEX('الحضور'!$B$3:$B$502,14),"")</f>
        <v/>
      </c>
      <c r="C20" s="119">
        <f>IFERROR(INDEX('الحضور'!$C$3:$C$502,14),"")</f>
        <v/>
      </c>
      <c r="D20" s="50">
        <f>IFERROR(INDEX('الحضور'!$D$3:$D$502,14),"")</f>
        <v/>
      </c>
      <c r="E20" s="117">
        <f>IFERROR(INDEX('الحضور'!$E$3:$E$502,14),"")</f>
        <v/>
      </c>
      <c r="F20" s="117">
        <f>IFERROR(INDEX('الحضور'!$F$3:$F$502,14),"")</f>
        <v/>
      </c>
      <c r="G20" s="58">
        <f>IFERROR(INDEX('الحضور'!$J$3:$J$502,14),"")</f>
        <v/>
      </c>
      <c r="H20" s="58">
        <f>IFERROR(INDEX('الحضور'!$K$3:$K$502,14),"")</f>
        <v/>
      </c>
      <c r="I20" s="58">
        <f>IFERROR(INDEX('الحضور'!$L$3:$L$502,14),"")</f>
        <v/>
      </c>
      <c r="J20" s="58">
        <f>IFERROR(INDEX('الحضور'!$M$3:$M$502,14),"")</f>
        <v/>
      </c>
      <c r="K20" s="50">
        <f>IFERROR(INDEX('الحضور'!$N$3:$N$502,14),"")</f>
        <v/>
      </c>
    </row>
    <row r="21">
      <c r="A21" s="43">
        <f>IFERROR(INDEX('الحضور'!$A$3:$A$502,15),"")</f>
        <v/>
      </c>
      <c r="B21" s="43">
        <f>IFERROR(INDEX('الحضور'!$B$3:$B$502,15),"")</f>
        <v/>
      </c>
      <c r="C21" s="118">
        <f>IFERROR(INDEX('الحضور'!$C$3:$C$502,15),"")</f>
        <v/>
      </c>
      <c r="D21" s="43">
        <f>IFERROR(INDEX('الحضور'!$D$3:$D$502,15),"")</f>
        <v/>
      </c>
      <c r="E21" s="115">
        <f>IFERROR(INDEX('الحضور'!$E$3:$E$502,15),"")</f>
        <v/>
      </c>
      <c r="F21" s="115">
        <f>IFERROR(INDEX('الحضور'!$F$3:$F$502,15),"")</f>
        <v/>
      </c>
      <c r="G21" s="55">
        <f>IFERROR(INDEX('الحضور'!$J$3:$J$502,15),"")</f>
        <v/>
      </c>
      <c r="H21" s="55">
        <f>IFERROR(INDEX('الحضور'!$K$3:$K$502,15),"")</f>
        <v/>
      </c>
      <c r="I21" s="55">
        <f>IFERROR(INDEX('الحضور'!$L$3:$L$502,15),"")</f>
        <v/>
      </c>
      <c r="J21" s="55">
        <f>IFERROR(INDEX('الحضور'!$M$3:$M$502,15),"")</f>
        <v/>
      </c>
      <c r="K21" s="43">
        <f>IFERROR(INDEX('الحضور'!$N$3:$N$502,15),"")</f>
        <v/>
      </c>
    </row>
    <row r="22">
      <c r="A22" s="50">
        <f>IFERROR(INDEX('الحضور'!$A$3:$A$502,16),"")</f>
        <v/>
      </c>
      <c r="B22" s="50">
        <f>IFERROR(INDEX('الحضور'!$B$3:$B$502,16),"")</f>
        <v/>
      </c>
      <c r="C22" s="119">
        <f>IFERROR(INDEX('الحضور'!$C$3:$C$502,16),"")</f>
        <v/>
      </c>
      <c r="D22" s="50">
        <f>IFERROR(INDEX('الحضور'!$D$3:$D$502,16),"")</f>
        <v/>
      </c>
      <c r="E22" s="117">
        <f>IFERROR(INDEX('الحضور'!$E$3:$E$502,16),"")</f>
        <v/>
      </c>
      <c r="F22" s="117">
        <f>IFERROR(INDEX('الحضور'!$F$3:$F$502,16),"")</f>
        <v/>
      </c>
      <c r="G22" s="58">
        <f>IFERROR(INDEX('الحضور'!$J$3:$J$502,16),"")</f>
        <v/>
      </c>
      <c r="H22" s="58">
        <f>IFERROR(INDEX('الحضور'!$K$3:$K$502,16),"")</f>
        <v/>
      </c>
      <c r="I22" s="58">
        <f>IFERROR(INDEX('الحضور'!$L$3:$L$502,16),"")</f>
        <v/>
      </c>
      <c r="J22" s="58">
        <f>IFERROR(INDEX('الحضور'!$M$3:$M$502,16),"")</f>
        <v/>
      </c>
      <c r="K22" s="50">
        <f>IFERROR(INDEX('الحضور'!$N$3:$N$502,16),"")</f>
        <v/>
      </c>
    </row>
    <row r="23">
      <c r="A23" s="43">
        <f>IFERROR(INDEX('الحضور'!$A$3:$A$502,17),"")</f>
        <v/>
      </c>
      <c r="B23" s="43">
        <f>IFERROR(INDEX('الحضور'!$B$3:$B$502,17),"")</f>
        <v/>
      </c>
      <c r="C23" s="118">
        <f>IFERROR(INDEX('الحضور'!$C$3:$C$502,17),"")</f>
        <v/>
      </c>
      <c r="D23" s="43">
        <f>IFERROR(INDEX('الحضور'!$D$3:$D$502,17),"")</f>
        <v/>
      </c>
      <c r="E23" s="115">
        <f>IFERROR(INDEX('الحضور'!$E$3:$E$502,17),"")</f>
        <v/>
      </c>
      <c r="F23" s="115">
        <f>IFERROR(INDEX('الحضور'!$F$3:$F$502,17),"")</f>
        <v/>
      </c>
      <c r="G23" s="55">
        <f>IFERROR(INDEX('الحضور'!$J$3:$J$502,17),"")</f>
        <v/>
      </c>
      <c r="H23" s="55">
        <f>IFERROR(INDEX('الحضور'!$K$3:$K$502,17),"")</f>
        <v/>
      </c>
      <c r="I23" s="55">
        <f>IFERROR(INDEX('الحضور'!$L$3:$L$502,17),"")</f>
        <v/>
      </c>
      <c r="J23" s="55">
        <f>IFERROR(INDEX('الحضور'!$M$3:$M$502,17),"")</f>
        <v/>
      </c>
      <c r="K23" s="43">
        <f>IFERROR(INDEX('الحضور'!$N$3:$N$502,17),"")</f>
        <v/>
      </c>
    </row>
    <row r="24">
      <c r="A24" s="50">
        <f>IFERROR(INDEX('الحضور'!$A$3:$A$502,18),"")</f>
        <v/>
      </c>
      <c r="B24" s="50">
        <f>IFERROR(INDEX('الحضور'!$B$3:$B$502,18),"")</f>
        <v/>
      </c>
      <c r="C24" s="119">
        <f>IFERROR(INDEX('الحضور'!$C$3:$C$502,18),"")</f>
        <v/>
      </c>
      <c r="D24" s="50">
        <f>IFERROR(INDEX('الحضور'!$D$3:$D$502,18),"")</f>
        <v/>
      </c>
      <c r="E24" s="117">
        <f>IFERROR(INDEX('الحضور'!$E$3:$E$502,18),"")</f>
        <v/>
      </c>
      <c r="F24" s="117">
        <f>IFERROR(INDEX('الحضور'!$F$3:$F$502,18),"")</f>
        <v/>
      </c>
      <c r="G24" s="58">
        <f>IFERROR(INDEX('الحضور'!$J$3:$J$502,18),"")</f>
        <v/>
      </c>
      <c r="H24" s="58">
        <f>IFERROR(INDEX('الحضور'!$K$3:$K$502,18),"")</f>
        <v/>
      </c>
      <c r="I24" s="58">
        <f>IFERROR(INDEX('الحضور'!$L$3:$L$502,18),"")</f>
        <v/>
      </c>
      <c r="J24" s="58">
        <f>IFERROR(INDEX('الحضور'!$M$3:$M$502,18),"")</f>
        <v/>
      </c>
      <c r="K24" s="50">
        <f>IFERROR(INDEX('الحضور'!$N$3:$N$502,18),"")</f>
        <v/>
      </c>
    </row>
    <row r="25">
      <c r="A25" s="43">
        <f>IFERROR(INDEX('الحضور'!$A$3:$A$502,19),"")</f>
        <v/>
      </c>
      <c r="B25" s="43">
        <f>IFERROR(INDEX('الحضور'!$B$3:$B$502,19),"")</f>
        <v/>
      </c>
      <c r="C25" s="118">
        <f>IFERROR(INDEX('الحضور'!$C$3:$C$502,19),"")</f>
        <v/>
      </c>
      <c r="D25" s="43">
        <f>IFERROR(INDEX('الحضور'!$D$3:$D$502,19),"")</f>
        <v/>
      </c>
      <c r="E25" s="115">
        <f>IFERROR(INDEX('الحضور'!$E$3:$E$502,19),"")</f>
        <v/>
      </c>
      <c r="F25" s="115">
        <f>IFERROR(INDEX('الحضور'!$F$3:$F$502,19),"")</f>
        <v/>
      </c>
      <c r="G25" s="55">
        <f>IFERROR(INDEX('الحضور'!$J$3:$J$502,19),"")</f>
        <v/>
      </c>
      <c r="H25" s="55">
        <f>IFERROR(INDEX('الحضور'!$K$3:$K$502,19),"")</f>
        <v/>
      </c>
      <c r="I25" s="55">
        <f>IFERROR(INDEX('الحضور'!$L$3:$L$502,19),"")</f>
        <v/>
      </c>
      <c r="J25" s="55">
        <f>IFERROR(INDEX('الحضور'!$M$3:$M$502,19),"")</f>
        <v/>
      </c>
      <c r="K25" s="43">
        <f>IFERROR(INDEX('الحضور'!$N$3:$N$502,19),"")</f>
        <v/>
      </c>
    </row>
    <row r="26">
      <c r="A26" s="50">
        <f>IFERROR(INDEX('الحضور'!$A$3:$A$502,20),"")</f>
        <v/>
      </c>
      <c r="B26" s="50">
        <f>IFERROR(INDEX('الحضور'!$B$3:$B$502,20),"")</f>
        <v/>
      </c>
      <c r="C26" s="119">
        <f>IFERROR(INDEX('الحضور'!$C$3:$C$502,20),"")</f>
        <v/>
      </c>
      <c r="D26" s="50">
        <f>IFERROR(INDEX('الحضور'!$D$3:$D$502,20),"")</f>
        <v/>
      </c>
      <c r="E26" s="117">
        <f>IFERROR(INDEX('الحضور'!$E$3:$E$502,20),"")</f>
        <v/>
      </c>
      <c r="F26" s="117">
        <f>IFERROR(INDEX('الحضور'!$F$3:$F$502,20),"")</f>
        <v/>
      </c>
      <c r="G26" s="58">
        <f>IFERROR(INDEX('الحضور'!$J$3:$J$502,20),"")</f>
        <v/>
      </c>
      <c r="H26" s="58">
        <f>IFERROR(INDEX('الحضور'!$K$3:$K$502,20),"")</f>
        <v/>
      </c>
      <c r="I26" s="58">
        <f>IFERROR(INDEX('الحضور'!$L$3:$L$502,20),"")</f>
        <v/>
      </c>
      <c r="J26" s="58">
        <f>IFERROR(INDEX('الحضور'!$M$3:$M$502,20),"")</f>
        <v/>
      </c>
      <c r="K26" s="50">
        <f>IFERROR(INDEX('الحضور'!$N$3:$N$502,20),"")</f>
        <v/>
      </c>
    </row>
    <row r="27">
      <c r="A27" s="43">
        <f>IFERROR(INDEX('الحضور'!$A$3:$A$502,21),"")</f>
        <v/>
      </c>
      <c r="B27" s="43">
        <f>IFERROR(INDEX('الحضور'!$B$3:$B$502,21),"")</f>
        <v/>
      </c>
      <c r="C27" s="118">
        <f>IFERROR(INDEX('الحضور'!$C$3:$C$502,21),"")</f>
        <v/>
      </c>
      <c r="D27" s="43">
        <f>IFERROR(INDEX('الحضور'!$D$3:$D$502,21),"")</f>
        <v/>
      </c>
      <c r="E27" s="115">
        <f>IFERROR(INDEX('الحضور'!$E$3:$E$502,21),"")</f>
        <v/>
      </c>
      <c r="F27" s="115">
        <f>IFERROR(INDEX('الحضور'!$F$3:$F$502,21),"")</f>
        <v/>
      </c>
      <c r="G27" s="55">
        <f>IFERROR(INDEX('الحضور'!$J$3:$J$502,21),"")</f>
        <v/>
      </c>
      <c r="H27" s="55">
        <f>IFERROR(INDEX('الحضور'!$K$3:$K$502,21),"")</f>
        <v/>
      </c>
      <c r="I27" s="55">
        <f>IFERROR(INDEX('الحضور'!$L$3:$L$502,21),"")</f>
        <v/>
      </c>
      <c r="J27" s="55">
        <f>IFERROR(INDEX('الحضور'!$M$3:$M$502,21),"")</f>
        <v/>
      </c>
      <c r="K27" s="43">
        <f>IFERROR(INDEX('الحضور'!$N$3:$N$502,21),"")</f>
        <v/>
      </c>
    </row>
    <row r="28">
      <c r="A28" s="50">
        <f>IFERROR(INDEX('الحضور'!$A$3:$A$502,22),"")</f>
        <v/>
      </c>
      <c r="B28" s="50">
        <f>IFERROR(INDEX('الحضور'!$B$3:$B$502,22),"")</f>
        <v/>
      </c>
      <c r="C28" s="119">
        <f>IFERROR(INDEX('الحضور'!$C$3:$C$502,22),"")</f>
        <v/>
      </c>
      <c r="D28" s="50">
        <f>IFERROR(INDEX('الحضور'!$D$3:$D$502,22),"")</f>
        <v/>
      </c>
      <c r="E28" s="117">
        <f>IFERROR(INDEX('الحضور'!$E$3:$E$502,22),"")</f>
        <v/>
      </c>
      <c r="F28" s="117">
        <f>IFERROR(INDEX('الحضور'!$F$3:$F$502,22),"")</f>
        <v/>
      </c>
      <c r="G28" s="58">
        <f>IFERROR(INDEX('الحضور'!$J$3:$J$502,22),"")</f>
        <v/>
      </c>
      <c r="H28" s="58">
        <f>IFERROR(INDEX('الحضور'!$K$3:$K$502,22),"")</f>
        <v/>
      </c>
      <c r="I28" s="58">
        <f>IFERROR(INDEX('الحضور'!$L$3:$L$502,22),"")</f>
        <v/>
      </c>
      <c r="J28" s="58">
        <f>IFERROR(INDEX('الحضور'!$M$3:$M$502,22),"")</f>
        <v/>
      </c>
      <c r="K28" s="50">
        <f>IFERROR(INDEX('الحضور'!$N$3:$N$502,22),"")</f>
        <v/>
      </c>
    </row>
    <row r="29">
      <c r="A29" s="43">
        <f>IFERROR(INDEX('الحضور'!$A$3:$A$502,23),"")</f>
        <v/>
      </c>
      <c r="B29" s="43">
        <f>IFERROR(INDEX('الحضور'!$B$3:$B$502,23),"")</f>
        <v/>
      </c>
      <c r="C29" s="118">
        <f>IFERROR(INDEX('الحضور'!$C$3:$C$502,23),"")</f>
        <v/>
      </c>
      <c r="D29" s="43">
        <f>IFERROR(INDEX('الحضور'!$D$3:$D$502,23),"")</f>
        <v/>
      </c>
      <c r="E29" s="115">
        <f>IFERROR(INDEX('الحضور'!$E$3:$E$502,23),"")</f>
        <v/>
      </c>
      <c r="F29" s="115">
        <f>IFERROR(INDEX('الحضور'!$F$3:$F$502,23),"")</f>
        <v/>
      </c>
      <c r="G29" s="55">
        <f>IFERROR(INDEX('الحضور'!$J$3:$J$502,23),"")</f>
        <v/>
      </c>
      <c r="H29" s="55">
        <f>IFERROR(INDEX('الحضور'!$K$3:$K$502,23),"")</f>
        <v/>
      </c>
      <c r="I29" s="55">
        <f>IFERROR(INDEX('الحضور'!$L$3:$L$502,23),"")</f>
        <v/>
      </c>
      <c r="J29" s="55">
        <f>IFERROR(INDEX('الحضور'!$M$3:$M$502,23),"")</f>
        <v/>
      </c>
      <c r="K29" s="43">
        <f>IFERROR(INDEX('الحضور'!$N$3:$N$502,23),"")</f>
        <v/>
      </c>
    </row>
    <row r="30">
      <c r="A30" s="50">
        <f>IFERROR(INDEX('الحضور'!$A$3:$A$502,24),"")</f>
        <v/>
      </c>
      <c r="B30" s="50">
        <f>IFERROR(INDEX('الحضور'!$B$3:$B$502,24),"")</f>
        <v/>
      </c>
      <c r="C30" s="119">
        <f>IFERROR(INDEX('الحضور'!$C$3:$C$502,24),"")</f>
        <v/>
      </c>
      <c r="D30" s="50">
        <f>IFERROR(INDEX('الحضور'!$D$3:$D$502,24),"")</f>
        <v/>
      </c>
      <c r="E30" s="117">
        <f>IFERROR(INDEX('الحضور'!$E$3:$E$502,24),"")</f>
        <v/>
      </c>
      <c r="F30" s="117">
        <f>IFERROR(INDEX('الحضور'!$F$3:$F$502,24),"")</f>
        <v/>
      </c>
      <c r="G30" s="58">
        <f>IFERROR(INDEX('الحضور'!$J$3:$J$502,24),"")</f>
        <v/>
      </c>
      <c r="H30" s="58">
        <f>IFERROR(INDEX('الحضور'!$K$3:$K$502,24),"")</f>
        <v/>
      </c>
      <c r="I30" s="58">
        <f>IFERROR(INDEX('الحضور'!$L$3:$L$502,24),"")</f>
        <v/>
      </c>
      <c r="J30" s="58">
        <f>IFERROR(INDEX('الحضور'!$M$3:$M$502,24),"")</f>
        <v/>
      </c>
      <c r="K30" s="50">
        <f>IFERROR(INDEX('الحضور'!$N$3:$N$502,24),"")</f>
        <v/>
      </c>
    </row>
    <row r="31">
      <c r="A31" s="43">
        <f>IFERROR(INDEX('الحضور'!$A$3:$A$502,25),"")</f>
        <v/>
      </c>
      <c r="B31" s="43">
        <f>IFERROR(INDEX('الحضور'!$B$3:$B$502,25),"")</f>
        <v/>
      </c>
      <c r="C31" s="118">
        <f>IFERROR(INDEX('الحضور'!$C$3:$C$502,25),"")</f>
        <v/>
      </c>
      <c r="D31" s="43">
        <f>IFERROR(INDEX('الحضور'!$D$3:$D$502,25),"")</f>
        <v/>
      </c>
      <c r="E31" s="115">
        <f>IFERROR(INDEX('الحضور'!$E$3:$E$502,25),"")</f>
        <v/>
      </c>
      <c r="F31" s="115">
        <f>IFERROR(INDEX('الحضور'!$F$3:$F$502,25),"")</f>
        <v/>
      </c>
      <c r="G31" s="55">
        <f>IFERROR(INDEX('الحضور'!$J$3:$J$502,25),"")</f>
        <v/>
      </c>
      <c r="H31" s="55">
        <f>IFERROR(INDEX('الحضور'!$K$3:$K$502,25),"")</f>
        <v/>
      </c>
      <c r="I31" s="55">
        <f>IFERROR(INDEX('الحضور'!$L$3:$L$502,25),"")</f>
        <v/>
      </c>
      <c r="J31" s="55">
        <f>IFERROR(INDEX('الحضور'!$M$3:$M$502,25),"")</f>
        <v/>
      </c>
      <c r="K31" s="43">
        <f>IFERROR(INDEX('الحضور'!$N$3:$N$502,25),"")</f>
        <v/>
      </c>
    </row>
    <row r="32">
      <c r="A32" s="50">
        <f>IFERROR(INDEX('الحضور'!$A$3:$A$502,26),"")</f>
        <v/>
      </c>
      <c r="B32" s="50">
        <f>IFERROR(INDEX('الحضور'!$B$3:$B$502,26),"")</f>
        <v/>
      </c>
      <c r="C32" s="119">
        <f>IFERROR(INDEX('الحضور'!$C$3:$C$502,26),"")</f>
        <v/>
      </c>
      <c r="D32" s="50">
        <f>IFERROR(INDEX('الحضور'!$D$3:$D$502,26),"")</f>
        <v/>
      </c>
      <c r="E32" s="117">
        <f>IFERROR(INDEX('الحضور'!$E$3:$E$502,26),"")</f>
        <v/>
      </c>
      <c r="F32" s="117">
        <f>IFERROR(INDEX('الحضور'!$F$3:$F$502,26),"")</f>
        <v/>
      </c>
      <c r="G32" s="58">
        <f>IFERROR(INDEX('الحضور'!$J$3:$J$502,26),"")</f>
        <v/>
      </c>
      <c r="H32" s="58">
        <f>IFERROR(INDEX('الحضور'!$K$3:$K$502,26),"")</f>
        <v/>
      </c>
      <c r="I32" s="58">
        <f>IFERROR(INDEX('الحضور'!$L$3:$L$502,26),"")</f>
        <v/>
      </c>
      <c r="J32" s="58">
        <f>IFERROR(INDEX('الحضور'!$M$3:$M$502,26),"")</f>
        <v/>
      </c>
      <c r="K32" s="50">
        <f>IFERROR(INDEX('الحضور'!$N$3:$N$502,26),"")</f>
        <v/>
      </c>
    </row>
    <row r="33">
      <c r="A33" s="43">
        <f>IFERROR(INDEX('الحضور'!$A$3:$A$502,27),"")</f>
        <v/>
      </c>
      <c r="B33" s="43">
        <f>IFERROR(INDEX('الحضور'!$B$3:$B$502,27),"")</f>
        <v/>
      </c>
      <c r="C33" s="118">
        <f>IFERROR(INDEX('الحضور'!$C$3:$C$502,27),"")</f>
        <v/>
      </c>
      <c r="D33" s="43">
        <f>IFERROR(INDEX('الحضور'!$D$3:$D$502,27),"")</f>
        <v/>
      </c>
      <c r="E33" s="115">
        <f>IFERROR(INDEX('الحضور'!$E$3:$E$502,27),"")</f>
        <v/>
      </c>
      <c r="F33" s="115">
        <f>IFERROR(INDEX('الحضور'!$F$3:$F$502,27),"")</f>
        <v/>
      </c>
      <c r="G33" s="55">
        <f>IFERROR(INDEX('الحضور'!$J$3:$J$502,27),"")</f>
        <v/>
      </c>
      <c r="H33" s="55">
        <f>IFERROR(INDEX('الحضور'!$K$3:$K$502,27),"")</f>
        <v/>
      </c>
      <c r="I33" s="55">
        <f>IFERROR(INDEX('الحضور'!$L$3:$L$502,27),"")</f>
        <v/>
      </c>
      <c r="J33" s="55">
        <f>IFERROR(INDEX('الحضور'!$M$3:$M$502,27),"")</f>
        <v/>
      </c>
      <c r="K33" s="43">
        <f>IFERROR(INDEX('الحضور'!$N$3:$N$502,27),"")</f>
        <v/>
      </c>
    </row>
    <row r="34">
      <c r="A34" s="50">
        <f>IFERROR(INDEX('الحضور'!$A$3:$A$502,28),"")</f>
        <v/>
      </c>
      <c r="B34" s="50">
        <f>IFERROR(INDEX('الحضور'!$B$3:$B$502,28),"")</f>
        <v/>
      </c>
      <c r="C34" s="119">
        <f>IFERROR(INDEX('الحضور'!$C$3:$C$502,28),"")</f>
        <v/>
      </c>
      <c r="D34" s="50">
        <f>IFERROR(INDEX('الحضور'!$D$3:$D$502,28),"")</f>
        <v/>
      </c>
      <c r="E34" s="117">
        <f>IFERROR(INDEX('الحضور'!$E$3:$E$502,28),"")</f>
        <v/>
      </c>
      <c r="F34" s="117">
        <f>IFERROR(INDEX('الحضور'!$F$3:$F$502,28),"")</f>
        <v/>
      </c>
      <c r="G34" s="58">
        <f>IFERROR(INDEX('الحضور'!$J$3:$J$502,28),"")</f>
        <v/>
      </c>
      <c r="H34" s="58">
        <f>IFERROR(INDEX('الحضور'!$K$3:$K$502,28),"")</f>
        <v/>
      </c>
      <c r="I34" s="58">
        <f>IFERROR(INDEX('الحضور'!$L$3:$L$502,28),"")</f>
        <v/>
      </c>
      <c r="J34" s="58">
        <f>IFERROR(INDEX('الحضور'!$M$3:$M$502,28),"")</f>
        <v/>
      </c>
      <c r="K34" s="50">
        <f>IFERROR(INDEX('الحضور'!$N$3:$N$502,28),"")</f>
        <v/>
      </c>
    </row>
    <row r="35">
      <c r="A35" s="43">
        <f>IFERROR(INDEX('الحضور'!$A$3:$A$502,29),"")</f>
        <v/>
      </c>
      <c r="B35" s="43">
        <f>IFERROR(INDEX('الحضور'!$B$3:$B$502,29),"")</f>
        <v/>
      </c>
      <c r="C35" s="118">
        <f>IFERROR(INDEX('الحضور'!$C$3:$C$502,29),"")</f>
        <v/>
      </c>
      <c r="D35" s="43">
        <f>IFERROR(INDEX('الحضور'!$D$3:$D$502,29),"")</f>
        <v/>
      </c>
      <c r="E35" s="115">
        <f>IFERROR(INDEX('الحضور'!$E$3:$E$502,29),"")</f>
        <v/>
      </c>
      <c r="F35" s="115">
        <f>IFERROR(INDEX('الحضور'!$F$3:$F$502,29),"")</f>
        <v/>
      </c>
      <c r="G35" s="55">
        <f>IFERROR(INDEX('الحضور'!$J$3:$J$502,29),"")</f>
        <v/>
      </c>
      <c r="H35" s="55">
        <f>IFERROR(INDEX('الحضور'!$K$3:$K$502,29),"")</f>
        <v/>
      </c>
      <c r="I35" s="55">
        <f>IFERROR(INDEX('الحضور'!$L$3:$L$502,29),"")</f>
        <v/>
      </c>
      <c r="J35" s="55">
        <f>IFERROR(INDEX('الحضور'!$M$3:$M$502,29),"")</f>
        <v/>
      </c>
      <c r="K35" s="43">
        <f>IFERROR(INDEX('الحضور'!$N$3:$N$502,29),"")</f>
        <v/>
      </c>
    </row>
    <row r="36">
      <c r="A36" s="50">
        <f>IFERROR(INDEX('الحضور'!$A$3:$A$502,30),"")</f>
        <v/>
      </c>
      <c r="B36" s="50">
        <f>IFERROR(INDEX('الحضور'!$B$3:$B$502,30),"")</f>
        <v/>
      </c>
      <c r="C36" s="119">
        <f>IFERROR(INDEX('الحضور'!$C$3:$C$502,30),"")</f>
        <v/>
      </c>
      <c r="D36" s="50">
        <f>IFERROR(INDEX('الحضور'!$D$3:$D$502,30),"")</f>
        <v/>
      </c>
      <c r="E36" s="117">
        <f>IFERROR(INDEX('الحضور'!$E$3:$E$502,30),"")</f>
        <v/>
      </c>
      <c r="F36" s="117">
        <f>IFERROR(INDEX('الحضور'!$F$3:$F$502,30),"")</f>
        <v/>
      </c>
      <c r="G36" s="58">
        <f>IFERROR(INDEX('الحضور'!$J$3:$J$502,30),"")</f>
        <v/>
      </c>
      <c r="H36" s="58">
        <f>IFERROR(INDEX('الحضور'!$K$3:$K$502,30),"")</f>
        <v/>
      </c>
      <c r="I36" s="58">
        <f>IFERROR(INDEX('الحضور'!$L$3:$L$502,30),"")</f>
        <v/>
      </c>
      <c r="J36" s="58">
        <f>IFERROR(INDEX('الحضور'!$M$3:$M$502,30),"")</f>
        <v/>
      </c>
      <c r="K36" s="50">
        <f>IFERROR(INDEX('الحضور'!$N$3:$N$502,30),"")</f>
        <v/>
      </c>
    </row>
    <row r="37">
      <c r="A37" s="43">
        <f>IFERROR(INDEX('الحضور'!$A$3:$A$502,31),"")</f>
        <v/>
      </c>
      <c r="B37" s="43">
        <f>IFERROR(INDEX('الحضور'!$B$3:$B$502,31),"")</f>
        <v/>
      </c>
      <c r="C37" s="118">
        <f>IFERROR(INDEX('الحضور'!$C$3:$C$502,31),"")</f>
        <v/>
      </c>
      <c r="D37" s="43">
        <f>IFERROR(INDEX('الحضور'!$D$3:$D$502,31),"")</f>
        <v/>
      </c>
      <c r="E37" s="115">
        <f>IFERROR(INDEX('الحضور'!$E$3:$E$502,31),"")</f>
        <v/>
      </c>
      <c r="F37" s="115">
        <f>IFERROR(INDEX('الحضور'!$F$3:$F$502,31),"")</f>
        <v/>
      </c>
      <c r="G37" s="55">
        <f>IFERROR(INDEX('الحضور'!$J$3:$J$502,31),"")</f>
        <v/>
      </c>
      <c r="H37" s="55">
        <f>IFERROR(INDEX('الحضور'!$K$3:$K$502,31),"")</f>
        <v/>
      </c>
      <c r="I37" s="55">
        <f>IFERROR(INDEX('الحضور'!$L$3:$L$502,31),"")</f>
        <v/>
      </c>
      <c r="J37" s="55">
        <f>IFERROR(INDEX('الحضور'!$M$3:$M$502,31),"")</f>
        <v/>
      </c>
      <c r="K37" s="43">
        <f>IFERROR(INDEX('الحضور'!$N$3:$N$502,31),"")</f>
        <v/>
      </c>
    </row>
    <row r="38">
      <c r="A38" s="50">
        <f>IFERROR(INDEX('الحضور'!$A$3:$A$502,32),"")</f>
        <v/>
      </c>
      <c r="B38" s="50">
        <f>IFERROR(INDEX('الحضور'!$B$3:$B$502,32),"")</f>
        <v/>
      </c>
      <c r="C38" s="119">
        <f>IFERROR(INDEX('الحضور'!$C$3:$C$502,32),"")</f>
        <v/>
      </c>
      <c r="D38" s="50">
        <f>IFERROR(INDEX('الحضور'!$D$3:$D$502,32),"")</f>
        <v/>
      </c>
      <c r="E38" s="117">
        <f>IFERROR(INDEX('الحضور'!$E$3:$E$502,32),"")</f>
        <v/>
      </c>
      <c r="F38" s="117">
        <f>IFERROR(INDEX('الحضور'!$F$3:$F$502,32),"")</f>
        <v/>
      </c>
      <c r="G38" s="58">
        <f>IFERROR(INDEX('الحضور'!$J$3:$J$502,32),"")</f>
        <v/>
      </c>
      <c r="H38" s="58">
        <f>IFERROR(INDEX('الحضور'!$K$3:$K$502,32),"")</f>
        <v/>
      </c>
      <c r="I38" s="58">
        <f>IFERROR(INDEX('الحضور'!$L$3:$L$502,32),"")</f>
        <v/>
      </c>
      <c r="J38" s="58">
        <f>IFERROR(INDEX('الحضور'!$M$3:$M$502,32),"")</f>
        <v/>
      </c>
      <c r="K38" s="50">
        <f>IFERROR(INDEX('الحضور'!$N$3:$N$502,32),"")</f>
        <v/>
      </c>
    </row>
    <row r="39">
      <c r="A39" s="43">
        <f>IFERROR(INDEX('الحضور'!$A$3:$A$502,33),"")</f>
        <v/>
      </c>
      <c r="B39" s="43">
        <f>IFERROR(INDEX('الحضور'!$B$3:$B$502,33),"")</f>
        <v/>
      </c>
      <c r="C39" s="118">
        <f>IFERROR(INDEX('الحضور'!$C$3:$C$502,33),"")</f>
        <v/>
      </c>
      <c r="D39" s="43">
        <f>IFERROR(INDEX('الحضور'!$D$3:$D$502,33),"")</f>
        <v/>
      </c>
      <c r="E39" s="115">
        <f>IFERROR(INDEX('الحضور'!$E$3:$E$502,33),"")</f>
        <v/>
      </c>
      <c r="F39" s="115">
        <f>IFERROR(INDEX('الحضور'!$F$3:$F$502,33),"")</f>
        <v/>
      </c>
      <c r="G39" s="55">
        <f>IFERROR(INDEX('الحضور'!$J$3:$J$502,33),"")</f>
        <v/>
      </c>
      <c r="H39" s="55">
        <f>IFERROR(INDEX('الحضور'!$K$3:$K$502,33),"")</f>
        <v/>
      </c>
      <c r="I39" s="55">
        <f>IFERROR(INDEX('الحضور'!$L$3:$L$502,33),"")</f>
        <v/>
      </c>
      <c r="J39" s="55">
        <f>IFERROR(INDEX('الحضور'!$M$3:$M$502,33),"")</f>
        <v/>
      </c>
      <c r="K39" s="43">
        <f>IFERROR(INDEX('الحضور'!$N$3:$N$502,33),"")</f>
        <v/>
      </c>
    </row>
    <row r="40">
      <c r="A40" s="50">
        <f>IFERROR(INDEX('الحضور'!$A$3:$A$502,34),"")</f>
        <v/>
      </c>
      <c r="B40" s="50">
        <f>IFERROR(INDEX('الحضور'!$B$3:$B$502,34),"")</f>
        <v/>
      </c>
      <c r="C40" s="119">
        <f>IFERROR(INDEX('الحضور'!$C$3:$C$502,34),"")</f>
        <v/>
      </c>
      <c r="D40" s="50">
        <f>IFERROR(INDEX('الحضور'!$D$3:$D$502,34),"")</f>
        <v/>
      </c>
      <c r="E40" s="117">
        <f>IFERROR(INDEX('الحضور'!$E$3:$E$502,34),"")</f>
        <v/>
      </c>
      <c r="F40" s="117">
        <f>IFERROR(INDEX('الحضور'!$F$3:$F$502,34),"")</f>
        <v/>
      </c>
      <c r="G40" s="58">
        <f>IFERROR(INDEX('الحضور'!$J$3:$J$502,34),"")</f>
        <v/>
      </c>
      <c r="H40" s="58">
        <f>IFERROR(INDEX('الحضور'!$K$3:$K$502,34),"")</f>
        <v/>
      </c>
      <c r="I40" s="58">
        <f>IFERROR(INDEX('الحضور'!$L$3:$L$502,34),"")</f>
        <v/>
      </c>
      <c r="J40" s="58">
        <f>IFERROR(INDEX('الحضور'!$M$3:$M$502,34),"")</f>
        <v/>
      </c>
      <c r="K40" s="50">
        <f>IFERROR(INDEX('الحضور'!$N$3:$N$502,34),"")</f>
        <v/>
      </c>
    </row>
    <row r="41">
      <c r="A41" s="43">
        <f>IFERROR(INDEX('الحضور'!$A$3:$A$502,35),"")</f>
        <v/>
      </c>
      <c r="B41" s="43">
        <f>IFERROR(INDEX('الحضور'!$B$3:$B$502,35),"")</f>
        <v/>
      </c>
      <c r="C41" s="118">
        <f>IFERROR(INDEX('الحضور'!$C$3:$C$502,35),"")</f>
        <v/>
      </c>
      <c r="D41" s="43">
        <f>IFERROR(INDEX('الحضور'!$D$3:$D$502,35),"")</f>
        <v/>
      </c>
      <c r="E41" s="115">
        <f>IFERROR(INDEX('الحضور'!$E$3:$E$502,35),"")</f>
        <v/>
      </c>
      <c r="F41" s="115">
        <f>IFERROR(INDEX('الحضور'!$F$3:$F$502,35),"")</f>
        <v/>
      </c>
      <c r="G41" s="55">
        <f>IFERROR(INDEX('الحضور'!$J$3:$J$502,35),"")</f>
        <v/>
      </c>
      <c r="H41" s="55">
        <f>IFERROR(INDEX('الحضور'!$K$3:$K$502,35),"")</f>
        <v/>
      </c>
      <c r="I41" s="55">
        <f>IFERROR(INDEX('الحضور'!$L$3:$L$502,35),"")</f>
        <v/>
      </c>
      <c r="J41" s="55">
        <f>IFERROR(INDEX('الحضور'!$M$3:$M$502,35),"")</f>
        <v/>
      </c>
      <c r="K41" s="43">
        <f>IFERROR(INDEX('الحضور'!$N$3:$N$502,35),"")</f>
        <v/>
      </c>
    </row>
    <row r="42">
      <c r="A42" s="50">
        <f>IFERROR(INDEX('الحضور'!$A$3:$A$502,36),"")</f>
        <v/>
      </c>
      <c r="B42" s="50">
        <f>IFERROR(INDEX('الحضور'!$B$3:$B$502,36),"")</f>
        <v/>
      </c>
      <c r="C42" s="119">
        <f>IFERROR(INDEX('الحضور'!$C$3:$C$502,36),"")</f>
        <v/>
      </c>
      <c r="D42" s="50">
        <f>IFERROR(INDEX('الحضور'!$D$3:$D$502,36),"")</f>
        <v/>
      </c>
      <c r="E42" s="117">
        <f>IFERROR(INDEX('الحضور'!$E$3:$E$502,36),"")</f>
        <v/>
      </c>
      <c r="F42" s="117">
        <f>IFERROR(INDEX('الحضور'!$F$3:$F$502,36),"")</f>
        <v/>
      </c>
      <c r="G42" s="58">
        <f>IFERROR(INDEX('الحضور'!$J$3:$J$502,36),"")</f>
        <v/>
      </c>
      <c r="H42" s="58">
        <f>IFERROR(INDEX('الحضور'!$K$3:$K$502,36),"")</f>
        <v/>
      </c>
      <c r="I42" s="58">
        <f>IFERROR(INDEX('الحضور'!$L$3:$L$502,36),"")</f>
        <v/>
      </c>
      <c r="J42" s="58">
        <f>IFERROR(INDEX('الحضور'!$M$3:$M$502,36),"")</f>
        <v/>
      </c>
      <c r="K42" s="50">
        <f>IFERROR(INDEX('الحضور'!$N$3:$N$502,36),"")</f>
        <v/>
      </c>
    </row>
    <row r="43">
      <c r="A43" s="43">
        <f>IFERROR(INDEX('الحضور'!$A$3:$A$502,37),"")</f>
        <v/>
      </c>
      <c r="B43" s="43">
        <f>IFERROR(INDEX('الحضور'!$B$3:$B$502,37),"")</f>
        <v/>
      </c>
      <c r="C43" s="118">
        <f>IFERROR(INDEX('الحضور'!$C$3:$C$502,37),"")</f>
        <v/>
      </c>
      <c r="D43" s="43">
        <f>IFERROR(INDEX('الحضور'!$D$3:$D$502,37),"")</f>
        <v/>
      </c>
      <c r="E43" s="115">
        <f>IFERROR(INDEX('الحضور'!$E$3:$E$502,37),"")</f>
        <v/>
      </c>
      <c r="F43" s="115">
        <f>IFERROR(INDEX('الحضور'!$F$3:$F$502,37),"")</f>
        <v/>
      </c>
      <c r="G43" s="55">
        <f>IFERROR(INDEX('الحضور'!$J$3:$J$502,37),"")</f>
        <v/>
      </c>
      <c r="H43" s="55">
        <f>IFERROR(INDEX('الحضور'!$K$3:$K$502,37),"")</f>
        <v/>
      </c>
      <c r="I43" s="55">
        <f>IFERROR(INDEX('الحضور'!$L$3:$L$502,37),"")</f>
        <v/>
      </c>
      <c r="J43" s="55">
        <f>IFERROR(INDEX('الحضور'!$M$3:$M$502,37),"")</f>
        <v/>
      </c>
      <c r="K43" s="43">
        <f>IFERROR(INDEX('الحضور'!$N$3:$N$502,37),"")</f>
        <v/>
      </c>
    </row>
    <row r="44">
      <c r="A44" s="50">
        <f>IFERROR(INDEX('الحضور'!$A$3:$A$502,38),"")</f>
        <v/>
      </c>
      <c r="B44" s="50">
        <f>IFERROR(INDEX('الحضور'!$B$3:$B$502,38),"")</f>
        <v/>
      </c>
      <c r="C44" s="119">
        <f>IFERROR(INDEX('الحضور'!$C$3:$C$502,38),"")</f>
        <v/>
      </c>
      <c r="D44" s="50">
        <f>IFERROR(INDEX('الحضور'!$D$3:$D$502,38),"")</f>
        <v/>
      </c>
      <c r="E44" s="117">
        <f>IFERROR(INDEX('الحضور'!$E$3:$E$502,38),"")</f>
        <v/>
      </c>
      <c r="F44" s="117">
        <f>IFERROR(INDEX('الحضور'!$F$3:$F$502,38),"")</f>
        <v/>
      </c>
      <c r="G44" s="58">
        <f>IFERROR(INDEX('الحضور'!$J$3:$J$502,38),"")</f>
        <v/>
      </c>
      <c r="H44" s="58">
        <f>IFERROR(INDEX('الحضور'!$K$3:$K$502,38),"")</f>
        <v/>
      </c>
      <c r="I44" s="58">
        <f>IFERROR(INDEX('الحضور'!$L$3:$L$502,38),"")</f>
        <v/>
      </c>
      <c r="J44" s="58">
        <f>IFERROR(INDEX('الحضور'!$M$3:$M$502,38),"")</f>
        <v/>
      </c>
      <c r="K44" s="50">
        <f>IFERROR(INDEX('الحضور'!$N$3:$N$502,38),"")</f>
        <v/>
      </c>
    </row>
    <row r="45">
      <c r="A45" s="43">
        <f>IFERROR(INDEX('الحضور'!$A$3:$A$502,39),"")</f>
        <v/>
      </c>
      <c r="B45" s="43">
        <f>IFERROR(INDEX('الحضور'!$B$3:$B$502,39),"")</f>
        <v/>
      </c>
      <c r="C45" s="118">
        <f>IFERROR(INDEX('الحضور'!$C$3:$C$502,39),"")</f>
        <v/>
      </c>
      <c r="D45" s="43">
        <f>IFERROR(INDEX('الحضور'!$D$3:$D$502,39),"")</f>
        <v/>
      </c>
      <c r="E45" s="115">
        <f>IFERROR(INDEX('الحضور'!$E$3:$E$502,39),"")</f>
        <v/>
      </c>
      <c r="F45" s="115">
        <f>IFERROR(INDEX('الحضور'!$F$3:$F$502,39),"")</f>
        <v/>
      </c>
      <c r="G45" s="55">
        <f>IFERROR(INDEX('الحضور'!$J$3:$J$502,39),"")</f>
        <v/>
      </c>
      <c r="H45" s="55">
        <f>IFERROR(INDEX('الحضور'!$K$3:$K$502,39),"")</f>
        <v/>
      </c>
      <c r="I45" s="55">
        <f>IFERROR(INDEX('الحضور'!$L$3:$L$502,39),"")</f>
        <v/>
      </c>
      <c r="J45" s="55">
        <f>IFERROR(INDEX('الحضور'!$M$3:$M$502,39),"")</f>
        <v/>
      </c>
      <c r="K45" s="43">
        <f>IFERROR(INDEX('الحضور'!$N$3:$N$502,39),"")</f>
        <v/>
      </c>
    </row>
    <row r="46">
      <c r="A46" s="50">
        <f>IFERROR(INDEX('الحضور'!$A$3:$A$502,40),"")</f>
        <v/>
      </c>
      <c r="B46" s="50">
        <f>IFERROR(INDEX('الحضور'!$B$3:$B$502,40),"")</f>
        <v/>
      </c>
      <c r="C46" s="119">
        <f>IFERROR(INDEX('الحضور'!$C$3:$C$502,40),"")</f>
        <v/>
      </c>
      <c r="D46" s="50">
        <f>IFERROR(INDEX('الحضور'!$D$3:$D$502,40),"")</f>
        <v/>
      </c>
      <c r="E46" s="117">
        <f>IFERROR(INDEX('الحضور'!$E$3:$E$502,40),"")</f>
        <v/>
      </c>
      <c r="F46" s="117">
        <f>IFERROR(INDEX('الحضور'!$F$3:$F$502,40),"")</f>
        <v/>
      </c>
      <c r="G46" s="58">
        <f>IFERROR(INDEX('الحضور'!$J$3:$J$502,40),"")</f>
        <v/>
      </c>
      <c r="H46" s="58">
        <f>IFERROR(INDEX('الحضور'!$K$3:$K$502,40),"")</f>
        <v/>
      </c>
      <c r="I46" s="58">
        <f>IFERROR(INDEX('الحضور'!$L$3:$L$502,40),"")</f>
        <v/>
      </c>
      <c r="J46" s="58">
        <f>IFERROR(INDEX('الحضور'!$M$3:$M$502,40),"")</f>
        <v/>
      </c>
      <c r="K46" s="50">
        <f>IFERROR(INDEX('الحضور'!$N$3:$N$502,40),"")</f>
        <v/>
      </c>
    </row>
    <row r="47">
      <c r="A47" s="43">
        <f>IFERROR(INDEX('الحضور'!$A$3:$A$502,41),"")</f>
        <v/>
      </c>
      <c r="B47" s="43">
        <f>IFERROR(INDEX('الحضور'!$B$3:$B$502,41),"")</f>
        <v/>
      </c>
      <c r="C47" s="118">
        <f>IFERROR(INDEX('الحضور'!$C$3:$C$502,41),"")</f>
        <v/>
      </c>
      <c r="D47" s="43">
        <f>IFERROR(INDEX('الحضور'!$D$3:$D$502,41),"")</f>
        <v/>
      </c>
      <c r="E47" s="115">
        <f>IFERROR(INDEX('الحضور'!$E$3:$E$502,41),"")</f>
        <v/>
      </c>
      <c r="F47" s="115">
        <f>IFERROR(INDEX('الحضور'!$F$3:$F$502,41),"")</f>
        <v/>
      </c>
      <c r="G47" s="55">
        <f>IFERROR(INDEX('الحضور'!$J$3:$J$502,41),"")</f>
        <v/>
      </c>
      <c r="H47" s="55">
        <f>IFERROR(INDEX('الحضور'!$K$3:$K$502,41),"")</f>
        <v/>
      </c>
      <c r="I47" s="55">
        <f>IFERROR(INDEX('الحضور'!$L$3:$L$502,41),"")</f>
        <v/>
      </c>
      <c r="J47" s="55">
        <f>IFERROR(INDEX('الحضور'!$M$3:$M$502,41),"")</f>
        <v/>
      </c>
      <c r="K47" s="43">
        <f>IFERROR(INDEX('الحضور'!$N$3:$N$502,41),"")</f>
        <v/>
      </c>
    </row>
    <row r="48">
      <c r="A48" s="50">
        <f>IFERROR(INDEX('الحضور'!$A$3:$A$502,42),"")</f>
        <v/>
      </c>
      <c r="B48" s="50">
        <f>IFERROR(INDEX('الحضور'!$B$3:$B$502,42),"")</f>
        <v/>
      </c>
      <c r="C48" s="119">
        <f>IFERROR(INDEX('الحضور'!$C$3:$C$502,42),"")</f>
        <v/>
      </c>
      <c r="D48" s="50">
        <f>IFERROR(INDEX('الحضور'!$D$3:$D$502,42),"")</f>
        <v/>
      </c>
      <c r="E48" s="117">
        <f>IFERROR(INDEX('الحضور'!$E$3:$E$502,42),"")</f>
        <v/>
      </c>
      <c r="F48" s="117">
        <f>IFERROR(INDEX('الحضور'!$F$3:$F$502,42),"")</f>
        <v/>
      </c>
      <c r="G48" s="58">
        <f>IFERROR(INDEX('الحضور'!$J$3:$J$502,42),"")</f>
        <v/>
      </c>
      <c r="H48" s="58">
        <f>IFERROR(INDEX('الحضور'!$K$3:$K$502,42),"")</f>
        <v/>
      </c>
      <c r="I48" s="58">
        <f>IFERROR(INDEX('الحضور'!$L$3:$L$502,42),"")</f>
        <v/>
      </c>
      <c r="J48" s="58">
        <f>IFERROR(INDEX('الحضور'!$M$3:$M$502,42),"")</f>
        <v/>
      </c>
      <c r="K48" s="50">
        <f>IFERROR(INDEX('الحضور'!$N$3:$N$502,42),"")</f>
        <v/>
      </c>
    </row>
    <row r="49">
      <c r="A49" s="43">
        <f>IFERROR(INDEX('الحضور'!$A$3:$A$502,43),"")</f>
        <v/>
      </c>
      <c r="B49" s="43">
        <f>IFERROR(INDEX('الحضور'!$B$3:$B$502,43),"")</f>
        <v/>
      </c>
      <c r="C49" s="118">
        <f>IFERROR(INDEX('الحضور'!$C$3:$C$502,43),"")</f>
        <v/>
      </c>
      <c r="D49" s="43">
        <f>IFERROR(INDEX('الحضور'!$D$3:$D$502,43),"")</f>
        <v/>
      </c>
      <c r="E49" s="115">
        <f>IFERROR(INDEX('الحضور'!$E$3:$E$502,43),"")</f>
        <v/>
      </c>
      <c r="F49" s="115">
        <f>IFERROR(INDEX('الحضور'!$F$3:$F$502,43),"")</f>
        <v/>
      </c>
      <c r="G49" s="55">
        <f>IFERROR(INDEX('الحضور'!$J$3:$J$502,43),"")</f>
        <v/>
      </c>
      <c r="H49" s="55">
        <f>IFERROR(INDEX('الحضور'!$K$3:$K$502,43),"")</f>
        <v/>
      </c>
      <c r="I49" s="55">
        <f>IFERROR(INDEX('الحضور'!$L$3:$L$502,43),"")</f>
        <v/>
      </c>
      <c r="J49" s="55">
        <f>IFERROR(INDEX('الحضور'!$M$3:$M$502,43),"")</f>
        <v/>
      </c>
      <c r="K49" s="43">
        <f>IFERROR(INDEX('الحضور'!$N$3:$N$502,43),"")</f>
        <v/>
      </c>
    </row>
    <row r="50">
      <c r="A50" s="50">
        <f>IFERROR(INDEX('الحضور'!$A$3:$A$502,44),"")</f>
        <v/>
      </c>
      <c r="B50" s="50">
        <f>IFERROR(INDEX('الحضور'!$B$3:$B$502,44),"")</f>
        <v/>
      </c>
      <c r="C50" s="119">
        <f>IFERROR(INDEX('الحضور'!$C$3:$C$502,44),"")</f>
        <v/>
      </c>
      <c r="D50" s="50">
        <f>IFERROR(INDEX('الحضور'!$D$3:$D$502,44),"")</f>
        <v/>
      </c>
      <c r="E50" s="117">
        <f>IFERROR(INDEX('الحضور'!$E$3:$E$502,44),"")</f>
        <v/>
      </c>
      <c r="F50" s="117">
        <f>IFERROR(INDEX('الحضور'!$F$3:$F$502,44),"")</f>
        <v/>
      </c>
      <c r="G50" s="58">
        <f>IFERROR(INDEX('الحضور'!$J$3:$J$502,44),"")</f>
        <v/>
      </c>
      <c r="H50" s="58">
        <f>IFERROR(INDEX('الحضور'!$K$3:$K$502,44),"")</f>
        <v/>
      </c>
      <c r="I50" s="58">
        <f>IFERROR(INDEX('الحضور'!$L$3:$L$502,44),"")</f>
        <v/>
      </c>
      <c r="J50" s="58">
        <f>IFERROR(INDEX('الحضور'!$M$3:$M$502,44),"")</f>
        <v/>
      </c>
      <c r="K50" s="50">
        <f>IFERROR(INDEX('الحضور'!$N$3:$N$502,44),"")</f>
        <v/>
      </c>
    </row>
    <row r="51">
      <c r="A51" s="43">
        <f>IFERROR(INDEX('الحضور'!$A$3:$A$502,45),"")</f>
        <v/>
      </c>
      <c r="B51" s="43">
        <f>IFERROR(INDEX('الحضور'!$B$3:$B$502,45),"")</f>
        <v/>
      </c>
      <c r="C51" s="118">
        <f>IFERROR(INDEX('الحضور'!$C$3:$C$502,45),"")</f>
        <v/>
      </c>
      <c r="D51" s="43">
        <f>IFERROR(INDEX('الحضور'!$D$3:$D$502,45),"")</f>
        <v/>
      </c>
      <c r="E51" s="115">
        <f>IFERROR(INDEX('الحضور'!$E$3:$E$502,45),"")</f>
        <v/>
      </c>
      <c r="F51" s="115">
        <f>IFERROR(INDEX('الحضور'!$F$3:$F$502,45),"")</f>
        <v/>
      </c>
      <c r="G51" s="55">
        <f>IFERROR(INDEX('الحضور'!$J$3:$J$502,45),"")</f>
        <v/>
      </c>
      <c r="H51" s="55">
        <f>IFERROR(INDEX('الحضور'!$K$3:$K$502,45),"")</f>
        <v/>
      </c>
      <c r="I51" s="55">
        <f>IFERROR(INDEX('الحضور'!$L$3:$L$502,45),"")</f>
        <v/>
      </c>
      <c r="J51" s="55">
        <f>IFERROR(INDEX('الحضور'!$M$3:$M$502,45),"")</f>
        <v/>
      </c>
      <c r="K51" s="43">
        <f>IFERROR(INDEX('الحضور'!$N$3:$N$502,45),"")</f>
        <v/>
      </c>
    </row>
    <row r="52">
      <c r="A52" s="50">
        <f>IFERROR(INDEX('الحضور'!$A$3:$A$502,46),"")</f>
        <v/>
      </c>
      <c r="B52" s="50">
        <f>IFERROR(INDEX('الحضور'!$B$3:$B$502,46),"")</f>
        <v/>
      </c>
      <c r="C52" s="119">
        <f>IFERROR(INDEX('الحضور'!$C$3:$C$502,46),"")</f>
        <v/>
      </c>
      <c r="D52" s="50">
        <f>IFERROR(INDEX('الحضور'!$D$3:$D$502,46),"")</f>
        <v/>
      </c>
      <c r="E52" s="117">
        <f>IFERROR(INDEX('الحضور'!$E$3:$E$502,46),"")</f>
        <v/>
      </c>
      <c r="F52" s="117">
        <f>IFERROR(INDEX('الحضور'!$F$3:$F$502,46),"")</f>
        <v/>
      </c>
      <c r="G52" s="58">
        <f>IFERROR(INDEX('الحضور'!$J$3:$J$502,46),"")</f>
        <v/>
      </c>
      <c r="H52" s="58">
        <f>IFERROR(INDEX('الحضور'!$K$3:$K$502,46),"")</f>
        <v/>
      </c>
      <c r="I52" s="58">
        <f>IFERROR(INDEX('الحضور'!$L$3:$L$502,46),"")</f>
        <v/>
      </c>
      <c r="J52" s="58">
        <f>IFERROR(INDEX('الحضور'!$M$3:$M$502,46),"")</f>
        <v/>
      </c>
      <c r="K52" s="50">
        <f>IFERROR(INDEX('الحضور'!$N$3:$N$502,46),"")</f>
        <v/>
      </c>
    </row>
    <row r="53">
      <c r="A53" s="43">
        <f>IFERROR(INDEX('الحضور'!$A$3:$A$502,47),"")</f>
        <v/>
      </c>
      <c r="B53" s="43">
        <f>IFERROR(INDEX('الحضور'!$B$3:$B$502,47),"")</f>
        <v/>
      </c>
      <c r="C53" s="118">
        <f>IFERROR(INDEX('الحضور'!$C$3:$C$502,47),"")</f>
        <v/>
      </c>
      <c r="D53" s="43">
        <f>IFERROR(INDEX('الحضور'!$D$3:$D$502,47),"")</f>
        <v/>
      </c>
      <c r="E53" s="115">
        <f>IFERROR(INDEX('الحضور'!$E$3:$E$502,47),"")</f>
        <v/>
      </c>
      <c r="F53" s="115">
        <f>IFERROR(INDEX('الحضور'!$F$3:$F$502,47),"")</f>
        <v/>
      </c>
      <c r="G53" s="55">
        <f>IFERROR(INDEX('الحضور'!$J$3:$J$502,47),"")</f>
        <v/>
      </c>
      <c r="H53" s="55">
        <f>IFERROR(INDEX('الحضور'!$K$3:$K$502,47),"")</f>
        <v/>
      </c>
      <c r="I53" s="55">
        <f>IFERROR(INDEX('الحضور'!$L$3:$L$502,47),"")</f>
        <v/>
      </c>
      <c r="J53" s="55">
        <f>IFERROR(INDEX('الحضور'!$M$3:$M$502,47),"")</f>
        <v/>
      </c>
      <c r="K53" s="43">
        <f>IFERROR(INDEX('الحضور'!$N$3:$N$502,47),"")</f>
        <v/>
      </c>
    </row>
    <row r="54">
      <c r="A54" s="50">
        <f>IFERROR(INDEX('الحضور'!$A$3:$A$502,48),"")</f>
        <v/>
      </c>
      <c r="B54" s="50">
        <f>IFERROR(INDEX('الحضور'!$B$3:$B$502,48),"")</f>
        <v/>
      </c>
      <c r="C54" s="119">
        <f>IFERROR(INDEX('الحضور'!$C$3:$C$502,48),"")</f>
        <v/>
      </c>
      <c r="D54" s="50">
        <f>IFERROR(INDEX('الحضور'!$D$3:$D$502,48),"")</f>
        <v/>
      </c>
      <c r="E54" s="117">
        <f>IFERROR(INDEX('الحضور'!$E$3:$E$502,48),"")</f>
        <v/>
      </c>
      <c r="F54" s="117">
        <f>IFERROR(INDEX('الحضور'!$F$3:$F$502,48),"")</f>
        <v/>
      </c>
      <c r="G54" s="58">
        <f>IFERROR(INDEX('الحضور'!$J$3:$J$502,48),"")</f>
        <v/>
      </c>
      <c r="H54" s="58">
        <f>IFERROR(INDEX('الحضور'!$K$3:$K$502,48),"")</f>
        <v/>
      </c>
      <c r="I54" s="58">
        <f>IFERROR(INDEX('الحضور'!$L$3:$L$502,48),"")</f>
        <v/>
      </c>
      <c r="J54" s="58">
        <f>IFERROR(INDEX('الحضور'!$M$3:$M$502,48),"")</f>
        <v/>
      </c>
      <c r="K54" s="50">
        <f>IFERROR(INDEX('الحضور'!$N$3:$N$502,48),"")</f>
        <v/>
      </c>
    </row>
    <row r="55">
      <c r="A55" s="43">
        <f>IFERROR(INDEX('الحضور'!$A$3:$A$502,49),"")</f>
        <v/>
      </c>
      <c r="B55" s="43">
        <f>IFERROR(INDEX('الحضور'!$B$3:$B$502,49),"")</f>
        <v/>
      </c>
      <c r="C55" s="118">
        <f>IFERROR(INDEX('الحضور'!$C$3:$C$502,49),"")</f>
        <v/>
      </c>
      <c r="D55" s="43">
        <f>IFERROR(INDEX('الحضور'!$D$3:$D$502,49),"")</f>
        <v/>
      </c>
      <c r="E55" s="115">
        <f>IFERROR(INDEX('الحضور'!$E$3:$E$502,49),"")</f>
        <v/>
      </c>
      <c r="F55" s="115">
        <f>IFERROR(INDEX('الحضور'!$F$3:$F$502,49),"")</f>
        <v/>
      </c>
      <c r="G55" s="55">
        <f>IFERROR(INDEX('الحضور'!$J$3:$J$502,49),"")</f>
        <v/>
      </c>
      <c r="H55" s="55">
        <f>IFERROR(INDEX('الحضور'!$K$3:$K$502,49),"")</f>
        <v/>
      </c>
      <c r="I55" s="55">
        <f>IFERROR(INDEX('الحضور'!$L$3:$L$502,49),"")</f>
        <v/>
      </c>
      <c r="J55" s="55">
        <f>IFERROR(INDEX('الحضور'!$M$3:$M$502,49),"")</f>
        <v/>
      </c>
      <c r="K55" s="43">
        <f>IFERROR(INDEX('الحضور'!$N$3:$N$502,49),"")</f>
        <v/>
      </c>
    </row>
    <row r="56">
      <c r="A56" s="50">
        <f>IFERROR(INDEX('الحضور'!$A$3:$A$502,50),"")</f>
        <v/>
      </c>
      <c r="B56" s="50">
        <f>IFERROR(INDEX('الحضور'!$B$3:$B$502,50),"")</f>
        <v/>
      </c>
      <c r="C56" s="119">
        <f>IFERROR(INDEX('الحضور'!$C$3:$C$502,50),"")</f>
        <v/>
      </c>
      <c r="D56" s="50">
        <f>IFERROR(INDEX('الحضور'!$D$3:$D$502,50),"")</f>
        <v/>
      </c>
      <c r="E56" s="117">
        <f>IFERROR(INDEX('الحضور'!$E$3:$E$502,50),"")</f>
        <v/>
      </c>
      <c r="F56" s="117">
        <f>IFERROR(INDEX('الحضور'!$F$3:$F$502,50),"")</f>
        <v/>
      </c>
      <c r="G56" s="58">
        <f>IFERROR(INDEX('الحضور'!$J$3:$J$502,50),"")</f>
        <v/>
      </c>
      <c r="H56" s="58">
        <f>IFERROR(INDEX('الحضور'!$K$3:$K$502,50),"")</f>
        <v/>
      </c>
      <c r="I56" s="58">
        <f>IFERROR(INDEX('الحضور'!$L$3:$L$502,50),"")</f>
        <v/>
      </c>
      <c r="J56" s="58">
        <f>IFERROR(INDEX('الحضور'!$M$3:$M$502,50),"")</f>
        <v/>
      </c>
      <c r="K56" s="50">
        <f>IFERROR(INDEX('الحضور'!$N$3:$N$502,50),"")</f>
        <v/>
      </c>
    </row>
    <row r="57">
      <c r="A57" s="43">
        <f>IFERROR(INDEX('الحضور'!$A$3:$A$502,51),"")</f>
        <v/>
      </c>
      <c r="B57" s="43">
        <f>IFERROR(INDEX('الحضور'!$B$3:$B$502,51),"")</f>
        <v/>
      </c>
      <c r="C57" s="118">
        <f>IFERROR(INDEX('الحضور'!$C$3:$C$502,51),"")</f>
        <v/>
      </c>
      <c r="D57" s="43">
        <f>IFERROR(INDEX('الحضور'!$D$3:$D$502,51),"")</f>
        <v/>
      </c>
      <c r="E57" s="115">
        <f>IFERROR(INDEX('الحضور'!$E$3:$E$502,51),"")</f>
        <v/>
      </c>
      <c r="F57" s="115">
        <f>IFERROR(INDEX('الحضور'!$F$3:$F$502,51),"")</f>
        <v/>
      </c>
      <c r="G57" s="55">
        <f>IFERROR(INDEX('الحضور'!$J$3:$J$502,51),"")</f>
        <v/>
      </c>
      <c r="H57" s="55">
        <f>IFERROR(INDEX('الحضور'!$K$3:$K$502,51),"")</f>
        <v/>
      </c>
      <c r="I57" s="55">
        <f>IFERROR(INDEX('الحضور'!$L$3:$L$502,51),"")</f>
        <v/>
      </c>
      <c r="J57" s="55">
        <f>IFERROR(INDEX('الحضور'!$M$3:$M$502,51),"")</f>
        <v/>
      </c>
      <c r="K57" s="43">
        <f>IFERROR(INDEX('الحضور'!$N$3:$N$502,51),"")</f>
        <v/>
      </c>
    </row>
    <row r="58">
      <c r="A58" s="50">
        <f>IFERROR(INDEX('الحضور'!$A$3:$A$502,52),"")</f>
        <v/>
      </c>
      <c r="B58" s="50">
        <f>IFERROR(INDEX('الحضور'!$B$3:$B$502,52),"")</f>
        <v/>
      </c>
      <c r="C58" s="119">
        <f>IFERROR(INDEX('الحضور'!$C$3:$C$502,52),"")</f>
        <v/>
      </c>
      <c r="D58" s="50">
        <f>IFERROR(INDEX('الحضور'!$D$3:$D$502,52),"")</f>
        <v/>
      </c>
      <c r="E58" s="117">
        <f>IFERROR(INDEX('الحضور'!$E$3:$E$502,52),"")</f>
        <v/>
      </c>
      <c r="F58" s="117">
        <f>IFERROR(INDEX('الحضور'!$F$3:$F$502,52),"")</f>
        <v/>
      </c>
      <c r="G58" s="58">
        <f>IFERROR(INDEX('الحضور'!$J$3:$J$502,52),"")</f>
        <v/>
      </c>
      <c r="H58" s="58">
        <f>IFERROR(INDEX('الحضور'!$K$3:$K$502,52),"")</f>
        <v/>
      </c>
      <c r="I58" s="58">
        <f>IFERROR(INDEX('الحضور'!$L$3:$L$502,52),"")</f>
        <v/>
      </c>
      <c r="J58" s="58">
        <f>IFERROR(INDEX('الحضور'!$M$3:$M$502,52),"")</f>
        <v/>
      </c>
      <c r="K58" s="50">
        <f>IFERROR(INDEX('الحضور'!$N$3:$N$502,52),"")</f>
        <v/>
      </c>
    </row>
    <row r="59">
      <c r="A59" s="43">
        <f>IFERROR(INDEX('الحضور'!$A$3:$A$502,53),"")</f>
        <v/>
      </c>
      <c r="B59" s="43">
        <f>IFERROR(INDEX('الحضور'!$B$3:$B$502,53),"")</f>
        <v/>
      </c>
      <c r="C59" s="118">
        <f>IFERROR(INDEX('الحضور'!$C$3:$C$502,53),"")</f>
        <v/>
      </c>
      <c r="D59" s="43">
        <f>IFERROR(INDEX('الحضور'!$D$3:$D$502,53),"")</f>
        <v/>
      </c>
      <c r="E59" s="115">
        <f>IFERROR(INDEX('الحضور'!$E$3:$E$502,53),"")</f>
        <v/>
      </c>
      <c r="F59" s="115">
        <f>IFERROR(INDEX('الحضور'!$F$3:$F$502,53),"")</f>
        <v/>
      </c>
      <c r="G59" s="55">
        <f>IFERROR(INDEX('الحضور'!$J$3:$J$502,53),"")</f>
        <v/>
      </c>
      <c r="H59" s="55">
        <f>IFERROR(INDEX('الحضور'!$K$3:$K$502,53),"")</f>
        <v/>
      </c>
      <c r="I59" s="55">
        <f>IFERROR(INDEX('الحضور'!$L$3:$L$502,53),"")</f>
        <v/>
      </c>
      <c r="J59" s="55">
        <f>IFERROR(INDEX('الحضور'!$M$3:$M$502,53),"")</f>
        <v/>
      </c>
      <c r="K59" s="43">
        <f>IFERROR(INDEX('الحضور'!$N$3:$N$502,53),"")</f>
        <v/>
      </c>
    </row>
    <row r="60">
      <c r="A60" s="50">
        <f>IFERROR(INDEX('الحضور'!$A$3:$A$502,54),"")</f>
        <v/>
      </c>
      <c r="B60" s="50">
        <f>IFERROR(INDEX('الحضور'!$B$3:$B$502,54),"")</f>
        <v/>
      </c>
      <c r="C60" s="119">
        <f>IFERROR(INDEX('الحضور'!$C$3:$C$502,54),"")</f>
        <v/>
      </c>
      <c r="D60" s="50">
        <f>IFERROR(INDEX('الحضور'!$D$3:$D$502,54),"")</f>
        <v/>
      </c>
      <c r="E60" s="117">
        <f>IFERROR(INDEX('الحضور'!$E$3:$E$502,54),"")</f>
        <v/>
      </c>
      <c r="F60" s="117">
        <f>IFERROR(INDEX('الحضور'!$F$3:$F$502,54),"")</f>
        <v/>
      </c>
      <c r="G60" s="58">
        <f>IFERROR(INDEX('الحضور'!$J$3:$J$502,54),"")</f>
        <v/>
      </c>
      <c r="H60" s="58">
        <f>IFERROR(INDEX('الحضور'!$K$3:$K$502,54),"")</f>
        <v/>
      </c>
      <c r="I60" s="58">
        <f>IFERROR(INDEX('الحضور'!$L$3:$L$502,54),"")</f>
        <v/>
      </c>
      <c r="J60" s="58">
        <f>IFERROR(INDEX('الحضور'!$M$3:$M$502,54),"")</f>
        <v/>
      </c>
      <c r="K60" s="50">
        <f>IFERROR(INDEX('الحضور'!$N$3:$N$502,54),"")</f>
        <v/>
      </c>
    </row>
    <row r="61">
      <c r="A61" s="43">
        <f>IFERROR(INDEX('الحضور'!$A$3:$A$502,55),"")</f>
        <v/>
      </c>
      <c r="B61" s="43">
        <f>IFERROR(INDEX('الحضور'!$B$3:$B$502,55),"")</f>
        <v/>
      </c>
      <c r="C61" s="118">
        <f>IFERROR(INDEX('الحضور'!$C$3:$C$502,55),"")</f>
        <v/>
      </c>
      <c r="D61" s="43">
        <f>IFERROR(INDEX('الحضور'!$D$3:$D$502,55),"")</f>
        <v/>
      </c>
      <c r="E61" s="115">
        <f>IFERROR(INDEX('الحضور'!$E$3:$E$502,55),"")</f>
        <v/>
      </c>
      <c r="F61" s="115">
        <f>IFERROR(INDEX('الحضور'!$F$3:$F$502,55),"")</f>
        <v/>
      </c>
      <c r="G61" s="55">
        <f>IFERROR(INDEX('الحضور'!$J$3:$J$502,55),"")</f>
        <v/>
      </c>
      <c r="H61" s="55">
        <f>IFERROR(INDEX('الحضور'!$K$3:$K$502,55),"")</f>
        <v/>
      </c>
      <c r="I61" s="55">
        <f>IFERROR(INDEX('الحضور'!$L$3:$L$502,55),"")</f>
        <v/>
      </c>
      <c r="J61" s="55">
        <f>IFERROR(INDEX('الحضور'!$M$3:$M$502,55),"")</f>
        <v/>
      </c>
      <c r="K61" s="43">
        <f>IFERROR(INDEX('الحضور'!$N$3:$N$502,55),"")</f>
        <v/>
      </c>
    </row>
    <row r="62">
      <c r="A62" s="50">
        <f>IFERROR(INDEX('الحضور'!$A$3:$A$502,56),"")</f>
        <v/>
      </c>
      <c r="B62" s="50">
        <f>IFERROR(INDEX('الحضور'!$B$3:$B$502,56),"")</f>
        <v/>
      </c>
      <c r="C62" s="119">
        <f>IFERROR(INDEX('الحضور'!$C$3:$C$502,56),"")</f>
        <v/>
      </c>
      <c r="D62" s="50">
        <f>IFERROR(INDEX('الحضور'!$D$3:$D$502,56),"")</f>
        <v/>
      </c>
      <c r="E62" s="117">
        <f>IFERROR(INDEX('الحضور'!$E$3:$E$502,56),"")</f>
        <v/>
      </c>
      <c r="F62" s="117">
        <f>IFERROR(INDEX('الحضور'!$F$3:$F$502,56),"")</f>
        <v/>
      </c>
      <c r="G62" s="58">
        <f>IFERROR(INDEX('الحضور'!$J$3:$J$502,56),"")</f>
        <v/>
      </c>
      <c r="H62" s="58">
        <f>IFERROR(INDEX('الحضور'!$K$3:$K$502,56),"")</f>
        <v/>
      </c>
      <c r="I62" s="58">
        <f>IFERROR(INDEX('الحضور'!$L$3:$L$502,56),"")</f>
        <v/>
      </c>
      <c r="J62" s="58">
        <f>IFERROR(INDEX('الحضور'!$M$3:$M$502,56),"")</f>
        <v/>
      </c>
      <c r="K62" s="50">
        <f>IFERROR(INDEX('الحضور'!$N$3:$N$502,56),"")</f>
        <v/>
      </c>
    </row>
    <row r="63">
      <c r="A63" s="43">
        <f>IFERROR(INDEX('الحضور'!$A$3:$A$502,57),"")</f>
        <v/>
      </c>
      <c r="B63" s="43">
        <f>IFERROR(INDEX('الحضور'!$B$3:$B$502,57),"")</f>
        <v/>
      </c>
      <c r="C63" s="118">
        <f>IFERROR(INDEX('الحضور'!$C$3:$C$502,57),"")</f>
        <v/>
      </c>
      <c r="D63" s="43">
        <f>IFERROR(INDEX('الحضور'!$D$3:$D$502,57),"")</f>
        <v/>
      </c>
      <c r="E63" s="115">
        <f>IFERROR(INDEX('الحضور'!$E$3:$E$502,57),"")</f>
        <v/>
      </c>
      <c r="F63" s="115">
        <f>IFERROR(INDEX('الحضور'!$F$3:$F$502,57),"")</f>
        <v/>
      </c>
      <c r="G63" s="55">
        <f>IFERROR(INDEX('الحضور'!$J$3:$J$502,57),"")</f>
        <v/>
      </c>
      <c r="H63" s="55">
        <f>IFERROR(INDEX('الحضور'!$K$3:$K$502,57),"")</f>
        <v/>
      </c>
      <c r="I63" s="55">
        <f>IFERROR(INDEX('الحضور'!$L$3:$L$502,57),"")</f>
        <v/>
      </c>
      <c r="J63" s="55">
        <f>IFERROR(INDEX('الحضور'!$M$3:$M$502,57),"")</f>
        <v/>
      </c>
      <c r="K63" s="43">
        <f>IFERROR(INDEX('الحضور'!$N$3:$N$502,57),"")</f>
        <v/>
      </c>
    </row>
    <row r="64">
      <c r="A64" s="50">
        <f>IFERROR(INDEX('الحضور'!$A$3:$A$502,58),"")</f>
        <v/>
      </c>
      <c r="B64" s="50">
        <f>IFERROR(INDEX('الحضور'!$B$3:$B$502,58),"")</f>
        <v/>
      </c>
      <c r="C64" s="119">
        <f>IFERROR(INDEX('الحضور'!$C$3:$C$502,58),"")</f>
        <v/>
      </c>
      <c r="D64" s="50">
        <f>IFERROR(INDEX('الحضور'!$D$3:$D$502,58),"")</f>
        <v/>
      </c>
      <c r="E64" s="117">
        <f>IFERROR(INDEX('الحضور'!$E$3:$E$502,58),"")</f>
        <v/>
      </c>
      <c r="F64" s="117">
        <f>IFERROR(INDEX('الحضور'!$F$3:$F$502,58),"")</f>
        <v/>
      </c>
      <c r="G64" s="58">
        <f>IFERROR(INDEX('الحضور'!$J$3:$J$502,58),"")</f>
        <v/>
      </c>
      <c r="H64" s="58">
        <f>IFERROR(INDEX('الحضور'!$K$3:$K$502,58),"")</f>
        <v/>
      </c>
      <c r="I64" s="58">
        <f>IFERROR(INDEX('الحضور'!$L$3:$L$502,58),"")</f>
        <v/>
      </c>
      <c r="J64" s="58">
        <f>IFERROR(INDEX('الحضور'!$M$3:$M$502,58),"")</f>
        <v/>
      </c>
      <c r="K64" s="50">
        <f>IFERROR(INDEX('الحضور'!$N$3:$N$502,58),"")</f>
        <v/>
      </c>
    </row>
    <row r="65">
      <c r="A65" s="43">
        <f>IFERROR(INDEX('الحضور'!$A$3:$A$502,59),"")</f>
        <v/>
      </c>
      <c r="B65" s="43">
        <f>IFERROR(INDEX('الحضور'!$B$3:$B$502,59),"")</f>
        <v/>
      </c>
      <c r="C65" s="118">
        <f>IFERROR(INDEX('الحضور'!$C$3:$C$502,59),"")</f>
        <v/>
      </c>
      <c r="D65" s="43">
        <f>IFERROR(INDEX('الحضور'!$D$3:$D$502,59),"")</f>
        <v/>
      </c>
      <c r="E65" s="115">
        <f>IFERROR(INDEX('الحضور'!$E$3:$E$502,59),"")</f>
        <v/>
      </c>
      <c r="F65" s="115">
        <f>IFERROR(INDEX('الحضور'!$F$3:$F$502,59),"")</f>
        <v/>
      </c>
      <c r="G65" s="55">
        <f>IFERROR(INDEX('الحضور'!$J$3:$J$502,59),"")</f>
        <v/>
      </c>
      <c r="H65" s="55">
        <f>IFERROR(INDEX('الحضور'!$K$3:$K$502,59),"")</f>
        <v/>
      </c>
      <c r="I65" s="55">
        <f>IFERROR(INDEX('الحضور'!$L$3:$L$502,59),"")</f>
        <v/>
      </c>
      <c r="J65" s="55">
        <f>IFERROR(INDEX('الحضور'!$M$3:$M$502,59),"")</f>
        <v/>
      </c>
      <c r="K65" s="43">
        <f>IFERROR(INDEX('الحضور'!$N$3:$N$502,59),"")</f>
        <v/>
      </c>
    </row>
    <row r="66">
      <c r="A66" s="50">
        <f>IFERROR(INDEX('الحضور'!$A$3:$A$502,60),"")</f>
        <v/>
      </c>
      <c r="B66" s="50">
        <f>IFERROR(INDEX('الحضور'!$B$3:$B$502,60),"")</f>
        <v/>
      </c>
      <c r="C66" s="119">
        <f>IFERROR(INDEX('الحضور'!$C$3:$C$502,60),"")</f>
        <v/>
      </c>
      <c r="D66" s="50">
        <f>IFERROR(INDEX('الحضور'!$D$3:$D$502,60),"")</f>
        <v/>
      </c>
      <c r="E66" s="117">
        <f>IFERROR(INDEX('الحضور'!$E$3:$E$502,60),"")</f>
        <v/>
      </c>
      <c r="F66" s="117">
        <f>IFERROR(INDEX('الحضور'!$F$3:$F$502,60),"")</f>
        <v/>
      </c>
      <c r="G66" s="58">
        <f>IFERROR(INDEX('الحضور'!$J$3:$J$502,60),"")</f>
        <v/>
      </c>
      <c r="H66" s="58">
        <f>IFERROR(INDEX('الحضور'!$K$3:$K$502,60),"")</f>
        <v/>
      </c>
      <c r="I66" s="58">
        <f>IFERROR(INDEX('الحضور'!$L$3:$L$502,60),"")</f>
        <v/>
      </c>
      <c r="J66" s="58">
        <f>IFERROR(INDEX('الحضور'!$M$3:$M$502,60),"")</f>
        <v/>
      </c>
      <c r="K66" s="50">
        <f>IFERROR(INDEX('الحضور'!$N$3:$N$502,60),"")</f>
        <v/>
      </c>
    </row>
    <row r="67">
      <c r="A67" s="43">
        <f>IFERROR(INDEX('الحضور'!$A$3:$A$502,61),"")</f>
        <v/>
      </c>
      <c r="B67" s="43">
        <f>IFERROR(INDEX('الحضور'!$B$3:$B$502,61),"")</f>
        <v/>
      </c>
      <c r="C67" s="118">
        <f>IFERROR(INDEX('الحضور'!$C$3:$C$502,61),"")</f>
        <v/>
      </c>
      <c r="D67" s="43">
        <f>IFERROR(INDEX('الحضور'!$D$3:$D$502,61),"")</f>
        <v/>
      </c>
      <c r="E67" s="115">
        <f>IFERROR(INDEX('الحضور'!$E$3:$E$502,61),"")</f>
        <v/>
      </c>
      <c r="F67" s="115">
        <f>IFERROR(INDEX('الحضور'!$F$3:$F$502,61),"")</f>
        <v/>
      </c>
      <c r="G67" s="55">
        <f>IFERROR(INDEX('الحضور'!$J$3:$J$502,61),"")</f>
        <v/>
      </c>
      <c r="H67" s="55">
        <f>IFERROR(INDEX('الحضور'!$K$3:$K$502,61),"")</f>
        <v/>
      </c>
      <c r="I67" s="55">
        <f>IFERROR(INDEX('الحضور'!$L$3:$L$502,61),"")</f>
        <v/>
      </c>
      <c r="J67" s="55">
        <f>IFERROR(INDEX('الحضور'!$M$3:$M$502,61),"")</f>
        <v/>
      </c>
      <c r="K67" s="43">
        <f>IFERROR(INDEX('الحضور'!$N$3:$N$502,61),"")</f>
        <v/>
      </c>
    </row>
    <row r="68">
      <c r="A68" s="50">
        <f>IFERROR(INDEX('الحضور'!$A$3:$A$502,62),"")</f>
        <v/>
      </c>
      <c r="B68" s="50">
        <f>IFERROR(INDEX('الحضور'!$B$3:$B$502,62),"")</f>
        <v/>
      </c>
      <c r="C68" s="119">
        <f>IFERROR(INDEX('الحضور'!$C$3:$C$502,62),"")</f>
        <v/>
      </c>
      <c r="D68" s="50">
        <f>IFERROR(INDEX('الحضور'!$D$3:$D$502,62),"")</f>
        <v/>
      </c>
      <c r="E68" s="117">
        <f>IFERROR(INDEX('الحضور'!$E$3:$E$502,62),"")</f>
        <v/>
      </c>
      <c r="F68" s="117">
        <f>IFERROR(INDEX('الحضور'!$F$3:$F$502,62),"")</f>
        <v/>
      </c>
      <c r="G68" s="58">
        <f>IFERROR(INDEX('الحضور'!$J$3:$J$502,62),"")</f>
        <v/>
      </c>
      <c r="H68" s="58">
        <f>IFERROR(INDEX('الحضور'!$K$3:$K$502,62),"")</f>
        <v/>
      </c>
      <c r="I68" s="58">
        <f>IFERROR(INDEX('الحضور'!$L$3:$L$502,62),"")</f>
        <v/>
      </c>
      <c r="J68" s="58">
        <f>IFERROR(INDEX('الحضور'!$M$3:$M$502,62),"")</f>
        <v/>
      </c>
      <c r="K68" s="50">
        <f>IFERROR(INDEX('الحضور'!$N$3:$N$502,62),"")</f>
        <v/>
      </c>
    </row>
    <row r="69">
      <c r="A69" s="43">
        <f>IFERROR(INDEX('الحضور'!$A$3:$A$502,63),"")</f>
        <v/>
      </c>
      <c r="B69" s="43">
        <f>IFERROR(INDEX('الحضور'!$B$3:$B$502,63),"")</f>
        <v/>
      </c>
      <c r="C69" s="118">
        <f>IFERROR(INDEX('الحضور'!$C$3:$C$502,63),"")</f>
        <v/>
      </c>
      <c r="D69" s="43">
        <f>IFERROR(INDEX('الحضور'!$D$3:$D$502,63),"")</f>
        <v/>
      </c>
      <c r="E69" s="115">
        <f>IFERROR(INDEX('الحضور'!$E$3:$E$502,63),"")</f>
        <v/>
      </c>
      <c r="F69" s="115">
        <f>IFERROR(INDEX('الحضور'!$F$3:$F$502,63),"")</f>
        <v/>
      </c>
      <c r="G69" s="55">
        <f>IFERROR(INDEX('الحضور'!$J$3:$J$502,63),"")</f>
        <v/>
      </c>
      <c r="H69" s="55">
        <f>IFERROR(INDEX('الحضور'!$K$3:$K$502,63),"")</f>
        <v/>
      </c>
      <c r="I69" s="55">
        <f>IFERROR(INDEX('الحضور'!$L$3:$L$502,63),"")</f>
        <v/>
      </c>
      <c r="J69" s="55">
        <f>IFERROR(INDEX('الحضور'!$M$3:$M$502,63),"")</f>
        <v/>
      </c>
      <c r="K69" s="43">
        <f>IFERROR(INDEX('الحضور'!$N$3:$N$502,63),"")</f>
        <v/>
      </c>
    </row>
    <row r="70">
      <c r="A70" s="50">
        <f>IFERROR(INDEX('الحضور'!$A$3:$A$502,64),"")</f>
        <v/>
      </c>
      <c r="B70" s="50">
        <f>IFERROR(INDEX('الحضور'!$B$3:$B$502,64),"")</f>
        <v/>
      </c>
      <c r="C70" s="119">
        <f>IFERROR(INDEX('الحضور'!$C$3:$C$502,64),"")</f>
        <v/>
      </c>
      <c r="D70" s="50">
        <f>IFERROR(INDEX('الحضور'!$D$3:$D$502,64),"")</f>
        <v/>
      </c>
      <c r="E70" s="117">
        <f>IFERROR(INDEX('الحضور'!$E$3:$E$502,64),"")</f>
        <v/>
      </c>
      <c r="F70" s="117">
        <f>IFERROR(INDEX('الحضور'!$F$3:$F$502,64),"")</f>
        <v/>
      </c>
      <c r="G70" s="58">
        <f>IFERROR(INDEX('الحضور'!$J$3:$J$502,64),"")</f>
        <v/>
      </c>
      <c r="H70" s="58">
        <f>IFERROR(INDEX('الحضور'!$K$3:$K$502,64),"")</f>
        <v/>
      </c>
      <c r="I70" s="58">
        <f>IFERROR(INDEX('الحضور'!$L$3:$L$502,64),"")</f>
        <v/>
      </c>
      <c r="J70" s="58">
        <f>IFERROR(INDEX('الحضور'!$M$3:$M$502,64),"")</f>
        <v/>
      </c>
      <c r="K70" s="50">
        <f>IFERROR(INDEX('الحضور'!$N$3:$N$502,64),"")</f>
        <v/>
      </c>
    </row>
    <row r="71">
      <c r="A71" s="43">
        <f>IFERROR(INDEX('الحضور'!$A$3:$A$502,65),"")</f>
        <v/>
      </c>
      <c r="B71" s="43">
        <f>IFERROR(INDEX('الحضور'!$B$3:$B$502,65),"")</f>
        <v/>
      </c>
      <c r="C71" s="118">
        <f>IFERROR(INDEX('الحضور'!$C$3:$C$502,65),"")</f>
        <v/>
      </c>
      <c r="D71" s="43">
        <f>IFERROR(INDEX('الحضور'!$D$3:$D$502,65),"")</f>
        <v/>
      </c>
      <c r="E71" s="115">
        <f>IFERROR(INDEX('الحضور'!$E$3:$E$502,65),"")</f>
        <v/>
      </c>
      <c r="F71" s="115">
        <f>IFERROR(INDEX('الحضور'!$F$3:$F$502,65),"")</f>
        <v/>
      </c>
      <c r="G71" s="55">
        <f>IFERROR(INDEX('الحضور'!$J$3:$J$502,65),"")</f>
        <v/>
      </c>
      <c r="H71" s="55">
        <f>IFERROR(INDEX('الحضور'!$K$3:$K$502,65),"")</f>
        <v/>
      </c>
      <c r="I71" s="55">
        <f>IFERROR(INDEX('الحضور'!$L$3:$L$502,65),"")</f>
        <v/>
      </c>
      <c r="J71" s="55">
        <f>IFERROR(INDEX('الحضور'!$M$3:$M$502,65),"")</f>
        <v/>
      </c>
      <c r="K71" s="43">
        <f>IFERROR(INDEX('الحضور'!$N$3:$N$502,65),"")</f>
        <v/>
      </c>
    </row>
    <row r="72">
      <c r="A72" s="50">
        <f>IFERROR(INDEX('الحضور'!$A$3:$A$502,66),"")</f>
        <v/>
      </c>
      <c r="B72" s="50">
        <f>IFERROR(INDEX('الحضور'!$B$3:$B$502,66),"")</f>
        <v/>
      </c>
      <c r="C72" s="119">
        <f>IFERROR(INDEX('الحضور'!$C$3:$C$502,66),"")</f>
        <v/>
      </c>
      <c r="D72" s="50">
        <f>IFERROR(INDEX('الحضور'!$D$3:$D$502,66),"")</f>
        <v/>
      </c>
      <c r="E72" s="117">
        <f>IFERROR(INDEX('الحضور'!$E$3:$E$502,66),"")</f>
        <v/>
      </c>
      <c r="F72" s="117">
        <f>IFERROR(INDEX('الحضور'!$F$3:$F$502,66),"")</f>
        <v/>
      </c>
      <c r="G72" s="58">
        <f>IFERROR(INDEX('الحضور'!$J$3:$J$502,66),"")</f>
        <v/>
      </c>
      <c r="H72" s="58">
        <f>IFERROR(INDEX('الحضور'!$K$3:$K$502,66),"")</f>
        <v/>
      </c>
      <c r="I72" s="58">
        <f>IFERROR(INDEX('الحضور'!$L$3:$L$502,66),"")</f>
        <v/>
      </c>
      <c r="J72" s="58">
        <f>IFERROR(INDEX('الحضور'!$M$3:$M$502,66),"")</f>
        <v/>
      </c>
      <c r="K72" s="50">
        <f>IFERROR(INDEX('الحضور'!$N$3:$N$502,66),"")</f>
        <v/>
      </c>
    </row>
    <row r="73">
      <c r="A73" s="43">
        <f>IFERROR(INDEX('الحضور'!$A$3:$A$502,67),"")</f>
        <v/>
      </c>
      <c r="B73" s="43">
        <f>IFERROR(INDEX('الحضور'!$B$3:$B$502,67),"")</f>
        <v/>
      </c>
      <c r="C73" s="118">
        <f>IFERROR(INDEX('الحضور'!$C$3:$C$502,67),"")</f>
        <v/>
      </c>
      <c r="D73" s="43">
        <f>IFERROR(INDEX('الحضور'!$D$3:$D$502,67),"")</f>
        <v/>
      </c>
      <c r="E73" s="115">
        <f>IFERROR(INDEX('الحضور'!$E$3:$E$502,67),"")</f>
        <v/>
      </c>
      <c r="F73" s="115">
        <f>IFERROR(INDEX('الحضور'!$F$3:$F$502,67),"")</f>
        <v/>
      </c>
      <c r="G73" s="55">
        <f>IFERROR(INDEX('الحضور'!$J$3:$J$502,67),"")</f>
        <v/>
      </c>
      <c r="H73" s="55">
        <f>IFERROR(INDEX('الحضور'!$K$3:$K$502,67),"")</f>
        <v/>
      </c>
      <c r="I73" s="55">
        <f>IFERROR(INDEX('الحضور'!$L$3:$L$502,67),"")</f>
        <v/>
      </c>
      <c r="J73" s="55">
        <f>IFERROR(INDEX('الحضور'!$M$3:$M$502,67),"")</f>
        <v/>
      </c>
      <c r="K73" s="43">
        <f>IFERROR(INDEX('الحضور'!$N$3:$N$502,67),"")</f>
        <v/>
      </c>
    </row>
    <row r="74">
      <c r="A74" s="50">
        <f>IFERROR(INDEX('الحضور'!$A$3:$A$502,68),"")</f>
        <v/>
      </c>
      <c r="B74" s="50">
        <f>IFERROR(INDEX('الحضور'!$B$3:$B$502,68),"")</f>
        <v/>
      </c>
      <c r="C74" s="119">
        <f>IFERROR(INDEX('الحضور'!$C$3:$C$502,68),"")</f>
        <v/>
      </c>
      <c r="D74" s="50">
        <f>IFERROR(INDEX('الحضور'!$D$3:$D$502,68),"")</f>
        <v/>
      </c>
      <c r="E74" s="117">
        <f>IFERROR(INDEX('الحضور'!$E$3:$E$502,68),"")</f>
        <v/>
      </c>
      <c r="F74" s="117">
        <f>IFERROR(INDEX('الحضور'!$F$3:$F$502,68),"")</f>
        <v/>
      </c>
      <c r="G74" s="58">
        <f>IFERROR(INDEX('الحضور'!$J$3:$J$502,68),"")</f>
        <v/>
      </c>
      <c r="H74" s="58">
        <f>IFERROR(INDEX('الحضور'!$K$3:$K$502,68),"")</f>
        <v/>
      </c>
      <c r="I74" s="58">
        <f>IFERROR(INDEX('الحضور'!$L$3:$L$502,68),"")</f>
        <v/>
      </c>
      <c r="J74" s="58">
        <f>IFERROR(INDEX('الحضور'!$M$3:$M$502,68),"")</f>
        <v/>
      </c>
      <c r="K74" s="50">
        <f>IFERROR(INDEX('الحضور'!$N$3:$N$502,68),"")</f>
        <v/>
      </c>
    </row>
    <row r="75">
      <c r="A75" s="43">
        <f>IFERROR(INDEX('الحضور'!$A$3:$A$502,69),"")</f>
        <v/>
      </c>
      <c r="B75" s="43">
        <f>IFERROR(INDEX('الحضور'!$B$3:$B$502,69),"")</f>
        <v/>
      </c>
      <c r="C75" s="118">
        <f>IFERROR(INDEX('الحضور'!$C$3:$C$502,69),"")</f>
        <v/>
      </c>
      <c r="D75" s="43">
        <f>IFERROR(INDEX('الحضور'!$D$3:$D$502,69),"")</f>
        <v/>
      </c>
      <c r="E75" s="115">
        <f>IFERROR(INDEX('الحضور'!$E$3:$E$502,69),"")</f>
        <v/>
      </c>
      <c r="F75" s="115">
        <f>IFERROR(INDEX('الحضور'!$F$3:$F$502,69),"")</f>
        <v/>
      </c>
      <c r="G75" s="55">
        <f>IFERROR(INDEX('الحضور'!$J$3:$J$502,69),"")</f>
        <v/>
      </c>
      <c r="H75" s="55">
        <f>IFERROR(INDEX('الحضور'!$K$3:$K$502,69),"")</f>
        <v/>
      </c>
      <c r="I75" s="55">
        <f>IFERROR(INDEX('الحضور'!$L$3:$L$502,69),"")</f>
        <v/>
      </c>
      <c r="J75" s="55">
        <f>IFERROR(INDEX('الحضور'!$M$3:$M$502,69),"")</f>
        <v/>
      </c>
      <c r="K75" s="43">
        <f>IFERROR(INDEX('الحضور'!$N$3:$N$502,69),"")</f>
        <v/>
      </c>
    </row>
    <row r="76">
      <c r="A76" s="50">
        <f>IFERROR(INDEX('الحضور'!$A$3:$A$502,70),"")</f>
        <v/>
      </c>
      <c r="B76" s="50">
        <f>IFERROR(INDEX('الحضور'!$B$3:$B$502,70),"")</f>
        <v/>
      </c>
      <c r="C76" s="119">
        <f>IFERROR(INDEX('الحضور'!$C$3:$C$502,70),"")</f>
        <v/>
      </c>
      <c r="D76" s="50">
        <f>IFERROR(INDEX('الحضور'!$D$3:$D$502,70),"")</f>
        <v/>
      </c>
      <c r="E76" s="117">
        <f>IFERROR(INDEX('الحضور'!$E$3:$E$502,70),"")</f>
        <v/>
      </c>
      <c r="F76" s="117">
        <f>IFERROR(INDEX('الحضور'!$F$3:$F$502,70),"")</f>
        <v/>
      </c>
      <c r="G76" s="58">
        <f>IFERROR(INDEX('الحضور'!$J$3:$J$502,70),"")</f>
        <v/>
      </c>
      <c r="H76" s="58">
        <f>IFERROR(INDEX('الحضور'!$K$3:$K$502,70),"")</f>
        <v/>
      </c>
      <c r="I76" s="58">
        <f>IFERROR(INDEX('الحضور'!$L$3:$L$502,70),"")</f>
        <v/>
      </c>
      <c r="J76" s="58">
        <f>IFERROR(INDEX('الحضور'!$M$3:$M$502,70),"")</f>
        <v/>
      </c>
      <c r="K76" s="50">
        <f>IFERROR(INDEX('الحضور'!$N$3:$N$502,70),"")</f>
        <v/>
      </c>
    </row>
    <row r="77">
      <c r="A77" s="43">
        <f>IFERROR(INDEX('الحضور'!$A$3:$A$502,71),"")</f>
        <v/>
      </c>
      <c r="B77" s="43">
        <f>IFERROR(INDEX('الحضور'!$B$3:$B$502,71),"")</f>
        <v/>
      </c>
      <c r="C77" s="118">
        <f>IFERROR(INDEX('الحضور'!$C$3:$C$502,71),"")</f>
        <v/>
      </c>
      <c r="D77" s="43">
        <f>IFERROR(INDEX('الحضور'!$D$3:$D$502,71),"")</f>
        <v/>
      </c>
      <c r="E77" s="115">
        <f>IFERROR(INDEX('الحضور'!$E$3:$E$502,71),"")</f>
        <v/>
      </c>
      <c r="F77" s="115">
        <f>IFERROR(INDEX('الحضور'!$F$3:$F$502,71),"")</f>
        <v/>
      </c>
      <c r="G77" s="55">
        <f>IFERROR(INDEX('الحضور'!$J$3:$J$502,71),"")</f>
        <v/>
      </c>
      <c r="H77" s="55">
        <f>IFERROR(INDEX('الحضور'!$K$3:$K$502,71),"")</f>
        <v/>
      </c>
      <c r="I77" s="55">
        <f>IFERROR(INDEX('الحضور'!$L$3:$L$502,71),"")</f>
        <v/>
      </c>
      <c r="J77" s="55">
        <f>IFERROR(INDEX('الحضور'!$M$3:$M$502,71),"")</f>
        <v/>
      </c>
      <c r="K77" s="43">
        <f>IFERROR(INDEX('الحضور'!$N$3:$N$502,71),"")</f>
        <v/>
      </c>
    </row>
    <row r="78">
      <c r="A78" s="50">
        <f>IFERROR(INDEX('الحضور'!$A$3:$A$502,72),"")</f>
        <v/>
      </c>
      <c r="B78" s="50">
        <f>IFERROR(INDEX('الحضور'!$B$3:$B$502,72),"")</f>
        <v/>
      </c>
      <c r="C78" s="119">
        <f>IFERROR(INDEX('الحضور'!$C$3:$C$502,72),"")</f>
        <v/>
      </c>
      <c r="D78" s="50">
        <f>IFERROR(INDEX('الحضور'!$D$3:$D$502,72),"")</f>
        <v/>
      </c>
      <c r="E78" s="117">
        <f>IFERROR(INDEX('الحضور'!$E$3:$E$502,72),"")</f>
        <v/>
      </c>
      <c r="F78" s="117">
        <f>IFERROR(INDEX('الحضور'!$F$3:$F$502,72),"")</f>
        <v/>
      </c>
      <c r="G78" s="58">
        <f>IFERROR(INDEX('الحضور'!$J$3:$J$502,72),"")</f>
        <v/>
      </c>
      <c r="H78" s="58">
        <f>IFERROR(INDEX('الحضور'!$K$3:$K$502,72),"")</f>
        <v/>
      </c>
      <c r="I78" s="58">
        <f>IFERROR(INDEX('الحضور'!$L$3:$L$502,72),"")</f>
        <v/>
      </c>
      <c r="J78" s="58">
        <f>IFERROR(INDEX('الحضور'!$M$3:$M$502,72),"")</f>
        <v/>
      </c>
      <c r="K78" s="50">
        <f>IFERROR(INDEX('الحضور'!$N$3:$N$502,72),"")</f>
        <v/>
      </c>
    </row>
    <row r="79">
      <c r="A79" s="43">
        <f>IFERROR(INDEX('الحضور'!$A$3:$A$502,73),"")</f>
        <v/>
      </c>
      <c r="B79" s="43">
        <f>IFERROR(INDEX('الحضور'!$B$3:$B$502,73),"")</f>
        <v/>
      </c>
      <c r="C79" s="118">
        <f>IFERROR(INDEX('الحضور'!$C$3:$C$502,73),"")</f>
        <v/>
      </c>
      <c r="D79" s="43">
        <f>IFERROR(INDEX('الحضور'!$D$3:$D$502,73),"")</f>
        <v/>
      </c>
      <c r="E79" s="115">
        <f>IFERROR(INDEX('الحضور'!$E$3:$E$502,73),"")</f>
        <v/>
      </c>
      <c r="F79" s="115">
        <f>IFERROR(INDEX('الحضور'!$F$3:$F$502,73),"")</f>
        <v/>
      </c>
      <c r="G79" s="55">
        <f>IFERROR(INDEX('الحضور'!$J$3:$J$502,73),"")</f>
        <v/>
      </c>
      <c r="H79" s="55">
        <f>IFERROR(INDEX('الحضور'!$K$3:$K$502,73),"")</f>
        <v/>
      </c>
      <c r="I79" s="55">
        <f>IFERROR(INDEX('الحضور'!$L$3:$L$502,73),"")</f>
        <v/>
      </c>
      <c r="J79" s="55">
        <f>IFERROR(INDEX('الحضور'!$M$3:$M$502,73),"")</f>
        <v/>
      </c>
      <c r="K79" s="43">
        <f>IFERROR(INDEX('الحضور'!$N$3:$N$502,73),"")</f>
        <v/>
      </c>
    </row>
    <row r="80">
      <c r="A80" s="50">
        <f>IFERROR(INDEX('الحضور'!$A$3:$A$502,74),"")</f>
        <v/>
      </c>
      <c r="B80" s="50">
        <f>IFERROR(INDEX('الحضور'!$B$3:$B$502,74),"")</f>
        <v/>
      </c>
      <c r="C80" s="119">
        <f>IFERROR(INDEX('الحضور'!$C$3:$C$502,74),"")</f>
        <v/>
      </c>
      <c r="D80" s="50">
        <f>IFERROR(INDEX('الحضور'!$D$3:$D$502,74),"")</f>
        <v/>
      </c>
      <c r="E80" s="117">
        <f>IFERROR(INDEX('الحضور'!$E$3:$E$502,74),"")</f>
        <v/>
      </c>
      <c r="F80" s="117">
        <f>IFERROR(INDEX('الحضور'!$F$3:$F$502,74),"")</f>
        <v/>
      </c>
      <c r="G80" s="58">
        <f>IFERROR(INDEX('الحضور'!$J$3:$J$502,74),"")</f>
        <v/>
      </c>
      <c r="H80" s="58">
        <f>IFERROR(INDEX('الحضور'!$K$3:$K$502,74),"")</f>
        <v/>
      </c>
      <c r="I80" s="58">
        <f>IFERROR(INDEX('الحضور'!$L$3:$L$502,74),"")</f>
        <v/>
      </c>
      <c r="J80" s="58">
        <f>IFERROR(INDEX('الحضور'!$M$3:$M$502,74),"")</f>
        <v/>
      </c>
      <c r="K80" s="50">
        <f>IFERROR(INDEX('الحضور'!$N$3:$N$502,74),"")</f>
        <v/>
      </c>
    </row>
    <row r="81">
      <c r="A81" s="43">
        <f>IFERROR(INDEX('الحضور'!$A$3:$A$502,75),"")</f>
        <v/>
      </c>
      <c r="B81" s="43">
        <f>IFERROR(INDEX('الحضور'!$B$3:$B$502,75),"")</f>
        <v/>
      </c>
      <c r="C81" s="118">
        <f>IFERROR(INDEX('الحضور'!$C$3:$C$502,75),"")</f>
        <v/>
      </c>
      <c r="D81" s="43">
        <f>IFERROR(INDEX('الحضور'!$D$3:$D$502,75),"")</f>
        <v/>
      </c>
      <c r="E81" s="115">
        <f>IFERROR(INDEX('الحضور'!$E$3:$E$502,75),"")</f>
        <v/>
      </c>
      <c r="F81" s="115">
        <f>IFERROR(INDEX('الحضور'!$F$3:$F$502,75),"")</f>
        <v/>
      </c>
      <c r="G81" s="55">
        <f>IFERROR(INDEX('الحضور'!$J$3:$J$502,75),"")</f>
        <v/>
      </c>
      <c r="H81" s="55">
        <f>IFERROR(INDEX('الحضور'!$K$3:$K$502,75),"")</f>
        <v/>
      </c>
      <c r="I81" s="55">
        <f>IFERROR(INDEX('الحضور'!$L$3:$L$502,75),"")</f>
        <v/>
      </c>
      <c r="J81" s="55">
        <f>IFERROR(INDEX('الحضور'!$M$3:$M$502,75),"")</f>
        <v/>
      </c>
      <c r="K81" s="43">
        <f>IFERROR(INDEX('الحضور'!$N$3:$N$502,75),"")</f>
        <v/>
      </c>
    </row>
    <row r="82">
      <c r="A82" s="50">
        <f>IFERROR(INDEX('الحضور'!$A$3:$A$502,76),"")</f>
        <v/>
      </c>
      <c r="B82" s="50">
        <f>IFERROR(INDEX('الحضور'!$B$3:$B$502,76),"")</f>
        <v/>
      </c>
      <c r="C82" s="119">
        <f>IFERROR(INDEX('الحضور'!$C$3:$C$502,76),"")</f>
        <v/>
      </c>
      <c r="D82" s="50">
        <f>IFERROR(INDEX('الحضور'!$D$3:$D$502,76),"")</f>
        <v/>
      </c>
      <c r="E82" s="117">
        <f>IFERROR(INDEX('الحضور'!$E$3:$E$502,76),"")</f>
        <v/>
      </c>
      <c r="F82" s="117">
        <f>IFERROR(INDEX('الحضور'!$F$3:$F$502,76),"")</f>
        <v/>
      </c>
      <c r="G82" s="58">
        <f>IFERROR(INDEX('الحضور'!$J$3:$J$502,76),"")</f>
        <v/>
      </c>
      <c r="H82" s="58">
        <f>IFERROR(INDEX('الحضور'!$K$3:$K$502,76),"")</f>
        <v/>
      </c>
      <c r="I82" s="58">
        <f>IFERROR(INDEX('الحضور'!$L$3:$L$502,76),"")</f>
        <v/>
      </c>
      <c r="J82" s="58">
        <f>IFERROR(INDEX('الحضور'!$M$3:$M$502,76),"")</f>
        <v/>
      </c>
      <c r="K82" s="50">
        <f>IFERROR(INDEX('الحضور'!$N$3:$N$502,76),"")</f>
        <v/>
      </c>
    </row>
    <row r="83">
      <c r="A83" s="43">
        <f>IFERROR(INDEX('الحضور'!$A$3:$A$502,77),"")</f>
        <v/>
      </c>
      <c r="B83" s="43">
        <f>IFERROR(INDEX('الحضور'!$B$3:$B$502,77),"")</f>
        <v/>
      </c>
      <c r="C83" s="118">
        <f>IFERROR(INDEX('الحضور'!$C$3:$C$502,77),"")</f>
        <v/>
      </c>
      <c r="D83" s="43">
        <f>IFERROR(INDEX('الحضور'!$D$3:$D$502,77),"")</f>
        <v/>
      </c>
      <c r="E83" s="115">
        <f>IFERROR(INDEX('الحضور'!$E$3:$E$502,77),"")</f>
        <v/>
      </c>
      <c r="F83" s="115">
        <f>IFERROR(INDEX('الحضور'!$F$3:$F$502,77),"")</f>
        <v/>
      </c>
      <c r="G83" s="55">
        <f>IFERROR(INDEX('الحضور'!$J$3:$J$502,77),"")</f>
        <v/>
      </c>
      <c r="H83" s="55">
        <f>IFERROR(INDEX('الحضور'!$K$3:$K$502,77),"")</f>
        <v/>
      </c>
      <c r="I83" s="55">
        <f>IFERROR(INDEX('الحضور'!$L$3:$L$502,77),"")</f>
        <v/>
      </c>
      <c r="J83" s="55">
        <f>IFERROR(INDEX('الحضور'!$M$3:$M$502,77),"")</f>
        <v/>
      </c>
      <c r="K83" s="43">
        <f>IFERROR(INDEX('الحضور'!$N$3:$N$502,77),"")</f>
        <v/>
      </c>
    </row>
    <row r="84">
      <c r="A84" s="50">
        <f>IFERROR(INDEX('الحضور'!$A$3:$A$502,78),"")</f>
        <v/>
      </c>
      <c r="B84" s="50">
        <f>IFERROR(INDEX('الحضور'!$B$3:$B$502,78),"")</f>
        <v/>
      </c>
      <c r="C84" s="119">
        <f>IFERROR(INDEX('الحضور'!$C$3:$C$502,78),"")</f>
        <v/>
      </c>
      <c r="D84" s="50">
        <f>IFERROR(INDEX('الحضور'!$D$3:$D$502,78),"")</f>
        <v/>
      </c>
      <c r="E84" s="117">
        <f>IFERROR(INDEX('الحضور'!$E$3:$E$502,78),"")</f>
        <v/>
      </c>
      <c r="F84" s="117">
        <f>IFERROR(INDEX('الحضور'!$F$3:$F$502,78),"")</f>
        <v/>
      </c>
      <c r="G84" s="58">
        <f>IFERROR(INDEX('الحضور'!$J$3:$J$502,78),"")</f>
        <v/>
      </c>
      <c r="H84" s="58">
        <f>IFERROR(INDEX('الحضور'!$K$3:$K$502,78),"")</f>
        <v/>
      </c>
      <c r="I84" s="58">
        <f>IFERROR(INDEX('الحضور'!$L$3:$L$502,78),"")</f>
        <v/>
      </c>
      <c r="J84" s="58">
        <f>IFERROR(INDEX('الحضور'!$M$3:$M$502,78),"")</f>
        <v/>
      </c>
      <c r="K84" s="50">
        <f>IFERROR(INDEX('الحضور'!$N$3:$N$502,78),"")</f>
        <v/>
      </c>
    </row>
    <row r="85">
      <c r="A85" s="43">
        <f>IFERROR(INDEX('الحضور'!$A$3:$A$502,79),"")</f>
        <v/>
      </c>
      <c r="B85" s="43">
        <f>IFERROR(INDEX('الحضور'!$B$3:$B$502,79),"")</f>
        <v/>
      </c>
      <c r="C85" s="118">
        <f>IFERROR(INDEX('الحضور'!$C$3:$C$502,79),"")</f>
        <v/>
      </c>
      <c r="D85" s="43">
        <f>IFERROR(INDEX('الحضور'!$D$3:$D$502,79),"")</f>
        <v/>
      </c>
      <c r="E85" s="115">
        <f>IFERROR(INDEX('الحضور'!$E$3:$E$502,79),"")</f>
        <v/>
      </c>
      <c r="F85" s="115">
        <f>IFERROR(INDEX('الحضور'!$F$3:$F$502,79),"")</f>
        <v/>
      </c>
      <c r="G85" s="55">
        <f>IFERROR(INDEX('الحضور'!$J$3:$J$502,79),"")</f>
        <v/>
      </c>
      <c r="H85" s="55">
        <f>IFERROR(INDEX('الحضور'!$K$3:$K$502,79),"")</f>
        <v/>
      </c>
      <c r="I85" s="55">
        <f>IFERROR(INDEX('الحضور'!$L$3:$L$502,79),"")</f>
        <v/>
      </c>
      <c r="J85" s="55">
        <f>IFERROR(INDEX('الحضور'!$M$3:$M$502,79),"")</f>
        <v/>
      </c>
      <c r="K85" s="43">
        <f>IFERROR(INDEX('الحضور'!$N$3:$N$502,79),"")</f>
        <v/>
      </c>
    </row>
    <row r="86">
      <c r="A86" s="50">
        <f>IFERROR(INDEX('الحضور'!$A$3:$A$502,80),"")</f>
        <v/>
      </c>
      <c r="B86" s="50">
        <f>IFERROR(INDEX('الحضور'!$B$3:$B$502,80),"")</f>
        <v/>
      </c>
      <c r="C86" s="119">
        <f>IFERROR(INDEX('الحضور'!$C$3:$C$502,80),"")</f>
        <v/>
      </c>
      <c r="D86" s="50">
        <f>IFERROR(INDEX('الحضور'!$D$3:$D$502,80),"")</f>
        <v/>
      </c>
      <c r="E86" s="117">
        <f>IFERROR(INDEX('الحضور'!$E$3:$E$502,80),"")</f>
        <v/>
      </c>
      <c r="F86" s="117">
        <f>IFERROR(INDEX('الحضور'!$F$3:$F$502,80),"")</f>
        <v/>
      </c>
      <c r="G86" s="58">
        <f>IFERROR(INDEX('الحضور'!$J$3:$J$502,80),"")</f>
        <v/>
      </c>
      <c r="H86" s="58">
        <f>IFERROR(INDEX('الحضور'!$K$3:$K$502,80),"")</f>
        <v/>
      </c>
      <c r="I86" s="58">
        <f>IFERROR(INDEX('الحضور'!$L$3:$L$502,80),"")</f>
        <v/>
      </c>
      <c r="J86" s="58">
        <f>IFERROR(INDEX('الحضور'!$M$3:$M$502,80),"")</f>
        <v/>
      </c>
      <c r="K86" s="50">
        <f>IFERROR(INDEX('الحضور'!$N$3:$N$502,80),"")</f>
        <v/>
      </c>
    </row>
    <row r="87">
      <c r="A87" s="43">
        <f>IFERROR(INDEX('الحضور'!$A$3:$A$502,81),"")</f>
        <v/>
      </c>
      <c r="B87" s="43">
        <f>IFERROR(INDEX('الحضور'!$B$3:$B$502,81),"")</f>
        <v/>
      </c>
      <c r="C87" s="118">
        <f>IFERROR(INDEX('الحضور'!$C$3:$C$502,81),"")</f>
        <v/>
      </c>
      <c r="D87" s="43">
        <f>IFERROR(INDEX('الحضور'!$D$3:$D$502,81),"")</f>
        <v/>
      </c>
      <c r="E87" s="115">
        <f>IFERROR(INDEX('الحضور'!$E$3:$E$502,81),"")</f>
        <v/>
      </c>
      <c r="F87" s="115">
        <f>IFERROR(INDEX('الحضور'!$F$3:$F$502,81),"")</f>
        <v/>
      </c>
      <c r="G87" s="55">
        <f>IFERROR(INDEX('الحضور'!$J$3:$J$502,81),"")</f>
        <v/>
      </c>
      <c r="H87" s="55">
        <f>IFERROR(INDEX('الحضور'!$K$3:$K$502,81),"")</f>
        <v/>
      </c>
      <c r="I87" s="55">
        <f>IFERROR(INDEX('الحضور'!$L$3:$L$502,81),"")</f>
        <v/>
      </c>
      <c r="J87" s="55">
        <f>IFERROR(INDEX('الحضور'!$M$3:$M$502,81),"")</f>
        <v/>
      </c>
      <c r="K87" s="43">
        <f>IFERROR(INDEX('الحضور'!$N$3:$N$502,81),"")</f>
        <v/>
      </c>
    </row>
    <row r="88">
      <c r="A88" s="50">
        <f>IFERROR(INDEX('الحضور'!$A$3:$A$502,82),"")</f>
        <v/>
      </c>
      <c r="B88" s="50">
        <f>IFERROR(INDEX('الحضور'!$B$3:$B$502,82),"")</f>
        <v/>
      </c>
      <c r="C88" s="119">
        <f>IFERROR(INDEX('الحضور'!$C$3:$C$502,82),"")</f>
        <v/>
      </c>
      <c r="D88" s="50">
        <f>IFERROR(INDEX('الحضور'!$D$3:$D$502,82),"")</f>
        <v/>
      </c>
      <c r="E88" s="117">
        <f>IFERROR(INDEX('الحضور'!$E$3:$E$502,82),"")</f>
        <v/>
      </c>
      <c r="F88" s="117">
        <f>IFERROR(INDEX('الحضور'!$F$3:$F$502,82),"")</f>
        <v/>
      </c>
      <c r="G88" s="58">
        <f>IFERROR(INDEX('الحضور'!$J$3:$J$502,82),"")</f>
        <v/>
      </c>
      <c r="H88" s="58">
        <f>IFERROR(INDEX('الحضور'!$K$3:$K$502,82),"")</f>
        <v/>
      </c>
      <c r="I88" s="58">
        <f>IFERROR(INDEX('الحضور'!$L$3:$L$502,82),"")</f>
        <v/>
      </c>
      <c r="J88" s="58">
        <f>IFERROR(INDEX('الحضور'!$M$3:$M$502,82),"")</f>
        <v/>
      </c>
      <c r="K88" s="50">
        <f>IFERROR(INDEX('الحضور'!$N$3:$N$502,82),"")</f>
        <v/>
      </c>
    </row>
    <row r="89">
      <c r="A89" s="43">
        <f>IFERROR(INDEX('الحضور'!$A$3:$A$502,83),"")</f>
        <v/>
      </c>
      <c r="B89" s="43">
        <f>IFERROR(INDEX('الحضور'!$B$3:$B$502,83),"")</f>
        <v/>
      </c>
      <c r="C89" s="118">
        <f>IFERROR(INDEX('الحضور'!$C$3:$C$502,83),"")</f>
        <v/>
      </c>
      <c r="D89" s="43">
        <f>IFERROR(INDEX('الحضور'!$D$3:$D$502,83),"")</f>
        <v/>
      </c>
      <c r="E89" s="115">
        <f>IFERROR(INDEX('الحضور'!$E$3:$E$502,83),"")</f>
        <v/>
      </c>
      <c r="F89" s="115">
        <f>IFERROR(INDEX('الحضور'!$F$3:$F$502,83),"")</f>
        <v/>
      </c>
      <c r="G89" s="55">
        <f>IFERROR(INDEX('الحضور'!$J$3:$J$502,83),"")</f>
        <v/>
      </c>
      <c r="H89" s="55">
        <f>IFERROR(INDEX('الحضور'!$K$3:$K$502,83),"")</f>
        <v/>
      </c>
      <c r="I89" s="55">
        <f>IFERROR(INDEX('الحضور'!$L$3:$L$502,83),"")</f>
        <v/>
      </c>
      <c r="J89" s="55">
        <f>IFERROR(INDEX('الحضور'!$M$3:$M$502,83),"")</f>
        <v/>
      </c>
      <c r="K89" s="43">
        <f>IFERROR(INDEX('الحضور'!$N$3:$N$502,83),"")</f>
        <v/>
      </c>
    </row>
    <row r="90">
      <c r="A90" s="50">
        <f>IFERROR(INDEX('الحضور'!$A$3:$A$502,84),"")</f>
        <v/>
      </c>
      <c r="B90" s="50">
        <f>IFERROR(INDEX('الحضور'!$B$3:$B$502,84),"")</f>
        <v/>
      </c>
      <c r="C90" s="119">
        <f>IFERROR(INDEX('الحضور'!$C$3:$C$502,84),"")</f>
        <v/>
      </c>
      <c r="D90" s="50">
        <f>IFERROR(INDEX('الحضور'!$D$3:$D$502,84),"")</f>
        <v/>
      </c>
      <c r="E90" s="117">
        <f>IFERROR(INDEX('الحضور'!$E$3:$E$502,84),"")</f>
        <v/>
      </c>
      <c r="F90" s="117">
        <f>IFERROR(INDEX('الحضور'!$F$3:$F$502,84),"")</f>
        <v/>
      </c>
      <c r="G90" s="58">
        <f>IFERROR(INDEX('الحضور'!$J$3:$J$502,84),"")</f>
        <v/>
      </c>
      <c r="H90" s="58">
        <f>IFERROR(INDEX('الحضور'!$K$3:$K$502,84),"")</f>
        <v/>
      </c>
      <c r="I90" s="58">
        <f>IFERROR(INDEX('الحضور'!$L$3:$L$502,84),"")</f>
        <v/>
      </c>
      <c r="J90" s="58">
        <f>IFERROR(INDEX('الحضور'!$M$3:$M$502,84),"")</f>
        <v/>
      </c>
      <c r="K90" s="50">
        <f>IFERROR(INDEX('الحضور'!$N$3:$N$502,84),"")</f>
        <v/>
      </c>
    </row>
    <row r="91">
      <c r="A91" s="43">
        <f>IFERROR(INDEX('الحضور'!$A$3:$A$502,85),"")</f>
        <v/>
      </c>
      <c r="B91" s="43">
        <f>IFERROR(INDEX('الحضور'!$B$3:$B$502,85),"")</f>
        <v/>
      </c>
      <c r="C91" s="118">
        <f>IFERROR(INDEX('الحضور'!$C$3:$C$502,85),"")</f>
        <v/>
      </c>
      <c r="D91" s="43">
        <f>IFERROR(INDEX('الحضور'!$D$3:$D$502,85),"")</f>
        <v/>
      </c>
      <c r="E91" s="115">
        <f>IFERROR(INDEX('الحضور'!$E$3:$E$502,85),"")</f>
        <v/>
      </c>
      <c r="F91" s="115">
        <f>IFERROR(INDEX('الحضور'!$F$3:$F$502,85),"")</f>
        <v/>
      </c>
      <c r="G91" s="55">
        <f>IFERROR(INDEX('الحضور'!$J$3:$J$502,85),"")</f>
        <v/>
      </c>
      <c r="H91" s="55">
        <f>IFERROR(INDEX('الحضور'!$K$3:$K$502,85),"")</f>
        <v/>
      </c>
      <c r="I91" s="55">
        <f>IFERROR(INDEX('الحضور'!$L$3:$L$502,85),"")</f>
        <v/>
      </c>
      <c r="J91" s="55">
        <f>IFERROR(INDEX('الحضور'!$M$3:$M$502,85),"")</f>
        <v/>
      </c>
      <c r="K91" s="43">
        <f>IFERROR(INDEX('الحضور'!$N$3:$N$502,85),"")</f>
        <v/>
      </c>
    </row>
    <row r="92">
      <c r="A92" s="50">
        <f>IFERROR(INDEX('الحضور'!$A$3:$A$502,86),"")</f>
        <v/>
      </c>
      <c r="B92" s="50">
        <f>IFERROR(INDEX('الحضور'!$B$3:$B$502,86),"")</f>
        <v/>
      </c>
      <c r="C92" s="119">
        <f>IFERROR(INDEX('الحضور'!$C$3:$C$502,86),"")</f>
        <v/>
      </c>
      <c r="D92" s="50">
        <f>IFERROR(INDEX('الحضور'!$D$3:$D$502,86),"")</f>
        <v/>
      </c>
      <c r="E92" s="117">
        <f>IFERROR(INDEX('الحضور'!$E$3:$E$502,86),"")</f>
        <v/>
      </c>
      <c r="F92" s="117">
        <f>IFERROR(INDEX('الحضور'!$F$3:$F$502,86),"")</f>
        <v/>
      </c>
      <c r="G92" s="58">
        <f>IFERROR(INDEX('الحضور'!$J$3:$J$502,86),"")</f>
        <v/>
      </c>
      <c r="H92" s="58">
        <f>IFERROR(INDEX('الحضور'!$K$3:$K$502,86),"")</f>
        <v/>
      </c>
      <c r="I92" s="58">
        <f>IFERROR(INDEX('الحضور'!$L$3:$L$502,86),"")</f>
        <v/>
      </c>
      <c r="J92" s="58">
        <f>IFERROR(INDEX('الحضور'!$M$3:$M$502,86),"")</f>
        <v/>
      </c>
      <c r="K92" s="50">
        <f>IFERROR(INDEX('الحضور'!$N$3:$N$502,86),"")</f>
        <v/>
      </c>
    </row>
    <row r="93">
      <c r="A93" s="43">
        <f>IFERROR(INDEX('الحضور'!$A$3:$A$502,87),"")</f>
        <v/>
      </c>
      <c r="B93" s="43">
        <f>IFERROR(INDEX('الحضور'!$B$3:$B$502,87),"")</f>
        <v/>
      </c>
      <c r="C93" s="118">
        <f>IFERROR(INDEX('الحضور'!$C$3:$C$502,87),"")</f>
        <v/>
      </c>
      <c r="D93" s="43">
        <f>IFERROR(INDEX('الحضور'!$D$3:$D$502,87),"")</f>
        <v/>
      </c>
      <c r="E93" s="115">
        <f>IFERROR(INDEX('الحضور'!$E$3:$E$502,87),"")</f>
        <v/>
      </c>
      <c r="F93" s="115">
        <f>IFERROR(INDEX('الحضور'!$F$3:$F$502,87),"")</f>
        <v/>
      </c>
      <c r="G93" s="55">
        <f>IFERROR(INDEX('الحضور'!$J$3:$J$502,87),"")</f>
        <v/>
      </c>
      <c r="H93" s="55">
        <f>IFERROR(INDEX('الحضور'!$K$3:$K$502,87),"")</f>
        <v/>
      </c>
      <c r="I93" s="55">
        <f>IFERROR(INDEX('الحضور'!$L$3:$L$502,87),"")</f>
        <v/>
      </c>
      <c r="J93" s="55">
        <f>IFERROR(INDEX('الحضور'!$M$3:$M$502,87),"")</f>
        <v/>
      </c>
      <c r="K93" s="43">
        <f>IFERROR(INDEX('الحضور'!$N$3:$N$502,87),"")</f>
        <v/>
      </c>
    </row>
    <row r="94">
      <c r="A94" s="50">
        <f>IFERROR(INDEX('الحضور'!$A$3:$A$502,88),"")</f>
        <v/>
      </c>
      <c r="B94" s="50">
        <f>IFERROR(INDEX('الحضور'!$B$3:$B$502,88),"")</f>
        <v/>
      </c>
      <c r="C94" s="119">
        <f>IFERROR(INDEX('الحضور'!$C$3:$C$502,88),"")</f>
        <v/>
      </c>
      <c r="D94" s="50">
        <f>IFERROR(INDEX('الحضور'!$D$3:$D$502,88),"")</f>
        <v/>
      </c>
      <c r="E94" s="117">
        <f>IFERROR(INDEX('الحضور'!$E$3:$E$502,88),"")</f>
        <v/>
      </c>
      <c r="F94" s="117">
        <f>IFERROR(INDEX('الحضور'!$F$3:$F$502,88),"")</f>
        <v/>
      </c>
      <c r="G94" s="58">
        <f>IFERROR(INDEX('الحضور'!$J$3:$J$502,88),"")</f>
        <v/>
      </c>
      <c r="H94" s="58">
        <f>IFERROR(INDEX('الحضور'!$K$3:$K$502,88),"")</f>
        <v/>
      </c>
      <c r="I94" s="58">
        <f>IFERROR(INDEX('الحضور'!$L$3:$L$502,88),"")</f>
        <v/>
      </c>
      <c r="J94" s="58">
        <f>IFERROR(INDEX('الحضور'!$M$3:$M$502,88),"")</f>
        <v/>
      </c>
      <c r="K94" s="50">
        <f>IFERROR(INDEX('الحضور'!$N$3:$N$502,88),"")</f>
        <v/>
      </c>
    </row>
    <row r="95">
      <c r="A95" s="43">
        <f>IFERROR(INDEX('الحضور'!$A$3:$A$502,89),"")</f>
        <v/>
      </c>
      <c r="B95" s="43">
        <f>IFERROR(INDEX('الحضور'!$B$3:$B$502,89),"")</f>
        <v/>
      </c>
      <c r="C95" s="118">
        <f>IFERROR(INDEX('الحضور'!$C$3:$C$502,89),"")</f>
        <v/>
      </c>
      <c r="D95" s="43">
        <f>IFERROR(INDEX('الحضور'!$D$3:$D$502,89),"")</f>
        <v/>
      </c>
      <c r="E95" s="115">
        <f>IFERROR(INDEX('الحضور'!$E$3:$E$502,89),"")</f>
        <v/>
      </c>
      <c r="F95" s="115">
        <f>IFERROR(INDEX('الحضور'!$F$3:$F$502,89),"")</f>
        <v/>
      </c>
      <c r="G95" s="55">
        <f>IFERROR(INDEX('الحضور'!$J$3:$J$502,89),"")</f>
        <v/>
      </c>
      <c r="H95" s="55">
        <f>IFERROR(INDEX('الحضور'!$K$3:$K$502,89),"")</f>
        <v/>
      </c>
      <c r="I95" s="55">
        <f>IFERROR(INDEX('الحضور'!$L$3:$L$502,89),"")</f>
        <v/>
      </c>
      <c r="J95" s="55">
        <f>IFERROR(INDEX('الحضور'!$M$3:$M$502,89),"")</f>
        <v/>
      </c>
      <c r="K95" s="43">
        <f>IFERROR(INDEX('الحضور'!$N$3:$N$502,89),"")</f>
        <v/>
      </c>
    </row>
    <row r="96">
      <c r="A96" s="50">
        <f>IFERROR(INDEX('الحضور'!$A$3:$A$502,90),"")</f>
        <v/>
      </c>
      <c r="B96" s="50">
        <f>IFERROR(INDEX('الحضور'!$B$3:$B$502,90),"")</f>
        <v/>
      </c>
      <c r="C96" s="119">
        <f>IFERROR(INDEX('الحضور'!$C$3:$C$502,90),"")</f>
        <v/>
      </c>
      <c r="D96" s="50">
        <f>IFERROR(INDEX('الحضور'!$D$3:$D$502,90),"")</f>
        <v/>
      </c>
      <c r="E96" s="117">
        <f>IFERROR(INDEX('الحضور'!$E$3:$E$502,90),"")</f>
        <v/>
      </c>
      <c r="F96" s="117">
        <f>IFERROR(INDEX('الحضور'!$F$3:$F$502,90),"")</f>
        <v/>
      </c>
      <c r="G96" s="58">
        <f>IFERROR(INDEX('الحضور'!$J$3:$J$502,90),"")</f>
        <v/>
      </c>
      <c r="H96" s="58">
        <f>IFERROR(INDEX('الحضور'!$K$3:$K$502,90),"")</f>
        <v/>
      </c>
      <c r="I96" s="58">
        <f>IFERROR(INDEX('الحضور'!$L$3:$L$502,90),"")</f>
        <v/>
      </c>
      <c r="J96" s="58">
        <f>IFERROR(INDEX('الحضور'!$M$3:$M$502,90),"")</f>
        <v/>
      </c>
      <c r="K96" s="50">
        <f>IFERROR(INDEX('الحضور'!$N$3:$N$502,90),"")</f>
        <v/>
      </c>
    </row>
    <row r="97">
      <c r="A97" s="43">
        <f>IFERROR(INDEX('الحضور'!$A$3:$A$502,91),"")</f>
        <v/>
      </c>
      <c r="B97" s="43">
        <f>IFERROR(INDEX('الحضور'!$B$3:$B$502,91),"")</f>
        <v/>
      </c>
      <c r="C97" s="118">
        <f>IFERROR(INDEX('الحضور'!$C$3:$C$502,91),"")</f>
        <v/>
      </c>
      <c r="D97" s="43">
        <f>IFERROR(INDEX('الحضور'!$D$3:$D$502,91),"")</f>
        <v/>
      </c>
      <c r="E97" s="115">
        <f>IFERROR(INDEX('الحضور'!$E$3:$E$502,91),"")</f>
        <v/>
      </c>
      <c r="F97" s="115">
        <f>IFERROR(INDEX('الحضور'!$F$3:$F$502,91),"")</f>
        <v/>
      </c>
      <c r="G97" s="55">
        <f>IFERROR(INDEX('الحضور'!$J$3:$J$502,91),"")</f>
        <v/>
      </c>
      <c r="H97" s="55">
        <f>IFERROR(INDEX('الحضور'!$K$3:$K$502,91),"")</f>
        <v/>
      </c>
      <c r="I97" s="55">
        <f>IFERROR(INDEX('الحضور'!$L$3:$L$502,91),"")</f>
        <v/>
      </c>
      <c r="J97" s="55">
        <f>IFERROR(INDEX('الحضور'!$M$3:$M$502,91),"")</f>
        <v/>
      </c>
      <c r="K97" s="43">
        <f>IFERROR(INDEX('الحضور'!$N$3:$N$502,91),"")</f>
        <v/>
      </c>
    </row>
    <row r="98">
      <c r="A98" s="50">
        <f>IFERROR(INDEX('الحضور'!$A$3:$A$502,92),"")</f>
        <v/>
      </c>
      <c r="B98" s="50">
        <f>IFERROR(INDEX('الحضور'!$B$3:$B$502,92),"")</f>
        <v/>
      </c>
      <c r="C98" s="119">
        <f>IFERROR(INDEX('الحضور'!$C$3:$C$502,92),"")</f>
        <v/>
      </c>
      <c r="D98" s="50">
        <f>IFERROR(INDEX('الحضور'!$D$3:$D$502,92),"")</f>
        <v/>
      </c>
      <c r="E98" s="117">
        <f>IFERROR(INDEX('الحضور'!$E$3:$E$502,92),"")</f>
        <v/>
      </c>
      <c r="F98" s="117">
        <f>IFERROR(INDEX('الحضور'!$F$3:$F$502,92),"")</f>
        <v/>
      </c>
      <c r="G98" s="58">
        <f>IFERROR(INDEX('الحضور'!$J$3:$J$502,92),"")</f>
        <v/>
      </c>
      <c r="H98" s="58">
        <f>IFERROR(INDEX('الحضور'!$K$3:$K$502,92),"")</f>
        <v/>
      </c>
      <c r="I98" s="58">
        <f>IFERROR(INDEX('الحضور'!$L$3:$L$502,92),"")</f>
        <v/>
      </c>
      <c r="J98" s="58">
        <f>IFERROR(INDEX('الحضور'!$M$3:$M$502,92),"")</f>
        <v/>
      </c>
      <c r="K98" s="50">
        <f>IFERROR(INDEX('الحضور'!$N$3:$N$502,92),"")</f>
        <v/>
      </c>
    </row>
    <row r="99">
      <c r="A99" s="43">
        <f>IFERROR(INDEX('الحضور'!$A$3:$A$502,93),"")</f>
        <v/>
      </c>
      <c r="B99" s="43">
        <f>IFERROR(INDEX('الحضور'!$B$3:$B$502,93),"")</f>
        <v/>
      </c>
      <c r="C99" s="118">
        <f>IFERROR(INDEX('الحضور'!$C$3:$C$502,93),"")</f>
        <v/>
      </c>
      <c r="D99" s="43">
        <f>IFERROR(INDEX('الحضور'!$D$3:$D$502,93),"")</f>
        <v/>
      </c>
      <c r="E99" s="115">
        <f>IFERROR(INDEX('الحضور'!$E$3:$E$502,93),"")</f>
        <v/>
      </c>
      <c r="F99" s="115">
        <f>IFERROR(INDEX('الحضور'!$F$3:$F$502,93),"")</f>
        <v/>
      </c>
      <c r="G99" s="55">
        <f>IFERROR(INDEX('الحضور'!$J$3:$J$502,93),"")</f>
        <v/>
      </c>
      <c r="H99" s="55">
        <f>IFERROR(INDEX('الحضور'!$K$3:$K$502,93),"")</f>
        <v/>
      </c>
      <c r="I99" s="55">
        <f>IFERROR(INDEX('الحضور'!$L$3:$L$502,93),"")</f>
        <v/>
      </c>
      <c r="J99" s="55">
        <f>IFERROR(INDEX('الحضور'!$M$3:$M$502,93),"")</f>
        <v/>
      </c>
      <c r="K99" s="43">
        <f>IFERROR(INDEX('الحضور'!$N$3:$N$502,93),"")</f>
        <v/>
      </c>
    </row>
    <row r="100">
      <c r="A100" s="50">
        <f>IFERROR(INDEX('الحضور'!$A$3:$A$502,94),"")</f>
        <v/>
      </c>
      <c r="B100" s="50">
        <f>IFERROR(INDEX('الحضور'!$B$3:$B$502,94),"")</f>
        <v/>
      </c>
      <c r="C100" s="119">
        <f>IFERROR(INDEX('الحضور'!$C$3:$C$502,94),"")</f>
        <v/>
      </c>
      <c r="D100" s="50">
        <f>IFERROR(INDEX('الحضور'!$D$3:$D$502,94),"")</f>
        <v/>
      </c>
      <c r="E100" s="117">
        <f>IFERROR(INDEX('الحضور'!$E$3:$E$502,94),"")</f>
        <v/>
      </c>
      <c r="F100" s="117">
        <f>IFERROR(INDEX('الحضور'!$F$3:$F$502,94),"")</f>
        <v/>
      </c>
      <c r="G100" s="58">
        <f>IFERROR(INDEX('الحضور'!$J$3:$J$502,94),"")</f>
        <v/>
      </c>
      <c r="H100" s="58">
        <f>IFERROR(INDEX('الحضور'!$K$3:$K$502,94),"")</f>
        <v/>
      </c>
      <c r="I100" s="58">
        <f>IFERROR(INDEX('الحضور'!$L$3:$L$502,94),"")</f>
        <v/>
      </c>
      <c r="J100" s="58">
        <f>IFERROR(INDEX('الحضور'!$M$3:$M$502,94),"")</f>
        <v/>
      </c>
      <c r="K100" s="50">
        <f>IFERROR(INDEX('الحضور'!$N$3:$N$502,94),"")</f>
        <v/>
      </c>
    </row>
    <row r="101">
      <c r="A101" s="43">
        <f>IFERROR(INDEX('الحضور'!$A$3:$A$502,95),"")</f>
        <v/>
      </c>
      <c r="B101" s="43">
        <f>IFERROR(INDEX('الحضور'!$B$3:$B$502,95),"")</f>
        <v/>
      </c>
      <c r="C101" s="118">
        <f>IFERROR(INDEX('الحضور'!$C$3:$C$502,95),"")</f>
        <v/>
      </c>
      <c r="D101" s="43">
        <f>IFERROR(INDEX('الحضور'!$D$3:$D$502,95),"")</f>
        <v/>
      </c>
      <c r="E101" s="115">
        <f>IFERROR(INDEX('الحضور'!$E$3:$E$502,95),"")</f>
        <v/>
      </c>
      <c r="F101" s="115">
        <f>IFERROR(INDEX('الحضور'!$F$3:$F$502,95),"")</f>
        <v/>
      </c>
      <c r="G101" s="55">
        <f>IFERROR(INDEX('الحضور'!$J$3:$J$502,95),"")</f>
        <v/>
      </c>
      <c r="H101" s="55">
        <f>IFERROR(INDEX('الحضور'!$K$3:$K$502,95),"")</f>
        <v/>
      </c>
      <c r="I101" s="55">
        <f>IFERROR(INDEX('الحضور'!$L$3:$L$502,95),"")</f>
        <v/>
      </c>
      <c r="J101" s="55">
        <f>IFERROR(INDEX('الحضور'!$M$3:$M$502,95),"")</f>
        <v/>
      </c>
      <c r="K101" s="43">
        <f>IFERROR(INDEX('الحضور'!$N$3:$N$502,95),"")</f>
        <v/>
      </c>
    </row>
    <row r="102">
      <c r="A102" s="50">
        <f>IFERROR(INDEX('الحضور'!$A$3:$A$502,96),"")</f>
        <v/>
      </c>
      <c r="B102" s="50">
        <f>IFERROR(INDEX('الحضور'!$B$3:$B$502,96),"")</f>
        <v/>
      </c>
      <c r="C102" s="119">
        <f>IFERROR(INDEX('الحضور'!$C$3:$C$502,96),"")</f>
        <v/>
      </c>
      <c r="D102" s="50">
        <f>IFERROR(INDEX('الحضور'!$D$3:$D$502,96),"")</f>
        <v/>
      </c>
      <c r="E102" s="117">
        <f>IFERROR(INDEX('الحضور'!$E$3:$E$502,96),"")</f>
        <v/>
      </c>
      <c r="F102" s="117">
        <f>IFERROR(INDEX('الحضور'!$F$3:$F$502,96),"")</f>
        <v/>
      </c>
      <c r="G102" s="58">
        <f>IFERROR(INDEX('الحضور'!$J$3:$J$502,96),"")</f>
        <v/>
      </c>
      <c r="H102" s="58">
        <f>IFERROR(INDEX('الحضور'!$K$3:$K$502,96),"")</f>
        <v/>
      </c>
      <c r="I102" s="58">
        <f>IFERROR(INDEX('الحضور'!$L$3:$L$502,96),"")</f>
        <v/>
      </c>
      <c r="J102" s="58">
        <f>IFERROR(INDEX('الحضور'!$M$3:$M$502,96),"")</f>
        <v/>
      </c>
      <c r="K102" s="50">
        <f>IFERROR(INDEX('الحضور'!$N$3:$N$502,96),"")</f>
        <v/>
      </c>
    </row>
    <row r="103">
      <c r="A103" s="43">
        <f>IFERROR(INDEX('الحضور'!$A$3:$A$502,97),"")</f>
        <v/>
      </c>
      <c r="B103" s="43">
        <f>IFERROR(INDEX('الحضور'!$B$3:$B$502,97),"")</f>
        <v/>
      </c>
      <c r="C103" s="118">
        <f>IFERROR(INDEX('الحضور'!$C$3:$C$502,97),"")</f>
        <v/>
      </c>
      <c r="D103" s="43">
        <f>IFERROR(INDEX('الحضور'!$D$3:$D$502,97),"")</f>
        <v/>
      </c>
      <c r="E103" s="115">
        <f>IFERROR(INDEX('الحضور'!$E$3:$E$502,97),"")</f>
        <v/>
      </c>
      <c r="F103" s="115">
        <f>IFERROR(INDEX('الحضور'!$F$3:$F$502,97),"")</f>
        <v/>
      </c>
      <c r="G103" s="55">
        <f>IFERROR(INDEX('الحضور'!$J$3:$J$502,97),"")</f>
        <v/>
      </c>
      <c r="H103" s="55">
        <f>IFERROR(INDEX('الحضور'!$K$3:$K$502,97),"")</f>
        <v/>
      </c>
      <c r="I103" s="55">
        <f>IFERROR(INDEX('الحضور'!$L$3:$L$502,97),"")</f>
        <v/>
      </c>
      <c r="J103" s="55">
        <f>IFERROR(INDEX('الحضور'!$M$3:$M$502,97),"")</f>
        <v/>
      </c>
      <c r="K103" s="43">
        <f>IFERROR(INDEX('الحضور'!$N$3:$N$502,97),"")</f>
        <v/>
      </c>
    </row>
    <row r="104">
      <c r="A104" s="50">
        <f>IFERROR(INDEX('الحضور'!$A$3:$A$502,98),"")</f>
        <v/>
      </c>
      <c r="B104" s="50">
        <f>IFERROR(INDEX('الحضور'!$B$3:$B$502,98),"")</f>
        <v/>
      </c>
      <c r="C104" s="119">
        <f>IFERROR(INDEX('الحضور'!$C$3:$C$502,98),"")</f>
        <v/>
      </c>
      <c r="D104" s="50">
        <f>IFERROR(INDEX('الحضور'!$D$3:$D$502,98),"")</f>
        <v/>
      </c>
      <c r="E104" s="117">
        <f>IFERROR(INDEX('الحضور'!$E$3:$E$502,98),"")</f>
        <v/>
      </c>
      <c r="F104" s="117">
        <f>IFERROR(INDEX('الحضور'!$F$3:$F$502,98),"")</f>
        <v/>
      </c>
      <c r="G104" s="58">
        <f>IFERROR(INDEX('الحضور'!$J$3:$J$502,98),"")</f>
        <v/>
      </c>
      <c r="H104" s="58">
        <f>IFERROR(INDEX('الحضور'!$K$3:$K$502,98),"")</f>
        <v/>
      </c>
      <c r="I104" s="58">
        <f>IFERROR(INDEX('الحضور'!$L$3:$L$502,98),"")</f>
        <v/>
      </c>
      <c r="J104" s="58">
        <f>IFERROR(INDEX('الحضور'!$M$3:$M$502,98),"")</f>
        <v/>
      </c>
      <c r="K104" s="50">
        <f>IFERROR(INDEX('الحضور'!$N$3:$N$502,98),"")</f>
        <v/>
      </c>
    </row>
    <row r="105">
      <c r="A105" s="43">
        <f>IFERROR(INDEX('الحضور'!$A$3:$A$502,99),"")</f>
        <v/>
      </c>
      <c r="B105" s="43">
        <f>IFERROR(INDEX('الحضور'!$B$3:$B$502,99),"")</f>
        <v/>
      </c>
      <c r="C105" s="118">
        <f>IFERROR(INDEX('الحضور'!$C$3:$C$502,99),"")</f>
        <v/>
      </c>
      <c r="D105" s="43">
        <f>IFERROR(INDEX('الحضور'!$D$3:$D$502,99),"")</f>
        <v/>
      </c>
      <c r="E105" s="115">
        <f>IFERROR(INDEX('الحضور'!$E$3:$E$502,99),"")</f>
        <v/>
      </c>
      <c r="F105" s="115">
        <f>IFERROR(INDEX('الحضور'!$F$3:$F$502,99),"")</f>
        <v/>
      </c>
      <c r="G105" s="55">
        <f>IFERROR(INDEX('الحضور'!$J$3:$J$502,99),"")</f>
        <v/>
      </c>
      <c r="H105" s="55">
        <f>IFERROR(INDEX('الحضور'!$K$3:$K$502,99),"")</f>
        <v/>
      </c>
      <c r="I105" s="55">
        <f>IFERROR(INDEX('الحضور'!$L$3:$L$502,99),"")</f>
        <v/>
      </c>
      <c r="J105" s="55">
        <f>IFERROR(INDEX('الحضور'!$M$3:$M$502,99),"")</f>
        <v/>
      </c>
      <c r="K105" s="43">
        <f>IFERROR(INDEX('الحضور'!$N$3:$N$502,99),"")</f>
        <v/>
      </c>
    </row>
    <row r="106">
      <c r="A106" s="50">
        <f>IFERROR(INDEX('الحضور'!$A$3:$A$502,100),"")</f>
        <v/>
      </c>
      <c r="B106" s="50">
        <f>IFERROR(INDEX('الحضور'!$B$3:$B$502,100),"")</f>
        <v/>
      </c>
      <c r="C106" s="119">
        <f>IFERROR(INDEX('الحضور'!$C$3:$C$502,100),"")</f>
        <v/>
      </c>
      <c r="D106" s="50">
        <f>IFERROR(INDEX('الحضور'!$D$3:$D$502,100),"")</f>
        <v/>
      </c>
      <c r="E106" s="117">
        <f>IFERROR(INDEX('الحضور'!$E$3:$E$502,100),"")</f>
        <v/>
      </c>
      <c r="F106" s="117">
        <f>IFERROR(INDEX('الحضور'!$F$3:$F$502,100),"")</f>
        <v/>
      </c>
      <c r="G106" s="58">
        <f>IFERROR(INDEX('الحضور'!$J$3:$J$502,100),"")</f>
        <v/>
      </c>
      <c r="H106" s="58">
        <f>IFERROR(INDEX('الحضور'!$K$3:$K$502,100),"")</f>
        <v/>
      </c>
      <c r="I106" s="58">
        <f>IFERROR(INDEX('الحضور'!$L$3:$L$502,100),"")</f>
        <v/>
      </c>
      <c r="J106" s="58">
        <f>IFERROR(INDEX('الحضور'!$M$3:$M$502,100),"")</f>
        <v/>
      </c>
      <c r="K106" s="50">
        <f>IFERROR(INDEX('الحضور'!$N$3:$N$502,100),"")</f>
        <v/>
      </c>
    </row>
    <row r="107">
      <c r="A107" s="43">
        <f>IFERROR(INDEX('الحضور'!$A$3:$A$502,101),"")</f>
        <v/>
      </c>
      <c r="B107" s="43">
        <f>IFERROR(INDEX('الحضور'!$B$3:$B$502,101),"")</f>
        <v/>
      </c>
      <c r="C107" s="118">
        <f>IFERROR(INDEX('الحضور'!$C$3:$C$502,101),"")</f>
        <v/>
      </c>
      <c r="D107" s="43">
        <f>IFERROR(INDEX('الحضور'!$D$3:$D$502,101),"")</f>
        <v/>
      </c>
      <c r="E107" s="115">
        <f>IFERROR(INDEX('الحضور'!$E$3:$E$502,101),"")</f>
        <v/>
      </c>
      <c r="F107" s="115">
        <f>IFERROR(INDEX('الحضور'!$F$3:$F$502,101),"")</f>
        <v/>
      </c>
      <c r="G107" s="55">
        <f>IFERROR(INDEX('الحضور'!$J$3:$J$502,101),"")</f>
        <v/>
      </c>
      <c r="H107" s="55">
        <f>IFERROR(INDEX('الحضور'!$K$3:$K$502,101),"")</f>
        <v/>
      </c>
      <c r="I107" s="55">
        <f>IFERROR(INDEX('الحضور'!$L$3:$L$502,101),"")</f>
        <v/>
      </c>
      <c r="J107" s="55">
        <f>IFERROR(INDEX('الحضور'!$M$3:$M$502,101),"")</f>
        <v/>
      </c>
      <c r="K107" s="43">
        <f>IFERROR(INDEX('الحضور'!$N$3:$N$502,101),"")</f>
        <v/>
      </c>
    </row>
    <row r="108">
      <c r="A108" s="50">
        <f>IFERROR(INDEX('الحضور'!$A$3:$A$502,102),"")</f>
        <v/>
      </c>
      <c r="B108" s="50">
        <f>IFERROR(INDEX('الحضور'!$B$3:$B$502,102),"")</f>
        <v/>
      </c>
      <c r="C108" s="119">
        <f>IFERROR(INDEX('الحضور'!$C$3:$C$502,102),"")</f>
        <v/>
      </c>
      <c r="D108" s="50">
        <f>IFERROR(INDEX('الحضور'!$D$3:$D$502,102),"")</f>
        <v/>
      </c>
      <c r="E108" s="117">
        <f>IFERROR(INDEX('الحضور'!$E$3:$E$502,102),"")</f>
        <v/>
      </c>
      <c r="F108" s="117">
        <f>IFERROR(INDEX('الحضور'!$F$3:$F$502,102),"")</f>
        <v/>
      </c>
      <c r="G108" s="58">
        <f>IFERROR(INDEX('الحضور'!$J$3:$J$502,102),"")</f>
        <v/>
      </c>
      <c r="H108" s="58">
        <f>IFERROR(INDEX('الحضور'!$K$3:$K$502,102),"")</f>
        <v/>
      </c>
      <c r="I108" s="58">
        <f>IFERROR(INDEX('الحضور'!$L$3:$L$502,102),"")</f>
        <v/>
      </c>
      <c r="J108" s="58">
        <f>IFERROR(INDEX('الحضور'!$M$3:$M$502,102),"")</f>
        <v/>
      </c>
      <c r="K108" s="50">
        <f>IFERROR(INDEX('الحضور'!$N$3:$N$502,102),"")</f>
        <v/>
      </c>
    </row>
    <row r="109">
      <c r="A109" s="43">
        <f>IFERROR(INDEX('الحضور'!$A$3:$A$502,103),"")</f>
        <v/>
      </c>
      <c r="B109" s="43">
        <f>IFERROR(INDEX('الحضور'!$B$3:$B$502,103),"")</f>
        <v/>
      </c>
      <c r="C109" s="118">
        <f>IFERROR(INDEX('الحضور'!$C$3:$C$502,103),"")</f>
        <v/>
      </c>
      <c r="D109" s="43">
        <f>IFERROR(INDEX('الحضور'!$D$3:$D$502,103),"")</f>
        <v/>
      </c>
      <c r="E109" s="115">
        <f>IFERROR(INDEX('الحضور'!$E$3:$E$502,103),"")</f>
        <v/>
      </c>
      <c r="F109" s="115">
        <f>IFERROR(INDEX('الحضور'!$F$3:$F$502,103),"")</f>
        <v/>
      </c>
      <c r="G109" s="55">
        <f>IFERROR(INDEX('الحضور'!$J$3:$J$502,103),"")</f>
        <v/>
      </c>
      <c r="H109" s="55">
        <f>IFERROR(INDEX('الحضور'!$K$3:$K$502,103),"")</f>
        <v/>
      </c>
      <c r="I109" s="55">
        <f>IFERROR(INDEX('الحضور'!$L$3:$L$502,103),"")</f>
        <v/>
      </c>
      <c r="J109" s="55">
        <f>IFERROR(INDEX('الحضور'!$M$3:$M$502,103),"")</f>
        <v/>
      </c>
      <c r="K109" s="43">
        <f>IFERROR(INDEX('الحضور'!$N$3:$N$502,103),"")</f>
        <v/>
      </c>
    </row>
    <row r="110">
      <c r="A110" s="50">
        <f>IFERROR(INDEX('الحضور'!$A$3:$A$502,104),"")</f>
        <v/>
      </c>
      <c r="B110" s="50">
        <f>IFERROR(INDEX('الحضور'!$B$3:$B$502,104),"")</f>
        <v/>
      </c>
      <c r="C110" s="119">
        <f>IFERROR(INDEX('الحضور'!$C$3:$C$502,104),"")</f>
        <v/>
      </c>
      <c r="D110" s="50">
        <f>IFERROR(INDEX('الحضور'!$D$3:$D$502,104),"")</f>
        <v/>
      </c>
      <c r="E110" s="117">
        <f>IFERROR(INDEX('الحضور'!$E$3:$E$502,104),"")</f>
        <v/>
      </c>
      <c r="F110" s="117">
        <f>IFERROR(INDEX('الحضور'!$F$3:$F$502,104),"")</f>
        <v/>
      </c>
      <c r="G110" s="58">
        <f>IFERROR(INDEX('الحضور'!$J$3:$J$502,104),"")</f>
        <v/>
      </c>
      <c r="H110" s="58">
        <f>IFERROR(INDEX('الحضور'!$K$3:$K$502,104),"")</f>
        <v/>
      </c>
      <c r="I110" s="58">
        <f>IFERROR(INDEX('الحضور'!$L$3:$L$502,104),"")</f>
        <v/>
      </c>
      <c r="J110" s="58">
        <f>IFERROR(INDEX('الحضور'!$M$3:$M$502,104),"")</f>
        <v/>
      </c>
      <c r="K110" s="50">
        <f>IFERROR(INDEX('الحضور'!$N$3:$N$502,104),"")</f>
        <v/>
      </c>
    </row>
    <row r="111">
      <c r="A111" s="43">
        <f>IFERROR(INDEX('الحضور'!$A$3:$A$502,105),"")</f>
        <v/>
      </c>
      <c r="B111" s="43">
        <f>IFERROR(INDEX('الحضور'!$B$3:$B$502,105),"")</f>
        <v/>
      </c>
      <c r="C111" s="118">
        <f>IFERROR(INDEX('الحضور'!$C$3:$C$502,105),"")</f>
        <v/>
      </c>
      <c r="D111" s="43">
        <f>IFERROR(INDEX('الحضور'!$D$3:$D$502,105),"")</f>
        <v/>
      </c>
      <c r="E111" s="115">
        <f>IFERROR(INDEX('الحضور'!$E$3:$E$502,105),"")</f>
        <v/>
      </c>
      <c r="F111" s="115">
        <f>IFERROR(INDEX('الحضور'!$F$3:$F$502,105),"")</f>
        <v/>
      </c>
      <c r="G111" s="55">
        <f>IFERROR(INDEX('الحضور'!$J$3:$J$502,105),"")</f>
        <v/>
      </c>
      <c r="H111" s="55">
        <f>IFERROR(INDEX('الحضور'!$K$3:$K$502,105),"")</f>
        <v/>
      </c>
      <c r="I111" s="55">
        <f>IFERROR(INDEX('الحضور'!$L$3:$L$502,105),"")</f>
        <v/>
      </c>
      <c r="J111" s="55">
        <f>IFERROR(INDEX('الحضور'!$M$3:$M$502,105),"")</f>
        <v/>
      </c>
      <c r="K111" s="43">
        <f>IFERROR(INDEX('الحضور'!$N$3:$N$502,105),"")</f>
        <v/>
      </c>
    </row>
    <row r="112">
      <c r="A112" s="50">
        <f>IFERROR(INDEX('الحضور'!$A$3:$A$502,106),"")</f>
        <v/>
      </c>
      <c r="B112" s="50">
        <f>IFERROR(INDEX('الحضور'!$B$3:$B$502,106),"")</f>
        <v/>
      </c>
      <c r="C112" s="119">
        <f>IFERROR(INDEX('الحضور'!$C$3:$C$502,106),"")</f>
        <v/>
      </c>
      <c r="D112" s="50">
        <f>IFERROR(INDEX('الحضور'!$D$3:$D$502,106),"")</f>
        <v/>
      </c>
      <c r="E112" s="117">
        <f>IFERROR(INDEX('الحضور'!$E$3:$E$502,106),"")</f>
        <v/>
      </c>
      <c r="F112" s="117">
        <f>IFERROR(INDEX('الحضور'!$F$3:$F$502,106),"")</f>
        <v/>
      </c>
      <c r="G112" s="58">
        <f>IFERROR(INDEX('الحضور'!$J$3:$J$502,106),"")</f>
        <v/>
      </c>
      <c r="H112" s="58">
        <f>IFERROR(INDEX('الحضور'!$K$3:$K$502,106),"")</f>
        <v/>
      </c>
      <c r="I112" s="58">
        <f>IFERROR(INDEX('الحضور'!$L$3:$L$502,106),"")</f>
        <v/>
      </c>
      <c r="J112" s="58">
        <f>IFERROR(INDEX('الحضور'!$M$3:$M$502,106),"")</f>
        <v/>
      </c>
      <c r="K112" s="50">
        <f>IFERROR(INDEX('الحضور'!$N$3:$N$502,106),"")</f>
        <v/>
      </c>
    </row>
    <row r="113">
      <c r="A113" s="43">
        <f>IFERROR(INDEX('الحضور'!$A$3:$A$502,107),"")</f>
        <v/>
      </c>
      <c r="B113" s="43">
        <f>IFERROR(INDEX('الحضور'!$B$3:$B$502,107),"")</f>
        <v/>
      </c>
      <c r="C113" s="118">
        <f>IFERROR(INDEX('الحضور'!$C$3:$C$502,107),"")</f>
        <v/>
      </c>
      <c r="D113" s="43">
        <f>IFERROR(INDEX('الحضور'!$D$3:$D$502,107),"")</f>
        <v/>
      </c>
      <c r="E113" s="115">
        <f>IFERROR(INDEX('الحضور'!$E$3:$E$502,107),"")</f>
        <v/>
      </c>
      <c r="F113" s="115">
        <f>IFERROR(INDEX('الحضور'!$F$3:$F$502,107),"")</f>
        <v/>
      </c>
      <c r="G113" s="55">
        <f>IFERROR(INDEX('الحضور'!$J$3:$J$502,107),"")</f>
        <v/>
      </c>
      <c r="H113" s="55">
        <f>IFERROR(INDEX('الحضور'!$K$3:$K$502,107),"")</f>
        <v/>
      </c>
      <c r="I113" s="55">
        <f>IFERROR(INDEX('الحضور'!$L$3:$L$502,107),"")</f>
        <v/>
      </c>
      <c r="J113" s="55">
        <f>IFERROR(INDEX('الحضور'!$M$3:$M$502,107),"")</f>
        <v/>
      </c>
      <c r="K113" s="43">
        <f>IFERROR(INDEX('الحضور'!$N$3:$N$502,107),"")</f>
        <v/>
      </c>
    </row>
    <row r="114">
      <c r="A114" s="50">
        <f>IFERROR(INDEX('الحضور'!$A$3:$A$502,108),"")</f>
        <v/>
      </c>
      <c r="B114" s="50">
        <f>IFERROR(INDEX('الحضور'!$B$3:$B$502,108),"")</f>
        <v/>
      </c>
      <c r="C114" s="119">
        <f>IFERROR(INDEX('الحضور'!$C$3:$C$502,108),"")</f>
        <v/>
      </c>
      <c r="D114" s="50">
        <f>IFERROR(INDEX('الحضور'!$D$3:$D$502,108),"")</f>
        <v/>
      </c>
      <c r="E114" s="117">
        <f>IFERROR(INDEX('الحضور'!$E$3:$E$502,108),"")</f>
        <v/>
      </c>
      <c r="F114" s="117">
        <f>IFERROR(INDEX('الحضور'!$F$3:$F$502,108),"")</f>
        <v/>
      </c>
      <c r="G114" s="58">
        <f>IFERROR(INDEX('الحضور'!$J$3:$J$502,108),"")</f>
        <v/>
      </c>
      <c r="H114" s="58">
        <f>IFERROR(INDEX('الحضور'!$K$3:$K$502,108),"")</f>
        <v/>
      </c>
      <c r="I114" s="58">
        <f>IFERROR(INDEX('الحضور'!$L$3:$L$502,108),"")</f>
        <v/>
      </c>
      <c r="J114" s="58">
        <f>IFERROR(INDEX('الحضور'!$M$3:$M$502,108),"")</f>
        <v/>
      </c>
      <c r="K114" s="50">
        <f>IFERROR(INDEX('الحضور'!$N$3:$N$502,108),"")</f>
        <v/>
      </c>
    </row>
    <row r="115">
      <c r="A115" s="43">
        <f>IFERROR(INDEX('الحضور'!$A$3:$A$502,109),"")</f>
        <v/>
      </c>
      <c r="B115" s="43">
        <f>IFERROR(INDEX('الحضور'!$B$3:$B$502,109),"")</f>
        <v/>
      </c>
      <c r="C115" s="118">
        <f>IFERROR(INDEX('الحضور'!$C$3:$C$502,109),"")</f>
        <v/>
      </c>
      <c r="D115" s="43">
        <f>IFERROR(INDEX('الحضور'!$D$3:$D$502,109),"")</f>
        <v/>
      </c>
      <c r="E115" s="115">
        <f>IFERROR(INDEX('الحضور'!$E$3:$E$502,109),"")</f>
        <v/>
      </c>
      <c r="F115" s="115">
        <f>IFERROR(INDEX('الحضور'!$F$3:$F$502,109),"")</f>
        <v/>
      </c>
      <c r="G115" s="55">
        <f>IFERROR(INDEX('الحضور'!$J$3:$J$502,109),"")</f>
        <v/>
      </c>
      <c r="H115" s="55">
        <f>IFERROR(INDEX('الحضور'!$K$3:$K$502,109),"")</f>
        <v/>
      </c>
      <c r="I115" s="55">
        <f>IFERROR(INDEX('الحضور'!$L$3:$L$502,109),"")</f>
        <v/>
      </c>
      <c r="J115" s="55">
        <f>IFERROR(INDEX('الحضور'!$M$3:$M$502,109),"")</f>
        <v/>
      </c>
      <c r="K115" s="43">
        <f>IFERROR(INDEX('الحضور'!$N$3:$N$502,109),"")</f>
        <v/>
      </c>
    </row>
    <row r="116">
      <c r="A116" s="50">
        <f>IFERROR(INDEX('الحضور'!$A$3:$A$502,110),"")</f>
        <v/>
      </c>
      <c r="B116" s="50">
        <f>IFERROR(INDEX('الحضور'!$B$3:$B$502,110),"")</f>
        <v/>
      </c>
      <c r="C116" s="119">
        <f>IFERROR(INDEX('الحضور'!$C$3:$C$502,110),"")</f>
        <v/>
      </c>
      <c r="D116" s="50">
        <f>IFERROR(INDEX('الحضور'!$D$3:$D$502,110),"")</f>
        <v/>
      </c>
      <c r="E116" s="117">
        <f>IFERROR(INDEX('الحضور'!$E$3:$E$502,110),"")</f>
        <v/>
      </c>
      <c r="F116" s="117">
        <f>IFERROR(INDEX('الحضور'!$F$3:$F$502,110),"")</f>
        <v/>
      </c>
      <c r="G116" s="58">
        <f>IFERROR(INDEX('الحضور'!$J$3:$J$502,110),"")</f>
        <v/>
      </c>
      <c r="H116" s="58">
        <f>IFERROR(INDEX('الحضور'!$K$3:$K$502,110),"")</f>
        <v/>
      </c>
      <c r="I116" s="58">
        <f>IFERROR(INDEX('الحضور'!$L$3:$L$502,110),"")</f>
        <v/>
      </c>
      <c r="J116" s="58">
        <f>IFERROR(INDEX('الحضور'!$M$3:$M$502,110),"")</f>
        <v/>
      </c>
      <c r="K116" s="50">
        <f>IFERROR(INDEX('الحضور'!$N$3:$N$502,110),"")</f>
        <v/>
      </c>
    </row>
    <row r="117">
      <c r="A117" s="43">
        <f>IFERROR(INDEX('الحضور'!$A$3:$A$502,111),"")</f>
        <v/>
      </c>
      <c r="B117" s="43">
        <f>IFERROR(INDEX('الحضور'!$B$3:$B$502,111),"")</f>
        <v/>
      </c>
      <c r="C117" s="118">
        <f>IFERROR(INDEX('الحضور'!$C$3:$C$502,111),"")</f>
        <v/>
      </c>
      <c r="D117" s="43">
        <f>IFERROR(INDEX('الحضور'!$D$3:$D$502,111),"")</f>
        <v/>
      </c>
      <c r="E117" s="115">
        <f>IFERROR(INDEX('الحضور'!$E$3:$E$502,111),"")</f>
        <v/>
      </c>
      <c r="F117" s="115">
        <f>IFERROR(INDEX('الحضور'!$F$3:$F$502,111),"")</f>
        <v/>
      </c>
      <c r="G117" s="55">
        <f>IFERROR(INDEX('الحضور'!$J$3:$J$502,111),"")</f>
        <v/>
      </c>
      <c r="H117" s="55">
        <f>IFERROR(INDEX('الحضور'!$K$3:$K$502,111),"")</f>
        <v/>
      </c>
      <c r="I117" s="55">
        <f>IFERROR(INDEX('الحضور'!$L$3:$L$502,111),"")</f>
        <v/>
      </c>
      <c r="J117" s="55">
        <f>IFERROR(INDEX('الحضور'!$M$3:$M$502,111),"")</f>
        <v/>
      </c>
      <c r="K117" s="43">
        <f>IFERROR(INDEX('الحضور'!$N$3:$N$502,111),"")</f>
        <v/>
      </c>
    </row>
    <row r="118">
      <c r="A118" s="50">
        <f>IFERROR(INDEX('الحضور'!$A$3:$A$502,112),"")</f>
        <v/>
      </c>
      <c r="B118" s="50">
        <f>IFERROR(INDEX('الحضور'!$B$3:$B$502,112),"")</f>
        <v/>
      </c>
      <c r="C118" s="119">
        <f>IFERROR(INDEX('الحضور'!$C$3:$C$502,112),"")</f>
        <v/>
      </c>
      <c r="D118" s="50">
        <f>IFERROR(INDEX('الحضور'!$D$3:$D$502,112),"")</f>
        <v/>
      </c>
      <c r="E118" s="117">
        <f>IFERROR(INDEX('الحضور'!$E$3:$E$502,112),"")</f>
        <v/>
      </c>
      <c r="F118" s="117">
        <f>IFERROR(INDEX('الحضور'!$F$3:$F$502,112),"")</f>
        <v/>
      </c>
      <c r="G118" s="58">
        <f>IFERROR(INDEX('الحضور'!$J$3:$J$502,112),"")</f>
        <v/>
      </c>
      <c r="H118" s="58">
        <f>IFERROR(INDEX('الحضور'!$K$3:$K$502,112),"")</f>
        <v/>
      </c>
      <c r="I118" s="58">
        <f>IFERROR(INDEX('الحضور'!$L$3:$L$502,112),"")</f>
        <v/>
      </c>
      <c r="J118" s="58">
        <f>IFERROR(INDEX('الحضور'!$M$3:$M$502,112),"")</f>
        <v/>
      </c>
      <c r="K118" s="50">
        <f>IFERROR(INDEX('الحضور'!$N$3:$N$502,112),"")</f>
        <v/>
      </c>
    </row>
    <row r="119">
      <c r="A119" s="43">
        <f>IFERROR(INDEX('الحضور'!$A$3:$A$502,113),"")</f>
        <v/>
      </c>
      <c r="B119" s="43">
        <f>IFERROR(INDEX('الحضور'!$B$3:$B$502,113),"")</f>
        <v/>
      </c>
      <c r="C119" s="118">
        <f>IFERROR(INDEX('الحضور'!$C$3:$C$502,113),"")</f>
        <v/>
      </c>
      <c r="D119" s="43">
        <f>IFERROR(INDEX('الحضور'!$D$3:$D$502,113),"")</f>
        <v/>
      </c>
      <c r="E119" s="115">
        <f>IFERROR(INDEX('الحضور'!$E$3:$E$502,113),"")</f>
        <v/>
      </c>
      <c r="F119" s="115">
        <f>IFERROR(INDEX('الحضور'!$F$3:$F$502,113),"")</f>
        <v/>
      </c>
      <c r="G119" s="55">
        <f>IFERROR(INDEX('الحضور'!$J$3:$J$502,113),"")</f>
        <v/>
      </c>
      <c r="H119" s="55">
        <f>IFERROR(INDEX('الحضور'!$K$3:$K$502,113),"")</f>
        <v/>
      </c>
      <c r="I119" s="55">
        <f>IFERROR(INDEX('الحضور'!$L$3:$L$502,113),"")</f>
        <v/>
      </c>
      <c r="J119" s="55">
        <f>IFERROR(INDEX('الحضور'!$M$3:$M$502,113),"")</f>
        <v/>
      </c>
      <c r="K119" s="43">
        <f>IFERROR(INDEX('الحضور'!$N$3:$N$502,113),"")</f>
        <v/>
      </c>
    </row>
    <row r="120">
      <c r="A120" s="50">
        <f>IFERROR(INDEX('الحضور'!$A$3:$A$502,114),"")</f>
        <v/>
      </c>
      <c r="B120" s="50">
        <f>IFERROR(INDEX('الحضور'!$B$3:$B$502,114),"")</f>
        <v/>
      </c>
      <c r="C120" s="119">
        <f>IFERROR(INDEX('الحضور'!$C$3:$C$502,114),"")</f>
        <v/>
      </c>
      <c r="D120" s="50">
        <f>IFERROR(INDEX('الحضور'!$D$3:$D$502,114),"")</f>
        <v/>
      </c>
      <c r="E120" s="117">
        <f>IFERROR(INDEX('الحضور'!$E$3:$E$502,114),"")</f>
        <v/>
      </c>
      <c r="F120" s="117">
        <f>IFERROR(INDEX('الحضور'!$F$3:$F$502,114),"")</f>
        <v/>
      </c>
      <c r="G120" s="58">
        <f>IFERROR(INDEX('الحضور'!$J$3:$J$502,114),"")</f>
        <v/>
      </c>
      <c r="H120" s="58">
        <f>IFERROR(INDEX('الحضور'!$K$3:$K$502,114),"")</f>
        <v/>
      </c>
      <c r="I120" s="58">
        <f>IFERROR(INDEX('الحضور'!$L$3:$L$502,114),"")</f>
        <v/>
      </c>
      <c r="J120" s="58">
        <f>IFERROR(INDEX('الحضور'!$M$3:$M$502,114),"")</f>
        <v/>
      </c>
      <c r="K120" s="50">
        <f>IFERROR(INDEX('الحضور'!$N$3:$N$502,114),"")</f>
        <v/>
      </c>
    </row>
    <row r="121">
      <c r="A121" s="43">
        <f>IFERROR(INDEX('الحضور'!$A$3:$A$502,115),"")</f>
        <v/>
      </c>
      <c r="B121" s="43">
        <f>IFERROR(INDEX('الحضور'!$B$3:$B$502,115),"")</f>
        <v/>
      </c>
      <c r="C121" s="118">
        <f>IFERROR(INDEX('الحضور'!$C$3:$C$502,115),"")</f>
        <v/>
      </c>
      <c r="D121" s="43">
        <f>IFERROR(INDEX('الحضور'!$D$3:$D$502,115),"")</f>
        <v/>
      </c>
      <c r="E121" s="115">
        <f>IFERROR(INDEX('الحضور'!$E$3:$E$502,115),"")</f>
        <v/>
      </c>
      <c r="F121" s="115">
        <f>IFERROR(INDEX('الحضور'!$F$3:$F$502,115),"")</f>
        <v/>
      </c>
      <c r="G121" s="55">
        <f>IFERROR(INDEX('الحضور'!$J$3:$J$502,115),"")</f>
        <v/>
      </c>
      <c r="H121" s="55">
        <f>IFERROR(INDEX('الحضور'!$K$3:$K$502,115),"")</f>
        <v/>
      </c>
      <c r="I121" s="55">
        <f>IFERROR(INDEX('الحضور'!$L$3:$L$502,115),"")</f>
        <v/>
      </c>
      <c r="J121" s="55">
        <f>IFERROR(INDEX('الحضور'!$M$3:$M$502,115),"")</f>
        <v/>
      </c>
      <c r="K121" s="43">
        <f>IFERROR(INDEX('الحضور'!$N$3:$N$502,115),"")</f>
        <v/>
      </c>
    </row>
    <row r="122">
      <c r="A122" s="50">
        <f>IFERROR(INDEX('الحضور'!$A$3:$A$502,116),"")</f>
        <v/>
      </c>
      <c r="B122" s="50">
        <f>IFERROR(INDEX('الحضور'!$B$3:$B$502,116),"")</f>
        <v/>
      </c>
      <c r="C122" s="119">
        <f>IFERROR(INDEX('الحضور'!$C$3:$C$502,116),"")</f>
        <v/>
      </c>
      <c r="D122" s="50">
        <f>IFERROR(INDEX('الحضور'!$D$3:$D$502,116),"")</f>
        <v/>
      </c>
      <c r="E122" s="117">
        <f>IFERROR(INDEX('الحضور'!$E$3:$E$502,116),"")</f>
        <v/>
      </c>
      <c r="F122" s="117">
        <f>IFERROR(INDEX('الحضور'!$F$3:$F$502,116),"")</f>
        <v/>
      </c>
      <c r="G122" s="58">
        <f>IFERROR(INDEX('الحضور'!$J$3:$J$502,116),"")</f>
        <v/>
      </c>
      <c r="H122" s="58">
        <f>IFERROR(INDEX('الحضور'!$K$3:$K$502,116),"")</f>
        <v/>
      </c>
      <c r="I122" s="58">
        <f>IFERROR(INDEX('الحضور'!$L$3:$L$502,116),"")</f>
        <v/>
      </c>
      <c r="J122" s="58">
        <f>IFERROR(INDEX('الحضور'!$M$3:$M$502,116),"")</f>
        <v/>
      </c>
      <c r="K122" s="50">
        <f>IFERROR(INDEX('الحضور'!$N$3:$N$502,116),"")</f>
        <v/>
      </c>
    </row>
    <row r="123">
      <c r="A123" s="43">
        <f>IFERROR(INDEX('الحضور'!$A$3:$A$502,117),"")</f>
        <v/>
      </c>
      <c r="B123" s="43">
        <f>IFERROR(INDEX('الحضور'!$B$3:$B$502,117),"")</f>
        <v/>
      </c>
      <c r="C123" s="118">
        <f>IFERROR(INDEX('الحضور'!$C$3:$C$502,117),"")</f>
        <v/>
      </c>
      <c r="D123" s="43">
        <f>IFERROR(INDEX('الحضور'!$D$3:$D$502,117),"")</f>
        <v/>
      </c>
      <c r="E123" s="115">
        <f>IFERROR(INDEX('الحضور'!$E$3:$E$502,117),"")</f>
        <v/>
      </c>
      <c r="F123" s="115">
        <f>IFERROR(INDEX('الحضور'!$F$3:$F$502,117),"")</f>
        <v/>
      </c>
      <c r="G123" s="55">
        <f>IFERROR(INDEX('الحضور'!$J$3:$J$502,117),"")</f>
        <v/>
      </c>
      <c r="H123" s="55">
        <f>IFERROR(INDEX('الحضور'!$K$3:$K$502,117),"")</f>
        <v/>
      </c>
      <c r="I123" s="55">
        <f>IFERROR(INDEX('الحضور'!$L$3:$L$502,117),"")</f>
        <v/>
      </c>
      <c r="J123" s="55">
        <f>IFERROR(INDEX('الحضور'!$M$3:$M$502,117),"")</f>
        <v/>
      </c>
      <c r="K123" s="43">
        <f>IFERROR(INDEX('الحضور'!$N$3:$N$502,117),"")</f>
        <v/>
      </c>
    </row>
    <row r="124">
      <c r="A124" s="50">
        <f>IFERROR(INDEX('الحضور'!$A$3:$A$502,118),"")</f>
        <v/>
      </c>
      <c r="B124" s="50">
        <f>IFERROR(INDEX('الحضور'!$B$3:$B$502,118),"")</f>
        <v/>
      </c>
      <c r="C124" s="119">
        <f>IFERROR(INDEX('الحضور'!$C$3:$C$502,118),"")</f>
        <v/>
      </c>
      <c r="D124" s="50">
        <f>IFERROR(INDEX('الحضور'!$D$3:$D$502,118),"")</f>
        <v/>
      </c>
      <c r="E124" s="117">
        <f>IFERROR(INDEX('الحضور'!$E$3:$E$502,118),"")</f>
        <v/>
      </c>
      <c r="F124" s="117">
        <f>IFERROR(INDEX('الحضور'!$F$3:$F$502,118),"")</f>
        <v/>
      </c>
      <c r="G124" s="58">
        <f>IFERROR(INDEX('الحضور'!$J$3:$J$502,118),"")</f>
        <v/>
      </c>
      <c r="H124" s="58">
        <f>IFERROR(INDEX('الحضور'!$K$3:$K$502,118),"")</f>
        <v/>
      </c>
      <c r="I124" s="58">
        <f>IFERROR(INDEX('الحضور'!$L$3:$L$502,118),"")</f>
        <v/>
      </c>
      <c r="J124" s="58">
        <f>IFERROR(INDEX('الحضور'!$M$3:$M$502,118),"")</f>
        <v/>
      </c>
      <c r="K124" s="50">
        <f>IFERROR(INDEX('الحضور'!$N$3:$N$502,118),"")</f>
        <v/>
      </c>
    </row>
    <row r="125">
      <c r="A125" s="43">
        <f>IFERROR(INDEX('الحضور'!$A$3:$A$502,119),"")</f>
        <v/>
      </c>
      <c r="B125" s="43">
        <f>IFERROR(INDEX('الحضور'!$B$3:$B$502,119),"")</f>
        <v/>
      </c>
      <c r="C125" s="118">
        <f>IFERROR(INDEX('الحضور'!$C$3:$C$502,119),"")</f>
        <v/>
      </c>
      <c r="D125" s="43">
        <f>IFERROR(INDEX('الحضور'!$D$3:$D$502,119),"")</f>
        <v/>
      </c>
      <c r="E125" s="115">
        <f>IFERROR(INDEX('الحضور'!$E$3:$E$502,119),"")</f>
        <v/>
      </c>
      <c r="F125" s="115">
        <f>IFERROR(INDEX('الحضور'!$F$3:$F$502,119),"")</f>
        <v/>
      </c>
      <c r="G125" s="55">
        <f>IFERROR(INDEX('الحضور'!$J$3:$J$502,119),"")</f>
        <v/>
      </c>
      <c r="H125" s="55">
        <f>IFERROR(INDEX('الحضور'!$K$3:$K$502,119),"")</f>
        <v/>
      </c>
      <c r="I125" s="55">
        <f>IFERROR(INDEX('الحضور'!$L$3:$L$502,119),"")</f>
        <v/>
      </c>
      <c r="J125" s="55">
        <f>IFERROR(INDEX('الحضور'!$M$3:$M$502,119),"")</f>
        <v/>
      </c>
      <c r="K125" s="43">
        <f>IFERROR(INDEX('الحضور'!$N$3:$N$502,119),"")</f>
        <v/>
      </c>
    </row>
    <row r="126">
      <c r="A126" s="50">
        <f>IFERROR(INDEX('الحضور'!$A$3:$A$502,120),"")</f>
        <v/>
      </c>
      <c r="B126" s="50">
        <f>IFERROR(INDEX('الحضور'!$B$3:$B$502,120),"")</f>
        <v/>
      </c>
      <c r="C126" s="119">
        <f>IFERROR(INDEX('الحضور'!$C$3:$C$502,120),"")</f>
        <v/>
      </c>
      <c r="D126" s="50">
        <f>IFERROR(INDEX('الحضور'!$D$3:$D$502,120),"")</f>
        <v/>
      </c>
      <c r="E126" s="117">
        <f>IFERROR(INDEX('الحضور'!$E$3:$E$502,120),"")</f>
        <v/>
      </c>
      <c r="F126" s="117">
        <f>IFERROR(INDEX('الحضور'!$F$3:$F$502,120),"")</f>
        <v/>
      </c>
      <c r="G126" s="58">
        <f>IFERROR(INDEX('الحضور'!$J$3:$J$502,120),"")</f>
        <v/>
      </c>
      <c r="H126" s="58">
        <f>IFERROR(INDEX('الحضور'!$K$3:$K$502,120),"")</f>
        <v/>
      </c>
      <c r="I126" s="58">
        <f>IFERROR(INDEX('الحضور'!$L$3:$L$502,120),"")</f>
        <v/>
      </c>
      <c r="J126" s="58">
        <f>IFERROR(INDEX('الحضور'!$M$3:$M$502,120),"")</f>
        <v/>
      </c>
      <c r="K126" s="50">
        <f>IFERROR(INDEX('الحضور'!$N$3:$N$502,120),"")</f>
        <v/>
      </c>
    </row>
    <row r="127">
      <c r="A127" s="43">
        <f>IFERROR(INDEX('الحضور'!$A$3:$A$502,121),"")</f>
        <v/>
      </c>
      <c r="B127" s="43">
        <f>IFERROR(INDEX('الحضور'!$B$3:$B$502,121),"")</f>
        <v/>
      </c>
      <c r="C127" s="118">
        <f>IFERROR(INDEX('الحضور'!$C$3:$C$502,121),"")</f>
        <v/>
      </c>
      <c r="D127" s="43">
        <f>IFERROR(INDEX('الحضور'!$D$3:$D$502,121),"")</f>
        <v/>
      </c>
      <c r="E127" s="115">
        <f>IFERROR(INDEX('الحضور'!$E$3:$E$502,121),"")</f>
        <v/>
      </c>
      <c r="F127" s="115">
        <f>IFERROR(INDEX('الحضور'!$F$3:$F$502,121),"")</f>
        <v/>
      </c>
      <c r="G127" s="55">
        <f>IFERROR(INDEX('الحضور'!$J$3:$J$502,121),"")</f>
        <v/>
      </c>
      <c r="H127" s="55">
        <f>IFERROR(INDEX('الحضور'!$K$3:$K$502,121),"")</f>
        <v/>
      </c>
      <c r="I127" s="55">
        <f>IFERROR(INDEX('الحضور'!$L$3:$L$502,121),"")</f>
        <v/>
      </c>
      <c r="J127" s="55">
        <f>IFERROR(INDEX('الحضور'!$M$3:$M$502,121),"")</f>
        <v/>
      </c>
      <c r="K127" s="43">
        <f>IFERROR(INDEX('الحضور'!$N$3:$N$502,121),"")</f>
        <v/>
      </c>
    </row>
    <row r="128">
      <c r="A128" s="50">
        <f>IFERROR(INDEX('الحضور'!$A$3:$A$502,122),"")</f>
        <v/>
      </c>
      <c r="B128" s="50">
        <f>IFERROR(INDEX('الحضور'!$B$3:$B$502,122),"")</f>
        <v/>
      </c>
      <c r="C128" s="119">
        <f>IFERROR(INDEX('الحضور'!$C$3:$C$502,122),"")</f>
        <v/>
      </c>
      <c r="D128" s="50">
        <f>IFERROR(INDEX('الحضور'!$D$3:$D$502,122),"")</f>
        <v/>
      </c>
      <c r="E128" s="117">
        <f>IFERROR(INDEX('الحضور'!$E$3:$E$502,122),"")</f>
        <v/>
      </c>
      <c r="F128" s="117">
        <f>IFERROR(INDEX('الحضور'!$F$3:$F$502,122),"")</f>
        <v/>
      </c>
      <c r="G128" s="58">
        <f>IFERROR(INDEX('الحضور'!$J$3:$J$502,122),"")</f>
        <v/>
      </c>
      <c r="H128" s="58">
        <f>IFERROR(INDEX('الحضور'!$K$3:$K$502,122),"")</f>
        <v/>
      </c>
      <c r="I128" s="58">
        <f>IFERROR(INDEX('الحضور'!$L$3:$L$502,122),"")</f>
        <v/>
      </c>
      <c r="J128" s="58">
        <f>IFERROR(INDEX('الحضور'!$M$3:$M$502,122),"")</f>
        <v/>
      </c>
      <c r="K128" s="50">
        <f>IFERROR(INDEX('الحضور'!$N$3:$N$502,122),"")</f>
        <v/>
      </c>
    </row>
    <row r="129">
      <c r="A129" s="43">
        <f>IFERROR(INDEX('الحضور'!$A$3:$A$502,123),"")</f>
        <v/>
      </c>
      <c r="B129" s="43">
        <f>IFERROR(INDEX('الحضور'!$B$3:$B$502,123),"")</f>
        <v/>
      </c>
      <c r="C129" s="118">
        <f>IFERROR(INDEX('الحضور'!$C$3:$C$502,123),"")</f>
        <v/>
      </c>
      <c r="D129" s="43">
        <f>IFERROR(INDEX('الحضور'!$D$3:$D$502,123),"")</f>
        <v/>
      </c>
      <c r="E129" s="115">
        <f>IFERROR(INDEX('الحضور'!$E$3:$E$502,123),"")</f>
        <v/>
      </c>
      <c r="F129" s="115">
        <f>IFERROR(INDEX('الحضور'!$F$3:$F$502,123),"")</f>
        <v/>
      </c>
      <c r="G129" s="55">
        <f>IFERROR(INDEX('الحضور'!$J$3:$J$502,123),"")</f>
        <v/>
      </c>
      <c r="H129" s="55">
        <f>IFERROR(INDEX('الحضور'!$K$3:$K$502,123),"")</f>
        <v/>
      </c>
      <c r="I129" s="55">
        <f>IFERROR(INDEX('الحضور'!$L$3:$L$502,123),"")</f>
        <v/>
      </c>
      <c r="J129" s="55">
        <f>IFERROR(INDEX('الحضور'!$M$3:$M$502,123),"")</f>
        <v/>
      </c>
      <c r="K129" s="43">
        <f>IFERROR(INDEX('الحضور'!$N$3:$N$502,123),"")</f>
        <v/>
      </c>
    </row>
    <row r="130">
      <c r="A130" s="50">
        <f>IFERROR(INDEX('الحضور'!$A$3:$A$502,124),"")</f>
        <v/>
      </c>
      <c r="B130" s="50">
        <f>IFERROR(INDEX('الحضور'!$B$3:$B$502,124),"")</f>
        <v/>
      </c>
      <c r="C130" s="119">
        <f>IFERROR(INDEX('الحضور'!$C$3:$C$502,124),"")</f>
        <v/>
      </c>
      <c r="D130" s="50">
        <f>IFERROR(INDEX('الحضور'!$D$3:$D$502,124),"")</f>
        <v/>
      </c>
      <c r="E130" s="117">
        <f>IFERROR(INDEX('الحضور'!$E$3:$E$502,124),"")</f>
        <v/>
      </c>
      <c r="F130" s="117">
        <f>IFERROR(INDEX('الحضور'!$F$3:$F$502,124),"")</f>
        <v/>
      </c>
      <c r="G130" s="58">
        <f>IFERROR(INDEX('الحضور'!$J$3:$J$502,124),"")</f>
        <v/>
      </c>
      <c r="H130" s="58">
        <f>IFERROR(INDEX('الحضور'!$K$3:$K$502,124),"")</f>
        <v/>
      </c>
      <c r="I130" s="58">
        <f>IFERROR(INDEX('الحضور'!$L$3:$L$502,124),"")</f>
        <v/>
      </c>
      <c r="J130" s="58">
        <f>IFERROR(INDEX('الحضور'!$M$3:$M$502,124),"")</f>
        <v/>
      </c>
      <c r="K130" s="50">
        <f>IFERROR(INDEX('الحضور'!$N$3:$N$502,124),"")</f>
        <v/>
      </c>
    </row>
    <row r="131">
      <c r="A131" s="43">
        <f>IFERROR(INDEX('الحضور'!$A$3:$A$502,125),"")</f>
        <v/>
      </c>
      <c r="B131" s="43">
        <f>IFERROR(INDEX('الحضور'!$B$3:$B$502,125),"")</f>
        <v/>
      </c>
      <c r="C131" s="118">
        <f>IFERROR(INDEX('الحضور'!$C$3:$C$502,125),"")</f>
        <v/>
      </c>
      <c r="D131" s="43">
        <f>IFERROR(INDEX('الحضور'!$D$3:$D$502,125),"")</f>
        <v/>
      </c>
      <c r="E131" s="115">
        <f>IFERROR(INDEX('الحضور'!$E$3:$E$502,125),"")</f>
        <v/>
      </c>
      <c r="F131" s="115">
        <f>IFERROR(INDEX('الحضور'!$F$3:$F$502,125),"")</f>
        <v/>
      </c>
      <c r="G131" s="55">
        <f>IFERROR(INDEX('الحضور'!$J$3:$J$502,125),"")</f>
        <v/>
      </c>
      <c r="H131" s="55">
        <f>IFERROR(INDEX('الحضور'!$K$3:$K$502,125),"")</f>
        <v/>
      </c>
      <c r="I131" s="55">
        <f>IFERROR(INDEX('الحضور'!$L$3:$L$502,125),"")</f>
        <v/>
      </c>
      <c r="J131" s="55">
        <f>IFERROR(INDEX('الحضور'!$M$3:$M$502,125),"")</f>
        <v/>
      </c>
      <c r="K131" s="43">
        <f>IFERROR(INDEX('الحضور'!$N$3:$N$502,125),"")</f>
        <v/>
      </c>
    </row>
    <row r="132">
      <c r="A132" s="50">
        <f>IFERROR(INDEX('الحضور'!$A$3:$A$502,126),"")</f>
        <v/>
      </c>
      <c r="B132" s="50">
        <f>IFERROR(INDEX('الحضور'!$B$3:$B$502,126),"")</f>
        <v/>
      </c>
      <c r="C132" s="119">
        <f>IFERROR(INDEX('الحضور'!$C$3:$C$502,126),"")</f>
        <v/>
      </c>
      <c r="D132" s="50">
        <f>IFERROR(INDEX('الحضور'!$D$3:$D$502,126),"")</f>
        <v/>
      </c>
      <c r="E132" s="117">
        <f>IFERROR(INDEX('الحضور'!$E$3:$E$502,126),"")</f>
        <v/>
      </c>
      <c r="F132" s="117">
        <f>IFERROR(INDEX('الحضور'!$F$3:$F$502,126),"")</f>
        <v/>
      </c>
      <c r="G132" s="58">
        <f>IFERROR(INDEX('الحضور'!$J$3:$J$502,126),"")</f>
        <v/>
      </c>
      <c r="H132" s="58">
        <f>IFERROR(INDEX('الحضور'!$K$3:$K$502,126),"")</f>
        <v/>
      </c>
      <c r="I132" s="58">
        <f>IFERROR(INDEX('الحضور'!$L$3:$L$502,126),"")</f>
        <v/>
      </c>
      <c r="J132" s="58">
        <f>IFERROR(INDEX('الحضور'!$M$3:$M$502,126),"")</f>
        <v/>
      </c>
      <c r="K132" s="50">
        <f>IFERROR(INDEX('الحضور'!$N$3:$N$502,126),"")</f>
        <v/>
      </c>
    </row>
    <row r="133">
      <c r="A133" s="43">
        <f>IFERROR(INDEX('الحضور'!$A$3:$A$502,127),"")</f>
        <v/>
      </c>
      <c r="B133" s="43">
        <f>IFERROR(INDEX('الحضور'!$B$3:$B$502,127),"")</f>
        <v/>
      </c>
      <c r="C133" s="118">
        <f>IFERROR(INDEX('الحضور'!$C$3:$C$502,127),"")</f>
        <v/>
      </c>
      <c r="D133" s="43">
        <f>IFERROR(INDEX('الحضور'!$D$3:$D$502,127),"")</f>
        <v/>
      </c>
      <c r="E133" s="115">
        <f>IFERROR(INDEX('الحضور'!$E$3:$E$502,127),"")</f>
        <v/>
      </c>
      <c r="F133" s="115">
        <f>IFERROR(INDEX('الحضور'!$F$3:$F$502,127),"")</f>
        <v/>
      </c>
      <c r="G133" s="55">
        <f>IFERROR(INDEX('الحضور'!$J$3:$J$502,127),"")</f>
        <v/>
      </c>
      <c r="H133" s="55">
        <f>IFERROR(INDEX('الحضور'!$K$3:$K$502,127),"")</f>
        <v/>
      </c>
      <c r="I133" s="55">
        <f>IFERROR(INDEX('الحضور'!$L$3:$L$502,127),"")</f>
        <v/>
      </c>
      <c r="J133" s="55">
        <f>IFERROR(INDEX('الحضور'!$M$3:$M$502,127),"")</f>
        <v/>
      </c>
      <c r="K133" s="43">
        <f>IFERROR(INDEX('الحضور'!$N$3:$N$502,127),"")</f>
        <v/>
      </c>
    </row>
    <row r="134">
      <c r="A134" s="50">
        <f>IFERROR(INDEX('الحضور'!$A$3:$A$502,128),"")</f>
        <v/>
      </c>
      <c r="B134" s="50">
        <f>IFERROR(INDEX('الحضور'!$B$3:$B$502,128),"")</f>
        <v/>
      </c>
      <c r="C134" s="119">
        <f>IFERROR(INDEX('الحضور'!$C$3:$C$502,128),"")</f>
        <v/>
      </c>
      <c r="D134" s="50">
        <f>IFERROR(INDEX('الحضور'!$D$3:$D$502,128),"")</f>
        <v/>
      </c>
      <c r="E134" s="117">
        <f>IFERROR(INDEX('الحضور'!$E$3:$E$502,128),"")</f>
        <v/>
      </c>
      <c r="F134" s="117">
        <f>IFERROR(INDEX('الحضور'!$F$3:$F$502,128),"")</f>
        <v/>
      </c>
      <c r="G134" s="58">
        <f>IFERROR(INDEX('الحضور'!$J$3:$J$502,128),"")</f>
        <v/>
      </c>
      <c r="H134" s="58">
        <f>IFERROR(INDEX('الحضور'!$K$3:$K$502,128),"")</f>
        <v/>
      </c>
      <c r="I134" s="58">
        <f>IFERROR(INDEX('الحضور'!$L$3:$L$502,128),"")</f>
        <v/>
      </c>
      <c r="J134" s="58">
        <f>IFERROR(INDEX('الحضور'!$M$3:$M$502,128),"")</f>
        <v/>
      </c>
      <c r="K134" s="50">
        <f>IFERROR(INDEX('الحضور'!$N$3:$N$502,128),"")</f>
        <v/>
      </c>
    </row>
    <row r="135">
      <c r="A135" s="43">
        <f>IFERROR(INDEX('الحضور'!$A$3:$A$502,129),"")</f>
        <v/>
      </c>
      <c r="B135" s="43">
        <f>IFERROR(INDEX('الحضور'!$B$3:$B$502,129),"")</f>
        <v/>
      </c>
      <c r="C135" s="118">
        <f>IFERROR(INDEX('الحضور'!$C$3:$C$502,129),"")</f>
        <v/>
      </c>
      <c r="D135" s="43">
        <f>IFERROR(INDEX('الحضور'!$D$3:$D$502,129),"")</f>
        <v/>
      </c>
      <c r="E135" s="115">
        <f>IFERROR(INDEX('الحضور'!$E$3:$E$502,129),"")</f>
        <v/>
      </c>
      <c r="F135" s="115">
        <f>IFERROR(INDEX('الحضور'!$F$3:$F$502,129),"")</f>
        <v/>
      </c>
      <c r="G135" s="55">
        <f>IFERROR(INDEX('الحضور'!$J$3:$J$502,129),"")</f>
        <v/>
      </c>
      <c r="H135" s="55">
        <f>IFERROR(INDEX('الحضور'!$K$3:$K$502,129),"")</f>
        <v/>
      </c>
      <c r="I135" s="55">
        <f>IFERROR(INDEX('الحضور'!$L$3:$L$502,129),"")</f>
        <v/>
      </c>
      <c r="J135" s="55">
        <f>IFERROR(INDEX('الحضور'!$M$3:$M$502,129),"")</f>
        <v/>
      </c>
      <c r="K135" s="43">
        <f>IFERROR(INDEX('الحضور'!$N$3:$N$502,129),"")</f>
        <v/>
      </c>
    </row>
    <row r="136">
      <c r="A136" s="50">
        <f>IFERROR(INDEX('الحضور'!$A$3:$A$502,130),"")</f>
        <v/>
      </c>
      <c r="B136" s="50">
        <f>IFERROR(INDEX('الحضور'!$B$3:$B$502,130),"")</f>
        <v/>
      </c>
      <c r="C136" s="119">
        <f>IFERROR(INDEX('الحضور'!$C$3:$C$502,130),"")</f>
        <v/>
      </c>
      <c r="D136" s="50">
        <f>IFERROR(INDEX('الحضور'!$D$3:$D$502,130),"")</f>
        <v/>
      </c>
      <c r="E136" s="117">
        <f>IFERROR(INDEX('الحضور'!$E$3:$E$502,130),"")</f>
        <v/>
      </c>
      <c r="F136" s="117">
        <f>IFERROR(INDEX('الحضور'!$F$3:$F$502,130),"")</f>
        <v/>
      </c>
      <c r="G136" s="58">
        <f>IFERROR(INDEX('الحضور'!$J$3:$J$502,130),"")</f>
        <v/>
      </c>
      <c r="H136" s="58">
        <f>IFERROR(INDEX('الحضور'!$K$3:$K$502,130),"")</f>
        <v/>
      </c>
      <c r="I136" s="58">
        <f>IFERROR(INDEX('الحضور'!$L$3:$L$502,130),"")</f>
        <v/>
      </c>
      <c r="J136" s="58">
        <f>IFERROR(INDEX('الحضور'!$M$3:$M$502,130),"")</f>
        <v/>
      </c>
      <c r="K136" s="50">
        <f>IFERROR(INDEX('الحضور'!$N$3:$N$502,130),"")</f>
        <v/>
      </c>
    </row>
    <row r="137">
      <c r="A137" s="43">
        <f>IFERROR(INDEX('الحضور'!$A$3:$A$502,131),"")</f>
        <v/>
      </c>
      <c r="B137" s="43">
        <f>IFERROR(INDEX('الحضور'!$B$3:$B$502,131),"")</f>
        <v/>
      </c>
      <c r="C137" s="118">
        <f>IFERROR(INDEX('الحضور'!$C$3:$C$502,131),"")</f>
        <v/>
      </c>
      <c r="D137" s="43">
        <f>IFERROR(INDEX('الحضور'!$D$3:$D$502,131),"")</f>
        <v/>
      </c>
      <c r="E137" s="115">
        <f>IFERROR(INDEX('الحضور'!$E$3:$E$502,131),"")</f>
        <v/>
      </c>
      <c r="F137" s="115">
        <f>IFERROR(INDEX('الحضور'!$F$3:$F$502,131),"")</f>
        <v/>
      </c>
      <c r="G137" s="55">
        <f>IFERROR(INDEX('الحضور'!$J$3:$J$502,131),"")</f>
        <v/>
      </c>
      <c r="H137" s="55">
        <f>IFERROR(INDEX('الحضور'!$K$3:$K$502,131),"")</f>
        <v/>
      </c>
      <c r="I137" s="55">
        <f>IFERROR(INDEX('الحضور'!$L$3:$L$502,131),"")</f>
        <v/>
      </c>
      <c r="J137" s="55">
        <f>IFERROR(INDEX('الحضور'!$M$3:$M$502,131),"")</f>
        <v/>
      </c>
      <c r="K137" s="43">
        <f>IFERROR(INDEX('الحضور'!$N$3:$N$502,131),"")</f>
        <v/>
      </c>
    </row>
    <row r="138">
      <c r="A138" s="50">
        <f>IFERROR(INDEX('الحضور'!$A$3:$A$502,132),"")</f>
        <v/>
      </c>
      <c r="B138" s="50">
        <f>IFERROR(INDEX('الحضور'!$B$3:$B$502,132),"")</f>
        <v/>
      </c>
      <c r="C138" s="119">
        <f>IFERROR(INDEX('الحضور'!$C$3:$C$502,132),"")</f>
        <v/>
      </c>
      <c r="D138" s="50">
        <f>IFERROR(INDEX('الحضور'!$D$3:$D$502,132),"")</f>
        <v/>
      </c>
      <c r="E138" s="117">
        <f>IFERROR(INDEX('الحضور'!$E$3:$E$502,132),"")</f>
        <v/>
      </c>
      <c r="F138" s="117">
        <f>IFERROR(INDEX('الحضور'!$F$3:$F$502,132),"")</f>
        <v/>
      </c>
      <c r="G138" s="58">
        <f>IFERROR(INDEX('الحضور'!$J$3:$J$502,132),"")</f>
        <v/>
      </c>
      <c r="H138" s="58">
        <f>IFERROR(INDEX('الحضور'!$K$3:$K$502,132),"")</f>
        <v/>
      </c>
      <c r="I138" s="58">
        <f>IFERROR(INDEX('الحضور'!$L$3:$L$502,132),"")</f>
        <v/>
      </c>
      <c r="J138" s="58">
        <f>IFERROR(INDEX('الحضور'!$M$3:$M$502,132),"")</f>
        <v/>
      </c>
      <c r="K138" s="50">
        <f>IFERROR(INDEX('الحضور'!$N$3:$N$502,132),"")</f>
        <v/>
      </c>
    </row>
    <row r="139">
      <c r="A139" s="43">
        <f>IFERROR(INDEX('الحضور'!$A$3:$A$502,133),"")</f>
        <v/>
      </c>
      <c r="B139" s="43">
        <f>IFERROR(INDEX('الحضور'!$B$3:$B$502,133),"")</f>
        <v/>
      </c>
      <c r="C139" s="118">
        <f>IFERROR(INDEX('الحضور'!$C$3:$C$502,133),"")</f>
        <v/>
      </c>
      <c r="D139" s="43">
        <f>IFERROR(INDEX('الحضور'!$D$3:$D$502,133),"")</f>
        <v/>
      </c>
      <c r="E139" s="115">
        <f>IFERROR(INDEX('الحضور'!$E$3:$E$502,133),"")</f>
        <v/>
      </c>
      <c r="F139" s="115">
        <f>IFERROR(INDEX('الحضور'!$F$3:$F$502,133),"")</f>
        <v/>
      </c>
      <c r="G139" s="55">
        <f>IFERROR(INDEX('الحضور'!$J$3:$J$502,133),"")</f>
        <v/>
      </c>
      <c r="H139" s="55">
        <f>IFERROR(INDEX('الحضور'!$K$3:$K$502,133),"")</f>
        <v/>
      </c>
      <c r="I139" s="55">
        <f>IFERROR(INDEX('الحضور'!$L$3:$L$502,133),"")</f>
        <v/>
      </c>
      <c r="J139" s="55">
        <f>IFERROR(INDEX('الحضور'!$M$3:$M$502,133),"")</f>
        <v/>
      </c>
      <c r="K139" s="43">
        <f>IFERROR(INDEX('الحضور'!$N$3:$N$502,133),"")</f>
        <v/>
      </c>
    </row>
    <row r="140">
      <c r="A140" s="50">
        <f>IFERROR(INDEX('الحضور'!$A$3:$A$502,134),"")</f>
        <v/>
      </c>
      <c r="B140" s="50">
        <f>IFERROR(INDEX('الحضور'!$B$3:$B$502,134),"")</f>
        <v/>
      </c>
      <c r="C140" s="119">
        <f>IFERROR(INDEX('الحضور'!$C$3:$C$502,134),"")</f>
        <v/>
      </c>
      <c r="D140" s="50">
        <f>IFERROR(INDEX('الحضور'!$D$3:$D$502,134),"")</f>
        <v/>
      </c>
      <c r="E140" s="117">
        <f>IFERROR(INDEX('الحضور'!$E$3:$E$502,134),"")</f>
        <v/>
      </c>
      <c r="F140" s="117">
        <f>IFERROR(INDEX('الحضور'!$F$3:$F$502,134),"")</f>
        <v/>
      </c>
      <c r="G140" s="58">
        <f>IFERROR(INDEX('الحضور'!$J$3:$J$502,134),"")</f>
        <v/>
      </c>
      <c r="H140" s="58">
        <f>IFERROR(INDEX('الحضور'!$K$3:$K$502,134),"")</f>
        <v/>
      </c>
      <c r="I140" s="58">
        <f>IFERROR(INDEX('الحضور'!$L$3:$L$502,134),"")</f>
        <v/>
      </c>
      <c r="J140" s="58">
        <f>IFERROR(INDEX('الحضور'!$M$3:$M$502,134),"")</f>
        <v/>
      </c>
      <c r="K140" s="50">
        <f>IFERROR(INDEX('الحضور'!$N$3:$N$502,134),"")</f>
        <v/>
      </c>
    </row>
    <row r="141">
      <c r="A141" s="43">
        <f>IFERROR(INDEX('الحضور'!$A$3:$A$502,135),"")</f>
        <v/>
      </c>
      <c r="B141" s="43">
        <f>IFERROR(INDEX('الحضور'!$B$3:$B$502,135),"")</f>
        <v/>
      </c>
      <c r="C141" s="118">
        <f>IFERROR(INDEX('الحضور'!$C$3:$C$502,135),"")</f>
        <v/>
      </c>
      <c r="D141" s="43">
        <f>IFERROR(INDEX('الحضور'!$D$3:$D$502,135),"")</f>
        <v/>
      </c>
      <c r="E141" s="115">
        <f>IFERROR(INDEX('الحضور'!$E$3:$E$502,135),"")</f>
        <v/>
      </c>
      <c r="F141" s="115">
        <f>IFERROR(INDEX('الحضور'!$F$3:$F$502,135),"")</f>
        <v/>
      </c>
      <c r="G141" s="55">
        <f>IFERROR(INDEX('الحضور'!$J$3:$J$502,135),"")</f>
        <v/>
      </c>
      <c r="H141" s="55">
        <f>IFERROR(INDEX('الحضور'!$K$3:$K$502,135),"")</f>
        <v/>
      </c>
      <c r="I141" s="55">
        <f>IFERROR(INDEX('الحضور'!$L$3:$L$502,135),"")</f>
        <v/>
      </c>
      <c r="J141" s="55">
        <f>IFERROR(INDEX('الحضور'!$M$3:$M$502,135),"")</f>
        <v/>
      </c>
      <c r="K141" s="43">
        <f>IFERROR(INDEX('الحضور'!$N$3:$N$502,135),"")</f>
        <v/>
      </c>
    </row>
    <row r="142">
      <c r="A142" s="50">
        <f>IFERROR(INDEX('الحضور'!$A$3:$A$502,136),"")</f>
        <v/>
      </c>
      <c r="B142" s="50">
        <f>IFERROR(INDEX('الحضور'!$B$3:$B$502,136),"")</f>
        <v/>
      </c>
      <c r="C142" s="119">
        <f>IFERROR(INDEX('الحضور'!$C$3:$C$502,136),"")</f>
        <v/>
      </c>
      <c r="D142" s="50">
        <f>IFERROR(INDEX('الحضور'!$D$3:$D$502,136),"")</f>
        <v/>
      </c>
      <c r="E142" s="117">
        <f>IFERROR(INDEX('الحضور'!$E$3:$E$502,136),"")</f>
        <v/>
      </c>
      <c r="F142" s="117">
        <f>IFERROR(INDEX('الحضور'!$F$3:$F$502,136),"")</f>
        <v/>
      </c>
      <c r="G142" s="58">
        <f>IFERROR(INDEX('الحضور'!$J$3:$J$502,136),"")</f>
        <v/>
      </c>
      <c r="H142" s="58">
        <f>IFERROR(INDEX('الحضور'!$K$3:$K$502,136),"")</f>
        <v/>
      </c>
      <c r="I142" s="58">
        <f>IFERROR(INDEX('الحضور'!$L$3:$L$502,136),"")</f>
        <v/>
      </c>
      <c r="J142" s="58">
        <f>IFERROR(INDEX('الحضور'!$M$3:$M$502,136),"")</f>
        <v/>
      </c>
      <c r="K142" s="50">
        <f>IFERROR(INDEX('الحضور'!$N$3:$N$502,136),"")</f>
        <v/>
      </c>
    </row>
    <row r="143">
      <c r="A143" s="43">
        <f>IFERROR(INDEX('الحضور'!$A$3:$A$502,137),"")</f>
        <v/>
      </c>
      <c r="B143" s="43">
        <f>IFERROR(INDEX('الحضور'!$B$3:$B$502,137),"")</f>
        <v/>
      </c>
      <c r="C143" s="118">
        <f>IFERROR(INDEX('الحضور'!$C$3:$C$502,137),"")</f>
        <v/>
      </c>
      <c r="D143" s="43">
        <f>IFERROR(INDEX('الحضور'!$D$3:$D$502,137),"")</f>
        <v/>
      </c>
      <c r="E143" s="115">
        <f>IFERROR(INDEX('الحضور'!$E$3:$E$502,137),"")</f>
        <v/>
      </c>
      <c r="F143" s="115">
        <f>IFERROR(INDEX('الحضور'!$F$3:$F$502,137),"")</f>
        <v/>
      </c>
      <c r="G143" s="55">
        <f>IFERROR(INDEX('الحضور'!$J$3:$J$502,137),"")</f>
        <v/>
      </c>
      <c r="H143" s="55">
        <f>IFERROR(INDEX('الحضور'!$K$3:$K$502,137),"")</f>
        <v/>
      </c>
      <c r="I143" s="55">
        <f>IFERROR(INDEX('الحضور'!$L$3:$L$502,137),"")</f>
        <v/>
      </c>
      <c r="J143" s="55">
        <f>IFERROR(INDEX('الحضور'!$M$3:$M$502,137),"")</f>
        <v/>
      </c>
      <c r="K143" s="43">
        <f>IFERROR(INDEX('الحضور'!$N$3:$N$502,137),"")</f>
        <v/>
      </c>
    </row>
    <row r="144">
      <c r="A144" s="50">
        <f>IFERROR(INDEX('الحضور'!$A$3:$A$502,138),"")</f>
        <v/>
      </c>
      <c r="B144" s="50">
        <f>IFERROR(INDEX('الحضور'!$B$3:$B$502,138),"")</f>
        <v/>
      </c>
      <c r="C144" s="119">
        <f>IFERROR(INDEX('الحضور'!$C$3:$C$502,138),"")</f>
        <v/>
      </c>
      <c r="D144" s="50">
        <f>IFERROR(INDEX('الحضور'!$D$3:$D$502,138),"")</f>
        <v/>
      </c>
      <c r="E144" s="117">
        <f>IFERROR(INDEX('الحضور'!$E$3:$E$502,138),"")</f>
        <v/>
      </c>
      <c r="F144" s="117">
        <f>IFERROR(INDEX('الحضور'!$F$3:$F$502,138),"")</f>
        <v/>
      </c>
      <c r="G144" s="58">
        <f>IFERROR(INDEX('الحضور'!$J$3:$J$502,138),"")</f>
        <v/>
      </c>
      <c r="H144" s="58">
        <f>IFERROR(INDEX('الحضور'!$K$3:$K$502,138),"")</f>
        <v/>
      </c>
      <c r="I144" s="58">
        <f>IFERROR(INDEX('الحضور'!$L$3:$L$502,138),"")</f>
        <v/>
      </c>
      <c r="J144" s="58">
        <f>IFERROR(INDEX('الحضور'!$M$3:$M$502,138),"")</f>
        <v/>
      </c>
      <c r="K144" s="50">
        <f>IFERROR(INDEX('الحضور'!$N$3:$N$502,138),"")</f>
        <v/>
      </c>
    </row>
    <row r="145">
      <c r="A145" s="43">
        <f>IFERROR(INDEX('الحضور'!$A$3:$A$502,139),"")</f>
        <v/>
      </c>
      <c r="B145" s="43">
        <f>IFERROR(INDEX('الحضور'!$B$3:$B$502,139),"")</f>
        <v/>
      </c>
      <c r="C145" s="118">
        <f>IFERROR(INDEX('الحضور'!$C$3:$C$502,139),"")</f>
        <v/>
      </c>
      <c r="D145" s="43">
        <f>IFERROR(INDEX('الحضور'!$D$3:$D$502,139),"")</f>
        <v/>
      </c>
      <c r="E145" s="115">
        <f>IFERROR(INDEX('الحضور'!$E$3:$E$502,139),"")</f>
        <v/>
      </c>
      <c r="F145" s="115">
        <f>IFERROR(INDEX('الحضور'!$F$3:$F$502,139),"")</f>
        <v/>
      </c>
      <c r="G145" s="55">
        <f>IFERROR(INDEX('الحضور'!$J$3:$J$502,139),"")</f>
        <v/>
      </c>
      <c r="H145" s="55">
        <f>IFERROR(INDEX('الحضور'!$K$3:$K$502,139),"")</f>
        <v/>
      </c>
      <c r="I145" s="55">
        <f>IFERROR(INDEX('الحضور'!$L$3:$L$502,139),"")</f>
        <v/>
      </c>
      <c r="J145" s="55">
        <f>IFERROR(INDEX('الحضور'!$M$3:$M$502,139),"")</f>
        <v/>
      </c>
      <c r="K145" s="43">
        <f>IFERROR(INDEX('الحضور'!$N$3:$N$502,139),"")</f>
        <v/>
      </c>
    </row>
    <row r="146">
      <c r="A146" s="50">
        <f>IFERROR(INDEX('الحضور'!$A$3:$A$502,140),"")</f>
        <v/>
      </c>
      <c r="B146" s="50">
        <f>IFERROR(INDEX('الحضور'!$B$3:$B$502,140),"")</f>
        <v/>
      </c>
      <c r="C146" s="119">
        <f>IFERROR(INDEX('الحضور'!$C$3:$C$502,140),"")</f>
        <v/>
      </c>
      <c r="D146" s="50">
        <f>IFERROR(INDEX('الحضور'!$D$3:$D$502,140),"")</f>
        <v/>
      </c>
      <c r="E146" s="117">
        <f>IFERROR(INDEX('الحضور'!$E$3:$E$502,140),"")</f>
        <v/>
      </c>
      <c r="F146" s="117">
        <f>IFERROR(INDEX('الحضور'!$F$3:$F$502,140),"")</f>
        <v/>
      </c>
      <c r="G146" s="58">
        <f>IFERROR(INDEX('الحضور'!$J$3:$J$502,140),"")</f>
        <v/>
      </c>
      <c r="H146" s="58">
        <f>IFERROR(INDEX('الحضور'!$K$3:$K$502,140),"")</f>
        <v/>
      </c>
      <c r="I146" s="58">
        <f>IFERROR(INDEX('الحضور'!$L$3:$L$502,140),"")</f>
        <v/>
      </c>
      <c r="J146" s="58">
        <f>IFERROR(INDEX('الحضور'!$M$3:$M$502,140),"")</f>
        <v/>
      </c>
      <c r="K146" s="50">
        <f>IFERROR(INDEX('الحضور'!$N$3:$N$502,140),"")</f>
        <v/>
      </c>
    </row>
    <row r="147">
      <c r="A147" s="43">
        <f>IFERROR(INDEX('الحضور'!$A$3:$A$502,141),"")</f>
        <v/>
      </c>
      <c r="B147" s="43">
        <f>IFERROR(INDEX('الحضور'!$B$3:$B$502,141),"")</f>
        <v/>
      </c>
      <c r="C147" s="118">
        <f>IFERROR(INDEX('الحضور'!$C$3:$C$502,141),"")</f>
        <v/>
      </c>
      <c r="D147" s="43">
        <f>IFERROR(INDEX('الحضور'!$D$3:$D$502,141),"")</f>
        <v/>
      </c>
      <c r="E147" s="115">
        <f>IFERROR(INDEX('الحضور'!$E$3:$E$502,141),"")</f>
        <v/>
      </c>
      <c r="F147" s="115">
        <f>IFERROR(INDEX('الحضور'!$F$3:$F$502,141),"")</f>
        <v/>
      </c>
      <c r="G147" s="55">
        <f>IFERROR(INDEX('الحضور'!$J$3:$J$502,141),"")</f>
        <v/>
      </c>
      <c r="H147" s="55">
        <f>IFERROR(INDEX('الحضور'!$K$3:$K$502,141),"")</f>
        <v/>
      </c>
      <c r="I147" s="55">
        <f>IFERROR(INDEX('الحضور'!$L$3:$L$502,141),"")</f>
        <v/>
      </c>
      <c r="J147" s="55">
        <f>IFERROR(INDEX('الحضور'!$M$3:$M$502,141),"")</f>
        <v/>
      </c>
      <c r="K147" s="43">
        <f>IFERROR(INDEX('الحضور'!$N$3:$N$502,141),"")</f>
        <v/>
      </c>
    </row>
    <row r="148">
      <c r="A148" s="50">
        <f>IFERROR(INDEX('الحضور'!$A$3:$A$502,142),"")</f>
        <v/>
      </c>
      <c r="B148" s="50">
        <f>IFERROR(INDEX('الحضور'!$B$3:$B$502,142),"")</f>
        <v/>
      </c>
      <c r="C148" s="119">
        <f>IFERROR(INDEX('الحضور'!$C$3:$C$502,142),"")</f>
        <v/>
      </c>
      <c r="D148" s="50">
        <f>IFERROR(INDEX('الحضور'!$D$3:$D$502,142),"")</f>
        <v/>
      </c>
      <c r="E148" s="117">
        <f>IFERROR(INDEX('الحضور'!$E$3:$E$502,142),"")</f>
        <v/>
      </c>
      <c r="F148" s="117">
        <f>IFERROR(INDEX('الحضور'!$F$3:$F$502,142),"")</f>
        <v/>
      </c>
      <c r="G148" s="58">
        <f>IFERROR(INDEX('الحضور'!$J$3:$J$502,142),"")</f>
        <v/>
      </c>
      <c r="H148" s="58">
        <f>IFERROR(INDEX('الحضور'!$K$3:$K$502,142),"")</f>
        <v/>
      </c>
      <c r="I148" s="58">
        <f>IFERROR(INDEX('الحضور'!$L$3:$L$502,142),"")</f>
        <v/>
      </c>
      <c r="J148" s="58">
        <f>IFERROR(INDEX('الحضور'!$M$3:$M$502,142),"")</f>
        <v/>
      </c>
      <c r="K148" s="50">
        <f>IFERROR(INDEX('الحضور'!$N$3:$N$502,142),"")</f>
        <v/>
      </c>
    </row>
    <row r="149">
      <c r="A149" s="43">
        <f>IFERROR(INDEX('الحضور'!$A$3:$A$502,143),"")</f>
        <v/>
      </c>
      <c r="B149" s="43">
        <f>IFERROR(INDEX('الحضور'!$B$3:$B$502,143),"")</f>
        <v/>
      </c>
      <c r="C149" s="118">
        <f>IFERROR(INDEX('الحضور'!$C$3:$C$502,143),"")</f>
        <v/>
      </c>
      <c r="D149" s="43">
        <f>IFERROR(INDEX('الحضور'!$D$3:$D$502,143),"")</f>
        <v/>
      </c>
      <c r="E149" s="115">
        <f>IFERROR(INDEX('الحضور'!$E$3:$E$502,143),"")</f>
        <v/>
      </c>
      <c r="F149" s="115">
        <f>IFERROR(INDEX('الحضور'!$F$3:$F$502,143),"")</f>
        <v/>
      </c>
      <c r="G149" s="55">
        <f>IFERROR(INDEX('الحضور'!$J$3:$J$502,143),"")</f>
        <v/>
      </c>
      <c r="H149" s="55">
        <f>IFERROR(INDEX('الحضور'!$K$3:$K$502,143),"")</f>
        <v/>
      </c>
      <c r="I149" s="55">
        <f>IFERROR(INDEX('الحضور'!$L$3:$L$502,143),"")</f>
        <v/>
      </c>
      <c r="J149" s="55">
        <f>IFERROR(INDEX('الحضور'!$M$3:$M$502,143),"")</f>
        <v/>
      </c>
      <c r="K149" s="43">
        <f>IFERROR(INDEX('الحضور'!$N$3:$N$502,143),"")</f>
        <v/>
      </c>
    </row>
    <row r="150">
      <c r="A150" s="50">
        <f>IFERROR(INDEX('الحضور'!$A$3:$A$502,144),"")</f>
        <v/>
      </c>
      <c r="B150" s="50">
        <f>IFERROR(INDEX('الحضور'!$B$3:$B$502,144),"")</f>
        <v/>
      </c>
      <c r="C150" s="119">
        <f>IFERROR(INDEX('الحضور'!$C$3:$C$502,144),"")</f>
        <v/>
      </c>
      <c r="D150" s="50">
        <f>IFERROR(INDEX('الحضور'!$D$3:$D$502,144),"")</f>
        <v/>
      </c>
      <c r="E150" s="117">
        <f>IFERROR(INDEX('الحضور'!$E$3:$E$502,144),"")</f>
        <v/>
      </c>
      <c r="F150" s="117">
        <f>IFERROR(INDEX('الحضور'!$F$3:$F$502,144),"")</f>
        <v/>
      </c>
      <c r="G150" s="58">
        <f>IFERROR(INDEX('الحضور'!$J$3:$J$502,144),"")</f>
        <v/>
      </c>
      <c r="H150" s="58">
        <f>IFERROR(INDEX('الحضور'!$K$3:$K$502,144),"")</f>
        <v/>
      </c>
      <c r="I150" s="58">
        <f>IFERROR(INDEX('الحضور'!$L$3:$L$502,144),"")</f>
        <v/>
      </c>
      <c r="J150" s="58">
        <f>IFERROR(INDEX('الحضور'!$M$3:$M$502,144),"")</f>
        <v/>
      </c>
      <c r="K150" s="50">
        <f>IFERROR(INDEX('الحضور'!$N$3:$N$502,144),"")</f>
        <v/>
      </c>
    </row>
    <row r="151">
      <c r="A151" s="43">
        <f>IFERROR(INDEX('الحضور'!$A$3:$A$502,145),"")</f>
        <v/>
      </c>
      <c r="B151" s="43">
        <f>IFERROR(INDEX('الحضور'!$B$3:$B$502,145),"")</f>
        <v/>
      </c>
      <c r="C151" s="118">
        <f>IFERROR(INDEX('الحضور'!$C$3:$C$502,145),"")</f>
        <v/>
      </c>
      <c r="D151" s="43">
        <f>IFERROR(INDEX('الحضور'!$D$3:$D$502,145),"")</f>
        <v/>
      </c>
      <c r="E151" s="115">
        <f>IFERROR(INDEX('الحضور'!$E$3:$E$502,145),"")</f>
        <v/>
      </c>
      <c r="F151" s="115">
        <f>IFERROR(INDEX('الحضور'!$F$3:$F$502,145),"")</f>
        <v/>
      </c>
      <c r="G151" s="55">
        <f>IFERROR(INDEX('الحضور'!$J$3:$J$502,145),"")</f>
        <v/>
      </c>
      <c r="H151" s="55">
        <f>IFERROR(INDEX('الحضور'!$K$3:$K$502,145),"")</f>
        <v/>
      </c>
      <c r="I151" s="55">
        <f>IFERROR(INDEX('الحضور'!$L$3:$L$502,145),"")</f>
        <v/>
      </c>
      <c r="J151" s="55">
        <f>IFERROR(INDEX('الحضور'!$M$3:$M$502,145),"")</f>
        <v/>
      </c>
      <c r="K151" s="43">
        <f>IFERROR(INDEX('الحضور'!$N$3:$N$502,145),"")</f>
        <v/>
      </c>
    </row>
    <row r="152">
      <c r="A152" s="50">
        <f>IFERROR(INDEX('الحضور'!$A$3:$A$502,146),"")</f>
        <v/>
      </c>
      <c r="B152" s="50">
        <f>IFERROR(INDEX('الحضور'!$B$3:$B$502,146),"")</f>
        <v/>
      </c>
      <c r="C152" s="119">
        <f>IFERROR(INDEX('الحضور'!$C$3:$C$502,146),"")</f>
        <v/>
      </c>
      <c r="D152" s="50">
        <f>IFERROR(INDEX('الحضور'!$D$3:$D$502,146),"")</f>
        <v/>
      </c>
      <c r="E152" s="117">
        <f>IFERROR(INDEX('الحضور'!$E$3:$E$502,146),"")</f>
        <v/>
      </c>
      <c r="F152" s="117">
        <f>IFERROR(INDEX('الحضور'!$F$3:$F$502,146),"")</f>
        <v/>
      </c>
      <c r="G152" s="58">
        <f>IFERROR(INDEX('الحضور'!$J$3:$J$502,146),"")</f>
        <v/>
      </c>
      <c r="H152" s="58">
        <f>IFERROR(INDEX('الحضور'!$K$3:$K$502,146),"")</f>
        <v/>
      </c>
      <c r="I152" s="58">
        <f>IFERROR(INDEX('الحضور'!$L$3:$L$502,146),"")</f>
        <v/>
      </c>
      <c r="J152" s="58">
        <f>IFERROR(INDEX('الحضور'!$M$3:$M$502,146),"")</f>
        <v/>
      </c>
      <c r="K152" s="50">
        <f>IFERROR(INDEX('الحضور'!$N$3:$N$502,146),"")</f>
        <v/>
      </c>
    </row>
    <row r="153">
      <c r="A153" s="43">
        <f>IFERROR(INDEX('الحضور'!$A$3:$A$502,147),"")</f>
        <v/>
      </c>
      <c r="B153" s="43">
        <f>IFERROR(INDEX('الحضور'!$B$3:$B$502,147),"")</f>
        <v/>
      </c>
      <c r="C153" s="118">
        <f>IFERROR(INDEX('الحضور'!$C$3:$C$502,147),"")</f>
        <v/>
      </c>
      <c r="D153" s="43">
        <f>IFERROR(INDEX('الحضور'!$D$3:$D$502,147),"")</f>
        <v/>
      </c>
      <c r="E153" s="115">
        <f>IFERROR(INDEX('الحضور'!$E$3:$E$502,147),"")</f>
        <v/>
      </c>
      <c r="F153" s="115">
        <f>IFERROR(INDEX('الحضور'!$F$3:$F$502,147),"")</f>
        <v/>
      </c>
      <c r="G153" s="55">
        <f>IFERROR(INDEX('الحضور'!$J$3:$J$502,147),"")</f>
        <v/>
      </c>
      <c r="H153" s="55">
        <f>IFERROR(INDEX('الحضور'!$K$3:$K$502,147),"")</f>
        <v/>
      </c>
      <c r="I153" s="55">
        <f>IFERROR(INDEX('الحضور'!$L$3:$L$502,147),"")</f>
        <v/>
      </c>
      <c r="J153" s="55">
        <f>IFERROR(INDEX('الحضور'!$M$3:$M$502,147),"")</f>
        <v/>
      </c>
      <c r="K153" s="43">
        <f>IFERROR(INDEX('الحضور'!$N$3:$N$502,147),"")</f>
        <v/>
      </c>
    </row>
    <row r="154">
      <c r="A154" s="50">
        <f>IFERROR(INDEX('الحضور'!$A$3:$A$502,148),"")</f>
        <v/>
      </c>
      <c r="B154" s="50">
        <f>IFERROR(INDEX('الحضور'!$B$3:$B$502,148),"")</f>
        <v/>
      </c>
      <c r="C154" s="119">
        <f>IFERROR(INDEX('الحضور'!$C$3:$C$502,148),"")</f>
        <v/>
      </c>
      <c r="D154" s="50">
        <f>IFERROR(INDEX('الحضور'!$D$3:$D$502,148),"")</f>
        <v/>
      </c>
      <c r="E154" s="117">
        <f>IFERROR(INDEX('الحضور'!$E$3:$E$502,148),"")</f>
        <v/>
      </c>
      <c r="F154" s="117">
        <f>IFERROR(INDEX('الحضور'!$F$3:$F$502,148),"")</f>
        <v/>
      </c>
      <c r="G154" s="58">
        <f>IFERROR(INDEX('الحضور'!$J$3:$J$502,148),"")</f>
        <v/>
      </c>
      <c r="H154" s="58">
        <f>IFERROR(INDEX('الحضور'!$K$3:$K$502,148),"")</f>
        <v/>
      </c>
      <c r="I154" s="58">
        <f>IFERROR(INDEX('الحضور'!$L$3:$L$502,148),"")</f>
        <v/>
      </c>
      <c r="J154" s="58">
        <f>IFERROR(INDEX('الحضور'!$M$3:$M$502,148),"")</f>
        <v/>
      </c>
      <c r="K154" s="50">
        <f>IFERROR(INDEX('الحضور'!$N$3:$N$502,148),"")</f>
        <v/>
      </c>
    </row>
    <row r="155">
      <c r="A155" s="43">
        <f>IFERROR(INDEX('الحضور'!$A$3:$A$502,149),"")</f>
        <v/>
      </c>
      <c r="B155" s="43">
        <f>IFERROR(INDEX('الحضور'!$B$3:$B$502,149),"")</f>
        <v/>
      </c>
      <c r="C155" s="118">
        <f>IFERROR(INDEX('الحضور'!$C$3:$C$502,149),"")</f>
        <v/>
      </c>
      <c r="D155" s="43">
        <f>IFERROR(INDEX('الحضور'!$D$3:$D$502,149),"")</f>
        <v/>
      </c>
      <c r="E155" s="115">
        <f>IFERROR(INDEX('الحضور'!$E$3:$E$502,149),"")</f>
        <v/>
      </c>
      <c r="F155" s="115">
        <f>IFERROR(INDEX('الحضور'!$F$3:$F$502,149),"")</f>
        <v/>
      </c>
      <c r="G155" s="55">
        <f>IFERROR(INDEX('الحضور'!$J$3:$J$502,149),"")</f>
        <v/>
      </c>
      <c r="H155" s="55">
        <f>IFERROR(INDEX('الحضور'!$K$3:$K$502,149),"")</f>
        <v/>
      </c>
      <c r="I155" s="55">
        <f>IFERROR(INDEX('الحضور'!$L$3:$L$502,149),"")</f>
        <v/>
      </c>
      <c r="J155" s="55">
        <f>IFERROR(INDEX('الحضور'!$M$3:$M$502,149),"")</f>
        <v/>
      </c>
      <c r="K155" s="43">
        <f>IFERROR(INDEX('الحضور'!$N$3:$N$502,149),"")</f>
        <v/>
      </c>
    </row>
    <row r="156">
      <c r="A156" s="50">
        <f>IFERROR(INDEX('الحضور'!$A$3:$A$502,150),"")</f>
        <v/>
      </c>
      <c r="B156" s="50">
        <f>IFERROR(INDEX('الحضور'!$B$3:$B$502,150),"")</f>
        <v/>
      </c>
      <c r="C156" s="119">
        <f>IFERROR(INDEX('الحضور'!$C$3:$C$502,150),"")</f>
        <v/>
      </c>
      <c r="D156" s="50">
        <f>IFERROR(INDEX('الحضور'!$D$3:$D$502,150),"")</f>
        <v/>
      </c>
      <c r="E156" s="117">
        <f>IFERROR(INDEX('الحضور'!$E$3:$E$502,150),"")</f>
        <v/>
      </c>
      <c r="F156" s="117">
        <f>IFERROR(INDEX('الحضور'!$F$3:$F$502,150),"")</f>
        <v/>
      </c>
      <c r="G156" s="58">
        <f>IFERROR(INDEX('الحضور'!$J$3:$J$502,150),"")</f>
        <v/>
      </c>
      <c r="H156" s="58">
        <f>IFERROR(INDEX('الحضور'!$K$3:$K$502,150),"")</f>
        <v/>
      </c>
      <c r="I156" s="58">
        <f>IFERROR(INDEX('الحضور'!$L$3:$L$502,150),"")</f>
        <v/>
      </c>
      <c r="J156" s="58">
        <f>IFERROR(INDEX('الحضور'!$M$3:$M$502,150),"")</f>
        <v/>
      </c>
      <c r="K156" s="50">
        <f>IFERROR(INDEX('الحضور'!$N$3:$N$502,150),"")</f>
        <v/>
      </c>
    </row>
    <row r="157">
      <c r="A157" s="43">
        <f>IFERROR(INDEX('الحضور'!$A$3:$A$502,151),"")</f>
        <v/>
      </c>
      <c r="B157" s="43">
        <f>IFERROR(INDEX('الحضور'!$B$3:$B$502,151),"")</f>
        <v/>
      </c>
      <c r="C157" s="118">
        <f>IFERROR(INDEX('الحضور'!$C$3:$C$502,151),"")</f>
        <v/>
      </c>
      <c r="D157" s="43">
        <f>IFERROR(INDEX('الحضور'!$D$3:$D$502,151),"")</f>
        <v/>
      </c>
      <c r="E157" s="115">
        <f>IFERROR(INDEX('الحضور'!$E$3:$E$502,151),"")</f>
        <v/>
      </c>
      <c r="F157" s="115">
        <f>IFERROR(INDEX('الحضور'!$F$3:$F$502,151),"")</f>
        <v/>
      </c>
      <c r="G157" s="55">
        <f>IFERROR(INDEX('الحضور'!$J$3:$J$502,151),"")</f>
        <v/>
      </c>
      <c r="H157" s="55">
        <f>IFERROR(INDEX('الحضور'!$K$3:$K$502,151),"")</f>
        <v/>
      </c>
      <c r="I157" s="55">
        <f>IFERROR(INDEX('الحضور'!$L$3:$L$502,151),"")</f>
        <v/>
      </c>
      <c r="J157" s="55">
        <f>IFERROR(INDEX('الحضور'!$M$3:$M$502,151),"")</f>
        <v/>
      </c>
      <c r="K157" s="43">
        <f>IFERROR(INDEX('الحضور'!$N$3:$N$502,151),"")</f>
        <v/>
      </c>
    </row>
    <row r="158">
      <c r="A158" s="50">
        <f>IFERROR(INDEX('الحضور'!$A$3:$A$502,152),"")</f>
        <v/>
      </c>
      <c r="B158" s="50">
        <f>IFERROR(INDEX('الحضور'!$B$3:$B$502,152),"")</f>
        <v/>
      </c>
      <c r="C158" s="119">
        <f>IFERROR(INDEX('الحضور'!$C$3:$C$502,152),"")</f>
        <v/>
      </c>
      <c r="D158" s="50">
        <f>IFERROR(INDEX('الحضور'!$D$3:$D$502,152),"")</f>
        <v/>
      </c>
      <c r="E158" s="117">
        <f>IFERROR(INDEX('الحضور'!$E$3:$E$502,152),"")</f>
        <v/>
      </c>
      <c r="F158" s="117">
        <f>IFERROR(INDEX('الحضور'!$F$3:$F$502,152),"")</f>
        <v/>
      </c>
      <c r="G158" s="58">
        <f>IFERROR(INDEX('الحضور'!$J$3:$J$502,152),"")</f>
        <v/>
      </c>
      <c r="H158" s="58">
        <f>IFERROR(INDEX('الحضور'!$K$3:$K$502,152),"")</f>
        <v/>
      </c>
      <c r="I158" s="58">
        <f>IFERROR(INDEX('الحضور'!$L$3:$L$502,152),"")</f>
        <v/>
      </c>
      <c r="J158" s="58">
        <f>IFERROR(INDEX('الحضور'!$M$3:$M$502,152),"")</f>
        <v/>
      </c>
      <c r="K158" s="50">
        <f>IFERROR(INDEX('الحضور'!$N$3:$N$502,152),"")</f>
        <v/>
      </c>
    </row>
    <row r="159">
      <c r="A159" s="43">
        <f>IFERROR(INDEX('الحضور'!$A$3:$A$502,153),"")</f>
        <v/>
      </c>
      <c r="B159" s="43">
        <f>IFERROR(INDEX('الحضور'!$B$3:$B$502,153),"")</f>
        <v/>
      </c>
      <c r="C159" s="118">
        <f>IFERROR(INDEX('الحضور'!$C$3:$C$502,153),"")</f>
        <v/>
      </c>
      <c r="D159" s="43">
        <f>IFERROR(INDEX('الحضور'!$D$3:$D$502,153),"")</f>
        <v/>
      </c>
      <c r="E159" s="115">
        <f>IFERROR(INDEX('الحضور'!$E$3:$E$502,153),"")</f>
        <v/>
      </c>
      <c r="F159" s="115">
        <f>IFERROR(INDEX('الحضور'!$F$3:$F$502,153),"")</f>
        <v/>
      </c>
      <c r="G159" s="55">
        <f>IFERROR(INDEX('الحضور'!$J$3:$J$502,153),"")</f>
        <v/>
      </c>
      <c r="H159" s="55">
        <f>IFERROR(INDEX('الحضور'!$K$3:$K$502,153),"")</f>
        <v/>
      </c>
      <c r="I159" s="55">
        <f>IFERROR(INDEX('الحضور'!$L$3:$L$502,153),"")</f>
        <v/>
      </c>
      <c r="J159" s="55">
        <f>IFERROR(INDEX('الحضور'!$M$3:$M$502,153),"")</f>
        <v/>
      </c>
      <c r="K159" s="43">
        <f>IFERROR(INDEX('الحضور'!$N$3:$N$502,153),"")</f>
        <v/>
      </c>
    </row>
    <row r="160">
      <c r="A160" s="50">
        <f>IFERROR(INDEX('الحضور'!$A$3:$A$502,154),"")</f>
        <v/>
      </c>
      <c r="B160" s="50">
        <f>IFERROR(INDEX('الحضور'!$B$3:$B$502,154),"")</f>
        <v/>
      </c>
      <c r="C160" s="119">
        <f>IFERROR(INDEX('الحضور'!$C$3:$C$502,154),"")</f>
        <v/>
      </c>
      <c r="D160" s="50">
        <f>IFERROR(INDEX('الحضور'!$D$3:$D$502,154),"")</f>
        <v/>
      </c>
      <c r="E160" s="117">
        <f>IFERROR(INDEX('الحضور'!$E$3:$E$502,154),"")</f>
        <v/>
      </c>
      <c r="F160" s="117">
        <f>IFERROR(INDEX('الحضور'!$F$3:$F$502,154),"")</f>
        <v/>
      </c>
      <c r="G160" s="58">
        <f>IFERROR(INDEX('الحضور'!$J$3:$J$502,154),"")</f>
        <v/>
      </c>
      <c r="H160" s="58">
        <f>IFERROR(INDEX('الحضور'!$K$3:$K$502,154),"")</f>
        <v/>
      </c>
      <c r="I160" s="58">
        <f>IFERROR(INDEX('الحضور'!$L$3:$L$502,154),"")</f>
        <v/>
      </c>
      <c r="J160" s="58">
        <f>IFERROR(INDEX('الحضور'!$M$3:$M$502,154),"")</f>
        <v/>
      </c>
      <c r="K160" s="50">
        <f>IFERROR(INDEX('الحضور'!$N$3:$N$502,154),"")</f>
        <v/>
      </c>
    </row>
    <row r="161">
      <c r="A161" s="43">
        <f>IFERROR(INDEX('الحضور'!$A$3:$A$502,155),"")</f>
        <v/>
      </c>
      <c r="B161" s="43">
        <f>IFERROR(INDEX('الحضور'!$B$3:$B$502,155),"")</f>
        <v/>
      </c>
      <c r="C161" s="118">
        <f>IFERROR(INDEX('الحضور'!$C$3:$C$502,155),"")</f>
        <v/>
      </c>
      <c r="D161" s="43">
        <f>IFERROR(INDEX('الحضور'!$D$3:$D$502,155),"")</f>
        <v/>
      </c>
      <c r="E161" s="115">
        <f>IFERROR(INDEX('الحضور'!$E$3:$E$502,155),"")</f>
        <v/>
      </c>
      <c r="F161" s="115">
        <f>IFERROR(INDEX('الحضور'!$F$3:$F$502,155),"")</f>
        <v/>
      </c>
      <c r="G161" s="55">
        <f>IFERROR(INDEX('الحضور'!$J$3:$J$502,155),"")</f>
        <v/>
      </c>
      <c r="H161" s="55">
        <f>IFERROR(INDEX('الحضور'!$K$3:$K$502,155),"")</f>
        <v/>
      </c>
      <c r="I161" s="55">
        <f>IFERROR(INDEX('الحضور'!$L$3:$L$502,155),"")</f>
        <v/>
      </c>
      <c r="J161" s="55">
        <f>IFERROR(INDEX('الحضور'!$M$3:$M$502,155),"")</f>
        <v/>
      </c>
      <c r="K161" s="43">
        <f>IFERROR(INDEX('الحضور'!$N$3:$N$502,155),"")</f>
        <v/>
      </c>
    </row>
    <row r="162">
      <c r="A162" s="50">
        <f>IFERROR(INDEX('الحضور'!$A$3:$A$502,156),"")</f>
        <v/>
      </c>
      <c r="B162" s="50">
        <f>IFERROR(INDEX('الحضور'!$B$3:$B$502,156),"")</f>
        <v/>
      </c>
      <c r="C162" s="119">
        <f>IFERROR(INDEX('الحضور'!$C$3:$C$502,156),"")</f>
        <v/>
      </c>
      <c r="D162" s="50">
        <f>IFERROR(INDEX('الحضور'!$D$3:$D$502,156),"")</f>
        <v/>
      </c>
      <c r="E162" s="117">
        <f>IFERROR(INDEX('الحضور'!$E$3:$E$502,156),"")</f>
        <v/>
      </c>
      <c r="F162" s="117">
        <f>IFERROR(INDEX('الحضور'!$F$3:$F$502,156),"")</f>
        <v/>
      </c>
      <c r="G162" s="58">
        <f>IFERROR(INDEX('الحضور'!$J$3:$J$502,156),"")</f>
        <v/>
      </c>
      <c r="H162" s="58">
        <f>IFERROR(INDEX('الحضور'!$K$3:$K$502,156),"")</f>
        <v/>
      </c>
      <c r="I162" s="58">
        <f>IFERROR(INDEX('الحضور'!$L$3:$L$502,156),"")</f>
        <v/>
      </c>
      <c r="J162" s="58">
        <f>IFERROR(INDEX('الحضور'!$M$3:$M$502,156),"")</f>
        <v/>
      </c>
      <c r="K162" s="50">
        <f>IFERROR(INDEX('الحضور'!$N$3:$N$502,156),"")</f>
        <v/>
      </c>
    </row>
    <row r="163">
      <c r="A163" s="43">
        <f>IFERROR(INDEX('الحضور'!$A$3:$A$502,157),"")</f>
        <v/>
      </c>
      <c r="B163" s="43">
        <f>IFERROR(INDEX('الحضور'!$B$3:$B$502,157),"")</f>
        <v/>
      </c>
      <c r="C163" s="118">
        <f>IFERROR(INDEX('الحضور'!$C$3:$C$502,157),"")</f>
        <v/>
      </c>
      <c r="D163" s="43">
        <f>IFERROR(INDEX('الحضور'!$D$3:$D$502,157),"")</f>
        <v/>
      </c>
      <c r="E163" s="115">
        <f>IFERROR(INDEX('الحضور'!$E$3:$E$502,157),"")</f>
        <v/>
      </c>
      <c r="F163" s="115">
        <f>IFERROR(INDEX('الحضور'!$F$3:$F$502,157),"")</f>
        <v/>
      </c>
      <c r="G163" s="55">
        <f>IFERROR(INDEX('الحضور'!$J$3:$J$502,157),"")</f>
        <v/>
      </c>
      <c r="H163" s="55">
        <f>IFERROR(INDEX('الحضور'!$K$3:$K$502,157),"")</f>
        <v/>
      </c>
      <c r="I163" s="55">
        <f>IFERROR(INDEX('الحضور'!$L$3:$L$502,157),"")</f>
        <v/>
      </c>
      <c r="J163" s="55">
        <f>IFERROR(INDEX('الحضور'!$M$3:$M$502,157),"")</f>
        <v/>
      </c>
      <c r="K163" s="43">
        <f>IFERROR(INDEX('الحضور'!$N$3:$N$502,157),"")</f>
        <v/>
      </c>
    </row>
    <row r="164">
      <c r="A164" s="50">
        <f>IFERROR(INDEX('الحضور'!$A$3:$A$502,158),"")</f>
        <v/>
      </c>
      <c r="B164" s="50">
        <f>IFERROR(INDEX('الحضور'!$B$3:$B$502,158),"")</f>
        <v/>
      </c>
      <c r="C164" s="119">
        <f>IFERROR(INDEX('الحضور'!$C$3:$C$502,158),"")</f>
        <v/>
      </c>
      <c r="D164" s="50">
        <f>IFERROR(INDEX('الحضور'!$D$3:$D$502,158),"")</f>
        <v/>
      </c>
      <c r="E164" s="117">
        <f>IFERROR(INDEX('الحضور'!$E$3:$E$502,158),"")</f>
        <v/>
      </c>
      <c r="F164" s="117">
        <f>IFERROR(INDEX('الحضور'!$F$3:$F$502,158),"")</f>
        <v/>
      </c>
      <c r="G164" s="58">
        <f>IFERROR(INDEX('الحضور'!$J$3:$J$502,158),"")</f>
        <v/>
      </c>
      <c r="H164" s="58">
        <f>IFERROR(INDEX('الحضور'!$K$3:$K$502,158),"")</f>
        <v/>
      </c>
      <c r="I164" s="58">
        <f>IFERROR(INDEX('الحضور'!$L$3:$L$502,158),"")</f>
        <v/>
      </c>
      <c r="J164" s="58">
        <f>IFERROR(INDEX('الحضور'!$M$3:$M$502,158),"")</f>
        <v/>
      </c>
      <c r="K164" s="50">
        <f>IFERROR(INDEX('الحضور'!$N$3:$N$502,158),"")</f>
        <v/>
      </c>
    </row>
    <row r="165">
      <c r="A165" s="43">
        <f>IFERROR(INDEX('الحضور'!$A$3:$A$502,159),"")</f>
        <v/>
      </c>
      <c r="B165" s="43">
        <f>IFERROR(INDEX('الحضور'!$B$3:$B$502,159),"")</f>
        <v/>
      </c>
      <c r="C165" s="118">
        <f>IFERROR(INDEX('الحضور'!$C$3:$C$502,159),"")</f>
        <v/>
      </c>
      <c r="D165" s="43">
        <f>IFERROR(INDEX('الحضور'!$D$3:$D$502,159),"")</f>
        <v/>
      </c>
      <c r="E165" s="115">
        <f>IFERROR(INDEX('الحضور'!$E$3:$E$502,159),"")</f>
        <v/>
      </c>
      <c r="F165" s="115">
        <f>IFERROR(INDEX('الحضور'!$F$3:$F$502,159),"")</f>
        <v/>
      </c>
      <c r="G165" s="55">
        <f>IFERROR(INDEX('الحضور'!$J$3:$J$502,159),"")</f>
        <v/>
      </c>
      <c r="H165" s="55">
        <f>IFERROR(INDEX('الحضور'!$K$3:$K$502,159),"")</f>
        <v/>
      </c>
      <c r="I165" s="55">
        <f>IFERROR(INDEX('الحضور'!$L$3:$L$502,159),"")</f>
        <v/>
      </c>
      <c r="J165" s="55">
        <f>IFERROR(INDEX('الحضور'!$M$3:$M$502,159),"")</f>
        <v/>
      </c>
      <c r="K165" s="43">
        <f>IFERROR(INDEX('الحضور'!$N$3:$N$502,159),"")</f>
        <v/>
      </c>
    </row>
    <row r="166">
      <c r="A166" s="50">
        <f>IFERROR(INDEX('الحضور'!$A$3:$A$502,160),"")</f>
        <v/>
      </c>
      <c r="B166" s="50">
        <f>IFERROR(INDEX('الحضور'!$B$3:$B$502,160),"")</f>
        <v/>
      </c>
      <c r="C166" s="119">
        <f>IFERROR(INDEX('الحضور'!$C$3:$C$502,160),"")</f>
        <v/>
      </c>
      <c r="D166" s="50">
        <f>IFERROR(INDEX('الحضور'!$D$3:$D$502,160),"")</f>
        <v/>
      </c>
      <c r="E166" s="117">
        <f>IFERROR(INDEX('الحضور'!$E$3:$E$502,160),"")</f>
        <v/>
      </c>
      <c r="F166" s="117">
        <f>IFERROR(INDEX('الحضور'!$F$3:$F$502,160),"")</f>
        <v/>
      </c>
      <c r="G166" s="58">
        <f>IFERROR(INDEX('الحضور'!$J$3:$J$502,160),"")</f>
        <v/>
      </c>
      <c r="H166" s="58">
        <f>IFERROR(INDEX('الحضور'!$K$3:$K$502,160),"")</f>
        <v/>
      </c>
      <c r="I166" s="58">
        <f>IFERROR(INDEX('الحضور'!$L$3:$L$502,160),"")</f>
        <v/>
      </c>
      <c r="J166" s="58">
        <f>IFERROR(INDEX('الحضور'!$M$3:$M$502,160),"")</f>
        <v/>
      </c>
      <c r="K166" s="50">
        <f>IFERROR(INDEX('الحضور'!$N$3:$N$502,160),"")</f>
        <v/>
      </c>
    </row>
    <row r="167">
      <c r="A167" s="43">
        <f>IFERROR(INDEX('الحضور'!$A$3:$A$502,161),"")</f>
        <v/>
      </c>
      <c r="B167" s="43">
        <f>IFERROR(INDEX('الحضور'!$B$3:$B$502,161),"")</f>
        <v/>
      </c>
      <c r="C167" s="118">
        <f>IFERROR(INDEX('الحضور'!$C$3:$C$502,161),"")</f>
        <v/>
      </c>
      <c r="D167" s="43">
        <f>IFERROR(INDEX('الحضور'!$D$3:$D$502,161),"")</f>
        <v/>
      </c>
      <c r="E167" s="115">
        <f>IFERROR(INDEX('الحضور'!$E$3:$E$502,161),"")</f>
        <v/>
      </c>
      <c r="F167" s="115">
        <f>IFERROR(INDEX('الحضور'!$F$3:$F$502,161),"")</f>
        <v/>
      </c>
      <c r="G167" s="55">
        <f>IFERROR(INDEX('الحضور'!$J$3:$J$502,161),"")</f>
        <v/>
      </c>
      <c r="H167" s="55">
        <f>IFERROR(INDEX('الحضور'!$K$3:$K$502,161),"")</f>
        <v/>
      </c>
      <c r="I167" s="55">
        <f>IFERROR(INDEX('الحضور'!$L$3:$L$502,161),"")</f>
        <v/>
      </c>
      <c r="J167" s="55">
        <f>IFERROR(INDEX('الحضور'!$M$3:$M$502,161),"")</f>
        <v/>
      </c>
      <c r="K167" s="43">
        <f>IFERROR(INDEX('الحضور'!$N$3:$N$502,161),"")</f>
        <v/>
      </c>
    </row>
    <row r="168">
      <c r="A168" s="50">
        <f>IFERROR(INDEX('الحضور'!$A$3:$A$502,162),"")</f>
        <v/>
      </c>
      <c r="B168" s="50">
        <f>IFERROR(INDEX('الحضور'!$B$3:$B$502,162),"")</f>
        <v/>
      </c>
      <c r="C168" s="119">
        <f>IFERROR(INDEX('الحضور'!$C$3:$C$502,162),"")</f>
        <v/>
      </c>
      <c r="D168" s="50">
        <f>IFERROR(INDEX('الحضور'!$D$3:$D$502,162),"")</f>
        <v/>
      </c>
      <c r="E168" s="117">
        <f>IFERROR(INDEX('الحضور'!$E$3:$E$502,162),"")</f>
        <v/>
      </c>
      <c r="F168" s="117">
        <f>IFERROR(INDEX('الحضور'!$F$3:$F$502,162),"")</f>
        <v/>
      </c>
      <c r="G168" s="58">
        <f>IFERROR(INDEX('الحضور'!$J$3:$J$502,162),"")</f>
        <v/>
      </c>
      <c r="H168" s="58">
        <f>IFERROR(INDEX('الحضور'!$K$3:$K$502,162),"")</f>
        <v/>
      </c>
      <c r="I168" s="58">
        <f>IFERROR(INDEX('الحضور'!$L$3:$L$502,162),"")</f>
        <v/>
      </c>
      <c r="J168" s="58">
        <f>IFERROR(INDEX('الحضور'!$M$3:$M$502,162),"")</f>
        <v/>
      </c>
      <c r="K168" s="50">
        <f>IFERROR(INDEX('الحضور'!$N$3:$N$502,162),"")</f>
        <v/>
      </c>
    </row>
    <row r="169">
      <c r="A169" s="43">
        <f>IFERROR(INDEX('الحضور'!$A$3:$A$502,163),"")</f>
        <v/>
      </c>
      <c r="B169" s="43">
        <f>IFERROR(INDEX('الحضور'!$B$3:$B$502,163),"")</f>
        <v/>
      </c>
      <c r="C169" s="118">
        <f>IFERROR(INDEX('الحضور'!$C$3:$C$502,163),"")</f>
        <v/>
      </c>
      <c r="D169" s="43">
        <f>IFERROR(INDEX('الحضور'!$D$3:$D$502,163),"")</f>
        <v/>
      </c>
      <c r="E169" s="115">
        <f>IFERROR(INDEX('الحضور'!$E$3:$E$502,163),"")</f>
        <v/>
      </c>
      <c r="F169" s="115">
        <f>IFERROR(INDEX('الحضور'!$F$3:$F$502,163),"")</f>
        <v/>
      </c>
      <c r="G169" s="55">
        <f>IFERROR(INDEX('الحضور'!$J$3:$J$502,163),"")</f>
        <v/>
      </c>
      <c r="H169" s="55">
        <f>IFERROR(INDEX('الحضور'!$K$3:$K$502,163),"")</f>
        <v/>
      </c>
      <c r="I169" s="55">
        <f>IFERROR(INDEX('الحضور'!$L$3:$L$502,163),"")</f>
        <v/>
      </c>
      <c r="J169" s="55">
        <f>IFERROR(INDEX('الحضور'!$M$3:$M$502,163),"")</f>
        <v/>
      </c>
      <c r="K169" s="43">
        <f>IFERROR(INDEX('الحضور'!$N$3:$N$502,163),"")</f>
        <v/>
      </c>
    </row>
    <row r="170">
      <c r="A170" s="50">
        <f>IFERROR(INDEX('الحضور'!$A$3:$A$502,164),"")</f>
        <v/>
      </c>
      <c r="B170" s="50">
        <f>IFERROR(INDEX('الحضور'!$B$3:$B$502,164),"")</f>
        <v/>
      </c>
      <c r="C170" s="119">
        <f>IFERROR(INDEX('الحضور'!$C$3:$C$502,164),"")</f>
        <v/>
      </c>
      <c r="D170" s="50">
        <f>IFERROR(INDEX('الحضور'!$D$3:$D$502,164),"")</f>
        <v/>
      </c>
      <c r="E170" s="117">
        <f>IFERROR(INDEX('الحضور'!$E$3:$E$502,164),"")</f>
        <v/>
      </c>
      <c r="F170" s="117">
        <f>IFERROR(INDEX('الحضور'!$F$3:$F$502,164),"")</f>
        <v/>
      </c>
      <c r="G170" s="58">
        <f>IFERROR(INDEX('الحضور'!$J$3:$J$502,164),"")</f>
        <v/>
      </c>
      <c r="H170" s="58">
        <f>IFERROR(INDEX('الحضور'!$K$3:$K$502,164),"")</f>
        <v/>
      </c>
      <c r="I170" s="58">
        <f>IFERROR(INDEX('الحضور'!$L$3:$L$502,164),"")</f>
        <v/>
      </c>
      <c r="J170" s="58">
        <f>IFERROR(INDEX('الحضور'!$M$3:$M$502,164),"")</f>
        <v/>
      </c>
      <c r="K170" s="50">
        <f>IFERROR(INDEX('الحضور'!$N$3:$N$502,164),"")</f>
        <v/>
      </c>
    </row>
    <row r="171">
      <c r="A171" s="43">
        <f>IFERROR(INDEX('الحضور'!$A$3:$A$502,165),"")</f>
        <v/>
      </c>
      <c r="B171" s="43">
        <f>IFERROR(INDEX('الحضور'!$B$3:$B$502,165),"")</f>
        <v/>
      </c>
      <c r="C171" s="118">
        <f>IFERROR(INDEX('الحضور'!$C$3:$C$502,165),"")</f>
        <v/>
      </c>
      <c r="D171" s="43">
        <f>IFERROR(INDEX('الحضور'!$D$3:$D$502,165),"")</f>
        <v/>
      </c>
      <c r="E171" s="115">
        <f>IFERROR(INDEX('الحضور'!$E$3:$E$502,165),"")</f>
        <v/>
      </c>
      <c r="F171" s="115">
        <f>IFERROR(INDEX('الحضور'!$F$3:$F$502,165),"")</f>
        <v/>
      </c>
      <c r="G171" s="55">
        <f>IFERROR(INDEX('الحضور'!$J$3:$J$502,165),"")</f>
        <v/>
      </c>
      <c r="H171" s="55">
        <f>IFERROR(INDEX('الحضور'!$K$3:$K$502,165),"")</f>
        <v/>
      </c>
      <c r="I171" s="55">
        <f>IFERROR(INDEX('الحضور'!$L$3:$L$502,165),"")</f>
        <v/>
      </c>
      <c r="J171" s="55">
        <f>IFERROR(INDEX('الحضور'!$M$3:$M$502,165),"")</f>
        <v/>
      </c>
      <c r="K171" s="43">
        <f>IFERROR(INDEX('الحضور'!$N$3:$N$502,165),"")</f>
        <v/>
      </c>
    </row>
    <row r="172">
      <c r="A172" s="50">
        <f>IFERROR(INDEX('الحضور'!$A$3:$A$502,166),"")</f>
        <v/>
      </c>
      <c r="B172" s="50">
        <f>IFERROR(INDEX('الحضور'!$B$3:$B$502,166),"")</f>
        <v/>
      </c>
      <c r="C172" s="119">
        <f>IFERROR(INDEX('الحضور'!$C$3:$C$502,166),"")</f>
        <v/>
      </c>
      <c r="D172" s="50">
        <f>IFERROR(INDEX('الحضور'!$D$3:$D$502,166),"")</f>
        <v/>
      </c>
      <c r="E172" s="117">
        <f>IFERROR(INDEX('الحضور'!$E$3:$E$502,166),"")</f>
        <v/>
      </c>
      <c r="F172" s="117">
        <f>IFERROR(INDEX('الحضور'!$F$3:$F$502,166),"")</f>
        <v/>
      </c>
      <c r="G172" s="58">
        <f>IFERROR(INDEX('الحضور'!$J$3:$J$502,166),"")</f>
        <v/>
      </c>
      <c r="H172" s="58">
        <f>IFERROR(INDEX('الحضور'!$K$3:$K$502,166),"")</f>
        <v/>
      </c>
      <c r="I172" s="58">
        <f>IFERROR(INDEX('الحضور'!$L$3:$L$502,166),"")</f>
        <v/>
      </c>
      <c r="J172" s="58">
        <f>IFERROR(INDEX('الحضور'!$M$3:$M$502,166),"")</f>
        <v/>
      </c>
      <c r="K172" s="50">
        <f>IFERROR(INDEX('الحضور'!$N$3:$N$502,166),"")</f>
        <v/>
      </c>
    </row>
    <row r="173">
      <c r="A173" s="43">
        <f>IFERROR(INDEX('الحضور'!$A$3:$A$502,167),"")</f>
        <v/>
      </c>
      <c r="B173" s="43">
        <f>IFERROR(INDEX('الحضور'!$B$3:$B$502,167),"")</f>
        <v/>
      </c>
      <c r="C173" s="118">
        <f>IFERROR(INDEX('الحضور'!$C$3:$C$502,167),"")</f>
        <v/>
      </c>
      <c r="D173" s="43">
        <f>IFERROR(INDEX('الحضور'!$D$3:$D$502,167),"")</f>
        <v/>
      </c>
      <c r="E173" s="115">
        <f>IFERROR(INDEX('الحضور'!$E$3:$E$502,167),"")</f>
        <v/>
      </c>
      <c r="F173" s="115">
        <f>IFERROR(INDEX('الحضور'!$F$3:$F$502,167),"")</f>
        <v/>
      </c>
      <c r="G173" s="55">
        <f>IFERROR(INDEX('الحضور'!$J$3:$J$502,167),"")</f>
        <v/>
      </c>
      <c r="H173" s="55">
        <f>IFERROR(INDEX('الحضور'!$K$3:$K$502,167),"")</f>
        <v/>
      </c>
      <c r="I173" s="55">
        <f>IFERROR(INDEX('الحضور'!$L$3:$L$502,167),"")</f>
        <v/>
      </c>
      <c r="J173" s="55">
        <f>IFERROR(INDEX('الحضور'!$M$3:$M$502,167),"")</f>
        <v/>
      </c>
      <c r="K173" s="43">
        <f>IFERROR(INDEX('الحضور'!$N$3:$N$502,167),"")</f>
        <v/>
      </c>
    </row>
    <row r="174">
      <c r="A174" s="50">
        <f>IFERROR(INDEX('الحضور'!$A$3:$A$502,168),"")</f>
        <v/>
      </c>
      <c r="B174" s="50">
        <f>IFERROR(INDEX('الحضور'!$B$3:$B$502,168),"")</f>
        <v/>
      </c>
      <c r="C174" s="119">
        <f>IFERROR(INDEX('الحضور'!$C$3:$C$502,168),"")</f>
        <v/>
      </c>
      <c r="D174" s="50">
        <f>IFERROR(INDEX('الحضور'!$D$3:$D$502,168),"")</f>
        <v/>
      </c>
      <c r="E174" s="117">
        <f>IFERROR(INDEX('الحضور'!$E$3:$E$502,168),"")</f>
        <v/>
      </c>
      <c r="F174" s="117">
        <f>IFERROR(INDEX('الحضور'!$F$3:$F$502,168),"")</f>
        <v/>
      </c>
      <c r="G174" s="58">
        <f>IFERROR(INDEX('الحضور'!$J$3:$J$502,168),"")</f>
        <v/>
      </c>
      <c r="H174" s="58">
        <f>IFERROR(INDEX('الحضور'!$K$3:$K$502,168),"")</f>
        <v/>
      </c>
      <c r="I174" s="58">
        <f>IFERROR(INDEX('الحضور'!$L$3:$L$502,168),"")</f>
        <v/>
      </c>
      <c r="J174" s="58">
        <f>IFERROR(INDEX('الحضور'!$M$3:$M$502,168),"")</f>
        <v/>
      </c>
      <c r="K174" s="50">
        <f>IFERROR(INDEX('الحضور'!$N$3:$N$502,168),"")</f>
        <v/>
      </c>
    </row>
    <row r="175">
      <c r="A175" s="43">
        <f>IFERROR(INDEX('الحضور'!$A$3:$A$502,169),"")</f>
        <v/>
      </c>
      <c r="B175" s="43">
        <f>IFERROR(INDEX('الحضور'!$B$3:$B$502,169),"")</f>
        <v/>
      </c>
      <c r="C175" s="118">
        <f>IFERROR(INDEX('الحضور'!$C$3:$C$502,169),"")</f>
        <v/>
      </c>
      <c r="D175" s="43">
        <f>IFERROR(INDEX('الحضور'!$D$3:$D$502,169),"")</f>
        <v/>
      </c>
      <c r="E175" s="115">
        <f>IFERROR(INDEX('الحضور'!$E$3:$E$502,169),"")</f>
        <v/>
      </c>
      <c r="F175" s="115">
        <f>IFERROR(INDEX('الحضور'!$F$3:$F$502,169),"")</f>
        <v/>
      </c>
      <c r="G175" s="55">
        <f>IFERROR(INDEX('الحضور'!$J$3:$J$502,169),"")</f>
        <v/>
      </c>
      <c r="H175" s="55">
        <f>IFERROR(INDEX('الحضور'!$K$3:$K$502,169),"")</f>
        <v/>
      </c>
      <c r="I175" s="55">
        <f>IFERROR(INDEX('الحضور'!$L$3:$L$502,169),"")</f>
        <v/>
      </c>
      <c r="J175" s="55">
        <f>IFERROR(INDEX('الحضور'!$M$3:$M$502,169),"")</f>
        <v/>
      </c>
      <c r="K175" s="43">
        <f>IFERROR(INDEX('الحضور'!$N$3:$N$502,169),"")</f>
        <v/>
      </c>
    </row>
    <row r="176">
      <c r="A176" s="50">
        <f>IFERROR(INDEX('الحضور'!$A$3:$A$502,170),"")</f>
        <v/>
      </c>
      <c r="B176" s="50">
        <f>IFERROR(INDEX('الحضور'!$B$3:$B$502,170),"")</f>
        <v/>
      </c>
      <c r="C176" s="119">
        <f>IFERROR(INDEX('الحضور'!$C$3:$C$502,170),"")</f>
        <v/>
      </c>
      <c r="D176" s="50">
        <f>IFERROR(INDEX('الحضور'!$D$3:$D$502,170),"")</f>
        <v/>
      </c>
      <c r="E176" s="117">
        <f>IFERROR(INDEX('الحضور'!$E$3:$E$502,170),"")</f>
        <v/>
      </c>
      <c r="F176" s="117">
        <f>IFERROR(INDEX('الحضور'!$F$3:$F$502,170),"")</f>
        <v/>
      </c>
      <c r="G176" s="58">
        <f>IFERROR(INDEX('الحضور'!$J$3:$J$502,170),"")</f>
        <v/>
      </c>
      <c r="H176" s="58">
        <f>IFERROR(INDEX('الحضور'!$K$3:$K$502,170),"")</f>
        <v/>
      </c>
      <c r="I176" s="58">
        <f>IFERROR(INDEX('الحضور'!$L$3:$L$502,170),"")</f>
        <v/>
      </c>
      <c r="J176" s="58">
        <f>IFERROR(INDEX('الحضور'!$M$3:$M$502,170),"")</f>
        <v/>
      </c>
      <c r="K176" s="50">
        <f>IFERROR(INDEX('الحضور'!$N$3:$N$502,170),"")</f>
        <v/>
      </c>
    </row>
    <row r="177">
      <c r="A177" s="43">
        <f>IFERROR(INDEX('الحضور'!$A$3:$A$502,171),"")</f>
        <v/>
      </c>
      <c r="B177" s="43">
        <f>IFERROR(INDEX('الحضور'!$B$3:$B$502,171),"")</f>
        <v/>
      </c>
      <c r="C177" s="118">
        <f>IFERROR(INDEX('الحضور'!$C$3:$C$502,171),"")</f>
        <v/>
      </c>
      <c r="D177" s="43">
        <f>IFERROR(INDEX('الحضور'!$D$3:$D$502,171),"")</f>
        <v/>
      </c>
      <c r="E177" s="115">
        <f>IFERROR(INDEX('الحضور'!$E$3:$E$502,171),"")</f>
        <v/>
      </c>
      <c r="F177" s="115">
        <f>IFERROR(INDEX('الحضور'!$F$3:$F$502,171),"")</f>
        <v/>
      </c>
      <c r="G177" s="55">
        <f>IFERROR(INDEX('الحضور'!$J$3:$J$502,171),"")</f>
        <v/>
      </c>
      <c r="H177" s="55">
        <f>IFERROR(INDEX('الحضور'!$K$3:$K$502,171),"")</f>
        <v/>
      </c>
      <c r="I177" s="55">
        <f>IFERROR(INDEX('الحضور'!$L$3:$L$502,171),"")</f>
        <v/>
      </c>
      <c r="J177" s="55">
        <f>IFERROR(INDEX('الحضور'!$M$3:$M$502,171),"")</f>
        <v/>
      </c>
      <c r="K177" s="43">
        <f>IFERROR(INDEX('الحضور'!$N$3:$N$502,171),"")</f>
        <v/>
      </c>
    </row>
    <row r="178">
      <c r="A178" s="50">
        <f>IFERROR(INDEX('الحضور'!$A$3:$A$502,172),"")</f>
        <v/>
      </c>
      <c r="B178" s="50">
        <f>IFERROR(INDEX('الحضور'!$B$3:$B$502,172),"")</f>
        <v/>
      </c>
      <c r="C178" s="119">
        <f>IFERROR(INDEX('الحضور'!$C$3:$C$502,172),"")</f>
        <v/>
      </c>
      <c r="D178" s="50">
        <f>IFERROR(INDEX('الحضور'!$D$3:$D$502,172),"")</f>
        <v/>
      </c>
      <c r="E178" s="117">
        <f>IFERROR(INDEX('الحضور'!$E$3:$E$502,172),"")</f>
        <v/>
      </c>
      <c r="F178" s="117">
        <f>IFERROR(INDEX('الحضور'!$F$3:$F$502,172),"")</f>
        <v/>
      </c>
      <c r="G178" s="58">
        <f>IFERROR(INDEX('الحضور'!$J$3:$J$502,172),"")</f>
        <v/>
      </c>
      <c r="H178" s="58">
        <f>IFERROR(INDEX('الحضور'!$K$3:$K$502,172),"")</f>
        <v/>
      </c>
      <c r="I178" s="58">
        <f>IFERROR(INDEX('الحضور'!$L$3:$L$502,172),"")</f>
        <v/>
      </c>
      <c r="J178" s="58">
        <f>IFERROR(INDEX('الحضور'!$M$3:$M$502,172),"")</f>
        <v/>
      </c>
      <c r="K178" s="50">
        <f>IFERROR(INDEX('الحضور'!$N$3:$N$502,172),"")</f>
        <v/>
      </c>
    </row>
    <row r="179">
      <c r="A179" s="43">
        <f>IFERROR(INDEX('الحضور'!$A$3:$A$502,173),"")</f>
        <v/>
      </c>
      <c r="B179" s="43">
        <f>IFERROR(INDEX('الحضور'!$B$3:$B$502,173),"")</f>
        <v/>
      </c>
      <c r="C179" s="118">
        <f>IFERROR(INDEX('الحضور'!$C$3:$C$502,173),"")</f>
        <v/>
      </c>
      <c r="D179" s="43">
        <f>IFERROR(INDEX('الحضور'!$D$3:$D$502,173),"")</f>
        <v/>
      </c>
      <c r="E179" s="115">
        <f>IFERROR(INDEX('الحضور'!$E$3:$E$502,173),"")</f>
        <v/>
      </c>
      <c r="F179" s="115">
        <f>IFERROR(INDEX('الحضور'!$F$3:$F$502,173),"")</f>
        <v/>
      </c>
      <c r="G179" s="55">
        <f>IFERROR(INDEX('الحضور'!$J$3:$J$502,173),"")</f>
        <v/>
      </c>
      <c r="H179" s="55">
        <f>IFERROR(INDEX('الحضور'!$K$3:$K$502,173),"")</f>
        <v/>
      </c>
      <c r="I179" s="55">
        <f>IFERROR(INDEX('الحضور'!$L$3:$L$502,173),"")</f>
        <v/>
      </c>
      <c r="J179" s="55">
        <f>IFERROR(INDEX('الحضور'!$M$3:$M$502,173),"")</f>
        <v/>
      </c>
      <c r="K179" s="43">
        <f>IFERROR(INDEX('الحضور'!$N$3:$N$502,173),"")</f>
        <v/>
      </c>
    </row>
    <row r="180">
      <c r="A180" s="50">
        <f>IFERROR(INDEX('الحضور'!$A$3:$A$502,174),"")</f>
        <v/>
      </c>
      <c r="B180" s="50">
        <f>IFERROR(INDEX('الحضور'!$B$3:$B$502,174),"")</f>
        <v/>
      </c>
      <c r="C180" s="119">
        <f>IFERROR(INDEX('الحضور'!$C$3:$C$502,174),"")</f>
        <v/>
      </c>
      <c r="D180" s="50">
        <f>IFERROR(INDEX('الحضور'!$D$3:$D$502,174),"")</f>
        <v/>
      </c>
      <c r="E180" s="117">
        <f>IFERROR(INDEX('الحضور'!$E$3:$E$502,174),"")</f>
        <v/>
      </c>
      <c r="F180" s="117">
        <f>IFERROR(INDEX('الحضور'!$F$3:$F$502,174),"")</f>
        <v/>
      </c>
      <c r="G180" s="58">
        <f>IFERROR(INDEX('الحضور'!$J$3:$J$502,174),"")</f>
        <v/>
      </c>
      <c r="H180" s="58">
        <f>IFERROR(INDEX('الحضور'!$K$3:$K$502,174),"")</f>
        <v/>
      </c>
      <c r="I180" s="58">
        <f>IFERROR(INDEX('الحضور'!$L$3:$L$502,174),"")</f>
        <v/>
      </c>
      <c r="J180" s="58">
        <f>IFERROR(INDEX('الحضور'!$M$3:$M$502,174),"")</f>
        <v/>
      </c>
      <c r="K180" s="50">
        <f>IFERROR(INDEX('الحضور'!$N$3:$N$502,174),"")</f>
        <v/>
      </c>
    </row>
    <row r="181">
      <c r="A181" s="43">
        <f>IFERROR(INDEX('الحضور'!$A$3:$A$502,175),"")</f>
        <v/>
      </c>
      <c r="B181" s="43">
        <f>IFERROR(INDEX('الحضور'!$B$3:$B$502,175),"")</f>
        <v/>
      </c>
      <c r="C181" s="118">
        <f>IFERROR(INDEX('الحضور'!$C$3:$C$502,175),"")</f>
        <v/>
      </c>
      <c r="D181" s="43">
        <f>IFERROR(INDEX('الحضور'!$D$3:$D$502,175),"")</f>
        <v/>
      </c>
      <c r="E181" s="115">
        <f>IFERROR(INDEX('الحضور'!$E$3:$E$502,175),"")</f>
        <v/>
      </c>
      <c r="F181" s="115">
        <f>IFERROR(INDEX('الحضور'!$F$3:$F$502,175),"")</f>
        <v/>
      </c>
      <c r="G181" s="55">
        <f>IFERROR(INDEX('الحضور'!$J$3:$J$502,175),"")</f>
        <v/>
      </c>
      <c r="H181" s="55">
        <f>IFERROR(INDEX('الحضور'!$K$3:$K$502,175),"")</f>
        <v/>
      </c>
      <c r="I181" s="55">
        <f>IFERROR(INDEX('الحضور'!$L$3:$L$502,175),"")</f>
        <v/>
      </c>
      <c r="J181" s="55">
        <f>IFERROR(INDEX('الحضور'!$M$3:$M$502,175),"")</f>
        <v/>
      </c>
      <c r="K181" s="43">
        <f>IFERROR(INDEX('الحضور'!$N$3:$N$502,175),"")</f>
        <v/>
      </c>
    </row>
    <row r="182">
      <c r="A182" s="50">
        <f>IFERROR(INDEX('الحضور'!$A$3:$A$502,176),"")</f>
        <v/>
      </c>
      <c r="B182" s="50">
        <f>IFERROR(INDEX('الحضور'!$B$3:$B$502,176),"")</f>
        <v/>
      </c>
      <c r="C182" s="119">
        <f>IFERROR(INDEX('الحضور'!$C$3:$C$502,176),"")</f>
        <v/>
      </c>
      <c r="D182" s="50">
        <f>IFERROR(INDEX('الحضور'!$D$3:$D$502,176),"")</f>
        <v/>
      </c>
      <c r="E182" s="117">
        <f>IFERROR(INDEX('الحضور'!$E$3:$E$502,176),"")</f>
        <v/>
      </c>
      <c r="F182" s="117">
        <f>IFERROR(INDEX('الحضور'!$F$3:$F$502,176),"")</f>
        <v/>
      </c>
      <c r="G182" s="58">
        <f>IFERROR(INDEX('الحضور'!$J$3:$J$502,176),"")</f>
        <v/>
      </c>
      <c r="H182" s="58">
        <f>IFERROR(INDEX('الحضور'!$K$3:$K$502,176),"")</f>
        <v/>
      </c>
      <c r="I182" s="58">
        <f>IFERROR(INDEX('الحضور'!$L$3:$L$502,176),"")</f>
        <v/>
      </c>
      <c r="J182" s="58">
        <f>IFERROR(INDEX('الحضور'!$M$3:$M$502,176),"")</f>
        <v/>
      </c>
      <c r="K182" s="50">
        <f>IFERROR(INDEX('الحضور'!$N$3:$N$502,176),"")</f>
        <v/>
      </c>
    </row>
    <row r="183">
      <c r="A183" s="43">
        <f>IFERROR(INDEX('الحضور'!$A$3:$A$502,177),"")</f>
        <v/>
      </c>
      <c r="B183" s="43">
        <f>IFERROR(INDEX('الحضور'!$B$3:$B$502,177),"")</f>
        <v/>
      </c>
      <c r="C183" s="118">
        <f>IFERROR(INDEX('الحضور'!$C$3:$C$502,177),"")</f>
        <v/>
      </c>
      <c r="D183" s="43">
        <f>IFERROR(INDEX('الحضور'!$D$3:$D$502,177),"")</f>
        <v/>
      </c>
      <c r="E183" s="115">
        <f>IFERROR(INDEX('الحضور'!$E$3:$E$502,177),"")</f>
        <v/>
      </c>
      <c r="F183" s="115">
        <f>IFERROR(INDEX('الحضور'!$F$3:$F$502,177),"")</f>
        <v/>
      </c>
      <c r="G183" s="55">
        <f>IFERROR(INDEX('الحضور'!$J$3:$J$502,177),"")</f>
        <v/>
      </c>
      <c r="H183" s="55">
        <f>IFERROR(INDEX('الحضور'!$K$3:$K$502,177),"")</f>
        <v/>
      </c>
      <c r="I183" s="55">
        <f>IFERROR(INDEX('الحضور'!$L$3:$L$502,177),"")</f>
        <v/>
      </c>
      <c r="J183" s="55">
        <f>IFERROR(INDEX('الحضور'!$M$3:$M$502,177),"")</f>
        <v/>
      </c>
      <c r="K183" s="43">
        <f>IFERROR(INDEX('الحضور'!$N$3:$N$502,177),"")</f>
        <v/>
      </c>
    </row>
    <row r="184">
      <c r="A184" s="50">
        <f>IFERROR(INDEX('الحضور'!$A$3:$A$502,178),"")</f>
        <v/>
      </c>
      <c r="B184" s="50">
        <f>IFERROR(INDEX('الحضور'!$B$3:$B$502,178),"")</f>
        <v/>
      </c>
      <c r="C184" s="119">
        <f>IFERROR(INDEX('الحضور'!$C$3:$C$502,178),"")</f>
        <v/>
      </c>
      <c r="D184" s="50">
        <f>IFERROR(INDEX('الحضور'!$D$3:$D$502,178),"")</f>
        <v/>
      </c>
      <c r="E184" s="117">
        <f>IFERROR(INDEX('الحضور'!$E$3:$E$502,178),"")</f>
        <v/>
      </c>
      <c r="F184" s="117">
        <f>IFERROR(INDEX('الحضور'!$F$3:$F$502,178),"")</f>
        <v/>
      </c>
      <c r="G184" s="58">
        <f>IFERROR(INDEX('الحضور'!$J$3:$J$502,178),"")</f>
        <v/>
      </c>
      <c r="H184" s="58">
        <f>IFERROR(INDEX('الحضور'!$K$3:$K$502,178),"")</f>
        <v/>
      </c>
      <c r="I184" s="58">
        <f>IFERROR(INDEX('الحضور'!$L$3:$L$502,178),"")</f>
        <v/>
      </c>
      <c r="J184" s="58">
        <f>IFERROR(INDEX('الحضور'!$M$3:$M$502,178),"")</f>
        <v/>
      </c>
      <c r="K184" s="50">
        <f>IFERROR(INDEX('الحضور'!$N$3:$N$502,178),"")</f>
        <v/>
      </c>
    </row>
    <row r="185">
      <c r="A185" s="43">
        <f>IFERROR(INDEX('الحضور'!$A$3:$A$502,179),"")</f>
        <v/>
      </c>
      <c r="B185" s="43">
        <f>IFERROR(INDEX('الحضور'!$B$3:$B$502,179),"")</f>
        <v/>
      </c>
      <c r="C185" s="118">
        <f>IFERROR(INDEX('الحضور'!$C$3:$C$502,179),"")</f>
        <v/>
      </c>
      <c r="D185" s="43">
        <f>IFERROR(INDEX('الحضور'!$D$3:$D$502,179),"")</f>
        <v/>
      </c>
      <c r="E185" s="115">
        <f>IFERROR(INDEX('الحضور'!$E$3:$E$502,179),"")</f>
        <v/>
      </c>
      <c r="F185" s="115">
        <f>IFERROR(INDEX('الحضور'!$F$3:$F$502,179),"")</f>
        <v/>
      </c>
      <c r="G185" s="55">
        <f>IFERROR(INDEX('الحضور'!$J$3:$J$502,179),"")</f>
        <v/>
      </c>
      <c r="H185" s="55">
        <f>IFERROR(INDEX('الحضور'!$K$3:$K$502,179),"")</f>
        <v/>
      </c>
      <c r="I185" s="55">
        <f>IFERROR(INDEX('الحضور'!$L$3:$L$502,179),"")</f>
        <v/>
      </c>
      <c r="J185" s="55">
        <f>IFERROR(INDEX('الحضور'!$M$3:$M$502,179),"")</f>
        <v/>
      </c>
      <c r="K185" s="43">
        <f>IFERROR(INDEX('الحضور'!$N$3:$N$502,179),"")</f>
        <v/>
      </c>
    </row>
    <row r="186">
      <c r="A186" s="50">
        <f>IFERROR(INDEX('الحضور'!$A$3:$A$502,180),"")</f>
        <v/>
      </c>
      <c r="B186" s="50">
        <f>IFERROR(INDEX('الحضور'!$B$3:$B$502,180),"")</f>
        <v/>
      </c>
      <c r="C186" s="119">
        <f>IFERROR(INDEX('الحضور'!$C$3:$C$502,180),"")</f>
        <v/>
      </c>
      <c r="D186" s="50">
        <f>IFERROR(INDEX('الحضور'!$D$3:$D$502,180),"")</f>
        <v/>
      </c>
      <c r="E186" s="117">
        <f>IFERROR(INDEX('الحضور'!$E$3:$E$502,180),"")</f>
        <v/>
      </c>
      <c r="F186" s="117">
        <f>IFERROR(INDEX('الحضور'!$F$3:$F$502,180),"")</f>
        <v/>
      </c>
      <c r="G186" s="58">
        <f>IFERROR(INDEX('الحضور'!$J$3:$J$502,180),"")</f>
        <v/>
      </c>
      <c r="H186" s="58">
        <f>IFERROR(INDEX('الحضور'!$K$3:$K$502,180),"")</f>
        <v/>
      </c>
      <c r="I186" s="58">
        <f>IFERROR(INDEX('الحضور'!$L$3:$L$502,180),"")</f>
        <v/>
      </c>
      <c r="J186" s="58">
        <f>IFERROR(INDEX('الحضور'!$M$3:$M$502,180),"")</f>
        <v/>
      </c>
      <c r="K186" s="50">
        <f>IFERROR(INDEX('الحضور'!$N$3:$N$502,180),"")</f>
        <v/>
      </c>
    </row>
    <row r="187">
      <c r="A187" s="43">
        <f>IFERROR(INDEX('الحضور'!$A$3:$A$502,181),"")</f>
        <v/>
      </c>
      <c r="B187" s="43">
        <f>IFERROR(INDEX('الحضور'!$B$3:$B$502,181),"")</f>
        <v/>
      </c>
      <c r="C187" s="118">
        <f>IFERROR(INDEX('الحضور'!$C$3:$C$502,181),"")</f>
        <v/>
      </c>
      <c r="D187" s="43">
        <f>IFERROR(INDEX('الحضور'!$D$3:$D$502,181),"")</f>
        <v/>
      </c>
      <c r="E187" s="115">
        <f>IFERROR(INDEX('الحضور'!$E$3:$E$502,181),"")</f>
        <v/>
      </c>
      <c r="F187" s="115">
        <f>IFERROR(INDEX('الحضور'!$F$3:$F$502,181),"")</f>
        <v/>
      </c>
      <c r="G187" s="55">
        <f>IFERROR(INDEX('الحضور'!$J$3:$J$502,181),"")</f>
        <v/>
      </c>
      <c r="H187" s="55">
        <f>IFERROR(INDEX('الحضور'!$K$3:$K$502,181),"")</f>
        <v/>
      </c>
      <c r="I187" s="55">
        <f>IFERROR(INDEX('الحضور'!$L$3:$L$502,181),"")</f>
        <v/>
      </c>
      <c r="J187" s="55">
        <f>IFERROR(INDEX('الحضور'!$M$3:$M$502,181),"")</f>
        <v/>
      </c>
      <c r="K187" s="43">
        <f>IFERROR(INDEX('الحضور'!$N$3:$N$502,181),"")</f>
        <v/>
      </c>
    </row>
    <row r="188">
      <c r="A188" s="50">
        <f>IFERROR(INDEX('الحضور'!$A$3:$A$502,182),"")</f>
        <v/>
      </c>
      <c r="B188" s="50">
        <f>IFERROR(INDEX('الحضور'!$B$3:$B$502,182),"")</f>
        <v/>
      </c>
      <c r="C188" s="119">
        <f>IFERROR(INDEX('الحضور'!$C$3:$C$502,182),"")</f>
        <v/>
      </c>
      <c r="D188" s="50">
        <f>IFERROR(INDEX('الحضور'!$D$3:$D$502,182),"")</f>
        <v/>
      </c>
      <c r="E188" s="117">
        <f>IFERROR(INDEX('الحضور'!$E$3:$E$502,182),"")</f>
        <v/>
      </c>
      <c r="F188" s="117">
        <f>IFERROR(INDEX('الحضور'!$F$3:$F$502,182),"")</f>
        <v/>
      </c>
      <c r="G188" s="58">
        <f>IFERROR(INDEX('الحضور'!$J$3:$J$502,182),"")</f>
        <v/>
      </c>
      <c r="H188" s="58">
        <f>IFERROR(INDEX('الحضور'!$K$3:$K$502,182),"")</f>
        <v/>
      </c>
      <c r="I188" s="58">
        <f>IFERROR(INDEX('الحضور'!$L$3:$L$502,182),"")</f>
        <v/>
      </c>
      <c r="J188" s="58">
        <f>IFERROR(INDEX('الحضور'!$M$3:$M$502,182),"")</f>
        <v/>
      </c>
      <c r="K188" s="50">
        <f>IFERROR(INDEX('الحضور'!$N$3:$N$502,182),"")</f>
        <v/>
      </c>
    </row>
    <row r="189">
      <c r="A189" s="43">
        <f>IFERROR(INDEX('الحضور'!$A$3:$A$502,183),"")</f>
        <v/>
      </c>
      <c r="B189" s="43">
        <f>IFERROR(INDEX('الحضور'!$B$3:$B$502,183),"")</f>
        <v/>
      </c>
      <c r="C189" s="118">
        <f>IFERROR(INDEX('الحضور'!$C$3:$C$502,183),"")</f>
        <v/>
      </c>
      <c r="D189" s="43">
        <f>IFERROR(INDEX('الحضور'!$D$3:$D$502,183),"")</f>
        <v/>
      </c>
      <c r="E189" s="115">
        <f>IFERROR(INDEX('الحضور'!$E$3:$E$502,183),"")</f>
        <v/>
      </c>
      <c r="F189" s="115">
        <f>IFERROR(INDEX('الحضور'!$F$3:$F$502,183),"")</f>
        <v/>
      </c>
      <c r="G189" s="55">
        <f>IFERROR(INDEX('الحضور'!$J$3:$J$502,183),"")</f>
        <v/>
      </c>
      <c r="H189" s="55">
        <f>IFERROR(INDEX('الحضور'!$K$3:$K$502,183),"")</f>
        <v/>
      </c>
      <c r="I189" s="55">
        <f>IFERROR(INDEX('الحضور'!$L$3:$L$502,183),"")</f>
        <v/>
      </c>
      <c r="J189" s="55">
        <f>IFERROR(INDEX('الحضور'!$M$3:$M$502,183),"")</f>
        <v/>
      </c>
      <c r="K189" s="43">
        <f>IFERROR(INDEX('الحضور'!$N$3:$N$502,183),"")</f>
        <v/>
      </c>
    </row>
    <row r="190">
      <c r="A190" s="50">
        <f>IFERROR(INDEX('الحضور'!$A$3:$A$502,184),"")</f>
        <v/>
      </c>
      <c r="B190" s="50">
        <f>IFERROR(INDEX('الحضور'!$B$3:$B$502,184),"")</f>
        <v/>
      </c>
      <c r="C190" s="119">
        <f>IFERROR(INDEX('الحضور'!$C$3:$C$502,184),"")</f>
        <v/>
      </c>
      <c r="D190" s="50">
        <f>IFERROR(INDEX('الحضور'!$D$3:$D$502,184),"")</f>
        <v/>
      </c>
      <c r="E190" s="117">
        <f>IFERROR(INDEX('الحضور'!$E$3:$E$502,184),"")</f>
        <v/>
      </c>
      <c r="F190" s="117">
        <f>IFERROR(INDEX('الحضور'!$F$3:$F$502,184),"")</f>
        <v/>
      </c>
      <c r="G190" s="58">
        <f>IFERROR(INDEX('الحضور'!$J$3:$J$502,184),"")</f>
        <v/>
      </c>
      <c r="H190" s="58">
        <f>IFERROR(INDEX('الحضور'!$K$3:$K$502,184),"")</f>
        <v/>
      </c>
      <c r="I190" s="58">
        <f>IFERROR(INDEX('الحضور'!$L$3:$L$502,184),"")</f>
        <v/>
      </c>
      <c r="J190" s="58">
        <f>IFERROR(INDEX('الحضور'!$M$3:$M$502,184),"")</f>
        <v/>
      </c>
      <c r="K190" s="50">
        <f>IFERROR(INDEX('الحضور'!$N$3:$N$502,184),"")</f>
        <v/>
      </c>
    </row>
    <row r="191">
      <c r="A191" s="43">
        <f>IFERROR(INDEX('الحضور'!$A$3:$A$502,185),"")</f>
        <v/>
      </c>
      <c r="B191" s="43">
        <f>IFERROR(INDEX('الحضور'!$B$3:$B$502,185),"")</f>
        <v/>
      </c>
      <c r="C191" s="118">
        <f>IFERROR(INDEX('الحضور'!$C$3:$C$502,185),"")</f>
        <v/>
      </c>
      <c r="D191" s="43">
        <f>IFERROR(INDEX('الحضور'!$D$3:$D$502,185),"")</f>
        <v/>
      </c>
      <c r="E191" s="115">
        <f>IFERROR(INDEX('الحضور'!$E$3:$E$502,185),"")</f>
        <v/>
      </c>
      <c r="F191" s="115">
        <f>IFERROR(INDEX('الحضور'!$F$3:$F$502,185),"")</f>
        <v/>
      </c>
      <c r="G191" s="55">
        <f>IFERROR(INDEX('الحضور'!$J$3:$J$502,185),"")</f>
        <v/>
      </c>
      <c r="H191" s="55">
        <f>IFERROR(INDEX('الحضور'!$K$3:$K$502,185),"")</f>
        <v/>
      </c>
      <c r="I191" s="55">
        <f>IFERROR(INDEX('الحضور'!$L$3:$L$502,185),"")</f>
        <v/>
      </c>
      <c r="J191" s="55">
        <f>IFERROR(INDEX('الحضور'!$M$3:$M$502,185),"")</f>
        <v/>
      </c>
      <c r="K191" s="43">
        <f>IFERROR(INDEX('الحضور'!$N$3:$N$502,185),"")</f>
        <v/>
      </c>
    </row>
    <row r="192">
      <c r="A192" s="50">
        <f>IFERROR(INDEX('الحضور'!$A$3:$A$502,186),"")</f>
        <v/>
      </c>
      <c r="B192" s="50">
        <f>IFERROR(INDEX('الحضور'!$B$3:$B$502,186),"")</f>
        <v/>
      </c>
      <c r="C192" s="119">
        <f>IFERROR(INDEX('الحضور'!$C$3:$C$502,186),"")</f>
        <v/>
      </c>
      <c r="D192" s="50">
        <f>IFERROR(INDEX('الحضور'!$D$3:$D$502,186),"")</f>
        <v/>
      </c>
      <c r="E192" s="117">
        <f>IFERROR(INDEX('الحضور'!$E$3:$E$502,186),"")</f>
        <v/>
      </c>
      <c r="F192" s="117">
        <f>IFERROR(INDEX('الحضور'!$F$3:$F$502,186),"")</f>
        <v/>
      </c>
      <c r="G192" s="58">
        <f>IFERROR(INDEX('الحضور'!$J$3:$J$502,186),"")</f>
        <v/>
      </c>
      <c r="H192" s="58">
        <f>IFERROR(INDEX('الحضور'!$K$3:$K$502,186),"")</f>
        <v/>
      </c>
      <c r="I192" s="58">
        <f>IFERROR(INDEX('الحضور'!$L$3:$L$502,186),"")</f>
        <v/>
      </c>
      <c r="J192" s="58">
        <f>IFERROR(INDEX('الحضور'!$M$3:$M$502,186),"")</f>
        <v/>
      </c>
      <c r="K192" s="50">
        <f>IFERROR(INDEX('الحضور'!$N$3:$N$502,186),"")</f>
        <v/>
      </c>
    </row>
    <row r="193">
      <c r="A193" s="43">
        <f>IFERROR(INDEX('الحضور'!$A$3:$A$502,187),"")</f>
        <v/>
      </c>
      <c r="B193" s="43">
        <f>IFERROR(INDEX('الحضور'!$B$3:$B$502,187),"")</f>
        <v/>
      </c>
      <c r="C193" s="118">
        <f>IFERROR(INDEX('الحضور'!$C$3:$C$502,187),"")</f>
        <v/>
      </c>
      <c r="D193" s="43">
        <f>IFERROR(INDEX('الحضور'!$D$3:$D$502,187),"")</f>
        <v/>
      </c>
      <c r="E193" s="115">
        <f>IFERROR(INDEX('الحضور'!$E$3:$E$502,187),"")</f>
        <v/>
      </c>
      <c r="F193" s="115">
        <f>IFERROR(INDEX('الحضور'!$F$3:$F$502,187),"")</f>
        <v/>
      </c>
      <c r="G193" s="55">
        <f>IFERROR(INDEX('الحضور'!$J$3:$J$502,187),"")</f>
        <v/>
      </c>
      <c r="H193" s="55">
        <f>IFERROR(INDEX('الحضور'!$K$3:$K$502,187),"")</f>
        <v/>
      </c>
      <c r="I193" s="55">
        <f>IFERROR(INDEX('الحضور'!$L$3:$L$502,187),"")</f>
        <v/>
      </c>
      <c r="J193" s="55">
        <f>IFERROR(INDEX('الحضور'!$M$3:$M$502,187),"")</f>
        <v/>
      </c>
      <c r="K193" s="43">
        <f>IFERROR(INDEX('الحضور'!$N$3:$N$502,187),"")</f>
        <v/>
      </c>
    </row>
    <row r="194">
      <c r="A194" s="50">
        <f>IFERROR(INDEX('الحضور'!$A$3:$A$502,188),"")</f>
        <v/>
      </c>
      <c r="B194" s="50">
        <f>IFERROR(INDEX('الحضور'!$B$3:$B$502,188),"")</f>
        <v/>
      </c>
      <c r="C194" s="119">
        <f>IFERROR(INDEX('الحضور'!$C$3:$C$502,188),"")</f>
        <v/>
      </c>
      <c r="D194" s="50">
        <f>IFERROR(INDEX('الحضور'!$D$3:$D$502,188),"")</f>
        <v/>
      </c>
      <c r="E194" s="117">
        <f>IFERROR(INDEX('الحضور'!$E$3:$E$502,188),"")</f>
        <v/>
      </c>
      <c r="F194" s="117">
        <f>IFERROR(INDEX('الحضور'!$F$3:$F$502,188),"")</f>
        <v/>
      </c>
      <c r="G194" s="58">
        <f>IFERROR(INDEX('الحضور'!$J$3:$J$502,188),"")</f>
        <v/>
      </c>
      <c r="H194" s="58">
        <f>IFERROR(INDEX('الحضور'!$K$3:$K$502,188),"")</f>
        <v/>
      </c>
      <c r="I194" s="58">
        <f>IFERROR(INDEX('الحضور'!$L$3:$L$502,188),"")</f>
        <v/>
      </c>
      <c r="J194" s="58">
        <f>IFERROR(INDEX('الحضور'!$M$3:$M$502,188),"")</f>
        <v/>
      </c>
      <c r="K194" s="50">
        <f>IFERROR(INDEX('الحضور'!$N$3:$N$502,188),"")</f>
        <v/>
      </c>
    </row>
    <row r="195">
      <c r="A195" s="43">
        <f>IFERROR(INDEX('الحضور'!$A$3:$A$502,189),"")</f>
        <v/>
      </c>
      <c r="B195" s="43">
        <f>IFERROR(INDEX('الحضور'!$B$3:$B$502,189),"")</f>
        <v/>
      </c>
      <c r="C195" s="118">
        <f>IFERROR(INDEX('الحضور'!$C$3:$C$502,189),"")</f>
        <v/>
      </c>
      <c r="D195" s="43">
        <f>IFERROR(INDEX('الحضور'!$D$3:$D$502,189),"")</f>
        <v/>
      </c>
      <c r="E195" s="115">
        <f>IFERROR(INDEX('الحضور'!$E$3:$E$502,189),"")</f>
        <v/>
      </c>
      <c r="F195" s="115">
        <f>IFERROR(INDEX('الحضور'!$F$3:$F$502,189),"")</f>
        <v/>
      </c>
      <c r="G195" s="55">
        <f>IFERROR(INDEX('الحضور'!$J$3:$J$502,189),"")</f>
        <v/>
      </c>
      <c r="H195" s="55">
        <f>IFERROR(INDEX('الحضور'!$K$3:$K$502,189),"")</f>
        <v/>
      </c>
      <c r="I195" s="55">
        <f>IFERROR(INDEX('الحضور'!$L$3:$L$502,189),"")</f>
        <v/>
      </c>
      <c r="J195" s="55">
        <f>IFERROR(INDEX('الحضور'!$M$3:$M$502,189),"")</f>
        <v/>
      </c>
      <c r="K195" s="43">
        <f>IFERROR(INDEX('الحضور'!$N$3:$N$502,189),"")</f>
        <v/>
      </c>
    </row>
    <row r="196">
      <c r="A196" s="50">
        <f>IFERROR(INDEX('الحضور'!$A$3:$A$502,190),"")</f>
        <v/>
      </c>
      <c r="B196" s="50">
        <f>IFERROR(INDEX('الحضور'!$B$3:$B$502,190),"")</f>
        <v/>
      </c>
      <c r="C196" s="119">
        <f>IFERROR(INDEX('الحضور'!$C$3:$C$502,190),"")</f>
        <v/>
      </c>
      <c r="D196" s="50">
        <f>IFERROR(INDEX('الحضور'!$D$3:$D$502,190),"")</f>
        <v/>
      </c>
      <c r="E196" s="117">
        <f>IFERROR(INDEX('الحضور'!$E$3:$E$502,190),"")</f>
        <v/>
      </c>
      <c r="F196" s="117">
        <f>IFERROR(INDEX('الحضور'!$F$3:$F$502,190),"")</f>
        <v/>
      </c>
      <c r="G196" s="58">
        <f>IFERROR(INDEX('الحضور'!$J$3:$J$502,190),"")</f>
        <v/>
      </c>
      <c r="H196" s="58">
        <f>IFERROR(INDEX('الحضور'!$K$3:$K$502,190),"")</f>
        <v/>
      </c>
      <c r="I196" s="58">
        <f>IFERROR(INDEX('الحضور'!$L$3:$L$502,190),"")</f>
        <v/>
      </c>
      <c r="J196" s="58">
        <f>IFERROR(INDEX('الحضور'!$M$3:$M$502,190),"")</f>
        <v/>
      </c>
      <c r="K196" s="50">
        <f>IFERROR(INDEX('الحضور'!$N$3:$N$502,190),"")</f>
        <v/>
      </c>
    </row>
    <row r="197">
      <c r="A197" s="43">
        <f>IFERROR(INDEX('الحضور'!$A$3:$A$502,191),"")</f>
        <v/>
      </c>
      <c r="B197" s="43">
        <f>IFERROR(INDEX('الحضور'!$B$3:$B$502,191),"")</f>
        <v/>
      </c>
      <c r="C197" s="118">
        <f>IFERROR(INDEX('الحضور'!$C$3:$C$502,191),"")</f>
        <v/>
      </c>
      <c r="D197" s="43">
        <f>IFERROR(INDEX('الحضور'!$D$3:$D$502,191),"")</f>
        <v/>
      </c>
      <c r="E197" s="115">
        <f>IFERROR(INDEX('الحضور'!$E$3:$E$502,191),"")</f>
        <v/>
      </c>
      <c r="F197" s="115">
        <f>IFERROR(INDEX('الحضور'!$F$3:$F$502,191),"")</f>
        <v/>
      </c>
      <c r="G197" s="55">
        <f>IFERROR(INDEX('الحضور'!$J$3:$J$502,191),"")</f>
        <v/>
      </c>
      <c r="H197" s="55">
        <f>IFERROR(INDEX('الحضور'!$K$3:$K$502,191),"")</f>
        <v/>
      </c>
      <c r="I197" s="55">
        <f>IFERROR(INDEX('الحضور'!$L$3:$L$502,191),"")</f>
        <v/>
      </c>
      <c r="J197" s="55">
        <f>IFERROR(INDEX('الحضور'!$M$3:$M$502,191),"")</f>
        <v/>
      </c>
      <c r="K197" s="43">
        <f>IFERROR(INDEX('الحضور'!$N$3:$N$502,191),"")</f>
        <v/>
      </c>
    </row>
    <row r="198">
      <c r="A198" s="50">
        <f>IFERROR(INDEX('الحضور'!$A$3:$A$502,192),"")</f>
        <v/>
      </c>
      <c r="B198" s="50">
        <f>IFERROR(INDEX('الحضور'!$B$3:$B$502,192),"")</f>
        <v/>
      </c>
      <c r="C198" s="119">
        <f>IFERROR(INDEX('الحضور'!$C$3:$C$502,192),"")</f>
        <v/>
      </c>
      <c r="D198" s="50">
        <f>IFERROR(INDEX('الحضور'!$D$3:$D$502,192),"")</f>
        <v/>
      </c>
      <c r="E198" s="117">
        <f>IFERROR(INDEX('الحضور'!$E$3:$E$502,192),"")</f>
        <v/>
      </c>
      <c r="F198" s="117">
        <f>IFERROR(INDEX('الحضور'!$F$3:$F$502,192),"")</f>
        <v/>
      </c>
      <c r="G198" s="58">
        <f>IFERROR(INDEX('الحضور'!$J$3:$J$502,192),"")</f>
        <v/>
      </c>
      <c r="H198" s="58">
        <f>IFERROR(INDEX('الحضور'!$K$3:$K$502,192),"")</f>
        <v/>
      </c>
      <c r="I198" s="58">
        <f>IFERROR(INDEX('الحضور'!$L$3:$L$502,192),"")</f>
        <v/>
      </c>
      <c r="J198" s="58">
        <f>IFERROR(INDEX('الحضور'!$M$3:$M$502,192),"")</f>
        <v/>
      </c>
      <c r="K198" s="50">
        <f>IFERROR(INDEX('الحضور'!$N$3:$N$502,192),"")</f>
        <v/>
      </c>
    </row>
    <row r="199">
      <c r="A199" s="43">
        <f>IFERROR(INDEX('الحضور'!$A$3:$A$502,193),"")</f>
        <v/>
      </c>
      <c r="B199" s="43">
        <f>IFERROR(INDEX('الحضور'!$B$3:$B$502,193),"")</f>
        <v/>
      </c>
      <c r="C199" s="118">
        <f>IFERROR(INDEX('الحضور'!$C$3:$C$502,193),"")</f>
        <v/>
      </c>
      <c r="D199" s="43">
        <f>IFERROR(INDEX('الحضور'!$D$3:$D$502,193),"")</f>
        <v/>
      </c>
      <c r="E199" s="115">
        <f>IFERROR(INDEX('الحضور'!$E$3:$E$502,193),"")</f>
        <v/>
      </c>
      <c r="F199" s="115">
        <f>IFERROR(INDEX('الحضور'!$F$3:$F$502,193),"")</f>
        <v/>
      </c>
      <c r="G199" s="55">
        <f>IFERROR(INDEX('الحضور'!$J$3:$J$502,193),"")</f>
        <v/>
      </c>
      <c r="H199" s="55">
        <f>IFERROR(INDEX('الحضور'!$K$3:$K$502,193),"")</f>
        <v/>
      </c>
      <c r="I199" s="55">
        <f>IFERROR(INDEX('الحضور'!$L$3:$L$502,193),"")</f>
        <v/>
      </c>
      <c r="J199" s="55">
        <f>IFERROR(INDEX('الحضور'!$M$3:$M$502,193),"")</f>
        <v/>
      </c>
      <c r="K199" s="43">
        <f>IFERROR(INDEX('الحضور'!$N$3:$N$502,193),"")</f>
        <v/>
      </c>
    </row>
    <row r="200">
      <c r="A200" s="50">
        <f>IFERROR(INDEX('الحضور'!$A$3:$A$502,194),"")</f>
        <v/>
      </c>
      <c r="B200" s="50">
        <f>IFERROR(INDEX('الحضور'!$B$3:$B$502,194),"")</f>
        <v/>
      </c>
      <c r="C200" s="119">
        <f>IFERROR(INDEX('الحضور'!$C$3:$C$502,194),"")</f>
        <v/>
      </c>
      <c r="D200" s="50">
        <f>IFERROR(INDEX('الحضور'!$D$3:$D$502,194),"")</f>
        <v/>
      </c>
      <c r="E200" s="117">
        <f>IFERROR(INDEX('الحضور'!$E$3:$E$502,194),"")</f>
        <v/>
      </c>
      <c r="F200" s="117">
        <f>IFERROR(INDEX('الحضور'!$F$3:$F$502,194),"")</f>
        <v/>
      </c>
      <c r="G200" s="58">
        <f>IFERROR(INDEX('الحضور'!$J$3:$J$502,194),"")</f>
        <v/>
      </c>
      <c r="H200" s="58">
        <f>IFERROR(INDEX('الحضور'!$K$3:$K$502,194),"")</f>
        <v/>
      </c>
      <c r="I200" s="58">
        <f>IFERROR(INDEX('الحضور'!$L$3:$L$502,194),"")</f>
        <v/>
      </c>
      <c r="J200" s="58">
        <f>IFERROR(INDEX('الحضور'!$M$3:$M$502,194),"")</f>
        <v/>
      </c>
      <c r="K200" s="50">
        <f>IFERROR(INDEX('الحضور'!$N$3:$N$502,194),"")</f>
        <v/>
      </c>
    </row>
    <row r="201">
      <c r="A201" s="43">
        <f>IFERROR(INDEX('الحضور'!$A$3:$A$502,195),"")</f>
        <v/>
      </c>
      <c r="B201" s="43">
        <f>IFERROR(INDEX('الحضور'!$B$3:$B$502,195),"")</f>
        <v/>
      </c>
      <c r="C201" s="118">
        <f>IFERROR(INDEX('الحضور'!$C$3:$C$502,195),"")</f>
        <v/>
      </c>
      <c r="D201" s="43">
        <f>IFERROR(INDEX('الحضور'!$D$3:$D$502,195),"")</f>
        <v/>
      </c>
      <c r="E201" s="115">
        <f>IFERROR(INDEX('الحضور'!$E$3:$E$502,195),"")</f>
        <v/>
      </c>
      <c r="F201" s="115">
        <f>IFERROR(INDEX('الحضور'!$F$3:$F$502,195),"")</f>
        <v/>
      </c>
      <c r="G201" s="55">
        <f>IFERROR(INDEX('الحضور'!$J$3:$J$502,195),"")</f>
        <v/>
      </c>
      <c r="H201" s="55">
        <f>IFERROR(INDEX('الحضور'!$K$3:$K$502,195),"")</f>
        <v/>
      </c>
      <c r="I201" s="55">
        <f>IFERROR(INDEX('الحضور'!$L$3:$L$502,195),"")</f>
        <v/>
      </c>
      <c r="J201" s="55">
        <f>IFERROR(INDEX('الحضور'!$M$3:$M$502,195),"")</f>
        <v/>
      </c>
      <c r="K201" s="43">
        <f>IFERROR(INDEX('الحضور'!$N$3:$N$502,195),"")</f>
        <v/>
      </c>
    </row>
    <row r="202">
      <c r="A202" s="50">
        <f>IFERROR(INDEX('الحضور'!$A$3:$A$502,196),"")</f>
        <v/>
      </c>
      <c r="B202" s="50">
        <f>IFERROR(INDEX('الحضور'!$B$3:$B$502,196),"")</f>
        <v/>
      </c>
      <c r="C202" s="119">
        <f>IFERROR(INDEX('الحضور'!$C$3:$C$502,196),"")</f>
        <v/>
      </c>
      <c r="D202" s="50">
        <f>IFERROR(INDEX('الحضور'!$D$3:$D$502,196),"")</f>
        <v/>
      </c>
      <c r="E202" s="117">
        <f>IFERROR(INDEX('الحضور'!$E$3:$E$502,196),"")</f>
        <v/>
      </c>
      <c r="F202" s="117">
        <f>IFERROR(INDEX('الحضور'!$F$3:$F$502,196),"")</f>
        <v/>
      </c>
      <c r="G202" s="58">
        <f>IFERROR(INDEX('الحضور'!$J$3:$J$502,196),"")</f>
        <v/>
      </c>
      <c r="H202" s="58">
        <f>IFERROR(INDEX('الحضور'!$K$3:$K$502,196),"")</f>
        <v/>
      </c>
      <c r="I202" s="58">
        <f>IFERROR(INDEX('الحضور'!$L$3:$L$502,196),"")</f>
        <v/>
      </c>
      <c r="J202" s="58">
        <f>IFERROR(INDEX('الحضور'!$M$3:$M$502,196),"")</f>
        <v/>
      </c>
      <c r="K202" s="50">
        <f>IFERROR(INDEX('الحضور'!$N$3:$N$502,196),"")</f>
        <v/>
      </c>
    </row>
    <row r="203">
      <c r="A203" s="43">
        <f>IFERROR(INDEX('الحضور'!$A$3:$A$502,197),"")</f>
        <v/>
      </c>
      <c r="B203" s="43">
        <f>IFERROR(INDEX('الحضور'!$B$3:$B$502,197),"")</f>
        <v/>
      </c>
      <c r="C203" s="118">
        <f>IFERROR(INDEX('الحضور'!$C$3:$C$502,197),"")</f>
        <v/>
      </c>
      <c r="D203" s="43">
        <f>IFERROR(INDEX('الحضور'!$D$3:$D$502,197),"")</f>
        <v/>
      </c>
      <c r="E203" s="115">
        <f>IFERROR(INDEX('الحضور'!$E$3:$E$502,197),"")</f>
        <v/>
      </c>
      <c r="F203" s="115">
        <f>IFERROR(INDEX('الحضور'!$F$3:$F$502,197),"")</f>
        <v/>
      </c>
      <c r="G203" s="55">
        <f>IFERROR(INDEX('الحضور'!$J$3:$J$502,197),"")</f>
        <v/>
      </c>
      <c r="H203" s="55">
        <f>IFERROR(INDEX('الحضور'!$K$3:$K$502,197),"")</f>
        <v/>
      </c>
      <c r="I203" s="55">
        <f>IFERROR(INDEX('الحضور'!$L$3:$L$502,197),"")</f>
        <v/>
      </c>
      <c r="J203" s="55">
        <f>IFERROR(INDEX('الحضور'!$M$3:$M$502,197),"")</f>
        <v/>
      </c>
      <c r="K203" s="43">
        <f>IFERROR(INDEX('الحضور'!$N$3:$N$502,197),"")</f>
        <v/>
      </c>
    </row>
    <row r="204">
      <c r="A204" s="50">
        <f>IFERROR(INDEX('الحضور'!$A$3:$A$502,198),"")</f>
        <v/>
      </c>
      <c r="B204" s="50">
        <f>IFERROR(INDEX('الحضور'!$B$3:$B$502,198),"")</f>
        <v/>
      </c>
      <c r="C204" s="119">
        <f>IFERROR(INDEX('الحضور'!$C$3:$C$502,198),"")</f>
        <v/>
      </c>
      <c r="D204" s="50">
        <f>IFERROR(INDEX('الحضور'!$D$3:$D$502,198),"")</f>
        <v/>
      </c>
      <c r="E204" s="117">
        <f>IFERROR(INDEX('الحضور'!$E$3:$E$502,198),"")</f>
        <v/>
      </c>
      <c r="F204" s="117">
        <f>IFERROR(INDEX('الحضور'!$F$3:$F$502,198),"")</f>
        <v/>
      </c>
      <c r="G204" s="58">
        <f>IFERROR(INDEX('الحضور'!$J$3:$J$502,198),"")</f>
        <v/>
      </c>
      <c r="H204" s="58">
        <f>IFERROR(INDEX('الحضور'!$K$3:$K$502,198),"")</f>
        <v/>
      </c>
      <c r="I204" s="58">
        <f>IFERROR(INDEX('الحضور'!$L$3:$L$502,198),"")</f>
        <v/>
      </c>
      <c r="J204" s="58">
        <f>IFERROR(INDEX('الحضور'!$M$3:$M$502,198),"")</f>
        <v/>
      </c>
      <c r="K204" s="50">
        <f>IFERROR(INDEX('الحضور'!$N$3:$N$502,198),"")</f>
        <v/>
      </c>
    </row>
    <row r="205">
      <c r="A205" s="43">
        <f>IFERROR(INDEX('الحضور'!$A$3:$A$502,199),"")</f>
        <v/>
      </c>
      <c r="B205" s="43">
        <f>IFERROR(INDEX('الحضور'!$B$3:$B$502,199),"")</f>
        <v/>
      </c>
      <c r="C205" s="118">
        <f>IFERROR(INDEX('الحضور'!$C$3:$C$502,199),"")</f>
        <v/>
      </c>
      <c r="D205" s="43">
        <f>IFERROR(INDEX('الحضور'!$D$3:$D$502,199),"")</f>
        <v/>
      </c>
      <c r="E205" s="115">
        <f>IFERROR(INDEX('الحضور'!$E$3:$E$502,199),"")</f>
        <v/>
      </c>
      <c r="F205" s="115">
        <f>IFERROR(INDEX('الحضور'!$F$3:$F$502,199),"")</f>
        <v/>
      </c>
      <c r="G205" s="55">
        <f>IFERROR(INDEX('الحضور'!$J$3:$J$502,199),"")</f>
        <v/>
      </c>
      <c r="H205" s="55">
        <f>IFERROR(INDEX('الحضور'!$K$3:$K$502,199),"")</f>
        <v/>
      </c>
      <c r="I205" s="55">
        <f>IFERROR(INDEX('الحضور'!$L$3:$L$502,199),"")</f>
        <v/>
      </c>
      <c r="J205" s="55">
        <f>IFERROR(INDEX('الحضور'!$M$3:$M$502,199),"")</f>
        <v/>
      </c>
      <c r="K205" s="43">
        <f>IFERROR(INDEX('الحضور'!$N$3:$N$502,199),"")</f>
        <v/>
      </c>
    </row>
    <row r="206">
      <c r="A206" s="50">
        <f>IFERROR(INDEX('الحضور'!$A$3:$A$502,200),"")</f>
        <v/>
      </c>
      <c r="B206" s="50">
        <f>IFERROR(INDEX('الحضور'!$B$3:$B$502,200),"")</f>
        <v/>
      </c>
      <c r="C206" s="119">
        <f>IFERROR(INDEX('الحضور'!$C$3:$C$502,200),"")</f>
        <v/>
      </c>
      <c r="D206" s="50">
        <f>IFERROR(INDEX('الحضور'!$D$3:$D$502,200),"")</f>
        <v/>
      </c>
      <c r="E206" s="117">
        <f>IFERROR(INDEX('الحضور'!$E$3:$E$502,200),"")</f>
        <v/>
      </c>
      <c r="F206" s="117">
        <f>IFERROR(INDEX('الحضور'!$F$3:$F$502,200),"")</f>
        <v/>
      </c>
      <c r="G206" s="58">
        <f>IFERROR(INDEX('الحضور'!$J$3:$J$502,200),"")</f>
        <v/>
      </c>
      <c r="H206" s="58">
        <f>IFERROR(INDEX('الحضور'!$K$3:$K$502,200),"")</f>
        <v/>
      </c>
      <c r="I206" s="58">
        <f>IFERROR(INDEX('الحضور'!$L$3:$L$502,200),"")</f>
        <v/>
      </c>
      <c r="J206" s="58">
        <f>IFERROR(INDEX('الحضور'!$M$3:$M$502,200),"")</f>
        <v/>
      </c>
      <c r="K206" s="50">
        <f>IFERROR(INDEX('الحضور'!$N$3:$N$502,200),"")</f>
        <v/>
      </c>
    </row>
    <row r="207">
      <c r="A207" s="71" t="inlineStr">
        <is>
          <t>الإجمالي</t>
        </is>
      </c>
      <c r="B207" s="72" t="n"/>
      <c r="C207" s="72" t="n"/>
      <c r="D207" s="72" t="n"/>
      <c r="E207" s="72" t="n"/>
      <c r="F207" s="72" t="n"/>
      <c r="G207" s="73">
        <f>SUM(G7:G206)</f>
        <v/>
      </c>
      <c r="H207" s="73">
        <f>SUM(H7:H206)</f>
        <v/>
      </c>
      <c r="I207" s="73">
        <f>SUM(I7:I206)</f>
        <v/>
      </c>
      <c r="J207" s="73">
        <f>SUM(J7:J206)</f>
        <v/>
      </c>
      <c r="K207" s="7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05"/>
  <mergeCells count="5">
    <mergeCell ref="A2:K2"/>
    <mergeCell ref="A207"/>
    <mergeCell ref="A1:K1"/>
    <mergeCell ref="F3:K3"/>
    <mergeCell ref="A3:E3"/>
  </mergeCells>
  <pageMargins left="0.75" right="0.75" top="1" bottom="1" header="0.5" footer="0.5"/>
  <pageSetup orientation="landscape" paperSize="9" fitToHeight="0" fitToWidth="1"/>
  <headerFooter>
    <oddHeader/>
    <oddFooter>&amp;L&amp;8 نظام إدارة الموارد البشرية&amp;R&amp;8 صفحة &amp;P من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207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  <col width="11" customWidth="1" min="4" max="4"/>
    <col width="12" customWidth="1" min="5" max="5"/>
    <col width="12" customWidth="1" min="6" max="6"/>
    <col width="13" customWidth="1" min="7" max="7"/>
    <col width="26" customWidth="1" min="8" max="8"/>
  </cols>
  <sheetData>
    <row r="1" ht="30" customHeight="1">
      <c r="A1" s="1">
        <f>اسم_المؤسسة</f>
        <v/>
      </c>
    </row>
    <row r="2" ht="26" customHeight="1">
      <c r="A2" s="65" t="inlineStr">
        <is>
          <t>تقرير التأخير</t>
        </is>
      </c>
    </row>
    <row r="3">
      <c r="A3" s="66">
        <f>"تاريخ إعداد التقرير: "&amp;TEXT(TODAY(),"yyyy-mm-dd")</f>
        <v/>
      </c>
      <c r="E3" s="6">
        <f>"السنة المالية: "&amp;السنة_المالية</f>
        <v/>
      </c>
    </row>
    <row r="6" ht="34" customHeight="1">
      <c r="A6" s="67" t="inlineStr">
        <is>
          <t>الرقم الوظيفي</t>
        </is>
      </c>
      <c r="B6" s="67" t="inlineStr">
        <is>
          <t>اسم الموظف</t>
        </is>
      </c>
      <c r="C6" s="67" t="inlineStr">
        <is>
          <t>التاريخ</t>
        </is>
      </c>
      <c r="D6" s="67" t="inlineStr">
        <is>
          <t>الحضور</t>
        </is>
      </c>
      <c r="E6" s="67" t="inlineStr">
        <is>
          <t>بداية الدوام</t>
        </is>
      </c>
      <c r="F6" s="67" t="inlineStr">
        <is>
          <t>ساعات التأخير</t>
        </is>
      </c>
      <c r="G6" s="67" t="inlineStr">
        <is>
          <t>حالة الدوام</t>
        </is>
      </c>
      <c r="H6" s="67" t="inlineStr">
        <is>
          <t>الملاحظات</t>
        </is>
      </c>
    </row>
    <row r="7">
      <c r="A7" s="43">
        <f>IFERROR(INDEX('الحضور'!$A$3:$A$502,MATCH(1,'الحضور'!$Q$3:$Q$502,0)),"")</f>
        <v/>
      </c>
      <c r="B7" s="43">
        <f>IFERROR(INDEX('الحضور'!$B$3:$B$502,MATCH(1,'الحضور'!$Q$3:$Q$502,0)),"")</f>
        <v/>
      </c>
      <c r="C7" s="118">
        <f>IFERROR(INDEX('الحضور'!$C$3:$C$502,MATCH(1,'الحضور'!$Q$3:$Q$502,0)),"")</f>
        <v/>
      </c>
      <c r="D7" s="115">
        <f>IFERROR(INDEX('الحضور'!$E$3:$E$502,MATCH(1,'الحضور'!$Q$3:$Q$502,0)),"")</f>
        <v/>
      </c>
      <c r="E7" s="115">
        <f>IFERROR(INDEX('الحضور'!$G$3:$G$502,MATCH(1,'الحضور'!$Q$3:$Q$502,0)),"")</f>
        <v/>
      </c>
      <c r="F7" s="55">
        <f>IFERROR(INDEX('الحضور'!$K$3:$K$502,MATCH(1,'الحضور'!$Q$3:$Q$502,0)),"")</f>
        <v/>
      </c>
      <c r="G7" s="43">
        <f>IFERROR(INDEX('الحضور'!$N$3:$N$502,MATCH(1,'الحضور'!$Q$3:$Q$502,0)),"")</f>
        <v/>
      </c>
      <c r="H7" s="43">
        <f>IFERROR(INDEX('الحضور'!$O$3:$O$502,MATCH(1,'الحضور'!$Q$3:$Q$502,0)),"")</f>
        <v/>
      </c>
    </row>
    <row r="8">
      <c r="A8" s="50">
        <f>IFERROR(INDEX('الحضور'!$A$3:$A$502,MATCH(2,'الحضور'!$Q$3:$Q$502,0)),"")</f>
        <v/>
      </c>
      <c r="B8" s="50">
        <f>IFERROR(INDEX('الحضور'!$B$3:$B$502,MATCH(2,'الحضور'!$Q$3:$Q$502,0)),"")</f>
        <v/>
      </c>
      <c r="C8" s="119">
        <f>IFERROR(INDEX('الحضور'!$C$3:$C$502,MATCH(2,'الحضور'!$Q$3:$Q$502,0)),"")</f>
        <v/>
      </c>
      <c r="D8" s="117">
        <f>IFERROR(INDEX('الحضور'!$E$3:$E$502,MATCH(2,'الحضور'!$Q$3:$Q$502,0)),"")</f>
        <v/>
      </c>
      <c r="E8" s="117">
        <f>IFERROR(INDEX('الحضور'!$G$3:$G$502,MATCH(2,'الحضور'!$Q$3:$Q$502,0)),"")</f>
        <v/>
      </c>
      <c r="F8" s="58">
        <f>IFERROR(INDEX('الحضور'!$K$3:$K$502,MATCH(2,'الحضور'!$Q$3:$Q$502,0)),"")</f>
        <v/>
      </c>
      <c r="G8" s="50">
        <f>IFERROR(INDEX('الحضور'!$N$3:$N$502,MATCH(2,'الحضور'!$Q$3:$Q$502,0)),"")</f>
        <v/>
      </c>
      <c r="H8" s="50">
        <f>IFERROR(INDEX('الحضور'!$O$3:$O$502,MATCH(2,'الحضور'!$Q$3:$Q$502,0)),"")</f>
        <v/>
      </c>
    </row>
    <row r="9">
      <c r="A9" s="43">
        <f>IFERROR(INDEX('الحضور'!$A$3:$A$502,MATCH(3,'الحضور'!$Q$3:$Q$502,0)),"")</f>
        <v/>
      </c>
      <c r="B9" s="43">
        <f>IFERROR(INDEX('الحضور'!$B$3:$B$502,MATCH(3,'الحضور'!$Q$3:$Q$502,0)),"")</f>
        <v/>
      </c>
      <c r="C9" s="118">
        <f>IFERROR(INDEX('الحضور'!$C$3:$C$502,MATCH(3,'الحضور'!$Q$3:$Q$502,0)),"")</f>
        <v/>
      </c>
      <c r="D9" s="115">
        <f>IFERROR(INDEX('الحضور'!$E$3:$E$502,MATCH(3,'الحضور'!$Q$3:$Q$502,0)),"")</f>
        <v/>
      </c>
      <c r="E9" s="115">
        <f>IFERROR(INDEX('الحضور'!$G$3:$G$502,MATCH(3,'الحضور'!$Q$3:$Q$502,0)),"")</f>
        <v/>
      </c>
      <c r="F9" s="55">
        <f>IFERROR(INDEX('الحضور'!$K$3:$K$502,MATCH(3,'الحضور'!$Q$3:$Q$502,0)),"")</f>
        <v/>
      </c>
      <c r="G9" s="43">
        <f>IFERROR(INDEX('الحضور'!$N$3:$N$502,MATCH(3,'الحضور'!$Q$3:$Q$502,0)),"")</f>
        <v/>
      </c>
      <c r="H9" s="43">
        <f>IFERROR(INDEX('الحضور'!$O$3:$O$502,MATCH(3,'الحضور'!$Q$3:$Q$502,0)),"")</f>
        <v/>
      </c>
    </row>
    <row r="10">
      <c r="A10" s="50">
        <f>IFERROR(INDEX('الحضور'!$A$3:$A$502,MATCH(4,'الحضور'!$Q$3:$Q$502,0)),"")</f>
        <v/>
      </c>
      <c r="B10" s="50">
        <f>IFERROR(INDEX('الحضور'!$B$3:$B$502,MATCH(4,'الحضور'!$Q$3:$Q$502,0)),"")</f>
        <v/>
      </c>
      <c r="C10" s="119">
        <f>IFERROR(INDEX('الحضور'!$C$3:$C$502,MATCH(4,'الحضور'!$Q$3:$Q$502,0)),"")</f>
        <v/>
      </c>
      <c r="D10" s="117">
        <f>IFERROR(INDEX('الحضور'!$E$3:$E$502,MATCH(4,'الحضور'!$Q$3:$Q$502,0)),"")</f>
        <v/>
      </c>
      <c r="E10" s="117">
        <f>IFERROR(INDEX('الحضور'!$G$3:$G$502,MATCH(4,'الحضور'!$Q$3:$Q$502,0)),"")</f>
        <v/>
      </c>
      <c r="F10" s="58">
        <f>IFERROR(INDEX('الحضور'!$K$3:$K$502,MATCH(4,'الحضور'!$Q$3:$Q$502,0)),"")</f>
        <v/>
      </c>
      <c r="G10" s="50">
        <f>IFERROR(INDEX('الحضور'!$N$3:$N$502,MATCH(4,'الحضور'!$Q$3:$Q$502,0)),"")</f>
        <v/>
      </c>
      <c r="H10" s="50">
        <f>IFERROR(INDEX('الحضور'!$O$3:$O$502,MATCH(4,'الحضور'!$Q$3:$Q$502,0)),"")</f>
        <v/>
      </c>
    </row>
    <row r="11">
      <c r="A11" s="43">
        <f>IFERROR(INDEX('الحضور'!$A$3:$A$502,MATCH(5,'الحضور'!$Q$3:$Q$502,0)),"")</f>
        <v/>
      </c>
      <c r="B11" s="43">
        <f>IFERROR(INDEX('الحضور'!$B$3:$B$502,MATCH(5,'الحضور'!$Q$3:$Q$502,0)),"")</f>
        <v/>
      </c>
      <c r="C11" s="118">
        <f>IFERROR(INDEX('الحضور'!$C$3:$C$502,MATCH(5,'الحضور'!$Q$3:$Q$502,0)),"")</f>
        <v/>
      </c>
      <c r="D11" s="115">
        <f>IFERROR(INDEX('الحضور'!$E$3:$E$502,MATCH(5,'الحضور'!$Q$3:$Q$502,0)),"")</f>
        <v/>
      </c>
      <c r="E11" s="115">
        <f>IFERROR(INDEX('الحضور'!$G$3:$G$502,MATCH(5,'الحضور'!$Q$3:$Q$502,0)),"")</f>
        <v/>
      </c>
      <c r="F11" s="55">
        <f>IFERROR(INDEX('الحضور'!$K$3:$K$502,MATCH(5,'الحضور'!$Q$3:$Q$502,0)),"")</f>
        <v/>
      </c>
      <c r="G11" s="43">
        <f>IFERROR(INDEX('الحضور'!$N$3:$N$502,MATCH(5,'الحضور'!$Q$3:$Q$502,0)),"")</f>
        <v/>
      </c>
      <c r="H11" s="43">
        <f>IFERROR(INDEX('الحضور'!$O$3:$O$502,MATCH(5,'الحضور'!$Q$3:$Q$502,0)),"")</f>
        <v/>
      </c>
    </row>
    <row r="12">
      <c r="A12" s="50">
        <f>IFERROR(INDEX('الحضور'!$A$3:$A$502,MATCH(6,'الحضور'!$Q$3:$Q$502,0)),"")</f>
        <v/>
      </c>
      <c r="B12" s="50">
        <f>IFERROR(INDEX('الحضور'!$B$3:$B$502,MATCH(6,'الحضور'!$Q$3:$Q$502,0)),"")</f>
        <v/>
      </c>
      <c r="C12" s="119">
        <f>IFERROR(INDEX('الحضور'!$C$3:$C$502,MATCH(6,'الحضور'!$Q$3:$Q$502,0)),"")</f>
        <v/>
      </c>
      <c r="D12" s="117">
        <f>IFERROR(INDEX('الحضور'!$E$3:$E$502,MATCH(6,'الحضور'!$Q$3:$Q$502,0)),"")</f>
        <v/>
      </c>
      <c r="E12" s="117">
        <f>IFERROR(INDEX('الحضور'!$G$3:$G$502,MATCH(6,'الحضور'!$Q$3:$Q$502,0)),"")</f>
        <v/>
      </c>
      <c r="F12" s="58">
        <f>IFERROR(INDEX('الحضور'!$K$3:$K$502,MATCH(6,'الحضور'!$Q$3:$Q$502,0)),"")</f>
        <v/>
      </c>
      <c r="G12" s="50">
        <f>IFERROR(INDEX('الحضور'!$N$3:$N$502,MATCH(6,'الحضور'!$Q$3:$Q$502,0)),"")</f>
        <v/>
      </c>
      <c r="H12" s="50">
        <f>IFERROR(INDEX('الحضور'!$O$3:$O$502,MATCH(6,'الحضور'!$Q$3:$Q$502,0)),"")</f>
        <v/>
      </c>
    </row>
    <row r="13">
      <c r="A13" s="43">
        <f>IFERROR(INDEX('الحضور'!$A$3:$A$502,MATCH(7,'الحضور'!$Q$3:$Q$502,0)),"")</f>
        <v/>
      </c>
      <c r="B13" s="43">
        <f>IFERROR(INDEX('الحضور'!$B$3:$B$502,MATCH(7,'الحضور'!$Q$3:$Q$502,0)),"")</f>
        <v/>
      </c>
      <c r="C13" s="118">
        <f>IFERROR(INDEX('الحضور'!$C$3:$C$502,MATCH(7,'الحضور'!$Q$3:$Q$502,0)),"")</f>
        <v/>
      </c>
      <c r="D13" s="115">
        <f>IFERROR(INDEX('الحضور'!$E$3:$E$502,MATCH(7,'الحضور'!$Q$3:$Q$502,0)),"")</f>
        <v/>
      </c>
      <c r="E13" s="115">
        <f>IFERROR(INDEX('الحضور'!$G$3:$G$502,MATCH(7,'الحضور'!$Q$3:$Q$502,0)),"")</f>
        <v/>
      </c>
      <c r="F13" s="55">
        <f>IFERROR(INDEX('الحضور'!$K$3:$K$502,MATCH(7,'الحضور'!$Q$3:$Q$502,0)),"")</f>
        <v/>
      </c>
      <c r="G13" s="43">
        <f>IFERROR(INDEX('الحضور'!$N$3:$N$502,MATCH(7,'الحضور'!$Q$3:$Q$502,0)),"")</f>
        <v/>
      </c>
      <c r="H13" s="43">
        <f>IFERROR(INDEX('الحضور'!$O$3:$O$502,MATCH(7,'الحضور'!$Q$3:$Q$502,0)),"")</f>
        <v/>
      </c>
    </row>
    <row r="14">
      <c r="A14" s="50">
        <f>IFERROR(INDEX('الحضور'!$A$3:$A$502,MATCH(8,'الحضور'!$Q$3:$Q$502,0)),"")</f>
        <v/>
      </c>
      <c r="B14" s="50">
        <f>IFERROR(INDEX('الحضور'!$B$3:$B$502,MATCH(8,'الحضور'!$Q$3:$Q$502,0)),"")</f>
        <v/>
      </c>
      <c r="C14" s="119">
        <f>IFERROR(INDEX('الحضور'!$C$3:$C$502,MATCH(8,'الحضور'!$Q$3:$Q$502,0)),"")</f>
        <v/>
      </c>
      <c r="D14" s="117">
        <f>IFERROR(INDEX('الحضور'!$E$3:$E$502,MATCH(8,'الحضور'!$Q$3:$Q$502,0)),"")</f>
        <v/>
      </c>
      <c r="E14" s="117">
        <f>IFERROR(INDEX('الحضور'!$G$3:$G$502,MATCH(8,'الحضور'!$Q$3:$Q$502,0)),"")</f>
        <v/>
      </c>
      <c r="F14" s="58">
        <f>IFERROR(INDEX('الحضور'!$K$3:$K$502,MATCH(8,'الحضور'!$Q$3:$Q$502,0)),"")</f>
        <v/>
      </c>
      <c r="G14" s="50">
        <f>IFERROR(INDEX('الحضور'!$N$3:$N$502,MATCH(8,'الحضور'!$Q$3:$Q$502,0)),"")</f>
        <v/>
      </c>
      <c r="H14" s="50">
        <f>IFERROR(INDEX('الحضور'!$O$3:$O$502,MATCH(8,'الحضور'!$Q$3:$Q$502,0)),"")</f>
        <v/>
      </c>
    </row>
    <row r="15">
      <c r="A15" s="43">
        <f>IFERROR(INDEX('الحضور'!$A$3:$A$502,MATCH(9,'الحضور'!$Q$3:$Q$502,0)),"")</f>
        <v/>
      </c>
      <c r="B15" s="43">
        <f>IFERROR(INDEX('الحضور'!$B$3:$B$502,MATCH(9,'الحضور'!$Q$3:$Q$502,0)),"")</f>
        <v/>
      </c>
      <c r="C15" s="118">
        <f>IFERROR(INDEX('الحضور'!$C$3:$C$502,MATCH(9,'الحضور'!$Q$3:$Q$502,0)),"")</f>
        <v/>
      </c>
      <c r="D15" s="115">
        <f>IFERROR(INDEX('الحضور'!$E$3:$E$502,MATCH(9,'الحضور'!$Q$3:$Q$502,0)),"")</f>
        <v/>
      </c>
      <c r="E15" s="115">
        <f>IFERROR(INDEX('الحضور'!$G$3:$G$502,MATCH(9,'الحضور'!$Q$3:$Q$502,0)),"")</f>
        <v/>
      </c>
      <c r="F15" s="55">
        <f>IFERROR(INDEX('الحضور'!$K$3:$K$502,MATCH(9,'الحضور'!$Q$3:$Q$502,0)),"")</f>
        <v/>
      </c>
      <c r="G15" s="43">
        <f>IFERROR(INDEX('الحضور'!$N$3:$N$502,MATCH(9,'الحضور'!$Q$3:$Q$502,0)),"")</f>
        <v/>
      </c>
      <c r="H15" s="43">
        <f>IFERROR(INDEX('الحضور'!$O$3:$O$502,MATCH(9,'الحضور'!$Q$3:$Q$502,0)),"")</f>
        <v/>
      </c>
    </row>
    <row r="16">
      <c r="A16" s="50">
        <f>IFERROR(INDEX('الحضور'!$A$3:$A$502,MATCH(10,'الحضور'!$Q$3:$Q$502,0)),"")</f>
        <v/>
      </c>
      <c r="B16" s="50">
        <f>IFERROR(INDEX('الحضور'!$B$3:$B$502,MATCH(10,'الحضور'!$Q$3:$Q$502,0)),"")</f>
        <v/>
      </c>
      <c r="C16" s="119">
        <f>IFERROR(INDEX('الحضور'!$C$3:$C$502,MATCH(10,'الحضور'!$Q$3:$Q$502,0)),"")</f>
        <v/>
      </c>
      <c r="D16" s="117">
        <f>IFERROR(INDEX('الحضور'!$E$3:$E$502,MATCH(10,'الحضور'!$Q$3:$Q$502,0)),"")</f>
        <v/>
      </c>
      <c r="E16" s="117">
        <f>IFERROR(INDEX('الحضور'!$G$3:$G$502,MATCH(10,'الحضور'!$Q$3:$Q$502,0)),"")</f>
        <v/>
      </c>
      <c r="F16" s="58">
        <f>IFERROR(INDEX('الحضور'!$K$3:$K$502,MATCH(10,'الحضور'!$Q$3:$Q$502,0)),"")</f>
        <v/>
      </c>
      <c r="G16" s="50">
        <f>IFERROR(INDEX('الحضور'!$N$3:$N$502,MATCH(10,'الحضور'!$Q$3:$Q$502,0)),"")</f>
        <v/>
      </c>
      <c r="H16" s="50">
        <f>IFERROR(INDEX('الحضور'!$O$3:$O$502,MATCH(10,'الحضور'!$Q$3:$Q$502,0)),"")</f>
        <v/>
      </c>
    </row>
    <row r="17">
      <c r="A17" s="43">
        <f>IFERROR(INDEX('الحضور'!$A$3:$A$502,MATCH(11,'الحضور'!$Q$3:$Q$502,0)),"")</f>
        <v/>
      </c>
      <c r="B17" s="43">
        <f>IFERROR(INDEX('الحضور'!$B$3:$B$502,MATCH(11,'الحضور'!$Q$3:$Q$502,0)),"")</f>
        <v/>
      </c>
      <c r="C17" s="118">
        <f>IFERROR(INDEX('الحضور'!$C$3:$C$502,MATCH(11,'الحضور'!$Q$3:$Q$502,0)),"")</f>
        <v/>
      </c>
      <c r="D17" s="115">
        <f>IFERROR(INDEX('الحضور'!$E$3:$E$502,MATCH(11,'الحضور'!$Q$3:$Q$502,0)),"")</f>
        <v/>
      </c>
      <c r="E17" s="115">
        <f>IFERROR(INDEX('الحضور'!$G$3:$G$502,MATCH(11,'الحضور'!$Q$3:$Q$502,0)),"")</f>
        <v/>
      </c>
      <c r="F17" s="55">
        <f>IFERROR(INDEX('الحضور'!$K$3:$K$502,MATCH(11,'الحضور'!$Q$3:$Q$502,0)),"")</f>
        <v/>
      </c>
      <c r="G17" s="43">
        <f>IFERROR(INDEX('الحضور'!$N$3:$N$502,MATCH(11,'الحضور'!$Q$3:$Q$502,0)),"")</f>
        <v/>
      </c>
      <c r="H17" s="43">
        <f>IFERROR(INDEX('الحضور'!$O$3:$O$502,MATCH(11,'الحضور'!$Q$3:$Q$502,0)),"")</f>
        <v/>
      </c>
    </row>
    <row r="18">
      <c r="A18" s="50">
        <f>IFERROR(INDEX('الحضور'!$A$3:$A$502,MATCH(12,'الحضور'!$Q$3:$Q$502,0)),"")</f>
        <v/>
      </c>
      <c r="B18" s="50">
        <f>IFERROR(INDEX('الحضور'!$B$3:$B$502,MATCH(12,'الحضور'!$Q$3:$Q$502,0)),"")</f>
        <v/>
      </c>
      <c r="C18" s="119">
        <f>IFERROR(INDEX('الحضور'!$C$3:$C$502,MATCH(12,'الحضور'!$Q$3:$Q$502,0)),"")</f>
        <v/>
      </c>
      <c r="D18" s="117">
        <f>IFERROR(INDEX('الحضور'!$E$3:$E$502,MATCH(12,'الحضور'!$Q$3:$Q$502,0)),"")</f>
        <v/>
      </c>
      <c r="E18" s="117">
        <f>IFERROR(INDEX('الحضور'!$G$3:$G$502,MATCH(12,'الحضور'!$Q$3:$Q$502,0)),"")</f>
        <v/>
      </c>
      <c r="F18" s="58">
        <f>IFERROR(INDEX('الحضور'!$K$3:$K$502,MATCH(12,'الحضور'!$Q$3:$Q$502,0)),"")</f>
        <v/>
      </c>
      <c r="G18" s="50">
        <f>IFERROR(INDEX('الحضور'!$N$3:$N$502,MATCH(12,'الحضور'!$Q$3:$Q$502,0)),"")</f>
        <v/>
      </c>
      <c r="H18" s="50">
        <f>IFERROR(INDEX('الحضور'!$O$3:$O$502,MATCH(12,'الحضور'!$Q$3:$Q$502,0)),"")</f>
        <v/>
      </c>
    </row>
    <row r="19">
      <c r="A19" s="43">
        <f>IFERROR(INDEX('الحضور'!$A$3:$A$502,MATCH(13,'الحضور'!$Q$3:$Q$502,0)),"")</f>
        <v/>
      </c>
      <c r="B19" s="43">
        <f>IFERROR(INDEX('الحضور'!$B$3:$B$502,MATCH(13,'الحضور'!$Q$3:$Q$502,0)),"")</f>
        <v/>
      </c>
      <c r="C19" s="118">
        <f>IFERROR(INDEX('الحضور'!$C$3:$C$502,MATCH(13,'الحضور'!$Q$3:$Q$502,0)),"")</f>
        <v/>
      </c>
      <c r="D19" s="115">
        <f>IFERROR(INDEX('الحضور'!$E$3:$E$502,MATCH(13,'الحضور'!$Q$3:$Q$502,0)),"")</f>
        <v/>
      </c>
      <c r="E19" s="115">
        <f>IFERROR(INDEX('الحضور'!$G$3:$G$502,MATCH(13,'الحضور'!$Q$3:$Q$502,0)),"")</f>
        <v/>
      </c>
      <c r="F19" s="55">
        <f>IFERROR(INDEX('الحضور'!$K$3:$K$502,MATCH(13,'الحضور'!$Q$3:$Q$502,0)),"")</f>
        <v/>
      </c>
      <c r="G19" s="43">
        <f>IFERROR(INDEX('الحضور'!$N$3:$N$502,MATCH(13,'الحضور'!$Q$3:$Q$502,0)),"")</f>
        <v/>
      </c>
      <c r="H19" s="43">
        <f>IFERROR(INDEX('الحضور'!$O$3:$O$502,MATCH(13,'الحضور'!$Q$3:$Q$502,0)),"")</f>
        <v/>
      </c>
    </row>
    <row r="20">
      <c r="A20" s="50">
        <f>IFERROR(INDEX('الحضور'!$A$3:$A$502,MATCH(14,'الحضور'!$Q$3:$Q$502,0)),"")</f>
        <v/>
      </c>
      <c r="B20" s="50">
        <f>IFERROR(INDEX('الحضور'!$B$3:$B$502,MATCH(14,'الحضور'!$Q$3:$Q$502,0)),"")</f>
        <v/>
      </c>
      <c r="C20" s="119">
        <f>IFERROR(INDEX('الحضور'!$C$3:$C$502,MATCH(14,'الحضور'!$Q$3:$Q$502,0)),"")</f>
        <v/>
      </c>
      <c r="D20" s="117">
        <f>IFERROR(INDEX('الحضور'!$E$3:$E$502,MATCH(14,'الحضور'!$Q$3:$Q$502,0)),"")</f>
        <v/>
      </c>
      <c r="E20" s="117">
        <f>IFERROR(INDEX('الحضور'!$G$3:$G$502,MATCH(14,'الحضور'!$Q$3:$Q$502,0)),"")</f>
        <v/>
      </c>
      <c r="F20" s="58">
        <f>IFERROR(INDEX('الحضور'!$K$3:$K$502,MATCH(14,'الحضور'!$Q$3:$Q$502,0)),"")</f>
        <v/>
      </c>
      <c r="G20" s="50">
        <f>IFERROR(INDEX('الحضور'!$N$3:$N$502,MATCH(14,'الحضور'!$Q$3:$Q$502,0)),"")</f>
        <v/>
      </c>
      <c r="H20" s="50">
        <f>IFERROR(INDEX('الحضور'!$O$3:$O$502,MATCH(14,'الحضور'!$Q$3:$Q$502,0)),"")</f>
        <v/>
      </c>
    </row>
    <row r="21">
      <c r="A21" s="43">
        <f>IFERROR(INDEX('الحضور'!$A$3:$A$502,MATCH(15,'الحضور'!$Q$3:$Q$502,0)),"")</f>
        <v/>
      </c>
      <c r="B21" s="43">
        <f>IFERROR(INDEX('الحضور'!$B$3:$B$502,MATCH(15,'الحضور'!$Q$3:$Q$502,0)),"")</f>
        <v/>
      </c>
      <c r="C21" s="118">
        <f>IFERROR(INDEX('الحضور'!$C$3:$C$502,MATCH(15,'الحضور'!$Q$3:$Q$502,0)),"")</f>
        <v/>
      </c>
      <c r="D21" s="115">
        <f>IFERROR(INDEX('الحضور'!$E$3:$E$502,MATCH(15,'الحضور'!$Q$3:$Q$502,0)),"")</f>
        <v/>
      </c>
      <c r="E21" s="115">
        <f>IFERROR(INDEX('الحضور'!$G$3:$G$502,MATCH(15,'الحضور'!$Q$3:$Q$502,0)),"")</f>
        <v/>
      </c>
      <c r="F21" s="55">
        <f>IFERROR(INDEX('الحضور'!$K$3:$K$502,MATCH(15,'الحضور'!$Q$3:$Q$502,0)),"")</f>
        <v/>
      </c>
      <c r="G21" s="43">
        <f>IFERROR(INDEX('الحضور'!$N$3:$N$502,MATCH(15,'الحضور'!$Q$3:$Q$502,0)),"")</f>
        <v/>
      </c>
      <c r="H21" s="43">
        <f>IFERROR(INDEX('الحضور'!$O$3:$O$502,MATCH(15,'الحضور'!$Q$3:$Q$502,0)),"")</f>
        <v/>
      </c>
    </row>
    <row r="22">
      <c r="A22" s="50">
        <f>IFERROR(INDEX('الحضور'!$A$3:$A$502,MATCH(16,'الحضور'!$Q$3:$Q$502,0)),"")</f>
        <v/>
      </c>
      <c r="B22" s="50">
        <f>IFERROR(INDEX('الحضور'!$B$3:$B$502,MATCH(16,'الحضور'!$Q$3:$Q$502,0)),"")</f>
        <v/>
      </c>
      <c r="C22" s="119">
        <f>IFERROR(INDEX('الحضور'!$C$3:$C$502,MATCH(16,'الحضور'!$Q$3:$Q$502,0)),"")</f>
        <v/>
      </c>
      <c r="D22" s="117">
        <f>IFERROR(INDEX('الحضور'!$E$3:$E$502,MATCH(16,'الحضور'!$Q$3:$Q$502,0)),"")</f>
        <v/>
      </c>
      <c r="E22" s="117">
        <f>IFERROR(INDEX('الحضور'!$G$3:$G$502,MATCH(16,'الحضور'!$Q$3:$Q$502,0)),"")</f>
        <v/>
      </c>
      <c r="F22" s="58">
        <f>IFERROR(INDEX('الحضور'!$K$3:$K$502,MATCH(16,'الحضور'!$Q$3:$Q$502,0)),"")</f>
        <v/>
      </c>
      <c r="G22" s="50">
        <f>IFERROR(INDEX('الحضور'!$N$3:$N$502,MATCH(16,'الحضور'!$Q$3:$Q$502,0)),"")</f>
        <v/>
      </c>
      <c r="H22" s="50">
        <f>IFERROR(INDEX('الحضور'!$O$3:$O$502,MATCH(16,'الحضور'!$Q$3:$Q$502,0)),"")</f>
        <v/>
      </c>
    </row>
    <row r="23">
      <c r="A23" s="43">
        <f>IFERROR(INDEX('الحضور'!$A$3:$A$502,MATCH(17,'الحضور'!$Q$3:$Q$502,0)),"")</f>
        <v/>
      </c>
      <c r="B23" s="43">
        <f>IFERROR(INDEX('الحضور'!$B$3:$B$502,MATCH(17,'الحضور'!$Q$3:$Q$502,0)),"")</f>
        <v/>
      </c>
      <c r="C23" s="118">
        <f>IFERROR(INDEX('الحضور'!$C$3:$C$502,MATCH(17,'الحضور'!$Q$3:$Q$502,0)),"")</f>
        <v/>
      </c>
      <c r="D23" s="115">
        <f>IFERROR(INDEX('الحضور'!$E$3:$E$502,MATCH(17,'الحضور'!$Q$3:$Q$502,0)),"")</f>
        <v/>
      </c>
      <c r="E23" s="115">
        <f>IFERROR(INDEX('الحضور'!$G$3:$G$502,MATCH(17,'الحضور'!$Q$3:$Q$502,0)),"")</f>
        <v/>
      </c>
      <c r="F23" s="55">
        <f>IFERROR(INDEX('الحضور'!$K$3:$K$502,MATCH(17,'الحضور'!$Q$3:$Q$502,0)),"")</f>
        <v/>
      </c>
      <c r="G23" s="43">
        <f>IFERROR(INDEX('الحضور'!$N$3:$N$502,MATCH(17,'الحضور'!$Q$3:$Q$502,0)),"")</f>
        <v/>
      </c>
      <c r="H23" s="43">
        <f>IFERROR(INDEX('الحضور'!$O$3:$O$502,MATCH(17,'الحضور'!$Q$3:$Q$502,0)),"")</f>
        <v/>
      </c>
    </row>
    <row r="24">
      <c r="A24" s="50">
        <f>IFERROR(INDEX('الحضور'!$A$3:$A$502,MATCH(18,'الحضور'!$Q$3:$Q$502,0)),"")</f>
        <v/>
      </c>
      <c r="B24" s="50">
        <f>IFERROR(INDEX('الحضور'!$B$3:$B$502,MATCH(18,'الحضور'!$Q$3:$Q$502,0)),"")</f>
        <v/>
      </c>
      <c r="C24" s="119">
        <f>IFERROR(INDEX('الحضور'!$C$3:$C$502,MATCH(18,'الحضور'!$Q$3:$Q$502,0)),"")</f>
        <v/>
      </c>
      <c r="D24" s="117">
        <f>IFERROR(INDEX('الحضور'!$E$3:$E$502,MATCH(18,'الحضور'!$Q$3:$Q$502,0)),"")</f>
        <v/>
      </c>
      <c r="E24" s="117">
        <f>IFERROR(INDEX('الحضور'!$G$3:$G$502,MATCH(18,'الحضور'!$Q$3:$Q$502,0)),"")</f>
        <v/>
      </c>
      <c r="F24" s="58">
        <f>IFERROR(INDEX('الحضور'!$K$3:$K$502,MATCH(18,'الحضور'!$Q$3:$Q$502,0)),"")</f>
        <v/>
      </c>
      <c r="G24" s="50">
        <f>IFERROR(INDEX('الحضور'!$N$3:$N$502,MATCH(18,'الحضور'!$Q$3:$Q$502,0)),"")</f>
        <v/>
      </c>
      <c r="H24" s="50">
        <f>IFERROR(INDEX('الحضور'!$O$3:$O$502,MATCH(18,'الحضور'!$Q$3:$Q$502,0)),"")</f>
        <v/>
      </c>
    </row>
    <row r="25">
      <c r="A25" s="43">
        <f>IFERROR(INDEX('الحضور'!$A$3:$A$502,MATCH(19,'الحضور'!$Q$3:$Q$502,0)),"")</f>
        <v/>
      </c>
      <c r="B25" s="43">
        <f>IFERROR(INDEX('الحضور'!$B$3:$B$502,MATCH(19,'الحضور'!$Q$3:$Q$502,0)),"")</f>
        <v/>
      </c>
      <c r="C25" s="118">
        <f>IFERROR(INDEX('الحضور'!$C$3:$C$502,MATCH(19,'الحضور'!$Q$3:$Q$502,0)),"")</f>
        <v/>
      </c>
      <c r="D25" s="115">
        <f>IFERROR(INDEX('الحضور'!$E$3:$E$502,MATCH(19,'الحضور'!$Q$3:$Q$502,0)),"")</f>
        <v/>
      </c>
      <c r="E25" s="115">
        <f>IFERROR(INDEX('الحضور'!$G$3:$G$502,MATCH(19,'الحضور'!$Q$3:$Q$502,0)),"")</f>
        <v/>
      </c>
      <c r="F25" s="55">
        <f>IFERROR(INDEX('الحضور'!$K$3:$K$502,MATCH(19,'الحضور'!$Q$3:$Q$502,0)),"")</f>
        <v/>
      </c>
      <c r="G25" s="43">
        <f>IFERROR(INDEX('الحضور'!$N$3:$N$502,MATCH(19,'الحضور'!$Q$3:$Q$502,0)),"")</f>
        <v/>
      </c>
      <c r="H25" s="43">
        <f>IFERROR(INDEX('الحضور'!$O$3:$O$502,MATCH(19,'الحضور'!$Q$3:$Q$502,0)),"")</f>
        <v/>
      </c>
    </row>
    <row r="26">
      <c r="A26" s="50">
        <f>IFERROR(INDEX('الحضور'!$A$3:$A$502,MATCH(20,'الحضور'!$Q$3:$Q$502,0)),"")</f>
        <v/>
      </c>
      <c r="B26" s="50">
        <f>IFERROR(INDEX('الحضور'!$B$3:$B$502,MATCH(20,'الحضور'!$Q$3:$Q$502,0)),"")</f>
        <v/>
      </c>
      <c r="C26" s="119">
        <f>IFERROR(INDEX('الحضور'!$C$3:$C$502,MATCH(20,'الحضور'!$Q$3:$Q$502,0)),"")</f>
        <v/>
      </c>
      <c r="D26" s="117">
        <f>IFERROR(INDEX('الحضور'!$E$3:$E$502,MATCH(20,'الحضور'!$Q$3:$Q$502,0)),"")</f>
        <v/>
      </c>
      <c r="E26" s="117">
        <f>IFERROR(INDEX('الحضور'!$G$3:$G$502,MATCH(20,'الحضور'!$Q$3:$Q$502,0)),"")</f>
        <v/>
      </c>
      <c r="F26" s="58">
        <f>IFERROR(INDEX('الحضور'!$K$3:$K$502,MATCH(20,'الحضور'!$Q$3:$Q$502,0)),"")</f>
        <v/>
      </c>
      <c r="G26" s="50">
        <f>IFERROR(INDEX('الحضور'!$N$3:$N$502,MATCH(20,'الحضور'!$Q$3:$Q$502,0)),"")</f>
        <v/>
      </c>
      <c r="H26" s="50">
        <f>IFERROR(INDEX('الحضور'!$O$3:$O$502,MATCH(20,'الحضور'!$Q$3:$Q$502,0)),"")</f>
        <v/>
      </c>
    </row>
    <row r="27">
      <c r="A27" s="43">
        <f>IFERROR(INDEX('الحضور'!$A$3:$A$502,MATCH(21,'الحضور'!$Q$3:$Q$502,0)),"")</f>
        <v/>
      </c>
      <c r="B27" s="43">
        <f>IFERROR(INDEX('الحضور'!$B$3:$B$502,MATCH(21,'الحضور'!$Q$3:$Q$502,0)),"")</f>
        <v/>
      </c>
      <c r="C27" s="118">
        <f>IFERROR(INDEX('الحضور'!$C$3:$C$502,MATCH(21,'الحضور'!$Q$3:$Q$502,0)),"")</f>
        <v/>
      </c>
      <c r="D27" s="115">
        <f>IFERROR(INDEX('الحضور'!$E$3:$E$502,MATCH(21,'الحضور'!$Q$3:$Q$502,0)),"")</f>
        <v/>
      </c>
      <c r="E27" s="115">
        <f>IFERROR(INDEX('الحضور'!$G$3:$G$502,MATCH(21,'الحضور'!$Q$3:$Q$502,0)),"")</f>
        <v/>
      </c>
      <c r="F27" s="55">
        <f>IFERROR(INDEX('الحضور'!$K$3:$K$502,MATCH(21,'الحضور'!$Q$3:$Q$502,0)),"")</f>
        <v/>
      </c>
      <c r="G27" s="43">
        <f>IFERROR(INDEX('الحضور'!$N$3:$N$502,MATCH(21,'الحضور'!$Q$3:$Q$502,0)),"")</f>
        <v/>
      </c>
      <c r="H27" s="43">
        <f>IFERROR(INDEX('الحضور'!$O$3:$O$502,MATCH(21,'الحضور'!$Q$3:$Q$502,0)),"")</f>
        <v/>
      </c>
    </row>
    <row r="28">
      <c r="A28" s="50">
        <f>IFERROR(INDEX('الحضور'!$A$3:$A$502,MATCH(22,'الحضور'!$Q$3:$Q$502,0)),"")</f>
        <v/>
      </c>
      <c r="B28" s="50">
        <f>IFERROR(INDEX('الحضور'!$B$3:$B$502,MATCH(22,'الحضور'!$Q$3:$Q$502,0)),"")</f>
        <v/>
      </c>
      <c r="C28" s="119">
        <f>IFERROR(INDEX('الحضور'!$C$3:$C$502,MATCH(22,'الحضور'!$Q$3:$Q$502,0)),"")</f>
        <v/>
      </c>
      <c r="D28" s="117">
        <f>IFERROR(INDEX('الحضور'!$E$3:$E$502,MATCH(22,'الحضور'!$Q$3:$Q$502,0)),"")</f>
        <v/>
      </c>
      <c r="E28" s="117">
        <f>IFERROR(INDEX('الحضور'!$G$3:$G$502,MATCH(22,'الحضور'!$Q$3:$Q$502,0)),"")</f>
        <v/>
      </c>
      <c r="F28" s="58">
        <f>IFERROR(INDEX('الحضور'!$K$3:$K$502,MATCH(22,'الحضور'!$Q$3:$Q$502,0)),"")</f>
        <v/>
      </c>
      <c r="G28" s="50">
        <f>IFERROR(INDEX('الحضور'!$N$3:$N$502,MATCH(22,'الحضور'!$Q$3:$Q$502,0)),"")</f>
        <v/>
      </c>
      <c r="H28" s="50">
        <f>IFERROR(INDEX('الحضور'!$O$3:$O$502,MATCH(22,'الحضور'!$Q$3:$Q$502,0)),"")</f>
        <v/>
      </c>
    </row>
    <row r="29">
      <c r="A29" s="43">
        <f>IFERROR(INDEX('الحضور'!$A$3:$A$502,MATCH(23,'الحضور'!$Q$3:$Q$502,0)),"")</f>
        <v/>
      </c>
      <c r="B29" s="43">
        <f>IFERROR(INDEX('الحضور'!$B$3:$B$502,MATCH(23,'الحضور'!$Q$3:$Q$502,0)),"")</f>
        <v/>
      </c>
      <c r="C29" s="118">
        <f>IFERROR(INDEX('الحضور'!$C$3:$C$502,MATCH(23,'الحضور'!$Q$3:$Q$502,0)),"")</f>
        <v/>
      </c>
      <c r="D29" s="115">
        <f>IFERROR(INDEX('الحضور'!$E$3:$E$502,MATCH(23,'الحضور'!$Q$3:$Q$502,0)),"")</f>
        <v/>
      </c>
      <c r="E29" s="115">
        <f>IFERROR(INDEX('الحضور'!$G$3:$G$502,MATCH(23,'الحضور'!$Q$3:$Q$502,0)),"")</f>
        <v/>
      </c>
      <c r="F29" s="55">
        <f>IFERROR(INDEX('الحضور'!$K$3:$K$502,MATCH(23,'الحضور'!$Q$3:$Q$502,0)),"")</f>
        <v/>
      </c>
      <c r="G29" s="43">
        <f>IFERROR(INDEX('الحضور'!$N$3:$N$502,MATCH(23,'الحضور'!$Q$3:$Q$502,0)),"")</f>
        <v/>
      </c>
      <c r="H29" s="43">
        <f>IFERROR(INDEX('الحضور'!$O$3:$O$502,MATCH(23,'الحضور'!$Q$3:$Q$502,0)),"")</f>
        <v/>
      </c>
    </row>
    <row r="30">
      <c r="A30" s="50">
        <f>IFERROR(INDEX('الحضور'!$A$3:$A$502,MATCH(24,'الحضور'!$Q$3:$Q$502,0)),"")</f>
        <v/>
      </c>
      <c r="B30" s="50">
        <f>IFERROR(INDEX('الحضور'!$B$3:$B$502,MATCH(24,'الحضور'!$Q$3:$Q$502,0)),"")</f>
        <v/>
      </c>
      <c r="C30" s="119">
        <f>IFERROR(INDEX('الحضور'!$C$3:$C$502,MATCH(24,'الحضور'!$Q$3:$Q$502,0)),"")</f>
        <v/>
      </c>
      <c r="D30" s="117">
        <f>IFERROR(INDEX('الحضور'!$E$3:$E$502,MATCH(24,'الحضور'!$Q$3:$Q$502,0)),"")</f>
        <v/>
      </c>
      <c r="E30" s="117">
        <f>IFERROR(INDEX('الحضور'!$G$3:$G$502,MATCH(24,'الحضور'!$Q$3:$Q$502,0)),"")</f>
        <v/>
      </c>
      <c r="F30" s="58">
        <f>IFERROR(INDEX('الحضور'!$K$3:$K$502,MATCH(24,'الحضور'!$Q$3:$Q$502,0)),"")</f>
        <v/>
      </c>
      <c r="G30" s="50">
        <f>IFERROR(INDEX('الحضور'!$N$3:$N$502,MATCH(24,'الحضور'!$Q$3:$Q$502,0)),"")</f>
        <v/>
      </c>
      <c r="H30" s="50">
        <f>IFERROR(INDEX('الحضور'!$O$3:$O$502,MATCH(24,'الحضور'!$Q$3:$Q$502,0)),"")</f>
        <v/>
      </c>
    </row>
    <row r="31">
      <c r="A31" s="43">
        <f>IFERROR(INDEX('الحضور'!$A$3:$A$502,MATCH(25,'الحضور'!$Q$3:$Q$502,0)),"")</f>
        <v/>
      </c>
      <c r="B31" s="43">
        <f>IFERROR(INDEX('الحضور'!$B$3:$B$502,MATCH(25,'الحضور'!$Q$3:$Q$502,0)),"")</f>
        <v/>
      </c>
      <c r="C31" s="118">
        <f>IFERROR(INDEX('الحضور'!$C$3:$C$502,MATCH(25,'الحضور'!$Q$3:$Q$502,0)),"")</f>
        <v/>
      </c>
      <c r="D31" s="115">
        <f>IFERROR(INDEX('الحضور'!$E$3:$E$502,MATCH(25,'الحضور'!$Q$3:$Q$502,0)),"")</f>
        <v/>
      </c>
      <c r="E31" s="115">
        <f>IFERROR(INDEX('الحضور'!$G$3:$G$502,MATCH(25,'الحضور'!$Q$3:$Q$502,0)),"")</f>
        <v/>
      </c>
      <c r="F31" s="55">
        <f>IFERROR(INDEX('الحضور'!$K$3:$K$502,MATCH(25,'الحضور'!$Q$3:$Q$502,0)),"")</f>
        <v/>
      </c>
      <c r="G31" s="43">
        <f>IFERROR(INDEX('الحضور'!$N$3:$N$502,MATCH(25,'الحضور'!$Q$3:$Q$502,0)),"")</f>
        <v/>
      </c>
      <c r="H31" s="43">
        <f>IFERROR(INDEX('الحضور'!$O$3:$O$502,MATCH(25,'الحضور'!$Q$3:$Q$502,0)),"")</f>
        <v/>
      </c>
    </row>
    <row r="32">
      <c r="A32" s="50">
        <f>IFERROR(INDEX('الحضور'!$A$3:$A$502,MATCH(26,'الحضور'!$Q$3:$Q$502,0)),"")</f>
        <v/>
      </c>
      <c r="B32" s="50">
        <f>IFERROR(INDEX('الحضور'!$B$3:$B$502,MATCH(26,'الحضور'!$Q$3:$Q$502,0)),"")</f>
        <v/>
      </c>
      <c r="C32" s="119">
        <f>IFERROR(INDEX('الحضور'!$C$3:$C$502,MATCH(26,'الحضور'!$Q$3:$Q$502,0)),"")</f>
        <v/>
      </c>
      <c r="D32" s="117">
        <f>IFERROR(INDEX('الحضور'!$E$3:$E$502,MATCH(26,'الحضور'!$Q$3:$Q$502,0)),"")</f>
        <v/>
      </c>
      <c r="E32" s="117">
        <f>IFERROR(INDEX('الحضور'!$G$3:$G$502,MATCH(26,'الحضور'!$Q$3:$Q$502,0)),"")</f>
        <v/>
      </c>
      <c r="F32" s="58">
        <f>IFERROR(INDEX('الحضور'!$K$3:$K$502,MATCH(26,'الحضور'!$Q$3:$Q$502,0)),"")</f>
        <v/>
      </c>
      <c r="G32" s="50">
        <f>IFERROR(INDEX('الحضور'!$N$3:$N$502,MATCH(26,'الحضور'!$Q$3:$Q$502,0)),"")</f>
        <v/>
      </c>
      <c r="H32" s="50">
        <f>IFERROR(INDEX('الحضور'!$O$3:$O$502,MATCH(26,'الحضور'!$Q$3:$Q$502,0)),"")</f>
        <v/>
      </c>
    </row>
    <row r="33">
      <c r="A33" s="43">
        <f>IFERROR(INDEX('الحضور'!$A$3:$A$502,MATCH(27,'الحضور'!$Q$3:$Q$502,0)),"")</f>
        <v/>
      </c>
      <c r="B33" s="43">
        <f>IFERROR(INDEX('الحضور'!$B$3:$B$502,MATCH(27,'الحضور'!$Q$3:$Q$502,0)),"")</f>
        <v/>
      </c>
      <c r="C33" s="118">
        <f>IFERROR(INDEX('الحضور'!$C$3:$C$502,MATCH(27,'الحضور'!$Q$3:$Q$502,0)),"")</f>
        <v/>
      </c>
      <c r="D33" s="115">
        <f>IFERROR(INDEX('الحضور'!$E$3:$E$502,MATCH(27,'الحضور'!$Q$3:$Q$502,0)),"")</f>
        <v/>
      </c>
      <c r="E33" s="115">
        <f>IFERROR(INDEX('الحضور'!$G$3:$G$502,MATCH(27,'الحضور'!$Q$3:$Q$502,0)),"")</f>
        <v/>
      </c>
      <c r="F33" s="55">
        <f>IFERROR(INDEX('الحضور'!$K$3:$K$502,MATCH(27,'الحضور'!$Q$3:$Q$502,0)),"")</f>
        <v/>
      </c>
      <c r="G33" s="43">
        <f>IFERROR(INDEX('الحضور'!$N$3:$N$502,MATCH(27,'الحضور'!$Q$3:$Q$502,0)),"")</f>
        <v/>
      </c>
      <c r="H33" s="43">
        <f>IFERROR(INDEX('الحضور'!$O$3:$O$502,MATCH(27,'الحضور'!$Q$3:$Q$502,0)),"")</f>
        <v/>
      </c>
    </row>
    <row r="34">
      <c r="A34" s="50">
        <f>IFERROR(INDEX('الحضور'!$A$3:$A$502,MATCH(28,'الحضور'!$Q$3:$Q$502,0)),"")</f>
        <v/>
      </c>
      <c r="B34" s="50">
        <f>IFERROR(INDEX('الحضور'!$B$3:$B$502,MATCH(28,'الحضور'!$Q$3:$Q$502,0)),"")</f>
        <v/>
      </c>
      <c r="C34" s="119">
        <f>IFERROR(INDEX('الحضور'!$C$3:$C$502,MATCH(28,'الحضور'!$Q$3:$Q$502,0)),"")</f>
        <v/>
      </c>
      <c r="D34" s="117">
        <f>IFERROR(INDEX('الحضور'!$E$3:$E$502,MATCH(28,'الحضور'!$Q$3:$Q$502,0)),"")</f>
        <v/>
      </c>
      <c r="E34" s="117">
        <f>IFERROR(INDEX('الحضور'!$G$3:$G$502,MATCH(28,'الحضور'!$Q$3:$Q$502,0)),"")</f>
        <v/>
      </c>
      <c r="F34" s="58">
        <f>IFERROR(INDEX('الحضور'!$K$3:$K$502,MATCH(28,'الحضور'!$Q$3:$Q$502,0)),"")</f>
        <v/>
      </c>
      <c r="G34" s="50">
        <f>IFERROR(INDEX('الحضور'!$N$3:$N$502,MATCH(28,'الحضور'!$Q$3:$Q$502,0)),"")</f>
        <v/>
      </c>
      <c r="H34" s="50">
        <f>IFERROR(INDEX('الحضور'!$O$3:$O$502,MATCH(28,'الحضور'!$Q$3:$Q$502,0)),"")</f>
        <v/>
      </c>
    </row>
    <row r="35">
      <c r="A35" s="43">
        <f>IFERROR(INDEX('الحضور'!$A$3:$A$502,MATCH(29,'الحضور'!$Q$3:$Q$502,0)),"")</f>
        <v/>
      </c>
      <c r="B35" s="43">
        <f>IFERROR(INDEX('الحضور'!$B$3:$B$502,MATCH(29,'الحضور'!$Q$3:$Q$502,0)),"")</f>
        <v/>
      </c>
      <c r="C35" s="118">
        <f>IFERROR(INDEX('الحضور'!$C$3:$C$502,MATCH(29,'الحضور'!$Q$3:$Q$502,0)),"")</f>
        <v/>
      </c>
      <c r="D35" s="115">
        <f>IFERROR(INDEX('الحضور'!$E$3:$E$502,MATCH(29,'الحضور'!$Q$3:$Q$502,0)),"")</f>
        <v/>
      </c>
      <c r="E35" s="115">
        <f>IFERROR(INDEX('الحضور'!$G$3:$G$502,MATCH(29,'الحضور'!$Q$3:$Q$502,0)),"")</f>
        <v/>
      </c>
      <c r="F35" s="55">
        <f>IFERROR(INDEX('الحضور'!$K$3:$K$502,MATCH(29,'الحضور'!$Q$3:$Q$502,0)),"")</f>
        <v/>
      </c>
      <c r="G35" s="43">
        <f>IFERROR(INDEX('الحضور'!$N$3:$N$502,MATCH(29,'الحضور'!$Q$3:$Q$502,0)),"")</f>
        <v/>
      </c>
      <c r="H35" s="43">
        <f>IFERROR(INDEX('الحضور'!$O$3:$O$502,MATCH(29,'الحضور'!$Q$3:$Q$502,0)),"")</f>
        <v/>
      </c>
    </row>
    <row r="36">
      <c r="A36" s="50">
        <f>IFERROR(INDEX('الحضور'!$A$3:$A$502,MATCH(30,'الحضور'!$Q$3:$Q$502,0)),"")</f>
        <v/>
      </c>
      <c r="B36" s="50">
        <f>IFERROR(INDEX('الحضور'!$B$3:$B$502,MATCH(30,'الحضور'!$Q$3:$Q$502,0)),"")</f>
        <v/>
      </c>
      <c r="C36" s="119">
        <f>IFERROR(INDEX('الحضور'!$C$3:$C$502,MATCH(30,'الحضور'!$Q$3:$Q$502,0)),"")</f>
        <v/>
      </c>
      <c r="D36" s="117">
        <f>IFERROR(INDEX('الحضور'!$E$3:$E$502,MATCH(30,'الحضور'!$Q$3:$Q$502,0)),"")</f>
        <v/>
      </c>
      <c r="E36" s="117">
        <f>IFERROR(INDEX('الحضور'!$G$3:$G$502,MATCH(30,'الحضور'!$Q$3:$Q$502,0)),"")</f>
        <v/>
      </c>
      <c r="F36" s="58">
        <f>IFERROR(INDEX('الحضور'!$K$3:$K$502,MATCH(30,'الحضور'!$Q$3:$Q$502,0)),"")</f>
        <v/>
      </c>
      <c r="G36" s="50">
        <f>IFERROR(INDEX('الحضور'!$N$3:$N$502,MATCH(30,'الحضور'!$Q$3:$Q$502,0)),"")</f>
        <v/>
      </c>
      <c r="H36" s="50">
        <f>IFERROR(INDEX('الحضور'!$O$3:$O$502,MATCH(30,'الحضور'!$Q$3:$Q$502,0)),"")</f>
        <v/>
      </c>
    </row>
    <row r="37">
      <c r="A37" s="43">
        <f>IFERROR(INDEX('الحضور'!$A$3:$A$502,MATCH(31,'الحضور'!$Q$3:$Q$502,0)),"")</f>
        <v/>
      </c>
      <c r="B37" s="43">
        <f>IFERROR(INDEX('الحضور'!$B$3:$B$502,MATCH(31,'الحضور'!$Q$3:$Q$502,0)),"")</f>
        <v/>
      </c>
      <c r="C37" s="118">
        <f>IFERROR(INDEX('الحضور'!$C$3:$C$502,MATCH(31,'الحضور'!$Q$3:$Q$502,0)),"")</f>
        <v/>
      </c>
      <c r="D37" s="115">
        <f>IFERROR(INDEX('الحضور'!$E$3:$E$502,MATCH(31,'الحضور'!$Q$3:$Q$502,0)),"")</f>
        <v/>
      </c>
      <c r="E37" s="115">
        <f>IFERROR(INDEX('الحضور'!$G$3:$G$502,MATCH(31,'الحضور'!$Q$3:$Q$502,0)),"")</f>
        <v/>
      </c>
      <c r="F37" s="55">
        <f>IFERROR(INDEX('الحضور'!$K$3:$K$502,MATCH(31,'الحضور'!$Q$3:$Q$502,0)),"")</f>
        <v/>
      </c>
      <c r="G37" s="43">
        <f>IFERROR(INDEX('الحضور'!$N$3:$N$502,MATCH(31,'الحضور'!$Q$3:$Q$502,0)),"")</f>
        <v/>
      </c>
      <c r="H37" s="43">
        <f>IFERROR(INDEX('الحضور'!$O$3:$O$502,MATCH(31,'الحضور'!$Q$3:$Q$502,0)),"")</f>
        <v/>
      </c>
    </row>
    <row r="38">
      <c r="A38" s="50">
        <f>IFERROR(INDEX('الحضور'!$A$3:$A$502,MATCH(32,'الحضور'!$Q$3:$Q$502,0)),"")</f>
        <v/>
      </c>
      <c r="B38" s="50">
        <f>IFERROR(INDEX('الحضور'!$B$3:$B$502,MATCH(32,'الحضور'!$Q$3:$Q$502,0)),"")</f>
        <v/>
      </c>
      <c r="C38" s="119">
        <f>IFERROR(INDEX('الحضور'!$C$3:$C$502,MATCH(32,'الحضور'!$Q$3:$Q$502,0)),"")</f>
        <v/>
      </c>
      <c r="D38" s="117">
        <f>IFERROR(INDEX('الحضور'!$E$3:$E$502,MATCH(32,'الحضور'!$Q$3:$Q$502,0)),"")</f>
        <v/>
      </c>
      <c r="E38" s="117">
        <f>IFERROR(INDEX('الحضور'!$G$3:$G$502,MATCH(32,'الحضور'!$Q$3:$Q$502,0)),"")</f>
        <v/>
      </c>
      <c r="F38" s="58">
        <f>IFERROR(INDEX('الحضور'!$K$3:$K$502,MATCH(32,'الحضور'!$Q$3:$Q$502,0)),"")</f>
        <v/>
      </c>
      <c r="G38" s="50">
        <f>IFERROR(INDEX('الحضور'!$N$3:$N$502,MATCH(32,'الحضور'!$Q$3:$Q$502,0)),"")</f>
        <v/>
      </c>
      <c r="H38" s="50">
        <f>IFERROR(INDEX('الحضور'!$O$3:$O$502,MATCH(32,'الحضور'!$Q$3:$Q$502,0)),"")</f>
        <v/>
      </c>
    </row>
    <row r="39">
      <c r="A39" s="43">
        <f>IFERROR(INDEX('الحضور'!$A$3:$A$502,MATCH(33,'الحضور'!$Q$3:$Q$502,0)),"")</f>
        <v/>
      </c>
      <c r="B39" s="43">
        <f>IFERROR(INDEX('الحضور'!$B$3:$B$502,MATCH(33,'الحضور'!$Q$3:$Q$502,0)),"")</f>
        <v/>
      </c>
      <c r="C39" s="118">
        <f>IFERROR(INDEX('الحضور'!$C$3:$C$502,MATCH(33,'الحضور'!$Q$3:$Q$502,0)),"")</f>
        <v/>
      </c>
      <c r="D39" s="115">
        <f>IFERROR(INDEX('الحضور'!$E$3:$E$502,MATCH(33,'الحضور'!$Q$3:$Q$502,0)),"")</f>
        <v/>
      </c>
      <c r="E39" s="115">
        <f>IFERROR(INDEX('الحضور'!$G$3:$G$502,MATCH(33,'الحضور'!$Q$3:$Q$502,0)),"")</f>
        <v/>
      </c>
      <c r="F39" s="55">
        <f>IFERROR(INDEX('الحضور'!$K$3:$K$502,MATCH(33,'الحضور'!$Q$3:$Q$502,0)),"")</f>
        <v/>
      </c>
      <c r="G39" s="43">
        <f>IFERROR(INDEX('الحضور'!$N$3:$N$502,MATCH(33,'الحضور'!$Q$3:$Q$502,0)),"")</f>
        <v/>
      </c>
      <c r="H39" s="43">
        <f>IFERROR(INDEX('الحضور'!$O$3:$O$502,MATCH(33,'الحضور'!$Q$3:$Q$502,0)),"")</f>
        <v/>
      </c>
    </row>
    <row r="40">
      <c r="A40" s="50">
        <f>IFERROR(INDEX('الحضور'!$A$3:$A$502,MATCH(34,'الحضور'!$Q$3:$Q$502,0)),"")</f>
        <v/>
      </c>
      <c r="B40" s="50">
        <f>IFERROR(INDEX('الحضور'!$B$3:$B$502,MATCH(34,'الحضور'!$Q$3:$Q$502,0)),"")</f>
        <v/>
      </c>
      <c r="C40" s="119">
        <f>IFERROR(INDEX('الحضور'!$C$3:$C$502,MATCH(34,'الحضور'!$Q$3:$Q$502,0)),"")</f>
        <v/>
      </c>
      <c r="D40" s="117">
        <f>IFERROR(INDEX('الحضور'!$E$3:$E$502,MATCH(34,'الحضور'!$Q$3:$Q$502,0)),"")</f>
        <v/>
      </c>
      <c r="E40" s="117">
        <f>IFERROR(INDEX('الحضور'!$G$3:$G$502,MATCH(34,'الحضور'!$Q$3:$Q$502,0)),"")</f>
        <v/>
      </c>
      <c r="F40" s="58">
        <f>IFERROR(INDEX('الحضور'!$K$3:$K$502,MATCH(34,'الحضور'!$Q$3:$Q$502,0)),"")</f>
        <v/>
      </c>
      <c r="G40" s="50">
        <f>IFERROR(INDEX('الحضور'!$N$3:$N$502,MATCH(34,'الحضور'!$Q$3:$Q$502,0)),"")</f>
        <v/>
      </c>
      <c r="H40" s="50">
        <f>IFERROR(INDEX('الحضور'!$O$3:$O$502,MATCH(34,'الحضور'!$Q$3:$Q$502,0)),"")</f>
        <v/>
      </c>
    </row>
    <row r="41">
      <c r="A41" s="43">
        <f>IFERROR(INDEX('الحضور'!$A$3:$A$502,MATCH(35,'الحضور'!$Q$3:$Q$502,0)),"")</f>
        <v/>
      </c>
      <c r="B41" s="43">
        <f>IFERROR(INDEX('الحضور'!$B$3:$B$502,MATCH(35,'الحضور'!$Q$3:$Q$502,0)),"")</f>
        <v/>
      </c>
      <c r="C41" s="118">
        <f>IFERROR(INDEX('الحضور'!$C$3:$C$502,MATCH(35,'الحضور'!$Q$3:$Q$502,0)),"")</f>
        <v/>
      </c>
      <c r="D41" s="115">
        <f>IFERROR(INDEX('الحضور'!$E$3:$E$502,MATCH(35,'الحضور'!$Q$3:$Q$502,0)),"")</f>
        <v/>
      </c>
      <c r="E41" s="115">
        <f>IFERROR(INDEX('الحضور'!$G$3:$G$502,MATCH(35,'الحضور'!$Q$3:$Q$502,0)),"")</f>
        <v/>
      </c>
      <c r="F41" s="55">
        <f>IFERROR(INDEX('الحضور'!$K$3:$K$502,MATCH(35,'الحضور'!$Q$3:$Q$502,0)),"")</f>
        <v/>
      </c>
      <c r="G41" s="43">
        <f>IFERROR(INDEX('الحضور'!$N$3:$N$502,MATCH(35,'الحضور'!$Q$3:$Q$502,0)),"")</f>
        <v/>
      </c>
      <c r="H41" s="43">
        <f>IFERROR(INDEX('الحضور'!$O$3:$O$502,MATCH(35,'الحضور'!$Q$3:$Q$502,0)),"")</f>
        <v/>
      </c>
    </row>
    <row r="42">
      <c r="A42" s="50">
        <f>IFERROR(INDEX('الحضور'!$A$3:$A$502,MATCH(36,'الحضور'!$Q$3:$Q$502,0)),"")</f>
        <v/>
      </c>
      <c r="B42" s="50">
        <f>IFERROR(INDEX('الحضور'!$B$3:$B$502,MATCH(36,'الحضور'!$Q$3:$Q$502,0)),"")</f>
        <v/>
      </c>
      <c r="C42" s="119">
        <f>IFERROR(INDEX('الحضور'!$C$3:$C$502,MATCH(36,'الحضور'!$Q$3:$Q$502,0)),"")</f>
        <v/>
      </c>
      <c r="D42" s="117">
        <f>IFERROR(INDEX('الحضور'!$E$3:$E$502,MATCH(36,'الحضور'!$Q$3:$Q$502,0)),"")</f>
        <v/>
      </c>
      <c r="E42" s="117">
        <f>IFERROR(INDEX('الحضور'!$G$3:$G$502,MATCH(36,'الحضور'!$Q$3:$Q$502,0)),"")</f>
        <v/>
      </c>
      <c r="F42" s="58">
        <f>IFERROR(INDEX('الحضور'!$K$3:$K$502,MATCH(36,'الحضور'!$Q$3:$Q$502,0)),"")</f>
        <v/>
      </c>
      <c r="G42" s="50">
        <f>IFERROR(INDEX('الحضور'!$N$3:$N$502,MATCH(36,'الحضور'!$Q$3:$Q$502,0)),"")</f>
        <v/>
      </c>
      <c r="H42" s="50">
        <f>IFERROR(INDEX('الحضور'!$O$3:$O$502,MATCH(36,'الحضور'!$Q$3:$Q$502,0)),"")</f>
        <v/>
      </c>
    </row>
    <row r="43">
      <c r="A43" s="43">
        <f>IFERROR(INDEX('الحضور'!$A$3:$A$502,MATCH(37,'الحضور'!$Q$3:$Q$502,0)),"")</f>
        <v/>
      </c>
      <c r="B43" s="43">
        <f>IFERROR(INDEX('الحضور'!$B$3:$B$502,MATCH(37,'الحضور'!$Q$3:$Q$502,0)),"")</f>
        <v/>
      </c>
      <c r="C43" s="118">
        <f>IFERROR(INDEX('الحضور'!$C$3:$C$502,MATCH(37,'الحضور'!$Q$3:$Q$502,0)),"")</f>
        <v/>
      </c>
      <c r="D43" s="115">
        <f>IFERROR(INDEX('الحضور'!$E$3:$E$502,MATCH(37,'الحضور'!$Q$3:$Q$502,0)),"")</f>
        <v/>
      </c>
      <c r="E43" s="115">
        <f>IFERROR(INDEX('الحضور'!$G$3:$G$502,MATCH(37,'الحضور'!$Q$3:$Q$502,0)),"")</f>
        <v/>
      </c>
      <c r="F43" s="55">
        <f>IFERROR(INDEX('الحضور'!$K$3:$K$502,MATCH(37,'الحضور'!$Q$3:$Q$502,0)),"")</f>
        <v/>
      </c>
      <c r="G43" s="43">
        <f>IFERROR(INDEX('الحضور'!$N$3:$N$502,MATCH(37,'الحضور'!$Q$3:$Q$502,0)),"")</f>
        <v/>
      </c>
      <c r="H43" s="43">
        <f>IFERROR(INDEX('الحضور'!$O$3:$O$502,MATCH(37,'الحضور'!$Q$3:$Q$502,0)),"")</f>
        <v/>
      </c>
    </row>
    <row r="44">
      <c r="A44" s="50">
        <f>IFERROR(INDEX('الحضور'!$A$3:$A$502,MATCH(38,'الحضور'!$Q$3:$Q$502,0)),"")</f>
        <v/>
      </c>
      <c r="B44" s="50">
        <f>IFERROR(INDEX('الحضور'!$B$3:$B$502,MATCH(38,'الحضور'!$Q$3:$Q$502,0)),"")</f>
        <v/>
      </c>
      <c r="C44" s="119">
        <f>IFERROR(INDEX('الحضور'!$C$3:$C$502,MATCH(38,'الحضور'!$Q$3:$Q$502,0)),"")</f>
        <v/>
      </c>
      <c r="D44" s="117">
        <f>IFERROR(INDEX('الحضور'!$E$3:$E$502,MATCH(38,'الحضور'!$Q$3:$Q$502,0)),"")</f>
        <v/>
      </c>
      <c r="E44" s="117">
        <f>IFERROR(INDEX('الحضور'!$G$3:$G$502,MATCH(38,'الحضور'!$Q$3:$Q$502,0)),"")</f>
        <v/>
      </c>
      <c r="F44" s="58">
        <f>IFERROR(INDEX('الحضور'!$K$3:$K$502,MATCH(38,'الحضور'!$Q$3:$Q$502,0)),"")</f>
        <v/>
      </c>
      <c r="G44" s="50">
        <f>IFERROR(INDEX('الحضور'!$N$3:$N$502,MATCH(38,'الحضور'!$Q$3:$Q$502,0)),"")</f>
        <v/>
      </c>
      <c r="H44" s="50">
        <f>IFERROR(INDEX('الحضور'!$O$3:$O$502,MATCH(38,'الحضور'!$Q$3:$Q$502,0)),"")</f>
        <v/>
      </c>
    </row>
    <row r="45">
      <c r="A45" s="43">
        <f>IFERROR(INDEX('الحضور'!$A$3:$A$502,MATCH(39,'الحضور'!$Q$3:$Q$502,0)),"")</f>
        <v/>
      </c>
      <c r="B45" s="43">
        <f>IFERROR(INDEX('الحضور'!$B$3:$B$502,MATCH(39,'الحضور'!$Q$3:$Q$502,0)),"")</f>
        <v/>
      </c>
      <c r="C45" s="118">
        <f>IFERROR(INDEX('الحضور'!$C$3:$C$502,MATCH(39,'الحضور'!$Q$3:$Q$502,0)),"")</f>
        <v/>
      </c>
      <c r="D45" s="115">
        <f>IFERROR(INDEX('الحضور'!$E$3:$E$502,MATCH(39,'الحضور'!$Q$3:$Q$502,0)),"")</f>
        <v/>
      </c>
      <c r="E45" s="115">
        <f>IFERROR(INDEX('الحضور'!$G$3:$G$502,MATCH(39,'الحضور'!$Q$3:$Q$502,0)),"")</f>
        <v/>
      </c>
      <c r="F45" s="55">
        <f>IFERROR(INDEX('الحضور'!$K$3:$K$502,MATCH(39,'الحضور'!$Q$3:$Q$502,0)),"")</f>
        <v/>
      </c>
      <c r="G45" s="43">
        <f>IFERROR(INDEX('الحضور'!$N$3:$N$502,MATCH(39,'الحضور'!$Q$3:$Q$502,0)),"")</f>
        <v/>
      </c>
      <c r="H45" s="43">
        <f>IFERROR(INDEX('الحضور'!$O$3:$O$502,MATCH(39,'الحضور'!$Q$3:$Q$502,0)),"")</f>
        <v/>
      </c>
    </row>
    <row r="46">
      <c r="A46" s="50">
        <f>IFERROR(INDEX('الحضور'!$A$3:$A$502,MATCH(40,'الحضور'!$Q$3:$Q$502,0)),"")</f>
        <v/>
      </c>
      <c r="B46" s="50">
        <f>IFERROR(INDEX('الحضور'!$B$3:$B$502,MATCH(40,'الحضور'!$Q$3:$Q$502,0)),"")</f>
        <v/>
      </c>
      <c r="C46" s="119">
        <f>IFERROR(INDEX('الحضور'!$C$3:$C$502,MATCH(40,'الحضور'!$Q$3:$Q$502,0)),"")</f>
        <v/>
      </c>
      <c r="D46" s="117">
        <f>IFERROR(INDEX('الحضور'!$E$3:$E$502,MATCH(40,'الحضور'!$Q$3:$Q$502,0)),"")</f>
        <v/>
      </c>
      <c r="E46" s="117">
        <f>IFERROR(INDEX('الحضور'!$G$3:$G$502,MATCH(40,'الحضور'!$Q$3:$Q$502,0)),"")</f>
        <v/>
      </c>
      <c r="F46" s="58">
        <f>IFERROR(INDEX('الحضور'!$K$3:$K$502,MATCH(40,'الحضور'!$Q$3:$Q$502,0)),"")</f>
        <v/>
      </c>
      <c r="G46" s="50">
        <f>IFERROR(INDEX('الحضور'!$N$3:$N$502,MATCH(40,'الحضور'!$Q$3:$Q$502,0)),"")</f>
        <v/>
      </c>
      <c r="H46" s="50">
        <f>IFERROR(INDEX('الحضور'!$O$3:$O$502,MATCH(40,'الحضور'!$Q$3:$Q$502,0)),"")</f>
        <v/>
      </c>
    </row>
    <row r="47">
      <c r="A47" s="43">
        <f>IFERROR(INDEX('الحضور'!$A$3:$A$502,MATCH(41,'الحضور'!$Q$3:$Q$502,0)),"")</f>
        <v/>
      </c>
      <c r="B47" s="43">
        <f>IFERROR(INDEX('الحضور'!$B$3:$B$502,MATCH(41,'الحضور'!$Q$3:$Q$502,0)),"")</f>
        <v/>
      </c>
      <c r="C47" s="118">
        <f>IFERROR(INDEX('الحضور'!$C$3:$C$502,MATCH(41,'الحضور'!$Q$3:$Q$502,0)),"")</f>
        <v/>
      </c>
      <c r="D47" s="115">
        <f>IFERROR(INDEX('الحضور'!$E$3:$E$502,MATCH(41,'الحضور'!$Q$3:$Q$502,0)),"")</f>
        <v/>
      </c>
      <c r="E47" s="115">
        <f>IFERROR(INDEX('الحضور'!$G$3:$G$502,MATCH(41,'الحضور'!$Q$3:$Q$502,0)),"")</f>
        <v/>
      </c>
      <c r="F47" s="55">
        <f>IFERROR(INDEX('الحضور'!$K$3:$K$502,MATCH(41,'الحضور'!$Q$3:$Q$502,0)),"")</f>
        <v/>
      </c>
      <c r="G47" s="43">
        <f>IFERROR(INDEX('الحضور'!$N$3:$N$502,MATCH(41,'الحضور'!$Q$3:$Q$502,0)),"")</f>
        <v/>
      </c>
      <c r="H47" s="43">
        <f>IFERROR(INDEX('الحضور'!$O$3:$O$502,MATCH(41,'الحضور'!$Q$3:$Q$502,0)),"")</f>
        <v/>
      </c>
    </row>
    <row r="48">
      <c r="A48" s="50">
        <f>IFERROR(INDEX('الحضور'!$A$3:$A$502,MATCH(42,'الحضور'!$Q$3:$Q$502,0)),"")</f>
        <v/>
      </c>
      <c r="B48" s="50">
        <f>IFERROR(INDEX('الحضور'!$B$3:$B$502,MATCH(42,'الحضور'!$Q$3:$Q$502,0)),"")</f>
        <v/>
      </c>
      <c r="C48" s="119">
        <f>IFERROR(INDEX('الحضور'!$C$3:$C$502,MATCH(42,'الحضور'!$Q$3:$Q$502,0)),"")</f>
        <v/>
      </c>
      <c r="D48" s="117">
        <f>IFERROR(INDEX('الحضور'!$E$3:$E$502,MATCH(42,'الحضور'!$Q$3:$Q$502,0)),"")</f>
        <v/>
      </c>
      <c r="E48" s="117">
        <f>IFERROR(INDEX('الحضور'!$G$3:$G$502,MATCH(42,'الحضور'!$Q$3:$Q$502,0)),"")</f>
        <v/>
      </c>
      <c r="F48" s="58">
        <f>IFERROR(INDEX('الحضور'!$K$3:$K$502,MATCH(42,'الحضور'!$Q$3:$Q$502,0)),"")</f>
        <v/>
      </c>
      <c r="G48" s="50">
        <f>IFERROR(INDEX('الحضور'!$N$3:$N$502,MATCH(42,'الحضور'!$Q$3:$Q$502,0)),"")</f>
        <v/>
      </c>
      <c r="H48" s="50">
        <f>IFERROR(INDEX('الحضور'!$O$3:$O$502,MATCH(42,'الحضور'!$Q$3:$Q$502,0)),"")</f>
        <v/>
      </c>
    </row>
    <row r="49">
      <c r="A49" s="43">
        <f>IFERROR(INDEX('الحضور'!$A$3:$A$502,MATCH(43,'الحضور'!$Q$3:$Q$502,0)),"")</f>
        <v/>
      </c>
      <c r="B49" s="43">
        <f>IFERROR(INDEX('الحضور'!$B$3:$B$502,MATCH(43,'الحضور'!$Q$3:$Q$502,0)),"")</f>
        <v/>
      </c>
      <c r="C49" s="118">
        <f>IFERROR(INDEX('الحضور'!$C$3:$C$502,MATCH(43,'الحضور'!$Q$3:$Q$502,0)),"")</f>
        <v/>
      </c>
      <c r="D49" s="115">
        <f>IFERROR(INDEX('الحضور'!$E$3:$E$502,MATCH(43,'الحضور'!$Q$3:$Q$502,0)),"")</f>
        <v/>
      </c>
      <c r="E49" s="115">
        <f>IFERROR(INDEX('الحضور'!$G$3:$G$502,MATCH(43,'الحضور'!$Q$3:$Q$502,0)),"")</f>
        <v/>
      </c>
      <c r="F49" s="55">
        <f>IFERROR(INDEX('الحضور'!$K$3:$K$502,MATCH(43,'الحضور'!$Q$3:$Q$502,0)),"")</f>
        <v/>
      </c>
      <c r="G49" s="43">
        <f>IFERROR(INDEX('الحضور'!$N$3:$N$502,MATCH(43,'الحضور'!$Q$3:$Q$502,0)),"")</f>
        <v/>
      </c>
      <c r="H49" s="43">
        <f>IFERROR(INDEX('الحضور'!$O$3:$O$502,MATCH(43,'الحضور'!$Q$3:$Q$502,0)),"")</f>
        <v/>
      </c>
    </row>
    <row r="50">
      <c r="A50" s="50">
        <f>IFERROR(INDEX('الحضور'!$A$3:$A$502,MATCH(44,'الحضور'!$Q$3:$Q$502,0)),"")</f>
        <v/>
      </c>
      <c r="B50" s="50">
        <f>IFERROR(INDEX('الحضور'!$B$3:$B$502,MATCH(44,'الحضور'!$Q$3:$Q$502,0)),"")</f>
        <v/>
      </c>
      <c r="C50" s="119">
        <f>IFERROR(INDEX('الحضور'!$C$3:$C$502,MATCH(44,'الحضور'!$Q$3:$Q$502,0)),"")</f>
        <v/>
      </c>
      <c r="D50" s="117">
        <f>IFERROR(INDEX('الحضور'!$E$3:$E$502,MATCH(44,'الحضور'!$Q$3:$Q$502,0)),"")</f>
        <v/>
      </c>
      <c r="E50" s="117">
        <f>IFERROR(INDEX('الحضور'!$G$3:$G$502,MATCH(44,'الحضور'!$Q$3:$Q$502,0)),"")</f>
        <v/>
      </c>
      <c r="F50" s="58">
        <f>IFERROR(INDEX('الحضور'!$K$3:$K$502,MATCH(44,'الحضور'!$Q$3:$Q$502,0)),"")</f>
        <v/>
      </c>
      <c r="G50" s="50">
        <f>IFERROR(INDEX('الحضور'!$N$3:$N$502,MATCH(44,'الحضور'!$Q$3:$Q$502,0)),"")</f>
        <v/>
      </c>
      <c r="H50" s="50">
        <f>IFERROR(INDEX('الحضور'!$O$3:$O$502,MATCH(44,'الحضور'!$Q$3:$Q$502,0)),"")</f>
        <v/>
      </c>
    </row>
    <row r="51">
      <c r="A51" s="43">
        <f>IFERROR(INDEX('الحضور'!$A$3:$A$502,MATCH(45,'الحضور'!$Q$3:$Q$502,0)),"")</f>
        <v/>
      </c>
      <c r="B51" s="43">
        <f>IFERROR(INDEX('الحضور'!$B$3:$B$502,MATCH(45,'الحضور'!$Q$3:$Q$502,0)),"")</f>
        <v/>
      </c>
      <c r="C51" s="118">
        <f>IFERROR(INDEX('الحضور'!$C$3:$C$502,MATCH(45,'الحضور'!$Q$3:$Q$502,0)),"")</f>
        <v/>
      </c>
      <c r="D51" s="115">
        <f>IFERROR(INDEX('الحضور'!$E$3:$E$502,MATCH(45,'الحضور'!$Q$3:$Q$502,0)),"")</f>
        <v/>
      </c>
      <c r="E51" s="115">
        <f>IFERROR(INDEX('الحضور'!$G$3:$G$502,MATCH(45,'الحضور'!$Q$3:$Q$502,0)),"")</f>
        <v/>
      </c>
      <c r="F51" s="55">
        <f>IFERROR(INDEX('الحضور'!$K$3:$K$502,MATCH(45,'الحضور'!$Q$3:$Q$502,0)),"")</f>
        <v/>
      </c>
      <c r="G51" s="43">
        <f>IFERROR(INDEX('الحضور'!$N$3:$N$502,MATCH(45,'الحضور'!$Q$3:$Q$502,0)),"")</f>
        <v/>
      </c>
      <c r="H51" s="43">
        <f>IFERROR(INDEX('الحضور'!$O$3:$O$502,MATCH(45,'الحضور'!$Q$3:$Q$502,0)),"")</f>
        <v/>
      </c>
    </row>
    <row r="52">
      <c r="A52" s="50">
        <f>IFERROR(INDEX('الحضور'!$A$3:$A$502,MATCH(46,'الحضور'!$Q$3:$Q$502,0)),"")</f>
        <v/>
      </c>
      <c r="B52" s="50">
        <f>IFERROR(INDEX('الحضور'!$B$3:$B$502,MATCH(46,'الحضور'!$Q$3:$Q$502,0)),"")</f>
        <v/>
      </c>
      <c r="C52" s="119">
        <f>IFERROR(INDEX('الحضور'!$C$3:$C$502,MATCH(46,'الحضور'!$Q$3:$Q$502,0)),"")</f>
        <v/>
      </c>
      <c r="D52" s="117">
        <f>IFERROR(INDEX('الحضور'!$E$3:$E$502,MATCH(46,'الحضور'!$Q$3:$Q$502,0)),"")</f>
        <v/>
      </c>
      <c r="E52" s="117">
        <f>IFERROR(INDEX('الحضور'!$G$3:$G$502,MATCH(46,'الحضور'!$Q$3:$Q$502,0)),"")</f>
        <v/>
      </c>
      <c r="F52" s="58">
        <f>IFERROR(INDEX('الحضور'!$K$3:$K$502,MATCH(46,'الحضور'!$Q$3:$Q$502,0)),"")</f>
        <v/>
      </c>
      <c r="G52" s="50">
        <f>IFERROR(INDEX('الحضور'!$N$3:$N$502,MATCH(46,'الحضور'!$Q$3:$Q$502,0)),"")</f>
        <v/>
      </c>
      <c r="H52" s="50">
        <f>IFERROR(INDEX('الحضور'!$O$3:$O$502,MATCH(46,'الحضور'!$Q$3:$Q$502,0)),"")</f>
        <v/>
      </c>
    </row>
    <row r="53">
      <c r="A53" s="43">
        <f>IFERROR(INDEX('الحضور'!$A$3:$A$502,MATCH(47,'الحضور'!$Q$3:$Q$502,0)),"")</f>
        <v/>
      </c>
      <c r="B53" s="43">
        <f>IFERROR(INDEX('الحضور'!$B$3:$B$502,MATCH(47,'الحضور'!$Q$3:$Q$502,0)),"")</f>
        <v/>
      </c>
      <c r="C53" s="118">
        <f>IFERROR(INDEX('الحضور'!$C$3:$C$502,MATCH(47,'الحضور'!$Q$3:$Q$502,0)),"")</f>
        <v/>
      </c>
      <c r="D53" s="115">
        <f>IFERROR(INDEX('الحضور'!$E$3:$E$502,MATCH(47,'الحضور'!$Q$3:$Q$502,0)),"")</f>
        <v/>
      </c>
      <c r="E53" s="115">
        <f>IFERROR(INDEX('الحضور'!$G$3:$G$502,MATCH(47,'الحضور'!$Q$3:$Q$502,0)),"")</f>
        <v/>
      </c>
      <c r="F53" s="55">
        <f>IFERROR(INDEX('الحضور'!$K$3:$K$502,MATCH(47,'الحضور'!$Q$3:$Q$502,0)),"")</f>
        <v/>
      </c>
      <c r="G53" s="43">
        <f>IFERROR(INDEX('الحضور'!$N$3:$N$502,MATCH(47,'الحضور'!$Q$3:$Q$502,0)),"")</f>
        <v/>
      </c>
      <c r="H53" s="43">
        <f>IFERROR(INDEX('الحضور'!$O$3:$O$502,MATCH(47,'الحضور'!$Q$3:$Q$502,0)),"")</f>
        <v/>
      </c>
    </row>
    <row r="54">
      <c r="A54" s="50">
        <f>IFERROR(INDEX('الحضور'!$A$3:$A$502,MATCH(48,'الحضور'!$Q$3:$Q$502,0)),"")</f>
        <v/>
      </c>
      <c r="B54" s="50">
        <f>IFERROR(INDEX('الحضور'!$B$3:$B$502,MATCH(48,'الحضور'!$Q$3:$Q$502,0)),"")</f>
        <v/>
      </c>
      <c r="C54" s="119">
        <f>IFERROR(INDEX('الحضور'!$C$3:$C$502,MATCH(48,'الحضور'!$Q$3:$Q$502,0)),"")</f>
        <v/>
      </c>
      <c r="D54" s="117">
        <f>IFERROR(INDEX('الحضور'!$E$3:$E$502,MATCH(48,'الحضور'!$Q$3:$Q$502,0)),"")</f>
        <v/>
      </c>
      <c r="E54" s="117">
        <f>IFERROR(INDEX('الحضور'!$G$3:$G$502,MATCH(48,'الحضور'!$Q$3:$Q$502,0)),"")</f>
        <v/>
      </c>
      <c r="F54" s="58">
        <f>IFERROR(INDEX('الحضور'!$K$3:$K$502,MATCH(48,'الحضور'!$Q$3:$Q$502,0)),"")</f>
        <v/>
      </c>
      <c r="G54" s="50">
        <f>IFERROR(INDEX('الحضور'!$N$3:$N$502,MATCH(48,'الحضور'!$Q$3:$Q$502,0)),"")</f>
        <v/>
      </c>
      <c r="H54" s="50">
        <f>IFERROR(INDEX('الحضور'!$O$3:$O$502,MATCH(48,'الحضور'!$Q$3:$Q$502,0)),"")</f>
        <v/>
      </c>
    </row>
    <row r="55">
      <c r="A55" s="43">
        <f>IFERROR(INDEX('الحضور'!$A$3:$A$502,MATCH(49,'الحضور'!$Q$3:$Q$502,0)),"")</f>
        <v/>
      </c>
      <c r="B55" s="43">
        <f>IFERROR(INDEX('الحضور'!$B$3:$B$502,MATCH(49,'الحضور'!$Q$3:$Q$502,0)),"")</f>
        <v/>
      </c>
      <c r="C55" s="118">
        <f>IFERROR(INDEX('الحضور'!$C$3:$C$502,MATCH(49,'الحضور'!$Q$3:$Q$502,0)),"")</f>
        <v/>
      </c>
      <c r="D55" s="115">
        <f>IFERROR(INDEX('الحضور'!$E$3:$E$502,MATCH(49,'الحضور'!$Q$3:$Q$502,0)),"")</f>
        <v/>
      </c>
      <c r="E55" s="115">
        <f>IFERROR(INDEX('الحضور'!$G$3:$G$502,MATCH(49,'الحضور'!$Q$3:$Q$502,0)),"")</f>
        <v/>
      </c>
      <c r="F55" s="55">
        <f>IFERROR(INDEX('الحضور'!$K$3:$K$502,MATCH(49,'الحضور'!$Q$3:$Q$502,0)),"")</f>
        <v/>
      </c>
      <c r="G55" s="43">
        <f>IFERROR(INDEX('الحضور'!$N$3:$N$502,MATCH(49,'الحضور'!$Q$3:$Q$502,0)),"")</f>
        <v/>
      </c>
      <c r="H55" s="43">
        <f>IFERROR(INDEX('الحضور'!$O$3:$O$502,MATCH(49,'الحضور'!$Q$3:$Q$502,0)),"")</f>
        <v/>
      </c>
    </row>
    <row r="56">
      <c r="A56" s="50">
        <f>IFERROR(INDEX('الحضور'!$A$3:$A$502,MATCH(50,'الحضور'!$Q$3:$Q$502,0)),"")</f>
        <v/>
      </c>
      <c r="B56" s="50">
        <f>IFERROR(INDEX('الحضور'!$B$3:$B$502,MATCH(50,'الحضور'!$Q$3:$Q$502,0)),"")</f>
        <v/>
      </c>
      <c r="C56" s="119">
        <f>IFERROR(INDEX('الحضور'!$C$3:$C$502,MATCH(50,'الحضور'!$Q$3:$Q$502,0)),"")</f>
        <v/>
      </c>
      <c r="D56" s="117">
        <f>IFERROR(INDEX('الحضور'!$E$3:$E$502,MATCH(50,'الحضور'!$Q$3:$Q$502,0)),"")</f>
        <v/>
      </c>
      <c r="E56" s="117">
        <f>IFERROR(INDEX('الحضور'!$G$3:$G$502,MATCH(50,'الحضور'!$Q$3:$Q$502,0)),"")</f>
        <v/>
      </c>
      <c r="F56" s="58">
        <f>IFERROR(INDEX('الحضور'!$K$3:$K$502,MATCH(50,'الحضور'!$Q$3:$Q$502,0)),"")</f>
        <v/>
      </c>
      <c r="G56" s="50">
        <f>IFERROR(INDEX('الحضور'!$N$3:$N$502,MATCH(50,'الحضور'!$Q$3:$Q$502,0)),"")</f>
        <v/>
      </c>
      <c r="H56" s="50">
        <f>IFERROR(INDEX('الحضور'!$O$3:$O$502,MATCH(50,'الحضور'!$Q$3:$Q$502,0)),"")</f>
        <v/>
      </c>
    </row>
    <row r="57">
      <c r="A57" s="43">
        <f>IFERROR(INDEX('الحضور'!$A$3:$A$502,MATCH(51,'الحضور'!$Q$3:$Q$502,0)),"")</f>
        <v/>
      </c>
      <c r="B57" s="43">
        <f>IFERROR(INDEX('الحضور'!$B$3:$B$502,MATCH(51,'الحضور'!$Q$3:$Q$502,0)),"")</f>
        <v/>
      </c>
      <c r="C57" s="118">
        <f>IFERROR(INDEX('الحضور'!$C$3:$C$502,MATCH(51,'الحضور'!$Q$3:$Q$502,0)),"")</f>
        <v/>
      </c>
      <c r="D57" s="115">
        <f>IFERROR(INDEX('الحضور'!$E$3:$E$502,MATCH(51,'الحضور'!$Q$3:$Q$502,0)),"")</f>
        <v/>
      </c>
      <c r="E57" s="115">
        <f>IFERROR(INDEX('الحضور'!$G$3:$G$502,MATCH(51,'الحضور'!$Q$3:$Q$502,0)),"")</f>
        <v/>
      </c>
      <c r="F57" s="55">
        <f>IFERROR(INDEX('الحضور'!$K$3:$K$502,MATCH(51,'الحضور'!$Q$3:$Q$502,0)),"")</f>
        <v/>
      </c>
      <c r="G57" s="43">
        <f>IFERROR(INDEX('الحضور'!$N$3:$N$502,MATCH(51,'الحضور'!$Q$3:$Q$502,0)),"")</f>
        <v/>
      </c>
      <c r="H57" s="43">
        <f>IFERROR(INDEX('الحضور'!$O$3:$O$502,MATCH(51,'الحضور'!$Q$3:$Q$502,0)),"")</f>
        <v/>
      </c>
    </row>
    <row r="58">
      <c r="A58" s="50">
        <f>IFERROR(INDEX('الحضور'!$A$3:$A$502,MATCH(52,'الحضور'!$Q$3:$Q$502,0)),"")</f>
        <v/>
      </c>
      <c r="B58" s="50">
        <f>IFERROR(INDEX('الحضور'!$B$3:$B$502,MATCH(52,'الحضور'!$Q$3:$Q$502,0)),"")</f>
        <v/>
      </c>
      <c r="C58" s="119">
        <f>IFERROR(INDEX('الحضور'!$C$3:$C$502,MATCH(52,'الحضور'!$Q$3:$Q$502,0)),"")</f>
        <v/>
      </c>
      <c r="D58" s="117">
        <f>IFERROR(INDEX('الحضور'!$E$3:$E$502,MATCH(52,'الحضور'!$Q$3:$Q$502,0)),"")</f>
        <v/>
      </c>
      <c r="E58" s="117">
        <f>IFERROR(INDEX('الحضور'!$G$3:$G$502,MATCH(52,'الحضور'!$Q$3:$Q$502,0)),"")</f>
        <v/>
      </c>
      <c r="F58" s="58">
        <f>IFERROR(INDEX('الحضور'!$K$3:$K$502,MATCH(52,'الحضور'!$Q$3:$Q$502,0)),"")</f>
        <v/>
      </c>
      <c r="G58" s="50">
        <f>IFERROR(INDEX('الحضور'!$N$3:$N$502,MATCH(52,'الحضور'!$Q$3:$Q$502,0)),"")</f>
        <v/>
      </c>
      <c r="H58" s="50">
        <f>IFERROR(INDEX('الحضور'!$O$3:$O$502,MATCH(52,'الحضور'!$Q$3:$Q$502,0)),"")</f>
        <v/>
      </c>
    </row>
    <row r="59">
      <c r="A59" s="43">
        <f>IFERROR(INDEX('الحضور'!$A$3:$A$502,MATCH(53,'الحضور'!$Q$3:$Q$502,0)),"")</f>
        <v/>
      </c>
      <c r="B59" s="43">
        <f>IFERROR(INDEX('الحضور'!$B$3:$B$502,MATCH(53,'الحضور'!$Q$3:$Q$502,0)),"")</f>
        <v/>
      </c>
      <c r="C59" s="118">
        <f>IFERROR(INDEX('الحضور'!$C$3:$C$502,MATCH(53,'الحضور'!$Q$3:$Q$502,0)),"")</f>
        <v/>
      </c>
      <c r="D59" s="115">
        <f>IFERROR(INDEX('الحضور'!$E$3:$E$502,MATCH(53,'الحضور'!$Q$3:$Q$502,0)),"")</f>
        <v/>
      </c>
      <c r="E59" s="115">
        <f>IFERROR(INDEX('الحضور'!$G$3:$G$502,MATCH(53,'الحضور'!$Q$3:$Q$502,0)),"")</f>
        <v/>
      </c>
      <c r="F59" s="55">
        <f>IFERROR(INDEX('الحضور'!$K$3:$K$502,MATCH(53,'الحضور'!$Q$3:$Q$502,0)),"")</f>
        <v/>
      </c>
      <c r="G59" s="43">
        <f>IFERROR(INDEX('الحضور'!$N$3:$N$502,MATCH(53,'الحضور'!$Q$3:$Q$502,0)),"")</f>
        <v/>
      </c>
      <c r="H59" s="43">
        <f>IFERROR(INDEX('الحضور'!$O$3:$O$502,MATCH(53,'الحضور'!$Q$3:$Q$502,0)),"")</f>
        <v/>
      </c>
    </row>
    <row r="60">
      <c r="A60" s="50">
        <f>IFERROR(INDEX('الحضور'!$A$3:$A$502,MATCH(54,'الحضور'!$Q$3:$Q$502,0)),"")</f>
        <v/>
      </c>
      <c r="B60" s="50">
        <f>IFERROR(INDEX('الحضور'!$B$3:$B$502,MATCH(54,'الحضور'!$Q$3:$Q$502,0)),"")</f>
        <v/>
      </c>
      <c r="C60" s="119">
        <f>IFERROR(INDEX('الحضور'!$C$3:$C$502,MATCH(54,'الحضور'!$Q$3:$Q$502,0)),"")</f>
        <v/>
      </c>
      <c r="D60" s="117">
        <f>IFERROR(INDEX('الحضور'!$E$3:$E$502,MATCH(54,'الحضور'!$Q$3:$Q$502,0)),"")</f>
        <v/>
      </c>
      <c r="E60" s="117">
        <f>IFERROR(INDEX('الحضور'!$G$3:$G$502,MATCH(54,'الحضور'!$Q$3:$Q$502,0)),"")</f>
        <v/>
      </c>
      <c r="F60" s="58">
        <f>IFERROR(INDEX('الحضور'!$K$3:$K$502,MATCH(54,'الحضور'!$Q$3:$Q$502,0)),"")</f>
        <v/>
      </c>
      <c r="G60" s="50">
        <f>IFERROR(INDEX('الحضور'!$N$3:$N$502,MATCH(54,'الحضور'!$Q$3:$Q$502,0)),"")</f>
        <v/>
      </c>
      <c r="H60" s="50">
        <f>IFERROR(INDEX('الحضور'!$O$3:$O$502,MATCH(54,'الحضور'!$Q$3:$Q$502,0)),"")</f>
        <v/>
      </c>
    </row>
    <row r="61">
      <c r="A61" s="43">
        <f>IFERROR(INDEX('الحضور'!$A$3:$A$502,MATCH(55,'الحضور'!$Q$3:$Q$502,0)),"")</f>
        <v/>
      </c>
      <c r="B61" s="43">
        <f>IFERROR(INDEX('الحضور'!$B$3:$B$502,MATCH(55,'الحضور'!$Q$3:$Q$502,0)),"")</f>
        <v/>
      </c>
      <c r="C61" s="118">
        <f>IFERROR(INDEX('الحضور'!$C$3:$C$502,MATCH(55,'الحضور'!$Q$3:$Q$502,0)),"")</f>
        <v/>
      </c>
      <c r="D61" s="115">
        <f>IFERROR(INDEX('الحضور'!$E$3:$E$502,MATCH(55,'الحضور'!$Q$3:$Q$502,0)),"")</f>
        <v/>
      </c>
      <c r="E61" s="115">
        <f>IFERROR(INDEX('الحضور'!$G$3:$G$502,MATCH(55,'الحضور'!$Q$3:$Q$502,0)),"")</f>
        <v/>
      </c>
      <c r="F61" s="55">
        <f>IFERROR(INDEX('الحضور'!$K$3:$K$502,MATCH(55,'الحضور'!$Q$3:$Q$502,0)),"")</f>
        <v/>
      </c>
      <c r="G61" s="43">
        <f>IFERROR(INDEX('الحضور'!$N$3:$N$502,MATCH(55,'الحضور'!$Q$3:$Q$502,0)),"")</f>
        <v/>
      </c>
      <c r="H61" s="43">
        <f>IFERROR(INDEX('الحضور'!$O$3:$O$502,MATCH(55,'الحضور'!$Q$3:$Q$502,0)),"")</f>
        <v/>
      </c>
    </row>
    <row r="62">
      <c r="A62" s="50">
        <f>IFERROR(INDEX('الحضور'!$A$3:$A$502,MATCH(56,'الحضور'!$Q$3:$Q$502,0)),"")</f>
        <v/>
      </c>
      <c r="B62" s="50">
        <f>IFERROR(INDEX('الحضور'!$B$3:$B$502,MATCH(56,'الحضور'!$Q$3:$Q$502,0)),"")</f>
        <v/>
      </c>
      <c r="C62" s="119">
        <f>IFERROR(INDEX('الحضور'!$C$3:$C$502,MATCH(56,'الحضور'!$Q$3:$Q$502,0)),"")</f>
        <v/>
      </c>
      <c r="D62" s="117">
        <f>IFERROR(INDEX('الحضور'!$E$3:$E$502,MATCH(56,'الحضور'!$Q$3:$Q$502,0)),"")</f>
        <v/>
      </c>
      <c r="E62" s="117">
        <f>IFERROR(INDEX('الحضور'!$G$3:$G$502,MATCH(56,'الحضور'!$Q$3:$Q$502,0)),"")</f>
        <v/>
      </c>
      <c r="F62" s="58">
        <f>IFERROR(INDEX('الحضور'!$K$3:$K$502,MATCH(56,'الحضور'!$Q$3:$Q$502,0)),"")</f>
        <v/>
      </c>
      <c r="G62" s="50">
        <f>IFERROR(INDEX('الحضور'!$N$3:$N$502,MATCH(56,'الحضور'!$Q$3:$Q$502,0)),"")</f>
        <v/>
      </c>
      <c r="H62" s="50">
        <f>IFERROR(INDEX('الحضور'!$O$3:$O$502,MATCH(56,'الحضور'!$Q$3:$Q$502,0)),"")</f>
        <v/>
      </c>
    </row>
    <row r="63">
      <c r="A63" s="43">
        <f>IFERROR(INDEX('الحضور'!$A$3:$A$502,MATCH(57,'الحضور'!$Q$3:$Q$502,0)),"")</f>
        <v/>
      </c>
      <c r="B63" s="43">
        <f>IFERROR(INDEX('الحضور'!$B$3:$B$502,MATCH(57,'الحضور'!$Q$3:$Q$502,0)),"")</f>
        <v/>
      </c>
      <c r="C63" s="118">
        <f>IFERROR(INDEX('الحضور'!$C$3:$C$502,MATCH(57,'الحضور'!$Q$3:$Q$502,0)),"")</f>
        <v/>
      </c>
      <c r="D63" s="115">
        <f>IFERROR(INDEX('الحضور'!$E$3:$E$502,MATCH(57,'الحضور'!$Q$3:$Q$502,0)),"")</f>
        <v/>
      </c>
      <c r="E63" s="115">
        <f>IFERROR(INDEX('الحضور'!$G$3:$G$502,MATCH(57,'الحضور'!$Q$3:$Q$502,0)),"")</f>
        <v/>
      </c>
      <c r="F63" s="55">
        <f>IFERROR(INDEX('الحضور'!$K$3:$K$502,MATCH(57,'الحضور'!$Q$3:$Q$502,0)),"")</f>
        <v/>
      </c>
      <c r="G63" s="43">
        <f>IFERROR(INDEX('الحضور'!$N$3:$N$502,MATCH(57,'الحضور'!$Q$3:$Q$502,0)),"")</f>
        <v/>
      </c>
      <c r="H63" s="43">
        <f>IFERROR(INDEX('الحضور'!$O$3:$O$502,MATCH(57,'الحضور'!$Q$3:$Q$502,0)),"")</f>
        <v/>
      </c>
    </row>
    <row r="64">
      <c r="A64" s="50">
        <f>IFERROR(INDEX('الحضور'!$A$3:$A$502,MATCH(58,'الحضور'!$Q$3:$Q$502,0)),"")</f>
        <v/>
      </c>
      <c r="B64" s="50">
        <f>IFERROR(INDEX('الحضور'!$B$3:$B$502,MATCH(58,'الحضور'!$Q$3:$Q$502,0)),"")</f>
        <v/>
      </c>
      <c r="C64" s="119">
        <f>IFERROR(INDEX('الحضور'!$C$3:$C$502,MATCH(58,'الحضور'!$Q$3:$Q$502,0)),"")</f>
        <v/>
      </c>
      <c r="D64" s="117">
        <f>IFERROR(INDEX('الحضور'!$E$3:$E$502,MATCH(58,'الحضور'!$Q$3:$Q$502,0)),"")</f>
        <v/>
      </c>
      <c r="E64" s="117">
        <f>IFERROR(INDEX('الحضور'!$G$3:$G$502,MATCH(58,'الحضور'!$Q$3:$Q$502,0)),"")</f>
        <v/>
      </c>
      <c r="F64" s="58">
        <f>IFERROR(INDEX('الحضور'!$K$3:$K$502,MATCH(58,'الحضور'!$Q$3:$Q$502,0)),"")</f>
        <v/>
      </c>
      <c r="G64" s="50">
        <f>IFERROR(INDEX('الحضور'!$N$3:$N$502,MATCH(58,'الحضور'!$Q$3:$Q$502,0)),"")</f>
        <v/>
      </c>
      <c r="H64" s="50">
        <f>IFERROR(INDEX('الحضور'!$O$3:$O$502,MATCH(58,'الحضور'!$Q$3:$Q$502,0)),"")</f>
        <v/>
      </c>
    </row>
    <row r="65">
      <c r="A65" s="43">
        <f>IFERROR(INDEX('الحضور'!$A$3:$A$502,MATCH(59,'الحضور'!$Q$3:$Q$502,0)),"")</f>
        <v/>
      </c>
      <c r="B65" s="43">
        <f>IFERROR(INDEX('الحضور'!$B$3:$B$502,MATCH(59,'الحضور'!$Q$3:$Q$502,0)),"")</f>
        <v/>
      </c>
      <c r="C65" s="118">
        <f>IFERROR(INDEX('الحضور'!$C$3:$C$502,MATCH(59,'الحضور'!$Q$3:$Q$502,0)),"")</f>
        <v/>
      </c>
      <c r="D65" s="115">
        <f>IFERROR(INDEX('الحضور'!$E$3:$E$502,MATCH(59,'الحضور'!$Q$3:$Q$502,0)),"")</f>
        <v/>
      </c>
      <c r="E65" s="115">
        <f>IFERROR(INDEX('الحضور'!$G$3:$G$502,MATCH(59,'الحضور'!$Q$3:$Q$502,0)),"")</f>
        <v/>
      </c>
      <c r="F65" s="55">
        <f>IFERROR(INDEX('الحضور'!$K$3:$K$502,MATCH(59,'الحضور'!$Q$3:$Q$502,0)),"")</f>
        <v/>
      </c>
      <c r="G65" s="43">
        <f>IFERROR(INDEX('الحضور'!$N$3:$N$502,MATCH(59,'الحضور'!$Q$3:$Q$502,0)),"")</f>
        <v/>
      </c>
      <c r="H65" s="43">
        <f>IFERROR(INDEX('الحضور'!$O$3:$O$502,MATCH(59,'الحضور'!$Q$3:$Q$502,0)),"")</f>
        <v/>
      </c>
    </row>
    <row r="66">
      <c r="A66" s="50">
        <f>IFERROR(INDEX('الحضور'!$A$3:$A$502,MATCH(60,'الحضور'!$Q$3:$Q$502,0)),"")</f>
        <v/>
      </c>
      <c r="B66" s="50">
        <f>IFERROR(INDEX('الحضور'!$B$3:$B$502,MATCH(60,'الحضور'!$Q$3:$Q$502,0)),"")</f>
        <v/>
      </c>
      <c r="C66" s="119">
        <f>IFERROR(INDEX('الحضور'!$C$3:$C$502,MATCH(60,'الحضور'!$Q$3:$Q$502,0)),"")</f>
        <v/>
      </c>
      <c r="D66" s="117">
        <f>IFERROR(INDEX('الحضور'!$E$3:$E$502,MATCH(60,'الحضور'!$Q$3:$Q$502,0)),"")</f>
        <v/>
      </c>
      <c r="E66" s="117">
        <f>IFERROR(INDEX('الحضور'!$G$3:$G$502,MATCH(60,'الحضور'!$Q$3:$Q$502,0)),"")</f>
        <v/>
      </c>
      <c r="F66" s="58">
        <f>IFERROR(INDEX('الحضور'!$K$3:$K$502,MATCH(60,'الحضور'!$Q$3:$Q$502,0)),"")</f>
        <v/>
      </c>
      <c r="G66" s="50">
        <f>IFERROR(INDEX('الحضور'!$N$3:$N$502,MATCH(60,'الحضور'!$Q$3:$Q$502,0)),"")</f>
        <v/>
      </c>
      <c r="H66" s="50">
        <f>IFERROR(INDEX('الحضور'!$O$3:$O$502,MATCH(60,'الحضور'!$Q$3:$Q$502,0)),"")</f>
        <v/>
      </c>
    </row>
    <row r="67">
      <c r="A67" s="43">
        <f>IFERROR(INDEX('الحضور'!$A$3:$A$502,MATCH(61,'الحضور'!$Q$3:$Q$502,0)),"")</f>
        <v/>
      </c>
      <c r="B67" s="43">
        <f>IFERROR(INDEX('الحضور'!$B$3:$B$502,MATCH(61,'الحضور'!$Q$3:$Q$502,0)),"")</f>
        <v/>
      </c>
      <c r="C67" s="118">
        <f>IFERROR(INDEX('الحضور'!$C$3:$C$502,MATCH(61,'الحضور'!$Q$3:$Q$502,0)),"")</f>
        <v/>
      </c>
      <c r="D67" s="115">
        <f>IFERROR(INDEX('الحضور'!$E$3:$E$502,MATCH(61,'الحضور'!$Q$3:$Q$502,0)),"")</f>
        <v/>
      </c>
      <c r="E67" s="115">
        <f>IFERROR(INDEX('الحضور'!$G$3:$G$502,MATCH(61,'الحضور'!$Q$3:$Q$502,0)),"")</f>
        <v/>
      </c>
      <c r="F67" s="55">
        <f>IFERROR(INDEX('الحضور'!$K$3:$K$502,MATCH(61,'الحضور'!$Q$3:$Q$502,0)),"")</f>
        <v/>
      </c>
      <c r="G67" s="43">
        <f>IFERROR(INDEX('الحضور'!$N$3:$N$502,MATCH(61,'الحضور'!$Q$3:$Q$502,0)),"")</f>
        <v/>
      </c>
      <c r="H67" s="43">
        <f>IFERROR(INDEX('الحضور'!$O$3:$O$502,MATCH(61,'الحضور'!$Q$3:$Q$502,0)),"")</f>
        <v/>
      </c>
    </row>
    <row r="68">
      <c r="A68" s="50">
        <f>IFERROR(INDEX('الحضور'!$A$3:$A$502,MATCH(62,'الحضور'!$Q$3:$Q$502,0)),"")</f>
        <v/>
      </c>
      <c r="B68" s="50">
        <f>IFERROR(INDEX('الحضور'!$B$3:$B$502,MATCH(62,'الحضور'!$Q$3:$Q$502,0)),"")</f>
        <v/>
      </c>
      <c r="C68" s="119">
        <f>IFERROR(INDEX('الحضور'!$C$3:$C$502,MATCH(62,'الحضور'!$Q$3:$Q$502,0)),"")</f>
        <v/>
      </c>
      <c r="D68" s="117">
        <f>IFERROR(INDEX('الحضور'!$E$3:$E$502,MATCH(62,'الحضور'!$Q$3:$Q$502,0)),"")</f>
        <v/>
      </c>
      <c r="E68" s="117">
        <f>IFERROR(INDEX('الحضور'!$G$3:$G$502,MATCH(62,'الحضور'!$Q$3:$Q$502,0)),"")</f>
        <v/>
      </c>
      <c r="F68" s="58">
        <f>IFERROR(INDEX('الحضور'!$K$3:$K$502,MATCH(62,'الحضور'!$Q$3:$Q$502,0)),"")</f>
        <v/>
      </c>
      <c r="G68" s="50">
        <f>IFERROR(INDEX('الحضور'!$N$3:$N$502,MATCH(62,'الحضور'!$Q$3:$Q$502,0)),"")</f>
        <v/>
      </c>
      <c r="H68" s="50">
        <f>IFERROR(INDEX('الحضور'!$O$3:$O$502,MATCH(62,'الحضور'!$Q$3:$Q$502,0)),"")</f>
        <v/>
      </c>
    </row>
    <row r="69">
      <c r="A69" s="43">
        <f>IFERROR(INDEX('الحضور'!$A$3:$A$502,MATCH(63,'الحضور'!$Q$3:$Q$502,0)),"")</f>
        <v/>
      </c>
      <c r="B69" s="43">
        <f>IFERROR(INDEX('الحضور'!$B$3:$B$502,MATCH(63,'الحضور'!$Q$3:$Q$502,0)),"")</f>
        <v/>
      </c>
      <c r="C69" s="118">
        <f>IFERROR(INDEX('الحضور'!$C$3:$C$502,MATCH(63,'الحضور'!$Q$3:$Q$502,0)),"")</f>
        <v/>
      </c>
      <c r="D69" s="115">
        <f>IFERROR(INDEX('الحضور'!$E$3:$E$502,MATCH(63,'الحضور'!$Q$3:$Q$502,0)),"")</f>
        <v/>
      </c>
      <c r="E69" s="115">
        <f>IFERROR(INDEX('الحضور'!$G$3:$G$502,MATCH(63,'الحضور'!$Q$3:$Q$502,0)),"")</f>
        <v/>
      </c>
      <c r="F69" s="55">
        <f>IFERROR(INDEX('الحضور'!$K$3:$K$502,MATCH(63,'الحضور'!$Q$3:$Q$502,0)),"")</f>
        <v/>
      </c>
      <c r="G69" s="43">
        <f>IFERROR(INDEX('الحضور'!$N$3:$N$502,MATCH(63,'الحضور'!$Q$3:$Q$502,0)),"")</f>
        <v/>
      </c>
      <c r="H69" s="43">
        <f>IFERROR(INDEX('الحضور'!$O$3:$O$502,MATCH(63,'الحضور'!$Q$3:$Q$502,0)),"")</f>
        <v/>
      </c>
    </row>
    <row r="70">
      <c r="A70" s="50">
        <f>IFERROR(INDEX('الحضور'!$A$3:$A$502,MATCH(64,'الحضور'!$Q$3:$Q$502,0)),"")</f>
        <v/>
      </c>
      <c r="B70" s="50">
        <f>IFERROR(INDEX('الحضور'!$B$3:$B$502,MATCH(64,'الحضور'!$Q$3:$Q$502,0)),"")</f>
        <v/>
      </c>
      <c r="C70" s="119">
        <f>IFERROR(INDEX('الحضور'!$C$3:$C$502,MATCH(64,'الحضور'!$Q$3:$Q$502,0)),"")</f>
        <v/>
      </c>
      <c r="D70" s="117">
        <f>IFERROR(INDEX('الحضور'!$E$3:$E$502,MATCH(64,'الحضور'!$Q$3:$Q$502,0)),"")</f>
        <v/>
      </c>
      <c r="E70" s="117">
        <f>IFERROR(INDEX('الحضور'!$G$3:$G$502,MATCH(64,'الحضور'!$Q$3:$Q$502,0)),"")</f>
        <v/>
      </c>
      <c r="F70" s="58">
        <f>IFERROR(INDEX('الحضور'!$K$3:$K$502,MATCH(64,'الحضور'!$Q$3:$Q$502,0)),"")</f>
        <v/>
      </c>
      <c r="G70" s="50">
        <f>IFERROR(INDEX('الحضور'!$N$3:$N$502,MATCH(64,'الحضور'!$Q$3:$Q$502,0)),"")</f>
        <v/>
      </c>
      <c r="H70" s="50">
        <f>IFERROR(INDEX('الحضور'!$O$3:$O$502,MATCH(64,'الحضور'!$Q$3:$Q$502,0)),"")</f>
        <v/>
      </c>
    </row>
    <row r="71">
      <c r="A71" s="43">
        <f>IFERROR(INDEX('الحضور'!$A$3:$A$502,MATCH(65,'الحضور'!$Q$3:$Q$502,0)),"")</f>
        <v/>
      </c>
      <c r="B71" s="43">
        <f>IFERROR(INDEX('الحضور'!$B$3:$B$502,MATCH(65,'الحضور'!$Q$3:$Q$502,0)),"")</f>
        <v/>
      </c>
      <c r="C71" s="118">
        <f>IFERROR(INDEX('الحضور'!$C$3:$C$502,MATCH(65,'الحضور'!$Q$3:$Q$502,0)),"")</f>
        <v/>
      </c>
      <c r="D71" s="115">
        <f>IFERROR(INDEX('الحضور'!$E$3:$E$502,MATCH(65,'الحضور'!$Q$3:$Q$502,0)),"")</f>
        <v/>
      </c>
      <c r="E71" s="115">
        <f>IFERROR(INDEX('الحضور'!$G$3:$G$502,MATCH(65,'الحضور'!$Q$3:$Q$502,0)),"")</f>
        <v/>
      </c>
      <c r="F71" s="55">
        <f>IFERROR(INDEX('الحضور'!$K$3:$K$502,MATCH(65,'الحضور'!$Q$3:$Q$502,0)),"")</f>
        <v/>
      </c>
      <c r="G71" s="43">
        <f>IFERROR(INDEX('الحضور'!$N$3:$N$502,MATCH(65,'الحضور'!$Q$3:$Q$502,0)),"")</f>
        <v/>
      </c>
      <c r="H71" s="43">
        <f>IFERROR(INDEX('الحضور'!$O$3:$O$502,MATCH(65,'الحضور'!$Q$3:$Q$502,0)),"")</f>
        <v/>
      </c>
    </row>
    <row r="72">
      <c r="A72" s="50">
        <f>IFERROR(INDEX('الحضور'!$A$3:$A$502,MATCH(66,'الحضور'!$Q$3:$Q$502,0)),"")</f>
        <v/>
      </c>
      <c r="B72" s="50">
        <f>IFERROR(INDEX('الحضور'!$B$3:$B$502,MATCH(66,'الحضور'!$Q$3:$Q$502,0)),"")</f>
        <v/>
      </c>
      <c r="C72" s="119">
        <f>IFERROR(INDEX('الحضور'!$C$3:$C$502,MATCH(66,'الحضور'!$Q$3:$Q$502,0)),"")</f>
        <v/>
      </c>
      <c r="D72" s="117">
        <f>IFERROR(INDEX('الحضور'!$E$3:$E$502,MATCH(66,'الحضور'!$Q$3:$Q$502,0)),"")</f>
        <v/>
      </c>
      <c r="E72" s="117">
        <f>IFERROR(INDEX('الحضور'!$G$3:$G$502,MATCH(66,'الحضور'!$Q$3:$Q$502,0)),"")</f>
        <v/>
      </c>
      <c r="F72" s="58">
        <f>IFERROR(INDEX('الحضور'!$K$3:$K$502,MATCH(66,'الحضور'!$Q$3:$Q$502,0)),"")</f>
        <v/>
      </c>
      <c r="G72" s="50">
        <f>IFERROR(INDEX('الحضور'!$N$3:$N$502,MATCH(66,'الحضور'!$Q$3:$Q$502,0)),"")</f>
        <v/>
      </c>
      <c r="H72" s="50">
        <f>IFERROR(INDEX('الحضور'!$O$3:$O$502,MATCH(66,'الحضور'!$Q$3:$Q$502,0)),"")</f>
        <v/>
      </c>
    </row>
    <row r="73">
      <c r="A73" s="43">
        <f>IFERROR(INDEX('الحضور'!$A$3:$A$502,MATCH(67,'الحضور'!$Q$3:$Q$502,0)),"")</f>
        <v/>
      </c>
      <c r="B73" s="43">
        <f>IFERROR(INDEX('الحضور'!$B$3:$B$502,MATCH(67,'الحضور'!$Q$3:$Q$502,0)),"")</f>
        <v/>
      </c>
      <c r="C73" s="118">
        <f>IFERROR(INDEX('الحضور'!$C$3:$C$502,MATCH(67,'الحضور'!$Q$3:$Q$502,0)),"")</f>
        <v/>
      </c>
      <c r="D73" s="115">
        <f>IFERROR(INDEX('الحضور'!$E$3:$E$502,MATCH(67,'الحضور'!$Q$3:$Q$502,0)),"")</f>
        <v/>
      </c>
      <c r="E73" s="115">
        <f>IFERROR(INDEX('الحضور'!$G$3:$G$502,MATCH(67,'الحضور'!$Q$3:$Q$502,0)),"")</f>
        <v/>
      </c>
      <c r="F73" s="55">
        <f>IFERROR(INDEX('الحضور'!$K$3:$K$502,MATCH(67,'الحضور'!$Q$3:$Q$502,0)),"")</f>
        <v/>
      </c>
      <c r="G73" s="43">
        <f>IFERROR(INDEX('الحضور'!$N$3:$N$502,MATCH(67,'الحضور'!$Q$3:$Q$502,0)),"")</f>
        <v/>
      </c>
      <c r="H73" s="43">
        <f>IFERROR(INDEX('الحضور'!$O$3:$O$502,MATCH(67,'الحضور'!$Q$3:$Q$502,0)),"")</f>
        <v/>
      </c>
    </row>
    <row r="74">
      <c r="A74" s="50">
        <f>IFERROR(INDEX('الحضور'!$A$3:$A$502,MATCH(68,'الحضور'!$Q$3:$Q$502,0)),"")</f>
        <v/>
      </c>
      <c r="B74" s="50">
        <f>IFERROR(INDEX('الحضور'!$B$3:$B$502,MATCH(68,'الحضور'!$Q$3:$Q$502,0)),"")</f>
        <v/>
      </c>
      <c r="C74" s="119">
        <f>IFERROR(INDEX('الحضور'!$C$3:$C$502,MATCH(68,'الحضور'!$Q$3:$Q$502,0)),"")</f>
        <v/>
      </c>
      <c r="D74" s="117">
        <f>IFERROR(INDEX('الحضور'!$E$3:$E$502,MATCH(68,'الحضور'!$Q$3:$Q$502,0)),"")</f>
        <v/>
      </c>
      <c r="E74" s="117">
        <f>IFERROR(INDEX('الحضور'!$G$3:$G$502,MATCH(68,'الحضور'!$Q$3:$Q$502,0)),"")</f>
        <v/>
      </c>
      <c r="F74" s="58">
        <f>IFERROR(INDEX('الحضور'!$K$3:$K$502,MATCH(68,'الحضور'!$Q$3:$Q$502,0)),"")</f>
        <v/>
      </c>
      <c r="G74" s="50">
        <f>IFERROR(INDEX('الحضور'!$N$3:$N$502,MATCH(68,'الحضور'!$Q$3:$Q$502,0)),"")</f>
        <v/>
      </c>
      <c r="H74" s="50">
        <f>IFERROR(INDEX('الحضور'!$O$3:$O$502,MATCH(68,'الحضور'!$Q$3:$Q$502,0)),"")</f>
        <v/>
      </c>
    </row>
    <row r="75">
      <c r="A75" s="43">
        <f>IFERROR(INDEX('الحضور'!$A$3:$A$502,MATCH(69,'الحضور'!$Q$3:$Q$502,0)),"")</f>
        <v/>
      </c>
      <c r="B75" s="43">
        <f>IFERROR(INDEX('الحضور'!$B$3:$B$502,MATCH(69,'الحضور'!$Q$3:$Q$502,0)),"")</f>
        <v/>
      </c>
      <c r="C75" s="118">
        <f>IFERROR(INDEX('الحضور'!$C$3:$C$502,MATCH(69,'الحضور'!$Q$3:$Q$502,0)),"")</f>
        <v/>
      </c>
      <c r="D75" s="115">
        <f>IFERROR(INDEX('الحضور'!$E$3:$E$502,MATCH(69,'الحضور'!$Q$3:$Q$502,0)),"")</f>
        <v/>
      </c>
      <c r="E75" s="115">
        <f>IFERROR(INDEX('الحضور'!$G$3:$G$502,MATCH(69,'الحضور'!$Q$3:$Q$502,0)),"")</f>
        <v/>
      </c>
      <c r="F75" s="55">
        <f>IFERROR(INDEX('الحضور'!$K$3:$K$502,MATCH(69,'الحضور'!$Q$3:$Q$502,0)),"")</f>
        <v/>
      </c>
      <c r="G75" s="43">
        <f>IFERROR(INDEX('الحضور'!$N$3:$N$502,MATCH(69,'الحضور'!$Q$3:$Q$502,0)),"")</f>
        <v/>
      </c>
      <c r="H75" s="43">
        <f>IFERROR(INDEX('الحضور'!$O$3:$O$502,MATCH(69,'الحضور'!$Q$3:$Q$502,0)),"")</f>
        <v/>
      </c>
    </row>
    <row r="76">
      <c r="A76" s="50">
        <f>IFERROR(INDEX('الحضور'!$A$3:$A$502,MATCH(70,'الحضور'!$Q$3:$Q$502,0)),"")</f>
        <v/>
      </c>
      <c r="B76" s="50">
        <f>IFERROR(INDEX('الحضور'!$B$3:$B$502,MATCH(70,'الحضور'!$Q$3:$Q$502,0)),"")</f>
        <v/>
      </c>
      <c r="C76" s="119">
        <f>IFERROR(INDEX('الحضور'!$C$3:$C$502,MATCH(70,'الحضور'!$Q$3:$Q$502,0)),"")</f>
        <v/>
      </c>
      <c r="D76" s="117">
        <f>IFERROR(INDEX('الحضور'!$E$3:$E$502,MATCH(70,'الحضور'!$Q$3:$Q$502,0)),"")</f>
        <v/>
      </c>
      <c r="E76" s="117">
        <f>IFERROR(INDEX('الحضور'!$G$3:$G$502,MATCH(70,'الحضور'!$Q$3:$Q$502,0)),"")</f>
        <v/>
      </c>
      <c r="F76" s="58">
        <f>IFERROR(INDEX('الحضور'!$K$3:$K$502,MATCH(70,'الحضور'!$Q$3:$Q$502,0)),"")</f>
        <v/>
      </c>
      <c r="G76" s="50">
        <f>IFERROR(INDEX('الحضور'!$N$3:$N$502,MATCH(70,'الحضور'!$Q$3:$Q$502,0)),"")</f>
        <v/>
      </c>
      <c r="H76" s="50">
        <f>IFERROR(INDEX('الحضور'!$O$3:$O$502,MATCH(70,'الحضور'!$Q$3:$Q$502,0)),"")</f>
        <v/>
      </c>
    </row>
    <row r="77">
      <c r="A77" s="43">
        <f>IFERROR(INDEX('الحضور'!$A$3:$A$502,MATCH(71,'الحضور'!$Q$3:$Q$502,0)),"")</f>
        <v/>
      </c>
      <c r="B77" s="43">
        <f>IFERROR(INDEX('الحضور'!$B$3:$B$502,MATCH(71,'الحضور'!$Q$3:$Q$502,0)),"")</f>
        <v/>
      </c>
      <c r="C77" s="118">
        <f>IFERROR(INDEX('الحضور'!$C$3:$C$502,MATCH(71,'الحضور'!$Q$3:$Q$502,0)),"")</f>
        <v/>
      </c>
      <c r="D77" s="115">
        <f>IFERROR(INDEX('الحضور'!$E$3:$E$502,MATCH(71,'الحضور'!$Q$3:$Q$502,0)),"")</f>
        <v/>
      </c>
      <c r="E77" s="115">
        <f>IFERROR(INDEX('الحضور'!$G$3:$G$502,MATCH(71,'الحضور'!$Q$3:$Q$502,0)),"")</f>
        <v/>
      </c>
      <c r="F77" s="55">
        <f>IFERROR(INDEX('الحضور'!$K$3:$K$502,MATCH(71,'الحضور'!$Q$3:$Q$502,0)),"")</f>
        <v/>
      </c>
      <c r="G77" s="43">
        <f>IFERROR(INDEX('الحضور'!$N$3:$N$502,MATCH(71,'الحضور'!$Q$3:$Q$502,0)),"")</f>
        <v/>
      </c>
      <c r="H77" s="43">
        <f>IFERROR(INDEX('الحضور'!$O$3:$O$502,MATCH(71,'الحضور'!$Q$3:$Q$502,0)),"")</f>
        <v/>
      </c>
    </row>
    <row r="78">
      <c r="A78" s="50">
        <f>IFERROR(INDEX('الحضور'!$A$3:$A$502,MATCH(72,'الحضور'!$Q$3:$Q$502,0)),"")</f>
        <v/>
      </c>
      <c r="B78" s="50">
        <f>IFERROR(INDEX('الحضور'!$B$3:$B$502,MATCH(72,'الحضور'!$Q$3:$Q$502,0)),"")</f>
        <v/>
      </c>
      <c r="C78" s="119">
        <f>IFERROR(INDEX('الحضور'!$C$3:$C$502,MATCH(72,'الحضور'!$Q$3:$Q$502,0)),"")</f>
        <v/>
      </c>
      <c r="D78" s="117">
        <f>IFERROR(INDEX('الحضور'!$E$3:$E$502,MATCH(72,'الحضور'!$Q$3:$Q$502,0)),"")</f>
        <v/>
      </c>
      <c r="E78" s="117">
        <f>IFERROR(INDEX('الحضور'!$G$3:$G$502,MATCH(72,'الحضور'!$Q$3:$Q$502,0)),"")</f>
        <v/>
      </c>
      <c r="F78" s="58">
        <f>IFERROR(INDEX('الحضور'!$K$3:$K$502,MATCH(72,'الحضور'!$Q$3:$Q$502,0)),"")</f>
        <v/>
      </c>
      <c r="G78" s="50">
        <f>IFERROR(INDEX('الحضور'!$N$3:$N$502,MATCH(72,'الحضور'!$Q$3:$Q$502,0)),"")</f>
        <v/>
      </c>
      <c r="H78" s="50">
        <f>IFERROR(INDEX('الحضور'!$O$3:$O$502,MATCH(72,'الحضور'!$Q$3:$Q$502,0)),"")</f>
        <v/>
      </c>
    </row>
    <row r="79">
      <c r="A79" s="43">
        <f>IFERROR(INDEX('الحضور'!$A$3:$A$502,MATCH(73,'الحضور'!$Q$3:$Q$502,0)),"")</f>
        <v/>
      </c>
      <c r="B79" s="43">
        <f>IFERROR(INDEX('الحضور'!$B$3:$B$502,MATCH(73,'الحضور'!$Q$3:$Q$502,0)),"")</f>
        <v/>
      </c>
      <c r="C79" s="118">
        <f>IFERROR(INDEX('الحضور'!$C$3:$C$502,MATCH(73,'الحضور'!$Q$3:$Q$502,0)),"")</f>
        <v/>
      </c>
      <c r="D79" s="115">
        <f>IFERROR(INDEX('الحضور'!$E$3:$E$502,MATCH(73,'الحضور'!$Q$3:$Q$502,0)),"")</f>
        <v/>
      </c>
      <c r="E79" s="115">
        <f>IFERROR(INDEX('الحضور'!$G$3:$G$502,MATCH(73,'الحضور'!$Q$3:$Q$502,0)),"")</f>
        <v/>
      </c>
      <c r="F79" s="55">
        <f>IFERROR(INDEX('الحضور'!$K$3:$K$502,MATCH(73,'الحضور'!$Q$3:$Q$502,0)),"")</f>
        <v/>
      </c>
      <c r="G79" s="43">
        <f>IFERROR(INDEX('الحضور'!$N$3:$N$502,MATCH(73,'الحضور'!$Q$3:$Q$502,0)),"")</f>
        <v/>
      </c>
      <c r="H79" s="43">
        <f>IFERROR(INDEX('الحضور'!$O$3:$O$502,MATCH(73,'الحضور'!$Q$3:$Q$502,0)),"")</f>
        <v/>
      </c>
    </row>
    <row r="80">
      <c r="A80" s="50">
        <f>IFERROR(INDEX('الحضور'!$A$3:$A$502,MATCH(74,'الحضور'!$Q$3:$Q$502,0)),"")</f>
        <v/>
      </c>
      <c r="B80" s="50">
        <f>IFERROR(INDEX('الحضور'!$B$3:$B$502,MATCH(74,'الحضور'!$Q$3:$Q$502,0)),"")</f>
        <v/>
      </c>
      <c r="C80" s="119">
        <f>IFERROR(INDEX('الحضور'!$C$3:$C$502,MATCH(74,'الحضور'!$Q$3:$Q$502,0)),"")</f>
        <v/>
      </c>
      <c r="D80" s="117">
        <f>IFERROR(INDEX('الحضور'!$E$3:$E$502,MATCH(74,'الحضور'!$Q$3:$Q$502,0)),"")</f>
        <v/>
      </c>
      <c r="E80" s="117">
        <f>IFERROR(INDEX('الحضور'!$G$3:$G$502,MATCH(74,'الحضور'!$Q$3:$Q$502,0)),"")</f>
        <v/>
      </c>
      <c r="F80" s="58">
        <f>IFERROR(INDEX('الحضور'!$K$3:$K$502,MATCH(74,'الحضور'!$Q$3:$Q$502,0)),"")</f>
        <v/>
      </c>
      <c r="G80" s="50">
        <f>IFERROR(INDEX('الحضور'!$N$3:$N$502,MATCH(74,'الحضور'!$Q$3:$Q$502,0)),"")</f>
        <v/>
      </c>
      <c r="H80" s="50">
        <f>IFERROR(INDEX('الحضور'!$O$3:$O$502,MATCH(74,'الحضور'!$Q$3:$Q$502,0)),"")</f>
        <v/>
      </c>
    </row>
    <row r="81">
      <c r="A81" s="43">
        <f>IFERROR(INDEX('الحضور'!$A$3:$A$502,MATCH(75,'الحضور'!$Q$3:$Q$502,0)),"")</f>
        <v/>
      </c>
      <c r="B81" s="43">
        <f>IFERROR(INDEX('الحضور'!$B$3:$B$502,MATCH(75,'الحضور'!$Q$3:$Q$502,0)),"")</f>
        <v/>
      </c>
      <c r="C81" s="118">
        <f>IFERROR(INDEX('الحضور'!$C$3:$C$502,MATCH(75,'الحضور'!$Q$3:$Q$502,0)),"")</f>
        <v/>
      </c>
      <c r="D81" s="115">
        <f>IFERROR(INDEX('الحضور'!$E$3:$E$502,MATCH(75,'الحضور'!$Q$3:$Q$502,0)),"")</f>
        <v/>
      </c>
      <c r="E81" s="115">
        <f>IFERROR(INDEX('الحضور'!$G$3:$G$502,MATCH(75,'الحضور'!$Q$3:$Q$502,0)),"")</f>
        <v/>
      </c>
      <c r="F81" s="55">
        <f>IFERROR(INDEX('الحضور'!$K$3:$K$502,MATCH(75,'الحضور'!$Q$3:$Q$502,0)),"")</f>
        <v/>
      </c>
      <c r="G81" s="43">
        <f>IFERROR(INDEX('الحضور'!$N$3:$N$502,MATCH(75,'الحضور'!$Q$3:$Q$502,0)),"")</f>
        <v/>
      </c>
      <c r="H81" s="43">
        <f>IFERROR(INDEX('الحضور'!$O$3:$O$502,MATCH(75,'الحضور'!$Q$3:$Q$502,0)),"")</f>
        <v/>
      </c>
    </row>
    <row r="82">
      <c r="A82" s="50">
        <f>IFERROR(INDEX('الحضور'!$A$3:$A$502,MATCH(76,'الحضور'!$Q$3:$Q$502,0)),"")</f>
        <v/>
      </c>
      <c r="B82" s="50">
        <f>IFERROR(INDEX('الحضور'!$B$3:$B$502,MATCH(76,'الحضور'!$Q$3:$Q$502,0)),"")</f>
        <v/>
      </c>
      <c r="C82" s="119">
        <f>IFERROR(INDEX('الحضور'!$C$3:$C$502,MATCH(76,'الحضور'!$Q$3:$Q$502,0)),"")</f>
        <v/>
      </c>
      <c r="D82" s="117">
        <f>IFERROR(INDEX('الحضور'!$E$3:$E$502,MATCH(76,'الحضور'!$Q$3:$Q$502,0)),"")</f>
        <v/>
      </c>
      <c r="E82" s="117">
        <f>IFERROR(INDEX('الحضور'!$G$3:$G$502,MATCH(76,'الحضور'!$Q$3:$Q$502,0)),"")</f>
        <v/>
      </c>
      <c r="F82" s="58">
        <f>IFERROR(INDEX('الحضور'!$K$3:$K$502,MATCH(76,'الحضور'!$Q$3:$Q$502,0)),"")</f>
        <v/>
      </c>
      <c r="G82" s="50">
        <f>IFERROR(INDEX('الحضور'!$N$3:$N$502,MATCH(76,'الحضور'!$Q$3:$Q$502,0)),"")</f>
        <v/>
      </c>
      <c r="H82" s="50">
        <f>IFERROR(INDEX('الحضور'!$O$3:$O$502,MATCH(76,'الحضور'!$Q$3:$Q$502,0)),"")</f>
        <v/>
      </c>
    </row>
    <row r="83">
      <c r="A83" s="43">
        <f>IFERROR(INDEX('الحضور'!$A$3:$A$502,MATCH(77,'الحضور'!$Q$3:$Q$502,0)),"")</f>
        <v/>
      </c>
      <c r="B83" s="43">
        <f>IFERROR(INDEX('الحضور'!$B$3:$B$502,MATCH(77,'الحضور'!$Q$3:$Q$502,0)),"")</f>
        <v/>
      </c>
      <c r="C83" s="118">
        <f>IFERROR(INDEX('الحضور'!$C$3:$C$502,MATCH(77,'الحضور'!$Q$3:$Q$502,0)),"")</f>
        <v/>
      </c>
      <c r="D83" s="115">
        <f>IFERROR(INDEX('الحضور'!$E$3:$E$502,MATCH(77,'الحضور'!$Q$3:$Q$502,0)),"")</f>
        <v/>
      </c>
      <c r="E83" s="115">
        <f>IFERROR(INDEX('الحضور'!$G$3:$G$502,MATCH(77,'الحضور'!$Q$3:$Q$502,0)),"")</f>
        <v/>
      </c>
      <c r="F83" s="55">
        <f>IFERROR(INDEX('الحضور'!$K$3:$K$502,MATCH(77,'الحضور'!$Q$3:$Q$502,0)),"")</f>
        <v/>
      </c>
      <c r="G83" s="43">
        <f>IFERROR(INDEX('الحضور'!$N$3:$N$502,MATCH(77,'الحضور'!$Q$3:$Q$502,0)),"")</f>
        <v/>
      </c>
      <c r="H83" s="43">
        <f>IFERROR(INDEX('الحضور'!$O$3:$O$502,MATCH(77,'الحضور'!$Q$3:$Q$502,0)),"")</f>
        <v/>
      </c>
    </row>
    <row r="84">
      <c r="A84" s="50">
        <f>IFERROR(INDEX('الحضور'!$A$3:$A$502,MATCH(78,'الحضور'!$Q$3:$Q$502,0)),"")</f>
        <v/>
      </c>
      <c r="B84" s="50">
        <f>IFERROR(INDEX('الحضور'!$B$3:$B$502,MATCH(78,'الحضور'!$Q$3:$Q$502,0)),"")</f>
        <v/>
      </c>
      <c r="C84" s="119">
        <f>IFERROR(INDEX('الحضور'!$C$3:$C$502,MATCH(78,'الحضور'!$Q$3:$Q$502,0)),"")</f>
        <v/>
      </c>
      <c r="D84" s="117">
        <f>IFERROR(INDEX('الحضور'!$E$3:$E$502,MATCH(78,'الحضور'!$Q$3:$Q$502,0)),"")</f>
        <v/>
      </c>
      <c r="E84" s="117">
        <f>IFERROR(INDEX('الحضور'!$G$3:$G$502,MATCH(78,'الحضور'!$Q$3:$Q$502,0)),"")</f>
        <v/>
      </c>
      <c r="F84" s="58">
        <f>IFERROR(INDEX('الحضور'!$K$3:$K$502,MATCH(78,'الحضور'!$Q$3:$Q$502,0)),"")</f>
        <v/>
      </c>
      <c r="G84" s="50">
        <f>IFERROR(INDEX('الحضور'!$N$3:$N$502,MATCH(78,'الحضور'!$Q$3:$Q$502,0)),"")</f>
        <v/>
      </c>
      <c r="H84" s="50">
        <f>IFERROR(INDEX('الحضور'!$O$3:$O$502,MATCH(78,'الحضور'!$Q$3:$Q$502,0)),"")</f>
        <v/>
      </c>
    </row>
    <row r="85">
      <c r="A85" s="43">
        <f>IFERROR(INDEX('الحضور'!$A$3:$A$502,MATCH(79,'الحضور'!$Q$3:$Q$502,0)),"")</f>
        <v/>
      </c>
      <c r="B85" s="43">
        <f>IFERROR(INDEX('الحضور'!$B$3:$B$502,MATCH(79,'الحضور'!$Q$3:$Q$502,0)),"")</f>
        <v/>
      </c>
      <c r="C85" s="118">
        <f>IFERROR(INDEX('الحضور'!$C$3:$C$502,MATCH(79,'الحضور'!$Q$3:$Q$502,0)),"")</f>
        <v/>
      </c>
      <c r="D85" s="115">
        <f>IFERROR(INDEX('الحضور'!$E$3:$E$502,MATCH(79,'الحضور'!$Q$3:$Q$502,0)),"")</f>
        <v/>
      </c>
      <c r="E85" s="115">
        <f>IFERROR(INDEX('الحضور'!$G$3:$G$502,MATCH(79,'الحضور'!$Q$3:$Q$502,0)),"")</f>
        <v/>
      </c>
      <c r="F85" s="55">
        <f>IFERROR(INDEX('الحضور'!$K$3:$K$502,MATCH(79,'الحضور'!$Q$3:$Q$502,0)),"")</f>
        <v/>
      </c>
      <c r="G85" s="43">
        <f>IFERROR(INDEX('الحضور'!$N$3:$N$502,MATCH(79,'الحضور'!$Q$3:$Q$502,0)),"")</f>
        <v/>
      </c>
      <c r="H85" s="43">
        <f>IFERROR(INDEX('الحضور'!$O$3:$O$502,MATCH(79,'الحضور'!$Q$3:$Q$502,0)),"")</f>
        <v/>
      </c>
    </row>
    <row r="86">
      <c r="A86" s="50">
        <f>IFERROR(INDEX('الحضور'!$A$3:$A$502,MATCH(80,'الحضور'!$Q$3:$Q$502,0)),"")</f>
        <v/>
      </c>
      <c r="B86" s="50">
        <f>IFERROR(INDEX('الحضور'!$B$3:$B$502,MATCH(80,'الحضور'!$Q$3:$Q$502,0)),"")</f>
        <v/>
      </c>
      <c r="C86" s="119">
        <f>IFERROR(INDEX('الحضور'!$C$3:$C$502,MATCH(80,'الحضور'!$Q$3:$Q$502,0)),"")</f>
        <v/>
      </c>
      <c r="D86" s="117">
        <f>IFERROR(INDEX('الحضور'!$E$3:$E$502,MATCH(80,'الحضور'!$Q$3:$Q$502,0)),"")</f>
        <v/>
      </c>
      <c r="E86" s="117">
        <f>IFERROR(INDEX('الحضور'!$G$3:$G$502,MATCH(80,'الحضور'!$Q$3:$Q$502,0)),"")</f>
        <v/>
      </c>
      <c r="F86" s="58">
        <f>IFERROR(INDEX('الحضور'!$K$3:$K$502,MATCH(80,'الحضور'!$Q$3:$Q$502,0)),"")</f>
        <v/>
      </c>
      <c r="G86" s="50">
        <f>IFERROR(INDEX('الحضور'!$N$3:$N$502,MATCH(80,'الحضور'!$Q$3:$Q$502,0)),"")</f>
        <v/>
      </c>
      <c r="H86" s="50">
        <f>IFERROR(INDEX('الحضور'!$O$3:$O$502,MATCH(80,'الحضور'!$Q$3:$Q$502,0)),"")</f>
        <v/>
      </c>
    </row>
    <row r="87">
      <c r="A87" s="43">
        <f>IFERROR(INDEX('الحضور'!$A$3:$A$502,MATCH(81,'الحضور'!$Q$3:$Q$502,0)),"")</f>
        <v/>
      </c>
      <c r="B87" s="43">
        <f>IFERROR(INDEX('الحضور'!$B$3:$B$502,MATCH(81,'الحضور'!$Q$3:$Q$502,0)),"")</f>
        <v/>
      </c>
      <c r="C87" s="118">
        <f>IFERROR(INDEX('الحضور'!$C$3:$C$502,MATCH(81,'الحضور'!$Q$3:$Q$502,0)),"")</f>
        <v/>
      </c>
      <c r="D87" s="115">
        <f>IFERROR(INDEX('الحضور'!$E$3:$E$502,MATCH(81,'الحضور'!$Q$3:$Q$502,0)),"")</f>
        <v/>
      </c>
      <c r="E87" s="115">
        <f>IFERROR(INDEX('الحضور'!$G$3:$G$502,MATCH(81,'الحضور'!$Q$3:$Q$502,0)),"")</f>
        <v/>
      </c>
      <c r="F87" s="55">
        <f>IFERROR(INDEX('الحضور'!$K$3:$K$502,MATCH(81,'الحضور'!$Q$3:$Q$502,0)),"")</f>
        <v/>
      </c>
      <c r="G87" s="43">
        <f>IFERROR(INDEX('الحضور'!$N$3:$N$502,MATCH(81,'الحضور'!$Q$3:$Q$502,0)),"")</f>
        <v/>
      </c>
      <c r="H87" s="43">
        <f>IFERROR(INDEX('الحضور'!$O$3:$O$502,MATCH(81,'الحضور'!$Q$3:$Q$502,0)),"")</f>
        <v/>
      </c>
    </row>
    <row r="88">
      <c r="A88" s="50">
        <f>IFERROR(INDEX('الحضور'!$A$3:$A$502,MATCH(82,'الحضور'!$Q$3:$Q$502,0)),"")</f>
        <v/>
      </c>
      <c r="B88" s="50">
        <f>IFERROR(INDEX('الحضور'!$B$3:$B$502,MATCH(82,'الحضور'!$Q$3:$Q$502,0)),"")</f>
        <v/>
      </c>
      <c r="C88" s="119">
        <f>IFERROR(INDEX('الحضور'!$C$3:$C$502,MATCH(82,'الحضور'!$Q$3:$Q$502,0)),"")</f>
        <v/>
      </c>
      <c r="D88" s="117">
        <f>IFERROR(INDEX('الحضور'!$E$3:$E$502,MATCH(82,'الحضور'!$Q$3:$Q$502,0)),"")</f>
        <v/>
      </c>
      <c r="E88" s="117">
        <f>IFERROR(INDEX('الحضور'!$G$3:$G$502,MATCH(82,'الحضور'!$Q$3:$Q$502,0)),"")</f>
        <v/>
      </c>
      <c r="F88" s="58">
        <f>IFERROR(INDEX('الحضور'!$K$3:$K$502,MATCH(82,'الحضور'!$Q$3:$Q$502,0)),"")</f>
        <v/>
      </c>
      <c r="G88" s="50">
        <f>IFERROR(INDEX('الحضور'!$N$3:$N$502,MATCH(82,'الحضور'!$Q$3:$Q$502,0)),"")</f>
        <v/>
      </c>
      <c r="H88" s="50">
        <f>IFERROR(INDEX('الحضور'!$O$3:$O$502,MATCH(82,'الحضور'!$Q$3:$Q$502,0)),"")</f>
        <v/>
      </c>
    </row>
    <row r="89">
      <c r="A89" s="43">
        <f>IFERROR(INDEX('الحضور'!$A$3:$A$502,MATCH(83,'الحضور'!$Q$3:$Q$502,0)),"")</f>
        <v/>
      </c>
      <c r="B89" s="43">
        <f>IFERROR(INDEX('الحضور'!$B$3:$B$502,MATCH(83,'الحضور'!$Q$3:$Q$502,0)),"")</f>
        <v/>
      </c>
      <c r="C89" s="118">
        <f>IFERROR(INDEX('الحضور'!$C$3:$C$502,MATCH(83,'الحضور'!$Q$3:$Q$502,0)),"")</f>
        <v/>
      </c>
      <c r="D89" s="115">
        <f>IFERROR(INDEX('الحضور'!$E$3:$E$502,MATCH(83,'الحضور'!$Q$3:$Q$502,0)),"")</f>
        <v/>
      </c>
      <c r="E89" s="115">
        <f>IFERROR(INDEX('الحضور'!$G$3:$G$502,MATCH(83,'الحضور'!$Q$3:$Q$502,0)),"")</f>
        <v/>
      </c>
      <c r="F89" s="55">
        <f>IFERROR(INDEX('الحضور'!$K$3:$K$502,MATCH(83,'الحضور'!$Q$3:$Q$502,0)),"")</f>
        <v/>
      </c>
      <c r="G89" s="43">
        <f>IFERROR(INDEX('الحضور'!$N$3:$N$502,MATCH(83,'الحضور'!$Q$3:$Q$502,0)),"")</f>
        <v/>
      </c>
      <c r="H89" s="43">
        <f>IFERROR(INDEX('الحضور'!$O$3:$O$502,MATCH(83,'الحضور'!$Q$3:$Q$502,0)),"")</f>
        <v/>
      </c>
    </row>
    <row r="90">
      <c r="A90" s="50">
        <f>IFERROR(INDEX('الحضور'!$A$3:$A$502,MATCH(84,'الحضور'!$Q$3:$Q$502,0)),"")</f>
        <v/>
      </c>
      <c r="B90" s="50">
        <f>IFERROR(INDEX('الحضور'!$B$3:$B$502,MATCH(84,'الحضور'!$Q$3:$Q$502,0)),"")</f>
        <v/>
      </c>
      <c r="C90" s="119">
        <f>IFERROR(INDEX('الحضور'!$C$3:$C$502,MATCH(84,'الحضور'!$Q$3:$Q$502,0)),"")</f>
        <v/>
      </c>
      <c r="D90" s="117">
        <f>IFERROR(INDEX('الحضور'!$E$3:$E$502,MATCH(84,'الحضور'!$Q$3:$Q$502,0)),"")</f>
        <v/>
      </c>
      <c r="E90" s="117">
        <f>IFERROR(INDEX('الحضور'!$G$3:$G$502,MATCH(84,'الحضور'!$Q$3:$Q$502,0)),"")</f>
        <v/>
      </c>
      <c r="F90" s="58">
        <f>IFERROR(INDEX('الحضور'!$K$3:$K$502,MATCH(84,'الحضور'!$Q$3:$Q$502,0)),"")</f>
        <v/>
      </c>
      <c r="G90" s="50">
        <f>IFERROR(INDEX('الحضور'!$N$3:$N$502,MATCH(84,'الحضور'!$Q$3:$Q$502,0)),"")</f>
        <v/>
      </c>
      <c r="H90" s="50">
        <f>IFERROR(INDEX('الحضور'!$O$3:$O$502,MATCH(84,'الحضور'!$Q$3:$Q$502,0)),"")</f>
        <v/>
      </c>
    </row>
    <row r="91">
      <c r="A91" s="43">
        <f>IFERROR(INDEX('الحضور'!$A$3:$A$502,MATCH(85,'الحضور'!$Q$3:$Q$502,0)),"")</f>
        <v/>
      </c>
      <c r="B91" s="43">
        <f>IFERROR(INDEX('الحضور'!$B$3:$B$502,MATCH(85,'الحضور'!$Q$3:$Q$502,0)),"")</f>
        <v/>
      </c>
      <c r="C91" s="118">
        <f>IFERROR(INDEX('الحضور'!$C$3:$C$502,MATCH(85,'الحضور'!$Q$3:$Q$502,0)),"")</f>
        <v/>
      </c>
      <c r="D91" s="115">
        <f>IFERROR(INDEX('الحضور'!$E$3:$E$502,MATCH(85,'الحضور'!$Q$3:$Q$502,0)),"")</f>
        <v/>
      </c>
      <c r="E91" s="115">
        <f>IFERROR(INDEX('الحضور'!$G$3:$G$502,MATCH(85,'الحضور'!$Q$3:$Q$502,0)),"")</f>
        <v/>
      </c>
      <c r="F91" s="55">
        <f>IFERROR(INDEX('الحضور'!$K$3:$K$502,MATCH(85,'الحضور'!$Q$3:$Q$502,0)),"")</f>
        <v/>
      </c>
      <c r="G91" s="43">
        <f>IFERROR(INDEX('الحضور'!$N$3:$N$502,MATCH(85,'الحضور'!$Q$3:$Q$502,0)),"")</f>
        <v/>
      </c>
      <c r="H91" s="43">
        <f>IFERROR(INDEX('الحضور'!$O$3:$O$502,MATCH(85,'الحضور'!$Q$3:$Q$502,0)),"")</f>
        <v/>
      </c>
    </row>
    <row r="92">
      <c r="A92" s="50">
        <f>IFERROR(INDEX('الحضور'!$A$3:$A$502,MATCH(86,'الحضور'!$Q$3:$Q$502,0)),"")</f>
        <v/>
      </c>
      <c r="B92" s="50">
        <f>IFERROR(INDEX('الحضور'!$B$3:$B$502,MATCH(86,'الحضور'!$Q$3:$Q$502,0)),"")</f>
        <v/>
      </c>
      <c r="C92" s="119">
        <f>IFERROR(INDEX('الحضور'!$C$3:$C$502,MATCH(86,'الحضور'!$Q$3:$Q$502,0)),"")</f>
        <v/>
      </c>
      <c r="D92" s="117">
        <f>IFERROR(INDEX('الحضور'!$E$3:$E$502,MATCH(86,'الحضور'!$Q$3:$Q$502,0)),"")</f>
        <v/>
      </c>
      <c r="E92" s="117">
        <f>IFERROR(INDEX('الحضور'!$G$3:$G$502,MATCH(86,'الحضور'!$Q$3:$Q$502,0)),"")</f>
        <v/>
      </c>
      <c r="F92" s="58">
        <f>IFERROR(INDEX('الحضور'!$K$3:$K$502,MATCH(86,'الحضور'!$Q$3:$Q$502,0)),"")</f>
        <v/>
      </c>
      <c r="G92" s="50">
        <f>IFERROR(INDEX('الحضور'!$N$3:$N$502,MATCH(86,'الحضور'!$Q$3:$Q$502,0)),"")</f>
        <v/>
      </c>
      <c r="H92" s="50">
        <f>IFERROR(INDEX('الحضور'!$O$3:$O$502,MATCH(86,'الحضور'!$Q$3:$Q$502,0)),"")</f>
        <v/>
      </c>
    </row>
    <row r="93">
      <c r="A93" s="43">
        <f>IFERROR(INDEX('الحضور'!$A$3:$A$502,MATCH(87,'الحضور'!$Q$3:$Q$502,0)),"")</f>
        <v/>
      </c>
      <c r="B93" s="43">
        <f>IFERROR(INDEX('الحضور'!$B$3:$B$502,MATCH(87,'الحضور'!$Q$3:$Q$502,0)),"")</f>
        <v/>
      </c>
      <c r="C93" s="118">
        <f>IFERROR(INDEX('الحضور'!$C$3:$C$502,MATCH(87,'الحضور'!$Q$3:$Q$502,0)),"")</f>
        <v/>
      </c>
      <c r="D93" s="115">
        <f>IFERROR(INDEX('الحضور'!$E$3:$E$502,MATCH(87,'الحضور'!$Q$3:$Q$502,0)),"")</f>
        <v/>
      </c>
      <c r="E93" s="115">
        <f>IFERROR(INDEX('الحضور'!$G$3:$G$502,MATCH(87,'الحضور'!$Q$3:$Q$502,0)),"")</f>
        <v/>
      </c>
      <c r="F93" s="55">
        <f>IFERROR(INDEX('الحضور'!$K$3:$K$502,MATCH(87,'الحضور'!$Q$3:$Q$502,0)),"")</f>
        <v/>
      </c>
      <c r="G93" s="43">
        <f>IFERROR(INDEX('الحضور'!$N$3:$N$502,MATCH(87,'الحضور'!$Q$3:$Q$502,0)),"")</f>
        <v/>
      </c>
      <c r="H93" s="43">
        <f>IFERROR(INDEX('الحضور'!$O$3:$O$502,MATCH(87,'الحضور'!$Q$3:$Q$502,0)),"")</f>
        <v/>
      </c>
    </row>
    <row r="94">
      <c r="A94" s="50">
        <f>IFERROR(INDEX('الحضور'!$A$3:$A$502,MATCH(88,'الحضور'!$Q$3:$Q$502,0)),"")</f>
        <v/>
      </c>
      <c r="B94" s="50">
        <f>IFERROR(INDEX('الحضور'!$B$3:$B$502,MATCH(88,'الحضور'!$Q$3:$Q$502,0)),"")</f>
        <v/>
      </c>
      <c r="C94" s="119">
        <f>IFERROR(INDEX('الحضور'!$C$3:$C$502,MATCH(88,'الحضور'!$Q$3:$Q$502,0)),"")</f>
        <v/>
      </c>
      <c r="D94" s="117">
        <f>IFERROR(INDEX('الحضور'!$E$3:$E$502,MATCH(88,'الحضور'!$Q$3:$Q$502,0)),"")</f>
        <v/>
      </c>
      <c r="E94" s="117">
        <f>IFERROR(INDEX('الحضور'!$G$3:$G$502,MATCH(88,'الحضور'!$Q$3:$Q$502,0)),"")</f>
        <v/>
      </c>
      <c r="F94" s="58">
        <f>IFERROR(INDEX('الحضور'!$K$3:$K$502,MATCH(88,'الحضور'!$Q$3:$Q$502,0)),"")</f>
        <v/>
      </c>
      <c r="G94" s="50">
        <f>IFERROR(INDEX('الحضور'!$N$3:$N$502,MATCH(88,'الحضور'!$Q$3:$Q$502,0)),"")</f>
        <v/>
      </c>
      <c r="H94" s="50">
        <f>IFERROR(INDEX('الحضور'!$O$3:$O$502,MATCH(88,'الحضور'!$Q$3:$Q$502,0)),"")</f>
        <v/>
      </c>
    </row>
    <row r="95">
      <c r="A95" s="43">
        <f>IFERROR(INDEX('الحضور'!$A$3:$A$502,MATCH(89,'الحضور'!$Q$3:$Q$502,0)),"")</f>
        <v/>
      </c>
      <c r="B95" s="43">
        <f>IFERROR(INDEX('الحضور'!$B$3:$B$502,MATCH(89,'الحضور'!$Q$3:$Q$502,0)),"")</f>
        <v/>
      </c>
      <c r="C95" s="118">
        <f>IFERROR(INDEX('الحضور'!$C$3:$C$502,MATCH(89,'الحضور'!$Q$3:$Q$502,0)),"")</f>
        <v/>
      </c>
      <c r="D95" s="115">
        <f>IFERROR(INDEX('الحضور'!$E$3:$E$502,MATCH(89,'الحضور'!$Q$3:$Q$502,0)),"")</f>
        <v/>
      </c>
      <c r="E95" s="115">
        <f>IFERROR(INDEX('الحضور'!$G$3:$G$502,MATCH(89,'الحضور'!$Q$3:$Q$502,0)),"")</f>
        <v/>
      </c>
      <c r="F95" s="55">
        <f>IFERROR(INDEX('الحضور'!$K$3:$K$502,MATCH(89,'الحضور'!$Q$3:$Q$502,0)),"")</f>
        <v/>
      </c>
      <c r="G95" s="43">
        <f>IFERROR(INDEX('الحضور'!$N$3:$N$502,MATCH(89,'الحضور'!$Q$3:$Q$502,0)),"")</f>
        <v/>
      </c>
      <c r="H95" s="43">
        <f>IFERROR(INDEX('الحضور'!$O$3:$O$502,MATCH(89,'الحضور'!$Q$3:$Q$502,0)),"")</f>
        <v/>
      </c>
    </row>
    <row r="96">
      <c r="A96" s="50">
        <f>IFERROR(INDEX('الحضور'!$A$3:$A$502,MATCH(90,'الحضور'!$Q$3:$Q$502,0)),"")</f>
        <v/>
      </c>
      <c r="B96" s="50">
        <f>IFERROR(INDEX('الحضور'!$B$3:$B$502,MATCH(90,'الحضور'!$Q$3:$Q$502,0)),"")</f>
        <v/>
      </c>
      <c r="C96" s="119">
        <f>IFERROR(INDEX('الحضور'!$C$3:$C$502,MATCH(90,'الحضور'!$Q$3:$Q$502,0)),"")</f>
        <v/>
      </c>
      <c r="D96" s="117">
        <f>IFERROR(INDEX('الحضور'!$E$3:$E$502,MATCH(90,'الحضور'!$Q$3:$Q$502,0)),"")</f>
        <v/>
      </c>
      <c r="E96" s="117">
        <f>IFERROR(INDEX('الحضور'!$G$3:$G$502,MATCH(90,'الحضور'!$Q$3:$Q$502,0)),"")</f>
        <v/>
      </c>
      <c r="F96" s="58">
        <f>IFERROR(INDEX('الحضور'!$K$3:$K$502,MATCH(90,'الحضور'!$Q$3:$Q$502,0)),"")</f>
        <v/>
      </c>
      <c r="G96" s="50">
        <f>IFERROR(INDEX('الحضور'!$N$3:$N$502,MATCH(90,'الحضور'!$Q$3:$Q$502,0)),"")</f>
        <v/>
      </c>
      <c r="H96" s="50">
        <f>IFERROR(INDEX('الحضور'!$O$3:$O$502,MATCH(90,'الحضور'!$Q$3:$Q$502,0)),"")</f>
        <v/>
      </c>
    </row>
    <row r="97">
      <c r="A97" s="43">
        <f>IFERROR(INDEX('الحضور'!$A$3:$A$502,MATCH(91,'الحضور'!$Q$3:$Q$502,0)),"")</f>
        <v/>
      </c>
      <c r="B97" s="43">
        <f>IFERROR(INDEX('الحضور'!$B$3:$B$502,MATCH(91,'الحضور'!$Q$3:$Q$502,0)),"")</f>
        <v/>
      </c>
      <c r="C97" s="118">
        <f>IFERROR(INDEX('الحضور'!$C$3:$C$502,MATCH(91,'الحضور'!$Q$3:$Q$502,0)),"")</f>
        <v/>
      </c>
      <c r="D97" s="115">
        <f>IFERROR(INDEX('الحضور'!$E$3:$E$502,MATCH(91,'الحضور'!$Q$3:$Q$502,0)),"")</f>
        <v/>
      </c>
      <c r="E97" s="115">
        <f>IFERROR(INDEX('الحضور'!$G$3:$G$502,MATCH(91,'الحضور'!$Q$3:$Q$502,0)),"")</f>
        <v/>
      </c>
      <c r="F97" s="55">
        <f>IFERROR(INDEX('الحضور'!$K$3:$K$502,MATCH(91,'الحضور'!$Q$3:$Q$502,0)),"")</f>
        <v/>
      </c>
      <c r="G97" s="43">
        <f>IFERROR(INDEX('الحضور'!$N$3:$N$502,MATCH(91,'الحضور'!$Q$3:$Q$502,0)),"")</f>
        <v/>
      </c>
      <c r="H97" s="43">
        <f>IFERROR(INDEX('الحضور'!$O$3:$O$502,MATCH(91,'الحضور'!$Q$3:$Q$502,0)),"")</f>
        <v/>
      </c>
    </row>
    <row r="98">
      <c r="A98" s="50">
        <f>IFERROR(INDEX('الحضور'!$A$3:$A$502,MATCH(92,'الحضور'!$Q$3:$Q$502,0)),"")</f>
        <v/>
      </c>
      <c r="B98" s="50">
        <f>IFERROR(INDEX('الحضور'!$B$3:$B$502,MATCH(92,'الحضور'!$Q$3:$Q$502,0)),"")</f>
        <v/>
      </c>
      <c r="C98" s="119">
        <f>IFERROR(INDEX('الحضور'!$C$3:$C$502,MATCH(92,'الحضور'!$Q$3:$Q$502,0)),"")</f>
        <v/>
      </c>
      <c r="D98" s="117">
        <f>IFERROR(INDEX('الحضور'!$E$3:$E$502,MATCH(92,'الحضور'!$Q$3:$Q$502,0)),"")</f>
        <v/>
      </c>
      <c r="E98" s="117">
        <f>IFERROR(INDEX('الحضور'!$G$3:$G$502,MATCH(92,'الحضور'!$Q$3:$Q$502,0)),"")</f>
        <v/>
      </c>
      <c r="F98" s="58">
        <f>IFERROR(INDEX('الحضور'!$K$3:$K$502,MATCH(92,'الحضور'!$Q$3:$Q$502,0)),"")</f>
        <v/>
      </c>
      <c r="G98" s="50">
        <f>IFERROR(INDEX('الحضور'!$N$3:$N$502,MATCH(92,'الحضور'!$Q$3:$Q$502,0)),"")</f>
        <v/>
      </c>
      <c r="H98" s="50">
        <f>IFERROR(INDEX('الحضور'!$O$3:$O$502,MATCH(92,'الحضور'!$Q$3:$Q$502,0)),"")</f>
        <v/>
      </c>
    </row>
    <row r="99">
      <c r="A99" s="43">
        <f>IFERROR(INDEX('الحضور'!$A$3:$A$502,MATCH(93,'الحضور'!$Q$3:$Q$502,0)),"")</f>
        <v/>
      </c>
      <c r="B99" s="43">
        <f>IFERROR(INDEX('الحضور'!$B$3:$B$502,MATCH(93,'الحضور'!$Q$3:$Q$502,0)),"")</f>
        <v/>
      </c>
      <c r="C99" s="118">
        <f>IFERROR(INDEX('الحضور'!$C$3:$C$502,MATCH(93,'الحضور'!$Q$3:$Q$502,0)),"")</f>
        <v/>
      </c>
      <c r="D99" s="115">
        <f>IFERROR(INDEX('الحضور'!$E$3:$E$502,MATCH(93,'الحضور'!$Q$3:$Q$502,0)),"")</f>
        <v/>
      </c>
      <c r="E99" s="115">
        <f>IFERROR(INDEX('الحضور'!$G$3:$G$502,MATCH(93,'الحضور'!$Q$3:$Q$502,0)),"")</f>
        <v/>
      </c>
      <c r="F99" s="55">
        <f>IFERROR(INDEX('الحضور'!$K$3:$K$502,MATCH(93,'الحضور'!$Q$3:$Q$502,0)),"")</f>
        <v/>
      </c>
      <c r="G99" s="43">
        <f>IFERROR(INDEX('الحضور'!$N$3:$N$502,MATCH(93,'الحضور'!$Q$3:$Q$502,0)),"")</f>
        <v/>
      </c>
      <c r="H99" s="43">
        <f>IFERROR(INDEX('الحضور'!$O$3:$O$502,MATCH(93,'الحضور'!$Q$3:$Q$502,0)),"")</f>
        <v/>
      </c>
    </row>
    <row r="100">
      <c r="A100" s="50">
        <f>IFERROR(INDEX('الحضور'!$A$3:$A$502,MATCH(94,'الحضور'!$Q$3:$Q$502,0)),"")</f>
        <v/>
      </c>
      <c r="B100" s="50">
        <f>IFERROR(INDEX('الحضور'!$B$3:$B$502,MATCH(94,'الحضور'!$Q$3:$Q$502,0)),"")</f>
        <v/>
      </c>
      <c r="C100" s="119">
        <f>IFERROR(INDEX('الحضور'!$C$3:$C$502,MATCH(94,'الحضور'!$Q$3:$Q$502,0)),"")</f>
        <v/>
      </c>
      <c r="D100" s="117">
        <f>IFERROR(INDEX('الحضور'!$E$3:$E$502,MATCH(94,'الحضور'!$Q$3:$Q$502,0)),"")</f>
        <v/>
      </c>
      <c r="E100" s="117">
        <f>IFERROR(INDEX('الحضور'!$G$3:$G$502,MATCH(94,'الحضور'!$Q$3:$Q$502,0)),"")</f>
        <v/>
      </c>
      <c r="F100" s="58">
        <f>IFERROR(INDEX('الحضور'!$K$3:$K$502,MATCH(94,'الحضور'!$Q$3:$Q$502,0)),"")</f>
        <v/>
      </c>
      <c r="G100" s="50">
        <f>IFERROR(INDEX('الحضور'!$N$3:$N$502,MATCH(94,'الحضور'!$Q$3:$Q$502,0)),"")</f>
        <v/>
      </c>
      <c r="H100" s="50">
        <f>IFERROR(INDEX('الحضور'!$O$3:$O$502,MATCH(94,'الحضور'!$Q$3:$Q$502,0)),"")</f>
        <v/>
      </c>
    </row>
    <row r="101">
      <c r="A101" s="43">
        <f>IFERROR(INDEX('الحضور'!$A$3:$A$502,MATCH(95,'الحضور'!$Q$3:$Q$502,0)),"")</f>
        <v/>
      </c>
      <c r="B101" s="43">
        <f>IFERROR(INDEX('الحضور'!$B$3:$B$502,MATCH(95,'الحضور'!$Q$3:$Q$502,0)),"")</f>
        <v/>
      </c>
      <c r="C101" s="118">
        <f>IFERROR(INDEX('الحضور'!$C$3:$C$502,MATCH(95,'الحضور'!$Q$3:$Q$502,0)),"")</f>
        <v/>
      </c>
      <c r="D101" s="115">
        <f>IFERROR(INDEX('الحضور'!$E$3:$E$502,MATCH(95,'الحضور'!$Q$3:$Q$502,0)),"")</f>
        <v/>
      </c>
      <c r="E101" s="115">
        <f>IFERROR(INDEX('الحضور'!$G$3:$G$502,MATCH(95,'الحضور'!$Q$3:$Q$502,0)),"")</f>
        <v/>
      </c>
      <c r="F101" s="55">
        <f>IFERROR(INDEX('الحضور'!$K$3:$K$502,MATCH(95,'الحضور'!$Q$3:$Q$502,0)),"")</f>
        <v/>
      </c>
      <c r="G101" s="43">
        <f>IFERROR(INDEX('الحضور'!$N$3:$N$502,MATCH(95,'الحضور'!$Q$3:$Q$502,0)),"")</f>
        <v/>
      </c>
      <c r="H101" s="43">
        <f>IFERROR(INDEX('الحضور'!$O$3:$O$502,MATCH(95,'الحضور'!$Q$3:$Q$502,0)),"")</f>
        <v/>
      </c>
    </row>
    <row r="102">
      <c r="A102" s="50">
        <f>IFERROR(INDEX('الحضور'!$A$3:$A$502,MATCH(96,'الحضور'!$Q$3:$Q$502,0)),"")</f>
        <v/>
      </c>
      <c r="B102" s="50">
        <f>IFERROR(INDEX('الحضور'!$B$3:$B$502,MATCH(96,'الحضور'!$Q$3:$Q$502,0)),"")</f>
        <v/>
      </c>
      <c r="C102" s="119">
        <f>IFERROR(INDEX('الحضور'!$C$3:$C$502,MATCH(96,'الحضور'!$Q$3:$Q$502,0)),"")</f>
        <v/>
      </c>
      <c r="D102" s="117">
        <f>IFERROR(INDEX('الحضور'!$E$3:$E$502,MATCH(96,'الحضور'!$Q$3:$Q$502,0)),"")</f>
        <v/>
      </c>
      <c r="E102" s="117">
        <f>IFERROR(INDEX('الحضور'!$G$3:$G$502,MATCH(96,'الحضور'!$Q$3:$Q$502,0)),"")</f>
        <v/>
      </c>
      <c r="F102" s="58">
        <f>IFERROR(INDEX('الحضور'!$K$3:$K$502,MATCH(96,'الحضور'!$Q$3:$Q$502,0)),"")</f>
        <v/>
      </c>
      <c r="G102" s="50">
        <f>IFERROR(INDEX('الحضور'!$N$3:$N$502,MATCH(96,'الحضور'!$Q$3:$Q$502,0)),"")</f>
        <v/>
      </c>
      <c r="H102" s="50">
        <f>IFERROR(INDEX('الحضور'!$O$3:$O$502,MATCH(96,'الحضور'!$Q$3:$Q$502,0)),"")</f>
        <v/>
      </c>
    </row>
    <row r="103">
      <c r="A103" s="43">
        <f>IFERROR(INDEX('الحضور'!$A$3:$A$502,MATCH(97,'الحضور'!$Q$3:$Q$502,0)),"")</f>
        <v/>
      </c>
      <c r="B103" s="43">
        <f>IFERROR(INDEX('الحضور'!$B$3:$B$502,MATCH(97,'الحضور'!$Q$3:$Q$502,0)),"")</f>
        <v/>
      </c>
      <c r="C103" s="118">
        <f>IFERROR(INDEX('الحضور'!$C$3:$C$502,MATCH(97,'الحضور'!$Q$3:$Q$502,0)),"")</f>
        <v/>
      </c>
      <c r="D103" s="115">
        <f>IFERROR(INDEX('الحضور'!$E$3:$E$502,MATCH(97,'الحضور'!$Q$3:$Q$502,0)),"")</f>
        <v/>
      </c>
      <c r="E103" s="115">
        <f>IFERROR(INDEX('الحضور'!$G$3:$G$502,MATCH(97,'الحضور'!$Q$3:$Q$502,0)),"")</f>
        <v/>
      </c>
      <c r="F103" s="55">
        <f>IFERROR(INDEX('الحضور'!$K$3:$K$502,MATCH(97,'الحضور'!$Q$3:$Q$502,0)),"")</f>
        <v/>
      </c>
      <c r="G103" s="43">
        <f>IFERROR(INDEX('الحضور'!$N$3:$N$502,MATCH(97,'الحضور'!$Q$3:$Q$502,0)),"")</f>
        <v/>
      </c>
      <c r="H103" s="43">
        <f>IFERROR(INDEX('الحضور'!$O$3:$O$502,MATCH(97,'الحضور'!$Q$3:$Q$502,0)),"")</f>
        <v/>
      </c>
    </row>
    <row r="104">
      <c r="A104" s="50">
        <f>IFERROR(INDEX('الحضور'!$A$3:$A$502,MATCH(98,'الحضور'!$Q$3:$Q$502,0)),"")</f>
        <v/>
      </c>
      <c r="B104" s="50">
        <f>IFERROR(INDEX('الحضور'!$B$3:$B$502,MATCH(98,'الحضور'!$Q$3:$Q$502,0)),"")</f>
        <v/>
      </c>
      <c r="C104" s="119">
        <f>IFERROR(INDEX('الحضور'!$C$3:$C$502,MATCH(98,'الحضور'!$Q$3:$Q$502,0)),"")</f>
        <v/>
      </c>
      <c r="D104" s="117">
        <f>IFERROR(INDEX('الحضور'!$E$3:$E$502,MATCH(98,'الحضور'!$Q$3:$Q$502,0)),"")</f>
        <v/>
      </c>
      <c r="E104" s="117">
        <f>IFERROR(INDEX('الحضور'!$G$3:$G$502,MATCH(98,'الحضور'!$Q$3:$Q$502,0)),"")</f>
        <v/>
      </c>
      <c r="F104" s="58">
        <f>IFERROR(INDEX('الحضور'!$K$3:$K$502,MATCH(98,'الحضور'!$Q$3:$Q$502,0)),"")</f>
        <v/>
      </c>
      <c r="G104" s="50">
        <f>IFERROR(INDEX('الحضور'!$N$3:$N$502,MATCH(98,'الحضور'!$Q$3:$Q$502,0)),"")</f>
        <v/>
      </c>
      <c r="H104" s="50">
        <f>IFERROR(INDEX('الحضور'!$O$3:$O$502,MATCH(98,'الحضور'!$Q$3:$Q$502,0)),"")</f>
        <v/>
      </c>
    </row>
    <row r="105">
      <c r="A105" s="43">
        <f>IFERROR(INDEX('الحضور'!$A$3:$A$502,MATCH(99,'الحضور'!$Q$3:$Q$502,0)),"")</f>
        <v/>
      </c>
      <c r="B105" s="43">
        <f>IFERROR(INDEX('الحضور'!$B$3:$B$502,MATCH(99,'الحضور'!$Q$3:$Q$502,0)),"")</f>
        <v/>
      </c>
      <c r="C105" s="118">
        <f>IFERROR(INDEX('الحضور'!$C$3:$C$502,MATCH(99,'الحضور'!$Q$3:$Q$502,0)),"")</f>
        <v/>
      </c>
      <c r="D105" s="115">
        <f>IFERROR(INDEX('الحضور'!$E$3:$E$502,MATCH(99,'الحضور'!$Q$3:$Q$502,0)),"")</f>
        <v/>
      </c>
      <c r="E105" s="115">
        <f>IFERROR(INDEX('الحضور'!$G$3:$G$502,MATCH(99,'الحضور'!$Q$3:$Q$502,0)),"")</f>
        <v/>
      </c>
      <c r="F105" s="55">
        <f>IFERROR(INDEX('الحضور'!$K$3:$K$502,MATCH(99,'الحضور'!$Q$3:$Q$502,0)),"")</f>
        <v/>
      </c>
      <c r="G105" s="43">
        <f>IFERROR(INDEX('الحضور'!$N$3:$N$502,MATCH(99,'الحضور'!$Q$3:$Q$502,0)),"")</f>
        <v/>
      </c>
      <c r="H105" s="43">
        <f>IFERROR(INDEX('الحضور'!$O$3:$O$502,MATCH(99,'الحضور'!$Q$3:$Q$502,0)),"")</f>
        <v/>
      </c>
    </row>
    <row r="106">
      <c r="A106" s="50">
        <f>IFERROR(INDEX('الحضور'!$A$3:$A$502,MATCH(100,'الحضور'!$Q$3:$Q$502,0)),"")</f>
        <v/>
      </c>
      <c r="B106" s="50">
        <f>IFERROR(INDEX('الحضور'!$B$3:$B$502,MATCH(100,'الحضور'!$Q$3:$Q$502,0)),"")</f>
        <v/>
      </c>
      <c r="C106" s="119">
        <f>IFERROR(INDEX('الحضور'!$C$3:$C$502,MATCH(100,'الحضور'!$Q$3:$Q$502,0)),"")</f>
        <v/>
      </c>
      <c r="D106" s="117">
        <f>IFERROR(INDEX('الحضور'!$E$3:$E$502,MATCH(100,'الحضور'!$Q$3:$Q$502,0)),"")</f>
        <v/>
      </c>
      <c r="E106" s="117">
        <f>IFERROR(INDEX('الحضور'!$G$3:$G$502,MATCH(100,'الحضور'!$Q$3:$Q$502,0)),"")</f>
        <v/>
      </c>
      <c r="F106" s="58">
        <f>IFERROR(INDEX('الحضور'!$K$3:$K$502,MATCH(100,'الحضور'!$Q$3:$Q$502,0)),"")</f>
        <v/>
      </c>
      <c r="G106" s="50">
        <f>IFERROR(INDEX('الحضور'!$N$3:$N$502,MATCH(100,'الحضور'!$Q$3:$Q$502,0)),"")</f>
        <v/>
      </c>
      <c r="H106" s="50">
        <f>IFERROR(INDEX('الحضور'!$O$3:$O$502,MATCH(100,'الحضور'!$Q$3:$Q$502,0)),"")</f>
        <v/>
      </c>
    </row>
    <row r="107">
      <c r="A107" s="43">
        <f>IFERROR(INDEX('الحضور'!$A$3:$A$502,MATCH(101,'الحضور'!$Q$3:$Q$502,0)),"")</f>
        <v/>
      </c>
      <c r="B107" s="43">
        <f>IFERROR(INDEX('الحضور'!$B$3:$B$502,MATCH(101,'الحضور'!$Q$3:$Q$502,0)),"")</f>
        <v/>
      </c>
      <c r="C107" s="118">
        <f>IFERROR(INDEX('الحضور'!$C$3:$C$502,MATCH(101,'الحضور'!$Q$3:$Q$502,0)),"")</f>
        <v/>
      </c>
      <c r="D107" s="115">
        <f>IFERROR(INDEX('الحضور'!$E$3:$E$502,MATCH(101,'الحضور'!$Q$3:$Q$502,0)),"")</f>
        <v/>
      </c>
      <c r="E107" s="115">
        <f>IFERROR(INDEX('الحضور'!$G$3:$G$502,MATCH(101,'الحضور'!$Q$3:$Q$502,0)),"")</f>
        <v/>
      </c>
      <c r="F107" s="55">
        <f>IFERROR(INDEX('الحضور'!$K$3:$K$502,MATCH(101,'الحضور'!$Q$3:$Q$502,0)),"")</f>
        <v/>
      </c>
      <c r="G107" s="43">
        <f>IFERROR(INDEX('الحضور'!$N$3:$N$502,MATCH(101,'الحضور'!$Q$3:$Q$502,0)),"")</f>
        <v/>
      </c>
      <c r="H107" s="43">
        <f>IFERROR(INDEX('الحضور'!$O$3:$O$502,MATCH(101,'الحضور'!$Q$3:$Q$502,0)),"")</f>
        <v/>
      </c>
    </row>
    <row r="108">
      <c r="A108" s="50">
        <f>IFERROR(INDEX('الحضور'!$A$3:$A$502,MATCH(102,'الحضور'!$Q$3:$Q$502,0)),"")</f>
        <v/>
      </c>
      <c r="B108" s="50">
        <f>IFERROR(INDEX('الحضور'!$B$3:$B$502,MATCH(102,'الحضور'!$Q$3:$Q$502,0)),"")</f>
        <v/>
      </c>
      <c r="C108" s="119">
        <f>IFERROR(INDEX('الحضور'!$C$3:$C$502,MATCH(102,'الحضور'!$Q$3:$Q$502,0)),"")</f>
        <v/>
      </c>
      <c r="D108" s="117">
        <f>IFERROR(INDEX('الحضور'!$E$3:$E$502,MATCH(102,'الحضور'!$Q$3:$Q$502,0)),"")</f>
        <v/>
      </c>
      <c r="E108" s="117">
        <f>IFERROR(INDEX('الحضور'!$G$3:$G$502,MATCH(102,'الحضور'!$Q$3:$Q$502,0)),"")</f>
        <v/>
      </c>
      <c r="F108" s="58">
        <f>IFERROR(INDEX('الحضور'!$K$3:$K$502,MATCH(102,'الحضور'!$Q$3:$Q$502,0)),"")</f>
        <v/>
      </c>
      <c r="G108" s="50">
        <f>IFERROR(INDEX('الحضور'!$N$3:$N$502,MATCH(102,'الحضور'!$Q$3:$Q$502,0)),"")</f>
        <v/>
      </c>
      <c r="H108" s="50">
        <f>IFERROR(INDEX('الحضور'!$O$3:$O$502,MATCH(102,'الحضور'!$Q$3:$Q$502,0)),"")</f>
        <v/>
      </c>
    </row>
    <row r="109">
      <c r="A109" s="43">
        <f>IFERROR(INDEX('الحضور'!$A$3:$A$502,MATCH(103,'الحضور'!$Q$3:$Q$502,0)),"")</f>
        <v/>
      </c>
      <c r="B109" s="43">
        <f>IFERROR(INDEX('الحضور'!$B$3:$B$502,MATCH(103,'الحضور'!$Q$3:$Q$502,0)),"")</f>
        <v/>
      </c>
      <c r="C109" s="118">
        <f>IFERROR(INDEX('الحضور'!$C$3:$C$502,MATCH(103,'الحضور'!$Q$3:$Q$502,0)),"")</f>
        <v/>
      </c>
      <c r="D109" s="115">
        <f>IFERROR(INDEX('الحضور'!$E$3:$E$502,MATCH(103,'الحضور'!$Q$3:$Q$502,0)),"")</f>
        <v/>
      </c>
      <c r="E109" s="115">
        <f>IFERROR(INDEX('الحضور'!$G$3:$G$502,MATCH(103,'الحضور'!$Q$3:$Q$502,0)),"")</f>
        <v/>
      </c>
      <c r="F109" s="55">
        <f>IFERROR(INDEX('الحضور'!$K$3:$K$502,MATCH(103,'الحضور'!$Q$3:$Q$502,0)),"")</f>
        <v/>
      </c>
      <c r="G109" s="43">
        <f>IFERROR(INDEX('الحضور'!$N$3:$N$502,MATCH(103,'الحضور'!$Q$3:$Q$502,0)),"")</f>
        <v/>
      </c>
      <c r="H109" s="43">
        <f>IFERROR(INDEX('الحضور'!$O$3:$O$502,MATCH(103,'الحضور'!$Q$3:$Q$502,0)),"")</f>
        <v/>
      </c>
    </row>
    <row r="110">
      <c r="A110" s="50">
        <f>IFERROR(INDEX('الحضور'!$A$3:$A$502,MATCH(104,'الحضور'!$Q$3:$Q$502,0)),"")</f>
        <v/>
      </c>
      <c r="B110" s="50">
        <f>IFERROR(INDEX('الحضور'!$B$3:$B$502,MATCH(104,'الحضور'!$Q$3:$Q$502,0)),"")</f>
        <v/>
      </c>
      <c r="C110" s="119">
        <f>IFERROR(INDEX('الحضور'!$C$3:$C$502,MATCH(104,'الحضور'!$Q$3:$Q$502,0)),"")</f>
        <v/>
      </c>
      <c r="D110" s="117">
        <f>IFERROR(INDEX('الحضور'!$E$3:$E$502,MATCH(104,'الحضور'!$Q$3:$Q$502,0)),"")</f>
        <v/>
      </c>
      <c r="E110" s="117">
        <f>IFERROR(INDEX('الحضور'!$G$3:$G$502,MATCH(104,'الحضور'!$Q$3:$Q$502,0)),"")</f>
        <v/>
      </c>
      <c r="F110" s="58">
        <f>IFERROR(INDEX('الحضور'!$K$3:$K$502,MATCH(104,'الحضور'!$Q$3:$Q$502,0)),"")</f>
        <v/>
      </c>
      <c r="G110" s="50">
        <f>IFERROR(INDEX('الحضور'!$N$3:$N$502,MATCH(104,'الحضور'!$Q$3:$Q$502,0)),"")</f>
        <v/>
      </c>
      <c r="H110" s="50">
        <f>IFERROR(INDEX('الحضور'!$O$3:$O$502,MATCH(104,'الحضور'!$Q$3:$Q$502,0)),"")</f>
        <v/>
      </c>
    </row>
    <row r="111">
      <c r="A111" s="43">
        <f>IFERROR(INDEX('الحضور'!$A$3:$A$502,MATCH(105,'الحضور'!$Q$3:$Q$502,0)),"")</f>
        <v/>
      </c>
      <c r="B111" s="43">
        <f>IFERROR(INDEX('الحضور'!$B$3:$B$502,MATCH(105,'الحضور'!$Q$3:$Q$502,0)),"")</f>
        <v/>
      </c>
      <c r="C111" s="118">
        <f>IFERROR(INDEX('الحضور'!$C$3:$C$502,MATCH(105,'الحضور'!$Q$3:$Q$502,0)),"")</f>
        <v/>
      </c>
      <c r="D111" s="115">
        <f>IFERROR(INDEX('الحضور'!$E$3:$E$502,MATCH(105,'الحضور'!$Q$3:$Q$502,0)),"")</f>
        <v/>
      </c>
      <c r="E111" s="115">
        <f>IFERROR(INDEX('الحضور'!$G$3:$G$502,MATCH(105,'الحضور'!$Q$3:$Q$502,0)),"")</f>
        <v/>
      </c>
      <c r="F111" s="55">
        <f>IFERROR(INDEX('الحضور'!$K$3:$K$502,MATCH(105,'الحضور'!$Q$3:$Q$502,0)),"")</f>
        <v/>
      </c>
      <c r="G111" s="43">
        <f>IFERROR(INDEX('الحضور'!$N$3:$N$502,MATCH(105,'الحضور'!$Q$3:$Q$502,0)),"")</f>
        <v/>
      </c>
      <c r="H111" s="43">
        <f>IFERROR(INDEX('الحضور'!$O$3:$O$502,MATCH(105,'الحضور'!$Q$3:$Q$502,0)),"")</f>
        <v/>
      </c>
    </row>
    <row r="112">
      <c r="A112" s="50">
        <f>IFERROR(INDEX('الحضور'!$A$3:$A$502,MATCH(106,'الحضور'!$Q$3:$Q$502,0)),"")</f>
        <v/>
      </c>
      <c r="B112" s="50">
        <f>IFERROR(INDEX('الحضور'!$B$3:$B$502,MATCH(106,'الحضور'!$Q$3:$Q$502,0)),"")</f>
        <v/>
      </c>
      <c r="C112" s="119">
        <f>IFERROR(INDEX('الحضور'!$C$3:$C$502,MATCH(106,'الحضور'!$Q$3:$Q$502,0)),"")</f>
        <v/>
      </c>
      <c r="D112" s="117">
        <f>IFERROR(INDEX('الحضور'!$E$3:$E$502,MATCH(106,'الحضور'!$Q$3:$Q$502,0)),"")</f>
        <v/>
      </c>
      <c r="E112" s="117">
        <f>IFERROR(INDEX('الحضور'!$G$3:$G$502,MATCH(106,'الحضور'!$Q$3:$Q$502,0)),"")</f>
        <v/>
      </c>
      <c r="F112" s="58">
        <f>IFERROR(INDEX('الحضور'!$K$3:$K$502,MATCH(106,'الحضور'!$Q$3:$Q$502,0)),"")</f>
        <v/>
      </c>
      <c r="G112" s="50">
        <f>IFERROR(INDEX('الحضور'!$N$3:$N$502,MATCH(106,'الحضور'!$Q$3:$Q$502,0)),"")</f>
        <v/>
      </c>
      <c r="H112" s="50">
        <f>IFERROR(INDEX('الحضور'!$O$3:$O$502,MATCH(106,'الحضور'!$Q$3:$Q$502,0)),"")</f>
        <v/>
      </c>
    </row>
    <row r="113">
      <c r="A113" s="43">
        <f>IFERROR(INDEX('الحضور'!$A$3:$A$502,MATCH(107,'الحضور'!$Q$3:$Q$502,0)),"")</f>
        <v/>
      </c>
      <c r="B113" s="43">
        <f>IFERROR(INDEX('الحضور'!$B$3:$B$502,MATCH(107,'الحضور'!$Q$3:$Q$502,0)),"")</f>
        <v/>
      </c>
      <c r="C113" s="118">
        <f>IFERROR(INDEX('الحضور'!$C$3:$C$502,MATCH(107,'الحضور'!$Q$3:$Q$502,0)),"")</f>
        <v/>
      </c>
      <c r="D113" s="115">
        <f>IFERROR(INDEX('الحضور'!$E$3:$E$502,MATCH(107,'الحضور'!$Q$3:$Q$502,0)),"")</f>
        <v/>
      </c>
      <c r="E113" s="115">
        <f>IFERROR(INDEX('الحضور'!$G$3:$G$502,MATCH(107,'الحضور'!$Q$3:$Q$502,0)),"")</f>
        <v/>
      </c>
      <c r="F113" s="55">
        <f>IFERROR(INDEX('الحضور'!$K$3:$K$502,MATCH(107,'الحضور'!$Q$3:$Q$502,0)),"")</f>
        <v/>
      </c>
      <c r="G113" s="43">
        <f>IFERROR(INDEX('الحضور'!$N$3:$N$502,MATCH(107,'الحضور'!$Q$3:$Q$502,0)),"")</f>
        <v/>
      </c>
      <c r="H113" s="43">
        <f>IFERROR(INDEX('الحضور'!$O$3:$O$502,MATCH(107,'الحضور'!$Q$3:$Q$502,0)),"")</f>
        <v/>
      </c>
    </row>
    <row r="114">
      <c r="A114" s="50">
        <f>IFERROR(INDEX('الحضور'!$A$3:$A$502,MATCH(108,'الحضور'!$Q$3:$Q$502,0)),"")</f>
        <v/>
      </c>
      <c r="B114" s="50">
        <f>IFERROR(INDEX('الحضور'!$B$3:$B$502,MATCH(108,'الحضور'!$Q$3:$Q$502,0)),"")</f>
        <v/>
      </c>
      <c r="C114" s="119">
        <f>IFERROR(INDEX('الحضور'!$C$3:$C$502,MATCH(108,'الحضور'!$Q$3:$Q$502,0)),"")</f>
        <v/>
      </c>
      <c r="D114" s="117">
        <f>IFERROR(INDEX('الحضور'!$E$3:$E$502,MATCH(108,'الحضور'!$Q$3:$Q$502,0)),"")</f>
        <v/>
      </c>
      <c r="E114" s="117">
        <f>IFERROR(INDEX('الحضور'!$G$3:$G$502,MATCH(108,'الحضور'!$Q$3:$Q$502,0)),"")</f>
        <v/>
      </c>
      <c r="F114" s="58">
        <f>IFERROR(INDEX('الحضور'!$K$3:$K$502,MATCH(108,'الحضور'!$Q$3:$Q$502,0)),"")</f>
        <v/>
      </c>
      <c r="G114" s="50">
        <f>IFERROR(INDEX('الحضور'!$N$3:$N$502,MATCH(108,'الحضور'!$Q$3:$Q$502,0)),"")</f>
        <v/>
      </c>
      <c r="H114" s="50">
        <f>IFERROR(INDEX('الحضور'!$O$3:$O$502,MATCH(108,'الحضور'!$Q$3:$Q$502,0)),"")</f>
        <v/>
      </c>
    </row>
    <row r="115">
      <c r="A115" s="43">
        <f>IFERROR(INDEX('الحضور'!$A$3:$A$502,MATCH(109,'الحضور'!$Q$3:$Q$502,0)),"")</f>
        <v/>
      </c>
      <c r="B115" s="43">
        <f>IFERROR(INDEX('الحضور'!$B$3:$B$502,MATCH(109,'الحضور'!$Q$3:$Q$502,0)),"")</f>
        <v/>
      </c>
      <c r="C115" s="118">
        <f>IFERROR(INDEX('الحضور'!$C$3:$C$502,MATCH(109,'الحضور'!$Q$3:$Q$502,0)),"")</f>
        <v/>
      </c>
      <c r="D115" s="115">
        <f>IFERROR(INDEX('الحضور'!$E$3:$E$502,MATCH(109,'الحضور'!$Q$3:$Q$502,0)),"")</f>
        <v/>
      </c>
      <c r="E115" s="115">
        <f>IFERROR(INDEX('الحضور'!$G$3:$G$502,MATCH(109,'الحضور'!$Q$3:$Q$502,0)),"")</f>
        <v/>
      </c>
      <c r="F115" s="55">
        <f>IFERROR(INDEX('الحضور'!$K$3:$K$502,MATCH(109,'الحضور'!$Q$3:$Q$502,0)),"")</f>
        <v/>
      </c>
      <c r="G115" s="43">
        <f>IFERROR(INDEX('الحضور'!$N$3:$N$502,MATCH(109,'الحضور'!$Q$3:$Q$502,0)),"")</f>
        <v/>
      </c>
      <c r="H115" s="43">
        <f>IFERROR(INDEX('الحضور'!$O$3:$O$502,MATCH(109,'الحضور'!$Q$3:$Q$502,0)),"")</f>
        <v/>
      </c>
    </row>
    <row r="116">
      <c r="A116" s="50">
        <f>IFERROR(INDEX('الحضور'!$A$3:$A$502,MATCH(110,'الحضور'!$Q$3:$Q$502,0)),"")</f>
        <v/>
      </c>
      <c r="B116" s="50">
        <f>IFERROR(INDEX('الحضور'!$B$3:$B$502,MATCH(110,'الحضور'!$Q$3:$Q$502,0)),"")</f>
        <v/>
      </c>
      <c r="C116" s="119">
        <f>IFERROR(INDEX('الحضور'!$C$3:$C$502,MATCH(110,'الحضور'!$Q$3:$Q$502,0)),"")</f>
        <v/>
      </c>
      <c r="D116" s="117">
        <f>IFERROR(INDEX('الحضور'!$E$3:$E$502,MATCH(110,'الحضور'!$Q$3:$Q$502,0)),"")</f>
        <v/>
      </c>
      <c r="E116" s="117">
        <f>IFERROR(INDEX('الحضور'!$G$3:$G$502,MATCH(110,'الحضور'!$Q$3:$Q$502,0)),"")</f>
        <v/>
      </c>
      <c r="F116" s="58">
        <f>IFERROR(INDEX('الحضور'!$K$3:$K$502,MATCH(110,'الحضور'!$Q$3:$Q$502,0)),"")</f>
        <v/>
      </c>
      <c r="G116" s="50">
        <f>IFERROR(INDEX('الحضور'!$N$3:$N$502,MATCH(110,'الحضور'!$Q$3:$Q$502,0)),"")</f>
        <v/>
      </c>
      <c r="H116" s="50">
        <f>IFERROR(INDEX('الحضور'!$O$3:$O$502,MATCH(110,'الحضور'!$Q$3:$Q$502,0)),"")</f>
        <v/>
      </c>
    </row>
    <row r="117">
      <c r="A117" s="43">
        <f>IFERROR(INDEX('الحضور'!$A$3:$A$502,MATCH(111,'الحضور'!$Q$3:$Q$502,0)),"")</f>
        <v/>
      </c>
      <c r="B117" s="43">
        <f>IFERROR(INDEX('الحضور'!$B$3:$B$502,MATCH(111,'الحضور'!$Q$3:$Q$502,0)),"")</f>
        <v/>
      </c>
      <c r="C117" s="118">
        <f>IFERROR(INDEX('الحضور'!$C$3:$C$502,MATCH(111,'الحضور'!$Q$3:$Q$502,0)),"")</f>
        <v/>
      </c>
      <c r="D117" s="115">
        <f>IFERROR(INDEX('الحضور'!$E$3:$E$502,MATCH(111,'الحضور'!$Q$3:$Q$502,0)),"")</f>
        <v/>
      </c>
      <c r="E117" s="115">
        <f>IFERROR(INDEX('الحضور'!$G$3:$G$502,MATCH(111,'الحضور'!$Q$3:$Q$502,0)),"")</f>
        <v/>
      </c>
      <c r="F117" s="55">
        <f>IFERROR(INDEX('الحضور'!$K$3:$K$502,MATCH(111,'الحضور'!$Q$3:$Q$502,0)),"")</f>
        <v/>
      </c>
      <c r="G117" s="43">
        <f>IFERROR(INDEX('الحضور'!$N$3:$N$502,MATCH(111,'الحضور'!$Q$3:$Q$502,0)),"")</f>
        <v/>
      </c>
      <c r="H117" s="43">
        <f>IFERROR(INDEX('الحضور'!$O$3:$O$502,MATCH(111,'الحضور'!$Q$3:$Q$502,0)),"")</f>
        <v/>
      </c>
    </row>
    <row r="118">
      <c r="A118" s="50">
        <f>IFERROR(INDEX('الحضور'!$A$3:$A$502,MATCH(112,'الحضور'!$Q$3:$Q$502,0)),"")</f>
        <v/>
      </c>
      <c r="B118" s="50">
        <f>IFERROR(INDEX('الحضور'!$B$3:$B$502,MATCH(112,'الحضور'!$Q$3:$Q$502,0)),"")</f>
        <v/>
      </c>
      <c r="C118" s="119">
        <f>IFERROR(INDEX('الحضور'!$C$3:$C$502,MATCH(112,'الحضور'!$Q$3:$Q$502,0)),"")</f>
        <v/>
      </c>
      <c r="D118" s="117">
        <f>IFERROR(INDEX('الحضور'!$E$3:$E$502,MATCH(112,'الحضور'!$Q$3:$Q$502,0)),"")</f>
        <v/>
      </c>
      <c r="E118" s="117">
        <f>IFERROR(INDEX('الحضور'!$G$3:$G$502,MATCH(112,'الحضور'!$Q$3:$Q$502,0)),"")</f>
        <v/>
      </c>
      <c r="F118" s="58">
        <f>IFERROR(INDEX('الحضور'!$K$3:$K$502,MATCH(112,'الحضور'!$Q$3:$Q$502,0)),"")</f>
        <v/>
      </c>
      <c r="G118" s="50">
        <f>IFERROR(INDEX('الحضور'!$N$3:$N$502,MATCH(112,'الحضور'!$Q$3:$Q$502,0)),"")</f>
        <v/>
      </c>
      <c r="H118" s="50">
        <f>IFERROR(INDEX('الحضور'!$O$3:$O$502,MATCH(112,'الحضور'!$Q$3:$Q$502,0)),"")</f>
        <v/>
      </c>
    </row>
    <row r="119">
      <c r="A119" s="43">
        <f>IFERROR(INDEX('الحضور'!$A$3:$A$502,MATCH(113,'الحضور'!$Q$3:$Q$502,0)),"")</f>
        <v/>
      </c>
      <c r="B119" s="43">
        <f>IFERROR(INDEX('الحضور'!$B$3:$B$502,MATCH(113,'الحضور'!$Q$3:$Q$502,0)),"")</f>
        <v/>
      </c>
      <c r="C119" s="118">
        <f>IFERROR(INDEX('الحضور'!$C$3:$C$502,MATCH(113,'الحضور'!$Q$3:$Q$502,0)),"")</f>
        <v/>
      </c>
      <c r="D119" s="115">
        <f>IFERROR(INDEX('الحضور'!$E$3:$E$502,MATCH(113,'الحضور'!$Q$3:$Q$502,0)),"")</f>
        <v/>
      </c>
      <c r="E119" s="115">
        <f>IFERROR(INDEX('الحضور'!$G$3:$G$502,MATCH(113,'الحضور'!$Q$3:$Q$502,0)),"")</f>
        <v/>
      </c>
      <c r="F119" s="55">
        <f>IFERROR(INDEX('الحضور'!$K$3:$K$502,MATCH(113,'الحضور'!$Q$3:$Q$502,0)),"")</f>
        <v/>
      </c>
      <c r="G119" s="43">
        <f>IFERROR(INDEX('الحضور'!$N$3:$N$502,MATCH(113,'الحضور'!$Q$3:$Q$502,0)),"")</f>
        <v/>
      </c>
      <c r="H119" s="43">
        <f>IFERROR(INDEX('الحضور'!$O$3:$O$502,MATCH(113,'الحضور'!$Q$3:$Q$502,0)),"")</f>
        <v/>
      </c>
    </row>
    <row r="120">
      <c r="A120" s="50">
        <f>IFERROR(INDEX('الحضور'!$A$3:$A$502,MATCH(114,'الحضور'!$Q$3:$Q$502,0)),"")</f>
        <v/>
      </c>
      <c r="B120" s="50">
        <f>IFERROR(INDEX('الحضور'!$B$3:$B$502,MATCH(114,'الحضور'!$Q$3:$Q$502,0)),"")</f>
        <v/>
      </c>
      <c r="C120" s="119">
        <f>IFERROR(INDEX('الحضور'!$C$3:$C$502,MATCH(114,'الحضور'!$Q$3:$Q$502,0)),"")</f>
        <v/>
      </c>
      <c r="D120" s="117">
        <f>IFERROR(INDEX('الحضور'!$E$3:$E$502,MATCH(114,'الحضور'!$Q$3:$Q$502,0)),"")</f>
        <v/>
      </c>
      <c r="E120" s="117">
        <f>IFERROR(INDEX('الحضور'!$G$3:$G$502,MATCH(114,'الحضور'!$Q$3:$Q$502,0)),"")</f>
        <v/>
      </c>
      <c r="F120" s="58">
        <f>IFERROR(INDEX('الحضور'!$K$3:$K$502,MATCH(114,'الحضور'!$Q$3:$Q$502,0)),"")</f>
        <v/>
      </c>
      <c r="G120" s="50">
        <f>IFERROR(INDEX('الحضور'!$N$3:$N$502,MATCH(114,'الحضور'!$Q$3:$Q$502,0)),"")</f>
        <v/>
      </c>
      <c r="H120" s="50">
        <f>IFERROR(INDEX('الحضور'!$O$3:$O$502,MATCH(114,'الحضور'!$Q$3:$Q$502,0)),"")</f>
        <v/>
      </c>
    </row>
    <row r="121">
      <c r="A121" s="43">
        <f>IFERROR(INDEX('الحضور'!$A$3:$A$502,MATCH(115,'الحضور'!$Q$3:$Q$502,0)),"")</f>
        <v/>
      </c>
      <c r="B121" s="43">
        <f>IFERROR(INDEX('الحضور'!$B$3:$B$502,MATCH(115,'الحضور'!$Q$3:$Q$502,0)),"")</f>
        <v/>
      </c>
      <c r="C121" s="118">
        <f>IFERROR(INDEX('الحضور'!$C$3:$C$502,MATCH(115,'الحضور'!$Q$3:$Q$502,0)),"")</f>
        <v/>
      </c>
      <c r="D121" s="115">
        <f>IFERROR(INDEX('الحضور'!$E$3:$E$502,MATCH(115,'الحضور'!$Q$3:$Q$502,0)),"")</f>
        <v/>
      </c>
      <c r="E121" s="115">
        <f>IFERROR(INDEX('الحضور'!$G$3:$G$502,MATCH(115,'الحضور'!$Q$3:$Q$502,0)),"")</f>
        <v/>
      </c>
      <c r="F121" s="55">
        <f>IFERROR(INDEX('الحضور'!$K$3:$K$502,MATCH(115,'الحضور'!$Q$3:$Q$502,0)),"")</f>
        <v/>
      </c>
      <c r="G121" s="43">
        <f>IFERROR(INDEX('الحضور'!$N$3:$N$502,MATCH(115,'الحضور'!$Q$3:$Q$502,0)),"")</f>
        <v/>
      </c>
      <c r="H121" s="43">
        <f>IFERROR(INDEX('الحضور'!$O$3:$O$502,MATCH(115,'الحضور'!$Q$3:$Q$502,0)),"")</f>
        <v/>
      </c>
    </row>
    <row r="122">
      <c r="A122" s="50">
        <f>IFERROR(INDEX('الحضور'!$A$3:$A$502,MATCH(116,'الحضور'!$Q$3:$Q$502,0)),"")</f>
        <v/>
      </c>
      <c r="B122" s="50">
        <f>IFERROR(INDEX('الحضور'!$B$3:$B$502,MATCH(116,'الحضور'!$Q$3:$Q$502,0)),"")</f>
        <v/>
      </c>
      <c r="C122" s="119">
        <f>IFERROR(INDEX('الحضور'!$C$3:$C$502,MATCH(116,'الحضور'!$Q$3:$Q$502,0)),"")</f>
        <v/>
      </c>
      <c r="D122" s="117">
        <f>IFERROR(INDEX('الحضور'!$E$3:$E$502,MATCH(116,'الحضور'!$Q$3:$Q$502,0)),"")</f>
        <v/>
      </c>
      <c r="E122" s="117">
        <f>IFERROR(INDEX('الحضور'!$G$3:$G$502,MATCH(116,'الحضور'!$Q$3:$Q$502,0)),"")</f>
        <v/>
      </c>
      <c r="F122" s="58">
        <f>IFERROR(INDEX('الحضور'!$K$3:$K$502,MATCH(116,'الحضور'!$Q$3:$Q$502,0)),"")</f>
        <v/>
      </c>
      <c r="G122" s="50">
        <f>IFERROR(INDEX('الحضور'!$N$3:$N$502,MATCH(116,'الحضور'!$Q$3:$Q$502,0)),"")</f>
        <v/>
      </c>
      <c r="H122" s="50">
        <f>IFERROR(INDEX('الحضور'!$O$3:$O$502,MATCH(116,'الحضور'!$Q$3:$Q$502,0)),"")</f>
        <v/>
      </c>
    </row>
    <row r="123">
      <c r="A123" s="43">
        <f>IFERROR(INDEX('الحضور'!$A$3:$A$502,MATCH(117,'الحضور'!$Q$3:$Q$502,0)),"")</f>
        <v/>
      </c>
      <c r="B123" s="43">
        <f>IFERROR(INDEX('الحضور'!$B$3:$B$502,MATCH(117,'الحضور'!$Q$3:$Q$502,0)),"")</f>
        <v/>
      </c>
      <c r="C123" s="118">
        <f>IFERROR(INDEX('الحضور'!$C$3:$C$502,MATCH(117,'الحضور'!$Q$3:$Q$502,0)),"")</f>
        <v/>
      </c>
      <c r="D123" s="115">
        <f>IFERROR(INDEX('الحضور'!$E$3:$E$502,MATCH(117,'الحضور'!$Q$3:$Q$502,0)),"")</f>
        <v/>
      </c>
      <c r="E123" s="115">
        <f>IFERROR(INDEX('الحضور'!$G$3:$G$502,MATCH(117,'الحضور'!$Q$3:$Q$502,0)),"")</f>
        <v/>
      </c>
      <c r="F123" s="55">
        <f>IFERROR(INDEX('الحضور'!$K$3:$K$502,MATCH(117,'الحضور'!$Q$3:$Q$502,0)),"")</f>
        <v/>
      </c>
      <c r="G123" s="43">
        <f>IFERROR(INDEX('الحضور'!$N$3:$N$502,MATCH(117,'الحضور'!$Q$3:$Q$502,0)),"")</f>
        <v/>
      </c>
      <c r="H123" s="43">
        <f>IFERROR(INDEX('الحضور'!$O$3:$O$502,MATCH(117,'الحضور'!$Q$3:$Q$502,0)),"")</f>
        <v/>
      </c>
    </row>
    <row r="124">
      <c r="A124" s="50">
        <f>IFERROR(INDEX('الحضور'!$A$3:$A$502,MATCH(118,'الحضور'!$Q$3:$Q$502,0)),"")</f>
        <v/>
      </c>
      <c r="B124" s="50">
        <f>IFERROR(INDEX('الحضور'!$B$3:$B$502,MATCH(118,'الحضور'!$Q$3:$Q$502,0)),"")</f>
        <v/>
      </c>
      <c r="C124" s="119">
        <f>IFERROR(INDEX('الحضور'!$C$3:$C$502,MATCH(118,'الحضور'!$Q$3:$Q$502,0)),"")</f>
        <v/>
      </c>
      <c r="D124" s="117">
        <f>IFERROR(INDEX('الحضور'!$E$3:$E$502,MATCH(118,'الحضور'!$Q$3:$Q$502,0)),"")</f>
        <v/>
      </c>
      <c r="E124" s="117">
        <f>IFERROR(INDEX('الحضور'!$G$3:$G$502,MATCH(118,'الحضور'!$Q$3:$Q$502,0)),"")</f>
        <v/>
      </c>
      <c r="F124" s="58">
        <f>IFERROR(INDEX('الحضور'!$K$3:$K$502,MATCH(118,'الحضور'!$Q$3:$Q$502,0)),"")</f>
        <v/>
      </c>
      <c r="G124" s="50">
        <f>IFERROR(INDEX('الحضور'!$N$3:$N$502,MATCH(118,'الحضور'!$Q$3:$Q$502,0)),"")</f>
        <v/>
      </c>
      <c r="H124" s="50">
        <f>IFERROR(INDEX('الحضور'!$O$3:$O$502,MATCH(118,'الحضور'!$Q$3:$Q$502,0)),"")</f>
        <v/>
      </c>
    </row>
    <row r="125">
      <c r="A125" s="43">
        <f>IFERROR(INDEX('الحضور'!$A$3:$A$502,MATCH(119,'الحضور'!$Q$3:$Q$502,0)),"")</f>
        <v/>
      </c>
      <c r="B125" s="43">
        <f>IFERROR(INDEX('الحضور'!$B$3:$B$502,MATCH(119,'الحضور'!$Q$3:$Q$502,0)),"")</f>
        <v/>
      </c>
      <c r="C125" s="118">
        <f>IFERROR(INDEX('الحضور'!$C$3:$C$502,MATCH(119,'الحضور'!$Q$3:$Q$502,0)),"")</f>
        <v/>
      </c>
      <c r="D125" s="115">
        <f>IFERROR(INDEX('الحضور'!$E$3:$E$502,MATCH(119,'الحضور'!$Q$3:$Q$502,0)),"")</f>
        <v/>
      </c>
      <c r="E125" s="115">
        <f>IFERROR(INDEX('الحضور'!$G$3:$G$502,MATCH(119,'الحضور'!$Q$3:$Q$502,0)),"")</f>
        <v/>
      </c>
      <c r="F125" s="55">
        <f>IFERROR(INDEX('الحضور'!$K$3:$K$502,MATCH(119,'الحضور'!$Q$3:$Q$502,0)),"")</f>
        <v/>
      </c>
      <c r="G125" s="43">
        <f>IFERROR(INDEX('الحضور'!$N$3:$N$502,MATCH(119,'الحضور'!$Q$3:$Q$502,0)),"")</f>
        <v/>
      </c>
      <c r="H125" s="43">
        <f>IFERROR(INDEX('الحضور'!$O$3:$O$502,MATCH(119,'الحضور'!$Q$3:$Q$502,0)),"")</f>
        <v/>
      </c>
    </row>
    <row r="126">
      <c r="A126" s="50">
        <f>IFERROR(INDEX('الحضور'!$A$3:$A$502,MATCH(120,'الحضور'!$Q$3:$Q$502,0)),"")</f>
        <v/>
      </c>
      <c r="B126" s="50">
        <f>IFERROR(INDEX('الحضور'!$B$3:$B$502,MATCH(120,'الحضور'!$Q$3:$Q$502,0)),"")</f>
        <v/>
      </c>
      <c r="C126" s="119">
        <f>IFERROR(INDEX('الحضور'!$C$3:$C$502,MATCH(120,'الحضور'!$Q$3:$Q$502,0)),"")</f>
        <v/>
      </c>
      <c r="D126" s="117">
        <f>IFERROR(INDEX('الحضور'!$E$3:$E$502,MATCH(120,'الحضور'!$Q$3:$Q$502,0)),"")</f>
        <v/>
      </c>
      <c r="E126" s="117">
        <f>IFERROR(INDEX('الحضور'!$G$3:$G$502,MATCH(120,'الحضور'!$Q$3:$Q$502,0)),"")</f>
        <v/>
      </c>
      <c r="F126" s="58">
        <f>IFERROR(INDEX('الحضور'!$K$3:$K$502,MATCH(120,'الحضور'!$Q$3:$Q$502,0)),"")</f>
        <v/>
      </c>
      <c r="G126" s="50">
        <f>IFERROR(INDEX('الحضور'!$N$3:$N$502,MATCH(120,'الحضور'!$Q$3:$Q$502,0)),"")</f>
        <v/>
      </c>
      <c r="H126" s="50">
        <f>IFERROR(INDEX('الحضور'!$O$3:$O$502,MATCH(120,'الحضور'!$Q$3:$Q$502,0)),"")</f>
        <v/>
      </c>
    </row>
    <row r="127">
      <c r="A127" s="43">
        <f>IFERROR(INDEX('الحضور'!$A$3:$A$502,MATCH(121,'الحضور'!$Q$3:$Q$502,0)),"")</f>
        <v/>
      </c>
      <c r="B127" s="43">
        <f>IFERROR(INDEX('الحضور'!$B$3:$B$502,MATCH(121,'الحضور'!$Q$3:$Q$502,0)),"")</f>
        <v/>
      </c>
      <c r="C127" s="118">
        <f>IFERROR(INDEX('الحضور'!$C$3:$C$502,MATCH(121,'الحضور'!$Q$3:$Q$502,0)),"")</f>
        <v/>
      </c>
      <c r="D127" s="115">
        <f>IFERROR(INDEX('الحضور'!$E$3:$E$502,MATCH(121,'الحضور'!$Q$3:$Q$502,0)),"")</f>
        <v/>
      </c>
      <c r="E127" s="115">
        <f>IFERROR(INDEX('الحضور'!$G$3:$G$502,MATCH(121,'الحضور'!$Q$3:$Q$502,0)),"")</f>
        <v/>
      </c>
      <c r="F127" s="55">
        <f>IFERROR(INDEX('الحضور'!$K$3:$K$502,MATCH(121,'الحضور'!$Q$3:$Q$502,0)),"")</f>
        <v/>
      </c>
      <c r="G127" s="43">
        <f>IFERROR(INDEX('الحضور'!$N$3:$N$502,MATCH(121,'الحضور'!$Q$3:$Q$502,0)),"")</f>
        <v/>
      </c>
      <c r="H127" s="43">
        <f>IFERROR(INDEX('الحضور'!$O$3:$O$502,MATCH(121,'الحضور'!$Q$3:$Q$502,0)),"")</f>
        <v/>
      </c>
    </row>
    <row r="128">
      <c r="A128" s="50">
        <f>IFERROR(INDEX('الحضور'!$A$3:$A$502,MATCH(122,'الحضور'!$Q$3:$Q$502,0)),"")</f>
        <v/>
      </c>
      <c r="B128" s="50">
        <f>IFERROR(INDEX('الحضور'!$B$3:$B$502,MATCH(122,'الحضور'!$Q$3:$Q$502,0)),"")</f>
        <v/>
      </c>
      <c r="C128" s="119">
        <f>IFERROR(INDEX('الحضور'!$C$3:$C$502,MATCH(122,'الحضور'!$Q$3:$Q$502,0)),"")</f>
        <v/>
      </c>
      <c r="D128" s="117">
        <f>IFERROR(INDEX('الحضور'!$E$3:$E$502,MATCH(122,'الحضور'!$Q$3:$Q$502,0)),"")</f>
        <v/>
      </c>
      <c r="E128" s="117">
        <f>IFERROR(INDEX('الحضور'!$G$3:$G$502,MATCH(122,'الحضور'!$Q$3:$Q$502,0)),"")</f>
        <v/>
      </c>
      <c r="F128" s="58">
        <f>IFERROR(INDEX('الحضور'!$K$3:$K$502,MATCH(122,'الحضور'!$Q$3:$Q$502,0)),"")</f>
        <v/>
      </c>
      <c r="G128" s="50">
        <f>IFERROR(INDEX('الحضور'!$N$3:$N$502,MATCH(122,'الحضور'!$Q$3:$Q$502,0)),"")</f>
        <v/>
      </c>
      <c r="H128" s="50">
        <f>IFERROR(INDEX('الحضور'!$O$3:$O$502,MATCH(122,'الحضور'!$Q$3:$Q$502,0)),"")</f>
        <v/>
      </c>
    </row>
    <row r="129">
      <c r="A129" s="43">
        <f>IFERROR(INDEX('الحضور'!$A$3:$A$502,MATCH(123,'الحضور'!$Q$3:$Q$502,0)),"")</f>
        <v/>
      </c>
      <c r="B129" s="43">
        <f>IFERROR(INDEX('الحضور'!$B$3:$B$502,MATCH(123,'الحضور'!$Q$3:$Q$502,0)),"")</f>
        <v/>
      </c>
      <c r="C129" s="118">
        <f>IFERROR(INDEX('الحضور'!$C$3:$C$502,MATCH(123,'الحضور'!$Q$3:$Q$502,0)),"")</f>
        <v/>
      </c>
      <c r="D129" s="115">
        <f>IFERROR(INDEX('الحضور'!$E$3:$E$502,MATCH(123,'الحضور'!$Q$3:$Q$502,0)),"")</f>
        <v/>
      </c>
      <c r="E129" s="115">
        <f>IFERROR(INDEX('الحضور'!$G$3:$G$502,MATCH(123,'الحضور'!$Q$3:$Q$502,0)),"")</f>
        <v/>
      </c>
      <c r="F129" s="55">
        <f>IFERROR(INDEX('الحضور'!$K$3:$K$502,MATCH(123,'الحضور'!$Q$3:$Q$502,0)),"")</f>
        <v/>
      </c>
      <c r="G129" s="43">
        <f>IFERROR(INDEX('الحضور'!$N$3:$N$502,MATCH(123,'الحضور'!$Q$3:$Q$502,0)),"")</f>
        <v/>
      </c>
      <c r="H129" s="43">
        <f>IFERROR(INDEX('الحضور'!$O$3:$O$502,MATCH(123,'الحضور'!$Q$3:$Q$502,0)),"")</f>
        <v/>
      </c>
    </row>
    <row r="130">
      <c r="A130" s="50">
        <f>IFERROR(INDEX('الحضور'!$A$3:$A$502,MATCH(124,'الحضور'!$Q$3:$Q$502,0)),"")</f>
        <v/>
      </c>
      <c r="B130" s="50">
        <f>IFERROR(INDEX('الحضور'!$B$3:$B$502,MATCH(124,'الحضور'!$Q$3:$Q$502,0)),"")</f>
        <v/>
      </c>
      <c r="C130" s="119">
        <f>IFERROR(INDEX('الحضور'!$C$3:$C$502,MATCH(124,'الحضور'!$Q$3:$Q$502,0)),"")</f>
        <v/>
      </c>
      <c r="D130" s="117">
        <f>IFERROR(INDEX('الحضور'!$E$3:$E$502,MATCH(124,'الحضور'!$Q$3:$Q$502,0)),"")</f>
        <v/>
      </c>
      <c r="E130" s="117">
        <f>IFERROR(INDEX('الحضور'!$G$3:$G$502,MATCH(124,'الحضور'!$Q$3:$Q$502,0)),"")</f>
        <v/>
      </c>
      <c r="F130" s="58">
        <f>IFERROR(INDEX('الحضور'!$K$3:$K$502,MATCH(124,'الحضور'!$Q$3:$Q$502,0)),"")</f>
        <v/>
      </c>
      <c r="G130" s="50">
        <f>IFERROR(INDEX('الحضور'!$N$3:$N$502,MATCH(124,'الحضور'!$Q$3:$Q$502,0)),"")</f>
        <v/>
      </c>
      <c r="H130" s="50">
        <f>IFERROR(INDEX('الحضور'!$O$3:$O$502,MATCH(124,'الحضور'!$Q$3:$Q$502,0)),"")</f>
        <v/>
      </c>
    </row>
    <row r="131">
      <c r="A131" s="43">
        <f>IFERROR(INDEX('الحضور'!$A$3:$A$502,MATCH(125,'الحضور'!$Q$3:$Q$502,0)),"")</f>
        <v/>
      </c>
      <c r="B131" s="43">
        <f>IFERROR(INDEX('الحضور'!$B$3:$B$502,MATCH(125,'الحضور'!$Q$3:$Q$502,0)),"")</f>
        <v/>
      </c>
      <c r="C131" s="118">
        <f>IFERROR(INDEX('الحضور'!$C$3:$C$502,MATCH(125,'الحضور'!$Q$3:$Q$502,0)),"")</f>
        <v/>
      </c>
      <c r="D131" s="115">
        <f>IFERROR(INDEX('الحضور'!$E$3:$E$502,MATCH(125,'الحضور'!$Q$3:$Q$502,0)),"")</f>
        <v/>
      </c>
      <c r="E131" s="115">
        <f>IFERROR(INDEX('الحضور'!$G$3:$G$502,MATCH(125,'الحضور'!$Q$3:$Q$502,0)),"")</f>
        <v/>
      </c>
      <c r="F131" s="55">
        <f>IFERROR(INDEX('الحضور'!$K$3:$K$502,MATCH(125,'الحضور'!$Q$3:$Q$502,0)),"")</f>
        <v/>
      </c>
      <c r="G131" s="43">
        <f>IFERROR(INDEX('الحضور'!$N$3:$N$502,MATCH(125,'الحضور'!$Q$3:$Q$502,0)),"")</f>
        <v/>
      </c>
      <c r="H131" s="43">
        <f>IFERROR(INDEX('الحضور'!$O$3:$O$502,MATCH(125,'الحضور'!$Q$3:$Q$502,0)),"")</f>
        <v/>
      </c>
    </row>
    <row r="132">
      <c r="A132" s="50">
        <f>IFERROR(INDEX('الحضور'!$A$3:$A$502,MATCH(126,'الحضور'!$Q$3:$Q$502,0)),"")</f>
        <v/>
      </c>
      <c r="B132" s="50">
        <f>IFERROR(INDEX('الحضور'!$B$3:$B$502,MATCH(126,'الحضور'!$Q$3:$Q$502,0)),"")</f>
        <v/>
      </c>
      <c r="C132" s="119">
        <f>IFERROR(INDEX('الحضور'!$C$3:$C$502,MATCH(126,'الحضور'!$Q$3:$Q$502,0)),"")</f>
        <v/>
      </c>
      <c r="D132" s="117">
        <f>IFERROR(INDEX('الحضور'!$E$3:$E$502,MATCH(126,'الحضور'!$Q$3:$Q$502,0)),"")</f>
        <v/>
      </c>
      <c r="E132" s="117">
        <f>IFERROR(INDEX('الحضور'!$G$3:$G$502,MATCH(126,'الحضور'!$Q$3:$Q$502,0)),"")</f>
        <v/>
      </c>
      <c r="F132" s="58">
        <f>IFERROR(INDEX('الحضور'!$K$3:$K$502,MATCH(126,'الحضور'!$Q$3:$Q$502,0)),"")</f>
        <v/>
      </c>
      <c r="G132" s="50">
        <f>IFERROR(INDEX('الحضور'!$N$3:$N$502,MATCH(126,'الحضور'!$Q$3:$Q$502,0)),"")</f>
        <v/>
      </c>
      <c r="H132" s="50">
        <f>IFERROR(INDEX('الحضور'!$O$3:$O$502,MATCH(126,'الحضور'!$Q$3:$Q$502,0)),"")</f>
        <v/>
      </c>
    </row>
    <row r="133">
      <c r="A133" s="43">
        <f>IFERROR(INDEX('الحضور'!$A$3:$A$502,MATCH(127,'الحضور'!$Q$3:$Q$502,0)),"")</f>
        <v/>
      </c>
      <c r="B133" s="43">
        <f>IFERROR(INDEX('الحضور'!$B$3:$B$502,MATCH(127,'الحضور'!$Q$3:$Q$502,0)),"")</f>
        <v/>
      </c>
      <c r="C133" s="118">
        <f>IFERROR(INDEX('الحضور'!$C$3:$C$502,MATCH(127,'الحضور'!$Q$3:$Q$502,0)),"")</f>
        <v/>
      </c>
      <c r="D133" s="115">
        <f>IFERROR(INDEX('الحضور'!$E$3:$E$502,MATCH(127,'الحضور'!$Q$3:$Q$502,0)),"")</f>
        <v/>
      </c>
      <c r="E133" s="115">
        <f>IFERROR(INDEX('الحضور'!$G$3:$G$502,MATCH(127,'الحضور'!$Q$3:$Q$502,0)),"")</f>
        <v/>
      </c>
      <c r="F133" s="55">
        <f>IFERROR(INDEX('الحضور'!$K$3:$K$502,MATCH(127,'الحضور'!$Q$3:$Q$502,0)),"")</f>
        <v/>
      </c>
      <c r="G133" s="43">
        <f>IFERROR(INDEX('الحضور'!$N$3:$N$502,MATCH(127,'الحضور'!$Q$3:$Q$502,0)),"")</f>
        <v/>
      </c>
      <c r="H133" s="43">
        <f>IFERROR(INDEX('الحضور'!$O$3:$O$502,MATCH(127,'الحضور'!$Q$3:$Q$502,0)),"")</f>
        <v/>
      </c>
    </row>
    <row r="134">
      <c r="A134" s="50">
        <f>IFERROR(INDEX('الحضور'!$A$3:$A$502,MATCH(128,'الحضور'!$Q$3:$Q$502,0)),"")</f>
        <v/>
      </c>
      <c r="B134" s="50">
        <f>IFERROR(INDEX('الحضور'!$B$3:$B$502,MATCH(128,'الحضور'!$Q$3:$Q$502,0)),"")</f>
        <v/>
      </c>
      <c r="C134" s="119">
        <f>IFERROR(INDEX('الحضور'!$C$3:$C$502,MATCH(128,'الحضور'!$Q$3:$Q$502,0)),"")</f>
        <v/>
      </c>
      <c r="D134" s="117">
        <f>IFERROR(INDEX('الحضور'!$E$3:$E$502,MATCH(128,'الحضور'!$Q$3:$Q$502,0)),"")</f>
        <v/>
      </c>
      <c r="E134" s="117">
        <f>IFERROR(INDEX('الحضور'!$G$3:$G$502,MATCH(128,'الحضور'!$Q$3:$Q$502,0)),"")</f>
        <v/>
      </c>
      <c r="F134" s="58">
        <f>IFERROR(INDEX('الحضور'!$K$3:$K$502,MATCH(128,'الحضور'!$Q$3:$Q$502,0)),"")</f>
        <v/>
      </c>
      <c r="G134" s="50">
        <f>IFERROR(INDEX('الحضور'!$N$3:$N$502,MATCH(128,'الحضور'!$Q$3:$Q$502,0)),"")</f>
        <v/>
      </c>
      <c r="H134" s="50">
        <f>IFERROR(INDEX('الحضور'!$O$3:$O$502,MATCH(128,'الحضور'!$Q$3:$Q$502,0)),"")</f>
        <v/>
      </c>
    </row>
    <row r="135">
      <c r="A135" s="43">
        <f>IFERROR(INDEX('الحضور'!$A$3:$A$502,MATCH(129,'الحضور'!$Q$3:$Q$502,0)),"")</f>
        <v/>
      </c>
      <c r="B135" s="43">
        <f>IFERROR(INDEX('الحضور'!$B$3:$B$502,MATCH(129,'الحضور'!$Q$3:$Q$502,0)),"")</f>
        <v/>
      </c>
      <c r="C135" s="118">
        <f>IFERROR(INDEX('الحضور'!$C$3:$C$502,MATCH(129,'الحضور'!$Q$3:$Q$502,0)),"")</f>
        <v/>
      </c>
      <c r="D135" s="115">
        <f>IFERROR(INDEX('الحضور'!$E$3:$E$502,MATCH(129,'الحضور'!$Q$3:$Q$502,0)),"")</f>
        <v/>
      </c>
      <c r="E135" s="115">
        <f>IFERROR(INDEX('الحضور'!$G$3:$G$502,MATCH(129,'الحضور'!$Q$3:$Q$502,0)),"")</f>
        <v/>
      </c>
      <c r="F135" s="55">
        <f>IFERROR(INDEX('الحضور'!$K$3:$K$502,MATCH(129,'الحضور'!$Q$3:$Q$502,0)),"")</f>
        <v/>
      </c>
      <c r="G135" s="43">
        <f>IFERROR(INDEX('الحضور'!$N$3:$N$502,MATCH(129,'الحضور'!$Q$3:$Q$502,0)),"")</f>
        <v/>
      </c>
      <c r="H135" s="43">
        <f>IFERROR(INDEX('الحضور'!$O$3:$O$502,MATCH(129,'الحضور'!$Q$3:$Q$502,0)),"")</f>
        <v/>
      </c>
    </row>
    <row r="136">
      <c r="A136" s="50">
        <f>IFERROR(INDEX('الحضور'!$A$3:$A$502,MATCH(130,'الحضور'!$Q$3:$Q$502,0)),"")</f>
        <v/>
      </c>
      <c r="B136" s="50">
        <f>IFERROR(INDEX('الحضور'!$B$3:$B$502,MATCH(130,'الحضور'!$Q$3:$Q$502,0)),"")</f>
        <v/>
      </c>
      <c r="C136" s="119">
        <f>IFERROR(INDEX('الحضور'!$C$3:$C$502,MATCH(130,'الحضور'!$Q$3:$Q$502,0)),"")</f>
        <v/>
      </c>
      <c r="D136" s="117">
        <f>IFERROR(INDEX('الحضور'!$E$3:$E$502,MATCH(130,'الحضور'!$Q$3:$Q$502,0)),"")</f>
        <v/>
      </c>
      <c r="E136" s="117">
        <f>IFERROR(INDEX('الحضور'!$G$3:$G$502,MATCH(130,'الحضور'!$Q$3:$Q$502,0)),"")</f>
        <v/>
      </c>
      <c r="F136" s="58">
        <f>IFERROR(INDEX('الحضور'!$K$3:$K$502,MATCH(130,'الحضور'!$Q$3:$Q$502,0)),"")</f>
        <v/>
      </c>
      <c r="G136" s="50">
        <f>IFERROR(INDEX('الحضور'!$N$3:$N$502,MATCH(130,'الحضور'!$Q$3:$Q$502,0)),"")</f>
        <v/>
      </c>
      <c r="H136" s="50">
        <f>IFERROR(INDEX('الحضور'!$O$3:$O$502,MATCH(130,'الحضور'!$Q$3:$Q$502,0)),"")</f>
        <v/>
      </c>
    </row>
    <row r="137">
      <c r="A137" s="43">
        <f>IFERROR(INDEX('الحضور'!$A$3:$A$502,MATCH(131,'الحضور'!$Q$3:$Q$502,0)),"")</f>
        <v/>
      </c>
      <c r="B137" s="43">
        <f>IFERROR(INDEX('الحضور'!$B$3:$B$502,MATCH(131,'الحضور'!$Q$3:$Q$502,0)),"")</f>
        <v/>
      </c>
      <c r="C137" s="118">
        <f>IFERROR(INDEX('الحضور'!$C$3:$C$502,MATCH(131,'الحضور'!$Q$3:$Q$502,0)),"")</f>
        <v/>
      </c>
      <c r="D137" s="115">
        <f>IFERROR(INDEX('الحضور'!$E$3:$E$502,MATCH(131,'الحضور'!$Q$3:$Q$502,0)),"")</f>
        <v/>
      </c>
      <c r="E137" s="115">
        <f>IFERROR(INDEX('الحضور'!$G$3:$G$502,MATCH(131,'الحضور'!$Q$3:$Q$502,0)),"")</f>
        <v/>
      </c>
      <c r="F137" s="55">
        <f>IFERROR(INDEX('الحضور'!$K$3:$K$502,MATCH(131,'الحضور'!$Q$3:$Q$502,0)),"")</f>
        <v/>
      </c>
      <c r="G137" s="43">
        <f>IFERROR(INDEX('الحضور'!$N$3:$N$502,MATCH(131,'الحضور'!$Q$3:$Q$502,0)),"")</f>
        <v/>
      </c>
      <c r="H137" s="43">
        <f>IFERROR(INDEX('الحضور'!$O$3:$O$502,MATCH(131,'الحضور'!$Q$3:$Q$502,0)),"")</f>
        <v/>
      </c>
    </row>
    <row r="138">
      <c r="A138" s="50">
        <f>IFERROR(INDEX('الحضور'!$A$3:$A$502,MATCH(132,'الحضور'!$Q$3:$Q$502,0)),"")</f>
        <v/>
      </c>
      <c r="B138" s="50">
        <f>IFERROR(INDEX('الحضور'!$B$3:$B$502,MATCH(132,'الحضور'!$Q$3:$Q$502,0)),"")</f>
        <v/>
      </c>
      <c r="C138" s="119">
        <f>IFERROR(INDEX('الحضور'!$C$3:$C$502,MATCH(132,'الحضور'!$Q$3:$Q$502,0)),"")</f>
        <v/>
      </c>
      <c r="D138" s="117">
        <f>IFERROR(INDEX('الحضور'!$E$3:$E$502,MATCH(132,'الحضور'!$Q$3:$Q$502,0)),"")</f>
        <v/>
      </c>
      <c r="E138" s="117">
        <f>IFERROR(INDEX('الحضور'!$G$3:$G$502,MATCH(132,'الحضور'!$Q$3:$Q$502,0)),"")</f>
        <v/>
      </c>
      <c r="F138" s="58">
        <f>IFERROR(INDEX('الحضور'!$K$3:$K$502,MATCH(132,'الحضور'!$Q$3:$Q$502,0)),"")</f>
        <v/>
      </c>
      <c r="G138" s="50">
        <f>IFERROR(INDEX('الحضور'!$N$3:$N$502,MATCH(132,'الحضور'!$Q$3:$Q$502,0)),"")</f>
        <v/>
      </c>
      <c r="H138" s="50">
        <f>IFERROR(INDEX('الحضور'!$O$3:$O$502,MATCH(132,'الحضور'!$Q$3:$Q$502,0)),"")</f>
        <v/>
      </c>
    </row>
    <row r="139">
      <c r="A139" s="43">
        <f>IFERROR(INDEX('الحضور'!$A$3:$A$502,MATCH(133,'الحضور'!$Q$3:$Q$502,0)),"")</f>
        <v/>
      </c>
      <c r="B139" s="43">
        <f>IFERROR(INDEX('الحضور'!$B$3:$B$502,MATCH(133,'الحضور'!$Q$3:$Q$502,0)),"")</f>
        <v/>
      </c>
      <c r="C139" s="118">
        <f>IFERROR(INDEX('الحضور'!$C$3:$C$502,MATCH(133,'الحضور'!$Q$3:$Q$502,0)),"")</f>
        <v/>
      </c>
      <c r="D139" s="115">
        <f>IFERROR(INDEX('الحضور'!$E$3:$E$502,MATCH(133,'الحضور'!$Q$3:$Q$502,0)),"")</f>
        <v/>
      </c>
      <c r="E139" s="115">
        <f>IFERROR(INDEX('الحضور'!$G$3:$G$502,MATCH(133,'الحضور'!$Q$3:$Q$502,0)),"")</f>
        <v/>
      </c>
      <c r="F139" s="55">
        <f>IFERROR(INDEX('الحضور'!$K$3:$K$502,MATCH(133,'الحضور'!$Q$3:$Q$502,0)),"")</f>
        <v/>
      </c>
      <c r="G139" s="43">
        <f>IFERROR(INDEX('الحضور'!$N$3:$N$502,MATCH(133,'الحضور'!$Q$3:$Q$502,0)),"")</f>
        <v/>
      </c>
      <c r="H139" s="43">
        <f>IFERROR(INDEX('الحضور'!$O$3:$O$502,MATCH(133,'الحضور'!$Q$3:$Q$502,0)),"")</f>
        <v/>
      </c>
    </row>
    <row r="140">
      <c r="A140" s="50">
        <f>IFERROR(INDEX('الحضور'!$A$3:$A$502,MATCH(134,'الحضور'!$Q$3:$Q$502,0)),"")</f>
        <v/>
      </c>
      <c r="B140" s="50">
        <f>IFERROR(INDEX('الحضور'!$B$3:$B$502,MATCH(134,'الحضور'!$Q$3:$Q$502,0)),"")</f>
        <v/>
      </c>
      <c r="C140" s="119">
        <f>IFERROR(INDEX('الحضور'!$C$3:$C$502,MATCH(134,'الحضور'!$Q$3:$Q$502,0)),"")</f>
        <v/>
      </c>
      <c r="D140" s="117">
        <f>IFERROR(INDEX('الحضور'!$E$3:$E$502,MATCH(134,'الحضور'!$Q$3:$Q$502,0)),"")</f>
        <v/>
      </c>
      <c r="E140" s="117">
        <f>IFERROR(INDEX('الحضور'!$G$3:$G$502,MATCH(134,'الحضور'!$Q$3:$Q$502,0)),"")</f>
        <v/>
      </c>
      <c r="F140" s="58">
        <f>IFERROR(INDEX('الحضور'!$K$3:$K$502,MATCH(134,'الحضور'!$Q$3:$Q$502,0)),"")</f>
        <v/>
      </c>
      <c r="G140" s="50">
        <f>IFERROR(INDEX('الحضور'!$N$3:$N$502,MATCH(134,'الحضور'!$Q$3:$Q$502,0)),"")</f>
        <v/>
      </c>
      <c r="H140" s="50">
        <f>IFERROR(INDEX('الحضور'!$O$3:$O$502,MATCH(134,'الحضور'!$Q$3:$Q$502,0)),"")</f>
        <v/>
      </c>
    </row>
    <row r="141">
      <c r="A141" s="43">
        <f>IFERROR(INDEX('الحضور'!$A$3:$A$502,MATCH(135,'الحضور'!$Q$3:$Q$502,0)),"")</f>
        <v/>
      </c>
      <c r="B141" s="43">
        <f>IFERROR(INDEX('الحضور'!$B$3:$B$502,MATCH(135,'الحضور'!$Q$3:$Q$502,0)),"")</f>
        <v/>
      </c>
      <c r="C141" s="118">
        <f>IFERROR(INDEX('الحضور'!$C$3:$C$502,MATCH(135,'الحضور'!$Q$3:$Q$502,0)),"")</f>
        <v/>
      </c>
      <c r="D141" s="115">
        <f>IFERROR(INDEX('الحضور'!$E$3:$E$502,MATCH(135,'الحضور'!$Q$3:$Q$502,0)),"")</f>
        <v/>
      </c>
      <c r="E141" s="115">
        <f>IFERROR(INDEX('الحضور'!$G$3:$G$502,MATCH(135,'الحضور'!$Q$3:$Q$502,0)),"")</f>
        <v/>
      </c>
      <c r="F141" s="55">
        <f>IFERROR(INDEX('الحضور'!$K$3:$K$502,MATCH(135,'الحضور'!$Q$3:$Q$502,0)),"")</f>
        <v/>
      </c>
      <c r="G141" s="43">
        <f>IFERROR(INDEX('الحضور'!$N$3:$N$502,MATCH(135,'الحضور'!$Q$3:$Q$502,0)),"")</f>
        <v/>
      </c>
      <c r="H141" s="43">
        <f>IFERROR(INDEX('الحضور'!$O$3:$O$502,MATCH(135,'الحضور'!$Q$3:$Q$502,0)),"")</f>
        <v/>
      </c>
    </row>
    <row r="142">
      <c r="A142" s="50">
        <f>IFERROR(INDEX('الحضور'!$A$3:$A$502,MATCH(136,'الحضور'!$Q$3:$Q$502,0)),"")</f>
        <v/>
      </c>
      <c r="B142" s="50">
        <f>IFERROR(INDEX('الحضور'!$B$3:$B$502,MATCH(136,'الحضور'!$Q$3:$Q$502,0)),"")</f>
        <v/>
      </c>
      <c r="C142" s="119">
        <f>IFERROR(INDEX('الحضور'!$C$3:$C$502,MATCH(136,'الحضور'!$Q$3:$Q$502,0)),"")</f>
        <v/>
      </c>
      <c r="D142" s="117">
        <f>IFERROR(INDEX('الحضور'!$E$3:$E$502,MATCH(136,'الحضور'!$Q$3:$Q$502,0)),"")</f>
        <v/>
      </c>
      <c r="E142" s="117">
        <f>IFERROR(INDEX('الحضور'!$G$3:$G$502,MATCH(136,'الحضور'!$Q$3:$Q$502,0)),"")</f>
        <v/>
      </c>
      <c r="F142" s="58">
        <f>IFERROR(INDEX('الحضور'!$K$3:$K$502,MATCH(136,'الحضور'!$Q$3:$Q$502,0)),"")</f>
        <v/>
      </c>
      <c r="G142" s="50">
        <f>IFERROR(INDEX('الحضور'!$N$3:$N$502,MATCH(136,'الحضور'!$Q$3:$Q$502,0)),"")</f>
        <v/>
      </c>
      <c r="H142" s="50">
        <f>IFERROR(INDEX('الحضور'!$O$3:$O$502,MATCH(136,'الحضور'!$Q$3:$Q$502,0)),"")</f>
        <v/>
      </c>
    </row>
    <row r="143">
      <c r="A143" s="43">
        <f>IFERROR(INDEX('الحضور'!$A$3:$A$502,MATCH(137,'الحضور'!$Q$3:$Q$502,0)),"")</f>
        <v/>
      </c>
      <c r="B143" s="43">
        <f>IFERROR(INDEX('الحضور'!$B$3:$B$502,MATCH(137,'الحضور'!$Q$3:$Q$502,0)),"")</f>
        <v/>
      </c>
      <c r="C143" s="118">
        <f>IFERROR(INDEX('الحضور'!$C$3:$C$502,MATCH(137,'الحضور'!$Q$3:$Q$502,0)),"")</f>
        <v/>
      </c>
      <c r="D143" s="115">
        <f>IFERROR(INDEX('الحضور'!$E$3:$E$502,MATCH(137,'الحضور'!$Q$3:$Q$502,0)),"")</f>
        <v/>
      </c>
      <c r="E143" s="115">
        <f>IFERROR(INDEX('الحضور'!$G$3:$G$502,MATCH(137,'الحضور'!$Q$3:$Q$502,0)),"")</f>
        <v/>
      </c>
      <c r="F143" s="55">
        <f>IFERROR(INDEX('الحضور'!$K$3:$K$502,MATCH(137,'الحضور'!$Q$3:$Q$502,0)),"")</f>
        <v/>
      </c>
      <c r="G143" s="43">
        <f>IFERROR(INDEX('الحضور'!$N$3:$N$502,MATCH(137,'الحضور'!$Q$3:$Q$502,0)),"")</f>
        <v/>
      </c>
      <c r="H143" s="43">
        <f>IFERROR(INDEX('الحضور'!$O$3:$O$502,MATCH(137,'الحضور'!$Q$3:$Q$502,0)),"")</f>
        <v/>
      </c>
    </row>
    <row r="144">
      <c r="A144" s="50">
        <f>IFERROR(INDEX('الحضور'!$A$3:$A$502,MATCH(138,'الحضور'!$Q$3:$Q$502,0)),"")</f>
        <v/>
      </c>
      <c r="B144" s="50">
        <f>IFERROR(INDEX('الحضور'!$B$3:$B$502,MATCH(138,'الحضور'!$Q$3:$Q$502,0)),"")</f>
        <v/>
      </c>
      <c r="C144" s="119">
        <f>IFERROR(INDEX('الحضور'!$C$3:$C$502,MATCH(138,'الحضور'!$Q$3:$Q$502,0)),"")</f>
        <v/>
      </c>
      <c r="D144" s="117">
        <f>IFERROR(INDEX('الحضور'!$E$3:$E$502,MATCH(138,'الحضور'!$Q$3:$Q$502,0)),"")</f>
        <v/>
      </c>
      <c r="E144" s="117">
        <f>IFERROR(INDEX('الحضور'!$G$3:$G$502,MATCH(138,'الحضور'!$Q$3:$Q$502,0)),"")</f>
        <v/>
      </c>
      <c r="F144" s="58">
        <f>IFERROR(INDEX('الحضور'!$K$3:$K$502,MATCH(138,'الحضور'!$Q$3:$Q$502,0)),"")</f>
        <v/>
      </c>
      <c r="G144" s="50">
        <f>IFERROR(INDEX('الحضور'!$N$3:$N$502,MATCH(138,'الحضور'!$Q$3:$Q$502,0)),"")</f>
        <v/>
      </c>
      <c r="H144" s="50">
        <f>IFERROR(INDEX('الحضور'!$O$3:$O$502,MATCH(138,'الحضور'!$Q$3:$Q$502,0)),"")</f>
        <v/>
      </c>
    </row>
    <row r="145">
      <c r="A145" s="43">
        <f>IFERROR(INDEX('الحضور'!$A$3:$A$502,MATCH(139,'الحضور'!$Q$3:$Q$502,0)),"")</f>
        <v/>
      </c>
      <c r="B145" s="43">
        <f>IFERROR(INDEX('الحضور'!$B$3:$B$502,MATCH(139,'الحضور'!$Q$3:$Q$502,0)),"")</f>
        <v/>
      </c>
      <c r="C145" s="118">
        <f>IFERROR(INDEX('الحضور'!$C$3:$C$502,MATCH(139,'الحضور'!$Q$3:$Q$502,0)),"")</f>
        <v/>
      </c>
      <c r="D145" s="115">
        <f>IFERROR(INDEX('الحضور'!$E$3:$E$502,MATCH(139,'الحضور'!$Q$3:$Q$502,0)),"")</f>
        <v/>
      </c>
      <c r="E145" s="115">
        <f>IFERROR(INDEX('الحضور'!$G$3:$G$502,MATCH(139,'الحضور'!$Q$3:$Q$502,0)),"")</f>
        <v/>
      </c>
      <c r="F145" s="55">
        <f>IFERROR(INDEX('الحضور'!$K$3:$K$502,MATCH(139,'الحضور'!$Q$3:$Q$502,0)),"")</f>
        <v/>
      </c>
      <c r="G145" s="43">
        <f>IFERROR(INDEX('الحضور'!$N$3:$N$502,MATCH(139,'الحضور'!$Q$3:$Q$502,0)),"")</f>
        <v/>
      </c>
      <c r="H145" s="43">
        <f>IFERROR(INDEX('الحضور'!$O$3:$O$502,MATCH(139,'الحضور'!$Q$3:$Q$502,0)),"")</f>
        <v/>
      </c>
    </row>
    <row r="146">
      <c r="A146" s="50">
        <f>IFERROR(INDEX('الحضور'!$A$3:$A$502,MATCH(140,'الحضور'!$Q$3:$Q$502,0)),"")</f>
        <v/>
      </c>
      <c r="B146" s="50">
        <f>IFERROR(INDEX('الحضور'!$B$3:$B$502,MATCH(140,'الحضور'!$Q$3:$Q$502,0)),"")</f>
        <v/>
      </c>
      <c r="C146" s="119">
        <f>IFERROR(INDEX('الحضور'!$C$3:$C$502,MATCH(140,'الحضور'!$Q$3:$Q$502,0)),"")</f>
        <v/>
      </c>
      <c r="D146" s="117">
        <f>IFERROR(INDEX('الحضور'!$E$3:$E$502,MATCH(140,'الحضور'!$Q$3:$Q$502,0)),"")</f>
        <v/>
      </c>
      <c r="E146" s="117">
        <f>IFERROR(INDEX('الحضور'!$G$3:$G$502,MATCH(140,'الحضور'!$Q$3:$Q$502,0)),"")</f>
        <v/>
      </c>
      <c r="F146" s="58">
        <f>IFERROR(INDEX('الحضور'!$K$3:$K$502,MATCH(140,'الحضور'!$Q$3:$Q$502,0)),"")</f>
        <v/>
      </c>
      <c r="G146" s="50">
        <f>IFERROR(INDEX('الحضور'!$N$3:$N$502,MATCH(140,'الحضور'!$Q$3:$Q$502,0)),"")</f>
        <v/>
      </c>
      <c r="H146" s="50">
        <f>IFERROR(INDEX('الحضور'!$O$3:$O$502,MATCH(140,'الحضور'!$Q$3:$Q$502,0)),"")</f>
        <v/>
      </c>
    </row>
    <row r="147">
      <c r="A147" s="43">
        <f>IFERROR(INDEX('الحضور'!$A$3:$A$502,MATCH(141,'الحضور'!$Q$3:$Q$502,0)),"")</f>
        <v/>
      </c>
      <c r="B147" s="43">
        <f>IFERROR(INDEX('الحضور'!$B$3:$B$502,MATCH(141,'الحضور'!$Q$3:$Q$502,0)),"")</f>
        <v/>
      </c>
      <c r="C147" s="118">
        <f>IFERROR(INDEX('الحضور'!$C$3:$C$502,MATCH(141,'الحضور'!$Q$3:$Q$502,0)),"")</f>
        <v/>
      </c>
      <c r="D147" s="115">
        <f>IFERROR(INDEX('الحضور'!$E$3:$E$502,MATCH(141,'الحضور'!$Q$3:$Q$502,0)),"")</f>
        <v/>
      </c>
      <c r="E147" s="115">
        <f>IFERROR(INDEX('الحضور'!$G$3:$G$502,MATCH(141,'الحضور'!$Q$3:$Q$502,0)),"")</f>
        <v/>
      </c>
      <c r="F147" s="55">
        <f>IFERROR(INDEX('الحضور'!$K$3:$K$502,MATCH(141,'الحضور'!$Q$3:$Q$502,0)),"")</f>
        <v/>
      </c>
      <c r="G147" s="43">
        <f>IFERROR(INDEX('الحضور'!$N$3:$N$502,MATCH(141,'الحضور'!$Q$3:$Q$502,0)),"")</f>
        <v/>
      </c>
      <c r="H147" s="43">
        <f>IFERROR(INDEX('الحضور'!$O$3:$O$502,MATCH(141,'الحضور'!$Q$3:$Q$502,0)),"")</f>
        <v/>
      </c>
    </row>
    <row r="148">
      <c r="A148" s="50">
        <f>IFERROR(INDEX('الحضور'!$A$3:$A$502,MATCH(142,'الحضور'!$Q$3:$Q$502,0)),"")</f>
        <v/>
      </c>
      <c r="B148" s="50">
        <f>IFERROR(INDEX('الحضور'!$B$3:$B$502,MATCH(142,'الحضور'!$Q$3:$Q$502,0)),"")</f>
        <v/>
      </c>
      <c r="C148" s="119">
        <f>IFERROR(INDEX('الحضور'!$C$3:$C$502,MATCH(142,'الحضور'!$Q$3:$Q$502,0)),"")</f>
        <v/>
      </c>
      <c r="D148" s="117">
        <f>IFERROR(INDEX('الحضور'!$E$3:$E$502,MATCH(142,'الحضور'!$Q$3:$Q$502,0)),"")</f>
        <v/>
      </c>
      <c r="E148" s="117">
        <f>IFERROR(INDEX('الحضور'!$G$3:$G$502,MATCH(142,'الحضور'!$Q$3:$Q$502,0)),"")</f>
        <v/>
      </c>
      <c r="F148" s="58">
        <f>IFERROR(INDEX('الحضور'!$K$3:$K$502,MATCH(142,'الحضور'!$Q$3:$Q$502,0)),"")</f>
        <v/>
      </c>
      <c r="G148" s="50">
        <f>IFERROR(INDEX('الحضور'!$N$3:$N$502,MATCH(142,'الحضور'!$Q$3:$Q$502,0)),"")</f>
        <v/>
      </c>
      <c r="H148" s="50">
        <f>IFERROR(INDEX('الحضور'!$O$3:$O$502,MATCH(142,'الحضور'!$Q$3:$Q$502,0)),"")</f>
        <v/>
      </c>
    </row>
    <row r="149">
      <c r="A149" s="43">
        <f>IFERROR(INDEX('الحضور'!$A$3:$A$502,MATCH(143,'الحضور'!$Q$3:$Q$502,0)),"")</f>
        <v/>
      </c>
      <c r="B149" s="43">
        <f>IFERROR(INDEX('الحضور'!$B$3:$B$502,MATCH(143,'الحضور'!$Q$3:$Q$502,0)),"")</f>
        <v/>
      </c>
      <c r="C149" s="118">
        <f>IFERROR(INDEX('الحضور'!$C$3:$C$502,MATCH(143,'الحضور'!$Q$3:$Q$502,0)),"")</f>
        <v/>
      </c>
      <c r="D149" s="115">
        <f>IFERROR(INDEX('الحضور'!$E$3:$E$502,MATCH(143,'الحضور'!$Q$3:$Q$502,0)),"")</f>
        <v/>
      </c>
      <c r="E149" s="115">
        <f>IFERROR(INDEX('الحضور'!$G$3:$G$502,MATCH(143,'الحضور'!$Q$3:$Q$502,0)),"")</f>
        <v/>
      </c>
      <c r="F149" s="55">
        <f>IFERROR(INDEX('الحضور'!$K$3:$K$502,MATCH(143,'الحضور'!$Q$3:$Q$502,0)),"")</f>
        <v/>
      </c>
      <c r="G149" s="43">
        <f>IFERROR(INDEX('الحضور'!$N$3:$N$502,MATCH(143,'الحضور'!$Q$3:$Q$502,0)),"")</f>
        <v/>
      </c>
      <c r="H149" s="43">
        <f>IFERROR(INDEX('الحضور'!$O$3:$O$502,MATCH(143,'الحضور'!$Q$3:$Q$502,0)),"")</f>
        <v/>
      </c>
    </row>
    <row r="150">
      <c r="A150" s="50">
        <f>IFERROR(INDEX('الحضور'!$A$3:$A$502,MATCH(144,'الحضور'!$Q$3:$Q$502,0)),"")</f>
        <v/>
      </c>
      <c r="B150" s="50">
        <f>IFERROR(INDEX('الحضور'!$B$3:$B$502,MATCH(144,'الحضور'!$Q$3:$Q$502,0)),"")</f>
        <v/>
      </c>
      <c r="C150" s="119">
        <f>IFERROR(INDEX('الحضور'!$C$3:$C$502,MATCH(144,'الحضور'!$Q$3:$Q$502,0)),"")</f>
        <v/>
      </c>
      <c r="D150" s="117">
        <f>IFERROR(INDEX('الحضور'!$E$3:$E$502,MATCH(144,'الحضور'!$Q$3:$Q$502,0)),"")</f>
        <v/>
      </c>
      <c r="E150" s="117">
        <f>IFERROR(INDEX('الحضور'!$G$3:$G$502,MATCH(144,'الحضور'!$Q$3:$Q$502,0)),"")</f>
        <v/>
      </c>
      <c r="F150" s="58">
        <f>IFERROR(INDEX('الحضور'!$K$3:$K$502,MATCH(144,'الحضور'!$Q$3:$Q$502,0)),"")</f>
        <v/>
      </c>
      <c r="G150" s="50">
        <f>IFERROR(INDEX('الحضور'!$N$3:$N$502,MATCH(144,'الحضور'!$Q$3:$Q$502,0)),"")</f>
        <v/>
      </c>
      <c r="H150" s="50">
        <f>IFERROR(INDEX('الحضور'!$O$3:$O$502,MATCH(144,'الحضور'!$Q$3:$Q$502,0)),"")</f>
        <v/>
      </c>
    </row>
    <row r="151">
      <c r="A151" s="43">
        <f>IFERROR(INDEX('الحضور'!$A$3:$A$502,MATCH(145,'الحضور'!$Q$3:$Q$502,0)),"")</f>
        <v/>
      </c>
      <c r="B151" s="43">
        <f>IFERROR(INDEX('الحضور'!$B$3:$B$502,MATCH(145,'الحضور'!$Q$3:$Q$502,0)),"")</f>
        <v/>
      </c>
      <c r="C151" s="118">
        <f>IFERROR(INDEX('الحضور'!$C$3:$C$502,MATCH(145,'الحضور'!$Q$3:$Q$502,0)),"")</f>
        <v/>
      </c>
      <c r="D151" s="115">
        <f>IFERROR(INDEX('الحضور'!$E$3:$E$502,MATCH(145,'الحضور'!$Q$3:$Q$502,0)),"")</f>
        <v/>
      </c>
      <c r="E151" s="115">
        <f>IFERROR(INDEX('الحضور'!$G$3:$G$502,MATCH(145,'الحضور'!$Q$3:$Q$502,0)),"")</f>
        <v/>
      </c>
      <c r="F151" s="55">
        <f>IFERROR(INDEX('الحضور'!$K$3:$K$502,MATCH(145,'الحضور'!$Q$3:$Q$502,0)),"")</f>
        <v/>
      </c>
      <c r="G151" s="43">
        <f>IFERROR(INDEX('الحضور'!$N$3:$N$502,MATCH(145,'الحضور'!$Q$3:$Q$502,0)),"")</f>
        <v/>
      </c>
      <c r="H151" s="43">
        <f>IFERROR(INDEX('الحضور'!$O$3:$O$502,MATCH(145,'الحضور'!$Q$3:$Q$502,0)),"")</f>
        <v/>
      </c>
    </row>
    <row r="152">
      <c r="A152" s="50">
        <f>IFERROR(INDEX('الحضور'!$A$3:$A$502,MATCH(146,'الحضور'!$Q$3:$Q$502,0)),"")</f>
        <v/>
      </c>
      <c r="B152" s="50">
        <f>IFERROR(INDEX('الحضور'!$B$3:$B$502,MATCH(146,'الحضور'!$Q$3:$Q$502,0)),"")</f>
        <v/>
      </c>
      <c r="C152" s="119">
        <f>IFERROR(INDEX('الحضور'!$C$3:$C$502,MATCH(146,'الحضور'!$Q$3:$Q$502,0)),"")</f>
        <v/>
      </c>
      <c r="D152" s="117">
        <f>IFERROR(INDEX('الحضور'!$E$3:$E$502,MATCH(146,'الحضور'!$Q$3:$Q$502,0)),"")</f>
        <v/>
      </c>
      <c r="E152" s="117">
        <f>IFERROR(INDEX('الحضور'!$G$3:$G$502,MATCH(146,'الحضور'!$Q$3:$Q$502,0)),"")</f>
        <v/>
      </c>
      <c r="F152" s="58">
        <f>IFERROR(INDEX('الحضور'!$K$3:$K$502,MATCH(146,'الحضور'!$Q$3:$Q$502,0)),"")</f>
        <v/>
      </c>
      <c r="G152" s="50">
        <f>IFERROR(INDEX('الحضور'!$N$3:$N$502,MATCH(146,'الحضور'!$Q$3:$Q$502,0)),"")</f>
        <v/>
      </c>
      <c r="H152" s="50">
        <f>IFERROR(INDEX('الحضور'!$O$3:$O$502,MATCH(146,'الحضور'!$Q$3:$Q$502,0)),"")</f>
        <v/>
      </c>
    </row>
    <row r="153">
      <c r="A153" s="43">
        <f>IFERROR(INDEX('الحضور'!$A$3:$A$502,MATCH(147,'الحضور'!$Q$3:$Q$502,0)),"")</f>
        <v/>
      </c>
      <c r="B153" s="43">
        <f>IFERROR(INDEX('الحضور'!$B$3:$B$502,MATCH(147,'الحضور'!$Q$3:$Q$502,0)),"")</f>
        <v/>
      </c>
      <c r="C153" s="118">
        <f>IFERROR(INDEX('الحضور'!$C$3:$C$502,MATCH(147,'الحضور'!$Q$3:$Q$502,0)),"")</f>
        <v/>
      </c>
      <c r="D153" s="115">
        <f>IFERROR(INDEX('الحضور'!$E$3:$E$502,MATCH(147,'الحضور'!$Q$3:$Q$502,0)),"")</f>
        <v/>
      </c>
      <c r="E153" s="115">
        <f>IFERROR(INDEX('الحضور'!$G$3:$G$502,MATCH(147,'الحضور'!$Q$3:$Q$502,0)),"")</f>
        <v/>
      </c>
      <c r="F153" s="55">
        <f>IFERROR(INDEX('الحضور'!$K$3:$K$502,MATCH(147,'الحضور'!$Q$3:$Q$502,0)),"")</f>
        <v/>
      </c>
      <c r="G153" s="43">
        <f>IFERROR(INDEX('الحضور'!$N$3:$N$502,MATCH(147,'الحضور'!$Q$3:$Q$502,0)),"")</f>
        <v/>
      </c>
      <c r="H153" s="43">
        <f>IFERROR(INDEX('الحضور'!$O$3:$O$502,MATCH(147,'الحضور'!$Q$3:$Q$502,0)),"")</f>
        <v/>
      </c>
    </row>
    <row r="154">
      <c r="A154" s="50">
        <f>IFERROR(INDEX('الحضور'!$A$3:$A$502,MATCH(148,'الحضور'!$Q$3:$Q$502,0)),"")</f>
        <v/>
      </c>
      <c r="B154" s="50">
        <f>IFERROR(INDEX('الحضور'!$B$3:$B$502,MATCH(148,'الحضور'!$Q$3:$Q$502,0)),"")</f>
        <v/>
      </c>
      <c r="C154" s="119">
        <f>IFERROR(INDEX('الحضور'!$C$3:$C$502,MATCH(148,'الحضور'!$Q$3:$Q$502,0)),"")</f>
        <v/>
      </c>
      <c r="D154" s="117">
        <f>IFERROR(INDEX('الحضور'!$E$3:$E$502,MATCH(148,'الحضور'!$Q$3:$Q$502,0)),"")</f>
        <v/>
      </c>
      <c r="E154" s="117">
        <f>IFERROR(INDEX('الحضور'!$G$3:$G$502,MATCH(148,'الحضور'!$Q$3:$Q$502,0)),"")</f>
        <v/>
      </c>
      <c r="F154" s="58">
        <f>IFERROR(INDEX('الحضور'!$K$3:$K$502,MATCH(148,'الحضور'!$Q$3:$Q$502,0)),"")</f>
        <v/>
      </c>
      <c r="G154" s="50">
        <f>IFERROR(INDEX('الحضور'!$N$3:$N$502,MATCH(148,'الحضور'!$Q$3:$Q$502,0)),"")</f>
        <v/>
      </c>
      <c r="H154" s="50">
        <f>IFERROR(INDEX('الحضور'!$O$3:$O$502,MATCH(148,'الحضور'!$Q$3:$Q$502,0)),"")</f>
        <v/>
      </c>
    </row>
    <row r="155">
      <c r="A155" s="43">
        <f>IFERROR(INDEX('الحضور'!$A$3:$A$502,MATCH(149,'الحضور'!$Q$3:$Q$502,0)),"")</f>
        <v/>
      </c>
      <c r="B155" s="43">
        <f>IFERROR(INDEX('الحضور'!$B$3:$B$502,MATCH(149,'الحضور'!$Q$3:$Q$502,0)),"")</f>
        <v/>
      </c>
      <c r="C155" s="118">
        <f>IFERROR(INDEX('الحضور'!$C$3:$C$502,MATCH(149,'الحضور'!$Q$3:$Q$502,0)),"")</f>
        <v/>
      </c>
      <c r="D155" s="115">
        <f>IFERROR(INDEX('الحضور'!$E$3:$E$502,MATCH(149,'الحضور'!$Q$3:$Q$502,0)),"")</f>
        <v/>
      </c>
      <c r="E155" s="115">
        <f>IFERROR(INDEX('الحضور'!$G$3:$G$502,MATCH(149,'الحضور'!$Q$3:$Q$502,0)),"")</f>
        <v/>
      </c>
      <c r="F155" s="55">
        <f>IFERROR(INDEX('الحضور'!$K$3:$K$502,MATCH(149,'الحضور'!$Q$3:$Q$502,0)),"")</f>
        <v/>
      </c>
      <c r="G155" s="43">
        <f>IFERROR(INDEX('الحضور'!$N$3:$N$502,MATCH(149,'الحضور'!$Q$3:$Q$502,0)),"")</f>
        <v/>
      </c>
      <c r="H155" s="43">
        <f>IFERROR(INDEX('الحضور'!$O$3:$O$502,MATCH(149,'الحضور'!$Q$3:$Q$502,0)),"")</f>
        <v/>
      </c>
    </row>
    <row r="156">
      <c r="A156" s="50">
        <f>IFERROR(INDEX('الحضور'!$A$3:$A$502,MATCH(150,'الحضور'!$Q$3:$Q$502,0)),"")</f>
        <v/>
      </c>
      <c r="B156" s="50">
        <f>IFERROR(INDEX('الحضور'!$B$3:$B$502,MATCH(150,'الحضور'!$Q$3:$Q$502,0)),"")</f>
        <v/>
      </c>
      <c r="C156" s="119">
        <f>IFERROR(INDEX('الحضور'!$C$3:$C$502,MATCH(150,'الحضور'!$Q$3:$Q$502,0)),"")</f>
        <v/>
      </c>
      <c r="D156" s="117">
        <f>IFERROR(INDEX('الحضور'!$E$3:$E$502,MATCH(150,'الحضور'!$Q$3:$Q$502,0)),"")</f>
        <v/>
      </c>
      <c r="E156" s="117">
        <f>IFERROR(INDEX('الحضور'!$G$3:$G$502,MATCH(150,'الحضور'!$Q$3:$Q$502,0)),"")</f>
        <v/>
      </c>
      <c r="F156" s="58">
        <f>IFERROR(INDEX('الحضور'!$K$3:$K$502,MATCH(150,'الحضور'!$Q$3:$Q$502,0)),"")</f>
        <v/>
      </c>
      <c r="G156" s="50">
        <f>IFERROR(INDEX('الحضور'!$N$3:$N$502,MATCH(150,'الحضور'!$Q$3:$Q$502,0)),"")</f>
        <v/>
      </c>
      <c r="H156" s="50">
        <f>IFERROR(INDEX('الحضور'!$O$3:$O$502,MATCH(150,'الحضور'!$Q$3:$Q$502,0)),"")</f>
        <v/>
      </c>
    </row>
    <row r="157">
      <c r="A157" s="43">
        <f>IFERROR(INDEX('الحضور'!$A$3:$A$502,MATCH(151,'الحضور'!$Q$3:$Q$502,0)),"")</f>
        <v/>
      </c>
      <c r="B157" s="43">
        <f>IFERROR(INDEX('الحضور'!$B$3:$B$502,MATCH(151,'الحضور'!$Q$3:$Q$502,0)),"")</f>
        <v/>
      </c>
      <c r="C157" s="118">
        <f>IFERROR(INDEX('الحضور'!$C$3:$C$502,MATCH(151,'الحضور'!$Q$3:$Q$502,0)),"")</f>
        <v/>
      </c>
      <c r="D157" s="115">
        <f>IFERROR(INDEX('الحضور'!$E$3:$E$502,MATCH(151,'الحضور'!$Q$3:$Q$502,0)),"")</f>
        <v/>
      </c>
      <c r="E157" s="115">
        <f>IFERROR(INDEX('الحضور'!$G$3:$G$502,MATCH(151,'الحضور'!$Q$3:$Q$502,0)),"")</f>
        <v/>
      </c>
      <c r="F157" s="55">
        <f>IFERROR(INDEX('الحضور'!$K$3:$K$502,MATCH(151,'الحضور'!$Q$3:$Q$502,0)),"")</f>
        <v/>
      </c>
      <c r="G157" s="43">
        <f>IFERROR(INDEX('الحضور'!$N$3:$N$502,MATCH(151,'الحضور'!$Q$3:$Q$502,0)),"")</f>
        <v/>
      </c>
      <c r="H157" s="43">
        <f>IFERROR(INDEX('الحضور'!$O$3:$O$502,MATCH(151,'الحضور'!$Q$3:$Q$502,0)),"")</f>
        <v/>
      </c>
    </row>
    <row r="158">
      <c r="A158" s="50">
        <f>IFERROR(INDEX('الحضور'!$A$3:$A$502,MATCH(152,'الحضور'!$Q$3:$Q$502,0)),"")</f>
        <v/>
      </c>
      <c r="B158" s="50">
        <f>IFERROR(INDEX('الحضور'!$B$3:$B$502,MATCH(152,'الحضور'!$Q$3:$Q$502,0)),"")</f>
        <v/>
      </c>
      <c r="C158" s="119">
        <f>IFERROR(INDEX('الحضور'!$C$3:$C$502,MATCH(152,'الحضور'!$Q$3:$Q$502,0)),"")</f>
        <v/>
      </c>
      <c r="D158" s="117">
        <f>IFERROR(INDEX('الحضور'!$E$3:$E$502,MATCH(152,'الحضور'!$Q$3:$Q$502,0)),"")</f>
        <v/>
      </c>
      <c r="E158" s="117">
        <f>IFERROR(INDEX('الحضور'!$G$3:$G$502,MATCH(152,'الحضور'!$Q$3:$Q$502,0)),"")</f>
        <v/>
      </c>
      <c r="F158" s="58">
        <f>IFERROR(INDEX('الحضور'!$K$3:$K$502,MATCH(152,'الحضور'!$Q$3:$Q$502,0)),"")</f>
        <v/>
      </c>
      <c r="G158" s="50">
        <f>IFERROR(INDEX('الحضور'!$N$3:$N$502,MATCH(152,'الحضور'!$Q$3:$Q$502,0)),"")</f>
        <v/>
      </c>
      <c r="H158" s="50">
        <f>IFERROR(INDEX('الحضور'!$O$3:$O$502,MATCH(152,'الحضور'!$Q$3:$Q$502,0)),"")</f>
        <v/>
      </c>
    </row>
    <row r="159">
      <c r="A159" s="43">
        <f>IFERROR(INDEX('الحضور'!$A$3:$A$502,MATCH(153,'الحضور'!$Q$3:$Q$502,0)),"")</f>
        <v/>
      </c>
      <c r="B159" s="43">
        <f>IFERROR(INDEX('الحضور'!$B$3:$B$502,MATCH(153,'الحضور'!$Q$3:$Q$502,0)),"")</f>
        <v/>
      </c>
      <c r="C159" s="118">
        <f>IFERROR(INDEX('الحضور'!$C$3:$C$502,MATCH(153,'الحضور'!$Q$3:$Q$502,0)),"")</f>
        <v/>
      </c>
      <c r="D159" s="115">
        <f>IFERROR(INDEX('الحضور'!$E$3:$E$502,MATCH(153,'الحضور'!$Q$3:$Q$502,0)),"")</f>
        <v/>
      </c>
      <c r="E159" s="115">
        <f>IFERROR(INDEX('الحضور'!$G$3:$G$502,MATCH(153,'الحضور'!$Q$3:$Q$502,0)),"")</f>
        <v/>
      </c>
      <c r="F159" s="55">
        <f>IFERROR(INDEX('الحضور'!$K$3:$K$502,MATCH(153,'الحضور'!$Q$3:$Q$502,0)),"")</f>
        <v/>
      </c>
      <c r="G159" s="43">
        <f>IFERROR(INDEX('الحضور'!$N$3:$N$502,MATCH(153,'الحضور'!$Q$3:$Q$502,0)),"")</f>
        <v/>
      </c>
      <c r="H159" s="43">
        <f>IFERROR(INDEX('الحضور'!$O$3:$O$502,MATCH(153,'الحضور'!$Q$3:$Q$502,0)),"")</f>
        <v/>
      </c>
    </row>
    <row r="160">
      <c r="A160" s="50">
        <f>IFERROR(INDEX('الحضور'!$A$3:$A$502,MATCH(154,'الحضور'!$Q$3:$Q$502,0)),"")</f>
        <v/>
      </c>
      <c r="B160" s="50">
        <f>IFERROR(INDEX('الحضور'!$B$3:$B$502,MATCH(154,'الحضور'!$Q$3:$Q$502,0)),"")</f>
        <v/>
      </c>
      <c r="C160" s="119">
        <f>IFERROR(INDEX('الحضور'!$C$3:$C$502,MATCH(154,'الحضور'!$Q$3:$Q$502,0)),"")</f>
        <v/>
      </c>
      <c r="D160" s="117">
        <f>IFERROR(INDEX('الحضور'!$E$3:$E$502,MATCH(154,'الحضور'!$Q$3:$Q$502,0)),"")</f>
        <v/>
      </c>
      <c r="E160" s="117">
        <f>IFERROR(INDEX('الحضور'!$G$3:$G$502,MATCH(154,'الحضور'!$Q$3:$Q$502,0)),"")</f>
        <v/>
      </c>
      <c r="F160" s="58">
        <f>IFERROR(INDEX('الحضور'!$K$3:$K$502,MATCH(154,'الحضور'!$Q$3:$Q$502,0)),"")</f>
        <v/>
      </c>
      <c r="G160" s="50">
        <f>IFERROR(INDEX('الحضور'!$N$3:$N$502,MATCH(154,'الحضور'!$Q$3:$Q$502,0)),"")</f>
        <v/>
      </c>
      <c r="H160" s="50">
        <f>IFERROR(INDEX('الحضور'!$O$3:$O$502,MATCH(154,'الحضور'!$Q$3:$Q$502,0)),"")</f>
        <v/>
      </c>
    </row>
    <row r="161">
      <c r="A161" s="43">
        <f>IFERROR(INDEX('الحضور'!$A$3:$A$502,MATCH(155,'الحضور'!$Q$3:$Q$502,0)),"")</f>
        <v/>
      </c>
      <c r="B161" s="43">
        <f>IFERROR(INDEX('الحضور'!$B$3:$B$502,MATCH(155,'الحضور'!$Q$3:$Q$502,0)),"")</f>
        <v/>
      </c>
      <c r="C161" s="118">
        <f>IFERROR(INDEX('الحضور'!$C$3:$C$502,MATCH(155,'الحضور'!$Q$3:$Q$502,0)),"")</f>
        <v/>
      </c>
      <c r="D161" s="115">
        <f>IFERROR(INDEX('الحضور'!$E$3:$E$502,MATCH(155,'الحضور'!$Q$3:$Q$502,0)),"")</f>
        <v/>
      </c>
      <c r="E161" s="115">
        <f>IFERROR(INDEX('الحضور'!$G$3:$G$502,MATCH(155,'الحضور'!$Q$3:$Q$502,0)),"")</f>
        <v/>
      </c>
      <c r="F161" s="55">
        <f>IFERROR(INDEX('الحضور'!$K$3:$K$502,MATCH(155,'الحضور'!$Q$3:$Q$502,0)),"")</f>
        <v/>
      </c>
      <c r="G161" s="43">
        <f>IFERROR(INDEX('الحضور'!$N$3:$N$502,MATCH(155,'الحضور'!$Q$3:$Q$502,0)),"")</f>
        <v/>
      </c>
      <c r="H161" s="43">
        <f>IFERROR(INDEX('الحضور'!$O$3:$O$502,MATCH(155,'الحضور'!$Q$3:$Q$502,0)),"")</f>
        <v/>
      </c>
    </row>
    <row r="162">
      <c r="A162" s="50">
        <f>IFERROR(INDEX('الحضور'!$A$3:$A$502,MATCH(156,'الحضور'!$Q$3:$Q$502,0)),"")</f>
        <v/>
      </c>
      <c r="B162" s="50">
        <f>IFERROR(INDEX('الحضور'!$B$3:$B$502,MATCH(156,'الحضور'!$Q$3:$Q$502,0)),"")</f>
        <v/>
      </c>
      <c r="C162" s="119">
        <f>IFERROR(INDEX('الحضور'!$C$3:$C$502,MATCH(156,'الحضور'!$Q$3:$Q$502,0)),"")</f>
        <v/>
      </c>
      <c r="D162" s="117">
        <f>IFERROR(INDEX('الحضور'!$E$3:$E$502,MATCH(156,'الحضور'!$Q$3:$Q$502,0)),"")</f>
        <v/>
      </c>
      <c r="E162" s="117">
        <f>IFERROR(INDEX('الحضور'!$G$3:$G$502,MATCH(156,'الحضور'!$Q$3:$Q$502,0)),"")</f>
        <v/>
      </c>
      <c r="F162" s="58">
        <f>IFERROR(INDEX('الحضور'!$K$3:$K$502,MATCH(156,'الحضور'!$Q$3:$Q$502,0)),"")</f>
        <v/>
      </c>
      <c r="G162" s="50">
        <f>IFERROR(INDEX('الحضور'!$N$3:$N$502,MATCH(156,'الحضور'!$Q$3:$Q$502,0)),"")</f>
        <v/>
      </c>
      <c r="H162" s="50">
        <f>IFERROR(INDEX('الحضور'!$O$3:$O$502,MATCH(156,'الحضور'!$Q$3:$Q$502,0)),"")</f>
        <v/>
      </c>
    </row>
    <row r="163">
      <c r="A163" s="43">
        <f>IFERROR(INDEX('الحضور'!$A$3:$A$502,MATCH(157,'الحضور'!$Q$3:$Q$502,0)),"")</f>
        <v/>
      </c>
      <c r="B163" s="43">
        <f>IFERROR(INDEX('الحضور'!$B$3:$B$502,MATCH(157,'الحضور'!$Q$3:$Q$502,0)),"")</f>
        <v/>
      </c>
      <c r="C163" s="118">
        <f>IFERROR(INDEX('الحضور'!$C$3:$C$502,MATCH(157,'الحضور'!$Q$3:$Q$502,0)),"")</f>
        <v/>
      </c>
      <c r="D163" s="115">
        <f>IFERROR(INDEX('الحضور'!$E$3:$E$502,MATCH(157,'الحضور'!$Q$3:$Q$502,0)),"")</f>
        <v/>
      </c>
      <c r="E163" s="115">
        <f>IFERROR(INDEX('الحضور'!$G$3:$G$502,MATCH(157,'الحضور'!$Q$3:$Q$502,0)),"")</f>
        <v/>
      </c>
      <c r="F163" s="55">
        <f>IFERROR(INDEX('الحضور'!$K$3:$K$502,MATCH(157,'الحضور'!$Q$3:$Q$502,0)),"")</f>
        <v/>
      </c>
      <c r="G163" s="43">
        <f>IFERROR(INDEX('الحضور'!$N$3:$N$502,MATCH(157,'الحضور'!$Q$3:$Q$502,0)),"")</f>
        <v/>
      </c>
      <c r="H163" s="43">
        <f>IFERROR(INDEX('الحضور'!$O$3:$O$502,MATCH(157,'الحضور'!$Q$3:$Q$502,0)),"")</f>
        <v/>
      </c>
    </row>
    <row r="164">
      <c r="A164" s="50">
        <f>IFERROR(INDEX('الحضور'!$A$3:$A$502,MATCH(158,'الحضور'!$Q$3:$Q$502,0)),"")</f>
        <v/>
      </c>
      <c r="B164" s="50">
        <f>IFERROR(INDEX('الحضور'!$B$3:$B$502,MATCH(158,'الحضور'!$Q$3:$Q$502,0)),"")</f>
        <v/>
      </c>
      <c r="C164" s="119">
        <f>IFERROR(INDEX('الحضور'!$C$3:$C$502,MATCH(158,'الحضور'!$Q$3:$Q$502,0)),"")</f>
        <v/>
      </c>
      <c r="D164" s="117">
        <f>IFERROR(INDEX('الحضور'!$E$3:$E$502,MATCH(158,'الحضور'!$Q$3:$Q$502,0)),"")</f>
        <v/>
      </c>
      <c r="E164" s="117">
        <f>IFERROR(INDEX('الحضور'!$G$3:$G$502,MATCH(158,'الحضور'!$Q$3:$Q$502,0)),"")</f>
        <v/>
      </c>
      <c r="F164" s="58">
        <f>IFERROR(INDEX('الحضور'!$K$3:$K$502,MATCH(158,'الحضور'!$Q$3:$Q$502,0)),"")</f>
        <v/>
      </c>
      <c r="G164" s="50">
        <f>IFERROR(INDEX('الحضور'!$N$3:$N$502,MATCH(158,'الحضور'!$Q$3:$Q$502,0)),"")</f>
        <v/>
      </c>
      <c r="H164" s="50">
        <f>IFERROR(INDEX('الحضور'!$O$3:$O$502,MATCH(158,'الحضور'!$Q$3:$Q$502,0)),"")</f>
        <v/>
      </c>
    </row>
    <row r="165">
      <c r="A165" s="43">
        <f>IFERROR(INDEX('الحضور'!$A$3:$A$502,MATCH(159,'الحضور'!$Q$3:$Q$502,0)),"")</f>
        <v/>
      </c>
      <c r="B165" s="43">
        <f>IFERROR(INDEX('الحضور'!$B$3:$B$502,MATCH(159,'الحضور'!$Q$3:$Q$502,0)),"")</f>
        <v/>
      </c>
      <c r="C165" s="118">
        <f>IFERROR(INDEX('الحضور'!$C$3:$C$502,MATCH(159,'الحضور'!$Q$3:$Q$502,0)),"")</f>
        <v/>
      </c>
      <c r="D165" s="115">
        <f>IFERROR(INDEX('الحضور'!$E$3:$E$502,MATCH(159,'الحضور'!$Q$3:$Q$502,0)),"")</f>
        <v/>
      </c>
      <c r="E165" s="115">
        <f>IFERROR(INDEX('الحضور'!$G$3:$G$502,MATCH(159,'الحضور'!$Q$3:$Q$502,0)),"")</f>
        <v/>
      </c>
      <c r="F165" s="55">
        <f>IFERROR(INDEX('الحضور'!$K$3:$K$502,MATCH(159,'الحضور'!$Q$3:$Q$502,0)),"")</f>
        <v/>
      </c>
      <c r="G165" s="43">
        <f>IFERROR(INDEX('الحضور'!$N$3:$N$502,MATCH(159,'الحضور'!$Q$3:$Q$502,0)),"")</f>
        <v/>
      </c>
      <c r="H165" s="43">
        <f>IFERROR(INDEX('الحضور'!$O$3:$O$502,MATCH(159,'الحضور'!$Q$3:$Q$502,0)),"")</f>
        <v/>
      </c>
    </row>
    <row r="166">
      <c r="A166" s="50">
        <f>IFERROR(INDEX('الحضور'!$A$3:$A$502,MATCH(160,'الحضور'!$Q$3:$Q$502,0)),"")</f>
        <v/>
      </c>
      <c r="B166" s="50">
        <f>IFERROR(INDEX('الحضور'!$B$3:$B$502,MATCH(160,'الحضور'!$Q$3:$Q$502,0)),"")</f>
        <v/>
      </c>
      <c r="C166" s="119">
        <f>IFERROR(INDEX('الحضور'!$C$3:$C$502,MATCH(160,'الحضور'!$Q$3:$Q$502,0)),"")</f>
        <v/>
      </c>
      <c r="D166" s="117">
        <f>IFERROR(INDEX('الحضور'!$E$3:$E$502,MATCH(160,'الحضور'!$Q$3:$Q$502,0)),"")</f>
        <v/>
      </c>
      <c r="E166" s="117">
        <f>IFERROR(INDEX('الحضور'!$G$3:$G$502,MATCH(160,'الحضور'!$Q$3:$Q$502,0)),"")</f>
        <v/>
      </c>
      <c r="F166" s="58">
        <f>IFERROR(INDEX('الحضور'!$K$3:$K$502,MATCH(160,'الحضور'!$Q$3:$Q$502,0)),"")</f>
        <v/>
      </c>
      <c r="G166" s="50">
        <f>IFERROR(INDEX('الحضور'!$N$3:$N$502,MATCH(160,'الحضور'!$Q$3:$Q$502,0)),"")</f>
        <v/>
      </c>
      <c r="H166" s="50">
        <f>IFERROR(INDEX('الحضور'!$O$3:$O$502,MATCH(160,'الحضور'!$Q$3:$Q$502,0)),"")</f>
        <v/>
      </c>
    </row>
    <row r="167">
      <c r="A167" s="43">
        <f>IFERROR(INDEX('الحضور'!$A$3:$A$502,MATCH(161,'الحضور'!$Q$3:$Q$502,0)),"")</f>
        <v/>
      </c>
      <c r="B167" s="43">
        <f>IFERROR(INDEX('الحضور'!$B$3:$B$502,MATCH(161,'الحضور'!$Q$3:$Q$502,0)),"")</f>
        <v/>
      </c>
      <c r="C167" s="118">
        <f>IFERROR(INDEX('الحضور'!$C$3:$C$502,MATCH(161,'الحضور'!$Q$3:$Q$502,0)),"")</f>
        <v/>
      </c>
      <c r="D167" s="115">
        <f>IFERROR(INDEX('الحضور'!$E$3:$E$502,MATCH(161,'الحضور'!$Q$3:$Q$502,0)),"")</f>
        <v/>
      </c>
      <c r="E167" s="115">
        <f>IFERROR(INDEX('الحضور'!$G$3:$G$502,MATCH(161,'الحضور'!$Q$3:$Q$502,0)),"")</f>
        <v/>
      </c>
      <c r="F167" s="55">
        <f>IFERROR(INDEX('الحضور'!$K$3:$K$502,MATCH(161,'الحضور'!$Q$3:$Q$502,0)),"")</f>
        <v/>
      </c>
      <c r="G167" s="43">
        <f>IFERROR(INDEX('الحضور'!$N$3:$N$502,MATCH(161,'الحضور'!$Q$3:$Q$502,0)),"")</f>
        <v/>
      </c>
      <c r="H167" s="43">
        <f>IFERROR(INDEX('الحضور'!$O$3:$O$502,MATCH(161,'الحضور'!$Q$3:$Q$502,0)),"")</f>
        <v/>
      </c>
    </row>
    <row r="168">
      <c r="A168" s="50">
        <f>IFERROR(INDEX('الحضور'!$A$3:$A$502,MATCH(162,'الحضور'!$Q$3:$Q$502,0)),"")</f>
        <v/>
      </c>
      <c r="B168" s="50">
        <f>IFERROR(INDEX('الحضور'!$B$3:$B$502,MATCH(162,'الحضور'!$Q$3:$Q$502,0)),"")</f>
        <v/>
      </c>
      <c r="C168" s="119">
        <f>IFERROR(INDEX('الحضور'!$C$3:$C$502,MATCH(162,'الحضور'!$Q$3:$Q$502,0)),"")</f>
        <v/>
      </c>
      <c r="D168" s="117">
        <f>IFERROR(INDEX('الحضور'!$E$3:$E$502,MATCH(162,'الحضور'!$Q$3:$Q$502,0)),"")</f>
        <v/>
      </c>
      <c r="E168" s="117">
        <f>IFERROR(INDEX('الحضور'!$G$3:$G$502,MATCH(162,'الحضور'!$Q$3:$Q$502,0)),"")</f>
        <v/>
      </c>
      <c r="F168" s="58">
        <f>IFERROR(INDEX('الحضور'!$K$3:$K$502,MATCH(162,'الحضور'!$Q$3:$Q$502,0)),"")</f>
        <v/>
      </c>
      <c r="G168" s="50">
        <f>IFERROR(INDEX('الحضور'!$N$3:$N$502,MATCH(162,'الحضور'!$Q$3:$Q$502,0)),"")</f>
        <v/>
      </c>
      <c r="H168" s="50">
        <f>IFERROR(INDEX('الحضور'!$O$3:$O$502,MATCH(162,'الحضور'!$Q$3:$Q$502,0)),"")</f>
        <v/>
      </c>
    </row>
    <row r="169">
      <c r="A169" s="43">
        <f>IFERROR(INDEX('الحضور'!$A$3:$A$502,MATCH(163,'الحضور'!$Q$3:$Q$502,0)),"")</f>
        <v/>
      </c>
      <c r="B169" s="43">
        <f>IFERROR(INDEX('الحضور'!$B$3:$B$502,MATCH(163,'الحضور'!$Q$3:$Q$502,0)),"")</f>
        <v/>
      </c>
      <c r="C169" s="118">
        <f>IFERROR(INDEX('الحضور'!$C$3:$C$502,MATCH(163,'الحضور'!$Q$3:$Q$502,0)),"")</f>
        <v/>
      </c>
      <c r="D169" s="115">
        <f>IFERROR(INDEX('الحضور'!$E$3:$E$502,MATCH(163,'الحضور'!$Q$3:$Q$502,0)),"")</f>
        <v/>
      </c>
      <c r="E169" s="115">
        <f>IFERROR(INDEX('الحضور'!$G$3:$G$502,MATCH(163,'الحضور'!$Q$3:$Q$502,0)),"")</f>
        <v/>
      </c>
      <c r="F169" s="55">
        <f>IFERROR(INDEX('الحضور'!$K$3:$K$502,MATCH(163,'الحضور'!$Q$3:$Q$502,0)),"")</f>
        <v/>
      </c>
      <c r="G169" s="43">
        <f>IFERROR(INDEX('الحضور'!$N$3:$N$502,MATCH(163,'الحضور'!$Q$3:$Q$502,0)),"")</f>
        <v/>
      </c>
      <c r="H169" s="43">
        <f>IFERROR(INDEX('الحضور'!$O$3:$O$502,MATCH(163,'الحضور'!$Q$3:$Q$502,0)),"")</f>
        <v/>
      </c>
    </row>
    <row r="170">
      <c r="A170" s="50">
        <f>IFERROR(INDEX('الحضور'!$A$3:$A$502,MATCH(164,'الحضور'!$Q$3:$Q$502,0)),"")</f>
        <v/>
      </c>
      <c r="B170" s="50">
        <f>IFERROR(INDEX('الحضور'!$B$3:$B$502,MATCH(164,'الحضور'!$Q$3:$Q$502,0)),"")</f>
        <v/>
      </c>
      <c r="C170" s="119">
        <f>IFERROR(INDEX('الحضور'!$C$3:$C$502,MATCH(164,'الحضور'!$Q$3:$Q$502,0)),"")</f>
        <v/>
      </c>
      <c r="D170" s="117">
        <f>IFERROR(INDEX('الحضور'!$E$3:$E$502,MATCH(164,'الحضور'!$Q$3:$Q$502,0)),"")</f>
        <v/>
      </c>
      <c r="E170" s="117">
        <f>IFERROR(INDEX('الحضور'!$G$3:$G$502,MATCH(164,'الحضور'!$Q$3:$Q$502,0)),"")</f>
        <v/>
      </c>
      <c r="F170" s="58">
        <f>IFERROR(INDEX('الحضور'!$K$3:$K$502,MATCH(164,'الحضور'!$Q$3:$Q$502,0)),"")</f>
        <v/>
      </c>
      <c r="G170" s="50">
        <f>IFERROR(INDEX('الحضور'!$N$3:$N$502,MATCH(164,'الحضور'!$Q$3:$Q$502,0)),"")</f>
        <v/>
      </c>
      <c r="H170" s="50">
        <f>IFERROR(INDEX('الحضور'!$O$3:$O$502,MATCH(164,'الحضور'!$Q$3:$Q$502,0)),"")</f>
        <v/>
      </c>
    </row>
    <row r="171">
      <c r="A171" s="43">
        <f>IFERROR(INDEX('الحضور'!$A$3:$A$502,MATCH(165,'الحضور'!$Q$3:$Q$502,0)),"")</f>
        <v/>
      </c>
      <c r="B171" s="43">
        <f>IFERROR(INDEX('الحضور'!$B$3:$B$502,MATCH(165,'الحضور'!$Q$3:$Q$502,0)),"")</f>
        <v/>
      </c>
      <c r="C171" s="118">
        <f>IFERROR(INDEX('الحضور'!$C$3:$C$502,MATCH(165,'الحضور'!$Q$3:$Q$502,0)),"")</f>
        <v/>
      </c>
      <c r="D171" s="115">
        <f>IFERROR(INDEX('الحضور'!$E$3:$E$502,MATCH(165,'الحضور'!$Q$3:$Q$502,0)),"")</f>
        <v/>
      </c>
      <c r="E171" s="115">
        <f>IFERROR(INDEX('الحضور'!$G$3:$G$502,MATCH(165,'الحضور'!$Q$3:$Q$502,0)),"")</f>
        <v/>
      </c>
      <c r="F171" s="55">
        <f>IFERROR(INDEX('الحضور'!$K$3:$K$502,MATCH(165,'الحضور'!$Q$3:$Q$502,0)),"")</f>
        <v/>
      </c>
      <c r="G171" s="43">
        <f>IFERROR(INDEX('الحضور'!$N$3:$N$502,MATCH(165,'الحضور'!$Q$3:$Q$502,0)),"")</f>
        <v/>
      </c>
      <c r="H171" s="43">
        <f>IFERROR(INDEX('الحضور'!$O$3:$O$502,MATCH(165,'الحضور'!$Q$3:$Q$502,0)),"")</f>
        <v/>
      </c>
    </row>
    <row r="172">
      <c r="A172" s="50">
        <f>IFERROR(INDEX('الحضور'!$A$3:$A$502,MATCH(166,'الحضور'!$Q$3:$Q$502,0)),"")</f>
        <v/>
      </c>
      <c r="B172" s="50">
        <f>IFERROR(INDEX('الحضور'!$B$3:$B$502,MATCH(166,'الحضور'!$Q$3:$Q$502,0)),"")</f>
        <v/>
      </c>
      <c r="C172" s="119">
        <f>IFERROR(INDEX('الحضور'!$C$3:$C$502,MATCH(166,'الحضور'!$Q$3:$Q$502,0)),"")</f>
        <v/>
      </c>
      <c r="D172" s="117">
        <f>IFERROR(INDEX('الحضور'!$E$3:$E$502,MATCH(166,'الحضور'!$Q$3:$Q$502,0)),"")</f>
        <v/>
      </c>
      <c r="E172" s="117">
        <f>IFERROR(INDEX('الحضور'!$G$3:$G$502,MATCH(166,'الحضور'!$Q$3:$Q$502,0)),"")</f>
        <v/>
      </c>
      <c r="F172" s="58">
        <f>IFERROR(INDEX('الحضور'!$K$3:$K$502,MATCH(166,'الحضور'!$Q$3:$Q$502,0)),"")</f>
        <v/>
      </c>
      <c r="G172" s="50">
        <f>IFERROR(INDEX('الحضور'!$N$3:$N$502,MATCH(166,'الحضور'!$Q$3:$Q$502,0)),"")</f>
        <v/>
      </c>
      <c r="H172" s="50">
        <f>IFERROR(INDEX('الحضور'!$O$3:$O$502,MATCH(166,'الحضور'!$Q$3:$Q$502,0)),"")</f>
        <v/>
      </c>
    </row>
    <row r="173">
      <c r="A173" s="43">
        <f>IFERROR(INDEX('الحضور'!$A$3:$A$502,MATCH(167,'الحضور'!$Q$3:$Q$502,0)),"")</f>
        <v/>
      </c>
      <c r="B173" s="43">
        <f>IFERROR(INDEX('الحضور'!$B$3:$B$502,MATCH(167,'الحضور'!$Q$3:$Q$502,0)),"")</f>
        <v/>
      </c>
      <c r="C173" s="118">
        <f>IFERROR(INDEX('الحضور'!$C$3:$C$502,MATCH(167,'الحضور'!$Q$3:$Q$502,0)),"")</f>
        <v/>
      </c>
      <c r="D173" s="115">
        <f>IFERROR(INDEX('الحضور'!$E$3:$E$502,MATCH(167,'الحضور'!$Q$3:$Q$502,0)),"")</f>
        <v/>
      </c>
      <c r="E173" s="115">
        <f>IFERROR(INDEX('الحضور'!$G$3:$G$502,MATCH(167,'الحضور'!$Q$3:$Q$502,0)),"")</f>
        <v/>
      </c>
      <c r="F173" s="55">
        <f>IFERROR(INDEX('الحضور'!$K$3:$K$502,MATCH(167,'الحضور'!$Q$3:$Q$502,0)),"")</f>
        <v/>
      </c>
      <c r="G173" s="43">
        <f>IFERROR(INDEX('الحضور'!$N$3:$N$502,MATCH(167,'الحضور'!$Q$3:$Q$502,0)),"")</f>
        <v/>
      </c>
      <c r="H173" s="43">
        <f>IFERROR(INDEX('الحضور'!$O$3:$O$502,MATCH(167,'الحضور'!$Q$3:$Q$502,0)),"")</f>
        <v/>
      </c>
    </row>
    <row r="174">
      <c r="A174" s="50">
        <f>IFERROR(INDEX('الحضور'!$A$3:$A$502,MATCH(168,'الحضور'!$Q$3:$Q$502,0)),"")</f>
        <v/>
      </c>
      <c r="B174" s="50">
        <f>IFERROR(INDEX('الحضور'!$B$3:$B$502,MATCH(168,'الحضور'!$Q$3:$Q$502,0)),"")</f>
        <v/>
      </c>
      <c r="C174" s="119">
        <f>IFERROR(INDEX('الحضور'!$C$3:$C$502,MATCH(168,'الحضور'!$Q$3:$Q$502,0)),"")</f>
        <v/>
      </c>
      <c r="D174" s="117">
        <f>IFERROR(INDEX('الحضور'!$E$3:$E$502,MATCH(168,'الحضور'!$Q$3:$Q$502,0)),"")</f>
        <v/>
      </c>
      <c r="E174" s="117">
        <f>IFERROR(INDEX('الحضور'!$G$3:$G$502,MATCH(168,'الحضور'!$Q$3:$Q$502,0)),"")</f>
        <v/>
      </c>
      <c r="F174" s="58">
        <f>IFERROR(INDEX('الحضور'!$K$3:$K$502,MATCH(168,'الحضور'!$Q$3:$Q$502,0)),"")</f>
        <v/>
      </c>
      <c r="G174" s="50">
        <f>IFERROR(INDEX('الحضور'!$N$3:$N$502,MATCH(168,'الحضور'!$Q$3:$Q$502,0)),"")</f>
        <v/>
      </c>
      <c r="H174" s="50">
        <f>IFERROR(INDEX('الحضور'!$O$3:$O$502,MATCH(168,'الحضور'!$Q$3:$Q$502,0)),"")</f>
        <v/>
      </c>
    </row>
    <row r="175">
      <c r="A175" s="43">
        <f>IFERROR(INDEX('الحضور'!$A$3:$A$502,MATCH(169,'الحضور'!$Q$3:$Q$502,0)),"")</f>
        <v/>
      </c>
      <c r="B175" s="43">
        <f>IFERROR(INDEX('الحضور'!$B$3:$B$502,MATCH(169,'الحضور'!$Q$3:$Q$502,0)),"")</f>
        <v/>
      </c>
      <c r="C175" s="118">
        <f>IFERROR(INDEX('الحضور'!$C$3:$C$502,MATCH(169,'الحضور'!$Q$3:$Q$502,0)),"")</f>
        <v/>
      </c>
      <c r="D175" s="115">
        <f>IFERROR(INDEX('الحضور'!$E$3:$E$502,MATCH(169,'الحضور'!$Q$3:$Q$502,0)),"")</f>
        <v/>
      </c>
      <c r="E175" s="115">
        <f>IFERROR(INDEX('الحضور'!$G$3:$G$502,MATCH(169,'الحضور'!$Q$3:$Q$502,0)),"")</f>
        <v/>
      </c>
      <c r="F175" s="55">
        <f>IFERROR(INDEX('الحضور'!$K$3:$K$502,MATCH(169,'الحضور'!$Q$3:$Q$502,0)),"")</f>
        <v/>
      </c>
      <c r="G175" s="43">
        <f>IFERROR(INDEX('الحضور'!$N$3:$N$502,MATCH(169,'الحضور'!$Q$3:$Q$502,0)),"")</f>
        <v/>
      </c>
      <c r="H175" s="43">
        <f>IFERROR(INDEX('الحضور'!$O$3:$O$502,MATCH(169,'الحضور'!$Q$3:$Q$502,0)),"")</f>
        <v/>
      </c>
    </row>
    <row r="176">
      <c r="A176" s="50">
        <f>IFERROR(INDEX('الحضور'!$A$3:$A$502,MATCH(170,'الحضور'!$Q$3:$Q$502,0)),"")</f>
        <v/>
      </c>
      <c r="B176" s="50">
        <f>IFERROR(INDEX('الحضور'!$B$3:$B$502,MATCH(170,'الحضور'!$Q$3:$Q$502,0)),"")</f>
        <v/>
      </c>
      <c r="C176" s="119">
        <f>IFERROR(INDEX('الحضور'!$C$3:$C$502,MATCH(170,'الحضور'!$Q$3:$Q$502,0)),"")</f>
        <v/>
      </c>
      <c r="D176" s="117">
        <f>IFERROR(INDEX('الحضور'!$E$3:$E$502,MATCH(170,'الحضور'!$Q$3:$Q$502,0)),"")</f>
        <v/>
      </c>
      <c r="E176" s="117">
        <f>IFERROR(INDEX('الحضور'!$G$3:$G$502,MATCH(170,'الحضور'!$Q$3:$Q$502,0)),"")</f>
        <v/>
      </c>
      <c r="F176" s="58">
        <f>IFERROR(INDEX('الحضور'!$K$3:$K$502,MATCH(170,'الحضور'!$Q$3:$Q$502,0)),"")</f>
        <v/>
      </c>
      <c r="G176" s="50">
        <f>IFERROR(INDEX('الحضور'!$N$3:$N$502,MATCH(170,'الحضور'!$Q$3:$Q$502,0)),"")</f>
        <v/>
      </c>
      <c r="H176" s="50">
        <f>IFERROR(INDEX('الحضور'!$O$3:$O$502,MATCH(170,'الحضور'!$Q$3:$Q$502,0)),"")</f>
        <v/>
      </c>
    </row>
    <row r="177">
      <c r="A177" s="43">
        <f>IFERROR(INDEX('الحضور'!$A$3:$A$502,MATCH(171,'الحضور'!$Q$3:$Q$502,0)),"")</f>
        <v/>
      </c>
      <c r="B177" s="43">
        <f>IFERROR(INDEX('الحضور'!$B$3:$B$502,MATCH(171,'الحضور'!$Q$3:$Q$502,0)),"")</f>
        <v/>
      </c>
      <c r="C177" s="118">
        <f>IFERROR(INDEX('الحضور'!$C$3:$C$502,MATCH(171,'الحضور'!$Q$3:$Q$502,0)),"")</f>
        <v/>
      </c>
      <c r="D177" s="115">
        <f>IFERROR(INDEX('الحضور'!$E$3:$E$502,MATCH(171,'الحضور'!$Q$3:$Q$502,0)),"")</f>
        <v/>
      </c>
      <c r="E177" s="115">
        <f>IFERROR(INDEX('الحضور'!$G$3:$G$502,MATCH(171,'الحضور'!$Q$3:$Q$502,0)),"")</f>
        <v/>
      </c>
      <c r="F177" s="55">
        <f>IFERROR(INDEX('الحضور'!$K$3:$K$502,MATCH(171,'الحضور'!$Q$3:$Q$502,0)),"")</f>
        <v/>
      </c>
      <c r="G177" s="43">
        <f>IFERROR(INDEX('الحضور'!$N$3:$N$502,MATCH(171,'الحضور'!$Q$3:$Q$502,0)),"")</f>
        <v/>
      </c>
      <c r="H177" s="43">
        <f>IFERROR(INDEX('الحضور'!$O$3:$O$502,MATCH(171,'الحضور'!$Q$3:$Q$502,0)),"")</f>
        <v/>
      </c>
    </row>
    <row r="178">
      <c r="A178" s="50">
        <f>IFERROR(INDEX('الحضور'!$A$3:$A$502,MATCH(172,'الحضور'!$Q$3:$Q$502,0)),"")</f>
        <v/>
      </c>
      <c r="B178" s="50">
        <f>IFERROR(INDEX('الحضور'!$B$3:$B$502,MATCH(172,'الحضور'!$Q$3:$Q$502,0)),"")</f>
        <v/>
      </c>
      <c r="C178" s="119">
        <f>IFERROR(INDEX('الحضور'!$C$3:$C$502,MATCH(172,'الحضور'!$Q$3:$Q$502,0)),"")</f>
        <v/>
      </c>
      <c r="D178" s="117">
        <f>IFERROR(INDEX('الحضور'!$E$3:$E$502,MATCH(172,'الحضور'!$Q$3:$Q$502,0)),"")</f>
        <v/>
      </c>
      <c r="E178" s="117">
        <f>IFERROR(INDEX('الحضور'!$G$3:$G$502,MATCH(172,'الحضور'!$Q$3:$Q$502,0)),"")</f>
        <v/>
      </c>
      <c r="F178" s="58">
        <f>IFERROR(INDEX('الحضور'!$K$3:$K$502,MATCH(172,'الحضور'!$Q$3:$Q$502,0)),"")</f>
        <v/>
      </c>
      <c r="G178" s="50">
        <f>IFERROR(INDEX('الحضور'!$N$3:$N$502,MATCH(172,'الحضور'!$Q$3:$Q$502,0)),"")</f>
        <v/>
      </c>
      <c r="H178" s="50">
        <f>IFERROR(INDEX('الحضور'!$O$3:$O$502,MATCH(172,'الحضور'!$Q$3:$Q$502,0)),"")</f>
        <v/>
      </c>
    </row>
    <row r="179">
      <c r="A179" s="43">
        <f>IFERROR(INDEX('الحضور'!$A$3:$A$502,MATCH(173,'الحضور'!$Q$3:$Q$502,0)),"")</f>
        <v/>
      </c>
      <c r="B179" s="43">
        <f>IFERROR(INDEX('الحضور'!$B$3:$B$502,MATCH(173,'الحضور'!$Q$3:$Q$502,0)),"")</f>
        <v/>
      </c>
      <c r="C179" s="118">
        <f>IFERROR(INDEX('الحضور'!$C$3:$C$502,MATCH(173,'الحضور'!$Q$3:$Q$502,0)),"")</f>
        <v/>
      </c>
      <c r="D179" s="115">
        <f>IFERROR(INDEX('الحضور'!$E$3:$E$502,MATCH(173,'الحضور'!$Q$3:$Q$502,0)),"")</f>
        <v/>
      </c>
      <c r="E179" s="115">
        <f>IFERROR(INDEX('الحضور'!$G$3:$G$502,MATCH(173,'الحضور'!$Q$3:$Q$502,0)),"")</f>
        <v/>
      </c>
      <c r="F179" s="55">
        <f>IFERROR(INDEX('الحضور'!$K$3:$K$502,MATCH(173,'الحضور'!$Q$3:$Q$502,0)),"")</f>
        <v/>
      </c>
      <c r="G179" s="43">
        <f>IFERROR(INDEX('الحضور'!$N$3:$N$502,MATCH(173,'الحضور'!$Q$3:$Q$502,0)),"")</f>
        <v/>
      </c>
      <c r="H179" s="43">
        <f>IFERROR(INDEX('الحضور'!$O$3:$O$502,MATCH(173,'الحضور'!$Q$3:$Q$502,0)),"")</f>
        <v/>
      </c>
    </row>
    <row r="180">
      <c r="A180" s="50">
        <f>IFERROR(INDEX('الحضور'!$A$3:$A$502,MATCH(174,'الحضور'!$Q$3:$Q$502,0)),"")</f>
        <v/>
      </c>
      <c r="B180" s="50">
        <f>IFERROR(INDEX('الحضور'!$B$3:$B$502,MATCH(174,'الحضور'!$Q$3:$Q$502,0)),"")</f>
        <v/>
      </c>
      <c r="C180" s="119">
        <f>IFERROR(INDEX('الحضور'!$C$3:$C$502,MATCH(174,'الحضور'!$Q$3:$Q$502,0)),"")</f>
        <v/>
      </c>
      <c r="D180" s="117">
        <f>IFERROR(INDEX('الحضور'!$E$3:$E$502,MATCH(174,'الحضور'!$Q$3:$Q$502,0)),"")</f>
        <v/>
      </c>
      <c r="E180" s="117">
        <f>IFERROR(INDEX('الحضور'!$G$3:$G$502,MATCH(174,'الحضور'!$Q$3:$Q$502,0)),"")</f>
        <v/>
      </c>
      <c r="F180" s="58">
        <f>IFERROR(INDEX('الحضور'!$K$3:$K$502,MATCH(174,'الحضور'!$Q$3:$Q$502,0)),"")</f>
        <v/>
      </c>
      <c r="G180" s="50">
        <f>IFERROR(INDEX('الحضور'!$N$3:$N$502,MATCH(174,'الحضور'!$Q$3:$Q$502,0)),"")</f>
        <v/>
      </c>
      <c r="H180" s="50">
        <f>IFERROR(INDEX('الحضور'!$O$3:$O$502,MATCH(174,'الحضور'!$Q$3:$Q$502,0)),"")</f>
        <v/>
      </c>
    </row>
    <row r="181">
      <c r="A181" s="43">
        <f>IFERROR(INDEX('الحضور'!$A$3:$A$502,MATCH(175,'الحضور'!$Q$3:$Q$502,0)),"")</f>
        <v/>
      </c>
      <c r="B181" s="43">
        <f>IFERROR(INDEX('الحضور'!$B$3:$B$502,MATCH(175,'الحضور'!$Q$3:$Q$502,0)),"")</f>
        <v/>
      </c>
      <c r="C181" s="118">
        <f>IFERROR(INDEX('الحضور'!$C$3:$C$502,MATCH(175,'الحضور'!$Q$3:$Q$502,0)),"")</f>
        <v/>
      </c>
      <c r="D181" s="115">
        <f>IFERROR(INDEX('الحضور'!$E$3:$E$502,MATCH(175,'الحضور'!$Q$3:$Q$502,0)),"")</f>
        <v/>
      </c>
      <c r="E181" s="115">
        <f>IFERROR(INDEX('الحضور'!$G$3:$G$502,MATCH(175,'الحضور'!$Q$3:$Q$502,0)),"")</f>
        <v/>
      </c>
      <c r="F181" s="55">
        <f>IFERROR(INDEX('الحضور'!$K$3:$K$502,MATCH(175,'الحضور'!$Q$3:$Q$502,0)),"")</f>
        <v/>
      </c>
      <c r="G181" s="43">
        <f>IFERROR(INDEX('الحضور'!$N$3:$N$502,MATCH(175,'الحضور'!$Q$3:$Q$502,0)),"")</f>
        <v/>
      </c>
      <c r="H181" s="43">
        <f>IFERROR(INDEX('الحضور'!$O$3:$O$502,MATCH(175,'الحضور'!$Q$3:$Q$502,0)),"")</f>
        <v/>
      </c>
    </row>
    <row r="182">
      <c r="A182" s="50">
        <f>IFERROR(INDEX('الحضور'!$A$3:$A$502,MATCH(176,'الحضور'!$Q$3:$Q$502,0)),"")</f>
        <v/>
      </c>
      <c r="B182" s="50">
        <f>IFERROR(INDEX('الحضور'!$B$3:$B$502,MATCH(176,'الحضور'!$Q$3:$Q$502,0)),"")</f>
        <v/>
      </c>
      <c r="C182" s="119">
        <f>IFERROR(INDEX('الحضور'!$C$3:$C$502,MATCH(176,'الحضور'!$Q$3:$Q$502,0)),"")</f>
        <v/>
      </c>
      <c r="D182" s="117">
        <f>IFERROR(INDEX('الحضور'!$E$3:$E$502,MATCH(176,'الحضور'!$Q$3:$Q$502,0)),"")</f>
        <v/>
      </c>
      <c r="E182" s="117">
        <f>IFERROR(INDEX('الحضور'!$G$3:$G$502,MATCH(176,'الحضور'!$Q$3:$Q$502,0)),"")</f>
        <v/>
      </c>
      <c r="F182" s="58">
        <f>IFERROR(INDEX('الحضور'!$K$3:$K$502,MATCH(176,'الحضور'!$Q$3:$Q$502,0)),"")</f>
        <v/>
      </c>
      <c r="G182" s="50">
        <f>IFERROR(INDEX('الحضور'!$N$3:$N$502,MATCH(176,'الحضور'!$Q$3:$Q$502,0)),"")</f>
        <v/>
      </c>
      <c r="H182" s="50">
        <f>IFERROR(INDEX('الحضور'!$O$3:$O$502,MATCH(176,'الحضور'!$Q$3:$Q$502,0)),"")</f>
        <v/>
      </c>
    </row>
    <row r="183">
      <c r="A183" s="43">
        <f>IFERROR(INDEX('الحضور'!$A$3:$A$502,MATCH(177,'الحضور'!$Q$3:$Q$502,0)),"")</f>
        <v/>
      </c>
      <c r="B183" s="43">
        <f>IFERROR(INDEX('الحضور'!$B$3:$B$502,MATCH(177,'الحضور'!$Q$3:$Q$502,0)),"")</f>
        <v/>
      </c>
      <c r="C183" s="118">
        <f>IFERROR(INDEX('الحضور'!$C$3:$C$502,MATCH(177,'الحضور'!$Q$3:$Q$502,0)),"")</f>
        <v/>
      </c>
      <c r="D183" s="115">
        <f>IFERROR(INDEX('الحضور'!$E$3:$E$502,MATCH(177,'الحضور'!$Q$3:$Q$502,0)),"")</f>
        <v/>
      </c>
      <c r="E183" s="115">
        <f>IFERROR(INDEX('الحضور'!$G$3:$G$502,MATCH(177,'الحضور'!$Q$3:$Q$502,0)),"")</f>
        <v/>
      </c>
      <c r="F183" s="55">
        <f>IFERROR(INDEX('الحضور'!$K$3:$K$502,MATCH(177,'الحضور'!$Q$3:$Q$502,0)),"")</f>
        <v/>
      </c>
      <c r="G183" s="43">
        <f>IFERROR(INDEX('الحضور'!$N$3:$N$502,MATCH(177,'الحضور'!$Q$3:$Q$502,0)),"")</f>
        <v/>
      </c>
      <c r="H183" s="43">
        <f>IFERROR(INDEX('الحضور'!$O$3:$O$502,MATCH(177,'الحضور'!$Q$3:$Q$502,0)),"")</f>
        <v/>
      </c>
    </row>
    <row r="184">
      <c r="A184" s="50">
        <f>IFERROR(INDEX('الحضور'!$A$3:$A$502,MATCH(178,'الحضور'!$Q$3:$Q$502,0)),"")</f>
        <v/>
      </c>
      <c r="B184" s="50">
        <f>IFERROR(INDEX('الحضور'!$B$3:$B$502,MATCH(178,'الحضور'!$Q$3:$Q$502,0)),"")</f>
        <v/>
      </c>
      <c r="C184" s="119">
        <f>IFERROR(INDEX('الحضور'!$C$3:$C$502,MATCH(178,'الحضور'!$Q$3:$Q$502,0)),"")</f>
        <v/>
      </c>
      <c r="D184" s="117">
        <f>IFERROR(INDEX('الحضور'!$E$3:$E$502,MATCH(178,'الحضور'!$Q$3:$Q$502,0)),"")</f>
        <v/>
      </c>
      <c r="E184" s="117">
        <f>IFERROR(INDEX('الحضور'!$G$3:$G$502,MATCH(178,'الحضور'!$Q$3:$Q$502,0)),"")</f>
        <v/>
      </c>
      <c r="F184" s="58">
        <f>IFERROR(INDEX('الحضور'!$K$3:$K$502,MATCH(178,'الحضور'!$Q$3:$Q$502,0)),"")</f>
        <v/>
      </c>
      <c r="G184" s="50">
        <f>IFERROR(INDEX('الحضور'!$N$3:$N$502,MATCH(178,'الحضور'!$Q$3:$Q$502,0)),"")</f>
        <v/>
      </c>
      <c r="H184" s="50">
        <f>IFERROR(INDEX('الحضور'!$O$3:$O$502,MATCH(178,'الحضور'!$Q$3:$Q$502,0)),"")</f>
        <v/>
      </c>
    </row>
    <row r="185">
      <c r="A185" s="43">
        <f>IFERROR(INDEX('الحضور'!$A$3:$A$502,MATCH(179,'الحضور'!$Q$3:$Q$502,0)),"")</f>
        <v/>
      </c>
      <c r="B185" s="43">
        <f>IFERROR(INDEX('الحضور'!$B$3:$B$502,MATCH(179,'الحضور'!$Q$3:$Q$502,0)),"")</f>
        <v/>
      </c>
      <c r="C185" s="118">
        <f>IFERROR(INDEX('الحضور'!$C$3:$C$502,MATCH(179,'الحضور'!$Q$3:$Q$502,0)),"")</f>
        <v/>
      </c>
      <c r="D185" s="115">
        <f>IFERROR(INDEX('الحضور'!$E$3:$E$502,MATCH(179,'الحضور'!$Q$3:$Q$502,0)),"")</f>
        <v/>
      </c>
      <c r="E185" s="115">
        <f>IFERROR(INDEX('الحضور'!$G$3:$G$502,MATCH(179,'الحضور'!$Q$3:$Q$502,0)),"")</f>
        <v/>
      </c>
      <c r="F185" s="55">
        <f>IFERROR(INDEX('الحضور'!$K$3:$K$502,MATCH(179,'الحضور'!$Q$3:$Q$502,0)),"")</f>
        <v/>
      </c>
      <c r="G185" s="43">
        <f>IFERROR(INDEX('الحضور'!$N$3:$N$502,MATCH(179,'الحضور'!$Q$3:$Q$502,0)),"")</f>
        <v/>
      </c>
      <c r="H185" s="43">
        <f>IFERROR(INDEX('الحضور'!$O$3:$O$502,MATCH(179,'الحضور'!$Q$3:$Q$502,0)),"")</f>
        <v/>
      </c>
    </row>
    <row r="186">
      <c r="A186" s="50">
        <f>IFERROR(INDEX('الحضور'!$A$3:$A$502,MATCH(180,'الحضور'!$Q$3:$Q$502,0)),"")</f>
        <v/>
      </c>
      <c r="B186" s="50">
        <f>IFERROR(INDEX('الحضور'!$B$3:$B$502,MATCH(180,'الحضور'!$Q$3:$Q$502,0)),"")</f>
        <v/>
      </c>
      <c r="C186" s="119">
        <f>IFERROR(INDEX('الحضور'!$C$3:$C$502,MATCH(180,'الحضور'!$Q$3:$Q$502,0)),"")</f>
        <v/>
      </c>
      <c r="D186" s="117">
        <f>IFERROR(INDEX('الحضور'!$E$3:$E$502,MATCH(180,'الحضور'!$Q$3:$Q$502,0)),"")</f>
        <v/>
      </c>
      <c r="E186" s="117">
        <f>IFERROR(INDEX('الحضور'!$G$3:$G$502,MATCH(180,'الحضور'!$Q$3:$Q$502,0)),"")</f>
        <v/>
      </c>
      <c r="F186" s="58">
        <f>IFERROR(INDEX('الحضور'!$K$3:$K$502,MATCH(180,'الحضور'!$Q$3:$Q$502,0)),"")</f>
        <v/>
      </c>
      <c r="G186" s="50">
        <f>IFERROR(INDEX('الحضور'!$N$3:$N$502,MATCH(180,'الحضور'!$Q$3:$Q$502,0)),"")</f>
        <v/>
      </c>
      <c r="H186" s="50">
        <f>IFERROR(INDEX('الحضور'!$O$3:$O$502,MATCH(180,'الحضور'!$Q$3:$Q$502,0)),"")</f>
        <v/>
      </c>
    </row>
    <row r="187">
      <c r="A187" s="43">
        <f>IFERROR(INDEX('الحضور'!$A$3:$A$502,MATCH(181,'الحضور'!$Q$3:$Q$502,0)),"")</f>
        <v/>
      </c>
      <c r="B187" s="43">
        <f>IFERROR(INDEX('الحضور'!$B$3:$B$502,MATCH(181,'الحضور'!$Q$3:$Q$502,0)),"")</f>
        <v/>
      </c>
      <c r="C187" s="118">
        <f>IFERROR(INDEX('الحضور'!$C$3:$C$502,MATCH(181,'الحضور'!$Q$3:$Q$502,0)),"")</f>
        <v/>
      </c>
      <c r="D187" s="115">
        <f>IFERROR(INDEX('الحضور'!$E$3:$E$502,MATCH(181,'الحضور'!$Q$3:$Q$502,0)),"")</f>
        <v/>
      </c>
      <c r="E187" s="115">
        <f>IFERROR(INDEX('الحضور'!$G$3:$G$502,MATCH(181,'الحضور'!$Q$3:$Q$502,0)),"")</f>
        <v/>
      </c>
      <c r="F187" s="55">
        <f>IFERROR(INDEX('الحضور'!$K$3:$K$502,MATCH(181,'الحضور'!$Q$3:$Q$502,0)),"")</f>
        <v/>
      </c>
      <c r="G187" s="43">
        <f>IFERROR(INDEX('الحضور'!$N$3:$N$502,MATCH(181,'الحضور'!$Q$3:$Q$502,0)),"")</f>
        <v/>
      </c>
      <c r="H187" s="43">
        <f>IFERROR(INDEX('الحضور'!$O$3:$O$502,MATCH(181,'الحضور'!$Q$3:$Q$502,0)),"")</f>
        <v/>
      </c>
    </row>
    <row r="188">
      <c r="A188" s="50">
        <f>IFERROR(INDEX('الحضور'!$A$3:$A$502,MATCH(182,'الحضور'!$Q$3:$Q$502,0)),"")</f>
        <v/>
      </c>
      <c r="B188" s="50">
        <f>IFERROR(INDEX('الحضور'!$B$3:$B$502,MATCH(182,'الحضور'!$Q$3:$Q$502,0)),"")</f>
        <v/>
      </c>
      <c r="C188" s="119">
        <f>IFERROR(INDEX('الحضور'!$C$3:$C$502,MATCH(182,'الحضور'!$Q$3:$Q$502,0)),"")</f>
        <v/>
      </c>
      <c r="D188" s="117">
        <f>IFERROR(INDEX('الحضور'!$E$3:$E$502,MATCH(182,'الحضور'!$Q$3:$Q$502,0)),"")</f>
        <v/>
      </c>
      <c r="E188" s="117">
        <f>IFERROR(INDEX('الحضور'!$G$3:$G$502,MATCH(182,'الحضور'!$Q$3:$Q$502,0)),"")</f>
        <v/>
      </c>
      <c r="F188" s="58">
        <f>IFERROR(INDEX('الحضور'!$K$3:$K$502,MATCH(182,'الحضور'!$Q$3:$Q$502,0)),"")</f>
        <v/>
      </c>
      <c r="G188" s="50">
        <f>IFERROR(INDEX('الحضور'!$N$3:$N$502,MATCH(182,'الحضور'!$Q$3:$Q$502,0)),"")</f>
        <v/>
      </c>
      <c r="H188" s="50">
        <f>IFERROR(INDEX('الحضور'!$O$3:$O$502,MATCH(182,'الحضور'!$Q$3:$Q$502,0)),"")</f>
        <v/>
      </c>
    </row>
    <row r="189">
      <c r="A189" s="43">
        <f>IFERROR(INDEX('الحضور'!$A$3:$A$502,MATCH(183,'الحضور'!$Q$3:$Q$502,0)),"")</f>
        <v/>
      </c>
      <c r="B189" s="43">
        <f>IFERROR(INDEX('الحضور'!$B$3:$B$502,MATCH(183,'الحضور'!$Q$3:$Q$502,0)),"")</f>
        <v/>
      </c>
      <c r="C189" s="118">
        <f>IFERROR(INDEX('الحضور'!$C$3:$C$502,MATCH(183,'الحضور'!$Q$3:$Q$502,0)),"")</f>
        <v/>
      </c>
      <c r="D189" s="115">
        <f>IFERROR(INDEX('الحضور'!$E$3:$E$502,MATCH(183,'الحضور'!$Q$3:$Q$502,0)),"")</f>
        <v/>
      </c>
      <c r="E189" s="115">
        <f>IFERROR(INDEX('الحضور'!$G$3:$G$502,MATCH(183,'الحضور'!$Q$3:$Q$502,0)),"")</f>
        <v/>
      </c>
      <c r="F189" s="55">
        <f>IFERROR(INDEX('الحضور'!$K$3:$K$502,MATCH(183,'الحضور'!$Q$3:$Q$502,0)),"")</f>
        <v/>
      </c>
      <c r="G189" s="43">
        <f>IFERROR(INDEX('الحضور'!$N$3:$N$502,MATCH(183,'الحضور'!$Q$3:$Q$502,0)),"")</f>
        <v/>
      </c>
      <c r="H189" s="43">
        <f>IFERROR(INDEX('الحضور'!$O$3:$O$502,MATCH(183,'الحضور'!$Q$3:$Q$502,0)),"")</f>
        <v/>
      </c>
    </row>
    <row r="190">
      <c r="A190" s="50">
        <f>IFERROR(INDEX('الحضور'!$A$3:$A$502,MATCH(184,'الحضور'!$Q$3:$Q$502,0)),"")</f>
        <v/>
      </c>
      <c r="B190" s="50">
        <f>IFERROR(INDEX('الحضور'!$B$3:$B$502,MATCH(184,'الحضور'!$Q$3:$Q$502,0)),"")</f>
        <v/>
      </c>
      <c r="C190" s="119">
        <f>IFERROR(INDEX('الحضور'!$C$3:$C$502,MATCH(184,'الحضور'!$Q$3:$Q$502,0)),"")</f>
        <v/>
      </c>
      <c r="D190" s="117">
        <f>IFERROR(INDEX('الحضور'!$E$3:$E$502,MATCH(184,'الحضور'!$Q$3:$Q$502,0)),"")</f>
        <v/>
      </c>
      <c r="E190" s="117">
        <f>IFERROR(INDEX('الحضور'!$G$3:$G$502,MATCH(184,'الحضور'!$Q$3:$Q$502,0)),"")</f>
        <v/>
      </c>
      <c r="F190" s="58">
        <f>IFERROR(INDEX('الحضور'!$K$3:$K$502,MATCH(184,'الحضور'!$Q$3:$Q$502,0)),"")</f>
        <v/>
      </c>
      <c r="G190" s="50">
        <f>IFERROR(INDEX('الحضور'!$N$3:$N$502,MATCH(184,'الحضور'!$Q$3:$Q$502,0)),"")</f>
        <v/>
      </c>
      <c r="H190" s="50">
        <f>IFERROR(INDEX('الحضور'!$O$3:$O$502,MATCH(184,'الحضور'!$Q$3:$Q$502,0)),"")</f>
        <v/>
      </c>
    </row>
    <row r="191">
      <c r="A191" s="43">
        <f>IFERROR(INDEX('الحضور'!$A$3:$A$502,MATCH(185,'الحضور'!$Q$3:$Q$502,0)),"")</f>
        <v/>
      </c>
      <c r="B191" s="43">
        <f>IFERROR(INDEX('الحضور'!$B$3:$B$502,MATCH(185,'الحضور'!$Q$3:$Q$502,0)),"")</f>
        <v/>
      </c>
      <c r="C191" s="118">
        <f>IFERROR(INDEX('الحضور'!$C$3:$C$502,MATCH(185,'الحضور'!$Q$3:$Q$502,0)),"")</f>
        <v/>
      </c>
      <c r="D191" s="115">
        <f>IFERROR(INDEX('الحضور'!$E$3:$E$502,MATCH(185,'الحضور'!$Q$3:$Q$502,0)),"")</f>
        <v/>
      </c>
      <c r="E191" s="115">
        <f>IFERROR(INDEX('الحضور'!$G$3:$G$502,MATCH(185,'الحضور'!$Q$3:$Q$502,0)),"")</f>
        <v/>
      </c>
      <c r="F191" s="55">
        <f>IFERROR(INDEX('الحضور'!$K$3:$K$502,MATCH(185,'الحضور'!$Q$3:$Q$502,0)),"")</f>
        <v/>
      </c>
      <c r="G191" s="43">
        <f>IFERROR(INDEX('الحضور'!$N$3:$N$502,MATCH(185,'الحضور'!$Q$3:$Q$502,0)),"")</f>
        <v/>
      </c>
      <c r="H191" s="43">
        <f>IFERROR(INDEX('الحضور'!$O$3:$O$502,MATCH(185,'الحضور'!$Q$3:$Q$502,0)),"")</f>
        <v/>
      </c>
    </row>
    <row r="192">
      <c r="A192" s="50">
        <f>IFERROR(INDEX('الحضور'!$A$3:$A$502,MATCH(186,'الحضور'!$Q$3:$Q$502,0)),"")</f>
        <v/>
      </c>
      <c r="B192" s="50">
        <f>IFERROR(INDEX('الحضور'!$B$3:$B$502,MATCH(186,'الحضور'!$Q$3:$Q$502,0)),"")</f>
        <v/>
      </c>
      <c r="C192" s="119">
        <f>IFERROR(INDEX('الحضور'!$C$3:$C$502,MATCH(186,'الحضور'!$Q$3:$Q$502,0)),"")</f>
        <v/>
      </c>
      <c r="D192" s="117">
        <f>IFERROR(INDEX('الحضور'!$E$3:$E$502,MATCH(186,'الحضور'!$Q$3:$Q$502,0)),"")</f>
        <v/>
      </c>
      <c r="E192" s="117">
        <f>IFERROR(INDEX('الحضور'!$G$3:$G$502,MATCH(186,'الحضور'!$Q$3:$Q$502,0)),"")</f>
        <v/>
      </c>
      <c r="F192" s="58">
        <f>IFERROR(INDEX('الحضور'!$K$3:$K$502,MATCH(186,'الحضور'!$Q$3:$Q$502,0)),"")</f>
        <v/>
      </c>
      <c r="G192" s="50">
        <f>IFERROR(INDEX('الحضور'!$N$3:$N$502,MATCH(186,'الحضور'!$Q$3:$Q$502,0)),"")</f>
        <v/>
      </c>
      <c r="H192" s="50">
        <f>IFERROR(INDEX('الحضور'!$O$3:$O$502,MATCH(186,'الحضور'!$Q$3:$Q$502,0)),"")</f>
        <v/>
      </c>
    </row>
    <row r="193">
      <c r="A193" s="43">
        <f>IFERROR(INDEX('الحضور'!$A$3:$A$502,MATCH(187,'الحضور'!$Q$3:$Q$502,0)),"")</f>
        <v/>
      </c>
      <c r="B193" s="43">
        <f>IFERROR(INDEX('الحضور'!$B$3:$B$502,MATCH(187,'الحضور'!$Q$3:$Q$502,0)),"")</f>
        <v/>
      </c>
      <c r="C193" s="118">
        <f>IFERROR(INDEX('الحضور'!$C$3:$C$502,MATCH(187,'الحضور'!$Q$3:$Q$502,0)),"")</f>
        <v/>
      </c>
      <c r="D193" s="115">
        <f>IFERROR(INDEX('الحضور'!$E$3:$E$502,MATCH(187,'الحضور'!$Q$3:$Q$502,0)),"")</f>
        <v/>
      </c>
      <c r="E193" s="115">
        <f>IFERROR(INDEX('الحضور'!$G$3:$G$502,MATCH(187,'الحضور'!$Q$3:$Q$502,0)),"")</f>
        <v/>
      </c>
      <c r="F193" s="55">
        <f>IFERROR(INDEX('الحضور'!$K$3:$K$502,MATCH(187,'الحضور'!$Q$3:$Q$502,0)),"")</f>
        <v/>
      </c>
      <c r="G193" s="43">
        <f>IFERROR(INDEX('الحضور'!$N$3:$N$502,MATCH(187,'الحضور'!$Q$3:$Q$502,0)),"")</f>
        <v/>
      </c>
      <c r="H193" s="43">
        <f>IFERROR(INDEX('الحضور'!$O$3:$O$502,MATCH(187,'الحضور'!$Q$3:$Q$502,0)),"")</f>
        <v/>
      </c>
    </row>
    <row r="194">
      <c r="A194" s="50">
        <f>IFERROR(INDEX('الحضور'!$A$3:$A$502,MATCH(188,'الحضور'!$Q$3:$Q$502,0)),"")</f>
        <v/>
      </c>
      <c r="B194" s="50">
        <f>IFERROR(INDEX('الحضور'!$B$3:$B$502,MATCH(188,'الحضور'!$Q$3:$Q$502,0)),"")</f>
        <v/>
      </c>
      <c r="C194" s="119">
        <f>IFERROR(INDEX('الحضور'!$C$3:$C$502,MATCH(188,'الحضور'!$Q$3:$Q$502,0)),"")</f>
        <v/>
      </c>
      <c r="D194" s="117">
        <f>IFERROR(INDEX('الحضور'!$E$3:$E$502,MATCH(188,'الحضور'!$Q$3:$Q$502,0)),"")</f>
        <v/>
      </c>
      <c r="E194" s="117">
        <f>IFERROR(INDEX('الحضور'!$G$3:$G$502,MATCH(188,'الحضور'!$Q$3:$Q$502,0)),"")</f>
        <v/>
      </c>
      <c r="F194" s="58">
        <f>IFERROR(INDEX('الحضور'!$K$3:$K$502,MATCH(188,'الحضور'!$Q$3:$Q$502,0)),"")</f>
        <v/>
      </c>
      <c r="G194" s="50">
        <f>IFERROR(INDEX('الحضور'!$N$3:$N$502,MATCH(188,'الحضور'!$Q$3:$Q$502,0)),"")</f>
        <v/>
      </c>
      <c r="H194" s="50">
        <f>IFERROR(INDEX('الحضور'!$O$3:$O$502,MATCH(188,'الحضور'!$Q$3:$Q$502,0)),"")</f>
        <v/>
      </c>
    </row>
    <row r="195">
      <c r="A195" s="43">
        <f>IFERROR(INDEX('الحضور'!$A$3:$A$502,MATCH(189,'الحضور'!$Q$3:$Q$502,0)),"")</f>
        <v/>
      </c>
      <c r="B195" s="43">
        <f>IFERROR(INDEX('الحضور'!$B$3:$B$502,MATCH(189,'الحضور'!$Q$3:$Q$502,0)),"")</f>
        <v/>
      </c>
      <c r="C195" s="118">
        <f>IFERROR(INDEX('الحضور'!$C$3:$C$502,MATCH(189,'الحضور'!$Q$3:$Q$502,0)),"")</f>
        <v/>
      </c>
      <c r="D195" s="115">
        <f>IFERROR(INDEX('الحضور'!$E$3:$E$502,MATCH(189,'الحضور'!$Q$3:$Q$502,0)),"")</f>
        <v/>
      </c>
      <c r="E195" s="115">
        <f>IFERROR(INDEX('الحضور'!$G$3:$G$502,MATCH(189,'الحضور'!$Q$3:$Q$502,0)),"")</f>
        <v/>
      </c>
      <c r="F195" s="55">
        <f>IFERROR(INDEX('الحضور'!$K$3:$K$502,MATCH(189,'الحضور'!$Q$3:$Q$502,0)),"")</f>
        <v/>
      </c>
      <c r="G195" s="43">
        <f>IFERROR(INDEX('الحضور'!$N$3:$N$502,MATCH(189,'الحضور'!$Q$3:$Q$502,0)),"")</f>
        <v/>
      </c>
      <c r="H195" s="43">
        <f>IFERROR(INDEX('الحضور'!$O$3:$O$502,MATCH(189,'الحضور'!$Q$3:$Q$502,0)),"")</f>
        <v/>
      </c>
    </row>
    <row r="196">
      <c r="A196" s="50">
        <f>IFERROR(INDEX('الحضور'!$A$3:$A$502,MATCH(190,'الحضور'!$Q$3:$Q$502,0)),"")</f>
        <v/>
      </c>
      <c r="B196" s="50">
        <f>IFERROR(INDEX('الحضور'!$B$3:$B$502,MATCH(190,'الحضور'!$Q$3:$Q$502,0)),"")</f>
        <v/>
      </c>
      <c r="C196" s="119">
        <f>IFERROR(INDEX('الحضور'!$C$3:$C$502,MATCH(190,'الحضور'!$Q$3:$Q$502,0)),"")</f>
        <v/>
      </c>
      <c r="D196" s="117">
        <f>IFERROR(INDEX('الحضور'!$E$3:$E$502,MATCH(190,'الحضور'!$Q$3:$Q$502,0)),"")</f>
        <v/>
      </c>
      <c r="E196" s="117">
        <f>IFERROR(INDEX('الحضور'!$G$3:$G$502,MATCH(190,'الحضور'!$Q$3:$Q$502,0)),"")</f>
        <v/>
      </c>
      <c r="F196" s="58">
        <f>IFERROR(INDEX('الحضور'!$K$3:$K$502,MATCH(190,'الحضور'!$Q$3:$Q$502,0)),"")</f>
        <v/>
      </c>
      <c r="G196" s="50">
        <f>IFERROR(INDEX('الحضور'!$N$3:$N$502,MATCH(190,'الحضور'!$Q$3:$Q$502,0)),"")</f>
        <v/>
      </c>
      <c r="H196" s="50">
        <f>IFERROR(INDEX('الحضور'!$O$3:$O$502,MATCH(190,'الحضور'!$Q$3:$Q$502,0)),"")</f>
        <v/>
      </c>
    </row>
    <row r="197">
      <c r="A197" s="43">
        <f>IFERROR(INDEX('الحضور'!$A$3:$A$502,MATCH(191,'الحضور'!$Q$3:$Q$502,0)),"")</f>
        <v/>
      </c>
      <c r="B197" s="43">
        <f>IFERROR(INDEX('الحضور'!$B$3:$B$502,MATCH(191,'الحضور'!$Q$3:$Q$502,0)),"")</f>
        <v/>
      </c>
      <c r="C197" s="118">
        <f>IFERROR(INDEX('الحضور'!$C$3:$C$502,MATCH(191,'الحضور'!$Q$3:$Q$502,0)),"")</f>
        <v/>
      </c>
      <c r="D197" s="115">
        <f>IFERROR(INDEX('الحضور'!$E$3:$E$502,MATCH(191,'الحضور'!$Q$3:$Q$502,0)),"")</f>
        <v/>
      </c>
      <c r="E197" s="115">
        <f>IFERROR(INDEX('الحضور'!$G$3:$G$502,MATCH(191,'الحضور'!$Q$3:$Q$502,0)),"")</f>
        <v/>
      </c>
      <c r="F197" s="55">
        <f>IFERROR(INDEX('الحضور'!$K$3:$K$502,MATCH(191,'الحضور'!$Q$3:$Q$502,0)),"")</f>
        <v/>
      </c>
      <c r="G197" s="43">
        <f>IFERROR(INDEX('الحضور'!$N$3:$N$502,MATCH(191,'الحضور'!$Q$3:$Q$502,0)),"")</f>
        <v/>
      </c>
      <c r="H197" s="43">
        <f>IFERROR(INDEX('الحضور'!$O$3:$O$502,MATCH(191,'الحضور'!$Q$3:$Q$502,0)),"")</f>
        <v/>
      </c>
    </row>
    <row r="198">
      <c r="A198" s="50">
        <f>IFERROR(INDEX('الحضور'!$A$3:$A$502,MATCH(192,'الحضور'!$Q$3:$Q$502,0)),"")</f>
        <v/>
      </c>
      <c r="B198" s="50">
        <f>IFERROR(INDEX('الحضور'!$B$3:$B$502,MATCH(192,'الحضور'!$Q$3:$Q$502,0)),"")</f>
        <v/>
      </c>
      <c r="C198" s="119">
        <f>IFERROR(INDEX('الحضور'!$C$3:$C$502,MATCH(192,'الحضور'!$Q$3:$Q$502,0)),"")</f>
        <v/>
      </c>
      <c r="D198" s="117">
        <f>IFERROR(INDEX('الحضور'!$E$3:$E$502,MATCH(192,'الحضور'!$Q$3:$Q$502,0)),"")</f>
        <v/>
      </c>
      <c r="E198" s="117">
        <f>IFERROR(INDEX('الحضور'!$G$3:$G$502,MATCH(192,'الحضور'!$Q$3:$Q$502,0)),"")</f>
        <v/>
      </c>
      <c r="F198" s="58">
        <f>IFERROR(INDEX('الحضور'!$K$3:$K$502,MATCH(192,'الحضور'!$Q$3:$Q$502,0)),"")</f>
        <v/>
      </c>
      <c r="G198" s="50">
        <f>IFERROR(INDEX('الحضور'!$N$3:$N$502,MATCH(192,'الحضور'!$Q$3:$Q$502,0)),"")</f>
        <v/>
      </c>
      <c r="H198" s="50">
        <f>IFERROR(INDEX('الحضور'!$O$3:$O$502,MATCH(192,'الحضور'!$Q$3:$Q$502,0)),"")</f>
        <v/>
      </c>
    </row>
    <row r="199">
      <c r="A199" s="43">
        <f>IFERROR(INDEX('الحضور'!$A$3:$A$502,MATCH(193,'الحضور'!$Q$3:$Q$502,0)),"")</f>
        <v/>
      </c>
      <c r="B199" s="43">
        <f>IFERROR(INDEX('الحضور'!$B$3:$B$502,MATCH(193,'الحضور'!$Q$3:$Q$502,0)),"")</f>
        <v/>
      </c>
      <c r="C199" s="118">
        <f>IFERROR(INDEX('الحضور'!$C$3:$C$502,MATCH(193,'الحضور'!$Q$3:$Q$502,0)),"")</f>
        <v/>
      </c>
      <c r="D199" s="115">
        <f>IFERROR(INDEX('الحضور'!$E$3:$E$502,MATCH(193,'الحضور'!$Q$3:$Q$502,0)),"")</f>
        <v/>
      </c>
      <c r="E199" s="115">
        <f>IFERROR(INDEX('الحضور'!$G$3:$G$502,MATCH(193,'الحضور'!$Q$3:$Q$502,0)),"")</f>
        <v/>
      </c>
      <c r="F199" s="55">
        <f>IFERROR(INDEX('الحضور'!$K$3:$K$502,MATCH(193,'الحضور'!$Q$3:$Q$502,0)),"")</f>
        <v/>
      </c>
      <c r="G199" s="43">
        <f>IFERROR(INDEX('الحضور'!$N$3:$N$502,MATCH(193,'الحضور'!$Q$3:$Q$502,0)),"")</f>
        <v/>
      </c>
      <c r="H199" s="43">
        <f>IFERROR(INDEX('الحضور'!$O$3:$O$502,MATCH(193,'الحضور'!$Q$3:$Q$502,0)),"")</f>
        <v/>
      </c>
    </row>
    <row r="200">
      <c r="A200" s="50">
        <f>IFERROR(INDEX('الحضور'!$A$3:$A$502,MATCH(194,'الحضور'!$Q$3:$Q$502,0)),"")</f>
        <v/>
      </c>
      <c r="B200" s="50">
        <f>IFERROR(INDEX('الحضور'!$B$3:$B$502,MATCH(194,'الحضور'!$Q$3:$Q$502,0)),"")</f>
        <v/>
      </c>
      <c r="C200" s="119">
        <f>IFERROR(INDEX('الحضور'!$C$3:$C$502,MATCH(194,'الحضور'!$Q$3:$Q$502,0)),"")</f>
        <v/>
      </c>
      <c r="D200" s="117">
        <f>IFERROR(INDEX('الحضور'!$E$3:$E$502,MATCH(194,'الحضور'!$Q$3:$Q$502,0)),"")</f>
        <v/>
      </c>
      <c r="E200" s="117">
        <f>IFERROR(INDEX('الحضور'!$G$3:$G$502,MATCH(194,'الحضور'!$Q$3:$Q$502,0)),"")</f>
        <v/>
      </c>
      <c r="F200" s="58">
        <f>IFERROR(INDEX('الحضور'!$K$3:$K$502,MATCH(194,'الحضور'!$Q$3:$Q$502,0)),"")</f>
        <v/>
      </c>
      <c r="G200" s="50">
        <f>IFERROR(INDEX('الحضور'!$N$3:$N$502,MATCH(194,'الحضور'!$Q$3:$Q$502,0)),"")</f>
        <v/>
      </c>
      <c r="H200" s="50">
        <f>IFERROR(INDEX('الحضور'!$O$3:$O$502,MATCH(194,'الحضور'!$Q$3:$Q$502,0)),"")</f>
        <v/>
      </c>
    </row>
    <row r="201">
      <c r="A201" s="43">
        <f>IFERROR(INDEX('الحضور'!$A$3:$A$502,MATCH(195,'الحضور'!$Q$3:$Q$502,0)),"")</f>
        <v/>
      </c>
      <c r="B201" s="43">
        <f>IFERROR(INDEX('الحضور'!$B$3:$B$502,MATCH(195,'الحضور'!$Q$3:$Q$502,0)),"")</f>
        <v/>
      </c>
      <c r="C201" s="118">
        <f>IFERROR(INDEX('الحضور'!$C$3:$C$502,MATCH(195,'الحضور'!$Q$3:$Q$502,0)),"")</f>
        <v/>
      </c>
      <c r="D201" s="115">
        <f>IFERROR(INDEX('الحضور'!$E$3:$E$502,MATCH(195,'الحضور'!$Q$3:$Q$502,0)),"")</f>
        <v/>
      </c>
      <c r="E201" s="115">
        <f>IFERROR(INDEX('الحضور'!$G$3:$G$502,MATCH(195,'الحضور'!$Q$3:$Q$502,0)),"")</f>
        <v/>
      </c>
      <c r="F201" s="55">
        <f>IFERROR(INDEX('الحضور'!$K$3:$K$502,MATCH(195,'الحضور'!$Q$3:$Q$502,0)),"")</f>
        <v/>
      </c>
      <c r="G201" s="43">
        <f>IFERROR(INDEX('الحضور'!$N$3:$N$502,MATCH(195,'الحضور'!$Q$3:$Q$502,0)),"")</f>
        <v/>
      </c>
      <c r="H201" s="43">
        <f>IFERROR(INDEX('الحضور'!$O$3:$O$502,MATCH(195,'الحضور'!$Q$3:$Q$502,0)),"")</f>
        <v/>
      </c>
    </row>
    <row r="202">
      <c r="A202" s="50">
        <f>IFERROR(INDEX('الحضور'!$A$3:$A$502,MATCH(196,'الحضور'!$Q$3:$Q$502,0)),"")</f>
        <v/>
      </c>
      <c r="B202" s="50">
        <f>IFERROR(INDEX('الحضور'!$B$3:$B$502,MATCH(196,'الحضور'!$Q$3:$Q$502,0)),"")</f>
        <v/>
      </c>
      <c r="C202" s="119">
        <f>IFERROR(INDEX('الحضور'!$C$3:$C$502,MATCH(196,'الحضور'!$Q$3:$Q$502,0)),"")</f>
        <v/>
      </c>
      <c r="D202" s="117">
        <f>IFERROR(INDEX('الحضور'!$E$3:$E$502,MATCH(196,'الحضور'!$Q$3:$Q$502,0)),"")</f>
        <v/>
      </c>
      <c r="E202" s="117">
        <f>IFERROR(INDEX('الحضور'!$G$3:$G$502,MATCH(196,'الحضور'!$Q$3:$Q$502,0)),"")</f>
        <v/>
      </c>
      <c r="F202" s="58">
        <f>IFERROR(INDEX('الحضور'!$K$3:$K$502,MATCH(196,'الحضور'!$Q$3:$Q$502,0)),"")</f>
        <v/>
      </c>
      <c r="G202" s="50">
        <f>IFERROR(INDEX('الحضور'!$N$3:$N$502,MATCH(196,'الحضور'!$Q$3:$Q$502,0)),"")</f>
        <v/>
      </c>
      <c r="H202" s="50">
        <f>IFERROR(INDEX('الحضور'!$O$3:$O$502,MATCH(196,'الحضور'!$Q$3:$Q$502,0)),"")</f>
        <v/>
      </c>
    </row>
    <row r="203">
      <c r="A203" s="43">
        <f>IFERROR(INDEX('الحضور'!$A$3:$A$502,MATCH(197,'الحضور'!$Q$3:$Q$502,0)),"")</f>
        <v/>
      </c>
      <c r="B203" s="43">
        <f>IFERROR(INDEX('الحضور'!$B$3:$B$502,MATCH(197,'الحضور'!$Q$3:$Q$502,0)),"")</f>
        <v/>
      </c>
      <c r="C203" s="118">
        <f>IFERROR(INDEX('الحضور'!$C$3:$C$502,MATCH(197,'الحضور'!$Q$3:$Q$502,0)),"")</f>
        <v/>
      </c>
      <c r="D203" s="115">
        <f>IFERROR(INDEX('الحضور'!$E$3:$E$502,MATCH(197,'الحضور'!$Q$3:$Q$502,0)),"")</f>
        <v/>
      </c>
      <c r="E203" s="115">
        <f>IFERROR(INDEX('الحضور'!$G$3:$G$502,MATCH(197,'الحضور'!$Q$3:$Q$502,0)),"")</f>
        <v/>
      </c>
      <c r="F203" s="55">
        <f>IFERROR(INDEX('الحضور'!$K$3:$K$502,MATCH(197,'الحضور'!$Q$3:$Q$502,0)),"")</f>
        <v/>
      </c>
      <c r="G203" s="43">
        <f>IFERROR(INDEX('الحضور'!$N$3:$N$502,MATCH(197,'الحضور'!$Q$3:$Q$502,0)),"")</f>
        <v/>
      </c>
      <c r="H203" s="43">
        <f>IFERROR(INDEX('الحضور'!$O$3:$O$502,MATCH(197,'الحضور'!$Q$3:$Q$502,0)),"")</f>
        <v/>
      </c>
    </row>
    <row r="204">
      <c r="A204" s="50">
        <f>IFERROR(INDEX('الحضور'!$A$3:$A$502,MATCH(198,'الحضور'!$Q$3:$Q$502,0)),"")</f>
        <v/>
      </c>
      <c r="B204" s="50">
        <f>IFERROR(INDEX('الحضور'!$B$3:$B$502,MATCH(198,'الحضور'!$Q$3:$Q$502,0)),"")</f>
        <v/>
      </c>
      <c r="C204" s="119">
        <f>IFERROR(INDEX('الحضور'!$C$3:$C$502,MATCH(198,'الحضور'!$Q$3:$Q$502,0)),"")</f>
        <v/>
      </c>
      <c r="D204" s="117">
        <f>IFERROR(INDEX('الحضور'!$E$3:$E$502,MATCH(198,'الحضور'!$Q$3:$Q$502,0)),"")</f>
        <v/>
      </c>
      <c r="E204" s="117">
        <f>IFERROR(INDEX('الحضور'!$G$3:$G$502,MATCH(198,'الحضور'!$Q$3:$Q$502,0)),"")</f>
        <v/>
      </c>
      <c r="F204" s="58">
        <f>IFERROR(INDEX('الحضور'!$K$3:$K$502,MATCH(198,'الحضور'!$Q$3:$Q$502,0)),"")</f>
        <v/>
      </c>
      <c r="G204" s="50">
        <f>IFERROR(INDEX('الحضور'!$N$3:$N$502,MATCH(198,'الحضور'!$Q$3:$Q$502,0)),"")</f>
        <v/>
      </c>
      <c r="H204" s="50">
        <f>IFERROR(INDEX('الحضور'!$O$3:$O$502,MATCH(198,'الحضور'!$Q$3:$Q$502,0)),"")</f>
        <v/>
      </c>
    </row>
    <row r="205">
      <c r="A205" s="43">
        <f>IFERROR(INDEX('الحضور'!$A$3:$A$502,MATCH(199,'الحضور'!$Q$3:$Q$502,0)),"")</f>
        <v/>
      </c>
      <c r="B205" s="43">
        <f>IFERROR(INDEX('الحضور'!$B$3:$B$502,MATCH(199,'الحضور'!$Q$3:$Q$502,0)),"")</f>
        <v/>
      </c>
      <c r="C205" s="118">
        <f>IFERROR(INDEX('الحضور'!$C$3:$C$502,MATCH(199,'الحضور'!$Q$3:$Q$502,0)),"")</f>
        <v/>
      </c>
      <c r="D205" s="115">
        <f>IFERROR(INDEX('الحضور'!$E$3:$E$502,MATCH(199,'الحضور'!$Q$3:$Q$502,0)),"")</f>
        <v/>
      </c>
      <c r="E205" s="115">
        <f>IFERROR(INDEX('الحضور'!$G$3:$G$502,MATCH(199,'الحضور'!$Q$3:$Q$502,0)),"")</f>
        <v/>
      </c>
      <c r="F205" s="55">
        <f>IFERROR(INDEX('الحضور'!$K$3:$K$502,MATCH(199,'الحضور'!$Q$3:$Q$502,0)),"")</f>
        <v/>
      </c>
      <c r="G205" s="43">
        <f>IFERROR(INDEX('الحضور'!$N$3:$N$502,MATCH(199,'الحضور'!$Q$3:$Q$502,0)),"")</f>
        <v/>
      </c>
      <c r="H205" s="43">
        <f>IFERROR(INDEX('الحضور'!$O$3:$O$502,MATCH(199,'الحضور'!$Q$3:$Q$502,0)),"")</f>
        <v/>
      </c>
    </row>
    <row r="206">
      <c r="A206" s="50">
        <f>IFERROR(INDEX('الحضور'!$A$3:$A$502,MATCH(200,'الحضور'!$Q$3:$Q$502,0)),"")</f>
        <v/>
      </c>
      <c r="B206" s="50">
        <f>IFERROR(INDEX('الحضور'!$B$3:$B$502,MATCH(200,'الحضور'!$Q$3:$Q$502,0)),"")</f>
        <v/>
      </c>
      <c r="C206" s="119">
        <f>IFERROR(INDEX('الحضور'!$C$3:$C$502,MATCH(200,'الحضور'!$Q$3:$Q$502,0)),"")</f>
        <v/>
      </c>
      <c r="D206" s="117">
        <f>IFERROR(INDEX('الحضور'!$E$3:$E$502,MATCH(200,'الحضور'!$Q$3:$Q$502,0)),"")</f>
        <v/>
      </c>
      <c r="E206" s="117">
        <f>IFERROR(INDEX('الحضور'!$G$3:$G$502,MATCH(200,'الحضور'!$Q$3:$Q$502,0)),"")</f>
        <v/>
      </c>
      <c r="F206" s="58">
        <f>IFERROR(INDEX('الحضور'!$K$3:$K$502,MATCH(200,'الحضور'!$Q$3:$Q$502,0)),"")</f>
        <v/>
      </c>
      <c r="G206" s="50">
        <f>IFERROR(INDEX('الحضور'!$N$3:$N$502,MATCH(200,'الحضور'!$Q$3:$Q$502,0)),"")</f>
        <v/>
      </c>
      <c r="H206" s="50">
        <f>IFERROR(INDEX('الحضور'!$O$3:$O$502,MATCH(200,'الحضور'!$Q$3:$Q$502,0)),"")</f>
        <v/>
      </c>
    </row>
    <row r="207">
      <c r="A207" s="71" t="inlineStr">
        <is>
          <t>الإجمالي</t>
        </is>
      </c>
      <c r="B207" s="72" t="n"/>
      <c r="C207" s="72" t="n"/>
      <c r="D207" s="72" t="n"/>
      <c r="E207" s="72" t="n"/>
      <c r="F207" s="73">
        <f>SUM(F7:F206)</f>
        <v/>
      </c>
      <c r="G207" s="72" t="n"/>
      <c r="H207" s="7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05"/>
  <mergeCells count="5">
    <mergeCell ref="E3:H3"/>
    <mergeCell ref="A2:H2"/>
    <mergeCell ref="A3:D3"/>
    <mergeCell ref="A1:H1"/>
    <mergeCell ref="A207"/>
  </mergeCells>
  <pageMargins left="0.75" right="0.75" top="1" bottom="1" header="0.5" footer="0.5"/>
  <pageSetup orientation="landscape" paperSize="9" fitToHeight="0" fitToWidth="1"/>
  <headerFooter>
    <oddHeader/>
    <oddFooter>&amp;L&amp;8 نظام إدارة الموارد البشرية&amp;R&amp;8 صفحة &amp;P من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L207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4" customWidth="1" min="4" max="4"/>
    <col width="13" customWidth="1" min="5" max="5"/>
    <col width="13" customWidth="1" min="6" max="6"/>
    <col width="10" customWidth="1" min="7" max="7"/>
    <col width="11" customWidth="1" min="8" max="8"/>
    <col width="10" customWidth="1" min="9" max="9"/>
    <col width="11" customWidth="1" min="10" max="10"/>
    <col width="13" customWidth="1" min="11" max="11"/>
    <col width="16" customWidth="1" min="12" max="12"/>
  </cols>
  <sheetData>
    <row r="1" ht="30" customHeight="1">
      <c r="A1" s="1">
        <f>اسم_المؤسسة</f>
        <v/>
      </c>
    </row>
    <row r="2" ht="26" customHeight="1">
      <c r="A2" s="65" t="inlineStr">
        <is>
          <t>تقرير الإجازات والأرصدة</t>
        </is>
      </c>
    </row>
    <row r="3">
      <c r="A3" s="66">
        <f>"تاريخ إعداد التقرير: "&amp;TEXT(TODAY(),"yyyy-mm-dd")</f>
        <v/>
      </c>
      <c r="G3" s="6">
        <f>"السنة المالية: "&amp;السنة_المالية</f>
        <v/>
      </c>
    </row>
    <row r="6" ht="34" customHeight="1">
      <c r="A6" s="67" t="inlineStr">
        <is>
          <t>رقم الطلب</t>
        </is>
      </c>
      <c r="B6" s="67" t="inlineStr">
        <is>
          <t>الرقم الوظيفي</t>
        </is>
      </c>
      <c r="C6" s="67" t="inlineStr">
        <is>
          <t>اسم الموظف</t>
        </is>
      </c>
      <c r="D6" s="67" t="inlineStr">
        <is>
          <t>نوع الإجازة</t>
        </is>
      </c>
      <c r="E6" s="67" t="inlineStr">
        <is>
          <t>بداية الإجازة</t>
        </is>
      </c>
      <c r="F6" s="67" t="inlineStr">
        <is>
          <t>نهاية الإجازة</t>
        </is>
      </c>
      <c r="G6" s="67" t="inlineStr">
        <is>
          <t>عدد الأيام</t>
        </is>
      </c>
      <c r="H6" s="67" t="inlineStr">
        <is>
          <t>الرصيد قبل</t>
        </is>
      </c>
      <c r="I6" s="67" t="inlineStr">
        <is>
          <t>المستخدم</t>
        </is>
      </c>
      <c r="J6" s="67" t="inlineStr">
        <is>
          <t>الرصيد بعد</t>
        </is>
      </c>
      <c r="K6" s="67" t="inlineStr">
        <is>
          <t>حالة الطلب</t>
        </is>
      </c>
      <c r="L6" s="67" t="inlineStr">
        <is>
          <t>المعتمد</t>
        </is>
      </c>
    </row>
    <row r="7">
      <c r="A7" s="43">
        <f>IFERROR(INDEX('الإجازات'!$A$3:$A$502,1),"")</f>
        <v/>
      </c>
      <c r="B7" s="43">
        <f>IFERROR(INDEX('الإجازات'!$B$3:$B$502,1),"")</f>
        <v/>
      </c>
      <c r="C7" s="43">
        <f>IFERROR(INDEX('الإجازات'!$C$3:$C$502,1),"")</f>
        <v/>
      </c>
      <c r="D7" s="43">
        <f>IFERROR(INDEX('الإجازات'!$D$3:$D$502,1),"")</f>
        <v/>
      </c>
      <c r="E7" s="118">
        <f>IFERROR(INDEX('الإجازات'!$F$3:$F$502,1),"")</f>
        <v/>
      </c>
      <c r="F7" s="118">
        <f>IFERROR(INDEX('الإجازات'!$G$3:$G$502,1),"")</f>
        <v/>
      </c>
      <c r="G7" s="44">
        <f>IFERROR(INDEX('الإجازات'!$H$3:$H$502,1),"")</f>
        <v/>
      </c>
      <c r="H7" s="44">
        <f>IFERROR(INDEX('الإجازات'!$I$3:$I$502,1),"")</f>
        <v/>
      </c>
      <c r="I7" s="44">
        <f>IFERROR(INDEX('الإجازات'!$J$3:$J$502,1),"")</f>
        <v/>
      </c>
      <c r="J7" s="44">
        <f>IFERROR(INDEX('الإجازات'!$K$3:$K$502,1),"")</f>
        <v/>
      </c>
      <c r="K7" s="43">
        <f>IFERROR(INDEX('الإجازات'!$L$3:$L$502,1),"")</f>
        <v/>
      </c>
      <c r="L7" s="43">
        <f>IFERROR(INDEX('الإجازات'!$M$3:$M$502,1),"")</f>
        <v/>
      </c>
    </row>
    <row r="8">
      <c r="A8" s="50">
        <f>IFERROR(INDEX('الإجازات'!$A$3:$A$502,2),"")</f>
        <v/>
      </c>
      <c r="B8" s="50">
        <f>IFERROR(INDEX('الإجازات'!$B$3:$B$502,2),"")</f>
        <v/>
      </c>
      <c r="C8" s="50">
        <f>IFERROR(INDEX('الإجازات'!$C$3:$C$502,2),"")</f>
        <v/>
      </c>
      <c r="D8" s="50">
        <f>IFERROR(INDEX('الإجازات'!$D$3:$D$502,2),"")</f>
        <v/>
      </c>
      <c r="E8" s="119">
        <f>IFERROR(INDEX('الإجازات'!$F$3:$F$502,2),"")</f>
        <v/>
      </c>
      <c r="F8" s="119">
        <f>IFERROR(INDEX('الإجازات'!$G$3:$G$502,2),"")</f>
        <v/>
      </c>
      <c r="G8" s="51">
        <f>IFERROR(INDEX('الإجازات'!$H$3:$H$502,2),"")</f>
        <v/>
      </c>
      <c r="H8" s="51">
        <f>IFERROR(INDEX('الإجازات'!$I$3:$I$502,2),"")</f>
        <v/>
      </c>
      <c r="I8" s="51">
        <f>IFERROR(INDEX('الإجازات'!$J$3:$J$502,2),"")</f>
        <v/>
      </c>
      <c r="J8" s="51">
        <f>IFERROR(INDEX('الإجازات'!$K$3:$K$502,2),"")</f>
        <v/>
      </c>
      <c r="K8" s="50">
        <f>IFERROR(INDEX('الإجازات'!$L$3:$L$502,2),"")</f>
        <v/>
      </c>
      <c r="L8" s="50">
        <f>IFERROR(INDEX('الإجازات'!$M$3:$M$502,2),"")</f>
        <v/>
      </c>
    </row>
    <row r="9">
      <c r="A9" s="43">
        <f>IFERROR(INDEX('الإجازات'!$A$3:$A$502,3),"")</f>
        <v/>
      </c>
      <c r="B9" s="43">
        <f>IFERROR(INDEX('الإجازات'!$B$3:$B$502,3),"")</f>
        <v/>
      </c>
      <c r="C9" s="43">
        <f>IFERROR(INDEX('الإجازات'!$C$3:$C$502,3),"")</f>
        <v/>
      </c>
      <c r="D9" s="43">
        <f>IFERROR(INDEX('الإجازات'!$D$3:$D$502,3),"")</f>
        <v/>
      </c>
      <c r="E9" s="118">
        <f>IFERROR(INDEX('الإجازات'!$F$3:$F$502,3),"")</f>
        <v/>
      </c>
      <c r="F9" s="118">
        <f>IFERROR(INDEX('الإجازات'!$G$3:$G$502,3),"")</f>
        <v/>
      </c>
      <c r="G9" s="44">
        <f>IFERROR(INDEX('الإجازات'!$H$3:$H$502,3),"")</f>
        <v/>
      </c>
      <c r="H9" s="44">
        <f>IFERROR(INDEX('الإجازات'!$I$3:$I$502,3),"")</f>
        <v/>
      </c>
      <c r="I9" s="44">
        <f>IFERROR(INDEX('الإجازات'!$J$3:$J$502,3),"")</f>
        <v/>
      </c>
      <c r="J9" s="44">
        <f>IFERROR(INDEX('الإجازات'!$K$3:$K$502,3),"")</f>
        <v/>
      </c>
      <c r="K9" s="43">
        <f>IFERROR(INDEX('الإجازات'!$L$3:$L$502,3),"")</f>
        <v/>
      </c>
      <c r="L9" s="43">
        <f>IFERROR(INDEX('الإجازات'!$M$3:$M$502,3),"")</f>
        <v/>
      </c>
    </row>
    <row r="10">
      <c r="A10" s="50">
        <f>IFERROR(INDEX('الإجازات'!$A$3:$A$502,4),"")</f>
        <v/>
      </c>
      <c r="B10" s="50">
        <f>IFERROR(INDEX('الإجازات'!$B$3:$B$502,4),"")</f>
        <v/>
      </c>
      <c r="C10" s="50">
        <f>IFERROR(INDEX('الإجازات'!$C$3:$C$502,4),"")</f>
        <v/>
      </c>
      <c r="D10" s="50">
        <f>IFERROR(INDEX('الإجازات'!$D$3:$D$502,4),"")</f>
        <v/>
      </c>
      <c r="E10" s="119">
        <f>IFERROR(INDEX('الإجازات'!$F$3:$F$502,4),"")</f>
        <v/>
      </c>
      <c r="F10" s="119">
        <f>IFERROR(INDEX('الإجازات'!$G$3:$G$502,4),"")</f>
        <v/>
      </c>
      <c r="G10" s="51">
        <f>IFERROR(INDEX('الإجازات'!$H$3:$H$502,4),"")</f>
        <v/>
      </c>
      <c r="H10" s="51">
        <f>IFERROR(INDEX('الإجازات'!$I$3:$I$502,4),"")</f>
        <v/>
      </c>
      <c r="I10" s="51">
        <f>IFERROR(INDEX('الإجازات'!$J$3:$J$502,4),"")</f>
        <v/>
      </c>
      <c r="J10" s="51">
        <f>IFERROR(INDEX('الإجازات'!$K$3:$K$502,4),"")</f>
        <v/>
      </c>
      <c r="K10" s="50">
        <f>IFERROR(INDEX('الإجازات'!$L$3:$L$502,4),"")</f>
        <v/>
      </c>
      <c r="L10" s="50">
        <f>IFERROR(INDEX('الإجازات'!$M$3:$M$502,4),"")</f>
        <v/>
      </c>
    </row>
    <row r="11">
      <c r="A11" s="43">
        <f>IFERROR(INDEX('الإجازات'!$A$3:$A$502,5),"")</f>
        <v/>
      </c>
      <c r="B11" s="43">
        <f>IFERROR(INDEX('الإجازات'!$B$3:$B$502,5),"")</f>
        <v/>
      </c>
      <c r="C11" s="43">
        <f>IFERROR(INDEX('الإجازات'!$C$3:$C$502,5),"")</f>
        <v/>
      </c>
      <c r="D11" s="43">
        <f>IFERROR(INDEX('الإجازات'!$D$3:$D$502,5),"")</f>
        <v/>
      </c>
      <c r="E11" s="118">
        <f>IFERROR(INDEX('الإجازات'!$F$3:$F$502,5),"")</f>
        <v/>
      </c>
      <c r="F11" s="118">
        <f>IFERROR(INDEX('الإجازات'!$G$3:$G$502,5),"")</f>
        <v/>
      </c>
      <c r="G11" s="44">
        <f>IFERROR(INDEX('الإجازات'!$H$3:$H$502,5),"")</f>
        <v/>
      </c>
      <c r="H11" s="44">
        <f>IFERROR(INDEX('الإجازات'!$I$3:$I$502,5),"")</f>
        <v/>
      </c>
      <c r="I11" s="44">
        <f>IFERROR(INDEX('الإجازات'!$J$3:$J$502,5),"")</f>
        <v/>
      </c>
      <c r="J11" s="44">
        <f>IFERROR(INDEX('الإجازات'!$K$3:$K$502,5),"")</f>
        <v/>
      </c>
      <c r="K11" s="43">
        <f>IFERROR(INDEX('الإجازات'!$L$3:$L$502,5),"")</f>
        <v/>
      </c>
      <c r="L11" s="43">
        <f>IFERROR(INDEX('الإجازات'!$M$3:$M$502,5),"")</f>
        <v/>
      </c>
    </row>
    <row r="12">
      <c r="A12" s="50">
        <f>IFERROR(INDEX('الإجازات'!$A$3:$A$502,6),"")</f>
        <v/>
      </c>
      <c r="B12" s="50">
        <f>IFERROR(INDEX('الإجازات'!$B$3:$B$502,6),"")</f>
        <v/>
      </c>
      <c r="C12" s="50">
        <f>IFERROR(INDEX('الإجازات'!$C$3:$C$502,6),"")</f>
        <v/>
      </c>
      <c r="D12" s="50">
        <f>IFERROR(INDEX('الإجازات'!$D$3:$D$502,6),"")</f>
        <v/>
      </c>
      <c r="E12" s="119">
        <f>IFERROR(INDEX('الإجازات'!$F$3:$F$502,6),"")</f>
        <v/>
      </c>
      <c r="F12" s="119">
        <f>IFERROR(INDEX('الإجازات'!$G$3:$G$502,6),"")</f>
        <v/>
      </c>
      <c r="G12" s="51">
        <f>IFERROR(INDEX('الإجازات'!$H$3:$H$502,6),"")</f>
        <v/>
      </c>
      <c r="H12" s="51">
        <f>IFERROR(INDEX('الإجازات'!$I$3:$I$502,6),"")</f>
        <v/>
      </c>
      <c r="I12" s="51">
        <f>IFERROR(INDEX('الإجازات'!$J$3:$J$502,6),"")</f>
        <v/>
      </c>
      <c r="J12" s="51">
        <f>IFERROR(INDEX('الإجازات'!$K$3:$K$502,6),"")</f>
        <v/>
      </c>
      <c r="K12" s="50">
        <f>IFERROR(INDEX('الإجازات'!$L$3:$L$502,6),"")</f>
        <v/>
      </c>
      <c r="L12" s="50">
        <f>IFERROR(INDEX('الإجازات'!$M$3:$M$502,6),"")</f>
        <v/>
      </c>
    </row>
    <row r="13">
      <c r="A13" s="43">
        <f>IFERROR(INDEX('الإجازات'!$A$3:$A$502,7),"")</f>
        <v/>
      </c>
      <c r="B13" s="43">
        <f>IFERROR(INDEX('الإجازات'!$B$3:$B$502,7),"")</f>
        <v/>
      </c>
      <c r="C13" s="43">
        <f>IFERROR(INDEX('الإجازات'!$C$3:$C$502,7),"")</f>
        <v/>
      </c>
      <c r="D13" s="43">
        <f>IFERROR(INDEX('الإجازات'!$D$3:$D$502,7),"")</f>
        <v/>
      </c>
      <c r="E13" s="118">
        <f>IFERROR(INDEX('الإجازات'!$F$3:$F$502,7),"")</f>
        <v/>
      </c>
      <c r="F13" s="118">
        <f>IFERROR(INDEX('الإجازات'!$G$3:$G$502,7),"")</f>
        <v/>
      </c>
      <c r="G13" s="44">
        <f>IFERROR(INDEX('الإجازات'!$H$3:$H$502,7),"")</f>
        <v/>
      </c>
      <c r="H13" s="44">
        <f>IFERROR(INDEX('الإجازات'!$I$3:$I$502,7),"")</f>
        <v/>
      </c>
      <c r="I13" s="44">
        <f>IFERROR(INDEX('الإجازات'!$J$3:$J$502,7),"")</f>
        <v/>
      </c>
      <c r="J13" s="44">
        <f>IFERROR(INDEX('الإجازات'!$K$3:$K$502,7),"")</f>
        <v/>
      </c>
      <c r="K13" s="43">
        <f>IFERROR(INDEX('الإجازات'!$L$3:$L$502,7),"")</f>
        <v/>
      </c>
      <c r="L13" s="43">
        <f>IFERROR(INDEX('الإجازات'!$M$3:$M$502,7),"")</f>
        <v/>
      </c>
    </row>
    <row r="14">
      <c r="A14" s="50">
        <f>IFERROR(INDEX('الإجازات'!$A$3:$A$502,8),"")</f>
        <v/>
      </c>
      <c r="B14" s="50">
        <f>IFERROR(INDEX('الإجازات'!$B$3:$B$502,8),"")</f>
        <v/>
      </c>
      <c r="C14" s="50">
        <f>IFERROR(INDEX('الإجازات'!$C$3:$C$502,8),"")</f>
        <v/>
      </c>
      <c r="D14" s="50">
        <f>IFERROR(INDEX('الإجازات'!$D$3:$D$502,8),"")</f>
        <v/>
      </c>
      <c r="E14" s="119">
        <f>IFERROR(INDEX('الإجازات'!$F$3:$F$502,8),"")</f>
        <v/>
      </c>
      <c r="F14" s="119">
        <f>IFERROR(INDEX('الإجازات'!$G$3:$G$502,8),"")</f>
        <v/>
      </c>
      <c r="G14" s="51">
        <f>IFERROR(INDEX('الإجازات'!$H$3:$H$502,8),"")</f>
        <v/>
      </c>
      <c r="H14" s="51">
        <f>IFERROR(INDEX('الإجازات'!$I$3:$I$502,8),"")</f>
        <v/>
      </c>
      <c r="I14" s="51">
        <f>IFERROR(INDEX('الإجازات'!$J$3:$J$502,8),"")</f>
        <v/>
      </c>
      <c r="J14" s="51">
        <f>IFERROR(INDEX('الإجازات'!$K$3:$K$502,8),"")</f>
        <v/>
      </c>
      <c r="K14" s="50">
        <f>IFERROR(INDEX('الإجازات'!$L$3:$L$502,8),"")</f>
        <v/>
      </c>
      <c r="L14" s="50">
        <f>IFERROR(INDEX('الإجازات'!$M$3:$M$502,8),"")</f>
        <v/>
      </c>
    </row>
    <row r="15">
      <c r="A15" s="43">
        <f>IFERROR(INDEX('الإجازات'!$A$3:$A$502,9),"")</f>
        <v/>
      </c>
      <c r="B15" s="43">
        <f>IFERROR(INDEX('الإجازات'!$B$3:$B$502,9),"")</f>
        <v/>
      </c>
      <c r="C15" s="43">
        <f>IFERROR(INDEX('الإجازات'!$C$3:$C$502,9),"")</f>
        <v/>
      </c>
      <c r="D15" s="43">
        <f>IFERROR(INDEX('الإجازات'!$D$3:$D$502,9),"")</f>
        <v/>
      </c>
      <c r="E15" s="118">
        <f>IFERROR(INDEX('الإجازات'!$F$3:$F$502,9),"")</f>
        <v/>
      </c>
      <c r="F15" s="118">
        <f>IFERROR(INDEX('الإجازات'!$G$3:$G$502,9),"")</f>
        <v/>
      </c>
      <c r="G15" s="44">
        <f>IFERROR(INDEX('الإجازات'!$H$3:$H$502,9),"")</f>
        <v/>
      </c>
      <c r="H15" s="44">
        <f>IFERROR(INDEX('الإجازات'!$I$3:$I$502,9),"")</f>
        <v/>
      </c>
      <c r="I15" s="44">
        <f>IFERROR(INDEX('الإجازات'!$J$3:$J$502,9),"")</f>
        <v/>
      </c>
      <c r="J15" s="44">
        <f>IFERROR(INDEX('الإجازات'!$K$3:$K$502,9),"")</f>
        <v/>
      </c>
      <c r="K15" s="43">
        <f>IFERROR(INDEX('الإجازات'!$L$3:$L$502,9),"")</f>
        <v/>
      </c>
      <c r="L15" s="43">
        <f>IFERROR(INDEX('الإجازات'!$M$3:$M$502,9),"")</f>
        <v/>
      </c>
    </row>
    <row r="16">
      <c r="A16" s="50">
        <f>IFERROR(INDEX('الإجازات'!$A$3:$A$502,10),"")</f>
        <v/>
      </c>
      <c r="B16" s="50">
        <f>IFERROR(INDEX('الإجازات'!$B$3:$B$502,10),"")</f>
        <v/>
      </c>
      <c r="C16" s="50">
        <f>IFERROR(INDEX('الإجازات'!$C$3:$C$502,10),"")</f>
        <v/>
      </c>
      <c r="D16" s="50">
        <f>IFERROR(INDEX('الإجازات'!$D$3:$D$502,10),"")</f>
        <v/>
      </c>
      <c r="E16" s="119">
        <f>IFERROR(INDEX('الإجازات'!$F$3:$F$502,10),"")</f>
        <v/>
      </c>
      <c r="F16" s="119">
        <f>IFERROR(INDEX('الإجازات'!$G$3:$G$502,10),"")</f>
        <v/>
      </c>
      <c r="G16" s="51">
        <f>IFERROR(INDEX('الإجازات'!$H$3:$H$502,10),"")</f>
        <v/>
      </c>
      <c r="H16" s="51">
        <f>IFERROR(INDEX('الإجازات'!$I$3:$I$502,10),"")</f>
        <v/>
      </c>
      <c r="I16" s="51">
        <f>IFERROR(INDEX('الإجازات'!$J$3:$J$502,10),"")</f>
        <v/>
      </c>
      <c r="J16" s="51">
        <f>IFERROR(INDEX('الإجازات'!$K$3:$K$502,10),"")</f>
        <v/>
      </c>
      <c r="K16" s="50">
        <f>IFERROR(INDEX('الإجازات'!$L$3:$L$502,10),"")</f>
        <v/>
      </c>
      <c r="L16" s="50">
        <f>IFERROR(INDEX('الإجازات'!$M$3:$M$502,10),"")</f>
        <v/>
      </c>
    </row>
    <row r="17">
      <c r="A17" s="43">
        <f>IFERROR(INDEX('الإجازات'!$A$3:$A$502,11),"")</f>
        <v/>
      </c>
      <c r="B17" s="43">
        <f>IFERROR(INDEX('الإجازات'!$B$3:$B$502,11),"")</f>
        <v/>
      </c>
      <c r="C17" s="43">
        <f>IFERROR(INDEX('الإجازات'!$C$3:$C$502,11),"")</f>
        <v/>
      </c>
      <c r="D17" s="43">
        <f>IFERROR(INDEX('الإجازات'!$D$3:$D$502,11),"")</f>
        <v/>
      </c>
      <c r="E17" s="118">
        <f>IFERROR(INDEX('الإجازات'!$F$3:$F$502,11),"")</f>
        <v/>
      </c>
      <c r="F17" s="118">
        <f>IFERROR(INDEX('الإجازات'!$G$3:$G$502,11),"")</f>
        <v/>
      </c>
      <c r="G17" s="44">
        <f>IFERROR(INDEX('الإجازات'!$H$3:$H$502,11),"")</f>
        <v/>
      </c>
      <c r="H17" s="44">
        <f>IFERROR(INDEX('الإجازات'!$I$3:$I$502,11),"")</f>
        <v/>
      </c>
      <c r="I17" s="44">
        <f>IFERROR(INDEX('الإجازات'!$J$3:$J$502,11),"")</f>
        <v/>
      </c>
      <c r="J17" s="44">
        <f>IFERROR(INDEX('الإجازات'!$K$3:$K$502,11),"")</f>
        <v/>
      </c>
      <c r="K17" s="43">
        <f>IFERROR(INDEX('الإجازات'!$L$3:$L$502,11),"")</f>
        <v/>
      </c>
      <c r="L17" s="43">
        <f>IFERROR(INDEX('الإجازات'!$M$3:$M$502,11),"")</f>
        <v/>
      </c>
    </row>
    <row r="18">
      <c r="A18" s="50">
        <f>IFERROR(INDEX('الإجازات'!$A$3:$A$502,12),"")</f>
        <v/>
      </c>
      <c r="B18" s="50">
        <f>IFERROR(INDEX('الإجازات'!$B$3:$B$502,12),"")</f>
        <v/>
      </c>
      <c r="C18" s="50">
        <f>IFERROR(INDEX('الإجازات'!$C$3:$C$502,12),"")</f>
        <v/>
      </c>
      <c r="D18" s="50">
        <f>IFERROR(INDEX('الإجازات'!$D$3:$D$502,12),"")</f>
        <v/>
      </c>
      <c r="E18" s="119">
        <f>IFERROR(INDEX('الإجازات'!$F$3:$F$502,12),"")</f>
        <v/>
      </c>
      <c r="F18" s="119">
        <f>IFERROR(INDEX('الإجازات'!$G$3:$G$502,12),"")</f>
        <v/>
      </c>
      <c r="G18" s="51">
        <f>IFERROR(INDEX('الإجازات'!$H$3:$H$502,12),"")</f>
        <v/>
      </c>
      <c r="H18" s="51">
        <f>IFERROR(INDEX('الإجازات'!$I$3:$I$502,12),"")</f>
        <v/>
      </c>
      <c r="I18" s="51">
        <f>IFERROR(INDEX('الإجازات'!$J$3:$J$502,12),"")</f>
        <v/>
      </c>
      <c r="J18" s="51">
        <f>IFERROR(INDEX('الإجازات'!$K$3:$K$502,12),"")</f>
        <v/>
      </c>
      <c r="K18" s="50">
        <f>IFERROR(INDEX('الإجازات'!$L$3:$L$502,12),"")</f>
        <v/>
      </c>
      <c r="L18" s="50">
        <f>IFERROR(INDEX('الإجازات'!$M$3:$M$502,12),"")</f>
        <v/>
      </c>
    </row>
    <row r="19">
      <c r="A19" s="43">
        <f>IFERROR(INDEX('الإجازات'!$A$3:$A$502,13),"")</f>
        <v/>
      </c>
      <c r="B19" s="43">
        <f>IFERROR(INDEX('الإجازات'!$B$3:$B$502,13),"")</f>
        <v/>
      </c>
      <c r="C19" s="43">
        <f>IFERROR(INDEX('الإجازات'!$C$3:$C$502,13),"")</f>
        <v/>
      </c>
      <c r="D19" s="43">
        <f>IFERROR(INDEX('الإجازات'!$D$3:$D$502,13),"")</f>
        <v/>
      </c>
      <c r="E19" s="118">
        <f>IFERROR(INDEX('الإجازات'!$F$3:$F$502,13),"")</f>
        <v/>
      </c>
      <c r="F19" s="118">
        <f>IFERROR(INDEX('الإجازات'!$G$3:$G$502,13),"")</f>
        <v/>
      </c>
      <c r="G19" s="44">
        <f>IFERROR(INDEX('الإجازات'!$H$3:$H$502,13),"")</f>
        <v/>
      </c>
      <c r="H19" s="44">
        <f>IFERROR(INDEX('الإجازات'!$I$3:$I$502,13),"")</f>
        <v/>
      </c>
      <c r="I19" s="44">
        <f>IFERROR(INDEX('الإجازات'!$J$3:$J$502,13),"")</f>
        <v/>
      </c>
      <c r="J19" s="44">
        <f>IFERROR(INDEX('الإجازات'!$K$3:$K$502,13),"")</f>
        <v/>
      </c>
      <c r="K19" s="43">
        <f>IFERROR(INDEX('الإجازات'!$L$3:$L$502,13),"")</f>
        <v/>
      </c>
      <c r="L19" s="43">
        <f>IFERROR(INDEX('الإجازات'!$M$3:$M$502,13),"")</f>
        <v/>
      </c>
    </row>
    <row r="20">
      <c r="A20" s="50">
        <f>IFERROR(INDEX('الإجازات'!$A$3:$A$502,14),"")</f>
        <v/>
      </c>
      <c r="B20" s="50">
        <f>IFERROR(INDEX('الإجازات'!$B$3:$B$502,14),"")</f>
        <v/>
      </c>
      <c r="C20" s="50">
        <f>IFERROR(INDEX('الإجازات'!$C$3:$C$502,14),"")</f>
        <v/>
      </c>
      <c r="D20" s="50">
        <f>IFERROR(INDEX('الإجازات'!$D$3:$D$502,14),"")</f>
        <v/>
      </c>
      <c r="E20" s="119">
        <f>IFERROR(INDEX('الإجازات'!$F$3:$F$502,14),"")</f>
        <v/>
      </c>
      <c r="F20" s="119">
        <f>IFERROR(INDEX('الإجازات'!$G$3:$G$502,14),"")</f>
        <v/>
      </c>
      <c r="G20" s="51">
        <f>IFERROR(INDEX('الإجازات'!$H$3:$H$502,14),"")</f>
        <v/>
      </c>
      <c r="H20" s="51">
        <f>IFERROR(INDEX('الإجازات'!$I$3:$I$502,14),"")</f>
        <v/>
      </c>
      <c r="I20" s="51">
        <f>IFERROR(INDEX('الإجازات'!$J$3:$J$502,14),"")</f>
        <v/>
      </c>
      <c r="J20" s="51">
        <f>IFERROR(INDEX('الإجازات'!$K$3:$K$502,14),"")</f>
        <v/>
      </c>
      <c r="K20" s="50">
        <f>IFERROR(INDEX('الإجازات'!$L$3:$L$502,14),"")</f>
        <v/>
      </c>
      <c r="L20" s="50">
        <f>IFERROR(INDEX('الإجازات'!$M$3:$M$502,14),"")</f>
        <v/>
      </c>
    </row>
    <row r="21">
      <c r="A21" s="43">
        <f>IFERROR(INDEX('الإجازات'!$A$3:$A$502,15),"")</f>
        <v/>
      </c>
      <c r="B21" s="43">
        <f>IFERROR(INDEX('الإجازات'!$B$3:$B$502,15),"")</f>
        <v/>
      </c>
      <c r="C21" s="43">
        <f>IFERROR(INDEX('الإجازات'!$C$3:$C$502,15),"")</f>
        <v/>
      </c>
      <c r="D21" s="43">
        <f>IFERROR(INDEX('الإجازات'!$D$3:$D$502,15),"")</f>
        <v/>
      </c>
      <c r="E21" s="118">
        <f>IFERROR(INDEX('الإجازات'!$F$3:$F$502,15),"")</f>
        <v/>
      </c>
      <c r="F21" s="118">
        <f>IFERROR(INDEX('الإجازات'!$G$3:$G$502,15),"")</f>
        <v/>
      </c>
      <c r="G21" s="44">
        <f>IFERROR(INDEX('الإجازات'!$H$3:$H$502,15),"")</f>
        <v/>
      </c>
      <c r="H21" s="44">
        <f>IFERROR(INDEX('الإجازات'!$I$3:$I$502,15),"")</f>
        <v/>
      </c>
      <c r="I21" s="44">
        <f>IFERROR(INDEX('الإجازات'!$J$3:$J$502,15),"")</f>
        <v/>
      </c>
      <c r="J21" s="44">
        <f>IFERROR(INDEX('الإجازات'!$K$3:$K$502,15),"")</f>
        <v/>
      </c>
      <c r="K21" s="43">
        <f>IFERROR(INDEX('الإجازات'!$L$3:$L$502,15),"")</f>
        <v/>
      </c>
      <c r="L21" s="43">
        <f>IFERROR(INDEX('الإجازات'!$M$3:$M$502,15),"")</f>
        <v/>
      </c>
    </row>
    <row r="22">
      <c r="A22" s="50">
        <f>IFERROR(INDEX('الإجازات'!$A$3:$A$502,16),"")</f>
        <v/>
      </c>
      <c r="B22" s="50">
        <f>IFERROR(INDEX('الإجازات'!$B$3:$B$502,16),"")</f>
        <v/>
      </c>
      <c r="C22" s="50">
        <f>IFERROR(INDEX('الإجازات'!$C$3:$C$502,16),"")</f>
        <v/>
      </c>
      <c r="D22" s="50">
        <f>IFERROR(INDEX('الإجازات'!$D$3:$D$502,16),"")</f>
        <v/>
      </c>
      <c r="E22" s="119">
        <f>IFERROR(INDEX('الإجازات'!$F$3:$F$502,16),"")</f>
        <v/>
      </c>
      <c r="F22" s="119">
        <f>IFERROR(INDEX('الإجازات'!$G$3:$G$502,16),"")</f>
        <v/>
      </c>
      <c r="G22" s="51">
        <f>IFERROR(INDEX('الإجازات'!$H$3:$H$502,16),"")</f>
        <v/>
      </c>
      <c r="H22" s="51">
        <f>IFERROR(INDEX('الإجازات'!$I$3:$I$502,16),"")</f>
        <v/>
      </c>
      <c r="I22" s="51">
        <f>IFERROR(INDEX('الإجازات'!$J$3:$J$502,16),"")</f>
        <v/>
      </c>
      <c r="J22" s="51">
        <f>IFERROR(INDEX('الإجازات'!$K$3:$K$502,16),"")</f>
        <v/>
      </c>
      <c r="K22" s="50">
        <f>IFERROR(INDEX('الإجازات'!$L$3:$L$502,16),"")</f>
        <v/>
      </c>
      <c r="L22" s="50">
        <f>IFERROR(INDEX('الإجازات'!$M$3:$M$502,16),"")</f>
        <v/>
      </c>
    </row>
    <row r="23">
      <c r="A23" s="43">
        <f>IFERROR(INDEX('الإجازات'!$A$3:$A$502,17),"")</f>
        <v/>
      </c>
      <c r="B23" s="43">
        <f>IFERROR(INDEX('الإجازات'!$B$3:$B$502,17),"")</f>
        <v/>
      </c>
      <c r="C23" s="43">
        <f>IFERROR(INDEX('الإجازات'!$C$3:$C$502,17),"")</f>
        <v/>
      </c>
      <c r="D23" s="43">
        <f>IFERROR(INDEX('الإجازات'!$D$3:$D$502,17),"")</f>
        <v/>
      </c>
      <c r="E23" s="118">
        <f>IFERROR(INDEX('الإجازات'!$F$3:$F$502,17),"")</f>
        <v/>
      </c>
      <c r="F23" s="118">
        <f>IFERROR(INDEX('الإجازات'!$G$3:$G$502,17),"")</f>
        <v/>
      </c>
      <c r="G23" s="44">
        <f>IFERROR(INDEX('الإجازات'!$H$3:$H$502,17),"")</f>
        <v/>
      </c>
      <c r="H23" s="44">
        <f>IFERROR(INDEX('الإجازات'!$I$3:$I$502,17),"")</f>
        <v/>
      </c>
      <c r="I23" s="44">
        <f>IFERROR(INDEX('الإجازات'!$J$3:$J$502,17),"")</f>
        <v/>
      </c>
      <c r="J23" s="44">
        <f>IFERROR(INDEX('الإجازات'!$K$3:$K$502,17),"")</f>
        <v/>
      </c>
      <c r="K23" s="43">
        <f>IFERROR(INDEX('الإجازات'!$L$3:$L$502,17),"")</f>
        <v/>
      </c>
      <c r="L23" s="43">
        <f>IFERROR(INDEX('الإجازات'!$M$3:$M$502,17),"")</f>
        <v/>
      </c>
    </row>
    <row r="24">
      <c r="A24" s="50">
        <f>IFERROR(INDEX('الإجازات'!$A$3:$A$502,18),"")</f>
        <v/>
      </c>
      <c r="B24" s="50">
        <f>IFERROR(INDEX('الإجازات'!$B$3:$B$502,18),"")</f>
        <v/>
      </c>
      <c r="C24" s="50">
        <f>IFERROR(INDEX('الإجازات'!$C$3:$C$502,18),"")</f>
        <v/>
      </c>
      <c r="D24" s="50">
        <f>IFERROR(INDEX('الإجازات'!$D$3:$D$502,18),"")</f>
        <v/>
      </c>
      <c r="E24" s="119">
        <f>IFERROR(INDEX('الإجازات'!$F$3:$F$502,18),"")</f>
        <v/>
      </c>
      <c r="F24" s="119">
        <f>IFERROR(INDEX('الإجازات'!$G$3:$G$502,18),"")</f>
        <v/>
      </c>
      <c r="G24" s="51">
        <f>IFERROR(INDEX('الإجازات'!$H$3:$H$502,18),"")</f>
        <v/>
      </c>
      <c r="H24" s="51">
        <f>IFERROR(INDEX('الإجازات'!$I$3:$I$502,18),"")</f>
        <v/>
      </c>
      <c r="I24" s="51">
        <f>IFERROR(INDEX('الإجازات'!$J$3:$J$502,18),"")</f>
        <v/>
      </c>
      <c r="J24" s="51">
        <f>IFERROR(INDEX('الإجازات'!$K$3:$K$502,18),"")</f>
        <v/>
      </c>
      <c r="K24" s="50">
        <f>IFERROR(INDEX('الإجازات'!$L$3:$L$502,18),"")</f>
        <v/>
      </c>
      <c r="L24" s="50">
        <f>IFERROR(INDEX('الإجازات'!$M$3:$M$502,18),"")</f>
        <v/>
      </c>
    </row>
    <row r="25">
      <c r="A25" s="43">
        <f>IFERROR(INDEX('الإجازات'!$A$3:$A$502,19),"")</f>
        <v/>
      </c>
      <c r="B25" s="43">
        <f>IFERROR(INDEX('الإجازات'!$B$3:$B$502,19),"")</f>
        <v/>
      </c>
      <c r="C25" s="43">
        <f>IFERROR(INDEX('الإجازات'!$C$3:$C$502,19),"")</f>
        <v/>
      </c>
      <c r="D25" s="43">
        <f>IFERROR(INDEX('الإجازات'!$D$3:$D$502,19),"")</f>
        <v/>
      </c>
      <c r="E25" s="118">
        <f>IFERROR(INDEX('الإجازات'!$F$3:$F$502,19),"")</f>
        <v/>
      </c>
      <c r="F25" s="118">
        <f>IFERROR(INDEX('الإجازات'!$G$3:$G$502,19),"")</f>
        <v/>
      </c>
      <c r="G25" s="44">
        <f>IFERROR(INDEX('الإجازات'!$H$3:$H$502,19),"")</f>
        <v/>
      </c>
      <c r="H25" s="44">
        <f>IFERROR(INDEX('الإجازات'!$I$3:$I$502,19),"")</f>
        <v/>
      </c>
      <c r="I25" s="44">
        <f>IFERROR(INDEX('الإجازات'!$J$3:$J$502,19),"")</f>
        <v/>
      </c>
      <c r="J25" s="44">
        <f>IFERROR(INDEX('الإجازات'!$K$3:$K$502,19),"")</f>
        <v/>
      </c>
      <c r="K25" s="43">
        <f>IFERROR(INDEX('الإجازات'!$L$3:$L$502,19),"")</f>
        <v/>
      </c>
      <c r="L25" s="43">
        <f>IFERROR(INDEX('الإجازات'!$M$3:$M$502,19),"")</f>
        <v/>
      </c>
    </row>
    <row r="26">
      <c r="A26" s="50">
        <f>IFERROR(INDEX('الإجازات'!$A$3:$A$502,20),"")</f>
        <v/>
      </c>
      <c r="B26" s="50">
        <f>IFERROR(INDEX('الإجازات'!$B$3:$B$502,20),"")</f>
        <v/>
      </c>
      <c r="C26" s="50">
        <f>IFERROR(INDEX('الإجازات'!$C$3:$C$502,20),"")</f>
        <v/>
      </c>
      <c r="D26" s="50">
        <f>IFERROR(INDEX('الإجازات'!$D$3:$D$502,20),"")</f>
        <v/>
      </c>
      <c r="E26" s="119">
        <f>IFERROR(INDEX('الإجازات'!$F$3:$F$502,20),"")</f>
        <v/>
      </c>
      <c r="F26" s="119">
        <f>IFERROR(INDEX('الإجازات'!$G$3:$G$502,20),"")</f>
        <v/>
      </c>
      <c r="G26" s="51">
        <f>IFERROR(INDEX('الإجازات'!$H$3:$H$502,20),"")</f>
        <v/>
      </c>
      <c r="H26" s="51">
        <f>IFERROR(INDEX('الإجازات'!$I$3:$I$502,20),"")</f>
        <v/>
      </c>
      <c r="I26" s="51">
        <f>IFERROR(INDEX('الإجازات'!$J$3:$J$502,20),"")</f>
        <v/>
      </c>
      <c r="J26" s="51">
        <f>IFERROR(INDEX('الإجازات'!$K$3:$K$502,20),"")</f>
        <v/>
      </c>
      <c r="K26" s="50">
        <f>IFERROR(INDEX('الإجازات'!$L$3:$L$502,20),"")</f>
        <v/>
      </c>
      <c r="L26" s="50">
        <f>IFERROR(INDEX('الإجازات'!$M$3:$M$502,20),"")</f>
        <v/>
      </c>
    </row>
    <row r="27">
      <c r="A27" s="43">
        <f>IFERROR(INDEX('الإجازات'!$A$3:$A$502,21),"")</f>
        <v/>
      </c>
      <c r="B27" s="43">
        <f>IFERROR(INDEX('الإجازات'!$B$3:$B$502,21),"")</f>
        <v/>
      </c>
      <c r="C27" s="43">
        <f>IFERROR(INDEX('الإجازات'!$C$3:$C$502,21),"")</f>
        <v/>
      </c>
      <c r="D27" s="43">
        <f>IFERROR(INDEX('الإجازات'!$D$3:$D$502,21),"")</f>
        <v/>
      </c>
      <c r="E27" s="118">
        <f>IFERROR(INDEX('الإجازات'!$F$3:$F$502,21),"")</f>
        <v/>
      </c>
      <c r="F27" s="118">
        <f>IFERROR(INDEX('الإجازات'!$G$3:$G$502,21),"")</f>
        <v/>
      </c>
      <c r="G27" s="44">
        <f>IFERROR(INDEX('الإجازات'!$H$3:$H$502,21),"")</f>
        <v/>
      </c>
      <c r="H27" s="44">
        <f>IFERROR(INDEX('الإجازات'!$I$3:$I$502,21),"")</f>
        <v/>
      </c>
      <c r="I27" s="44">
        <f>IFERROR(INDEX('الإجازات'!$J$3:$J$502,21),"")</f>
        <v/>
      </c>
      <c r="J27" s="44">
        <f>IFERROR(INDEX('الإجازات'!$K$3:$K$502,21),"")</f>
        <v/>
      </c>
      <c r="K27" s="43">
        <f>IFERROR(INDEX('الإجازات'!$L$3:$L$502,21),"")</f>
        <v/>
      </c>
      <c r="L27" s="43">
        <f>IFERROR(INDEX('الإجازات'!$M$3:$M$502,21),"")</f>
        <v/>
      </c>
    </row>
    <row r="28">
      <c r="A28" s="50">
        <f>IFERROR(INDEX('الإجازات'!$A$3:$A$502,22),"")</f>
        <v/>
      </c>
      <c r="B28" s="50">
        <f>IFERROR(INDEX('الإجازات'!$B$3:$B$502,22),"")</f>
        <v/>
      </c>
      <c r="C28" s="50">
        <f>IFERROR(INDEX('الإجازات'!$C$3:$C$502,22),"")</f>
        <v/>
      </c>
      <c r="D28" s="50">
        <f>IFERROR(INDEX('الإجازات'!$D$3:$D$502,22),"")</f>
        <v/>
      </c>
      <c r="E28" s="119">
        <f>IFERROR(INDEX('الإجازات'!$F$3:$F$502,22),"")</f>
        <v/>
      </c>
      <c r="F28" s="119">
        <f>IFERROR(INDEX('الإجازات'!$G$3:$G$502,22),"")</f>
        <v/>
      </c>
      <c r="G28" s="51">
        <f>IFERROR(INDEX('الإجازات'!$H$3:$H$502,22),"")</f>
        <v/>
      </c>
      <c r="H28" s="51">
        <f>IFERROR(INDEX('الإجازات'!$I$3:$I$502,22),"")</f>
        <v/>
      </c>
      <c r="I28" s="51">
        <f>IFERROR(INDEX('الإجازات'!$J$3:$J$502,22),"")</f>
        <v/>
      </c>
      <c r="J28" s="51">
        <f>IFERROR(INDEX('الإجازات'!$K$3:$K$502,22),"")</f>
        <v/>
      </c>
      <c r="K28" s="50">
        <f>IFERROR(INDEX('الإجازات'!$L$3:$L$502,22),"")</f>
        <v/>
      </c>
      <c r="L28" s="50">
        <f>IFERROR(INDEX('الإجازات'!$M$3:$M$502,22),"")</f>
        <v/>
      </c>
    </row>
    <row r="29">
      <c r="A29" s="43">
        <f>IFERROR(INDEX('الإجازات'!$A$3:$A$502,23),"")</f>
        <v/>
      </c>
      <c r="B29" s="43">
        <f>IFERROR(INDEX('الإجازات'!$B$3:$B$502,23),"")</f>
        <v/>
      </c>
      <c r="C29" s="43">
        <f>IFERROR(INDEX('الإجازات'!$C$3:$C$502,23),"")</f>
        <v/>
      </c>
      <c r="D29" s="43">
        <f>IFERROR(INDEX('الإجازات'!$D$3:$D$502,23),"")</f>
        <v/>
      </c>
      <c r="E29" s="118">
        <f>IFERROR(INDEX('الإجازات'!$F$3:$F$502,23),"")</f>
        <v/>
      </c>
      <c r="F29" s="118">
        <f>IFERROR(INDEX('الإجازات'!$G$3:$G$502,23),"")</f>
        <v/>
      </c>
      <c r="G29" s="44">
        <f>IFERROR(INDEX('الإجازات'!$H$3:$H$502,23),"")</f>
        <v/>
      </c>
      <c r="H29" s="44">
        <f>IFERROR(INDEX('الإجازات'!$I$3:$I$502,23),"")</f>
        <v/>
      </c>
      <c r="I29" s="44">
        <f>IFERROR(INDEX('الإجازات'!$J$3:$J$502,23),"")</f>
        <v/>
      </c>
      <c r="J29" s="44">
        <f>IFERROR(INDEX('الإجازات'!$K$3:$K$502,23),"")</f>
        <v/>
      </c>
      <c r="K29" s="43">
        <f>IFERROR(INDEX('الإجازات'!$L$3:$L$502,23),"")</f>
        <v/>
      </c>
      <c r="L29" s="43">
        <f>IFERROR(INDEX('الإجازات'!$M$3:$M$502,23),"")</f>
        <v/>
      </c>
    </row>
    <row r="30">
      <c r="A30" s="50">
        <f>IFERROR(INDEX('الإجازات'!$A$3:$A$502,24),"")</f>
        <v/>
      </c>
      <c r="B30" s="50">
        <f>IFERROR(INDEX('الإجازات'!$B$3:$B$502,24),"")</f>
        <v/>
      </c>
      <c r="C30" s="50">
        <f>IFERROR(INDEX('الإجازات'!$C$3:$C$502,24),"")</f>
        <v/>
      </c>
      <c r="D30" s="50">
        <f>IFERROR(INDEX('الإجازات'!$D$3:$D$502,24),"")</f>
        <v/>
      </c>
      <c r="E30" s="119">
        <f>IFERROR(INDEX('الإجازات'!$F$3:$F$502,24),"")</f>
        <v/>
      </c>
      <c r="F30" s="119">
        <f>IFERROR(INDEX('الإجازات'!$G$3:$G$502,24),"")</f>
        <v/>
      </c>
      <c r="G30" s="51">
        <f>IFERROR(INDEX('الإجازات'!$H$3:$H$502,24),"")</f>
        <v/>
      </c>
      <c r="H30" s="51">
        <f>IFERROR(INDEX('الإجازات'!$I$3:$I$502,24),"")</f>
        <v/>
      </c>
      <c r="I30" s="51">
        <f>IFERROR(INDEX('الإجازات'!$J$3:$J$502,24),"")</f>
        <v/>
      </c>
      <c r="J30" s="51">
        <f>IFERROR(INDEX('الإجازات'!$K$3:$K$502,24),"")</f>
        <v/>
      </c>
      <c r="K30" s="50">
        <f>IFERROR(INDEX('الإجازات'!$L$3:$L$502,24),"")</f>
        <v/>
      </c>
      <c r="L30" s="50">
        <f>IFERROR(INDEX('الإجازات'!$M$3:$M$502,24),"")</f>
        <v/>
      </c>
    </row>
    <row r="31">
      <c r="A31" s="43">
        <f>IFERROR(INDEX('الإجازات'!$A$3:$A$502,25),"")</f>
        <v/>
      </c>
      <c r="B31" s="43">
        <f>IFERROR(INDEX('الإجازات'!$B$3:$B$502,25),"")</f>
        <v/>
      </c>
      <c r="C31" s="43">
        <f>IFERROR(INDEX('الإجازات'!$C$3:$C$502,25),"")</f>
        <v/>
      </c>
      <c r="D31" s="43">
        <f>IFERROR(INDEX('الإجازات'!$D$3:$D$502,25),"")</f>
        <v/>
      </c>
      <c r="E31" s="118">
        <f>IFERROR(INDEX('الإجازات'!$F$3:$F$502,25),"")</f>
        <v/>
      </c>
      <c r="F31" s="118">
        <f>IFERROR(INDEX('الإجازات'!$G$3:$G$502,25),"")</f>
        <v/>
      </c>
      <c r="G31" s="44">
        <f>IFERROR(INDEX('الإجازات'!$H$3:$H$502,25),"")</f>
        <v/>
      </c>
      <c r="H31" s="44">
        <f>IFERROR(INDEX('الإجازات'!$I$3:$I$502,25),"")</f>
        <v/>
      </c>
      <c r="I31" s="44">
        <f>IFERROR(INDEX('الإجازات'!$J$3:$J$502,25),"")</f>
        <v/>
      </c>
      <c r="J31" s="44">
        <f>IFERROR(INDEX('الإجازات'!$K$3:$K$502,25),"")</f>
        <v/>
      </c>
      <c r="K31" s="43">
        <f>IFERROR(INDEX('الإجازات'!$L$3:$L$502,25),"")</f>
        <v/>
      </c>
      <c r="L31" s="43">
        <f>IFERROR(INDEX('الإجازات'!$M$3:$M$502,25),"")</f>
        <v/>
      </c>
    </row>
    <row r="32">
      <c r="A32" s="50">
        <f>IFERROR(INDEX('الإجازات'!$A$3:$A$502,26),"")</f>
        <v/>
      </c>
      <c r="B32" s="50">
        <f>IFERROR(INDEX('الإجازات'!$B$3:$B$502,26),"")</f>
        <v/>
      </c>
      <c r="C32" s="50">
        <f>IFERROR(INDEX('الإجازات'!$C$3:$C$502,26),"")</f>
        <v/>
      </c>
      <c r="D32" s="50">
        <f>IFERROR(INDEX('الإجازات'!$D$3:$D$502,26),"")</f>
        <v/>
      </c>
      <c r="E32" s="119">
        <f>IFERROR(INDEX('الإجازات'!$F$3:$F$502,26),"")</f>
        <v/>
      </c>
      <c r="F32" s="119">
        <f>IFERROR(INDEX('الإجازات'!$G$3:$G$502,26),"")</f>
        <v/>
      </c>
      <c r="G32" s="51">
        <f>IFERROR(INDEX('الإجازات'!$H$3:$H$502,26),"")</f>
        <v/>
      </c>
      <c r="H32" s="51">
        <f>IFERROR(INDEX('الإجازات'!$I$3:$I$502,26),"")</f>
        <v/>
      </c>
      <c r="I32" s="51">
        <f>IFERROR(INDEX('الإجازات'!$J$3:$J$502,26),"")</f>
        <v/>
      </c>
      <c r="J32" s="51">
        <f>IFERROR(INDEX('الإجازات'!$K$3:$K$502,26),"")</f>
        <v/>
      </c>
      <c r="K32" s="50">
        <f>IFERROR(INDEX('الإجازات'!$L$3:$L$502,26),"")</f>
        <v/>
      </c>
      <c r="L32" s="50">
        <f>IFERROR(INDEX('الإجازات'!$M$3:$M$502,26),"")</f>
        <v/>
      </c>
    </row>
    <row r="33">
      <c r="A33" s="43">
        <f>IFERROR(INDEX('الإجازات'!$A$3:$A$502,27),"")</f>
        <v/>
      </c>
      <c r="B33" s="43">
        <f>IFERROR(INDEX('الإجازات'!$B$3:$B$502,27),"")</f>
        <v/>
      </c>
      <c r="C33" s="43">
        <f>IFERROR(INDEX('الإجازات'!$C$3:$C$502,27),"")</f>
        <v/>
      </c>
      <c r="D33" s="43">
        <f>IFERROR(INDEX('الإجازات'!$D$3:$D$502,27),"")</f>
        <v/>
      </c>
      <c r="E33" s="118">
        <f>IFERROR(INDEX('الإجازات'!$F$3:$F$502,27),"")</f>
        <v/>
      </c>
      <c r="F33" s="118">
        <f>IFERROR(INDEX('الإجازات'!$G$3:$G$502,27),"")</f>
        <v/>
      </c>
      <c r="G33" s="44">
        <f>IFERROR(INDEX('الإجازات'!$H$3:$H$502,27),"")</f>
        <v/>
      </c>
      <c r="H33" s="44">
        <f>IFERROR(INDEX('الإجازات'!$I$3:$I$502,27),"")</f>
        <v/>
      </c>
      <c r="I33" s="44">
        <f>IFERROR(INDEX('الإجازات'!$J$3:$J$502,27),"")</f>
        <v/>
      </c>
      <c r="J33" s="44">
        <f>IFERROR(INDEX('الإجازات'!$K$3:$K$502,27),"")</f>
        <v/>
      </c>
      <c r="K33" s="43">
        <f>IFERROR(INDEX('الإجازات'!$L$3:$L$502,27),"")</f>
        <v/>
      </c>
      <c r="L33" s="43">
        <f>IFERROR(INDEX('الإجازات'!$M$3:$M$502,27),"")</f>
        <v/>
      </c>
    </row>
    <row r="34">
      <c r="A34" s="50">
        <f>IFERROR(INDEX('الإجازات'!$A$3:$A$502,28),"")</f>
        <v/>
      </c>
      <c r="B34" s="50">
        <f>IFERROR(INDEX('الإجازات'!$B$3:$B$502,28),"")</f>
        <v/>
      </c>
      <c r="C34" s="50">
        <f>IFERROR(INDEX('الإجازات'!$C$3:$C$502,28),"")</f>
        <v/>
      </c>
      <c r="D34" s="50">
        <f>IFERROR(INDEX('الإجازات'!$D$3:$D$502,28),"")</f>
        <v/>
      </c>
      <c r="E34" s="119">
        <f>IFERROR(INDEX('الإجازات'!$F$3:$F$502,28),"")</f>
        <v/>
      </c>
      <c r="F34" s="119">
        <f>IFERROR(INDEX('الإجازات'!$G$3:$G$502,28),"")</f>
        <v/>
      </c>
      <c r="G34" s="51">
        <f>IFERROR(INDEX('الإجازات'!$H$3:$H$502,28),"")</f>
        <v/>
      </c>
      <c r="H34" s="51">
        <f>IFERROR(INDEX('الإجازات'!$I$3:$I$502,28),"")</f>
        <v/>
      </c>
      <c r="I34" s="51">
        <f>IFERROR(INDEX('الإجازات'!$J$3:$J$502,28),"")</f>
        <v/>
      </c>
      <c r="J34" s="51">
        <f>IFERROR(INDEX('الإجازات'!$K$3:$K$502,28),"")</f>
        <v/>
      </c>
      <c r="K34" s="50">
        <f>IFERROR(INDEX('الإجازات'!$L$3:$L$502,28),"")</f>
        <v/>
      </c>
      <c r="L34" s="50">
        <f>IFERROR(INDEX('الإجازات'!$M$3:$M$502,28),"")</f>
        <v/>
      </c>
    </row>
    <row r="35">
      <c r="A35" s="43">
        <f>IFERROR(INDEX('الإجازات'!$A$3:$A$502,29),"")</f>
        <v/>
      </c>
      <c r="B35" s="43">
        <f>IFERROR(INDEX('الإجازات'!$B$3:$B$502,29),"")</f>
        <v/>
      </c>
      <c r="C35" s="43">
        <f>IFERROR(INDEX('الإجازات'!$C$3:$C$502,29),"")</f>
        <v/>
      </c>
      <c r="D35" s="43">
        <f>IFERROR(INDEX('الإجازات'!$D$3:$D$502,29),"")</f>
        <v/>
      </c>
      <c r="E35" s="118">
        <f>IFERROR(INDEX('الإجازات'!$F$3:$F$502,29),"")</f>
        <v/>
      </c>
      <c r="F35" s="118">
        <f>IFERROR(INDEX('الإجازات'!$G$3:$G$502,29),"")</f>
        <v/>
      </c>
      <c r="G35" s="44">
        <f>IFERROR(INDEX('الإجازات'!$H$3:$H$502,29),"")</f>
        <v/>
      </c>
      <c r="H35" s="44">
        <f>IFERROR(INDEX('الإجازات'!$I$3:$I$502,29),"")</f>
        <v/>
      </c>
      <c r="I35" s="44">
        <f>IFERROR(INDEX('الإجازات'!$J$3:$J$502,29),"")</f>
        <v/>
      </c>
      <c r="J35" s="44">
        <f>IFERROR(INDEX('الإجازات'!$K$3:$K$502,29),"")</f>
        <v/>
      </c>
      <c r="K35" s="43">
        <f>IFERROR(INDEX('الإجازات'!$L$3:$L$502,29),"")</f>
        <v/>
      </c>
      <c r="L35" s="43">
        <f>IFERROR(INDEX('الإجازات'!$M$3:$M$502,29),"")</f>
        <v/>
      </c>
    </row>
    <row r="36">
      <c r="A36" s="50">
        <f>IFERROR(INDEX('الإجازات'!$A$3:$A$502,30),"")</f>
        <v/>
      </c>
      <c r="B36" s="50">
        <f>IFERROR(INDEX('الإجازات'!$B$3:$B$502,30),"")</f>
        <v/>
      </c>
      <c r="C36" s="50">
        <f>IFERROR(INDEX('الإجازات'!$C$3:$C$502,30),"")</f>
        <v/>
      </c>
      <c r="D36" s="50">
        <f>IFERROR(INDEX('الإجازات'!$D$3:$D$502,30),"")</f>
        <v/>
      </c>
      <c r="E36" s="119">
        <f>IFERROR(INDEX('الإجازات'!$F$3:$F$502,30),"")</f>
        <v/>
      </c>
      <c r="F36" s="119">
        <f>IFERROR(INDEX('الإجازات'!$G$3:$G$502,30),"")</f>
        <v/>
      </c>
      <c r="G36" s="51">
        <f>IFERROR(INDEX('الإجازات'!$H$3:$H$502,30),"")</f>
        <v/>
      </c>
      <c r="H36" s="51">
        <f>IFERROR(INDEX('الإجازات'!$I$3:$I$502,30),"")</f>
        <v/>
      </c>
      <c r="I36" s="51">
        <f>IFERROR(INDEX('الإجازات'!$J$3:$J$502,30),"")</f>
        <v/>
      </c>
      <c r="J36" s="51">
        <f>IFERROR(INDEX('الإجازات'!$K$3:$K$502,30),"")</f>
        <v/>
      </c>
      <c r="K36" s="50">
        <f>IFERROR(INDEX('الإجازات'!$L$3:$L$502,30),"")</f>
        <v/>
      </c>
      <c r="L36" s="50">
        <f>IFERROR(INDEX('الإجازات'!$M$3:$M$502,30),"")</f>
        <v/>
      </c>
    </row>
    <row r="37">
      <c r="A37" s="43">
        <f>IFERROR(INDEX('الإجازات'!$A$3:$A$502,31),"")</f>
        <v/>
      </c>
      <c r="B37" s="43">
        <f>IFERROR(INDEX('الإجازات'!$B$3:$B$502,31),"")</f>
        <v/>
      </c>
      <c r="C37" s="43">
        <f>IFERROR(INDEX('الإجازات'!$C$3:$C$502,31),"")</f>
        <v/>
      </c>
      <c r="D37" s="43">
        <f>IFERROR(INDEX('الإجازات'!$D$3:$D$502,31),"")</f>
        <v/>
      </c>
      <c r="E37" s="118">
        <f>IFERROR(INDEX('الإجازات'!$F$3:$F$502,31),"")</f>
        <v/>
      </c>
      <c r="F37" s="118">
        <f>IFERROR(INDEX('الإجازات'!$G$3:$G$502,31),"")</f>
        <v/>
      </c>
      <c r="G37" s="44">
        <f>IFERROR(INDEX('الإجازات'!$H$3:$H$502,31),"")</f>
        <v/>
      </c>
      <c r="H37" s="44">
        <f>IFERROR(INDEX('الإجازات'!$I$3:$I$502,31),"")</f>
        <v/>
      </c>
      <c r="I37" s="44">
        <f>IFERROR(INDEX('الإجازات'!$J$3:$J$502,31),"")</f>
        <v/>
      </c>
      <c r="J37" s="44">
        <f>IFERROR(INDEX('الإجازات'!$K$3:$K$502,31),"")</f>
        <v/>
      </c>
      <c r="K37" s="43">
        <f>IFERROR(INDEX('الإجازات'!$L$3:$L$502,31),"")</f>
        <v/>
      </c>
      <c r="L37" s="43">
        <f>IFERROR(INDEX('الإجازات'!$M$3:$M$502,31),"")</f>
        <v/>
      </c>
    </row>
    <row r="38">
      <c r="A38" s="50">
        <f>IFERROR(INDEX('الإجازات'!$A$3:$A$502,32),"")</f>
        <v/>
      </c>
      <c r="B38" s="50">
        <f>IFERROR(INDEX('الإجازات'!$B$3:$B$502,32),"")</f>
        <v/>
      </c>
      <c r="C38" s="50">
        <f>IFERROR(INDEX('الإجازات'!$C$3:$C$502,32),"")</f>
        <v/>
      </c>
      <c r="D38" s="50">
        <f>IFERROR(INDEX('الإجازات'!$D$3:$D$502,32),"")</f>
        <v/>
      </c>
      <c r="E38" s="119">
        <f>IFERROR(INDEX('الإجازات'!$F$3:$F$502,32),"")</f>
        <v/>
      </c>
      <c r="F38" s="119">
        <f>IFERROR(INDEX('الإجازات'!$G$3:$G$502,32),"")</f>
        <v/>
      </c>
      <c r="G38" s="51">
        <f>IFERROR(INDEX('الإجازات'!$H$3:$H$502,32),"")</f>
        <v/>
      </c>
      <c r="H38" s="51">
        <f>IFERROR(INDEX('الإجازات'!$I$3:$I$502,32),"")</f>
        <v/>
      </c>
      <c r="I38" s="51">
        <f>IFERROR(INDEX('الإجازات'!$J$3:$J$502,32),"")</f>
        <v/>
      </c>
      <c r="J38" s="51">
        <f>IFERROR(INDEX('الإجازات'!$K$3:$K$502,32),"")</f>
        <v/>
      </c>
      <c r="K38" s="50">
        <f>IFERROR(INDEX('الإجازات'!$L$3:$L$502,32),"")</f>
        <v/>
      </c>
      <c r="L38" s="50">
        <f>IFERROR(INDEX('الإجازات'!$M$3:$M$502,32),"")</f>
        <v/>
      </c>
    </row>
    <row r="39">
      <c r="A39" s="43">
        <f>IFERROR(INDEX('الإجازات'!$A$3:$A$502,33),"")</f>
        <v/>
      </c>
      <c r="B39" s="43">
        <f>IFERROR(INDEX('الإجازات'!$B$3:$B$502,33),"")</f>
        <v/>
      </c>
      <c r="C39" s="43">
        <f>IFERROR(INDEX('الإجازات'!$C$3:$C$502,33),"")</f>
        <v/>
      </c>
      <c r="D39" s="43">
        <f>IFERROR(INDEX('الإجازات'!$D$3:$D$502,33),"")</f>
        <v/>
      </c>
      <c r="E39" s="118">
        <f>IFERROR(INDEX('الإجازات'!$F$3:$F$502,33),"")</f>
        <v/>
      </c>
      <c r="F39" s="118">
        <f>IFERROR(INDEX('الإجازات'!$G$3:$G$502,33),"")</f>
        <v/>
      </c>
      <c r="G39" s="44">
        <f>IFERROR(INDEX('الإجازات'!$H$3:$H$502,33),"")</f>
        <v/>
      </c>
      <c r="H39" s="44">
        <f>IFERROR(INDEX('الإجازات'!$I$3:$I$502,33),"")</f>
        <v/>
      </c>
      <c r="I39" s="44">
        <f>IFERROR(INDEX('الإجازات'!$J$3:$J$502,33),"")</f>
        <v/>
      </c>
      <c r="J39" s="44">
        <f>IFERROR(INDEX('الإجازات'!$K$3:$K$502,33),"")</f>
        <v/>
      </c>
      <c r="K39" s="43">
        <f>IFERROR(INDEX('الإجازات'!$L$3:$L$502,33),"")</f>
        <v/>
      </c>
      <c r="L39" s="43">
        <f>IFERROR(INDEX('الإجازات'!$M$3:$M$502,33),"")</f>
        <v/>
      </c>
    </row>
    <row r="40">
      <c r="A40" s="50">
        <f>IFERROR(INDEX('الإجازات'!$A$3:$A$502,34),"")</f>
        <v/>
      </c>
      <c r="B40" s="50">
        <f>IFERROR(INDEX('الإجازات'!$B$3:$B$502,34),"")</f>
        <v/>
      </c>
      <c r="C40" s="50">
        <f>IFERROR(INDEX('الإجازات'!$C$3:$C$502,34),"")</f>
        <v/>
      </c>
      <c r="D40" s="50">
        <f>IFERROR(INDEX('الإجازات'!$D$3:$D$502,34),"")</f>
        <v/>
      </c>
      <c r="E40" s="119">
        <f>IFERROR(INDEX('الإجازات'!$F$3:$F$502,34),"")</f>
        <v/>
      </c>
      <c r="F40" s="119">
        <f>IFERROR(INDEX('الإجازات'!$G$3:$G$502,34),"")</f>
        <v/>
      </c>
      <c r="G40" s="51">
        <f>IFERROR(INDEX('الإجازات'!$H$3:$H$502,34),"")</f>
        <v/>
      </c>
      <c r="H40" s="51">
        <f>IFERROR(INDEX('الإجازات'!$I$3:$I$502,34),"")</f>
        <v/>
      </c>
      <c r="I40" s="51">
        <f>IFERROR(INDEX('الإجازات'!$J$3:$J$502,34),"")</f>
        <v/>
      </c>
      <c r="J40" s="51">
        <f>IFERROR(INDEX('الإجازات'!$K$3:$K$502,34),"")</f>
        <v/>
      </c>
      <c r="K40" s="50">
        <f>IFERROR(INDEX('الإجازات'!$L$3:$L$502,34),"")</f>
        <v/>
      </c>
      <c r="L40" s="50">
        <f>IFERROR(INDEX('الإجازات'!$M$3:$M$502,34),"")</f>
        <v/>
      </c>
    </row>
    <row r="41">
      <c r="A41" s="43">
        <f>IFERROR(INDEX('الإجازات'!$A$3:$A$502,35),"")</f>
        <v/>
      </c>
      <c r="B41" s="43">
        <f>IFERROR(INDEX('الإجازات'!$B$3:$B$502,35),"")</f>
        <v/>
      </c>
      <c r="C41" s="43">
        <f>IFERROR(INDEX('الإجازات'!$C$3:$C$502,35),"")</f>
        <v/>
      </c>
      <c r="D41" s="43">
        <f>IFERROR(INDEX('الإجازات'!$D$3:$D$502,35),"")</f>
        <v/>
      </c>
      <c r="E41" s="118">
        <f>IFERROR(INDEX('الإجازات'!$F$3:$F$502,35),"")</f>
        <v/>
      </c>
      <c r="F41" s="118">
        <f>IFERROR(INDEX('الإجازات'!$G$3:$G$502,35),"")</f>
        <v/>
      </c>
      <c r="G41" s="44">
        <f>IFERROR(INDEX('الإجازات'!$H$3:$H$502,35),"")</f>
        <v/>
      </c>
      <c r="H41" s="44">
        <f>IFERROR(INDEX('الإجازات'!$I$3:$I$502,35),"")</f>
        <v/>
      </c>
      <c r="I41" s="44">
        <f>IFERROR(INDEX('الإجازات'!$J$3:$J$502,35),"")</f>
        <v/>
      </c>
      <c r="J41" s="44">
        <f>IFERROR(INDEX('الإجازات'!$K$3:$K$502,35),"")</f>
        <v/>
      </c>
      <c r="K41" s="43">
        <f>IFERROR(INDEX('الإجازات'!$L$3:$L$502,35),"")</f>
        <v/>
      </c>
      <c r="L41" s="43">
        <f>IFERROR(INDEX('الإجازات'!$M$3:$M$502,35),"")</f>
        <v/>
      </c>
    </row>
    <row r="42">
      <c r="A42" s="50">
        <f>IFERROR(INDEX('الإجازات'!$A$3:$A$502,36),"")</f>
        <v/>
      </c>
      <c r="B42" s="50">
        <f>IFERROR(INDEX('الإجازات'!$B$3:$B$502,36),"")</f>
        <v/>
      </c>
      <c r="C42" s="50">
        <f>IFERROR(INDEX('الإجازات'!$C$3:$C$502,36),"")</f>
        <v/>
      </c>
      <c r="D42" s="50">
        <f>IFERROR(INDEX('الإجازات'!$D$3:$D$502,36),"")</f>
        <v/>
      </c>
      <c r="E42" s="119">
        <f>IFERROR(INDEX('الإجازات'!$F$3:$F$502,36),"")</f>
        <v/>
      </c>
      <c r="F42" s="119">
        <f>IFERROR(INDEX('الإجازات'!$G$3:$G$502,36),"")</f>
        <v/>
      </c>
      <c r="G42" s="51">
        <f>IFERROR(INDEX('الإجازات'!$H$3:$H$502,36),"")</f>
        <v/>
      </c>
      <c r="H42" s="51">
        <f>IFERROR(INDEX('الإجازات'!$I$3:$I$502,36),"")</f>
        <v/>
      </c>
      <c r="I42" s="51">
        <f>IFERROR(INDEX('الإجازات'!$J$3:$J$502,36),"")</f>
        <v/>
      </c>
      <c r="J42" s="51">
        <f>IFERROR(INDEX('الإجازات'!$K$3:$K$502,36),"")</f>
        <v/>
      </c>
      <c r="K42" s="50">
        <f>IFERROR(INDEX('الإجازات'!$L$3:$L$502,36),"")</f>
        <v/>
      </c>
      <c r="L42" s="50">
        <f>IFERROR(INDEX('الإجازات'!$M$3:$M$502,36),"")</f>
        <v/>
      </c>
    </row>
    <row r="43">
      <c r="A43" s="43">
        <f>IFERROR(INDEX('الإجازات'!$A$3:$A$502,37),"")</f>
        <v/>
      </c>
      <c r="B43" s="43">
        <f>IFERROR(INDEX('الإجازات'!$B$3:$B$502,37),"")</f>
        <v/>
      </c>
      <c r="C43" s="43">
        <f>IFERROR(INDEX('الإجازات'!$C$3:$C$502,37),"")</f>
        <v/>
      </c>
      <c r="D43" s="43">
        <f>IFERROR(INDEX('الإجازات'!$D$3:$D$502,37),"")</f>
        <v/>
      </c>
      <c r="E43" s="118">
        <f>IFERROR(INDEX('الإجازات'!$F$3:$F$502,37),"")</f>
        <v/>
      </c>
      <c r="F43" s="118">
        <f>IFERROR(INDEX('الإجازات'!$G$3:$G$502,37),"")</f>
        <v/>
      </c>
      <c r="G43" s="44">
        <f>IFERROR(INDEX('الإجازات'!$H$3:$H$502,37),"")</f>
        <v/>
      </c>
      <c r="H43" s="44">
        <f>IFERROR(INDEX('الإجازات'!$I$3:$I$502,37),"")</f>
        <v/>
      </c>
      <c r="I43" s="44">
        <f>IFERROR(INDEX('الإجازات'!$J$3:$J$502,37),"")</f>
        <v/>
      </c>
      <c r="J43" s="44">
        <f>IFERROR(INDEX('الإجازات'!$K$3:$K$502,37),"")</f>
        <v/>
      </c>
      <c r="K43" s="43">
        <f>IFERROR(INDEX('الإجازات'!$L$3:$L$502,37),"")</f>
        <v/>
      </c>
      <c r="L43" s="43">
        <f>IFERROR(INDEX('الإجازات'!$M$3:$M$502,37),"")</f>
        <v/>
      </c>
    </row>
    <row r="44">
      <c r="A44" s="50">
        <f>IFERROR(INDEX('الإجازات'!$A$3:$A$502,38),"")</f>
        <v/>
      </c>
      <c r="B44" s="50">
        <f>IFERROR(INDEX('الإجازات'!$B$3:$B$502,38),"")</f>
        <v/>
      </c>
      <c r="C44" s="50">
        <f>IFERROR(INDEX('الإجازات'!$C$3:$C$502,38),"")</f>
        <v/>
      </c>
      <c r="D44" s="50">
        <f>IFERROR(INDEX('الإجازات'!$D$3:$D$502,38),"")</f>
        <v/>
      </c>
      <c r="E44" s="119">
        <f>IFERROR(INDEX('الإجازات'!$F$3:$F$502,38),"")</f>
        <v/>
      </c>
      <c r="F44" s="119">
        <f>IFERROR(INDEX('الإجازات'!$G$3:$G$502,38),"")</f>
        <v/>
      </c>
      <c r="G44" s="51">
        <f>IFERROR(INDEX('الإجازات'!$H$3:$H$502,38),"")</f>
        <v/>
      </c>
      <c r="H44" s="51">
        <f>IFERROR(INDEX('الإجازات'!$I$3:$I$502,38),"")</f>
        <v/>
      </c>
      <c r="I44" s="51">
        <f>IFERROR(INDEX('الإجازات'!$J$3:$J$502,38),"")</f>
        <v/>
      </c>
      <c r="J44" s="51">
        <f>IFERROR(INDEX('الإجازات'!$K$3:$K$502,38),"")</f>
        <v/>
      </c>
      <c r="K44" s="50">
        <f>IFERROR(INDEX('الإجازات'!$L$3:$L$502,38),"")</f>
        <v/>
      </c>
      <c r="L44" s="50">
        <f>IFERROR(INDEX('الإجازات'!$M$3:$M$502,38),"")</f>
        <v/>
      </c>
    </row>
    <row r="45">
      <c r="A45" s="43">
        <f>IFERROR(INDEX('الإجازات'!$A$3:$A$502,39),"")</f>
        <v/>
      </c>
      <c r="B45" s="43">
        <f>IFERROR(INDEX('الإجازات'!$B$3:$B$502,39),"")</f>
        <v/>
      </c>
      <c r="C45" s="43">
        <f>IFERROR(INDEX('الإجازات'!$C$3:$C$502,39),"")</f>
        <v/>
      </c>
      <c r="D45" s="43">
        <f>IFERROR(INDEX('الإجازات'!$D$3:$D$502,39),"")</f>
        <v/>
      </c>
      <c r="E45" s="118">
        <f>IFERROR(INDEX('الإجازات'!$F$3:$F$502,39),"")</f>
        <v/>
      </c>
      <c r="F45" s="118">
        <f>IFERROR(INDEX('الإجازات'!$G$3:$G$502,39),"")</f>
        <v/>
      </c>
      <c r="G45" s="44">
        <f>IFERROR(INDEX('الإجازات'!$H$3:$H$502,39),"")</f>
        <v/>
      </c>
      <c r="H45" s="44">
        <f>IFERROR(INDEX('الإجازات'!$I$3:$I$502,39),"")</f>
        <v/>
      </c>
      <c r="I45" s="44">
        <f>IFERROR(INDEX('الإجازات'!$J$3:$J$502,39),"")</f>
        <v/>
      </c>
      <c r="J45" s="44">
        <f>IFERROR(INDEX('الإجازات'!$K$3:$K$502,39),"")</f>
        <v/>
      </c>
      <c r="K45" s="43">
        <f>IFERROR(INDEX('الإجازات'!$L$3:$L$502,39),"")</f>
        <v/>
      </c>
      <c r="L45" s="43">
        <f>IFERROR(INDEX('الإجازات'!$M$3:$M$502,39),"")</f>
        <v/>
      </c>
    </row>
    <row r="46">
      <c r="A46" s="50">
        <f>IFERROR(INDEX('الإجازات'!$A$3:$A$502,40),"")</f>
        <v/>
      </c>
      <c r="B46" s="50">
        <f>IFERROR(INDEX('الإجازات'!$B$3:$B$502,40),"")</f>
        <v/>
      </c>
      <c r="C46" s="50">
        <f>IFERROR(INDEX('الإجازات'!$C$3:$C$502,40),"")</f>
        <v/>
      </c>
      <c r="D46" s="50">
        <f>IFERROR(INDEX('الإجازات'!$D$3:$D$502,40),"")</f>
        <v/>
      </c>
      <c r="E46" s="119">
        <f>IFERROR(INDEX('الإجازات'!$F$3:$F$502,40),"")</f>
        <v/>
      </c>
      <c r="F46" s="119">
        <f>IFERROR(INDEX('الإجازات'!$G$3:$G$502,40),"")</f>
        <v/>
      </c>
      <c r="G46" s="51">
        <f>IFERROR(INDEX('الإجازات'!$H$3:$H$502,40),"")</f>
        <v/>
      </c>
      <c r="H46" s="51">
        <f>IFERROR(INDEX('الإجازات'!$I$3:$I$502,40),"")</f>
        <v/>
      </c>
      <c r="I46" s="51">
        <f>IFERROR(INDEX('الإجازات'!$J$3:$J$502,40),"")</f>
        <v/>
      </c>
      <c r="J46" s="51">
        <f>IFERROR(INDEX('الإجازات'!$K$3:$K$502,40),"")</f>
        <v/>
      </c>
      <c r="K46" s="50">
        <f>IFERROR(INDEX('الإجازات'!$L$3:$L$502,40),"")</f>
        <v/>
      </c>
      <c r="L46" s="50">
        <f>IFERROR(INDEX('الإجازات'!$M$3:$M$502,40),"")</f>
        <v/>
      </c>
    </row>
    <row r="47">
      <c r="A47" s="43">
        <f>IFERROR(INDEX('الإجازات'!$A$3:$A$502,41),"")</f>
        <v/>
      </c>
      <c r="B47" s="43">
        <f>IFERROR(INDEX('الإجازات'!$B$3:$B$502,41),"")</f>
        <v/>
      </c>
      <c r="C47" s="43">
        <f>IFERROR(INDEX('الإجازات'!$C$3:$C$502,41),"")</f>
        <v/>
      </c>
      <c r="D47" s="43">
        <f>IFERROR(INDEX('الإجازات'!$D$3:$D$502,41),"")</f>
        <v/>
      </c>
      <c r="E47" s="118">
        <f>IFERROR(INDEX('الإجازات'!$F$3:$F$502,41),"")</f>
        <v/>
      </c>
      <c r="F47" s="118">
        <f>IFERROR(INDEX('الإجازات'!$G$3:$G$502,41),"")</f>
        <v/>
      </c>
      <c r="G47" s="44">
        <f>IFERROR(INDEX('الإجازات'!$H$3:$H$502,41),"")</f>
        <v/>
      </c>
      <c r="H47" s="44">
        <f>IFERROR(INDEX('الإجازات'!$I$3:$I$502,41),"")</f>
        <v/>
      </c>
      <c r="I47" s="44">
        <f>IFERROR(INDEX('الإجازات'!$J$3:$J$502,41),"")</f>
        <v/>
      </c>
      <c r="J47" s="44">
        <f>IFERROR(INDEX('الإجازات'!$K$3:$K$502,41),"")</f>
        <v/>
      </c>
      <c r="K47" s="43">
        <f>IFERROR(INDEX('الإجازات'!$L$3:$L$502,41),"")</f>
        <v/>
      </c>
      <c r="L47" s="43">
        <f>IFERROR(INDEX('الإجازات'!$M$3:$M$502,41),"")</f>
        <v/>
      </c>
    </row>
    <row r="48">
      <c r="A48" s="50">
        <f>IFERROR(INDEX('الإجازات'!$A$3:$A$502,42),"")</f>
        <v/>
      </c>
      <c r="B48" s="50">
        <f>IFERROR(INDEX('الإجازات'!$B$3:$B$502,42),"")</f>
        <v/>
      </c>
      <c r="C48" s="50">
        <f>IFERROR(INDEX('الإجازات'!$C$3:$C$502,42),"")</f>
        <v/>
      </c>
      <c r="D48" s="50">
        <f>IFERROR(INDEX('الإجازات'!$D$3:$D$502,42),"")</f>
        <v/>
      </c>
      <c r="E48" s="119">
        <f>IFERROR(INDEX('الإجازات'!$F$3:$F$502,42),"")</f>
        <v/>
      </c>
      <c r="F48" s="119">
        <f>IFERROR(INDEX('الإجازات'!$G$3:$G$502,42),"")</f>
        <v/>
      </c>
      <c r="G48" s="51">
        <f>IFERROR(INDEX('الإجازات'!$H$3:$H$502,42),"")</f>
        <v/>
      </c>
      <c r="H48" s="51">
        <f>IFERROR(INDEX('الإجازات'!$I$3:$I$502,42),"")</f>
        <v/>
      </c>
      <c r="I48" s="51">
        <f>IFERROR(INDEX('الإجازات'!$J$3:$J$502,42),"")</f>
        <v/>
      </c>
      <c r="J48" s="51">
        <f>IFERROR(INDEX('الإجازات'!$K$3:$K$502,42),"")</f>
        <v/>
      </c>
      <c r="K48" s="50">
        <f>IFERROR(INDEX('الإجازات'!$L$3:$L$502,42),"")</f>
        <v/>
      </c>
      <c r="L48" s="50">
        <f>IFERROR(INDEX('الإجازات'!$M$3:$M$502,42),"")</f>
        <v/>
      </c>
    </row>
    <row r="49">
      <c r="A49" s="43">
        <f>IFERROR(INDEX('الإجازات'!$A$3:$A$502,43),"")</f>
        <v/>
      </c>
      <c r="B49" s="43">
        <f>IFERROR(INDEX('الإجازات'!$B$3:$B$502,43),"")</f>
        <v/>
      </c>
      <c r="C49" s="43">
        <f>IFERROR(INDEX('الإجازات'!$C$3:$C$502,43),"")</f>
        <v/>
      </c>
      <c r="D49" s="43">
        <f>IFERROR(INDEX('الإجازات'!$D$3:$D$502,43),"")</f>
        <v/>
      </c>
      <c r="E49" s="118">
        <f>IFERROR(INDEX('الإجازات'!$F$3:$F$502,43),"")</f>
        <v/>
      </c>
      <c r="F49" s="118">
        <f>IFERROR(INDEX('الإجازات'!$G$3:$G$502,43),"")</f>
        <v/>
      </c>
      <c r="G49" s="44">
        <f>IFERROR(INDEX('الإجازات'!$H$3:$H$502,43),"")</f>
        <v/>
      </c>
      <c r="H49" s="44">
        <f>IFERROR(INDEX('الإجازات'!$I$3:$I$502,43),"")</f>
        <v/>
      </c>
      <c r="I49" s="44">
        <f>IFERROR(INDEX('الإجازات'!$J$3:$J$502,43),"")</f>
        <v/>
      </c>
      <c r="J49" s="44">
        <f>IFERROR(INDEX('الإجازات'!$K$3:$K$502,43),"")</f>
        <v/>
      </c>
      <c r="K49" s="43">
        <f>IFERROR(INDEX('الإجازات'!$L$3:$L$502,43),"")</f>
        <v/>
      </c>
      <c r="L49" s="43">
        <f>IFERROR(INDEX('الإجازات'!$M$3:$M$502,43),"")</f>
        <v/>
      </c>
    </row>
    <row r="50">
      <c r="A50" s="50">
        <f>IFERROR(INDEX('الإجازات'!$A$3:$A$502,44),"")</f>
        <v/>
      </c>
      <c r="B50" s="50">
        <f>IFERROR(INDEX('الإجازات'!$B$3:$B$502,44),"")</f>
        <v/>
      </c>
      <c r="C50" s="50">
        <f>IFERROR(INDEX('الإجازات'!$C$3:$C$502,44),"")</f>
        <v/>
      </c>
      <c r="D50" s="50">
        <f>IFERROR(INDEX('الإجازات'!$D$3:$D$502,44),"")</f>
        <v/>
      </c>
      <c r="E50" s="119">
        <f>IFERROR(INDEX('الإجازات'!$F$3:$F$502,44),"")</f>
        <v/>
      </c>
      <c r="F50" s="119">
        <f>IFERROR(INDEX('الإجازات'!$G$3:$G$502,44),"")</f>
        <v/>
      </c>
      <c r="G50" s="51">
        <f>IFERROR(INDEX('الإجازات'!$H$3:$H$502,44),"")</f>
        <v/>
      </c>
      <c r="H50" s="51">
        <f>IFERROR(INDEX('الإجازات'!$I$3:$I$502,44),"")</f>
        <v/>
      </c>
      <c r="I50" s="51">
        <f>IFERROR(INDEX('الإجازات'!$J$3:$J$502,44),"")</f>
        <v/>
      </c>
      <c r="J50" s="51">
        <f>IFERROR(INDEX('الإجازات'!$K$3:$K$502,44),"")</f>
        <v/>
      </c>
      <c r="K50" s="50">
        <f>IFERROR(INDEX('الإجازات'!$L$3:$L$502,44),"")</f>
        <v/>
      </c>
      <c r="L50" s="50">
        <f>IFERROR(INDEX('الإجازات'!$M$3:$M$502,44),"")</f>
        <v/>
      </c>
    </row>
    <row r="51">
      <c r="A51" s="43">
        <f>IFERROR(INDEX('الإجازات'!$A$3:$A$502,45),"")</f>
        <v/>
      </c>
      <c r="B51" s="43">
        <f>IFERROR(INDEX('الإجازات'!$B$3:$B$502,45),"")</f>
        <v/>
      </c>
      <c r="C51" s="43">
        <f>IFERROR(INDEX('الإجازات'!$C$3:$C$502,45),"")</f>
        <v/>
      </c>
      <c r="D51" s="43">
        <f>IFERROR(INDEX('الإجازات'!$D$3:$D$502,45),"")</f>
        <v/>
      </c>
      <c r="E51" s="118">
        <f>IFERROR(INDEX('الإجازات'!$F$3:$F$502,45),"")</f>
        <v/>
      </c>
      <c r="F51" s="118">
        <f>IFERROR(INDEX('الإجازات'!$G$3:$G$502,45),"")</f>
        <v/>
      </c>
      <c r="G51" s="44">
        <f>IFERROR(INDEX('الإجازات'!$H$3:$H$502,45),"")</f>
        <v/>
      </c>
      <c r="H51" s="44">
        <f>IFERROR(INDEX('الإجازات'!$I$3:$I$502,45),"")</f>
        <v/>
      </c>
      <c r="I51" s="44">
        <f>IFERROR(INDEX('الإجازات'!$J$3:$J$502,45),"")</f>
        <v/>
      </c>
      <c r="J51" s="44">
        <f>IFERROR(INDEX('الإجازات'!$K$3:$K$502,45),"")</f>
        <v/>
      </c>
      <c r="K51" s="43">
        <f>IFERROR(INDEX('الإجازات'!$L$3:$L$502,45),"")</f>
        <v/>
      </c>
      <c r="L51" s="43">
        <f>IFERROR(INDEX('الإجازات'!$M$3:$M$502,45),"")</f>
        <v/>
      </c>
    </row>
    <row r="52">
      <c r="A52" s="50">
        <f>IFERROR(INDEX('الإجازات'!$A$3:$A$502,46),"")</f>
        <v/>
      </c>
      <c r="B52" s="50">
        <f>IFERROR(INDEX('الإجازات'!$B$3:$B$502,46),"")</f>
        <v/>
      </c>
      <c r="C52" s="50">
        <f>IFERROR(INDEX('الإجازات'!$C$3:$C$502,46),"")</f>
        <v/>
      </c>
      <c r="D52" s="50">
        <f>IFERROR(INDEX('الإجازات'!$D$3:$D$502,46),"")</f>
        <v/>
      </c>
      <c r="E52" s="119">
        <f>IFERROR(INDEX('الإجازات'!$F$3:$F$502,46),"")</f>
        <v/>
      </c>
      <c r="F52" s="119">
        <f>IFERROR(INDEX('الإجازات'!$G$3:$G$502,46),"")</f>
        <v/>
      </c>
      <c r="G52" s="51">
        <f>IFERROR(INDEX('الإجازات'!$H$3:$H$502,46),"")</f>
        <v/>
      </c>
      <c r="H52" s="51">
        <f>IFERROR(INDEX('الإجازات'!$I$3:$I$502,46),"")</f>
        <v/>
      </c>
      <c r="I52" s="51">
        <f>IFERROR(INDEX('الإجازات'!$J$3:$J$502,46),"")</f>
        <v/>
      </c>
      <c r="J52" s="51">
        <f>IFERROR(INDEX('الإجازات'!$K$3:$K$502,46),"")</f>
        <v/>
      </c>
      <c r="K52" s="50">
        <f>IFERROR(INDEX('الإجازات'!$L$3:$L$502,46),"")</f>
        <v/>
      </c>
      <c r="L52" s="50">
        <f>IFERROR(INDEX('الإجازات'!$M$3:$M$502,46),"")</f>
        <v/>
      </c>
    </row>
    <row r="53">
      <c r="A53" s="43">
        <f>IFERROR(INDEX('الإجازات'!$A$3:$A$502,47),"")</f>
        <v/>
      </c>
      <c r="B53" s="43">
        <f>IFERROR(INDEX('الإجازات'!$B$3:$B$502,47),"")</f>
        <v/>
      </c>
      <c r="C53" s="43">
        <f>IFERROR(INDEX('الإجازات'!$C$3:$C$502,47),"")</f>
        <v/>
      </c>
      <c r="D53" s="43">
        <f>IFERROR(INDEX('الإجازات'!$D$3:$D$502,47),"")</f>
        <v/>
      </c>
      <c r="E53" s="118">
        <f>IFERROR(INDEX('الإجازات'!$F$3:$F$502,47),"")</f>
        <v/>
      </c>
      <c r="F53" s="118">
        <f>IFERROR(INDEX('الإجازات'!$G$3:$G$502,47),"")</f>
        <v/>
      </c>
      <c r="G53" s="44">
        <f>IFERROR(INDEX('الإجازات'!$H$3:$H$502,47),"")</f>
        <v/>
      </c>
      <c r="H53" s="44">
        <f>IFERROR(INDEX('الإجازات'!$I$3:$I$502,47),"")</f>
        <v/>
      </c>
      <c r="I53" s="44">
        <f>IFERROR(INDEX('الإجازات'!$J$3:$J$502,47),"")</f>
        <v/>
      </c>
      <c r="J53" s="44">
        <f>IFERROR(INDEX('الإجازات'!$K$3:$K$502,47),"")</f>
        <v/>
      </c>
      <c r="K53" s="43">
        <f>IFERROR(INDEX('الإجازات'!$L$3:$L$502,47),"")</f>
        <v/>
      </c>
      <c r="L53" s="43">
        <f>IFERROR(INDEX('الإجازات'!$M$3:$M$502,47),"")</f>
        <v/>
      </c>
    </row>
    <row r="54">
      <c r="A54" s="50">
        <f>IFERROR(INDEX('الإجازات'!$A$3:$A$502,48),"")</f>
        <v/>
      </c>
      <c r="B54" s="50">
        <f>IFERROR(INDEX('الإجازات'!$B$3:$B$502,48),"")</f>
        <v/>
      </c>
      <c r="C54" s="50">
        <f>IFERROR(INDEX('الإجازات'!$C$3:$C$502,48),"")</f>
        <v/>
      </c>
      <c r="D54" s="50">
        <f>IFERROR(INDEX('الإجازات'!$D$3:$D$502,48),"")</f>
        <v/>
      </c>
      <c r="E54" s="119">
        <f>IFERROR(INDEX('الإجازات'!$F$3:$F$502,48),"")</f>
        <v/>
      </c>
      <c r="F54" s="119">
        <f>IFERROR(INDEX('الإجازات'!$G$3:$G$502,48),"")</f>
        <v/>
      </c>
      <c r="G54" s="51">
        <f>IFERROR(INDEX('الإجازات'!$H$3:$H$502,48),"")</f>
        <v/>
      </c>
      <c r="H54" s="51">
        <f>IFERROR(INDEX('الإجازات'!$I$3:$I$502,48),"")</f>
        <v/>
      </c>
      <c r="I54" s="51">
        <f>IFERROR(INDEX('الإجازات'!$J$3:$J$502,48),"")</f>
        <v/>
      </c>
      <c r="J54" s="51">
        <f>IFERROR(INDEX('الإجازات'!$K$3:$K$502,48),"")</f>
        <v/>
      </c>
      <c r="K54" s="50">
        <f>IFERROR(INDEX('الإجازات'!$L$3:$L$502,48),"")</f>
        <v/>
      </c>
      <c r="L54" s="50">
        <f>IFERROR(INDEX('الإجازات'!$M$3:$M$502,48),"")</f>
        <v/>
      </c>
    </row>
    <row r="55">
      <c r="A55" s="43">
        <f>IFERROR(INDEX('الإجازات'!$A$3:$A$502,49),"")</f>
        <v/>
      </c>
      <c r="B55" s="43">
        <f>IFERROR(INDEX('الإجازات'!$B$3:$B$502,49),"")</f>
        <v/>
      </c>
      <c r="C55" s="43">
        <f>IFERROR(INDEX('الإجازات'!$C$3:$C$502,49),"")</f>
        <v/>
      </c>
      <c r="D55" s="43">
        <f>IFERROR(INDEX('الإجازات'!$D$3:$D$502,49),"")</f>
        <v/>
      </c>
      <c r="E55" s="118">
        <f>IFERROR(INDEX('الإجازات'!$F$3:$F$502,49),"")</f>
        <v/>
      </c>
      <c r="F55" s="118">
        <f>IFERROR(INDEX('الإجازات'!$G$3:$G$502,49),"")</f>
        <v/>
      </c>
      <c r="G55" s="44">
        <f>IFERROR(INDEX('الإجازات'!$H$3:$H$502,49),"")</f>
        <v/>
      </c>
      <c r="H55" s="44">
        <f>IFERROR(INDEX('الإجازات'!$I$3:$I$502,49),"")</f>
        <v/>
      </c>
      <c r="I55" s="44">
        <f>IFERROR(INDEX('الإجازات'!$J$3:$J$502,49),"")</f>
        <v/>
      </c>
      <c r="J55" s="44">
        <f>IFERROR(INDEX('الإجازات'!$K$3:$K$502,49),"")</f>
        <v/>
      </c>
      <c r="K55" s="43">
        <f>IFERROR(INDEX('الإجازات'!$L$3:$L$502,49),"")</f>
        <v/>
      </c>
      <c r="L55" s="43">
        <f>IFERROR(INDEX('الإجازات'!$M$3:$M$502,49),"")</f>
        <v/>
      </c>
    </row>
    <row r="56">
      <c r="A56" s="50">
        <f>IFERROR(INDEX('الإجازات'!$A$3:$A$502,50),"")</f>
        <v/>
      </c>
      <c r="B56" s="50">
        <f>IFERROR(INDEX('الإجازات'!$B$3:$B$502,50),"")</f>
        <v/>
      </c>
      <c r="C56" s="50">
        <f>IFERROR(INDEX('الإجازات'!$C$3:$C$502,50),"")</f>
        <v/>
      </c>
      <c r="D56" s="50">
        <f>IFERROR(INDEX('الإجازات'!$D$3:$D$502,50),"")</f>
        <v/>
      </c>
      <c r="E56" s="119">
        <f>IFERROR(INDEX('الإجازات'!$F$3:$F$502,50),"")</f>
        <v/>
      </c>
      <c r="F56" s="119">
        <f>IFERROR(INDEX('الإجازات'!$G$3:$G$502,50),"")</f>
        <v/>
      </c>
      <c r="G56" s="51">
        <f>IFERROR(INDEX('الإجازات'!$H$3:$H$502,50),"")</f>
        <v/>
      </c>
      <c r="H56" s="51">
        <f>IFERROR(INDEX('الإجازات'!$I$3:$I$502,50),"")</f>
        <v/>
      </c>
      <c r="I56" s="51">
        <f>IFERROR(INDEX('الإجازات'!$J$3:$J$502,50),"")</f>
        <v/>
      </c>
      <c r="J56" s="51">
        <f>IFERROR(INDEX('الإجازات'!$K$3:$K$502,50),"")</f>
        <v/>
      </c>
      <c r="K56" s="50">
        <f>IFERROR(INDEX('الإجازات'!$L$3:$L$502,50),"")</f>
        <v/>
      </c>
      <c r="L56" s="50">
        <f>IFERROR(INDEX('الإجازات'!$M$3:$M$502,50),"")</f>
        <v/>
      </c>
    </row>
    <row r="57">
      <c r="A57" s="43">
        <f>IFERROR(INDEX('الإجازات'!$A$3:$A$502,51),"")</f>
        <v/>
      </c>
      <c r="B57" s="43">
        <f>IFERROR(INDEX('الإجازات'!$B$3:$B$502,51),"")</f>
        <v/>
      </c>
      <c r="C57" s="43">
        <f>IFERROR(INDEX('الإجازات'!$C$3:$C$502,51),"")</f>
        <v/>
      </c>
      <c r="D57" s="43">
        <f>IFERROR(INDEX('الإجازات'!$D$3:$D$502,51),"")</f>
        <v/>
      </c>
      <c r="E57" s="118">
        <f>IFERROR(INDEX('الإجازات'!$F$3:$F$502,51),"")</f>
        <v/>
      </c>
      <c r="F57" s="118">
        <f>IFERROR(INDEX('الإجازات'!$G$3:$G$502,51),"")</f>
        <v/>
      </c>
      <c r="G57" s="44">
        <f>IFERROR(INDEX('الإجازات'!$H$3:$H$502,51),"")</f>
        <v/>
      </c>
      <c r="H57" s="44">
        <f>IFERROR(INDEX('الإجازات'!$I$3:$I$502,51),"")</f>
        <v/>
      </c>
      <c r="I57" s="44">
        <f>IFERROR(INDEX('الإجازات'!$J$3:$J$502,51),"")</f>
        <v/>
      </c>
      <c r="J57" s="44">
        <f>IFERROR(INDEX('الإجازات'!$K$3:$K$502,51),"")</f>
        <v/>
      </c>
      <c r="K57" s="43">
        <f>IFERROR(INDEX('الإجازات'!$L$3:$L$502,51),"")</f>
        <v/>
      </c>
      <c r="L57" s="43">
        <f>IFERROR(INDEX('الإجازات'!$M$3:$M$502,51),"")</f>
        <v/>
      </c>
    </row>
    <row r="58">
      <c r="A58" s="50">
        <f>IFERROR(INDEX('الإجازات'!$A$3:$A$502,52),"")</f>
        <v/>
      </c>
      <c r="B58" s="50">
        <f>IFERROR(INDEX('الإجازات'!$B$3:$B$502,52),"")</f>
        <v/>
      </c>
      <c r="C58" s="50">
        <f>IFERROR(INDEX('الإجازات'!$C$3:$C$502,52),"")</f>
        <v/>
      </c>
      <c r="D58" s="50">
        <f>IFERROR(INDEX('الإجازات'!$D$3:$D$502,52),"")</f>
        <v/>
      </c>
      <c r="E58" s="119">
        <f>IFERROR(INDEX('الإجازات'!$F$3:$F$502,52),"")</f>
        <v/>
      </c>
      <c r="F58" s="119">
        <f>IFERROR(INDEX('الإجازات'!$G$3:$G$502,52),"")</f>
        <v/>
      </c>
      <c r="G58" s="51">
        <f>IFERROR(INDEX('الإجازات'!$H$3:$H$502,52),"")</f>
        <v/>
      </c>
      <c r="H58" s="51">
        <f>IFERROR(INDEX('الإجازات'!$I$3:$I$502,52),"")</f>
        <v/>
      </c>
      <c r="I58" s="51">
        <f>IFERROR(INDEX('الإجازات'!$J$3:$J$502,52),"")</f>
        <v/>
      </c>
      <c r="J58" s="51">
        <f>IFERROR(INDEX('الإجازات'!$K$3:$K$502,52),"")</f>
        <v/>
      </c>
      <c r="K58" s="50">
        <f>IFERROR(INDEX('الإجازات'!$L$3:$L$502,52),"")</f>
        <v/>
      </c>
      <c r="L58" s="50">
        <f>IFERROR(INDEX('الإجازات'!$M$3:$M$502,52),"")</f>
        <v/>
      </c>
    </row>
    <row r="59">
      <c r="A59" s="43">
        <f>IFERROR(INDEX('الإجازات'!$A$3:$A$502,53),"")</f>
        <v/>
      </c>
      <c r="B59" s="43">
        <f>IFERROR(INDEX('الإجازات'!$B$3:$B$502,53),"")</f>
        <v/>
      </c>
      <c r="C59" s="43">
        <f>IFERROR(INDEX('الإجازات'!$C$3:$C$502,53),"")</f>
        <v/>
      </c>
      <c r="D59" s="43">
        <f>IFERROR(INDEX('الإجازات'!$D$3:$D$502,53),"")</f>
        <v/>
      </c>
      <c r="E59" s="118">
        <f>IFERROR(INDEX('الإجازات'!$F$3:$F$502,53),"")</f>
        <v/>
      </c>
      <c r="F59" s="118">
        <f>IFERROR(INDEX('الإجازات'!$G$3:$G$502,53),"")</f>
        <v/>
      </c>
      <c r="G59" s="44">
        <f>IFERROR(INDEX('الإجازات'!$H$3:$H$502,53),"")</f>
        <v/>
      </c>
      <c r="H59" s="44">
        <f>IFERROR(INDEX('الإجازات'!$I$3:$I$502,53),"")</f>
        <v/>
      </c>
      <c r="I59" s="44">
        <f>IFERROR(INDEX('الإجازات'!$J$3:$J$502,53),"")</f>
        <v/>
      </c>
      <c r="J59" s="44">
        <f>IFERROR(INDEX('الإجازات'!$K$3:$K$502,53),"")</f>
        <v/>
      </c>
      <c r="K59" s="43">
        <f>IFERROR(INDEX('الإجازات'!$L$3:$L$502,53),"")</f>
        <v/>
      </c>
      <c r="L59" s="43">
        <f>IFERROR(INDEX('الإجازات'!$M$3:$M$502,53),"")</f>
        <v/>
      </c>
    </row>
    <row r="60">
      <c r="A60" s="50">
        <f>IFERROR(INDEX('الإجازات'!$A$3:$A$502,54),"")</f>
        <v/>
      </c>
      <c r="B60" s="50">
        <f>IFERROR(INDEX('الإجازات'!$B$3:$B$502,54),"")</f>
        <v/>
      </c>
      <c r="C60" s="50">
        <f>IFERROR(INDEX('الإجازات'!$C$3:$C$502,54),"")</f>
        <v/>
      </c>
      <c r="D60" s="50">
        <f>IFERROR(INDEX('الإجازات'!$D$3:$D$502,54),"")</f>
        <v/>
      </c>
      <c r="E60" s="119">
        <f>IFERROR(INDEX('الإجازات'!$F$3:$F$502,54),"")</f>
        <v/>
      </c>
      <c r="F60" s="119">
        <f>IFERROR(INDEX('الإجازات'!$G$3:$G$502,54),"")</f>
        <v/>
      </c>
      <c r="G60" s="51">
        <f>IFERROR(INDEX('الإجازات'!$H$3:$H$502,54),"")</f>
        <v/>
      </c>
      <c r="H60" s="51">
        <f>IFERROR(INDEX('الإجازات'!$I$3:$I$502,54),"")</f>
        <v/>
      </c>
      <c r="I60" s="51">
        <f>IFERROR(INDEX('الإجازات'!$J$3:$J$502,54),"")</f>
        <v/>
      </c>
      <c r="J60" s="51">
        <f>IFERROR(INDEX('الإجازات'!$K$3:$K$502,54),"")</f>
        <v/>
      </c>
      <c r="K60" s="50">
        <f>IFERROR(INDEX('الإجازات'!$L$3:$L$502,54),"")</f>
        <v/>
      </c>
      <c r="L60" s="50">
        <f>IFERROR(INDEX('الإجازات'!$M$3:$M$502,54),"")</f>
        <v/>
      </c>
    </row>
    <row r="61">
      <c r="A61" s="43">
        <f>IFERROR(INDEX('الإجازات'!$A$3:$A$502,55),"")</f>
        <v/>
      </c>
      <c r="B61" s="43">
        <f>IFERROR(INDEX('الإجازات'!$B$3:$B$502,55),"")</f>
        <v/>
      </c>
      <c r="C61" s="43">
        <f>IFERROR(INDEX('الإجازات'!$C$3:$C$502,55),"")</f>
        <v/>
      </c>
      <c r="D61" s="43">
        <f>IFERROR(INDEX('الإجازات'!$D$3:$D$502,55),"")</f>
        <v/>
      </c>
      <c r="E61" s="118">
        <f>IFERROR(INDEX('الإجازات'!$F$3:$F$502,55),"")</f>
        <v/>
      </c>
      <c r="F61" s="118">
        <f>IFERROR(INDEX('الإجازات'!$G$3:$G$502,55),"")</f>
        <v/>
      </c>
      <c r="G61" s="44">
        <f>IFERROR(INDEX('الإجازات'!$H$3:$H$502,55),"")</f>
        <v/>
      </c>
      <c r="H61" s="44">
        <f>IFERROR(INDEX('الإجازات'!$I$3:$I$502,55),"")</f>
        <v/>
      </c>
      <c r="I61" s="44">
        <f>IFERROR(INDEX('الإجازات'!$J$3:$J$502,55),"")</f>
        <v/>
      </c>
      <c r="J61" s="44">
        <f>IFERROR(INDEX('الإجازات'!$K$3:$K$502,55),"")</f>
        <v/>
      </c>
      <c r="K61" s="43">
        <f>IFERROR(INDEX('الإجازات'!$L$3:$L$502,55),"")</f>
        <v/>
      </c>
      <c r="L61" s="43">
        <f>IFERROR(INDEX('الإجازات'!$M$3:$M$502,55),"")</f>
        <v/>
      </c>
    </row>
    <row r="62">
      <c r="A62" s="50">
        <f>IFERROR(INDEX('الإجازات'!$A$3:$A$502,56),"")</f>
        <v/>
      </c>
      <c r="B62" s="50">
        <f>IFERROR(INDEX('الإجازات'!$B$3:$B$502,56),"")</f>
        <v/>
      </c>
      <c r="C62" s="50">
        <f>IFERROR(INDEX('الإجازات'!$C$3:$C$502,56),"")</f>
        <v/>
      </c>
      <c r="D62" s="50">
        <f>IFERROR(INDEX('الإجازات'!$D$3:$D$502,56),"")</f>
        <v/>
      </c>
      <c r="E62" s="119">
        <f>IFERROR(INDEX('الإجازات'!$F$3:$F$502,56),"")</f>
        <v/>
      </c>
      <c r="F62" s="119">
        <f>IFERROR(INDEX('الإجازات'!$G$3:$G$502,56),"")</f>
        <v/>
      </c>
      <c r="G62" s="51">
        <f>IFERROR(INDEX('الإجازات'!$H$3:$H$502,56),"")</f>
        <v/>
      </c>
      <c r="H62" s="51">
        <f>IFERROR(INDEX('الإجازات'!$I$3:$I$502,56),"")</f>
        <v/>
      </c>
      <c r="I62" s="51">
        <f>IFERROR(INDEX('الإجازات'!$J$3:$J$502,56),"")</f>
        <v/>
      </c>
      <c r="J62" s="51">
        <f>IFERROR(INDEX('الإجازات'!$K$3:$K$502,56),"")</f>
        <v/>
      </c>
      <c r="K62" s="50">
        <f>IFERROR(INDEX('الإجازات'!$L$3:$L$502,56),"")</f>
        <v/>
      </c>
      <c r="L62" s="50">
        <f>IFERROR(INDEX('الإجازات'!$M$3:$M$502,56),"")</f>
        <v/>
      </c>
    </row>
    <row r="63">
      <c r="A63" s="43">
        <f>IFERROR(INDEX('الإجازات'!$A$3:$A$502,57),"")</f>
        <v/>
      </c>
      <c r="B63" s="43">
        <f>IFERROR(INDEX('الإجازات'!$B$3:$B$502,57),"")</f>
        <v/>
      </c>
      <c r="C63" s="43">
        <f>IFERROR(INDEX('الإجازات'!$C$3:$C$502,57),"")</f>
        <v/>
      </c>
      <c r="D63" s="43">
        <f>IFERROR(INDEX('الإجازات'!$D$3:$D$502,57),"")</f>
        <v/>
      </c>
      <c r="E63" s="118">
        <f>IFERROR(INDEX('الإجازات'!$F$3:$F$502,57),"")</f>
        <v/>
      </c>
      <c r="F63" s="118">
        <f>IFERROR(INDEX('الإجازات'!$G$3:$G$502,57),"")</f>
        <v/>
      </c>
      <c r="G63" s="44">
        <f>IFERROR(INDEX('الإجازات'!$H$3:$H$502,57),"")</f>
        <v/>
      </c>
      <c r="H63" s="44">
        <f>IFERROR(INDEX('الإجازات'!$I$3:$I$502,57),"")</f>
        <v/>
      </c>
      <c r="I63" s="44">
        <f>IFERROR(INDEX('الإجازات'!$J$3:$J$502,57),"")</f>
        <v/>
      </c>
      <c r="J63" s="44">
        <f>IFERROR(INDEX('الإجازات'!$K$3:$K$502,57),"")</f>
        <v/>
      </c>
      <c r="K63" s="43">
        <f>IFERROR(INDEX('الإجازات'!$L$3:$L$502,57),"")</f>
        <v/>
      </c>
      <c r="L63" s="43">
        <f>IFERROR(INDEX('الإجازات'!$M$3:$M$502,57),"")</f>
        <v/>
      </c>
    </row>
    <row r="64">
      <c r="A64" s="50">
        <f>IFERROR(INDEX('الإجازات'!$A$3:$A$502,58),"")</f>
        <v/>
      </c>
      <c r="B64" s="50">
        <f>IFERROR(INDEX('الإجازات'!$B$3:$B$502,58),"")</f>
        <v/>
      </c>
      <c r="C64" s="50">
        <f>IFERROR(INDEX('الإجازات'!$C$3:$C$502,58),"")</f>
        <v/>
      </c>
      <c r="D64" s="50">
        <f>IFERROR(INDEX('الإجازات'!$D$3:$D$502,58),"")</f>
        <v/>
      </c>
      <c r="E64" s="119">
        <f>IFERROR(INDEX('الإجازات'!$F$3:$F$502,58),"")</f>
        <v/>
      </c>
      <c r="F64" s="119">
        <f>IFERROR(INDEX('الإجازات'!$G$3:$G$502,58),"")</f>
        <v/>
      </c>
      <c r="G64" s="51">
        <f>IFERROR(INDEX('الإجازات'!$H$3:$H$502,58),"")</f>
        <v/>
      </c>
      <c r="H64" s="51">
        <f>IFERROR(INDEX('الإجازات'!$I$3:$I$502,58),"")</f>
        <v/>
      </c>
      <c r="I64" s="51">
        <f>IFERROR(INDEX('الإجازات'!$J$3:$J$502,58),"")</f>
        <v/>
      </c>
      <c r="J64" s="51">
        <f>IFERROR(INDEX('الإجازات'!$K$3:$K$502,58),"")</f>
        <v/>
      </c>
      <c r="K64" s="50">
        <f>IFERROR(INDEX('الإجازات'!$L$3:$L$502,58),"")</f>
        <v/>
      </c>
      <c r="L64" s="50">
        <f>IFERROR(INDEX('الإجازات'!$M$3:$M$502,58),"")</f>
        <v/>
      </c>
    </row>
    <row r="65">
      <c r="A65" s="43">
        <f>IFERROR(INDEX('الإجازات'!$A$3:$A$502,59),"")</f>
        <v/>
      </c>
      <c r="B65" s="43">
        <f>IFERROR(INDEX('الإجازات'!$B$3:$B$502,59),"")</f>
        <v/>
      </c>
      <c r="C65" s="43">
        <f>IFERROR(INDEX('الإجازات'!$C$3:$C$502,59),"")</f>
        <v/>
      </c>
      <c r="D65" s="43">
        <f>IFERROR(INDEX('الإجازات'!$D$3:$D$502,59),"")</f>
        <v/>
      </c>
      <c r="E65" s="118">
        <f>IFERROR(INDEX('الإجازات'!$F$3:$F$502,59),"")</f>
        <v/>
      </c>
      <c r="F65" s="118">
        <f>IFERROR(INDEX('الإجازات'!$G$3:$G$502,59),"")</f>
        <v/>
      </c>
      <c r="G65" s="44">
        <f>IFERROR(INDEX('الإجازات'!$H$3:$H$502,59),"")</f>
        <v/>
      </c>
      <c r="H65" s="44">
        <f>IFERROR(INDEX('الإجازات'!$I$3:$I$502,59),"")</f>
        <v/>
      </c>
      <c r="I65" s="44">
        <f>IFERROR(INDEX('الإجازات'!$J$3:$J$502,59),"")</f>
        <v/>
      </c>
      <c r="J65" s="44">
        <f>IFERROR(INDEX('الإجازات'!$K$3:$K$502,59),"")</f>
        <v/>
      </c>
      <c r="K65" s="43">
        <f>IFERROR(INDEX('الإجازات'!$L$3:$L$502,59),"")</f>
        <v/>
      </c>
      <c r="L65" s="43">
        <f>IFERROR(INDEX('الإجازات'!$M$3:$M$502,59),"")</f>
        <v/>
      </c>
    </row>
    <row r="66">
      <c r="A66" s="50">
        <f>IFERROR(INDEX('الإجازات'!$A$3:$A$502,60),"")</f>
        <v/>
      </c>
      <c r="B66" s="50">
        <f>IFERROR(INDEX('الإجازات'!$B$3:$B$502,60),"")</f>
        <v/>
      </c>
      <c r="C66" s="50">
        <f>IFERROR(INDEX('الإجازات'!$C$3:$C$502,60),"")</f>
        <v/>
      </c>
      <c r="D66" s="50">
        <f>IFERROR(INDEX('الإجازات'!$D$3:$D$502,60),"")</f>
        <v/>
      </c>
      <c r="E66" s="119">
        <f>IFERROR(INDEX('الإجازات'!$F$3:$F$502,60),"")</f>
        <v/>
      </c>
      <c r="F66" s="119">
        <f>IFERROR(INDEX('الإجازات'!$G$3:$G$502,60),"")</f>
        <v/>
      </c>
      <c r="G66" s="51">
        <f>IFERROR(INDEX('الإجازات'!$H$3:$H$502,60),"")</f>
        <v/>
      </c>
      <c r="H66" s="51">
        <f>IFERROR(INDEX('الإجازات'!$I$3:$I$502,60),"")</f>
        <v/>
      </c>
      <c r="I66" s="51">
        <f>IFERROR(INDEX('الإجازات'!$J$3:$J$502,60),"")</f>
        <v/>
      </c>
      <c r="J66" s="51">
        <f>IFERROR(INDEX('الإجازات'!$K$3:$K$502,60),"")</f>
        <v/>
      </c>
      <c r="K66" s="50">
        <f>IFERROR(INDEX('الإجازات'!$L$3:$L$502,60),"")</f>
        <v/>
      </c>
      <c r="L66" s="50">
        <f>IFERROR(INDEX('الإجازات'!$M$3:$M$502,60),"")</f>
        <v/>
      </c>
    </row>
    <row r="67">
      <c r="A67" s="43">
        <f>IFERROR(INDEX('الإجازات'!$A$3:$A$502,61),"")</f>
        <v/>
      </c>
      <c r="B67" s="43">
        <f>IFERROR(INDEX('الإجازات'!$B$3:$B$502,61),"")</f>
        <v/>
      </c>
      <c r="C67" s="43">
        <f>IFERROR(INDEX('الإجازات'!$C$3:$C$502,61),"")</f>
        <v/>
      </c>
      <c r="D67" s="43">
        <f>IFERROR(INDEX('الإجازات'!$D$3:$D$502,61),"")</f>
        <v/>
      </c>
      <c r="E67" s="118">
        <f>IFERROR(INDEX('الإجازات'!$F$3:$F$502,61),"")</f>
        <v/>
      </c>
      <c r="F67" s="118">
        <f>IFERROR(INDEX('الإجازات'!$G$3:$G$502,61),"")</f>
        <v/>
      </c>
      <c r="G67" s="44">
        <f>IFERROR(INDEX('الإجازات'!$H$3:$H$502,61),"")</f>
        <v/>
      </c>
      <c r="H67" s="44">
        <f>IFERROR(INDEX('الإجازات'!$I$3:$I$502,61),"")</f>
        <v/>
      </c>
      <c r="I67" s="44">
        <f>IFERROR(INDEX('الإجازات'!$J$3:$J$502,61),"")</f>
        <v/>
      </c>
      <c r="J67" s="44">
        <f>IFERROR(INDEX('الإجازات'!$K$3:$K$502,61),"")</f>
        <v/>
      </c>
      <c r="K67" s="43">
        <f>IFERROR(INDEX('الإجازات'!$L$3:$L$502,61),"")</f>
        <v/>
      </c>
      <c r="L67" s="43">
        <f>IFERROR(INDEX('الإجازات'!$M$3:$M$502,61),"")</f>
        <v/>
      </c>
    </row>
    <row r="68">
      <c r="A68" s="50">
        <f>IFERROR(INDEX('الإجازات'!$A$3:$A$502,62),"")</f>
        <v/>
      </c>
      <c r="B68" s="50">
        <f>IFERROR(INDEX('الإجازات'!$B$3:$B$502,62),"")</f>
        <v/>
      </c>
      <c r="C68" s="50">
        <f>IFERROR(INDEX('الإجازات'!$C$3:$C$502,62),"")</f>
        <v/>
      </c>
      <c r="D68" s="50">
        <f>IFERROR(INDEX('الإجازات'!$D$3:$D$502,62),"")</f>
        <v/>
      </c>
      <c r="E68" s="119">
        <f>IFERROR(INDEX('الإجازات'!$F$3:$F$502,62),"")</f>
        <v/>
      </c>
      <c r="F68" s="119">
        <f>IFERROR(INDEX('الإجازات'!$G$3:$G$502,62),"")</f>
        <v/>
      </c>
      <c r="G68" s="51">
        <f>IFERROR(INDEX('الإجازات'!$H$3:$H$502,62),"")</f>
        <v/>
      </c>
      <c r="H68" s="51">
        <f>IFERROR(INDEX('الإجازات'!$I$3:$I$502,62),"")</f>
        <v/>
      </c>
      <c r="I68" s="51">
        <f>IFERROR(INDEX('الإجازات'!$J$3:$J$502,62),"")</f>
        <v/>
      </c>
      <c r="J68" s="51">
        <f>IFERROR(INDEX('الإجازات'!$K$3:$K$502,62),"")</f>
        <v/>
      </c>
      <c r="K68" s="50">
        <f>IFERROR(INDEX('الإجازات'!$L$3:$L$502,62),"")</f>
        <v/>
      </c>
      <c r="L68" s="50">
        <f>IFERROR(INDEX('الإجازات'!$M$3:$M$502,62),"")</f>
        <v/>
      </c>
    </row>
    <row r="69">
      <c r="A69" s="43">
        <f>IFERROR(INDEX('الإجازات'!$A$3:$A$502,63),"")</f>
        <v/>
      </c>
      <c r="B69" s="43">
        <f>IFERROR(INDEX('الإجازات'!$B$3:$B$502,63),"")</f>
        <v/>
      </c>
      <c r="C69" s="43">
        <f>IFERROR(INDEX('الإجازات'!$C$3:$C$502,63),"")</f>
        <v/>
      </c>
      <c r="D69" s="43">
        <f>IFERROR(INDEX('الإجازات'!$D$3:$D$502,63),"")</f>
        <v/>
      </c>
      <c r="E69" s="118">
        <f>IFERROR(INDEX('الإجازات'!$F$3:$F$502,63),"")</f>
        <v/>
      </c>
      <c r="F69" s="118">
        <f>IFERROR(INDEX('الإجازات'!$G$3:$G$502,63),"")</f>
        <v/>
      </c>
      <c r="G69" s="44">
        <f>IFERROR(INDEX('الإجازات'!$H$3:$H$502,63),"")</f>
        <v/>
      </c>
      <c r="H69" s="44">
        <f>IFERROR(INDEX('الإجازات'!$I$3:$I$502,63),"")</f>
        <v/>
      </c>
      <c r="I69" s="44">
        <f>IFERROR(INDEX('الإجازات'!$J$3:$J$502,63),"")</f>
        <v/>
      </c>
      <c r="J69" s="44">
        <f>IFERROR(INDEX('الإجازات'!$K$3:$K$502,63),"")</f>
        <v/>
      </c>
      <c r="K69" s="43">
        <f>IFERROR(INDEX('الإجازات'!$L$3:$L$502,63),"")</f>
        <v/>
      </c>
      <c r="L69" s="43">
        <f>IFERROR(INDEX('الإجازات'!$M$3:$M$502,63),"")</f>
        <v/>
      </c>
    </row>
    <row r="70">
      <c r="A70" s="50">
        <f>IFERROR(INDEX('الإجازات'!$A$3:$A$502,64),"")</f>
        <v/>
      </c>
      <c r="B70" s="50">
        <f>IFERROR(INDEX('الإجازات'!$B$3:$B$502,64),"")</f>
        <v/>
      </c>
      <c r="C70" s="50">
        <f>IFERROR(INDEX('الإجازات'!$C$3:$C$502,64),"")</f>
        <v/>
      </c>
      <c r="D70" s="50">
        <f>IFERROR(INDEX('الإجازات'!$D$3:$D$502,64),"")</f>
        <v/>
      </c>
      <c r="E70" s="119">
        <f>IFERROR(INDEX('الإجازات'!$F$3:$F$502,64),"")</f>
        <v/>
      </c>
      <c r="F70" s="119">
        <f>IFERROR(INDEX('الإجازات'!$G$3:$G$502,64),"")</f>
        <v/>
      </c>
      <c r="G70" s="51">
        <f>IFERROR(INDEX('الإجازات'!$H$3:$H$502,64),"")</f>
        <v/>
      </c>
      <c r="H70" s="51">
        <f>IFERROR(INDEX('الإجازات'!$I$3:$I$502,64),"")</f>
        <v/>
      </c>
      <c r="I70" s="51">
        <f>IFERROR(INDEX('الإجازات'!$J$3:$J$502,64),"")</f>
        <v/>
      </c>
      <c r="J70" s="51">
        <f>IFERROR(INDEX('الإجازات'!$K$3:$K$502,64),"")</f>
        <v/>
      </c>
      <c r="K70" s="50">
        <f>IFERROR(INDEX('الإجازات'!$L$3:$L$502,64),"")</f>
        <v/>
      </c>
      <c r="L70" s="50">
        <f>IFERROR(INDEX('الإجازات'!$M$3:$M$502,64),"")</f>
        <v/>
      </c>
    </row>
    <row r="71">
      <c r="A71" s="43">
        <f>IFERROR(INDEX('الإجازات'!$A$3:$A$502,65),"")</f>
        <v/>
      </c>
      <c r="B71" s="43">
        <f>IFERROR(INDEX('الإجازات'!$B$3:$B$502,65),"")</f>
        <v/>
      </c>
      <c r="C71" s="43">
        <f>IFERROR(INDEX('الإجازات'!$C$3:$C$502,65),"")</f>
        <v/>
      </c>
      <c r="D71" s="43">
        <f>IFERROR(INDEX('الإجازات'!$D$3:$D$502,65),"")</f>
        <v/>
      </c>
      <c r="E71" s="118">
        <f>IFERROR(INDEX('الإجازات'!$F$3:$F$502,65),"")</f>
        <v/>
      </c>
      <c r="F71" s="118">
        <f>IFERROR(INDEX('الإجازات'!$G$3:$G$502,65),"")</f>
        <v/>
      </c>
      <c r="G71" s="44">
        <f>IFERROR(INDEX('الإجازات'!$H$3:$H$502,65),"")</f>
        <v/>
      </c>
      <c r="H71" s="44">
        <f>IFERROR(INDEX('الإجازات'!$I$3:$I$502,65),"")</f>
        <v/>
      </c>
      <c r="I71" s="44">
        <f>IFERROR(INDEX('الإجازات'!$J$3:$J$502,65),"")</f>
        <v/>
      </c>
      <c r="J71" s="44">
        <f>IFERROR(INDEX('الإجازات'!$K$3:$K$502,65),"")</f>
        <v/>
      </c>
      <c r="K71" s="43">
        <f>IFERROR(INDEX('الإجازات'!$L$3:$L$502,65),"")</f>
        <v/>
      </c>
      <c r="L71" s="43">
        <f>IFERROR(INDEX('الإجازات'!$M$3:$M$502,65),"")</f>
        <v/>
      </c>
    </row>
    <row r="72">
      <c r="A72" s="50">
        <f>IFERROR(INDEX('الإجازات'!$A$3:$A$502,66),"")</f>
        <v/>
      </c>
      <c r="B72" s="50">
        <f>IFERROR(INDEX('الإجازات'!$B$3:$B$502,66),"")</f>
        <v/>
      </c>
      <c r="C72" s="50">
        <f>IFERROR(INDEX('الإجازات'!$C$3:$C$502,66),"")</f>
        <v/>
      </c>
      <c r="D72" s="50">
        <f>IFERROR(INDEX('الإجازات'!$D$3:$D$502,66),"")</f>
        <v/>
      </c>
      <c r="E72" s="119">
        <f>IFERROR(INDEX('الإجازات'!$F$3:$F$502,66),"")</f>
        <v/>
      </c>
      <c r="F72" s="119">
        <f>IFERROR(INDEX('الإجازات'!$G$3:$G$502,66),"")</f>
        <v/>
      </c>
      <c r="G72" s="51">
        <f>IFERROR(INDEX('الإجازات'!$H$3:$H$502,66),"")</f>
        <v/>
      </c>
      <c r="H72" s="51">
        <f>IFERROR(INDEX('الإجازات'!$I$3:$I$502,66),"")</f>
        <v/>
      </c>
      <c r="I72" s="51">
        <f>IFERROR(INDEX('الإجازات'!$J$3:$J$502,66),"")</f>
        <v/>
      </c>
      <c r="J72" s="51">
        <f>IFERROR(INDEX('الإجازات'!$K$3:$K$502,66),"")</f>
        <v/>
      </c>
      <c r="K72" s="50">
        <f>IFERROR(INDEX('الإجازات'!$L$3:$L$502,66),"")</f>
        <v/>
      </c>
      <c r="L72" s="50">
        <f>IFERROR(INDEX('الإجازات'!$M$3:$M$502,66),"")</f>
        <v/>
      </c>
    </row>
    <row r="73">
      <c r="A73" s="43">
        <f>IFERROR(INDEX('الإجازات'!$A$3:$A$502,67),"")</f>
        <v/>
      </c>
      <c r="B73" s="43">
        <f>IFERROR(INDEX('الإجازات'!$B$3:$B$502,67),"")</f>
        <v/>
      </c>
      <c r="C73" s="43">
        <f>IFERROR(INDEX('الإجازات'!$C$3:$C$502,67),"")</f>
        <v/>
      </c>
      <c r="D73" s="43">
        <f>IFERROR(INDEX('الإجازات'!$D$3:$D$502,67),"")</f>
        <v/>
      </c>
      <c r="E73" s="118">
        <f>IFERROR(INDEX('الإجازات'!$F$3:$F$502,67),"")</f>
        <v/>
      </c>
      <c r="F73" s="118">
        <f>IFERROR(INDEX('الإجازات'!$G$3:$G$502,67),"")</f>
        <v/>
      </c>
      <c r="G73" s="44">
        <f>IFERROR(INDEX('الإجازات'!$H$3:$H$502,67),"")</f>
        <v/>
      </c>
      <c r="H73" s="44">
        <f>IFERROR(INDEX('الإجازات'!$I$3:$I$502,67),"")</f>
        <v/>
      </c>
      <c r="I73" s="44">
        <f>IFERROR(INDEX('الإجازات'!$J$3:$J$502,67),"")</f>
        <v/>
      </c>
      <c r="J73" s="44">
        <f>IFERROR(INDEX('الإجازات'!$K$3:$K$502,67),"")</f>
        <v/>
      </c>
      <c r="K73" s="43">
        <f>IFERROR(INDEX('الإجازات'!$L$3:$L$502,67),"")</f>
        <v/>
      </c>
      <c r="L73" s="43">
        <f>IFERROR(INDEX('الإجازات'!$M$3:$M$502,67),"")</f>
        <v/>
      </c>
    </row>
    <row r="74">
      <c r="A74" s="50">
        <f>IFERROR(INDEX('الإجازات'!$A$3:$A$502,68),"")</f>
        <v/>
      </c>
      <c r="B74" s="50">
        <f>IFERROR(INDEX('الإجازات'!$B$3:$B$502,68),"")</f>
        <v/>
      </c>
      <c r="C74" s="50">
        <f>IFERROR(INDEX('الإجازات'!$C$3:$C$502,68),"")</f>
        <v/>
      </c>
      <c r="D74" s="50">
        <f>IFERROR(INDEX('الإجازات'!$D$3:$D$502,68),"")</f>
        <v/>
      </c>
      <c r="E74" s="119">
        <f>IFERROR(INDEX('الإجازات'!$F$3:$F$502,68),"")</f>
        <v/>
      </c>
      <c r="F74" s="119">
        <f>IFERROR(INDEX('الإجازات'!$G$3:$G$502,68),"")</f>
        <v/>
      </c>
      <c r="G74" s="51">
        <f>IFERROR(INDEX('الإجازات'!$H$3:$H$502,68),"")</f>
        <v/>
      </c>
      <c r="H74" s="51">
        <f>IFERROR(INDEX('الإجازات'!$I$3:$I$502,68),"")</f>
        <v/>
      </c>
      <c r="I74" s="51">
        <f>IFERROR(INDEX('الإجازات'!$J$3:$J$502,68),"")</f>
        <v/>
      </c>
      <c r="J74" s="51">
        <f>IFERROR(INDEX('الإجازات'!$K$3:$K$502,68),"")</f>
        <v/>
      </c>
      <c r="K74" s="50">
        <f>IFERROR(INDEX('الإجازات'!$L$3:$L$502,68),"")</f>
        <v/>
      </c>
      <c r="L74" s="50">
        <f>IFERROR(INDEX('الإجازات'!$M$3:$M$502,68),"")</f>
        <v/>
      </c>
    </row>
    <row r="75">
      <c r="A75" s="43">
        <f>IFERROR(INDEX('الإجازات'!$A$3:$A$502,69),"")</f>
        <v/>
      </c>
      <c r="B75" s="43">
        <f>IFERROR(INDEX('الإجازات'!$B$3:$B$502,69),"")</f>
        <v/>
      </c>
      <c r="C75" s="43">
        <f>IFERROR(INDEX('الإجازات'!$C$3:$C$502,69),"")</f>
        <v/>
      </c>
      <c r="D75" s="43">
        <f>IFERROR(INDEX('الإجازات'!$D$3:$D$502,69),"")</f>
        <v/>
      </c>
      <c r="E75" s="118">
        <f>IFERROR(INDEX('الإجازات'!$F$3:$F$502,69),"")</f>
        <v/>
      </c>
      <c r="F75" s="118">
        <f>IFERROR(INDEX('الإجازات'!$G$3:$G$502,69),"")</f>
        <v/>
      </c>
      <c r="G75" s="44">
        <f>IFERROR(INDEX('الإجازات'!$H$3:$H$502,69),"")</f>
        <v/>
      </c>
      <c r="H75" s="44">
        <f>IFERROR(INDEX('الإجازات'!$I$3:$I$502,69),"")</f>
        <v/>
      </c>
      <c r="I75" s="44">
        <f>IFERROR(INDEX('الإجازات'!$J$3:$J$502,69),"")</f>
        <v/>
      </c>
      <c r="J75" s="44">
        <f>IFERROR(INDEX('الإجازات'!$K$3:$K$502,69),"")</f>
        <v/>
      </c>
      <c r="K75" s="43">
        <f>IFERROR(INDEX('الإجازات'!$L$3:$L$502,69),"")</f>
        <v/>
      </c>
      <c r="L75" s="43">
        <f>IFERROR(INDEX('الإجازات'!$M$3:$M$502,69),"")</f>
        <v/>
      </c>
    </row>
    <row r="76">
      <c r="A76" s="50">
        <f>IFERROR(INDEX('الإجازات'!$A$3:$A$502,70),"")</f>
        <v/>
      </c>
      <c r="B76" s="50">
        <f>IFERROR(INDEX('الإجازات'!$B$3:$B$502,70),"")</f>
        <v/>
      </c>
      <c r="C76" s="50">
        <f>IFERROR(INDEX('الإجازات'!$C$3:$C$502,70),"")</f>
        <v/>
      </c>
      <c r="D76" s="50">
        <f>IFERROR(INDEX('الإجازات'!$D$3:$D$502,70),"")</f>
        <v/>
      </c>
      <c r="E76" s="119">
        <f>IFERROR(INDEX('الإجازات'!$F$3:$F$502,70),"")</f>
        <v/>
      </c>
      <c r="F76" s="119">
        <f>IFERROR(INDEX('الإجازات'!$G$3:$G$502,70),"")</f>
        <v/>
      </c>
      <c r="G76" s="51">
        <f>IFERROR(INDEX('الإجازات'!$H$3:$H$502,70),"")</f>
        <v/>
      </c>
      <c r="H76" s="51">
        <f>IFERROR(INDEX('الإجازات'!$I$3:$I$502,70),"")</f>
        <v/>
      </c>
      <c r="I76" s="51">
        <f>IFERROR(INDEX('الإجازات'!$J$3:$J$502,70),"")</f>
        <v/>
      </c>
      <c r="J76" s="51">
        <f>IFERROR(INDEX('الإجازات'!$K$3:$K$502,70),"")</f>
        <v/>
      </c>
      <c r="K76" s="50">
        <f>IFERROR(INDEX('الإجازات'!$L$3:$L$502,70),"")</f>
        <v/>
      </c>
      <c r="L76" s="50">
        <f>IFERROR(INDEX('الإجازات'!$M$3:$M$502,70),"")</f>
        <v/>
      </c>
    </row>
    <row r="77">
      <c r="A77" s="43">
        <f>IFERROR(INDEX('الإجازات'!$A$3:$A$502,71),"")</f>
        <v/>
      </c>
      <c r="B77" s="43">
        <f>IFERROR(INDEX('الإجازات'!$B$3:$B$502,71),"")</f>
        <v/>
      </c>
      <c r="C77" s="43">
        <f>IFERROR(INDEX('الإجازات'!$C$3:$C$502,71),"")</f>
        <v/>
      </c>
      <c r="D77" s="43">
        <f>IFERROR(INDEX('الإجازات'!$D$3:$D$502,71),"")</f>
        <v/>
      </c>
      <c r="E77" s="118">
        <f>IFERROR(INDEX('الإجازات'!$F$3:$F$502,71),"")</f>
        <v/>
      </c>
      <c r="F77" s="118">
        <f>IFERROR(INDEX('الإجازات'!$G$3:$G$502,71),"")</f>
        <v/>
      </c>
      <c r="G77" s="44">
        <f>IFERROR(INDEX('الإجازات'!$H$3:$H$502,71),"")</f>
        <v/>
      </c>
      <c r="H77" s="44">
        <f>IFERROR(INDEX('الإجازات'!$I$3:$I$502,71),"")</f>
        <v/>
      </c>
      <c r="I77" s="44">
        <f>IFERROR(INDEX('الإجازات'!$J$3:$J$502,71),"")</f>
        <v/>
      </c>
      <c r="J77" s="44">
        <f>IFERROR(INDEX('الإجازات'!$K$3:$K$502,71),"")</f>
        <v/>
      </c>
      <c r="K77" s="43">
        <f>IFERROR(INDEX('الإجازات'!$L$3:$L$502,71),"")</f>
        <v/>
      </c>
      <c r="L77" s="43">
        <f>IFERROR(INDEX('الإجازات'!$M$3:$M$502,71),"")</f>
        <v/>
      </c>
    </row>
    <row r="78">
      <c r="A78" s="50">
        <f>IFERROR(INDEX('الإجازات'!$A$3:$A$502,72),"")</f>
        <v/>
      </c>
      <c r="B78" s="50">
        <f>IFERROR(INDEX('الإجازات'!$B$3:$B$502,72),"")</f>
        <v/>
      </c>
      <c r="C78" s="50">
        <f>IFERROR(INDEX('الإجازات'!$C$3:$C$502,72),"")</f>
        <v/>
      </c>
      <c r="D78" s="50">
        <f>IFERROR(INDEX('الإجازات'!$D$3:$D$502,72),"")</f>
        <v/>
      </c>
      <c r="E78" s="119">
        <f>IFERROR(INDEX('الإجازات'!$F$3:$F$502,72),"")</f>
        <v/>
      </c>
      <c r="F78" s="119">
        <f>IFERROR(INDEX('الإجازات'!$G$3:$G$502,72),"")</f>
        <v/>
      </c>
      <c r="G78" s="51">
        <f>IFERROR(INDEX('الإجازات'!$H$3:$H$502,72),"")</f>
        <v/>
      </c>
      <c r="H78" s="51">
        <f>IFERROR(INDEX('الإجازات'!$I$3:$I$502,72),"")</f>
        <v/>
      </c>
      <c r="I78" s="51">
        <f>IFERROR(INDEX('الإجازات'!$J$3:$J$502,72),"")</f>
        <v/>
      </c>
      <c r="J78" s="51">
        <f>IFERROR(INDEX('الإجازات'!$K$3:$K$502,72),"")</f>
        <v/>
      </c>
      <c r="K78" s="50">
        <f>IFERROR(INDEX('الإجازات'!$L$3:$L$502,72),"")</f>
        <v/>
      </c>
      <c r="L78" s="50">
        <f>IFERROR(INDEX('الإجازات'!$M$3:$M$502,72),"")</f>
        <v/>
      </c>
    </row>
    <row r="79">
      <c r="A79" s="43">
        <f>IFERROR(INDEX('الإجازات'!$A$3:$A$502,73),"")</f>
        <v/>
      </c>
      <c r="B79" s="43">
        <f>IFERROR(INDEX('الإجازات'!$B$3:$B$502,73),"")</f>
        <v/>
      </c>
      <c r="C79" s="43">
        <f>IFERROR(INDEX('الإجازات'!$C$3:$C$502,73),"")</f>
        <v/>
      </c>
      <c r="D79" s="43">
        <f>IFERROR(INDEX('الإجازات'!$D$3:$D$502,73),"")</f>
        <v/>
      </c>
      <c r="E79" s="118">
        <f>IFERROR(INDEX('الإجازات'!$F$3:$F$502,73),"")</f>
        <v/>
      </c>
      <c r="F79" s="118">
        <f>IFERROR(INDEX('الإجازات'!$G$3:$G$502,73),"")</f>
        <v/>
      </c>
      <c r="G79" s="44">
        <f>IFERROR(INDEX('الإجازات'!$H$3:$H$502,73),"")</f>
        <v/>
      </c>
      <c r="H79" s="44">
        <f>IFERROR(INDEX('الإجازات'!$I$3:$I$502,73),"")</f>
        <v/>
      </c>
      <c r="I79" s="44">
        <f>IFERROR(INDEX('الإجازات'!$J$3:$J$502,73),"")</f>
        <v/>
      </c>
      <c r="J79" s="44">
        <f>IFERROR(INDEX('الإجازات'!$K$3:$K$502,73),"")</f>
        <v/>
      </c>
      <c r="K79" s="43">
        <f>IFERROR(INDEX('الإجازات'!$L$3:$L$502,73),"")</f>
        <v/>
      </c>
      <c r="L79" s="43">
        <f>IFERROR(INDEX('الإجازات'!$M$3:$M$502,73),"")</f>
        <v/>
      </c>
    </row>
    <row r="80">
      <c r="A80" s="50">
        <f>IFERROR(INDEX('الإجازات'!$A$3:$A$502,74),"")</f>
        <v/>
      </c>
      <c r="B80" s="50">
        <f>IFERROR(INDEX('الإجازات'!$B$3:$B$502,74),"")</f>
        <v/>
      </c>
      <c r="C80" s="50">
        <f>IFERROR(INDEX('الإجازات'!$C$3:$C$502,74),"")</f>
        <v/>
      </c>
      <c r="D80" s="50">
        <f>IFERROR(INDEX('الإجازات'!$D$3:$D$502,74),"")</f>
        <v/>
      </c>
      <c r="E80" s="119">
        <f>IFERROR(INDEX('الإجازات'!$F$3:$F$502,74),"")</f>
        <v/>
      </c>
      <c r="F80" s="119">
        <f>IFERROR(INDEX('الإجازات'!$G$3:$G$502,74),"")</f>
        <v/>
      </c>
      <c r="G80" s="51">
        <f>IFERROR(INDEX('الإجازات'!$H$3:$H$502,74),"")</f>
        <v/>
      </c>
      <c r="H80" s="51">
        <f>IFERROR(INDEX('الإجازات'!$I$3:$I$502,74),"")</f>
        <v/>
      </c>
      <c r="I80" s="51">
        <f>IFERROR(INDEX('الإجازات'!$J$3:$J$502,74),"")</f>
        <v/>
      </c>
      <c r="J80" s="51">
        <f>IFERROR(INDEX('الإجازات'!$K$3:$K$502,74),"")</f>
        <v/>
      </c>
      <c r="K80" s="50">
        <f>IFERROR(INDEX('الإجازات'!$L$3:$L$502,74),"")</f>
        <v/>
      </c>
      <c r="L80" s="50">
        <f>IFERROR(INDEX('الإجازات'!$M$3:$M$502,74),"")</f>
        <v/>
      </c>
    </row>
    <row r="81">
      <c r="A81" s="43">
        <f>IFERROR(INDEX('الإجازات'!$A$3:$A$502,75),"")</f>
        <v/>
      </c>
      <c r="B81" s="43">
        <f>IFERROR(INDEX('الإجازات'!$B$3:$B$502,75),"")</f>
        <v/>
      </c>
      <c r="C81" s="43">
        <f>IFERROR(INDEX('الإجازات'!$C$3:$C$502,75),"")</f>
        <v/>
      </c>
      <c r="D81" s="43">
        <f>IFERROR(INDEX('الإجازات'!$D$3:$D$502,75),"")</f>
        <v/>
      </c>
      <c r="E81" s="118">
        <f>IFERROR(INDEX('الإجازات'!$F$3:$F$502,75),"")</f>
        <v/>
      </c>
      <c r="F81" s="118">
        <f>IFERROR(INDEX('الإجازات'!$G$3:$G$502,75),"")</f>
        <v/>
      </c>
      <c r="G81" s="44">
        <f>IFERROR(INDEX('الإجازات'!$H$3:$H$502,75),"")</f>
        <v/>
      </c>
      <c r="H81" s="44">
        <f>IFERROR(INDEX('الإجازات'!$I$3:$I$502,75),"")</f>
        <v/>
      </c>
      <c r="I81" s="44">
        <f>IFERROR(INDEX('الإجازات'!$J$3:$J$502,75),"")</f>
        <v/>
      </c>
      <c r="J81" s="44">
        <f>IFERROR(INDEX('الإجازات'!$K$3:$K$502,75),"")</f>
        <v/>
      </c>
      <c r="K81" s="43">
        <f>IFERROR(INDEX('الإجازات'!$L$3:$L$502,75),"")</f>
        <v/>
      </c>
      <c r="L81" s="43">
        <f>IFERROR(INDEX('الإجازات'!$M$3:$M$502,75),"")</f>
        <v/>
      </c>
    </row>
    <row r="82">
      <c r="A82" s="50">
        <f>IFERROR(INDEX('الإجازات'!$A$3:$A$502,76),"")</f>
        <v/>
      </c>
      <c r="B82" s="50">
        <f>IFERROR(INDEX('الإجازات'!$B$3:$B$502,76),"")</f>
        <v/>
      </c>
      <c r="C82" s="50">
        <f>IFERROR(INDEX('الإجازات'!$C$3:$C$502,76),"")</f>
        <v/>
      </c>
      <c r="D82" s="50">
        <f>IFERROR(INDEX('الإجازات'!$D$3:$D$502,76),"")</f>
        <v/>
      </c>
      <c r="E82" s="119">
        <f>IFERROR(INDEX('الإجازات'!$F$3:$F$502,76),"")</f>
        <v/>
      </c>
      <c r="F82" s="119">
        <f>IFERROR(INDEX('الإجازات'!$G$3:$G$502,76),"")</f>
        <v/>
      </c>
      <c r="G82" s="51">
        <f>IFERROR(INDEX('الإجازات'!$H$3:$H$502,76),"")</f>
        <v/>
      </c>
      <c r="H82" s="51">
        <f>IFERROR(INDEX('الإجازات'!$I$3:$I$502,76),"")</f>
        <v/>
      </c>
      <c r="I82" s="51">
        <f>IFERROR(INDEX('الإجازات'!$J$3:$J$502,76),"")</f>
        <v/>
      </c>
      <c r="J82" s="51">
        <f>IFERROR(INDEX('الإجازات'!$K$3:$K$502,76),"")</f>
        <v/>
      </c>
      <c r="K82" s="50">
        <f>IFERROR(INDEX('الإجازات'!$L$3:$L$502,76),"")</f>
        <v/>
      </c>
      <c r="L82" s="50">
        <f>IFERROR(INDEX('الإجازات'!$M$3:$M$502,76),"")</f>
        <v/>
      </c>
    </row>
    <row r="83">
      <c r="A83" s="43">
        <f>IFERROR(INDEX('الإجازات'!$A$3:$A$502,77),"")</f>
        <v/>
      </c>
      <c r="B83" s="43">
        <f>IFERROR(INDEX('الإجازات'!$B$3:$B$502,77),"")</f>
        <v/>
      </c>
      <c r="C83" s="43">
        <f>IFERROR(INDEX('الإجازات'!$C$3:$C$502,77),"")</f>
        <v/>
      </c>
      <c r="D83" s="43">
        <f>IFERROR(INDEX('الإجازات'!$D$3:$D$502,77),"")</f>
        <v/>
      </c>
      <c r="E83" s="118">
        <f>IFERROR(INDEX('الإجازات'!$F$3:$F$502,77),"")</f>
        <v/>
      </c>
      <c r="F83" s="118">
        <f>IFERROR(INDEX('الإجازات'!$G$3:$G$502,77),"")</f>
        <v/>
      </c>
      <c r="G83" s="44">
        <f>IFERROR(INDEX('الإجازات'!$H$3:$H$502,77),"")</f>
        <v/>
      </c>
      <c r="H83" s="44">
        <f>IFERROR(INDEX('الإجازات'!$I$3:$I$502,77),"")</f>
        <v/>
      </c>
      <c r="I83" s="44">
        <f>IFERROR(INDEX('الإجازات'!$J$3:$J$502,77),"")</f>
        <v/>
      </c>
      <c r="J83" s="44">
        <f>IFERROR(INDEX('الإجازات'!$K$3:$K$502,77),"")</f>
        <v/>
      </c>
      <c r="K83" s="43">
        <f>IFERROR(INDEX('الإجازات'!$L$3:$L$502,77),"")</f>
        <v/>
      </c>
      <c r="L83" s="43">
        <f>IFERROR(INDEX('الإجازات'!$M$3:$M$502,77),"")</f>
        <v/>
      </c>
    </row>
    <row r="84">
      <c r="A84" s="50">
        <f>IFERROR(INDEX('الإجازات'!$A$3:$A$502,78),"")</f>
        <v/>
      </c>
      <c r="B84" s="50">
        <f>IFERROR(INDEX('الإجازات'!$B$3:$B$502,78),"")</f>
        <v/>
      </c>
      <c r="C84" s="50">
        <f>IFERROR(INDEX('الإجازات'!$C$3:$C$502,78),"")</f>
        <v/>
      </c>
      <c r="D84" s="50">
        <f>IFERROR(INDEX('الإجازات'!$D$3:$D$502,78),"")</f>
        <v/>
      </c>
      <c r="E84" s="119">
        <f>IFERROR(INDEX('الإجازات'!$F$3:$F$502,78),"")</f>
        <v/>
      </c>
      <c r="F84" s="119">
        <f>IFERROR(INDEX('الإجازات'!$G$3:$G$502,78),"")</f>
        <v/>
      </c>
      <c r="G84" s="51">
        <f>IFERROR(INDEX('الإجازات'!$H$3:$H$502,78),"")</f>
        <v/>
      </c>
      <c r="H84" s="51">
        <f>IFERROR(INDEX('الإجازات'!$I$3:$I$502,78),"")</f>
        <v/>
      </c>
      <c r="I84" s="51">
        <f>IFERROR(INDEX('الإجازات'!$J$3:$J$502,78),"")</f>
        <v/>
      </c>
      <c r="J84" s="51">
        <f>IFERROR(INDEX('الإجازات'!$K$3:$K$502,78),"")</f>
        <v/>
      </c>
      <c r="K84" s="50">
        <f>IFERROR(INDEX('الإجازات'!$L$3:$L$502,78),"")</f>
        <v/>
      </c>
      <c r="L84" s="50">
        <f>IFERROR(INDEX('الإجازات'!$M$3:$M$502,78),"")</f>
        <v/>
      </c>
    </row>
    <row r="85">
      <c r="A85" s="43">
        <f>IFERROR(INDEX('الإجازات'!$A$3:$A$502,79),"")</f>
        <v/>
      </c>
      <c r="B85" s="43">
        <f>IFERROR(INDEX('الإجازات'!$B$3:$B$502,79),"")</f>
        <v/>
      </c>
      <c r="C85" s="43">
        <f>IFERROR(INDEX('الإجازات'!$C$3:$C$502,79),"")</f>
        <v/>
      </c>
      <c r="D85" s="43">
        <f>IFERROR(INDEX('الإجازات'!$D$3:$D$502,79),"")</f>
        <v/>
      </c>
      <c r="E85" s="118">
        <f>IFERROR(INDEX('الإجازات'!$F$3:$F$502,79),"")</f>
        <v/>
      </c>
      <c r="F85" s="118">
        <f>IFERROR(INDEX('الإجازات'!$G$3:$G$502,79),"")</f>
        <v/>
      </c>
      <c r="G85" s="44">
        <f>IFERROR(INDEX('الإجازات'!$H$3:$H$502,79),"")</f>
        <v/>
      </c>
      <c r="H85" s="44">
        <f>IFERROR(INDEX('الإجازات'!$I$3:$I$502,79),"")</f>
        <v/>
      </c>
      <c r="I85" s="44">
        <f>IFERROR(INDEX('الإجازات'!$J$3:$J$502,79),"")</f>
        <v/>
      </c>
      <c r="J85" s="44">
        <f>IFERROR(INDEX('الإجازات'!$K$3:$K$502,79),"")</f>
        <v/>
      </c>
      <c r="K85" s="43">
        <f>IFERROR(INDEX('الإجازات'!$L$3:$L$502,79),"")</f>
        <v/>
      </c>
      <c r="L85" s="43">
        <f>IFERROR(INDEX('الإجازات'!$M$3:$M$502,79),"")</f>
        <v/>
      </c>
    </row>
    <row r="86">
      <c r="A86" s="50">
        <f>IFERROR(INDEX('الإجازات'!$A$3:$A$502,80),"")</f>
        <v/>
      </c>
      <c r="B86" s="50">
        <f>IFERROR(INDEX('الإجازات'!$B$3:$B$502,80),"")</f>
        <v/>
      </c>
      <c r="C86" s="50">
        <f>IFERROR(INDEX('الإجازات'!$C$3:$C$502,80),"")</f>
        <v/>
      </c>
      <c r="D86" s="50">
        <f>IFERROR(INDEX('الإجازات'!$D$3:$D$502,80),"")</f>
        <v/>
      </c>
      <c r="E86" s="119">
        <f>IFERROR(INDEX('الإجازات'!$F$3:$F$502,80),"")</f>
        <v/>
      </c>
      <c r="F86" s="119">
        <f>IFERROR(INDEX('الإجازات'!$G$3:$G$502,80),"")</f>
        <v/>
      </c>
      <c r="G86" s="51">
        <f>IFERROR(INDEX('الإجازات'!$H$3:$H$502,80),"")</f>
        <v/>
      </c>
      <c r="H86" s="51">
        <f>IFERROR(INDEX('الإجازات'!$I$3:$I$502,80),"")</f>
        <v/>
      </c>
      <c r="I86" s="51">
        <f>IFERROR(INDEX('الإجازات'!$J$3:$J$502,80),"")</f>
        <v/>
      </c>
      <c r="J86" s="51">
        <f>IFERROR(INDEX('الإجازات'!$K$3:$K$502,80),"")</f>
        <v/>
      </c>
      <c r="K86" s="50">
        <f>IFERROR(INDEX('الإجازات'!$L$3:$L$502,80),"")</f>
        <v/>
      </c>
      <c r="L86" s="50">
        <f>IFERROR(INDEX('الإجازات'!$M$3:$M$502,80),"")</f>
        <v/>
      </c>
    </row>
    <row r="87">
      <c r="A87" s="43">
        <f>IFERROR(INDEX('الإجازات'!$A$3:$A$502,81),"")</f>
        <v/>
      </c>
      <c r="B87" s="43">
        <f>IFERROR(INDEX('الإجازات'!$B$3:$B$502,81),"")</f>
        <v/>
      </c>
      <c r="C87" s="43">
        <f>IFERROR(INDEX('الإجازات'!$C$3:$C$502,81),"")</f>
        <v/>
      </c>
      <c r="D87" s="43">
        <f>IFERROR(INDEX('الإجازات'!$D$3:$D$502,81),"")</f>
        <v/>
      </c>
      <c r="E87" s="118">
        <f>IFERROR(INDEX('الإجازات'!$F$3:$F$502,81),"")</f>
        <v/>
      </c>
      <c r="F87" s="118">
        <f>IFERROR(INDEX('الإجازات'!$G$3:$G$502,81),"")</f>
        <v/>
      </c>
      <c r="G87" s="44">
        <f>IFERROR(INDEX('الإجازات'!$H$3:$H$502,81),"")</f>
        <v/>
      </c>
      <c r="H87" s="44">
        <f>IFERROR(INDEX('الإجازات'!$I$3:$I$502,81),"")</f>
        <v/>
      </c>
      <c r="I87" s="44">
        <f>IFERROR(INDEX('الإجازات'!$J$3:$J$502,81),"")</f>
        <v/>
      </c>
      <c r="J87" s="44">
        <f>IFERROR(INDEX('الإجازات'!$K$3:$K$502,81),"")</f>
        <v/>
      </c>
      <c r="K87" s="43">
        <f>IFERROR(INDEX('الإجازات'!$L$3:$L$502,81),"")</f>
        <v/>
      </c>
      <c r="L87" s="43">
        <f>IFERROR(INDEX('الإجازات'!$M$3:$M$502,81),"")</f>
        <v/>
      </c>
    </row>
    <row r="88">
      <c r="A88" s="50">
        <f>IFERROR(INDEX('الإجازات'!$A$3:$A$502,82),"")</f>
        <v/>
      </c>
      <c r="B88" s="50">
        <f>IFERROR(INDEX('الإجازات'!$B$3:$B$502,82),"")</f>
        <v/>
      </c>
      <c r="C88" s="50">
        <f>IFERROR(INDEX('الإجازات'!$C$3:$C$502,82),"")</f>
        <v/>
      </c>
      <c r="D88" s="50">
        <f>IFERROR(INDEX('الإجازات'!$D$3:$D$502,82),"")</f>
        <v/>
      </c>
      <c r="E88" s="119">
        <f>IFERROR(INDEX('الإجازات'!$F$3:$F$502,82),"")</f>
        <v/>
      </c>
      <c r="F88" s="119">
        <f>IFERROR(INDEX('الإجازات'!$G$3:$G$502,82),"")</f>
        <v/>
      </c>
      <c r="G88" s="51">
        <f>IFERROR(INDEX('الإجازات'!$H$3:$H$502,82),"")</f>
        <v/>
      </c>
      <c r="H88" s="51">
        <f>IFERROR(INDEX('الإجازات'!$I$3:$I$502,82),"")</f>
        <v/>
      </c>
      <c r="I88" s="51">
        <f>IFERROR(INDEX('الإجازات'!$J$3:$J$502,82),"")</f>
        <v/>
      </c>
      <c r="J88" s="51">
        <f>IFERROR(INDEX('الإجازات'!$K$3:$K$502,82),"")</f>
        <v/>
      </c>
      <c r="K88" s="50">
        <f>IFERROR(INDEX('الإجازات'!$L$3:$L$502,82),"")</f>
        <v/>
      </c>
      <c r="L88" s="50">
        <f>IFERROR(INDEX('الإجازات'!$M$3:$M$502,82),"")</f>
        <v/>
      </c>
    </row>
    <row r="89">
      <c r="A89" s="43">
        <f>IFERROR(INDEX('الإجازات'!$A$3:$A$502,83),"")</f>
        <v/>
      </c>
      <c r="B89" s="43">
        <f>IFERROR(INDEX('الإجازات'!$B$3:$B$502,83),"")</f>
        <v/>
      </c>
      <c r="C89" s="43">
        <f>IFERROR(INDEX('الإجازات'!$C$3:$C$502,83),"")</f>
        <v/>
      </c>
      <c r="D89" s="43">
        <f>IFERROR(INDEX('الإجازات'!$D$3:$D$502,83),"")</f>
        <v/>
      </c>
      <c r="E89" s="118">
        <f>IFERROR(INDEX('الإجازات'!$F$3:$F$502,83),"")</f>
        <v/>
      </c>
      <c r="F89" s="118">
        <f>IFERROR(INDEX('الإجازات'!$G$3:$G$502,83),"")</f>
        <v/>
      </c>
      <c r="G89" s="44">
        <f>IFERROR(INDEX('الإجازات'!$H$3:$H$502,83),"")</f>
        <v/>
      </c>
      <c r="H89" s="44">
        <f>IFERROR(INDEX('الإجازات'!$I$3:$I$502,83),"")</f>
        <v/>
      </c>
      <c r="I89" s="44">
        <f>IFERROR(INDEX('الإجازات'!$J$3:$J$502,83),"")</f>
        <v/>
      </c>
      <c r="J89" s="44">
        <f>IFERROR(INDEX('الإجازات'!$K$3:$K$502,83),"")</f>
        <v/>
      </c>
      <c r="K89" s="43">
        <f>IFERROR(INDEX('الإجازات'!$L$3:$L$502,83),"")</f>
        <v/>
      </c>
      <c r="L89" s="43">
        <f>IFERROR(INDEX('الإجازات'!$M$3:$M$502,83),"")</f>
        <v/>
      </c>
    </row>
    <row r="90">
      <c r="A90" s="50">
        <f>IFERROR(INDEX('الإجازات'!$A$3:$A$502,84),"")</f>
        <v/>
      </c>
      <c r="B90" s="50">
        <f>IFERROR(INDEX('الإجازات'!$B$3:$B$502,84),"")</f>
        <v/>
      </c>
      <c r="C90" s="50">
        <f>IFERROR(INDEX('الإجازات'!$C$3:$C$502,84),"")</f>
        <v/>
      </c>
      <c r="D90" s="50">
        <f>IFERROR(INDEX('الإجازات'!$D$3:$D$502,84),"")</f>
        <v/>
      </c>
      <c r="E90" s="119">
        <f>IFERROR(INDEX('الإجازات'!$F$3:$F$502,84),"")</f>
        <v/>
      </c>
      <c r="F90" s="119">
        <f>IFERROR(INDEX('الإجازات'!$G$3:$G$502,84),"")</f>
        <v/>
      </c>
      <c r="G90" s="51">
        <f>IFERROR(INDEX('الإجازات'!$H$3:$H$502,84),"")</f>
        <v/>
      </c>
      <c r="H90" s="51">
        <f>IFERROR(INDEX('الإجازات'!$I$3:$I$502,84),"")</f>
        <v/>
      </c>
      <c r="I90" s="51">
        <f>IFERROR(INDEX('الإجازات'!$J$3:$J$502,84),"")</f>
        <v/>
      </c>
      <c r="J90" s="51">
        <f>IFERROR(INDEX('الإجازات'!$K$3:$K$502,84),"")</f>
        <v/>
      </c>
      <c r="K90" s="50">
        <f>IFERROR(INDEX('الإجازات'!$L$3:$L$502,84),"")</f>
        <v/>
      </c>
      <c r="L90" s="50">
        <f>IFERROR(INDEX('الإجازات'!$M$3:$M$502,84),"")</f>
        <v/>
      </c>
    </row>
    <row r="91">
      <c r="A91" s="43">
        <f>IFERROR(INDEX('الإجازات'!$A$3:$A$502,85),"")</f>
        <v/>
      </c>
      <c r="B91" s="43">
        <f>IFERROR(INDEX('الإجازات'!$B$3:$B$502,85),"")</f>
        <v/>
      </c>
      <c r="C91" s="43">
        <f>IFERROR(INDEX('الإجازات'!$C$3:$C$502,85),"")</f>
        <v/>
      </c>
      <c r="D91" s="43">
        <f>IFERROR(INDEX('الإجازات'!$D$3:$D$502,85),"")</f>
        <v/>
      </c>
      <c r="E91" s="118">
        <f>IFERROR(INDEX('الإجازات'!$F$3:$F$502,85),"")</f>
        <v/>
      </c>
      <c r="F91" s="118">
        <f>IFERROR(INDEX('الإجازات'!$G$3:$G$502,85),"")</f>
        <v/>
      </c>
      <c r="G91" s="44">
        <f>IFERROR(INDEX('الإجازات'!$H$3:$H$502,85),"")</f>
        <v/>
      </c>
      <c r="H91" s="44">
        <f>IFERROR(INDEX('الإجازات'!$I$3:$I$502,85),"")</f>
        <v/>
      </c>
      <c r="I91" s="44">
        <f>IFERROR(INDEX('الإجازات'!$J$3:$J$502,85),"")</f>
        <v/>
      </c>
      <c r="J91" s="44">
        <f>IFERROR(INDEX('الإجازات'!$K$3:$K$502,85),"")</f>
        <v/>
      </c>
      <c r="K91" s="43">
        <f>IFERROR(INDEX('الإجازات'!$L$3:$L$502,85),"")</f>
        <v/>
      </c>
      <c r="L91" s="43">
        <f>IFERROR(INDEX('الإجازات'!$M$3:$M$502,85),"")</f>
        <v/>
      </c>
    </row>
    <row r="92">
      <c r="A92" s="50">
        <f>IFERROR(INDEX('الإجازات'!$A$3:$A$502,86),"")</f>
        <v/>
      </c>
      <c r="B92" s="50">
        <f>IFERROR(INDEX('الإجازات'!$B$3:$B$502,86),"")</f>
        <v/>
      </c>
      <c r="C92" s="50">
        <f>IFERROR(INDEX('الإجازات'!$C$3:$C$502,86),"")</f>
        <v/>
      </c>
      <c r="D92" s="50">
        <f>IFERROR(INDEX('الإجازات'!$D$3:$D$502,86),"")</f>
        <v/>
      </c>
      <c r="E92" s="119">
        <f>IFERROR(INDEX('الإجازات'!$F$3:$F$502,86),"")</f>
        <v/>
      </c>
      <c r="F92" s="119">
        <f>IFERROR(INDEX('الإجازات'!$G$3:$G$502,86),"")</f>
        <v/>
      </c>
      <c r="G92" s="51">
        <f>IFERROR(INDEX('الإجازات'!$H$3:$H$502,86),"")</f>
        <v/>
      </c>
      <c r="H92" s="51">
        <f>IFERROR(INDEX('الإجازات'!$I$3:$I$502,86),"")</f>
        <v/>
      </c>
      <c r="I92" s="51">
        <f>IFERROR(INDEX('الإجازات'!$J$3:$J$502,86),"")</f>
        <v/>
      </c>
      <c r="J92" s="51">
        <f>IFERROR(INDEX('الإجازات'!$K$3:$K$502,86),"")</f>
        <v/>
      </c>
      <c r="K92" s="50">
        <f>IFERROR(INDEX('الإجازات'!$L$3:$L$502,86),"")</f>
        <v/>
      </c>
      <c r="L92" s="50">
        <f>IFERROR(INDEX('الإجازات'!$M$3:$M$502,86),"")</f>
        <v/>
      </c>
    </row>
    <row r="93">
      <c r="A93" s="43">
        <f>IFERROR(INDEX('الإجازات'!$A$3:$A$502,87),"")</f>
        <v/>
      </c>
      <c r="B93" s="43">
        <f>IFERROR(INDEX('الإجازات'!$B$3:$B$502,87),"")</f>
        <v/>
      </c>
      <c r="C93" s="43">
        <f>IFERROR(INDEX('الإجازات'!$C$3:$C$502,87),"")</f>
        <v/>
      </c>
      <c r="D93" s="43">
        <f>IFERROR(INDEX('الإجازات'!$D$3:$D$502,87),"")</f>
        <v/>
      </c>
      <c r="E93" s="118">
        <f>IFERROR(INDEX('الإجازات'!$F$3:$F$502,87),"")</f>
        <v/>
      </c>
      <c r="F93" s="118">
        <f>IFERROR(INDEX('الإجازات'!$G$3:$G$502,87),"")</f>
        <v/>
      </c>
      <c r="G93" s="44">
        <f>IFERROR(INDEX('الإجازات'!$H$3:$H$502,87),"")</f>
        <v/>
      </c>
      <c r="H93" s="44">
        <f>IFERROR(INDEX('الإجازات'!$I$3:$I$502,87),"")</f>
        <v/>
      </c>
      <c r="I93" s="44">
        <f>IFERROR(INDEX('الإجازات'!$J$3:$J$502,87),"")</f>
        <v/>
      </c>
      <c r="J93" s="44">
        <f>IFERROR(INDEX('الإجازات'!$K$3:$K$502,87),"")</f>
        <v/>
      </c>
      <c r="K93" s="43">
        <f>IFERROR(INDEX('الإجازات'!$L$3:$L$502,87),"")</f>
        <v/>
      </c>
      <c r="L93" s="43">
        <f>IFERROR(INDEX('الإجازات'!$M$3:$M$502,87),"")</f>
        <v/>
      </c>
    </row>
    <row r="94">
      <c r="A94" s="50">
        <f>IFERROR(INDEX('الإجازات'!$A$3:$A$502,88),"")</f>
        <v/>
      </c>
      <c r="B94" s="50">
        <f>IFERROR(INDEX('الإجازات'!$B$3:$B$502,88),"")</f>
        <v/>
      </c>
      <c r="C94" s="50">
        <f>IFERROR(INDEX('الإجازات'!$C$3:$C$502,88),"")</f>
        <v/>
      </c>
      <c r="D94" s="50">
        <f>IFERROR(INDEX('الإجازات'!$D$3:$D$502,88),"")</f>
        <v/>
      </c>
      <c r="E94" s="119">
        <f>IFERROR(INDEX('الإجازات'!$F$3:$F$502,88),"")</f>
        <v/>
      </c>
      <c r="F94" s="119">
        <f>IFERROR(INDEX('الإجازات'!$G$3:$G$502,88),"")</f>
        <v/>
      </c>
      <c r="G94" s="51">
        <f>IFERROR(INDEX('الإجازات'!$H$3:$H$502,88),"")</f>
        <v/>
      </c>
      <c r="H94" s="51">
        <f>IFERROR(INDEX('الإجازات'!$I$3:$I$502,88),"")</f>
        <v/>
      </c>
      <c r="I94" s="51">
        <f>IFERROR(INDEX('الإجازات'!$J$3:$J$502,88),"")</f>
        <v/>
      </c>
      <c r="J94" s="51">
        <f>IFERROR(INDEX('الإجازات'!$K$3:$K$502,88),"")</f>
        <v/>
      </c>
      <c r="K94" s="50">
        <f>IFERROR(INDEX('الإجازات'!$L$3:$L$502,88),"")</f>
        <v/>
      </c>
      <c r="L94" s="50">
        <f>IFERROR(INDEX('الإجازات'!$M$3:$M$502,88),"")</f>
        <v/>
      </c>
    </row>
    <row r="95">
      <c r="A95" s="43">
        <f>IFERROR(INDEX('الإجازات'!$A$3:$A$502,89),"")</f>
        <v/>
      </c>
      <c r="B95" s="43">
        <f>IFERROR(INDEX('الإجازات'!$B$3:$B$502,89),"")</f>
        <v/>
      </c>
      <c r="C95" s="43">
        <f>IFERROR(INDEX('الإجازات'!$C$3:$C$502,89),"")</f>
        <v/>
      </c>
      <c r="D95" s="43">
        <f>IFERROR(INDEX('الإجازات'!$D$3:$D$502,89),"")</f>
        <v/>
      </c>
      <c r="E95" s="118">
        <f>IFERROR(INDEX('الإجازات'!$F$3:$F$502,89),"")</f>
        <v/>
      </c>
      <c r="F95" s="118">
        <f>IFERROR(INDEX('الإجازات'!$G$3:$G$502,89),"")</f>
        <v/>
      </c>
      <c r="G95" s="44">
        <f>IFERROR(INDEX('الإجازات'!$H$3:$H$502,89),"")</f>
        <v/>
      </c>
      <c r="H95" s="44">
        <f>IFERROR(INDEX('الإجازات'!$I$3:$I$502,89),"")</f>
        <v/>
      </c>
      <c r="I95" s="44">
        <f>IFERROR(INDEX('الإجازات'!$J$3:$J$502,89),"")</f>
        <v/>
      </c>
      <c r="J95" s="44">
        <f>IFERROR(INDEX('الإجازات'!$K$3:$K$502,89),"")</f>
        <v/>
      </c>
      <c r="K95" s="43">
        <f>IFERROR(INDEX('الإجازات'!$L$3:$L$502,89),"")</f>
        <v/>
      </c>
      <c r="L95" s="43">
        <f>IFERROR(INDEX('الإجازات'!$M$3:$M$502,89),"")</f>
        <v/>
      </c>
    </row>
    <row r="96">
      <c r="A96" s="50">
        <f>IFERROR(INDEX('الإجازات'!$A$3:$A$502,90),"")</f>
        <v/>
      </c>
      <c r="B96" s="50">
        <f>IFERROR(INDEX('الإجازات'!$B$3:$B$502,90),"")</f>
        <v/>
      </c>
      <c r="C96" s="50">
        <f>IFERROR(INDEX('الإجازات'!$C$3:$C$502,90),"")</f>
        <v/>
      </c>
      <c r="D96" s="50">
        <f>IFERROR(INDEX('الإجازات'!$D$3:$D$502,90),"")</f>
        <v/>
      </c>
      <c r="E96" s="119">
        <f>IFERROR(INDEX('الإجازات'!$F$3:$F$502,90),"")</f>
        <v/>
      </c>
      <c r="F96" s="119">
        <f>IFERROR(INDEX('الإجازات'!$G$3:$G$502,90),"")</f>
        <v/>
      </c>
      <c r="G96" s="51">
        <f>IFERROR(INDEX('الإجازات'!$H$3:$H$502,90),"")</f>
        <v/>
      </c>
      <c r="H96" s="51">
        <f>IFERROR(INDEX('الإجازات'!$I$3:$I$502,90),"")</f>
        <v/>
      </c>
      <c r="I96" s="51">
        <f>IFERROR(INDEX('الإجازات'!$J$3:$J$502,90),"")</f>
        <v/>
      </c>
      <c r="J96" s="51">
        <f>IFERROR(INDEX('الإجازات'!$K$3:$K$502,90),"")</f>
        <v/>
      </c>
      <c r="K96" s="50">
        <f>IFERROR(INDEX('الإجازات'!$L$3:$L$502,90),"")</f>
        <v/>
      </c>
      <c r="L96" s="50">
        <f>IFERROR(INDEX('الإجازات'!$M$3:$M$502,90),"")</f>
        <v/>
      </c>
    </row>
    <row r="97">
      <c r="A97" s="43">
        <f>IFERROR(INDEX('الإجازات'!$A$3:$A$502,91),"")</f>
        <v/>
      </c>
      <c r="B97" s="43">
        <f>IFERROR(INDEX('الإجازات'!$B$3:$B$502,91),"")</f>
        <v/>
      </c>
      <c r="C97" s="43">
        <f>IFERROR(INDEX('الإجازات'!$C$3:$C$502,91),"")</f>
        <v/>
      </c>
      <c r="D97" s="43">
        <f>IFERROR(INDEX('الإجازات'!$D$3:$D$502,91),"")</f>
        <v/>
      </c>
      <c r="E97" s="118">
        <f>IFERROR(INDEX('الإجازات'!$F$3:$F$502,91),"")</f>
        <v/>
      </c>
      <c r="F97" s="118">
        <f>IFERROR(INDEX('الإجازات'!$G$3:$G$502,91),"")</f>
        <v/>
      </c>
      <c r="G97" s="44">
        <f>IFERROR(INDEX('الإجازات'!$H$3:$H$502,91),"")</f>
        <v/>
      </c>
      <c r="H97" s="44">
        <f>IFERROR(INDEX('الإجازات'!$I$3:$I$502,91),"")</f>
        <v/>
      </c>
      <c r="I97" s="44">
        <f>IFERROR(INDEX('الإجازات'!$J$3:$J$502,91),"")</f>
        <v/>
      </c>
      <c r="J97" s="44">
        <f>IFERROR(INDEX('الإجازات'!$K$3:$K$502,91),"")</f>
        <v/>
      </c>
      <c r="K97" s="43">
        <f>IFERROR(INDEX('الإجازات'!$L$3:$L$502,91),"")</f>
        <v/>
      </c>
      <c r="L97" s="43">
        <f>IFERROR(INDEX('الإجازات'!$M$3:$M$502,91),"")</f>
        <v/>
      </c>
    </row>
    <row r="98">
      <c r="A98" s="50">
        <f>IFERROR(INDEX('الإجازات'!$A$3:$A$502,92),"")</f>
        <v/>
      </c>
      <c r="B98" s="50">
        <f>IFERROR(INDEX('الإجازات'!$B$3:$B$502,92),"")</f>
        <v/>
      </c>
      <c r="C98" s="50">
        <f>IFERROR(INDEX('الإجازات'!$C$3:$C$502,92),"")</f>
        <v/>
      </c>
      <c r="D98" s="50">
        <f>IFERROR(INDEX('الإجازات'!$D$3:$D$502,92),"")</f>
        <v/>
      </c>
      <c r="E98" s="119">
        <f>IFERROR(INDEX('الإجازات'!$F$3:$F$502,92),"")</f>
        <v/>
      </c>
      <c r="F98" s="119">
        <f>IFERROR(INDEX('الإجازات'!$G$3:$G$502,92),"")</f>
        <v/>
      </c>
      <c r="G98" s="51">
        <f>IFERROR(INDEX('الإجازات'!$H$3:$H$502,92),"")</f>
        <v/>
      </c>
      <c r="H98" s="51">
        <f>IFERROR(INDEX('الإجازات'!$I$3:$I$502,92),"")</f>
        <v/>
      </c>
      <c r="I98" s="51">
        <f>IFERROR(INDEX('الإجازات'!$J$3:$J$502,92),"")</f>
        <v/>
      </c>
      <c r="J98" s="51">
        <f>IFERROR(INDEX('الإجازات'!$K$3:$K$502,92),"")</f>
        <v/>
      </c>
      <c r="K98" s="50">
        <f>IFERROR(INDEX('الإجازات'!$L$3:$L$502,92),"")</f>
        <v/>
      </c>
      <c r="L98" s="50">
        <f>IFERROR(INDEX('الإجازات'!$M$3:$M$502,92),"")</f>
        <v/>
      </c>
    </row>
    <row r="99">
      <c r="A99" s="43">
        <f>IFERROR(INDEX('الإجازات'!$A$3:$A$502,93),"")</f>
        <v/>
      </c>
      <c r="B99" s="43">
        <f>IFERROR(INDEX('الإجازات'!$B$3:$B$502,93),"")</f>
        <v/>
      </c>
      <c r="C99" s="43">
        <f>IFERROR(INDEX('الإجازات'!$C$3:$C$502,93),"")</f>
        <v/>
      </c>
      <c r="D99" s="43">
        <f>IFERROR(INDEX('الإجازات'!$D$3:$D$502,93),"")</f>
        <v/>
      </c>
      <c r="E99" s="118">
        <f>IFERROR(INDEX('الإجازات'!$F$3:$F$502,93),"")</f>
        <v/>
      </c>
      <c r="F99" s="118">
        <f>IFERROR(INDEX('الإجازات'!$G$3:$G$502,93),"")</f>
        <v/>
      </c>
      <c r="G99" s="44">
        <f>IFERROR(INDEX('الإجازات'!$H$3:$H$502,93),"")</f>
        <v/>
      </c>
      <c r="H99" s="44">
        <f>IFERROR(INDEX('الإجازات'!$I$3:$I$502,93),"")</f>
        <v/>
      </c>
      <c r="I99" s="44">
        <f>IFERROR(INDEX('الإجازات'!$J$3:$J$502,93),"")</f>
        <v/>
      </c>
      <c r="J99" s="44">
        <f>IFERROR(INDEX('الإجازات'!$K$3:$K$502,93),"")</f>
        <v/>
      </c>
      <c r="K99" s="43">
        <f>IFERROR(INDEX('الإجازات'!$L$3:$L$502,93),"")</f>
        <v/>
      </c>
      <c r="L99" s="43">
        <f>IFERROR(INDEX('الإجازات'!$M$3:$M$502,93),"")</f>
        <v/>
      </c>
    </row>
    <row r="100">
      <c r="A100" s="50">
        <f>IFERROR(INDEX('الإجازات'!$A$3:$A$502,94),"")</f>
        <v/>
      </c>
      <c r="B100" s="50">
        <f>IFERROR(INDEX('الإجازات'!$B$3:$B$502,94),"")</f>
        <v/>
      </c>
      <c r="C100" s="50">
        <f>IFERROR(INDEX('الإجازات'!$C$3:$C$502,94),"")</f>
        <v/>
      </c>
      <c r="D100" s="50">
        <f>IFERROR(INDEX('الإجازات'!$D$3:$D$502,94),"")</f>
        <v/>
      </c>
      <c r="E100" s="119">
        <f>IFERROR(INDEX('الإجازات'!$F$3:$F$502,94),"")</f>
        <v/>
      </c>
      <c r="F100" s="119">
        <f>IFERROR(INDEX('الإجازات'!$G$3:$G$502,94),"")</f>
        <v/>
      </c>
      <c r="G100" s="51">
        <f>IFERROR(INDEX('الإجازات'!$H$3:$H$502,94),"")</f>
        <v/>
      </c>
      <c r="H100" s="51">
        <f>IFERROR(INDEX('الإجازات'!$I$3:$I$502,94),"")</f>
        <v/>
      </c>
      <c r="I100" s="51">
        <f>IFERROR(INDEX('الإجازات'!$J$3:$J$502,94),"")</f>
        <v/>
      </c>
      <c r="J100" s="51">
        <f>IFERROR(INDEX('الإجازات'!$K$3:$K$502,94),"")</f>
        <v/>
      </c>
      <c r="K100" s="50">
        <f>IFERROR(INDEX('الإجازات'!$L$3:$L$502,94),"")</f>
        <v/>
      </c>
      <c r="L100" s="50">
        <f>IFERROR(INDEX('الإجازات'!$M$3:$M$502,94),"")</f>
        <v/>
      </c>
    </row>
    <row r="101">
      <c r="A101" s="43">
        <f>IFERROR(INDEX('الإجازات'!$A$3:$A$502,95),"")</f>
        <v/>
      </c>
      <c r="B101" s="43">
        <f>IFERROR(INDEX('الإجازات'!$B$3:$B$502,95),"")</f>
        <v/>
      </c>
      <c r="C101" s="43">
        <f>IFERROR(INDEX('الإجازات'!$C$3:$C$502,95),"")</f>
        <v/>
      </c>
      <c r="D101" s="43">
        <f>IFERROR(INDEX('الإجازات'!$D$3:$D$502,95),"")</f>
        <v/>
      </c>
      <c r="E101" s="118">
        <f>IFERROR(INDEX('الإجازات'!$F$3:$F$502,95),"")</f>
        <v/>
      </c>
      <c r="F101" s="118">
        <f>IFERROR(INDEX('الإجازات'!$G$3:$G$502,95),"")</f>
        <v/>
      </c>
      <c r="G101" s="44">
        <f>IFERROR(INDEX('الإجازات'!$H$3:$H$502,95),"")</f>
        <v/>
      </c>
      <c r="H101" s="44">
        <f>IFERROR(INDEX('الإجازات'!$I$3:$I$502,95),"")</f>
        <v/>
      </c>
      <c r="I101" s="44">
        <f>IFERROR(INDEX('الإجازات'!$J$3:$J$502,95),"")</f>
        <v/>
      </c>
      <c r="J101" s="44">
        <f>IFERROR(INDEX('الإجازات'!$K$3:$K$502,95),"")</f>
        <v/>
      </c>
      <c r="K101" s="43">
        <f>IFERROR(INDEX('الإجازات'!$L$3:$L$502,95),"")</f>
        <v/>
      </c>
      <c r="L101" s="43">
        <f>IFERROR(INDEX('الإجازات'!$M$3:$M$502,95),"")</f>
        <v/>
      </c>
    </row>
    <row r="102">
      <c r="A102" s="50">
        <f>IFERROR(INDEX('الإجازات'!$A$3:$A$502,96),"")</f>
        <v/>
      </c>
      <c r="B102" s="50">
        <f>IFERROR(INDEX('الإجازات'!$B$3:$B$502,96),"")</f>
        <v/>
      </c>
      <c r="C102" s="50">
        <f>IFERROR(INDEX('الإجازات'!$C$3:$C$502,96),"")</f>
        <v/>
      </c>
      <c r="D102" s="50">
        <f>IFERROR(INDEX('الإجازات'!$D$3:$D$502,96),"")</f>
        <v/>
      </c>
      <c r="E102" s="119">
        <f>IFERROR(INDEX('الإجازات'!$F$3:$F$502,96),"")</f>
        <v/>
      </c>
      <c r="F102" s="119">
        <f>IFERROR(INDEX('الإجازات'!$G$3:$G$502,96),"")</f>
        <v/>
      </c>
      <c r="G102" s="51">
        <f>IFERROR(INDEX('الإجازات'!$H$3:$H$502,96),"")</f>
        <v/>
      </c>
      <c r="H102" s="51">
        <f>IFERROR(INDEX('الإجازات'!$I$3:$I$502,96),"")</f>
        <v/>
      </c>
      <c r="I102" s="51">
        <f>IFERROR(INDEX('الإجازات'!$J$3:$J$502,96),"")</f>
        <v/>
      </c>
      <c r="J102" s="51">
        <f>IFERROR(INDEX('الإجازات'!$K$3:$K$502,96),"")</f>
        <v/>
      </c>
      <c r="K102" s="50">
        <f>IFERROR(INDEX('الإجازات'!$L$3:$L$502,96),"")</f>
        <v/>
      </c>
      <c r="L102" s="50">
        <f>IFERROR(INDEX('الإجازات'!$M$3:$M$502,96),"")</f>
        <v/>
      </c>
    </row>
    <row r="103">
      <c r="A103" s="43">
        <f>IFERROR(INDEX('الإجازات'!$A$3:$A$502,97),"")</f>
        <v/>
      </c>
      <c r="B103" s="43">
        <f>IFERROR(INDEX('الإجازات'!$B$3:$B$502,97),"")</f>
        <v/>
      </c>
      <c r="C103" s="43">
        <f>IFERROR(INDEX('الإجازات'!$C$3:$C$502,97),"")</f>
        <v/>
      </c>
      <c r="D103" s="43">
        <f>IFERROR(INDEX('الإجازات'!$D$3:$D$502,97),"")</f>
        <v/>
      </c>
      <c r="E103" s="118">
        <f>IFERROR(INDEX('الإجازات'!$F$3:$F$502,97),"")</f>
        <v/>
      </c>
      <c r="F103" s="118">
        <f>IFERROR(INDEX('الإجازات'!$G$3:$G$502,97),"")</f>
        <v/>
      </c>
      <c r="G103" s="44">
        <f>IFERROR(INDEX('الإجازات'!$H$3:$H$502,97),"")</f>
        <v/>
      </c>
      <c r="H103" s="44">
        <f>IFERROR(INDEX('الإجازات'!$I$3:$I$502,97),"")</f>
        <v/>
      </c>
      <c r="I103" s="44">
        <f>IFERROR(INDEX('الإجازات'!$J$3:$J$502,97),"")</f>
        <v/>
      </c>
      <c r="J103" s="44">
        <f>IFERROR(INDEX('الإجازات'!$K$3:$K$502,97),"")</f>
        <v/>
      </c>
      <c r="K103" s="43">
        <f>IFERROR(INDEX('الإجازات'!$L$3:$L$502,97),"")</f>
        <v/>
      </c>
      <c r="L103" s="43">
        <f>IFERROR(INDEX('الإجازات'!$M$3:$M$502,97),"")</f>
        <v/>
      </c>
    </row>
    <row r="104">
      <c r="A104" s="50">
        <f>IFERROR(INDEX('الإجازات'!$A$3:$A$502,98),"")</f>
        <v/>
      </c>
      <c r="B104" s="50">
        <f>IFERROR(INDEX('الإجازات'!$B$3:$B$502,98),"")</f>
        <v/>
      </c>
      <c r="C104" s="50">
        <f>IFERROR(INDEX('الإجازات'!$C$3:$C$502,98),"")</f>
        <v/>
      </c>
      <c r="D104" s="50">
        <f>IFERROR(INDEX('الإجازات'!$D$3:$D$502,98),"")</f>
        <v/>
      </c>
      <c r="E104" s="119">
        <f>IFERROR(INDEX('الإجازات'!$F$3:$F$502,98),"")</f>
        <v/>
      </c>
      <c r="F104" s="119">
        <f>IFERROR(INDEX('الإجازات'!$G$3:$G$502,98),"")</f>
        <v/>
      </c>
      <c r="G104" s="51">
        <f>IFERROR(INDEX('الإجازات'!$H$3:$H$502,98),"")</f>
        <v/>
      </c>
      <c r="H104" s="51">
        <f>IFERROR(INDEX('الإجازات'!$I$3:$I$502,98),"")</f>
        <v/>
      </c>
      <c r="I104" s="51">
        <f>IFERROR(INDEX('الإجازات'!$J$3:$J$502,98),"")</f>
        <v/>
      </c>
      <c r="J104" s="51">
        <f>IFERROR(INDEX('الإجازات'!$K$3:$K$502,98),"")</f>
        <v/>
      </c>
      <c r="K104" s="50">
        <f>IFERROR(INDEX('الإجازات'!$L$3:$L$502,98),"")</f>
        <v/>
      </c>
      <c r="L104" s="50">
        <f>IFERROR(INDEX('الإجازات'!$M$3:$M$502,98),"")</f>
        <v/>
      </c>
    </row>
    <row r="105">
      <c r="A105" s="43">
        <f>IFERROR(INDEX('الإجازات'!$A$3:$A$502,99),"")</f>
        <v/>
      </c>
      <c r="B105" s="43">
        <f>IFERROR(INDEX('الإجازات'!$B$3:$B$502,99),"")</f>
        <v/>
      </c>
      <c r="C105" s="43">
        <f>IFERROR(INDEX('الإجازات'!$C$3:$C$502,99),"")</f>
        <v/>
      </c>
      <c r="D105" s="43">
        <f>IFERROR(INDEX('الإجازات'!$D$3:$D$502,99),"")</f>
        <v/>
      </c>
      <c r="E105" s="118">
        <f>IFERROR(INDEX('الإجازات'!$F$3:$F$502,99),"")</f>
        <v/>
      </c>
      <c r="F105" s="118">
        <f>IFERROR(INDEX('الإجازات'!$G$3:$G$502,99),"")</f>
        <v/>
      </c>
      <c r="G105" s="44">
        <f>IFERROR(INDEX('الإجازات'!$H$3:$H$502,99),"")</f>
        <v/>
      </c>
      <c r="H105" s="44">
        <f>IFERROR(INDEX('الإجازات'!$I$3:$I$502,99),"")</f>
        <v/>
      </c>
      <c r="I105" s="44">
        <f>IFERROR(INDEX('الإجازات'!$J$3:$J$502,99),"")</f>
        <v/>
      </c>
      <c r="J105" s="44">
        <f>IFERROR(INDEX('الإجازات'!$K$3:$K$502,99),"")</f>
        <v/>
      </c>
      <c r="K105" s="43">
        <f>IFERROR(INDEX('الإجازات'!$L$3:$L$502,99),"")</f>
        <v/>
      </c>
      <c r="L105" s="43">
        <f>IFERROR(INDEX('الإجازات'!$M$3:$M$502,99),"")</f>
        <v/>
      </c>
    </row>
    <row r="106">
      <c r="A106" s="50">
        <f>IFERROR(INDEX('الإجازات'!$A$3:$A$502,100),"")</f>
        <v/>
      </c>
      <c r="B106" s="50">
        <f>IFERROR(INDEX('الإجازات'!$B$3:$B$502,100),"")</f>
        <v/>
      </c>
      <c r="C106" s="50">
        <f>IFERROR(INDEX('الإجازات'!$C$3:$C$502,100),"")</f>
        <v/>
      </c>
      <c r="D106" s="50">
        <f>IFERROR(INDEX('الإجازات'!$D$3:$D$502,100),"")</f>
        <v/>
      </c>
      <c r="E106" s="119">
        <f>IFERROR(INDEX('الإجازات'!$F$3:$F$502,100),"")</f>
        <v/>
      </c>
      <c r="F106" s="119">
        <f>IFERROR(INDEX('الإجازات'!$G$3:$G$502,100),"")</f>
        <v/>
      </c>
      <c r="G106" s="51">
        <f>IFERROR(INDEX('الإجازات'!$H$3:$H$502,100),"")</f>
        <v/>
      </c>
      <c r="H106" s="51">
        <f>IFERROR(INDEX('الإجازات'!$I$3:$I$502,100),"")</f>
        <v/>
      </c>
      <c r="I106" s="51">
        <f>IFERROR(INDEX('الإجازات'!$J$3:$J$502,100),"")</f>
        <v/>
      </c>
      <c r="J106" s="51">
        <f>IFERROR(INDEX('الإجازات'!$K$3:$K$502,100),"")</f>
        <v/>
      </c>
      <c r="K106" s="50">
        <f>IFERROR(INDEX('الإجازات'!$L$3:$L$502,100),"")</f>
        <v/>
      </c>
      <c r="L106" s="50">
        <f>IFERROR(INDEX('الإجازات'!$M$3:$M$502,100),"")</f>
        <v/>
      </c>
    </row>
    <row r="107">
      <c r="A107" s="43">
        <f>IFERROR(INDEX('الإجازات'!$A$3:$A$502,101),"")</f>
        <v/>
      </c>
      <c r="B107" s="43">
        <f>IFERROR(INDEX('الإجازات'!$B$3:$B$502,101),"")</f>
        <v/>
      </c>
      <c r="C107" s="43">
        <f>IFERROR(INDEX('الإجازات'!$C$3:$C$502,101),"")</f>
        <v/>
      </c>
      <c r="D107" s="43">
        <f>IFERROR(INDEX('الإجازات'!$D$3:$D$502,101),"")</f>
        <v/>
      </c>
      <c r="E107" s="118">
        <f>IFERROR(INDEX('الإجازات'!$F$3:$F$502,101),"")</f>
        <v/>
      </c>
      <c r="F107" s="118">
        <f>IFERROR(INDEX('الإجازات'!$G$3:$G$502,101),"")</f>
        <v/>
      </c>
      <c r="G107" s="44">
        <f>IFERROR(INDEX('الإجازات'!$H$3:$H$502,101),"")</f>
        <v/>
      </c>
      <c r="H107" s="44">
        <f>IFERROR(INDEX('الإجازات'!$I$3:$I$502,101),"")</f>
        <v/>
      </c>
      <c r="I107" s="44">
        <f>IFERROR(INDEX('الإجازات'!$J$3:$J$502,101),"")</f>
        <v/>
      </c>
      <c r="J107" s="44">
        <f>IFERROR(INDEX('الإجازات'!$K$3:$K$502,101),"")</f>
        <v/>
      </c>
      <c r="K107" s="43">
        <f>IFERROR(INDEX('الإجازات'!$L$3:$L$502,101),"")</f>
        <v/>
      </c>
      <c r="L107" s="43">
        <f>IFERROR(INDEX('الإجازات'!$M$3:$M$502,101),"")</f>
        <v/>
      </c>
    </row>
    <row r="108">
      <c r="A108" s="50">
        <f>IFERROR(INDEX('الإجازات'!$A$3:$A$502,102),"")</f>
        <v/>
      </c>
      <c r="B108" s="50">
        <f>IFERROR(INDEX('الإجازات'!$B$3:$B$502,102),"")</f>
        <v/>
      </c>
      <c r="C108" s="50">
        <f>IFERROR(INDEX('الإجازات'!$C$3:$C$502,102),"")</f>
        <v/>
      </c>
      <c r="D108" s="50">
        <f>IFERROR(INDEX('الإجازات'!$D$3:$D$502,102),"")</f>
        <v/>
      </c>
      <c r="E108" s="119">
        <f>IFERROR(INDEX('الإجازات'!$F$3:$F$502,102),"")</f>
        <v/>
      </c>
      <c r="F108" s="119">
        <f>IFERROR(INDEX('الإجازات'!$G$3:$G$502,102),"")</f>
        <v/>
      </c>
      <c r="G108" s="51">
        <f>IFERROR(INDEX('الإجازات'!$H$3:$H$502,102),"")</f>
        <v/>
      </c>
      <c r="H108" s="51">
        <f>IFERROR(INDEX('الإجازات'!$I$3:$I$502,102),"")</f>
        <v/>
      </c>
      <c r="I108" s="51">
        <f>IFERROR(INDEX('الإجازات'!$J$3:$J$502,102),"")</f>
        <v/>
      </c>
      <c r="J108" s="51">
        <f>IFERROR(INDEX('الإجازات'!$K$3:$K$502,102),"")</f>
        <v/>
      </c>
      <c r="K108" s="50">
        <f>IFERROR(INDEX('الإجازات'!$L$3:$L$502,102),"")</f>
        <v/>
      </c>
      <c r="L108" s="50">
        <f>IFERROR(INDEX('الإجازات'!$M$3:$M$502,102),"")</f>
        <v/>
      </c>
    </row>
    <row r="109">
      <c r="A109" s="43">
        <f>IFERROR(INDEX('الإجازات'!$A$3:$A$502,103),"")</f>
        <v/>
      </c>
      <c r="B109" s="43">
        <f>IFERROR(INDEX('الإجازات'!$B$3:$B$502,103),"")</f>
        <v/>
      </c>
      <c r="C109" s="43">
        <f>IFERROR(INDEX('الإجازات'!$C$3:$C$502,103),"")</f>
        <v/>
      </c>
      <c r="D109" s="43">
        <f>IFERROR(INDEX('الإجازات'!$D$3:$D$502,103),"")</f>
        <v/>
      </c>
      <c r="E109" s="118">
        <f>IFERROR(INDEX('الإجازات'!$F$3:$F$502,103),"")</f>
        <v/>
      </c>
      <c r="F109" s="118">
        <f>IFERROR(INDEX('الإجازات'!$G$3:$G$502,103),"")</f>
        <v/>
      </c>
      <c r="G109" s="44">
        <f>IFERROR(INDEX('الإجازات'!$H$3:$H$502,103),"")</f>
        <v/>
      </c>
      <c r="H109" s="44">
        <f>IFERROR(INDEX('الإجازات'!$I$3:$I$502,103),"")</f>
        <v/>
      </c>
      <c r="I109" s="44">
        <f>IFERROR(INDEX('الإجازات'!$J$3:$J$502,103),"")</f>
        <v/>
      </c>
      <c r="J109" s="44">
        <f>IFERROR(INDEX('الإجازات'!$K$3:$K$502,103),"")</f>
        <v/>
      </c>
      <c r="K109" s="43">
        <f>IFERROR(INDEX('الإجازات'!$L$3:$L$502,103),"")</f>
        <v/>
      </c>
      <c r="L109" s="43">
        <f>IFERROR(INDEX('الإجازات'!$M$3:$M$502,103),"")</f>
        <v/>
      </c>
    </row>
    <row r="110">
      <c r="A110" s="50">
        <f>IFERROR(INDEX('الإجازات'!$A$3:$A$502,104),"")</f>
        <v/>
      </c>
      <c r="B110" s="50">
        <f>IFERROR(INDEX('الإجازات'!$B$3:$B$502,104),"")</f>
        <v/>
      </c>
      <c r="C110" s="50">
        <f>IFERROR(INDEX('الإجازات'!$C$3:$C$502,104),"")</f>
        <v/>
      </c>
      <c r="D110" s="50">
        <f>IFERROR(INDEX('الإجازات'!$D$3:$D$502,104),"")</f>
        <v/>
      </c>
      <c r="E110" s="119">
        <f>IFERROR(INDEX('الإجازات'!$F$3:$F$502,104),"")</f>
        <v/>
      </c>
      <c r="F110" s="119">
        <f>IFERROR(INDEX('الإجازات'!$G$3:$G$502,104),"")</f>
        <v/>
      </c>
      <c r="G110" s="51">
        <f>IFERROR(INDEX('الإجازات'!$H$3:$H$502,104),"")</f>
        <v/>
      </c>
      <c r="H110" s="51">
        <f>IFERROR(INDEX('الإجازات'!$I$3:$I$502,104),"")</f>
        <v/>
      </c>
      <c r="I110" s="51">
        <f>IFERROR(INDEX('الإجازات'!$J$3:$J$502,104),"")</f>
        <v/>
      </c>
      <c r="J110" s="51">
        <f>IFERROR(INDEX('الإجازات'!$K$3:$K$502,104),"")</f>
        <v/>
      </c>
      <c r="K110" s="50">
        <f>IFERROR(INDEX('الإجازات'!$L$3:$L$502,104),"")</f>
        <v/>
      </c>
      <c r="L110" s="50">
        <f>IFERROR(INDEX('الإجازات'!$M$3:$M$502,104),"")</f>
        <v/>
      </c>
    </row>
    <row r="111">
      <c r="A111" s="43">
        <f>IFERROR(INDEX('الإجازات'!$A$3:$A$502,105),"")</f>
        <v/>
      </c>
      <c r="B111" s="43">
        <f>IFERROR(INDEX('الإجازات'!$B$3:$B$502,105),"")</f>
        <v/>
      </c>
      <c r="C111" s="43">
        <f>IFERROR(INDEX('الإجازات'!$C$3:$C$502,105),"")</f>
        <v/>
      </c>
      <c r="D111" s="43">
        <f>IFERROR(INDEX('الإجازات'!$D$3:$D$502,105),"")</f>
        <v/>
      </c>
      <c r="E111" s="118">
        <f>IFERROR(INDEX('الإجازات'!$F$3:$F$502,105),"")</f>
        <v/>
      </c>
      <c r="F111" s="118">
        <f>IFERROR(INDEX('الإجازات'!$G$3:$G$502,105),"")</f>
        <v/>
      </c>
      <c r="G111" s="44">
        <f>IFERROR(INDEX('الإجازات'!$H$3:$H$502,105),"")</f>
        <v/>
      </c>
      <c r="H111" s="44">
        <f>IFERROR(INDEX('الإجازات'!$I$3:$I$502,105),"")</f>
        <v/>
      </c>
      <c r="I111" s="44">
        <f>IFERROR(INDEX('الإجازات'!$J$3:$J$502,105),"")</f>
        <v/>
      </c>
      <c r="J111" s="44">
        <f>IFERROR(INDEX('الإجازات'!$K$3:$K$502,105),"")</f>
        <v/>
      </c>
      <c r="K111" s="43">
        <f>IFERROR(INDEX('الإجازات'!$L$3:$L$502,105),"")</f>
        <v/>
      </c>
      <c r="L111" s="43">
        <f>IFERROR(INDEX('الإجازات'!$M$3:$M$502,105),"")</f>
        <v/>
      </c>
    </row>
    <row r="112">
      <c r="A112" s="50">
        <f>IFERROR(INDEX('الإجازات'!$A$3:$A$502,106),"")</f>
        <v/>
      </c>
      <c r="B112" s="50">
        <f>IFERROR(INDEX('الإجازات'!$B$3:$B$502,106),"")</f>
        <v/>
      </c>
      <c r="C112" s="50">
        <f>IFERROR(INDEX('الإجازات'!$C$3:$C$502,106),"")</f>
        <v/>
      </c>
      <c r="D112" s="50">
        <f>IFERROR(INDEX('الإجازات'!$D$3:$D$502,106),"")</f>
        <v/>
      </c>
      <c r="E112" s="119">
        <f>IFERROR(INDEX('الإجازات'!$F$3:$F$502,106),"")</f>
        <v/>
      </c>
      <c r="F112" s="119">
        <f>IFERROR(INDEX('الإجازات'!$G$3:$G$502,106),"")</f>
        <v/>
      </c>
      <c r="G112" s="51">
        <f>IFERROR(INDEX('الإجازات'!$H$3:$H$502,106),"")</f>
        <v/>
      </c>
      <c r="H112" s="51">
        <f>IFERROR(INDEX('الإجازات'!$I$3:$I$502,106),"")</f>
        <v/>
      </c>
      <c r="I112" s="51">
        <f>IFERROR(INDEX('الإجازات'!$J$3:$J$502,106),"")</f>
        <v/>
      </c>
      <c r="J112" s="51">
        <f>IFERROR(INDEX('الإجازات'!$K$3:$K$502,106),"")</f>
        <v/>
      </c>
      <c r="K112" s="50">
        <f>IFERROR(INDEX('الإجازات'!$L$3:$L$502,106),"")</f>
        <v/>
      </c>
      <c r="L112" s="50">
        <f>IFERROR(INDEX('الإجازات'!$M$3:$M$502,106),"")</f>
        <v/>
      </c>
    </row>
    <row r="113">
      <c r="A113" s="43">
        <f>IFERROR(INDEX('الإجازات'!$A$3:$A$502,107),"")</f>
        <v/>
      </c>
      <c r="B113" s="43">
        <f>IFERROR(INDEX('الإجازات'!$B$3:$B$502,107),"")</f>
        <v/>
      </c>
      <c r="C113" s="43">
        <f>IFERROR(INDEX('الإجازات'!$C$3:$C$502,107),"")</f>
        <v/>
      </c>
      <c r="D113" s="43">
        <f>IFERROR(INDEX('الإجازات'!$D$3:$D$502,107),"")</f>
        <v/>
      </c>
      <c r="E113" s="118">
        <f>IFERROR(INDEX('الإجازات'!$F$3:$F$502,107),"")</f>
        <v/>
      </c>
      <c r="F113" s="118">
        <f>IFERROR(INDEX('الإجازات'!$G$3:$G$502,107),"")</f>
        <v/>
      </c>
      <c r="G113" s="44">
        <f>IFERROR(INDEX('الإجازات'!$H$3:$H$502,107),"")</f>
        <v/>
      </c>
      <c r="H113" s="44">
        <f>IFERROR(INDEX('الإجازات'!$I$3:$I$502,107),"")</f>
        <v/>
      </c>
      <c r="I113" s="44">
        <f>IFERROR(INDEX('الإجازات'!$J$3:$J$502,107),"")</f>
        <v/>
      </c>
      <c r="J113" s="44">
        <f>IFERROR(INDEX('الإجازات'!$K$3:$K$502,107),"")</f>
        <v/>
      </c>
      <c r="K113" s="43">
        <f>IFERROR(INDEX('الإجازات'!$L$3:$L$502,107),"")</f>
        <v/>
      </c>
      <c r="L113" s="43">
        <f>IFERROR(INDEX('الإجازات'!$M$3:$M$502,107),"")</f>
        <v/>
      </c>
    </row>
    <row r="114">
      <c r="A114" s="50">
        <f>IFERROR(INDEX('الإجازات'!$A$3:$A$502,108),"")</f>
        <v/>
      </c>
      <c r="B114" s="50">
        <f>IFERROR(INDEX('الإجازات'!$B$3:$B$502,108),"")</f>
        <v/>
      </c>
      <c r="C114" s="50">
        <f>IFERROR(INDEX('الإجازات'!$C$3:$C$502,108),"")</f>
        <v/>
      </c>
      <c r="D114" s="50">
        <f>IFERROR(INDEX('الإجازات'!$D$3:$D$502,108),"")</f>
        <v/>
      </c>
      <c r="E114" s="119">
        <f>IFERROR(INDEX('الإجازات'!$F$3:$F$502,108),"")</f>
        <v/>
      </c>
      <c r="F114" s="119">
        <f>IFERROR(INDEX('الإجازات'!$G$3:$G$502,108),"")</f>
        <v/>
      </c>
      <c r="G114" s="51">
        <f>IFERROR(INDEX('الإجازات'!$H$3:$H$502,108),"")</f>
        <v/>
      </c>
      <c r="H114" s="51">
        <f>IFERROR(INDEX('الإجازات'!$I$3:$I$502,108),"")</f>
        <v/>
      </c>
      <c r="I114" s="51">
        <f>IFERROR(INDEX('الإجازات'!$J$3:$J$502,108),"")</f>
        <v/>
      </c>
      <c r="J114" s="51">
        <f>IFERROR(INDEX('الإجازات'!$K$3:$K$502,108),"")</f>
        <v/>
      </c>
      <c r="K114" s="50">
        <f>IFERROR(INDEX('الإجازات'!$L$3:$L$502,108),"")</f>
        <v/>
      </c>
      <c r="L114" s="50">
        <f>IFERROR(INDEX('الإجازات'!$M$3:$M$502,108),"")</f>
        <v/>
      </c>
    </row>
    <row r="115">
      <c r="A115" s="43">
        <f>IFERROR(INDEX('الإجازات'!$A$3:$A$502,109),"")</f>
        <v/>
      </c>
      <c r="B115" s="43">
        <f>IFERROR(INDEX('الإجازات'!$B$3:$B$502,109),"")</f>
        <v/>
      </c>
      <c r="C115" s="43">
        <f>IFERROR(INDEX('الإجازات'!$C$3:$C$502,109),"")</f>
        <v/>
      </c>
      <c r="D115" s="43">
        <f>IFERROR(INDEX('الإجازات'!$D$3:$D$502,109),"")</f>
        <v/>
      </c>
      <c r="E115" s="118">
        <f>IFERROR(INDEX('الإجازات'!$F$3:$F$502,109),"")</f>
        <v/>
      </c>
      <c r="F115" s="118">
        <f>IFERROR(INDEX('الإجازات'!$G$3:$G$502,109),"")</f>
        <v/>
      </c>
      <c r="G115" s="44">
        <f>IFERROR(INDEX('الإجازات'!$H$3:$H$502,109),"")</f>
        <v/>
      </c>
      <c r="H115" s="44">
        <f>IFERROR(INDEX('الإجازات'!$I$3:$I$502,109),"")</f>
        <v/>
      </c>
      <c r="I115" s="44">
        <f>IFERROR(INDEX('الإجازات'!$J$3:$J$502,109),"")</f>
        <v/>
      </c>
      <c r="J115" s="44">
        <f>IFERROR(INDEX('الإجازات'!$K$3:$K$502,109),"")</f>
        <v/>
      </c>
      <c r="K115" s="43">
        <f>IFERROR(INDEX('الإجازات'!$L$3:$L$502,109),"")</f>
        <v/>
      </c>
      <c r="L115" s="43">
        <f>IFERROR(INDEX('الإجازات'!$M$3:$M$502,109),"")</f>
        <v/>
      </c>
    </row>
    <row r="116">
      <c r="A116" s="50">
        <f>IFERROR(INDEX('الإجازات'!$A$3:$A$502,110),"")</f>
        <v/>
      </c>
      <c r="B116" s="50">
        <f>IFERROR(INDEX('الإجازات'!$B$3:$B$502,110),"")</f>
        <v/>
      </c>
      <c r="C116" s="50">
        <f>IFERROR(INDEX('الإجازات'!$C$3:$C$502,110),"")</f>
        <v/>
      </c>
      <c r="D116" s="50">
        <f>IFERROR(INDEX('الإجازات'!$D$3:$D$502,110),"")</f>
        <v/>
      </c>
      <c r="E116" s="119">
        <f>IFERROR(INDEX('الإجازات'!$F$3:$F$502,110),"")</f>
        <v/>
      </c>
      <c r="F116" s="119">
        <f>IFERROR(INDEX('الإجازات'!$G$3:$G$502,110),"")</f>
        <v/>
      </c>
      <c r="G116" s="51">
        <f>IFERROR(INDEX('الإجازات'!$H$3:$H$502,110),"")</f>
        <v/>
      </c>
      <c r="H116" s="51">
        <f>IFERROR(INDEX('الإجازات'!$I$3:$I$502,110),"")</f>
        <v/>
      </c>
      <c r="I116" s="51">
        <f>IFERROR(INDEX('الإجازات'!$J$3:$J$502,110),"")</f>
        <v/>
      </c>
      <c r="J116" s="51">
        <f>IFERROR(INDEX('الإجازات'!$K$3:$K$502,110),"")</f>
        <v/>
      </c>
      <c r="K116" s="50">
        <f>IFERROR(INDEX('الإجازات'!$L$3:$L$502,110),"")</f>
        <v/>
      </c>
      <c r="L116" s="50">
        <f>IFERROR(INDEX('الإجازات'!$M$3:$M$502,110),"")</f>
        <v/>
      </c>
    </row>
    <row r="117">
      <c r="A117" s="43">
        <f>IFERROR(INDEX('الإجازات'!$A$3:$A$502,111),"")</f>
        <v/>
      </c>
      <c r="B117" s="43">
        <f>IFERROR(INDEX('الإجازات'!$B$3:$B$502,111),"")</f>
        <v/>
      </c>
      <c r="C117" s="43">
        <f>IFERROR(INDEX('الإجازات'!$C$3:$C$502,111),"")</f>
        <v/>
      </c>
      <c r="D117" s="43">
        <f>IFERROR(INDEX('الإجازات'!$D$3:$D$502,111),"")</f>
        <v/>
      </c>
      <c r="E117" s="118">
        <f>IFERROR(INDEX('الإجازات'!$F$3:$F$502,111),"")</f>
        <v/>
      </c>
      <c r="F117" s="118">
        <f>IFERROR(INDEX('الإجازات'!$G$3:$G$502,111),"")</f>
        <v/>
      </c>
      <c r="G117" s="44">
        <f>IFERROR(INDEX('الإجازات'!$H$3:$H$502,111),"")</f>
        <v/>
      </c>
      <c r="H117" s="44">
        <f>IFERROR(INDEX('الإجازات'!$I$3:$I$502,111),"")</f>
        <v/>
      </c>
      <c r="I117" s="44">
        <f>IFERROR(INDEX('الإجازات'!$J$3:$J$502,111),"")</f>
        <v/>
      </c>
      <c r="J117" s="44">
        <f>IFERROR(INDEX('الإجازات'!$K$3:$K$502,111),"")</f>
        <v/>
      </c>
      <c r="K117" s="43">
        <f>IFERROR(INDEX('الإجازات'!$L$3:$L$502,111),"")</f>
        <v/>
      </c>
      <c r="L117" s="43">
        <f>IFERROR(INDEX('الإجازات'!$M$3:$M$502,111),"")</f>
        <v/>
      </c>
    </row>
    <row r="118">
      <c r="A118" s="50">
        <f>IFERROR(INDEX('الإجازات'!$A$3:$A$502,112),"")</f>
        <v/>
      </c>
      <c r="B118" s="50">
        <f>IFERROR(INDEX('الإجازات'!$B$3:$B$502,112),"")</f>
        <v/>
      </c>
      <c r="C118" s="50">
        <f>IFERROR(INDEX('الإجازات'!$C$3:$C$502,112),"")</f>
        <v/>
      </c>
      <c r="D118" s="50">
        <f>IFERROR(INDEX('الإجازات'!$D$3:$D$502,112),"")</f>
        <v/>
      </c>
      <c r="E118" s="119">
        <f>IFERROR(INDEX('الإجازات'!$F$3:$F$502,112),"")</f>
        <v/>
      </c>
      <c r="F118" s="119">
        <f>IFERROR(INDEX('الإجازات'!$G$3:$G$502,112),"")</f>
        <v/>
      </c>
      <c r="G118" s="51">
        <f>IFERROR(INDEX('الإجازات'!$H$3:$H$502,112),"")</f>
        <v/>
      </c>
      <c r="H118" s="51">
        <f>IFERROR(INDEX('الإجازات'!$I$3:$I$502,112),"")</f>
        <v/>
      </c>
      <c r="I118" s="51">
        <f>IFERROR(INDEX('الإجازات'!$J$3:$J$502,112),"")</f>
        <v/>
      </c>
      <c r="J118" s="51">
        <f>IFERROR(INDEX('الإجازات'!$K$3:$K$502,112),"")</f>
        <v/>
      </c>
      <c r="K118" s="50">
        <f>IFERROR(INDEX('الإجازات'!$L$3:$L$502,112),"")</f>
        <v/>
      </c>
      <c r="L118" s="50">
        <f>IFERROR(INDEX('الإجازات'!$M$3:$M$502,112),"")</f>
        <v/>
      </c>
    </row>
    <row r="119">
      <c r="A119" s="43">
        <f>IFERROR(INDEX('الإجازات'!$A$3:$A$502,113),"")</f>
        <v/>
      </c>
      <c r="B119" s="43">
        <f>IFERROR(INDEX('الإجازات'!$B$3:$B$502,113),"")</f>
        <v/>
      </c>
      <c r="C119" s="43">
        <f>IFERROR(INDEX('الإجازات'!$C$3:$C$502,113),"")</f>
        <v/>
      </c>
      <c r="D119" s="43">
        <f>IFERROR(INDEX('الإجازات'!$D$3:$D$502,113),"")</f>
        <v/>
      </c>
      <c r="E119" s="118">
        <f>IFERROR(INDEX('الإجازات'!$F$3:$F$502,113),"")</f>
        <v/>
      </c>
      <c r="F119" s="118">
        <f>IFERROR(INDEX('الإجازات'!$G$3:$G$502,113),"")</f>
        <v/>
      </c>
      <c r="G119" s="44">
        <f>IFERROR(INDEX('الإجازات'!$H$3:$H$502,113),"")</f>
        <v/>
      </c>
      <c r="H119" s="44">
        <f>IFERROR(INDEX('الإجازات'!$I$3:$I$502,113),"")</f>
        <v/>
      </c>
      <c r="I119" s="44">
        <f>IFERROR(INDEX('الإجازات'!$J$3:$J$502,113),"")</f>
        <v/>
      </c>
      <c r="J119" s="44">
        <f>IFERROR(INDEX('الإجازات'!$K$3:$K$502,113),"")</f>
        <v/>
      </c>
      <c r="K119" s="43">
        <f>IFERROR(INDEX('الإجازات'!$L$3:$L$502,113),"")</f>
        <v/>
      </c>
      <c r="L119" s="43">
        <f>IFERROR(INDEX('الإجازات'!$M$3:$M$502,113),"")</f>
        <v/>
      </c>
    </row>
    <row r="120">
      <c r="A120" s="50">
        <f>IFERROR(INDEX('الإجازات'!$A$3:$A$502,114),"")</f>
        <v/>
      </c>
      <c r="B120" s="50">
        <f>IFERROR(INDEX('الإجازات'!$B$3:$B$502,114),"")</f>
        <v/>
      </c>
      <c r="C120" s="50">
        <f>IFERROR(INDEX('الإجازات'!$C$3:$C$502,114),"")</f>
        <v/>
      </c>
      <c r="D120" s="50">
        <f>IFERROR(INDEX('الإجازات'!$D$3:$D$502,114),"")</f>
        <v/>
      </c>
      <c r="E120" s="119">
        <f>IFERROR(INDEX('الإجازات'!$F$3:$F$502,114),"")</f>
        <v/>
      </c>
      <c r="F120" s="119">
        <f>IFERROR(INDEX('الإجازات'!$G$3:$G$502,114),"")</f>
        <v/>
      </c>
      <c r="G120" s="51">
        <f>IFERROR(INDEX('الإجازات'!$H$3:$H$502,114),"")</f>
        <v/>
      </c>
      <c r="H120" s="51">
        <f>IFERROR(INDEX('الإجازات'!$I$3:$I$502,114),"")</f>
        <v/>
      </c>
      <c r="I120" s="51">
        <f>IFERROR(INDEX('الإجازات'!$J$3:$J$502,114),"")</f>
        <v/>
      </c>
      <c r="J120" s="51">
        <f>IFERROR(INDEX('الإجازات'!$K$3:$K$502,114),"")</f>
        <v/>
      </c>
      <c r="K120" s="50">
        <f>IFERROR(INDEX('الإجازات'!$L$3:$L$502,114),"")</f>
        <v/>
      </c>
      <c r="L120" s="50">
        <f>IFERROR(INDEX('الإجازات'!$M$3:$M$502,114),"")</f>
        <v/>
      </c>
    </row>
    <row r="121">
      <c r="A121" s="43">
        <f>IFERROR(INDEX('الإجازات'!$A$3:$A$502,115),"")</f>
        <v/>
      </c>
      <c r="B121" s="43">
        <f>IFERROR(INDEX('الإجازات'!$B$3:$B$502,115),"")</f>
        <v/>
      </c>
      <c r="C121" s="43">
        <f>IFERROR(INDEX('الإجازات'!$C$3:$C$502,115),"")</f>
        <v/>
      </c>
      <c r="D121" s="43">
        <f>IFERROR(INDEX('الإجازات'!$D$3:$D$502,115),"")</f>
        <v/>
      </c>
      <c r="E121" s="118">
        <f>IFERROR(INDEX('الإجازات'!$F$3:$F$502,115),"")</f>
        <v/>
      </c>
      <c r="F121" s="118">
        <f>IFERROR(INDEX('الإجازات'!$G$3:$G$502,115),"")</f>
        <v/>
      </c>
      <c r="G121" s="44">
        <f>IFERROR(INDEX('الإجازات'!$H$3:$H$502,115),"")</f>
        <v/>
      </c>
      <c r="H121" s="44">
        <f>IFERROR(INDEX('الإجازات'!$I$3:$I$502,115),"")</f>
        <v/>
      </c>
      <c r="I121" s="44">
        <f>IFERROR(INDEX('الإجازات'!$J$3:$J$502,115),"")</f>
        <v/>
      </c>
      <c r="J121" s="44">
        <f>IFERROR(INDEX('الإجازات'!$K$3:$K$502,115),"")</f>
        <v/>
      </c>
      <c r="K121" s="43">
        <f>IFERROR(INDEX('الإجازات'!$L$3:$L$502,115),"")</f>
        <v/>
      </c>
      <c r="L121" s="43">
        <f>IFERROR(INDEX('الإجازات'!$M$3:$M$502,115),"")</f>
        <v/>
      </c>
    </row>
    <row r="122">
      <c r="A122" s="50">
        <f>IFERROR(INDEX('الإجازات'!$A$3:$A$502,116),"")</f>
        <v/>
      </c>
      <c r="B122" s="50">
        <f>IFERROR(INDEX('الإجازات'!$B$3:$B$502,116),"")</f>
        <v/>
      </c>
      <c r="C122" s="50">
        <f>IFERROR(INDEX('الإجازات'!$C$3:$C$502,116),"")</f>
        <v/>
      </c>
      <c r="D122" s="50">
        <f>IFERROR(INDEX('الإجازات'!$D$3:$D$502,116),"")</f>
        <v/>
      </c>
      <c r="E122" s="119">
        <f>IFERROR(INDEX('الإجازات'!$F$3:$F$502,116),"")</f>
        <v/>
      </c>
      <c r="F122" s="119">
        <f>IFERROR(INDEX('الإجازات'!$G$3:$G$502,116),"")</f>
        <v/>
      </c>
      <c r="G122" s="51">
        <f>IFERROR(INDEX('الإجازات'!$H$3:$H$502,116),"")</f>
        <v/>
      </c>
      <c r="H122" s="51">
        <f>IFERROR(INDEX('الإجازات'!$I$3:$I$502,116),"")</f>
        <v/>
      </c>
      <c r="I122" s="51">
        <f>IFERROR(INDEX('الإجازات'!$J$3:$J$502,116),"")</f>
        <v/>
      </c>
      <c r="J122" s="51">
        <f>IFERROR(INDEX('الإجازات'!$K$3:$K$502,116),"")</f>
        <v/>
      </c>
      <c r="K122" s="50">
        <f>IFERROR(INDEX('الإجازات'!$L$3:$L$502,116),"")</f>
        <v/>
      </c>
      <c r="L122" s="50">
        <f>IFERROR(INDEX('الإجازات'!$M$3:$M$502,116),"")</f>
        <v/>
      </c>
    </row>
    <row r="123">
      <c r="A123" s="43">
        <f>IFERROR(INDEX('الإجازات'!$A$3:$A$502,117),"")</f>
        <v/>
      </c>
      <c r="B123" s="43">
        <f>IFERROR(INDEX('الإجازات'!$B$3:$B$502,117),"")</f>
        <v/>
      </c>
      <c r="C123" s="43">
        <f>IFERROR(INDEX('الإجازات'!$C$3:$C$502,117),"")</f>
        <v/>
      </c>
      <c r="D123" s="43">
        <f>IFERROR(INDEX('الإجازات'!$D$3:$D$502,117),"")</f>
        <v/>
      </c>
      <c r="E123" s="118">
        <f>IFERROR(INDEX('الإجازات'!$F$3:$F$502,117),"")</f>
        <v/>
      </c>
      <c r="F123" s="118">
        <f>IFERROR(INDEX('الإجازات'!$G$3:$G$502,117),"")</f>
        <v/>
      </c>
      <c r="G123" s="44">
        <f>IFERROR(INDEX('الإجازات'!$H$3:$H$502,117),"")</f>
        <v/>
      </c>
      <c r="H123" s="44">
        <f>IFERROR(INDEX('الإجازات'!$I$3:$I$502,117),"")</f>
        <v/>
      </c>
      <c r="I123" s="44">
        <f>IFERROR(INDEX('الإجازات'!$J$3:$J$502,117),"")</f>
        <v/>
      </c>
      <c r="J123" s="44">
        <f>IFERROR(INDEX('الإجازات'!$K$3:$K$502,117),"")</f>
        <v/>
      </c>
      <c r="K123" s="43">
        <f>IFERROR(INDEX('الإجازات'!$L$3:$L$502,117),"")</f>
        <v/>
      </c>
      <c r="L123" s="43">
        <f>IFERROR(INDEX('الإجازات'!$M$3:$M$502,117),"")</f>
        <v/>
      </c>
    </row>
    <row r="124">
      <c r="A124" s="50">
        <f>IFERROR(INDEX('الإجازات'!$A$3:$A$502,118),"")</f>
        <v/>
      </c>
      <c r="B124" s="50">
        <f>IFERROR(INDEX('الإجازات'!$B$3:$B$502,118),"")</f>
        <v/>
      </c>
      <c r="C124" s="50">
        <f>IFERROR(INDEX('الإجازات'!$C$3:$C$502,118),"")</f>
        <v/>
      </c>
      <c r="D124" s="50">
        <f>IFERROR(INDEX('الإجازات'!$D$3:$D$502,118),"")</f>
        <v/>
      </c>
      <c r="E124" s="119">
        <f>IFERROR(INDEX('الإجازات'!$F$3:$F$502,118),"")</f>
        <v/>
      </c>
      <c r="F124" s="119">
        <f>IFERROR(INDEX('الإجازات'!$G$3:$G$502,118),"")</f>
        <v/>
      </c>
      <c r="G124" s="51">
        <f>IFERROR(INDEX('الإجازات'!$H$3:$H$502,118),"")</f>
        <v/>
      </c>
      <c r="H124" s="51">
        <f>IFERROR(INDEX('الإجازات'!$I$3:$I$502,118),"")</f>
        <v/>
      </c>
      <c r="I124" s="51">
        <f>IFERROR(INDEX('الإجازات'!$J$3:$J$502,118),"")</f>
        <v/>
      </c>
      <c r="J124" s="51">
        <f>IFERROR(INDEX('الإجازات'!$K$3:$K$502,118),"")</f>
        <v/>
      </c>
      <c r="K124" s="50">
        <f>IFERROR(INDEX('الإجازات'!$L$3:$L$502,118),"")</f>
        <v/>
      </c>
      <c r="L124" s="50">
        <f>IFERROR(INDEX('الإجازات'!$M$3:$M$502,118),"")</f>
        <v/>
      </c>
    </row>
    <row r="125">
      <c r="A125" s="43">
        <f>IFERROR(INDEX('الإجازات'!$A$3:$A$502,119),"")</f>
        <v/>
      </c>
      <c r="B125" s="43">
        <f>IFERROR(INDEX('الإجازات'!$B$3:$B$502,119),"")</f>
        <v/>
      </c>
      <c r="C125" s="43">
        <f>IFERROR(INDEX('الإجازات'!$C$3:$C$502,119),"")</f>
        <v/>
      </c>
      <c r="D125" s="43">
        <f>IFERROR(INDEX('الإجازات'!$D$3:$D$502,119),"")</f>
        <v/>
      </c>
      <c r="E125" s="118">
        <f>IFERROR(INDEX('الإجازات'!$F$3:$F$502,119),"")</f>
        <v/>
      </c>
      <c r="F125" s="118">
        <f>IFERROR(INDEX('الإجازات'!$G$3:$G$502,119),"")</f>
        <v/>
      </c>
      <c r="G125" s="44">
        <f>IFERROR(INDEX('الإجازات'!$H$3:$H$502,119),"")</f>
        <v/>
      </c>
      <c r="H125" s="44">
        <f>IFERROR(INDEX('الإجازات'!$I$3:$I$502,119),"")</f>
        <v/>
      </c>
      <c r="I125" s="44">
        <f>IFERROR(INDEX('الإجازات'!$J$3:$J$502,119),"")</f>
        <v/>
      </c>
      <c r="J125" s="44">
        <f>IFERROR(INDEX('الإجازات'!$K$3:$K$502,119),"")</f>
        <v/>
      </c>
      <c r="K125" s="43">
        <f>IFERROR(INDEX('الإجازات'!$L$3:$L$502,119),"")</f>
        <v/>
      </c>
      <c r="L125" s="43">
        <f>IFERROR(INDEX('الإجازات'!$M$3:$M$502,119),"")</f>
        <v/>
      </c>
    </row>
    <row r="126">
      <c r="A126" s="50">
        <f>IFERROR(INDEX('الإجازات'!$A$3:$A$502,120),"")</f>
        <v/>
      </c>
      <c r="B126" s="50">
        <f>IFERROR(INDEX('الإجازات'!$B$3:$B$502,120),"")</f>
        <v/>
      </c>
      <c r="C126" s="50">
        <f>IFERROR(INDEX('الإجازات'!$C$3:$C$502,120),"")</f>
        <v/>
      </c>
      <c r="D126" s="50">
        <f>IFERROR(INDEX('الإجازات'!$D$3:$D$502,120),"")</f>
        <v/>
      </c>
      <c r="E126" s="119">
        <f>IFERROR(INDEX('الإجازات'!$F$3:$F$502,120),"")</f>
        <v/>
      </c>
      <c r="F126" s="119">
        <f>IFERROR(INDEX('الإجازات'!$G$3:$G$502,120),"")</f>
        <v/>
      </c>
      <c r="G126" s="51">
        <f>IFERROR(INDEX('الإجازات'!$H$3:$H$502,120),"")</f>
        <v/>
      </c>
      <c r="H126" s="51">
        <f>IFERROR(INDEX('الإجازات'!$I$3:$I$502,120),"")</f>
        <v/>
      </c>
      <c r="I126" s="51">
        <f>IFERROR(INDEX('الإجازات'!$J$3:$J$502,120),"")</f>
        <v/>
      </c>
      <c r="J126" s="51">
        <f>IFERROR(INDEX('الإجازات'!$K$3:$K$502,120),"")</f>
        <v/>
      </c>
      <c r="K126" s="50">
        <f>IFERROR(INDEX('الإجازات'!$L$3:$L$502,120),"")</f>
        <v/>
      </c>
      <c r="L126" s="50">
        <f>IFERROR(INDEX('الإجازات'!$M$3:$M$502,120),"")</f>
        <v/>
      </c>
    </row>
    <row r="127">
      <c r="A127" s="43">
        <f>IFERROR(INDEX('الإجازات'!$A$3:$A$502,121),"")</f>
        <v/>
      </c>
      <c r="B127" s="43">
        <f>IFERROR(INDEX('الإجازات'!$B$3:$B$502,121),"")</f>
        <v/>
      </c>
      <c r="C127" s="43">
        <f>IFERROR(INDEX('الإجازات'!$C$3:$C$502,121),"")</f>
        <v/>
      </c>
      <c r="D127" s="43">
        <f>IFERROR(INDEX('الإجازات'!$D$3:$D$502,121),"")</f>
        <v/>
      </c>
      <c r="E127" s="118">
        <f>IFERROR(INDEX('الإجازات'!$F$3:$F$502,121),"")</f>
        <v/>
      </c>
      <c r="F127" s="118">
        <f>IFERROR(INDEX('الإجازات'!$G$3:$G$502,121),"")</f>
        <v/>
      </c>
      <c r="G127" s="44">
        <f>IFERROR(INDEX('الإجازات'!$H$3:$H$502,121),"")</f>
        <v/>
      </c>
      <c r="H127" s="44">
        <f>IFERROR(INDEX('الإجازات'!$I$3:$I$502,121),"")</f>
        <v/>
      </c>
      <c r="I127" s="44">
        <f>IFERROR(INDEX('الإجازات'!$J$3:$J$502,121),"")</f>
        <v/>
      </c>
      <c r="J127" s="44">
        <f>IFERROR(INDEX('الإجازات'!$K$3:$K$502,121),"")</f>
        <v/>
      </c>
      <c r="K127" s="43">
        <f>IFERROR(INDEX('الإجازات'!$L$3:$L$502,121),"")</f>
        <v/>
      </c>
      <c r="L127" s="43">
        <f>IFERROR(INDEX('الإجازات'!$M$3:$M$502,121),"")</f>
        <v/>
      </c>
    </row>
    <row r="128">
      <c r="A128" s="50">
        <f>IFERROR(INDEX('الإجازات'!$A$3:$A$502,122),"")</f>
        <v/>
      </c>
      <c r="B128" s="50">
        <f>IFERROR(INDEX('الإجازات'!$B$3:$B$502,122),"")</f>
        <v/>
      </c>
      <c r="C128" s="50">
        <f>IFERROR(INDEX('الإجازات'!$C$3:$C$502,122),"")</f>
        <v/>
      </c>
      <c r="D128" s="50">
        <f>IFERROR(INDEX('الإجازات'!$D$3:$D$502,122),"")</f>
        <v/>
      </c>
      <c r="E128" s="119">
        <f>IFERROR(INDEX('الإجازات'!$F$3:$F$502,122),"")</f>
        <v/>
      </c>
      <c r="F128" s="119">
        <f>IFERROR(INDEX('الإجازات'!$G$3:$G$502,122),"")</f>
        <v/>
      </c>
      <c r="G128" s="51">
        <f>IFERROR(INDEX('الإجازات'!$H$3:$H$502,122),"")</f>
        <v/>
      </c>
      <c r="H128" s="51">
        <f>IFERROR(INDEX('الإجازات'!$I$3:$I$502,122),"")</f>
        <v/>
      </c>
      <c r="I128" s="51">
        <f>IFERROR(INDEX('الإجازات'!$J$3:$J$502,122),"")</f>
        <v/>
      </c>
      <c r="J128" s="51">
        <f>IFERROR(INDEX('الإجازات'!$K$3:$K$502,122),"")</f>
        <v/>
      </c>
      <c r="K128" s="50">
        <f>IFERROR(INDEX('الإجازات'!$L$3:$L$502,122),"")</f>
        <v/>
      </c>
      <c r="L128" s="50">
        <f>IFERROR(INDEX('الإجازات'!$M$3:$M$502,122),"")</f>
        <v/>
      </c>
    </row>
    <row r="129">
      <c r="A129" s="43">
        <f>IFERROR(INDEX('الإجازات'!$A$3:$A$502,123),"")</f>
        <v/>
      </c>
      <c r="B129" s="43">
        <f>IFERROR(INDEX('الإجازات'!$B$3:$B$502,123),"")</f>
        <v/>
      </c>
      <c r="C129" s="43">
        <f>IFERROR(INDEX('الإجازات'!$C$3:$C$502,123),"")</f>
        <v/>
      </c>
      <c r="D129" s="43">
        <f>IFERROR(INDEX('الإجازات'!$D$3:$D$502,123),"")</f>
        <v/>
      </c>
      <c r="E129" s="118">
        <f>IFERROR(INDEX('الإجازات'!$F$3:$F$502,123),"")</f>
        <v/>
      </c>
      <c r="F129" s="118">
        <f>IFERROR(INDEX('الإجازات'!$G$3:$G$502,123),"")</f>
        <v/>
      </c>
      <c r="G129" s="44">
        <f>IFERROR(INDEX('الإجازات'!$H$3:$H$502,123),"")</f>
        <v/>
      </c>
      <c r="H129" s="44">
        <f>IFERROR(INDEX('الإجازات'!$I$3:$I$502,123),"")</f>
        <v/>
      </c>
      <c r="I129" s="44">
        <f>IFERROR(INDEX('الإجازات'!$J$3:$J$502,123),"")</f>
        <v/>
      </c>
      <c r="J129" s="44">
        <f>IFERROR(INDEX('الإجازات'!$K$3:$K$502,123),"")</f>
        <v/>
      </c>
      <c r="K129" s="43">
        <f>IFERROR(INDEX('الإجازات'!$L$3:$L$502,123),"")</f>
        <v/>
      </c>
      <c r="L129" s="43">
        <f>IFERROR(INDEX('الإجازات'!$M$3:$M$502,123),"")</f>
        <v/>
      </c>
    </row>
    <row r="130">
      <c r="A130" s="50">
        <f>IFERROR(INDEX('الإجازات'!$A$3:$A$502,124),"")</f>
        <v/>
      </c>
      <c r="B130" s="50">
        <f>IFERROR(INDEX('الإجازات'!$B$3:$B$502,124),"")</f>
        <v/>
      </c>
      <c r="C130" s="50">
        <f>IFERROR(INDEX('الإجازات'!$C$3:$C$502,124),"")</f>
        <v/>
      </c>
      <c r="D130" s="50">
        <f>IFERROR(INDEX('الإجازات'!$D$3:$D$502,124),"")</f>
        <v/>
      </c>
      <c r="E130" s="119">
        <f>IFERROR(INDEX('الإجازات'!$F$3:$F$502,124),"")</f>
        <v/>
      </c>
      <c r="F130" s="119">
        <f>IFERROR(INDEX('الإجازات'!$G$3:$G$502,124),"")</f>
        <v/>
      </c>
      <c r="G130" s="51">
        <f>IFERROR(INDEX('الإجازات'!$H$3:$H$502,124),"")</f>
        <v/>
      </c>
      <c r="H130" s="51">
        <f>IFERROR(INDEX('الإجازات'!$I$3:$I$502,124),"")</f>
        <v/>
      </c>
      <c r="I130" s="51">
        <f>IFERROR(INDEX('الإجازات'!$J$3:$J$502,124),"")</f>
        <v/>
      </c>
      <c r="J130" s="51">
        <f>IFERROR(INDEX('الإجازات'!$K$3:$K$502,124),"")</f>
        <v/>
      </c>
      <c r="K130" s="50">
        <f>IFERROR(INDEX('الإجازات'!$L$3:$L$502,124),"")</f>
        <v/>
      </c>
      <c r="L130" s="50">
        <f>IFERROR(INDEX('الإجازات'!$M$3:$M$502,124),"")</f>
        <v/>
      </c>
    </row>
    <row r="131">
      <c r="A131" s="43">
        <f>IFERROR(INDEX('الإجازات'!$A$3:$A$502,125),"")</f>
        <v/>
      </c>
      <c r="B131" s="43">
        <f>IFERROR(INDEX('الإجازات'!$B$3:$B$502,125),"")</f>
        <v/>
      </c>
      <c r="C131" s="43">
        <f>IFERROR(INDEX('الإجازات'!$C$3:$C$502,125),"")</f>
        <v/>
      </c>
      <c r="D131" s="43">
        <f>IFERROR(INDEX('الإجازات'!$D$3:$D$502,125),"")</f>
        <v/>
      </c>
      <c r="E131" s="118">
        <f>IFERROR(INDEX('الإجازات'!$F$3:$F$502,125),"")</f>
        <v/>
      </c>
      <c r="F131" s="118">
        <f>IFERROR(INDEX('الإجازات'!$G$3:$G$502,125),"")</f>
        <v/>
      </c>
      <c r="G131" s="44">
        <f>IFERROR(INDEX('الإجازات'!$H$3:$H$502,125),"")</f>
        <v/>
      </c>
      <c r="H131" s="44">
        <f>IFERROR(INDEX('الإجازات'!$I$3:$I$502,125),"")</f>
        <v/>
      </c>
      <c r="I131" s="44">
        <f>IFERROR(INDEX('الإجازات'!$J$3:$J$502,125),"")</f>
        <v/>
      </c>
      <c r="J131" s="44">
        <f>IFERROR(INDEX('الإجازات'!$K$3:$K$502,125),"")</f>
        <v/>
      </c>
      <c r="K131" s="43">
        <f>IFERROR(INDEX('الإجازات'!$L$3:$L$502,125),"")</f>
        <v/>
      </c>
      <c r="L131" s="43">
        <f>IFERROR(INDEX('الإجازات'!$M$3:$M$502,125),"")</f>
        <v/>
      </c>
    </row>
    <row r="132">
      <c r="A132" s="50">
        <f>IFERROR(INDEX('الإجازات'!$A$3:$A$502,126),"")</f>
        <v/>
      </c>
      <c r="B132" s="50">
        <f>IFERROR(INDEX('الإجازات'!$B$3:$B$502,126),"")</f>
        <v/>
      </c>
      <c r="C132" s="50">
        <f>IFERROR(INDEX('الإجازات'!$C$3:$C$502,126),"")</f>
        <v/>
      </c>
      <c r="D132" s="50">
        <f>IFERROR(INDEX('الإجازات'!$D$3:$D$502,126),"")</f>
        <v/>
      </c>
      <c r="E132" s="119">
        <f>IFERROR(INDEX('الإجازات'!$F$3:$F$502,126),"")</f>
        <v/>
      </c>
      <c r="F132" s="119">
        <f>IFERROR(INDEX('الإجازات'!$G$3:$G$502,126),"")</f>
        <v/>
      </c>
      <c r="G132" s="51">
        <f>IFERROR(INDEX('الإجازات'!$H$3:$H$502,126),"")</f>
        <v/>
      </c>
      <c r="H132" s="51">
        <f>IFERROR(INDEX('الإجازات'!$I$3:$I$502,126),"")</f>
        <v/>
      </c>
      <c r="I132" s="51">
        <f>IFERROR(INDEX('الإجازات'!$J$3:$J$502,126),"")</f>
        <v/>
      </c>
      <c r="J132" s="51">
        <f>IFERROR(INDEX('الإجازات'!$K$3:$K$502,126),"")</f>
        <v/>
      </c>
      <c r="K132" s="50">
        <f>IFERROR(INDEX('الإجازات'!$L$3:$L$502,126),"")</f>
        <v/>
      </c>
      <c r="L132" s="50">
        <f>IFERROR(INDEX('الإجازات'!$M$3:$M$502,126),"")</f>
        <v/>
      </c>
    </row>
    <row r="133">
      <c r="A133" s="43">
        <f>IFERROR(INDEX('الإجازات'!$A$3:$A$502,127),"")</f>
        <v/>
      </c>
      <c r="B133" s="43">
        <f>IFERROR(INDEX('الإجازات'!$B$3:$B$502,127),"")</f>
        <v/>
      </c>
      <c r="C133" s="43">
        <f>IFERROR(INDEX('الإجازات'!$C$3:$C$502,127),"")</f>
        <v/>
      </c>
      <c r="D133" s="43">
        <f>IFERROR(INDEX('الإجازات'!$D$3:$D$502,127),"")</f>
        <v/>
      </c>
      <c r="E133" s="118">
        <f>IFERROR(INDEX('الإجازات'!$F$3:$F$502,127),"")</f>
        <v/>
      </c>
      <c r="F133" s="118">
        <f>IFERROR(INDEX('الإجازات'!$G$3:$G$502,127),"")</f>
        <v/>
      </c>
      <c r="G133" s="44">
        <f>IFERROR(INDEX('الإجازات'!$H$3:$H$502,127),"")</f>
        <v/>
      </c>
      <c r="H133" s="44">
        <f>IFERROR(INDEX('الإجازات'!$I$3:$I$502,127),"")</f>
        <v/>
      </c>
      <c r="I133" s="44">
        <f>IFERROR(INDEX('الإجازات'!$J$3:$J$502,127),"")</f>
        <v/>
      </c>
      <c r="J133" s="44">
        <f>IFERROR(INDEX('الإجازات'!$K$3:$K$502,127),"")</f>
        <v/>
      </c>
      <c r="K133" s="43">
        <f>IFERROR(INDEX('الإجازات'!$L$3:$L$502,127),"")</f>
        <v/>
      </c>
      <c r="L133" s="43">
        <f>IFERROR(INDEX('الإجازات'!$M$3:$M$502,127),"")</f>
        <v/>
      </c>
    </row>
    <row r="134">
      <c r="A134" s="50">
        <f>IFERROR(INDEX('الإجازات'!$A$3:$A$502,128),"")</f>
        <v/>
      </c>
      <c r="B134" s="50">
        <f>IFERROR(INDEX('الإجازات'!$B$3:$B$502,128),"")</f>
        <v/>
      </c>
      <c r="C134" s="50">
        <f>IFERROR(INDEX('الإجازات'!$C$3:$C$502,128),"")</f>
        <v/>
      </c>
      <c r="D134" s="50">
        <f>IFERROR(INDEX('الإجازات'!$D$3:$D$502,128),"")</f>
        <v/>
      </c>
      <c r="E134" s="119">
        <f>IFERROR(INDEX('الإجازات'!$F$3:$F$502,128),"")</f>
        <v/>
      </c>
      <c r="F134" s="119">
        <f>IFERROR(INDEX('الإجازات'!$G$3:$G$502,128),"")</f>
        <v/>
      </c>
      <c r="G134" s="51">
        <f>IFERROR(INDEX('الإجازات'!$H$3:$H$502,128),"")</f>
        <v/>
      </c>
      <c r="H134" s="51">
        <f>IFERROR(INDEX('الإجازات'!$I$3:$I$502,128),"")</f>
        <v/>
      </c>
      <c r="I134" s="51">
        <f>IFERROR(INDEX('الإجازات'!$J$3:$J$502,128),"")</f>
        <v/>
      </c>
      <c r="J134" s="51">
        <f>IFERROR(INDEX('الإجازات'!$K$3:$K$502,128),"")</f>
        <v/>
      </c>
      <c r="K134" s="50">
        <f>IFERROR(INDEX('الإجازات'!$L$3:$L$502,128),"")</f>
        <v/>
      </c>
      <c r="L134" s="50">
        <f>IFERROR(INDEX('الإجازات'!$M$3:$M$502,128),"")</f>
        <v/>
      </c>
    </row>
    <row r="135">
      <c r="A135" s="43">
        <f>IFERROR(INDEX('الإجازات'!$A$3:$A$502,129),"")</f>
        <v/>
      </c>
      <c r="B135" s="43">
        <f>IFERROR(INDEX('الإجازات'!$B$3:$B$502,129),"")</f>
        <v/>
      </c>
      <c r="C135" s="43">
        <f>IFERROR(INDEX('الإجازات'!$C$3:$C$502,129),"")</f>
        <v/>
      </c>
      <c r="D135" s="43">
        <f>IFERROR(INDEX('الإجازات'!$D$3:$D$502,129),"")</f>
        <v/>
      </c>
      <c r="E135" s="118">
        <f>IFERROR(INDEX('الإجازات'!$F$3:$F$502,129),"")</f>
        <v/>
      </c>
      <c r="F135" s="118">
        <f>IFERROR(INDEX('الإجازات'!$G$3:$G$502,129),"")</f>
        <v/>
      </c>
      <c r="G135" s="44">
        <f>IFERROR(INDEX('الإجازات'!$H$3:$H$502,129),"")</f>
        <v/>
      </c>
      <c r="H135" s="44">
        <f>IFERROR(INDEX('الإجازات'!$I$3:$I$502,129),"")</f>
        <v/>
      </c>
      <c r="I135" s="44">
        <f>IFERROR(INDEX('الإجازات'!$J$3:$J$502,129),"")</f>
        <v/>
      </c>
      <c r="J135" s="44">
        <f>IFERROR(INDEX('الإجازات'!$K$3:$K$502,129),"")</f>
        <v/>
      </c>
      <c r="K135" s="43">
        <f>IFERROR(INDEX('الإجازات'!$L$3:$L$502,129),"")</f>
        <v/>
      </c>
      <c r="L135" s="43">
        <f>IFERROR(INDEX('الإجازات'!$M$3:$M$502,129),"")</f>
        <v/>
      </c>
    </row>
    <row r="136">
      <c r="A136" s="50">
        <f>IFERROR(INDEX('الإجازات'!$A$3:$A$502,130),"")</f>
        <v/>
      </c>
      <c r="B136" s="50">
        <f>IFERROR(INDEX('الإجازات'!$B$3:$B$502,130),"")</f>
        <v/>
      </c>
      <c r="C136" s="50">
        <f>IFERROR(INDEX('الإجازات'!$C$3:$C$502,130),"")</f>
        <v/>
      </c>
      <c r="D136" s="50">
        <f>IFERROR(INDEX('الإجازات'!$D$3:$D$502,130),"")</f>
        <v/>
      </c>
      <c r="E136" s="119">
        <f>IFERROR(INDEX('الإجازات'!$F$3:$F$502,130),"")</f>
        <v/>
      </c>
      <c r="F136" s="119">
        <f>IFERROR(INDEX('الإجازات'!$G$3:$G$502,130),"")</f>
        <v/>
      </c>
      <c r="G136" s="51">
        <f>IFERROR(INDEX('الإجازات'!$H$3:$H$502,130),"")</f>
        <v/>
      </c>
      <c r="H136" s="51">
        <f>IFERROR(INDEX('الإجازات'!$I$3:$I$502,130),"")</f>
        <v/>
      </c>
      <c r="I136" s="51">
        <f>IFERROR(INDEX('الإجازات'!$J$3:$J$502,130),"")</f>
        <v/>
      </c>
      <c r="J136" s="51">
        <f>IFERROR(INDEX('الإجازات'!$K$3:$K$502,130),"")</f>
        <v/>
      </c>
      <c r="K136" s="50">
        <f>IFERROR(INDEX('الإجازات'!$L$3:$L$502,130),"")</f>
        <v/>
      </c>
      <c r="L136" s="50">
        <f>IFERROR(INDEX('الإجازات'!$M$3:$M$502,130),"")</f>
        <v/>
      </c>
    </row>
    <row r="137">
      <c r="A137" s="43">
        <f>IFERROR(INDEX('الإجازات'!$A$3:$A$502,131),"")</f>
        <v/>
      </c>
      <c r="B137" s="43">
        <f>IFERROR(INDEX('الإجازات'!$B$3:$B$502,131),"")</f>
        <v/>
      </c>
      <c r="C137" s="43">
        <f>IFERROR(INDEX('الإجازات'!$C$3:$C$502,131),"")</f>
        <v/>
      </c>
      <c r="D137" s="43">
        <f>IFERROR(INDEX('الإجازات'!$D$3:$D$502,131),"")</f>
        <v/>
      </c>
      <c r="E137" s="118">
        <f>IFERROR(INDEX('الإجازات'!$F$3:$F$502,131),"")</f>
        <v/>
      </c>
      <c r="F137" s="118">
        <f>IFERROR(INDEX('الإجازات'!$G$3:$G$502,131),"")</f>
        <v/>
      </c>
      <c r="G137" s="44">
        <f>IFERROR(INDEX('الإجازات'!$H$3:$H$502,131),"")</f>
        <v/>
      </c>
      <c r="H137" s="44">
        <f>IFERROR(INDEX('الإجازات'!$I$3:$I$502,131),"")</f>
        <v/>
      </c>
      <c r="I137" s="44">
        <f>IFERROR(INDEX('الإجازات'!$J$3:$J$502,131),"")</f>
        <v/>
      </c>
      <c r="J137" s="44">
        <f>IFERROR(INDEX('الإجازات'!$K$3:$K$502,131),"")</f>
        <v/>
      </c>
      <c r="K137" s="43">
        <f>IFERROR(INDEX('الإجازات'!$L$3:$L$502,131),"")</f>
        <v/>
      </c>
      <c r="L137" s="43">
        <f>IFERROR(INDEX('الإجازات'!$M$3:$M$502,131),"")</f>
        <v/>
      </c>
    </row>
    <row r="138">
      <c r="A138" s="50">
        <f>IFERROR(INDEX('الإجازات'!$A$3:$A$502,132),"")</f>
        <v/>
      </c>
      <c r="B138" s="50">
        <f>IFERROR(INDEX('الإجازات'!$B$3:$B$502,132),"")</f>
        <v/>
      </c>
      <c r="C138" s="50">
        <f>IFERROR(INDEX('الإجازات'!$C$3:$C$502,132),"")</f>
        <v/>
      </c>
      <c r="D138" s="50">
        <f>IFERROR(INDEX('الإجازات'!$D$3:$D$502,132),"")</f>
        <v/>
      </c>
      <c r="E138" s="119">
        <f>IFERROR(INDEX('الإجازات'!$F$3:$F$502,132),"")</f>
        <v/>
      </c>
      <c r="F138" s="119">
        <f>IFERROR(INDEX('الإجازات'!$G$3:$G$502,132),"")</f>
        <v/>
      </c>
      <c r="G138" s="51">
        <f>IFERROR(INDEX('الإجازات'!$H$3:$H$502,132),"")</f>
        <v/>
      </c>
      <c r="H138" s="51">
        <f>IFERROR(INDEX('الإجازات'!$I$3:$I$502,132),"")</f>
        <v/>
      </c>
      <c r="I138" s="51">
        <f>IFERROR(INDEX('الإجازات'!$J$3:$J$502,132),"")</f>
        <v/>
      </c>
      <c r="J138" s="51">
        <f>IFERROR(INDEX('الإجازات'!$K$3:$K$502,132),"")</f>
        <v/>
      </c>
      <c r="K138" s="50">
        <f>IFERROR(INDEX('الإجازات'!$L$3:$L$502,132),"")</f>
        <v/>
      </c>
      <c r="L138" s="50">
        <f>IFERROR(INDEX('الإجازات'!$M$3:$M$502,132),"")</f>
        <v/>
      </c>
    </row>
    <row r="139">
      <c r="A139" s="43">
        <f>IFERROR(INDEX('الإجازات'!$A$3:$A$502,133),"")</f>
        <v/>
      </c>
      <c r="B139" s="43">
        <f>IFERROR(INDEX('الإجازات'!$B$3:$B$502,133),"")</f>
        <v/>
      </c>
      <c r="C139" s="43">
        <f>IFERROR(INDEX('الإجازات'!$C$3:$C$502,133),"")</f>
        <v/>
      </c>
      <c r="D139" s="43">
        <f>IFERROR(INDEX('الإجازات'!$D$3:$D$502,133),"")</f>
        <v/>
      </c>
      <c r="E139" s="118">
        <f>IFERROR(INDEX('الإجازات'!$F$3:$F$502,133),"")</f>
        <v/>
      </c>
      <c r="F139" s="118">
        <f>IFERROR(INDEX('الإجازات'!$G$3:$G$502,133),"")</f>
        <v/>
      </c>
      <c r="G139" s="44">
        <f>IFERROR(INDEX('الإجازات'!$H$3:$H$502,133),"")</f>
        <v/>
      </c>
      <c r="H139" s="44">
        <f>IFERROR(INDEX('الإجازات'!$I$3:$I$502,133),"")</f>
        <v/>
      </c>
      <c r="I139" s="44">
        <f>IFERROR(INDEX('الإجازات'!$J$3:$J$502,133),"")</f>
        <v/>
      </c>
      <c r="J139" s="44">
        <f>IFERROR(INDEX('الإجازات'!$K$3:$K$502,133),"")</f>
        <v/>
      </c>
      <c r="K139" s="43">
        <f>IFERROR(INDEX('الإجازات'!$L$3:$L$502,133),"")</f>
        <v/>
      </c>
      <c r="L139" s="43">
        <f>IFERROR(INDEX('الإجازات'!$M$3:$M$502,133),"")</f>
        <v/>
      </c>
    </row>
    <row r="140">
      <c r="A140" s="50">
        <f>IFERROR(INDEX('الإجازات'!$A$3:$A$502,134),"")</f>
        <v/>
      </c>
      <c r="B140" s="50">
        <f>IFERROR(INDEX('الإجازات'!$B$3:$B$502,134),"")</f>
        <v/>
      </c>
      <c r="C140" s="50">
        <f>IFERROR(INDEX('الإجازات'!$C$3:$C$502,134),"")</f>
        <v/>
      </c>
      <c r="D140" s="50">
        <f>IFERROR(INDEX('الإجازات'!$D$3:$D$502,134),"")</f>
        <v/>
      </c>
      <c r="E140" s="119">
        <f>IFERROR(INDEX('الإجازات'!$F$3:$F$502,134),"")</f>
        <v/>
      </c>
      <c r="F140" s="119">
        <f>IFERROR(INDEX('الإجازات'!$G$3:$G$502,134),"")</f>
        <v/>
      </c>
      <c r="G140" s="51">
        <f>IFERROR(INDEX('الإجازات'!$H$3:$H$502,134),"")</f>
        <v/>
      </c>
      <c r="H140" s="51">
        <f>IFERROR(INDEX('الإجازات'!$I$3:$I$502,134),"")</f>
        <v/>
      </c>
      <c r="I140" s="51">
        <f>IFERROR(INDEX('الإجازات'!$J$3:$J$502,134),"")</f>
        <v/>
      </c>
      <c r="J140" s="51">
        <f>IFERROR(INDEX('الإجازات'!$K$3:$K$502,134),"")</f>
        <v/>
      </c>
      <c r="K140" s="50">
        <f>IFERROR(INDEX('الإجازات'!$L$3:$L$502,134),"")</f>
        <v/>
      </c>
      <c r="L140" s="50">
        <f>IFERROR(INDEX('الإجازات'!$M$3:$M$502,134),"")</f>
        <v/>
      </c>
    </row>
    <row r="141">
      <c r="A141" s="43">
        <f>IFERROR(INDEX('الإجازات'!$A$3:$A$502,135),"")</f>
        <v/>
      </c>
      <c r="B141" s="43">
        <f>IFERROR(INDEX('الإجازات'!$B$3:$B$502,135),"")</f>
        <v/>
      </c>
      <c r="C141" s="43">
        <f>IFERROR(INDEX('الإجازات'!$C$3:$C$502,135),"")</f>
        <v/>
      </c>
      <c r="D141" s="43">
        <f>IFERROR(INDEX('الإجازات'!$D$3:$D$502,135),"")</f>
        <v/>
      </c>
      <c r="E141" s="118">
        <f>IFERROR(INDEX('الإجازات'!$F$3:$F$502,135),"")</f>
        <v/>
      </c>
      <c r="F141" s="118">
        <f>IFERROR(INDEX('الإجازات'!$G$3:$G$502,135),"")</f>
        <v/>
      </c>
      <c r="G141" s="44">
        <f>IFERROR(INDEX('الإجازات'!$H$3:$H$502,135),"")</f>
        <v/>
      </c>
      <c r="H141" s="44">
        <f>IFERROR(INDEX('الإجازات'!$I$3:$I$502,135),"")</f>
        <v/>
      </c>
      <c r="I141" s="44">
        <f>IFERROR(INDEX('الإجازات'!$J$3:$J$502,135),"")</f>
        <v/>
      </c>
      <c r="J141" s="44">
        <f>IFERROR(INDEX('الإجازات'!$K$3:$K$502,135),"")</f>
        <v/>
      </c>
      <c r="K141" s="43">
        <f>IFERROR(INDEX('الإجازات'!$L$3:$L$502,135),"")</f>
        <v/>
      </c>
      <c r="L141" s="43">
        <f>IFERROR(INDEX('الإجازات'!$M$3:$M$502,135),"")</f>
        <v/>
      </c>
    </row>
    <row r="142">
      <c r="A142" s="50">
        <f>IFERROR(INDEX('الإجازات'!$A$3:$A$502,136),"")</f>
        <v/>
      </c>
      <c r="B142" s="50">
        <f>IFERROR(INDEX('الإجازات'!$B$3:$B$502,136),"")</f>
        <v/>
      </c>
      <c r="C142" s="50">
        <f>IFERROR(INDEX('الإجازات'!$C$3:$C$502,136),"")</f>
        <v/>
      </c>
      <c r="D142" s="50">
        <f>IFERROR(INDEX('الإجازات'!$D$3:$D$502,136),"")</f>
        <v/>
      </c>
      <c r="E142" s="119">
        <f>IFERROR(INDEX('الإجازات'!$F$3:$F$502,136),"")</f>
        <v/>
      </c>
      <c r="F142" s="119">
        <f>IFERROR(INDEX('الإجازات'!$G$3:$G$502,136),"")</f>
        <v/>
      </c>
      <c r="G142" s="51">
        <f>IFERROR(INDEX('الإجازات'!$H$3:$H$502,136),"")</f>
        <v/>
      </c>
      <c r="H142" s="51">
        <f>IFERROR(INDEX('الإجازات'!$I$3:$I$502,136),"")</f>
        <v/>
      </c>
      <c r="I142" s="51">
        <f>IFERROR(INDEX('الإجازات'!$J$3:$J$502,136),"")</f>
        <v/>
      </c>
      <c r="J142" s="51">
        <f>IFERROR(INDEX('الإجازات'!$K$3:$K$502,136),"")</f>
        <v/>
      </c>
      <c r="K142" s="50">
        <f>IFERROR(INDEX('الإجازات'!$L$3:$L$502,136),"")</f>
        <v/>
      </c>
      <c r="L142" s="50">
        <f>IFERROR(INDEX('الإجازات'!$M$3:$M$502,136),"")</f>
        <v/>
      </c>
    </row>
    <row r="143">
      <c r="A143" s="43">
        <f>IFERROR(INDEX('الإجازات'!$A$3:$A$502,137),"")</f>
        <v/>
      </c>
      <c r="B143" s="43">
        <f>IFERROR(INDEX('الإجازات'!$B$3:$B$502,137),"")</f>
        <v/>
      </c>
      <c r="C143" s="43">
        <f>IFERROR(INDEX('الإجازات'!$C$3:$C$502,137),"")</f>
        <v/>
      </c>
      <c r="D143" s="43">
        <f>IFERROR(INDEX('الإجازات'!$D$3:$D$502,137),"")</f>
        <v/>
      </c>
      <c r="E143" s="118">
        <f>IFERROR(INDEX('الإجازات'!$F$3:$F$502,137),"")</f>
        <v/>
      </c>
      <c r="F143" s="118">
        <f>IFERROR(INDEX('الإجازات'!$G$3:$G$502,137),"")</f>
        <v/>
      </c>
      <c r="G143" s="44">
        <f>IFERROR(INDEX('الإجازات'!$H$3:$H$502,137),"")</f>
        <v/>
      </c>
      <c r="H143" s="44">
        <f>IFERROR(INDEX('الإجازات'!$I$3:$I$502,137),"")</f>
        <v/>
      </c>
      <c r="I143" s="44">
        <f>IFERROR(INDEX('الإجازات'!$J$3:$J$502,137),"")</f>
        <v/>
      </c>
      <c r="J143" s="44">
        <f>IFERROR(INDEX('الإجازات'!$K$3:$K$502,137),"")</f>
        <v/>
      </c>
      <c r="K143" s="43">
        <f>IFERROR(INDEX('الإجازات'!$L$3:$L$502,137),"")</f>
        <v/>
      </c>
      <c r="L143" s="43">
        <f>IFERROR(INDEX('الإجازات'!$M$3:$M$502,137),"")</f>
        <v/>
      </c>
    </row>
    <row r="144">
      <c r="A144" s="50">
        <f>IFERROR(INDEX('الإجازات'!$A$3:$A$502,138),"")</f>
        <v/>
      </c>
      <c r="B144" s="50">
        <f>IFERROR(INDEX('الإجازات'!$B$3:$B$502,138),"")</f>
        <v/>
      </c>
      <c r="C144" s="50">
        <f>IFERROR(INDEX('الإجازات'!$C$3:$C$502,138),"")</f>
        <v/>
      </c>
      <c r="D144" s="50">
        <f>IFERROR(INDEX('الإجازات'!$D$3:$D$502,138),"")</f>
        <v/>
      </c>
      <c r="E144" s="119">
        <f>IFERROR(INDEX('الإجازات'!$F$3:$F$502,138),"")</f>
        <v/>
      </c>
      <c r="F144" s="119">
        <f>IFERROR(INDEX('الإجازات'!$G$3:$G$502,138),"")</f>
        <v/>
      </c>
      <c r="G144" s="51">
        <f>IFERROR(INDEX('الإجازات'!$H$3:$H$502,138),"")</f>
        <v/>
      </c>
      <c r="H144" s="51">
        <f>IFERROR(INDEX('الإجازات'!$I$3:$I$502,138),"")</f>
        <v/>
      </c>
      <c r="I144" s="51">
        <f>IFERROR(INDEX('الإجازات'!$J$3:$J$502,138),"")</f>
        <v/>
      </c>
      <c r="J144" s="51">
        <f>IFERROR(INDEX('الإجازات'!$K$3:$K$502,138),"")</f>
        <v/>
      </c>
      <c r="K144" s="50">
        <f>IFERROR(INDEX('الإجازات'!$L$3:$L$502,138),"")</f>
        <v/>
      </c>
      <c r="L144" s="50">
        <f>IFERROR(INDEX('الإجازات'!$M$3:$M$502,138),"")</f>
        <v/>
      </c>
    </row>
    <row r="145">
      <c r="A145" s="43">
        <f>IFERROR(INDEX('الإجازات'!$A$3:$A$502,139),"")</f>
        <v/>
      </c>
      <c r="B145" s="43">
        <f>IFERROR(INDEX('الإجازات'!$B$3:$B$502,139),"")</f>
        <v/>
      </c>
      <c r="C145" s="43">
        <f>IFERROR(INDEX('الإجازات'!$C$3:$C$502,139),"")</f>
        <v/>
      </c>
      <c r="D145" s="43">
        <f>IFERROR(INDEX('الإجازات'!$D$3:$D$502,139),"")</f>
        <v/>
      </c>
      <c r="E145" s="118">
        <f>IFERROR(INDEX('الإجازات'!$F$3:$F$502,139),"")</f>
        <v/>
      </c>
      <c r="F145" s="118">
        <f>IFERROR(INDEX('الإجازات'!$G$3:$G$502,139),"")</f>
        <v/>
      </c>
      <c r="G145" s="44">
        <f>IFERROR(INDEX('الإجازات'!$H$3:$H$502,139),"")</f>
        <v/>
      </c>
      <c r="H145" s="44">
        <f>IFERROR(INDEX('الإجازات'!$I$3:$I$502,139),"")</f>
        <v/>
      </c>
      <c r="I145" s="44">
        <f>IFERROR(INDEX('الإجازات'!$J$3:$J$502,139),"")</f>
        <v/>
      </c>
      <c r="J145" s="44">
        <f>IFERROR(INDEX('الإجازات'!$K$3:$K$502,139),"")</f>
        <v/>
      </c>
      <c r="K145" s="43">
        <f>IFERROR(INDEX('الإجازات'!$L$3:$L$502,139),"")</f>
        <v/>
      </c>
      <c r="L145" s="43">
        <f>IFERROR(INDEX('الإجازات'!$M$3:$M$502,139),"")</f>
        <v/>
      </c>
    </row>
    <row r="146">
      <c r="A146" s="50">
        <f>IFERROR(INDEX('الإجازات'!$A$3:$A$502,140),"")</f>
        <v/>
      </c>
      <c r="B146" s="50">
        <f>IFERROR(INDEX('الإجازات'!$B$3:$B$502,140),"")</f>
        <v/>
      </c>
      <c r="C146" s="50">
        <f>IFERROR(INDEX('الإجازات'!$C$3:$C$502,140),"")</f>
        <v/>
      </c>
      <c r="D146" s="50">
        <f>IFERROR(INDEX('الإجازات'!$D$3:$D$502,140),"")</f>
        <v/>
      </c>
      <c r="E146" s="119">
        <f>IFERROR(INDEX('الإجازات'!$F$3:$F$502,140),"")</f>
        <v/>
      </c>
      <c r="F146" s="119">
        <f>IFERROR(INDEX('الإجازات'!$G$3:$G$502,140),"")</f>
        <v/>
      </c>
      <c r="G146" s="51">
        <f>IFERROR(INDEX('الإجازات'!$H$3:$H$502,140),"")</f>
        <v/>
      </c>
      <c r="H146" s="51">
        <f>IFERROR(INDEX('الإجازات'!$I$3:$I$502,140),"")</f>
        <v/>
      </c>
      <c r="I146" s="51">
        <f>IFERROR(INDEX('الإجازات'!$J$3:$J$502,140),"")</f>
        <v/>
      </c>
      <c r="J146" s="51">
        <f>IFERROR(INDEX('الإجازات'!$K$3:$K$502,140),"")</f>
        <v/>
      </c>
      <c r="K146" s="50">
        <f>IFERROR(INDEX('الإجازات'!$L$3:$L$502,140),"")</f>
        <v/>
      </c>
      <c r="L146" s="50">
        <f>IFERROR(INDEX('الإجازات'!$M$3:$M$502,140),"")</f>
        <v/>
      </c>
    </row>
    <row r="147">
      <c r="A147" s="43">
        <f>IFERROR(INDEX('الإجازات'!$A$3:$A$502,141),"")</f>
        <v/>
      </c>
      <c r="B147" s="43">
        <f>IFERROR(INDEX('الإجازات'!$B$3:$B$502,141),"")</f>
        <v/>
      </c>
      <c r="C147" s="43">
        <f>IFERROR(INDEX('الإجازات'!$C$3:$C$502,141),"")</f>
        <v/>
      </c>
      <c r="D147" s="43">
        <f>IFERROR(INDEX('الإجازات'!$D$3:$D$502,141),"")</f>
        <v/>
      </c>
      <c r="E147" s="118">
        <f>IFERROR(INDEX('الإجازات'!$F$3:$F$502,141),"")</f>
        <v/>
      </c>
      <c r="F147" s="118">
        <f>IFERROR(INDEX('الإجازات'!$G$3:$G$502,141),"")</f>
        <v/>
      </c>
      <c r="G147" s="44">
        <f>IFERROR(INDEX('الإجازات'!$H$3:$H$502,141),"")</f>
        <v/>
      </c>
      <c r="H147" s="44">
        <f>IFERROR(INDEX('الإجازات'!$I$3:$I$502,141),"")</f>
        <v/>
      </c>
      <c r="I147" s="44">
        <f>IFERROR(INDEX('الإجازات'!$J$3:$J$502,141),"")</f>
        <v/>
      </c>
      <c r="J147" s="44">
        <f>IFERROR(INDEX('الإجازات'!$K$3:$K$502,141),"")</f>
        <v/>
      </c>
      <c r="K147" s="43">
        <f>IFERROR(INDEX('الإجازات'!$L$3:$L$502,141),"")</f>
        <v/>
      </c>
      <c r="L147" s="43">
        <f>IFERROR(INDEX('الإجازات'!$M$3:$M$502,141),"")</f>
        <v/>
      </c>
    </row>
    <row r="148">
      <c r="A148" s="50">
        <f>IFERROR(INDEX('الإجازات'!$A$3:$A$502,142),"")</f>
        <v/>
      </c>
      <c r="B148" s="50">
        <f>IFERROR(INDEX('الإجازات'!$B$3:$B$502,142),"")</f>
        <v/>
      </c>
      <c r="C148" s="50">
        <f>IFERROR(INDEX('الإجازات'!$C$3:$C$502,142),"")</f>
        <v/>
      </c>
      <c r="D148" s="50">
        <f>IFERROR(INDEX('الإجازات'!$D$3:$D$502,142),"")</f>
        <v/>
      </c>
      <c r="E148" s="119">
        <f>IFERROR(INDEX('الإجازات'!$F$3:$F$502,142),"")</f>
        <v/>
      </c>
      <c r="F148" s="119">
        <f>IFERROR(INDEX('الإجازات'!$G$3:$G$502,142),"")</f>
        <v/>
      </c>
      <c r="G148" s="51">
        <f>IFERROR(INDEX('الإجازات'!$H$3:$H$502,142),"")</f>
        <v/>
      </c>
      <c r="H148" s="51">
        <f>IFERROR(INDEX('الإجازات'!$I$3:$I$502,142),"")</f>
        <v/>
      </c>
      <c r="I148" s="51">
        <f>IFERROR(INDEX('الإجازات'!$J$3:$J$502,142),"")</f>
        <v/>
      </c>
      <c r="J148" s="51">
        <f>IFERROR(INDEX('الإجازات'!$K$3:$K$502,142),"")</f>
        <v/>
      </c>
      <c r="K148" s="50">
        <f>IFERROR(INDEX('الإجازات'!$L$3:$L$502,142),"")</f>
        <v/>
      </c>
      <c r="L148" s="50">
        <f>IFERROR(INDEX('الإجازات'!$M$3:$M$502,142),"")</f>
        <v/>
      </c>
    </row>
    <row r="149">
      <c r="A149" s="43">
        <f>IFERROR(INDEX('الإجازات'!$A$3:$A$502,143),"")</f>
        <v/>
      </c>
      <c r="B149" s="43">
        <f>IFERROR(INDEX('الإجازات'!$B$3:$B$502,143),"")</f>
        <v/>
      </c>
      <c r="C149" s="43">
        <f>IFERROR(INDEX('الإجازات'!$C$3:$C$502,143),"")</f>
        <v/>
      </c>
      <c r="D149" s="43">
        <f>IFERROR(INDEX('الإجازات'!$D$3:$D$502,143),"")</f>
        <v/>
      </c>
      <c r="E149" s="118">
        <f>IFERROR(INDEX('الإجازات'!$F$3:$F$502,143),"")</f>
        <v/>
      </c>
      <c r="F149" s="118">
        <f>IFERROR(INDEX('الإجازات'!$G$3:$G$502,143),"")</f>
        <v/>
      </c>
      <c r="G149" s="44">
        <f>IFERROR(INDEX('الإجازات'!$H$3:$H$502,143),"")</f>
        <v/>
      </c>
      <c r="H149" s="44">
        <f>IFERROR(INDEX('الإجازات'!$I$3:$I$502,143),"")</f>
        <v/>
      </c>
      <c r="I149" s="44">
        <f>IFERROR(INDEX('الإجازات'!$J$3:$J$502,143),"")</f>
        <v/>
      </c>
      <c r="J149" s="44">
        <f>IFERROR(INDEX('الإجازات'!$K$3:$K$502,143),"")</f>
        <v/>
      </c>
      <c r="K149" s="43">
        <f>IFERROR(INDEX('الإجازات'!$L$3:$L$502,143),"")</f>
        <v/>
      </c>
      <c r="L149" s="43">
        <f>IFERROR(INDEX('الإجازات'!$M$3:$M$502,143),"")</f>
        <v/>
      </c>
    </row>
    <row r="150">
      <c r="A150" s="50">
        <f>IFERROR(INDEX('الإجازات'!$A$3:$A$502,144),"")</f>
        <v/>
      </c>
      <c r="B150" s="50">
        <f>IFERROR(INDEX('الإجازات'!$B$3:$B$502,144),"")</f>
        <v/>
      </c>
      <c r="C150" s="50">
        <f>IFERROR(INDEX('الإجازات'!$C$3:$C$502,144),"")</f>
        <v/>
      </c>
      <c r="D150" s="50">
        <f>IFERROR(INDEX('الإجازات'!$D$3:$D$502,144),"")</f>
        <v/>
      </c>
      <c r="E150" s="119">
        <f>IFERROR(INDEX('الإجازات'!$F$3:$F$502,144),"")</f>
        <v/>
      </c>
      <c r="F150" s="119">
        <f>IFERROR(INDEX('الإجازات'!$G$3:$G$502,144),"")</f>
        <v/>
      </c>
      <c r="G150" s="51">
        <f>IFERROR(INDEX('الإجازات'!$H$3:$H$502,144),"")</f>
        <v/>
      </c>
      <c r="H150" s="51">
        <f>IFERROR(INDEX('الإجازات'!$I$3:$I$502,144),"")</f>
        <v/>
      </c>
      <c r="I150" s="51">
        <f>IFERROR(INDEX('الإجازات'!$J$3:$J$502,144),"")</f>
        <v/>
      </c>
      <c r="J150" s="51">
        <f>IFERROR(INDEX('الإجازات'!$K$3:$K$502,144),"")</f>
        <v/>
      </c>
      <c r="K150" s="50">
        <f>IFERROR(INDEX('الإجازات'!$L$3:$L$502,144),"")</f>
        <v/>
      </c>
      <c r="L150" s="50">
        <f>IFERROR(INDEX('الإجازات'!$M$3:$M$502,144),"")</f>
        <v/>
      </c>
    </row>
    <row r="151">
      <c r="A151" s="43">
        <f>IFERROR(INDEX('الإجازات'!$A$3:$A$502,145),"")</f>
        <v/>
      </c>
      <c r="B151" s="43">
        <f>IFERROR(INDEX('الإجازات'!$B$3:$B$502,145),"")</f>
        <v/>
      </c>
      <c r="C151" s="43">
        <f>IFERROR(INDEX('الإجازات'!$C$3:$C$502,145),"")</f>
        <v/>
      </c>
      <c r="D151" s="43">
        <f>IFERROR(INDEX('الإجازات'!$D$3:$D$502,145),"")</f>
        <v/>
      </c>
      <c r="E151" s="118">
        <f>IFERROR(INDEX('الإجازات'!$F$3:$F$502,145),"")</f>
        <v/>
      </c>
      <c r="F151" s="118">
        <f>IFERROR(INDEX('الإجازات'!$G$3:$G$502,145),"")</f>
        <v/>
      </c>
      <c r="G151" s="44">
        <f>IFERROR(INDEX('الإجازات'!$H$3:$H$502,145),"")</f>
        <v/>
      </c>
      <c r="H151" s="44">
        <f>IFERROR(INDEX('الإجازات'!$I$3:$I$502,145),"")</f>
        <v/>
      </c>
      <c r="I151" s="44">
        <f>IFERROR(INDEX('الإجازات'!$J$3:$J$502,145),"")</f>
        <v/>
      </c>
      <c r="J151" s="44">
        <f>IFERROR(INDEX('الإجازات'!$K$3:$K$502,145),"")</f>
        <v/>
      </c>
      <c r="K151" s="43">
        <f>IFERROR(INDEX('الإجازات'!$L$3:$L$502,145),"")</f>
        <v/>
      </c>
      <c r="L151" s="43">
        <f>IFERROR(INDEX('الإجازات'!$M$3:$M$502,145),"")</f>
        <v/>
      </c>
    </row>
    <row r="152">
      <c r="A152" s="50">
        <f>IFERROR(INDEX('الإجازات'!$A$3:$A$502,146),"")</f>
        <v/>
      </c>
      <c r="B152" s="50">
        <f>IFERROR(INDEX('الإجازات'!$B$3:$B$502,146),"")</f>
        <v/>
      </c>
      <c r="C152" s="50">
        <f>IFERROR(INDEX('الإجازات'!$C$3:$C$502,146),"")</f>
        <v/>
      </c>
      <c r="D152" s="50">
        <f>IFERROR(INDEX('الإجازات'!$D$3:$D$502,146),"")</f>
        <v/>
      </c>
      <c r="E152" s="119">
        <f>IFERROR(INDEX('الإجازات'!$F$3:$F$502,146),"")</f>
        <v/>
      </c>
      <c r="F152" s="119">
        <f>IFERROR(INDEX('الإجازات'!$G$3:$G$502,146),"")</f>
        <v/>
      </c>
      <c r="G152" s="51">
        <f>IFERROR(INDEX('الإجازات'!$H$3:$H$502,146),"")</f>
        <v/>
      </c>
      <c r="H152" s="51">
        <f>IFERROR(INDEX('الإجازات'!$I$3:$I$502,146),"")</f>
        <v/>
      </c>
      <c r="I152" s="51">
        <f>IFERROR(INDEX('الإجازات'!$J$3:$J$502,146),"")</f>
        <v/>
      </c>
      <c r="J152" s="51">
        <f>IFERROR(INDEX('الإجازات'!$K$3:$K$502,146),"")</f>
        <v/>
      </c>
      <c r="K152" s="50">
        <f>IFERROR(INDEX('الإجازات'!$L$3:$L$502,146),"")</f>
        <v/>
      </c>
      <c r="L152" s="50">
        <f>IFERROR(INDEX('الإجازات'!$M$3:$M$502,146),"")</f>
        <v/>
      </c>
    </row>
    <row r="153">
      <c r="A153" s="43">
        <f>IFERROR(INDEX('الإجازات'!$A$3:$A$502,147),"")</f>
        <v/>
      </c>
      <c r="B153" s="43">
        <f>IFERROR(INDEX('الإجازات'!$B$3:$B$502,147),"")</f>
        <v/>
      </c>
      <c r="C153" s="43">
        <f>IFERROR(INDEX('الإجازات'!$C$3:$C$502,147),"")</f>
        <v/>
      </c>
      <c r="D153" s="43">
        <f>IFERROR(INDEX('الإجازات'!$D$3:$D$502,147),"")</f>
        <v/>
      </c>
      <c r="E153" s="118">
        <f>IFERROR(INDEX('الإجازات'!$F$3:$F$502,147),"")</f>
        <v/>
      </c>
      <c r="F153" s="118">
        <f>IFERROR(INDEX('الإجازات'!$G$3:$G$502,147),"")</f>
        <v/>
      </c>
      <c r="G153" s="44">
        <f>IFERROR(INDEX('الإجازات'!$H$3:$H$502,147),"")</f>
        <v/>
      </c>
      <c r="H153" s="44">
        <f>IFERROR(INDEX('الإجازات'!$I$3:$I$502,147),"")</f>
        <v/>
      </c>
      <c r="I153" s="44">
        <f>IFERROR(INDEX('الإجازات'!$J$3:$J$502,147),"")</f>
        <v/>
      </c>
      <c r="J153" s="44">
        <f>IFERROR(INDEX('الإجازات'!$K$3:$K$502,147),"")</f>
        <v/>
      </c>
      <c r="K153" s="43">
        <f>IFERROR(INDEX('الإجازات'!$L$3:$L$502,147),"")</f>
        <v/>
      </c>
      <c r="L153" s="43">
        <f>IFERROR(INDEX('الإجازات'!$M$3:$M$502,147),"")</f>
        <v/>
      </c>
    </row>
    <row r="154">
      <c r="A154" s="50">
        <f>IFERROR(INDEX('الإجازات'!$A$3:$A$502,148),"")</f>
        <v/>
      </c>
      <c r="B154" s="50">
        <f>IFERROR(INDEX('الإجازات'!$B$3:$B$502,148),"")</f>
        <v/>
      </c>
      <c r="C154" s="50">
        <f>IFERROR(INDEX('الإجازات'!$C$3:$C$502,148),"")</f>
        <v/>
      </c>
      <c r="D154" s="50">
        <f>IFERROR(INDEX('الإجازات'!$D$3:$D$502,148),"")</f>
        <v/>
      </c>
      <c r="E154" s="119">
        <f>IFERROR(INDEX('الإجازات'!$F$3:$F$502,148),"")</f>
        <v/>
      </c>
      <c r="F154" s="119">
        <f>IFERROR(INDEX('الإجازات'!$G$3:$G$502,148),"")</f>
        <v/>
      </c>
      <c r="G154" s="51">
        <f>IFERROR(INDEX('الإجازات'!$H$3:$H$502,148),"")</f>
        <v/>
      </c>
      <c r="H154" s="51">
        <f>IFERROR(INDEX('الإجازات'!$I$3:$I$502,148),"")</f>
        <v/>
      </c>
      <c r="I154" s="51">
        <f>IFERROR(INDEX('الإجازات'!$J$3:$J$502,148),"")</f>
        <v/>
      </c>
      <c r="J154" s="51">
        <f>IFERROR(INDEX('الإجازات'!$K$3:$K$502,148),"")</f>
        <v/>
      </c>
      <c r="K154" s="50">
        <f>IFERROR(INDEX('الإجازات'!$L$3:$L$502,148),"")</f>
        <v/>
      </c>
      <c r="L154" s="50">
        <f>IFERROR(INDEX('الإجازات'!$M$3:$M$502,148),"")</f>
        <v/>
      </c>
    </row>
    <row r="155">
      <c r="A155" s="43">
        <f>IFERROR(INDEX('الإجازات'!$A$3:$A$502,149),"")</f>
        <v/>
      </c>
      <c r="B155" s="43">
        <f>IFERROR(INDEX('الإجازات'!$B$3:$B$502,149),"")</f>
        <v/>
      </c>
      <c r="C155" s="43">
        <f>IFERROR(INDEX('الإجازات'!$C$3:$C$502,149),"")</f>
        <v/>
      </c>
      <c r="D155" s="43">
        <f>IFERROR(INDEX('الإجازات'!$D$3:$D$502,149),"")</f>
        <v/>
      </c>
      <c r="E155" s="118">
        <f>IFERROR(INDEX('الإجازات'!$F$3:$F$502,149),"")</f>
        <v/>
      </c>
      <c r="F155" s="118">
        <f>IFERROR(INDEX('الإجازات'!$G$3:$G$502,149),"")</f>
        <v/>
      </c>
      <c r="G155" s="44">
        <f>IFERROR(INDEX('الإجازات'!$H$3:$H$502,149),"")</f>
        <v/>
      </c>
      <c r="H155" s="44">
        <f>IFERROR(INDEX('الإجازات'!$I$3:$I$502,149),"")</f>
        <v/>
      </c>
      <c r="I155" s="44">
        <f>IFERROR(INDEX('الإجازات'!$J$3:$J$502,149),"")</f>
        <v/>
      </c>
      <c r="J155" s="44">
        <f>IFERROR(INDEX('الإجازات'!$K$3:$K$502,149),"")</f>
        <v/>
      </c>
      <c r="K155" s="43">
        <f>IFERROR(INDEX('الإجازات'!$L$3:$L$502,149),"")</f>
        <v/>
      </c>
      <c r="L155" s="43">
        <f>IFERROR(INDEX('الإجازات'!$M$3:$M$502,149),"")</f>
        <v/>
      </c>
    </row>
    <row r="156">
      <c r="A156" s="50">
        <f>IFERROR(INDEX('الإجازات'!$A$3:$A$502,150),"")</f>
        <v/>
      </c>
      <c r="B156" s="50">
        <f>IFERROR(INDEX('الإجازات'!$B$3:$B$502,150),"")</f>
        <v/>
      </c>
      <c r="C156" s="50">
        <f>IFERROR(INDEX('الإجازات'!$C$3:$C$502,150),"")</f>
        <v/>
      </c>
      <c r="D156" s="50">
        <f>IFERROR(INDEX('الإجازات'!$D$3:$D$502,150),"")</f>
        <v/>
      </c>
      <c r="E156" s="119">
        <f>IFERROR(INDEX('الإجازات'!$F$3:$F$502,150),"")</f>
        <v/>
      </c>
      <c r="F156" s="119">
        <f>IFERROR(INDEX('الإجازات'!$G$3:$G$502,150),"")</f>
        <v/>
      </c>
      <c r="G156" s="51">
        <f>IFERROR(INDEX('الإجازات'!$H$3:$H$502,150),"")</f>
        <v/>
      </c>
      <c r="H156" s="51">
        <f>IFERROR(INDEX('الإجازات'!$I$3:$I$502,150),"")</f>
        <v/>
      </c>
      <c r="I156" s="51">
        <f>IFERROR(INDEX('الإجازات'!$J$3:$J$502,150),"")</f>
        <v/>
      </c>
      <c r="J156" s="51">
        <f>IFERROR(INDEX('الإجازات'!$K$3:$K$502,150),"")</f>
        <v/>
      </c>
      <c r="K156" s="50">
        <f>IFERROR(INDEX('الإجازات'!$L$3:$L$502,150),"")</f>
        <v/>
      </c>
      <c r="L156" s="50">
        <f>IFERROR(INDEX('الإجازات'!$M$3:$M$502,150),"")</f>
        <v/>
      </c>
    </row>
    <row r="157">
      <c r="A157" s="43">
        <f>IFERROR(INDEX('الإجازات'!$A$3:$A$502,151),"")</f>
        <v/>
      </c>
      <c r="B157" s="43">
        <f>IFERROR(INDEX('الإجازات'!$B$3:$B$502,151),"")</f>
        <v/>
      </c>
      <c r="C157" s="43">
        <f>IFERROR(INDEX('الإجازات'!$C$3:$C$502,151),"")</f>
        <v/>
      </c>
      <c r="D157" s="43">
        <f>IFERROR(INDEX('الإجازات'!$D$3:$D$502,151),"")</f>
        <v/>
      </c>
      <c r="E157" s="118">
        <f>IFERROR(INDEX('الإجازات'!$F$3:$F$502,151),"")</f>
        <v/>
      </c>
      <c r="F157" s="118">
        <f>IFERROR(INDEX('الإجازات'!$G$3:$G$502,151),"")</f>
        <v/>
      </c>
      <c r="G157" s="44">
        <f>IFERROR(INDEX('الإجازات'!$H$3:$H$502,151),"")</f>
        <v/>
      </c>
      <c r="H157" s="44">
        <f>IFERROR(INDEX('الإجازات'!$I$3:$I$502,151),"")</f>
        <v/>
      </c>
      <c r="I157" s="44">
        <f>IFERROR(INDEX('الإجازات'!$J$3:$J$502,151),"")</f>
        <v/>
      </c>
      <c r="J157" s="44">
        <f>IFERROR(INDEX('الإجازات'!$K$3:$K$502,151),"")</f>
        <v/>
      </c>
      <c r="K157" s="43">
        <f>IFERROR(INDEX('الإجازات'!$L$3:$L$502,151),"")</f>
        <v/>
      </c>
      <c r="L157" s="43">
        <f>IFERROR(INDEX('الإجازات'!$M$3:$M$502,151),"")</f>
        <v/>
      </c>
    </row>
    <row r="158">
      <c r="A158" s="50">
        <f>IFERROR(INDEX('الإجازات'!$A$3:$A$502,152),"")</f>
        <v/>
      </c>
      <c r="B158" s="50">
        <f>IFERROR(INDEX('الإجازات'!$B$3:$B$502,152),"")</f>
        <v/>
      </c>
      <c r="C158" s="50">
        <f>IFERROR(INDEX('الإجازات'!$C$3:$C$502,152),"")</f>
        <v/>
      </c>
      <c r="D158" s="50">
        <f>IFERROR(INDEX('الإجازات'!$D$3:$D$502,152),"")</f>
        <v/>
      </c>
      <c r="E158" s="119">
        <f>IFERROR(INDEX('الإجازات'!$F$3:$F$502,152),"")</f>
        <v/>
      </c>
      <c r="F158" s="119">
        <f>IFERROR(INDEX('الإجازات'!$G$3:$G$502,152),"")</f>
        <v/>
      </c>
      <c r="G158" s="51">
        <f>IFERROR(INDEX('الإجازات'!$H$3:$H$502,152),"")</f>
        <v/>
      </c>
      <c r="H158" s="51">
        <f>IFERROR(INDEX('الإجازات'!$I$3:$I$502,152),"")</f>
        <v/>
      </c>
      <c r="I158" s="51">
        <f>IFERROR(INDEX('الإجازات'!$J$3:$J$502,152),"")</f>
        <v/>
      </c>
      <c r="J158" s="51">
        <f>IFERROR(INDEX('الإجازات'!$K$3:$K$502,152),"")</f>
        <v/>
      </c>
      <c r="K158" s="50">
        <f>IFERROR(INDEX('الإجازات'!$L$3:$L$502,152),"")</f>
        <v/>
      </c>
      <c r="L158" s="50">
        <f>IFERROR(INDEX('الإجازات'!$M$3:$M$502,152),"")</f>
        <v/>
      </c>
    </row>
    <row r="159">
      <c r="A159" s="43">
        <f>IFERROR(INDEX('الإجازات'!$A$3:$A$502,153),"")</f>
        <v/>
      </c>
      <c r="B159" s="43">
        <f>IFERROR(INDEX('الإجازات'!$B$3:$B$502,153),"")</f>
        <v/>
      </c>
      <c r="C159" s="43">
        <f>IFERROR(INDEX('الإجازات'!$C$3:$C$502,153),"")</f>
        <v/>
      </c>
      <c r="D159" s="43">
        <f>IFERROR(INDEX('الإجازات'!$D$3:$D$502,153),"")</f>
        <v/>
      </c>
      <c r="E159" s="118">
        <f>IFERROR(INDEX('الإجازات'!$F$3:$F$502,153),"")</f>
        <v/>
      </c>
      <c r="F159" s="118">
        <f>IFERROR(INDEX('الإجازات'!$G$3:$G$502,153),"")</f>
        <v/>
      </c>
      <c r="G159" s="44">
        <f>IFERROR(INDEX('الإجازات'!$H$3:$H$502,153),"")</f>
        <v/>
      </c>
      <c r="H159" s="44">
        <f>IFERROR(INDEX('الإجازات'!$I$3:$I$502,153),"")</f>
        <v/>
      </c>
      <c r="I159" s="44">
        <f>IFERROR(INDEX('الإجازات'!$J$3:$J$502,153),"")</f>
        <v/>
      </c>
      <c r="J159" s="44">
        <f>IFERROR(INDEX('الإجازات'!$K$3:$K$502,153),"")</f>
        <v/>
      </c>
      <c r="K159" s="43">
        <f>IFERROR(INDEX('الإجازات'!$L$3:$L$502,153),"")</f>
        <v/>
      </c>
      <c r="L159" s="43">
        <f>IFERROR(INDEX('الإجازات'!$M$3:$M$502,153),"")</f>
        <v/>
      </c>
    </row>
    <row r="160">
      <c r="A160" s="50">
        <f>IFERROR(INDEX('الإجازات'!$A$3:$A$502,154),"")</f>
        <v/>
      </c>
      <c r="B160" s="50">
        <f>IFERROR(INDEX('الإجازات'!$B$3:$B$502,154),"")</f>
        <v/>
      </c>
      <c r="C160" s="50">
        <f>IFERROR(INDEX('الإجازات'!$C$3:$C$502,154),"")</f>
        <v/>
      </c>
      <c r="D160" s="50">
        <f>IFERROR(INDEX('الإجازات'!$D$3:$D$502,154),"")</f>
        <v/>
      </c>
      <c r="E160" s="119">
        <f>IFERROR(INDEX('الإجازات'!$F$3:$F$502,154),"")</f>
        <v/>
      </c>
      <c r="F160" s="119">
        <f>IFERROR(INDEX('الإجازات'!$G$3:$G$502,154),"")</f>
        <v/>
      </c>
      <c r="G160" s="51">
        <f>IFERROR(INDEX('الإجازات'!$H$3:$H$502,154),"")</f>
        <v/>
      </c>
      <c r="H160" s="51">
        <f>IFERROR(INDEX('الإجازات'!$I$3:$I$502,154),"")</f>
        <v/>
      </c>
      <c r="I160" s="51">
        <f>IFERROR(INDEX('الإجازات'!$J$3:$J$502,154),"")</f>
        <v/>
      </c>
      <c r="J160" s="51">
        <f>IFERROR(INDEX('الإجازات'!$K$3:$K$502,154),"")</f>
        <v/>
      </c>
      <c r="K160" s="50">
        <f>IFERROR(INDEX('الإجازات'!$L$3:$L$502,154),"")</f>
        <v/>
      </c>
      <c r="L160" s="50">
        <f>IFERROR(INDEX('الإجازات'!$M$3:$M$502,154),"")</f>
        <v/>
      </c>
    </row>
    <row r="161">
      <c r="A161" s="43">
        <f>IFERROR(INDEX('الإجازات'!$A$3:$A$502,155),"")</f>
        <v/>
      </c>
      <c r="B161" s="43">
        <f>IFERROR(INDEX('الإجازات'!$B$3:$B$502,155),"")</f>
        <v/>
      </c>
      <c r="C161" s="43">
        <f>IFERROR(INDEX('الإجازات'!$C$3:$C$502,155),"")</f>
        <v/>
      </c>
      <c r="D161" s="43">
        <f>IFERROR(INDEX('الإجازات'!$D$3:$D$502,155),"")</f>
        <v/>
      </c>
      <c r="E161" s="118">
        <f>IFERROR(INDEX('الإجازات'!$F$3:$F$502,155),"")</f>
        <v/>
      </c>
      <c r="F161" s="118">
        <f>IFERROR(INDEX('الإجازات'!$G$3:$G$502,155),"")</f>
        <v/>
      </c>
      <c r="G161" s="44">
        <f>IFERROR(INDEX('الإجازات'!$H$3:$H$502,155),"")</f>
        <v/>
      </c>
      <c r="H161" s="44">
        <f>IFERROR(INDEX('الإجازات'!$I$3:$I$502,155),"")</f>
        <v/>
      </c>
      <c r="I161" s="44">
        <f>IFERROR(INDEX('الإجازات'!$J$3:$J$502,155),"")</f>
        <v/>
      </c>
      <c r="J161" s="44">
        <f>IFERROR(INDEX('الإجازات'!$K$3:$K$502,155),"")</f>
        <v/>
      </c>
      <c r="K161" s="43">
        <f>IFERROR(INDEX('الإجازات'!$L$3:$L$502,155),"")</f>
        <v/>
      </c>
      <c r="L161" s="43">
        <f>IFERROR(INDEX('الإجازات'!$M$3:$M$502,155),"")</f>
        <v/>
      </c>
    </row>
    <row r="162">
      <c r="A162" s="50">
        <f>IFERROR(INDEX('الإجازات'!$A$3:$A$502,156),"")</f>
        <v/>
      </c>
      <c r="B162" s="50">
        <f>IFERROR(INDEX('الإجازات'!$B$3:$B$502,156),"")</f>
        <v/>
      </c>
      <c r="C162" s="50">
        <f>IFERROR(INDEX('الإجازات'!$C$3:$C$502,156),"")</f>
        <v/>
      </c>
      <c r="D162" s="50">
        <f>IFERROR(INDEX('الإجازات'!$D$3:$D$502,156),"")</f>
        <v/>
      </c>
      <c r="E162" s="119">
        <f>IFERROR(INDEX('الإجازات'!$F$3:$F$502,156),"")</f>
        <v/>
      </c>
      <c r="F162" s="119">
        <f>IFERROR(INDEX('الإجازات'!$G$3:$G$502,156),"")</f>
        <v/>
      </c>
      <c r="G162" s="51">
        <f>IFERROR(INDEX('الإجازات'!$H$3:$H$502,156),"")</f>
        <v/>
      </c>
      <c r="H162" s="51">
        <f>IFERROR(INDEX('الإجازات'!$I$3:$I$502,156),"")</f>
        <v/>
      </c>
      <c r="I162" s="51">
        <f>IFERROR(INDEX('الإجازات'!$J$3:$J$502,156),"")</f>
        <v/>
      </c>
      <c r="J162" s="51">
        <f>IFERROR(INDEX('الإجازات'!$K$3:$K$502,156),"")</f>
        <v/>
      </c>
      <c r="K162" s="50">
        <f>IFERROR(INDEX('الإجازات'!$L$3:$L$502,156),"")</f>
        <v/>
      </c>
      <c r="L162" s="50">
        <f>IFERROR(INDEX('الإجازات'!$M$3:$M$502,156),"")</f>
        <v/>
      </c>
    </row>
    <row r="163">
      <c r="A163" s="43">
        <f>IFERROR(INDEX('الإجازات'!$A$3:$A$502,157),"")</f>
        <v/>
      </c>
      <c r="B163" s="43">
        <f>IFERROR(INDEX('الإجازات'!$B$3:$B$502,157),"")</f>
        <v/>
      </c>
      <c r="C163" s="43">
        <f>IFERROR(INDEX('الإجازات'!$C$3:$C$502,157),"")</f>
        <v/>
      </c>
      <c r="D163" s="43">
        <f>IFERROR(INDEX('الإجازات'!$D$3:$D$502,157),"")</f>
        <v/>
      </c>
      <c r="E163" s="118">
        <f>IFERROR(INDEX('الإجازات'!$F$3:$F$502,157),"")</f>
        <v/>
      </c>
      <c r="F163" s="118">
        <f>IFERROR(INDEX('الإجازات'!$G$3:$G$502,157),"")</f>
        <v/>
      </c>
      <c r="G163" s="44">
        <f>IFERROR(INDEX('الإجازات'!$H$3:$H$502,157),"")</f>
        <v/>
      </c>
      <c r="H163" s="44">
        <f>IFERROR(INDEX('الإجازات'!$I$3:$I$502,157),"")</f>
        <v/>
      </c>
      <c r="I163" s="44">
        <f>IFERROR(INDEX('الإجازات'!$J$3:$J$502,157),"")</f>
        <v/>
      </c>
      <c r="J163" s="44">
        <f>IFERROR(INDEX('الإجازات'!$K$3:$K$502,157),"")</f>
        <v/>
      </c>
      <c r="K163" s="43">
        <f>IFERROR(INDEX('الإجازات'!$L$3:$L$502,157),"")</f>
        <v/>
      </c>
      <c r="L163" s="43">
        <f>IFERROR(INDEX('الإجازات'!$M$3:$M$502,157),"")</f>
        <v/>
      </c>
    </row>
    <row r="164">
      <c r="A164" s="50">
        <f>IFERROR(INDEX('الإجازات'!$A$3:$A$502,158),"")</f>
        <v/>
      </c>
      <c r="B164" s="50">
        <f>IFERROR(INDEX('الإجازات'!$B$3:$B$502,158),"")</f>
        <v/>
      </c>
      <c r="C164" s="50">
        <f>IFERROR(INDEX('الإجازات'!$C$3:$C$502,158),"")</f>
        <v/>
      </c>
      <c r="D164" s="50">
        <f>IFERROR(INDEX('الإجازات'!$D$3:$D$502,158),"")</f>
        <v/>
      </c>
      <c r="E164" s="119">
        <f>IFERROR(INDEX('الإجازات'!$F$3:$F$502,158),"")</f>
        <v/>
      </c>
      <c r="F164" s="119">
        <f>IFERROR(INDEX('الإجازات'!$G$3:$G$502,158),"")</f>
        <v/>
      </c>
      <c r="G164" s="51">
        <f>IFERROR(INDEX('الإجازات'!$H$3:$H$502,158),"")</f>
        <v/>
      </c>
      <c r="H164" s="51">
        <f>IFERROR(INDEX('الإجازات'!$I$3:$I$502,158),"")</f>
        <v/>
      </c>
      <c r="I164" s="51">
        <f>IFERROR(INDEX('الإجازات'!$J$3:$J$502,158),"")</f>
        <v/>
      </c>
      <c r="J164" s="51">
        <f>IFERROR(INDEX('الإجازات'!$K$3:$K$502,158),"")</f>
        <v/>
      </c>
      <c r="K164" s="50">
        <f>IFERROR(INDEX('الإجازات'!$L$3:$L$502,158),"")</f>
        <v/>
      </c>
      <c r="L164" s="50">
        <f>IFERROR(INDEX('الإجازات'!$M$3:$M$502,158),"")</f>
        <v/>
      </c>
    </row>
    <row r="165">
      <c r="A165" s="43">
        <f>IFERROR(INDEX('الإجازات'!$A$3:$A$502,159),"")</f>
        <v/>
      </c>
      <c r="B165" s="43">
        <f>IFERROR(INDEX('الإجازات'!$B$3:$B$502,159),"")</f>
        <v/>
      </c>
      <c r="C165" s="43">
        <f>IFERROR(INDEX('الإجازات'!$C$3:$C$502,159),"")</f>
        <v/>
      </c>
      <c r="D165" s="43">
        <f>IFERROR(INDEX('الإجازات'!$D$3:$D$502,159),"")</f>
        <v/>
      </c>
      <c r="E165" s="118">
        <f>IFERROR(INDEX('الإجازات'!$F$3:$F$502,159),"")</f>
        <v/>
      </c>
      <c r="F165" s="118">
        <f>IFERROR(INDEX('الإجازات'!$G$3:$G$502,159),"")</f>
        <v/>
      </c>
      <c r="G165" s="44">
        <f>IFERROR(INDEX('الإجازات'!$H$3:$H$502,159),"")</f>
        <v/>
      </c>
      <c r="H165" s="44">
        <f>IFERROR(INDEX('الإجازات'!$I$3:$I$502,159),"")</f>
        <v/>
      </c>
      <c r="I165" s="44">
        <f>IFERROR(INDEX('الإجازات'!$J$3:$J$502,159),"")</f>
        <v/>
      </c>
      <c r="J165" s="44">
        <f>IFERROR(INDEX('الإجازات'!$K$3:$K$502,159),"")</f>
        <v/>
      </c>
      <c r="K165" s="43">
        <f>IFERROR(INDEX('الإجازات'!$L$3:$L$502,159),"")</f>
        <v/>
      </c>
      <c r="L165" s="43">
        <f>IFERROR(INDEX('الإجازات'!$M$3:$M$502,159),"")</f>
        <v/>
      </c>
    </row>
    <row r="166">
      <c r="A166" s="50">
        <f>IFERROR(INDEX('الإجازات'!$A$3:$A$502,160),"")</f>
        <v/>
      </c>
      <c r="B166" s="50">
        <f>IFERROR(INDEX('الإجازات'!$B$3:$B$502,160),"")</f>
        <v/>
      </c>
      <c r="C166" s="50">
        <f>IFERROR(INDEX('الإجازات'!$C$3:$C$502,160),"")</f>
        <v/>
      </c>
      <c r="D166" s="50">
        <f>IFERROR(INDEX('الإجازات'!$D$3:$D$502,160),"")</f>
        <v/>
      </c>
      <c r="E166" s="119">
        <f>IFERROR(INDEX('الإجازات'!$F$3:$F$502,160),"")</f>
        <v/>
      </c>
      <c r="F166" s="119">
        <f>IFERROR(INDEX('الإجازات'!$G$3:$G$502,160),"")</f>
        <v/>
      </c>
      <c r="G166" s="51">
        <f>IFERROR(INDEX('الإجازات'!$H$3:$H$502,160),"")</f>
        <v/>
      </c>
      <c r="H166" s="51">
        <f>IFERROR(INDEX('الإجازات'!$I$3:$I$502,160),"")</f>
        <v/>
      </c>
      <c r="I166" s="51">
        <f>IFERROR(INDEX('الإجازات'!$J$3:$J$502,160),"")</f>
        <v/>
      </c>
      <c r="J166" s="51">
        <f>IFERROR(INDEX('الإجازات'!$K$3:$K$502,160),"")</f>
        <v/>
      </c>
      <c r="K166" s="50">
        <f>IFERROR(INDEX('الإجازات'!$L$3:$L$502,160),"")</f>
        <v/>
      </c>
      <c r="L166" s="50">
        <f>IFERROR(INDEX('الإجازات'!$M$3:$M$502,160),"")</f>
        <v/>
      </c>
    </row>
    <row r="167">
      <c r="A167" s="43">
        <f>IFERROR(INDEX('الإجازات'!$A$3:$A$502,161),"")</f>
        <v/>
      </c>
      <c r="B167" s="43">
        <f>IFERROR(INDEX('الإجازات'!$B$3:$B$502,161),"")</f>
        <v/>
      </c>
      <c r="C167" s="43">
        <f>IFERROR(INDEX('الإجازات'!$C$3:$C$502,161),"")</f>
        <v/>
      </c>
      <c r="D167" s="43">
        <f>IFERROR(INDEX('الإجازات'!$D$3:$D$502,161),"")</f>
        <v/>
      </c>
      <c r="E167" s="118">
        <f>IFERROR(INDEX('الإجازات'!$F$3:$F$502,161),"")</f>
        <v/>
      </c>
      <c r="F167" s="118">
        <f>IFERROR(INDEX('الإجازات'!$G$3:$G$502,161),"")</f>
        <v/>
      </c>
      <c r="G167" s="44">
        <f>IFERROR(INDEX('الإجازات'!$H$3:$H$502,161),"")</f>
        <v/>
      </c>
      <c r="H167" s="44">
        <f>IFERROR(INDEX('الإجازات'!$I$3:$I$502,161),"")</f>
        <v/>
      </c>
      <c r="I167" s="44">
        <f>IFERROR(INDEX('الإجازات'!$J$3:$J$502,161),"")</f>
        <v/>
      </c>
      <c r="J167" s="44">
        <f>IFERROR(INDEX('الإجازات'!$K$3:$K$502,161),"")</f>
        <v/>
      </c>
      <c r="K167" s="43">
        <f>IFERROR(INDEX('الإجازات'!$L$3:$L$502,161),"")</f>
        <v/>
      </c>
      <c r="L167" s="43">
        <f>IFERROR(INDEX('الإجازات'!$M$3:$M$502,161),"")</f>
        <v/>
      </c>
    </row>
    <row r="168">
      <c r="A168" s="50">
        <f>IFERROR(INDEX('الإجازات'!$A$3:$A$502,162),"")</f>
        <v/>
      </c>
      <c r="B168" s="50">
        <f>IFERROR(INDEX('الإجازات'!$B$3:$B$502,162),"")</f>
        <v/>
      </c>
      <c r="C168" s="50">
        <f>IFERROR(INDEX('الإجازات'!$C$3:$C$502,162),"")</f>
        <v/>
      </c>
      <c r="D168" s="50">
        <f>IFERROR(INDEX('الإجازات'!$D$3:$D$502,162),"")</f>
        <v/>
      </c>
      <c r="E168" s="119">
        <f>IFERROR(INDEX('الإجازات'!$F$3:$F$502,162),"")</f>
        <v/>
      </c>
      <c r="F168" s="119">
        <f>IFERROR(INDEX('الإجازات'!$G$3:$G$502,162),"")</f>
        <v/>
      </c>
      <c r="G168" s="51">
        <f>IFERROR(INDEX('الإجازات'!$H$3:$H$502,162),"")</f>
        <v/>
      </c>
      <c r="H168" s="51">
        <f>IFERROR(INDEX('الإجازات'!$I$3:$I$502,162),"")</f>
        <v/>
      </c>
      <c r="I168" s="51">
        <f>IFERROR(INDEX('الإجازات'!$J$3:$J$502,162),"")</f>
        <v/>
      </c>
      <c r="J168" s="51">
        <f>IFERROR(INDEX('الإجازات'!$K$3:$K$502,162),"")</f>
        <v/>
      </c>
      <c r="K168" s="50">
        <f>IFERROR(INDEX('الإجازات'!$L$3:$L$502,162),"")</f>
        <v/>
      </c>
      <c r="L168" s="50">
        <f>IFERROR(INDEX('الإجازات'!$M$3:$M$502,162),"")</f>
        <v/>
      </c>
    </row>
    <row r="169">
      <c r="A169" s="43">
        <f>IFERROR(INDEX('الإجازات'!$A$3:$A$502,163),"")</f>
        <v/>
      </c>
      <c r="B169" s="43">
        <f>IFERROR(INDEX('الإجازات'!$B$3:$B$502,163),"")</f>
        <v/>
      </c>
      <c r="C169" s="43">
        <f>IFERROR(INDEX('الإجازات'!$C$3:$C$502,163),"")</f>
        <v/>
      </c>
      <c r="D169" s="43">
        <f>IFERROR(INDEX('الإجازات'!$D$3:$D$502,163),"")</f>
        <v/>
      </c>
      <c r="E169" s="118">
        <f>IFERROR(INDEX('الإجازات'!$F$3:$F$502,163),"")</f>
        <v/>
      </c>
      <c r="F169" s="118">
        <f>IFERROR(INDEX('الإجازات'!$G$3:$G$502,163),"")</f>
        <v/>
      </c>
      <c r="G169" s="44">
        <f>IFERROR(INDEX('الإجازات'!$H$3:$H$502,163),"")</f>
        <v/>
      </c>
      <c r="H169" s="44">
        <f>IFERROR(INDEX('الإجازات'!$I$3:$I$502,163),"")</f>
        <v/>
      </c>
      <c r="I169" s="44">
        <f>IFERROR(INDEX('الإجازات'!$J$3:$J$502,163),"")</f>
        <v/>
      </c>
      <c r="J169" s="44">
        <f>IFERROR(INDEX('الإجازات'!$K$3:$K$502,163),"")</f>
        <v/>
      </c>
      <c r="K169" s="43">
        <f>IFERROR(INDEX('الإجازات'!$L$3:$L$502,163),"")</f>
        <v/>
      </c>
      <c r="L169" s="43">
        <f>IFERROR(INDEX('الإجازات'!$M$3:$M$502,163),"")</f>
        <v/>
      </c>
    </row>
    <row r="170">
      <c r="A170" s="50">
        <f>IFERROR(INDEX('الإجازات'!$A$3:$A$502,164),"")</f>
        <v/>
      </c>
      <c r="B170" s="50">
        <f>IFERROR(INDEX('الإجازات'!$B$3:$B$502,164),"")</f>
        <v/>
      </c>
      <c r="C170" s="50">
        <f>IFERROR(INDEX('الإجازات'!$C$3:$C$502,164),"")</f>
        <v/>
      </c>
      <c r="D170" s="50">
        <f>IFERROR(INDEX('الإجازات'!$D$3:$D$502,164),"")</f>
        <v/>
      </c>
      <c r="E170" s="119">
        <f>IFERROR(INDEX('الإجازات'!$F$3:$F$502,164),"")</f>
        <v/>
      </c>
      <c r="F170" s="119">
        <f>IFERROR(INDEX('الإجازات'!$G$3:$G$502,164),"")</f>
        <v/>
      </c>
      <c r="G170" s="51">
        <f>IFERROR(INDEX('الإجازات'!$H$3:$H$502,164),"")</f>
        <v/>
      </c>
      <c r="H170" s="51">
        <f>IFERROR(INDEX('الإجازات'!$I$3:$I$502,164),"")</f>
        <v/>
      </c>
      <c r="I170" s="51">
        <f>IFERROR(INDEX('الإجازات'!$J$3:$J$502,164),"")</f>
        <v/>
      </c>
      <c r="J170" s="51">
        <f>IFERROR(INDEX('الإجازات'!$K$3:$K$502,164),"")</f>
        <v/>
      </c>
      <c r="K170" s="50">
        <f>IFERROR(INDEX('الإجازات'!$L$3:$L$502,164),"")</f>
        <v/>
      </c>
      <c r="L170" s="50">
        <f>IFERROR(INDEX('الإجازات'!$M$3:$M$502,164),"")</f>
        <v/>
      </c>
    </row>
    <row r="171">
      <c r="A171" s="43">
        <f>IFERROR(INDEX('الإجازات'!$A$3:$A$502,165),"")</f>
        <v/>
      </c>
      <c r="B171" s="43">
        <f>IFERROR(INDEX('الإجازات'!$B$3:$B$502,165),"")</f>
        <v/>
      </c>
      <c r="C171" s="43">
        <f>IFERROR(INDEX('الإجازات'!$C$3:$C$502,165),"")</f>
        <v/>
      </c>
      <c r="D171" s="43">
        <f>IFERROR(INDEX('الإجازات'!$D$3:$D$502,165),"")</f>
        <v/>
      </c>
      <c r="E171" s="118">
        <f>IFERROR(INDEX('الإجازات'!$F$3:$F$502,165),"")</f>
        <v/>
      </c>
      <c r="F171" s="118">
        <f>IFERROR(INDEX('الإجازات'!$G$3:$G$502,165),"")</f>
        <v/>
      </c>
      <c r="G171" s="44">
        <f>IFERROR(INDEX('الإجازات'!$H$3:$H$502,165),"")</f>
        <v/>
      </c>
      <c r="H171" s="44">
        <f>IFERROR(INDEX('الإجازات'!$I$3:$I$502,165),"")</f>
        <v/>
      </c>
      <c r="I171" s="44">
        <f>IFERROR(INDEX('الإجازات'!$J$3:$J$502,165),"")</f>
        <v/>
      </c>
      <c r="J171" s="44">
        <f>IFERROR(INDEX('الإجازات'!$K$3:$K$502,165),"")</f>
        <v/>
      </c>
      <c r="K171" s="43">
        <f>IFERROR(INDEX('الإجازات'!$L$3:$L$502,165),"")</f>
        <v/>
      </c>
      <c r="L171" s="43">
        <f>IFERROR(INDEX('الإجازات'!$M$3:$M$502,165),"")</f>
        <v/>
      </c>
    </row>
    <row r="172">
      <c r="A172" s="50">
        <f>IFERROR(INDEX('الإجازات'!$A$3:$A$502,166),"")</f>
        <v/>
      </c>
      <c r="B172" s="50">
        <f>IFERROR(INDEX('الإجازات'!$B$3:$B$502,166),"")</f>
        <v/>
      </c>
      <c r="C172" s="50">
        <f>IFERROR(INDEX('الإجازات'!$C$3:$C$502,166),"")</f>
        <v/>
      </c>
      <c r="D172" s="50">
        <f>IFERROR(INDEX('الإجازات'!$D$3:$D$502,166),"")</f>
        <v/>
      </c>
      <c r="E172" s="119">
        <f>IFERROR(INDEX('الإجازات'!$F$3:$F$502,166),"")</f>
        <v/>
      </c>
      <c r="F172" s="119">
        <f>IFERROR(INDEX('الإجازات'!$G$3:$G$502,166),"")</f>
        <v/>
      </c>
      <c r="G172" s="51">
        <f>IFERROR(INDEX('الإجازات'!$H$3:$H$502,166),"")</f>
        <v/>
      </c>
      <c r="H172" s="51">
        <f>IFERROR(INDEX('الإجازات'!$I$3:$I$502,166),"")</f>
        <v/>
      </c>
      <c r="I172" s="51">
        <f>IFERROR(INDEX('الإجازات'!$J$3:$J$502,166),"")</f>
        <v/>
      </c>
      <c r="J172" s="51">
        <f>IFERROR(INDEX('الإجازات'!$K$3:$K$502,166),"")</f>
        <v/>
      </c>
      <c r="K172" s="50">
        <f>IFERROR(INDEX('الإجازات'!$L$3:$L$502,166),"")</f>
        <v/>
      </c>
      <c r="L172" s="50">
        <f>IFERROR(INDEX('الإجازات'!$M$3:$M$502,166),"")</f>
        <v/>
      </c>
    </row>
    <row r="173">
      <c r="A173" s="43">
        <f>IFERROR(INDEX('الإجازات'!$A$3:$A$502,167),"")</f>
        <v/>
      </c>
      <c r="B173" s="43">
        <f>IFERROR(INDEX('الإجازات'!$B$3:$B$502,167),"")</f>
        <v/>
      </c>
      <c r="C173" s="43">
        <f>IFERROR(INDEX('الإجازات'!$C$3:$C$502,167),"")</f>
        <v/>
      </c>
      <c r="D173" s="43">
        <f>IFERROR(INDEX('الإجازات'!$D$3:$D$502,167),"")</f>
        <v/>
      </c>
      <c r="E173" s="118">
        <f>IFERROR(INDEX('الإجازات'!$F$3:$F$502,167),"")</f>
        <v/>
      </c>
      <c r="F173" s="118">
        <f>IFERROR(INDEX('الإجازات'!$G$3:$G$502,167),"")</f>
        <v/>
      </c>
      <c r="G173" s="44">
        <f>IFERROR(INDEX('الإجازات'!$H$3:$H$502,167),"")</f>
        <v/>
      </c>
      <c r="H173" s="44">
        <f>IFERROR(INDEX('الإجازات'!$I$3:$I$502,167),"")</f>
        <v/>
      </c>
      <c r="I173" s="44">
        <f>IFERROR(INDEX('الإجازات'!$J$3:$J$502,167),"")</f>
        <v/>
      </c>
      <c r="J173" s="44">
        <f>IFERROR(INDEX('الإجازات'!$K$3:$K$502,167),"")</f>
        <v/>
      </c>
      <c r="K173" s="43">
        <f>IFERROR(INDEX('الإجازات'!$L$3:$L$502,167),"")</f>
        <v/>
      </c>
      <c r="L173" s="43">
        <f>IFERROR(INDEX('الإجازات'!$M$3:$M$502,167),"")</f>
        <v/>
      </c>
    </row>
    <row r="174">
      <c r="A174" s="50">
        <f>IFERROR(INDEX('الإجازات'!$A$3:$A$502,168),"")</f>
        <v/>
      </c>
      <c r="B174" s="50">
        <f>IFERROR(INDEX('الإجازات'!$B$3:$B$502,168),"")</f>
        <v/>
      </c>
      <c r="C174" s="50">
        <f>IFERROR(INDEX('الإجازات'!$C$3:$C$502,168),"")</f>
        <v/>
      </c>
      <c r="D174" s="50">
        <f>IFERROR(INDEX('الإجازات'!$D$3:$D$502,168),"")</f>
        <v/>
      </c>
      <c r="E174" s="119">
        <f>IFERROR(INDEX('الإجازات'!$F$3:$F$502,168),"")</f>
        <v/>
      </c>
      <c r="F174" s="119">
        <f>IFERROR(INDEX('الإجازات'!$G$3:$G$502,168),"")</f>
        <v/>
      </c>
      <c r="G174" s="51">
        <f>IFERROR(INDEX('الإجازات'!$H$3:$H$502,168),"")</f>
        <v/>
      </c>
      <c r="H174" s="51">
        <f>IFERROR(INDEX('الإجازات'!$I$3:$I$502,168),"")</f>
        <v/>
      </c>
      <c r="I174" s="51">
        <f>IFERROR(INDEX('الإجازات'!$J$3:$J$502,168),"")</f>
        <v/>
      </c>
      <c r="J174" s="51">
        <f>IFERROR(INDEX('الإجازات'!$K$3:$K$502,168),"")</f>
        <v/>
      </c>
      <c r="K174" s="50">
        <f>IFERROR(INDEX('الإجازات'!$L$3:$L$502,168),"")</f>
        <v/>
      </c>
      <c r="L174" s="50">
        <f>IFERROR(INDEX('الإجازات'!$M$3:$M$502,168),"")</f>
        <v/>
      </c>
    </row>
    <row r="175">
      <c r="A175" s="43">
        <f>IFERROR(INDEX('الإجازات'!$A$3:$A$502,169),"")</f>
        <v/>
      </c>
      <c r="B175" s="43">
        <f>IFERROR(INDEX('الإجازات'!$B$3:$B$502,169),"")</f>
        <v/>
      </c>
      <c r="C175" s="43">
        <f>IFERROR(INDEX('الإجازات'!$C$3:$C$502,169),"")</f>
        <v/>
      </c>
      <c r="D175" s="43">
        <f>IFERROR(INDEX('الإجازات'!$D$3:$D$502,169),"")</f>
        <v/>
      </c>
      <c r="E175" s="118">
        <f>IFERROR(INDEX('الإجازات'!$F$3:$F$502,169),"")</f>
        <v/>
      </c>
      <c r="F175" s="118">
        <f>IFERROR(INDEX('الإجازات'!$G$3:$G$502,169),"")</f>
        <v/>
      </c>
      <c r="G175" s="44">
        <f>IFERROR(INDEX('الإجازات'!$H$3:$H$502,169),"")</f>
        <v/>
      </c>
      <c r="H175" s="44">
        <f>IFERROR(INDEX('الإجازات'!$I$3:$I$502,169),"")</f>
        <v/>
      </c>
      <c r="I175" s="44">
        <f>IFERROR(INDEX('الإجازات'!$J$3:$J$502,169),"")</f>
        <v/>
      </c>
      <c r="J175" s="44">
        <f>IFERROR(INDEX('الإجازات'!$K$3:$K$502,169),"")</f>
        <v/>
      </c>
      <c r="K175" s="43">
        <f>IFERROR(INDEX('الإجازات'!$L$3:$L$502,169),"")</f>
        <v/>
      </c>
      <c r="L175" s="43">
        <f>IFERROR(INDEX('الإجازات'!$M$3:$M$502,169),"")</f>
        <v/>
      </c>
    </row>
    <row r="176">
      <c r="A176" s="50">
        <f>IFERROR(INDEX('الإجازات'!$A$3:$A$502,170),"")</f>
        <v/>
      </c>
      <c r="B176" s="50">
        <f>IFERROR(INDEX('الإجازات'!$B$3:$B$502,170),"")</f>
        <v/>
      </c>
      <c r="C176" s="50">
        <f>IFERROR(INDEX('الإجازات'!$C$3:$C$502,170),"")</f>
        <v/>
      </c>
      <c r="D176" s="50">
        <f>IFERROR(INDEX('الإجازات'!$D$3:$D$502,170),"")</f>
        <v/>
      </c>
      <c r="E176" s="119">
        <f>IFERROR(INDEX('الإجازات'!$F$3:$F$502,170),"")</f>
        <v/>
      </c>
      <c r="F176" s="119">
        <f>IFERROR(INDEX('الإجازات'!$G$3:$G$502,170),"")</f>
        <v/>
      </c>
      <c r="G176" s="51">
        <f>IFERROR(INDEX('الإجازات'!$H$3:$H$502,170),"")</f>
        <v/>
      </c>
      <c r="H176" s="51">
        <f>IFERROR(INDEX('الإجازات'!$I$3:$I$502,170),"")</f>
        <v/>
      </c>
      <c r="I176" s="51">
        <f>IFERROR(INDEX('الإجازات'!$J$3:$J$502,170),"")</f>
        <v/>
      </c>
      <c r="J176" s="51">
        <f>IFERROR(INDEX('الإجازات'!$K$3:$K$502,170),"")</f>
        <v/>
      </c>
      <c r="K176" s="50">
        <f>IFERROR(INDEX('الإجازات'!$L$3:$L$502,170),"")</f>
        <v/>
      </c>
      <c r="L176" s="50">
        <f>IFERROR(INDEX('الإجازات'!$M$3:$M$502,170),"")</f>
        <v/>
      </c>
    </row>
    <row r="177">
      <c r="A177" s="43">
        <f>IFERROR(INDEX('الإجازات'!$A$3:$A$502,171),"")</f>
        <v/>
      </c>
      <c r="B177" s="43">
        <f>IFERROR(INDEX('الإجازات'!$B$3:$B$502,171),"")</f>
        <v/>
      </c>
      <c r="C177" s="43">
        <f>IFERROR(INDEX('الإجازات'!$C$3:$C$502,171),"")</f>
        <v/>
      </c>
      <c r="D177" s="43">
        <f>IFERROR(INDEX('الإجازات'!$D$3:$D$502,171),"")</f>
        <v/>
      </c>
      <c r="E177" s="118">
        <f>IFERROR(INDEX('الإجازات'!$F$3:$F$502,171),"")</f>
        <v/>
      </c>
      <c r="F177" s="118">
        <f>IFERROR(INDEX('الإجازات'!$G$3:$G$502,171),"")</f>
        <v/>
      </c>
      <c r="G177" s="44">
        <f>IFERROR(INDEX('الإجازات'!$H$3:$H$502,171),"")</f>
        <v/>
      </c>
      <c r="H177" s="44">
        <f>IFERROR(INDEX('الإجازات'!$I$3:$I$502,171),"")</f>
        <v/>
      </c>
      <c r="I177" s="44">
        <f>IFERROR(INDEX('الإجازات'!$J$3:$J$502,171),"")</f>
        <v/>
      </c>
      <c r="J177" s="44">
        <f>IFERROR(INDEX('الإجازات'!$K$3:$K$502,171),"")</f>
        <v/>
      </c>
      <c r="K177" s="43">
        <f>IFERROR(INDEX('الإجازات'!$L$3:$L$502,171),"")</f>
        <v/>
      </c>
      <c r="L177" s="43">
        <f>IFERROR(INDEX('الإجازات'!$M$3:$M$502,171),"")</f>
        <v/>
      </c>
    </row>
    <row r="178">
      <c r="A178" s="50">
        <f>IFERROR(INDEX('الإجازات'!$A$3:$A$502,172),"")</f>
        <v/>
      </c>
      <c r="B178" s="50">
        <f>IFERROR(INDEX('الإجازات'!$B$3:$B$502,172),"")</f>
        <v/>
      </c>
      <c r="C178" s="50">
        <f>IFERROR(INDEX('الإجازات'!$C$3:$C$502,172),"")</f>
        <v/>
      </c>
      <c r="D178" s="50">
        <f>IFERROR(INDEX('الإجازات'!$D$3:$D$502,172),"")</f>
        <v/>
      </c>
      <c r="E178" s="119">
        <f>IFERROR(INDEX('الإجازات'!$F$3:$F$502,172),"")</f>
        <v/>
      </c>
      <c r="F178" s="119">
        <f>IFERROR(INDEX('الإجازات'!$G$3:$G$502,172),"")</f>
        <v/>
      </c>
      <c r="G178" s="51">
        <f>IFERROR(INDEX('الإجازات'!$H$3:$H$502,172),"")</f>
        <v/>
      </c>
      <c r="H178" s="51">
        <f>IFERROR(INDEX('الإجازات'!$I$3:$I$502,172),"")</f>
        <v/>
      </c>
      <c r="I178" s="51">
        <f>IFERROR(INDEX('الإجازات'!$J$3:$J$502,172),"")</f>
        <v/>
      </c>
      <c r="J178" s="51">
        <f>IFERROR(INDEX('الإجازات'!$K$3:$K$502,172),"")</f>
        <v/>
      </c>
      <c r="K178" s="50">
        <f>IFERROR(INDEX('الإجازات'!$L$3:$L$502,172),"")</f>
        <v/>
      </c>
      <c r="L178" s="50">
        <f>IFERROR(INDEX('الإجازات'!$M$3:$M$502,172),"")</f>
        <v/>
      </c>
    </row>
    <row r="179">
      <c r="A179" s="43">
        <f>IFERROR(INDEX('الإجازات'!$A$3:$A$502,173),"")</f>
        <v/>
      </c>
      <c r="B179" s="43">
        <f>IFERROR(INDEX('الإجازات'!$B$3:$B$502,173),"")</f>
        <v/>
      </c>
      <c r="C179" s="43">
        <f>IFERROR(INDEX('الإجازات'!$C$3:$C$502,173),"")</f>
        <v/>
      </c>
      <c r="D179" s="43">
        <f>IFERROR(INDEX('الإجازات'!$D$3:$D$502,173),"")</f>
        <v/>
      </c>
      <c r="E179" s="118">
        <f>IFERROR(INDEX('الإجازات'!$F$3:$F$502,173),"")</f>
        <v/>
      </c>
      <c r="F179" s="118">
        <f>IFERROR(INDEX('الإجازات'!$G$3:$G$502,173),"")</f>
        <v/>
      </c>
      <c r="G179" s="44">
        <f>IFERROR(INDEX('الإجازات'!$H$3:$H$502,173),"")</f>
        <v/>
      </c>
      <c r="H179" s="44">
        <f>IFERROR(INDEX('الإجازات'!$I$3:$I$502,173),"")</f>
        <v/>
      </c>
      <c r="I179" s="44">
        <f>IFERROR(INDEX('الإجازات'!$J$3:$J$502,173),"")</f>
        <v/>
      </c>
      <c r="J179" s="44">
        <f>IFERROR(INDEX('الإجازات'!$K$3:$K$502,173),"")</f>
        <v/>
      </c>
      <c r="K179" s="43">
        <f>IFERROR(INDEX('الإجازات'!$L$3:$L$502,173),"")</f>
        <v/>
      </c>
      <c r="L179" s="43">
        <f>IFERROR(INDEX('الإجازات'!$M$3:$M$502,173),"")</f>
        <v/>
      </c>
    </row>
    <row r="180">
      <c r="A180" s="50">
        <f>IFERROR(INDEX('الإجازات'!$A$3:$A$502,174),"")</f>
        <v/>
      </c>
      <c r="B180" s="50">
        <f>IFERROR(INDEX('الإجازات'!$B$3:$B$502,174),"")</f>
        <v/>
      </c>
      <c r="C180" s="50">
        <f>IFERROR(INDEX('الإجازات'!$C$3:$C$502,174),"")</f>
        <v/>
      </c>
      <c r="D180" s="50">
        <f>IFERROR(INDEX('الإجازات'!$D$3:$D$502,174),"")</f>
        <v/>
      </c>
      <c r="E180" s="119">
        <f>IFERROR(INDEX('الإجازات'!$F$3:$F$502,174),"")</f>
        <v/>
      </c>
      <c r="F180" s="119">
        <f>IFERROR(INDEX('الإجازات'!$G$3:$G$502,174),"")</f>
        <v/>
      </c>
      <c r="G180" s="51">
        <f>IFERROR(INDEX('الإجازات'!$H$3:$H$502,174),"")</f>
        <v/>
      </c>
      <c r="H180" s="51">
        <f>IFERROR(INDEX('الإجازات'!$I$3:$I$502,174),"")</f>
        <v/>
      </c>
      <c r="I180" s="51">
        <f>IFERROR(INDEX('الإجازات'!$J$3:$J$502,174),"")</f>
        <v/>
      </c>
      <c r="J180" s="51">
        <f>IFERROR(INDEX('الإجازات'!$K$3:$K$502,174),"")</f>
        <v/>
      </c>
      <c r="K180" s="50">
        <f>IFERROR(INDEX('الإجازات'!$L$3:$L$502,174),"")</f>
        <v/>
      </c>
      <c r="L180" s="50">
        <f>IFERROR(INDEX('الإجازات'!$M$3:$M$502,174),"")</f>
        <v/>
      </c>
    </row>
    <row r="181">
      <c r="A181" s="43">
        <f>IFERROR(INDEX('الإجازات'!$A$3:$A$502,175),"")</f>
        <v/>
      </c>
      <c r="B181" s="43">
        <f>IFERROR(INDEX('الإجازات'!$B$3:$B$502,175),"")</f>
        <v/>
      </c>
      <c r="C181" s="43">
        <f>IFERROR(INDEX('الإجازات'!$C$3:$C$502,175),"")</f>
        <v/>
      </c>
      <c r="D181" s="43">
        <f>IFERROR(INDEX('الإجازات'!$D$3:$D$502,175),"")</f>
        <v/>
      </c>
      <c r="E181" s="118">
        <f>IFERROR(INDEX('الإجازات'!$F$3:$F$502,175),"")</f>
        <v/>
      </c>
      <c r="F181" s="118">
        <f>IFERROR(INDEX('الإجازات'!$G$3:$G$502,175),"")</f>
        <v/>
      </c>
      <c r="G181" s="44">
        <f>IFERROR(INDEX('الإجازات'!$H$3:$H$502,175),"")</f>
        <v/>
      </c>
      <c r="H181" s="44">
        <f>IFERROR(INDEX('الإجازات'!$I$3:$I$502,175),"")</f>
        <v/>
      </c>
      <c r="I181" s="44">
        <f>IFERROR(INDEX('الإجازات'!$J$3:$J$502,175),"")</f>
        <v/>
      </c>
      <c r="J181" s="44">
        <f>IFERROR(INDEX('الإجازات'!$K$3:$K$502,175),"")</f>
        <v/>
      </c>
      <c r="K181" s="43">
        <f>IFERROR(INDEX('الإجازات'!$L$3:$L$502,175),"")</f>
        <v/>
      </c>
      <c r="L181" s="43">
        <f>IFERROR(INDEX('الإجازات'!$M$3:$M$502,175),"")</f>
        <v/>
      </c>
    </row>
    <row r="182">
      <c r="A182" s="50">
        <f>IFERROR(INDEX('الإجازات'!$A$3:$A$502,176),"")</f>
        <v/>
      </c>
      <c r="B182" s="50">
        <f>IFERROR(INDEX('الإجازات'!$B$3:$B$502,176),"")</f>
        <v/>
      </c>
      <c r="C182" s="50">
        <f>IFERROR(INDEX('الإجازات'!$C$3:$C$502,176),"")</f>
        <v/>
      </c>
      <c r="D182" s="50">
        <f>IFERROR(INDEX('الإجازات'!$D$3:$D$502,176),"")</f>
        <v/>
      </c>
      <c r="E182" s="119">
        <f>IFERROR(INDEX('الإجازات'!$F$3:$F$502,176),"")</f>
        <v/>
      </c>
      <c r="F182" s="119">
        <f>IFERROR(INDEX('الإجازات'!$G$3:$G$502,176),"")</f>
        <v/>
      </c>
      <c r="G182" s="51">
        <f>IFERROR(INDEX('الإجازات'!$H$3:$H$502,176),"")</f>
        <v/>
      </c>
      <c r="H182" s="51">
        <f>IFERROR(INDEX('الإجازات'!$I$3:$I$502,176),"")</f>
        <v/>
      </c>
      <c r="I182" s="51">
        <f>IFERROR(INDEX('الإجازات'!$J$3:$J$502,176),"")</f>
        <v/>
      </c>
      <c r="J182" s="51">
        <f>IFERROR(INDEX('الإجازات'!$K$3:$K$502,176),"")</f>
        <v/>
      </c>
      <c r="K182" s="50">
        <f>IFERROR(INDEX('الإجازات'!$L$3:$L$502,176),"")</f>
        <v/>
      </c>
      <c r="L182" s="50">
        <f>IFERROR(INDEX('الإجازات'!$M$3:$M$502,176),"")</f>
        <v/>
      </c>
    </row>
    <row r="183">
      <c r="A183" s="43">
        <f>IFERROR(INDEX('الإجازات'!$A$3:$A$502,177),"")</f>
        <v/>
      </c>
      <c r="B183" s="43">
        <f>IFERROR(INDEX('الإجازات'!$B$3:$B$502,177),"")</f>
        <v/>
      </c>
      <c r="C183" s="43">
        <f>IFERROR(INDEX('الإجازات'!$C$3:$C$502,177),"")</f>
        <v/>
      </c>
      <c r="D183" s="43">
        <f>IFERROR(INDEX('الإجازات'!$D$3:$D$502,177),"")</f>
        <v/>
      </c>
      <c r="E183" s="118">
        <f>IFERROR(INDEX('الإجازات'!$F$3:$F$502,177),"")</f>
        <v/>
      </c>
      <c r="F183" s="118">
        <f>IFERROR(INDEX('الإجازات'!$G$3:$G$502,177),"")</f>
        <v/>
      </c>
      <c r="G183" s="44">
        <f>IFERROR(INDEX('الإجازات'!$H$3:$H$502,177),"")</f>
        <v/>
      </c>
      <c r="H183" s="44">
        <f>IFERROR(INDEX('الإجازات'!$I$3:$I$502,177),"")</f>
        <v/>
      </c>
      <c r="I183" s="44">
        <f>IFERROR(INDEX('الإجازات'!$J$3:$J$502,177),"")</f>
        <v/>
      </c>
      <c r="J183" s="44">
        <f>IFERROR(INDEX('الإجازات'!$K$3:$K$502,177),"")</f>
        <v/>
      </c>
      <c r="K183" s="43">
        <f>IFERROR(INDEX('الإجازات'!$L$3:$L$502,177),"")</f>
        <v/>
      </c>
      <c r="L183" s="43">
        <f>IFERROR(INDEX('الإجازات'!$M$3:$M$502,177),"")</f>
        <v/>
      </c>
    </row>
    <row r="184">
      <c r="A184" s="50">
        <f>IFERROR(INDEX('الإجازات'!$A$3:$A$502,178),"")</f>
        <v/>
      </c>
      <c r="B184" s="50">
        <f>IFERROR(INDEX('الإجازات'!$B$3:$B$502,178),"")</f>
        <v/>
      </c>
      <c r="C184" s="50">
        <f>IFERROR(INDEX('الإجازات'!$C$3:$C$502,178),"")</f>
        <v/>
      </c>
      <c r="D184" s="50">
        <f>IFERROR(INDEX('الإجازات'!$D$3:$D$502,178),"")</f>
        <v/>
      </c>
      <c r="E184" s="119">
        <f>IFERROR(INDEX('الإجازات'!$F$3:$F$502,178),"")</f>
        <v/>
      </c>
      <c r="F184" s="119">
        <f>IFERROR(INDEX('الإجازات'!$G$3:$G$502,178),"")</f>
        <v/>
      </c>
      <c r="G184" s="51">
        <f>IFERROR(INDEX('الإجازات'!$H$3:$H$502,178),"")</f>
        <v/>
      </c>
      <c r="H184" s="51">
        <f>IFERROR(INDEX('الإجازات'!$I$3:$I$502,178),"")</f>
        <v/>
      </c>
      <c r="I184" s="51">
        <f>IFERROR(INDEX('الإجازات'!$J$3:$J$502,178),"")</f>
        <v/>
      </c>
      <c r="J184" s="51">
        <f>IFERROR(INDEX('الإجازات'!$K$3:$K$502,178),"")</f>
        <v/>
      </c>
      <c r="K184" s="50">
        <f>IFERROR(INDEX('الإجازات'!$L$3:$L$502,178),"")</f>
        <v/>
      </c>
      <c r="L184" s="50">
        <f>IFERROR(INDEX('الإجازات'!$M$3:$M$502,178),"")</f>
        <v/>
      </c>
    </row>
    <row r="185">
      <c r="A185" s="43">
        <f>IFERROR(INDEX('الإجازات'!$A$3:$A$502,179),"")</f>
        <v/>
      </c>
      <c r="B185" s="43">
        <f>IFERROR(INDEX('الإجازات'!$B$3:$B$502,179),"")</f>
        <v/>
      </c>
      <c r="C185" s="43">
        <f>IFERROR(INDEX('الإجازات'!$C$3:$C$502,179),"")</f>
        <v/>
      </c>
      <c r="D185" s="43">
        <f>IFERROR(INDEX('الإجازات'!$D$3:$D$502,179),"")</f>
        <v/>
      </c>
      <c r="E185" s="118">
        <f>IFERROR(INDEX('الإجازات'!$F$3:$F$502,179),"")</f>
        <v/>
      </c>
      <c r="F185" s="118">
        <f>IFERROR(INDEX('الإجازات'!$G$3:$G$502,179),"")</f>
        <v/>
      </c>
      <c r="G185" s="44">
        <f>IFERROR(INDEX('الإجازات'!$H$3:$H$502,179),"")</f>
        <v/>
      </c>
      <c r="H185" s="44">
        <f>IFERROR(INDEX('الإجازات'!$I$3:$I$502,179),"")</f>
        <v/>
      </c>
      <c r="I185" s="44">
        <f>IFERROR(INDEX('الإجازات'!$J$3:$J$502,179),"")</f>
        <v/>
      </c>
      <c r="J185" s="44">
        <f>IFERROR(INDEX('الإجازات'!$K$3:$K$502,179),"")</f>
        <v/>
      </c>
      <c r="K185" s="43">
        <f>IFERROR(INDEX('الإجازات'!$L$3:$L$502,179),"")</f>
        <v/>
      </c>
      <c r="L185" s="43">
        <f>IFERROR(INDEX('الإجازات'!$M$3:$M$502,179),"")</f>
        <v/>
      </c>
    </row>
    <row r="186">
      <c r="A186" s="50">
        <f>IFERROR(INDEX('الإجازات'!$A$3:$A$502,180),"")</f>
        <v/>
      </c>
      <c r="B186" s="50">
        <f>IFERROR(INDEX('الإجازات'!$B$3:$B$502,180),"")</f>
        <v/>
      </c>
      <c r="C186" s="50">
        <f>IFERROR(INDEX('الإجازات'!$C$3:$C$502,180),"")</f>
        <v/>
      </c>
      <c r="D186" s="50">
        <f>IFERROR(INDEX('الإجازات'!$D$3:$D$502,180),"")</f>
        <v/>
      </c>
      <c r="E186" s="119">
        <f>IFERROR(INDEX('الإجازات'!$F$3:$F$502,180),"")</f>
        <v/>
      </c>
      <c r="F186" s="119">
        <f>IFERROR(INDEX('الإجازات'!$G$3:$G$502,180),"")</f>
        <v/>
      </c>
      <c r="G186" s="51">
        <f>IFERROR(INDEX('الإجازات'!$H$3:$H$502,180),"")</f>
        <v/>
      </c>
      <c r="H186" s="51">
        <f>IFERROR(INDEX('الإجازات'!$I$3:$I$502,180),"")</f>
        <v/>
      </c>
      <c r="I186" s="51">
        <f>IFERROR(INDEX('الإجازات'!$J$3:$J$502,180),"")</f>
        <v/>
      </c>
      <c r="J186" s="51">
        <f>IFERROR(INDEX('الإجازات'!$K$3:$K$502,180),"")</f>
        <v/>
      </c>
      <c r="K186" s="50">
        <f>IFERROR(INDEX('الإجازات'!$L$3:$L$502,180),"")</f>
        <v/>
      </c>
      <c r="L186" s="50">
        <f>IFERROR(INDEX('الإجازات'!$M$3:$M$502,180),"")</f>
        <v/>
      </c>
    </row>
    <row r="187">
      <c r="A187" s="43">
        <f>IFERROR(INDEX('الإجازات'!$A$3:$A$502,181),"")</f>
        <v/>
      </c>
      <c r="B187" s="43">
        <f>IFERROR(INDEX('الإجازات'!$B$3:$B$502,181),"")</f>
        <v/>
      </c>
      <c r="C187" s="43">
        <f>IFERROR(INDEX('الإجازات'!$C$3:$C$502,181),"")</f>
        <v/>
      </c>
      <c r="D187" s="43">
        <f>IFERROR(INDEX('الإجازات'!$D$3:$D$502,181),"")</f>
        <v/>
      </c>
      <c r="E187" s="118">
        <f>IFERROR(INDEX('الإجازات'!$F$3:$F$502,181),"")</f>
        <v/>
      </c>
      <c r="F187" s="118">
        <f>IFERROR(INDEX('الإجازات'!$G$3:$G$502,181),"")</f>
        <v/>
      </c>
      <c r="G187" s="44">
        <f>IFERROR(INDEX('الإجازات'!$H$3:$H$502,181),"")</f>
        <v/>
      </c>
      <c r="H187" s="44">
        <f>IFERROR(INDEX('الإجازات'!$I$3:$I$502,181),"")</f>
        <v/>
      </c>
      <c r="I187" s="44">
        <f>IFERROR(INDEX('الإجازات'!$J$3:$J$502,181),"")</f>
        <v/>
      </c>
      <c r="J187" s="44">
        <f>IFERROR(INDEX('الإجازات'!$K$3:$K$502,181),"")</f>
        <v/>
      </c>
      <c r="K187" s="43">
        <f>IFERROR(INDEX('الإجازات'!$L$3:$L$502,181),"")</f>
        <v/>
      </c>
      <c r="L187" s="43">
        <f>IFERROR(INDEX('الإجازات'!$M$3:$M$502,181),"")</f>
        <v/>
      </c>
    </row>
    <row r="188">
      <c r="A188" s="50">
        <f>IFERROR(INDEX('الإجازات'!$A$3:$A$502,182),"")</f>
        <v/>
      </c>
      <c r="B188" s="50">
        <f>IFERROR(INDEX('الإجازات'!$B$3:$B$502,182),"")</f>
        <v/>
      </c>
      <c r="C188" s="50">
        <f>IFERROR(INDEX('الإجازات'!$C$3:$C$502,182),"")</f>
        <v/>
      </c>
      <c r="D188" s="50">
        <f>IFERROR(INDEX('الإجازات'!$D$3:$D$502,182),"")</f>
        <v/>
      </c>
      <c r="E188" s="119">
        <f>IFERROR(INDEX('الإجازات'!$F$3:$F$502,182),"")</f>
        <v/>
      </c>
      <c r="F188" s="119">
        <f>IFERROR(INDEX('الإجازات'!$G$3:$G$502,182),"")</f>
        <v/>
      </c>
      <c r="G188" s="51">
        <f>IFERROR(INDEX('الإجازات'!$H$3:$H$502,182),"")</f>
        <v/>
      </c>
      <c r="H188" s="51">
        <f>IFERROR(INDEX('الإجازات'!$I$3:$I$502,182),"")</f>
        <v/>
      </c>
      <c r="I188" s="51">
        <f>IFERROR(INDEX('الإجازات'!$J$3:$J$502,182),"")</f>
        <v/>
      </c>
      <c r="J188" s="51">
        <f>IFERROR(INDEX('الإجازات'!$K$3:$K$502,182),"")</f>
        <v/>
      </c>
      <c r="K188" s="50">
        <f>IFERROR(INDEX('الإجازات'!$L$3:$L$502,182),"")</f>
        <v/>
      </c>
      <c r="L188" s="50">
        <f>IFERROR(INDEX('الإجازات'!$M$3:$M$502,182),"")</f>
        <v/>
      </c>
    </row>
    <row r="189">
      <c r="A189" s="43">
        <f>IFERROR(INDEX('الإجازات'!$A$3:$A$502,183),"")</f>
        <v/>
      </c>
      <c r="B189" s="43">
        <f>IFERROR(INDEX('الإجازات'!$B$3:$B$502,183),"")</f>
        <v/>
      </c>
      <c r="C189" s="43">
        <f>IFERROR(INDEX('الإجازات'!$C$3:$C$502,183),"")</f>
        <v/>
      </c>
      <c r="D189" s="43">
        <f>IFERROR(INDEX('الإجازات'!$D$3:$D$502,183),"")</f>
        <v/>
      </c>
      <c r="E189" s="118">
        <f>IFERROR(INDEX('الإجازات'!$F$3:$F$502,183),"")</f>
        <v/>
      </c>
      <c r="F189" s="118">
        <f>IFERROR(INDEX('الإجازات'!$G$3:$G$502,183),"")</f>
        <v/>
      </c>
      <c r="G189" s="44">
        <f>IFERROR(INDEX('الإجازات'!$H$3:$H$502,183),"")</f>
        <v/>
      </c>
      <c r="H189" s="44">
        <f>IFERROR(INDEX('الإجازات'!$I$3:$I$502,183),"")</f>
        <v/>
      </c>
      <c r="I189" s="44">
        <f>IFERROR(INDEX('الإجازات'!$J$3:$J$502,183),"")</f>
        <v/>
      </c>
      <c r="J189" s="44">
        <f>IFERROR(INDEX('الإجازات'!$K$3:$K$502,183),"")</f>
        <v/>
      </c>
      <c r="K189" s="43">
        <f>IFERROR(INDEX('الإجازات'!$L$3:$L$502,183),"")</f>
        <v/>
      </c>
      <c r="L189" s="43">
        <f>IFERROR(INDEX('الإجازات'!$M$3:$M$502,183),"")</f>
        <v/>
      </c>
    </row>
    <row r="190">
      <c r="A190" s="50">
        <f>IFERROR(INDEX('الإجازات'!$A$3:$A$502,184),"")</f>
        <v/>
      </c>
      <c r="B190" s="50">
        <f>IFERROR(INDEX('الإجازات'!$B$3:$B$502,184),"")</f>
        <v/>
      </c>
      <c r="C190" s="50">
        <f>IFERROR(INDEX('الإجازات'!$C$3:$C$502,184),"")</f>
        <v/>
      </c>
      <c r="D190" s="50">
        <f>IFERROR(INDEX('الإجازات'!$D$3:$D$502,184),"")</f>
        <v/>
      </c>
      <c r="E190" s="119">
        <f>IFERROR(INDEX('الإجازات'!$F$3:$F$502,184),"")</f>
        <v/>
      </c>
      <c r="F190" s="119">
        <f>IFERROR(INDEX('الإجازات'!$G$3:$G$502,184),"")</f>
        <v/>
      </c>
      <c r="G190" s="51">
        <f>IFERROR(INDEX('الإجازات'!$H$3:$H$502,184),"")</f>
        <v/>
      </c>
      <c r="H190" s="51">
        <f>IFERROR(INDEX('الإجازات'!$I$3:$I$502,184),"")</f>
        <v/>
      </c>
      <c r="I190" s="51">
        <f>IFERROR(INDEX('الإجازات'!$J$3:$J$502,184),"")</f>
        <v/>
      </c>
      <c r="J190" s="51">
        <f>IFERROR(INDEX('الإجازات'!$K$3:$K$502,184),"")</f>
        <v/>
      </c>
      <c r="K190" s="50">
        <f>IFERROR(INDEX('الإجازات'!$L$3:$L$502,184),"")</f>
        <v/>
      </c>
      <c r="L190" s="50">
        <f>IFERROR(INDEX('الإجازات'!$M$3:$M$502,184),"")</f>
        <v/>
      </c>
    </row>
    <row r="191">
      <c r="A191" s="43">
        <f>IFERROR(INDEX('الإجازات'!$A$3:$A$502,185),"")</f>
        <v/>
      </c>
      <c r="B191" s="43">
        <f>IFERROR(INDEX('الإجازات'!$B$3:$B$502,185),"")</f>
        <v/>
      </c>
      <c r="C191" s="43">
        <f>IFERROR(INDEX('الإجازات'!$C$3:$C$502,185),"")</f>
        <v/>
      </c>
      <c r="D191" s="43">
        <f>IFERROR(INDEX('الإجازات'!$D$3:$D$502,185),"")</f>
        <v/>
      </c>
      <c r="E191" s="118">
        <f>IFERROR(INDEX('الإجازات'!$F$3:$F$502,185),"")</f>
        <v/>
      </c>
      <c r="F191" s="118">
        <f>IFERROR(INDEX('الإجازات'!$G$3:$G$502,185),"")</f>
        <v/>
      </c>
      <c r="G191" s="44">
        <f>IFERROR(INDEX('الإجازات'!$H$3:$H$502,185),"")</f>
        <v/>
      </c>
      <c r="H191" s="44">
        <f>IFERROR(INDEX('الإجازات'!$I$3:$I$502,185),"")</f>
        <v/>
      </c>
      <c r="I191" s="44">
        <f>IFERROR(INDEX('الإجازات'!$J$3:$J$502,185),"")</f>
        <v/>
      </c>
      <c r="J191" s="44">
        <f>IFERROR(INDEX('الإجازات'!$K$3:$K$502,185),"")</f>
        <v/>
      </c>
      <c r="K191" s="43">
        <f>IFERROR(INDEX('الإجازات'!$L$3:$L$502,185),"")</f>
        <v/>
      </c>
      <c r="L191" s="43">
        <f>IFERROR(INDEX('الإجازات'!$M$3:$M$502,185),"")</f>
        <v/>
      </c>
    </row>
    <row r="192">
      <c r="A192" s="50">
        <f>IFERROR(INDEX('الإجازات'!$A$3:$A$502,186),"")</f>
        <v/>
      </c>
      <c r="B192" s="50">
        <f>IFERROR(INDEX('الإجازات'!$B$3:$B$502,186),"")</f>
        <v/>
      </c>
      <c r="C192" s="50">
        <f>IFERROR(INDEX('الإجازات'!$C$3:$C$502,186),"")</f>
        <v/>
      </c>
      <c r="D192" s="50">
        <f>IFERROR(INDEX('الإجازات'!$D$3:$D$502,186),"")</f>
        <v/>
      </c>
      <c r="E192" s="119">
        <f>IFERROR(INDEX('الإجازات'!$F$3:$F$502,186),"")</f>
        <v/>
      </c>
      <c r="F192" s="119">
        <f>IFERROR(INDEX('الإجازات'!$G$3:$G$502,186),"")</f>
        <v/>
      </c>
      <c r="G192" s="51">
        <f>IFERROR(INDEX('الإجازات'!$H$3:$H$502,186),"")</f>
        <v/>
      </c>
      <c r="H192" s="51">
        <f>IFERROR(INDEX('الإجازات'!$I$3:$I$502,186),"")</f>
        <v/>
      </c>
      <c r="I192" s="51">
        <f>IFERROR(INDEX('الإجازات'!$J$3:$J$502,186),"")</f>
        <v/>
      </c>
      <c r="J192" s="51">
        <f>IFERROR(INDEX('الإجازات'!$K$3:$K$502,186),"")</f>
        <v/>
      </c>
      <c r="K192" s="50">
        <f>IFERROR(INDEX('الإجازات'!$L$3:$L$502,186),"")</f>
        <v/>
      </c>
      <c r="L192" s="50">
        <f>IFERROR(INDEX('الإجازات'!$M$3:$M$502,186),"")</f>
        <v/>
      </c>
    </row>
    <row r="193">
      <c r="A193" s="43">
        <f>IFERROR(INDEX('الإجازات'!$A$3:$A$502,187),"")</f>
        <v/>
      </c>
      <c r="B193" s="43">
        <f>IFERROR(INDEX('الإجازات'!$B$3:$B$502,187),"")</f>
        <v/>
      </c>
      <c r="C193" s="43">
        <f>IFERROR(INDEX('الإجازات'!$C$3:$C$502,187),"")</f>
        <v/>
      </c>
      <c r="D193" s="43">
        <f>IFERROR(INDEX('الإجازات'!$D$3:$D$502,187),"")</f>
        <v/>
      </c>
      <c r="E193" s="118">
        <f>IFERROR(INDEX('الإجازات'!$F$3:$F$502,187),"")</f>
        <v/>
      </c>
      <c r="F193" s="118">
        <f>IFERROR(INDEX('الإجازات'!$G$3:$G$502,187),"")</f>
        <v/>
      </c>
      <c r="G193" s="44">
        <f>IFERROR(INDEX('الإجازات'!$H$3:$H$502,187),"")</f>
        <v/>
      </c>
      <c r="H193" s="44">
        <f>IFERROR(INDEX('الإجازات'!$I$3:$I$502,187),"")</f>
        <v/>
      </c>
      <c r="I193" s="44">
        <f>IFERROR(INDEX('الإجازات'!$J$3:$J$502,187),"")</f>
        <v/>
      </c>
      <c r="J193" s="44">
        <f>IFERROR(INDEX('الإجازات'!$K$3:$K$502,187),"")</f>
        <v/>
      </c>
      <c r="K193" s="43">
        <f>IFERROR(INDEX('الإجازات'!$L$3:$L$502,187),"")</f>
        <v/>
      </c>
      <c r="L193" s="43">
        <f>IFERROR(INDEX('الإجازات'!$M$3:$M$502,187),"")</f>
        <v/>
      </c>
    </row>
    <row r="194">
      <c r="A194" s="50">
        <f>IFERROR(INDEX('الإجازات'!$A$3:$A$502,188),"")</f>
        <v/>
      </c>
      <c r="B194" s="50">
        <f>IFERROR(INDEX('الإجازات'!$B$3:$B$502,188),"")</f>
        <v/>
      </c>
      <c r="C194" s="50">
        <f>IFERROR(INDEX('الإجازات'!$C$3:$C$502,188),"")</f>
        <v/>
      </c>
      <c r="D194" s="50">
        <f>IFERROR(INDEX('الإجازات'!$D$3:$D$502,188),"")</f>
        <v/>
      </c>
      <c r="E194" s="119">
        <f>IFERROR(INDEX('الإجازات'!$F$3:$F$502,188),"")</f>
        <v/>
      </c>
      <c r="F194" s="119">
        <f>IFERROR(INDEX('الإجازات'!$G$3:$G$502,188),"")</f>
        <v/>
      </c>
      <c r="G194" s="51">
        <f>IFERROR(INDEX('الإجازات'!$H$3:$H$502,188),"")</f>
        <v/>
      </c>
      <c r="H194" s="51">
        <f>IFERROR(INDEX('الإجازات'!$I$3:$I$502,188),"")</f>
        <v/>
      </c>
      <c r="I194" s="51">
        <f>IFERROR(INDEX('الإجازات'!$J$3:$J$502,188),"")</f>
        <v/>
      </c>
      <c r="J194" s="51">
        <f>IFERROR(INDEX('الإجازات'!$K$3:$K$502,188),"")</f>
        <v/>
      </c>
      <c r="K194" s="50">
        <f>IFERROR(INDEX('الإجازات'!$L$3:$L$502,188),"")</f>
        <v/>
      </c>
      <c r="L194" s="50">
        <f>IFERROR(INDEX('الإجازات'!$M$3:$M$502,188),"")</f>
        <v/>
      </c>
    </row>
    <row r="195">
      <c r="A195" s="43">
        <f>IFERROR(INDEX('الإجازات'!$A$3:$A$502,189),"")</f>
        <v/>
      </c>
      <c r="B195" s="43">
        <f>IFERROR(INDEX('الإجازات'!$B$3:$B$502,189),"")</f>
        <v/>
      </c>
      <c r="C195" s="43">
        <f>IFERROR(INDEX('الإجازات'!$C$3:$C$502,189),"")</f>
        <v/>
      </c>
      <c r="D195" s="43">
        <f>IFERROR(INDEX('الإجازات'!$D$3:$D$502,189),"")</f>
        <v/>
      </c>
      <c r="E195" s="118">
        <f>IFERROR(INDEX('الإجازات'!$F$3:$F$502,189),"")</f>
        <v/>
      </c>
      <c r="F195" s="118">
        <f>IFERROR(INDEX('الإجازات'!$G$3:$G$502,189),"")</f>
        <v/>
      </c>
      <c r="G195" s="44">
        <f>IFERROR(INDEX('الإجازات'!$H$3:$H$502,189),"")</f>
        <v/>
      </c>
      <c r="H195" s="44">
        <f>IFERROR(INDEX('الإجازات'!$I$3:$I$502,189),"")</f>
        <v/>
      </c>
      <c r="I195" s="44">
        <f>IFERROR(INDEX('الإجازات'!$J$3:$J$502,189),"")</f>
        <v/>
      </c>
      <c r="J195" s="44">
        <f>IFERROR(INDEX('الإجازات'!$K$3:$K$502,189),"")</f>
        <v/>
      </c>
      <c r="K195" s="43">
        <f>IFERROR(INDEX('الإجازات'!$L$3:$L$502,189),"")</f>
        <v/>
      </c>
      <c r="L195" s="43">
        <f>IFERROR(INDEX('الإجازات'!$M$3:$M$502,189),"")</f>
        <v/>
      </c>
    </row>
    <row r="196">
      <c r="A196" s="50">
        <f>IFERROR(INDEX('الإجازات'!$A$3:$A$502,190),"")</f>
        <v/>
      </c>
      <c r="B196" s="50">
        <f>IFERROR(INDEX('الإجازات'!$B$3:$B$502,190),"")</f>
        <v/>
      </c>
      <c r="C196" s="50">
        <f>IFERROR(INDEX('الإجازات'!$C$3:$C$502,190),"")</f>
        <v/>
      </c>
      <c r="D196" s="50">
        <f>IFERROR(INDEX('الإجازات'!$D$3:$D$502,190),"")</f>
        <v/>
      </c>
      <c r="E196" s="119">
        <f>IFERROR(INDEX('الإجازات'!$F$3:$F$502,190),"")</f>
        <v/>
      </c>
      <c r="F196" s="119">
        <f>IFERROR(INDEX('الإجازات'!$G$3:$G$502,190),"")</f>
        <v/>
      </c>
      <c r="G196" s="51">
        <f>IFERROR(INDEX('الإجازات'!$H$3:$H$502,190),"")</f>
        <v/>
      </c>
      <c r="H196" s="51">
        <f>IFERROR(INDEX('الإجازات'!$I$3:$I$502,190),"")</f>
        <v/>
      </c>
      <c r="I196" s="51">
        <f>IFERROR(INDEX('الإجازات'!$J$3:$J$502,190),"")</f>
        <v/>
      </c>
      <c r="J196" s="51">
        <f>IFERROR(INDEX('الإجازات'!$K$3:$K$502,190),"")</f>
        <v/>
      </c>
      <c r="K196" s="50">
        <f>IFERROR(INDEX('الإجازات'!$L$3:$L$502,190),"")</f>
        <v/>
      </c>
      <c r="L196" s="50">
        <f>IFERROR(INDEX('الإجازات'!$M$3:$M$502,190),"")</f>
        <v/>
      </c>
    </row>
    <row r="197">
      <c r="A197" s="43">
        <f>IFERROR(INDEX('الإجازات'!$A$3:$A$502,191),"")</f>
        <v/>
      </c>
      <c r="B197" s="43">
        <f>IFERROR(INDEX('الإجازات'!$B$3:$B$502,191),"")</f>
        <v/>
      </c>
      <c r="C197" s="43">
        <f>IFERROR(INDEX('الإجازات'!$C$3:$C$502,191),"")</f>
        <v/>
      </c>
      <c r="D197" s="43">
        <f>IFERROR(INDEX('الإجازات'!$D$3:$D$502,191),"")</f>
        <v/>
      </c>
      <c r="E197" s="118">
        <f>IFERROR(INDEX('الإجازات'!$F$3:$F$502,191),"")</f>
        <v/>
      </c>
      <c r="F197" s="118">
        <f>IFERROR(INDEX('الإجازات'!$G$3:$G$502,191),"")</f>
        <v/>
      </c>
      <c r="G197" s="44">
        <f>IFERROR(INDEX('الإجازات'!$H$3:$H$502,191),"")</f>
        <v/>
      </c>
      <c r="H197" s="44">
        <f>IFERROR(INDEX('الإجازات'!$I$3:$I$502,191),"")</f>
        <v/>
      </c>
      <c r="I197" s="44">
        <f>IFERROR(INDEX('الإجازات'!$J$3:$J$502,191),"")</f>
        <v/>
      </c>
      <c r="J197" s="44">
        <f>IFERROR(INDEX('الإجازات'!$K$3:$K$502,191),"")</f>
        <v/>
      </c>
      <c r="K197" s="43">
        <f>IFERROR(INDEX('الإجازات'!$L$3:$L$502,191),"")</f>
        <v/>
      </c>
      <c r="L197" s="43">
        <f>IFERROR(INDEX('الإجازات'!$M$3:$M$502,191),"")</f>
        <v/>
      </c>
    </row>
    <row r="198">
      <c r="A198" s="50">
        <f>IFERROR(INDEX('الإجازات'!$A$3:$A$502,192),"")</f>
        <v/>
      </c>
      <c r="B198" s="50">
        <f>IFERROR(INDEX('الإجازات'!$B$3:$B$502,192),"")</f>
        <v/>
      </c>
      <c r="C198" s="50">
        <f>IFERROR(INDEX('الإجازات'!$C$3:$C$502,192),"")</f>
        <v/>
      </c>
      <c r="D198" s="50">
        <f>IFERROR(INDEX('الإجازات'!$D$3:$D$502,192),"")</f>
        <v/>
      </c>
      <c r="E198" s="119">
        <f>IFERROR(INDEX('الإجازات'!$F$3:$F$502,192),"")</f>
        <v/>
      </c>
      <c r="F198" s="119">
        <f>IFERROR(INDEX('الإجازات'!$G$3:$G$502,192),"")</f>
        <v/>
      </c>
      <c r="G198" s="51">
        <f>IFERROR(INDEX('الإجازات'!$H$3:$H$502,192),"")</f>
        <v/>
      </c>
      <c r="H198" s="51">
        <f>IFERROR(INDEX('الإجازات'!$I$3:$I$502,192),"")</f>
        <v/>
      </c>
      <c r="I198" s="51">
        <f>IFERROR(INDEX('الإجازات'!$J$3:$J$502,192),"")</f>
        <v/>
      </c>
      <c r="J198" s="51">
        <f>IFERROR(INDEX('الإجازات'!$K$3:$K$502,192),"")</f>
        <v/>
      </c>
      <c r="K198" s="50">
        <f>IFERROR(INDEX('الإجازات'!$L$3:$L$502,192),"")</f>
        <v/>
      </c>
      <c r="L198" s="50">
        <f>IFERROR(INDEX('الإجازات'!$M$3:$M$502,192),"")</f>
        <v/>
      </c>
    </row>
    <row r="199">
      <c r="A199" s="43">
        <f>IFERROR(INDEX('الإجازات'!$A$3:$A$502,193),"")</f>
        <v/>
      </c>
      <c r="B199" s="43">
        <f>IFERROR(INDEX('الإجازات'!$B$3:$B$502,193),"")</f>
        <v/>
      </c>
      <c r="C199" s="43">
        <f>IFERROR(INDEX('الإجازات'!$C$3:$C$502,193),"")</f>
        <v/>
      </c>
      <c r="D199" s="43">
        <f>IFERROR(INDEX('الإجازات'!$D$3:$D$502,193),"")</f>
        <v/>
      </c>
      <c r="E199" s="118">
        <f>IFERROR(INDEX('الإجازات'!$F$3:$F$502,193),"")</f>
        <v/>
      </c>
      <c r="F199" s="118">
        <f>IFERROR(INDEX('الإجازات'!$G$3:$G$502,193),"")</f>
        <v/>
      </c>
      <c r="G199" s="44">
        <f>IFERROR(INDEX('الإجازات'!$H$3:$H$502,193),"")</f>
        <v/>
      </c>
      <c r="H199" s="44">
        <f>IFERROR(INDEX('الإجازات'!$I$3:$I$502,193),"")</f>
        <v/>
      </c>
      <c r="I199" s="44">
        <f>IFERROR(INDEX('الإجازات'!$J$3:$J$502,193),"")</f>
        <v/>
      </c>
      <c r="J199" s="44">
        <f>IFERROR(INDEX('الإجازات'!$K$3:$K$502,193),"")</f>
        <v/>
      </c>
      <c r="K199" s="43">
        <f>IFERROR(INDEX('الإجازات'!$L$3:$L$502,193),"")</f>
        <v/>
      </c>
      <c r="L199" s="43">
        <f>IFERROR(INDEX('الإجازات'!$M$3:$M$502,193),"")</f>
        <v/>
      </c>
    </row>
    <row r="200">
      <c r="A200" s="50">
        <f>IFERROR(INDEX('الإجازات'!$A$3:$A$502,194),"")</f>
        <v/>
      </c>
      <c r="B200" s="50">
        <f>IFERROR(INDEX('الإجازات'!$B$3:$B$502,194),"")</f>
        <v/>
      </c>
      <c r="C200" s="50">
        <f>IFERROR(INDEX('الإجازات'!$C$3:$C$502,194),"")</f>
        <v/>
      </c>
      <c r="D200" s="50">
        <f>IFERROR(INDEX('الإجازات'!$D$3:$D$502,194),"")</f>
        <v/>
      </c>
      <c r="E200" s="119">
        <f>IFERROR(INDEX('الإجازات'!$F$3:$F$502,194),"")</f>
        <v/>
      </c>
      <c r="F200" s="119">
        <f>IFERROR(INDEX('الإجازات'!$G$3:$G$502,194),"")</f>
        <v/>
      </c>
      <c r="G200" s="51">
        <f>IFERROR(INDEX('الإجازات'!$H$3:$H$502,194),"")</f>
        <v/>
      </c>
      <c r="H200" s="51">
        <f>IFERROR(INDEX('الإجازات'!$I$3:$I$502,194),"")</f>
        <v/>
      </c>
      <c r="I200" s="51">
        <f>IFERROR(INDEX('الإجازات'!$J$3:$J$502,194),"")</f>
        <v/>
      </c>
      <c r="J200" s="51">
        <f>IFERROR(INDEX('الإجازات'!$K$3:$K$502,194),"")</f>
        <v/>
      </c>
      <c r="K200" s="50">
        <f>IFERROR(INDEX('الإجازات'!$L$3:$L$502,194),"")</f>
        <v/>
      </c>
      <c r="L200" s="50">
        <f>IFERROR(INDEX('الإجازات'!$M$3:$M$502,194),"")</f>
        <v/>
      </c>
    </row>
    <row r="201">
      <c r="A201" s="43">
        <f>IFERROR(INDEX('الإجازات'!$A$3:$A$502,195),"")</f>
        <v/>
      </c>
      <c r="B201" s="43">
        <f>IFERROR(INDEX('الإجازات'!$B$3:$B$502,195),"")</f>
        <v/>
      </c>
      <c r="C201" s="43">
        <f>IFERROR(INDEX('الإجازات'!$C$3:$C$502,195),"")</f>
        <v/>
      </c>
      <c r="D201" s="43">
        <f>IFERROR(INDEX('الإجازات'!$D$3:$D$502,195),"")</f>
        <v/>
      </c>
      <c r="E201" s="118">
        <f>IFERROR(INDEX('الإجازات'!$F$3:$F$502,195),"")</f>
        <v/>
      </c>
      <c r="F201" s="118">
        <f>IFERROR(INDEX('الإجازات'!$G$3:$G$502,195),"")</f>
        <v/>
      </c>
      <c r="G201" s="44">
        <f>IFERROR(INDEX('الإجازات'!$H$3:$H$502,195),"")</f>
        <v/>
      </c>
      <c r="H201" s="44">
        <f>IFERROR(INDEX('الإجازات'!$I$3:$I$502,195),"")</f>
        <v/>
      </c>
      <c r="I201" s="44">
        <f>IFERROR(INDEX('الإجازات'!$J$3:$J$502,195),"")</f>
        <v/>
      </c>
      <c r="J201" s="44">
        <f>IFERROR(INDEX('الإجازات'!$K$3:$K$502,195),"")</f>
        <v/>
      </c>
      <c r="K201" s="43">
        <f>IFERROR(INDEX('الإجازات'!$L$3:$L$502,195),"")</f>
        <v/>
      </c>
      <c r="L201" s="43">
        <f>IFERROR(INDEX('الإجازات'!$M$3:$M$502,195),"")</f>
        <v/>
      </c>
    </row>
    <row r="202">
      <c r="A202" s="50">
        <f>IFERROR(INDEX('الإجازات'!$A$3:$A$502,196),"")</f>
        <v/>
      </c>
      <c r="B202" s="50">
        <f>IFERROR(INDEX('الإجازات'!$B$3:$B$502,196),"")</f>
        <v/>
      </c>
      <c r="C202" s="50">
        <f>IFERROR(INDEX('الإجازات'!$C$3:$C$502,196),"")</f>
        <v/>
      </c>
      <c r="D202" s="50">
        <f>IFERROR(INDEX('الإجازات'!$D$3:$D$502,196),"")</f>
        <v/>
      </c>
      <c r="E202" s="119">
        <f>IFERROR(INDEX('الإجازات'!$F$3:$F$502,196),"")</f>
        <v/>
      </c>
      <c r="F202" s="119">
        <f>IFERROR(INDEX('الإجازات'!$G$3:$G$502,196),"")</f>
        <v/>
      </c>
      <c r="G202" s="51">
        <f>IFERROR(INDEX('الإجازات'!$H$3:$H$502,196),"")</f>
        <v/>
      </c>
      <c r="H202" s="51">
        <f>IFERROR(INDEX('الإجازات'!$I$3:$I$502,196),"")</f>
        <v/>
      </c>
      <c r="I202" s="51">
        <f>IFERROR(INDEX('الإجازات'!$J$3:$J$502,196),"")</f>
        <v/>
      </c>
      <c r="J202" s="51">
        <f>IFERROR(INDEX('الإجازات'!$K$3:$K$502,196),"")</f>
        <v/>
      </c>
      <c r="K202" s="50">
        <f>IFERROR(INDEX('الإجازات'!$L$3:$L$502,196),"")</f>
        <v/>
      </c>
      <c r="L202" s="50">
        <f>IFERROR(INDEX('الإجازات'!$M$3:$M$502,196),"")</f>
        <v/>
      </c>
    </row>
    <row r="203">
      <c r="A203" s="43">
        <f>IFERROR(INDEX('الإجازات'!$A$3:$A$502,197),"")</f>
        <v/>
      </c>
      <c r="B203" s="43">
        <f>IFERROR(INDEX('الإجازات'!$B$3:$B$502,197),"")</f>
        <v/>
      </c>
      <c r="C203" s="43">
        <f>IFERROR(INDEX('الإجازات'!$C$3:$C$502,197),"")</f>
        <v/>
      </c>
      <c r="D203" s="43">
        <f>IFERROR(INDEX('الإجازات'!$D$3:$D$502,197),"")</f>
        <v/>
      </c>
      <c r="E203" s="118">
        <f>IFERROR(INDEX('الإجازات'!$F$3:$F$502,197),"")</f>
        <v/>
      </c>
      <c r="F203" s="118">
        <f>IFERROR(INDEX('الإجازات'!$G$3:$G$502,197),"")</f>
        <v/>
      </c>
      <c r="G203" s="44">
        <f>IFERROR(INDEX('الإجازات'!$H$3:$H$502,197),"")</f>
        <v/>
      </c>
      <c r="H203" s="44">
        <f>IFERROR(INDEX('الإجازات'!$I$3:$I$502,197),"")</f>
        <v/>
      </c>
      <c r="I203" s="44">
        <f>IFERROR(INDEX('الإجازات'!$J$3:$J$502,197),"")</f>
        <v/>
      </c>
      <c r="J203" s="44">
        <f>IFERROR(INDEX('الإجازات'!$K$3:$K$502,197),"")</f>
        <v/>
      </c>
      <c r="K203" s="43">
        <f>IFERROR(INDEX('الإجازات'!$L$3:$L$502,197),"")</f>
        <v/>
      </c>
      <c r="L203" s="43">
        <f>IFERROR(INDEX('الإجازات'!$M$3:$M$502,197),"")</f>
        <v/>
      </c>
    </row>
    <row r="204">
      <c r="A204" s="50">
        <f>IFERROR(INDEX('الإجازات'!$A$3:$A$502,198),"")</f>
        <v/>
      </c>
      <c r="B204" s="50">
        <f>IFERROR(INDEX('الإجازات'!$B$3:$B$502,198),"")</f>
        <v/>
      </c>
      <c r="C204" s="50">
        <f>IFERROR(INDEX('الإجازات'!$C$3:$C$502,198),"")</f>
        <v/>
      </c>
      <c r="D204" s="50">
        <f>IFERROR(INDEX('الإجازات'!$D$3:$D$502,198),"")</f>
        <v/>
      </c>
      <c r="E204" s="119">
        <f>IFERROR(INDEX('الإجازات'!$F$3:$F$502,198),"")</f>
        <v/>
      </c>
      <c r="F204" s="119">
        <f>IFERROR(INDEX('الإجازات'!$G$3:$G$502,198),"")</f>
        <v/>
      </c>
      <c r="G204" s="51">
        <f>IFERROR(INDEX('الإجازات'!$H$3:$H$502,198),"")</f>
        <v/>
      </c>
      <c r="H204" s="51">
        <f>IFERROR(INDEX('الإجازات'!$I$3:$I$502,198),"")</f>
        <v/>
      </c>
      <c r="I204" s="51">
        <f>IFERROR(INDEX('الإجازات'!$J$3:$J$502,198),"")</f>
        <v/>
      </c>
      <c r="J204" s="51">
        <f>IFERROR(INDEX('الإجازات'!$K$3:$K$502,198),"")</f>
        <v/>
      </c>
      <c r="K204" s="50">
        <f>IFERROR(INDEX('الإجازات'!$L$3:$L$502,198),"")</f>
        <v/>
      </c>
      <c r="L204" s="50">
        <f>IFERROR(INDEX('الإجازات'!$M$3:$M$502,198),"")</f>
        <v/>
      </c>
    </row>
    <row r="205">
      <c r="A205" s="43">
        <f>IFERROR(INDEX('الإجازات'!$A$3:$A$502,199),"")</f>
        <v/>
      </c>
      <c r="B205" s="43">
        <f>IFERROR(INDEX('الإجازات'!$B$3:$B$502,199),"")</f>
        <v/>
      </c>
      <c r="C205" s="43">
        <f>IFERROR(INDEX('الإجازات'!$C$3:$C$502,199),"")</f>
        <v/>
      </c>
      <c r="D205" s="43">
        <f>IFERROR(INDEX('الإجازات'!$D$3:$D$502,199),"")</f>
        <v/>
      </c>
      <c r="E205" s="118">
        <f>IFERROR(INDEX('الإجازات'!$F$3:$F$502,199),"")</f>
        <v/>
      </c>
      <c r="F205" s="118">
        <f>IFERROR(INDEX('الإجازات'!$G$3:$G$502,199),"")</f>
        <v/>
      </c>
      <c r="G205" s="44">
        <f>IFERROR(INDEX('الإجازات'!$H$3:$H$502,199),"")</f>
        <v/>
      </c>
      <c r="H205" s="44">
        <f>IFERROR(INDEX('الإجازات'!$I$3:$I$502,199),"")</f>
        <v/>
      </c>
      <c r="I205" s="44">
        <f>IFERROR(INDEX('الإجازات'!$J$3:$J$502,199),"")</f>
        <v/>
      </c>
      <c r="J205" s="44">
        <f>IFERROR(INDEX('الإجازات'!$K$3:$K$502,199),"")</f>
        <v/>
      </c>
      <c r="K205" s="43">
        <f>IFERROR(INDEX('الإجازات'!$L$3:$L$502,199),"")</f>
        <v/>
      </c>
      <c r="L205" s="43">
        <f>IFERROR(INDEX('الإجازات'!$M$3:$M$502,199),"")</f>
        <v/>
      </c>
    </row>
    <row r="206">
      <c r="A206" s="50">
        <f>IFERROR(INDEX('الإجازات'!$A$3:$A$502,200),"")</f>
        <v/>
      </c>
      <c r="B206" s="50">
        <f>IFERROR(INDEX('الإجازات'!$B$3:$B$502,200),"")</f>
        <v/>
      </c>
      <c r="C206" s="50">
        <f>IFERROR(INDEX('الإجازات'!$C$3:$C$502,200),"")</f>
        <v/>
      </c>
      <c r="D206" s="50">
        <f>IFERROR(INDEX('الإجازات'!$D$3:$D$502,200),"")</f>
        <v/>
      </c>
      <c r="E206" s="119">
        <f>IFERROR(INDEX('الإجازات'!$F$3:$F$502,200),"")</f>
        <v/>
      </c>
      <c r="F206" s="119">
        <f>IFERROR(INDEX('الإجازات'!$G$3:$G$502,200),"")</f>
        <v/>
      </c>
      <c r="G206" s="51">
        <f>IFERROR(INDEX('الإجازات'!$H$3:$H$502,200),"")</f>
        <v/>
      </c>
      <c r="H206" s="51">
        <f>IFERROR(INDEX('الإجازات'!$I$3:$I$502,200),"")</f>
        <v/>
      </c>
      <c r="I206" s="51">
        <f>IFERROR(INDEX('الإجازات'!$J$3:$J$502,200),"")</f>
        <v/>
      </c>
      <c r="J206" s="51">
        <f>IFERROR(INDEX('الإجازات'!$K$3:$K$502,200),"")</f>
        <v/>
      </c>
      <c r="K206" s="50">
        <f>IFERROR(INDEX('الإجازات'!$L$3:$L$502,200),"")</f>
        <v/>
      </c>
      <c r="L206" s="50">
        <f>IFERROR(INDEX('الإجازات'!$M$3:$M$502,200),"")</f>
        <v/>
      </c>
    </row>
    <row r="207">
      <c r="A207" s="71" t="inlineStr">
        <is>
          <t>الإجمالي</t>
        </is>
      </c>
      <c r="B207" s="72" t="n"/>
      <c r="C207" s="72" t="n"/>
      <c r="D207" s="72" t="n"/>
      <c r="E207" s="72" t="n"/>
      <c r="F207" s="72" t="n"/>
      <c r="G207" s="73">
        <f>SUM(G7:G206)</f>
        <v/>
      </c>
      <c r="H207" s="72" t="n"/>
      <c r="I207" s="73">
        <f>SUM(I7:I206)</f>
        <v/>
      </c>
      <c r="J207" s="72" t="n"/>
      <c r="K207" s="72" t="n"/>
      <c r="L207" s="7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05"/>
  <mergeCells count="5">
    <mergeCell ref="A2:L2"/>
    <mergeCell ref="A1:L1"/>
    <mergeCell ref="G3:L3"/>
    <mergeCell ref="A3:F3"/>
    <mergeCell ref="A207"/>
  </mergeCells>
  <pageMargins left="0.75" right="0.75" top="1" bottom="1" header="0.5" footer="0.5"/>
  <pageSetup orientation="landscape" paperSize="9" fitToHeight="0" fitToWidth="1"/>
  <headerFooter>
    <oddHeader/>
    <oddFooter>&amp;L&amp;8 نظام إدارة الموارد البشرية&amp;R&amp;8 صفحة &amp;P من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R207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4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5" max="15"/>
    <col width="13" customWidth="1" min="16" max="16"/>
    <col width="14" customWidth="1" min="17" max="17"/>
    <col width="12" customWidth="1" min="18" max="18"/>
  </cols>
  <sheetData>
    <row r="1" ht="30" customHeight="1">
      <c r="A1" s="1">
        <f>اسم_المؤسسة</f>
        <v/>
      </c>
    </row>
    <row r="2" ht="26" customHeight="1">
      <c r="A2" s="65" t="inlineStr">
        <is>
          <t>كشف الرواتب الشهري</t>
        </is>
      </c>
    </row>
    <row r="3">
      <c r="A3" s="66">
        <f>"تاريخ إعداد التقرير: "&amp;TEXT(TODAY(),"yyyy-mm-dd")</f>
        <v/>
      </c>
      <c r="J3" s="6">
        <f>"السنة المالية: "&amp;السنة_المالية</f>
        <v/>
      </c>
    </row>
    <row r="4">
      <c r="A4" s="76" t="inlineStr">
        <is>
          <t>الشهر:</t>
        </is>
      </c>
      <c r="B4" s="77">
        <f>تقرير_الشهر</f>
        <v/>
      </c>
      <c r="C4" s="76" t="inlineStr">
        <is>
          <t>السنة:</t>
        </is>
      </c>
      <c r="D4" s="78">
        <f>تقرير_السنة</f>
        <v/>
      </c>
      <c r="E4" s="79" t="inlineStr">
        <is>
          <t>← غيّر الشهر والسنة من ورقة الإعدادات</t>
        </is>
      </c>
      <c r="F4" s="80">
        <f>IF(COUNTIFS(الرواتب_الشهر,تقرير_الشهر,الرواتب_السنة,تقرير_السنة)=0,"⚠ لا توجد بيانات لهذا الشهر","عدد الكشوف: "&amp;COUNTIFS(الرواتب_الشهر,تقرير_الشهر,الرواتب_السنة,تقرير_السنة))</f>
        <v/>
      </c>
    </row>
    <row r="6" ht="34" customHeight="1">
      <c r="A6" s="67" t="inlineStr">
        <is>
          <t>الرقم الوظيفي</t>
        </is>
      </c>
      <c r="B6" s="67" t="inlineStr">
        <is>
          <t>اسم الموظف</t>
        </is>
      </c>
      <c r="C6" s="67" t="inlineStr">
        <is>
          <t>الإدارة</t>
        </is>
      </c>
      <c r="D6" s="67" t="inlineStr">
        <is>
          <t>الأساسي</t>
        </is>
      </c>
      <c r="E6" s="67" t="inlineStr">
        <is>
          <t>بدل النقل</t>
        </is>
      </c>
      <c r="F6" s="67" t="inlineStr">
        <is>
          <t>بدل السكن</t>
        </is>
      </c>
      <c r="G6" s="67" t="inlineStr">
        <is>
          <t>بدلات أخرى</t>
        </is>
      </c>
      <c r="H6" s="67" t="inlineStr">
        <is>
          <t>المكافآت</t>
        </is>
      </c>
      <c r="I6" s="67" t="inlineStr">
        <is>
          <t>إضافي</t>
        </is>
      </c>
      <c r="J6" s="67" t="inlineStr">
        <is>
          <t>إجمالي الاستحقاقات</t>
        </is>
      </c>
      <c r="K6" s="67" t="inlineStr">
        <is>
          <t>خصم تأخير</t>
        </is>
      </c>
      <c r="L6" s="67" t="inlineStr">
        <is>
          <t>خصم غياب</t>
        </is>
      </c>
      <c r="M6" s="67" t="inlineStr">
        <is>
          <t>خصم جزاء</t>
        </is>
      </c>
      <c r="N6" s="67" t="inlineStr">
        <is>
          <t>قسط سلفة</t>
        </is>
      </c>
      <c r="O6" s="67" t="inlineStr">
        <is>
          <t>استقطاعات أخرى</t>
        </is>
      </c>
      <c r="P6" s="67" t="inlineStr">
        <is>
          <t>إجمالي الخصومات</t>
        </is>
      </c>
      <c r="Q6" s="67" t="inlineStr">
        <is>
          <t>صافي الراتب</t>
        </is>
      </c>
      <c r="R6" s="67" t="inlineStr">
        <is>
          <t>حالة الصرف</t>
        </is>
      </c>
    </row>
    <row r="7">
      <c r="A7" s="43">
        <f>IFERROR(INDEX('الرواتب'!$C$3:$C$502,MATCH(1,'الرواتب'!$Z$3:$Z$502,0)),"")</f>
        <v/>
      </c>
      <c r="B7" s="43">
        <f>IFERROR(INDEX('الرواتب'!$D$3:$D$502,MATCH(1,'الرواتب'!$Z$3:$Z$502,0)),"")</f>
        <v/>
      </c>
      <c r="C7" s="43">
        <f>IFERROR(INDEX('الرواتب'!$E$3:$E$502,MATCH(1,'الرواتب'!$Z$3:$Z$502,0)),"")</f>
        <v/>
      </c>
      <c r="D7" s="60">
        <f>IFERROR(INDEX('الرواتب'!$G$3:$G$502,MATCH(1,'الرواتب'!$Z$3:$Z$502,0)),"")</f>
        <v/>
      </c>
      <c r="E7" s="60">
        <f>IFERROR(INDEX('الرواتب'!$H$3:$H$502,MATCH(1,'الرواتب'!$Z$3:$Z$502,0)),"")</f>
        <v/>
      </c>
      <c r="F7" s="60">
        <f>IFERROR(INDEX('الرواتب'!$I$3:$I$502,MATCH(1,'الرواتب'!$Z$3:$Z$502,0)),"")</f>
        <v/>
      </c>
      <c r="G7" s="60">
        <f>IFERROR(INDEX('الرواتب'!$J$3:$J$502,MATCH(1,'الرواتب'!$Z$3:$Z$502,0)),"")</f>
        <v/>
      </c>
      <c r="H7" s="60">
        <f>IFERROR(INDEX('الرواتب'!$K$3:$K$502,MATCH(1,'الرواتب'!$Z$3:$Z$502,0)),"")</f>
        <v/>
      </c>
      <c r="I7" s="60">
        <f>IFERROR(INDEX('الرواتب'!$L$3:$L$502,MATCH(1,'الرواتب'!$Z$3:$Z$502,0)),"")</f>
        <v/>
      </c>
      <c r="J7" s="60">
        <f>IFERROR(INDEX('الرواتب'!$S$3:$S$502,MATCH(1,'الرواتب'!$Z$3:$Z$502,0)),"")</f>
        <v/>
      </c>
      <c r="K7" s="60">
        <f>IFERROR(INDEX('الرواتب'!$N$3:$N$502,MATCH(1,'الرواتب'!$Z$3:$Z$502,0)),"")</f>
        <v/>
      </c>
      <c r="L7" s="60">
        <f>IFERROR(INDEX('الرواتب'!$O$3:$O$502,MATCH(1,'الرواتب'!$Z$3:$Z$502,0)),"")</f>
        <v/>
      </c>
      <c r="M7" s="60">
        <f>IFERROR(INDEX('الرواتب'!$P$3:$P$502,MATCH(1,'الرواتب'!$Z$3:$Z$502,0)),"")</f>
        <v/>
      </c>
      <c r="N7" s="60">
        <f>IFERROR(INDEX('الرواتب'!$Q$3:$Q$502,MATCH(1,'الرواتب'!$Z$3:$Z$502,0)),"")</f>
        <v/>
      </c>
      <c r="O7" s="60">
        <f>IFERROR(INDEX('الرواتب'!$R$3:$R$502,MATCH(1,'الرواتب'!$Z$3:$Z$502,0)),"")</f>
        <v/>
      </c>
      <c r="P7" s="60">
        <f>IFERROR(INDEX('الرواتب'!$T$3:$T$502,MATCH(1,'الرواتب'!$Z$3:$Z$502,0)),"")</f>
        <v/>
      </c>
      <c r="Q7" s="60">
        <f>IFERROR(INDEX('الرواتب'!$U$3:$U$502,MATCH(1,'الرواتب'!$Z$3:$Z$502,0)),"")</f>
        <v/>
      </c>
      <c r="R7" s="60">
        <f>IFERROR(INDEX('الرواتب'!$V$3:$V$502,MATCH(1,'الرواتب'!$Z$3:$Z$502,0)),"")</f>
        <v/>
      </c>
    </row>
    <row r="8">
      <c r="A8" s="50">
        <f>IFERROR(INDEX('الرواتب'!$C$3:$C$502,MATCH(2,'الرواتب'!$Z$3:$Z$502,0)),"")</f>
        <v/>
      </c>
      <c r="B8" s="50">
        <f>IFERROR(INDEX('الرواتب'!$D$3:$D$502,MATCH(2,'الرواتب'!$Z$3:$Z$502,0)),"")</f>
        <v/>
      </c>
      <c r="C8" s="50">
        <f>IFERROR(INDEX('الرواتب'!$E$3:$E$502,MATCH(2,'الرواتب'!$Z$3:$Z$502,0)),"")</f>
        <v/>
      </c>
      <c r="D8" s="63">
        <f>IFERROR(INDEX('الرواتب'!$G$3:$G$502,MATCH(2,'الرواتب'!$Z$3:$Z$502,0)),"")</f>
        <v/>
      </c>
      <c r="E8" s="63">
        <f>IFERROR(INDEX('الرواتب'!$H$3:$H$502,MATCH(2,'الرواتب'!$Z$3:$Z$502,0)),"")</f>
        <v/>
      </c>
      <c r="F8" s="63">
        <f>IFERROR(INDEX('الرواتب'!$I$3:$I$502,MATCH(2,'الرواتب'!$Z$3:$Z$502,0)),"")</f>
        <v/>
      </c>
      <c r="G8" s="63">
        <f>IFERROR(INDEX('الرواتب'!$J$3:$J$502,MATCH(2,'الرواتب'!$Z$3:$Z$502,0)),"")</f>
        <v/>
      </c>
      <c r="H8" s="63">
        <f>IFERROR(INDEX('الرواتب'!$K$3:$K$502,MATCH(2,'الرواتب'!$Z$3:$Z$502,0)),"")</f>
        <v/>
      </c>
      <c r="I8" s="63">
        <f>IFERROR(INDEX('الرواتب'!$L$3:$L$502,MATCH(2,'الرواتب'!$Z$3:$Z$502,0)),"")</f>
        <v/>
      </c>
      <c r="J8" s="63">
        <f>IFERROR(INDEX('الرواتب'!$S$3:$S$502,MATCH(2,'الرواتب'!$Z$3:$Z$502,0)),"")</f>
        <v/>
      </c>
      <c r="K8" s="63">
        <f>IFERROR(INDEX('الرواتب'!$N$3:$N$502,MATCH(2,'الرواتب'!$Z$3:$Z$502,0)),"")</f>
        <v/>
      </c>
      <c r="L8" s="63">
        <f>IFERROR(INDEX('الرواتب'!$O$3:$O$502,MATCH(2,'الرواتب'!$Z$3:$Z$502,0)),"")</f>
        <v/>
      </c>
      <c r="M8" s="63">
        <f>IFERROR(INDEX('الرواتب'!$P$3:$P$502,MATCH(2,'الرواتب'!$Z$3:$Z$502,0)),"")</f>
        <v/>
      </c>
      <c r="N8" s="63">
        <f>IFERROR(INDEX('الرواتب'!$Q$3:$Q$502,MATCH(2,'الرواتب'!$Z$3:$Z$502,0)),"")</f>
        <v/>
      </c>
      <c r="O8" s="63">
        <f>IFERROR(INDEX('الرواتب'!$R$3:$R$502,MATCH(2,'الرواتب'!$Z$3:$Z$502,0)),"")</f>
        <v/>
      </c>
      <c r="P8" s="63">
        <f>IFERROR(INDEX('الرواتب'!$T$3:$T$502,MATCH(2,'الرواتب'!$Z$3:$Z$502,0)),"")</f>
        <v/>
      </c>
      <c r="Q8" s="63">
        <f>IFERROR(INDEX('الرواتب'!$U$3:$U$502,MATCH(2,'الرواتب'!$Z$3:$Z$502,0)),"")</f>
        <v/>
      </c>
      <c r="R8" s="63">
        <f>IFERROR(INDEX('الرواتب'!$V$3:$V$502,MATCH(2,'الرواتب'!$Z$3:$Z$502,0)),"")</f>
        <v/>
      </c>
    </row>
    <row r="9">
      <c r="A9" s="43">
        <f>IFERROR(INDEX('الرواتب'!$C$3:$C$502,MATCH(3,'الرواتب'!$Z$3:$Z$502,0)),"")</f>
        <v/>
      </c>
      <c r="B9" s="43">
        <f>IFERROR(INDEX('الرواتب'!$D$3:$D$502,MATCH(3,'الرواتب'!$Z$3:$Z$502,0)),"")</f>
        <v/>
      </c>
      <c r="C9" s="43">
        <f>IFERROR(INDEX('الرواتب'!$E$3:$E$502,MATCH(3,'الرواتب'!$Z$3:$Z$502,0)),"")</f>
        <v/>
      </c>
      <c r="D9" s="60">
        <f>IFERROR(INDEX('الرواتب'!$G$3:$G$502,MATCH(3,'الرواتب'!$Z$3:$Z$502,0)),"")</f>
        <v/>
      </c>
      <c r="E9" s="60">
        <f>IFERROR(INDEX('الرواتب'!$H$3:$H$502,MATCH(3,'الرواتب'!$Z$3:$Z$502,0)),"")</f>
        <v/>
      </c>
      <c r="F9" s="60">
        <f>IFERROR(INDEX('الرواتب'!$I$3:$I$502,MATCH(3,'الرواتب'!$Z$3:$Z$502,0)),"")</f>
        <v/>
      </c>
      <c r="G9" s="60">
        <f>IFERROR(INDEX('الرواتب'!$J$3:$J$502,MATCH(3,'الرواتب'!$Z$3:$Z$502,0)),"")</f>
        <v/>
      </c>
      <c r="H9" s="60">
        <f>IFERROR(INDEX('الرواتب'!$K$3:$K$502,MATCH(3,'الرواتب'!$Z$3:$Z$502,0)),"")</f>
        <v/>
      </c>
      <c r="I9" s="60">
        <f>IFERROR(INDEX('الرواتب'!$L$3:$L$502,MATCH(3,'الرواتب'!$Z$3:$Z$502,0)),"")</f>
        <v/>
      </c>
      <c r="J9" s="60">
        <f>IFERROR(INDEX('الرواتب'!$S$3:$S$502,MATCH(3,'الرواتب'!$Z$3:$Z$502,0)),"")</f>
        <v/>
      </c>
      <c r="K9" s="60">
        <f>IFERROR(INDEX('الرواتب'!$N$3:$N$502,MATCH(3,'الرواتب'!$Z$3:$Z$502,0)),"")</f>
        <v/>
      </c>
      <c r="L9" s="60">
        <f>IFERROR(INDEX('الرواتب'!$O$3:$O$502,MATCH(3,'الرواتب'!$Z$3:$Z$502,0)),"")</f>
        <v/>
      </c>
      <c r="M9" s="60">
        <f>IFERROR(INDEX('الرواتب'!$P$3:$P$502,MATCH(3,'الرواتب'!$Z$3:$Z$502,0)),"")</f>
        <v/>
      </c>
      <c r="N9" s="60">
        <f>IFERROR(INDEX('الرواتب'!$Q$3:$Q$502,MATCH(3,'الرواتب'!$Z$3:$Z$502,0)),"")</f>
        <v/>
      </c>
      <c r="O9" s="60">
        <f>IFERROR(INDEX('الرواتب'!$R$3:$R$502,MATCH(3,'الرواتب'!$Z$3:$Z$502,0)),"")</f>
        <v/>
      </c>
      <c r="P9" s="60">
        <f>IFERROR(INDEX('الرواتب'!$T$3:$T$502,MATCH(3,'الرواتب'!$Z$3:$Z$502,0)),"")</f>
        <v/>
      </c>
      <c r="Q9" s="60">
        <f>IFERROR(INDEX('الرواتب'!$U$3:$U$502,MATCH(3,'الرواتب'!$Z$3:$Z$502,0)),"")</f>
        <v/>
      </c>
      <c r="R9" s="60">
        <f>IFERROR(INDEX('الرواتب'!$V$3:$V$502,MATCH(3,'الرواتب'!$Z$3:$Z$502,0)),"")</f>
        <v/>
      </c>
    </row>
    <row r="10">
      <c r="A10" s="50">
        <f>IFERROR(INDEX('الرواتب'!$C$3:$C$502,MATCH(4,'الرواتب'!$Z$3:$Z$502,0)),"")</f>
        <v/>
      </c>
      <c r="B10" s="50">
        <f>IFERROR(INDEX('الرواتب'!$D$3:$D$502,MATCH(4,'الرواتب'!$Z$3:$Z$502,0)),"")</f>
        <v/>
      </c>
      <c r="C10" s="50">
        <f>IFERROR(INDEX('الرواتب'!$E$3:$E$502,MATCH(4,'الرواتب'!$Z$3:$Z$502,0)),"")</f>
        <v/>
      </c>
      <c r="D10" s="63">
        <f>IFERROR(INDEX('الرواتب'!$G$3:$G$502,MATCH(4,'الرواتب'!$Z$3:$Z$502,0)),"")</f>
        <v/>
      </c>
      <c r="E10" s="63">
        <f>IFERROR(INDEX('الرواتب'!$H$3:$H$502,MATCH(4,'الرواتب'!$Z$3:$Z$502,0)),"")</f>
        <v/>
      </c>
      <c r="F10" s="63">
        <f>IFERROR(INDEX('الرواتب'!$I$3:$I$502,MATCH(4,'الرواتب'!$Z$3:$Z$502,0)),"")</f>
        <v/>
      </c>
      <c r="G10" s="63">
        <f>IFERROR(INDEX('الرواتب'!$J$3:$J$502,MATCH(4,'الرواتب'!$Z$3:$Z$502,0)),"")</f>
        <v/>
      </c>
      <c r="H10" s="63">
        <f>IFERROR(INDEX('الرواتب'!$K$3:$K$502,MATCH(4,'الرواتب'!$Z$3:$Z$502,0)),"")</f>
        <v/>
      </c>
      <c r="I10" s="63">
        <f>IFERROR(INDEX('الرواتب'!$L$3:$L$502,MATCH(4,'الرواتب'!$Z$3:$Z$502,0)),"")</f>
        <v/>
      </c>
      <c r="J10" s="63">
        <f>IFERROR(INDEX('الرواتب'!$S$3:$S$502,MATCH(4,'الرواتب'!$Z$3:$Z$502,0)),"")</f>
        <v/>
      </c>
      <c r="K10" s="63">
        <f>IFERROR(INDEX('الرواتب'!$N$3:$N$502,MATCH(4,'الرواتب'!$Z$3:$Z$502,0)),"")</f>
        <v/>
      </c>
      <c r="L10" s="63">
        <f>IFERROR(INDEX('الرواتب'!$O$3:$O$502,MATCH(4,'الرواتب'!$Z$3:$Z$502,0)),"")</f>
        <v/>
      </c>
      <c r="M10" s="63">
        <f>IFERROR(INDEX('الرواتب'!$P$3:$P$502,MATCH(4,'الرواتب'!$Z$3:$Z$502,0)),"")</f>
        <v/>
      </c>
      <c r="N10" s="63">
        <f>IFERROR(INDEX('الرواتب'!$Q$3:$Q$502,MATCH(4,'الرواتب'!$Z$3:$Z$502,0)),"")</f>
        <v/>
      </c>
      <c r="O10" s="63">
        <f>IFERROR(INDEX('الرواتب'!$R$3:$R$502,MATCH(4,'الرواتب'!$Z$3:$Z$502,0)),"")</f>
        <v/>
      </c>
      <c r="P10" s="63">
        <f>IFERROR(INDEX('الرواتب'!$T$3:$T$502,MATCH(4,'الرواتب'!$Z$3:$Z$502,0)),"")</f>
        <v/>
      </c>
      <c r="Q10" s="63">
        <f>IFERROR(INDEX('الرواتب'!$U$3:$U$502,MATCH(4,'الرواتب'!$Z$3:$Z$502,0)),"")</f>
        <v/>
      </c>
      <c r="R10" s="63">
        <f>IFERROR(INDEX('الرواتب'!$V$3:$V$502,MATCH(4,'الرواتب'!$Z$3:$Z$502,0)),"")</f>
        <v/>
      </c>
    </row>
    <row r="11">
      <c r="A11" s="43">
        <f>IFERROR(INDEX('الرواتب'!$C$3:$C$502,MATCH(5,'الرواتب'!$Z$3:$Z$502,0)),"")</f>
        <v/>
      </c>
      <c r="B11" s="43">
        <f>IFERROR(INDEX('الرواتب'!$D$3:$D$502,MATCH(5,'الرواتب'!$Z$3:$Z$502,0)),"")</f>
        <v/>
      </c>
      <c r="C11" s="43">
        <f>IFERROR(INDEX('الرواتب'!$E$3:$E$502,MATCH(5,'الرواتب'!$Z$3:$Z$502,0)),"")</f>
        <v/>
      </c>
      <c r="D11" s="60">
        <f>IFERROR(INDEX('الرواتب'!$G$3:$G$502,MATCH(5,'الرواتب'!$Z$3:$Z$502,0)),"")</f>
        <v/>
      </c>
      <c r="E11" s="60">
        <f>IFERROR(INDEX('الرواتب'!$H$3:$H$502,MATCH(5,'الرواتب'!$Z$3:$Z$502,0)),"")</f>
        <v/>
      </c>
      <c r="F11" s="60">
        <f>IFERROR(INDEX('الرواتب'!$I$3:$I$502,MATCH(5,'الرواتب'!$Z$3:$Z$502,0)),"")</f>
        <v/>
      </c>
      <c r="G11" s="60">
        <f>IFERROR(INDEX('الرواتب'!$J$3:$J$502,MATCH(5,'الرواتب'!$Z$3:$Z$502,0)),"")</f>
        <v/>
      </c>
      <c r="H11" s="60">
        <f>IFERROR(INDEX('الرواتب'!$K$3:$K$502,MATCH(5,'الرواتب'!$Z$3:$Z$502,0)),"")</f>
        <v/>
      </c>
      <c r="I11" s="60">
        <f>IFERROR(INDEX('الرواتب'!$L$3:$L$502,MATCH(5,'الرواتب'!$Z$3:$Z$502,0)),"")</f>
        <v/>
      </c>
      <c r="J11" s="60">
        <f>IFERROR(INDEX('الرواتب'!$S$3:$S$502,MATCH(5,'الرواتب'!$Z$3:$Z$502,0)),"")</f>
        <v/>
      </c>
      <c r="K11" s="60">
        <f>IFERROR(INDEX('الرواتب'!$N$3:$N$502,MATCH(5,'الرواتب'!$Z$3:$Z$502,0)),"")</f>
        <v/>
      </c>
      <c r="L11" s="60">
        <f>IFERROR(INDEX('الرواتب'!$O$3:$O$502,MATCH(5,'الرواتب'!$Z$3:$Z$502,0)),"")</f>
        <v/>
      </c>
      <c r="M11" s="60">
        <f>IFERROR(INDEX('الرواتب'!$P$3:$P$502,MATCH(5,'الرواتب'!$Z$3:$Z$502,0)),"")</f>
        <v/>
      </c>
      <c r="N11" s="60">
        <f>IFERROR(INDEX('الرواتب'!$Q$3:$Q$502,MATCH(5,'الرواتب'!$Z$3:$Z$502,0)),"")</f>
        <v/>
      </c>
      <c r="O11" s="60">
        <f>IFERROR(INDEX('الرواتب'!$R$3:$R$502,MATCH(5,'الرواتب'!$Z$3:$Z$502,0)),"")</f>
        <v/>
      </c>
      <c r="P11" s="60">
        <f>IFERROR(INDEX('الرواتب'!$T$3:$T$502,MATCH(5,'الرواتب'!$Z$3:$Z$502,0)),"")</f>
        <v/>
      </c>
      <c r="Q11" s="60">
        <f>IFERROR(INDEX('الرواتب'!$U$3:$U$502,MATCH(5,'الرواتب'!$Z$3:$Z$502,0)),"")</f>
        <v/>
      </c>
      <c r="R11" s="60">
        <f>IFERROR(INDEX('الرواتب'!$V$3:$V$502,MATCH(5,'الرواتب'!$Z$3:$Z$502,0)),"")</f>
        <v/>
      </c>
    </row>
    <row r="12">
      <c r="A12" s="50">
        <f>IFERROR(INDEX('الرواتب'!$C$3:$C$502,MATCH(6,'الرواتب'!$Z$3:$Z$502,0)),"")</f>
        <v/>
      </c>
      <c r="B12" s="50">
        <f>IFERROR(INDEX('الرواتب'!$D$3:$D$502,MATCH(6,'الرواتب'!$Z$3:$Z$502,0)),"")</f>
        <v/>
      </c>
      <c r="C12" s="50">
        <f>IFERROR(INDEX('الرواتب'!$E$3:$E$502,MATCH(6,'الرواتب'!$Z$3:$Z$502,0)),"")</f>
        <v/>
      </c>
      <c r="D12" s="63">
        <f>IFERROR(INDEX('الرواتب'!$G$3:$G$502,MATCH(6,'الرواتب'!$Z$3:$Z$502,0)),"")</f>
        <v/>
      </c>
      <c r="E12" s="63">
        <f>IFERROR(INDEX('الرواتب'!$H$3:$H$502,MATCH(6,'الرواتب'!$Z$3:$Z$502,0)),"")</f>
        <v/>
      </c>
      <c r="F12" s="63">
        <f>IFERROR(INDEX('الرواتب'!$I$3:$I$502,MATCH(6,'الرواتب'!$Z$3:$Z$502,0)),"")</f>
        <v/>
      </c>
      <c r="G12" s="63">
        <f>IFERROR(INDEX('الرواتب'!$J$3:$J$502,MATCH(6,'الرواتب'!$Z$3:$Z$502,0)),"")</f>
        <v/>
      </c>
      <c r="H12" s="63">
        <f>IFERROR(INDEX('الرواتب'!$K$3:$K$502,MATCH(6,'الرواتب'!$Z$3:$Z$502,0)),"")</f>
        <v/>
      </c>
      <c r="I12" s="63">
        <f>IFERROR(INDEX('الرواتب'!$L$3:$L$502,MATCH(6,'الرواتب'!$Z$3:$Z$502,0)),"")</f>
        <v/>
      </c>
      <c r="J12" s="63">
        <f>IFERROR(INDEX('الرواتب'!$S$3:$S$502,MATCH(6,'الرواتب'!$Z$3:$Z$502,0)),"")</f>
        <v/>
      </c>
      <c r="K12" s="63">
        <f>IFERROR(INDEX('الرواتب'!$N$3:$N$502,MATCH(6,'الرواتب'!$Z$3:$Z$502,0)),"")</f>
        <v/>
      </c>
      <c r="L12" s="63">
        <f>IFERROR(INDEX('الرواتب'!$O$3:$O$502,MATCH(6,'الرواتب'!$Z$3:$Z$502,0)),"")</f>
        <v/>
      </c>
      <c r="M12" s="63">
        <f>IFERROR(INDEX('الرواتب'!$P$3:$P$502,MATCH(6,'الرواتب'!$Z$3:$Z$502,0)),"")</f>
        <v/>
      </c>
      <c r="N12" s="63">
        <f>IFERROR(INDEX('الرواتب'!$Q$3:$Q$502,MATCH(6,'الرواتب'!$Z$3:$Z$502,0)),"")</f>
        <v/>
      </c>
      <c r="O12" s="63">
        <f>IFERROR(INDEX('الرواتب'!$R$3:$R$502,MATCH(6,'الرواتب'!$Z$3:$Z$502,0)),"")</f>
        <v/>
      </c>
      <c r="P12" s="63">
        <f>IFERROR(INDEX('الرواتب'!$T$3:$T$502,MATCH(6,'الرواتب'!$Z$3:$Z$502,0)),"")</f>
        <v/>
      </c>
      <c r="Q12" s="63">
        <f>IFERROR(INDEX('الرواتب'!$U$3:$U$502,MATCH(6,'الرواتب'!$Z$3:$Z$502,0)),"")</f>
        <v/>
      </c>
      <c r="R12" s="63">
        <f>IFERROR(INDEX('الرواتب'!$V$3:$V$502,MATCH(6,'الرواتب'!$Z$3:$Z$502,0)),"")</f>
        <v/>
      </c>
    </row>
    <row r="13">
      <c r="A13" s="43">
        <f>IFERROR(INDEX('الرواتب'!$C$3:$C$502,MATCH(7,'الرواتب'!$Z$3:$Z$502,0)),"")</f>
        <v/>
      </c>
      <c r="B13" s="43">
        <f>IFERROR(INDEX('الرواتب'!$D$3:$D$502,MATCH(7,'الرواتب'!$Z$3:$Z$502,0)),"")</f>
        <v/>
      </c>
      <c r="C13" s="43">
        <f>IFERROR(INDEX('الرواتب'!$E$3:$E$502,MATCH(7,'الرواتب'!$Z$3:$Z$502,0)),"")</f>
        <v/>
      </c>
      <c r="D13" s="60">
        <f>IFERROR(INDEX('الرواتب'!$G$3:$G$502,MATCH(7,'الرواتب'!$Z$3:$Z$502,0)),"")</f>
        <v/>
      </c>
      <c r="E13" s="60">
        <f>IFERROR(INDEX('الرواتب'!$H$3:$H$502,MATCH(7,'الرواتب'!$Z$3:$Z$502,0)),"")</f>
        <v/>
      </c>
      <c r="F13" s="60">
        <f>IFERROR(INDEX('الرواتب'!$I$3:$I$502,MATCH(7,'الرواتب'!$Z$3:$Z$502,0)),"")</f>
        <v/>
      </c>
      <c r="G13" s="60">
        <f>IFERROR(INDEX('الرواتب'!$J$3:$J$502,MATCH(7,'الرواتب'!$Z$3:$Z$502,0)),"")</f>
        <v/>
      </c>
      <c r="H13" s="60">
        <f>IFERROR(INDEX('الرواتب'!$K$3:$K$502,MATCH(7,'الرواتب'!$Z$3:$Z$502,0)),"")</f>
        <v/>
      </c>
      <c r="I13" s="60">
        <f>IFERROR(INDEX('الرواتب'!$L$3:$L$502,MATCH(7,'الرواتب'!$Z$3:$Z$502,0)),"")</f>
        <v/>
      </c>
      <c r="J13" s="60">
        <f>IFERROR(INDEX('الرواتب'!$S$3:$S$502,MATCH(7,'الرواتب'!$Z$3:$Z$502,0)),"")</f>
        <v/>
      </c>
      <c r="K13" s="60">
        <f>IFERROR(INDEX('الرواتب'!$N$3:$N$502,MATCH(7,'الرواتب'!$Z$3:$Z$502,0)),"")</f>
        <v/>
      </c>
      <c r="L13" s="60">
        <f>IFERROR(INDEX('الرواتب'!$O$3:$O$502,MATCH(7,'الرواتب'!$Z$3:$Z$502,0)),"")</f>
        <v/>
      </c>
      <c r="M13" s="60">
        <f>IFERROR(INDEX('الرواتب'!$P$3:$P$502,MATCH(7,'الرواتب'!$Z$3:$Z$502,0)),"")</f>
        <v/>
      </c>
      <c r="N13" s="60">
        <f>IFERROR(INDEX('الرواتب'!$Q$3:$Q$502,MATCH(7,'الرواتب'!$Z$3:$Z$502,0)),"")</f>
        <v/>
      </c>
      <c r="O13" s="60">
        <f>IFERROR(INDEX('الرواتب'!$R$3:$R$502,MATCH(7,'الرواتب'!$Z$3:$Z$502,0)),"")</f>
        <v/>
      </c>
      <c r="P13" s="60">
        <f>IFERROR(INDEX('الرواتب'!$T$3:$T$502,MATCH(7,'الرواتب'!$Z$3:$Z$502,0)),"")</f>
        <v/>
      </c>
      <c r="Q13" s="60">
        <f>IFERROR(INDEX('الرواتب'!$U$3:$U$502,MATCH(7,'الرواتب'!$Z$3:$Z$502,0)),"")</f>
        <v/>
      </c>
      <c r="R13" s="60">
        <f>IFERROR(INDEX('الرواتب'!$V$3:$V$502,MATCH(7,'الرواتب'!$Z$3:$Z$502,0)),"")</f>
        <v/>
      </c>
    </row>
    <row r="14">
      <c r="A14" s="50">
        <f>IFERROR(INDEX('الرواتب'!$C$3:$C$502,MATCH(8,'الرواتب'!$Z$3:$Z$502,0)),"")</f>
        <v/>
      </c>
      <c r="B14" s="50">
        <f>IFERROR(INDEX('الرواتب'!$D$3:$D$502,MATCH(8,'الرواتب'!$Z$3:$Z$502,0)),"")</f>
        <v/>
      </c>
      <c r="C14" s="50">
        <f>IFERROR(INDEX('الرواتب'!$E$3:$E$502,MATCH(8,'الرواتب'!$Z$3:$Z$502,0)),"")</f>
        <v/>
      </c>
      <c r="D14" s="63">
        <f>IFERROR(INDEX('الرواتب'!$G$3:$G$502,MATCH(8,'الرواتب'!$Z$3:$Z$502,0)),"")</f>
        <v/>
      </c>
      <c r="E14" s="63">
        <f>IFERROR(INDEX('الرواتب'!$H$3:$H$502,MATCH(8,'الرواتب'!$Z$3:$Z$502,0)),"")</f>
        <v/>
      </c>
      <c r="F14" s="63">
        <f>IFERROR(INDEX('الرواتب'!$I$3:$I$502,MATCH(8,'الرواتب'!$Z$3:$Z$502,0)),"")</f>
        <v/>
      </c>
      <c r="G14" s="63">
        <f>IFERROR(INDEX('الرواتب'!$J$3:$J$502,MATCH(8,'الرواتب'!$Z$3:$Z$502,0)),"")</f>
        <v/>
      </c>
      <c r="H14" s="63">
        <f>IFERROR(INDEX('الرواتب'!$K$3:$K$502,MATCH(8,'الرواتب'!$Z$3:$Z$502,0)),"")</f>
        <v/>
      </c>
      <c r="I14" s="63">
        <f>IFERROR(INDEX('الرواتب'!$L$3:$L$502,MATCH(8,'الرواتب'!$Z$3:$Z$502,0)),"")</f>
        <v/>
      </c>
      <c r="J14" s="63">
        <f>IFERROR(INDEX('الرواتب'!$S$3:$S$502,MATCH(8,'الرواتب'!$Z$3:$Z$502,0)),"")</f>
        <v/>
      </c>
      <c r="K14" s="63">
        <f>IFERROR(INDEX('الرواتب'!$N$3:$N$502,MATCH(8,'الرواتب'!$Z$3:$Z$502,0)),"")</f>
        <v/>
      </c>
      <c r="L14" s="63">
        <f>IFERROR(INDEX('الرواتب'!$O$3:$O$502,MATCH(8,'الرواتب'!$Z$3:$Z$502,0)),"")</f>
        <v/>
      </c>
      <c r="M14" s="63">
        <f>IFERROR(INDEX('الرواتب'!$P$3:$P$502,MATCH(8,'الرواتب'!$Z$3:$Z$502,0)),"")</f>
        <v/>
      </c>
      <c r="N14" s="63">
        <f>IFERROR(INDEX('الرواتب'!$Q$3:$Q$502,MATCH(8,'الرواتب'!$Z$3:$Z$502,0)),"")</f>
        <v/>
      </c>
      <c r="O14" s="63">
        <f>IFERROR(INDEX('الرواتب'!$R$3:$R$502,MATCH(8,'الرواتب'!$Z$3:$Z$502,0)),"")</f>
        <v/>
      </c>
      <c r="P14" s="63">
        <f>IFERROR(INDEX('الرواتب'!$T$3:$T$502,MATCH(8,'الرواتب'!$Z$3:$Z$502,0)),"")</f>
        <v/>
      </c>
      <c r="Q14" s="63">
        <f>IFERROR(INDEX('الرواتب'!$U$3:$U$502,MATCH(8,'الرواتب'!$Z$3:$Z$502,0)),"")</f>
        <v/>
      </c>
      <c r="R14" s="63">
        <f>IFERROR(INDEX('الرواتب'!$V$3:$V$502,MATCH(8,'الرواتب'!$Z$3:$Z$502,0)),"")</f>
        <v/>
      </c>
    </row>
    <row r="15">
      <c r="A15" s="43">
        <f>IFERROR(INDEX('الرواتب'!$C$3:$C$502,MATCH(9,'الرواتب'!$Z$3:$Z$502,0)),"")</f>
        <v/>
      </c>
      <c r="B15" s="43">
        <f>IFERROR(INDEX('الرواتب'!$D$3:$D$502,MATCH(9,'الرواتب'!$Z$3:$Z$502,0)),"")</f>
        <v/>
      </c>
      <c r="C15" s="43">
        <f>IFERROR(INDEX('الرواتب'!$E$3:$E$502,MATCH(9,'الرواتب'!$Z$3:$Z$502,0)),"")</f>
        <v/>
      </c>
      <c r="D15" s="60">
        <f>IFERROR(INDEX('الرواتب'!$G$3:$G$502,MATCH(9,'الرواتب'!$Z$3:$Z$502,0)),"")</f>
        <v/>
      </c>
      <c r="E15" s="60">
        <f>IFERROR(INDEX('الرواتب'!$H$3:$H$502,MATCH(9,'الرواتب'!$Z$3:$Z$502,0)),"")</f>
        <v/>
      </c>
      <c r="F15" s="60">
        <f>IFERROR(INDEX('الرواتب'!$I$3:$I$502,MATCH(9,'الرواتب'!$Z$3:$Z$502,0)),"")</f>
        <v/>
      </c>
      <c r="G15" s="60">
        <f>IFERROR(INDEX('الرواتب'!$J$3:$J$502,MATCH(9,'الرواتب'!$Z$3:$Z$502,0)),"")</f>
        <v/>
      </c>
      <c r="H15" s="60">
        <f>IFERROR(INDEX('الرواتب'!$K$3:$K$502,MATCH(9,'الرواتب'!$Z$3:$Z$502,0)),"")</f>
        <v/>
      </c>
      <c r="I15" s="60">
        <f>IFERROR(INDEX('الرواتب'!$L$3:$L$502,MATCH(9,'الرواتب'!$Z$3:$Z$502,0)),"")</f>
        <v/>
      </c>
      <c r="J15" s="60">
        <f>IFERROR(INDEX('الرواتب'!$S$3:$S$502,MATCH(9,'الرواتب'!$Z$3:$Z$502,0)),"")</f>
        <v/>
      </c>
      <c r="K15" s="60">
        <f>IFERROR(INDEX('الرواتب'!$N$3:$N$502,MATCH(9,'الرواتب'!$Z$3:$Z$502,0)),"")</f>
        <v/>
      </c>
      <c r="L15" s="60">
        <f>IFERROR(INDEX('الرواتب'!$O$3:$O$502,MATCH(9,'الرواتب'!$Z$3:$Z$502,0)),"")</f>
        <v/>
      </c>
      <c r="M15" s="60">
        <f>IFERROR(INDEX('الرواتب'!$P$3:$P$502,MATCH(9,'الرواتب'!$Z$3:$Z$502,0)),"")</f>
        <v/>
      </c>
      <c r="N15" s="60">
        <f>IFERROR(INDEX('الرواتب'!$Q$3:$Q$502,MATCH(9,'الرواتب'!$Z$3:$Z$502,0)),"")</f>
        <v/>
      </c>
      <c r="O15" s="60">
        <f>IFERROR(INDEX('الرواتب'!$R$3:$R$502,MATCH(9,'الرواتب'!$Z$3:$Z$502,0)),"")</f>
        <v/>
      </c>
      <c r="P15" s="60">
        <f>IFERROR(INDEX('الرواتب'!$T$3:$T$502,MATCH(9,'الرواتب'!$Z$3:$Z$502,0)),"")</f>
        <v/>
      </c>
      <c r="Q15" s="60">
        <f>IFERROR(INDEX('الرواتب'!$U$3:$U$502,MATCH(9,'الرواتب'!$Z$3:$Z$502,0)),"")</f>
        <v/>
      </c>
      <c r="R15" s="60">
        <f>IFERROR(INDEX('الرواتب'!$V$3:$V$502,MATCH(9,'الرواتب'!$Z$3:$Z$502,0)),"")</f>
        <v/>
      </c>
    </row>
    <row r="16">
      <c r="A16" s="50">
        <f>IFERROR(INDEX('الرواتب'!$C$3:$C$502,MATCH(10,'الرواتب'!$Z$3:$Z$502,0)),"")</f>
        <v/>
      </c>
      <c r="B16" s="50">
        <f>IFERROR(INDEX('الرواتب'!$D$3:$D$502,MATCH(10,'الرواتب'!$Z$3:$Z$502,0)),"")</f>
        <v/>
      </c>
      <c r="C16" s="50">
        <f>IFERROR(INDEX('الرواتب'!$E$3:$E$502,MATCH(10,'الرواتب'!$Z$3:$Z$502,0)),"")</f>
        <v/>
      </c>
      <c r="D16" s="63">
        <f>IFERROR(INDEX('الرواتب'!$G$3:$G$502,MATCH(10,'الرواتب'!$Z$3:$Z$502,0)),"")</f>
        <v/>
      </c>
      <c r="E16" s="63">
        <f>IFERROR(INDEX('الرواتب'!$H$3:$H$502,MATCH(10,'الرواتب'!$Z$3:$Z$502,0)),"")</f>
        <v/>
      </c>
      <c r="F16" s="63">
        <f>IFERROR(INDEX('الرواتب'!$I$3:$I$502,MATCH(10,'الرواتب'!$Z$3:$Z$502,0)),"")</f>
        <v/>
      </c>
      <c r="G16" s="63">
        <f>IFERROR(INDEX('الرواتب'!$J$3:$J$502,MATCH(10,'الرواتب'!$Z$3:$Z$502,0)),"")</f>
        <v/>
      </c>
      <c r="H16" s="63">
        <f>IFERROR(INDEX('الرواتب'!$K$3:$K$502,MATCH(10,'الرواتب'!$Z$3:$Z$502,0)),"")</f>
        <v/>
      </c>
      <c r="I16" s="63">
        <f>IFERROR(INDEX('الرواتب'!$L$3:$L$502,MATCH(10,'الرواتب'!$Z$3:$Z$502,0)),"")</f>
        <v/>
      </c>
      <c r="J16" s="63">
        <f>IFERROR(INDEX('الرواتب'!$S$3:$S$502,MATCH(10,'الرواتب'!$Z$3:$Z$502,0)),"")</f>
        <v/>
      </c>
      <c r="K16" s="63">
        <f>IFERROR(INDEX('الرواتب'!$N$3:$N$502,MATCH(10,'الرواتب'!$Z$3:$Z$502,0)),"")</f>
        <v/>
      </c>
      <c r="L16" s="63">
        <f>IFERROR(INDEX('الرواتب'!$O$3:$O$502,MATCH(10,'الرواتب'!$Z$3:$Z$502,0)),"")</f>
        <v/>
      </c>
      <c r="M16" s="63">
        <f>IFERROR(INDEX('الرواتب'!$P$3:$P$502,MATCH(10,'الرواتب'!$Z$3:$Z$502,0)),"")</f>
        <v/>
      </c>
      <c r="N16" s="63">
        <f>IFERROR(INDEX('الرواتب'!$Q$3:$Q$502,MATCH(10,'الرواتب'!$Z$3:$Z$502,0)),"")</f>
        <v/>
      </c>
      <c r="O16" s="63">
        <f>IFERROR(INDEX('الرواتب'!$R$3:$R$502,MATCH(10,'الرواتب'!$Z$3:$Z$502,0)),"")</f>
        <v/>
      </c>
      <c r="P16" s="63">
        <f>IFERROR(INDEX('الرواتب'!$T$3:$T$502,MATCH(10,'الرواتب'!$Z$3:$Z$502,0)),"")</f>
        <v/>
      </c>
      <c r="Q16" s="63">
        <f>IFERROR(INDEX('الرواتب'!$U$3:$U$502,MATCH(10,'الرواتب'!$Z$3:$Z$502,0)),"")</f>
        <v/>
      </c>
      <c r="R16" s="63">
        <f>IFERROR(INDEX('الرواتب'!$V$3:$V$502,MATCH(10,'الرواتب'!$Z$3:$Z$502,0)),"")</f>
        <v/>
      </c>
    </row>
    <row r="17">
      <c r="A17" s="43">
        <f>IFERROR(INDEX('الرواتب'!$C$3:$C$502,MATCH(11,'الرواتب'!$Z$3:$Z$502,0)),"")</f>
        <v/>
      </c>
      <c r="B17" s="43">
        <f>IFERROR(INDEX('الرواتب'!$D$3:$D$502,MATCH(11,'الرواتب'!$Z$3:$Z$502,0)),"")</f>
        <v/>
      </c>
      <c r="C17" s="43">
        <f>IFERROR(INDEX('الرواتب'!$E$3:$E$502,MATCH(11,'الرواتب'!$Z$3:$Z$502,0)),"")</f>
        <v/>
      </c>
      <c r="D17" s="60">
        <f>IFERROR(INDEX('الرواتب'!$G$3:$G$502,MATCH(11,'الرواتب'!$Z$3:$Z$502,0)),"")</f>
        <v/>
      </c>
      <c r="E17" s="60">
        <f>IFERROR(INDEX('الرواتب'!$H$3:$H$502,MATCH(11,'الرواتب'!$Z$3:$Z$502,0)),"")</f>
        <v/>
      </c>
      <c r="F17" s="60">
        <f>IFERROR(INDEX('الرواتب'!$I$3:$I$502,MATCH(11,'الرواتب'!$Z$3:$Z$502,0)),"")</f>
        <v/>
      </c>
      <c r="G17" s="60">
        <f>IFERROR(INDEX('الرواتب'!$J$3:$J$502,MATCH(11,'الرواتب'!$Z$3:$Z$502,0)),"")</f>
        <v/>
      </c>
      <c r="H17" s="60">
        <f>IFERROR(INDEX('الرواتب'!$K$3:$K$502,MATCH(11,'الرواتب'!$Z$3:$Z$502,0)),"")</f>
        <v/>
      </c>
      <c r="I17" s="60">
        <f>IFERROR(INDEX('الرواتب'!$L$3:$L$502,MATCH(11,'الرواتب'!$Z$3:$Z$502,0)),"")</f>
        <v/>
      </c>
      <c r="J17" s="60">
        <f>IFERROR(INDEX('الرواتب'!$S$3:$S$502,MATCH(11,'الرواتب'!$Z$3:$Z$502,0)),"")</f>
        <v/>
      </c>
      <c r="K17" s="60">
        <f>IFERROR(INDEX('الرواتب'!$N$3:$N$502,MATCH(11,'الرواتب'!$Z$3:$Z$502,0)),"")</f>
        <v/>
      </c>
      <c r="L17" s="60">
        <f>IFERROR(INDEX('الرواتب'!$O$3:$O$502,MATCH(11,'الرواتب'!$Z$3:$Z$502,0)),"")</f>
        <v/>
      </c>
      <c r="M17" s="60">
        <f>IFERROR(INDEX('الرواتب'!$P$3:$P$502,MATCH(11,'الرواتب'!$Z$3:$Z$502,0)),"")</f>
        <v/>
      </c>
      <c r="N17" s="60">
        <f>IFERROR(INDEX('الرواتب'!$Q$3:$Q$502,MATCH(11,'الرواتب'!$Z$3:$Z$502,0)),"")</f>
        <v/>
      </c>
      <c r="O17" s="60">
        <f>IFERROR(INDEX('الرواتب'!$R$3:$R$502,MATCH(11,'الرواتب'!$Z$3:$Z$502,0)),"")</f>
        <v/>
      </c>
      <c r="P17" s="60">
        <f>IFERROR(INDEX('الرواتب'!$T$3:$T$502,MATCH(11,'الرواتب'!$Z$3:$Z$502,0)),"")</f>
        <v/>
      </c>
      <c r="Q17" s="60">
        <f>IFERROR(INDEX('الرواتب'!$U$3:$U$502,MATCH(11,'الرواتب'!$Z$3:$Z$502,0)),"")</f>
        <v/>
      </c>
      <c r="R17" s="60">
        <f>IFERROR(INDEX('الرواتب'!$V$3:$V$502,MATCH(11,'الرواتب'!$Z$3:$Z$502,0)),"")</f>
        <v/>
      </c>
    </row>
    <row r="18">
      <c r="A18" s="50">
        <f>IFERROR(INDEX('الرواتب'!$C$3:$C$502,MATCH(12,'الرواتب'!$Z$3:$Z$502,0)),"")</f>
        <v/>
      </c>
      <c r="B18" s="50">
        <f>IFERROR(INDEX('الرواتب'!$D$3:$D$502,MATCH(12,'الرواتب'!$Z$3:$Z$502,0)),"")</f>
        <v/>
      </c>
      <c r="C18" s="50">
        <f>IFERROR(INDEX('الرواتب'!$E$3:$E$502,MATCH(12,'الرواتب'!$Z$3:$Z$502,0)),"")</f>
        <v/>
      </c>
      <c r="D18" s="63">
        <f>IFERROR(INDEX('الرواتب'!$G$3:$G$502,MATCH(12,'الرواتب'!$Z$3:$Z$502,0)),"")</f>
        <v/>
      </c>
      <c r="E18" s="63">
        <f>IFERROR(INDEX('الرواتب'!$H$3:$H$502,MATCH(12,'الرواتب'!$Z$3:$Z$502,0)),"")</f>
        <v/>
      </c>
      <c r="F18" s="63">
        <f>IFERROR(INDEX('الرواتب'!$I$3:$I$502,MATCH(12,'الرواتب'!$Z$3:$Z$502,0)),"")</f>
        <v/>
      </c>
      <c r="G18" s="63">
        <f>IFERROR(INDEX('الرواتب'!$J$3:$J$502,MATCH(12,'الرواتب'!$Z$3:$Z$502,0)),"")</f>
        <v/>
      </c>
      <c r="H18" s="63">
        <f>IFERROR(INDEX('الرواتب'!$K$3:$K$502,MATCH(12,'الرواتب'!$Z$3:$Z$502,0)),"")</f>
        <v/>
      </c>
      <c r="I18" s="63">
        <f>IFERROR(INDEX('الرواتب'!$L$3:$L$502,MATCH(12,'الرواتب'!$Z$3:$Z$502,0)),"")</f>
        <v/>
      </c>
      <c r="J18" s="63">
        <f>IFERROR(INDEX('الرواتب'!$S$3:$S$502,MATCH(12,'الرواتب'!$Z$3:$Z$502,0)),"")</f>
        <v/>
      </c>
      <c r="K18" s="63">
        <f>IFERROR(INDEX('الرواتب'!$N$3:$N$502,MATCH(12,'الرواتب'!$Z$3:$Z$502,0)),"")</f>
        <v/>
      </c>
      <c r="L18" s="63">
        <f>IFERROR(INDEX('الرواتب'!$O$3:$O$502,MATCH(12,'الرواتب'!$Z$3:$Z$502,0)),"")</f>
        <v/>
      </c>
      <c r="M18" s="63">
        <f>IFERROR(INDEX('الرواتب'!$P$3:$P$502,MATCH(12,'الرواتب'!$Z$3:$Z$502,0)),"")</f>
        <v/>
      </c>
      <c r="N18" s="63">
        <f>IFERROR(INDEX('الرواتب'!$Q$3:$Q$502,MATCH(12,'الرواتب'!$Z$3:$Z$502,0)),"")</f>
        <v/>
      </c>
      <c r="O18" s="63">
        <f>IFERROR(INDEX('الرواتب'!$R$3:$R$502,MATCH(12,'الرواتب'!$Z$3:$Z$502,0)),"")</f>
        <v/>
      </c>
      <c r="P18" s="63">
        <f>IFERROR(INDEX('الرواتب'!$T$3:$T$502,MATCH(12,'الرواتب'!$Z$3:$Z$502,0)),"")</f>
        <v/>
      </c>
      <c r="Q18" s="63">
        <f>IFERROR(INDEX('الرواتب'!$U$3:$U$502,MATCH(12,'الرواتب'!$Z$3:$Z$502,0)),"")</f>
        <v/>
      </c>
      <c r="R18" s="63">
        <f>IFERROR(INDEX('الرواتب'!$V$3:$V$502,MATCH(12,'الرواتب'!$Z$3:$Z$502,0)),"")</f>
        <v/>
      </c>
    </row>
    <row r="19">
      <c r="A19" s="43">
        <f>IFERROR(INDEX('الرواتب'!$C$3:$C$502,MATCH(13,'الرواتب'!$Z$3:$Z$502,0)),"")</f>
        <v/>
      </c>
      <c r="B19" s="43">
        <f>IFERROR(INDEX('الرواتب'!$D$3:$D$502,MATCH(13,'الرواتب'!$Z$3:$Z$502,0)),"")</f>
        <v/>
      </c>
      <c r="C19" s="43">
        <f>IFERROR(INDEX('الرواتب'!$E$3:$E$502,MATCH(13,'الرواتب'!$Z$3:$Z$502,0)),"")</f>
        <v/>
      </c>
      <c r="D19" s="60">
        <f>IFERROR(INDEX('الرواتب'!$G$3:$G$502,MATCH(13,'الرواتب'!$Z$3:$Z$502,0)),"")</f>
        <v/>
      </c>
      <c r="E19" s="60">
        <f>IFERROR(INDEX('الرواتب'!$H$3:$H$502,MATCH(13,'الرواتب'!$Z$3:$Z$502,0)),"")</f>
        <v/>
      </c>
      <c r="F19" s="60">
        <f>IFERROR(INDEX('الرواتب'!$I$3:$I$502,MATCH(13,'الرواتب'!$Z$3:$Z$502,0)),"")</f>
        <v/>
      </c>
      <c r="G19" s="60">
        <f>IFERROR(INDEX('الرواتب'!$J$3:$J$502,MATCH(13,'الرواتب'!$Z$3:$Z$502,0)),"")</f>
        <v/>
      </c>
      <c r="H19" s="60">
        <f>IFERROR(INDEX('الرواتب'!$K$3:$K$502,MATCH(13,'الرواتب'!$Z$3:$Z$502,0)),"")</f>
        <v/>
      </c>
      <c r="I19" s="60">
        <f>IFERROR(INDEX('الرواتب'!$L$3:$L$502,MATCH(13,'الرواتب'!$Z$3:$Z$502,0)),"")</f>
        <v/>
      </c>
      <c r="J19" s="60">
        <f>IFERROR(INDEX('الرواتب'!$S$3:$S$502,MATCH(13,'الرواتب'!$Z$3:$Z$502,0)),"")</f>
        <v/>
      </c>
      <c r="K19" s="60">
        <f>IFERROR(INDEX('الرواتب'!$N$3:$N$502,MATCH(13,'الرواتب'!$Z$3:$Z$502,0)),"")</f>
        <v/>
      </c>
      <c r="L19" s="60">
        <f>IFERROR(INDEX('الرواتب'!$O$3:$O$502,MATCH(13,'الرواتب'!$Z$3:$Z$502,0)),"")</f>
        <v/>
      </c>
      <c r="M19" s="60">
        <f>IFERROR(INDEX('الرواتب'!$P$3:$P$502,MATCH(13,'الرواتب'!$Z$3:$Z$502,0)),"")</f>
        <v/>
      </c>
      <c r="N19" s="60">
        <f>IFERROR(INDEX('الرواتب'!$Q$3:$Q$502,MATCH(13,'الرواتب'!$Z$3:$Z$502,0)),"")</f>
        <v/>
      </c>
      <c r="O19" s="60">
        <f>IFERROR(INDEX('الرواتب'!$R$3:$R$502,MATCH(13,'الرواتب'!$Z$3:$Z$502,0)),"")</f>
        <v/>
      </c>
      <c r="P19" s="60">
        <f>IFERROR(INDEX('الرواتب'!$T$3:$T$502,MATCH(13,'الرواتب'!$Z$3:$Z$502,0)),"")</f>
        <v/>
      </c>
      <c r="Q19" s="60">
        <f>IFERROR(INDEX('الرواتب'!$U$3:$U$502,MATCH(13,'الرواتب'!$Z$3:$Z$502,0)),"")</f>
        <v/>
      </c>
      <c r="R19" s="60">
        <f>IFERROR(INDEX('الرواتب'!$V$3:$V$502,MATCH(13,'الرواتب'!$Z$3:$Z$502,0)),"")</f>
        <v/>
      </c>
    </row>
    <row r="20">
      <c r="A20" s="50">
        <f>IFERROR(INDEX('الرواتب'!$C$3:$C$502,MATCH(14,'الرواتب'!$Z$3:$Z$502,0)),"")</f>
        <v/>
      </c>
      <c r="B20" s="50">
        <f>IFERROR(INDEX('الرواتب'!$D$3:$D$502,MATCH(14,'الرواتب'!$Z$3:$Z$502,0)),"")</f>
        <v/>
      </c>
      <c r="C20" s="50">
        <f>IFERROR(INDEX('الرواتب'!$E$3:$E$502,MATCH(14,'الرواتب'!$Z$3:$Z$502,0)),"")</f>
        <v/>
      </c>
      <c r="D20" s="63">
        <f>IFERROR(INDEX('الرواتب'!$G$3:$G$502,MATCH(14,'الرواتب'!$Z$3:$Z$502,0)),"")</f>
        <v/>
      </c>
      <c r="E20" s="63">
        <f>IFERROR(INDEX('الرواتب'!$H$3:$H$502,MATCH(14,'الرواتب'!$Z$3:$Z$502,0)),"")</f>
        <v/>
      </c>
      <c r="F20" s="63">
        <f>IFERROR(INDEX('الرواتب'!$I$3:$I$502,MATCH(14,'الرواتب'!$Z$3:$Z$502,0)),"")</f>
        <v/>
      </c>
      <c r="G20" s="63">
        <f>IFERROR(INDEX('الرواتب'!$J$3:$J$502,MATCH(14,'الرواتب'!$Z$3:$Z$502,0)),"")</f>
        <v/>
      </c>
      <c r="H20" s="63">
        <f>IFERROR(INDEX('الرواتب'!$K$3:$K$502,MATCH(14,'الرواتب'!$Z$3:$Z$502,0)),"")</f>
        <v/>
      </c>
      <c r="I20" s="63">
        <f>IFERROR(INDEX('الرواتب'!$L$3:$L$502,MATCH(14,'الرواتب'!$Z$3:$Z$502,0)),"")</f>
        <v/>
      </c>
      <c r="J20" s="63">
        <f>IFERROR(INDEX('الرواتب'!$S$3:$S$502,MATCH(14,'الرواتب'!$Z$3:$Z$502,0)),"")</f>
        <v/>
      </c>
      <c r="K20" s="63">
        <f>IFERROR(INDEX('الرواتب'!$N$3:$N$502,MATCH(14,'الرواتب'!$Z$3:$Z$502,0)),"")</f>
        <v/>
      </c>
      <c r="L20" s="63">
        <f>IFERROR(INDEX('الرواتب'!$O$3:$O$502,MATCH(14,'الرواتب'!$Z$3:$Z$502,0)),"")</f>
        <v/>
      </c>
      <c r="M20" s="63">
        <f>IFERROR(INDEX('الرواتب'!$P$3:$P$502,MATCH(14,'الرواتب'!$Z$3:$Z$502,0)),"")</f>
        <v/>
      </c>
      <c r="N20" s="63">
        <f>IFERROR(INDEX('الرواتب'!$Q$3:$Q$502,MATCH(14,'الرواتب'!$Z$3:$Z$502,0)),"")</f>
        <v/>
      </c>
      <c r="O20" s="63">
        <f>IFERROR(INDEX('الرواتب'!$R$3:$R$502,MATCH(14,'الرواتب'!$Z$3:$Z$502,0)),"")</f>
        <v/>
      </c>
      <c r="P20" s="63">
        <f>IFERROR(INDEX('الرواتب'!$T$3:$T$502,MATCH(14,'الرواتب'!$Z$3:$Z$502,0)),"")</f>
        <v/>
      </c>
      <c r="Q20" s="63">
        <f>IFERROR(INDEX('الرواتب'!$U$3:$U$502,MATCH(14,'الرواتب'!$Z$3:$Z$502,0)),"")</f>
        <v/>
      </c>
      <c r="R20" s="63">
        <f>IFERROR(INDEX('الرواتب'!$V$3:$V$502,MATCH(14,'الرواتب'!$Z$3:$Z$502,0)),"")</f>
        <v/>
      </c>
    </row>
    <row r="21">
      <c r="A21" s="43">
        <f>IFERROR(INDEX('الرواتب'!$C$3:$C$502,MATCH(15,'الرواتب'!$Z$3:$Z$502,0)),"")</f>
        <v/>
      </c>
      <c r="B21" s="43">
        <f>IFERROR(INDEX('الرواتب'!$D$3:$D$502,MATCH(15,'الرواتب'!$Z$3:$Z$502,0)),"")</f>
        <v/>
      </c>
      <c r="C21" s="43">
        <f>IFERROR(INDEX('الرواتب'!$E$3:$E$502,MATCH(15,'الرواتب'!$Z$3:$Z$502,0)),"")</f>
        <v/>
      </c>
      <c r="D21" s="60">
        <f>IFERROR(INDEX('الرواتب'!$G$3:$G$502,MATCH(15,'الرواتب'!$Z$3:$Z$502,0)),"")</f>
        <v/>
      </c>
      <c r="E21" s="60">
        <f>IFERROR(INDEX('الرواتب'!$H$3:$H$502,MATCH(15,'الرواتب'!$Z$3:$Z$502,0)),"")</f>
        <v/>
      </c>
      <c r="F21" s="60">
        <f>IFERROR(INDEX('الرواتب'!$I$3:$I$502,MATCH(15,'الرواتب'!$Z$3:$Z$502,0)),"")</f>
        <v/>
      </c>
      <c r="G21" s="60">
        <f>IFERROR(INDEX('الرواتب'!$J$3:$J$502,MATCH(15,'الرواتب'!$Z$3:$Z$502,0)),"")</f>
        <v/>
      </c>
      <c r="H21" s="60">
        <f>IFERROR(INDEX('الرواتب'!$K$3:$K$502,MATCH(15,'الرواتب'!$Z$3:$Z$502,0)),"")</f>
        <v/>
      </c>
      <c r="I21" s="60">
        <f>IFERROR(INDEX('الرواتب'!$L$3:$L$502,MATCH(15,'الرواتب'!$Z$3:$Z$502,0)),"")</f>
        <v/>
      </c>
      <c r="J21" s="60">
        <f>IFERROR(INDEX('الرواتب'!$S$3:$S$502,MATCH(15,'الرواتب'!$Z$3:$Z$502,0)),"")</f>
        <v/>
      </c>
      <c r="K21" s="60">
        <f>IFERROR(INDEX('الرواتب'!$N$3:$N$502,MATCH(15,'الرواتب'!$Z$3:$Z$502,0)),"")</f>
        <v/>
      </c>
      <c r="L21" s="60">
        <f>IFERROR(INDEX('الرواتب'!$O$3:$O$502,MATCH(15,'الرواتب'!$Z$3:$Z$502,0)),"")</f>
        <v/>
      </c>
      <c r="M21" s="60">
        <f>IFERROR(INDEX('الرواتب'!$P$3:$P$502,MATCH(15,'الرواتب'!$Z$3:$Z$502,0)),"")</f>
        <v/>
      </c>
      <c r="N21" s="60">
        <f>IFERROR(INDEX('الرواتب'!$Q$3:$Q$502,MATCH(15,'الرواتب'!$Z$3:$Z$502,0)),"")</f>
        <v/>
      </c>
      <c r="O21" s="60">
        <f>IFERROR(INDEX('الرواتب'!$R$3:$R$502,MATCH(15,'الرواتب'!$Z$3:$Z$502,0)),"")</f>
        <v/>
      </c>
      <c r="P21" s="60">
        <f>IFERROR(INDEX('الرواتب'!$T$3:$T$502,MATCH(15,'الرواتب'!$Z$3:$Z$502,0)),"")</f>
        <v/>
      </c>
      <c r="Q21" s="60">
        <f>IFERROR(INDEX('الرواتب'!$U$3:$U$502,MATCH(15,'الرواتب'!$Z$3:$Z$502,0)),"")</f>
        <v/>
      </c>
      <c r="R21" s="60">
        <f>IFERROR(INDEX('الرواتب'!$V$3:$V$502,MATCH(15,'الرواتب'!$Z$3:$Z$502,0)),"")</f>
        <v/>
      </c>
    </row>
    <row r="22">
      <c r="A22" s="50">
        <f>IFERROR(INDEX('الرواتب'!$C$3:$C$502,MATCH(16,'الرواتب'!$Z$3:$Z$502,0)),"")</f>
        <v/>
      </c>
      <c r="B22" s="50">
        <f>IFERROR(INDEX('الرواتب'!$D$3:$D$502,MATCH(16,'الرواتب'!$Z$3:$Z$502,0)),"")</f>
        <v/>
      </c>
      <c r="C22" s="50">
        <f>IFERROR(INDEX('الرواتب'!$E$3:$E$502,MATCH(16,'الرواتب'!$Z$3:$Z$502,0)),"")</f>
        <v/>
      </c>
      <c r="D22" s="63">
        <f>IFERROR(INDEX('الرواتب'!$G$3:$G$502,MATCH(16,'الرواتب'!$Z$3:$Z$502,0)),"")</f>
        <v/>
      </c>
      <c r="E22" s="63">
        <f>IFERROR(INDEX('الرواتب'!$H$3:$H$502,MATCH(16,'الرواتب'!$Z$3:$Z$502,0)),"")</f>
        <v/>
      </c>
      <c r="F22" s="63">
        <f>IFERROR(INDEX('الرواتب'!$I$3:$I$502,MATCH(16,'الرواتب'!$Z$3:$Z$502,0)),"")</f>
        <v/>
      </c>
      <c r="G22" s="63">
        <f>IFERROR(INDEX('الرواتب'!$J$3:$J$502,MATCH(16,'الرواتب'!$Z$3:$Z$502,0)),"")</f>
        <v/>
      </c>
      <c r="H22" s="63">
        <f>IFERROR(INDEX('الرواتب'!$K$3:$K$502,MATCH(16,'الرواتب'!$Z$3:$Z$502,0)),"")</f>
        <v/>
      </c>
      <c r="I22" s="63">
        <f>IFERROR(INDEX('الرواتب'!$L$3:$L$502,MATCH(16,'الرواتب'!$Z$3:$Z$502,0)),"")</f>
        <v/>
      </c>
      <c r="J22" s="63">
        <f>IFERROR(INDEX('الرواتب'!$S$3:$S$502,MATCH(16,'الرواتب'!$Z$3:$Z$502,0)),"")</f>
        <v/>
      </c>
      <c r="K22" s="63">
        <f>IFERROR(INDEX('الرواتب'!$N$3:$N$502,MATCH(16,'الرواتب'!$Z$3:$Z$502,0)),"")</f>
        <v/>
      </c>
      <c r="L22" s="63">
        <f>IFERROR(INDEX('الرواتب'!$O$3:$O$502,MATCH(16,'الرواتب'!$Z$3:$Z$502,0)),"")</f>
        <v/>
      </c>
      <c r="M22" s="63">
        <f>IFERROR(INDEX('الرواتب'!$P$3:$P$502,MATCH(16,'الرواتب'!$Z$3:$Z$502,0)),"")</f>
        <v/>
      </c>
      <c r="N22" s="63">
        <f>IFERROR(INDEX('الرواتب'!$Q$3:$Q$502,MATCH(16,'الرواتب'!$Z$3:$Z$502,0)),"")</f>
        <v/>
      </c>
      <c r="O22" s="63">
        <f>IFERROR(INDEX('الرواتب'!$R$3:$R$502,MATCH(16,'الرواتب'!$Z$3:$Z$502,0)),"")</f>
        <v/>
      </c>
      <c r="P22" s="63">
        <f>IFERROR(INDEX('الرواتب'!$T$3:$T$502,MATCH(16,'الرواتب'!$Z$3:$Z$502,0)),"")</f>
        <v/>
      </c>
      <c r="Q22" s="63">
        <f>IFERROR(INDEX('الرواتب'!$U$3:$U$502,MATCH(16,'الرواتب'!$Z$3:$Z$502,0)),"")</f>
        <v/>
      </c>
      <c r="R22" s="63">
        <f>IFERROR(INDEX('الرواتب'!$V$3:$V$502,MATCH(16,'الرواتب'!$Z$3:$Z$502,0)),"")</f>
        <v/>
      </c>
    </row>
    <row r="23">
      <c r="A23" s="43">
        <f>IFERROR(INDEX('الرواتب'!$C$3:$C$502,MATCH(17,'الرواتب'!$Z$3:$Z$502,0)),"")</f>
        <v/>
      </c>
      <c r="B23" s="43">
        <f>IFERROR(INDEX('الرواتب'!$D$3:$D$502,MATCH(17,'الرواتب'!$Z$3:$Z$502,0)),"")</f>
        <v/>
      </c>
      <c r="C23" s="43">
        <f>IFERROR(INDEX('الرواتب'!$E$3:$E$502,MATCH(17,'الرواتب'!$Z$3:$Z$502,0)),"")</f>
        <v/>
      </c>
      <c r="D23" s="60">
        <f>IFERROR(INDEX('الرواتب'!$G$3:$G$502,MATCH(17,'الرواتب'!$Z$3:$Z$502,0)),"")</f>
        <v/>
      </c>
      <c r="E23" s="60">
        <f>IFERROR(INDEX('الرواتب'!$H$3:$H$502,MATCH(17,'الرواتب'!$Z$3:$Z$502,0)),"")</f>
        <v/>
      </c>
      <c r="F23" s="60">
        <f>IFERROR(INDEX('الرواتب'!$I$3:$I$502,MATCH(17,'الرواتب'!$Z$3:$Z$502,0)),"")</f>
        <v/>
      </c>
      <c r="G23" s="60">
        <f>IFERROR(INDEX('الرواتب'!$J$3:$J$502,MATCH(17,'الرواتب'!$Z$3:$Z$502,0)),"")</f>
        <v/>
      </c>
      <c r="H23" s="60">
        <f>IFERROR(INDEX('الرواتب'!$K$3:$K$502,MATCH(17,'الرواتب'!$Z$3:$Z$502,0)),"")</f>
        <v/>
      </c>
      <c r="I23" s="60">
        <f>IFERROR(INDEX('الرواتب'!$L$3:$L$502,MATCH(17,'الرواتب'!$Z$3:$Z$502,0)),"")</f>
        <v/>
      </c>
      <c r="J23" s="60">
        <f>IFERROR(INDEX('الرواتب'!$S$3:$S$502,MATCH(17,'الرواتب'!$Z$3:$Z$502,0)),"")</f>
        <v/>
      </c>
      <c r="K23" s="60">
        <f>IFERROR(INDEX('الرواتب'!$N$3:$N$502,MATCH(17,'الرواتب'!$Z$3:$Z$502,0)),"")</f>
        <v/>
      </c>
      <c r="L23" s="60">
        <f>IFERROR(INDEX('الرواتب'!$O$3:$O$502,MATCH(17,'الرواتب'!$Z$3:$Z$502,0)),"")</f>
        <v/>
      </c>
      <c r="M23" s="60">
        <f>IFERROR(INDEX('الرواتب'!$P$3:$P$502,MATCH(17,'الرواتب'!$Z$3:$Z$502,0)),"")</f>
        <v/>
      </c>
      <c r="N23" s="60">
        <f>IFERROR(INDEX('الرواتب'!$Q$3:$Q$502,MATCH(17,'الرواتب'!$Z$3:$Z$502,0)),"")</f>
        <v/>
      </c>
      <c r="O23" s="60">
        <f>IFERROR(INDEX('الرواتب'!$R$3:$R$502,MATCH(17,'الرواتب'!$Z$3:$Z$502,0)),"")</f>
        <v/>
      </c>
      <c r="P23" s="60">
        <f>IFERROR(INDEX('الرواتب'!$T$3:$T$502,MATCH(17,'الرواتب'!$Z$3:$Z$502,0)),"")</f>
        <v/>
      </c>
      <c r="Q23" s="60">
        <f>IFERROR(INDEX('الرواتب'!$U$3:$U$502,MATCH(17,'الرواتب'!$Z$3:$Z$502,0)),"")</f>
        <v/>
      </c>
      <c r="R23" s="60">
        <f>IFERROR(INDEX('الرواتب'!$V$3:$V$502,MATCH(17,'الرواتب'!$Z$3:$Z$502,0)),"")</f>
        <v/>
      </c>
    </row>
    <row r="24">
      <c r="A24" s="50">
        <f>IFERROR(INDEX('الرواتب'!$C$3:$C$502,MATCH(18,'الرواتب'!$Z$3:$Z$502,0)),"")</f>
        <v/>
      </c>
      <c r="B24" s="50">
        <f>IFERROR(INDEX('الرواتب'!$D$3:$D$502,MATCH(18,'الرواتب'!$Z$3:$Z$502,0)),"")</f>
        <v/>
      </c>
      <c r="C24" s="50">
        <f>IFERROR(INDEX('الرواتب'!$E$3:$E$502,MATCH(18,'الرواتب'!$Z$3:$Z$502,0)),"")</f>
        <v/>
      </c>
      <c r="D24" s="63">
        <f>IFERROR(INDEX('الرواتب'!$G$3:$G$502,MATCH(18,'الرواتب'!$Z$3:$Z$502,0)),"")</f>
        <v/>
      </c>
      <c r="E24" s="63">
        <f>IFERROR(INDEX('الرواتب'!$H$3:$H$502,MATCH(18,'الرواتب'!$Z$3:$Z$502,0)),"")</f>
        <v/>
      </c>
      <c r="F24" s="63">
        <f>IFERROR(INDEX('الرواتب'!$I$3:$I$502,MATCH(18,'الرواتب'!$Z$3:$Z$502,0)),"")</f>
        <v/>
      </c>
      <c r="G24" s="63">
        <f>IFERROR(INDEX('الرواتب'!$J$3:$J$502,MATCH(18,'الرواتب'!$Z$3:$Z$502,0)),"")</f>
        <v/>
      </c>
      <c r="H24" s="63">
        <f>IFERROR(INDEX('الرواتب'!$K$3:$K$502,MATCH(18,'الرواتب'!$Z$3:$Z$502,0)),"")</f>
        <v/>
      </c>
      <c r="I24" s="63">
        <f>IFERROR(INDEX('الرواتب'!$L$3:$L$502,MATCH(18,'الرواتب'!$Z$3:$Z$502,0)),"")</f>
        <v/>
      </c>
      <c r="J24" s="63">
        <f>IFERROR(INDEX('الرواتب'!$S$3:$S$502,MATCH(18,'الرواتب'!$Z$3:$Z$502,0)),"")</f>
        <v/>
      </c>
      <c r="K24" s="63">
        <f>IFERROR(INDEX('الرواتب'!$N$3:$N$502,MATCH(18,'الرواتب'!$Z$3:$Z$502,0)),"")</f>
        <v/>
      </c>
      <c r="L24" s="63">
        <f>IFERROR(INDEX('الرواتب'!$O$3:$O$502,MATCH(18,'الرواتب'!$Z$3:$Z$502,0)),"")</f>
        <v/>
      </c>
      <c r="M24" s="63">
        <f>IFERROR(INDEX('الرواتب'!$P$3:$P$502,MATCH(18,'الرواتب'!$Z$3:$Z$502,0)),"")</f>
        <v/>
      </c>
      <c r="N24" s="63">
        <f>IFERROR(INDEX('الرواتب'!$Q$3:$Q$502,MATCH(18,'الرواتب'!$Z$3:$Z$502,0)),"")</f>
        <v/>
      </c>
      <c r="O24" s="63">
        <f>IFERROR(INDEX('الرواتب'!$R$3:$R$502,MATCH(18,'الرواتب'!$Z$3:$Z$502,0)),"")</f>
        <v/>
      </c>
      <c r="P24" s="63">
        <f>IFERROR(INDEX('الرواتب'!$T$3:$T$502,MATCH(18,'الرواتب'!$Z$3:$Z$502,0)),"")</f>
        <v/>
      </c>
      <c r="Q24" s="63">
        <f>IFERROR(INDEX('الرواتب'!$U$3:$U$502,MATCH(18,'الرواتب'!$Z$3:$Z$502,0)),"")</f>
        <v/>
      </c>
      <c r="R24" s="63">
        <f>IFERROR(INDEX('الرواتب'!$V$3:$V$502,MATCH(18,'الرواتب'!$Z$3:$Z$502,0)),"")</f>
        <v/>
      </c>
    </row>
    <row r="25">
      <c r="A25" s="43">
        <f>IFERROR(INDEX('الرواتب'!$C$3:$C$502,MATCH(19,'الرواتب'!$Z$3:$Z$502,0)),"")</f>
        <v/>
      </c>
      <c r="B25" s="43">
        <f>IFERROR(INDEX('الرواتب'!$D$3:$D$502,MATCH(19,'الرواتب'!$Z$3:$Z$502,0)),"")</f>
        <v/>
      </c>
      <c r="C25" s="43">
        <f>IFERROR(INDEX('الرواتب'!$E$3:$E$502,MATCH(19,'الرواتب'!$Z$3:$Z$502,0)),"")</f>
        <v/>
      </c>
      <c r="D25" s="60">
        <f>IFERROR(INDEX('الرواتب'!$G$3:$G$502,MATCH(19,'الرواتب'!$Z$3:$Z$502,0)),"")</f>
        <v/>
      </c>
      <c r="E25" s="60">
        <f>IFERROR(INDEX('الرواتب'!$H$3:$H$502,MATCH(19,'الرواتب'!$Z$3:$Z$502,0)),"")</f>
        <v/>
      </c>
      <c r="F25" s="60">
        <f>IFERROR(INDEX('الرواتب'!$I$3:$I$502,MATCH(19,'الرواتب'!$Z$3:$Z$502,0)),"")</f>
        <v/>
      </c>
      <c r="G25" s="60">
        <f>IFERROR(INDEX('الرواتب'!$J$3:$J$502,MATCH(19,'الرواتب'!$Z$3:$Z$502,0)),"")</f>
        <v/>
      </c>
      <c r="H25" s="60">
        <f>IFERROR(INDEX('الرواتب'!$K$3:$K$502,MATCH(19,'الرواتب'!$Z$3:$Z$502,0)),"")</f>
        <v/>
      </c>
      <c r="I25" s="60">
        <f>IFERROR(INDEX('الرواتب'!$L$3:$L$502,MATCH(19,'الرواتب'!$Z$3:$Z$502,0)),"")</f>
        <v/>
      </c>
      <c r="J25" s="60">
        <f>IFERROR(INDEX('الرواتب'!$S$3:$S$502,MATCH(19,'الرواتب'!$Z$3:$Z$502,0)),"")</f>
        <v/>
      </c>
      <c r="K25" s="60">
        <f>IFERROR(INDEX('الرواتب'!$N$3:$N$502,MATCH(19,'الرواتب'!$Z$3:$Z$502,0)),"")</f>
        <v/>
      </c>
      <c r="L25" s="60">
        <f>IFERROR(INDEX('الرواتب'!$O$3:$O$502,MATCH(19,'الرواتب'!$Z$3:$Z$502,0)),"")</f>
        <v/>
      </c>
      <c r="M25" s="60">
        <f>IFERROR(INDEX('الرواتب'!$P$3:$P$502,MATCH(19,'الرواتب'!$Z$3:$Z$502,0)),"")</f>
        <v/>
      </c>
      <c r="N25" s="60">
        <f>IFERROR(INDEX('الرواتب'!$Q$3:$Q$502,MATCH(19,'الرواتب'!$Z$3:$Z$502,0)),"")</f>
        <v/>
      </c>
      <c r="O25" s="60">
        <f>IFERROR(INDEX('الرواتب'!$R$3:$R$502,MATCH(19,'الرواتب'!$Z$3:$Z$502,0)),"")</f>
        <v/>
      </c>
      <c r="P25" s="60">
        <f>IFERROR(INDEX('الرواتب'!$T$3:$T$502,MATCH(19,'الرواتب'!$Z$3:$Z$502,0)),"")</f>
        <v/>
      </c>
      <c r="Q25" s="60">
        <f>IFERROR(INDEX('الرواتب'!$U$3:$U$502,MATCH(19,'الرواتب'!$Z$3:$Z$502,0)),"")</f>
        <v/>
      </c>
      <c r="R25" s="60">
        <f>IFERROR(INDEX('الرواتب'!$V$3:$V$502,MATCH(19,'الرواتب'!$Z$3:$Z$502,0)),"")</f>
        <v/>
      </c>
    </row>
    <row r="26">
      <c r="A26" s="50">
        <f>IFERROR(INDEX('الرواتب'!$C$3:$C$502,MATCH(20,'الرواتب'!$Z$3:$Z$502,0)),"")</f>
        <v/>
      </c>
      <c r="B26" s="50">
        <f>IFERROR(INDEX('الرواتب'!$D$3:$D$502,MATCH(20,'الرواتب'!$Z$3:$Z$502,0)),"")</f>
        <v/>
      </c>
      <c r="C26" s="50">
        <f>IFERROR(INDEX('الرواتب'!$E$3:$E$502,MATCH(20,'الرواتب'!$Z$3:$Z$502,0)),"")</f>
        <v/>
      </c>
      <c r="D26" s="63">
        <f>IFERROR(INDEX('الرواتب'!$G$3:$G$502,MATCH(20,'الرواتب'!$Z$3:$Z$502,0)),"")</f>
        <v/>
      </c>
      <c r="E26" s="63">
        <f>IFERROR(INDEX('الرواتب'!$H$3:$H$502,MATCH(20,'الرواتب'!$Z$3:$Z$502,0)),"")</f>
        <v/>
      </c>
      <c r="F26" s="63">
        <f>IFERROR(INDEX('الرواتب'!$I$3:$I$502,MATCH(20,'الرواتب'!$Z$3:$Z$502,0)),"")</f>
        <v/>
      </c>
      <c r="G26" s="63">
        <f>IFERROR(INDEX('الرواتب'!$J$3:$J$502,MATCH(20,'الرواتب'!$Z$3:$Z$502,0)),"")</f>
        <v/>
      </c>
      <c r="H26" s="63">
        <f>IFERROR(INDEX('الرواتب'!$K$3:$K$502,MATCH(20,'الرواتب'!$Z$3:$Z$502,0)),"")</f>
        <v/>
      </c>
      <c r="I26" s="63">
        <f>IFERROR(INDEX('الرواتب'!$L$3:$L$502,MATCH(20,'الرواتب'!$Z$3:$Z$502,0)),"")</f>
        <v/>
      </c>
      <c r="J26" s="63">
        <f>IFERROR(INDEX('الرواتب'!$S$3:$S$502,MATCH(20,'الرواتب'!$Z$3:$Z$502,0)),"")</f>
        <v/>
      </c>
      <c r="K26" s="63">
        <f>IFERROR(INDEX('الرواتب'!$N$3:$N$502,MATCH(20,'الرواتب'!$Z$3:$Z$502,0)),"")</f>
        <v/>
      </c>
      <c r="L26" s="63">
        <f>IFERROR(INDEX('الرواتب'!$O$3:$O$502,MATCH(20,'الرواتب'!$Z$3:$Z$502,0)),"")</f>
        <v/>
      </c>
      <c r="M26" s="63">
        <f>IFERROR(INDEX('الرواتب'!$P$3:$P$502,MATCH(20,'الرواتب'!$Z$3:$Z$502,0)),"")</f>
        <v/>
      </c>
      <c r="N26" s="63">
        <f>IFERROR(INDEX('الرواتب'!$Q$3:$Q$502,MATCH(20,'الرواتب'!$Z$3:$Z$502,0)),"")</f>
        <v/>
      </c>
      <c r="O26" s="63">
        <f>IFERROR(INDEX('الرواتب'!$R$3:$R$502,MATCH(20,'الرواتب'!$Z$3:$Z$502,0)),"")</f>
        <v/>
      </c>
      <c r="P26" s="63">
        <f>IFERROR(INDEX('الرواتب'!$T$3:$T$502,MATCH(20,'الرواتب'!$Z$3:$Z$502,0)),"")</f>
        <v/>
      </c>
      <c r="Q26" s="63">
        <f>IFERROR(INDEX('الرواتب'!$U$3:$U$502,MATCH(20,'الرواتب'!$Z$3:$Z$502,0)),"")</f>
        <v/>
      </c>
      <c r="R26" s="63">
        <f>IFERROR(INDEX('الرواتب'!$V$3:$V$502,MATCH(20,'الرواتب'!$Z$3:$Z$502,0)),"")</f>
        <v/>
      </c>
    </row>
    <row r="27">
      <c r="A27" s="43">
        <f>IFERROR(INDEX('الرواتب'!$C$3:$C$502,MATCH(21,'الرواتب'!$Z$3:$Z$502,0)),"")</f>
        <v/>
      </c>
      <c r="B27" s="43">
        <f>IFERROR(INDEX('الرواتب'!$D$3:$D$502,MATCH(21,'الرواتب'!$Z$3:$Z$502,0)),"")</f>
        <v/>
      </c>
      <c r="C27" s="43">
        <f>IFERROR(INDEX('الرواتب'!$E$3:$E$502,MATCH(21,'الرواتب'!$Z$3:$Z$502,0)),"")</f>
        <v/>
      </c>
      <c r="D27" s="60">
        <f>IFERROR(INDEX('الرواتب'!$G$3:$G$502,MATCH(21,'الرواتب'!$Z$3:$Z$502,0)),"")</f>
        <v/>
      </c>
      <c r="E27" s="60">
        <f>IFERROR(INDEX('الرواتب'!$H$3:$H$502,MATCH(21,'الرواتب'!$Z$3:$Z$502,0)),"")</f>
        <v/>
      </c>
      <c r="F27" s="60">
        <f>IFERROR(INDEX('الرواتب'!$I$3:$I$502,MATCH(21,'الرواتب'!$Z$3:$Z$502,0)),"")</f>
        <v/>
      </c>
      <c r="G27" s="60">
        <f>IFERROR(INDEX('الرواتب'!$J$3:$J$502,MATCH(21,'الرواتب'!$Z$3:$Z$502,0)),"")</f>
        <v/>
      </c>
      <c r="H27" s="60">
        <f>IFERROR(INDEX('الرواتب'!$K$3:$K$502,MATCH(21,'الرواتب'!$Z$3:$Z$502,0)),"")</f>
        <v/>
      </c>
      <c r="I27" s="60">
        <f>IFERROR(INDEX('الرواتب'!$L$3:$L$502,MATCH(21,'الرواتب'!$Z$3:$Z$502,0)),"")</f>
        <v/>
      </c>
      <c r="J27" s="60">
        <f>IFERROR(INDEX('الرواتب'!$S$3:$S$502,MATCH(21,'الرواتب'!$Z$3:$Z$502,0)),"")</f>
        <v/>
      </c>
      <c r="K27" s="60">
        <f>IFERROR(INDEX('الرواتب'!$N$3:$N$502,MATCH(21,'الرواتب'!$Z$3:$Z$502,0)),"")</f>
        <v/>
      </c>
      <c r="L27" s="60">
        <f>IFERROR(INDEX('الرواتب'!$O$3:$O$502,MATCH(21,'الرواتب'!$Z$3:$Z$502,0)),"")</f>
        <v/>
      </c>
      <c r="M27" s="60">
        <f>IFERROR(INDEX('الرواتب'!$P$3:$P$502,MATCH(21,'الرواتب'!$Z$3:$Z$502,0)),"")</f>
        <v/>
      </c>
      <c r="N27" s="60">
        <f>IFERROR(INDEX('الرواتب'!$Q$3:$Q$502,MATCH(21,'الرواتب'!$Z$3:$Z$502,0)),"")</f>
        <v/>
      </c>
      <c r="O27" s="60">
        <f>IFERROR(INDEX('الرواتب'!$R$3:$R$502,MATCH(21,'الرواتب'!$Z$3:$Z$502,0)),"")</f>
        <v/>
      </c>
      <c r="P27" s="60">
        <f>IFERROR(INDEX('الرواتب'!$T$3:$T$502,MATCH(21,'الرواتب'!$Z$3:$Z$502,0)),"")</f>
        <v/>
      </c>
      <c r="Q27" s="60">
        <f>IFERROR(INDEX('الرواتب'!$U$3:$U$502,MATCH(21,'الرواتب'!$Z$3:$Z$502,0)),"")</f>
        <v/>
      </c>
      <c r="R27" s="60">
        <f>IFERROR(INDEX('الرواتب'!$V$3:$V$502,MATCH(21,'الرواتب'!$Z$3:$Z$502,0)),"")</f>
        <v/>
      </c>
    </row>
    <row r="28">
      <c r="A28" s="50">
        <f>IFERROR(INDEX('الرواتب'!$C$3:$C$502,MATCH(22,'الرواتب'!$Z$3:$Z$502,0)),"")</f>
        <v/>
      </c>
      <c r="B28" s="50">
        <f>IFERROR(INDEX('الرواتب'!$D$3:$D$502,MATCH(22,'الرواتب'!$Z$3:$Z$502,0)),"")</f>
        <v/>
      </c>
      <c r="C28" s="50">
        <f>IFERROR(INDEX('الرواتب'!$E$3:$E$502,MATCH(22,'الرواتب'!$Z$3:$Z$502,0)),"")</f>
        <v/>
      </c>
      <c r="D28" s="63">
        <f>IFERROR(INDEX('الرواتب'!$G$3:$G$502,MATCH(22,'الرواتب'!$Z$3:$Z$502,0)),"")</f>
        <v/>
      </c>
      <c r="E28" s="63">
        <f>IFERROR(INDEX('الرواتب'!$H$3:$H$502,MATCH(22,'الرواتب'!$Z$3:$Z$502,0)),"")</f>
        <v/>
      </c>
      <c r="F28" s="63">
        <f>IFERROR(INDEX('الرواتب'!$I$3:$I$502,MATCH(22,'الرواتب'!$Z$3:$Z$502,0)),"")</f>
        <v/>
      </c>
      <c r="G28" s="63">
        <f>IFERROR(INDEX('الرواتب'!$J$3:$J$502,MATCH(22,'الرواتب'!$Z$3:$Z$502,0)),"")</f>
        <v/>
      </c>
      <c r="H28" s="63">
        <f>IFERROR(INDEX('الرواتب'!$K$3:$K$502,MATCH(22,'الرواتب'!$Z$3:$Z$502,0)),"")</f>
        <v/>
      </c>
      <c r="I28" s="63">
        <f>IFERROR(INDEX('الرواتب'!$L$3:$L$502,MATCH(22,'الرواتب'!$Z$3:$Z$502,0)),"")</f>
        <v/>
      </c>
      <c r="J28" s="63">
        <f>IFERROR(INDEX('الرواتب'!$S$3:$S$502,MATCH(22,'الرواتب'!$Z$3:$Z$502,0)),"")</f>
        <v/>
      </c>
      <c r="K28" s="63">
        <f>IFERROR(INDEX('الرواتب'!$N$3:$N$502,MATCH(22,'الرواتب'!$Z$3:$Z$502,0)),"")</f>
        <v/>
      </c>
      <c r="L28" s="63">
        <f>IFERROR(INDEX('الرواتب'!$O$3:$O$502,MATCH(22,'الرواتب'!$Z$3:$Z$502,0)),"")</f>
        <v/>
      </c>
      <c r="M28" s="63">
        <f>IFERROR(INDEX('الرواتب'!$P$3:$P$502,MATCH(22,'الرواتب'!$Z$3:$Z$502,0)),"")</f>
        <v/>
      </c>
      <c r="N28" s="63">
        <f>IFERROR(INDEX('الرواتب'!$Q$3:$Q$502,MATCH(22,'الرواتب'!$Z$3:$Z$502,0)),"")</f>
        <v/>
      </c>
      <c r="O28" s="63">
        <f>IFERROR(INDEX('الرواتب'!$R$3:$R$502,MATCH(22,'الرواتب'!$Z$3:$Z$502,0)),"")</f>
        <v/>
      </c>
      <c r="P28" s="63">
        <f>IFERROR(INDEX('الرواتب'!$T$3:$T$502,MATCH(22,'الرواتب'!$Z$3:$Z$502,0)),"")</f>
        <v/>
      </c>
      <c r="Q28" s="63">
        <f>IFERROR(INDEX('الرواتب'!$U$3:$U$502,MATCH(22,'الرواتب'!$Z$3:$Z$502,0)),"")</f>
        <v/>
      </c>
      <c r="R28" s="63">
        <f>IFERROR(INDEX('الرواتب'!$V$3:$V$502,MATCH(22,'الرواتب'!$Z$3:$Z$502,0)),"")</f>
        <v/>
      </c>
    </row>
    <row r="29">
      <c r="A29" s="43">
        <f>IFERROR(INDEX('الرواتب'!$C$3:$C$502,MATCH(23,'الرواتب'!$Z$3:$Z$502,0)),"")</f>
        <v/>
      </c>
      <c r="B29" s="43">
        <f>IFERROR(INDEX('الرواتب'!$D$3:$D$502,MATCH(23,'الرواتب'!$Z$3:$Z$502,0)),"")</f>
        <v/>
      </c>
      <c r="C29" s="43">
        <f>IFERROR(INDEX('الرواتب'!$E$3:$E$502,MATCH(23,'الرواتب'!$Z$3:$Z$502,0)),"")</f>
        <v/>
      </c>
      <c r="D29" s="60">
        <f>IFERROR(INDEX('الرواتب'!$G$3:$G$502,MATCH(23,'الرواتب'!$Z$3:$Z$502,0)),"")</f>
        <v/>
      </c>
      <c r="E29" s="60">
        <f>IFERROR(INDEX('الرواتب'!$H$3:$H$502,MATCH(23,'الرواتب'!$Z$3:$Z$502,0)),"")</f>
        <v/>
      </c>
      <c r="F29" s="60">
        <f>IFERROR(INDEX('الرواتب'!$I$3:$I$502,MATCH(23,'الرواتب'!$Z$3:$Z$502,0)),"")</f>
        <v/>
      </c>
      <c r="G29" s="60">
        <f>IFERROR(INDEX('الرواتب'!$J$3:$J$502,MATCH(23,'الرواتب'!$Z$3:$Z$502,0)),"")</f>
        <v/>
      </c>
      <c r="H29" s="60">
        <f>IFERROR(INDEX('الرواتب'!$K$3:$K$502,MATCH(23,'الرواتب'!$Z$3:$Z$502,0)),"")</f>
        <v/>
      </c>
      <c r="I29" s="60">
        <f>IFERROR(INDEX('الرواتب'!$L$3:$L$502,MATCH(23,'الرواتب'!$Z$3:$Z$502,0)),"")</f>
        <v/>
      </c>
      <c r="J29" s="60">
        <f>IFERROR(INDEX('الرواتب'!$S$3:$S$502,MATCH(23,'الرواتب'!$Z$3:$Z$502,0)),"")</f>
        <v/>
      </c>
      <c r="K29" s="60">
        <f>IFERROR(INDEX('الرواتب'!$N$3:$N$502,MATCH(23,'الرواتب'!$Z$3:$Z$502,0)),"")</f>
        <v/>
      </c>
      <c r="L29" s="60">
        <f>IFERROR(INDEX('الرواتب'!$O$3:$O$502,MATCH(23,'الرواتب'!$Z$3:$Z$502,0)),"")</f>
        <v/>
      </c>
      <c r="M29" s="60">
        <f>IFERROR(INDEX('الرواتب'!$P$3:$P$502,MATCH(23,'الرواتب'!$Z$3:$Z$502,0)),"")</f>
        <v/>
      </c>
      <c r="N29" s="60">
        <f>IFERROR(INDEX('الرواتب'!$Q$3:$Q$502,MATCH(23,'الرواتب'!$Z$3:$Z$502,0)),"")</f>
        <v/>
      </c>
      <c r="O29" s="60">
        <f>IFERROR(INDEX('الرواتب'!$R$3:$R$502,MATCH(23,'الرواتب'!$Z$3:$Z$502,0)),"")</f>
        <v/>
      </c>
      <c r="P29" s="60">
        <f>IFERROR(INDEX('الرواتب'!$T$3:$T$502,MATCH(23,'الرواتب'!$Z$3:$Z$502,0)),"")</f>
        <v/>
      </c>
      <c r="Q29" s="60">
        <f>IFERROR(INDEX('الرواتب'!$U$3:$U$502,MATCH(23,'الرواتب'!$Z$3:$Z$502,0)),"")</f>
        <v/>
      </c>
      <c r="R29" s="60">
        <f>IFERROR(INDEX('الرواتب'!$V$3:$V$502,MATCH(23,'الرواتب'!$Z$3:$Z$502,0)),"")</f>
        <v/>
      </c>
    </row>
    <row r="30">
      <c r="A30" s="50">
        <f>IFERROR(INDEX('الرواتب'!$C$3:$C$502,MATCH(24,'الرواتب'!$Z$3:$Z$502,0)),"")</f>
        <v/>
      </c>
      <c r="B30" s="50">
        <f>IFERROR(INDEX('الرواتب'!$D$3:$D$502,MATCH(24,'الرواتب'!$Z$3:$Z$502,0)),"")</f>
        <v/>
      </c>
      <c r="C30" s="50">
        <f>IFERROR(INDEX('الرواتب'!$E$3:$E$502,MATCH(24,'الرواتب'!$Z$3:$Z$502,0)),"")</f>
        <v/>
      </c>
      <c r="D30" s="63">
        <f>IFERROR(INDEX('الرواتب'!$G$3:$G$502,MATCH(24,'الرواتب'!$Z$3:$Z$502,0)),"")</f>
        <v/>
      </c>
      <c r="E30" s="63">
        <f>IFERROR(INDEX('الرواتب'!$H$3:$H$502,MATCH(24,'الرواتب'!$Z$3:$Z$502,0)),"")</f>
        <v/>
      </c>
      <c r="F30" s="63">
        <f>IFERROR(INDEX('الرواتب'!$I$3:$I$502,MATCH(24,'الرواتب'!$Z$3:$Z$502,0)),"")</f>
        <v/>
      </c>
      <c r="G30" s="63">
        <f>IFERROR(INDEX('الرواتب'!$J$3:$J$502,MATCH(24,'الرواتب'!$Z$3:$Z$502,0)),"")</f>
        <v/>
      </c>
      <c r="H30" s="63">
        <f>IFERROR(INDEX('الرواتب'!$K$3:$K$502,MATCH(24,'الرواتب'!$Z$3:$Z$502,0)),"")</f>
        <v/>
      </c>
      <c r="I30" s="63">
        <f>IFERROR(INDEX('الرواتب'!$L$3:$L$502,MATCH(24,'الرواتب'!$Z$3:$Z$502,0)),"")</f>
        <v/>
      </c>
      <c r="J30" s="63">
        <f>IFERROR(INDEX('الرواتب'!$S$3:$S$502,MATCH(24,'الرواتب'!$Z$3:$Z$502,0)),"")</f>
        <v/>
      </c>
      <c r="K30" s="63">
        <f>IFERROR(INDEX('الرواتب'!$N$3:$N$502,MATCH(24,'الرواتب'!$Z$3:$Z$502,0)),"")</f>
        <v/>
      </c>
      <c r="L30" s="63">
        <f>IFERROR(INDEX('الرواتب'!$O$3:$O$502,MATCH(24,'الرواتب'!$Z$3:$Z$502,0)),"")</f>
        <v/>
      </c>
      <c r="M30" s="63">
        <f>IFERROR(INDEX('الرواتب'!$P$3:$P$502,MATCH(24,'الرواتب'!$Z$3:$Z$502,0)),"")</f>
        <v/>
      </c>
      <c r="N30" s="63">
        <f>IFERROR(INDEX('الرواتب'!$Q$3:$Q$502,MATCH(24,'الرواتب'!$Z$3:$Z$502,0)),"")</f>
        <v/>
      </c>
      <c r="O30" s="63">
        <f>IFERROR(INDEX('الرواتب'!$R$3:$R$502,MATCH(24,'الرواتب'!$Z$3:$Z$502,0)),"")</f>
        <v/>
      </c>
      <c r="P30" s="63">
        <f>IFERROR(INDEX('الرواتب'!$T$3:$T$502,MATCH(24,'الرواتب'!$Z$3:$Z$502,0)),"")</f>
        <v/>
      </c>
      <c r="Q30" s="63">
        <f>IFERROR(INDEX('الرواتب'!$U$3:$U$502,MATCH(24,'الرواتب'!$Z$3:$Z$502,0)),"")</f>
        <v/>
      </c>
      <c r="R30" s="63">
        <f>IFERROR(INDEX('الرواتب'!$V$3:$V$502,MATCH(24,'الرواتب'!$Z$3:$Z$502,0)),"")</f>
        <v/>
      </c>
    </row>
    <row r="31">
      <c r="A31" s="43">
        <f>IFERROR(INDEX('الرواتب'!$C$3:$C$502,MATCH(25,'الرواتب'!$Z$3:$Z$502,0)),"")</f>
        <v/>
      </c>
      <c r="B31" s="43">
        <f>IFERROR(INDEX('الرواتب'!$D$3:$D$502,MATCH(25,'الرواتب'!$Z$3:$Z$502,0)),"")</f>
        <v/>
      </c>
      <c r="C31" s="43">
        <f>IFERROR(INDEX('الرواتب'!$E$3:$E$502,MATCH(25,'الرواتب'!$Z$3:$Z$502,0)),"")</f>
        <v/>
      </c>
      <c r="D31" s="60">
        <f>IFERROR(INDEX('الرواتب'!$G$3:$G$502,MATCH(25,'الرواتب'!$Z$3:$Z$502,0)),"")</f>
        <v/>
      </c>
      <c r="E31" s="60">
        <f>IFERROR(INDEX('الرواتب'!$H$3:$H$502,MATCH(25,'الرواتب'!$Z$3:$Z$502,0)),"")</f>
        <v/>
      </c>
      <c r="F31" s="60">
        <f>IFERROR(INDEX('الرواتب'!$I$3:$I$502,MATCH(25,'الرواتب'!$Z$3:$Z$502,0)),"")</f>
        <v/>
      </c>
      <c r="G31" s="60">
        <f>IFERROR(INDEX('الرواتب'!$J$3:$J$502,MATCH(25,'الرواتب'!$Z$3:$Z$502,0)),"")</f>
        <v/>
      </c>
      <c r="H31" s="60">
        <f>IFERROR(INDEX('الرواتب'!$K$3:$K$502,MATCH(25,'الرواتب'!$Z$3:$Z$502,0)),"")</f>
        <v/>
      </c>
      <c r="I31" s="60">
        <f>IFERROR(INDEX('الرواتب'!$L$3:$L$502,MATCH(25,'الرواتب'!$Z$3:$Z$502,0)),"")</f>
        <v/>
      </c>
      <c r="J31" s="60">
        <f>IFERROR(INDEX('الرواتب'!$S$3:$S$502,MATCH(25,'الرواتب'!$Z$3:$Z$502,0)),"")</f>
        <v/>
      </c>
      <c r="K31" s="60">
        <f>IFERROR(INDEX('الرواتب'!$N$3:$N$502,MATCH(25,'الرواتب'!$Z$3:$Z$502,0)),"")</f>
        <v/>
      </c>
      <c r="L31" s="60">
        <f>IFERROR(INDEX('الرواتب'!$O$3:$O$502,MATCH(25,'الرواتب'!$Z$3:$Z$502,0)),"")</f>
        <v/>
      </c>
      <c r="M31" s="60">
        <f>IFERROR(INDEX('الرواتب'!$P$3:$P$502,MATCH(25,'الرواتب'!$Z$3:$Z$502,0)),"")</f>
        <v/>
      </c>
      <c r="N31" s="60">
        <f>IFERROR(INDEX('الرواتب'!$Q$3:$Q$502,MATCH(25,'الرواتب'!$Z$3:$Z$502,0)),"")</f>
        <v/>
      </c>
      <c r="O31" s="60">
        <f>IFERROR(INDEX('الرواتب'!$R$3:$R$502,MATCH(25,'الرواتب'!$Z$3:$Z$502,0)),"")</f>
        <v/>
      </c>
      <c r="P31" s="60">
        <f>IFERROR(INDEX('الرواتب'!$T$3:$T$502,MATCH(25,'الرواتب'!$Z$3:$Z$502,0)),"")</f>
        <v/>
      </c>
      <c r="Q31" s="60">
        <f>IFERROR(INDEX('الرواتب'!$U$3:$U$502,MATCH(25,'الرواتب'!$Z$3:$Z$502,0)),"")</f>
        <v/>
      </c>
      <c r="R31" s="60">
        <f>IFERROR(INDEX('الرواتب'!$V$3:$V$502,MATCH(25,'الرواتب'!$Z$3:$Z$502,0)),"")</f>
        <v/>
      </c>
    </row>
    <row r="32">
      <c r="A32" s="50">
        <f>IFERROR(INDEX('الرواتب'!$C$3:$C$502,MATCH(26,'الرواتب'!$Z$3:$Z$502,0)),"")</f>
        <v/>
      </c>
      <c r="B32" s="50">
        <f>IFERROR(INDEX('الرواتب'!$D$3:$D$502,MATCH(26,'الرواتب'!$Z$3:$Z$502,0)),"")</f>
        <v/>
      </c>
      <c r="C32" s="50">
        <f>IFERROR(INDEX('الرواتب'!$E$3:$E$502,MATCH(26,'الرواتب'!$Z$3:$Z$502,0)),"")</f>
        <v/>
      </c>
      <c r="D32" s="63">
        <f>IFERROR(INDEX('الرواتب'!$G$3:$G$502,MATCH(26,'الرواتب'!$Z$3:$Z$502,0)),"")</f>
        <v/>
      </c>
      <c r="E32" s="63">
        <f>IFERROR(INDEX('الرواتب'!$H$3:$H$502,MATCH(26,'الرواتب'!$Z$3:$Z$502,0)),"")</f>
        <v/>
      </c>
      <c r="F32" s="63">
        <f>IFERROR(INDEX('الرواتب'!$I$3:$I$502,MATCH(26,'الرواتب'!$Z$3:$Z$502,0)),"")</f>
        <v/>
      </c>
      <c r="G32" s="63">
        <f>IFERROR(INDEX('الرواتب'!$J$3:$J$502,MATCH(26,'الرواتب'!$Z$3:$Z$502,0)),"")</f>
        <v/>
      </c>
      <c r="H32" s="63">
        <f>IFERROR(INDEX('الرواتب'!$K$3:$K$502,MATCH(26,'الرواتب'!$Z$3:$Z$502,0)),"")</f>
        <v/>
      </c>
      <c r="I32" s="63">
        <f>IFERROR(INDEX('الرواتب'!$L$3:$L$502,MATCH(26,'الرواتب'!$Z$3:$Z$502,0)),"")</f>
        <v/>
      </c>
      <c r="J32" s="63">
        <f>IFERROR(INDEX('الرواتب'!$S$3:$S$502,MATCH(26,'الرواتب'!$Z$3:$Z$502,0)),"")</f>
        <v/>
      </c>
      <c r="K32" s="63">
        <f>IFERROR(INDEX('الرواتب'!$N$3:$N$502,MATCH(26,'الرواتب'!$Z$3:$Z$502,0)),"")</f>
        <v/>
      </c>
      <c r="L32" s="63">
        <f>IFERROR(INDEX('الرواتب'!$O$3:$O$502,MATCH(26,'الرواتب'!$Z$3:$Z$502,0)),"")</f>
        <v/>
      </c>
      <c r="M32" s="63">
        <f>IFERROR(INDEX('الرواتب'!$P$3:$P$502,MATCH(26,'الرواتب'!$Z$3:$Z$502,0)),"")</f>
        <v/>
      </c>
      <c r="N32" s="63">
        <f>IFERROR(INDEX('الرواتب'!$Q$3:$Q$502,MATCH(26,'الرواتب'!$Z$3:$Z$502,0)),"")</f>
        <v/>
      </c>
      <c r="O32" s="63">
        <f>IFERROR(INDEX('الرواتب'!$R$3:$R$502,MATCH(26,'الرواتب'!$Z$3:$Z$502,0)),"")</f>
        <v/>
      </c>
      <c r="P32" s="63">
        <f>IFERROR(INDEX('الرواتب'!$T$3:$T$502,MATCH(26,'الرواتب'!$Z$3:$Z$502,0)),"")</f>
        <v/>
      </c>
      <c r="Q32" s="63">
        <f>IFERROR(INDEX('الرواتب'!$U$3:$U$502,MATCH(26,'الرواتب'!$Z$3:$Z$502,0)),"")</f>
        <v/>
      </c>
      <c r="R32" s="63">
        <f>IFERROR(INDEX('الرواتب'!$V$3:$V$502,MATCH(26,'الرواتب'!$Z$3:$Z$502,0)),"")</f>
        <v/>
      </c>
    </row>
    <row r="33">
      <c r="A33" s="43">
        <f>IFERROR(INDEX('الرواتب'!$C$3:$C$502,MATCH(27,'الرواتب'!$Z$3:$Z$502,0)),"")</f>
        <v/>
      </c>
      <c r="B33" s="43">
        <f>IFERROR(INDEX('الرواتب'!$D$3:$D$502,MATCH(27,'الرواتب'!$Z$3:$Z$502,0)),"")</f>
        <v/>
      </c>
      <c r="C33" s="43">
        <f>IFERROR(INDEX('الرواتب'!$E$3:$E$502,MATCH(27,'الرواتب'!$Z$3:$Z$502,0)),"")</f>
        <v/>
      </c>
      <c r="D33" s="60">
        <f>IFERROR(INDEX('الرواتب'!$G$3:$G$502,MATCH(27,'الرواتب'!$Z$3:$Z$502,0)),"")</f>
        <v/>
      </c>
      <c r="E33" s="60">
        <f>IFERROR(INDEX('الرواتب'!$H$3:$H$502,MATCH(27,'الرواتب'!$Z$3:$Z$502,0)),"")</f>
        <v/>
      </c>
      <c r="F33" s="60">
        <f>IFERROR(INDEX('الرواتب'!$I$3:$I$502,MATCH(27,'الرواتب'!$Z$3:$Z$502,0)),"")</f>
        <v/>
      </c>
      <c r="G33" s="60">
        <f>IFERROR(INDEX('الرواتب'!$J$3:$J$502,MATCH(27,'الرواتب'!$Z$3:$Z$502,0)),"")</f>
        <v/>
      </c>
      <c r="H33" s="60">
        <f>IFERROR(INDEX('الرواتب'!$K$3:$K$502,MATCH(27,'الرواتب'!$Z$3:$Z$502,0)),"")</f>
        <v/>
      </c>
      <c r="I33" s="60">
        <f>IFERROR(INDEX('الرواتب'!$L$3:$L$502,MATCH(27,'الرواتب'!$Z$3:$Z$502,0)),"")</f>
        <v/>
      </c>
      <c r="J33" s="60">
        <f>IFERROR(INDEX('الرواتب'!$S$3:$S$502,MATCH(27,'الرواتب'!$Z$3:$Z$502,0)),"")</f>
        <v/>
      </c>
      <c r="K33" s="60">
        <f>IFERROR(INDEX('الرواتب'!$N$3:$N$502,MATCH(27,'الرواتب'!$Z$3:$Z$502,0)),"")</f>
        <v/>
      </c>
      <c r="L33" s="60">
        <f>IFERROR(INDEX('الرواتب'!$O$3:$O$502,MATCH(27,'الرواتب'!$Z$3:$Z$502,0)),"")</f>
        <v/>
      </c>
      <c r="M33" s="60">
        <f>IFERROR(INDEX('الرواتب'!$P$3:$P$502,MATCH(27,'الرواتب'!$Z$3:$Z$502,0)),"")</f>
        <v/>
      </c>
      <c r="N33" s="60">
        <f>IFERROR(INDEX('الرواتب'!$Q$3:$Q$502,MATCH(27,'الرواتب'!$Z$3:$Z$502,0)),"")</f>
        <v/>
      </c>
      <c r="O33" s="60">
        <f>IFERROR(INDEX('الرواتب'!$R$3:$R$502,MATCH(27,'الرواتب'!$Z$3:$Z$502,0)),"")</f>
        <v/>
      </c>
      <c r="P33" s="60">
        <f>IFERROR(INDEX('الرواتب'!$T$3:$T$502,MATCH(27,'الرواتب'!$Z$3:$Z$502,0)),"")</f>
        <v/>
      </c>
      <c r="Q33" s="60">
        <f>IFERROR(INDEX('الرواتب'!$U$3:$U$502,MATCH(27,'الرواتب'!$Z$3:$Z$502,0)),"")</f>
        <v/>
      </c>
      <c r="R33" s="60">
        <f>IFERROR(INDEX('الرواتب'!$V$3:$V$502,MATCH(27,'الرواتب'!$Z$3:$Z$502,0)),"")</f>
        <v/>
      </c>
    </row>
    <row r="34">
      <c r="A34" s="50">
        <f>IFERROR(INDEX('الرواتب'!$C$3:$C$502,MATCH(28,'الرواتب'!$Z$3:$Z$502,0)),"")</f>
        <v/>
      </c>
      <c r="B34" s="50">
        <f>IFERROR(INDEX('الرواتب'!$D$3:$D$502,MATCH(28,'الرواتب'!$Z$3:$Z$502,0)),"")</f>
        <v/>
      </c>
      <c r="C34" s="50">
        <f>IFERROR(INDEX('الرواتب'!$E$3:$E$502,MATCH(28,'الرواتب'!$Z$3:$Z$502,0)),"")</f>
        <v/>
      </c>
      <c r="D34" s="63">
        <f>IFERROR(INDEX('الرواتب'!$G$3:$G$502,MATCH(28,'الرواتب'!$Z$3:$Z$502,0)),"")</f>
        <v/>
      </c>
      <c r="E34" s="63">
        <f>IFERROR(INDEX('الرواتب'!$H$3:$H$502,MATCH(28,'الرواتب'!$Z$3:$Z$502,0)),"")</f>
        <v/>
      </c>
      <c r="F34" s="63">
        <f>IFERROR(INDEX('الرواتب'!$I$3:$I$502,MATCH(28,'الرواتب'!$Z$3:$Z$502,0)),"")</f>
        <v/>
      </c>
      <c r="G34" s="63">
        <f>IFERROR(INDEX('الرواتب'!$J$3:$J$502,MATCH(28,'الرواتب'!$Z$3:$Z$502,0)),"")</f>
        <v/>
      </c>
      <c r="H34" s="63">
        <f>IFERROR(INDEX('الرواتب'!$K$3:$K$502,MATCH(28,'الرواتب'!$Z$3:$Z$502,0)),"")</f>
        <v/>
      </c>
      <c r="I34" s="63">
        <f>IFERROR(INDEX('الرواتب'!$L$3:$L$502,MATCH(28,'الرواتب'!$Z$3:$Z$502,0)),"")</f>
        <v/>
      </c>
      <c r="J34" s="63">
        <f>IFERROR(INDEX('الرواتب'!$S$3:$S$502,MATCH(28,'الرواتب'!$Z$3:$Z$502,0)),"")</f>
        <v/>
      </c>
      <c r="K34" s="63">
        <f>IFERROR(INDEX('الرواتب'!$N$3:$N$502,MATCH(28,'الرواتب'!$Z$3:$Z$502,0)),"")</f>
        <v/>
      </c>
      <c r="L34" s="63">
        <f>IFERROR(INDEX('الرواتب'!$O$3:$O$502,MATCH(28,'الرواتب'!$Z$3:$Z$502,0)),"")</f>
        <v/>
      </c>
      <c r="M34" s="63">
        <f>IFERROR(INDEX('الرواتب'!$P$3:$P$502,MATCH(28,'الرواتب'!$Z$3:$Z$502,0)),"")</f>
        <v/>
      </c>
      <c r="N34" s="63">
        <f>IFERROR(INDEX('الرواتب'!$Q$3:$Q$502,MATCH(28,'الرواتب'!$Z$3:$Z$502,0)),"")</f>
        <v/>
      </c>
      <c r="O34" s="63">
        <f>IFERROR(INDEX('الرواتب'!$R$3:$R$502,MATCH(28,'الرواتب'!$Z$3:$Z$502,0)),"")</f>
        <v/>
      </c>
      <c r="P34" s="63">
        <f>IFERROR(INDEX('الرواتب'!$T$3:$T$502,MATCH(28,'الرواتب'!$Z$3:$Z$502,0)),"")</f>
        <v/>
      </c>
      <c r="Q34" s="63">
        <f>IFERROR(INDEX('الرواتب'!$U$3:$U$502,MATCH(28,'الرواتب'!$Z$3:$Z$502,0)),"")</f>
        <v/>
      </c>
      <c r="R34" s="63">
        <f>IFERROR(INDEX('الرواتب'!$V$3:$V$502,MATCH(28,'الرواتب'!$Z$3:$Z$502,0)),"")</f>
        <v/>
      </c>
    </row>
    <row r="35">
      <c r="A35" s="43">
        <f>IFERROR(INDEX('الرواتب'!$C$3:$C$502,MATCH(29,'الرواتب'!$Z$3:$Z$502,0)),"")</f>
        <v/>
      </c>
      <c r="B35" s="43">
        <f>IFERROR(INDEX('الرواتب'!$D$3:$D$502,MATCH(29,'الرواتب'!$Z$3:$Z$502,0)),"")</f>
        <v/>
      </c>
      <c r="C35" s="43">
        <f>IFERROR(INDEX('الرواتب'!$E$3:$E$502,MATCH(29,'الرواتب'!$Z$3:$Z$502,0)),"")</f>
        <v/>
      </c>
      <c r="D35" s="60">
        <f>IFERROR(INDEX('الرواتب'!$G$3:$G$502,MATCH(29,'الرواتب'!$Z$3:$Z$502,0)),"")</f>
        <v/>
      </c>
      <c r="E35" s="60">
        <f>IFERROR(INDEX('الرواتب'!$H$3:$H$502,MATCH(29,'الرواتب'!$Z$3:$Z$502,0)),"")</f>
        <v/>
      </c>
      <c r="F35" s="60">
        <f>IFERROR(INDEX('الرواتب'!$I$3:$I$502,MATCH(29,'الرواتب'!$Z$3:$Z$502,0)),"")</f>
        <v/>
      </c>
      <c r="G35" s="60">
        <f>IFERROR(INDEX('الرواتب'!$J$3:$J$502,MATCH(29,'الرواتب'!$Z$3:$Z$502,0)),"")</f>
        <v/>
      </c>
      <c r="H35" s="60">
        <f>IFERROR(INDEX('الرواتب'!$K$3:$K$502,MATCH(29,'الرواتب'!$Z$3:$Z$502,0)),"")</f>
        <v/>
      </c>
      <c r="I35" s="60">
        <f>IFERROR(INDEX('الرواتب'!$L$3:$L$502,MATCH(29,'الرواتب'!$Z$3:$Z$502,0)),"")</f>
        <v/>
      </c>
      <c r="J35" s="60">
        <f>IFERROR(INDEX('الرواتب'!$S$3:$S$502,MATCH(29,'الرواتب'!$Z$3:$Z$502,0)),"")</f>
        <v/>
      </c>
      <c r="K35" s="60">
        <f>IFERROR(INDEX('الرواتب'!$N$3:$N$502,MATCH(29,'الرواتب'!$Z$3:$Z$502,0)),"")</f>
        <v/>
      </c>
      <c r="L35" s="60">
        <f>IFERROR(INDEX('الرواتب'!$O$3:$O$502,MATCH(29,'الرواتب'!$Z$3:$Z$502,0)),"")</f>
        <v/>
      </c>
      <c r="M35" s="60">
        <f>IFERROR(INDEX('الرواتب'!$P$3:$P$502,MATCH(29,'الرواتب'!$Z$3:$Z$502,0)),"")</f>
        <v/>
      </c>
      <c r="N35" s="60">
        <f>IFERROR(INDEX('الرواتب'!$Q$3:$Q$502,MATCH(29,'الرواتب'!$Z$3:$Z$502,0)),"")</f>
        <v/>
      </c>
      <c r="O35" s="60">
        <f>IFERROR(INDEX('الرواتب'!$R$3:$R$502,MATCH(29,'الرواتب'!$Z$3:$Z$502,0)),"")</f>
        <v/>
      </c>
      <c r="P35" s="60">
        <f>IFERROR(INDEX('الرواتب'!$T$3:$T$502,MATCH(29,'الرواتب'!$Z$3:$Z$502,0)),"")</f>
        <v/>
      </c>
      <c r="Q35" s="60">
        <f>IFERROR(INDEX('الرواتب'!$U$3:$U$502,MATCH(29,'الرواتب'!$Z$3:$Z$502,0)),"")</f>
        <v/>
      </c>
      <c r="R35" s="60">
        <f>IFERROR(INDEX('الرواتب'!$V$3:$V$502,MATCH(29,'الرواتب'!$Z$3:$Z$502,0)),"")</f>
        <v/>
      </c>
    </row>
    <row r="36">
      <c r="A36" s="50">
        <f>IFERROR(INDEX('الرواتب'!$C$3:$C$502,MATCH(30,'الرواتب'!$Z$3:$Z$502,0)),"")</f>
        <v/>
      </c>
      <c r="B36" s="50">
        <f>IFERROR(INDEX('الرواتب'!$D$3:$D$502,MATCH(30,'الرواتب'!$Z$3:$Z$502,0)),"")</f>
        <v/>
      </c>
      <c r="C36" s="50">
        <f>IFERROR(INDEX('الرواتب'!$E$3:$E$502,MATCH(30,'الرواتب'!$Z$3:$Z$502,0)),"")</f>
        <v/>
      </c>
      <c r="D36" s="63">
        <f>IFERROR(INDEX('الرواتب'!$G$3:$G$502,MATCH(30,'الرواتب'!$Z$3:$Z$502,0)),"")</f>
        <v/>
      </c>
      <c r="E36" s="63">
        <f>IFERROR(INDEX('الرواتب'!$H$3:$H$502,MATCH(30,'الرواتب'!$Z$3:$Z$502,0)),"")</f>
        <v/>
      </c>
      <c r="F36" s="63">
        <f>IFERROR(INDEX('الرواتب'!$I$3:$I$502,MATCH(30,'الرواتب'!$Z$3:$Z$502,0)),"")</f>
        <v/>
      </c>
      <c r="G36" s="63">
        <f>IFERROR(INDEX('الرواتب'!$J$3:$J$502,MATCH(30,'الرواتب'!$Z$3:$Z$502,0)),"")</f>
        <v/>
      </c>
      <c r="H36" s="63">
        <f>IFERROR(INDEX('الرواتب'!$K$3:$K$502,MATCH(30,'الرواتب'!$Z$3:$Z$502,0)),"")</f>
        <v/>
      </c>
      <c r="I36" s="63">
        <f>IFERROR(INDEX('الرواتب'!$L$3:$L$502,MATCH(30,'الرواتب'!$Z$3:$Z$502,0)),"")</f>
        <v/>
      </c>
      <c r="J36" s="63">
        <f>IFERROR(INDEX('الرواتب'!$S$3:$S$502,MATCH(30,'الرواتب'!$Z$3:$Z$502,0)),"")</f>
        <v/>
      </c>
      <c r="K36" s="63">
        <f>IFERROR(INDEX('الرواتب'!$N$3:$N$502,MATCH(30,'الرواتب'!$Z$3:$Z$502,0)),"")</f>
        <v/>
      </c>
      <c r="L36" s="63">
        <f>IFERROR(INDEX('الرواتب'!$O$3:$O$502,MATCH(30,'الرواتب'!$Z$3:$Z$502,0)),"")</f>
        <v/>
      </c>
      <c r="M36" s="63">
        <f>IFERROR(INDEX('الرواتب'!$P$3:$P$502,MATCH(30,'الرواتب'!$Z$3:$Z$502,0)),"")</f>
        <v/>
      </c>
      <c r="N36" s="63">
        <f>IFERROR(INDEX('الرواتب'!$Q$3:$Q$502,MATCH(30,'الرواتب'!$Z$3:$Z$502,0)),"")</f>
        <v/>
      </c>
      <c r="O36" s="63">
        <f>IFERROR(INDEX('الرواتب'!$R$3:$R$502,MATCH(30,'الرواتب'!$Z$3:$Z$502,0)),"")</f>
        <v/>
      </c>
      <c r="P36" s="63">
        <f>IFERROR(INDEX('الرواتب'!$T$3:$T$502,MATCH(30,'الرواتب'!$Z$3:$Z$502,0)),"")</f>
        <v/>
      </c>
      <c r="Q36" s="63">
        <f>IFERROR(INDEX('الرواتب'!$U$3:$U$502,MATCH(30,'الرواتب'!$Z$3:$Z$502,0)),"")</f>
        <v/>
      </c>
      <c r="R36" s="63">
        <f>IFERROR(INDEX('الرواتب'!$V$3:$V$502,MATCH(30,'الرواتب'!$Z$3:$Z$502,0)),"")</f>
        <v/>
      </c>
    </row>
    <row r="37">
      <c r="A37" s="43">
        <f>IFERROR(INDEX('الرواتب'!$C$3:$C$502,MATCH(31,'الرواتب'!$Z$3:$Z$502,0)),"")</f>
        <v/>
      </c>
      <c r="B37" s="43">
        <f>IFERROR(INDEX('الرواتب'!$D$3:$D$502,MATCH(31,'الرواتب'!$Z$3:$Z$502,0)),"")</f>
        <v/>
      </c>
      <c r="C37" s="43">
        <f>IFERROR(INDEX('الرواتب'!$E$3:$E$502,MATCH(31,'الرواتب'!$Z$3:$Z$502,0)),"")</f>
        <v/>
      </c>
      <c r="D37" s="60">
        <f>IFERROR(INDEX('الرواتب'!$G$3:$G$502,MATCH(31,'الرواتب'!$Z$3:$Z$502,0)),"")</f>
        <v/>
      </c>
      <c r="E37" s="60">
        <f>IFERROR(INDEX('الرواتب'!$H$3:$H$502,MATCH(31,'الرواتب'!$Z$3:$Z$502,0)),"")</f>
        <v/>
      </c>
      <c r="F37" s="60">
        <f>IFERROR(INDEX('الرواتب'!$I$3:$I$502,MATCH(31,'الرواتب'!$Z$3:$Z$502,0)),"")</f>
        <v/>
      </c>
      <c r="G37" s="60">
        <f>IFERROR(INDEX('الرواتب'!$J$3:$J$502,MATCH(31,'الرواتب'!$Z$3:$Z$502,0)),"")</f>
        <v/>
      </c>
      <c r="H37" s="60">
        <f>IFERROR(INDEX('الرواتب'!$K$3:$K$502,MATCH(31,'الرواتب'!$Z$3:$Z$502,0)),"")</f>
        <v/>
      </c>
      <c r="I37" s="60">
        <f>IFERROR(INDEX('الرواتب'!$L$3:$L$502,MATCH(31,'الرواتب'!$Z$3:$Z$502,0)),"")</f>
        <v/>
      </c>
      <c r="J37" s="60">
        <f>IFERROR(INDEX('الرواتب'!$S$3:$S$502,MATCH(31,'الرواتب'!$Z$3:$Z$502,0)),"")</f>
        <v/>
      </c>
      <c r="K37" s="60">
        <f>IFERROR(INDEX('الرواتب'!$N$3:$N$502,MATCH(31,'الرواتب'!$Z$3:$Z$502,0)),"")</f>
        <v/>
      </c>
      <c r="L37" s="60">
        <f>IFERROR(INDEX('الرواتب'!$O$3:$O$502,MATCH(31,'الرواتب'!$Z$3:$Z$502,0)),"")</f>
        <v/>
      </c>
      <c r="M37" s="60">
        <f>IFERROR(INDEX('الرواتب'!$P$3:$P$502,MATCH(31,'الرواتب'!$Z$3:$Z$502,0)),"")</f>
        <v/>
      </c>
      <c r="N37" s="60">
        <f>IFERROR(INDEX('الرواتب'!$Q$3:$Q$502,MATCH(31,'الرواتب'!$Z$3:$Z$502,0)),"")</f>
        <v/>
      </c>
      <c r="O37" s="60">
        <f>IFERROR(INDEX('الرواتب'!$R$3:$R$502,MATCH(31,'الرواتب'!$Z$3:$Z$502,0)),"")</f>
        <v/>
      </c>
      <c r="P37" s="60">
        <f>IFERROR(INDEX('الرواتب'!$T$3:$T$502,MATCH(31,'الرواتب'!$Z$3:$Z$502,0)),"")</f>
        <v/>
      </c>
      <c r="Q37" s="60">
        <f>IFERROR(INDEX('الرواتب'!$U$3:$U$502,MATCH(31,'الرواتب'!$Z$3:$Z$502,0)),"")</f>
        <v/>
      </c>
      <c r="R37" s="60">
        <f>IFERROR(INDEX('الرواتب'!$V$3:$V$502,MATCH(31,'الرواتب'!$Z$3:$Z$502,0)),"")</f>
        <v/>
      </c>
    </row>
    <row r="38">
      <c r="A38" s="50">
        <f>IFERROR(INDEX('الرواتب'!$C$3:$C$502,MATCH(32,'الرواتب'!$Z$3:$Z$502,0)),"")</f>
        <v/>
      </c>
      <c r="B38" s="50">
        <f>IFERROR(INDEX('الرواتب'!$D$3:$D$502,MATCH(32,'الرواتب'!$Z$3:$Z$502,0)),"")</f>
        <v/>
      </c>
      <c r="C38" s="50">
        <f>IFERROR(INDEX('الرواتب'!$E$3:$E$502,MATCH(32,'الرواتب'!$Z$3:$Z$502,0)),"")</f>
        <v/>
      </c>
      <c r="D38" s="63">
        <f>IFERROR(INDEX('الرواتب'!$G$3:$G$502,MATCH(32,'الرواتب'!$Z$3:$Z$502,0)),"")</f>
        <v/>
      </c>
      <c r="E38" s="63">
        <f>IFERROR(INDEX('الرواتب'!$H$3:$H$502,MATCH(32,'الرواتب'!$Z$3:$Z$502,0)),"")</f>
        <v/>
      </c>
      <c r="F38" s="63">
        <f>IFERROR(INDEX('الرواتب'!$I$3:$I$502,MATCH(32,'الرواتب'!$Z$3:$Z$502,0)),"")</f>
        <v/>
      </c>
      <c r="G38" s="63">
        <f>IFERROR(INDEX('الرواتب'!$J$3:$J$502,MATCH(32,'الرواتب'!$Z$3:$Z$502,0)),"")</f>
        <v/>
      </c>
      <c r="H38" s="63">
        <f>IFERROR(INDEX('الرواتب'!$K$3:$K$502,MATCH(32,'الرواتب'!$Z$3:$Z$502,0)),"")</f>
        <v/>
      </c>
      <c r="I38" s="63">
        <f>IFERROR(INDEX('الرواتب'!$L$3:$L$502,MATCH(32,'الرواتب'!$Z$3:$Z$502,0)),"")</f>
        <v/>
      </c>
      <c r="J38" s="63">
        <f>IFERROR(INDEX('الرواتب'!$S$3:$S$502,MATCH(32,'الرواتب'!$Z$3:$Z$502,0)),"")</f>
        <v/>
      </c>
      <c r="K38" s="63">
        <f>IFERROR(INDEX('الرواتب'!$N$3:$N$502,MATCH(32,'الرواتب'!$Z$3:$Z$502,0)),"")</f>
        <v/>
      </c>
      <c r="L38" s="63">
        <f>IFERROR(INDEX('الرواتب'!$O$3:$O$502,MATCH(32,'الرواتب'!$Z$3:$Z$502,0)),"")</f>
        <v/>
      </c>
      <c r="M38" s="63">
        <f>IFERROR(INDEX('الرواتب'!$P$3:$P$502,MATCH(32,'الرواتب'!$Z$3:$Z$502,0)),"")</f>
        <v/>
      </c>
      <c r="N38" s="63">
        <f>IFERROR(INDEX('الرواتب'!$Q$3:$Q$502,MATCH(32,'الرواتب'!$Z$3:$Z$502,0)),"")</f>
        <v/>
      </c>
      <c r="O38" s="63">
        <f>IFERROR(INDEX('الرواتب'!$R$3:$R$502,MATCH(32,'الرواتب'!$Z$3:$Z$502,0)),"")</f>
        <v/>
      </c>
      <c r="P38" s="63">
        <f>IFERROR(INDEX('الرواتب'!$T$3:$T$502,MATCH(32,'الرواتب'!$Z$3:$Z$502,0)),"")</f>
        <v/>
      </c>
      <c r="Q38" s="63">
        <f>IFERROR(INDEX('الرواتب'!$U$3:$U$502,MATCH(32,'الرواتب'!$Z$3:$Z$502,0)),"")</f>
        <v/>
      </c>
      <c r="R38" s="63">
        <f>IFERROR(INDEX('الرواتب'!$V$3:$V$502,MATCH(32,'الرواتب'!$Z$3:$Z$502,0)),"")</f>
        <v/>
      </c>
    </row>
    <row r="39">
      <c r="A39" s="43">
        <f>IFERROR(INDEX('الرواتب'!$C$3:$C$502,MATCH(33,'الرواتب'!$Z$3:$Z$502,0)),"")</f>
        <v/>
      </c>
      <c r="B39" s="43">
        <f>IFERROR(INDEX('الرواتب'!$D$3:$D$502,MATCH(33,'الرواتب'!$Z$3:$Z$502,0)),"")</f>
        <v/>
      </c>
      <c r="C39" s="43">
        <f>IFERROR(INDEX('الرواتب'!$E$3:$E$502,MATCH(33,'الرواتب'!$Z$3:$Z$502,0)),"")</f>
        <v/>
      </c>
      <c r="D39" s="60">
        <f>IFERROR(INDEX('الرواتب'!$G$3:$G$502,MATCH(33,'الرواتب'!$Z$3:$Z$502,0)),"")</f>
        <v/>
      </c>
      <c r="E39" s="60">
        <f>IFERROR(INDEX('الرواتب'!$H$3:$H$502,MATCH(33,'الرواتب'!$Z$3:$Z$502,0)),"")</f>
        <v/>
      </c>
      <c r="F39" s="60">
        <f>IFERROR(INDEX('الرواتب'!$I$3:$I$502,MATCH(33,'الرواتب'!$Z$3:$Z$502,0)),"")</f>
        <v/>
      </c>
      <c r="G39" s="60">
        <f>IFERROR(INDEX('الرواتب'!$J$3:$J$502,MATCH(33,'الرواتب'!$Z$3:$Z$502,0)),"")</f>
        <v/>
      </c>
      <c r="H39" s="60">
        <f>IFERROR(INDEX('الرواتب'!$K$3:$K$502,MATCH(33,'الرواتب'!$Z$3:$Z$502,0)),"")</f>
        <v/>
      </c>
      <c r="I39" s="60">
        <f>IFERROR(INDEX('الرواتب'!$L$3:$L$502,MATCH(33,'الرواتب'!$Z$3:$Z$502,0)),"")</f>
        <v/>
      </c>
      <c r="J39" s="60">
        <f>IFERROR(INDEX('الرواتب'!$S$3:$S$502,MATCH(33,'الرواتب'!$Z$3:$Z$502,0)),"")</f>
        <v/>
      </c>
      <c r="K39" s="60">
        <f>IFERROR(INDEX('الرواتب'!$N$3:$N$502,MATCH(33,'الرواتب'!$Z$3:$Z$502,0)),"")</f>
        <v/>
      </c>
      <c r="L39" s="60">
        <f>IFERROR(INDEX('الرواتب'!$O$3:$O$502,MATCH(33,'الرواتب'!$Z$3:$Z$502,0)),"")</f>
        <v/>
      </c>
      <c r="M39" s="60">
        <f>IFERROR(INDEX('الرواتب'!$P$3:$P$502,MATCH(33,'الرواتب'!$Z$3:$Z$502,0)),"")</f>
        <v/>
      </c>
      <c r="N39" s="60">
        <f>IFERROR(INDEX('الرواتب'!$Q$3:$Q$502,MATCH(33,'الرواتب'!$Z$3:$Z$502,0)),"")</f>
        <v/>
      </c>
      <c r="O39" s="60">
        <f>IFERROR(INDEX('الرواتب'!$R$3:$R$502,MATCH(33,'الرواتب'!$Z$3:$Z$502,0)),"")</f>
        <v/>
      </c>
      <c r="P39" s="60">
        <f>IFERROR(INDEX('الرواتب'!$T$3:$T$502,MATCH(33,'الرواتب'!$Z$3:$Z$502,0)),"")</f>
        <v/>
      </c>
      <c r="Q39" s="60">
        <f>IFERROR(INDEX('الرواتب'!$U$3:$U$502,MATCH(33,'الرواتب'!$Z$3:$Z$502,0)),"")</f>
        <v/>
      </c>
      <c r="R39" s="60">
        <f>IFERROR(INDEX('الرواتب'!$V$3:$V$502,MATCH(33,'الرواتب'!$Z$3:$Z$502,0)),"")</f>
        <v/>
      </c>
    </row>
    <row r="40">
      <c r="A40" s="50">
        <f>IFERROR(INDEX('الرواتب'!$C$3:$C$502,MATCH(34,'الرواتب'!$Z$3:$Z$502,0)),"")</f>
        <v/>
      </c>
      <c r="B40" s="50">
        <f>IFERROR(INDEX('الرواتب'!$D$3:$D$502,MATCH(34,'الرواتب'!$Z$3:$Z$502,0)),"")</f>
        <v/>
      </c>
      <c r="C40" s="50">
        <f>IFERROR(INDEX('الرواتب'!$E$3:$E$502,MATCH(34,'الرواتب'!$Z$3:$Z$502,0)),"")</f>
        <v/>
      </c>
      <c r="D40" s="63">
        <f>IFERROR(INDEX('الرواتب'!$G$3:$G$502,MATCH(34,'الرواتب'!$Z$3:$Z$502,0)),"")</f>
        <v/>
      </c>
      <c r="E40" s="63">
        <f>IFERROR(INDEX('الرواتب'!$H$3:$H$502,MATCH(34,'الرواتب'!$Z$3:$Z$502,0)),"")</f>
        <v/>
      </c>
      <c r="F40" s="63">
        <f>IFERROR(INDEX('الرواتب'!$I$3:$I$502,MATCH(34,'الرواتب'!$Z$3:$Z$502,0)),"")</f>
        <v/>
      </c>
      <c r="G40" s="63">
        <f>IFERROR(INDEX('الرواتب'!$J$3:$J$502,MATCH(34,'الرواتب'!$Z$3:$Z$502,0)),"")</f>
        <v/>
      </c>
      <c r="H40" s="63">
        <f>IFERROR(INDEX('الرواتب'!$K$3:$K$502,MATCH(34,'الرواتب'!$Z$3:$Z$502,0)),"")</f>
        <v/>
      </c>
      <c r="I40" s="63">
        <f>IFERROR(INDEX('الرواتب'!$L$3:$L$502,MATCH(34,'الرواتب'!$Z$3:$Z$502,0)),"")</f>
        <v/>
      </c>
      <c r="J40" s="63">
        <f>IFERROR(INDEX('الرواتب'!$S$3:$S$502,MATCH(34,'الرواتب'!$Z$3:$Z$502,0)),"")</f>
        <v/>
      </c>
      <c r="K40" s="63">
        <f>IFERROR(INDEX('الرواتب'!$N$3:$N$502,MATCH(34,'الرواتب'!$Z$3:$Z$502,0)),"")</f>
        <v/>
      </c>
      <c r="L40" s="63">
        <f>IFERROR(INDEX('الرواتب'!$O$3:$O$502,MATCH(34,'الرواتب'!$Z$3:$Z$502,0)),"")</f>
        <v/>
      </c>
      <c r="M40" s="63">
        <f>IFERROR(INDEX('الرواتب'!$P$3:$P$502,MATCH(34,'الرواتب'!$Z$3:$Z$502,0)),"")</f>
        <v/>
      </c>
      <c r="N40" s="63">
        <f>IFERROR(INDEX('الرواتب'!$Q$3:$Q$502,MATCH(34,'الرواتب'!$Z$3:$Z$502,0)),"")</f>
        <v/>
      </c>
      <c r="O40" s="63">
        <f>IFERROR(INDEX('الرواتب'!$R$3:$R$502,MATCH(34,'الرواتب'!$Z$3:$Z$502,0)),"")</f>
        <v/>
      </c>
      <c r="P40" s="63">
        <f>IFERROR(INDEX('الرواتب'!$T$3:$T$502,MATCH(34,'الرواتب'!$Z$3:$Z$502,0)),"")</f>
        <v/>
      </c>
      <c r="Q40" s="63">
        <f>IFERROR(INDEX('الرواتب'!$U$3:$U$502,MATCH(34,'الرواتب'!$Z$3:$Z$502,0)),"")</f>
        <v/>
      </c>
      <c r="R40" s="63">
        <f>IFERROR(INDEX('الرواتب'!$V$3:$V$502,MATCH(34,'الرواتب'!$Z$3:$Z$502,0)),"")</f>
        <v/>
      </c>
    </row>
    <row r="41">
      <c r="A41" s="43">
        <f>IFERROR(INDEX('الرواتب'!$C$3:$C$502,MATCH(35,'الرواتب'!$Z$3:$Z$502,0)),"")</f>
        <v/>
      </c>
      <c r="B41" s="43">
        <f>IFERROR(INDEX('الرواتب'!$D$3:$D$502,MATCH(35,'الرواتب'!$Z$3:$Z$502,0)),"")</f>
        <v/>
      </c>
      <c r="C41" s="43">
        <f>IFERROR(INDEX('الرواتب'!$E$3:$E$502,MATCH(35,'الرواتب'!$Z$3:$Z$502,0)),"")</f>
        <v/>
      </c>
      <c r="D41" s="60">
        <f>IFERROR(INDEX('الرواتب'!$G$3:$G$502,MATCH(35,'الرواتب'!$Z$3:$Z$502,0)),"")</f>
        <v/>
      </c>
      <c r="E41" s="60">
        <f>IFERROR(INDEX('الرواتب'!$H$3:$H$502,MATCH(35,'الرواتب'!$Z$3:$Z$502,0)),"")</f>
        <v/>
      </c>
      <c r="F41" s="60">
        <f>IFERROR(INDEX('الرواتب'!$I$3:$I$502,MATCH(35,'الرواتب'!$Z$3:$Z$502,0)),"")</f>
        <v/>
      </c>
      <c r="G41" s="60">
        <f>IFERROR(INDEX('الرواتب'!$J$3:$J$502,MATCH(35,'الرواتب'!$Z$3:$Z$502,0)),"")</f>
        <v/>
      </c>
      <c r="H41" s="60">
        <f>IFERROR(INDEX('الرواتب'!$K$3:$K$502,MATCH(35,'الرواتب'!$Z$3:$Z$502,0)),"")</f>
        <v/>
      </c>
      <c r="I41" s="60">
        <f>IFERROR(INDEX('الرواتب'!$L$3:$L$502,MATCH(35,'الرواتب'!$Z$3:$Z$502,0)),"")</f>
        <v/>
      </c>
      <c r="J41" s="60">
        <f>IFERROR(INDEX('الرواتب'!$S$3:$S$502,MATCH(35,'الرواتب'!$Z$3:$Z$502,0)),"")</f>
        <v/>
      </c>
      <c r="K41" s="60">
        <f>IFERROR(INDEX('الرواتب'!$N$3:$N$502,MATCH(35,'الرواتب'!$Z$3:$Z$502,0)),"")</f>
        <v/>
      </c>
      <c r="L41" s="60">
        <f>IFERROR(INDEX('الرواتب'!$O$3:$O$502,MATCH(35,'الرواتب'!$Z$3:$Z$502,0)),"")</f>
        <v/>
      </c>
      <c r="M41" s="60">
        <f>IFERROR(INDEX('الرواتب'!$P$3:$P$502,MATCH(35,'الرواتب'!$Z$3:$Z$502,0)),"")</f>
        <v/>
      </c>
      <c r="N41" s="60">
        <f>IFERROR(INDEX('الرواتب'!$Q$3:$Q$502,MATCH(35,'الرواتب'!$Z$3:$Z$502,0)),"")</f>
        <v/>
      </c>
      <c r="O41" s="60">
        <f>IFERROR(INDEX('الرواتب'!$R$3:$R$502,MATCH(35,'الرواتب'!$Z$3:$Z$502,0)),"")</f>
        <v/>
      </c>
      <c r="P41" s="60">
        <f>IFERROR(INDEX('الرواتب'!$T$3:$T$502,MATCH(35,'الرواتب'!$Z$3:$Z$502,0)),"")</f>
        <v/>
      </c>
      <c r="Q41" s="60">
        <f>IFERROR(INDEX('الرواتب'!$U$3:$U$502,MATCH(35,'الرواتب'!$Z$3:$Z$502,0)),"")</f>
        <v/>
      </c>
      <c r="R41" s="60">
        <f>IFERROR(INDEX('الرواتب'!$V$3:$V$502,MATCH(35,'الرواتب'!$Z$3:$Z$502,0)),"")</f>
        <v/>
      </c>
    </row>
    <row r="42">
      <c r="A42" s="50">
        <f>IFERROR(INDEX('الرواتب'!$C$3:$C$502,MATCH(36,'الرواتب'!$Z$3:$Z$502,0)),"")</f>
        <v/>
      </c>
      <c r="B42" s="50">
        <f>IFERROR(INDEX('الرواتب'!$D$3:$D$502,MATCH(36,'الرواتب'!$Z$3:$Z$502,0)),"")</f>
        <v/>
      </c>
      <c r="C42" s="50">
        <f>IFERROR(INDEX('الرواتب'!$E$3:$E$502,MATCH(36,'الرواتب'!$Z$3:$Z$502,0)),"")</f>
        <v/>
      </c>
      <c r="D42" s="63">
        <f>IFERROR(INDEX('الرواتب'!$G$3:$G$502,MATCH(36,'الرواتب'!$Z$3:$Z$502,0)),"")</f>
        <v/>
      </c>
      <c r="E42" s="63">
        <f>IFERROR(INDEX('الرواتب'!$H$3:$H$502,MATCH(36,'الرواتب'!$Z$3:$Z$502,0)),"")</f>
        <v/>
      </c>
      <c r="F42" s="63">
        <f>IFERROR(INDEX('الرواتب'!$I$3:$I$502,MATCH(36,'الرواتب'!$Z$3:$Z$502,0)),"")</f>
        <v/>
      </c>
      <c r="G42" s="63">
        <f>IFERROR(INDEX('الرواتب'!$J$3:$J$502,MATCH(36,'الرواتب'!$Z$3:$Z$502,0)),"")</f>
        <v/>
      </c>
      <c r="H42" s="63">
        <f>IFERROR(INDEX('الرواتب'!$K$3:$K$502,MATCH(36,'الرواتب'!$Z$3:$Z$502,0)),"")</f>
        <v/>
      </c>
      <c r="I42" s="63">
        <f>IFERROR(INDEX('الرواتب'!$L$3:$L$502,MATCH(36,'الرواتب'!$Z$3:$Z$502,0)),"")</f>
        <v/>
      </c>
      <c r="J42" s="63">
        <f>IFERROR(INDEX('الرواتب'!$S$3:$S$502,MATCH(36,'الرواتب'!$Z$3:$Z$502,0)),"")</f>
        <v/>
      </c>
      <c r="K42" s="63">
        <f>IFERROR(INDEX('الرواتب'!$N$3:$N$502,MATCH(36,'الرواتب'!$Z$3:$Z$502,0)),"")</f>
        <v/>
      </c>
      <c r="L42" s="63">
        <f>IFERROR(INDEX('الرواتب'!$O$3:$O$502,MATCH(36,'الرواتب'!$Z$3:$Z$502,0)),"")</f>
        <v/>
      </c>
      <c r="M42" s="63">
        <f>IFERROR(INDEX('الرواتب'!$P$3:$P$502,MATCH(36,'الرواتب'!$Z$3:$Z$502,0)),"")</f>
        <v/>
      </c>
      <c r="N42" s="63">
        <f>IFERROR(INDEX('الرواتب'!$Q$3:$Q$502,MATCH(36,'الرواتب'!$Z$3:$Z$502,0)),"")</f>
        <v/>
      </c>
      <c r="O42" s="63">
        <f>IFERROR(INDEX('الرواتب'!$R$3:$R$502,MATCH(36,'الرواتب'!$Z$3:$Z$502,0)),"")</f>
        <v/>
      </c>
      <c r="P42" s="63">
        <f>IFERROR(INDEX('الرواتب'!$T$3:$T$502,MATCH(36,'الرواتب'!$Z$3:$Z$502,0)),"")</f>
        <v/>
      </c>
      <c r="Q42" s="63">
        <f>IFERROR(INDEX('الرواتب'!$U$3:$U$502,MATCH(36,'الرواتب'!$Z$3:$Z$502,0)),"")</f>
        <v/>
      </c>
      <c r="R42" s="63">
        <f>IFERROR(INDEX('الرواتب'!$V$3:$V$502,MATCH(36,'الرواتب'!$Z$3:$Z$502,0)),"")</f>
        <v/>
      </c>
    </row>
    <row r="43">
      <c r="A43" s="43">
        <f>IFERROR(INDEX('الرواتب'!$C$3:$C$502,MATCH(37,'الرواتب'!$Z$3:$Z$502,0)),"")</f>
        <v/>
      </c>
      <c r="B43" s="43">
        <f>IFERROR(INDEX('الرواتب'!$D$3:$D$502,MATCH(37,'الرواتب'!$Z$3:$Z$502,0)),"")</f>
        <v/>
      </c>
      <c r="C43" s="43">
        <f>IFERROR(INDEX('الرواتب'!$E$3:$E$502,MATCH(37,'الرواتب'!$Z$3:$Z$502,0)),"")</f>
        <v/>
      </c>
      <c r="D43" s="60">
        <f>IFERROR(INDEX('الرواتب'!$G$3:$G$502,MATCH(37,'الرواتب'!$Z$3:$Z$502,0)),"")</f>
        <v/>
      </c>
      <c r="E43" s="60">
        <f>IFERROR(INDEX('الرواتب'!$H$3:$H$502,MATCH(37,'الرواتب'!$Z$3:$Z$502,0)),"")</f>
        <v/>
      </c>
      <c r="F43" s="60">
        <f>IFERROR(INDEX('الرواتب'!$I$3:$I$502,MATCH(37,'الرواتب'!$Z$3:$Z$502,0)),"")</f>
        <v/>
      </c>
      <c r="G43" s="60">
        <f>IFERROR(INDEX('الرواتب'!$J$3:$J$502,MATCH(37,'الرواتب'!$Z$3:$Z$502,0)),"")</f>
        <v/>
      </c>
      <c r="H43" s="60">
        <f>IFERROR(INDEX('الرواتب'!$K$3:$K$502,MATCH(37,'الرواتب'!$Z$3:$Z$502,0)),"")</f>
        <v/>
      </c>
      <c r="I43" s="60">
        <f>IFERROR(INDEX('الرواتب'!$L$3:$L$502,MATCH(37,'الرواتب'!$Z$3:$Z$502,0)),"")</f>
        <v/>
      </c>
      <c r="J43" s="60">
        <f>IFERROR(INDEX('الرواتب'!$S$3:$S$502,MATCH(37,'الرواتب'!$Z$3:$Z$502,0)),"")</f>
        <v/>
      </c>
      <c r="K43" s="60">
        <f>IFERROR(INDEX('الرواتب'!$N$3:$N$502,MATCH(37,'الرواتب'!$Z$3:$Z$502,0)),"")</f>
        <v/>
      </c>
      <c r="L43" s="60">
        <f>IFERROR(INDEX('الرواتب'!$O$3:$O$502,MATCH(37,'الرواتب'!$Z$3:$Z$502,0)),"")</f>
        <v/>
      </c>
      <c r="M43" s="60">
        <f>IFERROR(INDEX('الرواتب'!$P$3:$P$502,MATCH(37,'الرواتب'!$Z$3:$Z$502,0)),"")</f>
        <v/>
      </c>
      <c r="N43" s="60">
        <f>IFERROR(INDEX('الرواتب'!$Q$3:$Q$502,MATCH(37,'الرواتب'!$Z$3:$Z$502,0)),"")</f>
        <v/>
      </c>
      <c r="O43" s="60">
        <f>IFERROR(INDEX('الرواتب'!$R$3:$R$502,MATCH(37,'الرواتب'!$Z$3:$Z$502,0)),"")</f>
        <v/>
      </c>
      <c r="P43" s="60">
        <f>IFERROR(INDEX('الرواتب'!$T$3:$T$502,MATCH(37,'الرواتب'!$Z$3:$Z$502,0)),"")</f>
        <v/>
      </c>
      <c r="Q43" s="60">
        <f>IFERROR(INDEX('الرواتب'!$U$3:$U$502,MATCH(37,'الرواتب'!$Z$3:$Z$502,0)),"")</f>
        <v/>
      </c>
      <c r="R43" s="60">
        <f>IFERROR(INDEX('الرواتب'!$V$3:$V$502,MATCH(37,'الرواتب'!$Z$3:$Z$502,0)),"")</f>
        <v/>
      </c>
    </row>
    <row r="44">
      <c r="A44" s="50">
        <f>IFERROR(INDEX('الرواتب'!$C$3:$C$502,MATCH(38,'الرواتب'!$Z$3:$Z$502,0)),"")</f>
        <v/>
      </c>
      <c r="B44" s="50">
        <f>IFERROR(INDEX('الرواتب'!$D$3:$D$502,MATCH(38,'الرواتب'!$Z$3:$Z$502,0)),"")</f>
        <v/>
      </c>
      <c r="C44" s="50">
        <f>IFERROR(INDEX('الرواتب'!$E$3:$E$502,MATCH(38,'الرواتب'!$Z$3:$Z$502,0)),"")</f>
        <v/>
      </c>
      <c r="D44" s="63">
        <f>IFERROR(INDEX('الرواتب'!$G$3:$G$502,MATCH(38,'الرواتب'!$Z$3:$Z$502,0)),"")</f>
        <v/>
      </c>
      <c r="E44" s="63">
        <f>IFERROR(INDEX('الرواتب'!$H$3:$H$502,MATCH(38,'الرواتب'!$Z$3:$Z$502,0)),"")</f>
        <v/>
      </c>
      <c r="F44" s="63">
        <f>IFERROR(INDEX('الرواتب'!$I$3:$I$502,MATCH(38,'الرواتب'!$Z$3:$Z$502,0)),"")</f>
        <v/>
      </c>
      <c r="G44" s="63">
        <f>IFERROR(INDEX('الرواتب'!$J$3:$J$502,MATCH(38,'الرواتب'!$Z$3:$Z$502,0)),"")</f>
        <v/>
      </c>
      <c r="H44" s="63">
        <f>IFERROR(INDEX('الرواتب'!$K$3:$K$502,MATCH(38,'الرواتب'!$Z$3:$Z$502,0)),"")</f>
        <v/>
      </c>
      <c r="I44" s="63">
        <f>IFERROR(INDEX('الرواتب'!$L$3:$L$502,MATCH(38,'الرواتب'!$Z$3:$Z$502,0)),"")</f>
        <v/>
      </c>
      <c r="J44" s="63">
        <f>IFERROR(INDEX('الرواتب'!$S$3:$S$502,MATCH(38,'الرواتب'!$Z$3:$Z$502,0)),"")</f>
        <v/>
      </c>
      <c r="K44" s="63">
        <f>IFERROR(INDEX('الرواتب'!$N$3:$N$502,MATCH(38,'الرواتب'!$Z$3:$Z$502,0)),"")</f>
        <v/>
      </c>
      <c r="L44" s="63">
        <f>IFERROR(INDEX('الرواتب'!$O$3:$O$502,MATCH(38,'الرواتب'!$Z$3:$Z$502,0)),"")</f>
        <v/>
      </c>
      <c r="M44" s="63">
        <f>IFERROR(INDEX('الرواتب'!$P$3:$P$502,MATCH(38,'الرواتب'!$Z$3:$Z$502,0)),"")</f>
        <v/>
      </c>
      <c r="N44" s="63">
        <f>IFERROR(INDEX('الرواتب'!$Q$3:$Q$502,MATCH(38,'الرواتب'!$Z$3:$Z$502,0)),"")</f>
        <v/>
      </c>
      <c r="O44" s="63">
        <f>IFERROR(INDEX('الرواتب'!$R$3:$R$502,MATCH(38,'الرواتب'!$Z$3:$Z$502,0)),"")</f>
        <v/>
      </c>
      <c r="P44" s="63">
        <f>IFERROR(INDEX('الرواتب'!$T$3:$T$502,MATCH(38,'الرواتب'!$Z$3:$Z$502,0)),"")</f>
        <v/>
      </c>
      <c r="Q44" s="63">
        <f>IFERROR(INDEX('الرواتب'!$U$3:$U$502,MATCH(38,'الرواتب'!$Z$3:$Z$502,0)),"")</f>
        <v/>
      </c>
      <c r="R44" s="63">
        <f>IFERROR(INDEX('الرواتب'!$V$3:$V$502,MATCH(38,'الرواتب'!$Z$3:$Z$502,0)),"")</f>
        <v/>
      </c>
    </row>
    <row r="45">
      <c r="A45" s="43">
        <f>IFERROR(INDEX('الرواتب'!$C$3:$C$502,MATCH(39,'الرواتب'!$Z$3:$Z$502,0)),"")</f>
        <v/>
      </c>
      <c r="B45" s="43">
        <f>IFERROR(INDEX('الرواتب'!$D$3:$D$502,MATCH(39,'الرواتب'!$Z$3:$Z$502,0)),"")</f>
        <v/>
      </c>
      <c r="C45" s="43">
        <f>IFERROR(INDEX('الرواتب'!$E$3:$E$502,MATCH(39,'الرواتب'!$Z$3:$Z$502,0)),"")</f>
        <v/>
      </c>
      <c r="D45" s="60">
        <f>IFERROR(INDEX('الرواتب'!$G$3:$G$502,MATCH(39,'الرواتب'!$Z$3:$Z$502,0)),"")</f>
        <v/>
      </c>
      <c r="E45" s="60">
        <f>IFERROR(INDEX('الرواتب'!$H$3:$H$502,MATCH(39,'الرواتب'!$Z$3:$Z$502,0)),"")</f>
        <v/>
      </c>
      <c r="F45" s="60">
        <f>IFERROR(INDEX('الرواتب'!$I$3:$I$502,MATCH(39,'الرواتب'!$Z$3:$Z$502,0)),"")</f>
        <v/>
      </c>
      <c r="G45" s="60">
        <f>IFERROR(INDEX('الرواتب'!$J$3:$J$502,MATCH(39,'الرواتب'!$Z$3:$Z$502,0)),"")</f>
        <v/>
      </c>
      <c r="H45" s="60">
        <f>IFERROR(INDEX('الرواتب'!$K$3:$K$502,MATCH(39,'الرواتب'!$Z$3:$Z$502,0)),"")</f>
        <v/>
      </c>
      <c r="I45" s="60">
        <f>IFERROR(INDEX('الرواتب'!$L$3:$L$502,MATCH(39,'الرواتب'!$Z$3:$Z$502,0)),"")</f>
        <v/>
      </c>
      <c r="J45" s="60">
        <f>IFERROR(INDEX('الرواتب'!$S$3:$S$502,MATCH(39,'الرواتب'!$Z$3:$Z$502,0)),"")</f>
        <v/>
      </c>
      <c r="K45" s="60">
        <f>IFERROR(INDEX('الرواتب'!$N$3:$N$502,MATCH(39,'الرواتب'!$Z$3:$Z$502,0)),"")</f>
        <v/>
      </c>
      <c r="L45" s="60">
        <f>IFERROR(INDEX('الرواتب'!$O$3:$O$502,MATCH(39,'الرواتب'!$Z$3:$Z$502,0)),"")</f>
        <v/>
      </c>
      <c r="M45" s="60">
        <f>IFERROR(INDEX('الرواتب'!$P$3:$P$502,MATCH(39,'الرواتب'!$Z$3:$Z$502,0)),"")</f>
        <v/>
      </c>
      <c r="N45" s="60">
        <f>IFERROR(INDEX('الرواتب'!$Q$3:$Q$502,MATCH(39,'الرواتب'!$Z$3:$Z$502,0)),"")</f>
        <v/>
      </c>
      <c r="O45" s="60">
        <f>IFERROR(INDEX('الرواتب'!$R$3:$R$502,MATCH(39,'الرواتب'!$Z$3:$Z$502,0)),"")</f>
        <v/>
      </c>
      <c r="P45" s="60">
        <f>IFERROR(INDEX('الرواتب'!$T$3:$T$502,MATCH(39,'الرواتب'!$Z$3:$Z$502,0)),"")</f>
        <v/>
      </c>
      <c r="Q45" s="60">
        <f>IFERROR(INDEX('الرواتب'!$U$3:$U$502,MATCH(39,'الرواتب'!$Z$3:$Z$502,0)),"")</f>
        <v/>
      </c>
      <c r="R45" s="60">
        <f>IFERROR(INDEX('الرواتب'!$V$3:$V$502,MATCH(39,'الرواتب'!$Z$3:$Z$502,0)),"")</f>
        <v/>
      </c>
    </row>
    <row r="46">
      <c r="A46" s="50">
        <f>IFERROR(INDEX('الرواتب'!$C$3:$C$502,MATCH(40,'الرواتب'!$Z$3:$Z$502,0)),"")</f>
        <v/>
      </c>
      <c r="B46" s="50">
        <f>IFERROR(INDEX('الرواتب'!$D$3:$D$502,MATCH(40,'الرواتب'!$Z$3:$Z$502,0)),"")</f>
        <v/>
      </c>
      <c r="C46" s="50">
        <f>IFERROR(INDEX('الرواتب'!$E$3:$E$502,MATCH(40,'الرواتب'!$Z$3:$Z$502,0)),"")</f>
        <v/>
      </c>
      <c r="D46" s="63">
        <f>IFERROR(INDEX('الرواتب'!$G$3:$G$502,MATCH(40,'الرواتب'!$Z$3:$Z$502,0)),"")</f>
        <v/>
      </c>
      <c r="E46" s="63">
        <f>IFERROR(INDEX('الرواتب'!$H$3:$H$502,MATCH(40,'الرواتب'!$Z$3:$Z$502,0)),"")</f>
        <v/>
      </c>
      <c r="F46" s="63">
        <f>IFERROR(INDEX('الرواتب'!$I$3:$I$502,MATCH(40,'الرواتب'!$Z$3:$Z$502,0)),"")</f>
        <v/>
      </c>
      <c r="G46" s="63">
        <f>IFERROR(INDEX('الرواتب'!$J$3:$J$502,MATCH(40,'الرواتب'!$Z$3:$Z$502,0)),"")</f>
        <v/>
      </c>
      <c r="H46" s="63">
        <f>IFERROR(INDEX('الرواتب'!$K$3:$K$502,MATCH(40,'الرواتب'!$Z$3:$Z$502,0)),"")</f>
        <v/>
      </c>
      <c r="I46" s="63">
        <f>IFERROR(INDEX('الرواتب'!$L$3:$L$502,MATCH(40,'الرواتب'!$Z$3:$Z$502,0)),"")</f>
        <v/>
      </c>
      <c r="J46" s="63">
        <f>IFERROR(INDEX('الرواتب'!$S$3:$S$502,MATCH(40,'الرواتب'!$Z$3:$Z$502,0)),"")</f>
        <v/>
      </c>
      <c r="K46" s="63">
        <f>IFERROR(INDEX('الرواتب'!$N$3:$N$502,MATCH(40,'الرواتب'!$Z$3:$Z$502,0)),"")</f>
        <v/>
      </c>
      <c r="L46" s="63">
        <f>IFERROR(INDEX('الرواتب'!$O$3:$O$502,MATCH(40,'الرواتب'!$Z$3:$Z$502,0)),"")</f>
        <v/>
      </c>
      <c r="M46" s="63">
        <f>IFERROR(INDEX('الرواتب'!$P$3:$P$502,MATCH(40,'الرواتب'!$Z$3:$Z$502,0)),"")</f>
        <v/>
      </c>
      <c r="N46" s="63">
        <f>IFERROR(INDEX('الرواتب'!$Q$3:$Q$502,MATCH(40,'الرواتب'!$Z$3:$Z$502,0)),"")</f>
        <v/>
      </c>
      <c r="O46" s="63">
        <f>IFERROR(INDEX('الرواتب'!$R$3:$R$502,MATCH(40,'الرواتب'!$Z$3:$Z$502,0)),"")</f>
        <v/>
      </c>
      <c r="P46" s="63">
        <f>IFERROR(INDEX('الرواتب'!$T$3:$T$502,MATCH(40,'الرواتب'!$Z$3:$Z$502,0)),"")</f>
        <v/>
      </c>
      <c r="Q46" s="63">
        <f>IFERROR(INDEX('الرواتب'!$U$3:$U$502,MATCH(40,'الرواتب'!$Z$3:$Z$502,0)),"")</f>
        <v/>
      </c>
      <c r="R46" s="63">
        <f>IFERROR(INDEX('الرواتب'!$V$3:$V$502,MATCH(40,'الرواتب'!$Z$3:$Z$502,0)),"")</f>
        <v/>
      </c>
    </row>
    <row r="47">
      <c r="A47" s="43">
        <f>IFERROR(INDEX('الرواتب'!$C$3:$C$502,MATCH(41,'الرواتب'!$Z$3:$Z$502,0)),"")</f>
        <v/>
      </c>
      <c r="B47" s="43">
        <f>IFERROR(INDEX('الرواتب'!$D$3:$D$502,MATCH(41,'الرواتب'!$Z$3:$Z$502,0)),"")</f>
        <v/>
      </c>
      <c r="C47" s="43">
        <f>IFERROR(INDEX('الرواتب'!$E$3:$E$502,MATCH(41,'الرواتب'!$Z$3:$Z$502,0)),"")</f>
        <v/>
      </c>
      <c r="D47" s="60">
        <f>IFERROR(INDEX('الرواتب'!$G$3:$G$502,MATCH(41,'الرواتب'!$Z$3:$Z$502,0)),"")</f>
        <v/>
      </c>
      <c r="E47" s="60">
        <f>IFERROR(INDEX('الرواتب'!$H$3:$H$502,MATCH(41,'الرواتب'!$Z$3:$Z$502,0)),"")</f>
        <v/>
      </c>
      <c r="F47" s="60">
        <f>IFERROR(INDEX('الرواتب'!$I$3:$I$502,MATCH(41,'الرواتب'!$Z$3:$Z$502,0)),"")</f>
        <v/>
      </c>
      <c r="G47" s="60">
        <f>IFERROR(INDEX('الرواتب'!$J$3:$J$502,MATCH(41,'الرواتب'!$Z$3:$Z$502,0)),"")</f>
        <v/>
      </c>
      <c r="H47" s="60">
        <f>IFERROR(INDEX('الرواتب'!$K$3:$K$502,MATCH(41,'الرواتب'!$Z$3:$Z$502,0)),"")</f>
        <v/>
      </c>
      <c r="I47" s="60">
        <f>IFERROR(INDEX('الرواتب'!$L$3:$L$502,MATCH(41,'الرواتب'!$Z$3:$Z$502,0)),"")</f>
        <v/>
      </c>
      <c r="J47" s="60">
        <f>IFERROR(INDEX('الرواتب'!$S$3:$S$502,MATCH(41,'الرواتب'!$Z$3:$Z$502,0)),"")</f>
        <v/>
      </c>
      <c r="K47" s="60">
        <f>IFERROR(INDEX('الرواتب'!$N$3:$N$502,MATCH(41,'الرواتب'!$Z$3:$Z$502,0)),"")</f>
        <v/>
      </c>
      <c r="L47" s="60">
        <f>IFERROR(INDEX('الرواتب'!$O$3:$O$502,MATCH(41,'الرواتب'!$Z$3:$Z$502,0)),"")</f>
        <v/>
      </c>
      <c r="M47" s="60">
        <f>IFERROR(INDEX('الرواتب'!$P$3:$P$502,MATCH(41,'الرواتب'!$Z$3:$Z$502,0)),"")</f>
        <v/>
      </c>
      <c r="N47" s="60">
        <f>IFERROR(INDEX('الرواتب'!$Q$3:$Q$502,MATCH(41,'الرواتب'!$Z$3:$Z$502,0)),"")</f>
        <v/>
      </c>
      <c r="O47" s="60">
        <f>IFERROR(INDEX('الرواتب'!$R$3:$R$502,MATCH(41,'الرواتب'!$Z$3:$Z$502,0)),"")</f>
        <v/>
      </c>
      <c r="P47" s="60">
        <f>IFERROR(INDEX('الرواتب'!$T$3:$T$502,MATCH(41,'الرواتب'!$Z$3:$Z$502,0)),"")</f>
        <v/>
      </c>
      <c r="Q47" s="60">
        <f>IFERROR(INDEX('الرواتب'!$U$3:$U$502,MATCH(41,'الرواتب'!$Z$3:$Z$502,0)),"")</f>
        <v/>
      </c>
      <c r="R47" s="60">
        <f>IFERROR(INDEX('الرواتب'!$V$3:$V$502,MATCH(41,'الرواتب'!$Z$3:$Z$502,0)),"")</f>
        <v/>
      </c>
    </row>
    <row r="48">
      <c r="A48" s="50">
        <f>IFERROR(INDEX('الرواتب'!$C$3:$C$502,MATCH(42,'الرواتب'!$Z$3:$Z$502,0)),"")</f>
        <v/>
      </c>
      <c r="B48" s="50">
        <f>IFERROR(INDEX('الرواتب'!$D$3:$D$502,MATCH(42,'الرواتب'!$Z$3:$Z$502,0)),"")</f>
        <v/>
      </c>
      <c r="C48" s="50">
        <f>IFERROR(INDEX('الرواتب'!$E$3:$E$502,MATCH(42,'الرواتب'!$Z$3:$Z$502,0)),"")</f>
        <v/>
      </c>
      <c r="D48" s="63">
        <f>IFERROR(INDEX('الرواتب'!$G$3:$G$502,MATCH(42,'الرواتب'!$Z$3:$Z$502,0)),"")</f>
        <v/>
      </c>
      <c r="E48" s="63">
        <f>IFERROR(INDEX('الرواتب'!$H$3:$H$502,MATCH(42,'الرواتب'!$Z$3:$Z$502,0)),"")</f>
        <v/>
      </c>
      <c r="F48" s="63">
        <f>IFERROR(INDEX('الرواتب'!$I$3:$I$502,MATCH(42,'الرواتب'!$Z$3:$Z$502,0)),"")</f>
        <v/>
      </c>
      <c r="G48" s="63">
        <f>IFERROR(INDEX('الرواتب'!$J$3:$J$502,MATCH(42,'الرواتب'!$Z$3:$Z$502,0)),"")</f>
        <v/>
      </c>
      <c r="H48" s="63">
        <f>IFERROR(INDEX('الرواتب'!$K$3:$K$502,MATCH(42,'الرواتب'!$Z$3:$Z$502,0)),"")</f>
        <v/>
      </c>
      <c r="I48" s="63">
        <f>IFERROR(INDEX('الرواتب'!$L$3:$L$502,MATCH(42,'الرواتب'!$Z$3:$Z$502,0)),"")</f>
        <v/>
      </c>
      <c r="J48" s="63">
        <f>IFERROR(INDEX('الرواتب'!$S$3:$S$502,MATCH(42,'الرواتب'!$Z$3:$Z$502,0)),"")</f>
        <v/>
      </c>
      <c r="K48" s="63">
        <f>IFERROR(INDEX('الرواتب'!$N$3:$N$502,MATCH(42,'الرواتب'!$Z$3:$Z$502,0)),"")</f>
        <v/>
      </c>
      <c r="L48" s="63">
        <f>IFERROR(INDEX('الرواتب'!$O$3:$O$502,MATCH(42,'الرواتب'!$Z$3:$Z$502,0)),"")</f>
        <v/>
      </c>
      <c r="M48" s="63">
        <f>IFERROR(INDEX('الرواتب'!$P$3:$P$502,MATCH(42,'الرواتب'!$Z$3:$Z$502,0)),"")</f>
        <v/>
      </c>
      <c r="N48" s="63">
        <f>IFERROR(INDEX('الرواتب'!$Q$3:$Q$502,MATCH(42,'الرواتب'!$Z$3:$Z$502,0)),"")</f>
        <v/>
      </c>
      <c r="O48" s="63">
        <f>IFERROR(INDEX('الرواتب'!$R$3:$R$502,MATCH(42,'الرواتب'!$Z$3:$Z$502,0)),"")</f>
        <v/>
      </c>
      <c r="P48" s="63">
        <f>IFERROR(INDEX('الرواتب'!$T$3:$T$502,MATCH(42,'الرواتب'!$Z$3:$Z$502,0)),"")</f>
        <v/>
      </c>
      <c r="Q48" s="63">
        <f>IFERROR(INDEX('الرواتب'!$U$3:$U$502,MATCH(42,'الرواتب'!$Z$3:$Z$502,0)),"")</f>
        <v/>
      </c>
      <c r="R48" s="63">
        <f>IFERROR(INDEX('الرواتب'!$V$3:$V$502,MATCH(42,'الرواتب'!$Z$3:$Z$502,0)),"")</f>
        <v/>
      </c>
    </row>
    <row r="49">
      <c r="A49" s="43">
        <f>IFERROR(INDEX('الرواتب'!$C$3:$C$502,MATCH(43,'الرواتب'!$Z$3:$Z$502,0)),"")</f>
        <v/>
      </c>
      <c r="B49" s="43">
        <f>IFERROR(INDEX('الرواتب'!$D$3:$D$502,MATCH(43,'الرواتب'!$Z$3:$Z$502,0)),"")</f>
        <v/>
      </c>
      <c r="C49" s="43">
        <f>IFERROR(INDEX('الرواتب'!$E$3:$E$502,MATCH(43,'الرواتب'!$Z$3:$Z$502,0)),"")</f>
        <v/>
      </c>
      <c r="D49" s="60">
        <f>IFERROR(INDEX('الرواتب'!$G$3:$G$502,MATCH(43,'الرواتب'!$Z$3:$Z$502,0)),"")</f>
        <v/>
      </c>
      <c r="E49" s="60">
        <f>IFERROR(INDEX('الرواتب'!$H$3:$H$502,MATCH(43,'الرواتب'!$Z$3:$Z$502,0)),"")</f>
        <v/>
      </c>
      <c r="F49" s="60">
        <f>IFERROR(INDEX('الرواتب'!$I$3:$I$502,MATCH(43,'الرواتب'!$Z$3:$Z$502,0)),"")</f>
        <v/>
      </c>
      <c r="G49" s="60">
        <f>IFERROR(INDEX('الرواتب'!$J$3:$J$502,MATCH(43,'الرواتب'!$Z$3:$Z$502,0)),"")</f>
        <v/>
      </c>
      <c r="H49" s="60">
        <f>IFERROR(INDEX('الرواتب'!$K$3:$K$502,MATCH(43,'الرواتب'!$Z$3:$Z$502,0)),"")</f>
        <v/>
      </c>
      <c r="I49" s="60">
        <f>IFERROR(INDEX('الرواتب'!$L$3:$L$502,MATCH(43,'الرواتب'!$Z$3:$Z$502,0)),"")</f>
        <v/>
      </c>
      <c r="J49" s="60">
        <f>IFERROR(INDEX('الرواتب'!$S$3:$S$502,MATCH(43,'الرواتب'!$Z$3:$Z$502,0)),"")</f>
        <v/>
      </c>
      <c r="K49" s="60">
        <f>IFERROR(INDEX('الرواتب'!$N$3:$N$502,MATCH(43,'الرواتب'!$Z$3:$Z$502,0)),"")</f>
        <v/>
      </c>
      <c r="L49" s="60">
        <f>IFERROR(INDEX('الرواتب'!$O$3:$O$502,MATCH(43,'الرواتب'!$Z$3:$Z$502,0)),"")</f>
        <v/>
      </c>
      <c r="M49" s="60">
        <f>IFERROR(INDEX('الرواتب'!$P$3:$P$502,MATCH(43,'الرواتب'!$Z$3:$Z$502,0)),"")</f>
        <v/>
      </c>
      <c r="N49" s="60">
        <f>IFERROR(INDEX('الرواتب'!$Q$3:$Q$502,MATCH(43,'الرواتب'!$Z$3:$Z$502,0)),"")</f>
        <v/>
      </c>
      <c r="O49" s="60">
        <f>IFERROR(INDEX('الرواتب'!$R$3:$R$502,MATCH(43,'الرواتب'!$Z$3:$Z$502,0)),"")</f>
        <v/>
      </c>
      <c r="P49" s="60">
        <f>IFERROR(INDEX('الرواتب'!$T$3:$T$502,MATCH(43,'الرواتب'!$Z$3:$Z$502,0)),"")</f>
        <v/>
      </c>
      <c r="Q49" s="60">
        <f>IFERROR(INDEX('الرواتب'!$U$3:$U$502,MATCH(43,'الرواتب'!$Z$3:$Z$502,0)),"")</f>
        <v/>
      </c>
      <c r="R49" s="60">
        <f>IFERROR(INDEX('الرواتب'!$V$3:$V$502,MATCH(43,'الرواتب'!$Z$3:$Z$502,0)),"")</f>
        <v/>
      </c>
    </row>
    <row r="50">
      <c r="A50" s="50">
        <f>IFERROR(INDEX('الرواتب'!$C$3:$C$502,MATCH(44,'الرواتب'!$Z$3:$Z$502,0)),"")</f>
        <v/>
      </c>
      <c r="B50" s="50">
        <f>IFERROR(INDEX('الرواتب'!$D$3:$D$502,MATCH(44,'الرواتب'!$Z$3:$Z$502,0)),"")</f>
        <v/>
      </c>
      <c r="C50" s="50">
        <f>IFERROR(INDEX('الرواتب'!$E$3:$E$502,MATCH(44,'الرواتب'!$Z$3:$Z$502,0)),"")</f>
        <v/>
      </c>
      <c r="D50" s="63">
        <f>IFERROR(INDEX('الرواتب'!$G$3:$G$502,MATCH(44,'الرواتب'!$Z$3:$Z$502,0)),"")</f>
        <v/>
      </c>
      <c r="E50" s="63">
        <f>IFERROR(INDEX('الرواتب'!$H$3:$H$502,MATCH(44,'الرواتب'!$Z$3:$Z$502,0)),"")</f>
        <v/>
      </c>
      <c r="F50" s="63">
        <f>IFERROR(INDEX('الرواتب'!$I$3:$I$502,MATCH(44,'الرواتب'!$Z$3:$Z$502,0)),"")</f>
        <v/>
      </c>
      <c r="G50" s="63">
        <f>IFERROR(INDEX('الرواتب'!$J$3:$J$502,MATCH(44,'الرواتب'!$Z$3:$Z$502,0)),"")</f>
        <v/>
      </c>
      <c r="H50" s="63">
        <f>IFERROR(INDEX('الرواتب'!$K$3:$K$502,MATCH(44,'الرواتب'!$Z$3:$Z$502,0)),"")</f>
        <v/>
      </c>
      <c r="I50" s="63">
        <f>IFERROR(INDEX('الرواتب'!$L$3:$L$502,MATCH(44,'الرواتب'!$Z$3:$Z$502,0)),"")</f>
        <v/>
      </c>
      <c r="J50" s="63">
        <f>IFERROR(INDEX('الرواتب'!$S$3:$S$502,MATCH(44,'الرواتب'!$Z$3:$Z$502,0)),"")</f>
        <v/>
      </c>
      <c r="K50" s="63">
        <f>IFERROR(INDEX('الرواتب'!$N$3:$N$502,MATCH(44,'الرواتب'!$Z$3:$Z$502,0)),"")</f>
        <v/>
      </c>
      <c r="L50" s="63">
        <f>IFERROR(INDEX('الرواتب'!$O$3:$O$502,MATCH(44,'الرواتب'!$Z$3:$Z$502,0)),"")</f>
        <v/>
      </c>
      <c r="M50" s="63">
        <f>IFERROR(INDEX('الرواتب'!$P$3:$P$502,MATCH(44,'الرواتب'!$Z$3:$Z$502,0)),"")</f>
        <v/>
      </c>
      <c r="N50" s="63">
        <f>IFERROR(INDEX('الرواتب'!$Q$3:$Q$502,MATCH(44,'الرواتب'!$Z$3:$Z$502,0)),"")</f>
        <v/>
      </c>
      <c r="O50" s="63">
        <f>IFERROR(INDEX('الرواتب'!$R$3:$R$502,MATCH(44,'الرواتب'!$Z$3:$Z$502,0)),"")</f>
        <v/>
      </c>
      <c r="P50" s="63">
        <f>IFERROR(INDEX('الرواتب'!$T$3:$T$502,MATCH(44,'الرواتب'!$Z$3:$Z$502,0)),"")</f>
        <v/>
      </c>
      <c r="Q50" s="63">
        <f>IFERROR(INDEX('الرواتب'!$U$3:$U$502,MATCH(44,'الرواتب'!$Z$3:$Z$502,0)),"")</f>
        <v/>
      </c>
      <c r="R50" s="63">
        <f>IFERROR(INDEX('الرواتب'!$V$3:$V$502,MATCH(44,'الرواتب'!$Z$3:$Z$502,0)),"")</f>
        <v/>
      </c>
    </row>
    <row r="51">
      <c r="A51" s="43">
        <f>IFERROR(INDEX('الرواتب'!$C$3:$C$502,MATCH(45,'الرواتب'!$Z$3:$Z$502,0)),"")</f>
        <v/>
      </c>
      <c r="B51" s="43">
        <f>IFERROR(INDEX('الرواتب'!$D$3:$D$502,MATCH(45,'الرواتب'!$Z$3:$Z$502,0)),"")</f>
        <v/>
      </c>
      <c r="C51" s="43">
        <f>IFERROR(INDEX('الرواتب'!$E$3:$E$502,MATCH(45,'الرواتب'!$Z$3:$Z$502,0)),"")</f>
        <v/>
      </c>
      <c r="D51" s="60">
        <f>IFERROR(INDEX('الرواتب'!$G$3:$G$502,MATCH(45,'الرواتب'!$Z$3:$Z$502,0)),"")</f>
        <v/>
      </c>
      <c r="E51" s="60">
        <f>IFERROR(INDEX('الرواتب'!$H$3:$H$502,MATCH(45,'الرواتب'!$Z$3:$Z$502,0)),"")</f>
        <v/>
      </c>
      <c r="F51" s="60">
        <f>IFERROR(INDEX('الرواتب'!$I$3:$I$502,MATCH(45,'الرواتب'!$Z$3:$Z$502,0)),"")</f>
        <v/>
      </c>
      <c r="G51" s="60">
        <f>IFERROR(INDEX('الرواتب'!$J$3:$J$502,MATCH(45,'الرواتب'!$Z$3:$Z$502,0)),"")</f>
        <v/>
      </c>
      <c r="H51" s="60">
        <f>IFERROR(INDEX('الرواتب'!$K$3:$K$502,MATCH(45,'الرواتب'!$Z$3:$Z$502,0)),"")</f>
        <v/>
      </c>
      <c r="I51" s="60">
        <f>IFERROR(INDEX('الرواتب'!$L$3:$L$502,MATCH(45,'الرواتب'!$Z$3:$Z$502,0)),"")</f>
        <v/>
      </c>
      <c r="J51" s="60">
        <f>IFERROR(INDEX('الرواتب'!$S$3:$S$502,MATCH(45,'الرواتب'!$Z$3:$Z$502,0)),"")</f>
        <v/>
      </c>
      <c r="K51" s="60">
        <f>IFERROR(INDEX('الرواتب'!$N$3:$N$502,MATCH(45,'الرواتب'!$Z$3:$Z$502,0)),"")</f>
        <v/>
      </c>
      <c r="L51" s="60">
        <f>IFERROR(INDEX('الرواتب'!$O$3:$O$502,MATCH(45,'الرواتب'!$Z$3:$Z$502,0)),"")</f>
        <v/>
      </c>
      <c r="M51" s="60">
        <f>IFERROR(INDEX('الرواتب'!$P$3:$P$502,MATCH(45,'الرواتب'!$Z$3:$Z$502,0)),"")</f>
        <v/>
      </c>
      <c r="N51" s="60">
        <f>IFERROR(INDEX('الرواتب'!$Q$3:$Q$502,MATCH(45,'الرواتب'!$Z$3:$Z$502,0)),"")</f>
        <v/>
      </c>
      <c r="O51" s="60">
        <f>IFERROR(INDEX('الرواتب'!$R$3:$R$502,MATCH(45,'الرواتب'!$Z$3:$Z$502,0)),"")</f>
        <v/>
      </c>
      <c r="P51" s="60">
        <f>IFERROR(INDEX('الرواتب'!$T$3:$T$502,MATCH(45,'الرواتب'!$Z$3:$Z$502,0)),"")</f>
        <v/>
      </c>
      <c r="Q51" s="60">
        <f>IFERROR(INDEX('الرواتب'!$U$3:$U$502,MATCH(45,'الرواتب'!$Z$3:$Z$502,0)),"")</f>
        <v/>
      </c>
      <c r="R51" s="60">
        <f>IFERROR(INDEX('الرواتب'!$V$3:$V$502,MATCH(45,'الرواتب'!$Z$3:$Z$502,0)),"")</f>
        <v/>
      </c>
    </row>
    <row r="52">
      <c r="A52" s="50">
        <f>IFERROR(INDEX('الرواتب'!$C$3:$C$502,MATCH(46,'الرواتب'!$Z$3:$Z$502,0)),"")</f>
        <v/>
      </c>
      <c r="B52" s="50">
        <f>IFERROR(INDEX('الرواتب'!$D$3:$D$502,MATCH(46,'الرواتب'!$Z$3:$Z$502,0)),"")</f>
        <v/>
      </c>
      <c r="C52" s="50">
        <f>IFERROR(INDEX('الرواتب'!$E$3:$E$502,MATCH(46,'الرواتب'!$Z$3:$Z$502,0)),"")</f>
        <v/>
      </c>
      <c r="D52" s="63">
        <f>IFERROR(INDEX('الرواتب'!$G$3:$G$502,MATCH(46,'الرواتب'!$Z$3:$Z$502,0)),"")</f>
        <v/>
      </c>
      <c r="E52" s="63">
        <f>IFERROR(INDEX('الرواتب'!$H$3:$H$502,MATCH(46,'الرواتب'!$Z$3:$Z$502,0)),"")</f>
        <v/>
      </c>
      <c r="F52" s="63">
        <f>IFERROR(INDEX('الرواتب'!$I$3:$I$502,MATCH(46,'الرواتب'!$Z$3:$Z$502,0)),"")</f>
        <v/>
      </c>
      <c r="G52" s="63">
        <f>IFERROR(INDEX('الرواتب'!$J$3:$J$502,MATCH(46,'الرواتب'!$Z$3:$Z$502,0)),"")</f>
        <v/>
      </c>
      <c r="H52" s="63">
        <f>IFERROR(INDEX('الرواتب'!$K$3:$K$502,MATCH(46,'الرواتب'!$Z$3:$Z$502,0)),"")</f>
        <v/>
      </c>
      <c r="I52" s="63">
        <f>IFERROR(INDEX('الرواتب'!$L$3:$L$502,MATCH(46,'الرواتب'!$Z$3:$Z$502,0)),"")</f>
        <v/>
      </c>
      <c r="J52" s="63">
        <f>IFERROR(INDEX('الرواتب'!$S$3:$S$502,MATCH(46,'الرواتب'!$Z$3:$Z$502,0)),"")</f>
        <v/>
      </c>
      <c r="K52" s="63">
        <f>IFERROR(INDEX('الرواتب'!$N$3:$N$502,MATCH(46,'الرواتب'!$Z$3:$Z$502,0)),"")</f>
        <v/>
      </c>
      <c r="L52" s="63">
        <f>IFERROR(INDEX('الرواتب'!$O$3:$O$502,MATCH(46,'الرواتب'!$Z$3:$Z$502,0)),"")</f>
        <v/>
      </c>
      <c r="M52" s="63">
        <f>IFERROR(INDEX('الرواتب'!$P$3:$P$502,MATCH(46,'الرواتب'!$Z$3:$Z$502,0)),"")</f>
        <v/>
      </c>
      <c r="N52" s="63">
        <f>IFERROR(INDEX('الرواتب'!$Q$3:$Q$502,MATCH(46,'الرواتب'!$Z$3:$Z$502,0)),"")</f>
        <v/>
      </c>
      <c r="O52" s="63">
        <f>IFERROR(INDEX('الرواتب'!$R$3:$R$502,MATCH(46,'الرواتب'!$Z$3:$Z$502,0)),"")</f>
        <v/>
      </c>
      <c r="P52" s="63">
        <f>IFERROR(INDEX('الرواتب'!$T$3:$T$502,MATCH(46,'الرواتب'!$Z$3:$Z$502,0)),"")</f>
        <v/>
      </c>
      <c r="Q52" s="63">
        <f>IFERROR(INDEX('الرواتب'!$U$3:$U$502,MATCH(46,'الرواتب'!$Z$3:$Z$502,0)),"")</f>
        <v/>
      </c>
      <c r="R52" s="63">
        <f>IFERROR(INDEX('الرواتب'!$V$3:$V$502,MATCH(46,'الرواتب'!$Z$3:$Z$502,0)),"")</f>
        <v/>
      </c>
    </row>
    <row r="53">
      <c r="A53" s="43">
        <f>IFERROR(INDEX('الرواتب'!$C$3:$C$502,MATCH(47,'الرواتب'!$Z$3:$Z$502,0)),"")</f>
        <v/>
      </c>
      <c r="B53" s="43">
        <f>IFERROR(INDEX('الرواتب'!$D$3:$D$502,MATCH(47,'الرواتب'!$Z$3:$Z$502,0)),"")</f>
        <v/>
      </c>
      <c r="C53" s="43">
        <f>IFERROR(INDEX('الرواتب'!$E$3:$E$502,MATCH(47,'الرواتب'!$Z$3:$Z$502,0)),"")</f>
        <v/>
      </c>
      <c r="D53" s="60">
        <f>IFERROR(INDEX('الرواتب'!$G$3:$G$502,MATCH(47,'الرواتب'!$Z$3:$Z$502,0)),"")</f>
        <v/>
      </c>
      <c r="E53" s="60">
        <f>IFERROR(INDEX('الرواتب'!$H$3:$H$502,MATCH(47,'الرواتب'!$Z$3:$Z$502,0)),"")</f>
        <v/>
      </c>
      <c r="F53" s="60">
        <f>IFERROR(INDEX('الرواتب'!$I$3:$I$502,MATCH(47,'الرواتب'!$Z$3:$Z$502,0)),"")</f>
        <v/>
      </c>
      <c r="G53" s="60">
        <f>IFERROR(INDEX('الرواتب'!$J$3:$J$502,MATCH(47,'الرواتب'!$Z$3:$Z$502,0)),"")</f>
        <v/>
      </c>
      <c r="H53" s="60">
        <f>IFERROR(INDEX('الرواتب'!$K$3:$K$502,MATCH(47,'الرواتب'!$Z$3:$Z$502,0)),"")</f>
        <v/>
      </c>
      <c r="I53" s="60">
        <f>IFERROR(INDEX('الرواتب'!$L$3:$L$502,MATCH(47,'الرواتب'!$Z$3:$Z$502,0)),"")</f>
        <v/>
      </c>
      <c r="J53" s="60">
        <f>IFERROR(INDEX('الرواتب'!$S$3:$S$502,MATCH(47,'الرواتب'!$Z$3:$Z$502,0)),"")</f>
        <v/>
      </c>
      <c r="K53" s="60">
        <f>IFERROR(INDEX('الرواتب'!$N$3:$N$502,MATCH(47,'الرواتب'!$Z$3:$Z$502,0)),"")</f>
        <v/>
      </c>
      <c r="L53" s="60">
        <f>IFERROR(INDEX('الرواتب'!$O$3:$O$502,MATCH(47,'الرواتب'!$Z$3:$Z$502,0)),"")</f>
        <v/>
      </c>
      <c r="M53" s="60">
        <f>IFERROR(INDEX('الرواتب'!$P$3:$P$502,MATCH(47,'الرواتب'!$Z$3:$Z$502,0)),"")</f>
        <v/>
      </c>
      <c r="N53" s="60">
        <f>IFERROR(INDEX('الرواتب'!$Q$3:$Q$502,MATCH(47,'الرواتب'!$Z$3:$Z$502,0)),"")</f>
        <v/>
      </c>
      <c r="O53" s="60">
        <f>IFERROR(INDEX('الرواتب'!$R$3:$R$502,MATCH(47,'الرواتب'!$Z$3:$Z$502,0)),"")</f>
        <v/>
      </c>
      <c r="P53" s="60">
        <f>IFERROR(INDEX('الرواتب'!$T$3:$T$502,MATCH(47,'الرواتب'!$Z$3:$Z$502,0)),"")</f>
        <v/>
      </c>
      <c r="Q53" s="60">
        <f>IFERROR(INDEX('الرواتب'!$U$3:$U$502,MATCH(47,'الرواتب'!$Z$3:$Z$502,0)),"")</f>
        <v/>
      </c>
      <c r="R53" s="60">
        <f>IFERROR(INDEX('الرواتب'!$V$3:$V$502,MATCH(47,'الرواتب'!$Z$3:$Z$502,0)),"")</f>
        <v/>
      </c>
    </row>
    <row r="54">
      <c r="A54" s="50">
        <f>IFERROR(INDEX('الرواتب'!$C$3:$C$502,MATCH(48,'الرواتب'!$Z$3:$Z$502,0)),"")</f>
        <v/>
      </c>
      <c r="B54" s="50">
        <f>IFERROR(INDEX('الرواتب'!$D$3:$D$502,MATCH(48,'الرواتب'!$Z$3:$Z$502,0)),"")</f>
        <v/>
      </c>
      <c r="C54" s="50">
        <f>IFERROR(INDEX('الرواتب'!$E$3:$E$502,MATCH(48,'الرواتب'!$Z$3:$Z$502,0)),"")</f>
        <v/>
      </c>
      <c r="D54" s="63">
        <f>IFERROR(INDEX('الرواتب'!$G$3:$G$502,MATCH(48,'الرواتب'!$Z$3:$Z$502,0)),"")</f>
        <v/>
      </c>
      <c r="E54" s="63">
        <f>IFERROR(INDEX('الرواتب'!$H$3:$H$502,MATCH(48,'الرواتب'!$Z$3:$Z$502,0)),"")</f>
        <v/>
      </c>
      <c r="F54" s="63">
        <f>IFERROR(INDEX('الرواتب'!$I$3:$I$502,MATCH(48,'الرواتب'!$Z$3:$Z$502,0)),"")</f>
        <v/>
      </c>
      <c r="G54" s="63">
        <f>IFERROR(INDEX('الرواتب'!$J$3:$J$502,MATCH(48,'الرواتب'!$Z$3:$Z$502,0)),"")</f>
        <v/>
      </c>
      <c r="H54" s="63">
        <f>IFERROR(INDEX('الرواتب'!$K$3:$K$502,MATCH(48,'الرواتب'!$Z$3:$Z$502,0)),"")</f>
        <v/>
      </c>
      <c r="I54" s="63">
        <f>IFERROR(INDEX('الرواتب'!$L$3:$L$502,MATCH(48,'الرواتب'!$Z$3:$Z$502,0)),"")</f>
        <v/>
      </c>
      <c r="J54" s="63">
        <f>IFERROR(INDEX('الرواتب'!$S$3:$S$502,MATCH(48,'الرواتب'!$Z$3:$Z$502,0)),"")</f>
        <v/>
      </c>
      <c r="K54" s="63">
        <f>IFERROR(INDEX('الرواتب'!$N$3:$N$502,MATCH(48,'الرواتب'!$Z$3:$Z$502,0)),"")</f>
        <v/>
      </c>
      <c r="L54" s="63">
        <f>IFERROR(INDEX('الرواتب'!$O$3:$O$502,MATCH(48,'الرواتب'!$Z$3:$Z$502,0)),"")</f>
        <v/>
      </c>
      <c r="M54" s="63">
        <f>IFERROR(INDEX('الرواتب'!$P$3:$P$502,MATCH(48,'الرواتب'!$Z$3:$Z$502,0)),"")</f>
        <v/>
      </c>
      <c r="N54" s="63">
        <f>IFERROR(INDEX('الرواتب'!$Q$3:$Q$502,MATCH(48,'الرواتب'!$Z$3:$Z$502,0)),"")</f>
        <v/>
      </c>
      <c r="O54" s="63">
        <f>IFERROR(INDEX('الرواتب'!$R$3:$R$502,MATCH(48,'الرواتب'!$Z$3:$Z$502,0)),"")</f>
        <v/>
      </c>
      <c r="P54" s="63">
        <f>IFERROR(INDEX('الرواتب'!$T$3:$T$502,MATCH(48,'الرواتب'!$Z$3:$Z$502,0)),"")</f>
        <v/>
      </c>
      <c r="Q54" s="63">
        <f>IFERROR(INDEX('الرواتب'!$U$3:$U$502,MATCH(48,'الرواتب'!$Z$3:$Z$502,0)),"")</f>
        <v/>
      </c>
      <c r="R54" s="63">
        <f>IFERROR(INDEX('الرواتب'!$V$3:$V$502,MATCH(48,'الرواتب'!$Z$3:$Z$502,0)),"")</f>
        <v/>
      </c>
    </row>
    <row r="55">
      <c r="A55" s="43">
        <f>IFERROR(INDEX('الرواتب'!$C$3:$C$502,MATCH(49,'الرواتب'!$Z$3:$Z$502,0)),"")</f>
        <v/>
      </c>
      <c r="B55" s="43">
        <f>IFERROR(INDEX('الرواتب'!$D$3:$D$502,MATCH(49,'الرواتب'!$Z$3:$Z$502,0)),"")</f>
        <v/>
      </c>
      <c r="C55" s="43">
        <f>IFERROR(INDEX('الرواتب'!$E$3:$E$502,MATCH(49,'الرواتب'!$Z$3:$Z$502,0)),"")</f>
        <v/>
      </c>
      <c r="D55" s="60">
        <f>IFERROR(INDEX('الرواتب'!$G$3:$G$502,MATCH(49,'الرواتب'!$Z$3:$Z$502,0)),"")</f>
        <v/>
      </c>
      <c r="E55" s="60">
        <f>IFERROR(INDEX('الرواتب'!$H$3:$H$502,MATCH(49,'الرواتب'!$Z$3:$Z$502,0)),"")</f>
        <v/>
      </c>
      <c r="F55" s="60">
        <f>IFERROR(INDEX('الرواتب'!$I$3:$I$502,MATCH(49,'الرواتب'!$Z$3:$Z$502,0)),"")</f>
        <v/>
      </c>
      <c r="G55" s="60">
        <f>IFERROR(INDEX('الرواتب'!$J$3:$J$502,MATCH(49,'الرواتب'!$Z$3:$Z$502,0)),"")</f>
        <v/>
      </c>
      <c r="H55" s="60">
        <f>IFERROR(INDEX('الرواتب'!$K$3:$K$502,MATCH(49,'الرواتب'!$Z$3:$Z$502,0)),"")</f>
        <v/>
      </c>
      <c r="I55" s="60">
        <f>IFERROR(INDEX('الرواتب'!$L$3:$L$502,MATCH(49,'الرواتب'!$Z$3:$Z$502,0)),"")</f>
        <v/>
      </c>
      <c r="J55" s="60">
        <f>IFERROR(INDEX('الرواتب'!$S$3:$S$502,MATCH(49,'الرواتب'!$Z$3:$Z$502,0)),"")</f>
        <v/>
      </c>
      <c r="K55" s="60">
        <f>IFERROR(INDEX('الرواتب'!$N$3:$N$502,MATCH(49,'الرواتب'!$Z$3:$Z$502,0)),"")</f>
        <v/>
      </c>
      <c r="L55" s="60">
        <f>IFERROR(INDEX('الرواتب'!$O$3:$O$502,MATCH(49,'الرواتب'!$Z$3:$Z$502,0)),"")</f>
        <v/>
      </c>
      <c r="M55" s="60">
        <f>IFERROR(INDEX('الرواتب'!$P$3:$P$502,MATCH(49,'الرواتب'!$Z$3:$Z$502,0)),"")</f>
        <v/>
      </c>
      <c r="N55" s="60">
        <f>IFERROR(INDEX('الرواتب'!$Q$3:$Q$502,MATCH(49,'الرواتب'!$Z$3:$Z$502,0)),"")</f>
        <v/>
      </c>
      <c r="O55" s="60">
        <f>IFERROR(INDEX('الرواتب'!$R$3:$R$502,MATCH(49,'الرواتب'!$Z$3:$Z$502,0)),"")</f>
        <v/>
      </c>
      <c r="P55" s="60">
        <f>IFERROR(INDEX('الرواتب'!$T$3:$T$502,MATCH(49,'الرواتب'!$Z$3:$Z$502,0)),"")</f>
        <v/>
      </c>
      <c r="Q55" s="60">
        <f>IFERROR(INDEX('الرواتب'!$U$3:$U$502,MATCH(49,'الرواتب'!$Z$3:$Z$502,0)),"")</f>
        <v/>
      </c>
      <c r="R55" s="60">
        <f>IFERROR(INDEX('الرواتب'!$V$3:$V$502,MATCH(49,'الرواتب'!$Z$3:$Z$502,0)),"")</f>
        <v/>
      </c>
    </row>
    <row r="56">
      <c r="A56" s="50">
        <f>IFERROR(INDEX('الرواتب'!$C$3:$C$502,MATCH(50,'الرواتب'!$Z$3:$Z$502,0)),"")</f>
        <v/>
      </c>
      <c r="B56" s="50">
        <f>IFERROR(INDEX('الرواتب'!$D$3:$D$502,MATCH(50,'الرواتب'!$Z$3:$Z$502,0)),"")</f>
        <v/>
      </c>
      <c r="C56" s="50">
        <f>IFERROR(INDEX('الرواتب'!$E$3:$E$502,MATCH(50,'الرواتب'!$Z$3:$Z$502,0)),"")</f>
        <v/>
      </c>
      <c r="D56" s="63">
        <f>IFERROR(INDEX('الرواتب'!$G$3:$G$502,MATCH(50,'الرواتب'!$Z$3:$Z$502,0)),"")</f>
        <v/>
      </c>
      <c r="E56" s="63">
        <f>IFERROR(INDEX('الرواتب'!$H$3:$H$502,MATCH(50,'الرواتب'!$Z$3:$Z$502,0)),"")</f>
        <v/>
      </c>
      <c r="F56" s="63">
        <f>IFERROR(INDEX('الرواتب'!$I$3:$I$502,MATCH(50,'الرواتب'!$Z$3:$Z$502,0)),"")</f>
        <v/>
      </c>
      <c r="G56" s="63">
        <f>IFERROR(INDEX('الرواتب'!$J$3:$J$502,MATCH(50,'الرواتب'!$Z$3:$Z$502,0)),"")</f>
        <v/>
      </c>
      <c r="H56" s="63">
        <f>IFERROR(INDEX('الرواتب'!$K$3:$K$502,MATCH(50,'الرواتب'!$Z$3:$Z$502,0)),"")</f>
        <v/>
      </c>
      <c r="I56" s="63">
        <f>IFERROR(INDEX('الرواتب'!$L$3:$L$502,MATCH(50,'الرواتب'!$Z$3:$Z$502,0)),"")</f>
        <v/>
      </c>
      <c r="J56" s="63">
        <f>IFERROR(INDEX('الرواتب'!$S$3:$S$502,MATCH(50,'الرواتب'!$Z$3:$Z$502,0)),"")</f>
        <v/>
      </c>
      <c r="K56" s="63">
        <f>IFERROR(INDEX('الرواتب'!$N$3:$N$502,MATCH(50,'الرواتب'!$Z$3:$Z$502,0)),"")</f>
        <v/>
      </c>
      <c r="L56" s="63">
        <f>IFERROR(INDEX('الرواتب'!$O$3:$O$502,MATCH(50,'الرواتب'!$Z$3:$Z$502,0)),"")</f>
        <v/>
      </c>
      <c r="M56" s="63">
        <f>IFERROR(INDEX('الرواتب'!$P$3:$P$502,MATCH(50,'الرواتب'!$Z$3:$Z$502,0)),"")</f>
        <v/>
      </c>
      <c r="N56" s="63">
        <f>IFERROR(INDEX('الرواتب'!$Q$3:$Q$502,MATCH(50,'الرواتب'!$Z$3:$Z$502,0)),"")</f>
        <v/>
      </c>
      <c r="O56" s="63">
        <f>IFERROR(INDEX('الرواتب'!$R$3:$R$502,MATCH(50,'الرواتب'!$Z$3:$Z$502,0)),"")</f>
        <v/>
      </c>
      <c r="P56" s="63">
        <f>IFERROR(INDEX('الرواتب'!$T$3:$T$502,MATCH(50,'الرواتب'!$Z$3:$Z$502,0)),"")</f>
        <v/>
      </c>
      <c r="Q56" s="63">
        <f>IFERROR(INDEX('الرواتب'!$U$3:$U$502,MATCH(50,'الرواتب'!$Z$3:$Z$502,0)),"")</f>
        <v/>
      </c>
      <c r="R56" s="63">
        <f>IFERROR(INDEX('الرواتب'!$V$3:$V$502,MATCH(50,'الرواتب'!$Z$3:$Z$502,0)),"")</f>
        <v/>
      </c>
    </row>
    <row r="57">
      <c r="A57" s="43">
        <f>IFERROR(INDEX('الرواتب'!$C$3:$C$502,MATCH(51,'الرواتب'!$Z$3:$Z$502,0)),"")</f>
        <v/>
      </c>
      <c r="B57" s="43">
        <f>IFERROR(INDEX('الرواتب'!$D$3:$D$502,MATCH(51,'الرواتب'!$Z$3:$Z$502,0)),"")</f>
        <v/>
      </c>
      <c r="C57" s="43">
        <f>IFERROR(INDEX('الرواتب'!$E$3:$E$502,MATCH(51,'الرواتب'!$Z$3:$Z$502,0)),"")</f>
        <v/>
      </c>
      <c r="D57" s="60">
        <f>IFERROR(INDEX('الرواتب'!$G$3:$G$502,MATCH(51,'الرواتب'!$Z$3:$Z$502,0)),"")</f>
        <v/>
      </c>
      <c r="E57" s="60">
        <f>IFERROR(INDEX('الرواتب'!$H$3:$H$502,MATCH(51,'الرواتب'!$Z$3:$Z$502,0)),"")</f>
        <v/>
      </c>
      <c r="F57" s="60">
        <f>IFERROR(INDEX('الرواتب'!$I$3:$I$502,MATCH(51,'الرواتب'!$Z$3:$Z$502,0)),"")</f>
        <v/>
      </c>
      <c r="G57" s="60">
        <f>IFERROR(INDEX('الرواتب'!$J$3:$J$502,MATCH(51,'الرواتب'!$Z$3:$Z$502,0)),"")</f>
        <v/>
      </c>
      <c r="H57" s="60">
        <f>IFERROR(INDEX('الرواتب'!$K$3:$K$502,MATCH(51,'الرواتب'!$Z$3:$Z$502,0)),"")</f>
        <v/>
      </c>
      <c r="I57" s="60">
        <f>IFERROR(INDEX('الرواتب'!$L$3:$L$502,MATCH(51,'الرواتب'!$Z$3:$Z$502,0)),"")</f>
        <v/>
      </c>
      <c r="J57" s="60">
        <f>IFERROR(INDEX('الرواتب'!$S$3:$S$502,MATCH(51,'الرواتب'!$Z$3:$Z$502,0)),"")</f>
        <v/>
      </c>
      <c r="K57" s="60">
        <f>IFERROR(INDEX('الرواتب'!$N$3:$N$502,MATCH(51,'الرواتب'!$Z$3:$Z$502,0)),"")</f>
        <v/>
      </c>
      <c r="L57" s="60">
        <f>IFERROR(INDEX('الرواتب'!$O$3:$O$502,MATCH(51,'الرواتب'!$Z$3:$Z$502,0)),"")</f>
        <v/>
      </c>
      <c r="M57" s="60">
        <f>IFERROR(INDEX('الرواتب'!$P$3:$P$502,MATCH(51,'الرواتب'!$Z$3:$Z$502,0)),"")</f>
        <v/>
      </c>
      <c r="N57" s="60">
        <f>IFERROR(INDEX('الرواتب'!$Q$3:$Q$502,MATCH(51,'الرواتب'!$Z$3:$Z$502,0)),"")</f>
        <v/>
      </c>
      <c r="O57" s="60">
        <f>IFERROR(INDEX('الرواتب'!$R$3:$R$502,MATCH(51,'الرواتب'!$Z$3:$Z$502,0)),"")</f>
        <v/>
      </c>
      <c r="P57" s="60">
        <f>IFERROR(INDEX('الرواتب'!$T$3:$T$502,MATCH(51,'الرواتب'!$Z$3:$Z$502,0)),"")</f>
        <v/>
      </c>
      <c r="Q57" s="60">
        <f>IFERROR(INDEX('الرواتب'!$U$3:$U$502,MATCH(51,'الرواتب'!$Z$3:$Z$502,0)),"")</f>
        <v/>
      </c>
      <c r="R57" s="60">
        <f>IFERROR(INDEX('الرواتب'!$V$3:$V$502,MATCH(51,'الرواتب'!$Z$3:$Z$502,0)),"")</f>
        <v/>
      </c>
    </row>
    <row r="58">
      <c r="A58" s="50">
        <f>IFERROR(INDEX('الرواتب'!$C$3:$C$502,MATCH(52,'الرواتب'!$Z$3:$Z$502,0)),"")</f>
        <v/>
      </c>
      <c r="B58" s="50">
        <f>IFERROR(INDEX('الرواتب'!$D$3:$D$502,MATCH(52,'الرواتب'!$Z$3:$Z$502,0)),"")</f>
        <v/>
      </c>
      <c r="C58" s="50">
        <f>IFERROR(INDEX('الرواتب'!$E$3:$E$502,MATCH(52,'الرواتب'!$Z$3:$Z$502,0)),"")</f>
        <v/>
      </c>
      <c r="D58" s="63">
        <f>IFERROR(INDEX('الرواتب'!$G$3:$G$502,MATCH(52,'الرواتب'!$Z$3:$Z$502,0)),"")</f>
        <v/>
      </c>
      <c r="E58" s="63">
        <f>IFERROR(INDEX('الرواتب'!$H$3:$H$502,MATCH(52,'الرواتب'!$Z$3:$Z$502,0)),"")</f>
        <v/>
      </c>
      <c r="F58" s="63">
        <f>IFERROR(INDEX('الرواتب'!$I$3:$I$502,MATCH(52,'الرواتب'!$Z$3:$Z$502,0)),"")</f>
        <v/>
      </c>
      <c r="G58" s="63">
        <f>IFERROR(INDEX('الرواتب'!$J$3:$J$502,MATCH(52,'الرواتب'!$Z$3:$Z$502,0)),"")</f>
        <v/>
      </c>
      <c r="H58" s="63">
        <f>IFERROR(INDEX('الرواتب'!$K$3:$K$502,MATCH(52,'الرواتب'!$Z$3:$Z$502,0)),"")</f>
        <v/>
      </c>
      <c r="I58" s="63">
        <f>IFERROR(INDEX('الرواتب'!$L$3:$L$502,MATCH(52,'الرواتب'!$Z$3:$Z$502,0)),"")</f>
        <v/>
      </c>
      <c r="J58" s="63">
        <f>IFERROR(INDEX('الرواتب'!$S$3:$S$502,MATCH(52,'الرواتب'!$Z$3:$Z$502,0)),"")</f>
        <v/>
      </c>
      <c r="K58" s="63">
        <f>IFERROR(INDEX('الرواتب'!$N$3:$N$502,MATCH(52,'الرواتب'!$Z$3:$Z$502,0)),"")</f>
        <v/>
      </c>
      <c r="L58" s="63">
        <f>IFERROR(INDEX('الرواتب'!$O$3:$O$502,MATCH(52,'الرواتب'!$Z$3:$Z$502,0)),"")</f>
        <v/>
      </c>
      <c r="M58" s="63">
        <f>IFERROR(INDEX('الرواتب'!$P$3:$P$502,MATCH(52,'الرواتب'!$Z$3:$Z$502,0)),"")</f>
        <v/>
      </c>
      <c r="N58" s="63">
        <f>IFERROR(INDEX('الرواتب'!$Q$3:$Q$502,MATCH(52,'الرواتب'!$Z$3:$Z$502,0)),"")</f>
        <v/>
      </c>
      <c r="O58" s="63">
        <f>IFERROR(INDEX('الرواتب'!$R$3:$R$502,MATCH(52,'الرواتب'!$Z$3:$Z$502,0)),"")</f>
        <v/>
      </c>
      <c r="P58" s="63">
        <f>IFERROR(INDEX('الرواتب'!$T$3:$T$502,MATCH(52,'الرواتب'!$Z$3:$Z$502,0)),"")</f>
        <v/>
      </c>
      <c r="Q58" s="63">
        <f>IFERROR(INDEX('الرواتب'!$U$3:$U$502,MATCH(52,'الرواتب'!$Z$3:$Z$502,0)),"")</f>
        <v/>
      </c>
      <c r="R58" s="63">
        <f>IFERROR(INDEX('الرواتب'!$V$3:$V$502,MATCH(52,'الرواتب'!$Z$3:$Z$502,0)),"")</f>
        <v/>
      </c>
    </row>
    <row r="59">
      <c r="A59" s="43">
        <f>IFERROR(INDEX('الرواتب'!$C$3:$C$502,MATCH(53,'الرواتب'!$Z$3:$Z$502,0)),"")</f>
        <v/>
      </c>
      <c r="B59" s="43">
        <f>IFERROR(INDEX('الرواتب'!$D$3:$D$502,MATCH(53,'الرواتب'!$Z$3:$Z$502,0)),"")</f>
        <v/>
      </c>
      <c r="C59" s="43">
        <f>IFERROR(INDEX('الرواتب'!$E$3:$E$502,MATCH(53,'الرواتب'!$Z$3:$Z$502,0)),"")</f>
        <v/>
      </c>
      <c r="D59" s="60">
        <f>IFERROR(INDEX('الرواتب'!$G$3:$G$502,MATCH(53,'الرواتب'!$Z$3:$Z$502,0)),"")</f>
        <v/>
      </c>
      <c r="E59" s="60">
        <f>IFERROR(INDEX('الرواتب'!$H$3:$H$502,MATCH(53,'الرواتب'!$Z$3:$Z$502,0)),"")</f>
        <v/>
      </c>
      <c r="F59" s="60">
        <f>IFERROR(INDEX('الرواتب'!$I$3:$I$502,MATCH(53,'الرواتب'!$Z$3:$Z$502,0)),"")</f>
        <v/>
      </c>
      <c r="G59" s="60">
        <f>IFERROR(INDEX('الرواتب'!$J$3:$J$502,MATCH(53,'الرواتب'!$Z$3:$Z$502,0)),"")</f>
        <v/>
      </c>
      <c r="H59" s="60">
        <f>IFERROR(INDEX('الرواتب'!$K$3:$K$502,MATCH(53,'الرواتب'!$Z$3:$Z$502,0)),"")</f>
        <v/>
      </c>
      <c r="I59" s="60">
        <f>IFERROR(INDEX('الرواتب'!$L$3:$L$502,MATCH(53,'الرواتب'!$Z$3:$Z$502,0)),"")</f>
        <v/>
      </c>
      <c r="J59" s="60">
        <f>IFERROR(INDEX('الرواتب'!$S$3:$S$502,MATCH(53,'الرواتب'!$Z$3:$Z$502,0)),"")</f>
        <v/>
      </c>
      <c r="K59" s="60">
        <f>IFERROR(INDEX('الرواتب'!$N$3:$N$502,MATCH(53,'الرواتب'!$Z$3:$Z$502,0)),"")</f>
        <v/>
      </c>
      <c r="L59" s="60">
        <f>IFERROR(INDEX('الرواتب'!$O$3:$O$502,MATCH(53,'الرواتب'!$Z$3:$Z$502,0)),"")</f>
        <v/>
      </c>
      <c r="M59" s="60">
        <f>IFERROR(INDEX('الرواتب'!$P$3:$P$502,MATCH(53,'الرواتب'!$Z$3:$Z$502,0)),"")</f>
        <v/>
      </c>
      <c r="N59" s="60">
        <f>IFERROR(INDEX('الرواتب'!$Q$3:$Q$502,MATCH(53,'الرواتب'!$Z$3:$Z$502,0)),"")</f>
        <v/>
      </c>
      <c r="O59" s="60">
        <f>IFERROR(INDEX('الرواتب'!$R$3:$R$502,MATCH(53,'الرواتب'!$Z$3:$Z$502,0)),"")</f>
        <v/>
      </c>
      <c r="P59" s="60">
        <f>IFERROR(INDEX('الرواتب'!$T$3:$T$502,MATCH(53,'الرواتب'!$Z$3:$Z$502,0)),"")</f>
        <v/>
      </c>
      <c r="Q59" s="60">
        <f>IFERROR(INDEX('الرواتب'!$U$3:$U$502,MATCH(53,'الرواتب'!$Z$3:$Z$502,0)),"")</f>
        <v/>
      </c>
      <c r="R59" s="60">
        <f>IFERROR(INDEX('الرواتب'!$V$3:$V$502,MATCH(53,'الرواتب'!$Z$3:$Z$502,0)),"")</f>
        <v/>
      </c>
    </row>
    <row r="60">
      <c r="A60" s="50">
        <f>IFERROR(INDEX('الرواتب'!$C$3:$C$502,MATCH(54,'الرواتب'!$Z$3:$Z$502,0)),"")</f>
        <v/>
      </c>
      <c r="B60" s="50">
        <f>IFERROR(INDEX('الرواتب'!$D$3:$D$502,MATCH(54,'الرواتب'!$Z$3:$Z$502,0)),"")</f>
        <v/>
      </c>
      <c r="C60" s="50">
        <f>IFERROR(INDEX('الرواتب'!$E$3:$E$502,MATCH(54,'الرواتب'!$Z$3:$Z$502,0)),"")</f>
        <v/>
      </c>
      <c r="D60" s="63">
        <f>IFERROR(INDEX('الرواتب'!$G$3:$G$502,MATCH(54,'الرواتب'!$Z$3:$Z$502,0)),"")</f>
        <v/>
      </c>
      <c r="E60" s="63">
        <f>IFERROR(INDEX('الرواتب'!$H$3:$H$502,MATCH(54,'الرواتب'!$Z$3:$Z$502,0)),"")</f>
        <v/>
      </c>
      <c r="F60" s="63">
        <f>IFERROR(INDEX('الرواتب'!$I$3:$I$502,MATCH(54,'الرواتب'!$Z$3:$Z$502,0)),"")</f>
        <v/>
      </c>
      <c r="G60" s="63">
        <f>IFERROR(INDEX('الرواتب'!$J$3:$J$502,MATCH(54,'الرواتب'!$Z$3:$Z$502,0)),"")</f>
        <v/>
      </c>
      <c r="H60" s="63">
        <f>IFERROR(INDEX('الرواتب'!$K$3:$K$502,MATCH(54,'الرواتب'!$Z$3:$Z$502,0)),"")</f>
        <v/>
      </c>
      <c r="I60" s="63">
        <f>IFERROR(INDEX('الرواتب'!$L$3:$L$502,MATCH(54,'الرواتب'!$Z$3:$Z$502,0)),"")</f>
        <v/>
      </c>
      <c r="J60" s="63">
        <f>IFERROR(INDEX('الرواتب'!$S$3:$S$502,MATCH(54,'الرواتب'!$Z$3:$Z$502,0)),"")</f>
        <v/>
      </c>
      <c r="K60" s="63">
        <f>IFERROR(INDEX('الرواتب'!$N$3:$N$502,MATCH(54,'الرواتب'!$Z$3:$Z$502,0)),"")</f>
        <v/>
      </c>
      <c r="L60" s="63">
        <f>IFERROR(INDEX('الرواتب'!$O$3:$O$502,MATCH(54,'الرواتب'!$Z$3:$Z$502,0)),"")</f>
        <v/>
      </c>
      <c r="M60" s="63">
        <f>IFERROR(INDEX('الرواتب'!$P$3:$P$502,MATCH(54,'الرواتب'!$Z$3:$Z$502,0)),"")</f>
        <v/>
      </c>
      <c r="N60" s="63">
        <f>IFERROR(INDEX('الرواتب'!$Q$3:$Q$502,MATCH(54,'الرواتب'!$Z$3:$Z$502,0)),"")</f>
        <v/>
      </c>
      <c r="O60" s="63">
        <f>IFERROR(INDEX('الرواتب'!$R$3:$R$502,MATCH(54,'الرواتب'!$Z$3:$Z$502,0)),"")</f>
        <v/>
      </c>
      <c r="P60" s="63">
        <f>IFERROR(INDEX('الرواتب'!$T$3:$T$502,MATCH(54,'الرواتب'!$Z$3:$Z$502,0)),"")</f>
        <v/>
      </c>
      <c r="Q60" s="63">
        <f>IFERROR(INDEX('الرواتب'!$U$3:$U$502,MATCH(54,'الرواتب'!$Z$3:$Z$502,0)),"")</f>
        <v/>
      </c>
      <c r="R60" s="63">
        <f>IFERROR(INDEX('الرواتب'!$V$3:$V$502,MATCH(54,'الرواتب'!$Z$3:$Z$502,0)),"")</f>
        <v/>
      </c>
    </row>
    <row r="61">
      <c r="A61" s="43">
        <f>IFERROR(INDEX('الرواتب'!$C$3:$C$502,MATCH(55,'الرواتب'!$Z$3:$Z$502,0)),"")</f>
        <v/>
      </c>
      <c r="B61" s="43">
        <f>IFERROR(INDEX('الرواتب'!$D$3:$D$502,MATCH(55,'الرواتب'!$Z$3:$Z$502,0)),"")</f>
        <v/>
      </c>
      <c r="C61" s="43">
        <f>IFERROR(INDEX('الرواتب'!$E$3:$E$502,MATCH(55,'الرواتب'!$Z$3:$Z$502,0)),"")</f>
        <v/>
      </c>
      <c r="D61" s="60">
        <f>IFERROR(INDEX('الرواتب'!$G$3:$G$502,MATCH(55,'الرواتب'!$Z$3:$Z$502,0)),"")</f>
        <v/>
      </c>
      <c r="E61" s="60">
        <f>IFERROR(INDEX('الرواتب'!$H$3:$H$502,MATCH(55,'الرواتب'!$Z$3:$Z$502,0)),"")</f>
        <v/>
      </c>
      <c r="F61" s="60">
        <f>IFERROR(INDEX('الرواتب'!$I$3:$I$502,MATCH(55,'الرواتب'!$Z$3:$Z$502,0)),"")</f>
        <v/>
      </c>
      <c r="G61" s="60">
        <f>IFERROR(INDEX('الرواتب'!$J$3:$J$502,MATCH(55,'الرواتب'!$Z$3:$Z$502,0)),"")</f>
        <v/>
      </c>
      <c r="H61" s="60">
        <f>IFERROR(INDEX('الرواتب'!$K$3:$K$502,MATCH(55,'الرواتب'!$Z$3:$Z$502,0)),"")</f>
        <v/>
      </c>
      <c r="I61" s="60">
        <f>IFERROR(INDEX('الرواتب'!$L$3:$L$502,MATCH(55,'الرواتب'!$Z$3:$Z$502,0)),"")</f>
        <v/>
      </c>
      <c r="J61" s="60">
        <f>IFERROR(INDEX('الرواتب'!$S$3:$S$502,MATCH(55,'الرواتب'!$Z$3:$Z$502,0)),"")</f>
        <v/>
      </c>
      <c r="K61" s="60">
        <f>IFERROR(INDEX('الرواتب'!$N$3:$N$502,MATCH(55,'الرواتب'!$Z$3:$Z$502,0)),"")</f>
        <v/>
      </c>
      <c r="L61" s="60">
        <f>IFERROR(INDEX('الرواتب'!$O$3:$O$502,MATCH(55,'الرواتب'!$Z$3:$Z$502,0)),"")</f>
        <v/>
      </c>
      <c r="M61" s="60">
        <f>IFERROR(INDEX('الرواتب'!$P$3:$P$502,MATCH(55,'الرواتب'!$Z$3:$Z$502,0)),"")</f>
        <v/>
      </c>
      <c r="N61" s="60">
        <f>IFERROR(INDEX('الرواتب'!$Q$3:$Q$502,MATCH(55,'الرواتب'!$Z$3:$Z$502,0)),"")</f>
        <v/>
      </c>
      <c r="O61" s="60">
        <f>IFERROR(INDEX('الرواتب'!$R$3:$R$502,MATCH(55,'الرواتب'!$Z$3:$Z$502,0)),"")</f>
        <v/>
      </c>
      <c r="P61" s="60">
        <f>IFERROR(INDEX('الرواتب'!$T$3:$T$502,MATCH(55,'الرواتب'!$Z$3:$Z$502,0)),"")</f>
        <v/>
      </c>
      <c r="Q61" s="60">
        <f>IFERROR(INDEX('الرواتب'!$U$3:$U$502,MATCH(55,'الرواتب'!$Z$3:$Z$502,0)),"")</f>
        <v/>
      </c>
      <c r="R61" s="60">
        <f>IFERROR(INDEX('الرواتب'!$V$3:$V$502,MATCH(55,'الرواتب'!$Z$3:$Z$502,0)),"")</f>
        <v/>
      </c>
    </row>
    <row r="62">
      <c r="A62" s="50">
        <f>IFERROR(INDEX('الرواتب'!$C$3:$C$502,MATCH(56,'الرواتب'!$Z$3:$Z$502,0)),"")</f>
        <v/>
      </c>
      <c r="B62" s="50">
        <f>IFERROR(INDEX('الرواتب'!$D$3:$D$502,MATCH(56,'الرواتب'!$Z$3:$Z$502,0)),"")</f>
        <v/>
      </c>
      <c r="C62" s="50">
        <f>IFERROR(INDEX('الرواتب'!$E$3:$E$502,MATCH(56,'الرواتب'!$Z$3:$Z$502,0)),"")</f>
        <v/>
      </c>
      <c r="D62" s="63">
        <f>IFERROR(INDEX('الرواتب'!$G$3:$G$502,MATCH(56,'الرواتب'!$Z$3:$Z$502,0)),"")</f>
        <v/>
      </c>
      <c r="E62" s="63">
        <f>IFERROR(INDEX('الرواتب'!$H$3:$H$502,MATCH(56,'الرواتب'!$Z$3:$Z$502,0)),"")</f>
        <v/>
      </c>
      <c r="F62" s="63">
        <f>IFERROR(INDEX('الرواتب'!$I$3:$I$502,MATCH(56,'الرواتب'!$Z$3:$Z$502,0)),"")</f>
        <v/>
      </c>
      <c r="G62" s="63">
        <f>IFERROR(INDEX('الرواتب'!$J$3:$J$502,MATCH(56,'الرواتب'!$Z$3:$Z$502,0)),"")</f>
        <v/>
      </c>
      <c r="H62" s="63">
        <f>IFERROR(INDEX('الرواتب'!$K$3:$K$502,MATCH(56,'الرواتب'!$Z$3:$Z$502,0)),"")</f>
        <v/>
      </c>
      <c r="I62" s="63">
        <f>IFERROR(INDEX('الرواتب'!$L$3:$L$502,MATCH(56,'الرواتب'!$Z$3:$Z$502,0)),"")</f>
        <v/>
      </c>
      <c r="J62" s="63">
        <f>IFERROR(INDEX('الرواتب'!$S$3:$S$502,MATCH(56,'الرواتب'!$Z$3:$Z$502,0)),"")</f>
        <v/>
      </c>
      <c r="K62" s="63">
        <f>IFERROR(INDEX('الرواتب'!$N$3:$N$502,MATCH(56,'الرواتب'!$Z$3:$Z$502,0)),"")</f>
        <v/>
      </c>
      <c r="L62" s="63">
        <f>IFERROR(INDEX('الرواتب'!$O$3:$O$502,MATCH(56,'الرواتب'!$Z$3:$Z$502,0)),"")</f>
        <v/>
      </c>
      <c r="M62" s="63">
        <f>IFERROR(INDEX('الرواتب'!$P$3:$P$502,MATCH(56,'الرواتب'!$Z$3:$Z$502,0)),"")</f>
        <v/>
      </c>
      <c r="N62" s="63">
        <f>IFERROR(INDEX('الرواتب'!$Q$3:$Q$502,MATCH(56,'الرواتب'!$Z$3:$Z$502,0)),"")</f>
        <v/>
      </c>
      <c r="O62" s="63">
        <f>IFERROR(INDEX('الرواتب'!$R$3:$R$502,MATCH(56,'الرواتب'!$Z$3:$Z$502,0)),"")</f>
        <v/>
      </c>
      <c r="P62" s="63">
        <f>IFERROR(INDEX('الرواتب'!$T$3:$T$502,MATCH(56,'الرواتب'!$Z$3:$Z$502,0)),"")</f>
        <v/>
      </c>
      <c r="Q62" s="63">
        <f>IFERROR(INDEX('الرواتب'!$U$3:$U$502,MATCH(56,'الرواتب'!$Z$3:$Z$502,0)),"")</f>
        <v/>
      </c>
      <c r="R62" s="63">
        <f>IFERROR(INDEX('الرواتب'!$V$3:$V$502,MATCH(56,'الرواتب'!$Z$3:$Z$502,0)),"")</f>
        <v/>
      </c>
    </row>
    <row r="63">
      <c r="A63" s="43">
        <f>IFERROR(INDEX('الرواتب'!$C$3:$C$502,MATCH(57,'الرواتب'!$Z$3:$Z$502,0)),"")</f>
        <v/>
      </c>
      <c r="B63" s="43">
        <f>IFERROR(INDEX('الرواتب'!$D$3:$D$502,MATCH(57,'الرواتب'!$Z$3:$Z$502,0)),"")</f>
        <v/>
      </c>
      <c r="C63" s="43">
        <f>IFERROR(INDEX('الرواتب'!$E$3:$E$502,MATCH(57,'الرواتب'!$Z$3:$Z$502,0)),"")</f>
        <v/>
      </c>
      <c r="D63" s="60">
        <f>IFERROR(INDEX('الرواتب'!$G$3:$G$502,MATCH(57,'الرواتب'!$Z$3:$Z$502,0)),"")</f>
        <v/>
      </c>
      <c r="E63" s="60">
        <f>IFERROR(INDEX('الرواتب'!$H$3:$H$502,MATCH(57,'الرواتب'!$Z$3:$Z$502,0)),"")</f>
        <v/>
      </c>
      <c r="F63" s="60">
        <f>IFERROR(INDEX('الرواتب'!$I$3:$I$502,MATCH(57,'الرواتب'!$Z$3:$Z$502,0)),"")</f>
        <v/>
      </c>
      <c r="G63" s="60">
        <f>IFERROR(INDEX('الرواتب'!$J$3:$J$502,MATCH(57,'الرواتب'!$Z$3:$Z$502,0)),"")</f>
        <v/>
      </c>
      <c r="H63" s="60">
        <f>IFERROR(INDEX('الرواتب'!$K$3:$K$502,MATCH(57,'الرواتب'!$Z$3:$Z$502,0)),"")</f>
        <v/>
      </c>
      <c r="I63" s="60">
        <f>IFERROR(INDEX('الرواتب'!$L$3:$L$502,MATCH(57,'الرواتب'!$Z$3:$Z$502,0)),"")</f>
        <v/>
      </c>
      <c r="J63" s="60">
        <f>IFERROR(INDEX('الرواتب'!$S$3:$S$502,MATCH(57,'الرواتب'!$Z$3:$Z$502,0)),"")</f>
        <v/>
      </c>
      <c r="K63" s="60">
        <f>IFERROR(INDEX('الرواتب'!$N$3:$N$502,MATCH(57,'الرواتب'!$Z$3:$Z$502,0)),"")</f>
        <v/>
      </c>
      <c r="L63" s="60">
        <f>IFERROR(INDEX('الرواتب'!$O$3:$O$502,MATCH(57,'الرواتب'!$Z$3:$Z$502,0)),"")</f>
        <v/>
      </c>
      <c r="M63" s="60">
        <f>IFERROR(INDEX('الرواتب'!$P$3:$P$502,MATCH(57,'الرواتب'!$Z$3:$Z$502,0)),"")</f>
        <v/>
      </c>
      <c r="N63" s="60">
        <f>IFERROR(INDEX('الرواتب'!$Q$3:$Q$502,MATCH(57,'الرواتب'!$Z$3:$Z$502,0)),"")</f>
        <v/>
      </c>
      <c r="O63" s="60">
        <f>IFERROR(INDEX('الرواتب'!$R$3:$R$502,MATCH(57,'الرواتب'!$Z$3:$Z$502,0)),"")</f>
        <v/>
      </c>
      <c r="P63" s="60">
        <f>IFERROR(INDEX('الرواتب'!$T$3:$T$502,MATCH(57,'الرواتب'!$Z$3:$Z$502,0)),"")</f>
        <v/>
      </c>
      <c r="Q63" s="60">
        <f>IFERROR(INDEX('الرواتب'!$U$3:$U$502,MATCH(57,'الرواتب'!$Z$3:$Z$502,0)),"")</f>
        <v/>
      </c>
      <c r="R63" s="60">
        <f>IFERROR(INDEX('الرواتب'!$V$3:$V$502,MATCH(57,'الرواتب'!$Z$3:$Z$502,0)),"")</f>
        <v/>
      </c>
    </row>
    <row r="64">
      <c r="A64" s="50">
        <f>IFERROR(INDEX('الرواتب'!$C$3:$C$502,MATCH(58,'الرواتب'!$Z$3:$Z$502,0)),"")</f>
        <v/>
      </c>
      <c r="B64" s="50">
        <f>IFERROR(INDEX('الرواتب'!$D$3:$D$502,MATCH(58,'الرواتب'!$Z$3:$Z$502,0)),"")</f>
        <v/>
      </c>
      <c r="C64" s="50">
        <f>IFERROR(INDEX('الرواتب'!$E$3:$E$502,MATCH(58,'الرواتب'!$Z$3:$Z$502,0)),"")</f>
        <v/>
      </c>
      <c r="D64" s="63">
        <f>IFERROR(INDEX('الرواتب'!$G$3:$G$502,MATCH(58,'الرواتب'!$Z$3:$Z$502,0)),"")</f>
        <v/>
      </c>
      <c r="E64" s="63">
        <f>IFERROR(INDEX('الرواتب'!$H$3:$H$502,MATCH(58,'الرواتب'!$Z$3:$Z$502,0)),"")</f>
        <v/>
      </c>
      <c r="F64" s="63">
        <f>IFERROR(INDEX('الرواتب'!$I$3:$I$502,MATCH(58,'الرواتب'!$Z$3:$Z$502,0)),"")</f>
        <v/>
      </c>
      <c r="G64" s="63">
        <f>IFERROR(INDEX('الرواتب'!$J$3:$J$502,MATCH(58,'الرواتب'!$Z$3:$Z$502,0)),"")</f>
        <v/>
      </c>
      <c r="H64" s="63">
        <f>IFERROR(INDEX('الرواتب'!$K$3:$K$502,MATCH(58,'الرواتب'!$Z$3:$Z$502,0)),"")</f>
        <v/>
      </c>
      <c r="I64" s="63">
        <f>IFERROR(INDEX('الرواتب'!$L$3:$L$502,MATCH(58,'الرواتب'!$Z$3:$Z$502,0)),"")</f>
        <v/>
      </c>
      <c r="J64" s="63">
        <f>IFERROR(INDEX('الرواتب'!$S$3:$S$502,MATCH(58,'الرواتب'!$Z$3:$Z$502,0)),"")</f>
        <v/>
      </c>
      <c r="K64" s="63">
        <f>IFERROR(INDEX('الرواتب'!$N$3:$N$502,MATCH(58,'الرواتب'!$Z$3:$Z$502,0)),"")</f>
        <v/>
      </c>
      <c r="L64" s="63">
        <f>IFERROR(INDEX('الرواتب'!$O$3:$O$502,MATCH(58,'الرواتب'!$Z$3:$Z$502,0)),"")</f>
        <v/>
      </c>
      <c r="M64" s="63">
        <f>IFERROR(INDEX('الرواتب'!$P$3:$P$502,MATCH(58,'الرواتب'!$Z$3:$Z$502,0)),"")</f>
        <v/>
      </c>
      <c r="N64" s="63">
        <f>IFERROR(INDEX('الرواتب'!$Q$3:$Q$502,MATCH(58,'الرواتب'!$Z$3:$Z$502,0)),"")</f>
        <v/>
      </c>
      <c r="O64" s="63">
        <f>IFERROR(INDEX('الرواتب'!$R$3:$R$502,MATCH(58,'الرواتب'!$Z$3:$Z$502,0)),"")</f>
        <v/>
      </c>
      <c r="P64" s="63">
        <f>IFERROR(INDEX('الرواتب'!$T$3:$T$502,MATCH(58,'الرواتب'!$Z$3:$Z$502,0)),"")</f>
        <v/>
      </c>
      <c r="Q64" s="63">
        <f>IFERROR(INDEX('الرواتب'!$U$3:$U$502,MATCH(58,'الرواتب'!$Z$3:$Z$502,0)),"")</f>
        <v/>
      </c>
      <c r="R64" s="63">
        <f>IFERROR(INDEX('الرواتب'!$V$3:$V$502,MATCH(58,'الرواتب'!$Z$3:$Z$502,0)),"")</f>
        <v/>
      </c>
    </row>
    <row r="65">
      <c r="A65" s="43">
        <f>IFERROR(INDEX('الرواتب'!$C$3:$C$502,MATCH(59,'الرواتب'!$Z$3:$Z$502,0)),"")</f>
        <v/>
      </c>
      <c r="B65" s="43">
        <f>IFERROR(INDEX('الرواتب'!$D$3:$D$502,MATCH(59,'الرواتب'!$Z$3:$Z$502,0)),"")</f>
        <v/>
      </c>
      <c r="C65" s="43">
        <f>IFERROR(INDEX('الرواتب'!$E$3:$E$502,MATCH(59,'الرواتب'!$Z$3:$Z$502,0)),"")</f>
        <v/>
      </c>
      <c r="D65" s="60">
        <f>IFERROR(INDEX('الرواتب'!$G$3:$G$502,MATCH(59,'الرواتب'!$Z$3:$Z$502,0)),"")</f>
        <v/>
      </c>
      <c r="E65" s="60">
        <f>IFERROR(INDEX('الرواتب'!$H$3:$H$502,MATCH(59,'الرواتب'!$Z$3:$Z$502,0)),"")</f>
        <v/>
      </c>
      <c r="F65" s="60">
        <f>IFERROR(INDEX('الرواتب'!$I$3:$I$502,MATCH(59,'الرواتب'!$Z$3:$Z$502,0)),"")</f>
        <v/>
      </c>
      <c r="G65" s="60">
        <f>IFERROR(INDEX('الرواتب'!$J$3:$J$502,MATCH(59,'الرواتب'!$Z$3:$Z$502,0)),"")</f>
        <v/>
      </c>
      <c r="H65" s="60">
        <f>IFERROR(INDEX('الرواتب'!$K$3:$K$502,MATCH(59,'الرواتب'!$Z$3:$Z$502,0)),"")</f>
        <v/>
      </c>
      <c r="I65" s="60">
        <f>IFERROR(INDEX('الرواتب'!$L$3:$L$502,MATCH(59,'الرواتب'!$Z$3:$Z$502,0)),"")</f>
        <v/>
      </c>
      <c r="J65" s="60">
        <f>IFERROR(INDEX('الرواتب'!$S$3:$S$502,MATCH(59,'الرواتب'!$Z$3:$Z$502,0)),"")</f>
        <v/>
      </c>
      <c r="K65" s="60">
        <f>IFERROR(INDEX('الرواتب'!$N$3:$N$502,MATCH(59,'الرواتب'!$Z$3:$Z$502,0)),"")</f>
        <v/>
      </c>
      <c r="L65" s="60">
        <f>IFERROR(INDEX('الرواتب'!$O$3:$O$502,MATCH(59,'الرواتب'!$Z$3:$Z$502,0)),"")</f>
        <v/>
      </c>
      <c r="M65" s="60">
        <f>IFERROR(INDEX('الرواتب'!$P$3:$P$502,MATCH(59,'الرواتب'!$Z$3:$Z$502,0)),"")</f>
        <v/>
      </c>
      <c r="N65" s="60">
        <f>IFERROR(INDEX('الرواتب'!$Q$3:$Q$502,MATCH(59,'الرواتب'!$Z$3:$Z$502,0)),"")</f>
        <v/>
      </c>
      <c r="O65" s="60">
        <f>IFERROR(INDEX('الرواتب'!$R$3:$R$502,MATCH(59,'الرواتب'!$Z$3:$Z$502,0)),"")</f>
        <v/>
      </c>
      <c r="P65" s="60">
        <f>IFERROR(INDEX('الرواتب'!$T$3:$T$502,MATCH(59,'الرواتب'!$Z$3:$Z$502,0)),"")</f>
        <v/>
      </c>
      <c r="Q65" s="60">
        <f>IFERROR(INDEX('الرواتب'!$U$3:$U$502,MATCH(59,'الرواتب'!$Z$3:$Z$502,0)),"")</f>
        <v/>
      </c>
      <c r="R65" s="60">
        <f>IFERROR(INDEX('الرواتب'!$V$3:$V$502,MATCH(59,'الرواتب'!$Z$3:$Z$502,0)),"")</f>
        <v/>
      </c>
    </row>
    <row r="66">
      <c r="A66" s="50">
        <f>IFERROR(INDEX('الرواتب'!$C$3:$C$502,MATCH(60,'الرواتب'!$Z$3:$Z$502,0)),"")</f>
        <v/>
      </c>
      <c r="B66" s="50">
        <f>IFERROR(INDEX('الرواتب'!$D$3:$D$502,MATCH(60,'الرواتب'!$Z$3:$Z$502,0)),"")</f>
        <v/>
      </c>
      <c r="C66" s="50">
        <f>IFERROR(INDEX('الرواتب'!$E$3:$E$502,MATCH(60,'الرواتب'!$Z$3:$Z$502,0)),"")</f>
        <v/>
      </c>
      <c r="D66" s="63">
        <f>IFERROR(INDEX('الرواتب'!$G$3:$G$502,MATCH(60,'الرواتب'!$Z$3:$Z$502,0)),"")</f>
        <v/>
      </c>
      <c r="E66" s="63">
        <f>IFERROR(INDEX('الرواتب'!$H$3:$H$502,MATCH(60,'الرواتب'!$Z$3:$Z$502,0)),"")</f>
        <v/>
      </c>
      <c r="F66" s="63">
        <f>IFERROR(INDEX('الرواتب'!$I$3:$I$502,MATCH(60,'الرواتب'!$Z$3:$Z$502,0)),"")</f>
        <v/>
      </c>
      <c r="G66" s="63">
        <f>IFERROR(INDEX('الرواتب'!$J$3:$J$502,MATCH(60,'الرواتب'!$Z$3:$Z$502,0)),"")</f>
        <v/>
      </c>
      <c r="H66" s="63">
        <f>IFERROR(INDEX('الرواتب'!$K$3:$K$502,MATCH(60,'الرواتب'!$Z$3:$Z$502,0)),"")</f>
        <v/>
      </c>
      <c r="I66" s="63">
        <f>IFERROR(INDEX('الرواتب'!$L$3:$L$502,MATCH(60,'الرواتب'!$Z$3:$Z$502,0)),"")</f>
        <v/>
      </c>
      <c r="J66" s="63">
        <f>IFERROR(INDEX('الرواتب'!$S$3:$S$502,MATCH(60,'الرواتب'!$Z$3:$Z$502,0)),"")</f>
        <v/>
      </c>
      <c r="K66" s="63">
        <f>IFERROR(INDEX('الرواتب'!$N$3:$N$502,MATCH(60,'الرواتب'!$Z$3:$Z$502,0)),"")</f>
        <v/>
      </c>
      <c r="L66" s="63">
        <f>IFERROR(INDEX('الرواتب'!$O$3:$O$502,MATCH(60,'الرواتب'!$Z$3:$Z$502,0)),"")</f>
        <v/>
      </c>
      <c r="M66" s="63">
        <f>IFERROR(INDEX('الرواتب'!$P$3:$P$502,MATCH(60,'الرواتب'!$Z$3:$Z$502,0)),"")</f>
        <v/>
      </c>
      <c r="N66" s="63">
        <f>IFERROR(INDEX('الرواتب'!$Q$3:$Q$502,MATCH(60,'الرواتب'!$Z$3:$Z$502,0)),"")</f>
        <v/>
      </c>
      <c r="O66" s="63">
        <f>IFERROR(INDEX('الرواتب'!$R$3:$R$502,MATCH(60,'الرواتب'!$Z$3:$Z$502,0)),"")</f>
        <v/>
      </c>
      <c r="P66" s="63">
        <f>IFERROR(INDEX('الرواتب'!$T$3:$T$502,MATCH(60,'الرواتب'!$Z$3:$Z$502,0)),"")</f>
        <v/>
      </c>
      <c r="Q66" s="63">
        <f>IFERROR(INDEX('الرواتب'!$U$3:$U$502,MATCH(60,'الرواتب'!$Z$3:$Z$502,0)),"")</f>
        <v/>
      </c>
      <c r="R66" s="63">
        <f>IFERROR(INDEX('الرواتب'!$V$3:$V$502,MATCH(60,'الرواتب'!$Z$3:$Z$502,0)),"")</f>
        <v/>
      </c>
    </row>
    <row r="67">
      <c r="A67" s="43">
        <f>IFERROR(INDEX('الرواتب'!$C$3:$C$502,MATCH(61,'الرواتب'!$Z$3:$Z$502,0)),"")</f>
        <v/>
      </c>
      <c r="B67" s="43">
        <f>IFERROR(INDEX('الرواتب'!$D$3:$D$502,MATCH(61,'الرواتب'!$Z$3:$Z$502,0)),"")</f>
        <v/>
      </c>
      <c r="C67" s="43">
        <f>IFERROR(INDEX('الرواتب'!$E$3:$E$502,MATCH(61,'الرواتب'!$Z$3:$Z$502,0)),"")</f>
        <v/>
      </c>
      <c r="D67" s="60">
        <f>IFERROR(INDEX('الرواتب'!$G$3:$G$502,MATCH(61,'الرواتب'!$Z$3:$Z$502,0)),"")</f>
        <v/>
      </c>
      <c r="E67" s="60">
        <f>IFERROR(INDEX('الرواتب'!$H$3:$H$502,MATCH(61,'الرواتب'!$Z$3:$Z$502,0)),"")</f>
        <v/>
      </c>
      <c r="F67" s="60">
        <f>IFERROR(INDEX('الرواتب'!$I$3:$I$502,MATCH(61,'الرواتب'!$Z$3:$Z$502,0)),"")</f>
        <v/>
      </c>
      <c r="G67" s="60">
        <f>IFERROR(INDEX('الرواتب'!$J$3:$J$502,MATCH(61,'الرواتب'!$Z$3:$Z$502,0)),"")</f>
        <v/>
      </c>
      <c r="H67" s="60">
        <f>IFERROR(INDEX('الرواتب'!$K$3:$K$502,MATCH(61,'الرواتب'!$Z$3:$Z$502,0)),"")</f>
        <v/>
      </c>
      <c r="I67" s="60">
        <f>IFERROR(INDEX('الرواتب'!$L$3:$L$502,MATCH(61,'الرواتب'!$Z$3:$Z$502,0)),"")</f>
        <v/>
      </c>
      <c r="J67" s="60">
        <f>IFERROR(INDEX('الرواتب'!$S$3:$S$502,MATCH(61,'الرواتب'!$Z$3:$Z$502,0)),"")</f>
        <v/>
      </c>
      <c r="K67" s="60">
        <f>IFERROR(INDEX('الرواتب'!$N$3:$N$502,MATCH(61,'الرواتب'!$Z$3:$Z$502,0)),"")</f>
        <v/>
      </c>
      <c r="L67" s="60">
        <f>IFERROR(INDEX('الرواتب'!$O$3:$O$502,MATCH(61,'الرواتب'!$Z$3:$Z$502,0)),"")</f>
        <v/>
      </c>
      <c r="M67" s="60">
        <f>IFERROR(INDEX('الرواتب'!$P$3:$P$502,MATCH(61,'الرواتب'!$Z$3:$Z$502,0)),"")</f>
        <v/>
      </c>
      <c r="N67" s="60">
        <f>IFERROR(INDEX('الرواتب'!$Q$3:$Q$502,MATCH(61,'الرواتب'!$Z$3:$Z$502,0)),"")</f>
        <v/>
      </c>
      <c r="O67" s="60">
        <f>IFERROR(INDEX('الرواتب'!$R$3:$R$502,MATCH(61,'الرواتب'!$Z$3:$Z$502,0)),"")</f>
        <v/>
      </c>
      <c r="P67" s="60">
        <f>IFERROR(INDEX('الرواتب'!$T$3:$T$502,MATCH(61,'الرواتب'!$Z$3:$Z$502,0)),"")</f>
        <v/>
      </c>
      <c r="Q67" s="60">
        <f>IFERROR(INDEX('الرواتب'!$U$3:$U$502,MATCH(61,'الرواتب'!$Z$3:$Z$502,0)),"")</f>
        <v/>
      </c>
      <c r="R67" s="60">
        <f>IFERROR(INDEX('الرواتب'!$V$3:$V$502,MATCH(61,'الرواتب'!$Z$3:$Z$502,0)),"")</f>
        <v/>
      </c>
    </row>
    <row r="68">
      <c r="A68" s="50">
        <f>IFERROR(INDEX('الرواتب'!$C$3:$C$502,MATCH(62,'الرواتب'!$Z$3:$Z$502,0)),"")</f>
        <v/>
      </c>
      <c r="B68" s="50">
        <f>IFERROR(INDEX('الرواتب'!$D$3:$D$502,MATCH(62,'الرواتب'!$Z$3:$Z$502,0)),"")</f>
        <v/>
      </c>
      <c r="C68" s="50">
        <f>IFERROR(INDEX('الرواتب'!$E$3:$E$502,MATCH(62,'الرواتب'!$Z$3:$Z$502,0)),"")</f>
        <v/>
      </c>
      <c r="D68" s="63">
        <f>IFERROR(INDEX('الرواتب'!$G$3:$G$502,MATCH(62,'الرواتب'!$Z$3:$Z$502,0)),"")</f>
        <v/>
      </c>
      <c r="E68" s="63">
        <f>IFERROR(INDEX('الرواتب'!$H$3:$H$502,MATCH(62,'الرواتب'!$Z$3:$Z$502,0)),"")</f>
        <v/>
      </c>
      <c r="F68" s="63">
        <f>IFERROR(INDEX('الرواتب'!$I$3:$I$502,MATCH(62,'الرواتب'!$Z$3:$Z$502,0)),"")</f>
        <v/>
      </c>
      <c r="G68" s="63">
        <f>IFERROR(INDEX('الرواتب'!$J$3:$J$502,MATCH(62,'الرواتب'!$Z$3:$Z$502,0)),"")</f>
        <v/>
      </c>
      <c r="H68" s="63">
        <f>IFERROR(INDEX('الرواتب'!$K$3:$K$502,MATCH(62,'الرواتب'!$Z$3:$Z$502,0)),"")</f>
        <v/>
      </c>
      <c r="I68" s="63">
        <f>IFERROR(INDEX('الرواتب'!$L$3:$L$502,MATCH(62,'الرواتب'!$Z$3:$Z$502,0)),"")</f>
        <v/>
      </c>
      <c r="J68" s="63">
        <f>IFERROR(INDEX('الرواتب'!$S$3:$S$502,MATCH(62,'الرواتب'!$Z$3:$Z$502,0)),"")</f>
        <v/>
      </c>
      <c r="K68" s="63">
        <f>IFERROR(INDEX('الرواتب'!$N$3:$N$502,MATCH(62,'الرواتب'!$Z$3:$Z$502,0)),"")</f>
        <v/>
      </c>
      <c r="L68" s="63">
        <f>IFERROR(INDEX('الرواتب'!$O$3:$O$502,MATCH(62,'الرواتب'!$Z$3:$Z$502,0)),"")</f>
        <v/>
      </c>
      <c r="M68" s="63">
        <f>IFERROR(INDEX('الرواتب'!$P$3:$P$502,MATCH(62,'الرواتب'!$Z$3:$Z$502,0)),"")</f>
        <v/>
      </c>
      <c r="N68" s="63">
        <f>IFERROR(INDEX('الرواتب'!$Q$3:$Q$502,MATCH(62,'الرواتب'!$Z$3:$Z$502,0)),"")</f>
        <v/>
      </c>
      <c r="O68" s="63">
        <f>IFERROR(INDEX('الرواتب'!$R$3:$R$502,MATCH(62,'الرواتب'!$Z$3:$Z$502,0)),"")</f>
        <v/>
      </c>
      <c r="P68" s="63">
        <f>IFERROR(INDEX('الرواتب'!$T$3:$T$502,MATCH(62,'الرواتب'!$Z$3:$Z$502,0)),"")</f>
        <v/>
      </c>
      <c r="Q68" s="63">
        <f>IFERROR(INDEX('الرواتب'!$U$3:$U$502,MATCH(62,'الرواتب'!$Z$3:$Z$502,0)),"")</f>
        <v/>
      </c>
      <c r="R68" s="63">
        <f>IFERROR(INDEX('الرواتب'!$V$3:$V$502,MATCH(62,'الرواتب'!$Z$3:$Z$502,0)),"")</f>
        <v/>
      </c>
    </row>
    <row r="69">
      <c r="A69" s="43">
        <f>IFERROR(INDEX('الرواتب'!$C$3:$C$502,MATCH(63,'الرواتب'!$Z$3:$Z$502,0)),"")</f>
        <v/>
      </c>
      <c r="B69" s="43">
        <f>IFERROR(INDEX('الرواتب'!$D$3:$D$502,MATCH(63,'الرواتب'!$Z$3:$Z$502,0)),"")</f>
        <v/>
      </c>
      <c r="C69" s="43">
        <f>IFERROR(INDEX('الرواتب'!$E$3:$E$502,MATCH(63,'الرواتب'!$Z$3:$Z$502,0)),"")</f>
        <v/>
      </c>
      <c r="D69" s="60">
        <f>IFERROR(INDEX('الرواتب'!$G$3:$G$502,MATCH(63,'الرواتب'!$Z$3:$Z$502,0)),"")</f>
        <v/>
      </c>
      <c r="E69" s="60">
        <f>IFERROR(INDEX('الرواتب'!$H$3:$H$502,MATCH(63,'الرواتب'!$Z$3:$Z$502,0)),"")</f>
        <v/>
      </c>
      <c r="F69" s="60">
        <f>IFERROR(INDEX('الرواتب'!$I$3:$I$502,MATCH(63,'الرواتب'!$Z$3:$Z$502,0)),"")</f>
        <v/>
      </c>
      <c r="G69" s="60">
        <f>IFERROR(INDEX('الرواتب'!$J$3:$J$502,MATCH(63,'الرواتب'!$Z$3:$Z$502,0)),"")</f>
        <v/>
      </c>
      <c r="H69" s="60">
        <f>IFERROR(INDEX('الرواتب'!$K$3:$K$502,MATCH(63,'الرواتب'!$Z$3:$Z$502,0)),"")</f>
        <v/>
      </c>
      <c r="I69" s="60">
        <f>IFERROR(INDEX('الرواتب'!$L$3:$L$502,MATCH(63,'الرواتب'!$Z$3:$Z$502,0)),"")</f>
        <v/>
      </c>
      <c r="J69" s="60">
        <f>IFERROR(INDEX('الرواتب'!$S$3:$S$502,MATCH(63,'الرواتب'!$Z$3:$Z$502,0)),"")</f>
        <v/>
      </c>
      <c r="K69" s="60">
        <f>IFERROR(INDEX('الرواتب'!$N$3:$N$502,MATCH(63,'الرواتب'!$Z$3:$Z$502,0)),"")</f>
        <v/>
      </c>
      <c r="L69" s="60">
        <f>IFERROR(INDEX('الرواتب'!$O$3:$O$502,MATCH(63,'الرواتب'!$Z$3:$Z$502,0)),"")</f>
        <v/>
      </c>
      <c r="M69" s="60">
        <f>IFERROR(INDEX('الرواتب'!$P$3:$P$502,MATCH(63,'الرواتب'!$Z$3:$Z$502,0)),"")</f>
        <v/>
      </c>
      <c r="N69" s="60">
        <f>IFERROR(INDEX('الرواتب'!$Q$3:$Q$502,MATCH(63,'الرواتب'!$Z$3:$Z$502,0)),"")</f>
        <v/>
      </c>
      <c r="O69" s="60">
        <f>IFERROR(INDEX('الرواتب'!$R$3:$R$502,MATCH(63,'الرواتب'!$Z$3:$Z$502,0)),"")</f>
        <v/>
      </c>
      <c r="P69" s="60">
        <f>IFERROR(INDEX('الرواتب'!$T$3:$T$502,MATCH(63,'الرواتب'!$Z$3:$Z$502,0)),"")</f>
        <v/>
      </c>
      <c r="Q69" s="60">
        <f>IFERROR(INDEX('الرواتب'!$U$3:$U$502,MATCH(63,'الرواتب'!$Z$3:$Z$502,0)),"")</f>
        <v/>
      </c>
      <c r="R69" s="60">
        <f>IFERROR(INDEX('الرواتب'!$V$3:$V$502,MATCH(63,'الرواتب'!$Z$3:$Z$502,0)),"")</f>
        <v/>
      </c>
    </row>
    <row r="70">
      <c r="A70" s="50">
        <f>IFERROR(INDEX('الرواتب'!$C$3:$C$502,MATCH(64,'الرواتب'!$Z$3:$Z$502,0)),"")</f>
        <v/>
      </c>
      <c r="B70" s="50">
        <f>IFERROR(INDEX('الرواتب'!$D$3:$D$502,MATCH(64,'الرواتب'!$Z$3:$Z$502,0)),"")</f>
        <v/>
      </c>
      <c r="C70" s="50">
        <f>IFERROR(INDEX('الرواتب'!$E$3:$E$502,MATCH(64,'الرواتب'!$Z$3:$Z$502,0)),"")</f>
        <v/>
      </c>
      <c r="D70" s="63">
        <f>IFERROR(INDEX('الرواتب'!$G$3:$G$502,MATCH(64,'الرواتب'!$Z$3:$Z$502,0)),"")</f>
        <v/>
      </c>
      <c r="E70" s="63">
        <f>IFERROR(INDEX('الرواتب'!$H$3:$H$502,MATCH(64,'الرواتب'!$Z$3:$Z$502,0)),"")</f>
        <v/>
      </c>
      <c r="F70" s="63">
        <f>IFERROR(INDEX('الرواتب'!$I$3:$I$502,MATCH(64,'الرواتب'!$Z$3:$Z$502,0)),"")</f>
        <v/>
      </c>
      <c r="G70" s="63">
        <f>IFERROR(INDEX('الرواتب'!$J$3:$J$502,MATCH(64,'الرواتب'!$Z$3:$Z$502,0)),"")</f>
        <v/>
      </c>
      <c r="H70" s="63">
        <f>IFERROR(INDEX('الرواتب'!$K$3:$K$502,MATCH(64,'الرواتب'!$Z$3:$Z$502,0)),"")</f>
        <v/>
      </c>
      <c r="I70" s="63">
        <f>IFERROR(INDEX('الرواتب'!$L$3:$L$502,MATCH(64,'الرواتب'!$Z$3:$Z$502,0)),"")</f>
        <v/>
      </c>
      <c r="J70" s="63">
        <f>IFERROR(INDEX('الرواتب'!$S$3:$S$502,MATCH(64,'الرواتب'!$Z$3:$Z$502,0)),"")</f>
        <v/>
      </c>
      <c r="K70" s="63">
        <f>IFERROR(INDEX('الرواتب'!$N$3:$N$502,MATCH(64,'الرواتب'!$Z$3:$Z$502,0)),"")</f>
        <v/>
      </c>
      <c r="L70" s="63">
        <f>IFERROR(INDEX('الرواتب'!$O$3:$O$502,MATCH(64,'الرواتب'!$Z$3:$Z$502,0)),"")</f>
        <v/>
      </c>
      <c r="M70" s="63">
        <f>IFERROR(INDEX('الرواتب'!$P$3:$P$502,MATCH(64,'الرواتب'!$Z$3:$Z$502,0)),"")</f>
        <v/>
      </c>
      <c r="N70" s="63">
        <f>IFERROR(INDEX('الرواتب'!$Q$3:$Q$502,MATCH(64,'الرواتب'!$Z$3:$Z$502,0)),"")</f>
        <v/>
      </c>
      <c r="O70" s="63">
        <f>IFERROR(INDEX('الرواتب'!$R$3:$R$502,MATCH(64,'الرواتب'!$Z$3:$Z$502,0)),"")</f>
        <v/>
      </c>
      <c r="P70" s="63">
        <f>IFERROR(INDEX('الرواتب'!$T$3:$T$502,MATCH(64,'الرواتب'!$Z$3:$Z$502,0)),"")</f>
        <v/>
      </c>
      <c r="Q70" s="63">
        <f>IFERROR(INDEX('الرواتب'!$U$3:$U$502,MATCH(64,'الرواتب'!$Z$3:$Z$502,0)),"")</f>
        <v/>
      </c>
      <c r="R70" s="63">
        <f>IFERROR(INDEX('الرواتب'!$V$3:$V$502,MATCH(64,'الرواتب'!$Z$3:$Z$502,0)),"")</f>
        <v/>
      </c>
    </row>
    <row r="71">
      <c r="A71" s="43">
        <f>IFERROR(INDEX('الرواتب'!$C$3:$C$502,MATCH(65,'الرواتب'!$Z$3:$Z$502,0)),"")</f>
        <v/>
      </c>
      <c r="B71" s="43">
        <f>IFERROR(INDEX('الرواتب'!$D$3:$D$502,MATCH(65,'الرواتب'!$Z$3:$Z$502,0)),"")</f>
        <v/>
      </c>
      <c r="C71" s="43">
        <f>IFERROR(INDEX('الرواتب'!$E$3:$E$502,MATCH(65,'الرواتب'!$Z$3:$Z$502,0)),"")</f>
        <v/>
      </c>
      <c r="D71" s="60">
        <f>IFERROR(INDEX('الرواتب'!$G$3:$G$502,MATCH(65,'الرواتب'!$Z$3:$Z$502,0)),"")</f>
        <v/>
      </c>
      <c r="E71" s="60">
        <f>IFERROR(INDEX('الرواتب'!$H$3:$H$502,MATCH(65,'الرواتب'!$Z$3:$Z$502,0)),"")</f>
        <v/>
      </c>
      <c r="F71" s="60">
        <f>IFERROR(INDEX('الرواتب'!$I$3:$I$502,MATCH(65,'الرواتب'!$Z$3:$Z$502,0)),"")</f>
        <v/>
      </c>
      <c r="G71" s="60">
        <f>IFERROR(INDEX('الرواتب'!$J$3:$J$502,MATCH(65,'الرواتب'!$Z$3:$Z$502,0)),"")</f>
        <v/>
      </c>
      <c r="H71" s="60">
        <f>IFERROR(INDEX('الرواتب'!$K$3:$K$502,MATCH(65,'الرواتب'!$Z$3:$Z$502,0)),"")</f>
        <v/>
      </c>
      <c r="I71" s="60">
        <f>IFERROR(INDEX('الرواتب'!$L$3:$L$502,MATCH(65,'الرواتب'!$Z$3:$Z$502,0)),"")</f>
        <v/>
      </c>
      <c r="J71" s="60">
        <f>IFERROR(INDEX('الرواتب'!$S$3:$S$502,MATCH(65,'الرواتب'!$Z$3:$Z$502,0)),"")</f>
        <v/>
      </c>
      <c r="K71" s="60">
        <f>IFERROR(INDEX('الرواتب'!$N$3:$N$502,MATCH(65,'الرواتب'!$Z$3:$Z$502,0)),"")</f>
        <v/>
      </c>
      <c r="L71" s="60">
        <f>IFERROR(INDEX('الرواتب'!$O$3:$O$502,MATCH(65,'الرواتب'!$Z$3:$Z$502,0)),"")</f>
        <v/>
      </c>
      <c r="M71" s="60">
        <f>IFERROR(INDEX('الرواتب'!$P$3:$P$502,MATCH(65,'الرواتب'!$Z$3:$Z$502,0)),"")</f>
        <v/>
      </c>
      <c r="N71" s="60">
        <f>IFERROR(INDEX('الرواتب'!$Q$3:$Q$502,MATCH(65,'الرواتب'!$Z$3:$Z$502,0)),"")</f>
        <v/>
      </c>
      <c r="O71" s="60">
        <f>IFERROR(INDEX('الرواتب'!$R$3:$R$502,MATCH(65,'الرواتب'!$Z$3:$Z$502,0)),"")</f>
        <v/>
      </c>
      <c r="P71" s="60">
        <f>IFERROR(INDEX('الرواتب'!$T$3:$T$502,MATCH(65,'الرواتب'!$Z$3:$Z$502,0)),"")</f>
        <v/>
      </c>
      <c r="Q71" s="60">
        <f>IFERROR(INDEX('الرواتب'!$U$3:$U$502,MATCH(65,'الرواتب'!$Z$3:$Z$502,0)),"")</f>
        <v/>
      </c>
      <c r="R71" s="60">
        <f>IFERROR(INDEX('الرواتب'!$V$3:$V$502,MATCH(65,'الرواتب'!$Z$3:$Z$502,0)),"")</f>
        <v/>
      </c>
    </row>
    <row r="72">
      <c r="A72" s="50">
        <f>IFERROR(INDEX('الرواتب'!$C$3:$C$502,MATCH(66,'الرواتب'!$Z$3:$Z$502,0)),"")</f>
        <v/>
      </c>
      <c r="B72" s="50">
        <f>IFERROR(INDEX('الرواتب'!$D$3:$D$502,MATCH(66,'الرواتب'!$Z$3:$Z$502,0)),"")</f>
        <v/>
      </c>
      <c r="C72" s="50">
        <f>IFERROR(INDEX('الرواتب'!$E$3:$E$502,MATCH(66,'الرواتب'!$Z$3:$Z$502,0)),"")</f>
        <v/>
      </c>
      <c r="D72" s="63">
        <f>IFERROR(INDEX('الرواتب'!$G$3:$G$502,MATCH(66,'الرواتب'!$Z$3:$Z$502,0)),"")</f>
        <v/>
      </c>
      <c r="E72" s="63">
        <f>IFERROR(INDEX('الرواتب'!$H$3:$H$502,MATCH(66,'الرواتب'!$Z$3:$Z$502,0)),"")</f>
        <v/>
      </c>
      <c r="F72" s="63">
        <f>IFERROR(INDEX('الرواتب'!$I$3:$I$502,MATCH(66,'الرواتب'!$Z$3:$Z$502,0)),"")</f>
        <v/>
      </c>
      <c r="G72" s="63">
        <f>IFERROR(INDEX('الرواتب'!$J$3:$J$502,MATCH(66,'الرواتب'!$Z$3:$Z$502,0)),"")</f>
        <v/>
      </c>
      <c r="H72" s="63">
        <f>IFERROR(INDEX('الرواتب'!$K$3:$K$502,MATCH(66,'الرواتب'!$Z$3:$Z$502,0)),"")</f>
        <v/>
      </c>
      <c r="I72" s="63">
        <f>IFERROR(INDEX('الرواتب'!$L$3:$L$502,MATCH(66,'الرواتب'!$Z$3:$Z$502,0)),"")</f>
        <v/>
      </c>
      <c r="J72" s="63">
        <f>IFERROR(INDEX('الرواتب'!$S$3:$S$502,MATCH(66,'الرواتب'!$Z$3:$Z$502,0)),"")</f>
        <v/>
      </c>
      <c r="K72" s="63">
        <f>IFERROR(INDEX('الرواتب'!$N$3:$N$502,MATCH(66,'الرواتب'!$Z$3:$Z$502,0)),"")</f>
        <v/>
      </c>
      <c r="L72" s="63">
        <f>IFERROR(INDEX('الرواتب'!$O$3:$O$502,MATCH(66,'الرواتب'!$Z$3:$Z$502,0)),"")</f>
        <v/>
      </c>
      <c r="M72" s="63">
        <f>IFERROR(INDEX('الرواتب'!$P$3:$P$502,MATCH(66,'الرواتب'!$Z$3:$Z$502,0)),"")</f>
        <v/>
      </c>
      <c r="N72" s="63">
        <f>IFERROR(INDEX('الرواتب'!$Q$3:$Q$502,MATCH(66,'الرواتب'!$Z$3:$Z$502,0)),"")</f>
        <v/>
      </c>
      <c r="O72" s="63">
        <f>IFERROR(INDEX('الرواتب'!$R$3:$R$502,MATCH(66,'الرواتب'!$Z$3:$Z$502,0)),"")</f>
        <v/>
      </c>
      <c r="P72" s="63">
        <f>IFERROR(INDEX('الرواتب'!$T$3:$T$502,MATCH(66,'الرواتب'!$Z$3:$Z$502,0)),"")</f>
        <v/>
      </c>
      <c r="Q72" s="63">
        <f>IFERROR(INDEX('الرواتب'!$U$3:$U$502,MATCH(66,'الرواتب'!$Z$3:$Z$502,0)),"")</f>
        <v/>
      </c>
      <c r="R72" s="63">
        <f>IFERROR(INDEX('الرواتب'!$V$3:$V$502,MATCH(66,'الرواتب'!$Z$3:$Z$502,0)),"")</f>
        <v/>
      </c>
    </row>
    <row r="73">
      <c r="A73" s="43">
        <f>IFERROR(INDEX('الرواتب'!$C$3:$C$502,MATCH(67,'الرواتب'!$Z$3:$Z$502,0)),"")</f>
        <v/>
      </c>
      <c r="B73" s="43">
        <f>IFERROR(INDEX('الرواتب'!$D$3:$D$502,MATCH(67,'الرواتب'!$Z$3:$Z$502,0)),"")</f>
        <v/>
      </c>
      <c r="C73" s="43">
        <f>IFERROR(INDEX('الرواتب'!$E$3:$E$502,MATCH(67,'الرواتب'!$Z$3:$Z$502,0)),"")</f>
        <v/>
      </c>
      <c r="D73" s="60">
        <f>IFERROR(INDEX('الرواتب'!$G$3:$G$502,MATCH(67,'الرواتب'!$Z$3:$Z$502,0)),"")</f>
        <v/>
      </c>
      <c r="E73" s="60">
        <f>IFERROR(INDEX('الرواتب'!$H$3:$H$502,MATCH(67,'الرواتب'!$Z$3:$Z$502,0)),"")</f>
        <v/>
      </c>
      <c r="F73" s="60">
        <f>IFERROR(INDEX('الرواتب'!$I$3:$I$502,MATCH(67,'الرواتب'!$Z$3:$Z$502,0)),"")</f>
        <v/>
      </c>
      <c r="G73" s="60">
        <f>IFERROR(INDEX('الرواتب'!$J$3:$J$502,MATCH(67,'الرواتب'!$Z$3:$Z$502,0)),"")</f>
        <v/>
      </c>
      <c r="H73" s="60">
        <f>IFERROR(INDEX('الرواتب'!$K$3:$K$502,MATCH(67,'الرواتب'!$Z$3:$Z$502,0)),"")</f>
        <v/>
      </c>
      <c r="I73" s="60">
        <f>IFERROR(INDEX('الرواتب'!$L$3:$L$502,MATCH(67,'الرواتب'!$Z$3:$Z$502,0)),"")</f>
        <v/>
      </c>
      <c r="J73" s="60">
        <f>IFERROR(INDEX('الرواتب'!$S$3:$S$502,MATCH(67,'الرواتب'!$Z$3:$Z$502,0)),"")</f>
        <v/>
      </c>
      <c r="K73" s="60">
        <f>IFERROR(INDEX('الرواتب'!$N$3:$N$502,MATCH(67,'الرواتب'!$Z$3:$Z$502,0)),"")</f>
        <v/>
      </c>
      <c r="L73" s="60">
        <f>IFERROR(INDEX('الرواتب'!$O$3:$O$502,MATCH(67,'الرواتب'!$Z$3:$Z$502,0)),"")</f>
        <v/>
      </c>
      <c r="M73" s="60">
        <f>IFERROR(INDEX('الرواتب'!$P$3:$P$502,MATCH(67,'الرواتب'!$Z$3:$Z$502,0)),"")</f>
        <v/>
      </c>
      <c r="N73" s="60">
        <f>IFERROR(INDEX('الرواتب'!$Q$3:$Q$502,MATCH(67,'الرواتب'!$Z$3:$Z$502,0)),"")</f>
        <v/>
      </c>
      <c r="O73" s="60">
        <f>IFERROR(INDEX('الرواتب'!$R$3:$R$502,MATCH(67,'الرواتب'!$Z$3:$Z$502,0)),"")</f>
        <v/>
      </c>
      <c r="P73" s="60">
        <f>IFERROR(INDEX('الرواتب'!$T$3:$T$502,MATCH(67,'الرواتب'!$Z$3:$Z$502,0)),"")</f>
        <v/>
      </c>
      <c r="Q73" s="60">
        <f>IFERROR(INDEX('الرواتب'!$U$3:$U$502,MATCH(67,'الرواتب'!$Z$3:$Z$502,0)),"")</f>
        <v/>
      </c>
      <c r="R73" s="60">
        <f>IFERROR(INDEX('الرواتب'!$V$3:$V$502,MATCH(67,'الرواتب'!$Z$3:$Z$502,0)),"")</f>
        <v/>
      </c>
    </row>
    <row r="74">
      <c r="A74" s="50">
        <f>IFERROR(INDEX('الرواتب'!$C$3:$C$502,MATCH(68,'الرواتب'!$Z$3:$Z$502,0)),"")</f>
        <v/>
      </c>
      <c r="B74" s="50">
        <f>IFERROR(INDEX('الرواتب'!$D$3:$D$502,MATCH(68,'الرواتب'!$Z$3:$Z$502,0)),"")</f>
        <v/>
      </c>
      <c r="C74" s="50">
        <f>IFERROR(INDEX('الرواتب'!$E$3:$E$502,MATCH(68,'الرواتب'!$Z$3:$Z$502,0)),"")</f>
        <v/>
      </c>
      <c r="D74" s="63">
        <f>IFERROR(INDEX('الرواتب'!$G$3:$G$502,MATCH(68,'الرواتب'!$Z$3:$Z$502,0)),"")</f>
        <v/>
      </c>
      <c r="E74" s="63">
        <f>IFERROR(INDEX('الرواتب'!$H$3:$H$502,MATCH(68,'الرواتب'!$Z$3:$Z$502,0)),"")</f>
        <v/>
      </c>
      <c r="F74" s="63">
        <f>IFERROR(INDEX('الرواتب'!$I$3:$I$502,MATCH(68,'الرواتب'!$Z$3:$Z$502,0)),"")</f>
        <v/>
      </c>
      <c r="G74" s="63">
        <f>IFERROR(INDEX('الرواتب'!$J$3:$J$502,MATCH(68,'الرواتب'!$Z$3:$Z$502,0)),"")</f>
        <v/>
      </c>
      <c r="H74" s="63">
        <f>IFERROR(INDEX('الرواتب'!$K$3:$K$502,MATCH(68,'الرواتب'!$Z$3:$Z$502,0)),"")</f>
        <v/>
      </c>
      <c r="I74" s="63">
        <f>IFERROR(INDEX('الرواتب'!$L$3:$L$502,MATCH(68,'الرواتب'!$Z$3:$Z$502,0)),"")</f>
        <v/>
      </c>
      <c r="J74" s="63">
        <f>IFERROR(INDEX('الرواتب'!$S$3:$S$502,MATCH(68,'الرواتب'!$Z$3:$Z$502,0)),"")</f>
        <v/>
      </c>
      <c r="K74" s="63">
        <f>IFERROR(INDEX('الرواتب'!$N$3:$N$502,MATCH(68,'الرواتب'!$Z$3:$Z$502,0)),"")</f>
        <v/>
      </c>
      <c r="L74" s="63">
        <f>IFERROR(INDEX('الرواتب'!$O$3:$O$502,MATCH(68,'الرواتب'!$Z$3:$Z$502,0)),"")</f>
        <v/>
      </c>
      <c r="M74" s="63">
        <f>IFERROR(INDEX('الرواتب'!$P$3:$P$502,MATCH(68,'الرواتب'!$Z$3:$Z$502,0)),"")</f>
        <v/>
      </c>
      <c r="N74" s="63">
        <f>IFERROR(INDEX('الرواتب'!$Q$3:$Q$502,MATCH(68,'الرواتب'!$Z$3:$Z$502,0)),"")</f>
        <v/>
      </c>
      <c r="O74" s="63">
        <f>IFERROR(INDEX('الرواتب'!$R$3:$R$502,MATCH(68,'الرواتب'!$Z$3:$Z$502,0)),"")</f>
        <v/>
      </c>
      <c r="P74" s="63">
        <f>IFERROR(INDEX('الرواتب'!$T$3:$T$502,MATCH(68,'الرواتب'!$Z$3:$Z$502,0)),"")</f>
        <v/>
      </c>
      <c r="Q74" s="63">
        <f>IFERROR(INDEX('الرواتب'!$U$3:$U$502,MATCH(68,'الرواتب'!$Z$3:$Z$502,0)),"")</f>
        <v/>
      </c>
      <c r="R74" s="63">
        <f>IFERROR(INDEX('الرواتب'!$V$3:$V$502,MATCH(68,'الرواتب'!$Z$3:$Z$502,0)),"")</f>
        <v/>
      </c>
    </row>
    <row r="75">
      <c r="A75" s="43">
        <f>IFERROR(INDEX('الرواتب'!$C$3:$C$502,MATCH(69,'الرواتب'!$Z$3:$Z$502,0)),"")</f>
        <v/>
      </c>
      <c r="B75" s="43">
        <f>IFERROR(INDEX('الرواتب'!$D$3:$D$502,MATCH(69,'الرواتب'!$Z$3:$Z$502,0)),"")</f>
        <v/>
      </c>
      <c r="C75" s="43">
        <f>IFERROR(INDEX('الرواتب'!$E$3:$E$502,MATCH(69,'الرواتب'!$Z$3:$Z$502,0)),"")</f>
        <v/>
      </c>
      <c r="D75" s="60">
        <f>IFERROR(INDEX('الرواتب'!$G$3:$G$502,MATCH(69,'الرواتب'!$Z$3:$Z$502,0)),"")</f>
        <v/>
      </c>
      <c r="E75" s="60">
        <f>IFERROR(INDEX('الرواتب'!$H$3:$H$502,MATCH(69,'الرواتب'!$Z$3:$Z$502,0)),"")</f>
        <v/>
      </c>
      <c r="F75" s="60">
        <f>IFERROR(INDEX('الرواتب'!$I$3:$I$502,MATCH(69,'الرواتب'!$Z$3:$Z$502,0)),"")</f>
        <v/>
      </c>
      <c r="G75" s="60">
        <f>IFERROR(INDEX('الرواتب'!$J$3:$J$502,MATCH(69,'الرواتب'!$Z$3:$Z$502,0)),"")</f>
        <v/>
      </c>
      <c r="H75" s="60">
        <f>IFERROR(INDEX('الرواتب'!$K$3:$K$502,MATCH(69,'الرواتب'!$Z$3:$Z$502,0)),"")</f>
        <v/>
      </c>
      <c r="I75" s="60">
        <f>IFERROR(INDEX('الرواتب'!$L$3:$L$502,MATCH(69,'الرواتب'!$Z$3:$Z$502,0)),"")</f>
        <v/>
      </c>
      <c r="J75" s="60">
        <f>IFERROR(INDEX('الرواتب'!$S$3:$S$502,MATCH(69,'الرواتب'!$Z$3:$Z$502,0)),"")</f>
        <v/>
      </c>
      <c r="K75" s="60">
        <f>IFERROR(INDEX('الرواتب'!$N$3:$N$502,MATCH(69,'الرواتب'!$Z$3:$Z$502,0)),"")</f>
        <v/>
      </c>
      <c r="L75" s="60">
        <f>IFERROR(INDEX('الرواتب'!$O$3:$O$502,MATCH(69,'الرواتب'!$Z$3:$Z$502,0)),"")</f>
        <v/>
      </c>
      <c r="M75" s="60">
        <f>IFERROR(INDEX('الرواتب'!$P$3:$P$502,MATCH(69,'الرواتب'!$Z$3:$Z$502,0)),"")</f>
        <v/>
      </c>
      <c r="N75" s="60">
        <f>IFERROR(INDEX('الرواتب'!$Q$3:$Q$502,MATCH(69,'الرواتب'!$Z$3:$Z$502,0)),"")</f>
        <v/>
      </c>
      <c r="O75" s="60">
        <f>IFERROR(INDEX('الرواتب'!$R$3:$R$502,MATCH(69,'الرواتب'!$Z$3:$Z$502,0)),"")</f>
        <v/>
      </c>
      <c r="P75" s="60">
        <f>IFERROR(INDEX('الرواتب'!$T$3:$T$502,MATCH(69,'الرواتب'!$Z$3:$Z$502,0)),"")</f>
        <v/>
      </c>
      <c r="Q75" s="60">
        <f>IFERROR(INDEX('الرواتب'!$U$3:$U$502,MATCH(69,'الرواتب'!$Z$3:$Z$502,0)),"")</f>
        <v/>
      </c>
      <c r="R75" s="60">
        <f>IFERROR(INDEX('الرواتب'!$V$3:$V$502,MATCH(69,'الرواتب'!$Z$3:$Z$502,0)),"")</f>
        <v/>
      </c>
    </row>
    <row r="76">
      <c r="A76" s="50">
        <f>IFERROR(INDEX('الرواتب'!$C$3:$C$502,MATCH(70,'الرواتب'!$Z$3:$Z$502,0)),"")</f>
        <v/>
      </c>
      <c r="B76" s="50">
        <f>IFERROR(INDEX('الرواتب'!$D$3:$D$502,MATCH(70,'الرواتب'!$Z$3:$Z$502,0)),"")</f>
        <v/>
      </c>
      <c r="C76" s="50">
        <f>IFERROR(INDEX('الرواتب'!$E$3:$E$502,MATCH(70,'الرواتب'!$Z$3:$Z$502,0)),"")</f>
        <v/>
      </c>
      <c r="D76" s="63">
        <f>IFERROR(INDEX('الرواتب'!$G$3:$G$502,MATCH(70,'الرواتب'!$Z$3:$Z$502,0)),"")</f>
        <v/>
      </c>
      <c r="E76" s="63">
        <f>IFERROR(INDEX('الرواتب'!$H$3:$H$502,MATCH(70,'الرواتب'!$Z$3:$Z$502,0)),"")</f>
        <v/>
      </c>
      <c r="F76" s="63">
        <f>IFERROR(INDEX('الرواتب'!$I$3:$I$502,MATCH(70,'الرواتب'!$Z$3:$Z$502,0)),"")</f>
        <v/>
      </c>
      <c r="G76" s="63">
        <f>IFERROR(INDEX('الرواتب'!$J$3:$J$502,MATCH(70,'الرواتب'!$Z$3:$Z$502,0)),"")</f>
        <v/>
      </c>
      <c r="H76" s="63">
        <f>IFERROR(INDEX('الرواتب'!$K$3:$K$502,MATCH(70,'الرواتب'!$Z$3:$Z$502,0)),"")</f>
        <v/>
      </c>
      <c r="I76" s="63">
        <f>IFERROR(INDEX('الرواتب'!$L$3:$L$502,MATCH(70,'الرواتب'!$Z$3:$Z$502,0)),"")</f>
        <v/>
      </c>
      <c r="J76" s="63">
        <f>IFERROR(INDEX('الرواتب'!$S$3:$S$502,MATCH(70,'الرواتب'!$Z$3:$Z$502,0)),"")</f>
        <v/>
      </c>
      <c r="K76" s="63">
        <f>IFERROR(INDEX('الرواتب'!$N$3:$N$502,MATCH(70,'الرواتب'!$Z$3:$Z$502,0)),"")</f>
        <v/>
      </c>
      <c r="L76" s="63">
        <f>IFERROR(INDEX('الرواتب'!$O$3:$O$502,MATCH(70,'الرواتب'!$Z$3:$Z$502,0)),"")</f>
        <v/>
      </c>
      <c r="M76" s="63">
        <f>IFERROR(INDEX('الرواتب'!$P$3:$P$502,MATCH(70,'الرواتب'!$Z$3:$Z$502,0)),"")</f>
        <v/>
      </c>
      <c r="N76" s="63">
        <f>IFERROR(INDEX('الرواتب'!$Q$3:$Q$502,MATCH(70,'الرواتب'!$Z$3:$Z$502,0)),"")</f>
        <v/>
      </c>
      <c r="O76" s="63">
        <f>IFERROR(INDEX('الرواتب'!$R$3:$R$502,MATCH(70,'الرواتب'!$Z$3:$Z$502,0)),"")</f>
        <v/>
      </c>
      <c r="P76" s="63">
        <f>IFERROR(INDEX('الرواتب'!$T$3:$T$502,MATCH(70,'الرواتب'!$Z$3:$Z$502,0)),"")</f>
        <v/>
      </c>
      <c r="Q76" s="63">
        <f>IFERROR(INDEX('الرواتب'!$U$3:$U$502,MATCH(70,'الرواتب'!$Z$3:$Z$502,0)),"")</f>
        <v/>
      </c>
      <c r="R76" s="63">
        <f>IFERROR(INDEX('الرواتب'!$V$3:$V$502,MATCH(70,'الرواتب'!$Z$3:$Z$502,0)),"")</f>
        <v/>
      </c>
    </row>
    <row r="77">
      <c r="A77" s="43">
        <f>IFERROR(INDEX('الرواتب'!$C$3:$C$502,MATCH(71,'الرواتب'!$Z$3:$Z$502,0)),"")</f>
        <v/>
      </c>
      <c r="B77" s="43">
        <f>IFERROR(INDEX('الرواتب'!$D$3:$D$502,MATCH(71,'الرواتب'!$Z$3:$Z$502,0)),"")</f>
        <v/>
      </c>
      <c r="C77" s="43">
        <f>IFERROR(INDEX('الرواتب'!$E$3:$E$502,MATCH(71,'الرواتب'!$Z$3:$Z$502,0)),"")</f>
        <v/>
      </c>
      <c r="D77" s="60">
        <f>IFERROR(INDEX('الرواتب'!$G$3:$G$502,MATCH(71,'الرواتب'!$Z$3:$Z$502,0)),"")</f>
        <v/>
      </c>
      <c r="E77" s="60">
        <f>IFERROR(INDEX('الرواتب'!$H$3:$H$502,MATCH(71,'الرواتب'!$Z$3:$Z$502,0)),"")</f>
        <v/>
      </c>
      <c r="F77" s="60">
        <f>IFERROR(INDEX('الرواتب'!$I$3:$I$502,MATCH(71,'الرواتب'!$Z$3:$Z$502,0)),"")</f>
        <v/>
      </c>
      <c r="G77" s="60">
        <f>IFERROR(INDEX('الرواتب'!$J$3:$J$502,MATCH(71,'الرواتب'!$Z$3:$Z$502,0)),"")</f>
        <v/>
      </c>
      <c r="H77" s="60">
        <f>IFERROR(INDEX('الرواتب'!$K$3:$K$502,MATCH(71,'الرواتب'!$Z$3:$Z$502,0)),"")</f>
        <v/>
      </c>
      <c r="I77" s="60">
        <f>IFERROR(INDEX('الرواتب'!$L$3:$L$502,MATCH(71,'الرواتب'!$Z$3:$Z$502,0)),"")</f>
        <v/>
      </c>
      <c r="J77" s="60">
        <f>IFERROR(INDEX('الرواتب'!$S$3:$S$502,MATCH(71,'الرواتب'!$Z$3:$Z$502,0)),"")</f>
        <v/>
      </c>
      <c r="K77" s="60">
        <f>IFERROR(INDEX('الرواتب'!$N$3:$N$502,MATCH(71,'الرواتب'!$Z$3:$Z$502,0)),"")</f>
        <v/>
      </c>
      <c r="L77" s="60">
        <f>IFERROR(INDEX('الرواتب'!$O$3:$O$502,MATCH(71,'الرواتب'!$Z$3:$Z$502,0)),"")</f>
        <v/>
      </c>
      <c r="M77" s="60">
        <f>IFERROR(INDEX('الرواتب'!$P$3:$P$502,MATCH(71,'الرواتب'!$Z$3:$Z$502,0)),"")</f>
        <v/>
      </c>
      <c r="N77" s="60">
        <f>IFERROR(INDEX('الرواتب'!$Q$3:$Q$502,MATCH(71,'الرواتب'!$Z$3:$Z$502,0)),"")</f>
        <v/>
      </c>
      <c r="O77" s="60">
        <f>IFERROR(INDEX('الرواتب'!$R$3:$R$502,MATCH(71,'الرواتب'!$Z$3:$Z$502,0)),"")</f>
        <v/>
      </c>
      <c r="P77" s="60">
        <f>IFERROR(INDEX('الرواتب'!$T$3:$T$502,MATCH(71,'الرواتب'!$Z$3:$Z$502,0)),"")</f>
        <v/>
      </c>
      <c r="Q77" s="60">
        <f>IFERROR(INDEX('الرواتب'!$U$3:$U$502,MATCH(71,'الرواتب'!$Z$3:$Z$502,0)),"")</f>
        <v/>
      </c>
      <c r="R77" s="60">
        <f>IFERROR(INDEX('الرواتب'!$V$3:$V$502,MATCH(71,'الرواتب'!$Z$3:$Z$502,0)),"")</f>
        <v/>
      </c>
    </row>
    <row r="78">
      <c r="A78" s="50">
        <f>IFERROR(INDEX('الرواتب'!$C$3:$C$502,MATCH(72,'الرواتب'!$Z$3:$Z$502,0)),"")</f>
        <v/>
      </c>
      <c r="B78" s="50">
        <f>IFERROR(INDEX('الرواتب'!$D$3:$D$502,MATCH(72,'الرواتب'!$Z$3:$Z$502,0)),"")</f>
        <v/>
      </c>
      <c r="C78" s="50">
        <f>IFERROR(INDEX('الرواتب'!$E$3:$E$502,MATCH(72,'الرواتب'!$Z$3:$Z$502,0)),"")</f>
        <v/>
      </c>
      <c r="D78" s="63">
        <f>IFERROR(INDEX('الرواتب'!$G$3:$G$502,MATCH(72,'الرواتب'!$Z$3:$Z$502,0)),"")</f>
        <v/>
      </c>
      <c r="E78" s="63">
        <f>IFERROR(INDEX('الرواتب'!$H$3:$H$502,MATCH(72,'الرواتب'!$Z$3:$Z$502,0)),"")</f>
        <v/>
      </c>
      <c r="F78" s="63">
        <f>IFERROR(INDEX('الرواتب'!$I$3:$I$502,MATCH(72,'الرواتب'!$Z$3:$Z$502,0)),"")</f>
        <v/>
      </c>
      <c r="G78" s="63">
        <f>IFERROR(INDEX('الرواتب'!$J$3:$J$502,MATCH(72,'الرواتب'!$Z$3:$Z$502,0)),"")</f>
        <v/>
      </c>
      <c r="H78" s="63">
        <f>IFERROR(INDEX('الرواتب'!$K$3:$K$502,MATCH(72,'الرواتب'!$Z$3:$Z$502,0)),"")</f>
        <v/>
      </c>
      <c r="I78" s="63">
        <f>IFERROR(INDEX('الرواتب'!$L$3:$L$502,MATCH(72,'الرواتب'!$Z$3:$Z$502,0)),"")</f>
        <v/>
      </c>
      <c r="J78" s="63">
        <f>IFERROR(INDEX('الرواتب'!$S$3:$S$502,MATCH(72,'الرواتب'!$Z$3:$Z$502,0)),"")</f>
        <v/>
      </c>
      <c r="K78" s="63">
        <f>IFERROR(INDEX('الرواتب'!$N$3:$N$502,MATCH(72,'الرواتب'!$Z$3:$Z$502,0)),"")</f>
        <v/>
      </c>
      <c r="L78" s="63">
        <f>IFERROR(INDEX('الرواتب'!$O$3:$O$502,MATCH(72,'الرواتب'!$Z$3:$Z$502,0)),"")</f>
        <v/>
      </c>
      <c r="M78" s="63">
        <f>IFERROR(INDEX('الرواتب'!$P$3:$P$502,MATCH(72,'الرواتب'!$Z$3:$Z$502,0)),"")</f>
        <v/>
      </c>
      <c r="N78" s="63">
        <f>IFERROR(INDEX('الرواتب'!$Q$3:$Q$502,MATCH(72,'الرواتب'!$Z$3:$Z$502,0)),"")</f>
        <v/>
      </c>
      <c r="O78" s="63">
        <f>IFERROR(INDEX('الرواتب'!$R$3:$R$502,MATCH(72,'الرواتب'!$Z$3:$Z$502,0)),"")</f>
        <v/>
      </c>
      <c r="P78" s="63">
        <f>IFERROR(INDEX('الرواتب'!$T$3:$T$502,MATCH(72,'الرواتب'!$Z$3:$Z$502,0)),"")</f>
        <v/>
      </c>
      <c r="Q78" s="63">
        <f>IFERROR(INDEX('الرواتب'!$U$3:$U$502,MATCH(72,'الرواتب'!$Z$3:$Z$502,0)),"")</f>
        <v/>
      </c>
      <c r="R78" s="63">
        <f>IFERROR(INDEX('الرواتب'!$V$3:$V$502,MATCH(72,'الرواتب'!$Z$3:$Z$502,0)),"")</f>
        <v/>
      </c>
    </row>
    <row r="79">
      <c r="A79" s="43">
        <f>IFERROR(INDEX('الرواتب'!$C$3:$C$502,MATCH(73,'الرواتب'!$Z$3:$Z$502,0)),"")</f>
        <v/>
      </c>
      <c r="B79" s="43">
        <f>IFERROR(INDEX('الرواتب'!$D$3:$D$502,MATCH(73,'الرواتب'!$Z$3:$Z$502,0)),"")</f>
        <v/>
      </c>
      <c r="C79" s="43">
        <f>IFERROR(INDEX('الرواتب'!$E$3:$E$502,MATCH(73,'الرواتب'!$Z$3:$Z$502,0)),"")</f>
        <v/>
      </c>
      <c r="D79" s="60">
        <f>IFERROR(INDEX('الرواتب'!$G$3:$G$502,MATCH(73,'الرواتب'!$Z$3:$Z$502,0)),"")</f>
        <v/>
      </c>
      <c r="E79" s="60">
        <f>IFERROR(INDEX('الرواتب'!$H$3:$H$502,MATCH(73,'الرواتب'!$Z$3:$Z$502,0)),"")</f>
        <v/>
      </c>
      <c r="F79" s="60">
        <f>IFERROR(INDEX('الرواتب'!$I$3:$I$502,MATCH(73,'الرواتب'!$Z$3:$Z$502,0)),"")</f>
        <v/>
      </c>
      <c r="G79" s="60">
        <f>IFERROR(INDEX('الرواتب'!$J$3:$J$502,MATCH(73,'الرواتب'!$Z$3:$Z$502,0)),"")</f>
        <v/>
      </c>
      <c r="H79" s="60">
        <f>IFERROR(INDEX('الرواتب'!$K$3:$K$502,MATCH(73,'الرواتب'!$Z$3:$Z$502,0)),"")</f>
        <v/>
      </c>
      <c r="I79" s="60">
        <f>IFERROR(INDEX('الرواتب'!$L$3:$L$502,MATCH(73,'الرواتب'!$Z$3:$Z$502,0)),"")</f>
        <v/>
      </c>
      <c r="J79" s="60">
        <f>IFERROR(INDEX('الرواتب'!$S$3:$S$502,MATCH(73,'الرواتب'!$Z$3:$Z$502,0)),"")</f>
        <v/>
      </c>
      <c r="K79" s="60">
        <f>IFERROR(INDEX('الرواتب'!$N$3:$N$502,MATCH(73,'الرواتب'!$Z$3:$Z$502,0)),"")</f>
        <v/>
      </c>
      <c r="L79" s="60">
        <f>IFERROR(INDEX('الرواتب'!$O$3:$O$502,MATCH(73,'الرواتب'!$Z$3:$Z$502,0)),"")</f>
        <v/>
      </c>
      <c r="M79" s="60">
        <f>IFERROR(INDEX('الرواتب'!$P$3:$P$502,MATCH(73,'الرواتب'!$Z$3:$Z$502,0)),"")</f>
        <v/>
      </c>
      <c r="N79" s="60">
        <f>IFERROR(INDEX('الرواتب'!$Q$3:$Q$502,MATCH(73,'الرواتب'!$Z$3:$Z$502,0)),"")</f>
        <v/>
      </c>
      <c r="O79" s="60">
        <f>IFERROR(INDEX('الرواتب'!$R$3:$R$502,MATCH(73,'الرواتب'!$Z$3:$Z$502,0)),"")</f>
        <v/>
      </c>
      <c r="P79" s="60">
        <f>IFERROR(INDEX('الرواتب'!$T$3:$T$502,MATCH(73,'الرواتب'!$Z$3:$Z$502,0)),"")</f>
        <v/>
      </c>
      <c r="Q79" s="60">
        <f>IFERROR(INDEX('الرواتب'!$U$3:$U$502,MATCH(73,'الرواتب'!$Z$3:$Z$502,0)),"")</f>
        <v/>
      </c>
      <c r="R79" s="60">
        <f>IFERROR(INDEX('الرواتب'!$V$3:$V$502,MATCH(73,'الرواتب'!$Z$3:$Z$502,0)),"")</f>
        <v/>
      </c>
    </row>
    <row r="80">
      <c r="A80" s="50">
        <f>IFERROR(INDEX('الرواتب'!$C$3:$C$502,MATCH(74,'الرواتب'!$Z$3:$Z$502,0)),"")</f>
        <v/>
      </c>
      <c r="B80" s="50">
        <f>IFERROR(INDEX('الرواتب'!$D$3:$D$502,MATCH(74,'الرواتب'!$Z$3:$Z$502,0)),"")</f>
        <v/>
      </c>
      <c r="C80" s="50">
        <f>IFERROR(INDEX('الرواتب'!$E$3:$E$502,MATCH(74,'الرواتب'!$Z$3:$Z$502,0)),"")</f>
        <v/>
      </c>
      <c r="D80" s="63">
        <f>IFERROR(INDEX('الرواتب'!$G$3:$G$502,MATCH(74,'الرواتب'!$Z$3:$Z$502,0)),"")</f>
        <v/>
      </c>
      <c r="E80" s="63">
        <f>IFERROR(INDEX('الرواتب'!$H$3:$H$502,MATCH(74,'الرواتب'!$Z$3:$Z$502,0)),"")</f>
        <v/>
      </c>
      <c r="F80" s="63">
        <f>IFERROR(INDEX('الرواتب'!$I$3:$I$502,MATCH(74,'الرواتب'!$Z$3:$Z$502,0)),"")</f>
        <v/>
      </c>
      <c r="G80" s="63">
        <f>IFERROR(INDEX('الرواتب'!$J$3:$J$502,MATCH(74,'الرواتب'!$Z$3:$Z$502,0)),"")</f>
        <v/>
      </c>
      <c r="H80" s="63">
        <f>IFERROR(INDEX('الرواتب'!$K$3:$K$502,MATCH(74,'الرواتب'!$Z$3:$Z$502,0)),"")</f>
        <v/>
      </c>
      <c r="I80" s="63">
        <f>IFERROR(INDEX('الرواتب'!$L$3:$L$502,MATCH(74,'الرواتب'!$Z$3:$Z$502,0)),"")</f>
        <v/>
      </c>
      <c r="J80" s="63">
        <f>IFERROR(INDEX('الرواتب'!$S$3:$S$502,MATCH(74,'الرواتب'!$Z$3:$Z$502,0)),"")</f>
        <v/>
      </c>
      <c r="K80" s="63">
        <f>IFERROR(INDEX('الرواتب'!$N$3:$N$502,MATCH(74,'الرواتب'!$Z$3:$Z$502,0)),"")</f>
        <v/>
      </c>
      <c r="L80" s="63">
        <f>IFERROR(INDEX('الرواتب'!$O$3:$O$502,MATCH(74,'الرواتب'!$Z$3:$Z$502,0)),"")</f>
        <v/>
      </c>
      <c r="M80" s="63">
        <f>IFERROR(INDEX('الرواتب'!$P$3:$P$502,MATCH(74,'الرواتب'!$Z$3:$Z$502,0)),"")</f>
        <v/>
      </c>
      <c r="N80" s="63">
        <f>IFERROR(INDEX('الرواتب'!$Q$3:$Q$502,MATCH(74,'الرواتب'!$Z$3:$Z$502,0)),"")</f>
        <v/>
      </c>
      <c r="O80" s="63">
        <f>IFERROR(INDEX('الرواتب'!$R$3:$R$502,MATCH(74,'الرواتب'!$Z$3:$Z$502,0)),"")</f>
        <v/>
      </c>
      <c r="P80" s="63">
        <f>IFERROR(INDEX('الرواتب'!$T$3:$T$502,MATCH(74,'الرواتب'!$Z$3:$Z$502,0)),"")</f>
        <v/>
      </c>
      <c r="Q80" s="63">
        <f>IFERROR(INDEX('الرواتب'!$U$3:$U$502,MATCH(74,'الرواتب'!$Z$3:$Z$502,0)),"")</f>
        <v/>
      </c>
      <c r="R80" s="63">
        <f>IFERROR(INDEX('الرواتب'!$V$3:$V$502,MATCH(74,'الرواتب'!$Z$3:$Z$502,0)),"")</f>
        <v/>
      </c>
    </row>
    <row r="81">
      <c r="A81" s="43">
        <f>IFERROR(INDEX('الرواتب'!$C$3:$C$502,MATCH(75,'الرواتب'!$Z$3:$Z$502,0)),"")</f>
        <v/>
      </c>
      <c r="B81" s="43">
        <f>IFERROR(INDEX('الرواتب'!$D$3:$D$502,MATCH(75,'الرواتب'!$Z$3:$Z$502,0)),"")</f>
        <v/>
      </c>
      <c r="C81" s="43">
        <f>IFERROR(INDEX('الرواتب'!$E$3:$E$502,MATCH(75,'الرواتب'!$Z$3:$Z$502,0)),"")</f>
        <v/>
      </c>
      <c r="D81" s="60">
        <f>IFERROR(INDEX('الرواتب'!$G$3:$G$502,MATCH(75,'الرواتب'!$Z$3:$Z$502,0)),"")</f>
        <v/>
      </c>
      <c r="E81" s="60">
        <f>IFERROR(INDEX('الرواتب'!$H$3:$H$502,MATCH(75,'الرواتب'!$Z$3:$Z$502,0)),"")</f>
        <v/>
      </c>
      <c r="F81" s="60">
        <f>IFERROR(INDEX('الرواتب'!$I$3:$I$502,MATCH(75,'الرواتب'!$Z$3:$Z$502,0)),"")</f>
        <v/>
      </c>
      <c r="G81" s="60">
        <f>IFERROR(INDEX('الرواتب'!$J$3:$J$502,MATCH(75,'الرواتب'!$Z$3:$Z$502,0)),"")</f>
        <v/>
      </c>
      <c r="H81" s="60">
        <f>IFERROR(INDEX('الرواتب'!$K$3:$K$502,MATCH(75,'الرواتب'!$Z$3:$Z$502,0)),"")</f>
        <v/>
      </c>
      <c r="I81" s="60">
        <f>IFERROR(INDEX('الرواتب'!$L$3:$L$502,MATCH(75,'الرواتب'!$Z$3:$Z$502,0)),"")</f>
        <v/>
      </c>
      <c r="J81" s="60">
        <f>IFERROR(INDEX('الرواتب'!$S$3:$S$502,MATCH(75,'الرواتب'!$Z$3:$Z$502,0)),"")</f>
        <v/>
      </c>
      <c r="K81" s="60">
        <f>IFERROR(INDEX('الرواتب'!$N$3:$N$502,MATCH(75,'الرواتب'!$Z$3:$Z$502,0)),"")</f>
        <v/>
      </c>
      <c r="L81" s="60">
        <f>IFERROR(INDEX('الرواتب'!$O$3:$O$502,MATCH(75,'الرواتب'!$Z$3:$Z$502,0)),"")</f>
        <v/>
      </c>
      <c r="M81" s="60">
        <f>IFERROR(INDEX('الرواتب'!$P$3:$P$502,MATCH(75,'الرواتب'!$Z$3:$Z$502,0)),"")</f>
        <v/>
      </c>
      <c r="N81" s="60">
        <f>IFERROR(INDEX('الرواتب'!$Q$3:$Q$502,MATCH(75,'الرواتب'!$Z$3:$Z$502,0)),"")</f>
        <v/>
      </c>
      <c r="O81" s="60">
        <f>IFERROR(INDEX('الرواتب'!$R$3:$R$502,MATCH(75,'الرواتب'!$Z$3:$Z$502,0)),"")</f>
        <v/>
      </c>
      <c r="P81" s="60">
        <f>IFERROR(INDEX('الرواتب'!$T$3:$T$502,MATCH(75,'الرواتب'!$Z$3:$Z$502,0)),"")</f>
        <v/>
      </c>
      <c r="Q81" s="60">
        <f>IFERROR(INDEX('الرواتب'!$U$3:$U$502,MATCH(75,'الرواتب'!$Z$3:$Z$502,0)),"")</f>
        <v/>
      </c>
      <c r="R81" s="60">
        <f>IFERROR(INDEX('الرواتب'!$V$3:$V$502,MATCH(75,'الرواتب'!$Z$3:$Z$502,0)),"")</f>
        <v/>
      </c>
    </row>
    <row r="82">
      <c r="A82" s="50">
        <f>IFERROR(INDEX('الرواتب'!$C$3:$C$502,MATCH(76,'الرواتب'!$Z$3:$Z$502,0)),"")</f>
        <v/>
      </c>
      <c r="B82" s="50">
        <f>IFERROR(INDEX('الرواتب'!$D$3:$D$502,MATCH(76,'الرواتب'!$Z$3:$Z$502,0)),"")</f>
        <v/>
      </c>
      <c r="C82" s="50">
        <f>IFERROR(INDEX('الرواتب'!$E$3:$E$502,MATCH(76,'الرواتب'!$Z$3:$Z$502,0)),"")</f>
        <v/>
      </c>
      <c r="D82" s="63">
        <f>IFERROR(INDEX('الرواتب'!$G$3:$G$502,MATCH(76,'الرواتب'!$Z$3:$Z$502,0)),"")</f>
        <v/>
      </c>
      <c r="E82" s="63">
        <f>IFERROR(INDEX('الرواتب'!$H$3:$H$502,MATCH(76,'الرواتب'!$Z$3:$Z$502,0)),"")</f>
        <v/>
      </c>
      <c r="F82" s="63">
        <f>IFERROR(INDEX('الرواتب'!$I$3:$I$502,MATCH(76,'الرواتب'!$Z$3:$Z$502,0)),"")</f>
        <v/>
      </c>
      <c r="G82" s="63">
        <f>IFERROR(INDEX('الرواتب'!$J$3:$J$502,MATCH(76,'الرواتب'!$Z$3:$Z$502,0)),"")</f>
        <v/>
      </c>
      <c r="H82" s="63">
        <f>IFERROR(INDEX('الرواتب'!$K$3:$K$502,MATCH(76,'الرواتب'!$Z$3:$Z$502,0)),"")</f>
        <v/>
      </c>
      <c r="I82" s="63">
        <f>IFERROR(INDEX('الرواتب'!$L$3:$L$502,MATCH(76,'الرواتب'!$Z$3:$Z$502,0)),"")</f>
        <v/>
      </c>
      <c r="J82" s="63">
        <f>IFERROR(INDEX('الرواتب'!$S$3:$S$502,MATCH(76,'الرواتب'!$Z$3:$Z$502,0)),"")</f>
        <v/>
      </c>
      <c r="K82" s="63">
        <f>IFERROR(INDEX('الرواتب'!$N$3:$N$502,MATCH(76,'الرواتب'!$Z$3:$Z$502,0)),"")</f>
        <v/>
      </c>
      <c r="L82" s="63">
        <f>IFERROR(INDEX('الرواتب'!$O$3:$O$502,MATCH(76,'الرواتب'!$Z$3:$Z$502,0)),"")</f>
        <v/>
      </c>
      <c r="M82" s="63">
        <f>IFERROR(INDEX('الرواتب'!$P$3:$P$502,MATCH(76,'الرواتب'!$Z$3:$Z$502,0)),"")</f>
        <v/>
      </c>
      <c r="N82" s="63">
        <f>IFERROR(INDEX('الرواتب'!$Q$3:$Q$502,MATCH(76,'الرواتب'!$Z$3:$Z$502,0)),"")</f>
        <v/>
      </c>
      <c r="O82" s="63">
        <f>IFERROR(INDEX('الرواتب'!$R$3:$R$502,MATCH(76,'الرواتب'!$Z$3:$Z$502,0)),"")</f>
        <v/>
      </c>
      <c r="P82" s="63">
        <f>IFERROR(INDEX('الرواتب'!$T$3:$T$502,MATCH(76,'الرواتب'!$Z$3:$Z$502,0)),"")</f>
        <v/>
      </c>
      <c r="Q82" s="63">
        <f>IFERROR(INDEX('الرواتب'!$U$3:$U$502,MATCH(76,'الرواتب'!$Z$3:$Z$502,0)),"")</f>
        <v/>
      </c>
      <c r="R82" s="63">
        <f>IFERROR(INDEX('الرواتب'!$V$3:$V$502,MATCH(76,'الرواتب'!$Z$3:$Z$502,0)),"")</f>
        <v/>
      </c>
    </row>
    <row r="83">
      <c r="A83" s="43">
        <f>IFERROR(INDEX('الرواتب'!$C$3:$C$502,MATCH(77,'الرواتب'!$Z$3:$Z$502,0)),"")</f>
        <v/>
      </c>
      <c r="B83" s="43">
        <f>IFERROR(INDEX('الرواتب'!$D$3:$D$502,MATCH(77,'الرواتب'!$Z$3:$Z$502,0)),"")</f>
        <v/>
      </c>
      <c r="C83" s="43">
        <f>IFERROR(INDEX('الرواتب'!$E$3:$E$502,MATCH(77,'الرواتب'!$Z$3:$Z$502,0)),"")</f>
        <v/>
      </c>
      <c r="D83" s="60">
        <f>IFERROR(INDEX('الرواتب'!$G$3:$G$502,MATCH(77,'الرواتب'!$Z$3:$Z$502,0)),"")</f>
        <v/>
      </c>
      <c r="E83" s="60">
        <f>IFERROR(INDEX('الرواتب'!$H$3:$H$502,MATCH(77,'الرواتب'!$Z$3:$Z$502,0)),"")</f>
        <v/>
      </c>
      <c r="F83" s="60">
        <f>IFERROR(INDEX('الرواتب'!$I$3:$I$502,MATCH(77,'الرواتب'!$Z$3:$Z$502,0)),"")</f>
        <v/>
      </c>
      <c r="G83" s="60">
        <f>IFERROR(INDEX('الرواتب'!$J$3:$J$502,MATCH(77,'الرواتب'!$Z$3:$Z$502,0)),"")</f>
        <v/>
      </c>
      <c r="H83" s="60">
        <f>IFERROR(INDEX('الرواتب'!$K$3:$K$502,MATCH(77,'الرواتب'!$Z$3:$Z$502,0)),"")</f>
        <v/>
      </c>
      <c r="I83" s="60">
        <f>IFERROR(INDEX('الرواتب'!$L$3:$L$502,MATCH(77,'الرواتب'!$Z$3:$Z$502,0)),"")</f>
        <v/>
      </c>
      <c r="J83" s="60">
        <f>IFERROR(INDEX('الرواتب'!$S$3:$S$502,MATCH(77,'الرواتب'!$Z$3:$Z$502,0)),"")</f>
        <v/>
      </c>
      <c r="K83" s="60">
        <f>IFERROR(INDEX('الرواتب'!$N$3:$N$502,MATCH(77,'الرواتب'!$Z$3:$Z$502,0)),"")</f>
        <v/>
      </c>
      <c r="L83" s="60">
        <f>IFERROR(INDEX('الرواتب'!$O$3:$O$502,MATCH(77,'الرواتب'!$Z$3:$Z$502,0)),"")</f>
        <v/>
      </c>
      <c r="M83" s="60">
        <f>IFERROR(INDEX('الرواتب'!$P$3:$P$502,MATCH(77,'الرواتب'!$Z$3:$Z$502,0)),"")</f>
        <v/>
      </c>
      <c r="N83" s="60">
        <f>IFERROR(INDEX('الرواتب'!$Q$3:$Q$502,MATCH(77,'الرواتب'!$Z$3:$Z$502,0)),"")</f>
        <v/>
      </c>
      <c r="O83" s="60">
        <f>IFERROR(INDEX('الرواتب'!$R$3:$R$502,MATCH(77,'الرواتب'!$Z$3:$Z$502,0)),"")</f>
        <v/>
      </c>
      <c r="P83" s="60">
        <f>IFERROR(INDEX('الرواتب'!$T$3:$T$502,MATCH(77,'الرواتب'!$Z$3:$Z$502,0)),"")</f>
        <v/>
      </c>
      <c r="Q83" s="60">
        <f>IFERROR(INDEX('الرواتب'!$U$3:$U$502,MATCH(77,'الرواتب'!$Z$3:$Z$502,0)),"")</f>
        <v/>
      </c>
      <c r="R83" s="60">
        <f>IFERROR(INDEX('الرواتب'!$V$3:$V$502,MATCH(77,'الرواتب'!$Z$3:$Z$502,0)),"")</f>
        <v/>
      </c>
    </row>
    <row r="84">
      <c r="A84" s="50">
        <f>IFERROR(INDEX('الرواتب'!$C$3:$C$502,MATCH(78,'الرواتب'!$Z$3:$Z$502,0)),"")</f>
        <v/>
      </c>
      <c r="B84" s="50">
        <f>IFERROR(INDEX('الرواتب'!$D$3:$D$502,MATCH(78,'الرواتب'!$Z$3:$Z$502,0)),"")</f>
        <v/>
      </c>
      <c r="C84" s="50">
        <f>IFERROR(INDEX('الرواتب'!$E$3:$E$502,MATCH(78,'الرواتب'!$Z$3:$Z$502,0)),"")</f>
        <v/>
      </c>
      <c r="D84" s="63">
        <f>IFERROR(INDEX('الرواتب'!$G$3:$G$502,MATCH(78,'الرواتب'!$Z$3:$Z$502,0)),"")</f>
        <v/>
      </c>
      <c r="E84" s="63">
        <f>IFERROR(INDEX('الرواتب'!$H$3:$H$502,MATCH(78,'الرواتب'!$Z$3:$Z$502,0)),"")</f>
        <v/>
      </c>
      <c r="F84" s="63">
        <f>IFERROR(INDEX('الرواتب'!$I$3:$I$502,MATCH(78,'الرواتب'!$Z$3:$Z$502,0)),"")</f>
        <v/>
      </c>
      <c r="G84" s="63">
        <f>IFERROR(INDEX('الرواتب'!$J$3:$J$502,MATCH(78,'الرواتب'!$Z$3:$Z$502,0)),"")</f>
        <v/>
      </c>
      <c r="H84" s="63">
        <f>IFERROR(INDEX('الرواتب'!$K$3:$K$502,MATCH(78,'الرواتب'!$Z$3:$Z$502,0)),"")</f>
        <v/>
      </c>
      <c r="I84" s="63">
        <f>IFERROR(INDEX('الرواتب'!$L$3:$L$502,MATCH(78,'الرواتب'!$Z$3:$Z$502,0)),"")</f>
        <v/>
      </c>
      <c r="J84" s="63">
        <f>IFERROR(INDEX('الرواتب'!$S$3:$S$502,MATCH(78,'الرواتب'!$Z$3:$Z$502,0)),"")</f>
        <v/>
      </c>
      <c r="K84" s="63">
        <f>IFERROR(INDEX('الرواتب'!$N$3:$N$502,MATCH(78,'الرواتب'!$Z$3:$Z$502,0)),"")</f>
        <v/>
      </c>
      <c r="L84" s="63">
        <f>IFERROR(INDEX('الرواتب'!$O$3:$O$502,MATCH(78,'الرواتب'!$Z$3:$Z$502,0)),"")</f>
        <v/>
      </c>
      <c r="M84" s="63">
        <f>IFERROR(INDEX('الرواتب'!$P$3:$P$502,MATCH(78,'الرواتب'!$Z$3:$Z$502,0)),"")</f>
        <v/>
      </c>
      <c r="N84" s="63">
        <f>IFERROR(INDEX('الرواتب'!$Q$3:$Q$502,MATCH(78,'الرواتب'!$Z$3:$Z$502,0)),"")</f>
        <v/>
      </c>
      <c r="O84" s="63">
        <f>IFERROR(INDEX('الرواتب'!$R$3:$R$502,MATCH(78,'الرواتب'!$Z$3:$Z$502,0)),"")</f>
        <v/>
      </c>
      <c r="P84" s="63">
        <f>IFERROR(INDEX('الرواتب'!$T$3:$T$502,MATCH(78,'الرواتب'!$Z$3:$Z$502,0)),"")</f>
        <v/>
      </c>
      <c r="Q84" s="63">
        <f>IFERROR(INDEX('الرواتب'!$U$3:$U$502,MATCH(78,'الرواتب'!$Z$3:$Z$502,0)),"")</f>
        <v/>
      </c>
      <c r="R84" s="63">
        <f>IFERROR(INDEX('الرواتب'!$V$3:$V$502,MATCH(78,'الرواتب'!$Z$3:$Z$502,0)),"")</f>
        <v/>
      </c>
    </row>
    <row r="85">
      <c r="A85" s="43">
        <f>IFERROR(INDEX('الرواتب'!$C$3:$C$502,MATCH(79,'الرواتب'!$Z$3:$Z$502,0)),"")</f>
        <v/>
      </c>
      <c r="B85" s="43">
        <f>IFERROR(INDEX('الرواتب'!$D$3:$D$502,MATCH(79,'الرواتب'!$Z$3:$Z$502,0)),"")</f>
        <v/>
      </c>
      <c r="C85" s="43">
        <f>IFERROR(INDEX('الرواتب'!$E$3:$E$502,MATCH(79,'الرواتب'!$Z$3:$Z$502,0)),"")</f>
        <v/>
      </c>
      <c r="D85" s="60">
        <f>IFERROR(INDEX('الرواتب'!$G$3:$G$502,MATCH(79,'الرواتب'!$Z$3:$Z$502,0)),"")</f>
        <v/>
      </c>
      <c r="E85" s="60">
        <f>IFERROR(INDEX('الرواتب'!$H$3:$H$502,MATCH(79,'الرواتب'!$Z$3:$Z$502,0)),"")</f>
        <v/>
      </c>
      <c r="F85" s="60">
        <f>IFERROR(INDEX('الرواتب'!$I$3:$I$502,MATCH(79,'الرواتب'!$Z$3:$Z$502,0)),"")</f>
        <v/>
      </c>
      <c r="G85" s="60">
        <f>IFERROR(INDEX('الرواتب'!$J$3:$J$502,MATCH(79,'الرواتب'!$Z$3:$Z$502,0)),"")</f>
        <v/>
      </c>
      <c r="H85" s="60">
        <f>IFERROR(INDEX('الرواتب'!$K$3:$K$502,MATCH(79,'الرواتب'!$Z$3:$Z$502,0)),"")</f>
        <v/>
      </c>
      <c r="I85" s="60">
        <f>IFERROR(INDEX('الرواتب'!$L$3:$L$502,MATCH(79,'الرواتب'!$Z$3:$Z$502,0)),"")</f>
        <v/>
      </c>
      <c r="J85" s="60">
        <f>IFERROR(INDEX('الرواتب'!$S$3:$S$502,MATCH(79,'الرواتب'!$Z$3:$Z$502,0)),"")</f>
        <v/>
      </c>
      <c r="K85" s="60">
        <f>IFERROR(INDEX('الرواتب'!$N$3:$N$502,MATCH(79,'الرواتب'!$Z$3:$Z$502,0)),"")</f>
        <v/>
      </c>
      <c r="L85" s="60">
        <f>IFERROR(INDEX('الرواتب'!$O$3:$O$502,MATCH(79,'الرواتب'!$Z$3:$Z$502,0)),"")</f>
        <v/>
      </c>
      <c r="M85" s="60">
        <f>IFERROR(INDEX('الرواتب'!$P$3:$P$502,MATCH(79,'الرواتب'!$Z$3:$Z$502,0)),"")</f>
        <v/>
      </c>
      <c r="N85" s="60">
        <f>IFERROR(INDEX('الرواتب'!$Q$3:$Q$502,MATCH(79,'الرواتب'!$Z$3:$Z$502,0)),"")</f>
        <v/>
      </c>
      <c r="O85" s="60">
        <f>IFERROR(INDEX('الرواتب'!$R$3:$R$502,MATCH(79,'الرواتب'!$Z$3:$Z$502,0)),"")</f>
        <v/>
      </c>
      <c r="P85" s="60">
        <f>IFERROR(INDEX('الرواتب'!$T$3:$T$502,MATCH(79,'الرواتب'!$Z$3:$Z$502,0)),"")</f>
        <v/>
      </c>
      <c r="Q85" s="60">
        <f>IFERROR(INDEX('الرواتب'!$U$3:$U$502,MATCH(79,'الرواتب'!$Z$3:$Z$502,0)),"")</f>
        <v/>
      </c>
      <c r="R85" s="60">
        <f>IFERROR(INDEX('الرواتب'!$V$3:$V$502,MATCH(79,'الرواتب'!$Z$3:$Z$502,0)),"")</f>
        <v/>
      </c>
    </row>
    <row r="86">
      <c r="A86" s="50">
        <f>IFERROR(INDEX('الرواتب'!$C$3:$C$502,MATCH(80,'الرواتب'!$Z$3:$Z$502,0)),"")</f>
        <v/>
      </c>
      <c r="B86" s="50">
        <f>IFERROR(INDEX('الرواتب'!$D$3:$D$502,MATCH(80,'الرواتب'!$Z$3:$Z$502,0)),"")</f>
        <v/>
      </c>
      <c r="C86" s="50">
        <f>IFERROR(INDEX('الرواتب'!$E$3:$E$502,MATCH(80,'الرواتب'!$Z$3:$Z$502,0)),"")</f>
        <v/>
      </c>
      <c r="D86" s="63">
        <f>IFERROR(INDEX('الرواتب'!$G$3:$G$502,MATCH(80,'الرواتب'!$Z$3:$Z$502,0)),"")</f>
        <v/>
      </c>
      <c r="E86" s="63">
        <f>IFERROR(INDEX('الرواتب'!$H$3:$H$502,MATCH(80,'الرواتب'!$Z$3:$Z$502,0)),"")</f>
        <v/>
      </c>
      <c r="F86" s="63">
        <f>IFERROR(INDEX('الرواتب'!$I$3:$I$502,MATCH(80,'الرواتب'!$Z$3:$Z$502,0)),"")</f>
        <v/>
      </c>
      <c r="G86" s="63">
        <f>IFERROR(INDEX('الرواتب'!$J$3:$J$502,MATCH(80,'الرواتب'!$Z$3:$Z$502,0)),"")</f>
        <v/>
      </c>
      <c r="H86" s="63">
        <f>IFERROR(INDEX('الرواتب'!$K$3:$K$502,MATCH(80,'الرواتب'!$Z$3:$Z$502,0)),"")</f>
        <v/>
      </c>
      <c r="I86" s="63">
        <f>IFERROR(INDEX('الرواتب'!$L$3:$L$502,MATCH(80,'الرواتب'!$Z$3:$Z$502,0)),"")</f>
        <v/>
      </c>
      <c r="J86" s="63">
        <f>IFERROR(INDEX('الرواتب'!$S$3:$S$502,MATCH(80,'الرواتب'!$Z$3:$Z$502,0)),"")</f>
        <v/>
      </c>
      <c r="K86" s="63">
        <f>IFERROR(INDEX('الرواتب'!$N$3:$N$502,MATCH(80,'الرواتب'!$Z$3:$Z$502,0)),"")</f>
        <v/>
      </c>
      <c r="L86" s="63">
        <f>IFERROR(INDEX('الرواتب'!$O$3:$O$502,MATCH(80,'الرواتب'!$Z$3:$Z$502,0)),"")</f>
        <v/>
      </c>
      <c r="M86" s="63">
        <f>IFERROR(INDEX('الرواتب'!$P$3:$P$502,MATCH(80,'الرواتب'!$Z$3:$Z$502,0)),"")</f>
        <v/>
      </c>
      <c r="N86" s="63">
        <f>IFERROR(INDEX('الرواتب'!$Q$3:$Q$502,MATCH(80,'الرواتب'!$Z$3:$Z$502,0)),"")</f>
        <v/>
      </c>
      <c r="O86" s="63">
        <f>IFERROR(INDEX('الرواتب'!$R$3:$R$502,MATCH(80,'الرواتب'!$Z$3:$Z$502,0)),"")</f>
        <v/>
      </c>
      <c r="P86" s="63">
        <f>IFERROR(INDEX('الرواتب'!$T$3:$T$502,MATCH(80,'الرواتب'!$Z$3:$Z$502,0)),"")</f>
        <v/>
      </c>
      <c r="Q86" s="63">
        <f>IFERROR(INDEX('الرواتب'!$U$3:$U$502,MATCH(80,'الرواتب'!$Z$3:$Z$502,0)),"")</f>
        <v/>
      </c>
      <c r="R86" s="63">
        <f>IFERROR(INDEX('الرواتب'!$V$3:$V$502,MATCH(80,'الرواتب'!$Z$3:$Z$502,0)),"")</f>
        <v/>
      </c>
    </row>
    <row r="87">
      <c r="A87" s="43">
        <f>IFERROR(INDEX('الرواتب'!$C$3:$C$502,MATCH(81,'الرواتب'!$Z$3:$Z$502,0)),"")</f>
        <v/>
      </c>
      <c r="B87" s="43">
        <f>IFERROR(INDEX('الرواتب'!$D$3:$D$502,MATCH(81,'الرواتب'!$Z$3:$Z$502,0)),"")</f>
        <v/>
      </c>
      <c r="C87" s="43">
        <f>IFERROR(INDEX('الرواتب'!$E$3:$E$502,MATCH(81,'الرواتب'!$Z$3:$Z$502,0)),"")</f>
        <v/>
      </c>
      <c r="D87" s="60">
        <f>IFERROR(INDEX('الرواتب'!$G$3:$G$502,MATCH(81,'الرواتب'!$Z$3:$Z$502,0)),"")</f>
        <v/>
      </c>
      <c r="E87" s="60">
        <f>IFERROR(INDEX('الرواتب'!$H$3:$H$502,MATCH(81,'الرواتب'!$Z$3:$Z$502,0)),"")</f>
        <v/>
      </c>
      <c r="F87" s="60">
        <f>IFERROR(INDEX('الرواتب'!$I$3:$I$502,MATCH(81,'الرواتب'!$Z$3:$Z$502,0)),"")</f>
        <v/>
      </c>
      <c r="G87" s="60">
        <f>IFERROR(INDEX('الرواتب'!$J$3:$J$502,MATCH(81,'الرواتب'!$Z$3:$Z$502,0)),"")</f>
        <v/>
      </c>
      <c r="H87" s="60">
        <f>IFERROR(INDEX('الرواتب'!$K$3:$K$502,MATCH(81,'الرواتب'!$Z$3:$Z$502,0)),"")</f>
        <v/>
      </c>
      <c r="I87" s="60">
        <f>IFERROR(INDEX('الرواتب'!$L$3:$L$502,MATCH(81,'الرواتب'!$Z$3:$Z$502,0)),"")</f>
        <v/>
      </c>
      <c r="J87" s="60">
        <f>IFERROR(INDEX('الرواتب'!$S$3:$S$502,MATCH(81,'الرواتب'!$Z$3:$Z$502,0)),"")</f>
        <v/>
      </c>
      <c r="K87" s="60">
        <f>IFERROR(INDEX('الرواتب'!$N$3:$N$502,MATCH(81,'الرواتب'!$Z$3:$Z$502,0)),"")</f>
        <v/>
      </c>
      <c r="L87" s="60">
        <f>IFERROR(INDEX('الرواتب'!$O$3:$O$502,MATCH(81,'الرواتب'!$Z$3:$Z$502,0)),"")</f>
        <v/>
      </c>
      <c r="M87" s="60">
        <f>IFERROR(INDEX('الرواتب'!$P$3:$P$502,MATCH(81,'الرواتب'!$Z$3:$Z$502,0)),"")</f>
        <v/>
      </c>
      <c r="N87" s="60">
        <f>IFERROR(INDEX('الرواتب'!$Q$3:$Q$502,MATCH(81,'الرواتب'!$Z$3:$Z$502,0)),"")</f>
        <v/>
      </c>
      <c r="O87" s="60">
        <f>IFERROR(INDEX('الرواتب'!$R$3:$R$502,MATCH(81,'الرواتب'!$Z$3:$Z$502,0)),"")</f>
        <v/>
      </c>
      <c r="P87" s="60">
        <f>IFERROR(INDEX('الرواتب'!$T$3:$T$502,MATCH(81,'الرواتب'!$Z$3:$Z$502,0)),"")</f>
        <v/>
      </c>
      <c r="Q87" s="60">
        <f>IFERROR(INDEX('الرواتب'!$U$3:$U$502,MATCH(81,'الرواتب'!$Z$3:$Z$502,0)),"")</f>
        <v/>
      </c>
      <c r="R87" s="60">
        <f>IFERROR(INDEX('الرواتب'!$V$3:$V$502,MATCH(81,'الرواتب'!$Z$3:$Z$502,0)),"")</f>
        <v/>
      </c>
    </row>
    <row r="88">
      <c r="A88" s="50">
        <f>IFERROR(INDEX('الرواتب'!$C$3:$C$502,MATCH(82,'الرواتب'!$Z$3:$Z$502,0)),"")</f>
        <v/>
      </c>
      <c r="B88" s="50">
        <f>IFERROR(INDEX('الرواتب'!$D$3:$D$502,MATCH(82,'الرواتب'!$Z$3:$Z$502,0)),"")</f>
        <v/>
      </c>
      <c r="C88" s="50">
        <f>IFERROR(INDEX('الرواتب'!$E$3:$E$502,MATCH(82,'الرواتب'!$Z$3:$Z$502,0)),"")</f>
        <v/>
      </c>
      <c r="D88" s="63">
        <f>IFERROR(INDEX('الرواتب'!$G$3:$G$502,MATCH(82,'الرواتب'!$Z$3:$Z$502,0)),"")</f>
        <v/>
      </c>
      <c r="E88" s="63">
        <f>IFERROR(INDEX('الرواتب'!$H$3:$H$502,MATCH(82,'الرواتب'!$Z$3:$Z$502,0)),"")</f>
        <v/>
      </c>
      <c r="F88" s="63">
        <f>IFERROR(INDEX('الرواتب'!$I$3:$I$502,MATCH(82,'الرواتب'!$Z$3:$Z$502,0)),"")</f>
        <v/>
      </c>
      <c r="G88" s="63">
        <f>IFERROR(INDEX('الرواتب'!$J$3:$J$502,MATCH(82,'الرواتب'!$Z$3:$Z$502,0)),"")</f>
        <v/>
      </c>
      <c r="H88" s="63">
        <f>IFERROR(INDEX('الرواتب'!$K$3:$K$502,MATCH(82,'الرواتب'!$Z$3:$Z$502,0)),"")</f>
        <v/>
      </c>
      <c r="I88" s="63">
        <f>IFERROR(INDEX('الرواتب'!$L$3:$L$502,MATCH(82,'الرواتب'!$Z$3:$Z$502,0)),"")</f>
        <v/>
      </c>
      <c r="J88" s="63">
        <f>IFERROR(INDEX('الرواتب'!$S$3:$S$502,MATCH(82,'الرواتب'!$Z$3:$Z$502,0)),"")</f>
        <v/>
      </c>
      <c r="K88" s="63">
        <f>IFERROR(INDEX('الرواتب'!$N$3:$N$502,MATCH(82,'الرواتب'!$Z$3:$Z$502,0)),"")</f>
        <v/>
      </c>
      <c r="L88" s="63">
        <f>IFERROR(INDEX('الرواتب'!$O$3:$O$502,MATCH(82,'الرواتب'!$Z$3:$Z$502,0)),"")</f>
        <v/>
      </c>
      <c r="M88" s="63">
        <f>IFERROR(INDEX('الرواتب'!$P$3:$P$502,MATCH(82,'الرواتب'!$Z$3:$Z$502,0)),"")</f>
        <v/>
      </c>
      <c r="N88" s="63">
        <f>IFERROR(INDEX('الرواتب'!$Q$3:$Q$502,MATCH(82,'الرواتب'!$Z$3:$Z$502,0)),"")</f>
        <v/>
      </c>
      <c r="O88" s="63">
        <f>IFERROR(INDEX('الرواتب'!$R$3:$R$502,MATCH(82,'الرواتب'!$Z$3:$Z$502,0)),"")</f>
        <v/>
      </c>
      <c r="P88" s="63">
        <f>IFERROR(INDEX('الرواتب'!$T$3:$T$502,MATCH(82,'الرواتب'!$Z$3:$Z$502,0)),"")</f>
        <v/>
      </c>
      <c r="Q88" s="63">
        <f>IFERROR(INDEX('الرواتب'!$U$3:$U$502,MATCH(82,'الرواتب'!$Z$3:$Z$502,0)),"")</f>
        <v/>
      </c>
      <c r="R88" s="63">
        <f>IFERROR(INDEX('الرواتب'!$V$3:$V$502,MATCH(82,'الرواتب'!$Z$3:$Z$502,0)),"")</f>
        <v/>
      </c>
    </row>
    <row r="89">
      <c r="A89" s="43">
        <f>IFERROR(INDEX('الرواتب'!$C$3:$C$502,MATCH(83,'الرواتب'!$Z$3:$Z$502,0)),"")</f>
        <v/>
      </c>
      <c r="B89" s="43">
        <f>IFERROR(INDEX('الرواتب'!$D$3:$D$502,MATCH(83,'الرواتب'!$Z$3:$Z$502,0)),"")</f>
        <v/>
      </c>
      <c r="C89" s="43">
        <f>IFERROR(INDEX('الرواتب'!$E$3:$E$502,MATCH(83,'الرواتب'!$Z$3:$Z$502,0)),"")</f>
        <v/>
      </c>
      <c r="D89" s="60">
        <f>IFERROR(INDEX('الرواتب'!$G$3:$G$502,MATCH(83,'الرواتب'!$Z$3:$Z$502,0)),"")</f>
        <v/>
      </c>
      <c r="E89" s="60">
        <f>IFERROR(INDEX('الرواتب'!$H$3:$H$502,MATCH(83,'الرواتب'!$Z$3:$Z$502,0)),"")</f>
        <v/>
      </c>
      <c r="F89" s="60">
        <f>IFERROR(INDEX('الرواتب'!$I$3:$I$502,MATCH(83,'الرواتب'!$Z$3:$Z$502,0)),"")</f>
        <v/>
      </c>
      <c r="G89" s="60">
        <f>IFERROR(INDEX('الرواتب'!$J$3:$J$502,MATCH(83,'الرواتب'!$Z$3:$Z$502,0)),"")</f>
        <v/>
      </c>
      <c r="H89" s="60">
        <f>IFERROR(INDEX('الرواتب'!$K$3:$K$502,MATCH(83,'الرواتب'!$Z$3:$Z$502,0)),"")</f>
        <v/>
      </c>
      <c r="I89" s="60">
        <f>IFERROR(INDEX('الرواتب'!$L$3:$L$502,MATCH(83,'الرواتب'!$Z$3:$Z$502,0)),"")</f>
        <v/>
      </c>
      <c r="J89" s="60">
        <f>IFERROR(INDEX('الرواتب'!$S$3:$S$502,MATCH(83,'الرواتب'!$Z$3:$Z$502,0)),"")</f>
        <v/>
      </c>
      <c r="K89" s="60">
        <f>IFERROR(INDEX('الرواتب'!$N$3:$N$502,MATCH(83,'الرواتب'!$Z$3:$Z$502,0)),"")</f>
        <v/>
      </c>
      <c r="L89" s="60">
        <f>IFERROR(INDEX('الرواتب'!$O$3:$O$502,MATCH(83,'الرواتب'!$Z$3:$Z$502,0)),"")</f>
        <v/>
      </c>
      <c r="M89" s="60">
        <f>IFERROR(INDEX('الرواتب'!$P$3:$P$502,MATCH(83,'الرواتب'!$Z$3:$Z$502,0)),"")</f>
        <v/>
      </c>
      <c r="N89" s="60">
        <f>IFERROR(INDEX('الرواتب'!$Q$3:$Q$502,MATCH(83,'الرواتب'!$Z$3:$Z$502,0)),"")</f>
        <v/>
      </c>
      <c r="O89" s="60">
        <f>IFERROR(INDEX('الرواتب'!$R$3:$R$502,MATCH(83,'الرواتب'!$Z$3:$Z$502,0)),"")</f>
        <v/>
      </c>
      <c r="P89" s="60">
        <f>IFERROR(INDEX('الرواتب'!$T$3:$T$502,MATCH(83,'الرواتب'!$Z$3:$Z$502,0)),"")</f>
        <v/>
      </c>
      <c r="Q89" s="60">
        <f>IFERROR(INDEX('الرواتب'!$U$3:$U$502,MATCH(83,'الرواتب'!$Z$3:$Z$502,0)),"")</f>
        <v/>
      </c>
      <c r="R89" s="60">
        <f>IFERROR(INDEX('الرواتب'!$V$3:$V$502,MATCH(83,'الرواتب'!$Z$3:$Z$502,0)),"")</f>
        <v/>
      </c>
    </row>
    <row r="90">
      <c r="A90" s="50">
        <f>IFERROR(INDEX('الرواتب'!$C$3:$C$502,MATCH(84,'الرواتب'!$Z$3:$Z$502,0)),"")</f>
        <v/>
      </c>
      <c r="B90" s="50">
        <f>IFERROR(INDEX('الرواتب'!$D$3:$D$502,MATCH(84,'الرواتب'!$Z$3:$Z$502,0)),"")</f>
        <v/>
      </c>
      <c r="C90" s="50">
        <f>IFERROR(INDEX('الرواتب'!$E$3:$E$502,MATCH(84,'الرواتب'!$Z$3:$Z$502,0)),"")</f>
        <v/>
      </c>
      <c r="D90" s="63">
        <f>IFERROR(INDEX('الرواتب'!$G$3:$G$502,MATCH(84,'الرواتب'!$Z$3:$Z$502,0)),"")</f>
        <v/>
      </c>
      <c r="E90" s="63">
        <f>IFERROR(INDEX('الرواتب'!$H$3:$H$502,MATCH(84,'الرواتب'!$Z$3:$Z$502,0)),"")</f>
        <v/>
      </c>
      <c r="F90" s="63">
        <f>IFERROR(INDEX('الرواتب'!$I$3:$I$502,MATCH(84,'الرواتب'!$Z$3:$Z$502,0)),"")</f>
        <v/>
      </c>
      <c r="G90" s="63">
        <f>IFERROR(INDEX('الرواتب'!$J$3:$J$502,MATCH(84,'الرواتب'!$Z$3:$Z$502,0)),"")</f>
        <v/>
      </c>
      <c r="H90" s="63">
        <f>IFERROR(INDEX('الرواتب'!$K$3:$K$502,MATCH(84,'الرواتب'!$Z$3:$Z$502,0)),"")</f>
        <v/>
      </c>
      <c r="I90" s="63">
        <f>IFERROR(INDEX('الرواتب'!$L$3:$L$502,MATCH(84,'الرواتب'!$Z$3:$Z$502,0)),"")</f>
        <v/>
      </c>
      <c r="J90" s="63">
        <f>IFERROR(INDEX('الرواتب'!$S$3:$S$502,MATCH(84,'الرواتب'!$Z$3:$Z$502,0)),"")</f>
        <v/>
      </c>
      <c r="K90" s="63">
        <f>IFERROR(INDEX('الرواتب'!$N$3:$N$502,MATCH(84,'الرواتب'!$Z$3:$Z$502,0)),"")</f>
        <v/>
      </c>
      <c r="L90" s="63">
        <f>IFERROR(INDEX('الرواتب'!$O$3:$O$502,MATCH(84,'الرواتب'!$Z$3:$Z$502,0)),"")</f>
        <v/>
      </c>
      <c r="M90" s="63">
        <f>IFERROR(INDEX('الرواتب'!$P$3:$P$502,MATCH(84,'الرواتب'!$Z$3:$Z$502,0)),"")</f>
        <v/>
      </c>
      <c r="N90" s="63">
        <f>IFERROR(INDEX('الرواتب'!$Q$3:$Q$502,MATCH(84,'الرواتب'!$Z$3:$Z$502,0)),"")</f>
        <v/>
      </c>
      <c r="O90" s="63">
        <f>IFERROR(INDEX('الرواتب'!$R$3:$R$502,MATCH(84,'الرواتب'!$Z$3:$Z$502,0)),"")</f>
        <v/>
      </c>
      <c r="P90" s="63">
        <f>IFERROR(INDEX('الرواتب'!$T$3:$T$502,MATCH(84,'الرواتب'!$Z$3:$Z$502,0)),"")</f>
        <v/>
      </c>
      <c r="Q90" s="63">
        <f>IFERROR(INDEX('الرواتب'!$U$3:$U$502,MATCH(84,'الرواتب'!$Z$3:$Z$502,0)),"")</f>
        <v/>
      </c>
      <c r="R90" s="63">
        <f>IFERROR(INDEX('الرواتب'!$V$3:$V$502,MATCH(84,'الرواتب'!$Z$3:$Z$502,0)),"")</f>
        <v/>
      </c>
    </row>
    <row r="91">
      <c r="A91" s="43">
        <f>IFERROR(INDEX('الرواتب'!$C$3:$C$502,MATCH(85,'الرواتب'!$Z$3:$Z$502,0)),"")</f>
        <v/>
      </c>
      <c r="B91" s="43">
        <f>IFERROR(INDEX('الرواتب'!$D$3:$D$502,MATCH(85,'الرواتب'!$Z$3:$Z$502,0)),"")</f>
        <v/>
      </c>
      <c r="C91" s="43">
        <f>IFERROR(INDEX('الرواتب'!$E$3:$E$502,MATCH(85,'الرواتب'!$Z$3:$Z$502,0)),"")</f>
        <v/>
      </c>
      <c r="D91" s="60">
        <f>IFERROR(INDEX('الرواتب'!$G$3:$G$502,MATCH(85,'الرواتب'!$Z$3:$Z$502,0)),"")</f>
        <v/>
      </c>
      <c r="E91" s="60">
        <f>IFERROR(INDEX('الرواتب'!$H$3:$H$502,MATCH(85,'الرواتب'!$Z$3:$Z$502,0)),"")</f>
        <v/>
      </c>
      <c r="F91" s="60">
        <f>IFERROR(INDEX('الرواتب'!$I$3:$I$502,MATCH(85,'الرواتب'!$Z$3:$Z$502,0)),"")</f>
        <v/>
      </c>
      <c r="G91" s="60">
        <f>IFERROR(INDEX('الرواتب'!$J$3:$J$502,MATCH(85,'الرواتب'!$Z$3:$Z$502,0)),"")</f>
        <v/>
      </c>
      <c r="H91" s="60">
        <f>IFERROR(INDEX('الرواتب'!$K$3:$K$502,MATCH(85,'الرواتب'!$Z$3:$Z$502,0)),"")</f>
        <v/>
      </c>
      <c r="I91" s="60">
        <f>IFERROR(INDEX('الرواتب'!$L$3:$L$502,MATCH(85,'الرواتب'!$Z$3:$Z$502,0)),"")</f>
        <v/>
      </c>
      <c r="J91" s="60">
        <f>IFERROR(INDEX('الرواتب'!$S$3:$S$502,MATCH(85,'الرواتب'!$Z$3:$Z$502,0)),"")</f>
        <v/>
      </c>
      <c r="K91" s="60">
        <f>IFERROR(INDEX('الرواتب'!$N$3:$N$502,MATCH(85,'الرواتب'!$Z$3:$Z$502,0)),"")</f>
        <v/>
      </c>
      <c r="L91" s="60">
        <f>IFERROR(INDEX('الرواتب'!$O$3:$O$502,MATCH(85,'الرواتب'!$Z$3:$Z$502,0)),"")</f>
        <v/>
      </c>
      <c r="M91" s="60">
        <f>IFERROR(INDEX('الرواتب'!$P$3:$P$502,MATCH(85,'الرواتب'!$Z$3:$Z$502,0)),"")</f>
        <v/>
      </c>
      <c r="N91" s="60">
        <f>IFERROR(INDEX('الرواتب'!$Q$3:$Q$502,MATCH(85,'الرواتب'!$Z$3:$Z$502,0)),"")</f>
        <v/>
      </c>
      <c r="O91" s="60">
        <f>IFERROR(INDEX('الرواتب'!$R$3:$R$502,MATCH(85,'الرواتب'!$Z$3:$Z$502,0)),"")</f>
        <v/>
      </c>
      <c r="P91" s="60">
        <f>IFERROR(INDEX('الرواتب'!$T$3:$T$502,MATCH(85,'الرواتب'!$Z$3:$Z$502,0)),"")</f>
        <v/>
      </c>
      <c r="Q91" s="60">
        <f>IFERROR(INDEX('الرواتب'!$U$3:$U$502,MATCH(85,'الرواتب'!$Z$3:$Z$502,0)),"")</f>
        <v/>
      </c>
      <c r="R91" s="60">
        <f>IFERROR(INDEX('الرواتب'!$V$3:$V$502,MATCH(85,'الرواتب'!$Z$3:$Z$502,0)),"")</f>
        <v/>
      </c>
    </row>
    <row r="92">
      <c r="A92" s="50">
        <f>IFERROR(INDEX('الرواتب'!$C$3:$C$502,MATCH(86,'الرواتب'!$Z$3:$Z$502,0)),"")</f>
        <v/>
      </c>
      <c r="B92" s="50">
        <f>IFERROR(INDEX('الرواتب'!$D$3:$D$502,MATCH(86,'الرواتب'!$Z$3:$Z$502,0)),"")</f>
        <v/>
      </c>
      <c r="C92" s="50">
        <f>IFERROR(INDEX('الرواتب'!$E$3:$E$502,MATCH(86,'الرواتب'!$Z$3:$Z$502,0)),"")</f>
        <v/>
      </c>
      <c r="D92" s="63">
        <f>IFERROR(INDEX('الرواتب'!$G$3:$G$502,MATCH(86,'الرواتب'!$Z$3:$Z$502,0)),"")</f>
        <v/>
      </c>
      <c r="E92" s="63">
        <f>IFERROR(INDEX('الرواتب'!$H$3:$H$502,MATCH(86,'الرواتب'!$Z$3:$Z$502,0)),"")</f>
        <v/>
      </c>
      <c r="F92" s="63">
        <f>IFERROR(INDEX('الرواتب'!$I$3:$I$502,MATCH(86,'الرواتب'!$Z$3:$Z$502,0)),"")</f>
        <v/>
      </c>
      <c r="G92" s="63">
        <f>IFERROR(INDEX('الرواتب'!$J$3:$J$502,MATCH(86,'الرواتب'!$Z$3:$Z$502,0)),"")</f>
        <v/>
      </c>
      <c r="H92" s="63">
        <f>IFERROR(INDEX('الرواتب'!$K$3:$K$502,MATCH(86,'الرواتب'!$Z$3:$Z$502,0)),"")</f>
        <v/>
      </c>
      <c r="I92" s="63">
        <f>IFERROR(INDEX('الرواتب'!$L$3:$L$502,MATCH(86,'الرواتب'!$Z$3:$Z$502,0)),"")</f>
        <v/>
      </c>
      <c r="J92" s="63">
        <f>IFERROR(INDEX('الرواتب'!$S$3:$S$502,MATCH(86,'الرواتب'!$Z$3:$Z$502,0)),"")</f>
        <v/>
      </c>
      <c r="K92" s="63">
        <f>IFERROR(INDEX('الرواتب'!$N$3:$N$502,MATCH(86,'الرواتب'!$Z$3:$Z$502,0)),"")</f>
        <v/>
      </c>
      <c r="L92" s="63">
        <f>IFERROR(INDEX('الرواتب'!$O$3:$O$502,MATCH(86,'الرواتب'!$Z$3:$Z$502,0)),"")</f>
        <v/>
      </c>
      <c r="M92" s="63">
        <f>IFERROR(INDEX('الرواتب'!$P$3:$P$502,MATCH(86,'الرواتب'!$Z$3:$Z$502,0)),"")</f>
        <v/>
      </c>
      <c r="N92" s="63">
        <f>IFERROR(INDEX('الرواتب'!$Q$3:$Q$502,MATCH(86,'الرواتب'!$Z$3:$Z$502,0)),"")</f>
        <v/>
      </c>
      <c r="O92" s="63">
        <f>IFERROR(INDEX('الرواتب'!$R$3:$R$502,MATCH(86,'الرواتب'!$Z$3:$Z$502,0)),"")</f>
        <v/>
      </c>
      <c r="P92" s="63">
        <f>IFERROR(INDEX('الرواتب'!$T$3:$T$502,MATCH(86,'الرواتب'!$Z$3:$Z$502,0)),"")</f>
        <v/>
      </c>
      <c r="Q92" s="63">
        <f>IFERROR(INDEX('الرواتب'!$U$3:$U$502,MATCH(86,'الرواتب'!$Z$3:$Z$502,0)),"")</f>
        <v/>
      </c>
      <c r="R92" s="63">
        <f>IFERROR(INDEX('الرواتب'!$V$3:$V$502,MATCH(86,'الرواتب'!$Z$3:$Z$502,0)),"")</f>
        <v/>
      </c>
    </row>
    <row r="93">
      <c r="A93" s="43">
        <f>IFERROR(INDEX('الرواتب'!$C$3:$C$502,MATCH(87,'الرواتب'!$Z$3:$Z$502,0)),"")</f>
        <v/>
      </c>
      <c r="B93" s="43">
        <f>IFERROR(INDEX('الرواتب'!$D$3:$D$502,MATCH(87,'الرواتب'!$Z$3:$Z$502,0)),"")</f>
        <v/>
      </c>
      <c r="C93" s="43">
        <f>IFERROR(INDEX('الرواتب'!$E$3:$E$502,MATCH(87,'الرواتب'!$Z$3:$Z$502,0)),"")</f>
        <v/>
      </c>
      <c r="D93" s="60">
        <f>IFERROR(INDEX('الرواتب'!$G$3:$G$502,MATCH(87,'الرواتب'!$Z$3:$Z$502,0)),"")</f>
        <v/>
      </c>
      <c r="E93" s="60">
        <f>IFERROR(INDEX('الرواتب'!$H$3:$H$502,MATCH(87,'الرواتب'!$Z$3:$Z$502,0)),"")</f>
        <v/>
      </c>
      <c r="F93" s="60">
        <f>IFERROR(INDEX('الرواتب'!$I$3:$I$502,MATCH(87,'الرواتب'!$Z$3:$Z$502,0)),"")</f>
        <v/>
      </c>
      <c r="G93" s="60">
        <f>IFERROR(INDEX('الرواتب'!$J$3:$J$502,MATCH(87,'الرواتب'!$Z$3:$Z$502,0)),"")</f>
        <v/>
      </c>
      <c r="H93" s="60">
        <f>IFERROR(INDEX('الرواتب'!$K$3:$K$502,MATCH(87,'الرواتب'!$Z$3:$Z$502,0)),"")</f>
        <v/>
      </c>
      <c r="I93" s="60">
        <f>IFERROR(INDEX('الرواتب'!$L$3:$L$502,MATCH(87,'الرواتب'!$Z$3:$Z$502,0)),"")</f>
        <v/>
      </c>
      <c r="J93" s="60">
        <f>IFERROR(INDEX('الرواتب'!$S$3:$S$502,MATCH(87,'الرواتب'!$Z$3:$Z$502,0)),"")</f>
        <v/>
      </c>
      <c r="K93" s="60">
        <f>IFERROR(INDEX('الرواتب'!$N$3:$N$502,MATCH(87,'الرواتب'!$Z$3:$Z$502,0)),"")</f>
        <v/>
      </c>
      <c r="L93" s="60">
        <f>IFERROR(INDEX('الرواتب'!$O$3:$O$502,MATCH(87,'الرواتب'!$Z$3:$Z$502,0)),"")</f>
        <v/>
      </c>
      <c r="M93" s="60">
        <f>IFERROR(INDEX('الرواتب'!$P$3:$P$502,MATCH(87,'الرواتب'!$Z$3:$Z$502,0)),"")</f>
        <v/>
      </c>
      <c r="N93" s="60">
        <f>IFERROR(INDEX('الرواتب'!$Q$3:$Q$502,MATCH(87,'الرواتب'!$Z$3:$Z$502,0)),"")</f>
        <v/>
      </c>
      <c r="O93" s="60">
        <f>IFERROR(INDEX('الرواتب'!$R$3:$R$502,MATCH(87,'الرواتب'!$Z$3:$Z$502,0)),"")</f>
        <v/>
      </c>
      <c r="P93" s="60">
        <f>IFERROR(INDEX('الرواتب'!$T$3:$T$502,MATCH(87,'الرواتب'!$Z$3:$Z$502,0)),"")</f>
        <v/>
      </c>
      <c r="Q93" s="60">
        <f>IFERROR(INDEX('الرواتب'!$U$3:$U$502,MATCH(87,'الرواتب'!$Z$3:$Z$502,0)),"")</f>
        <v/>
      </c>
      <c r="R93" s="60">
        <f>IFERROR(INDEX('الرواتب'!$V$3:$V$502,MATCH(87,'الرواتب'!$Z$3:$Z$502,0)),"")</f>
        <v/>
      </c>
    </row>
    <row r="94">
      <c r="A94" s="50">
        <f>IFERROR(INDEX('الرواتب'!$C$3:$C$502,MATCH(88,'الرواتب'!$Z$3:$Z$502,0)),"")</f>
        <v/>
      </c>
      <c r="B94" s="50">
        <f>IFERROR(INDEX('الرواتب'!$D$3:$D$502,MATCH(88,'الرواتب'!$Z$3:$Z$502,0)),"")</f>
        <v/>
      </c>
      <c r="C94" s="50">
        <f>IFERROR(INDEX('الرواتب'!$E$3:$E$502,MATCH(88,'الرواتب'!$Z$3:$Z$502,0)),"")</f>
        <v/>
      </c>
      <c r="D94" s="63">
        <f>IFERROR(INDEX('الرواتب'!$G$3:$G$502,MATCH(88,'الرواتب'!$Z$3:$Z$502,0)),"")</f>
        <v/>
      </c>
      <c r="E94" s="63">
        <f>IFERROR(INDEX('الرواتب'!$H$3:$H$502,MATCH(88,'الرواتب'!$Z$3:$Z$502,0)),"")</f>
        <v/>
      </c>
      <c r="F94" s="63">
        <f>IFERROR(INDEX('الرواتب'!$I$3:$I$502,MATCH(88,'الرواتب'!$Z$3:$Z$502,0)),"")</f>
        <v/>
      </c>
      <c r="G94" s="63">
        <f>IFERROR(INDEX('الرواتب'!$J$3:$J$502,MATCH(88,'الرواتب'!$Z$3:$Z$502,0)),"")</f>
        <v/>
      </c>
      <c r="H94" s="63">
        <f>IFERROR(INDEX('الرواتب'!$K$3:$K$502,MATCH(88,'الرواتب'!$Z$3:$Z$502,0)),"")</f>
        <v/>
      </c>
      <c r="I94" s="63">
        <f>IFERROR(INDEX('الرواتب'!$L$3:$L$502,MATCH(88,'الرواتب'!$Z$3:$Z$502,0)),"")</f>
        <v/>
      </c>
      <c r="J94" s="63">
        <f>IFERROR(INDEX('الرواتب'!$S$3:$S$502,MATCH(88,'الرواتب'!$Z$3:$Z$502,0)),"")</f>
        <v/>
      </c>
      <c r="K94" s="63">
        <f>IFERROR(INDEX('الرواتب'!$N$3:$N$502,MATCH(88,'الرواتب'!$Z$3:$Z$502,0)),"")</f>
        <v/>
      </c>
      <c r="L94" s="63">
        <f>IFERROR(INDEX('الرواتب'!$O$3:$O$502,MATCH(88,'الرواتب'!$Z$3:$Z$502,0)),"")</f>
        <v/>
      </c>
      <c r="M94" s="63">
        <f>IFERROR(INDEX('الرواتب'!$P$3:$P$502,MATCH(88,'الرواتب'!$Z$3:$Z$502,0)),"")</f>
        <v/>
      </c>
      <c r="N94" s="63">
        <f>IFERROR(INDEX('الرواتب'!$Q$3:$Q$502,MATCH(88,'الرواتب'!$Z$3:$Z$502,0)),"")</f>
        <v/>
      </c>
      <c r="O94" s="63">
        <f>IFERROR(INDEX('الرواتب'!$R$3:$R$502,MATCH(88,'الرواتب'!$Z$3:$Z$502,0)),"")</f>
        <v/>
      </c>
      <c r="P94" s="63">
        <f>IFERROR(INDEX('الرواتب'!$T$3:$T$502,MATCH(88,'الرواتب'!$Z$3:$Z$502,0)),"")</f>
        <v/>
      </c>
      <c r="Q94" s="63">
        <f>IFERROR(INDEX('الرواتب'!$U$3:$U$502,MATCH(88,'الرواتب'!$Z$3:$Z$502,0)),"")</f>
        <v/>
      </c>
      <c r="R94" s="63">
        <f>IFERROR(INDEX('الرواتب'!$V$3:$V$502,MATCH(88,'الرواتب'!$Z$3:$Z$502,0)),"")</f>
        <v/>
      </c>
    </row>
    <row r="95">
      <c r="A95" s="43">
        <f>IFERROR(INDEX('الرواتب'!$C$3:$C$502,MATCH(89,'الرواتب'!$Z$3:$Z$502,0)),"")</f>
        <v/>
      </c>
      <c r="B95" s="43">
        <f>IFERROR(INDEX('الرواتب'!$D$3:$D$502,MATCH(89,'الرواتب'!$Z$3:$Z$502,0)),"")</f>
        <v/>
      </c>
      <c r="C95" s="43">
        <f>IFERROR(INDEX('الرواتب'!$E$3:$E$502,MATCH(89,'الرواتب'!$Z$3:$Z$502,0)),"")</f>
        <v/>
      </c>
      <c r="D95" s="60">
        <f>IFERROR(INDEX('الرواتب'!$G$3:$G$502,MATCH(89,'الرواتب'!$Z$3:$Z$502,0)),"")</f>
        <v/>
      </c>
      <c r="E95" s="60">
        <f>IFERROR(INDEX('الرواتب'!$H$3:$H$502,MATCH(89,'الرواتب'!$Z$3:$Z$502,0)),"")</f>
        <v/>
      </c>
      <c r="F95" s="60">
        <f>IFERROR(INDEX('الرواتب'!$I$3:$I$502,MATCH(89,'الرواتب'!$Z$3:$Z$502,0)),"")</f>
        <v/>
      </c>
      <c r="G95" s="60">
        <f>IFERROR(INDEX('الرواتب'!$J$3:$J$502,MATCH(89,'الرواتب'!$Z$3:$Z$502,0)),"")</f>
        <v/>
      </c>
      <c r="H95" s="60">
        <f>IFERROR(INDEX('الرواتب'!$K$3:$K$502,MATCH(89,'الرواتب'!$Z$3:$Z$502,0)),"")</f>
        <v/>
      </c>
      <c r="I95" s="60">
        <f>IFERROR(INDEX('الرواتب'!$L$3:$L$502,MATCH(89,'الرواتب'!$Z$3:$Z$502,0)),"")</f>
        <v/>
      </c>
      <c r="J95" s="60">
        <f>IFERROR(INDEX('الرواتب'!$S$3:$S$502,MATCH(89,'الرواتب'!$Z$3:$Z$502,0)),"")</f>
        <v/>
      </c>
      <c r="K95" s="60">
        <f>IFERROR(INDEX('الرواتب'!$N$3:$N$502,MATCH(89,'الرواتب'!$Z$3:$Z$502,0)),"")</f>
        <v/>
      </c>
      <c r="L95" s="60">
        <f>IFERROR(INDEX('الرواتب'!$O$3:$O$502,MATCH(89,'الرواتب'!$Z$3:$Z$502,0)),"")</f>
        <v/>
      </c>
      <c r="M95" s="60">
        <f>IFERROR(INDEX('الرواتب'!$P$3:$P$502,MATCH(89,'الرواتب'!$Z$3:$Z$502,0)),"")</f>
        <v/>
      </c>
      <c r="N95" s="60">
        <f>IFERROR(INDEX('الرواتب'!$Q$3:$Q$502,MATCH(89,'الرواتب'!$Z$3:$Z$502,0)),"")</f>
        <v/>
      </c>
      <c r="O95" s="60">
        <f>IFERROR(INDEX('الرواتب'!$R$3:$R$502,MATCH(89,'الرواتب'!$Z$3:$Z$502,0)),"")</f>
        <v/>
      </c>
      <c r="P95" s="60">
        <f>IFERROR(INDEX('الرواتب'!$T$3:$T$502,MATCH(89,'الرواتب'!$Z$3:$Z$502,0)),"")</f>
        <v/>
      </c>
      <c r="Q95" s="60">
        <f>IFERROR(INDEX('الرواتب'!$U$3:$U$502,MATCH(89,'الرواتب'!$Z$3:$Z$502,0)),"")</f>
        <v/>
      </c>
      <c r="R95" s="60">
        <f>IFERROR(INDEX('الرواتب'!$V$3:$V$502,MATCH(89,'الرواتب'!$Z$3:$Z$502,0)),"")</f>
        <v/>
      </c>
    </row>
    <row r="96">
      <c r="A96" s="50">
        <f>IFERROR(INDEX('الرواتب'!$C$3:$C$502,MATCH(90,'الرواتب'!$Z$3:$Z$502,0)),"")</f>
        <v/>
      </c>
      <c r="B96" s="50">
        <f>IFERROR(INDEX('الرواتب'!$D$3:$D$502,MATCH(90,'الرواتب'!$Z$3:$Z$502,0)),"")</f>
        <v/>
      </c>
      <c r="C96" s="50">
        <f>IFERROR(INDEX('الرواتب'!$E$3:$E$502,MATCH(90,'الرواتب'!$Z$3:$Z$502,0)),"")</f>
        <v/>
      </c>
      <c r="D96" s="63">
        <f>IFERROR(INDEX('الرواتب'!$G$3:$G$502,MATCH(90,'الرواتب'!$Z$3:$Z$502,0)),"")</f>
        <v/>
      </c>
      <c r="E96" s="63">
        <f>IFERROR(INDEX('الرواتب'!$H$3:$H$502,MATCH(90,'الرواتب'!$Z$3:$Z$502,0)),"")</f>
        <v/>
      </c>
      <c r="F96" s="63">
        <f>IFERROR(INDEX('الرواتب'!$I$3:$I$502,MATCH(90,'الرواتب'!$Z$3:$Z$502,0)),"")</f>
        <v/>
      </c>
      <c r="G96" s="63">
        <f>IFERROR(INDEX('الرواتب'!$J$3:$J$502,MATCH(90,'الرواتب'!$Z$3:$Z$502,0)),"")</f>
        <v/>
      </c>
      <c r="H96" s="63">
        <f>IFERROR(INDEX('الرواتب'!$K$3:$K$502,MATCH(90,'الرواتب'!$Z$3:$Z$502,0)),"")</f>
        <v/>
      </c>
      <c r="I96" s="63">
        <f>IFERROR(INDEX('الرواتب'!$L$3:$L$502,MATCH(90,'الرواتب'!$Z$3:$Z$502,0)),"")</f>
        <v/>
      </c>
      <c r="J96" s="63">
        <f>IFERROR(INDEX('الرواتب'!$S$3:$S$502,MATCH(90,'الرواتب'!$Z$3:$Z$502,0)),"")</f>
        <v/>
      </c>
      <c r="K96" s="63">
        <f>IFERROR(INDEX('الرواتب'!$N$3:$N$502,MATCH(90,'الرواتب'!$Z$3:$Z$502,0)),"")</f>
        <v/>
      </c>
      <c r="L96" s="63">
        <f>IFERROR(INDEX('الرواتب'!$O$3:$O$502,MATCH(90,'الرواتب'!$Z$3:$Z$502,0)),"")</f>
        <v/>
      </c>
      <c r="M96" s="63">
        <f>IFERROR(INDEX('الرواتب'!$P$3:$P$502,MATCH(90,'الرواتب'!$Z$3:$Z$502,0)),"")</f>
        <v/>
      </c>
      <c r="N96" s="63">
        <f>IFERROR(INDEX('الرواتب'!$Q$3:$Q$502,MATCH(90,'الرواتب'!$Z$3:$Z$502,0)),"")</f>
        <v/>
      </c>
      <c r="O96" s="63">
        <f>IFERROR(INDEX('الرواتب'!$R$3:$R$502,MATCH(90,'الرواتب'!$Z$3:$Z$502,0)),"")</f>
        <v/>
      </c>
      <c r="P96" s="63">
        <f>IFERROR(INDEX('الرواتب'!$T$3:$T$502,MATCH(90,'الرواتب'!$Z$3:$Z$502,0)),"")</f>
        <v/>
      </c>
      <c r="Q96" s="63">
        <f>IFERROR(INDEX('الرواتب'!$U$3:$U$502,MATCH(90,'الرواتب'!$Z$3:$Z$502,0)),"")</f>
        <v/>
      </c>
      <c r="R96" s="63">
        <f>IFERROR(INDEX('الرواتب'!$V$3:$V$502,MATCH(90,'الرواتب'!$Z$3:$Z$502,0)),"")</f>
        <v/>
      </c>
    </row>
    <row r="97">
      <c r="A97" s="43">
        <f>IFERROR(INDEX('الرواتب'!$C$3:$C$502,MATCH(91,'الرواتب'!$Z$3:$Z$502,0)),"")</f>
        <v/>
      </c>
      <c r="B97" s="43">
        <f>IFERROR(INDEX('الرواتب'!$D$3:$D$502,MATCH(91,'الرواتب'!$Z$3:$Z$502,0)),"")</f>
        <v/>
      </c>
      <c r="C97" s="43">
        <f>IFERROR(INDEX('الرواتب'!$E$3:$E$502,MATCH(91,'الرواتب'!$Z$3:$Z$502,0)),"")</f>
        <v/>
      </c>
      <c r="D97" s="60">
        <f>IFERROR(INDEX('الرواتب'!$G$3:$G$502,MATCH(91,'الرواتب'!$Z$3:$Z$502,0)),"")</f>
        <v/>
      </c>
      <c r="E97" s="60">
        <f>IFERROR(INDEX('الرواتب'!$H$3:$H$502,MATCH(91,'الرواتب'!$Z$3:$Z$502,0)),"")</f>
        <v/>
      </c>
      <c r="F97" s="60">
        <f>IFERROR(INDEX('الرواتب'!$I$3:$I$502,MATCH(91,'الرواتب'!$Z$3:$Z$502,0)),"")</f>
        <v/>
      </c>
      <c r="G97" s="60">
        <f>IFERROR(INDEX('الرواتب'!$J$3:$J$502,MATCH(91,'الرواتب'!$Z$3:$Z$502,0)),"")</f>
        <v/>
      </c>
      <c r="H97" s="60">
        <f>IFERROR(INDEX('الرواتب'!$K$3:$K$502,MATCH(91,'الرواتب'!$Z$3:$Z$502,0)),"")</f>
        <v/>
      </c>
      <c r="I97" s="60">
        <f>IFERROR(INDEX('الرواتب'!$L$3:$L$502,MATCH(91,'الرواتب'!$Z$3:$Z$502,0)),"")</f>
        <v/>
      </c>
      <c r="J97" s="60">
        <f>IFERROR(INDEX('الرواتب'!$S$3:$S$502,MATCH(91,'الرواتب'!$Z$3:$Z$502,0)),"")</f>
        <v/>
      </c>
      <c r="K97" s="60">
        <f>IFERROR(INDEX('الرواتب'!$N$3:$N$502,MATCH(91,'الرواتب'!$Z$3:$Z$502,0)),"")</f>
        <v/>
      </c>
      <c r="L97" s="60">
        <f>IFERROR(INDEX('الرواتب'!$O$3:$O$502,MATCH(91,'الرواتب'!$Z$3:$Z$502,0)),"")</f>
        <v/>
      </c>
      <c r="M97" s="60">
        <f>IFERROR(INDEX('الرواتب'!$P$3:$P$502,MATCH(91,'الرواتب'!$Z$3:$Z$502,0)),"")</f>
        <v/>
      </c>
      <c r="N97" s="60">
        <f>IFERROR(INDEX('الرواتب'!$Q$3:$Q$502,MATCH(91,'الرواتب'!$Z$3:$Z$502,0)),"")</f>
        <v/>
      </c>
      <c r="O97" s="60">
        <f>IFERROR(INDEX('الرواتب'!$R$3:$R$502,MATCH(91,'الرواتب'!$Z$3:$Z$502,0)),"")</f>
        <v/>
      </c>
      <c r="P97" s="60">
        <f>IFERROR(INDEX('الرواتب'!$T$3:$T$502,MATCH(91,'الرواتب'!$Z$3:$Z$502,0)),"")</f>
        <v/>
      </c>
      <c r="Q97" s="60">
        <f>IFERROR(INDEX('الرواتب'!$U$3:$U$502,MATCH(91,'الرواتب'!$Z$3:$Z$502,0)),"")</f>
        <v/>
      </c>
      <c r="R97" s="60">
        <f>IFERROR(INDEX('الرواتب'!$V$3:$V$502,MATCH(91,'الرواتب'!$Z$3:$Z$502,0)),"")</f>
        <v/>
      </c>
    </row>
    <row r="98">
      <c r="A98" s="50">
        <f>IFERROR(INDEX('الرواتب'!$C$3:$C$502,MATCH(92,'الرواتب'!$Z$3:$Z$502,0)),"")</f>
        <v/>
      </c>
      <c r="B98" s="50">
        <f>IFERROR(INDEX('الرواتب'!$D$3:$D$502,MATCH(92,'الرواتب'!$Z$3:$Z$502,0)),"")</f>
        <v/>
      </c>
      <c r="C98" s="50">
        <f>IFERROR(INDEX('الرواتب'!$E$3:$E$502,MATCH(92,'الرواتب'!$Z$3:$Z$502,0)),"")</f>
        <v/>
      </c>
      <c r="D98" s="63">
        <f>IFERROR(INDEX('الرواتب'!$G$3:$G$502,MATCH(92,'الرواتب'!$Z$3:$Z$502,0)),"")</f>
        <v/>
      </c>
      <c r="E98" s="63">
        <f>IFERROR(INDEX('الرواتب'!$H$3:$H$502,MATCH(92,'الرواتب'!$Z$3:$Z$502,0)),"")</f>
        <v/>
      </c>
      <c r="F98" s="63">
        <f>IFERROR(INDEX('الرواتب'!$I$3:$I$502,MATCH(92,'الرواتب'!$Z$3:$Z$502,0)),"")</f>
        <v/>
      </c>
      <c r="G98" s="63">
        <f>IFERROR(INDEX('الرواتب'!$J$3:$J$502,MATCH(92,'الرواتب'!$Z$3:$Z$502,0)),"")</f>
        <v/>
      </c>
      <c r="H98" s="63">
        <f>IFERROR(INDEX('الرواتب'!$K$3:$K$502,MATCH(92,'الرواتب'!$Z$3:$Z$502,0)),"")</f>
        <v/>
      </c>
      <c r="I98" s="63">
        <f>IFERROR(INDEX('الرواتب'!$L$3:$L$502,MATCH(92,'الرواتب'!$Z$3:$Z$502,0)),"")</f>
        <v/>
      </c>
      <c r="J98" s="63">
        <f>IFERROR(INDEX('الرواتب'!$S$3:$S$502,MATCH(92,'الرواتب'!$Z$3:$Z$502,0)),"")</f>
        <v/>
      </c>
      <c r="K98" s="63">
        <f>IFERROR(INDEX('الرواتب'!$N$3:$N$502,MATCH(92,'الرواتب'!$Z$3:$Z$502,0)),"")</f>
        <v/>
      </c>
      <c r="L98" s="63">
        <f>IFERROR(INDEX('الرواتب'!$O$3:$O$502,MATCH(92,'الرواتب'!$Z$3:$Z$502,0)),"")</f>
        <v/>
      </c>
      <c r="M98" s="63">
        <f>IFERROR(INDEX('الرواتب'!$P$3:$P$502,MATCH(92,'الرواتب'!$Z$3:$Z$502,0)),"")</f>
        <v/>
      </c>
      <c r="N98" s="63">
        <f>IFERROR(INDEX('الرواتب'!$Q$3:$Q$502,MATCH(92,'الرواتب'!$Z$3:$Z$502,0)),"")</f>
        <v/>
      </c>
      <c r="O98" s="63">
        <f>IFERROR(INDEX('الرواتب'!$R$3:$R$502,MATCH(92,'الرواتب'!$Z$3:$Z$502,0)),"")</f>
        <v/>
      </c>
      <c r="P98" s="63">
        <f>IFERROR(INDEX('الرواتب'!$T$3:$T$502,MATCH(92,'الرواتب'!$Z$3:$Z$502,0)),"")</f>
        <v/>
      </c>
      <c r="Q98" s="63">
        <f>IFERROR(INDEX('الرواتب'!$U$3:$U$502,MATCH(92,'الرواتب'!$Z$3:$Z$502,0)),"")</f>
        <v/>
      </c>
      <c r="R98" s="63">
        <f>IFERROR(INDEX('الرواتب'!$V$3:$V$502,MATCH(92,'الرواتب'!$Z$3:$Z$502,0)),"")</f>
        <v/>
      </c>
    </row>
    <row r="99">
      <c r="A99" s="43">
        <f>IFERROR(INDEX('الرواتب'!$C$3:$C$502,MATCH(93,'الرواتب'!$Z$3:$Z$502,0)),"")</f>
        <v/>
      </c>
      <c r="B99" s="43">
        <f>IFERROR(INDEX('الرواتب'!$D$3:$D$502,MATCH(93,'الرواتب'!$Z$3:$Z$502,0)),"")</f>
        <v/>
      </c>
      <c r="C99" s="43">
        <f>IFERROR(INDEX('الرواتب'!$E$3:$E$502,MATCH(93,'الرواتب'!$Z$3:$Z$502,0)),"")</f>
        <v/>
      </c>
      <c r="D99" s="60">
        <f>IFERROR(INDEX('الرواتب'!$G$3:$G$502,MATCH(93,'الرواتب'!$Z$3:$Z$502,0)),"")</f>
        <v/>
      </c>
      <c r="E99" s="60">
        <f>IFERROR(INDEX('الرواتب'!$H$3:$H$502,MATCH(93,'الرواتب'!$Z$3:$Z$502,0)),"")</f>
        <v/>
      </c>
      <c r="F99" s="60">
        <f>IFERROR(INDEX('الرواتب'!$I$3:$I$502,MATCH(93,'الرواتب'!$Z$3:$Z$502,0)),"")</f>
        <v/>
      </c>
      <c r="G99" s="60">
        <f>IFERROR(INDEX('الرواتب'!$J$3:$J$502,MATCH(93,'الرواتب'!$Z$3:$Z$502,0)),"")</f>
        <v/>
      </c>
      <c r="H99" s="60">
        <f>IFERROR(INDEX('الرواتب'!$K$3:$K$502,MATCH(93,'الرواتب'!$Z$3:$Z$502,0)),"")</f>
        <v/>
      </c>
      <c r="I99" s="60">
        <f>IFERROR(INDEX('الرواتب'!$L$3:$L$502,MATCH(93,'الرواتب'!$Z$3:$Z$502,0)),"")</f>
        <v/>
      </c>
      <c r="J99" s="60">
        <f>IFERROR(INDEX('الرواتب'!$S$3:$S$502,MATCH(93,'الرواتب'!$Z$3:$Z$502,0)),"")</f>
        <v/>
      </c>
      <c r="K99" s="60">
        <f>IFERROR(INDEX('الرواتب'!$N$3:$N$502,MATCH(93,'الرواتب'!$Z$3:$Z$502,0)),"")</f>
        <v/>
      </c>
      <c r="L99" s="60">
        <f>IFERROR(INDEX('الرواتب'!$O$3:$O$502,MATCH(93,'الرواتب'!$Z$3:$Z$502,0)),"")</f>
        <v/>
      </c>
      <c r="M99" s="60">
        <f>IFERROR(INDEX('الرواتب'!$P$3:$P$502,MATCH(93,'الرواتب'!$Z$3:$Z$502,0)),"")</f>
        <v/>
      </c>
      <c r="N99" s="60">
        <f>IFERROR(INDEX('الرواتب'!$Q$3:$Q$502,MATCH(93,'الرواتب'!$Z$3:$Z$502,0)),"")</f>
        <v/>
      </c>
      <c r="O99" s="60">
        <f>IFERROR(INDEX('الرواتب'!$R$3:$R$502,MATCH(93,'الرواتب'!$Z$3:$Z$502,0)),"")</f>
        <v/>
      </c>
      <c r="P99" s="60">
        <f>IFERROR(INDEX('الرواتب'!$T$3:$T$502,MATCH(93,'الرواتب'!$Z$3:$Z$502,0)),"")</f>
        <v/>
      </c>
      <c r="Q99" s="60">
        <f>IFERROR(INDEX('الرواتب'!$U$3:$U$502,MATCH(93,'الرواتب'!$Z$3:$Z$502,0)),"")</f>
        <v/>
      </c>
      <c r="R99" s="60">
        <f>IFERROR(INDEX('الرواتب'!$V$3:$V$502,MATCH(93,'الرواتب'!$Z$3:$Z$502,0)),"")</f>
        <v/>
      </c>
    </row>
    <row r="100">
      <c r="A100" s="50">
        <f>IFERROR(INDEX('الرواتب'!$C$3:$C$502,MATCH(94,'الرواتب'!$Z$3:$Z$502,0)),"")</f>
        <v/>
      </c>
      <c r="B100" s="50">
        <f>IFERROR(INDEX('الرواتب'!$D$3:$D$502,MATCH(94,'الرواتب'!$Z$3:$Z$502,0)),"")</f>
        <v/>
      </c>
      <c r="C100" s="50">
        <f>IFERROR(INDEX('الرواتب'!$E$3:$E$502,MATCH(94,'الرواتب'!$Z$3:$Z$502,0)),"")</f>
        <v/>
      </c>
      <c r="D100" s="63">
        <f>IFERROR(INDEX('الرواتب'!$G$3:$G$502,MATCH(94,'الرواتب'!$Z$3:$Z$502,0)),"")</f>
        <v/>
      </c>
      <c r="E100" s="63">
        <f>IFERROR(INDEX('الرواتب'!$H$3:$H$502,MATCH(94,'الرواتب'!$Z$3:$Z$502,0)),"")</f>
        <v/>
      </c>
      <c r="F100" s="63">
        <f>IFERROR(INDEX('الرواتب'!$I$3:$I$502,MATCH(94,'الرواتب'!$Z$3:$Z$502,0)),"")</f>
        <v/>
      </c>
      <c r="G100" s="63">
        <f>IFERROR(INDEX('الرواتب'!$J$3:$J$502,MATCH(94,'الرواتب'!$Z$3:$Z$502,0)),"")</f>
        <v/>
      </c>
      <c r="H100" s="63">
        <f>IFERROR(INDEX('الرواتب'!$K$3:$K$502,MATCH(94,'الرواتب'!$Z$3:$Z$502,0)),"")</f>
        <v/>
      </c>
      <c r="I100" s="63">
        <f>IFERROR(INDEX('الرواتب'!$L$3:$L$502,MATCH(94,'الرواتب'!$Z$3:$Z$502,0)),"")</f>
        <v/>
      </c>
      <c r="J100" s="63">
        <f>IFERROR(INDEX('الرواتب'!$S$3:$S$502,MATCH(94,'الرواتب'!$Z$3:$Z$502,0)),"")</f>
        <v/>
      </c>
      <c r="K100" s="63">
        <f>IFERROR(INDEX('الرواتب'!$N$3:$N$502,MATCH(94,'الرواتب'!$Z$3:$Z$502,0)),"")</f>
        <v/>
      </c>
      <c r="L100" s="63">
        <f>IFERROR(INDEX('الرواتب'!$O$3:$O$502,MATCH(94,'الرواتب'!$Z$3:$Z$502,0)),"")</f>
        <v/>
      </c>
      <c r="M100" s="63">
        <f>IFERROR(INDEX('الرواتب'!$P$3:$P$502,MATCH(94,'الرواتب'!$Z$3:$Z$502,0)),"")</f>
        <v/>
      </c>
      <c r="N100" s="63">
        <f>IFERROR(INDEX('الرواتب'!$Q$3:$Q$502,MATCH(94,'الرواتب'!$Z$3:$Z$502,0)),"")</f>
        <v/>
      </c>
      <c r="O100" s="63">
        <f>IFERROR(INDEX('الرواتب'!$R$3:$R$502,MATCH(94,'الرواتب'!$Z$3:$Z$502,0)),"")</f>
        <v/>
      </c>
      <c r="P100" s="63">
        <f>IFERROR(INDEX('الرواتب'!$T$3:$T$502,MATCH(94,'الرواتب'!$Z$3:$Z$502,0)),"")</f>
        <v/>
      </c>
      <c r="Q100" s="63">
        <f>IFERROR(INDEX('الرواتب'!$U$3:$U$502,MATCH(94,'الرواتب'!$Z$3:$Z$502,0)),"")</f>
        <v/>
      </c>
      <c r="R100" s="63">
        <f>IFERROR(INDEX('الرواتب'!$V$3:$V$502,MATCH(94,'الرواتب'!$Z$3:$Z$502,0)),"")</f>
        <v/>
      </c>
    </row>
    <row r="101">
      <c r="A101" s="43">
        <f>IFERROR(INDEX('الرواتب'!$C$3:$C$502,MATCH(95,'الرواتب'!$Z$3:$Z$502,0)),"")</f>
        <v/>
      </c>
      <c r="B101" s="43">
        <f>IFERROR(INDEX('الرواتب'!$D$3:$D$502,MATCH(95,'الرواتب'!$Z$3:$Z$502,0)),"")</f>
        <v/>
      </c>
      <c r="C101" s="43">
        <f>IFERROR(INDEX('الرواتب'!$E$3:$E$502,MATCH(95,'الرواتب'!$Z$3:$Z$502,0)),"")</f>
        <v/>
      </c>
      <c r="D101" s="60">
        <f>IFERROR(INDEX('الرواتب'!$G$3:$G$502,MATCH(95,'الرواتب'!$Z$3:$Z$502,0)),"")</f>
        <v/>
      </c>
      <c r="E101" s="60">
        <f>IFERROR(INDEX('الرواتب'!$H$3:$H$502,MATCH(95,'الرواتب'!$Z$3:$Z$502,0)),"")</f>
        <v/>
      </c>
      <c r="F101" s="60">
        <f>IFERROR(INDEX('الرواتب'!$I$3:$I$502,MATCH(95,'الرواتب'!$Z$3:$Z$502,0)),"")</f>
        <v/>
      </c>
      <c r="G101" s="60">
        <f>IFERROR(INDEX('الرواتب'!$J$3:$J$502,MATCH(95,'الرواتب'!$Z$3:$Z$502,0)),"")</f>
        <v/>
      </c>
      <c r="H101" s="60">
        <f>IFERROR(INDEX('الرواتب'!$K$3:$K$502,MATCH(95,'الرواتب'!$Z$3:$Z$502,0)),"")</f>
        <v/>
      </c>
      <c r="I101" s="60">
        <f>IFERROR(INDEX('الرواتب'!$L$3:$L$502,MATCH(95,'الرواتب'!$Z$3:$Z$502,0)),"")</f>
        <v/>
      </c>
      <c r="J101" s="60">
        <f>IFERROR(INDEX('الرواتب'!$S$3:$S$502,MATCH(95,'الرواتب'!$Z$3:$Z$502,0)),"")</f>
        <v/>
      </c>
      <c r="K101" s="60">
        <f>IFERROR(INDEX('الرواتب'!$N$3:$N$502,MATCH(95,'الرواتب'!$Z$3:$Z$502,0)),"")</f>
        <v/>
      </c>
      <c r="L101" s="60">
        <f>IFERROR(INDEX('الرواتب'!$O$3:$O$502,MATCH(95,'الرواتب'!$Z$3:$Z$502,0)),"")</f>
        <v/>
      </c>
      <c r="M101" s="60">
        <f>IFERROR(INDEX('الرواتب'!$P$3:$P$502,MATCH(95,'الرواتب'!$Z$3:$Z$502,0)),"")</f>
        <v/>
      </c>
      <c r="N101" s="60">
        <f>IFERROR(INDEX('الرواتب'!$Q$3:$Q$502,MATCH(95,'الرواتب'!$Z$3:$Z$502,0)),"")</f>
        <v/>
      </c>
      <c r="O101" s="60">
        <f>IFERROR(INDEX('الرواتب'!$R$3:$R$502,MATCH(95,'الرواتب'!$Z$3:$Z$502,0)),"")</f>
        <v/>
      </c>
      <c r="P101" s="60">
        <f>IFERROR(INDEX('الرواتب'!$T$3:$T$502,MATCH(95,'الرواتب'!$Z$3:$Z$502,0)),"")</f>
        <v/>
      </c>
      <c r="Q101" s="60">
        <f>IFERROR(INDEX('الرواتب'!$U$3:$U$502,MATCH(95,'الرواتب'!$Z$3:$Z$502,0)),"")</f>
        <v/>
      </c>
      <c r="R101" s="60">
        <f>IFERROR(INDEX('الرواتب'!$V$3:$V$502,MATCH(95,'الرواتب'!$Z$3:$Z$502,0)),"")</f>
        <v/>
      </c>
    </row>
    <row r="102">
      <c r="A102" s="50">
        <f>IFERROR(INDEX('الرواتب'!$C$3:$C$502,MATCH(96,'الرواتب'!$Z$3:$Z$502,0)),"")</f>
        <v/>
      </c>
      <c r="B102" s="50">
        <f>IFERROR(INDEX('الرواتب'!$D$3:$D$502,MATCH(96,'الرواتب'!$Z$3:$Z$502,0)),"")</f>
        <v/>
      </c>
      <c r="C102" s="50">
        <f>IFERROR(INDEX('الرواتب'!$E$3:$E$502,MATCH(96,'الرواتب'!$Z$3:$Z$502,0)),"")</f>
        <v/>
      </c>
      <c r="D102" s="63">
        <f>IFERROR(INDEX('الرواتب'!$G$3:$G$502,MATCH(96,'الرواتب'!$Z$3:$Z$502,0)),"")</f>
        <v/>
      </c>
      <c r="E102" s="63">
        <f>IFERROR(INDEX('الرواتب'!$H$3:$H$502,MATCH(96,'الرواتب'!$Z$3:$Z$502,0)),"")</f>
        <v/>
      </c>
      <c r="F102" s="63">
        <f>IFERROR(INDEX('الرواتب'!$I$3:$I$502,MATCH(96,'الرواتب'!$Z$3:$Z$502,0)),"")</f>
        <v/>
      </c>
      <c r="G102" s="63">
        <f>IFERROR(INDEX('الرواتب'!$J$3:$J$502,MATCH(96,'الرواتب'!$Z$3:$Z$502,0)),"")</f>
        <v/>
      </c>
      <c r="H102" s="63">
        <f>IFERROR(INDEX('الرواتب'!$K$3:$K$502,MATCH(96,'الرواتب'!$Z$3:$Z$502,0)),"")</f>
        <v/>
      </c>
      <c r="I102" s="63">
        <f>IFERROR(INDEX('الرواتب'!$L$3:$L$502,MATCH(96,'الرواتب'!$Z$3:$Z$502,0)),"")</f>
        <v/>
      </c>
      <c r="J102" s="63">
        <f>IFERROR(INDEX('الرواتب'!$S$3:$S$502,MATCH(96,'الرواتب'!$Z$3:$Z$502,0)),"")</f>
        <v/>
      </c>
      <c r="K102" s="63">
        <f>IFERROR(INDEX('الرواتب'!$N$3:$N$502,MATCH(96,'الرواتب'!$Z$3:$Z$502,0)),"")</f>
        <v/>
      </c>
      <c r="L102" s="63">
        <f>IFERROR(INDEX('الرواتب'!$O$3:$O$502,MATCH(96,'الرواتب'!$Z$3:$Z$502,0)),"")</f>
        <v/>
      </c>
      <c r="M102" s="63">
        <f>IFERROR(INDEX('الرواتب'!$P$3:$P$502,MATCH(96,'الرواتب'!$Z$3:$Z$502,0)),"")</f>
        <v/>
      </c>
      <c r="N102" s="63">
        <f>IFERROR(INDEX('الرواتب'!$Q$3:$Q$502,MATCH(96,'الرواتب'!$Z$3:$Z$502,0)),"")</f>
        <v/>
      </c>
      <c r="O102" s="63">
        <f>IFERROR(INDEX('الرواتب'!$R$3:$R$502,MATCH(96,'الرواتب'!$Z$3:$Z$502,0)),"")</f>
        <v/>
      </c>
      <c r="P102" s="63">
        <f>IFERROR(INDEX('الرواتب'!$T$3:$T$502,MATCH(96,'الرواتب'!$Z$3:$Z$502,0)),"")</f>
        <v/>
      </c>
      <c r="Q102" s="63">
        <f>IFERROR(INDEX('الرواتب'!$U$3:$U$502,MATCH(96,'الرواتب'!$Z$3:$Z$502,0)),"")</f>
        <v/>
      </c>
      <c r="R102" s="63">
        <f>IFERROR(INDEX('الرواتب'!$V$3:$V$502,MATCH(96,'الرواتب'!$Z$3:$Z$502,0)),"")</f>
        <v/>
      </c>
    </row>
    <row r="103">
      <c r="A103" s="43">
        <f>IFERROR(INDEX('الرواتب'!$C$3:$C$502,MATCH(97,'الرواتب'!$Z$3:$Z$502,0)),"")</f>
        <v/>
      </c>
      <c r="B103" s="43">
        <f>IFERROR(INDEX('الرواتب'!$D$3:$D$502,MATCH(97,'الرواتب'!$Z$3:$Z$502,0)),"")</f>
        <v/>
      </c>
      <c r="C103" s="43">
        <f>IFERROR(INDEX('الرواتب'!$E$3:$E$502,MATCH(97,'الرواتب'!$Z$3:$Z$502,0)),"")</f>
        <v/>
      </c>
      <c r="D103" s="60">
        <f>IFERROR(INDEX('الرواتب'!$G$3:$G$502,MATCH(97,'الرواتب'!$Z$3:$Z$502,0)),"")</f>
        <v/>
      </c>
      <c r="E103" s="60">
        <f>IFERROR(INDEX('الرواتب'!$H$3:$H$502,MATCH(97,'الرواتب'!$Z$3:$Z$502,0)),"")</f>
        <v/>
      </c>
      <c r="F103" s="60">
        <f>IFERROR(INDEX('الرواتب'!$I$3:$I$502,MATCH(97,'الرواتب'!$Z$3:$Z$502,0)),"")</f>
        <v/>
      </c>
      <c r="G103" s="60">
        <f>IFERROR(INDEX('الرواتب'!$J$3:$J$502,MATCH(97,'الرواتب'!$Z$3:$Z$502,0)),"")</f>
        <v/>
      </c>
      <c r="H103" s="60">
        <f>IFERROR(INDEX('الرواتب'!$K$3:$K$502,MATCH(97,'الرواتب'!$Z$3:$Z$502,0)),"")</f>
        <v/>
      </c>
      <c r="I103" s="60">
        <f>IFERROR(INDEX('الرواتب'!$L$3:$L$502,MATCH(97,'الرواتب'!$Z$3:$Z$502,0)),"")</f>
        <v/>
      </c>
      <c r="J103" s="60">
        <f>IFERROR(INDEX('الرواتب'!$S$3:$S$502,MATCH(97,'الرواتب'!$Z$3:$Z$502,0)),"")</f>
        <v/>
      </c>
      <c r="K103" s="60">
        <f>IFERROR(INDEX('الرواتب'!$N$3:$N$502,MATCH(97,'الرواتب'!$Z$3:$Z$502,0)),"")</f>
        <v/>
      </c>
      <c r="L103" s="60">
        <f>IFERROR(INDEX('الرواتب'!$O$3:$O$502,MATCH(97,'الرواتب'!$Z$3:$Z$502,0)),"")</f>
        <v/>
      </c>
      <c r="M103" s="60">
        <f>IFERROR(INDEX('الرواتب'!$P$3:$P$502,MATCH(97,'الرواتب'!$Z$3:$Z$502,0)),"")</f>
        <v/>
      </c>
      <c r="N103" s="60">
        <f>IFERROR(INDEX('الرواتب'!$Q$3:$Q$502,MATCH(97,'الرواتب'!$Z$3:$Z$502,0)),"")</f>
        <v/>
      </c>
      <c r="O103" s="60">
        <f>IFERROR(INDEX('الرواتب'!$R$3:$R$502,MATCH(97,'الرواتب'!$Z$3:$Z$502,0)),"")</f>
        <v/>
      </c>
      <c r="P103" s="60">
        <f>IFERROR(INDEX('الرواتب'!$T$3:$T$502,MATCH(97,'الرواتب'!$Z$3:$Z$502,0)),"")</f>
        <v/>
      </c>
      <c r="Q103" s="60">
        <f>IFERROR(INDEX('الرواتب'!$U$3:$U$502,MATCH(97,'الرواتب'!$Z$3:$Z$502,0)),"")</f>
        <v/>
      </c>
      <c r="R103" s="60">
        <f>IFERROR(INDEX('الرواتب'!$V$3:$V$502,MATCH(97,'الرواتب'!$Z$3:$Z$502,0)),"")</f>
        <v/>
      </c>
    </row>
    <row r="104">
      <c r="A104" s="50">
        <f>IFERROR(INDEX('الرواتب'!$C$3:$C$502,MATCH(98,'الرواتب'!$Z$3:$Z$502,0)),"")</f>
        <v/>
      </c>
      <c r="B104" s="50">
        <f>IFERROR(INDEX('الرواتب'!$D$3:$D$502,MATCH(98,'الرواتب'!$Z$3:$Z$502,0)),"")</f>
        <v/>
      </c>
      <c r="C104" s="50">
        <f>IFERROR(INDEX('الرواتب'!$E$3:$E$502,MATCH(98,'الرواتب'!$Z$3:$Z$502,0)),"")</f>
        <v/>
      </c>
      <c r="D104" s="63">
        <f>IFERROR(INDEX('الرواتب'!$G$3:$G$502,MATCH(98,'الرواتب'!$Z$3:$Z$502,0)),"")</f>
        <v/>
      </c>
      <c r="E104" s="63">
        <f>IFERROR(INDEX('الرواتب'!$H$3:$H$502,MATCH(98,'الرواتب'!$Z$3:$Z$502,0)),"")</f>
        <v/>
      </c>
      <c r="F104" s="63">
        <f>IFERROR(INDEX('الرواتب'!$I$3:$I$502,MATCH(98,'الرواتب'!$Z$3:$Z$502,0)),"")</f>
        <v/>
      </c>
      <c r="G104" s="63">
        <f>IFERROR(INDEX('الرواتب'!$J$3:$J$502,MATCH(98,'الرواتب'!$Z$3:$Z$502,0)),"")</f>
        <v/>
      </c>
      <c r="H104" s="63">
        <f>IFERROR(INDEX('الرواتب'!$K$3:$K$502,MATCH(98,'الرواتب'!$Z$3:$Z$502,0)),"")</f>
        <v/>
      </c>
      <c r="I104" s="63">
        <f>IFERROR(INDEX('الرواتب'!$L$3:$L$502,MATCH(98,'الرواتب'!$Z$3:$Z$502,0)),"")</f>
        <v/>
      </c>
      <c r="J104" s="63">
        <f>IFERROR(INDEX('الرواتب'!$S$3:$S$502,MATCH(98,'الرواتب'!$Z$3:$Z$502,0)),"")</f>
        <v/>
      </c>
      <c r="K104" s="63">
        <f>IFERROR(INDEX('الرواتب'!$N$3:$N$502,MATCH(98,'الرواتب'!$Z$3:$Z$502,0)),"")</f>
        <v/>
      </c>
      <c r="L104" s="63">
        <f>IFERROR(INDEX('الرواتب'!$O$3:$O$502,MATCH(98,'الرواتب'!$Z$3:$Z$502,0)),"")</f>
        <v/>
      </c>
      <c r="M104" s="63">
        <f>IFERROR(INDEX('الرواتب'!$P$3:$P$502,MATCH(98,'الرواتب'!$Z$3:$Z$502,0)),"")</f>
        <v/>
      </c>
      <c r="N104" s="63">
        <f>IFERROR(INDEX('الرواتب'!$Q$3:$Q$502,MATCH(98,'الرواتب'!$Z$3:$Z$502,0)),"")</f>
        <v/>
      </c>
      <c r="O104" s="63">
        <f>IFERROR(INDEX('الرواتب'!$R$3:$R$502,MATCH(98,'الرواتب'!$Z$3:$Z$502,0)),"")</f>
        <v/>
      </c>
      <c r="P104" s="63">
        <f>IFERROR(INDEX('الرواتب'!$T$3:$T$502,MATCH(98,'الرواتب'!$Z$3:$Z$502,0)),"")</f>
        <v/>
      </c>
      <c r="Q104" s="63">
        <f>IFERROR(INDEX('الرواتب'!$U$3:$U$502,MATCH(98,'الرواتب'!$Z$3:$Z$502,0)),"")</f>
        <v/>
      </c>
      <c r="R104" s="63">
        <f>IFERROR(INDEX('الرواتب'!$V$3:$V$502,MATCH(98,'الرواتب'!$Z$3:$Z$502,0)),"")</f>
        <v/>
      </c>
    </row>
    <row r="105">
      <c r="A105" s="43">
        <f>IFERROR(INDEX('الرواتب'!$C$3:$C$502,MATCH(99,'الرواتب'!$Z$3:$Z$502,0)),"")</f>
        <v/>
      </c>
      <c r="B105" s="43">
        <f>IFERROR(INDEX('الرواتب'!$D$3:$D$502,MATCH(99,'الرواتب'!$Z$3:$Z$502,0)),"")</f>
        <v/>
      </c>
      <c r="C105" s="43">
        <f>IFERROR(INDEX('الرواتب'!$E$3:$E$502,MATCH(99,'الرواتب'!$Z$3:$Z$502,0)),"")</f>
        <v/>
      </c>
      <c r="D105" s="60">
        <f>IFERROR(INDEX('الرواتب'!$G$3:$G$502,MATCH(99,'الرواتب'!$Z$3:$Z$502,0)),"")</f>
        <v/>
      </c>
      <c r="E105" s="60">
        <f>IFERROR(INDEX('الرواتب'!$H$3:$H$502,MATCH(99,'الرواتب'!$Z$3:$Z$502,0)),"")</f>
        <v/>
      </c>
      <c r="F105" s="60">
        <f>IFERROR(INDEX('الرواتب'!$I$3:$I$502,MATCH(99,'الرواتب'!$Z$3:$Z$502,0)),"")</f>
        <v/>
      </c>
      <c r="G105" s="60">
        <f>IFERROR(INDEX('الرواتب'!$J$3:$J$502,MATCH(99,'الرواتب'!$Z$3:$Z$502,0)),"")</f>
        <v/>
      </c>
      <c r="H105" s="60">
        <f>IFERROR(INDEX('الرواتب'!$K$3:$K$502,MATCH(99,'الرواتب'!$Z$3:$Z$502,0)),"")</f>
        <v/>
      </c>
      <c r="I105" s="60">
        <f>IFERROR(INDEX('الرواتب'!$L$3:$L$502,MATCH(99,'الرواتب'!$Z$3:$Z$502,0)),"")</f>
        <v/>
      </c>
      <c r="J105" s="60">
        <f>IFERROR(INDEX('الرواتب'!$S$3:$S$502,MATCH(99,'الرواتب'!$Z$3:$Z$502,0)),"")</f>
        <v/>
      </c>
      <c r="K105" s="60">
        <f>IFERROR(INDEX('الرواتب'!$N$3:$N$502,MATCH(99,'الرواتب'!$Z$3:$Z$502,0)),"")</f>
        <v/>
      </c>
      <c r="L105" s="60">
        <f>IFERROR(INDEX('الرواتب'!$O$3:$O$502,MATCH(99,'الرواتب'!$Z$3:$Z$502,0)),"")</f>
        <v/>
      </c>
      <c r="M105" s="60">
        <f>IFERROR(INDEX('الرواتب'!$P$3:$P$502,MATCH(99,'الرواتب'!$Z$3:$Z$502,0)),"")</f>
        <v/>
      </c>
      <c r="N105" s="60">
        <f>IFERROR(INDEX('الرواتب'!$Q$3:$Q$502,MATCH(99,'الرواتب'!$Z$3:$Z$502,0)),"")</f>
        <v/>
      </c>
      <c r="O105" s="60">
        <f>IFERROR(INDEX('الرواتب'!$R$3:$R$502,MATCH(99,'الرواتب'!$Z$3:$Z$502,0)),"")</f>
        <v/>
      </c>
      <c r="P105" s="60">
        <f>IFERROR(INDEX('الرواتب'!$T$3:$T$502,MATCH(99,'الرواتب'!$Z$3:$Z$502,0)),"")</f>
        <v/>
      </c>
      <c r="Q105" s="60">
        <f>IFERROR(INDEX('الرواتب'!$U$3:$U$502,MATCH(99,'الرواتب'!$Z$3:$Z$502,0)),"")</f>
        <v/>
      </c>
      <c r="R105" s="60">
        <f>IFERROR(INDEX('الرواتب'!$V$3:$V$502,MATCH(99,'الرواتب'!$Z$3:$Z$502,0)),"")</f>
        <v/>
      </c>
    </row>
    <row r="106">
      <c r="A106" s="50">
        <f>IFERROR(INDEX('الرواتب'!$C$3:$C$502,MATCH(100,'الرواتب'!$Z$3:$Z$502,0)),"")</f>
        <v/>
      </c>
      <c r="B106" s="50">
        <f>IFERROR(INDEX('الرواتب'!$D$3:$D$502,MATCH(100,'الرواتب'!$Z$3:$Z$502,0)),"")</f>
        <v/>
      </c>
      <c r="C106" s="50">
        <f>IFERROR(INDEX('الرواتب'!$E$3:$E$502,MATCH(100,'الرواتب'!$Z$3:$Z$502,0)),"")</f>
        <v/>
      </c>
      <c r="D106" s="63">
        <f>IFERROR(INDEX('الرواتب'!$G$3:$G$502,MATCH(100,'الرواتب'!$Z$3:$Z$502,0)),"")</f>
        <v/>
      </c>
      <c r="E106" s="63">
        <f>IFERROR(INDEX('الرواتب'!$H$3:$H$502,MATCH(100,'الرواتب'!$Z$3:$Z$502,0)),"")</f>
        <v/>
      </c>
      <c r="F106" s="63">
        <f>IFERROR(INDEX('الرواتب'!$I$3:$I$502,MATCH(100,'الرواتب'!$Z$3:$Z$502,0)),"")</f>
        <v/>
      </c>
      <c r="G106" s="63">
        <f>IFERROR(INDEX('الرواتب'!$J$3:$J$502,MATCH(100,'الرواتب'!$Z$3:$Z$502,0)),"")</f>
        <v/>
      </c>
      <c r="H106" s="63">
        <f>IFERROR(INDEX('الرواتب'!$K$3:$K$502,MATCH(100,'الرواتب'!$Z$3:$Z$502,0)),"")</f>
        <v/>
      </c>
      <c r="I106" s="63">
        <f>IFERROR(INDEX('الرواتب'!$L$3:$L$502,MATCH(100,'الرواتب'!$Z$3:$Z$502,0)),"")</f>
        <v/>
      </c>
      <c r="J106" s="63">
        <f>IFERROR(INDEX('الرواتب'!$S$3:$S$502,MATCH(100,'الرواتب'!$Z$3:$Z$502,0)),"")</f>
        <v/>
      </c>
      <c r="K106" s="63">
        <f>IFERROR(INDEX('الرواتب'!$N$3:$N$502,MATCH(100,'الرواتب'!$Z$3:$Z$502,0)),"")</f>
        <v/>
      </c>
      <c r="L106" s="63">
        <f>IFERROR(INDEX('الرواتب'!$O$3:$O$502,MATCH(100,'الرواتب'!$Z$3:$Z$502,0)),"")</f>
        <v/>
      </c>
      <c r="M106" s="63">
        <f>IFERROR(INDEX('الرواتب'!$P$3:$P$502,MATCH(100,'الرواتب'!$Z$3:$Z$502,0)),"")</f>
        <v/>
      </c>
      <c r="N106" s="63">
        <f>IFERROR(INDEX('الرواتب'!$Q$3:$Q$502,MATCH(100,'الرواتب'!$Z$3:$Z$502,0)),"")</f>
        <v/>
      </c>
      <c r="O106" s="63">
        <f>IFERROR(INDEX('الرواتب'!$R$3:$R$502,MATCH(100,'الرواتب'!$Z$3:$Z$502,0)),"")</f>
        <v/>
      </c>
      <c r="P106" s="63">
        <f>IFERROR(INDEX('الرواتب'!$T$3:$T$502,MATCH(100,'الرواتب'!$Z$3:$Z$502,0)),"")</f>
        <v/>
      </c>
      <c r="Q106" s="63">
        <f>IFERROR(INDEX('الرواتب'!$U$3:$U$502,MATCH(100,'الرواتب'!$Z$3:$Z$502,0)),"")</f>
        <v/>
      </c>
      <c r="R106" s="63">
        <f>IFERROR(INDEX('الرواتب'!$V$3:$V$502,MATCH(100,'الرواتب'!$Z$3:$Z$502,0)),"")</f>
        <v/>
      </c>
    </row>
    <row r="107">
      <c r="A107" s="43">
        <f>IFERROR(INDEX('الرواتب'!$C$3:$C$502,MATCH(101,'الرواتب'!$Z$3:$Z$502,0)),"")</f>
        <v/>
      </c>
      <c r="B107" s="43">
        <f>IFERROR(INDEX('الرواتب'!$D$3:$D$502,MATCH(101,'الرواتب'!$Z$3:$Z$502,0)),"")</f>
        <v/>
      </c>
      <c r="C107" s="43">
        <f>IFERROR(INDEX('الرواتب'!$E$3:$E$502,MATCH(101,'الرواتب'!$Z$3:$Z$502,0)),"")</f>
        <v/>
      </c>
      <c r="D107" s="60">
        <f>IFERROR(INDEX('الرواتب'!$G$3:$G$502,MATCH(101,'الرواتب'!$Z$3:$Z$502,0)),"")</f>
        <v/>
      </c>
      <c r="E107" s="60">
        <f>IFERROR(INDEX('الرواتب'!$H$3:$H$502,MATCH(101,'الرواتب'!$Z$3:$Z$502,0)),"")</f>
        <v/>
      </c>
      <c r="F107" s="60">
        <f>IFERROR(INDEX('الرواتب'!$I$3:$I$502,MATCH(101,'الرواتب'!$Z$3:$Z$502,0)),"")</f>
        <v/>
      </c>
      <c r="G107" s="60">
        <f>IFERROR(INDEX('الرواتب'!$J$3:$J$502,MATCH(101,'الرواتب'!$Z$3:$Z$502,0)),"")</f>
        <v/>
      </c>
      <c r="H107" s="60">
        <f>IFERROR(INDEX('الرواتب'!$K$3:$K$502,MATCH(101,'الرواتب'!$Z$3:$Z$502,0)),"")</f>
        <v/>
      </c>
      <c r="I107" s="60">
        <f>IFERROR(INDEX('الرواتب'!$L$3:$L$502,MATCH(101,'الرواتب'!$Z$3:$Z$502,0)),"")</f>
        <v/>
      </c>
      <c r="J107" s="60">
        <f>IFERROR(INDEX('الرواتب'!$S$3:$S$502,MATCH(101,'الرواتب'!$Z$3:$Z$502,0)),"")</f>
        <v/>
      </c>
      <c r="K107" s="60">
        <f>IFERROR(INDEX('الرواتب'!$N$3:$N$502,MATCH(101,'الرواتب'!$Z$3:$Z$502,0)),"")</f>
        <v/>
      </c>
      <c r="L107" s="60">
        <f>IFERROR(INDEX('الرواتب'!$O$3:$O$502,MATCH(101,'الرواتب'!$Z$3:$Z$502,0)),"")</f>
        <v/>
      </c>
      <c r="M107" s="60">
        <f>IFERROR(INDEX('الرواتب'!$P$3:$P$502,MATCH(101,'الرواتب'!$Z$3:$Z$502,0)),"")</f>
        <v/>
      </c>
      <c r="N107" s="60">
        <f>IFERROR(INDEX('الرواتب'!$Q$3:$Q$502,MATCH(101,'الرواتب'!$Z$3:$Z$502,0)),"")</f>
        <v/>
      </c>
      <c r="O107" s="60">
        <f>IFERROR(INDEX('الرواتب'!$R$3:$R$502,MATCH(101,'الرواتب'!$Z$3:$Z$502,0)),"")</f>
        <v/>
      </c>
      <c r="P107" s="60">
        <f>IFERROR(INDEX('الرواتب'!$T$3:$T$502,MATCH(101,'الرواتب'!$Z$3:$Z$502,0)),"")</f>
        <v/>
      </c>
      <c r="Q107" s="60">
        <f>IFERROR(INDEX('الرواتب'!$U$3:$U$502,MATCH(101,'الرواتب'!$Z$3:$Z$502,0)),"")</f>
        <v/>
      </c>
      <c r="R107" s="60">
        <f>IFERROR(INDEX('الرواتب'!$V$3:$V$502,MATCH(101,'الرواتب'!$Z$3:$Z$502,0)),"")</f>
        <v/>
      </c>
    </row>
    <row r="108">
      <c r="A108" s="50">
        <f>IFERROR(INDEX('الرواتب'!$C$3:$C$502,MATCH(102,'الرواتب'!$Z$3:$Z$502,0)),"")</f>
        <v/>
      </c>
      <c r="B108" s="50">
        <f>IFERROR(INDEX('الرواتب'!$D$3:$D$502,MATCH(102,'الرواتب'!$Z$3:$Z$502,0)),"")</f>
        <v/>
      </c>
      <c r="C108" s="50">
        <f>IFERROR(INDEX('الرواتب'!$E$3:$E$502,MATCH(102,'الرواتب'!$Z$3:$Z$502,0)),"")</f>
        <v/>
      </c>
      <c r="D108" s="63">
        <f>IFERROR(INDEX('الرواتب'!$G$3:$G$502,MATCH(102,'الرواتب'!$Z$3:$Z$502,0)),"")</f>
        <v/>
      </c>
      <c r="E108" s="63">
        <f>IFERROR(INDEX('الرواتب'!$H$3:$H$502,MATCH(102,'الرواتب'!$Z$3:$Z$502,0)),"")</f>
        <v/>
      </c>
      <c r="F108" s="63">
        <f>IFERROR(INDEX('الرواتب'!$I$3:$I$502,MATCH(102,'الرواتب'!$Z$3:$Z$502,0)),"")</f>
        <v/>
      </c>
      <c r="G108" s="63">
        <f>IFERROR(INDEX('الرواتب'!$J$3:$J$502,MATCH(102,'الرواتب'!$Z$3:$Z$502,0)),"")</f>
        <v/>
      </c>
      <c r="H108" s="63">
        <f>IFERROR(INDEX('الرواتب'!$K$3:$K$502,MATCH(102,'الرواتب'!$Z$3:$Z$502,0)),"")</f>
        <v/>
      </c>
      <c r="I108" s="63">
        <f>IFERROR(INDEX('الرواتب'!$L$3:$L$502,MATCH(102,'الرواتب'!$Z$3:$Z$502,0)),"")</f>
        <v/>
      </c>
      <c r="J108" s="63">
        <f>IFERROR(INDEX('الرواتب'!$S$3:$S$502,MATCH(102,'الرواتب'!$Z$3:$Z$502,0)),"")</f>
        <v/>
      </c>
      <c r="K108" s="63">
        <f>IFERROR(INDEX('الرواتب'!$N$3:$N$502,MATCH(102,'الرواتب'!$Z$3:$Z$502,0)),"")</f>
        <v/>
      </c>
      <c r="L108" s="63">
        <f>IFERROR(INDEX('الرواتب'!$O$3:$O$502,MATCH(102,'الرواتب'!$Z$3:$Z$502,0)),"")</f>
        <v/>
      </c>
      <c r="M108" s="63">
        <f>IFERROR(INDEX('الرواتب'!$P$3:$P$502,MATCH(102,'الرواتب'!$Z$3:$Z$502,0)),"")</f>
        <v/>
      </c>
      <c r="N108" s="63">
        <f>IFERROR(INDEX('الرواتب'!$Q$3:$Q$502,MATCH(102,'الرواتب'!$Z$3:$Z$502,0)),"")</f>
        <v/>
      </c>
      <c r="O108" s="63">
        <f>IFERROR(INDEX('الرواتب'!$R$3:$R$502,MATCH(102,'الرواتب'!$Z$3:$Z$502,0)),"")</f>
        <v/>
      </c>
      <c r="P108" s="63">
        <f>IFERROR(INDEX('الرواتب'!$T$3:$T$502,MATCH(102,'الرواتب'!$Z$3:$Z$502,0)),"")</f>
        <v/>
      </c>
      <c r="Q108" s="63">
        <f>IFERROR(INDEX('الرواتب'!$U$3:$U$502,MATCH(102,'الرواتب'!$Z$3:$Z$502,0)),"")</f>
        <v/>
      </c>
      <c r="R108" s="63">
        <f>IFERROR(INDEX('الرواتب'!$V$3:$V$502,MATCH(102,'الرواتب'!$Z$3:$Z$502,0)),"")</f>
        <v/>
      </c>
    </row>
    <row r="109">
      <c r="A109" s="43">
        <f>IFERROR(INDEX('الرواتب'!$C$3:$C$502,MATCH(103,'الرواتب'!$Z$3:$Z$502,0)),"")</f>
        <v/>
      </c>
      <c r="B109" s="43">
        <f>IFERROR(INDEX('الرواتب'!$D$3:$D$502,MATCH(103,'الرواتب'!$Z$3:$Z$502,0)),"")</f>
        <v/>
      </c>
      <c r="C109" s="43">
        <f>IFERROR(INDEX('الرواتب'!$E$3:$E$502,MATCH(103,'الرواتب'!$Z$3:$Z$502,0)),"")</f>
        <v/>
      </c>
      <c r="D109" s="60">
        <f>IFERROR(INDEX('الرواتب'!$G$3:$G$502,MATCH(103,'الرواتب'!$Z$3:$Z$502,0)),"")</f>
        <v/>
      </c>
      <c r="E109" s="60">
        <f>IFERROR(INDEX('الرواتب'!$H$3:$H$502,MATCH(103,'الرواتب'!$Z$3:$Z$502,0)),"")</f>
        <v/>
      </c>
      <c r="F109" s="60">
        <f>IFERROR(INDEX('الرواتب'!$I$3:$I$502,MATCH(103,'الرواتب'!$Z$3:$Z$502,0)),"")</f>
        <v/>
      </c>
      <c r="G109" s="60">
        <f>IFERROR(INDEX('الرواتب'!$J$3:$J$502,MATCH(103,'الرواتب'!$Z$3:$Z$502,0)),"")</f>
        <v/>
      </c>
      <c r="H109" s="60">
        <f>IFERROR(INDEX('الرواتب'!$K$3:$K$502,MATCH(103,'الرواتب'!$Z$3:$Z$502,0)),"")</f>
        <v/>
      </c>
      <c r="I109" s="60">
        <f>IFERROR(INDEX('الرواتب'!$L$3:$L$502,MATCH(103,'الرواتب'!$Z$3:$Z$502,0)),"")</f>
        <v/>
      </c>
      <c r="J109" s="60">
        <f>IFERROR(INDEX('الرواتب'!$S$3:$S$502,MATCH(103,'الرواتب'!$Z$3:$Z$502,0)),"")</f>
        <v/>
      </c>
      <c r="K109" s="60">
        <f>IFERROR(INDEX('الرواتب'!$N$3:$N$502,MATCH(103,'الرواتب'!$Z$3:$Z$502,0)),"")</f>
        <v/>
      </c>
      <c r="L109" s="60">
        <f>IFERROR(INDEX('الرواتب'!$O$3:$O$502,MATCH(103,'الرواتب'!$Z$3:$Z$502,0)),"")</f>
        <v/>
      </c>
      <c r="M109" s="60">
        <f>IFERROR(INDEX('الرواتب'!$P$3:$P$502,MATCH(103,'الرواتب'!$Z$3:$Z$502,0)),"")</f>
        <v/>
      </c>
      <c r="N109" s="60">
        <f>IFERROR(INDEX('الرواتب'!$Q$3:$Q$502,MATCH(103,'الرواتب'!$Z$3:$Z$502,0)),"")</f>
        <v/>
      </c>
      <c r="O109" s="60">
        <f>IFERROR(INDEX('الرواتب'!$R$3:$R$502,MATCH(103,'الرواتب'!$Z$3:$Z$502,0)),"")</f>
        <v/>
      </c>
      <c r="P109" s="60">
        <f>IFERROR(INDEX('الرواتب'!$T$3:$T$502,MATCH(103,'الرواتب'!$Z$3:$Z$502,0)),"")</f>
        <v/>
      </c>
      <c r="Q109" s="60">
        <f>IFERROR(INDEX('الرواتب'!$U$3:$U$502,MATCH(103,'الرواتب'!$Z$3:$Z$502,0)),"")</f>
        <v/>
      </c>
      <c r="R109" s="60">
        <f>IFERROR(INDEX('الرواتب'!$V$3:$V$502,MATCH(103,'الرواتب'!$Z$3:$Z$502,0)),"")</f>
        <v/>
      </c>
    </row>
    <row r="110">
      <c r="A110" s="50">
        <f>IFERROR(INDEX('الرواتب'!$C$3:$C$502,MATCH(104,'الرواتب'!$Z$3:$Z$502,0)),"")</f>
        <v/>
      </c>
      <c r="B110" s="50">
        <f>IFERROR(INDEX('الرواتب'!$D$3:$D$502,MATCH(104,'الرواتب'!$Z$3:$Z$502,0)),"")</f>
        <v/>
      </c>
      <c r="C110" s="50">
        <f>IFERROR(INDEX('الرواتب'!$E$3:$E$502,MATCH(104,'الرواتب'!$Z$3:$Z$502,0)),"")</f>
        <v/>
      </c>
      <c r="D110" s="63">
        <f>IFERROR(INDEX('الرواتب'!$G$3:$G$502,MATCH(104,'الرواتب'!$Z$3:$Z$502,0)),"")</f>
        <v/>
      </c>
      <c r="E110" s="63">
        <f>IFERROR(INDEX('الرواتب'!$H$3:$H$502,MATCH(104,'الرواتب'!$Z$3:$Z$502,0)),"")</f>
        <v/>
      </c>
      <c r="F110" s="63">
        <f>IFERROR(INDEX('الرواتب'!$I$3:$I$502,MATCH(104,'الرواتب'!$Z$3:$Z$502,0)),"")</f>
        <v/>
      </c>
      <c r="G110" s="63">
        <f>IFERROR(INDEX('الرواتب'!$J$3:$J$502,MATCH(104,'الرواتب'!$Z$3:$Z$502,0)),"")</f>
        <v/>
      </c>
      <c r="H110" s="63">
        <f>IFERROR(INDEX('الرواتب'!$K$3:$K$502,MATCH(104,'الرواتب'!$Z$3:$Z$502,0)),"")</f>
        <v/>
      </c>
      <c r="I110" s="63">
        <f>IFERROR(INDEX('الرواتب'!$L$3:$L$502,MATCH(104,'الرواتب'!$Z$3:$Z$502,0)),"")</f>
        <v/>
      </c>
      <c r="J110" s="63">
        <f>IFERROR(INDEX('الرواتب'!$S$3:$S$502,MATCH(104,'الرواتب'!$Z$3:$Z$502,0)),"")</f>
        <v/>
      </c>
      <c r="K110" s="63">
        <f>IFERROR(INDEX('الرواتب'!$N$3:$N$502,MATCH(104,'الرواتب'!$Z$3:$Z$502,0)),"")</f>
        <v/>
      </c>
      <c r="L110" s="63">
        <f>IFERROR(INDEX('الرواتب'!$O$3:$O$502,MATCH(104,'الرواتب'!$Z$3:$Z$502,0)),"")</f>
        <v/>
      </c>
      <c r="M110" s="63">
        <f>IFERROR(INDEX('الرواتب'!$P$3:$P$502,MATCH(104,'الرواتب'!$Z$3:$Z$502,0)),"")</f>
        <v/>
      </c>
      <c r="N110" s="63">
        <f>IFERROR(INDEX('الرواتب'!$Q$3:$Q$502,MATCH(104,'الرواتب'!$Z$3:$Z$502,0)),"")</f>
        <v/>
      </c>
      <c r="O110" s="63">
        <f>IFERROR(INDEX('الرواتب'!$R$3:$R$502,MATCH(104,'الرواتب'!$Z$3:$Z$502,0)),"")</f>
        <v/>
      </c>
      <c r="P110" s="63">
        <f>IFERROR(INDEX('الرواتب'!$T$3:$T$502,MATCH(104,'الرواتب'!$Z$3:$Z$502,0)),"")</f>
        <v/>
      </c>
      <c r="Q110" s="63">
        <f>IFERROR(INDEX('الرواتب'!$U$3:$U$502,MATCH(104,'الرواتب'!$Z$3:$Z$502,0)),"")</f>
        <v/>
      </c>
      <c r="R110" s="63">
        <f>IFERROR(INDEX('الرواتب'!$V$3:$V$502,MATCH(104,'الرواتب'!$Z$3:$Z$502,0)),"")</f>
        <v/>
      </c>
    </row>
    <row r="111">
      <c r="A111" s="43">
        <f>IFERROR(INDEX('الرواتب'!$C$3:$C$502,MATCH(105,'الرواتب'!$Z$3:$Z$502,0)),"")</f>
        <v/>
      </c>
      <c r="B111" s="43">
        <f>IFERROR(INDEX('الرواتب'!$D$3:$D$502,MATCH(105,'الرواتب'!$Z$3:$Z$502,0)),"")</f>
        <v/>
      </c>
      <c r="C111" s="43">
        <f>IFERROR(INDEX('الرواتب'!$E$3:$E$502,MATCH(105,'الرواتب'!$Z$3:$Z$502,0)),"")</f>
        <v/>
      </c>
      <c r="D111" s="60">
        <f>IFERROR(INDEX('الرواتب'!$G$3:$G$502,MATCH(105,'الرواتب'!$Z$3:$Z$502,0)),"")</f>
        <v/>
      </c>
      <c r="E111" s="60">
        <f>IFERROR(INDEX('الرواتب'!$H$3:$H$502,MATCH(105,'الرواتب'!$Z$3:$Z$502,0)),"")</f>
        <v/>
      </c>
      <c r="F111" s="60">
        <f>IFERROR(INDEX('الرواتب'!$I$3:$I$502,MATCH(105,'الرواتب'!$Z$3:$Z$502,0)),"")</f>
        <v/>
      </c>
      <c r="G111" s="60">
        <f>IFERROR(INDEX('الرواتب'!$J$3:$J$502,MATCH(105,'الرواتب'!$Z$3:$Z$502,0)),"")</f>
        <v/>
      </c>
      <c r="H111" s="60">
        <f>IFERROR(INDEX('الرواتب'!$K$3:$K$502,MATCH(105,'الرواتب'!$Z$3:$Z$502,0)),"")</f>
        <v/>
      </c>
      <c r="I111" s="60">
        <f>IFERROR(INDEX('الرواتب'!$L$3:$L$502,MATCH(105,'الرواتب'!$Z$3:$Z$502,0)),"")</f>
        <v/>
      </c>
      <c r="J111" s="60">
        <f>IFERROR(INDEX('الرواتب'!$S$3:$S$502,MATCH(105,'الرواتب'!$Z$3:$Z$502,0)),"")</f>
        <v/>
      </c>
      <c r="K111" s="60">
        <f>IFERROR(INDEX('الرواتب'!$N$3:$N$502,MATCH(105,'الرواتب'!$Z$3:$Z$502,0)),"")</f>
        <v/>
      </c>
      <c r="L111" s="60">
        <f>IFERROR(INDEX('الرواتب'!$O$3:$O$502,MATCH(105,'الرواتب'!$Z$3:$Z$502,0)),"")</f>
        <v/>
      </c>
      <c r="M111" s="60">
        <f>IFERROR(INDEX('الرواتب'!$P$3:$P$502,MATCH(105,'الرواتب'!$Z$3:$Z$502,0)),"")</f>
        <v/>
      </c>
      <c r="N111" s="60">
        <f>IFERROR(INDEX('الرواتب'!$Q$3:$Q$502,MATCH(105,'الرواتب'!$Z$3:$Z$502,0)),"")</f>
        <v/>
      </c>
      <c r="O111" s="60">
        <f>IFERROR(INDEX('الرواتب'!$R$3:$R$502,MATCH(105,'الرواتب'!$Z$3:$Z$502,0)),"")</f>
        <v/>
      </c>
      <c r="P111" s="60">
        <f>IFERROR(INDEX('الرواتب'!$T$3:$T$502,MATCH(105,'الرواتب'!$Z$3:$Z$502,0)),"")</f>
        <v/>
      </c>
      <c r="Q111" s="60">
        <f>IFERROR(INDEX('الرواتب'!$U$3:$U$502,MATCH(105,'الرواتب'!$Z$3:$Z$502,0)),"")</f>
        <v/>
      </c>
      <c r="R111" s="60">
        <f>IFERROR(INDEX('الرواتب'!$V$3:$V$502,MATCH(105,'الرواتب'!$Z$3:$Z$502,0)),"")</f>
        <v/>
      </c>
    </row>
    <row r="112">
      <c r="A112" s="50">
        <f>IFERROR(INDEX('الرواتب'!$C$3:$C$502,MATCH(106,'الرواتب'!$Z$3:$Z$502,0)),"")</f>
        <v/>
      </c>
      <c r="B112" s="50">
        <f>IFERROR(INDEX('الرواتب'!$D$3:$D$502,MATCH(106,'الرواتب'!$Z$3:$Z$502,0)),"")</f>
        <v/>
      </c>
      <c r="C112" s="50">
        <f>IFERROR(INDEX('الرواتب'!$E$3:$E$502,MATCH(106,'الرواتب'!$Z$3:$Z$502,0)),"")</f>
        <v/>
      </c>
      <c r="D112" s="63">
        <f>IFERROR(INDEX('الرواتب'!$G$3:$G$502,MATCH(106,'الرواتب'!$Z$3:$Z$502,0)),"")</f>
        <v/>
      </c>
      <c r="E112" s="63">
        <f>IFERROR(INDEX('الرواتب'!$H$3:$H$502,MATCH(106,'الرواتب'!$Z$3:$Z$502,0)),"")</f>
        <v/>
      </c>
      <c r="F112" s="63">
        <f>IFERROR(INDEX('الرواتب'!$I$3:$I$502,MATCH(106,'الرواتب'!$Z$3:$Z$502,0)),"")</f>
        <v/>
      </c>
      <c r="G112" s="63">
        <f>IFERROR(INDEX('الرواتب'!$J$3:$J$502,MATCH(106,'الرواتب'!$Z$3:$Z$502,0)),"")</f>
        <v/>
      </c>
      <c r="H112" s="63">
        <f>IFERROR(INDEX('الرواتب'!$K$3:$K$502,MATCH(106,'الرواتب'!$Z$3:$Z$502,0)),"")</f>
        <v/>
      </c>
      <c r="I112" s="63">
        <f>IFERROR(INDEX('الرواتب'!$L$3:$L$502,MATCH(106,'الرواتب'!$Z$3:$Z$502,0)),"")</f>
        <v/>
      </c>
      <c r="J112" s="63">
        <f>IFERROR(INDEX('الرواتب'!$S$3:$S$502,MATCH(106,'الرواتب'!$Z$3:$Z$502,0)),"")</f>
        <v/>
      </c>
      <c r="K112" s="63">
        <f>IFERROR(INDEX('الرواتب'!$N$3:$N$502,MATCH(106,'الرواتب'!$Z$3:$Z$502,0)),"")</f>
        <v/>
      </c>
      <c r="L112" s="63">
        <f>IFERROR(INDEX('الرواتب'!$O$3:$O$502,MATCH(106,'الرواتب'!$Z$3:$Z$502,0)),"")</f>
        <v/>
      </c>
      <c r="M112" s="63">
        <f>IFERROR(INDEX('الرواتب'!$P$3:$P$502,MATCH(106,'الرواتب'!$Z$3:$Z$502,0)),"")</f>
        <v/>
      </c>
      <c r="N112" s="63">
        <f>IFERROR(INDEX('الرواتب'!$Q$3:$Q$502,MATCH(106,'الرواتب'!$Z$3:$Z$502,0)),"")</f>
        <v/>
      </c>
      <c r="O112" s="63">
        <f>IFERROR(INDEX('الرواتب'!$R$3:$R$502,MATCH(106,'الرواتب'!$Z$3:$Z$502,0)),"")</f>
        <v/>
      </c>
      <c r="P112" s="63">
        <f>IFERROR(INDEX('الرواتب'!$T$3:$T$502,MATCH(106,'الرواتب'!$Z$3:$Z$502,0)),"")</f>
        <v/>
      </c>
      <c r="Q112" s="63">
        <f>IFERROR(INDEX('الرواتب'!$U$3:$U$502,MATCH(106,'الرواتب'!$Z$3:$Z$502,0)),"")</f>
        <v/>
      </c>
      <c r="R112" s="63">
        <f>IFERROR(INDEX('الرواتب'!$V$3:$V$502,MATCH(106,'الرواتب'!$Z$3:$Z$502,0)),"")</f>
        <v/>
      </c>
    </row>
    <row r="113">
      <c r="A113" s="43">
        <f>IFERROR(INDEX('الرواتب'!$C$3:$C$502,MATCH(107,'الرواتب'!$Z$3:$Z$502,0)),"")</f>
        <v/>
      </c>
      <c r="B113" s="43">
        <f>IFERROR(INDEX('الرواتب'!$D$3:$D$502,MATCH(107,'الرواتب'!$Z$3:$Z$502,0)),"")</f>
        <v/>
      </c>
      <c r="C113" s="43">
        <f>IFERROR(INDEX('الرواتب'!$E$3:$E$502,MATCH(107,'الرواتب'!$Z$3:$Z$502,0)),"")</f>
        <v/>
      </c>
      <c r="D113" s="60">
        <f>IFERROR(INDEX('الرواتب'!$G$3:$G$502,MATCH(107,'الرواتب'!$Z$3:$Z$502,0)),"")</f>
        <v/>
      </c>
      <c r="E113" s="60">
        <f>IFERROR(INDEX('الرواتب'!$H$3:$H$502,MATCH(107,'الرواتب'!$Z$3:$Z$502,0)),"")</f>
        <v/>
      </c>
      <c r="F113" s="60">
        <f>IFERROR(INDEX('الرواتب'!$I$3:$I$502,MATCH(107,'الرواتب'!$Z$3:$Z$502,0)),"")</f>
        <v/>
      </c>
      <c r="G113" s="60">
        <f>IFERROR(INDEX('الرواتب'!$J$3:$J$502,MATCH(107,'الرواتب'!$Z$3:$Z$502,0)),"")</f>
        <v/>
      </c>
      <c r="H113" s="60">
        <f>IFERROR(INDEX('الرواتب'!$K$3:$K$502,MATCH(107,'الرواتب'!$Z$3:$Z$502,0)),"")</f>
        <v/>
      </c>
      <c r="I113" s="60">
        <f>IFERROR(INDEX('الرواتب'!$L$3:$L$502,MATCH(107,'الرواتب'!$Z$3:$Z$502,0)),"")</f>
        <v/>
      </c>
      <c r="J113" s="60">
        <f>IFERROR(INDEX('الرواتب'!$S$3:$S$502,MATCH(107,'الرواتب'!$Z$3:$Z$502,0)),"")</f>
        <v/>
      </c>
      <c r="K113" s="60">
        <f>IFERROR(INDEX('الرواتب'!$N$3:$N$502,MATCH(107,'الرواتب'!$Z$3:$Z$502,0)),"")</f>
        <v/>
      </c>
      <c r="L113" s="60">
        <f>IFERROR(INDEX('الرواتب'!$O$3:$O$502,MATCH(107,'الرواتب'!$Z$3:$Z$502,0)),"")</f>
        <v/>
      </c>
      <c r="M113" s="60">
        <f>IFERROR(INDEX('الرواتب'!$P$3:$P$502,MATCH(107,'الرواتب'!$Z$3:$Z$502,0)),"")</f>
        <v/>
      </c>
      <c r="N113" s="60">
        <f>IFERROR(INDEX('الرواتب'!$Q$3:$Q$502,MATCH(107,'الرواتب'!$Z$3:$Z$502,0)),"")</f>
        <v/>
      </c>
      <c r="O113" s="60">
        <f>IFERROR(INDEX('الرواتب'!$R$3:$R$502,MATCH(107,'الرواتب'!$Z$3:$Z$502,0)),"")</f>
        <v/>
      </c>
      <c r="P113" s="60">
        <f>IFERROR(INDEX('الرواتب'!$T$3:$T$502,MATCH(107,'الرواتب'!$Z$3:$Z$502,0)),"")</f>
        <v/>
      </c>
      <c r="Q113" s="60">
        <f>IFERROR(INDEX('الرواتب'!$U$3:$U$502,MATCH(107,'الرواتب'!$Z$3:$Z$502,0)),"")</f>
        <v/>
      </c>
      <c r="R113" s="60">
        <f>IFERROR(INDEX('الرواتب'!$V$3:$V$502,MATCH(107,'الرواتب'!$Z$3:$Z$502,0)),"")</f>
        <v/>
      </c>
    </row>
    <row r="114">
      <c r="A114" s="50">
        <f>IFERROR(INDEX('الرواتب'!$C$3:$C$502,MATCH(108,'الرواتب'!$Z$3:$Z$502,0)),"")</f>
        <v/>
      </c>
      <c r="B114" s="50">
        <f>IFERROR(INDEX('الرواتب'!$D$3:$D$502,MATCH(108,'الرواتب'!$Z$3:$Z$502,0)),"")</f>
        <v/>
      </c>
      <c r="C114" s="50">
        <f>IFERROR(INDEX('الرواتب'!$E$3:$E$502,MATCH(108,'الرواتب'!$Z$3:$Z$502,0)),"")</f>
        <v/>
      </c>
      <c r="D114" s="63">
        <f>IFERROR(INDEX('الرواتب'!$G$3:$G$502,MATCH(108,'الرواتب'!$Z$3:$Z$502,0)),"")</f>
        <v/>
      </c>
      <c r="E114" s="63">
        <f>IFERROR(INDEX('الرواتب'!$H$3:$H$502,MATCH(108,'الرواتب'!$Z$3:$Z$502,0)),"")</f>
        <v/>
      </c>
      <c r="F114" s="63">
        <f>IFERROR(INDEX('الرواتب'!$I$3:$I$502,MATCH(108,'الرواتب'!$Z$3:$Z$502,0)),"")</f>
        <v/>
      </c>
      <c r="G114" s="63">
        <f>IFERROR(INDEX('الرواتب'!$J$3:$J$502,MATCH(108,'الرواتب'!$Z$3:$Z$502,0)),"")</f>
        <v/>
      </c>
      <c r="H114" s="63">
        <f>IFERROR(INDEX('الرواتب'!$K$3:$K$502,MATCH(108,'الرواتب'!$Z$3:$Z$502,0)),"")</f>
        <v/>
      </c>
      <c r="I114" s="63">
        <f>IFERROR(INDEX('الرواتب'!$L$3:$L$502,MATCH(108,'الرواتب'!$Z$3:$Z$502,0)),"")</f>
        <v/>
      </c>
      <c r="J114" s="63">
        <f>IFERROR(INDEX('الرواتب'!$S$3:$S$502,MATCH(108,'الرواتب'!$Z$3:$Z$502,0)),"")</f>
        <v/>
      </c>
      <c r="K114" s="63">
        <f>IFERROR(INDEX('الرواتب'!$N$3:$N$502,MATCH(108,'الرواتب'!$Z$3:$Z$502,0)),"")</f>
        <v/>
      </c>
      <c r="L114" s="63">
        <f>IFERROR(INDEX('الرواتب'!$O$3:$O$502,MATCH(108,'الرواتب'!$Z$3:$Z$502,0)),"")</f>
        <v/>
      </c>
      <c r="M114" s="63">
        <f>IFERROR(INDEX('الرواتب'!$P$3:$P$502,MATCH(108,'الرواتب'!$Z$3:$Z$502,0)),"")</f>
        <v/>
      </c>
      <c r="N114" s="63">
        <f>IFERROR(INDEX('الرواتب'!$Q$3:$Q$502,MATCH(108,'الرواتب'!$Z$3:$Z$502,0)),"")</f>
        <v/>
      </c>
      <c r="O114" s="63">
        <f>IFERROR(INDEX('الرواتب'!$R$3:$R$502,MATCH(108,'الرواتب'!$Z$3:$Z$502,0)),"")</f>
        <v/>
      </c>
      <c r="P114" s="63">
        <f>IFERROR(INDEX('الرواتب'!$T$3:$T$502,MATCH(108,'الرواتب'!$Z$3:$Z$502,0)),"")</f>
        <v/>
      </c>
      <c r="Q114" s="63">
        <f>IFERROR(INDEX('الرواتب'!$U$3:$U$502,MATCH(108,'الرواتب'!$Z$3:$Z$502,0)),"")</f>
        <v/>
      </c>
      <c r="R114" s="63">
        <f>IFERROR(INDEX('الرواتب'!$V$3:$V$502,MATCH(108,'الرواتب'!$Z$3:$Z$502,0)),"")</f>
        <v/>
      </c>
    </row>
    <row r="115">
      <c r="A115" s="43">
        <f>IFERROR(INDEX('الرواتب'!$C$3:$C$502,MATCH(109,'الرواتب'!$Z$3:$Z$502,0)),"")</f>
        <v/>
      </c>
      <c r="B115" s="43">
        <f>IFERROR(INDEX('الرواتب'!$D$3:$D$502,MATCH(109,'الرواتب'!$Z$3:$Z$502,0)),"")</f>
        <v/>
      </c>
      <c r="C115" s="43">
        <f>IFERROR(INDEX('الرواتب'!$E$3:$E$502,MATCH(109,'الرواتب'!$Z$3:$Z$502,0)),"")</f>
        <v/>
      </c>
      <c r="D115" s="60">
        <f>IFERROR(INDEX('الرواتب'!$G$3:$G$502,MATCH(109,'الرواتب'!$Z$3:$Z$502,0)),"")</f>
        <v/>
      </c>
      <c r="E115" s="60">
        <f>IFERROR(INDEX('الرواتب'!$H$3:$H$502,MATCH(109,'الرواتب'!$Z$3:$Z$502,0)),"")</f>
        <v/>
      </c>
      <c r="F115" s="60">
        <f>IFERROR(INDEX('الرواتب'!$I$3:$I$502,MATCH(109,'الرواتب'!$Z$3:$Z$502,0)),"")</f>
        <v/>
      </c>
      <c r="G115" s="60">
        <f>IFERROR(INDEX('الرواتب'!$J$3:$J$502,MATCH(109,'الرواتب'!$Z$3:$Z$502,0)),"")</f>
        <v/>
      </c>
      <c r="H115" s="60">
        <f>IFERROR(INDEX('الرواتب'!$K$3:$K$502,MATCH(109,'الرواتب'!$Z$3:$Z$502,0)),"")</f>
        <v/>
      </c>
      <c r="I115" s="60">
        <f>IFERROR(INDEX('الرواتب'!$L$3:$L$502,MATCH(109,'الرواتب'!$Z$3:$Z$502,0)),"")</f>
        <v/>
      </c>
      <c r="J115" s="60">
        <f>IFERROR(INDEX('الرواتب'!$S$3:$S$502,MATCH(109,'الرواتب'!$Z$3:$Z$502,0)),"")</f>
        <v/>
      </c>
      <c r="K115" s="60">
        <f>IFERROR(INDEX('الرواتب'!$N$3:$N$502,MATCH(109,'الرواتب'!$Z$3:$Z$502,0)),"")</f>
        <v/>
      </c>
      <c r="L115" s="60">
        <f>IFERROR(INDEX('الرواتب'!$O$3:$O$502,MATCH(109,'الرواتب'!$Z$3:$Z$502,0)),"")</f>
        <v/>
      </c>
      <c r="M115" s="60">
        <f>IFERROR(INDEX('الرواتب'!$P$3:$P$502,MATCH(109,'الرواتب'!$Z$3:$Z$502,0)),"")</f>
        <v/>
      </c>
      <c r="N115" s="60">
        <f>IFERROR(INDEX('الرواتب'!$Q$3:$Q$502,MATCH(109,'الرواتب'!$Z$3:$Z$502,0)),"")</f>
        <v/>
      </c>
      <c r="O115" s="60">
        <f>IFERROR(INDEX('الرواتب'!$R$3:$R$502,MATCH(109,'الرواتب'!$Z$3:$Z$502,0)),"")</f>
        <v/>
      </c>
      <c r="P115" s="60">
        <f>IFERROR(INDEX('الرواتب'!$T$3:$T$502,MATCH(109,'الرواتب'!$Z$3:$Z$502,0)),"")</f>
        <v/>
      </c>
      <c r="Q115" s="60">
        <f>IFERROR(INDEX('الرواتب'!$U$3:$U$502,MATCH(109,'الرواتب'!$Z$3:$Z$502,0)),"")</f>
        <v/>
      </c>
      <c r="R115" s="60">
        <f>IFERROR(INDEX('الرواتب'!$V$3:$V$502,MATCH(109,'الرواتب'!$Z$3:$Z$502,0)),"")</f>
        <v/>
      </c>
    </row>
    <row r="116">
      <c r="A116" s="50">
        <f>IFERROR(INDEX('الرواتب'!$C$3:$C$502,MATCH(110,'الرواتب'!$Z$3:$Z$502,0)),"")</f>
        <v/>
      </c>
      <c r="B116" s="50">
        <f>IFERROR(INDEX('الرواتب'!$D$3:$D$502,MATCH(110,'الرواتب'!$Z$3:$Z$502,0)),"")</f>
        <v/>
      </c>
      <c r="C116" s="50">
        <f>IFERROR(INDEX('الرواتب'!$E$3:$E$502,MATCH(110,'الرواتب'!$Z$3:$Z$502,0)),"")</f>
        <v/>
      </c>
      <c r="D116" s="63">
        <f>IFERROR(INDEX('الرواتب'!$G$3:$G$502,MATCH(110,'الرواتب'!$Z$3:$Z$502,0)),"")</f>
        <v/>
      </c>
      <c r="E116" s="63">
        <f>IFERROR(INDEX('الرواتب'!$H$3:$H$502,MATCH(110,'الرواتب'!$Z$3:$Z$502,0)),"")</f>
        <v/>
      </c>
      <c r="F116" s="63">
        <f>IFERROR(INDEX('الرواتب'!$I$3:$I$502,MATCH(110,'الرواتب'!$Z$3:$Z$502,0)),"")</f>
        <v/>
      </c>
      <c r="G116" s="63">
        <f>IFERROR(INDEX('الرواتب'!$J$3:$J$502,MATCH(110,'الرواتب'!$Z$3:$Z$502,0)),"")</f>
        <v/>
      </c>
      <c r="H116" s="63">
        <f>IFERROR(INDEX('الرواتب'!$K$3:$K$502,MATCH(110,'الرواتب'!$Z$3:$Z$502,0)),"")</f>
        <v/>
      </c>
      <c r="I116" s="63">
        <f>IFERROR(INDEX('الرواتب'!$L$3:$L$502,MATCH(110,'الرواتب'!$Z$3:$Z$502,0)),"")</f>
        <v/>
      </c>
      <c r="J116" s="63">
        <f>IFERROR(INDEX('الرواتب'!$S$3:$S$502,MATCH(110,'الرواتب'!$Z$3:$Z$502,0)),"")</f>
        <v/>
      </c>
      <c r="K116" s="63">
        <f>IFERROR(INDEX('الرواتب'!$N$3:$N$502,MATCH(110,'الرواتب'!$Z$3:$Z$502,0)),"")</f>
        <v/>
      </c>
      <c r="L116" s="63">
        <f>IFERROR(INDEX('الرواتب'!$O$3:$O$502,MATCH(110,'الرواتب'!$Z$3:$Z$502,0)),"")</f>
        <v/>
      </c>
      <c r="M116" s="63">
        <f>IFERROR(INDEX('الرواتب'!$P$3:$P$502,MATCH(110,'الرواتب'!$Z$3:$Z$502,0)),"")</f>
        <v/>
      </c>
      <c r="N116" s="63">
        <f>IFERROR(INDEX('الرواتب'!$Q$3:$Q$502,MATCH(110,'الرواتب'!$Z$3:$Z$502,0)),"")</f>
        <v/>
      </c>
      <c r="O116" s="63">
        <f>IFERROR(INDEX('الرواتب'!$R$3:$R$502,MATCH(110,'الرواتب'!$Z$3:$Z$502,0)),"")</f>
        <v/>
      </c>
      <c r="P116" s="63">
        <f>IFERROR(INDEX('الرواتب'!$T$3:$T$502,MATCH(110,'الرواتب'!$Z$3:$Z$502,0)),"")</f>
        <v/>
      </c>
      <c r="Q116" s="63">
        <f>IFERROR(INDEX('الرواتب'!$U$3:$U$502,MATCH(110,'الرواتب'!$Z$3:$Z$502,0)),"")</f>
        <v/>
      </c>
      <c r="R116" s="63">
        <f>IFERROR(INDEX('الرواتب'!$V$3:$V$502,MATCH(110,'الرواتب'!$Z$3:$Z$502,0)),"")</f>
        <v/>
      </c>
    </row>
    <row r="117">
      <c r="A117" s="43">
        <f>IFERROR(INDEX('الرواتب'!$C$3:$C$502,MATCH(111,'الرواتب'!$Z$3:$Z$502,0)),"")</f>
        <v/>
      </c>
      <c r="B117" s="43">
        <f>IFERROR(INDEX('الرواتب'!$D$3:$D$502,MATCH(111,'الرواتب'!$Z$3:$Z$502,0)),"")</f>
        <v/>
      </c>
      <c r="C117" s="43">
        <f>IFERROR(INDEX('الرواتب'!$E$3:$E$502,MATCH(111,'الرواتب'!$Z$3:$Z$502,0)),"")</f>
        <v/>
      </c>
      <c r="D117" s="60">
        <f>IFERROR(INDEX('الرواتب'!$G$3:$G$502,MATCH(111,'الرواتب'!$Z$3:$Z$502,0)),"")</f>
        <v/>
      </c>
      <c r="E117" s="60">
        <f>IFERROR(INDEX('الرواتب'!$H$3:$H$502,MATCH(111,'الرواتب'!$Z$3:$Z$502,0)),"")</f>
        <v/>
      </c>
      <c r="F117" s="60">
        <f>IFERROR(INDEX('الرواتب'!$I$3:$I$502,MATCH(111,'الرواتب'!$Z$3:$Z$502,0)),"")</f>
        <v/>
      </c>
      <c r="G117" s="60">
        <f>IFERROR(INDEX('الرواتب'!$J$3:$J$502,MATCH(111,'الرواتب'!$Z$3:$Z$502,0)),"")</f>
        <v/>
      </c>
      <c r="H117" s="60">
        <f>IFERROR(INDEX('الرواتب'!$K$3:$K$502,MATCH(111,'الرواتب'!$Z$3:$Z$502,0)),"")</f>
        <v/>
      </c>
      <c r="I117" s="60">
        <f>IFERROR(INDEX('الرواتب'!$L$3:$L$502,MATCH(111,'الرواتب'!$Z$3:$Z$502,0)),"")</f>
        <v/>
      </c>
      <c r="J117" s="60">
        <f>IFERROR(INDEX('الرواتب'!$S$3:$S$502,MATCH(111,'الرواتب'!$Z$3:$Z$502,0)),"")</f>
        <v/>
      </c>
      <c r="K117" s="60">
        <f>IFERROR(INDEX('الرواتب'!$N$3:$N$502,MATCH(111,'الرواتب'!$Z$3:$Z$502,0)),"")</f>
        <v/>
      </c>
      <c r="L117" s="60">
        <f>IFERROR(INDEX('الرواتب'!$O$3:$O$502,MATCH(111,'الرواتب'!$Z$3:$Z$502,0)),"")</f>
        <v/>
      </c>
      <c r="M117" s="60">
        <f>IFERROR(INDEX('الرواتب'!$P$3:$P$502,MATCH(111,'الرواتب'!$Z$3:$Z$502,0)),"")</f>
        <v/>
      </c>
      <c r="N117" s="60">
        <f>IFERROR(INDEX('الرواتب'!$Q$3:$Q$502,MATCH(111,'الرواتب'!$Z$3:$Z$502,0)),"")</f>
        <v/>
      </c>
      <c r="O117" s="60">
        <f>IFERROR(INDEX('الرواتب'!$R$3:$R$502,MATCH(111,'الرواتب'!$Z$3:$Z$502,0)),"")</f>
        <v/>
      </c>
      <c r="P117" s="60">
        <f>IFERROR(INDEX('الرواتب'!$T$3:$T$502,MATCH(111,'الرواتب'!$Z$3:$Z$502,0)),"")</f>
        <v/>
      </c>
      <c r="Q117" s="60">
        <f>IFERROR(INDEX('الرواتب'!$U$3:$U$502,MATCH(111,'الرواتب'!$Z$3:$Z$502,0)),"")</f>
        <v/>
      </c>
      <c r="R117" s="60">
        <f>IFERROR(INDEX('الرواتب'!$V$3:$V$502,MATCH(111,'الرواتب'!$Z$3:$Z$502,0)),"")</f>
        <v/>
      </c>
    </row>
    <row r="118">
      <c r="A118" s="50">
        <f>IFERROR(INDEX('الرواتب'!$C$3:$C$502,MATCH(112,'الرواتب'!$Z$3:$Z$502,0)),"")</f>
        <v/>
      </c>
      <c r="B118" s="50">
        <f>IFERROR(INDEX('الرواتب'!$D$3:$D$502,MATCH(112,'الرواتب'!$Z$3:$Z$502,0)),"")</f>
        <v/>
      </c>
      <c r="C118" s="50">
        <f>IFERROR(INDEX('الرواتب'!$E$3:$E$502,MATCH(112,'الرواتب'!$Z$3:$Z$502,0)),"")</f>
        <v/>
      </c>
      <c r="D118" s="63">
        <f>IFERROR(INDEX('الرواتب'!$G$3:$G$502,MATCH(112,'الرواتب'!$Z$3:$Z$502,0)),"")</f>
        <v/>
      </c>
      <c r="E118" s="63">
        <f>IFERROR(INDEX('الرواتب'!$H$3:$H$502,MATCH(112,'الرواتب'!$Z$3:$Z$502,0)),"")</f>
        <v/>
      </c>
      <c r="F118" s="63">
        <f>IFERROR(INDEX('الرواتب'!$I$3:$I$502,MATCH(112,'الرواتب'!$Z$3:$Z$502,0)),"")</f>
        <v/>
      </c>
      <c r="G118" s="63">
        <f>IFERROR(INDEX('الرواتب'!$J$3:$J$502,MATCH(112,'الرواتب'!$Z$3:$Z$502,0)),"")</f>
        <v/>
      </c>
      <c r="H118" s="63">
        <f>IFERROR(INDEX('الرواتب'!$K$3:$K$502,MATCH(112,'الرواتب'!$Z$3:$Z$502,0)),"")</f>
        <v/>
      </c>
      <c r="I118" s="63">
        <f>IFERROR(INDEX('الرواتب'!$L$3:$L$502,MATCH(112,'الرواتب'!$Z$3:$Z$502,0)),"")</f>
        <v/>
      </c>
      <c r="J118" s="63">
        <f>IFERROR(INDEX('الرواتب'!$S$3:$S$502,MATCH(112,'الرواتب'!$Z$3:$Z$502,0)),"")</f>
        <v/>
      </c>
      <c r="K118" s="63">
        <f>IFERROR(INDEX('الرواتب'!$N$3:$N$502,MATCH(112,'الرواتب'!$Z$3:$Z$502,0)),"")</f>
        <v/>
      </c>
      <c r="L118" s="63">
        <f>IFERROR(INDEX('الرواتب'!$O$3:$O$502,MATCH(112,'الرواتب'!$Z$3:$Z$502,0)),"")</f>
        <v/>
      </c>
      <c r="M118" s="63">
        <f>IFERROR(INDEX('الرواتب'!$P$3:$P$502,MATCH(112,'الرواتب'!$Z$3:$Z$502,0)),"")</f>
        <v/>
      </c>
      <c r="N118" s="63">
        <f>IFERROR(INDEX('الرواتب'!$Q$3:$Q$502,MATCH(112,'الرواتب'!$Z$3:$Z$502,0)),"")</f>
        <v/>
      </c>
      <c r="O118" s="63">
        <f>IFERROR(INDEX('الرواتب'!$R$3:$R$502,MATCH(112,'الرواتب'!$Z$3:$Z$502,0)),"")</f>
        <v/>
      </c>
      <c r="P118" s="63">
        <f>IFERROR(INDEX('الرواتب'!$T$3:$T$502,MATCH(112,'الرواتب'!$Z$3:$Z$502,0)),"")</f>
        <v/>
      </c>
      <c r="Q118" s="63">
        <f>IFERROR(INDEX('الرواتب'!$U$3:$U$502,MATCH(112,'الرواتب'!$Z$3:$Z$502,0)),"")</f>
        <v/>
      </c>
      <c r="R118" s="63">
        <f>IFERROR(INDEX('الرواتب'!$V$3:$V$502,MATCH(112,'الرواتب'!$Z$3:$Z$502,0)),"")</f>
        <v/>
      </c>
    </row>
    <row r="119">
      <c r="A119" s="43">
        <f>IFERROR(INDEX('الرواتب'!$C$3:$C$502,MATCH(113,'الرواتب'!$Z$3:$Z$502,0)),"")</f>
        <v/>
      </c>
      <c r="B119" s="43">
        <f>IFERROR(INDEX('الرواتب'!$D$3:$D$502,MATCH(113,'الرواتب'!$Z$3:$Z$502,0)),"")</f>
        <v/>
      </c>
      <c r="C119" s="43">
        <f>IFERROR(INDEX('الرواتب'!$E$3:$E$502,MATCH(113,'الرواتب'!$Z$3:$Z$502,0)),"")</f>
        <v/>
      </c>
      <c r="D119" s="60">
        <f>IFERROR(INDEX('الرواتب'!$G$3:$G$502,MATCH(113,'الرواتب'!$Z$3:$Z$502,0)),"")</f>
        <v/>
      </c>
      <c r="E119" s="60">
        <f>IFERROR(INDEX('الرواتب'!$H$3:$H$502,MATCH(113,'الرواتب'!$Z$3:$Z$502,0)),"")</f>
        <v/>
      </c>
      <c r="F119" s="60">
        <f>IFERROR(INDEX('الرواتب'!$I$3:$I$502,MATCH(113,'الرواتب'!$Z$3:$Z$502,0)),"")</f>
        <v/>
      </c>
      <c r="G119" s="60">
        <f>IFERROR(INDEX('الرواتب'!$J$3:$J$502,MATCH(113,'الرواتب'!$Z$3:$Z$502,0)),"")</f>
        <v/>
      </c>
      <c r="H119" s="60">
        <f>IFERROR(INDEX('الرواتب'!$K$3:$K$502,MATCH(113,'الرواتب'!$Z$3:$Z$502,0)),"")</f>
        <v/>
      </c>
      <c r="I119" s="60">
        <f>IFERROR(INDEX('الرواتب'!$L$3:$L$502,MATCH(113,'الرواتب'!$Z$3:$Z$502,0)),"")</f>
        <v/>
      </c>
      <c r="J119" s="60">
        <f>IFERROR(INDEX('الرواتب'!$S$3:$S$502,MATCH(113,'الرواتب'!$Z$3:$Z$502,0)),"")</f>
        <v/>
      </c>
      <c r="K119" s="60">
        <f>IFERROR(INDEX('الرواتب'!$N$3:$N$502,MATCH(113,'الرواتب'!$Z$3:$Z$502,0)),"")</f>
        <v/>
      </c>
      <c r="L119" s="60">
        <f>IFERROR(INDEX('الرواتب'!$O$3:$O$502,MATCH(113,'الرواتب'!$Z$3:$Z$502,0)),"")</f>
        <v/>
      </c>
      <c r="M119" s="60">
        <f>IFERROR(INDEX('الرواتب'!$P$3:$P$502,MATCH(113,'الرواتب'!$Z$3:$Z$502,0)),"")</f>
        <v/>
      </c>
      <c r="N119" s="60">
        <f>IFERROR(INDEX('الرواتب'!$Q$3:$Q$502,MATCH(113,'الرواتب'!$Z$3:$Z$502,0)),"")</f>
        <v/>
      </c>
      <c r="O119" s="60">
        <f>IFERROR(INDEX('الرواتب'!$R$3:$R$502,MATCH(113,'الرواتب'!$Z$3:$Z$502,0)),"")</f>
        <v/>
      </c>
      <c r="P119" s="60">
        <f>IFERROR(INDEX('الرواتب'!$T$3:$T$502,MATCH(113,'الرواتب'!$Z$3:$Z$502,0)),"")</f>
        <v/>
      </c>
      <c r="Q119" s="60">
        <f>IFERROR(INDEX('الرواتب'!$U$3:$U$502,MATCH(113,'الرواتب'!$Z$3:$Z$502,0)),"")</f>
        <v/>
      </c>
      <c r="R119" s="60">
        <f>IFERROR(INDEX('الرواتب'!$V$3:$V$502,MATCH(113,'الرواتب'!$Z$3:$Z$502,0)),"")</f>
        <v/>
      </c>
    </row>
    <row r="120">
      <c r="A120" s="50">
        <f>IFERROR(INDEX('الرواتب'!$C$3:$C$502,MATCH(114,'الرواتب'!$Z$3:$Z$502,0)),"")</f>
        <v/>
      </c>
      <c r="B120" s="50">
        <f>IFERROR(INDEX('الرواتب'!$D$3:$D$502,MATCH(114,'الرواتب'!$Z$3:$Z$502,0)),"")</f>
        <v/>
      </c>
      <c r="C120" s="50">
        <f>IFERROR(INDEX('الرواتب'!$E$3:$E$502,MATCH(114,'الرواتب'!$Z$3:$Z$502,0)),"")</f>
        <v/>
      </c>
      <c r="D120" s="63">
        <f>IFERROR(INDEX('الرواتب'!$G$3:$G$502,MATCH(114,'الرواتب'!$Z$3:$Z$502,0)),"")</f>
        <v/>
      </c>
      <c r="E120" s="63">
        <f>IFERROR(INDEX('الرواتب'!$H$3:$H$502,MATCH(114,'الرواتب'!$Z$3:$Z$502,0)),"")</f>
        <v/>
      </c>
      <c r="F120" s="63">
        <f>IFERROR(INDEX('الرواتب'!$I$3:$I$502,MATCH(114,'الرواتب'!$Z$3:$Z$502,0)),"")</f>
        <v/>
      </c>
      <c r="G120" s="63">
        <f>IFERROR(INDEX('الرواتب'!$J$3:$J$502,MATCH(114,'الرواتب'!$Z$3:$Z$502,0)),"")</f>
        <v/>
      </c>
      <c r="H120" s="63">
        <f>IFERROR(INDEX('الرواتب'!$K$3:$K$502,MATCH(114,'الرواتب'!$Z$3:$Z$502,0)),"")</f>
        <v/>
      </c>
      <c r="I120" s="63">
        <f>IFERROR(INDEX('الرواتب'!$L$3:$L$502,MATCH(114,'الرواتب'!$Z$3:$Z$502,0)),"")</f>
        <v/>
      </c>
      <c r="J120" s="63">
        <f>IFERROR(INDEX('الرواتب'!$S$3:$S$502,MATCH(114,'الرواتب'!$Z$3:$Z$502,0)),"")</f>
        <v/>
      </c>
      <c r="K120" s="63">
        <f>IFERROR(INDEX('الرواتب'!$N$3:$N$502,MATCH(114,'الرواتب'!$Z$3:$Z$502,0)),"")</f>
        <v/>
      </c>
      <c r="L120" s="63">
        <f>IFERROR(INDEX('الرواتب'!$O$3:$O$502,MATCH(114,'الرواتب'!$Z$3:$Z$502,0)),"")</f>
        <v/>
      </c>
      <c r="M120" s="63">
        <f>IFERROR(INDEX('الرواتب'!$P$3:$P$502,MATCH(114,'الرواتب'!$Z$3:$Z$502,0)),"")</f>
        <v/>
      </c>
      <c r="N120" s="63">
        <f>IFERROR(INDEX('الرواتب'!$Q$3:$Q$502,MATCH(114,'الرواتب'!$Z$3:$Z$502,0)),"")</f>
        <v/>
      </c>
      <c r="O120" s="63">
        <f>IFERROR(INDEX('الرواتب'!$R$3:$R$502,MATCH(114,'الرواتب'!$Z$3:$Z$502,0)),"")</f>
        <v/>
      </c>
      <c r="P120" s="63">
        <f>IFERROR(INDEX('الرواتب'!$T$3:$T$502,MATCH(114,'الرواتب'!$Z$3:$Z$502,0)),"")</f>
        <v/>
      </c>
      <c r="Q120" s="63">
        <f>IFERROR(INDEX('الرواتب'!$U$3:$U$502,MATCH(114,'الرواتب'!$Z$3:$Z$502,0)),"")</f>
        <v/>
      </c>
      <c r="R120" s="63">
        <f>IFERROR(INDEX('الرواتب'!$V$3:$V$502,MATCH(114,'الرواتب'!$Z$3:$Z$502,0)),"")</f>
        <v/>
      </c>
    </row>
    <row r="121">
      <c r="A121" s="43">
        <f>IFERROR(INDEX('الرواتب'!$C$3:$C$502,MATCH(115,'الرواتب'!$Z$3:$Z$502,0)),"")</f>
        <v/>
      </c>
      <c r="B121" s="43">
        <f>IFERROR(INDEX('الرواتب'!$D$3:$D$502,MATCH(115,'الرواتب'!$Z$3:$Z$502,0)),"")</f>
        <v/>
      </c>
      <c r="C121" s="43">
        <f>IFERROR(INDEX('الرواتب'!$E$3:$E$502,MATCH(115,'الرواتب'!$Z$3:$Z$502,0)),"")</f>
        <v/>
      </c>
      <c r="D121" s="60">
        <f>IFERROR(INDEX('الرواتب'!$G$3:$G$502,MATCH(115,'الرواتب'!$Z$3:$Z$502,0)),"")</f>
        <v/>
      </c>
      <c r="E121" s="60">
        <f>IFERROR(INDEX('الرواتب'!$H$3:$H$502,MATCH(115,'الرواتب'!$Z$3:$Z$502,0)),"")</f>
        <v/>
      </c>
      <c r="F121" s="60">
        <f>IFERROR(INDEX('الرواتب'!$I$3:$I$502,MATCH(115,'الرواتب'!$Z$3:$Z$502,0)),"")</f>
        <v/>
      </c>
      <c r="G121" s="60">
        <f>IFERROR(INDEX('الرواتب'!$J$3:$J$502,MATCH(115,'الرواتب'!$Z$3:$Z$502,0)),"")</f>
        <v/>
      </c>
      <c r="H121" s="60">
        <f>IFERROR(INDEX('الرواتب'!$K$3:$K$502,MATCH(115,'الرواتب'!$Z$3:$Z$502,0)),"")</f>
        <v/>
      </c>
      <c r="I121" s="60">
        <f>IFERROR(INDEX('الرواتب'!$L$3:$L$502,MATCH(115,'الرواتب'!$Z$3:$Z$502,0)),"")</f>
        <v/>
      </c>
      <c r="J121" s="60">
        <f>IFERROR(INDEX('الرواتب'!$S$3:$S$502,MATCH(115,'الرواتب'!$Z$3:$Z$502,0)),"")</f>
        <v/>
      </c>
      <c r="K121" s="60">
        <f>IFERROR(INDEX('الرواتب'!$N$3:$N$502,MATCH(115,'الرواتب'!$Z$3:$Z$502,0)),"")</f>
        <v/>
      </c>
      <c r="L121" s="60">
        <f>IFERROR(INDEX('الرواتب'!$O$3:$O$502,MATCH(115,'الرواتب'!$Z$3:$Z$502,0)),"")</f>
        <v/>
      </c>
      <c r="M121" s="60">
        <f>IFERROR(INDEX('الرواتب'!$P$3:$P$502,MATCH(115,'الرواتب'!$Z$3:$Z$502,0)),"")</f>
        <v/>
      </c>
      <c r="N121" s="60">
        <f>IFERROR(INDEX('الرواتب'!$Q$3:$Q$502,MATCH(115,'الرواتب'!$Z$3:$Z$502,0)),"")</f>
        <v/>
      </c>
      <c r="O121" s="60">
        <f>IFERROR(INDEX('الرواتب'!$R$3:$R$502,MATCH(115,'الرواتب'!$Z$3:$Z$502,0)),"")</f>
        <v/>
      </c>
      <c r="P121" s="60">
        <f>IFERROR(INDEX('الرواتب'!$T$3:$T$502,MATCH(115,'الرواتب'!$Z$3:$Z$502,0)),"")</f>
        <v/>
      </c>
      <c r="Q121" s="60">
        <f>IFERROR(INDEX('الرواتب'!$U$3:$U$502,MATCH(115,'الرواتب'!$Z$3:$Z$502,0)),"")</f>
        <v/>
      </c>
      <c r="R121" s="60">
        <f>IFERROR(INDEX('الرواتب'!$V$3:$V$502,MATCH(115,'الرواتب'!$Z$3:$Z$502,0)),"")</f>
        <v/>
      </c>
    </row>
    <row r="122">
      <c r="A122" s="50">
        <f>IFERROR(INDEX('الرواتب'!$C$3:$C$502,MATCH(116,'الرواتب'!$Z$3:$Z$502,0)),"")</f>
        <v/>
      </c>
      <c r="B122" s="50">
        <f>IFERROR(INDEX('الرواتب'!$D$3:$D$502,MATCH(116,'الرواتب'!$Z$3:$Z$502,0)),"")</f>
        <v/>
      </c>
      <c r="C122" s="50">
        <f>IFERROR(INDEX('الرواتب'!$E$3:$E$502,MATCH(116,'الرواتب'!$Z$3:$Z$502,0)),"")</f>
        <v/>
      </c>
      <c r="D122" s="63">
        <f>IFERROR(INDEX('الرواتب'!$G$3:$G$502,MATCH(116,'الرواتب'!$Z$3:$Z$502,0)),"")</f>
        <v/>
      </c>
      <c r="E122" s="63">
        <f>IFERROR(INDEX('الرواتب'!$H$3:$H$502,MATCH(116,'الرواتب'!$Z$3:$Z$502,0)),"")</f>
        <v/>
      </c>
      <c r="F122" s="63">
        <f>IFERROR(INDEX('الرواتب'!$I$3:$I$502,MATCH(116,'الرواتب'!$Z$3:$Z$502,0)),"")</f>
        <v/>
      </c>
      <c r="G122" s="63">
        <f>IFERROR(INDEX('الرواتب'!$J$3:$J$502,MATCH(116,'الرواتب'!$Z$3:$Z$502,0)),"")</f>
        <v/>
      </c>
      <c r="H122" s="63">
        <f>IFERROR(INDEX('الرواتب'!$K$3:$K$502,MATCH(116,'الرواتب'!$Z$3:$Z$502,0)),"")</f>
        <v/>
      </c>
      <c r="I122" s="63">
        <f>IFERROR(INDEX('الرواتب'!$L$3:$L$502,MATCH(116,'الرواتب'!$Z$3:$Z$502,0)),"")</f>
        <v/>
      </c>
      <c r="J122" s="63">
        <f>IFERROR(INDEX('الرواتب'!$S$3:$S$502,MATCH(116,'الرواتب'!$Z$3:$Z$502,0)),"")</f>
        <v/>
      </c>
      <c r="K122" s="63">
        <f>IFERROR(INDEX('الرواتب'!$N$3:$N$502,MATCH(116,'الرواتب'!$Z$3:$Z$502,0)),"")</f>
        <v/>
      </c>
      <c r="L122" s="63">
        <f>IFERROR(INDEX('الرواتب'!$O$3:$O$502,MATCH(116,'الرواتب'!$Z$3:$Z$502,0)),"")</f>
        <v/>
      </c>
      <c r="M122" s="63">
        <f>IFERROR(INDEX('الرواتب'!$P$3:$P$502,MATCH(116,'الرواتب'!$Z$3:$Z$502,0)),"")</f>
        <v/>
      </c>
      <c r="N122" s="63">
        <f>IFERROR(INDEX('الرواتب'!$Q$3:$Q$502,MATCH(116,'الرواتب'!$Z$3:$Z$502,0)),"")</f>
        <v/>
      </c>
      <c r="O122" s="63">
        <f>IFERROR(INDEX('الرواتب'!$R$3:$R$502,MATCH(116,'الرواتب'!$Z$3:$Z$502,0)),"")</f>
        <v/>
      </c>
      <c r="P122" s="63">
        <f>IFERROR(INDEX('الرواتب'!$T$3:$T$502,MATCH(116,'الرواتب'!$Z$3:$Z$502,0)),"")</f>
        <v/>
      </c>
      <c r="Q122" s="63">
        <f>IFERROR(INDEX('الرواتب'!$U$3:$U$502,MATCH(116,'الرواتب'!$Z$3:$Z$502,0)),"")</f>
        <v/>
      </c>
      <c r="R122" s="63">
        <f>IFERROR(INDEX('الرواتب'!$V$3:$V$502,MATCH(116,'الرواتب'!$Z$3:$Z$502,0)),"")</f>
        <v/>
      </c>
    </row>
    <row r="123">
      <c r="A123" s="43">
        <f>IFERROR(INDEX('الرواتب'!$C$3:$C$502,MATCH(117,'الرواتب'!$Z$3:$Z$502,0)),"")</f>
        <v/>
      </c>
      <c r="B123" s="43">
        <f>IFERROR(INDEX('الرواتب'!$D$3:$D$502,MATCH(117,'الرواتب'!$Z$3:$Z$502,0)),"")</f>
        <v/>
      </c>
      <c r="C123" s="43">
        <f>IFERROR(INDEX('الرواتب'!$E$3:$E$502,MATCH(117,'الرواتب'!$Z$3:$Z$502,0)),"")</f>
        <v/>
      </c>
      <c r="D123" s="60">
        <f>IFERROR(INDEX('الرواتب'!$G$3:$G$502,MATCH(117,'الرواتب'!$Z$3:$Z$502,0)),"")</f>
        <v/>
      </c>
      <c r="E123" s="60">
        <f>IFERROR(INDEX('الرواتب'!$H$3:$H$502,MATCH(117,'الرواتب'!$Z$3:$Z$502,0)),"")</f>
        <v/>
      </c>
      <c r="F123" s="60">
        <f>IFERROR(INDEX('الرواتب'!$I$3:$I$502,MATCH(117,'الرواتب'!$Z$3:$Z$502,0)),"")</f>
        <v/>
      </c>
      <c r="G123" s="60">
        <f>IFERROR(INDEX('الرواتب'!$J$3:$J$502,MATCH(117,'الرواتب'!$Z$3:$Z$502,0)),"")</f>
        <v/>
      </c>
      <c r="H123" s="60">
        <f>IFERROR(INDEX('الرواتب'!$K$3:$K$502,MATCH(117,'الرواتب'!$Z$3:$Z$502,0)),"")</f>
        <v/>
      </c>
      <c r="I123" s="60">
        <f>IFERROR(INDEX('الرواتب'!$L$3:$L$502,MATCH(117,'الرواتب'!$Z$3:$Z$502,0)),"")</f>
        <v/>
      </c>
      <c r="J123" s="60">
        <f>IFERROR(INDEX('الرواتب'!$S$3:$S$502,MATCH(117,'الرواتب'!$Z$3:$Z$502,0)),"")</f>
        <v/>
      </c>
      <c r="K123" s="60">
        <f>IFERROR(INDEX('الرواتب'!$N$3:$N$502,MATCH(117,'الرواتب'!$Z$3:$Z$502,0)),"")</f>
        <v/>
      </c>
      <c r="L123" s="60">
        <f>IFERROR(INDEX('الرواتب'!$O$3:$O$502,MATCH(117,'الرواتب'!$Z$3:$Z$502,0)),"")</f>
        <v/>
      </c>
      <c r="M123" s="60">
        <f>IFERROR(INDEX('الرواتب'!$P$3:$P$502,MATCH(117,'الرواتب'!$Z$3:$Z$502,0)),"")</f>
        <v/>
      </c>
      <c r="N123" s="60">
        <f>IFERROR(INDEX('الرواتب'!$Q$3:$Q$502,MATCH(117,'الرواتب'!$Z$3:$Z$502,0)),"")</f>
        <v/>
      </c>
      <c r="O123" s="60">
        <f>IFERROR(INDEX('الرواتب'!$R$3:$R$502,MATCH(117,'الرواتب'!$Z$3:$Z$502,0)),"")</f>
        <v/>
      </c>
      <c r="P123" s="60">
        <f>IFERROR(INDEX('الرواتب'!$T$3:$T$502,MATCH(117,'الرواتب'!$Z$3:$Z$502,0)),"")</f>
        <v/>
      </c>
      <c r="Q123" s="60">
        <f>IFERROR(INDEX('الرواتب'!$U$3:$U$502,MATCH(117,'الرواتب'!$Z$3:$Z$502,0)),"")</f>
        <v/>
      </c>
      <c r="R123" s="60">
        <f>IFERROR(INDEX('الرواتب'!$V$3:$V$502,MATCH(117,'الرواتب'!$Z$3:$Z$502,0)),"")</f>
        <v/>
      </c>
    </row>
    <row r="124">
      <c r="A124" s="50">
        <f>IFERROR(INDEX('الرواتب'!$C$3:$C$502,MATCH(118,'الرواتب'!$Z$3:$Z$502,0)),"")</f>
        <v/>
      </c>
      <c r="B124" s="50">
        <f>IFERROR(INDEX('الرواتب'!$D$3:$D$502,MATCH(118,'الرواتب'!$Z$3:$Z$502,0)),"")</f>
        <v/>
      </c>
      <c r="C124" s="50">
        <f>IFERROR(INDEX('الرواتب'!$E$3:$E$502,MATCH(118,'الرواتب'!$Z$3:$Z$502,0)),"")</f>
        <v/>
      </c>
      <c r="D124" s="63">
        <f>IFERROR(INDEX('الرواتب'!$G$3:$G$502,MATCH(118,'الرواتب'!$Z$3:$Z$502,0)),"")</f>
        <v/>
      </c>
      <c r="E124" s="63">
        <f>IFERROR(INDEX('الرواتب'!$H$3:$H$502,MATCH(118,'الرواتب'!$Z$3:$Z$502,0)),"")</f>
        <v/>
      </c>
      <c r="F124" s="63">
        <f>IFERROR(INDEX('الرواتب'!$I$3:$I$502,MATCH(118,'الرواتب'!$Z$3:$Z$502,0)),"")</f>
        <v/>
      </c>
      <c r="G124" s="63">
        <f>IFERROR(INDEX('الرواتب'!$J$3:$J$502,MATCH(118,'الرواتب'!$Z$3:$Z$502,0)),"")</f>
        <v/>
      </c>
      <c r="H124" s="63">
        <f>IFERROR(INDEX('الرواتب'!$K$3:$K$502,MATCH(118,'الرواتب'!$Z$3:$Z$502,0)),"")</f>
        <v/>
      </c>
      <c r="I124" s="63">
        <f>IFERROR(INDEX('الرواتب'!$L$3:$L$502,MATCH(118,'الرواتب'!$Z$3:$Z$502,0)),"")</f>
        <v/>
      </c>
      <c r="J124" s="63">
        <f>IFERROR(INDEX('الرواتب'!$S$3:$S$502,MATCH(118,'الرواتب'!$Z$3:$Z$502,0)),"")</f>
        <v/>
      </c>
      <c r="K124" s="63">
        <f>IFERROR(INDEX('الرواتب'!$N$3:$N$502,MATCH(118,'الرواتب'!$Z$3:$Z$502,0)),"")</f>
        <v/>
      </c>
      <c r="L124" s="63">
        <f>IFERROR(INDEX('الرواتب'!$O$3:$O$502,MATCH(118,'الرواتب'!$Z$3:$Z$502,0)),"")</f>
        <v/>
      </c>
      <c r="M124" s="63">
        <f>IFERROR(INDEX('الرواتب'!$P$3:$P$502,MATCH(118,'الرواتب'!$Z$3:$Z$502,0)),"")</f>
        <v/>
      </c>
      <c r="N124" s="63">
        <f>IFERROR(INDEX('الرواتب'!$Q$3:$Q$502,MATCH(118,'الرواتب'!$Z$3:$Z$502,0)),"")</f>
        <v/>
      </c>
      <c r="O124" s="63">
        <f>IFERROR(INDEX('الرواتب'!$R$3:$R$502,MATCH(118,'الرواتب'!$Z$3:$Z$502,0)),"")</f>
        <v/>
      </c>
      <c r="P124" s="63">
        <f>IFERROR(INDEX('الرواتب'!$T$3:$T$502,MATCH(118,'الرواتب'!$Z$3:$Z$502,0)),"")</f>
        <v/>
      </c>
      <c r="Q124" s="63">
        <f>IFERROR(INDEX('الرواتب'!$U$3:$U$502,MATCH(118,'الرواتب'!$Z$3:$Z$502,0)),"")</f>
        <v/>
      </c>
      <c r="R124" s="63">
        <f>IFERROR(INDEX('الرواتب'!$V$3:$V$502,MATCH(118,'الرواتب'!$Z$3:$Z$502,0)),"")</f>
        <v/>
      </c>
    </row>
    <row r="125">
      <c r="A125" s="43">
        <f>IFERROR(INDEX('الرواتب'!$C$3:$C$502,MATCH(119,'الرواتب'!$Z$3:$Z$502,0)),"")</f>
        <v/>
      </c>
      <c r="B125" s="43">
        <f>IFERROR(INDEX('الرواتب'!$D$3:$D$502,MATCH(119,'الرواتب'!$Z$3:$Z$502,0)),"")</f>
        <v/>
      </c>
      <c r="C125" s="43">
        <f>IFERROR(INDEX('الرواتب'!$E$3:$E$502,MATCH(119,'الرواتب'!$Z$3:$Z$502,0)),"")</f>
        <v/>
      </c>
      <c r="D125" s="60">
        <f>IFERROR(INDEX('الرواتب'!$G$3:$G$502,MATCH(119,'الرواتب'!$Z$3:$Z$502,0)),"")</f>
        <v/>
      </c>
      <c r="E125" s="60">
        <f>IFERROR(INDEX('الرواتب'!$H$3:$H$502,MATCH(119,'الرواتب'!$Z$3:$Z$502,0)),"")</f>
        <v/>
      </c>
      <c r="F125" s="60">
        <f>IFERROR(INDEX('الرواتب'!$I$3:$I$502,MATCH(119,'الرواتب'!$Z$3:$Z$502,0)),"")</f>
        <v/>
      </c>
      <c r="G125" s="60">
        <f>IFERROR(INDEX('الرواتب'!$J$3:$J$502,MATCH(119,'الرواتب'!$Z$3:$Z$502,0)),"")</f>
        <v/>
      </c>
      <c r="H125" s="60">
        <f>IFERROR(INDEX('الرواتب'!$K$3:$K$502,MATCH(119,'الرواتب'!$Z$3:$Z$502,0)),"")</f>
        <v/>
      </c>
      <c r="I125" s="60">
        <f>IFERROR(INDEX('الرواتب'!$L$3:$L$502,MATCH(119,'الرواتب'!$Z$3:$Z$502,0)),"")</f>
        <v/>
      </c>
      <c r="J125" s="60">
        <f>IFERROR(INDEX('الرواتب'!$S$3:$S$502,MATCH(119,'الرواتب'!$Z$3:$Z$502,0)),"")</f>
        <v/>
      </c>
      <c r="K125" s="60">
        <f>IFERROR(INDEX('الرواتب'!$N$3:$N$502,MATCH(119,'الرواتب'!$Z$3:$Z$502,0)),"")</f>
        <v/>
      </c>
      <c r="L125" s="60">
        <f>IFERROR(INDEX('الرواتب'!$O$3:$O$502,MATCH(119,'الرواتب'!$Z$3:$Z$502,0)),"")</f>
        <v/>
      </c>
      <c r="M125" s="60">
        <f>IFERROR(INDEX('الرواتب'!$P$3:$P$502,MATCH(119,'الرواتب'!$Z$3:$Z$502,0)),"")</f>
        <v/>
      </c>
      <c r="N125" s="60">
        <f>IFERROR(INDEX('الرواتب'!$Q$3:$Q$502,MATCH(119,'الرواتب'!$Z$3:$Z$502,0)),"")</f>
        <v/>
      </c>
      <c r="O125" s="60">
        <f>IFERROR(INDEX('الرواتب'!$R$3:$R$502,MATCH(119,'الرواتب'!$Z$3:$Z$502,0)),"")</f>
        <v/>
      </c>
      <c r="P125" s="60">
        <f>IFERROR(INDEX('الرواتب'!$T$3:$T$502,MATCH(119,'الرواتب'!$Z$3:$Z$502,0)),"")</f>
        <v/>
      </c>
      <c r="Q125" s="60">
        <f>IFERROR(INDEX('الرواتب'!$U$3:$U$502,MATCH(119,'الرواتب'!$Z$3:$Z$502,0)),"")</f>
        <v/>
      </c>
      <c r="R125" s="60">
        <f>IFERROR(INDEX('الرواتب'!$V$3:$V$502,MATCH(119,'الرواتب'!$Z$3:$Z$502,0)),"")</f>
        <v/>
      </c>
    </row>
    <row r="126">
      <c r="A126" s="50">
        <f>IFERROR(INDEX('الرواتب'!$C$3:$C$502,MATCH(120,'الرواتب'!$Z$3:$Z$502,0)),"")</f>
        <v/>
      </c>
      <c r="B126" s="50">
        <f>IFERROR(INDEX('الرواتب'!$D$3:$D$502,MATCH(120,'الرواتب'!$Z$3:$Z$502,0)),"")</f>
        <v/>
      </c>
      <c r="C126" s="50">
        <f>IFERROR(INDEX('الرواتب'!$E$3:$E$502,MATCH(120,'الرواتب'!$Z$3:$Z$502,0)),"")</f>
        <v/>
      </c>
      <c r="D126" s="63">
        <f>IFERROR(INDEX('الرواتب'!$G$3:$G$502,MATCH(120,'الرواتب'!$Z$3:$Z$502,0)),"")</f>
        <v/>
      </c>
      <c r="E126" s="63">
        <f>IFERROR(INDEX('الرواتب'!$H$3:$H$502,MATCH(120,'الرواتب'!$Z$3:$Z$502,0)),"")</f>
        <v/>
      </c>
      <c r="F126" s="63">
        <f>IFERROR(INDEX('الرواتب'!$I$3:$I$502,MATCH(120,'الرواتب'!$Z$3:$Z$502,0)),"")</f>
        <v/>
      </c>
      <c r="G126" s="63">
        <f>IFERROR(INDEX('الرواتب'!$J$3:$J$502,MATCH(120,'الرواتب'!$Z$3:$Z$502,0)),"")</f>
        <v/>
      </c>
      <c r="H126" s="63">
        <f>IFERROR(INDEX('الرواتب'!$K$3:$K$502,MATCH(120,'الرواتب'!$Z$3:$Z$502,0)),"")</f>
        <v/>
      </c>
      <c r="I126" s="63">
        <f>IFERROR(INDEX('الرواتب'!$L$3:$L$502,MATCH(120,'الرواتب'!$Z$3:$Z$502,0)),"")</f>
        <v/>
      </c>
      <c r="J126" s="63">
        <f>IFERROR(INDEX('الرواتب'!$S$3:$S$502,MATCH(120,'الرواتب'!$Z$3:$Z$502,0)),"")</f>
        <v/>
      </c>
      <c r="K126" s="63">
        <f>IFERROR(INDEX('الرواتب'!$N$3:$N$502,MATCH(120,'الرواتب'!$Z$3:$Z$502,0)),"")</f>
        <v/>
      </c>
      <c r="L126" s="63">
        <f>IFERROR(INDEX('الرواتب'!$O$3:$O$502,MATCH(120,'الرواتب'!$Z$3:$Z$502,0)),"")</f>
        <v/>
      </c>
      <c r="M126" s="63">
        <f>IFERROR(INDEX('الرواتب'!$P$3:$P$502,MATCH(120,'الرواتب'!$Z$3:$Z$502,0)),"")</f>
        <v/>
      </c>
      <c r="N126" s="63">
        <f>IFERROR(INDEX('الرواتب'!$Q$3:$Q$502,MATCH(120,'الرواتب'!$Z$3:$Z$502,0)),"")</f>
        <v/>
      </c>
      <c r="O126" s="63">
        <f>IFERROR(INDEX('الرواتب'!$R$3:$R$502,MATCH(120,'الرواتب'!$Z$3:$Z$502,0)),"")</f>
        <v/>
      </c>
      <c r="P126" s="63">
        <f>IFERROR(INDEX('الرواتب'!$T$3:$T$502,MATCH(120,'الرواتب'!$Z$3:$Z$502,0)),"")</f>
        <v/>
      </c>
      <c r="Q126" s="63">
        <f>IFERROR(INDEX('الرواتب'!$U$3:$U$502,MATCH(120,'الرواتب'!$Z$3:$Z$502,0)),"")</f>
        <v/>
      </c>
      <c r="R126" s="63">
        <f>IFERROR(INDEX('الرواتب'!$V$3:$V$502,MATCH(120,'الرواتب'!$Z$3:$Z$502,0)),"")</f>
        <v/>
      </c>
    </row>
    <row r="127">
      <c r="A127" s="43">
        <f>IFERROR(INDEX('الرواتب'!$C$3:$C$502,MATCH(121,'الرواتب'!$Z$3:$Z$502,0)),"")</f>
        <v/>
      </c>
      <c r="B127" s="43">
        <f>IFERROR(INDEX('الرواتب'!$D$3:$D$502,MATCH(121,'الرواتب'!$Z$3:$Z$502,0)),"")</f>
        <v/>
      </c>
      <c r="C127" s="43">
        <f>IFERROR(INDEX('الرواتب'!$E$3:$E$502,MATCH(121,'الرواتب'!$Z$3:$Z$502,0)),"")</f>
        <v/>
      </c>
      <c r="D127" s="60">
        <f>IFERROR(INDEX('الرواتب'!$G$3:$G$502,MATCH(121,'الرواتب'!$Z$3:$Z$502,0)),"")</f>
        <v/>
      </c>
      <c r="E127" s="60">
        <f>IFERROR(INDEX('الرواتب'!$H$3:$H$502,MATCH(121,'الرواتب'!$Z$3:$Z$502,0)),"")</f>
        <v/>
      </c>
      <c r="F127" s="60">
        <f>IFERROR(INDEX('الرواتب'!$I$3:$I$502,MATCH(121,'الرواتب'!$Z$3:$Z$502,0)),"")</f>
        <v/>
      </c>
      <c r="G127" s="60">
        <f>IFERROR(INDEX('الرواتب'!$J$3:$J$502,MATCH(121,'الرواتب'!$Z$3:$Z$502,0)),"")</f>
        <v/>
      </c>
      <c r="H127" s="60">
        <f>IFERROR(INDEX('الرواتب'!$K$3:$K$502,MATCH(121,'الرواتب'!$Z$3:$Z$502,0)),"")</f>
        <v/>
      </c>
      <c r="I127" s="60">
        <f>IFERROR(INDEX('الرواتب'!$L$3:$L$502,MATCH(121,'الرواتب'!$Z$3:$Z$502,0)),"")</f>
        <v/>
      </c>
      <c r="J127" s="60">
        <f>IFERROR(INDEX('الرواتب'!$S$3:$S$502,MATCH(121,'الرواتب'!$Z$3:$Z$502,0)),"")</f>
        <v/>
      </c>
      <c r="K127" s="60">
        <f>IFERROR(INDEX('الرواتب'!$N$3:$N$502,MATCH(121,'الرواتب'!$Z$3:$Z$502,0)),"")</f>
        <v/>
      </c>
      <c r="L127" s="60">
        <f>IFERROR(INDEX('الرواتب'!$O$3:$O$502,MATCH(121,'الرواتب'!$Z$3:$Z$502,0)),"")</f>
        <v/>
      </c>
      <c r="M127" s="60">
        <f>IFERROR(INDEX('الرواتب'!$P$3:$P$502,MATCH(121,'الرواتب'!$Z$3:$Z$502,0)),"")</f>
        <v/>
      </c>
      <c r="N127" s="60">
        <f>IFERROR(INDEX('الرواتب'!$Q$3:$Q$502,MATCH(121,'الرواتب'!$Z$3:$Z$502,0)),"")</f>
        <v/>
      </c>
      <c r="O127" s="60">
        <f>IFERROR(INDEX('الرواتب'!$R$3:$R$502,MATCH(121,'الرواتب'!$Z$3:$Z$502,0)),"")</f>
        <v/>
      </c>
      <c r="P127" s="60">
        <f>IFERROR(INDEX('الرواتب'!$T$3:$T$502,MATCH(121,'الرواتب'!$Z$3:$Z$502,0)),"")</f>
        <v/>
      </c>
      <c r="Q127" s="60">
        <f>IFERROR(INDEX('الرواتب'!$U$3:$U$502,MATCH(121,'الرواتب'!$Z$3:$Z$502,0)),"")</f>
        <v/>
      </c>
      <c r="R127" s="60">
        <f>IFERROR(INDEX('الرواتب'!$V$3:$V$502,MATCH(121,'الرواتب'!$Z$3:$Z$502,0)),"")</f>
        <v/>
      </c>
    </row>
    <row r="128">
      <c r="A128" s="50">
        <f>IFERROR(INDEX('الرواتب'!$C$3:$C$502,MATCH(122,'الرواتب'!$Z$3:$Z$502,0)),"")</f>
        <v/>
      </c>
      <c r="B128" s="50">
        <f>IFERROR(INDEX('الرواتب'!$D$3:$D$502,MATCH(122,'الرواتب'!$Z$3:$Z$502,0)),"")</f>
        <v/>
      </c>
      <c r="C128" s="50">
        <f>IFERROR(INDEX('الرواتب'!$E$3:$E$502,MATCH(122,'الرواتب'!$Z$3:$Z$502,0)),"")</f>
        <v/>
      </c>
      <c r="D128" s="63">
        <f>IFERROR(INDEX('الرواتب'!$G$3:$G$502,MATCH(122,'الرواتب'!$Z$3:$Z$502,0)),"")</f>
        <v/>
      </c>
      <c r="E128" s="63">
        <f>IFERROR(INDEX('الرواتب'!$H$3:$H$502,MATCH(122,'الرواتب'!$Z$3:$Z$502,0)),"")</f>
        <v/>
      </c>
      <c r="F128" s="63">
        <f>IFERROR(INDEX('الرواتب'!$I$3:$I$502,MATCH(122,'الرواتب'!$Z$3:$Z$502,0)),"")</f>
        <v/>
      </c>
      <c r="G128" s="63">
        <f>IFERROR(INDEX('الرواتب'!$J$3:$J$502,MATCH(122,'الرواتب'!$Z$3:$Z$502,0)),"")</f>
        <v/>
      </c>
      <c r="H128" s="63">
        <f>IFERROR(INDEX('الرواتب'!$K$3:$K$502,MATCH(122,'الرواتب'!$Z$3:$Z$502,0)),"")</f>
        <v/>
      </c>
      <c r="I128" s="63">
        <f>IFERROR(INDEX('الرواتب'!$L$3:$L$502,MATCH(122,'الرواتب'!$Z$3:$Z$502,0)),"")</f>
        <v/>
      </c>
      <c r="J128" s="63">
        <f>IFERROR(INDEX('الرواتب'!$S$3:$S$502,MATCH(122,'الرواتب'!$Z$3:$Z$502,0)),"")</f>
        <v/>
      </c>
      <c r="K128" s="63">
        <f>IFERROR(INDEX('الرواتب'!$N$3:$N$502,MATCH(122,'الرواتب'!$Z$3:$Z$502,0)),"")</f>
        <v/>
      </c>
      <c r="L128" s="63">
        <f>IFERROR(INDEX('الرواتب'!$O$3:$O$502,MATCH(122,'الرواتب'!$Z$3:$Z$502,0)),"")</f>
        <v/>
      </c>
      <c r="M128" s="63">
        <f>IFERROR(INDEX('الرواتب'!$P$3:$P$502,MATCH(122,'الرواتب'!$Z$3:$Z$502,0)),"")</f>
        <v/>
      </c>
      <c r="N128" s="63">
        <f>IFERROR(INDEX('الرواتب'!$Q$3:$Q$502,MATCH(122,'الرواتب'!$Z$3:$Z$502,0)),"")</f>
        <v/>
      </c>
      <c r="O128" s="63">
        <f>IFERROR(INDEX('الرواتب'!$R$3:$R$502,MATCH(122,'الرواتب'!$Z$3:$Z$502,0)),"")</f>
        <v/>
      </c>
      <c r="P128" s="63">
        <f>IFERROR(INDEX('الرواتب'!$T$3:$T$502,MATCH(122,'الرواتب'!$Z$3:$Z$502,0)),"")</f>
        <v/>
      </c>
      <c r="Q128" s="63">
        <f>IFERROR(INDEX('الرواتب'!$U$3:$U$502,MATCH(122,'الرواتب'!$Z$3:$Z$502,0)),"")</f>
        <v/>
      </c>
      <c r="R128" s="63">
        <f>IFERROR(INDEX('الرواتب'!$V$3:$V$502,MATCH(122,'الرواتب'!$Z$3:$Z$502,0)),"")</f>
        <v/>
      </c>
    </row>
    <row r="129">
      <c r="A129" s="43">
        <f>IFERROR(INDEX('الرواتب'!$C$3:$C$502,MATCH(123,'الرواتب'!$Z$3:$Z$502,0)),"")</f>
        <v/>
      </c>
      <c r="B129" s="43">
        <f>IFERROR(INDEX('الرواتب'!$D$3:$D$502,MATCH(123,'الرواتب'!$Z$3:$Z$502,0)),"")</f>
        <v/>
      </c>
      <c r="C129" s="43">
        <f>IFERROR(INDEX('الرواتب'!$E$3:$E$502,MATCH(123,'الرواتب'!$Z$3:$Z$502,0)),"")</f>
        <v/>
      </c>
      <c r="D129" s="60">
        <f>IFERROR(INDEX('الرواتب'!$G$3:$G$502,MATCH(123,'الرواتب'!$Z$3:$Z$502,0)),"")</f>
        <v/>
      </c>
      <c r="E129" s="60">
        <f>IFERROR(INDEX('الرواتب'!$H$3:$H$502,MATCH(123,'الرواتب'!$Z$3:$Z$502,0)),"")</f>
        <v/>
      </c>
      <c r="F129" s="60">
        <f>IFERROR(INDEX('الرواتب'!$I$3:$I$502,MATCH(123,'الرواتب'!$Z$3:$Z$502,0)),"")</f>
        <v/>
      </c>
      <c r="G129" s="60">
        <f>IFERROR(INDEX('الرواتب'!$J$3:$J$502,MATCH(123,'الرواتب'!$Z$3:$Z$502,0)),"")</f>
        <v/>
      </c>
      <c r="H129" s="60">
        <f>IFERROR(INDEX('الرواتب'!$K$3:$K$502,MATCH(123,'الرواتب'!$Z$3:$Z$502,0)),"")</f>
        <v/>
      </c>
      <c r="I129" s="60">
        <f>IFERROR(INDEX('الرواتب'!$L$3:$L$502,MATCH(123,'الرواتب'!$Z$3:$Z$502,0)),"")</f>
        <v/>
      </c>
      <c r="J129" s="60">
        <f>IFERROR(INDEX('الرواتب'!$S$3:$S$502,MATCH(123,'الرواتب'!$Z$3:$Z$502,0)),"")</f>
        <v/>
      </c>
      <c r="K129" s="60">
        <f>IFERROR(INDEX('الرواتب'!$N$3:$N$502,MATCH(123,'الرواتب'!$Z$3:$Z$502,0)),"")</f>
        <v/>
      </c>
      <c r="L129" s="60">
        <f>IFERROR(INDEX('الرواتب'!$O$3:$O$502,MATCH(123,'الرواتب'!$Z$3:$Z$502,0)),"")</f>
        <v/>
      </c>
      <c r="M129" s="60">
        <f>IFERROR(INDEX('الرواتب'!$P$3:$P$502,MATCH(123,'الرواتب'!$Z$3:$Z$502,0)),"")</f>
        <v/>
      </c>
      <c r="N129" s="60">
        <f>IFERROR(INDEX('الرواتب'!$Q$3:$Q$502,MATCH(123,'الرواتب'!$Z$3:$Z$502,0)),"")</f>
        <v/>
      </c>
      <c r="O129" s="60">
        <f>IFERROR(INDEX('الرواتب'!$R$3:$R$502,MATCH(123,'الرواتب'!$Z$3:$Z$502,0)),"")</f>
        <v/>
      </c>
      <c r="P129" s="60">
        <f>IFERROR(INDEX('الرواتب'!$T$3:$T$502,MATCH(123,'الرواتب'!$Z$3:$Z$502,0)),"")</f>
        <v/>
      </c>
      <c r="Q129" s="60">
        <f>IFERROR(INDEX('الرواتب'!$U$3:$U$502,MATCH(123,'الرواتب'!$Z$3:$Z$502,0)),"")</f>
        <v/>
      </c>
      <c r="R129" s="60">
        <f>IFERROR(INDEX('الرواتب'!$V$3:$V$502,MATCH(123,'الرواتب'!$Z$3:$Z$502,0)),"")</f>
        <v/>
      </c>
    </row>
    <row r="130">
      <c r="A130" s="50">
        <f>IFERROR(INDEX('الرواتب'!$C$3:$C$502,MATCH(124,'الرواتب'!$Z$3:$Z$502,0)),"")</f>
        <v/>
      </c>
      <c r="B130" s="50">
        <f>IFERROR(INDEX('الرواتب'!$D$3:$D$502,MATCH(124,'الرواتب'!$Z$3:$Z$502,0)),"")</f>
        <v/>
      </c>
      <c r="C130" s="50">
        <f>IFERROR(INDEX('الرواتب'!$E$3:$E$502,MATCH(124,'الرواتب'!$Z$3:$Z$502,0)),"")</f>
        <v/>
      </c>
      <c r="D130" s="63">
        <f>IFERROR(INDEX('الرواتب'!$G$3:$G$502,MATCH(124,'الرواتب'!$Z$3:$Z$502,0)),"")</f>
        <v/>
      </c>
      <c r="E130" s="63">
        <f>IFERROR(INDEX('الرواتب'!$H$3:$H$502,MATCH(124,'الرواتب'!$Z$3:$Z$502,0)),"")</f>
        <v/>
      </c>
      <c r="F130" s="63">
        <f>IFERROR(INDEX('الرواتب'!$I$3:$I$502,MATCH(124,'الرواتب'!$Z$3:$Z$502,0)),"")</f>
        <v/>
      </c>
      <c r="G130" s="63">
        <f>IFERROR(INDEX('الرواتب'!$J$3:$J$502,MATCH(124,'الرواتب'!$Z$3:$Z$502,0)),"")</f>
        <v/>
      </c>
      <c r="H130" s="63">
        <f>IFERROR(INDEX('الرواتب'!$K$3:$K$502,MATCH(124,'الرواتب'!$Z$3:$Z$502,0)),"")</f>
        <v/>
      </c>
      <c r="I130" s="63">
        <f>IFERROR(INDEX('الرواتب'!$L$3:$L$502,MATCH(124,'الرواتب'!$Z$3:$Z$502,0)),"")</f>
        <v/>
      </c>
      <c r="J130" s="63">
        <f>IFERROR(INDEX('الرواتب'!$S$3:$S$502,MATCH(124,'الرواتب'!$Z$3:$Z$502,0)),"")</f>
        <v/>
      </c>
      <c r="K130" s="63">
        <f>IFERROR(INDEX('الرواتب'!$N$3:$N$502,MATCH(124,'الرواتب'!$Z$3:$Z$502,0)),"")</f>
        <v/>
      </c>
      <c r="L130" s="63">
        <f>IFERROR(INDEX('الرواتب'!$O$3:$O$502,MATCH(124,'الرواتب'!$Z$3:$Z$502,0)),"")</f>
        <v/>
      </c>
      <c r="M130" s="63">
        <f>IFERROR(INDEX('الرواتب'!$P$3:$P$502,MATCH(124,'الرواتب'!$Z$3:$Z$502,0)),"")</f>
        <v/>
      </c>
      <c r="N130" s="63">
        <f>IFERROR(INDEX('الرواتب'!$Q$3:$Q$502,MATCH(124,'الرواتب'!$Z$3:$Z$502,0)),"")</f>
        <v/>
      </c>
      <c r="O130" s="63">
        <f>IFERROR(INDEX('الرواتب'!$R$3:$R$502,MATCH(124,'الرواتب'!$Z$3:$Z$502,0)),"")</f>
        <v/>
      </c>
      <c r="P130" s="63">
        <f>IFERROR(INDEX('الرواتب'!$T$3:$T$502,MATCH(124,'الرواتب'!$Z$3:$Z$502,0)),"")</f>
        <v/>
      </c>
      <c r="Q130" s="63">
        <f>IFERROR(INDEX('الرواتب'!$U$3:$U$502,MATCH(124,'الرواتب'!$Z$3:$Z$502,0)),"")</f>
        <v/>
      </c>
      <c r="R130" s="63">
        <f>IFERROR(INDEX('الرواتب'!$V$3:$V$502,MATCH(124,'الرواتب'!$Z$3:$Z$502,0)),"")</f>
        <v/>
      </c>
    </row>
    <row r="131">
      <c r="A131" s="43">
        <f>IFERROR(INDEX('الرواتب'!$C$3:$C$502,MATCH(125,'الرواتب'!$Z$3:$Z$502,0)),"")</f>
        <v/>
      </c>
      <c r="B131" s="43">
        <f>IFERROR(INDEX('الرواتب'!$D$3:$D$502,MATCH(125,'الرواتب'!$Z$3:$Z$502,0)),"")</f>
        <v/>
      </c>
      <c r="C131" s="43">
        <f>IFERROR(INDEX('الرواتب'!$E$3:$E$502,MATCH(125,'الرواتب'!$Z$3:$Z$502,0)),"")</f>
        <v/>
      </c>
      <c r="D131" s="60">
        <f>IFERROR(INDEX('الرواتب'!$G$3:$G$502,MATCH(125,'الرواتب'!$Z$3:$Z$502,0)),"")</f>
        <v/>
      </c>
      <c r="E131" s="60">
        <f>IFERROR(INDEX('الرواتب'!$H$3:$H$502,MATCH(125,'الرواتب'!$Z$3:$Z$502,0)),"")</f>
        <v/>
      </c>
      <c r="F131" s="60">
        <f>IFERROR(INDEX('الرواتب'!$I$3:$I$502,MATCH(125,'الرواتب'!$Z$3:$Z$502,0)),"")</f>
        <v/>
      </c>
      <c r="G131" s="60">
        <f>IFERROR(INDEX('الرواتب'!$J$3:$J$502,MATCH(125,'الرواتب'!$Z$3:$Z$502,0)),"")</f>
        <v/>
      </c>
      <c r="H131" s="60">
        <f>IFERROR(INDEX('الرواتب'!$K$3:$K$502,MATCH(125,'الرواتب'!$Z$3:$Z$502,0)),"")</f>
        <v/>
      </c>
      <c r="I131" s="60">
        <f>IFERROR(INDEX('الرواتب'!$L$3:$L$502,MATCH(125,'الرواتب'!$Z$3:$Z$502,0)),"")</f>
        <v/>
      </c>
      <c r="J131" s="60">
        <f>IFERROR(INDEX('الرواتب'!$S$3:$S$502,MATCH(125,'الرواتب'!$Z$3:$Z$502,0)),"")</f>
        <v/>
      </c>
      <c r="K131" s="60">
        <f>IFERROR(INDEX('الرواتب'!$N$3:$N$502,MATCH(125,'الرواتب'!$Z$3:$Z$502,0)),"")</f>
        <v/>
      </c>
      <c r="L131" s="60">
        <f>IFERROR(INDEX('الرواتب'!$O$3:$O$502,MATCH(125,'الرواتب'!$Z$3:$Z$502,0)),"")</f>
        <v/>
      </c>
      <c r="M131" s="60">
        <f>IFERROR(INDEX('الرواتب'!$P$3:$P$502,MATCH(125,'الرواتب'!$Z$3:$Z$502,0)),"")</f>
        <v/>
      </c>
      <c r="N131" s="60">
        <f>IFERROR(INDEX('الرواتب'!$Q$3:$Q$502,MATCH(125,'الرواتب'!$Z$3:$Z$502,0)),"")</f>
        <v/>
      </c>
      <c r="O131" s="60">
        <f>IFERROR(INDEX('الرواتب'!$R$3:$R$502,MATCH(125,'الرواتب'!$Z$3:$Z$502,0)),"")</f>
        <v/>
      </c>
      <c r="P131" s="60">
        <f>IFERROR(INDEX('الرواتب'!$T$3:$T$502,MATCH(125,'الرواتب'!$Z$3:$Z$502,0)),"")</f>
        <v/>
      </c>
      <c r="Q131" s="60">
        <f>IFERROR(INDEX('الرواتب'!$U$3:$U$502,MATCH(125,'الرواتب'!$Z$3:$Z$502,0)),"")</f>
        <v/>
      </c>
      <c r="R131" s="60">
        <f>IFERROR(INDEX('الرواتب'!$V$3:$V$502,MATCH(125,'الرواتب'!$Z$3:$Z$502,0)),"")</f>
        <v/>
      </c>
    </row>
    <row r="132">
      <c r="A132" s="50">
        <f>IFERROR(INDEX('الرواتب'!$C$3:$C$502,MATCH(126,'الرواتب'!$Z$3:$Z$502,0)),"")</f>
        <v/>
      </c>
      <c r="B132" s="50">
        <f>IFERROR(INDEX('الرواتب'!$D$3:$D$502,MATCH(126,'الرواتب'!$Z$3:$Z$502,0)),"")</f>
        <v/>
      </c>
      <c r="C132" s="50">
        <f>IFERROR(INDEX('الرواتب'!$E$3:$E$502,MATCH(126,'الرواتب'!$Z$3:$Z$502,0)),"")</f>
        <v/>
      </c>
      <c r="D132" s="63">
        <f>IFERROR(INDEX('الرواتب'!$G$3:$G$502,MATCH(126,'الرواتب'!$Z$3:$Z$502,0)),"")</f>
        <v/>
      </c>
      <c r="E132" s="63">
        <f>IFERROR(INDEX('الرواتب'!$H$3:$H$502,MATCH(126,'الرواتب'!$Z$3:$Z$502,0)),"")</f>
        <v/>
      </c>
      <c r="F132" s="63">
        <f>IFERROR(INDEX('الرواتب'!$I$3:$I$502,MATCH(126,'الرواتب'!$Z$3:$Z$502,0)),"")</f>
        <v/>
      </c>
      <c r="G132" s="63">
        <f>IFERROR(INDEX('الرواتب'!$J$3:$J$502,MATCH(126,'الرواتب'!$Z$3:$Z$502,0)),"")</f>
        <v/>
      </c>
      <c r="H132" s="63">
        <f>IFERROR(INDEX('الرواتب'!$K$3:$K$502,MATCH(126,'الرواتب'!$Z$3:$Z$502,0)),"")</f>
        <v/>
      </c>
      <c r="I132" s="63">
        <f>IFERROR(INDEX('الرواتب'!$L$3:$L$502,MATCH(126,'الرواتب'!$Z$3:$Z$502,0)),"")</f>
        <v/>
      </c>
      <c r="J132" s="63">
        <f>IFERROR(INDEX('الرواتب'!$S$3:$S$502,MATCH(126,'الرواتب'!$Z$3:$Z$502,0)),"")</f>
        <v/>
      </c>
      <c r="K132" s="63">
        <f>IFERROR(INDEX('الرواتب'!$N$3:$N$502,MATCH(126,'الرواتب'!$Z$3:$Z$502,0)),"")</f>
        <v/>
      </c>
      <c r="L132" s="63">
        <f>IFERROR(INDEX('الرواتب'!$O$3:$O$502,MATCH(126,'الرواتب'!$Z$3:$Z$502,0)),"")</f>
        <v/>
      </c>
      <c r="M132" s="63">
        <f>IFERROR(INDEX('الرواتب'!$P$3:$P$502,MATCH(126,'الرواتب'!$Z$3:$Z$502,0)),"")</f>
        <v/>
      </c>
      <c r="N132" s="63">
        <f>IFERROR(INDEX('الرواتب'!$Q$3:$Q$502,MATCH(126,'الرواتب'!$Z$3:$Z$502,0)),"")</f>
        <v/>
      </c>
      <c r="O132" s="63">
        <f>IFERROR(INDEX('الرواتب'!$R$3:$R$502,MATCH(126,'الرواتب'!$Z$3:$Z$502,0)),"")</f>
        <v/>
      </c>
      <c r="P132" s="63">
        <f>IFERROR(INDEX('الرواتب'!$T$3:$T$502,MATCH(126,'الرواتب'!$Z$3:$Z$502,0)),"")</f>
        <v/>
      </c>
      <c r="Q132" s="63">
        <f>IFERROR(INDEX('الرواتب'!$U$3:$U$502,MATCH(126,'الرواتب'!$Z$3:$Z$502,0)),"")</f>
        <v/>
      </c>
      <c r="R132" s="63">
        <f>IFERROR(INDEX('الرواتب'!$V$3:$V$502,MATCH(126,'الرواتب'!$Z$3:$Z$502,0)),"")</f>
        <v/>
      </c>
    </row>
    <row r="133">
      <c r="A133" s="43">
        <f>IFERROR(INDEX('الرواتب'!$C$3:$C$502,MATCH(127,'الرواتب'!$Z$3:$Z$502,0)),"")</f>
        <v/>
      </c>
      <c r="B133" s="43">
        <f>IFERROR(INDEX('الرواتب'!$D$3:$D$502,MATCH(127,'الرواتب'!$Z$3:$Z$502,0)),"")</f>
        <v/>
      </c>
      <c r="C133" s="43">
        <f>IFERROR(INDEX('الرواتب'!$E$3:$E$502,MATCH(127,'الرواتب'!$Z$3:$Z$502,0)),"")</f>
        <v/>
      </c>
      <c r="D133" s="60">
        <f>IFERROR(INDEX('الرواتب'!$G$3:$G$502,MATCH(127,'الرواتب'!$Z$3:$Z$502,0)),"")</f>
        <v/>
      </c>
      <c r="E133" s="60">
        <f>IFERROR(INDEX('الرواتب'!$H$3:$H$502,MATCH(127,'الرواتب'!$Z$3:$Z$502,0)),"")</f>
        <v/>
      </c>
      <c r="F133" s="60">
        <f>IFERROR(INDEX('الرواتب'!$I$3:$I$502,MATCH(127,'الرواتب'!$Z$3:$Z$502,0)),"")</f>
        <v/>
      </c>
      <c r="G133" s="60">
        <f>IFERROR(INDEX('الرواتب'!$J$3:$J$502,MATCH(127,'الرواتب'!$Z$3:$Z$502,0)),"")</f>
        <v/>
      </c>
      <c r="H133" s="60">
        <f>IFERROR(INDEX('الرواتب'!$K$3:$K$502,MATCH(127,'الرواتب'!$Z$3:$Z$502,0)),"")</f>
        <v/>
      </c>
      <c r="I133" s="60">
        <f>IFERROR(INDEX('الرواتب'!$L$3:$L$502,MATCH(127,'الرواتب'!$Z$3:$Z$502,0)),"")</f>
        <v/>
      </c>
      <c r="J133" s="60">
        <f>IFERROR(INDEX('الرواتب'!$S$3:$S$502,MATCH(127,'الرواتب'!$Z$3:$Z$502,0)),"")</f>
        <v/>
      </c>
      <c r="K133" s="60">
        <f>IFERROR(INDEX('الرواتب'!$N$3:$N$502,MATCH(127,'الرواتب'!$Z$3:$Z$502,0)),"")</f>
        <v/>
      </c>
      <c r="L133" s="60">
        <f>IFERROR(INDEX('الرواتب'!$O$3:$O$502,MATCH(127,'الرواتب'!$Z$3:$Z$502,0)),"")</f>
        <v/>
      </c>
      <c r="M133" s="60">
        <f>IFERROR(INDEX('الرواتب'!$P$3:$P$502,MATCH(127,'الرواتب'!$Z$3:$Z$502,0)),"")</f>
        <v/>
      </c>
      <c r="N133" s="60">
        <f>IFERROR(INDEX('الرواتب'!$Q$3:$Q$502,MATCH(127,'الرواتب'!$Z$3:$Z$502,0)),"")</f>
        <v/>
      </c>
      <c r="O133" s="60">
        <f>IFERROR(INDEX('الرواتب'!$R$3:$R$502,MATCH(127,'الرواتب'!$Z$3:$Z$502,0)),"")</f>
        <v/>
      </c>
      <c r="P133" s="60">
        <f>IFERROR(INDEX('الرواتب'!$T$3:$T$502,MATCH(127,'الرواتب'!$Z$3:$Z$502,0)),"")</f>
        <v/>
      </c>
      <c r="Q133" s="60">
        <f>IFERROR(INDEX('الرواتب'!$U$3:$U$502,MATCH(127,'الرواتب'!$Z$3:$Z$502,0)),"")</f>
        <v/>
      </c>
      <c r="R133" s="60">
        <f>IFERROR(INDEX('الرواتب'!$V$3:$V$502,MATCH(127,'الرواتب'!$Z$3:$Z$502,0)),"")</f>
        <v/>
      </c>
    </row>
    <row r="134">
      <c r="A134" s="50">
        <f>IFERROR(INDEX('الرواتب'!$C$3:$C$502,MATCH(128,'الرواتب'!$Z$3:$Z$502,0)),"")</f>
        <v/>
      </c>
      <c r="B134" s="50">
        <f>IFERROR(INDEX('الرواتب'!$D$3:$D$502,MATCH(128,'الرواتب'!$Z$3:$Z$502,0)),"")</f>
        <v/>
      </c>
      <c r="C134" s="50">
        <f>IFERROR(INDEX('الرواتب'!$E$3:$E$502,MATCH(128,'الرواتب'!$Z$3:$Z$502,0)),"")</f>
        <v/>
      </c>
      <c r="D134" s="63">
        <f>IFERROR(INDEX('الرواتب'!$G$3:$G$502,MATCH(128,'الرواتب'!$Z$3:$Z$502,0)),"")</f>
        <v/>
      </c>
      <c r="E134" s="63">
        <f>IFERROR(INDEX('الرواتب'!$H$3:$H$502,MATCH(128,'الرواتب'!$Z$3:$Z$502,0)),"")</f>
        <v/>
      </c>
      <c r="F134" s="63">
        <f>IFERROR(INDEX('الرواتب'!$I$3:$I$502,MATCH(128,'الرواتب'!$Z$3:$Z$502,0)),"")</f>
        <v/>
      </c>
      <c r="G134" s="63">
        <f>IFERROR(INDEX('الرواتب'!$J$3:$J$502,MATCH(128,'الرواتب'!$Z$3:$Z$502,0)),"")</f>
        <v/>
      </c>
      <c r="H134" s="63">
        <f>IFERROR(INDEX('الرواتب'!$K$3:$K$502,MATCH(128,'الرواتب'!$Z$3:$Z$502,0)),"")</f>
        <v/>
      </c>
      <c r="I134" s="63">
        <f>IFERROR(INDEX('الرواتب'!$L$3:$L$502,MATCH(128,'الرواتب'!$Z$3:$Z$502,0)),"")</f>
        <v/>
      </c>
      <c r="J134" s="63">
        <f>IFERROR(INDEX('الرواتب'!$S$3:$S$502,MATCH(128,'الرواتب'!$Z$3:$Z$502,0)),"")</f>
        <v/>
      </c>
      <c r="K134" s="63">
        <f>IFERROR(INDEX('الرواتب'!$N$3:$N$502,MATCH(128,'الرواتب'!$Z$3:$Z$502,0)),"")</f>
        <v/>
      </c>
      <c r="L134" s="63">
        <f>IFERROR(INDEX('الرواتب'!$O$3:$O$502,MATCH(128,'الرواتب'!$Z$3:$Z$502,0)),"")</f>
        <v/>
      </c>
      <c r="M134" s="63">
        <f>IFERROR(INDEX('الرواتب'!$P$3:$P$502,MATCH(128,'الرواتب'!$Z$3:$Z$502,0)),"")</f>
        <v/>
      </c>
      <c r="N134" s="63">
        <f>IFERROR(INDEX('الرواتب'!$Q$3:$Q$502,MATCH(128,'الرواتب'!$Z$3:$Z$502,0)),"")</f>
        <v/>
      </c>
      <c r="O134" s="63">
        <f>IFERROR(INDEX('الرواتب'!$R$3:$R$502,MATCH(128,'الرواتب'!$Z$3:$Z$502,0)),"")</f>
        <v/>
      </c>
      <c r="P134" s="63">
        <f>IFERROR(INDEX('الرواتب'!$T$3:$T$502,MATCH(128,'الرواتب'!$Z$3:$Z$502,0)),"")</f>
        <v/>
      </c>
      <c r="Q134" s="63">
        <f>IFERROR(INDEX('الرواتب'!$U$3:$U$502,MATCH(128,'الرواتب'!$Z$3:$Z$502,0)),"")</f>
        <v/>
      </c>
      <c r="R134" s="63">
        <f>IFERROR(INDEX('الرواتب'!$V$3:$V$502,MATCH(128,'الرواتب'!$Z$3:$Z$502,0)),"")</f>
        <v/>
      </c>
    </row>
    <row r="135">
      <c r="A135" s="43">
        <f>IFERROR(INDEX('الرواتب'!$C$3:$C$502,MATCH(129,'الرواتب'!$Z$3:$Z$502,0)),"")</f>
        <v/>
      </c>
      <c r="B135" s="43">
        <f>IFERROR(INDEX('الرواتب'!$D$3:$D$502,MATCH(129,'الرواتب'!$Z$3:$Z$502,0)),"")</f>
        <v/>
      </c>
      <c r="C135" s="43">
        <f>IFERROR(INDEX('الرواتب'!$E$3:$E$502,MATCH(129,'الرواتب'!$Z$3:$Z$502,0)),"")</f>
        <v/>
      </c>
      <c r="D135" s="60">
        <f>IFERROR(INDEX('الرواتب'!$G$3:$G$502,MATCH(129,'الرواتب'!$Z$3:$Z$502,0)),"")</f>
        <v/>
      </c>
      <c r="E135" s="60">
        <f>IFERROR(INDEX('الرواتب'!$H$3:$H$502,MATCH(129,'الرواتب'!$Z$3:$Z$502,0)),"")</f>
        <v/>
      </c>
      <c r="F135" s="60">
        <f>IFERROR(INDEX('الرواتب'!$I$3:$I$502,MATCH(129,'الرواتب'!$Z$3:$Z$502,0)),"")</f>
        <v/>
      </c>
      <c r="G135" s="60">
        <f>IFERROR(INDEX('الرواتب'!$J$3:$J$502,MATCH(129,'الرواتب'!$Z$3:$Z$502,0)),"")</f>
        <v/>
      </c>
      <c r="H135" s="60">
        <f>IFERROR(INDEX('الرواتب'!$K$3:$K$502,MATCH(129,'الرواتب'!$Z$3:$Z$502,0)),"")</f>
        <v/>
      </c>
      <c r="I135" s="60">
        <f>IFERROR(INDEX('الرواتب'!$L$3:$L$502,MATCH(129,'الرواتب'!$Z$3:$Z$502,0)),"")</f>
        <v/>
      </c>
      <c r="J135" s="60">
        <f>IFERROR(INDEX('الرواتب'!$S$3:$S$502,MATCH(129,'الرواتب'!$Z$3:$Z$502,0)),"")</f>
        <v/>
      </c>
      <c r="K135" s="60">
        <f>IFERROR(INDEX('الرواتب'!$N$3:$N$502,MATCH(129,'الرواتب'!$Z$3:$Z$502,0)),"")</f>
        <v/>
      </c>
      <c r="L135" s="60">
        <f>IFERROR(INDEX('الرواتب'!$O$3:$O$502,MATCH(129,'الرواتب'!$Z$3:$Z$502,0)),"")</f>
        <v/>
      </c>
      <c r="M135" s="60">
        <f>IFERROR(INDEX('الرواتب'!$P$3:$P$502,MATCH(129,'الرواتب'!$Z$3:$Z$502,0)),"")</f>
        <v/>
      </c>
      <c r="N135" s="60">
        <f>IFERROR(INDEX('الرواتب'!$Q$3:$Q$502,MATCH(129,'الرواتب'!$Z$3:$Z$502,0)),"")</f>
        <v/>
      </c>
      <c r="O135" s="60">
        <f>IFERROR(INDEX('الرواتب'!$R$3:$R$502,MATCH(129,'الرواتب'!$Z$3:$Z$502,0)),"")</f>
        <v/>
      </c>
      <c r="P135" s="60">
        <f>IFERROR(INDEX('الرواتب'!$T$3:$T$502,MATCH(129,'الرواتب'!$Z$3:$Z$502,0)),"")</f>
        <v/>
      </c>
      <c r="Q135" s="60">
        <f>IFERROR(INDEX('الرواتب'!$U$3:$U$502,MATCH(129,'الرواتب'!$Z$3:$Z$502,0)),"")</f>
        <v/>
      </c>
      <c r="R135" s="60">
        <f>IFERROR(INDEX('الرواتب'!$V$3:$V$502,MATCH(129,'الرواتب'!$Z$3:$Z$502,0)),"")</f>
        <v/>
      </c>
    </row>
    <row r="136">
      <c r="A136" s="50">
        <f>IFERROR(INDEX('الرواتب'!$C$3:$C$502,MATCH(130,'الرواتب'!$Z$3:$Z$502,0)),"")</f>
        <v/>
      </c>
      <c r="B136" s="50">
        <f>IFERROR(INDEX('الرواتب'!$D$3:$D$502,MATCH(130,'الرواتب'!$Z$3:$Z$502,0)),"")</f>
        <v/>
      </c>
      <c r="C136" s="50">
        <f>IFERROR(INDEX('الرواتب'!$E$3:$E$502,MATCH(130,'الرواتب'!$Z$3:$Z$502,0)),"")</f>
        <v/>
      </c>
      <c r="D136" s="63">
        <f>IFERROR(INDEX('الرواتب'!$G$3:$G$502,MATCH(130,'الرواتب'!$Z$3:$Z$502,0)),"")</f>
        <v/>
      </c>
      <c r="E136" s="63">
        <f>IFERROR(INDEX('الرواتب'!$H$3:$H$502,MATCH(130,'الرواتب'!$Z$3:$Z$502,0)),"")</f>
        <v/>
      </c>
      <c r="F136" s="63">
        <f>IFERROR(INDEX('الرواتب'!$I$3:$I$502,MATCH(130,'الرواتب'!$Z$3:$Z$502,0)),"")</f>
        <v/>
      </c>
      <c r="G136" s="63">
        <f>IFERROR(INDEX('الرواتب'!$J$3:$J$502,MATCH(130,'الرواتب'!$Z$3:$Z$502,0)),"")</f>
        <v/>
      </c>
      <c r="H136" s="63">
        <f>IFERROR(INDEX('الرواتب'!$K$3:$K$502,MATCH(130,'الرواتب'!$Z$3:$Z$502,0)),"")</f>
        <v/>
      </c>
      <c r="I136" s="63">
        <f>IFERROR(INDEX('الرواتب'!$L$3:$L$502,MATCH(130,'الرواتب'!$Z$3:$Z$502,0)),"")</f>
        <v/>
      </c>
      <c r="J136" s="63">
        <f>IFERROR(INDEX('الرواتب'!$S$3:$S$502,MATCH(130,'الرواتب'!$Z$3:$Z$502,0)),"")</f>
        <v/>
      </c>
      <c r="K136" s="63">
        <f>IFERROR(INDEX('الرواتب'!$N$3:$N$502,MATCH(130,'الرواتب'!$Z$3:$Z$502,0)),"")</f>
        <v/>
      </c>
      <c r="L136" s="63">
        <f>IFERROR(INDEX('الرواتب'!$O$3:$O$502,MATCH(130,'الرواتب'!$Z$3:$Z$502,0)),"")</f>
        <v/>
      </c>
      <c r="M136" s="63">
        <f>IFERROR(INDEX('الرواتب'!$P$3:$P$502,MATCH(130,'الرواتب'!$Z$3:$Z$502,0)),"")</f>
        <v/>
      </c>
      <c r="N136" s="63">
        <f>IFERROR(INDEX('الرواتب'!$Q$3:$Q$502,MATCH(130,'الرواتب'!$Z$3:$Z$502,0)),"")</f>
        <v/>
      </c>
      <c r="O136" s="63">
        <f>IFERROR(INDEX('الرواتب'!$R$3:$R$502,MATCH(130,'الرواتب'!$Z$3:$Z$502,0)),"")</f>
        <v/>
      </c>
      <c r="P136" s="63">
        <f>IFERROR(INDEX('الرواتب'!$T$3:$T$502,MATCH(130,'الرواتب'!$Z$3:$Z$502,0)),"")</f>
        <v/>
      </c>
      <c r="Q136" s="63">
        <f>IFERROR(INDEX('الرواتب'!$U$3:$U$502,MATCH(130,'الرواتب'!$Z$3:$Z$502,0)),"")</f>
        <v/>
      </c>
      <c r="R136" s="63">
        <f>IFERROR(INDEX('الرواتب'!$V$3:$V$502,MATCH(130,'الرواتب'!$Z$3:$Z$502,0)),"")</f>
        <v/>
      </c>
    </row>
    <row r="137">
      <c r="A137" s="43">
        <f>IFERROR(INDEX('الرواتب'!$C$3:$C$502,MATCH(131,'الرواتب'!$Z$3:$Z$502,0)),"")</f>
        <v/>
      </c>
      <c r="B137" s="43">
        <f>IFERROR(INDEX('الرواتب'!$D$3:$D$502,MATCH(131,'الرواتب'!$Z$3:$Z$502,0)),"")</f>
        <v/>
      </c>
      <c r="C137" s="43">
        <f>IFERROR(INDEX('الرواتب'!$E$3:$E$502,MATCH(131,'الرواتب'!$Z$3:$Z$502,0)),"")</f>
        <v/>
      </c>
      <c r="D137" s="60">
        <f>IFERROR(INDEX('الرواتب'!$G$3:$G$502,MATCH(131,'الرواتب'!$Z$3:$Z$502,0)),"")</f>
        <v/>
      </c>
      <c r="E137" s="60">
        <f>IFERROR(INDEX('الرواتب'!$H$3:$H$502,MATCH(131,'الرواتب'!$Z$3:$Z$502,0)),"")</f>
        <v/>
      </c>
      <c r="F137" s="60">
        <f>IFERROR(INDEX('الرواتب'!$I$3:$I$502,MATCH(131,'الرواتب'!$Z$3:$Z$502,0)),"")</f>
        <v/>
      </c>
      <c r="G137" s="60">
        <f>IFERROR(INDEX('الرواتب'!$J$3:$J$502,MATCH(131,'الرواتب'!$Z$3:$Z$502,0)),"")</f>
        <v/>
      </c>
      <c r="H137" s="60">
        <f>IFERROR(INDEX('الرواتب'!$K$3:$K$502,MATCH(131,'الرواتب'!$Z$3:$Z$502,0)),"")</f>
        <v/>
      </c>
      <c r="I137" s="60">
        <f>IFERROR(INDEX('الرواتب'!$L$3:$L$502,MATCH(131,'الرواتب'!$Z$3:$Z$502,0)),"")</f>
        <v/>
      </c>
      <c r="J137" s="60">
        <f>IFERROR(INDEX('الرواتب'!$S$3:$S$502,MATCH(131,'الرواتب'!$Z$3:$Z$502,0)),"")</f>
        <v/>
      </c>
      <c r="K137" s="60">
        <f>IFERROR(INDEX('الرواتب'!$N$3:$N$502,MATCH(131,'الرواتب'!$Z$3:$Z$502,0)),"")</f>
        <v/>
      </c>
      <c r="L137" s="60">
        <f>IFERROR(INDEX('الرواتب'!$O$3:$O$502,MATCH(131,'الرواتب'!$Z$3:$Z$502,0)),"")</f>
        <v/>
      </c>
      <c r="M137" s="60">
        <f>IFERROR(INDEX('الرواتب'!$P$3:$P$502,MATCH(131,'الرواتب'!$Z$3:$Z$502,0)),"")</f>
        <v/>
      </c>
      <c r="N137" s="60">
        <f>IFERROR(INDEX('الرواتب'!$Q$3:$Q$502,MATCH(131,'الرواتب'!$Z$3:$Z$502,0)),"")</f>
        <v/>
      </c>
      <c r="O137" s="60">
        <f>IFERROR(INDEX('الرواتب'!$R$3:$R$502,MATCH(131,'الرواتب'!$Z$3:$Z$502,0)),"")</f>
        <v/>
      </c>
      <c r="P137" s="60">
        <f>IFERROR(INDEX('الرواتب'!$T$3:$T$502,MATCH(131,'الرواتب'!$Z$3:$Z$502,0)),"")</f>
        <v/>
      </c>
      <c r="Q137" s="60">
        <f>IFERROR(INDEX('الرواتب'!$U$3:$U$502,MATCH(131,'الرواتب'!$Z$3:$Z$502,0)),"")</f>
        <v/>
      </c>
      <c r="R137" s="60">
        <f>IFERROR(INDEX('الرواتب'!$V$3:$V$502,MATCH(131,'الرواتب'!$Z$3:$Z$502,0)),"")</f>
        <v/>
      </c>
    </row>
    <row r="138">
      <c r="A138" s="50">
        <f>IFERROR(INDEX('الرواتب'!$C$3:$C$502,MATCH(132,'الرواتب'!$Z$3:$Z$502,0)),"")</f>
        <v/>
      </c>
      <c r="B138" s="50">
        <f>IFERROR(INDEX('الرواتب'!$D$3:$D$502,MATCH(132,'الرواتب'!$Z$3:$Z$502,0)),"")</f>
        <v/>
      </c>
      <c r="C138" s="50">
        <f>IFERROR(INDEX('الرواتب'!$E$3:$E$502,MATCH(132,'الرواتب'!$Z$3:$Z$502,0)),"")</f>
        <v/>
      </c>
      <c r="D138" s="63">
        <f>IFERROR(INDEX('الرواتب'!$G$3:$G$502,MATCH(132,'الرواتب'!$Z$3:$Z$502,0)),"")</f>
        <v/>
      </c>
      <c r="E138" s="63">
        <f>IFERROR(INDEX('الرواتب'!$H$3:$H$502,MATCH(132,'الرواتب'!$Z$3:$Z$502,0)),"")</f>
        <v/>
      </c>
      <c r="F138" s="63">
        <f>IFERROR(INDEX('الرواتب'!$I$3:$I$502,MATCH(132,'الرواتب'!$Z$3:$Z$502,0)),"")</f>
        <v/>
      </c>
      <c r="G138" s="63">
        <f>IFERROR(INDEX('الرواتب'!$J$3:$J$502,MATCH(132,'الرواتب'!$Z$3:$Z$502,0)),"")</f>
        <v/>
      </c>
      <c r="H138" s="63">
        <f>IFERROR(INDEX('الرواتب'!$K$3:$K$502,MATCH(132,'الرواتب'!$Z$3:$Z$502,0)),"")</f>
        <v/>
      </c>
      <c r="I138" s="63">
        <f>IFERROR(INDEX('الرواتب'!$L$3:$L$502,MATCH(132,'الرواتب'!$Z$3:$Z$502,0)),"")</f>
        <v/>
      </c>
      <c r="J138" s="63">
        <f>IFERROR(INDEX('الرواتب'!$S$3:$S$502,MATCH(132,'الرواتب'!$Z$3:$Z$502,0)),"")</f>
        <v/>
      </c>
      <c r="K138" s="63">
        <f>IFERROR(INDEX('الرواتب'!$N$3:$N$502,MATCH(132,'الرواتب'!$Z$3:$Z$502,0)),"")</f>
        <v/>
      </c>
      <c r="L138" s="63">
        <f>IFERROR(INDEX('الرواتب'!$O$3:$O$502,MATCH(132,'الرواتب'!$Z$3:$Z$502,0)),"")</f>
        <v/>
      </c>
      <c r="M138" s="63">
        <f>IFERROR(INDEX('الرواتب'!$P$3:$P$502,MATCH(132,'الرواتب'!$Z$3:$Z$502,0)),"")</f>
        <v/>
      </c>
      <c r="N138" s="63">
        <f>IFERROR(INDEX('الرواتب'!$Q$3:$Q$502,MATCH(132,'الرواتب'!$Z$3:$Z$502,0)),"")</f>
        <v/>
      </c>
      <c r="O138" s="63">
        <f>IFERROR(INDEX('الرواتب'!$R$3:$R$502,MATCH(132,'الرواتب'!$Z$3:$Z$502,0)),"")</f>
        <v/>
      </c>
      <c r="P138" s="63">
        <f>IFERROR(INDEX('الرواتب'!$T$3:$T$502,MATCH(132,'الرواتب'!$Z$3:$Z$502,0)),"")</f>
        <v/>
      </c>
      <c r="Q138" s="63">
        <f>IFERROR(INDEX('الرواتب'!$U$3:$U$502,MATCH(132,'الرواتب'!$Z$3:$Z$502,0)),"")</f>
        <v/>
      </c>
      <c r="R138" s="63">
        <f>IFERROR(INDEX('الرواتب'!$V$3:$V$502,MATCH(132,'الرواتب'!$Z$3:$Z$502,0)),"")</f>
        <v/>
      </c>
    </row>
    <row r="139">
      <c r="A139" s="43">
        <f>IFERROR(INDEX('الرواتب'!$C$3:$C$502,MATCH(133,'الرواتب'!$Z$3:$Z$502,0)),"")</f>
        <v/>
      </c>
      <c r="B139" s="43">
        <f>IFERROR(INDEX('الرواتب'!$D$3:$D$502,MATCH(133,'الرواتب'!$Z$3:$Z$502,0)),"")</f>
        <v/>
      </c>
      <c r="C139" s="43">
        <f>IFERROR(INDEX('الرواتب'!$E$3:$E$502,MATCH(133,'الرواتب'!$Z$3:$Z$502,0)),"")</f>
        <v/>
      </c>
      <c r="D139" s="60">
        <f>IFERROR(INDEX('الرواتب'!$G$3:$G$502,MATCH(133,'الرواتب'!$Z$3:$Z$502,0)),"")</f>
        <v/>
      </c>
      <c r="E139" s="60">
        <f>IFERROR(INDEX('الرواتب'!$H$3:$H$502,MATCH(133,'الرواتب'!$Z$3:$Z$502,0)),"")</f>
        <v/>
      </c>
      <c r="F139" s="60">
        <f>IFERROR(INDEX('الرواتب'!$I$3:$I$502,MATCH(133,'الرواتب'!$Z$3:$Z$502,0)),"")</f>
        <v/>
      </c>
      <c r="G139" s="60">
        <f>IFERROR(INDEX('الرواتب'!$J$3:$J$502,MATCH(133,'الرواتب'!$Z$3:$Z$502,0)),"")</f>
        <v/>
      </c>
      <c r="H139" s="60">
        <f>IFERROR(INDEX('الرواتب'!$K$3:$K$502,MATCH(133,'الرواتب'!$Z$3:$Z$502,0)),"")</f>
        <v/>
      </c>
      <c r="I139" s="60">
        <f>IFERROR(INDEX('الرواتب'!$L$3:$L$502,MATCH(133,'الرواتب'!$Z$3:$Z$502,0)),"")</f>
        <v/>
      </c>
      <c r="J139" s="60">
        <f>IFERROR(INDEX('الرواتب'!$S$3:$S$502,MATCH(133,'الرواتب'!$Z$3:$Z$502,0)),"")</f>
        <v/>
      </c>
      <c r="K139" s="60">
        <f>IFERROR(INDEX('الرواتب'!$N$3:$N$502,MATCH(133,'الرواتب'!$Z$3:$Z$502,0)),"")</f>
        <v/>
      </c>
      <c r="L139" s="60">
        <f>IFERROR(INDEX('الرواتب'!$O$3:$O$502,MATCH(133,'الرواتب'!$Z$3:$Z$502,0)),"")</f>
        <v/>
      </c>
      <c r="M139" s="60">
        <f>IFERROR(INDEX('الرواتب'!$P$3:$P$502,MATCH(133,'الرواتب'!$Z$3:$Z$502,0)),"")</f>
        <v/>
      </c>
      <c r="N139" s="60">
        <f>IFERROR(INDEX('الرواتب'!$Q$3:$Q$502,MATCH(133,'الرواتب'!$Z$3:$Z$502,0)),"")</f>
        <v/>
      </c>
      <c r="O139" s="60">
        <f>IFERROR(INDEX('الرواتب'!$R$3:$R$502,MATCH(133,'الرواتب'!$Z$3:$Z$502,0)),"")</f>
        <v/>
      </c>
      <c r="P139" s="60">
        <f>IFERROR(INDEX('الرواتب'!$T$3:$T$502,MATCH(133,'الرواتب'!$Z$3:$Z$502,0)),"")</f>
        <v/>
      </c>
      <c r="Q139" s="60">
        <f>IFERROR(INDEX('الرواتب'!$U$3:$U$502,MATCH(133,'الرواتب'!$Z$3:$Z$502,0)),"")</f>
        <v/>
      </c>
      <c r="R139" s="60">
        <f>IFERROR(INDEX('الرواتب'!$V$3:$V$502,MATCH(133,'الرواتب'!$Z$3:$Z$502,0)),"")</f>
        <v/>
      </c>
    </row>
    <row r="140">
      <c r="A140" s="50">
        <f>IFERROR(INDEX('الرواتب'!$C$3:$C$502,MATCH(134,'الرواتب'!$Z$3:$Z$502,0)),"")</f>
        <v/>
      </c>
      <c r="B140" s="50">
        <f>IFERROR(INDEX('الرواتب'!$D$3:$D$502,MATCH(134,'الرواتب'!$Z$3:$Z$502,0)),"")</f>
        <v/>
      </c>
      <c r="C140" s="50">
        <f>IFERROR(INDEX('الرواتب'!$E$3:$E$502,MATCH(134,'الرواتب'!$Z$3:$Z$502,0)),"")</f>
        <v/>
      </c>
      <c r="D140" s="63">
        <f>IFERROR(INDEX('الرواتب'!$G$3:$G$502,MATCH(134,'الرواتب'!$Z$3:$Z$502,0)),"")</f>
        <v/>
      </c>
      <c r="E140" s="63">
        <f>IFERROR(INDEX('الرواتب'!$H$3:$H$502,MATCH(134,'الرواتب'!$Z$3:$Z$502,0)),"")</f>
        <v/>
      </c>
      <c r="F140" s="63">
        <f>IFERROR(INDEX('الرواتب'!$I$3:$I$502,MATCH(134,'الرواتب'!$Z$3:$Z$502,0)),"")</f>
        <v/>
      </c>
      <c r="G140" s="63">
        <f>IFERROR(INDEX('الرواتب'!$J$3:$J$502,MATCH(134,'الرواتب'!$Z$3:$Z$502,0)),"")</f>
        <v/>
      </c>
      <c r="H140" s="63">
        <f>IFERROR(INDEX('الرواتب'!$K$3:$K$502,MATCH(134,'الرواتب'!$Z$3:$Z$502,0)),"")</f>
        <v/>
      </c>
      <c r="I140" s="63">
        <f>IFERROR(INDEX('الرواتب'!$L$3:$L$502,MATCH(134,'الرواتب'!$Z$3:$Z$502,0)),"")</f>
        <v/>
      </c>
      <c r="J140" s="63">
        <f>IFERROR(INDEX('الرواتب'!$S$3:$S$502,MATCH(134,'الرواتب'!$Z$3:$Z$502,0)),"")</f>
        <v/>
      </c>
      <c r="K140" s="63">
        <f>IFERROR(INDEX('الرواتب'!$N$3:$N$502,MATCH(134,'الرواتب'!$Z$3:$Z$502,0)),"")</f>
        <v/>
      </c>
      <c r="L140" s="63">
        <f>IFERROR(INDEX('الرواتب'!$O$3:$O$502,MATCH(134,'الرواتب'!$Z$3:$Z$502,0)),"")</f>
        <v/>
      </c>
      <c r="M140" s="63">
        <f>IFERROR(INDEX('الرواتب'!$P$3:$P$502,MATCH(134,'الرواتب'!$Z$3:$Z$502,0)),"")</f>
        <v/>
      </c>
      <c r="N140" s="63">
        <f>IFERROR(INDEX('الرواتب'!$Q$3:$Q$502,MATCH(134,'الرواتب'!$Z$3:$Z$502,0)),"")</f>
        <v/>
      </c>
      <c r="O140" s="63">
        <f>IFERROR(INDEX('الرواتب'!$R$3:$R$502,MATCH(134,'الرواتب'!$Z$3:$Z$502,0)),"")</f>
        <v/>
      </c>
      <c r="P140" s="63">
        <f>IFERROR(INDEX('الرواتب'!$T$3:$T$502,MATCH(134,'الرواتب'!$Z$3:$Z$502,0)),"")</f>
        <v/>
      </c>
      <c r="Q140" s="63">
        <f>IFERROR(INDEX('الرواتب'!$U$3:$U$502,MATCH(134,'الرواتب'!$Z$3:$Z$502,0)),"")</f>
        <v/>
      </c>
      <c r="R140" s="63">
        <f>IFERROR(INDEX('الرواتب'!$V$3:$V$502,MATCH(134,'الرواتب'!$Z$3:$Z$502,0)),"")</f>
        <v/>
      </c>
    </row>
    <row r="141">
      <c r="A141" s="43">
        <f>IFERROR(INDEX('الرواتب'!$C$3:$C$502,MATCH(135,'الرواتب'!$Z$3:$Z$502,0)),"")</f>
        <v/>
      </c>
      <c r="B141" s="43">
        <f>IFERROR(INDEX('الرواتب'!$D$3:$D$502,MATCH(135,'الرواتب'!$Z$3:$Z$502,0)),"")</f>
        <v/>
      </c>
      <c r="C141" s="43">
        <f>IFERROR(INDEX('الرواتب'!$E$3:$E$502,MATCH(135,'الرواتب'!$Z$3:$Z$502,0)),"")</f>
        <v/>
      </c>
      <c r="D141" s="60">
        <f>IFERROR(INDEX('الرواتب'!$G$3:$G$502,MATCH(135,'الرواتب'!$Z$3:$Z$502,0)),"")</f>
        <v/>
      </c>
      <c r="E141" s="60">
        <f>IFERROR(INDEX('الرواتب'!$H$3:$H$502,MATCH(135,'الرواتب'!$Z$3:$Z$502,0)),"")</f>
        <v/>
      </c>
      <c r="F141" s="60">
        <f>IFERROR(INDEX('الرواتب'!$I$3:$I$502,MATCH(135,'الرواتب'!$Z$3:$Z$502,0)),"")</f>
        <v/>
      </c>
      <c r="G141" s="60">
        <f>IFERROR(INDEX('الرواتب'!$J$3:$J$502,MATCH(135,'الرواتب'!$Z$3:$Z$502,0)),"")</f>
        <v/>
      </c>
      <c r="H141" s="60">
        <f>IFERROR(INDEX('الرواتب'!$K$3:$K$502,MATCH(135,'الرواتب'!$Z$3:$Z$502,0)),"")</f>
        <v/>
      </c>
      <c r="I141" s="60">
        <f>IFERROR(INDEX('الرواتب'!$L$3:$L$502,MATCH(135,'الرواتب'!$Z$3:$Z$502,0)),"")</f>
        <v/>
      </c>
      <c r="J141" s="60">
        <f>IFERROR(INDEX('الرواتب'!$S$3:$S$502,MATCH(135,'الرواتب'!$Z$3:$Z$502,0)),"")</f>
        <v/>
      </c>
      <c r="K141" s="60">
        <f>IFERROR(INDEX('الرواتب'!$N$3:$N$502,MATCH(135,'الرواتب'!$Z$3:$Z$502,0)),"")</f>
        <v/>
      </c>
      <c r="L141" s="60">
        <f>IFERROR(INDEX('الرواتب'!$O$3:$O$502,MATCH(135,'الرواتب'!$Z$3:$Z$502,0)),"")</f>
        <v/>
      </c>
      <c r="M141" s="60">
        <f>IFERROR(INDEX('الرواتب'!$P$3:$P$502,MATCH(135,'الرواتب'!$Z$3:$Z$502,0)),"")</f>
        <v/>
      </c>
      <c r="N141" s="60">
        <f>IFERROR(INDEX('الرواتب'!$Q$3:$Q$502,MATCH(135,'الرواتب'!$Z$3:$Z$502,0)),"")</f>
        <v/>
      </c>
      <c r="O141" s="60">
        <f>IFERROR(INDEX('الرواتب'!$R$3:$R$502,MATCH(135,'الرواتب'!$Z$3:$Z$502,0)),"")</f>
        <v/>
      </c>
      <c r="P141" s="60">
        <f>IFERROR(INDEX('الرواتب'!$T$3:$T$502,MATCH(135,'الرواتب'!$Z$3:$Z$502,0)),"")</f>
        <v/>
      </c>
      <c r="Q141" s="60">
        <f>IFERROR(INDEX('الرواتب'!$U$3:$U$502,MATCH(135,'الرواتب'!$Z$3:$Z$502,0)),"")</f>
        <v/>
      </c>
      <c r="R141" s="60">
        <f>IFERROR(INDEX('الرواتب'!$V$3:$V$502,MATCH(135,'الرواتب'!$Z$3:$Z$502,0)),"")</f>
        <v/>
      </c>
    </row>
    <row r="142">
      <c r="A142" s="50">
        <f>IFERROR(INDEX('الرواتب'!$C$3:$C$502,MATCH(136,'الرواتب'!$Z$3:$Z$502,0)),"")</f>
        <v/>
      </c>
      <c r="B142" s="50">
        <f>IFERROR(INDEX('الرواتب'!$D$3:$D$502,MATCH(136,'الرواتب'!$Z$3:$Z$502,0)),"")</f>
        <v/>
      </c>
      <c r="C142" s="50">
        <f>IFERROR(INDEX('الرواتب'!$E$3:$E$502,MATCH(136,'الرواتب'!$Z$3:$Z$502,0)),"")</f>
        <v/>
      </c>
      <c r="D142" s="63">
        <f>IFERROR(INDEX('الرواتب'!$G$3:$G$502,MATCH(136,'الرواتب'!$Z$3:$Z$502,0)),"")</f>
        <v/>
      </c>
      <c r="E142" s="63">
        <f>IFERROR(INDEX('الرواتب'!$H$3:$H$502,MATCH(136,'الرواتب'!$Z$3:$Z$502,0)),"")</f>
        <v/>
      </c>
      <c r="F142" s="63">
        <f>IFERROR(INDEX('الرواتب'!$I$3:$I$502,MATCH(136,'الرواتب'!$Z$3:$Z$502,0)),"")</f>
        <v/>
      </c>
      <c r="G142" s="63">
        <f>IFERROR(INDEX('الرواتب'!$J$3:$J$502,MATCH(136,'الرواتب'!$Z$3:$Z$502,0)),"")</f>
        <v/>
      </c>
      <c r="H142" s="63">
        <f>IFERROR(INDEX('الرواتب'!$K$3:$K$502,MATCH(136,'الرواتب'!$Z$3:$Z$502,0)),"")</f>
        <v/>
      </c>
      <c r="I142" s="63">
        <f>IFERROR(INDEX('الرواتب'!$L$3:$L$502,MATCH(136,'الرواتب'!$Z$3:$Z$502,0)),"")</f>
        <v/>
      </c>
      <c r="J142" s="63">
        <f>IFERROR(INDEX('الرواتب'!$S$3:$S$502,MATCH(136,'الرواتب'!$Z$3:$Z$502,0)),"")</f>
        <v/>
      </c>
      <c r="K142" s="63">
        <f>IFERROR(INDEX('الرواتب'!$N$3:$N$502,MATCH(136,'الرواتب'!$Z$3:$Z$502,0)),"")</f>
        <v/>
      </c>
      <c r="L142" s="63">
        <f>IFERROR(INDEX('الرواتب'!$O$3:$O$502,MATCH(136,'الرواتب'!$Z$3:$Z$502,0)),"")</f>
        <v/>
      </c>
      <c r="M142" s="63">
        <f>IFERROR(INDEX('الرواتب'!$P$3:$P$502,MATCH(136,'الرواتب'!$Z$3:$Z$502,0)),"")</f>
        <v/>
      </c>
      <c r="N142" s="63">
        <f>IFERROR(INDEX('الرواتب'!$Q$3:$Q$502,MATCH(136,'الرواتب'!$Z$3:$Z$502,0)),"")</f>
        <v/>
      </c>
      <c r="O142" s="63">
        <f>IFERROR(INDEX('الرواتب'!$R$3:$R$502,MATCH(136,'الرواتب'!$Z$3:$Z$502,0)),"")</f>
        <v/>
      </c>
      <c r="P142" s="63">
        <f>IFERROR(INDEX('الرواتب'!$T$3:$T$502,MATCH(136,'الرواتب'!$Z$3:$Z$502,0)),"")</f>
        <v/>
      </c>
      <c r="Q142" s="63">
        <f>IFERROR(INDEX('الرواتب'!$U$3:$U$502,MATCH(136,'الرواتب'!$Z$3:$Z$502,0)),"")</f>
        <v/>
      </c>
      <c r="R142" s="63">
        <f>IFERROR(INDEX('الرواتب'!$V$3:$V$502,MATCH(136,'الرواتب'!$Z$3:$Z$502,0)),"")</f>
        <v/>
      </c>
    </row>
    <row r="143">
      <c r="A143" s="43">
        <f>IFERROR(INDEX('الرواتب'!$C$3:$C$502,MATCH(137,'الرواتب'!$Z$3:$Z$502,0)),"")</f>
        <v/>
      </c>
      <c r="B143" s="43">
        <f>IFERROR(INDEX('الرواتب'!$D$3:$D$502,MATCH(137,'الرواتب'!$Z$3:$Z$502,0)),"")</f>
        <v/>
      </c>
      <c r="C143" s="43">
        <f>IFERROR(INDEX('الرواتب'!$E$3:$E$502,MATCH(137,'الرواتب'!$Z$3:$Z$502,0)),"")</f>
        <v/>
      </c>
      <c r="D143" s="60">
        <f>IFERROR(INDEX('الرواتب'!$G$3:$G$502,MATCH(137,'الرواتب'!$Z$3:$Z$502,0)),"")</f>
        <v/>
      </c>
      <c r="E143" s="60">
        <f>IFERROR(INDEX('الرواتب'!$H$3:$H$502,MATCH(137,'الرواتب'!$Z$3:$Z$502,0)),"")</f>
        <v/>
      </c>
      <c r="F143" s="60">
        <f>IFERROR(INDEX('الرواتب'!$I$3:$I$502,MATCH(137,'الرواتب'!$Z$3:$Z$502,0)),"")</f>
        <v/>
      </c>
      <c r="G143" s="60">
        <f>IFERROR(INDEX('الرواتب'!$J$3:$J$502,MATCH(137,'الرواتب'!$Z$3:$Z$502,0)),"")</f>
        <v/>
      </c>
      <c r="H143" s="60">
        <f>IFERROR(INDEX('الرواتب'!$K$3:$K$502,MATCH(137,'الرواتب'!$Z$3:$Z$502,0)),"")</f>
        <v/>
      </c>
      <c r="I143" s="60">
        <f>IFERROR(INDEX('الرواتب'!$L$3:$L$502,MATCH(137,'الرواتب'!$Z$3:$Z$502,0)),"")</f>
        <v/>
      </c>
      <c r="J143" s="60">
        <f>IFERROR(INDEX('الرواتب'!$S$3:$S$502,MATCH(137,'الرواتب'!$Z$3:$Z$502,0)),"")</f>
        <v/>
      </c>
      <c r="K143" s="60">
        <f>IFERROR(INDEX('الرواتب'!$N$3:$N$502,MATCH(137,'الرواتب'!$Z$3:$Z$502,0)),"")</f>
        <v/>
      </c>
      <c r="L143" s="60">
        <f>IFERROR(INDEX('الرواتب'!$O$3:$O$502,MATCH(137,'الرواتب'!$Z$3:$Z$502,0)),"")</f>
        <v/>
      </c>
      <c r="M143" s="60">
        <f>IFERROR(INDEX('الرواتب'!$P$3:$P$502,MATCH(137,'الرواتب'!$Z$3:$Z$502,0)),"")</f>
        <v/>
      </c>
      <c r="N143" s="60">
        <f>IFERROR(INDEX('الرواتب'!$Q$3:$Q$502,MATCH(137,'الرواتب'!$Z$3:$Z$502,0)),"")</f>
        <v/>
      </c>
      <c r="O143" s="60">
        <f>IFERROR(INDEX('الرواتب'!$R$3:$R$502,MATCH(137,'الرواتب'!$Z$3:$Z$502,0)),"")</f>
        <v/>
      </c>
      <c r="P143" s="60">
        <f>IFERROR(INDEX('الرواتب'!$T$3:$T$502,MATCH(137,'الرواتب'!$Z$3:$Z$502,0)),"")</f>
        <v/>
      </c>
      <c r="Q143" s="60">
        <f>IFERROR(INDEX('الرواتب'!$U$3:$U$502,MATCH(137,'الرواتب'!$Z$3:$Z$502,0)),"")</f>
        <v/>
      </c>
      <c r="R143" s="60">
        <f>IFERROR(INDEX('الرواتب'!$V$3:$V$502,MATCH(137,'الرواتب'!$Z$3:$Z$502,0)),"")</f>
        <v/>
      </c>
    </row>
    <row r="144">
      <c r="A144" s="50">
        <f>IFERROR(INDEX('الرواتب'!$C$3:$C$502,MATCH(138,'الرواتب'!$Z$3:$Z$502,0)),"")</f>
        <v/>
      </c>
      <c r="B144" s="50">
        <f>IFERROR(INDEX('الرواتب'!$D$3:$D$502,MATCH(138,'الرواتب'!$Z$3:$Z$502,0)),"")</f>
        <v/>
      </c>
      <c r="C144" s="50">
        <f>IFERROR(INDEX('الرواتب'!$E$3:$E$502,MATCH(138,'الرواتب'!$Z$3:$Z$502,0)),"")</f>
        <v/>
      </c>
      <c r="D144" s="63">
        <f>IFERROR(INDEX('الرواتب'!$G$3:$G$502,MATCH(138,'الرواتب'!$Z$3:$Z$502,0)),"")</f>
        <v/>
      </c>
      <c r="E144" s="63">
        <f>IFERROR(INDEX('الرواتب'!$H$3:$H$502,MATCH(138,'الرواتب'!$Z$3:$Z$502,0)),"")</f>
        <v/>
      </c>
      <c r="F144" s="63">
        <f>IFERROR(INDEX('الرواتب'!$I$3:$I$502,MATCH(138,'الرواتب'!$Z$3:$Z$502,0)),"")</f>
        <v/>
      </c>
      <c r="G144" s="63">
        <f>IFERROR(INDEX('الرواتب'!$J$3:$J$502,MATCH(138,'الرواتب'!$Z$3:$Z$502,0)),"")</f>
        <v/>
      </c>
      <c r="H144" s="63">
        <f>IFERROR(INDEX('الرواتب'!$K$3:$K$502,MATCH(138,'الرواتب'!$Z$3:$Z$502,0)),"")</f>
        <v/>
      </c>
      <c r="I144" s="63">
        <f>IFERROR(INDEX('الرواتب'!$L$3:$L$502,MATCH(138,'الرواتب'!$Z$3:$Z$502,0)),"")</f>
        <v/>
      </c>
      <c r="J144" s="63">
        <f>IFERROR(INDEX('الرواتب'!$S$3:$S$502,MATCH(138,'الرواتب'!$Z$3:$Z$502,0)),"")</f>
        <v/>
      </c>
      <c r="K144" s="63">
        <f>IFERROR(INDEX('الرواتب'!$N$3:$N$502,MATCH(138,'الرواتب'!$Z$3:$Z$502,0)),"")</f>
        <v/>
      </c>
      <c r="L144" s="63">
        <f>IFERROR(INDEX('الرواتب'!$O$3:$O$502,MATCH(138,'الرواتب'!$Z$3:$Z$502,0)),"")</f>
        <v/>
      </c>
      <c r="M144" s="63">
        <f>IFERROR(INDEX('الرواتب'!$P$3:$P$502,MATCH(138,'الرواتب'!$Z$3:$Z$502,0)),"")</f>
        <v/>
      </c>
      <c r="N144" s="63">
        <f>IFERROR(INDEX('الرواتب'!$Q$3:$Q$502,MATCH(138,'الرواتب'!$Z$3:$Z$502,0)),"")</f>
        <v/>
      </c>
      <c r="O144" s="63">
        <f>IFERROR(INDEX('الرواتب'!$R$3:$R$502,MATCH(138,'الرواتب'!$Z$3:$Z$502,0)),"")</f>
        <v/>
      </c>
      <c r="P144" s="63">
        <f>IFERROR(INDEX('الرواتب'!$T$3:$T$502,MATCH(138,'الرواتب'!$Z$3:$Z$502,0)),"")</f>
        <v/>
      </c>
      <c r="Q144" s="63">
        <f>IFERROR(INDEX('الرواتب'!$U$3:$U$502,MATCH(138,'الرواتب'!$Z$3:$Z$502,0)),"")</f>
        <v/>
      </c>
      <c r="R144" s="63">
        <f>IFERROR(INDEX('الرواتب'!$V$3:$V$502,MATCH(138,'الرواتب'!$Z$3:$Z$502,0)),"")</f>
        <v/>
      </c>
    </row>
    <row r="145">
      <c r="A145" s="43">
        <f>IFERROR(INDEX('الرواتب'!$C$3:$C$502,MATCH(139,'الرواتب'!$Z$3:$Z$502,0)),"")</f>
        <v/>
      </c>
      <c r="B145" s="43">
        <f>IFERROR(INDEX('الرواتب'!$D$3:$D$502,MATCH(139,'الرواتب'!$Z$3:$Z$502,0)),"")</f>
        <v/>
      </c>
      <c r="C145" s="43">
        <f>IFERROR(INDEX('الرواتب'!$E$3:$E$502,MATCH(139,'الرواتب'!$Z$3:$Z$502,0)),"")</f>
        <v/>
      </c>
      <c r="D145" s="60">
        <f>IFERROR(INDEX('الرواتب'!$G$3:$G$502,MATCH(139,'الرواتب'!$Z$3:$Z$502,0)),"")</f>
        <v/>
      </c>
      <c r="E145" s="60">
        <f>IFERROR(INDEX('الرواتب'!$H$3:$H$502,MATCH(139,'الرواتب'!$Z$3:$Z$502,0)),"")</f>
        <v/>
      </c>
      <c r="F145" s="60">
        <f>IFERROR(INDEX('الرواتب'!$I$3:$I$502,MATCH(139,'الرواتب'!$Z$3:$Z$502,0)),"")</f>
        <v/>
      </c>
      <c r="G145" s="60">
        <f>IFERROR(INDEX('الرواتب'!$J$3:$J$502,MATCH(139,'الرواتب'!$Z$3:$Z$502,0)),"")</f>
        <v/>
      </c>
      <c r="H145" s="60">
        <f>IFERROR(INDEX('الرواتب'!$K$3:$K$502,MATCH(139,'الرواتب'!$Z$3:$Z$502,0)),"")</f>
        <v/>
      </c>
      <c r="I145" s="60">
        <f>IFERROR(INDEX('الرواتب'!$L$3:$L$502,MATCH(139,'الرواتب'!$Z$3:$Z$502,0)),"")</f>
        <v/>
      </c>
      <c r="J145" s="60">
        <f>IFERROR(INDEX('الرواتب'!$S$3:$S$502,MATCH(139,'الرواتب'!$Z$3:$Z$502,0)),"")</f>
        <v/>
      </c>
      <c r="K145" s="60">
        <f>IFERROR(INDEX('الرواتب'!$N$3:$N$502,MATCH(139,'الرواتب'!$Z$3:$Z$502,0)),"")</f>
        <v/>
      </c>
      <c r="L145" s="60">
        <f>IFERROR(INDEX('الرواتب'!$O$3:$O$502,MATCH(139,'الرواتب'!$Z$3:$Z$502,0)),"")</f>
        <v/>
      </c>
      <c r="M145" s="60">
        <f>IFERROR(INDEX('الرواتب'!$P$3:$P$502,MATCH(139,'الرواتب'!$Z$3:$Z$502,0)),"")</f>
        <v/>
      </c>
      <c r="N145" s="60">
        <f>IFERROR(INDEX('الرواتب'!$Q$3:$Q$502,MATCH(139,'الرواتب'!$Z$3:$Z$502,0)),"")</f>
        <v/>
      </c>
      <c r="O145" s="60">
        <f>IFERROR(INDEX('الرواتب'!$R$3:$R$502,MATCH(139,'الرواتب'!$Z$3:$Z$502,0)),"")</f>
        <v/>
      </c>
      <c r="P145" s="60">
        <f>IFERROR(INDEX('الرواتب'!$T$3:$T$502,MATCH(139,'الرواتب'!$Z$3:$Z$502,0)),"")</f>
        <v/>
      </c>
      <c r="Q145" s="60">
        <f>IFERROR(INDEX('الرواتب'!$U$3:$U$502,MATCH(139,'الرواتب'!$Z$3:$Z$502,0)),"")</f>
        <v/>
      </c>
      <c r="R145" s="60">
        <f>IFERROR(INDEX('الرواتب'!$V$3:$V$502,MATCH(139,'الرواتب'!$Z$3:$Z$502,0)),"")</f>
        <v/>
      </c>
    </row>
    <row r="146">
      <c r="A146" s="50">
        <f>IFERROR(INDEX('الرواتب'!$C$3:$C$502,MATCH(140,'الرواتب'!$Z$3:$Z$502,0)),"")</f>
        <v/>
      </c>
      <c r="B146" s="50">
        <f>IFERROR(INDEX('الرواتب'!$D$3:$D$502,MATCH(140,'الرواتب'!$Z$3:$Z$502,0)),"")</f>
        <v/>
      </c>
      <c r="C146" s="50">
        <f>IFERROR(INDEX('الرواتب'!$E$3:$E$502,MATCH(140,'الرواتب'!$Z$3:$Z$502,0)),"")</f>
        <v/>
      </c>
      <c r="D146" s="63">
        <f>IFERROR(INDEX('الرواتب'!$G$3:$G$502,MATCH(140,'الرواتب'!$Z$3:$Z$502,0)),"")</f>
        <v/>
      </c>
      <c r="E146" s="63">
        <f>IFERROR(INDEX('الرواتب'!$H$3:$H$502,MATCH(140,'الرواتب'!$Z$3:$Z$502,0)),"")</f>
        <v/>
      </c>
      <c r="F146" s="63">
        <f>IFERROR(INDEX('الرواتب'!$I$3:$I$502,MATCH(140,'الرواتب'!$Z$3:$Z$502,0)),"")</f>
        <v/>
      </c>
      <c r="G146" s="63">
        <f>IFERROR(INDEX('الرواتب'!$J$3:$J$502,MATCH(140,'الرواتب'!$Z$3:$Z$502,0)),"")</f>
        <v/>
      </c>
      <c r="H146" s="63">
        <f>IFERROR(INDEX('الرواتب'!$K$3:$K$502,MATCH(140,'الرواتب'!$Z$3:$Z$502,0)),"")</f>
        <v/>
      </c>
      <c r="I146" s="63">
        <f>IFERROR(INDEX('الرواتب'!$L$3:$L$502,MATCH(140,'الرواتب'!$Z$3:$Z$502,0)),"")</f>
        <v/>
      </c>
      <c r="J146" s="63">
        <f>IFERROR(INDEX('الرواتب'!$S$3:$S$502,MATCH(140,'الرواتب'!$Z$3:$Z$502,0)),"")</f>
        <v/>
      </c>
      <c r="K146" s="63">
        <f>IFERROR(INDEX('الرواتب'!$N$3:$N$502,MATCH(140,'الرواتب'!$Z$3:$Z$502,0)),"")</f>
        <v/>
      </c>
      <c r="L146" s="63">
        <f>IFERROR(INDEX('الرواتب'!$O$3:$O$502,MATCH(140,'الرواتب'!$Z$3:$Z$502,0)),"")</f>
        <v/>
      </c>
      <c r="M146" s="63">
        <f>IFERROR(INDEX('الرواتب'!$P$3:$P$502,MATCH(140,'الرواتب'!$Z$3:$Z$502,0)),"")</f>
        <v/>
      </c>
      <c r="N146" s="63">
        <f>IFERROR(INDEX('الرواتب'!$Q$3:$Q$502,MATCH(140,'الرواتب'!$Z$3:$Z$502,0)),"")</f>
        <v/>
      </c>
      <c r="O146" s="63">
        <f>IFERROR(INDEX('الرواتب'!$R$3:$R$502,MATCH(140,'الرواتب'!$Z$3:$Z$502,0)),"")</f>
        <v/>
      </c>
      <c r="P146" s="63">
        <f>IFERROR(INDEX('الرواتب'!$T$3:$T$502,MATCH(140,'الرواتب'!$Z$3:$Z$502,0)),"")</f>
        <v/>
      </c>
      <c r="Q146" s="63">
        <f>IFERROR(INDEX('الرواتب'!$U$3:$U$502,MATCH(140,'الرواتب'!$Z$3:$Z$502,0)),"")</f>
        <v/>
      </c>
      <c r="R146" s="63">
        <f>IFERROR(INDEX('الرواتب'!$V$3:$V$502,MATCH(140,'الرواتب'!$Z$3:$Z$502,0)),"")</f>
        <v/>
      </c>
    </row>
    <row r="147">
      <c r="A147" s="43">
        <f>IFERROR(INDEX('الرواتب'!$C$3:$C$502,MATCH(141,'الرواتب'!$Z$3:$Z$502,0)),"")</f>
        <v/>
      </c>
      <c r="B147" s="43">
        <f>IFERROR(INDEX('الرواتب'!$D$3:$D$502,MATCH(141,'الرواتب'!$Z$3:$Z$502,0)),"")</f>
        <v/>
      </c>
      <c r="C147" s="43">
        <f>IFERROR(INDEX('الرواتب'!$E$3:$E$502,MATCH(141,'الرواتب'!$Z$3:$Z$502,0)),"")</f>
        <v/>
      </c>
      <c r="D147" s="60">
        <f>IFERROR(INDEX('الرواتب'!$G$3:$G$502,MATCH(141,'الرواتب'!$Z$3:$Z$502,0)),"")</f>
        <v/>
      </c>
      <c r="E147" s="60">
        <f>IFERROR(INDEX('الرواتب'!$H$3:$H$502,MATCH(141,'الرواتب'!$Z$3:$Z$502,0)),"")</f>
        <v/>
      </c>
      <c r="F147" s="60">
        <f>IFERROR(INDEX('الرواتب'!$I$3:$I$502,MATCH(141,'الرواتب'!$Z$3:$Z$502,0)),"")</f>
        <v/>
      </c>
      <c r="G147" s="60">
        <f>IFERROR(INDEX('الرواتب'!$J$3:$J$502,MATCH(141,'الرواتب'!$Z$3:$Z$502,0)),"")</f>
        <v/>
      </c>
      <c r="H147" s="60">
        <f>IFERROR(INDEX('الرواتب'!$K$3:$K$502,MATCH(141,'الرواتب'!$Z$3:$Z$502,0)),"")</f>
        <v/>
      </c>
      <c r="I147" s="60">
        <f>IFERROR(INDEX('الرواتب'!$L$3:$L$502,MATCH(141,'الرواتب'!$Z$3:$Z$502,0)),"")</f>
        <v/>
      </c>
      <c r="J147" s="60">
        <f>IFERROR(INDEX('الرواتب'!$S$3:$S$502,MATCH(141,'الرواتب'!$Z$3:$Z$502,0)),"")</f>
        <v/>
      </c>
      <c r="K147" s="60">
        <f>IFERROR(INDEX('الرواتب'!$N$3:$N$502,MATCH(141,'الرواتب'!$Z$3:$Z$502,0)),"")</f>
        <v/>
      </c>
      <c r="L147" s="60">
        <f>IFERROR(INDEX('الرواتب'!$O$3:$O$502,MATCH(141,'الرواتب'!$Z$3:$Z$502,0)),"")</f>
        <v/>
      </c>
      <c r="M147" s="60">
        <f>IFERROR(INDEX('الرواتب'!$P$3:$P$502,MATCH(141,'الرواتب'!$Z$3:$Z$502,0)),"")</f>
        <v/>
      </c>
      <c r="N147" s="60">
        <f>IFERROR(INDEX('الرواتب'!$Q$3:$Q$502,MATCH(141,'الرواتب'!$Z$3:$Z$502,0)),"")</f>
        <v/>
      </c>
      <c r="O147" s="60">
        <f>IFERROR(INDEX('الرواتب'!$R$3:$R$502,MATCH(141,'الرواتب'!$Z$3:$Z$502,0)),"")</f>
        <v/>
      </c>
      <c r="P147" s="60">
        <f>IFERROR(INDEX('الرواتب'!$T$3:$T$502,MATCH(141,'الرواتب'!$Z$3:$Z$502,0)),"")</f>
        <v/>
      </c>
      <c r="Q147" s="60">
        <f>IFERROR(INDEX('الرواتب'!$U$3:$U$502,MATCH(141,'الرواتب'!$Z$3:$Z$502,0)),"")</f>
        <v/>
      </c>
      <c r="R147" s="60">
        <f>IFERROR(INDEX('الرواتب'!$V$3:$V$502,MATCH(141,'الرواتب'!$Z$3:$Z$502,0)),"")</f>
        <v/>
      </c>
    </row>
    <row r="148">
      <c r="A148" s="50">
        <f>IFERROR(INDEX('الرواتب'!$C$3:$C$502,MATCH(142,'الرواتب'!$Z$3:$Z$502,0)),"")</f>
        <v/>
      </c>
      <c r="B148" s="50">
        <f>IFERROR(INDEX('الرواتب'!$D$3:$D$502,MATCH(142,'الرواتب'!$Z$3:$Z$502,0)),"")</f>
        <v/>
      </c>
      <c r="C148" s="50">
        <f>IFERROR(INDEX('الرواتب'!$E$3:$E$502,MATCH(142,'الرواتب'!$Z$3:$Z$502,0)),"")</f>
        <v/>
      </c>
      <c r="D148" s="63">
        <f>IFERROR(INDEX('الرواتب'!$G$3:$G$502,MATCH(142,'الرواتب'!$Z$3:$Z$502,0)),"")</f>
        <v/>
      </c>
      <c r="E148" s="63">
        <f>IFERROR(INDEX('الرواتب'!$H$3:$H$502,MATCH(142,'الرواتب'!$Z$3:$Z$502,0)),"")</f>
        <v/>
      </c>
      <c r="F148" s="63">
        <f>IFERROR(INDEX('الرواتب'!$I$3:$I$502,MATCH(142,'الرواتب'!$Z$3:$Z$502,0)),"")</f>
        <v/>
      </c>
      <c r="G148" s="63">
        <f>IFERROR(INDEX('الرواتب'!$J$3:$J$502,MATCH(142,'الرواتب'!$Z$3:$Z$502,0)),"")</f>
        <v/>
      </c>
      <c r="H148" s="63">
        <f>IFERROR(INDEX('الرواتب'!$K$3:$K$502,MATCH(142,'الرواتب'!$Z$3:$Z$502,0)),"")</f>
        <v/>
      </c>
      <c r="I148" s="63">
        <f>IFERROR(INDEX('الرواتب'!$L$3:$L$502,MATCH(142,'الرواتب'!$Z$3:$Z$502,0)),"")</f>
        <v/>
      </c>
      <c r="J148" s="63">
        <f>IFERROR(INDEX('الرواتب'!$S$3:$S$502,MATCH(142,'الرواتب'!$Z$3:$Z$502,0)),"")</f>
        <v/>
      </c>
      <c r="K148" s="63">
        <f>IFERROR(INDEX('الرواتب'!$N$3:$N$502,MATCH(142,'الرواتب'!$Z$3:$Z$502,0)),"")</f>
        <v/>
      </c>
      <c r="L148" s="63">
        <f>IFERROR(INDEX('الرواتب'!$O$3:$O$502,MATCH(142,'الرواتب'!$Z$3:$Z$502,0)),"")</f>
        <v/>
      </c>
      <c r="M148" s="63">
        <f>IFERROR(INDEX('الرواتب'!$P$3:$P$502,MATCH(142,'الرواتب'!$Z$3:$Z$502,0)),"")</f>
        <v/>
      </c>
      <c r="N148" s="63">
        <f>IFERROR(INDEX('الرواتب'!$Q$3:$Q$502,MATCH(142,'الرواتب'!$Z$3:$Z$502,0)),"")</f>
        <v/>
      </c>
      <c r="O148" s="63">
        <f>IFERROR(INDEX('الرواتب'!$R$3:$R$502,MATCH(142,'الرواتب'!$Z$3:$Z$502,0)),"")</f>
        <v/>
      </c>
      <c r="P148" s="63">
        <f>IFERROR(INDEX('الرواتب'!$T$3:$T$502,MATCH(142,'الرواتب'!$Z$3:$Z$502,0)),"")</f>
        <v/>
      </c>
      <c r="Q148" s="63">
        <f>IFERROR(INDEX('الرواتب'!$U$3:$U$502,MATCH(142,'الرواتب'!$Z$3:$Z$502,0)),"")</f>
        <v/>
      </c>
      <c r="R148" s="63">
        <f>IFERROR(INDEX('الرواتب'!$V$3:$V$502,MATCH(142,'الرواتب'!$Z$3:$Z$502,0)),"")</f>
        <v/>
      </c>
    </row>
    <row r="149">
      <c r="A149" s="43">
        <f>IFERROR(INDEX('الرواتب'!$C$3:$C$502,MATCH(143,'الرواتب'!$Z$3:$Z$502,0)),"")</f>
        <v/>
      </c>
      <c r="B149" s="43">
        <f>IFERROR(INDEX('الرواتب'!$D$3:$D$502,MATCH(143,'الرواتب'!$Z$3:$Z$502,0)),"")</f>
        <v/>
      </c>
      <c r="C149" s="43">
        <f>IFERROR(INDEX('الرواتب'!$E$3:$E$502,MATCH(143,'الرواتب'!$Z$3:$Z$502,0)),"")</f>
        <v/>
      </c>
      <c r="D149" s="60">
        <f>IFERROR(INDEX('الرواتب'!$G$3:$G$502,MATCH(143,'الرواتب'!$Z$3:$Z$502,0)),"")</f>
        <v/>
      </c>
      <c r="E149" s="60">
        <f>IFERROR(INDEX('الرواتب'!$H$3:$H$502,MATCH(143,'الرواتب'!$Z$3:$Z$502,0)),"")</f>
        <v/>
      </c>
      <c r="F149" s="60">
        <f>IFERROR(INDEX('الرواتب'!$I$3:$I$502,MATCH(143,'الرواتب'!$Z$3:$Z$502,0)),"")</f>
        <v/>
      </c>
      <c r="G149" s="60">
        <f>IFERROR(INDEX('الرواتب'!$J$3:$J$502,MATCH(143,'الرواتب'!$Z$3:$Z$502,0)),"")</f>
        <v/>
      </c>
      <c r="H149" s="60">
        <f>IFERROR(INDEX('الرواتب'!$K$3:$K$502,MATCH(143,'الرواتب'!$Z$3:$Z$502,0)),"")</f>
        <v/>
      </c>
      <c r="I149" s="60">
        <f>IFERROR(INDEX('الرواتب'!$L$3:$L$502,MATCH(143,'الرواتب'!$Z$3:$Z$502,0)),"")</f>
        <v/>
      </c>
      <c r="J149" s="60">
        <f>IFERROR(INDEX('الرواتب'!$S$3:$S$502,MATCH(143,'الرواتب'!$Z$3:$Z$502,0)),"")</f>
        <v/>
      </c>
      <c r="K149" s="60">
        <f>IFERROR(INDEX('الرواتب'!$N$3:$N$502,MATCH(143,'الرواتب'!$Z$3:$Z$502,0)),"")</f>
        <v/>
      </c>
      <c r="L149" s="60">
        <f>IFERROR(INDEX('الرواتب'!$O$3:$O$502,MATCH(143,'الرواتب'!$Z$3:$Z$502,0)),"")</f>
        <v/>
      </c>
      <c r="M149" s="60">
        <f>IFERROR(INDEX('الرواتب'!$P$3:$P$502,MATCH(143,'الرواتب'!$Z$3:$Z$502,0)),"")</f>
        <v/>
      </c>
      <c r="N149" s="60">
        <f>IFERROR(INDEX('الرواتب'!$Q$3:$Q$502,MATCH(143,'الرواتب'!$Z$3:$Z$502,0)),"")</f>
        <v/>
      </c>
      <c r="O149" s="60">
        <f>IFERROR(INDEX('الرواتب'!$R$3:$R$502,MATCH(143,'الرواتب'!$Z$3:$Z$502,0)),"")</f>
        <v/>
      </c>
      <c r="P149" s="60">
        <f>IFERROR(INDEX('الرواتب'!$T$3:$T$502,MATCH(143,'الرواتب'!$Z$3:$Z$502,0)),"")</f>
        <v/>
      </c>
      <c r="Q149" s="60">
        <f>IFERROR(INDEX('الرواتب'!$U$3:$U$502,MATCH(143,'الرواتب'!$Z$3:$Z$502,0)),"")</f>
        <v/>
      </c>
      <c r="R149" s="60">
        <f>IFERROR(INDEX('الرواتب'!$V$3:$V$502,MATCH(143,'الرواتب'!$Z$3:$Z$502,0)),"")</f>
        <v/>
      </c>
    </row>
    <row r="150">
      <c r="A150" s="50">
        <f>IFERROR(INDEX('الرواتب'!$C$3:$C$502,MATCH(144,'الرواتب'!$Z$3:$Z$502,0)),"")</f>
        <v/>
      </c>
      <c r="B150" s="50">
        <f>IFERROR(INDEX('الرواتب'!$D$3:$D$502,MATCH(144,'الرواتب'!$Z$3:$Z$502,0)),"")</f>
        <v/>
      </c>
      <c r="C150" s="50">
        <f>IFERROR(INDEX('الرواتب'!$E$3:$E$502,MATCH(144,'الرواتب'!$Z$3:$Z$502,0)),"")</f>
        <v/>
      </c>
      <c r="D150" s="63">
        <f>IFERROR(INDEX('الرواتب'!$G$3:$G$502,MATCH(144,'الرواتب'!$Z$3:$Z$502,0)),"")</f>
        <v/>
      </c>
      <c r="E150" s="63">
        <f>IFERROR(INDEX('الرواتب'!$H$3:$H$502,MATCH(144,'الرواتب'!$Z$3:$Z$502,0)),"")</f>
        <v/>
      </c>
      <c r="F150" s="63">
        <f>IFERROR(INDEX('الرواتب'!$I$3:$I$502,MATCH(144,'الرواتب'!$Z$3:$Z$502,0)),"")</f>
        <v/>
      </c>
      <c r="G150" s="63">
        <f>IFERROR(INDEX('الرواتب'!$J$3:$J$502,MATCH(144,'الرواتب'!$Z$3:$Z$502,0)),"")</f>
        <v/>
      </c>
      <c r="H150" s="63">
        <f>IFERROR(INDEX('الرواتب'!$K$3:$K$502,MATCH(144,'الرواتب'!$Z$3:$Z$502,0)),"")</f>
        <v/>
      </c>
      <c r="I150" s="63">
        <f>IFERROR(INDEX('الرواتب'!$L$3:$L$502,MATCH(144,'الرواتب'!$Z$3:$Z$502,0)),"")</f>
        <v/>
      </c>
      <c r="J150" s="63">
        <f>IFERROR(INDEX('الرواتب'!$S$3:$S$502,MATCH(144,'الرواتب'!$Z$3:$Z$502,0)),"")</f>
        <v/>
      </c>
      <c r="K150" s="63">
        <f>IFERROR(INDEX('الرواتب'!$N$3:$N$502,MATCH(144,'الرواتب'!$Z$3:$Z$502,0)),"")</f>
        <v/>
      </c>
      <c r="L150" s="63">
        <f>IFERROR(INDEX('الرواتب'!$O$3:$O$502,MATCH(144,'الرواتب'!$Z$3:$Z$502,0)),"")</f>
        <v/>
      </c>
      <c r="M150" s="63">
        <f>IFERROR(INDEX('الرواتب'!$P$3:$P$502,MATCH(144,'الرواتب'!$Z$3:$Z$502,0)),"")</f>
        <v/>
      </c>
      <c r="N150" s="63">
        <f>IFERROR(INDEX('الرواتب'!$Q$3:$Q$502,MATCH(144,'الرواتب'!$Z$3:$Z$502,0)),"")</f>
        <v/>
      </c>
      <c r="O150" s="63">
        <f>IFERROR(INDEX('الرواتب'!$R$3:$R$502,MATCH(144,'الرواتب'!$Z$3:$Z$502,0)),"")</f>
        <v/>
      </c>
      <c r="P150" s="63">
        <f>IFERROR(INDEX('الرواتب'!$T$3:$T$502,MATCH(144,'الرواتب'!$Z$3:$Z$502,0)),"")</f>
        <v/>
      </c>
      <c r="Q150" s="63">
        <f>IFERROR(INDEX('الرواتب'!$U$3:$U$502,MATCH(144,'الرواتب'!$Z$3:$Z$502,0)),"")</f>
        <v/>
      </c>
      <c r="R150" s="63">
        <f>IFERROR(INDEX('الرواتب'!$V$3:$V$502,MATCH(144,'الرواتب'!$Z$3:$Z$502,0)),"")</f>
        <v/>
      </c>
    </row>
    <row r="151">
      <c r="A151" s="43">
        <f>IFERROR(INDEX('الرواتب'!$C$3:$C$502,MATCH(145,'الرواتب'!$Z$3:$Z$502,0)),"")</f>
        <v/>
      </c>
      <c r="B151" s="43">
        <f>IFERROR(INDEX('الرواتب'!$D$3:$D$502,MATCH(145,'الرواتب'!$Z$3:$Z$502,0)),"")</f>
        <v/>
      </c>
      <c r="C151" s="43">
        <f>IFERROR(INDEX('الرواتب'!$E$3:$E$502,MATCH(145,'الرواتب'!$Z$3:$Z$502,0)),"")</f>
        <v/>
      </c>
      <c r="D151" s="60">
        <f>IFERROR(INDEX('الرواتب'!$G$3:$G$502,MATCH(145,'الرواتب'!$Z$3:$Z$502,0)),"")</f>
        <v/>
      </c>
      <c r="E151" s="60">
        <f>IFERROR(INDEX('الرواتب'!$H$3:$H$502,MATCH(145,'الرواتب'!$Z$3:$Z$502,0)),"")</f>
        <v/>
      </c>
      <c r="F151" s="60">
        <f>IFERROR(INDEX('الرواتب'!$I$3:$I$502,MATCH(145,'الرواتب'!$Z$3:$Z$502,0)),"")</f>
        <v/>
      </c>
      <c r="G151" s="60">
        <f>IFERROR(INDEX('الرواتب'!$J$3:$J$502,MATCH(145,'الرواتب'!$Z$3:$Z$502,0)),"")</f>
        <v/>
      </c>
      <c r="H151" s="60">
        <f>IFERROR(INDEX('الرواتب'!$K$3:$K$502,MATCH(145,'الرواتب'!$Z$3:$Z$502,0)),"")</f>
        <v/>
      </c>
      <c r="I151" s="60">
        <f>IFERROR(INDEX('الرواتب'!$L$3:$L$502,MATCH(145,'الرواتب'!$Z$3:$Z$502,0)),"")</f>
        <v/>
      </c>
      <c r="J151" s="60">
        <f>IFERROR(INDEX('الرواتب'!$S$3:$S$502,MATCH(145,'الرواتب'!$Z$3:$Z$502,0)),"")</f>
        <v/>
      </c>
      <c r="K151" s="60">
        <f>IFERROR(INDEX('الرواتب'!$N$3:$N$502,MATCH(145,'الرواتب'!$Z$3:$Z$502,0)),"")</f>
        <v/>
      </c>
      <c r="L151" s="60">
        <f>IFERROR(INDEX('الرواتب'!$O$3:$O$502,MATCH(145,'الرواتب'!$Z$3:$Z$502,0)),"")</f>
        <v/>
      </c>
      <c r="M151" s="60">
        <f>IFERROR(INDEX('الرواتب'!$P$3:$P$502,MATCH(145,'الرواتب'!$Z$3:$Z$502,0)),"")</f>
        <v/>
      </c>
      <c r="N151" s="60">
        <f>IFERROR(INDEX('الرواتب'!$Q$3:$Q$502,MATCH(145,'الرواتب'!$Z$3:$Z$502,0)),"")</f>
        <v/>
      </c>
      <c r="O151" s="60">
        <f>IFERROR(INDEX('الرواتب'!$R$3:$R$502,MATCH(145,'الرواتب'!$Z$3:$Z$502,0)),"")</f>
        <v/>
      </c>
      <c r="P151" s="60">
        <f>IFERROR(INDEX('الرواتب'!$T$3:$T$502,MATCH(145,'الرواتب'!$Z$3:$Z$502,0)),"")</f>
        <v/>
      </c>
      <c r="Q151" s="60">
        <f>IFERROR(INDEX('الرواتب'!$U$3:$U$502,MATCH(145,'الرواتب'!$Z$3:$Z$502,0)),"")</f>
        <v/>
      </c>
      <c r="R151" s="60">
        <f>IFERROR(INDEX('الرواتب'!$V$3:$V$502,MATCH(145,'الرواتب'!$Z$3:$Z$502,0)),"")</f>
        <v/>
      </c>
    </row>
    <row r="152">
      <c r="A152" s="50">
        <f>IFERROR(INDEX('الرواتب'!$C$3:$C$502,MATCH(146,'الرواتب'!$Z$3:$Z$502,0)),"")</f>
        <v/>
      </c>
      <c r="B152" s="50">
        <f>IFERROR(INDEX('الرواتب'!$D$3:$D$502,MATCH(146,'الرواتب'!$Z$3:$Z$502,0)),"")</f>
        <v/>
      </c>
      <c r="C152" s="50">
        <f>IFERROR(INDEX('الرواتب'!$E$3:$E$502,MATCH(146,'الرواتب'!$Z$3:$Z$502,0)),"")</f>
        <v/>
      </c>
      <c r="D152" s="63">
        <f>IFERROR(INDEX('الرواتب'!$G$3:$G$502,MATCH(146,'الرواتب'!$Z$3:$Z$502,0)),"")</f>
        <v/>
      </c>
      <c r="E152" s="63">
        <f>IFERROR(INDEX('الرواتب'!$H$3:$H$502,MATCH(146,'الرواتب'!$Z$3:$Z$502,0)),"")</f>
        <v/>
      </c>
      <c r="F152" s="63">
        <f>IFERROR(INDEX('الرواتب'!$I$3:$I$502,MATCH(146,'الرواتب'!$Z$3:$Z$502,0)),"")</f>
        <v/>
      </c>
      <c r="G152" s="63">
        <f>IFERROR(INDEX('الرواتب'!$J$3:$J$502,MATCH(146,'الرواتب'!$Z$3:$Z$502,0)),"")</f>
        <v/>
      </c>
      <c r="H152" s="63">
        <f>IFERROR(INDEX('الرواتب'!$K$3:$K$502,MATCH(146,'الرواتب'!$Z$3:$Z$502,0)),"")</f>
        <v/>
      </c>
      <c r="I152" s="63">
        <f>IFERROR(INDEX('الرواتب'!$L$3:$L$502,MATCH(146,'الرواتب'!$Z$3:$Z$502,0)),"")</f>
        <v/>
      </c>
      <c r="J152" s="63">
        <f>IFERROR(INDEX('الرواتب'!$S$3:$S$502,MATCH(146,'الرواتب'!$Z$3:$Z$502,0)),"")</f>
        <v/>
      </c>
      <c r="K152" s="63">
        <f>IFERROR(INDEX('الرواتب'!$N$3:$N$502,MATCH(146,'الرواتب'!$Z$3:$Z$502,0)),"")</f>
        <v/>
      </c>
      <c r="L152" s="63">
        <f>IFERROR(INDEX('الرواتب'!$O$3:$O$502,MATCH(146,'الرواتب'!$Z$3:$Z$502,0)),"")</f>
        <v/>
      </c>
      <c r="M152" s="63">
        <f>IFERROR(INDEX('الرواتب'!$P$3:$P$502,MATCH(146,'الرواتب'!$Z$3:$Z$502,0)),"")</f>
        <v/>
      </c>
      <c r="N152" s="63">
        <f>IFERROR(INDEX('الرواتب'!$Q$3:$Q$502,MATCH(146,'الرواتب'!$Z$3:$Z$502,0)),"")</f>
        <v/>
      </c>
      <c r="O152" s="63">
        <f>IFERROR(INDEX('الرواتب'!$R$3:$R$502,MATCH(146,'الرواتب'!$Z$3:$Z$502,0)),"")</f>
        <v/>
      </c>
      <c r="P152" s="63">
        <f>IFERROR(INDEX('الرواتب'!$T$3:$T$502,MATCH(146,'الرواتب'!$Z$3:$Z$502,0)),"")</f>
        <v/>
      </c>
      <c r="Q152" s="63">
        <f>IFERROR(INDEX('الرواتب'!$U$3:$U$502,MATCH(146,'الرواتب'!$Z$3:$Z$502,0)),"")</f>
        <v/>
      </c>
      <c r="R152" s="63">
        <f>IFERROR(INDEX('الرواتب'!$V$3:$V$502,MATCH(146,'الرواتب'!$Z$3:$Z$502,0)),"")</f>
        <v/>
      </c>
    </row>
    <row r="153">
      <c r="A153" s="43">
        <f>IFERROR(INDEX('الرواتب'!$C$3:$C$502,MATCH(147,'الرواتب'!$Z$3:$Z$502,0)),"")</f>
        <v/>
      </c>
      <c r="B153" s="43">
        <f>IFERROR(INDEX('الرواتب'!$D$3:$D$502,MATCH(147,'الرواتب'!$Z$3:$Z$502,0)),"")</f>
        <v/>
      </c>
      <c r="C153" s="43">
        <f>IFERROR(INDEX('الرواتب'!$E$3:$E$502,MATCH(147,'الرواتب'!$Z$3:$Z$502,0)),"")</f>
        <v/>
      </c>
      <c r="D153" s="60">
        <f>IFERROR(INDEX('الرواتب'!$G$3:$G$502,MATCH(147,'الرواتب'!$Z$3:$Z$502,0)),"")</f>
        <v/>
      </c>
      <c r="E153" s="60">
        <f>IFERROR(INDEX('الرواتب'!$H$3:$H$502,MATCH(147,'الرواتب'!$Z$3:$Z$502,0)),"")</f>
        <v/>
      </c>
      <c r="F153" s="60">
        <f>IFERROR(INDEX('الرواتب'!$I$3:$I$502,MATCH(147,'الرواتب'!$Z$3:$Z$502,0)),"")</f>
        <v/>
      </c>
      <c r="G153" s="60">
        <f>IFERROR(INDEX('الرواتب'!$J$3:$J$502,MATCH(147,'الرواتب'!$Z$3:$Z$502,0)),"")</f>
        <v/>
      </c>
      <c r="H153" s="60">
        <f>IFERROR(INDEX('الرواتب'!$K$3:$K$502,MATCH(147,'الرواتب'!$Z$3:$Z$502,0)),"")</f>
        <v/>
      </c>
      <c r="I153" s="60">
        <f>IFERROR(INDEX('الرواتب'!$L$3:$L$502,MATCH(147,'الرواتب'!$Z$3:$Z$502,0)),"")</f>
        <v/>
      </c>
      <c r="J153" s="60">
        <f>IFERROR(INDEX('الرواتب'!$S$3:$S$502,MATCH(147,'الرواتب'!$Z$3:$Z$502,0)),"")</f>
        <v/>
      </c>
      <c r="K153" s="60">
        <f>IFERROR(INDEX('الرواتب'!$N$3:$N$502,MATCH(147,'الرواتب'!$Z$3:$Z$502,0)),"")</f>
        <v/>
      </c>
      <c r="L153" s="60">
        <f>IFERROR(INDEX('الرواتب'!$O$3:$O$502,MATCH(147,'الرواتب'!$Z$3:$Z$502,0)),"")</f>
        <v/>
      </c>
      <c r="M153" s="60">
        <f>IFERROR(INDEX('الرواتب'!$P$3:$P$502,MATCH(147,'الرواتب'!$Z$3:$Z$502,0)),"")</f>
        <v/>
      </c>
      <c r="N153" s="60">
        <f>IFERROR(INDEX('الرواتب'!$Q$3:$Q$502,MATCH(147,'الرواتب'!$Z$3:$Z$502,0)),"")</f>
        <v/>
      </c>
      <c r="O153" s="60">
        <f>IFERROR(INDEX('الرواتب'!$R$3:$R$502,MATCH(147,'الرواتب'!$Z$3:$Z$502,0)),"")</f>
        <v/>
      </c>
      <c r="P153" s="60">
        <f>IFERROR(INDEX('الرواتب'!$T$3:$T$502,MATCH(147,'الرواتب'!$Z$3:$Z$502,0)),"")</f>
        <v/>
      </c>
      <c r="Q153" s="60">
        <f>IFERROR(INDEX('الرواتب'!$U$3:$U$502,MATCH(147,'الرواتب'!$Z$3:$Z$502,0)),"")</f>
        <v/>
      </c>
      <c r="R153" s="60">
        <f>IFERROR(INDEX('الرواتب'!$V$3:$V$502,MATCH(147,'الرواتب'!$Z$3:$Z$502,0)),"")</f>
        <v/>
      </c>
    </row>
    <row r="154">
      <c r="A154" s="50">
        <f>IFERROR(INDEX('الرواتب'!$C$3:$C$502,MATCH(148,'الرواتب'!$Z$3:$Z$502,0)),"")</f>
        <v/>
      </c>
      <c r="B154" s="50">
        <f>IFERROR(INDEX('الرواتب'!$D$3:$D$502,MATCH(148,'الرواتب'!$Z$3:$Z$502,0)),"")</f>
        <v/>
      </c>
      <c r="C154" s="50">
        <f>IFERROR(INDEX('الرواتب'!$E$3:$E$502,MATCH(148,'الرواتب'!$Z$3:$Z$502,0)),"")</f>
        <v/>
      </c>
      <c r="D154" s="63">
        <f>IFERROR(INDEX('الرواتب'!$G$3:$G$502,MATCH(148,'الرواتب'!$Z$3:$Z$502,0)),"")</f>
        <v/>
      </c>
      <c r="E154" s="63">
        <f>IFERROR(INDEX('الرواتب'!$H$3:$H$502,MATCH(148,'الرواتب'!$Z$3:$Z$502,0)),"")</f>
        <v/>
      </c>
      <c r="F154" s="63">
        <f>IFERROR(INDEX('الرواتب'!$I$3:$I$502,MATCH(148,'الرواتب'!$Z$3:$Z$502,0)),"")</f>
        <v/>
      </c>
      <c r="G154" s="63">
        <f>IFERROR(INDEX('الرواتب'!$J$3:$J$502,MATCH(148,'الرواتب'!$Z$3:$Z$502,0)),"")</f>
        <v/>
      </c>
      <c r="H154" s="63">
        <f>IFERROR(INDEX('الرواتب'!$K$3:$K$502,MATCH(148,'الرواتب'!$Z$3:$Z$502,0)),"")</f>
        <v/>
      </c>
      <c r="I154" s="63">
        <f>IFERROR(INDEX('الرواتب'!$L$3:$L$502,MATCH(148,'الرواتب'!$Z$3:$Z$502,0)),"")</f>
        <v/>
      </c>
      <c r="J154" s="63">
        <f>IFERROR(INDEX('الرواتب'!$S$3:$S$502,MATCH(148,'الرواتب'!$Z$3:$Z$502,0)),"")</f>
        <v/>
      </c>
      <c r="K154" s="63">
        <f>IFERROR(INDEX('الرواتب'!$N$3:$N$502,MATCH(148,'الرواتب'!$Z$3:$Z$502,0)),"")</f>
        <v/>
      </c>
      <c r="L154" s="63">
        <f>IFERROR(INDEX('الرواتب'!$O$3:$O$502,MATCH(148,'الرواتب'!$Z$3:$Z$502,0)),"")</f>
        <v/>
      </c>
      <c r="M154" s="63">
        <f>IFERROR(INDEX('الرواتب'!$P$3:$P$502,MATCH(148,'الرواتب'!$Z$3:$Z$502,0)),"")</f>
        <v/>
      </c>
      <c r="N154" s="63">
        <f>IFERROR(INDEX('الرواتب'!$Q$3:$Q$502,MATCH(148,'الرواتب'!$Z$3:$Z$502,0)),"")</f>
        <v/>
      </c>
      <c r="O154" s="63">
        <f>IFERROR(INDEX('الرواتب'!$R$3:$R$502,MATCH(148,'الرواتب'!$Z$3:$Z$502,0)),"")</f>
        <v/>
      </c>
      <c r="P154" s="63">
        <f>IFERROR(INDEX('الرواتب'!$T$3:$T$502,MATCH(148,'الرواتب'!$Z$3:$Z$502,0)),"")</f>
        <v/>
      </c>
      <c r="Q154" s="63">
        <f>IFERROR(INDEX('الرواتب'!$U$3:$U$502,MATCH(148,'الرواتب'!$Z$3:$Z$502,0)),"")</f>
        <v/>
      </c>
      <c r="R154" s="63">
        <f>IFERROR(INDEX('الرواتب'!$V$3:$V$502,MATCH(148,'الرواتب'!$Z$3:$Z$502,0)),"")</f>
        <v/>
      </c>
    </row>
    <row r="155">
      <c r="A155" s="43">
        <f>IFERROR(INDEX('الرواتب'!$C$3:$C$502,MATCH(149,'الرواتب'!$Z$3:$Z$502,0)),"")</f>
        <v/>
      </c>
      <c r="B155" s="43">
        <f>IFERROR(INDEX('الرواتب'!$D$3:$D$502,MATCH(149,'الرواتب'!$Z$3:$Z$502,0)),"")</f>
        <v/>
      </c>
      <c r="C155" s="43">
        <f>IFERROR(INDEX('الرواتب'!$E$3:$E$502,MATCH(149,'الرواتب'!$Z$3:$Z$502,0)),"")</f>
        <v/>
      </c>
      <c r="D155" s="60">
        <f>IFERROR(INDEX('الرواتب'!$G$3:$G$502,MATCH(149,'الرواتب'!$Z$3:$Z$502,0)),"")</f>
        <v/>
      </c>
      <c r="E155" s="60">
        <f>IFERROR(INDEX('الرواتب'!$H$3:$H$502,MATCH(149,'الرواتب'!$Z$3:$Z$502,0)),"")</f>
        <v/>
      </c>
      <c r="F155" s="60">
        <f>IFERROR(INDEX('الرواتب'!$I$3:$I$502,MATCH(149,'الرواتب'!$Z$3:$Z$502,0)),"")</f>
        <v/>
      </c>
      <c r="G155" s="60">
        <f>IFERROR(INDEX('الرواتب'!$J$3:$J$502,MATCH(149,'الرواتب'!$Z$3:$Z$502,0)),"")</f>
        <v/>
      </c>
      <c r="H155" s="60">
        <f>IFERROR(INDEX('الرواتب'!$K$3:$K$502,MATCH(149,'الرواتب'!$Z$3:$Z$502,0)),"")</f>
        <v/>
      </c>
      <c r="I155" s="60">
        <f>IFERROR(INDEX('الرواتب'!$L$3:$L$502,MATCH(149,'الرواتب'!$Z$3:$Z$502,0)),"")</f>
        <v/>
      </c>
      <c r="J155" s="60">
        <f>IFERROR(INDEX('الرواتب'!$S$3:$S$502,MATCH(149,'الرواتب'!$Z$3:$Z$502,0)),"")</f>
        <v/>
      </c>
      <c r="K155" s="60">
        <f>IFERROR(INDEX('الرواتب'!$N$3:$N$502,MATCH(149,'الرواتب'!$Z$3:$Z$502,0)),"")</f>
        <v/>
      </c>
      <c r="L155" s="60">
        <f>IFERROR(INDEX('الرواتب'!$O$3:$O$502,MATCH(149,'الرواتب'!$Z$3:$Z$502,0)),"")</f>
        <v/>
      </c>
      <c r="M155" s="60">
        <f>IFERROR(INDEX('الرواتب'!$P$3:$P$502,MATCH(149,'الرواتب'!$Z$3:$Z$502,0)),"")</f>
        <v/>
      </c>
      <c r="N155" s="60">
        <f>IFERROR(INDEX('الرواتب'!$Q$3:$Q$502,MATCH(149,'الرواتب'!$Z$3:$Z$502,0)),"")</f>
        <v/>
      </c>
      <c r="O155" s="60">
        <f>IFERROR(INDEX('الرواتب'!$R$3:$R$502,MATCH(149,'الرواتب'!$Z$3:$Z$502,0)),"")</f>
        <v/>
      </c>
      <c r="P155" s="60">
        <f>IFERROR(INDEX('الرواتب'!$T$3:$T$502,MATCH(149,'الرواتب'!$Z$3:$Z$502,0)),"")</f>
        <v/>
      </c>
      <c r="Q155" s="60">
        <f>IFERROR(INDEX('الرواتب'!$U$3:$U$502,MATCH(149,'الرواتب'!$Z$3:$Z$502,0)),"")</f>
        <v/>
      </c>
      <c r="R155" s="60">
        <f>IFERROR(INDEX('الرواتب'!$V$3:$V$502,MATCH(149,'الرواتب'!$Z$3:$Z$502,0)),"")</f>
        <v/>
      </c>
    </row>
    <row r="156">
      <c r="A156" s="50">
        <f>IFERROR(INDEX('الرواتب'!$C$3:$C$502,MATCH(150,'الرواتب'!$Z$3:$Z$502,0)),"")</f>
        <v/>
      </c>
      <c r="B156" s="50">
        <f>IFERROR(INDEX('الرواتب'!$D$3:$D$502,MATCH(150,'الرواتب'!$Z$3:$Z$502,0)),"")</f>
        <v/>
      </c>
      <c r="C156" s="50">
        <f>IFERROR(INDEX('الرواتب'!$E$3:$E$502,MATCH(150,'الرواتب'!$Z$3:$Z$502,0)),"")</f>
        <v/>
      </c>
      <c r="D156" s="63">
        <f>IFERROR(INDEX('الرواتب'!$G$3:$G$502,MATCH(150,'الرواتب'!$Z$3:$Z$502,0)),"")</f>
        <v/>
      </c>
      <c r="E156" s="63">
        <f>IFERROR(INDEX('الرواتب'!$H$3:$H$502,MATCH(150,'الرواتب'!$Z$3:$Z$502,0)),"")</f>
        <v/>
      </c>
      <c r="F156" s="63">
        <f>IFERROR(INDEX('الرواتب'!$I$3:$I$502,MATCH(150,'الرواتب'!$Z$3:$Z$502,0)),"")</f>
        <v/>
      </c>
      <c r="G156" s="63">
        <f>IFERROR(INDEX('الرواتب'!$J$3:$J$502,MATCH(150,'الرواتب'!$Z$3:$Z$502,0)),"")</f>
        <v/>
      </c>
      <c r="H156" s="63">
        <f>IFERROR(INDEX('الرواتب'!$K$3:$K$502,MATCH(150,'الرواتب'!$Z$3:$Z$502,0)),"")</f>
        <v/>
      </c>
      <c r="I156" s="63">
        <f>IFERROR(INDEX('الرواتب'!$L$3:$L$502,MATCH(150,'الرواتب'!$Z$3:$Z$502,0)),"")</f>
        <v/>
      </c>
      <c r="J156" s="63">
        <f>IFERROR(INDEX('الرواتب'!$S$3:$S$502,MATCH(150,'الرواتب'!$Z$3:$Z$502,0)),"")</f>
        <v/>
      </c>
      <c r="K156" s="63">
        <f>IFERROR(INDEX('الرواتب'!$N$3:$N$502,MATCH(150,'الرواتب'!$Z$3:$Z$502,0)),"")</f>
        <v/>
      </c>
      <c r="L156" s="63">
        <f>IFERROR(INDEX('الرواتب'!$O$3:$O$502,MATCH(150,'الرواتب'!$Z$3:$Z$502,0)),"")</f>
        <v/>
      </c>
      <c r="M156" s="63">
        <f>IFERROR(INDEX('الرواتب'!$P$3:$P$502,MATCH(150,'الرواتب'!$Z$3:$Z$502,0)),"")</f>
        <v/>
      </c>
      <c r="N156" s="63">
        <f>IFERROR(INDEX('الرواتب'!$Q$3:$Q$502,MATCH(150,'الرواتب'!$Z$3:$Z$502,0)),"")</f>
        <v/>
      </c>
      <c r="O156" s="63">
        <f>IFERROR(INDEX('الرواتب'!$R$3:$R$502,MATCH(150,'الرواتب'!$Z$3:$Z$502,0)),"")</f>
        <v/>
      </c>
      <c r="P156" s="63">
        <f>IFERROR(INDEX('الرواتب'!$T$3:$T$502,MATCH(150,'الرواتب'!$Z$3:$Z$502,0)),"")</f>
        <v/>
      </c>
      <c r="Q156" s="63">
        <f>IFERROR(INDEX('الرواتب'!$U$3:$U$502,MATCH(150,'الرواتب'!$Z$3:$Z$502,0)),"")</f>
        <v/>
      </c>
      <c r="R156" s="63">
        <f>IFERROR(INDEX('الرواتب'!$V$3:$V$502,MATCH(150,'الرواتب'!$Z$3:$Z$502,0)),"")</f>
        <v/>
      </c>
    </row>
    <row r="157">
      <c r="A157" s="43">
        <f>IFERROR(INDEX('الرواتب'!$C$3:$C$502,MATCH(151,'الرواتب'!$Z$3:$Z$502,0)),"")</f>
        <v/>
      </c>
      <c r="B157" s="43">
        <f>IFERROR(INDEX('الرواتب'!$D$3:$D$502,MATCH(151,'الرواتب'!$Z$3:$Z$502,0)),"")</f>
        <v/>
      </c>
      <c r="C157" s="43">
        <f>IFERROR(INDEX('الرواتب'!$E$3:$E$502,MATCH(151,'الرواتب'!$Z$3:$Z$502,0)),"")</f>
        <v/>
      </c>
      <c r="D157" s="60">
        <f>IFERROR(INDEX('الرواتب'!$G$3:$G$502,MATCH(151,'الرواتب'!$Z$3:$Z$502,0)),"")</f>
        <v/>
      </c>
      <c r="E157" s="60">
        <f>IFERROR(INDEX('الرواتب'!$H$3:$H$502,MATCH(151,'الرواتب'!$Z$3:$Z$502,0)),"")</f>
        <v/>
      </c>
      <c r="F157" s="60">
        <f>IFERROR(INDEX('الرواتب'!$I$3:$I$502,MATCH(151,'الرواتب'!$Z$3:$Z$502,0)),"")</f>
        <v/>
      </c>
      <c r="G157" s="60">
        <f>IFERROR(INDEX('الرواتب'!$J$3:$J$502,MATCH(151,'الرواتب'!$Z$3:$Z$502,0)),"")</f>
        <v/>
      </c>
      <c r="H157" s="60">
        <f>IFERROR(INDEX('الرواتب'!$K$3:$K$502,MATCH(151,'الرواتب'!$Z$3:$Z$502,0)),"")</f>
        <v/>
      </c>
      <c r="I157" s="60">
        <f>IFERROR(INDEX('الرواتب'!$L$3:$L$502,MATCH(151,'الرواتب'!$Z$3:$Z$502,0)),"")</f>
        <v/>
      </c>
      <c r="J157" s="60">
        <f>IFERROR(INDEX('الرواتب'!$S$3:$S$502,MATCH(151,'الرواتب'!$Z$3:$Z$502,0)),"")</f>
        <v/>
      </c>
      <c r="K157" s="60">
        <f>IFERROR(INDEX('الرواتب'!$N$3:$N$502,MATCH(151,'الرواتب'!$Z$3:$Z$502,0)),"")</f>
        <v/>
      </c>
      <c r="L157" s="60">
        <f>IFERROR(INDEX('الرواتب'!$O$3:$O$502,MATCH(151,'الرواتب'!$Z$3:$Z$502,0)),"")</f>
        <v/>
      </c>
      <c r="M157" s="60">
        <f>IFERROR(INDEX('الرواتب'!$P$3:$P$502,MATCH(151,'الرواتب'!$Z$3:$Z$502,0)),"")</f>
        <v/>
      </c>
      <c r="N157" s="60">
        <f>IFERROR(INDEX('الرواتب'!$Q$3:$Q$502,MATCH(151,'الرواتب'!$Z$3:$Z$502,0)),"")</f>
        <v/>
      </c>
      <c r="O157" s="60">
        <f>IFERROR(INDEX('الرواتب'!$R$3:$R$502,MATCH(151,'الرواتب'!$Z$3:$Z$502,0)),"")</f>
        <v/>
      </c>
      <c r="P157" s="60">
        <f>IFERROR(INDEX('الرواتب'!$T$3:$T$502,MATCH(151,'الرواتب'!$Z$3:$Z$502,0)),"")</f>
        <v/>
      </c>
      <c r="Q157" s="60">
        <f>IFERROR(INDEX('الرواتب'!$U$3:$U$502,MATCH(151,'الرواتب'!$Z$3:$Z$502,0)),"")</f>
        <v/>
      </c>
      <c r="R157" s="60">
        <f>IFERROR(INDEX('الرواتب'!$V$3:$V$502,MATCH(151,'الرواتب'!$Z$3:$Z$502,0)),"")</f>
        <v/>
      </c>
    </row>
    <row r="158">
      <c r="A158" s="50">
        <f>IFERROR(INDEX('الرواتب'!$C$3:$C$502,MATCH(152,'الرواتب'!$Z$3:$Z$502,0)),"")</f>
        <v/>
      </c>
      <c r="B158" s="50">
        <f>IFERROR(INDEX('الرواتب'!$D$3:$D$502,MATCH(152,'الرواتب'!$Z$3:$Z$502,0)),"")</f>
        <v/>
      </c>
      <c r="C158" s="50">
        <f>IFERROR(INDEX('الرواتب'!$E$3:$E$502,MATCH(152,'الرواتب'!$Z$3:$Z$502,0)),"")</f>
        <v/>
      </c>
      <c r="D158" s="63">
        <f>IFERROR(INDEX('الرواتب'!$G$3:$G$502,MATCH(152,'الرواتب'!$Z$3:$Z$502,0)),"")</f>
        <v/>
      </c>
      <c r="E158" s="63">
        <f>IFERROR(INDEX('الرواتب'!$H$3:$H$502,MATCH(152,'الرواتب'!$Z$3:$Z$502,0)),"")</f>
        <v/>
      </c>
      <c r="F158" s="63">
        <f>IFERROR(INDEX('الرواتب'!$I$3:$I$502,MATCH(152,'الرواتب'!$Z$3:$Z$502,0)),"")</f>
        <v/>
      </c>
      <c r="G158" s="63">
        <f>IFERROR(INDEX('الرواتب'!$J$3:$J$502,MATCH(152,'الرواتب'!$Z$3:$Z$502,0)),"")</f>
        <v/>
      </c>
      <c r="H158" s="63">
        <f>IFERROR(INDEX('الرواتب'!$K$3:$K$502,MATCH(152,'الرواتب'!$Z$3:$Z$502,0)),"")</f>
        <v/>
      </c>
      <c r="I158" s="63">
        <f>IFERROR(INDEX('الرواتب'!$L$3:$L$502,MATCH(152,'الرواتب'!$Z$3:$Z$502,0)),"")</f>
        <v/>
      </c>
      <c r="J158" s="63">
        <f>IFERROR(INDEX('الرواتب'!$S$3:$S$502,MATCH(152,'الرواتب'!$Z$3:$Z$502,0)),"")</f>
        <v/>
      </c>
      <c r="K158" s="63">
        <f>IFERROR(INDEX('الرواتب'!$N$3:$N$502,MATCH(152,'الرواتب'!$Z$3:$Z$502,0)),"")</f>
        <v/>
      </c>
      <c r="L158" s="63">
        <f>IFERROR(INDEX('الرواتب'!$O$3:$O$502,MATCH(152,'الرواتب'!$Z$3:$Z$502,0)),"")</f>
        <v/>
      </c>
      <c r="M158" s="63">
        <f>IFERROR(INDEX('الرواتب'!$P$3:$P$502,MATCH(152,'الرواتب'!$Z$3:$Z$502,0)),"")</f>
        <v/>
      </c>
      <c r="N158" s="63">
        <f>IFERROR(INDEX('الرواتب'!$Q$3:$Q$502,MATCH(152,'الرواتب'!$Z$3:$Z$502,0)),"")</f>
        <v/>
      </c>
      <c r="O158" s="63">
        <f>IFERROR(INDEX('الرواتب'!$R$3:$R$502,MATCH(152,'الرواتب'!$Z$3:$Z$502,0)),"")</f>
        <v/>
      </c>
      <c r="P158" s="63">
        <f>IFERROR(INDEX('الرواتب'!$T$3:$T$502,MATCH(152,'الرواتب'!$Z$3:$Z$502,0)),"")</f>
        <v/>
      </c>
      <c r="Q158" s="63">
        <f>IFERROR(INDEX('الرواتب'!$U$3:$U$502,MATCH(152,'الرواتب'!$Z$3:$Z$502,0)),"")</f>
        <v/>
      </c>
      <c r="R158" s="63">
        <f>IFERROR(INDEX('الرواتب'!$V$3:$V$502,MATCH(152,'الرواتب'!$Z$3:$Z$502,0)),"")</f>
        <v/>
      </c>
    </row>
    <row r="159">
      <c r="A159" s="43">
        <f>IFERROR(INDEX('الرواتب'!$C$3:$C$502,MATCH(153,'الرواتب'!$Z$3:$Z$502,0)),"")</f>
        <v/>
      </c>
      <c r="B159" s="43">
        <f>IFERROR(INDEX('الرواتب'!$D$3:$D$502,MATCH(153,'الرواتب'!$Z$3:$Z$502,0)),"")</f>
        <v/>
      </c>
      <c r="C159" s="43">
        <f>IFERROR(INDEX('الرواتب'!$E$3:$E$502,MATCH(153,'الرواتب'!$Z$3:$Z$502,0)),"")</f>
        <v/>
      </c>
      <c r="D159" s="60">
        <f>IFERROR(INDEX('الرواتب'!$G$3:$G$502,MATCH(153,'الرواتب'!$Z$3:$Z$502,0)),"")</f>
        <v/>
      </c>
      <c r="E159" s="60">
        <f>IFERROR(INDEX('الرواتب'!$H$3:$H$502,MATCH(153,'الرواتب'!$Z$3:$Z$502,0)),"")</f>
        <v/>
      </c>
      <c r="F159" s="60">
        <f>IFERROR(INDEX('الرواتب'!$I$3:$I$502,MATCH(153,'الرواتب'!$Z$3:$Z$502,0)),"")</f>
        <v/>
      </c>
      <c r="G159" s="60">
        <f>IFERROR(INDEX('الرواتب'!$J$3:$J$502,MATCH(153,'الرواتب'!$Z$3:$Z$502,0)),"")</f>
        <v/>
      </c>
      <c r="H159" s="60">
        <f>IFERROR(INDEX('الرواتب'!$K$3:$K$502,MATCH(153,'الرواتب'!$Z$3:$Z$502,0)),"")</f>
        <v/>
      </c>
      <c r="I159" s="60">
        <f>IFERROR(INDEX('الرواتب'!$L$3:$L$502,MATCH(153,'الرواتب'!$Z$3:$Z$502,0)),"")</f>
        <v/>
      </c>
      <c r="J159" s="60">
        <f>IFERROR(INDEX('الرواتب'!$S$3:$S$502,MATCH(153,'الرواتب'!$Z$3:$Z$502,0)),"")</f>
        <v/>
      </c>
      <c r="K159" s="60">
        <f>IFERROR(INDEX('الرواتب'!$N$3:$N$502,MATCH(153,'الرواتب'!$Z$3:$Z$502,0)),"")</f>
        <v/>
      </c>
      <c r="L159" s="60">
        <f>IFERROR(INDEX('الرواتب'!$O$3:$O$502,MATCH(153,'الرواتب'!$Z$3:$Z$502,0)),"")</f>
        <v/>
      </c>
      <c r="M159" s="60">
        <f>IFERROR(INDEX('الرواتب'!$P$3:$P$502,MATCH(153,'الرواتب'!$Z$3:$Z$502,0)),"")</f>
        <v/>
      </c>
      <c r="N159" s="60">
        <f>IFERROR(INDEX('الرواتب'!$Q$3:$Q$502,MATCH(153,'الرواتب'!$Z$3:$Z$502,0)),"")</f>
        <v/>
      </c>
      <c r="O159" s="60">
        <f>IFERROR(INDEX('الرواتب'!$R$3:$R$502,MATCH(153,'الرواتب'!$Z$3:$Z$502,0)),"")</f>
        <v/>
      </c>
      <c r="P159" s="60">
        <f>IFERROR(INDEX('الرواتب'!$T$3:$T$502,MATCH(153,'الرواتب'!$Z$3:$Z$502,0)),"")</f>
        <v/>
      </c>
      <c r="Q159" s="60">
        <f>IFERROR(INDEX('الرواتب'!$U$3:$U$502,MATCH(153,'الرواتب'!$Z$3:$Z$502,0)),"")</f>
        <v/>
      </c>
      <c r="R159" s="60">
        <f>IFERROR(INDEX('الرواتب'!$V$3:$V$502,MATCH(153,'الرواتب'!$Z$3:$Z$502,0)),"")</f>
        <v/>
      </c>
    </row>
    <row r="160">
      <c r="A160" s="50">
        <f>IFERROR(INDEX('الرواتب'!$C$3:$C$502,MATCH(154,'الرواتب'!$Z$3:$Z$502,0)),"")</f>
        <v/>
      </c>
      <c r="B160" s="50">
        <f>IFERROR(INDEX('الرواتب'!$D$3:$D$502,MATCH(154,'الرواتب'!$Z$3:$Z$502,0)),"")</f>
        <v/>
      </c>
      <c r="C160" s="50">
        <f>IFERROR(INDEX('الرواتب'!$E$3:$E$502,MATCH(154,'الرواتب'!$Z$3:$Z$502,0)),"")</f>
        <v/>
      </c>
      <c r="D160" s="63">
        <f>IFERROR(INDEX('الرواتب'!$G$3:$G$502,MATCH(154,'الرواتب'!$Z$3:$Z$502,0)),"")</f>
        <v/>
      </c>
      <c r="E160" s="63">
        <f>IFERROR(INDEX('الرواتب'!$H$3:$H$502,MATCH(154,'الرواتب'!$Z$3:$Z$502,0)),"")</f>
        <v/>
      </c>
      <c r="F160" s="63">
        <f>IFERROR(INDEX('الرواتب'!$I$3:$I$502,MATCH(154,'الرواتب'!$Z$3:$Z$502,0)),"")</f>
        <v/>
      </c>
      <c r="G160" s="63">
        <f>IFERROR(INDEX('الرواتب'!$J$3:$J$502,MATCH(154,'الرواتب'!$Z$3:$Z$502,0)),"")</f>
        <v/>
      </c>
      <c r="H160" s="63">
        <f>IFERROR(INDEX('الرواتب'!$K$3:$K$502,MATCH(154,'الرواتب'!$Z$3:$Z$502,0)),"")</f>
        <v/>
      </c>
      <c r="I160" s="63">
        <f>IFERROR(INDEX('الرواتب'!$L$3:$L$502,MATCH(154,'الرواتب'!$Z$3:$Z$502,0)),"")</f>
        <v/>
      </c>
      <c r="J160" s="63">
        <f>IFERROR(INDEX('الرواتب'!$S$3:$S$502,MATCH(154,'الرواتب'!$Z$3:$Z$502,0)),"")</f>
        <v/>
      </c>
      <c r="K160" s="63">
        <f>IFERROR(INDEX('الرواتب'!$N$3:$N$502,MATCH(154,'الرواتب'!$Z$3:$Z$502,0)),"")</f>
        <v/>
      </c>
      <c r="L160" s="63">
        <f>IFERROR(INDEX('الرواتب'!$O$3:$O$502,MATCH(154,'الرواتب'!$Z$3:$Z$502,0)),"")</f>
        <v/>
      </c>
      <c r="M160" s="63">
        <f>IFERROR(INDEX('الرواتب'!$P$3:$P$502,MATCH(154,'الرواتب'!$Z$3:$Z$502,0)),"")</f>
        <v/>
      </c>
      <c r="N160" s="63">
        <f>IFERROR(INDEX('الرواتب'!$Q$3:$Q$502,MATCH(154,'الرواتب'!$Z$3:$Z$502,0)),"")</f>
        <v/>
      </c>
      <c r="O160" s="63">
        <f>IFERROR(INDEX('الرواتب'!$R$3:$R$502,MATCH(154,'الرواتب'!$Z$3:$Z$502,0)),"")</f>
        <v/>
      </c>
      <c r="P160" s="63">
        <f>IFERROR(INDEX('الرواتب'!$T$3:$T$502,MATCH(154,'الرواتب'!$Z$3:$Z$502,0)),"")</f>
        <v/>
      </c>
      <c r="Q160" s="63">
        <f>IFERROR(INDEX('الرواتب'!$U$3:$U$502,MATCH(154,'الرواتب'!$Z$3:$Z$502,0)),"")</f>
        <v/>
      </c>
      <c r="R160" s="63">
        <f>IFERROR(INDEX('الرواتب'!$V$3:$V$502,MATCH(154,'الرواتب'!$Z$3:$Z$502,0)),"")</f>
        <v/>
      </c>
    </row>
    <row r="161">
      <c r="A161" s="43">
        <f>IFERROR(INDEX('الرواتب'!$C$3:$C$502,MATCH(155,'الرواتب'!$Z$3:$Z$502,0)),"")</f>
        <v/>
      </c>
      <c r="B161" s="43">
        <f>IFERROR(INDEX('الرواتب'!$D$3:$D$502,MATCH(155,'الرواتب'!$Z$3:$Z$502,0)),"")</f>
        <v/>
      </c>
      <c r="C161" s="43">
        <f>IFERROR(INDEX('الرواتب'!$E$3:$E$502,MATCH(155,'الرواتب'!$Z$3:$Z$502,0)),"")</f>
        <v/>
      </c>
      <c r="D161" s="60">
        <f>IFERROR(INDEX('الرواتب'!$G$3:$G$502,MATCH(155,'الرواتب'!$Z$3:$Z$502,0)),"")</f>
        <v/>
      </c>
      <c r="E161" s="60">
        <f>IFERROR(INDEX('الرواتب'!$H$3:$H$502,MATCH(155,'الرواتب'!$Z$3:$Z$502,0)),"")</f>
        <v/>
      </c>
      <c r="F161" s="60">
        <f>IFERROR(INDEX('الرواتب'!$I$3:$I$502,MATCH(155,'الرواتب'!$Z$3:$Z$502,0)),"")</f>
        <v/>
      </c>
      <c r="G161" s="60">
        <f>IFERROR(INDEX('الرواتب'!$J$3:$J$502,MATCH(155,'الرواتب'!$Z$3:$Z$502,0)),"")</f>
        <v/>
      </c>
      <c r="H161" s="60">
        <f>IFERROR(INDEX('الرواتب'!$K$3:$K$502,MATCH(155,'الرواتب'!$Z$3:$Z$502,0)),"")</f>
        <v/>
      </c>
      <c r="I161" s="60">
        <f>IFERROR(INDEX('الرواتب'!$L$3:$L$502,MATCH(155,'الرواتب'!$Z$3:$Z$502,0)),"")</f>
        <v/>
      </c>
      <c r="J161" s="60">
        <f>IFERROR(INDEX('الرواتب'!$S$3:$S$502,MATCH(155,'الرواتب'!$Z$3:$Z$502,0)),"")</f>
        <v/>
      </c>
      <c r="K161" s="60">
        <f>IFERROR(INDEX('الرواتب'!$N$3:$N$502,MATCH(155,'الرواتب'!$Z$3:$Z$502,0)),"")</f>
        <v/>
      </c>
      <c r="L161" s="60">
        <f>IFERROR(INDEX('الرواتب'!$O$3:$O$502,MATCH(155,'الرواتب'!$Z$3:$Z$502,0)),"")</f>
        <v/>
      </c>
      <c r="M161" s="60">
        <f>IFERROR(INDEX('الرواتب'!$P$3:$P$502,MATCH(155,'الرواتب'!$Z$3:$Z$502,0)),"")</f>
        <v/>
      </c>
      <c r="N161" s="60">
        <f>IFERROR(INDEX('الرواتب'!$Q$3:$Q$502,MATCH(155,'الرواتب'!$Z$3:$Z$502,0)),"")</f>
        <v/>
      </c>
      <c r="O161" s="60">
        <f>IFERROR(INDEX('الرواتب'!$R$3:$R$502,MATCH(155,'الرواتب'!$Z$3:$Z$502,0)),"")</f>
        <v/>
      </c>
      <c r="P161" s="60">
        <f>IFERROR(INDEX('الرواتب'!$T$3:$T$502,MATCH(155,'الرواتب'!$Z$3:$Z$502,0)),"")</f>
        <v/>
      </c>
      <c r="Q161" s="60">
        <f>IFERROR(INDEX('الرواتب'!$U$3:$U$502,MATCH(155,'الرواتب'!$Z$3:$Z$502,0)),"")</f>
        <v/>
      </c>
      <c r="R161" s="60">
        <f>IFERROR(INDEX('الرواتب'!$V$3:$V$502,MATCH(155,'الرواتب'!$Z$3:$Z$502,0)),"")</f>
        <v/>
      </c>
    </row>
    <row r="162">
      <c r="A162" s="50">
        <f>IFERROR(INDEX('الرواتب'!$C$3:$C$502,MATCH(156,'الرواتب'!$Z$3:$Z$502,0)),"")</f>
        <v/>
      </c>
      <c r="B162" s="50">
        <f>IFERROR(INDEX('الرواتب'!$D$3:$D$502,MATCH(156,'الرواتب'!$Z$3:$Z$502,0)),"")</f>
        <v/>
      </c>
      <c r="C162" s="50">
        <f>IFERROR(INDEX('الرواتب'!$E$3:$E$502,MATCH(156,'الرواتب'!$Z$3:$Z$502,0)),"")</f>
        <v/>
      </c>
      <c r="D162" s="63">
        <f>IFERROR(INDEX('الرواتب'!$G$3:$G$502,MATCH(156,'الرواتب'!$Z$3:$Z$502,0)),"")</f>
        <v/>
      </c>
      <c r="E162" s="63">
        <f>IFERROR(INDEX('الرواتب'!$H$3:$H$502,MATCH(156,'الرواتب'!$Z$3:$Z$502,0)),"")</f>
        <v/>
      </c>
      <c r="F162" s="63">
        <f>IFERROR(INDEX('الرواتب'!$I$3:$I$502,MATCH(156,'الرواتب'!$Z$3:$Z$502,0)),"")</f>
        <v/>
      </c>
      <c r="G162" s="63">
        <f>IFERROR(INDEX('الرواتب'!$J$3:$J$502,MATCH(156,'الرواتب'!$Z$3:$Z$502,0)),"")</f>
        <v/>
      </c>
      <c r="H162" s="63">
        <f>IFERROR(INDEX('الرواتب'!$K$3:$K$502,MATCH(156,'الرواتب'!$Z$3:$Z$502,0)),"")</f>
        <v/>
      </c>
      <c r="I162" s="63">
        <f>IFERROR(INDEX('الرواتب'!$L$3:$L$502,MATCH(156,'الرواتب'!$Z$3:$Z$502,0)),"")</f>
        <v/>
      </c>
      <c r="J162" s="63">
        <f>IFERROR(INDEX('الرواتب'!$S$3:$S$502,MATCH(156,'الرواتب'!$Z$3:$Z$502,0)),"")</f>
        <v/>
      </c>
      <c r="K162" s="63">
        <f>IFERROR(INDEX('الرواتب'!$N$3:$N$502,MATCH(156,'الرواتب'!$Z$3:$Z$502,0)),"")</f>
        <v/>
      </c>
      <c r="L162" s="63">
        <f>IFERROR(INDEX('الرواتب'!$O$3:$O$502,MATCH(156,'الرواتب'!$Z$3:$Z$502,0)),"")</f>
        <v/>
      </c>
      <c r="M162" s="63">
        <f>IFERROR(INDEX('الرواتب'!$P$3:$P$502,MATCH(156,'الرواتب'!$Z$3:$Z$502,0)),"")</f>
        <v/>
      </c>
      <c r="N162" s="63">
        <f>IFERROR(INDEX('الرواتب'!$Q$3:$Q$502,MATCH(156,'الرواتب'!$Z$3:$Z$502,0)),"")</f>
        <v/>
      </c>
      <c r="O162" s="63">
        <f>IFERROR(INDEX('الرواتب'!$R$3:$R$502,MATCH(156,'الرواتب'!$Z$3:$Z$502,0)),"")</f>
        <v/>
      </c>
      <c r="P162" s="63">
        <f>IFERROR(INDEX('الرواتب'!$T$3:$T$502,MATCH(156,'الرواتب'!$Z$3:$Z$502,0)),"")</f>
        <v/>
      </c>
      <c r="Q162" s="63">
        <f>IFERROR(INDEX('الرواتب'!$U$3:$U$502,MATCH(156,'الرواتب'!$Z$3:$Z$502,0)),"")</f>
        <v/>
      </c>
      <c r="R162" s="63">
        <f>IFERROR(INDEX('الرواتب'!$V$3:$V$502,MATCH(156,'الرواتب'!$Z$3:$Z$502,0)),"")</f>
        <v/>
      </c>
    </row>
    <row r="163">
      <c r="A163" s="43">
        <f>IFERROR(INDEX('الرواتب'!$C$3:$C$502,MATCH(157,'الرواتب'!$Z$3:$Z$502,0)),"")</f>
        <v/>
      </c>
      <c r="B163" s="43">
        <f>IFERROR(INDEX('الرواتب'!$D$3:$D$502,MATCH(157,'الرواتب'!$Z$3:$Z$502,0)),"")</f>
        <v/>
      </c>
      <c r="C163" s="43">
        <f>IFERROR(INDEX('الرواتب'!$E$3:$E$502,MATCH(157,'الرواتب'!$Z$3:$Z$502,0)),"")</f>
        <v/>
      </c>
      <c r="D163" s="60">
        <f>IFERROR(INDEX('الرواتب'!$G$3:$G$502,MATCH(157,'الرواتب'!$Z$3:$Z$502,0)),"")</f>
        <v/>
      </c>
      <c r="E163" s="60">
        <f>IFERROR(INDEX('الرواتب'!$H$3:$H$502,MATCH(157,'الرواتب'!$Z$3:$Z$502,0)),"")</f>
        <v/>
      </c>
      <c r="F163" s="60">
        <f>IFERROR(INDEX('الرواتب'!$I$3:$I$502,MATCH(157,'الرواتب'!$Z$3:$Z$502,0)),"")</f>
        <v/>
      </c>
      <c r="G163" s="60">
        <f>IFERROR(INDEX('الرواتب'!$J$3:$J$502,MATCH(157,'الرواتب'!$Z$3:$Z$502,0)),"")</f>
        <v/>
      </c>
      <c r="H163" s="60">
        <f>IFERROR(INDEX('الرواتب'!$K$3:$K$502,MATCH(157,'الرواتب'!$Z$3:$Z$502,0)),"")</f>
        <v/>
      </c>
      <c r="I163" s="60">
        <f>IFERROR(INDEX('الرواتب'!$L$3:$L$502,MATCH(157,'الرواتب'!$Z$3:$Z$502,0)),"")</f>
        <v/>
      </c>
      <c r="J163" s="60">
        <f>IFERROR(INDEX('الرواتب'!$S$3:$S$502,MATCH(157,'الرواتب'!$Z$3:$Z$502,0)),"")</f>
        <v/>
      </c>
      <c r="K163" s="60">
        <f>IFERROR(INDEX('الرواتب'!$N$3:$N$502,MATCH(157,'الرواتب'!$Z$3:$Z$502,0)),"")</f>
        <v/>
      </c>
      <c r="L163" s="60">
        <f>IFERROR(INDEX('الرواتب'!$O$3:$O$502,MATCH(157,'الرواتب'!$Z$3:$Z$502,0)),"")</f>
        <v/>
      </c>
      <c r="M163" s="60">
        <f>IFERROR(INDEX('الرواتب'!$P$3:$P$502,MATCH(157,'الرواتب'!$Z$3:$Z$502,0)),"")</f>
        <v/>
      </c>
      <c r="N163" s="60">
        <f>IFERROR(INDEX('الرواتب'!$Q$3:$Q$502,MATCH(157,'الرواتب'!$Z$3:$Z$502,0)),"")</f>
        <v/>
      </c>
      <c r="O163" s="60">
        <f>IFERROR(INDEX('الرواتب'!$R$3:$R$502,MATCH(157,'الرواتب'!$Z$3:$Z$502,0)),"")</f>
        <v/>
      </c>
      <c r="P163" s="60">
        <f>IFERROR(INDEX('الرواتب'!$T$3:$T$502,MATCH(157,'الرواتب'!$Z$3:$Z$502,0)),"")</f>
        <v/>
      </c>
      <c r="Q163" s="60">
        <f>IFERROR(INDEX('الرواتب'!$U$3:$U$502,MATCH(157,'الرواتب'!$Z$3:$Z$502,0)),"")</f>
        <v/>
      </c>
      <c r="R163" s="60">
        <f>IFERROR(INDEX('الرواتب'!$V$3:$V$502,MATCH(157,'الرواتب'!$Z$3:$Z$502,0)),"")</f>
        <v/>
      </c>
    </row>
    <row r="164">
      <c r="A164" s="50">
        <f>IFERROR(INDEX('الرواتب'!$C$3:$C$502,MATCH(158,'الرواتب'!$Z$3:$Z$502,0)),"")</f>
        <v/>
      </c>
      <c r="B164" s="50">
        <f>IFERROR(INDEX('الرواتب'!$D$3:$D$502,MATCH(158,'الرواتب'!$Z$3:$Z$502,0)),"")</f>
        <v/>
      </c>
      <c r="C164" s="50">
        <f>IFERROR(INDEX('الرواتب'!$E$3:$E$502,MATCH(158,'الرواتب'!$Z$3:$Z$502,0)),"")</f>
        <v/>
      </c>
      <c r="D164" s="63">
        <f>IFERROR(INDEX('الرواتب'!$G$3:$G$502,MATCH(158,'الرواتب'!$Z$3:$Z$502,0)),"")</f>
        <v/>
      </c>
      <c r="E164" s="63">
        <f>IFERROR(INDEX('الرواتب'!$H$3:$H$502,MATCH(158,'الرواتب'!$Z$3:$Z$502,0)),"")</f>
        <v/>
      </c>
      <c r="F164" s="63">
        <f>IFERROR(INDEX('الرواتب'!$I$3:$I$502,MATCH(158,'الرواتب'!$Z$3:$Z$502,0)),"")</f>
        <v/>
      </c>
      <c r="G164" s="63">
        <f>IFERROR(INDEX('الرواتب'!$J$3:$J$502,MATCH(158,'الرواتب'!$Z$3:$Z$502,0)),"")</f>
        <v/>
      </c>
      <c r="H164" s="63">
        <f>IFERROR(INDEX('الرواتب'!$K$3:$K$502,MATCH(158,'الرواتب'!$Z$3:$Z$502,0)),"")</f>
        <v/>
      </c>
      <c r="I164" s="63">
        <f>IFERROR(INDEX('الرواتب'!$L$3:$L$502,MATCH(158,'الرواتب'!$Z$3:$Z$502,0)),"")</f>
        <v/>
      </c>
      <c r="J164" s="63">
        <f>IFERROR(INDEX('الرواتب'!$S$3:$S$502,MATCH(158,'الرواتب'!$Z$3:$Z$502,0)),"")</f>
        <v/>
      </c>
      <c r="K164" s="63">
        <f>IFERROR(INDEX('الرواتب'!$N$3:$N$502,MATCH(158,'الرواتب'!$Z$3:$Z$502,0)),"")</f>
        <v/>
      </c>
      <c r="L164" s="63">
        <f>IFERROR(INDEX('الرواتب'!$O$3:$O$502,MATCH(158,'الرواتب'!$Z$3:$Z$502,0)),"")</f>
        <v/>
      </c>
      <c r="M164" s="63">
        <f>IFERROR(INDEX('الرواتب'!$P$3:$P$502,MATCH(158,'الرواتب'!$Z$3:$Z$502,0)),"")</f>
        <v/>
      </c>
      <c r="N164" s="63">
        <f>IFERROR(INDEX('الرواتب'!$Q$3:$Q$502,MATCH(158,'الرواتب'!$Z$3:$Z$502,0)),"")</f>
        <v/>
      </c>
      <c r="O164" s="63">
        <f>IFERROR(INDEX('الرواتب'!$R$3:$R$502,MATCH(158,'الرواتب'!$Z$3:$Z$502,0)),"")</f>
        <v/>
      </c>
      <c r="P164" s="63">
        <f>IFERROR(INDEX('الرواتب'!$T$3:$T$502,MATCH(158,'الرواتب'!$Z$3:$Z$502,0)),"")</f>
        <v/>
      </c>
      <c r="Q164" s="63">
        <f>IFERROR(INDEX('الرواتب'!$U$3:$U$502,MATCH(158,'الرواتب'!$Z$3:$Z$502,0)),"")</f>
        <v/>
      </c>
      <c r="R164" s="63">
        <f>IFERROR(INDEX('الرواتب'!$V$3:$V$502,MATCH(158,'الرواتب'!$Z$3:$Z$502,0)),"")</f>
        <v/>
      </c>
    </row>
    <row r="165">
      <c r="A165" s="43">
        <f>IFERROR(INDEX('الرواتب'!$C$3:$C$502,MATCH(159,'الرواتب'!$Z$3:$Z$502,0)),"")</f>
        <v/>
      </c>
      <c r="B165" s="43">
        <f>IFERROR(INDEX('الرواتب'!$D$3:$D$502,MATCH(159,'الرواتب'!$Z$3:$Z$502,0)),"")</f>
        <v/>
      </c>
      <c r="C165" s="43">
        <f>IFERROR(INDEX('الرواتب'!$E$3:$E$502,MATCH(159,'الرواتب'!$Z$3:$Z$502,0)),"")</f>
        <v/>
      </c>
      <c r="D165" s="60">
        <f>IFERROR(INDEX('الرواتب'!$G$3:$G$502,MATCH(159,'الرواتب'!$Z$3:$Z$502,0)),"")</f>
        <v/>
      </c>
      <c r="E165" s="60">
        <f>IFERROR(INDEX('الرواتب'!$H$3:$H$502,MATCH(159,'الرواتب'!$Z$3:$Z$502,0)),"")</f>
        <v/>
      </c>
      <c r="F165" s="60">
        <f>IFERROR(INDEX('الرواتب'!$I$3:$I$502,MATCH(159,'الرواتب'!$Z$3:$Z$502,0)),"")</f>
        <v/>
      </c>
      <c r="G165" s="60">
        <f>IFERROR(INDEX('الرواتب'!$J$3:$J$502,MATCH(159,'الرواتب'!$Z$3:$Z$502,0)),"")</f>
        <v/>
      </c>
      <c r="H165" s="60">
        <f>IFERROR(INDEX('الرواتب'!$K$3:$K$502,MATCH(159,'الرواتب'!$Z$3:$Z$502,0)),"")</f>
        <v/>
      </c>
      <c r="I165" s="60">
        <f>IFERROR(INDEX('الرواتب'!$L$3:$L$502,MATCH(159,'الرواتب'!$Z$3:$Z$502,0)),"")</f>
        <v/>
      </c>
      <c r="J165" s="60">
        <f>IFERROR(INDEX('الرواتب'!$S$3:$S$502,MATCH(159,'الرواتب'!$Z$3:$Z$502,0)),"")</f>
        <v/>
      </c>
      <c r="K165" s="60">
        <f>IFERROR(INDEX('الرواتب'!$N$3:$N$502,MATCH(159,'الرواتب'!$Z$3:$Z$502,0)),"")</f>
        <v/>
      </c>
      <c r="L165" s="60">
        <f>IFERROR(INDEX('الرواتب'!$O$3:$O$502,MATCH(159,'الرواتب'!$Z$3:$Z$502,0)),"")</f>
        <v/>
      </c>
      <c r="M165" s="60">
        <f>IFERROR(INDEX('الرواتب'!$P$3:$P$502,MATCH(159,'الرواتب'!$Z$3:$Z$502,0)),"")</f>
        <v/>
      </c>
      <c r="N165" s="60">
        <f>IFERROR(INDEX('الرواتب'!$Q$3:$Q$502,MATCH(159,'الرواتب'!$Z$3:$Z$502,0)),"")</f>
        <v/>
      </c>
      <c r="O165" s="60">
        <f>IFERROR(INDEX('الرواتب'!$R$3:$R$502,MATCH(159,'الرواتب'!$Z$3:$Z$502,0)),"")</f>
        <v/>
      </c>
      <c r="P165" s="60">
        <f>IFERROR(INDEX('الرواتب'!$T$3:$T$502,MATCH(159,'الرواتب'!$Z$3:$Z$502,0)),"")</f>
        <v/>
      </c>
      <c r="Q165" s="60">
        <f>IFERROR(INDEX('الرواتب'!$U$3:$U$502,MATCH(159,'الرواتب'!$Z$3:$Z$502,0)),"")</f>
        <v/>
      </c>
      <c r="R165" s="60">
        <f>IFERROR(INDEX('الرواتب'!$V$3:$V$502,MATCH(159,'الرواتب'!$Z$3:$Z$502,0)),"")</f>
        <v/>
      </c>
    </row>
    <row r="166">
      <c r="A166" s="50">
        <f>IFERROR(INDEX('الرواتب'!$C$3:$C$502,MATCH(160,'الرواتب'!$Z$3:$Z$502,0)),"")</f>
        <v/>
      </c>
      <c r="B166" s="50">
        <f>IFERROR(INDEX('الرواتب'!$D$3:$D$502,MATCH(160,'الرواتب'!$Z$3:$Z$502,0)),"")</f>
        <v/>
      </c>
      <c r="C166" s="50">
        <f>IFERROR(INDEX('الرواتب'!$E$3:$E$502,MATCH(160,'الرواتب'!$Z$3:$Z$502,0)),"")</f>
        <v/>
      </c>
      <c r="D166" s="63">
        <f>IFERROR(INDEX('الرواتب'!$G$3:$G$502,MATCH(160,'الرواتب'!$Z$3:$Z$502,0)),"")</f>
        <v/>
      </c>
      <c r="E166" s="63">
        <f>IFERROR(INDEX('الرواتب'!$H$3:$H$502,MATCH(160,'الرواتب'!$Z$3:$Z$502,0)),"")</f>
        <v/>
      </c>
      <c r="F166" s="63">
        <f>IFERROR(INDEX('الرواتب'!$I$3:$I$502,MATCH(160,'الرواتب'!$Z$3:$Z$502,0)),"")</f>
        <v/>
      </c>
      <c r="G166" s="63">
        <f>IFERROR(INDEX('الرواتب'!$J$3:$J$502,MATCH(160,'الرواتب'!$Z$3:$Z$502,0)),"")</f>
        <v/>
      </c>
      <c r="H166" s="63">
        <f>IFERROR(INDEX('الرواتب'!$K$3:$K$502,MATCH(160,'الرواتب'!$Z$3:$Z$502,0)),"")</f>
        <v/>
      </c>
      <c r="I166" s="63">
        <f>IFERROR(INDEX('الرواتب'!$L$3:$L$502,MATCH(160,'الرواتب'!$Z$3:$Z$502,0)),"")</f>
        <v/>
      </c>
      <c r="J166" s="63">
        <f>IFERROR(INDEX('الرواتب'!$S$3:$S$502,MATCH(160,'الرواتب'!$Z$3:$Z$502,0)),"")</f>
        <v/>
      </c>
      <c r="K166" s="63">
        <f>IFERROR(INDEX('الرواتب'!$N$3:$N$502,MATCH(160,'الرواتب'!$Z$3:$Z$502,0)),"")</f>
        <v/>
      </c>
      <c r="L166" s="63">
        <f>IFERROR(INDEX('الرواتب'!$O$3:$O$502,MATCH(160,'الرواتب'!$Z$3:$Z$502,0)),"")</f>
        <v/>
      </c>
      <c r="M166" s="63">
        <f>IFERROR(INDEX('الرواتب'!$P$3:$P$502,MATCH(160,'الرواتب'!$Z$3:$Z$502,0)),"")</f>
        <v/>
      </c>
      <c r="N166" s="63">
        <f>IFERROR(INDEX('الرواتب'!$Q$3:$Q$502,MATCH(160,'الرواتب'!$Z$3:$Z$502,0)),"")</f>
        <v/>
      </c>
      <c r="O166" s="63">
        <f>IFERROR(INDEX('الرواتب'!$R$3:$R$502,MATCH(160,'الرواتب'!$Z$3:$Z$502,0)),"")</f>
        <v/>
      </c>
      <c r="P166" s="63">
        <f>IFERROR(INDEX('الرواتب'!$T$3:$T$502,MATCH(160,'الرواتب'!$Z$3:$Z$502,0)),"")</f>
        <v/>
      </c>
      <c r="Q166" s="63">
        <f>IFERROR(INDEX('الرواتب'!$U$3:$U$502,MATCH(160,'الرواتب'!$Z$3:$Z$502,0)),"")</f>
        <v/>
      </c>
      <c r="R166" s="63">
        <f>IFERROR(INDEX('الرواتب'!$V$3:$V$502,MATCH(160,'الرواتب'!$Z$3:$Z$502,0)),"")</f>
        <v/>
      </c>
    </row>
    <row r="167">
      <c r="A167" s="43">
        <f>IFERROR(INDEX('الرواتب'!$C$3:$C$502,MATCH(161,'الرواتب'!$Z$3:$Z$502,0)),"")</f>
        <v/>
      </c>
      <c r="B167" s="43">
        <f>IFERROR(INDEX('الرواتب'!$D$3:$D$502,MATCH(161,'الرواتب'!$Z$3:$Z$502,0)),"")</f>
        <v/>
      </c>
      <c r="C167" s="43">
        <f>IFERROR(INDEX('الرواتب'!$E$3:$E$502,MATCH(161,'الرواتب'!$Z$3:$Z$502,0)),"")</f>
        <v/>
      </c>
      <c r="D167" s="60">
        <f>IFERROR(INDEX('الرواتب'!$G$3:$G$502,MATCH(161,'الرواتب'!$Z$3:$Z$502,0)),"")</f>
        <v/>
      </c>
      <c r="E167" s="60">
        <f>IFERROR(INDEX('الرواتب'!$H$3:$H$502,MATCH(161,'الرواتب'!$Z$3:$Z$502,0)),"")</f>
        <v/>
      </c>
      <c r="F167" s="60">
        <f>IFERROR(INDEX('الرواتب'!$I$3:$I$502,MATCH(161,'الرواتب'!$Z$3:$Z$502,0)),"")</f>
        <v/>
      </c>
      <c r="G167" s="60">
        <f>IFERROR(INDEX('الرواتب'!$J$3:$J$502,MATCH(161,'الرواتب'!$Z$3:$Z$502,0)),"")</f>
        <v/>
      </c>
      <c r="H167" s="60">
        <f>IFERROR(INDEX('الرواتب'!$K$3:$K$502,MATCH(161,'الرواتب'!$Z$3:$Z$502,0)),"")</f>
        <v/>
      </c>
      <c r="I167" s="60">
        <f>IFERROR(INDEX('الرواتب'!$L$3:$L$502,MATCH(161,'الرواتب'!$Z$3:$Z$502,0)),"")</f>
        <v/>
      </c>
      <c r="J167" s="60">
        <f>IFERROR(INDEX('الرواتب'!$S$3:$S$502,MATCH(161,'الرواتب'!$Z$3:$Z$502,0)),"")</f>
        <v/>
      </c>
      <c r="K167" s="60">
        <f>IFERROR(INDEX('الرواتب'!$N$3:$N$502,MATCH(161,'الرواتب'!$Z$3:$Z$502,0)),"")</f>
        <v/>
      </c>
      <c r="L167" s="60">
        <f>IFERROR(INDEX('الرواتب'!$O$3:$O$502,MATCH(161,'الرواتب'!$Z$3:$Z$502,0)),"")</f>
        <v/>
      </c>
      <c r="M167" s="60">
        <f>IFERROR(INDEX('الرواتب'!$P$3:$P$502,MATCH(161,'الرواتب'!$Z$3:$Z$502,0)),"")</f>
        <v/>
      </c>
      <c r="N167" s="60">
        <f>IFERROR(INDEX('الرواتب'!$Q$3:$Q$502,MATCH(161,'الرواتب'!$Z$3:$Z$502,0)),"")</f>
        <v/>
      </c>
      <c r="O167" s="60">
        <f>IFERROR(INDEX('الرواتب'!$R$3:$R$502,MATCH(161,'الرواتب'!$Z$3:$Z$502,0)),"")</f>
        <v/>
      </c>
      <c r="P167" s="60">
        <f>IFERROR(INDEX('الرواتب'!$T$3:$T$502,MATCH(161,'الرواتب'!$Z$3:$Z$502,0)),"")</f>
        <v/>
      </c>
      <c r="Q167" s="60">
        <f>IFERROR(INDEX('الرواتب'!$U$3:$U$502,MATCH(161,'الرواتب'!$Z$3:$Z$502,0)),"")</f>
        <v/>
      </c>
      <c r="R167" s="60">
        <f>IFERROR(INDEX('الرواتب'!$V$3:$V$502,MATCH(161,'الرواتب'!$Z$3:$Z$502,0)),"")</f>
        <v/>
      </c>
    </row>
    <row r="168">
      <c r="A168" s="50">
        <f>IFERROR(INDEX('الرواتب'!$C$3:$C$502,MATCH(162,'الرواتب'!$Z$3:$Z$502,0)),"")</f>
        <v/>
      </c>
      <c r="B168" s="50">
        <f>IFERROR(INDEX('الرواتب'!$D$3:$D$502,MATCH(162,'الرواتب'!$Z$3:$Z$502,0)),"")</f>
        <v/>
      </c>
      <c r="C168" s="50">
        <f>IFERROR(INDEX('الرواتب'!$E$3:$E$502,MATCH(162,'الرواتب'!$Z$3:$Z$502,0)),"")</f>
        <v/>
      </c>
      <c r="D168" s="63">
        <f>IFERROR(INDEX('الرواتب'!$G$3:$G$502,MATCH(162,'الرواتب'!$Z$3:$Z$502,0)),"")</f>
        <v/>
      </c>
      <c r="E168" s="63">
        <f>IFERROR(INDEX('الرواتب'!$H$3:$H$502,MATCH(162,'الرواتب'!$Z$3:$Z$502,0)),"")</f>
        <v/>
      </c>
      <c r="F168" s="63">
        <f>IFERROR(INDEX('الرواتب'!$I$3:$I$502,MATCH(162,'الرواتب'!$Z$3:$Z$502,0)),"")</f>
        <v/>
      </c>
      <c r="G168" s="63">
        <f>IFERROR(INDEX('الرواتب'!$J$3:$J$502,MATCH(162,'الرواتب'!$Z$3:$Z$502,0)),"")</f>
        <v/>
      </c>
      <c r="H168" s="63">
        <f>IFERROR(INDEX('الرواتب'!$K$3:$K$502,MATCH(162,'الرواتب'!$Z$3:$Z$502,0)),"")</f>
        <v/>
      </c>
      <c r="I168" s="63">
        <f>IFERROR(INDEX('الرواتب'!$L$3:$L$502,MATCH(162,'الرواتب'!$Z$3:$Z$502,0)),"")</f>
        <v/>
      </c>
      <c r="J168" s="63">
        <f>IFERROR(INDEX('الرواتب'!$S$3:$S$502,MATCH(162,'الرواتب'!$Z$3:$Z$502,0)),"")</f>
        <v/>
      </c>
      <c r="K168" s="63">
        <f>IFERROR(INDEX('الرواتب'!$N$3:$N$502,MATCH(162,'الرواتب'!$Z$3:$Z$502,0)),"")</f>
        <v/>
      </c>
      <c r="L168" s="63">
        <f>IFERROR(INDEX('الرواتب'!$O$3:$O$502,MATCH(162,'الرواتب'!$Z$3:$Z$502,0)),"")</f>
        <v/>
      </c>
      <c r="M168" s="63">
        <f>IFERROR(INDEX('الرواتب'!$P$3:$P$502,MATCH(162,'الرواتب'!$Z$3:$Z$502,0)),"")</f>
        <v/>
      </c>
      <c r="N168" s="63">
        <f>IFERROR(INDEX('الرواتب'!$Q$3:$Q$502,MATCH(162,'الرواتب'!$Z$3:$Z$502,0)),"")</f>
        <v/>
      </c>
      <c r="O168" s="63">
        <f>IFERROR(INDEX('الرواتب'!$R$3:$R$502,MATCH(162,'الرواتب'!$Z$3:$Z$502,0)),"")</f>
        <v/>
      </c>
      <c r="P168" s="63">
        <f>IFERROR(INDEX('الرواتب'!$T$3:$T$502,MATCH(162,'الرواتب'!$Z$3:$Z$502,0)),"")</f>
        <v/>
      </c>
      <c r="Q168" s="63">
        <f>IFERROR(INDEX('الرواتب'!$U$3:$U$502,MATCH(162,'الرواتب'!$Z$3:$Z$502,0)),"")</f>
        <v/>
      </c>
      <c r="R168" s="63">
        <f>IFERROR(INDEX('الرواتب'!$V$3:$V$502,MATCH(162,'الرواتب'!$Z$3:$Z$502,0)),"")</f>
        <v/>
      </c>
    </row>
    <row r="169">
      <c r="A169" s="43">
        <f>IFERROR(INDEX('الرواتب'!$C$3:$C$502,MATCH(163,'الرواتب'!$Z$3:$Z$502,0)),"")</f>
        <v/>
      </c>
      <c r="B169" s="43">
        <f>IFERROR(INDEX('الرواتب'!$D$3:$D$502,MATCH(163,'الرواتب'!$Z$3:$Z$502,0)),"")</f>
        <v/>
      </c>
      <c r="C169" s="43">
        <f>IFERROR(INDEX('الرواتب'!$E$3:$E$502,MATCH(163,'الرواتب'!$Z$3:$Z$502,0)),"")</f>
        <v/>
      </c>
      <c r="D169" s="60">
        <f>IFERROR(INDEX('الرواتب'!$G$3:$G$502,MATCH(163,'الرواتب'!$Z$3:$Z$502,0)),"")</f>
        <v/>
      </c>
      <c r="E169" s="60">
        <f>IFERROR(INDEX('الرواتب'!$H$3:$H$502,MATCH(163,'الرواتب'!$Z$3:$Z$502,0)),"")</f>
        <v/>
      </c>
      <c r="F169" s="60">
        <f>IFERROR(INDEX('الرواتب'!$I$3:$I$502,MATCH(163,'الرواتب'!$Z$3:$Z$502,0)),"")</f>
        <v/>
      </c>
      <c r="G169" s="60">
        <f>IFERROR(INDEX('الرواتب'!$J$3:$J$502,MATCH(163,'الرواتب'!$Z$3:$Z$502,0)),"")</f>
        <v/>
      </c>
      <c r="H169" s="60">
        <f>IFERROR(INDEX('الرواتب'!$K$3:$K$502,MATCH(163,'الرواتب'!$Z$3:$Z$502,0)),"")</f>
        <v/>
      </c>
      <c r="I169" s="60">
        <f>IFERROR(INDEX('الرواتب'!$L$3:$L$502,MATCH(163,'الرواتب'!$Z$3:$Z$502,0)),"")</f>
        <v/>
      </c>
      <c r="J169" s="60">
        <f>IFERROR(INDEX('الرواتب'!$S$3:$S$502,MATCH(163,'الرواتب'!$Z$3:$Z$502,0)),"")</f>
        <v/>
      </c>
      <c r="K169" s="60">
        <f>IFERROR(INDEX('الرواتب'!$N$3:$N$502,MATCH(163,'الرواتب'!$Z$3:$Z$502,0)),"")</f>
        <v/>
      </c>
      <c r="L169" s="60">
        <f>IFERROR(INDEX('الرواتب'!$O$3:$O$502,MATCH(163,'الرواتب'!$Z$3:$Z$502,0)),"")</f>
        <v/>
      </c>
      <c r="M169" s="60">
        <f>IFERROR(INDEX('الرواتب'!$P$3:$P$502,MATCH(163,'الرواتب'!$Z$3:$Z$502,0)),"")</f>
        <v/>
      </c>
      <c r="N169" s="60">
        <f>IFERROR(INDEX('الرواتب'!$Q$3:$Q$502,MATCH(163,'الرواتب'!$Z$3:$Z$502,0)),"")</f>
        <v/>
      </c>
      <c r="O169" s="60">
        <f>IFERROR(INDEX('الرواتب'!$R$3:$R$502,MATCH(163,'الرواتب'!$Z$3:$Z$502,0)),"")</f>
        <v/>
      </c>
      <c r="P169" s="60">
        <f>IFERROR(INDEX('الرواتب'!$T$3:$T$502,MATCH(163,'الرواتب'!$Z$3:$Z$502,0)),"")</f>
        <v/>
      </c>
      <c r="Q169" s="60">
        <f>IFERROR(INDEX('الرواتب'!$U$3:$U$502,MATCH(163,'الرواتب'!$Z$3:$Z$502,0)),"")</f>
        <v/>
      </c>
      <c r="R169" s="60">
        <f>IFERROR(INDEX('الرواتب'!$V$3:$V$502,MATCH(163,'الرواتب'!$Z$3:$Z$502,0)),"")</f>
        <v/>
      </c>
    </row>
    <row r="170">
      <c r="A170" s="50">
        <f>IFERROR(INDEX('الرواتب'!$C$3:$C$502,MATCH(164,'الرواتب'!$Z$3:$Z$502,0)),"")</f>
        <v/>
      </c>
      <c r="B170" s="50">
        <f>IFERROR(INDEX('الرواتب'!$D$3:$D$502,MATCH(164,'الرواتب'!$Z$3:$Z$502,0)),"")</f>
        <v/>
      </c>
      <c r="C170" s="50">
        <f>IFERROR(INDEX('الرواتب'!$E$3:$E$502,MATCH(164,'الرواتب'!$Z$3:$Z$502,0)),"")</f>
        <v/>
      </c>
      <c r="D170" s="63">
        <f>IFERROR(INDEX('الرواتب'!$G$3:$G$502,MATCH(164,'الرواتب'!$Z$3:$Z$502,0)),"")</f>
        <v/>
      </c>
      <c r="E170" s="63">
        <f>IFERROR(INDEX('الرواتب'!$H$3:$H$502,MATCH(164,'الرواتب'!$Z$3:$Z$502,0)),"")</f>
        <v/>
      </c>
      <c r="F170" s="63">
        <f>IFERROR(INDEX('الرواتب'!$I$3:$I$502,MATCH(164,'الرواتب'!$Z$3:$Z$502,0)),"")</f>
        <v/>
      </c>
      <c r="G170" s="63">
        <f>IFERROR(INDEX('الرواتب'!$J$3:$J$502,MATCH(164,'الرواتب'!$Z$3:$Z$502,0)),"")</f>
        <v/>
      </c>
      <c r="H170" s="63">
        <f>IFERROR(INDEX('الرواتب'!$K$3:$K$502,MATCH(164,'الرواتب'!$Z$3:$Z$502,0)),"")</f>
        <v/>
      </c>
      <c r="I170" s="63">
        <f>IFERROR(INDEX('الرواتب'!$L$3:$L$502,MATCH(164,'الرواتب'!$Z$3:$Z$502,0)),"")</f>
        <v/>
      </c>
      <c r="J170" s="63">
        <f>IFERROR(INDEX('الرواتب'!$S$3:$S$502,MATCH(164,'الرواتب'!$Z$3:$Z$502,0)),"")</f>
        <v/>
      </c>
      <c r="K170" s="63">
        <f>IFERROR(INDEX('الرواتب'!$N$3:$N$502,MATCH(164,'الرواتب'!$Z$3:$Z$502,0)),"")</f>
        <v/>
      </c>
      <c r="L170" s="63">
        <f>IFERROR(INDEX('الرواتب'!$O$3:$O$502,MATCH(164,'الرواتب'!$Z$3:$Z$502,0)),"")</f>
        <v/>
      </c>
      <c r="M170" s="63">
        <f>IFERROR(INDEX('الرواتب'!$P$3:$P$502,MATCH(164,'الرواتب'!$Z$3:$Z$502,0)),"")</f>
        <v/>
      </c>
      <c r="N170" s="63">
        <f>IFERROR(INDEX('الرواتب'!$Q$3:$Q$502,MATCH(164,'الرواتب'!$Z$3:$Z$502,0)),"")</f>
        <v/>
      </c>
      <c r="O170" s="63">
        <f>IFERROR(INDEX('الرواتب'!$R$3:$R$502,MATCH(164,'الرواتب'!$Z$3:$Z$502,0)),"")</f>
        <v/>
      </c>
      <c r="P170" s="63">
        <f>IFERROR(INDEX('الرواتب'!$T$3:$T$502,MATCH(164,'الرواتب'!$Z$3:$Z$502,0)),"")</f>
        <v/>
      </c>
      <c r="Q170" s="63">
        <f>IFERROR(INDEX('الرواتب'!$U$3:$U$502,MATCH(164,'الرواتب'!$Z$3:$Z$502,0)),"")</f>
        <v/>
      </c>
      <c r="R170" s="63">
        <f>IFERROR(INDEX('الرواتب'!$V$3:$V$502,MATCH(164,'الرواتب'!$Z$3:$Z$502,0)),"")</f>
        <v/>
      </c>
    </row>
    <row r="171">
      <c r="A171" s="43">
        <f>IFERROR(INDEX('الرواتب'!$C$3:$C$502,MATCH(165,'الرواتب'!$Z$3:$Z$502,0)),"")</f>
        <v/>
      </c>
      <c r="B171" s="43">
        <f>IFERROR(INDEX('الرواتب'!$D$3:$D$502,MATCH(165,'الرواتب'!$Z$3:$Z$502,0)),"")</f>
        <v/>
      </c>
      <c r="C171" s="43">
        <f>IFERROR(INDEX('الرواتب'!$E$3:$E$502,MATCH(165,'الرواتب'!$Z$3:$Z$502,0)),"")</f>
        <v/>
      </c>
      <c r="D171" s="60">
        <f>IFERROR(INDEX('الرواتب'!$G$3:$G$502,MATCH(165,'الرواتب'!$Z$3:$Z$502,0)),"")</f>
        <v/>
      </c>
      <c r="E171" s="60">
        <f>IFERROR(INDEX('الرواتب'!$H$3:$H$502,MATCH(165,'الرواتب'!$Z$3:$Z$502,0)),"")</f>
        <v/>
      </c>
      <c r="F171" s="60">
        <f>IFERROR(INDEX('الرواتب'!$I$3:$I$502,MATCH(165,'الرواتب'!$Z$3:$Z$502,0)),"")</f>
        <v/>
      </c>
      <c r="G171" s="60">
        <f>IFERROR(INDEX('الرواتب'!$J$3:$J$502,MATCH(165,'الرواتب'!$Z$3:$Z$502,0)),"")</f>
        <v/>
      </c>
      <c r="H171" s="60">
        <f>IFERROR(INDEX('الرواتب'!$K$3:$K$502,MATCH(165,'الرواتب'!$Z$3:$Z$502,0)),"")</f>
        <v/>
      </c>
      <c r="I171" s="60">
        <f>IFERROR(INDEX('الرواتب'!$L$3:$L$502,MATCH(165,'الرواتب'!$Z$3:$Z$502,0)),"")</f>
        <v/>
      </c>
      <c r="J171" s="60">
        <f>IFERROR(INDEX('الرواتب'!$S$3:$S$502,MATCH(165,'الرواتب'!$Z$3:$Z$502,0)),"")</f>
        <v/>
      </c>
      <c r="K171" s="60">
        <f>IFERROR(INDEX('الرواتب'!$N$3:$N$502,MATCH(165,'الرواتب'!$Z$3:$Z$502,0)),"")</f>
        <v/>
      </c>
      <c r="L171" s="60">
        <f>IFERROR(INDEX('الرواتب'!$O$3:$O$502,MATCH(165,'الرواتب'!$Z$3:$Z$502,0)),"")</f>
        <v/>
      </c>
      <c r="M171" s="60">
        <f>IFERROR(INDEX('الرواتب'!$P$3:$P$502,MATCH(165,'الرواتب'!$Z$3:$Z$502,0)),"")</f>
        <v/>
      </c>
      <c r="N171" s="60">
        <f>IFERROR(INDEX('الرواتب'!$Q$3:$Q$502,MATCH(165,'الرواتب'!$Z$3:$Z$502,0)),"")</f>
        <v/>
      </c>
      <c r="O171" s="60">
        <f>IFERROR(INDEX('الرواتب'!$R$3:$R$502,MATCH(165,'الرواتب'!$Z$3:$Z$502,0)),"")</f>
        <v/>
      </c>
      <c r="P171" s="60">
        <f>IFERROR(INDEX('الرواتب'!$T$3:$T$502,MATCH(165,'الرواتب'!$Z$3:$Z$502,0)),"")</f>
        <v/>
      </c>
      <c r="Q171" s="60">
        <f>IFERROR(INDEX('الرواتب'!$U$3:$U$502,MATCH(165,'الرواتب'!$Z$3:$Z$502,0)),"")</f>
        <v/>
      </c>
      <c r="R171" s="60">
        <f>IFERROR(INDEX('الرواتب'!$V$3:$V$502,MATCH(165,'الرواتب'!$Z$3:$Z$502,0)),"")</f>
        <v/>
      </c>
    </row>
    <row r="172">
      <c r="A172" s="50">
        <f>IFERROR(INDEX('الرواتب'!$C$3:$C$502,MATCH(166,'الرواتب'!$Z$3:$Z$502,0)),"")</f>
        <v/>
      </c>
      <c r="B172" s="50">
        <f>IFERROR(INDEX('الرواتب'!$D$3:$D$502,MATCH(166,'الرواتب'!$Z$3:$Z$502,0)),"")</f>
        <v/>
      </c>
      <c r="C172" s="50">
        <f>IFERROR(INDEX('الرواتب'!$E$3:$E$502,MATCH(166,'الرواتب'!$Z$3:$Z$502,0)),"")</f>
        <v/>
      </c>
      <c r="D172" s="63">
        <f>IFERROR(INDEX('الرواتب'!$G$3:$G$502,MATCH(166,'الرواتب'!$Z$3:$Z$502,0)),"")</f>
        <v/>
      </c>
      <c r="E172" s="63">
        <f>IFERROR(INDEX('الرواتب'!$H$3:$H$502,MATCH(166,'الرواتب'!$Z$3:$Z$502,0)),"")</f>
        <v/>
      </c>
      <c r="F172" s="63">
        <f>IFERROR(INDEX('الرواتب'!$I$3:$I$502,MATCH(166,'الرواتب'!$Z$3:$Z$502,0)),"")</f>
        <v/>
      </c>
      <c r="G172" s="63">
        <f>IFERROR(INDEX('الرواتب'!$J$3:$J$502,MATCH(166,'الرواتب'!$Z$3:$Z$502,0)),"")</f>
        <v/>
      </c>
      <c r="H172" s="63">
        <f>IFERROR(INDEX('الرواتب'!$K$3:$K$502,MATCH(166,'الرواتب'!$Z$3:$Z$502,0)),"")</f>
        <v/>
      </c>
      <c r="I172" s="63">
        <f>IFERROR(INDEX('الرواتب'!$L$3:$L$502,MATCH(166,'الرواتب'!$Z$3:$Z$502,0)),"")</f>
        <v/>
      </c>
      <c r="J172" s="63">
        <f>IFERROR(INDEX('الرواتب'!$S$3:$S$502,MATCH(166,'الرواتب'!$Z$3:$Z$502,0)),"")</f>
        <v/>
      </c>
      <c r="K172" s="63">
        <f>IFERROR(INDEX('الرواتب'!$N$3:$N$502,MATCH(166,'الرواتب'!$Z$3:$Z$502,0)),"")</f>
        <v/>
      </c>
      <c r="L172" s="63">
        <f>IFERROR(INDEX('الرواتب'!$O$3:$O$502,MATCH(166,'الرواتب'!$Z$3:$Z$502,0)),"")</f>
        <v/>
      </c>
      <c r="M172" s="63">
        <f>IFERROR(INDEX('الرواتب'!$P$3:$P$502,MATCH(166,'الرواتب'!$Z$3:$Z$502,0)),"")</f>
        <v/>
      </c>
      <c r="N172" s="63">
        <f>IFERROR(INDEX('الرواتب'!$Q$3:$Q$502,MATCH(166,'الرواتب'!$Z$3:$Z$502,0)),"")</f>
        <v/>
      </c>
      <c r="O172" s="63">
        <f>IFERROR(INDEX('الرواتب'!$R$3:$R$502,MATCH(166,'الرواتب'!$Z$3:$Z$502,0)),"")</f>
        <v/>
      </c>
      <c r="P172" s="63">
        <f>IFERROR(INDEX('الرواتب'!$T$3:$T$502,MATCH(166,'الرواتب'!$Z$3:$Z$502,0)),"")</f>
        <v/>
      </c>
      <c r="Q172" s="63">
        <f>IFERROR(INDEX('الرواتب'!$U$3:$U$502,MATCH(166,'الرواتب'!$Z$3:$Z$502,0)),"")</f>
        <v/>
      </c>
      <c r="R172" s="63">
        <f>IFERROR(INDEX('الرواتب'!$V$3:$V$502,MATCH(166,'الرواتب'!$Z$3:$Z$502,0)),"")</f>
        <v/>
      </c>
    </row>
    <row r="173">
      <c r="A173" s="43">
        <f>IFERROR(INDEX('الرواتب'!$C$3:$C$502,MATCH(167,'الرواتب'!$Z$3:$Z$502,0)),"")</f>
        <v/>
      </c>
      <c r="B173" s="43">
        <f>IFERROR(INDEX('الرواتب'!$D$3:$D$502,MATCH(167,'الرواتب'!$Z$3:$Z$502,0)),"")</f>
        <v/>
      </c>
      <c r="C173" s="43">
        <f>IFERROR(INDEX('الرواتب'!$E$3:$E$502,MATCH(167,'الرواتب'!$Z$3:$Z$502,0)),"")</f>
        <v/>
      </c>
      <c r="D173" s="60">
        <f>IFERROR(INDEX('الرواتب'!$G$3:$G$502,MATCH(167,'الرواتب'!$Z$3:$Z$502,0)),"")</f>
        <v/>
      </c>
      <c r="E173" s="60">
        <f>IFERROR(INDEX('الرواتب'!$H$3:$H$502,MATCH(167,'الرواتب'!$Z$3:$Z$502,0)),"")</f>
        <v/>
      </c>
      <c r="F173" s="60">
        <f>IFERROR(INDEX('الرواتب'!$I$3:$I$502,MATCH(167,'الرواتب'!$Z$3:$Z$502,0)),"")</f>
        <v/>
      </c>
      <c r="G173" s="60">
        <f>IFERROR(INDEX('الرواتب'!$J$3:$J$502,MATCH(167,'الرواتب'!$Z$3:$Z$502,0)),"")</f>
        <v/>
      </c>
      <c r="H173" s="60">
        <f>IFERROR(INDEX('الرواتب'!$K$3:$K$502,MATCH(167,'الرواتب'!$Z$3:$Z$502,0)),"")</f>
        <v/>
      </c>
      <c r="I173" s="60">
        <f>IFERROR(INDEX('الرواتب'!$L$3:$L$502,MATCH(167,'الرواتب'!$Z$3:$Z$502,0)),"")</f>
        <v/>
      </c>
      <c r="J173" s="60">
        <f>IFERROR(INDEX('الرواتب'!$S$3:$S$502,MATCH(167,'الرواتب'!$Z$3:$Z$502,0)),"")</f>
        <v/>
      </c>
      <c r="K173" s="60">
        <f>IFERROR(INDEX('الرواتب'!$N$3:$N$502,MATCH(167,'الرواتب'!$Z$3:$Z$502,0)),"")</f>
        <v/>
      </c>
      <c r="L173" s="60">
        <f>IFERROR(INDEX('الرواتب'!$O$3:$O$502,MATCH(167,'الرواتب'!$Z$3:$Z$502,0)),"")</f>
        <v/>
      </c>
      <c r="M173" s="60">
        <f>IFERROR(INDEX('الرواتب'!$P$3:$P$502,MATCH(167,'الرواتب'!$Z$3:$Z$502,0)),"")</f>
        <v/>
      </c>
      <c r="N173" s="60">
        <f>IFERROR(INDEX('الرواتب'!$Q$3:$Q$502,MATCH(167,'الرواتب'!$Z$3:$Z$502,0)),"")</f>
        <v/>
      </c>
      <c r="O173" s="60">
        <f>IFERROR(INDEX('الرواتب'!$R$3:$R$502,MATCH(167,'الرواتب'!$Z$3:$Z$502,0)),"")</f>
        <v/>
      </c>
      <c r="P173" s="60">
        <f>IFERROR(INDEX('الرواتب'!$T$3:$T$502,MATCH(167,'الرواتب'!$Z$3:$Z$502,0)),"")</f>
        <v/>
      </c>
      <c r="Q173" s="60">
        <f>IFERROR(INDEX('الرواتب'!$U$3:$U$502,MATCH(167,'الرواتب'!$Z$3:$Z$502,0)),"")</f>
        <v/>
      </c>
      <c r="R173" s="60">
        <f>IFERROR(INDEX('الرواتب'!$V$3:$V$502,MATCH(167,'الرواتب'!$Z$3:$Z$502,0)),"")</f>
        <v/>
      </c>
    </row>
    <row r="174">
      <c r="A174" s="50">
        <f>IFERROR(INDEX('الرواتب'!$C$3:$C$502,MATCH(168,'الرواتب'!$Z$3:$Z$502,0)),"")</f>
        <v/>
      </c>
      <c r="B174" s="50">
        <f>IFERROR(INDEX('الرواتب'!$D$3:$D$502,MATCH(168,'الرواتب'!$Z$3:$Z$502,0)),"")</f>
        <v/>
      </c>
      <c r="C174" s="50">
        <f>IFERROR(INDEX('الرواتب'!$E$3:$E$502,MATCH(168,'الرواتب'!$Z$3:$Z$502,0)),"")</f>
        <v/>
      </c>
      <c r="D174" s="63">
        <f>IFERROR(INDEX('الرواتب'!$G$3:$G$502,MATCH(168,'الرواتب'!$Z$3:$Z$502,0)),"")</f>
        <v/>
      </c>
      <c r="E174" s="63">
        <f>IFERROR(INDEX('الرواتب'!$H$3:$H$502,MATCH(168,'الرواتب'!$Z$3:$Z$502,0)),"")</f>
        <v/>
      </c>
      <c r="F174" s="63">
        <f>IFERROR(INDEX('الرواتب'!$I$3:$I$502,MATCH(168,'الرواتب'!$Z$3:$Z$502,0)),"")</f>
        <v/>
      </c>
      <c r="G174" s="63">
        <f>IFERROR(INDEX('الرواتب'!$J$3:$J$502,MATCH(168,'الرواتب'!$Z$3:$Z$502,0)),"")</f>
        <v/>
      </c>
      <c r="H174" s="63">
        <f>IFERROR(INDEX('الرواتب'!$K$3:$K$502,MATCH(168,'الرواتب'!$Z$3:$Z$502,0)),"")</f>
        <v/>
      </c>
      <c r="I174" s="63">
        <f>IFERROR(INDEX('الرواتب'!$L$3:$L$502,MATCH(168,'الرواتب'!$Z$3:$Z$502,0)),"")</f>
        <v/>
      </c>
      <c r="J174" s="63">
        <f>IFERROR(INDEX('الرواتب'!$S$3:$S$502,MATCH(168,'الرواتب'!$Z$3:$Z$502,0)),"")</f>
        <v/>
      </c>
      <c r="K174" s="63">
        <f>IFERROR(INDEX('الرواتب'!$N$3:$N$502,MATCH(168,'الرواتب'!$Z$3:$Z$502,0)),"")</f>
        <v/>
      </c>
      <c r="L174" s="63">
        <f>IFERROR(INDEX('الرواتب'!$O$3:$O$502,MATCH(168,'الرواتب'!$Z$3:$Z$502,0)),"")</f>
        <v/>
      </c>
      <c r="M174" s="63">
        <f>IFERROR(INDEX('الرواتب'!$P$3:$P$502,MATCH(168,'الرواتب'!$Z$3:$Z$502,0)),"")</f>
        <v/>
      </c>
      <c r="N174" s="63">
        <f>IFERROR(INDEX('الرواتب'!$Q$3:$Q$502,MATCH(168,'الرواتب'!$Z$3:$Z$502,0)),"")</f>
        <v/>
      </c>
      <c r="O174" s="63">
        <f>IFERROR(INDEX('الرواتب'!$R$3:$R$502,MATCH(168,'الرواتب'!$Z$3:$Z$502,0)),"")</f>
        <v/>
      </c>
      <c r="P174" s="63">
        <f>IFERROR(INDEX('الرواتب'!$T$3:$T$502,MATCH(168,'الرواتب'!$Z$3:$Z$502,0)),"")</f>
        <v/>
      </c>
      <c r="Q174" s="63">
        <f>IFERROR(INDEX('الرواتب'!$U$3:$U$502,MATCH(168,'الرواتب'!$Z$3:$Z$502,0)),"")</f>
        <v/>
      </c>
      <c r="R174" s="63">
        <f>IFERROR(INDEX('الرواتب'!$V$3:$V$502,MATCH(168,'الرواتب'!$Z$3:$Z$502,0)),"")</f>
        <v/>
      </c>
    </row>
    <row r="175">
      <c r="A175" s="43">
        <f>IFERROR(INDEX('الرواتب'!$C$3:$C$502,MATCH(169,'الرواتب'!$Z$3:$Z$502,0)),"")</f>
        <v/>
      </c>
      <c r="B175" s="43">
        <f>IFERROR(INDEX('الرواتب'!$D$3:$D$502,MATCH(169,'الرواتب'!$Z$3:$Z$502,0)),"")</f>
        <v/>
      </c>
      <c r="C175" s="43">
        <f>IFERROR(INDEX('الرواتب'!$E$3:$E$502,MATCH(169,'الرواتب'!$Z$3:$Z$502,0)),"")</f>
        <v/>
      </c>
      <c r="D175" s="60">
        <f>IFERROR(INDEX('الرواتب'!$G$3:$G$502,MATCH(169,'الرواتب'!$Z$3:$Z$502,0)),"")</f>
        <v/>
      </c>
      <c r="E175" s="60">
        <f>IFERROR(INDEX('الرواتب'!$H$3:$H$502,MATCH(169,'الرواتب'!$Z$3:$Z$502,0)),"")</f>
        <v/>
      </c>
      <c r="F175" s="60">
        <f>IFERROR(INDEX('الرواتب'!$I$3:$I$502,MATCH(169,'الرواتب'!$Z$3:$Z$502,0)),"")</f>
        <v/>
      </c>
      <c r="G175" s="60">
        <f>IFERROR(INDEX('الرواتب'!$J$3:$J$502,MATCH(169,'الرواتب'!$Z$3:$Z$502,0)),"")</f>
        <v/>
      </c>
      <c r="H175" s="60">
        <f>IFERROR(INDEX('الرواتب'!$K$3:$K$502,MATCH(169,'الرواتب'!$Z$3:$Z$502,0)),"")</f>
        <v/>
      </c>
      <c r="I175" s="60">
        <f>IFERROR(INDEX('الرواتب'!$L$3:$L$502,MATCH(169,'الرواتب'!$Z$3:$Z$502,0)),"")</f>
        <v/>
      </c>
      <c r="J175" s="60">
        <f>IFERROR(INDEX('الرواتب'!$S$3:$S$502,MATCH(169,'الرواتب'!$Z$3:$Z$502,0)),"")</f>
        <v/>
      </c>
      <c r="K175" s="60">
        <f>IFERROR(INDEX('الرواتب'!$N$3:$N$502,MATCH(169,'الرواتب'!$Z$3:$Z$502,0)),"")</f>
        <v/>
      </c>
      <c r="L175" s="60">
        <f>IFERROR(INDEX('الرواتب'!$O$3:$O$502,MATCH(169,'الرواتب'!$Z$3:$Z$502,0)),"")</f>
        <v/>
      </c>
      <c r="M175" s="60">
        <f>IFERROR(INDEX('الرواتب'!$P$3:$P$502,MATCH(169,'الرواتب'!$Z$3:$Z$502,0)),"")</f>
        <v/>
      </c>
      <c r="N175" s="60">
        <f>IFERROR(INDEX('الرواتب'!$Q$3:$Q$502,MATCH(169,'الرواتب'!$Z$3:$Z$502,0)),"")</f>
        <v/>
      </c>
      <c r="O175" s="60">
        <f>IFERROR(INDEX('الرواتب'!$R$3:$R$502,MATCH(169,'الرواتب'!$Z$3:$Z$502,0)),"")</f>
        <v/>
      </c>
      <c r="P175" s="60">
        <f>IFERROR(INDEX('الرواتب'!$T$3:$T$502,MATCH(169,'الرواتب'!$Z$3:$Z$502,0)),"")</f>
        <v/>
      </c>
      <c r="Q175" s="60">
        <f>IFERROR(INDEX('الرواتب'!$U$3:$U$502,MATCH(169,'الرواتب'!$Z$3:$Z$502,0)),"")</f>
        <v/>
      </c>
      <c r="R175" s="60">
        <f>IFERROR(INDEX('الرواتب'!$V$3:$V$502,MATCH(169,'الرواتب'!$Z$3:$Z$502,0)),"")</f>
        <v/>
      </c>
    </row>
    <row r="176">
      <c r="A176" s="50">
        <f>IFERROR(INDEX('الرواتب'!$C$3:$C$502,MATCH(170,'الرواتب'!$Z$3:$Z$502,0)),"")</f>
        <v/>
      </c>
      <c r="B176" s="50">
        <f>IFERROR(INDEX('الرواتب'!$D$3:$D$502,MATCH(170,'الرواتب'!$Z$3:$Z$502,0)),"")</f>
        <v/>
      </c>
      <c r="C176" s="50">
        <f>IFERROR(INDEX('الرواتب'!$E$3:$E$502,MATCH(170,'الرواتب'!$Z$3:$Z$502,0)),"")</f>
        <v/>
      </c>
      <c r="D176" s="63">
        <f>IFERROR(INDEX('الرواتب'!$G$3:$G$502,MATCH(170,'الرواتب'!$Z$3:$Z$502,0)),"")</f>
        <v/>
      </c>
      <c r="E176" s="63">
        <f>IFERROR(INDEX('الرواتب'!$H$3:$H$502,MATCH(170,'الرواتب'!$Z$3:$Z$502,0)),"")</f>
        <v/>
      </c>
      <c r="F176" s="63">
        <f>IFERROR(INDEX('الرواتب'!$I$3:$I$502,MATCH(170,'الرواتب'!$Z$3:$Z$502,0)),"")</f>
        <v/>
      </c>
      <c r="G176" s="63">
        <f>IFERROR(INDEX('الرواتب'!$J$3:$J$502,MATCH(170,'الرواتب'!$Z$3:$Z$502,0)),"")</f>
        <v/>
      </c>
      <c r="H176" s="63">
        <f>IFERROR(INDEX('الرواتب'!$K$3:$K$502,MATCH(170,'الرواتب'!$Z$3:$Z$502,0)),"")</f>
        <v/>
      </c>
      <c r="I176" s="63">
        <f>IFERROR(INDEX('الرواتب'!$L$3:$L$502,MATCH(170,'الرواتب'!$Z$3:$Z$502,0)),"")</f>
        <v/>
      </c>
      <c r="J176" s="63">
        <f>IFERROR(INDEX('الرواتب'!$S$3:$S$502,MATCH(170,'الرواتب'!$Z$3:$Z$502,0)),"")</f>
        <v/>
      </c>
      <c r="K176" s="63">
        <f>IFERROR(INDEX('الرواتب'!$N$3:$N$502,MATCH(170,'الرواتب'!$Z$3:$Z$502,0)),"")</f>
        <v/>
      </c>
      <c r="L176" s="63">
        <f>IFERROR(INDEX('الرواتب'!$O$3:$O$502,MATCH(170,'الرواتب'!$Z$3:$Z$502,0)),"")</f>
        <v/>
      </c>
      <c r="M176" s="63">
        <f>IFERROR(INDEX('الرواتب'!$P$3:$P$502,MATCH(170,'الرواتب'!$Z$3:$Z$502,0)),"")</f>
        <v/>
      </c>
      <c r="N176" s="63">
        <f>IFERROR(INDEX('الرواتب'!$Q$3:$Q$502,MATCH(170,'الرواتب'!$Z$3:$Z$502,0)),"")</f>
        <v/>
      </c>
      <c r="O176" s="63">
        <f>IFERROR(INDEX('الرواتب'!$R$3:$R$502,MATCH(170,'الرواتب'!$Z$3:$Z$502,0)),"")</f>
        <v/>
      </c>
      <c r="P176" s="63">
        <f>IFERROR(INDEX('الرواتب'!$T$3:$T$502,MATCH(170,'الرواتب'!$Z$3:$Z$502,0)),"")</f>
        <v/>
      </c>
      <c r="Q176" s="63">
        <f>IFERROR(INDEX('الرواتب'!$U$3:$U$502,MATCH(170,'الرواتب'!$Z$3:$Z$502,0)),"")</f>
        <v/>
      </c>
      <c r="R176" s="63">
        <f>IFERROR(INDEX('الرواتب'!$V$3:$V$502,MATCH(170,'الرواتب'!$Z$3:$Z$502,0)),"")</f>
        <v/>
      </c>
    </row>
    <row r="177">
      <c r="A177" s="43">
        <f>IFERROR(INDEX('الرواتب'!$C$3:$C$502,MATCH(171,'الرواتب'!$Z$3:$Z$502,0)),"")</f>
        <v/>
      </c>
      <c r="B177" s="43">
        <f>IFERROR(INDEX('الرواتب'!$D$3:$D$502,MATCH(171,'الرواتب'!$Z$3:$Z$502,0)),"")</f>
        <v/>
      </c>
      <c r="C177" s="43">
        <f>IFERROR(INDEX('الرواتب'!$E$3:$E$502,MATCH(171,'الرواتب'!$Z$3:$Z$502,0)),"")</f>
        <v/>
      </c>
      <c r="D177" s="60">
        <f>IFERROR(INDEX('الرواتب'!$G$3:$G$502,MATCH(171,'الرواتب'!$Z$3:$Z$502,0)),"")</f>
        <v/>
      </c>
      <c r="E177" s="60">
        <f>IFERROR(INDEX('الرواتب'!$H$3:$H$502,MATCH(171,'الرواتب'!$Z$3:$Z$502,0)),"")</f>
        <v/>
      </c>
      <c r="F177" s="60">
        <f>IFERROR(INDEX('الرواتب'!$I$3:$I$502,MATCH(171,'الرواتب'!$Z$3:$Z$502,0)),"")</f>
        <v/>
      </c>
      <c r="G177" s="60">
        <f>IFERROR(INDEX('الرواتب'!$J$3:$J$502,MATCH(171,'الرواتب'!$Z$3:$Z$502,0)),"")</f>
        <v/>
      </c>
      <c r="H177" s="60">
        <f>IFERROR(INDEX('الرواتب'!$K$3:$K$502,MATCH(171,'الرواتب'!$Z$3:$Z$502,0)),"")</f>
        <v/>
      </c>
      <c r="I177" s="60">
        <f>IFERROR(INDEX('الرواتب'!$L$3:$L$502,MATCH(171,'الرواتب'!$Z$3:$Z$502,0)),"")</f>
        <v/>
      </c>
      <c r="J177" s="60">
        <f>IFERROR(INDEX('الرواتب'!$S$3:$S$502,MATCH(171,'الرواتب'!$Z$3:$Z$502,0)),"")</f>
        <v/>
      </c>
      <c r="K177" s="60">
        <f>IFERROR(INDEX('الرواتب'!$N$3:$N$502,MATCH(171,'الرواتب'!$Z$3:$Z$502,0)),"")</f>
        <v/>
      </c>
      <c r="L177" s="60">
        <f>IFERROR(INDEX('الرواتب'!$O$3:$O$502,MATCH(171,'الرواتب'!$Z$3:$Z$502,0)),"")</f>
        <v/>
      </c>
      <c r="M177" s="60">
        <f>IFERROR(INDEX('الرواتب'!$P$3:$P$502,MATCH(171,'الرواتب'!$Z$3:$Z$502,0)),"")</f>
        <v/>
      </c>
      <c r="N177" s="60">
        <f>IFERROR(INDEX('الرواتب'!$Q$3:$Q$502,MATCH(171,'الرواتب'!$Z$3:$Z$502,0)),"")</f>
        <v/>
      </c>
      <c r="O177" s="60">
        <f>IFERROR(INDEX('الرواتب'!$R$3:$R$502,MATCH(171,'الرواتب'!$Z$3:$Z$502,0)),"")</f>
        <v/>
      </c>
      <c r="P177" s="60">
        <f>IFERROR(INDEX('الرواتب'!$T$3:$T$502,MATCH(171,'الرواتب'!$Z$3:$Z$502,0)),"")</f>
        <v/>
      </c>
      <c r="Q177" s="60">
        <f>IFERROR(INDEX('الرواتب'!$U$3:$U$502,MATCH(171,'الرواتب'!$Z$3:$Z$502,0)),"")</f>
        <v/>
      </c>
      <c r="R177" s="60">
        <f>IFERROR(INDEX('الرواتب'!$V$3:$V$502,MATCH(171,'الرواتب'!$Z$3:$Z$502,0)),"")</f>
        <v/>
      </c>
    </row>
    <row r="178">
      <c r="A178" s="50">
        <f>IFERROR(INDEX('الرواتب'!$C$3:$C$502,MATCH(172,'الرواتب'!$Z$3:$Z$502,0)),"")</f>
        <v/>
      </c>
      <c r="B178" s="50">
        <f>IFERROR(INDEX('الرواتب'!$D$3:$D$502,MATCH(172,'الرواتب'!$Z$3:$Z$502,0)),"")</f>
        <v/>
      </c>
      <c r="C178" s="50">
        <f>IFERROR(INDEX('الرواتب'!$E$3:$E$502,MATCH(172,'الرواتب'!$Z$3:$Z$502,0)),"")</f>
        <v/>
      </c>
      <c r="D178" s="63">
        <f>IFERROR(INDEX('الرواتب'!$G$3:$G$502,MATCH(172,'الرواتب'!$Z$3:$Z$502,0)),"")</f>
        <v/>
      </c>
      <c r="E178" s="63">
        <f>IFERROR(INDEX('الرواتب'!$H$3:$H$502,MATCH(172,'الرواتب'!$Z$3:$Z$502,0)),"")</f>
        <v/>
      </c>
      <c r="F178" s="63">
        <f>IFERROR(INDEX('الرواتب'!$I$3:$I$502,MATCH(172,'الرواتب'!$Z$3:$Z$502,0)),"")</f>
        <v/>
      </c>
      <c r="G178" s="63">
        <f>IFERROR(INDEX('الرواتب'!$J$3:$J$502,MATCH(172,'الرواتب'!$Z$3:$Z$502,0)),"")</f>
        <v/>
      </c>
      <c r="H178" s="63">
        <f>IFERROR(INDEX('الرواتب'!$K$3:$K$502,MATCH(172,'الرواتب'!$Z$3:$Z$502,0)),"")</f>
        <v/>
      </c>
      <c r="I178" s="63">
        <f>IFERROR(INDEX('الرواتب'!$L$3:$L$502,MATCH(172,'الرواتب'!$Z$3:$Z$502,0)),"")</f>
        <v/>
      </c>
      <c r="J178" s="63">
        <f>IFERROR(INDEX('الرواتب'!$S$3:$S$502,MATCH(172,'الرواتب'!$Z$3:$Z$502,0)),"")</f>
        <v/>
      </c>
      <c r="K178" s="63">
        <f>IFERROR(INDEX('الرواتب'!$N$3:$N$502,MATCH(172,'الرواتب'!$Z$3:$Z$502,0)),"")</f>
        <v/>
      </c>
      <c r="L178" s="63">
        <f>IFERROR(INDEX('الرواتب'!$O$3:$O$502,MATCH(172,'الرواتب'!$Z$3:$Z$502,0)),"")</f>
        <v/>
      </c>
      <c r="M178" s="63">
        <f>IFERROR(INDEX('الرواتب'!$P$3:$P$502,MATCH(172,'الرواتب'!$Z$3:$Z$502,0)),"")</f>
        <v/>
      </c>
      <c r="N178" s="63">
        <f>IFERROR(INDEX('الرواتب'!$Q$3:$Q$502,MATCH(172,'الرواتب'!$Z$3:$Z$502,0)),"")</f>
        <v/>
      </c>
      <c r="O178" s="63">
        <f>IFERROR(INDEX('الرواتب'!$R$3:$R$502,MATCH(172,'الرواتب'!$Z$3:$Z$502,0)),"")</f>
        <v/>
      </c>
      <c r="P178" s="63">
        <f>IFERROR(INDEX('الرواتب'!$T$3:$T$502,MATCH(172,'الرواتب'!$Z$3:$Z$502,0)),"")</f>
        <v/>
      </c>
      <c r="Q178" s="63">
        <f>IFERROR(INDEX('الرواتب'!$U$3:$U$502,MATCH(172,'الرواتب'!$Z$3:$Z$502,0)),"")</f>
        <v/>
      </c>
      <c r="R178" s="63">
        <f>IFERROR(INDEX('الرواتب'!$V$3:$V$502,MATCH(172,'الرواتب'!$Z$3:$Z$502,0)),"")</f>
        <v/>
      </c>
    </row>
    <row r="179">
      <c r="A179" s="43">
        <f>IFERROR(INDEX('الرواتب'!$C$3:$C$502,MATCH(173,'الرواتب'!$Z$3:$Z$502,0)),"")</f>
        <v/>
      </c>
      <c r="B179" s="43">
        <f>IFERROR(INDEX('الرواتب'!$D$3:$D$502,MATCH(173,'الرواتب'!$Z$3:$Z$502,0)),"")</f>
        <v/>
      </c>
      <c r="C179" s="43">
        <f>IFERROR(INDEX('الرواتب'!$E$3:$E$502,MATCH(173,'الرواتب'!$Z$3:$Z$502,0)),"")</f>
        <v/>
      </c>
      <c r="D179" s="60">
        <f>IFERROR(INDEX('الرواتب'!$G$3:$G$502,MATCH(173,'الرواتب'!$Z$3:$Z$502,0)),"")</f>
        <v/>
      </c>
      <c r="E179" s="60">
        <f>IFERROR(INDEX('الرواتب'!$H$3:$H$502,MATCH(173,'الرواتب'!$Z$3:$Z$502,0)),"")</f>
        <v/>
      </c>
      <c r="F179" s="60">
        <f>IFERROR(INDEX('الرواتب'!$I$3:$I$502,MATCH(173,'الرواتب'!$Z$3:$Z$502,0)),"")</f>
        <v/>
      </c>
      <c r="G179" s="60">
        <f>IFERROR(INDEX('الرواتب'!$J$3:$J$502,MATCH(173,'الرواتب'!$Z$3:$Z$502,0)),"")</f>
        <v/>
      </c>
      <c r="H179" s="60">
        <f>IFERROR(INDEX('الرواتب'!$K$3:$K$502,MATCH(173,'الرواتب'!$Z$3:$Z$502,0)),"")</f>
        <v/>
      </c>
      <c r="I179" s="60">
        <f>IFERROR(INDEX('الرواتب'!$L$3:$L$502,MATCH(173,'الرواتب'!$Z$3:$Z$502,0)),"")</f>
        <v/>
      </c>
      <c r="J179" s="60">
        <f>IFERROR(INDEX('الرواتب'!$S$3:$S$502,MATCH(173,'الرواتب'!$Z$3:$Z$502,0)),"")</f>
        <v/>
      </c>
      <c r="K179" s="60">
        <f>IFERROR(INDEX('الرواتب'!$N$3:$N$502,MATCH(173,'الرواتب'!$Z$3:$Z$502,0)),"")</f>
        <v/>
      </c>
      <c r="L179" s="60">
        <f>IFERROR(INDEX('الرواتب'!$O$3:$O$502,MATCH(173,'الرواتب'!$Z$3:$Z$502,0)),"")</f>
        <v/>
      </c>
      <c r="M179" s="60">
        <f>IFERROR(INDEX('الرواتب'!$P$3:$P$502,MATCH(173,'الرواتب'!$Z$3:$Z$502,0)),"")</f>
        <v/>
      </c>
      <c r="N179" s="60">
        <f>IFERROR(INDEX('الرواتب'!$Q$3:$Q$502,MATCH(173,'الرواتب'!$Z$3:$Z$502,0)),"")</f>
        <v/>
      </c>
      <c r="O179" s="60">
        <f>IFERROR(INDEX('الرواتب'!$R$3:$R$502,MATCH(173,'الرواتب'!$Z$3:$Z$502,0)),"")</f>
        <v/>
      </c>
      <c r="P179" s="60">
        <f>IFERROR(INDEX('الرواتب'!$T$3:$T$502,MATCH(173,'الرواتب'!$Z$3:$Z$502,0)),"")</f>
        <v/>
      </c>
      <c r="Q179" s="60">
        <f>IFERROR(INDEX('الرواتب'!$U$3:$U$502,MATCH(173,'الرواتب'!$Z$3:$Z$502,0)),"")</f>
        <v/>
      </c>
      <c r="R179" s="60">
        <f>IFERROR(INDEX('الرواتب'!$V$3:$V$502,MATCH(173,'الرواتب'!$Z$3:$Z$502,0)),"")</f>
        <v/>
      </c>
    </row>
    <row r="180">
      <c r="A180" s="50">
        <f>IFERROR(INDEX('الرواتب'!$C$3:$C$502,MATCH(174,'الرواتب'!$Z$3:$Z$502,0)),"")</f>
        <v/>
      </c>
      <c r="B180" s="50">
        <f>IFERROR(INDEX('الرواتب'!$D$3:$D$502,MATCH(174,'الرواتب'!$Z$3:$Z$502,0)),"")</f>
        <v/>
      </c>
      <c r="C180" s="50">
        <f>IFERROR(INDEX('الرواتب'!$E$3:$E$502,MATCH(174,'الرواتب'!$Z$3:$Z$502,0)),"")</f>
        <v/>
      </c>
      <c r="D180" s="63">
        <f>IFERROR(INDEX('الرواتب'!$G$3:$G$502,MATCH(174,'الرواتب'!$Z$3:$Z$502,0)),"")</f>
        <v/>
      </c>
      <c r="E180" s="63">
        <f>IFERROR(INDEX('الرواتب'!$H$3:$H$502,MATCH(174,'الرواتب'!$Z$3:$Z$502,0)),"")</f>
        <v/>
      </c>
      <c r="F180" s="63">
        <f>IFERROR(INDEX('الرواتب'!$I$3:$I$502,MATCH(174,'الرواتب'!$Z$3:$Z$502,0)),"")</f>
        <v/>
      </c>
      <c r="G180" s="63">
        <f>IFERROR(INDEX('الرواتب'!$J$3:$J$502,MATCH(174,'الرواتب'!$Z$3:$Z$502,0)),"")</f>
        <v/>
      </c>
      <c r="H180" s="63">
        <f>IFERROR(INDEX('الرواتب'!$K$3:$K$502,MATCH(174,'الرواتب'!$Z$3:$Z$502,0)),"")</f>
        <v/>
      </c>
      <c r="I180" s="63">
        <f>IFERROR(INDEX('الرواتب'!$L$3:$L$502,MATCH(174,'الرواتب'!$Z$3:$Z$502,0)),"")</f>
        <v/>
      </c>
      <c r="J180" s="63">
        <f>IFERROR(INDEX('الرواتب'!$S$3:$S$502,MATCH(174,'الرواتب'!$Z$3:$Z$502,0)),"")</f>
        <v/>
      </c>
      <c r="K180" s="63">
        <f>IFERROR(INDEX('الرواتب'!$N$3:$N$502,MATCH(174,'الرواتب'!$Z$3:$Z$502,0)),"")</f>
        <v/>
      </c>
      <c r="L180" s="63">
        <f>IFERROR(INDEX('الرواتب'!$O$3:$O$502,MATCH(174,'الرواتب'!$Z$3:$Z$502,0)),"")</f>
        <v/>
      </c>
      <c r="M180" s="63">
        <f>IFERROR(INDEX('الرواتب'!$P$3:$P$502,MATCH(174,'الرواتب'!$Z$3:$Z$502,0)),"")</f>
        <v/>
      </c>
      <c r="N180" s="63">
        <f>IFERROR(INDEX('الرواتب'!$Q$3:$Q$502,MATCH(174,'الرواتب'!$Z$3:$Z$502,0)),"")</f>
        <v/>
      </c>
      <c r="O180" s="63">
        <f>IFERROR(INDEX('الرواتب'!$R$3:$R$502,MATCH(174,'الرواتب'!$Z$3:$Z$502,0)),"")</f>
        <v/>
      </c>
      <c r="P180" s="63">
        <f>IFERROR(INDEX('الرواتب'!$T$3:$T$502,MATCH(174,'الرواتب'!$Z$3:$Z$502,0)),"")</f>
        <v/>
      </c>
      <c r="Q180" s="63">
        <f>IFERROR(INDEX('الرواتب'!$U$3:$U$502,MATCH(174,'الرواتب'!$Z$3:$Z$502,0)),"")</f>
        <v/>
      </c>
      <c r="R180" s="63">
        <f>IFERROR(INDEX('الرواتب'!$V$3:$V$502,MATCH(174,'الرواتب'!$Z$3:$Z$502,0)),"")</f>
        <v/>
      </c>
    </row>
    <row r="181">
      <c r="A181" s="43">
        <f>IFERROR(INDEX('الرواتب'!$C$3:$C$502,MATCH(175,'الرواتب'!$Z$3:$Z$502,0)),"")</f>
        <v/>
      </c>
      <c r="B181" s="43">
        <f>IFERROR(INDEX('الرواتب'!$D$3:$D$502,MATCH(175,'الرواتب'!$Z$3:$Z$502,0)),"")</f>
        <v/>
      </c>
      <c r="C181" s="43">
        <f>IFERROR(INDEX('الرواتب'!$E$3:$E$502,MATCH(175,'الرواتب'!$Z$3:$Z$502,0)),"")</f>
        <v/>
      </c>
      <c r="D181" s="60">
        <f>IFERROR(INDEX('الرواتب'!$G$3:$G$502,MATCH(175,'الرواتب'!$Z$3:$Z$502,0)),"")</f>
        <v/>
      </c>
      <c r="E181" s="60">
        <f>IFERROR(INDEX('الرواتب'!$H$3:$H$502,MATCH(175,'الرواتب'!$Z$3:$Z$502,0)),"")</f>
        <v/>
      </c>
      <c r="F181" s="60">
        <f>IFERROR(INDEX('الرواتب'!$I$3:$I$502,MATCH(175,'الرواتب'!$Z$3:$Z$502,0)),"")</f>
        <v/>
      </c>
      <c r="G181" s="60">
        <f>IFERROR(INDEX('الرواتب'!$J$3:$J$502,MATCH(175,'الرواتب'!$Z$3:$Z$502,0)),"")</f>
        <v/>
      </c>
      <c r="H181" s="60">
        <f>IFERROR(INDEX('الرواتب'!$K$3:$K$502,MATCH(175,'الرواتب'!$Z$3:$Z$502,0)),"")</f>
        <v/>
      </c>
      <c r="I181" s="60">
        <f>IFERROR(INDEX('الرواتب'!$L$3:$L$502,MATCH(175,'الرواتب'!$Z$3:$Z$502,0)),"")</f>
        <v/>
      </c>
      <c r="J181" s="60">
        <f>IFERROR(INDEX('الرواتب'!$S$3:$S$502,MATCH(175,'الرواتب'!$Z$3:$Z$502,0)),"")</f>
        <v/>
      </c>
      <c r="K181" s="60">
        <f>IFERROR(INDEX('الرواتب'!$N$3:$N$502,MATCH(175,'الرواتب'!$Z$3:$Z$502,0)),"")</f>
        <v/>
      </c>
      <c r="L181" s="60">
        <f>IFERROR(INDEX('الرواتب'!$O$3:$O$502,MATCH(175,'الرواتب'!$Z$3:$Z$502,0)),"")</f>
        <v/>
      </c>
      <c r="M181" s="60">
        <f>IFERROR(INDEX('الرواتب'!$P$3:$P$502,MATCH(175,'الرواتب'!$Z$3:$Z$502,0)),"")</f>
        <v/>
      </c>
      <c r="N181" s="60">
        <f>IFERROR(INDEX('الرواتب'!$Q$3:$Q$502,MATCH(175,'الرواتب'!$Z$3:$Z$502,0)),"")</f>
        <v/>
      </c>
      <c r="O181" s="60">
        <f>IFERROR(INDEX('الرواتب'!$R$3:$R$502,MATCH(175,'الرواتب'!$Z$3:$Z$502,0)),"")</f>
        <v/>
      </c>
      <c r="P181" s="60">
        <f>IFERROR(INDEX('الرواتب'!$T$3:$T$502,MATCH(175,'الرواتب'!$Z$3:$Z$502,0)),"")</f>
        <v/>
      </c>
      <c r="Q181" s="60">
        <f>IFERROR(INDEX('الرواتب'!$U$3:$U$502,MATCH(175,'الرواتب'!$Z$3:$Z$502,0)),"")</f>
        <v/>
      </c>
      <c r="R181" s="60">
        <f>IFERROR(INDEX('الرواتب'!$V$3:$V$502,MATCH(175,'الرواتب'!$Z$3:$Z$502,0)),"")</f>
        <v/>
      </c>
    </row>
    <row r="182">
      <c r="A182" s="50">
        <f>IFERROR(INDEX('الرواتب'!$C$3:$C$502,MATCH(176,'الرواتب'!$Z$3:$Z$502,0)),"")</f>
        <v/>
      </c>
      <c r="B182" s="50">
        <f>IFERROR(INDEX('الرواتب'!$D$3:$D$502,MATCH(176,'الرواتب'!$Z$3:$Z$502,0)),"")</f>
        <v/>
      </c>
      <c r="C182" s="50">
        <f>IFERROR(INDEX('الرواتب'!$E$3:$E$502,MATCH(176,'الرواتب'!$Z$3:$Z$502,0)),"")</f>
        <v/>
      </c>
      <c r="D182" s="63">
        <f>IFERROR(INDEX('الرواتب'!$G$3:$G$502,MATCH(176,'الرواتب'!$Z$3:$Z$502,0)),"")</f>
        <v/>
      </c>
      <c r="E182" s="63">
        <f>IFERROR(INDEX('الرواتب'!$H$3:$H$502,MATCH(176,'الرواتب'!$Z$3:$Z$502,0)),"")</f>
        <v/>
      </c>
      <c r="F182" s="63">
        <f>IFERROR(INDEX('الرواتب'!$I$3:$I$502,MATCH(176,'الرواتب'!$Z$3:$Z$502,0)),"")</f>
        <v/>
      </c>
      <c r="G182" s="63">
        <f>IFERROR(INDEX('الرواتب'!$J$3:$J$502,MATCH(176,'الرواتب'!$Z$3:$Z$502,0)),"")</f>
        <v/>
      </c>
      <c r="H182" s="63">
        <f>IFERROR(INDEX('الرواتب'!$K$3:$K$502,MATCH(176,'الرواتب'!$Z$3:$Z$502,0)),"")</f>
        <v/>
      </c>
      <c r="I182" s="63">
        <f>IFERROR(INDEX('الرواتب'!$L$3:$L$502,MATCH(176,'الرواتب'!$Z$3:$Z$502,0)),"")</f>
        <v/>
      </c>
      <c r="J182" s="63">
        <f>IFERROR(INDEX('الرواتب'!$S$3:$S$502,MATCH(176,'الرواتب'!$Z$3:$Z$502,0)),"")</f>
        <v/>
      </c>
      <c r="K182" s="63">
        <f>IFERROR(INDEX('الرواتب'!$N$3:$N$502,MATCH(176,'الرواتب'!$Z$3:$Z$502,0)),"")</f>
        <v/>
      </c>
      <c r="L182" s="63">
        <f>IFERROR(INDEX('الرواتب'!$O$3:$O$502,MATCH(176,'الرواتب'!$Z$3:$Z$502,0)),"")</f>
        <v/>
      </c>
      <c r="M182" s="63">
        <f>IFERROR(INDEX('الرواتب'!$P$3:$P$502,MATCH(176,'الرواتب'!$Z$3:$Z$502,0)),"")</f>
        <v/>
      </c>
      <c r="N182" s="63">
        <f>IFERROR(INDEX('الرواتب'!$Q$3:$Q$502,MATCH(176,'الرواتب'!$Z$3:$Z$502,0)),"")</f>
        <v/>
      </c>
      <c r="O182" s="63">
        <f>IFERROR(INDEX('الرواتب'!$R$3:$R$502,MATCH(176,'الرواتب'!$Z$3:$Z$502,0)),"")</f>
        <v/>
      </c>
      <c r="P182" s="63">
        <f>IFERROR(INDEX('الرواتب'!$T$3:$T$502,MATCH(176,'الرواتب'!$Z$3:$Z$502,0)),"")</f>
        <v/>
      </c>
      <c r="Q182" s="63">
        <f>IFERROR(INDEX('الرواتب'!$U$3:$U$502,MATCH(176,'الرواتب'!$Z$3:$Z$502,0)),"")</f>
        <v/>
      </c>
      <c r="R182" s="63">
        <f>IFERROR(INDEX('الرواتب'!$V$3:$V$502,MATCH(176,'الرواتب'!$Z$3:$Z$502,0)),"")</f>
        <v/>
      </c>
    </row>
    <row r="183">
      <c r="A183" s="43">
        <f>IFERROR(INDEX('الرواتب'!$C$3:$C$502,MATCH(177,'الرواتب'!$Z$3:$Z$502,0)),"")</f>
        <v/>
      </c>
      <c r="B183" s="43">
        <f>IFERROR(INDEX('الرواتب'!$D$3:$D$502,MATCH(177,'الرواتب'!$Z$3:$Z$502,0)),"")</f>
        <v/>
      </c>
      <c r="C183" s="43">
        <f>IFERROR(INDEX('الرواتب'!$E$3:$E$502,MATCH(177,'الرواتب'!$Z$3:$Z$502,0)),"")</f>
        <v/>
      </c>
      <c r="D183" s="60">
        <f>IFERROR(INDEX('الرواتب'!$G$3:$G$502,MATCH(177,'الرواتب'!$Z$3:$Z$502,0)),"")</f>
        <v/>
      </c>
      <c r="E183" s="60">
        <f>IFERROR(INDEX('الرواتب'!$H$3:$H$502,MATCH(177,'الرواتب'!$Z$3:$Z$502,0)),"")</f>
        <v/>
      </c>
      <c r="F183" s="60">
        <f>IFERROR(INDEX('الرواتب'!$I$3:$I$502,MATCH(177,'الرواتب'!$Z$3:$Z$502,0)),"")</f>
        <v/>
      </c>
      <c r="G183" s="60">
        <f>IFERROR(INDEX('الرواتب'!$J$3:$J$502,MATCH(177,'الرواتب'!$Z$3:$Z$502,0)),"")</f>
        <v/>
      </c>
      <c r="H183" s="60">
        <f>IFERROR(INDEX('الرواتب'!$K$3:$K$502,MATCH(177,'الرواتب'!$Z$3:$Z$502,0)),"")</f>
        <v/>
      </c>
      <c r="I183" s="60">
        <f>IFERROR(INDEX('الرواتب'!$L$3:$L$502,MATCH(177,'الرواتب'!$Z$3:$Z$502,0)),"")</f>
        <v/>
      </c>
      <c r="J183" s="60">
        <f>IFERROR(INDEX('الرواتب'!$S$3:$S$502,MATCH(177,'الرواتب'!$Z$3:$Z$502,0)),"")</f>
        <v/>
      </c>
      <c r="K183" s="60">
        <f>IFERROR(INDEX('الرواتب'!$N$3:$N$502,MATCH(177,'الرواتب'!$Z$3:$Z$502,0)),"")</f>
        <v/>
      </c>
      <c r="L183" s="60">
        <f>IFERROR(INDEX('الرواتب'!$O$3:$O$502,MATCH(177,'الرواتب'!$Z$3:$Z$502,0)),"")</f>
        <v/>
      </c>
      <c r="M183" s="60">
        <f>IFERROR(INDEX('الرواتب'!$P$3:$P$502,MATCH(177,'الرواتب'!$Z$3:$Z$502,0)),"")</f>
        <v/>
      </c>
      <c r="N183" s="60">
        <f>IFERROR(INDEX('الرواتب'!$Q$3:$Q$502,MATCH(177,'الرواتب'!$Z$3:$Z$502,0)),"")</f>
        <v/>
      </c>
      <c r="O183" s="60">
        <f>IFERROR(INDEX('الرواتب'!$R$3:$R$502,MATCH(177,'الرواتب'!$Z$3:$Z$502,0)),"")</f>
        <v/>
      </c>
      <c r="P183" s="60">
        <f>IFERROR(INDEX('الرواتب'!$T$3:$T$502,MATCH(177,'الرواتب'!$Z$3:$Z$502,0)),"")</f>
        <v/>
      </c>
      <c r="Q183" s="60">
        <f>IFERROR(INDEX('الرواتب'!$U$3:$U$502,MATCH(177,'الرواتب'!$Z$3:$Z$502,0)),"")</f>
        <v/>
      </c>
      <c r="R183" s="60">
        <f>IFERROR(INDEX('الرواتب'!$V$3:$V$502,MATCH(177,'الرواتب'!$Z$3:$Z$502,0)),"")</f>
        <v/>
      </c>
    </row>
    <row r="184">
      <c r="A184" s="50">
        <f>IFERROR(INDEX('الرواتب'!$C$3:$C$502,MATCH(178,'الرواتب'!$Z$3:$Z$502,0)),"")</f>
        <v/>
      </c>
      <c r="B184" s="50">
        <f>IFERROR(INDEX('الرواتب'!$D$3:$D$502,MATCH(178,'الرواتب'!$Z$3:$Z$502,0)),"")</f>
        <v/>
      </c>
      <c r="C184" s="50">
        <f>IFERROR(INDEX('الرواتب'!$E$3:$E$502,MATCH(178,'الرواتب'!$Z$3:$Z$502,0)),"")</f>
        <v/>
      </c>
      <c r="D184" s="63">
        <f>IFERROR(INDEX('الرواتب'!$G$3:$G$502,MATCH(178,'الرواتب'!$Z$3:$Z$502,0)),"")</f>
        <v/>
      </c>
      <c r="E184" s="63">
        <f>IFERROR(INDEX('الرواتب'!$H$3:$H$502,MATCH(178,'الرواتب'!$Z$3:$Z$502,0)),"")</f>
        <v/>
      </c>
      <c r="F184" s="63">
        <f>IFERROR(INDEX('الرواتب'!$I$3:$I$502,MATCH(178,'الرواتب'!$Z$3:$Z$502,0)),"")</f>
        <v/>
      </c>
      <c r="G184" s="63">
        <f>IFERROR(INDEX('الرواتب'!$J$3:$J$502,MATCH(178,'الرواتب'!$Z$3:$Z$502,0)),"")</f>
        <v/>
      </c>
      <c r="H184" s="63">
        <f>IFERROR(INDEX('الرواتب'!$K$3:$K$502,MATCH(178,'الرواتب'!$Z$3:$Z$502,0)),"")</f>
        <v/>
      </c>
      <c r="I184" s="63">
        <f>IFERROR(INDEX('الرواتب'!$L$3:$L$502,MATCH(178,'الرواتب'!$Z$3:$Z$502,0)),"")</f>
        <v/>
      </c>
      <c r="J184" s="63">
        <f>IFERROR(INDEX('الرواتب'!$S$3:$S$502,MATCH(178,'الرواتب'!$Z$3:$Z$502,0)),"")</f>
        <v/>
      </c>
      <c r="K184" s="63">
        <f>IFERROR(INDEX('الرواتب'!$N$3:$N$502,MATCH(178,'الرواتب'!$Z$3:$Z$502,0)),"")</f>
        <v/>
      </c>
      <c r="L184" s="63">
        <f>IFERROR(INDEX('الرواتب'!$O$3:$O$502,MATCH(178,'الرواتب'!$Z$3:$Z$502,0)),"")</f>
        <v/>
      </c>
      <c r="M184" s="63">
        <f>IFERROR(INDEX('الرواتب'!$P$3:$P$502,MATCH(178,'الرواتب'!$Z$3:$Z$502,0)),"")</f>
        <v/>
      </c>
      <c r="N184" s="63">
        <f>IFERROR(INDEX('الرواتب'!$Q$3:$Q$502,MATCH(178,'الرواتب'!$Z$3:$Z$502,0)),"")</f>
        <v/>
      </c>
      <c r="O184" s="63">
        <f>IFERROR(INDEX('الرواتب'!$R$3:$R$502,MATCH(178,'الرواتب'!$Z$3:$Z$502,0)),"")</f>
        <v/>
      </c>
      <c r="P184" s="63">
        <f>IFERROR(INDEX('الرواتب'!$T$3:$T$502,MATCH(178,'الرواتب'!$Z$3:$Z$502,0)),"")</f>
        <v/>
      </c>
      <c r="Q184" s="63">
        <f>IFERROR(INDEX('الرواتب'!$U$3:$U$502,MATCH(178,'الرواتب'!$Z$3:$Z$502,0)),"")</f>
        <v/>
      </c>
      <c r="R184" s="63">
        <f>IFERROR(INDEX('الرواتب'!$V$3:$V$502,MATCH(178,'الرواتب'!$Z$3:$Z$502,0)),"")</f>
        <v/>
      </c>
    </row>
    <row r="185">
      <c r="A185" s="43">
        <f>IFERROR(INDEX('الرواتب'!$C$3:$C$502,MATCH(179,'الرواتب'!$Z$3:$Z$502,0)),"")</f>
        <v/>
      </c>
      <c r="B185" s="43">
        <f>IFERROR(INDEX('الرواتب'!$D$3:$D$502,MATCH(179,'الرواتب'!$Z$3:$Z$502,0)),"")</f>
        <v/>
      </c>
      <c r="C185" s="43">
        <f>IFERROR(INDEX('الرواتب'!$E$3:$E$502,MATCH(179,'الرواتب'!$Z$3:$Z$502,0)),"")</f>
        <v/>
      </c>
      <c r="D185" s="60">
        <f>IFERROR(INDEX('الرواتب'!$G$3:$G$502,MATCH(179,'الرواتب'!$Z$3:$Z$502,0)),"")</f>
        <v/>
      </c>
      <c r="E185" s="60">
        <f>IFERROR(INDEX('الرواتب'!$H$3:$H$502,MATCH(179,'الرواتب'!$Z$3:$Z$502,0)),"")</f>
        <v/>
      </c>
      <c r="F185" s="60">
        <f>IFERROR(INDEX('الرواتب'!$I$3:$I$502,MATCH(179,'الرواتب'!$Z$3:$Z$502,0)),"")</f>
        <v/>
      </c>
      <c r="G185" s="60">
        <f>IFERROR(INDEX('الرواتب'!$J$3:$J$502,MATCH(179,'الرواتب'!$Z$3:$Z$502,0)),"")</f>
        <v/>
      </c>
      <c r="H185" s="60">
        <f>IFERROR(INDEX('الرواتب'!$K$3:$K$502,MATCH(179,'الرواتب'!$Z$3:$Z$502,0)),"")</f>
        <v/>
      </c>
      <c r="I185" s="60">
        <f>IFERROR(INDEX('الرواتب'!$L$3:$L$502,MATCH(179,'الرواتب'!$Z$3:$Z$502,0)),"")</f>
        <v/>
      </c>
      <c r="J185" s="60">
        <f>IFERROR(INDEX('الرواتب'!$S$3:$S$502,MATCH(179,'الرواتب'!$Z$3:$Z$502,0)),"")</f>
        <v/>
      </c>
      <c r="K185" s="60">
        <f>IFERROR(INDEX('الرواتب'!$N$3:$N$502,MATCH(179,'الرواتب'!$Z$3:$Z$502,0)),"")</f>
        <v/>
      </c>
      <c r="L185" s="60">
        <f>IFERROR(INDEX('الرواتب'!$O$3:$O$502,MATCH(179,'الرواتب'!$Z$3:$Z$502,0)),"")</f>
        <v/>
      </c>
      <c r="M185" s="60">
        <f>IFERROR(INDEX('الرواتب'!$P$3:$P$502,MATCH(179,'الرواتب'!$Z$3:$Z$502,0)),"")</f>
        <v/>
      </c>
      <c r="N185" s="60">
        <f>IFERROR(INDEX('الرواتب'!$Q$3:$Q$502,MATCH(179,'الرواتب'!$Z$3:$Z$502,0)),"")</f>
        <v/>
      </c>
      <c r="O185" s="60">
        <f>IFERROR(INDEX('الرواتب'!$R$3:$R$502,MATCH(179,'الرواتب'!$Z$3:$Z$502,0)),"")</f>
        <v/>
      </c>
      <c r="P185" s="60">
        <f>IFERROR(INDEX('الرواتب'!$T$3:$T$502,MATCH(179,'الرواتب'!$Z$3:$Z$502,0)),"")</f>
        <v/>
      </c>
      <c r="Q185" s="60">
        <f>IFERROR(INDEX('الرواتب'!$U$3:$U$502,MATCH(179,'الرواتب'!$Z$3:$Z$502,0)),"")</f>
        <v/>
      </c>
      <c r="R185" s="60">
        <f>IFERROR(INDEX('الرواتب'!$V$3:$V$502,MATCH(179,'الرواتب'!$Z$3:$Z$502,0)),"")</f>
        <v/>
      </c>
    </row>
    <row r="186">
      <c r="A186" s="50">
        <f>IFERROR(INDEX('الرواتب'!$C$3:$C$502,MATCH(180,'الرواتب'!$Z$3:$Z$502,0)),"")</f>
        <v/>
      </c>
      <c r="B186" s="50">
        <f>IFERROR(INDEX('الرواتب'!$D$3:$D$502,MATCH(180,'الرواتب'!$Z$3:$Z$502,0)),"")</f>
        <v/>
      </c>
      <c r="C186" s="50">
        <f>IFERROR(INDEX('الرواتب'!$E$3:$E$502,MATCH(180,'الرواتب'!$Z$3:$Z$502,0)),"")</f>
        <v/>
      </c>
      <c r="D186" s="63">
        <f>IFERROR(INDEX('الرواتب'!$G$3:$G$502,MATCH(180,'الرواتب'!$Z$3:$Z$502,0)),"")</f>
        <v/>
      </c>
      <c r="E186" s="63">
        <f>IFERROR(INDEX('الرواتب'!$H$3:$H$502,MATCH(180,'الرواتب'!$Z$3:$Z$502,0)),"")</f>
        <v/>
      </c>
      <c r="F186" s="63">
        <f>IFERROR(INDEX('الرواتب'!$I$3:$I$502,MATCH(180,'الرواتب'!$Z$3:$Z$502,0)),"")</f>
        <v/>
      </c>
      <c r="G186" s="63">
        <f>IFERROR(INDEX('الرواتب'!$J$3:$J$502,MATCH(180,'الرواتب'!$Z$3:$Z$502,0)),"")</f>
        <v/>
      </c>
      <c r="H186" s="63">
        <f>IFERROR(INDEX('الرواتب'!$K$3:$K$502,MATCH(180,'الرواتب'!$Z$3:$Z$502,0)),"")</f>
        <v/>
      </c>
      <c r="I186" s="63">
        <f>IFERROR(INDEX('الرواتب'!$L$3:$L$502,MATCH(180,'الرواتب'!$Z$3:$Z$502,0)),"")</f>
        <v/>
      </c>
      <c r="J186" s="63">
        <f>IFERROR(INDEX('الرواتب'!$S$3:$S$502,MATCH(180,'الرواتب'!$Z$3:$Z$502,0)),"")</f>
        <v/>
      </c>
      <c r="K186" s="63">
        <f>IFERROR(INDEX('الرواتب'!$N$3:$N$502,MATCH(180,'الرواتب'!$Z$3:$Z$502,0)),"")</f>
        <v/>
      </c>
      <c r="L186" s="63">
        <f>IFERROR(INDEX('الرواتب'!$O$3:$O$502,MATCH(180,'الرواتب'!$Z$3:$Z$502,0)),"")</f>
        <v/>
      </c>
      <c r="M186" s="63">
        <f>IFERROR(INDEX('الرواتب'!$P$3:$P$502,MATCH(180,'الرواتب'!$Z$3:$Z$502,0)),"")</f>
        <v/>
      </c>
      <c r="N186" s="63">
        <f>IFERROR(INDEX('الرواتب'!$Q$3:$Q$502,MATCH(180,'الرواتب'!$Z$3:$Z$502,0)),"")</f>
        <v/>
      </c>
      <c r="O186" s="63">
        <f>IFERROR(INDEX('الرواتب'!$R$3:$R$502,MATCH(180,'الرواتب'!$Z$3:$Z$502,0)),"")</f>
        <v/>
      </c>
      <c r="P186" s="63">
        <f>IFERROR(INDEX('الرواتب'!$T$3:$T$502,MATCH(180,'الرواتب'!$Z$3:$Z$502,0)),"")</f>
        <v/>
      </c>
      <c r="Q186" s="63">
        <f>IFERROR(INDEX('الرواتب'!$U$3:$U$502,MATCH(180,'الرواتب'!$Z$3:$Z$502,0)),"")</f>
        <v/>
      </c>
      <c r="R186" s="63">
        <f>IFERROR(INDEX('الرواتب'!$V$3:$V$502,MATCH(180,'الرواتب'!$Z$3:$Z$502,0)),"")</f>
        <v/>
      </c>
    </row>
    <row r="187">
      <c r="A187" s="43">
        <f>IFERROR(INDEX('الرواتب'!$C$3:$C$502,MATCH(181,'الرواتب'!$Z$3:$Z$502,0)),"")</f>
        <v/>
      </c>
      <c r="B187" s="43">
        <f>IFERROR(INDEX('الرواتب'!$D$3:$D$502,MATCH(181,'الرواتب'!$Z$3:$Z$502,0)),"")</f>
        <v/>
      </c>
      <c r="C187" s="43">
        <f>IFERROR(INDEX('الرواتب'!$E$3:$E$502,MATCH(181,'الرواتب'!$Z$3:$Z$502,0)),"")</f>
        <v/>
      </c>
      <c r="D187" s="60">
        <f>IFERROR(INDEX('الرواتب'!$G$3:$G$502,MATCH(181,'الرواتب'!$Z$3:$Z$502,0)),"")</f>
        <v/>
      </c>
      <c r="E187" s="60">
        <f>IFERROR(INDEX('الرواتب'!$H$3:$H$502,MATCH(181,'الرواتب'!$Z$3:$Z$502,0)),"")</f>
        <v/>
      </c>
      <c r="F187" s="60">
        <f>IFERROR(INDEX('الرواتب'!$I$3:$I$502,MATCH(181,'الرواتب'!$Z$3:$Z$502,0)),"")</f>
        <v/>
      </c>
      <c r="G187" s="60">
        <f>IFERROR(INDEX('الرواتب'!$J$3:$J$502,MATCH(181,'الرواتب'!$Z$3:$Z$502,0)),"")</f>
        <v/>
      </c>
      <c r="H187" s="60">
        <f>IFERROR(INDEX('الرواتب'!$K$3:$K$502,MATCH(181,'الرواتب'!$Z$3:$Z$502,0)),"")</f>
        <v/>
      </c>
      <c r="I187" s="60">
        <f>IFERROR(INDEX('الرواتب'!$L$3:$L$502,MATCH(181,'الرواتب'!$Z$3:$Z$502,0)),"")</f>
        <v/>
      </c>
      <c r="J187" s="60">
        <f>IFERROR(INDEX('الرواتب'!$S$3:$S$502,MATCH(181,'الرواتب'!$Z$3:$Z$502,0)),"")</f>
        <v/>
      </c>
      <c r="K187" s="60">
        <f>IFERROR(INDEX('الرواتب'!$N$3:$N$502,MATCH(181,'الرواتب'!$Z$3:$Z$502,0)),"")</f>
        <v/>
      </c>
      <c r="L187" s="60">
        <f>IFERROR(INDEX('الرواتب'!$O$3:$O$502,MATCH(181,'الرواتب'!$Z$3:$Z$502,0)),"")</f>
        <v/>
      </c>
      <c r="M187" s="60">
        <f>IFERROR(INDEX('الرواتب'!$P$3:$P$502,MATCH(181,'الرواتب'!$Z$3:$Z$502,0)),"")</f>
        <v/>
      </c>
      <c r="N187" s="60">
        <f>IFERROR(INDEX('الرواتب'!$Q$3:$Q$502,MATCH(181,'الرواتب'!$Z$3:$Z$502,0)),"")</f>
        <v/>
      </c>
      <c r="O187" s="60">
        <f>IFERROR(INDEX('الرواتب'!$R$3:$R$502,MATCH(181,'الرواتب'!$Z$3:$Z$502,0)),"")</f>
        <v/>
      </c>
      <c r="P187" s="60">
        <f>IFERROR(INDEX('الرواتب'!$T$3:$T$502,MATCH(181,'الرواتب'!$Z$3:$Z$502,0)),"")</f>
        <v/>
      </c>
      <c r="Q187" s="60">
        <f>IFERROR(INDEX('الرواتب'!$U$3:$U$502,MATCH(181,'الرواتب'!$Z$3:$Z$502,0)),"")</f>
        <v/>
      </c>
      <c r="R187" s="60">
        <f>IFERROR(INDEX('الرواتب'!$V$3:$V$502,MATCH(181,'الرواتب'!$Z$3:$Z$502,0)),"")</f>
        <v/>
      </c>
    </row>
    <row r="188">
      <c r="A188" s="50">
        <f>IFERROR(INDEX('الرواتب'!$C$3:$C$502,MATCH(182,'الرواتب'!$Z$3:$Z$502,0)),"")</f>
        <v/>
      </c>
      <c r="B188" s="50">
        <f>IFERROR(INDEX('الرواتب'!$D$3:$D$502,MATCH(182,'الرواتب'!$Z$3:$Z$502,0)),"")</f>
        <v/>
      </c>
      <c r="C188" s="50">
        <f>IFERROR(INDEX('الرواتب'!$E$3:$E$502,MATCH(182,'الرواتب'!$Z$3:$Z$502,0)),"")</f>
        <v/>
      </c>
      <c r="D188" s="63">
        <f>IFERROR(INDEX('الرواتب'!$G$3:$G$502,MATCH(182,'الرواتب'!$Z$3:$Z$502,0)),"")</f>
        <v/>
      </c>
      <c r="E188" s="63">
        <f>IFERROR(INDEX('الرواتب'!$H$3:$H$502,MATCH(182,'الرواتب'!$Z$3:$Z$502,0)),"")</f>
        <v/>
      </c>
      <c r="F188" s="63">
        <f>IFERROR(INDEX('الرواتب'!$I$3:$I$502,MATCH(182,'الرواتب'!$Z$3:$Z$502,0)),"")</f>
        <v/>
      </c>
      <c r="G188" s="63">
        <f>IFERROR(INDEX('الرواتب'!$J$3:$J$502,MATCH(182,'الرواتب'!$Z$3:$Z$502,0)),"")</f>
        <v/>
      </c>
      <c r="H188" s="63">
        <f>IFERROR(INDEX('الرواتب'!$K$3:$K$502,MATCH(182,'الرواتب'!$Z$3:$Z$502,0)),"")</f>
        <v/>
      </c>
      <c r="I188" s="63">
        <f>IFERROR(INDEX('الرواتب'!$L$3:$L$502,MATCH(182,'الرواتب'!$Z$3:$Z$502,0)),"")</f>
        <v/>
      </c>
      <c r="J188" s="63">
        <f>IFERROR(INDEX('الرواتب'!$S$3:$S$502,MATCH(182,'الرواتب'!$Z$3:$Z$502,0)),"")</f>
        <v/>
      </c>
      <c r="K188" s="63">
        <f>IFERROR(INDEX('الرواتب'!$N$3:$N$502,MATCH(182,'الرواتب'!$Z$3:$Z$502,0)),"")</f>
        <v/>
      </c>
      <c r="L188" s="63">
        <f>IFERROR(INDEX('الرواتب'!$O$3:$O$502,MATCH(182,'الرواتب'!$Z$3:$Z$502,0)),"")</f>
        <v/>
      </c>
      <c r="M188" s="63">
        <f>IFERROR(INDEX('الرواتب'!$P$3:$P$502,MATCH(182,'الرواتب'!$Z$3:$Z$502,0)),"")</f>
        <v/>
      </c>
      <c r="N188" s="63">
        <f>IFERROR(INDEX('الرواتب'!$Q$3:$Q$502,MATCH(182,'الرواتب'!$Z$3:$Z$502,0)),"")</f>
        <v/>
      </c>
      <c r="O188" s="63">
        <f>IFERROR(INDEX('الرواتب'!$R$3:$R$502,MATCH(182,'الرواتب'!$Z$3:$Z$502,0)),"")</f>
        <v/>
      </c>
      <c r="P188" s="63">
        <f>IFERROR(INDEX('الرواتب'!$T$3:$T$502,MATCH(182,'الرواتب'!$Z$3:$Z$502,0)),"")</f>
        <v/>
      </c>
      <c r="Q188" s="63">
        <f>IFERROR(INDEX('الرواتب'!$U$3:$U$502,MATCH(182,'الرواتب'!$Z$3:$Z$502,0)),"")</f>
        <v/>
      </c>
      <c r="R188" s="63">
        <f>IFERROR(INDEX('الرواتب'!$V$3:$V$502,MATCH(182,'الرواتب'!$Z$3:$Z$502,0)),"")</f>
        <v/>
      </c>
    </row>
    <row r="189">
      <c r="A189" s="43">
        <f>IFERROR(INDEX('الرواتب'!$C$3:$C$502,MATCH(183,'الرواتب'!$Z$3:$Z$502,0)),"")</f>
        <v/>
      </c>
      <c r="B189" s="43">
        <f>IFERROR(INDEX('الرواتب'!$D$3:$D$502,MATCH(183,'الرواتب'!$Z$3:$Z$502,0)),"")</f>
        <v/>
      </c>
      <c r="C189" s="43">
        <f>IFERROR(INDEX('الرواتب'!$E$3:$E$502,MATCH(183,'الرواتب'!$Z$3:$Z$502,0)),"")</f>
        <v/>
      </c>
      <c r="D189" s="60">
        <f>IFERROR(INDEX('الرواتب'!$G$3:$G$502,MATCH(183,'الرواتب'!$Z$3:$Z$502,0)),"")</f>
        <v/>
      </c>
      <c r="E189" s="60">
        <f>IFERROR(INDEX('الرواتب'!$H$3:$H$502,MATCH(183,'الرواتب'!$Z$3:$Z$502,0)),"")</f>
        <v/>
      </c>
      <c r="F189" s="60">
        <f>IFERROR(INDEX('الرواتب'!$I$3:$I$502,MATCH(183,'الرواتب'!$Z$3:$Z$502,0)),"")</f>
        <v/>
      </c>
      <c r="G189" s="60">
        <f>IFERROR(INDEX('الرواتب'!$J$3:$J$502,MATCH(183,'الرواتب'!$Z$3:$Z$502,0)),"")</f>
        <v/>
      </c>
      <c r="H189" s="60">
        <f>IFERROR(INDEX('الرواتب'!$K$3:$K$502,MATCH(183,'الرواتب'!$Z$3:$Z$502,0)),"")</f>
        <v/>
      </c>
      <c r="I189" s="60">
        <f>IFERROR(INDEX('الرواتب'!$L$3:$L$502,MATCH(183,'الرواتب'!$Z$3:$Z$502,0)),"")</f>
        <v/>
      </c>
      <c r="J189" s="60">
        <f>IFERROR(INDEX('الرواتب'!$S$3:$S$502,MATCH(183,'الرواتب'!$Z$3:$Z$502,0)),"")</f>
        <v/>
      </c>
      <c r="K189" s="60">
        <f>IFERROR(INDEX('الرواتب'!$N$3:$N$502,MATCH(183,'الرواتب'!$Z$3:$Z$502,0)),"")</f>
        <v/>
      </c>
      <c r="L189" s="60">
        <f>IFERROR(INDEX('الرواتب'!$O$3:$O$502,MATCH(183,'الرواتب'!$Z$3:$Z$502,0)),"")</f>
        <v/>
      </c>
      <c r="M189" s="60">
        <f>IFERROR(INDEX('الرواتب'!$P$3:$P$502,MATCH(183,'الرواتب'!$Z$3:$Z$502,0)),"")</f>
        <v/>
      </c>
      <c r="N189" s="60">
        <f>IFERROR(INDEX('الرواتب'!$Q$3:$Q$502,MATCH(183,'الرواتب'!$Z$3:$Z$502,0)),"")</f>
        <v/>
      </c>
      <c r="O189" s="60">
        <f>IFERROR(INDEX('الرواتب'!$R$3:$R$502,MATCH(183,'الرواتب'!$Z$3:$Z$502,0)),"")</f>
        <v/>
      </c>
      <c r="P189" s="60">
        <f>IFERROR(INDEX('الرواتب'!$T$3:$T$502,MATCH(183,'الرواتب'!$Z$3:$Z$502,0)),"")</f>
        <v/>
      </c>
      <c r="Q189" s="60">
        <f>IFERROR(INDEX('الرواتب'!$U$3:$U$502,MATCH(183,'الرواتب'!$Z$3:$Z$502,0)),"")</f>
        <v/>
      </c>
      <c r="R189" s="60">
        <f>IFERROR(INDEX('الرواتب'!$V$3:$V$502,MATCH(183,'الرواتب'!$Z$3:$Z$502,0)),"")</f>
        <v/>
      </c>
    </row>
    <row r="190">
      <c r="A190" s="50">
        <f>IFERROR(INDEX('الرواتب'!$C$3:$C$502,MATCH(184,'الرواتب'!$Z$3:$Z$502,0)),"")</f>
        <v/>
      </c>
      <c r="B190" s="50">
        <f>IFERROR(INDEX('الرواتب'!$D$3:$D$502,MATCH(184,'الرواتب'!$Z$3:$Z$502,0)),"")</f>
        <v/>
      </c>
      <c r="C190" s="50">
        <f>IFERROR(INDEX('الرواتب'!$E$3:$E$502,MATCH(184,'الرواتب'!$Z$3:$Z$502,0)),"")</f>
        <v/>
      </c>
      <c r="D190" s="63">
        <f>IFERROR(INDEX('الرواتب'!$G$3:$G$502,MATCH(184,'الرواتب'!$Z$3:$Z$502,0)),"")</f>
        <v/>
      </c>
      <c r="E190" s="63">
        <f>IFERROR(INDEX('الرواتب'!$H$3:$H$502,MATCH(184,'الرواتب'!$Z$3:$Z$502,0)),"")</f>
        <v/>
      </c>
      <c r="F190" s="63">
        <f>IFERROR(INDEX('الرواتب'!$I$3:$I$502,MATCH(184,'الرواتب'!$Z$3:$Z$502,0)),"")</f>
        <v/>
      </c>
      <c r="G190" s="63">
        <f>IFERROR(INDEX('الرواتب'!$J$3:$J$502,MATCH(184,'الرواتب'!$Z$3:$Z$502,0)),"")</f>
        <v/>
      </c>
      <c r="H190" s="63">
        <f>IFERROR(INDEX('الرواتب'!$K$3:$K$502,MATCH(184,'الرواتب'!$Z$3:$Z$502,0)),"")</f>
        <v/>
      </c>
      <c r="I190" s="63">
        <f>IFERROR(INDEX('الرواتب'!$L$3:$L$502,MATCH(184,'الرواتب'!$Z$3:$Z$502,0)),"")</f>
        <v/>
      </c>
      <c r="J190" s="63">
        <f>IFERROR(INDEX('الرواتب'!$S$3:$S$502,MATCH(184,'الرواتب'!$Z$3:$Z$502,0)),"")</f>
        <v/>
      </c>
      <c r="K190" s="63">
        <f>IFERROR(INDEX('الرواتب'!$N$3:$N$502,MATCH(184,'الرواتب'!$Z$3:$Z$502,0)),"")</f>
        <v/>
      </c>
      <c r="L190" s="63">
        <f>IFERROR(INDEX('الرواتب'!$O$3:$O$502,MATCH(184,'الرواتب'!$Z$3:$Z$502,0)),"")</f>
        <v/>
      </c>
      <c r="M190" s="63">
        <f>IFERROR(INDEX('الرواتب'!$P$3:$P$502,MATCH(184,'الرواتب'!$Z$3:$Z$502,0)),"")</f>
        <v/>
      </c>
      <c r="N190" s="63">
        <f>IFERROR(INDEX('الرواتب'!$Q$3:$Q$502,MATCH(184,'الرواتب'!$Z$3:$Z$502,0)),"")</f>
        <v/>
      </c>
      <c r="O190" s="63">
        <f>IFERROR(INDEX('الرواتب'!$R$3:$R$502,MATCH(184,'الرواتب'!$Z$3:$Z$502,0)),"")</f>
        <v/>
      </c>
      <c r="P190" s="63">
        <f>IFERROR(INDEX('الرواتب'!$T$3:$T$502,MATCH(184,'الرواتب'!$Z$3:$Z$502,0)),"")</f>
        <v/>
      </c>
      <c r="Q190" s="63">
        <f>IFERROR(INDEX('الرواتب'!$U$3:$U$502,MATCH(184,'الرواتب'!$Z$3:$Z$502,0)),"")</f>
        <v/>
      </c>
      <c r="R190" s="63">
        <f>IFERROR(INDEX('الرواتب'!$V$3:$V$502,MATCH(184,'الرواتب'!$Z$3:$Z$502,0)),"")</f>
        <v/>
      </c>
    </row>
    <row r="191">
      <c r="A191" s="43">
        <f>IFERROR(INDEX('الرواتب'!$C$3:$C$502,MATCH(185,'الرواتب'!$Z$3:$Z$502,0)),"")</f>
        <v/>
      </c>
      <c r="B191" s="43">
        <f>IFERROR(INDEX('الرواتب'!$D$3:$D$502,MATCH(185,'الرواتب'!$Z$3:$Z$502,0)),"")</f>
        <v/>
      </c>
      <c r="C191" s="43">
        <f>IFERROR(INDEX('الرواتب'!$E$3:$E$502,MATCH(185,'الرواتب'!$Z$3:$Z$502,0)),"")</f>
        <v/>
      </c>
      <c r="D191" s="60">
        <f>IFERROR(INDEX('الرواتب'!$G$3:$G$502,MATCH(185,'الرواتب'!$Z$3:$Z$502,0)),"")</f>
        <v/>
      </c>
      <c r="E191" s="60">
        <f>IFERROR(INDEX('الرواتب'!$H$3:$H$502,MATCH(185,'الرواتب'!$Z$3:$Z$502,0)),"")</f>
        <v/>
      </c>
      <c r="F191" s="60">
        <f>IFERROR(INDEX('الرواتب'!$I$3:$I$502,MATCH(185,'الرواتب'!$Z$3:$Z$502,0)),"")</f>
        <v/>
      </c>
      <c r="G191" s="60">
        <f>IFERROR(INDEX('الرواتب'!$J$3:$J$502,MATCH(185,'الرواتب'!$Z$3:$Z$502,0)),"")</f>
        <v/>
      </c>
      <c r="H191" s="60">
        <f>IFERROR(INDEX('الرواتب'!$K$3:$K$502,MATCH(185,'الرواتب'!$Z$3:$Z$502,0)),"")</f>
        <v/>
      </c>
      <c r="I191" s="60">
        <f>IFERROR(INDEX('الرواتب'!$L$3:$L$502,MATCH(185,'الرواتب'!$Z$3:$Z$502,0)),"")</f>
        <v/>
      </c>
      <c r="J191" s="60">
        <f>IFERROR(INDEX('الرواتب'!$S$3:$S$502,MATCH(185,'الرواتب'!$Z$3:$Z$502,0)),"")</f>
        <v/>
      </c>
      <c r="K191" s="60">
        <f>IFERROR(INDEX('الرواتب'!$N$3:$N$502,MATCH(185,'الرواتب'!$Z$3:$Z$502,0)),"")</f>
        <v/>
      </c>
      <c r="L191" s="60">
        <f>IFERROR(INDEX('الرواتب'!$O$3:$O$502,MATCH(185,'الرواتب'!$Z$3:$Z$502,0)),"")</f>
        <v/>
      </c>
      <c r="M191" s="60">
        <f>IFERROR(INDEX('الرواتب'!$P$3:$P$502,MATCH(185,'الرواتب'!$Z$3:$Z$502,0)),"")</f>
        <v/>
      </c>
      <c r="N191" s="60">
        <f>IFERROR(INDEX('الرواتب'!$Q$3:$Q$502,MATCH(185,'الرواتب'!$Z$3:$Z$502,0)),"")</f>
        <v/>
      </c>
      <c r="O191" s="60">
        <f>IFERROR(INDEX('الرواتب'!$R$3:$R$502,MATCH(185,'الرواتب'!$Z$3:$Z$502,0)),"")</f>
        <v/>
      </c>
      <c r="P191" s="60">
        <f>IFERROR(INDEX('الرواتب'!$T$3:$T$502,MATCH(185,'الرواتب'!$Z$3:$Z$502,0)),"")</f>
        <v/>
      </c>
      <c r="Q191" s="60">
        <f>IFERROR(INDEX('الرواتب'!$U$3:$U$502,MATCH(185,'الرواتب'!$Z$3:$Z$502,0)),"")</f>
        <v/>
      </c>
      <c r="R191" s="60">
        <f>IFERROR(INDEX('الرواتب'!$V$3:$V$502,MATCH(185,'الرواتب'!$Z$3:$Z$502,0)),"")</f>
        <v/>
      </c>
    </row>
    <row r="192">
      <c r="A192" s="50">
        <f>IFERROR(INDEX('الرواتب'!$C$3:$C$502,MATCH(186,'الرواتب'!$Z$3:$Z$502,0)),"")</f>
        <v/>
      </c>
      <c r="B192" s="50">
        <f>IFERROR(INDEX('الرواتب'!$D$3:$D$502,MATCH(186,'الرواتب'!$Z$3:$Z$502,0)),"")</f>
        <v/>
      </c>
      <c r="C192" s="50">
        <f>IFERROR(INDEX('الرواتب'!$E$3:$E$502,MATCH(186,'الرواتب'!$Z$3:$Z$502,0)),"")</f>
        <v/>
      </c>
      <c r="D192" s="63">
        <f>IFERROR(INDEX('الرواتب'!$G$3:$G$502,MATCH(186,'الرواتب'!$Z$3:$Z$502,0)),"")</f>
        <v/>
      </c>
      <c r="E192" s="63">
        <f>IFERROR(INDEX('الرواتب'!$H$3:$H$502,MATCH(186,'الرواتب'!$Z$3:$Z$502,0)),"")</f>
        <v/>
      </c>
      <c r="F192" s="63">
        <f>IFERROR(INDEX('الرواتب'!$I$3:$I$502,MATCH(186,'الرواتب'!$Z$3:$Z$502,0)),"")</f>
        <v/>
      </c>
      <c r="G192" s="63">
        <f>IFERROR(INDEX('الرواتب'!$J$3:$J$502,MATCH(186,'الرواتب'!$Z$3:$Z$502,0)),"")</f>
        <v/>
      </c>
      <c r="H192" s="63">
        <f>IFERROR(INDEX('الرواتب'!$K$3:$K$502,MATCH(186,'الرواتب'!$Z$3:$Z$502,0)),"")</f>
        <v/>
      </c>
      <c r="I192" s="63">
        <f>IFERROR(INDEX('الرواتب'!$L$3:$L$502,MATCH(186,'الرواتب'!$Z$3:$Z$502,0)),"")</f>
        <v/>
      </c>
      <c r="J192" s="63">
        <f>IFERROR(INDEX('الرواتب'!$S$3:$S$502,MATCH(186,'الرواتب'!$Z$3:$Z$502,0)),"")</f>
        <v/>
      </c>
      <c r="K192" s="63">
        <f>IFERROR(INDEX('الرواتب'!$N$3:$N$502,MATCH(186,'الرواتب'!$Z$3:$Z$502,0)),"")</f>
        <v/>
      </c>
      <c r="L192" s="63">
        <f>IFERROR(INDEX('الرواتب'!$O$3:$O$502,MATCH(186,'الرواتب'!$Z$3:$Z$502,0)),"")</f>
        <v/>
      </c>
      <c r="M192" s="63">
        <f>IFERROR(INDEX('الرواتب'!$P$3:$P$502,MATCH(186,'الرواتب'!$Z$3:$Z$502,0)),"")</f>
        <v/>
      </c>
      <c r="N192" s="63">
        <f>IFERROR(INDEX('الرواتب'!$Q$3:$Q$502,MATCH(186,'الرواتب'!$Z$3:$Z$502,0)),"")</f>
        <v/>
      </c>
      <c r="O192" s="63">
        <f>IFERROR(INDEX('الرواتب'!$R$3:$R$502,MATCH(186,'الرواتب'!$Z$3:$Z$502,0)),"")</f>
        <v/>
      </c>
      <c r="P192" s="63">
        <f>IFERROR(INDEX('الرواتب'!$T$3:$T$502,MATCH(186,'الرواتب'!$Z$3:$Z$502,0)),"")</f>
        <v/>
      </c>
      <c r="Q192" s="63">
        <f>IFERROR(INDEX('الرواتب'!$U$3:$U$502,MATCH(186,'الرواتب'!$Z$3:$Z$502,0)),"")</f>
        <v/>
      </c>
      <c r="R192" s="63">
        <f>IFERROR(INDEX('الرواتب'!$V$3:$V$502,MATCH(186,'الرواتب'!$Z$3:$Z$502,0)),"")</f>
        <v/>
      </c>
    </row>
    <row r="193">
      <c r="A193" s="43">
        <f>IFERROR(INDEX('الرواتب'!$C$3:$C$502,MATCH(187,'الرواتب'!$Z$3:$Z$502,0)),"")</f>
        <v/>
      </c>
      <c r="B193" s="43">
        <f>IFERROR(INDEX('الرواتب'!$D$3:$D$502,MATCH(187,'الرواتب'!$Z$3:$Z$502,0)),"")</f>
        <v/>
      </c>
      <c r="C193" s="43">
        <f>IFERROR(INDEX('الرواتب'!$E$3:$E$502,MATCH(187,'الرواتب'!$Z$3:$Z$502,0)),"")</f>
        <v/>
      </c>
      <c r="D193" s="60">
        <f>IFERROR(INDEX('الرواتب'!$G$3:$G$502,MATCH(187,'الرواتب'!$Z$3:$Z$502,0)),"")</f>
        <v/>
      </c>
      <c r="E193" s="60">
        <f>IFERROR(INDEX('الرواتب'!$H$3:$H$502,MATCH(187,'الرواتب'!$Z$3:$Z$502,0)),"")</f>
        <v/>
      </c>
      <c r="F193" s="60">
        <f>IFERROR(INDEX('الرواتب'!$I$3:$I$502,MATCH(187,'الرواتب'!$Z$3:$Z$502,0)),"")</f>
        <v/>
      </c>
      <c r="G193" s="60">
        <f>IFERROR(INDEX('الرواتب'!$J$3:$J$502,MATCH(187,'الرواتب'!$Z$3:$Z$502,0)),"")</f>
        <v/>
      </c>
      <c r="H193" s="60">
        <f>IFERROR(INDEX('الرواتب'!$K$3:$K$502,MATCH(187,'الرواتب'!$Z$3:$Z$502,0)),"")</f>
        <v/>
      </c>
      <c r="I193" s="60">
        <f>IFERROR(INDEX('الرواتب'!$L$3:$L$502,MATCH(187,'الرواتب'!$Z$3:$Z$502,0)),"")</f>
        <v/>
      </c>
      <c r="J193" s="60">
        <f>IFERROR(INDEX('الرواتب'!$S$3:$S$502,MATCH(187,'الرواتب'!$Z$3:$Z$502,0)),"")</f>
        <v/>
      </c>
      <c r="K193" s="60">
        <f>IFERROR(INDEX('الرواتب'!$N$3:$N$502,MATCH(187,'الرواتب'!$Z$3:$Z$502,0)),"")</f>
        <v/>
      </c>
      <c r="L193" s="60">
        <f>IFERROR(INDEX('الرواتب'!$O$3:$O$502,MATCH(187,'الرواتب'!$Z$3:$Z$502,0)),"")</f>
        <v/>
      </c>
      <c r="M193" s="60">
        <f>IFERROR(INDEX('الرواتب'!$P$3:$P$502,MATCH(187,'الرواتب'!$Z$3:$Z$502,0)),"")</f>
        <v/>
      </c>
      <c r="N193" s="60">
        <f>IFERROR(INDEX('الرواتب'!$Q$3:$Q$502,MATCH(187,'الرواتب'!$Z$3:$Z$502,0)),"")</f>
        <v/>
      </c>
      <c r="O193" s="60">
        <f>IFERROR(INDEX('الرواتب'!$R$3:$R$502,MATCH(187,'الرواتب'!$Z$3:$Z$502,0)),"")</f>
        <v/>
      </c>
      <c r="P193" s="60">
        <f>IFERROR(INDEX('الرواتب'!$T$3:$T$502,MATCH(187,'الرواتب'!$Z$3:$Z$502,0)),"")</f>
        <v/>
      </c>
      <c r="Q193" s="60">
        <f>IFERROR(INDEX('الرواتب'!$U$3:$U$502,MATCH(187,'الرواتب'!$Z$3:$Z$502,0)),"")</f>
        <v/>
      </c>
      <c r="R193" s="60">
        <f>IFERROR(INDEX('الرواتب'!$V$3:$V$502,MATCH(187,'الرواتب'!$Z$3:$Z$502,0)),"")</f>
        <v/>
      </c>
    </row>
    <row r="194">
      <c r="A194" s="50">
        <f>IFERROR(INDEX('الرواتب'!$C$3:$C$502,MATCH(188,'الرواتب'!$Z$3:$Z$502,0)),"")</f>
        <v/>
      </c>
      <c r="B194" s="50">
        <f>IFERROR(INDEX('الرواتب'!$D$3:$D$502,MATCH(188,'الرواتب'!$Z$3:$Z$502,0)),"")</f>
        <v/>
      </c>
      <c r="C194" s="50">
        <f>IFERROR(INDEX('الرواتب'!$E$3:$E$502,MATCH(188,'الرواتب'!$Z$3:$Z$502,0)),"")</f>
        <v/>
      </c>
      <c r="D194" s="63">
        <f>IFERROR(INDEX('الرواتب'!$G$3:$G$502,MATCH(188,'الرواتب'!$Z$3:$Z$502,0)),"")</f>
        <v/>
      </c>
      <c r="E194" s="63">
        <f>IFERROR(INDEX('الرواتب'!$H$3:$H$502,MATCH(188,'الرواتب'!$Z$3:$Z$502,0)),"")</f>
        <v/>
      </c>
      <c r="F194" s="63">
        <f>IFERROR(INDEX('الرواتب'!$I$3:$I$502,MATCH(188,'الرواتب'!$Z$3:$Z$502,0)),"")</f>
        <v/>
      </c>
      <c r="G194" s="63">
        <f>IFERROR(INDEX('الرواتب'!$J$3:$J$502,MATCH(188,'الرواتب'!$Z$3:$Z$502,0)),"")</f>
        <v/>
      </c>
      <c r="H194" s="63">
        <f>IFERROR(INDEX('الرواتب'!$K$3:$K$502,MATCH(188,'الرواتب'!$Z$3:$Z$502,0)),"")</f>
        <v/>
      </c>
      <c r="I194" s="63">
        <f>IFERROR(INDEX('الرواتب'!$L$3:$L$502,MATCH(188,'الرواتب'!$Z$3:$Z$502,0)),"")</f>
        <v/>
      </c>
      <c r="J194" s="63">
        <f>IFERROR(INDEX('الرواتب'!$S$3:$S$502,MATCH(188,'الرواتب'!$Z$3:$Z$502,0)),"")</f>
        <v/>
      </c>
      <c r="K194" s="63">
        <f>IFERROR(INDEX('الرواتب'!$N$3:$N$502,MATCH(188,'الرواتب'!$Z$3:$Z$502,0)),"")</f>
        <v/>
      </c>
      <c r="L194" s="63">
        <f>IFERROR(INDEX('الرواتب'!$O$3:$O$502,MATCH(188,'الرواتب'!$Z$3:$Z$502,0)),"")</f>
        <v/>
      </c>
      <c r="M194" s="63">
        <f>IFERROR(INDEX('الرواتب'!$P$3:$P$502,MATCH(188,'الرواتب'!$Z$3:$Z$502,0)),"")</f>
        <v/>
      </c>
      <c r="N194" s="63">
        <f>IFERROR(INDEX('الرواتب'!$Q$3:$Q$502,MATCH(188,'الرواتب'!$Z$3:$Z$502,0)),"")</f>
        <v/>
      </c>
      <c r="O194" s="63">
        <f>IFERROR(INDEX('الرواتب'!$R$3:$R$502,MATCH(188,'الرواتب'!$Z$3:$Z$502,0)),"")</f>
        <v/>
      </c>
      <c r="P194" s="63">
        <f>IFERROR(INDEX('الرواتب'!$T$3:$T$502,MATCH(188,'الرواتب'!$Z$3:$Z$502,0)),"")</f>
        <v/>
      </c>
      <c r="Q194" s="63">
        <f>IFERROR(INDEX('الرواتب'!$U$3:$U$502,MATCH(188,'الرواتب'!$Z$3:$Z$502,0)),"")</f>
        <v/>
      </c>
      <c r="R194" s="63">
        <f>IFERROR(INDEX('الرواتب'!$V$3:$V$502,MATCH(188,'الرواتب'!$Z$3:$Z$502,0)),"")</f>
        <v/>
      </c>
    </row>
    <row r="195">
      <c r="A195" s="43">
        <f>IFERROR(INDEX('الرواتب'!$C$3:$C$502,MATCH(189,'الرواتب'!$Z$3:$Z$502,0)),"")</f>
        <v/>
      </c>
      <c r="B195" s="43">
        <f>IFERROR(INDEX('الرواتب'!$D$3:$D$502,MATCH(189,'الرواتب'!$Z$3:$Z$502,0)),"")</f>
        <v/>
      </c>
      <c r="C195" s="43">
        <f>IFERROR(INDEX('الرواتب'!$E$3:$E$502,MATCH(189,'الرواتب'!$Z$3:$Z$502,0)),"")</f>
        <v/>
      </c>
      <c r="D195" s="60">
        <f>IFERROR(INDEX('الرواتب'!$G$3:$G$502,MATCH(189,'الرواتب'!$Z$3:$Z$502,0)),"")</f>
        <v/>
      </c>
      <c r="E195" s="60">
        <f>IFERROR(INDEX('الرواتب'!$H$3:$H$502,MATCH(189,'الرواتب'!$Z$3:$Z$502,0)),"")</f>
        <v/>
      </c>
      <c r="F195" s="60">
        <f>IFERROR(INDEX('الرواتب'!$I$3:$I$502,MATCH(189,'الرواتب'!$Z$3:$Z$502,0)),"")</f>
        <v/>
      </c>
      <c r="G195" s="60">
        <f>IFERROR(INDEX('الرواتب'!$J$3:$J$502,MATCH(189,'الرواتب'!$Z$3:$Z$502,0)),"")</f>
        <v/>
      </c>
      <c r="H195" s="60">
        <f>IFERROR(INDEX('الرواتب'!$K$3:$K$502,MATCH(189,'الرواتب'!$Z$3:$Z$502,0)),"")</f>
        <v/>
      </c>
      <c r="I195" s="60">
        <f>IFERROR(INDEX('الرواتب'!$L$3:$L$502,MATCH(189,'الرواتب'!$Z$3:$Z$502,0)),"")</f>
        <v/>
      </c>
      <c r="J195" s="60">
        <f>IFERROR(INDEX('الرواتب'!$S$3:$S$502,MATCH(189,'الرواتب'!$Z$3:$Z$502,0)),"")</f>
        <v/>
      </c>
      <c r="K195" s="60">
        <f>IFERROR(INDEX('الرواتب'!$N$3:$N$502,MATCH(189,'الرواتب'!$Z$3:$Z$502,0)),"")</f>
        <v/>
      </c>
      <c r="L195" s="60">
        <f>IFERROR(INDEX('الرواتب'!$O$3:$O$502,MATCH(189,'الرواتب'!$Z$3:$Z$502,0)),"")</f>
        <v/>
      </c>
      <c r="M195" s="60">
        <f>IFERROR(INDEX('الرواتب'!$P$3:$P$502,MATCH(189,'الرواتب'!$Z$3:$Z$502,0)),"")</f>
        <v/>
      </c>
      <c r="N195" s="60">
        <f>IFERROR(INDEX('الرواتب'!$Q$3:$Q$502,MATCH(189,'الرواتب'!$Z$3:$Z$502,0)),"")</f>
        <v/>
      </c>
      <c r="O195" s="60">
        <f>IFERROR(INDEX('الرواتب'!$R$3:$R$502,MATCH(189,'الرواتب'!$Z$3:$Z$502,0)),"")</f>
        <v/>
      </c>
      <c r="P195" s="60">
        <f>IFERROR(INDEX('الرواتب'!$T$3:$T$502,MATCH(189,'الرواتب'!$Z$3:$Z$502,0)),"")</f>
        <v/>
      </c>
      <c r="Q195" s="60">
        <f>IFERROR(INDEX('الرواتب'!$U$3:$U$502,MATCH(189,'الرواتب'!$Z$3:$Z$502,0)),"")</f>
        <v/>
      </c>
      <c r="R195" s="60">
        <f>IFERROR(INDEX('الرواتب'!$V$3:$V$502,MATCH(189,'الرواتب'!$Z$3:$Z$502,0)),"")</f>
        <v/>
      </c>
    </row>
    <row r="196">
      <c r="A196" s="50">
        <f>IFERROR(INDEX('الرواتب'!$C$3:$C$502,MATCH(190,'الرواتب'!$Z$3:$Z$502,0)),"")</f>
        <v/>
      </c>
      <c r="B196" s="50">
        <f>IFERROR(INDEX('الرواتب'!$D$3:$D$502,MATCH(190,'الرواتب'!$Z$3:$Z$502,0)),"")</f>
        <v/>
      </c>
      <c r="C196" s="50">
        <f>IFERROR(INDEX('الرواتب'!$E$3:$E$502,MATCH(190,'الرواتب'!$Z$3:$Z$502,0)),"")</f>
        <v/>
      </c>
      <c r="D196" s="63">
        <f>IFERROR(INDEX('الرواتب'!$G$3:$G$502,MATCH(190,'الرواتب'!$Z$3:$Z$502,0)),"")</f>
        <v/>
      </c>
      <c r="E196" s="63">
        <f>IFERROR(INDEX('الرواتب'!$H$3:$H$502,MATCH(190,'الرواتب'!$Z$3:$Z$502,0)),"")</f>
        <v/>
      </c>
      <c r="F196" s="63">
        <f>IFERROR(INDEX('الرواتب'!$I$3:$I$502,MATCH(190,'الرواتب'!$Z$3:$Z$502,0)),"")</f>
        <v/>
      </c>
      <c r="G196" s="63">
        <f>IFERROR(INDEX('الرواتب'!$J$3:$J$502,MATCH(190,'الرواتب'!$Z$3:$Z$502,0)),"")</f>
        <v/>
      </c>
      <c r="H196" s="63">
        <f>IFERROR(INDEX('الرواتب'!$K$3:$K$502,MATCH(190,'الرواتب'!$Z$3:$Z$502,0)),"")</f>
        <v/>
      </c>
      <c r="I196" s="63">
        <f>IFERROR(INDEX('الرواتب'!$L$3:$L$502,MATCH(190,'الرواتب'!$Z$3:$Z$502,0)),"")</f>
        <v/>
      </c>
      <c r="J196" s="63">
        <f>IFERROR(INDEX('الرواتب'!$S$3:$S$502,MATCH(190,'الرواتب'!$Z$3:$Z$502,0)),"")</f>
        <v/>
      </c>
      <c r="K196" s="63">
        <f>IFERROR(INDEX('الرواتب'!$N$3:$N$502,MATCH(190,'الرواتب'!$Z$3:$Z$502,0)),"")</f>
        <v/>
      </c>
      <c r="L196" s="63">
        <f>IFERROR(INDEX('الرواتب'!$O$3:$O$502,MATCH(190,'الرواتب'!$Z$3:$Z$502,0)),"")</f>
        <v/>
      </c>
      <c r="M196" s="63">
        <f>IFERROR(INDEX('الرواتب'!$P$3:$P$502,MATCH(190,'الرواتب'!$Z$3:$Z$502,0)),"")</f>
        <v/>
      </c>
      <c r="N196" s="63">
        <f>IFERROR(INDEX('الرواتب'!$Q$3:$Q$502,MATCH(190,'الرواتب'!$Z$3:$Z$502,0)),"")</f>
        <v/>
      </c>
      <c r="O196" s="63">
        <f>IFERROR(INDEX('الرواتب'!$R$3:$R$502,MATCH(190,'الرواتب'!$Z$3:$Z$502,0)),"")</f>
        <v/>
      </c>
      <c r="P196" s="63">
        <f>IFERROR(INDEX('الرواتب'!$T$3:$T$502,MATCH(190,'الرواتب'!$Z$3:$Z$502,0)),"")</f>
        <v/>
      </c>
      <c r="Q196" s="63">
        <f>IFERROR(INDEX('الرواتب'!$U$3:$U$502,MATCH(190,'الرواتب'!$Z$3:$Z$502,0)),"")</f>
        <v/>
      </c>
      <c r="R196" s="63">
        <f>IFERROR(INDEX('الرواتب'!$V$3:$V$502,MATCH(190,'الرواتب'!$Z$3:$Z$502,0)),"")</f>
        <v/>
      </c>
    </row>
    <row r="197">
      <c r="A197" s="43">
        <f>IFERROR(INDEX('الرواتب'!$C$3:$C$502,MATCH(191,'الرواتب'!$Z$3:$Z$502,0)),"")</f>
        <v/>
      </c>
      <c r="B197" s="43">
        <f>IFERROR(INDEX('الرواتب'!$D$3:$D$502,MATCH(191,'الرواتب'!$Z$3:$Z$502,0)),"")</f>
        <v/>
      </c>
      <c r="C197" s="43">
        <f>IFERROR(INDEX('الرواتب'!$E$3:$E$502,MATCH(191,'الرواتب'!$Z$3:$Z$502,0)),"")</f>
        <v/>
      </c>
      <c r="D197" s="60">
        <f>IFERROR(INDEX('الرواتب'!$G$3:$G$502,MATCH(191,'الرواتب'!$Z$3:$Z$502,0)),"")</f>
        <v/>
      </c>
      <c r="E197" s="60">
        <f>IFERROR(INDEX('الرواتب'!$H$3:$H$502,MATCH(191,'الرواتب'!$Z$3:$Z$502,0)),"")</f>
        <v/>
      </c>
      <c r="F197" s="60">
        <f>IFERROR(INDEX('الرواتب'!$I$3:$I$502,MATCH(191,'الرواتب'!$Z$3:$Z$502,0)),"")</f>
        <v/>
      </c>
      <c r="G197" s="60">
        <f>IFERROR(INDEX('الرواتب'!$J$3:$J$502,MATCH(191,'الرواتب'!$Z$3:$Z$502,0)),"")</f>
        <v/>
      </c>
      <c r="H197" s="60">
        <f>IFERROR(INDEX('الرواتب'!$K$3:$K$502,MATCH(191,'الرواتب'!$Z$3:$Z$502,0)),"")</f>
        <v/>
      </c>
      <c r="I197" s="60">
        <f>IFERROR(INDEX('الرواتب'!$L$3:$L$502,MATCH(191,'الرواتب'!$Z$3:$Z$502,0)),"")</f>
        <v/>
      </c>
      <c r="J197" s="60">
        <f>IFERROR(INDEX('الرواتب'!$S$3:$S$502,MATCH(191,'الرواتب'!$Z$3:$Z$502,0)),"")</f>
        <v/>
      </c>
      <c r="K197" s="60">
        <f>IFERROR(INDEX('الرواتب'!$N$3:$N$502,MATCH(191,'الرواتب'!$Z$3:$Z$502,0)),"")</f>
        <v/>
      </c>
      <c r="L197" s="60">
        <f>IFERROR(INDEX('الرواتب'!$O$3:$O$502,MATCH(191,'الرواتب'!$Z$3:$Z$502,0)),"")</f>
        <v/>
      </c>
      <c r="M197" s="60">
        <f>IFERROR(INDEX('الرواتب'!$P$3:$P$502,MATCH(191,'الرواتب'!$Z$3:$Z$502,0)),"")</f>
        <v/>
      </c>
      <c r="N197" s="60">
        <f>IFERROR(INDEX('الرواتب'!$Q$3:$Q$502,MATCH(191,'الرواتب'!$Z$3:$Z$502,0)),"")</f>
        <v/>
      </c>
      <c r="O197" s="60">
        <f>IFERROR(INDEX('الرواتب'!$R$3:$R$502,MATCH(191,'الرواتب'!$Z$3:$Z$502,0)),"")</f>
        <v/>
      </c>
      <c r="P197" s="60">
        <f>IFERROR(INDEX('الرواتب'!$T$3:$T$502,MATCH(191,'الرواتب'!$Z$3:$Z$502,0)),"")</f>
        <v/>
      </c>
      <c r="Q197" s="60">
        <f>IFERROR(INDEX('الرواتب'!$U$3:$U$502,MATCH(191,'الرواتب'!$Z$3:$Z$502,0)),"")</f>
        <v/>
      </c>
      <c r="R197" s="60">
        <f>IFERROR(INDEX('الرواتب'!$V$3:$V$502,MATCH(191,'الرواتب'!$Z$3:$Z$502,0)),"")</f>
        <v/>
      </c>
    </row>
    <row r="198">
      <c r="A198" s="50">
        <f>IFERROR(INDEX('الرواتب'!$C$3:$C$502,MATCH(192,'الرواتب'!$Z$3:$Z$502,0)),"")</f>
        <v/>
      </c>
      <c r="B198" s="50">
        <f>IFERROR(INDEX('الرواتب'!$D$3:$D$502,MATCH(192,'الرواتب'!$Z$3:$Z$502,0)),"")</f>
        <v/>
      </c>
      <c r="C198" s="50">
        <f>IFERROR(INDEX('الرواتب'!$E$3:$E$502,MATCH(192,'الرواتب'!$Z$3:$Z$502,0)),"")</f>
        <v/>
      </c>
      <c r="D198" s="63">
        <f>IFERROR(INDEX('الرواتب'!$G$3:$G$502,MATCH(192,'الرواتب'!$Z$3:$Z$502,0)),"")</f>
        <v/>
      </c>
      <c r="E198" s="63">
        <f>IFERROR(INDEX('الرواتب'!$H$3:$H$502,MATCH(192,'الرواتب'!$Z$3:$Z$502,0)),"")</f>
        <v/>
      </c>
      <c r="F198" s="63">
        <f>IFERROR(INDEX('الرواتب'!$I$3:$I$502,MATCH(192,'الرواتب'!$Z$3:$Z$502,0)),"")</f>
        <v/>
      </c>
      <c r="G198" s="63">
        <f>IFERROR(INDEX('الرواتب'!$J$3:$J$502,MATCH(192,'الرواتب'!$Z$3:$Z$502,0)),"")</f>
        <v/>
      </c>
      <c r="H198" s="63">
        <f>IFERROR(INDEX('الرواتب'!$K$3:$K$502,MATCH(192,'الرواتب'!$Z$3:$Z$502,0)),"")</f>
        <v/>
      </c>
      <c r="I198" s="63">
        <f>IFERROR(INDEX('الرواتب'!$L$3:$L$502,MATCH(192,'الرواتب'!$Z$3:$Z$502,0)),"")</f>
        <v/>
      </c>
      <c r="J198" s="63">
        <f>IFERROR(INDEX('الرواتب'!$S$3:$S$502,MATCH(192,'الرواتب'!$Z$3:$Z$502,0)),"")</f>
        <v/>
      </c>
      <c r="K198" s="63">
        <f>IFERROR(INDEX('الرواتب'!$N$3:$N$502,MATCH(192,'الرواتب'!$Z$3:$Z$502,0)),"")</f>
        <v/>
      </c>
      <c r="L198" s="63">
        <f>IFERROR(INDEX('الرواتب'!$O$3:$O$502,MATCH(192,'الرواتب'!$Z$3:$Z$502,0)),"")</f>
        <v/>
      </c>
      <c r="M198" s="63">
        <f>IFERROR(INDEX('الرواتب'!$P$3:$P$502,MATCH(192,'الرواتب'!$Z$3:$Z$502,0)),"")</f>
        <v/>
      </c>
      <c r="N198" s="63">
        <f>IFERROR(INDEX('الرواتب'!$Q$3:$Q$502,MATCH(192,'الرواتب'!$Z$3:$Z$502,0)),"")</f>
        <v/>
      </c>
      <c r="O198" s="63">
        <f>IFERROR(INDEX('الرواتب'!$R$3:$R$502,MATCH(192,'الرواتب'!$Z$3:$Z$502,0)),"")</f>
        <v/>
      </c>
      <c r="P198" s="63">
        <f>IFERROR(INDEX('الرواتب'!$T$3:$T$502,MATCH(192,'الرواتب'!$Z$3:$Z$502,0)),"")</f>
        <v/>
      </c>
      <c r="Q198" s="63">
        <f>IFERROR(INDEX('الرواتب'!$U$3:$U$502,MATCH(192,'الرواتب'!$Z$3:$Z$502,0)),"")</f>
        <v/>
      </c>
      <c r="R198" s="63">
        <f>IFERROR(INDEX('الرواتب'!$V$3:$V$502,MATCH(192,'الرواتب'!$Z$3:$Z$502,0)),"")</f>
        <v/>
      </c>
    </row>
    <row r="199">
      <c r="A199" s="43">
        <f>IFERROR(INDEX('الرواتب'!$C$3:$C$502,MATCH(193,'الرواتب'!$Z$3:$Z$502,0)),"")</f>
        <v/>
      </c>
      <c r="B199" s="43">
        <f>IFERROR(INDEX('الرواتب'!$D$3:$D$502,MATCH(193,'الرواتب'!$Z$3:$Z$502,0)),"")</f>
        <v/>
      </c>
      <c r="C199" s="43">
        <f>IFERROR(INDEX('الرواتب'!$E$3:$E$502,MATCH(193,'الرواتب'!$Z$3:$Z$502,0)),"")</f>
        <v/>
      </c>
      <c r="D199" s="60">
        <f>IFERROR(INDEX('الرواتب'!$G$3:$G$502,MATCH(193,'الرواتب'!$Z$3:$Z$502,0)),"")</f>
        <v/>
      </c>
      <c r="E199" s="60">
        <f>IFERROR(INDEX('الرواتب'!$H$3:$H$502,MATCH(193,'الرواتب'!$Z$3:$Z$502,0)),"")</f>
        <v/>
      </c>
      <c r="F199" s="60">
        <f>IFERROR(INDEX('الرواتب'!$I$3:$I$502,MATCH(193,'الرواتب'!$Z$3:$Z$502,0)),"")</f>
        <v/>
      </c>
      <c r="G199" s="60">
        <f>IFERROR(INDEX('الرواتب'!$J$3:$J$502,MATCH(193,'الرواتب'!$Z$3:$Z$502,0)),"")</f>
        <v/>
      </c>
      <c r="H199" s="60">
        <f>IFERROR(INDEX('الرواتب'!$K$3:$K$502,MATCH(193,'الرواتب'!$Z$3:$Z$502,0)),"")</f>
        <v/>
      </c>
      <c r="I199" s="60">
        <f>IFERROR(INDEX('الرواتب'!$L$3:$L$502,MATCH(193,'الرواتب'!$Z$3:$Z$502,0)),"")</f>
        <v/>
      </c>
      <c r="J199" s="60">
        <f>IFERROR(INDEX('الرواتب'!$S$3:$S$502,MATCH(193,'الرواتب'!$Z$3:$Z$502,0)),"")</f>
        <v/>
      </c>
      <c r="K199" s="60">
        <f>IFERROR(INDEX('الرواتب'!$N$3:$N$502,MATCH(193,'الرواتب'!$Z$3:$Z$502,0)),"")</f>
        <v/>
      </c>
      <c r="L199" s="60">
        <f>IFERROR(INDEX('الرواتب'!$O$3:$O$502,MATCH(193,'الرواتب'!$Z$3:$Z$502,0)),"")</f>
        <v/>
      </c>
      <c r="M199" s="60">
        <f>IFERROR(INDEX('الرواتب'!$P$3:$P$502,MATCH(193,'الرواتب'!$Z$3:$Z$502,0)),"")</f>
        <v/>
      </c>
      <c r="N199" s="60">
        <f>IFERROR(INDEX('الرواتب'!$Q$3:$Q$502,MATCH(193,'الرواتب'!$Z$3:$Z$502,0)),"")</f>
        <v/>
      </c>
      <c r="O199" s="60">
        <f>IFERROR(INDEX('الرواتب'!$R$3:$R$502,MATCH(193,'الرواتب'!$Z$3:$Z$502,0)),"")</f>
        <v/>
      </c>
      <c r="P199" s="60">
        <f>IFERROR(INDEX('الرواتب'!$T$3:$T$502,MATCH(193,'الرواتب'!$Z$3:$Z$502,0)),"")</f>
        <v/>
      </c>
      <c r="Q199" s="60">
        <f>IFERROR(INDEX('الرواتب'!$U$3:$U$502,MATCH(193,'الرواتب'!$Z$3:$Z$502,0)),"")</f>
        <v/>
      </c>
      <c r="R199" s="60">
        <f>IFERROR(INDEX('الرواتب'!$V$3:$V$502,MATCH(193,'الرواتب'!$Z$3:$Z$502,0)),"")</f>
        <v/>
      </c>
    </row>
    <row r="200">
      <c r="A200" s="50">
        <f>IFERROR(INDEX('الرواتب'!$C$3:$C$502,MATCH(194,'الرواتب'!$Z$3:$Z$502,0)),"")</f>
        <v/>
      </c>
      <c r="B200" s="50">
        <f>IFERROR(INDEX('الرواتب'!$D$3:$D$502,MATCH(194,'الرواتب'!$Z$3:$Z$502,0)),"")</f>
        <v/>
      </c>
      <c r="C200" s="50">
        <f>IFERROR(INDEX('الرواتب'!$E$3:$E$502,MATCH(194,'الرواتب'!$Z$3:$Z$502,0)),"")</f>
        <v/>
      </c>
      <c r="D200" s="63">
        <f>IFERROR(INDEX('الرواتب'!$G$3:$G$502,MATCH(194,'الرواتب'!$Z$3:$Z$502,0)),"")</f>
        <v/>
      </c>
      <c r="E200" s="63">
        <f>IFERROR(INDEX('الرواتب'!$H$3:$H$502,MATCH(194,'الرواتب'!$Z$3:$Z$502,0)),"")</f>
        <v/>
      </c>
      <c r="F200" s="63">
        <f>IFERROR(INDEX('الرواتب'!$I$3:$I$502,MATCH(194,'الرواتب'!$Z$3:$Z$502,0)),"")</f>
        <v/>
      </c>
      <c r="G200" s="63">
        <f>IFERROR(INDEX('الرواتب'!$J$3:$J$502,MATCH(194,'الرواتب'!$Z$3:$Z$502,0)),"")</f>
        <v/>
      </c>
      <c r="H200" s="63">
        <f>IFERROR(INDEX('الرواتب'!$K$3:$K$502,MATCH(194,'الرواتب'!$Z$3:$Z$502,0)),"")</f>
        <v/>
      </c>
      <c r="I200" s="63">
        <f>IFERROR(INDEX('الرواتب'!$L$3:$L$502,MATCH(194,'الرواتب'!$Z$3:$Z$502,0)),"")</f>
        <v/>
      </c>
      <c r="J200" s="63">
        <f>IFERROR(INDEX('الرواتب'!$S$3:$S$502,MATCH(194,'الرواتب'!$Z$3:$Z$502,0)),"")</f>
        <v/>
      </c>
      <c r="K200" s="63">
        <f>IFERROR(INDEX('الرواتب'!$N$3:$N$502,MATCH(194,'الرواتب'!$Z$3:$Z$502,0)),"")</f>
        <v/>
      </c>
      <c r="L200" s="63">
        <f>IFERROR(INDEX('الرواتب'!$O$3:$O$502,MATCH(194,'الرواتب'!$Z$3:$Z$502,0)),"")</f>
        <v/>
      </c>
      <c r="M200" s="63">
        <f>IFERROR(INDEX('الرواتب'!$P$3:$P$502,MATCH(194,'الرواتب'!$Z$3:$Z$502,0)),"")</f>
        <v/>
      </c>
      <c r="N200" s="63">
        <f>IFERROR(INDEX('الرواتب'!$Q$3:$Q$502,MATCH(194,'الرواتب'!$Z$3:$Z$502,0)),"")</f>
        <v/>
      </c>
      <c r="O200" s="63">
        <f>IFERROR(INDEX('الرواتب'!$R$3:$R$502,MATCH(194,'الرواتب'!$Z$3:$Z$502,0)),"")</f>
        <v/>
      </c>
      <c r="P200" s="63">
        <f>IFERROR(INDEX('الرواتب'!$T$3:$T$502,MATCH(194,'الرواتب'!$Z$3:$Z$502,0)),"")</f>
        <v/>
      </c>
      <c r="Q200" s="63">
        <f>IFERROR(INDEX('الرواتب'!$U$3:$U$502,MATCH(194,'الرواتب'!$Z$3:$Z$502,0)),"")</f>
        <v/>
      </c>
      <c r="R200" s="63">
        <f>IFERROR(INDEX('الرواتب'!$V$3:$V$502,MATCH(194,'الرواتب'!$Z$3:$Z$502,0)),"")</f>
        <v/>
      </c>
    </row>
    <row r="201">
      <c r="A201" s="43">
        <f>IFERROR(INDEX('الرواتب'!$C$3:$C$502,MATCH(195,'الرواتب'!$Z$3:$Z$502,0)),"")</f>
        <v/>
      </c>
      <c r="B201" s="43">
        <f>IFERROR(INDEX('الرواتب'!$D$3:$D$502,MATCH(195,'الرواتب'!$Z$3:$Z$502,0)),"")</f>
        <v/>
      </c>
      <c r="C201" s="43">
        <f>IFERROR(INDEX('الرواتب'!$E$3:$E$502,MATCH(195,'الرواتب'!$Z$3:$Z$502,0)),"")</f>
        <v/>
      </c>
      <c r="D201" s="60">
        <f>IFERROR(INDEX('الرواتب'!$G$3:$G$502,MATCH(195,'الرواتب'!$Z$3:$Z$502,0)),"")</f>
        <v/>
      </c>
      <c r="E201" s="60">
        <f>IFERROR(INDEX('الرواتب'!$H$3:$H$502,MATCH(195,'الرواتب'!$Z$3:$Z$502,0)),"")</f>
        <v/>
      </c>
      <c r="F201" s="60">
        <f>IFERROR(INDEX('الرواتب'!$I$3:$I$502,MATCH(195,'الرواتب'!$Z$3:$Z$502,0)),"")</f>
        <v/>
      </c>
      <c r="G201" s="60">
        <f>IFERROR(INDEX('الرواتب'!$J$3:$J$502,MATCH(195,'الرواتب'!$Z$3:$Z$502,0)),"")</f>
        <v/>
      </c>
      <c r="H201" s="60">
        <f>IFERROR(INDEX('الرواتب'!$K$3:$K$502,MATCH(195,'الرواتب'!$Z$3:$Z$502,0)),"")</f>
        <v/>
      </c>
      <c r="I201" s="60">
        <f>IFERROR(INDEX('الرواتب'!$L$3:$L$502,MATCH(195,'الرواتب'!$Z$3:$Z$502,0)),"")</f>
        <v/>
      </c>
      <c r="J201" s="60">
        <f>IFERROR(INDEX('الرواتب'!$S$3:$S$502,MATCH(195,'الرواتب'!$Z$3:$Z$502,0)),"")</f>
        <v/>
      </c>
      <c r="K201" s="60">
        <f>IFERROR(INDEX('الرواتب'!$N$3:$N$502,MATCH(195,'الرواتب'!$Z$3:$Z$502,0)),"")</f>
        <v/>
      </c>
      <c r="L201" s="60">
        <f>IFERROR(INDEX('الرواتب'!$O$3:$O$502,MATCH(195,'الرواتب'!$Z$3:$Z$502,0)),"")</f>
        <v/>
      </c>
      <c r="M201" s="60">
        <f>IFERROR(INDEX('الرواتب'!$P$3:$P$502,MATCH(195,'الرواتب'!$Z$3:$Z$502,0)),"")</f>
        <v/>
      </c>
      <c r="N201" s="60">
        <f>IFERROR(INDEX('الرواتب'!$Q$3:$Q$502,MATCH(195,'الرواتب'!$Z$3:$Z$502,0)),"")</f>
        <v/>
      </c>
      <c r="O201" s="60">
        <f>IFERROR(INDEX('الرواتب'!$R$3:$R$502,MATCH(195,'الرواتب'!$Z$3:$Z$502,0)),"")</f>
        <v/>
      </c>
      <c r="P201" s="60">
        <f>IFERROR(INDEX('الرواتب'!$T$3:$T$502,MATCH(195,'الرواتب'!$Z$3:$Z$502,0)),"")</f>
        <v/>
      </c>
      <c r="Q201" s="60">
        <f>IFERROR(INDEX('الرواتب'!$U$3:$U$502,MATCH(195,'الرواتب'!$Z$3:$Z$502,0)),"")</f>
        <v/>
      </c>
      <c r="R201" s="60">
        <f>IFERROR(INDEX('الرواتب'!$V$3:$V$502,MATCH(195,'الرواتب'!$Z$3:$Z$502,0)),"")</f>
        <v/>
      </c>
    </row>
    <row r="202">
      <c r="A202" s="50">
        <f>IFERROR(INDEX('الرواتب'!$C$3:$C$502,MATCH(196,'الرواتب'!$Z$3:$Z$502,0)),"")</f>
        <v/>
      </c>
      <c r="B202" s="50">
        <f>IFERROR(INDEX('الرواتب'!$D$3:$D$502,MATCH(196,'الرواتب'!$Z$3:$Z$502,0)),"")</f>
        <v/>
      </c>
      <c r="C202" s="50">
        <f>IFERROR(INDEX('الرواتب'!$E$3:$E$502,MATCH(196,'الرواتب'!$Z$3:$Z$502,0)),"")</f>
        <v/>
      </c>
      <c r="D202" s="63">
        <f>IFERROR(INDEX('الرواتب'!$G$3:$G$502,MATCH(196,'الرواتب'!$Z$3:$Z$502,0)),"")</f>
        <v/>
      </c>
      <c r="E202" s="63">
        <f>IFERROR(INDEX('الرواتب'!$H$3:$H$502,MATCH(196,'الرواتب'!$Z$3:$Z$502,0)),"")</f>
        <v/>
      </c>
      <c r="F202" s="63">
        <f>IFERROR(INDEX('الرواتب'!$I$3:$I$502,MATCH(196,'الرواتب'!$Z$3:$Z$502,0)),"")</f>
        <v/>
      </c>
      <c r="G202" s="63">
        <f>IFERROR(INDEX('الرواتب'!$J$3:$J$502,MATCH(196,'الرواتب'!$Z$3:$Z$502,0)),"")</f>
        <v/>
      </c>
      <c r="H202" s="63">
        <f>IFERROR(INDEX('الرواتب'!$K$3:$K$502,MATCH(196,'الرواتب'!$Z$3:$Z$502,0)),"")</f>
        <v/>
      </c>
      <c r="I202" s="63">
        <f>IFERROR(INDEX('الرواتب'!$L$3:$L$502,MATCH(196,'الرواتب'!$Z$3:$Z$502,0)),"")</f>
        <v/>
      </c>
      <c r="J202" s="63">
        <f>IFERROR(INDEX('الرواتب'!$S$3:$S$502,MATCH(196,'الرواتب'!$Z$3:$Z$502,0)),"")</f>
        <v/>
      </c>
      <c r="K202" s="63">
        <f>IFERROR(INDEX('الرواتب'!$N$3:$N$502,MATCH(196,'الرواتب'!$Z$3:$Z$502,0)),"")</f>
        <v/>
      </c>
      <c r="L202" s="63">
        <f>IFERROR(INDEX('الرواتب'!$O$3:$O$502,MATCH(196,'الرواتب'!$Z$3:$Z$502,0)),"")</f>
        <v/>
      </c>
      <c r="M202" s="63">
        <f>IFERROR(INDEX('الرواتب'!$P$3:$P$502,MATCH(196,'الرواتب'!$Z$3:$Z$502,0)),"")</f>
        <v/>
      </c>
      <c r="N202" s="63">
        <f>IFERROR(INDEX('الرواتب'!$Q$3:$Q$502,MATCH(196,'الرواتب'!$Z$3:$Z$502,0)),"")</f>
        <v/>
      </c>
      <c r="O202" s="63">
        <f>IFERROR(INDEX('الرواتب'!$R$3:$R$502,MATCH(196,'الرواتب'!$Z$3:$Z$502,0)),"")</f>
        <v/>
      </c>
      <c r="P202" s="63">
        <f>IFERROR(INDEX('الرواتب'!$T$3:$T$502,MATCH(196,'الرواتب'!$Z$3:$Z$502,0)),"")</f>
        <v/>
      </c>
      <c r="Q202" s="63">
        <f>IFERROR(INDEX('الرواتب'!$U$3:$U$502,MATCH(196,'الرواتب'!$Z$3:$Z$502,0)),"")</f>
        <v/>
      </c>
      <c r="R202" s="63">
        <f>IFERROR(INDEX('الرواتب'!$V$3:$V$502,MATCH(196,'الرواتب'!$Z$3:$Z$502,0)),"")</f>
        <v/>
      </c>
    </row>
    <row r="203">
      <c r="A203" s="43">
        <f>IFERROR(INDEX('الرواتب'!$C$3:$C$502,MATCH(197,'الرواتب'!$Z$3:$Z$502,0)),"")</f>
        <v/>
      </c>
      <c r="B203" s="43">
        <f>IFERROR(INDEX('الرواتب'!$D$3:$D$502,MATCH(197,'الرواتب'!$Z$3:$Z$502,0)),"")</f>
        <v/>
      </c>
      <c r="C203" s="43">
        <f>IFERROR(INDEX('الرواتب'!$E$3:$E$502,MATCH(197,'الرواتب'!$Z$3:$Z$502,0)),"")</f>
        <v/>
      </c>
      <c r="D203" s="60">
        <f>IFERROR(INDEX('الرواتب'!$G$3:$G$502,MATCH(197,'الرواتب'!$Z$3:$Z$502,0)),"")</f>
        <v/>
      </c>
      <c r="E203" s="60">
        <f>IFERROR(INDEX('الرواتب'!$H$3:$H$502,MATCH(197,'الرواتب'!$Z$3:$Z$502,0)),"")</f>
        <v/>
      </c>
      <c r="F203" s="60">
        <f>IFERROR(INDEX('الرواتب'!$I$3:$I$502,MATCH(197,'الرواتب'!$Z$3:$Z$502,0)),"")</f>
        <v/>
      </c>
      <c r="G203" s="60">
        <f>IFERROR(INDEX('الرواتب'!$J$3:$J$502,MATCH(197,'الرواتب'!$Z$3:$Z$502,0)),"")</f>
        <v/>
      </c>
      <c r="H203" s="60">
        <f>IFERROR(INDEX('الرواتب'!$K$3:$K$502,MATCH(197,'الرواتب'!$Z$3:$Z$502,0)),"")</f>
        <v/>
      </c>
      <c r="I203" s="60">
        <f>IFERROR(INDEX('الرواتب'!$L$3:$L$502,MATCH(197,'الرواتب'!$Z$3:$Z$502,0)),"")</f>
        <v/>
      </c>
      <c r="J203" s="60">
        <f>IFERROR(INDEX('الرواتب'!$S$3:$S$502,MATCH(197,'الرواتب'!$Z$3:$Z$502,0)),"")</f>
        <v/>
      </c>
      <c r="K203" s="60">
        <f>IFERROR(INDEX('الرواتب'!$N$3:$N$502,MATCH(197,'الرواتب'!$Z$3:$Z$502,0)),"")</f>
        <v/>
      </c>
      <c r="L203" s="60">
        <f>IFERROR(INDEX('الرواتب'!$O$3:$O$502,MATCH(197,'الرواتب'!$Z$3:$Z$502,0)),"")</f>
        <v/>
      </c>
      <c r="M203" s="60">
        <f>IFERROR(INDEX('الرواتب'!$P$3:$P$502,MATCH(197,'الرواتب'!$Z$3:$Z$502,0)),"")</f>
        <v/>
      </c>
      <c r="N203" s="60">
        <f>IFERROR(INDEX('الرواتب'!$Q$3:$Q$502,MATCH(197,'الرواتب'!$Z$3:$Z$502,0)),"")</f>
        <v/>
      </c>
      <c r="O203" s="60">
        <f>IFERROR(INDEX('الرواتب'!$R$3:$R$502,MATCH(197,'الرواتب'!$Z$3:$Z$502,0)),"")</f>
        <v/>
      </c>
      <c r="P203" s="60">
        <f>IFERROR(INDEX('الرواتب'!$T$3:$T$502,MATCH(197,'الرواتب'!$Z$3:$Z$502,0)),"")</f>
        <v/>
      </c>
      <c r="Q203" s="60">
        <f>IFERROR(INDEX('الرواتب'!$U$3:$U$502,MATCH(197,'الرواتب'!$Z$3:$Z$502,0)),"")</f>
        <v/>
      </c>
      <c r="R203" s="60">
        <f>IFERROR(INDEX('الرواتب'!$V$3:$V$502,MATCH(197,'الرواتب'!$Z$3:$Z$502,0)),"")</f>
        <v/>
      </c>
    </row>
    <row r="204">
      <c r="A204" s="50">
        <f>IFERROR(INDEX('الرواتب'!$C$3:$C$502,MATCH(198,'الرواتب'!$Z$3:$Z$502,0)),"")</f>
        <v/>
      </c>
      <c r="B204" s="50">
        <f>IFERROR(INDEX('الرواتب'!$D$3:$D$502,MATCH(198,'الرواتب'!$Z$3:$Z$502,0)),"")</f>
        <v/>
      </c>
      <c r="C204" s="50">
        <f>IFERROR(INDEX('الرواتب'!$E$3:$E$502,MATCH(198,'الرواتب'!$Z$3:$Z$502,0)),"")</f>
        <v/>
      </c>
      <c r="D204" s="63">
        <f>IFERROR(INDEX('الرواتب'!$G$3:$G$502,MATCH(198,'الرواتب'!$Z$3:$Z$502,0)),"")</f>
        <v/>
      </c>
      <c r="E204" s="63">
        <f>IFERROR(INDEX('الرواتب'!$H$3:$H$502,MATCH(198,'الرواتب'!$Z$3:$Z$502,0)),"")</f>
        <v/>
      </c>
      <c r="F204" s="63">
        <f>IFERROR(INDEX('الرواتب'!$I$3:$I$502,MATCH(198,'الرواتب'!$Z$3:$Z$502,0)),"")</f>
        <v/>
      </c>
      <c r="G204" s="63">
        <f>IFERROR(INDEX('الرواتب'!$J$3:$J$502,MATCH(198,'الرواتب'!$Z$3:$Z$502,0)),"")</f>
        <v/>
      </c>
      <c r="H204" s="63">
        <f>IFERROR(INDEX('الرواتب'!$K$3:$K$502,MATCH(198,'الرواتب'!$Z$3:$Z$502,0)),"")</f>
        <v/>
      </c>
      <c r="I204" s="63">
        <f>IFERROR(INDEX('الرواتب'!$L$3:$L$502,MATCH(198,'الرواتب'!$Z$3:$Z$502,0)),"")</f>
        <v/>
      </c>
      <c r="J204" s="63">
        <f>IFERROR(INDEX('الرواتب'!$S$3:$S$502,MATCH(198,'الرواتب'!$Z$3:$Z$502,0)),"")</f>
        <v/>
      </c>
      <c r="K204" s="63">
        <f>IFERROR(INDEX('الرواتب'!$N$3:$N$502,MATCH(198,'الرواتب'!$Z$3:$Z$502,0)),"")</f>
        <v/>
      </c>
      <c r="L204" s="63">
        <f>IFERROR(INDEX('الرواتب'!$O$3:$O$502,MATCH(198,'الرواتب'!$Z$3:$Z$502,0)),"")</f>
        <v/>
      </c>
      <c r="M204" s="63">
        <f>IFERROR(INDEX('الرواتب'!$P$3:$P$502,MATCH(198,'الرواتب'!$Z$3:$Z$502,0)),"")</f>
        <v/>
      </c>
      <c r="N204" s="63">
        <f>IFERROR(INDEX('الرواتب'!$Q$3:$Q$502,MATCH(198,'الرواتب'!$Z$3:$Z$502,0)),"")</f>
        <v/>
      </c>
      <c r="O204" s="63">
        <f>IFERROR(INDEX('الرواتب'!$R$3:$R$502,MATCH(198,'الرواتب'!$Z$3:$Z$502,0)),"")</f>
        <v/>
      </c>
      <c r="P204" s="63">
        <f>IFERROR(INDEX('الرواتب'!$T$3:$T$502,MATCH(198,'الرواتب'!$Z$3:$Z$502,0)),"")</f>
        <v/>
      </c>
      <c r="Q204" s="63">
        <f>IFERROR(INDEX('الرواتب'!$U$3:$U$502,MATCH(198,'الرواتب'!$Z$3:$Z$502,0)),"")</f>
        <v/>
      </c>
      <c r="R204" s="63">
        <f>IFERROR(INDEX('الرواتب'!$V$3:$V$502,MATCH(198,'الرواتب'!$Z$3:$Z$502,0)),"")</f>
        <v/>
      </c>
    </row>
    <row r="205">
      <c r="A205" s="43">
        <f>IFERROR(INDEX('الرواتب'!$C$3:$C$502,MATCH(199,'الرواتب'!$Z$3:$Z$502,0)),"")</f>
        <v/>
      </c>
      <c r="B205" s="43">
        <f>IFERROR(INDEX('الرواتب'!$D$3:$D$502,MATCH(199,'الرواتب'!$Z$3:$Z$502,0)),"")</f>
        <v/>
      </c>
      <c r="C205" s="43">
        <f>IFERROR(INDEX('الرواتب'!$E$3:$E$502,MATCH(199,'الرواتب'!$Z$3:$Z$502,0)),"")</f>
        <v/>
      </c>
      <c r="D205" s="60">
        <f>IFERROR(INDEX('الرواتب'!$G$3:$G$502,MATCH(199,'الرواتب'!$Z$3:$Z$502,0)),"")</f>
        <v/>
      </c>
      <c r="E205" s="60">
        <f>IFERROR(INDEX('الرواتب'!$H$3:$H$502,MATCH(199,'الرواتب'!$Z$3:$Z$502,0)),"")</f>
        <v/>
      </c>
      <c r="F205" s="60">
        <f>IFERROR(INDEX('الرواتب'!$I$3:$I$502,MATCH(199,'الرواتب'!$Z$3:$Z$502,0)),"")</f>
        <v/>
      </c>
      <c r="G205" s="60">
        <f>IFERROR(INDEX('الرواتب'!$J$3:$J$502,MATCH(199,'الرواتب'!$Z$3:$Z$502,0)),"")</f>
        <v/>
      </c>
      <c r="H205" s="60">
        <f>IFERROR(INDEX('الرواتب'!$K$3:$K$502,MATCH(199,'الرواتب'!$Z$3:$Z$502,0)),"")</f>
        <v/>
      </c>
      <c r="I205" s="60">
        <f>IFERROR(INDEX('الرواتب'!$L$3:$L$502,MATCH(199,'الرواتب'!$Z$3:$Z$502,0)),"")</f>
        <v/>
      </c>
      <c r="J205" s="60">
        <f>IFERROR(INDEX('الرواتب'!$S$3:$S$502,MATCH(199,'الرواتب'!$Z$3:$Z$502,0)),"")</f>
        <v/>
      </c>
      <c r="K205" s="60">
        <f>IFERROR(INDEX('الرواتب'!$N$3:$N$502,MATCH(199,'الرواتب'!$Z$3:$Z$502,0)),"")</f>
        <v/>
      </c>
      <c r="L205" s="60">
        <f>IFERROR(INDEX('الرواتب'!$O$3:$O$502,MATCH(199,'الرواتب'!$Z$3:$Z$502,0)),"")</f>
        <v/>
      </c>
      <c r="M205" s="60">
        <f>IFERROR(INDEX('الرواتب'!$P$3:$P$502,MATCH(199,'الرواتب'!$Z$3:$Z$502,0)),"")</f>
        <v/>
      </c>
      <c r="N205" s="60">
        <f>IFERROR(INDEX('الرواتب'!$Q$3:$Q$502,MATCH(199,'الرواتب'!$Z$3:$Z$502,0)),"")</f>
        <v/>
      </c>
      <c r="O205" s="60">
        <f>IFERROR(INDEX('الرواتب'!$R$3:$R$502,MATCH(199,'الرواتب'!$Z$3:$Z$502,0)),"")</f>
        <v/>
      </c>
      <c r="P205" s="60">
        <f>IFERROR(INDEX('الرواتب'!$T$3:$T$502,MATCH(199,'الرواتب'!$Z$3:$Z$502,0)),"")</f>
        <v/>
      </c>
      <c r="Q205" s="60">
        <f>IFERROR(INDEX('الرواتب'!$U$3:$U$502,MATCH(199,'الرواتب'!$Z$3:$Z$502,0)),"")</f>
        <v/>
      </c>
      <c r="R205" s="60">
        <f>IFERROR(INDEX('الرواتب'!$V$3:$V$502,MATCH(199,'الرواتب'!$Z$3:$Z$502,0)),"")</f>
        <v/>
      </c>
    </row>
    <row r="206">
      <c r="A206" s="50">
        <f>IFERROR(INDEX('الرواتب'!$C$3:$C$502,MATCH(200,'الرواتب'!$Z$3:$Z$502,0)),"")</f>
        <v/>
      </c>
      <c r="B206" s="50">
        <f>IFERROR(INDEX('الرواتب'!$D$3:$D$502,MATCH(200,'الرواتب'!$Z$3:$Z$502,0)),"")</f>
        <v/>
      </c>
      <c r="C206" s="50">
        <f>IFERROR(INDEX('الرواتب'!$E$3:$E$502,MATCH(200,'الرواتب'!$Z$3:$Z$502,0)),"")</f>
        <v/>
      </c>
      <c r="D206" s="63">
        <f>IFERROR(INDEX('الرواتب'!$G$3:$G$502,MATCH(200,'الرواتب'!$Z$3:$Z$502,0)),"")</f>
        <v/>
      </c>
      <c r="E206" s="63">
        <f>IFERROR(INDEX('الرواتب'!$H$3:$H$502,MATCH(200,'الرواتب'!$Z$3:$Z$502,0)),"")</f>
        <v/>
      </c>
      <c r="F206" s="63">
        <f>IFERROR(INDEX('الرواتب'!$I$3:$I$502,MATCH(200,'الرواتب'!$Z$3:$Z$502,0)),"")</f>
        <v/>
      </c>
      <c r="G206" s="63">
        <f>IFERROR(INDEX('الرواتب'!$J$3:$J$502,MATCH(200,'الرواتب'!$Z$3:$Z$502,0)),"")</f>
        <v/>
      </c>
      <c r="H206" s="63">
        <f>IFERROR(INDEX('الرواتب'!$K$3:$K$502,MATCH(200,'الرواتب'!$Z$3:$Z$502,0)),"")</f>
        <v/>
      </c>
      <c r="I206" s="63">
        <f>IFERROR(INDEX('الرواتب'!$L$3:$L$502,MATCH(200,'الرواتب'!$Z$3:$Z$502,0)),"")</f>
        <v/>
      </c>
      <c r="J206" s="63">
        <f>IFERROR(INDEX('الرواتب'!$S$3:$S$502,MATCH(200,'الرواتب'!$Z$3:$Z$502,0)),"")</f>
        <v/>
      </c>
      <c r="K206" s="63">
        <f>IFERROR(INDEX('الرواتب'!$N$3:$N$502,MATCH(200,'الرواتب'!$Z$3:$Z$502,0)),"")</f>
        <v/>
      </c>
      <c r="L206" s="63">
        <f>IFERROR(INDEX('الرواتب'!$O$3:$O$502,MATCH(200,'الرواتب'!$Z$3:$Z$502,0)),"")</f>
        <v/>
      </c>
      <c r="M206" s="63">
        <f>IFERROR(INDEX('الرواتب'!$P$3:$P$502,MATCH(200,'الرواتب'!$Z$3:$Z$502,0)),"")</f>
        <v/>
      </c>
      <c r="N206" s="63">
        <f>IFERROR(INDEX('الرواتب'!$Q$3:$Q$502,MATCH(200,'الرواتب'!$Z$3:$Z$502,0)),"")</f>
        <v/>
      </c>
      <c r="O206" s="63">
        <f>IFERROR(INDEX('الرواتب'!$R$3:$R$502,MATCH(200,'الرواتب'!$Z$3:$Z$502,0)),"")</f>
        <v/>
      </c>
      <c r="P206" s="63">
        <f>IFERROR(INDEX('الرواتب'!$T$3:$T$502,MATCH(200,'الرواتب'!$Z$3:$Z$502,0)),"")</f>
        <v/>
      </c>
      <c r="Q206" s="63">
        <f>IFERROR(INDEX('الرواتب'!$U$3:$U$502,MATCH(200,'الرواتب'!$Z$3:$Z$502,0)),"")</f>
        <v/>
      </c>
      <c r="R206" s="63">
        <f>IFERROR(INDEX('الرواتب'!$V$3:$V$502,MATCH(200,'الرواتب'!$Z$3:$Z$502,0)),"")</f>
        <v/>
      </c>
    </row>
    <row r="207">
      <c r="A207" s="71" t="inlineStr">
        <is>
          <t>الإجمالي</t>
        </is>
      </c>
      <c r="B207" s="72" t="n"/>
      <c r="C207" s="72" t="n"/>
      <c r="D207" s="73">
        <f>SUM(D7:D206)</f>
        <v/>
      </c>
      <c r="E207" s="73">
        <f>SUM(E7:E206)</f>
        <v/>
      </c>
      <c r="F207" s="73">
        <f>SUM(F7:F206)</f>
        <v/>
      </c>
      <c r="G207" s="73">
        <f>SUM(G7:G206)</f>
        <v/>
      </c>
      <c r="H207" s="73">
        <f>SUM(H7:H206)</f>
        <v/>
      </c>
      <c r="I207" s="73">
        <f>SUM(I7:I206)</f>
        <v/>
      </c>
      <c r="J207" s="73">
        <f>SUM(J7:J206)</f>
        <v/>
      </c>
      <c r="K207" s="73">
        <f>SUM(K7:K206)</f>
        <v/>
      </c>
      <c r="L207" s="73">
        <f>SUM(L7:L206)</f>
        <v/>
      </c>
      <c r="M207" s="73">
        <f>SUM(M7:M206)</f>
        <v/>
      </c>
      <c r="N207" s="73">
        <f>SUM(N7:N206)</f>
        <v/>
      </c>
      <c r="O207" s="73">
        <f>SUM(O7:O206)</f>
        <v/>
      </c>
      <c r="P207" s="73">
        <f>SUM(P7:P206)</f>
        <v/>
      </c>
      <c r="Q207" s="73">
        <f>SUM(Q7:Q206)</f>
        <v/>
      </c>
      <c r="R207" s="7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05"/>
  <mergeCells count="5">
    <mergeCell ref="A2:R2"/>
    <mergeCell ref="A3:I3"/>
    <mergeCell ref="A1:R1"/>
    <mergeCell ref="A207"/>
    <mergeCell ref="J3:R3"/>
  </mergeCells>
  <pageMargins left="0.75" right="0.75" top="1" bottom="1" header="0.5" footer="0.5"/>
  <pageSetup orientation="landscape" paperSize="9" fitToHeight="0" fitToWidth="1"/>
  <headerFooter>
    <oddHeader/>
    <oddFooter>&amp;L&amp;8 نظام إدارة الموارد البشرية&amp;R&amp;8 صفحة &amp;P من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I207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8" customWidth="1" min="3" max="3"/>
    <col width="14" customWidth="1" min="4" max="4"/>
    <col width="13" customWidth="1" min="5" max="5"/>
    <col width="13" customWidth="1" min="6" max="6"/>
    <col width="14" customWidth="1" min="7" max="7"/>
    <col width="14" customWidth="1" min="8" max="8"/>
    <col width="12" customWidth="1" min="9" max="9"/>
  </cols>
  <sheetData>
    <row r="1" ht="30" customHeight="1">
      <c r="A1" s="1">
        <f>اسم_المؤسسة</f>
        <v/>
      </c>
    </row>
    <row r="2" ht="26" customHeight="1">
      <c r="A2" s="65" t="inlineStr">
        <is>
          <t>تقرير البدلات والخصومات لكل موظف</t>
        </is>
      </c>
    </row>
    <row r="3">
      <c r="A3" s="66">
        <f>"تاريخ إعداد التقرير: "&amp;TEXT(TODAY(),"yyyy-mm-dd")</f>
        <v/>
      </c>
      <c r="E3" s="6">
        <f>"السنة المالية: "&amp;السنة_المالية</f>
        <v/>
      </c>
    </row>
    <row r="6" ht="34" customHeight="1">
      <c r="A6" s="67" t="inlineStr">
        <is>
          <t>الرقم الوظيفي</t>
        </is>
      </c>
      <c r="B6" s="67" t="inlineStr">
        <is>
          <t>اسم الموظف</t>
        </is>
      </c>
      <c r="C6" s="67" t="inlineStr">
        <is>
          <t>الإدارة</t>
        </is>
      </c>
      <c r="D6" s="67" t="inlineStr">
        <is>
          <t>إجمالي البدلات</t>
        </is>
      </c>
      <c r="E6" s="67" t="inlineStr">
        <is>
          <t>إجمالي المكافآت</t>
        </is>
      </c>
      <c r="F6" s="67" t="inlineStr">
        <is>
          <t>قيمة الإضافي</t>
        </is>
      </c>
      <c r="G6" s="67" t="inlineStr">
        <is>
          <t>إجمالي الخصومات</t>
        </is>
      </c>
      <c r="H6" s="67" t="inlineStr">
        <is>
          <t>صافي الرواتب</t>
        </is>
      </c>
      <c r="I6" s="67" t="inlineStr">
        <is>
          <t>عدد الكشوف</t>
        </is>
      </c>
    </row>
    <row r="7">
      <c r="A7" s="43">
        <f>IFERROR(INDEX(الموظفون_الرقم,1),"")</f>
        <v/>
      </c>
      <c r="B7" s="43">
        <f>IFERROR(INDEX(الموظفون_الاسم,1),"")</f>
        <v/>
      </c>
      <c r="C7" s="43">
        <f>IFERROR(INDEX(الموظفون_الإدارة,1),"")</f>
        <v/>
      </c>
      <c r="D7" s="60">
        <f>IFERROR(SUMIFS(الرواتب_بدل_النقل,الرواتب_الرقم,$A7)+SUMIFS(الرواتب_بدل_السكن,الرواتب_الرقم,$A7)+SUMIFS(الرواتب_بدلات_اخرى,الرواتب_الرقم,$A7),"")</f>
        <v/>
      </c>
      <c r="E7" s="60">
        <f>IFERROR(SUMIFS(الرواتب_المكافآت,الرواتب_الرقم,$A7),"")</f>
        <v/>
      </c>
      <c r="F7" s="60">
        <f>IFERROR(SUMIFS(الرواتب_الاضافي,الرواتب_الرقم,$A7),"")</f>
        <v/>
      </c>
      <c r="G7" s="60">
        <f>IFERROR(SUMIFS(الرواتب_الخصومات,الرواتب_الرقم,$A7),"")</f>
        <v/>
      </c>
      <c r="H7" s="60">
        <f>IFERROR(SUMIFS(الرواتب_الصافي,الرواتب_الرقم,$A7),"")</f>
        <v/>
      </c>
      <c r="I7" s="44">
        <f>IFERROR(COUNTIFS(الرواتب_الرقم,$A7),"")</f>
        <v/>
      </c>
    </row>
    <row r="8">
      <c r="A8" s="50">
        <f>IFERROR(INDEX(الموظفون_الرقم,2),"")</f>
        <v/>
      </c>
      <c r="B8" s="50">
        <f>IFERROR(INDEX(الموظفون_الاسم,2),"")</f>
        <v/>
      </c>
      <c r="C8" s="50">
        <f>IFERROR(INDEX(الموظفون_الإدارة,2),"")</f>
        <v/>
      </c>
      <c r="D8" s="63">
        <f>IFERROR(SUMIFS(الرواتب_بدل_النقل,الرواتب_الرقم,$A8)+SUMIFS(الرواتب_بدل_السكن,الرواتب_الرقم,$A8)+SUMIFS(الرواتب_بدلات_اخرى,الرواتب_الرقم,$A8),"")</f>
        <v/>
      </c>
      <c r="E8" s="63">
        <f>IFERROR(SUMIFS(الرواتب_المكافآت,الرواتب_الرقم,$A8),"")</f>
        <v/>
      </c>
      <c r="F8" s="63">
        <f>IFERROR(SUMIFS(الرواتب_الاضافي,الرواتب_الرقم,$A8),"")</f>
        <v/>
      </c>
      <c r="G8" s="63">
        <f>IFERROR(SUMIFS(الرواتب_الخصومات,الرواتب_الرقم,$A8),"")</f>
        <v/>
      </c>
      <c r="H8" s="63">
        <f>IFERROR(SUMIFS(الرواتب_الصافي,الرواتب_الرقم,$A8),"")</f>
        <v/>
      </c>
      <c r="I8" s="51">
        <f>IFERROR(COUNTIFS(الرواتب_الرقم,$A8),"")</f>
        <v/>
      </c>
    </row>
    <row r="9">
      <c r="A9" s="43">
        <f>IFERROR(INDEX(الموظفون_الرقم,3),"")</f>
        <v/>
      </c>
      <c r="B9" s="43">
        <f>IFERROR(INDEX(الموظفون_الاسم,3),"")</f>
        <v/>
      </c>
      <c r="C9" s="43">
        <f>IFERROR(INDEX(الموظفون_الإدارة,3),"")</f>
        <v/>
      </c>
      <c r="D9" s="60">
        <f>IFERROR(SUMIFS(الرواتب_بدل_النقل,الرواتب_الرقم,$A9)+SUMIFS(الرواتب_بدل_السكن,الرواتب_الرقم,$A9)+SUMIFS(الرواتب_بدلات_اخرى,الرواتب_الرقم,$A9),"")</f>
        <v/>
      </c>
      <c r="E9" s="60">
        <f>IFERROR(SUMIFS(الرواتب_المكافآت,الرواتب_الرقم,$A9),"")</f>
        <v/>
      </c>
      <c r="F9" s="60">
        <f>IFERROR(SUMIFS(الرواتب_الاضافي,الرواتب_الرقم,$A9),"")</f>
        <v/>
      </c>
      <c r="G9" s="60">
        <f>IFERROR(SUMIFS(الرواتب_الخصومات,الرواتب_الرقم,$A9),"")</f>
        <v/>
      </c>
      <c r="H9" s="60">
        <f>IFERROR(SUMIFS(الرواتب_الصافي,الرواتب_الرقم,$A9),"")</f>
        <v/>
      </c>
      <c r="I9" s="44">
        <f>IFERROR(COUNTIFS(الرواتب_الرقم,$A9),"")</f>
        <v/>
      </c>
    </row>
    <row r="10">
      <c r="A10" s="50">
        <f>IFERROR(INDEX(الموظفون_الرقم,4),"")</f>
        <v/>
      </c>
      <c r="B10" s="50">
        <f>IFERROR(INDEX(الموظفون_الاسم,4),"")</f>
        <v/>
      </c>
      <c r="C10" s="50">
        <f>IFERROR(INDEX(الموظفون_الإدارة,4),"")</f>
        <v/>
      </c>
      <c r="D10" s="63">
        <f>IFERROR(SUMIFS(الرواتب_بدل_النقل,الرواتب_الرقم,$A10)+SUMIFS(الرواتب_بدل_السكن,الرواتب_الرقم,$A10)+SUMIFS(الرواتب_بدلات_اخرى,الرواتب_الرقم,$A10),"")</f>
        <v/>
      </c>
      <c r="E10" s="63">
        <f>IFERROR(SUMIFS(الرواتب_المكافآت,الرواتب_الرقم,$A10),"")</f>
        <v/>
      </c>
      <c r="F10" s="63">
        <f>IFERROR(SUMIFS(الرواتب_الاضافي,الرواتب_الرقم,$A10),"")</f>
        <v/>
      </c>
      <c r="G10" s="63">
        <f>IFERROR(SUMIFS(الرواتب_الخصومات,الرواتب_الرقم,$A10),"")</f>
        <v/>
      </c>
      <c r="H10" s="63">
        <f>IFERROR(SUMIFS(الرواتب_الصافي,الرواتب_الرقم,$A10),"")</f>
        <v/>
      </c>
      <c r="I10" s="51">
        <f>IFERROR(COUNTIFS(الرواتب_الرقم,$A10),"")</f>
        <v/>
      </c>
    </row>
    <row r="11">
      <c r="A11" s="43">
        <f>IFERROR(INDEX(الموظفون_الرقم,5),"")</f>
        <v/>
      </c>
      <c r="B11" s="43">
        <f>IFERROR(INDEX(الموظفون_الاسم,5),"")</f>
        <v/>
      </c>
      <c r="C11" s="43">
        <f>IFERROR(INDEX(الموظفون_الإدارة,5),"")</f>
        <v/>
      </c>
      <c r="D11" s="60">
        <f>IFERROR(SUMIFS(الرواتب_بدل_النقل,الرواتب_الرقم,$A11)+SUMIFS(الرواتب_بدل_السكن,الرواتب_الرقم,$A11)+SUMIFS(الرواتب_بدلات_اخرى,الرواتب_الرقم,$A11),"")</f>
        <v/>
      </c>
      <c r="E11" s="60">
        <f>IFERROR(SUMIFS(الرواتب_المكافآت,الرواتب_الرقم,$A11),"")</f>
        <v/>
      </c>
      <c r="F11" s="60">
        <f>IFERROR(SUMIFS(الرواتب_الاضافي,الرواتب_الرقم,$A11),"")</f>
        <v/>
      </c>
      <c r="G11" s="60">
        <f>IFERROR(SUMIFS(الرواتب_الخصومات,الرواتب_الرقم,$A11),"")</f>
        <v/>
      </c>
      <c r="H11" s="60">
        <f>IFERROR(SUMIFS(الرواتب_الصافي,الرواتب_الرقم,$A11),"")</f>
        <v/>
      </c>
      <c r="I11" s="44">
        <f>IFERROR(COUNTIFS(الرواتب_الرقم,$A11),"")</f>
        <v/>
      </c>
    </row>
    <row r="12">
      <c r="A12" s="50">
        <f>IFERROR(INDEX(الموظفون_الرقم,6),"")</f>
        <v/>
      </c>
      <c r="B12" s="50">
        <f>IFERROR(INDEX(الموظفون_الاسم,6),"")</f>
        <v/>
      </c>
      <c r="C12" s="50">
        <f>IFERROR(INDEX(الموظفون_الإدارة,6),"")</f>
        <v/>
      </c>
      <c r="D12" s="63">
        <f>IFERROR(SUMIFS(الرواتب_بدل_النقل,الرواتب_الرقم,$A12)+SUMIFS(الرواتب_بدل_السكن,الرواتب_الرقم,$A12)+SUMIFS(الرواتب_بدلات_اخرى,الرواتب_الرقم,$A12),"")</f>
        <v/>
      </c>
      <c r="E12" s="63">
        <f>IFERROR(SUMIFS(الرواتب_المكافآت,الرواتب_الرقم,$A12),"")</f>
        <v/>
      </c>
      <c r="F12" s="63">
        <f>IFERROR(SUMIFS(الرواتب_الاضافي,الرواتب_الرقم,$A12),"")</f>
        <v/>
      </c>
      <c r="G12" s="63">
        <f>IFERROR(SUMIFS(الرواتب_الخصومات,الرواتب_الرقم,$A12),"")</f>
        <v/>
      </c>
      <c r="H12" s="63">
        <f>IFERROR(SUMIFS(الرواتب_الصافي,الرواتب_الرقم,$A12),"")</f>
        <v/>
      </c>
      <c r="I12" s="51">
        <f>IFERROR(COUNTIFS(الرواتب_الرقم,$A12),"")</f>
        <v/>
      </c>
    </row>
    <row r="13">
      <c r="A13" s="43">
        <f>IFERROR(INDEX(الموظفون_الرقم,7),"")</f>
        <v/>
      </c>
      <c r="B13" s="43">
        <f>IFERROR(INDEX(الموظفون_الاسم,7),"")</f>
        <v/>
      </c>
      <c r="C13" s="43">
        <f>IFERROR(INDEX(الموظفون_الإدارة,7),"")</f>
        <v/>
      </c>
      <c r="D13" s="60">
        <f>IFERROR(SUMIFS(الرواتب_بدل_النقل,الرواتب_الرقم,$A13)+SUMIFS(الرواتب_بدل_السكن,الرواتب_الرقم,$A13)+SUMIFS(الرواتب_بدلات_اخرى,الرواتب_الرقم,$A13),"")</f>
        <v/>
      </c>
      <c r="E13" s="60">
        <f>IFERROR(SUMIFS(الرواتب_المكافآت,الرواتب_الرقم,$A13),"")</f>
        <v/>
      </c>
      <c r="F13" s="60">
        <f>IFERROR(SUMIFS(الرواتب_الاضافي,الرواتب_الرقم,$A13),"")</f>
        <v/>
      </c>
      <c r="G13" s="60">
        <f>IFERROR(SUMIFS(الرواتب_الخصومات,الرواتب_الرقم,$A13),"")</f>
        <v/>
      </c>
      <c r="H13" s="60">
        <f>IFERROR(SUMIFS(الرواتب_الصافي,الرواتب_الرقم,$A13),"")</f>
        <v/>
      </c>
      <c r="I13" s="44">
        <f>IFERROR(COUNTIFS(الرواتب_الرقم,$A13),"")</f>
        <v/>
      </c>
    </row>
    <row r="14">
      <c r="A14" s="50">
        <f>IFERROR(INDEX(الموظفون_الرقم,8),"")</f>
        <v/>
      </c>
      <c r="B14" s="50">
        <f>IFERROR(INDEX(الموظفون_الاسم,8),"")</f>
        <v/>
      </c>
      <c r="C14" s="50">
        <f>IFERROR(INDEX(الموظفون_الإدارة,8),"")</f>
        <v/>
      </c>
      <c r="D14" s="63">
        <f>IFERROR(SUMIFS(الرواتب_بدل_النقل,الرواتب_الرقم,$A14)+SUMIFS(الرواتب_بدل_السكن,الرواتب_الرقم,$A14)+SUMIFS(الرواتب_بدلات_اخرى,الرواتب_الرقم,$A14),"")</f>
        <v/>
      </c>
      <c r="E14" s="63">
        <f>IFERROR(SUMIFS(الرواتب_المكافآت,الرواتب_الرقم,$A14),"")</f>
        <v/>
      </c>
      <c r="F14" s="63">
        <f>IFERROR(SUMIFS(الرواتب_الاضافي,الرواتب_الرقم,$A14),"")</f>
        <v/>
      </c>
      <c r="G14" s="63">
        <f>IFERROR(SUMIFS(الرواتب_الخصومات,الرواتب_الرقم,$A14),"")</f>
        <v/>
      </c>
      <c r="H14" s="63">
        <f>IFERROR(SUMIFS(الرواتب_الصافي,الرواتب_الرقم,$A14),"")</f>
        <v/>
      </c>
      <c r="I14" s="51">
        <f>IFERROR(COUNTIFS(الرواتب_الرقم,$A14),"")</f>
        <v/>
      </c>
    </row>
    <row r="15">
      <c r="A15" s="43">
        <f>IFERROR(INDEX(الموظفون_الرقم,9),"")</f>
        <v/>
      </c>
      <c r="B15" s="43">
        <f>IFERROR(INDEX(الموظفون_الاسم,9),"")</f>
        <v/>
      </c>
      <c r="C15" s="43">
        <f>IFERROR(INDEX(الموظفون_الإدارة,9),"")</f>
        <v/>
      </c>
      <c r="D15" s="60">
        <f>IFERROR(SUMIFS(الرواتب_بدل_النقل,الرواتب_الرقم,$A15)+SUMIFS(الرواتب_بدل_السكن,الرواتب_الرقم,$A15)+SUMIFS(الرواتب_بدلات_اخرى,الرواتب_الرقم,$A15),"")</f>
        <v/>
      </c>
      <c r="E15" s="60">
        <f>IFERROR(SUMIFS(الرواتب_المكافآت,الرواتب_الرقم,$A15),"")</f>
        <v/>
      </c>
      <c r="F15" s="60">
        <f>IFERROR(SUMIFS(الرواتب_الاضافي,الرواتب_الرقم,$A15),"")</f>
        <v/>
      </c>
      <c r="G15" s="60">
        <f>IFERROR(SUMIFS(الرواتب_الخصومات,الرواتب_الرقم,$A15),"")</f>
        <v/>
      </c>
      <c r="H15" s="60">
        <f>IFERROR(SUMIFS(الرواتب_الصافي,الرواتب_الرقم,$A15),"")</f>
        <v/>
      </c>
      <c r="I15" s="44">
        <f>IFERROR(COUNTIFS(الرواتب_الرقم,$A15),"")</f>
        <v/>
      </c>
    </row>
    <row r="16">
      <c r="A16" s="50">
        <f>IFERROR(INDEX(الموظفون_الرقم,10),"")</f>
        <v/>
      </c>
      <c r="B16" s="50">
        <f>IFERROR(INDEX(الموظفون_الاسم,10),"")</f>
        <v/>
      </c>
      <c r="C16" s="50">
        <f>IFERROR(INDEX(الموظفون_الإدارة,10),"")</f>
        <v/>
      </c>
      <c r="D16" s="63">
        <f>IFERROR(SUMIFS(الرواتب_بدل_النقل,الرواتب_الرقم,$A16)+SUMIFS(الرواتب_بدل_السكن,الرواتب_الرقم,$A16)+SUMIFS(الرواتب_بدلات_اخرى,الرواتب_الرقم,$A16),"")</f>
        <v/>
      </c>
      <c r="E16" s="63">
        <f>IFERROR(SUMIFS(الرواتب_المكافآت,الرواتب_الرقم,$A16),"")</f>
        <v/>
      </c>
      <c r="F16" s="63">
        <f>IFERROR(SUMIFS(الرواتب_الاضافي,الرواتب_الرقم,$A16),"")</f>
        <v/>
      </c>
      <c r="G16" s="63">
        <f>IFERROR(SUMIFS(الرواتب_الخصومات,الرواتب_الرقم,$A16),"")</f>
        <v/>
      </c>
      <c r="H16" s="63">
        <f>IFERROR(SUMIFS(الرواتب_الصافي,الرواتب_الرقم,$A16),"")</f>
        <v/>
      </c>
      <c r="I16" s="51">
        <f>IFERROR(COUNTIFS(الرواتب_الرقم,$A16),"")</f>
        <v/>
      </c>
    </row>
    <row r="17">
      <c r="A17" s="43">
        <f>IFERROR(INDEX(الموظفون_الرقم,11),"")</f>
        <v/>
      </c>
      <c r="B17" s="43">
        <f>IFERROR(INDEX(الموظفون_الاسم,11),"")</f>
        <v/>
      </c>
      <c r="C17" s="43">
        <f>IFERROR(INDEX(الموظفون_الإدارة,11),"")</f>
        <v/>
      </c>
      <c r="D17" s="60">
        <f>IFERROR(SUMIFS(الرواتب_بدل_النقل,الرواتب_الرقم,$A17)+SUMIFS(الرواتب_بدل_السكن,الرواتب_الرقم,$A17)+SUMIFS(الرواتب_بدلات_اخرى,الرواتب_الرقم,$A17),"")</f>
        <v/>
      </c>
      <c r="E17" s="60">
        <f>IFERROR(SUMIFS(الرواتب_المكافآت,الرواتب_الرقم,$A17),"")</f>
        <v/>
      </c>
      <c r="F17" s="60">
        <f>IFERROR(SUMIFS(الرواتب_الاضافي,الرواتب_الرقم,$A17),"")</f>
        <v/>
      </c>
      <c r="G17" s="60">
        <f>IFERROR(SUMIFS(الرواتب_الخصومات,الرواتب_الرقم,$A17),"")</f>
        <v/>
      </c>
      <c r="H17" s="60">
        <f>IFERROR(SUMIFS(الرواتب_الصافي,الرواتب_الرقم,$A17),"")</f>
        <v/>
      </c>
      <c r="I17" s="44">
        <f>IFERROR(COUNTIFS(الرواتب_الرقم,$A17),"")</f>
        <v/>
      </c>
    </row>
    <row r="18">
      <c r="A18" s="50">
        <f>IFERROR(INDEX(الموظفون_الرقم,12),"")</f>
        <v/>
      </c>
      <c r="B18" s="50">
        <f>IFERROR(INDEX(الموظفون_الاسم,12),"")</f>
        <v/>
      </c>
      <c r="C18" s="50">
        <f>IFERROR(INDEX(الموظفون_الإدارة,12),"")</f>
        <v/>
      </c>
      <c r="D18" s="63">
        <f>IFERROR(SUMIFS(الرواتب_بدل_النقل,الرواتب_الرقم,$A18)+SUMIFS(الرواتب_بدل_السكن,الرواتب_الرقم,$A18)+SUMIFS(الرواتب_بدلات_اخرى,الرواتب_الرقم,$A18),"")</f>
        <v/>
      </c>
      <c r="E18" s="63">
        <f>IFERROR(SUMIFS(الرواتب_المكافآت,الرواتب_الرقم,$A18),"")</f>
        <v/>
      </c>
      <c r="F18" s="63">
        <f>IFERROR(SUMIFS(الرواتب_الاضافي,الرواتب_الرقم,$A18),"")</f>
        <v/>
      </c>
      <c r="G18" s="63">
        <f>IFERROR(SUMIFS(الرواتب_الخصومات,الرواتب_الرقم,$A18),"")</f>
        <v/>
      </c>
      <c r="H18" s="63">
        <f>IFERROR(SUMIFS(الرواتب_الصافي,الرواتب_الرقم,$A18),"")</f>
        <v/>
      </c>
      <c r="I18" s="51">
        <f>IFERROR(COUNTIFS(الرواتب_الرقم,$A18),"")</f>
        <v/>
      </c>
    </row>
    <row r="19">
      <c r="A19" s="43">
        <f>IFERROR(INDEX(الموظفون_الرقم,13),"")</f>
        <v/>
      </c>
      <c r="B19" s="43">
        <f>IFERROR(INDEX(الموظفون_الاسم,13),"")</f>
        <v/>
      </c>
      <c r="C19" s="43">
        <f>IFERROR(INDEX(الموظفون_الإدارة,13),"")</f>
        <v/>
      </c>
      <c r="D19" s="60">
        <f>IFERROR(SUMIFS(الرواتب_بدل_النقل,الرواتب_الرقم,$A19)+SUMIFS(الرواتب_بدل_السكن,الرواتب_الرقم,$A19)+SUMIFS(الرواتب_بدلات_اخرى,الرواتب_الرقم,$A19),"")</f>
        <v/>
      </c>
      <c r="E19" s="60">
        <f>IFERROR(SUMIFS(الرواتب_المكافآت,الرواتب_الرقم,$A19),"")</f>
        <v/>
      </c>
      <c r="F19" s="60">
        <f>IFERROR(SUMIFS(الرواتب_الاضافي,الرواتب_الرقم,$A19),"")</f>
        <v/>
      </c>
      <c r="G19" s="60">
        <f>IFERROR(SUMIFS(الرواتب_الخصومات,الرواتب_الرقم,$A19),"")</f>
        <v/>
      </c>
      <c r="H19" s="60">
        <f>IFERROR(SUMIFS(الرواتب_الصافي,الرواتب_الرقم,$A19),"")</f>
        <v/>
      </c>
      <c r="I19" s="44">
        <f>IFERROR(COUNTIFS(الرواتب_الرقم,$A19),"")</f>
        <v/>
      </c>
    </row>
    <row r="20">
      <c r="A20" s="50">
        <f>IFERROR(INDEX(الموظفون_الرقم,14),"")</f>
        <v/>
      </c>
      <c r="B20" s="50">
        <f>IFERROR(INDEX(الموظفون_الاسم,14),"")</f>
        <v/>
      </c>
      <c r="C20" s="50">
        <f>IFERROR(INDEX(الموظفون_الإدارة,14),"")</f>
        <v/>
      </c>
      <c r="D20" s="63">
        <f>IFERROR(SUMIFS(الرواتب_بدل_النقل,الرواتب_الرقم,$A20)+SUMIFS(الرواتب_بدل_السكن,الرواتب_الرقم,$A20)+SUMIFS(الرواتب_بدلات_اخرى,الرواتب_الرقم,$A20),"")</f>
        <v/>
      </c>
      <c r="E20" s="63">
        <f>IFERROR(SUMIFS(الرواتب_المكافآت,الرواتب_الرقم,$A20),"")</f>
        <v/>
      </c>
      <c r="F20" s="63">
        <f>IFERROR(SUMIFS(الرواتب_الاضافي,الرواتب_الرقم,$A20),"")</f>
        <v/>
      </c>
      <c r="G20" s="63">
        <f>IFERROR(SUMIFS(الرواتب_الخصومات,الرواتب_الرقم,$A20),"")</f>
        <v/>
      </c>
      <c r="H20" s="63">
        <f>IFERROR(SUMIFS(الرواتب_الصافي,الرواتب_الرقم,$A20),"")</f>
        <v/>
      </c>
      <c r="I20" s="51">
        <f>IFERROR(COUNTIFS(الرواتب_الرقم,$A20),"")</f>
        <v/>
      </c>
    </row>
    <row r="21">
      <c r="A21" s="43">
        <f>IFERROR(INDEX(الموظفون_الرقم,15),"")</f>
        <v/>
      </c>
      <c r="B21" s="43">
        <f>IFERROR(INDEX(الموظفون_الاسم,15),"")</f>
        <v/>
      </c>
      <c r="C21" s="43">
        <f>IFERROR(INDEX(الموظفون_الإدارة,15),"")</f>
        <v/>
      </c>
      <c r="D21" s="60">
        <f>IFERROR(SUMIFS(الرواتب_بدل_النقل,الرواتب_الرقم,$A21)+SUMIFS(الرواتب_بدل_السكن,الرواتب_الرقم,$A21)+SUMIFS(الرواتب_بدلات_اخرى,الرواتب_الرقم,$A21),"")</f>
        <v/>
      </c>
      <c r="E21" s="60">
        <f>IFERROR(SUMIFS(الرواتب_المكافآت,الرواتب_الرقم,$A21),"")</f>
        <v/>
      </c>
      <c r="F21" s="60">
        <f>IFERROR(SUMIFS(الرواتب_الاضافي,الرواتب_الرقم,$A21),"")</f>
        <v/>
      </c>
      <c r="G21" s="60">
        <f>IFERROR(SUMIFS(الرواتب_الخصومات,الرواتب_الرقم,$A21),"")</f>
        <v/>
      </c>
      <c r="H21" s="60">
        <f>IFERROR(SUMIFS(الرواتب_الصافي,الرواتب_الرقم,$A21),"")</f>
        <v/>
      </c>
      <c r="I21" s="44">
        <f>IFERROR(COUNTIFS(الرواتب_الرقم,$A21),"")</f>
        <v/>
      </c>
    </row>
    <row r="22">
      <c r="A22" s="50">
        <f>IFERROR(INDEX(الموظفون_الرقم,16),"")</f>
        <v/>
      </c>
      <c r="B22" s="50">
        <f>IFERROR(INDEX(الموظفون_الاسم,16),"")</f>
        <v/>
      </c>
      <c r="C22" s="50">
        <f>IFERROR(INDEX(الموظفون_الإدارة,16),"")</f>
        <v/>
      </c>
      <c r="D22" s="63">
        <f>IFERROR(SUMIFS(الرواتب_بدل_النقل,الرواتب_الرقم,$A22)+SUMIFS(الرواتب_بدل_السكن,الرواتب_الرقم,$A22)+SUMIFS(الرواتب_بدلات_اخرى,الرواتب_الرقم,$A22),"")</f>
        <v/>
      </c>
      <c r="E22" s="63">
        <f>IFERROR(SUMIFS(الرواتب_المكافآت,الرواتب_الرقم,$A22),"")</f>
        <v/>
      </c>
      <c r="F22" s="63">
        <f>IFERROR(SUMIFS(الرواتب_الاضافي,الرواتب_الرقم,$A22),"")</f>
        <v/>
      </c>
      <c r="G22" s="63">
        <f>IFERROR(SUMIFS(الرواتب_الخصومات,الرواتب_الرقم,$A22),"")</f>
        <v/>
      </c>
      <c r="H22" s="63">
        <f>IFERROR(SUMIFS(الرواتب_الصافي,الرواتب_الرقم,$A22),"")</f>
        <v/>
      </c>
      <c r="I22" s="51">
        <f>IFERROR(COUNTIFS(الرواتب_الرقم,$A22),"")</f>
        <v/>
      </c>
    </row>
    <row r="23">
      <c r="A23" s="43">
        <f>IFERROR(INDEX(الموظفون_الرقم,17),"")</f>
        <v/>
      </c>
      <c r="B23" s="43">
        <f>IFERROR(INDEX(الموظفون_الاسم,17),"")</f>
        <v/>
      </c>
      <c r="C23" s="43">
        <f>IFERROR(INDEX(الموظفون_الإدارة,17),"")</f>
        <v/>
      </c>
      <c r="D23" s="60">
        <f>IFERROR(SUMIFS(الرواتب_بدل_النقل,الرواتب_الرقم,$A23)+SUMIFS(الرواتب_بدل_السكن,الرواتب_الرقم,$A23)+SUMIFS(الرواتب_بدلات_اخرى,الرواتب_الرقم,$A23),"")</f>
        <v/>
      </c>
      <c r="E23" s="60">
        <f>IFERROR(SUMIFS(الرواتب_المكافآت,الرواتب_الرقم,$A23),"")</f>
        <v/>
      </c>
      <c r="F23" s="60">
        <f>IFERROR(SUMIFS(الرواتب_الاضافي,الرواتب_الرقم,$A23),"")</f>
        <v/>
      </c>
      <c r="G23" s="60">
        <f>IFERROR(SUMIFS(الرواتب_الخصومات,الرواتب_الرقم,$A23),"")</f>
        <v/>
      </c>
      <c r="H23" s="60">
        <f>IFERROR(SUMIFS(الرواتب_الصافي,الرواتب_الرقم,$A23),"")</f>
        <v/>
      </c>
      <c r="I23" s="44">
        <f>IFERROR(COUNTIFS(الرواتب_الرقم,$A23),"")</f>
        <v/>
      </c>
    </row>
    <row r="24">
      <c r="A24" s="50">
        <f>IFERROR(INDEX(الموظفون_الرقم,18),"")</f>
        <v/>
      </c>
      <c r="B24" s="50">
        <f>IFERROR(INDEX(الموظفون_الاسم,18),"")</f>
        <v/>
      </c>
      <c r="C24" s="50">
        <f>IFERROR(INDEX(الموظفون_الإدارة,18),"")</f>
        <v/>
      </c>
      <c r="D24" s="63">
        <f>IFERROR(SUMIFS(الرواتب_بدل_النقل,الرواتب_الرقم,$A24)+SUMIFS(الرواتب_بدل_السكن,الرواتب_الرقم,$A24)+SUMIFS(الرواتب_بدلات_اخرى,الرواتب_الرقم,$A24),"")</f>
        <v/>
      </c>
      <c r="E24" s="63">
        <f>IFERROR(SUMIFS(الرواتب_المكافآت,الرواتب_الرقم,$A24),"")</f>
        <v/>
      </c>
      <c r="F24" s="63">
        <f>IFERROR(SUMIFS(الرواتب_الاضافي,الرواتب_الرقم,$A24),"")</f>
        <v/>
      </c>
      <c r="G24" s="63">
        <f>IFERROR(SUMIFS(الرواتب_الخصومات,الرواتب_الرقم,$A24),"")</f>
        <v/>
      </c>
      <c r="H24" s="63">
        <f>IFERROR(SUMIFS(الرواتب_الصافي,الرواتب_الرقم,$A24),"")</f>
        <v/>
      </c>
      <c r="I24" s="51">
        <f>IFERROR(COUNTIFS(الرواتب_الرقم,$A24),"")</f>
        <v/>
      </c>
    </row>
    <row r="25">
      <c r="A25" s="43">
        <f>IFERROR(INDEX(الموظفون_الرقم,19),"")</f>
        <v/>
      </c>
      <c r="B25" s="43">
        <f>IFERROR(INDEX(الموظفون_الاسم,19),"")</f>
        <v/>
      </c>
      <c r="C25" s="43">
        <f>IFERROR(INDEX(الموظفون_الإدارة,19),"")</f>
        <v/>
      </c>
      <c r="D25" s="60">
        <f>IFERROR(SUMIFS(الرواتب_بدل_النقل,الرواتب_الرقم,$A25)+SUMIFS(الرواتب_بدل_السكن,الرواتب_الرقم,$A25)+SUMIFS(الرواتب_بدلات_اخرى,الرواتب_الرقم,$A25),"")</f>
        <v/>
      </c>
      <c r="E25" s="60">
        <f>IFERROR(SUMIFS(الرواتب_المكافآت,الرواتب_الرقم,$A25),"")</f>
        <v/>
      </c>
      <c r="F25" s="60">
        <f>IFERROR(SUMIFS(الرواتب_الاضافي,الرواتب_الرقم,$A25),"")</f>
        <v/>
      </c>
      <c r="G25" s="60">
        <f>IFERROR(SUMIFS(الرواتب_الخصومات,الرواتب_الرقم,$A25),"")</f>
        <v/>
      </c>
      <c r="H25" s="60">
        <f>IFERROR(SUMIFS(الرواتب_الصافي,الرواتب_الرقم,$A25),"")</f>
        <v/>
      </c>
      <c r="I25" s="44">
        <f>IFERROR(COUNTIFS(الرواتب_الرقم,$A25),"")</f>
        <v/>
      </c>
    </row>
    <row r="26">
      <c r="A26" s="50">
        <f>IFERROR(INDEX(الموظفون_الرقم,20),"")</f>
        <v/>
      </c>
      <c r="B26" s="50">
        <f>IFERROR(INDEX(الموظفون_الاسم,20),"")</f>
        <v/>
      </c>
      <c r="C26" s="50">
        <f>IFERROR(INDEX(الموظفون_الإدارة,20),"")</f>
        <v/>
      </c>
      <c r="D26" s="63">
        <f>IFERROR(SUMIFS(الرواتب_بدل_النقل,الرواتب_الرقم,$A26)+SUMIFS(الرواتب_بدل_السكن,الرواتب_الرقم,$A26)+SUMIFS(الرواتب_بدلات_اخرى,الرواتب_الرقم,$A26),"")</f>
        <v/>
      </c>
      <c r="E26" s="63">
        <f>IFERROR(SUMIFS(الرواتب_المكافآت,الرواتب_الرقم,$A26),"")</f>
        <v/>
      </c>
      <c r="F26" s="63">
        <f>IFERROR(SUMIFS(الرواتب_الاضافي,الرواتب_الرقم,$A26),"")</f>
        <v/>
      </c>
      <c r="G26" s="63">
        <f>IFERROR(SUMIFS(الرواتب_الخصومات,الرواتب_الرقم,$A26),"")</f>
        <v/>
      </c>
      <c r="H26" s="63">
        <f>IFERROR(SUMIFS(الرواتب_الصافي,الرواتب_الرقم,$A26),"")</f>
        <v/>
      </c>
      <c r="I26" s="51">
        <f>IFERROR(COUNTIFS(الرواتب_الرقم,$A26),"")</f>
        <v/>
      </c>
    </row>
    <row r="27">
      <c r="A27" s="43">
        <f>IFERROR(INDEX(الموظفون_الرقم,21),"")</f>
        <v/>
      </c>
      <c r="B27" s="43">
        <f>IFERROR(INDEX(الموظفون_الاسم,21),"")</f>
        <v/>
      </c>
      <c r="C27" s="43">
        <f>IFERROR(INDEX(الموظفون_الإدارة,21),"")</f>
        <v/>
      </c>
      <c r="D27" s="60">
        <f>IFERROR(SUMIFS(الرواتب_بدل_النقل,الرواتب_الرقم,$A27)+SUMIFS(الرواتب_بدل_السكن,الرواتب_الرقم,$A27)+SUMIFS(الرواتب_بدلات_اخرى,الرواتب_الرقم,$A27),"")</f>
        <v/>
      </c>
      <c r="E27" s="60">
        <f>IFERROR(SUMIFS(الرواتب_المكافآت,الرواتب_الرقم,$A27),"")</f>
        <v/>
      </c>
      <c r="F27" s="60">
        <f>IFERROR(SUMIFS(الرواتب_الاضافي,الرواتب_الرقم,$A27),"")</f>
        <v/>
      </c>
      <c r="G27" s="60">
        <f>IFERROR(SUMIFS(الرواتب_الخصومات,الرواتب_الرقم,$A27),"")</f>
        <v/>
      </c>
      <c r="H27" s="60">
        <f>IFERROR(SUMIFS(الرواتب_الصافي,الرواتب_الرقم,$A27),"")</f>
        <v/>
      </c>
      <c r="I27" s="44">
        <f>IFERROR(COUNTIFS(الرواتب_الرقم,$A27),"")</f>
        <v/>
      </c>
    </row>
    <row r="28">
      <c r="A28" s="50">
        <f>IFERROR(INDEX(الموظفون_الرقم,22),"")</f>
        <v/>
      </c>
      <c r="B28" s="50">
        <f>IFERROR(INDEX(الموظفون_الاسم,22),"")</f>
        <v/>
      </c>
      <c r="C28" s="50">
        <f>IFERROR(INDEX(الموظفون_الإدارة,22),"")</f>
        <v/>
      </c>
      <c r="D28" s="63">
        <f>IFERROR(SUMIFS(الرواتب_بدل_النقل,الرواتب_الرقم,$A28)+SUMIFS(الرواتب_بدل_السكن,الرواتب_الرقم,$A28)+SUMIFS(الرواتب_بدلات_اخرى,الرواتب_الرقم,$A28),"")</f>
        <v/>
      </c>
      <c r="E28" s="63">
        <f>IFERROR(SUMIFS(الرواتب_المكافآت,الرواتب_الرقم,$A28),"")</f>
        <v/>
      </c>
      <c r="F28" s="63">
        <f>IFERROR(SUMIFS(الرواتب_الاضافي,الرواتب_الرقم,$A28),"")</f>
        <v/>
      </c>
      <c r="G28" s="63">
        <f>IFERROR(SUMIFS(الرواتب_الخصومات,الرواتب_الرقم,$A28),"")</f>
        <v/>
      </c>
      <c r="H28" s="63">
        <f>IFERROR(SUMIFS(الرواتب_الصافي,الرواتب_الرقم,$A28),"")</f>
        <v/>
      </c>
      <c r="I28" s="51">
        <f>IFERROR(COUNTIFS(الرواتب_الرقم,$A28),"")</f>
        <v/>
      </c>
    </row>
    <row r="29">
      <c r="A29" s="43">
        <f>IFERROR(INDEX(الموظفون_الرقم,23),"")</f>
        <v/>
      </c>
      <c r="B29" s="43">
        <f>IFERROR(INDEX(الموظفون_الاسم,23),"")</f>
        <v/>
      </c>
      <c r="C29" s="43">
        <f>IFERROR(INDEX(الموظفون_الإدارة,23),"")</f>
        <v/>
      </c>
      <c r="D29" s="60">
        <f>IFERROR(SUMIFS(الرواتب_بدل_النقل,الرواتب_الرقم,$A29)+SUMIFS(الرواتب_بدل_السكن,الرواتب_الرقم,$A29)+SUMIFS(الرواتب_بدلات_اخرى,الرواتب_الرقم,$A29),"")</f>
        <v/>
      </c>
      <c r="E29" s="60">
        <f>IFERROR(SUMIFS(الرواتب_المكافآت,الرواتب_الرقم,$A29),"")</f>
        <v/>
      </c>
      <c r="F29" s="60">
        <f>IFERROR(SUMIFS(الرواتب_الاضافي,الرواتب_الرقم,$A29),"")</f>
        <v/>
      </c>
      <c r="G29" s="60">
        <f>IFERROR(SUMIFS(الرواتب_الخصومات,الرواتب_الرقم,$A29),"")</f>
        <v/>
      </c>
      <c r="H29" s="60">
        <f>IFERROR(SUMIFS(الرواتب_الصافي,الرواتب_الرقم,$A29),"")</f>
        <v/>
      </c>
      <c r="I29" s="44">
        <f>IFERROR(COUNTIFS(الرواتب_الرقم,$A29),"")</f>
        <v/>
      </c>
    </row>
    <row r="30">
      <c r="A30" s="50">
        <f>IFERROR(INDEX(الموظفون_الرقم,24),"")</f>
        <v/>
      </c>
      <c r="B30" s="50">
        <f>IFERROR(INDEX(الموظفون_الاسم,24),"")</f>
        <v/>
      </c>
      <c r="C30" s="50">
        <f>IFERROR(INDEX(الموظفون_الإدارة,24),"")</f>
        <v/>
      </c>
      <c r="D30" s="63">
        <f>IFERROR(SUMIFS(الرواتب_بدل_النقل,الرواتب_الرقم,$A30)+SUMIFS(الرواتب_بدل_السكن,الرواتب_الرقم,$A30)+SUMIFS(الرواتب_بدلات_اخرى,الرواتب_الرقم,$A30),"")</f>
        <v/>
      </c>
      <c r="E30" s="63">
        <f>IFERROR(SUMIFS(الرواتب_المكافآت,الرواتب_الرقم,$A30),"")</f>
        <v/>
      </c>
      <c r="F30" s="63">
        <f>IFERROR(SUMIFS(الرواتب_الاضافي,الرواتب_الرقم,$A30),"")</f>
        <v/>
      </c>
      <c r="G30" s="63">
        <f>IFERROR(SUMIFS(الرواتب_الخصومات,الرواتب_الرقم,$A30),"")</f>
        <v/>
      </c>
      <c r="H30" s="63">
        <f>IFERROR(SUMIFS(الرواتب_الصافي,الرواتب_الرقم,$A30),"")</f>
        <v/>
      </c>
      <c r="I30" s="51">
        <f>IFERROR(COUNTIFS(الرواتب_الرقم,$A30),"")</f>
        <v/>
      </c>
    </row>
    <row r="31">
      <c r="A31" s="43">
        <f>IFERROR(INDEX(الموظفون_الرقم,25),"")</f>
        <v/>
      </c>
      <c r="B31" s="43">
        <f>IFERROR(INDEX(الموظفون_الاسم,25),"")</f>
        <v/>
      </c>
      <c r="C31" s="43">
        <f>IFERROR(INDEX(الموظفون_الإدارة,25),"")</f>
        <v/>
      </c>
      <c r="D31" s="60">
        <f>IFERROR(SUMIFS(الرواتب_بدل_النقل,الرواتب_الرقم,$A31)+SUMIFS(الرواتب_بدل_السكن,الرواتب_الرقم,$A31)+SUMIFS(الرواتب_بدلات_اخرى,الرواتب_الرقم,$A31),"")</f>
        <v/>
      </c>
      <c r="E31" s="60">
        <f>IFERROR(SUMIFS(الرواتب_المكافآت,الرواتب_الرقم,$A31),"")</f>
        <v/>
      </c>
      <c r="F31" s="60">
        <f>IFERROR(SUMIFS(الرواتب_الاضافي,الرواتب_الرقم,$A31),"")</f>
        <v/>
      </c>
      <c r="G31" s="60">
        <f>IFERROR(SUMIFS(الرواتب_الخصومات,الرواتب_الرقم,$A31),"")</f>
        <v/>
      </c>
      <c r="H31" s="60">
        <f>IFERROR(SUMIFS(الرواتب_الصافي,الرواتب_الرقم,$A31),"")</f>
        <v/>
      </c>
      <c r="I31" s="44">
        <f>IFERROR(COUNTIFS(الرواتب_الرقم,$A31),"")</f>
        <v/>
      </c>
    </row>
    <row r="32">
      <c r="A32" s="50">
        <f>IFERROR(INDEX(الموظفون_الرقم,26),"")</f>
        <v/>
      </c>
      <c r="B32" s="50">
        <f>IFERROR(INDEX(الموظفون_الاسم,26),"")</f>
        <v/>
      </c>
      <c r="C32" s="50">
        <f>IFERROR(INDEX(الموظفون_الإدارة,26),"")</f>
        <v/>
      </c>
      <c r="D32" s="63">
        <f>IFERROR(SUMIFS(الرواتب_بدل_النقل,الرواتب_الرقم,$A32)+SUMIFS(الرواتب_بدل_السكن,الرواتب_الرقم,$A32)+SUMIFS(الرواتب_بدلات_اخرى,الرواتب_الرقم,$A32),"")</f>
        <v/>
      </c>
      <c r="E32" s="63">
        <f>IFERROR(SUMIFS(الرواتب_المكافآت,الرواتب_الرقم,$A32),"")</f>
        <v/>
      </c>
      <c r="F32" s="63">
        <f>IFERROR(SUMIFS(الرواتب_الاضافي,الرواتب_الرقم,$A32),"")</f>
        <v/>
      </c>
      <c r="G32" s="63">
        <f>IFERROR(SUMIFS(الرواتب_الخصومات,الرواتب_الرقم,$A32),"")</f>
        <v/>
      </c>
      <c r="H32" s="63">
        <f>IFERROR(SUMIFS(الرواتب_الصافي,الرواتب_الرقم,$A32),"")</f>
        <v/>
      </c>
      <c r="I32" s="51">
        <f>IFERROR(COUNTIFS(الرواتب_الرقم,$A32),"")</f>
        <v/>
      </c>
    </row>
    <row r="33">
      <c r="A33" s="43">
        <f>IFERROR(INDEX(الموظفون_الرقم,27),"")</f>
        <v/>
      </c>
      <c r="B33" s="43">
        <f>IFERROR(INDEX(الموظفون_الاسم,27),"")</f>
        <v/>
      </c>
      <c r="C33" s="43">
        <f>IFERROR(INDEX(الموظفون_الإدارة,27),"")</f>
        <v/>
      </c>
      <c r="D33" s="60">
        <f>IFERROR(SUMIFS(الرواتب_بدل_النقل,الرواتب_الرقم,$A33)+SUMIFS(الرواتب_بدل_السكن,الرواتب_الرقم,$A33)+SUMIFS(الرواتب_بدلات_اخرى,الرواتب_الرقم,$A33),"")</f>
        <v/>
      </c>
      <c r="E33" s="60">
        <f>IFERROR(SUMIFS(الرواتب_المكافآت,الرواتب_الرقم,$A33),"")</f>
        <v/>
      </c>
      <c r="F33" s="60">
        <f>IFERROR(SUMIFS(الرواتب_الاضافي,الرواتب_الرقم,$A33),"")</f>
        <v/>
      </c>
      <c r="G33" s="60">
        <f>IFERROR(SUMIFS(الرواتب_الخصومات,الرواتب_الرقم,$A33),"")</f>
        <v/>
      </c>
      <c r="H33" s="60">
        <f>IFERROR(SUMIFS(الرواتب_الصافي,الرواتب_الرقم,$A33),"")</f>
        <v/>
      </c>
      <c r="I33" s="44">
        <f>IFERROR(COUNTIFS(الرواتب_الرقم,$A33),"")</f>
        <v/>
      </c>
    </row>
    <row r="34">
      <c r="A34" s="50">
        <f>IFERROR(INDEX(الموظفون_الرقم,28),"")</f>
        <v/>
      </c>
      <c r="B34" s="50">
        <f>IFERROR(INDEX(الموظفون_الاسم,28),"")</f>
        <v/>
      </c>
      <c r="C34" s="50">
        <f>IFERROR(INDEX(الموظفون_الإدارة,28),"")</f>
        <v/>
      </c>
      <c r="D34" s="63">
        <f>IFERROR(SUMIFS(الرواتب_بدل_النقل,الرواتب_الرقم,$A34)+SUMIFS(الرواتب_بدل_السكن,الرواتب_الرقم,$A34)+SUMIFS(الرواتب_بدلات_اخرى,الرواتب_الرقم,$A34),"")</f>
        <v/>
      </c>
      <c r="E34" s="63">
        <f>IFERROR(SUMIFS(الرواتب_المكافآت,الرواتب_الرقم,$A34),"")</f>
        <v/>
      </c>
      <c r="F34" s="63">
        <f>IFERROR(SUMIFS(الرواتب_الاضافي,الرواتب_الرقم,$A34),"")</f>
        <v/>
      </c>
      <c r="G34" s="63">
        <f>IFERROR(SUMIFS(الرواتب_الخصومات,الرواتب_الرقم,$A34),"")</f>
        <v/>
      </c>
      <c r="H34" s="63">
        <f>IFERROR(SUMIFS(الرواتب_الصافي,الرواتب_الرقم,$A34),"")</f>
        <v/>
      </c>
      <c r="I34" s="51">
        <f>IFERROR(COUNTIFS(الرواتب_الرقم,$A34),"")</f>
        <v/>
      </c>
    </row>
    <row r="35">
      <c r="A35" s="43">
        <f>IFERROR(INDEX(الموظفون_الرقم,29),"")</f>
        <v/>
      </c>
      <c r="B35" s="43">
        <f>IFERROR(INDEX(الموظفون_الاسم,29),"")</f>
        <v/>
      </c>
      <c r="C35" s="43">
        <f>IFERROR(INDEX(الموظفون_الإدارة,29),"")</f>
        <v/>
      </c>
      <c r="D35" s="60">
        <f>IFERROR(SUMIFS(الرواتب_بدل_النقل,الرواتب_الرقم,$A35)+SUMIFS(الرواتب_بدل_السكن,الرواتب_الرقم,$A35)+SUMIFS(الرواتب_بدلات_اخرى,الرواتب_الرقم,$A35),"")</f>
        <v/>
      </c>
      <c r="E35" s="60">
        <f>IFERROR(SUMIFS(الرواتب_المكافآت,الرواتب_الرقم,$A35),"")</f>
        <v/>
      </c>
      <c r="F35" s="60">
        <f>IFERROR(SUMIFS(الرواتب_الاضافي,الرواتب_الرقم,$A35),"")</f>
        <v/>
      </c>
      <c r="G35" s="60">
        <f>IFERROR(SUMIFS(الرواتب_الخصومات,الرواتب_الرقم,$A35),"")</f>
        <v/>
      </c>
      <c r="H35" s="60">
        <f>IFERROR(SUMIFS(الرواتب_الصافي,الرواتب_الرقم,$A35),"")</f>
        <v/>
      </c>
      <c r="I35" s="44">
        <f>IFERROR(COUNTIFS(الرواتب_الرقم,$A35),"")</f>
        <v/>
      </c>
    </row>
    <row r="36">
      <c r="A36" s="50">
        <f>IFERROR(INDEX(الموظفون_الرقم,30),"")</f>
        <v/>
      </c>
      <c r="B36" s="50">
        <f>IFERROR(INDEX(الموظفون_الاسم,30),"")</f>
        <v/>
      </c>
      <c r="C36" s="50">
        <f>IFERROR(INDEX(الموظفون_الإدارة,30),"")</f>
        <v/>
      </c>
      <c r="D36" s="63">
        <f>IFERROR(SUMIFS(الرواتب_بدل_النقل,الرواتب_الرقم,$A36)+SUMIFS(الرواتب_بدل_السكن,الرواتب_الرقم,$A36)+SUMIFS(الرواتب_بدلات_اخرى,الرواتب_الرقم,$A36),"")</f>
        <v/>
      </c>
      <c r="E36" s="63">
        <f>IFERROR(SUMIFS(الرواتب_المكافآت,الرواتب_الرقم,$A36),"")</f>
        <v/>
      </c>
      <c r="F36" s="63">
        <f>IFERROR(SUMIFS(الرواتب_الاضافي,الرواتب_الرقم,$A36),"")</f>
        <v/>
      </c>
      <c r="G36" s="63">
        <f>IFERROR(SUMIFS(الرواتب_الخصومات,الرواتب_الرقم,$A36),"")</f>
        <v/>
      </c>
      <c r="H36" s="63">
        <f>IFERROR(SUMIFS(الرواتب_الصافي,الرواتب_الرقم,$A36),"")</f>
        <v/>
      </c>
      <c r="I36" s="51">
        <f>IFERROR(COUNTIFS(الرواتب_الرقم,$A36),"")</f>
        <v/>
      </c>
    </row>
    <row r="37">
      <c r="A37" s="43">
        <f>IFERROR(INDEX(الموظفون_الرقم,31),"")</f>
        <v/>
      </c>
      <c r="B37" s="43">
        <f>IFERROR(INDEX(الموظفون_الاسم,31),"")</f>
        <v/>
      </c>
      <c r="C37" s="43">
        <f>IFERROR(INDEX(الموظفون_الإدارة,31),"")</f>
        <v/>
      </c>
      <c r="D37" s="60">
        <f>IFERROR(SUMIFS(الرواتب_بدل_النقل,الرواتب_الرقم,$A37)+SUMIFS(الرواتب_بدل_السكن,الرواتب_الرقم,$A37)+SUMIFS(الرواتب_بدلات_اخرى,الرواتب_الرقم,$A37),"")</f>
        <v/>
      </c>
      <c r="E37" s="60">
        <f>IFERROR(SUMIFS(الرواتب_المكافآت,الرواتب_الرقم,$A37),"")</f>
        <v/>
      </c>
      <c r="F37" s="60">
        <f>IFERROR(SUMIFS(الرواتب_الاضافي,الرواتب_الرقم,$A37),"")</f>
        <v/>
      </c>
      <c r="G37" s="60">
        <f>IFERROR(SUMIFS(الرواتب_الخصومات,الرواتب_الرقم,$A37),"")</f>
        <v/>
      </c>
      <c r="H37" s="60">
        <f>IFERROR(SUMIFS(الرواتب_الصافي,الرواتب_الرقم,$A37),"")</f>
        <v/>
      </c>
      <c r="I37" s="44">
        <f>IFERROR(COUNTIFS(الرواتب_الرقم,$A37),"")</f>
        <v/>
      </c>
    </row>
    <row r="38">
      <c r="A38" s="50">
        <f>IFERROR(INDEX(الموظفون_الرقم,32),"")</f>
        <v/>
      </c>
      <c r="B38" s="50">
        <f>IFERROR(INDEX(الموظفون_الاسم,32),"")</f>
        <v/>
      </c>
      <c r="C38" s="50">
        <f>IFERROR(INDEX(الموظفون_الإدارة,32),"")</f>
        <v/>
      </c>
      <c r="D38" s="63">
        <f>IFERROR(SUMIFS(الرواتب_بدل_النقل,الرواتب_الرقم,$A38)+SUMIFS(الرواتب_بدل_السكن,الرواتب_الرقم,$A38)+SUMIFS(الرواتب_بدلات_اخرى,الرواتب_الرقم,$A38),"")</f>
        <v/>
      </c>
      <c r="E38" s="63">
        <f>IFERROR(SUMIFS(الرواتب_المكافآت,الرواتب_الرقم,$A38),"")</f>
        <v/>
      </c>
      <c r="F38" s="63">
        <f>IFERROR(SUMIFS(الرواتب_الاضافي,الرواتب_الرقم,$A38),"")</f>
        <v/>
      </c>
      <c r="G38" s="63">
        <f>IFERROR(SUMIFS(الرواتب_الخصومات,الرواتب_الرقم,$A38),"")</f>
        <v/>
      </c>
      <c r="H38" s="63">
        <f>IFERROR(SUMIFS(الرواتب_الصافي,الرواتب_الرقم,$A38),"")</f>
        <v/>
      </c>
      <c r="I38" s="51">
        <f>IFERROR(COUNTIFS(الرواتب_الرقم,$A38),"")</f>
        <v/>
      </c>
    </row>
    <row r="39">
      <c r="A39" s="43">
        <f>IFERROR(INDEX(الموظفون_الرقم,33),"")</f>
        <v/>
      </c>
      <c r="B39" s="43">
        <f>IFERROR(INDEX(الموظفون_الاسم,33),"")</f>
        <v/>
      </c>
      <c r="C39" s="43">
        <f>IFERROR(INDEX(الموظفون_الإدارة,33),"")</f>
        <v/>
      </c>
      <c r="D39" s="60">
        <f>IFERROR(SUMIFS(الرواتب_بدل_النقل,الرواتب_الرقم,$A39)+SUMIFS(الرواتب_بدل_السكن,الرواتب_الرقم,$A39)+SUMIFS(الرواتب_بدلات_اخرى,الرواتب_الرقم,$A39),"")</f>
        <v/>
      </c>
      <c r="E39" s="60">
        <f>IFERROR(SUMIFS(الرواتب_المكافآت,الرواتب_الرقم,$A39),"")</f>
        <v/>
      </c>
      <c r="F39" s="60">
        <f>IFERROR(SUMIFS(الرواتب_الاضافي,الرواتب_الرقم,$A39),"")</f>
        <v/>
      </c>
      <c r="G39" s="60">
        <f>IFERROR(SUMIFS(الرواتب_الخصومات,الرواتب_الرقم,$A39),"")</f>
        <v/>
      </c>
      <c r="H39" s="60">
        <f>IFERROR(SUMIFS(الرواتب_الصافي,الرواتب_الرقم,$A39),"")</f>
        <v/>
      </c>
      <c r="I39" s="44">
        <f>IFERROR(COUNTIFS(الرواتب_الرقم,$A39),"")</f>
        <v/>
      </c>
    </row>
    <row r="40">
      <c r="A40" s="50">
        <f>IFERROR(INDEX(الموظفون_الرقم,34),"")</f>
        <v/>
      </c>
      <c r="B40" s="50">
        <f>IFERROR(INDEX(الموظفون_الاسم,34),"")</f>
        <v/>
      </c>
      <c r="C40" s="50">
        <f>IFERROR(INDEX(الموظفون_الإدارة,34),"")</f>
        <v/>
      </c>
      <c r="D40" s="63">
        <f>IFERROR(SUMIFS(الرواتب_بدل_النقل,الرواتب_الرقم,$A40)+SUMIFS(الرواتب_بدل_السكن,الرواتب_الرقم,$A40)+SUMIFS(الرواتب_بدلات_اخرى,الرواتب_الرقم,$A40),"")</f>
        <v/>
      </c>
      <c r="E40" s="63">
        <f>IFERROR(SUMIFS(الرواتب_المكافآت,الرواتب_الرقم,$A40),"")</f>
        <v/>
      </c>
      <c r="F40" s="63">
        <f>IFERROR(SUMIFS(الرواتب_الاضافي,الرواتب_الرقم,$A40),"")</f>
        <v/>
      </c>
      <c r="G40" s="63">
        <f>IFERROR(SUMIFS(الرواتب_الخصومات,الرواتب_الرقم,$A40),"")</f>
        <v/>
      </c>
      <c r="H40" s="63">
        <f>IFERROR(SUMIFS(الرواتب_الصافي,الرواتب_الرقم,$A40),"")</f>
        <v/>
      </c>
      <c r="I40" s="51">
        <f>IFERROR(COUNTIFS(الرواتب_الرقم,$A40),"")</f>
        <v/>
      </c>
    </row>
    <row r="41">
      <c r="A41" s="43">
        <f>IFERROR(INDEX(الموظفون_الرقم,35),"")</f>
        <v/>
      </c>
      <c r="B41" s="43">
        <f>IFERROR(INDEX(الموظفون_الاسم,35),"")</f>
        <v/>
      </c>
      <c r="C41" s="43">
        <f>IFERROR(INDEX(الموظفون_الإدارة,35),"")</f>
        <v/>
      </c>
      <c r="D41" s="60">
        <f>IFERROR(SUMIFS(الرواتب_بدل_النقل,الرواتب_الرقم,$A41)+SUMIFS(الرواتب_بدل_السكن,الرواتب_الرقم,$A41)+SUMIFS(الرواتب_بدلات_اخرى,الرواتب_الرقم,$A41),"")</f>
        <v/>
      </c>
      <c r="E41" s="60">
        <f>IFERROR(SUMIFS(الرواتب_المكافآت,الرواتب_الرقم,$A41),"")</f>
        <v/>
      </c>
      <c r="F41" s="60">
        <f>IFERROR(SUMIFS(الرواتب_الاضافي,الرواتب_الرقم,$A41),"")</f>
        <v/>
      </c>
      <c r="G41" s="60">
        <f>IFERROR(SUMIFS(الرواتب_الخصومات,الرواتب_الرقم,$A41),"")</f>
        <v/>
      </c>
      <c r="H41" s="60">
        <f>IFERROR(SUMIFS(الرواتب_الصافي,الرواتب_الرقم,$A41),"")</f>
        <v/>
      </c>
      <c r="I41" s="44">
        <f>IFERROR(COUNTIFS(الرواتب_الرقم,$A41),"")</f>
        <v/>
      </c>
    </row>
    <row r="42">
      <c r="A42" s="50">
        <f>IFERROR(INDEX(الموظفون_الرقم,36),"")</f>
        <v/>
      </c>
      <c r="B42" s="50">
        <f>IFERROR(INDEX(الموظفون_الاسم,36),"")</f>
        <v/>
      </c>
      <c r="C42" s="50">
        <f>IFERROR(INDEX(الموظفون_الإدارة,36),"")</f>
        <v/>
      </c>
      <c r="D42" s="63">
        <f>IFERROR(SUMIFS(الرواتب_بدل_النقل,الرواتب_الرقم,$A42)+SUMIFS(الرواتب_بدل_السكن,الرواتب_الرقم,$A42)+SUMIFS(الرواتب_بدلات_اخرى,الرواتب_الرقم,$A42),"")</f>
        <v/>
      </c>
      <c r="E42" s="63">
        <f>IFERROR(SUMIFS(الرواتب_المكافآت,الرواتب_الرقم,$A42),"")</f>
        <v/>
      </c>
      <c r="F42" s="63">
        <f>IFERROR(SUMIFS(الرواتب_الاضافي,الرواتب_الرقم,$A42),"")</f>
        <v/>
      </c>
      <c r="G42" s="63">
        <f>IFERROR(SUMIFS(الرواتب_الخصومات,الرواتب_الرقم,$A42),"")</f>
        <v/>
      </c>
      <c r="H42" s="63">
        <f>IFERROR(SUMIFS(الرواتب_الصافي,الرواتب_الرقم,$A42),"")</f>
        <v/>
      </c>
      <c r="I42" s="51">
        <f>IFERROR(COUNTIFS(الرواتب_الرقم,$A42),"")</f>
        <v/>
      </c>
    </row>
    <row r="43">
      <c r="A43" s="43">
        <f>IFERROR(INDEX(الموظفون_الرقم,37),"")</f>
        <v/>
      </c>
      <c r="B43" s="43">
        <f>IFERROR(INDEX(الموظفون_الاسم,37),"")</f>
        <v/>
      </c>
      <c r="C43" s="43">
        <f>IFERROR(INDEX(الموظفون_الإدارة,37),"")</f>
        <v/>
      </c>
      <c r="D43" s="60">
        <f>IFERROR(SUMIFS(الرواتب_بدل_النقل,الرواتب_الرقم,$A43)+SUMIFS(الرواتب_بدل_السكن,الرواتب_الرقم,$A43)+SUMIFS(الرواتب_بدلات_اخرى,الرواتب_الرقم,$A43),"")</f>
        <v/>
      </c>
      <c r="E43" s="60">
        <f>IFERROR(SUMIFS(الرواتب_المكافآت,الرواتب_الرقم,$A43),"")</f>
        <v/>
      </c>
      <c r="F43" s="60">
        <f>IFERROR(SUMIFS(الرواتب_الاضافي,الرواتب_الرقم,$A43),"")</f>
        <v/>
      </c>
      <c r="G43" s="60">
        <f>IFERROR(SUMIFS(الرواتب_الخصومات,الرواتب_الرقم,$A43),"")</f>
        <v/>
      </c>
      <c r="H43" s="60">
        <f>IFERROR(SUMIFS(الرواتب_الصافي,الرواتب_الرقم,$A43),"")</f>
        <v/>
      </c>
      <c r="I43" s="44">
        <f>IFERROR(COUNTIFS(الرواتب_الرقم,$A43),"")</f>
        <v/>
      </c>
    </row>
    <row r="44">
      <c r="A44" s="50">
        <f>IFERROR(INDEX(الموظفون_الرقم,38),"")</f>
        <v/>
      </c>
      <c r="B44" s="50">
        <f>IFERROR(INDEX(الموظفون_الاسم,38),"")</f>
        <v/>
      </c>
      <c r="C44" s="50">
        <f>IFERROR(INDEX(الموظفون_الإدارة,38),"")</f>
        <v/>
      </c>
      <c r="D44" s="63">
        <f>IFERROR(SUMIFS(الرواتب_بدل_النقل,الرواتب_الرقم,$A44)+SUMIFS(الرواتب_بدل_السكن,الرواتب_الرقم,$A44)+SUMIFS(الرواتب_بدلات_اخرى,الرواتب_الرقم,$A44),"")</f>
        <v/>
      </c>
      <c r="E44" s="63">
        <f>IFERROR(SUMIFS(الرواتب_المكافآت,الرواتب_الرقم,$A44),"")</f>
        <v/>
      </c>
      <c r="F44" s="63">
        <f>IFERROR(SUMIFS(الرواتب_الاضافي,الرواتب_الرقم,$A44),"")</f>
        <v/>
      </c>
      <c r="G44" s="63">
        <f>IFERROR(SUMIFS(الرواتب_الخصومات,الرواتب_الرقم,$A44),"")</f>
        <v/>
      </c>
      <c r="H44" s="63">
        <f>IFERROR(SUMIFS(الرواتب_الصافي,الرواتب_الرقم,$A44),"")</f>
        <v/>
      </c>
      <c r="I44" s="51">
        <f>IFERROR(COUNTIFS(الرواتب_الرقم,$A44),"")</f>
        <v/>
      </c>
    </row>
    <row r="45">
      <c r="A45" s="43">
        <f>IFERROR(INDEX(الموظفون_الرقم,39),"")</f>
        <v/>
      </c>
      <c r="B45" s="43">
        <f>IFERROR(INDEX(الموظفون_الاسم,39),"")</f>
        <v/>
      </c>
      <c r="C45" s="43">
        <f>IFERROR(INDEX(الموظفون_الإدارة,39),"")</f>
        <v/>
      </c>
      <c r="D45" s="60">
        <f>IFERROR(SUMIFS(الرواتب_بدل_النقل,الرواتب_الرقم,$A45)+SUMIFS(الرواتب_بدل_السكن,الرواتب_الرقم,$A45)+SUMIFS(الرواتب_بدلات_اخرى,الرواتب_الرقم,$A45),"")</f>
        <v/>
      </c>
      <c r="E45" s="60">
        <f>IFERROR(SUMIFS(الرواتب_المكافآت,الرواتب_الرقم,$A45),"")</f>
        <v/>
      </c>
      <c r="F45" s="60">
        <f>IFERROR(SUMIFS(الرواتب_الاضافي,الرواتب_الرقم,$A45),"")</f>
        <v/>
      </c>
      <c r="G45" s="60">
        <f>IFERROR(SUMIFS(الرواتب_الخصومات,الرواتب_الرقم,$A45),"")</f>
        <v/>
      </c>
      <c r="H45" s="60">
        <f>IFERROR(SUMIFS(الرواتب_الصافي,الرواتب_الرقم,$A45),"")</f>
        <v/>
      </c>
      <c r="I45" s="44">
        <f>IFERROR(COUNTIFS(الرواتب_الرقم,$A45),"")</f>
        <v/>
      </c>
    </row>
    <row r="46">
      <c r="A46" s="50">
        <f>IFERROR(INDEX(الموظفون_الرقم,40),"")</f>
        <v/>
      </c>
      <c r="B46" s="50">
        <f>IFERROR(INDEX(الموظفون_الاسم,40),"")</f>
        <v/>
      </c>
      <c r="C46" s="50">
        <f>IFERROR(INDEX(الموظفون_الإدارة,40),"")</f>
        <v/>
      </c>
      <c r="D46" s="63">
        <f>IFERROR(SUMIFS(الرواتب_بدل_النقل,الرواتب_الرقم,$A46)+SUMIFS(الرواتب_بدل_السكن,الرواتب_الرقم,$A46)+SUMIFS(الرواتب_بدلات_اخرى,الرواتب_الرقم,$A46),"")</f>
        <v/>
      </c>
      <c r="E46" s="63">
        <f>IFERROR(SUMIFS(الرواتب_المكافآت,الرواتب_الرقم,$A46),"")</f>
        <v/>
      </c>
      <c r="F46" s="63">
        <f>IFERROR(SUMIFS(الرواتب_الاضافي,الرواتب_الرقم,$A46),"")</f>
        <v/>
      </c>
      <c r="G46" s="63">
        <f>IFERROR(SUMIFS(الرواتب_الخصومات,الرواتب_الرقم,$A46),"")</f>
        <v/>
      </c>
      <c r="H46" s="63">
        <f>IFERROR(SUMIFS(الرواتب_الصافي,الرواتب_الرقم,$A46),"")</f>
        <v/>
      </c>
      <c r="I46" s="51">
        <f>IFERROR(COUNTIFS(الرواتب_الرقم,$A46),"")</f>
        <v/>
      </c>
    </row>
    <row r="47">
      <c r="A47" s="43">
        <f>IFERROR(INDEX(الموظفون_الرقم,41),"")</f>
        <v/>
      </c>
      <c r="B47" s="43">
        <f>IFERROR(INDEX(الموظفون_الاسم,41),"")</f>
        <v/>
      </c>
      <c r="C47" s="43">
        <f>IFERROR(INDEX(الموظفون_الإدارة,41),"")</f>
        <v/>
      </c>
      <c r="D47" s="60">
        <f>IFERROR(SUMIFS(الرواتب_بدل_النقل,الرواتب_الرقم,$A47)+SUMIFS(الرواتب_بدل_السكن,الرواتب_الرقم,$A47)+SUMIFS(الرواتب_بدلات_اخرى,الرواتب_الرقم,$A47),"")</f>
        <v/>
      </c>
      <c r="E47" s="60">
        <f>IFERROR(SUMIFS(الرواتب_المكافآت,الرواتب_الرقم,$A47),"")</f>
        <v/>
      </c>
      <c r="F47" s="60">
        <f>IFERROR(SUMIFS(الرواتب_الاضافي,الرواتب_الرقم,$A47),"")</f>
        <v/>
      </c>
      <c r="G47" s="60">
        <f>IFERROR(SUMIFS(الرواتب_الخصومات,الرواتب_الرقم,$A47),"")</f>
        <v/>
      </c>
      <c r="H47" s="60">
        <f>IFERROR(SUMIFS(الرواتب_الصافي,الرواتب_الرقم,$A47),"")</f>
        <v/>
      </c>
      <c r="I47" s="44">
        <f>IFERROR(COUNTIFS(الرواتب_الرقم,$A47),"")</f>
        <v/>
      </c>
    </row>
    <row r="48">
      <c r="A48" s="50">
        <f>IFERROR(INDEX(الموظفون_الرقم,42),"")</f>
        <v/>
      </c>
      <c r="B48" s="50">
        <f>IFERROR(INDEX(الموظفون_الاسم,42),"")</f>
        <v/>
      </c>
      <c r="C48" s="50">
        <f>IFERROR(INDEX(الموظفون_الإدارة,42),"")</f>
        <v/>
      </c>
      <c r="D48" s="63">
        <f>IFERROR(SUMIFS(الرواتب_بدل_النقل,الرواتب_الرقم,$A48)+SUMIFS(الرواتب_بدل_السكن,الرواتب_الرقم,$A48)+SUMIFS(الرواتب_بدلات_اخرى,الرواتب_الرقم,$A48),"")</f>
        <v/>
      </c>
      <c r="E48" s="63">
        <f>IFERROR(SUMIFS(الرواتب_المكافآت,الرواتب_الرقم,$A48),"")</f>
        <v/>
      </c>
      <c r="F48" s="63">
        <f>IFERROR(SUMIFS(الرواتب_الاضافي,الرواتب_الرقم,$A48),"")</f>
        <v/>
      </c>
      <c r="G48" s="63">
        <f>IFERROR(SUMIFS(الرواتب_الخصومات,الرواتب_الرقم,$A48),"")</f>
        <v/>
      </c>
      <c r="H48" s="63">
        <f>IFERROR(SUMIFS(الرواتب_الصافي,الرواتب_الرقم,$A48),"")</f>
        <v/>
      </c>
      <c r="I48" s="51">
        <f>IFERROR(COUNTIFS(الرواتب_الرقم,$A48),"")</f>
        <v/>
      </c>
    </row>
    <row r="49">
      <c r="A49" s="43">
        <f>IFERROR(INDEX(الموظفون_الرقم,43),"")</f>
        <v/>
      </c>
      <c r="B49" s="43">
        <f>IFERROR(INDEX(الموظفون_الاسم,43),"")</f>
        <v/>
      </c>
      <c r="C49" s="43">
        <f>IFERROR(INDEX(الموظفون_الإدارة,43),"")</f>
        <v/>
      </c>
      <c r="D49" s="60">
        <f>IFERROR(SUMIFS(الرواتب_بدل_النقل,الرواتب_الرقم,$A49)+SUMIFS(الرواتب_بدل_السكن,الرواتب_الرقم,$A49)+SUMIFS(الرواتب_بدلات_اخرى,الرواتب_الرقم,$A49),"")</f>
        <v/>
      </c>
      <c r="E49" s="60">
        <f>IFERROR(SUMIFS(الرواتب_المكافآت,الرواتب_الرقم,$A49),"")</f>
        <v/>
      </c>
      <c r="F49" s="60">
        <f>IFERROR(SUMIFS(الرواتب_الاضافي,الرواتب_الرقم,$A49),"")</f>
        <v/>
      </c>
      <c r="G49" s="60">
        <f>IFERROR(SUMIFS(الرواتب_الخصومات,الرواتب_الرقم,$A49),"")</f>
        <v/>
      </c>
      <c r="H49" s="60">
        <f>IFERROR(SUMIFS(الرواتب_الصافي,الرواتب_الرقم,$A49),"")</f>
        <v/>
      </c>
      <c r="I49" s="44">
        <f>IFERROR(COUNTIFS(الرواتب_الرقم,$A49),"")</f>
        <v/>
      </c>
    </row>
    <row r="50">
      <c r="A50" s="50">
        <f>IFERROR(INDEX(الموظفون_الرقم,44),"")</f>
        <v/>
      </c>
      <c r="B50" s="50">
        <f>IFERROR(INDEX(الموظفون_الاسم,44),"")</f>
        <v/>
      </c>
      <c r="C50" s="50">
        <f>IFERROR(INDEX(الموظفون_الإدارة,44),"")</f>
        <v/>
      </c>
      <c r="D50" s="63">
        <f>IFERROR(SUMIFS(الرواتب_بدل_النقل,الرواتب_الرقم,$A50)+SUMIFS(الرواتب_بدل_السكن,الرواتب_الرقم,$A50)+SUMIFS(الرواتب_بدلات_اخرى,الرواتب_الرقم,$A50),"")</f>
        <v/>
      </c>
      <c r="E50" s="63">
        <f>IFERROR(SUMIFS(الرواتب_المكافآت,الرواتب_الرقم,$A50),"")</f>
        <v/>
      </c>
      <c r="F50" s="63">
        <f>IFERROR(SUMIFS(الرواتب_الاضافي,الرواتب_الرقم,$A50),"")</f>
        <v/>
      </c>
      <c r="G50" s="63">
        <f>IFERROR(SUMIFS(الرواتب_الخصومات,الرواتب_الرقم,$A50),"")</f>
        <v/>
      </c>
      <c r="H50" s="63">
        <f>IFERROR(SUMIFS(الرواتب_الصافي,الرواتب_الرقم,$A50),"")</f>
        <v/>
      </c>
      <c r="I50" s="51">
        <f>IFERROR(COUNTIFS(الرواتب_الرقم,$A50),"")</f>
        <v/>
      </c>
    </row>
    <row r="51">
      <c r="A51" s="43">
        <f>IFERROR(INDEX(الموظفون_الرقم,45),"")</f>
        <v/>
      </c>
      <c r="B51" s="43">
        <f>IFERROR(INDEX(الموظفون_الاسم,45),"")</f>
        <v/>
      </c>
      <c r="C51" s="43">
        <f>IFERROR(INDEX(الموظفون_الإدارة,45),"")</f>
        <v/>
      </c>
      <c r="D51" s="60">
        <f>IFERROR(SUMIFS(الرواتب_بدل_النقل,الرواتب_الرقم,$A51)+SUMIFS(الرواتب_بدل_السكن,الرواتب_الرقم,$A51)+SUMIFS(الرواتب_بدلات_اخرى,الرواتب_الرقم,$A51),"")</f>
        <v/>
      </c>
      <c r="E51" s="60">
        <f>IFERROR(SUMIFS(الرواتب_المكافآت,الرواتب_الرقم,$A51),"")</f>
        <v/>
      </c>
      <c r="F51" s="60">
        <f>IFERROR(SUMIFS(الرواتب_الاضافي,الرواتب_الرقم,$A51),"")</f>
        <v/>
      </c>
      <c r="G51" s="60">
        <f>IFERROR(SUMIFS(الرواتب_الخصومات,الرواتب_الرقم,$A51),"")</f>
        <v/>
      </c>
      <c r="H51" s="60">
        <f>IFERROR(SUMIFS(الرواتب_الصافي,الرواتب_الرقم,$A51),"")</f>
        <v/>
      </c>
      <c r="I51" s="44">
        <f>IFERROR(COUNTIFS(الرواتب_الرقم,$A51),"")</f>
        <v/>
      </c>
    </row>
    <row r="52">
      <c r="A52" s="50">
        <f>IFERROR(INDEX(الموظفون_الرقم,46),"")</f>
        <v/>
      </c>
      <c r="B52" s="50">
        <f>IFERROR(INDEX(الموظفون_الاسم,46),"")</f>
        <v/>
      </c>
      <c r="C52" s="50">
        <f>IFERROR(INDEX(الموظفون_الإدارة,46),"")</f>
        <v/>
      </c>
      <c r="D52" s="63">
        <f>IFERROR(SUMIFS(الرواتب_بدل_النقل,الرواتب_الرقم,$A52)+SUMIFS(الرواتب_بدل_السكن,الرواتب_الرقم,$A52)+SUMIFS(الرواتب_بدلات_اخرى,الرواتب_الرقم,$A52),"")</f>
        <v/>
      </c>
      <c r="E52" s="63">
        <f>IFERROR(SUMIFS(الرواتب_المكافآت,الرواتب_الرقم,$A52),"")</f>
        <v/>
      </c>
      <c r="F52" s="63">
        <f>IFERROR(SUMIFS(الرواتب_الاضافي,الرواتب_الرقم,$A52),"")</f>
        <v/>
      </c>
      <c r="G52" s="63">
        <f>IFERROR(SUMIFS(الرواتب_الخصومات,الرواتب_الرقم,$A52),"")</f>
        <v/>
      </c>
      <c r="H52" s="63">
        <f>IFERROR(SUMIFS(الرواتب_الصافي,الرواتب_الرقم,$A52),"")</f>
        <v/>
      </c>
      <c r="I52" s="51">
        <f>IFERROR(COUNTIFS(الرواتب_الرقم,$A52),"")</f>
        <v/>
      </c>
    </row>
    <row r="53">
      <c r="A53" s="43">
        <f>IFERROR(INDEX(الموظفون_الرقم,47),"")</f>
        <v/>
      </c>
      <c r="B53" s="43">
        <f>IFERROR(INDEX(الموظفون_الاسم,47),"")</f>
        <v/>
      </c>
      <c r="C53" s="43">
        <f>IFERROR(INDEX(الموظفون_الإدارة,47),"")</f>
        <v/>
      </c>
      <c r="D53" s="60">
        <f>IFERROR(SUMIFS(الرواتب_بدل_النقل,الرواتب_الرقم,$A53)+SUMIFS(الرواتب_بدل_السكن,الرواتب_الرقم,$A53)+SUMIFS(الرواتب_بدلات_اخرى,الرواتب_الرقم,$A53),"")</f>
        <v/>
      </c>
      <c r="E53" s="60">
        <f>IFERROR(SUMIFS(الرواتب_المكافآت,الرواتب_الرقم,$A53),"")</f>
        <v/>
      </c>
      <c r="F53" s="60">
        <f>IFERROR(SUMIFS(الرواتب_الاضافي,الرواتب_الرقم,$A53),"")</f>
        <v/>
      </c>
      <c r="G53" s="60">
        <f>IFERROR(SUMIFS(الرواتب_الخصومات,الرواتب_الرقم,$A53),"")</f>
        <v/>
      </c>
      <c r="H53" s="60">
        <f>IFERROR(SUMIFS(الرواتب_الصافي,الرواتب_الرقم,$A53),"")</f>
        <v/>
      </c>
      <c r="I53" s="44">
        <f>IFERROR(COUNTIFS(الرواتب_الرقم,$A53),"")</f>
        <v/>
      </c>
    </row>
    <row r="54">
      <c r="A54" s="50">
        <f>IFERROR(INDEX(الموظفون_الرقم,48),"")</f>
        <v/>
      </c>
      <c r="B54" s="50">
        <f>IFERROR(INDEX(الموظفون_الاسم,48),"")</f>
        <v/>
      </c>
      <c r="C54" s="50">
        <f>IFERROR(INDEX(الموظفون_الإدارة,48),"")</f>
        <v/>
      </c>
      <c r="D54" s="63">
        <f>IFERROR(SUMIFS(الرواتب_بدل_النقل,الرواتب_الرقم,$A54)+SUMIFS(الرواتب_بدل_السكن,الرواتب_الرقم,$A54)+SUMIFS(الرواتب_بدلات_اخرى,الرواتب_الرقم,$A54),"")</f>
        <v/>
      </c>
      <c r="E54" s="63">
        <f>IFERROR(SUMIFS(الرواتب_المكافآت,الرواتب_الرقم,$A54),"")</f>
        <v/>
      </c>
      <c r="F54" s="63">
        <f>IFERROR(SUMIFS(الرواتب_الاضافي,الرواتب_الرقم,$A54),"")</f>
        <v/>
      </c>
      <c r="G54" s="63">
        <f>IFERROR(SUMIFS(الرواتب_الخصومات,الرواتب_الرقم,$A54),"")</f>
        <v/>
      </c>
      <c r="H54" s="63">
        <f>IFERROR(SUMIFS(الرواتب_الصافي,الرواتب_الرقم,$A54),"")</f>
        <v/>
      </c>
      <c r="I54" s="51">
        <f>IFERROR(COUNTIFS(الرواتب_الرقم,$A54),"")</f>
        <v/>
      </c>
    </row>
    <row r="55">
      <c r="A55" s="43">
        <f>IFERROR(INDEX(الموظفون_الرقم,49),"")</f>
        <v/>
      </c>
      <c r="B55" s="43">
        <f>IFERROR(INDEX(الموظفون_الاسم,49),"")</f>
        <v/>
      </c>
      <c r="C55" s="43">
        <f>IFERROR(INDEX(الموظفون_الإدارة,49),"")</f>
        <v/>
      </c>
      <c r="D55" s="60">
        <f>IFERROR(SUMIFS(الرواتب_بدل_النقل,الرواتب_الرقم,$A55)+SUMIFS(الرواتب_بدل_السكن,الرواتب_الرقم,$A55)+SUMIFS(الرواتب_بدلات_اخرى,الرواتب_الرقم,$A55),"")</f>
        <v/>
      </c>
      <c r="E55" s="60">
        <f>IFERROR(SUMIFS(الرواتب_المكافآت,الرواتب_الرقم,$A55),"")</f>
        <v/>
      </c>
      <c r="F55" s="60">
        <f>IFERROR(SUMIFS(الرواتب_الاضافي,الرواتب_الرقم,$A55),"")</f>
        <v/>
      </c>
      <c r="G55" s="60">
        <f>IFERROR(SUMIFS(الرواتب_الخصومات,الرواتب_الرقم,$A55),"")</f>
        <v/>
      </c>
      <c r="H55" s="60">
        <f>IFERROR(SUMIFS(الرواتب_الصافي,الرواتب_الرقم,$A55),"")</f>
        <v/>
      </c>
      <c r="I55" s="44">
        <f>IFERROR(COUNTIFS(الرواتب_الرقم,$A55),"")</f>
        <v/>
      </c>
    </row>
    <row r="56">
      <c r="A56" s="50">
        <f>IFERROR(INDEX(الموظفون_الرقم,50),"")</f>
        <v/>
      </c>
      <c r="B56" s="50">
        <f>IFERROR(INDEX(الموظفون_الاسم,50),"")</f>
        <v/>
      </c>
      <c r="C56" s="50">
        <f>IFERROR(INDEX(الموظفون_الإدارة,50),"")</f>
        <v/>
      </c>
      <c r="D56" s="63">
        <f>IFERROR(SUMIFS(الرواتب_بدل_النقل,الرواتب_الرقم,$A56)+SUMIFS(الرواتب_بدل_السكن,الرواتب_الرقم,$A56)+SUMIFS(الرواتب_بدلات_اخرى,الرواتب_الرقم,$A56),"")</f>
        <v/>
      </c>
      <c r="E56" s="63">
        <f>IFERROR(SUMIFS(الرواتب_المكافآت,الرواتب_الرقم,$A56),"")</f>
        <v/>
      </c>
      <c r="F56" s="63">
        <f>IFERROR(SUMIFS(الرواتب_الاضافي,الرواتب_الرقم,$A56),"")</f>
        <v/>
      </c>
      <c r="G56" s="63">
        <f>IFERROR(SUMIFS(الرواتب_الخصومات,الرواتب_الرقم,$A56),"")</f>
        <v/>
      </c>
      <c r="H56" s="63">
        <f>IFERROR(SUMIFS(الرواتب_الصافي,الرواتب_الرقم,$A56),"")</f>
        <v/>
      </c>
      <c r="I56" s="51">
        <f>IFERROR(COUNTIFS(الرواتب_الرقم,$A56),"")</f>
        <v/>
      </c>
    </row>
    <row r="57">
      <c r="A57" s="43">
        <f>IFERROR(INDEX(الموظفون_الرقم,51),"")</f>
        <v/>
      </c>
      <c r="B57" s="43">
        <f>IFERROR(INDEX(الموظفون_الاسم,51),"")</f>
        <v/>
      </c>
      <c r="C57" s="43">
        <f>IFERROR(INDEX(الموظفون_الإدارة,51),"")</f>
        <v/>
      </c>
      <c r="D57" s="60">
        <f>IFERROR(SUMIFS(الرواتب_بدل_النقل,الرواتب_الرقم,$A57)+SUMIFS(الرواتب_بدل_السكن,الرواتب_الرقم,$A57)+SUMIFS(الرواتب_بدلات_اخرى,الرواتب_الرقم,$A57),"")</f>
        <v/>
      </c>
      <c r="E57" s="60">
        <f>IFERROR(SUMIFS(الرواتب_المكافآت,الرواتب_الرقم,$A57),"")</f>
        <v/>
      </c>
      <c r="F57" s="60">
        <f>IFERROR(SUMIFS(الرواتب_الاضافي,الرواتب_الرقم,$A57),"")</f>
        <v/>
      </c>
      <c r="G57" s="60">
        <f>IFERROR(SUMIFS(الرواتب_الخصومات,الرواتب_الرقم,$A57),"")</f>
        <v/>
      </c>
      <c r="H57" s="60">
        <f>IFERROR(SUMIFS(الرواتب_الصافي,الرواتب_الرقم,$A57),"")</f>
        <v/>
      </c>
      <c r="I57" s="44">
        <f>IFERROR(COUNTIFS(الرواتب_الرقم,$A57),"")</f>
        <v/>
      </c>
    </row>
    <row r="58">
      <c r="A58" s="50">
        <f>IFERROR(INDEX(الموظفون_الرقم,52),"")</f>
        <v/>
      </c>
      <c r="B58" s="50">
        <f>IFERROR(INDEX(الموظفون_الاسم,52),"")</f>
        <v/>
      </c>
      <c r="C58" s="50">
        <f>IFERROR(INDEX(الموظفون_الإدارة,52),"")</f>
        <v/>
      </c>
      <c r="D58" s="63">
        <f>IFERROR(SUMIFS(الرواتب_بدل_النقل,الرواتب_الرقم,$A58)+SUMIFS(الرواتب_بدل_السكن,الرواتب_الرقم,$A58)+SUMIFS(الرواتب_بدلات_اخرى,الرواتب_الرقم,$A58),"")</f>
        <v/>
      </c>
      <c r="E58" s="63">
        <f>IFERROR(SUMIFS(الرواتب_المكافآت,الرواتب_الرقم,$A58),"")</f>
        <v/>
      </c>
      <c r="F58" s="63">
        <f>IFERROR(SUMIFS(الرواتب_الاضافي,الرواتب_الرقم,$A58),"")</f>
        <v/>
      </c>
      <c r="G58" s="63">
        <f>IFERROR(SUMIFS(الرواتب_الخصومات,الرواتب_الرقم,$A58),"")</f>
        <v/>
      </c>
      <c r="H58" s="63">
        <f>IFERROR(SUMIFS(الرواتب_الصافي,الرواتب_الرقم,$A58),"")</f>
        <v/>
      </c>
      <c r="I58" s="51">
        <f>IFERROR(COUNTIFS(الرواتب_الرقم,$A58),"")</f>
        <v/>
      </c>
    </row>
    <row r="59">
      <c r="A59" s="43">
        <f>IFERROR(INDEX(الموظفون_الرقم,53),"")</f>
        <v/>
      </c>
      <c r="B59" s="43">
        <f>IFERROR(INDEX(الموظفون_الاسم,53),"")</f>
        <v/>
      </c>
      <c r="C59" s="43">
        <f>IFERROR(INDEX(الموظفون_الإدارة,53),"")</f>
        <v/>
      </c>
      <c r="D59" s="60">
        <f>IFERROR(SUMIFS(الرواتب_بدل_النقل,الرواتب_الرقم,$A59)+SUMIFS(الرواتب_بدل_السكن,الرواتب_الرقم,$A59)+SUMIFS(الرواتب_بدلات_اخرى,الرواتب_الرقم,$A59),"")</f>
        <v/>
      </c>
      <c r="E59" s="60">
        <f>IFERROR(SUMIFS(الرواتب_المكافآت,الرواتب_الرقم,$A59),"")</f>
        <v/>
      </c>
      <c r="F59" s="60">
        <f>IFERROR(SUMIFS(الرواتب_الاضافي,الرواتب_الرقم,$A59),"")</f>
        <v/>
      </c>
      <c r="G59" s="60">
        <f>IFERROR(SUMIFS(الرواتب_الخصومات,الرواتب_الرقم,$A59),"")</f>
        <v/>
      </c>
      <c r="H59" s="60">
        <f>IFERROR(SUMIFS(الرواتب_الصافي,الرواتب_الرقم,$A59),"")</f>
        <v/>
      </c>
      <c r="I59" s="44">
        <f>IFERROR(COUNTIFS(الرواتب_الرقم,$A59),"")</f>
        <v/>
      </c>
    </row>
    <row r="60">
      <c r="A60" s="50">
        <f>IFERROR(INDEX(الموظفون_الرقم,54),"")</f>
        <v/>
      </c>
      <c r="B60" s="50">
        <f>IFERROR(INDEX(الموظفون_الاسم,54),"")</f>
        <v/>
      </c>
      <c r="C60" s="50">
        <f>IFERROR(INDEX(الموظفون_الإدارة,54),"")</f>
        <v/>
      </c>
      <c r="D60" s="63">
        <f>IFERROR(SUMIFS(الرواتب_بدل_النقل,الرواتب_الرقم,$A60)+SUMIFS(الرواتب_بدل_السكن,الرواتب_الرقم,$A60)+SUMIFS(الرواتب_بدلات_اخرى,الرواتب_الرقم,$A60),"")</f>
        <v/>
      </c>
      <c r="E60" s="63">
        <f>IFERROR(SUMIFS(الرواتب_المكافآت,الرواتب_الرقم,$A60),"")</f>
        <v/>
      </c>
      <c r="F60" s="63">
        <f>IFERROR(SUMIFS(الرواتب_الاضافي,الرواتب_الرقم,$A60),"")</f>
        <v/>
      </c>
      <c r="G60" s="63">
        <f>IFERROR(SUMIFS(الرواتب_الخصومات,الرواتب_الرقم,$A60),"")</f>
        <v/>
      </c>
      <c r="H60" s="63">
        <f>IFERROR(SUMIFS(الرواتب_الصافي,الرواتب_الرقم,$A60),"")</f>
        <v/>
      </c>
      <c r="I60" s="51">
        <f>IFERROR(COUNTIFS(الرواتب_الرقم,$A60),"")</f>
        <v/>
      </c>
    </row>
    <row r="61">
      <c r="A61" s="43">
        <f>IFERROR(INDEX(الموظفون_الرقم,55),"")</f>
        <v/>
      </c>
      <c r="B61" s="43">
        <f>IFERROR(INDEX(الموظفون_الاسم,55),"")</f>
        <v/>
      </c>
      <c r="C61" s="43">
        <f>IFERROR(INDEX(الموظفون_الإدارة,55),"")</f>
        <v/>
      </c>
      <c r="D61" s="60">
        <f>IFERROR(SUMIFS(الرواتب_بدل_النقل,الرواتب_الرقم,$A61)+SUMIFS(الرواتب_بدل_السكن,الرواتب_الرقم,$A61)+SUMIFS(الرواتب_بدلات_اخرى,الرواتب_الرقم,$A61),"")</f>
        <v/>
      </c>
      <c r="E61" s="60">
        <f>IFERROR(SUMIFS(الرواتب_المكافآت,الرواتب_الرقم,$A61),"")</f>
        <v/>
      </c>
      <c r="F61" s="60">
        <f>IFERROR(SUMIFS(الرواتب_الاضافي,الرواتب_الرقم,$A61),"")</f>
        <v/>
      </c>
      <c r="G61" s="60">
        <f>IFERROR(SUMIFS(الرواتب_الخصومات,الرواتب_الرقم,$A61),"")</f>
        <v/>
      </c>
      <c r="H61" s="60">
        <f>IFERROR(SUMIFS(الرواتب_الصافي,الرواتب_الرقم,$A61),"")</f>
        <v/>
      </c>
      <c r="I61" s="44">
        <f>IFERROR(COUNTIFS(الرواتب_الرقم,$A61),"")</f>
        <v/>
      </c>
    </row>
    <row r="62">
      <c r="A62" s="50">
        <f>IFERROR(INDEX(الموظفون_الرقم,56),"")</f>
        <v/>
      </c>
      <c r="B62" s="50">
        <f>IFERROR(INDEX(الموظفون_الاسم,56),"")</f>
        <v/>
      </c>
      <c r="C62" s="50">
        <f>IFERROR(INDEX(الموظفون_الإدارة,56),"")</f>
        <v/>
      </c>
      <c r="D62" s="63">
        <f>IFERROR(SUMIFS(الرواتب_بدل_النقل,الرواتب_الرقم,$A62)+SUMIFS(الرواتب_بدل_السكن,الرواتب_الرقم,$A62)+SUMIFS(الرواتب_بدلات_اخرى,الرواتب_الرقم,$A62),"")</f>
        <v/>
      </c>
      <c r="E62" s="63">
        <f>IFERROR(SUMIFS(الرواتب_المكافآت,الرواتب_الرقم,$A62),"")</f>
        <v/>
      </c>
      <c r="F62" s="63">
        <f>IFERROR(SUMIFS(الرواتب_الاضافي,الرواتب_الرقم,$A62),"")</f>
        <v/>
      </c>
      <c r="G62" s="63">
        <f>IFERROR(SUMIFS(الرواتب_الخصومات,الرواتب_الرقم,$A62),"")</f>
        <v/>
      </c>
      <c r="H62" s="63">
        <f>IFERROR(SUMIFS(الرواتب_الصافي,الرواتب_الرقم,$A62),"")</f>
        <v/>
      </c>
      <c r="I62" s="51">
        <f>IFERROR(COUNTIFS(الرواتب_الرقم,$A62),"")</f>
        <v/>
      </c>
    </row>
    <row r="63">
      <c r="A63" s="43">
        <f>IFERROR(INDEX(الموظفون_الرقم,57),"")</f>
        <v/>
      </c>
      <c r="B63" s="43">
        <f>IFERROR(INDEX(الموظفون_الاسم,57),"")</f>
        <v/>
      </c>
      <c r="C63" s="43">
        <f>IFERROR(INDEX(الموظفون_الإدارة,57),"")</f>
        <v/>
      </c>
      <c r="D63" s="60">
        <f>IFERROR(SUMIFS(الرواتب_بدل_النقل,الرواتب_الرقم,$A63)+SUMIFS(الرواتب_بدل_السكن,الرواتب_الرقم,$A63)+SUMIFS(الرواتب_بدلات_اخرى,الرواتب_الرقم,$A63),"")</f>
        <v/>
      </c>
      <c r="E63" s="60">
        <f>IFERROR(SUMIFS(الرواتب_المكافآت,الرواتب_الرقم,$A63),"")</f>
        <v/>
      </c>
      <c r="F63" s="60">
        <f>IFERROR(SUMIFS(الرواتب_الاضافي,الرواتب_الرقم,$A63),"")</f>
        <v/>
      </c>
      <c r="G63" s="60">
        <f>IFERROR(SUMIFS(الرواتب_الخصومات,الرواتب_الرقم,$A63),"")</f>
        <v/>
      </c>
      <c r="H63" s="60">
        <f>IFERROR(SUMIFS(الرواتب_الصافي,الرواتب_الرقم,$A63),"")</f>
        <v/>
      </c>
      <c r="I63" s="44">
        <f>IFERROR(COUNTIFS(الرواتب_الرقم,$A63),"")</f>
        <v/>
      </c>
    </row>
    <row r="64">
      <c r="A64" s="50">
        <f>IFERROR(INDEX(الموظفون_الرقم,58),"")</f>
        <v/>
      </c>
      <c r="B64" s="50">
        <f>IFERROR(INDEX(الموظفون_الاسم,58),"")</f>
        <v/>
      </c>
      <c r="C64" s="50">
        <f>IFERROR(INDEX(الموظفون_الإدارة,58),"")</f>
        <v/>
      </c>
      <c r="D64" s="63">
        <f>IFERROR(SUMIFS(الرواتب_بدل_النقل,الرواتب_الرقم,$A64)+SUMIFS(الرواتب_بدل_السكن,الرواتب_الرقم,$A64)+SUMIFS(الرواتب_بدلات_اخرى,الرواتب_الرقم,$A64),"")</f>
        <v/>
      </c>
      <c r="E64" s="63">
        <f>IFERROR(SUMIFS(الرواتب_المكافآت,الرواتب_الرقم,$A64),"")</f>
        <v/>
      </c>
      <c r="F64" s="63">
        <f>IFERROR(SUMIFS(الرواتب_الاضافي,الرواتب_الرقم,$A64),"")</f>
        <v/>
      </c>
      <c r="G64" s="63">
        <f>IFERROR(SUMIFS(الرواتب_الخصومات,الرواتب_الرقم,$A64),"")</f>
        <v/>
      </c>
      <c r="H64" s="63">
        <f>IFERROR(SUMIFS(الرواتب_الصافي,الرواتب_الرقم,$A64),"")</f>
        <v/>
      </c>
      <c r="I64" s="51">
        <f>IFERROR(COUNTIFS(الرواتب_الرقم,$A64),"")</f>
        <v/>
      </c>
    </row>
    <row r="65">
      <c r="A65" s="43">
        <f>IFERROR(INDEX(الموظفون_الرقم,59),"")</f>
        <v/>
      </c>
      <c r="B65" s="43">
        <f>IFERROR(INDEX(الموظفون_الاسم,59),"")</f>
        <v/>
      </c>
      <c r="C65" s="43">
        <f>IFERROR(INDEX(الموظفون_الإدارة,59),"")</f>
        <v/>
      </c>
      <c r="D65" s="60">
        <f>IFERROR(SUMIFS(الرواتب_بدل_النقل,الرواتب_الرقم,$A65)+SUMIFS(الرواتب_بدل_السكن,الرواتب_الرقم,$A65)+SUMIFS(الرواتب_بدلات_اخرى,الرواتب_الرقم,$A65),"")</f>
        <v/>
      </c>
      <c r="E65" s="60">
        <f>IFERROR(SUMIFS(الرواتب_المكافآت,الرواتب_الرقم,$A65),"")</f>
        <v/>
      </c>
      <c r="F65" s="60">
        <f>IFERROR(SUMIFS(الرواتب_الاضافي,الرواتب_الرقم,$A65),"")</f>
        <v/>
      </c>
      <c r="G65" s="60">
        <f>IFERROR(SUMIFS(الرواتب_الخصومات,الرواتب_الرقم,$A65),"")</f>
        <v/>
      </c>
      <c r="H65" s="60">
        <f>IFERROR(SUMIFS(الرواتب_الصافي,الرواتب_الرقم,$A65),"")</f>
        <v/>
      </c>
      <c r="I65" s="44">
        <f>IFERROR(COUNTIFS(الرواتب_الرقم,$A65),"")</f>
        <v/>
      </c>
    </row>
    <row r="66">
      <c r="A66" s="50">
        <f>IFERROR(INDEX(الموظفون_الرقم,60),"")</f>
        <v/>
      </c>
      <c r="B66" s="50">
        <f>IFERROR(INDEX(الموظفون_الاسم,60),"")</f>
        <v/>
      </c>
      <c r="C66" s="50">
        <f>IFERROR(INDEX(الموظفون_الإدارة,60),"")</f>
        <v/>
      </c>
      <c r="D66" s="63">
        <f>IFERROR(SUMIFS(الرواتب_بدل_النقل,الرواتب_الرقم,$A66)+SUMIFS(الرواتب_بدل_السكن,الرواتب_الرقم,$A66)+SUMIFS(الرواتب_بدلات_اخرى,الرواتب_الرقم,$A66),"")</f>
        <v/>
      </c>
      <c r="E66" s="63">
        <f>IFERROR(SUMIFS(الرواتب_المكافآت,الرواتب_الرقم,$A66),"")</f>
        <v/>
      </c>
      <c r="F66" s="63">
        <f>IFERROR(SUMIFS(الرواتب_الاضافي,الرواتب_الرقم,$A66),"")</f>
        <v/>
      </c>
      <c r="G66" s="63">
        <f>IFERROR(SUMIFS(الرواتب_الخصومات,الرواتب_الرقم,$A66),"")</f>
        <v/>
      </c>
      <c r="H66" s="63">
        <f>IFERROR(SUMIFS(الرواتب_الصافي,الرواتب_الرقم,$A66),"")</f>
        <v/>
      </c>
      <c r="I66" s="51">
        <f>IFERROR(COUNTIFS(الرواتب_الرقم,$A66),"")</f>
        <v/>
      </c>
    </row>
    <row r="67">
      <c r="A67" s="43">
        <f>IFERROR(INDEX(الموظفون_الرقم,61),"")</f>
        <v/>
      </c>
      <c r="B67" s="43">
        <f>IFERROR(INDEX(الموظفون_الاسم,61),"")</f>
        <v/>
      </c>
      <c r="C67" s="43">
        <f>IFERROR(INDEX(الموظفون_الإدارة,61),"")</f>
        <v/>
      </c>
      <c r="D67" s="60">
        <f>IFERROR(SUMIFS(الرواتب_بدل_النقل,الرواتب_الرقم,$A67)+SUMIFS(الرواتب_بدل_السكن,الرواتب_الرقم,$A67)+SUMIFS(الرواتب_بدلات_اخرى,الرواتب_الرقم,$A67),"")</f>
        <v/>
      </c>
      <c r="E67" s="60">
        <f>IFERROR(SUMIFS(الرواتب_المكافآت,الرواتب_الرقم,$A67),"")</f>
        <v/>
      </c>
      <c r="F67" s="60">
        <f>IFERROR(SUMIFS(الرواتب_الاضافي,الرواتب_الرقم,$A67),"")</f>
        <v/>
      </c>
      <c r="G67" s="60">
        <f>IFERROR(SUMIFS(الرواتب_الخصومات,الرواتب_الرقم,$A67),"")</f>
        <v/>
      </c>
      <c r="H67" s="60">
        <f>IFERROR(SUMIFS(الرواتب_الصافي,الرواتب_الرقم,$A67),"")</f>
        <v/>
      </c>
      <c r="I67" s="44">
        <f>IFERROR(COUNTIFS(الرواتب_الرقم,$A67),"")</f>
        <v/>
      </c>
    </row>
    <row r="68">
      <c r="A68" s="50">
        <f>IFERROR(INDEX(الموظفون_الرقم,62),"")</f>
        <v/>
      </c>
      <c r="B68" s="50">
        <f>IFERROR(INDEX(الموظفون_الاسم,62),"")</f>
        <v/>
      </c>
      <c r="C68" s="50">
        <f>IFERROR(INDEX(الموظفون_الإدارة,62),"")</f>
        <v/>
      </c>
      <c r="D68" s="63">
        <f>IFERROR(SUMIFS(الرواتب_بدل_النقل,الرواتب_الرقم,$A68)+SUMIFS(الرواتب_بدل_السكن,الرواتب_الرقم,$A68)+SUMIFS(الرواتب_بدلات_اخرى,الرواتب_الرقم,$A68),"")</f>
        <v/>
      </c>
      <c r="E68" s="63">
        <f>IFERROR(SUMIFS(الرواتب_المكافآت,الرواتب_الرقم,$A68),"")</f>
        <v/>
      </c>
      <c r="F68" s="63">
        <f>IFERROR(SUMIFS(الرواتب_الاضافي,الرواتب_الرقم,$A68),"")</f>
        <v/>
      </c>
      <c r="G68" s="63">
        <f>IFERROR(SUMIFS(الرواتب_الخصومات,الرواتب_الرقم,$A68),"")</f>
        <v/>
      </c>
      <c r="H68" s="63">
        <f>IFERROR(SUMIFS(الرواتب_الصافي,الرواتب_الرقم,$A68),"")</f>
        <v/>
      </c>
      <c r="I68" s="51">
        <f>IFERROR(COUNTIFS(الرواتب_الرقم,$A68),"")</f>
        <v/>
      </c>
    </row>
    <row r="69">
      <c r="A69" s="43">
        <f>IFERROR(INDEX(الموظفون_الرقم,63),"")</f>
        <v/>
      </c>
      <c r="B69" s="43">
        <f>IFERROR(INDEX(الموظفون_الاسم,63),"")</f>
        <v/>
      </c>
      <c r="C69" s="43">
        <f>IFERROR(INDEX(الموظفون_الإدارة,63),"")</f>
        <v/>
      </c>
      <c r="D69" s="60">
        <f>IFERROR(SUMIFS(الرواتب_بدل_النقل,الرواتب_الرقم,$A69)+SUMIFS(الرواتب_بدل_السكن,الرواتب_الرقم,$A69)+SUMIFS(الرواتب_بدلات_اخرى,الرواتب_الرقم,$A69),"")</f>
        <v/>
      </c>
      <c r="E69" s="60">
        <f>IFERROR(SUMIFS(الرواتب_المكافآت,الرواتب_الرقم,$A69),"")</f>
        <v/>
      </c>
      <c r="F69" s="60">
        <f>IFERROR(SUMIFS(الرواتب_الاضافي,الرواتب_الرقم,$A69),"")</f>
        <v/>
      </c>
      <c r="G69" s="60">
        <f>IFERROR(SUMIFS(الرواتب_الخصومات,الرواتب_الرقم,$A69),"")</f>
        <v/>
      </c>
      <c r="H69" s="60">
        <f>IFERROR(SUMIFS(الرواتب_الصافي,الرواتب_الرقم,$A69),"")</f>
        <v/>
      </c>
      <c r="I69" s="44">
        <f>IFERROR(COUNTIFS(الرواتب_الرقم,$A69),"")</f>
        <v/>
      </c>
    </row>
    <row r="70">
      <c r="A70" s="50">
        <f>IFERROR(INDEX(الموظفون_الرقم,64),"")</f>
        <v/>
      </c>
      <c r="B70" s="50">
        <f>IFERROR(INDEX(الموظفون_الاسم,64),"")</f>
        <v/>
      </c>
      <c r="C70" s="50">
        <f>IFERROR(INDEX(الموظفون_الإدارة,64),"")</f>
        <v/>
      </c>
      <c r="D70" s="63">
        <f>IFERROR(SUMIFS(الرواتب_بدل_النقل,الرواتب_الرقم,$A70)+SUMIFS(الرواتب_بدل_السكن,الرواتب_الرقم,$A70)+SUMIFS(الرواتب_بدلات_اخرى,الرواتب_الرقم,$A70),"")</f>
        <v/>
      </c>
      <c r="E70" s="63">
        <f>IFERROR(SUMIFS(الرواتب_المكافآت,الرواتب_الرقم,$A70),"")</f>
        <v/>
      </c>
      <c r="F70" s="63">
        <f>IFERROR(SUMIFS(الرواتب_الاضافي,الرواتب_الرقم,$A70),"")</f>
        <v/>
      </c>
      <c r="G70" s="63">
        <f>IFERROR(SUMIFS(الرواتب_الخصومات,الرواتب_الرقم,$A70),"")</f>
        <v/>
      </c>
      <c r="H70" s="63">
        <f>IFERROR(SUMIFS(الرواتب_الصافي,الرواتب_الرقم,$A70),"")</f>
        <v/>
      </c>
      <c r="I70" s="51">
        <f>IFERROR(COUNTIFS(الرواتب_الرقم,$A70),"")</f>
        <v/>
      </c>
    </row>
    <row r="71">
      <c r="A71" s="43">
        <f>IFERROR(INDEX(الموظفون_الرقم,65),"")</f>
        <v/>
      </c>
      <c r="B71" s="43">
        <f>IFERROR(INDEX(الموظفون_الاسم,65),"")</f>
        <v/>
      </c>
      <c r="C71" s="43">
        <f>IFERROR(INDEX(الموظفون_الإدارة,65),"")</f>
        <v/>
      </c>
      <c r="D71" s="60">
        <f>IFERROR(SUMIFS(الرواتب_بدل_النقل,الرواتب_الرقم,$A71)+SUMIFS(الرواتب_بدل_السكن,الرواتب_الرقم,$A71)+SUMIFS(الرواتب_بدلات_اخرى,الرواتب_الرقم,$A71),"")</f>
        <v/>
      </c>
      <c r="E71" s="60">
        <f>IFERROR(SUMIFS(الرواتب_المكافآت,الرواتب_الرقم,$A71),"")</f>
        <v/>
      </c>
      <c r="F71" s="60">
        <f>IFERROR(SUMIFS(الرواتب_الاضافي,الرواتب_الرقم,$A71),"")</f>
        <v/>
      </c>
      <c r="G71" s="60">
        <f>IFERROR(SUMIFS(الرواتب_الخصومات,الرواتب_الرقم,$A71),"")</f>
        <v/>
      </c>
      <c r="H71" s="60">
        <f>IFERROR(SUMIFS(الرواتب_الصافي,الرواتب_الرقم,$A71),"")</f>
        <v/>
      </c>
      <c r="I71" s="44">
        <f>IFERROR(COUNTIFS(الرواتب_الرقم,$A71),"")</f>
        <v/>
      </c>
    </row>
    <row r="72">
      <c r="A72" s="50">
        <f>IFERROR(INDEX(الموظفون_الرقم,66),"")</f>
        <v/>
      </c>
      <c r="B72" s="50">
        <f>IFERROR(INDEX(الموظفون_الاسم,66),"")</f>
        <v/>
      </c>
      <c r="C72" s="50">
        <f>IFERROR(INDEX(الموظفون_الإدارة,66),"")</f>
        <v/>
      </c>
      <c r="D72" s="63">
        <f>IFERROR(SUMIFS(الرواتب_بدل_النقل,الرواتب_الرقم,$A72)+SUMIFS(الرواتب_بدل_السكن,الرواتب_الرقم,$A72)+SUMIFS(الرواتب_بدلات_اخرى,الرواتب_الرقم,$A72),"")</f>
        <v/>
      </c>
      <c r="E72" s="63">
        <f>IFERROR(SUMIFS(الرواتب_المكافآت,الرواتب_الرقم,$A72),"")</f>
        <v/>
      </c>
      <c r="F72" s="63">
        <f>IFERROR(SUMIFS(الرواتب_الاضافي,الرواتب_الرقم,$A72),"")</f>
        <v/>
      </c>
      <c r="G72" s="63">
        <f>IFERROR(SUMIFS(الرواتب_الخصومات,الرواتب_الرقم,$A72),"")</f>
        <v/>
      </c>
      <c r="H72" s="63">
        <f>IFERROR(SUMIFS(الرواتب_الصافي,الرواتب_الرقم,$A72),"")</f>
        <v/>
      </c>
      <c r="I72" s="51">
        <f>IFERROR(COUNTIFS(الرواتب_الرقم,$A72),"")</f>
        <v/>
      </c>
    </row>
    <row r="73">
      <c r="A73" s="43">
        <f>IFERROR(INDEX(الموظفون_الرقم,67),"")</f>
        <v/>
      </c>
      <c r="B73" s="43">
        <f>IFERROR(INDEX(الموظفون_الاسم,67),"")</f>
        <v/>
      </c>
      <c r="C73" s="43">
        <f>IFERROR(INDEX(الموظفون_الإدارة,67),"")</f>
        <v/>
      </c>
      <c r="D73" s="60">
        <f>IFERROR(SUMIFS(الرواتب_بدل_النقل,الرواتب_الرقم,$A73)+SUMIFS(الرواتب_بدل_السكن,الرواتب_الرقم,$A73)+SUMIFS(الرواتب_بدلات_اخرى,الرواتب_الرقم,$A73),"")</f>
        <v/>
      </c>
      <c r="E73" s="60">
        <f>IFERROR(SUMIFS(الرواتب_المكافآت,الرواتب_الرقم,$A73),"")</f>
        <v/>
      </c>
      <c r="F73" s="60">
        <f>IFERROR(SUMIFS(الرواتب_الاضافي,الرواتب_الرقم,$A73),"")</f>
        <v/>
      </c>
      <c r="G73" s="60">
        <f>IFERROR(SUMIFS(الرواتب_الخصومات,الرواتب_الرقم,$A73),"")</f>
        <v/>
      </c>
      <c r="H73" s="60">
        <f>IFERROR(SUMIFS(الرواتب_الصافي,الرواتب_الرقم,$A73),"")</f>
        <v/>
      </c>
      <c r="I73" s="44">
        <f>IFERROR(COUNTIFS(الرواتب_الرقم,$A73),"")</f>
        <v/>
      </c>
    </row>
    <row r="74">
      <c r="A74" s="50">
        <f>IFERROR(INDEX(الموظفون_الرقم,68),"")</f>
        <v/>
      </c>
      <c r="B74" s="50">
        <f>IFERROR(INDEX(الموظفون_الاسم,68),"")</f>
        <v/>
      </c>
      <c r="C74" s="50">
        <f>IFERROR(INDEX(الموظفون_الإدارة,68),"")</f>
        <v/>
      </c>
      <c r="D74" s="63">
        <f>IFERROR(SUMIFS(الرواتب_بدل_النقل,الرواتب_الرقم,$A74)+SUMIFS(الرواتب_بدل_السكن,الرواتب_الرقم,$A74)+SUMIFS(الرواتب_بدلات_اخرى,الرواتب_الرقم,$A74),"")</f>
        <v/>
      </c>
      <c r="E74" s="63">
        <f>IFERROR(SUMIFS(الرواتب_المكافآت,الرواتب_الرقم,$A74),"")</f>
        <v/>
      </c>
      <c r="F74" s="63">
        <f>IFERROR(SUMIFS(الرواتب_الاضافي,الرواتب_الرقم,$A74),"")</f>
        <v/>
      </c>
      <c r="G74" s="63">
        <f>IFERROR(SUMIFS(الرواتب_الخصومات,الرواتب_الرقم,$A74),"")</f>
        <v/>
      </c>
      <c r="H74" s="63">
        <f>IFERROR(SUMIFS(الرواتب_الصافي,الرواتب_الرقم,$A74),"")</f>
        <v/>
      </c>
      <c r="I74" s="51">
        <f>IFERROR(COUNTIFS(الرواتب_الرقم,$A74),"")</f>
        <v/>
      </c>
    </row>
    <row r="75">
      <c r="A75" s="43">
        <f>IFERROR(INDEX(الموظفون_الرقم,69),"")</f>
        <v/>
      </c>
      <c r="B75" s="43">
        <f>IFERROR(INDEX(الموظفون_الاسم,69),"")</f>
        <v/>
      </c>
      <c r="C75" s="43">
        <f>IFERROR(INDEX(الموظفون_الإدارة,69),"")</f>
        <v/>
      </c>
      <c r="D75" s="60">
        <f>IFERROR(SUMIFS(الرواتب_بدل_النقل,الرواتب_الرقم,$A75)+SUMIFS(الرواتب_بدل_السكن,الرواتب_الرقم,$A75)+SUMIFS(الرواتب_بدلات_اخرى,الرواتب_الرقم,$A75),"")</f>
        <v/>
      </c>
      <c r="E75" s="60">
        <f>IFERROR(SUMIFS(الرواتب_المكافآت,الرواتب_الرقم,$A75),"")</f>
        <v/>
      </c>
      <c r="F75" s="60">
        <f>IFERROR(SUMIFS(الرواتب_الاضافي,الرواتب_الرقم,$A75),"")</f>
        <v/>
      </c>
      <c r="G75" s="60">
        <f>IFERROR(SUMIFS(الرواتب_الخصومات,الرواتب_الرقم,$A75),"")</f>
        <v/>
      </c>
      <c r="H75" s="60">
        <f>IFERROR(SUMIFS(الرواتب_الصافي,الرواتب_الرقم,$A75),"")</f>
        <v/>
      </c>
      <c r="I75" s="44">
        <f>IFERROR(COUNTIFS(الرواتب_الرقم,$A75),"")</f>
        <v/>
      </c>
    </row>
    <row r="76">
      <c r="A76" s="50">
        <f>IFERROR(INDEX(الموظفون_الرقم,70),"")</f>
        <v/>
      </c>
      <c r="B76" s="50">
        <f>IFERROR(INDEX(الموظفون_الاسم,70),"")</f>
        <v/>
      </c>
      <c r="C76" s="50">
        <f>IFERROR(INDEX(الموظفون_الإدارة,70),"")</f>
        <v/>
      </c>
      <c r="D76" s="63">
        <f>IFERROR(SUMIFS(الرواتب_بدل_النقل,الرواتب_الرقم,$A76)+SUMIFS(الرواتب_بدل_السكن,الرواتب_الرقم,$A76)+SUMIFS(الرواتب_بدلات_اخرى,الرواتب_الرقم,$A76),"")</f>
        <v/>
      </c>
      <c r="E76" s="63">
        <f>IFERROR(SUMIFS(الرواتب_المكافآت,الرواتب_الرقم,$A76),"")</f>
        <v/>
      </c>
      <c r="F76" s="63">
        <f>IFERROR(SUMIFS(الرواتب_الاضافي,الرواتب_الرقم,$A76),"")</f>
        <v/>
      </c>
      <c r="G76" s="63">
        <f>IFERROR(SUMIFS(الرواتب_الخصومات,الرواتب_الرقم,$A76),"")</f>
        <v/>
      </c>
      <c r="H76" s="63">
        <f>IFERROR(SUMIFS(الرواتب_الصافي,الرواتب_الرقم,$A76),"")</f>
        <v/>
      </c>
      <c r="I76" s="51">
        <f>IFERROR(COUNTIFS(الرواتب_الرقم,$A76),"")</f>
        <v/>
      </c>
    </row>
    <row r="77">
      <c r="A77" s="43">
        <f>IFERROR(INDEX(الموظفون_الرقم,71),"")</f>
        <v/>
      </c>
      <c r="B77" s="43">
        <f>IFERROR(INDEX(الموظفون_الاسم,71),"")</f>
        <v/>
      </c>
      <c r="C77" s="43">
        <f>IFERROR(INDEX(الموظفون_الإدارة,71),"")</f>
        <v/>
      </c>
      <c r="D77" s="60">
        <f>IFERROR(SUMIFS(الرواتب_بدل_النقل,الرواتب_الرقم,$A77)+SUMIFS(الرواتب_بدل_السكن,الرواتب_الرقم,$A77)+SUMIFS(الرواتب_بدلات_اخرى,الرواتب_الرقم,$A77),"")</f>
        <v/>
      </c>
      <c r="E77" s="60">
        <f>IFERROR(SUMIFS(الرواتب_المكافآت,الرواتب_الرقم,$A77),"")</f>
        <v/>
      </c>
      <c r="F77" s="60">
        <f>IFERROR(SUMIFS(الرواتب_الاضافي,الرواتب_الرقم,$A77),"")</f>
        <v/>
      </c>
      <c r="G77" s="60">
        <f>IFERROR(SUMIFS(الرواتب_الخصومات,الرواتب_الرقم,$A77),"")</f>
        <v/>
      </c>
      <c r="H77" s="60">
        <f>IFERROR(SUMIFS(الرواتب_الصافي,الرواتب_الرقم,$A77),"")</f>
        <v/>
      </c>
      <c r="I77" s="44">
        <f>IFERROR(COUNTIFS(الرواتب_الرقم,$A77),"")</f>
        <v/>
      </c>
    </row>
    <row r="78">
      <c r="A78" s="50">
        <f>IFERROR(INDEX(الموظفون_الرقم,72),"")</f>
        <v/>
      </c>
      <c r="B78" s="50">
        <f>IFERROR(INDEX(الموظفون_الاسم,72),"")</f>
        <v/>
      </c>
      <c r="C78" s="50">
        <f>IFERROR(INDEX(الموظفون_الإدارة,72),"")</f>
        <v/>
      </c>
      <c r="D78" s="63">
        <f>IFERROR(SUMIFS(الرواتب_بدل_النقل,الرواتب_الرقم,$A78)+SUMIFS(الرواتب_بدل_السكن,الرواتب_الرقم,$A78)+SUMIFS(الرواتب_بدلات_اخرى,الرواتب_الرقم,$A78),"")</f>
        <v/>
      </c>
      <c r="E78" s="63">
        <f>IFERROR(SUMIFS(الرواتب_المكافآت,الرواتب_الرقم,$A78),"")</f>
        <v/>
      </c>
      <c r="F78" s="63">
        <f>IFERROR(SUMIFS(الرواتب_الاضافي,الرواتب_الرقم,$A78),"")</f>
        <v/>
      </c>
      <c r="G78" s="63">
        <f>IFERROR(SUMIFS(الرواتب_الخصومات,الرواتب_الرقم,$A78),"")</f>
        <v/>
      </c>
      <c r="H78" s="63">
        <f>IFERROR(SUMIFS(الرواتب_الصافي,الرواتب_الرقم,$A78),"")</f>
        <v/>
      </c>
      <c r="I78" s="51">
        <f>IFERROR(COUNTIFS(الرواتب_الرقم,$A78),"")</f>
        <v/>
      </c>
    </row>
    <row r="79">
      <c r="A79" s="43">
        <f>IFERROR(INDEX(الموظفون_الرقم,73),"")</f>
        <v/>
      </c>
      <c r="B79" s="43">
        <f>IFERROR(INDEX(الموظفون_الاسم,73),"")</f>
        <v/>
      </c>
      <c r="C79" s="43">
        <f>IFERROR(INDEX(الموظفون_الإدارة,73),"")</f>
        <v/>
      </c>
      <c r="D79" s="60">
        <f>IFERROR(SUMIFS(الرواتب_بدل_النقل,الرواتب_الرقم,$A79)+SUMIFS(الرواتب_بدل_السكن,الرواتب_الرقم,$A79)+SUMIFS(الرواتب_بدلات_اخرى,الرواتب_الرقم,$A79),"")</f>
        <v/>
      </c>
      <c r="E79" s="60">
        <f>IFERROR(SUMIFS(الرواتب_المكافآت,الرواتب_الرقم,$A79),"")</f>
        <v/>
      </c>
      <c r="F79" s="60">
        <f>IFERROR(SUMIFS(الرواتب_الاضافي,الرواتب_الرقم,$A79),"")</f>
        <v/>
      </c>
      <c r="G79" s="60">
        <f>IFERROR(SUMIFS(الرواتب_الخصومات,الرواتب_الرقم,$A79),"")</f>
        <v/>
      </c>
      <c r="H79" s="60">
        <f>IFERROR(SUMIFS(الرواتب_الصافي,الرواتب_الرقم,$A79),"")</f>
        <v/>
      </c>
      <c r="I79" s="44">
        <f>IFERROR(COUNTIFS(الرواتب_الرقم,$A79),"")</f>
        <v/>
      </c>
    </row>
    <row r="80">
      <c r="A80" s="50">
        <f>IFERROR(INDEX(الموظفون_الرقم,74),"")</f>
        <v/>
      </c>
      <c r="B80" s="50">
        <f>IFERROR(INDEX(الموظفون_الاسم,74),"")</f>
        <v/>
      </c>
      <c r="C80" s="50">
        <f>IFERROR(INDEX(الموظفون_الإدارة,74),"")</f>
        <v/>
      </c>
      <c r="D80" s="63">
        <f>IFERROR(SUMIFS(الرواتب_بدل_النقل,الرواتب_الرقم,$A80)+SUMIFS(الرواتب_بدل_السكن,الرواتب_الرقم,$A80)+SUMIFS(الرواتب_بدلات_اخرى,الرواتب_الرقم,$A80),"")</f>
        <v/>
      </c>
      <c r="E80" s="63">
        <f>IFERROR(SUMIFS(الرواتب_المكافآت,الرواتب_الرقم,$A80),"")</f>
        <v/>
      </c>
      <c r="F80" s="63">
        <f>IFERROR(SUMIFS(الرواتب_الاضافي,الرواتب_الرقم,$A80),"")</f>
        <v/>
      </c>
      <c r="G80" s="63">
        <f>IFERROR(SUMIFS(الرواتب_الخصومات,الرواتب_الرقم,$A80),"")</f>
        <v/>
      </c>
      <c r="H80" s="63">
        <f>IFERROR(SUMIFS(الرواتب_الصافي,الرواتب_الرقم,$A80),"")</f>
        <v/>
      </c>
      <c r="I80" s="51">
        <f>IFERROR(COUNTIFS(الرواتب_الرقم,$A80),"")</f>
        <v/>
      </c>
    </row>
    <row r="81">
      <c r="A81" s="43">
        <f>IFERROR(INDEX(الموظفون_الرقم,75),"")</f>
        <v/>
      </c>
      <c r="B81" s="43">
        <f>IFERROR(INDEX(الموظفون_الاسم,75),"")</f>
        <v/>
      </c>
      <c r="C81" s="43">
        <f>IFERROR(INDEX(الموظفون_الإدارة,75),"")</f>
        <v/>
      </c>
      <c r="D81" s="60">
        <f>IFERROR(SUMIFS(الرواتب_بدل_النقل,الرواتب_الرقم,$A81)+SUMIFS(الرواتب_بدل_السكن,الرواتب_الرقم,$A81)+SUMIFS(الرواتب_بدلات_اخرى,الرواتب_الرقم,$A81),"")</f>
        <v/>
      </c>
      <c r="E81" s="60">
        <f>IFERROR(SUMIFS(الرواتب_المكافآت,الرواتب_الرقم,$A81),"")</f>
        <v/>
      </c>
      <c r="F81" s="60">
        <f>IFERROR(SUMIFS(الرواتب_الاضافي,الرواتب_الرقم,$A81),"")</f>
        <v/>
      </c>
      <c r="G81" s="60">
        <f>IFERROR(SUMIFS(الرواتب_الخصومات,الرواتب_الرقم,$A81),"")</f>
        <v/>
      </c>
      <c r="H81" s="60">
        <f>IFERROR(SUMIFS(الرواتب_الصافي,الرواتب_الرقم,$A81),"")</f>
        <v/>
      </c>
      <c r="I81" s="44">
        <f>IFERROR(COUNTIFS(الرواتب_الرقم,$A81),"")</f>
        <v/>
      </c>
    </row>
    <row r="82">
      <c r="A82" s="50">
        <f>IFERROR(INDEX(الموظفون_الرقم,76),"")</f>
        <v/>
      </c>
      <c r="B82" s="50">
        <f>IFERROR(INDEX(الموظفون_الاسم,76),"")</f>
        <v/>
      </c>
      <c r="C82" s="50">
        <f>IFERROR(INDEX(الموظفون_الإدارة,76),"")</f>
        <v/>
      </c>
      <c r="D82" s="63">
        <f>IFERROR(SUMIFS(الرواتب_بدل_النقل,الرواتب_الرقم,$A82)+SUMIFS(الرواتب_بدل_السكن,الرواتب_الرقم,$A82)+SUMIFS(الرواتب_بدلات_اخرى,الرواتب_الرقم,$A82),"")</f>
        <v/>
      </c>
      <c r="E82" s="63">
        <f>IFERROR(SUMIFS(الرواتب_المكافآت,الرواتب_الرقم,$A82),"")</f>
        <v/>
      </c>
      <c r="F82" s="63">
        <f>IFERROR(SUMIFS(الرواتب_الاضافي,الرواتب_الرقم,$A82),"")</f>
        <v/>
      </c>
      <c r="G82" s="63">
        <f>IFERROR(SUMIFS(الرواتب_الخصومات,الرواتب_الرقم,$A82),"")</f>
        <v/>
      </c>
      <c r="H82" s="63">
        <f>IFERROR(SUMIFS(الرواتب_الصافي,الرواتب_الرقم,$A82),"")</f>
        <v/>
      </c>
      <c r="I82" s="51">
        <f>IFERROR(COUNTIFS(الرواتب_الرقم,$A82),"")</f>
        <v/>
      </c>
    </row>
    <row r="83">
      <c r="A83" s="43">
        <f>IFERROR(INDEX(الموظفون_الرقم,77),"")</f>
        <v/>
      </c>
      <c r="B83" s="43">
        <f>IFERROR(INDEX(الموظفون_الاسم,77),"")</f>
        <v/>
      </c>
      <c r="C83" s="43">
        <f>IFERROR(INDEX(الموظفون_الإدارة,77),"")</f>
        <v/>
      </c>
      <c r="D83" s="60">
        <f>IFERROR(SUMIFS(الرواتب_بدل_النقل,الرواتب_الرقم,$A83)+SUMIFS(الرواتب_بدل_السكن,الرواتب_الرقم,$A83)+SUMIFS(الرواتب_بدلات_اخرى,الرواتب_الرقم,$A83),"")</f>
        <v/>
      </c>
      <c r="E83" s="60">
        <f>IFERROR(SUMIFS(الرواتب_المكافآت,الرواتب_الرقم,$A83),"")</f>
        <v/>
      </c>
      <c r="F83" s="60">
        <f>IFERROR(SUMIFS(الرواتب_الاضافي,الرواتب_الرقم,$A83),"")</f>
        <v/>
      </c>
      <c r="G83" s="60">
        <f>IFERROR(SUMIFS(الرواتب_الخصومات,الرواتب_الرقم,$A83),"")</f>
        <v/>
      </c>
      <c r="H83" s="60">
        <f>IFERROR(SUMIFS(الرواتب_الصافي,الرواتب_الرقم,$A83),"")</f>
        <v/>
      </c>
      <c r="I83" s="44">
        <f>IFERROR(COUNTIFS(الرواتب_الرقم,$A83),"")</f>
        <v/>
      </c>
    </row>
    <row r="84">
      <c r="A84" s="50">
        <f>IFERROR(INDEX(الموظفون_الرقم,78),"")</f>
        <v/>
      </c>
      <c r="B84" s="50">
        <f>IFERROR(INDEX(الموظفون_الاسم,78),"")</f>
        <v/>
      </c>
      <c r="C84" s="50">
        <f>IFERROR(INDEX(الموظفون_الإدارة,78),"")</f>
        <v/>
      </c>
      <c r="D84" s="63">
        <f>IFERROR(SUMIFS(الرواتب_بدل_النقل,الرواتب_الرقم,$A84)+SUMIFS(الرواتب_بدل_السكن,الرواتب_الرقم,$A84)+SUMIFS(الرواتب_بدلات_اخرى,الرواتب_الرقم,$A84),"")</f>
        <v/>
      </c>
      <c r="E84" s="63">
        <f>IFERROR(SUMIFS(الرواتب_المكافآت,الرواتب_الرقم,$A84),"")</f>
        <v/>
      </c>
      <c r="F84" s="63">
        <f>IFERROR(SUMIFS(الرواتب_الاضافي,الرواتب_الرقم,$A84),"")</f>
        <v/>
      </c>
      <c r="G84" s="63">
        <f>IFERROR(SUMIFS(الرواتب_الخصومات,الرواتب_الرقم,$A84),"")</f>
        <v/>
      </c>
      <c r="H84" s="63">
        <f>IFERROR(SUMIFS(الرواتب_الصافي,الرواتب_الرقم,$A84),"")</f>
        <v/>
      </c>
      <c r="I84" s="51">
        <f>IFERROR(COUNTIFS(الرواتب_الرقم,$A84),"")</f>
        <v/>
      </c>
    </row>
    <row r="85">
      <c r="A85" s="43">
        <f>IFERROR(INDEX(الموظفون_الرقم,79),"")</f>
        <v/>
      </c>
      <c r="B85" s="43">
        <f>IFERROR(INDEX(الموظفون_الاسم,79),"")</f>
        <v/>
      </c>
      <c r="C85" s="43">
        <f>IFERROR(INDEX(الموظفون_الإدارة,79),"")</f>
        <v/>
      </c>
      <c r="D85" s="60">
        <f>IFERROR(SUMIFS(الرواتب_بدل_النقل,الرواتب_الرقم,$A85)+SUMIFS(الرواتب_بدل_السكن,الرواتب_الرقم,$A85)+SUMIFS(الرواتب_بدلات_اخرى,الرواتب_الرقم,$A85),"")</f>
        <v/>
      </c>
      <c r="E85" s="60">
        <f>IFERROR(SUMIFS(الرواتب_المكافآت,الرواتب_الرقم,$A85),"")</f>
        <v/>
      </c>
      <c r="F85" s="60">
        <f>IFERROR(SUMIFS(الرواتب_الاضافي,الرواتب_الرقم,$A85),"")</f>
        <v/>
      </c>
      <c r="G85" s="60">
        <f>IFERROR(SUMIFS(الرواتب_الخصومات,الرواتب_الرقم,$A85),"")</f>
        <v/>
      </c>
      <c r="H85" s="60">
        <f>IFERROR(SUMIFS(الرواتب_الصافي,الرواتب_الرقم,$A85),"")</f>
        <v/>
      </c>
      <c r="I85" s="44">
        <f>IFERROR(COUNTIFS(الرواتب_الرقم,$A85),"")</f>
        <v/>
      </c>
    </row>
    <row r="86">
      <c r="A86" s="50">
        <f>IFERROR(INDEX(الموظفون_الرقم,80),"")</f>
        <v/>
      </c>
      <c r="B86" s="50">
        <f>IFERROR(INDEX(الموظفون_الاسم,80),"")</f>
        <v/>
      </c>
      <c r="C86" s="50">
        <f>IFERROR(INDEX(الموظفون_الإدارة,80),"")</f>
        <v/>
      </c>
      <c r="D86" s="63">
        <f>IFERROR(SUMIFS(الرواتب_بدل_النقل,الرواتب_الرقم,$A86)+SUMIFS(الرواتب_بدل_السكن,الرواتب_الرقم,$A86)+SUMIFS(الرواتب_بدلات_اخرى,الرواتب_الرقم,$A86),"")</f>
        <v/>
      </c>
      <c r="E86" s="63">
        <f>IFERROR(SUMIFS(الرواتب_المكافآت,الرواتب_الرقم,$A86),"")</f>
        <v/>
      </c>
      <c r="F86" s="63">
        <f>IFERROR(SUMIFS(الرواتب_الاضافي,الرواتب_الرقم,$A86),"")</f>
        <v/>
      </c>
      <c r="G86" s="63">
        <f>IFERROR(SUMIFS(الرواتب_الخصومات,الرواتب_الرقم,$A86),"")</f>
        <v/>
      </c>
      <c r="H86" s="63">
        <f>IFERROR(SUMIFS(الرواتب_الصافي,الرواتب_الرقم,$A86),"")</f>
        <v/>
      </c>
      <c r="I86" s="51">
        <f>IFERROR(COUNTIFS(الرواتب_الرقم,$A86),"")</f>
        <v/>
      </c>
    </row>
    <row r="87">
      <c r="A87" s="43">
        <f>IFERROR(INDEX(الموظفون_الرقم,81),"")</f>
        <v/>
      </c>
      <c r="B87" s="43">
        <f>IFERROR(INDEX(الموظفون_الاسم,81),"")</f>
        <v/>
      </c>
      <c r="C87" s="43">
        <f>IFERROR(INDEX(الموظفون_الإدارة,81),"")</f>
        <v/>
      </c>
      <c r="D87" s="60">
        <f>IFERROR(SUMIFS(الرواتب_بدل_النقل,الرواتب_الرقم,$A87)+SUMIFS(الرواتب_بدل_السكن,الرواتب_الرقم,$A87)+SUMIFS(الرواتب_بدلات_اخرى,الرواتب_الرقم,$A87),"")</f>
        <v/>
      </c>
      <c r="E87" s="60">
        <f>IFERROR(SUMIFS(الرواتب_المكافآت,الرواتب_الرقم,$A87),"")</f>
        <v/>
      </c>
      <c r="F87" s="60">
        <f>IFERROR(SUMIFS(الرواتب_الاضافي,الرواتب_الرقم,$A87),"")</f>
        <v/>
      </c>
      <c r="G87" s="60">
        <f>IFERROR(SUMIFS(الرواتب_الخصومات,الرواتب_الرقم,$A87),"")</f>
        <v/>
      </c>
      <c r="H87" s="60">
        <f>IFERROR(SUMIFS(الرواتب_الصافي,الرواتب_الرقم,$A87),"")</f>
        <v/>
      </c>
      <c r="I87" s="44">
        <f>IFERROR(COUNTIFS(الرواتب_الرقم,$A87),"")</f>
        <v/>
      </c>
    </row>
    <row r="88">
      <c r="A88" s="50">
        <f>IFERROR(INDEX(الموظفون_الرقم,82),"")</f>
        <v/>
      </c>
      <c r="B88" s="50">
        <f>IFERROR(INDEX(الموظفون_الاسم,82),"")</f>
        <v/>
      </c>
      <c r="C88" s="50">
        <f>IFERROR(INDEX(الموظفون_الإدارة,82),"")</f>
        <v/>
      </c>
      <c r="D88" s="63">
        <f>IFERROR(SUMIFS(الرواتب_بدل_النقل,الرواتب_الرقم,$A88)+SUMIFS(الرواتب_بدل_السكن,الرواتب_الرقم,$A88)+SUMIFS(الرواتب_بدلات_اخرى,الرواتب_الرقم,$A88),"")</f>
        <v/>
      </c>
      <c r="E88" s="63">
        <f>IFERROR(SUMIFS(الرواتب_المكافآت,الرواتب_الرقم,$A88),"")</f>
        <v/>
      </c>
      <c r="F88" s="63">
        <f>IFERROR(SUMIFS(الرواتب_الاضافي,الرواتب_الرقم,$A88),"")</f>
        <v/>
      </c>
      <c r="G88" s="63">
        <f>IFERROR(SUMIFS(الرواتب_الخصومات,الرواتب_الرقم,$A88),"")</f>
        <v/>
      </c>
      <c r="H88" s="63">
        <f>IFERROR(SUMIFS(الرواتب_الصافي,الرواتب_الرقم,$A88),"")</f>
        <v/>
      </c>
      <c r="I88" s="51">
        <f>IFERROR(COUNTIFS(الرواتب_الرقم,$A88),"")</f>
        <v/>
      </c>
    </row>
    <row r="89">
      <c r="A89" s="43">
        <f>IFERROR(INDEX(الموظفون_الرقم,83),"")</f>
        <v/>
      </c>
      <c r="B89" s="43">
        <f>IFERROR(INDEX(الموظفون_الاسم,83),"")</f>
        <v/>
      </c>
      <c r="C89" s="43">
        <f>IFERROR(INDEX(الموظفون_الإدارة,83),"")</f>
        <v/>
      </c>
      <c r="D89" s="60">
        <f>IFERROR(SUMIFS(الرواتب_بدل_النقل,الرواتب_الرقم,$A89)+SUMIFS(الرواتب_بدل_السكن,الرواتب_الرقم,$A89)+SUMIFS(الرواتب_بدلات_اخرى,الرواتب_الرقم,$A89),"")</f>
        <v/>
      </c>
      <c r="E89" s="60">
        <f>IFERROR(SUMIFS(الرواتب_المكافآت,الرواتب_الرقم,$A89),"")</f>
        <v/>
      </c>
      <c r="F89" s="60">
        <f>IFERROR(SUMIFS(الرواتب_الاضافي,الرواتب_الرقم,$A89),"")</f>
        <v/>
      </c>
      <c r="G89" s="60">
        <f>IFERROR(SUMIFS(الرواتب_الخصومات,الرواتب_الرقم,$A89),"")</f>
        <v/>
      </c>
      <c r="H89" s="60">
        <f>IFERROR(SUMIFS(الرواتب_الصافي,الرواتب_الرقم,$A89),"")</f>
        <v/>
      </c>
      <c r="I89" s="44">
        <f>IFERROR(COUNTIFS(الرواتب_الرقم,$A89),"")</f>
        <v/>
      </c>
    </row>
    <row r="90">
      <c r="A90" s="50">
        <f>IFERROR(INDEX(الموظفون_الرقم,84),"")</f>
        <v/>
      </c>
      <c r="B90" s="50">
        <f>IFERROR(INDEX(الموظفون_الاسم,84),"")</f>
        <v/>
      </c>
      <c r="C90" s="50">
        <f>IFERROR(INDEX(الموظفون_الإدارة,84),"")</f>
        <v/>
      </c>
      <c r="D90" s="63">
        <f>IFERROR(SUMIFS(الرواتب_بدل_النقل,الرواتب_الرقم,$A90)+SUMIFS(الرواتب_بدل_السكن,الرواتب_الرقم,$A90)+SUMIFS(الرواتب_بدلات_اخرى,الرواتب_الرقم,$A90),"")</f>
        <v/>
      </c>
      <c r="E90" s="63">
        <f>IFERROR(SUMIFS(الرواتب_المكافآت,الرواتب_الرقم,$A90),"")</f>
        <v/>
      </c>
      <c r="F90" s="63">
        <f>IFERROR(SUMIFS(الرواتب_الاضافي,الرواتب_الرقم,$A90),"")</f>
        <v/>
      </c>
      <c r="G90" s="63">
        <f>IFERROR(SUMIFS(الرواتب_الخصومات,الرواتب_الرقم,$A90),"")</f>
        <v/>
      </c>
      <c r="H90" s="63">
        <f>IFERROR(SUMIFS(الرواتب_الصافي,الرواتب_الرقم,$A90),"")</f>
        <v/>
      </c>
      <c r="I90" s="51">
        <f>IFERROR(COUNTIFS(الرواتب_الرقم,$A90),"")</f>
        <v/>
      </c>
    </row>
    <row r="91">
      <c r="A91" s="43">
        <f>IFERROR(INDEX(الموظفون_الرقم,85),"")</f>
        <v/>
      </c>
      <c r="B91" s="43">
        <f>IFERROR(INDEX(الموظفون_الاسم,85),"")</f>
        <v/>
      </c>
      <c r="C91" s="43">
        <f>IFERROR(INDEX(الموظفون_الإدارة,85),"")</f>
        <v/>
      </c>
      <c r="D91" s="60">
        <f>IFERROR(SUMIFS(الرواتب_بدل_النقل,الرواتب_الرقم,$A91)+SUMIFS(الرواتب_بدل_السكن,الرواتب_الرقم,$A91)+SUMIFS(الرواتب_بدلات_اخرى,الرواتب_الرقم,$A91),"")</f>
        <v/>
      </c>
      <c r="E91" s="60">
        <f>IFERROR(SUMIFS(الرواتب_المكافآت,الرواتب_الرقم,$A91),"")</f>
        <v/>
      </c>
      <c r="F91" s="60">
        <f>IFERROR(SUMIFS(الرواتب_الاضافي,الرواتب_الرقم,$A91),"")</f>
        <v/>
      </c>
      <c r="G91" s="60">
        <f>IFERROR(SUMIFS(الرواتب_الخصومات,الرواتب_الرقم,$A91),"")</f>
        <v/>
      </c>
      <c r="H91" s="60">
        <f>IFERROR(SUMIFS(الرواتب_الصافي,الرواتب_الرقم,$A91),"")</f>
        <v/>
      </c>
      <c r="I91" s="44">
        <f>IFERROR(COUNTIFS(الرواتب_الرقم,$A91),"")</f>
        <v/>
      </c>
    </row>
    <row r="92">
      <c r="A92" s="50">
        <f>IFERROR(INDEX(الموظفون_الرقم,86),"")</f>
        <v/>
      </c>
      <c r="B92" s="50">
        <f>IFERROR(INDEX(الموظفون_الاسم,86),"")</f>
        <v/>
      </c>
      <c r="C92" s="50">
        <f>IFERROR(INDEX(الموظفون_الإدارة,86),"")</f>
        <v/>
      </c>
      <c r="D92" s="63">
        <f>IFERROR(SUMIFS(الرواتب_بدل_النقل,الرواتب_الرقم,$A92)+SUMIFS(الرواتب_بدل_السكن,الرواتب_الرقم,$A92)+SUMIFS(الرواتب_بدلات_اخرى,الرواتب_الرقم,$A92),"")</f>
        <v/>
      </c>
      <c r="E92" s="63">
        <f>IFERROR(SUMIFS(الرواتب_المكافآت,الرواتب_الرقم,$A92),"")</f>
        <v/>
      </c>
      <c r="F92" s="63">
        <f>IFERROR(SUMIFS(الرواتب_الاضافي,الرواتب_الرقم,$A92),"")</f>
        <v/>
      </c>
      <c r="G92" s="63">
        <f>IFERROR(SUMIFS(الرواتب_الخصومات,الرواتب_الرقم,$A92),"")</f>
        <v/>
      </c>
      <c r="H92" s="63">
        <f>IFERROR(SUMIFS(الرواتب_الصافي,الرواتب_الرقم,$A92),"")</f>
        <v/>
      </c>
      <c r="I92" s="51">
        <f>IFERROR(COUNTIFS(الرواتب_الرقم,$A92),"")</f>
        <v/>
      </c>
    </row>
    <row r="93">
      <c r="A93" s="43">
        <f>IFERROR(INDEX(الموظفون_الرقم,87),"")</f>
        <v/>
      </c>
      <c r="B93" s="43">
        <f>IFERROR(INDEX(الموظفون_الاسم,87),"")</f>
        <v/>
      </c>
      <c r="C93" s="43">
        <f>IFERROR(INDEX(الموظفون_الإدارة,87),"")</f>
        <v/>
      </c>
      <c r="D93" s="60">
        <f>IFERROR(SUMIFS(الرواتب_بدل_النقل,الرواتب_الرقم,$A93)+SUMIFS(الرواتب_بدل_السكن,الرواتب_الرقم,$A93)+SUMIFS(الرواتب_بدلات_اخرى,الرواتب_الرقم,$A93),"")</f>
        <v/>
      </c>
      <c r="E93" s="60">
        <f>IFERROR(SUMIFS(الرواتب_المكافآت,الرواتب_الرقم,$A93),"")</f>
        <v/>
      </c>
      <c r="F93" s="60">
        <f>IFERROR(SUMIFS(الرواتب_الاضافي,الرواتب_الرقم,$A93),"")</f>
        <v/>
      </c>
      <c r="G93" s="60">
        <f>IFERROR(SUMIFS(الرواتب_الخصومات,الرواتب_الرقم,$A93),"")</f>
        <v/>
      </c>
      <c r="H93" s="60">
        <f>IFERROR(SUMIFS(الرواتب_الصافي,الرواتب_الرقم,$A93),"")</f>
        <v/>
      </c>
      <c r="I93" s="44">
        <f>IFERROR(COUNTIFS(الرواتب_الرقم,$A93),"")</f>
        <v/>
      </c>
    </row>
    <row r="94">
      <c r="A94" s="50">
        <f>IFERROR(INDEX(الموظفون_الرقم,88),"")</f>
        <v/>
      </c>
      <c r="B94" s="50">
        <f>IFERROR(INDEX(الموظفون_الاسم,88),"")</f>
        <v/>
      </c>
      <c r="C94" s="50">
        <f>IFERROR(INDEX(الموظفون_الإدارة,88),"")</f>
        <v/>
      </c>
      <c r="D94" s="63">
        <f>IFERROR(SUMIFS(الرواتب_بدل_النقل,الرواتب_الرقم,$A94)+SUMIFS(الرواتب_بدل_السكن,الرواتب_الرقم,$A94)+SUMIFS(الرواتب_بدلات_اخرى,الرواتب_الرقم,$A94),"")</f>
        <v/>
      </c>
      <c r="E94" s="63">
        <f>IFERROR(SUMIFS(الرواتب_المكافآت,الرواتب_الرقم,$A94),"")</f>
        <v/>
      </c>
      <c r="F94" s="63">
        <f>IFERROR(SUMIFS(الرواتب_الاضافي,الرواتب_الرقم,$A94),"")</f>
        <v/>
      </c>
      <c r="G94" s="63">
        <f>IFERROR(SUMIFS(الرواتب_الخصومات,الرواتب_الرقم,$A94),"")</f>
        <v/>
      </c>
      <c r="H94" s="63">
        <f>IFERROR(SUMIFS(الرواتب_الصافي,الرواتب_الرقم,$A94),"")</f>
        <v/>
      </c>
      <c r="I94" s="51">
        <f>IFERROR(COUNTIFS(الرواتب_الرقم,$A94),"")</f>
        <v/>
      </c>
    </row>
    <row r="95">
      <c r="A95" s="43">
        <f>IFERROR(INDEX(الموظفون_الرقم,89),"")</f>
        <v/>
      </c>
      <c r="B95" s="43">
        <f>IFERROR(INDEX(الموظفون_الاسم,89),"")</f>
        <v/>
      </c>
      <c r="C95" s="43">
        <f>IFERROR(INDEX(الموظفون_الإدارة,89),"")</f>
        <v/>
      </c>
      <c r="D95" s="60">
        <f>IFERROR(SUMIFS(الرواتب_بدل_النقل,الرواتب_الرقم,$A95)+SUMIFS(الرواتب_بدل_السكن,الرواتب_الرقم,$A95)+SUMIFS(الرواتب_بدلات_اخرى,الرواتب_الرقم,$A95),"")</f>
        <v/>
      </c>
      <c r="E95" s="60">
        <f>IFERROR(SUMIFS(الرواتب_المكافآت,الرواتب_الرقم,$A95),"")</f>
        <v/>
      </c>
      <c r="F95" s="60">
        <f>IFERROR(SUMIFS(الرواتب_الاضافي,الرواتب_الرقم,$A95),"")</f>
        <v/>
      </c>
      <c r="G95" s="60">
        <f>IFERROR(SUMIFS(الرواتب_الخصومات,الرواتب_الرقم,$A95),"")</f>
        <v/>
      </c>
      <c r="H95" s="60">
        <f>IFERROR(SUMIFS(الرواتب_الصافي,الرواتب_الرقم,$A95),"")</f>
        <v/>
      </c>
      <c r="I95" s="44">
        <f>IFERROR(COUNTIFS(الرواتب_الرقم,$A95),"")</f>
        <v/>
      </c>
    </row>
    <row r="96">
      <c r="A96" s="50">
        <f>IFERROR(INDEX(الموظفون_الرقم,90),"")</f>
        <v/>
      </c>
      <c r="B96" s="50">
        <f>IFERROR(INDEX(الموظفون_الاسم,90),"")</f>
        <v/>
      </c>
      <c r="C96" s="50">
        <f>IFERROR(INDEX(الموظفون_الإدارة,90),"")</f>
        <v/>
      </c>
      <c r="D96" s="63">
        <f>IFERROR(SUMIFS(الرواتب_بدل_النقل,الرواتب_الرقم,$A96)+SUMIFS(الرواتب_بدل_السكن,الرواتب_الرقم,$A96)+SUMIFS(الرواتب_بدلات_اخرى,الرواتب_الرقم,$A96),"")</f>
        <v/>
      </c>
      <c r="E96" s="63">
        <f>IFERROR(SUMIFS(الرواتب_المكافآت,الرواتب_الرقم,$A96),"")</f>
        <v/>
      </c>
      <c r="F96" s="63">
        <f>IFERROR(SUMIFS(الرواتب_الاضافي,الرواتب_الرقم,$A96),"")</f>
        <v/>
      </c>
      <c r="G96" s="63">
        <f>IFERROR(SUMIFS(الرواتب_الخصومات,الرواتب_الرقم,$A96),"")</f>
        <v/>
      </c>
      <c r="H96" s="63">
        <f>IFERROR(SUMIFS(الرواتب_الصافي,الرواتب_الرقم,$A96),"")</f>
        <v/>
      </c>
      <c r="I96" s="51">
        <f>IFERROR(COUNTIFS(الرواتب_الرقم,$A96),"")</f>
        <v/>
      </c>
    </row>
    <row r="97">
      <c r="A97" s="43">
        <f>IFERROR(INDEX(الموظفون_الرقم,91),"")</f>
        <v/>
      </c>
      <c r="B97" s="43">
        <f>IFERROR(INDEX(الموظفون_الاسم,91),"")</f>
        <v/>
      </c>
      <c r="C97" s="43">
        <f>IFERROR(INDEX(الموظفون_الإدارة,91),"")</f>
        <v/>
      </c>
      <c r="D97" s="60">
        <f>IFERROR(SUMIFS(الرواتب_بدل_النقل,الرواتب_الرقم,$A97)+SUMIFS(الرواتب_بدل_السكن,الرواتب_الرقم,$A97)+SUMIFS(الرواتب_بدلات_اخرى,الرواتب_الرقم,$A97),"")</f>
        <v/>
      </c>
      <c r="E97" s="60">
        <f>IFERROR(SUMIFS(الرواتب_المكافآت,الرواتب_الرقم,$A97),"")</f>
        <v/>
      </c>
      <c r="F97" s="60">
        <f>IFERROR(SUMIFS(الرواتب_الاضافي,الرواتب_الرقم,$A97),"")</f>
        <v/>
      </c>
      <c r="G97" s="60">
        <f>IFERROR(SUMIFS(الرواتب_الخصومات,الرواتب_الرقم,$A97),"")</f>
        <v/>
      </c>
      <c r="H97" s="60">
        <f>IFERROR(SUMIFS(الرواتب_الصافي,الرواتب_الرقم,$A97),"")</f>
        <v/>
      </c>
      <c r="I97" s="44">
        <f>IFERROR(COUNTIFS(الرواتب_الرقم,$A97),"")</f>
        <v/>
      </c>
    </row>
    <row r="98">
      <c r="A98" s="50">
        <f>IFERROR(INDEX(الموظفون_الرقم,92),"")</f>
        <v/>
      </c>
      <c r="B98" s="50">
        <f>IFERROR(INDEX(الموظفون_الاسم,92),"")</f>
        <v/>
      </c>
      <c r="C98" s="50">
        <f>IFERROR(INDEX(الموظفون_الإدارة,92),"")</f>
        <v/>
      </c>
      <c r="D98" s="63">
        <f>IFERROR(SUMIFS(الرواتب_بدل_النقل,الرواتب_الرقم,$A98)+SUMIFS(الرواتب_بدل_السكن,الرواتب_الرقم,$A98)+SUMIFS(الرواتب_بدلات_اخرى,الرواتب_الرقم,$A98),"")</f>
        <v/>
      </c>
      <c r="E98" s="63">
        <f>IFERROR(SUMIFS(الرواتب_المكافآت,الرواتب_الرقم,$A98),"")</f>
        <v/>
      </c>
      <c r="F98" s="63">
        <f>IFERROR(SUMIFS(الرواتب_الاضافي,الرواتب_الرقم,$A98),"")</f>
        <v/>
      </c>
      <c r="G98" s="63">
        <f>IFERROR(SUMIFS(الرواتب_الخصومات,الرواتب_الرقم,$A98),"")</f>
        <v/>
      </c>
      <c r="H98" s="63">
        <f>IFERROR(SUMIFS(الرواتب_الصافي,الرواتب_الرقم,$A98),"")</f>
        <v/>
      </c>
      <c r="I98" s="51">
        <f>IFERROR(COUNTIFS(الرواتب_الرقم,$A98),"")</f>
        <v/>
      </c>
    </row>
    <row r="99">
      <c r="A99" s="43">
        <f>IFERROR(INDEX(الموظفون_الرقم,93),"")</f>
        <v/>
      </c>
      <c r="B99" s="43">
        <f>IFERROR(INDEX(الموظفون_الاسم,93),"")</f>
        <v/>
      </c>
      <c r="C99" s="43">
        <f>IFERROR(INDEX(الموظفون_الإدارة,93),"")</f>
        <v/>
      </c>
      <c r="D99" s="60">
        <f>IFERROR(SUMIFS(الرواتب_بدل_النقل,الرواتب_الرقم,$A99)+SUMIFS(الرواتب_بدل_السكن,الرواتب_الرقم,$A99)+SUMIFS(الرواتب_بدلات_اخرى,الرواتب_الرقم,$A99),"")</f>
        <v/>
      </c>
      <c r="E99" s="60">
        <f>IFERROR(SUMIFS(الرواتب_المكافآت,الرواتب_الرقم,$A99),"")</f>
        <v/>
      </c>
      <c r="F99" s="60">
        <f>IFERROR(SUMIFS(الرواتب_الاضافي,الرواتب_الرقم,$A99),"")</f>
        <v/>
      </c>
      <c r="G99" s="60">
        <f>IFERROR(SUMIFS(الرواتب_الخصومات,الرواتب_الرقم,$A99),"")</f>
        <v/>
      </c>
      <c r="H99" s="60">
        <f>IFERROR(SUMIFS(الرواتب_الصافي,الرواتب_الرقم,$A99),"")</f>
        <v/>
      </c>
      <c r="I99" s="44">
        <f>IFERROR(COUNTIFS(الرواتب_الرقم,$A99),"")</f>
        <v/>
      </c>
    </row>
    <row r="100">
      <c r="A100" s="50">
        <f>IFERROR(INDEX(الموظفون_الرقم,94),"")</f>
        <v/>
      </c>
      <c r="B100" s="50">
        <f>IFERROR(INDEX(الموظفون_الاسم,94),"")</f>
        <v/>
      </c>
      <c r="C100" s="50">
        <f>IFERROR(INDEX(الموظفون_الإدارة,94),"")</f>
        <v/>
      </c>
      <c r="D100" s="63">
        <f>IFERROR(SUMIFS(الرواتب_بدل_النقل,الرواتب_الرقم,$A100)+SUMIFS(الرواتب_بدل_السكن,الرواتب_الرقم,$A100)+SUMIFS(الرواتب_بدلات_اخرى,الرواتب_الرقم,$A100),"")</f>
        <v/>
      </c>
      <c r="E100" s="63">
        <f>IFERROR(SUMIFS(الرواتب_المكافآت,الرواتب_الرقم,$A100),"")</f>
        <v/>
      </c>
      <c r="F100" s="63">
        <f>IFERROR(SUMIFS(الرواتب_الاضافي,الرواتب_الرقم,$A100),"")</f>
        <v/>
      </c>
      <c r="G100" s="63">
        <f>IFERROR(SUMIFS(الرواتب_الخصومات,الرواتب_الرقم,$A100),"")</f>
        <v/>
      </c>
      <c r="H100" s="63">
        <f>IFERROR(SUMIFS(الرواتب_الصافي,الرواتب_الرقم,$A100),"")</f>
        <v/>
      </c>
      <c r="I100" s="51">
        <f>IFERROR(COUNTIFS(الرواتب_الرقم,$A100),"")</f>
        <v/>
      </c>
    </row>
    <row r="101">
      <c r="A101" s="43">
        <f>IFERROR(INDEX(الموظفون_الرقم,95),"")</f>
        <v/>
      </c>
      <c r="B101" s="43">
        <f>IFERROR(INDEX(الموظفون_الاسم,95),"")</f>
        <v/>
      </c>
      <c r="C101" s="43">
        <f>IFERROR(INDEX(الموظفون_الإدارة,95),"")</f>
        <v/>
      </c>
      <c r="D101" s="60">
        <f>IFERROR(SUMIFS(الرواتب_بدل_النقل,الرواتب_الرقم,$A101)+SUMIFS(الرواتب_بدل_السكن,الرواتب_الرقم,$A101)+SUMIFS(الرواتب_بدلات_اخرى,الرواتب_الرقم,$A101),"")</f>
        <v/>
      </c>
      <c r="E101" s="60">
        <f>IFERROR(SUMIFS(الرواتب_المكافآت,الرواتب_الرقم,$A101),"")</f>
        <v/>
      </c>
      <c r="F101" s="60">
        <f>IFERROR(SUMIFS(الرواتب_الاضافي,الرواتب_الرقم,$A101),"")</f>
        <v/>
      </c>
      <c r="G101" s="60">
        <f>IFERROR(SUMIFS(الرواتب_الخصومات,الرواتب_الرقم,$A101),"")</f>
        <v/>
      </c>
      <c r="H101" s="60">
        <f>IFERROR(SUMIFS(الرواتب_الصافي,الرواتب_الرقم,$A101),"")</f>
        <v/>
      </c>
      <c r="I101" s="44">
        <f>IFERROR(COUNTIFS(الرواتب_الرقم,$A101),"")</f>
        <v/>
      </c>
    </row>
    <row r="102">
      <c r="A102" s="50">
        <f>IFERROR(INDEX(الموظفون_الرقم,96),"")</f>
        <v/>
      </c>
      <c r="B102" s="50">
        <f>IFERROR(INDEX(الموظفون_الاسم,96),"")</f>
        <v/>
      </c>
      <c r="C102" s="50">
        <f>IFERROR(INDEX(الموظفون_الإدارة,96),"")</f>
        <v/>
      </c>
      <c r="D102" s="63">
        <f>IFERROR(SUMIFS(الرواتب_بدل_النقل,الرواتب_الرقم,$A102)+SUMIFS(الرواتب_بدل_السكن,الرواتب_الرقم,$A102)+SUMIFS(الرواتب_بدلات_اخرى,الرواتب_الرقم,$A102),"")</f>
        <v/>
      </c>
      <c r="E102" s="63">
        <f>IFERROR(SUMIFS(الرواتب_المكافآت,الرواتب_الرقم,$A102),"")</f>
        <v/>
      </c>
      <c r="F102" s="63">
        <f>IFERROR(SUMIFS(الرواتب_الاضافي,الرواتب_الرقم,$A102),"")</f>
        <v/>
      </c>
      <c r="G102" s="63">
        <f>IFERROR(SUMIFS(الرواتب_الخصومات,الرواتب_الرقم,$A102),"")</f>
        <v/>
      </c>
      <c r="H102" s="63">
        <f>IFERROR(SUMIFS(الرواتب_الصافي,الرواتب_الرقم,$A102),"")</f>
        <v/>
      </c>
      <c r="I102" s="51">
        <f>IFERROR(COUNTIFS(الرواتب_الرقم,$A102),"")</f>
        <v/>
      </c>
    </row>
    <row r="103">
      <c r="A103" s="43">
        <f>IFERROR(INDEX(الموظفون_الرقم,97),"")</f>
        <v/>
      </c>
      <c r="B103" s="43">
        <f>IFERROR(INDEX(الموظفون_الاسم,97),"")</f>
        <v/>
      </c>
      <c r="C103" s="43">
        <f>IFERROR(INDEX(الموظفون_الإدارة,97),"")</f>
        <v/>
      </c>
      <c r="D103" s="60">
        <f>IFERROR(SUMIFS(الرواتب_بدل_النقل,الرواتب_الرقم,$A103)+SUMIFS(الرواتب_بدل_السكن,الرواتب_الرقم,$A103)+SUMIFS(الرواتب_بدلات_اخرى,الرواتب_الرقم,$A103),"")</f>
        <v/>
      </c>
      <c r="E103" s="60">
        <f>IFERROR(SUMIFS(الرواتب_المكافآت,الرواتب_الرقم,$A103),"")</f>
        <v/>
      </c>
      <c r="F103" s="60">
        <f>IFERROR(SUMIFS(الرواتب_الاضافي,الرواتب_الرقم,$A103),"")</f>
        <v/>
      </c>
      <c r="G103" s="60">
        <f>IFERROR(SUMIFS(الرواتب_الخصومات,الرواتب_الرقم,$A103),"")</f>
        <v/>
      </c>
      <c r="H103" s="60">
        <f>IFERROR(SUMIFS(الرواتب_الصافي,الرواتب_الرقم,$A103),"")</f>
        <v/>
      </c>
      <c r="I103" s="44">
        <f>IFERROR(COUNTIFS(الرواتب_الرقم,$A103),"")</f>
        <v/>
      </c>
    </row>
    <row r="104">
      <c r="A104" s="50">
        <f>IFERROR(INDEX(الموظفون_الرقم,98),"")</f>
        <v/>
      </c>
      <c r="B104" s="50">
        <f>IFERROR(INDEX(الموظفون_الاسم,98),"")</f>
        <v/>
      </c>
      <c r="C104" s="50">
        <f>IFERROR(INDEX(الموظفون_الإدارة,98),"")</f>
        <v/>
      </c>
      <c r="D104" s="63">
        <f>IFERROR(SUMIFS(الرواتب_بدل_النقل,الرواتب_الرقم,$A104)+SUMIFS(الرواتب_بدل_السكن,الرواتب_الرقم,$A104)+SUMIFS(الرواتب_بدلات_اخرى,الرواتب_الرقم,$A104),"")</f>
        <v/>
      </c>
      <c r="E104" s="63">
        <f>IFERROR(SUMIFS(الرواتب_المكافآت,الرواتب_الرقم,$A104),"")</f>
        <v/>
      </c>
      <c r="F104" s="63">
        <f>IFERROR(SUMIFS(الرواتب_الاضافي,الرواتب_الرقم,$A104),"")</f>
        <v/>
      </c>
      <c r="G104" s="63">
        <f>IFERROR(SUMIFS(الرواتب_الخصومات,الرواتب_الرقم,$A104),"")</f>
        <v/>
      </c>
      <c r="H104" s="63">
        <f>IFERROR(SUMIFS(الرواتب_الصافي,الرواتب_الرقم,$A104),"")</f>
        <v/>
      </c>
      <c r="I104" s="51">
        <f>IFERROR(COUNTIFS(الرواتب_الرقم,$A104),"")</f>
        <v/>
      </c>
    </row>
    <row r="105">
      <c r="A105" s="43">
        <f>IFERROR(INDEX(الموظفون_الرقم,99),"")</f>
        <v/>
      </c>
      <c r="B105" s="43">
        <f>IFERROR(INDEX(الموظفون_الاسم,99),"")</f>
        <v/>
      </c>
      <c r="C105" s="43">
        <f>IFERROR(INDEX(الموظفون_الإدارة,99),"")</f>
        <v/>
      </c>
      <c r="D105" s="60">
        <f>IFERROR(SUMIFS(الرواتب_بدل_النقل,الرواتب_الرقم,$A105)+SUMIFS(الرواتب_بدل_السكن,الرواتب_الرقم,$A105)+SUMIFS(الرواتب_بدلات_اخرى,الرواتب_الرقم,$A105),"")</f>
        <v/>
      </c>
      <c r="E105" s="60">
        <f>IFERROR(SUMIFS(الرواتب_المكافآت,الرواتب_الرقم,$A105),"")</f>
        <v/>
      </c>
      <c r="F105" s="60">
        <f>IFERROR(SUMIFS(الرواتب_الاضافي,الرواتب_الرقم,$A105),"")</f>
        <v/>
      </c>
      <c r="G105" s="60">
        <f>IFERROR(SUMIFS(الرواتب_الخصومات,الرواتب_الرقم,$A105),"")</f>
        <v/>
      </c>
      <c r="H105" s="60">
        <f>IFERROR(SUMIFS(الرواتب_الصافي,الرواتب_الرقم,$A105),"")</f>
        <v/>
      </c>
      <c r="I105" s="44">
        <f>IFERROR(COUNTIFS(الرواتب_الرقم,$A105),"")</f>
        <v/>
      </c>
    </row>
    <row r="106">
      <c r="A106" s="50">
        <f>IFERROR(INDEX(الموظفون_الرقم,100),"")</f>
        <v/>
      </c>
      <c r="B106" s="50">
        <f>IFERROR(INDEX(الموظفون_الاسم,100),"")</f>
        <v/>
      </c>
      <c r="C106" s="50">
        <f>IFERROR(INDEX(الموظفون_الإدارة,100),"")</f>
        <v/>
      </c>
      <c r="D106" s="63">
        <f>IFERROR(SUMIFS(الرواتب_بدل_النقل,الرواتب_الرقم,$A106)+SUMIFS(الرواتب_بدل_السكن,الرواتب_الرقم,$A106)+SUMIFS(الرواتب_بدلات_اخرى,الرواتب_الرقم,$A106),"")</f>
        <v/>
      </c>
      <c r="E106" s="63">
        <f>IFERROR(SUMIFS(الرواتب_المكافآت,الرواتب_الرقم,$A106),"")</f>
        <v/>
      </c>
      <c r="F106" s="63">
        <f>IFERROR(SUMIFS(الرواتب_الاضافي,الرواتب_الرقم,$A106),"")</f>
        <v/>
      </c>
      <c r="G106" s="63">
        <f>IFERROR(SUMIFS(الرواتب_الخصومات,الرواتب_الرقم,$A106),"")</f>
        <v/>
      </c>
      <c r="H106" s="63">
        <f>IFERROR(SUMIFS(الرواتب_الصافي,الرواتب_الرقم,$A106),"")</f>
        <v/>
      </c>
      <c r="I106" s="51">
        <f>IFERROR(COUNTIFS(الرواتب_الرقم,$A106),"")</f>
        <v/>
      </c>
    </row>
    <row r="107">
      <c r="A107" s="43">
        <f>IFERROR(INDEX(الموظفون_الرقم,101),"")</f>
        <v/>
      </c>
      <c r="B107" s="43">
        <f>IFERROR(INDEX(الموظفون_الاسم,101),"")</f>
        <v/>
      </c>
      <c r="C107" s="43">
        <f>IFERROR(INDEX(الموظفون_الإدارة,101),"")</f>
        <v/>
      </c>
      <c r="D107" s="60">
        <f>IFERROR(SUMIFS(الرواتب_بدل_النقل,الرواتب_الرقم,$A107)+SUMIFS(الرواتب_بدل_السكن,الرواتب_الرقم,$A107)+SUMIFS(الرواتب_بدلات_اخرى,الرواتب_الرقم,$A107),"")</f>
        <v/>
      </c>
      <c r="E107" s="60">
        <f>IFERROR(SUMIFS(الرواتب_المكافآت,الرواتب_الرقم,$A107),"")</f>
        <v/>
      </c>
      <c r="F107" s="60">
        <f>IFERROR(SUMIFS(الرواتب_الاضافي,الرواتب_الرقم,$A107),"")</f>
        <v/>
      </c>
      <c r="G107" s="60">
        <f>IFERROR(SUMIFS(الرواتب_الخصومات,الرواتب_الرقم,$A107),"")</f>
        <v/>
      </c>
      <c r="H107" s="60">
        <f>IFERROR(SUMIFS(الرواتب_الصافي,الرواتب_الرقم,$A107),"")</f>
        <v/>
      </c>
      <c r="I107" s="44">
        <f>IFERROR(COUNTIFS(الرواتب_الرقم,$A107),"")</f>
        <v/>
      </c>
    </row>
    <row r="108">
      <c r="A108" s="50">
        <f>IFERROR(INDEX(الموظفون_الرقم,102),"")</f>
        <v/>
      </c>
      <c r="B108" s="50">
        <f>IFERROR(INDEX(الموظفون_الاسم,102),"")</f>
        <v/>
      </c>
      <c r="C108" s="50">
        <f>IFERROR(INDEX(الموظفون_الإدارة,102),"")</f>
        <v/>
      </c>
      <c r="D108" s="63">
        <f>IFERROR(SUMIFS(الرواتب_بدل_النقل,الرواتب_الرقم,$A108)+SUMIFS(الرواتب_بدل_السكن,الرواتب_الرقم,$A108)+SUMIFS(الرواتب_بدلات_اخرى,الرواتب_الرقم,$A108),"")</f>
        <v/>
      </c>
      <c r="E108" s="63">
        <f>IFERROR(SUMIFS(الرواتب_المكافآت,الرواتب_الرقم,$A108),"")</f>
        <v/>
      </c>
      <c r="F108" s="63">
        <f>IFERROR(SUMIFS(الرواتب_الاضافي,الرواتب_الرقم,$A108),"")</f>
        <v/>
      </c>
      <c r="G108" s="63">
        <f>IFERROR(SUMIFS(الرواتب_الخصومات,الرواتب_الرقم,$A108),"")</f>
        <v/>
      </c>
      <c r="H108" s="63">
        <f>IFERROR(SUMIFS(الرواتب_الصافي,الرواتب_الرقم,$A108),"")</f>
        <v/>
      </c>
      <c r="I108" s="51">
        <f>IFERROR(COUNTIFS(الرواتب_الرقم,$A108),"")</f>
        <v/>
      </c>
    </row>
    <row r="109">
      <c r="A109" s="43">
        <f>IFERROR(INDEX(الموظفون_الرقم,103),"")</f>
        <v/>
      </c>
      <c r="B109" s="43">
        <f>IFERROR(INDEX(الموظفون_الاسم,103),"")</f>
        <v/>
      </c>
      <c r="C109" s="43">
        <f>IFERROR(INDEX(الموظفون_الإدارة,103),"")</f>
        <v/>
      </c>
      <c r="D109" s="60">
        <f>IFERROR(SUMIFS(الرواتب_بدل_النقل,الرواتب_الرقم,$A109)+SUMIFS(الرواتب_بدل_السكن,الرواتب_الرقم,$A109)+SUMIFS(الرواتب_بدلات_اخرى,الرواتب_الرقم,$A109),"")</f>
        <v/>
      </c>
      <c r="E109" s="60">
        <f>IFERROR(SUMIFS(الرواتب_المكافآت,الرواتب_الرقم,$A109),"")</f>
        <v/>
      </c>
      <c r="F109" s="60">
        <f>IFERROR(SUMIFS(الرواتب_الاضافي,الرواتب_الرقم,$A109),"")</f>
        <v/>
      </c>
      <c r="G109" s="60">
        <f>IFERROR(SUMIFS(الرواتب_الخصومات,الرواتب_الرقم,$A109),"")</f>
        <v/>
      </c>
      <c r="H109" s="60">
        <f>IFERROR(SUMIFS(الرواتب_الصافي,الرواتب_الرقم,$A109),"")</f>
        <v/>
      </c>
      <c r="I109" s="44">
        <f>IFERROR(COUNTIFS(الرواتب_الرقم,$A109),"")</f>
        <v/>
      </c>
    </row>
    <row r="110">
      <c r="A110" s="50">
        <f>IFERROR(INDEX(الموظفون_الرقم,104),"")</f>
        <v/>
      </c>
      <c r="B110" s="50">
        <f>IFERROR(INDEX(الموظفون_الاسم,104),"")</f>
        <v/>
      </c>
      <c r="C110" s="50">
        <f>IFERROR(INDEX(الموظفون_الإدارة,104),"")</f>
        <v/>
      </c>
      <c r="D110" s="63">
        <f>IFERROR(SUMIFS(الرواتب_بدل_النقل,الرواتب_الرقم,$A110)+SUMIFS(الرواتب_بدل_السكن,الرواتب_الرقم,$A110)+SUMIFS(الرواتب_بدلات_اخرى,الرواتب_الرقم,$A110),"")</f>
        <v/>
      </c>
      <c r="E110" s="63">
        <f>IFERROR(SUMIFS(الرواتب_المكافآت,الرواتب_الرقم,$A110),"")</f>
        <v/>
      </c>
      <c r="F110" s="63">
        <f>IFERROR(SUMIFS(الرواتب_الاضافي,الرواتب_الرقم,$A110),"")</f>
        <v/>
      </c>
      <c r="G110" s="63">
        <f>IFERROR(SUMIFS(الرواتب_الخصومات,الرواتب_الرقم,$A110),"")</f>
        <v/>
      </c>
      <c r="H110" s="63">
        <f>IFERROR(SUMIFS(الرواتب_الصافي,الرواتب_الرقم,$A110),"")</f>
        <v/>
      </c>
      <c r="I110" s="51">
        <f>IFERROR(COUNTIFS(الرواتب_الرقم,$A110),"")</f>
        <v/>
      </c>
    </row>
    <row r="111">
      <c r="A111" s="43">
        <f>IFERROR(INDEX(الموظفون_الرقم,105),"")</f>
        <v/>
      </c>
      <c r="B111" s="43">
        <f>IFERROR(INDEX(الموظفون_الاسم,105),"")</f>
        <v/>
      </c>
      <c r="C111" s="43">
        <f>IFERROR(INDEX(الموظفون_الإدارة,105),"")</f>
        <v/>
      </c>
      <c r="D111" s="60">
        <f>IFERROR(SUMIFS(الرواتب_بدل_النقل,الرواتب_الرقم,$A111)+SUMIFS(الرواتب_بدل_السكن,الرواتب_الرقم,$A111)+SUMIFS(الرواتب_بدلات_اخرى,الرواتب_الرقم,$A111),"")</f>
        <v/>
      </c>
      <c r="E111" s="60">
        <f>IFERROR(SUMIFS(الرواتب_المكافآت,الرواتب_الرقم,$A111),"")</f>
        <v/>
      </c>
      <c r="F111" s="60">
        <f>IFERROR(SUMIFS(الرواتب_الاضافي,الرواتب_الرقم,$A111),"")</f>
        <v/>
      </c>
      <c r="G111" s="60">
        <f>IFERROR(SUMIFS(الرواتب_الخصومات,الرواتب_الرقم,$A111),"")</f>
        <v/>
      </c>
      <c r="H111" s="60">
        <f>IFERROR(SUMIFS(الرواتب_الصافي,الرواتب_الرقم,$A111),"")</f>
        <v/>
      </c>
      <c r="I111" s="44">
        <f>IFERROR(COUNTIFS(الرواتب_الرقم,$A111),"")</f>
        <v/>
      </c>
    </row>
    <row r="112">
      <c r="A112" s="50">
        <f>IFERROR(INDEX(الموظفون_الرقم,106),"")</f>
        <v/>
      </c>
      <c r="B112" s="50">
        <f>IFERROR(INDEX(الموظفون_الاسم,106),"")</f>
        <v/>
      </c>
      <c r="C112" s="50">
        <f>IFERROR(INDEX(الموظفون_الإدارة,106),"")</f>
        <v/>
      </c>
      <c r="D112" s="63">
        <f>IFERROR(SUMIFS(الرواتب_بدل_النقل,الرواتب_الرقم,$A112)+SUMIFS(الرواتب_بدل_السكن,الرواتب_الرقم,$A112)+SUMIFS(الرواتب_بدلات_اخرى,الرواتب_الرقم,$A112),"")</f>
        <v/>
      </c>
      <c r="E112" s="63">
        <f>IFERROR(SUMIFS(الرواتب_المكافآت,الرواتب_الرقم,$A112),"")</f>
        <v/>
      </c>
      <c r="F112" s="63">
        <f>IFERROR(SUMIFS(الرواتب_الاضافي,الرواتب_الرقم,$A112),"")</f>
        <v/>
      </c>
      <c r="G112" s="63">
        <f>IFERROR(SUMIFS(الرواتب_الخصومات,الرواتب_الرقم,$A112),"")</f>
        <v/>
      </c>
      <c r="H112" s="63">
        <f>IFERROR(SUMIFS(الرواتب_الصافي,الرواتب_الرقم,$A112),"")</f>
        <v/>
      </c>
      <c r="I112" s="51">
        <f>IFERROR(COUNTIFS(الرواتب_الرقم,$A112),"")</f>
        <v/>
      </c>
    </row>
    <row r="113">
      <c r="A113" s="43">
        <f>IFERROR(INDEX(الموظفون_الرقم,107),"")</f>
        <v/>
      </c>
      <c r="B113" s="43">
        <f>IFERROR(INDEX(الموظفون_الاسم,107),"")</f>
        <v/>
      </c>
      <c r="C113" s="43">
        <f>IFERROR(INDEX(الموظفون_الإدارة,107),"")</f>
        <v/>
      </c>
      <c r="D113" s="60">
        <f>IFERROR(SUMIFS(الرواتب_بدل_النقل,الرواتب_الرقم,$A113)+SUMIFS(الرواتب_بدل_السكن,الرواتب_الرقم,$A113)+SUMIFS(الرواتب_بدلات_اخرى,الرواتب_الرقم,$A113),"")</f>
        <v/>
      </c>
      <c r="E113" s="60">
        <f>IFERROR(SUMIFS(الرواتب_المكافآت,الرواتب_الرقم,$A113),"")</f>
        <v/>
      </c>
      <c r="F113" s="60">
        <f>IFERROR(SUMIFS(الرواتب_الاضافي,الرواتب_الرقم,$A113),"")</f>
        <v/>
      </c>
      <c r="G113" s="60">
        <f>IFERROR(SUMIFS(الرواتب_الخصومات,الرواتب_الرقم,$A113),"")</f>
        <v/>
      </c>
      <c r="H113" s="60">
        <f>IFERROR(SUMIFS(الرواتب_الصافي,الرواتب_الرقم,$A113),"")</f>
        <v/>
      </c>
      <c r="I113" s="44">
        <f>IFERROR(COUNTIFS(الرواتب_الرقم,$A113),"")</f>
        <v/>
      </c>
    </row>
    <row r="114">
      <c r="A114" s="50">
        <f>IFERROR(INDEX(الموظفون_الرقم,108),"")</f>
        <v/>
      </c>
      <c r="B114" s="50">
        <f>IFERROR(INDEX(الموظفون_الاسم,108),"")</f>
        <v/>
      </c>
      <c r="C114" s="50">
        <f>IFERROR(INDEX(الموظفون_الإدارة,108),"")</f>
        <v/>
      </c>
      <c r="D114" s="63">
        <f>IFERROR(SUMIFS(الرواتب_بدل_النقل,الرواتب_الرقم,$A114)+SUMIFS(الرواتب_بدل_السكن,الرواتب_الرقم,$A114)+SUMIFS(الرواتب_بدلات_اخرى,الرواتب_الرقم,$A114),"")</f>
        <v/>
      </c>
      <c r="E114" s="63">
        <f>IFERROR(SUMIFS(الرواتب_المكافآت,الرواتب_الرقم,$A114),"")</f>
        <v/>
      </c>
      <c r="F114" s="63">
        <f>IFERROR(SUMIFS(الرواتب_الاضافي,الرواتب_الرقم,$A114),"")</f>
        <v/>
      </c>
      <c r="G114" s="63">
        <f>IFERROR(SUMIFS(الرواتب_الخصومات,الرواتب_الرقم,$A114),"")</f>
        <v/>
      </c>
      <c r="H114" s="63">
        <f>IFERROR(SUMIFS(الرواتب_الصافي,الرواتب_الرقم,$A114),"")</f>
        <v/>
      </c>
      <c r="I114" s="51">
        <f>IFERROR(COUNTIFS(الرواتب_الرقم,$A114),"")</f>
        <v/>
      </c>
    </row>
    <row r="115">
      <c r="A115" s="43">
        <f>IFERROR(INDEX(الموظفون_الرقم,109),"")</f>
        <v/>
      </c>
      <c r="B115" s="43">
        <f>IFERROR(INDEX(الموظفون_الاسم,109),"")</f>
        <v/>
      </c>
      <c r="C115" s="43">
        <f>IFERROR(INDEX(الموظفون_الإدارة,109),"")</f>
        <v/>
      </c>
      <c r="D115" s="60">
        <f>IFERROR(SUMIFS(الرواتب_بدل_النقل,الرواتب_الرقم,$A115)+SUMIFS(الرواتب_بدل_السكن,الرواتب_الرقم,$A115)+SUMIFS(الرواتب_بدلات_اخرى,الرواتب_الرقم,$A115),"")</f>
        <v/>
      </c>
      <c r="E115" s="60">
        <f>IFERROR(SUMIFS(الرواتب_المكافآت,الرواتب_الرقم,$A115),"")</f>
        <v/>
      </c>
      <c r="F115" s="60">
        <f>IFERROR(SUMIFS(الرواتب_الاضافي,الرواتب_الرقم,$A115),"")</f>
        <v/>
      </c>
      <c r="G115" s="60">
        <f>IFERROR(SUMIFS(الرواتب_الخصومات,الرواتب_الرقم,$A115),"")</f>
        <v/>
      </c>
      <c r="H115" s="60">
        <f>IFERROR(SUMIFS(الرواتب_الصافي,الرواتب_الرقم,$A115),"")</f>
        <v/>
      </c>
      <c r="I115" s="44">
        <f>IFERROR(COUNTIFS(الرواتب_الرقم,$A115),"")</f>
        <v/>
      </c>
    </row>
    <row r="116">
      <c r="A116" s="50">
        <f>IFERROR(INDEX(الموظفون_الرقم,110),"")</f>
        <v/>
      </c>
      <c r="B116" s="50">
        <f>IFERROR(INDEX(الموظفون_الاسم,110),"")</f>
        <v/>
      </c>
      <c r="C116" s="50">
        <f>IFERROR(INDEX(الموظفون_الإدارة,110),"")</f>
        <v/>
      </c>
      <c r="D116" s="63">
        <f>IFERROR(SUMIFS(الرواتب_بدل_النقل,الرواتب_الرقم,$A116)+SUMIFS(الرواتب_بدل_السكن,الرواتب_الرقم,$A116)+SUMIFS(الرواتب_بدلات_اخرى,الرواتب_الرقم,$A116),"")</f>
        <v/>
      </c>
      <c r="E116" s="63">
        <f>IFERROR(SUMIFS(الرواتب_المكافآت,الرواتب_الرقم,$A116),"")</f>
        <v/>
      </c>
      <c r="F116" s="63">
        <f>IFERROR(SUMIFS(الرواتب_الاضافي,الرواتب_الرقم,$A116),"")</f>
        <v/>
      </c>
      <c r="G116" s="63">
        <f>IFERROR(SUMIFS(الرواتب_الخصومات,الرواتب_الرقم,$A116),"")</f>
        <v/>
      </c>
      <c r="H116" s="63">
        <f>IFERROR(SUMIFS(الرواتب_الصافي,الرواتب_الرقم,$A116),"")</f>
        <v/>
      </c>
      <c r="I116" s="51">
        <f>IFERROR(COUNTIFS(الرواتب_الرقم,$A116),"")</f>
        <v/>
      </c>
    </row>
    <row r="117">
      <c r="A117" s="43">
        <f>IFERROR(INDEX(الموظفون_الرقم,111),"")</f>
        <v/>
      </c>
      <c r="B117" s="43">
        <f>IFERROR(INDEX(الموظفون_الاسم,111),"")</f>
        <v/>
      </c>
      <c r="C117" s="43">
        <f>IFERROR(INDEX(الموظفون_الإدارة,111),"")</f>
        <v/>
      </c>
      <c r="D117" s="60">
        <f>IFERROR(SUMIFS(الرواتب_بدل_النقل,الرواتب_الرقم,$A117)+SUMIFS(الرواتب_بدل_السكن,الرواتب_الرقم,$A117)+SUMIFS(الرواتب_بدلات_اخرى,الرواتب_الرقم,$A117),"")</f>
        <v/>
      </c>
      <c r="E117" s="60">
        <f>IFERROR(SUMIFS(الرواتب_المكافآت,الرواتب_الرقم,$A117),"")</f>
        <v/>
      </c>
      <c r="F117" s="60">
        <f>IFERROR(SUMIFS(الرواتب_الاضافي,الرواتب_الرقم,$A117),"")</f>
        <v/>
      </c>
      <c r="G117" s="60">
        <f>IFERROR(SUMIFS(الرواتب_الخصومات,الرواتب_الرقم,$A117),"")</f>
        <v/>
      </c>
      <c r="H117" s="60">
        <f>IFERROR(SUMIFS(الرواتب_الصافي,الرواتب_الرقم,$A117),"")</f>
        <v/>
      </c>
      <c r="I117" s="44">
        <f>IFERROR(COUNTIFS(الرواتب_الرقم,$A117),"")</f>
        <v/>
      </c>
    </row>
    <row r="118">
      <c r="A118" s="50">
        <f>IFERROR(INDEX(الموظفون_الرقم,112),"")</f>
        <v/>
      </c>
      <c r="B118" s="50">
        <f>IFERROR(INDEX(الموظفون_الاسم,112),"")</f>
        <v/>
      </c>
      <c r="C118" s="50">
        <f>IFERROR(INDEX(الموظفون_الإدارة,112),"")</f>
        <v/>
      </c>
      <c r="D118" s="63">
        <f>IFERROR(SUMIFS(الرواتب_بدل_النقل,الرواتب_الرقم,$A118)+SUMIFS(الرواتب_بدل_السكن,الرواتب_الرقم,$A118)+SUMIFS(الرواتب_بدلات_اخرى,الرواتب_الرقم,$A118),"")</f>
        <v/>
      </c>
      <c r="E118" s="63">
        <f>IFERROR(SUMIFS(الرواتب_المكافآت,الرواتب_الرقم,$A118),"")</f>
        <v/>
      </c>
      <c r="F118" s="63">
        <f>IFERROR(SUMIFS(الرواتب_الاضافي,الرواتب_الرقم,$A118),"")</f>
        <v/>
      </c>
      <c r="G118" s="63">
        <f>IFERROR(SUMIFS(الرواتب_الخصومات,الرواتب_الرقم,$A118),"")</f>
        <v/>
      </c>
      <c r="H118" s="63">
        <f>IFERROR(SUMIFS(الرواتب_الصافي,الرواتب_الرقم,$A118),"")</f>
        <v/>
      </c>
      <c r="I118" s="51">
        <f>IFERROR(COUNTIFS(الرواتب_الرقم,$A118),"")</f>
        <v/>
      </c>
    </row>
    <row r="119">
      <c r="A119" s="43">
        <f>IFERROR(INDEX(الموظفون_الرقم,113),"")</f>
        <v/>
      </c>
      <c r="B119" s="43">
        <f>IFERROR(INDEX(الموظفون_الاسم,113),"")</f>
        <v/>
      </c>
      <c r="C119" s="43">
        <f>IFERROR(INDEX(الموظفون_الإدارة,113),"")</f>
        <v/>
      </c>
      <c r="D119" s="60">
        <f>IFERROR(SUMIFS(الرواتب_بدل_النقل,الرواتب_الرقم,$A119)+SUMIFS(الرواتب_بدل_السكن,الرواتب_الرقم,$A119)+SUMIFS(الرواتب_بدلات_اخرى,الرواتب_الرقم,$A119),"")</f>
        <v/>
      </c>
      <c r="E119" s="60">
        <f>IFERROR(SUMIFS(الرواتب_المكافآت,الرواتب_الرقم,$A119),"")</f>
        <v/>
      </c>
      <c r="F119" s="60">
        <f>IFERROR(SUMIFS(الرواتب_الاضافي,الرواتب_الرقم,$A119),"")</f>
        <v/>
      </c>
      <c r="G119" s="60">
        <f>IFERROR(SUMIFS(الرواتب_الخصومات,الرواتب_الرقم,$A119),"")</f>
        <v/>
      </c>
      <c r="H119" s="60">
        <f>IFERROR(SUMIFS(الرواتب_الصافي,الرواتب_الرقم,$A119),"")</f>
        <v/>
      </c>
      <c r="I119" s="44">
        <f>IFERROR(COUNTIFS(الرواتب_الرقم,$A119),"")</f>
        <v/>
      </c>
    </row>
    <row r="120">
      <c r="A120" s="50">
        <f>IFERROR(INDEX(الموظفون_الرقم,114),"")</f>
        <v/>
      </c>
      <c r="B120" s="50">
        <f>IFERROR(INDEX(الموظفون_الاسم,114),"")</f>
        <v/>
      </c>
      <c r="C120" s="50">
        <f>IFERROR(INDEX(الموظفون_الإدارة,114),"")</f>
        <v/>
      </c>
      <c r="D120" s="63">
        <f>IFERROR(SUMIFS(الرواتب_بدل_النقل,الرواتب_الرقم,$A120)+SUMIFS(الرواتب_بدل_السكن,الرواتب_الرقم,$A120)+SUMIFS(الرواتب_بدلات_اخرى,الرواتب_الرقم,$A120),"")</f>
        <v/>
      </c>
      <c r="E120" s="63">
        <f>IFERROR(SUMIFS(الرواتب_المكافآت,الرواتب_الرقم,$A120),"")</f>
        <v/>
      </c>
      <c r="F120" s="63">
        <f>IFERROR(SUMIFS(الرواتب_الاضافي,الرواتب_الرقم,$A120),"")</f>
        <v/>
      </c>
      <c r="G120" s="63">
        <f>IFERROR(SUMIFS(الرواتب_الخصومات,الرواتب_الرقم,$A120),"")</f>
        <v/>
      </c>
      <c r="H120" s="63">
        <f>IFERROR(SUMIFS(الرواتب_الصافي,الرواتب_الرقم,$A120),"")</f>
        <v/>
      </c>
      <c r="I120" s="51">
        <f>IFERROR(COUNTIFS(الرواتب_الرقم,$A120),"")</f>
        <v/>
      </c>
    </row>
    <row r="121">
      <c r="A121" s="43">
        <f>IFERROR(INDEX(الموظفون_الرقم,115),"")</f>
        <v/>
      </c>
      <c r="B121" s="43">
        <f>IFERROR(INDEX(الموظفون_الاسم,115),"")</f>
        <v/>
      </c>
      <c r="C121" s="43">
        <f>IFERROR(INDEX(الموظفون_الإدارة,115),"")</f>
        <v/>
      </c>
      <c r="D121" s="60">
        <f>IFERROR(SUMIFS(الرواتب_بدل_النقل,الرواتب_الرقم,$A121)+SUMIFS(الرواتب_بدل_السكن,الرواتب_الرقم,$A121)+SUMIFS(الرواتب_بدلات_اخرى,الرواتب_الرقم,$A121),"")</f>
        <v/>
      </c>
      <c r="E121" s="60">
        <f>IFERROR(SUMIFS(الرواتب_المكافآت,الرواتب_الرقم,$A121),"")</f>
        <v/>
      </c>
      <c r="F121" s="60">
        <f>IFERROR(SUMIFS(الرواتب_الاضافي,الرواتب_الرقم,$A121),"")</f>
        <v/>
      </c>
      <c r="G121" s="60">
        <f>IFERROR(SUMIFS(الرواتب_الخصومات,الرواتب_الرقم,$A121),"")</f>
        <v/>
      </c>
      <c r="H121" s="60">
        <f>IFERROR(SUMIFS(الرواتب_الصافي,الرواتب_الرقم,$A121),"")</f>
        <v/>
      </c>
      <c r="I121" s="44">
        <f>IFERROR(COUNTIFS(الرواتب_الرقم,$A121),"")</f>
        <v/>
      </c>
    </row>
    <row r="122">
      <c r="A122" s="50">
        <f>IFERROR(INDEX(الموظفون_الرقم,116),"")</f>
        <v/>
      </c>
      <c r="B122" s="50">
        <f>IFERROR(INDEX(الموظفون_الاسم,116),"")</f>
        <v/>
      </c>
      <c r="C122" s="50">
        <f>IFERROR(INDEX(الموظفون_الإدارة,116),"")</f>
        <v/>
      </c>
      <c r="D122" s="63">
        <f>IFERROR(SUMIFS(الرواتب_بدل_النقل,الرواتب_الرقم,$A122)+SUMIFS(الرواتب_بدل_السكن,الرواتب_الرقم,$A122)+SUMIFS(الرواتب_بدلات_اخرى,الرواتب_الرقم,$A122),"")</f>
        <v/>
      </c>
      <c r="E122" s="63">
        <f>IFERROR(SUMIFS(الرواتب_المكافآت,الرواتب_الرقم,$A122),"")</f>
        <v/>
      </c>
      <c r="F122" s="63">
        <f>IFERROR(SUMIFS(الرواتب_الاضافي,الرواتب_الرقم,$A122),"")</f>
        <v/>
      </c>
      <c r="G122" s="63">
        <f>IFERROR(SUMIFS(الرواتب_الخصومات,الرواتب_الرقم,$A122),"")</f>
        <v/>
      </c>
      <c r="H122" s="63">
        <f>IFERROR(SUMIFS(الرواتب_الصافي,الرواتب_الرقم,$A122),"")</f>
        <v/>
      </c>
      <c r="I122" s="51">
        <f>IFERROR(COUNTIFS(الرواتب_الرقم,$A122),"")</f>
        <v/>
      </c>
    </row>
    <row r="123">
      <c r="A123" s="43">
        <f>IFERROR(INDEX(الموظفون_الرقم,117),"")</f>
        <v/>
      </c>
      <c r="B123" s="43">
        <f>IFERROR(INDEX(الموظفون_الاسم,117),"")</f>
        <v/>
      </c>
      <c r="C123" s="43">
        <f>IFERROR(INDEX(الموظفون_الإدارة,117),"")</f>
        <v/>
      </c>
      <c r="D123" s="60">
        <f>IFERROR(SUMIFS(الرواتب_بدل_النقل,الرواتب_الرقم,$A123)+SUMIFS(الرواتب_بدل_السكن,الرواتب_الرقم,$A123)+SUMIFS(الرواتب_بدلات_اخرى,الرواتب_الرقم,$A123),"")</f>
        <v/>
      </c>
      <c r="E123" s="60">
        <f>IFERROR(SUMIFS(الرواتب_المكافآت,الرواتب_الرقم,$A123),"")</f>
        <v/>
      </c>
      <c r="F123" s="60">
        <f>IFERROR(SUMIFS(الرواتب_الاضافي,الرواتب_الرقم,$A123),"")</f>
        <v/>
      </c>
      <c r="G123" s="60">
        <f>IFERROR(SUMIFS(الرواتب_الخصومات,الرواتب_الرقم,$A123),"")</f>
        <v/>
      </c>
      <c r="H123" s="60">
        <f>IFERROR(SUMIFS(الرواتب_الصافي,الرواتب_الرقم,$A123),"")</f>
        <v/>
      </c>
      <c r="I123" s="44">
        <f>IFERROR(COUNTIFS(الرواتب_الرقم,$A123),"")</f>
        <v/>
      </c>
    </row>
    <row r="124">
      <c r="A124" s="50">
        <f>IFERROR(INDEX(الموظفون_الرقم,118),"")</f>
        <v/>
      </c>
      <c r="B124" s="50">
        <f>IFERROR(INDEX(الموظفون_الاسم,118),"")</f>
        <v/>
      </c>
      <c r="C124" s="50">
        <f>IFERROR(INDEX(الموظفون_الإدارة,118),"")</f>
        <v/>
      </c>
      <c r="D124" s="63">
        <f>IFERROR(SUMIFS(الرواتب_بدل_النقل,الرواتب_الرقم,$A124)+SUMIFS(الرواتب_بدل_السكن,الرواتب_الرقم,$A124)+SUMIFS(الرواتب_بدلات_اخرى,الرواتب_الرقم,$A124),"")</f>
        <v/>
      </c>
      <c r="E124" s="63">
        <f>IFERROR(SUMIFS(الرواتب_المكافآت,الرواتب_الرقم,$A124),"")</f>
        <v/>
      </c>
      <c r="F124" s="63">
        <f>IFERROR(SUMIFS(الرواتب_الاضافي,الرواتب_الرقم,$A124),"")</f>
        <v/>
      </c>
      <c r="G124" s="63">
        <f>IFERROR(SUMIFS(الرواتب_الخصومات,الرواتب_الرقم,$A124),"")</f>
        <v/>
      </c>
      <c r="H124" s="63">
        <f>IFERROR(SUMIFS(الرواتب_الصافي,الرواتب_الرقم,$A124),"")</f>
        <v/>
      </c>
      <c r="I124" s="51">
        <f>IFERROR(COUNTIFS(الرواتب_الرقم,$A124),"")</f>
        <v/>
      </c>
    </row>
    <row r="125">
      <c r="A125" s="43">
        <f>IFERROR(INDEX(الموظفون_الرقم,119),"")</f>
        <v/>
      </c>
      <c r="B125" s="43">
        <f>IFERROR(INDEX(الموظفون_الاسم,119),"")</f>
        <v/>
      </c>
      <c r="C125" s="43">
        <f>IFERROR(INDEX(الموظفون_الإدارة,119),"")</f>
        <v/>
      </c>
      <c r="D125" s="60">
        <f>IFERROR(SUMIFS(الرواتب_بدل_النقل,الرواتب_الرقم,$A125)+SUMIFS(الرواتب_بدل_السكن,الرواتب_الرقم,$A125)+SUMIFS(الرواتب_بدلات_اخرى,الرواتب_الرقم,$A125),"")</f>
        <v/>
      </c>
      <c r="E125" s="60">
        <f>IFERROR(SUMIFS(الرواتب_المكافآت,الرواتب_الرقم,$A125),"")</f>
        <v/>
      </c>
      <c r="F125" s="60">
        <f>IFERROR(SUMIFS(الرواتب_الاضافي,الرواتب_الرقم,$A125),"")</f>
        <v/>
      </c>
      <c r="G125" s="60">
        <f>IFERROR(SUMIFS(الرواتب_الخصومات,الرواتب_الرقم,$A125),"")</f>
        <v/>
      </c>
      <c r="H125" s="60">
        <f>IFERROR(SUMIFS(الرواتب_الصافي,الرواتب_الرقم,$A125),"")</f>
        <v/>
      </c>
      <c r="I125" s="44">
        <f>IFERROR(COUNTIFS(الرواتب_الرقم,$A125),"")</f>
        <v/>
      </c>
    </row>
    <row r="126">
      <c r="A126" s="50">
        <f>IFERROR(INDEX(الموظفون_الرقم,120),"")</f>
        <v/>
      </c>
      <c r="B126" s="50">
        <f>IFERROR(INDEX(الموظفون_الاسم,120),"")</f>
        <v/>
      </c>
      <c r="C126" s="50">
        <f>IFERROR(INDEX(الموظفون_الإدارة,120),"")</f>
        <v/>
      </c>
      <c r="D126" s="63">
        <f>IFERROR(SUMIFS(الرواتب_بدل_النقل,الرواتب_الرقم,$A126)+SUMIFS(الرواتب_بدل_السكن,الرواتب_الرقم,$A126)+SUMIFS(الرواتب_بدلات_اخرى,الرواتب_الرقم,$A126),"")</f>
        <v/>
      </c>
      <c r="E126" s="63">
        <f>IFERROR(SUMIFS(الرواتب_المكافآت,الرواتب_الرقم,$A126),"")</f>
        <v/>
      </c>
      <c r="F126" s="63">
        <f>IFERROR(SUMIFS(الرواتب_الاضافي,الرواتب_الرقم,$A126),"")</f>
        <v/>
      </c>
      <c r="G126" s="63">
        <f>IFERROR(SUMIFS(الرواتب_الخصومات,الرواتب_الرقم,$A126),"")</f>
        <v/>
      </c>
      <c r="H126" s="63">
        <f>IFERROR(SUMIFS(الرواتب_الصافي,الرواتب_الرقم,$A126),"")</f>
        <v/>
      </c>
      <c r="I126" s="51">
        <f>IFERROR(COUNTIFS(الرواتب_الرقم,$A126),"")</f>
        <v/>
      </c>
    </row>
    <row r="127">
      <c r="A127" s="43">
        <f>IFERROR(INDEX(الموظفون_الرقم,121),"")</f>
        <v/>
      </c>
      <c r="B127" s="43">
        <f>IFERROR(INDEX(الموظفون_الاسم,121),"")</f>
        <v/>
      </c>
      <c r="C127" s="43">
        <f>IFERROR(INDEX(الموظفون_الإدارة,121),"")</f>
        <v/>
      </c>
      <c r="D127" s="60">
        <f>IFERROR(SUMIFS(الرواتب_بدل_النقل,الرواتب_الرقم,$A127)+SUMIFS(الرواتب_بدل_السكن,الرواتب_الرقم,$A127)+SUMIFS(الرواتب_بدلات_اخرى,الرواتب_الرقم,$A127),"")</f>
        <v/>
      </c>
      <c r="E127" s="60">
        <f>IFERROR(SUMIFS(الرواتب_المكافآت,الرواتب_الرقم,$A127),"")</f>
        <v/>
      </c>
      <c r="F127" s="60">
        <f>IFERROR(SUMIFS(الرواتب_الاضافي,الرواتب_الرقم,$A127),"")</f>
        <v/>
      </c>
      <c r="G127" s="60">
        <f>IFERROR(SUMIFS(الرواتب_الخصومات,الرواتب_الرقم,$A127),"")</f>
        <v/>
      </c>
      <c r="H127" s="60">
        <f>IFERROR(SUMIFS(الرواتب_الصافي,الرواتب_الرقم,$A127),"")</f>
        <v/>
      </c>
      <c r="I127" s="44">
        <f>IFERROR(COUNTIFS(الرواتب_الرقم,$A127),"")</f>
        <v/>
      </c>
    </row>
    <row r="128">
      <c r="A128" s="50">
        <f>IFERROR(INDEX(الموظفون_الرقم,122),"")</f>
        <v/>
      </c>
      <c r="B128" s="50">
        <f>IFERROR(INDEX(الموظفون_الاسم,122),"")</f>
        <v/>
      </c>
      <c r="C128" s="50">
        <f>IFERROR(INDEX(الموظفون_الإدارة,122),"")</f>
        <v/>
      </c>
      <c r="D128" s="63">
        <f>IFERROR(SUMIFS(الرواتب_بدل_النقل,الرواتب_الرقم,$A128)+SUMIFS(الرواتب_بدل_السكن,الرواتب_الرقم,$A128)+SUMIFS(الرواتب_بدلات_اخرى,الرواتب_الرقم,$A128),"")</f>
        <v/>
      </c>
      <c r="E128" s="63">
        <f>IFERROR(SUMIFS(الرواتب_المكافآت,الرواتب_الرقم,$A128),"")</f>
        <v/>
      </c>
      <c r="F128" s="63">
        <f>IFERROR(SUMIFS(الرواتب_الاضافي,الرواتب_الرقم,$A128),"")</f>
        <v/>
      </c>
      <c r="G128" s="63">
        <f>IFERROR(SUMIFS(الرواتب_الخصومات,الرواتب_الرقم,$A128),"")</f>
        <v/>
      </c>
      <c r="H128" s="63">
        <f>IFERROR(SUMIFS(الرواتب_الصافي,الرواتب_الرقم,$A128),"")</f>
        <v/>
      </c>
      <c r="I128" s="51">
        <f>IFERROR(COUNTIFS(الرواتب_الرقم,$A128),"")</f>
        <v/>
      </c>
    </row>
    <row r="129">
      <c r="A129" s="43">
        <f>IFERROR(INDEX(الموظفون_الرقم,123),"")</f>
        <v/>
      </c>
      <c r="B129" s="43">
        <f>IFERROR(INDEX(الموظفون_الاسم,123),"")</f>
        <v/>
      </c>
      <c r="C129" s="43">
        <f>IFERROR(INDEX(الموظفون_الإدارة,123),"")</f>
        <v/>
      </c>
      <c r="D129" s="60">
        <f>IFERROR(SUMIFS(الرواتب_بدل_النقل,الرواتب_الرقم,$A129)+SUMIFS(الرواتب_بدل_السكن,الرواتب_الرقم,$A129)+SUMIFS(الرواتب_بدلات_اخرى,الرواتب_الرقم,$A129),"")</f>
        <v/>
      </c>
      <c r="E129" s="60">
        <f>IFERROR(SUMIFS(الرواتب_المكافآت,الرواتب_الرقم,$A129),"")</f>
        <v/>
      </c>
      <c r="F129" s="60">
        <f>IFERROR(SUMIFS(الرواتب_الاضافي,الرواتب_الرقم,$A129),"")</f>
        <v/>
      </c>
      <c r="G129" s="60">
        <f>IFERROR(SUMIFS(الرواتب_الخصومات,الرواتب_الرقم,$A129),"")</f>
        <v/>
      </c>
      <c r="H129" s="60">
        <f>IFERROR(SUMIFS(الرواتب_الصافي,الرواتب_الرقم,$A129),"")</f>
        <v/>
      </c>
      <c r="I129" s="44">
        <f>IFERROR(COUNTIFS(الرواتب_الرقم,$A129),"")</f>
        <v/>
      </c>
    </row>
    <row r="130">
      <c r="A130" s="50">
        <f>IFERROR(INDEX(الموظفون_الرقم,124),"")</f>
        <v/>
      </c>
      <c r="B130" s="50">
        <f>IFERROR(INDEX(الموظفون_الاسم,124),"")</f>
        <v/>
      </c>
      <c r="C130" s="50">
        <f>IFERROR(INDEX(الموظفون_الإدارة,124),"")</f>
        <v/>
      </c>
      <c r="D130" s="63">
        <f>IFERROR(SUMIFS(الرواتب_بدل_النقل,الرواتب_الرقم,$A130)+SUMIFS(الرواتب_بدل_السكن,الرواتب_الرقم,$A130)+SUMIFS(الرواتب_بدلات_اخرى,الرواتب_الرقم,$A130),"")</f>
        <v/>
      </c>
      <c r="E130" s="63">
        <f>IFERROR(SUMIFS(الرواتب_المكافآت,الرواتب_الرقم,$A130),"")</f>
        <v/>
      </c>
      <c r="F130" s="63">
        <f>IFERROR(SUMIFS(الرواتب_الاضافي,الرواتب_الرقم,$A130),"")</f>
        <v/>
      </c>
      <c r="G130" s="63">
        <f>IFERROR(SUMIFS(الرواتب_الخصومات,الرواتب_الرقم,$A130),"")</f>
        <v/>
      </c>
      <c r="H130" s="63">
        <f>IFERROR(SUMIFS(الرواتب_الصافي,الرواتب_الرقم,$A130),"")</f>
        <v/>
      </c>
      <c r="I130" s="51">
        <f>IFERROR(COUNTIFS(الرواتب_الرقم,$A130),"")</f>
        <v/>
      </c>
    </row>
    <row r="131">
      <c r="A131" s="43">
        <f>IFERROR(INDEX(الموظفون_الرقم,125),"")</f>
        <v/>
      </c>
      <c r="B131" s="43">
        <f>IFERROR(INDEX(الموظفون_الاسم,125),"")</f>
        <v/>
      </c>
      <c r="C131" s="43">
        <f>IFERROR(INDEX(الموظفون_الإدارة,125),"")</f>
        <v/>
      </c>
      <c r="D131" s="60">
        <f>IFERROR(SUMIFS(الرواتب_بدل_النقل,الرواتب_الرقم,$A131)+SUMIFS(الرواتب_بدل_السكن,الرواتب_الرقم,$A131)+SUMIFS(الرواتب_بدلات_اخرى,الرواتب_الرقم,$A131),"")</f>
        <v/>
      </c>
      <c r="E131" s="60">
        <f>IFERROR(SUMIFS(الرواتب_المكافآت,الرواتب_الرقم,$A131),"")</f>
        <v/>
      </c>
      <c r="F131" s="60">
        <f>IFERROR(SUMIFS(الرواتب_الاضافي,الرواتب_الرقم,$A131),"")</f>
        <v/>
      </c>
      <c r="G131" s="60">
        <f>IFERROR(SUMIFS(الرواتب_الخصومات,الرواتب_الرقم,$A131),"")</f>
        <v/>
      </c>
      <c r="H131" s="60">
        <f>IFERROR(SUMIFS(الرواتب_الصافي,الرواتب_الرقم,$A131),"")</f>
        <v/>
      </c>
      <c r="I131" s="44">
        <f>IFERROR(COUNTIFS(الرواتب_الرقم,$A131),"")</f>
        <v/>
      </c>
    </row>
    <row r="132">
      <c r="A132" s="50">
        <f>IFERROR(INDEX(الموظفون_الرقم,126),"")</f>
        <v/>
      </c>
      <c r="B132" s="50">
        <f>IFERROR(INDEX(الموظفون_الاسم,126),"")</f>
        <v/>
      </c>
      <c r="C132" s="50">
        <f>IFERROR(INDEX(الموظفون_الإدارة,126),"")</f>
        <v/>
      </c>
      <c r="D132" s="63">
        <f>IFERROR(SUMIFS(الرواتب_بدل_النقل,الرواتب_الرقم,$A132)+SUMIFS(الرواتب_بدل_السكن,الرواتب_الرقم,$A132)+SUMIFS(الرواتب_بدلات_اخرى,الرواتب_الرقم,$A132),"")</f>
        <v/>
      </c>
      <c r="E132" s="63">
        <f>IFERROR(SUMIFS(الرواتب_المكافآت,الرواتب_الرقم,$A132),"")</f>
        <v/>
      </c>
      <c r="F132" s="63">
        <f>IFERROR(SUMIFS(الرواتب_الاضافي,الرواتب_الرقم,$A132),"")</f>
        <v/>
      </c>
      <c r="G132" s="63">
        <f>IFERROR(SUMIFS(الرواتب_الخصومات,الرواتب_الرقم,$A132),"")</f>
        <v/>
      </c>
      <c r="H132" s="63">
        <f>IFERROR(SUMIFS(الرواتب_الصافي,الرواتب_الرقم,$A132),"")</f>
        <v/>
      </c>
      <c r="I132" s="51">
        <f>IFERROR(COUNTIFS(الرواتب_الرقم,$A132),"")</f>
        <v/>
      </c>
    </row>
    <row r="133">
      <c r="A133" s="43">
        <f>IFERROR(INDEX(الموظفون_الرقم,127),"")</f>
        <v/>
      </c>
      <c r="B133" s="43">
        <f>IFERROR(INDEX(الموظفون_الاسم,127),"")</f>
        <v/>
      </c>
      <c r="C133" s="43">
        <f>IFERROR(INDEX(الموظفون_الإدارة,127),"")</f>
        <v/>
      </c>
      <c r="D133" s="60">
        <f>IFERROR(SUMIFS(الرواتب_بدل_النقل,الرواتب_الرقم,$A133)+SUMIFS(الرواتب_بدل_السكن,الرواتب_الرقم,$A133)+SUMIFS(الرواتب_بدلات_اخرى,الرواتب_الرقم,$A133),"")</f>
        <v/>
      </c>
      <c r="E133" s="60">
        <f>IFERROR(SUMIFS(الرواتب_المكافآت,الرواتب_الرقم,$A133),"")</f>
        <v/>
      </c>
      <c r="F133" s="60">
        <f>IFERROR(SUMIFS(الرواتب_الاضافي,الرواتب_الرقم,$A133),"")</f>
        <v/>
      </c>
      <c r="G133" s="60">
        <f>IFERROR(SUMIFS(الرواتب_الخصومات,الرواتب_الرقم,$A133),"")</f>
        <v/>
      </c>
      <c r="H133" s="60">
        <f>IFERROR(SUMIFS(الرواتب_الصافي,الرواتب_الرقم,$A133),"")</f>
        <v/>
      </c>
      <c r="I133" s="44">
        <f>IFERROR(COUNTIFS(الرواتب_الرقم,$A133),"")</f>
        <v/>
      </c>
    </row>
    <row r="134">
      <c r="A134" s="50">
        <f>IFERROR(INDEX(الموظفون_الرقم,128),"")</f>
        <v/>
      </c>
      <c r="B134" s="50">
        <f>IFERROR(INDEX(الموظفون_الاسم,128),"")</f>
        <v/>
      </c>
      <c r="C134" s="50">
        <f>IFERROR(INDEX(الموظفون_الإدارة,128),"")</f>
        <v/>
      </c>
      <c r="D134" s="63">
        <f>IFERROR(SUMIFS(الرواتب_بدل_النقل,الرواتب_الرقم,$A134)+SUMIFS(الرواتب_بدل_السكن,الرواتب_الرقم,$A134)+SUMIFS(الرواتب_بدلات_اخرى,الرواتب_الرقم,$A134),"")</f>
        <v/>
      </c>
      <c r="E134" s="63">
        <f>IFERROR(SUMIFS(الرواتب_المكافآت,الرواتب_الرقم,$A134),"")</f>
        <v/>
      </c>
      <c r="F134" s="63">
        <f>IFERROR(SUMIFS(الرواتب_الاضافي,الرواتب_الرقم,$A134),"")</f>
        <v/>
      </c>
      <c r="G134" s="63">
        <f>IFERROR(SUMIFS(الرواتب_الخصومات,الرواتب_الرقم,$A134),"")</f>
        <v/>
      </c>
      <c r="H134" s="63">
        <f>IFERROR(SUMIFS(الرواتب_الصافي,الرواتب_الرقم,$A134),"")</f>
        <v/>
      </c>
      <c r="I134" s="51">
        <f>IFERROR(COUNTIFS(الرواتب_الرقم,$A134),"")</f>
        <v/>
      </c>
    </row>
    <row r="135">
      <c r="A135" s="43">
        <f>IFERROR(INDEX(الموظفون_الرقم,129),"")</f>
        <v/>
      </c>
      <c r="B135" s="43">
        <f>IFERROR(INDEX(الموظفون_الاسم,129),"")</f>
        <v/>
      </c>
      <c r="C135" s="43">
        <f>IFERROR(INDEX(الموظفون_الإدارة,129),"")</f>
        <v/>
      </c>
      <c r="D135" s="60">
        <f>IFERROR(SUMIFS(الرواتب_بدل_النقل,الرواتب_الرقم,$A135)+SUMIFS(الرواتب_بدل_السكن,الرواتب_الرقم,$A135)+SUMIFS(الرواتب_بدلات_اخرى,الرواتب_الرقم,$A135),"")</f>
        <v/>
      </c>
      <c r="E135" s="60">
        <f>IFERROR(SUMIFS(الرواتب_المكافآت,الرواتب_الرقم,$A135),"")</f>
        <v/>
      </c>
      <c r="F135" s="60">
        <f>IFERROR(SUMIFS(الرواتب_الاضافي,الرواتب_الرقم,$A135),"")</f>
        <v/>
      </c>
      <c r="G135" s="60">
        <f>IFERROR(SUMIFS(الرواتب_الخصومات,الرواتب_الرقم,$A135),"")</f>
        <v/>
      </c>
      <c r="H135" s="60">
        <f>IFERROR(SUMIFS(الرواتب_الصافي,الرواتب_الرقم,$A135),"")</f>
        <v/>
      </c>
      <c r="I135" s="44">
        <f>IFERROR(COUNTIFS(الرواتب_الرقم,$A135),"")</f>
        <v/>
      </c>
    </row>
    <row r="136">
      <c r="A136" s="50">
        <f>IFERROR(INDEX(الموظفون_الرقم,130),"")</f>
        <v/>
      </c>
      <c r="B136" s="50">
        <f>IFERROR(INDEX(الموظفون_الاسم,130),"")</f>
        <v/>
      </c>
      <c r="C136" s="50">
        <f>IFERROR(INDEX(الموظفون_الإدارة,130),"")</f>
        <v/>
      </c>
      <c r="D136" s="63">
        <f>IFERROR(SUMIFS(الرواتب_بدل_النقل,الرواتب_الرقم,$A136)+SUMIFS(الرواتب_بدل_السكن,الرواتب_الرقم,$A136)+SUMIFS(الرواتب_بدلات_اخرى,الرواتب_الرقم,$A136),"")</f>
        <v/>
      </c>
      <c r="E136" s="63">
        <f>IFERROR(SUMIFS(الرواتب_المكافآت,الرواتب_الرقم,$A136),"")</f>
        <v/>
      </c>
      <c r="F136" s="63">
        <f>IFERROR(SUMIFS(الرواتب_الاضافي,الرواتب_الرقم,$A136),"")</f>
        <v/>
      </c>
      <c r="G136" s="63">
        <f>IFERROR(SUMIFS(الرواتب_الخصومات,الرواتب_الرقم,$A136),"")</f>
        <v/>
      </c>
      <c r="H136" s="63">
        <f>IFERROR(SUMIFS(الرواتب_الصافي,الرواتب_الرقم,$A136),"")</f>
        <v/>
      </c>
      <c r="I136" s="51">
        <f>IFERROR(COUNTIFS(الرواتب_الرقم,$A136),"")</f>
        <v/>
      </c>
    </row>
    <row r="137">
      <c r="A137" s="43">
        <f>IFERROR(INDEX(الموظفون_الرقم,131),"")</f>
        <v/>
      </c>
      <c r="B137" s="43">
        <f>IFERROR(INDEX(الموظفون_الاسم,131),"")</f>
        <v/>
      </c>
      <c r="C137" s="43">
        <f>IFERROR(INDEX(الموظفون_الإدارة,131),"")</f>
        <v/>
      </c>
      <c r="D137" s="60">
        <f>IFERROR(SUMIFS(الرواتب_بدل_النقل,الرواتب_الرقم,$A137)+SUMIFS(الرواتب_بدل_السكن,الرواتب_الرقم,$A137)+SUMIFS(الرواتب_بدلات_اخرى,الرواتب_الرقم,$A137),"")</f>
        <v/>
      </c>
      <c r="E137" s="60">
        <f>IFERROR(SUMIFS(الرواتب_المكافآت,الرواتب_الرقم,$A137),"")</f>
        <v/>
      </c>
      <c r="F137" s="60">
        <f>IFERROR(SUMIFS(الرواتب_الاضافي,الرواتب_الرقم,$A137),"")</f>
        <v/>
      </c>
      <c r="G137" s="60">
        <f>IFERROR(SUMIFS(الرواتب_الخصومات,الرواتب_الرقم,$A137),"")</f>
        <v/>
      </c>
      <c r="H137" s="60">
        <f>IFERROR(SUMIFS(الرواتب_الصافي,الرواتب_الرقم,$A137),"")</f>
        <v/>
      </c>
      <c r="I137" s="44">
        <f>IFERROR(COUNTIFS(الرواتب_الرقم,$A137),"")</f>
        <v/>
      </c>
    </row>
    <row r="138">
      <c r="A138" s="50">
        <f>IFERROR(INDEX(الموظفون_الرقم,132),"")</f>
        <v/>
      </c>
      <c r="B138" s="50">
        <f>IFERROR(INDEX(الموظفون_الاسم,132),"")</f>
        <v/>
      </c>
      <c r="C138" s="50">
        <f>IFERROR(INDEX(الموظفون_الإدارة,132),"")</f>
        <v/>
      </c>
      <c r="D138" s="63">
        <f>IFERROR(SUMIFS(الرواتب_بدل_النقل,الرواتب_الرقم,$A138)+SUMIFS(الرواتب_بدل_السكن,الرواتب_الرقم,$A138)+SUMIFS(الرواتب_بدلات_اخرى,الرواتب_الرقم,$A138),"")</f>
        <v/>
      </c>
      <c r="E138" s="63">
        <f>IFERROR(SUMIFS(الرواتب_المكافآت,الرواتب_الرقم,$A138),"")</f>
        <v/>
      </c>
      <c r="F138" s="63">
        <f>IFERROR(SUMIFS(الرواتب_الاضافي,الرواتب_الرقم,$A138),"")</f>
        <v/>
      </c>
      <c r="G138" s="63">
        <f>IFERROR(SUMIFS(الرواتب_الخصومات,الرواتب_الرقم,$A138),"")</f>
        <v/>
      </c>
      <c r="H138" s="63">
        <f>IFERROR(SUMIFS(الرواتب_الصافي,الرواتب_الرقم,$A138),"")</f>
        <v/>
      </c>
      <c r="I138" s="51">
        <f>IFERROR(COUNTIFS(الرواتب_الرقم,$A138),"")</f>
        <v/>
      </c>
    </row>
    <row r="139">
      <c r="A139" s="43">
        <f>IFERROR(INDEX(الموظفون_الرقم,133),"")</f>
        <v/>
      </c>
      <c r="B139" s="43">
        <f>IFERROR(INDEX(الموظفون_الاسم,133),"")</f>
        <v/>
      </c>
      <c r="C139" s="43">
        <f>IFERROR(INDEX(الموظفون_الإدارة,133),"")</f>
        <v/>
      </c>
      <c r="D139" s="60">
        <f>IFERROR(SUMIFS(الرواتب_بدل_النقل,الرواتب_الرقم,$A139)+SUMIFS(الرواتب_بدل_السكن,الرواتب_الرقم,$A139)+SUMIFS(الرواتب_بدلات_اخرى,الرواتب_الرقم,$A139),"")</f>
        <v/>
      </c>
      <c r="E139" s="60">
        <f>IFERROR(SUMIFS(الرواتب_المكافآت,الرواتب_الرقم,$A139),"")</f>
        <v/>
      </c>
      <c r="F139" s="60">
        <f>IFERROR(SUMIFS(الرواتب_الاضافي,الرواتب_الرقم,$A139),"")</f>
        <v/>
      </c>
      <c r="G139" s="60">
        <f>IFERROR(SUMIFS(الرواتب_الخصومات,الرواتب_الرقم,$A139),"")</f>
        <v/>
      </c>
      <c r="H139" s="60">
        <f>IFERROR(SUMIFS(الرواتب_الصافي,الرواتب_الرقم,$A139),"")</f>
        <v/>
      </c>
      <c r="I139" s="44">
        <f>IFERROR(COUNTIFS(الرواتب_الرقم,$A139),"")</f>
        <v/>
      </c>
    </row>
    <row r="140">
      <c r="A140" s="50">
        <f>IFERROR(INDEX(الموظفون_الرقم,134),"")</f>
        <v/>
      </c>
      <c r="B140" s="50">
        <f>IFERROR(INDEX(الموظفون_الاسم,134),"")</f>
        <v/>
      </c>
      <c r="C140" s="50">
        <f>IFERROR(INDEX(الموظفون_الإدارة,134),"")</f>
        <v/>
      </c>
      <c r="D140" s="63">
        <f>IFERROR(SUMIFS(الرواتب_بدل_النقل,الرواتب_الرقم,$A140)+SUMIFS(الرواتب_بدل_السكن,الرواتب_الرقم,$A140)+SUMIFS(الرواتب_بدلات_اخرى,الرواتب_الرقم,$A140),"")</f>
        <v/>
      </c>
      <c r="E140" s="63">
        <f>IFERROR(SUMIFS(الرواتب_المكافآت,الرواتب_الرقم,$A140),"")</f>
        <v/>
      </c>
      <c r="F140" s="63">
        <f>IFERROR(SUMIFS(الرواتب_الاضافي,الرواتب_الرقم,$A140),"")</f>
        <v/>
      </c>
      <c r="G140" s="63">
        <f>IFERROR(SUMIFS(الرواتب_الخصومات,الرواتب_الرقم,$A140),"")</f>
        <v/>
      </c>
      <c r="H140" s="63">
        <f>IFERROR(SUMIFS(الرواتب_الصافي,الرواتب_الرقم,$A140),"")</f>
        <v/>
      </c>
      <c r="I140" s="51">
        <f>IFERROR(COUNTIFS(الرواتب_الرقم,$A140),"")</f>
        <v/>
      </c>
    </row>
    <row r="141">
      <c r="A141" s="43">
        <f>IFERROR(INDEX(الموظفون_الرقم,135),"")</f>
        <v/>
      </c>
      <c r="B141" s="43">
        <f>IFERROR(INDEX(الموظفون_الاسم,135),"")</f>
        <v/>
      </c>
      <c r="C141" s="43">
        <f>IFERROR(INDEX(الموظفون_الإدارة,135),"")</f>
        <v/>
      </c>
      <c r="D141" s="60">
        <f>IFERROR(SUMIFS(الرواتب_بدل_النقل,الرواتب_الرقم,$A141)+SUMIFS(الرواتب_بدل_السكن,الرواتب_الرقم,$A141)+SUMIFS(الرواتب_بدلات_اخرى,الرواتب_الرقم,$A141),"")</f>
        <v/>
      </c>
      <c r="E141" s="60">
        <f>IFERROR(SUMIFS(الرواتب_المكافآت,الرواتب_الرقم,$A141),"")</f>
        <v/>
      </c>
      <c r="F141" s="60">
        <f>IFERROR(SUMIFS(الرواتب_الاضافي,الرواتب_الرقم,$A141),"")</f>
        <v/>
      </c>
      <c r="G141" s="60">
        <f>IFERROR(SUMIFS(الرواتب_الخصومات,الرواتب_الرقم,$A141),"")</f>
        <v/>
      </c>
      <c r="H141" s="60">
        <f>IFERROR(SUMIFS(الرواتب_الصافي,الرواتب_الرقم,$A141),"")</f>
        <v/>
      </c>
      <c r="I141" s="44">
        <f>IFERROR(COUNTIFS(الرواتب_الرقم,$A141),"")</f>
        <v/>
      </c>
    </row>
    <row r="142">
      <c r="A142" s="50">
        <f>IFERROR(INDEX(الموظفون_الرقم,136),"")</f>
        <v/>
      </c>
      <c r="B142" s="50">
        <f>IFERROR(INDEX(الموظفون_الاسم,136),"")</f>
        <v/>
      </c>
      <c r="C142" s="50">
        <f>IFERROR(INDEX(الموظفون_الإدارة,136),"")</f>
        <v/>
      </c>
      <c r="D142" s="63">
        <f>IFERROR(SUMIFS(الرواتب_بدل_النقل,الرواتب_الرقم,$A142)+SUMIFS(الرواتب_بدل_السكن,الرواتب_الرقم,$A142)+SUMIFS(الرواتب_بدلات_اخرى,الرواتب_الرقم,$A142),"")</f>
        <v/>
      </c>
      <c r="E142" s="63">
        <f>IFERROR(SUMIFS(الرواتب_المكافآت,الرواتب_الرقم,$A142),"")</f>
        <v/>
      </c>
      <c r="F142" s="63">
        <f>IFERROR(SUMIFS(الرواتب_الاضافي,الرواتب_الرقم,$A142),"")</f>
        <v/>
      </c>
      <c r="G142" s="63">
        <f>IFERROR(SUMIFS(الرواتب_الخصومات,الرواتب_الرقم,$A142),"")</f>
        <v/>
      </c>
      <c r="H142" s="63">
        <f>IFERROR(SUMIFS(الرواتب_الصافي,الرواتب_الرقم,$A142),"")</f>
        <v/>
      </c>
      <c r="I142" s="51">
        <f>IFERROR(COUNTIFS(الرواتب_الرقم,$A142),"")</f>
        <v/>
      </c>
    </row>
    <row r="143">
      <c r="A143" s="43">
        <f>IFERROR(INDEX(الموظفون_الرقم,137),"")</f>
        <v/>
      </c>
      <c r="B143" s="43">
        <f>IFERROR(INDEX(الموظفون_الاسم,137),"")</f>
        <v/>
      </c>
      <c r="C143" s="43">
        <f>IFERROR(INDEX(الموظفون_الإدارة,137),"")</f>
        <v/>
      </c>
      <c r="D143" s="60">
        <f>IFERROR(SUMIFS(الرواتب_بدل_النقل,الرواتب_الرقم,$A143)+SUMIFS(الرواتب_بدل_السكن,الرواتب_الرقم,$A143)+SUMIFS(الرواتب_بدلات_اخرى,الرواتب_الرقم,$A143),"")</f>
        <v/>
      </c>
      <c r="E143" s="60">
        <f>IFERROR(SUMIFS(الرواتب_المكافآت,الرواتب_الرقم,$A143),"")</f>
        <v/>
      </c>
      <c r="F143" s="60">
        <f>IFERROR(SUMIFS(الرواتب_الاضافي,الرواتب_الرقم,$A143),"")</f>
        <v/>
      </c>
      <c r="G143" s="60">
        <f>IFERROR(SUMIFS(الرواتب_الخصومات,الرواتب_الرقم,$A143),"")</f>
        <v/>
      </c>
      <c r="H143" s="60">
        <f>IFERROR(SUMIFS(الرواتب_الصافي,الرواتب_الرقم,$A143),"")</f>
        <v/>
      </c>
      <c r="I143" s="44">
        <f>IFERROR(COUNTIFS(الرواتب_الرقم,$A143),"")</f>
        <v/>
      </c>
    </row>
    <row r="144">
      <c r="A144" s="50">
        <f>IFERROR(INDEX(الموظفون_الرقم,138),"")</f>
        <v/>
      </c>
      <c r="B144" s="50">
        <f>IFERROR(INDEX(الموظفون_الاسم,138),"")</f>
        <v/>
      </c>
      <c r="C144" s="50">
        <f>IFERROR(INDEX(الموظفون_الإدارة,138),"")</f>
        <v/>
      </c>
      <c r="D144" s="63">
        <f>IFERROR(SUMIFS(الرواتب_بدل_النقل,الرواتب_الرقم,$A144)+SUMIFS(الرواتب_بدل_السكن,الرواتب_الرقم,$A144)+SUMIFS(الرواتب_بدلات_اخرى,الرواتب_الرقم,$A144),"")</f>
        <v/>
      </c>
      <c r="E144" s="63">
        <f>IFERROR(SUMIFS(الرواتب_المكافآت,الرواتب_الرقم,$A144),"")</f>
        <v/>
      </c>
      <c r="F144" s="63">
        <f>IFERROR(SUMIFS(الرواتب_الاضافي,الرواتب_الرقم,$A144),"")</f>
        <v/>
      </c>
      <c r="G144" s="63">
        <f>IFERROR(SUMIFS(الرواتب_الخصومات,الرواتب_الرقم,$A144),"")</f>
        <v/>
      </c>
      <c r="H144" s="63">
        <f>IFERROR(SUMIFS(الرواتب_الصافي,الرواتب_الرقم,$A144),"")</f>
        <v/>
      </c>
      <c r="I144" s="51">
        <f>IFERROR(COUNTIFS(الرواتب_الرقم,$A144),"")</f>
        <v/>
      </c>
    </row>
    <row r="145">
      <c r="A145" s="43">
        <f>IFERROR(INDEX(الموظفون_الرقم,139),"")</f>
        <v/>
      </c>
      <c r="B145" s="43">
        <f>IFERROR(INDEX(الموظفون_الاسم,139),"")</f>
        <v/>
      </c>
      <c r="C145" s="43">
        <f>IFERROR(INDEX(الموظفون_الإدارة,139),"")</f>
        <v/>
      </c>
      <c r="D145" s="60">
        <f>IFERROR(SUMIFS(الرواتب_بدل_النقل,الرواتب_الرقم,$A145)+SUMIFS(الرواتب_بدل_السكن,الرواتب_الرقم,$A145)+SUMIFS(الرواتب_بدلات_اخرى,الرواتب_الرقم,$A145),"")</f>
        <v/>
      </c>
      <c r="E145" s="60">
        <f>IFERROR(SUMIFS(الرواتب_المكافآت,الرواتب_الرقم,$A145),"")</f>
        <v/>
      </c>
      <c r="F145" s="60">
        <f>IFERROR(SUMIFS(الرواتب_الاضافي,الرواتب_الرقم,$A145),"")</f>
        <v/>
      </c>
      <c r="G145" s="60">
        <f>IFERROR(SUMIFS(الرواتب_الخصومات,الرواتب_الرقم,$A145),"")</f>
        <v/>
      </c>
      <c r="H145" s="60">
        <f>IFERROR(SUMIFS(الرواتب_الصافي,الرواتب_الرقم,$A145),"")</f>
        <v/>
      </c>
      <c r="I145" s="44">
        <f>IFERROR(COUNTIFS(الرواتب_الرقم,$A145),"")</f>
        <v/>
      </c>
    </row>
    <row r="146">
      <c r="A146" s="50">
        <f>IFERROR(INDEX(الموظفون_الرقم,140),"")</f>
        <v/>
      </c>
      <c r="B146" s="50">
        <f>IFERROR(INDEX(الموظفون_الاسم,140),"")</f>
        <v/>
      </c>
      <c r="C146" s="50">
        <f>IFERROR(INDEX(الموظفون_الإدارة,140),"")</f>
        <v/>
      </c>
      <c r="D146" s="63">
        <f>IFERROR(SUMIFS(الرواتب_بدل_النقل,الرواتب_الرقم,$A146)+SUMIFS(الرواتب_بدل_السكن,الرواتب_الرقم,$A146)+SUMIFS(الرواتب_بدلات_اخرى,الرواتب_الرقم,$A146),"")</f>
        <v/>
      </c>
      <c r="E146" s="63">
        <f>IFERROR(SUMIFS(الرواتب_المكافآت,الرواتب_الرقم,$A146),"")</f>
        <v/>
      </c>
      <c r="F146" s="63">
        <f>IFERROR(SUMIFS(الرواتب_الاضافي,الرواتب_الرقم,$A146),"")</f>
        <v/>
      </c>
      <c r="G146" s="63">
        <f>IFERROR(SUMIFS(الرواتب_الخصومات,الرواتب_الرقم,$A146),"")</f>
        <v/>
      </c>
      <c r="H146" s="63">
        <f>IFERROR(SUMIFS(الرواتب_الصافي,الرواتب_الرقم,$A146),"")</f>
        <v/>
      </c>
      <c r="I146" s="51">
        <f>IFERROR(COUNTIFS(الرواتب_الرقم,$A146),"")</f>
        <v/>
      </c>
    </row>
    <row r="147">
      <c r="A147" s="43">
        <f>IFERROR(INDEX(الموظفون_الرقم,141),"")</f>
        <v/>
      </c>
      <c r="B147" s="43">
        <f>IFERROR(INDEX(الموظفون_الاسم,141),"")</f>
        <v/>
      </c>
      <c r="C147" s="43">
        <f>IFERROR(INDEX(الموظفون_الإدارة,141),"")</f>
        <v/>
      </c>
      <c r="D147" s="60">
        <f>IFERROR(SUMIFS(الرواتب_بدل_النقل,الرواتب_الرقم,$A147)+SUMIFS(الرواتب_بدل_السكن,الرواتب_الرقم,$A147)+SUMIFS(الرواتب_بدلات_اخرى,الرواتب_الرقم,$A147),"")</f>
        <v/>
      </c>
      <c r="E147" s="60">
        <f>IFERROR(SUMIFS(الرواتب_المكافآت,الرواتب_الرقم,$A147),"")</f>
        <v/>
      </c>
      <c r="F147" s="60">
        <f>IFERROR(SUMIFS(الرواتب_الاضافي,الرواتب_الرقم,$A147),"")</f>
        <v/>
      </c>
      <c r="G147" s="60">
        <f>IFERROR(SUMIFS(الرواتب_الخصومات,الرواتب_الرقم,$A147),"")</f>
        <v/>
      </c>
      <c r="H147" s="60">
        <f>IFERROR(SUMIFS(الرواتب_الصافي,الرواتب_الرقم,$A147),"")</f>
        <v/>
      </c>
      <c r="I147" s="44">
        <f>IFERROR(COUNTIFS(الرواتب_الرقم,$A147),"")</f>
        <v/>
      </c>
    </row>
    <row r="148">
      <c r="A148" s="50">
        <f>IFERROR(INDEX(الموظفون_الرقم,142),"")</f>
        <v/>
      </c>
      <c r="B148" s="50">
        <f>IFERROR(INDEX(الموظفون_الاسم,142),"")</f>
        <v/>
      </c>
      <c r="C148" s="50">
        <f>IFERROR(INDEX(الموظفون_الإدارة,142),"")</f>
        <v/>
      </c>
      <c r="D148" s="63">
        <f>IFERROR(SUMIFS(الرواتب_بدل_النقل,الرواتب_الرقم,$A148)+SUMIFS(الرواتب_بدل_السكن,الرواتب_الرقم,$A148)+SUMIFS(الرواتب_بدلات_اخرى,الرواتب_الرقم,$A148),"")</f>
        <v/>
      </c>
      <c r="E148" s="63">
        <f>IFERROR(SUMIFS(الرواتب_المكافآت,الرواتب_الرقم,$A148),"")</f>
        <v/>
      </c>
      <c r="F148" s="63">
        <f>IFERROR(SUMIFS(الرواتب_الاضافي,الرواتب_الرقم,$A148),"")</f>
        <v/>
      </c>
      <c r="G148" s="63">
        <f>IFERROR(SUMIFS(الرواتب_الخصومات,الرواتب_الرقم,$A148),"")</f>
        <v/>
      </c>
      <c r="H148" s="63">
        <f>IFERROR(SUMIFS(الرواتب_الصافي,الرواتب_الرقم,$A148),"")</f>
        <v/>
      </c>
      <c r="I148" s="51">
        <f>IFERROR(COUNTIFS(الرواتب_الرقم,$A148),"")</f>
        <v/>
      </c>
    </row>
    <row r="149">
      <c r="A149" s="43">
        <f>IFERROR(INDEX(الموظفون_الرقم,143),"")</f>
        <v/>
      </c>
      <c r="B149" s="43">
        <f>IFERROR(INDEX(الموظفون_الاسم,143),"")</f>
        <v/>
      </c>
      <c r="C149" s="43">
        <f>IFERROR(INDEX(الموظفون_الإدارة,143),"")</f>
        <v/>
      </c>
      <c r="D149" s="60">
        <f>IFERROR(SUMIFS(الرواتب_بدل_النقل,الرواتب_الرقم,$A149)+SUMIFS(الرواتب_بدل_السكن,الرواتب_الرقم,$A149)+SUMIFS(الرواتب_بدلات_اخرى,الرواتب_الرقم,$A149),"")</f>
        <v/>
      </c>
      <c r="E149" s="60">
        <f>IFERROR(SUMIFS(الرواتب_المكافآت,الرواتب_الرقم,$A149),"")</f>
        <v/>
      </c>
      <c r="F149" s="60">
        <f>IFERROR(SUMIFS(الرواتب_الاضافي,الرواتب_الرقم,$A149),"")</f>
        <v/>
      </c>
      <c r="G149" s="60">
        <f>IFERROR(SUMIFS(الرواتب_الخصومات,الرواتب_الرقم,$A149),"")</f>
        <v/>
      </c>
      <c r="H149" s="60">
        <f>IFERROR(SUMIFS(الرواتب_الصافي,الرواتب_الرقم,$A149),"")</f>
        <v/>
      </c>
      <c r="I149" s="44">
        <f>IFERROR(COUNTIFS(الرواتب_الرقم,$A149),"")</f>
        <v/>
      </c>
    </row>
    <row r="150">
      <c r="A150" s="50">
        <f>IFERROR(INDEX(الموظفون_الرقم,144),"")</f>
        <v/>
      </c>
      <c r="B150" s="50">
        <f>IFERROR(INDEX(الموظفون_الاسم,144),"")</f>
        <v/>
      </c>
      <c r="C150" s="50">
        <f>IFERROR(INDEX(الموظفون_الإدارة,144),"")</f>
        <v/>
      </c>
      <c r="D150" s="63">
        <f>IFERROR(SUMIFS(الرواتب_بدل_النقل,الرواتب_الرقم,$A150)+SUMIFS(الرواتب_بدل_السكن,الرواتب_الرقم,$A150)+SUMIFS(الرواتب_بدلات_اخرى,الرواتب_الرقم,$A150),"")</f>
        <v/>
      </c>
      <c r="E150" s="63">
        <f>IFERROR(SUMIFS(الرواتب_المكافآت,الرواتب_الرقم,$A150),"")</f>
        <v/>
      </c>
      <c r="F150" s="63">
        <f>IFERROR(SUMIFS(الرواتب_الاضافي,الرواتب_الرقم,$A150),"")</f>
        <v/>
      </c>
      <c r="G150" s="63">
        <f>IFERROR(SUMIFS(الرواتب_الخصومات,الرواتب_الرقم,$A150),"")</f>
        <v/>
      </c>
      <c r="H150" s="63">
        <f>IFERROR(SUMIFS(الرواتب_الصافي,الرواتب_الرقم,$A150),"")</f>
        <v/>
      </c>
      <c r="I150" s="51">
        <f>IFERROR(COUNTIFS(الرواتب_الرقم,$A150),"")</f>
        <v/>
      </c>
    </row>
    <row r="151">
      <c r="A151" s="43">
        <f>IFERROR(INDEX(الموظفون_الرقم,145),"")</f>
        <v/>
      </c>
      <c r="B151" s="43">
        <f>IFERROR(INDEX(الموظفون_الاسم,145),"")</f>
        <v/>
      </c>
      <c r="C151" s="43">
        <f>IFERROR(INDEX(الموظفون_الإدارة,145),"")</f>
        <v/>
      </c>
      <c r="D151" s="60">
        <f>IFERROR(SUMIFS(الرواتب_بدل_النقل,الرواتب_الرقم,$A151)+SUMIFS(الرواتب_بدل_السكن,الرواتب_الرقم,$A151)+SUMIFS(الرواتب_بدلات_اخرى,الرواتب_الرقم,$A151),"")</f>
        <v/>
      </c>
      <c r="E151" s="60">
        <f>IFERROR(SUMIFS(الرواتب_المكافآت,الرواتب_الرقم,$A151),"")</f>
        <v/>
      </c>
      <c r="F151" s="60">
        <f>IFERROR(SUMIFS(الرواتب_الاضافي,الرواتب_الرقم,$A151),"")</f>
        <v/>
      </c>
      <c r="G151" s="60">
        <f>IFERROR(SUMIFS(الرواتب_الخصومات,الرواتب_الرقم,$A151),"")</f>
        <v/>
      </c>
      <c r="H151" s="60">
        <f>IFERROR(SUMIFS(الرواتب_الصافي,الرواتب_الرقم,$A151),"")</f>
        <v/>
      </c>
      <c r="I151" s="44">
        <f>IFERROR(COUNTIFS(الرواتب_الرقم,$A151),"")</f>
        <v/>
      </c>
    </row>
    <row r="152">
      <c r="A152" s="50">
        <f>IFERROR(INDEX(الموظفون_الرقم,146),"")</f>
        <v/>
      </c>
      <c r="B152" s="50">
        <f>IFERROR(INDEX(الموظفون_الاسم,146),"")</f>
        <v/>
      </c>
      <c r="C152" s="50">
        <f>IFERROR(INDEX(الموظفون_الإدارة,146),"")</f>
        <v/>
      </c>
      <c r="D152" s="63">
        <f>IFERROR(SUMIFS(الرواتب_بدل_النقل,الرواتب_الرقم,$A152)+SUMIFS(الرواتب_بدل_السكن,الرواتب_الرقم,$A152)+SUMIFS(الرواتب_بدلات_اخرى,الرواتب_الرقم,$A152),"")</f>
        <v/>
      </c>
      <c r="E152" s="63">
        <f>IFERROR(SUMIFS(الرواتب_المكافآت,الرواتب_الرقم,$A152),"")</f>
        <v/>
      </c>
      <c r="F152" s="63">
        <f>IFERROR(SUMIFS(الرواتب_الاضافي,الرواتب_الرقم,$A152),"")</f>
        <v/>
      </c>
      <c r="G152" s="63">
        <f>IFERROR(SUMIFS(الرواتب_الخصومات,الرواتب_الرقم,$A152),"")</f>
        <v/>
      </c>
      <c r="H152" s="63">
        <f>IFERROR(SUMIFS(الرواتب_الصافي,الرواتب_الرقم,$A152),"")</f>
        <v/>
      </c>
      <c r="I152" s="51">
        <f>IFERROR(COUNTIFS(الرواتب_الرقم,$A152),"")</f>
        <v/>
      </c>
    </row>
    <row r="153">
      <c r="A153" s="43">
        <f>IFERROR(INDEX(الموظفون_الرقم,147),"")</f>
        <v/>
      </c>
      <c r="B153" s="43">
        <f>IFERROR(INDEX(الموظفون_الاسم,147),"")</f>
        <v/>
      </c>
      <c r="C153" s="43">
        <f>IFERROR(INDEX(الموظفون_الإدارة,147),"")</f>
        <v/>
      </c>
      <c r="D153" s="60">
        <f>IFERROR(SUMIFS(الرواتب_بدل_النقل,الرواتب_الرقم,$A153)+SUMIFS(الرواتب_بدل_السكن,الرواتب_الرقم,$A153)+SUMIFS(الرواتب_بدلات_اخرى,الرواتب_الرقم,$A153),"")</f>
        <v/>
      </c>
      <c r="E153" s="60">
        <f>IFERROR(SUMIFS(الرواتب_المكافآت,الرواتب_الرقم,$A153),"")</f>
        <v/>
      </c>
      <c r="F153" s="60">
        <f>IFERROR(SUMIFS(الرواتب_الاضافي,الرواتب_الرقم,$A153),"")</f>
        <v/>
      </c>
      <c r="G153" s="60">
        <f>IFERROR(SUMIFS(الرواتب_الخصومات,الرواتب_الرقم,$A153),"")</f>
        <v/>
      </c>
      <c r="H153" s="60">
        <f>IFERROR(SUMIFS(الرواتب_الصافي,الرواتب_الرقم,$A153),"")</f>
        <v/>
      </c>
      <c r="I153" s="44">
        <f>IFERROR(COUNTIFS(الرواتب_الرقم,$A153),"")</f>
        <v/>
      </c>
    </row>
    <row r="154">
      <c r="A154" s="50">
        <f>IFERROR(INDEX(الموظفون_الرقم,148),"")</f>
        <v/>
      </c>
      <c r="B154" s="50">
        <f>IFERROR(INDEX(الموظفون_الاسم,148),"")</f>
        <v/>
      </c>
      <c r="C154" s="50">
        <f>IFERROR(INDEX(الموظفون_الإدارة,148),"")</f>
        <v/>
      </c>
      <c r="D154" s="63">
        <f>IFERROR(SUMIFS(الرواتب_بدل_النقل,الرواتب_الرقم,$A154)+SUMIFS(الرواتب_بدل_السكن,الرواتب_الرقم,$A154)+SUMIFS(الرواتب_بدلات_اخرى,الرواتب_الرقم,$A154),"")</f>
        <v/>
      </c>
      <c r="E154" s="63">
        <f>IFERROR(SUMIFS(الرواتب_المكافآت,الرواتب_الرقم,$A154),"")</f>
        <v/>
      </c>
      <c r="F154" s="63">
        <f>IFERROR(SUMIFS(الرواتب_الاضافي,الرواتب_الرقم,$A154),"")</f>
        <v/>
      </c>
      <c r="G154" s="63">
        <f>IFERROR(SUMIFS(الرواتب_الخصومات,الرواتب_الرقم,$A154),"")</f>
        <v/>
      </c>
      <c r="H154" s="63">
        <f>IFERROR(SUMIFS(الرواتب_الصافي,الرواتب_الرقم,$A154),"")</f>
        <v/>
      </c>
      <c r="I154" s="51">
        <f>IFERROR(COUNTIFS(الرواتب_الرقم,$A154),"")</f>
        <v/>
      </c>
    </row>
    <row r="155">
      <c r="A155" s="43">
        <f>IFERROR(INDEX(الموظفون_الرقم,149),"")</f>
        <v/>
      </c>
      <c r="B155" s="43">
        <f>IFERROR(INDEX(الموظفون_الاسم,149),"")</f>
        <v/>
      </c>
      <c r="C155" s="43">
        <f>IFERROR(INDEX(الموظفون_الإدارة,149),"")</f>
        <v/>
      </c>
      <c r="D155" s="60">
        <f>IFERROR(SUMIFS(الرواتب_بدل_النقل,الرواتب_الرقم,$A155)+SUMIFS(الرواتب_بدل_السكن,الرواتب_الرقم,$A155)+SUMIFS(الرواتب_بدلات_اخرى,الرواتب_الرقم,$A155),"")</f>
        <v/>
      </c>
      <c r="E155" s="60">
        <f>IFERROR(SUMIFS(الرواتب_المكافآت,الرواتب_الرقم,$A155),"")</f>
        <v/>
      </c>
      <c r="F155" s="60">
        <f>IFERROR(SUMIFS(الرواتب_الاضافي,الرواتب_الرقم,$A155),"")</f>
        <v/>
      </c>
      <c r="G155" s="60">
        <f>IFERROR(SUMIFS(الرواتب_الخصومات,الرواتب_الرقم,$A155),"")</f>
        <v/>
      </c>
      <c r="H155" s="60">
        <f>IFERROR(SUMIFS(الرواتب_الصافي,الرواتب_الرقم,$A155),"")</f>
        <v/>
      </c>
      <c r="I155" s="44">
        <f>IFERROR(COUNTIFS(الرواتب_الرقم,$A155),"")</f>
        <v/>
      </c>
    </row>
    <row r="156">
      <c r="A156" s="50">
        <f>IFERROR(INDEX(الموظفون_الرقم,150),"")</f>
        <v/>
      </c>
      <c r="B156" s="50">
        <f>IFERROR(INDEX(الموظفون_الاسم,150),"")</f>
        <v/>
      </c>
      <c r="C156" s="50">
        <f>IFERROR(INDEX(الموظفون_الإدارة,150),"")</f>
        <v/>
      </c>
      <c r="D156" s="63">
        <f>IFERROR(SUMIFS(الرواتب_بدل_النقل,الرواتب_الرقم,$A156)+SUMIFS(الرواتب_بدل_السكن,الرواتب_الرقم,$A156)+SUMIFS(الرواتب_بدلات_اخرى,الرواتب_الرقم,$A156),"")</f>
        <v/>
      </c>
      <c r="E156" s="63">
        <f>IFERROR(SUMIFS(الرواتب_المكافآت,الرواتب_الرقم,$A156),"")</f>
        <v/>
      </c>
      <c r="F156" s="63">
        <f>IFERROR(SUMIFS(الرواتب_الاضافي,الرواتب_الرقم,$A156),"")</f>
        <v/>
      </c>
      <c r="G156" s="63">
        <f>IFERROR(SUMIFS(الرواتب_الخصومات,الرواتب_الرقم,$A156),"")</f>
        <v/>
      </c>
      <c r="H156" s="63">
        <f>IFERROR(SUMIFS(الرواتب_الصافي,الرواتب_الرقم,$A156),"")</f>
        <v/>
      </c>
      <c r="I156" s="51">
        <f>IFERROR(COUNTIFS(الرواتب_الرقم,$A156),"")</f>
        <v/>
      </c>
    </row>
    <row r="157">
      <c r="A157" s="43">
        <f>IFERROR(INDEX(الموظفون_الرقم,151),"")</f>
        <v/>
      </c>
      <c r="B157" s="43">
        <f>IFERROR(INDEX(الموظفون_الاسم,151),"")</f>
        <v/>
      </c>
      <c r="C157" s="43">
        <f>IFERROR(INDEX(الموظفون_الإدارة,151),"")</f>
        <v/>
      </c>
      <c r="D157" s="60">
        <f>IFERROR(SUMIFS(الرواتب_بدل_النقل,الرواتب_الرقم,$A157)+SUMIFS(الرواتب_بدل_السكن,الرواتب_الرقم,$A157)+SUMIFS(الرواتب_بدلات_اخرى,الرواتب_الرقم,$A157),"")</f>
        <v/>
      </c>
      <c r="E157" s="60">
        <f>IFERROR(SUMIFS(الرواتب_المكافآت,الرواتب_الرقم,$A157),"")</f>
        <v/>
      </c>
      <c r="F157" s="60">
        <f>IFERROR(SUMIFS(الرواتب_الاضافي,الرواتب_الرقم,$A157),"")</f>
        <v/>
      </c>
      <c r="G157" s="60">
        <f>IFERROR(SUMIFS(الرواتب_الخصومات,الرواتب_الرقم,$A157),"")</f>
        <v/>
      </c>
      <c r="H157" s="60">
        <f>IFERROR(SUMIFS(الرواتب_الصافي,الرواتب_الرقم,$A157),"")</f>
        <v/>
      </c>
      <c r="I157" s="44">
        <f>IFERROR(COUNTIFS(الرواتب_الرقم,$A157),"")</f>
        <v/>
      </c>
    </row>
    <row r="158">
      <c r="A158" s="50">
        <f>IFERROR(INDEX(الموظفون_الرقم,152),"")</f>
        <v/>
      </c>
      <c r="B158" s="50">
        <f>IFERROR(INDEX(الموظفون_الاسم,152),"")</f>
        <v/>
      </c>
      <c r="C158" s="50">
        <f>IFERROR(INDEX(الموظفون_الإدارة,152),"")</f>
        <v/>
      </c>
      <c r="D158" s="63">
        <f>IFERROR(SUMIFS(الرواتب_بدل_النقل,الرواتب_الرقم,$A158)+SUMIFS(الرواتب_بدل_السكن,الرواتب_الرقم,$A158)+SUMIFS(الرواتب_بدلات_اخرى,الرواتب_الرقم,$A158),"")</f>
        <v/>
      </c>
      <c r="E158" s="63">
        <f>IFERROR(SUMIFS(الرواتب_المكافآت,الرواتب_الرقم,$A158),"")</f>
        <v/>
      </c>
      <c r="F158" s="63">
        <f>IFERROR(SUMIFS(الرواتب_الاضافي,الرواتب_الرقم,$A158),"")</f>
        <v/>
      </c>
      <c r="G158" s="63">
        <f>IFERROR(SUMIFS(الرواتب_الخصومات,الرواتب_الرقم,$A158),"")</f>
        <v/>
      </c>
      <c r="H158" s="63">
        <f>IFERROR(SUMIFS(الرواتب_الصافي,الرواتب_الرقم,$A158),"")</f>
        <v/>
      </c>
      <c r="I158" s="51">
        <f>IFERROR(COUNTIFS(الرواتب_الرقم,$A158),"")</f>
        <v/>
      </c>
    </row>
    <row r="159">
      <c r="A159" s="43">
        <f>IFERROR(INDEX(الموظفون_الرقم,153),"")</f>
        <v/>
      </c>
      <c r="B159" s="43">
        <f>IFERROR(INDEX(الموظفون_الاسم,153),"")</f>
        <v/>
      </c>
      <c r="C159" s="43">
        <f>IFERROR(INDEX(الموظفون_الإدارة,153),"")</f>
        <v/>
      </c>
      <c r="D159" s="60">
        <f>IFERROR(SUMIFS(الرواتب_بدل_النقل,الرواتب_الرقم,$A159)+SUMIFS(الرواتب_بدل_السكن,الرواتب_الرقم,$A159)+SUMIFS(الرواتب_بدلات_اخرى,الرواتب_الرقم,$A159),"")</f>
        <v/>
      </c>
      <c r="E159" s="60">
        <f>IFERROR(SUMIFS(الرواتب_المكافآت,الرواتب_الرقم,$A159),"")</f>
        <v/>
      </c>
      <c r="F159" s="60">
        <f>IFERROR(SUMIFS(الرواتب_الاضافي,الرواتب_الرقم,$A159),"")</f>
        <v/>
      </c>
      <c r="G159" s="60">
        <f>IFERROR(SUMIFS(الرواتب_الخصومات,الرواتب_الرقم,$A159),"")</f>
        <v/>
      </c>
      <c r="H159" s="60">
        <f>IFERROR(SUMIFS(الرواتب_الصافي,الرواتب_الرقم,$A159),"")</f>
        <v/>
      </c>
      <c r="I159" s="44">
        <f>IFERROR(COUNTIFS(الرواتب_الرقم,$A159),"")</f>
        <v/>
      </c>
    </row>
    <row r="160">
      <c r="A160" s="50">
        <f>IFERROR(INDEX(الموظفون_الرقم,154),"")</f>
        <v/>
      </c>
      <c r="B160" s="50">
        <f>IFERROR(INDEX(الموظفون_الاسم,154),"")</f>
        <v/>
      </c>
      <c r="C160" s="50">
        <f>IFERROR(INDEX(الموظفون_الإدارة,154),"")</f>
        <v/>
      </c>
      <c r="D160" s="63">
        <f>IFERROR(SUMIFS(الرواتب_بدل_النقل,الرواتب_الرقم,$A160)+SUMIFS(الرواتب_بدل_السكن,الرواتب_الرقم,$A160)+SUMIFS(الرواتب_بدلات_اخرى,الرواتب_الرقم,$A160),"")</f>
        <v/>
      </c>
      <c r="E160" s="63">
        <f>IFERROR(SUMIFS(الرواتب_المكافآت,الرواتب_الرقم,$A160),"")</f>
        <v/>
      </c>
      <c r="F160" s="63">
        <f>IFERROR(SUMIFS(الرواتب_الاضافي,الرواتب_الرقم,$A160),"")</f>
        <v/>
      </c>
      <c r="G160" s="63">
        <f>IFERROR(SUMIFS(الرواتب_الخصومات,الرواتب_الرقم,$A160),"")</f>
        <v/>
      </c>
      <c r="H160" s="63">
        <f>IFERROR(SUMIFS(الرواتب_الصافي,الرواتب_الرقم,$A160),"")</f>
        <v/>
      </c>
      <c r="I160" s="51">
        <f>IFERROR(COUNTIFS(الرواتب_الرقم,$A160),"")</f>
        <v/>
      </c>
    </row>
    <row r="161">
      <c r="A161" s="43">
        <f>IFERROR(INDEX(الموظفون_الرقم,155),"")</f>
        <v/>
      </c>
      <c r="B161" s="43">
        <f>IFERROR(INDEX(الموظفون_الاسم,155),"")</f>
        <v/>
      </c>
      <c r="C161" s="43">
        <f>IFERROR(INDEX(الموظفون_الإدارة,155),"")</f>
        <v/>
      </c>
      <c r="D161" s="60">
        <f>IFERROR(SUMIFS(الرواتب_بدل_النقل,الرواتب_الرقم,$A161)+SUMIFS(الرواتب_بدل_السكن,الرواتب_الرقم,$A161)+SUMIFS(الرواتب_بدلات_اخرى,الرواتب_الرقم,$A161),"")</f>
        <v/>
      </c>
      <c r="E161" s="60">
        <f>IFERROR(SUMIFS(الرواتب_المكافآت,الرواتب_الرقم,$A161),"")</f>
        <v/>
      </c>
      <c r="F161" s="60">
        <f>IFERROR(SUMIFS(الرواتب_الاضافي,الرواتب_الرقم,$A161),"")</f>
        <v/>
      </c>
      <c r="G161" s="60">
        <f>IFERROR(SUMIFS(الرواتب_الخصومات,الرواتب_الرقم,$A161),"")</f>
        <v/>
      </c>
      <c r="H161" s="60">
        <f>IFERROR(SUMIFS(الرواتب_الصافي,الرواتب_الرقم,$A161),"")</f>
        <v/>
      </c>
      <c r="I161" s="44">
        <f>IFERROR(COUNTIFS(الرواتب_الرقم,$A161),"")</f>
        <v/>
      </c>
    </row>
    <row r="162">
      <c r="A162" s="50">
        <f>IFERROR(INDEX(الموظفون_الرقم,156),"")</f>
        <v/>
      </c>
      <c r="B162" s="50">
        <f>IFERROR(INDEX(الموظفون_الاسم,156),"")</f>
        <v/>
      </c>
      <c r="C162" s="50">
        <f>IFERROR(INDEX(الموظفون_الإدارة,156),"")</f>
        <v/>
      </c>
      <c r="D162" s="63">
        <f>IFERROR(SUMIFS(الرواتب_بدل_النقل,الرواتب_الرقم,$A162)+SUMIFS(الرواتب_بدل_السكن,الرواتب_الرقم,$A162)+SUMIFS(الرواتب_بدلات_اخرى,الرواتب_الرقم,$A162),"")</f>
        <v/>
      </c>
      <c r="E162" s="63">
        <f>IFERROR(SUMIFS(الرواتب_المكافآت,الرواتب_الرقم,$A162),"")</f>
        <v/>
      </c>
      <c r="F162" s="63">
        <f>IFERROR(SUMIFS(الرواتب_الاضافي,الرواتب_الرقم,$A162),"")</f>
        <v/>
      </c>
      <c r="G162" s="63">
        <f>IFERROR(SUMIFS(الرواتب_الخصومات,الرواتب_الرقم,$A162),"")</f>
        <v/>
      </c>
      <c r="H162" s="63">
        <f>IFERROR(SUMIFS(الرواتب_الصافي,الرواتب_الرقم,$A162),"")</f>
        <v/>
      </c>
      <c r="I162" s="51">
        <f>IFERROR(COUNTIFS(الرواتب_الرقم,$A162),"")</f>
        <v/>
      </c>
    </row>
    <row r="163">
      <c r="A163" s="43">
        <f>IFERROR(INDEX(الموظفون_الرقم,157),"")</f>
        <v/>
      </c>
      <c r="B163" s="43">
        <f>IFERROR(INDEX(الموظفون_الاسم,157),"")</f>
        <v/>
      </c>
      <c r="C163" s="43">
        <f>IFERROR(INDEX(الموظفون_الإدارة,157),"")</f>
        <v/>
      </c>
      <c r="D163" s="60">
        <f>IFERROR(SUMIFS(الرواتب_بدل_النقل,الرواتب_الرقم,$A163)+SUMIFS(الرواتب_بدل_السكن,الرواتب_الرقم,$A163)+SUMIFS(الرواتب_بدلات_اخرى,الرواتب_الرقم,$A163),"")</f>
        <v/>
      </c>
      <c r="E163" s="60">
        <f>IFERROR(SUMIFS(الرواتب_المكافآت,الرواتب_الرقم,$A163),"")</f>
        <v/>
      </c>
      <c r="F163" s="60">
        <f>IFERROR(SUMIFS(الرواتب_الاضافي,الرواتب_الرقم,$A163),"")</f>
        <v/>
      </c>
      <c r="G163" s="60">
        <f>IFERROR(SUMIFS(الرواتب_الخصومات,الرواتب_الرقم,$A163),"")</f>
        <v/>
      </c>
      <c r="H163" s="60">
        <f>IFERROR(SUMIFS(الرواتب_الصافي,الرواتب_الرقم,$A163),"")</f>
        <v/>
      </c>
      <c r="I163" s="44">
        <f>IFERROR(COUNTIFS(الرواتب_الرقم,$A163),"")</f>
        <v/>
      </c>
    </row>
    <row r="164">
      <c r="A164" s="50">
        <f>IFERROR(INDEX(الموظفون_الرقم,158),"")</f>
        <v/>
      </c>
      <c r="B164" s="50">
        <f>IFERROR(INDEX(الموظفون_الاسم,158),"")</f>
        <v/>
      </c>
      <c r="C164" s="50">
        <f>IFERROR(INDEX(الموظفون_الإدارة,158),"")</f>
        <v/>
      </c>
      <c r="D164" s="63">
        <f>IFERROR(SUMIFS(الرواتب_بدل_النقل,الرواتب_الرقم,$A164)+SUMIFS(الرواتب_بدل_السكن,الرواتب_الرقم,$A164)+SUMIFS(الرواتب_بدلات_اخرى,الرواتب_الرقم,$A164),"")</f>
        <v/>
      </c>
      <c r="E164" s="63">
        <f>IFERROR(SUMIFS(الرواتب_المكافآت,الرواتب_الرقم,$A164),"")</f>
        <v/>
      </c>
      <c r="F164" s="63">
        <f>IFERROR(SUMIFS(الرواتب_الاضافي,الرواتب_الرقم,$A164),"")</f>
        <v/>
      </c>
      <c r="G164" s="63">
        <f>IFERROR(SUMIFS(الرواتب_الخصومات,الرواتب_الرقم,$A164),"")</f>
        <v/>
      </c>
      <c r="H164" s="63">
        <f>IFERROR(SUMIFS(الرواتب_الصافي,الرواتب_الرقم,$A164),"")</f>
        <v/>
      </c>
      <c r="I164" s="51">
        <f>IFERROR(COUNTIFS(الرواتب_الرقم,$A164),"")</f>
        <v/>
      </c>
    </row>
    <row r="165">
      <c r="A165" s="43">
        <f>IFERROR(INDEX(الموظفون_الرقم,159),"")</f>
        <v/>
      </c>
      <c r="B165" s="43">
        <f>IFERROR(INDEX(الموظفون_الاسم,159),"")</f>
        <v/>
      </c>
      <c r="C165" s="43">
        <f>IFERROR(INDEX(الموظفون_الإدارة,159),"")</f>
        <v/>
      </c>
      <c r="D165" s="60">
        <f>IFERROR(SUMIFS(الرواتب_بدل_النقل,الرواتب_الرقم,$A165)+SUMIFS(الرواتب_بدل_السكن,الرواتب_الرقم,$A165)+SUMIFS(الرواتب_بدلات_اخرى,الرواتب_الرقم,$A165),"")</f>
        <v/>
      </c>
      <c r="E165" s="60">
        <f>IFERROR(SUMIFS(الرواتب_المكافآت,الرواتب_الرقم,$A165),"")</f>
        <v/>
      </c>
      <c r="F165" s="60">
        <f>IFERROR(SUMIFS(الرواتب_الاضافي,الرواتب_الرقم,$A165),"")</f>
        <v/>
      </c>
      <c r="G165" s="60">
        <f>IFERROR(SUMIFS(الرواتب_الخصومات,الرواتب_الرقم,$A165),"")</f>
        <v/>
      </c>
      <c r="H165" s="60">
        <f>IFERROR(SUMIFS(الرواتب_الصافي,الرواتب_الرقم,$A165),"")</f>
        <v/>
      </c>
      <c r="I165" s="44">
        <f>IFERROR(COUNTIFS(الرواتب_الرقم,$A165),"")</f>
        <v/>
      </c>
    </row>
    <row r="166">
      <c r="A166" s="50">
        <f>IFERROR(INDEX(الموظفون_الرقم,160),"")</f>
        <v/>
      </c>
      <c r="B166" s="50">
        <f>IFERROR(INDEX(الموظفون_الاسم,160),"")</f>
        <v/>
      </c>
      <c r="C166" s="50">
        <f>IFERROR(INDEX(الموظفون_الإدارة,160),"")</f>
        <v/>
      </c>
      <c r="D166" s="63">
        <f>IFERROR(SUMIFS(الرواتب_بدل_النقل,الرواتب_الرقم,$A166)+SUMIFS(الرواتب_بدل_السكن,الرواتب_الرقم,$A166)+SUMIFS(الرواتب_بدلات_اخرى,الرواتب_الرقم,$A166),"")</f>
        <v/>
      </c>
      <c r="E166" s="63">
        <f>IFERROR(SUMIFS(الرواتب_المكافآت,الرواتب_الرقم,$A166),"")</f>
        <v/>
      </c>
      <c r="F166" s="63">
        <f>IFERROR(SUMIFS(الرواتب_الاضافي,الرواتب_الرقم,$A166),"")</f>
        <v/>
      </c>
      <c r="G166" s="63">
        <f>IFERROR(SUMIFS(الرواتب_الخصومات,الرواتب_الرقم,$A166),"")</f>
        <v/>
      </c>
      <c r="H166" s="63">
        <f>IFERROR(SUMIFS(الرواتب_الصافي,الرواتب_الرقم,$A166),"")</f>
        <v/>
      </c>
      <c r="I166" s="51">
        <f>IFERROR(COUNTIFS(الرواتب_الرقم,$A166),"")</f>
        <v/>
      </c>
    </row>
    <row r="167">
      <c r="A167" s="43">
        <f>IFERROR(INDEX(الموظفون_الرقم,161),"")</f>
        <v/>
      </c>
      <c r="B167" s="43">
        <f>IFERROR(INDEX(الموظفون_الاسم,161),"")</f>
        <v/>
      </c>
      <c r="C167" s="43">
        <f>IFERROR(INDEX(الموظفون_الإدارة,161),"")</f>
        <v/>
      </c>
      <c r="D167" s="60">
        <f>IFERROR(SUMIFS(الرواتب_بدل_النقل,الرواتب_الرقم,$A167)+SUMIFS(الرواتب_بدل_السكن,الرواتب_الرقم,$A167)+SUMIFS(الرواتب_بدلات_اخرى,الرواتب_الرقم,$A167),"")</f>
        <v/>
      </c>
      <c r="E167" s="60">
        <f>IFERROR(SUMIFS(الرواتب_المكافآت,الرواتب_الرقم,$A167),"")</f>
        <v/>
      </c>
      <c r="F167" s="60">
        <f>IFERROR(SUMIFS(الرواتب_الاضافي,الرواتب_الرقم,$A167),"")</f>
        <v/>
      </c>
      <c r="G167" s="60">
        <f>IFERROR(SUMIFS(الرواتب_الخصومات,الرواتب_الرقم,$A167),"")</f>
        <v/>
      </c>
      <c r="H167" s="60">
        <f>IFERROR(SUMIFS(الرواتب_الصافي,الرواتب_الرقم,$A167),"")</f>
        <v/>
      </c>
      <c r="I167" s="44">
        <f>IFERROR(COUNTIFS(الرواتب_الرقم,$A167),"")</f>
        <v/>
      </c>
    </row>
    <row r="168">
      <c r="A168" s="50">
        <f>IFERROR(INDEX(الموظفون_الرقم,162),"")</f>
        <v/>
      </c>
      <c r="B168" s="50">
        <f>IFERROR(INDEX(الموظفون_الاسم,162),"")</f>
        <v/>
      </c>
      <c r="C168" s="50">
        <f>IFERROR(INDEX(الموظفون_الإدارة,162),"")</f>
        <v/>
      </c>
      <c r="D168" s="63">
        <f>IFERROR(SUMIFS(الرواتب_بدل_النقل,الرواتب_الرقم,$A168)+SUMIFS(الرواتب_بدل_السكن,الرواتب_الرقم,$A168)+SUMIFS(الرواتب_بدلات_اخرى,الرواتب_الرقم,$A168),"")</f>
        <v/>
      </c>
      <c r="E168" s="63">
        <f>IFERROR(SUMIFS(الرواتب_المكافآت,الرواتب_الرقم,$A168),"")</f>
        <v/>
      </c>
      <c r="F168" s="63">
        <f>IFERROR(SUMIFS(الرواتب_الاضافي,الرواتب_الرقم,$A168),"")</f>
        <v/>
      </c>
      <c r="G168" s="63">
        <f>IFERROR(SUMIFS(الرواتب_الخصومات,الرواتب_الرقم,$A168),"")</f>
        <v/>
      </c>
      <c r="H168" s="63">
        <f>IFERROR(SUMIFS(الرواتب_الصافي,الرواتب_الرقم,$A168),"")</f>
        <v/>
      </c>
      <c r="I168" s="51">
        <f>IFERROR(COUNTIFS(الرواتب_الرقم,$A168),"")</f>
        <v/>
      </c>
    </row>
    <row r="169">
      <c r="A169" s="43">
        <f>IFERROR(INDEX(الموظفون_الرقم,163),"")</f>
        <v/>
      </c>
      <c r="B169" s="43">
        <f>IFERROR(INDEX(الموظفون_الاسم,163),"")</f>
        <v/>
      </c>
      <c r="C169" s="43">
        <f>IFERROR(INDEX(الموظفون_الإدارة,163),"")</f>
        <v/>
      </c>
      <c r="D169" s="60">
        <f>IFERROR(SUMIFS(الرواتب_بدل_النقل,الرواتب_الرقم,$A169)+SUMIFS(الرواتب_بدل_السكن,الرواتب_الرقم,$A169)+SUMIFS(الرواتب_بدلات_اخرى,الرواتب_الرقم,$A169),"")</f>
        <v/>
      </c>
      <c r="E169" s="60">
        <f>IFERROR(SUMIFS(الرواتب_المكافآت,الرواتب_الرقم,$A169),"")</f>
        <v/>
      </c>
      <c r="F169" s="60">
        <f>IFERROR(SUMIFS(الرواتب_الاضافي,الرواتب_الرقم,$A169),"")</f>
        <v/>
      </c>
      <c r="G169" s="60">
        <f>IFERROR(SUMIFS(الرواتب_الخصومات,الرواتب_الرقم,$A169),"")</f>
        <v/>
      </c>
      <c r="H169" s="60">
        <f>IFERROR(SUMIFS(الرواتب_الصافي,الرواتب_الرقم,$A169),"")</f>
        <v/>
      </c>
      <c r="I169" s="44">
        <f>IFERROR(COUNTIFS(الرواتب_الرقم,$A169),"")</f>
        <v/>
      </c>
    </row>
    <row r="170">
      <c r="A170" s="50">
        <f>IFERROR(INDEX(الموظفون_الرقم,164),"")</f>
        <v/>
      </c>
      <c r="B170" s="50">
        <f>IFERROR(INDEX(الموظفون_الاسم,164),"")</f>
        <v/>
      </c>
      <c r="C170" s="50">
        <f>IFERROR(INDEX(الموظفون_الإدارة,164),"")</f>
        <v/>
      </c>
      <c r="D170" s="63">
        <f>IFERROR(SUMIFS(الرواتب_بدل_النقل,الرواتب_الرقم,$A170)+SUMIFS(الرواتب_بدل_السكن,الرواتب_الرقم,$A170)+SUMIFS(الرواتب_بدلات_اخرى,الرواتب_الرقم,$A170),"")</f>
        <v/>
      </c>
      <c r="E170" s="63">
        <f>IFERROR(SUMIFS(الرواتب_المكافآت,الرواتب_الرقم,$A170),"")</f>
        <v/>
      </c>
      <c r="F170" s="63">
        <f>IFERROR(SUMIFS(الرواتب_الاضافي,الرواتب_الرقم,$A170),"")</f>
        <v/>
      </c>
      <c r="G170" s="63">
        <f>IFERROR(SUMIFS(الرواتب_الخصومات,الرواتب_الرقم,$A170),"")</f>
        <v/>
      </c>
      <c r="H170" s="63">
        <f>IFERROR(SUMIFS(الرواتب_الصافي,الرواتب_الرقم,$A170),"")</f>
        <v/>
      </c>
      <c r="I170" s="51">
        <f>IFERROR(COUNTIFS(الرواتب_الرقم,$A170),"")</f>
        <v/>
      </c>
    </row>
    <row r="171">
      <c r="A171" s="43">
        <f>IFERROR(INDEX(الموظفون_الرقم,165),"")</f>
        <v/>
      </c>
      <c r="B171" s="43">
        <f>IFERROR(INDEX(الموظفون_الاسم,165),"")</f>
        <v/>
      </c>
      <c r="C171" s="43">
        <f>IFERROR(INDEX(الموظفون_الإدارة,165),"")</f>
        <v/>
      </c>
      <c r="D171" s="60">
        <f>IFERROR(SUMIFS(الرواتب_بدل_النقل,الرواتب_الرقم,$A171)+SUMIFS(الرواتب_بدل_السكن,الرواتب_الرقم,$A171)+SUMIFS(الرواتب_بدلات_اخرى,الرواتب_الرقم,$A171),"")</f>
        <v/>
      </c>
      <c r="E171" s="60">
        <f>IFERROR(SUMIFS(الرواتب_المكافآت,الرواتب_الرقم,$A171),"")</f>
        <v/>
      </c>
      <c r="F171" s="60">
        <f>IFERROR(SUMIFS(الرواتب_الاضافي,الرواتب_الرقم,$A171),"")</f>
        <v/>
      </c>
      <c r="G171" s="60">
        <f>IFERROR(SUMIFS(الرواتب_الخصومات,الرواتب_الرقم,$A171),"")</f>
        <v/>
      </c>
      <c r="H171" s="60">
        <f>IFERROR(SUMIFS(الرواتب_الصافي,الرواتب_الرقم,$A171),"")</f>
        <v/>
      </c>
      <c r="I171" s="44">
        <f>IFERROR(COUNTIFS(الرواتب_الرقم,$A171),"")</f>
        <v/>
      </c>
    </row>
    <row r="172">
      <c r="A172" s="50">
        <f>IFERROR(INDEX(الموظفون_الرقم,166),"")</f>
        <v/>
      </c>
      <c r="B172" s="50">
        <f>IFERROR(INDEX(الموظفون_الاسم,166),"")</f>
        <v/>
      </c>
      <c r="C172" s="50">
        <f>IFERROR(INDEX(الموظفون_الإدارة,166),"")</f>
        <v/>
      </c>
      <c r="D172" s="63">
        <f>IFERROR(SUMIFS(الرواتب_بدل_النقل,الرواتب_الرقم,$A172)+SUMIFS(الرواتب_بدل_السكن,الرواتب_الرقم,$A172)+SUMIFS(الرواتب_بدلات_اخرى,الرواتب_الرقم,$A172),"")</f>
        <v/>
      </c>
      <c r="E172" s="63">
        <f>IFERROR(SUMIFS(الرواتب_المكافآت,الرواتب_الرقم,$A172),"")</f>
        <v/>
      </c>
      <c r="F172" s="63">
        <f>IFERROR(SUMIFS(الرواتب_الاضافي,الرواتب_الرقم,$A172),"")</f>
        <v/>
      </c>
      <c r="G172" s="63">
        <f>IFERROR(SUMIFS(الرواتب_الخصومات,الرواتب_الرقم,$A172),"")</f>
        <v/>
      </c>
      <c r="H172" s="63">
        <f>IFERROR(SUMIFS(الرواتب_الصافي,الرواتب_الرقم,$A172),"")</f>
        <v/>
      </c>
      <c r="I172" s="51">
        <f>IFERROR(COUNTIFS(الرواتب_الرقم,$A172),"")</f>
        <v/>
      </c>
    </row>
    <row r="173">
      <c r="A173" s="43">
        <f>IFERROR(INDEX(الموظفون_الرقم,167),"")</f>
        <v/>
      </c>
      <c r="B173" s="43">
        <f>IFERROR(INDEX(الموظفون_الاسم,167),"")</f>
        <v/>
      </c>
      <c r="C173" s="43">
        <f>IFERROR(INDEX(الموظفون_الإدارة,167),"")</f>
        <v/>
      </c>
      <c r="D173" s="60">
        <f>IFERROR(SUMIFS(الرواتب_بدل_النقل,الرواتب_الرقم,$A173)+SUMIFS(الرواتب_بدل_السكن,الرواتب_الرقم,$A173)+SUMIFS(الرواتب_بدلات_اخرى,الرواتب_الرقم,$A173),"")</f>
        <v/>
      </c>
      <c r="E173" s="60">
        <f>IFERROR(SUMIFS(الرواتب_المكافآت,الرواتب_الرقم,$A173),"")</f>
        <v/>
      </c>
      <c r="F173" s="60">
        <f>IFERROR(SUMIFS(الرواتب_الاضافي,الرواتب_الرقم,$A173),"")</f>
        <v/>
      </c>
      <c r="G173" s="60">
        <f>IFERROR(SUMIFS(الرواتب_الخصومات,الرواتب_الرقم,$A173),"")</f>
        <v/>
      </c>
      <c r="H173" s="60">
        <f>IFERROR(SUMIFS(الرواتب_الصافي,الرواتب_الرقم,$A173),"")</f>
        <v/>
      </c>
      <c r="I173" s="44">
        <f>IFERROR(COUNTIFS(الرواتب_الرقم,$A173),"")</f>
        <v/>
      </c>
    </row>
    <row r="174">
      <c r="A174" s="50">
        <f>IFERROR(INDEX(الموظفون_الرقم,168),"")</f>
        <v/>
      </c>
      <c r="B174" s="50">
        <f>IFERROR(INDEX(الموظفون_الاسم,168),"")</f>
        <v/>
      </c>
      <c r="C174" s="50">
        <f>IFERROR(INDEX(الموظفون_الإدارة,168),"")</f>
        <v/>
      </c>
      <c r="D174" s="63">
        <f>IFERROR(SUMIFS(الرواتب_بدل_النقل,الرواتب_الرقم,$A174)+SUMIFS(الرواتب_بدل_السكن,الرواتب_الرقم,$A174)+SUMIFS(الرواتب_بدلات_اخرى,الرواتب_الرقم,$A174),"")</f>
        <v/>
      </c>
      <c r="E174" s="63">
        <f>IFERROR(SUMIFS(الرواتب_المكافآت,الرواتب_الرقم,$A174),"")</f>
        <v/>
      </c>
      <c r="F174" s="63">
        <f>IFERROR(SUMIFS(الرواتب_الاضافي,الرواتب_الرقم,$A174),"")</f>
        <v/>
      </c>
      <c r="G174" s="63">
        <f>IFERROR(SUMIFS(الرواتب_الخصومات,الرواتب_الرقم,$A174),"")</f>
        <v/>
      </c>
      <c r="H174" s="63">
        <f>IFERROR(SUMIFS(الرواتب_الصافي,الرواتب_الرقم,$A174),"")</f>
        <v/>
      </c>
      <c r="I174" s="51">
        <f>IFERROR(COUNTIFS(الرواتب_الرقم,$A174),"")</f>
        <v/>
      </c>
    </row>
    <row r="175">
      <c r="A175" s="43">
        <f>IFERROR(INDEX(الموظفون_الرقم,169),"")</f>
        <v/>
      </c>
      <c r="B175" s="43">
        <f>IFERROR(INDEX(الموظفون_الاسم,169),"")</f>
        <v/>
      </c>
      <c r="C175" s="43">
        <f>IFERROR(INDEX(الموظفون_الإدارة,169),"")</f>
        <v/>
      </c>
      <c r="D175" s="60">
        <f>IFERROR(SUMIFS(الرواتب_بدل_النقل,الرواتب_الرقم,$A175)+SUMIFS(الرواتب_بدل_السكن,الرواتب_الرقم,$A175)+SUMIFS(الرواتب_بدلات_اخرى,الرواتب_الرقم,$A175),"")</f>
        <v/>
      </c>
      <c r="E175" s="60">
        <f>IFERROR(SUMIFS(الرواتب_المكافآت,الرواتب_الرقم,$A175),"")</f>
        <v/>
      </c>
      <c r="F175" s="60">
        <f>IFERROR(SUMIFS(الرواتب_الاضافي,الرواتب_الرقم,$A175),"")</f>
        <v/>
      </c>
      <c r="G175" s="60">
        <f>IFERROR(SUMIFS(الرواتب_الخصومات,الرواتب_الرقم,$A175),"")</f>
        <v/>
      </c>
      <c r="H175" s="60">
        <f>IFERROR(SUMIFS(الرواتب_الصافي,الرواتب_الرقم,$A175),"")</f>
        <v/>
      </c>
      <c r="I175" s="44">
        <f>IFERROR(COUNTIFS(الرواتب_الرقم,$A175),"")</f>
        <v/>
      </c>
    </row>
    <row r="176">
      <c r="A176" s="50">
        <f>IFERROR(INDEX(الموظفون_الرقم,170),"")</f>
        <v/>
      </c>
      <c r="B176" s="50">
        <f>IFERROR(INDEX(الموظفون_الاسم,170),"")</f>
        <v/>
      </c>
      <c r="C176" s="50">
        <f>IFERROR(INDEX(الموظفون_الإدارة,170),"")</f>
        <v/>
      </c>
      <c r="D176" s="63">
        <f>IFERROR(SUMIFS(الرواتب_بدل_النقل,الرواتب_الرقم,$A176)+SUMIFS(الرواتب_بدل_السكن,الرواتب_الرقم,$A176)+SUMIFS(الرواتب_بدلات_اخرى,الرواتب_الرقم,$A176),"")</f>
        <v/>
      </c>
      <c r="E176" s="63">
        <f>IFERROR(SUMIFS(الرواتب_المكافآت,الرواتب_الرقم,$A176),"")</f>
        <v/>
      </c>
      <c r="F176" s="63">
        <f>IFERROR(SUMIFS(الرواتب_الاضافي,الرواتب_الرقم,$A176),"")</f>
        <v/>
      </c>
      <c r="G176" s="63">
        <f>IFERROR(SUMIFS(الرواتب_الخصومات,الرواتب_الرقم,$A176),"")</f>
        <v/>
      </c>
      <c r="H176" s="63">
        <f>IFERROR(SUMIFS(الرواتب_الصافي,الرواتب_الرقم,$A176),"")</f>
        <v/>
      </c>
      <c r="I176" s="51">
        <f>IFERROR(COUNTIFS(الرواتب_الرقم,$A176),"")</f>
        <v/>
      </c>
    </row>
    <row r="177">
      <c r="A177" s="43">
        <f>IFERROR(INDEX(الموظفون_الرقم,171),"")</f>
        <v/>
      </c>
      <c r="B177" s="43">
        <f>IFERROR(INDEX(الموظفون_الاسم,171),"")</f>
        <v/>
      </c>
      <c r="C177" s="43">
        <f>IFERROR(INDEX(الموظفون_الإدارة,171),"")</f>
        <v/>
      </c>
      <c r="D177" s="60">
        <f>IFERROR(SUMIFS(الرواتب_بدل_النقل,الرواتب_الرقم,$A177)+SUMIFS(الرواتب_بدل_السكن,الرواتب_الرقم,$A177)+SUMIFS(الرواتب_بدلات_اخرى,الرواتب_الرقم,$A177),"")</f>
        <v/>
      </c>
      <c r="E177" s="60">
        <f>IFERROR(SUMIFS(الرواتب_المكافآت,الرواتب_الرقم,$A177),"")</f>
        <v/>
      </c>
      <c r="F177" s="60">
        <f>IFERROR(SUMIFS(الرواتب_الاضافي,الرواتب_الرقم,$A177),"")</f>
        <v/>
      </c>
      <c r="G177" s="60">
        <f>IFERROR(SUMIFS(الرواتب_الخصومات,الرواتب_الرقم,$A177),"")</f>
        <v/>
      </c>
      <c r="H177" s="60">
        <f>IFERROR(SUMIFS(الرواتب_الصافي,الرواتب_الرقم,$A177),"")</f>
        <v/>
      </c>
      <c r="I177" s="44">
        <f>IFERROR(COUNTIFS(الرواتب_الرقم,$A177),"")</f>
        <v/>
      </c>
    </row>
    <row r="178">
      <c r="A178" s="50">
        <f>IFERROR(INDEX(الموظفون_الرقم,172),"")</f>
        <v/>
      </c>
      <c r="B178" s="50">
        <f>IFERROR(INDEX(الموظفون_الاسم,172),"")</f>
        <v/>
      </c>
      <c r="C178" s="50">
        <f>IFERROR(INDEX(الموظفون_الإدارة,172),"")</f>
        <v/>
      </c>
      <c r="D178" s="63">
        <f>IFERROR(SUMIFS(الرواتب_بدل_النقل,الرواتب_الرقم,$A178)+SUMIFS(الرواتب_بدل_السكن,الرواتب_الرقم,$A178)+SUMIFS(الرواتب_بدلات_اخرى,الرواتب_الرقم,$A178),"")</f>
        <v/>
      </c>
      <c r="E178" s="63">
        <f>IFERROR(SUMIFS(الرواتب_المكافآت,الرواتب_الرقم,$A178),"")</f>
        <v/>
      </c>
      <c r="F178" s="63">
        <f>IFERROR(SUMIFS(الرواتب_الاضافي,الرواتب_الرقم,$A178),"")</f>
        <v/>
      </c>
      <c r="G178" s="63">
        <f>IFERROR(SUMIFS(الرواتب_الخصومات,الرواتب_الرقم,$A178),"")</f>
        <v/>
      </c>
      <c r="H178" s="63">
        <f>IFERROR(SUMIFS(الرواتب_الصافي,الرواتب_الرقم,$A178),"")</f>
        <v/>
      </c>
      <c r="I178" s="51">
        <f>IFERROR(COUNTIFS(الرواتب_الرقم,$A178),"")</f>
        <v/>
      </c>
    </row>
    <row r="179">
      <c r="A179" s="43">
        <f>IFERROR(INDEX(الموظفون_الرقم,173),"")</f>
        <v/>
      </c>
      <c r="B179" s="43">
        <f>IFERROR(INDEX(الموظفون_الاسم,173),"")</f>
        <v/>
      </c>
      <c r="C179" s="43">
        <f>IFERROR(INDEX(الموظفون_الإدارة,173),"")</f>
        <v/>
      </c>
      <c r="D179" s="60">
        <f>IFERROR(SUMIFS(الرواتب_بدل_النقل,الرواتب_الرقم,$A179)+SUMIFS(الرواتب_بدل_السكن,الرواتب_الرقم,$A179)+SUMIFS(الرواتب_بدلات_اخرى,الرواتب_الرقم,$A179),"")</f>
        <v/>
      </c>
      <c r="E179" s="60">
        <f>IFERROR(SUMIFS(الرواتب_المكافآت,الرواتب_الرقم,$A179),"")</f>
        <v/>
      </c>
      <c r="F179" s="60">
        <f>IFERROR(SUMIFS(الرواتب_الاضافي,الرواتب_الرقم,$A179),"")</f>
        <v/>
      </c>
      <c r="G179" s="60">
        <f>IFERROR(SUMIFS(الرواتب_الخصومات,الرواتب_الرقم,$A179),"")</f>
        <v/>
      </c>
      <c r="H179" s="60">
        <f>IFERROR(SUMIFS(الرواتب_الصافي,الرواتب_الرقم,$A179),"")</f>
        <v/>
      </c>
      <c r="I179" s="44">
        <f>IFERROR(COUNTIFS(الرواتب_الرقم,$A179),"")</f>
        <v/>
      </c>
    </row>
    <row r="180">
      <c r="A180" s="50">
        <f>IFERROR(INDEX(الموظفون_الرقم,174),"")</f>
        <v/>
      </c>
      <c r="B180" s="50">
        <f>IFERROR(INDEX(الموظفون_الاسم,174),"")</f>
        <v/>
      </c>
      <c r="C180" s="50">
        <f>IFERROR(INDEX(الموظفون_الإدارة,174),"")</f>
        <v/>
      </c>
      <c r="D180" s="63">
        <f>IFERROR(SUMIFS(الرواتب_بدل_النقل,الرواتب_الرقم,$A180)+SUMIFS(الرواتب_بدل_السكن,الرواتب_الرقم,$A180)+SUMIFS(الرواتب_بدلات_اخرى,الرواتب_الرقم,$A180),"")</f>
        <v/>
      </c>
      <c r="E180" s="63">
        <f>IFERROR(SUMIFS(الرواتب_المكافآت,الرواتب_الرقم,$A180),"")</f>
        <v/>
      </c>
      <c r="F180" s="63">
        <f>IFERROR(SUMIFS(الرواتب_الاضافي,الرواتب_الرقم,$A180),"")</f>
        <v/>
      </c>
      <c r="G180" s="63">
        <f>IFERROR(SUMIFS(الرواتب_الخصومات,الرواتب_الرقم,$A180),"")</f>
        <v/>
      </c>
      <c r="H180" s="63">
        <f>IFERROR(SUMIFS(الرواتب_الصافي,الرواتب_الرقم,$A180),"")</f>
        <v/>
      </c>
      <c r="I180" s="51">
        <f>IFERROR(COUNTIFS(الرواتب_الرقم,$A180),"")</f>
        <v/>
      </c>
    </row>
    <row r="181">
      <c r="A181" s="43">
        <f>IFERROR(INDEX(الموظفون_الرقم,175),"")</f>
        <v/>
      </c>
      <c r="B181" s="43">
        <f>IFERROR(INDEX(الموظفون_الاسم,175),"")</f>
        <v/>
      </c>
      <c r="C181" s="43">
        <f>IFERROR(INDEX(الموظفون_الإدارة,175),"")</f>
        <v/>
      </c>
      <c r="D181" s="60">
        <f>IFERROR(SUMIFS(الرواتب_بدل_النقل,الرواتب_الرقم,$A181)+SUMIFS(الرواتب_بدل_السكن,الرواتب_الرقم,$A181)+SUMIFS(الرواتب_بدلات_اخرى,الرواتب_الرقم,$A181),"")</f>
        <v/>
      </c>
      <c r="E181" s="60">
        <f>IFERROR(SUMIFS(الرواتب_المكافآت,الرواتب_الرقم,$A181),"")</f>
        <v/>
      </c>
      <c r="F181" s="60">
        <f>IFERROR(SUMIFS(الرواتب_الاضافي,الرواتب_الرقم,$A181),"")</f>
        <v/>
      </c>
      <c r="G181" s="60">
        <f>IFERROR(SUMIFS(الرواتب_الخصومات,الرواتب_الرقم,$A181),"")</f>
        <v/>
      </c>
      <c r="H181" s="60">
        <f>IFERROR(SUMIFS(الرواتب_الصافي,الرواتب_الرقم,$A181),"")</f>
        <v/>
      </c>
      <c r="I181" s="44">
        <f>IFERROR(COUNTIFS(الرواتب_الرقم,$A181),"")</f>
        <v/>
      </c>
    </row>
    <row r="182">
      <c r="A182" s="50">
        <f>IFERROR(INDEX(الموظفون_الرقم,176),"")</f>
        <v/>
      </c>
      <c r="B182" s="50">
        <f>IFERROR(INDEX(الموظفون_الاسم,176),"")</f>
        <v/>
      </c>
      <c r="C182" s="50">
        <f>IFERROR(INDEX(الموظفون_الإدارة,176),"")</f>
        <v/>
      </c>
      <c r="D182" s="63">
        <f>IFERROR(SUMIFS(الرواتب_بدل_النقل,الرواتب_الرقم,$A182)+SUMIFS(الرواتب_بدل_السكن,الرواتب_الرقم,$A182)+SUMIFS(الرواتب_بدلات_اخرى,الرواتب_الرقم,$A182),"")</f>
        <v/>
      </c>
      <c r="E182" s="63">
        <f>IFERROR(SUMIFS(الرواتب_المكافآت,الرواتب_الرقم,$A182),"")</f>
        <v/>
      </c>
      <c r="F182" s="63">
        <f>IFERROR(SUMIFS(الرواتب_الاضافي,الرواتب_الرقم,$A182),"")</f>
        <v/>
      </c>
      <c r="G182" s="63">
        <f>IFERROR(SUMIFS(الرواتب_الخصومات,الرواتب_الرقم,$A182),"")</f>
        <v/>
      </c>
      <c r="H182" s="63">
        <f>IFERROR(SUMIFS(الرواتب_الصافي,الرواتب_الرقم,$A182),"")</f>
        <v/>
      </c>
      <c r="I182" s="51">
        <f>IFERROR(COUNTIFS(الرواتب_الرقم,$A182),"")</f>
        <v/>
      </c>
    </row>
    <row r="183">
      <c r="A183" s="43">
        <f>IFERROR(INDEX(الموظفون_الرقم,177),"")</f>
        <v/>
      </c>
      <c r="B183" s="43">
        <f>IFERROR(INDEX(الموظفون_الاسم,177),"")</f>
        <v/>
      </c>
      <c r="C183" s="43">
        <f>IFERROR(INDEX(الموظفون_الإدارة,177),"")</f>
        <v/>
      </c>
      <c r="D183" s="60">
        <f>IFERROR(SUMIFS(الرواتب_بدل_النقل,الرواتب_الرقم,$A183)+SUMIFS(الرواتب_بدل_السكن,الرواتب_الرقم,$A183)+SUMIFS(الرواتب_بدلات_اخرى,الرواتب_الرقم,$A183),"")</f>
        <v/>
      </c>
      <c r="E183" s="60">
        <f>IFERROR(SUMIFS(الرواتب_المكافآت,الرواتب_الرقم,$A183),"")</f>
        <v/>
      </c>
      <c r="F183" s="60">
        <f>IFERROR(SUMIFS(الرواتب_الاضافي,الرواتب_الرقم,$A183),"")</f>
        <v/>
      </c>
      <c r="G183" s="60">
        <f>IFERROR(SUMIFS(الرواتب_الخصومات,الرواتب_الرقم,$A183),"")</f>
        <v/>
      </c>
      <c r="H183" s="60">
        <f>IFERROR(SUMIFS(الرواتب_الصافي,الرواتب_الرقم,$A183),"")</f>
        <v/>
      </c>
      <c r="I183" s="44">
        <f>IFERROR(COUNTIFS(الرواتب_الرقم,$A183),"")</f>
        <v/>
      </c>
    </row>
    <row r="184">
      <c r="A184" s="50">
        <f>IFERROR(INDEX(الموظفون_الرقم,178),"")</f>
        <v/>
      </c>
      <c r="B184" s="50">
        <f>IFERROR(INDEX(الموظفون_الاسم,178),"")</f>
        <v/>
      </c>
      <c r="C184" s="50">
        <f>IFERROR(INDEX(الموظفون_الإدارة,178),"")</f>
        <v/>
      </c>
      <c r="D184" s="63">
        <f>IFERROR(SUMIFS(الرواتب_بدل_النقل,الرواتب_الرقم,$A184)+SUMIFS(الرواتب_بدل_السكن,الرواتب_الرقم,$A184)+SUMIFS(الرواتب_بدلات_اخرى,الرواتب_الرقم,$A184),"")</f>
        <v/>
      </c>
      <c r="E184" s="63">
        <f>IFERROR(SUMIFS(الرواتب_المكافآت,الرواتب_الرقم,$A184),"")</f>
        <v/>
      </c>
      <c r="F184" s="63">
        <f>IFERROR(SUMIFS(الرواتب_الاضافي,الرواتب_الرقم,$A184),"")</f>
        <v/>
      </c>
      <c r="G184" s="63">
        <f>IFERROR(SUMIFS(الرواتب_الخصومات,الرواتب_الرقم,$A184),"")</f>
        <v/>
      </c>
      <c r="H184" s="63">
        <f>IFERROR(SUMIFS(الرواتب_الصافي,الرواتب_الرقم,$A184),"")</f>
        <v/>
      </c>
      <c r="I184" s="51">
        <f>IFERROR(COUNTIFS(الرواتب_الرقم,$A184),"")</f>
        <v/>
      </c>
    </row>
    <row r="185">
      <c r="A185" s="43">
        <f>IFERROR(INDEX(الموظفون_الرقم,179),"")</f>
        <v/>
      </c>
      <c r="B185" s="43">
        <f>IFERROR(INDEX(الموظفون_الاسم,179),"")</f>
        <v/>
      </c>
      <c r="C185" s="43">
        <f>IFERROR(INDEX(الموظفون_الإدارة,179),"")</f>
        <v/>
      </c>
      <c r="D185" s="60">
        <f>IFERROR(SUMIFS(الرواتب_بدل_النقل,الرواتب_الرقم,$A185)+SUMIFS(الرواتب_بدل_السكن,الرواتب_الرقم,$A185)+SUMIFS(الرواتب_بدلات_اخرى,الرواتب_الرقم,$A185),"")</f>
        <v/>
      </c>
      <c r="E185" s="60">
        <f>IFERROR(SUMIFS(الرواتب_المكافآت,الرواتب_الرقم,$A185),"")</f>
        <v/>
      </c>
      <c r="F185" s="60">
        <f>IFERROR(SUMIFS(الرواتب_الاضافي,الرواتب_الرقم,$A185),"")</f>
        <v/>
      </c>
      <c r="G185" s="60">
        <f>IFERROR(SUMIFS(الرواتب_الخصومات,الرواتب_الرقم,$A185),"")</f>
        <v/>
      </c>
      <c r="H185" s="60">
        <f>IFERROR(SUMIFS(الرواتب_الصافي,الرواتب_الرقم,$A185),"")</f>
        <v/>
      </c>
      <c r="I185" s="44">
        <f>IFERROR(COUNTIFS(الرواتب_الرقم,$A185),"")</f>
        <v/>
      </c>
    </row>
    <row r="186">
      <c r="A186" s="50">
        <f>IFERROR(INDEX(الموظفون_الرقم,180),"")</f>
        <v/>
      </c>
      <c r="B186" s="50">
        <f>IFERROR(INDEX(الموظفون_الاسم,180),"")</f>
        <v/>
      </c>
      <c r="C186" s="50">
        <f>IFERROR(INDEX(الموظفون_الإدارة,180),"")</f>
        <v/>
      </c>
      <c r="D186" s="63">
        <f>IFERROR(SUMIFS(الرواتب_بدل_النقل,الرواتب_الرقم,$A186)+SUMIFS(الرواتب_بدل_السكن,الرواتب_الرقم,$A186)+SUMIFS(الرواتب_بدلات_اخرى,الرواتب_الرقم,$A186),"")</f>
        <v/>
      </c>
      <c r="E186" s="63">
        <f>IFERROR(SUMIFS(الرواتب_المكافآت,الرواتب_الرقم,$A186),"")</f>
        <v/>
      </c>
      <c r="F186" s="63">
        <f>IFERROR(SUMIFS(الرواتب_الاضافي,الرواتب_الرقم,$A186),"")</f>
        <v/>
      </c>
      <c r="G186" s="63">
        <f>IFERROR(SUMIFS(الرواتب_الخصومات,الرواتب_الرقم,$A186),"")</f>
        <v/>
      </c>
      <c r="H186" s="63">
        <f>IFERROR(SUMIFS(الرواتب_الصافي,الرواتب_الرقم,$A186),"")</f>
        <v/>
      </c>
      <c r="I186" s="51">
        <f>IFERROR(COUNTIFS(الرواتب_الرقم,$A186),"")</f>
        <v/>
      </c>
    </row>
    <row r="187">
      <c r="A187" s="43">
        <f>IFERROR(INDEX(الموظفون_الرقم,181),"")</f>
        <v/>
      </c>
      <c r="B187" s="43">
        <f>IFERROR(INDEX(الموظفون_الاسم,181),"")</f>
        <v/>
      </c>
      <c r="C187" s="43">
        <f>IFERROR(INDEX(الموظفون_الإدارة,181),"")</f>
        <v/>
      </c>
      <c r="D187" s="60">
        <f>IFERROR(SUMIFS(الرواتب_بدل_النقل,الرواتب_الرقم,$A187)+SUMIFS(الرواتب_بدل_السكن,الرواتب_الرقم,$A187)+SUMIFS(الرواتب_بدلات_اخرى,الرواتب_الرقم,$A187),"")</f>
        <v/>
      </c>
      <c r="E187" s="60">
        <f>IFERROR(SUMIFS(الرواتب_المكافآت,الرواتب_الرقم,$A187),"")</f>
        <v/>
      </c>
      <c r="F187" s="60">
        <f>IFERROR(SUMIFS(الرواتب_الاضافي,الرواتب_الرقم,$A187),"")</f>
        <v/>
      </c>
      <c r="G187" s="60">
        <f>IFERROR(SUMIFS(الرواتب_الخصومات,الرواتب_الرقم,$A187),"")</f>
        <v/>
      </c>
      <c r="H187" s="60">
        <f>IFERROR(SUMIFS(الرواتب_الصافي,الرواتب_الرقم,$A187),"")</f>
        <v/>
      </c>
      <c r="I187" s="44">
        <f>IFERROR(COUNTIFS(الرواتب_الرقم,$A187),"")</f>
        <v/>
      </c>
    </row>
    <row r="188">
      <c r="A188" s="50">
        <f>IFERROR(INDEX(الموظفون_الرقم,182),"")</f>
        <v/>
      </c>
      <c r="B188" s="50">
        <f>IFERROR(INDEX(الموظفون_الاسم,182),"")</f>
        <v/>
      </c>
      <c r="C188" s="50">
        <f>IFERROR(INDEX(الموظفون_الإدارة,182),"")</f>
        <v/>
      </c>
      <c r="D188" s="63">
        <f>IFERROR(SUMIFS(الرواتب_بدل_النقل,الرواتب_الرقم,$A188)+SUMIFS(الرواتب_بدل_السكن,الرواتب_الرقم,$A188)+SUMIFS(الرواتب_بدلات_اخرى,الرواتب_الرقم,$A188),"")</f>
        <v/>
      </c>
      <c r="E188" s="63">
        <f>IFERROR(SUMIFS(الرواتب_المكافآت,الرواتب_الرقم,$A188),"")</f>
        <v/>
      </c>
      <c r="F188" s="63">
        <f>IFERROR(SUMIFS(الرواتب_الاضافي,الرواتب_الرقم,$A188),"")</f>
        <v/>
      </c>
      <c r="G188" s="63">
        <f>IFERROR(SUMIFS(الرواتب_الخصومات,الرواتب_الرقم,$A188),"")</f>
        <v/>
      </c>
      <c r="H188" s="63">
        <f>IFERROR(SUMIFS(الرواتب_الصافي,الرواتب_الرقم,$A188),"")</f>
        <v/>
      </c>
      <c r="I188" s="51">
        <f>IFERROR(COUNTIFS(الرواتب_الرقم,$A188),"")</f>
        <v/>
      </c>
    </row>
    <row r="189">
      <c r="A189" s="43">
        <f>IFERROR(INDEX(الموظفون_الرقم,183),"")</f>
        <v/>
      </c>
      <c r="B189" s="43">
        <f>IFERROR(INDEX(الموظفون_الاسم,183),"")</f>
        <v/>
      </c>
      <c r="C189" s="43">
        <f>IFERROR(INDEX(الموظفون_الإدارة,183),"")</f>
        <v/>
      </c>
      <c r="D189" s="60">
        <f>IFERROR(SUMIFS(الرواتب_بدل_النقل,الرواتب_الرقم,$A189)+SUMIFS(الرواتب_بدل_السكن,الرواتب_الرقم,$A189)+SUMIFS(الرواتب_بدلات_اخرى,الرواتب_الرقم,$A189),"")</f>
        <v/>
      </c>
      <c r="E189" s="60">
        <f>IFERROR(SUMIFS(الرواتب_المكافآت,الرواتب_الرقم,$A189),"")</f>
        <v/>
      </c>
      <c r="F189" s="60">
        <f>IFERROR(SUMIFS(الرواتب_الاضافي,الرواتب_الرقم,$A189),"")</f>
        <v/>
      </c>
      <c r="G189" s="60">
        <f>IFERROR(SUMIFS(الرواتب_الخصومات,الرواتب_الرقم,$A189),"")</f>
        <v/>
      </c>
      <c r="H189" s="60">
        <f>IFERROR(SUMIFS(الرواتب_الصافي,الرواتب_الرقم,$A189),"")</f>
        <v/>
      </c>
      <c r="I189" s="44">
        <f>IFERROR(COUNTIFS(الرواتب_الرقم,$A189),"")</f>
        <v/>
      </c>
    </row>
    <row r="190">
      <c r="A190" s="50">
        <f>IFERROR(INDEX(الموظفون_الرقم,184),"")</f>
        <v/>
      </c>
      <c r="B190" s="50">
        <f>IFERROR(INDEX(الموظفون_الاسم,184),"")</f>
        <v/>
      </c>
      <c r="C190" s="50">
        <f>IFERROR(INDEX(الموظفون_الإدارة,184),"")</f>
        <v/>
      </c>
      <c r="D190" s="63">
        <f>IFERROR(SUMIFS(الرواتب_بدل_النقل,الرواتب_الرقم,$A190)+SUMIFS(الرواتب_بدل_السكن,الرواتب_الرقم,$A190)+SUMIFS(الرواتب_بدلات_اخرى,الرواتب_الرقم,$A190),"")</f>
        <v/>
      </c>
      <c r="E190" s="63">
        <f>IFERROR(SUMIFS(الرواتب_المكافآت,الرواتب_الرقم,$A190),"")</f>
        <v/>
      </c>
      <c r="F190" s="63">
        <f>IFERROR(SUMIFS(الرواتب_الاضافي,الرواتب_الرقم,$A190),"")</f>
        <v/>
      </c>
      <c r="G190" s="63">
        <f>IFERROR(SUMIFS(الرواتب_الخصومات,الرواتب_الرقم,$A190),"")</f>
        <v/>
      </c>
      <c r="H190" s="63">
        <f>IFERROR(SUMIFS(الرواتب_الصافي,الرواتب_الرقم,$A190),"")</f>
        <v/>
      </c>
      <c r="I190" s="51">
        <f>IFERROR(COUNTIFS(الرواتب_الرقم,$A190),"")</f>
        <v/>
      </c>
    </row>
    <row r="191">
      <c r="A191" s="43">
        <f>IFERROR(INDEX(الموظفون_الرقم,185),"")</f>
        <v/>
      </c>
      <c r="B191" s="43">
        <f>IFERROR(INDEX(الموظفون_الاسم,185),"")</f>
        <v/>
      </c>
      <c r="C191" s="43">
        <f>IFERROR(INDEX(الموظفون_الإدارة,185),"")</f>
        <v/>
      </c>
      <c r="D191" s="60">
        <f>IFERROR(SUMIFS(الرواتب_بدل_النقل,الرواتب_الرقم,$A191)+SUMIFS(الرواتب_بدل_السكن,الرواتب_الرقم,$A191)+SUMIFS(الرواتب_بدلات_اخرى,الرواتب_الرقم,$A191),"")</f>
        <v/>
      </c>
      <c r="E191" s="60">
        <f>IFERROR(SUMIFS(الرواتب_المكافآت,الرواتب_الرقم,$A191),"")</f>
        <v/>
      </c>
      <c r="F191" s="60">
        <f>IFERROR(SUMIFS(الرواتب_الاضافي,الرواتب_الرقم,$A191),"")</f>
        <v/>
      </c>
      <c r="G191" s="60">
        <f>IFERROR(SUMIFS(الرواتب_الخصومات,الرواتب_الرقم,$A191),"")</f>
        <v/>
      </c>
      <c r="H191" s="60">
        <f>IFERROR(SUMIFS(الرواتب_الصافي,الرواتب_الرقم,$A191),"")</f>
        <v/>
      </c>
      <c r="I191" s="44">
        <f>IFERROR(COUNTIFS(الرواتب_الرقم,$A191),"")</f>
        <v/>
      </c>
    </row>
    <row r="192">
      <c r="A192" s="50">
        <f>IFERROR(INDEX(الموظفون_الرقم,186),"")</f>
        <v/>
      </c>
      <c r="B192" s="50">
        <f>IFERROR(INDEX(الموظفون_الاسم,186),"")</f>
        <v/>
      </c>
      <c r="C192" s="50">
        <f>IFERROR(INDEX(الموظفون_الإدارة,186),"")</f>
        <v/>
      </c>
      <c r="D192" s="63">
        <f>IFERROR(SUMIFS(الرواتب_بدل_النقل,الرواتب_الرقم,$A192)+SUMIFS(الرواتب_بدل_السكن,الرواتب_الرقم,$A192)+SUMIFS(الرواتب_بدلات_اخرى,الرواتب_الرقم,$A192),"")</f>
        <v/>
      </c>
      <c r="E192" s="63">
        <f>IFERROR(SUMIFS(الرواتب_المكافآت,الرواتب_الرقم,$A192),"")</f>
        <v/>
      </c>
      <c r="F192" s="63">
        <f>IFERROR(SUMIFS(الرواتب_الاضافي,الرواتب_الرقم,$A192),"")</f>
        <v/>
      </c>
      <c r="G192" s="63">
        <f>IFERROR(SUMIFS(الرواتب_الخصومات,الرواتب_الرقم,$A192),"")</f>
        <v/>
      </c>
      <c r="H192" s="63">
        <f>IFERROR(SUMIFS(الرواتب_الصافي,الرواتب_الرقم,$A192),"")</f>
        <v/>
      </c>
      <c r="I192" s="51">
        <f>IFERROR(COUNTIFS(الرواتب_الرقم,$A192),"")</f>
        <v/>
      </c>
    </row>
    <row r="193">
      <c r="A193" s="43">
        <f>IFERROR(INDEX(الموظفون_الرقم,187),"")</f>
        <v/>
      </c>
      <c r="B193" s="43">
        <f>IFERROR(INDEX(الموظفون_الاسم,187),"")</f>
        <v/>
      </c>
      <c r="C193" s="43">
        <f>IFERROR(INDEX(الموظفون_الإدارة,187),"")</f>
        <v/>
      </c>
      <c r="D193" s="60">
        <f>IFERROR(SUMIFS(الرواتب_بدل_النقل,الرواتب_الرقم,$A193)+SUMIFS(الرواتب_بدل_السكن,الرواتب_الرقم,$A193)+SUMIFS(الرواتب_بدلات_اخرى,الرواتب_الرقم,$A193),"")</f>
        <v/>
      </c>
      <c r="E193" s="60">
        <f>IFERROR(SUMIFS(الرواتب_المكافآت,الرواتب_الرقم,$A193),"")</f>
        <v/>
      </c>
      <c r="F193" s="60">
        <f>IFERROR(SUMIFS(الرواتب_الاضافي,الرواتب_الرقم,$A193),"")</f>
        <v/>
      </c>
      <c r="G193" s="60">
        <f>IFERROR(SUMIFS(الرواتب_الخصومات,الرواتب_الرقم,$A193),"")</f>
        <v/>
      </c>
      <c r="H193" s="60">
        <f>IFERROR(SUMIFS(الرواتب_الصافي,الرواتب_الرقم,$A193),"")</f>
        <v/>
      </c>
      <c r="I193" s="44">
        <f>IFERROR(COUNTIFS(الرواتب_الرقم,$A193),"")</f>
        <v/>
      </c>
    </row>
    <row r="194">
      <c r="A194" s="50">
        <f>IFERROR(INDEX(الموظفون_الرقم,188),"")</f>
        <v/>
      </c>
      <c r="B194" s="50">
        <f>IFERROR(INDEX(الموظفون_الاسم,188),"")</f>
        <v/>
      </c>
      <c r="C194" s="50">
        <f>IFERROR(INDEX(الموظفون_الإدارة,188),"")</f>
        <v/>
      </c>
      <c r="D194" s="63">
        <f>IFERROR(SUMIFS(الرواتب_بدل_النقل,الرواتب_الرقم,$A194)+SUMIFS(الرواتب_بدل_السكن,الرواتب_الرقم,$A194)+SUMIFS(الرواتب_بدلات_اخرى,الرواتب_الرقم,$A194),"")</f>
        <v/>
      </c>
      <c r="E194" s="63">
        <f>IFERROR(SUMIFS(الرواتب_المكافآت,الرواتب_الرقم,$A194),"")</f>
        <v/>
      </c>
      <c r="F194" s="63">
        <f>IFERROR(SUMIFS(الرواتب_الاضافي,الرواتب_الرقم,$A194),"")</f>
        <v/>
      </c>
      <c r="G194" s="63">
        <f>IFERROR(SUMIFS(الرواتب_الخصومات,الرواتب_الرقم,$A194),"")</f>
        <v/>
      </c>
      <c r="H194" s="63">
        <f>IFERROR(SUMIFS(الرواتب_الصافي,الرواتب_الرقم,$A194),"")</f>
        <v/>
      </c>
      <c r="I194" s="51">
        <f>IFERROR(COUNTIFS(الرواتب_الرقم,$A194),"")</f>
        <v/>
      </c>
    </row>
    <row r="195">
      <c r="A195" s="43">
        <f>IFERROR(INDEX(الموظفون_الرقم,189),"")</f>
        <v/>
      </c>
      <c r="B195" s="43">
        <f>IFERROR(INDEX(الموظفون_الاسم,189),"")</f>
        <v/>
      </c>
      <c r="C195" s="43">
        <f>IFERROR(INDEX(الموظفون_الإدارة,189),"")</f>
        <v/>
      </c>
      <c r="D195" s="60">
        <f>IFERROR(SUMIFS(الرواتب_بدل_النقل,الرواتب_الرقم,$A195)+SUMIFS(الرواتب_بدل_السكن,الرواتب_الرقم,$A195)+SUMIFS(الرواتب_بدلات_اخرى,الرواتب_الرقم,$A195),"")</f>
        <v/>
      </c>
      <c r="E195" s="60">
        <f>IFERROR(SUMIFS(الرواتب_المكافآت,الرواتب_الرقم,$A195),"")</f>
        <v/>
      </c>
      <c r="F195" s="60">
        <f>IFERROR(SUMIFS(الرواتب_الاضافي,الرواتب_الرقم,$A195),"")</f>
        <v/>
      </c>
      <c r="G195" s="60">
        <f>IFERROR(SUMIFS(الرواتب_الخصومات,الرواتب_الرقم,$A195),"")</f>
        <v/>
      </c>
      <c r="H195" s="60">
        <f>IFERROR(SUMIFS(الرواتب_الصافي,الرواتب_الرقم,$A195),"")</f>
        <v/>
      </c>
      <c r="I195" s="44">
        <f>IFERROR(COUNTIFS(الرواتب_الرقم,$A195),"")</f>
        <v/>
      </c>
    </row>
    <row r="196">
      <c r="A196" s="50">
        <f>IFERROR(INDEX(الموظفون_الرقم,190),"")</f>
        <v/>
      </c>
      <c r="B196" s="50">
        <f>IFERROR(INDEX(الموظفون_الاسم,190),"")</f>
        <v/>
      </c>
      <c r="C196" s="50">
        <f>IFERROR(INDEX(الموظفون_الإدارة,190),"")</f>
        <v/>
      </c>
      <c r="D196" s="63">
        <f>IFERROR(SUMIFS(الرواتب_بدل_النقل,الرواتب_الرقم,$A196)+SUMIFS(الرواتب_بدل_السكن,الرواتب_الرقم,$A196)+SUMIFS(الرواتب_بدلات_اخرى,الرواتب_الرقم,$A196),"")</f>
        <v/>
      </c>
      <c r="E196" s="63">
        <f>IFERROR(SUMIFS(الرواتب_المكافآت,الرواتب_الرقم,$A196),"")</f>
        <v/>
      </c>
      <c r="F196" s="63">
        <f>IFERROR(SUMIFS(الرواتب_الاضافي,الرواتب_الرقم,$A196),"")</f>
        <v/>
      </c>
      <c r="G196" s="63">
        <f>IFERROR(SUMIFS(الرواتب_الخصومات,الرواتب_الرقم,$A196),"")</f>
        <v/>
      </c>
      <c r="H196" s="63">
        <f>IFERROR(SUMIFS(الرواتب_الصافي,الرواتب_الرقم,$A196),"")</f>
        <v/>
      </c>
      <c r="I196" s="51">
        <f>IFERROR(COUNTIFS(الرواتب_الرقم,$A196),"")</f>
        <v/>
      </c>
    </row>
    <row r="197">
      <c r="A197" s="43">
        <f>IFERROR(INDEX(الموظفون_الرقم,191),"")</f>
        <v/>
      </c>
      <c r="B197" s="43">
        <f>IFERROR(INDEX(الموظفون_الاسم,191),"")</f>
        <v/>
      </c>
      <c r="C197" s="43">
        <f>IFERROR(INDEX(الموظفون_الإدارة,191),"")</f>
        <v/>
      </c>
      <c r="D197" s="60">
        <f>IFERROR(SUMIFS(الرواتب_بدل_النقل,الرواتب_الرقم,$A197)+SUMIFS(الرواتب_بدل_السكن,الرواتب_الرقم,$A197)+SUMIFS(الرواتب_بدلات_اخرى,الرواتب_الرقم,$A197),"")</f>
        <v/>
      </c>
      <c r="E197" s="60">
        <f>IFERROR(SUMIFS(الرواتب_المكافآت,الرواتب_الرقم,$A197),"")</f>
        <v/>
      </c>
      <c r="F197" s="60">
        <f>IFERROR(SUMIFS(الرواتب_الاضافي,الرواتب_الرقم,$A197),"")</f>
        <v/>
      </c>
      <c r="G197" s="60">
        <f>IFERROR(SUMIFS(الرواتب_الخصومات,الرواتب_الرقم,$A197),"")</f>
        <v/>
      </c>
      <c r="H197" s="60">
        <f>IFERROR(SUMIFS(الرواتب_الصافي,الرواتب_الرقم,$A197),"")</f>
        <v/>
      </c>
      <c r="I197" s="44">
        <f>IFERROR(COUNTIFS(الرواتب_الرقم,$A197),"")</f>
        <v/>
      </c>
    </row>
    <row r="198">
      <c r="A198" s="50">
        <f>IFERROR(INDEX(الموظفون_الرقم,192),"")</f>
        <v/>
      </c>
      <c r="B198" s="50">
        <f>IFERROR(INDEX(الموظفون_الاسم,192),"")</f>
        <v/>
      </c>
      <c r="C198" s="50">
        <f>IFERROR(INDEX(الموظفون_الإدارة,192),"")</f>
        <v/>
      </c>
      <c r="D198" s="63">
        <f>IFERROR(SUMIFS(الرواتب_بدل_النقل,الرواتب_الرقم,$A198)+SUMIFS(الرواتب_بدل_السكن,الرواتب_الرقم,$A198)+SUMIFS(الرواتب_بدلات_اخرى,الرواتب_الرقم,$A198),"")</f>
        <v/>
      </c>
      <c r="E198" s="63">
        <f>IFERROR(SUMIFS(الرواتب_المكافآت,الرواتب_الرقم,$A198),"")</f>
        <v/>
      </c>
      <c r="F198" s="63">
        <f>IFERROR(SUMIFS(الرواتب_الاضافي,الرواتب_الرقم,$A198),"")</f>
        <v/>
      </c>
      <c r="G198" s="63">
        <f>IFERROR(SUMIFS(الرواتب_الخصومات,الرواتب_الرقم,$A198),"")</f>
        <v/>
      </c>
      <c r="H198" s="63">
        <f>IFERROR(SUMIFS(الرواتب_الصافي,الرواتب_الرقم,$A198),"")</f>
        <v/>
      </c>
      <c r="I198" s="51">
        <f>IFERROR(COUNTIFS(الرواتب_الرقم,$A198),"")</f>
        <v/>
      </c>
    </row>
    <row r="199">
      <c r="A199" s="43">
        <f>IFERROR(INDEX(الموظفون_الرقم,193),"")</f>
        <v/>
      </c>
      <c r="B199" s="43">
        <f>IFERROR(INDEX(الموظفون_الاسم,193),"")</f>
        <v/>
      </c>
      <c r="C199" s="43">
        <f>IFERROR(INDEX(الموظفون_الإدارة,193),"")</f>
        <v/>
      </c>
      <c r="D199" s="60">
        <f>IFERROR(SUMIFS(الرواتب_بدل_النقل,الرواتب_الرقم,$A199)+SUMIFS(الرواتب_بدل_السكن,الرواتب_الرقم,$A199)+SUMIFS(الرواتب_بدلات_اخرى,الرواتب_الرقم,$A199),"")</f>
        <v/>
      </c>
      <c r="E199" s="60">
        <f>IFERROR(SUMIFS(الرواتب_المكافآت,الرواتب_الرقم,$A199),"")</f>
        <v/>
      </c>
      <c r="F199" s="60">
        <f>IFERROR(SUMIFS(الرواتب_الاضافي,الرواتب_الرقم,$A199),"")</f>
        <v/>
      </c>
      <c r="G199" s="60">
        <f>IFERROR(SUMIFS(الرواتب_الخصومات,الرواتب_الرقم,$A199),"")</f>
        <v/>
      </c>
      <c r="H199" s="60">
        <f>IFERROR(SUMIFS(الرواتب_الصافي,الرواتب_الرقم,$A199),"")</f>
        <v/>
      </c>
      <c r="I199" s="44">
        <f>IFERROR(COUNTIFS(الرواتب_الرقم,$A199),"")</f>
        <v/>
      </c>
    </row>
    <row r="200">
      <c r="A200" s="50">
        <f>IFERROR(INDEX(الموظفون_الرقم,194),"")</f>
        <v/>
      </c>
      <c r="B200" s="50">
        <f>IFERROR(INDEX(الموظفون_الاسم,194),"")</f>
        <v/>
      </c>
      <c r="C200" s="50">
        <f>IFERROR(INDEX(الموظفون_الإدارة,194),"")</f>
        <v/>
      </c>
      <c r="D200" s="63">
        <f>IFERROR(SUMIFS(الرواتب_بدل_النقل,الرواتب_الرقم,$A200)+SUMIFS(الرواتب_بدل_السكن,الرواتب_الرقم,$A200)+SUMIFS(الرواتب_بدلات_اخرى,الرواتب_الرقم,$A200),"")</f>
        <v/>
      </c>
      <c r="E200" s="63">
        <f>IFERROR(SUMIFS(الرواتب_المكافآت,الرواتب_الرقم,$A200),"")</f>
        <v/>
      </c>
      <c r="F200" s="63">
        <f>IFERROR(SUMIFS(الرواتب_الاضافي,الرواتب_الرقم,$A200),"")</f>
        <v/>
      </c>
      <c r="G200" s="63">
        <f>IFERROR(SUMIFS(الرواتب_الخصومات,الرواتب_الرقم,$A200),"")</f>
        <v/>
      </c>
      <c r="H200" s="63">
        <f>IFERROR(SUMIFS(الرواتب_الصافي,الرواتب_الرقم,$A200),"")</f>
        <v/>
      </c>
      <c r="I200" s="51">
        <f>IFERROR(COUNTIFS(الرواتب_الرقم,$A200),"")</f>
        <v/>
      </c>
    </row>
    <row r="201">
      <c r="A201" s="43">
        <f>IFERROR(INDEX(الموظفون_الرقم,195),"")</f>
        <v/>
      </c>
      <c r="B201" s="43">
        <f>IFERROR(INDEX(الموظفون_الاسم,195),"")</f>
        <v/>
      </c>
      <c r="C201" s="43">
        <f>IFERROR(INDEX(الموظفون_الإدارة,195),"")</f>
        <v/>
      </c>
      <c r="D201" s="60">
        <f>IFERROR(SUMIFS(الرواتب_بدل_النقل,الرواتب_الرقم,$A201)+SUMIFS(الرواتب_بدل_السكن,الرواتب_الرقم,$A201)+SUMIFS(الرواتب_بدلات_اخرى,الرواتب_الرقم,$A201),"")</f>
        <v/>
      </c>
      <c r="E201" s="60">
        <f>IFERROR(SUMIFS(الرواتب_المكافآت,الرواتب_الرقم,$A201),"")</f>
        <v/>
      </c>
      <c r="F201" s="60">
        <f>IFERROR(SUMIFS(الرواتب_الاضافي,الرواتب_الرقم,$A201),"")</f>
        <v/>
      </c>
      <c r="G201" s="60">
        <f>IFERROR(SUMIFS(الرواتب_الخصومات,الرواتب_الرقم,$A201),"")</f>
        <v/>
      </c>
      <c r="H201" s="60">
        <f>IFERROR(SUMIFS(الرواتب_الصافي,الرواتب_الرقم,$A201),"")</f>
        <v/>
      </c>
      <c r="I201" s="44">
        <f>IFERROR(COUNTIFS(الرواتب_الرقم,$A201),"")</f>
        <v/>
      </c>
    </row>
    <row r="202">
      <c r="A202" s="50">
        <f>IFERROR(INDEX(الموظفون_الرقم,196),"")</f>
        <v/>
      </c>
      <c r="B202" s="50">
        <f>IFERROR(INDEX(الموظفون_الاسم,196),"")</f>
        <v/>
      </c>
      <c r="C202" s="50">
        <f>IFERROR(INDEX(الموظفون_الإدارة,196),"")</f>
        <v/>
      </c>
      <c r="D202" s="63">
        <f>IFERROR(SUMIFS(الرواتب_بدل_النقل,الرواتب_الرقم,$A202)+SUMIFS(الرواتب_بدل_السكن,الرواتب_الرقم,$A202)+SUMIFS(الرواتب_بدلات_اخرى,الرواتب_الرقم,$A202),"")</f>
        <v/>
      </c>
      <c r="E202" s="63">
        <f>IFERROR(SUMIFS(الرواتب_المكافآت,الرواتب_الرقم,$A202),"")</f>
        <v/>
      </c>
      <c r="F202" s="63">
        <f>IFERROR(SUMIFS(الرواتب_الاضافي,الرواتب_الرقم,$A202),"")</f>
        <v/>
      </c>
      <c r="G202" s="63">
        <f>IFERROR(SUMIFS(الرواتب_الخصومات,الرواتب_الرقم,$A202),"")</f>
        <v/>
      </c>
      <c r="H202" s="63">
        <f>IFERROR(SUMIFS(الرواتب_الصافي,الرواتب_الرقم,$A202),"")</f>
        <v/>
      </c>
      <c r="I202" s="51">
        <f>IFERROR(COUNTIFS(الرواتب_الرقم,$A202),"")</f>
        <v/>
      </c>
    </row>
    <row r="203">
      <c r="A203" s="43">
        <f>IFERROR(INDEX(الموظفون_الرقم,197),"")</f>
        <v/>
      </c>
      <c r="B203" s="43">
        <f>IFERROR(INDEX(الموظفون_الاسم,197),"")</f>
        <v/>
      </c>
      <c r="C203" s="43">
        <f>IFERROR(INDEX(الموظفون_الإدارة,197),"")</f>
        <v/>
      </c>
      <c r="D203" s="60">
        <f>IFERROR(SUMIFS(الرواتب_بدل_النقل,الرواتب_الرقم,$A203)+SUMIFS(الرواتب_بدل_السكن,الرواتب_الرقم,$A203)+SUMIFS(الرواتب_بدلات_اخرى,الرواتب_الرقم,$A203),"")</f>
        <v/>
      </c>
      <c r="E203" s="60">
        <f>IFERROR(SUMIFS(الرواتب_المكافآت,الرواتب_الرقم,$A203),"")</f>
        <v/>
      </c>
      <c r="F203" s="60">
        <f>IFERROR(SUMIFS(الرواتب_الاضافي,الرواتب_الرقم,$A203),"")</f>
        <v/>
      </c>
      <c r="G203" s="60">
        <f>IFERROR(SUMIFS(الرواتب_الخصومات,الرواتب_الرقم,$A203),"")</f>
        <v/>
      </c>
      <c r="H203" s="60">
        <f>IFERROR(SUMIFS(الرواتب_الصافي,الرواتب_الرقم,$A203),"")</f>
        <v/>
      </c>
      <c r="I203" s="44">
        <f>IFERROR(COUNTIFS(الرواتب_الرقم,$A203),"")</f>
        <v/>
      </c>
    </row>
    <row r="204">
      <c r="A204" s="50">
        <f>IFERROR(INDEX(الموظفون_الرقم,198),"")</f>
        <v/>
      </c>
      <c r="B204" s="50">
        <f>IFERROR(INDEX(الموظفون_الاسم,198),"")</f>
        <v/>
      </c>
      <c r="C204" s="50">
        <f>IFERROR(INDEX(الموظفون_الإدارة,198),"")</f>
        <v/>
      </c>
      <c r="D204" s="63">
        <f>IFERROR(SUMIFS(الرواتب_بدل_النقل,الرواتب_الرقم,$A204)+SUMIFS(الرواتب_بدل_السكن,الرواتب_الرقم,$A204)+SUMIFS(الرواتب_بدلات_اخرى,الرواتب_الرقم,$A204),"")</f>
        <v/>
      </c>
      <c r="E204" s="63">
        <f>IFERROR(SUMIFS(الرواتب_المكافآت,الرواتب_الرقم,$A204),"")</f>
        <v/>
      </c>
      <c r="F204" s="63">
        <f>IFERROR(SUMIFS(الرواتب_الاضافي,الرواتب_الرقم,$A204),"")</f>
        <v/>
      </c>
      <c r="G204" s="63">
        <f>IFERROR(SUMIFS(الرواتب_الخصومات,الرواتب_الرقم,$A204),"")</f>
        <v/>
      </c>
      <c r="H204" s="63">
        <f>IFERROR(SUMIFS(الرواتب_الصافي,الرواتب_الرقم,$A204),"")</f>
        <v/>
      </c>
      <c r="I204" s="51">
        <f>IFERROR(COUNTIFS(الرواتب_الرقم,$A204),"")</f>
        <v/>
      </c>
    </row>
    <row r="205">
      <c r="A205" s="43">
        <f>IFERROR(INDEX(الموظفون_الرقم,199),"")</f>
        <v/>
      </c>
      <c r="B205" s="43">
        <f>IFERROR(INDEX(الموظفون_الاسم,199),"")</f>
        <v/>
      </c>
      <c r="C205" s="43">
        <f>IFERROR(INDEX(الموظفون_الإدارة,199),"")</f>
        <v/>
      </c>
      <c r="D205" s="60">
        <f>IFERROR(SUMIFS(الرواتب_بدل_النقل,الرواتب_الرقم,$A205)+SUMIFS(الرواتب_بدل_السكن,الرواتب_الرقم,$A205)+SUMIFS(الرواتب_بدلات_اخرى,الرواتب_الرقم,$A205),"")</f>
        <v/>
      </c>
      <c r="E205" s="60">
        <f>IFERROR(SUMIFS(الرواتب_المكافآت,الرواتب_الرقم,$A205),"")</f>
        <v/>
      </c>
      <c r="F205" s="60">
        <f>IFERROR(SUMIFS(الرواتب_الاضافي,الرواتب_الرقم,$A205),"")</f>
        <v/>
      </c>
      <c r="G205" s="60">
        <f>IFERROR(SUMIFS(الرواتب_الخصومات,الرواتب_الرقم,$A205),"")</f>
        <v/>
      </c>
      <c r="H205" s="60">
        <f>IFERROR(SUMIFS(الرواتب_الصافي,الرواتب_الرقم,$A205),"")</f>
        <v/>
      </c>
      <c r="I205" s="44">
        <f>IFERROR(COUNTIFS(الرواتب_الرقم,$A205),"")</f>
        <v/>
      </c>
    </row>
    <row r="206">
      <c r="A206" s="50">
        <f>IFERROR(INDEX(الموظفون_الرقم,200),"")</f>
        <v/>
      </c>
      <c r="B206" s="50">
        <f>IFERROR(INDEX(الموظفون_الاسم,200),"")</f>
        <v/>
      </c>
      <c r="C206" s="50">
        <f>IFERROR(INDEX(الموظفون_الإدارة,200),"")</f>
        <v/>
      </c>
      <c r="D206" s="63">
        <f>IFERROR(SUMIFS(الرواتب_بدل_النقل,الرواتب_الرقم,$A206)+SUMIFS(الرواتب_بدل_السكن,الرواتب_الرقم,$A206)+SUMIFS(الرواتب_بدلات_اخرى,الرواتب_الرقم,$A206),"")</f>
        <v/>
      </c>
      <c r="E206" s="63">
        <f>IFERROR(SUMIFS(الرواتب_المكافآت,الرواتب_الرقم,$A206),"")</f>
        <v/>
      </c>
      <c r="F206" s="63">
        <f>IFERROR(SUMIFS(الرواتب_الاضافي,الرواتب_الرقم,$A206),"")</f>
        <v/>
      </c>
      <c r="G206" s="63">
        <f>IFERROR(SUMIFS(الرواتب_الخصومات,الرواتب_الرقم,$A206),"")</f>
        <v/>
      </c>
      <c r="H206" s="63">
        <f>IFERROR(SUMIFS(الرواتب_الصافي,الرواتب_الرقم,$A206),"")</f>
        <v/>
      </c>
      <c r="I206" s="51">
        <f>IFERROR(COUNTIFS(الرواتب_الرقم,$A206),"")</f>
        <v/>
      </c>
    </row>
    <row r="207">
      <c r="A207" s="71" t="inlineStr">
        <is>
          <t>الإجمالي</t>
        </is>
      </c>
      <c r="B207" s="72" t="n"/>
      <c r="C207" s="72" t="n"/>
      <c r="D207" s="73">
        <f>SUM(D7:D206)</f>
        <v/>
      </c>
      <c r="E207" s="73">
        <f>SUM(E7:E206)</f>
        <v/>
      </c>
      <c r="F207" s="73">
        <f>SUM(F7:F206)</f>
        <v/>
      </c>
      <c r="G207" s="73">
        <f>SUM(G7:G206)</f>
        <v/>
      </c>
      <c r="H207" s="73">
        <f>SUM(H7:H206)</f>
        <v/>
      </c>
      <c r="I207" s="7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05"/>
  <mergeCells count="5">
    <mergeCell ref="E3:I3"/>
    <mergeCell ref="A2:I2"/>
    <mergeCell ref="A3:D3"/>
    <mergeCell ref="A1:I1"/>
    <mergeCell ref="A207"/>
  </mergeCells>
  <pageMargins left="0.75" right="0.75" top="1" bottom="1" header="0.5" footer="0.5"/>
  <pageSetup orientation="landscape" paperSize="9" fitToHeight="0" fitToWidth="1"/>
  <headerFooter>
    <oddHeader/>
    <oddFooter>&amp;L&amp;8 نظام إدارة الموارد البشرية&amp;R&amp;8 صفحة &amp;P من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K207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4" customWidth="1" min="3" max="3"/>
    <col width="13" customWidth="1" min="4" max="4"/>
    <col width="14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2" customWidth="1" min="11" max="11"/>
  </cols>
  <sheetData>
    <row r="1" ht="30" customHeight="1">
      <c r="A1" s="1">
        <f>اسم_المؤسسة</f>
        <v/>
      </c>
    </row>
    <row r="2" ht="26" customHeight="1">
      <c r="A2" s="65" t="inlineStr">
        <is>
          <t>تقرير السلف والأقساط</t>
        </is>
      </c>
    </row>
    <row r="3">
      <c r="A3" s="66">
        <f>"تاريخ إعداد التقرير: "&amp;TEXT(TODAY(),"yyyy-mm-dd")</f>
        <v/>
      </c>
      <c r="F3" s="6">
        <f>"السنة المالية: "&amp;السنة_المالية</f>
        <v/>
      </c>
    </row>
    <row r="6" ht="34" customHeight="1">
      <c r="A6" s="67" t="inlineStr">
        <is>
          <t>رقم السلفة</t>
        </is>
      </c>
      <c r="B6" s="67" t="inlineStr">
        <is>
          <t>الرقم الوظيفي</t>
        </is>
      </c>
      <c r="C6" s="67" t="inlineStr">
        <is>
          <t>اسم الموظف</t>
        </is>
      </c>
      <c r="D6" s="67" t="inlineStr">
        <is>
          <t>تاريخ السلفة</t>
        </is>
      </c>
      <c r="E6" s="67" t="inlineStr">
        <is>
          <t>مبلغ السلفة</t>
        </is>
      </c>
      <c r="F6" s="67" t="inlineStr">
        <is>
          <t>عدد الأقساط</t>
        </is>
      </c>
      <c r="G6" s="67" t="inlineStr">
        <is>
          <t>قيمة القسط</t>
        </is>
      </c>
      <c r="H6" s="67" t="inlineStr">
        <is>
          <t>المسدد</t>
        </is>
      </c>
      <c r="I6" s="67" t="inlineStr">
        <is>
          <t>المتبقي</t>
        </is>
      </c>
      <c r="J6" s="67" t="inlineStr">
        <is>
          <t>بداية السداد</t>
        </is>
      </c>
      <c r="K6" s="67" t="inlineStr">
        <is>
          <t>الحالة</t>
        </is>
      </c>
    </row>
    <row r="7">
      <c r="A7" s="43">
        <f>IFERROR(INDEX('السلف'!$A$3:$A$502,1),"")</f>
        <v/>
      </c>
      <c r="B7" s="43">
        <f>IFERROR(INDEX('السلف'!$B$3:$B$502,1),"")</f>
        <v/>
      </c>
      <c r="C7" s="43">
        <f>IFERROR(INDEX('السلف'!$C$3:$C$502,1),"")</f>
        <v/>
      </c>
      <c r="D7" s="118">
        <f>IFERROR(INDEX('السلف'!$D$3:$D$502,1),"")</f>
        <v/>
      </c>
      <c r="E7" s="60">
        <f>IFERROR(INDEX('السلف'!$E$3:$E$502,1),"")</f>
        <v/>
      </c>
      <c r="F7" s="43">
        <f>IFERROR(INDEX('السلف'!$F$3:$F$502,1),"")</f>
        <v/>
      </c>
      <c r="G7" s="60">
        <f>IFERROR(INDEX('السلف'!$G$3:$G$502,1),"")</f>
        <v/>
      </c>
      <c r="H7" s="60">
        <f>IFERROR(INDEX('السلف'!$H$3:$H$502,1),"")</f>
        <v/>
      </c>
      <c r="I7" s="60">
        <f>IFERROR(INDEX('السلف'!$I$3:$I$502,1),"")</f>
        <v/>
      </c>
      <c r="J7" s="118">
        <f>IFERROR(INDEX('السلف'!$J$3:$J$502,1),"")</f>
        <v/>
      </c>
      <c r="K7" s="43">
        <f>IFERROR(INDEX('السلف'!$K$3:$K$502,1),"")</f>
        <v/>
      </c>
    </row>
    <row r="8">
      <c r="A8" s="50">
        <f>IFERROR(INDEX('السلف'!$A$3:$A$502,2),"")</f>
        <v/>
      </c>
      <c r="B8" s="50">
        <f>IFERROR(INDEX('السلف'!$B$3:$B$502,2),"")</f>
        <v/>
      </c>
      <c r="C8" s="50">
        <f>IFERROR(INDEX('السلف'!$C$3:$C$502,2),"")</f>
        <v/>
      </c>
      <c r="D8" s="119">
        <f>IFERROR(INDEX('السلف'!$D$3:$D$502,2),"")</f>
        <v/>
      </c>
      <c r="E8" s="63">
        <f>IFERROR(INDEX('السلف'!$E$3:$E$502,2),"")</f>
        <v/>
      </c>
      <c r="F8" s="50">
        <f>IFERROR(INDEX('السلف'!$F$3:$F$502,2),"")</f>
        <v/>
      </c>
      <c r="G8" s="63">
        <f>IFERROR(INDEX('السلف'!$G$3:$G$502,2),"")</f>
        <v/>
      </c>
      <c r="H8" s="63">
        <f>IFERROR(INDEX('السلف'!$H$3:$H$502,2),"")</f>
        <v/>
      </c>
      <c r="I8" s="63">
        <f>IFERROR(INDEX('السلف'!$I$3:$I$502,2),"")</f>
        <v/>
      </c>
      <c r="J8" s="119">
        <f>IFERROR(INDEX('السلف'!$J$3:$J$502,2),"")</f>
        <v/>
      </c>
      <c r="K8" s="50">
        <f>IFERROR(INDEX('السلف'!$K$3:$K$502,2),"")</f>
        <v/>
      </c>
    </row>
    <row r="9">
      <c r="A9" s="43">
        <f>IFERROR(INDEX('السلف'!$A$3:$A$502,3),"")</f>
        <v/>
      </c>
      <c r="B9" s="43">
        <f>IFERROR(INDEX('السلف'!$B$3:$B$502,3),"")</f>
        <v/>
      </c>
      <c r="C9" s="43">
        <f>IFERROR(INDEX('السلف'!$C$3:$C$502,3),"")</f>
        <v/>
      </c>
      <c r="D9" s="118">
        <f>IFERROR(INDEX('السلف'!$D$3:$D$502,3),"")</f>
        <v/>
      </c>
      <c r="E9" s="60">
        <f>IFERROR(INDEX('السلف'!$E$3:$E$502,3),"")</f>
        <v/>
      </c>
      <c r="F9" s="43">
        <f>IFERROR(INDEX('السلف'!$F$3:$F$502,3),"")</f>
        <v/>
      </c>
      <c r="G9" s="60">
        <f>IFERROR(INDEX('السلف'!$G$3:$G$502,3),"")</f>
        <v/>
      </c>
      <c r="H9" s="60">
        <f>IFERROR(INDEX('السلف'!$H$3:$H$502,3),"")</f>
        <v/>
      </c>
      <c r="I9" s="60">
        <f>IFERROR(INDEX('السلف'!$I$3:$I$502,3),"")</f>
        <v/>
      </c>
      <c r="J9" s="118">
        <f>IFERROR(INDEX('السلف'!$J$3:$J$502,3),"")</f>
        <v/>
      </c>
      <c r="K9" s="43">
        <f>IFERROR(INDEX('السلف'!$K$3:$K$502,3),"")</f>
        <v/>
      </c>
    </row>
    <row r="10">
      <c r="A10" s="50">
        <f>IFERROR(INDEX('السلف'!$A$3:$A$502,4),"")</f>
        <v/>
      </c>
      <c r="B10" s="50">
        <f>IFERROR(INDEX('السلف'!$B$3:$B$502,4),"")</f>
        <v/>
      </c>
      <c r="C10" s="50">
        <f>IFERROR(INDEX('السلف'!$C$3:$C$502,4),"")</f>
        <v/>
      </c>
      <c r="D10" s="119">
        <f>IFERROR(INDEX('السلف'!$D$3:$D$502,4),"")</f>
        <v/>
      </c>
      <c r="E10" s="63">
        <f>IFERROR(INDEX('السلف'!$E$3:$E$502,4),"")</f>
        <v/>
      </c>
      <c r="F10" s="50">
        <f>IFERROR(INDEX('السلف'!$F$3:$F$502,4),"")</f>
        <v/>
      </c>
      <c r="G10" s="63">
        <f>IFERROR(INDEX('السلف'!$G$3:$G$502,4),"")</f>
        <v/>
      </c>
      <c r="H10" s="63">
        <f>IFERROR(INDEX('السلف'!$H$3:$H$502,4),"")</f>
        <v/>
      </c>
      <c r="I10" s="63">
        <f>IFERROR(INDEX('السلف'!$I$3:$I$502,4),"")</f>
        <v/>
      </c>
      <c r="J10" s="119">
        <f>IFERROR(INDEX('السلف'!$J$3:$J$502,4),"")</f>
        <v/>
      </c>
      <c r="K10" s="50">
        <f>IFERROR(INDEX('السلف'!$K$3:$K$502,4),"")</f>
        <v/>
      </c>
    </row>
    <row r="11">
      <c r="A11" s="43">
        <f>IFERROR(INDEX('السلف'!$A$3:$A$502,5),"")</f>
        <v/>
      </c>
      <c r="B11" s="43">
        <f>IFERROR(INDEX('السلف'!$B$3:$B$502,5),"")</f>
        <v/>
      </c>
      <c r="C11" s="43">
        <f>IFERROR(INDEX('السلف'!$C$3:$C$502,5),"")</f>
        <v/>
      </c>
      <c r="D11" s="118">
        <f>IFERROR(INDEX('السلف'!$D$3:$D$502,5),"")</f>
        <v/>
      </c>
      <c r="E11" s="60">
        <f>IFERROR(INDEX('السلف'!$E$3:$E$502,5),"")</f>
        <v/>
      </c>
      <c r="F11" s="43">
        <f>IFERROR(INDEX('السلف'!$F$3:$F$502,5),"")</f>
        <v/>
      </c>
      <c r="G11" s="60">
        <f>IFERROR(INDEX('السلف'!$G$3:$G$502,5),"")</f>
        <v/>
      </c>
      <c r="H11" s="60">
        <f>IFERROR(INDEX('السلف'!$H$3:$H$502,5),"")</f>
        <v/>
      </c>
      <c r="I11" s="60">
        <f>IFERROR(INDEX('السلف'!$I$3:$I$502,5),"")</f>
        <v/>
      </c>
      <c r="J11" s="118">
        <f>IFERROR(INDEX('السلف'!$J$3:$J$502,5),"")</f>
        <v/>
      </c>
      <c r="K11" s="43">
        <f>IFERROR(INDEX('السلف'!$K$3:$K$502,5),"")</f>
        <v/>
      </c>
    </row>
    <row r="12">
      <c r="A12" s="50">
        <f>IFERROR(INDEX('السلف'!$A$3:$A$502,6),"")</f>
        <v/>
      </c>
      <c r="B12" s="50">
        <f>IFERROR(INDEX('السلف'!$B$3:$B$502,6),"")</f>
        <v/>
      </c>
      <c r="C12" s="50">
        <f>IFERROR(INDEX('السلف'!$C$3:$C$502,6),"")</f>
        <v/>
      </c>
      <c r="D12" s="119">
        <f>IFERROR(INDEX('السلف'!$D$3:$D$502,6),"")</f>
        <v/>
      </c>
      <c r="E12" s="63">
        <f>IFERROR(INDEX('السلف'!$E$3:$E$502,6),"")</f>
        <v/>
      </c>
      <c r="F12" s="50">
        <f>IFERROR(INDEX('السلف'!$F$3:$F$502,6),"")</f>
        <v/>
      </c>
      <c r="G12" s="63">
        <f>IFERROR(INDEX('السلف'!$G$3:$G$502,6),"")</f>
        <v/>
      </c>
      <c r="H12" s="63">
        <f>IFERROR(INDEX('السلف'!$H$3:$H$502,6),"")</f>
        <v/>
      </c>
      <c r="I12" s="63">
        <f>IFERROR(INDEX('السلف'!$I$3:$I$502,6),"")</f>
        <v/>
      </c>
      <c r="J12" s="119">
        <f>IFERROR(INDEX('السلف'!$J$3:$J$502,6),"")</f>
        <v/>
      </c>
      <c r="K12" s="50">
        <f>IFERROR(INDEX('السلف'!$K$3:$K$502,6),"")</f>
        <v/>
      </c>
    </row>
    <row r="13">
      <c r="A13" s="43">
        <f>IFERROR(INDEX('السلف'!$A$3:$A$502,7),"")</f>
        <v/>
      </c>
      <c r="B13" s="43">
        <f>IFERROR(INDEX('السلف'!$B$3:$B$502,7),"")</f>
        <v/>
      </c>
      <c r="C13" s="43">
        <f>IFERROR(INDEX('السلف'!$C$3:$C$502,7),"")</f>
        <v/>
      </c>
      <c r="D13" s="118">
        <f>IFERROR(INDEX('السلف'!$D$3:$D$502,7),"")</f>
        <v/>
      </c>
      <c r="E13" s="60">
        <f>IFERROR(INDEX('السلف'!$E$3:$E$502,7),"")</f>
        <v/>
      </c>
      <c r="F13" s="43">
        <f>IFERROR(INDEX('السلف'!$F$3:$F$502,7),"")</f>
        <v/>
      </c>
      <c r="G13" s="60">
        <f>IFERROR(INDEX('السلف'!$G$3:$G$502,7),"")</f>
        <v/>
      </c>
      <c r="H13" s="60">
        <f>IFERROR(INDEX('السلف'!$H$3:$H$502,7),"")</f>
        <v/>
      </c>
      <c r="I13" s="60">
        <f>IFERROR(INDEX('السلف'!$I$3:$I$502,7),"")</f>
        <v/>
      </c>
      <c r="J13" s="118">
        <f>IFERROR(INDEX('السلف'!$J$3:$J$502,7),"")</f>
        <v/>
      </c>
      <c r="K13" s="43">
        <f>IFERROR(INDEX('السلف'!$K$3:$K$502,7),"")</f>
        <v/>
      </c>
    </row>
    <row r="14">
      <c r="A14" s="50">
        <f>IFERROR(INDEX('السلف'!$A$3:$A$502,8),"")</f>
        <v/>
      </c>
      <c r="B14" s="50">
        <f>IFERROR(INDEX('السلف'!$B$3:$B$502,8),"")</f>
        <v/>
      </c>
      <c r="C14" s="50">
        <f>IFERROR(INDEX('السلف'!$C$3:$C$502,8),"")</f>
        <v/>
      </c>
      <c r="D14" s="119">
        <f>IFERROR(INDEX('السلف'!$D$3:$D$502,8),"")</f>
        <v/>
      </c>
      <c r="E14" s="63">
        <f>IFERROR(INDEX('السلف'!$E$3:$E$502,8),"")</f>
        <v/>
      </c>
      <c r="F14" s="50">
        <f>IFERROR(INDEX('السلف'!$F$3:$F$502,8),"")</f>
        <v/>
      </c>
      <c r="G14" s="63">
        <f>IFERROR(INDEX('السلف'!$G$3:$G$502,8),"")</f>
        <v/>
      </c>
      <c r="H14" s="63">
        <f>IFERROR(INDEX('السلف'!$H$3:$H$502,8),"")</f>
        <v/>
      </c>
      <c r="I14" s="63">
        <f>IFERROR(INDEX('السلف'!$I$3:$I$502,8),"")</f>
        <v/>
      </c>
      <c r="J14" s="119">
        <f>IFERROR(INDEX('السلف'!$J$3:$J$502,8),"")</f>
        <v/>
      </c>
      <c r="K14" s="50">
        <f>IFERROR(INDEX('السلف'!$K$3:$K$502,8),"")</f>
        <v/>
      </c>
    </row>
    <row r="15">
      <c r="A15" s="43">
        <f>IFERROR(INDEX('السلف'!$A$3:$A$502,9),"")</f>
        <v/>
      </c>
      <c r="B15" s="43">
        <f>IFERROR(INDEX('السلف'!$B$3:$B$502,9),"")</f>
        <v/>
      </c>
      <c r="C15" s="43">
        <f>IFERROR(INDEX('السلف'!$C$3:$C$502,9),"")</f>
        <v/>
      </c>
      <c r="D15" s="118">
        <f>IFERROR(INDEX('السلف'!$D$3:$D$502,9),"")</f>
        <v/>
      </c>
      <c r="E15" s="60">
        <f>IFERROR(INDEX('السلف'!$E$3:$E$502,9),"")</f>
        <v/>
      </c>
      <c r="F15" s="43">
        <f>IFERROR(INDEX('السلف'!$F$3:$F$502,9),"")</f>
        <v/>
      </c>
      <c r="G15" s="60">
        <f>IFERROR(INDEX('السلف'!$G$3:$G$502,9),"")</f>
        <v/>
      </c>
      <c r="H15" s="60">
        <f>IFERROR(INDEX('السلف'!$H$3:$H$502,9),"")</f>
        <v/>
      </c>
      <c r="I15" s="60">
        <f>IFERROR(INDEX('السلف'!$I$3:$I$502,9),"")</f>
        <v/>
      </c>
      <c r="J15" s="118">
        <f>IFERROR(INDEX('السلف'!$J$3:$J$502,9),"")</f>
        <v/>
      </c>
      <c r="K15" s="43">
        <f>IFERROR(INDEX('السلف'!$K$3:$K$502,9),"")</f>
        <v/>
      </c>
    </row>
    <row r="16">
      <c r="A16" s="50">
        <f>IFERROR(INDEX('السلف'!$A$3:$A$502,10),"")</f>
        <v/>
      </c>
      <c r="B16" s="50">
        <f>IFERROR(INDEX('السلف'!$B$3:$B$502,10),"")</f>
        <v/>
      </c>
      <c r="C16" s="50">
        <f>IFERROR(INDEX('السلف'!$C$3:$C$502,10),"")</f>
        <v/>
      </c>
      <c r="D16" s="119">
        <f>IFERROR(INDEX('السلف'!$D$3:$D$502,10),"")</f>
        <v/>
      </c>
      <c r="E16" s="63">
        <f>IFERROR(INDEX('السلف'!$E$3:$E$502,10),"")</f>
        <v/>
      </c>
      <c r="F16" s="50">
        <f>IFERROR(INDEX('السلف'!$F$3:$F$502,10),"")</f>
        <v/>
      </c>
      <c r="G16" s="63">
        <f>IFERROR(INDEX('السلف'!$G$3:$G$502,10),"")</f>
        <v/>
      </c>
      <c r="H16" s="63">
        <f>IFERROR(INDEX('السلف'!$H$3:$H$502,10),"")</f>
        <v/>
      </c>
      <c r="I16" s="63">
        <f>IFERROR(INDEX('السلف'!$I$3:$I$502,10),"")</f>
        <v/>
      </c>
      <c r="J16" s="119">
        <f>IFERROR(INDEX('السلف'!$J$3:$J$502,10),"")</f>
        <v/>
      </c>
      <c r="K16" s="50">
        <f>IFERROR(INDEX('السلف'!$K$3:$K$502,10),"")</f>
        <v/>
      </c>
    </row>
    <row r="17">
      <c r="A17" s="43">
        <f>IFERROR(INDEX('السلف'!$A$3:$A$502,11),"")</f>
        <v/>
      </c>
      <c r="B17" s="43">
        <f>IFERROR(INDEX('السلف'!$B$3:$B$502,11),"")</f>
        <v/>
      </c>
      <c r="C17" s="43">
        <f>IFERROR(INDEX('السلف'!$C$3:$C$502,11),"")</f>
        <v/>
      </c>
      <c r="D17" s="118">
        <f>IFERROR(INDEX('السلف'!$D$3:$D$502,11),"")</f>
        <v/>
      </c>
      <c r="E17" s="60">
        <f>IFERROR(INDEX('السلف'!$E$3:$E$502,11),"")</f>
        <v/>
      </c>
      <c r="F17" s="43">
        <f>IFERROR(INDEX('السلف'!$F$3:$F$502,11),"")</f>
        <v/>
      </c>
      <c r="G17" s="60">
        <f>IFERROR(INDEX('السلف'!$G$3:$G$502,11),"")</f>
        <v/>
      </c>
      <c r="H17" s="60">
        <f>IFERROR(INDEX('السلف'!$H$3:$H$502,11),"")</f>
        <v/>
      </c>
      <c r="I17" s="60">
        <f>IFERROR(INDEX('السلف'!$I$3:$I$502,11),"")</f>
        <v/>
      </c>
      <c r="J17" s="118">
        <f>IFERROR(INDEX('السلف'!$J$3:$J$502,11),"")</f>
        <v/>
      </c>
      <c r="K17" s="43">
        <f>IFERROR(INDEX('السلف'!$K$3:$K$502,11),"")</f>
        <v/>
      </c>
    </row>
    <row r="18">
      <c r="A18" s="50">
        <f>IFERROR(INDEX('السلف'!$A$3:$A$502,12),"")</f>
        <v/>
      </c>
      <c r="B18" s="50">
        <f>IFERROR(INDEX('السلف'!$B$3:$B$502,12),"")</f>
        <v/>
      </c>
      <c r="C18" s="50">
        <f>IFERROR(INDEX('السلف'!$C$3:$C$502,12),"")</f>
        <v/>
      </c>
      <c r="D18" s="119">
        <f>IFERROR(INDEX('السلف'!$D$3:$D$502,12),"")</f>
        <v/>
      </c>
      <c r="E18" s="63">
        <f>IFERROR(INDEX('السلف'!$E$3:$E$502,12),"")</f>
        <v/>
      </c>
      <c r="F18" s="50">
        <f>IFERROR(INDEX('السلف'!$F$3:$F$502,12),"")</f>
        <v/>
      </c>
      <c r="G18" s="63">
        <f>IFERROR(INDEX('السلف'!$G$3:$G$502,12),"")</f>
        <v/>
      </c>
      <c r="H18" s="63">
        <f>IFERROR(INDEX('السلف'!$H$3:$H$502,12),"")</f>
        <v/>
      </c>
      <c r="I18" s="63">
        <f>IFERROR(INDEX('السلف'!$I$3:$I$502,12),"")</f>
        <v/>
      </c>
      <c r="J18" s="119">
        <f>IFERROR(INDEX('السلف'!$J$3:$J$502,12),"")</f>
        <v/>
      </c>
      <c r="K18" s="50">
        <f>IFERROR(INDEX('السلف'!$K$3:$K$502,12),"")</f>
        <v/>
      </c>
    </row>
    <row r="19">
      <c r="A19" s="43">
        <f>IFERROR(INDEX('السلف'!$A$3:$A$502,13),"")</f>
        <v/>
      </c>
      <c r="B19" s="43">
        <f>IFERROR(INDEX('السلف'!$B$3:$B$502,13),"")</f>
        <v/>
      </c>
      <c r="C19" s="43">
        <f>IFERROR(INDEX('السلف'!$C$3:$C$502,13),"")</f>
        <v/>
      </c>
      <c r="D19" s="118">
        <f>IFERROR(INDEX('السلف'!$D$3:$D$502,13),"")</f>
        <v/>
      </c>
      <c r="E19" s="60">
        <f>IFERROR(INDEX('السلف'!$E$3:$E$502,13),"")</f>
        <v/>
      </c>
      <c r="F19" s="43">
        <f>IFERROR(INDEX('السلف'!$F$3:$F$502,13),"")</f>
        <v/>
      </c>
      <c r="G19" s="60">
        <f>IFERROR(INDEX('السلف'!$G$3:$G$502,13),"")</f>
        <v/>
      </c>
      <c r="H19" s="60">
        <f>IFERROR(INDEX('السلف'!$H$3:$H$502,13),"")</f>
        <v/>
      </c>
      <c r="I19" s="60">
        <f>IFERROR(INDEX('السلف'!$I$3:$I$502,13),"")</f>
        <v/>
      </c>
      <c r="J19" s="118">
        <f>IFERROR(INDEX('السلف'!$J$3:$J$502,13),"")</f>
        <v/>
      </c>
      <c r="K19" s="43">
        <f>IFERROR(INDEX('السلف'!$K$3:$K$502,13),"")</f>
        <v/>
      </c>
    </row>
    <row r="20">
      <c r="A20" s="50">
        <f>IFERROR(INDEX('السلف'!$A$3:$A$502,14),"")</f>
        <v/>
      </c>
      <c r="B20" s="50">
        <f>IFERROR(INDEX('السلف'!$B$3:$B$502,14),"")</f>
        <v/>
      </c>
      <c r="C20" s="50">
        <f>IFERROR(INDEX('السلف'!$C$3:$C$502,14),"")</f>
        <v/>
      </c>
      <c r="D20" s="119">
        <f>IFERROR(INDEX('السلف'!$D$3:$D$502,14),"")</f>
        <v/>
      </c>
      <c r="E20" s="63">
        <f>IFERROR(INDEX('السلف'!$E$3:$E$502,14),"")</f>
        <v/>
      </c>
      <c r="F20" s="50">
        <f>IFERROR(INDEX('السلف'!$F$3:$F$502,14),"")</f>
        <v/>
      </c>
      <c r="G20" s="63">
        <f>IFERROR(INDEX('السلف'!$G$3:$G$502,14),"")</f>
        <v/>
      </c>
      <c r="H20" s="63">
        <f>IFERROR(INDEX('السلف'!$H$3:$H$502,14),"")</f>
        <v/>
      </c>
      <c r="I20" s="63">
        <f>IFERROR(INDEX('السلف'!$I$3:$I$502,14),"")</f>
        <v/>
      </c>
      <c r="J20" s="119">
        <f>IFERROR(INDEX('السلف'!$J$3:$J$502,14),"")</f>
        <v/>
      </c>
      <c r="K20" s="50">
        <f>IFERROR(INDEX('السلف'!$K$3:$K$502,14),"")</f>
        <v/>
      </c>
    </row>
    <row r="21">
      <c r="A21" s="43">
        <f>IFERROR(INDEX('السلف'!$A$3:$A$502,15),"")</f>
        <v/>
      </c>
      <c r="B21" s="43">
        <f>IFERROR(INDEX('السلف'!$B$3:$B$502,15),"")</f>
        <v/>
      </c>
      <c r="C21" s="43">
        <f>IFERROR(INDEX('السلف'!$C$3:$C$502,15),"")</f>
        <v/>
      </c>
      <c r="D21" s="118">
        <f>IFERROR(INDEX('السلف'!$D$3:$D$502,15),"")</f>
        <v/>
      </c>
      <c r="E21" s="60">
        <f>IFERROR(INDEX('السلف'!$E$3:$E$502,15),"")</f>
        <v/>
      </c>
      <c r="F21" s="43">
        <f>IFERROR(INDEX('السلف'!$F$3:$F$502,15),"")</f>
        <v/>
      </c>
      <c r="G21" s="60">
        <f>IFERROR(INDEX('السلف'!$G$3:$G$502,15),"")</f>
        <v/>
      </c>
      <c r="H21" s="60">
        <f>IFERROR(INDEX('السلف'!$H$3:$H$502,15),"")</f>
        <v/>
      </c>
      <c r="I21" s="60">
        <f>IFERROR(INDEX('السلف'!$I$3:$I$502,15),"")</f>
        <v/>
      </c>
      <c r="J21" s="118">
        <f>IFERROR(INDEX('السلف'!$J$3:$J$502,15),"")</f>
        <v/>
      </c>
      <c r="K21" s="43">
        <f>IFERROR(INDEX('السلف'!$K$3:$K$502,15),"")</f>
        <v/>
      </c>
    </row>
    <row r="22">
      <c r="A22" s="50">
        <f>IFERROR(INDEX('السلف'!$A$3:$A$502,16),"")</f>
        <v/>
      </c>
      <c r="B22" s="50">
        <f>IFERROR(INDEX('السلف'!$B$3:$B$502,16),"")</f>
        <v/>
      </c>
      <c r="C22" s="50">
        <f>IFERROR(INDEX('السلف'!$C$3:$C$502,16),"")</f>
        <v/>
      </c>
      <c r="D22" s="119">
        <f>IFERROR(INDEX('السلف'!$D$3:$D$502,16),"")</f>
        <v/>
      </c>
      <c r="E22" s="63">
        <f>IFERROR(INDEX('السلف'!$E$3:$E$502,16),"")</f>
        <v/>
      </c>
      <c r="F22" s="50">
        <f>IFERROR(INDEX('السلف'!$F$3:$F$502,16),"")</f>
        <v/>
      </c>
      <c r="G22" s="63">
        <f>IFERROR(INDEX('السلف'!$G$3:$G$502,16),"")</f>
        <v/>
      </c>
      <c r="H22" s="63">
        <f>IFERROR(INDEX('السلف'!$H$3:$H$502,16),"")</f>
        <v/>
      </c>
      <c r="I22" s="63">
        <f>IFERROR(INDEX('السلف'!$I$3:$I$502,16),"")</f>
        <v/>
      </c>
      <c r="J22" s="119">
        <f>IFERROR(INDEX('السلف'!$J$3:$J$502,16),"")</f>
        <v/>
      </c>
      <c r="K22" s="50">
        <f>IFERROR(INDEX('السلف'!$K$3:$K$502,16),"")</f>
        <v/>
      </c>
    </row>
    <row r="23">
      <c r="A23" s="43">
        <f>IFERROR(INDEX('السلف'!$A$3:$A$502,17),"")</f>
        <v/>
      </c>
      <c r="B23" s="43">
        <f>IFERROR(INDEX('السلف'!$B$3:$B$502,17),"")</f>
        <v/>
      </c>
      <c r="C23" s="43">
        <f>IFERROR(INDEX('السلف'!$C$3:$C$502,17),"")</f>
        <v/>
      </c>
      <c r="D23" s="118">
        <f>IFERROR(INDEX('السلف'!$D$3:$D$502,17),"")</f>
        <v/>
      </c>
      <c r="E23" s="60">
        <f>IFERROR(INDEX('السلف'!$E$3:$E$502,17),"")</f>
        <v/>
      </c>
      <c r="F23" s="43">
        <f>IFERROR(INDEX('السلف'!$F$3:$F$502,17),"")</f>
        <v/>
      </c>
      <c r="G23" s="60">
        <f>IFERROR(INDEX('السلف'!$G$3:$G$502,17),"")</f>
        <v/>
      </c>
      <c r="H23" s="60">
        <f>IFERROR(INDEX('السلف'!$H$3:$H$502,17),"")</f>
        <v/>
      </c>
      <c r="I23" s="60">
        <f>IFERROR(INDEX('السلف'!$I$3:$I$502,17),"")</f>
        <v/>
      </c>
      <c r="J23" s="118">
        <f>IFERROR(INDEX('السلف'!$J$3:$J$502,17),"")</f>
        <v/>
      </c>
      <c r="K23" s="43">
        <f>IFERROR(INDEX('السلف'!$K$3:$K$502,17),"")</f>
        <v/>
      </c>
    </row>
    <row r="24">
      <c r="A24" s="50">
        <f>IFERROR(INDEX('السلف'!$A$3:$A$502,18),"")</f>
        <v/>
      </c>
      <c r="B24" s="50">
        <f>IFERROR(INDEX('السلف'!$B$3:$B$502,18),"")</f>
        <v/>
      </c>
      <c r="C24" s="50">
        <f>IFERROR(INDEX('السلف'!$C$3:$C$502,18),"")</f>
        <v/>
      </c>
      <c r="D24" s="119">
        <f>IFERROR(INDEX('السلف'!$D$3:$D$502,18),"")</f>
        <v/>
      </c>
      <c r="E24" s="63">
        <f>IFERROR(INDEX('السلف'!$E$3:$E$502,18),"")</f>
        <v/>
      </c>
      <c r="F24" s="50">
        <f>IFERROR(INDEX('السلف'!$F$3:$F$502,18),"")</f>
        <v/>
      </c>
      <c r="G24" s="63">
        <f>IFERROR(INDEX('السلف'!$G$3:$G$502,18),"")</f>
        <v/>
      </c>
      <c r="H24" s="63">
        <f>IFERROR(INDEX('السلف'!$H$3:$H$502,18),"")</f>
        <v/>
      </c>
      <c r="I24" s="63">
        <f>IFERROR(INDEX('السلف'!$I$3:$I$502,18),"")</f>
        <v/>
      </c>
      <c r="J24" s="119">
        <f>IFERROR(INDEX('السلف'!$J$3:$J$502,18),"")</f>
        <v/>
      </c>
      <c r="K24" s="50">
        <f>IFERROR(INDEX('السلف'!$K$3:$K$502,18),"")</f>
        <v/>
      </c>
    </row>
    <row r="25">
      <c r="A25" s="43">
        <f>IFERROR(INDEX('السلف'!$A$3:$A$502,19),"")</f>
        <v/>
      </c>
      <c r="B25" s="43">
        <f>IFERROR(INDEX('السلف'!$B$3:$B$502,19),"")</f>
        <v/>
      </c>
      <c r="C25" s="43">
        <f>IFERROR(INDEX('السلف'!$C$3:$C$502,19),"")</f>
        <v/>
      </c>
      <c r="D25" s="118">
        <f>IFERROR(INDEX('السلف'!$D$3:$D$502,19),"")</f>
        <v/>
      </c>
      <c r="E25" s="60">
        <f>IFERROR(INDEX('السلف'!$E$3:$E$502,19),"")</f>
        <v/>
      </c>
      <c r="F25" s="43">
        <f>IFERROR(INDEX('السلف'!$F$3:$F$502,19),"")</f>
        <v/>
      </c>
      <c r="G25" s="60">
        <f>IFERROR(INDEX('السلف'!$G$3:$G$502,19),"")</f>
        <v/>
      </c>
      <c r="H25" s="60">
        <f>IFERROR(INDEX('السلف'!$H$3:$H$502,19),"")</f>
        <v/>
      </c>
      <c r="I25" s="60">
        <f>IFERROR(INDEX('السلف'!$I$3:$I$502,19),"")</f>
        <v/>
      </c>
      <c r="J25" s="118">
        <f>IFERROR(INDEX('السلف'!$J$3:$J$502,19),"")</f>
        <v/>
      </c>
      <c r="K25" s="43">
        <f>IFERROR(INDEX('السلف'!$K$3:$K$502,19),"")</f>
        <v/>
      </c>
    </row>
    <row r="26">
      <c r="A26" s="50">
        <f>IFERROR(INDEX('السلف'!$A$3:$A$502,20),"")</f>
        <v/>
      </c>
      <c r="B26" s="50">
        <f>IFERROR(INDEX('السلف'!$B$3:$B$502,20),"")</f>
        <v/>
      </c>
      <c r="C26" s="50">
        <f>IFERROR(INDEX('السلف'!$C$3:$C$502,20),"")</f>
        <v/>
      </c>
      <c r="D26" s="119">
        <f>IFERROR(INDEX('السلف'!$D$3:$D$502,20),"")</f>
        <v/>
      </c>
      <c r="E26" s="63">
        <f>IFERROR(INDEX('السلف'!$E$3:$E$502,20),"")</f>
        <v/>
      </c>
      <c r="F26" s="50">
        <f>IFERROR(INDEX('السلف'!$F$3:$F$502,20),"")</f>
        <v/>
      </c>
      <c r="G26" s="63">
        <f>IFERROR(INDEX('السلف'!$G$3:$G$502,20),"")</f>
        <v/>
      </c>
      <c r="H26" s="63">
        <f>IFERROR(INDEX('السلف'!$H$3:$H$502,20),"")</f>
        <v/>
      </c>
      <c r="I26" s="63">
        <f>IFERROR(INDEX('السلف'!$I$3:$I$502,20),"")</f>
        <v/>
      </c>
      <c r="J26" s="119">
        <f>IFERROR(INDEX('السلف'!$J$3:$J$502,20),"")</f>
        <v/>
      </c>
      <c r="K26" s="50">
        <f>IFERROR(INDEX('السلف'!$K$3:$K$502,20),"")</f>
        <v/>
      </c>
    </row>
    <row r="27">
      <c r="A27" s="43">
        <f>IFERROR(INDEX('السلف'!$A$3:$A$502,21),"")</f>
        <v/>
      </c>
      <c r="B27" s="43">
        <f>IFERROR(INDEX('السلف'!$B$3:$B$502,21),"")</f>
        <v/>
      </c>
      <c r="C27" s="43">
        <f>IFERROR(INDEX('السلف'!$C$3:$C$502,21),"")</f>
        <v/>
      </c>
      <c r="D27" s="118">
        <f>IFERROR(INDEX('السلف'!$D$3:$D$502,21),"")</f>
        <v/>
      </c>
      <c r="E27" s="60">
        <f>IFERROR(INDEX('السلف'!$E$3:$E$502,21),"")</f>
        <v/>
      </c>
      <c r="F27" s="43">
        <f>IFERROR(INDEX('السلف'!$F$3:$F$502,21),"")</f>
        <v/>
      </c>
      <c r="G27" s="60">
        <f>IFERROR(INDEX('السلف'!$G$3:$G$502,21),"")</f>
        <v/>
      </c>
      <c r="H27" s="60">
        <f>IFERROR(INDEX('السلف'!$H$3:$H$502,21),"")</f>
        <v/>
      </c>
      <c r="I27" s="60">
        <f>IFERROR(INDEX('السلف'!$I$3:$I$502,21),"")</f>
        <v/>
      </c>
      <c r="J27" s="118">
        <f>IFERROR(INDEX('السلف'!$J$3:$J$502,21),"")</f>
        <v/>
      </c>
      <c r="K27" s="43">
        <f>IFERROR(INDEX('السلف'!$K$3:$K$502,21),"")</f>
        <v/>
      </c>
    </row>
    <row r="28">
      <c r="A28" s="50">
        <f>IFERROR(INDEX('السلف'!$A$3:$A$502,22),"")</f>
        <v/>
      </c>
      <c r="B28" s="50">
        <f>IFERROR(INDEX('السلف'!$B$3:$B$502,22),"")</f>
        <v/>
      </c>
      <c r="C28" s="50">
        <f>IFERROR(INDEX('السلف'!$C$3:$C$502,22),"")</f>
        <v/>
      </c>
      <c r="D28" s="119">
        <f>IFERROR(INDEX('السلف'!$D$3:$D$502,22),"")</f>
        <v/>
      </c>
      <c r="E28" s="63">
        <f>IFERROR(INDEX('السلف'!$E$3:$E$502,22),"")</f>
        <v/>
      </c>
      <c r="F28" s="50">
        <f>IFERROR(INDEX('السلف'!$F$3:$F$502,22),"")</f>
        <v/>
      </c>
      <c r="G28" s="63">
        <f>IFERROR(INDEX('السلف'!$G$3:$G$502,22),"")</f>
        <v/>
      </c>
      <c r="H28" s="63">
        <f>IFERROR(INDEX('السلف'!$H$3:$H$502,22),"")</f>
        <v/>
      </c>
      <c r="I28" s="63">
        <f>IFERROR(INDEX('السلف'!$I$3:$I$502,22),"")</f>
        <v/>
      </c>
      <c r="J28" s="119">
        <f>IFERROR(INDEX('السلف'!$J$3:$J$502,22),"")</f>
        <v/>
      </c>
      <c r="K28" s="50">
        <f>IFERROR(INDEX('السلف'!$K$3:$K$502,22),"")</f>
        <v/>
      </c>
    </row>
    <row r="29">
      <c r="A29" s="43">
        <f>IFERROR(INDEX('السلف'!$A$3:$A$502,23),"")</f>
        <v/>
      </c>
      <c r="B29" s="43">
        <f>IFERROR(INDEX('السلف'!$B$3:$B$502,23),"")</f>
        <v/>
      </c>
      <c r="C29" s="43">
        <f>IFERROR(INDEX('السلف'!$C$3:$C$502,23),"")</f>
        <v/>
      </c>
      <c r="D29" s="118">
        <f>IFERROR(INDEX('السلف'!$D$3:$D$502,23),"")</f>
        <v/>
      </c>
      <c r="E29" s="60">
        <f>IFERROR(INDEX('السلف'!$E$3:$E$502,23),"")</f>
        <v/>
      </c>
      <c r="F29" s="43">
        <f>IFERROR(INDEX('السلف'!$F$3:$F$502,23),"")</f>
        <v/>
      </c>
      <c r="G29" s="60">
        <f>IFERROR(INDEX('السلف'!$G$3:$G$502,23),"")</f>
        <v/>
      </c>
      <c r="H29" s="60">
        <f>IFERROR(INDEX('السلف'!$H$3:$H$502,23),"")</f>
        <v/>
      </c>
      <c r="I29" s="60">
        <f>IFERROR(INDEX('السلف'!$I$3:$I$502,23),"")</f>
        <v/>
      </c>
      <c r="J29" s="118">
        <f>IFERROR(INDEX('السلف'!$J$3:$J$502,23),"")</f>
        <v/>
      </c>
      <c r="K29" s="43">
        <f>IFERROR(INDEX('السلف'!$K$3:$K$502,23),"")</f>
        <v/>
      </c>
    </row>
    <row r="30">
      <c r="A30" s="50">
        <f>IFERROR(INDEX('السلف'!$A$3:$A$502,24),"")</f>
        <v/>
      </c>
      <c r="B30" s="50">
        <f>IFERROR(INDEX('السلف'!$B$3:$B$502,24),"")</f>
        <v/>
      </c>
      <c r="C30" s="50">
        <f>IFERROR(INDEX('السلف'!$C$3:$C$502,24),"")</f>
        <v/>
      </c>
      <c r="D30" s="119">
        <f>IFERROR(INDEX('السلف'!$D$3:$D$502,24),"")</f>
        <v/>
      </c>
      <c r="E30" s="63">
        <f>IFERROR(INDEX('السلف'!$E$3:$E$502,24),"")</f>
        <v/>
      </c>
      <c r="F30" s="50">
        <f>IFERROR(INDEX('السلف'!$F$3:$F$502,24),"")</f>
        <v/>
      </c>
      <c r="G30" s="63">
        <f>IFERROR(INDEX('السلف'!$G$3:$G$502,24),"")</f>
        <v/>
      </c>
      <c r="H30" s="63">
        <f>IFERROR(INDEX('السلف'!$H$3:$H$502,24),"")</f>
        <v/>
      </c>
      <c r="I30" s="63">
        <f>IFERROR(INDEX('السلف'!$I$3:$I$502,24),"")</f>
        <v/>
      </c>
      <c r="J30" s="119">
        <f>IFERROR(INDEX('السلف'!$J$3:$J$502,24),"")</f>
        <v/>
      </c>
      <c r="K30" s="50">
        <f>IFERROR(INDEX('السلف'!$K$3:$K$502,24),"")</f>
        <v/>
      </c>
    </row>
    <row r="31">
      <c r="A31" s="43">
        <f>IFERROR(INDEX('السلف'!$A$3:$A$502,25),"")</f>
        <v/>
      </c>
      <c r="B31" s="43">
        <f>IFERROR(INDEX('السلف'!$B$3:$B$502,25),"")</f>
        <v/>
      </c>
      <c r="C31" s="43">
        <f>IFERROR(INDEX('السلف'!$C$3:$C$502,25),"")</f>
        <v/>
      </c>
      <c r="D31" s="118">
        <f>IFERROR(INDEX('السلف'!$D$3:$D$502,25),"")</f>
        <v/>
      </c>
      <c r="E31" s="60">
        <f>IFERROR(INDEX('السلف'!$E$3:$E$502,25),"")</f>
        <v/>
      </c>
      <c r="F31" s="43">
        <f>IFERROR(INDEX('السلف'!$F$3:$F$502,25),"")</f>
        <v/>
      </c>
      <c r="G31" s="60">
        <f>IFERROR(INDEX('السلف'!$G$3:$G$502,25),"")</f>
        <v/>
      </c>
      <c r="H31" s="60">
        <f>IFERROR(INDEX('السلف'!$H$3:$H$502,25),"")</f>
        <v/>
      </c>
      <c r="I31" s="60">
        <f>IFERROR(INDEX('السلف'!$I$3:$I$502,25),"")</f>
        <v/>
      </c>
      <c r="J31" s="118">
        <f>IFERROR(INDEX('السلف'!$J$3:$J$502,25),"")</f>
        <v/>
      </c>
      <c r="K31" s="43">
        <f>IFERROR(INDEX('السلف'!$K$3:$K$502,25),"")</f>
        <v/>
      </c>
    </row>
    <row r="32">
      <c r="A32" s="50">
        <f>IFERROR(INDEX('السلف'!$A$3:$A$502,26),"")</f>
        <v/>
      </c>
      <c r="B32" s="50">
        <f>IFERROR(INDEX('السلف'!$B$3:$B$502,26),"")</f>
        <v/>
      </c>
      <c r="C32" s="50">
        <f>IFERROR(INDEX('السلف'!$C$3:$C$502,26),"")</f>
        <v/>
      </c>
      <c r="D32" s="119">
        <f>IFERROR(INDEX('السلف'!$D$3:$D$502,26),"")</f>
        <v/>
      </c>
      <c r="E32" s="63">
        <f>IFERROR(INDEX('السلف'!$E$3:$E$502,26),"")</f>
        <v/>
      </c>
      <c r="F32" s="50">
        <f>IFERROR(INDEX('السلف'!$F$3:$F$502,26),"")</f>
        <v/>
      </c>
      <c r="G32" s="63">
        <f>IFERROR(INDEX('السلف'!$G$3:$G$502,26),"")</f>
        <v/>
      </c>
      <c r="H32" s="63">
        <f>IFERROR(INDEX('السلف'!$H$3:$H$502,26),"")</f>
        <v/>
      </c>
      <c r="I32" s="63">
        <f>IFERROR(INDEX('السلف'!$I$3:$I$502,26),"")</f>
        <v/>
      </c>
      <c r="J32" s="119">
        <f>IFERROR(INDEX('السلف'!$J$3:$J$502,26),"")</f>
        <v/>
      </c>
      <c r="K32" s="50">
        <f>IFERROR(INDEX('السلف'!$K$3:$K$502,26),"")</f>
        <v/>
      </c>
    </row>
    <row r="33">
      <c r="A33" s="43">
        <f>IFERROR(INDEX('السلف'!$A$3:$A$502,27),"")</f>
        <v/>
      </c>
      <c r="B33" s="43">
        <f>IFERROR(INDEX('السلف'!$B$3:$B$502,27),"")</f>
        <v/>
      </c>
      <c r="C33" s="43">
        <f>IFERROR(INDEX('السلف'!$C$3:$C$502,27),"")</f>
        <v/>
      </c>
      <c r="D33" s="118">
        <f>IFERROR(INDEX('السلف'!$D$3:$D$502,27),"")</f>
        <v/>
      </c>
      <c r="E33" s="60">
        <f>IFERROR(INDEX('السلف'!$E$3:$E$502,27),"")</f>
        <v/>
      </c>
      <c r="F33" s="43">
        <f>IFERROR(INDEX('السلف'!$F$3:$F$502,27),"")</f>
        <v/>
      </c>
      <c r="G33" s="60">
        <f>IFERROR(INDEX('السلف'!$G$3:$G$502,27),"")</f>
        <v/>
      </c>
      <c r="H33" s="60">
        <f>IFERROR(INDEX('السلف'!$H$3:$H$502,27),"")</f>
        <v/>
      </c>
      <c r="I33" s="60">
        <f>IFERROR(INDEX('السلف'!$I$3:$I$502,27),"")</f>
        <v/>
      </c>
      <c r="J33" s="118">
        <f>IFERROR(INDEX('السلف'!$J$3:$J$502,27),"")</f>
        <v/>
      </c>
      <c r="K33" s="43">
        <f>IFERROR(INDEX('السلف'!$K$3:$K$502,27),"")</f>
        <v/>
      </c>
    </row>
    <row r="34">
      <c r="A34" s="50">
        <f>IFERROR(INDEX('السلف'!$A$3:$A$502,28),"")</f>
        <v/>
      </c>
      <c r="B34" s="50">
        <f>IFERROR(INDEX('السلف'!$B$3:$B$502,28),"")</f>
        <v/>
      </c>
      <c r="C34" s="50">
        <f>IFERROR(INDEX('السلف'!$C$3:$C$502,28),"")</f>
        <v/>
      </c>
      <c r="D34" s="119">
        <f>IFERROR(INDEX('السلف'!$D$3:$D$502,28),"")</f>
        <v/>
      </c>
      <c r="E34" s="63">
        <f>IFERROR(INDEX('السلف'!$E$3:$E$502,28),"")</f>
        <v/>
      </c>
      <c r="F34" s="50">
        <f>IFERROR(INDEX('السلف'!$F$3:$F$502,28),"")</f>
        <v/>
      </c>
      <c r="G34" s="63">
        <f>IFERROR(INDEX('السلف'!$G$3:$G$502,28),"")</f>
        <v/>
      </c>
      <c r="H34" s="63">
        <f>IFERROR(INDEX('السلف'!$H$3:$H$502,28),"")</f>
        <v/>
      </c>
      <c r="I34" s="63">
        <f>IFERROR(INDEX('السلف'!$I$3:$I$502,28),"")</f>
        <v/>
      </c>
      <c r="J34" s="119">
        <f>IFERROR(INDEX('السلف'!$J$3:$J$502,28),"")</f>
        <v/>
      </c>
      <c r="K34" s="50">
        <f>IFERROR(INDEX('السلف'!$K$3:$K$502,28),"")</f>
        <v/>
      </c>
    </row>
    <row r="35">
      <c r="A35" s="43">
        <f>IFERROR(INDEX('السلف'!$A$3:$A$502,29),"")</f>
        <v/>
      </c>
      <c r="B35" s="43">
        <f>IFERROR(INDEX('السلف'!$B$3:$B$502,29),"")</f>
        <v/>
      </c>
      <c r="C35" s="43">
        <f>IFERROR(INDEX('السلف'!$C$3:$C$502,29),"")</f>
        <v/>
      </c>
      <c r="D35" s="118">
        <f>IFERROR(INDEX('السلف'!$D$3:$D$502,29),"")</f>
        <v/>
      </c>
      <c r="E35" s="60">
        <f>IFERROR(INDEX('السلف'!$E$3:$E$502,29),"")</f>
        <v/>
      </c>
      <c r="F35" s="43">
        <f>IFERROR(INDEX('السلف'!$F$3:$F$502,29),"")</f>
        <v/>
      </c>
      <c r="G35" s="60">
        <f>IFERROR(INDEX('السلف'!$G$3:$G$502,29),"")</f>
        <v/>
      </c>
      <c r="H35" s="60">
        <f>IFERROR(INDEX('السلف'!$H$3:$H$502,29),"")</f>
        <v/>
      </c>
      <c r="I35" s="60">
        <f>IFERROR(INDEX('السلف'!$I$3:$I$502,29),"")</f>
        <v/>
      </c>
      <c r="J35" s="118">
        <f>IFERROR(INDEX('السلف'!$J$3:$J$502,29),"")</f>
        <v/>
      </c>
      <c r="K35" s="43">
        <f>IFERROR(INDEX('السلف'!$K$3:$K$502,29),"")</f>
        <v/>
      </c>
    </row>
    <row r="36">
      <c r="A36" s="50">
        <f>IFERROR(INDEX('السلف'!$A$3:$A$502,30),"")</f>
        <v/>
      </c>
      <c r="B36" s="50">
        <f>IFERROR(INDEX('السلف'!$B$3:$B$502,30),"")</f>
        <v/>
      </c>
      <c r="C36" s="50">
        <f>IFERROR(INDEX('السلف'!$C$3:$C$502,30),"")</f>
        <v/>
      </c>
      <c r="D36" s="119">
        <f>IFERROR(INDEX('السلف'!$D$3:$D$502,30),"")</f>
        <v/>
      </c>
      <c r="E36" s="63">
        <f>IFERROR(INDEX('السلف'!$E$3:$E$502,30),"")</f>
        <v/>
      </c>
      <c r="F36" s="50">
        <f>IFERROR(INDEX('السلف'!$F$3:$F$502,30),"")</f>
        <v/>
      </c>
      <c r="G36" s="63">
        <f>IFERROR(INDEX('السلف'!$G$3:$G$502,30),"")</f>
        <v/>
      </c>
      <c r="H36" s="63">
        <f>IFERROR(INDEX('السلف'!$H$3:$H$502,30),"")</f>
        <v/>
      </c>
      <c r="I36" s="63">
        <f>IFERROR(INDEX('السلف'!$I$3:$I$502,30),"")</f>
        <v/>
      </c>
      <c r="J36" s="119">
        <f>IFERROR(INDEX('السلف'!$J$3:$J$502,30),"")</f>
        <v/>
      </c>
      <c r="K36" s="50">
        <f>IFERROR(INDEX('السلف'!$K$3:$K$502,30),"")</f>
        <v/>
      </c>
    </row>
    <row r="37">
      <c r="A37" s="43">
        <f>IFERROR(INDEX('السلف'!$A$3:$A$502,31),"")</f>
        <v/>
      </c>
      <c r="B37" s="43">
        <f>IFERROR(INDEX('السلف'!$B$3:$B$502,31),"")</f>
        <v/>
      </c>
      <c r="C37" s="43">
        <f>IFERROR(INDEX('السلف'!$C$3:$C$502,31),"")</f>
        <v/>
      </c>
      <c r="D37" s="118">
        <f>IFERROR(INDEX('السلف'!$D$3:$D$502,31),"")</f>
        <v/>
      </c>
      <c r="E37" s="60">
        <f>IFERROR(INDEX('السلف'!$E$3:$E$502,31),"")</f>
        <v/>
      </c>
      <c r="F37" s="43">
        <f>IFERROR(INDEX('السلف'!$F$3:$F$502,31),"")</f>
        <v/>
      </c>
      <c r="G37" s="60">
        <f>IFERROR(INDEX('السلف'!$G$3:$G$502,31),"")</f>
        <v/>
      </c>
      <c r="H37" s="60">
        <f>IFERROR(INDEX('السلف'!$H$3:$H$502,31),"")</f>
        <v/>
      </c>
      <c r="I37" s="60">
        <f>IFERROR(INDEX('السلف'!$I$3:$I$502,31),"")</f>
        <v/>
      </c>
      <c r="J37" s="118">
        <f>IFERROR(INDEX('السلف'!$J$3:$J$502,31),"")</f>
        <v/>
      </c>
      <c r="K37" s="43">
        <f>IFERROR(INDEX('السلف'!$K$3:$K$502,31),"")</f>
        <v/>
      </c>
    </row>
    <row r="38">
      <c r="A38" s="50">
        <f>IFERROR(INDEX('السلف'!$A$3:$A$502,32),"")</f>
        <v/>
      </c>
      <c r="B38" s="50">
        <f>IFERROR(INDEX('السلف'!$B$3:$B$502,32),"")</f>
        <v/>
      </c>
      <c r="C38" s="50">
        <f>IFERROR(INDEX('السلف'!$C$3:$C$502,32),"")</f>
        <v/>
      </c>
      <c r="D38" s="119">
        <f>IFERROR(INDEX('السلف'!$D$3:$D$502,32),"")</f>
        <v/>
      </c>
      <c r="E38" s="63">
        <f>IFERROR(INDEX('السلف'!$E$3:$E$502,32),"")</f>
        <v/>
      </c>
      <c r="F38" s="50">
        <f>IFERROR(INDEX('السلف'!$F$3:$F$502,32),"")</f>
        <v/>
      </c>
      <c r="G38" s="63">
        <f>IFERROR(INDEX('السلف'!$G$3:$G$502,32),"")</f>
        <v/>
      </c>
      <c r="H38" s="63">
        <f>IFERROR(INDEX('السلف'!$H$3:$H$502,32),"")</f>
        <v/>
      </c>
      <c r="I38" s="63">
        <f>IFERROR(INDEX('السلف'!$I$3:$I$502,32),"")</f>
        <v/>
      </c>
      <c r="J38" s="119">
        <f>IFERROR(INDEX('السلف'!$J$3:$J$502,32),"")</f>
        <v/>
      </c>
      <c r="K38" s="50">
        <f>IFERROR(INDEX('السلف'!$K$3:$K$502,32),"")</f>
        <v/>
      </c>
    </row>
    <row r="39">
      <c r="A39" s="43">
        <f>IFERROR(INDEX('السلف'!$A$3:$A$502,33),"")</f>
        <v/>
      </c>
      <c r="B39" s="43">
        <f>IFERROR(INDEX('السلف'!$B$3:$B$502,33),"")</f>
        <v/>
      </c>
      <c r="C39" s="43">
        <f>IFERROR(INDEX('السلف'!$C$3:$C$502,33),"")</f>
        <v/>
      </c>
      <c r="D39" s="118">
        <f>IFERROR(INDEX('السلف'!$D$3:$D$502,33),"")</f>
        <v/>
      </c>
      <c r="E39" s="60">
        <f>IFERROR(INDEX('السلف'!$E$3:$E$502,33),"")</f>
        <v/>
      </c>
      <c r="F39" s="43">
        <f>IFERROR(INDEX('السلف'!$F$3:$F$502,33),"")</f>
        <v/>
      </c>
      <c r="G39" s="60">
        <f>IFERROR(INDEX('السلف'!$G$3:$G$502,33),"")</f>
        <v/>
      </c>
      <c r="H39" s="60">
        <f>IFERROR(INDEX('السلف'!$H$3:$H$502,33),"")</f>
        <v/>
      </c>
      <c r="I39" s="60">
        <f>IFERROR(INDEX('السلف'!$I$3:$I$502,33),"")</f>
        <v/>
      </c>
      <c r="J39" s="118">
        <f>IFERROR(INDEX('السلف'!$J$3:$J$502,33),"")</f>
        <v/>
      </c>
      <c r="K39" s="43">
        <f>IFERROR(INDEX('السلف'!$K$3:$K$502,33),"")</f>
        <v/>
      </c>
    </row>
    <row r="40">
      <c r="A40" s="50">
        <f>IFERROR(INDEX('السلف'!$A$3:$A$502,34),"")</f>
        <v/>
      </c>
      <c r="B40" s="50">
        <f>IFERROR(INDEX('السلف'!$B$3:$B$502,34),"")</f>
        <v/>
      </c>
      <c r="C40" s="50">
        <f>IFERROR(INDEX('السلف'!$C$3:$C$502,34),"")</f>
        <v/>
      </c>
      <c r="D40" s="119">
        <f>IFERROR(INDEX('السلف'!$D$3:$D$502,34),"")</f>
        <v/>
      </c>
      <c r="E40" s="63">
        <f>IFERROR(INDEX('السلف'!$E$3:$E$502,34),"")</f>
        <v/>
      </c>
      <c r="F40" s="50">
        <f>IFERROR(INDEX('السلف'!$F$3:$F$502,34),"")</f>
        <v/>
      </c>
      <c r="G40" s="63">
        <f>IFERROR(INDEX('السلف'!$G$3:$G$502,34),"")</f>
        <v/>
      </c>
      <c r="H40" s="63">
        <f>IFERROR(INDEX('السلف'!$H$3:$H$502,34),"")</f>
        <v/>
      </c>
      <c r="I40" s="63">
        <f>IFERROR(INDEX('السلف'!$I$3:$I$502,34),"")</f>
        <v/>
      </c>
      <c r="J40" s="119">
        <f>IFERROR(INDEX('السلف'!$J$3:$J$502,34),"")</f>
        <v/>
      </c>
      <c r="K40" s="50">
        <f>IFERROR(INDEX('السلف'!$K$3:$K$502,34),"")</f>
        <v/>
      </c>
    </row>
    <row r="41">
      <c r="A41" s="43">
        <f>IFERROR(INDEX('السلف'!$A$3:$A$502,35),"")</f>
        <v/>
      </c>
      <c r="B41" s="43">
        <f>IFERROR(INDEX('السلف'!$B$3:$B$502,35),"")</f>
        <v/>
      </c>
      <c r="C41" s="43">
        <f>IFERROR(INDEX('السلف'!$C$3:$C$502,35),"")</f>
        <v/>
      </c>
      <c r="D41" s="118">
        <f>IFERROR(INDEX('السلف'!$D$3:$D$502,35),"")</f>
        <v/>
      </c>
      <c r="E41" s="60">
        <f>IFERROR(INDEX('السلف'!$E$3:$E$502,35),"")</f>
        <v/>
      </c>
      <c r="F41" s="43">
        <f>IFERROR(INDEX('السلف'!$F$3:$F$502,35),"")</f>
        <v/>
      </c>
      <c r="G41" s="60">
        <f>IFERROR(INDEX('السلف'!$G$3:$G$502,35),"")</f>
        <v/>
      </c>
      <c r="H41" s="60">
        <f>IFERROR(INDEX('السلف'!$H$3:$H$502,35),"")</f>
        <v/>
      </c>
      <c r="I41" s="60">
        <f>IFERROR(INDEX('السلف'!$I$3:$I$502,35),"")</f>
        <v/>
      </c>
      <c r="J41" s="118">
        <f>IFERROR(INDEX('السلف'!$J$3:$J$502,35),"")</f>
        <v/>
      </c>
      <c r="K41" s="43">
        <f>IFERROR(INDEX('السلف'!$K$3:$K$502,35),"")</f>
        <v/>
      </c>
    </row>
    <row r="42">
      <c r="A42" s="50">
        <f>IFERROR(INDEX('السلف'!$A$3:$A$502,36),"")</f>
        <v/>
      </c>
      <c r="B42" s="50">
        <f>IFERROR(INDEX('السلف'!$B$3:$B$502,36),"")</f>
        <v/>
      </c>
      <c r="C42" s="50">
        <f>IFERROR(INDEX('السلف'!$C$3:$C$502,36),"")</f>
        <v/>
      </c>
      <c r="D42" s="119">
        <f>IFERROR(INDEX('السلف'!$D$3:$D$502,36),"")</f>
        <v/>
      </c>
      <c r="E42" s="63">
        <f>IFERROR(INDEX('السلف'!$E$3:$E$502,36),"")</f>
        <v/>
      </c>
      <c r="F42" s="50">
        <f>IFERROR(INDEX('السلف'!$F$3:$F$502,36),"")</f>
        <v/>
      </c>
      <c r="G42" s="63">
        <f>IFERROR(INDEX('السلف'!$G$3:$G$502,36),"")</f>
        <v/>
      </c>
      <c r="H42" s="63">
        <f>IFERROR(INDEX('السلف'!$H$3:$H$502,36),"")</f>
        <v/>
      </c>
      <c r="I42" s="63">
        <f>IFERROR(INDEX('السلف'!$I$3:$I$502,36),"")</f>
        <v/>
      </c>
      <c r="J42" s="119">
        <f>IFERROR(INDEX('السلف'!$J$3:$J$502,36),"")</f>
        <v/>
      </c>
      <c r="K42" s="50">
        <f>IFERROR(INDEX('السلف'!$K$3:$K$502,36),"")</f>
        <v/>
      </c>
    </row>
    <row r="43">
      <c r="A43" s="43">
        <f>IFERROR(INDEX('السلف'!$A$3:$A$502,37),"")</f>
        <v/>
      </c>
      <c r="B43" s="43">
        <f>IFERROR(INDEX('السلف'!$B$3:$B$502,37),"")</f>
        <v/>
      </c>
      <c r="C43" s="43">
        <f>IFERROR(INDEX('السلف'!$C$3:$C$502,37),"")</f>
        <v/>
      </c>
      <c r="D43" s="118">
        <f>IFERROR(INDEX('السلف'!$D$3:$D$502,37),"")</f>
        <v/>
      </c>
      <c r="E43" s="60">
        <f>IFERROR(INDEX('السلف'!$E$3:$E$502,37),"")</f>
        <v/>
      </c>
      <c r="F43" s="43">
        <f>IFERROR(INDEX('السلف'!$F$3:$F$502,37),"")</f>
        <v/>
      </c>
      <c r="G43" s="60">
        <f>IFERROR(INDEX('السلف'!$G$3:$G$502,37),"")</f>
        <v/>
      </c>
      <c r="H43" s="60">
        <f>IFERROR(INDEX('السلف'!$H$3:$H$502,37),"")</f>
        <v/>
      </c>
      <c r="I43" s="60">
        <f>IFERROR(INDEX('السلف'!$I$3:$I$502,37),"")</f>
        <v/>
      </c>
      <c r="J43" s="118">
        <f>IFERROR(INDEX('السلف'!$J$3:$J$502,37),"")</f>
        <v/>
      </c>
      <c r="K43" s="43">
        <f>IFERROR(INDEX('السلف'!$K$3:$K$502,37),"")</f>
        <v/>
      </c>
    </row>
    <row r="44">
      <c r="A44" s="50">
        <f>IFERROR(INDEX('السلف'!$A$3:$A$502,38),"")</f>
        <v/>
      </c>
      <c r="B44" s="50">
        <f>IFERROR(INDEX('السلف'!$B$3:$B$502,38),"")</f>
        <v/>
      </c>
      <c r="C44" s="50">
        <f>IFERROR(INDEX('السلف'!$C$3:$C$502,38),"")</f>
        <v/>
      </c>
      <c r="D44" s="119">
        <f>IFERROR(INDEX('السلف'!$D$3:$D$502,38),"")</f>
        <v/>
      </c>
      <c r="E44" s="63">
        <f>IFERROR(INDEX('السلف'!$E$3:$E$502,38),"")</f>
        <v/>
      </c>
      <c r="F44" s="50">
        <f>IFERROR(INDEX('السلف'!$F$3:$F$502,38),"")</f>
        <v/>
      </c>
      <c r="G44" s="63">
        <f>IFERROR(INDEX('السلف'!$G$3:$G$502,38),"")</f>
        <v/>
      </c>
      <c r="H44" s="63">
        <f>IFERROR(INDEX('السلف'!$H$3:$H$502,38),"")</f>
        <v/>
      </c>
      <c r="I44" s="63">
        <f>IFERROR(INDEX('السلف'!$I$3:$I$502,38),"")</f>
        <v/>
      </c>
      <c r="J44" s="119">
        <f>IFERROR(INDEX('السلف'!$J$3:$J$502,38),"")</f>
        <v/>
      </c>
      <c r="K44" s="50">
        <f>IFERROR(INDEX('السلف'!$K$3:$K$502,38),"")</f>
        <v/>
      </c>
    </row>
    <row r="45">
      <c r="A45" s="43">
        <f>IFERROR(INDEX('السلف'!$A$3:$A$502,39),"")</f>
        <v/>
      </c>
      <c r="B45" s="43">
        <f>IFERROR(INDEX('السلف'!$B$3:$B$502,39),"")</f>
        <v/>
      </c>
      <c r="C45" s="43">
        <f>IFERROR(INDEX('السلف'!$C$3:$C$502,39),"")</f>
        <v/>
      </c>
      <c r="D45" s="118">
        <f>IFERROR(INDEX('السلف'!$D$3:$D$502,39),"")</f>
        <v/>
      </c>
      <c r="E45" s="60">
        <f>IFERROR(INDEX('السلف'!$E$3:$E$502,39),"")</f>
        <v/>
      </c>
      <c r="F45" s="43">
        <f>IFERROR(INDEX('السلف'!$F$3:$F$502,39),"")</f>
        <v/>
      </c>
      <c r="G45" s="60">
        <f>IFERROR(INDEX('السلف'!$G$3:$G$502,39),"")</f>
        <v/>
      </c>
      <c r="H45" s="60">
        <f>IFERROR(INDEX('السلف'!$H$3:$H$502,39),"")</f>
        <v/>
      </c>
      <c r="I45" s="60">
        <f>IFERROR(INDEX('السلف'!$I$3:$I$502,39),"")</f>
        <v/>
      </c>
      <c r="J45" s="118">
        <f>IFERROR(INDEX('السلف'!$J$3:$J$502,39),"")</f>
        <v/>
      </c>
      <c r="K45" s="43">
        <f>IFERROR(INDEX('السلف'!$K$3:$K$502,39),"")</f>
        <v/>
      </c>
    </row>
    <row r="46">
      <c r="A46" s="50">
        <f>IFERROR(INDEX('السلف'!$A$3:$A$502,40),"")</f>
        <v/>
      </c>
      <c r="B46" s="50">
        <f>IFERROR(INDEX('السلف'!$B$3:$B$502,40),"")</f>
        <v/>
      </c>
      <c r="C46" s="50">
        <f>IFERROR(INDEX('السلف'!$C$3:$C$502,40),"")</f>
        <v/>
      </c>
      <c r="D46" s="119">
        <f>IFERROR(INDEX('السلف'!$D$3:$D$502,40),"")</f>
        <v/>
      </c>
      <c r="E46" s="63">
        <f>IFERROR(INDEX('السلف'!$E$3:$E$502,40),"")</f>
        <v/>
      </c>
      <c r="F46" s="50">
        <f>IFERROR(INDEX('السلف'!$F$3:$F$502,40),"")</f>
        <v/>
      </c>
      <c r="G46" s="63">
        <f>IFERROR(INDEX('السلف'!$G$3:$G$502,40),"")</f>
        <v/>
      </c>
      <c r="H46" s="63">
        <f>IFERROR(INDEX('السلف'!$H$3:$H$502,40),"")</f>
        <v/>
      </c>
      <c r="I46" s="63">
        <f>IFERROR(INDEX('السلف'!$I$3:$I$502,40),"")</f>
        <v/>
      </c>
      <c r="J46" s="119">
        <f>IFERROR(INDEX('السلف'!$J$3:$J$502,40),"")</f>
        <v/>
      </c>
      <c r="K46" s="50">
        <f>IFERROR(INDEX('السلف'!$K$3:$K$502,40),"")</f>
        <v/>
      </c>
    </row>
    <row r="47">
      <c r="A47" s="43">
        <f>IFERROR(INDEX('السلف'!$A$3:$A$502,41),"")</f>
        <v/>
      </c>
      <c r="B47" s="43">
        <f>IFERROR(INDEX('السلف'!$B$3:$B$502,41),"")</f>
        <v/>
      </c>
      <c r="C47" s="43">
        <f>IFERROR(INDEX('السلف'!$C$3:$C$502,41),"")</f>
        <v/>
      </c>
      <c r="D47" s="118">
        <f>IFERROR(INDEX('السلف'!$D$3:$D$502,41),"")</f>
        <v/>
      </c>
      <c r="E47" s="60">
        <f>IFERROR(INDEX('السلف'!$E$3:$E$502,41),"")</f>
        <v/>
      </c>
      <c r="F47" s="43">
        <f>IFERROR(INDEX('السلف'!$F$3:$F$502,41),"")</f>
        <v/>
      </c>
      <c r="G47" s="60">
        <f>IFERROR(INDEX('السلف'!$G$3:$G$502,41),"")</f>
        <v/>
      </c>
      <c r="H47" s="60">
        <f>IFERROR(INDEX('السلف'!$H$3:$H$502,41),"")</f>
        <v/>
      </c>
      <c r="I47" s="60">
        <f>IFERROR(INDEX('السلف'!$I$3:$I$502,41),"")</f>
        <v/>
      </c>
      <c r="J47" s="118">
        <f>IFERROR(INDEX('السلف'!$J$3:$J$502,41),"")</f>
        <v/>
      </c>
      <c r="K47" s="43">
        <f>IFERROR(INDEX('السلف'!$K$3:$K$502,41),"")</f>
        <v/>
      </c>
    </row>
    <row r="48">
      <c r="A48" s="50">
        <f>IFERROR(INDEX('السلف'!$A$3:$A$502,42),"")</f>
        <v/>
      </c>
      <c r="B48" s="50">
        <f>IFERROR(INDEX('السلف'!$B$3:$B$502,42),"")</f>
        <v/>
      </c>
      <c r="C48" s="50">
        <f>IFERROR(INDEX('السلف'!$C$3:$C$502,42),"")</f>
        <v/>
      </c>
      <c r="D48" s="119">
        <f>IFERROR(INDEX('السلف'!$D$3:$D$502,42),"")</f>
        <v/>
      </c>
      <c r="E48" s="63">
        <f>IFERROR(INDEX('السلف'!$E$3:$E$502,42),"")</f>
        <v/>
      </c>
      <c r="F48" s="50">
        <f>IFERROR(INDEX('السلف'!$F$3:$F$502,42),"")</f>
        <v/>
      </c>
      <c r="G48" s="63">
        <f>IFERROR(INDEX('السلف'!$G$3:$G$502,42),"")</f>
        <v/>
      </c>
      <c r="H48" s="63">
        <f>IFERROR(INDEX('السلف'!$H$3:$H$502,42),"")</f>
        <v/>
      </c>
      <c r="I48" s="63">
        <f>IFERROR(INDEX('السلف'!$I$3:$I$502,42),"")</f>
        <v/>
      </c>
      <c r="J48" s="119">
        <f>IFERROR(INDEX('السلف'!$J$3:$J$502,42),"")</f>
        <v/>
      </c>
      <c r="K48" s="50">
        <f>IFERROR(INDEX('السلف'!$K$3:$K$502,42),"")</f>
        <v/>
      </c>
    </row>
    <row r="49">
      <c r="A49" s="43">
        <f>IFERROR(INDEX('السلف'!$A$3:$A$502,43),"")</f>
        <v/>
      </c>
      <c r="B49" s="43">
        <f>IFERROR(INDEX('السلف'!$B$3:$B$502,43),"")</f>
        <v/>
      </c>
      <c r="C49" s="43">
        <f>IFERROR(INDEX('السلف'!$C$3:$C$502,43),"")</f>
        <v/>
      </c>
      <c r="D49" s="118">
        <f>IFERROR(INDEX('السلف'!$D$3:$D$502,43),"")</f>
        <v/>
      </c>
      <c r="E49" s="60">
        <f>IFERROR(INDEX('السلف'!$E$3:$E$502,43),"")</f>
        <v/>
      </c>
      <c r="F49" s="43">
        <f>IFERROR(INDEX('السلف'!$F$3:$F$502,43),"")</f>
        <v/>
      </c>
      <c r="G49" s="60">
        <f>IFERROR(INDEX('السلف'!$G$3:$G$502,43),"")</f>
        <v/>
      </c>
      <c r="H49" s="60">
        <f>IFERROR(INDEX('السلف'!$H$3:$H$502,43),"")</f>
        <v/>
      </c>
      <c r="I49" s="60">
        <f>IFERROR(INDEX('السلف'!$I$3:$I$502,43),"")</f>
        <v/>
      </c>
      <c r="J49" s="118">
        <f>IFERROR(INDEX('السلف'!$J$3:$J$502,43),"")</f>
        <v/>
      </c>
      <c r="K49" s="43">
        <f>IFERROR(INDEX('السلف'!$K$3:$K$502,43),"")</f>
        <v/>
      </c>
    </row>
    <row r="50">
      <c r="A50" s="50">
        <f>IFERROR(INDEX('السلف'!$A$3:$A$502,44),"")</f>
        <v/>
      </c>
      <c r="B50" s="50">
        <f>IFERROR(INDEX('السلف'!$B$3:$B$502,44),"")</f>
        <v/>
      </c>
      <c r="C50" s="50">
        <f>IFERROR(INDEX('السلف'!$C$3:$C$502,44),"")</f>
        <v/>
      </c>
      <c r="D50" s="119">
        <f>IFERROR(INDEX('السلف'!$D$3:$D$502,44),"")</f>
        <v/>
      </c>
      <c r="E50" s="63">
        <f>IFERROR(INDEX('السلف'!$E$3:$E$502,44),"")</f>
        <v/>
      </c>
      <c r="F50" s="50">
        <f>IFERROR(INDEX('السلف'!$F$3:$F$502,44),"")</f>
        <v/>
      </c>
      <c r="G50" s="63">
        <f>IFERROR(INDEX('السلف'!$G$3:$G$502,44),"")</f>
        <v/>
      </c>
      <c r="H50" s="63">
        <f>IFERROR(INDEX('السلف'!$H$3:$H$502,44),"")</f>
        <v/>
      </c>
      <c r="I50" s="63">
        <f>IFERROR(INDEX('السلف'!$I$3:$I$502,44),"")</f>
        <v/>
      </c>
      <c r="J50" s="119">
        <f>IFERROR(INDEX('السلف'!$J$3:$J$502,44),"")</f>
        <v/>
      </c>
      <c r="K50" s="50">
        <f>IFERROR(INDEX('السلف'!$K$3:$K$502,44),"")</f>
        <v/>
      </c>
    </row>
    <row r="51">
      <c r="A51" s="43">
        <f>IFERROR(INDEX('السلف'!$A$3:$A$502,45),"")</f>
        <v/>
      </c>
      <c r="B51" s="43">
        <f>IFERROR(INDEX('السلف'!$B$3:$B$502,45),"")</f>
        <v/>
      </c>
      <c r="C51" s="43">
        <f>IFERROR(INDEX('السلف'!$C$3:$C$502,45),"")</f>
        <v/>
      </c>
      <c r="D51" s="118">
        <f>IFERROR(INDEX('السلف'!$D$3:$D$502,45),"")</f>
        <v/>
      </c>
      <c r="E51" s="60">
        <f>IFERROR(INDEX('السلف'!$E$3:$E$502,45),"")</f>
        <v/>
      </c>
      <c r="F51" s="43">
        <f>IFERROR(INDEX('السلف'!$F$3:$F$502,45),"")</f>
        <v/>
      </c>
      <c r="G51" s="60">
        <f>IFERROR(INDEX('السلف'!$G$3:$G$502,45),"")</f>
        <v/>
      </c>
      <c r="H51" s="60">
        <f>IFERROR(INDEX('السلف'!$H$3:$H$502,45),"")</f>
        <v/>
      </c>
      <c r="I51" s="60">
        <f>IFERROR(INDEX('السلف'!$I$3:$I$502,45),"")</f>
        <v/>
      </c>
      <c r="J51" s="118">
        <f>IFERROR(INDEX('السلف'!$J$3:$J$502,45),"")</f>
        <v/>
      </c>
      <c r="K51" s="43">
        <f>IFERROR(INDEX('السلف'!$K$3:$K$502,45),"")</f>
        <v/>
      </c>
    </row>
    <row r="52">
      <c r="A52" s="50">
        <f>IFERROR(INDEX('السلف'!$A$3:$A$502,46),"")</f>
        <v/>
      </c>
      <c r="B52" s="50">
        <f>IFERROR(INDEX('السلف'!$B$3:$B$502,46),"")</f>
        <v/>
      </c>
      <c r="C52" s="50">
        <f>IFERROR(INDEX('السلف'!$C$3:$C$502,46),"")</f>
        <v/>
      </c>
      <c r="D52" s="119">
        <f>IFERROR(INDEX('السلف'!$D$3:$D$502,46),"")</f>
        <v/>
      </c>
      <c r="E52" s="63">
        <f>IFERROR(INDEX('السلف'!$E$3:$E$502,46),"")</f>
        <v/>
      </c>
      <c r="F52" s="50">
        <f>IFERROR(INDEX('السلف'!$F$3:$F$502,46),"")</f>
        <v/>
      </c>
      <c r="G52" s="63">
        <f>IFERROR(INDEX('السلف'!$G$3:$G$502,46),"")</f>
        <v/>
      </c>
      <c r="H52" s="63">
        <f>IFERROR(INDEX('السلف'!$H$3:$H$502,46),"")</f>
        <v/>
      </c>
      <c r="I52" s="63">
        <f>IFERROR(INDEX('السلف'!$I$3:$I$502,46),"")</f>
        <v/>
      </c>
      <c r="J52" s="119">
        <f>IFERROR(INDEX('السلف'!$J$3:$J$502,46),"")</f>
        <v/>
      </c>
      <c r="K52" s="50">
        <f>IFERROR(INDEX('السلف'!$K$3:$K$502,46),"")</f>
        <v/>
      </c>
    </row>
    <row r="53">
      <c r="A53" s="43">
        <f>IFERROR(INDEX('السلف'!$A$3:$A$502,47),"")</f>
        <v/>
      </c>
      <c r="B53" s="43">
        <f>IFERROR(INDEX('السلف'!$B$3:$B$502,47),"")</f>
        <v/>
      </c>
      <c r="C53" s="43">
        <f>IFERROR(INDEX('السلف'!$C$3:$C$502,47),"")</f>
        <v/>
      </c>
      <c r="D53" s="118">
        <f>IFERROR(INDEX('السلف'!$D$3:$D$502,47),"")</f>
        <v/>
      </c>
      <c r="E53" s="60">
        <f>IFERROR(INDEX('السلف'!$E$3:$E$502,47),"")</f>
        <v/>
      </c>
      <c r="F53" s="43">
        <f>IFERROR(INDEX('السلف'!$F$3:$F$502,47),"")</f>
        <v/>
      </c>
      <c r="G53" s="60">
        <f>IFERROR(INDEX('السلف'!$G$3:$G$502,47),"")</f>
        <v/>
      </c>
      <c r="H53" s="60">
        <f>IFERROR(INDEX('السلف'!$H$3:$H$502,47),"")</f>
        <v/>
      </c>
      <c r="I53" s="60">
        <f>IFERROR(INDEX('السلف'!$I$3:$I$502,47),"")</f>
        <v/>
      </c>
      <c r="J53" s="118">
        <f>IFERROR(INDEX('السلف'!$J$3:$J$502,47),"")</f>
        <v/>
      </c>
      <c r="K53" s="43">
        <f>IFERROR(INDEX('السلف'!$K$3:$K$502,47),"")</f>
        <v/>
      </c>
    </row>
    <row r="54">
      <c r="A54" s="50">
        <f>IFERROR(INDEX('السلف'!$A$3:$A$502,48),"")</f>
        <v/>
      </c>
      <c r="B54" s="50">
        <f>IFERROR(INDEX('السلف'!$B$3:$B$502,48),"")</f>
        <v/>
      </c>
      <c r="C54" s="50">
        <f>IFERROR(INDEX('السلف'!$C$3:$C$502,48),"")</f>
        <v/>
      </c>
      <c r="D54" s="119">
        <f>IFERROR(INDEX('السلف'!$D$3:$D$502,48),"")</f>
        <v/>
      </c>
      <c r="E54" s="63">
        <f>IFERROR(INDEX('السلف'!$E$3:$E$502,48),"")</f>
        <v/>
      </c>
      <c r="F54" s="50">
        <f>IFERROR(INDEX('السلف'!$F$3:$F$502,48),"")</f>
        <v/>
      </c>
      <c r="G54" s="63">
        <f>IFERROR(INDEX('السلف'!$G$3:$G$502,48),"")</f>
        <v/>
      </c>
      <c r="H54" s="63">
        <f>IFERROR(INDEX('السلف'!$H$3:$H$502,48),"")</f>
        <v/>
      </c>
      <c r="I54" s="63">
        <f>IFERROR(INDEX('السلف'!$I$3:$I$502,48),"")</f>
        <v/>
      </c>
      <c r="J54" s="119">
        <f>IFERROR(INDEX('السلف'!$J$3:$J$502,48),"")</f>
        <v/>
      </c>
      <c r="K54" s="50">
        <f>IFERROR(INDEX('السلف'!$K$3:$K$502,48),"")</f>
        <v/>
      </c>
    </row>
    <row r="55">
      <c r="A55" s="43">
        <f>IFERROR(INDEX('السلف'!$A$3:$A$502,49),"")</f>
        <v/>
      </c>
      <c r="B55" s="43">
        <f>IFERROR(INDEX('السلف'!$B$3:$B$502,49),"")</f>
        <v/>
      </c>
      <c r="C55" s="43">
        <f>IFERROR(INDEX('السلف'!$C$3:$C$502,49),"")</f>
        <v/>
      </c>
      <c r="D55" s="118">
        <f>IFERROR(INDEX('السلف'!$D$3:$D$502,49),"")</f>
        <v/>
      </c>
      <c r="E55" s="60">
        <f>IFERROR(INDEX('السلف'!$E$3:$E$502,49),"")</f>
        <v/>
      </c>
      <c r="F55" s="43">
        <f>IFERROR(INDEX('السلف'!$F$3:$F$502,49),"")</f>
        <v/>
      </c>
      <c r="G55" s="60">
        <f>IFERROR(INDEX('السلف'!$G$3:$G$502,49),"")</f>
        <v/>
      </c>
      <c r="H55" s="60">
        <f>IFERROR(INDEX('السلف'!$H$3:$H$502,49),"")</f>
        <v/>
      </c>
      <c r="I55" s="60">
        <f>IFERROR(INDEX('السلف'!$I$3:$I$502,49),"")</f>
        <v/>
      </c>
      <c r="J55" s="118">
        <f>IFERROR(INDEX('السلف'!$J$3:$J$502,49),"")</f>
        <v/>
      </c>
      <c r="K55" s="43">
        <f>IFERROR(INDEX('السلف'!$K$3:$K$502,49),"")</f>
        <v/>
      </c>
    </row>
    <row r="56">
      <c r="A56" s="50">
        <f>IFERROR(INDEX('السلف'!$A$3:$A$502,50),"")</f>
        <v/>
      </c>
      <c r="B56" s="50">
        <f>IFERROR(INDEX('السلف'!$B$3:$B$502,50),"")</f>
        <v/>
      </c>
      <c r="C56" s="50">
        <f>IFERROR(INDEX('السلف'!$C$3:$C$502,50),"")</f>
        <v/>
      </c>
      <c r="D56" s="119">
        <f>IFERROR(INDEX('السلف'!$D$3:$D$502,50),"")</f>
        <v/>
      </c>
      <c r="E56" s="63">
        <f>IFERROR(INDEX('السلف'!$E$3:$E$502,50),"")</f>
        <v/>
      </c>
      <c r="F56" s="50">
        <f>IFERROR(INDEX('السلف'!$F$3:$F$502,50),"")</f>
        <v/>
      </c>
      <c r="G56" s="63">
        <f>IFERROR(INDEX('السلف'!$G$3:$G$502,50),"")</f>
        <v/>
      </c>
      <c r="H56" s="63">
        <f>IFERROR(INDEX('السلف'!$H$3:$H$502,50),"")</f>
        <v/>
      </c>
      <c r="I56" s="63">
        <f>IFERROR(INDEX('السلف'!$I$3:$I$502,50),"")</f>
        <v/>
      </c>
      <c r="J56" s="119">
        <f>IFERROR(INDEX('السلف'!$J$3:$J$502,50),"")</f>
        <v/>
      </c>
      <c r="K56" s="50">
        <f>IFERROR(INDEX('السلف'!$K$3:$K$502,50),"")</f>
        <v/>
      </c>
    </row>
    <row r="57">
      <c r="A57" s="43">
        <f>IFERROR(INDEX('السلف'!$A$3:$A$502,51),"")</f>
        <v/>
      </c>
      <c r="B57" s="43">
        <f>IFERROR(INDEX('السلف'!$B$3:$B$502,51),"")</f>
        <v/>
      </c>
      <c r="C57" s="43">
        <f>IFERROR(INDEX('السلف'!$C$3:$C$502,51),"")</f>
        <v/>
      </c>
      <c r="D57" s="118">
        <f>IFERROR(INDEX('السلف'!$D$3:$D$502,51),"")</f>
        <v/>
      </c>
      <c r="E57" s="60">
        <f>IFERROR(INDEX('السلف'!$E$3:$E$502,51),"")</f>
        <v/>
      </c>
      <c r="F57" s="43">
        <f>IFERROR(INDEX('السلف'!$F$3:$F$502,51),"")</f>
        <v/>
      </c>
      <c r="G57" s="60">
        <f>IFERROR(INDEX('السلف'!$G$3:$G$502,51),"")</f>
        <v/>
      </c>
      <c r="H57" s="60">
        <f>IFERROR(INDEX('السلف'!$H$3:$H$502,51),"")</f>
        <v/>
      </c>
      <c r="I57" s="60">
        <f>IFERROR(INDEX('السلف'!$I$3:$I$502,51),"")</f>
        <v/>
      </c>
      <c r="J57" s="118">
        <f>IFERROR(INDEX('السلف'!$J$3:$J$502,51),"")</f>
        <v/>
      </c>
      <c r="K57" s="43">
        <f>IFERROR(INDEX('السلف'!$K$3:$K$502,51),"")</f>
        <v/>
      </c>
    </row>
    <row r="58">
      <c r="A58" s="50">
        <f>IFERROR(INDEX('السلف'!$A$3:$A$502,52),"")</f>
        <v/>
      </c>
      <c r="B58" s="50">
        <f>IFERROR(INDEX('السلف'!$B$3:$B$502,52),"")</f>
        <v/>
      </c>
      <c r="C58" s="50">
        <f>IFERROR(INDEX('السلف'!$C$3:$C$502,52),"")</f>
        <v/>
      </c>
      <c r="D58" s="119">
        <f>IFERROR(INDEX('السلف'!$D$3:$D$502,52),"")</f>
        <v/>
      </c>
      <c r="E58" s="63">
        <f>IFERROR(INDEX('السلف'!$E$3:$E$502,52),"")</f>
        <v/>
      </c>
      <c r="F58" s="50">
        <f>IFERROR(INDEX('السلف'!$F$3:$F$502,52),"")</f>
        <v/>
      </c>
      <c r="G58" s="63">
        <f>IFERROR(INDEX('السلف'!$G$3:$G$502,52),"")</f>
        <v/>
      </c>
      <c r="H58" s="63">
        <f>IFERROR(INDEX('السلف'!$H$3:$H$502,52),"")</f>
        <v/>
      </c>
      <c r="I58" s="63">
        <f>IFERROR(INDEX('السلف'!$I$3:$I$502,52),"")</f>
        <v/>
      </c>
      <c r="J58" s="119">
        <f>IFERROR(INDEX('السلف'!$J$3:$J$502,52),"")</f>
        <v/>
      </c>
      <c r="K58" s="50">
        <f>IFERROR(INDEX('السلف'!$K$3:$K$502,52),"")</f>
        <v/>
      </c>
    </row>
    <row r="59">
      <c r="A59" s="43">
        <f>IFERROR(INDEX('السلف'!$A$3:$A$502,53),"")</f>
        <v/>
      </c>
      <c r="B59" s="43">
        <f>IFERROR(INDEX('السلف'!$B$3:$B$502,53),"")</f>
        <v/>
      </c>
      <c r="C59" s="43">
        <f>IFERROR(INDEX('السلف'!$C$3:$C$502,53),"")</f>
        <v/>
      </c>
      <c r="D59" s="118">
        <f>IFERROR(INDEX('السلف'!$D$3:$D$502,53),"")</f>
        <v/>
      </c>
      <c r="E59" s="60">
        <f>IFERROR(INDEX('السلف'!$E$3:$E$502,53),"")</f>
        <v/>
      </c>
      <c r="F59" s="43">
        <f>IFERROR(INDEX('السلف'!$F$3:$F$502,53),"")</f>
        <v/>
      </c>
      <c r="G59" s="60">
        <f>IFERROR(INDEX('السلف'!$G$3:$G$502,53),"")</f>
        <v/>
      </c>
      <c r="H59" s="60">
        <f>IFERROR(INDEX('السلف'!$H$3:$H$502,53),"")</f>
        <v/>
      </c>
      <c r="I59" s="60">
        <f>IFERROR(INDEX('السلف'!$I$3:$I$502,53),"")</f>
        <v/>
      </c>
      <c r="J59" s="118">
        <f>IFERROR(INDEX('السلف'!$J$3:$J$502,53),"")</f>
        <v/>
      </c>
      <c r="K59" s="43">
        <f>IFERROR(INDEX('السلف'!$K$3:$K$502,53),"")</f>
        <v/>
      </c>
    </row>
    <row r="60">
      <c r="A60" s="50">
        <f>IFERROR(INDEX('السلف'!$A$3:$A$502,54),"")</f>
        <v/>
      </c>
      <c r="B60" s="50">
        <f>IFERROR(INDEX('السلف'!$B$3:$B$502,54),"")</f>
        <v/>
      </c>
      <c r="C60" s="50">
        <f>IFERROR(INDEX('السلف'!$C$3:$C$502,54),"")</f>
        <v/>
      </c>
      <c r="D60" s="119">
        <f>IFERROR(INDEX('السلف'!$D$3:$D$502,54),"")</f>
        <v/>
      </c>
      <c r="E60" s="63">
        <f>IFERROR(INDEX('السلف'!$E$3:$E$502,54),"")</f>
        <v/>
      </c>
      <c r="F60" s="50">
        <f>IFERROR(INDEX('السلف'!$F$3:$F$502,54),"")</f>
        <v/>
      </c>
      <c r="G60" s="63">
        <f>IFERROR(INDEX('السلف'!$G$3:$G$502,54),"")</f>
        <v/>
      </c>
      <c r="H60" s="63">
        <f>IFERROR(INDEX('السلف'!$H$3:$H$502,54),"")</f>
        <v/>
      </c>
      <c r="I60" s="63">
        <f>IFERROR(INDEX('السلف'!$I$3:$I$502,54),"")</f>
        <v/>
      </c>
      <c r="J60" s="119">
        <f>IFERROR(INDEX('السلف'!$J$3:$J$502,54),"")</f>
        <v/>
      </c>
      <c r="K60" s="50">
        <f>IFERROR(INDEX('السلف'!$K$3:$K$502,54),"")</f>
        <v/>
      </c>
    </row>
    <row r="61">
      <c r="A61" s="43">
        <f>IFERROR(INDEX('السلف'!$A$3:$A$502,55),"")</f>
        <v/>
      </c>
      <c r="B61" s="43">
        <f>IFERROR(INDEX('السلف'!$B$3:$B$502,55),"")</f>
        <v/>
      </c>
      <c r="C61" s="43">
        <f>IFERROR(INDEX('السلف'!$C$3:$C$502,55),"")</f>
        <v/>
      </c>
      <c r="D61" s="118">
        <f>IFERROR(INDEX('السلف'!$D$3:$D$502,55),"")</f>
        <v/>
      </c>
      <c r="E61" s="60">
        <f>IFERROR(INDEX('السلف'!$E$3:$E$502,55),"")</f>
        <v/>
      </c>
      <c r="F61" s="43">
        <f>IFERROR(INDEX('السلف'!$F$3:$F$502,55),"")</f>
        <v/>
      </c>
      <c r="G61" s="60">
        <f>IFERROR(INDEX('السلف'!$G$3:$G$502,55),"")</f>
        <v/>
      </c>
      <c r="H61" s="60">
        <f>IFERROR(INDEX('السلف'!$H$3:$H$502,55),"")</f>
        <v/>
      </c>
      <c r="I61" s="60">
        <f>IFERROR(INDEX('السلف'!$I$3:$I$502,55),"")</f>
        <v/>
      </c>
      <c r="J61" s="118">
        <f>IFERROR(INDEX('السلف'!$J$3:$J$502,55),"")</f>
        <v/>
      </c>
      <c r="K61" s="43">
        <f>IFERROR(INDEX('السلف'!$K$3:$K$502,55),"")</f>
        <v/>
      </c>
    </row>
    <row r="62">
      <c r="A62" s="50">
        <f>IFERROR(INDEX('السلف'!$A$3:$A$502,56),"")</f>
        <v/>
      </c>
      <c r="B62" s="50">
        <f>IFERROR(INDEX('السلف'!$B$3:$B$502,56),"")</f>
        <v/>
      </c>
      <c r="C62" s="50">
        <f>IFERROR(INDEX('السلف'!$C$3:$C$502,56),"")</f>
        <v/>
      </c>
      <c r="D62" s="119">
        <f>IFERROR(INDEX('السلف'!$D$3:$D$502,56),"")</f>
        <v/>
      </c>
      <c r="E62" s="63">
        <f>IFERROR(INDEX('السلف'!$E$3:$E$502,56),"")</f>
        <v/>
      </c>
      <c r="F62" s="50">
        <f>IFERROR(INDEX('السلف'!$F$3:$F$502,56),"")</f>
        <v/>
      </c>
      <c r="G62" s="63">
        <f>IFERROR(INDEX('السلف'!$G$3:$G$502,56),"")</f>
        <v/>
      </c>
      <c r="H62" s="63">
        <f>IFERROR(INDEX('السلف'!$H$3:$H$502,56),"")</f>
        <v/>
      </c>
      <c r="I62" s="63">
        <f>IFERROR(INDEX('السلف'!$I$3:$I$502,56),"")</f>
        <v/>
      </c>
      <c r="J62" s="119">
        <f>IFERROR(INDEX('السلف'!$J$3:$J$502,56),"")</f>
        <v/>
      </c>
      <c r="K62" s="50">
        <f>IFERROR(INDEX('السلف'!$K$3:$K$502,56),"")</f>
        <v/>
      </c>
    </row>
    <row r="63">
      <c r="A63" s="43">
        <f>IFERROR(INDEX('السلف'!$A$3:$A$502,57),"")</f>
        <v/>
      </c>
      <c r="B63" s="43">
        <f>IFERROR(INDEX('السلف'!$B$3:$B$502,57),"")</f>
        <v/>
      </c>
      <c r="C63" s="43">
        <f>IFERROR(INDEX('السلف'!$C$3:$C$502,57),"")</f>
        <v/>
      </c>
      <c r="D63" s="118">
        <f>IFERROR(INDEX('السلف'!$D$3:$D$502,57),"")</f>
        <v/>
      </c>
      <c r="E63" s="60">
        <f>IFERROR(INDEX('السلف'!$E$3:$E$502,57),"")</f>
        <v/>
      </c>
      <c r="F63" s="43">
        <f>IFERROR(INDEX('السلف'!$F$3:$F$502,57),"")</f>
        <v/>
      </c>
      <c r="G63" s="60">
        <f>IFERROR(INDEX('السلف'!$G$3:$G$502,57),"")</f>
        <v/>
      </c>
      <c r="H63" s="60">
        <f>IFERROR(INDEX('السلف'!$H$3:$H$502,57),"")</f>
        <v/>
      </c>
      <c r="I63" s="60">
        <f>IFERROR(INDEX('السلف'!$I$3:$I$502,57),"")</f>
        <v/>
      </c>
      <c r="J63" s="118">
        <f>IFERROR(INDEX('السلف'!$J$3:$J$502,57),"")</f>
        <v/>
      </c>
      <c r="K63" s="43">
        <f>IFERROR(INDEX('السلف'!$K$3:$K$502,57),"")</f>
        <v/>
      </c>
    </row>
    <row r="64">
      <c r="A64" s="50">
        <f>IFERROR(INDEX('السلف'!$A$3:$A$502,58),"")</f>
        <v/>
      </c>
      <c r="B64" s="50">
        <f>IFERROR(INDEX('السلف'!$B$3:$B$502,58),"")</f>
        <v/>
      </c>
      <c r="C64" s="50">
        <f>IFERROR(INDEX('السلف'!$C$3:$C$502,58),"")</f>
        <v/>
      </c>
      <c r="D64" s="119">
        <f>IFERROR(INDEX('السلف'!$D$3:$D$502,58),"")</f>
        <v/>
      </c>
      <c r="E64" s="63">
        <f>IFERROR(INDEX('السلف'!$E$3:$E$502,58),"")</f>
        <v/>
      </c>
      <c r="F64" s="50">
        <f>IFERROR(INDEX('السلف'!$F$3:$F$502,58),"")</f>
        <v/>
      </c>
      <c r="G64" s="63">
        <f>IFERROR(INDEX('السلف'!$G$3:$G$502,58),"")</f>
        <v/>
      </c>
      <c r="H64" s="63">
        <f>IFERROR(INDEX('السلف'!$H$3:$H$502,58),"")</f>
        <v/>
      </c>
      <c r="I64" s="63">
        <f>IFERROR(INDEX('السلف'!$I$3:$I$502,58),"")</f>
        <v/>
      </c>
      <c r="J64" s="119">
        <f>IFERROR(INDEX('السلف'!$J$3:$J$502,58),"")</f>
        <v/>
      </c>
      <c r="K64" s="50">
        <f>IFERROR(INDEX('السلف'!$K$3:$K$502,58),"")</f>
        <v/>
      </c>
    </row>
    <row r="65">
      <c r="A65" s="43">
        <f>IFERROR(INDEX('السلف'!$A$3:$A$502,59),"")</f>
        <v/>
      </c>
      <c r="B65" s="43">
        <f>IFERROR(INDEX('السلف'!$B$3:$B$502,59),"")</f>
        <v/>
      </c>
      <c r="C65" s="43">
        <f>IFERROR(INDEX('السلف'!$C$3:$C$502,59),"")</f>
        <v/>
      </c>
      <c r="D65" s="118">
        <f>IFERROR(INDEX('السلف'!$D$3:$D$502,59),"")</f>
        <v/>
      </c>
      <c r="E65" s="60">
        <f>IFERROR(INDEX('السلف'!$E$3:$E$502,59),"")</f>
        <v/>
      </c>
      <c r="F65" s="43">
        <f>IFERROR(INDEX('السلف'!$F$3:$F$502,59),"")</f>
        <v/>
      </c>
      <c r="G65" s="60">
        <f>IFERROR(INDEX('السلف'!$G$3:$G$502,59),"")</f>
        <v/>
      </c>
      <c r="H65" s="60">
        <f>IFERROR(INDEX('السلف'!$H$3:$H$502,59),"")</f>
        <v/>
      </c>
      <c r="I65" s="60">
        <f>IFERROR(INDEX('السلف'!$I$3:$I$502,59),"")</f>
        <v/>
      </c>
      <c r="J65" s="118">
        <f>IFERROR(INDEX('السلف'!$J$3:$J$502,59),"")</f>
        <v/>
      </c>
      <c r="K65" s="43">
        <f>IFERROR(INDEX('السلف'!$K$3:$K$502,59),"")</f>
        <v/>
      </c>
    </row>
    <row r="66">
      <c r="A66" s="50">
        <f>IFERROR(INDEX('السلف'!$A$3:$A$502,60),"")</f>
        <v/>
      </c>
      <c r="B66" s="50">
        <f>IFERROR(INDEX('السلف'!$B$3:$B$502,60),"")</f>
        <v/>
      </c>
      <c r="C66" s="50">
        <f>IFERROR(INDEX('السلف'!$C$3:$C$502,60),"")</f>
        <v/>
      </c>
      <c r="D66" s="119">
        <f>IFERROR(INDEX('السلف'!$D$3:$D$502,60),"")</f>
        <v/>
      </c>
      <c r="E66" s="63">
        <f>IFERROR(INDEX('السلف'!$E$3:$E$502,60),"")</f>
        <v/>
      </c>
      <c r="F66" s="50">
        <f>IFERROR(INDEX('السلف'!$F$3:$F$502,60),"")</f>
        <v/>
      </c>
      <c r="G66" s="63">
        <f>IFERROR(INDEX('السلف'!$G$3:$G$502,60),"")</f>
        <v/>
      </c>
      <c r="H66" s="63">
        <f>IFERROR(INDEX('السلف'!$H$3:$H$502,60),"")</f>
        <v/>
      </c>
      <c r="I66" s="63">
        <f>IFERROR(INDEX('السلف'!$I$3:$I$502,60),"")</f>
        <v/>
      </c>
      <c r="J66" s="119">
        <f>IFERROR(INDEX('السلف'!$J$3:$J$502,60),"")</f>
        <v/>
      </c>
      <c r="K66" s="50">
        <f>IFERROR(INDEX('السلف'!$K$3:$K$502,60),"")</f>
        <v/>
      </c>
    </row>
    <row r="67">
      <c r="A67" s="43">
        <f>IFERROR(INDEX('السلف'!$A$3:$A$502,61),"")</f>
        <v/>
      </c>
      <c r="B67" s="43">
        <f>IFERROR(INDEX('السلف'!$B$3:$B$502,61),"")</f>
        <v/>
      </c>
      <c r="C67" s="43">
        <f>IFERROR(INDEX('السلف'!$C$3:$C$502,61),"")</f>
        <v/>
      </c>
      <c r="D67" s="118">
        <f>IFERROR(INDEX('السلف'!$D$3:$D$502,61),"")</f>
        <v/>
      </c>
      <c r="E67" s="60">
        <f>IFERROR(INDEX('السلف'!$E$3:$E$502,61),"")</f>
        <v/>
      </c>
      <c r="F67" s="43">
        <f>IFERROR(INDEX('السلف'!$F$3:$F$502,61),"")</f>
        <v/>
      </c>
      <c r="G67" s="60">
        <f>IFERROR(INDEX('السلف'!$G$3:$G$502,61),"")</f>
        <v/>
      </c>
      <c r="H67" s="60">
        <f>IFERROR(INDEX('السلف'!$H$3:$H$502,61),"")</f>
        <v/>
      </c>
      <c r="I67" s="60">
        <f>IFERROR(INDEX('السلف'!$I$3:$I$502,61),"")</f>
        <v/>
      </c>
      <c r="J67" s="118">
        <f>IFERROR(INDEX('السلف'!$J$3:$J$502,61),"")</f>
        <v/>
      </c>
      <c r="K67" s="43">
        <f>IFERROR(INDEX('السلف'!$K$3:$K$502,61),"")</f>
        <v/>
      </c>
    </row>
    <row r="68">
      <c r="A68" s="50">
        <f>IFERROR(INDEX('السلف'!$A$3:$A$502,62),"")</f>
        <v/>
      </c>
      <c r="B68" s="50">
        <f>IFERROR(INDEX('السلف'!$B$3:$B$502,62),"")</f>
        <v/>
      </c>
      <c r="C68" s="50">
        <f>IFERROR(INDEX('السلف'!$C$3:$C$502,62),"")</f>
        <v/>
      </c>
      <c r="D68" s="119">
        <f>IFERROR(INDEX('السلف'!$D$3:$D$502,62),"")</f>
        <v/>
      </c>
      <c r="E68" s="63">
        <f>IFERROR(INDEX('السلف'!$E$3:$E$502,62),"")</f>
        <v/>
      </c>
      <c r="F68" s="50">
        <f>IFERROR(INDEX('السلف'!$F$3:$F$502,62),"")</f>
        <v/>
      </c>
      <c r="G68" s="63">
        <f>IFERROR(INDEX('السلف'!$G$3:$G$502,62),"")</f>
        <v/>
      </c>
      <c r="H68" s="63">
        <f>IFERROR(INDEX('السلف'!$H$3:$H$502,62),"")</f>
        <v/>
      </c>
      <c r="I68" s="63">
        <f>IFERROR(INDEX('السلف'!$I$3:$I$502,62),"")</f>
        <v/>
      </c>
      <c r="J68" s="119">
        <f>IFERROR(INDEX('السلف'!$J$3:$J$502,62),"")</f>
        <v/>
      </c>
      <c r="K68" s="50">
        <f>IFERROR(INDEX('السلف'!$K$3:$K$502,62),"")</f>
        <v/>
      </c>
    </row>
    <row r="69">
      <c r="A69" s="43">
        <f>IFERROR(INDEX('السلف'!$A$3:$A$502,63),"")</f>
        <v/>
      </c>
      <c r="B69" s="43">
        <f>IFERROR(INDEX('السلف'!$B$3:$B$502,63),"")</f>
        <v/>
      </c>
      <c r="C69" s="43">
        <f>IFERROR(INDEX('السلف'!$C$3:$C$502,63),"")</f>
        <v/>
      </c>
      <c r="D69" s="118">
        <f>IFERROR(INDEX('السلف'!$D$3:$D$502,63),"")</f>
        <v/>
      </c>
      <c r="E69" s="60">
        <f>IFERROR(INDEX('السلف'!$E$3:$E$502,63),"")</f>
        <v/>
      </c>
      <c r="F69" s="43">
        <f>IFERROR(INDEX('السلف'!$F$3:$F$502,63),"")</f>
        <v/>
      </c>
      <c r="G69" s="60">
        <f>IFERROR(INDEX('السلف'!$G$3:$G$502,63),"")</f>
        <v/>
      </c>
      <c r="H69" s="60">
        <f>IFERROR(INDEX('السلف'!$H$3:$H$502,63),"")</f>
        <v/>
      </c>
      <c r="I69" s="60">
        <f>IFERROR(INDEX('السلف'!$I$3:$I$502,63),"")</f>
        <v/>
      </c>
      <c r="J69" s="118">
        <f>IFERROR(INDEX('السلف'!$J$3:$J$502,63),"")</f>
        <v/>
      </c>
      <c r="K69" s="43">
        <f>IFERROR(INDEX('السلف'!$K$3:$K$502,63),"")</f>
        <v/>
      </c>
    </row>
    <row r="70">
      <c r="A70" s="50">
        <f>IFERROR(INDEX('السلف'!$A$3:$A$502,64),"")</f>
        <v/>
      </c>
      <c r="B70" s="50">
        <f>IFERROR(INDEX('السلف'!$B$3:$B$502,64),"")</f>
        <v/>
      </c>
      <c r="C70" s="50">
        <f>IFERROR(INDEX('السلف'!$C$3:$C$502,64),"")</f>
        <v/>
      </c>
      <c r="D70" s="119">
        <f>IFERROR(INDEX('السلف'!$D$3:$D$502,64),"")</f>
        <v/>
      </c>
      <c r="E70" s="63">
        <f>IFERROR(INDEX('السلف'!$E$3:$E$502,64),"")</f>
        <v/>
      </c>
      <c r="F70" s="50">
        <f>IFERROR(INDEX('السلف'!$F$3:$F$502,64),"")</f>
        <v/>
      </c>
      <c r="G70" s="63">
        <f>IFERROR(INDEX('السلف'!$G$3:$G$502,64),"")</f>
        <v/>
      </c>
      <c r="H70" s="63">
        <f>IFERROR(INDEX('السلف'!$H$3:$H$502,64),"")</f>
        <v/>
      </c>
      <c r="I70" s="63">
        <f>IFERROR(INDEX('السلف'!$I$3:$I$502,64),"")</f>
        <v/>
      </c>
      <c r="J70" s="119">
        <f>IFERROR(INDEX('السلف'!$J$3:$J$502,64),"")</f>
        <v/>
      </c>
      <c r="K70" s="50">
        <f>IFERROR(INDEX('السلف'!$K$3:$K$502,64),"")</f>
        <v/>
      </c>
    </row>
    <row r="71">
      <c r="A71" s="43">
        <f>IFERROR(INDEX('السلف'!$A$3:$A$502,65),"")</f>
        <v/>
      </c>
      <c r="B71" s="43">
        <f>IFERROR(INDEX('السلف'!$B$3:$B$502,65),"")</f>
        <v/>
      </c>
      <c r="C71" s="43">
        <f>IFERROR(INDEX('السلف'!$C$3:$C$502,65),"")</f>
        <v/>
      </c>
      <c r="D71" s="118">
        <f>IFERROR(INDEX('السلف'!$D$3:$D$502,65),"")</f>
        <v/>
      </c>
      <c r="E71" s="60">
        <f>IFERROR(INDEX('السلف'!$E$3:$E$502,65),"")</f>
        <v/>
      </c>
      <c r="F71" s="43">
        <f>IFERROR(INDEX('السلف'!$F$3:$F$502,65),"")</f>
        <v/>
      </c>
      <c r="G71" s="60">
        <f>IFERROR(INDEX('السلف'!$G$3:$G$502,65),"")</f>
        <v/>
      </c>
      <c r="H71" s="60">
        <f>IFERROR(INDEX('السلف'!$H$3:$H$502,65),"")</f>
        <v/>
      </c>
      <c r="I71" s="60">
        <f>IFERROR(INDEX('السلف'!$I$3:$I$502,65),"")</f>
        <v/>
      </c>
      <c r="J71" s="118">
        <f>IFERROR(INDEX('السلف'!$J$3:$J$502,65),"")</f>
        <v/>
      </c>
      <c r="K71" s="43">
        <f>IFERROR(INDEX('السلف'!$K$3:$K$502,65),"")</f>
        <v/>
      </c>
    </row>
    <row r="72">
      <c r="A72" s="50">
        <f>IFERROR(INDEX('السلف'!$A$3:$A$502,66),"")</f>
        <v/>
      </c>
      <c r="B72" s="50">
        <f>IFERROR(INDEX('السلف'!$B$3:$B$502,66),"")</f>
        <v/>
      </c>
      <c r="C72" s="50">
        <f>IFERROR(INDEX('السلف'!$C$3:$C$502,66),"")</f>
        <v/>
      </c>
      <c r="D72" s="119">
        <f>IFERROR(INDEX('السلف'!$D$3:$D$502,66),"")</f>
        <v/>
      </c>
      <c r="E72" s="63">
        <f>IFERROR(INDEX('السلف'!$E$3:$E$502,66),"")</f>
        <v/>
      </c>
      <c r="F72" s="50">
        <f>IFERROR(INDEX('السلف'!$F$3:$F$502,66),"")</f>
        <v/>
      </c>
      <c r="G72" s="63">
        <f>IFERROR(INDEX('السلف'!$G$3:$G$502,66),"")</f>
        <v/>
      </c>
      <c r="H72" s="63">
        <f>IFERROR(INDEX('السلف'!$H$3:$H$502,66),"")</f>
        <v/>
      </c>
      <c r="I72" s="63">
        <f>IFERROR(INDEX('السلف'!$I$3:$I$502,66),"")</f>
        <v/>
      </c>
      <c r="J72" s="119">
        <f>IFERROR(INDEX('السلف'!$J$3:$J$502,66),"")</f>
        <v/>
      </c>
      <c r="K72" s="50">
        <f>IFERROR(INDEX('السلف'!$K$3:$K$502,66),"")</f>
        <v/>
      </c>
    </row>
    <row r="73">
      <c r="A73" s="43">
        <f>IFERROR(INDEX('السلف'!$A$3:$A$502,67),"")</f>
        <v/>
      </c>
      <c r="B73" s="43">
        <f>IFERROR(INDEX('السلف'!$B$3:$B$502,67),"")</f>
        <v/>
      </c>
      <c r="C73" s="43">
        <f>IFERROR(INDEX('السلف'!$C$3:$C$502,67),"")</f>
        <v/>
      </c>
      <c r="D73" s="118">
        <f>IFERROR(INDEX('السلف'!$D$3:$D$502,67),"")</f>
        <v/>
      </c>
      <c r="E73" s="60">
        <f>IFERROR(INDEX('السلف'!$E$3:$E$502,67),"")</f>
        <v/>
      </c>
      <c r="F73" s="43">
        <f>IFERROR(INDEX('السلف'!$F$3:$F$502,67),"")</f>
        <v/>
      </c>
      <c r="G73" s="60">
        <f>IFERROR(INDEX('السلف'!$G$3:$G$502,67),"")</f>
        <v/>
      </c>
      <c r="H73" s="60">
        <f>IFERROR(INDEX('السلف'!$H$3:$H$502,67),"")</f>
        <v/>
      </c>
      <c r="I73" s="60">
        <f>IFERROR(INDEX('السلف'!$I$3:$I$502,67),"")</f>
        <v/>
      </c>
      <c r="J73" s="118">
        <f>IFERROR(INDEX('السلف'!$J$3:$J$502,67),"")</f>
        <v/>
      </c>
      <c r="K73" s="43">
        <f>IFERROR(INDEX('السلف'!$K$3:$K$502,67),"")</f>
        <v/>
      </c>
    </row>
    <row r="74">
      <c r="A74" s="50">
        <f>IFERROR(INDEX('السلف'!$A$3:$A$502,68),"")</f>
        <v/>
      </c>
      <c r="B74" s="50">
        <f>IFERROR(INDEX('السلف'!$B$3:$B$502,68),"")</f>
        <v/>
      </c>
      <c r="C74" s="50">
        <f>IFERROR(INDEX('السلف'!$C$3:$C$502,68),"")</f>
        <v/>
      </c>
      <c r="D74" s="119">
        <f>IFERROR(INDEX('السلف'!$D$3:$D$502,68),"")</f>
        <v/>
      </c>
      <c r="E74" s="63">
        <f>IFERROR(INDEX('السلف'!$E$3:$E$502,68),"")</f>
        <v/>
      </c>
      <c r="F74" s="50">
        <f>IFERROR(INDEX('السلف'!$F$3:$F$502,68),"")</f>
        <v/>
      </c>
      <c r="G74" s="63">
        <f>IFERROR(INDEX('السلف'!$G$3:$G$502,68),"")</f>
        <v/>
      </c>
      <c r="H74" s="63">
        <f>IFERROR(INDEX('السلف'!$H$3:$H$502,68),"")</f>
        <v/>
      </c>
      <c r="I74" s="63">
        <f>IFERROR(INDEX('السلف'!$I$3:$I$502,68),"")</f>
        <v/>
      </c>
      <c r="J74" s="119">
        <f>IFERROR(INDEX('السلف'!$J$3:$J$502,68),"")</f>
        <v/>
      </c>
      <c r="K74" s="50">
        <f>IFERROR(INDEX('السلف'!$K$3:$K$502,68),"")</f>
        <v/>
      </c>
    </row>
    <row r="75">
      <c r="A75" s="43">
        <f>IFERROR(INDEX('السلف'!$A$3:$A$502,69),"")</f>
        <v/>
      </c>
      <c r="B75" s="43">
        <f>IFERROR(INDEX('السلف'!$B$3:$B$502,69),"")</f>
        <v/>
      </c>
      <c r="C75" s="43">
        <f>IFERROR(INDEX('السلف'!$C$3:$C$502,69),"")</f>
        <v/>
      </c>
      <c r="D75" s="118">
        <f>IFERROR(INDEX('السلف'!$D$3:$D$502,69),"")</f>
        <v/>
      </c>
      <c r="E75" s="60">
        <f>IFERROR(INDEX('السلف'!$E$3:$E$502,69),"")</f>
        <v/>
      </c>
      <c r="F75" s="43">
        <f>IFERROR(INDEX('السلف'!$F$3:$F$502,69),"")</f>
        <v/>
      </c>
      <c r="G75" s="60">
        <f>IFERROR(INDEX('السلف'!$G$3:$G$502,69),"")</f>
        <v/>
      </c>
      <c r="H75" s="60">
        <f>IFERROR(INDEX('السلف'!$H$3:$H$502,69),"")</f>
        <v/>
      </c>
      <c r="I75" s="60">
        <f>IFERROR(INDEX('السلف'!$I$3:$I$502,69),"")</f>
        <v/>
      </c>
      <c r="J75" s="118">
        <f>IFERROR(INDEX('السلف'!$J$3:$J$502,69),"")</f>
        <v/>
      </c>
      <c r="K75" s="43">
        <f>IFERROR(INDEX('السلف'!$K$3:$K$502,69),"")</f>
        <v/>
      </c>
    </row>
    <row r="76">
      <c r="A76" s="50">
        <f>IFERROR(INDEX('السلف'!$A$3:$A$502,70),"")</f>
        <v/>
      </c>
      <c r="B76" s="50">
        <f>IFERROR(INDEX('السلف'!$B$3:$B$502,70),"")</f>
        <v/>
      </c>
      <c r="C76" s="50">
        <f>IFERROR(INDEX('السلف'!$C$3:$C$502,70),"")</f>
        <v/>
      </c>
      <c r="D76" s="119">
        <f>IFERROR(INDEX('السلف'!$D$3:$D$502,70),"")</f>
        <v/>
      </c>
      <c r="E76" s="63">
        <f>IFERROR(INDEX('السلف'!$E$3:$E$502,70),"")</f>
        <v/>
      </c>
      <c r="F76" s="50">
        <f>IFERROR(INDEX('السلف'!$F$3:$F$502,70),"")</f>
        <v/>
      </c>
      <c r="G76" s="63">
        <f>IFERROR(INDEX('السلف'!$G$3:$G$502,70),"")</f>
        <v/>
      </c>
      <c r="H76" s="63">
        <f>IFERROR(INDEX('السلف'!$H$3:$H$502,70),"")</f>
        <v/>
      </c>
      <c r="I76" s="63">
        <f>IFERROR(INDEX('السلف'!$I$3:$I$502,70),"")</f>
        <v/>
      </c>
      <c r="J76" s="119">
        <f>IFERROR(INDEX('السلف'!$J$3:$J$502,70),"")</f>
        <v/>
      </c>
      <c r="K76" s="50">
        <f>IFERROR(INDEX('السلف'!$K$3:$K$502,70),"")</f>
        <v/>
      </c>
    </row>
    <row r="77">
      <c r="A77" s="43">
        <f>IFERROR(INDEX('السلف'!$A$3:$A$502,71),"")</f>
        <v/>
      </c>
      <c r="B77" s="43">
        <f>IFERROR(INDEX('السلف'!$B$3:$B$502,71),"")</f>
        <v/>
      </c>
      <c r="C77" s="43">
        <f>IFERROR(INDEX('السلف'!$C$3:$C$502,71),"")</f>
        <v/>
      </c>
      <c r="D77" s="118">
        <f>IFERROR(INDEX('السلف'!$D$3:$D$502,71),"")</f>
        <v/>
      </c>
      <c r="E77" s="60">
        <f>IFERROR(INDEX('السلف'!$E$3:$E$502,71),"")</f>
        <v/>
      </c>
      <c r="F77" s="43">
        <f>IFERROR(INDEX('السلف'!$F$3:$F$502,71),"")</f>
        <v/>
      </c>
      <c r="G77" s="60">
        <f>IFERROR(INDEX('السلف'!$G$3:$G$502,71),"")</f>
        <v/>
      </c>
      <c r="H77" s="60">
        <f>IFERROR(INDEX('السلف'!$H$3:$H$502,71),"")</f>
        <v/>
      </c>
      <c r="I77" s="60">
        <f>IFERROR(INDEX('السلف'!$I$3:$I$502,71),"")</f>
        <v/>
      </c>
      <c r="J77" s="118">
        <f>IFERROR(INDEX('السلف'!$J$3:$J$502,71),"")</f>
        <v/>
      </c>
      <c r="K77" s="43">
        <f>IFERROR(INDEX('السلف'!$K$3:$K$502,71),"")</f>
        <v/>
      </c>
    </row>
    <row r="78">
      <c r="A78" s="50">
        <f>IFERROR(INDEX('السلف'!$A$3:$A$502,72),"")</f>
        <v/>
      </c>
      <c r="B78" s="50">
        <f>IFERROR(INDEX('السلف'!$B$3:$B$502,72),"")</f>
        <v/>
      </c>
      <c r="C78" s="50">
        <f>IFERROR(INDEX('السلف'!$C$3:$C$502,72),"")</f>
        <v/>
      </c>
      <c r="D78" s="119">
        <f>IFERROR(INDEX('السلف'!$D$3:$D$502,72),"")</f>
        <v/>
      </c>
      <c r="E78" s="63">
        <f>IFERROR(INDEX('السلف'!$E$3:$E$502,72),"")</f>
        <v/>
      </c>
      <c r="F78" s="50">
        <f>IFERROR(INDEX('السلف'!$F$3:$F$502,72),"")</f>
        <v/>
      </c>
      <c r="G78" s="63">
        <f>IFERROR(INDEX('السلف'!$G$3:$G$502,72),"")</f>
        <v/>
      </c>
      <c r="H78" s="63">
        <f>IFERROR(INDEX('السلف'!$H$3:$H$502,72),"")</f>
        <v/>
      </c>
      <c r="I78" s="63">
        <f>IFERROR(INDEX('السلف'!$I$3:$I$502,72),"")</f>
        <v/>
      </c>
      <c r="J78" s="119">
        <f>IFERROR(INDEX('السلف'!$J$3:$J$502,72),"")</f>
        <v/>
      </c>
      <c r="K78" s="50">
        <f>IFERROR(INDEX('السلف'!$K$3:$K$502,72),"")</f>
        <v/>
      </c>
    </row>
    <row r="79">
      <c r="A79" s="43">
        <f>IFERROR(INDEX('السلف'!$A$3:$A$502,73),"")</f>
        <v/>
      </c>
      <c r="B79" s="43">
        <f>IFERROR(INDEX('السلف'!$B$3:$B$502,73),"")</f>
        <v/>
      </c>
      <c r="C79" s="43">
        <f>IFERROR(INDEX('السلف'!$C$3:$C$502,73),"")</f>
        <v/>
      </c>
      <c r="D79" s="118">
        <f>IFERROR(INDEX('السلف'!$D$3:$D$502,73),"")</f>
        <v/>
      </c>
      <c r="E79" s="60">
        <f>IFERROR(INDEX('السلف'!$E$3:$E$502,73),"")</f>
        <v/>
      </c>
      <c r="F79" s="43">
        <f>IFERROR(INDEX('السلف'!$F$3:$F$502,73),"")</f>
        <v/>
      </c>
      <c r="G79" s="60">
        <f>IFERROR(INDEX('السلف'!$G$3:$G$502,73),"")</f>
        <v/>
      </c>
      <c r="H79" s="60">
        <f>IFERROR(INDEX('السلف'!$H$3:$H$502,73),"")</f>
        <v/>
      </c>
      <c r="I79" s="60">
        <f>IFERROR(INDEX('السلف'!$I$3:$I$502,73),"")</f>
        <v/>
      </c>
      <c r="J79" s="118">
        <f>IFERROR(INDEX('السلف'!$J$3:$J$502,73),"")</f>
        <v/>
      </c>
      <c r="K79" s="43">
        <f>IFERROR(INDEX('السلف'!$K$3:$K$502,73),"")</f>
        <v/>
      </c>
    </row>
    <row r="80">
      <c r="A80" s="50">
        <f>IFERROR(INDEX('السلف'!$A$3:$A$502,74),"")</f>
        <v/>
      </c>
      <c r="B80" s="50">
        <f>IFERROR(INDEX('السلف'!$B$3:$B$502,74),"")</f>
        <v/>
      </c>
      <c r="C80" s="50">
        <f>IFERROR(INDEX('السلف'!$C$3:$C$502,74),"")</f>
        <v/>
      </c>
      <c r="D80" s="119">
        <f>IFERROR(INDEX('السلف'!$D$3:$D$502,74),"")</f>
        <v/>
      </c>
      <c r="E80" s="63">
        <f>IFERROR(INDEX('السلف'!$E$3:$E$502,74),"")</f>
        <v/>
      </c>
      <c r="F80" s="50">
        <f>IFERROR(INDEX('السلف'!$F$3:$F$502,74),"")</f>
        <v/>
      </c>
      <c r="G80" s="63">
        <f>IFERROR(INDEX('السلف'!$G$3:$G$502,74),"")</f>
        <v/>
      </c>
      <c r="H80" s="63">
        <f>IFERROR(INDEX('السلف'!$H$3:$H$502,74),"")</f>
        <v/>
      </c>
      <c r="I80" s="63">
        <f>IFERROR(INDEX('السلف'!$I$3:$I$502,74),"")</f>
        <v/>
      </c>
      <c r="J80" s="119">
        <f>IFERROR(INDEX('السلف'!$J$3:$J$502,74),"")</f>
        <v/>
      </c>
      <c r="K80" s="50">
        <f>IFERROR(INDEX('السلف'!$K$3:$K$502,74),"")</f>
        <v/>
      </c>
    </row>
    <row r="81">
      <c r="A81" s="43">
        <f>IFERROR(INDEX('السلف'!$A$3:$A$502,75),"")</f>
        <v/>
      </c>
      <c r="B81" s="43">
        <f>IFERROR(INDEX('السلف'!$B$3:$B$502,75),"")</f>
        <v/>
      </c>
      <c r="C81" s="43">
        <f>IFERROR(INDEX('السلف'!$C$3:$C$502,75),"")</f>
        <v/>
      </c>
      <c r="D81" s="118">
        <f>IFERROR(INDEX('السلف'!$D$3:$D$502,75),"")</f>
        <v/>
      </c>
      <c r="E81" s="60">
        <f>IFERROR(INDEX('السلف'!$E$3:$E$502,75),"")</f>
        <v/>
      </c>
      <c r="F81" s="43">
        <f>IFERROR(INDEX('السلف'!$F$3:$F$502,75),"")</f>
        <v/>
      </c>
      <c r="G81" s="60">
        <f>IFERROR(INDEX('السلف'!$G$3:$G$502,75),"")</f>
        <v/>
      </c>
      <c r="H81" s="60">
        <f>IFERROR(INDEX('السلف'!$H$3:$H$502,75),"")</f>
        <v/>
      </c>
      <c r="I81" s="60">
        <f>IFERROR(INDEX('السلف'!$I$3:$I$502,75),"")</f>
        <v/>
      </c>
      <c r="J81" s="118">
        <f>IFERROR(INDEX('السلف'!$J$3:$J$502,75),"")</f>
        <v/>
      </c>
      <c r="K81" s="43">
        <f>IFERROR(INDEX('السلف'!$K$3:$K$502,75),"")</f>
        <v/>
      </c>
    </row>
    <row r="82">
      <c r="A82" s="50">
        <f>IFERROR(INDEX('السلف'!$A$3:$A$502,76),"")</f>
        <v/>
      </c>
      <c r="B82" s="50">
        <f>IFERROR(INDEX('السلف'!$B$3:$B$502,76),"")</f>
        <v/>
      </c>
      <c r="C82" s="50">
        <f>IFERROR(INDEX('السلف'!$C$3:$C$502,76),"")</f>
        <v/>
      </c>
      <c r="D82" s="119">
        <f>IFERROR(INDEX('السلف'!$D$3:$D$502,76),"")</f>
        <v/>
      </c>
      <c r="E82" s="63">
        <f>IFERROR(INDEX('السلف'!$E$3:$E$502,76),"")</f>
        <v/>
      </c>
      <c r="F82" s="50">
        <f>IFERROR(INDEX('السلف'!$F$3:$F$502,76),"")</f>
        <v/>
      </c>
      <c r="G82" s="63">
        <f>IFERROR(INDEX('السلف'!$G$3:$G$502,76),"")</f>
        <v/>
      </c>
      <c r="H82" s="63">
        <f>IFERROR(INDEX('السلف'!$H$3:$H$502,76),"")</f>
        <v/>
      </c>
      <c r="I82" s="63">
        <f>IFERROR(INDEX('السلف'!$I$3:$I$502,76),"")</f>
        <v/>
      </c>
      <c r="J82" s="119">
        <f>IFERROR(INDEX('السلف'!$J$3:$J$502,76),"")</f>
        <v/>
      </c>
      <c r="K82" s="50">
        <f>IFERROR(INDEX('السلف'!$K$3:$K$502,76),"")</f>
        <v/>
      </c>
    </row>
    <row r="83">
      <c r="A83" s="43">
        <f>IFERROR(INDEX('السلف'!$A$3:$A$502,77),"")</f>
        <v/>
      </c>
      <c r="B83" s="43">
        <f>IFERROR(INDEX('السلف'!$B$3:$B$502,77),"")</f>
        <v/>
      </c>
      <c r="C83" s="43">
        <f>IFERROR(INDEX('السلف'!$C$3:$C$502,77),"")</f>
        <v/>
      </c>
      <c r="D83" s="118">
        <f>IFERROR(INDEX('السلف'!$D$3:$D$502,77),"")</f>
        <v/>
      </c>
      <c r="E83" s="60">
        <f>IFERROR(INDEX('السلف'!$E$3:$E$502,77),"")</f>
        <v/>
      </c>
      <c r="F83" s="43">
        <f>IFERROR(INDEX('السلف'!$F$3:$F$502,77),"")</f>
        <v/>
      </c>
      <c r="G83" s="60">
        <f>IFERROR(INDEX('السلف'!$G$3:$G$502,77),"")</f>
        <v/>
      </c>
      <c r="H83" s="60">
        <f>IFERROR(INDEX('السلف'!$H$3:$H$502,77),"")</f>
        <v/>
      </c>
      <c r="I83" s="60">
        <f>IFERROR(INDEX('السلف'!$I$3:$I$502,77),"")</f>
        <v/>
      </c>
      <c r="J83" s="118">
        <f>IFERROR(INDEX('السلف'!$J$3:$J$502,77),"")</f>
        <v/>
      </c>
      <c r="K83" s="43">
        <f>IFERROR(INDEX('السلف'!$K$3:$K$502,77),"")</f>
        <v/>
      </c>
    </row>
    <row r="84">
      <c r="A84" s="50">
        <f>IFERROR(INDEX('السلف'!$A$3:$A$502,78),"")</f>
        <v/>
      </c>
      <c r="B84" s="50">
        <f>IFERROR(INDEX('السلف'!$B$3:$B$502,78),"")</f>
        <v/>
      </c>
      <c r="C84" s="50">
        <f>IFERROR(INDEX('السلف'!$C$3:$C$502,78),"")</f>
        <v/>
      </c>
      <c r="D84" s="119">
        <f>IFERROR(INDEX('السلف'!$D$3:$D$502,78),"")</f>
        <v/>
      </c>
      <c r="E84" s="63">
        <f>IFERROR(INDEX('السلف'!$E$3:$E$502,78),"")</f>
        <v/>
      </c>
      <c r="F84" s="50">
        <f>IFERROR(INDEX('السلف'!$F$3:$F$502,78),"")</f>
        <v/>
      </c>
      <c r="G84" s="63">
        <f>IFERROR(INDEX('السلف'!$G$3:$G$502,78),"")</f>
        <v/>
      </c>
      <c r="H84" s="63">
        <f>IFERROR(INDEX('السلف'!$H$3:$H$502,78),"")</f>
        <v/>
      </c>
      <c r="I84" s="63">
        <f>IFERROR(INDEX('السلف'!$I$3:$I$502,78),"")</f>
        <v/>
      </c>
      <c r="J84" s="119">
        <f>IFERROR(INDEX('السلف'!$J$3:$J$502,78),"")</f>
        <v/>
      </c>
      <c r="K84" s="50">
        <f>IFERROR(INDEX('السلف'!$K$3:$K$502,78),"")</f>
        <v/>
      </c>
    </row>
    <row r="85">
      <c r="A85" s="43">
        <f>IFERROR(INDEX('السلف'!$A$3:$A$502,79),"")</f>
        <v/>
      </c>
      <c r="B85" s="43">
        <f>IFERROR(INDEX('السلف'!$B$3:$B$502,79),"")</f>
        <v/>
      </c>
      <c r="C85" s="43">
        <f>IFERROR(INDEX('السلف'!$C$3:$C$502,79),"")</f>
        <v/>
      </c>
      <c r="D85" s="118">
        <f>IFERROR(INDEX('السلف'!$D$3:$D$502,79),"")</f>
        <v/>
      </c>
      <c r="E85" s="60">
        <f>IFERROR(INDEX('السلف'!$E$3:$E$502,79),"")</f>
        <v/>
      </c>
      <c r="F85" s="43">
        <f>IFERROR(INDEX('السلف'!$F$3:$F$502,79),"")</f>
        <v/>
      </c>
      <c r="G85" s="60">
        <f>IFERROR(INDEX('السلف'!$G$3:$G$502,79),"")</f>
        <v/>
      </c>
      <c r="H85" s="60">
        <f>IFERROR(INDEX('السلف'!$H$3:$H$502,79),"")</f>
        <v/>
      </c>
      <c r="I85" s="60">
        <f>IFERROR(INDEX('السلف'!$I$3:$I$502,79),"")</f>
        <v/>
      </c>
      <c r="J85" s="118">
        <f>IFERROR(INDEX('السلف'!$J$3:$J$502,79),"")</f>
        <v/>
      </c>
      <c r="K85" s="43">
        <f>IFERROR(INDEX('السلف'!$K$3:$K$502,79),"")</f>
        <v/>
      </c>
    </row>
    <row r="86">
      <c r="A86" s="50">
        <f>IFERROR(INDEX('السلف'!$A$3:$A$502,80),"")</f>
        <v/>
      </c>
      <c r="B86" s="50">
        <f>IFERROR(INDEX('السلف'!$B$3:$B$502,80),"")</f>
        <v/>
      </c>
      <c r="C86" s="50">
        <f>IFERROR(INDEX('السلف'!$C$3:$C$502,80),"")</f>
        <v/>
      </c>
      <c r="D86" s="119">
        <f>IFERROR(INDEX('السلف'!$D$3:$D$502,80),"")</f>
        <v/>
      </c>
      <c r="E86" s="63">
        <f>IFERROR(INDEX('السلف'!$E$3:$E$502,80),"")</f>
        <v/>
      </c>
      <c r="F86" s="50">
        <f>IFERROR(INDEX('السلف'!$F$3:$F$502,80),"")</f>
        <v/>
      </c>
      <c r="G86" s="63">
        <f>IFERROR(INDEX('السلف'!$G$3:$G$502,80),"")</f>
        <v/>
      </c>
      <c r="H86" s="63">
        <f>IFERROR(INDEX('السلف'!$H$3:$H$502,80),"")</f>
        <v/>
      </c>
      <c r="I86" s="63">
        <f>IFERROR(INDEX('السلف'!$I$3:$I$502,80),"")</f>
        <v/>
      </c>
      <c r="J86" s="119">
        <f>IFERROR(INDEX('السلف'!$J$3:$J$502,80),"")</f>
        <v/>
      </c>
      <c r="K86" s="50">
        <f>IFERROR(INDEX('السلف'!$K$3:$K$502,80),"")</f>
        <v/>
      </c>
    </row>
    <row r="87">
      <c r="A87" s="43">
        <f>IFERROR(INDEX('السلف'!$A$3:$A$502,81),"")</f>
        <v/>
      </c>
      <c r="B87" s="43">
        <f>IFERROR(INDEX('السلف'!$B$3:$B$502,81),"")</f>
        <v/>
      </c>
      <c r="C87" s="43">
        <f>IFERROR(INDEX('السلف'!$C$3:$C$502,81),"")</f>
        <v/>
      </c>
      <c r="D87" s="118">
        <f>IFERROR(INDEX('السلف'!$D$3:$D$502,81),"")</f>
        <v/>
      </c>
      <c r="E87" s="60">
        <f>IFERROR(INDEX('السلف'!$E$3:$E$502,81),"")</f>
        <v/>
      </c>
      <c r="F87" s="43">
        <f>IFERROR(INDEX('السلف'!$F$3:$F$502,81),"")</f>
        <v/>
      </c>
      <c r="G87" s="60">
        <f>IFERROR(INDEX('السلف'!$G$3:$G$502,81),"")</f>
        <v/>
      </c>
      <c r="H87" s="60">
        <f>IFERROR(INDEX('السلف'!$H$3:$H$502,81),"")</f>
        <v/>
      </c>
      <c r="I87" s="60">
        <f>IFERROR(INDEX('السلف'!$I$3:$I$502,81),"")</f>
        <v/>
      </c>
      <c r="J87" s="118">
        <f>IFERROR(INDEX('السلف'!$J$3:$J$502,81),"")</f>
        <v/>
      </c>
      <c r="K87" s="43">
        <f>IFERROR(INDEX('السلف'!$K$3:$K$502,81),"")</f>
        <v/>
      </c>
    </row>
    <row r="88">
      <c r="A88" s="50">
        <f>IFERROR(INDEX('السلف'!$A$3:$A$502,82),"")</f>
        <v/>
      </c>
      <c r="B88" s="50">
        <f>IFERROR(INDEX('السلف'!$B$3:$B$502,82),"")</f>
        <v/>
      </c>
      <c r="C88" s="50">
        <f>IFERROR(INDEX('السلف'!$C$3:$C$502,82),"")</f>
        <v/>
      </c>
      <c r="D88" s="119">
        <f>IFERROR(INDEX('السلف'!$D$3:$D$502,82),"")</f>
        <v/>
      </c>
      <c r="E88" s="63">
        <f>IFERROR(INDEX('السلف'!$E$3:$E$502,82),"")</f>
        <v/>
      </c>
      <c r="F88" s="50">
        <f>IFERROR(INDEX('السلف'!$F$3:$F$502,82),"")</f>
        <v/>
      </c>
      <c r="G88" s="63">
        <f>IFERROR(INDEX('السلف'!$G$3:$G$502,82),"")</f>
        <v/>
      </c>
      <c r="H88" s="63">
        <f>IFERROR(INDEX('السلف'!$H$3:$H$502,82),"")</f>
        <v/>
      </c>
      <c r="I88" s="63">
        <f>IFERROR(INDEX('السلف'!$I$3:$I$502,82),"")</f>
        <v/>
      </c>
      <c r="J88" s="119">
        <f>IFERROR(INDEX('السلف'!$J$3:$J$502,82),"")</f>
        <v/>
      </c>
      <c r="K88" s="50">
        <f>IFERROR(INDEX('السلف'!$K$3:$K$502,82),"")</f>
        <v/>
      </c>
    </row>
    <row r="89">
      <c r="A89" s="43">
        <f>IFERROR(INDEX('السلف'!$A$3:$A$502,83),"")</f>
        <v/>
      </c>
      <c r="B89" s="43">
        <f>IFERROR(INDEX('السلف'!$B$3:$B$502,83),"")</f>
        <v/>
      </c>
      <c r="C89" s="43">
        <f>IFERROR(INDEX('السلف'!$C$3:$C$502,83),"")</f>
        <v/>
      </c>
      <c r="D89" s="118">
        <f>IFERROR(INDEX('السلف'!$D$3:$D$502,83),"")</f>
        <v/>
      </c>
      <c r="E89" s="60">
        <f>IFERROR(INDEX('السلف'!$E$3:$E$502,83),"")</f>
        <v/>
      </c>
      <c r="F89" s="43">
        <f>IFERROR(INDEX('السلف'!$F$3:$F$502,83),"")</f>
        <v/>
      </c>
      <c r="G89" s="60">
        <f>IFERROR(INDEX('السلف'!$G$3:$G$502,83),"")</f>
        <v/>
      </c>
      <c r="H89" s="60">
        <f>IFERROR(INDEX('السلف'!$H$3:$H$502,83),"")</f>
        <v/>
      </c>
      <c r="I89" s="60">
        <f>IFERROR(INDEX('السلف'!$I$3:$I$502,83),"")</f>
        <v/>
      </c>
      <c r="J89" s="118">
        <f>IFERROR(INDEX('السلف'!$J$3:$J$502,83),"")</f>
        <v/>
      </c>
      <c r="K89" s="43">
        <f>IFERROR(INDEX('السلف'!$K$3:$K$502,83),"")</f>
        <v/>
      </c>
    </row>
    <row r="90">
      <c r="A90" s="50">
        <f>IFERROR(INDEX('السلف'!$A$3:$A$502,84),"")</f>
        <v/>
      </c>
      <c r="B90" s="50">
        <f>IFERROR(INDEX('السلف'!$B$3:$B$502,84),"")</f>
        <v/>
      </c>
      <c r="C90" s="50">
        <f>IFERROR(INDEX('السلف'!$C$3:$C$502,84),"")</f>
        <v/>
      </c>
      <c r="D90" s="119">
        <f>IFERROR(INDEX('السلف'!$D$3:$D$502,84),"")</f>
        <v/>
      </c>
      <c r="E90" s="63">
        <f>IFERROR(INDEX('السلف'!$E$3:$E$502,84),"")</f>
        <v/>
      </c>
      <c r="F90" s="50">
        <f>IFERROR(INDEX('السلف'!$F$3:$F$502,84),"")</f>
        <v/>
      </c>
      <c r="G90" s="63">
        <f>IFERROR(INDEX('السلف'!$G$3:$G$502,84),"")</f>
        <v/>
      </c>
      <c r="H90" s="63">
        <f>IFERROR(INDEX('السلف'!$H$3:$H$502,84),"")</f>
        <v/>
      </c>
      <c r="I90" s="63">
        <f>IFERROR(INDEX('السلف'!$I$3:$I$502,84),"")</f>
        <v/>
      </c>
      <c r="J90" s="119">
        <f>IFERROR(INDEX('السلف'!$J$3:$J$502,84),"")</f>
        <v/>
      </c>
      <c r="K90" s="50">
        <f>IFERROR(INDEX('السلف'!$K$3:$K$502,84),"")</f>
        <v/>
      </c>
    </row>
    <row r="91">
      <c r="A91" s="43">
        <f>IFERROR(INDEX('السلف'!$A$3:$A$502,85),"")</f>
        <v/>
      </c>
      <c r="B91" s="43">
        <f>IFERROR(INDEX('السلف'!$B$3:$B$502,85),"")</f>
        <v/>
      </c>
      <c r="C91" s="43">
        <f>IFERROR(INDEX('السلف'!$C$3:$C$502,85),"")</f>
        <v/>
      </c>
      <c r="D91" s="118">
        <f>IFERROR(INDEX('السلف'!$D$3:$D$502,85),"")</f>
        <v/>
      </c>
      <c r="E91" s="60">
        <f>IFERROR(INDEX('السلف'!$E$3:$E$502,85),"")</f>
        <v/>
      </c>
      <c r="F91" s="43">
        <f>IFERROR(INDEX('السلف'!$F$3:$F$502,85),"")</f>
        <v/>
      </c>
      <c r="G91" s="60">
        <f>IFERROR(INDEX('السلف'!$G$3:$G$502,85),"")</f>
        <v/>
      </c>
      <c r="H91" s="60">
        <f>IFERROR(INDEX('السلف'!$H$3:$H$502,85),"")</f>
        <v/>
      </c>
      <c r="I91" s="60">
        <f>IFERROR(INDEX('السلف'!$I$3:$I$502,85),"")</f>
        <v/>
      </c>
      <c r="J91" s="118">
        <f>IFERROR(INDEX('السلف'!$J$3:$J$502,85),"")</f>
        <v/>
      </c>
      <c r="K91" s="43">
        <f>IFERROR(INDEX('السلف'!$K$3:$K$502,85),"")</f>
        <v/>
      </c>
    </row>
    <row r="92">
      <c r="A92" s="50">
        <f>IFERROR(INDEX('السلف'!$A$3:$A$502,86),"")</f>
        <v/>
      </c>
      <c r="B92" s="50">
        <f>IFERROR(INDEX('السلف'!$B$3:$B$502,86),"")</f>
        <v/>
      </c>
      <c r="C92" s="50">
        <f>IFERROR(INDEX('السلف'!$C$3:$C$502,86),"")</f>
        <v/>
      </c>
      <c r="D92" s="119">
        <f>IFERROR(INDEX('السلف'!$D$3:$D$502,86),"")</f>
        <v/>
      </c>
      <c r="E92" s="63">
        <f>IFERROR(INDEX('السلف'!$E$3:$E$502,86),"")</f>
        <v/>
      </c>
      <c r="F92" s="50">
        <f>IFERROR(INDEX('السلف'!$F$3:$F$502,86),"")</f>
        <v/>
      </c>
      <c r="G92" s="63">
        <f>IFERROR(INDEX('السلف'!$G$3:$G$502,86),"")</f>
        <v/>
      </c>
      <c r="H92" s="63">
        <f>IFERROR(INDEX('السلف'!$H$3:$H$502,86),"")</f>
        <v/>
      </c>
      <c r="I92" s="63">
        <f>IFERROR(INDEX('السلف'!$I$3:$I$502,86),"")</f>
        <v/>
      </c>
      <c r="J92" s="119">
        <f>IFERROR(INDEX('السلف'!$J$3:$J$502,86),"")</f>
        <v/>
      </c>
      <c r="K92" s="50">
        <f>IFERROR(INDEX('السلف'!$K$3:$K$502,86),"")</f>
        <v/>
      </c>
    </row>
    <row r="93">
      <c r="A93" s="43">
        <f>IFERROR(INDEX('السلف'!$A$3:$A$502,87),"")</f>
        <v/>
      </c>
      <c r="B93" s="43">
        <f>IFERROR(INDEX('السلف'!$B$3:$B$502,87),"")</f>
        <v/>
      </c>
      <c r="C93" s="43">
        <f>IFERROR(INDEX('السلف'!$C$3:$C$502,87),"")</f>
        <v/>
      </c>
      <c r="D93" s="118">
        <f>IFERROR(INDEX('السلف'!$D$3:$D$502,87),"")</f>
        <v/>
      </c>
      <c r="E93" s="60">
        <f>IFERROR(INDEX('السلف'!$E$3:$E$502,87),"")</f>
        <v/>
      </c>
      <c r="F93" s="43">
        <f>IFERROR(INDEX('السلف'!$F$3:$F$502,87),"")</f>
        <v/>
      </c>
      <c r="G93" s="60">
        <f>IFERROR(INDEX('السلف'!$G$3:$G$502,87),"")</f>
        <v/>
      </c>
      <c r="H93" s="60">
        <f>IFERROR(INDEX('السلف'!$H$3:$H$502,87),"")</f>
        <v/>
      </c>
      <c r="I93" s="60">
        <f>IFERROR(INDEX('السلف'!$I$3:$I$502,87),"")</f>
        <v/>
      </c>
      <c r="J93" s="118">
        <f>IFERROR(INDEX('السلف'!$J$3:$J$502,87),"")</f>
        <v/>
      </c>
      <c r="K93" s="43">
        <f>IFERROR(INDEX('السلف'!$K$3:$K$502,87),"")</f>
        <v/>
      </c>
    </row>
    <row r="94">
      <c r="A94" s="50">
        <f>IFERROR(INDEX('السلف'!$A$3:$A$502,88),"")</f>
        <v/>
      </c>
      <c r="B94" s="50">
        <f>IFERROR(INDEX('السلف'!$B$3:$B$502,88),"")</f>
        <v/>
      </c>
      <c r="C94" s="50">
        <f>IFERROR(INDEX('السلف'!$C$3:$C$502,88),"")</f>
        <v/>
      </c>
      <c r="D94" s="119">
        <f>IFERROR(INDEX('السلف'!$D$3:$D$502,88),"")</f>
        <v/>
      </c>
      <c r="E94" s="63">
        <f>IFERROR(INDEX('السلف'!$E$3:$E$502,88),"")</f>
        <v/>
      </c>
      <c r="F94" s="50">
        <f>IFERROR(INDEX('السلف'!$F$3:$F$502,88),"")</f>
        <v/>
      </c>
      <c r="G94" s="63">
        <f>IFERROR(INDEX('السلف'!$G$3:$G$502,88),"")</f>
        <v/>
      </c>
      <c r="H94" s="63">
        <f>IFERROR(INDEX('السلف'!$H$3:$H$502,88),"")</f>
        <v/>
      </c>
      <c r="I94" s="63">
        <f>IFERROR(INDEX('السلف'!$I$3:$I$502,88),"")</f>
        <v/>
      </c>
      <c r="J94" s="119">
        <f>IFERROR(INDEX('السلف'!$J$3:$J$502,88),"")</f>
        <v/>
      </c>
      <c r="K94" s="50">
        <f>IFERROR(INDEX('السلف'!$K$3:$K$502,88),"")</f>
        <v/>
      </c>
    </row>
    <row r="95">
      <c r="A95" s="43">
        <f>IFERROR(INDEX('السلف'!$A$3:$A$502,89),"")</f>
        <v/>
      </c>
      <c r="B95" s="43">
        <f>IFERROR(INDEX('السلف'!$B$3:$B$502,89),"")</f>
        <v/>
      </c>
      <c r="C95" s="43">
        <f>IFERROR(INDEX('السلف'!$C$3:$C$502,89),"")</f>
        <v/>
      </c>
      <c r="D95" s="118">
        <f>IFERROR(INDEX('السلف'!$D$3:$D$502,89),"")</f>
        <v/>
      </c>
      <c r="E95" s="60">
        <f>IFERROR(INDEX('السلف'!$E$3:$E$502,89),"")</f>
        <v/>
      </c>
      <c r="F95" s="43">
        <f>IFERROR(INDEX('السلف'!$F$3:$F$502,89),"")</f>
        <v/>
      </c>
      <c r="G95" s="60">
        <f>IFERROR(INDEX('السلف'!$G$3:$G$502,89),"")</f>
        <v/>
      </c>
      <c r="H95" s="60">
        <f>IFERROR(INDEX('السلف'!$H$3:$H$502,89),"")</f>
        <v/>
      </c>
      <c r="I95" s="60">
        <f>IFERROR(INDEX('السلف'!$I$3:$I$502,89),"")</f>
        <v/>
      </c>
      <c r="J95" s="118">
        <f>IFERROR(INDEX('السلف'!$J$3:$J$502,89),"")</f>
        <v/>
      </c>
      <c r="K95" s="43">
        <f>IFERROR(INDEX('السلف'!$K$3:$K$502,89),"")</f>
        <v/>
      </c>
    </row>
    <row r="96">
      <c r="A96" s="50">
        <f>IFERROR(INDEX('السلف'!$A$3:$A$502,90),"")</f>
        <v/>
      </c>
      <c r="B96" s="50">
        <f>IFERROR(INDEX('السلف'!$B$3:$B$502,90),"")</f>
        <v/>
      </c>
      <c r="C96" s="50">
        <f>IFERROR(INDEX('السلف'!$C$3:$C$502,90),"")</f>
        <v/>
      </c>
      <c r="D96" s="119">
        <f>IFERROR(INDEX('السلف'!$D$3:$D$502,90),"")</f>
        <v/>
      </c>
      <c r="E96" s="63">
        <f>IFERROR(INDEX('السلف'!$E$3:$E$502,90),"")</f>
        <v/>
      </c>
      <c r="F96" s="50">
        <f>IFERROR(INDEX('السلف'!$F$3:$F$502,90),"")</f>
        <v/>
      </c>
      <c r="G96" s="63">
        <f>IFERROR(INDEX('السلف'!$G$3:$G$502,90),"")</f>
        <v/>
      </c>
      <c r="H96" s="63">
        <f>IFERROR(INDEX('السلف'!$H$3:$H$502,90),"")</f>
        <v/>
      </c>
      <c r="I96" s="63">
        <f>IFERROR(INDEX('السلف'!$I$3:$I$502,90),"")</f>
        <v/>
      </c>
      <c r="J96" s="119">
        <f>IFERROR(INDEX('السلف'!$J$3:$J$502,90),"")</f>
        <v/>
      </c>
      <c r="K96" s="50">
        <f>IFERROR(INDEX('السلف'!$K$3:$K$502,90),"")</f>
        <v/>
      </c>
    </row>
    <row r="97">
      <c r="A97" s="43">
        <f>IFERROR(INDEX('السلف'!$A$3:$A$502,91),"")</f>
        <v/>
      </c>
      <c r="B97" s="43">
        <f>IFERROR(INDEX('السلف'!$B$3:$B$502,91),"")</f>
        <v/>
      </c>
      <c r="C97" s="43">
        <f>IFERROR(INDEX('السلف'!$C$3:$C$502,91),"")</f>
        <v/>
      </c>
      <c r="D97" s="118">
        <f>IFERROR(INDEX('السلف'!$D$3:$D$502,91),"")</f>
        <v/>
      </c>
      <c r="E97" s="60">
        <f>IFERROR(INDEX('السلف'!$E$3:$E$502,91),"")</f>
        <v/>
      </c>
      <c r="F97" s="43">
        <f>IFERROR(INDEX('السلف'!$F$3:$F$502,91),"")</f>
        <v/>
      </c>
      <c r="G97" s="60">
        <f>IFERROR(INDEX('السلف'!$G$3:$G$502,91),"")</f>
        <v/>
      </c>
      <c r="H97" s="60">
        <f>IFERROR(INDEX('السلف'!$H$3:$H$502,91),"")</f>
        <v/>
      </c>
      <c r="I97" s="60">
        <f>IFERROR(INDEX('السلف'!$I$3:$I$502,91),"")</f>
        <v/>
      </c>
      <c r="J97" s="118">
        <f>IFERROR(INDEX('السلف'!$J$3:$J$502,91),"")</f>
        <v/>
      </c>
      <c r="K97" s="43">
        <f>IFERROR(INDEX('السلف'!$K$3:$K$502,91),"")</f>
        <v/>
      </c>
    </row>
    <row r="98">
      <c r="A98" s="50">
        <f>IFERROR(INDEX('السلف'!$A$3:$A$502,92),"")</f>
        <v/>
      </c>
      <c r="B98" s="50">
        <f>IFERROR(INDEX('السلف'!$B$3:$B$502,92),"")</f>
        <v/>
      </c>
      <c r="C98" s="50">
        <f>IFERROR(INDEX('السلف'!$C$3:$C$502,92),"")</f>
        <v/>
      </c>
      <c r="D98" s="119">
        <f>IFERROR(INDEX('السلف'!$D$3:$D$502,92),"")</f>
        <v/>
      </c>
      <c r="E98" s="63">
        <f>IFERROR(INDEX('السلف'!$E$3:$E$502,92),"")</f>
        <v/>
      </c>
      <c r="F98" s="50">
        <f>IFERROR(INDEX('السلف'!$F$3:$F$502,92),"")</f>
        <v/>
      </c>
      <c r="G98" s="63">
        <f>IFERROR(INDEX('السلف'!$G$3:$G$502,92),"")</f>
        <v/>
      </c>
      <c r="H98" s="63">
        <f>IFERROR(INDEX('السلف'!$H$3:$H$502,92),"")</f>
        <v/>
      </c>
      <c r="I98" s="63">
        <f>IFERROR(INDEX('السلف'!$I$3:$I$502,92),"")</f>
        <v/>
      </c>
      <c r="J98" s="119">
        <f>IFERROR(INDEX('السلف'!$J$3:$J$502,92),"")</f>
        <v/>
      </c>
      <c r="K98" s="50">
        <f>IFERROR(INDEX('السلف'!$K$3:$K$502,92),"")</f>
        <v/>
      </c>
    </row>
    <row r="99">
      <c r="A99" s="43">
        <f>IFERROR(INDEX('السلف'!$A$3:$A$502,93),"")</f>
        <v/>
      </c>
      <c r="B99" s="43">
        <f>IFERROR(INDEX('السلف'!$B$3:$B$502,93),"")</f>
        <v/>
      </c>
      <c r="C99" s="43">
        <f>IFERROR(INDEX('السلف'!$C$3:$C$502,93),"")</f>
        <v/>
      </c>
      <c r="D99" s="118">
        <f>IFERROR(INDEX('السلف'!$D$3:$D$502,93),"")</f>
        <v/>
      </c>
      <c r="E99" s="60">
        <f>IFERROR(INDEX('السلف'!$E$3:$E$502,93),"")</f>
        <v/>
      </c>
      <c r="F99" s="43">
        <f>IFERROR(INDEX('السلف'!$F$3:$F$502,93),"")</f>
        <v/>
      </c>
      <c r="G99" s="60">
        <f>IFERROR(INDEX('السلف'!$G$3:$G$502,93),"")</f>
        <v/>
      </c>
      <c r="H99" s="60">
        <f>IFERROR(INDEX('السلف'!$H$3:$H$502,93),"")</f>
        <v/>
      </c>
      <c r="I99" s="60">
        <f>IFERROR(INDEX('السلف'!$I$3:$I$502,93),"")</f>
        <v/>
      </c>
      <c r="J99" s="118">
        <f>IFERROR(INDEX('السلف'!$J$3:$J$502,93),"")</f>
        <v/>
      </c>
      <c r="K99" s="43">
        <f>IFERROR(INDEX('السلف'!$K$3:$K$502,93),"")</f>
        <v/>
      </c>
    </row>
    <row r="100">
      <c r="A100" s="50">
        <f>IFERROR(INDEX('السلف'!$A$3:$A$502,94),"")</f>
        <v/>
      </c>
      <c r="B100" s="50">
        <f>IFERROR(INDEX('السلف'!$B$3:$B$502,94),"")</f>
        <v/>
      </c>
      <c r="C100" s="50">
        <f>IFERROR(INDEX('السلف'!$C$3:$C$502,94),"")</f>
        <v/>
      </c>
      <c r="D100" s="119">
        <f>IFERROR(INDEX('السلف'!$D$3:$D$502,94),"")</f>
        <v/>
      </c>
      <c r="E100" s="63">
        <f>IFERROR(INDEX('السلف'!$E$3:$E$502,94),"")</f>
        <v/>
      </c>
      <c r="F100" s="50">
        <f>IFERROR(INDEX('السلف'!$F$3:$F$502,94),"")</f>
        <v/>
      </c>
      <c r="G100" s="63">
        <f>IFERROR(INDEX('السلف'!$G$3:$G$502,94),"")</f>
        <v/>
      </c>
      <c r="H100" s="63">
        <f>IFERROR(INDEX('السلف'!$H$3:$H$502,94),"")</f>
        <v/>
      </c>
      <c r="I100" s="63">
        <f>IFERROR(INDEX('السلف'!$I$3:$I$502,94),"")</f>
        <v/>
      </c>
      <c r="J100" s="119">
        <f>IFERROR(INDEX('السلف'!$J$3:$J$502,94),"")</f>
        <v/>
      </c>
      <c r="K100" s="50">
        <f>IFERROR(INDEX('السلف'!$K$3:$K$502,94),"")</f>
        <v/>
      </c>
    </row>
    <row r="101">
      <c r="A101" s="43">
        <f>IFERROR(INDEX('السلف'!$A$3:$A$502,95),"")</f>
        <v/>
      </c>
      <c r="B101" s="43">
        <f>IFERROR(INDEX('السلف'!$B$3:$B$502,95),"")</f>
        <v/>
      </c>
      <c r="C101" s="43">
        <f>IFERROR(INDEX('السلف'!$C$3:$C$502,95),"")</f>
        <v/>
      </c>
      <c r="D101" s="118">
        <f>IFERROR(INDEX('السلف'!$D$3:$D$502,95),"")</f>
        <v/>
      </c>
      <c r="E101" s="60">
        <f>IFERROR(INDEX('السلف'!$E$3:$E$502,95),"")</f>
        <v/>
      </c>
      <c r="F101" s="43">
        <f>IFERROR(INDEX('السلف'!$F$3:$F$502,95),"")</f>
        <v/>
      </c>
      <c r="G101" s="60">
        <f>IFERROR(INDEX('السلف'!$G$3:$G$502,95),"")</f>
        <v/>
      </c>
      <c r="H101" s="60">
        <f>IFERROR(INDEX('السلف'!$H$3:$H$502,95),"")</f>
        <v/>
      </c>
      <c r="I101" s="60">
        <f>IFERROR(INDEX('السلف'!$I$3:$I$502,95),"")</f>
        <v/>
      </c>
      <c r="J101" s="118">
        <f>IFERROR(INDEX('السلف'!$J$3:$J$502,95),"")</f>
        <v/>
      </c>
      <c r="K101" s="43">
        <f>IFERROR(INDEX('السلف'!$K$3:$K$502,95),"")</f>
        <v/>
      </c>
    </row>
    <row r="102">
      <c r="A102" s="50">
        <f>IFERROR(INDEX('السلف'!$A$3:$A$502,96),"")</f>
        <v/>
      </c>
      <c r="B102" s="50">
        <f>IFERROR(INDEX('السلف'!$B$3:$B$502,96),"")</f>
        <v/>
      </c>
      <c r="C102" s="50">
        <f>IFERROR(INDEX('السلف'!$C$3:$C$502,96),"")</f>
        <v/>
      </c>
      <c r="D102" s="119">
        <f>IFERROR(INDEX('السلف'!$D$3:$D$502,96),"")</f>
        <v/>
      </c>
      <c r="E102" s="63">
        <f>IFERROR(INDEX('السلف'!$E$3:$E$502,96),"")</f>
        <v/>
      </c>
      <c r="F102" s="50">
        <f>IFERROR(INDEX('السلف'!$F$3:$F$502,96),"")</f>
        <v/>
      </c>
      <c r="G102" s="63">
        <f>IFERROR(INDEX('السلف'!$G$3:$G$502,96),"")</f>
        <v/>
      </c>
      <c r="H102" s="63">
        <f>IFERROR(INDEX('السلف'!$H$3:$H$502,96),"")</f>
        <v/>
      </c>
      <c r="I102" s="63">
        <f>IFERROR(INDEX('السلف'!$I$3:$I$502,96),"")</f>
        <v/>
      </c>
      <c r="J102" s="119">
        <f>IFERROR(INDEX('السلف'!$J$3:$J$502,96),"")</f>
        <v/>
      </c>
      <c r="K102" s="50">
        <f>IFERROR(INDEX('السلف'!$K$3:$K$502,96),"")</f>
        <v/>
      </c>
    </row>
    <row r="103">
      <c r="A103" s="43">
        <f>IFERROR(INDEX('السلف'!$A$3:$A$502,97),"")</f>
        <v/>
      </c>
      <c r="B103" s="43">
        <f>IFERROR(INDEX('السلف'!$B$3:$B$502,97),"")</f>
        <v/>
      </c>
      <c r="C103" s="43">
        <f>IFERROR(INDEX('السلف'!$C$3:$C$502,97),"")</f>
        <v/>
      </c>
      <c r="D103" s="118">
        <f>IFERROR(INDEX('السلف'!$D$3:$D$502,97),"")</f>
        <v/>
      </c>
      <c r="E103" s="60">
        <f>IFERROR(INDEX('السلف'!$E$3:$E$502,97),"")</f>
        <v/>
      </c>
      <c r="F103" s="43">
        <f>IFERROR(INDEX('السلف'!$F$3:$F$502,97),"")</f>
        <v/>
      </c>
      <c r="G103" s="60">
        <f>IFERROR(INDEX('السلف'!$G$3:$G$502,97),"")</f>
        <v/>
      </c>
      <c r="H103" s="60">
        <f>IFERROR(INDEX('السلف'!$H$3:$H$502,97),"")</f>
        <v/>
      </c>
      <c r="I103" s="60">
        <f>IFERROR(INDEX('السلف'!$I$3:$I$502,97),"")</f>
        <v/>
      </c>
      <c r="J103" s="118">
        <f>IFERROR(INDEX('السلف'!$J$3:$J$502,97),"")</f>
        <v/>
      </c>
      <c r="K103" s="43">
        <f>IFERROR(INDEX('السلف'!$K$3:$K$502,97),"")</f>
        <v/>
      </c>
    </row>
    <row r="104">
      <c r="A104" s="50">
        <f>IFERROR(INDEX('السلف'!$A$3:$A$502,98),"")</f>
        <v/>
      </c>
      <c r="B104" s="50">
        <f>IFERROR(INDEX('السلف'!$B$3:$B$502,98),"")</f>
        <v/>
      </c>
      <c r="C104" s="50">
        <f>IFERROR(INDEX('السلف'!$C$3:$C$502,98),"")</f>
        <v/>
      </c>
      <c r="D104" s="119">
        <f>IFERROR(INDEX('السلف'!$D$3:$D$502,98),"")</f>
        <v/>
      </c>
      <c r="E104" s="63">
        <f>IFERROR(INDEX('السلف'!$E$3:$E$502,98),"")</f>
        <v/>
      </c>
      <c r="F104" s="50">
        <f>IFERROR(INDEX('السلف'!$F$3:$F$502,98),"")</f>
        <v/>
      </c>
      <c r="G104" s="63">
        <f>IFERROR(INDEX('السلف'!$G$3:$G$502,98),"")</f>
        <v/>
      </c>
      <c r="H104" s="63">
        <f>IFERROR(INDEX('السلف'!$H$3:$H$502,98),"")</f>
        <v/>
      </c>
      <c r="I104" s="63">
        <f>IFERROR(INDEX('السلف'!$I$3:$I$502,98),"")</f>
        <v/>
      </c>
      <c r="J104" s="119">
        <f>IFERROR(INDEX('السلف'!$J$3:$J$502,98),"")</f>
        <v/>
      </c>
      <c r="K104" s="50">
        <f>IFERROR(INDEX('السلف'!$K$3:$K$502,98),"")</f>
        <v/>
      </c>
    </row>
    <row r="105">
      <c r="A105" s="43">
        <f>IFERROR(INDEX('السلف'!$A$3:$A$502,99),"")</f>
        <v/>
      </c>
      <c r="B105" s="43">
        <f>IFERROR(INDEX('السلف'!$B$3:$B$502,99),"")</f>
        <v/>
      </c>
      <c r="C105" s="43">
        <f>IFERROR(INDEX('السلف'!$C$3:$C$502,99),"")</f>
        <v/>
      </c>
      <c r="D105" s="118">
        <f>IFERROR(INDEX('السلف'!$D$3:$D$502,99),"")</f>
        <v/>
      </c>
      <c r="E105" s="60">
        <f>IFERROR(INDEX('السلف'!$E$3:$E$502,99),"")</f>
        <v/>
      </c>
      <c r="F105" s="43">
        <f>IFERROR(INDEX('السلف'!$F$3:$F$502,99),"")</f>
        <v/>
      </c>
      <c r="G105" s="60">
        <f>IFERROR(INDEX('السلف'!$G$3:$G$502,99),"")</f>
        <v/>
      </c>
      <c r="H105" s="60">
        <f>IFERROR(INDEX('السلف'!$H$3:$H$502,99),"")</f>
        <v/>
      </c>
      <c r="I105" s="60">
        <f>IFERROR(INDEX('السلف'!$I$3:$I$502,99),"")</f>
        <v/>
      </c>
      <c r="J105" s="118">
        <f>IFERROR(INDEX('السلف'!$J$3:$J$502,99),"")</f>
        <v/>
      </c>
      <c r="K105" s="43">
        <f>IFERROR(INDEX('السلف'!$K$3:$K$502,99),"")</f>
        <v/>
      </c>
    </row>
    <row r="106">
      <c r="A106" s="50">
        <f>IFERROR(INDEX('السلف'!$A$3:$A$502,100),"")</f>
        <v/>
      </c>
      <c r="B106" s="50">
        <f>IFERROR(INDEX('السلف'!$B$3:$B$502,100),"")</f>
        <v/>
      </c>
      <c r="C106" s="50">
        <f>IFERROR(INDEX('السلف'!$C$3:$C$502,100),"")</f>
        <v/>
      </c>
      <c r="D106" s="119">
        <f>IFERROR(INDEX('السلف'!$D$3:$D$502,100),"")</f>
        <v/>
      </c>
      <c r="E106" s="63">
        <f>IFERROR(INDEX('السلف'!$E$3:$E$502,100),"")</f>
        <v/>
      </c>
      <c r="F106" s="50">
        <f>IFERROR(INDEX('السلف'!$F$3:$F$502,100),"")</f>
        <v/>
      </c>
      <c r="G106" s="63">
        <f>IFERROR(INDEX('السلف'!$G$3:$G$502,100),"")</f>
        <v/>
      </c>
      <c r="H106" s="63">
        <f>IFERROR(INDEX('السلف'!$H$3:$H$502,100),"")</f>
        <v/>
      </c>
      <c r="I106" s="63">
        <f>IFERROR(INDEX('السلف'!$I$3:$I$502,100),"")</f>
        <v/>
      </c>
      <c r="J106" s="119">
        <f>IFERROR(INDEX('السلف'!$J$3:$J$502,100),"")</f>
        <v/>
      </c>
      <c r="K106" s="50">
        <f>IFERROR(INDEX('السلف'!$K$3:$K$502,100),"")</f>
        <v/>
      </c>
    </row>
    <row r="107">
      <c r="A107" s="43">
        <f>IFERROR(INDEX('السلف'!$A$3:$A$502,101),"")</f>
        <v/>
      </c>
      <c r="B107" s="43">
        <f>IFERROR(INDEX('السلف'!$B$3:$B$502,101),"")</f>
        <v/>
      </c>
      <c r="C107" s="43">
        <f>IFERROR(INDEX('السلف'!$C$3:$C$502,101),"")</f>
        <v/>
      </c>
      <c r="D107" s="118">
        <f>IFERROR(INDEX('السلف'!$D$3:$D$502,101),"")</f>
        <v/>
      </c>
      <c r="E107" s="60">
        <f>IFERROR(INDEX('السلف'!$E$3:$E$502,101),"")</f>
        <v/>
      </c>
      <c r="F107" s="43">
        <f>IFERROR(INDEX('السلف'!$F$3:$F$502,101),"")</f>
        <v/>
      </c>
      <c r="G107" s="60">
        <f>IFERROR(INDEX('السلف'!$G$3:$G$502,101),"")</f>
        <v/>
      </c>
      <c r="H107" s="60">
        <f>IFERROR(INDEX('السلف'!$H$3:$H$502,101),"")</f>
        <v/>
      </c>
      <c r="I107" s="60">
        <f>IFERROR(INDEX('السلف'!$I$3:$I$502,101),"")</f>
        <v/>
      </c>
      <c r="J107" s="118">
        <f>IFERROR(INDEX('السلف'!$J$3:$J$502,101),"")</f>
        <v/>
      </c>
      <c r="K107" s="43">
        <f>IFERROR(INDEX('السلف'!$K$3:$K$502,101),"")</f>
        <v/>
      </c>
    </row>
    <row r="108">
      <c r="A108" s="50">
        <f>IFERROR(INDEX('السلف'!$A$3:$A$502,102),"")</f>
        <v/>
      </c>
      <c r="B108" s="50">
        <f>IFERROR(INDEX('السلف'!$B$3:$B$502,102),"")</f>
        <v/>
      </c>
      <c r="C108" s="50">
        <f>IFERROR(INDEX('السلف'!$C$3:$C$502,102),"")</f>
        <v/>
      </c>
      <c r="D108" s="119">
        <f>IFERROR(INDEX('السلف'!$D$3:$D$502,102),"")</f>
        <v/>
      </c>
      <c r="E108" s="63">
        <f>IFERROR(INDEX('السلف'!$E$3:$E$502,102),"")</f>
        <v/>
      </c>
      <c r="F108" s="50">
        <f>IFERROR(INDEX('السلف'!$F$3:$F$502,102),"")</f>
        <v/>
      </c>
      <c r="G108" s="63">
        <f>IFERROR(INDEX('السلف'!$G$3:$G$502,102),"")</f>
        <v/>
      </c>
      <c r="H108" s="63">
        <f>IFERROR(INDEX('السلف'!$H$3:$H$502,102),"")</f>
        <v/>
      </c>
      <c r="I108" s="63">
        <f>IFERROR(INDEX('السلف'!$I$3:$I$502,102),"")</f>
        <v/>
      </c>
      <c r="J108" s="119">
        <f>IFERROR(INDEX('السلف'!$J$3:$J$502,102),"")</f>
        <v/>
      </c>
      <c r="K108" s="50">
        <f>IFERROR(INDEX('السلف'!$K$3:$K$502,102),"")</f>
        <v/>
      </c>
    </row>
    <row r="109">
      <c r="A109" s="43">
        <f>IFERROR(INDEX('السلف'!$A$3:$A$502,103),"")</f>
        <v/>
      </c>
      <c r="B109" s="43">
        <f>IFERROR(INDEX('السلف'!$B$3:$B$502,103),"")</f>
        <v/>
      </c>
      <c r="C109" s="43">
        <f>IFERROR(INDEX('السلف'!$C$3:$C$502,103),"")</f>
        <v/>
      </c>
      <c r="D109" s="118">
        <f>IFERROR(INDEX('السلف'!$D$3:$D$502,103),"")</f>
        <v/>
      </c>
      <c r="E109" s="60">
        <f>IFERROR(INDEX('السلف'!$E$3:$E$502,103),"")</f>
        <v/>
      </c>
      <c r="F109" s="43">
        <f>IFERROR(INDEX('السلف'!$F$3:$F$502,103),"")</f>
        <v/>
      </c>
      <c r="G109" s="60">
        <f>IFERROR(INDEX('السلف'!$G$3:$G$502,103),"")</f>
        <v/>
      </c>
      <c r="H109" s="60">
        <f>IFERROR(INDEX('السلف'!$H$3:$H$502,103),"")</f>
        <v/>
      </c>
      <c r="I109" s="60">
        <f>IFERROR(INDEX('السلف'!$I$3:$I$502,103),"")</f>
        <v/>
      </c>
      <c r="J109" s="118">
        <f>IFERROR(INDEX('السلف'!$J$3:$J$502,103),"")</f>
        <v/>
      </c>
      <c r="K109" s="43">
        <f>IFERROR(INDEX('السلف'!$K$3:$K$502,103),"")</f>
        <v/>
      </c>
    </row>
    <row r="110">
      <c r="A110" s="50">
        <f>IFERROR(INDEX('السلف'!$A$3:$A$502,104),"")</f>
        <v/>
      </c>
      <c r="B110" s="50">
        <f>IFERROR(INDEX('السلف'!$B$3:$B$502,104),"")</f>
        <v/>
      </c>
      <c r="C110" s="50">
        <f>IFERROR(INDEX('السلف'!$C$3:$C$502,104),"")</f>
        <v/>
      </c>
      <c r="D110" s="119">
        <f>IFERROR(INDEX('السلف'!$D$3:$D$502,104),"")</f>
        <v/>
      </c>
      <c r="E110" s="63">
        <f>IFERROR(INDEX('السلف'!$E$3:$E$502,104),"")</f>
        <v/>
      </c>
      <c r="F110" s="50">
        <f>IFERROR(INDEX('السلف'!$F$3:$F$502,104),"")</f>
        <v/>
      </c>
      <c r="G110" s="63">
        <f>IFERROR(INDEX('السلف'!$G$3:$G$502,104),"")</f>
        <v/>
      </c>
      <c r="H110" s="63">
        <f>IFERROR(INDEX('السلف'!$H$3:$H$502,104),"")</f>
        <v/>
      </c>
      <c r="I110" s="63">
        <f>IFERROR(INDEX('السلف'!$I$3:$I$502,104),"")</f>
        <v/>
      </c>
      <c r="J110" s="119">
        <f>IFERROR(INDEX('السلف'!$J$3:$J$502,104),"")</f>
        <v/>
      </c>
      <c r="K110" s="50">
        <f>IFERROR(INDEX('السلف'!$K$3:$K$502,104),"")</f>
        <v/>
      </c>
    </row>
    <row r="111">
      <c r="A111" s="43">
        <f>IFERROR(INDEX('السلف'!$A$3:$A$502,105),"")</f>
        <v/>
      </c>
      <c r="B111" s="43">
        <f>IFERROR(INDEX('السلف'!$B$3:$B$502,105),"")</f>
        <v/>
      </c>
      <c r="C111" s="43">
        <f>IFERROR(INDEX('السلف'!$C$3:$C$502,105),"")</f>
        <v/>
      </c>
      <c r="D111" s="118">
        <f>IFERROR(INDEX('السلف'!$D$3:$D$502,105),"")</f>
        <v/>
      </c>
      <c r="E111" s="60">
        <f>IFERROR(INDEX('السلف'!$E$3:$E$502,105),"")</f>
        <v/>
      </c>
      <c r="F111" s="43">
        <f>IFERROR(INDEX('السلف'!$F$3:$F$502,105),"")</f>
        <v/>
      </c>
      <c r="G111" s="60">
        <f>IFERROR(INDEX('السلف'!$G$3:$G$502,105),"")</f>
        <v/>
      </c>
      <c r="H111" s="60">
        <f>IFERROR(INDEX('السلف'!$H$3:$H$502,105),"")</f>
        <v/>
      </c>
      <c r="I111" s="60">
        <f>IFERROR(INDEX('السلف'!$I$3:$I$502,105),"")</f>
        <v/>
      </c>
      <c r="J111" s="118">
        <f>IFERROR(INDEX('السلف'!$J$3:$J$502,105),"")</f>
        <v/>
      </c>
      <c r="K111" s="43">
        <f>IFERROR(INDEX('السلف'!$K$3:$K$502,105),"")</f>
        <v/>
      </c>
    </row>
    <row r="112">
      <c r="A112" s="50">
        <f>IFERROR(INDEX('السلف'!$A$3:$A$502,106),"")</f>
        <v/>
      </c>
      <c r="B112" s="50">
        <f>IFERROR(INDEX('السلف'!$B$3:$B$502,106),"")</f>
        <v/>
      </c>
      <c r="C112" s="50">
        <f>IFERROR(INDEX('السلف'!$C$3:$C$502,106),"")</f>
        <v/>
      </c>
      <c r="D112" s="119">
        <f>IFERROR(INDEX('السلف'!$D$3:$D$502,106),"")</f>
        <v/>
      </c>
      <c r="E112" s="63">
        <f>IFERROR(INDEX('السلف'!$E$3:$E$502,106),"")</f>
        <v/>
      </c>
      <c r="F112" s="50">
        <f>IFERROR(INDEX('السلف'!$F$3:$F$502,106),"")</f>
        <v/>
      </c>
      <c r="G112" s="63">
        <f>IFERROR(INDEX('السلف'!$G$3:$G$502,106),"")</f>
        <v/>
      </c>
      <c r="H112" s="63">
        <f>IFERROR(INDEX('السلف'!$H$3:$H$502,106),"")</f>
        <v/>
      </c>
      <c r="I112" s="63">
        <f>IFERROR(INDEX('السلف'!$I$3:$I$502,106),"")</f>
        <v/>
      </c>
      <c r="J112" s="119">
        <f>IFERROR(INDEX('السلف'!$J$3:$J$502,106),"")</f>
        <v/>
      </c>
      <c r="K112" s="50">
        <f>IFERROR(INDEX('السلف'!$K$3:$K$502,106),"")</f>
        <v/>
      </c>
    </row>
    <row r="113">
      <c r="A113" s="43">
        <f>IFERROR(INDEX('السلف'!$A$3:$A$502,107),"")</f>
        <v/>
      </c>
      <c r="B113" s="43">
        <f>IFERROR(INDEX('السلف'!$B$3:$B$502,107),"")</f>
        <v/>
      </c>
      <c r="C113" s="43">
        <f>IFERROR(INDEX('السلف'!$C$3:$C$502,107),"")</f>
        <v/>
      </c>
      <c r="D113" s="118">
        <f>IFERROR(INDEX('السلف'!$D$3:$D$502,107),"")</f>
        <v/>
      </c>
      <c r="E113" s="60">
        <f>IFERROR(INDEX('السلف'!$E$3:$E$502,107),"")</f>
        <v/>
      </c>
      <c r="F113" s="43">
        <f>IFERROR(INDEX('السلف'!$F$3:$F$502,107),"")</f>
        <v/>
      </c>
      <c r="G113" s="60">
        <f>IFERROR(INDEX('السلف'!$G$3:$G$502,107),"")</f>
        <v/>
      </c>
      <c r="H113" s="60">
        <f>IFERROR(INDEX('السلف'!$H$3:$H$502,107),"")</f>
        <v/>
      </c>
      <c r="I113" s="60">
        <f>IFERROR(INDEX('السلف'!$I$3:$I$502,107),"")</f>
        <v/>
      </c>
      <c r="J113" s="118">
        <f>IFERROR(INDEX('السلف'!$J$3:$J$502,107),"")</f>
        <v/>
      </c>
      <c r="K113" s="43">
        <f>IFERROR(INDEX('السلف'!$K$3:$K$502,107),"")</f>
        <v/>
      </c>
    </row>
    <row r="114">
      <c r="A114" s="50">
        <f>IFERROR(INDEX('السلف'!$A$3:$A$502,108),"")</f>
        <v/>
      </c>
      <c r="B114" s="50">
        <f>IFERROR(INDEX('السلف'!$B$3:$B$502,108),"")</f>
        <v/>
      </c>
      <c r="C114" s="50">
        <f>IFERROR(INDEX('السلف'!$C$3:$C$502,108),"")</f>
        <v/>
      </c>
      <c r="D114" s="119">
        <f>IFERROR(INDEX('السلف'!$D$3:$D$502,108),"")</f>
        <v/>
      </c>
      <c r="E114" s="63">
        <f>IFERROR(INDEX('السلف'!$E$3:$E$502,108),"")</f>
        <v/>
      </c>
      <c r="F114" s="50">
        <f>IFERROR(INDEX('السلف'!$F$3:$F$502,108),"")</f>
        <v/>
      </c>
      <c r="G114" s="63">
        <f>IFERROR(INDEX('السلف'!$G$3:$G$502,108),"")</f>
        <v/>
      </c>
      <c r="H114" s="63">
        <f>IFERROR(INDEX('السلف'!$H$3:$H$502,108),"")</f>
        <v/>
      </c>
      <c r="I114" s="63">
        <f>IFERROR(INDEX('السلف'!$I$3:$I$502,108),"")</f>
        <v/>
      </c>
      <c r="J114" s="119">
        <f>IFERROR(INDEX('السلف'!$J$3:$J$502,108),"")</f>
        <v/>
      </c>
      <c r="K114" s="50">
        <f>IFERROR(INDEX('السلف'!$K$3:$K$502,108),"")</f>
        <v/>
      </c>
    </row>
    <row r="115">
      <c r="A115" s="43">
        <f>IFERROR(INDEX('السلف'!$A$3:$A$502,109),"")</f>
        <v/>
      </c>
      <c r="B115" s="43">
        <f>IFERROR(INDEX('السلف'!$B$3:$B$502,109),"")</f>
        <v/>
      </c>
      <c r="C115" s="43">
        <f>IFERROR(INDEX('السلف'!$C$3:$C$502,109),"")</f>
        <v/>
      </c>
      <c r="D115" s="118">
        <f>IFERROR(INDEX('السلف'!$D$3:$D$502,109),"")</f>
        <v/>
      </c>
      <c r="E115" s="60">
        <f>IFERROR(INDEX('السلف'!$E$3:$E$502,109),"")</f>
        <v/>
      </c>
      <c r="F115" s="43">
        <f>IFERROR(INDEX('السلف'!$F$3:$F$502,109),"")</f>
        <v/>
      </c>
      <c r="G115" s="60">
        <f>IFERROR(INDEX('السلف'!$G$3:$G$502,109),"")</f>
        <v/>
      </c>
      <c r="H115" s="60">
        <f>IFERROR(INDEX('السلف'!$H$3:$H$502,109),"")</f>
        <v/>
      </c>
      <c r="I115" s="60">
        <f>IFERROR(INDEX('السلف'!$I$3:$I$502,109),"")</f>
        <v/>
      </c>
      <c r="J115" s="118">
        <f>IFERROR(INDEX('السلف'!$J$3:$J$502,109),"")</f>
        <v/>
      </c>
      <c r="K115" s="43">
        <f>IFERROR(INDEX('السلف'!$K$3:$K$502,109),"")</f>
        <v/>
      </c>
    </row>
    <row r="116">
      <c r="A116" s="50">
        <f>IFERROR(INDEX('السلف'!$A$3:$A$502,110),"")</f>
        <v/>
      </c>
      <c r="B116" s="50">
        <f>IFERROR(INDEX('السلف'!$B$3:$B$502,110),"")</f>
        <v/>
      </c>
      <c r="C116" s="50">
        <f>IFERROR(INDEX('السلف'!$C$3:$C$502,110),"")</f>
        <v/>
      </c>
      <c r="D116" s="119">
        <f>IFERROR(INDEX('السلف'!$D$3:$D$502,110),"")</f>
        <v/>
      </c>
      <c r="E116" s="63">
        <f>IFERROR(INDEX('السلف'!$E$3:$E$502,110),"")</f>
        <v/>
      </c>
      <c r="F116" s="50">
        <f>IFERROR(INDEX('السلف'!$F$3:$F$502,110),"")</f>
        <v/>
      </c>
      <c r="G116" s="63">
        <f>IFERROR(INDEX('السلف'!$G$3:$G$502,110),"")</f>
        <v/>
      </c>
      <c r="H116" s="63">
        <f>IFERROR(INDEX('السلف'!$H$3:$H$502,110),"")</f>
        <v/>
      </c>
      <c r="I116" s="63">
        <f>IFERROR(INDEX('السلف'!$I$3:$I$502,110),"")</f>
        <v/>
      </c>
      <c r="J116" s="119">
        <f>IFERROR(INDEX('السلف'!$J$3:$J$502,110),"")</f>
        <v/>
      </c>
      <c r="K116" s="50">
        <f>IFERROR(INDEX('السلف'!$K$3:$K$502,110),"")</f>
        <v/>
      </c>
    </row>
    <row r="117">
      <c r="A117" s="43">
        <f>IFERROR(INDEX('السلف'!$A$3:$A$502,111),"")</f>
        <v/>
      </c>
      <c r="B117" s="43">
        <f>IFERROR(INDEX('السلف'!$B$3:$B$502,111),"")</f>
        <v/>
      </c>
      <c r="C117" s="43">
        <f>IFERROR(INDEX('السلف'!$C$3:$C$502,111),"")</f>
        <v/>
      </c>
      <c r="D117" s="118">
        <f>IFERROR(INDEX('السلف'!$D$3:$D$502,111),"")</f>
        <v/>
      </c>
      <c r="E117" s="60">
        <f>IFERROR(INDEX('السلف'!$E$3:$E$502,111),"")</f>
        <v/>
      </c>
      <c r="F117" s="43">
        <f>IFERROR(INDEX('السلف'!$F$3:$F$502,111),"")</f>
        <v/>
      </c>
      <c r="G117" s="60">
        <f>IFERROR(INDEX('السلف'!$G$3:$G$502,111),"")</f>
        <v/>
      </c>
      <c r="H117" s="60">
        <f>IFERROR(INDEX('السلف'!$H$3:$H$502,111),"")</f>
        <v/>
      </c>
      <c r="I117" s="60">
        <f>IFERROR(INDEX('السلف'!$I$3:$I$502,111),"")</f>
        <v/>
      </c>
      <c r="J117" s="118">
        <f>IFERROR(INDEX('السلف'!$J$3:$J$502,111),"")</f>
        <v/>
      </c>
      <c r="K117" s="43">
        <f>IFERROR(INDEX('السلف'!$K$3:$K$502,111),"")</f>
        <v/>
      </c>
    </row>
    <row r="118">
      <c r="A118" s="50">
        <f>IFERROR(INDEX('السلف'!$A$3:$A$502,112),"")</f>
        <v/>
      </c>
      <c r="B118" s="50">
        <f>IFERROR(INDEX('السلف'!$B$3:$B$502,112),"")</f>
        <v/>
      </c>
      <c r="C118" s="50">
        <f>IFERROR(INDEX('السلف'!$C$3:$C$502,112),"")</f>
        <v/>
      </c>
      <c r="D118" s="119">
        <f>IFERROR(INDEX('السلف'!$D$3:$D$502,112),"")</f>
        <v/>
      </c>
      <c r="E118" s="63">
        <f>IFERROR(INDEX('السلف'!$E$3:$E$502,112),"")</f>
        <v/>
      </c>
      <c r="F118" s="50">
        <f>IFERROR(INDEX('السلف'!$F$3:$F$502,112),"")</f>
        <v/>
      </c>
      <c r="G118" s="63">
        <f>IFERROR(INDEX('السلف'!$G$3:$G$502,112),"")</f>
        <v/>
      </c>
      <c r="H118" s="63">
        <f>IFERROR(INDEX('السلف'!$H$3:$H$502,112),"")</f>
        <v/>
      </c>
      <c r="I118" s="63">
        <f>IFERROR(INDEX('السلف'!$I$3:$I$502,112),"")</f>
        <v/>
      </c>
      <c r="J118" s="119">
        <f>IFERROR(INDEX('السلف'!$J$3:$J$502,112),"")</f>
        <v/>
      </c>
      <c r="K118" s="50">
        <f>IFERROR(INDEX('السلف'!$K$3:$K$502,112),"")</f>
        <v/>
      </c>
    </row>
    <row r="119">
      <c r="A119" s="43">
        <f>IFERROR(INDEX('السلف'!$A$3:$A$502,113),"")</f>
        <v/>
      </c>
      <c r="B119" s="43">
        <f>IFERROR(INDEX('السلف'!$B$3:$B$502,113),"")</f>
        <v/>
      </c>
      <c r="C119" s="43">
        <f>IFERROR(INDEX('السلف'!$C$3:$C$502,113),"")</f>
        <v/>
      </c>
      <c r="D119" s="118">
        <f>IFERROR(INDEX('السلف'!$D$3:$D$502,113),"")</f>
        <v/>
      </c>
      <c r="E119" s="60">
        <f>IFERROR(INDEX('السلف'!$E$3:$E$502,113),"")</f>
        <v/>
      </c>
      <c r="F119" s="43">
        <f>IFERROR(INDEX('السلف'!$F$3:$F$502,113),"")</f>
        <v/>
      </c>
      <c r="G119" s="60">
        <f>IFERROR(INDEX('السلف'!$G$3:$G$502,113),"")</f>
        <v/>
      </c>
      <c r="H119" s="60">
        <f>IFERROR(INDEX('السلف'!$H$3:$H$502,113),"")</f>
        <v/>
      </c>
      <c r="I119" s="60">
        <f>IFERROR(INDEX('السلف'!$I$3:$I$502,113),"")</f>
        <v/>
      </c>
      <c r="J119" s="118">
        <f>IFERROR(INDEX('السلف'!$J$3:$J$502,113),"")</f>
        <v/>
      </c>
      <c r="K119" s="43">
        <f>IFERROR(INDEX('السلف'!$K$3:$K$502,113),"")</f>
        <v/>
      </c>
    </row>
    <row r="120">
      <c r="A120" s="50">
        <f>IFERROR(INDEX('السلف'!$A$3:$A$502,114),"")</f>
        <v/>
      </c>
      <c r="B120" s="50">
        <f>IFERROR(INDEX('السلف'!$B$3:$B$502,114),"")</f>
        <v/>
      </c>
      <c r="C120" s="50">
        <f>IFERROR(INDEX('السلف'!$C$3:$C$502,114),"")</f>
        <v/>
      </c>
      <c r="D120" s="119">
        <f>IFERROR(INDEX('السلف'!$D$3:$D$502,114),"")</f>
        <v/>
      </c>
      <c r="E120" s="63">
        <f>IFERROR(INDEX('السلف'!$E$3:$E$502,114),"")</f>
        <v/>
      </c>
      <c r="F120" s="50">
        <f>IFERROR(INDEX('السلف'!$F$3:$F$502,114),"")</f>
        <v/>
      </c>
      <c r="G120" s="63">
        <f>IFERROR(INDEX('السلف'!$G$3:$G$502,114),"")</f>
        <v/>
      </c>
      <c r="H120" s="63">
        <f>IFERROR(INDEX('السلف'!$H$3:$H$502,114),"")</f>
        <v/>
      </c>
      <c r="I120" s="63">
        <f>IFERROR(INDEX('السلف'!$I$3:$I$502,114),"")</f>
        <v/>
      </c>
      <c r="J120" s="119">
        <f>IFERROR(INDEX('السلف'!$J$3:$J$502,114),"")</f>
        <v/>
      </c>
      <c r="K120" s="50">
        <f>IFERROR(INDEX('السلف'!$K$3:$K$502,114),"")</f>
        <v/>
      </c>
    </row>
    <row r="121">
      <c r="A121" s="43">
        <f>IFERROR(INDEX('السلف'!$A$3:$A$502,115),"")</f>
        <v/>
      </c>
      <c r="B121" s="43">
        <f>IFERROR(INDEX('السلف'!$B$3:$B$502,115),"")</f>
        <v/>
      </c>
      <c r="C121" s="43">
        <f>IFERROR(INDEX('السلف'!$C$3:$C$502,115),"")</f>
        <v/>
      </c>
      <c r="D121" s="118">
        <f>IFERROR(INDEX('السلف'!$D$3:$D$502,115),"")</f>
        <v/>
      </c>
      <c r="E121" s="60">
        <f>IFERROR(INDEX('السلف'!$E$3:$E$502,115),"")</f>
        <v/>
      </c>
      <c r="F121" s="43">
        <f>IFERROR(INDEX('السلف'!$F$3:$F$502,115),"")</f>
        <v/>
      </c>
      <c r="G121" s="60">
        <f>IFERROR(INDEX('السلف'!$G$3:$G$502,115),"")</f>
        <v/>
      </c>
      <c r="H121" s="60">
        <f>IFERROR(INDEX('السلف'!$H$3:$H$502,115),"")</f>
        <v/>
      </c>
      <c r="I121" s="60">
        <f>IFERROR(INDEX('السلف'!$I$3:$I$502,115),"")</f>
        <v/>
      </c>
      <c r="J121" s="118">
        <f>IFERROR(INDEX('السلف'!$J$3:$J$502,115),"")</f>
        <v/>
      </c>
      <c r="K121" s="43">
        <f>IFERROR(INDEX('السلف'!$K$3:$K$502,115),"")</f>
        <v/>
      </c>
    </row>
    <row r="122">
      <c r="A122" s="50">
        <f>IFERROR(INDEX('السلف'!$A$3:$A$502,116),"")</f>
        <v/>
      </c>
      <c r="B122" s="50">
        <f>IFERROR(INDEX('السلف'!$B$3:$B$502,116),"")</f>
        <v/>
      </c>
      <c r="C122" s="50">
        <f>IFERROR(INDEX('السلف'!$C$3:$C$502,116),"")</f>
        <v/>
      </c>
      <c r="D122" s="119">
        <f>IFERROR(INDEX('السلف'!$D$3:$D$502,116),"")</f>
        <v/>
      </c>
      <c r="E122" s="63">
        <f>IFERROR(INDEX('السلف'!$E$3:$E$502,116),"")</f>
        <v/>
      </c>
      <c r="F122" s="50">
        <f>IFERROR(INDEX('السلف'!$F$3:$F$502,116),"")</f>
        <v/>
      </c>
      <c r="G122" s="63">
        <f>IFERROR(INDEX('السلف'!$G$3:$G$502,116),"")</f>
        <v/>
      </c>
      <c r="H122" s="63">
        <f>IFERROR(INDEX('السلف'!$H$3:$H$502,116),"")</f>
        <v/>
      </c>
      <c r="I122" s="63">
        <f>IFERROR(INDEX('السلف'!$I$3:$I$502,116),"")</f>
        <v/>
      </c>
      <c r="J122" s="119">
        <f>IFERROR(INDEX('السلف'!$J$3:$J$502,116),"")</f>
        <v/>
      </c>
      <c r="K122" s="50">
        <f>IFERROR(INDEX('السلف'!$K$3:$K$502,116),"")</f>
        <v/>
      </c>
    </row>
    <row r="123">
      <c r="A123" s="43">
        <f>IFERROR(INDEX('السلف'!$A$3:$A$502,117),"")</f>
        <v/>
      </c>
      <c r="B123" s="43">
        <f>IFERROR(INDEX('السلف'!$B$3:$B$502,117),"")</f>
        <v/>
      </c>
      <c r="C123" s="43">
        <f>IFERROR(INDEX('السلف'!$C$3:$C$502,117),"")</f>
        <v/>
      </c>
      <c r="D123" s="118">
        <f>IFERROR(INDEX('السلف'!$D$3:$D$502,117),"")</f>
        <v/>
      </c>
      <c r="E123" s="60">
        <f>IFERROR(INDEX('السلف'!$E$3:$E$502,117),"")</f>
        <v/>
      </c>
      <c r="F123" s="43">
        <f>IFERROR(INDEX('السلف'!$F$3:$F$502,117),"")</f>
        <v/>
      </c>
      <c r="G123" s="60">
        <f>IFERROR(INDEX('السلف'!$G$3:$G$502,117),"")</f>
        <v/>
      </c>
      <c r="H123" s="60">
        <f>IFERROR(INDEX('السلف'!$H$3:$H$502,117),"")</f>
        <v/>
      </c>
      <c r="I123" s="60">
        <f>IFERROR(INDEX('السلف'!$I$3:$I$502,117),"")</f>
        <v/>
      </c>
      <c r="J123" s="118">
        <f>IFERROR(INDEX('السلف'!$J$3:$J$502,117),"")</f>
        <v/>
      </c>
      <c r="K123" s="43">
        <f>IFERROR(INDEX('السلف'!$K$3:$K$502,117),"")</f>
        <v/>
      </c>
    </row>
    <row r="124">
      <c r="A124" s="50">
        <f>IFERROR(INDEX('السلف'!$A$3:$A$502,118),"")</f>
        <v/>
      </c>
      <c r="B124" s="50">
        <f>IFERROR(INDEX('السلف'!$B$3:$B$502,118),"")</f>
        <v/>
      </c>
      <c r="C124" s="50">
        <f>IFERROR(INDEX('السلف'!$C$3:$C$502,118),"")</f>
        <v/>
      </c>
      <c r="D124" s="119">
        <f>IFERROR(INDEX('السلف'!$D$3:$D$502,118),"")</f>
        <v/>
      </c>
      <c r="E124" s="63">
        <f>IFERROR(INDEX('السلف'!$E$3:$E$502,118),"")</f>
        <v/>
      </c>
      <c r="F124" s="50">
        <f>IFERROR(INDEX('السلف'!$F$3:$F$502,118),"")</f>
        <v/>
      </c>
      <c r="G124" s="63">
        <f>IFERROR(INDEX('السلف'!$G$3:$G$502,118),"")</f>
        <v/>
      </c>
      <c r="H124" s="63">
        <f>IFERROR(INDEX('السلف'!$H$3:$H$502,118),"")</f>
        <v/>
      </c>
      <c r="I124" s="63">
        <f>IFERROR(INDEX('السلف'!$I$3:$I$502,118),"")</f>
        <v/>
      </c>
      <c r="J124" s="119">
        <f>IFERROR(INDEX('السلف'!$J$3:$J$502,118),"")</f>
        <v/>
      </c>
      <c r="K124" s="50">
        <f>IFERROR(INDEX('السلف'!$K$3:$K$502,118),"")</f>
        <v/>
      </c>
    </row>
    <row r="125">
      <c r="A125" s="43">
        <f>IFERROR(INDEX('السلف'!$A$3:$A$502,119),"")</f>
        <v/>
      </c>
      <c r="B125" s="43">
        <f>IFERROR(INDEX('السلف'!$B$3:$B$502,119),"")</f>
        <v/>
      </c>
      <c r="C125" s="43">
        <f>IFERROR(INDEX('السلف'!$C$3:$C$502,119),"")</f>
        <v/>
      </c>
      <c r="D125" s="118">
        <f>IFERROR(INDEX('السلف'!$D$3:$D$502,119),"")</f>
        <v/>
      </c>
      <c r="E125" s="60">
        <f>IFERROR(INDEX('السلف'!$E$3:$E$502,119),"")</f>
        <v/>
      </c>
      <c r="F125" s="43">
        <f>IFERROR(INDEX('السلف'!$F$3:$F$502,119),"")</f>
        <v/>
      </c>
      <c r="G125" s="60">
        <f>IFERROR(INDEX('السلف'!$G$3:$G$502,119),"")</f>
        <v/>
      </c>
      <c r="H125" s="60">
        <f>IFERROR(INDEX('السلف'!$H$3:$H$502,119),"")</f>
        <v/>
      </c>
      <c r="I125" s="60">
        <f>IFERROR(INDEX('السلف'!$I$3:$I$502,119),"")</f>
        <v/>
      </c>
      <c r="J125" s="118">
        <f>IFERROR(INDEX('السلف'!$J$3:$J$502,119),"")</f>
        <v/>
      </c>
      <c r="K125" s="43">
        <f>IFERROR(INDEX('السلف'!$K$3:$K$502,119),"")</f>
        <v/>
      </c>
    </row>
    <row r="126">
      <c r="A126" s="50">
        <f>IFERROR(INDEX('السلف'!$A$3:$A$502,120),"")</f>
        <v/>
      </c>
      <c r="B126" s="50">
        <f>IFERROR(INDEX('السلف'!$B$3:$B$502,120),"")</f>
        <v/>
      </c>
      <c r="C126" s="50">
        <f>IFERROR(INDEX('السلف'!$C$3:$C$502,120),"")</f>
        <v/>
      </c>
      <c r="D126" s="119">
        <f>IFERROR(INDEX('السلف'!$D$3:$D$502,120),"")</f>
        <v/>
      </c>
      <c r="E126" s="63">
        <f>IFERROR(INDEX('السلف'!$E$3:$E$502,120),"")</f>
        <v/>
      </c>
      <c r="F126" s="50">
        <f>IFERROR(INDEX('السلف'!$F$3:$F$502,120),"")</f>
        <v/>
      </c>
      <c r="G126" s="63">
        <f>IFERROR(INDEX('السلف'!$G$3:$G$502,120),"")</f>
        <v/>
      </c>
      <c r="H126" s="63">
        <f>IFERROR(INDEX('السلف'!$H$3:$H$502,120),"")</f>
        <v/>
      </c>
      <c r="I126" s="63">
        <f>IFERROR(INDEX('السلف'!$I$3:$I$502,120),"")</f>
        <v/>
      </c>
      <c r="J126" s="119">
        <f>IFERROR(INDEX('السلف'!$J$3:$J$502,120),"")</f>
        <v/>
      </c>
      <c r="K126" s="50">
        <f>IFERROR(INDEX('السلف'!$K$3:$K$502,120),"")</f>
        <v/>
      </c>
    </row>
    <row r="127">
      <c r="A127" s="43">
        <f>IFERROR(INDEX('السلف'!$A$3:$A$502,121),"")</f>
        <v/>
      </c>
      <c r="B127" s="43">
        <f>IFERROR(INDEX('السلف'!$B$3:$B$502,121),"")</f>
        <v/>
      </c>
      <c r="C127" s="43">
        <f>IFERROR(INDEX('السلف'!$C$3:$C$502,121),"")</f>
        <v/>
      </c>
      <c r="D127" s="118">
        <f>IFERROR(INDEX('السلف'!$D$3:$D$502,121),"")</f>
        <v/>
      </c>
      <c r="E127" s="60">
        <f>IFERROR(INDEX('السلف'!$E$3:$E$502,121),"")</f>
        <v/>
      </c>
      <c r="F127" s="43">
        <f>IFERROR(INDEX('السلف'!$F$3:$F$502,121),"")</f>
        <v/>
      </c>
      <c r="G127" s="60">
        <f>IFERROR(INDEX('السلف'!$G$3:$G$502,121),"")</f>
        <v/>
      </c>
      <c r="H127" s="60">
        <f>IFERROR(INDEX('السلف'!$H$3:$H$502,121),"")</f>
        <v/>
      </c>
      <c r="I127" s="60">
        <f>IFERROR(INDEX('السلف'!$I$3:$I$502,121),"")</f>
        <v/>
      </c>
      <c r="J127" s="118">
        <f>IFERROR(INDEX('السلف'!$J$3:$J$502,121),"")</f>
        <v/>
      </c>
      <c r="K127" s="43">
        <f>IFERROR(INDEX('السلف'!$K$3:$K$502,121),"")</f>
        <v/>
      </c>
    </row>
    <row r="128">
      <c r="A128" s="50">
        <f>IFERROR(INDEX('السلف'!$A$3:$A$502,122),"")</f>
        <v/>
      </c>
      <c r="B128" s="50">
        <f>IFERROR(INDEX('السلف'!$B$3:$B$502,122),"")</f>
        <v/>
      </c>
      <c r="C128" s="50">
        <f>IFERROR(INDEX('السلف'!$C$3:$C$502,122),"")</f>
        <v/>
      </c>
      <c r="D128" s="119">
        <f>IFERROR(INDEX('السلف'!$D$3:$D$502,122),"")</f>
        <v/>
      </c>
      <c r="E128" s="63">
        <f>IFERROR(INDEX('السلف'!$E$3:$E$502,122),"")</f>
        <v/>
      </c>
      <c r="F128" s="50">
        <f>IFERROR(INDEX('السلف'!$F$3:$F$502,122),"")</f>
        <v/>
      </c>
      <c r="G128" s="63">
        <f>IFERROR(INDEX('السلف'!$G$3:$G$502,122),"")</f>
        <v/>
      </c>
      <c r="H128" s="63">
        <f>IFERROR(INDEX('السلف'!$H$3:$H$502,122),"")</f>
        <v/>
      </c>
      <c r="I128" s="63">
        <f>IFERROR(INDEX('السلف'!$I$3:$I$502,122),"")</f>
        <v/>
      </c>
      <c r="J128" s="119">
        <f>IFERROR(INDEX('السلف'!$J$3:$J$502,122),"")</f>
        <v/>
      </c>
      <c r="K128" s="50">
        <f>IFERROR(INDEX('السلف'!$K$3:$K$502,122),"")</f>
        <v/>
      </c>
    </row>
    <row r="129">
      <c r="A129" s="43">
        <f>IFERROR(INDEX('السلف'!$A$3:$A$502,123),"")</f>
        <v/>
      </c>
      <c r="B129" s="43">
        <f>IFERROR(INDEX('السلف'!$B$3:$B$502,123),"")</f>
        <v/>
      </c>
      <c r="C129" s="43">
        <f>IFERROR(INDEX('السلف'!$C$3:$C$502,123),"")</f>
        <v/>
      </c>
      <c r="D129" s="118">
        <f>IFERROR(INDEX('السلف'!$D$3:$D$502,123),"")</f>
        <v/>
      </c>
      <c r="E129" s="60">
        <f>IFERROR(INDEX('السلف'!$E$3:$E$502,123),"")</f>
        <v/>
      </c>
      <c r="F129" s="43">
        <f>IFERROR(INDEX('السلف'!$F$3:$F$502,123),"")</f>
        <v/>
      </c>
      <c r="G129" s="60">
        <f>IFERROR(INDEX('السلف'!$G$3:$G$502,123),"")</f>
        <v/>
      </c>
      <c r="H129" s="60">
        <f>IFERROR(INDEX('السلف'!$H$3:$H$502,123),"")</f>
        <v/>
      </c>
      <c r="I129" s="60">
        <f>IFERROR(INDEX('السلف'!$I$3:$I$502,123),"")</f>
        <v/>
      </c>
      <c r="J129" s="118">
        <f>IFERROR(INDEX('السلف'!$J$3:$J$502,123),"")</f>
        <v/>
      </c>
      <c r="K129" s="43">
        <f>IFERROR(INDEX('السلف'!$K$3:$K$502,123),"")</f>
        <v/>
      </c>
    </row>
    <row r="130">
      <c r="A130" s="50">
        <f>IFERROR(INDEX('السلف'!$A$3:$A$502,124),"")</f>
        <v/>
      </c>
      <c r="B130" s="50">
        <f>IFERROR(INDEX('السلف'!$B$3:$B$502,124),"")</f>
        <v/>
      </c>
      <c r="C130" s="50">
        <f>IFERROR(INDEX('السلف'!$C$3:$C$502,124),"")</f>
        <v/>
      </c>
      <c r="D130" s="119">
        <f>IFERROR(INDEX('السلف'!$D$3:$D$502,124),"")</f>
        <v/>
      </c>
      <c r="E130" s="63">
        <f>IFERROR(INDEX('السلف'!$E$3:$E$502,124),"")</f>
        <v/>
      </c>
      <c r="F130" s="50">
        <f>IFERROR(INDEX('السلف'!$F$3:$F$502,124),"")</f>
        <v/>
      </c>
      <c r="G130" s="63">
        <f>IFERROR(INDEX('السلف'!$G$3:$G$502,124),"")</f>
        <v/>
      </c>
      <c r="H130" s="63">
        <f>IFERROR(INDEX('السلف'!$H$3:$H$502,124),"")</f>
        <v/>
      </c>
      <c r="I130" s="63">
        <f>IFERROR(INDEX('السلف'!$I$3:$I$502,124),"")</f>
        <v/>
      </c>
      <c r="J130" s="119">
        <f>IFERROR(INDEX('السلف'!$J$3:$J$502,124),"")</f>
        <v/>
      </c>
      <c r="K130" s="50">
        <f>IFERROR(INDEX('السلف'!$K$3:$K$502,124),"")</f>
        <v/>
      </c>
    </row>
    <row r="131">
      <c r="A131" s="43">
        <f>IFERROR(INDEX('السلف'!$A$3:$A$502,125),"")</f>
        <v/>
      </c>
      <c r="B131" s="43">
        <f>IFERROR(INDEX('السلف'!$B$3:$B$502,125),"")</f>
        <v/>
      </c>
      <c r="C131" s="43">
        <f>IFERROR(INDEX('السلف'!$C$3:$C$502,125),"")</f>
        <v/>
      </c>
      <c r="D131" s="118">
        <f>IFERROR(INDEX('السلف'!$D$3:$D$502,125),"")</f>
        <v/>
      </c>
      <c r="E131" s="60">
        <f>IFERROR(INDEX('السلف'!$E$3:$E$502,125),"")</f>
        <v/>
      </c>
      <c r="F131" s="43">
        <f>IFERROR(INDEX('السلف'!$F$3:$F$502,125),"")</f>
        <v/>
      </c>
      <c r="G131" s="60">
        <f>IFERROR(INDEX('السلف'!$G$3:$G$502,125),"")</f>
        <v/>
      </c>
      <c r="H131" s="60">
        <f>IFERROR(INDEX('السلف'!$H$3:$H$502,125),"")</f>
        <v/>
      </c>
      <c r="I131" s="60">
        <f>IFERROR(INDEX('السلف'!$I$3:$I$502,125),"")</f>
        <v/>
      </c>
      <c r="J131" s="118">
        <f>IFERROR(INDEX('السلف'!$J$3:$J$502,125),"")</f>
        <v/>
      </c>
      <c r="K131" s="43">
        <f>IFERROR(INDEX('السلف'!$K$3:$K$502,125),"")</f>
        <v/>
      </c>
    </row>
    <row r="132">
      <c r="A132" s="50">
        <f>IFERROR(INDEX('السلف'!$A$3:$A$502,126),"")</f>
        <v/>
      </c>
      <c r="B132" s="50">
        <f>IFERROR(INDEX('السلف'!$B$3:$B$502,126),"")</f>
        <v/>
      </c>
      <c r="C132" s="50">
        <f>IFERROR(INDEX('السلف'!$C$3:$C$502,126),"")</f>
        <v/>
      </c>
      <c r="D132" s="119">
        <f>IFERROR(INDEX('السلف'!$D$3:$D$502,126),"")</f>
        <v/>
      </c>
      <c r="E132" s="63">
        <f>IFERROR(INDEX('السلف'!$E$3:$E$502,126),"")</f>
        <v/>
      </c>
      <c r="F132" s="50">
        <f>IFERROR(INDEX('السلف'!$F$3:$F$502,126),"")</f>
        <v/>
      </c>
      <c r="G132" s="63">
        <f>IFERROR(INDEX('السلف'!$G$3:$G$502,126),"")</f>
        <v/>
      </c>
      <c r="H132" s="63">
        <f>IFERROR(INDEX('السلف'!$H$3:$H$502,126),"")</f>
        <v/>
      </c>
      <c r="I132" s="63">
        <f>IFERROR(INDEX('السلف'!$I$3:$I$502,126),"")</f>
        <v/>
      </c>
      <c r="J132" s="119">
        <f>IFERROR(INDEX('السلف'!$J$3:$J$502,126),"")</f>
        <v/>
      </c>
      <c r="K132" s="50">
        <f>IFERROR(INDEX('السلف'!$K$3:$K$502,126),"")</f>
        <v/>
      </c>
    </row>
    <row r="133">
      <c r="A133" s="43">
        <f>IFERROR(INDEX('السلف'!$A$3:$A$502,127),"")</f>
        <v/>
      </c>
      <c r="B133" s="43">
        <f>IFERROR(INDEX('السلف'!$B$3:$B$502,127),"")</f>
        <v/>
      </c>
      <c r="C133" s="43">
        <f>IFERROR(INDEX('السلف'!$C$3:$C$502,127),"")</f>
        <v/>
      </c>
      <c r="D133" s="118">
        <f>IFERROR(INDEX('السلف'!$D$3:$D$502,127),"")</f>
        <v/>
      </c>
      <c r="E133" s="60">
        <f>IFERROR(INDEX('السلف'!$E$3:$E$502,127),"")</f>
        <v/>
      </c>
      <c r="F133" s="43">
        <f>IFERROR(INDEX('السلف'!$F$3:$F$502,127),"")</f>
        <v/>
      </c>
      <c r="G133" s="60">
        <f>IFERROR(INDEX('السلف'!$G$3:$G$502,127),"")</f>
        <v/>
      </c>
      <c r="H133" s="60">
        <f>IFERROR(INDEX('السلف'!$H$3:$H$502,127),"")</f>
        <v/>
      </c>
      <c r="I133" s="60">
        <f>IFERROR(INDEX('السلف'!$I$3:$I$502,127),"")</f>
        <v/>
      </c>
      <c r="J133" s="118">
        <f>IFERROR(INDEX('السلف'!$J$3:$J$502,127),"")</f>
        <v/>
      </c>
      <c r="K133" s="43">
        <f>IFERROR(INDEX('السلف'!$K$3:$K$502,127),"")</f>
        <v/>
      </c>
    </row>
    <row r="134">
      <c r="A134" s="50">
        <f>IFERROR(INDEX('السلف'!$A$3:$A$502,128),"")</f>
        <v/>
      </c>
      <c r="B134" s="50">
        <f>IFERROR(INDEX('السلف'!$B$3:$B$502,128),"")</f>
        <v/>
      </c>
      <c r="C134" s="50">
        <f>IFERROR(INDEX('السلف'!$C$3:$C$502,128),"")</f>
        <v/>
      </c>
      <c r="D134" s="119">
        <f>IFERROR(INDEX('السلف'!$D$3:$D$502,128),"")</f>
        <v/>
      </c>
      <c r="E134" s="63">
        <f>IFERROR(INDEX('السلف'!$E$3:$E$502,128),"")</f>
        <v/>
      </c>
      <c r="F134" s="50">
        <f>IFERROR(INDEX('السلف'!$F$3:$F$502,128),"")</f>
        <v/>
      </c>
      <c r="G134" s="63">
        <f>IFERROR(INDEX('السلف'!$G$3:$G$502,128),"")</f>
        <v/>
      </c>
      <c r="H134" s="63">
        <f>IFERROR(INDEX('السلف'!$H$3:$H$502,128),"")</f>
        <v/>
      </c>
      <c r="I134" s="63">
        <f>IFERROR(INDEX('السلف'!$I$3:$I$502,128),"")</f>
        <v/>
      </c>
      <c r="J134" s="119">
        <f>IFERROR(INDEX('السلف'!$J$3:$J$502,128),"")</f>
        <v/>
      </c>
      <c r="K134" s="50">
        <f>IFERROR(INDEX('السلف'!$K$3:$K$502,128),"")</f>
        <v/>
      </c>
    </row>
    <row r="135">
      <c r="A135" s="43">
        <f>IFERROR(INDEX('السلف'!$A$3:$A$502,129),"")</f>
        <v/>
      </c>
      <c r="B135" s="43">
        <f>IFERROR(INDEX('السلف'!$B$3:$B$502,129),"")</f>
        <v/>
      </c>
      <c r="C135" s="43">
        <f>IFERROR(INDEX('السلف'!$C$3:$C$502,129),"")</f>
        <v/>
      </c>
      <c r="D135" s="118">
        <f>IFERROR(INDEX('السلف'!$D$3:$D$502,129),"")</f>
        <v/>
      </c>
      <c r="E135" s="60">
        <f>IFERROR(INDEX('السلف'!$E$3:$E$502,129),"")</f>
        <v/>
      </c>
      <c r="F135" s="43">
        <f>IFERROR(INDEX('السلف'!$F$3:$F$502,129),"")</f>
        <v/>
      </c>
      <c r="G135" s="60">
        <f>IFERROR(INDEX('السلف'!$G$3:$G$502,129),"")</f>
        <v/>
      </c>
      <c r="H135" s="60">
        <f>IFERROR(INDEX('السلف'!$H$3:$H$502,129),"")</f>
        <v/>
      </c>
      <c r="I135" s="60">
        <f>IFERROR(INDEX('السلف'!$I$3:$I$502,129),"")</f>
        <v/>
      </c>
      <c r="J135" s="118">
        <f>IFERROR(INDEX('السلف'!$J$3:$J$502,129),"")</f>
        <v/>
      </c>
      <c r="K135" s="43">
        <f>IFERROR(INDEX('السلف'!$K$3:$K$502,129),"")</f>
        <v/>
      </c>
    </row>
    <row r="136">
      <c r="A136" s="50">
        <f>IFERROR(INDEX('السلف'!$A$3:$A$502,130),"")</f>
        <v/>
      </c>
      <c r="B136" s="50">
        <f>IFERROR(INDEX('السلف'!$B$3:$B$502,130),"")</f>
        <v/>
      </c>
      <c r="C136" s="50">
        <f>IFERROR(INDEX('السلف'!$C$3:$C$502,130),"")</f>
        <v/>
      </c>
      <c r="D136" s="119">
        <f>IFERROR(INDEX('السلف'!$D$3:$D$502,130),"")</f>
        <v/>
      </c>
      <c r="E136" s="63">
        <f>IFERROR(INDEX('السلف'!$E$3:$E$502,130),"")</f>
        <v/>
      </c>
      <c r="F136" s="50">
        <f>IFERROR(INDEX('السلف'!$F$3:$F$502,130),"")</f>
        <v/>
      </c>
      <c r="G136" s="63">
        <f>IFERROR(INDEX('السلف'!$G$3:$G$502,130),"")</f>
        <v/>
      </c>
      <c r="H136" s="63">
        <f>IFERROR(INDEX('السلف'!$H$3:$H$502,130),"")</f>
        <v/>
      </c>
      <c r="I136" s="63">
        <f>IFERROR(INDEX('السلف'!$I$3:$I$502,130),"")</f>
        <v/>
      </c>
      <c r="J136" s="119">
        <f>IFERROR(INDEX('السلف'!$J$3:$J$502,130),"")</f>
        <v/>
      </c>
      <c r="K136" s="50">
        <f>IFERROR(INDEX('السلف'!$K$3:$K$502,130),"")</f>
        <v/>
      </c>
    </row>
    <row r="137">
      <c r="A137" s="43">
        <f>IFERROR(INDEX('السلف'!$A$3:$A$502,131),"")</f>
        <v/>
      </c>
      <c r="B137" s="43">
        <f>IFERROR(INDEX('السلف'!$B$3:$B$502,131),"")</f>
        <v/>
      </c>
      <c r="C137" s="43">
        <f>IFERROR(INDEX('السلف'!$C$3:$C$502,131),"")</f>
        <v/>
      </c>
      <c r="D137" s="118">
        <f>IFERROR(INDEX('السلف'!$D$3:$D$502,131),"")</f>
        <v/>
      </c>
      <c r="E137" s="60">
        <f>IFERROR(INDEX('السلف'!$E$3:$E$502,131),"")</f>
        <v/>
      </c>
      <c r="F137" s="43">
        <f>IFERROR(INDEX('السلف'!$F$3:$F$502,131),"")</f>
        <v/>
      </c>
      <c r="G137" s="60">
        <f>IFERROR(INDEX('السلف'!$G$3:$G$502,131),"")</f>
        <v/>
      </c>
      <c r="H137" s="60">
        <f>IFERROR(INDEX('السلف'!$H$3:$H$502,131),"")</f>
        <v/>
      </c>
      <c r="I137" s="60">
        <f>IFERROR(INDEX('السلف'!$I$3:$I$502,131),"")</f>
        <v/>
      </c>
      <c r="J137" s="118">
        <f>IFERROR(INDEX('السلف'!$J$3:$J$502,131),"")</f>
        <v/>
      </c>
      <c r="K137" s="43">
        <f>IFERROR(INDEX('السلف'!$K$3:$K$502,131),"")</f>
        <v/>
      </c>
    </row>
    <row r="138">
      <c r="A138" s="50">
        <f>IFERROR(INDEX('السلف'!$A$3:$A$502,132),"")</f>
        <v/>
      </c>
      <c r="B138" s="50">
        <f>IFERROR(INDEX('السلف'!$B$3:$B$502,132),"")</f>
        <v/>
      </c>
      <c r="C138" s="50">
        <f>IFERROR(INDEX('السلف'!$C$3:$C$502,132),"")</f>
        <v/>
      </c>
      <c r="D138" s="119">
        <f>IFERROR(INDEX('السلف'!$D$3:$D$502,132),"")</f>
        <v/>
      </c>
      <c r="E138" s="63">
        <f>IFERROR(INDEX('السلف'!$E$3:$E$502,132),"")</f>
        <v/>
      </c>
      <c r="F138" s="50">
        <f>IFERROR(INDEX('السلف'!$F$3:$F$502,132),"")</f>
        <v/>
      </c>
      <c r="G138" s="63">
        <f>IFERROR(INDEX('السلف'!$G$3:$G$502,132),"")</f>
        <v/>
      </c>
      <c r="H138" s="63">
        <f>IFERROR(INDEX('السلف'!$H$3:$H$502,132),"")</f>
        <v/>
      </c>
      <c r="I138" s="63">
        <f>IFERROR(INDEX('السلف'!$I$3:$I$502,132),"")</f>
        <v/>
      </c>
      <c r="J138" s="119">
        <f>IFERROR(INDEX('السلف'!$J$3:$J$502,132),"")</f>
        <v/>
      </c>
      <c r="K138" s="50">
        <f>IFERROR(INDEX('السلف'!$K$3:$K$502,132),"")</f>
        <v/>
      </c>
    </row>
    <row r="139">
      <c r="A139" s="43">
        <f>IFERROR(INDEX('السلف'!$A$3:$A$502,133),"")</f>
        <v/>
      </c>
      <c r="B139" s="43">
        <f>IFERROR(INDEX('السلف'!$B$3:$B$502,133),"")</f>
        <v/>
      </c>
      <c r="C139" s="43">
        <f>IFERROR(INDEX('السلف'!$C$3:$C$502,133),"")</f>
        <v/>
      </c>
      <c r="D139" s="118">
        <f>IFERROR(INDEX('السلف'!$D$3:$D$502,133),"")</f>
        <v/>
      </c>
      <c r="E139" s="60">
        <f>IFERROR(INDEX('السلف'!$E$3:$E$502,133),"")</f>
        <v/>
      </c>
      <c r="F139" s="43">
        <f>IFERROR(INDEX('السلف'!$F$3:$F$502,133),"")</f>
        <v/>
      </c>
      <c r="G139" s="60">
        <f>IFERROR(INDEX('السلف'!$G$3:$G$502,133),"")</f>
        <v/>
      </c>
      <c r="H139" s="60">
        <f>IFERROR(INDEX('السلف'!$H$3:$H$502,133),"")</f>
        <v/>
      </c>
      <c r="I139" s="60">
        <f>IFERROR(INDEX('السلف'!$I$3:$I$502,133),"")</f>
        <v/>
      </c>
      <c r="J139" s="118">
        <f>IFERROR(INDEX('السلف'!$J$3:$J$502,133),"")</f>
        <v/>
      </c>
      <c r="K139" s="43">
        <f>IFERROR(INDEX('السلف'!$K$3:$K$502,133),"")</f>
        <v/>
      </c>
    </row>
    <row r="140">
      <c r="A140" s="50">
        <f>IFERROR(INDEX('السلف'!$A$3:$A$502,134),"")</f>
        <v/>
      </c>
      <c r="B140" s="50">
        <f>IFERROR(INDEX('السلف'!$B$3:$B$502,134),"")</f>
        <v/>
      </c>
      <c r="C140" s="50">
        <f>IFERROR(INDEX('السلف'!$C$3:$C$502,134),"")</f>
        <v/>
      </c>
      <c r="D140" s="119">
        <f>IFERROR(INDEX('السلف'!$D$3:$D$502,134),"")</f>
        <v/>
      </c>
      <c r="E140" s="63">
        <f>IFERROR(INDEX('السلف'!$E$3:$E$502,134),"")</f>
        <v/>
      </c>
      <c r="F140" s="50">
        <f>IFERROR(INDEX('السلف'!$F$3:$F$502,134),"")</f>
        <v/>
      </c>
      <c r="G140" s="63">
        <f>IFERROR(INDEX('السلف'!$G$3:$G$502,134),"")</f>
        <v/>
      </c>
      <c r="H140" s="63">
        <f>IFERROR(INDEX('السلف'!$H$3:$H$502,134),"")</f>
        <v/>
      </c>
      <c r="I140" s="63">
        <f>IFERROR(INDEX('السلف'!$I$3:$I$502,134),"")</f>
        <v/>
      </c>
      <c r="J140" s="119">
        <f>IFERROR(INDEX('السلف'!$J$3:$J$502,134),"")</f>
        <v/>
      </c>
      <c r="K140" s="50">
        <f>IFERROR(INDEX('السلف'!$K$3:$K$502,134),"")</f>
        <v/>
      </c>
    </row>
    <row r="141">
      <c r="A141" s="43">
        <f>IFERROR(INDEX('السلف'!$A$3:$A$502,135),"")</f>
        <v/>
      </c>
      <c r="B141" s="43">
        <f>IFERROR(INDEX('السلف'!$B$3:$B$502,135),"")</f>
        <v/>
      </c>
      <c r="C141" s="43">
        <f>IFERROR(INDEX('السلف'!$C$3:$C$502,135),"")</f>
        <v/>
      </c>
      <c r="D141" s="118">
        <f>IFERROR(INDEX('السلف'!$D$3:$D$502,135),"")</f>
        <v/>
      </c>
      <c r="E141" s="60">
        <f>IFERROR(INDEX('السلف'!$E$3:$E$502,135),"")</f>
        <v/>
      </c>
      <c r="F141" s="43">
        <f>IFERROR(INDEX('السلف'!$F$3:$F$502,135),"")</f>
        <v/>
      </c>
      <c r="G141" s="60">
        <f>IFERROR(INDEX('السلف'!$G$3:$G$502,135),"")</f>
        <v/>
      </c>
      <c r="H141" s="60">
        <f>IFERROR(INDEX('السلف'!$H$3:$H$502,135),"")</f>
        <v/>
      </c>
      <c r="I141" s="60">
        <f>IFERROR(INDEX('السلف'!$I$3:$I$502,135),"")</f>
        <v/>
      </c>
      <c r="J141" s="118">
        <f>IFERROR(INDEX('السلف'!$J$3:$J$502,135),"")</f>
        <v/>
      </c>
      <c r="K141" s="43">
        <f>IFERROR(INDEX('السلف'!$K$3:$K$502,135),"")</f>
        <v/>
      </c>
    </row>
    <row r="142">
      <c r="A142" s="50">
        <f>IFERROR(INDEX('السلف'!$A$3:$A$502,136),"")</f>
        <v/>
      </c>
      <c r="B142" s="50">
        <f>IFERROR(INDEX('السلف'!$B$3:$B$502,136),"")</f>
        <v/>
      </c>
      <c r="C142" s="50">
        <f>IFERROR(INDEX('السلف'!$C$3:$C$502,136),"")</f>
        <v/>
      </c>
      <c r="D142" s="119">
        <f>IFERROR(INDEX('السلف'!$D$3:$D$502,136),"")</f>
        <v/>
      </c>
      <c r="E142" s="63">
        <f>IFERROR(INDEX('السلف'!$E$3:$E$502,136),"")</f>
        <v/>
      </c>
      <c r="F142" s="50">
        <f>IFERROR(INDEX('السلف'!$F$3:$F$502,136),"")</f>
        <v/>
      </c>
      <c r="G142" s="63">
        <f>IFERROR(INDEX('السلف'!$G$3:$G$502,136),"")</f>
        <v/>
      </c>
      <c r="H142" s="63">
        <f>IFERROR(INDEX('السلف'!$H$3:$H$502,136),"")</f>
        <v/>
      </c>
      <c r="I142" s="63">
        <f>IFERROR(INDEX('السلف'!$I$3:$I$502,136),"")</f>
        <v/>
      </c>
      <c r="J142" s="119">
        <f>IFERROR(INDEX('السلف'!$J$3:$J$502,136),"")</f>
        <v/>
      </c>
      <c r="K142" s="50">
        <f>IFERROR(INDEX('السلف'!$K$3:$K$502,136),"")</f>
        <v/>
      </c>
    </row>
    <row r="143">
      <c r="A143" s="43">
        <f>IFERROR(INDEX('السلف'!$A$3:$A$502,137),"")</f>
        <v/>
      </c>
      <c r="B143" s="43">
        <f>IFERROR(INDEX('السلف'!$B$3:$B$502,137),"")</f>
        <v/>
      </c>
      <c r="C143" s="43">
        <f>IFERROR(INDEX('السلف'!$C$3:$C$502,137),"")</f>
        <v/>
      </c>
      <c r="D143" s="118">
        <f>IFERROR(INDEX('السلف'!$D$3:$D$502,137),"")</f>
        <v/>
      </c>
      <c r="E143" s="60">
        <f>IFERROR(INDEX('السلف'!$E$3:$E$502,137),"")</f>
        <v/>
      </c>
      <c r="F143" s="43">
        <f>IFERROR(INDEX('السلف'!$F$3:$F$502,137),"")</f>
        <v/>
      </c>
      <c r="G143" s="60">
        <f>IFERROR(INDEX('السلف'!$G$3:$G$502,137),"")</f>
        <v/>
      </c>
      <c r="H143" s="60">
        <f>IFERROR(INDEX('السلف'!$H$3:$H$502,137),"")</f>
        <v/>
      </c>
      <c r="I143" s="60">
        <f>IFERROR(INDEX('السلف'!$I$3:$I$502,137),"")</f>
        <v/>
      </c>
      <c r="J143" s="118">
        <f>IFERROR(INDEX('السلف'!$J$3:$J$502,137),"")</f>
        <v/>
      </c>
      <c r="K143" s="43">
        <f>IFERROR(INDEX('السلف'!$K$3:$K$502,137),"")</f>
        <v/>
      </c>
    </row>
    <row r="144">
      <c r="A144" s="50">
        <f>IFERROR(INDEX('السلف'!$A$3:$A$502,138),"")</f>
        <v/>
      </c>
      <c r="B144" s="50">
        <f>IFERROR(INDEX('السلف'!$B$3:$B$502,138),"")</f>
        <v/>
      </c>
      <c r="C144" s="50">
        <f>IFERROR(INDEX('السلف'!$C$3:$C$502,138),"")</f>
        <v/>
      </c>
      <c r="D144" s="119">
        <f>IFERROR(INDEX('السلف'!$D$3:$D$502,138),"")</f>
        <v/>
      </c>
      <c r="E144" s="63">
        <f>IFERROR(INDEX('السلف'!$E$3:$E$502,138),"")</f>
        <v/>
      </c>
      <c r="F144" s="50">
        <f>IFERROR(INDEX('السلف'!$F$3:$F$502,138),"")</f>
        <v/>
      </c>
      <c r="G144" s="63">
        <f>IFERROR(INDEX('السلف'!$G$3:$G$502,138),"")</f>
        <v/>
      </c>
      <c r="H144" s="63">
        <f>IFERROR(INDEX('السلف'!$H$3:$H$502,138),"")</f>
        <v/>
      </c>
      <c r="I144" s="63">
        <f>IFERROR(INDEX('السلف'!$I$3:$I$502,138),"")</f>
        <v/>
      </c>
      <c r="J144" s="119">
        <f>IFERROR(INDEX('السلف'!$J$3:$J$502,138),"")</f>
        <v/>
      </c>
      <c r="K144" s="50">
        <f>IFERROR(INDEX('السلف'!$K$3:$K$502,138),"")</f>
        <v/>
      </c>
    </row>
    <row r="145">
      <c r="A145" s="43">
        <f>IFERROR(INDEX('السلف'!$A$3:$A$502,139),"")</f>
        <v/>
      </c>
      <c r="B145" s="43">
        <f>IFERROR(INDEX('السلف'!$B$3:$B$502,139),"")</f>
        <v/>
      </c>
      <c r="C145" s="43">
        <f>IFERROR(INDEX('السلف'!$C$3:$C$502,139),"")</f>
        <v/>
      </c>
      <c r="D145" s="118">
        <f>IFERROR(INDEX('السلف'!$D$3:$D$502,139),"")</f>
        <v/>
      </c>
      <c r="E145" s="60">
        <f>IFERROR(INDEX('السلف'!$E$3:$E$502,139),"")</f>
        <v/>
      </c>
      <c r="F145" s="43">
        <f>IFERROR(INDEX('السلف'!$F$3:$F$502,139),"")</f>
        <v/>
      </c>
      <c r="G145" s="60">
        <f>IFERROR(INDEX('السلف'!$G$3:$G$502,139),"")</f>
        <v/>
      </c>
      <c r="H145" s="60">
        <f>IFERROR(INDEX('السلف'!$H$3:$H$502,139),"")</f>
        <v/>
      </c>
      <c r="I145" s="60">
        <f>IFERROR(INDEX('السلف'!$I$3:$I$502,139),"")</f>
        <v/>
      </c>
      <c r="J145" s="118">
        <f>IFERROR(INDEX('السلف'!$J$3:$J$502,139),"")</f>
        <v/>
      </c>
      <c r="K145" s="43">
        <f>IFERROR(INDEX('السلف'!$K$3:$K$502,139),"")</f>
        <v/>
      </c>
    </row>
    <row r="146">
      <c r="A146" s="50">
        <f>IFERROR(INDEX('السلف'!$A$3:$A$502,140),"")</f>
        <v/>
      </c>
      <c r="B146" s="50">
        <f>IFERROR(INDEX('السلف'!$B$3:$B$502,140),"")</f>
        <v/>
      </c>
      <c r="C146" s="50">
        <f>IFERROR(INDEX('السلف'!$C$3:$C$502,140),"")</f>
        <v/>
      </c>
      <c r="D146" s="119">
        <f>IFERROR(INDEX('السلف'!$D$3:$D$502,140),"")</f>
        <v/>
      </c>
      <c r="E146" s="63">
        <f>IFERROR(INDEX('السلف'!$E$3:$E$502,140),"")</f>
        <v/>
      </c>
      <c r="F146" s="50">
        <f>IFERROR(INDEX('السلف'!$F$3:$F$502,140),"")</f>
        <v/>
      </c>
      <c r="G146" s="63">
        <f>IFERROR(INDEX('السلف'!$G$3:$G$502,140),"")</f>
        <v/>
      </c>
      <c r="H146" s="63">
        <f>IFERROR(INDEX('السلف'!$H$3:$H$502,140),"")</f>
        <v/>
      </c>
      <c r="I146" s="63">
        <f>IFERROR(INDEX('السلف'!$I$3:$I$502,140),"")</f>
        <v/>
      </c>
      <c r="J146" s="119">
        <f>IFERROR(INDEX('السلف'!$J$3:$J$502,140),"")</f>
        <v/>
      </c>
      <c r="K146" s="50">
        <f>IFERROR(INDEX('السلف'!$K$3:$K$502,140),"")</f>
        <v/>
      </c>
    </row>
    <row r="147">
      <c r="A147" s="43">
        <f>IFERROR(INDEX('السلف'!$A$3:$A$502,141),"")</f>
        <v/>
      </c>
      <c r="B147" s="43">
        <f>IFERROR(INDEX('السلف'!$B$3:$B$502,141),"")</f>
        <v/>
      </c>
      <c r="C147" s="43">
        <f>IFERROR(INDEX('السلف'!$C$3:$C$502,141),"")</f>
        <v/>
      </c>
      <c r="D147" s="118">
        <f>IFERROR(INDEX('السلف'!$D$3:$D$502,141),"")</f>
        <v/>
      </c>
      <c r="E147" s="60">
        <f>IFERROR(INDEX('السلف'!$E$3:$E$502,141),"")</f>
        <v/>
      </c>
      <c r="F147" s="43">
        <f>IFERROR(INDEX('السلف'!$F$3:$F$502,141),"")</f>
        <v/>
      </c>
      <c r="G147" s="60">
        <f>IFERROR(INDEX('السلف'!$G$3:$G$502,141),"")</f>
        <v/>
      </c>
      <c r="H147" s="60">
        <f>IFERROR(INDEX('السلف'!$H$3:$H$502,141),"")</f>
        <v/>
      </c>
      <c r="I147" s="60">
        <f>IFERROR(INDEX('السلف'!$I$3:$I$502,141),"")</f>
        <v/>
      </c>
      <c r="J147" s="118">
        <f>IFERROR(INDEX('السلف'!$J$3:$J$502,141),"")</f>
        <v/>
      </c>
      <c r="K147" s="43">
        <f>IFERROR(INDEX('السلف'!$K$3:$K$502,141),"")</f>
        <v/>
      </c>
    </row>
    <row r="148">
      <c r="A148" s="50">
        <f>IFERROR(INDEX('السلف'!$A$3:$A$502,142),"")</f>
        <v/>
      </c>
      <c r="B148" s="50">
        <f>IFERROR(INDEX('السلف'!$B$3:$B$502,142),"")</f>
        <v/>
      </c>
      <c r="C148" s="50">
        <f>IFERROR(INDEX('السلف'!$C$3:$C$502,142),"")</f>
        <v/>
      </c>
      <c r="D148" s="119">
        <f>IFERROR(INDEX('السلف'!$D$3:$D$502,142),"")</f>
        <v/>
      </c>
      <c r="E148" s="63">
        <f>IFERROR(INDEX('السلف'!$E$3:$E$502,142),"")</f>
        <v/>
      </c>
      <c r="F148" s="50">
        <f>IFERROR(INDEX('السلف'!$F$3:$F$502,142),"")</f>
        <v/>
      </c>
      <c r="G148" s="63">
        <f>IFERROR(INDEX('السلف'!$G$3:$G$502,142),"")</f>
        <v/>
      </c>
      <c r="H148" s="63">
        <f>IFERROR(INDEX('السلف'!$H$3:$H$502,142),"")</f>
        <v/>
      </c>
      <c r="I148" s="63">
        <f>IFERROR(INDEX('السلف'!$I$3:$I$502,142),"")</f>
        <v/>
      </c>
      <c r="J148" s="119">
        <f>IFERROR(INDEX('السلف'!$J$3:$J$502,142),"")</f>
        <v/>
      </c>
      <c r="K148" s="50">
        <f>IFERROR(INDEX('السلف'!$K$3:$K$502,142),"")</f>
        <v/>
      </c>
    </row>
    <row r="149">
      <c r="A149" s="43">
        <f>IFERROR(INDEX('السلف'!$A$3:$A$502,143),"")</f>
        <v/>
      </c>
      <c r="B149" s="43">
        <f>IFERROR(INDEX('السلف'!$B$3:$B$502,143),"")</f>
        <v/>
      </c>
      <c r="C149" s="43">
        <f>IFERROR(INDEX('السلف'!$C$3:$C$502,143),"")</f>
        <v/>
      </c>
      <c r="D149" s="118">
        <f>IFERROR(INDEX('السلف'!$D$3:$D$502,143),"")</f>
        <v/>
      </c>
      <c r="E149" s="60">
        <f>IFERROR(INDEX('السلف'!$E$3:$E$502,143),"")</f>
        <v/>
      </c>
      <c r="F149" s="43">
        <f>IFERROR(INDEX('السلف'!$F$3:$F$502,143),"")</f>
        <v/>
      </c>
      <c r="G149" s="60">
        <f>IFERROR(INDEX('السلف'!$G$3:$G$502,143),"")</f>
        <v/>
      </c>
      <c r="H149" s="60">
        <f>IFERROR(INDEX('السلف'!$H$3:$H$502,143),"")</f>
        <v/>
      </c>
      <c r="I149" s="60">
        <f>IFERROR(INDEX('السلف'!$I$3:$I$502,143),"")</f>
        <v/>
      </c>
      <c r="J149" s="118">
        <f>IFERROR(INDEX('السلف'!$J$3:$J$502,143),"")</f>
        <v/>
      </c>
      <c r="K149" s="43">
        <f>IFERROR(INDEX('السلف'!$K$3:$K$502,143),"")</f>
        <v/>
      </c>
    </row>
    <row r="150">
      <c r="A150" s="50">
        <f>IFERROR(INDEX('السلف'!$A$3:$A$502,144),"")</f>
        <v/>
      </c>
      <c r="B150" s="50">
        <f>IFERROR(INDEX('السلف'!$B$3:$B$502,144),"")</f>
        <v/>
      </c>
      <c r="C150" s="50">
        <f>IFERROR(INDEX('السلف'!$C$3:$C$502,144),"")</f>
        <v/>
      </c>
      <c r="D150" s="119">
        <f>IFERROR(INDEX('السلف'!$D$3:$D$502,144),"")</f>
        <v/>
      </c>
      <c r="E150" s="63">
        <f>IFERROR(INDEX('السلف'!$E$3:$E$502,144),"")</f>
        <v/>
      </c>
      <c r="F150" s="50">
        <f>IFERROR(INDEX('السلف'!$F$3:$F$502,144),"")</f>
        <v/>
      </c>
      <c r="G150" s="63">
        <f>IFERROR(INDEX('السلف'!$G$3:$G$502,144),"")</f>
        <v/>
      </c>
      <c r="H150" s="63">
        <f>IFERROR(INDEX('السلف'!$H$3:$H$502,144),"")</f>
        <v/>
      </c>
      <c r="I150" s="63">
        <f>IFERROR(INDEX('السلف'!$I$3:$I$502,144),"")</f>
        <v/>
      </c>
      <c r="J150" s="119">
        <f>IFERROR(INDEX('السلف'!$J$3:$J$502,144),"")</f>
        <v/>
      </c>
      <c r="K150" s="50">
        <f>IFERROR(INDEX('السلف'!$K$3:$K$502,144),"")</f>
        <v/>
      </c>
    </row>
    <row r="151">
      <c r="A151" s="43">
        <f>IFERROR(INDEX('السلف'!$A$3:$A$502,145),"")</f>
        <v/>
      </c>
      <c r="B151" s="43">
        <f>IFERROR(INDEX('السلف'!$B$3:$B$502,145),"")</f>
        <v/>
      </c>
      <c r="C151" s="43">
        <f>IFERROR(INDEX('السلف'!$C$3:$C$502,145),"")</f>
        <v/>
      </c>
      <c r="D151" s="118">
        <f>IFERROR(INDEX('السلف'!$D$3:$D$502,145),"")</f>
        <v/>
      </c>
      <c r="E151" s="60">
        <f>IFERROR(INDEX('السلف'!$E$3:$E$502,145),"")</f>
        <v/>
      </c>
      <c r="F151" s="43">
        <f>IFERROR(INDEX('السلف'!$F$3:$F$502,145),"")</f>
        <v/>
      </c>
      <c r="G151" s="60">
        <f>IFERROR(INDEX('السلف'!$G$3:$G$502,145),"")</f>
        <v/>
      </c>
      <c r="H151" s="60">
        <f>IFERROR(INDEX('السلف'!$H$3:$H$502,145),"")</f>
        <v/>
      </c>
      <c r="I151" s="60">
        <f>IFERROR(INDEX('السلف'!$I$3:$I$502,145),"")</f>
        <v/>
      </c>
      <c r="J151" s="118">
        <f>IFERROR(INDEX('السلف'!$J$3:$J$502,145),"")</f>
        <v/>
      </c>
      <c r="K151" s="43">
        <f>IFERROR(INDEX('السلف'!$K$3:$K$502,145),"")</f>
        <v/>
      </c>
    </row>
    <row r="152">
      <c r="A152" s="50">
        <f>IFERROR(INDEX('السلف'!$A$3:$A$502,146),"")</f>
        <v/>
      </c>
      <c r="B152" s="50">
        <f>IFERROR(INDEX('السلف'!$B$3:$B$502,146),"")</f>
        <v/>
      </c>
      <c r="C152" s="50">
        <f>IFERROR(INDEX('السلف'!$C$3:$C$502,146),"")</f>
        <v/>
      </c>
      <c r="D152" s="119">
        <f>IFERROR(INDEX('السلف'!$D$3:$D$502,146),"")</f>
        <v/>
      </c>
      <c r="E152" s="63">
        <f>IFERROR(INDEX('السلف'!$E$3:$E$502,146),"")</f>
        <v/>
      </c>
      <c r="F152" s="50">
        <f>IFERROR(INDEX('السلف'!$F$3:$F$502,146),"")</f>
        <v/>
      </c>
      <c r="G152" s="63">
        <f>IFERROR(INDEX('السلف'!$G$3:$G$502,146),"")</f>
        <v/>
      </c>
      <c r="H152" s="63">
        <f>IFERROR(INDEX('السلف'!$H$3:$H$502,146),"")</f>
        <v/>
      </c>
      <c r="I152" s="63">
        <f>IFERROR(INDEX('السلف'!$I$3:$I$502,146),"")</f>
        <v/>
      </c>
      <c r="J152" s="119">
        <f>IFERROR(INDEX('السلف'!$J$3:$J$502,146),"")</f>
        <v/>
      </c>
      <c r="K152" s="50">
        <f>IFERROR(INDEX('السلف'!$K$3:$K$502,146),"")</f>
        <v/>
      </c>
    </row>
    <row r="153">
      <c r="A153" s="43">
        <f>IFERROR(INDEX('السلف'!$A$3:$A$502,147),"")</f>
        <v/>
      </c>
      <c r="B153" s="43">
        <f>IFERROR(INDEX('السلف'!$B$3:$B$502,147),"")</f>
        <v/>
      </c>
      <c r="C153" s="43">
        <f>IFERROR(INDEX('السلف'!$C$3:$C$502,147),"")</f>
        <v/>
      </c>
      <c r="D153" s="118">
        <f>IFERROR(INDEX('السلف'!$D$3:$D$502,147),"")</f>
        <v/>
      </c>
      <c r="E153" s="60">
        <f>IFERROR(INDEX('السلف'!$E$3:$E$502,147),"")</f>
        <v/>
      </c>
      <c r="F153" s="43">
        <f>IFERROR(INDEX('السلف'!$F$3:$F$502,147),"")</f>
        <v/>
      </c>
      <c r="G153" s="60">
        <f>IFERROR(INDEX('السلف'!$G$3:$G$502,147),"")</f>
        <v/>
      </c>
      <c r="H153" s="60">
        <f>IFERROR(INDEX('السلف'!$H$3:$H$502,147),"")</f>
        <v/>
      </c>
      <c r="I153" s="60">
        <f>IFERROR(INDEX('السلف'!$I$3:$I$502,147),"")</f>
        <v/>
      </c>
      <c r="J153" s="118">
        <f>IFERROR(INDEX('السلف'!$J$3:$J$502,147),"")</f>
        <v/>
      </c>
      <c r="K153" s="43">
        <f>IFERROR(INDEX('السلف'!$K$3:$K$502,147),"")</f>
        <v/>
      </c>
    </row>
    <row r="154">
      <c r="A154" s="50">
        <f>IFERROR(INDEX('السلف'!$A$3:$A$502,148),"")</f>
        <v/>
      </c>
      <c r="B154" s="50">
        <f>IFERROR(INDEX('السلف'!$B$3:$B$502,148),"")</f>
        <v/>
      </c>
      <c r="C154" s="50">
        <f>IFERROR(INDEX('السلف'!$C$3:$C$502,148),"")</f>
        <v/>
      </c>
      <c r="D154" s="119">
        <f>IFERROR(INDEX('السلف'!$D$3:$D$502,148),"")</f>
        <v/>
      </c>
      <c r="E154" s="63">
        <f>IFERROR(INDEX('السلف'!$E$3:$E$502,148),"")</f>
        <v/>
      </c>
      <c r="F154" s="50">
        <f>IFERROR(INDEX('السلف'!$F$3:$F$502,148),"")</f>
        <v/>
      </c>
      <c r="G154" s="63">
        <f>IFERROR(INDEX('السلف'!$G$3:$G$502,148),"")</f>
        <v/>
      </c>
      <c r="H154" s="63">
        <f>IFERROR(INDEX('السلف'!$H$3:$H$502,148),"")</f>
        <v/>
      </c>
      <c r="I154" s="63">
        <f>IFERROR(INDEX('السلف'!$I$3:$I$502,148),"")</f>
        <v/>
      </c>
      <c r="J154" s="119">
        <f>IFERROR(INDEX('السلف'!$J$3:$J$502,148),"")</f>
        <v/>
      </c>
      <c r="K154" s="50">
        <f>IFERROR(INDEX('السلف'!$K$3:$K$502,148),"")</f>
        <v/>
      </c>
    </row>
    <row r="155">
      <c r="A155" s="43">
        <f>IFERROR(INDEX('السلف'!$A$3:$A$502,149),"")</f>
        <v/>
      </c>
      <c r="B155" s="43">
        <f>IFERROR(INDEX('السلف'!$B$3:$B$502,149),"")</f>
        <v/>
      </c>
      <c r="C155" s="43">
        <f>IFERROR(INDEX('السلف'!$C$3:$C$502,149),"")</f>
        <v/>
      </c>
      <c r="D155" s="118">
        <f>IFERROR(INDEX('السلف'!$D$3:$D$502,149),"")</f>
        <v/>
      </c>
      <c r="E155" s="60">
        <f>IFERROR(INDEX('السلف'!$E$3:$E$502,149),"")</f>
        <v/>
      </c>
      <c r="F155" s="43">
        <f>IFERROR(INDEX('السلف'!$F$3:$F$502,149),"")</f>
        <v/>
      </c>
      <c r="G155" s="60">
        <f>IFERROR(INDEX('السلف'!$G$3:$G$502,149),"")</f>
        <v/>
      </c>
      <c r="H155" s="60">
        <f>IFERROR(INDEX('السلف'!$H$3:$H$502,149),"")</f>
        <v/>
      </c>
      <c r="I155" s="60">
        <f>IFERROR(INDEX('السلف'!$I$3:$I$502,149),"")</f>
        <v/>
      </c>
      <c r="J155" s="118">
        <f>IFERROR(INDEX('السلف'!$J$3:$J$502,149),"")</f>
        <v/>
      </c>
      <c r="K155" s="43">
        <f>IFERROR(INDEX('السلف'!$K$3:$K$502,149),"")</f>
        <v/>
      </c>
    </row>
    <row r="156">
      <c r="A156" s="50">
        <f>IFERROR(INDEX('السلف'!$A$3:$A$502,150),"")</f>
        <v/>
      </c>
      <c r="B156" s="50">
        <f>IFERROR(INDEX('السلف'!$B$3:$B$502,150),"")</f>
        <v/>
      </c>
      <c r="C156" s="50">
        <f>IFERROR(INDEX('السلف'!$C$3:$C$502,150),"")</f>
        <v/>
      </c>
      <c r="D156" s="119">
        <f>IFERROR(INDEX('السلف'!$D$3:$D$502,150),"")</f>
        <v/>
      </c>
      <c r="E156" s="63">
        <f>IFERROR(INDEX('السلف'!$E$3:$E$502,150),"")</f>
        <v/>
      </c>
      <c r="F156" s="50">
        <f>IFERROR(INDEX('السلف'!$F$3:$F$502,150),"")</f>
        <v/>
      </c>
      <c r="G156" s="63">
        <f>IFERROR(INDEX('السلف'!$G$3:$G$502,150),"")</f>
        <v/>
      </c>
      <c r="H156" s="63">
        <f>IFERROR(INDEX('السلف'!$H$3:$H$502,150),"")</f>
        <v/>
      </c>
      <c r="I156" s="63">
        <f>IFERROR(INDEX('السلف'!$I$3:$I$502,150),"")</f>
        <v/>
      </c>
      <c r="J156" s="119">
        <f>IFERROR(INDEX('السلف'!$J$3:$J$502,150),"")</f>
        <v/>
      </c>
      <c r="K156" s="50">
        <f>IFERROR(INDEX('السلف'!$K$3:$K$502,150),"")</f>
        <v/>
      </c>
    </row>
    <row r="157">
      <c r="A157" s="43">
        <f>IFERROR(INDEX('السلف'!$A$3:$A$502,151),"")</f>
        <v/>
      </c>
      <c r="B157" s="43">
        <f>IFERROR(INDEX('السلف'!$B$3:$B$502,151),"")</f>
        <v/>
      </c>
      <c r="C157" s="43">
        <f>IFERROR(INDEX('السلف'!$C$3:$C$502,151),"")</f>
        <v/>
      </c>
      <c r="D157" s="118">
        <f>IFERROR(INDEX('السلف'!$D$3:$D$502,151),"")</f>
        <v/>
      </c>
      <c r="E157" s="60">
        <f>IFERROR(INDEX('السلف'!$E$3:$E$502,151),"")</f>
        <v/>
      </c>
      <c r="F157" s="43">
        <f>IFERROR(INDEX('السلف'!$F$3:$F$502,151),"")</f>
        <v/>
      </c>
      <c r="G157" s="60">
        <f>IFERROR(INDEX('السلف'!$G$3:$G$502,151),"")</f>
        <v/>
      </c>
      <c r="H157" s="60">
        <f>IFERROR(INDEX('السلف'!$H$3:$H$502,151),"")</f>
        <v/>
      </c>
      <c r="I157" s="60">
        <f>IFERROR(INDEX('السلف'!$I$3:$I$502,151),"")</f>
        <v/>
      </c>
      <c r="J157" s="118">
        <f>IFERROR(INDEX('السلف'!$J$3:$J$502,151),"")</f>
        <v/>
      </c>
      <c r="K157" s="43">
        <f>IFERROR(INDEX('السلف'!$K$3:$K$502,151),"")</f>
        <v/>
      </c>
    </row>
    <row r="158">
      <c r="A158" s="50">
        <f>IFERROR(INDEX('السلف'!$A$3:$A$502,152),"")</f>
        <v/>
      </c>
      <c r="B158" s="50">
        <f>IFERROR(INDEX('السلف'!$B$3:$B$502,152),"")</f>
        <v/>
      </c>
      <c r="C158" s="50">
        <f>IFERROR(INDEX('السلف'!$C$3:$C$502,152),"")</f>
        <v/>
      </c>
      <c r="D158" s="119">
        <f>IFERROR(INDEX('السلف'!$D$3:$D$502,152),"")</f>
        <v/>
      </c>
      <c r="E158" s="63">
        <f>IFERROR(INDEX('السلف'!$E$3:$E$502,152),"")</f>
        <v/>
      </c>
      <c r="F158" s="50">
        <f>IFERROR(INDEX('السلف'!$F$3:$F$502,152),"")</f>
        <v/>
      </c>
      <c r="G158" s="63">
        <f>IFERROR(INDEX('السلف'!$G$3:$G$502,152),"")</f>
        <v/>
      </c>
      <c r="H158" s="63">
        <f>IFERROR(INDEX('السلف'!$H$3:$H$502,152),"")</f>
        <v/>
      </c>
      <c r="I158" s="63">
        <f>IFERROR(INDEX('السلف'!$I$3:$I$502,152),"")</f>
        <v/>
      </c>
      <c r="J158" s="119">
        <f>IFERROR(INDEX('السلف'!$J$3:$J$502,152),"")</f>
        <v/>
      </c>
      <c r="K158" s="50">
        <f>IFERROR(INDEX('السلف'!$K$3:$K$502,152),"")</f>
        <v/>
      </c>
    </row>
    <row r="159">
      <c r="A159" s="43">
        <f>IFERROR(INDEX('السلف'!$A$3:$A$502,153),"")</f>
        <v/>
      </c>
      <c r="B159" s="43">
        <f>IFERROR(INDEX('السلف'!$B$3:$B$502,153),"")</f>
        <v/>
      </c>
      <c r="C159" s="43">
        <f>IFERROR(INDEX('السلف'!$C$3:$C$502,153),"")</f>
        <v/>
      </c>
      <c r="D159" s="118">
        <f>IFERROR(INDEX('السلف'!$D$3:$D$502,153),"")</f>
        <v/>
      </c>
      <c r="E159" s="60">
        <f>IFERROR(INDEX('السلف'!$E$3:$E$502,153),"")</f>
        <v/>
      </c>
      <c r="F159" s="43">
        <f>IFERROR(INDEX('السلف'!$F$3:$F$502,153),"")</f>
        <v/>
      </c>
      <c r="G159" s="60">
        <f>IFERROR(INDEX('السلف'!$G$3:$G$502,153),"")</f>
        <v/>
      </c>
      <c r="H159" s="60">
        <f>IFERROR(INDEX('السلف'!$H$3:$H$502,153),"")</f>
        <v/>
      </c>
      <c r="I159" s="60">
        <f>IFERROR(INDEX('السلف'!$I$3:$I$502,153),"")</f>
        <v/>
      </c>
      <c r="J159" s="118">
        <f>IFERROR(INDEX('السلف'!$J$3:$J$502,153),"")</f>
        <v/>
      </c>
      <c r="K159" s="43">
        <f>IFERROR(INDEX('السلف'!$K$3:$K$502,153),"")</f>
        <v/>
      </c>
    </row>
    <row r="160">
      <c r="A160" s="50">
        <f>IFERROR(INDEX('السلف'!$A$3:$A$502,154),"")</f>
        <v/>
      </c>
      <c r="B160" s="50">
        <f>IFERROR(INDEX('السلف'!$B$3:$B$502,154),"")</f>
        <v/>
      </c>
      <c r="C160" s="50">
        <f>IFERROR(INDEX('السلف'!$C$3:$C$502,154),"")</f>
        <v/>
      </c>
      <c r="D160" s="119">
        <f>IFERROR(INDEX('السلف'!$D$3:$D$502,154),"")</f>
        <v/>
      </c>
      <c r="E160" s="63">
        <f>IFERROR(INDEX('السلف'!$E$3:$E$502,154),"")</f>
        <v/>
      </c>
      <c r="F160" s="50">
        <f>IFERROR(INDEX('السلف'!$F$3:$F$502,154),"")</f>
        <v/>
      </c>
      <c r="G160" s="63">
        <f>IFERROR(INDEX('السلف'!$G$3:$G$502,154),"")</f>
        <v/>
      </c>
      <c r="H160" s="63">
        <f>IFERROR(INDEX('السلف'!$H$3:$H$502,154),"")</f>
        <v/>
      </c>
      <c r="I160" s="63">
        <f>IFERROR(INDEX('السلف'!$I$3:$I$502,154),"")</f>
        <v/>
      </c>
      <c r="J160" s="119">
        <f>IFERROR(INDEX('السلف'!$J$3:$J$502,154),"")</f>
        <v/>
      </c>
      <c r="K160" s="50">
        <f>IFERROR(INDEX('السلف'!$K$3:$K$502,154),"")</f>
        <v/>
      </c>
    </row>
    <row r="161">
      <c r="A161" s="43">
        <f>IFERROR(INDEX('السلف'!$A$3:$A$502,155),"")</f>
        <v/>
      </c>
      <c r="B161" s="43">
        <f>IFERROR(INDEX('السلف'!$B$3:$B$502,155),"")</f>
        <v/>
      </c>
      <c r="C161" s="43">
        <f>IFERROR(INDEX('السلف'!$C$3:$C$502,155),"")</f>
        <v/>
      </c>
      <c r="D161" s="118">
        <f>IFERROR(INDEX('السلف'!$D$3:$D$502,155),"")</f>
        <v/>
      </c>
      <c r="E161" s="60">
        <f>IFERROR(INDEX('السلف'!$E$3:$E$502,155),"")</f>
        <v/>
      </c>
      <c r="F161" s="43">
        <f>IFERROR(INDEX('السلف'!$F$3:$F$502,155),"")</f>
        <v/>
      </c>
      <c r="G161" s="60">
        <f>IFERROR(INDEX('السلف'!$G$3:$G$502,155),"")</f>
        <v/>
      </c>
      <c r="H161" s="60">
        <f>IFERROR(INDEX('السلف'!$H$3:$H$502,155),"")</f>
        <v/>
      </c>
      <c r="I161" s="60">
        <f>IFERROR(INDEX('السلف'!$I$3:$I$502,155),"")</f>
        <v/>
      </c>
      <c r="J161" s="118">
        <f>IFERROR(INDEX('السلف'!$J$3:$J$502,155),"")</f>
        <v/>
      </c>
      <c r="K161" s="43">
        <f>IFERROR(INDEX('السلف'!$K$3:$K$502,155),"")</f>
        <v/>
      </c>
    </row>
    <row r="162">
      <c r="A162" s="50">
        <f>IFERROR(INDEX('السلف'!$A$3:$A$502,156),"")</f>
        <v/>
      </c>
      <c r="B162" s="50">
        <f>IFERROR(INDEX('السلف'!$B$3:$B$502,156),"")</f>
        <v/>
      </c>
      <c r="C162" s="50">
        <f>IFERROR(INDEX('السلف'!$C$3:$C$502,156),"")</f>
        <v/>
      </c>
      <c r="D162" s="119">
        <f>IFERROR(INDEX('السلف'!$D$3:$D$502,156),"")</f>
        <v/>
      </c>
      <c r="E162" s="63">
        <f>IFERROR(INDEX('السلف'!$E$3:$E$502,156),"")</f>
        <v/>
      </c>
      <c r="F162" s="50">
        <f>IFERROR(INDEX('السلف'!$F$3:$F$502,156),"")</f>
        <v/>
      </c>
      <c r="G162" s="63">
        <f>IFERROR(INDEX('السلف'!$G$3:$G$502,156),"")</f>
        <v/>
      </c>
      <c r="H162" s="63">
        <f>IFERROR(INDEX('السلف'!$H$3:$H$502,156),"")</f>
        <v/>
      </c>
      <c r="I162" s="63">
        <f>IFERROR(INDEX('السلف'!$I$3:$I$502,156),"")</f>
        <v/>
      </c>
      <c r="J162" s="119">
        <f>IFERROR(INDEX('السلف'!$J$3:$J$502,156),"")</f>
        <v/>
      </c>
      <c r="K162" s="50">
        <f>IFERROR(INDEX('السلف'!$K$3:$K$502,156),"")</f>
        <v/>
      </c>
    </row>
    <row r="163">
      <c r="A163" s="43">
        <f>IFERROR(INDEX('السلف'!$A$3:$A$502,157),"")</f>
        <v/>
      </c>
      <c r="B163" s="43">
        <f>IFERROR(INDEX('السلف'!$B$3:$B$502,157),"")</f>
        <v/>
      </c>
      <c r="C163" s="43">
        <f>IFERROR(INDEX('السلف'!$C$3:$C$502,157),"")</f>
        <v/>
      </c>
      <c r="D163" s="118">
        <f>IFERROR(INDEX('السلف'!$D$3:$D$502,157),"")</f>
        <v/>
      </c>
      <c r="E163" s="60">
        <f>IFERROR(INDEX('السلف'!$E$3:$E$502,157),"")</f>
        <v/>
      </c>
      <c r="F163" s="43">
        <f>IFERROR(INDEX('السلف'!$F$3:$F$502,157),"")</f>
        <v/>
      </c>
      <c r="G163" s="60">
        <f>IFERROR(INDEX('السلف'!$G$3:$G$502,157),"")</f>
        <v/>
      </c>
      <c r="H163" s="60">
        <f>IFERROR(INDEX('السلف'!$H$3:$H$502,157),"")</f>
        <v/>
      </c>
      <c r="I163" s="60">
        <f>IFERROR(INDEX('السلف'!$I$3:$I$502,157),"")</f>
        <v/>
      </c>
      <c r="J163" s="118">
        <f>IFERROR(INDEX('السلف'!$J$3:$J$502,157),"")</f>
        <v/>
      </c>
      <c r="K163" s="43">
        <f>IFERROR(INDEX('السلف'!$K$3:$K$502,157),"")</f>
        <v/>
      </c>
    </row>
    <row r="164">
      <c r="A164" s="50">
        <f>IFERROR(INDEX('السلف'!$A$3:$A$502,158),"")</f>
        <v/>
      </c>
      <c r="B164" s="50">
        <f>IFERROR(INDEX('السلف'!$B$3:$B$502,158),"")</f>
        <v/>
      </c>
      <c r="C164" s="50">
        <f>IFERROR(INDEX('السلف'!$C$3:$C$502,158),"")</f>
        <v/>
      </c>
      <c r="D164" s="119">
        <f>IFERROR(INDEX('السلف'!$D$3:$D$502,158),"")</f>
        <v/>
      </c>
      <c r="E164" s="63">
        <f>IFERROR(INDEX('السلف'!$E$3:$E$502,158),"")</f>
        <v/>
      </c>
      <c r="F164" s="50">
        <f>IFERROR(INDEX('السلف'!$F$3:$F$502,158),"")</f>
        <v/>
      </c>
      <c r="G164" s="63">
        <f>IFERROR(INDEX('السلف'!$G$3:$G$502,158),"")</f>
        <v/>
      </c>
      <c r="H164" s="63">
        <f>IFERROR(INDEX('السلف'!$H$3:$H$502,158),"")</f>
        <v/>
      </c>
      <c r="I164" s="63">
        <f>IFERROR(INDEX('السلف'!$I$3:$I$502,158),"")</f>
        <v/>
      </c>
      <c r="J164" s="119">
        <f>IFERROR(INDEX('السلف'!$J$3:$J$502,158),"")</f>
        <v/>
      </c>
      <c r="K164" s="50">
        <f>IFERROR(INDEX('السلف'!$K$3:$K$502,158),"")</f>
        <v/>
      </c>
    </row>
    <row r="165">
      <c r="A165" s="43">
        <f>IFERROR(INDEX('السلف'!$A$3:$A$502,159),"")</f>
        <v/>
      </c>
      <c r="B165" s="43">
        <f>IFERROR(INDEX('السلف'!$B$3:$B$502,159),"")</f>
        <v/>
      </c>
      <c r="C165" s="43">
        <f>IFERROR(INDEX('السلف'!$C$3:$C$502,159),"")</f>
        <v/>
      </c>
      <c r="D165" s="118">
        <f>IFERROR(INDEX('السلف'!$D$3:$D$502,159),"")</f>
        <v/>
      </c>
      <c r="E165" s="60">
        <f>IFERROR(INDEX('السلف'!$E$3:$E$502,159),"")</f>
        <v/>
      </c>
      <c r="F165" s="43">
        <f>IFERROR(INDEX('السلف'!$F$3:$F$502,159),"")</f>
        <v/>
      </c>
      <c r="G165" s="60">
        <f>IFERROR(INDEX('السلف'!$G$3:$G$502,159),"")</f>
        <v/>
      </c>
      <c r="H165" s="60">
        <f>IFERROR(INDEX('السلف'!$H$3:$H$502,159),"")</f>
        <v/>
      </c>
      <c r="I165" s="60">
        <f>IFERROR(INDEX('السلف'!$I$3:$I$502,159),"")</f>
        <v/>
      </c>
      <c r="J165" s="118">
        <f>IFERROR(INDEX('السلف'!$J$3:$J$502,159),"")</f>
        <v/>
      </c>
      <c r="K165" s="43">
        <f>IFERROR(INDEX('السلف'!$K$3:$K$502,159),"")</f>
        <v/>
      </c>
    </row>
    <row r="166">
      <c r="A166" s="50">
        <f>IFERROR(INDEX('السلف'!$A$3:$A$502,160),"")</f>
        <v/>
      </c>
      <c r="B166" s="50">
        <f>IFERROR(INDEX('السلف'!$B$3:$B$502,160),"")</f>
        <v/>
      </c>
      <c r="C166" s="50">
        <f>IFERROR(INDEX('السلف'!$C$3:$C$502,160),"")</f>
        <v/>
      </c>
      <c r="D166" s="119">
        <f>IFERROR(INDEX('السلف'!$D$3:$D$502,160),"")</f>
        <v/>
      </c>
      <c r="E166" s="63">
        <f>IFERROR(INDEX('السلف'!$E$3:$E$502,160),"")</f>
        <v/>
      </c>
      <c r="F166" s="50">
        <f>IFERROR(INDEX('السلف'!$F$3:$F$502,160),"")</f>
        <v/>
      </c>
      <c r="G166" s="63">
        <f>IFERROR(INDEX('السلف'!$G$3:$G$502,160),"")</f>
        <v/>
      </c>
      <c r="H166" s="63">
        <f>IFERROR(INDEX('السلف'!$H$3:$H$502,160),"")</f>
        <v/>
      </c>
      <c r="I166" s="63">
        <f>IFERROR(INDEX('السلف'!$I$3:$I$502,160),"")</f>
        <v/>
      </c>
      <c r="J166" s="119">
        <f>IFERROR(INDEX('السلف'!$J$3:$J$502,160),"")</f>
        <v/>
      </c>
      <c r="K166" s="50">
        <f>IFERROR(INDEX('السلف'!$K$3:$K$502,160),"")</f>
        <v/>
      </c>
    </row>
    <row r="167">
      <c r="A167" s="43">
        <f>IFERROR(INDEX('السلف'!$A$3:$A$502,161),"")</f>
        <v/>
      </c>
      <c r="B167" s="43">
        <f>IFERROR(INDEX('السلف'!$B$3:$B$502,161),"")</f>
        <v/>
      </c>
      <c r="C167" s="43">
        <f>IFERROR(INDEX('السلف'!$C$3:$C$502,161),"")</f>
        <v/>
      </c>
      <c r="D167" s="118">
        <f>IFERROR(INDEX('السلف'!$D$3:$D$502,161),"")</f>
        <v/>
      </c>
      <c r="E167" s="60">
        <f>IFERROR(INDEX('السلف'!$E$3:$E$502,161),"")</f>
        <v/>
      </c>
      <c r="F167" s="43">
        <f>IFERROR(INDEX('السلف'!$F$3:$F$502,161),"")</f>
        <v/>
      </c>
      <c r="G167" s="60">
        <f>IFERROR(INDEX('السلف'!$G$3:$G$502,161),"")</f>
        <v/>
      </c>
      <c r="H167" s="60">
        <f>IFERROR(INDEX('السلف'!$H$3:$H$502,161),"")</f>
        <v/>
      </c>
      <c r="I167" s="60">
        <f>IFERROR(INDEX('السلف'!$I$3:$I$502,161),"")</f>
        <v/>
      </c>
      <c r="J167" s="118">
        <f>IFERROR(INDEX('السلف'!$J$3:$J$502,161),"")</f>
        <v/>
      </c>
      <c r="K167" s="43">
        <f>IFERROR(INDEX('السلف'!$K$3:$K$502,161),"")</f>
        <v/>
      </c>
    </row>
    <row r="168">
      <c r="A168" s="50">
        <f>IFERROR(INDEX('السلف'!$A$3:$A$502,162),"")</f>
        <v/>
      </c>
      <c r="B168" s="50">
        <f>IFERROR(INDEX('السلف'!$B$3:$B$502,162),"")</f>
        <v/>
      </c>
      <c r="C168" s="50">
        <f>IFERROR(INDEX('السلف'!$C$3:$C$502,162),"")</f>
        <v/>
      </c>
      <c r="D168" s="119">
        <f>IFERROR(INDEX('السلف'!$D$3:$D$502,162),"")</f>
        <v/>
      </c>
      <c r="E168" s="63">
        <f>IFERROR(INDEX('السلف'!$E$3:$E$502,162),"")</f>
        <v/>
      </c>
      <c r="F168" s="50">
        <f>IFERROR(INDEX('السلف'!$F$3:$F$502,162),"")</f>
        <v/>
      </c>
      <c r="G168" s="63">
        <f>IFERROR(INDEX('السلف'!$G$3:$G$502,162),"")</f>
        <v/>
      </c>
      <c r="H168" s="63">
        <f>IFERROR(INDEX('السلف'!$H$3:$H$502,162),"")</f>
        <v/>
      </c>
      <c r="I168" s="63">
        <f>IFERROR(INDEX('السلف'!$I$3:$I$502,162),"")</f>
        <v/>
      </c>
      <c r="J168" s="119">
        <f>IFERROR(INDEX('السلف'!$J$3:$J$502,162),"")</f>
        <v/>
      </c>
      <c r="K168" s="50">
        <f>IFERROR(INDEX('السلف'!$K$3:$K$502,162),"")</f>
        <v/>
      </c>
    </row>
    <row r="169">
      <c r="A169" s="43">
        <f>IFERROR(INDEX('السلف'!$A$3:$A$502,163),"")</f>
        <v/>
      </c>
      <c r="B169" s="43">
        <f>IFERROR(INDEX('السلف'!$B$3:$B$502,163),"")</f>
        <v/>
      </c>
      <c r="C169" s="43">
        <f>IFERROR(INDEX('السلف'!$C$3:$C$502,163),"")</f>
        <v/>
      </c>
      <c r="D169" s="118">
        <f>IFERROR(INDEX('السلف'!$D$3:$D$502,163),"")</f>
        <v/>
      </c>
      <c r="E169" s="60">
        <f>IFERROR(INDEX('السلف'!$E$3:$E$502,163),"")</f>
        <v/>
      </c>
      <c r="F169" s="43">
        <f>IFERROR(INDEX('السلف'!$F$3:$F$502,163),"")</f>
        <v/>
      </c>
      <c r="G169" s="60">
        <f>IFERROR(INDEX('السلف'!$G$3:$G$502,163),"")</f>
        <v/>
      </c>
      <c r="H169" s="60">
        <f>IFERROR(INDEX('السلف'!$H$3:$H$502,163),"")</f>
        <v/>
      </c>
      <c r="I169" s="60">
        <f>IFERROR(INDEX('السلف'!$I$3:$I$502,163),"")</f>
        <v/>
      </c>
      <c r="J169" s="118">
        <f>IFERROR(INDEX('السلف'!$J$3:$J$502,163),"")</f>
        <v/>
      </c>
      <c r="K169" s="43">
        <f>IFERROR(INDEX('السلف'!$K$3:$K$502,163),"")</f>
        <v/>
      </c>
    </row>
    <row r="170">
      <c r="A170" s="50">
        <f>IFERROR(INDEX('السلف'!$A$3:$A$502,164),"")</f>
        <v/>
      </c>
      <c r="B170" s="50">
        <f>IFERROR(INDEX('السلف'!$B$3:$B$502,164),"")</f>
        <v/>
      </c>
      <c r="C170" s="50">
        <f>IFERROR(INDEX('السلف'!$C$3:$C$502,164),"")</f>
        <v/>
      </c>
      <c r="D170" s="119">
        <f>IFERROR(INDEX('السلف'!$D$3:$D$502,164),"")</f>
        <v/>
      </c>
      <c r="E170" s="63">
        <f>IFERROR(INDEX('السلف'!$E$3:$E$502,164),"")</f>
        <v/>
      </c>
      <c r="F170" s="50">
        <f>IFERROR(INDEX('السلف'!$F$3:$F$502,164),"")</f>
        <v/>
      </c>
      <c r="G170" s="63">
        <f>IFERROR(INDEX('السلف'!$G$3:$G$502,164),"")</f>
        <v/>
      </c>
      <c r="H170" s="63">
        <f>IFERROR(INDEX('السلف'!$H$3:$H$502,164),"")</f>
        <v/>
      </c>
      <c r="I170" s="63">
        <f>IFERROR(INDEX('السلف'!$I$3:$I$502,164),"")</f>
        <v/>
      </c>
      <c r="J170" s="119">
        <f>IFERROR(INDEX('السلف'!$J$3:$J$502,164),"")</f>
        <v/>
      </c>
      <c r="K170" s="50">
        <f>IFERROR(INDEX('السلف'!$K$3:$K$502,164),"")</f>
        <v/>
      </c>
    </row>
    <row r="171">
      <c r="A171" s="43">
        <f>IFERROR(INDEX('السلف'!$A$3:$A$502,165),"")</f>
        <v/>
      </c>
      <c r="B171" s="43">
        <f>IFERROR(INDEX('السلف'!$B$3:$B$502,165),"")</f>
        <v/>
      </c>
      <c r="C171" s="43">
        <f>IFERROR(INDEX('السلف'!$C$3:$C$502,165),"")</f>
        <v/>
      </c>
      <c r="D171" s="118">
        <f>IFERROR(INDEX('السلف'!$D$3:$D$502,165),"")</f>
        <v/>
      </c>
      <c r="E171" s="60">
        <f>IFERROR(INDEX('السلف'!$E$3:$E$502,165),"")</f>
        <v/>
      </c>
      <c r="F171" s="43">
        <f>IFERROR(INDEX('السلف'!$F$3:$F$502,165),"")</f>
        <v/>
      </c>
      <c r="G171" s="60">
        <f>IFERROR(INDEX('السلف'!$G$3:$G$502,165),"")</f>
        <v/>
      </c>
      <c r="H171" s="60">
        <f>IFERROR(INDEX('السلف'!$H$3:$H$502,165),"")</f>
        <v/>
      </c>
      <c r="I171" s="60">
        <f>IFERROR(INDEX('السلف'!$I$3:$I$502,165),"")</f>
        <v/>
      </c>
      <c r="J171" s="118">
        <f>IFERROR(INDEX('السلف'!$J$3:$J$502,165),"")</f>
        <v/>
      </c>
      <c r="K171" s="43">
        <f>IFERROR(INDEX('السلف'!$K$3:$K$502,165),"")</f>
        <v/>
      </c>
    </row>
    <row r="172">
      <c r="A172" s="50">
        <f>IFERROR(INDEX('السلف'!$A$3:$A$502,166),"")</f>
        <v/>
      </c>
      <c r="B172" s="50">
        <f>IFERROR(INDEX('السلف'!$B$3:$B$502,166),"")</f>
        <v/>
      </c>
      <c r="C172" s="50">
        <f>IFERROR(INDEX('السلف'!$C$3:$C$502,166),"")</f>
        <v/>
      </c>
      <c r="D172" s="119">
        <f>IFERROR(INDEX('السلف'!$D$3:$D$502,166),"")</f>
        <v/>
      </c>
      <c r="E172" s="63">
        <f>IFERROR(INDEX('السلف'!$E$3:$E$502,166),"")</f>
        <v/>
      </c>
      <c r="F172" s="50">
        <f>IFERROR(INDEX('السلف'!$F$3:$F$502,166),"")</f>
        <v/>
      </c>
      <c r="G172" s="63">
        <f>IFERROR(INDEX('السلف'!$G$3:$G$502,166),"")</f>
        <v/>
      </c>
      <c r="H172" s="63">
        <f>IFERROR(INDEX('السلف'!$H$3:$H$502,166),"")</f>
        <v/>
      </c>
      <c r="I172" s="63">
        <f>IFERROR(INDEX('السلف'!$I$3:$I$502,166),"")</f>
        <v/>
      </c>
      <c r="J172" s="119">
        <f>IFERROR(INDEX('السلف'!$J$3:$J$502,166),"")</f>
        <v/>
      </c>
      <c r="K172" s="50">
        <f>IFERROR(INDEX('السلف'!$K$3:$K$502,166),"")</f>
        <v/>
      </c>
    </row>
    <row r="173">
      <c r="A173" s="43">
        <f>IFERROR(INDEX('السلف'!$A$3:$A$502,167),"")</f>
        <v/>
      </c>
      <c r="B173" s="43">
        <f>IFERROR(INDEX('السلف'!$B$3:$B$502,167),"")</f>
        <v/>
      </c>
      <c r="C173" s="43">
        <f>IFERROR(INDEX('السلف'!$C$3:$C$502,167),"")</f>
        <v/>
      </c>
      <c r="D173" s="118">
        <f>IFERROR(INDEX('السلف'!$D$3:$D$502,167),"")</f>
        <v/>
      </c>
      <c r="E173" s="60">
        <f>IFERROR(INDEX('السلف'!$E$3:$E$502,167),"")</f>
        <v/>
      </c>
      <c r="F173" s="43">
        <f>IFERROR(INDEX('السلف'!$F$3:$F$502,167),"")</f>
        <v/>
      </c>
      <c r="G173" s="60">
        <f>IFERROR(INDEX('السلف'!$G$3:$G$502,167),"")</f>
        <v/>
      </c>
      <c r="H173" s="60">
        <f>IFERROR(INDEX('السلف'!$H$3:$H$502,167),"")</f>
        <v/>
      </c>
      <c r="I173" s="60">
        <f>IFERROR(INDEX('السلف'!$I$3:$I$502,167),"")</f>
        <v/>
      </c>
      <c r="J173" s="118">
        <f>IFERROR(INDEX('السلف'!$J$3:$J$502,167),"")</f>
        <v/>
      </c>
      <c r="K173" s="43">
        <f>IFERROR(INDEX('السلف'!$K$3:$K$502,167),"")</f>
        <v/>
      </c>
    </row>
    <row r="174">
      <c r="A174" s="50">
        <f>IFERROR(INDEX('السلف'!$A$3:$A$502,168),"")</f>
        <v/>
      </c>
      <c r="B174" s="50">
        <f>IFERROR(INDEX('السلف'!$B$3:$B$502,168),"")</f>
        <v/>
      </c>
      <c r="C174" s="50">
        <f>IFERROR(INDEX('السلف'!$C$3:$C$502,168),"")</f>
        <v/>
      </c>
      <c r="D174" s="119">
        <f>IFERROR(INDEX('السلف'!$D$3:$D$502,168),"")</f>
        <v/>
      </c>
      <c r="E174" s="63">
        <f>IFERROR(INDEX('السلف'!$E$3:$E$502,168),"")</f>
        <v/>
      </c>
      <c r="F174" s="50">
        <f>IFERROR(INDEX('السلف'!$F$3:$F$502,168),"")</f>
        <v/>
      </c>
      <c r="G174" s="63">
        <f>IFERROR(INDEX('السلف'!$G$3:$G$502,168),"")</f>
        <v/>
      </c>
      <c r="H174" s="63">
        <f>IFERROR(INDEX('السلف'!$H$3:$H$502,168),"")</f>
        <v/>
      </c>
      <c r="I174" s="63">
        <f>IFERROR(INDEX('السلف'!$I$3:$I$502,168),"")</f>
        <v/>
      </c>
      <c r="J174" s="119">
        <f>IFERROR(INDEX('السلف'!$J$3:$J$502,168),"")</f>
        <v/>
      </c>
      <c r="K174" s="50">
        <f>IFERROR(INDEX('السلف'!$K$3:$K$502,168),"")</f>
        <v/>
      </c>
    </row>
    <row r="175">
      <c r="A175" s="43">
        <f>IFERROR(INDEX('السلف'!$A$3:$A$502,169),"")</f>
        <v/>
      </c>
      <c r="B175" s="43">
        <f>IFERROR(INDEX('السلف'!$B$3:$B$502,169),"")</f>
        <v/>
      </c>
      <c r="C175" s="43">
        <f>IFERROR(INDEX('السلف'!$C$3:$C$502,169),"")</f>
        <v/>
      </c>
      <c r="D175" s="118">
        <f>IFERROR(INDEX('السلف'!$D$3:$D$502,169),"")</f>
        <v/>
      </c>
      <c r="E175" s="60">
        <f>IFERROR(INDEX('السلف'!$E$3:$E$502,169),"")</f>
        <v/>
      </c>
      <c r="F175" s="43">
        <f>IFERROR(INDEX('السلف'!$F$3:$F$502,169),"")</f>
        <v/>
      </c>
      <c r="G175" s="60">
        <f>IFERROR(INDEX('السلف'!$G$3:$G$502,169),"")</f>
        <v/>
      </c>
      <c r="H175" s="60">
        <f>IFERROR(INDEX('السلف'!$H$3:$H$502,169),"")</f>
        <v/>
      </c>
      <c r="I175" s="60">
        <f>IFERROR(INDEX('السلف'!$I$3:$I$502,169),"")</f>
        <v/>
      </c>
      <c r="J175" s="118">
        <f>IFERROR(INDEX('السلف'!$J$3:$J$502,169),"")</f>
        <v/>
      </c>
      <c r="K175" s="43">
        <f>IFERROR(INDEX('السلف'!$K$3:$K$502,169),"")</f>
        <v/>
      </c>
    </row>
    <row r="176">
      <c r="A176" s="50">
        <f>IFERROR(INDEX('السلف'!$A$3:$A$502,170),"")</f>
        <v/>
      </c>
      <c r="B176" s="50">
        <f>IFERROR(INDEX('السلف'!$B$3:$B$502,170),"")</f>
        <v/>
      </c>
      <c r="C176" s="50">
        <f>IFERROR(INDEX('السلف'!$C$3:$C$502,170),"")</f>
        <v/>
      </c>
      <c r="D176" s="119">
        <f>IFERROR(INDEX('السلف'!$D$3:$D$502,170),"")</f>
        <v/>
      </c>
      <c r="E176" s="63">
        <f>IFERROR(INDEX('السلف'!$E$3:$E$502,170),"")</f>
        <v/>
      </c>
      <c r="F176" s="50">
        <f>IFERROR(INDEX('السلف'!$F$3:$F$502,170),"")</f>
        <v/>
      </c>
      <c r="G176" s="63">
        <f>IFERROR(INDEX('السلف'!$G$3:$G$502,170),"")</f>
        <v/>
      </c>
      <c r="H176" s="63">
        <f>IFERROR(INDEX('السلف'!$H$3:$H$502,170),"")</f>
        <v/>
      </c>
      <c r="I176" s="63">
        <f>IFERROR(INDEX('السلف'!$I$3:$I$502,170),"")</f>
        <v/>
      </c>
      <c r="J176" s="119">
        <f>IFERROR(INDEX('السلف'!$J$3:$J$502,170),"")</f>
        <v/>
      </c>
      <c r="K176" s="50">
        <f>IFERROR(INDEX('السلف'!$K$3:$K$502,170),"")</f>
        <v/>
      </c>
    </row>
    <row r="177">
      <c r="A177" s="43">
        <f>IFERROR(INDEX('السلف'!$A$3:$A$502,171),"")</f>
        <v/>
      </c>
      <c r="B177" s="43">
        <f>IFERROR(INDEX('السلف'!$B$3:$B$502,171),"")</f>
        <v/>
      </c>
      <c r="C177" s="43">
        <f>IFERROR(INDEX('السلف'!$C$3:$C$502,171),"")</f>
        <v/>
      </c>
      <c r="D177" s="118">
        <f>IFERROR(INDEX('السلف'!$D$3:$D$502,171),"")</f>
        <v/>
      </c>
      <c r="E177" s="60">
        <f>IFERROR(INDEX('السلف'!$E$3:$E$502,171),"")</f>
        <v/>
      </c>
      <c r="F177" s="43">
        <f>IFERROR(INDEX('السلف'!$F$3:$F$502,171),"")</f>
        <v/>
      </c>
      <c r="G177" s="60">
        <f>IFERROR(INDEX('السلف'!$G$3:$G$502,171),"")</f>
        <v/>
      </c>
      <c r="H177" s="60">
        <f>IFERROR(INDEX('السلف'!$H$3:$H$502,171),"")</f>
        <v/>
      </c>
      <c r="I177" s="60">
        <f>IFERROR(INDEX('السلف'!$I$3:$I$502,171),"")</f>
        <v/>
      </c>
      <c r="J177" s="118">
        <f>IFERROR(INDEX('السلف'!$J$3:$J$502,171),"")</f>
        <v/>
      </c>
      <c r="K177" s="43">
        <f>IFERROR(INDEX('السلف'!$K$3:$K$502,171),"")</f>
        <v/>
      </c>
    </row>
    <row r="178">
      <c r="A178" s="50">
        <f>IFERROR(INDEX('السلف'!$A$3:$A$502,172),"")</f>
        <v/>
      </c>
      <c r="B178" s="50">
        <f>IFERROR(INDEX('السلف'!$B$3:$B$502,172),"")</f>
        <v/>
      </c>
      <c r="C178" s="50">
        <f>IFERROR(INDEX('السلف'!$C$3:$C$502,172),"")</f>
        <v/>
      </c>
      <c r="D178" s="119">
        <f>IFERROR(INDEX('السلف'!$D$3:$D$502,172),"")</f>
        <v/>
      </c>
      <c r="E178" s="63">
        <f>IFERROR(INDEX('السلف'!$E$3:$E$502,172),"")</f>
        <v/>
      </c>
      <c r="F178" s="50">
        <f>IFERROR(INDEX('السلف'!$F$3:$F$502,172),"")</f>
        <v/>
      </c>
      <c r="G178" s="63">
        <f>IFERROR(INDEX('السلف'!$G$3:$G$502,172),"")</f>
        <v/>
      </c>
      <c r="H178" s="63">
        <f>IFERROR(INDEX('السلف'!$H$3:$H$502,172),"")</f>
        <v/>
      </c>
      <c r="I178" s="63">
        <f>IFERROR(INDEX('السلف'!$I$3:$I$502,172),"")</f>
        <v/>
      </c>
      <c r="J178" s="119">
        <f>IFERROR(INDEX('السلف'!$J$3:$J$502,172),"")</f>
        <v/>
      </c>
      <c r="K178" s="50">
        <f>IFERROR(INDEX('السلف'!$K$3:$K$502,172),"")</f>
        <v/>
      </c>
    </row>
    <row r="179">
      <c r="A179" s="43">
        <f>IFERROR(INDEX('السلف'!$A$3:$A$502,173),"")</f>
        <v/>
      </c>
      <c r="B179" s="43">
        <f>IFERROR(INDEX('السلف'!$B$3:$B$502,173),"")</f>
        <v/>
      </c>
      <c r="C179" s="43">
        <f>IFERROR(INDEX('السلف'!$C$3:$C$502,173),"")</f>
        <v/>
      </c>
      <c r="D179" s="118">
        <f>IFERROR(INDEX('السلف'!$D$3:$D$502,173),"")</f>
        <v/>
      </c>
      <c r="E179" s="60">
        <f>IFERROR(INDEX('السلف'!$E$3:$E$502,173),"")</f>
        <v/>
      </c>
      <c r="F179" s="43">
        <f>IFERROR(INDEX('السلف'!$F$3:$F$502,173),"")</f>
        <v/>
      </c>
      <c r="G179" s="60">
        <f>IFERROR(INDEX('السلف'!$G$3:$G$502,173),"")</f>
        <v/>
      </c>
      <c r="H179" s="60">
        <f>IFERROR(INDEX('السلف'!$H$3:$H$502,173),"")</f>
        <v/>
      </c>
      <c r="I179" s="60">
        <f>IFERROR(INDEX('السلف'!$I$3:$I$502,173),"")</f>
        <v/>
      </c>
      <c r="J179" s="118">
        <f>IFERROR(INDEX('السلف'!$J$3:$J$502,173),"")</f>
        <v/>
      </c>
      <c r="K179" s="43">
        <f>IFERROR(INDEX('السلف'!$K$3:$K$502,173),"")</f>
        <v/>
      </c>
    </row>
    <row r="180">
      <c r="A180" s="50">
        <f>IFERROR(INDEX('السلف'!$A$3:$A$502,174),"")</f>
        <v/>
      </c>
      <c r="B180" s="50">
        <f>IFERROR(INDEX('السلف'!$B$3:$B$502,174),"")</f>
        <v/>
      </c>
      <c r="C180" s="50">
        <f>IFERROR(INDEX('السلف'!$C$3:$C$502,174),"")</f>
        <v/>
      </c>
      <c r="D180" s="119">
        <f>IFERROR(INDEX('السلف'!$D$3:$D$502,174),"")</f>
        <v/>
      </c>
      <c r="E180" s="63">
        <f>IFERROR(INDEX('السلف'!$E$3:$E$502,174),"")</f>
        <v/>
      </c>
      <c r="F180" s="50">
        <f>IFERROR(INDEX('السلف'!$F$3:$F$502,174),"")</f>
        <v/>
      </c>
      <c r="G180" s="63">
        <f>IFERROR(INDEX('السلف'!$G$3:$G$502,174),"")</f>
        <v/>
      </c>
      <c r="H180" s="63">
        <f>IFERROR(INDEX('السلف'!$H$3:$H$502,174),"")</f>
        <v/>
      </c>
      <c r="I180" s="63">
        <f>IFERROR(INDEX('السلف'!$I$3:$I$502,174),"")</f>
        <v/>
      </c>
      <c r="J180" s="119">
        <f>IFERROR(INDEX('السلف'!$J$3:$J$502,174),"")</f>
        <v/>
      </c>
      <c r="K180" s="50">
        <f>IFERROR(INDEX('السلف'!$K$3:$K$502,174),"")</f>
        <v/>
      </c>
    </row>
    <row r="181">
      <c r="A181" s="43">
        <f>IFERROR(INDEX('السلف'!$A$3:$A$502,175),"")</f>
        <v/>
      </c>
      <c r="B181" s="43">
        <f>IFERROR(INDEX('السلف'!$B$3:$B$502,175),"")</f>
        <v/>
      </c>
      <c r="C181" s="43">
        <f>IFERROR(INDEX('السلف'!$C$3:$C$502,175),"")</f>
        <v/>
      </c>
      <c r="D181" s="118">
        <f>IFERROR(INDEX('السلف'!$D$3:$D$502,175),"")</f>
        <v/>
      </c>
      <c r="E181" s="60">
        <f>IFERROR(INDEX('السلف'!$E$3:$E$502,175),"")</f>
        <v/>
      </c>
      <c r="F181" s="43">
        <f>IFERROR(INDEX('السلف'!$F$3:$F$502,175),"")</f>
        <v/>
      </c>
      <c r="G181" s="60">
        <f>IFERROR(INDEX('السلف'!$G$3:$G$502,175),"")</f>
        <v/>
      </c>
      <c r="H181" s="60">
        <f>IFERROR(INDEX('السلف'!$H$3:$H$502,175),"")</f>
        <v/>
      </c>
      <c r="I181" s="60">
        <f>IFERROR(INDEX('السلف'!$I$3:$I$502,175),"")</f>
        <v/>
      </c>
      <c r="J181" s="118">
        <f>IFERROR(INDEX('السلف'!$J$3:$J$502,175),"")</f>
        <v/>
      </c>
      <c r="K181" s="43">
        <f>IFERROR(INDEX('السلف'!$K$3:$K$502,175),"")</f>
        <v/>
      </c>
    </row>
    <row r="182">
      <c r="A182" s="50">
        <f>IFERROR(INDEX('السلف'!$A$3:$A$502,176),"")</f>
        <v/>
      </c>
      <c r="B182" s="50">
        <f>IFERROR(INDEX('السلف'!$B$3:$B$502,176),"")</f>
        <v/>
      </c>
      <c r="C182" s="50">
        <f>IFERROR(INDEX('السلف'!$C$3:$C$502,176),"")</f>
        <v/>
      </c>
      <c r="D182" s="119">
        <f>IFERROR(INDEX('السلف'!$D$3:$D$502,176),"")</f>
        <v/>
      </c>
      <c r="E182" s="63">
        <f>IFERROR(INDEX('السلف'!$E$3:$E$502,176),"")</f>
        <v/>
      </c>
      <c r="F182" s="50">
        <f>IFERROR(INDEX('السلف'!$F$3:$F$502,176),"")</f>
        <v/>
      </c>
      <c r="G182" s="63">
        <f>IFERROR(INDEX('السلف'!$G$3:$G$502,176),"")</f>
        <v/>
      </c>
      <c r="H182" s="63">
        <f>IFERROR(INDEX('السلف'!$H$3:$H$502,176),"")</f>
        <v/>
      </c>
      <c r="I182" s="63">
        <f>IFERROR(INDEX('السلف'!$I$3:$I$502,176),"")</f>
        <v/>
      </c>
      <c r="J182" s="119">
        <f>IFERROR(INDEX('السلف'!$J$3:$J$502,176),"")</f>
        <v/>
      </c>
      <c r="K182" s="50">
        <f>IFERROR(INDEX('السلف'!$K$3:$K$502,176),"")</f>
        <v/>
      </c>
    </row>
    <row r="183">
      <c r="A183" s="43">
        <f>IFERROR(INDEX('السلف'!$A$3:$A$502,177),"")</f>
        <v/>
      </c>
      <c r="B183" s="43">
        <f>IFERROR(INDEX('السلف'!$B$3:$B$502,177),"")</f>
        <v/>
      </c>
      <c r="C183" s="43">
        <f>IFERROR(INDEX('السلف'!$C$3:$C$502,177),"")</f>
        <v/>
      </c>
      <c r="D183" s="118">
        <f>IFERROR(INDEX('السلف'!$D$3:$D$502,177),"")</f>
        <v/>
      </c>
      <c r="E183" s="60">
        <f>IFERROR(INDEX('السلف'!$E$3:$E$502,177),"")</f>
        <v/>
      </c>
      <c r="F183" s="43">
        <f>IFERROR(INDEX('السلف'!$F$3:$F$502,177),"")</f>
        <v/>
      </c>
      <c r="G183" s="60">
        <f>IFERROR(INDEX('السلف'!$G$3:$G$502,177),"")</f>
        <v/>
      </c>
      <c r="H183" s="60">
        <f>IFERROR(INDEX('السلف'!$H$3:$H$502,177),"")</f>
        <v/>
      </c>
      <c r="I183" s="60">
        <f>IFERROR(INDEX('السلف'!$I$3:$I$502,177),"")</f>
        <v/>
      </c>
      <c r="J183" s="118">
        <f>IFERROR(INDEX('السلف'!$J$3:$J$502,177),"")</f>
        <v/>
      </c>
      <c r="K183" s="43">
        <f>IFERROR(INDEX('السلف'!$K$3:$K$502,177),"")</f>
        <v/>
      </c>
    </row>
    <row r="184">
      <c r="A184" s="50">
        <f>IFERROR(INDEX('السلف'!$A$3:$A$502,178),"")</f>
        <v/>
      </c>
      <c r="B184" s="50">
        <f>IFERROR(INDEX('السلف'!$B$3:$B$502,178),"")</f>
        <v/>
      </c>
      <c r="C184" s="50">
        <f>IFERROR(INDEX('السلف'!$C$3:$C$502,178),"")</f>
        <v/>
      </c>
      <c r="D184" s="119">
        <f>IFERROR(INDEX('السلف'!$D$3:$D$502,178),"")</f>
        <v/>
      </c>
      <c r="E184" s="63">
        <f>IFERROR(INDEX('السلف'!$E$3:$E$502,178),"")</f>
        <v/>
      </c>
      <c r="F184" s="50">
        <f>IFERROR(INDEX('السلف'!$F$3:$F$502,178),"")</f>
        <v/>
      </c>
      <c r="G184" s="63">
        <f>IFERROR(INDEX('السلف'!$G$3:$G$502,178),"")</f>
        <v/>
      </c>
      <c r="H184" s="63">
        <f>IFERROR(INDEX('السلف'!$H$3:$H$502,178),"")</f>
        <v/>
      </c>
      <c r="I184" s="63">
        <f>IFERROR(INDEX('السلف'!$I$3:$I$502,178),"")</f>
        <v/>
      </c>
      <c r="J184" s="119">
        <f>IFERROR(INDEX('السلف'!$J$3:$J$502,178),"")</f>
        <v/>
      </c>
      <c r="K184" s="50">
        <f>IFERROR(INDEX('السلف'!$K$3:$K$502,178),"")</f>
        <v/>
      </c>
    </row>
    <row r="185">
      <c r="A185" s="43">
        <f>IFERROR(INDEX('السلف'!$A$3:$A$502,179),"")</f>
        <v/>
      </c>
      <c r="B185" s="43">
        <f>IFERROR(INDEX('السلف'!$B$3:$B$502,179),"")</f>
        <v/>
      </c>
      <c r="C185" s="43">
        <f>IFERROR(INDEX('السلف'!$C$3:$C$502,179),"")</f>
        <v/>
      </c>
      <c r="D185" s="118">
        <f>IFERROR(INDEX('السلف'!$D$3:$D$502,179),"")</f>
        <v/>
      </c>
      <c r="E185" s="60">
        <f>IFERROR(INDEX('السلف'!$E$3:$E$502,179),"")</f>
        <v/>
      </c>
      <c r="F185" s="43">
        <f>IFERROR(INDEX('السلف'!$F$3:$F$502,179),"")</f>
        <v/>
      </c>
      <c r="G185" s="60">
        <f>IFERROR(INDEX('السلف'!$G$3:$G$502,179),"")</f>
        <v/>
      </c>
      <c r="H185" s="60">
        <f>IFERROR(INDEX('السلف'!$H$3:$H$502,179),"")</f>
        <v/>
      </c>
      <c r="I185" s="60">
        <f>IFERROR(INDEX('السلف'!$I$3:$I$502,179),"")</f>
        <v/>
      </c>
      <c r="J185" s="118">
        <f>IFERROR(INDEX('السلف'!$J$3:$J$502,179),"")</f>
        <v/>
      </c>
      <c r="K185" s="43">
        <f>IFERROR(INDEX('السلف'!$K$3:$K$502,179),"")</f>
        <v/>
      </c>
    </row>
    <row r="186">
      <c r="A186" s="50">
        <f>IFERROR(INDEX('السلف'!$A$3:$A$502,180),"")</f>
        <v/>
      </c>
      <c r="B186" s="50">
        <f>IFERROR(INDEX('السلف'!$B$3:$B$502,180),"")</f>
        <v/>
      </c>
      <c r="C186" s="50">
        <f>IFERROR(INDEX('السلف'!$C$3:$C$502,180),"")</f>
        <v/>
      </c>
      <c r="D186" s="119">
        <f>IFERROR(INDEX('السلف'!$D$3:$D$502,180),"")</f>
        <v/>
      </c>
      <c r="E186" s="63">
        <f>IFERROR(INDEX('السلف'!$E$3:$E$502,180),"")</f>
        <v/>
      </c>
      <c r="F186" s="50">
        <f>IFERROR(INDEX('السلف'!$F$3:$F$502,180),"")</f>
        <v/>
      </c>
      <c r="G186" s="63">
        <f>IFERROR(INDEX('السلف'!$G$3:$G$502,180),"")</f>
        <v/>
      </c>
      <c r="H186" s="63">
        <f>IFERROR(INDEX('السلف'!$H$3:$H$502,180),"")</f>
        <v/>
      </c>
      <c r="I186" s="63">
        <f>IFERROR(INDEX('السلف'!$I$3:$I$502,180),"")</f>
        <v/>
      </c>
      <c r="J186" s="119">
        <f>IFERROR(INDEX('السلف'!$J$3:$J$502,180),"")</f>
        <v/>
      </c>
      <c r="K186" s="50">
        <f>IFERROR(INDEX('السلف'!$K$3:$K$502,180),"")</f>
        <v/>
      </c>
    </row>
    <row r="187">
      <c r="A187" s="43">
        <f>IFERROR(INDEX('السلف'!$A$3:$A$502,181),"")</f>
        <v/>
      </c>
      <c r="B187" s="43">
        <f>IFERROR(INDEX('السلف'!$B$3:$B$502,181),"")</f>
        <v/>
      </c>
      <c r="C187" s="43">
        <f>IFERROR(INDEX('السلف'!$C$3:$C$502,181),"")</f>
        <v/>
      </c>
      <c r="D187" s="118">
        <f>IFERROR(INDEX('السلف'!$D$3:$D$502,181),"")</f>
        <v/>
      </c>
      <c r="E187" s="60">
        <f>IFERROR(INDEX('السلف'!$E$3:$E$502,181),"")</f>
        <v/>
      </c>
      <c r="F187" s="43">
        <f>IFERROR(INDEX('السلف'!$F$3:$F$502,181),"")</f>
        <v/>
      </c>
      <c r="G187" s="60">
        <f>IFERROR(INDEX('السلف'!$G$3:$G$502,181),"")</f>
        <v/>
      </c>
      <c r="H187" s="60">
        <f>IFERROR(INDEX('السلف'!$H$3:$H$502,181),"")</f>
        <v/>
      </c>
      <c r="I187" s="60">
        <f>IFERROR(INDEX('السلف'!$I$3:$I$502,181),"")</f>
        <v/>
      </c>
      <c r="J187" s="118">
        <f>IFERROR(INDEX('السلف'!$J$3:$J$502,181),"")</f>
        <v/>
      </c>
      <c r="K187" s="43">
        <f>IFERROR(INDEX('السلف'!$K$3:$K$502,181),"")</f>
        <v/>
      </c>
    </row>
    <row r="188">
      <c r="A188" s="50">
        <f>IFERROR(INDEX('السلف'!$A$3:$A$502,182),"")</f>
        <v/>
      </c>
      <c r="B188" s="50">
        <f>IFERROR(INDEX('السلف'!$B$3:$B$502,182),"")</f>
        <v/>
      </c>
      <c r="C188" s="50">
        <f>IFERROR(INDEX('السلف'!$C$3:$C$502,182),"")</f>
        <v/>
      </c>
      <c r="D188" s="119">
        <f>IFERROR(INDEX('السلف'!$D$3:$D$502,182),"")</f>
        <v/>
      </c>
      <c r="E188" s="63">
        <f>IFERROR(INDEX('السلف'!$E$3:$E$502,182),"")</f>
        <v/>
      </c>
      <c r="F188" s="50">
        <f>IFERROR(INDEX('السلف'!$F$3:$F$502,182),"")</f>
        <v/>
      </c>
      <c r="G188" s="63">
        <f>IFERROR(INDEX('السلف'!$G$3:$G$502,182),"")</f>
        <v/>
      </c>
      <c r="H188" s="63">
        <f>IFERROR(INDEX('السلف'!$H$3:$H$502,182),"")</f>
        <v/>
      </c>
      <c r="I188" s="63">
        <f>IFERROR(INDEX('السلف'!$I$3:$I$502,182),"")</f>
        <v/>
      </c>
      <c r="J188" s="119">
        <f>IFERROR(INDEX('السلف'!$J$3:$J$502,182),"")</f>
        <v/>
      </c>
      <c r="K188" s="50">
        <f>IFERROR(INDEX('السلف'!$K$3:$K$502,182),"")</f>
        <v/>
      </c>
    </row>
    <row r="189">
      <c r="A189" s="43">
        <f>IFERROR(INDEX('السلف'!$A$3:$A$502,183),"")</f>
        <v/>
      </c>
      <c r="B189" s="43">
        <f>IFERROR(INDEX('السلف'!$B$3:$B$502,183),"")</f>
        <v/>
      </c>
      <c r="C189" s="43">
        <f>IFERROR(INDEX('السلف'!$C$3:$C$502,183),"")</f>
        <v/>
      </c>
      <c r="D189" s="118">
        <f>IFERROR(INDEX('السلف'!$D$3:$D$502,183),"")</f>
        <v/>
      </c>
      <c r="E189" s="60">
        <f>IFERROR(INDEX('السلف'!$E$3:$E$502,183),"")</f>
        <v/>
      </c>
      <c r="F189" s="43">
        <f>IFERROR(INDEX('السلف'!$F$3:$F$502,183),"")</f>
        <v/>
      </c>
      <c r="G189" s="60">
        <f>IFERROR(INDEX('السلف'!$G$3:$G$502,183),"")</f>
        <v/>
      </c>
      <c r="H189" s="60">
        <f>IFERROR(INDEX('السلف'!$H$3:$H$502,183),"")</f>
        <v/>
      </c>
      <c r="I189" s="60">
        <f>IFERROR(INDEX('السلف'!$I$3:$I$502,183),"")</f>
        <v/>
      </c>
      <c r="J189" s="118">
        <f>IFERROR(INDEX('السلف'!$J$3:$J$502,183),"")</f>
        <v/>
      </c>
      <c r="K189" s="43">
        <f>IFERROR(INDEX('السلف'!$K$3:$K$502,183),"")</f>
        <v/>
      </c>
    </row>
    <row r="190">
      <c r="A190" s="50">
        <f>IFERROR(INDEX('السلف'!$A$3:$A$502,184),"")</f>
        <v/>
      </c>
      <c r="B190" s="50">
        <f>IFERROR(INDEX('السلف'!$B$3:$B$502,184),"")</f>
        <v/>
      </c>
      <c r="C190" s="50">
        <f>IFERROR(INDEX('السلف'!$C$3:$C$502,184),"")</f>
        <v/>
      </c>
      <c r="D190" s="119">
        <f>IFERROR(INDEX('السلف'!$D$3:$D$502,184),"")</f>
        <v/>
      </c>
      <c r="E190" s="63">
        <f>IFERROR(INDEX('السلف'!$E$3:$E$502,184),"")</f>
        <v/>
      </c>
      <c r="F190" s="50">
        <f>IFERROR(INDEX('السلف'!$F$3:$F$502,184),"")</f>
        <v/>
      </c>
      <c r="G190" s="63">
        <f>IFERROR(INDEX('السلف'!$G$3:$G$502,184),"")</f>
        <v/>
      </c>
      <c r="H190" s="63">
        <f>IFERROR(INDEX('السلف'!$H$3:$H$502,184),"")</f>
        <v/>
      </c>
      <c r="I190" s="63">
        <f>IFERROR(INDEX('السلف'!$I$3:$I$502,184),"")</f>
        <v/>
      </c>
      <c r="J190" s="119">
        <f>IFERROR(INDEX('السلف'!$J$3:$J$502,184),"")</f>
        <v/>
      </c>
      <c r="K190" s="50">
        <f>IFERROR(INDEX('السلف'!$K$3:$K$502,184),"")</f>
        <v/>
      </c>
    </row>
    <row r="191">
      <c r="A191" s="43">
        <f>IFERROR(INDEX('السلف'!$A$3:$A$502,185),"")</f>
        <v/>
      </c>
      <c r="B191" s="43">
        <f>IFERROR(INDEX('السلف'!$B$3:$B$502,185),"")</f>
        <v/>
      </c>
      <c r="C191" s="43">
        <f>IFERROR(INDEX('السلف'!$C$3:$C$502,185),"")</f>
        <v/>
      </c>
      <c r="D191" s="118">
        <f>IFERROR(INDEX('السلف'!$D$3:$D$502,185),"")</f>
        <v/>
      </c>
      <c r="E191" s="60">
        <f>IFERROR(INDEX('السلف'!$E$3:$E$502,185),"")</f>
        <v/>
      </c>
      <c r="F191" s="43">
        <f>IFERROR(INDEX('السلف'!$F$3:$F$502,185),"")</f>
        <v/>
      </c>
      <c r="G191" s="60">
        <f>IFERROR(INDEX('السلف'!$G$3:$G$502,185),"")</f>
        <v/>
      </c>
      <c r="H191" s="60">
        <f>IFERROR(INDEX('السلف'!$H$3:$H$502,185),"")</f>
        <v/>
      </c>
      <c r="I191" s="60">
        <f>IFERROR(INDEX('السلف'!$I$3:$I$502,185),"")</f>
        <v/>
      </c>
      <c r="J191" s="118">
        <f>IFERROR(INDEX('السلف'!$J$3:$J$502,185),"")</f>
        <v/>
      </c>
      <c r="K191" s="43">
        <f>IFERROR(INDEX('السلف'!$K$3:$K$502,185),"")</f>
        <v/>
      </c>
    </row>
    <row r="192">
      <c r="A192" s="50">
        <f>IFERROR(INDEX('السلف'!$A$3:$A$502,186),"")</f>
        <v/>
      </c>
      <c r="B192" s="50">
        <f>IFERROR(INDEX('السلف'!$B$3:$B$502,186),"")</f>
        <v/>
      </c>
      <c r="C192" s="50">
        <f>IFERROR(INDEX('السلف'!$C$3:$C$502,186),"")</f>
        <v/>
      </c>
      <c r="D192" s="119">
        <f>IFERROR(INDEX('السلف'!$D$3:$D$502,186),"")</f>
        <v/>
      </c>
      <c r="E192" s="63">
        <f>IFERROR(INDEX('السلف'!$E$3:$E$502,186),"")</f>
        <v/>
      </c>
      <c r="F192" s="50">
        <f>IFERROR(INDEX('السلف'!$F$3:$F$502,186),"")</f>
        <v/>
      </c>
      <c r="G192" s="63">
        <f>IFERROR(INDEX('السلف'!$G$3:$G$502,186),"")</f>
        <v/>
      </c>
      <c r="H192" s="63">
        <f>IFERROR(INDEX('السلف'!$H$3:$H$502,186),"")</f>
        <v/>
      </c>
      <c r="I192" s="63">
        <f>IFERROR(INDEX('السلف'!$I$3:$I$502,186),"")</f>
        <v/>
      </c>
      <c r="J192" s="119">
        <f>IFERROR(INDEX('السلف'!$J$3:$J$502,186),"")</f>
        <v/>
      </c>
      <c r="K192" s="50">
        <f>IFERROR(INDEX('السلف'!$K$3:$K$502,186),"")</f>
        <v/>
      </c>
    </row>
    <row r="193">
      <c r="A193" s="43">
        <f>IFERROR(INDEX('السلف'!$A$3:$A$502,187),"")</f>
        <v/>
      </c>
      <c r="B193" s="43">
        <f>IFERROR(INDEX('السلف'!$B$3:$B$502,187),"")</f>
        <v/>
      </c>
      <c r="C193" s="43">
        <f>IFERROR(INDEX('السلف'!$C$3:$C$502,187),"")</f>
        <v/>
      </c>
      <c r="D193" s="118">
        <f>IFERROR(INDEX('السلف'!$D$3:$D$502,187),"")</f>
        <v/>
      </c>
      <c r="E193" s="60">
        <f>IFERROR(INDEX('السلف'!$E$3:$E$502,187),"")</f>
        <v/>
      </c>
      <c r="F193" s="43">
        <f>IFERROR(INDEX('السلف'!$F$3:$F$502,187),"")</f>
        <v/>
      </c>
      <c r="G193" s="60">
        <f>IFERROR(INDEX('السلف'!$G$3:$G$502,187),"")</f>
        <v/>
      </c>
      <c r="H193" s="60">
        <f>IFERROR(INDEX('السلف'!$H$3:$H$502,187),"")</f>
        <v/>
      </c>
      <c r="I193" s="60">
        <f>IFERROR(INDEX('السلف'!$I$3:$I$502,187),"")</f>
        <v/>
      </c>
      <c r="J193" s="118">
        <f>IFERROR(INDEX('السلف'!$J$3:$J$502,187),"")</f>
        <v/>
      </c>
      <c r="K193" s="43">
        <f>IFERROR(INDEX('السلف'!$K$3:$K$502,187),"")</f>
        <v/>
      </c>
    </row>
    <row r="194">
      <c r="A194" s="50">
        <f>IFERROR(INDEX('السلف'!$A$3:$A$502,188),"")</f>
        <v/>
      </c>
      <c r="B194" s="50">
        <f>IFERROR(INDEX('السلف'!$B$3:$B$502,188),"")</f>
        <v/>
      </c>
      <c r="C194" s="50">
        <f>IFERROR(INDEX('السلف'!$C$3:$C$502,188),"")</f>
        <v/>
      </c>
      <c r="D194" s="119">
        <f>IFERROR(INDEX('السلف'!$D$3:$D$502,188),"")</f>
        <v/>
      </c>
      <c r="E194" s="63">
        <f>IFERROR(INDEX('السلف'!$E$3:$E$502,188),"")</f>
        <v/>
      </c>
      <c r="F194" s="50">
        <f>IFERROR(INDEX('السلف'!$F$3:$F$502,188),"")</f>
        <v/>
      </c>
      <c r="G194" s="63">
        <f>IFERROR(INDEX('السلف'!$G$3:$G$502,188),"")</f>
        <v/>
      </c>
      <c r="H194" s="63">
        <f>IFERROR(INDEX('السلف'!$H$3:$H$502,188),"")</f>
        <v/>
      </c>
      <c r="I194" s="63">
        <f>IFERROR(INDEX('السلف'!$I$3:$I$502,188),"")</f>
        <v/>
      </c>
      <c r="J194" s="119">
        <f>IFERROR(INDEX('السلف'!$J$3:$J$502,188),"")</f>
        <v/>
      </c>
      <c r="K194" s="50">
        <f>IFERROR(INDEX('السلف'!$K$3:$K$502,188),"")</f>
        <v/>
      </c>
    </row>
    <row r="195">
      <c r="A195" s="43">
        <f>IFERROR(INDEX('السلف'!$A$3:$A$502,189),"")</f>
        <v/>
      </c>
      <c r="B195" s="43">
        <f>IFERROR(INDEX('السلف'!$B$3:$B$502,189),"")</f>
        <v/>
      </c>
      <c r="C195" s="43">
        <f>IFERROR(INDEX('السلف'!$C$3:$C$502,189),"")</f>
        <v/>
      </c>
      <c r="D195" s="118">
        <f>IFERROR(INDEX('السلف'!$D$3:$D$502,189),"")</f>
        <v/>
      </c>
      <c r="E195" s="60">
        <f>IFERROR(INDEX('السلف'!$E$3:$E$502,189),"")</f>
        <v/>
      </c>
      <c r="F195" s="43">
        <f>IFERROR(INDEX('السلف'!$F$3:$F$502,189),"")</f>
        <v/>
      </c>
      <c r="G195" s="60">
        <f>IFERROR(INDEX('السلف'!$G$3:$G$502,189),"")</f>
        <v/>
      </c>
      <c r="H195" s="60">
        <f>IFERROR(INDEX('السلف'!$H$3:$H$502,189),"")</f>
        <v/>
      </c>
      <c r="I195" s="60">
        <f>IFERROR(INDEX('السلف'!$I$3:$I$502,189),"")</f>
        <v/>
      </c>
      <c r="J195" s="118">
        <f>IFERROR(INDEX('السلف'!$J$3:$J$502,189),"")</f>
        <v/>
      </c>
      <c r="K195" s="43">
        <f>IFERROR(INDEX('السلف'!$K$3:$K$502,189),"")</f>
        <v/>
      </c>
    </row>
    <row r="196">
      <c r="A196" s="50">
        <f>IFERROR(INDEX('السلف'!$A$3:$A$502,190),"")</f>
        <v/>
      </c>
      <c r="B196" s="50">
        <f>IFERROR(INDEX('السلف'!$B$3:$B$502,190),"")</f>
        <v/>
      </c>
      <c r="C196" s="50">
        <f>IFERROR(INDEX('السلف'!$C$3:$C$502,190),"")</f>
        <v/>
      </c>
      <c r="D196" s="119">
        <f>IFERROR(INDEX('السلف'!$D$3:$D$502,190),"")</f>
        <v/>
      </c>
      <c r="E196" s="63">
        <f>IFERROR(INDEX('السلف'!$E$3:$E$502,190),"")</f>
        <v/>
      </c>
      <c r="F196" s="50">
        <f>IFERROR(INDEX('السلف'!$F$3:$F$502,190),"")</f>
        <v/>
      </c>
      <c r="G196" s="63">
        <f>IFERROR(INDEX('السلف'!$G$3:$G$502,190),"")</f>
        <v/>
      </c>
      <c r="H196" s="63">
        <f>IFERROR(INDEX('السلف'!$H$3:$H$502,190),"")</f>
        <v/>
      </c>
      <c r="I196" s="63">
        <f>IFERROR(INDEX('السلف'!$I$3:$I$502,190),"")</f>
        <v/>
      </c>
      <c r="J196" s="119">
        <f>IFERROR(INDEX('السلف'!$J$3:$J$502,190),"")</f>
        <v/>
      </c>
      <c r="K196" s="50">
        <f>IFERROR(INDEX('السلف'!$K$3:$K$502,190),"")</f>
        <v/>
      </c>
    </row>
    <row r="197">
      <c r="A197" s="43">
        <f>IFERROR(INDEX('السلف'!$A$3:$A$502,191),"")</f>
        <v/>
      </c>
      <c r="B197" s="43">
        <f>IFERROR(INDEX('السلف'!$B$3:$B$502,191),"")</f>
        <v/>
      </c>
      <c r="C197" s="43">
        <f>IFERROR(INDEX('السلف'!$C$3:$C$502,191),"")</f>
        <v/>
      </c>
      <c r="D197" s="118">
        <f>IFERROR(INDEX('السلف'!$D$3:$D$502,191),"")</f>
        <v/>
      </c>
      <c r="E197" s="60">
        <f>IFERROR(INDEX('السلف'!$E$3:$E$502,191),"")</f>
        <v/>
      </c>
      <c r="F197" s="43">
        <f>IFERROR(INDEX('السلف'!$F$3:$F$502,191),"")</f>
        <v/>
      </c>
      <c r="G197" s="60">
        <f>IFERROR(INDEX('السلف'!$G$3:$G$502,191),"")</f>
        <v/>
      </c>
      <c r="H197" s="60">
        <f>IFERROR(INDEX('السلف'!$H$3:$H$502,191),"")</f>
        <v/>
      </c>
      <c r="I197" s="60">
        <f>IFERROR(INDEX('السلف'!$I$3:$I$502,191),"")</f>
        <v/>
      </c>
      <c r="J197" s="118">
        <f>IFERROR(INDEX('السلف'!$J$3:$J$502,191),"")</f>
        <v/>
      </c>
      <c r="K197" s="43">
        <f>IFERROR(INDEX('السلف'!$K$3:$K$502,191),"")</f>
        <v/>
      </c>
    </row>
    <row r="198">
      <c r="A198" s="50">
        <f>IFERROR(INDEX('السلف'!$A$3:$A$502,192),"")</f>
        <v/>
      </c>
      <c r="B198" s="50">
        <f>IFERROR(INDEX('السلف'!$B$3:$B$502,192),"")</f>
        <v/>
      </c>
      <c r="C198" s="50">
        <f>IFERROR(INDEX('السلف'!$C$3:$C$502,192),"")</f>
        <v/>
      </c>
      <c r="D198" s="119">
        <f>IFERROR(INDEX('السلف'!$D$3:$D$502,192),"")</f>
        <v/>
      </c>
      <c r="E198" s="63">
        <f>IFERROR(INDEX('السلف'!$E$3:$E$502,192),"")</f>
        <v/>
      </c>
      <c r="F198" s="50">
        <f>IFERROR(INDEX('السلف'!$F$3:$F$502,192),"")</f>
        <v/>
      </c>
      <c r="G198" s="63">
        <f>IFERROR(INDEX('السلف'!$G$3:$G$502,192),"")</f>
        <v/>
      </c>
      <c r="H198" s="63">
        <f>IFERROR(INDEX('السلف'!$H$3:$H$502,192),"")</f>
        <v/>
      </c>
      <c r="I198" s="63">
        <f>IFERROR(INDEX('السلف'!$I$3:$I$502,192),"")</f>
        <v/>
      </c>
      <c r="J198" s="119">
        <f>IFERROR(INDEX('السلف'!$J$3:$J$502,192),"")</f>
        <v/>
      </c>
      <c r="K198" s="50">
        <f>IFERROR(INDEX('السلف'!$K$3:$K$502,192),"")</f>
        <v/>
      </c>
    </row>
    <row r="199">
      <c r="A199" s="43">
        <f>IFERROR(INDEX('السلف'!$A$3:$A$502,193),"")</f>
        <v/>
      </c>
      <c r="B199" s="43">
        <f>IFERROR(INDEX('السلف'!$B$3:$B$502,193),"")</f>
        <v/>
      </c>
      <c r="C199" s="43">
        <f>IFERROR(INDEX('السلف'!$C$3:$C$502,193),"")</f>
        <v/>
      </c>
      <c r="D199" s="118">
        <f>IFERROR(INDEX('السلف'!$D$3:$D$502,193),"")</f>
        <v/>
      </c>
      <c r="E199" s="60">
        <f>IFERROR(INDEX('السلف'!$E$3:$E$502,193),"")</f>
        <v/>
      </c>
      <c r="F199" s="43">
        <f>IFERROR(INDEX('السلف'!$F$3:$F$502,193),"")</f>
        <v/>
      </c>
      <c r="G199" s="60">
        <f>IFERROR(INDEX('السلف'!$G$3:$G$502,193),"")</f>
        <v/>
      </c>
      <c r="H199" s="60">
        <f>IFERROR(INDEX('السلف'!$H$3:$H$502,193),"")</f>
        <v/>
      </c>
      <c r="I199" s="60">
        <f>IFERROR(INDEX('السلف'!$I$3:$I$502,193),"")</f>
        <v/>
      </c>
      <c r="J199" s="118">
        <f>IFERROR(INDEX('السلف'!$J$3:$J$502,193),"")</f>
        <v/>
      </c>
      <c r="K199" s="43">
        <f>IFERROR(INDEX('السلف'!$K$3:$K$502,193),"")</f>
        <v/>
      </c>
    </row>
    <row r="200">
      <c r="A200" s="50">
        <f>IFERROR(INDEX('السلف'!$A$3:$A$502,194),"")</f>
        <v/>
      </c>
      <c r="B200" s="50">
        <f>IFERROR(INDEX('السلف'!$B$3:$B$502,194),"")</f>
        <v/>
      </c>
      <c r="C200" s="50">
        <f>IFERROR(INDEX('السلف'!$C$3:$C$502,194),"")</f>
        <v/>
      </c>
      <c r="D200" s="119">
        <f>IFERROR(INDEX('السلف'!$D$3:$D$502,194),"")</f>
        <v/>
      </c>
      <c r="E200" s="63">
        <f>IFERROR(INDEX('السلف'!$E$3:$E$502,194),"")</f>
        <v/>
      </c>
      <c r="F200" s="50">
        <f>IFERROR(INDEX('السلف'!$F$3:$F$502,194),"")</f>
        <v/>
      </c>
      <c r="G200" s="63">
        <f>IFERROR(INDEX('السلف'!$G$3:$G$502,194),"")</f>
        <v/>
      </c>
      <c r="H200" s="63">
        <f>IFERROR(INDEX('السلف'!$H$3:$H$502,194),"")</f>
        <v/>
      </c>
      <c r="I200" s="63">
        <f>IFERROR(INDEX('السلف'!$I$3:$I$502,194),"")</f>
        <v/>
      </c>
      <c r="J200" s="119">
        <f>IFERROR(INDEX('السلف'!$J$3:$J$502,194),"")</f>
        <v/>
      </c>
      <c r="K200" s="50">
        <f>IFERROR(INDEX('السلف'!$K$3:$K$502,194),"")</f>
        <v/>
      </c>
    </row>
    <row r="201">
      <c r="A201" s="43">
        <f>IFERROR(INDEX('السلف'!$A$3:$A$502,195),"")</f>
        <v/>
      </c>
      <c r="B201" s="43">
        <f>IFERROR(INDEX('السلف'!$B$3:$B$502,195),"")</f>
        <v/>
      </c>
      <c r="C201" s="43">
        <f>IFERROR(INDEX('السلف'!$C$3:$C$502,195),"")</f>
        <v/>
      </c>
      <c r="D201" s="118">
        <f>IFERROR(INDEX('السلف'!$D$3:$D$502,195),"")</f>
        <v/>
      </c>
      <c r="E201" s="60">
        <f>IFERROR(INDEX('السلف'!$E$3:$E$502,195),"")</f>
        <v/>
      </c>
      <c r="F201" s="43">
        <f>IFERROR(INDEX('السلف'!$F$3:$F$502,195),"")</f>
        <v/>
      </c>
      <c r="G201" s="60">
        <f>IFERROR(INDEX('السلف'!$G$3:$G$502,195),"")</f>
        <v/>
      </c>
      <c r="H201" s="60">
        <f>IFERROR(INDEX('السلف'!$H$3:$H$502,195),"")</f>
        <v/>
      </c>
      <c r="I201" s="60">
        <f>IFERROR(INDEX('السلف'!$I$3:$I$502,195),"")</f>
        <v/>
      </c>
      <c r="J201" s="118">
        <f>IFERROR(INDEX('السلف'!$J$3:$J$502,195),"")</f>
        <v/>
      </c>
      <c r="K201" s="43">
        <f>IFERROR(INDEX('السلف'!$K$3:$K$502,195),"")</f>
        <v/>
      </c>
    </row>
    <row r="202">
      <c r="A202" s="50">
        <f>IFERROR(INDEX('السلف'!$A$3:$A$502,196),"")</f>
        <v/>
      </c>
      <c r="B202" s="50">
        <f>IFERROR(INDEX('السلف'!$B$3:$B$502,196),"")</f>
        <v/>
      </c>
      <c r="C202" s="50">
        <f>IFERROR(INDEX('السلف'!$C$3:$C$502,196),"")</f>
        <v/>
      </c>
      <c r="D202" s="119">
        <f>IFERROR(INDEX('السلف'!$D$3:$D$502,196),"")</f>
        <v/>
      </c>
      <c r="E202" s="63">
        <f>IFERROR(INDEX('السلف'!$E$3:$E$502,196),"")</f>
        <v/>
      </c>
      <c r="F202" s="50">
        <f>IFERROR(INDEX('السلف'!$F$3:$F$502,196),"")</f>
        <v/>
      </c>
      <c r="G202" s="63">
        <f>IFERROR(INDEX('السلف'!$G$3:$G$502,196),"")</f>
        <v/>
      </c>
      <c r="H202" s="63">
        <f>IFERROR(INDEX('السلف'!$H$3:$H$502,196),"")</f>
        <v/>
      </c>
      <c r="I202" s="63">
        <f>IFERROR(INDEX('السلف'!$I$3:$I$502,196),"")</f>
        <v/>
      </c>
      <c r="J202" s="119">
        <f>IFERROR(INDEX('السلف'!$J$3:$J$502,196),"")</f>
        <v/>
      </c>
      <c r="K202" s="50">
        <f>IFERROR(INDEX('السلف'!$K$3:$K$502,196),"")</f>
        <v/>
      </c>
    </row>
    <row r="203">
      <c r="A203" s="43">
        <f>IFERROR(INDEX('السلف'!$A$3:$A$502,197),"")</f>
        <v/>
      </c>
      <c r="B203" s="43">
        <f>IFERROR(INDEX('السلف'!$B$3:$B$502,197),"")</f>
        <v/>
      </c>
      <c r="C203" s="43">
        <f>IFERROR(INDEX('السلف'!$C$3:$C$502,197),"")</f>
        <v/>
      </c>
      <c r="D203" s="118">
        <f>IFERROR(INDEX('السلف'!$D$3:$D$502,197),"")</f>
        <v/>
      </c>
      <c r="E203" s="60">
        <f>IFERROR(INDEX('السلف'!$E$3:$E$502,197),"")</f>
        <v/>
      </c>
      <c r="F203" s="43">
        <f>IFERROR(INDEX('السلف'!$F$3:$F$502,197),"")</f>
        <v/>
      </c>
      <c r="G203" s="60">
        <f>IFERROR(INDEX('السلف'!$G$3:$G$502,197),"")</f>
        <v/>
      </c>
      <c r="H203" s="60">
        <f>IFERROR(INDEX('السلف'!$H$3:$H$502,197),"")</f>
        <v/>
      </c>
      <c r="I203" s="60">
        <f>IFERROR(INDEX('السلف'!$I$3:$I$502,197),"")</f>
        <v/>
      </c>
      <c r="J203" s="118">
        <f>IFERROR(INDEX('السلف'!$J$3:$J$502,197),"")</f>
        <v/>
      </c>
      <c r="K203" s="43">
        <f>IFERROR(INDEX('السلف'!$K$3:$K$502,197),"")</f>
        <v/>
      </c>
    </row>
    <row r="204">
      <c r="A204" s="50">
        <f>IFERROR(INDEX('السلف'!$A$3:$A$502,198),"")</f>
        <v/>
      </c>
      <c r="B204" s="50">
        <f>IFERROR(INDEX('السلف'!$B$3:$B$502,198),"")</f>
        <v/>
      </c>
      <c r="C204" s="50">
        <f>IFERROR(INDEX('السلف'!$C$3:$C$502,198),"")</f>
        <v/>
      </c>
      <c r="D204" s="119">
        <f>IFERROR(INDEX('السلف'!$D$3:$D$502,198),"")</f>
        <v/>
      </c>
      <c r="E204" s="63">
        <f>IFERROR(INDEX('السلف'!$E$3:$E$502,198),"")</f>
        <v/>
      </c>
      <c r="F204" s="50">
        <f>IFERROR(INDEX('السلف'!$F$3:$F$502,198),"")</f>
        <v/>
      </c>
      <c r="G204" s="63">
        <f>IFERROR(INDEX('السلف'!$G$3:$G$502,198),"")</f>
        <v/>
      </c>
      <c r="H204" s="63">
        <f>IFERROR(INDEX('السلف'!$H$3:$H$502,198),"")</f>
        <v/>
      </c>
      <c r="I204" s="63">
        <f>IFERROR(INDEX('السلف'!$I$3:$I$502,198),"")</f>
        <v/>
      </c>
      <c r="J204" s="119">
        <f>IFERROR(INDEX('السلف'!$J$3:$J$502,198),"")</f>
        <v/>
      </c>
      <c r="K204" s="50">
        <f>IFERROR(INDEX('السلف'!$K$3:$K$502,198),"")</f>
        <v/>
      </c>
    </row>
    <row r="205">
      <c r="A205" s="43">
        <f>IFERROR(INDEX('السلف'!$A$3:$A$502,199),"")</f>
        <v/>
      </c>
      <c r="B205" s="43">
        <f>IFERROR(INDEX('السلف'!$B$3:$B$502,199),"")</f>
        <v/>
      </c>
      <c r="C205" s="43">
        <f>IFERROR(INDEX('السلف'!$C$3:$C$502,199),"")</f>
        <v/>
      </c>
      <c r="D205" s="118">
        <f>IFERROR(INDEX('السلف'!$D$3:$D$502,199),"")</f>
        <v/>
      </c>
      <c r="E205" s="60">
        <f>IFERROR(INDEX('السلف'!$E$3:$E$502,199),"")</f>
        <v/>
      </c>
      <c r="F205" s="43">
        <f>IFERROR(INDEX('السلف'!$F$3:$F$502,199),"")</f>
        <v/>
      </c>
      <c r="G205" s="60">
        <f>IFERROR(INDEX('السلف'!$G$3:$G$502,199),"")</f>
        <v/>
      </c>
      <c r="H205" s="60">
        <f>IFERROR(INDEX('السلف'!$H$3:$H$502,199),"")</f>
        <v/>
      </c>
      <c r="I205" s="60">
        <f>IFERROR(INDEX('السلف'!$I$3:$I$502,199),"")</f>
        <v/>
      </c>
      <c r="J205" s="118">
        <f>IFERROR(INDEX('السلف'!$J$3:$J$502,199),"")</f>
        <v/>
      </c>
      <c r="K205" s="43">
        <f>IFERROR(INDEX('السلف'!$K$3:$K$502,199),"")</f>
        <v/>
      </c>
    </row>
    <row r="206">
      <c r="A206" s="50">
        <f>IFERROR(INDEX('السلف'!$A$3:$A$502,200),"")</f>
        <v/>
      </c>
      <c r="B206" s="50">
        <f>IFERROR(INDEX('السلف'!$B$3:$B$502,200),"")</f>
        <v/>
      </c>
      <c r="C206" s="50">
        <f>IFERROR(INDEX('السلف'!$C$3:$C$502,200),"")</f>
        <v/>
      </c>
      <c r="D206" s="119">
        <f>IFERROR(INDEX('السلف'!$D$3:$D$502,200),"")</f>
        <v/>
      </c>
      <c r="E206" s="63">
        <f>IFERROR(INDEX('السلف'!$E$3:$E$502,200),"")</f>
        <v/>
      </c>
      <c r="F206" s="50">
        <f>IFERROR(INDEX('السلف'!$F$3:$F$502,200),"")</f>
        <v/>
      </c>
      <c r="G206" s="63">
        <f>IFERROR(INDEX('السلف'!$G$3:$G$502,200),"")</f>
        <v/>
      </c>
      <c r="H206" s="63">
        <f>IFERROR(INDEX('السلف'!$H$3:$H$502,200),"")</f>
        <v/>
      </c>
      <c r="I206" s="63">
        <f>IFERROR(INDEX('السلف'!$I$3:$I$502,200),"")</f>
        <v/>
      </c>
      <c r="J206" s="119">
        <f>IFERROR(INDEX('السلف'!$J$3:$J$502,200),"")</f>
        <v/>
      </c>
      <c r="K206" s="50">
        <f>IFERROR(INDEX('السلف'!$K$3:$K$502,200),"")</f>
        <v/>
      </c>
    </row>
    <row r="207">
      <c r="A207" s="71" t="inlineStr">
        <is>
          <t>الإجمالي</t>
        </is>
      </c>
      <c r="B207" s="72" t="n"/>
      <c r="C207" s="72" t="n"/>
      <c r="D207" s="72" t="n"/>
      <c r="E207" s="73">
        <f>SUM(E7:E206)</f>
        <v/>
      </c>
      <c r="F207" s="72" t="n"/>
      <c r="G207" s="72" t="n"/>
      <c r="H207" s="73">
        <f>SUM(H7:H206)</f>
        <v/>
      </c>
      <c r="I207" s="73">
        <f>SUM(I7:I206)</f>
        <v/>
      </c>
      <c r="J207" s="72" t="n"/>
      <c r="K207" s="7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05"/>
  <mergeCells count="5">
    <mergeCell ref="A2:K2"/>
    <mergeCell ref="A207"/>
    <mergeCell ref="A1:K1"/>
    <mergeCell ref="F3:K3"/>
    <mergeCell ref="A3:E3"/>
  </mergeCells>
  <pageMargins left="0.75" right="0.75" top="1" bottom="1" header="0.5" footer="0.5"/>
  <pageSetup orientation="landscape" paperSize="9" fitToHeight="0" fitToWidth="1"/>
  <headerFooter>
    <oddHeader/>
    <oddFooter>&amp;L&amp;8 نظام إدارة الموارد البشرية&amp;R&amp;8 صفحة &amp;P من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206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6" customWidth="1" min="3" max="3"/>
    <col width="16" customWidth="1" min="4" max="4"/>
    <col width="13" customWidth="1" min="5" max="5"/>
    <col width="13" customWidth="1" min="6" max="6"/>
    <col width="18" customWidth="1" min="7" max="7"/>
    <col width="13" customWidth="1" min="8" max="8"/>
    <col width="14" customWidth="1" min="9" max="9"/>
    <col width="24" customWidth="1" min="10" max="10"/>
  </cols>
  <sheetData>
    <row r="1" ht="30" customHeight="1">
      <c r="A1" s="1">
        <f>اسم_المؤسسة</f>
        <v/>
      </c>
    </row>
    <row r="2" ht="26" customHeight="1">
      <c r="A2" s="65" t="inlineStr">
        <is>
          <t>تقرير الوثائق المنتهية والقريبة من الانتهاء</t>
        </is>
      </c>
    </row>
    <row r="3">
      <c r="A3" s="66">
        <f>"تاريخ إعداد التقرير: "&amp;TEXT(TODAY(),"yyyy-mm-dd")</f>
        <v/>
      </c>
      <c r="F3" s="6">
        <f>"يُعرض ما تنتهي صلاحيته خلال "&amp;تنبيه_وثيقة_90&amp;" يومًا أو أقل"</f>
        <v/>
      </c>
    </row>
    <row r="6" ht="34" customHeight="1">
      <c r="A6" s="67" t="inlineStr">
        <is>
          <t>الرقم الوظيفي</t>
        </is>
      </c>
      <c r="B6" s="67" t="inlineStr">
        <is>
          <t>اسم الموظف</t>
        </is>
      </c>
      <c r="C6" s="67" t="inlineStr">
        <is>
          <t>نوع الوثيقة</t>
        </is>
      </c>
      <c r="D6" s="67" t="inlineStr">
        <is>
          <t>رقم الوثيقة</t>
        </is>
      </c>
      <c r="E6" s="67" t="inlineStr">
        <is>
          <t>تاريخ الإصدار</t>
        </is>
      </c>
      <c r="F6" s="67" t="inlineStr">
        <is>
          <t>تاريخ الانتهاء</t>
        </is>
      </c>
      <c r="G6" s="67" t="inlineStr">
        <is>
          <t>الجهة المصدرة</t>
        </is>
      </c>
      <c r="H6" s="67" t="inlineStr">
        <is>
          <t>أيام للانتهاء</t>
        </is>
      </c>
      <c r="I6" s="67" t="inlineStr">
        <is>
          <t>حالة الوثيقة</t>
        </is>
      </c>
      <c r="J6" s="67" t="inlineStr">
        <is>
          <t>الملاحظات</t>
        </is>
      </c>
    </row>
    <row r="7">
      <c r="A7" s="43">
        <f>IFERROR(INDEX('الوثائق'!$A$3:$A$502,MATCH(1,'الوثائق'!$K$3:$K$502,0)),"")</f>
        <v/>
      </c>
      <c r="B7" s="43">
        <f>IFERROR(INDEX('الوثائق'!$B$3:$B$502,MATCH(1,'الوثائق'!$K$3:$K$502,0)),"")</f>
        <v/>
      </c>
      <c r="C7" s="43">
        <f>IFERROR(INDEX('الوثائق'!$C$3:$C$502,MATCH(1,'الوثائق'!$K$3:$K$502,0)),"")</f>
        <v/>
      </c>
      <c r="D7" s="43">
        <f>IFERROR(INDEX('الوثائق'!$D$3:$D$502,MATCH(1,'الوثائق'!$K$3:$K$502,0)),"")</f>
        <v/>
      </c>
      <c r="E7" s="118">
        <f>IFERROR(INDEX('الوثائق'!$E$3:$E$502,MATCH(1,'الوثائق'!$K$3:$K$502,0)),"")</f>
        <v/>
      </c>
      <c r="F7" s="118">
        <f>IFERROR(INDEX('الوثائق'!$F$3:$F$502,MATCH(1,'الوثائق'!$K$3:$K$502,0)),"")</f>
        <v/>
      </c>
      <c r="G7" s="43">
        <f>IFERROR(INDEX('الوثائق'!$G$3:$G$502,MATCH(1,'الوثائق'!$K$3:$K$502,0)),"")</f>
        <v/>
      </c>
      <c r="H7" s="44">
        <f>IFERROR(INDEX('الوثائق'!$I$3:$I$502,MATCH(1,'الوثائق'!$K$3:$K$502,0)),"")</f>
        <v/>
      </c>
      <c r="I7" s="43">
        <f>IFERROR(INDEX('الوثائق'!$H$3:$H$502,MATCH(1,'الوثائق'!$K$3:$K$502,0)),"")</f>
        <v/>
      </c>
      <c r="J7" s="43">
        <f>IFERROR(INDEX('الوثائق'!$J$3:$J$502,MATCH(1,'الوثائق'!$K$3:$K$502,0)),"")</f>
        <v/>
      </c>
    </row>
    <row r="8">
      <c r="A8" s="50">
        <f>IFERROR(INDEX('الوثائق'!$A$3:$A$502,MATCH(2,'الوثائق'!$K$3:$K$502,0)),"")</f>
        <v/>
      </c>
      <c r="B8" s="50">
        <f>IFERROR(INDEX('الوثائق'!$B$3:$B$502,MATCH(2,'الوثائق'!$K$3:$K$502,0)),"")</f>
        <v/>
      </c>
      <c r="C8" s="50">
        <f>IFERROR(INDEX('الوثائق'!$C$3:$C$502,MATCH(2,'الوثائق'!$K$3:$K$502,0)),"")</f>
        <v/>
      </c>
      <c r="D8" s="50">
        <f>IFERROR(INDEX('الوثائق'!$D$3:$D$502,MATCH(2,'الوثائق'!$K$3:$K$502,0)),"")</f>
        <v/>
      </c>
      <c r="E8" s="119">
        <f>IFERROR(INDEX('الوثائق'!$E$3:$E$502,MATCH(2,'الوثائق'!$K$3:$K$502,0)),"")</f>
        <v/>
      </c>
      <c r="F8" s="119">
        <f>IFERROR(INDEX('الوثائق'!$F$3:$F$502,MATCH(2,'الوثائق'!$K$3:$K$502,0)),"")</f>
        <v/>
      </c>
      <c r="G8" s="50">
        <f>IFERROR(INDEX('الوثائق'!$G$3:$G$502,MATCH(2,'الوثائق'!$K$3:$K$502,0)),"")</f>
        <v/>
      </c>
      <c r="H8" s="51">
        <f>IFERROR(INDEX('الوثائق'!$I$3:$I$502,MATCH(2,'الوثائق'!$K$3:$K$502,0)),"")</f>
        <v/>
      </c>
      <c r="I8" s="50">
        <f>IFERROR(INDEX('الوثائق'!$H$3:$H$502,MATCH(2,'الوثائق'!$K$3:$K$502,0)),"")</f>
        <v/>
      </c>
      <c r="J8" s="50">
        <f>IFERROR(INDEX('الوثائق'!$J$3:$J$502,MATCH(2,'الوثائق'!$K$3:$K$502,0)),"")</f>
        <v/>
      </c>
    </row>
    <row r="9">
      <c r="A9" s="43">
        <f>IFERROR(INDEX('الوثائق'!$A$3:$A$502,MATCH(3,'الوثائق'!$K$3:$K$502,0)),"")</f>
        <v/>
      </c>
      <c r="B9" s="43">
        <f>IFERROR(INDEX('الوثائق'!$B$3:$B$502,MATCH(3,'الوثائق'!$K$3:$K$502,0)),"")</f>
        <v/>
      </c>
      <c r="C9" s="43">
        <f>IFERROR(INDEX('الوثائق'!$C$3:$C$502,MATCH(3,'الوثائق'!$K$3:$K$502,0)),"")</f>
        <v/>
      </c>
      <c r="D9" s="43">
        <f>IFERROR(INDEX('الوثائق'!$D$3:$D$502,MATCH(3,'الوثائق'!$K$3:$K$502,0)),"")</f>
        <v/>
      </c>
      <c r="E9" s="118">
        <f>IFERROR(INDEX('الوثائق'!$E$3:$E$502,MATCH(3,'الوثائق'!$K$3:$K$502,0)),"")</f>
        <v/>
      </c>
      <c r="F9" s="118">
        <f>IFERROR(INDEX('الوثائق'!$F$3:$F$502,MATCH(3,'الوثائق'!$K$3:$K$502,0)),"")</f>
        <v/>
      </c>
      <c r="G9" s="43">
        <f>IFERROR(INDEX('الوثائق'!$G$3:$G$502,MATCH(3,'الوثائق'!$K$3:$K$502,0)),"")</f>
        <v/>
      </c>
      <c r="H9" s="44">
        <f>IFERROR(INDEX('الوثائق'!$I$3:$I$502,MATCH(3,'الوثائق'!$K$3:$K$502,0)),"")</f>
        <v/>
      </c>
      <c r="I9" s="43">
        <f>IFERROR(INDEX('الوثائق'!$H$3:$H$502,MATCH(3,'الوثائق'!$K$3:$K$502,0)),"")</f>
        <v/>
      </c>
      <c r="J9" s="43">
        <f>IFERROR(INDEX('الوثائق'!$J$3:$J$502,MATCH(3,'الوثائق'!$K$3:$K$502,0)),"")</f>
        <v/>
      </c>
    </row>
    <row r="10">
      <c r="A10" s="50">
        <f>IFERROR(INDEX('الوثائق'!$A$3:$A$502,MATCH(4,'الوثائق'!$K$3:$K$502,0)),"")</f>
        <v/>
      </c>
      <c r="B10" s="50">
        <f>IFERROR(INDEX('الوثائق'!$B$3:$B$502,MATCH(4,'الوثائق'!$K$3:$K$502,0)),"")</f>
        <v/>
      </c>
      <c r="C10" s="50">
        <f>IFERROR(INDEX('الوثائق'!$C$3:$C$502,MATCH(4,'الوثائق'!$K$3:$K$502,0)),"")</f>
        <v/>
      </c>
      <c r="D10" s="50">
        <f>IFERROR(INDEX('الوثائق'!$D$3:$D$502,MATCH(4,'الوثائق'!$K$3:$K$502,0)),"")</f>
        <v/>
      </c>
      <c r="E10" s="119">
        <f>IFERROR(INDEX('الوثائق'!$E$3:$E$502,MATCH(4,'الوثائق'!$K$3:$K$502,0)),"")</f>
        <v/>
      </c>
      <c r="F10" s="119">
        <f>IFERROR(INDEX('الوثائق'!$F$3:$F$502,MATCH(4,'الوثائق'!$K$3:$K$502,0)),"")</f>
        <v/>
      </c>
      <c r="G10" s="50">
        <f>IFERROR(INDEX('الوثائق'!$G$3:$G$502,MATCH(4,'الوثائق'!$K$3:$K$502,0)),"")</f>
        <v/>
      </c>
      <c r="H10" s="51">
        <f>IFERROR(INDEX('الوثائق'!$I$3:$I$502,MATCH(4,'الوثائق'!$K$3:$K$502,0)),"")</f>
        <v/>
      </c>
      <c r="I10" s="50">
        <f>IFERROR(INDEX('الوثائق'!$H$3:$H$502,MATCH(4,'الوثائق'!$K$3:$K$502,0)),"")</f>
        <v/>
      </c>
      <c r="J10" s="50">
        <f>IFERROR(INDEX('الوثائق'!$J$3:$J$502,MATCH(4,'الوثائق'!$K$3:$K$502,0)),"")</f>
        <v/>
      </c>
    </row>
    <row r="11">
      <c r="A11" s="43">
        <f>IFERROR(INDEX('الوثائق'!$A$3:$A$502,MATCH(5,'الوثائق'!$K$3:$K$502,0)),"")</f>
        <v/>
      </c>
      <c r="B11" s="43">
        <f>IFERROR(INDEX('الوثائق'!$B$3:$B$502,MATCH(5,'الوثائق'!$K$3:$K$502,0)),"")</f>
        <v/>
      </c>
      <c r="C11" s="43">
        <f>IFERROR(INDEX('الوثائق'!$C$3:$C$502,MATCH(5,'الوثائق'!$K$3:$K$502,0)),"")</f>
        <v/>
      </c>
      <c r="D11" s="43">
        <f>IFERROR(INDEX('الوثائق'!$D$3:$D$502,MATCH(5,'الوثائق'!$K$3:$K$502,0)),"")</f>
        <v/>
      </c>
      <c r="E11" s="118">
        <f>IFERROR(INDEX('الوثائق'!$E$3:$E$502,MATCH(5,'الوثائق'!$K$3:$K$502,0)),"")</f>
        <v/>
      </c>
      <c r="F11" s="118">
        <f>IFERROR(INDEX('الوثائق'!$F$3:$F$502,MATCH(5,'الوثائق'!$K$3:$K$502,0)),"")</f>
        <v/>
      </c>
      <c r="G11" s="43">
        <f>IFERROR(INDEX('الوثائق'!$G$3:$G$502,MATCH(5,'الوثائق'!$K$3:$K$502,0)),"")</f>
        <v/>
      </c>
      <c r="H11" s="44">
        <f>IFERROR(INDEX('الوثائق'!$I$3:$I$502,MATCH(5,'الوثائق'!$K$3:$K$502,0)),"")</f>
        <v/>
      </c>
      <c r="I11" s="43">
        <f>IFERROR(INDEX('الوثائق'!$H$3:$H$502,MATCH(5,'الوثائق'!$K$3:$K$502,0)),"")</f>
        <v/>
      </c>
      <c r="J11" s="43">
        <f>IFERROR(INDEX('الوثائق'!$J$3:$J$502,MATCH(5,'الوثائق'!$K$3:$K$502,0)),"")</f>
        <v/>
      </c>
    </row>
    <row r="12">
      <c r="A12" s="50">
        <f>IFERROR(INDEX('الوثائق'!$A$3:$A$502,MATCH(6,'الوثائق'!$K$3:$K$502,0)),"")</f>
        <v/>
      </c>
      <c r="B12" s="50">
        <f>IFERROR(INDEX('الوثائق'!$B$3:$B$502,MATCH(6,'الوثائق'!$K$3:$K$502,0)),"")</f>
        <v/>
      </c>
      <c r="C12" s="50">
        <f>IFERROR(INDEX('الوثائق'!$C$3:$C$502,MATCH(6,'الوثائق'!$K$3:$K$502,0)),"")</f>
        <v/>
      </c>
      <c r="D12" s="50">
        <f>IFERROR(INDEX('الوثائق'!$D$3:$D$502,MATCH(6,'الوثائق'!$K$3:$K$502,0)),"")</f>
        <v/>
      </c>
      <c r="E12" s="119">
        <f>IFERROR(INDEX('الوثائق'!$E$3:$E$502,MATCH(6,'الوثائق'!$K$3:$K$502,0)),"")</f>
        <v/>
      </c>
      <c r="F12" s="119">
        <f>IFERROR(INDEX('الوثائق'!$F$3:$F$502,MATCH(6,'الوثائق'!$K$3:$K$502,0)),"")</f>
        <v/>
      </c>
      <c r="G12" s="50">
        <f>IFERROR(INDEX('الوثائق'!$G$3:$G$502,MATCH(6,'الوثائق'!$K$3:$K$502,0)),"")</f>
        <v/>
      </c>
      <c r="H12" s="51">
        <f>IFERROR(INDEX('الوثائق'!$I$3:$I$502,MATCH(6,'الوثائق'!$K$3:$K$502,0)),"")</f>
        <v/>
      </c>
      <c r="I12" s="50">
        <f>IFERROR(INDEX('الوثائق'!$H$3:$H$502,MATCH(6,'الوثائق'!$K$3:$K$502,0)),"")</f>
        <v/>
      </c>
      <c r="J12" s="50">
        <f>IFERROR(INDEX('الوثائق'!$J$3:$J$502,MATCH(6,'الوثائق'!$K$3:$K$502,0)),"")</f>
        <v/>
      </c>
    </row>
    <row r="13">
      <c r="A13" s="43">
        <f>IFERROR(INDEX('الوثائق'!$A$3:$A$502,MATCH(7,'الوثائق'!$K$3:$K$502,0)),"")</f>
        <v/>
      </c>
      <c r="B13" s="43">
        <f>IFERROR(INDEX('الوثائق'!$B$3:$B$502,MATCH(7,'الوثائق'!$K$3:$K$502,0)),"")</f>
        <v/>
      </c>
      <c r="C13" s="43">
        <f>IFERROR(INDEX('الوثائق'!$C$3:$C$502,MATCH(7,'الوثائق'!$K$3:$K$502,0)),"")</f>
        <v/>
      </c>
      <c r="D13" s="43">
        <f>IFERROR(INDEX('الوثائق'!$D$3:$D$502,MATCH(7,'الوثائق'!$K$3:$K$502,0)),"")</f>
        <v/>
      </c>
      <c r="E13" s="118">
        <f>IFERROR(INDEX('الوثائق'!$E$3:$E$502,MATCH(7,'الوثائق'!$K$3:$K$502,0)),"")</f>
        <v/>
      </c>
      <c r="F13" s="118">
        <f>IFERROR(INDEX('الوثائق'!$F$3:$F$502,MATCH(7,'الوثائق'!$K$3:$K$502,0)),"")</f>
        <v/>
      </c>
      <c r="G13" s="43">
        <f>IFERROR(INDEX('الوثائق'!$G$3:$G$502,MATCH(7,'الوثائق'!$K$3:$K$502,0)),"")</f>
        <v/>
      </c>
      <c r="H13" s="44">
        <f>IFERROR(INDEX('الوثائق'!$I$3:$I$502,MATCH(7,'الوثائق'!$K$3:$K$502,0)),"")</f>
        <v/>
      </c>
      <c r="I13" s="43">
        <f>IFERROR(INDEX('الوثائق'!$H$3:$H$502,MATCH(7,'الوثائق'!$K$3:$K$502,0)),"")</f>
        <v/>
      </c>
      <c r="J13" s="43">
        <f>IFERROR(INDEX('الوثائق'!$J$3:$J$502,MATCH(7,'الوثائق'!$K$3:$K$502,0)),"")</f>
        <v/>
      </c>
    </row>
    <row r="14">
      <c r="A14" s="50">
        <f>IFERROR(INDEX('الوثائق'!$A$3:$A$502,MATCH(8,'الوثائق'!$K$3:$K$502,0)),"")</f>
        <v/>
      </c>
      <c r="B14" s="50">
        <f>IFERROR(INDEX('الوثائق'!$B$3:$B$502,MATCH(8,'الوثائق'!$K$3:$K$502,0)),"")</f>
        <v/>
      </c>
      <c r="C14" s="50">
        <f>IFERROR(INDEX('الوثائق'!$C$3:$C$502,MATCH(8,'الوثائق'!$K$3:$K$502,0)),"")</f>
        <v/>
      </c>
      <c r="D14" s="50">
        <f>IFERROR(INDEX('الوثائق'!$D$3:$D$502,MATCH(8,'الوثائق'!$K$3:$K$502,0)),"")</f>
        <v/>
      </c>
      <c r="E14" s="119">
        <f>IFERROR(INDEX('الوثائق'!$E$3:$E$502,MATCH(8,'الوثائق'!$K$3:$K$502,0)),"")</f>
        <v/>
      </c>
      <c r="F14" s="119">
        <f>IFERROR(INDEX('الوثائق'!$F$3:$F$502,MATCH(8,'الوثائق'!$K$3:$K$502,0)),"")</f>
        <v/>
      </c>
      <c r="G14" s="50">
        <f>IFERROR(INDEX('الوثائق'!$G$3:$G$502,MATCH(8,'الوثائق'!$K$3:$K$502,0)),"")</f>
        <v/>
      </c>
      <c r="H14" s="51">
        <f>IFERROR(INDEX('الوثائق'!$I$3:$I$502,MATCH(8,'الوثائق'!$K$3:$K$502,0)),"")</f>
        <v/>
      </c>
      <c r="I14" s="50">
        <f>IFERROR(INDEX('الوثائق'!$H$3:$H$502,MATCH(8,'الوثائق'!$K$3:$K$502,0)),"")</f>
        <v/>
      </c>
      <c r="J14" s="50">
        <f>IFERROR(INDEX('الوثائق'!$J$3:$J$502,MATCH(8,'الوثائق'!$K$3:$K$502,0)),"")</f>
        <v/>
      </c>
    </row>
    <row r="15">
      <c r="A15" s="43">
        <f>IFERROR(INDEX('الوثائق'!$A$3:$A$502,MATCH(9,'الوثائق'!$K$3:$K$502,0)),"")</f>
        <v/>
      </c>
      <c r="B15" s="43">
        <f>IFERROR(INDEX('الوثائق'!$B$3:$B$502,MATCH(9,'الوثائق'!$K$3:$K$502,0)),"")</f>
        <v/>
      </c>
      <c r="C15" s="43">
        <f>IFERROR(INDEX('الوثائق'!$C$3:$C$502,MATCH(9,'الوثائق'!$K$3:$K$502,0)),"")</f>
        <v/>
      </c>
      <c r="D15" s="43">
        <f>IFERROR(INDEX('الوثائق'!$D$3:$D$502,MATCH(9,'الوثائق'!$K$3:$K$502,0)),"")</f>
        <v/>
      </c>
      <c r="E15" s="118">
        <f>IFERROR(INDEX('الوثائق'!$E$3:$E$502,MATCH(9,'الوثائق'!$K$3:$K$502,0)),"")</f>
        <v/>
      </c>
      <c r="F15" s="118">
        <f>IFERROR(INDEX('الوثائق'!$F$3:$F$502,MATCH(9,'الوثائق'!$K$3:$K$502,0)),"")</f>
        <v/>
      </c>
      <c r="G15" s="43">
        <f>IFERROR(INDEX('الوثائق'!$G$3:$G$502,MATCH(9,'الوثائق'!$K$3:$K$502,0)),"")</f>
        <v/>
      </c>
      <c r="H15" s="44">
        <f>IFERROR(INDEX('الوثائق'!$I$3:$I$502,MATCH(9,'الوثائق'!$K$3:$K$502,0)),"")</f>
        <v/>
      </c>
      <c r="I15" s="43">
        <f>IFERROR(INDEX('الوثائق'!$H$3:$H$502,MATCH(9,'الوثائق'!$K$3:$K$502,0)),"")</f>
        <v/>
      </c>
      <c r="J15" s="43">
        <f>IFERROR(INDEX('الوثائق'!$J$3:$J$502,MATCH(9,'الوثائق'!$K$3:$K$502,0)),"")</f>
        <v/>
      </c>
    </row>
    <row r="16">
      <c r="A16" s="50">
        <f>IFERROR(INDEX('الوثائق'!$A$3:$A$502,MATCH(10,'الوثائق'!$K$3:$K$502,0)),"")</f>
        <v/>
      </c>
      <c r="B16" s="50">
        <f>IFERROR(INDEX('الوثائق'!$B$3:$B$502,MATCH(10,'الوثائق'!$K$3:$K$502,0)),"")</f>
        <v/>
      </c>
      <c r="C16" s="50">
        <f>IFERROR(INDEX('الوثائق'!$C$3:$C$502,MATCH(10,'الوثائق'!$K$3:$K$502,0)),"")</f>
        <v/>
      </c>
      <c r="D16" s="50">
        <f>IFERROR(INDEX('الوثائق'!$D$3:$D$502,MATCH(10,'الوثائق'!$K$3:$K$502,0)),"")</f>
        <v/>
      </c>
      <c r="E16" s="119">
        <f>IFERROR(INDEX('الوثائق'!$E$3:$E$502,MATCH(10,'الوثائق'!$K$3:$K$502,0)),"")</f>
        <v/>
      </c>
      <c r="F16" s="119">
        <f>IFERROR(INDEX('الوثائق'!$F$3:$F$502,MATCH(10,'الوثائق'!$K$3:$K$502,0)),"")</f>
        <v/>
      </c>
      <c r="G16" s="50">
        <f>IFERROR(INDEX('الوثائق'!$G$3:$G$502,MATCH(10,'الوثائق'!$K$3:$K$502,0)),"")</f>
        <v/>
      </c>
      <c r="H16" s="51">
        <f>IFERROR(INDEX('الوثائق'!$I$3:$I$502,MATCH(10,'الوثائق'!$K$3:$K$502,0)),"")</f>
        <v/>
      </c>
      <c r="I16" s="50">
        <f>IFERROR(INDEX('الوثائق'!$H$3:$H$502,MATCH(10,'الوثائق'!$K$3:$K$502,0)),"")</f>
        <v/>
      </c>
      <c r="J16" s="50">
        <f>IFERROR(INDEX('الوثائق'!$J$3:$J$502,MATCH(10,'الوثائق'!$K$3:$K$502,0)),"")</f>
        <v/>
      </c>
    </row>
    <row r="17">
      <c r="A17" s="43">
        <f>IFERROR(INDEX('الوثائق'!$A$3:$A$502,MATCH(11,'الوثائق'!$K$3:$K$502,0)),"")</f>
        <v/>
      </c>
      <c r="B17" s="43">
        <f>IFERROR(INDEX('الوثائق'!$B$3:$B$502,MATCH(11,'الوثائق'!$K$3:$K$502,0)),"")</f>
        <v/>
      </c>
      <c r="C17" s="43">
        <f>IFERROR(INDEX('الوثائق'!$C$3:$C$502,MATCH(11,'الوثائق'!$K$3:$K$502,0)),"")</f>
        <v/>
      </c>
      <c r="D17" s="43">
        <f>IFERROR(INDEX('الوثائق'!$D$3:$D$502,MATCH(11,'الوثائق'!$K$3:$K$502,0)),"")</f>
        <v/>
      </c>
      <c r="E17" s="118">
        <f>IFERROR(INDEX('الوثائق'!$E$3:$E$502,MATCH(11,'الوثائق'!$K$3:$K$502,0)),"")</f>
        <v/>
      </c>
      <c r="F17" s="118">
        <f>IFERROR(INDEX('الوثائق'!$F$3:$F$502,MATCH(11,'الوثائق'!$K$3:$K$502,0)),"")</f>
        <v/>
      </c>
      <c r="G17" s="43">
        <f>IFERROR(INDEX('الوثائق'!$G$3:$G$502,MATCH(11,'الوثائق'!$K$3:$K$502,0)),"")</f>
        <v/>
      </c>
      <c r="H17" s="44">
        <f>IFERROR(INDEX('الوثائق'!$I$3:$I$502,MATCH(11,'الوثائق'!$K$3:$K$502,0)),"")</f>
        <v/>
      </c>
      <c r="I17" s="43">
        <f>IFERROR(INDEX('الوثائق'!$H$3:$H$502,MATCH(11,'الوثائق'!$K$3:$K$502,0)),"")</f>
        <v/>
      </c>
      <c r="J17" s="43">
        <f>IFERROR(INDEX('الوثائق'!$J$3:$J$502,MATCH(11,'الوثائق'!$K$3:$K$502,0)),"")</f>
        <v/>
      </c>
    </row>
    <row r="18">
      <c r="A18" s="50">
        <f>IFERROR(INDEX('الوثائق'!$A$3:$A$502,MATCH(12,'الوثائق'!$K$3:$K$502,0)),"")</f>
        <v/>
      </c>
      <c r="B18" s="50">
        <f>IFERROR(INDEX('الوثائق'!$B$3:$B$502,MATCH(12,'الوثائق'!$K$3:$K$502,0)),"")</f>
        <v/>
      </c>
      <c r="C18" s="50">
        <f>IFERROR(INDEX('الوثائق'!$C$3:$C$502,MATCH(12,'الوثائق'!$K$3:$K$502,0)),"")</f>
        <v/>
      </c>
      <c r="D18" s="50">
        <f>IFERROR(INDEX('الوثائق'!$D$3:$D$502,MATCH(12,'الوثائق'!$K$3:$K$502,0)),"")</f>
        <v/>
      </c>
      <c r="E18" s="119">
        <f>IFERROR(INDEX('الوثائق'!$E$3:$E$502,MATCH(12,'الوثائق'!$K$3:$K$502,0)),"")</f>
        <v/>
      </c>
      <c r="F18" s="119">
        <f>IFERROR(INDEX('الوثائق'!$F$3:$F$502,MATCH(12,'الوثائق'!$K$3:$K$502,0)),"")</f>
        <v/>
      </c>
      <c r="G18" s="50">
        <f>IFERROR(INDEX('الوثائق'!$G$3:$G$502,MATCH(12,'الوثائق'!$K$3:$K$502,0)),"")</f>
        <v/>
      </c>
      <c r="H18" s="51">
        <f>IFERROR(INDEX('الوثائق'!$I$3:$I$502,MATCH(12,'الوثائق'!$K$3:$K$502,0)),"")</f>
        <v/>
      </c>
      <c r="I18" s="50">
        <f>IFERROR(INDEX('الوثائق'!$H$3:$H$502,MATCH(12,'الوثائق'!$K$3:$K$502,0)),"")</f>
        <v/>
      </c>
      <c r="J18" s="50">
        <f>IFERROR(INDEX('الوثائق'!$J$3:$J$502,MATCH(12,'الوثائق'!$K$3:$K$502,0)),"")</f>
        <v/>
      </c>
    </row>
    <row r="19">
      <c r="A19" s="43">
        <f>IFERROR(INDEX('الوثائق'!$A$3:$A$502,MATCH(13,'الوثائق'!$K$3:$K$502,0)),"")</f>
        <v/>
      </c>
      <c r="B19" s="43">
        <f>IFERROR(INDEX('الوثائق'!$B$3:$B$502,MATCH(13,'الوثائق'!$K$3:$K$502,0)),"")</f>
        <v/>
      </c>
      <c r="C19" s="43">
        <f>IFERROR(INDEX('الوثائق'!$C$3:$C$502,MATCH(13,'الوثائق'!$K$3:$K$502,0)),"")</f>
        <v/>
      </c>
      <c r="D19" s="43">
        <f>IFERROR(INDEX('الوثائق'!$D$3:$D$502,MATCH(13,'الوثائق'!$K$3:$K$502,0)),"")</f>
        <v/>
      </c>
      <c r="E19" s="118">
        <f>IFERROR(INDEX('الوثائق'!$E$3:$E$502,MATCH(13,'الوثائق'!$K$3:$K$502,0)),"")</f>
        <v/>
      </c>
      <c r="F19" s="118">
        <f>IFERROR(INDEX('الوثائق'!$F$3:$F$502,MATCH(13,'الوثائق'!$K$3:$K$502,0)),"")</f>
        <v/>
      </c>
      <c r="G19" s="43">
        <f>IFERROR(INDEX('الوثائق'!$G$3:$G$502,MATCH(13,'الوثائق'!$K$3:$K$502,0)),"")</f>
        <v/>
      </c>
      <c r="H19" s="44">
        <f>IFERROR(INDEX('الوثائق'!$I$3:$I$502,MATCH(13,'الوثائق'!$K$3:$K$502,0)),"")</f>
        <v/>
      </c>
      <c r="I19" s="43">
        <f>IFERROR(INDEX('الوثائق'!$H$3:$H$502,MATCH(13,'الوثائق'!$K$3:$K$502,0)),"")</f>
        <v/>
      </c>
      <c r="J19" s="43">
        <f>IFERROR(INDEX('الوثائق'!$J$3:$J$502,MATCH(13,'الوثائق'!$K$3:$K$502,0)),"")</f>
        <v/>
      </c>
    </row>
    <row r="20">
      <c r="A20" s="50">
        <f>IFERROR(INDEX('الوثائق'!$A$3:$A$502,MATCH(14,'الوثائق'!$K$3:$K$502,0)),"")</f>
        <v/>
      </c>
      <c r="B20" s="50">
        <f>IFERROR(INDEX('الوثائق'!$B$3:$B$502,MATCH(14,'الوثائق'!$K$3:$K$502,0)),"")</f>
        <v/>
      </c>
      <c r="C20" s="50">
        <f>IFERROR(INDEX('الوثائق'!$C$3:$C$502,MATCH(14,'الوثائق'!$K$3:$K$502,0)),"")</f>
        <v/>
      </c>
      <c r="D20" s="50">
        <f>IFERROR(INDEX('الوثائق'!$D$3:$D$502,MATCH(14,'الوثائق'!$K$3:$K$502,0)),"")</f>
        <v/>
      </c>
      <c r="E20" s="119">
        <f>IFERROR(INDEX('الوثائق'!$E$3:$E$502,MATCH(14,'الوثائق'!$K$3:$K$502,0)),"")</f>
        <v/>
      </c>
      <c r="F20" s="119">
        <f>IFERROR(INDEX('الوثائق'!$F$3:$F$502,MATCH(14,'الوثائق'!$K$3:$K$502,0)),"")</f>
        <v/>
      </c>
      <c r="G20" s="50">
        <f>IFERROR(INDEX('الوثائق'!$G$3:$G$502,MATCH(14,'الوثائق'!$K$3:$K$502,0)),"")</f>
        <v/>
      </c>
      <c r="H20" s="51">
        <f>IFERROR(INDEX('الوثائق'!$I$3:$I$502,MATCH(14,'الوثائق'!$K$3:$K$502,0)),"")</f>
        <v/>
      </c>
      <c r="I20" s="50">
        <f>IFERROR(INDEX('الوثائق'!$H$3:$H$502,MATCH(14,'الوثائق'!$K$3:$K$502,0)),"")</f>
        <v/>
      </c>
      <c r="J20" s="50">
        <f>IFERROR(INDEX('الوثائق'!$J$3:$J$502,MATCH(14,'الوثائق'!$K$3:$K$502,0)),"")</f>
        <v/>
      </c>
    </row>
    <row r="21">
      <c r="A21" s="43">
        <f>IFERROR(INDEX('الوثائق'!$A$3:$A$502,MATCH(15,'الوثائق'!$K$3:$K$502,0)),"")</f>
        <v/>
      </c>
      <c r="B21" s="43">
        <f>IFERROR(INDEX('الوثائق'!$B$3:$B$502,MATCH(15,'الوثائق'!$K$3:$K$502,0)),"")</f>
        <v/>
      </c>
      <c r="C21" s="43">
        <f>IFERROR(INDEX('الوثائق'!$C$3:$C$502,MATCH(15,'الوثائق'!$K$3:$K$502,0)),"")</f>
        <v/>
      </c>
      <c r="D21" s="43">
        <f>IFERROR(INDEX('الوثائق'!$D$3:$D$502,MATCH(15,'الوثائق'!$K$3:$K$502,0)),"")</f>
        <v/>
      </c>
      <c r="E21" s="118">
        <f>IFERROR(INDEX('الوثائق'!$E$3:$E$502,MATCH(15,'الوثائق'!$K$3:$K$502,0)),"")</f>
        <v/>
      </c>
      <c r="F21" s="118">
        <f>IFERROR(INDEX('الوثائق'!$F$3:$F$502,MATCH(15,'الوثائق'!$K$3:$K$502,0)),"")</f>
        <v/>
      </c>
      <c r="G21" s="43">
        <f>IFERROR(INDEX('الوثائق'!$G$3:$G$502,MATCH(15,'الوثائق'!$K$3:$K$502,0)),"")</f>
        <v/>
      </c>
      <c r="H21" s="44">
        <f>IFERROR(INDEX('الوثائق'!$I$3:$I$502,MATCH(15,'الوثائق'!$K$3:$K$502,0)),"")</f>
        <v/>
      </c>
      <c r="I21" s="43">
        <f>IFERROR(INDEX('الوثائق'!$H$3:$H$502,MATCH(15,'الوثائق'!$K$3:$K$502,0)),"")</f>
        <v/>
      </c>
      <c r="J21" s="43">
        <f>IFERROR(INDEX('الوثائق'!$J$3:$J$502,MATCH(15,'الوثائق'!$K$3:$K$502,0)),"")</f>
        <v/>
      </c>
    </row>
    <row r="22">
      <c r="A22" s="50">
        <f>IFERROR(INDEX('الوثائق'!$A$3:$A$502,MATCH(16,'الوثائق'!$K$3:$K$502,0)),"")</f>
        <v/>
      </c>
      <c r="B22" s="50">
        <f>IFERROR(INDEX('الوثائق'!$B$3:$B$502,MATCH(16,'الوثائق'!$K$3:$K$502,0)),"")</f>
        <v/>
      </c>
      <c r="C22" s="50">
        <f>IFERROR(INDEX('الوثائق'!$C$3:$C$502,MATCH(16,'الوثائق'!$K$3:$K$502,0)),"")</f>
        <v/>
      </c>
      <c r="D22" s="50">
        <f>IFERROR(INDEX('الوثائق'!$D$3:$D$502,MATCH(16,'الوثائق'!$K$3:$K$502,0)),"")</f>
        <v/>
      </c>
      <c r="E22" s="119">
        <f>IFERROR(INDEX('الوثائق'!$E$3:$E$502,MATCH(16,'الوثائق'!$K$3:$K$502,0)),"")</f>
        <v/>
      </c>
      <c r="F22" s="119">
        <f>IFERROR(INDEX('الوثائق'!$F$3:$F$502,MATCH(16,'الوثائق'!$K$3:$K$502,0)),"")</f>
        <v/>
      </c>
      <c r="G22" s="50">
        <f>IFERROR(INDEX('الوثائق'!$G$3:$G$502,MATCH(16,'الوثائق'!$K$3:$K$502,0)),"")</f>
        <v/>
      </c>
      <c r="H22" s="51">
        <f>IFERROR(INDEX('الوثائق'!$I$3:$I$502,MATCH(16,'الوثائق'!$K$3:$K$502,0)),"")</f>
        <v/>
      </c>
      <c r="I22" s="50">
        <f>IFERROR(INDEX('الوثائق'!$H$3:$H$502,MATCH(16,'الوثائق'!$K$3:$K$502,0)),"")</f>
        <v/>
      </c>
      <c r="J22" s="50">
        <f>IFERROR(INDEX('الوثائق'!$J$3:$J$502,MATCH(16,'الوثائق'!$K$3:$K$502,0)),"")</f>
        <v/>
      </c>
    </row>
    <row r="23">
      <c r="A23" s="43">
        <f>IFERROR(INDEX('الوثائق'!$A$3:$A$502,MATCH(17,'الوثائق'!$K$3:$K$502,0)),"")</f>
        <v/>
      </c>
      <c r="B23" s="43">
        <f>IFERROR(INDEX('الوثائق'!$B$3:$B$502,MATCH(17,'الوثائق'!$K$3:$K$502,0)),"")</f>
        <v/>
      </c>
      <c r="C23" s="43">
        <f>IFERROR(INDEX('الوثائق'!$C$3:$C$502,MATCH(17,'الوثائق'!$K$3:$K$502,0)),"")</f>
        <v/>
      </c>
      <c r="D23" s="43">
        <f>IFERROR(INDEX('الوثائق'!$D$3:$D$502,MATCH(17,'الوثائق'!$K$3:$K$502,0)),"")</f>
        <v/>
      </c>
      <c r="E23" s="118">
        <f>IFERROR(INDEX('الوثائق'!$E$3:$E$502,MATCH(17,'الوثائق'!$K$3:$K$502,0)),"")</f>
        <v/>
      </c>
      <c r="F23" s="118">
        <f>IFERROR(INDEX('الوثائق'!$F$3:$F$502,MATCH(17,'الوثائق'!$K$3:$K$502,0)),"")</f>
        <v/>
      </c>
      <c r="G23" s="43">
        <f>IFERROR(INDEX('الوثائق'!$G$3:$G$502,MATCH(17,'الوثائق'!$K$3:$K$502,0)),"")</f>
        <v/>
      </c>
      <c r="H23" s="44">
        <f>IFERROR(INDEX('الوثائق'!$I$3:$I$502,MATCH(17,'الوثائق'!$K$3:$K$502,0)),"")</f>
        <v/>
      </c>
      <c r="I23" s="43">
        <f>IFERROR(INDEX('الوثائق'!$H$3:$H$502,MATCH(17,'الوثائق'!$K$3:$K$502,0)),"")</f>
        <v/>
      </c>
      <c r="J23" s="43">
        <f>IFERROR(INDEX('الوثائق'!$J$3:$J$502,MATCH(17,'الوثائق'!$K$3:$K$502,0)),"")</f>
        <v/>
      </c>
    </row>
    <row r="24">
      <c r="A24" s="50">
        <f>IFERROR(INDEX('الوثائق'!$A$3:$A$502,MATCH(18,'الوثائق'!$K$3:$K$502,0)),"")</f>
        <v/>
      </c>
      <c r="B24" s="50">
        <f>IFERROR(INDEX('الوثائق'!$B$3:$B$502,MATCH(18,'الوثائق'!$K$3:$K$502,0)),"")</f>
        <v/>
      </c>
      <c r="C24" s="50">
        <f>IFERROR(INDEX('الوثائق'!$C$3:$C$502,MATCH(18,'الوثائق'!$K$3:$K$502,0)),"")</f>
        <v/>
      </c>
      <c r="D24" s="50">
        <f>IFERROR(INDEX('الوثائق'!$D$3:$D$502,MATCH(18,'الوثائق'!$K$3:$K$502,0)),"")</f>
        <v/>
      </c>
      <c r="E24" s="119">
        <f>IFERROR(INDEX('الوثائق'!$E$3:$E$502,MATCH(18,'الوثائق'!$K$3:$K$502,0)),"")</f>
        <v/>
      </c>
      <c r="F24" s="119">
        <f>IFERROR(INDEX('الوثائق'!$F$3:$F$502,MATCH(18,'الوثائق'!$K$3:$K$502,0)),"")</f>
        <v/>
      </c>
      <c r="G24" s="50">
        <f>IFERROR(INDEX('الوثائق'!$G$3:$G$502,MATCH(18,'الوثائق'!$K$3:$K$502,0)),"")</f>
        <v/>
      </c>
      <c r="H24" s="51">
        <f>IFERROR(INDEX('الوثائق'!$I$3:$I$502,MATCH(18,'الوثائق'!$K$3:$K$502,0)),"")</f>
        <v/>
      </c>
      <c r="I24" s="50">
        <f>IFERROR(INDEX('الوثائق'!$H$3:$H$502,MATCH(18,'الوثائق'!$K$3:$K$502,0)),"")</f>
        <v/>
      </c>
      <c r="J24" s="50">
        <f>IFERROR(INDEX('الوثائق'!$J$3:$J$502,MATCH(18,'الوثائق'!$K$3:$K$502,0)),"")</f>
        <v/>
      </c>
    </row>
    <row r="25">
      <c r="A25" s="43">
        <f>IFERROR(INDEX('الوثائق'!$A$3:$A$502,MATCH(19,'الوثائق'!$K$3:$K$502,0)),"")</f>
        <v/>
      </c>
      <c r="B25" s="43">
        <f>IFERROR(INDEX('الوثائق'!$B$3:$B$502,MATCH(19,'الوثائق'!$K$3:$K$502,0)),"")</f>
        <v/>
      </c>
      <c r="C25" s="43">
        <f>IFERROR(INDEX('الوثائق'!$C$3:$C$502,MATCH(19,'الوثائق'!$K$3:$K$502,0)),"")</f>
        <v/>
      </c>
      <c r="D25" s="43">
        <f>IFERROR(INDEX('الوثائق'!$D$3:$D$502,MATCH(19,'الوثائق'!$K$3:$K$502,0)),"")</f>
        <v/>
      </c>
      <c r="E25" s="118">
        <f>IFERROR(INDEX('الوثائق'!$E$3:$E$502,MATCH(19,'الوثائق'!$K$3:$K$502,0)),"")</f>
        <v/>
      </c>
      <c r="F25" s="118">
        <f>IFERROR(INDEX('الوثائق'!$F$3:$F$502,MATCH(19,'الوثائق'!$K$3:$K$502,0)),"")</f>
        <v/>
      </c>
      <c r="G25" s="43">
        <f>IFERROR(INDEX('الوثائق'!$G$3:$G$502,MATCH(19,'الوثائق'!$K$3:$K$502,0)),"")</f>
        <v/>
      </c>
      <c r="H25" s="44">
        <f>IFERROR(INDEX('الوثائق'!$I$3:$I$502,MATCH(19,'الوثائق'!$K$3:$K$502,0)),"")</f>
        <v/>
      </c>
      <c r="I25" s="43">
        <f>IFERROR(INDEX('الوثائق'!$H$3:$H$502,MATCH(19,'الوثائق'!$K$3:$K$502,0)),"")</f>
        <v/>
      </c>
      <c r="J25" s="43">
        <f>IFERROR(INDEX('الوثائق'!$J$3:$J$502,MATCH(19,'الوثائق'!$K$3:$K$502,0)),"")</f>
        <v/>
      </c>
    </row>
    <row r="26">
      <c r="A26" s="50">
        <f>IFERROR(INDEX('الوثائق'!$A$3:$A$502,MATCH(20,'الوثائق'!$K$3:$K$502,0)),"")</f>
        <v/>
      </c>
      <c r="B26" s="50">
        <f>IFERROR(INDEX('الوثائق'!$B$3:$B$502,MATCH(20,'الوثائق'!$K$3:$K$502,0)),"")</f>
        <v/>
      </c>
      <c r="C26" s="50">
        <f>IFERROR(INDEX('الوثائق'!$C$3:$C$502,MATCH(20,'الوثائق'!$K$3:$K$502,0)),"")</f>
        <v/>
      </c>
      <c r="D26" s="50">
        <f>IFERROR(INDEX('الوثائق'!$D$3:$D$502,MATCH(20,'الوثائق'!$K$3:$K$502,0)),"")</f>
        <v/>
      </c>
      <c r="E26" s="119">
        <f>IFERROR(INDEX('الوثائق'!$E$3:$E$502,MATCH(20,'الوثائق'!$K$3:$K$502,0)),"")</f>
        <v/>
      </c>
      <c r="F26" s="119">
        <f>IFERROR(INDEX('الوثائق'!$F$3:$F$502,MATCH(20,'الوثائق'!$K$3:$K$502,0)),"")</f>
        <v/>
      </c>
      <c r="G26" s="50">
        <f>IFERROR(INDEX('الوثائق'!$G$3:$G$502,MATCH(20,'الوثائق'!$K$3:$K$502,0)),"")</f>
        <v/>
      </c>
      <c r="H26" s="51">
        <f>IFERROR(INDEX('الوثائق'!$I$3:$I$502,MATCH(20,'الوثائق'!$K$3:$K$502,0)),"")</f>
        <v/>
      </c>
      <c r="I26" s="50">
        <f>IFERROR(INDEX('الوثائق'!$H$3:$H$502,MATCH(20,'الوثائق'!$K$3:$K$502,0)),"")</f>
        <v/>
      </c>
      <c r="J26" s="50">
        <f>IFERROR(INDEX('الوثائق'!$J$3:$J$502,MATCH(20,'الوثائق'!$K$3:$K$502,0)),"")</f>
        <v/>
      </c>
    </row>
    <row r="27">
      <c r="A27" s="43">
        <f>IFERROR(INDEX('الوثائق'!$A$3:$A$502,MATCH(21,'الوثائق'!$K$3:$K$502,0)),"")</f>
        <v/>
      </c>
      <c r="B27" s="43">
        <f>IFERROR(INDEX('الوثائق'!$B$3:$B$502,MATCH(21,'الوثائق'!$K$3:$K$502,0)),"")</f>
        <v/>
      </c>
      <c r="C27" s="43">
        <f>IFERROR(INDEX('الوثائق'!$C$3:$C$502,MATCH(21,'الوثائق'!$K$3:$K$502,0)),"")</f>
        <v/>
      </c>
      <c r="D27" s="43">
        <f>IFERROR(INDEX('الوثائق'!$D$3:$D$502,MATCH(21,'الوثائق'!$K$3:$K$502,0)),"")</f>
        <v/>
      </c>
      <c r="E27" s="118">
        <f>IFERROR(INDEX('الوثائق'!$E$3:$E$502,MATCH(21,'الوثائق'!$K$3:$K$502,0)),"")</f>
        <v/>
      </c>
      <c r="F27" s="118">
        <f>IFERROR(INDEX('الوثائق'!$F$3:$F$502,MATCH(21,'الوثائق'!$K$3:$K$502,0)),"")</f>
        <v/>
      </c>
      <c r="G27" s="43">
        <f>IFERROR(INDEX('الوثائق'!$G$3:$G$502,MATCH(21,'الوثائق'!$K$3:$K$502,0)),"")</f>
        <v/>
      </c>
      <c r="H27" s="44">
        <f>IFERROR(INDEX('الوثائق'!$I$3:$I$502,MATCH(21,'الوثائق'!$K$3:$K$502,0)),"")</f>
        <v/>
      </c>
      <c r="I27" s="43">
        <f>IFERROR(INDEX('الوثائق'!$H$3:$H$502,MATCH(21,'الوثائق'!$K$3:$K$502,0)),"")</f>
        <v/>
      </c>
      <c r="J27" s="43">
        <f>IFERROR(INDEX('الوثائق'!$J$3:$J$502,MATCH(21,'الوثائق'!$K$3:$K$502,0)),"")</f>
        <v/>
      </c>
    </row>
    <row r="28">
      <c r="A28" s="50">
        <f>IFERROR(INDEX('الوثائق'!$A$3:$A$502,MATCH(22,'الوثائق'!$K$3:$K$502,0)),"")</f>
        <v/>
      </c>
      <c r="B28" s="50">
        <f>IFERROR(INDEX('الوثائق'!$B$3:$B$502,MATCH(22,'الوثائق'!$K$3:$K$502,0)),"")</f>
        <v/>
      </c>
      <c r="C28" s="50">
        <f>IFERROR(INDEX('الوثائق'!$C$3:$C$502,MATCH(22,'الوثائق'!$K$3:$K$502,0)),"")</f>
        <v/>
      </c>
      <c r="D28" s="50">
        <f>IFERROR(INDEX('الوثائق'!$D$3:$D$502,MATCH(22,'الوثائق'!$K$3:$K$502,0)),"")</f>
        <v/>
      </c>
      <c r="E28" s="119">
        <f>IFERROR(INDEX('الوثائق'!$E$3:$E$502,MATCH(22,'الوثائق'!$K$3:$K$502,0)),"")</f>
        <v/>
      </c>
      <c r="F28" s="119">
        <f>IFERROR(INDEX('الوثائق'!$F$3:$F$502,MATCH(22,'الوثائق'!$K$3:$K$502,0)),"")</f>
        <v/>
      </c>
      <c r="G28" s="50">
        <f>IFERROR(INDEX('الوثائق'!$G$3:$G$502,MATCH(22,'الوثائق'!$K$3:$K$502,0)),"")</f>
        <v/>
      </c>
      <c r="H28" s="51">
        <f>IFERROR(INDEX('الوثائق'!$I$3:$I$502,MATCH(22,'الوثائق'!$K$3:$K$502,0)),"")</f>
        <v/>
      </c>
      <c r="I28" s="50">
        <f>IFERROR(INDEX('الوثائق'!$H$3:$H$502,MATCH(22,'الوثائق'!$K$3:$K$502,0)),"")</f>
        <v/>
      </c>
      <c r="J28" s="50">
        <f>IFERROR(INDEX('الوثائق'!$J$3:$J$502,MATCH(22,'الوثائق'!$K$3:$K$502,0)),"")</f>
        <v/>
      </c>
    </row>
    <row r="29">
      <c r="A29" s="43">
        <f>IFERROR(INDEX('الوثائق'!$A$3:$A$502,MATCH(23,'الوثائق'!$K$3:$K$502,0)),"")</f>
        <v/>
      </c>
      <c r="B29" s="43">
        <f>IFERROR(INDEX('الوثائق'!$B$3:$B$502,MATCH(23,'الوثائق'!$K$3:$K$502,0)),"")</f>
        <v/>
      </c>
      <c r="C29" s="43">
        <f>IFERROR(INDEX('الوثائق'!$C$3:$C$502,MATCH(23,'الوثائق'!$K$3:$K$502,0)),"")</f>
        <v/>
      </c>
      <c r="D29" s="43">
        <f>IFERROR(INDEX('الوثائق'!$D$3:$D$502,MATCH(23,'الوثائق'!$K$3:$K$502,0)),"")</f>
        <v/>
      </c>
      <c r="E29" s="118">
        <f>IFERROR(INDEX('الوثائق'!$E$3:$E$502,MATCH(23,'الوثائق'!$K$3:$K$502,0)),"")</f>
        <v/>
      </c>
      <c r="F29" s="118">
        <f>IFERROR(INDEX('الوثائق'!$F$3:$F$502,MATCH(23,'الوثائق'!$K$3:$K$502,0)),"")</f>
        <v/>
      </c>
      <c r="G29" s="43">
        <f>IFERROR(INDEX('الوثائق'!$G$3:$G$502,MATCH(23,'الوثائق'!$K$3:$K$502,0)),"")</f>
        <v/>
      </c>
      <c r="H29" s="44">
        <f>IFERROR(INDEX('الوثائق'!$I$3:$I$502,MATCH(23,'الوثائق'!$K$3:$K$502,0)),"")</f>
        <v/>
      </c>
      <c r="I29" s="43">
        <f>IFERROR(INDEX('الوثائق'!$H$3:$H$502,MATCH(23,'الوثائق'!$K$3:$K$502,0)),"")</f>
        <v/>
      </c>
      <c r="J29" s="43">
        <f>IFERROR(INDEX('الوثائق'!$J$3:$J$502,MATCH(23,'الوثائق'!$K$3:$K$502,0)),"")</f>
        <v/>
      </c>
    </row>
    <row r="30">
      <c r="A30" s="50">
        <f>IFERROR(INDEX('الوثائق'!$A$3:$A$502,MATCH(24,'الوثائق'!$K$3:$K$502,0)),"")</f>
        <v/>
      </c>
      <c r="B30" s="50">
        <f>IFERROR(INDEX('الوثائق'!$B$3:$B$502,MATCH(24,'الوثائق'!$K$3:$K$502,0)),"")</f>
        <v/>
      </c>
      <c r="C30" s="50">
        <f>IFERROR(INDEX('الوثائق'!$C$3:$C$502,MATCH(24,'الوثائق'!$K$3:$K$502,0)),"")</f>
        <v/>
      </c>
      <c r="D30" s="50">
        <f>IFERROR(INDEX('الوثائق'!$D$3:$D$502,MATCH(24,'الوثائق'!$K$3:$K$502,0)),"")</f>
        <v/>
      </c>
      <c r="E30" s="119">
        <f>IFERROR(INDEX('الوثائق'!$E$3:$E$502,MATCH(24,'الوثائق'!$K$3:$K$502,0)),"")</f>
        <v/>
      </c>
      <c r="F30" s="119">
        <f>IFERROR(INDEX('الوثائق'!$F$3:$F$502,MATCH(24,'الوثائق'!$K$3:$K$502,0)),"")</f>
        <v/>
      </c>
      <c r="G30" s="50">
        <f>IFERROR(INDEX('الوثائق'!$G$3:$G$502,MATCH(24,'الوثائق'!$K$3:$K$502,0)),"")</f>
        <v/>
      </c>
      <c r="H30" s="51">
        <f>IFERROR(INDEX('الوثائق'!$I$3:$I$502,MATCH(24,'الوثائق'!$K$3:$K$502,0)),"")</f>
        <v/>
      </c>
      <c r="I30" s="50">
        <f>IFERROR(INDEX('الوثائق'!$H$3:$H$502,MATCH(24,'الوثائق'!$K$3:$K$502,0)),"")</f>
        <v/>
      </c>
      <c r="J30" s="50">
        <f>IFERROR(INDEX('الوثائق'!$J$3:$J$502,MATCH(24,'الوثائق'!$K$3:$K$502,0)),"")</f>
        <v/>
      </c>
    </row>
    <row r="31">
      <c r="A31" s="43">
        <f>IFERROR(INDEX('الوثائق'!$A$3:$A$502,MATCH(25,'الوثائق'!$K$3:$K$502,0)),"")</f>
        <v/>
      </c>
      <c r="B31" s="43">
        <f>IFERROR(INDEX('الوثائق'!$B$3:$B$502,MATCH(25,'الوثائق'!$K$3:$K$502,0)),"")</f>
        <v/>
      </c>
      <c r="C31" s="43">
        <f>IFERROR(INDEX('الوثائق'!$C$3:$C$502,MATCH(25,'الوثائق'!$K$3:$K$502,0)),"")</f>
        <v/>
      </c>
      <c r="D31" s="43">
        <f>IFERROR(INDEX('الوثائق'!$D$3:$D$502,MATCH(25,'الوثائق'!$K$3:$K$502,0)),"")</f>
        <v/>
      </c>
      <c r="E31" s="118">
        <f>IFERROR(INDEX('الوثائق'!$E$3:$E$502,MATCH(25,'الوثائق'!$K$3:$K$502,0)),"")</f>
        <v/>
      </c>
      <c r="F31" s="118">
        <f>IFERROR(INDEX('الوثائق'!$F$3:$F$502,MATCH(25,'الوثائق'!$K$3:$K$502,0)),"")</f>
        <v/>
      </c>
      <c r="G31" s="43">
        <f>IFERROR(INDEX('الوثائق'!$G$3:$G$502,MATCH(25,'الوثائق'!$K$3:$K$502,0)),"")</f>
        <v/>
      </c>
      <c r="H31" s="44">
        <f>IFERROR(INDEX('الوثائق'!$I$3:$I$502,MATCH(25,'الوثائق'!$K$3:$K$502,0)),"")</f>
        <v/>
      </c>
      <c r="I31" s="43">
        <f>IFERROR(INDEX('الوثائق'!$H$3:$H$502,MATCH(25,'الوثائق'!$K$3:$K$502,0)),"")</f>
        <v/>
      </c>
      <c r="J31" s="43">
        <f>IFERROR(INDEX('الوثائق'!$J$3:$J$502,MATCH(25,'الوثائق'!$K$3:$K$502,0)),"")</f>
        <v/>
      </c>
    </row>
    <row r="32">
      <c r="A32" s="50">
        <f>IFERROR(INDEX('الوثائق'!$A$3:$A$502,MATCH(26,'الوثائق'!$K$3:$K$502,0)),"")</f>
        <v/>
      </c>
      <c r="B32" s="50">
        <f>IFERROR(INDEX('الوثائق'!$B$3:$B$502,MATCH(26,'الوثائق'!$K$3:$K$502,0)),"")</f>
        <v/>
      </c>
      <c r="C32" s="50">
        <f>IFERROR(INDEX('الوثائق'!$C$3:$C$502,MATCH(26,'الوثائق'!$K$3:$K$502,0)),"")</f>
        <v/>
      </c>
      <c r="D32" s="50">
        <f>IFERROR(INDEX('الوثائق'!$D$3:$D$502,MATCH(26,'الوثائق'!$K$3:$K$502,0)),"")</f>
        <v/>
      </c>
      <c r="E32" s="119">
        <f>IFERROR(INDEX('الوثائق'!$E$3:$E$502,MATCH(26,'الوثائق'!$K$3:$K$502,0)),"")</f>
        <v/>
      </c>
      <c r="F32" s="119">
        <f>IFERROR(INDEX('الوثائق'!$F$3:$F$502,MATCH(26,'الوثائق'!$K$3:$K$502,0)),"")</f>
        <v/>
      </c>
      <c r="G32" s="50">
        <f>IFERROR(INDEX('الوثائق'!$G$3:$G$502,MATCH(26,'الوثائق'!$K$3:$K$502,0)),"")</f>
        <v/>
      </c>
      <c r="H32" s="51">
        <f>IFERROR(INDEX('الوثائق'!$I$3:$I$502,MATCH(26,'الوثائق'!$K$3:$K$502,0)),"")</f>
        <v/>
      </c>
      <c r="I32" s="50">
        <f>IFERROR(INDEX('الوثائق'!$H$3:$H$502,MATCH(26,'الوثائق'!$K$3:$K$502,0)),"")</f>
        <v/>
      </c>
      <c r="J32" s="50">
        <f>IFERROR(INDEX('الوثائق'!$J$3:$J$502,MATCH(26,'الوثائق'!$K$3:$K$502,0)),"")</f>
        <v/>
      </c>
    </row>
    <row r="33">
      <c r="A33" s="43">
        <f>IFERROR(INDEX('الوثائق'!$A$3:$A$502,MATCH(27,'الوثائق'!$K$3:$K$502,0)),"")</f>
        <v/>
      </c>
      <c r="B33" s="43">
        <f>IFERROR(INDEX('الوثائق'!$B$3:$B$502,MATCH(27,'الوثائق'!$K$3:$K$502,0)),"")</f>
        <v/>
      </c>
      <c r="C33" s="43">
        <f>IFERROR(INDEX('الوثائق'!$C$3:$C$502,MATCH(27,'الوثائق'!$K$3:$K$502,0)),"")</f>
        <v/>
      </c>
      <c r="D33" s="43">
        <f>IFERROR(INDEX('الوثائق'!$D$3:$D$502,MATCH(27,'الوثائق'!$K$3:$K$502,0)),"")</f>
        <v/>
      </c>
      <c r="E33" s="118">
        <f>IFERROR(INDEX('الوثائق'!$E$3:$E$502,MATCH(27,'الوثائق'!$K$3:$K$502,0)),"")</f>
        <v/>
      </c>
      <c r="F33" s="118">
        <f>IFERROR(INDEX('الوثائق'!$F$3:$F$502,MATCH(27,'الوثائق'!$K$3:$K$502,0)),"")</f>
        <v/>
      </c>
      <c r="G33" s="43">
        <f>IFERROR(INDEX('الوثائق'!$G$3:$G$502,MATCH(27,'الوثائق'!$K$3:$K$502,0)),"")</f>
        <v/>
      </c>
      <c r="H33" s="44">
        <f>IFERROR(INDEX('الوثائق'!$I$3:$I$502,MATCH(27,'الوثائق'!$K$3:$K$502,0)),"")</f>
        <v/>
      </c>
      <c r="I33" s="43">
        <f>IFERROR(INDEX('الوثائق'!$H$3:$H$502,MATCH(27,'الوثائق'!$K$3:$K$502,0)),"")</f>
        <v/>
      </c>
      <c r="J33" s="43">
        <f>IFERROR(INDEX('الوثائق'!$J$3:$J$502,MATCH(27,'الوثائق'!$K$3:$K$502,0)),"")</f>
        <v/>
      </c>
    </row>
    <row r="34">
      <c r="A34" s="50">
        <f>IFERROR(INDEX('الوثائق'!$A$3:$A$502,MATCH(28,'الوثائق'!$K$3:$K$502,0)),"")</f>
        <v/>
      </c>
      <c r="B34" s="50">
        <f>IFERROR(INDEX('الوثائق'!$B$3:$B$502,MATCH(28,'الوثائق'!$K$3:$K$502,0)),"")</f>
        <v/>
      </c>
      <c r="C34" s="50">
        <f>IFERROR(INDEX('الوثائق'!$C$3:$C$502,MATCH(28,'الوثائق'!$K$3:$K$502,0)),"")</f>
        <v/>
      </c>
      <c r="D34" s="50">
        <f>IFERROR(INDEX('الوثائق'!$D$3:$D$502,MATCH(28,'الوثائق'!$K$3:$K$502,0)),"")</f>
        <v/>
      </c>
      <c r="E34" s="119">
        <f>IFERROR(INDEX('الوثائق'!$E$3:$E$502,MATCH(28,'الوثائق'!$K$3:$K$502,0)),"")</f>
        <v/>
      </c>
      <c r="F34" s="119">
        <f>IFERROR(INDEX('الوثائق'!$F$3:$F$502,MATCH(28,'الوثائق'!$K$3:$K$502,0)),"")</f>
        <v/>
      </c>
      <c r="G34" s="50">
        <f>IFERROR(INDEX('الوثائق'!$G$3:$G$502,MATCH(28,'الوثائق'!$K$3:$K$502,0)),"")</f>
        <v/>
      </c>
      <c r="H34" s="51">
        <f>IFERROR(INDEX('الوثائق'!$I$3:$I$502,MATCH(28,'الوثائق'!$K$3:$K$502,0)),"")</f>
        <v/>
      </c>
      <c r="I34" s="50">
        <f>IFERROR(INDEX('الوثائق'!$H$3:$H$502,MATCH(28,'الوثائق'!$K$3:$K$502,0)),"")</f>
        <v/>
      </c>
      <c r="J34" s="50">
        <f>IFERROR(INDEX('الوثائق'!$J$3:$J$502,MATCH(28,'الوثائق'!$K$3:$K$502,0)),"")</f>
        <v/>
      </c>
    </row>
    <row r="35">
      <c r="A35" s="43">
        <f>IFERROR(INDEX('الوثائق'!$A$3:$A$502,MATCH(29,'الوثائق'!$K$3:$K$502,0)),"")</f>
        <v/>
      </c>
      <c r="B35" s="43">
        <f>IFERROR(INDEX('الوثائق'!$B$3:$B$502,MATCH(29,'الوثائق'!$K$3:$K$502,0)),"")</f>
        <v/>
      </c>
      <c r="C35" s="43">
        <f>IFERROR(INDEX('الوثائق'!$C$3:$C$502,MATCH(29,'الوثائق'!$K$3:$K$502,0)),"")</f>
        <v/>
      </c>
      <c r="D35" s="43">
        <f>IFERROR(INDEX('الوثائق'!$D$3:$D$502,MATCH(29,'الوثائق'!$K$3:$K$502,0)),"")</f>
        <v/>
      </c>
      <c r="E35" s="118">
        <f>IFERROR(INDEX('الوثائق'!$E$3:$E$502,MATCH(29,'الوثائق'!$K$3:$K$502,0)),"")</f>
        <v/>
      </c>
      <c r="F35" s="118">
        <f>IFERROR(INDEX('الوثائق'!$F$3:$F$502,MATCH(29,'الوثائق'!$K$3:$K$502,0)),"")</f>
        <v/>
      </c>
      <c r="G35" s="43">
        <f>IFERROR(INDEX('الوثائق'!$G$3:$G$502,MATCH(29,'الوثائق'!$K$3:$K$502,0)),"")</f>
        <v/>
      </c>
      <c r="H35" s="44">
        <f>IFERROR(INDEX('الوثائق'!$I$3:$I$502,MATCH(29,'الوثائق'!$K$3:$K$502,0)),"")</f>
        <v/>
      </c>
      <c r="I35" s="43">
        <f>IFERROR(INDEX('الوثائق'!$H$3:$H$502,MATCH(29,'الوثائق'!$K$3:$K$502,0)),"")</f>
        <v/>
      </c>
      <c r="J35" s="43">
        <f>IFERROR(INDEX('الوثائق'!$J$3:$J$502,MATCH(29,'الوثائق'!$K$3:$K$502,0)),"")</f>
        <v/>
      </c>
    </row>
    <row r="36">
      <c r="A36" s="50">
        <f>IFERROR(INDEX('الوثائق'!$A$3:$A$502,MATCH(30,'الوثائق'!$K$3:$K$502,0)),"")</f>
        <v/>
      </c>
      <c r="B36" s="50">
        <f>IFERROR(INDEX('الوثائق'!$B$3:$B$502,MATCH(30,'الوثائق'!$K$3:$K$502,0)),"")</f>
        <v/>
      </c>
      <c r="C36" s="50">
        <f>IFERROR(INDEX('الوثائق'!$C$3:$C$502,MATCH(30,'الوثائق'!$K$3:$K$502,0)),"")</f>
        <v/>
      </c>
      <c r="D36" s="50">
        <f>IFERROR(INDEX('الوثائق'!$D$3:$D$502,MATCH(30,'الوثائق'!$K$3:$K$502,0)),"")</f>
        <v/>
      </c>
      <c r="E36" s="119">
        <f>IFERROR(INDEX('الوثائق'!$E$3:$E$502,MATCH(30,'الوثائق'!$K$3:$K$502,0)),"")</f>
        <v/>
      </c>
      <c r="F36" s="119">
        <f>IFERROR(INDEX('الوثائق'!$F$3:$F$502,MATCH(30,'الوثائق'!$K$3:$K$502,0)),"")</f>
        <v/>
      </c>
      <c r="G36" s="50">
        <f>IFERROR(INDEX('الوثائق'!$G$3:$G$502,MATCH(30,'الوثائق'!$K$3:$K$502,0)),"")</f>
        <v/>
      </c>
      <c r="H36" s="51">
        <f>IFERROR(INDEX('الوثائق'!$I$3:$I$502,MATCH(30,'الوثائق'!$K$3:$K$502,0)),"")</f>
        <v/>
      </c>
      <c r="I36" s="50">
        <f>IFERROR(INDEX('الوثائق'!$H$3:$H$502,MATCH(30,'الوثائق'!$K$3:$K$502,0)),"")</f>
        <v/>
      </c>
      <c r="J36" s="50">
        <f>IFERROR(INDEX('الوثائق'!$J$3:$J$502,MATCH(30,'الوثائق'!$K$3:$K$502,0)),"")</f>
        <v/>
      </c>
    </row>
    <row r="37">
      <c r="A37" s="43">
        <f>IFERROR(INDEX('الوثائق'!$A$3:$A$502,MATCH(31,'الوثائق'!$K$3:$K$502,0)),"")</f>
        <v/>
      </c>
      <c r="B37" s="43">
        <f>IFERROR(INDEX('الوثائق'!$B$3:$B$502,MATCH(31,'الوثائق'!$K$3:$K$502,0)),"")</f>
        <v/>
      </c>
      <c r="C37" s="43">
        <f>IFERROR(INDEX('الوثائق'!$C$3:$C$502,MATCH(31,'الوثائق'!$K$3:$K$502,0)),"")</f>
        <v/>
      </c>
      <c r="D37" s="43">
        <f>IFERROR(INDEX('الوثائق'!$D$3:$D$502,MATCH(31,'الوثائق'!$K$3:$K$502,0)),"")</f>
        <v/>
      </c>
      <c r="E37" s="118">
        <f>IFERROR(INDEX('الوثائق'!$E$3:$E$502,MATCH(31,'الوثائق'!$K$3:$K$502,0)),"")</f>
        <v/>
      </c>
      <c r="F37" s="118">
        <f>IFERROR(INDEX('الوثائق'!$F$3:$F$502,MATCH(31,'الوثائق'!$K$3:$K$502,0)),"")</f>
        <v/>
      </c>
      <c r="G37" s="43">
        <f>IFERROR(INDEX('الوثائق'!$G$3:$G$502,MATCH(31,'الوثائق'!$K$3:$K$502,0)),"")</f>
        <v/>
      </c>
      <c r="H37" s="44">
        <f>IFERROR(INDEX('الوثائق'!$I$3:$I$502,MATCH(31,'الوثائق'!$K$3:$K$502,0)),"")</f>
        <v/>
      </c>
      <c r="I37" s="43">
        <f>IFERROR(INDEX('الوثائق'!$H$3:$H$502,MATCH(31,'الوثائق'!$K$3:$K$502,0)),"")</f>
        <v/>
      </c>
      <c r="J37" s="43">
        <f>IFERROR(INDEX('الوثائق'!$J$3:$J$502,MATCH(31,'الوثائق'!$K$3:$K$502,0)),"")</f>
        <v/>
      </c>
    </row>
    <row r="38">
      <c r="A38" s="50">
        <f>IFERROR(INDEX('الوثائق'!$A$3:$A$502,MATCH(32,'الوثائق'!$K$3:$K$502,0)),"")</f>
        <v/>
      </c>
      <c r="B38" s="50">
        <f>IFERROR(INDEX('الوثائق'!$B$3:$B$502,MATCH(32,'الوثائق'!$K$3:$K$502,0)),"")</f>
        <v/>
      </c>
      <c r="C38" s="50">
        <f>IFERROR(INDEX('الوثائق'!$C$3:$C$502,MATCH(32,'الوثائق'!$K$3:$K$502,0)),"")</f>
        <v/>
      </c>
      <c r="D38" s="50">
        <f>IFERROR(INDEX('الوثائق'!$D$3:$D$502,MATCH(32,'الوثائق'!$K$3:$K$502,0)),"")</f>
        <v/>
      </c>
      <c r="E38" s="119">
        <f>IFERROR(INDEX('الوثائق'!$E$3:$E$502,MATCH(32,'الوثائق'!$K$3:$K$502,0)),"")</f>
        <v/>
      </c>
      <c r="F38" s="119">
        <f>IFERROR(INDEX('الوثائق'!$F$3:$F$502,MATCH(32,'الوثائق'!$K$3:$K$502,0)),"")</f>
        <v/>
      </c>
      <c r="G38" s="50">
        <f>IFERROR(INDEX('الوثائق'!$G$3:$G$502,MATCH(32,'الوثائق'!$K$3:$K$502,0)),"")</f>
        <v/>
      </c>
      <c r="H38" s="51">
        <f>IFERROR(INDEX('الوثائق'!$I$3:$I$502,MATCH(32,'الوثائق'!$K$3:$K$502,0)),"")</f>
        <v/>
      </c>
      <c r="I38" s="50">
        <f>IFERROR(INDEX('الوثائق'!$H$3:$H$502,MATCH(32,'الوثائق'!$K$3:$K$502,0)),"")</f>
        <v/>
      </c>
      <c r="J38" s="50">
        <f>IFERROR(INDEX('الوثائق'!$J$3:$J$502,MATCH(32,'الوثائق'!$K$3:$K$502,0)),"")</f>
        <v/>
      </c>
    </row>
    <row r="39">
      <c r="A39" s="43">
        <f>IFERROR(INDEX('الوثائق'!$A$3:$A$502,MATCH(33,'الوثائق'!$K$3:$K$502,0)),"")</f>
        <v/>
      </c>
      <c r="B39" s="43">
        <f>IFERROR(INDEX('الوثائق'!$B$3:$B$502,MATCH(33,'الوثائق'!$K$3:$K$502,0)),"")</f>
        <v/>
      </c>
      <c r="C39" s="43">
        <f>IFERROR(INDEX('الوثائق'!$C$3:$C$502,MATCH(33,'الوثائق'!$K$3:$K$502,0)),"")</f>
        <v/>
      </c>
      <c r="D39" s="43">
        <f>IFERROR(INDEX('الوثائق'!$D$3:$D$502,MATCH(33,'الوثائق'!$K$3:$K$502,0)),"")</f>
        <v/>
      </c>
      <c r="E39" s="118">
        <f>IFERROR(INDEX('الوثائق'!$E$3:$E$502,MATCH(33,'الوثائق'!$K$3:$K$502,0)),"")</f>
        <v/>
      </c>
      <c r="F39" s="118">
        <f>IFERROR(INDEX('الوثائق'!$F$3:$F$502,MATCH(33,'الوثائق'!$K$3:$K$502,0)),"")</f>
        <v/>
      </c>
      <c r="G39" s="43">
        <f>IFERROR(INDEX('الوثائق'!$G$3:$G$502,MATCH(33,'الوثائق'!$K$3:$K$502,0)),"")</f>
        <v/>
      </c>
      <c r="H39" s="44">
        <f>IFERROR(INDEX('الوثائق'!$I$3:$I$502,MATCH(33,'الوثائق'!$K$3:$K$502,0)),"")</f>
        <v/>
      </c>
      <c r="I39" s="43">
        <f>IFERROR(INDEX('الوثائق'!$H$3:$H$502,MATCH(33,'الوثائق'!$K$3:$K$502,0)),"")</f>
        <v/>
      </c>
      <c r="J39" s="43">
        <f>IFERROR(INDEX('الوثائق'!$J$3:$J$502,MATCH(33,'الوثائق'!$K$3:$K$502,0)),"")</f>
        <v/>
      </c>
    </row>
    <row r="40">
      <c r="A40" s="50">
        <f>IFERROR(INDEX('الوثائق'!$A$3:$A$502,MATCH(34,'الوثائق'!$K$3:$K$502,0)),"")</f>
        <v/>
      </c>
      <c r="B40" s="50">
        <f>IFERROR(INDEX('الوثائق'!$B$3:$B$502,MATCH(34,'الوثائق'!$K$3:$K$502,0)),"")</f>
        <v/>
      </c>
      <c r="C40" s="50">
        <f>IFERROR(INDEX('الوثائق'!$C$3:$C$502,MATCH(34,'الوثائق'!$K$3:$K$502,0)),"")</f>
        <v/>
      </c>
      <c r="D40" s="50">
        <f>IFERROR(INDEX('الوثائق'!$D$3:$D$502,MATCH(34,'الوثائق'!$K$3:$K$502,0)),"")</f>
        <v/>
      </c>
      <c r="E40" s="119">
        <f>IFERROR(INDEX('الوثائق'!$E$3:$E$502,MATCH(34,'الوثائق'!$K$3:$K$502,0)),"")</f>
        <v/>
      </c>
      <c r="F40" s="119">
        <f>IFERROR(INDEX('الوثائق'!$F$3:$F$502,MATCH(34,'الوثائق'!$K$3:$K$502,0)),"")</f>
        <v/>
      </c>
      <c r="G40" s="50">
        <f>IFERROR(INDEX('الوثائق'!$G$3:$G$502,MATCH(34,'الوثائق'!$K$3:$K$502,0)),"")</f>
        <v/>
      </c>
      <c r="H40" s="51">
        <f>IFERROR(INDEX('الوثائق'!$I$3:$I$502,MATCH(34,'الوثائق'!$K$3:$K$502,0)),"")</f>
        <v/>
      </c>
      <c r="I40" s="50">
        <f>IFERROR(INDEX('الوثائق'!$H$3:$H$502,MATCH(34,'الوثائق'!$K$3:$K$502,0)),"")</f>
        <v/>
      </c>
      <c r="J40" s="50">
        <f>IFERROR(INDEX('الوثائق'!$J$3:$J$502,MATCH(34,'الوثائق'!$K$3:$K$502,0)),"")</f>
        <v/>
      </c>
    </row>
    <row r="41">
      <c r="A41" s="43">
        <f>IFERROR(INDEX('الوثائق'!$A$3:$A$502,MATCH(35,'الوثائق'!$K$3:$K$502,0)),"")</f>
        <v/>
      </c>
      <c r="B41" s="43">
        <f>IFERROR(INDEX('الوثائق'!$B$3:$B$502,MATCH(35,'الوثائق'!$K$3:$K$502,0)),"")</f>
        <v/>
      </c>
      <c r="C41" s="43">
        <f>IFERROR(INDEX('الوثائق'!$C$3:$C$502,MATCH(35,'الوثائق'!$K$3:$K$502,0)),"")</f>
        <v/>
      </c>
      <c r="D41" s="43">
        <f>IFERROR(INDEX('الوثائق'!$D$3:$D$502,MATCH(35,'الوثائق'!$K$3:$K$502,0)),"")</f>
        <v/>
      </c>
      <c r="E41" s="118">
        <f>IFERROR(INDEX('الوثائق'!$E$3:$E$502,MATCH(35,'الوثائق'!$K$3:$K$502,0)),"")</f>
        <v/>
      </c>
      <c r="F41" s="118">
        <f>IFERROR(INDEX('الوثائق'!$F$3:$F$502,MATCH(35,'الوثائق'!$K$3:$K$502,0)),"")</f>
        <v/>
      </c>
      <c r="G41" s="43">
        <f>IFERROR(INDEX('الوثائق'!$G$3:$G$502,MATCH(35,'الوثائق'!$K$3:$K$502,0)),"")</f>
        <v/>
      </c>
      <c r="H41" s="44">
        <f>IFERROR(INDEX('الوثائق'!$I$3:$I$502,MATCH(35,'الوثائق'!$K$3:$K$502,0)),"")</f>
        <v/>
      </c>
      <c r="I41" s="43">
        <f>IFERROR(INDEX('الوثائق'!$H$3:$H$502,MATCH(35,'الوثائق'!$K$3:$K$502,0)),"")</f>
        <v/>
      </c>
      <c r="J41" s="43">
        <f>IFERROR(INDEX('الوثائق'!$J$3:$J$502,MATCH(35,'الوثائق'!$K$3:$K$502,0)),"")</f>
        <v/>
      </c>
    </row>
    <row r="42">
      <c r="A42" s="50">
        <f>IFERROR(INDEX('الوثائق'!$A$3:$A$502,MATCH(36,'الوثائق'!$K$3:$K$502,0)),"")</f>
        <v/>
      </c>
      <c r="B42" s="50">
        <f>IFERROR(INDEX('الوثائق'!$B$3:$B$502,MATCH(36,'الوثائق'!$K$3:$K$502,0)),"")</f>
        <v/>
      </c>
      <c r="C42" s="50">
        <f>IFERROR(INDEX('الوثائق'!$C$3:$C$502,MATCH(36,'الوثائق'!$K$3:$K$502,0)),"")</f>
        <v/>
      </c>
      <c r="D42" s="50">
        <f>IFERROR(INDEX('الوثائق'!$D$3:$D$502,MATCH(36,'الوثائق'!$K$3:$K$502,0)),"")</f>
        <v/>
      </c>
      <c r="E42" s="119">
        <f>IFERROR(INDEX('الوثائق'!$E$3:$E$502,MATCH(36,'الوثائق'!$K$3:$K$502,0)),"")</f>
        <v/>
      </c>
      <c r="F42" s="119">
        <f>IFERROR(INDEX('الوثائق'!$F$3:$F$502,MATCH(36,'الوثائق'!$K$3:$K$502,0)),"")</f>
        <v/>
      </c>
      <c r="G42" s="50">
        <f>IFERROR(INDEX('الوثائق'!$G$3:$G$502,MATCH(36,'الوثائق'!$K$3:$K$502,0)),"")</f>
        <v/>
      </c>
      <c r="H42" s="51">
        <f>IFERROR(INDEX('الوثائق'!$I$3:$I$502,MATCH(36,'الوثائق'!$K$3:$K$502,0)),"")</f>
        <v/>
      </c>
      <c r="I42" s="50">
        <f>IFERROR(INDEX('الوثائق'!$H$3:$H$502,MATCH(36,'الوثائق'!$K$3:$K$502,0)),"")</f>
        <v/>
      </c>
      <c r="J42" s="50">
        <f>IFERROR(INDEX('الوثائق'!$J$3:$J$502,MATCH(36,'الوثائق'!$K$3:$K$502,0)),"")</f>
        <v/>
      </c>
    </row>
    <row r="43">
      <c r="A43" s="43">
        <f>IFERROR(INDEX('الوثائق'!$A$3:$A$502,MATCH(37,'الوثائق'!$K$3:$K$502,0)),"")</f>
        <v/>
      </c>
      <c r="B43" s="43">
        <f>IFERROR(INDEX('الوثائق'!$B$3:$B$502,MATCH(37,'الوثائق'!$K$3:$K$502,0)),"")</f>
        <v/>
      </c>
      <c r="C43" s="43">
        <f>IFERROR(INDEX('الوثائق'!$C$3:$C$502,MATCH(37,'الوثائق'!$K$3:$K$502,0)),"")</f>
        <v/>
      </c>
      <c r="D43" s="43">
        <f>IFERROR(INDEX('الوثائق'!$D$3:$D$502,MATCH(37,'الوثائق'!$K$3:$K$502,0)),"")</f>
        <v/>
      </c>
      <c r="E43" s="118">
        <f>IFERROR(INDEX('الوثائق'!$E$3:$E$502,MATCH(37,'الوثائق'!$K$3:$K$502,0)),"")</f>
        <v/>
      </c>
      <c r="F43" s="118">
        <f>IFERROR(INDEX('الوثائق'!$F$3:$F$502,MATCH(37,'الوثائق'!$K$3:$K$502,0)),"")</f>
        <v/>
      </c>
      <c r="G43" s="43">
        <f>IFERROR(INDEX('الوثائق'!$G$3:$G$502,MATCH(37,'الوثائق'!$K$3:$K$502,0)),"")</f>
        <v/>
      </c>
      <c r="H43" s="44">
        <f>IFERROR(INDEX('الوثائق'!$I$3:$I$502,MATCH(37,'الوثائق'!$K$3:$K$502,0)),"")</f>
        <v/>
      </c>
      <c r="I43" s="43">
        <f>IFERROR(INDEX('الوثائق'!$H$3:$H$502,MATCH(37,'الوثائق'!$K$3:$K$502,0)),"")</f>
        <v/>
      </c>
      <c r="J43" s="43">
        <f>IFERROR(INDEX('الوثائق'!$J$3:$J$502,MATCH(37,'الوثائق'!$K$3:$K$502,0)),"")</f>
        <v/>
      </c>
    </row>
    <row r="44">
      <c r="A44" s="50">
        <f>IFERROR(INDEX('الوثائق'!$A$3:$A$502,MATCH(38,'الوثائق'!$K$3:$K$502,0)),"")</f>
        <v/>
      </c>
      <c r="B44" s="50">
        <f>IFERROR(INDEX('الوثائق'!$B$3:$B$502,MATCH(38,'الوثائق'!$K$3:$K$502,0)),"")</f>
        <v/>
      </c>
      <c r="C44" s="50">
        <f>IFERROR(INDEX('الوثائق'!$C$3:$C$502,MATCH(38,'الوثائق'!$K$3:$K$502,0)),"")</f>
        <v/>
      </c>
      <c r="D44" s="50">
        <f>IFERROR(INDEX('الوثائق'!$D$3:$D$502,MATCH(38,'الوثائق'!$K$3:$K$502,0)),"")</f>
        <v/>
      </c>
      <c r="E44" s="119">
        <f>IFERROR(INDEX('الوثائق'!$E$3:$E$502,MATCH(38,'الوثائق'!$K$3:$K$502,0)),"")</f>
        <v/>
      </c>
      <c r="F44" s="119">
        <f>IFERROR(INDEX('الوثائق'!$F$3:$F$502,MATCH(38,'الوثائق'!$K$3:$K$502,0)),"")</f>
        <v/>
      </c>
      <c r="G44" s="50">
        <f>IFERROR(INDEX('الوثائق'!$G$3:$G$502,MATCH(38,'الوثائق'!$K$3:$K$502,0)),"")</f>
        <v/>
      </c>
      <c r="H44" s="51">
        <f>IFERROR(INDEX('الوثائق'!$I$3:$I$502,MATCH(38,'الوثائق'!$K$3:$K$502,0)),"")</f>
        <v/>
      </c>
      <c r="I44" s="50">
        <f>IFERROR(INDEX('الوثائق'!$H$3:$H$502,MATCH(38,'الوثائق'!$K$3:$K$502,0)),"")</f>
        <v/>
      </c>
      <c r="J44" s="50">
        <f>IFERROR(INDEX('الوثائق'!$J$3:$J$502,MATCH(38,'الوثائق'!$K$3:$K$502,0)),"")</f>
        <v/>
      </c>
    </row>
    <row r="45">
      <c r="A45" s="43">
        <f>IFERROR(INDEX('الوثائق'!$A$3:$A$502,MATCH(39,'الوثائق'!$K$3:$K$502,0)),"")</f>
        <v/>
      </c>
      <c r="B45" s="43">
        <f>IFERROR(INDEX('الوثائق'!$B$3:$B$502,MATCH(39,'الوثائق'!$K$3:$K$502,0)),"")</f>
        <v/>
      </c>
      <c r="C45" s="43">
        <f>IFERROR(INDEX('الوثائق'!$C$3:$C$502,MATCH(39,'الوثائق'!$K$3:$K$502,0)),"")</f>
        <v/>
      </c>
      <c r="D45" s="43">
        <f>IFERROR(INDEX('الوثائق'!$D$3:$D$502,MATCH(39,'الوثائق'!$K$3:$K$502,0)),"")</f>
        <v/>
      </c>
      <c r="E45" s="118">
        <f>IFERROR(INDEX('الوثائق'!$E$3:$E$502,MATCH(39,'الوثائق'!$K$3:$K$502,0)),"")</f>
        <v/>
      </c>
      <c r="F45" s="118">
        <f>IFERROR(INDEX('الوثائق'!$F$3:$F$502,MATCH(39,'الوثائق'!$K$3:$K$502,0)),"")</f>
        <v/>
      </c>
      <c r="G45" s="43">
        <f>IFERROR(INDEX('الوثائق'!$G$3:$G$502,MATCH(39,'الوثائق'!$K$3:$K$502,0)),"")</f>
        <v/>
      </c>
      <c r="H45" s="44">
        <f>IFERROR(INDEX('الوثائق'!$I$3:$I$502,MATCH(39,'الوثائق'!$K$3:$K$502,0)),"")</f>
        <v/>
      </c>
      <c r="I45" s="43">
        <f>IFERROR(INDEX('الوثائق'!$H$3:$H$502,MATCH(39,'الوثائق'!$K$3:$K$502,0)),"")</f>
        <v/>
      </c>
      <c r="J45" s="43">
        <f>IFERROR(INDEX('الوثائق'!$J$3:$J$502,MATCH(39,'الوثائق'!$K$3:$K$502,0)),"")</f>
        <v/>
      </c>
    </row>
    <row r="46">
      <c r="A46" s="50">
        <f>IFERROR(INDEX('الوثائق'!$A$3:$A$502,MATCH(40,'الوثائق'!$K$3:$K$502,0)),"")</f>
        <v/>
      </c>
      <c r="B46" s="50">
        <f>IFERROR(INDEX('الوثائق'!$B$3:$B$502,MATCH(40,'الوثائق'!$K$3:$K$502,0)),"")</f>
        <v/>
      </c>
      <c r="C46" s="50">
        <f>IFERROR(INDEX('الوثائق'!$C$3:$C$502,MATCH(40,'الوثائق'!$K$3:$K$502,0)),"")</f>
        <v/>
      </c>
      <c r="D46" s="50">
        <f>IFERROR(INDEX('الوثائق'!$D$3:$D$502,MATCH(40,'الوثائق'!$K$3:$K$502,0)),"")</f>
        <v/>
      </c>
      <c r="E46" s="119">
        <f>IFERROR(INDEX('الوثائق'!$E$3:$E$502,MATCH(40,'الوثائق'!$K$3:$K$502,0)),"")</f>
        <v/>
      </c>
      <c r="F46" s="119">
        <f>IFERROR(INDEX('الوثائق'!$F$3:$F$502,MATCH(40,'الوثائق'!$K$3:$K$502,0)),"")</f>
        <v/>
      </c>
      <c r="G46" s="50">
        <f>IFERROR(INDEX('الوثائق'!$G$3:$G$502,MATCH(40,'الوثائق'!$K$3:$K$502,0)),"")</f>
        <v/>
      </c>
      <c r="H46" s="51">
        <f>IFERROR(INDEX('الوثائق'!$I$3:$I$502,MATCH(40,'الوثائق'!$K$3:$K$502,0)),"")</f>
        <v/>
      </c>
      <c r="I46" s="50">
        <f>IFERROR(INDEX('الوثائق'!$H$3:$H$502,MATCH(40,'الوثائق'!$K$3:$K$502,0)),"")</f>
        <v/>
      </c>
      <c r="J46" s="50">
        <f>IFERROR(INDEX('الوثائق'!$J$3:$J$502,MATCH(40,'الوثائق'!$K$3:$K$502,0)),"")</f>
        <v/>
      </c>
    </row>
    <row r="47">
      <c r="A47" s="43">
        <f>IFERROR(INDEX('الوثائق'!$A$3:$A$502,MATCH(41,'الوثائق'!$K$3:$K$502,0)),"")</f>
        <v/>
      </c>
      <c r="B47" s="43">
        <f>IFERROR(INDEX('الوثائق'!$B$3:$B$502,MATCH(41,'الوثائق'!$K$3:$K$502,0)),"")</f>
        <v/>
      </c>
      <c r="C47" s="43">
        <f>IFERROR(INDEX('الوثائق'!$C$3:$C$502,MATCH(41,'الوثائق'!$K$3:$K$502,0)),"")</f>
        <v/>
      </c>
      <c r="D47" s="43">
        <f>IFERROR(INDEX('الوثائق'!$D$3:$D$502,MATCH(41,'الوثائق'!$K$3:$K$502,0)),"")</f>
        <v/>
      </c>
      <c r="E47" s="118">
        <f>IFERROR(INDEX('الوثائق'!$E$3:$E$502,MATCH(41,'الوثائق'!$K$3:$K$502,0)),"")</f>
        <v/>
      </c>
      <c r="F47" s="118">
        <f>IFERROR(INDEX('الوثائق'!$F$3:$F$502,MATCH(41,'الوثائق'!$K$3:$K$502,0)),"")</f>
        <v/>
      </c>
      <c r="G47" s="43">
        <f>IFERROR(INDEX('الوثائق'!$G$3:$G$502,MATCH(41,'الوثائق'!$K$3:$K$502,0)),"")</f>
        <v/>
      </c>
      <c r="H47" s="44">
        <f>IFERROR(INDEX('الوثائق'!$I$3:$I$502,MATCH(41,'الوثائق'!$K$3:$K$502,0)),"")</f>
        <v/>
      </c>
      <c r="I47" s="43">
        <f>IFERROR(INDEX('الوثائق'!$H$3:$H$502,MATCH(41,'الوثائق'!$K$3:$K$502,0)),"")</f>
        <v/>
      </c>
      <c r="J47" s="43">
        <f>IFERROR(INDEX('الوثائق'!$J$3:$J$502,MATCH(41,'الوثائق'!$K$3:$K$502,0)),"")</f>
        <v/>
      </c>
    </row>
    <row r="48">
      <c r="A48" s="50">
        <f>IFERROR(INDEX('الوثائق'!$A$3:$A$502,MATCH(42,'الوثائق'!$K$3:$K$502,0)),"")</f>
        <v/>
      </c>
      <c r="B48" s="50">
        <f>IFERROR(INDEX('الوثائق'!$B$3:$B$502,MATCH(42,'الوثائق'!$K$3:$K$502,0)),"")</f>
        <v/>
      </c>
      <c r="C48" s="50">
        <f>IFERROR(INDEX('الوثائق'!$C$3:$C$502,MATCH(42,'الوثائق'!$K$3:$K$502,0)),"")</f>
        <v/>
      </c>
      <c r="D48" s="50">
        <f>IFERROR(INDEX('الوثائق'!$D$3:$D$502,MATCH(42,'الوثائق'!$K$3:$K$502,0)),"")</f>
        <v/>
      </c>
      <c r="E48" s="119">
        <f>IFERROR(INDEX('الوثائق'!$E$3:$E$502,MATCH(42,'الوثائق'!$K$3:$K$502,0)),"")</f>
        <v/>
      </c>
      <c r="F48" s="119">
        <f>IFERROR(INDEX('الوثائق'!$F$3:$F$502,MATCH(42,'الوثائق'!$K$3:$K$502,0)),"")</f>
        <v/>
      </c>
      <c r="G48" s="50">
        <f>IFERROR(INDEX('الوثائق'!$G$3:$G$502,MATCH(42,'الوثائق'!$K$3:$K$502,0)),"")</f>
        <v/>
      </c>
      <c r="H48" s="51">
        <f>IFERROR(INDEX('الوثائق'!$I$3:$I$502,MATCH(42,'الوثائق'!$K$3:$K$502,0)),"")</f>
        <v/>
      </c>
      <c r="I48" s="50">
        <f>IFERROR(INDEX('الوثائق'!$H$3:$H$502,MATCH(42,'الوثائق'!$K$3:$K$502,0)),"")</f>
        <v/>
      </c>
      <c r="J48" s="50">
        <f>IFERROR(INDEX('الوثائق'!$J$3:$J$502,MATCH(42,'الوثائق'!$K$3:$K$502,0)),"")</f>
        <v/>
      </c>
    </row>
    <row r="49">
      <c r="A49" s="43">
        <f>IFERROR(INDEX('الوثائق'!$A$3:$A$502,MATCH(43,'الوثائق'!$K$3:$K$502,0)),"")</f>
        <v/>
      </c>
      <c r="B49" s="43">
        <f>IFERROR(INDEX('الوثائق'!$B$3:$B$502,MATCH(43,'الوثائق'!$K$3:$K$502,0)),"")</f>
        <v/>
      </c>
      <c r="C49" s="43">
        <f>IFERROR(INDEX('الوثائق'!$C$3:$C$502,MATCH(43,'الوثائق'!$K$3:$K$502,0)),"")</f>
        <v/>
      </c>
      <c r="D49" s="43">
        <f>IFERROR(INDEX('الوثائق'!$D$3:$D$502,MATCH(43,'الوثائق'!$K$3:$K$502,0)),"")</f>
        <v/>
      </c>
      <c r="E49" s="118">
        <f>IFERROR(INDEX('الوثائق'!$E$3:$E$502,MATCH(43,'الوثائق'!$K$3:$K$502,0)),"")</f>
        <v/>
      </c>
      <c r="F49" s="118">
        <f>IFERROR(INDEX('الوثائق'!$F$3:$F$502,MATCH(43,'الوثائق'!$K$3:$K$502,0)),"")</f>
        <v/>
      </c>
      <c r="G49" s="43">
        <f>IFERROR(INDEX('الوثائق'!$G$3:$G$502,MATCH(43,'الوثائق'!$K$3:$K$502,0)),"")</f>
        <v/>
      </c>
      <c r="H49" s="44">
        <f>IFERROR(INDEX('الوثائق'!$I$3:$I$502,MATCH(43,'الوثائق'!$K$3:$K$502,0)),"")</f>
        <v/>
      </c>
      <c r="I49" s="43">
        <f>IFERROR(INDEX('الوثائق'!$H$3:$H$502,MATCH(43,'الوثائق'!$K$3:$K$502,0)),"")</f>
        <v/>
      </c>
      <c r="J49" s="43">
        <f>IFERROR(INDEX('الوثائق'!$J$3:$J$502,MATCH(43,'الوثائق'!$K$3:$K$502,0)),"")</f>
        <v/>
      </c>
    </row>
    <row r="50">
      <c r="A50" s="50">
        <f>IFERROR(INDEX('الوثائق'!$A$3:$A$502,MATCH(44,'الوثائق'!$K$3:$K$502,0)),"")</f>
        <v/>
      </c>
      <c r="B50" s="50">
        <f>IFERROR(INDEX('الوثائق'!$B$3:$B$502,MATCH(44,'الوثائق'!$K$3:$K$502,0)),"")</f>
        <v/>
      </c>
      <c r="C50" s="50">
        <f>IFERROR(INDEX('الوثائق'!$C$3:$C$502,MATCH(44,'الوثائق'!$K$3:$K$502,0)),"")</f>
        <v/>
      </c>
      <c r="D50" s="50">
        <f>IFERROR(INDEX('الوثائق'!$D$3:$D$502,MATCH(44,'الوثائق'!$K$3:$K$502,0)),"")</f>
        <v/>
      </c>
      <c r="E50" s="119">
        <f>IFERROR(INDEX('الوثائق'!$E$3:$E$502,MATCH(44,'الوثائق'!$K$3:$K$502,0)),"")</f>
        <v/>
      </c>
      <c r="F50" s="119">
        <f>IFERROR(INDEX('الوثائق'!$F$3:$F$502,MATCH(44,'الوثائق'!$K$3:$K$502,0)),"")</f>
        <v/>
      </c>
      <c r="G50" s="50">
        <f>IFERROR(INDEX('الوثائق'!$G$3:$G$502,MATCH(44,'الوثائق'!$K$3:$K$502,0)),"")</f>
        <v/>
      </c>
      <c r="H50" s="51">
        <f>IFERROR(INDEX('الوثائق'!$I$3:$I$502,MATCH(44,'الوثائق'!$K$3:$K$502,0)),"")</f>
        <v/>
      </c>
      <c r="I50" s="50">
        <f>IFERROR(INDEX('الوثائق'!$H$3:$H$502,MATCH(44,'الوثائق'!$K$3:$K$502,0)),"")</f>
        <v/>
      </c>
      <c r="J50" s="50">
        <f>IFERROR(INDEX('الوثائق'!$J$3:$J$502,MATCH(44,'الوثائق'!$K$3:$K$502,0)),"")</f>
        <v/>
      </c>
    </row>
    <row r="51">
      <c r="A51" s="43">
        <f>IFERROR(INDEX('الوثائق'!$A$3:$A$502,MATCH(45,'الوثائق'!$K$3:$K$502,0)),"")</f>
        <v/>
      </c>
      <c r="B51" s="43">
        <f>IFERROR(INDEX('الوثائق'!$B$3:$B$502,MATCH(45,'الوثائق'!$K$3:$K$502,0)),"")</f>
        <v/>
      </c>
      <c r="C51" s="43">
        <f>IFERROR(INDEX('الوثائق'!$C$3:$C$502,MATCH(45,'الوثائق'!$K$3:$K$502,0)),"")</f>
        <v/>
      </c>
      <c r="D51" s="43">
        <f>IFERROR(INDEX('الوثائق'!$D$3:$D$502,MATCH(45,'الوثائق'!$K$3:$K$502,0)),"")</f>
        <v/>
      </c>
      <c r="E51" s="118">
        <f>IFERROR(INDEX('الوثائق'!$E$3:$E$502,MATCH(45,'الوثائق'!$K$3:$K$502,0)),"")</f>
        <v/>
      </c>
      <c r="F51" s="118">
        <f>IFERROR(INDEX('الوثائق'!$F$3:$F$502,MATCH(45,'الوثائق'!$K$3:$K$502,0)),"")</f>
        <v/>
      </c>
      <c r="G51" s="43">
        <f>IFERROR(INDEX('الوثائق'!$G$3:$G$502,MATCH(45,'الوثائق'!$K$3:$K$502,0)),"")</f>
        <v/>
      </c>
      <c r="H51" s="44">
        <f>IFERROR(INDEX('الوثائق'!$I$3:$I$502,MATCH(45,'الوثائق'!$K$3:$K$502,0)),"")</f>
        <v/>
      </c>
      <c r="I51" s="43">
        <f>IFERROR(INDEX('الوثائق'!$H$3:$H$502,MATCH(45,'الوثائق'!$K$3:$K$502,0)),"")</f>
        <v/>
      </c>
      <c r="J51" s="43">
        <f>IFERROR(INDEX('الوثائق'!$J$3:$J$502,MATCH(45,'الوثائق'!$K$3:$K$502,0)),"")</f>
        <v/>
      </c>
    </row>
    <row r="52">
      <c r="A52" s="50">
        <f>IFERROR(INDEX('الوثائق'!$A$3:$A$502,MATCH(46,'الوثائق'!$K$3:$K$502,0)),"")</f>
        <v/>
      </c>
      <c r="B52" s="50">
        <f>IFERROR(INDEX('الوثائق'!$B$3:$B$502,MATCH(46,'الوثائق'!$K$3:$K$502,0)),"")</f>
        <v/>
      </c>
      <c r="C52" s="50">
        <f>IFERROR(INDEX('الوثائق'!$C$3:$C$502,MATCH(46,'الوثائق'!$K$3:$K$502,0)),"")</f>
        <v/>
      </c>
      <c r="D52" s="50">
        <f>IFERROR(INDEX('الوثائق'!$D$3:$D$502,MATCH(46,'الوثائق'!$K$3:$K$502,0)),"")</f>
        <v/>
      </c>
      <c r="E52" s="119">
        <f>IFERROR(INDEX('الوثائق'!$E$3:$E$502,MATCH(46,'الوثائق'!$K$3:$K$502,0)),"")</f>
        <v/>
      </c>
      <c r="F52" s="119">
        <f>IFERROR(INDEX('الوثائق'!$F$3:$F$502,MATCH(46,'الوثائق'!$K$3:$K$502,0)),"")</f>
        <v/>
      </c>
      <c r="G52" s="50">
        <f>IFERROR(INDEX('الوثائق'!$G$3:$G$502,MATCH(46,'الوثائق'!$K$3:$K$502,0)),"")</f>
        <v/>
      </c>
      <c r="H52" s="51">
        <f>IFERROR(INDEX('الوثائق'!$I$3:$I$502,MATCH(46,'الوثائق'!$K$3:$K$502,0)),"")</f>
        <v/>
      </c>
      <c r="I52" s="50">
        <f>IFERROR(INDEX('الوثائق'!$H$3:$H$502,MATCH(46,'الوثائق'!$K$3:$K$502,0)),"")</f>
        <v/>
      </c>
      <c r="J52" s="50">
        <f>IFERROR(INDEX('الوثائق'!$J$3:$J$502,MATCH(46,'الوثائق'!$K$3:$K$502,0)),"")</f>
        <v/>
      </c>
    </row>
    <row r="53">
      <c r="A53" s="43">
        <f>IFERROR(INDEX('الوثائق'!$A$3:$A$502,MATCH(47,'الوثائق'!$K$3:$K$502,0)),"")</f>
        <v/>
      </c>
      <c r="B53" s="43">
        <f>IFERROR(INDEX('الوثائق'!$B$3:$B$502,MATCH(47,'الوثائق'!$K$3:$K$502,0)),"")</f>
        <v/>
      </c>
      <c r="C53" s="43">
        <f>IFERROR(INDEX('الوثائق'!$C$3:$C$502,MATCH(47,'الوثائق'!$K$3:$K$502,0)),"")</f>
        <v/>
      </c>
      <c r="D53" s="43">
        <f>IFERROR(INDEX('الوثائق'!$D$3:$D$502,MATCH(47,'الوثائق'!$K$3:$K$502,0)),"")</f>
        <v/>
      </c>
      <c r="E53" s="118">
        <f>IFERROR(INDEX('الوثائق'!$E$3:$E$502,MATCH(47,'الوثائق'!$K$3:$K$502,0)),"")</f>
        <v/>
      </c>
      <c r="F53" s="118">
        <f>IFERROR(INDEX('الوثائق'!$F$3:$F$502,MATCH(47,'الوثائق'!$K$3:$K$502,0)),"")</f>
        <v/>
      </c>
      <c r="G53" s="43">
        <f>IFERROR(INDEX('الوثائق'!$G$3:$G$502,MATCH(47,'الوثائق'!$K$3:$K$502,0)),"")</f>
        <v/>
      </c>
      <c r="H53" s="44">
        <f>IFERROR(INDEX('الوثائق'!$I$3:$I$502,MATCH(47,'الوثائق'!$K$3:$K$502,0)),"")</f>
        <v/>
      </c>
      <c r="I53" s="43">
        <f>IFERROR(INDEX('الوثائق'!$H$3:$H$502,MATCH(47,'الوثائق'!$K$3:$K$502,0)),"")</f>
        <v/>
      </c>
      <c r="J53" s="43">
        <f>IFERROR(INDEX('الوثائق'!$J$3:$J$502,MATCH(47,'الوثائق'!$K$3:$K$502,0)),"")</f>
        <v/>
      </c>
    </row>
    <row r="54">
      <c r="A54" s="50">
        <f>IFERROR(INDEX('الوثائق'!$A$3:$A$502,MATCH(48,'الوثائق'!$K$3:$K$502,0)),"")</f>
        <v/>
      </c>
      <c r="B54" s="50">
        <f>IFERROR(INDEX('الوثائق'!$B$3:$B$502,MATCH(48,'الوثائق'!$K$3:$K$502,0)),"")</f>
        <v/>
      </c>
      <c r="C54" s="50">
        <f>IFERROR(INDEX('الوثائق'!$C$3:$C$502,MATCH(48,'الوثائق'!$K$3:$K$502,0)),"")</f>
        <v/>
      </c>
      <c r="D54" s="50">
        <f>IFERROR(INDEX('الوثائق'!$D$3:$D$502,MATCH(48,'الوثائق'!$K$3:$K$502,0)),"")</f>
        <v/>
      </c>
      <c r="E54" s="119">
        <f>IFERROR(INDEX('الوثائق'!$E$3:$E$502,MATCH(48,'الوثائق'!$K$3:$K$502,0)),"")</f>
        <v/>
      </c>
      <c r="F54" s="119">
        <f>IFERROR(INDEX('الوثائق'!$F$3:$F$502,MATCH(48,'الوثائق'!$K$3:$K$502,0)),"")</f>
        <v/>
      </c>
      <c r="G54" s="50">
        <f>IFERROR(INDEX('الوثائق'!$G$3:$G$502,MATCH(48,'الوثائق'!$K$3:$K$502,0)),"")</f>
        <v/>
      </c>
      <c r="H54" s="51">
        <f>IFERROR(INDEX('الوثائق'!$I$3:$I$502,MATCH(48,'الوثائق'!$K$3:$K$502,0)),"")</f>
        <v/>
      </c>
      <c r="I54" s="50">
        <f>IFERROR(INDEX('الوثائق'!$H$3:$H$502,MATCH(48,'الوثائق'!$K$3:$K$502,0)),"")</f>
        <v/>
      </c>
      <c r="J54" s="50">
        <f>IFERROR(INDEX('الوثائق'!$J$3:$J$502,MATCH(48,'الوثائق'!$K$3:$K$502,0)),"")</f>
        <v/>
      </c>
    </row>
    <row r="55">
      <c r="A55" s="43">
        <f>IFERROR(INDEX('الوثائق'!$A$3:$A$502,MATCH(49,'الوثائق'!$K$3:$K$502,0)),"")</f>
        <v/>
      </c>
      <c r="B55" s="43">
        <f>IFERROR(INDEX('الوثائق'!$B$3:$B$502,MATCH(49,'الوثائق'!$K$3:$K$502,0)),"")</f>
        <v/>
      </c>
      <c r="C55" s="43">
        <f>IFERROR(INDEX('الوثائق'!$C$3:$C$502,MATCH(49,'الوثائق'!$K$3:$K$502,0)),"")</f>
        <v/>
      </c>
      <c r="D55" s="43">
        <f>IFERROR(INDEX('الوثائق'!$D$3:$D$502,MATCH(49,'الوثائق'!$K$3:$K$502,0)),"")</f>
        <v/>
      </c>
      <c r="E55" s="118">
        <f>IFERROR(INDEX('الوثائق'!$E$3:$E$502,MATCH(49,'الوثائق'!$K$3:$K$502,0)),"")</f>
        <v/>
      </c>
      <c r="F55" s="118">
        <f>IFERROR(INDEX('الوثائق'!$F$3:$F$502,MATCH(49,'الوثائق'!$K$3:$K$502,0)),"")</f>
        <v/>
      </c>
      <c r="G55" s="43">
        <f>IFERROR(INDEX('الوثائق'!$G$3:$G$502,MATCH(49,'الوثائق'!$K$3:$K$502,0)),"")</f>
        <v/>
      </c>
      <c r="H55" s="44">
        <f>IFERROR(INDEX('الوثائق'!$I$3:$I$502,MATCH(49,'الوثائق'!$K$3:$K$502,0)),"")</f>
        <v/>
      </c>
      <c r="I55" s="43">
        <f>IFERROR(INDEX('الوثائق'!$H$3:$H$502,MATCH(49,'الوثائق'!$K$3:$K$502,0)),"")</f>
        <v/>
      </c>
      <c r="J55" s="43">
        <f>IFERROR(INDEX('الوثائق'!$J$3:$J$502,MATCH(49,'الوثائق'!$K$3:$K$502,0)),"")</f>
        <v/>
      </c>
    </row>
    <row r="56">
      <c r="A56" s="50">
        <f>IFERROR(INDEX('الوثائق'!$A$3:$A$502,MATCH(50,'الوثائق'!$K$3:$K$502,0)),"")</f>
        <v/>
      </c>
      <c r="B56" s="50">
        <f>IFERROR(INDEX('الوثائق'!$B$3:$B$502,MATCH(50,'الوثائق'!$K$3:$K$502,0)),"")</f>
        <v/>
      </c>
      <c r="C56" s="50">
        <f>IFERROR(INDEX('الوثائق'!$C$3:$C$502,MATCH(50,'الوثائق'!$K$3:$K$502,0)),"")</f>
        <v/>
      </c>
      <c r="D56" s="50">
        <f>IFERROR(INDEX('الوثائق'!$D$3:$D$502,MATCH(50,'الوثائق'!$K$3:$K$502,0)),"")</f>
        <v/>
      </c>
      <c r="E56" s="119">
        <f>IFERROR(INDEX('الوثائق'!$E$3:$E$502,MATCH(50,'الوثائق'!$K$3:$K$502,0)),"")</f>
        <v/>
      </c>
      <c r="F56" s="119">
        <f>IFERROR(INDEX('الوثائق'!$F$3:$F$502,MATCH(50,'الوثائق'!$K$3:$K$502,0)),"")</f>
        <v/>
      </c>
      <c r="G56" s="50">
        <f>IFERROR(INDEX('الوثائق'!$G$3:$G$502,MATCH(50,'الوثائق'!$K$3:$K$502,0)),"")</f>
        <v/>
      </c>
      <c r="H56" s="51">
        <f>IFERROR(INDEX('الوثائق'!$I$3:$I$502,MATCH(50,'الوثائق'!$K$3:$K$502,0)),"")</f>
        <v/>
      </c>
      <c r="I56" s="50">
        <f>IFERROR(INDEX('الوثائق'!$H$3:$H$502,MATCH(50,'الوثائق'!$K$3:$K$502,0)),"")</f>
        <v/>
      </c>
      <c r="J56" s="50">
        <f>IFERROR(INDEX('الوثائق'!$J$3:$J$502,MATCH(50,'الوثائق'!$K$3:$K$502,0)),"")</f>
        <v/>
      </c>
    </row>
    <row r="57">
      <c r="A57" s="43">
        <f>IFERROR(INDEX('الوثائق'!$A$3:$A$502,MATCH(51,'الوثائق'!$K$3:$K$502,0)),"")</f>
        <v/>
      </c>
      <c r="B57" s="43">
        <f>IFERROR(INDEX('الوثائق'!$B$3:$B$502,MATCH(51,'الوثائق'!$K$3:$K$502,0)),"")</f>
        <v/>
      </c>
      <c r="C57" s="43">
        <f>IFERROR(INDEX('الوثائق'!$C$3:$C$502,MATCH(51,'الوثائق'!$K$3:$K$502,0)),"")</f>
        <v/>
      </c>
      <c r="D57" s="43">
        <f>IFERROR(INDEX('الوثائق'!$D$3:$D$502,MATCH(51,'الوثائق'!$K$3:$K$502,0)),"")</f>
        <v/>
      </c>
      <c r="E57" s="118">
        <f>IFERROR(INDEX('الوثائق'!$E$3:$E$502,MATCH(51,'الوثائق'!$K$3:$K$502,0)),"")</f>
        <v/>
      </c>
      <c r="F57" s="118">
        <f>IFERROR(INDEX('الوثائق'!$F$3:$F$502,MATCH(51,'الوثائق'!$K$3:$K$502,0)),"")</f>
        <v/>
      </c>
      <c r="G57" s="43">
        <f>IFERROR(INDEX('الوثائق'!$G$3:$G$502,MATCH(51,'الوثائق'!$K$3:$K$502,0)),"")</f>
        <v/>
      </c>
      <c r="H57" s="44">
        <f>IFERROR(INDEX('الوثائق'!$I$3:$I$502,MATCH(51,'الوثائق'!$K$3:$K$502,0)),"")</f>
        <v/>
      </c>
      <c r="I57" s="43">
        <f>IFERROR(INDEX('الوثائق'!$H$3:$H$502,MATCH(51,'الوثائق'!$K$3:$K$502,0)),"")</f>
        <v/>
      </c>
      <c r="J57" s="43">
        <f>IFERROR(INDEX('الوثائق'!$J$3:$J$502,MATCH(51,'الوثائق'!$K$3:$K$502,0)),"")</f>
        <v/>
      </c>
    </row>
    <row r="58">
      <c r="A58" s="50">
        <f>IFERROR(INDEX('الوثائق'!$A$3:$A$502,MATCH(52,'الوثائق'!$K$3:$K$502,0)),"")</f>
        <v/>
      </c>
      <c r="B58" s="50">
        <f>IFERROR(INDEX('الوثائق'!$B$3:$B$502,MATCH(52,'الوثائق'!$K$3:$K$502,0)),"")</f>
        <v/>
      </c>
      <c r="C58" s="50">
        <f>IFERROR(INDEX('الوثائق'!$C$3:$C$502,MATCH(52,'الوثائق'!$K$3:$K$502,0)),"")</f>
        <v/>
      </c>
      <c r="D58" s="50">
        <f>IFERROR(INDEX('الوثائق'!$D$3:$D$502,MATCH(52,'الوثائق'!$K$3:$K$502,0)),"")</f>
        <v/>
      </c>
      <c r="E58" s="119">
        <f>IFERROR(INDEX('الوثائق'!$E$3:$E$502,MATCH(52,'الوثائق'!$K$3:$K$502,0)),"")</f>
        <v/>
      </c>
      <c r="F58" s="119">
        <f>IFERROR(INDEX('الوثائق'!$F$3:$F$502,MATCH(52,'الوثائق'!$K$3:$K$502,0)),"")</f>
        <v/>
      </c>
      <c r="G58" s="50">
        <f>IFERROR(INDEX('الوثائق'!$G$3:$G$502,MATCH(52,'الوثائق'!$K$3:$K$502,0)),"")</f>
        <v/>
      </c>
      <c r="H58" s="51">
        <f>IFERROR(INDEX('الوثائق'!$I$3:$I$502,MATCH(52,'الوثائق'!$K$3:$K$502,0)),"")</f>
        <v/>
      </c>
      <c r="I58" s="50">
        <f>IFERROR(INDEX('الوثائق'!$H$3:$H$502,MATCH(52,'الوثائق'!$K$3:$K$502,0)),"")</f>
        <v/>
      </c>
      <c r="J58" s="50">
        <f>IFERROR(INDEX('الوثائق'!$J$3:$J$502,MATCH(52,'الوثائق'!$K$3:$K$502,0)),"")</f>
        <v/>
      </c>
    </row>
    <row r="59">
      <c r="A59" s="43">
        <f>IFERROR(INDEX('الوثائق'!$A$3:$A$502,MATCH(53,'الوثائق'!$K$3:$K$502,0)),"")</f>
        <v/>
      </c>
      <c r="B59" s="43">
        <f>IFERROR(INDEX('الوثائق'!$B$3:$B$502,MATCH(53,'الوثائق'!$K$3:$K$502,0)),"")</f>
        <v/>
      </c>
      <c r="C59" s="43">
        <f>IFERROR(INDEX('الوثائق'!$C$3:$C$502,MATCH(53,'الوثائق'!$K$3:$K$502,0)),"")</f>
        <v/>
      </c>
      <c r="D59" s="43">
        <f>IFERROR(INDEX('الوثائق'!$D$3:$D$502,MATCH(53,'الوثائق'!$K$3:$K$502,0)),"")</f>
        <v/>
      </c>
      <c r="E59" s="118">
        <f>IFERROR(INDEX('الوثائق'!$E$3:$E$502,MATCH(53,'الوثائق'!$K$3:$K$502,0)),"")</f>
        <v/>
      </c>
      <c r="F59" s="118">
        <f>IFERROR(INDEX('الوثائق'!$F$3:$F$502,MATCH(53,'الوثائق'!$K$3:$K$502,0)),"")</f>
        <v/>
      </c>
      <c r="G59" s="43">
        <f>IFERROR(INDEX('الوثائق'!$G$3:$G$502,MATCH(53,'الوثائق'!$K$3:$K$502,0)),"")</f>
        <v/>
      </c>
      <c r="H59" s="44">
        <f>IFERROR(INDEX('الوثائق'!$I$3:$I$502,MATCH(53,'الوثائق'!$K$3:$K$502,0)),"")</f>
        <v/>
      </c>
      <c r="I59" s="43">
        <f>IFERROR(INDEX('الوثائق'!$H$3:$H$502,MATCH(53,'الوثائق'!$K$3:$K$502,0)),"")</f>
        <v/>
      </c>
      <c r="J59" s="43">
        <f>IFERROR(INDEX('الوثائق'!$J$3:$J$502,MATCH(53,'الوثائق'!$K$3:$K$502,0)),"")</f>
        <v/>
      </c>
    </row>
    <row r="60">
      <c r="A60" s="50">
        <f>IFERROR(INDEX('الوثائق'!$A$3:$A$502,MATCH(54,'الوثائق'!$K$3:$K$502,0)),"")</f>
        <v/>
      </c>
      <c r="B60" s="50">
        <f>IFERROR(INDEX('الوثائق'!$B$3:$B$502,MATCH(54,'الوثائق'!$K$3:$K$502,0)),"")</f>
        <v/>
      </c>
      <c r="C60" s="50">
        <f>IFERROR(INDEX('الوثائق'!$C$3:$C$502,MATCH(54,'الوثائق'!$K$3:$K$502,0)),"")</f>
        <v/>
      </c>
      <c r="D60" s="50">
        <f>IFERROR(INDEX('الوثائق'!$D$3:$D$502,MATCH(54,'الوثائق'!$K$3:$K$502,0)),"")</f>
        <v/>
      </c>
      <c r="E60" s="119">
        <f>IFERROR(INDEX('الوثائق'!$E$3:$E$502,MATCH(54,'الوثائق'!$K$3:$K$502,0)),"")</f>
        <v/>
      </c>
      <c r="F60" s="119">
        <f>IFERROR(INDEX('الوثائق'!$F$3:$F$502,MATCH(54,'الوثائق'!$K$3:$K$502,0)),"")</f>
        <v/>
      </c>
      <c r="G60" s="50">
        <f>IFERROR(INDEX('الوثائق'!$G$3:$G$502,MATCH(54,'الوثائق'!$K$3:$K$502,0)),"")</f>
        <v/>
      </c>
      <c r="H60" s="51">
        <f>IFERROR(INDEX('الوثائق'!$I$3:$I$502,MATCH(54,'الوثائق'!$K$3:$K$502,0)),"")</f>
        <v/>
      </c>
      <c r="I60" s="50">
        <f>IFERROR(INDEX('الوثائق'!$H$3:$H$502,MATCH(54,'الوثائق'!$K$3:$K$502,0)),"")</f>
        <v/>
      </c>
      <c r="J60" s="50">
        <f>IFERROR(INDEX('الوثائق'!$J$3:$J$502,MATCH(54,'الوثائق'!$K$3:$K$502,0)),"")</f>
        <v/>
      </c>
    </row>
    <row r="61">
      <c r="A61" s="43">
        <f>IFERROR(INDEX('الوثائق'!$A$3:$A$502,MATCH(55,'الوثائق'!$K$3:$K$502,0)),"")</f>
        <v/>
      </c>
      <c r="B61" s="43">
        <f>IFERROR(INDEX('الوثائق'!$B$3:$B$502,MATCH(55,'الوثائق'!$K$3:$K$502,0)),"")</f>
        <v/>
      </c>
      <c r="C61" s="43">
        <f>IFERROR(INDEX('الوثائق'!$C$3:$C$502,MATCH(55,'الوثائق'!$K$3:$K$502,0)),"")</f>
        <v/>
      </c>
      <c r="D61" s="43">
        <f>IFERROR(INDEX('الوثائق'!$D$3:$D$502,MATCH(55,'الوثائق'!$K$3:$K$502,0)),"")</f>
        <v/>
      </c>
      <c r="E61" s="118">
        <f>IFERROR(INDEX('الوثائق'!$E$3:$E$502,MATCH(55,'الوثائق'!$K$3:$K$502,0)),"")</f>
        <v/>
      </c>
      <c r="F61" s="118">
        <f>IFERROR(INDEX('الوثائق'!$F$3:$F$502,MATCH(55,'الوثائق'!$K$3:$K$502,0)),"")</f>
        <v/>
      </c>
      <c r="G61" s="43">
        <f>IFERROR(INDEX('الوثائق'!$G$3:$G$502,MATCH(55,'الوثائق'!$K$3:$K$502,0)),"")</f>
        <v/>
      </c>
      <c r="H61" s="44">
        <f>IFERROR(INDEX('الوثائق'!$I$3:$I$502,MATCH(55,'الوثائق'!$K$3:$K$502,0)),"")</f>
        <v/>
      </c>
      <c r="I61" s="43">
        <f>IFERROR(INDEX('الوثائق'!$H$3:$H$502,MATCH(55,'الوثائق'!$K$3:$K$502,0)),"")</f>
        <v/>
      </c>
      <c r="J61" s="43">
        <f>IFERROR(INDEX('الوثائق'!$J$3:$J$502,MATCH(55,'الوثائق'!$K$3:$K$502,0)),"")</f>
        <v/>
      </c>
    </row>
    <row r="62">
      <c r="A62" s="50">
        <f>IFERROR(INDEX('الوثائق'!$A$3:$A$502,MATCH(56,'الوثائق'!$K$3:$K$502,0)),"")</f>
        <v/>
      </c>
      <c r="B62" s="50">
        <f>IFERROR(INDEX('الوثائق'!$B$3:$B$502,MATCH(56,'الوثائق'!$K$3:$K$502,0)),"")</f>
        <v/>
      </c>
      <c r="C62" s="50">
        <f>IFERROR(INDEX('الوثائق'!$C$3:$C$502,MATCH(56,'الوثائق'!$K$3:$K$502,0)),"")</f>
        <v/>
      </c>
      <c r="D62" s="50">
        <f>IFERROR(INDEX('الوثائق'!$D$3:$D$502,MATCH(56,'الوثائق'!$K$3:$K$502,0)),"")</f>
        <v/>
      </c>
      <c r="E62" s="119">
        <f>IFERROR(INDEX('الوثائق'!$E$3:$E$502,MATCH(56,'الوثائق'!$K$3:$K$502,0)),"")</f>
        <v/>
      </c>
      <c r="F62" s="119">
        <f>IFERROR(INDEX('الوثائق'!$F$3:$F$502,MATCH(56,'الوثائق'!$K$3:$K$502,0)),"")</f>
        <v/>
      </c>
      <c r="G62" s="50">
        <f>IFERROR(INDEX('الوثائق'!$G$3:$G$502,MATCH(56,'الوثائق'!$K$3:$K$502,0)),"")</f>
        <v/>
      </c>
      <c r="H62" s="51">
        <f>IFERROR(INDEX('الوثائق'!$I$3:$I$502,MATCH(56,'الوثائق'!$K$3:$K$502,0)),"")</f>
        <v/>
      </c>
      <c r="I62" s="50">
        <f>IFERROR(INDEX('الوثائق'!$H$3:$H$502,MATCH(56,'الوثائق'!$K$3:$K$502,0)),"")</f>
        <v/>
      </c>
      <c r="J62" s="50">
        <f>IFERROR(INDEX('الوثائق'!$J$3:$J$502,MATCH(56,'الوثائق'!$K$3:$K$502,0)),"")</f>
        <v/>
      </c>
    </row>
    <row r="63">
      <c r="A63" s="43">
        <f>IFERROR(INDEX('الوثائق'!$A$3:$A$502,MATCH(57,'الوثائق'!$K$3:$K$502,0)),"")</f>
        <v/>
      </c>
      <c r="B63" s="43">
        <f>IFERROR(INDEX('الوثائق'!$B$3:$B$502,MATCH(57,'الوثائق'!$K$3:$K$502,0)),"")</f>
        <v/>
      </c>
      <c r="C63" s="43">
        <f>IFERROR(INDEX('الوثائق'!$C$3:$C$502,MATCH(57,'الوثائق'!$K$3:$K$502,0)),"")</f>
        <v/>
      </c>
      <c r="D63" s="43">
        <f>IFERROR(INDEX('الوثائق'!$D$3:$D$502,MATCH(57,'الوثائق'!$K$3:$K$502,0)),"")</f>
        <v/>
      </c>
      <c r="E63" s="118">
        <f>IFERROR(INDEX('الوثائق'!$E$3:$E$502,MATCH(57,'الوثائق'!$K$3:$K$502,0)),"")</f>
        <v/>
      </c>
      <c r="F63" s="118">
        <f>IFERROR(INDEX('الوثائق'!$F$3:$F$502,MATCH(57,'الوثائق'!$K$3:$K$502,0)),"")</f>
        <v/>
      </c>
      <c r="G63" s="43">
        <f>IFERROR(INDEX('الوثائق'!$G$3:$G$502,MATCH(57,'الوثائق'!$K$3:$K$502,0)),"")</f>
        <v/>
      </c>
      <c r="H63" s="44">
        <f>IFERROR(INDEX('الوثائق'!$I$3:$I$502,MATCH(57,'الوثائق'!$K$3:$K$502,0)),"")</f>
        <v/>
      </c>
      <c r="I63" s="43">
        <f>IFERROR(INDEX('الوثائق'!$H$3:$H$502,MATCH(57,'الوثائق'!$K$3:$K$502,0)),"")</f>
        <v/>
      </c>
      <c r="J63" s="43">
        <f>IFERROR(INDEX('الوثائق'!$J$3:$J$502,MATCH(57,'الوثائق'!$K$3:$K$502,0)),"")</f>
        <v/>
      </c>
    </row>
    <row r="64">
      <c r="A64" s="50">
        <f>IFERROR(INDEX('الوثائق'!$A$3:$A$502,MATCH(58,'الوثائق'!$K$3:$K$502,0)),"")</f>
        <v/>
      </c>
      <c r="B64" s="50">
        <f>IFERROR(INDEX('الوثائق'!$B$3:$B$502,MATCH(58,'الوثائق'!$K$3:$K$502,0)),"")</f>
        <v/>
      </c>
      <c r="C64" s="50">
        <f>IFERROR(INDEX('الوثائق'!$C$3:$C$502,MATCH(58,'الوثائق'!$K$3:$K$502,0)),"")</f>
        <v/>
      </c>
      <c r="D64" s="50">
        <f>IFERROR(INDEX('الوثائق'!$D$3:$D$502,MATCH(58,'الوثائق'!$K$3:$K$502,0)),"")</f>
        <v/>
      </c>
      <c r="E64" s="119">
        <f>IFERROR(INDEX('الوثائق'!$E$3:$E$502,MATCH(58,'الوثائق'!$K$3:$K$502,0)),"")</f>
        <v/>
      </c>
      <c r="F64" s="119">
        <f>IFERROR(INDEX('الوثائق'!$F$3:$F$502,MATCH(58,'الوثائق'!$K$3:$K$502,0)),"")</f>
        <v/>
      </c>
      <c r="G64" s="50">
        <f>IFERROR(INDEX('الوثائق'!$G$3:$G$502,MATCH(58,'الوثائق'!$K$3:$K$502,0)),"")</f>
        <v/>
      </c>
      <c r="H64" s="51">
        <f>IFERROR(INDEX('الوثائق'!$I$3:$I$502,MATCH(58,'الوثائق'!$K$3:$K$502,0)),"")</f>
        <v/>
      </c>
      <c r="I64" s="50">
        <f>IFERROR(INDEX('الوثائق'!$H$3:$H$502,MATCH(58,'الوثائق'!$K$3:$K$502,0)),"")</f>
        <v/>
      </c>
      <c r="J64" s="50">
        <f>IFERROR(INDEX('الوثائق'!$J$3:$J$502,MATCH(58,'الوثائق'!$K$3:$K$502,0)),"")</f>
        <v/>
      </c>
    </row>
    <row r="65">
      <c r="A65" s="43">
        <f>IFERROR(INDEX('الوثائق'!$A$3:$A$502,MATCH(59,'الوثائق'!$K$3:$K$502,0)),"")</f>
        <v/>
      </c>
      <c r="B65" s="43">
        <f>IFERROR(INDEX('الوثائق'!$B$3:$B$502,MATCH(59,'الوثائق'!$K$3:$K$502,0)),"")</f>
        <v/>
      </c>
      <c r="C65" s="43">
        <f>IFERROR(INDEX('الوثائق'!$C$3:$C$502,MATCH(59,'الوثائق'!$K$3:$K$502,0)),"")</f>
        <v/>
      </c>
      <c r="D65" s="43">
        <f>IFERROR(INDEX('الوثائق'!$D$3:$D$502,MATCH(59,'الوثائق'!$K$3:$K$502,0)),"")</f>
        <v/>
      </c>
      <c r="E65" s="118">
        <f>IFERROR(INDEX('الوثائق'!$E$3:$E$502,MATCH(59,'الوثائق'!$K$3:$K$502,0)),"")</f>
        <v/>
      </c>
      <c r="F65" s="118">
        <f>IFERROR(INDEX('الوثائق'!$F$3:$F$502,MATCH(59,'الوثائق'!$K$3:$K$502,0)),"")</f>
        <v/>
      </c>
      <c r="G65" s="43">
        <f>IFERROR(INDEX('الوثائق'!$G$3:$G$502,MATCH(59,'الوثائق'!$K$3:$K$502,0)),"")</f>
        <v/>
      </c>
      <c r="H65" s="44">
        <f>IFERROR(INDEX('الوثائق'!$I$3:$I$502,MATCH(59,'الوثائق'!$K$3:$K$502,0)),"")</f>
        <v/>
      </c>
      <c r="I65" s="43">
        <f>IFERROR(INDEX('الوثائق'!$H$3:$H$502,MATCH(59,'الوثائق'!$K$3:$K$502,0)),"")</f>
        <v/>
      </c>
      <c r="J65" s="43">
        <f>IFERROR(INDEX('الوثائق'!$J$3:$J$502,MATCH(59,'الوثائق'!$K$3:$K$502,0)),"")</f>
        <v/>
      </c>
    </row>
    <row r="66">
      <c r="A66" s="50">
        <f>IFERROR(INDEX('الوثائق'!$A$3:$A$502,MATCH(60,'الوثائق'!$K$3:$K$502,0)),"")</f>
        <v/>
      </c>
      <c r="B66" s="50">
        <f>IFERROR(INDEX('الوثائق'!$B$3:$B$502,MATCH(60,'الوثائق'!$K$3:$K$502,0)),"")</f>
        <v/>
      </c>
      <c r="C66" s="50">
        <f>IFERROR(INDEX('الوثائق'!$C$3:$C$502,MATCH(60,'الوثائق'!$K$3:$K$502,0)),"")</f>
        <v/>
      </c>
      <c r="D66" s="50">
        <f>IFERROR(INDEX('الوثائق'!$D$3:$D$502,MATCH(60,'الوثائق'!$K$3:$K$502,0)),"")</f>
        <v/>
      </c>
      <c r="E66" s="119">
        <f>IFERROR(INDEX('الوثائق'!$E$3:$E$502,MATCH(60,'الوثائق'!$K$3:$K$502,0)),"")</f>
        <v/>
      </c>
      <c r="F66" s="119">
        <f>IFERROR(INDEX('الوثائق'!$F$3:$F$502,MATCH(60,'الوثائق'!$K$3:$K$502,0)),"")</f>
        <v/>
      </c>
      <c r="G66" s="50">
        <f>IFERROR(INDEX('الوثائق'!$G$3:$G$502,MATCH(60,'الوثائق'!$K$3:$K$502,0)),"")</f>
        <v/>
      </c>
      <c r="H66" s="51">
        <f>IFERROR(INDEX('الوثائق'!$I$3:$I$502,MATCH(60,'الوثائق'!$K$3:$K$502,0)),"")</f>
        <v/>
      </c>
      <c r="I66" s="50">
        <f>IFERROR(INDEX('الوثائق'!$H$3:$H$502,MATCH(60,'الوثائق'!$K$3:$K$502,0)),"")</f>
        <v/>
      </c>
      <c r="J66" s="50">
        <f>IFERROR(INDEX('الوثائق'!$J$3:$J$502,MATCH(60,'الوثائق'!$K$3:$K$502,0)),"")</f>
        <v/>
      </c>
    </row>
    <row r="67">
      <c r="A67" s="43">
        <f>IFERROR(INDEX('الوثائق'!$A$3:$A$502,MATCH(61,'الوثائق'!$K$3:$K$502,0)),"")</f>
        <v/>
      </c>
      <c r="B67" s="43">
        <f>IFERROR(INDEX('الوثائق'!$B$3:$B$502,MATCH(61,'الوثائق'!$K$3:$K$502,0)),"")</f>
        <v/>
      </c>
      <c r="C67" s="43">
        <f>IFERROR(INDEX('الوثائق'!$C$3:$C$502,MATCH(61,'الوثائق'!$K$3:$K$502,0)),"")</f>
        <v/>
      </c>
      <c r="D67" s="43">
        <f>IFERROR(INDEX('الوثائق'!$D$3:$D$502,MATCH(61,'الوثائق'!$K$3:$K$502,0)),"")</f>
        <v/>
      </c>
      <c r="E67" s="118">
        <f>IFERROR(INDEX('الوثائق'!$E$3:$E$502,MATCH(61,'الوثائق'!$K$3:$K$502,0)),"")</f>
        <v/>
      </c>
      <c r="F67" s="118">
        <f>IFERROR(INDEX('الوثائق'!$F$3:$F$502,MATCH(61,'الوثائق'!$K$3:$K$502,0)),"")</f>
        <v/>
      </c>
      <c r="G67" s="43">
        <f>IFERROR(INDEX('الوثائق'!$G$3:$G$502,MATCH(61,'الوثائق'!$K$3:$K$502,0)),"")</f>
        <v/>
      </c>
      <c r="H67" s="44">
        <f>IFERROR(INDEX('الوثائق'!$I$3:$I$502,MATCH(61,'الوثائق'!$K$3:$K$502,0)),"")</f>
        <v/>
      </c>
      <c r="I67" s="43">
        <f>IFERROR(INDEX('الوثائق'!$H$3:$H$502,MATCH(61,'الوثائق'!$K$3:$K$502,0)),"")</f>
        <v/>
      </c>
      <c r="J67" s="43">
        <f>IFERROR(INDEX('الوثائق'!$J$3:$J$502,MATCH(61,'الوثائق'!$K$3:$K$502,0)),"")</f>
        <v/>
      </c>
    </row>
    <row r="68">
      <c r="A68" s="50">
        <f>IFERROR(INDEX('الوثائق'!$A$3:$A$502,MATCH(62,'الوثائق'!$K$3:$K$502,0)),"")</f>
        <v/>
      </c>
      <c r="B68" s="50">
        <f>IFERROR(INDEX('الوثائق'!$B$3:$B$502,MATCH(62,'الوثائق'!$K$3:$K$502,0)),"")</f>
        <v/>
      </c>
      <c r="C68" s="50">
        <f>IFERROR(INDEX('الوثائق'!$C$3:$C$502,MATCH(62,'الوثائق'!$K$3:$K$502,0)),"")</f>
        <v/>
      </c>
      <c r="D68" s="50">
        <f>IFERROR(INDEX('الوثائق'!$D$3:$D$502,MATCH(62,'الوثائق'!$K$3:$K$502,0)),"")</f>
        <v/>
      </c>
      <c r="E68" s="119">
        <f>IFERROR(INDEX('الوثائق'!$E$3:$E$502,MATCH(62,'الوثائق'!$K$3:$K$502,0)),"")</f>
        <v/>
      </c>
      <c r="F68" s="119">
        <f>IFERROR(INDEX('الوثائق'!$F$3:$F$502,MATCH(62,'الوثائق'!$K$3:$K$502,0)),"")</f>
        <v/>
      </c>
      <c r="G68" s="50">
        <f>IFERROR(INDEX('الوثائق'!$G$3:$G$502,MATCH(62,'الوثائق'!$K$3:$K$502,0)),"")</f>
        <v/>
      </c>
      <c r="H68" s="51">
        <f>IFERROR(INDEX('الوثائق'!$I$3:$I$502,MATCH(62,'الوثائق'!$K$3:$K$502,0)),"")</f>
        <v/>
      </c>
      <c r="I68" s="50">
        <f>IFERROR(INDEX('الوثائق'!$H$3:$H$502,MATCH(62,'الوثائق'!$K$3:$K$502,0)),"")</f>
        <v/>
      </c>
      <c r="J68" s="50">
        <f>IFERROR(INDEX('الوثائق'!$J$3:$J$502,MATCH(62,'الوثائق'!$K$3:$K$502,0)),"")</f>
        <v/>
      </c>
    </row>
    <row r="69">
      <c r="A69" s="43">
        <f>IFERROR(INDEX('الوثائق'!$A$3:$A$502,MATCH(63,'الوثائق'!$K$3:$K$502,0)),"")</f>
        <v/>
      </c>
      <c r="B69" s="43">
        <f>IFERROR(INDEX('الوثائق'!$B$3:$B$502,MATCH(63,'الوثائق'!$K$3:$K$502,0)),"")</f>
        <v/>
      </c>
      <c r="C69" s="43">
        <f>IFERROR(INDEX('الوثائق'!$C$3:$C$502,MATCH(63,'الوثائق'!$K$3:$K$502,0)),"")</f>
        <v/>
      </c>
      <c r="D69" s="43">
        <f>IFERROR(INDEX('الوثائق'!$D$3:$D$502,MATCH(63,'الوثائق'!$K$3:$K$502,0)),"")</f>
        <v/>
      </c>
      <c r="E69" s="118">
        <f>IFERROR(INDEX('الوثائق'!$E$3:$E$502,MATCH(63,'الوثائق'!$K$3:$K$502,0)),"")</f>
        <v/>
      </c>
      <c r="F69" s="118">
        <f>IFERROR(INDEX('الوثائق'!$F$3:$F$502,MATCH(63,'الوثائق'!$K$3:$K$502,0)),"")</f>
        <v/>
      </c>
      <c r="G69" s="43">
        <f>IFERROR(INDEX('الوثائق'!$G$3:$G$502,MATCH(63,'الوثائق'!$K$3:$K$502,0)),"")</f>
        <v/>
      </c>
      <c r="H69" s="44">
        <f>IFERROR(INDEX('الوثائق'!$I$3:$I$502,MATCH(63,'الوثائق'!$K$3:$K$502,0)),"")</f>
        <v/>
      </c>
      <c r="I69" s="43">
        <f>IFERROR(INDEX('الوثائق'!$H$3:$H$502,MATCH(63,'الوثائق'!$K$3:$K$502,0)),"")</f>
        <v/>
      </c>
      <c r="J69" s="43">
        <f>IFERROR(INDEX('الوثائق'!$J$3:$J$502,MATCH(63,'الوثائق'!$K$3:$K$502,0)),"")</f>
        <v/>
      </c>
    </row>
    <row r="70">
      <c r="A70" s="50">
        <f>IFERROR(INDEX('الوثائق'!$A$3:$A$502,MATCH(64,'الوثائق'!$K$3:$K$502,0)),"")</f>
        <v/>
      </c>
      <c r="B70" s="50">
        <f>IFERROR(INDEX('الوثائق'!$B$3:$B$502,MATCH(64,'الوثائق'!$K$3:$K$502,0)),"")</f>
        <v/>
      </c>
      <c r="C70" s="50">
        <f>IFERROR(INDEX('الوثائق'!$C$3:$C$502,MATCH(64,'الوثائق'!$K$3:$K$502,0)),"")</f>
        <v/>
      </c>
      <c r="D70" s="50">
        <f>IFERROR(INDEX('الوثائق'!$D$3:$D$502,MATCH(64,'الوثائق'!$K$3:$K$502,0)),"")</f>
        <v/>
      </c>
      <c r="E70" s="119">
        <f>IFERROR(INDEX('الوثائق'!$E$3:$E$502,MATCH(64,'الوثائق'!$K$3:$K$502,0)),"")</f>
        <v/>
      </c>
      <c r="F70" s="119">
        <f>IFERROR(INDEX('الوثائق'!$F$3:$F$502,MATCH(64,'الوثائق'!$K$3:$K$502,0)),"")</f>
        <v/>
      </c>
      <c r="G70" s="50">
        <f>IFERROR(INDEX('الوثائق'!$G$3:$G$502,MATCH(64,'الوثائق'!$K$3:$K$502,0)),"")</f>
        <v/>
      </c>
      <c r="H70" s="51">
        <f>IFERROR(INDEX('الوثائق'!$I$3:$I$502,MATCH(64,'الوثائق'!$K$3:$K$502,0)),"")</f>
        <v/>
      </c>
      <c r="I70" s="50">
        <f>IFERROR(INDEX('الوثائق'!$H$3:$H$502,MATCH(64,'الوثائق'!$K$3:$K$502,0)),"")</f>
        <v/>
      </c>
      <c r="J70" s="50">
        <f>IFERROR(INDEX('الوثائق'!$J$3:$J$502,MATCH(64,'الوثائق'!$K$3:$K$502,0)),"")</f>
        <v/>
      </c>
    </row>
    <row r="71">
      <c r="A71" s="43">
        <f>IFERROR(INDEX('الوثائق'!$A$3:$A$502,MATCH(65,'الوثائق'!$K$3:$K$502,0)),"")</f>
        <v/>
      </c>
      <c r="B71" s="43">
        <f>IFERROR(INDEX('الوثائق'!$B$3:$B$502,MATCH(65,'الوثائق'!$K$3:$K$502,0)),"")</f>
        <v/>
      </c>
      <c r="C71" s="43">
        <f>IFERROR(INDEX('الوثائق'!$C$3:$C$502,MATCH(65,'الوثائق'!$K$3:$K$502,0)),"")</f>
        <v/>
      </c>
      <c r="D71" s="43">
        <f>IFERROR(INDEX('الوثائق'!$D$3:$D$502,MATCH(65,'الوثائق'!$K$3:$K$502,0)),"")</f>
        <v/>
      </c>
      <c r="E71" s="118">
        <f>IFERROR(INDEX('الوثائق'!$E$3:$E$502,MATCH(65,'الوثائق'!$K$3:$K$502,0)),"")</f>
        <v/>
      </c>
      <c r="F71" s="118">
        <f>IFERROR(INDEX('الوثائق'!$F$3:$F$502,MATCH(65,'الوثائق'!$K$3:$K$502,0)),"")</f>
        <v/>
      </c>
      <c r="G71" s="43">
        <f>IFERROR(INDEX('الوثائق'!$G$3:$G$502,MATCH(65,'الوثائق'!$K$3:$K$502,0)),"")</f>
        <v/>
      </c>
      <c r="H71" s="44">
        <f>IFERROR(INDEX('الوثائق'!$I$3:$I$502,MATCH(65,'الوثائق'!$K$3:$K$502,0)),"")</f>
        <v/>
      </c>
      <c r="I71" s="43">
        <f>IFERROR(INDEX('الوثائق'!$H$3:$H$502,MATCH(65,'الوثائق'!$K$3:$K$502,0)),"")</f>
        <v/>
      </c>
      <c r="J71" s="43">
        <f>IFERROR(INDEX('الوثائق'!$J$3:$J$502,MATCH(65,'الوثائق'!$K$3:$K$502,0)),"")</f>
        <v/>
      </c>
    </row>
    <row r="72">
      <c r="A72" s="50">
        <f>IFERROR(INDEX('الوثائق'!$A$3:$A$502,MATCH(66,'الوثائق'!$K$3:$K$502,0)),"")</f>
        <v/>
      </c>
      <c r="B72" s="50">
        <f>IFERROR(INDEX('الوثائق'!$B$3:$B$502,MATCH(66,'الوثائق'!$K$3:$K$502,0)),"")</f>
        <v/>
      </c>
      <c r="C72" s="50">
        <f>IFERROR(INDEX('الوثائق'!$C$3:$C$502,MATCH(66,'الوثائق'!$K$3:$K$502,0)),"")</f>
        <v/>
      </c>
      <c r="D72" s="50">
        <f>IFERROR(INDEX('الوثائق'!$D$3:$D$502,MATCH(66,'الوثائق'!$K$3:$K$502,0)),"")</f>
        <v/>
      </c>
      <c r="E72" s="119">
        <f>IFERROR(INDEX('الوثائق'!$E$3:$E$502,MATCH(66,'الوثائق'!$K$3:$K$502,0)),"")</f>
        <v/>
      </c>
      <c r="F72" s="119">
        <f>IFERROR(INDEX('الوثائق'!$F$3:$F$502,MATCH(66,'الوثائق'!$K$3:$K$502,0)),"")</f>
        <v/>
      </c>
      <c r="G72" s="50">
        <f>IFERROR(INDEX('الوثائق'!$G$3:$G$502,MATCH(66,'الوثائق'!$K$3:$K$502,0)),"")</f>
        <v/>
      </c>
      <c r="H72" s="51">
        <f>IFERROR(INDEX('الوثائق'!$I$3:$I$502,MATCH(66,'الوثائق'!$K$3:$K$502,0)),"")</f>
        <v/>
      </c>
      <c r="I72" s="50">
        <f>IFERROR(INDEX('الوثائق'!$H$3:$H$502,MATCH(66,'الوثائق'!$K$3:$K$502,0)),"")</f>
        <v/>
      </c>
      <c r="J72" s="50">
        <f>IFERROR(INDEX('الوثائق'!$J$3:$J$502,MATCH(66,'الوثائق'!$K$3:$K$502,0)),"")</f>
        <v/>
      </c>
    </row>
    <row r="73">
      <c r="A73" s="43">
        <f>IFERROR(INDEX('الوثائق'!$A$3:$A$502,MATCH(67,'الوثائق'!$K$3:$K$502,0)),"")</f>
        <v/>
      </c>
      <c r="B73" s="43">
        <f>IFERROR(INDEX('الوثائق'!$B$3:$B$502,MATCH(67,'الوثائق'!$K$3:$K$502,0)),"")</f>
        <v/>
      </c>
      <c r="C73" s="43">
        <f>IFERROR(INDEX('الوثائق'!$C$3:$C$502,MATCH(67,'الوثائق'!$K$3:$K$502,0)),"")</f>
        <v/>
      </c>
      <c r="D73" s="43">
        <f>IFERROR(INDEX('الوثائق'!$D$3:$D$502,MATCH(67,'الوثائق'!$K$3:$K$502,0)),"")</f>
        <v/>
      </c>
      <c r="E73" s="118">
        <f>IFERROR(INDEX('الوثائق'!$E$3:$E$502,MATCH(67,'الوثائق'!$K$3:$K$502,0)),"")</f>
        <v/>
      </c>
      <c r="F73" s="118">
        <f>IFERROR(INDEX('الوثائق'!$F$3:$F$502,MATCH(67,'الوثائق'!$K$3:$K$502,0)),"")</f>
        <v/>
      </c>
      <c r="G73" s="43">
        <f>IFERROR(INDEX('الوثائق'!$G$3:$G$502,MATCH(67,'الوثائق'!$K$3:$K$502,0)),"")</f>
        <v/>
      </c>
      <c r="H73" s="44">
        <f>IFERROR(INDEX('الوثائق'!$I$3:$I$502,MATCH(67,'الوثائق'!$K$3:$K$502,0)),"")</f>
        <v/>
      </c>
      <c r="I73" s="43">
        <f>IFERROR(INDEX('الوثائق'!$H$3:$H$502,MATCH(67,'الوثائق'!$K$3:$K$502,0)),"")</f>
        <v/>
      </c>
      <c r="J73" s="43">
        <f>IFERROR(INDEX('الوثائق'!$J$3:$J$502,MATCH(67,'الوثائق'!$K$3:$K$502,0)),"")</f>
        <v/>
      </c>
    </row>
    <row r="74">
      <c r="A74" s="50">
        <f>IFERROR(INDEX('الوثائق'!$A$3:$A$502,MATCH(68,'الوثائق'!$K$3:$K$502,0)),"")</f>
        <v/>
      </c>
      <c r="B74" s="50">
        <f>IFERROR(INDEX('الوثائق'!$B$3:$B$502,MATCH(68,'الوثائق'!$K$3:$K$502,0)),"")</f>
        <v/>
      </c>
      <c r="C74" s="50">
        <f>IFERROR(INDEX('الوثائق'!$C$3:$C$502,MATCH(68,'الوثائق'!$K$3:$K$502,0)),"")</f>
        <v/>
      </c>
      <c r="D74" s="50">
        <f>IFERROR(INDEX('الوثائق'!$D$3:$D$502,MATCH(68,'الوثائق'!$K$3:$K$502,0)),"")</f>
        <v/>
      </c>
      <c r="E74" s="119">
        <f>IFERROR(INDEX('الوثائق'!$E$3:$E$502,MATCH(68,'الوثائق'!$K$3:$K$502,0)),"")</f>
        <v/>
      </c>
      <c r="F74" s="119">
        <f>IFERROR(INDEX('الوثائق'!$F$3:$F$502,MATCH(68,'الوثائق'!$K$3:$K$502,0)),"")</f>
        <v/>
      </c>
      <c r="G74" s="50">
        <f>IFERROR(INDEX('الوثائق'!$G$3:$G$502,MATCH(68,'الوثائق'!$K$3:$K$502,0)),"")</f>
        <v/>
      </c>
      <c r="H74" s="51">
        <f>IFERROR(INDEX('الوثائق'!$I$3:$I$502,MATCH(68,'الوثائق'!$K$3:$K$502,0)),"")</f>
        <v/>
      </c>
      <c r="I74" s="50">
        <f>IFERROR(INDEX('الوثائق'!$H$3:$H$502,MATCH(68,'الوثائق'!$K$3:$K$502,0)),"")</f>
        <v/>
      </c>
      <c r="J74" s="50">
        <f>IFERROR(INDEX('الوثائق'!$J$3:$J$502,MATCH(68,'الوثائق'!$K$3:$K$502,0)),"")</f>
        <v/>
      </c>
    </row>
    <row r="75">
      <c r="A75" s="43">
        <f>IFERROR(INDEX('الوثائق'!$A$3:$A$502,MATCH(69,'الوثائق'!$K$3:$K$502,0)),"")</f>
        <v/>
      </c>
      <c r="B75" s="43">
        <f>IFERROR(INDEX('الوثائق'!$B$3:$B$502,MATCH(69,'الوثائق'!$K$3:$K$502,0)),"")</f>
        <v/>
      </c>
      <c r="C75" s="43">
        <f>IFERROR(INDEX('الوثائق'!$C$3:$C$502,MATCH(69,'الوثائق'!$K$3:$K$502,0)),"")</f>
        <v/>
      </c>
      <c r="D75" s="43">
        <f>IFERROR(INDEX('الوثائق'!$D$3:$D$502,MATCH(69,'الوثائق'!$K$3:$K$502,0)),"")</f>
        <v/>
      </c>
      <c r="E75" s="118">
        <f>IFERROR(INDEX('الوثائق'!$E$3:$E$502,MATCH(69,'الوثائق'!$K$3:$K$502,0)),"")</f>
        <v/>
      </c>
      <c r="F75" s="118">
        <f>IFERROR(INDEX('الوثائق'!$F$3:$F$502,MATCH(69,'الوثائق'!$K$3:$K$502,0)),"")</f>
        <v/>
      </c>
      <c r="G75" s="43">
        <f>IFERROR(INDEX('الوثائق'!$G$3:$G$502,MATCH(69,'الوثائق'!$K$3:$K$502,0)),"")</f>
        <v/>
      </c>
      <c r="H75" s="44">
        <f>IFERROR(INDEX('الوثائق'!$I$3:$I$502,MATCH(69,'الوثائق'!$K$3:$K$502,0)),"")</f>
        <v/>
      </c>
      <c r="I75" s="43">
        <f>IFERROR(INDEX('الوثائق'!$H$3:$H$502,MATCH(69,'الوثائق'!$K$3:$K$502,0)),"")</f>
        <v/>
      </c>
      <c r="J75" s="43">
        <f>IFERROR(INDEX('الوثائق'!$J$3:$J$502,MATCH(69,'الوثائق'!$K$3:$K$502,0)),"")</f>
        <v/>
      </c>
    </row>
    <row r="76">
      <c r="A76" s="50">
        <f>IFERROR(INDEX('الوثائق'!$A$3:$A$502,MATCH(70,'الوثائق'!$K$3:$K$502,0)),"")</f>
        <v/>
      </c>
      <c r="B76" s="50">
        <f>IFERROR(INDEX('الوثائق'!$B$3:$B$502,MATCH(70,'الوثائق'!$K$3:$K$502,0)),"")</f>
        <v/>
      </c>
      <c r="C76" s="50">
        <f>IFERROR(INDEX('الوثائق'!$C$3:$C$502,MATCH(70,'الوثائق'!$K$3:$K$502,0)),"")</f>
        <v/>
      </c>
      <c r="D76" s="50">
        <f>IFERROR(INDEX('الوثائق'!$D$3:$D$502,MATCH(70,'الوثائق'!$K$3:$K$502,0)),"")</f>
        <v/>
      </c>
      <c r="E76" s="119">
        <f>IFERROR(INDEX('الوثائق'!$E$3:$E$502,MATCH(70,'الوثائق'!$K$3:$K$502,0)),"")</f>
        <v/>
      </c>
      <c r="F76" s="119">
        <f>IFERROR(INDEX('الوثائق'!$F$3:$F$502,MATCH(70,'الوثائق'!$K$3:$K$502,0)),"")</f>
        <v/>
      </c>
      <c r="G76" s="50">
        <f>IFERROR(INDEX('الوثائق'!$G$3:$G$502,MATCH(70,'الوثائق'!$K$3:$K$502,0)),"")</f>
        <v/>
      </c>
      <c r="H76" s="51">
        <f>IFERROR(INDEX('الوثائق'!$I$3:$I$502,MATCH(70,'الوثائق'!$K$3:$K$502,0)),"")</f>
        <v/>
      </c>
      <c r="I76" s="50">
        <f>IFERROR(INDEX('الوثائق'!$H$3:$H$502,MATCH(70,'الوثائق'!$K$3:$K$502,0)),"")</f>
        <v/>
      </c>
      <c r="J76" s="50">
        <f>IFERROR(INDEX('الوثائق'!$J$3:$J$502,MATCH(70,'الوثائق'!$K$3:$K$502,0)),"")</f>
        <v/>
      </c>
    </row>
    <row r="77">
      <c r="A77" s="43">
        <f>IFERROR(INDEX('الوثائق'!$A$3:$A$502,MATCH(71,'الوثائق'!$K$3:$K$502,0)),"")</f>
        <v/>
      </c>
      <c r="B77" s="43">
        <f>IFERROR(INDEX('الوثائق'!$B$3:$B$502,MATCH(71,'الوثائق'!$K$3:$K$502,0)),"")</f>
        <v/>
      </c>
      <c r="C77" s="43">
        <f>IFERROR(INDEX('الوثائق'!$C$3:$C$502,MATCH(71,'الوثائق'!$K$3:$K$502,0)),"")</f>
        <v/>
      </c>
      <c r="D77" s="43">
        <f>IFERROR(INDEX('الوثائق'!$D$3:$D$502,MATCH(71,'الوثائق'!$K$3:$K$502,0)),"")</f>
        <v/>
      </c>
      <c r="E77" s="118">
        <f>IFERROR(INDEX('الوثائق'!$E$3:$E$502,MATCH(71,'الوثائق'!$K$3:$K$502,0)),"")</f>
        <v/>
      </c>
      <c r="F77" s="118">
        <f>IFERROR(INDEX('الوثائق'!$F$3:$F$502,MATCH(71,'الوثائق'!$K$3:$K$502,0)),"")</f>
        <v/>
      </c>
      <c r="G77" s="43">
        <f>IFERROR(INDEX('الوثائق'!$G$3:$G$502,MATCH(71,'الوثائق'!$K$3:$K$502,0)),"")</f>
        <v/>
      </c>
      <c r="H77" s="44">
        <f>IFERROR(INDEX('الوثائق'!$I$3:$I$502,MATCH(71,'الوثائق'!$K$3:$K$502,0)),"")</f>
        <v/>
      </c>
      <c r="I77" s="43">
        <f>IFERROR(INDEX('الوثائق'!$H$3:$H$502,MATCH(71,'الوثائق'!$K$3:$K$502,0)),"")</f>
        <v/>
      </c>
      <c r="J77" s="43">
        <f>IFERROR(INDEX('الوثائق'!$J$3:$J$502,MATCH(71,'الوثائق'!$K$3:$K$502,0)),"")</f>
        <v/>
      </c>
    </row>
    <row r="78">
      <c r="A78" s="50">
        <f>IFERROR(INDEX('الوثائق'!$A$3:$A$502,MATCH(72,'الوثائق'!$K$3:$K$502,0)),"")</f>
        <v/>
      </c>
      <c r="B78" s="50">
        <f>IFERROR(INDEX('الوثائق'!$B$3:$B$502,MATCH(72,'الوثائق'!$K$3:$K$502,0)),"")</f>
        <v/>
      </c>
      <c r="C78" s="50">
        <f>IFERROR(INDEX('الوثائق'!$C$3:$C$502,MATCH(72,'الوثائق'!$K$3:$K$502,0)),"")</f>
        <v/>
      </c>
      <c r="D78" s="50">
        <f>IFERROR(INDEX('الوثائق'!$D$3:$D$502,MATCH(72,'الوثائق'!$K$3:$K$502,0)),"")</f>
        <v/>
      </c>
      <c r="E78" s="119">
        <f>IFERROR(INDEX('الوثائق'!$E$3:$E$502,MATCH(72,'الوثائق'!$K$3:$K$502,0)),"")</f>
        <v/>
      </c>
      <c r="F78" s="119">
        <f>IFERROR(INDEX('الوثائق'!$F$3:$F$502,MATCH(72,'الوثائق'!$K$3:$K$502,0)),"")</f>
        <v/>
      </c>
      <c r="G78" s="50">
        <f>IFERROR(INDEX('الوثائق'!$G$3:$G$502,MATCH(72,'الوثائق'!$K$3:$K$502,0)),"")</f>
        <v/>
      </c>
      <c r="H78" s="51">
        <f>IFERROR(INDEX('الوثائق'!$I$3:$I$502,MATCH(72,'الوثائق'!$K$3:$K$502,0)),"")</f>
        <v/>
      </c>
      <c r="I78" s="50">
        <f>IFERROR(INDEX('الوثائق'!$H$3:$H$502,MATCH(72,'الوثائق'!$K$3:$K$502,0)),"")</f>
        <v/>
      </c>
      <c r="J78" s="50">
        <f>IFERROR(INDEX('الوثائق'!$J$3:$J$502,MATCH(72,'الوثائق'!$K$3:$K$502,0)),"")</f>
        <v/>
      </c>
    </row>
    <row r="79">
      <c r="A79" s="43">
        <f>IFERROR(INDEX('الوثائق'!$A$3:$A$502,MATCH(73,'الوثائق'!$K$3:$K$502,0)),"")</f>
        <v/>
      </c>
      <c r="B79" s="43">
        <f>IFERROR(INDEX('الوثائق'!$B$3:$B$502,MATCH(73,'الوثائق'!$K$3:$K$502,0)),"")</f>
        <v/>
      </c>
      <c r="C79" s="43">
        <f>IFERROR(INDEX('الوثائق'!$C$3:$C$502,MATCH(73,'الوثائق'!$K$3:$K$502,0)),"")</f>
        <v/>
      </c>
      <c r="D79" s="43">
        <f>IFERROR(INDEX('الوثائق'!$D$3:$D$502,MATCH(73,'الوثائق'!$K$3:$K$502,0)),"")</f>
        <v/>
      </c>
      <c r="E79" s="118">
        <f>IFERROR(INDEX('الوثائق'!$E$3:$E$502,MATCH(73,'الوثائق'!$K$3:$K$502,0)),"")</f>
        <v/>
      </c>
      <c r="F79" s="118">
        <f>IFERROR(INDEX('الوثائق'!$F$3:$F$502,MATCH(73,'الوثائق'!$K$3:$K$502,0)),"")</f>
        <v/>
      </c>
      <c r="G79" s="43">
        <f>IFERROR(INDEX('الوثائق'!$G$3:$G$502,MATCH(73,'الوثائق'!$K$3:$K$502,0)),"")</f>
        <v/>
      </c>
      <c r="H79" s="44">
        <f>IFERROR(INDEX('الوثائق'!$I$3:$I$502,MATCH(73,'الوثائق'!$K$3:$K$502,0)),"")</f>
        <v/>
      </c>
      <c r="I79" s="43">
        <f>IFERROR(INDEX('الوثائق'!$H$3:$H$502,MATCH(73,'الوثائق'!$K$3:$K$502,0)),"")</f>
        <v/>
      </c>
      <c r="J79" s="43">
        <f>IFERROR(INDEX('الوثائق'!$J$3:$J$502,MATCH(73,'الوثائق'!$K$3:$K$502,0)),"")</f>
        <v/>
      </c>
    </row>
    <row r="80">
      <c r="A80" s="50">
        <f>IFERROR(INDEX('الوثائق'!$A$3:$A$502,MATCH(74,'الوثائق'!$K$3:$K$502,0)),"")</f>
        <v/>
      </c>
      <c r="B80" s="50">
        <f>IFERROR(INDEX('الوثائق'!$B$3:$B$502,MATCH(74,'الوثائق'!$K$3:$K$502,0)),"")</f>
        <v/>
      </c>
      <c r="C80" s="50">
        <f>IFERROR(INDEX('الوثائق'!$C$3:$C$502,MATCH(74,'الوثائق'!$K$3:$K$502,0)),"")</f>
        <v/>
      </c>
      <c r="D80" s="50">
        <f>IFERROR(INDEX('الوثائق'!$D$3:$D$502,MATCH(74,'الوثائق'!$K$3:$K$502,0)),"")</f>
        <v/>
      </c>
      <c r="E80" s="119">
        <f>IFERROR(INDEX('الوثائق'!$E$3:$E$502,MATCH(74,'الوثائق'!$K$3:$K$502,0)),"")</f>
        <v/>
      </c>
      <c r="F80" s="119">
        <f>IFERROR(INDEX('الوثائق'!$F$3:$F$502,MATCH(74,'الوثائق'!$K$3:$K$502,0)),"")</f>
        <v/>
      </c>
      <c r="G80" s="50">
        <f>IFERROR(INDEX('الوثائق'!$G$3:$G$502,MATCH(74,'الوثائق'!$K$3:$K$502,0)),"")</f>
        <v/>
      </c>
      <c r="H80" s="51">
        <f>IFERROR(INDEX('الوثائق'!$I$3:$I$502,MATCH(74,'الوثائق'!$K$3:$K$502,0)),"")</f>
        <v/>
      </c>
      <c r="I80" s="50">
        <f>IFERROR(INDEX('الوثائق'!$H$3:$H$502,MATCH(74,'الوثائق'!$K$3:$K$502,0)),"")</f>
        <v/>
      </c>
      <c r="J80" s="50">
        <f>IFERROR(INDEX('الوثائق'!$J$3:$J$502,MATCH(74,'الوثائق'!$K$3:$K$502,0)),"")</f>
        <v/>
      </c>
    </row>
    <row r="81">
      <c r="A81" s="43">
        <f>IFERROR(INDEX('الوثائق'!$A$3:$A$502,MATCH(75,'الوثائق'!$K$3:$K$502,0)),"")</f>
        <v/>
      </c>
      <c r="B81" s="43">
        <f>IFERROR(INDEX('الوثائق'!$B$3:$B$502,MATCH(75,'الوثائق'!$K$3:$K$502,0)),"")</f>
        <v/>
      </c>
      <c r="C81" s="43">
        <f>IFERROR(INDEX('الوثائق'!$C$3:$C$502,MATCH(75,'الوثائق'!$K$3:$K$502,0)),"")</f>
        <v/>
      </c>
      <c r="D81" s="43">
        <f>IFERROR(INDEX('الوثائق'!$D$3:$D$502,MATCH(75,'الوثائق'!$K$3:$K$502,0)),"")</f>
        <v/>
      </c>
      <c r="E81" s="118">
        <f>IFERROR(INDEX('الوثائق'!$E$3:$E$502,MATCH(75,'الوثائق'!$K$3:$K$502,0)),"")</f>
        <v/>
      </c>
      <c r="F81" s="118">
        <f>IFERROR(INDEX('الوثائق'!$F$3:$F$502,MATCH(75,'الوثائق'!$K$3:$K$502,0)),"")</f>
        <v/>
      </c>
      <c r="G81" s="43">
        <f>IFERROR(INDEX('الوثائق'!$G$3:$G$502,MATCH(75,'الوثائق'!$K$3:$K$502,0)),"")</f>
        <v/>
      </c>
      <c r="H81" s="44">
        <f>IFERROR(INDEX('الوثائق'!$I$3:$I$502,MATCH(75,'الوثائق'!$K$3:$K$502,0)),"")</f>
        <v/>
      </c>
      <c r="I81" s="43">
        <f>IFERROR(INDEX('الوثائق'!$H$3:$H$502,MATCH(75,'الوثائق'!$K$3:$K$502,0)),"")</f>
        <v/>
      </c>
      <c r="J81" s="43">
        <f>IFERROR(INDEX('الوثائق'!$J$3:$J$502,MATCH(75,'الوثائق'!$K$3:$K$502,0)),"")</f>
        <v/>
      </c>
    </row>
    <row r="82">
      <c r="A82" s="50">
        <f>IFERROR(INDEX('الوثائق'!$A$3:$A$502,MATCH(76,'الوثائق'!$K$3:$K$502,0)),"")</f>
        <v/>
      </c>
      <c r="B82" s="50">
        <f>IFERROR(INDEX('الوثائق'!$B$3:$B$502,MATCH(76,'الوثائق'!$K$3:$K$502,0)),"")</f>
        <v/>
      </c>
      <c r="C82" s="50">
        <f>IFERROR(INDEX('الوثائق'!$C$3:$C$502,MATCH(76,'الوثائق'!$K$3:$K$502,0)),"")</f>
        <v/>
      </c>
      <c r="D82" s="50">
        <f>IFERROR(INDEX('الوثائق'!$D$3:$D$502,MATCH(76,'الوثائق'!$K$3:$K$502,0)),"")</f>
        <v/>
      </c>
      <c r="E82" s="119">
        <f>IFERROR(INDEX('الوثائق'!$E$3:$E$502,MATCH(76,'الوثائق'!$K$3:$K$502,0)),"")</f>
        <v/>
      </c>
      <c r="F82" s="119">
        <f>IFERROR(INDEX('الوثائق'!$F$3:$F$502,MATCH(76,'الوثائق'!$K$3:$K$502,0)),"")</f>
        <v/>
      </c>
      <c r="G82" s="50">
        <f>IFERROR(INDEX('الوثائق'!$G$3:$G$502,MATCH(76,'الوثائق'!$K$3:$K$502,0)),"")</f>
        <v/>
      </c>
      <c r="H82" s="51">
        <f>IFERROR(INDEX('الوثائق'!$I$3:$I$502,MATCH(76,'الوثائق'!$K$3:$K$502,0)),"")</f>
        <v/>
      </c>
      <c r="I82" s="50">
        <f>IFERROR(INDEX('الوثائق'!$H$3:$H$502,MATCH(76,'الوثائق'!$K$3:$K$502,0)),"")</f>
        <v/>
      </c>
      <c r="J82" s="50">
        <f>IFERROR(INDEX('الوثائق'!$J$3:$J$502,MATCH(76,'الوثائق'!$K$3:$K$502,0)),"")</f>
        <v/>
      </c>
    </row>
    <row r="83">
      <c r="A83" s="43">
        <f>IFERROR(INDEX('الوثائق'!$A$3:$A$502,MATCH(77,'الوثائق'!$K$3:$K$502,0)),"")</f>
        <v/>
      </c>
      <c r="B83" s="43">
        <f>IFERROR(INDEX('الوثائق'!$B$3:$B$502,MATCH(77,'الوثائق'!$K$3:$K$502,0)),"")</f>
        <v/>
      </c>
      <c r="C83" s="43">
        <f>IFERROR(INDEX('الوثائق'!$C$3:$C$502,MATCH(77,'الوثائق'!$K$3:$K$502,0)),"")</f>
        <v/>
      </c>
      <c r="D83" s="43">
        <f>IFERROR(INDEX('الوثائق'!$D$3:$D$502,MATCH(77,'الوثائق'!$K$3:$K$502,0)),"")</f>
        <v/>
      </c>
      <c r="E83" s="118">
        <f>IFERROR(INDEX('الوثائق'!$E$3:$E$502,MATCH(77,'الوثائق'!$K$3:$K$502,0)),"")</f>
        <v/>
      </c>
      <c r="F83" s="118">
        <f>IFERROR(INDEX('الوثائق'!$F$3:$F$502,MATCH(77,'الوثائق'!$K$3:$K$502,0)),"")</f>
        <v/>
      </c>
      <c r="G83" s="43">
        <f>IFERROR(INDEX('الوثائق'!$G$3:$G$502,MATCH(77,'الوثائق'!$K$3:$K$502,0)),"")</f>
        <v/>
      </c>
      <c r="H83" s="44">
        <f>IFERROR(INDEX('الوثائق'!$I$3:$I$502,MATCH(77,'الوثائق'!$K$3:$K$502,0)),"")</f>
        <v/>
      </c>
      <c r="I83" s="43">
        <f>IFERROR(INDEX('الوثائق'!$H$3:$H$502,MATCH(77,'الوثائق'!$K$3:$K$502,0)),"")</f>
        <v/>
      </c>
      <c r="J83" s="43">
        <f>IFERROR(INDEX('الوثائق'!$J$3:$J$502,MATCH(77,'الوثائق'!$K$3:$K$502,0)),"")</f>
        <v/>
      </c>
    </row>
    <row r="84">
      <c r="A84" s="50">
        <f>IFERROR(INDEX('الوثائق'!$A$3:$A$502,MATCH(78,'الوثائق'!$K$3:$K$502,0)),"")</f>
        <v/>
      </c>
      <c r="B84" s="50">
        <f>IFERROR(INDEX('الوثائق'!$B$3:$B$502,MATCH(78,'الوثائق'!$K$3:$K$502,0)),"")</f>
        <v/>
      </c>
      <c r="C84" s="50">
        <f>IFERROR(INDEX('الوثائق'!$C$3:$C$502,MATCH(78,'الوثائق'!$K$3:$K$502,0)),"")</f>
        <v/>
      </c>
      <c r="D84" s="50">
        <f>IFERROR(INDEX('الوثائق'!$D$3:$D$502,MATCH(78,'الوثائق'!$K$3:$K$502,0)),"")</f>
        <v/>
      </c>
      <c r="E84" s="119">
        <f>IFERROR(INDEX('الوثائق'!$E$3:$E$502,MATCH(78,'الوثائق'!$K$3:$K$502,0)),"")</f>
        <v/>
      </c>
      <c r="F84" s="119">
        <f>IFERROR(INDEX('الوثائق'!$F$3:$F$502,MATCH(78,'الوثائق'!$K$3:$K$502,0)),"")</f>
        <v/>
      </c>
      <c r="G84" s="50">
        <f>IFERROR(INDEX('الوثائق'!$G$3:$G$502,MATCH(78,'الوثائق'!$K$3:$K$502,0)),"")</f>
        <v/>
      </c>
      <c r="H84" s="51">
        <f>IFERROR(INDEX('الوثائق'!$I$3:$I$502,MATCH(78,'الوثائق'!$K$3:$K$502,0)),"")</f>
        <v/>
      </c>
      <c r="I84" s="50">
        <f>IFERROR(INDEX('الوثائق'!$H$3:$H$502,MATCH(78,'الوثائق'!$K$3:$K$502,0)),"")</f>
        <v/>
      </c>
      <c r="J84" s="50">
        <f>IFERROR(INDEX('الوثائق'!$J$3:$J$502,MATCH(78,'الوثائق'!$K$3:$K$502,0)),"")</f>
        <v/>
      </c>
    </row>
    <row r="85">
      <c r="A85" s="43">
        <f>IFERROR(INDEX('الوثائق'!$A$3:$A$502,MATCH(79,'الوثائق'!$K$3:$K$502,0)),"")</f>
        <v/>
      </c>
      <c r="B85" s="43">
        <f>IFERROR(INDEX('الوثائق'!$B$3:$B$502,MATCH(79,'الوثائق'!$K$3:$K$502,0)),"")</f>
        <v/>
      </c>
      <c r="C85" s="43">
        <f>IFERROR(INDEX('الوثائق'!$C$3:$C$502,MATCH(79,'الوثائق'!$K$3:$K$502,0)),"")</f>
        <v/>
      </c>
      <c r="D85" s="43">
        <f>IFERROR(INDEX('الوثائق'!$D$3:$D$502,MATCH(79,'الوثائق'!$K$3:$K$502,0)),"")</f>
        <v/>
      </c>
      <c r="E85" s="118">
        <f>IFERROR(INDEX('الوثائق'!$E$3:$E$502,MATCH(79,'الوثائق'!$K$3:$K$502,0)),"")</f>
        <v/>
      </c>
      <c r="F85" s="118">
        <f>IFERROR(INDEX('الوثائق'!$F$3:$F$502,MATCH(79,'الوثائق'!$K$3:$K$502,0)),"")</f>
        <v/>
      </c>
      <c r="G85" s="43">
        <f>IFERROR(INDEX('الوثائق'!$G$3:$G$502,MATCH(79,'الوثائق'!$K$3:$K$502,0)),"")</f>
        <v/>
      </c>
      <c r="H85" s="44">
        <f>IFERROR(INDEX('الوثائق'!$I$3:$I$502,MATCH(79,'الوثائق'!$K$3:$K$502,0)),"")</f>
        <v/>
      </c>
      <c r="I85" s="43">
        <f>IFERROR(INDEX('الوثائق'!$H$3:$H$502,MATCH(79,'الوثائق'!$K$3:$K$502,0)),"")</f>
        <v/>
      </c>
      <c r="J85" s="43">
        <f>IFERROR(INDEX('الوثائق'!$J$3:$J$502,MATCH(79,'الوثائق'!$K$3:$K$502,0)),"")</f>
        <v/>
      </c>
    </row>
    <row r="86">
      <c r="A86" s="50">
        <f>IFERROR(INDEX('الوثائق'!$A$3:$A$502,MATCH(80,'الوثائق'!$K$3:$K$502,0)),"")</f>
        <v/>
      </c>
      <c r="B86" s="50">
        <f>IFERROR(INDEX('الوثائق'!$B$3:$B$502,MATCH(80,'الوثائق'!$K$3:$K$502,0)),"")</f>
        <v/>
      </c>
      <c r="C86" s="50">
        <f>IFERROR(INDEX('الوثائق'!$C$3:$C$502,MATCH(80,'الوثائق'!$K$3:$K$502,0)),"")</f>
        <v/>
      </c>
      <c r="D86" s="50">
        <f>IFERROR(INDEX('الوثائق'!$D$3:$D$502,MATCH(80,'الوثائق'!$K$3:$K$502,0)),"")</f>
        <v/>
      </c>
      <c r="E86" s="119">
        <f>IFERROR(INDEX('الوثائق'!$E$3:$E$502,MATCH(80,'الوثائق'!$K$3:$K$502,0)),"")</f>
        <v/>
      </c>
      <c r="F86" s="119">
        <f>IFERROR(INDEX('الوثائق'!$F$3:$F$502,MATCH(80,'الوثائق'!$K$3:$K$502,0)),"")</f>
        <v/>
      </c>
      <c r="G86" s="50">
        <f>IFERROR(INDEX('الوثائق'!$G$3:$G$502,MATCH(80,'الوثائق'!$K$3:$K$502,0)),"")</f>
        <v/>
      </c>
      <c r="H86" s="51">
        <f>IFERROR(INDEX('الوثائق'!$I$3:$I$502,MATCH(80,'الوثائق'!$K$3:$K$502,0)),"")</f>
        <v/>
      </c>
      <c r="I86" s="50">
        <f>IFERROR(INDEX('الوثائق'!$H$3:$H$502,MATCH(80,'الوثائق'!$K$3:$K$502,0)),"")</f>
        <v/>
      </c>
      <c r="J86" s="50">
        <f>IFERROR(INDEX('الوثائق'!$J$3:$J$502,MATCH(80,'الوثائق'!$K$3:$K$502,0)),"")</f>
        <v/>
      </c>
    </row>
    <row r="87">
      <c r="A87" s="43">
        <f>IFERROR(INDEX('الوثائق'!$A$3:$A$502,MATCH(81,'الوثائق'!$K$3:$K$502,0)),"")</f>
        <v/>
      </c>
      <c r="B87" s="43">
        <f>IFERROR(INDEX('الوثائق'!$B$3:$B$502,MATCH(81,'الوثائق'!$K$3:$K$502,0)),"")</f>
        <v/>
      </c>
      <c r="C87" s="43">
        <f>IFERROR(INDEX('الوثائق'!$C$3:$C$502,MATCH(81,'الوثائق'!$K$3:$K$502,0)),"")</f>
        <v/>
      </c>
      <c r="D87" s="43">
        <f>IFERROR(INDEX('الوثائق'!$D$3:$D$502,MATCH(81,'الوثائق'!$K$3:$K$502,0)),"")</f>
        <v/>
      </c>
      <c r="E87" s="118">
        <f>IFERROR(INDEX('الوثائق'!$E$3:$E$502,MATCH(81,'الوثائق'!$K$3:$K$502,0)),"")</f>
        <v/>
      </c>
      <c r="F87" s="118">
        <f>IFERROR(INDEX('الوثائق'!$F$3:$F$502,MATCH(81,'الوثائق'!$K$3:$K$502,0)),"")</f>
        <v/>
      </c>
      <c r="G87" s="43">
        <f>IFERROR(INDEX('الوثائق'!$G$3:$G$502,MATCH(81,'الوثائق'!$K$3:$K$502,0)),"")</f>
        <v/>
      </c>
      <c r="H87" s="44">
        <f>IFERROR(INDEX('الوثائق'!$I$3:$I$502,MATCH(81,'الوثائق'!$K$3:$K$502,0)),"")</f>
        <v/>
      </c>
      <c r="I87" s="43">
        <f>IFERROR(INDEX('الوثائق'!$H$3:$H$502,MATCH(81,'الوثائق'!$K$3:$K$502,0)),"")</f>
        <v/>
      </c>
      <c r="J87" s="43">
        <f>IFERROR(INDEX('الوثائق'!$J$3:$J$502,MATCH(81,'الوثائق'!$K$3:$K$502,0)),"")</f>
        <v/>
      </c>
    </row>
    <row r="88">
      <c r="A88" s="50">
        <f>IFERROR(INDEX('الوثائق'!$A$3:$A$502,MATCH(82,'الوثائق'!$K$3:$K$502,0)),"")</f>
        <v/>
      </c>
      <c r="B88" s="50">
        <f>IFERROR(INDEX('الوثائق'!$B$3:$B$502,MATCH(82,'الوثائق'!$K$3:$K$502,0)),"")</f>
        <v/>
      </c>
      <c r="C88" s="50">
        <f>IFERROR(INDEX('الوثائق'!$C$3:$C$502,MATCH(82,'الوثائق'!$K$3:$K$502,0)),"")</f>
        <v/>
      </c>
      <c r="D88" s="50">
        <f>IFERROR(INDEX('الوثائق'!$D$3:$D$502,MATCH(82,'الوثائق'!$K$3:$K$502,0)),"")</f>
        <v/>
      </c>
      <c r="E88" s="119">
        <f>IFERROR(INDEX('الوثائق'!$E$3:$E$502,MATCH(82,'الوثائق'!$K$3:$K$502,0)),"")</f>
        <v/>
      </c>
      <c r="F88" s="119">
        <f>IFERROR(INDEX('الوثائق'!$F$3:$F$502,MATCH(82,'الوثائق'!$K$3:$K$502,0)),"")</f>
        <v/>
      </c>
      <c r="G88" s="50">
        <f>IFERROR(INDEX('الوثائق'!$G$3:$G$502,MATCH(82,'الوثائق'!$K$3:$K$502,0)),"")</f>
        <v/>
      </c>
      <c r="H88" s="51">
        <f>IFERROR(INDEX('الوثائق'!$I$3:$I$502,MATCH(82,'الوثائق'!$K$3:$K$502,0)),"")</f>
        <v/>
      </c>
      <c r="I88" s="50">
        <f>IFERROR(INDEX('الوثائق'!$H$3:$H$502,MATCH(82,'الوثائق'!$K$3:$K$502,0)),"")</f>
        <v/>
      </c>
      <c r="J88" s="50">
        <f>IFERROR(INDEX('الوثائق'!$J$3:$J$502,MATCH(82,'الوثائق'!$K$3:$K$502,0)),"")</f>
        <v/>
      </c>
    </row>
    <row r="89">
      <c r="A89" s="43">
        <f>IFERROR(INDEX('الوثائق'!$A$3:$A$502,MATCH(83,'الوثائق'!$K$3:$K$502,0)),"")</f>
        <v/>
      </c>
      <c r="B89" s="43">
        <f>IFERROR(INDEX('الوثائق'!$B$3:$B$502,MATCH(83,'الوثائق'!$K$3:$K$502,0)),"")</f>
        <v/>
      </c>
      <c r="C89" s="43">
        <f>IFERROR(INDEX('الوثائق'!$C$3:$C$502,MATCH(83,'الوثائق'!$K$3:$K$502,0)),"")</f>
        <v/>
      </c>
      <c r="D89" s="43">
        <f>IFERROR(INDEX('الوثائق'!$D$3:$D$502,MATCH(83,'الوثائق'!$K$3:$K$502,0)),"")</f>
        <v/>
      </c>
      <c r="E89" s="118">
        <f>IFERROR(INDEX('الوثائق'!$E$3:$E$502,MATCH(83,'الوثائق'!$K$3:$K$502,0)),"")</f>
        <v/>
      </c>
      <c r="F89" s="118">
        <f>IFERROR(INDEX('الوثائق'!$F$3:$F$502,MATCH(83,'الوثائق'!$K$3:$K$502,0)),"")</f>
        <v/>
      </c>
      <c r="G89" s="43">
        <f>IFERROR(INDEX('الوثائق'!$G$3:$G$502,MATCH(83,'الوثائق'!$K$3:$K$502,0)),"")</f>
        <v/>
      </c>
      <c r="H89" s="44">
        <f>IFERROR(INDEX('الوثائق'!$I$3:$I$502,MATCH(83,'الوثائق'!$K$3:$K$502,0)),"")</f>
        <v/>
      </c>
      <c r="I89" s="43">
        <f>IFERROR(INDEX('الوثائق'!$H$3:$H$502,MATCH(83,'الوثائق'!$K$3:$K$502,0)),"")</f>
        <v/>
      </c>
      <c r="J89" s="43">
        <f>IFERROR(INDEX('الوثائق'!$J$3:$J$502,MATCH(83,'الوثائق'!$K$3:$K$502,0)),"")</f>
        <v/>
      </c>
    </row>
    <row r="90">
      <c r="A90" s="50">
        <f>IFERROR(INDEX('الوثائق'!$A$3:$A$502,MATCH(84,'الوثائق'!$K$3:$K$502,0)),"")</f>
        <v/>
      </c>
      <c r="B90" s="50">
        <f>IFERROR(INDEX('الوثائق'!$B$3:$B$502,MATCH(84,'الوثائق'!$K$3:$K$502,0)),"")</f>
        <v/>
      </c>
      <c r="C90" s="50">
        <f>IFERROR(INDEX('الوثائق'!$C$3:$C$502,MATCH(84,'الوثائق'!$K$3:$K$502,0)),"")</f>
        <v/>
      </c>
      <c r="D90" s="50">
        <f>IFERROR(INDEX('الوثائق'!$D$3:$D$502,MATCH(84,'الوثائق'!$K$3:$K$502,0)),"")</f>
        <v/>
      </c>
      <c r="E90" s="119">
        <f>IFERROR(INDEX('الوثائق'!$E$3:$E$502,MATCH(84,'الوثائق'!$K$3:$K$502,0)),"")</f>
        <v/>
      </c>
      <c r="F90" s="119">
        <f>IFERROR(INDEX('الوثائق'!$F$3:$F$502,MATCH(84,'الوثائق'!$K$3:$K$502,0)),"")</f>
        <v/>
      </c>
      <c r="G90" s="50">
        <f>IFERROR(INDEX('الوثائق'!$G$3:$G$502,MATCH(84,'الوثائق'!$K$3:$K$502,0)),"")</f>
        <v/>
      </c>
      <c r="H90" s="51">
        <f>IFERROR(INDEX('الوثائق'!$I$3:$I$502,MATCH(84,'الوثائق'!$K$3:$K$502,0)),"")</f>
        <v/>
      </c>
      <c r="I90" s="50">
        <f>IFERROR(INDEX('الوثائق'!$H$3:$H$502,MATCH(84,'الوثائق'!$K$3:$K$502,0)),"")</f>
        <v/>
      </c>
      <c r="J90" s="50">
        <f>IFERROR(INDEX('الوثائق'!$J$3:$J$502,MATCH(84,'الوثائق'!$K$3:$K$502,0)),"")</f>
        <v/>
      </c>
    </row>
    <row r="91">
      <c r="A91" s="43">
        <f>IFERROR(INDEX('الوثائق'!$A$3:$A$502,MATCH(85,'الوثائق'!$K$3:$K$502,0)),"")</f>
        <v/>
      </c>
      <c r="B91" s="43">
        <f>IFERROR(INDEX('الوثائق'!$B$3:$B$502,MATCH(85,'الوثائق'!$K$3:$K$502,0)),"")</f>
        <v/>
      </c>
      <c r="C91" s="43">
        <f>IFERROR(INDEX('الوثائق'!$C$3:$C$502,MATCH(85,'الوثائق'!$K$3:$K$502,0)),"")</f>
        <v/>
      </c>
      <c r="D91" s="43">
        <f>IFERROR(INDEX('الوثائق'!$D$3:$D$502,MATCH(85,'الوثائق'!$K$3:$K$502,0)),"")</f>
        <v/>
      </c>
      <c r="E91" s="118">
        <f>IFERROR(INDEX('الوثائق'!$E$3:$E$502,MATCH(85,'الوثائق'!$K$3:$K$502,0)),"")</f>
        <v/>
      </c>
      <c r="F91" s="118">
        <f>IFERROR(INDEX('الوثائق'!$F$3:$F$502,MATCH(85,'الوثائق'!$K$3:$K$502,0)),"")</f>
        <v/>
      </c>
      <c r="G91" s="43">
        <f>IFERROR(INDEX('الوثائق'!$G$3:$G$502,MATCH(85,'الوثائق'!$K$3:$K$502,0)),"")</f>
        <v/>
      </c>
      <c r="H91" s="44">
        <f>IFERROR(INDEX('الوثائق'!$I$3:$I$502,MATCH(85,'الوثائق'!$K$3:$K$502,0)),"")</f>
        <v/>
      </c>
      <c r="I91" s="43">
        <f>IFERROR(INDEX('الوثائق'!$H$3:$H$502,MATCH(85,'الوثائق'!$K$3:$K$502,0)),"")</f>
        <v/>
      </c>
      <c r="J91" s="43">
        <f>IFERROR(INDEX('الوثائق'!$J$3:$J$502,MATCH(85,'الوثائق'!$K$3:$K$502,0)),"")</f>
        <v/>
      </c>
    </row>
    <row r="92">
      <c r="A92" s="50">
        <f>IFERROR(INDEX('الوثائق'!$A$3:$A$502,MATCH(86,'الوثائق'!$K$3:$K$502,0)),"")</f>
        <v/>
      </c>
      <c r="B92" s="50">
        <f>IFERROR(INDEX('الوثائق'!$B$3:$B$502,MATCH(86,'الوثائق'!$K$3:$K$502,0)),"")</f>
        <v/>
      </c>
      <c r="C92" s="50">
        <f>IFERROR(INDEX('الوثائق'!$C$3:$C$502,MATCH(86,'الوثائق'!$K$3:$K$502,0)),"")</f>
        <v/>
      </c>
      <c r="D92" s="50">
        <f>IFERROR(INDEX('الوثائق'!$D$3:$D$502,MATCH(86,'الوثائق'!$K$3:$K$502,0)),"")</f>
        <v/>
      </c>
      <c r="E92" s="119">
        <f>IFERROR(INDEX('الوثائق'!$E$3:$E$502,MATCH(86,'الوثائق'!$K$3:$K$502,0)),"")</f>
        <v/>
      </c>
      <c r="F92" s="119">
        <f>IFERROR(INDEX('الوثائق'!$F$3:$F$502,MATCH(86,'الوثائق'!$K$3:$K$502,0)),"")</f>
        <v/>
      </c>
      <c r="G92" s="50">
        <f>IFERROR(INDEX('الوثائق'!$G$3:$G$502,MATCH(86,'الوثائق'!$K$3:$K$502,0)),"")</f>
        <v/>
      </c>
      <c r="H92" s="51">
        <f>IFERROR(INDEX('الوثائق'!$I$3:$I$502,MATCH(86,'الوثائق'!$K$3:$K$502,0)),"")</f>
        <v/>
      </c>
      <c r="I92" s="50">
        <f>IFERROR(INDEX('الوثائق'!$H$3:$H$502,MATCH(86,'الوثائق'!$K$3:$K$502,0)),"")</f>
        <v/>
      </c>
      <c r="J92" s="50">
        <f>IFERROR(INDEX('الوثائق'!$J$3:$J$502,MATCH(86,'الوثائق'!$K$3:$K$502,0)),"")</f>
        <v/>
      </c>
    </row>
    <row r="93">
      <c r="A93" s="43">
        <f>IFERROR(INDEX('الوثائق'!$A$3:$A$502,MATCH(87,'الوثائق'!$K$3:$K$502,0)),"")</f>
        <v/>
      </c>
      <c r="B93" s="43">
        <f>IFERROR(INDEX('الوثائق'!$B$3:$B$502,MATCH(87,'الوثائق'!$K$3:$K$502,0)),"")</f>
        <v/>
      </c>
      <c r="C93" s="43">
        <f>IFERROR(INDEX('الوثائق'!$C$3:$C$502,MATCH(87,'الوثائق'!$K$3:$K$502,0)),"")</f>
        <v/>
      </c>
      <c r="D93" s="43">
        <f>IFERROR(INDEX('الوثائق'!$D$3:$D$502,MATCH(87,'الوثائق'!$K$3:$K$502,0)),"")</f>
        <v/>
      </c>
      <c r="E93" s="118">
        <f>IFERROR(INDEX('الوثائق'!$E$3:$E$502,MATCH(87,'الوثائق'!$K$3:$K$502,0)),"")</f>
        <v/>
      </c>
      <c r="F93" s="118">
        <f>IFERROR(INDEX('الوثائق'!$F$3:$F$502,MATCH(87,'الوثائق'!$K$3:$K$502,0)),"")</f>
        <v/>
      </c>
      <c r="G93" s="43">
        <f>IFERROR(INDEX('الوثائق'!$G$3:$G$502,MATCH(87,'الوثائق'!$K$3:$K$502,0)),"")</f>
        <v/>
      </c>
      <c r="H93" s="44">
        <f>IFERROR(INDEX('الوثائق'!$I$3:$I$502,MATCH(87,'الوثائق'!$K$3:$K$502,0)),"")</f>
        <v/>
      </c>
      <c r="I93" s="43">
        <f>IFERROR(INDEX('الوثائق'!$H$3:$H$502,MATCH(87,'الوثائق'!$K$3:$K$502,0)),"")</f>
        <v/>
      </c>
      <c r="J93" s="43">
        <f>IFERROR(INDEX('الوثائق'!$J$3:$J$502,MATCH(87,'الوثائق'!$K$3:$K$502,0)),"")</f>
        <v/>
      </c>
    </row>
    <row r="94">
      <c r="A94" s="50">
        <f>IFERROR(INDEX('الوثائق'!$A$3:$A$502,MATCH(88,'الوثائق'!$K$3:$K$502,0)),"")</f>
        <v/>
      </c>
      <c r="B94" s="50">
        <f>IFERROR(INDEX('الوثائق'!$B$3:$B$502,MATCH(88,'الوثائق'!$K$3:$K$502,0)),"")</f>
        <v/>
      </c>
      <c r="C94" s="50">
        <f>IFERROR(INDEX('الوثائق'!$C$3:$C$502,MATCH(88,'الوثائق'!$K$3:$K$502,0)),"")</f>
        <v/>
      </c>
      <c r="D94" s="50">
        <f>IFERROR(INDEX('الوثائق'!$D$3:$D$502,MATCH(88,'الوثائق'!$K$3:$K$502,0)),"")</f>
        <v/>
      </c>
      <c r="E94" s="119">
        <f>IFERROR(INDEX('الوثائق'!$E$3:$E$502,MATCH(88,'الوثائق'!$K$3:$K$502,0)),"")</f>
        <v/>
      </c>
      <c r="F94" s="119">
        <f>IFERROR(INDEX('الوثائق'!$F$3:$F$502,MATCH(88,'الوثائق'!$K$3:$K$502,0)),"")</f>
        <v/>
      </c>
      <c r="G94" s="50">
        <f>IFERROR(INDEX('الوثائق'!$G$3:$G$502,MATCH(88,'الوثائق'!$K$3:$K$502,0)),"")</f>
        <v/>
      </c>
      <c r="H94" s="51">
        <f>IFERROR(INDEX('الوثائق'!$I$3:$I$502,MATCH(88,'الوثائق'!$K$3:$K$502,0)),"")</f>
        <v/>
      </c>
      <c r="I94" s="50">
        <f>IFERROR(INDEX('الوثائق'!$H$3:$H$502,MATCH(88,'الوثائق'!$K$3:$K$502,0)),"")</f>
        <v/>
      </c>
      <c r="J94" s="50">
        <f>IFERROR(INDEX('الوثائق'!$J$3:$J$502,MATCH(88,'الوثائق'!$K$3:$K$502,0)),"")</f>
        <v/>
      </c>
    </row>
    <row r="95">
      <c r="A95" s="43">
        <f>IFERROR(INDEX('الوثائق'!$A$3:$A$502,MATCH(89,'الوثائق'!$K$3:$K$502,0)),"")</f>
        <v/>
      </c>
      <c r="B95" s="43">
        <f>IFERROR(INDEX('الوثائق'!$B$3:$B$502,MATCH(89,'الوثائق'!$K$3:$K$502,0)),"")</f>
        <v/>
      </c>
      <c r="C95" s="43">
        <f>IFERROR(INDEX('الوثائق'!$C$3:$C$502,MATCH(89,'الوثائق'!$K$3:$K$502,0)),"")</f>
        <v/>
      </c>
      <c r="D95" s="43">
        <f>IFERROR(INDEX('الوثائق'!$D$3:$D$502,MATCH(89,'الوثائق'!$K$3:$K$502,0)),"")</f>
        <v/>
      </c>
      <c r="E95" s="118">
        <f>IFERROR(INDEX('الوثائق'!$E$3:$E$502,MATCH(89,'الوثائق'!$K$3:$K$502,0)),"")</f>
        <v/>
      </c>
      <c r="F95" s="118">
        <f>IFERROR(INDEX('الوثائق'!$F$3:$F$502,MATCH(89,'الوثائق'!$K$3:$K$502,0)),"")</f>
        <v/>
      </c>
      <c r="G95" s="43">
        <f>IFERROR(INDEX('الوثائق'!$G$3:$G$502,MATCH(89,'الوثائق'!$K$3:$K$502,0)),"")</f>
        <v/>
      </c>
      <c r="H95" s="44">
        <f>IFERROR(INDEX('الوثائق'!$I$3:$I$502,MATCH(89,'الوثائق'!$K$3:$K$502,0)),"")</f>
        <v/>
      </c>
      <c r="I95" s="43">
        <f>IFERROR(INDEX('الوثائق'!$H$3:$H$502,MATCH(89,'الوثائق'!$K$3:$K$502,0)),"")</f>
        <v/>
      </c>
      <c r="J95" s="43">
        <f>IFERROR(INDEX('الوثائق'!$J$3:$J$502,MATCH(89,'الوثائق'!$K$3:$K$502,0)),"")</f>
        <v/>
      </c>
    </row>
    <row r="96">
      <c r="A96" s="50">
        <f>IFERROR(INDEX('الوثائق'!$A$3:$A$502,MATCH(90,'الوثائق'!$K$3:$K$502,0)),"")</f>
        <v/>
      </c>
      <c r="B96" s="50">
        <f>IFERROR(INDEX('الوثائق'!$B$3:$B$502,MATCH(90,'الوثائق'!$K$3:$K$502,0)),"")</f>
        <v/>
      </c>
      <c r="C96" s="50">
        <f>IFERROR(INDEX('الوثائق'!$C$3:$C$502,MATCH(90,'الوثائق'!$K$3:$K$502,0)),"")</f>
        <v/>
      </c>
      <c r="D96" s="50">
        <f>IFERROR(INDEX('الوثائق'!$D$3:$D$502,MATCH(90,'الوثائق'!$K$3:$K$502,0)),"")</f>
        <v/>
      </c>
      <c r="E96" s="119">
        <f>IFERROR(INDEX('الوثائق'!$E$3:$E$502,MATCH(90,'الوثائق'!$K$3:$K$502,0)),"")</f>
        <v/>
      </c>
      <c r="F96" s="119">
        <f>IFERROR(INDEX('الوثائق'!$F$3:$F$502,MATCH(90,'الوثائق'!$K$3:$K$502,0)),"")</f>
        <v/>
      </c>
      <c r="G96" s="50">
        <f>IFERROR(INDEX('الوثائق'!$G$3:$G$502,MATCH(90,'الوثائق'!$K$3:$K$502,0)),"")</f>
        <v/>
      </c>
      <c r="H96" s="51">
        <f>IFERROR(INDEX('الوثائق'!$I$3:$I$502,MATCH(90,'الوثائق'!$K$3:$K$502,0)),"")</f>
        <v/>
      </c>
      <c r="I96" s="50">
        <f>IFERROR(INDEX('الوثائق'!$H$3:$H$502,MATCH(90,'الوثائق'!$K$3:$K$502,0)),"")</f>
        <v/>
      </c>
      <c r="J96" s="50">
        <f>IFERROR(INDEX('الوثائق'!$J$3:$J$502,MATCH(90,'الوثائق'!$K$3:$K$502,0)),"")</f>
        <v/>
      </c>
    </row>
    <row r="97">
      <c r="A97" s="43">
        <f>IFERROR(INDEX('الوثائق'!$A$3:$A$502,MATCH(91,'الوثائق'!$K$3:$K$502,0)),"")</f>
        <v/>
      </c>
      <c r="B97" s="43">
        <f>IFERROR(INDEX('الوثائق'!$B$3:$B$502,MATCH(91,'الوثائق'!$K$3:$K$502,0)),"")</f>
        <v/>
      </c>
      <c r="C97" s="43">
        <f>IFERROR(INDEX('الوثائق'!$C$3:$C$502,MATCH(91,'الوثائق'!$K$3:$K$502,0)),"")</f>
        <v/>
      </c>
      <c r="D97" s="43">
        <f>IFERROR(INDEX('الوثائق'!$D$3:$D$502,MATCH(91,'الوثائق'!$K$3:$K$502,0)),"")</f>
        <v/>
      </c>
      <c r="E97" s="118">
        <f>IFERROR(INDEX('الوثائق'!$E$3:$E$502,MATCH(91,'الوثائق'!$K$3:$K$502,0)),"")</f>
        <v/>
      </c>
      <c r="F97" s="118">
        <f>IFERROR(INDEX('الوثائق'!$F$3:$F$502,MATCH(91,'الوثائق'!$K$3:$K$502,0)),"")</f>
        <v/>
      </c>
      <c r="G97" s="43">
        <f>IFERROR(INDEX('الوثائق'!$G$3:$G$502,MATCH(91,'الوثائق'!$K$3:$K$502,0)),"")</f>
        <v/>
      </c>
      <c r="H97" s="44">
        <f>IFERROR(INDEX('الوثائق'!$I$3:$I$502,MATCH(91,'الوثائق'!$K$3:$K$502,0)),"")</f>
        <v/>
      </c>
      <c r="I97" s="43">
        <f>IFERROR(INDEX('الوثائق'!$H$3:$H$502,MATCH(91,'الوثائق'!$K$3:$K$502,0)),"")</f>
        <v/>
      </c>
      <c r="J97" s="43">
        <f>IFERROR(INDEX('الوثائق'!$J$3:$J$502,MATCH(91,'الوثائق'!$K$3:$K$502,0)),"")</f>
        <v/>
      </c>
    </row>
    <row r="98">
      <c r="A98" s="50">
        <f>IFERROR(INDEX('الوثائق'!$A$3:$A$502,MATCH(92,'الوثائق'!$K$3:$K$502,0)),"")</f>
        <v/>
      </c>
      <c r="B98" s="50">
        <f>IFERROR(INDEX('الوثائق'!$B$3:$B$502,MATCH(92,'الوثائق'!$K$3:$K$502,0)),"")</f>
        <v/>
      </c>
      <c r="C98" s="50">
        <f>IFERROR(INDEX('الوثائق'!$C$3:$C$502,MATCH(92,'الوثائق'!$K$3:$K$502,0)),"")</f>
        <v/>
      </c>
      <c r="D98" s="50">
        <f>IFERROR(INDEX('الوثائق'!$D$3:$D$502,MATCH(92,'الوثائق'!$K$3:$K$502,0)),"")</f>
        <v/>
      </c>
      <c r="E98" s="119">
        <f>IFERROR(INDEX('الوثائق'!$E$3:$E$502,MATCH(92,'الوثائق'!$K$3:$K$502,0)),"")</f>
        <v/>
      </c>
      <c r="F98" s="119">
        <f>IFERROR(INDEX('الوثائق'!$F$3:$F$502,MATCH(92,'الوثائق'!$K$3:$K$502,0)),"")</f>
        <v/>
      </c>
      <c r="G98" s="50">
        <f>IFERROR(INDEX('الوثائق'!$G$3:$G$502,MATCH(92,'الوثائق'!$K$3:$K$502,0)),"")</f>
        <v/>
      </c>
      <c r="H98" s="51">
        <f>IFERROR(INDEX('الوثائق'!$I$3:$I$502,MATCH(92,'الوثائق'!$K$3:$K$502,0)),"")</f>
        <v/>
      </c>
      <c r="I98" s="50">
        <f>IFERROR(INDEX('الوثائق'!$H$3:$H$502,MATCH(92,'الوثائق'!$K$3:$K$502,0)),"")</f>
        <v/>
      </c>
      <c r="J98" s="50">
        <f>IFERROR(INDEX('الوثائق'!$J$3:$J$502,MATCH(92,'الوثائق'!$K$3:$K$502,0)),"")</f>
        <v/>
      </c>
    </row>
    <row r="99">
      <c r="A99" s="43">
        <f>IFERROR(INDEX('الوثائق'!$A$3:$A$502,MATCH(93,'الوثائق'!$K$3:$K$502,0)),"")</f>
        <v/>
      </c>
      <c r="B99" s="43">
        <f>IFERROR(INDEX('الوثائق'!$B$3:$B$502,MATCH(93,'الوثائق'!$K$3:$K$502,0)),"")</f>
        <v/>
      </c>
      <c r="C99" s="43">
        <f>IFERROR(INDEX('الوثائق'!$C$3:$C$502,MATCH(93,'الوثائق'!$K$3:$K$502,0)),"")</f>
        <v/>
      </c>
      <c r="D99" s="43">
        <f>IFERROR(INDEX('الوثائق'!$D$3:$D$502,MATCH(93,'الوثائق'!$K$3:$K$502,0)),"")</f>
        <v/>
      </c>
      <c r="E99" s="118">
        <f>IFERROR(INDEX('الوثائق'!$E$3:$E$502,MATCH(93,'الوثائق'!$K$3:$K$502,0)),"")</f>
        <v/>
      </c>
      <c r="F99" s="118">
        <f>IFERROR(INDEX('الوثائق'!$F$3:$F$502,MATCH(93,'الوثائق'!$K$3:$K$502,0)),"")</f>
        <v/>
      </c>
      <c r="G99" s="43">
        <f>IFERROR(INDEX('الوثائق'!$G$3:$G$502,MATCH(93,'الوثائق'!$K$3:$K$502,0)),"")</f>
        <v/>
      </c>
      <c r="H99" s="44">
        <f>IFERROR(INDEX('الوثائق'!$I$3:$I$502,MATCH(93,'الوثائق'!$K$3:$K$502,0)),"")</f>
        <v/>
      </c>
      <c r="I99" s="43">
        <f>IFERROR(INDEX('الوثائق'!$H$3:$H$502,MATCH(93,'الوثائق'!$K$3:$K$502,0)),"")</f>
        <v/>
      </c>
      <c r="J99" s="43">
        <f>IFERROR(INDEX('الوثائق'!$J$3:$J$502,MATCH(93,'الوثائق'!$K$3:$K$502,0)),"")</f>
        <v/>
      </c>
    </row>
    <row r="100">
      <c r="A100" s="50">
        <f>IFERROR(INDEX('الوثائق'!$A$3:$A$502,MATCH(94,'الوثائق'!$K$3:$K$502,0)),"")</f>
        <v/>
      </c>
      <c r="B100" s="50">
        <f>IFERROR(INDEX('الوثائق'!$B$3:$B$502,MATCH(94,'الوثائق'!$K$3:$K$502,0)),"")</f>
        <v/>
      </c>
      <c r="C100" s="50">
        <f>IFERROR(INDEX('الوثائق'!$C$3:$C$502,MATCH(94,'الوثائق'!$K$3:$K$502,0)),"")</f>
        <v/>
      </c>
      <c r="D100" s="50">
        <f>IFERROR(INDEX('الوثائق'!$D$3:$D$502,MATCH(94,'الوثائق'!$K$3:$K$502,0)),"")</f>
        <v/>
      </c>
      <c r="E100" s="119">
        <f>IFERROR(INDEX('الوثائق'!$E$3:$E$502,MATCH(94,'الوثائق'!$K$3:$K$502,0)),"")</f>
        <v/>
      </c>
      <c r="F100" s="119">
        <f>IFERROR(INDEX('الوثائق'!$F$3:$F$502,MATCH(94,'الوثائق'!$K$3:$K$502,0)),"")</f>
        <v/>
      </c>
      <c r="G100" s="50">
        <f>IFERROR(INDEX('الوثائق'!$G$3:$G$502,MATCH(94,'الوثائق'!$K$3:$K$502,0)),"")</f>
        <v/>
      </c>
      <c r="H100" s="51">
        <f>IFERROR(INDEX('الوثائق'!$I$3:$I$502,MATCH(94,'الوثائق'!$K$3:$K$502,0)),"")</f>
        <v/>
      </c>
      <c r="I100" s="50">
        <f>IFERROR(INDEX('الوثائق'!$H$3:$H$502,MATCH(94,'الوثائق'!$K$3:$K$502,0)),"")</f>
        <v/>
      </c>
      <c r="J100" s="50">
        <f>IFERROR(INDEX('الوثائق'!$J$3:$J$502,MATCH(94,'الوثائق'!$K$3:$K$502,0)),"")</f>
        <v/>
      </c>
    </row>
    <row r="101">
      <c r="A101" s="43">
        <f>IFERROR(INDEX('الوثائق'!$A$3:$A$502,MATCH(95,'الوثائق'!$K$3:$K$502,0)),"")</f>
        <v/>
      </c>
      <c r="B101" s="43">
        <f>IFERROR(INDEX('الوثائق'!$B$3:$B$502,MATCH(95,'الوثائق'!$K$3:$K$502,0)),"")</f>
        <v/>
      </c>
      <c r="C101" s="43">
        <f>IFERROR(INDEX('الوثائق'!$C$3:$C$502,MATCH(95,'الوثائق'!$K$3:$K$502,0)),"")</f>
        <v/>
      </c>
      <c r="D101" s="43">
        <f>IFERROR(INDEX('الوثائق'!$D$3:$D$502,MATCH(95,'الوثائق'!$K$3:$K$502,0)),"")</f>
        <v/>
      </c>
      <c r="E101" s="118">
        <f>IFERROR(INDEX('الوثائق'!$E$3:$E$502,MATCH(95,'الوثائق'!$K$3:$K$502,0)),"")</f>
        <v/>
      </c>
      <c r="F101" s="118">
        <f>IFERROR(INDEX('الوثائق'!$F$3:$F$502,MATCH(95,'الوثائق'!$K$3:$K$502,0)),"")</f>
        <v/>
      </c>
      <c r="G101" s="43">
        <f>IFERROR(INDEX('الوثائق'!$G$3:$G$502,MATCH(95,'الوثائق'!$K$3:$K$502,0)),"")</f>
        <v/>
      </c>
      <c r="H101" s="44">
        <f>IFERROR(INDEX('الوثائق'!$I$3:$I$502,MATCH(95,'الوثائق'!$K$3:$K$502,0)),"")</f>
        <v/>
      </c>
      <c r="I101" s="43">
        <f>IFERROR(INDEX('الوثائق'!$H$3:$H$502,MATCH(95,'الوثائق'!$K$3:$K$502,0)),"")</f>
        <v/>
      </c>
      <c r="J101" s="43">
        <f>IFERROR(INDEX('الوثائق'!$J$3:$J$502,MATCH(95,'الوثائق'!$K$3:$K$502,0)),"")</f>
        <v/>
      </c>
    </row>
    <row r="102">
      <c r="A102" s="50">
        <f>IFERROR(INDEX('الوثائق'!$A$3:$A$502,MATCH(96,'الوثائق'!$K$3:$K$502,0)),"")</f>
        <v/>
      </c>
      <c r="B102" s="50">
        <f>IFERROR(INDEX('الوثائق'!$B$3:$B$502,MATCH(96,'الوثائق'!$K$3:$K$502,0)),"")</f>
        <v/>
      </c>
      <c r="C102" s="50">
        <f>IFERROR(INDEX('الوثائق'!$C$3:$C$502,MATCH(96,'الوثائق'!$K$3:$K$502,0)),"")</f>
        <v/>
      </c>
      <c r="D102" s="50">
        <f>IFERROR(INDEX('الوثائق'!$D$3:$D$502,MATCH(96,'الوثائق'!$K$3:$K$502,0)),"")</f>
        <v/>
      </c>
      <c r="E102" s="119">
        <f>IFERROR(INDEX('الوثائق'!$E$3:$E$502,MATCH(96,'الوثائق'!$K$3:$K$502,0)),"")</f>
        <v/>
      </c>
      <c r="F102" s="119">
        <f>IFERROR(INDEX('الوثائق'!$F$3:$F$502,MATCH(96,'الوثائق'!$K$3:$K$502,0)),"")</f>
        <v/>
      </c>
      <c r="G102" s="50">
        <f>IFERROR(INDEX('الوثائق'!$G$3:$G$502,MATCH(96,'الوثائق'!$K$3:$K$502,0)),"")</f>
        <v/>
      </c>
      <c r="H102" s="51">
        <f>IFERROR(INDEX('الوثائق'!$I$3:$I$502,MATCH(96,'الوثائق'!$K$3:$K$502,0)),"")</f>
        <v/>
      </c>
      <c r="I102" s="50">
        <f>IFERROR(INDEX('الوثائق'!$H$3:$H$502,MATCH(96,'الوثائق'!$K$3:$K$502,0)),"")</f>
        <v/>
      </c>
      <c r="J102" s="50">
        <f>IFERROR(INDEX('الوثائق'!$J$3:$J$502,MATCH(96,'الوثائق'!$K$3:$K$502,0)),"")</f>
        <v/>
      </c>
    </row>
    <row r="103">
      <c r="A103" s="43">
        <f>IFERROR(INDEX('الوثائق'!$A$3:$A$502,MATCH(97,'الوثائق'!$K$3:$K$502,0)),"")</f>
        <v/>
      </c>
      <c r="B103" s="43">
        <f>IFERROR(INDEX('الوثائق'!$B$3:$B$502,MATCH(97,'الوثائق'!$K$3:$K$502,0)),"")</f>
        <v/>
      </c>
      <c r="C103" s="43">
        <f>IFERROR(INDEX('الوثائق'!$C$3:$C$502,MATCH(97,'الوثائق'!$K$3:$K$502,0)),"")</f>
        <v/>
      </c>
      <c r="D103" s="43">
        <f>IFERROR(INDEX('الوثائق'!$D$3:$D$502,MATCH(97,'الوثائق'!$K$3:$K$502,0)),"")</f>
        <v/>
      </c>
      <c r="E103" s="118">
        <f>IFERROR(INDEX('الوثائق'!$E$3:$E$502,MATCH(97,'الوثائق'!$K$3:$K$502,0)),"")</f>
        <v/>
      </c>
      <c r="F103" s="118">
        <f>IFERROR(INDEX('الوثائق'!$F$3:$F$502,MATCH(97,'الوثائق'!$K$3:$K$502,0)),"")</f>
        <v/>
      </c>
      <c r="G103" s="43">
        <f>IFERROR(INDEX('الوثائق'!$G$3:$G$502,MATCH(97,'الوثائق'!$K$3:$K$502,0)),"")</f>
        <v/>
      </c>
      <c r="H103" s="44">
        <f>IFERROR(INDEX('الوثائق'!$I$3:$I$502,MATCH(97,'الوثائق'!$K$3:$K$502,0)),"")</f>
        <v/>
      </c>
      <c r="I103" s="43">
        <f>IFERROR(INDEX('الوثائق'!$H$3:$H$502,MATCH(97,'الوثائق'!$K$3:$K$502,0)),"")</f>
        <v/>
      </c>
      <c r="J103" s="43">
        <f>IFERROR(INDEX('الوثائق'!$J$3:$J$502,MATCH(97,'الوثائق'!$K$3:$K$502,0)),"")</f>
        <v/>
      </c>
    </row>
    <row r="104">
      <c r="A104" s="50">
        <f>IFERROR(INDEX('الوثائق'!$A$3:$A$502,MATCH(98,'الوثائق'!$K$3:$K$502,0)),"")</f>
        <v/>
      </c>
      <c r="B104" s="50">
        <f>IFERROR(INDEX('الوثائق'!$B$3:$B$502,MATCH(98,'الوثائق'!$K$3:$K$502,0)),"")</f>
        <v/>
      </c>
      <c r="C104" s="50">
        <f>IFERROR(INDEX('الوثائق'!$C$3:$C$502,MATCH(98,'الوثائق'!$K$3:$K$502,0)),"")</f>
        <v/>
      </c>
      <c r="D104" s="50">
        <f>IFERROR(INDEX('الوثائق'!$D$3:$D$502,MATCH(98,'الوثائق'!$K$3:$K$502,0)),"")</f>
        <v/>
      </c>
      <c r="E104" s="119">
        <f>IFERROR(INDEX('الوثائق'!$E$3:$E$502,MATCH(98,'الوثائق'!$K$3:$K$502,0)),"")</f>
        <v/>
      </c>
      <c r="F104" s="119">
        <f>IFERROR(INDEX('الوثائق'!$F$3:$F$502,MATCH(98,'الوثائق'!$K$3:$K$502,0)),"")</f>
        <v/>
      </c>
      <c r="G104" s="50">
        <f>IFERROR(INDEX('الوثائق'!$G$3:$G$502,MATCH(98,'الوثائق'!$K$3:$K$502,0)),"")</f>
        <v/>
      </c>
      <c r="H104" s="51">
        <f>IFERROR(INDEX('الوثائق'!$I$3:$I$502,MATCH(98,'الوثائق'!$K$3:$K$502,0)),"")</f>
        <v/>
      </c>
      <c r="I104" s="50">
        <f>IFERROR(INDEX('الوثائق'!$H$3:$H$502,MATCH(98,'الوثائق'!$K$3:$K$502,0)),"")</f>
        <v/>
      </c>
      <c r="J104" s="50">
        <f>IFERROR(INDEX('الوثائق'!$J$3:$J$502,MATCH(98,'الوثائق'!$K$3:$K$502,0)),"")</f>
        <v/>
      </c>
    </row>
    <row r="105">
      <c r="A105" s="43">
        <f>IFERROR(INDEX('الوثائق'!$A$3:$A$502,MATCH(99,'الوثائق'!$K$3:$K$502,0)),"")</f>
        <v/>
      </c>
      <c r="B105" s="43">
        <f>IFERROR(INDEX('الوثائق'!$B$3:$B$502,MATCH(99,'الوثائق'!$K$3:$K$502,0)),"")</f>
        <v/>
      </c>
      <c r="C105" s="43">
        <f>IFERROR(INDEX('الوثائق'!$C$3:$C$502,MATCH(99,'الوثائق'!$K$3:$K$502,0)),"")</f>
        <v/>
      </c>
      <c r="D105" s="43">
        <f>IFERROR(INDEX('الوثائق'!$D$3:$D$502,MATCH(99,'الوثائق'!$K$3:$K$502,0)),"")</f>
        <v/>
      </c>
      <c r="E105" s="118">
        <f>IFERROR(INDEX('الوثائق'!$E$3:$E$502,MATCH(99,'الوثائق'!$K$3:$K$502,0)),"")</f>
        <v/>
      </c>
      <c r="F105" s="118">
        <f>IFERROR(INDEX('الوثائق'!$F$3:$F$502,MATCH(99,'الوثائق'!$K$3:$K$502,0)),"")</f>
        <v/>
      </c>
      <c r="G105" s="43">
        <f>IFERROR(INDEX('الوثائق'!$G$3:$G$502,MATCH(99,'الوثائق'!$K$3:$K$502,0)),"")</f>
        <v/>
      </c>
      <c r="H105" s="44">
        <f>IFERROR(INDEX('الوثائق'!$I$3:$I$502,MATCH(99,'الوثائق'!$K$3:$K$502,0)),"")</f>
        <v/>
      </c>
      <c r="I105" s="43">
        <f>IFERROR(INDEX('الوثائق'!$H$3:$H$502,MATCH(99,'الوثائق'!$K$3:$K$502,0)),"")</f>
        <v/>
      </c>
      <c r="J105" s="43">
        <f>IFERROR(INDEX('الوثائق'!$J$3:$J$502,MATCH(99,'الوثائق'!$K$3:$K$502,0)),"")</f>
        <v/>
      </c>
    </row>
    <row r="106">
      <c r="A106" s="50">
        <f>IFERROR(INDEX('الوثائق'!$A$3:$A$502,MATCH(100,'الوثائق'!$K$3:$K$502,0)),"")</f>
        <v/>
      </c>
      <c r="B106" s="50">
        <f>IFERROR(INDEX('الوثائق'!$B$3:$B$502,MATCH(100,'الوثائق'!$K$3:$K$502,0)),"")</f>
        <v/>
      </c>
      <c r="C106" s="50">
        <f>IFERROR(INDEX('الوثائق'!$C$3:$C$502,MATCH(100,'الوثائق'!$K$3:$K$502,0)),"")</f>
        <v/>
      </c>
      <c r="D106" s="50">
        <f>IFERROR(INDEX('الوثائق'!$D$3:$D$502,MATCH(100,'الوثائق'!$K$3:$K$502,0)),"")</f>
        <v/>
      </c>
      <c r="E106" s="119">
        <f>IFERROR(INDEX('الوثائق'!$E$3:$E$502,MATCH(100,'الوثائق'!$K$3:$K$502,0)),"")</f>
        <v/>
      </c>
      <c r="F106" s="119">
        <f>IFERROR(INDEX('الوثائق'!$F$3:$F$502,MATCH(100,'الوثائق'!$K$3:$K$502,0)),"")</f>
        <v/>
      </c>
      <c r="G106" s="50">
        <f>IFERROR(INDEX('الوثائق'!$G$3:$G$502,MATCH(100,'الوثائق'!$K$3:$K$502,0)),"")</f>
        <v/>
      </c>
      <c r="H106" s="51">
        <f>IFERROR(INDEX('الوثائق'!$I$3:$I$502,MATCH(100,'الوثائق'!$K$3:$K$502,0)),"")</f>
        <v/>
      </c>
      <c r="I106" s="50">
        <f>IFERROR(INDEX('الوثائق'!$H$3:$H$502,MATCH(100,'الوثائق'!$K$3:$K$502,0)),"")</f>
        <v/>
      </c>
      <c r="J106" s="50">
        <f>IFERROR(INDEX('الوثائق'!$J$3:$J$502,MATCH(100,'الوثائق'!$K$3:$K$502,0)),"")</f>
        <v/>
      </c>
    </row>
    <row r="107">
      <c r="A107" s="43">
        <f>IFERROR(INDEX('الوثائق'!$A$3:$A$502,MATCH(101,'الوثائق'!$K$3:$K$502,0)),"")</f>
        <v/>
      </c>
      <c r="B107" s="43">
        <f>IFERROR(INDEX('الوثائق'!$B$3:$B$502,MATCH(101,'الوثائق'!$K$3:$K$502,0)),"")</f>
        <v/>
      </c>
      <c r="C107" s="43">
        <f>IFERROR(INDEX('الوثائق'!$C$3:$C$502,MATCH(101,'الوثائق'!$K$3:$K$502,0)),"")</f>
        <v/>
      </c>
      <c r="D107" s="43">
        <f>IFERROR(INDEX('الوثائق'!$D$3:$D$502,MATCH(101,'الوثائق'!$K$3:$K$502,0)),"")</f>
        <v/>
      </c>
      <c r="E107" s="118">
        <f>IFERROR(INDEX('الوثائق'!$E$3:$E$502,MATCH(101,'الوثائق'!$K$3:$K$502,0)),"")</f>
        <v/>
      </c>
      <c r="F107" s="118">
        <f>IFERROR(INDEX('الوثائق'!$F$3:$F$502,MATCH(101,'الوثائق'!$K$3:$K$502,0)),"")</f>
        <v/>
      </c>
      <c r="G107" s="43">
        <f>IFERROR(INDEX('الوثائق'!$G$3:$G$502,MATCH(101,'الوثائق'!$K$3:$K$502,0)),"")</f>
        <v/>
      </c>
      <c r="H107" s="44">
        <f>IFERROR(INDEX('الوثائق'!$I$3:$I$502,MATCH(101,'الوثائق'!$K$3:$K$502,0)),"")</f>
        <v/>
      </c>
      <c r="I107" s="43">
        <f>IFERROR(INDEX('الوثائق'!$H$3:$H$502,MATCH(101,'الوثائق'!$K$3:$K$502,0)),"")</f>
        <v/>
      </c>
      <c r="J107" s="43">
        <f>IFERROR(INDEX('الوثائق'!$J$3:$J$502,MATCH(101,'الوثائق'!$K$3:$K$502,0)),"")</f>
        <v/>
      </c>
    </row>
    <row r="108">
      <c r="A108" s="50">
        <f>IFERROR(INDEX('الوثائق'!$A$3:$A$502,MATCH(102,'الوثائق'!$K$3:$K$502,0)),"")</f>
        <v/>
      </c>
      <c r="B108" s="50">
        <f>IFERROR(INDEX('الوثائق'!$B$3:$B$502,MATCH(102,'الوثائق'!$K$3:$K$502,0)),"")</f>
        <v/>
      </c>
      <c r="C108" s="50">
        <f>IFERROR(INDEX('الوثائق'!$C$3:$C$502,MATCH(102,'الوثائق'!$K$3:$K$502,0)),"")</f>
        <v/>
      </c>
      <c r="D108" s="50">
        <f>IFERROR(INDEX('الوثائق'!$D$3:$D$502,MATCH(102,'الوثائق'!$K$3:$K$502,0)),"")</f>
        <v/>
      </c>
      <c r="E108" s="119">
        <f>IFERROR(INDEX('الوثائق'!$E$3:$E$502,MATCH(102,'الوثائق'!$K$3:$K$502,0)),"")</f>
        <v/>
      </c>
      <c r="F108" s="119">
        <f>IFERROR(INDEX('الوثائق'!$F$3:$F$502,MATCH(102,'الوثائق'!$K$3:$K$502,0)),"")</f>
        <v/>
      </c>
      <c r="G108" s="50">
        <f>IFERROR(INDEX('الوثائق'!$G$3:$G$502,MATCH(102,'الوثائق'!$K$3:$K$502,0)),"")</f>
        <v/>
      </c>
      <c r="H108" s="51">
        <f>IFERROR(INDEX('الوثائق'!$I$3:$I$502,MATCH(102,'الوثائق'!$K$3:$K$502,0)),"")</f>
        <v/>
      </c>
      <c r="I108" s="50">
        <f>IFERROR(INDEX('الوثائق'!$H$3:$H$502,MATCH(102,'الوثائق'!$K$3:$K$502,0)),"")</f>
        <v/>
      </c>
      <c r="J108" s="50">
        <f>IFERROR(INDEX('الوثائق'!$J$3:$J$502,MATCH(102,'الوثائق'!$K$3:$K$502,0)),"")</f>
        <v/>
      </c>
    </row>
    <row r="109">
      <c r="A109" s="43">
        <f>IFERROR(INDEX('الوثائق'!$A$3:$A$502,MATCH(103,'الوثائق'!$K$3:$K$502,0)),"")</f>
        <v/>
      </c>
      <c r="B109" s="43">
        <f>IFERROR(INDEX('الوثائق'!$B$3:$B$502,MATCH(103,'الوثائق'!$K$3:$K$502,0)),"")</f>
        <v/>
      </c>
      <c r="C109" s="43">
        <f>IFERROR(INDEX('الوثائق'!$C$3:$C$502,MATCH(103,'الوثائق'!$K$3:$K$502,0)),"")</f>
        <v/>
      </c>
      <c r="D109" s="43">
        <f>IFERROR(INDEX('الوثائق'!$D$3:$D$502,MATCH(103,'الوثائق'!$K$3:$K$502,0)),"")</f>
        <v/>
      </c>
      <c r="E109" s="118">
        <f>IFERROR(INDEX('الوثائق'!$E$3:$E$502,MATCH(103,'الوثائق'!$K$3:$K$502,0)),"")</f>
        <v/>
      </c>
      <c r="F109" s="118">
        <f>IFERROR(INDEX('الوثائق'!$F$3:$F$502,MATCH(103,'الوثائق'!$K$3:$K$502,0)),"")</f>
        <v/>
      </c>
      <c r="G109" s="43">
        <f>IFERROR(INDEX('الوثائق'!$G$3:$G$502,MATCH(103,'الوثائق'!$K$3:$K$502,0)),"")</f>
        <v/>
      </c>
      <c r="H109" s="44">
        <f>IFERROR(INDEX('الوثائق'!$I$3:$I$502,MATCH(103,'الوثائق'!$K$3:$K$502,0)),"")</f>
        <v/>
      </c>
      <c r="I109" s="43">
        <f>IFERROR(INDEX('الوثائق'!$H$3:$H$502,MATCH(103,'الوثائق'!$K$3:$K$502,0)),"")</f>
        <v/>
      </c>
      <c r="J109" s="43">
        <f>IFERROR(INDEX('الوثائق'!$J$3:$J$502,MATCH(103,'الوثائق'!$K$3:$K$502,0)),"")</f>
        <v/>
      </c>
    </row>
    <row r="110">
      <c r="A110" s="50">
        <f>IFERROR(INDEX('الوثائق'!$A$3:$A$502,MATCH(104,'الوثائق'!$K$3:$K$502,0)),"")</f>
        <v/>
      </c>
      <c r="B110" s="50">
        <f>IFERROR(INDEX('الوثائق'!$B$3:$B$502,MATCH(104,'الوثائق'!$K$3:$K$502,0)),"")</f>
        <v/>
      </c>
      <c r="C110" s="50">
        <f>IFERROR(INDEX('الوثائق'!$C$3:$C$502,MATCH(104,'الوثائق'!$K$3:$K$502,0)),"")</f>
        <v/>
      </c>
      <c r="D110" s="50">
        <f>IFERROR(INDEX('الوثائق'!$D$3:$D$502,MATCH(104,'الوثائق'!$K$3:$K$502,0)),"")</f>
        <v/>
      </c>
      <c r="E110" s="119">
        <f>IFERROR(INDEX('الوثائق'!$E$3:$E$502,MATCH(104,'الوثائق'!$K$3:$K$502,0)),"")</f>
        <v/>
      </c>
      <c r="F110" s="119">
        <f>IFERROR(INDEX('الوثائق'!$F$3:$F$502,MATCH(104,'الوثائق'!$K$3:$K$502,0)),"")</f>
        <v/>
      </c>
      <c r="G110" s="50">
        <f>IFERROR(INDEX('الوثائق'!$G$3:$G$502,MATCH(104,'الوثائق'!$K$3:$K$502,0)),"")</f>
        <v/>
      </c>
      <c r="H110" s="51">
        <f>IFERROR(INDEX('الوثائق'!$I$3:$I$502,MATCH(104,'الوثائق'!$K$3:$K$502,0)),"")</f>
        <v/>
      </c>
      <c r="I110" s="50">
        <f>IFERROR(INDEX('الوثائق'!$H$3:$H$502,MATCH(104,'الوثائق'!$K$3:$K$502,0)),"")</f>
        <v/>
      </c>
      <c r="J110" s="50">
        <f>IFERROR(INDEX('الوثائق'!$J$3:$J$502,MATCH(104,'الوثائق'!$K$3:$K$502,0)),"")</f>
        <v/>
      </c>
    </row>
    <row r="111">
      <c r="A111" s="43">
        <f>IFERROR(INDEX('الوثائق'!$A$3:$A$502,MATCH(105,'الوثائق'!$K$3:$K$502,0)),"")</f>
        <v/>
      </c>
      <c r="B111" s="43">
        <f>IFERROR(INDEX('الوثائق'!$B$3:$B$502,MATCH(105,'الوثائق'!$K$3:$K$502,0)),"")</f>
        <v/>
      </c>
      <c r="C111" s="43">
        <f>IFERROR(INDEX('الوثائق'!$C$3:$C$502,MATCH(105,'الوثائق'!$K$3:$K$502,0)),"")</f>
        <v/>
      </c>
      <c r="D111" s="43">
        <f>IFERROR(INDEX('الوثائق'!$D$3:$D$502,MATCH(105,'الوثائق'!$K$3:$K$502,0)),"")</f>
        <v/>
      </c>
      <c r="E111" s="118">
        <f>IFERROR(INDEX('الوثائق'!$E$3:$E$502,MATCH(105,'الوثائق'!$K$3:$K$502,0)),"")</f>
        <v/>
      </c>
      <c r="F111" s="118">
        <f>IFERROR(INDEX('الوثائق'!$F$3:$F$502,MATCH(105,'الوثائق'!$K$3:$K$502,0)),"")</f>
        <v/>
      </c>
      <c r="G111" s="43">
        <f>IFERROR(INDEX('الوثائق'!$G$3:$G$502,MATCH(105,'الوثائق'!$K$3:$K$502,0)),"")</f>
        <v/>
      </c>
      <c r="H111" s="44">
        <f>IFERROR(INDEX('الوثائق'!$I$3:$I$502,MATCH(105,'الوثائق'!$K$3:$K$502,0)),"")</f>
        <v/>
      </c>
      <c r="I111" s="43">
        <f>IFERROR(INDEX('الوثائق'!$H$3:$H$502,MATCH(105,'الوثائق'!$K$3:$K$502,0)),"")</f>
        <v/>
      </c>
      <c r="J111" s="43">
        <f>IFERROR(INDEX('الوثائق'!$J$3:$J$502,MATCH(105,'الوثائق'!$K$3:$K$502,0)),"")</f>
        <v/>
      </c>
    </row>
    <row r="112">
      <c r="A112" s="50">
        <f>IFERROR(INDEX('الوثائق'!$A$3:$A$502,MATCH(106,'الوثائق'!$K$3:$K$502,0)),"")</f>
        <v/>
      </c>
      <c r="B112" s="50">
        <f>IFERROR(INDEX('الوثائق'!$B$3:$B$502,MATCH(106,'الوثائق'!$K$3:$K$502,0)),"")</f>
        <v/>
      </c>
      <c r="C112" s="50">
        <f>IFERROR(INDEX('الوثائق'!$C$3:$C$502,MATCH(106,'الوثائق'!$K$3:$K$502,0)),"")</f>
        <v/>
      </c>
      <c r="D112" s="50">
        <f>IFERROR(INDEX('الوثائق'!$D$3:$D$502,MATCH(106,'الوثائق'!$K$3:$K$502,0)),"")</f>
        <v/>
      </c>
      <c r="E112" s="119">
        <f>IFERROR(INDEX('الوثائق'!$E$3:$E$502,MATCH(106,'الوثائق'!$K$3:$K$502,0)),"")</f>
        <v/>
      </c>
      <c r="F112" s="119">
        <f>IFERROR(INDEX('الوثائق'!$F$3:$F$502,MATCH(106,'الوثائق'!$K$3:$K$502,0)),"")</f>
        <v/>
      </c>
      <c r="G112" s="50">
        <f>IFERROR(INDEX('الوثائق'!$G$3:$G$502,MATCH(106,'الوثائق'!$K$3:$K$502,0)),"")</f>
        <v/>
      </c>
      <c r="H112" s="51">
        <f>IFERROR(INDEX('الوثائق'!$I$3:$I$502,MATCH(106,'الوثائق'!$K$3:$K$502,0)),"")</f>
        <v/>
      </c>
      <c r="I112" s="50">
        <f>IFERROR(INDEX('الوثائق'!$H$3:$H$502,MATCH(106,'الوثائق'!$K$3:$K$502,0)),"")</f>
        <v/>
      </c>
      <c r="J112" s="50">
        <f>IFERROR(INDEX('الوثائق'!$J$3:$J$502,MATCH(106,'الوثائق'!$K$3:$K$502,0)),"")</f>
        <v/>
      </c>
    </row>
    <row r="113">
      <c r="A113" s="43">
        <f>IFERROR(INDEX('الوثائق'!$A$3:$A$502,MATCH(107,'الوثائق'!$K$3:$K$502,0)),"")</f>
        <v/>
      </c>
      <c r="B113" s="43">
        <f>IFERROR(INDEX('الوثائق'!$B$3:$B$502,MATCH(107,'الوثائق'!$K$3:$K$502,0)),"")</f>
        <v/>
      </c>
      <c r="C113" s="43">
        <f>IFERROR(INDEX('الوثائق'!$C$3:$C$502,MATCH(107,'الوثائق'!$K$3:$K$502,0)),"")</f>
        <v/>
      </c>
      <c r="D113" s="43">
        <f>IFERROR(INDEX('الوثائق'!$D$3:$D$502,MATCH(107,'الوثائق'!$K$3:$K$502,0)),"")</f>
        <v/>
      </c>
      <c r="E113" s="118">
        <f>IFERROR(INDEX('الوثائق'!$E$3:$E$502,MATCH(107,'الوثائق'!$K$3:$K$502,0)),"")</f>
        <v/>
      </c>
      <c r="F113" s="118">
        <f>IFERROR(INDEX('الوثائق'!$F$3:$F$502,MATCH(107,'الوثائق'!$K$3:$K$502,0)),"")</f>
        <v/>
      </c>
      <c r="G113" s="43">
        <f>IFERROR(INDEX('الوثائق'!$G$3:$G$502,MATCH(107,'الوثائق'!$K$3:$K$502,0)),"")</f>
        <v/>
      </c>
      <c r="H113" s="44">
        <f>IFERROR(INDEX('الوثائق'!$I$3:$I$502,MATCH(107,'الوثائق'!$K$3:$K$502,0)),"")</f>
        <v/>
      </c>
      <c r="I113" s="43">
        <f>IFERROR(INDEX('الوثائق'!$H$3:$H$502,MATCH(107,'الوثائق'!$K$3:$K$502,0)),"")</f>
        <v/>
      </c>
      <c r="J113" s="43">
        <f>IFERROR(INDEX('الوثائق'!$J$3:$J$502,MATCH(107,'الوثائق'!$K$3:$K$502,0)),"")</f>
        <v/>
      </c>
    </row>
    <row r="114">
      <c r="A114" s="50">
        <f>IFERROR(INDEX('الوثائق'!$A$3:$A$502,MATCH(108,'الوثائق'!$K$3:$K$502,0)),"")</f>
        <v/>
      </c>
      <c r="B114" s="50">
        <f>IFERROR(INDEX('الوثائق'!$B$3:$B$502,MATCH(108,'الوثائق'!$K$3:$K$502,0)),"")</f>
        <v/>
      </c>
      <c r="C114" s="50">
        <f>IFERROR(INDEX('الوثائق'!$C$3:$C$502,MATCH(108,'الوثائق'!$K$3:$K$502,0)),"")</f>
        <v/>
      </c>
      <c r="D114" s="50">
        <f>IFERROR(INDEX('الوثائق'!$D$3:$D$502,MATCH(108,'الوثائق'!$K$3:$K$502,0)),"")</f>
        <v/>
      </c>
      <c r="E114" s="119">
        <f>IFERROR(INDEX('الوثائق'!$E$3:$E$502,MATCH(108,'الوثائق'!$K$3:$K$502,0)),"")</f>
        <v/>
      </c>
      <c r="F114" s="119">
        <f>IFERROR(INDEX('الوثائق'!$F$3:$F$502,MATCH(108,'الوثائق'!$K$3:$K$502,0)),"")</f>
        <v/>
      </c>
      <c r="G114" s="50">
        <f>IFERROR(INDEX('الوثائق'!$G$3:$G$502,MATCH(108,'الوثائق'!$K$3:$K$502,0)),"")</f>
        <v/>
      </c>
      <c r="H114" s="51">
        <f>IFERROR(INDEX('الوثائق'!$I$3:$I$502,MATCH(108,'الوثائق'!$K$3:$K$502,0)),"")</f>
        <v/>
      </c>
      <c r="I114" s="50">
        <f>IFERROR(INDEX('الوثائق'!$H$3:$H$502,MATCH(108,'الوثائق'!$K$3:$K$502,0)),"")</f>
        <v/>
      </c>
      <c r="J114" s="50">
        <f>IFERROR(INDEX('الوثائق'!$J$3:$J$502,MATCH(108,'الوثائق'!$K$3:$K$502,0)),"")</f>
        <v/>
      </c>
    </row>
    <row r="115">
      <c r="A115" s="43">
        <f>IFERROR(INDEX('الوثائق'!$A$3:$A$502,MATCH(109,'الوثائق'!$K$3:$K$502,0)),"")</f>
        <v/>
      </c>
      <c r="B115" s="43">
        <f>IFERROR(INDEX('الوثائق'!$B$3:$B$502,MATCH(109,'الوثائق'!$K$3:$K$502,0)),"")</f>
        <v/>
      </c>
      <c r="C115" s="43">
        <f>IFERROR(INDEX('الوثائق'!$C$3:$C$502,MATCH(109,'الوثائق'!$K$3:$K$502,0)),"")</f>
        <v/>
      </c>
      <c r="D115" s="43">
        <f>IFERROR(INDEX('الوثائق'!$D$3:$D$502,MATCH(109,'الوثائق'!$K$3:$K$502,0)),"")</f>
        <v/>
      </c>
      <c r="E115" s="118">
        <f>IFERROR(INDEX('الوثائق'!$E$3:$E$502,MATCH(109,'الوثائق'!$K$3:$K$502,0)),"")</f>
        <v/>
      </c>
      <c r="F115" s="118">
        <f>IFERROR(INDEX('الوثائق'!$F$3:$F$502,MATCH(109,'الوثائق'!$K$3:$K$502,0)),"")</f>
        <v/>
      </c>
      <c r="G115" s="43">
        <f>IFERROR(INDEX('الوثائق'!$G$3:$G$502,MATCH(109,'الوثائق'!$K$3:$K$502,0)),"")</f>
        <v/>
      </c>
      <c r="H115" s="44">
        <f>IFERROR(INDEX('الوثائق'!$I$3:$I$502,MATCH(109,'الوثائق'!$K$3:$K$502,0)),"")</f>
        <v/>
      </c>
      <c r="I115" s="43">
        <f>IFERROR(INDEX('الوثائق'!$H$3:$H$502,MATCH(109,'الوثائق'!$K$3:$K$502,0)),"")</f>
        <v/>
      </c>
      <c r="J115" s="43">
        <f>IFERROR(INDEX('الوثائق'!$J$3:$J$502,MATCH(109,'الوثائق'!$K$3:$K$502,0)),"")</f>
        <v/>
      </c>
    </row>
    <row r="116">
      <c r="A116" s="50">
        <f>IFERROR(INDEX('الوثائق'!$A$3:$A$502,MATCH(110,'الوثائق'!$K$3:$K$502,0)),"")</f>
        <v/>
      </c>
      <c r="B116" s="50">
        <f>IFERROR(INDEX('الوثائق'!$B$3:$B$502,MATCH(110,'الوثائق'!$K$3:$K$502,0)),"")</f>
        <v/>
      </c>
      <c r="C116" s="50">
        <f>IFERROR(INDEX('الوثائق'!$C$3:$C$502,MATCH(110,'الوثائق'!$K$3:$K$502,0)),"")</f>
        <v/>
      </c>
      <c r="D116" s="50">
        <f>IFERROR(INDEX('الوثائق'!$D$3:$D$502,MATCH(110,'الوثائق'!$K$3:$K$502,0)),"")</f>
        <v/>
      </c>
      <c r="E116" s="119">
        <f>IFERROR(INDEX('الوثائق'!$E$3:$E$502,MATCH(110,'الوثائق'!$K$3:$K$502,0)),"")</f>
        <v/>
      </c>
      <c r="F116" s="119">
        <f>IFERROR(INDEX('الوثائق'!$F$3:$F$502,MATCH(110,'الوثائق'!$K$3:$K$502,0)),"")</f>
        <v/>
      </c>
      <c r="G116" s="50">
        <f>IFERROR(INDEX('الوثائق'!$G$3:$G$502,MATCH(110,'الوثائق'!$K$3:$K$502,0)),"")</f>
        <v/>
      </c>
      <c r="H116" s="51">
        <f>IFERROR(INDEX('الوثائق'!$I$3:$I$502,MATCH(110,'الوثائق'!$K$3:$K$502,0)),"")</f>
        <v/>
      </c>
      <c r="I116" s="50">
        <f>IFERROR(INDEX('الوثائق'!$H$3:$H$502,MATCH(110,'الوثائق'!$K$3:$K$502,0)),"")</f>
        <v/>
      </c>
      <c r="J116" s="50">
        <f>IFERROR(INDEX('الوثائق'!$J$3:$J$502,MATCH(110,'الوثائق'!$K$3:$K$502,0)),"")</f>
        <v/>
      </c>
    </row>
    <row r="117">
      <c r="A117" s="43">
        <f>IFERROR(INDEX('الوثائق'!$A$3:$A$502,MATCH(111,'الوثائق'!$K$3:$K$502,0)),"")</f>
        <v/>
      </c>
      <c r="B117" s="43">
        <f>IFERROR(INDEX('الوثائق'!$B$3:$B$502,MATCH(111,'الوثائق'!$K$3:$K$502,0)),"")</f>
        <v/>
      </c>
      <c r="C117" s="43">
        <f>IFERROR(INDEX('الوثائق'!$C$3:$C$502,MATCH(111,'الوثائق'!$K$3:$K$502,0)),"")</f>
        <v/>
      </c>
      <c r="D117" s="43">
        <f>IFERROR(INDEX('الوثائق'!$D$3:$D$502,MATCH(111,'الوثائق'!$K$3:$K$502,0)),"")</f>
        <v/>
      </c>
      <c r="E117" s="118">
        <f>IFERROR(INDEX('الوثائق'!$E$3:$E$502,MATCH(111,'الوثائق'!$K$3:$K$502,0)),"")</f>
        <v/>
      </c>
      <c r="F117" s="118">
        <f>IFERROR(INDEX('الوثائق'!$F$3:$F$502,MATCH(111,'الوثائق'!$K$3:$K$502,0)),"")</f>
        <v/>
      </c>
      <c r="G117" s="43">
        <f>IFERROR(INDEX('الوثائق'!$G$3:$G$502,MATCH(111,'الوثائق'!$K$3:$K$502,0)),"")</f>
        <v/>
      </c>
      <c r="H117" s="44">
        <f>IFERROR(INDEX('الوثائق'!$I$3:$I$502,MATCH(111,'الوثائق'!$K$3:$K$502,0)),"")</f>
        <v/>
      </c>
      <c r="I117" s="43">
        <f>IFERROR(INDEX('الوثائق'!$H$3:$H$502,MATCH(111,'الوثائق'!$K$3:$K$502,0)),"")</f>
        <v/>
      </c>
      <c r="J117" s="43">
        <f>IFERROR(INDEX('الوثائق'!$J$3:$J$502,MATCH(111,'الوثائق'!$K$3:$K$502,0)),"")</f>
        <v/>
      </c>
    </row>
    <row r="118">
      <c r="A118" s="50">
        <f>IFERROR(INDEX('الوثائق'!$A$3:$A$502,MATCH(112,'الوثائق'!$K$3:$K$502,0)),"")</f>
        <v/>
      </c>
      <c r="B118" s="50">
        <f>IFERROR(INDEX('الوثائق'!$B$3:$B$502,MATCH(112,'الوثائق'!$K$3:$K$502,0)),"")</f>
        <v/>
      </c>
      <c r="C118" s="50">
        <f>IFERROR(INDEX('الوثائق'!$C$3:$C$502,MATCH(112,'الوثائق'!$K$3:$K$502,0)),"")</f>
        <v/>
      </c>
      <c r="D118" s="50">
        <f>IFERROR(INDEX('الوثائق'!$D$3:$D$502,MATCH(112,'الوثائق'!$K$3:$K$502,0)),"")</f>
        <v/>
      </c>
      <c r="E118" s="119">
        <f>IFERROR(INDEX('الوثائق'!$E$3:$E$502,MATCH(112,'الوثائق'!$K$3:$K$502,0)),"")</f>
        <v/>
      </c>
      <c r="F118" s="119">
        <f>IFERROR(INDEX('الوثائق'!$F$3:$F$502,MATCH(112,'الوثائق'!$K$3:$K$502,0)),"")</f>
        <v/>
      </c>
      <c r="G118" s="50">
        <f>IFERROR(INDEX('الوثائق'!$G$3:$G$502,MATCH(112,'الوثائق'!$K$3:$K$502,0)),"")</f>
        <v/>
      </c>
      <c r="H118" s="51">
        <f>IFERROR(INDEX('الوثائق'!$I$3:$I$502,MATCH(112,'الوثائق'!$K$3:$K$502,0)),"")</f>
        <v/>
      </c>
      <c r="I118" s="50">
        <f>IFERROR(INDEX('الوثائق'!$H$3:$H$502,MATCH(112,'الوثائق'!$K$3:$K$502,0)),"")</f>
        <v/>
      </c>
      <c r="J118" s="50">
        <f>IFERROR(INDEX('الوثائق'!$J$3:$J$502,MATCH(112,'الوثائق'!$K$3:$K$502,0)),"")</f>
        <v/>
      </c>
    </row>
    <row r="119">
      <c r="A119" s="43">
        <f>IFERROR(INDEX('الوثائق'!$A$3:$A$502,MATCH(113,'الوثائق'!$K$3:$K$502,0)),"")</f>
        <v/>
      </c>
      <c r="B119" s="43">
        <f>IFERROR(INDEX('الوثائق'!$B$3:$B$502,MATCH(113,'الوثائق'!$K$3:$K$502,0)),"")</f>
        <v/>
      </c>
      <c r="C119" s="43">
        <f>IFERROR(INDEX('الوثائق'!$C$3:$C$502,MATCH(113,'الوثائق'!$K$3:$K$502,0)),"")</f>
        <v/>
      </c>
      <c r="D119" s="43">
        <f>IFERROR(INDEX('الوثائق'!$D$3:$D$502,MATCH(113,'الوثائق'!$K$3:$K$502,0)),"")</f>
        <v/>
      </c>
      <c r="E119" s="118">
        <f>IFERROR(INDEX('الوثائق'!$E$3:$E$502,MATCH(113,'الوثائق'!$K$3:$K$502,0)),"")</f>
        <v/>
      </c>
      <c r="F119" s="118">
        <f>IFERROR(INDEX('الوثائق'!$F$3:$F$502,MATCH(113,'الوثائق'!$K$3:$K$502,0)),"")</f>
        <v/>
      </c>
      <c r="G119" s="43">
        <f>IFERROR(INDEX('الوثائق'!$G$3:$G$502,MATCH(113,'الوثائق'!$K$3:$K$502,0)),"")</f>
        <v/>
      </c>
      <c r="H119" s="44">
        <f>IFERROR(INDEX('الوثائق'!$I$3:$I$502,MATCH(113,'الوثائق'!$K$3:$K$502,0)),"")</f>
        <v/>
      </c>
      <c r="I119" s="43">
        <f>IFERROR(INDEX('الوثائق'!$H$3:$H$502,MATCH(113,'الوثائق'!$K$3:$K$502,0)),"")</f>
        <v/>
      </c>
      <c r="J119" s="43">
        <f>IFERROR(INDEX('الوثائق'!$J$3:$J$502,MATCH(113,'الوثائق'!$K$3:$K$502,0)),"")</f>
        <v/>
      </c>
    </row>
    <row r="120">
      <c r="A120" s="50">
        <f>IFERROR(INDEX('الوثائق'!$A$3:$A$502,MATCH(114,'الوثائق'!$K$3:$K$502,0)),"")</f>
        <v/>
      </c>
      <c r="B120" s="50">
        <f>IFERROR(INDEX('الوثائق'!$B$3:$B$502,MATCH(114,'الوثائق'!$K$3:$K$502,0)),"")</f>
        <v/>
      </c>
      <c r="C120" s="50">
        <f>IFERROR(INDEX('الوثائق'!$C$3:$C$502,MATCH(114,'الوثائق'!$K$3:$K$502,0)),"")</f>
        <v/>
      </c>
      <c r="D120" s="50">
        <f>IFERROR(INDEX('الوثائق'!$D$3:$D$502,MATCH(114,'الوثائق'!$K$3:$K$502,0)),"")</f>
        <v/>
      </c>
      <c r="E120" s="119">
        <f>IFERROR(INDEX('الوثائق'!$E$3:$E$502,MATCH(114,'الوثائق'!$K$3:$K$502,0)),"")</f>
        <v/>
      </c>
      <c r="F120" s="119">
        <f>IFERROR(INDEX('الوثائق'!$F$3:$F$502,MATCH(114,'الوثائق'!$K$3:$K$502,0)),"")</f>
        <v/>
      </c>
      <c r="G120" s="50">
        <f>IFERROR(INDEX('الوثائق'!$G$3:$G$502,MATCH(114,'الوثائق'!$K$3:$K$502,0)),"")</f>
        <v/>
      </c>
      <c r="H120" s="51">
        <f>IFERROR(INDEX('الوثائق'!$I$3:$I$502,MATCH(114,'الوثائق'!$K$3:$K$502,0)),"")</f>
        <v/>
      </c>
      <c r="I120" s="50">
        <f>IFERROR(INDEX('الوثائق'!$H$3:$H$502,MATCH(114,'الوثائق'!$K$3:$K$502,0)),"")</f>
        <v/>
      </c>
      <c r="J120" s="50">
        <f>IFERROR(INDEX('الوثائق'!$J$3:$J$502,MATCH(114,'الوثائق'!$K$3:$K$502,0)),"")</f>
        <v/>
      </c>
    </row>
    <row r="121">
      <c r="A121" s="43">
        <f>IFERROR(INDEX('الوثائق'!$A$3:$A$502,MATCH(115,'الوثائق'!$K$3:$K$502,0)),"")</f>
        <v/>
      </c>
      <c r="B121" s="43">
        <f>IFERROR(INDEX('الوثائق'!$B$3:$B$502,MATCH(115,'الوثائق'!$K$3:$K$502,0)),"")</f>
        <v/>
      </c>
      <c r="C121" s="43">
        <f>IFERROR(INDEX('الوثائق'!$C$3:$C$502,MATCH(115,'الوثائق'!$K$3:$K$502,0)),"")</f>
        <v/>
      </c>
      <c r="D121" s="43">
        <f>IFERROR(INDEX('الوثائق'!$D$3:$D$502,MATCH(115,'الوثائق'!$K$3:$K$502,0)),"")</f>
        <v/>
      </c>
      <c r="E121" s="118">
        <f>IFERROR(INDEX('الوثائق'!$E$3:$E$502,MATCH(115,'الوثائق'!$K$3:$K$502,0)),"")</f>
        <v/>
      </c>
      <c r="F121" s="118">
        <f>IFERROR(INDEX('الوثائق'!$F$3:$F$502,MATCH(115,'الوثائق'!$K$3:$K$502,0)),"")</f>
        <v/>
      </c>
      <c r="G121" s="43">
        <f>IFERROR(INDEX('الوثائق'!$G$3:$G$502,MATCH(115,'الوثائق'!$K$3:$K$502,0)),"")</f>
        <v/>
      </c>
      <c r="H121" s="44">
        <f>IFERROR(INDEX('الوثائق'!$I$3:$I$502,MATCH(115,'الوثائق'!$K$3:$K$502,0)),"")</f>
        <v/>
      </c>
      <c r="I121" s="43">
        <f>IFERROR(INDEX('الوثائق'!$H$3:$H$502,MATCH(115,'الوثائق'!$K$3:$K$502,0)),"")</f>
        <v/>
      </c>
      <c r="J121" s="43">
        <f>IFERROR(INDEX('الوثائق'!$J$3:$J$502,MATCH(115,'الوثائق'!$K$3:$K$502,0)),"")</f>
        <v/>
      </c>
    </row>
    <row r="122">
      <c r="A122" s="50">
        <f>IFERROR(INDEX('الوثائق'!$A$3:$A$502,MATCH(116,'الوثائق'!$K$3:$K$502,0)),"")</f>
        <v/>
      </c>
      <c r="B122" s="50">
        <f>IFERROR(INDEX('الوثائق'!$B$3:$B$502,MATCH(116,'الوثائق'!$K$3:$K$502,0)),"")</f>
        <v/>
      </c>
      <c r="C122" s="50">
        <f>IFERROR(INDEX('الوثائق'!$C$3:$C$502,MATCH(116,'الوثائق'!$K$3:$K$502,0)),"")</f>
        <v/>
      </c>
      <c r="D122" s="50">
        <f>IFERROR(INDEX('الوثائق'!$D$3:$D$502,MATCH(116,'الوثائق'!$K$3:$K$502,0)),"")</f>
        <v/>
      </c>
      <c r="E122" s="119">
        <f>IFERROR(INDEX('الوثائق'!$E$3:$E$502,MATCH(116,'الوثائق'!$K$3:$K$502,0)),"")</f>
        <v/>
      </c>
      <c r="F122" s="119">
        <f>IFERROR(INDEX('الوثائق'!$F$3:$F$502,MATCH(116,'الوثائق'!$K$3:$K$502,0)),"")</f>
        <v/>
      </c>
      <c r="G122" s="50">
        <f>IFERROR(INDEX('الوثائق'!$G$3:$G$502,MATCH(116,'الوثائق'!$K$3:$K$502,0)),"")</f>
        <v/>
      </c>
      <c r="H122" s="51">
        <f>IFERROR(INDEX('الوثائق'!$I$3:$I$502,MATCH(116,'الوثائق'!$K$3:$K$502,0)),"")</f>
        <v/>
      </c>
      <c r="I122" s="50">
        <f>IFERROR(INDEX('الوثائق'!$H$3:$H$502,MATCH(116,'الوثائق'!$K$3:$K$502,0)),"")</f>
        <v/>
      </c>
      <c r="J122" s="50">
        <f>IFERROR(INDEX('الوثائق'!$J$3:$J$502,MATCH(116,'الوثائق'!$K$3:$K$502,0)),"")</f>
        <v/>
      </c>
    </row>
    <row r="123">
      <c r="A123" s="43">
        <f>IFERROR(INDEX('الوثائق'!$A$3:$A$502,MATCH(117,'الوثائق'!$K$3:$K$502,0)),"")</f>
        <v/>
      </c>
      <c r="B123" s="43">
        <f>IFERROR(INDEX('الوثائق'!$B$3:$B$502,MATCH(117,'الوثائق'!$K$3:$K$502,0)),"")</f>
        <v/>
      </c>
      <c r="C123" s="43">
        <f>IFERROR(INDEX('الوثائق'!$C$3:$C$502,MATCH(117,'الوثائق'!$K$3:$K$502,0)),"")</f>
        <v/>
      </c>
      <c r="D123" s="43">
        <f>IFERROR(INDEX('الوثائق'!$D$3:$D$502,MATCH(117,'الوثائق'!$K$3:$K$502,0)),"")</f>
        <v/>
      </c>
      <c r="E123" s="118">
        <f>IFERROR(INDEX('الوثائق'!$E$3:$E$502,MATCH(117,'الوثائق'!$K$3:$K$502,0)),"")</f>
        <v/>
      </c>
      <c r="F123" s="118">
        <f>IFERROR(INDEX('الوثائق'!$F$3:$F$502,MATCH(117,'الوثائق'!$K$3:$K$502,0)),"")</f>
        <v/>
      </c>
      <c r="G123" s="43">
        <f>IFERROR(INDEX('الوثائق'!$G$3:$G$502,MATCH(117,'الوثائق'!$K$3:$K$502,0)),"")</f>
        <v/>
      </c>
      <c r="H123" s="44">
        <f>IFERROR(INDEX('الوثائق'!$I$3:$I$502,MATCH(117,'الوثائق'!$K$3:$K$502,0)),"")</f>
        <v/>
      </c>
      <c r="I123" s="43">
        <f>IFERROR(INDEX('الوثائق'!$H$3:$H$502,MATCH(117,'الوثائق'!$K$3:$K$502,0)),"")</f>
        <v/>
      </c>
      <c r="J123" s="43">
        <f>IFERROR(INDEX('الوثائق'!$J$3:$J$502,MATCH(117,'الوثائق'!$K$3:$K$502,0)),"")</f>
        <v/>
      </c>
    </row>
    <row r="124">
      <c r="A124" s="50">
        <f>IFERROR(INDEX('الوثائق'!$A$3:$A$502,MATCH(118,'الوثائق'!$K$3:$K$502,0)),"")</f>
        <v/>
      </c>
      <c r="B124" s="50">
        <f>IFERROR(INDEX('الوثائق'!$B$3:$B$502,MATCH(118,'الوثائق'!$K$3:$K$502,0)),"")</f>
        <v/>
      </c>
      <c r="C124" s="50">
        <f>IFERROR(INDEX('الوثائق'!$C$3:$C$502,MATCH(118,'الوثائق'!$K$3:$K$502,0)),"")</f>
        <v/>
      </c>
      <c r="D124" s="50">
        <f>IFERROR(INDEX('الوثائق'!$D$3:$D$502,MATCH(118,'الوثائق'!$K$3:$K$502,0)),"")</f>
        <v/>
      </c>
      <c r="E124" s="119">
        <f>IFERROR(INDEX('الوثائق'!$E$3:$E$502,MATCH(118,'الوثائق'!$K$3:$K$502,0)),"")</f>
        <v/>
      </c>
      <c r="F124" s="119">
        <f>IFERROR(INDEX('الوثائق'!$F$3:$F$502,MATCH(118,'الوثائق'!$K$3:$K$502,0)),"")</f>
        <v/>
      </c>
      <c r="G124" s="50">
        <f>IFERROR(INDEX('الوثائق'!$G$3:$G$502,MATCH(118,'الوثائق'!$K$3:$K$502,0)),"")</f>
        <v/>
      </c>
      <c r="H124" s="51">
        <f>IFERROR(INDEX('الوثائق'!$I$3:$I$502,MATCH(118,'الوثائق'!$K$3:$K$502,0)),"")</f>
        <v/>
      </c>
      <c r="I124" s="50">
        <f>IFERROR(INDEX('الوثائق'!$H$3:$H$502,MATCH(118,'الوثائق'!$K$3:$K$502,0)),"")</f>
        <v/>
      </c>
      <c r="J124" s="50">
        <f>IFERROR(INDEX('الوثائق'!$J$3:$J$502,MATCH(118,'الوثائق'!$K$3:$K$502,0)),"")</f>
        <v/>
      </c>
    </row>
    <row r="125">
      <c r="A125" s="43">
        <f>IFERROR(INDEX('الوثائق'!$A$3:$A$502,MATCH(119,'الوثائق'!$K$3:$K$502,0)),"")</f>
        <v/>
      </c>
      <c r="B125" s="43">
        <f>IFERROR(INDEX('الوثائق'!$B$3:$B$502,MATCH(119,'الوثائق'!$K$3:$K$502,0)),"")</f>
        <v/>
      </c>
      <c r="C125" s="43">
        <f>IFERROR(INDEX('الوثائق'!$C$3:$C$502,MATCH(119,'الوثائق'!$K$3:$K$502,0)),"")</f>
        <v/>
      </c>
      <c r="D125" s="43">
        <f>IFERROR(INDEX('الوثائق'!$D$3:$D$502,MATCH(119,'الوثائق'!$K$3:$K$502,0)),"")</f>
        <v/>
      </c>
      <c r="E125" s="118">
        <f>IFERROR(INDEX('الوثائق'!$E$3:$E$502,MATCH(119,'الوثائق'!$K$3:$K$502,0)),"")</f>
        <v/>
      </c>
      <c r="F125" s="118">
        <f>IFERROR(INDEX('الوثائق'!$F$3:$F$502,MATCH(119,'الوثائق'!$K$3:$K$502,0)),"")</f>
        <v/>
      </c>
      <c r="G125" s="43">
        <f>IFERROR(INDEX('الوثائق'!$G$3:$G$502,MATCH(119,'الوثائق'!$K$3:$K$502,0)),"")</f>
        <v/>
      </c>
      <c r="H125" s="44">
        <f>IFERROR(INDEX('الوثائق'!$I$3:$I$502,MATCH(119,'الوثائق'!$K$3:$K$502,0)),"")</f>
        <v/>
      </c>
      <c r="I125" s="43">
        <f>IFERROR(INDEX('الوثائق'!$H$3:$H$502,MATCH(119,'الوثائق'!$K$3:$K$502,0)),"")</f>
        <v/>
      </c>
      <c r="J125" s="43">
        <f>IFERROR(INDEX('الوثائق'!$J$3:$J$502,MATCH(119,'الوثائق'!$K$3:$K$502,0)),"")</f>
        <v/>
      </c>
    </row>
    <row r="126">
      <c r="A126" s="50">
        <f>IFERROR(INDEX('الوثائق'!$A$3:$A$502,MATCH(120,'الوثائق'!$K$3:$K$502,0)),"")</f>
        <v/>
      </c>
      <c r="B126" s="50">
        <f>IFERROR(INDEX('الوثائق'!$B$3:$B$502,MATCH(120,'الوثائق'!$K$3:$K$502,0)),"")</f>
        <v/>
      </c>
      <c r="C126" s="50">
        <f>IFERROR(INDEX('الوثائق'!$C$3:$C$502,MATCH(120,'الوثائق'!$K$3:$K$502,0)),"")</f>
        <v/>
      </c>
      <c r="D126" s="50">
        <f>IFERROR(INDEX('الوثائق'!$D$3:$D$502,MATCH(120,'الوثائق'!$K$3:$K$502,0)),"")</f>
        <v/>
      </c>
      <c r="E126" s="119">
        <f>IFERROR(INDEX('الوثائق'!$E$3:$E$502,MATCH(120,'الوثائق'!$K$3:$K$502,0)),"")</f>
        <v/>
      </c>
      <c r="F126" s="119">
        <f>IFERROR(INDEX('الوثائق'!$F$3:$F$502,MATCH(120,'الوثائق'!$K$3:$K$502,0)),"")</f>
        <v/>
      </c>
      <c r="G126" s="50">
        <f>IFERROR(INDEX('الوثائق'!$G$3:$G$502,MATCH(120,'الوثائق'!$K$3:$K$502,0)),"")</f>
        <v/>
      </c>
      <c r="H126" s="51">
        <f>IFERROR(INDEX('الوثائق'!$I$3:$I$502,MATCH(120,'الوثائق'!$K$3:$K$502,0)),"")</f>
        <v/>
      </c>
      <c r="I126" s="50">
        <f>IFERROR(INDEX('الوثائق'!$H$3:$H$502,MATCH(120,'الوثائق'!$K$3:$K$502,0)),"")</f>
        <v/>
      </c>
      <c r="J126" s="50">
        <f>IFERROR(INDEX('الوثائق'!$J$3:$J$502,MATCH(120,'الوثائق'!$K$3:$K$502,0)),"")</f>
        <v/>
      </c>
    </row>
    <row r="127">
      <c r="A127" s="43">
        <f>IFERROR(INDEX('الوثائق'!$A$3:$A$502,MATCH(121,'الوثائق'!$K$3:$K$502,0)),"")</f>
        <v/>
      </c>
      <c r="B127" s="43">
        <f>IFERROR(INDEX('الوثائق'!$B$3:$B$502,MATCH(121,'الوثائق'!$K$3:$K$502,0)),"")</f>
        <v/>
      </c>
      <c r="C127" s="43">
        <f>IFERROR(INDEX('الوثائق'!$C$3:$C$502,MATCH(121,'الوثائق'!$K$3:$K$502,0)),"")</f>
        <v/>
      </c>
      <c r="D127" s="43">
        <f>IFERROR(INDEX('الوثائق'!$D$3:$D$502,MATCH(121,'الوثائق'!$K$3:$K$502,0)),"")</f>
        <v/>
      </c>
      <c r="E127" s="118">
        <f>IFERROR(INDEX('الوثائق'!$E$3:$E$502,MATCH(121,'الوثائق'!$K$3:$K$502,0)),"")</f>
        <v/>
      </c>
      <c r="F127" s="118">
        <f>IFERROR(INDEX('الوثائق'!$F$3:$F$502,MATCH(121,'الوثائق'!$K$3:$K$502,0)),"")</f>
        <v/>
      </c>
      <c r="G127" s="43">
        <f>IFERROR(INDEX('الوثائق'!$G$3:$G$502,MATCH(121,'الوثائق'!$K$3:$K$502,0)),"")</f>
        <v/>
      </c>
      <c r="H127" s="44">
        <f>IFERROR(INDEX('الوثائق'!$I$3:$I$502,MATCH(121,'الوثائق'!$K$3:$K$502,0)),"")</f>
        <v/>
      </c>
      <c r="I127" s="43">
        <f>IFERROR(INDEX('الوثائق'!$H$3:$H$502,MATCH(121,'الوثائق'!$K$3:$K$502,0)),"")</f>
        <v/>
      </c>
      <c r="J127" s="43">
        <f>IFERROR(INDEX('الوثائق'!$J$3:$J$502,MATCH(121,'الوثائق'!$K$3:$K$502,0)),"")</f>
        <v/>
      </c>
    </row>
    <row r="128">
      <c r="A128" s="50">
        <f>IFERROR(INDEX('الوثائق'!$A$3:$A$502,MATCH(122,'الوثائق'!$K$3:$K$502,0)),"")</f>
        <v/>
      </c>
      <c r="B128" s="50">
        <f>IFERROR(INDEX('الوثائق'!$B$3:$B$502,MATCH(122,'الوثائق'!$K$3:$K$502,0)),"")</f>
        <v/>
      </c>
      <c r="C128" s="50">
        <f>IFERROR(INDEX('الوثائق'!$C$3:$C$502,MATCH(122,'الوثائق'!$K$3:$K$502,0)),"")</f>
        <v/>
      </c>
      <c r="D128" s="50">
        <f>IFERROR(INDEX('الوثائق'!$D$3:$D$502,MATCH(122,'الوثائق'!$K$3:$K$502,0)),"")</f>
        <v/>
      </c>
      <c r="E128" s="119">
        <f>IFERROR(INDEX('الوثائق'!$E$3:$E$502,MATCH(122,'الوثائق'!$K$3:$K$502,0)),"")</f>
        <v/>
      </c>
      <c r="F128" s="119">
        <f>IFERROR(INDEX('الوثائق'!$F$3:$F$502,MATCH(122,'الوثائق'!$K$3:$K$502,0)),"")</f>
        <v/>
      </c>
      <c r="G128" s="50">
        <f>IFERROR(INDEX('الوثائق'!$G$3:$G$502,MATCH(122,'الوثائق'!$K$3:$K$502,0)),"")</f>
        <v/>
      </c>
      <c r="H128" s="51">
        <f>IFERROR(INDEX('الوثائق'!$I$3:$I$502,MATCH(122,'الوثائق'!$K$3:$K$502,0)),"")</f>
        <v/>
      </c>
      <c r="I128" s="50">
        <f>IFERROR(INDEX('الوثائق'!$H$3:$H$502,MATCH(122,'الوثائق'!$K$3:$K$502,0)),"")</f>
        <v/>
      </c>
      <c r="J128" s="50">
        <f>IFERROR(INDEX('الوثائق'!$J$3:$J$502,MATCH(122,'الوثائق'!$K$3:$K$502,0)),"")</f>
        <v/>
      </c>
    </row>
    <row r="129">
      <c r="A129" s="43">
        <f>IFERROR(INDEX('الوثائق'!$A$3:$A$502,MATCH(123,'الوثائق'!$K$3:$K$502,0)),"")</f>
        <v/>
      </c>
      <c r="B129" s="43">
        <f>IFERROR(INDEX('الوثائق'!$B$3:$B$502,MATCH(123,'الوثائق'!$K$3:$K$502,0)),"")</f>
        <v/>
      </c>
      <c r="C129" s="43">
        <f>IFERROR(INDEX('الوثائق'!$C$3:$C$502,MATCH(123,'الوثائق'!$K$3:$K$502,0)),"")</f>
        <v/>
      </c>
      <c r="D129" s="43">
        <f>IFERROR(INDEX('الوثائق'!$D$3:$D$502,MATCH(123,'الوثائق'!$K$3:$K$502,0)),"")</f>
        <v/>
      </c>
      <c r="E129" s="118">
        <f>IFERROR(INDEX('الوثائق'!$E$3:$E$502,MATCH(123,'الوثائق'!$K$3:$K$502,0)),"")</f>
        <v/>
      </c>
      <c r="F129" s="118">
        <f>IFERROR(INDEX('الوثائق'!$F$3:$F$502,MATCH(123,'الوثائق'!$K$3:$K$502,0)),"")</f>
        <v/>
      </c>
      <c r="G129" s="43">
        <f>IFERROR(INDEX('الوثائق'!$G$3:$G$502,MATCH(123,'الوثائق'!$K$3:$K$502,0)),"")</f>
        <v/>
      </c>
      <c r="H129" s="44">
        <f>IFERROR(INDEX('الوثائق'!$I$3:$I$502,MATCH(123,'الوثائق'!$K$3:$K$502,0)),"")</f>
        <v/>
      </c>
      <c r="I129" s="43">
        <f>IFERROR(INDEX('الوثائق'!$H$3:$H$502,MATCH(123,'الوثائق'!$K$3:$K$502,0)),"")</f>
        <v/>
      </c>
      <c r="J129" s="43">
        <f>IFERROR(INDEX('الوثائق'!$J$3:$J$502,MATCH(123,'الوثائق'!$K$3:$K$502,0)),"")</f>
        <v/>
      </c>
    </row>
    <row r="130">
      <c r="A130" s="50">
        <f>IFERROR(INDEX('الوثائق'!$A$3:$A$502,MATCH(124,'الوثائق'!$K$3:$K$502,0)),"")</f>
        <v/>
      </c>
      <c r="B130" s="50">
        <f>IFERROR(INDEX('الوثائق'!$B$3:$B$502,MATCH(124,'الوثائق'!$K$3:$K$502,0)),"")</f>
        <v/>
      </c>
      <c r="C130" s="50">
        <f>IFERROR(INDEX('الوثائق'!$C$3:$C$502,MATCH(124,'الوثائق'!$K$3:$K$502,0)),"")</f>
        <v/>
      </c>
      <c r="D130" s="50">
        <f>IFERROR(INDEX('الوثائق'!$D$3:$D$502,MATCH(124,'الوثائق'!$K$3:$K$502,0)),"")</f>
        <v/>
      </c>
      <c r="E130" s="119">
        <f>IFERROR(INDEX('الوثائق'!$E$3:$E$502,MATCH(124,'الوثائق'!$K$3:$K$502,0)),"")</f>
        <v/>
      </c>
      <c r="F130" s="119">
        <f>IFERROR(INDEX('الوثائق'!$F$3:$F$502,MATCH(124,'الوثائق'!$K$3:$K$502,0)),"")</f>
        <v/>
      </c>
      <c r="G130" s="50">
        <f>IFERROR(INDEX('الوثائق'!$G$3:$G$502,MATCH(124,'الوثائق'!$K$3:$K$502,0)),"")</f>
        <v/>
      </c>
      <c r="H130" s="51">
        <f>IFERROR(INDEX('الوثائق'!$I$3:$I$502,MATCH(124,'الوثائق'!$K$3:$K$502,0)),"")</f>
        <v/>
      </c>
      <c r="I130" s="50">
        <f>IFERROR(INDEX('الوثائق'!$H$3:$H$502,MATCH(124,'الوثائق'!$K$3:$K$502,0)),"")</f>
        <v/>
      </c>
      <c r="J130" s="50">
        <f>IFERROR(INDEX('الوثائق'!$J$3:$J$502,MATCH(124,'الوثائق'!$K$3:$K$502,0)),"")</f>
        <v/>
      </c>
    </row>
    <row r="131">
      <c r="A131" s="43">
        <f>IFERROR(INDEX('الوثائق'!$A$3:$A$502,MATCH(125,'الوثائق'!$K$3:$K$502,0)),"")</f>
        <v/>
      </c>
      <c r="B131" s="43">
        <f>IFERROR(INDEX('الوثائق'!$B$3:$B$502,MATCH(125,'الوثائق'!$K$3:$K$502,0)),"")</f>
        <v/>
      </c>
      <c r="C131" s="43">
        <f>IFERROR(INDEX('الوثائق'!$C$3:$C$502,MATCH(125,'الوثائق'!$K$3:$K$502,0)),"")</f>
        <v/>
      </c>
      <c r="D131" s="43">
        <f>IFERROR(INDEX('الوثائق'!$D$3:$D$502,MATCH(125,'الوثائق'!$K$3:$K$502,0)),"")</f>
        <v/>
      </c>
      <c r="E131" s="118">
        <f>IFERROR(INDEX('الوثائق'!$E$3:$E$502,MATCH(125,'الوثائق'!$K$3:$K$502,0)),"")</f>
        <v/>
      </c>
      <c r="F131" s="118">
        <f>IFERROR(INDEX('الوثائق'!$F$3:$F$502,MATCH(125,'الوثائق'!$K$3:$K$502,0)),"")</f>
        <v/>
      </c>
      <c r="G131" s="43">
        <f>IFERROR(INDEX('الوثائق'!$G$3:$G$502,MATCH(125,'الوثائق'!$K$3:$K$502,0)),"")</f>
        <v/>
      </c>
      <c r="H131" s="44">
        <f>IFERROR(INDEX('الوثائق'!$I$3:$I$502,MATCH(125,'الوثائق'!$K$3:$K$502,0)),"")</f>
        <v/>
      </c>
      <c r="I131" s="43">
        <f>IFERROR(INDEX('الوثائق'!$H$3:$H$502,MATCH(125,'الوثائق'!$K$3:$K$502,0)),"")</f>
        <v/>
      </c>
      <c r="J131" s="43">
        <f>IFERROR(INDEX('الوثائق'!$J$3:$J$502,MATCH(125,'الوثائق'!$K$3:$K$502,0)),"")</f>
        <v/>
      </c>
    </row>
    <row r="132">
      <c r="A132" s="50">
        <f>IFERROR(INDEX('الوثائق'!$A$3:$A$502,MATCH(126,'الوثائق'!$K$3:$K$502,0)),"")</f>
        <v/>
      </c>
      <c r="B132" s="50">
        <f>IFERROR(INDEX('الوثائق'!$B$3:$B$502,MATCH(126,'الوثائق'!$K$3:$K$502,0)),"")</f>
        <v/>
      </c>
      <c r="C132" s="50">
        <f>IFERROR(INDEX('الوثائق'!$C$3:$C$502,MATCH(126,'الوثائق'!$K$3:$K$502,0)),"")</f>
        <v/>
      </c>
      <c r="D132" s="50">
        <f>IFERROR(INDEX('الوثائق'!$D$3:$D$502,MATCH(126,'الوثائق'!$K$3:$K$502,0)),"")</f>
        <v/>
      </c>
      <c r="E132" s="119">
        <f>IFERROR(INDEX('الوثائق'!$E$3:$E$502,MATCH(126,'الوثائق'!$K$3:$K$502,0)),"")</f>
        <v/>
      </c>
      <c r="F132" s="119">
        <f>IFERROR(INDEX('الوثائق'!$F$3:$F$502,MATCH(126,'الوثائق'!$K$3:$K$502,0)),"")</f>
        <v/>
      </c>
      <c r="G132" s="50">
        <f>IFERROR(INDEX('الوثائق'!$G$3:$G$502,MATCH(126,'الوثائق'!$K$3:$K$502,0)),"")</f>
        <v/>
      </c>
      <c r="H132" s="51">
        <f>IFERROR(INDEX('الوثائق'!$I$3:$I$502,MATCH(126,'الوثائق'!$K$3:$K$502,0)),"")</f>
        <v/>
      </c>
      <c r="I132" s="50">
        <f>IFERROR(INDEX('الوثائق'!$H$3:$H$502,MATCH(126,'الوثائق'!$K$3:$K$502,0)),"")</f>
        <v/>
      </c>
      <c r="J132" s="50">
        <f>IFERROR(INDEX('الوثائق'!$J$3:$J$502,MATCH(126,'الوثائق'!$K$3:$K$502,0)),"")</f>
        <v/>
      </c>
    </row>
    <row r="133">
      <c r="A133" s="43">
        <f>IFERROR(INDEX('الوثائق'!$A$3:$A$502,MATCH(127,'الوثائق'!$K$3:$K$502,0)),"")</f>
        <v/>
      </c>
      <c r="B133" s="43">
        <f>IFERROR(INDEX('الوثائق'!$B$3:$B$502,MATCH(127,'الوثائق'!$K$3:$K$502,0)),"")</f>
        <v/>
      </c>
      <c r="C133" s="43">
        <f>IFERROR(INDEX('الوثائق'!$C$3:$C$502,MATCH(127,'الوثائق'!$K$3:$K$502,0)),"")</f>
        <v/>
      </c>
      <c r="D133" s="43">
        <f>IFERROR(INDEX('الوثائق'!$D$3:$D$502,MATCH(127,'الوثائق'!$K$3:$K$502,0)),"")</f>
        <v/>
      </c>
      <c r="E133" s="118">
        <f>IFERROR(INDEX('الوثائق'!$E$3:$E$502,MATCH(127,'الوثائق'!$K$3:$K$502,0)),"")</f>
        <v/>
      </c>
      <c r="F133" s="118">
        <f>IFERROR(INDEX('الوثائق'!$F$3:$F$502,MATCH(127,'الوثائق'!$K$3:$K$502,0)),"")</f>
        <v/>
      </c>
      <c r="G133" s="43">
        <f>IFERROR(INDEX('الوثائق'!$G$3:$G$502,MATCH(127,'الوثائق'!$K$3:$K$502,0)),"")</f>
        <v/>
      </c>
      <c r="H133" s="44">
        <f>IFERROR(INDEX('الوثائق'!$I$3:$I$502,MATCH(127,'الوثائق'!$K$3:$K$502,0)),"")</f>
        <v/>
      </c>
      <c r="I133" s="43">
        <f>IFERROR(INDEX('الوثائق'!$H$3:$H$502,MATCH(127,'الوثائق'!$K$3:$K$502,0)),"")</f>
        <v/>
      </c>
      <c r="J133" s="43">
        <f>IFERROR(INDEX('الوثائق'!$J$3:$J$502,MATCH(127,'الوثائق'!$K$3:$K$502,0)),"")</f>
        <v/>
      </c>
    </row>
    <row r="134">
      <c r="A134" s="50">
        <f>IFERROR(INDEX('الوثائق'!$A$3:$A$502,MATCH(128,'الوثائق'!$K$3:$K$502,0)),"")</f>
        <v/>
      </c>
      <c r="B134" s="50">
        <f>IFERROR(INDEX('الوثائق'!$B$3:$B$502,MATCH(128,'الوثائق'!$K$3:$K$502,0)),"")</f>
        <v/>
      </c>
      <c r="C134" s="50">
        <f>IFERROR(INDEX('الوثائق'!$C$3:$C$502,MATCH(128,'الوثائق'!$K$3:$K$502,0)),"")</f>
        <v/>
      </c>
      <c r="D134" s="50">
        <f>IFERROR(INDEX('الوثائق'!$D$3:$D$502,MATCH(128,'الوثائق'!$K$3:$K$502,0)),"")</f>
        <v/>
      </c>
      <c r="E134" s="119">
        <f>IFERROR(INDEX('الوثائق'!$E$3:$E$502,MATCH(128,'الوثائق'!$K$3:$K$502,0)),"")</f>
        <v/>
      </c>
      <c r="F134" s="119">
        <f>IFERROR(INDEX('الوثائق'!$F$3:$F$502,MATCH(128,'الوثائق'!$K$3:$K$502,0)),"")</f>
        <v/>
      </c>
      <c r="G134" s="50">
        <f>IFERROR(INDEX('الوثائق'!$G$3:$G$502,MATCH(128,'الوثائق'!$K$3:$K$502,0)),"")</f>
        <v/>
      </c>
      <c r="H134" s="51">
        <f>IFERROR(INDEX('الوثائق'!$I$3:$I$502,MATCH(128,'الوثائق'!$K$3:$K$502,0)),"")</f>
        <v/>
      </c>
      <c r="I134" s="50">
        <f>IFERROR(INDEX('الوثائق'!$H$3:$H$502,MATCH(128,'الوثائق'!$K$3:$K$502,0)),"")</f>
        <v/>
      </c>
      <c r="J134" s="50">
        <f>IFERROR(INDEX('الوثائق'!$J$3:$J$502,MATCH(128,'الوثائق'!$K$3:$K$502,0)),"")</f>
        <v/>
      </c>
    </row>
    <row r="135">
      <c r="A135" s="43">
        <f>IFERROR(INDEX('الوثائق'!$A$3:$A$502,MATCH(129,'الوثائق'!$K$3:$K$502,0)),"")</f>
        <v/>
      </c>
      <c r="B135" s="43">
        <f>IFERROR(INDEX('الوثائق'!$B$3:$B$502,MATCH(129,'الوثائق'!$K$3:$K$502,0)),"")</f>
        <v/>
      </c>
      <c r="C135" s="43">
        <f>IFERROR(INDEX('الوثائق'!$C$3:$C$502,MATCH(129,'الوثائق'!$K$3:$K$502,0)),"")</f>
        <v/>
      </c>
      <c r="D135" s="43">
        <f>IFERROR(INDEX('الوثائق'!$D$3:$D$502,MATCH(129,'الوثائق'!$K$3:$K$502,0)),"")</f>
        <v/>
      </c>
      <c r="E135" s="118">
        <f>IFERROR(INDEX('الوثائق'!$E$3:$E$502,MATCH(129,'الوثائق'!$K$3:$K$502,0)),"")</f>
        <v/>
      </c>
      <c r="F135" s="118">
        <f>IFERROR(INDEX('الوثائق'!$F$3:$F$502,MATCH(129,'الوثائق'!$K$3:$K$502,0)),"")</f>
        <v/>
      </c>
      <c r="G135" s="43">
        <f>IFERROR(INDEX('الوثائق'!$G$3:$G$502,MATCH(129,'الوثائق'!$K$3:$K$502,0)),"")</f>
        <v/>
      </c>
      <c r="H135" s="44">
        <f>IFERROR(INDEX('الوثائق'!$I$3:$I$502,MATCH(129,'الوثائق'!$K$3:$K$502,0)),"")</f>
        <v/>
      </c>
      <c r="I135" s="43">
        <f>IFERROR(INDEX('الوثائق'!$H$3:$H$502,MATCH(129,'الوثائق'!$K$3:$K$502,0)),"")</f>
        <v/>
      </c>
      <c r="J135" s="43">
        <f>IFERROR(INDEX('الوثائق'!$J$3:$J$502,MATCH(129,'الوثائق'!$K$3:$K$502,0)),"")</f>
        <v/>
      </c>
    </row>
    <row r="136">
      <c r="A136" s="50">
        <f>IFERROR(INDEX('الوثائق'!$A$3:$A$502,MATCH(130,'الوثائق'!$K$3:$K$502,0)),"")</f>
        <v/>
      </c>
      <c r="B136" s="50">
        <f>IFERROR(INDEX('الوثائق'!$B$3:$B$502,MATCH(130,'الوثائق'!$K$3:$K$502,0)),"")</f>
        <v/>
      </c>
      <c r="C136" s="50">
        <f>IFERROR(INDEX('الوثائق'!$C$3:$C$502,MATCH(130,'الوثائق'!$K$3:$K$502,0)),"")</f>
        <v/>
      </c>
      <c r="D136" s="50">
        <f>IFERROR(INDEX('الوثائق'!$D$3:$D$502,MATCH(130,'الوثائق'!$K$3:$K$502,0)),"")</f>
        <v/>
      </c>
      <c r="E136" s="119">
        <f>IFERROR(INDEX('الوثائق'!$E$3:$E$502,MATCH(130,'الوثائق'!$K$3:$K$502,0)),"")</f>
        <v/>
      </c>
      <c r="F136" s="119">
        <f>IFERROR(INDEX('الوثائق'!$F$3:$F$502,MATCH(130,'الوثائق'!$K$3:$K$502,0)),"")</f>
        <v/>
      </c>
      <c r="G136" s="50">
        <f>IFERROR(INDEX('الوثائق'!$G$3:$G$502,MATCH(130,'الوثائق'!$K$3:$K$502,0)),"")</f>
        <v/>
      </c>
      <c r="H136" s="51">
        <f>IFERROR(INDEX('الوثائق'!$I$3:$I$502,MATCH(130,'الوثائق'!$K$3:$K$502,0)),"")</f>
        <v/>
      </c>
      <c r="I136" s="50">
        <f>IFERROR(INDEX('الوثائق'!$H$3:$H$502,MATCH(130,'الوثائق'!$K$3:$K$502,0)),"")</f>
        <v/>
      </c>
      <c r="J136" s="50">
        <f>IFERROR(INDEX('الوثائق'!$J$3:$J$502,MATCH(130,'الوثائق'!$K$3:$K$502,0)),"")</f>
        <v/>
      </c>
    </row>
    <row r="137">
      <c r="A137" s="43">
        <f>IFERROR(INDEX('الوثائق'!$A$3:$A$502,MATCH(131,'الوثائق'!$K$3:$K$502,0)),"")</f>
        <v/>
      </c>
      <c r="B137" s="43">
        <f>IFERROR(INDEX('الوثائق'!$B$3:$B$502,MATCH(131,'الوثائق'!$K$3:$K$502,0)),"")</f>
        <v/>
      </c>
      <c r="C137" s="43">
        <f>IFERROR(INDEX('الوثائق'!$C$3:$C$502,MATCH(131,'الوثائق'!$K$3:$K$502,0)),"")</f>
        <v/>
      </c>
      <c r="D137" s="43">
        <f>IFERROR(INDEX('الوثائق'!$D$3:$D$502,MATCH(131,'الوثائق'!$K$3:$K$502,0)),"")</f>
        <v/>
      </c>
      <c r="E137" s="118">
        <f>IFERROR(INDEX('الوثائق'!$E$3:$E$502,MATCH(131,'الوثائق'!$K$3:$K$502,0)),"")</f>
        <v/>
      </c>
      <c r="F137" s="118">
        <f>IFERROR(INDEX('الوثائق'!$F$3:$F$502,MATCH(131,'الوثائق'!$K$3:$K$502,0)),"")</f>
        <v/>
      </c>
      <c r="G137" s="43">
        <f>IFERROR(INDEX('الوثائق'!$G$3:$G$502,MATCH(131,'الوثائق'!$K$3:$K$502,0)),"")</f>
        <v/>
      </c>
      <c r="H137" s="44">
        <f>IFERROR(INDEX('الوثائق'!$I$3:$I$502,MATCH(131,'الوثائق'!$K$3:$K$502,0)),"")</f>
        <v/>
      </c>
      <c r="I137" s="43">
        <f>IFERROR(INDEX('الوثائق'!$H$3:$H$502,MATCH(131,'الوثائق'!$K$3:$K$502,0)),"")</f>
        <v/>
      </c>
      <c r="J137" s="43">
        <f>IFERROR(INDEX('الوثائق'!$J$3:$J$502,MATCH(131,'الوثائق'!$K$3:$K$502,0)),"")</f>
        <v/>
      </c>
    </row>
    <row r="138">
      <c r="A138" s="50">
        <f>IFERROR(INDEX('الوثائق'!$A$3:$A$502,MATCH(132,'الوثائق'!$K$3:$K$502,0)),"")</f>
        <v/>
      </c>
      <c r="B138" s="50">
        <f>IFERROR(INDEX('الوثائق'!$B$3:$B$502,MATCH(132,'الوثائق'!$K$3:$K$502,0)),"")</f>
        <v/>
      </c>
      <c r="C138" s="50">
        <f>IFERROR(INDEX('الوثائق'!$C$3:$C$502,MATCH(132,'الوثائق'!$K$3:$K$502,0)),"")</f>
        <v/>
      </c>
      <c r="D138" s="50">
        <f>IFERROR(INDEX('الوثائق'!$D$3:$D$502,MATCH(132,'الوثائق'!$K$3:$K$502,0)),"")</f>
        <v/>
      </c>
      <c r="E138" s="119">
        <f>IFERROR(INDEX('الوثائق'!$E$3:$E$502,MATCH(132,'الوثائق'!$K$3:$K$502,0)),"")</f>
        <v/>
      </c>
      <c r="F138" s="119">
        <f>IFERROR(INDEX('الوثائق'!$F$3:$F$502,MATCH(132,'الوثائق'!$K$3:$K$502,0)),"")</f>
        <v/>
      </c>
      <c r="G138" s="50">
        <f>IFERROR(INDEX('الوثائق'!$G$3:$G$502,MATCH(132,'الوثائق'!$K$3:$K$502,0)),"")</f>
        <v/>
      </c>
      <c r="H138" s="51">
        <f>IFERROR(INDEX('الوثائق'!$I$3:$I$502,MATCH(132,'الوثائق'!$K$3:$K$502,0)),"")</f>
        <v/>
      </c>
      <c r="I138" s="50">
        <f>IFERROR(INDEX('الوثائق'!$H$3:$H$502,MATCH(132,'الوثائق'!$K$3:$K$502,0)),"")</f>
        <v/>
      </c>
      <c r="J138" s="50">
        <f>IFERROR(INDEX('الوثائق'!$J$3:$J$502,MATCH(132,'الوثائق'!$K$3:$K$502,0)),"")</f>
        <v/>
      </c>
    </row>
    <row r="139">
      <c r="A139" s="43">
        <f>IFERROR(INDEX('الوثائق'!$A$3:$A$502,MATCH(133,'الوثائق'!$K$3:$K$502,0)),"")</f>
        <v/>
      </c>
      <c r="B139" s="43">
        <f>IFERROR(INDEX('الوثائق'!$B$3:$B$502,MATCH(133,'الوثائق'!$K$3:$K$502,0)),"")</f>
        <v/>
      </c>
      <c r="C139" s="43">
        <f>IFERROR(INDEX('الوثائق'!$C$3:$C$502,MATCH(133,'الوثائق'!$K$3:$K$502,0)),"")</f>
        <v/>
      </c>
      <c r="D139" s="43">
        <f>IFERROR(INDEX('الوثائق'!$D$3:$D$502,MATCH(133,'الوثائق'!$K$3:$K$502,0)),"")</f>
        <v/>
      </c>
      <c r="E139" s="118">
        <f>IFERROR(INDEX('الوثائق'!$E$3:$E$502,MATCH(133,'الوثائق'!$K$3:$K$502,0)),"")</f>
        <v/>
      </c>
      <c r="F139" s="118">
        <f>IFERROR(INDEX('الوثائق'!$F$3:$F$502,MATCH(133,'الوثائق'!$K$3:$K$502,0)),"")</f>
        <v/>
      </c>
      <c r="G139" s="43">
        <f>IFERROR(INDEX('الوثائق'!$G$3:$G$502,MATCH(133,'الوثائق'!$K$3:$K$502,0)),"")</f>
        <v/>
      </c>
      <c r="H139" s="44">
        <f>IFERROR(INDEX('الوثائق'!$I$3:$I$502,MATCH(133,'الوثائق'!$K$3:$K$502,0)),"")</f>
        <v/>
      </c>
      <c r="I139" s="43">
        <f>IFERROR(INDEX('الوثائق'!$H$3:$H$502,MATCH(133,'الوثائق'!$K$3:$K$502,0)),"")</f>
        <v/>
      </c>
      <c r="J139" s="43">
        <f>IFERROR(INDEX('الوثائق'!$J$3:$J$502,MATCH(133,'الوثائق'!$K$3:$K$502,0)),"")</f>
        <v/>
      </c>
    </row>
    <row r="140">
      <c r="A140" s="50">
        <f>IFERROR(INDEX('الوثائق'!$A$3:$A$502,MATCH(134,'الوثائق'!$K$3:$K$502,0)),"")</f>
        <v/>
      </c>
      <c r="B140" s="50">
        <f>IFERROR(INDEX('الوثائق'!$B$3:$B$502,MATCH(134,'الوثائق'!$K$3:$K$502,0)),"")</f>
        <v/>
      </c>
      <c r="C140" s="50">
        <f>IFERROR(INDEX('الوثائق'!$C$3:$C$502,MATCH(134,'الوثائق'!$K$3:$K$502,0)),"")</f>
        <v/>
      </c>
      <c r="D140" s="50">
        <f>IFERROR(INDEX('الوثائق'!$D$3:$D$502,MATCH(134,'الوثائق'!$K$3:$K$502,0)),"")</f>
        <v/>
      </c>
      <c r="E140" s="119">
        <f>IFERROR(INDEX('الوثائق'!$E$3:$E$502,MATCH(134,'الوثائق'!$K$3:$K$502,0)),"")</f>
        <v/>
      </c>
      <c r="F140" s="119">
        <f>IFERROR(INDEX('الوثائق'!$F$3:$F$502,MATCH(134,'الوثائق'!$K$3:$K$502,0)),"")</f>
        <v/>
      </c>
      <c r="G140" s="50">
        <f>IFERROR(INDEX('الوثائق'!$G$3:$G$502,MATCH(134,'الوثائق'!$K$3:$K$502,0)),"")</f>
        <v/>
      </c>
      <c r="H140" s="51">
        <f>IFERROR(INDEX('الوثائق'!$I$3:$I$502,MATCH(134,'الوثائق'!$K$3:$K$502,0)),"")</f>
        <v/>
      </c>
      <c r="I140" s="50">
        <f>IFERROR(INDEX('الوثائق'!$H$3:$H$502,MATCH(134,'الوثائق'!$K$3:$K$502,0)),"")</f>
        <v/>
      </c>
      <c r="J140" s="50">
        <f>IFERROR(INDEX('الوثائق'!$J$3:$J$502,MATCH(134,'الوثائق'!$K$3:$K$502,0)),"")</f>
        <v/>
      </c>
    </row>
    <row r="141">
      <c r="A141" s="43">
        <f>IFERROR(INDEX('الوثائق'!$A$3:$A$502,MATCH(135,'الوثائق'!$K$3:$K$502,0)),"")</f>
        <v/>
      </c>
      <c r="B141" s="43">
        <f>IFERROR(INDEX('الوثائق'!$B$3:$B$502,MATCH(135,'الوثائق'!$K$3:$K$502,0)),"")</f>
        <v/>
      </c>
      <c r="C141" s="43">
        <f>IFERROR(INDEX('الوثائق'!$C$3:$C$502,MATCH(135,'الوثائق'!$K$3:$K$502,0)),"")</f>
        <v/>
      </c>
      <c r="D141" s="43">
        <f>IFERROR(INDEX('الوثائق'!$D$3:$D$502,MATCH(135,'الوثائق'!$K$3:$K$502,0)),"")</f>
        <v/>
      </c>
      <c r="E141" s="118">
        <f>IFERROR(INDEX('الوثائق'!$E$3:$E$502,MATCH(135,'الوثائق'!$K$3:$K$502,0)),"")</f>
        <v/>
      </c>
      <c r="F141" s="118">
        <f>IFERROR(INDEX('الوثائق'!$F$3:$F$502,MATCH(135,'الوثائق'!$K$3:$K$502,0)),"")</f>
        <v/>
      </c>
      <c r="G141" s="43">
        <f>IFERROR(INDEX('الوثائق'!$G$3:$G$502,MATCH(135,'الوثائق'!$K$3:$K$502,0)),"")</f>
        <v/>
      </c>
      <c r="H141" s="44">
        <f>IFERROR(INDEX('الوثائق'!$I$3:$I$502,MATCH(135,'الوثائق'!$K$3:$K$502,0)),"")</f>
        <v/>
      </c>
      <c r="I141" s="43">
        <f>IFERROR(INDEX('الوثائق'!$H$3:$H$502,MATCH(135,'الوثائق'!$K$3:$K$502,0)),"")</f>
        <v/>
      </c>
      <c r="J141" s="43">
        <f>IFERROR(INDEX('الوثائق'!$J$3:$J$502,MATCH(135,'الوثائق'!$K$3:$K$502,0)),"")</f>
        <v/>
      </c>
    </row>
    <row r="142">
      <c r="A142" s="50">
        <f>IFERROR(INDEX('الوثائق'!$A$3:$A$502,MATCH(136,'الوثائق'!$K$3:$K$502,0)),"")</f>
        <v/>
      </c>
      <c r="B142" s="50">
        <f>IFERROR(INDEX('الوثائق'!$B$3:$B$502,MATCH(136,'الوثائق'!$K$3:$K$502,0)),"")</f>
        <v/>
      </c>
      <c r="C142" s="50">
        <f>IFERROR(INDEX('الوثائق'!$C$3:$C$502,MATCH(136,'الوثائق'!$K$3:$K$502,0)),"")</f>
        <v/>
      </c>
      <c r="D142" s="50">
        <f>IFERROR(INDEX('الوثائق'!$D$3:$D$502,MATCH(136,'الوثائق'!$K$3:$K$502,0)),"")</f>
        <v/>
      </c>
      <c r="E142" s="119">
        <f>IFERROR(INDEX('الوثائق'!$E$3:$E$502,MATCH(136,'الوثائق'!$K$3:$K$502,0)),"")</f>
        <v/>
      </c>
      <c r="F142" s="119">
        <f>IFERROR(INDEX('الوثائق'!$F$3:$F$502,MATCH(136,'الوثائق'!$K$3:$K$502,0)),"")</f>
        <v/>
      </c>
      <c r="G142" s="50">
        <f>IFERROR(INDEX('الوثائق'!$G$3:$G$502,MATCH(136,'الوثائق'!$K$3:$K$502,0)),"")</f>
        <v/>
      </c>
      <c r="H142" s="51">
        <f>IFERROR(INDEX('الوثائق'!$I$3:$I$502,MATCH(136,'الوثائق'!$K$3:$K$502,0)),"")</f>
        <v/>
      </c>
      <c r="I142" s="50">
        <f>IFERROR(INDEX('الوثائق'!$H$3:$H$502,MATCH(136,'الوثائق'!$K$3:$K$502,0)),"")</f>
        <v/>
      </c>
      <c r="J142" s="50">
        <f>IFERROR(INDEX('الوثائق'!$J$3:$J$502,MATCH(136,'الوثائق'!$K$3:$K$502,0)),"")</f>
        <v/>
      </c>
    </row>
    <row r="143">
      <c r="A143" s="43">
        <f>IFERROR(INDEX('الوثائق'!$A$3:$A$502,MATCH(137,'الوثائق'!$K$3:$K$502,0)),"")</f>
        <v/>
      </c>
      <c r="B143" s="43">
        <f>IFERROR(INDEX('الوثائق'!$B$3:$B$502,MATCH(137,'الوثائق'!$K$3:$K$502,0)),"")</f>
        <v/>
      </c>
      <c r="C143" s="43">
        <f>IFERROR(INDEX('الوثائق'!$C$3:$C$502,MATCH(137,'الوثائق'!$K$3:$K$502,0)),"")</f>
        <v/>
      </c>
      <c r="D143" s="43">
        <f>IFERROR(INDEX('الوثائق'!$D$3:$D$502,MATCH(137,'الوثائق'!$K$3:$K$502,0)),"")</f>
        <v/>
      </c>
      <c r="E143" s="118">
        <f>IFERROR(INDEX('الوثائق'!$E$3:$E$502,MATCH(137,'الوثائق'!$K$3:$K$502,0)),"")</f>
        <v/>
      </c>
      <c r="F143" s="118">
        <f>IFERROR(INDEX('الوثائق'!$F$3:$F$502,MATCH(137,'الوثائق'!$K$3:$K$502,0)),"")</f>
        <v/>
      </c>
      <c r="G143" s="43">
        <f>IFERROR(INDEX('الوثائق'!$G$3:$G$502,MATCH(137,'الوثائق'!$K$3:$K$502,0)),"")</f>
        <v/>
      </c>
      <c r="H143" s="44">
        <f>IFERROR(INDEX('الوثائق'!$I$3:$I$502,MATCH(137,'الوثائق'!$K$3:$K$502,0)),"")</f>
        <v/>
      </c>
      <c r="I143" s="43">
        <f>IFERROR(INDEX('الوثائق'!$H$3:$H$502,MATCH(137,'الوثائق'!$K$3:$K$502,0)),"")</f>
        <v/>
      </c>
      <c r="J143" s="43">
        <f>IFERROR(INDEX('الوثائق'!$J$3:$J$502,MATCH(137,'الوثائق'!$K$3:$K$502,0)),"")</f>
        <v/>
      </c>
    </row>
    <row r="144">
      <c r="A144" s="50">
        <f>IFERROR(INDEX('الوثائق'!$A$3:$A$502,MATCH(138,'الوثائق'!$K$3:$K$502,0)),"")</f>
        <v/>
      </c>
      <c r="B144" s="50">
        <f>IFERROR(INDEX('الوثائق'!$B$3:$B$502,MATCH(138,'الوثائق'!$K$3:$K$502,0)),"")</f>
        <v/>
      </c>
      <c r="C144" s="50">
        <f>IFERROR(INDEX('الوثائق'!$C$3:$C$502,MATCH(138,'الوثائق'!$K$3:$K$502,0)),"")</f>
        <v/>
      </c>
      <c r="D144" s="50">
        <f>IFERROR(INDEX('الوثائق'!$D$3:$D$502,MATCH(138,'الوثائق'!$K$3:$K$502,0)),"")</f>
        <v/>
      </c>
      <c r="E144" s="119">
        <f>IFERROR(INDEX('الوثائق'!$E$3:$E$502,MATCH(138,'الوثائق'!$K$3:$K$502,0)),"")</f>
        <v/>
      </c>
      <c r="F144" s="119">
        <f>IFERROR(INDEX('الوثائق'!$F$3:$F$502,MATCH(138,'الوثائق'!$K$3:$K$502,0)),"")</f>
        <v/>
      </c>
      <c r="G144" s="50">
        <f>IFERROR(INDEX('الوثائق'!$G$3:$G$502,MATCH(138,'الوثائق'!$K$3:$K$502,0)),"")</f>
        <v/>
      </c>
      <c r="H144" s="51">
        <f>IFERROR(INDEX('الوثائق'!$I$3:$I$502,MATCH(138,'الوثائق'!$K$3:$K$502,0)),"")</f>
        <v/>
      </c>
      <c r="I144" s="50">
        <f>IFERROR(INDEX('الوثائق'!$H$3:$H$502,MATCH(138,'الوثائق'!$K$3:$K$502,0)),"")</f>
        <v/>
      </c>
      <c r="J144" s="50">
        <f>IFERROR(INDEX('الوثائق'!$J$3:$J$502,MATCH(138,'الوثائق'!$K$3:$K$502,0)),"")</f>
        <v/>
      </c>
    </row>
    <row r="145">
      <c r="A145" s="43">
        <f>IFERROR(INDEX('الوثائق'!$A$3:$A$502,MATCH(139,'الوثائق'!$K$3:$K$502,0)),"")</f>
        <v/>
      </c>
      <c r="B145" s="43">
        <f>IFERROR(INDEX('الوثائق'!$B$3:$B$502,MATCH(139,'الوثائق'!$K$3:$K$502,0)),"")</f>
        <v/>
      </c>
      <c r="C145" s="43">
        <f>IFERROR(INDEX('الوثائق'!$C$3:$C$502,MATCH(139,'الوثائق'!$K$3:$K$502,0)),"")</f>
        <v/>
      </c>
      <c r="D145" s="43">
        <f>IFERROR(INDEX('الوثائق'!$D$3:$D$502,MATCH(139,'الوثائق'!$K$3:$K$502,0)),"")</f>
        <v/>
      </c>
      <c r="E145" s="118">
        <f>IFERROR(INDEX('الوثائق'!$E$3:$E$502,MATCH(139,'الوثائق'!$K$3:$K$502,0)),"")</f>
        <v/>
      </c>
      <c r="F145" s="118">
        <f>IFERROR(INDEX('الوثائق'!$F$3:$F$502,MATCH(139,'الوثائق'!$K$3:$K$502,0)),"")</f>
        <v/>
      </c>
      <c r="G145" s="43">
        <f>IFERROR(INDEX('الوثائق'!$G$3:$G$502,MATCH(139,'الوثائق'!$K$3:$K$502,0)),"")</f>
        <v/>
      </c>
      <c r="H145" s="44">
        <f>IFERROR(INDEX('الوثائق'!$I$3:$I$502,MATCH(139,'الوثائق'!$K$3:$K$502,0)),"")</f>
        <v/>
      </c>
      <c r="I145" s="43">
        <f>IFERROR(INDEX('الوثائق'!$H$3:$H$502,MATCH(139,'الوثائق'!$K$3:$K$502,0)),"")</f>
        <v/>
      </c>
      <c r="J145" s="43">
        <f>IFERROR(INDEX('الوثائق'!$J$3:$J$502,MATCH(139,'الوثائق'!$K$3:$K$502,0)),"")</f>
        <v/>
      </c>
    </row>
    <row r="146">
      <c r="A146" s="50">
        <f>IFERROR(INDEX('الوثائق'!$A$3:$A$502,MATCH(140,'الوثائق'!$K$3:$K$502,0)),"")</f>
        <v/>
      </c>
      <c r="B146" s="50">
        <f>IFERROR(INDEX('الوثائق'!$B$3:$B$502,MATCH(140,'الوثائق'!$K$3:$K$502,0)),"")</f>
        <v/>
      </c>
      <c r="C146" s="50">
        <f>IFERROR(INDEX('الوثائق'!$C$3:$C$502,MATCH(140,'الوثائق'!$K$3:$K$502,0)),"")</f>
        <v/>
      </c>
      <c r="D146" s="50">
        <f>IFERROR(INDEX('الوثائق'!$D$3:$D$502,MATCH(140,'الوثائق'!$K$3:$K$502,0)),"")</f>
        <v/>
      </c>
      <c r="E146" s="119">
        <f>IFERROR(INDEX('الوثائق'!$E$3:$E$502,MATCH(140,'الوثائق'!$K$3:$K$502,0)),"")</f>
        <v/>
      </c>
      <c r="F146" s="119">
        <f>IFERROR(INDEX('الوثائق'!$F$3:$F$502,MATCH(140,'الوثائق'!$K$3:$K$502,0)),"")</f>
        <v/>
      </c>
      <c r="G146" s="50">
        <f>IFERROR(INDEX('الوثائق'!$G$3:$G$502,MATCH(140,'الوثائق'!$K$3:$K$502,0)),"")</f>
        <v/>
      </c>
      <c r="H146" s="51">
        <f>IFERROR(INDEX('الوثائق'!$I$3:$I$502,MATCH(140,'الوثائق'!$K$3:$K$502,0)),"")</f>
        <v/>
      </c>
      <c r="I146" s="50">
        <f>IFERROR(INDEX('الوثائق'!$H$3:$H$502,MATCH(140,'الوثائق'!$K$3:$K$502,0)),"")</f>
        <v/>
      </c>
      <c r="J146" s="50">
        <f>IFERROR(INDEX('الوثائق'!$J$3:$J$502,MATCH(140,'الوثائق'!$K$3:$K$502,0)),"")</f>
        <v/>
      </c>
    </row>
    <row r="147">
      <c r="A147" s="43">
        <f>IFERROR(INDEX('الوثائق'!$A$3:$A$502,MATCH(141,'الوثائق'!$K$3:$K$502,0)),"")</f>
        <v/>
      </c>
      <c r="B147" s="43">
        <f>IFERROR(INDEX('الوثائق'!$B$3:$B$502,MATCH(141,'الوثائق'!$K$3:$K$502,0)),"")</f>
        <v/>
      </c>
      <c r="C147" s="43">
        <f>IFERROR(INDEX('الوثائق'!$C$3:$C$502,MATCH(141,'الوثائق'!$K$3:$K$502,0)),"")</f>
        <v/>
      </c>
      <c r="D147" s="43">
        <f>IFERROR(INDEX('الوثائق'!$D$3:$D$502,MATCH(141,'الوثائق'!$K$3:$K$502,0)),"")</f>
        <v/>
      </c>
      <c r="E147" s="118">
        <f>IFERROR(INDEX('الوثائق'!$E$3:$E$502,MATCH(141,'الوثائق'!$K$3:$K$502,0)),"")</f>
        <v/>
      </c>
      <c r="F147" s="118">
        <f>IFERROR(INDEX('الوثائق'!$F$3:$F$502,MATCH(141,'الوثائق'!$K$3:$K$502,0)),"")</f>
        <v/>
      </c>
      <c r="G147" s="43">
        <f>IFERROR(INDEX('الوثائق'!$G$3:$G$502,MATCH(141,'الوثائق'!$K$3:$K$502,0)),"")</f>
        <v/>
      </c>
      <c r="H147" s="44">
        <f>IFERROR(INDEX('الوثائق'!$I$3:$I$502,MATCH(141,'الوثائق'!$K$3:$K$502,0)),"")</f>
        <v/>
      </c>
      <c r="I147" s="43">
        <f>IFERROR(INDEX('الوثائق'!$H$3:$H$502,MATCH(141,'الوثائق'!$K$3:$K$502,0)),"")</f>
        <v/>
      </c>
      <c r="J147" s="43">
        <f>IFERROR(INDEX('الوثائق'!$J$3:$J$502,MATCH(141,'الوثائق'!$K$3:$K$502,0)),"")</f>
        <v/>
      </c>
    </row>
    <row r="148">
      <c r="A148" s="50">
        <f>IFERROR(INDEX('الوثائق'!$A$3:$A$502,MATCH(142,'الوثائق'!$K$3:$K$502,0)),"")</f>
        <v/>
      </c>
      <c r="B148" s="50">
        <f>IFERROR(INDEX('الوثائق'!$B$3:$B$502,MATCH(142,'الوثائق'!$K$3:$K$502,0)),"")</f>
        <v/>
      </c>
      <c r="C148" s="50">
        <f>IFERROR(INDEX('الوثائق'!$C$3:$C$502,MATCH(142,'الوثائق'!$K$3:$K$502,0)),"")</f>
        <v/>
      </c>
      <c r="D148" s="50">
        <f>IFERROR(INDEX('الوثائق'!$D$3:$D$502,MATCH(142,'الوثائق'!$K$3:$K$502,0)),"")</f>
        <v/>
      </c>
      <c r="E148" s="119">
        <f>IFERROR(INDEX('الوثائق'!$E$3:$E$502,MATCH(142,'الوثائق'!$K$3:$K$502,0)),"")</f>
        <v/>
      </c>
      <c r="F148" s="119">
        <f>IFERROR(INDEX('الوثائق'!$F$3:$F$502,MATCH(142,'الوثائق'!$K$3:$K$502,0)),"")</f>
        <v/>
      </c>
      <c r="G148" s="50">
        <f>IFERROR(INDEX('الوثائق'!$G$3:$G$502,MATCH(142,'الوثائق'!$K$3:$K$502,0)),"")</f>
        <v/>
      </c>
      <c r="H148" s="51">
        <f>IFERROR(INDEX('الوثائق'!$I$3:$I$502,MATCH(142,'الوثائق'!$K$3:$K$502,0)),"")</f>
        <v/>
      </c>
      <c r="I148" s="50">
        <f>IFERROR(INDEX('الوثائق'!$H$3:$H$502,MATCH(142,'الوثائق'!$K$3:$K$502,0)),"")</f>
        <v/>
      </c>
      <c r="J148" s="50">
        <f>IFERROR(INDEX('الوثائق'!$J$3:$J$502,MATCH(142,'الوثائق'!$K$3:$K$502,0)),"")</f>
        <v/>
      </c>
    </row>
    <row r="149">
      <c r="A149" s="43">
        <f>IFERROR(INDEX('الوثائق'!$A$3:$A$502,MATCH(143,'الوثائق'!$K$3:$K$502,0)),"")</f>
        <v/>
      </c>
      <c r="B149" s="43">
        <f>IFERROR(INDEX('الوثائق'!$B$3:$B$502,MATCH(143,'الوثائق'!$K$3:$K$502,0)),"")</f>
        <v/>
      </c>
      <c r="C149" s="43">
        <f>IFERROR(INDEX('الوثائق'!$C$3:$C$502,MATCH(143,'الوثائق'!$K$3:$K$502,0)),"")</f>
        <v/>
      </c>
      <c r="D149" s="43">
        <f>IFERROR(INDEX('الوثائق'!$D$3:$D$502,MATCH(143,'الوثائق'!$K$3:$K$502,0)),"")</f>
        <v/>
      </c>
      <c r="E149" s="118">
        <f>IFERROR(INDEX('الوثائق'!$E$3:$E$502,MATCH(143,'الوثائق'!$K$3:$K$502,0)),"")</f>
        <v/>
      </c>
      <c r="F149" s="118">
        <f>IFERROR(INDEX('الوثائق'!$F$3:$F$502,MATCH(143,'الوثائق'!$K$3:$K$502,0)),"")</f>
        <v/>
      </c>
      <c r="G149" s="43">
        <f>IFERROR(INDEX('الوثائق'!$G$3:$G$502,MATCH(143,'الوثائق'!$K$3:$K$502,0)),"")</f>
        <v/>
      </c>
      <c r="H149" s="44">
        <f>IFERROR(INDEX('الوثائق'!$I$3:$I$502,MATCH(143,'الوثائق'!$K$3:$K$502,0)),"")</f>
        <v/>
      </c>
      <c r="I149" s="43">
        <f>IFERROR(INDEX('الوثائق'!$H$3:$H$502,MATCH(143,'الوثائق'!$K$3:$K$502,0)),"")</f>
        <v/>
      </c>
      <c r="J149" s="43">
        <f>IFERROR(INDEX('الوثائق'!$J$3:$J$502,MATCH(143,'الوثائق'!$K$3:$K$502,0)),"")</f>
        <v/>
      </c>
    </row>
    <row r="150">
      <c r="A150" s="50">
        <f>IFERROR(INDEX('الوثائق'!$A$3:$A$502,MATCH(144,'الوثائق'!$K$3:$K$502,0)),"")</f>
        <v/>
      </c>
      <c r="B150" s="50">
        <f>IFERROR(INDEX('الوثائق'!$B$3:$B$502,MATCH(144,'الوثائق'!$K$3:$K$502,0)),"")</f>
        <v/>
      </c>
      <c r="C150" s="50">
        <f>IFERROR(INDEX('الوثائق'!$C$3:$C$502,MATCH(144,'الوثائق'!$K$3:$K$502,0)),"")</f>
        <v/>
      </c>
      <c r="D150" s="50">
        <f>IFERROR(INDEX('الوثائق'!$D$3:$D$502,MATCH(144,'الوثائق'!$K$3:$K$502,0)),"")</f>
        <v/>
      </c>
      <c r="E150" s="119">
        <f>IFERROR(INDEX('الوثائق'!$E$3:$E$502,MATCH(144,'الوثائق'!$K$3:$K$502,0)),"")</f>
        <v/>
      </c>
      <c r="F150" s="119">
        <f>IFERROR(INDEX('الوثائق'!$F$3:$F$502,MATCH(144,'الوثائق'!$K$3:$K$502,0)),"")</f>
        <v/>
      </c>
      <c r="G150" s="50">
        <f>IFERROR(INDEX('الوثائق'!$G$3:$G$502,MATCH(144,'الوثائق'!$K$3:$K$502,0)),"")</f>
        <v/>
      </c>
      <c r="H150" s="51">
        <f>IFERROR(INDEX('الوثائق'!$I$3:$I$502,MATCH(144,'الوثائق'!$K$3:$K$502,0)),"")</f>
        <v/>
      </c>
      <c r="I150" s="50">
        <f>IFERROR(INDEX('الوثائق'!$H$3:$H$502,MATCH(144,'الوثائق'!$K$3:$K$502,0)),"")</f>
        <v/>
      </c>
      <c r="J150" s="50">
        <f>IFERROR(INDEX('الوثائق'!$J$3:$J$502,MATCH(144,'الوثائق'!$K$3:$K$502,0)),"")</f>
        <v/>
      </c>
    </row>
    <row r="151">
      <c r="A151" s="43">
        <f>IFERROR(INDEX('الوثائق'!$A$3:$A$502,MATCH(145,'الوثائق'!$K$3:$K$502,0)),"")</f>
        <v/>
      </c>
      <c r="B151" s="43">
        <f>IFERROR(INDEX('الوثائق'!$B$3:$B$502,MATCH(145,'الوثائق'!$K$3:$K$502,0)),"")</f>
        <v/>
      </c>
      <c r="C151" s="43">
        <f>IFERROR(INDEX('الوثائق'!$C$3:$C$502,MATCH(145,'الوثائق'!$K$3:$K$502,0)),"")</f>
        <v/>
      </c>
      <c r="D151" s="43">
        <f>IFERROR(INDEX('الوثائق'!$D$3:$D$502,MATCH(145,'الوثائق'!$K$3:$K$502,0)),"")</f>
        <v/>
      </c>
      <c r="E151" s="118">
        <f>IFERROR(INDEX('الوثائق'!$E$3:$E$502,MATCH(145,'الوثائق'!$K$3:$K$502,0)),"")</f>
        <v/>
      </c>
      <c r="F151" s="118">
        <f>IFERROR(INDEX('الوثائق'!$F$3:$F$502,MATCH(145,'الوثائق'!$K$3:$K$502,0)),"")</f>
        <v/>
      </c>
      <c r="G151" s="43">
        <f>IFERROR(INDEX('الوثائق'!$G$3:$G$502,MATCH(145,'الوثائق'!$K$3:$K$502,0)),"")</f>
        <v/>
      </c>
      <c r="H151" s="44">
        <f>IFERROR(INDEX('الوثائق'!$I$3:$I$502,MATCH(145,'الوثائق'!$K$3:$K$502,0)),"")</f>
        <v/>
      </c>
      <c r="I151" s="43">
        <f>IFERROR(INDEX('الوثائق'!$H$3:$H$502,MATCH(145,'الوثائق'!$K$3:$K$502,0)),"")</f>
        <v/>
      </c>
      <c r="J151" s="43">
        <f>IFERROR(INDEX('الوثائق'!$J$3:$J$502,MATCH(145,'الوثائق'!$K$3:$K$502,0)),"")</f>
        <v/>
      </c>
    </row>
    <row r="152">
      <c r="A152" s="50">
        <f>IFERROR(INDEX('الوثائق'!$A$3:$A$502,MATCH(146,'الوثائق'!$K$3:$K$502,0)),"")</f>
        <v/>
      </c>
      <c r="B152" s="50">
        <f>IFERROR(INDEX('الوثائق'!$B$3:$B$502,MATCH(146,'الوثائق'!$K$3:$K$502,0)),"")</f>
        <v/>
      </c>
      <c r="C152" s="50">
        <f>IFERROR(INDEX('الوثائق'!$C$3:$C$502,MATCH(146,'الوثائق'!$K$3:$K$502,0)),"")</f>
        <v/>
      </c>
      <c r="D152" s="50">
        <f>IFERROR(INDEX('الوثائق'!$D$3:$D$502,MATCH(146,'الوثائق'!$K$3:$K$502,0)),"")</f>
        <v/>
      </c>
      <c r="E152" s="119">
        <f>IFERROR(INDEX('الوثائق'!$E$3:$E$502,MATCH(146,'الوثائق'!$K$3:$K$502,0)),"")</f>
        <v/>
      </c>
      <c r="F152" s="119">
        <f>IFERROR(INDEX('الوثائق'!$F$3:$F$502,MATCH(146,'الوثائق'!$K$3:$K$502,0)),"")</f>
        <v/>
      </c>
      <c r="G152" s="50">
        <f>IFERROR(INDEX('الوثائق'!$G$3:$G$502,MATCH(146,'الوثائق'!$K$3:$K$502,0)),"")</f>
        <v/>
      </c>
      <c r="H152" s="51">
        <f>IFERROR(INDEX('الوثائق'!$I$3:$I$502,MATCH(146,'الوثائق'!$K$3:$K$502,0)),"")</f>
        <v/>
      </c>
      <c r="I152" s="50">
        <f>IFERROR(INDEX('الوثائق'!$H$3:$H$502,MATCH(146,'الوثائق'!$K$3:$K$502,0)),"")</f>
        <v/>
      </c>
      <c r="J152" s="50">
        <f>IFERROR(INDEX('الوثائق'!$J$3:$J$502,MATCH(146,'الوثائق'!$K$3:$K$502,0)),"")</f>
        <v/>
      </c>
    </row>
    <row r="153">
      <c r="A153" s="43">
        <f>IFERROR(INDEX('الوثائق'!$A$3:$A$502,MATCH(147,'الوثائق'!$K$3:$K$502,0)),"")</f>
        <v/>
      </c>
      <c r="B153" s="43">
        <f>IFERROR(INDEX('الوثائق'!$B$3:$B$502,MATCH(147,'الوثائق'!$K$3:$K$502,0)),"")</f>
        <v/>
      </c>
      <c r="C153" s="43">
        <f>IFERROR(INDEX('الوثائق'!$C$3:$C$502,MATCH(147,'الوثائق'!$K$3:$K$502,0)),"")</f>
        <v/>
      </c>
      <c r="D153" s="43">
        <f>IFERROR(INDEX('الوثائق'!$D$3:$D$502,MATCH(147,'الوثائق'!$K$3:$K$502,0)),"")</f>
        <v/>
      </c>
      <c r="E153" s="118">
        <f>IFERROR(INDEX('الوثائق'!$E$3:$E$502,MATCH(147,'الوثائق'!$K$3:$K$502,0)),"")</f>
        <v/>
      </c>
      <c r="F153" s="118">
        <f>IFERROR(INDEX('الوثائق'!$F$3:$F$502,MATCH(147,'الوثائق'!$K$3:$K$502,0)),"")</f>
        <v/>
      </c>
      <c r="G153" s="43">
        <f>IFERROR(INDEX('الوثائق'!$G$3:$G$502,MATCH(147,'الوثائق'!$K$3:$K$502,0)),"")</f>
        <v/>
      </c>
      <c r="H153" s="44">
        <f>IFERROR(INDEX('الوثائق'!$I$3:$I$502,MATCH(147,'الوثائق'!$K$3:$K$502,0)),"")</f>
        <v/>
      </c>
      <c r="I153" s="43">
        <f>IFERROR(INDEX('الوثائق'!$H$3:$H$502,MATCH(147,'الوثائق'!$K$3:$K$502,0)),"")</f>
        <v/>
      </c>
      <c r="J153" s="43">
        <f>IFERROR(INDEX('الوثائق'!$J$3:$J$502,MATCH(147,'الوثائق'!$K$3:$K$502,0)),"")</f>
        <v/>
      </c>
    </row>
    <row r="154">
      <c r="A154" s="50">
        <f>IFERROR(INDEX('الوثائق'!$A$3:$A$502,MATCH(148,'الوثائق'!$K$3:$K$502,0)),"")</f>
        <v/>
      </c>
      <c r="B154" s="50">
        <f>IFERROR(INDEX('الوثائق'!$B$3:$B$502,MATCH(148,'الوثائق'!$K$3:$K$502,0)),"")</f>
        <v/>
      </c>
      <c r="C154" s="50">
        <f>IFERROR(INDEX('الوثائق'!$C$3:$C$502,MATCH(148,'الوثائق'!$K$3:$K$502,0)),"")</f>
        <v/>
      </c>
      <c r="D154" s="50">
        <f>IFERROR(INDEX('الوثائق'!$D$3:$D$502,MATCH(148,'الوثائق'!$K$3:$K$502,0)),"")</f>
        <v/>
      </c>
      <c r="E154" s="119">
        <f>IFERROR(INDEX('الوثائق'!$E$3:$E$502,MATCH(148,'الوثائق'!$K$3:$K$502,0)),"")</f>
        <v/>
      </c>
      <c r="F154" s="119">
        <f>IFERROR(INDEX('الوثائق'!$F$3:$F$502,MATCH(148,'الوثائق'!$K$3:$K$502,0)),"")</f>
        <v/>
      </c>
      <c r="G154" s="50">
        <f>IFERROR(INDEX('الوثائق'!$G$3:$G$502,MATCH(148,'الوثائق'!$K$3:$K$502,0)),"")</f>
        <v/>
      </c>
      <c r="H154" s="51">
        <f>IFERROR(INDEX('الوثائق'!$I$3:$I$502,MATCH(148,'الوثائق'!$K$3:$K$502,0)),"")</f>
        <v/>
      </c>
      <c r="I154" s="50">
        <f>IFERROR(INDEX('الوثائق'!$H$3:$H$502,MATCH(148,'الوثائق'!$K$3:$K$502,0)),"")</f>
        <v/>
      </c>
      <c r="J154" s="50">
        <f>IFERROR(INDEX('الوثائق'!$J$3:$J$502,MATCH(148,'الوثائق'!$K$3:$K$502,0)),"")</f>
        <v/>
      </c>
    </row>
    <row r="155">
      <c r="A155" s="43">
        <f>IFERROR(INDEX('الوثائق'!$A$3:$A$502,MATCH(149,'الوثائق'!$K$3:$K$502,0)),"")</f>
        <v/>
      </c>
      <c r="B155" s="43">
        <f>IFERROR(INDEX('الوثائق'!$B$3:$B$502,MATCH(149,'الوثائق'!$K$3:$K$502,0)),"")</f>
        <v/>
      </c>
      <c r="C155" s="43">
        <f>IFERROR(INDEX('الوثائق'!$C$3:$C$502,MATCH(149,'الوثائق'!$K$3:$K$502,0)),"")</f>
        <v/>
      </c>
      <c r="D155" s="43">
        <f>IFERROR(INDEX('الوثائق'!$D$3:$D$502,MATCH(149,'الوثائق'!$K$3:$K$502,0)),"")</f>
        <v/>
      </c>
      <c r="E155" s="118">
        <f>IFERROR(INDEX('الوثائق'!$E$3:$E$502,MATCH(149,'الوثائق'!$K$3:$K$502,0)),"")</f>
        <v/>
      </c>
      <c r="F155" s="118">
        <f>IFERROR(INDEX('الوثائق'!$F$3:$F$502,MATCH(149,'الوثائق'!$K$3:$K$502,0)),"")</f>
        <v/>
      </c>
      <c r="G155" s="43">
        <f>IFERROR(INDEX('الوثائق'!$G$3:$G$502,MATCH(149,'الوثائق'!$K$3:$K$502,0)),"")</f>
        <v/>
      </c>
      <c r="H155" s="44">
        <f>IFERROR(INDEX('الوثائق'!$I$3:$I$502,MATCH(149,'الوثائق'!$K$3:$K$502,0)),"")</f>
        <v/>
      </c>
      <c r="I155" s="43">
        <f>IFERROR(INDEX('الوثائق'!$H$3:$H$502,MATCH(149,'الوثائق'!$K$3:$K$502,0)),"")</f>
        <v/>
      </c>
      <c r="J155" s="43">
        <f>IFERROR(INDEX('الوثائق'!$J$3:$J$502,MATCH(149,'الوثائق'!$K$3:$K$502,0)),"")</f>
        <v/>
      </c>
    </row>
    <row r="156">
      <c r="A156" s="50">
        <f>IFERROR(INDEX('الوثائق'!$A$3:$A$502,MATCH(150,'الوثائق'!$K$3:$K$502,0)),"")</f>
        <v/>
      </c>
      <c r="B156" s="50">
        <f>IFERROR(INDEX('الوثائق'!$B$3:$B$502,MATCH(150,'الوثائق'!$K$3:$K$502,0)),"")</f>
        <v/>
      </c>
      <c r="C156" s="50">
        <f>IFERROR(INDEX('الوثائق'!$C$3:$C$502,MATCH(150,'الوثائق'!$K$3:$K$502,0)),"")</f>
        <v/>
      </c>
      <c r="D156" s="50">
        <f>IFERROR(INDEX('الوثائق'!$D$3:$D$502,MATCH(150,'الوثائق'!$K$3:$K$502,0)),"")</f>
        <v/>
      </c>
      <c r="E156" s="119">
        <f>IFERROR(INDEX('الوثائق'!$E$3:$E$502,MATCH(150,'الوثائق'!$K$3:$K$502,0)),"")</f>
        <v/>
      </c>
      <c r="F156" s="119">
        <f>IFERROR(INDEX('الوثائق'!$F$3:$F$502,MATCH(150,'الوثائق'!$K$3:$K$502,0)),"")</f>
        <v/>
      </c>
      <c r="G156" s="50">
        <f>IFERROR(INDEX('الوثائق'!$G$3:$G$502,MATCH(150,'الوثائق'!$K$3:$K$502,0)),"")</f>
        <v/>
      </c>
      <c r="H156" s="51">
        <f>IFERROR(INDEX('الوثائق'!$I$3:$I$502,MATCH(150,'الوثائق'!$K$3:$K$502,0)),"")</f>
        <v/>
      </c>
      <c r="I156" s="50">
        <f>IFERROR(INDEX('الوثائق'!$H$3:$H$502,MATCH(150,'الوثائق'!$K$3:$K$502,0)),"")</f>
        <v/>
      </c>
      <c r="J156" s="50">
        <f>IFERROR(INDEX('الوثائق'!$J$3:$J$502,MATCH(150,'الوثائق'!$K$3:$K$502,0)),"")</f>
        <v/>
      </c>
    </row>
    <row r="157">
      <c r="A157" s="43">
        <f>IFERROR(INDEX('الوثائق'!$A$3:$A$502,MATCH(151,'الوثائق'!$K$3:$K$502,0)),"")</f>
        <v/>
      </c>
      <c r="B157" s="43">
        <f>IFERROR(INDEX('الوثائق'!$B$3:$B$502,MATCH(151,'الوثائق'!$K$3:$K$502,0)),"")</f>
        <v/>
      </c>
      <c r="C157" s="43">
        <f>IFERROR(INDEX('الوثائق'!$C$3:$C$502,MATCH(151,'الوثائق'!$K$3:$K$502,0)),"")</f>
        <v/>
      </c>
      <c r="D157" s="43">
        <f>IFERROR(INDEX('الوثائق'!$D$3:$D$502,MATCH(151,'الوثائق'!$K$3:$K$502,0)),"")</f>
        <v/>
      </c>
      <c r="E157" s="118">
        <f>IFERROR(INDEX('الوثائق'!$E$3:$E$502,MATCH(151,'الوثائق'!$K$3:$K$502,0)),"")</f>
        <v/>
      </c>
      <c r="F157" s="118">
        <f>IFERROR(INDEX('الوثائق'!$F$3:$F$502,MATCH(151,'الوثائق'!$K$3:$K$502,0)),"")</f>
        <v/>
      </c>
      <c r="G157" s="43">
        <f>IFERROR(INDEX('الوثائق'!$G$3:$G$502,MATCH(151,'الوثائق'!$K$3:$K$502,0)),"")</f>
        <v/>
      </c>
      <c r="H157" s="44">
        <f>IFERROR(INDEX('الوثائق'!$I$3:$I$502,MATCH(151,'الوثائق'!$K$3:$K$502,0)),"")</f>
        <v/>
      </c>
      <c r="I157" s="43">
        <f>IFERROR(INDEX('الوثائق'!$H$3:$H$502,MATCH(151,'الوثائق'!$K$3:$K$502,0)),"")</f>
        <v/>
      </c>
      <c r="J157" s="43">
        <f>IFERROR(INDEX('الوثائق'!$J$3:$J$502,MATCH(151,'الوثائق'!$K$3:$K$502,0)),"")</f>
        <v/>
      </c>
    </row>
    <row r="158">
      <c r="A158" s="50">
        <f>IFERROR(INDEX('الوثائق'!$A$3:$A$502,MATCH(152,'الوثائق'!$K$3:$K$502,0)),"")</f>
        <v/>
      </c>
      <c r="B158" s="50">
        <f>IFERROR(INDEX('الوثائق'!$B$3:$B$502,MATCH(152,'الوثائق'!$K$3:$K$502,0)),"")</f>
        <v/>
      </c>
      <c r="C158" s="50">
        <f>IFERROR(INDEX('الوثائق'!$C$3:$C$502,MATCH(152,'الوثائق'!$K$3:$K$502,0)),"")</f>
        <v/>
      </c>
      <c r="D158" s="50">
        <f>IFERROR(INDEX('الوثائق'!$D$3:$D$502,MATCH(152,'الوثائق'!$K$3:$K$502,0)),"")</f>
        <v/>
      </c>
      <c r="E158" s="119">
        <f>IFERROR(INDEX('الوثائق'!$E$3:$E$502,MATCH(152,'الوثائق'!$K$3:$K$502,0)),"")</f>
        <v/>
      </c>
      <c r="F158" s="119">
        <f>IFERROR(INDEX('الوثائق'!$F$3:$F$502,MATCH(152,'الوثائق'!$K$3:$K$502,0)),"")</f>
        <v/>
      </c>
      <c r="G158" s="50">
        <f>IFERROR(INDEX('الوثائق'!$G$3:$G$502,MATCH(152,'الوثائق'!$K$3:$K$502,0)),"")</f>
        <v/>
      </c>
      <c r="H158" s="51">
        <f>IFERROR(INDEX('الوثائق'!$I$3:$I$502,MATCH(152,'الوثائق'!$K$3:$K$502,0)),"")</f>
        <v/>
      </c>
      <c r="I158" s="50">
        <f>IFERROR(INDEX('الوثائق'!$H$3:$H$502,MATCH(152,'الوثائق'!$K$3:$K$502,0)),"")</f>
        <v/>
      </c>
      <c r="J158" s="50">
        <f>IFERROR(INDEX('الوثائق'!$J$3:$J$502,MATCH(152,'الوثائق'!$K$3:$K$502,0)),"")</f>
        <v/>
      </c>
    </row>
    <row r="159">
      <c r="A159" s="43">
        <f>IFERROR(INDEX('الوثائق'!$A$3:$A$502,MATCH(153,'الوثائق'!$K$3:$K$502,0)),"")</f>
        <v/>
      </c>
      <c r="B159" s="43">
        <f>IFERROR(INDEX('الوثائق'!$B$3:$B$502,MATCH(153,'الوثائق'!$K$3:$K$502,0)),"")</f>
        <v/>
      </c>
      <c r="C159" s="43">
        <f>IFERROR(INDEX('الوثائق'!$C$3:$C$502,MATCH(153,'الوثائق'!$K$3:$K$502,0)),"")</f>
        <v/>
      </c>
      <c r="D159" s="43">
        <f>IFERROR(INDEX('الوثائق'!$D$3:$D$502,MATCH(153,'الوثائق'!$K$3:$K$502,0)),"")</f>
        <v/>
      </c>
      <c r="E159" s="118">
        <f>IFERROR(INDEX('الوثائق'!$E$3:$E$502,MATCH(153,'الوثائق'!$K$3:$K$502,0)),"")</f>
        <v/>
      </c>
      <c r="F159" s="118">
        <f>IFERROR(INDEX('الوثائق'!$F$3:$F$502,MATCH(153,'الوثائق'!$K$3:$K$502,0)),"")</f>
        <v/>
      </c>
      <c r="G159" s="43">
        <f>IFERROR(INDEX('الوثائق'!$G$3:$G$502,MATCH(153,'الوثائق'!$K$3:$K$502,0)),"")</f>
        <v/>
      </c>
      <c r="H159" s="44">
        <f>IFERROR(INDEX('الوثائق'!$I$3:$I$502,MATCH(153,'الوثائق'!$K$3:$K$502,0)),"")</f>
        <v/>
      </c>
      <c r="I159" s="43">
        <f>IFERROR(INDEX('الوثائق'!$H$3:$H$502,MATCH(153,'الوثائق'!$K$3:$K$502,0)),"")</f>
        <v/>
      </c>
      <c r="J159" s="43">
        <f>IFERROR(INDEX('الوثائق'!$J$3:$J$502,MATCH(153,'الوثائق'!$K$3:$K$502,0)),"")</f>
        <v/>
      </c>
    </row>
    <row r="160">
      <c r="A160" s="50">
        <f>IFERROR(INDEX('الوثائق'!$A$3:$A$502,MATCH(154,'الوثائق'!$K$3:$K$502,0)),"")</f>
        <v/>
      </c>
      <c r="B160" s="50">
        <f>IFERROR(INDEX('الوثائق'!$B$3:$B$502,MATCH(154,'الوثائق'!$K$3:$K$502,0)),"")</f>
        <v/>
      </c>
      <c r="C160" s="50">
        <f>IFERROR(INDEX('الوثائق'!$C$3:$C$502,MATCH(154,'الوثائق'!$K$3:$K$502,0)),"")</f>
        <v/>
      </c>
      <c r="D160" s="50">
        <f>IFERROR(INDEX('الوثائق'!$D$3:$D$502,MATCH(154,'الوثائق'!$K$3:$K$502,0)),"")</f>
        <v/>
      </c>
      <c r="E160" s="119">
        <f>IFERROR(INDEX('الوثائق'!$E$3:$E$502,MATCH(154,'الوثائق'!$K$3:$K$502,0)),"")</f>
        <v/>
      </c>
      <c r="F160" s="119">
        <f>IFERROR(INDEX('الوثائق'!$F$3:$F$502,MATCH(154,'الوثائق'!$K$3:$K$502,0)),"")</f>
        <v/>
      </c>
      <c r="G160" s="50">
        <f>IFERROR(INDEX('الوثائق'!$G$3:$G$502,MATCH(154,'الوثائق'!$K$3:$K$502,0)),"")</f>
        <v/>
      </c>
      <c r="H160" s="51">
        <f>IFERROR(INDEX('الوثائق'!$I$3:$I$502,MATCH(154,'الوثائق'!$K$3:$K$502,0)),"")</f>
        <v/>
      </c>
      <c r="I160" s="50">
        <f>IFERROR(INDEX('الوثائق'!$H$3:$H$502,MATCH(154,'الوثائق'!$K$3:$K$502,0)),"")</f>
        <v/>
      </c>
      <c r="J160" s="50">
        <f>IFERROR(INDEX('الوثائق'!$J$3:$J$502,MATCH(154,'الوثائق'!$K$3:$K$502,0)),"")</f>
        <v/>
      </c>
    </row>
    <row r="161">
      <c r="A161" s="43">
        <f>IFERROR(INDEX('الوثائق'!$A$3:$A$502,MATCH(155,'الوثائق'!$K$3:$K$502,0)),"")</f>
        <v/>
      </c>
      <c r="B161" s="43">
        <f>IFERROR(INDEX('الوثائق'!$B$3:$B$502,MATCH(155,'الوثائق'!$K$3:$K$502,0)),"")</f>
        <v/>
      </c>
      <c r="C161" s="43">
        <f>IFERROR(INDEX('الوثائق'!$C$3:$C$502,MATCH(155,'الوثائق'!$K$3:$K$502,0)),"")</f>
        <v/>
      </c>
      <c r="D161" s="43">
        <f>IFERROR(INDEX('الوثائق'!$D$3:$D$502,MATCH(155,'الوثائق'!$K$3:$K$502,0)),"")</f>
        <v/>
      </c>
      <c r="E161" s="118">
        <f>IFERROR(INDEX('الوثائق'!$E$3:$E$502,MATCH(155,'الوثائق'!$K$3:$K$502,0)),"")</f>
        <v/>
      </c>
      <c r="F161" s="118">
        <f>IFERROR(INDEX('الوثائق'!$F$3:$F$502,MATCH(155,'الوثائق'!$K$3:$K$502,0)),"")</f>
        <v/>
      </c>
      <c r="G161" s="43">
        <f>IFERROR(INDEX('الوثائق'!$G$3:$G$502,MATCH(155,'الوثائق'!$K$3:$K$502,0)),"")</f>
        <v/>
      </c>
      <c r="H161" s="44">
        <f>IFERROR(INDEX('الوثائق'!$I$3:$I$502,MATCH(155,'الوثائق'!$K$3:$K$502,0)),"")</f>
        <v/>
      </c>
      <c r="I161" s="43">
        <f>IFERROR(INDEX('الوثائق'!$H$3:$H$502,MATCH(155,'الوثائق'!$K$3:$K$502,0)),"")</f>
        <v/>
      </c>
      <c r="J161" s="43">
        <f>IFERROR(INDEX('الوثائق'!$J$3:$J$502,MATCH(155,'الوثائق'!$K$3:$K$502,0)),"")</f>
        <v/>
      </c>
    </row>
    <row r="162">
      <c r="A162" s="50">
        <f>IFERROR(INDEX('الوثائق'!$A$3:$A$502,MATCH(156,'الوثائق'!$K$3:$K$502,0)),"")</f>
        <v/>
      </c>
      <c r="B162" s="50">
        <f>IFERROR(INDEX('الوثائق'!$B$3:$B$502,MATCH(156,'الوثائق'!$K$3:$K$502,0)),"")</f>
        <v/>
      </c>
      <c r="C162" s="50">
        <f>IFERROR(INDEX('الوثائق'!$C$3:$C$502,MATCH(156,'الوثائق'!$K$3:$K$502,0)),"")</f>
        <v/>
      </c>
      <c r="D162" s="50">
        <f>IFERROR(INDEX('الوثائق'!$D$3:$D$502,MATCH(156,'الوثائق'!$K$3:$K$502,0)),"")</f>
        <v/>
      </c>
      <c r="E162" s="119">
        <f>IFERROR(INDEX('الوثائق'!$E$3:$E$502,MATCH(156,'الوثائق'!$K$3:$K$502,0)),"")</f>
        <v/>
      </c>
      <c r="F162" s="119">
        <f>IFERROR(INDEX('الوثائق'!$F$3:$F$502,MATCH(156,'الوثائق'!$K$3:$K$502,0)),"")</f>
        <v/>
      </c>
      <c r="G162" s="50">
        <f>IFERROR(INDEX('الوثائق'!$G$3:$G$502,MATCH(156,'الوثائق'!$K$3:$K$502,0)),"")</f>
        <v/>
      </c>
      <c r="H162" s="51">
        <f>IFERROR(INDEX('الوثائق'!$I$3:$I$502,MATCH(156,'الوثائق'!$K$3:$K$502,0)),"")</f>
        <v/>
      </c>
      <c r="I162" s="50">
        <f>IFERROR(INDEX('الوثائق'!$H$3:$H$502,MATCH(156,'الوثائق'!$K$3:$K$502,0)),"")</f>
        <v/>
      </c>
      <c r="J162" s="50">
        <f>IFERROR(INDEX('الوثائق'!$J$3:$J$502,MATCH(156,'الوثائق'!$K$3:$K$502,0)),"")</f>
        <v/>
      </c>
    </row>
    <row r="163">
      <c r="A163" s="43">
        <f>IFERROR(INDEX('الوثائق'!$A$3:$A$502,MATCH(157,'الوثائق'!$K$3:$K$502,0)),"")</f>
        <v/>
      </c>
      <c r="B163" s="43">
        <f>IFERROR(INDEX('الوثائق'!$B$3:$B$502,MATCH(157,'الوثائق'!$K$3:$K$502,0)),"")</f>
        <v/>
      </c>
      <c r="C163" s="43">
        <f>IFERROR(INDEX('الوثائق'!$C$3:$C$502,MATCH(157,'الوثائق'!$K$3:$K$502,0)),"")</f>
        <v/>
      </c>
      <c r="D163" s="43">
        <f>IFERROR(INDEX('الوثائق'!$D$3:$D$502,MATCH(157,'الوثائق'!$K$3:$K$502,0)),"")</f>
        <v/>
      </c>
      <c r="E163" s="118">
        <f>IFERROR(INDEX('الوثائق'!$E$3:$E$502,MATCH(157,'الوثائق'!$K$3:$K$502,0)),"")</f>
        <v/>
      </c>
      <c r="F163" s="118">
        <f>IFERROR(INDEX('الوثائق'!$F$3:$F$502,MATCH(157,'الوثائق'!$K$3:$K$502,0)),"")</f>
        <v/>
      </c>
      <c r="G163" s="43">
        <f>IFERROR(INDEX('الوثائق'!$G$3:$G$502,MATCH(157,'الوثائق'!$K$3:$K$502,0)),"")</f>
        <v/>
      </c>
      <c r="H163" s="44">
        <f>IFERROR(INDEX('الوثائق'!$I$3:$I$502,MATCH(157,'الوثائق'!$K$3:$K$502,0)),"")</f>
        <v/>
      </c>
      <c r="I163" s="43">
        <f>IFERROR(INDEX('الوثائق'!$H$3:$H$502,MATCH(157,'الوثائق'!$K$3:$K$502,0)),"")</f>
        <v/>
      </c>
      <c r="J163" s="43">
        <f>IFERROR(INDEX('الوثائق'!$J$3:$J$502,MATCH(157,'الوثائق'!$K$3:$K$502,0)),"")</f>
        <v/>
      </c>
    </row>
    <row r="164">
      <c r="A164" s="50">
        <f>IFERROR(INDEX('الوثائق'!$A$3:$A$502,MATCH(158,'الوثائق'!$K$3:$K$502,0)),"")</f>
        <v/>
      </c>
      <c r="B164" s="50">
        <f>IFERROR(INDEX('الوثائق'!$B$3:$B$502,MATCH(158,'الوثائق'!$K$3:$K$502,0)),"")</f>
        <v/>
      </c>
      <c r="C164" s="50">
        <f>IFERROR(INDEX('الوثائق'!$C$3:$C$502,MATCH(158,'الوثائق'!$K$3:$K$502,0)),"")</f>
        <v/>
      </c>
      <c r="D164" s="50">
        <f>IFERROR(INDEX('الوثائق'!$D$3:$D$502,MATCH(158,'الوثائق'!$K$3:$K$502,0)),"")</f>
        <v/>
      </c>
      <c r="E164" s="119">
        <f>IFERROR(INDEX('الوثائق'!$E$3:$E$502,MATCH(158,'الوثائق'!$K$3:$K$502,0)),"")</f>
        <v/>
      </c>
      <c r="F164" s="119">
        <f>IFERROR(INDEX('الوثائق'!$F$3:$F$502,MATCH(158,'الوثائق'!$K$3:$K$502,0)),"")</f>
        <v/>
      </c>
      <c r="G164" s="50">
        <f>IFERROR(INDEX('الوثائق'!$G$3:$G$502,MATCH(158,'الوثائق'!$K$3:$K$502,0)),"")</f>
        <v/>
      </c>
      <c r="H164" s="51">
        <f>IFERROR(INDEX('الوثائق'!$I$3:$I$502,MATCH(158,'الوثائق'!$K$3:$K$502,0)),"")</f>
        <v/>
      </c>
      <c r="I164" s="50">
        <f>IFERROR(INDEX('الوثائق'!$H$3:$H$502,MATCH(158,'الوثائق'!$K$3:$K$502,0)),"")</f>
        <v/>
      </c>
      <c r="J164" s="50">
        <f>IFERROR(INDEX('الوثائق'!$J$3:$J$502,MATCH(158,'الوثائق'!$K$3:$K$502,0)),"")</f>
        <v/>
      </c>
    </row>
    <row r="165">
      <c r="A165" s="43">
        <f>IFERROR(INDEX('الوثائق'!$A$3:$A$502,MATCH(159,'الوثائق'!$K$3:$K$502,0)),"")</f>
        <v/>
      </c>
      <c r="B165" s="43">
        <f>IFERROR(INDEX('الوثائق'!$B$3:$B$502,MATCH(159,'الوثائق'!$K$3:$K$502,0)),"")</f>
        <v/>
      </c>
      <c r="C165" s="43">
        <f>IFERROR(INDEX('الوثائق'!$C$3:$C$502,MATCH(159,'الوثائق'!$K$3:$K$502,0)),"")</f>
        <v/>
      </c>
      <c r="D165" s="43">
        <f>IFERROR(INDEX('الوثائق'!$D$3:$D$502,MATCH(159,'الوثائق'!$K$3:$K$502,0)),"")</f>
        <v/>
      </c>
      <c r="E165" s="118">
        <f>IFERROR(INDEX('الوثائق'!$E$3:$E$502,MATCH(159,'الوثائق'!$K$3:$K$502,0)),"")</f>
        <v/>
      </c>
      <c r="F165" s="118">
        <f>IFERROR(INDEX('الوثائق'!$F$3:$F$502,MATCH(159,'الوثائق'!$K$3:$K$502,0)),"")</f>
        <v/>
      </c>
      <c r="G165" s="43">
        <f>IFERROR(INDEX('الوثائق'!$G$3:$G$502,MATCH(159,'الوثائق'!$K$3:$K$502,0)),"")</f>
        <v/>
      </c>
      <c r="H165" s="44">
        <f>IFERROR(INDEX('الوثائق'!$I$3:$I$502,MATCH(159,'الوثائق'!$K$3:$K$502,0)),"")</f>
        <v/>
      </c>
      <c r="I165" s="43">
        <f>IFERROR(INDEX('الوثائق'!$H$3:$H$502,MATCH(159,'الوثائق'!$K$3:$K$502,0)),"")</f>
        <v/>
      </c>
      <c r="J165" s="43">
        <f>IFERROR(INDEX('الوثائق'!$J$3:$J$502,MATCH(159,'الوثائق'!$K$3:$K$502,0)),"")</f>
        <v/>
      </c>
    </row>
    <row r="166">
      <c r="A166" s="50">
        <f>IFERROR(INDEX('الوثائق'!$A$3:$A$502,MATCH(160,'الوثائق'!$K$3:$K$502,0)),"")</f>
        <v/>
      </c>
      <c r="B166" s="50">
        <f>IFERROR(INDEX('الوثائق'!$B$3:$B$502,MATCH(160,'الوثائق'!$K$3:$K$502,0)),"")</f>
        <v/>
      </c>
      <c r="C166" s="50">
        <f>IFERROR(INDEX('الوثائق'!$C$3:$C$502,MATCH(160,'الوثائق'!$K$3:$K$502,0)),"")</f>
        <v/>
      </c>
      <c r="D166" s="50">
        <f>IFERROR(INDEX('الوثائق'!$D$3:$D$502,MATCH(160,'الوثائق'!$K$3:$K$502,0)),"")</f>
        <v/>
      </c>
      <c r="E166" s="119">
        <f>IFERROR(INDEX('الوثائق'!$E$3:$E$502,MATCH(160,'الوثائق'!$K$3:$K$502,0)),"")</f>
        <v/>
      </c>
      <c r="F166" s="119">
        <f>IFERROR(INDEX('الوثائق'!$F$3:$F$502,MATCH(160,'الوثائق'!$K$3:$K$502,0)),"")</f>
        <v/>
      </c>
      <c r="G166" s="50">
        <f>IFERROR(INDEX('الوثائق'!$G$3:$G$502,MATCH(160,'الوثائق'!$K$3:$K$502,0)),"")</f>
        <v/>
      </c>
      <c r="H166" s="51">
        <f>IFERROR(INDEX('الوثائق'!$I$3:$I$502,MATCH(160,'الوثائق'!$K$3:$K$502,0)),"")</f>
        <v/>
      </c>
      <c r="I166" s="50">
        <f>IFERROR(INDEX('الوثائق'!$H$3:$H$502,MATCH(160,'الوثائق'!$K$3:$K$502,0)),"")</f>
        <v/>
      </c>
      <c r="J166" s="50">
        <f>IFERROR(INDEX('الوثائق'!$J$3:$J$502,MATCH(160,'الوثائق'!$K$3:$K$502,0)),"")</f>
        <v/>
      </c>
    </row>
    <row r="167">
      <c r="A167" s="43">
        <f>IFERROR(INDEX('الوثائق'!$A$3:$A$502,MATCH(161,'الوثائق'!$K$3:$K$502,0)),"")</f>
        <v/>
      </c>
      <c r="B167" s="43">
        <f>IFERROR(INDEX('الوثائق'!$B$3:$B$502,MATCH(161,'الوثائق'!$K$3:$K$502,0)),"")</f>
        <v/>
      </c>
      <c r="C167" s="43">
        <f>IFERROR(INDEX('الوثائق'!$C$3:$C$502,MATCH(161,'الوثائق'!$K$3:$K$502,0)),"")</f>
        <v/>
      </c>
      <c r="D167" s="43">
        <f>IFERROR(INDEX('الوثائق'!$D$3:$D$502,MATCH(161,'الوثائق'!$K$3:$K$502,0)),"")</f>
        <v/>
      </c>
      <c r="E167" s="118">
        <f>IFERROR(INDEX('الوثائق'!$E$3:$E$502,MATCH(161,'الوثائق'!$K$3:$K$502,0)),"")</f>
        <v/>
      </c>
      <c r="F167" s="118">
        <f>IFERROR(INDEX('الوثائق'!$F$3:$F$502,MATCH(161,'الوثائق'!$K$3:$K$502,0)),"")</f>
        <v/>
      </c>
      <c r="G167" s="43">
        <f>IFERROR(INDEX('الوثائق'!$G$3:$G$502,MATCH(161,'الوثائق'!$K$3:$K$502,0)),"")</f>
        <v/>
      </c>
      <c r="H167" s="44">
        <f>IFERROR(INDEX('الوثائق'!$I$3:$I$502,MATCH(161,'الوثائق'!$K$3:$K$502,0)),"")</f>
        <v/>
      </c>
      <c r="I167" s="43">
        <f>IFERROR(INDEX('الوثائق'!$H$3:$H$502,MATCH(161,'الوثائق'!$K$3:$K$502,0)),"")</f>
        <v/>
      </c>
      <c r="J167" s="43">
        <f>IFERROR(INDEX('الوثائق'!$J$3:$J$502,MATCH(161,'الوثائق'!$K$3:$K$502,0)),"")</f>
        <v/>
      </c>
    </row>
    <row r="168">
      <c r="A168" s="50">
        <f>IFERROR(INDEX('الوثائق'!$A$3:$A$502,MATCH(162,'الوثائق'!$K$3:$K$502,0)),"")</f>
        <v/>
      </c>
      <c r="B168" s="50">
        <f>IFERROR(INDEX('الوثائق'!$B$3:$B$502,MATCH(162,'الوثائق'!$K$3:$K$502,0)),"")</f>
        <v/>
      </c>
      <c r="C168" s="50">
        <f>IFERROR(INDEX('الوثائق'!$C$3:$C$502,MATCH(162,'الوثائق'!$K$3:$K$502,0)),"")</f>
        <v/>
      </c>
      <c r="D168" s="50">
        <f>IFERROR(INDEX('الوثائق'!$D$3:$D$502,MATCH(162,'الوثائق'!$K$3:$K$502,0)),"")</f>
        <v/>
      </c>
      <c r="E168" s="119">
        <f>IFERROR(INDEX('الوثائق'!$E$3:$E$502,MATCH(162,'الوثائق'!$K$3:$K$502,0)),"")</f>
        <v/>
      </c>
      <c r="F168" s="119">
        <f>IFERROR(INDEX('الوثائق'!$F$3:$F$502,MATCH(162,'الوثائق'!$K$3:$K$502,0)),"")</f>
        <v/>
      </c>
      <c r="G168" s="50">
        <f>IFERROR(INDEX('الوثائق'!$G$3:$G$502,MATCH(162,'الوثائق'!$K$3:$K$502,0)),"")</f>
        <v/>
      </c>
      <c r="H168" s="51">
        <f>IFERROR(INDEX('الوثائق'!$I$3:$I$502,MATCH(162,'الوثائق'!$K$3:$K$502,0)),"")</f>
        <v/>
      </c>
      <c r="I168" s="50">
        <f>IFERROR(INDEX('الوثائق'!$H$3:$H$502,MATCH(162,'الوثائق'!$K$3:$K$502,0)),"")</f>
        <v/>
      </c>
      <c r="J168" s="50">
        <f>IFERROR(INDEX('الوثائق'!$J$3:$J$502,MATCH(162,'الوثائق'!$K$3:$K$502,0)),"")</f>
        <v/>
      </c>
    </row>
    <row r="169">
      <c r="A169" s="43">
        <f>IFERROR(INDEX('الوثائق'!$A$3:$A$502,MATCH(163,'الوثائق'!$K$3:$K$502,0)),"")</f>
        <v/>
      </c>
      <c r="B169" s="43">
        <f>IFERROR(INDEX('الوثائق'!$B$3:$B$502,MATCH(163,'الوثائق'!$K$3:$K$502,0)),"")</f>
        <v/>
      </c>
      <c r="C169" s="43">
        <f>IFERROR(INDEX('الوثائق'!$C$3:$C$502,MATCH(163,'الوثائق'!$K$3:$K$502,0)),"")</f>
        <v/>
      </c>
      <c r="D169" s="43">
        <f>IFERROR(INDEX('الوثائق'!$D$3:$D$502,MATCH(163,'الوثائق'!$K$3:$K$502,0)),"")</f>
        <v/>
      </c>
      <c r="E169" s="118">
        <f>IFERROR(INDEX('الوثائق'!$E$3:$E$502,MATCH(163,'الوثائق'!$K$3:$K$502,0)),"")</f>
        <v/>
      </c>
      <c r="F169" s="118">
        <f>IFERROR(INDEX('الوثائق'!$F$3:$F$502,MATCH(163,'الوثائق'!$K$3:$K$502,0)),"")</f>
        <v/>
      </c>
      <c r="G169" s="43">
        <f>IFERROR(INDEX('الوثائق'!$G$3:$G$502,MATCH(163,'الوثائق'!$K$3:$K$502,0)),"")</f>
        <v/>
      </c>
      <c r="H169" s="44">
        <f>IFERROR(INDEX('الوثائق'!$I$3:$I$502,MATCH(163,'الوثائق'!$K$3:$K$502,0)),"")</f>
        <v/>
      </c>
      <c r="I169" s="43">
        <f>IFERROR(INDEX('الوثائق'!$H$3:$H$502,MATCH(163,'الوثائق'!$K$3:$K$502,0)),"")</f>
        <v/>
      </c>
      <c r="J169" s="43">
        <f>IFERROR(INDEX('الوثائق'!$J$3:$J$502,MATCH(163,'الوثائق'!$K$3:$K$502,0)),"")</f>
        <v/>
      </c>
    </row>
    <row r="170">
      <c r="A170" s="50">
        <f>IFERROR(INDEX('الوثائق'!$A$3:$A$502,MATCH(164,'الوثائق'!$K$3:$K$502,0)),"")</f>
        <v/>
      </c>
      <c r="B170" s="50">
        <f>IFERROR(INDEX('الوثائق'!$B$3:$B$502,MATCH(164,'الوثائق'!$K$3:$K$502,0)),"")</f>
        <v/>
      </c>
      <c r="C170" s="50">
        <f>IFERROR(INDEX('الوثائق'!$C$3:$C$502,MATCH(164,'الوثائق'!$K$3:$K$502,0)),"")</f>
        <v/>
      </c>
      <c r="D170" s="50">
        <f>IFERROR(INDEX('الوثائق'!$D$3:$D$502,MATCH(164,'الوثائق'!$K$3:$K$502,0)),"")</f>
        <v/>
      </c>
      <c r="E170" s="119">
        <f>IFERROR(INDEX('الوثائق'!$E$3:$E$502,MATCH(164,'الوثائق'!$K$3:$K$502,0)),"")</f>
        <v/>
      </c>
      <c r="F170" s="119">
        <f>IFERROR(INDEX('الوثائق'!$F$3:$F$502,MATCH(164,'الوثائق'!$K$3:$K$502,0)),"")</f>
        <v/>
      </c>
      <c r="G170" s="50">
        <f>IFERROR(INDEX('الوثائق'!$G$3:$G$502,MATCH(164,'الوثائق'!$K$3:$K$502,0)),"")</f>
        <v/>
      </c>
      <c r="H170" s="51">
        <f>IFERROR(INDEX('الوثائق'!$I$3:$I$502,MATCH(164,'الوثائق'!$K$3:$K$502,0)),"")</f>
        <v/>
      </c>
      <c r="I170" s="50">
        <f>IFERROR(INDEX('الوثائق'!$H$3:$H$502,MATCH(164,'الوثائق'!$K$3:$K$502,0)),"")</f>
        <v/>
      </c>
      <c r="J170" s="50">
        <f>IFERROR(INDEX('الوثائق'!$J$3:$J$502,MATCH(164,'الوثائق'!$K$3:$K$502,0)),"")</f>
        <v/>
      </c>
    </row>
    <row r="171">
      <c r="A171" s="43">
        <f>IFERROR(INDEX('الوثائق'!$A$3:$A$502,MATCH(165,'الوثائق'!$K$3:$K$502,0)),"")</f>
        <v/>
      </c>
      <c r="B171" s="43">
        <f>IFERROR(INDEX('الوثائق'!$B$3:$B$502,MATCH(165,'الوثائق'!$K$3:$K$502,0)),"")</f>
        <v/>
      </c>
      <c r="C171" s="43">
        <f>IFERROR(INDEX('الوثائق'!$C$3:$C$502,MATCH(165,'الوثائق'!$K$3:$K$502,0)),"")</f>
        <v/>
      </c>
      <c r="D171" s="43">
        <f>IFERROR(INDEX('الوثائق'!$D$3:$D$502,MATCH(165,'الوثائق'!$K$3:$K$502,0)),"")</f>
        <v/>
      </c>
      <c r="E171" s="118">
        <f>IFERROR(INDEX('الوثائق'!$E$3:$E$502,MATCH(165,'الوثائق'!$K$3:$K$502,0)),"")</f>
        <v/>
      </c>
      <c r="F171" s="118">
        <f>IFERROR(INDEX('الوثائق'!$F$3:$F$502,MATCH(165,'الوثائق'!$K$3:$K$502,0)),"")</f>
        <v/>
      </c>
      <c r="G171" s="43">
        <f>IFERROR(INDEX('الوثائق'!$G$3:$G$502,MATCH(165,'الوثائق'!$K$3:$K$502,0)),"")</f>
        <v/>
      </c>
      <c r="H171" s="44">
        <f>IFERROR(INDEX('الوثائق'!$I$3:$I$502,MATCH(165,'الوثائق'!$K$3:$K$502,0)),"")</f>
        <v/>
      </c>
      <c r="I171" s="43">
        <f>IFERROR(INDEX('الوثائق'!$H$3:$H$502,MATCH(165,'الوثائق'!$K$3:$K$502,0)),"")</f>
        <v/>
      </c>
      <c r="J171" s="43">
        <f>IFERROR(INDEX('الوثائق'!$J$3:$J$502,MATCH(165,'الوثائق'!$K$3:$K$502,0)),"")</f>
        <v/>
      </c>
    </row>
    <row r="172">
      <c r="A172" s="50">
        <f>IFERROR(INDEX('الوثائق'!$A$3:$A$502,MATCH(166,'الوثائق'!$K$3:$K$502,0)),"")</f>
        <v/>
      </c>
      <c r="B172" s="50">
        <f>IFERROR(INDEX('الوثائق'!$B$3:$B$502,MATCH(166,'الوثائق'!$K$3:$K$502,0)),"")</f>
        <v/>
      </c>
      <c r="C172" s="50">
        <f>IFERROR(INDEX('الوثائق'!$C$3:$C$502,MATCH(166,'الوثائق'!$K$3:$K$502,0)),"")</f>
        <v/>
      </c>
      <c r="D172" s="50">
        <f>IFERROR(INDEX('الوثائق'!$D$3:$D$502,MATCH(166,'الوثائق'!$K$3:$K$502,0)),"")</f>
        <v/>
      </c>
      <c r="E172" s="119">
        <f>IFERROR(INDEX('الوثائق'!$E$3:$E$502,MATCH(166,'الوثائق'!$K$3:$K$502,0)),"")</f>
        <v/>
      </c>
      <c r="F172" s="119">
        <f>IFERROR(INDEX('الوثائق'!$F$3:$F$502,MATCH(166,'الوثائق'!$K$3:$K$502,0)),"")</f>
        <v/>
      </c>
      <c r="G172" s="50">
        <f>IFERROR(INDEX('الوثائق'!$G$3:$G$502,MATCH(166,'الوثائق'!$K$3:$K$502,0)),"")</f>
        <v/>
      </c>
      <c r="H172" s="51">
        <f>IFERROR(INDEX('الوثائق'!$I$3:$I$502,MATCH(166,'الوثائق'!$K$3:$K$502,0)),"")</f>
        <v/>
      </c>
      <c r="I172" s="50">
        <f>IFERROR(INDEX('الوثائق'!$H$3:$H$502,MATCH(166,'الوثائق'!$K$3:$K$502,0)),"")</f>
        <v/>
      </c>
      <c r="J172" s="50">
        <f>IFERROR(INDEX('الوثائق'!$J$3:$J$502,MATCH(166,'الوثائق'!$K$3:$K$502,0)),"")</f>
        <v/>
      </c>
    </row>
    <row r="173">
      <c r="A173" s="43">
        <f>IFERROR(INDEX('الوثائق'!$A$3:$A$502,MATCH(167,'الوثائق'!$K$3:$K$502,0)),"")</f>
        <v/>
      </c>
      <c r="B173" s="43">
        <f>IFERROR(INDEX('الوثائق'!$B$3:$B$502,MATCH(167,'الوثائق'!$K$3:$K$502,0)),"")</f>
        <v/>
      </c>
      <c r="C173" s="43">
        <f>IFERROR(INDEX('الوثائق'!$C$3:$C$502,MATCH(167,'الوثائق'!$K$3:$K$502,0)),"")</f>
        <v/>
      </c>
      <c r="D173" s="43">
        <f>IFERROR(INDEX('الوثائق'!$D$3:$D$502,MATCH(167,'الوثائق'!$K$3:$K$502,0)),"")</f>
        <v/>
      </c>
      <c r="E173" s="118">
        <f>IFERROR(INDEX('الوثائق'!$E$3:$E$502,MATCH(167,'الوثائق'!$K$3:$K$502,0)),"")</f>
        <v/>
      </c>
      <c r="F173" s="118">
        <f>IFERROR(INDEX('الوثائق'!$F$3:$F$502,MATCH(167,'الوثائق'!$K$3:$K$502,0)),"")</f>
        <v/>
      </c>
      <c r="G173" s="43">
        <f>IFERROR(INDEX('الوثائق'!$G$3:$G$502,MATCH(167,'الوثائق'!$K$3:$K$502,0)),"")</f>
        <v/>
      </c>
      <c r="H173" s="44">
        <f>IFERROR(INDEX('الوثائق'!$I$3:$I$502,MATCH(167,'الوثائق'!$K$3:$K$502,0)),"")</f>
        <v/>
      </c>
      <c r="I173" s="43">
        <f>IFERROR(INDEX('الوثائق'!$H$3:$H$502,MATCH(167,'الوثائق'!$K$3:$K$502,0)),"")</f>
        <v/>
      </c>
      <c r="J173" s="43">
        <f>IFERROR(INDEX('الوثائق'!$J$3:$J$502,MATCH(167,'الوثائق'!$K$3:$K$502,0)),"")</f>
        <v/>
      </c>
    </row>
    <row r="174">
      <c r="A174" s="50">
        <f>IFERROR(INDEX('الوثائق'!$A$3:$A$502,MATCH(168,'الوثائق'!$K$3:$K$502,0)),"")</f>
        <v/>
      </c>
      <c r="B174" s="50">
        <f>IFERROR(INDEX('الوثائق'!$B$3:$B$502,MATCH(168,'الوثائق'!$K$3:$K$502,0)),"")</f>
        <v/>
      </c>
      <c r="C174" s="50">
        <f>IFERROR(INDEX('الوثائق'!$C$3:$C$502,MATCH(168,'الوثائق'!$K$3:$K$502,0)),"")</f>
        <v/>
      </c>
      <c r="D174" s="50">
        <f>IFERROR(INDEX('الوثائق'!$D$3:$D$502,MATCH(168,'الوثائق'!$K$3:$K$502,0)),"")</f>
        <v/>
      </c>
      <c r="E174" s="119">
        <f>IFERROR(INDEX('الوثائق'!$E$3:$E$502,MATCH(168,'الوثائق'!$K$3:$K$502,0)),"")</f>
        <v/>
      </c>
      <c r="F174" s="119">
        <f>IFERROR(INDEX('الوثائق'!$F$3:$F$502,MATCH(168,'الوثائق'!$K$3:$K$502,0)),"")</f>
        <v/>
      </c>
      <c r="G174" s="50">
        <f>IFERROR(INDEX('الوثائق'!$G$3:$G$502,MATCH(168,'الوثائق'!$K$3:$K$502,0)),"")</f>
        <v/>
      </c>
      <c r="H174" s="51">
        <f>IFERROR(INDEX('الوثائق'!$I$3:$I$502,MATCH(168,'الوثائق'!$K$3:$K$502,0)),"")</f>
        <v/>
      </c>
      <c r="I174" s="50">
        <f>IFERROR(INDEX('الوثائق'!$H$3:$H$502,MATCH(168,'الوثائق'!$K$3:$K$502,0)),"")</f>
        <v/>
      </c>
      <c r="J174" s="50">
        <f>IFERROR(INDEX('الوثائق'!$J$3:$J$502,MATCH(168,'الوثائق'!$K$3:$K$502,0)),"")</f>
        <v/>
      </c>
    </row>
    <row r="175">
      <c r="A175" s="43">
        <f>IFERROR(INDEX('الوثائق'!$A$3:$A$502,MATCH(169,'الوثائق'!$K$3:$K$502,0)),"")</f>
        <v/>
      </c>
      <c r="B175" s="43">
        <f>IFERROR(INDEX('الوثائق'!$B$3:$B$502,MATCH(169,'الوثائق'!$K$3:$K$502,0)),"")</f>
        <v/>
      </c>
      <c r="C175" s="43">
        <f>IFERROR(INDEX('الوثائق'!$C$3:$C$502,MATCH(169,'الوثائق'!$K$3:$K$502,0)),"")</f>
        <v/>
      </c>
      <c r="D175" s="43">
        <f>IFERROR(INDEX('الوثائق'!$D$3:$D$502,MATCH(169,'الوثائق'!$K$3:$K$502,0)),"")</f>
        <v/>
      </c>
      <c r="E175" s="118">
        <f>IFERROR(INDEX('الوثائق'!$E$3:$E$502,MATCH(169,'الوثائق'!$K$3:$K$502,0)),"")</f>
        <v/>
      </c>
      <c r="F175" s="118">
        <f>IFERROR(INDEX('الوثائق'!$F$3:$F$502,MATCH(169,'الوثائق'!$K$3:$K$502,0)),"")</f>
        <v/>
      </c>
      <c r="G175" s="43">
        <f>IFERROR(INDEX('الوثائق'!$G$3:$G$502,MATCH(169,'الوثائق'!$K$3:$K$502,0)),"")</f>
        <v/>
      </c>
      <c r="H175" s="44">
        <f>IFERROR(INDEX('الوثائق'!$I$3:$I$502,MATCH(169,'الوثائق'!$K$3:$K$502,0)),"")</f>
        <v/>
      </c>
      <c r="I175" s="43">
        <f>IFERROR(INDEX('الوثائق'!$H$3:$H$502,MATCH(169,'الوثائق'!$K$3:$K$502,0)),"")</f>
        <v/>
      </c>
      <c r="J175" s="43">
        <f>IFERROR(INDEX('الوثائق'!$J$3:$J$502,MATCH(169,'الوثائق'!$K$3:$K$502,0)),"")</f>
        <v/>
      </c>
    </row>
    <row r="176">
      <c r="A176" s="50">
        <f>IFERROR(INDEX('الوثائق'!$A$3:$A$502,MATCH(170,'الوثائق'!$K$3:$K$502,0)),"")</f>
        <v/>
      </c>
      <c r="B176" s="50">
        <f>IFERROR(INDEX('الوثائق'!$B$3:$B$502,MATCH(170,'الوثائق'!$K$3:$K$502,0)),"")</f>
        <v/>
      </c>
      <c r="C176" s="50">
        <f>IFERROR(INDEX('الوثائق'!$C$3:$C$502,MATCH(170,'الوثائق'!$K$3:$K$502,0)),"")</f>
        <v/>
      </c>
      <c r="D176" s="50">
        <f>IFERROR(INDEX('الوثائق'!$D$3:$D$502,MATCH(170,'الوثائق'!$K$3:$K$502,0)),"")</f>
        <v/>
      </c>
      <c r="E176" s="119">
        <f>IFERROR(INDEX('الوثائق'!$E$3:$E$502,MATCH(170,'الوثائق'!$K$3:$K$502,0)),"")</f>
        <v/>
      </c>
      <c r="F176" s="119">
        <f>IFERROR(INDEX('الوثائق'!$F$3:$F$502,MATCH(170,'الوثائق'!$K$3:$K$502,0)),"")</f>
        <v/>
      </c>
      <c r="G176" s="50">
        <f>IFERROR(INDEX('الوثائق'!$G$3:$G$502,MATCH(170,'الوثائق'!$K$3:$K$502,0)),"")</f>
        <v/>
      </c>
      <c r="H176" s="51">
        <f>IFERROR(INDEX('الوثائق'!$I$3:$I$502,MATCH(170,'الوثائق'!$K$3:$K$502,0)),"")</f>
        <v/>
      </c>
      <c r="I176" s="50">
        <f>IFERROR(INDEX('الوثائق'!$H$3:$H$502,MATCH(170,'الوثائق'!$K$3:$K$502,0)),"")</f>
        <v/>
      </c>
      <c r="J176" s="50">
        <f>IFERROR(INDEX('الوثائق'!$J$3:$J$502,MATCH(170,'الوثائق'!$K$3:$K$502,0)),"")</f>
        <v/>
      </c>
    </row>
    <row r="177">
      <c r="A177" s="43">
        <f>IFERROR(INDEX('الوثائق'!$A$3:$A$502,MATCH(171,'الوثائق'!$K$3:$K$502,0)),"")</f>
        <v/>
      </c>
      <c r="B177" s="43">
        <f>IFERROR(INDEX('الوثائق'!$B$3:$B$502,MATCH(171,'الوثائق'!$K$3:$K$502,0)),"")</f>
        <v/>
      </c>
      <c r="C177" s="43">
        <f>IFERROR(INDEX('الوثائق'!$C$3:$C$502,MATCH(171,'الوثائق'!$K$3:$K$502,0)),"")</f>
        <v/>
      </c>
      <c r="D177" s="43">
        <f>IFERROR(INDEX('الوثائق'!$D$3:$D$502,MATCH(171,'الوثائق'!$K$3:$K$502,0)),"")</f>
        <v/>
      </c>
      <c r="E177" s="118">
        <f>IFERROR(INDEX('الوثائق'!$E$3:$E$502,MATCH(171,'الوثائق'!$K$3:$K$502,0)),"")</f>
        <v/>
      </c>
      <c r="F177" s="118">
        <f>IFERROR(INDEX('الوثائق'!$F$3:$F$502,MATCH(171,'الوثائق'!$K$3:$K$502,0)),"")</f>
        <v/>
      </c>
      <c r="G177" s="43">
        <f>IFERROR(INDEX('الوثائق'!$G$3:$G$502,MATCH(171,'الوثائق'!$K$3:$K$502,0)),"")</f>
        <v/>
      </c>
      <c r="H177" s="44">
        <f>IFERROR(INDEX('الوثائق'!$I$3:$I$502,MATCH(171,'الوثائق'!$K$3:$K$502,0)),"")</f>
        <v/>
      </c>
      <c r="I177" s="43">
        <f>IFERROR(INDEX('الوثائق'!$H$3:$H$502,MATCH(171,'الوثائق'!$K$3:$K$502,0)),"")</f>
        <v/>
      </c>
      <c r="J177" s="43">
        <f>IFERROR(INDEX('الوثائق'!$J$3:$J$502,MATCH(171,'الوثائق'!$K$3:$K$502,0)),"")</f>
        <v/>
      </c>
    </row>
    <row r="178">
      <c r="A178" s="50">
        <f>IFERROR(INDEX('الوثائق'!$A$3:$A$502,MATCH(172,'الوثائق'!$K$3:$K$502,0)),"")</f>
        <v/>
      </c>
      <c r="B178" s="50">
        <f>IFERROR(INDEX('الوثائق'!$B$3:$B$502,MATCH(172,'الوثائق'!$K$3:$K$502,0)),"")</f>
        <v/>
      </c>
      <c r="C178" s="50">
        <f>IFERROR(INDEX('الوثائق'!$C$3:$C$502,MATCH(172,'الوثائق'!$K$3:$K$502,0)),"")</f>
        <v/>
      </c>
      <c r="D178" s="50">
        <f>IFERROR(INDEX('الوثائق'!$D$3:$D$502,MATCH(172,'الوثائق'!$K$3:$K$502,0)),"")</f>
        <v/>
      </c>
      <c r="E178" s="119">
        <f>IFERROR(INDEX('الوثائق'!$E$3:$E$502,MATCH(172,'الوثائق'!$K$3:$K$502,0)),"")</f>
        <v/>
      </c>
      <c r="F178" s="119">
        <f>IFERROR(INDEX('الوثائق'!$F$3:$F$502,MATCH(172,'الوثائق'!$K$3:$K$502,0)),"")</f>
        <v/>
      </c>
      <c r="G178" s="50">
        <f>IFERROR(INDEX('الوثائق'!$G$3:$G$502,MATCH(172,'الوثائق'!$K$3:$K$502,0)),"")</f>
        <v/>
      </c>
      <c r="H178" s="51">
        <f>IFERROR(INDEX('الوثائق'!$I$3:$I$502,MATCH(172,'الوثائق'!$K$3:$K$502,0)),"")</f>
        <v/>
      </c>
      <c r="I178" s="50">
        <f>IFERROR(INDEX('الوثائق'!$H$3:$H$502,MATCH(172,'الوثائق'!$K$3:$K$502,0)),"")</f>
        <v/>
      </c>
      <c r="J178" s="50">
        <f>IFERROR(INDEX('الوثائق'!$J$3:$J$502,MATCH(172,'الوثائق'!$K$3:$K$502,0)),"")</f>
        <v/>
      </c>
    </row>
    <row r="179">
      <c r="A179" s="43">
        <f>IFERROR(INDEX('الوثائق'!$A$3:$A$502,MATCH(173,'الوثائق'!$K$3:$K$502,0)),"")</f>
        <v/>
      </c>
      <c r="B179" s="43">
        <f>IFERROR(INDEX('الوثائق'!$B$3:$B$502,MATCH(173,'الوثائق'!$K$3:$K$502,0)),"")</f>
        <v/>
      </c>
      <c r="C179" s="43">
        <f>IFERROR(INDEX('الوثائق'!$C$3:$C$502,MATCH(173,'الوثائق'!$K$3:$K$502,0)),"")</f>
        <v/>
      </c>
      <c r="D179" s="43">
        <f>IFERROR(INDEX('الوثائق'!$D$3:$D$502,MATCH(173,'الوثائق'!$K$3:$K$502,0)),"")</f>
        <v/>
      </c>
      <c r="E179" s="118">
        <f>IFERROR(INDEX('الوثائق'!$E$3:$E$502,MATCH(173,'الوثائق'!$K$3:$K$502,0)),"")</f>
        <v/>
      </c>
      <c r="F179" s="118">
        <f>IFERROR(INDEX('الوثائق'!$F$3:$F$502,MATCH(173,'الوثائق'!$K$3:$K$502,0)),"")</f>
        <v/>
      </c>
      <c r="G179" s="43">
        <f>IFERROR(INDEX('الوثائق'!$G$3:$G$502,MATCH(173,'الوثائق'!$K$3:$K$502,0)),"")</f>
        <v/>
      </c>
      <c r="H179" s="44">
        <f>IFERROR(INDEX('الوثائق'!$I$3:$I$502,MATCH(173,'الوثائق'!$K$3:$K$502,0)),"")</f>
        <v/>
      </c>
      <c r="I179" s="43">
        <f>IFERROR(INDEX('الوثائق'!$H$3:$H$502,MATCH(173,'الوثائق'!$K$3:$K$502,0)),"")</f>
        <v/>
      </c>
      <c r="J179" s="43">
        <f>IFERROR(INDEX('الوثائق'!$J$3:$J$502,MATCH(173,'الوثائق'!$K$3:$K$502,0)),"")</f>
        <v/>
      </c>
    </row>
    <row r="180">
      <c r="A180" s="50">
        <f>IFERROR(INDEX('الوثائق'!$A$3:$A$502,MATCH(174,'الوثائق'!$K$3:$K$502,0)),"")</f>
        <v/>
      </c>
      <c r="B180" s="50">
        <f>IFERROR(INDEX('الوثائق'!$B$3:$B$502,MATCH(174,'الوثائق'!$K$3:$K$502,0)),"")</f>
        <v/>
      </c>
      <c r="C180" s="50">
        <f>IFERROR(INDEX('الوثائق'!$C$3:$C$502,MATCH(174,'الوثائق'!$K$3:$K$502,0)),"")</f>
        <v/>
      </c>
      <c r="D180" s="50">
        <f>IFERROR(INDEX('الوثائق'!$D$3:$D$502,MATCH(174,'الوثائق'!$K$3:$K$502,0)),"")</f>
        <v/>
      </c>
      <c r="E180" s="119">
        <f>IFERROR(INDEX('الوثائق'!$E$3:$E$502,MATCH(174,'الوثائق'!$K$3:$K$502,0)),"")</f>
        <v/>
      </c>
      <c r="F180" s="119">
        <f>IFERROR(INDEX('الوثائق'!$F$3:$F$502,MATCH(174,'الوثائق'!$K$3:$K$502,0)),"")</f>
        <v/>
      </c>
      <c r="G180" s="50">
        <f>IFERROR(INDEX('الوثائق'!$G$3:$G$502,MATCH(174,'الوثائق'!$K$3:$K$502,0)),"")</f>
        <v/>
      </c>
      <c r="H180" s="51">
        <f>IFERROR(INDEX('الوثائق'!$I$3:$I$502,MATCH(174,'الوثائق'!$K$3:$K$502,0)),"")</f>
        <v/>
      </c>
      <c r="I180" s="50">
        <f>IFERROR(INDEX('الوثائق'!$H$3:$H$502,MATCH(174,'الوثائق'!$K$3:$K$502,0)),"")</f>
        <v/>
      </c>
      <c r="J180" s="50">
        <f>IFERROR(INDEX('الوثائق'!$J$3:$J$502,MATCH(174,'الوثائق'!$K$3:$K$502,0)),"")</f>
        <v/>
      </c>
    </row>
    <row r="181">
      <c r="A181" s="43">
        <f>IFERROR(INDEX('الوثائق'!$A$3:$A$502,MATCH(175,'الوثائق'!$K$3:$K$502,0)),"")</f>
        <v/>
      </c>
      <c r="B181" s="43">
        <f>IFERROR(INDEX('الوثائق'!$B$3:$B$502,MATCH(175,'الوثائق'!$K$3:$K$502,0)),"")</f>
        <v/>
      </c>
      <c r="C181" s="43">
        <f>IFERROR(INDEX('الوثائق'!$C$3:$C$502,MATCH(175,'الوثائق'!$K$3:$K$502,0)),"")</f>
        <v/>
      </c>
      <c r="D181" s="43">
        <f>IFERROR(INDEX('الوثائق'!$D$3:$D$502,MATCH(175,'الوثائق'!$K$3:$K$502,0)),"")</f>
        <v/>
      </c>
      <c r="E181" s="118">
        <f>IFERROR(INDEX('الوثائق'!$E$3:$E$502,MATCH(175,'الوثائق'!$K$3:$K$502,0)),"")</f>
        <v/>
      </c>
      <c r="F181" s="118">
        <f>IFERROR(INDEX('الوثائق'!$F$3:$F$502,MATCH(175,'الوثائق'!$K$3:$K$502,0)),"")</f>
        <v/>
      </c>
      <c r="G181" s="43">
        <f>IFERROR(INDEX('الوثائق'!$G$3:$G$502,MATCH(175,'الوثائق'!$K$3:$K$502,0)),"")</f>
        <v/>
      </c>
      <c r="H181" s="44">
        <f>IFERROR(INDEX('الوثائق'!$I$3:$I$502,MATCH(175,'الوثائق'!$K$3:$K$502,0)),"")</f>
        <v/>
      </c>
      <c r="I181" s="43">
        <f>IFERROR(INDEX('الوثائق'!$H$3:$H$502,MATCH(175,'الوثائق'!$K$3:$K$502,0)),"")</f>
        <v/>
      </c>
      <c r="J181" s="43">
        <f>IFERROR(INDEX('الوثائق'!$J$3:$J$502,MATCH(175,'الوثائق'!$K$3:$K$502,0)),"")</f>
        <v/>
      </c>
    </row>
    <row r="182">
      <c r="A182" s="50">
        <f>IFERROR(INDEX('الوثائق'!$A$3:$A$502,MATCH(176,'الوثائق'!$K$3:$K$502,0)),"")</f>
        <v/>
      </c>
      <c r="B182" s="50">
        <f>IFERROR(INDEX('الوثائق'!$B$3:$B$502,MATCH(176,'الوثائق'!$K$3:$K$502,0)),"")</f>
        <v/>
      </c>
      <c r="C182" s="50">
        <f>IFERROR(INDEX('الوثائق'!$C$3:$C$502,MATCH(176,'الوثائق'!$K$3:$K$502,0)),"")</f>
        <v/>
      </c>
      <c r="D182" s="50">
        <f>IFERROR(INDEX('الوثائق'!$D$3:$D$502,MATCH(176,'الوثائق'!$K$3:$K$502,0)),"")</f>
        <v/>
      </c>
      <c r="E182" s="119">
        <f>IFERROR(INDEX('الوثائق'!$E$3:$E$502,MATCH(176,'الوثائق'!$K$3:$K$502,0)),"")</f>
        <v/>
      </c>
      <c r="F182" s="119">
        <f>IFERROR(INDEX('الوثائق'!$F$3:$F$502,MATCH(176,'الوثائق'!$K$3:$K$502,0)),"")</f>
        <v/>
      </c>
      <c r="G182" s="50">
        <f>IFERROR(INDEX('الوثائق'!$G$3:$G$502,MATCH(176,'الوثائق'!$K$3:$K$502,0)),"")</f>
        <v/>
      </c>
      <c r="H182" s="51">
        <f>IFERROR(INDEX('الوثائق'!$I$3:$I$502,MATCH(176,'الوثائق'!$K$3:$K$502,0)),"")</f>
        <v/>
      </c>
      <c r="I182" s="50">
        <f>IFERROR(INDEX('الوثائق'!$H$3:$H$502,MATCH(176,'الوثائق'!$K$3:$K$502,0)),"")</f>
        <v/>
      </c>
      <c r="J182" s="50">
        <f>IFERROR(INDEX('الوثائق'!$J$3:$J$502,MATCH(176,'الوثائق'!$K$3:$K$502,0)),"")</f>
        <v/>
      </c>
    </row>
    <row r="183">
      <c r="A183" s="43">
        <f>IFERROR(INDEX('الوثائق'!$A$3:$A$502,MATCH(177,'الوثائق'!$K$3:$K$502,0)),"")</f>
        <v/>
      </c>
      <c r="B183" s="43">
        <f>IFERROR(INDEX('الوثائق'!$B$3:$B$502,MATCH(177,'الوثائق'!$K$3:$K$502,0)),"")</f>
        <v/>
      </c>
      <c r="C183" s="43">
        <f>IFERROR(INDEX('الوثائق'!$C$3:$C$502,MATCH(177,'الوثائق'!$K$3:$K$502,0)),"")</f>
        <v/>
      </c>
      <c r="D183" s="43">
        <f>IFERROR(INDEX('الوثائق'!$D$3:$D$502,MATCH(177,'الوثائق'!$K$3:$K$502,0)),"")</f>
        <v/>
      </c>
      <c r="E183" s="118">
        <f>IFERROR(INDEX('الوثائق'!$E$3:$E$502,MATCH(177,'الوثائق'!$K$3:$K$502,0)),"")</f>
        <v/>
      </c>
      <c r="F183" s="118">
        <f>IFERROR(INDEX('الوثائق'!$F$3:$F$502,MATCH(177,'الوثائق'!$K$3:$K$502,0)),"")</f>
        <v/>
      </c>
      <c r="G183" s="43">
        <f>IFERROR(INDEX('الوثائق'!$G$3:$G$502,MATCH(177,'الوثائق'!$K$3:$K$502,0)),"")</f>
        <v/>
      </c>
      <c r="H183" s="44">
        <f>IFERROR(INDEX('الوثائق'!$I$3:$I$502,MATCH(177,'الوثائق'!$K$3:$K$502,0)),"")</f>
        <v/>
      </c>
      <c r="I183" s="43">
        <f>IFERROR(INDEX('الوثائق'!$H$3:$H$502,MATCH(177,'الوثائق'!$K$3:$K$502,0)),"")</f>
        <v/>
      </c>
      <c r="J183" s="43">
        <f>IFERROR(INDEX('الوثائق'!$J$3:$J$502,MATCH(177,'الوثائق'!$K$3:$K$502,0)),"")</f>
        <v/>
      </c>
    </row>
    <row r="184">
      <c r="A184" s="50">
        <f>IFERROR(INDEX('الوثائق'!$A$3:$A$502,MATCH(178,'الوثائق'!$K$3:$K$502,0)),"")</f>
        <v/>
      </c>
      <c r="B184" s="50">
        <f>IFERROR(INDEX('الوثائق'!$B$3:$B$502,MATCH(178,'الوثائق'!$K$3:$K$502,0)),"")</f>
        <v/>
      </c>
      <c r="C184" s="50">
        <f>IFERROR(INDEX('الوثائق'!$C$3:$C$502,MATCH(178,'الوثائق'!$K$3:$K$502,0)),"")</f>
        <v/>
      </c>
      <c r="D184" s="50">
        <f>IFERROR(INDEX('الوثائق'!$D$3:$D$502,MATCH(178,'الوثائق'!$K$3:$K$502,0)),"")</f>
        <v/>
      </c>
      <c r="E184" s="119">
        <f>IFERROR(INDEX('الوثائق'!$E$3:$E$502,MATCH(178,'الوثائق'!$K$3:$K$502,0)),"")</f>
        <v/>
      </c>
      <c r="F184" s="119">
        <f>IFERROR(INDEX('الوثائق'!$F$3:$F$502,MATCH(178,'الوثائق'!$K$3:$K$502,0)),"")</f>
        <v/>
      </c>
      <c r="G184" s="50">
        <f>IFERROR(INDEX('الوثائق'!$G$3:$G$502,MATCH(178,'الوثائق'!$K$3:$K$502,0)),"")</f>
        <v/>
      </c>
      <c r="H184" s="51">
        <f>IFERROR(INDEX('الوثائق'!$I$3:$I$502,MATCH(178,'الوثائق'!$K$3:$K$502,0)),"")</f>
        <v/>
      </c>
      <c r="I184" s="50">
        <f>IFERROR(INDEX('الوثائق'!$H$3:$H$502,MATCH(178,'الوثائق'!$K$3:$K$502,0)),"")</f>
        <v/>
      </c>
      <c r="J184" s="50">
        <f>IFERROR(INDEX('الوثائق'!$J$3:$J$502,MATCH(178,'الوثائق'!$K$3:$K$502,0)),"")</f>
        <v/>
      </c>
    </row>
    <row r="185">
      <c r="A185" s="43">
        <f>IFERROR(INDEX('الوثائق'!$A$3:$A$502,MATCH(179,'الوثائق'!$K$3:$K$502,0)),"")</f>
        <v/>
      </c>
      <c r="B185" s="43">
        <f>IFERROR(INDEX('الوثائق'!$B$3:$B$502,MATCH(179,'الوثائق'!$K$3:$K$502,0)),"")</f>
        <v/>
      </c>
      <c r="C185" s="43">
        <f>IFERROR(INDEX('الوثائق'!$C$3:$C$502,MATCH(179,'الوثائق'!$K$3:$K$502,0)),"")</f>
        <v/>
      </c>
      <c r="D185" s="43">
        <f>IFERROR(INDEX('الوثائق'!$D$3:$D$502,MATCH(179,'الوثائق'!$K$3:$K$502,0)),"")</f>
        <v/>
      </c>
      <c r="E185" s="118">
        <f>IFERROR(INDEX('الوثائق'!$E$3:$E$502,MATCH(179,'الوثائق'!$K$3:$K$502,0)),"")</f>
        <v/>
      </c>
      <c r="F185" s="118">
        <f>IFERROR(INDEX('الوثائق'!$F$3:$F$502,MATCH(179,'الوثائق'!$K$3:$K$502,0)),"")</f>
        <v/>
      </c>
      <c r="G185" s="43">
        <f>IFERROR(INDEX('الوثائق'!$G$3:$G$502,MATCH(179,'الوثائق'!$K$3:$K$502,0)),"")</f>
        <v/>
      </c>
      <c r="H185" s="44">
        <f>IFERROR(INDEX('الوثائق'!$I$3:$I$502,MATCH(179,'الوثائق'!$K$3:$K$502,0)),"")</f>
        <v/>
      </c>
      <c r="I185" s="43">
        <f>IFERROR(INDEX('الوثائق'!$H$3:$H$502,MATCH(179,'الوثائق'!$K$3:$K$502,0)),"")</f>
        <v/>
      </c>
      <c r="J185" s="43">
        <f>IFERROR(INDEX('الوثائق'!$J$3:$J$502,MATCH(179,'الوثائق'!$K$3:$K$502,0)),"")</f>
        <v/>
      </c>
    </row>
    <row r="186">
      <c r="A186" s="50">
        <f>IFERROR(INDEX('الوثائق'!$A$3:$A$502,MATCH(180,'الوثائق'!$K$3:$K$502,0)),"")</f>
        <v/>
      </c>
      <c r="B186" s="50">
        <f>IFERROR(INDEX('الوثائق'!$B$3:$B$502,MATCH(180,'الوثائق'!$K$3:$K$502,0)),"")</f>
        <v/>
      </c>
      <c r="C186" s="50">
        <f>IFERROR(INDEX('الوثائق'!$C$3:$C$502,MATCH(180,'الوثائق'!$K$3:$K$502,0)),"")</f>
        <v/>
      </c>
      <c r="D186" s="50">
        <f>IFERROR(INDEX('الوثائق'!$D$3:$D$502,MATCH(180,'الوثائق'!$K$3:$K$502,0)),"")</f>
        <v/>
      </c>
      <c r="E186" s="119">
        <f>IFERROR(INDEX('الوثائق'!$E$3:$E$502,MATCH(180,'الوثائق'!$K$3:$K$502,0)),"")</f>
        <v/>
      </c>
      <c r="F186" s="119">
        <f>IFERROR(INDEX('الوثائق'!$F$3:$F$502,MATCH(180,'الوثائق'!$K$3:$K$502,0)),"")</f>
        <v/>
      </c>
      <c r="G186" s="50">
        <f>IFERROR(INDEX('الوثائق'!$G$3:$G$502,MATCH(180,'الوثائق'!$K$3:$K$502,0)),"")</f>
        <v/>
      </c>
      <c r="H186" s="51">
        <f>IFERROR(INDEX('الوثائق'!$I$3:$I$502,MATCH(180,'الوثائق'!$K$3:$K$502,0)),"")</f>
        <v/>
      </c>
      <c r="I186" s="50">
        <f>IFERROR(INDEX('الوثائق'!$H$3:$H$502,MATCH(180,'الوثائق'!$K$3:$K$502,0)),"")</f>
        <v/>
      </c>
      <c r="J186" s="50">
        <f>IFERROR(INDEX('الوثائق'!$J$3:$J$502,MATCH(180,'الوثائق'!$K$3:$K$502,0)),"")</f>
        <v/>
      </c>
    </row>
    <row r="187">
      <c r="A187" s="43">
        <f>IFERROR(INDEX('الوثائق'!$A$3:$A$502,MATCH(181,'الوثائق'!$K$3:$K$502,0)),"")</f>
        <v/>
      </c>
      <c r="B187" s="43">
        <f>IFERROR(INDEX('الوثائق'!$B$3:$B$502,MATCH(181,'الوثائق'!$K$3:$K$502,0)),"")</f>
        <v/>
      </c>
      <c r="C187" s="43">
        <f>IFERROR(INDEX('الوثائق'!$C$3:$C$502,MATCH(181,'الوثائق'!$K$3:$K$502,0)),"")</f>
        <v/>
      </c>
      <c r="D187" s="43">
        <f>IFERROR(INDEX('الوثائق'!$D$3:$D$502,MATCH(181,'الوثائق'!$K$3:$K$502,0)),"")</f>
        <v/>
      </c>
      <c r="E187" s="118">
        <f>IFERROR(INDEX('الوثائق'!$E$3:$E$502,MATCH(181,'الوثائق'!$K$3:$K$502,0)),"")</f>
        <v/>
      </c>
      <c r="F187" s="118">
        <f>IFERROR(INDEX('الوثائق'!$F$3:$F$502,MATCH(181,'الوثائق'!$K$3:$K$502,0)),"")</f>
        <v/>
      </c>
      <c r="G187" s="43">
        <f>IFERROR(INDEX('الوثائق'!$G$3:$G$502,MATCH(181,'الوثائق'!$K$3:$K$502,0)),"")</f>
        <v/>
      </c>
      <c r="H187" s="44">
        <f>IFERROR(INDEX('الوثائق'!$I$3:$I$502,MATCH(181,'الوثائق'!$K$3:$K$502,0)),"")</f>
        <v/>
      </c>
      <c r="I187" s="43">
        <f>IFERROR(INDEX('الوثائق'!$H$3:$H$502,MATCH(181,'الوثائق'!$K$3:$K$502,0)),"")</f>
        <v/>
      </c>
      <c r="J187" s="43">
        <f>IFERROR(INDEX('الوثائق'!$J$3:$J$502,MATCH(181,'الوثائق'!$K$3:$K$502,0)),"")</f>
        <v/>
      </c>
    </row>
    <row r="188">
      <c r="A188" s="50">
        <f>IFERROR(INDEX('الوثائق'!$A$3:$A$502,MATCH(182,'الوثائق'!$K$3:$K$502,0)),"")</f>
        <v/>
      </c>
      <c r="B188" s="50">
        <f>IFERROR(INDEX('الوثائق'!$B$3:$B$502,MATCH(182,'الوثائق'!$K$3:$K$502,0)),"")</f>
        <v/>
      </c>
      <c r="C188" s="50">
        <f>IFERROR(INDEX('الوثائق'!$C$3:$C$502,MATCH(182,'الوثائق'!$K$3:$K$502,0)),"")</f>
        <v/>
      </c>
      <c r="D188" s="50">
        <f>IFERROR(INDEX('الوثائق'!$D$3:$D$502,MATCH(182,'الوثائق'!$K$3:$K$502,0)),"")</f>
        <v/>
      </c>
      <c r="E188" s="119">
        <f>IFERROR(INDEX('الوثائق'!$E$3:$E$502,MATCH(182,'الوثائق'!$K$3:$K$502,0)),"")</f>
        <v/>
      </c>
      <c r="F188" s="119">
        <f>IFERROR(INDEX('الوثائق'!$F$3:$F$502,MATCH(182,'الوثائق'!$K$3:$K$502,0)),"")</f>
        <v/>
      </c>
      <c r="G188" s="50">
        <f>IFERROR(INDEX('الوثائق'!$G$3:$G$502,MATCH(182,'الوثائق'!$K$3:$K$502,0)),"")</f>
        <v/>
      </c>
      <c r="H188" s="51">
        <f>IFERROR(INDEX('الوثائق'!$I$3:$I$502,MATCH(182,'الوثائق'!$K$3:$K$502,0)),"")</f>
        <v/>
      </c>
      <c r="I188" s="50">
        <f>IFERROR(INDEX('الوثائق'!$H$3:$H$502,MATCH(182,'الوثائق'!$K$3:$K$502,0)),"")</f>
        <v/>
      </c>
      <c r="J188" s="50">
        <f>IFERROR(INDEX('الوثائق'!$J$3:$J$502,MATCH(182,'الوثائق'!$K$3:$K$502,0)),"")</f>
        <v/>
      </c>
    </row>
    <row r="189">
      <c r="A189" s="43">
        <f>IFERROR(INDEX('الوثائق'!$A$3:$A$502,MATCH(183,'الوثائق'!$K$3:$K$502,0)),"")</f>
        <v/>
      </c>
      <c r="B189" s="43">
        <f>IFERROR(INDEX('الوثائق'!$B$3:$B$502,MATCH(183,'الوثائق'!$K$3:$K$502,0)),"")</f>
        <v/>
      </c>
      <c r="C189" s="43">
        <f>IFERROR(INDEX('الوثائق'!$C$3:$C$502,MATCH(183,'الوثائق'!$K$3:$K$502,0)),"")</f>
        <v/>
      </c>
      <c r="D189" s="43">
        <f>IFERROR(INDEX('الوثائق'!$D$3:$D$502,MATCH(183,'الوثائق'!$K$3:$K$502,0)),"")</f>
        <v/>
      </c>
      <c r="E189" s="118">
        <f>IFERROR(INDEX('الوثائق'!$E$3:$E$502,MATCH(183,'الوثائق'!$K$3:$K$502,0)),"")</f>
        <v/>
      </c>
      <c r="F189" s="118">
        <f>IFERROR(INDEX('الوثائق'!$F$3:$F$502,MATCH(183,'الوثائق'!$K$3:$K$502,0)),"")</f>
        <v/>
      </c>
      <c r="G189" s="43">
        <f>IFERROR(INDEX('الوثائق'!$G$3:$G$502,MATCH(183,'الوثائق'!$K$3:$K$502,0)),"")</f>
        <v/>
      </c>
      <c r="H189" s="44">
        <f>IFERROR(INDEX('الوثائق'!$I$3:$I$502,MATCH(183,'الوثائق'!$K$3:$K$502,0)),"")</f>
        <v/>
      </c>
      <c r="I189" s="43">
        <f>IFERROR(INDEX('الوثائق'!$H$3:$H$502,MATCH(183,'الوثائق'!$K$3:$K$502,0)),"")</f>
        <v/>
      </c>
      <c r="J189" s="43">
        <f>IFERROR(INDEX('الوثائق'!$J$3:$J$502,MATCH(183,'الوثائق'!$K$3:$K$502,0)),"")</f>
        <v/>
      </c>
    </row>
    <row r="190">
      <c r="A190" s="50">
        <f>IFERROR(INDEX('الوثائق'!$A$3:$A$502,MATCH(184,'الوثائق'!$K$3:$K$502,0)),"")</f>
        <v/>
      </c>
      <c r="B190" s="50">
        <f>IFERROR(INDEX('الوثائق'!$B$3:$B$502,MATCH(184,'الوثائق'!$K$3:$K$502,0)),"")</f>
        <v/>
      </c>
      <c r="C190" s="50">
        <f>IFERROR(INDEX('الوثائق'!$C$3:$C$502,MATCH(184,'الوثائق'!$K$3:$K$502,0)),"")</f>
        <v/>
      </c>
      <c r="D190" s="50">
        <f>IFERROR(INDEX('الوثائق'!$D$3:$D$502,MATCH(184,'الوثائق'!$K$3:$K$502,0)),"")</f>
        <v/>
      </c>
      <c r="E190" s="119">
        <f>IFERROR(INDEX('الوثائق'!$E$3:$E$502,MATCH(184,'الوثائق'!$K$3:$K$502,0)),"")</f>
        <v/>
      </c>
      <c r="F190" s="119">
        <f>IFERROR(INDEX('الوثائق'!$F$3:$F$502,MATCH(184,'الوثائق'!$K$3:$K$502,0)),"")</f>
        <v/>
      </c>
      <c r="G190" s="50">
        <f>IFERROR(INDEX('الوثائق'!$G$3:$G$502,MATCH(184,'الوثائق'!$K$3:$K$502,0)),"")</f>
        <v/>
      </c>
      <c r="H190" s="51">
        <f>IFERROR(INDEX('الوثائق'!$I$3:$I$502,MATCH(184,'الوثائق'!$K$3:$K$502,0)),"")</f>
        <v/>
      </c>
      <c r="I190" s="50">
        <f>IFERROR(INDEX('الوثائق'!$H$3:$H$502,MATCH(184,'الوثائق'!$K$3:$K$502,0)),"")</f>
        <v/>
      </c>
      <c r="J190" s="50">
        <f>IFERROR(INDEX('الوثائق'!$J$3:$J$502,MATCH(184,'الوثائق'!$K$3:$K$502,0)),"")</f>
        <v/>
      </c>
    </row>
    <row r="191">
      <c r="A191" s="43">
        <f>IFERROR(INDEX('الوثائق'!$A$3:$A$502,MATCH(185,'الوثائق'!$K$3:$K$502,0)),"")</f>
        <v/>
      </c>
      <c r="B191" s="43">
        <f>IFERROR(INDEX('الوثائق'!$B$3:$B$502,MATCH(185,'الوثائق'!$K$3:$K$502,0)),"")</f>
        <v/>
      </c>
      <c r="C191" s="43">
        <f>IFERROR(INDEX('الوثائق'!$C$3:$C$502,MATCH(185,'الوثائق'!$K$3:$K$502,0)),"")</f>
        <v/>
      </c>
      <c r="D191" s="43">
        <f>IFERROR(INDEX('الوثائق'!$D$3:$D$502,MATCH(185,'الوثائق'!$K$3:$K$502,0)),"")</f>
        <v/>
      </c>
      <c r="E191" s="118">
        <f>IFERROR(INDEX('الوثائق'!$E$3:$E$502,MATCH(185,'الوثائق'!$K$3:$K$502,0)),"")</f>
        <v/>
      </c>
      <c r="F191" s="118">
        <f>IFERROR(INDEX('الوثائق'!$F$3:$F$502,MATCH(185,'الوثائق'!$K$3:$K$502,0)),"")</f>
        <v/>
      </c>
      <c r="G191" s="43">
        <f>IFERROR(INDEX('الوثائق'!$G$3:$G$502,MATCH(185,'الوثائق'!$K$3:$K$502,0)),"")</f>
        <v/>
      </c>
      <c r="H191" s="44">
        <f>IFERROR(INDEX('الوثائق'!$I$3:$I$502,MATCH(185,'الوثائق'!$K$3:$K$502,0)),"")</f>
        <v/>
      </c>
      <c r="I191" s="43">
        <f>IFERROR(INDEX('الوثائق'!$H$3:$H$502,MATCH(185,'الوثائق'!$K$3:$K$502,0)),"")</f>
        <v/>
      </c>
      <c r="J191" s="43">
        <f>IFERROR(INDEX('الوثائق'!$J$3:$J$502,MATCH(185,'الوثائق'!$K$3:$K$502,0)),"")</f>
        <v/>
      </c>
    </row>
    <row r="192">
      <c r="A192" s="50">
        <f>IFERROR(INDEX('الوثائق'!$A$3:$A$502,MATCH(186,'الوثائق'!$K$3:$K$502,0)),"")</f>
        <v/>
      </c>
      <c r="B192" s="50">
        <f>IFERROR(INDEX('الوثائق'!$B$3:$B$502,MATCH(186,'الوثائق'!$K$3:$K$502,0)),"")</f>
        <v/>
      </c>
      <c r="C192" s="50">
        <f>IFERROR(INDEX('الوثائق'!$C$3:$C$502,MATCH(186,'الوثائق'!$K$3:$K$502,0)),"")</f>
        <v/>
      </c>
      <c r="D192" s="50">
        <f>IFERROR(INDEX('الوثائق'!$D$3:$D$502,MATCH(186,'الوثائق'!$K$3:$K$502,0)),"")</f>
        <v/>
      </c>
      <c r="E192" s="119">
        <f>IFERROR(INDEX('الوثائق'!$E$3:$E$502,MATCH(186,'الوثائق'!$K$3:$K$502,0)),"")</f>
        <v/>
      </c>
      <c r="F192" s="119">
        <f>IFERROR(INDEX('الوثائق'!$F$3:$F$502,MATCH(186,'الوثائق'!$K$3:$K$502,0)),"")</f>
        <v/>
      </c>
      <c r="G192" s="50">
        <f>IFERROR(INDEX('الوثائق'!$G$3:$G$502,MATCH(186,'الوثائق'!$K$3:$K$502,0)),"")</f>
        <v/>
      </c>
      <c r="H192" s="51">
        <f>IFERROR(INDEX('الوثائق'!$I$3:$I$502,MATCH(186,'الوثائق'!$K$3:$K$502,0)),"")</f>
        <v/>
      </c>
      <c r="I192" s="50">
        <f>IFERROR(INDEX('الوثائق'!$H$3:$H$502,MATCH(186,'الوثائق'!$K$3:$K$502,0)),"")</f>
        <v/>
      </c>
      <c r="J192" s="50">
        <f>IFERROR(INDEX('الوثائق'!$J$3:$J$502,MATCH(186,'الوثائق'!$K$3:$K$502,0)),"")</f>
        <v/>
      </c>
    </row>
    <row r="193">
      <c r="A193" s="43">
        <f>IFERROR(INDEX('الوثائق'!$A$3:$A$502,MATCH(187,'الوثائق'!$K$3:$K$502,0)),"")</f>
        <v/>
      </c>
      <c r="B193" s="43">
        <f>IFERROR(INDEX('الوثائق'!$B$3:$B$502,MATCH(187,'الوثائق'!$K$3:$K$502,0)),"")</f>
        <v/>
      </c>
      <c r="C193" s="43">
        <f>IFERROR(INDEX('الوثائق'!$C$3:$C$502,MATCH(187,'الوثائق'!$K$3:$K$502,0)),"")</f>
        <v/>
      </c>
      <c r="D193" s="43">
        <f>IFERROR(INDEX('الوثائق'!$D$3:$D$502,MATCH(187,'الوثائق'!$K$3:$K$502,0)),"")</f>
        <v/>
      </c>
      <c r="E193" s="118">
        <f>IFERROR(INDEX('الوثائق'!$E$3:$E$502,MATCH(187,'الوثائق'!$K$3:$K$502,0)),"")</f>
        <v/>
      </c>
      <c r="F193" s="118">
        <f>IFERROR(INDEX('الوثائق'!$F$3:$F$502,MATCH(187,'الوثائق'!$K$3:$K$502,0)),"")</f>
        <v/>
      </c>
      <c r="G193" s="43">
        <f>IFERROR(INDEX('الوثائق'!$G$3:$G$502,MATCH(187,'الوثائق'!$K$3:$K$502,0)),"")</f>
        <v/>
      </c>
      <c r="H193" s="44">
        <f>IFERROR(INDEX('الوثائق'!$I$3:$I$502,MATCH(187,'الوثائق'!$K$3:$K$502,0)),"")</f>
        <v/>
      </c>
      <c r="I193" s="43">
        <f>IFERROR(INDEX('الوثائق'!$H$3:$H$502,MATCH(187,'الوثائق'!$K$3:$K$502,0)),"")</f>
        <v/>
      </c>
      <c r="J193" s="43">
        <f>IFERROR(INDEX('الوثائق'!$J$3:$J$502,MATCH(187,'الوثائق'!$K$3:$K$502,0)),"")</f>
        <v/>
      </c>
    </row>
    <row r="194">
      <c r="A194" s="50">
        <f>IFERROR(INDEX('الوثائق'!$A$3:$A$502,MATCH(188,'الوثائق'!$K$3:$K$502,0)),"")</f>
        <v/>
      </c>
      <c r="B194" s="50">
        <f>IFERROR(INDEX('الوثائق'!$B$3:$B$502,MATCH(188,'الوثائق'!$K$3:$K$502,0)),"")</f>
        <v/>
      </c>
      <c r="C194" s="50">
        <f>IFERROR(INDEX('الوثائق'!$C$3:$C$502,MATCH(188,'الوثائق'!$K$3:$K$502,0)),"")</f>
        <v/>
      </c>
      <c r="D194" s="50">
        <f>IFERROR(INDEX('الوثائق'!$D$3:$D$502,MATCH(188,'الوثائق'!$K$3:$K$502,0)),"")</f>
        <v/>
      </c>
      <c r="E194" s="119">
        <f>IFERROR(INDEX('الوثائق'!$E$3:$E$502,MATCH(188,'الوثائق'!$K$3:$K$502,0)),"")</f>
        <v/>
      </c>
      <c r="F194" s="119">
        <f>IFERROR(INDEX('الوثائق'!$F$3:$F$502,MATCH(188,'الوثائق'!$K$3:$K$502,0)),"")</f>
        <v/>
      </c>
      <c r="G194" s="50">
        <f>IFERROR(INDEX('الوثائق'!$G$3:$G$502,MATCH(188,'الوثائق'!$K$3:$K$502,0)),"")</f>
        <v/>
      </c>
      <c r="H194" s="51">
        <f>IFERROR(INDEX('الوثائق'!$I$3:$I$502,MATCH(188,'الوثائق'!$K$3:$K$502,0)),"")</f>
        <v/>
      </c>
      <c r="I194" s="50">
        <f>IFERROR(INDEX('الوثائق'!$H$3:$H$502,MATCH(188,'الوثائق'!$K$3:$K$502,0)),"")</f>
        <v/>
      </c>
      <c r="J194" s="50">
        <f>IFERROR(INDEX('الوثائق'!$J$3:$J$502,MATCH(188,'الوثائق'!$K$3:$K$502,0)),"")</f>
        <v/>
      </c>
    </row>
    <row r="195">
      <c r="A195" s="43">
        <f>IFERROR(INDEX('الوثائق'!$A$3:$A$502,MATCH(189,'الوثائق'!$K$3:$K$502,0)),"")</f>
        <v/>
      </c>
      <c r="B195" s="43">
        <f>IFERROR(INDEX('الوثائق'!$B$3:$B$502,MATCH(189,'الوثائق'!$K$3:$K$502,0)),"")</f>
        <v/>
      </c>
      <c r="C195" s="43">
        <f>IFERROR(INDEX('الوثائق'!$C$3:$C$502,MATCH(189,'الوثائق'!$K$3:$K$502,0)),"")</f>
        <v/>
      </c>
      <c r="D195" s="43">
        <f>IFERROR(INDEX('الوثائق'!$D$3:$D$502,MATCH(189,'الوثائق'!$K$3:$K$502,0)),"")</f>
        <v/>
      </c>
      <c r="E195" s="118">
        <f>IFERROR(INDEX('الوثائق'!$E$3:$E$502,MATCH(189,'الوثائق'!$K$3:$K$502,0)),"")</f>
        <v/>
      </c>
      <c r="F195" s="118">
        <f>IFERROR(INDEX('الوثائق'!$F$3:$F$502,MATCH(189,'الوثائق'!$K$3:$K$502,0)),"")</f>
        <v/>
      </c>
      <c r="G195" s="43">
        <f>IFERROR(INDEX('الوثائق'!$G$3:$G$502,MATCH(189,'الوثائق'!$K$3:$K$502,0)),"")</f>
        <v/>
      </c>
      <c r="H195" s="44">
        <f>IFERROR(INDEX('الوثائق'!$I$3:$I$502,MATCH(189,'الوثائق'!$K$3:$K$502,0)),"")</f>
        <v/>
      </c>
      <c r="I195" s="43">
        <f>IFERROR(INDEX('الوثائق'!$H$3:$H$502,MATCH(189,'الوثائق'!$K$3:$K$502,0)),"")</f>
        <v/>
      </c>
      <c r="J195" s="43">
        <f>IFERROR(INDEX('الوثائق'!$J$3:$J$502,MATCH(189,'الوثائق'!$K$3:$K$502,0)),"")</f>
        <v/>
      </c>
    </row>
    <row r="196">
      <c r="A196" s="50">
        <f>IFERROR(INDEX('الوثائق'!$A$3:$A$502,MATCH(190,'الوثائق'!$K$3:$K$502,0)),"")</f>
        <v/>
      </c>
      <c r="B196" s="50">
        <f>IFERROR(INDEX('الوثائق'!$B$3:$B$502,MATCH(190,'الوثائق'!$K$3:$K$502,0)),"")</f>
        <v/>
      </c>
      <c r="C196" s="50">
        <f>IFERROR(INDEX('الوثائق'!$C$3:$C$502,MATCH(190,'الوثائق'!$K$3:$K$502,0)),"")</f>
        <v/>
      </c>
      <c r="D196" s="50">
        <f>IFERROR(INDEX('الوثائق'!$D$3:$D$502,MATCH(190,'الوثائق'!$K$3:$K$502,0)),"")</f>
        <v/>
      </c>
      <c r="E196" s="119">
        <f>IFERROR(INDEX('الوثائق'!$E$3:$E$502,MATCH(190,'الوثائق'!$K$3:$K$502,0)),"")</f>
        <v/>
      </c>
      <c r="F196" s="119">
        <f>IFERROR(INDEX('الوثائق'!$F$3:$F$502,MATCH(190,'الوثائق'!$K$3:$K$502,0)),"")</f>
        <v/>
      </c>
      <c r="G196" s="50">
        <f>IFERROR(INDEX('الوثائق'!$G$3:$G$502,MATCH(190,'الوثائق'!$K$3:$K$502,0)),"")</f>
        <v/>
      </c>
      <c r="H196" s="51">
        <f>IFERROR(INDEX('الوثائق'!$I$3:$I$502,MATCH(190,'الوثائق'!$K$3:$K$502,0)),"")</f>
        <v/>
      </c>
      <c r="I196" s="50">
        <f>IFERROR(INDEX('الوثائق'!$H$3:$H$502,MATCH(190,'الوثائق'!$K$3:$K$502,0)),"")</f>
        <v/>
      </c>
      <c r="J196" s="50">
        <f>IFERROR(INDEX('الوثائق'!$J$3:$J$502,MATCH(190,'الوثائق'!$K$3:$K$502,0)),"")</f>
        <v/>
      </c>
    </row>
    <row r="197">
      <c r="A197" s="43">
        <f>IFERROR(INDEX('الوثائق'!$A$3:$A$502,MATCH(191,'الوثائق'!$K$3:$K$502,0)),"")</f>
        <v/>
      </c>
      <c r="B197" s="43">
        <f>IFERROR(INDEX('الوثائق'!$B$3:$B$502,MATCH(191,'الوثائق'!$K$3:$K$502,0)),"")</f>
        <v/>
      </c>
      <c r="C197" s="43">
        <f>IFERROR(INDEX('الوثائق'!$C$3:$C$502,MATCH(191,'الوثائق'!$K$3:$K$502,0)),"")</f>
        <v/>
      </c>
      <c r="D197" s="43">
        <f>IFERROR(INDEX('الوثائق'!$D$3:$D$502,MATCH(191,'الوثائق'!$K$3:$K$502,0)),"")</f>
        <v/>
      </c>
      <c r="E197" s="118">
        <f>IFERROR(INDEX('الوثائق'!$E$3:$E$502,MATCH(191,'الوثائق'!$K$3:$K$502,0)),"")</f>
        <v/>
      </c>
      <c r="F197" s="118">
        <f>IFERROR(INDEX('الوثائق'!$F$3:$F$502,MATCH(191,'الوثائق'!$K$3:$K$502,0)),"")</f>
        <v/>
      </c>
      <c r="G197" s="43">
        <f>IFERROR(INDEX('الوثائق'!$G$3:$G$502,MATCH(191,'الوثائق'!$K$3:$K$502,0)),"")</f>
        <v/>
      </c>
      <c r="H197" s="44">
        <f>IFERROR(INDEX('الوثائق'!$I$3:$I$502,MATCH(191,'الوثائق'!$K$3:$K$502,0)),"")</f>
        <v/>
      </c>
      <c r="I197" s="43">
        <f>IFERROR(INDEX('الوثائق'!$H$3:$H$502,MATCH(191,'الوثائق'!$K$3:$K$502,0)),"")</f>
        <v/>
      </c>
      <c r="J197" s="43">
        <f>IFERROR(INDEX('الوثائق'!$J$3:$J$502,MATCH(191,'الوثائق'!$K$3:$K$502,0)),"")</f>
        <v/>
      </c>
    </row>
    <row r="198">
      <c r="A198" s="50">
        <f>IFERROR(INDEX('الوثائق'!$A$3:$A$502,MATCH(192,'الوثائق'!$K$3:$K$502,0)),"")</f>
        <v/>
      </c>
      <c r="B198" s="50">
        <f>IFERROR(INDEX('الوثائق'!$B$3:$B$502,MATCH(192,'الوثائق'!$K$3:$K$502,0)),"")</f>
        <v/>
      </c>
      <c r="C198" s="50">
        <f>IFERROR(INDEX('الوثائق'!$C$3:$C$502,MATCH(192,'الوثائق'!$K$3:$K$502,0)),"")</f>
        <v/>
      </c>
      <c r="D198" s="50">
        <f>IFERROR(INDEX('الوثائق'!$D$3:$D$502,MATCH(192,'الوثائق'!$K$3:$K$502,0)),"")</f>
        <v/>
      </c>
      <c r="E198" s="119">
        <f>IFERROR(INDEX('الوثائق'!$E$3:$E$502,MATCH(192,'الوثائق'!$K$3:$K$502,0)),"")</f>
        <v/>
      </c>
      <c r="F198" s="119">
        <f>IFERROR(INDEX('الوثائق'!$F$3:$F$502,MATCH(192,'الوثائق'!$K$3:$K$502,0)),"")</f>
        <v/>
      </c>
      <c r="G198" s="50">
        <f>IFERROR(INDEX('الوثائق'!$G$3:$G$502,MATCH(192,'الوثائق'!$K$3:$K$502,0)),"")</f>
        <v/>
      </c>
      <c r="H198" s="51">
        <f>IFERROR(INDEX('الوثائق'!$I$3:$I$502,MATCH(192,'الوثائق'!$K$3:$K$502,0)),"")</f>
        <v/>
      </c>
      <c r="I198" s="50">
        <f>IFERROR(INDEX('الوثائق'!$H$3:$H$502,MATCH(192,'الوثائق'!$K$3:$K$502,0)),"")</f>
        <v/>
      </c>
      <c r="J198" s="50">
        <f>IFERROR(INDEX('الوثائق'!$J$3:$J$502,MATCH(192,'الوثائق'!$K$3:$K$502,0)),"")</f>
        <v/>
      </c>
    </row>
    <row r="199">
      <c r="A199" s="43">
        <f>IFERROR(INDEX('الوثائق'!$A$3:$A$502,MATCH(193,'الوثائق'!$K$3:$K$502,0)),"")</f>
        <v/>
      </c>
      <c r="B199" s="43">
        <f>IFERROR(INDEX('الوثائق'!$B$3:$B$502,MATCH(193,'الوثائق'!$K$3:$K$502,0)),"")</f>
        <v/>
      </c>
      <c r="C199" s="43">
        <f>IFERROR(INDEX('الوثائق'!$C$3:$C$502,MATCH(193,'الوثائق'!$K$3:$K$502,0)),"")</f>
        <v/>
      </c>
      <c r="D199" s="43">
        <f>IFERROR(INDEX('الوثائق'!$D$3:$D$502,MATCH(193,'الوثائق'!$K$3:$K$502,0)),"")</f>
        <v/>
      </c>
      <c r="E199" s="118">
        <f>IFERROR(INDEX('الوثائق'!$E$3:$E$502,MATCH(193,'الوثائق'!$K$3:$K$502,0)),"")</f>
        <v/>
      </c>
      <c r="F199" s="118">
        <f>IFERROR(INDEX('الوثائق'!$F$3:$F$502,MATCH(193,'الوثائق'!$K$3:$K$502,0)),"")</f>
        <v/>
      </c>
      <c r="G199" s="43">
        <f>IFERROR(INDEX('الوثائق'!$G$3:$G$502,MATCH(193,'الوثائق'!$K$3:$K$502,0)),"")</f>
        <v/>
      </c>
      <c r="H199" s="44">
        <f>IFERROR(INDEX('الوثائق'!$I$3:$I$502,MATCH(193,'الوثائق'!$K$3:$K$502,0)),"")</f>
        <v/>
      </c>
      <c r="I199" s="43">
        <f>IFERROR(INDEX('الوثائق'!$H$3:$H$502,MATCH(193,'الوثائق'!$K$3:$K$502,0)),"")</f>
        <v/>
      </c>
      <c r="J199" s="43">
        <f>IFERROR(INDEX('الوثائق'!$J$3:$J$502,MATCH(193,'الوثائق'!$K$3:$K$502,0)),"")</f>
        <v/>
      </c>
    </row>
    <row r="200">
      <c r="A200" s="50">
        <f>IFERROR(INDEX('الوثائق'!$A$3:$A$502,MATCH(194,'الوثائق'!$K$3:$K$502,0)),"")</f>
        <v/>
      </c>
      <c r="B200" s="50">
        <f>IFERROR(INDEX('الوثائق'!$B$3:$B$502,MATCH(194,'الوثائق'!$K$3:$K$502,0)),"")</f>
        <v/>
      </c>
      <c r="C200" s="50">
        <f>IFERROR(INDEX('الوثائق'!$C$3:$C$502,MATCH(194,'الوثائق'!$K$3:$K$502,0)),"")</f>
        <v/>
      </c>
      <c r="D200" s="50">
        <f>IFERROR(INDEX('الوثائق'!$D$3:$D$502,MATCH(194,'الوثائق'!$K$3:$K$502,0)),"")</f>
        <v/>
      </c>
      <c r="E200" s="119">
        <f>IFERROR(INDEX('الوثائق'!$E$3:$E$502,MATCH(194,'الوثائق'!$K$3:$K$502,0)),"")</f>
        <v/>
      </c>
      <c r="F200" s="119">
        <f>IFERROR(INDEX('الوثائق'!$F$3:$F$502,MATCH(194,'الوثائق'!$K$3:$K$502,0)),"")</f>
        <v/>
      </c>
      <c r="G200" s="50">
        <f>IFERROR(INDEX('الوثائق'!$G$3:$G$502,MATCH(194,'الوثائق'!$K$3:$K$502,0)),"")</f>
        <v/>
      </c>
      <c r="H200" s="51">
        <f>IFERROR(INDEX('الوثائق'!$I$3:$I$502,MATCH(194,'الوثائق'!$K$3:$K$502,0)),"")</f>
        <v/>
      </c>
      <c r="I200" s="50">
        <f>IFERROR(INDEX('الوثائق'!$H$3:$H$502,MATCH(194,'الوثائق'!$K$3:$K$502,0)),"")</f>
        <v/>
      </c>
      <c r="J200" s="50">
        <f>IFERROR(INDEX('الوثائق'!$J$3:$J$502,MATCH(194,'الوثائق'!$K$3:$K$502,0)),"")</f>
        <v/>
      </c>
    </row>
    <row r="201">
      <c r="A201" s="43">
        <f>IFERROR(INDEX('الوثائق'!$A$3:$A$502,MATCH(195,'الوثائق'!$K$3:$K$502,0)),"")</f>
        <v/>
      </c>
      <c r="B201" s="43">
        <f>IFERROR(INDEX('الوثائق'!$B$3:$B$502,MATCH(195,'الوثائق'!$K$3:$K$502,0)),"")</f>
        <v/>
      </c>
      <c r="C201" s="43">
        <f>IFERROR(INDEX('الوثائق'!$C$3:$C$502,MATCH(195,'الوثائق'!$K$3:$K$502,0)),"")</f>
        <v/>
      </c>
      <c r="D201" s="43">
        <f>IFERROR(INDEX('الوثائق'!$D$3:$D$502,MATCH(195,'الوثائق'!$K$3:$K$502,0)),"")</f>
        <v/>
      </c>
      <c r="E201" s="118">
        <f>IFERROR(INDEX('الوثائق'!$E$3:$E$502,MATCH(195,'الوثائق'!$K$3:$K$502,0)),"")</f>
        <v/>
      </c>
      <c r="F201" s="118">
        <f>IFERROR(INDEX('الوثائق'!$F$3:$F$502,MATCH(195,'الوثائق'!$K$3:$K$502,0)),"")</f>
        <v/>
      </c>
      <c r="G201" s="43">
        <f>IFERROR(INDEX('الوثائق'!$G$3:$G$502,MATCH(195,'الوثائق'!$K$3:$K$502,0)),"")</f>
        <v/>
      </c>
      <c r="H201" s="44">
        <f>IFERROR(INDEX('الوثائق'!$I$3:$I$502,MATCH(195,'الوثائق'!$K$3:$K$502,0)),"")</f>
        <v/>
      </c>
      <c r="I201" s="43">
        <f>IFERROR(INDEX('الوثائق'!$H$3:$H$502,MATCH(195,'الوثائق'!$K$3:$K$502,0)),"")</f>
        <v/>
      </c>
      <c r="J201" s="43">
        <f>IFERROR(INDEX('الوثائق'!$J$3:$J$502,MATCH(195,'الوثائق'!$K$3:$K$502,0)),"")</f>
        <v/>
      </c>
    </row>
    <row r="202">
      <c r="A202" s="50">
        <f>IFERROR(INDEX('الوثائق'!$A$3:$A$502,MATCH(196,'الوثائق'!$K$3:$K$502,0)),"")</f>
        <v/>
      </c>
      <c r="B202" s="50">
        <f>IFERROR(INDEX('الوثائق'!$B$3:$B$502,MATCH(196,'الوثائق'!$K$3:$K$502,0)),"")</f>
        <v/>
      </c>
      <c r="C202" s="50">
        <f>IFERROR(INDEX('الوثائق'!$C$3:$C$502,MATCH(196,'الوثائق'!$K$3:$K$502,0)),"")</f>
        <v/>
      </c>
      <c r="D202" s="50">
        <f>IFERROR(INDEX('الوثائق'!$D$3:$D$502,MATCH(196,'الوثائق'!$K$3:$K$502,0)),"")</f>
        <v/>
      </c>
      <c r="E202" s="119">
        <f>IFERROR(INDEX('الوثائق'!$E$3:$E$502,MATCH(196,'الوثائق'!$K$3:$K$502,0)),"")</f>
        <v/>
      </c>
      <c r="F202" s="119">
        <f>IFERROR(INDEX('الوثائق'!$F$3:$F$502,MATCH(196,'الوثائق'!$K$3:$K$502,0)),"")</f>
        <v/>
      </c>
      <c r="G202" s="50">
        <f>IFERROR(INDEX('الوثائق'!$G$3:$G$502,MATCH(196,'الوثائق'!$K$3:$K$502,0)),"")</f>
        <v/>
      </c>
      <c r="H202" s="51">
        <f>IFERROR(INDEX('الوثائق'!$I$3:$I$502,MATCH(196,'الوثائق'!$K$3:$K$502,0)),"")</f>
        <v/>
      </c>
      <c r="I202" s="50">
        <f>IFERROR(INDEX('الوثائق'!$H$3:$H$502,MATCH(196,'الوثائق'!$K$3:$K$502,0)),"")</f>
        <v/>
      </c>
      <c r="J202" s="50">
        <f>IFERROR(INDEX('الوثائق'!$J$3:$J$502,MATCH(196,'الوثائق'!$K$3:$K$502,0)),"")</f>
        <v/>
      </c>
    </row>
    <row r="203">
      <c r="A203" s="43">
        <f>IFERROR(INDEX('الوثائق'!$A$3:$A$502,MATCH(197,'الوثائق'!$K$3:$K$502,0)),"")</f>
        <v/>
      </c>
      <c r="B203" s="43">
        <f>IFERROR(INDEX('الوثائق'!$B$3:$B$502,MATCH(197,'الوثائق'!$K$3:$K$502,0)),"")</f>
        <v/>
      </c>
      <c r="C203" s="43">
        <f>IFERROR(INDEX('الوثائق'!$C$3:$C$502,MATCH(197,'الوثائق'!$K$3:$K$502,0)),"")</f>
        <v/>
      </c>
      <c r="D203" s="43">
        <f>IFERROR(INDEX('الوثائق'!$D$3:$D$502,MATCH(197,'الوثائق'!$K$3:$K$502,0)),"")</f>
        <v/>
      </c>
      <c r="E203" s="118">
        <f>IFERROR(INDEX('الوثائق'!$E$3:$E$502,MATCH(197,'الوثائق'!$K$3:$K$502,0)),"")</f>
        <v/>
      </c>
      <c r="F203" s="118">
        <f>IFERROR(INDEX('الوثائق'!$F$3:$F$502,MATCH(197,'الوثائق'!$K$3:$K$502,0)),"")</f>
        <v/>
      </c>
      <c r="G203" s="43">
        <f>IFERROR(INDEX('الوثائق'!$G$3:$G$502,MATCH(197,'الوثائق'!$K$3:$K$502,0)),"")</f>
        <v/>
      </c>
      <c r="H203" s="44">
        <f>IFERROR(INDEX('الوثائق'!$I$3:$I$502,MATCH(197,'الوثائق'!$K$3:$K$502,0)),"")</f>
        <v/>
      </c>
      <c r="I203" s="43">
        <f>IFERROR(INDEX('الوثائق'!$H$3:$H$502,MATCH(197,'الوثائق'!$K$3:$K$502,0)),"")</f>
        <v/>
      </c>
      <c r="J203" s="43">
        <f>IFERROR(INDEX('الوثائق'!$J$3:$J$502,MATCH(197,'الوثائق'!$K$3:$K$502,0)),"")</f>
        <v/>
      </c>
    </row>
    <row r="204">
      <c r="A204" s="50">
        <f>IFERROR(INDEX('الوثائق'!$A$3:$A$502,MATCH(198,'الوثائق'!$K$3:$K$502,0)),"")</f>
        <v/>
      </c>
      <c r="B204" s="50">
        <f>IFERROR(INDEX('الوثائق'!$B$3:$B$502,MATCH(198,'الوثائق'!$K$3:$K$502,0)),"")</f>
        <v/>
      </c>
      <c r="C204" s="50">
        <f>IFERROR(INDEX('الوثائق'!$C$3:$C$502,MATCH(198,'الوثائق'!$K$3:$K$502,0)),"")</f>
        <v/>
      </c>
      <c r="D204" s="50">
        <f>IFERROR(INDEX('الوثائق'!$D$3:$D$502,MATCH(198,'الوثائق'!$K$3:$K$502,0)),"")</f>
        <v/>
      </c>
      <c r="E204" s="119">
        <f>IFERROR(INDEX('الوثائق'!$E$3:$E$502,MATCH(198,'الوثائق'!$K$3:$K$502,0)),"")</f>
        <v/>
      </c>
      <c r="F204" s="119">
        <f>IFERROR(INDEX('الوثائق'!$F$3:$F$502,MATCH(198,'الوثائق'!$K$3:$K$502,0)),"")</f>
        <v/>
      </c>
      <c r="G204" s="50">
        <f>IFERROR(INDEX('الوثائق'!$G$3:$G$502,MATCH(198,'الوثائق'!$K$3:$K$502,0)),"")</f>
        <v/>
      </c>
      <c r="H204" s="51">
        <f>IFERROR(INDEX('الوثائق'!$I$3:$I$502,MATCH(198,'الوثائق'!$K$3:$K$502,0)),"")</f>
        <v/>
      </c>
      <c r="I204" s="50">
        <f>IFERROR(INDEX('الوثائق'!$H$3:$H$502,MATCH(198,'الوثائق'!$K$3:$K$502,0)),"")</f>
        <v/>
      </c>
      <c r="J204" s="50">
        <f>IFERROR(INDEX('الوثائق'!$J$3:$J$502,MATCH(198,'الوثائق'!$K$3:$K$502,0)),"")</f>
        <v/>
      </c>
    </row>
    <row r="205">
      <c r="A205" s="43">
        <f>IFERROR(INDEX('الوثائق'!$A$3:$A$502,MATCH(199,'الوثائق'!$K$3:$K$502,0)),"")</f>
        <v/>
      </c>
      <c r="B205" s="43">
        <f>IFERROR(INDEX('الوثائق'!$B$3:$B$502,MATCH(199,'الوثائق'!$K$3:$K$502,0)),"")</f>
        <v/>
      </c>
      <c r="C205" s="43">
        <f>IFERROR(INDEX('الوثائق'!$C$3:$C$502,MATCH(199,'الوثائق'!$K$3:$K$502,0)),"")</f>
        <v/>
      </c>
      <c r="D205" s="43">
        <f>IFERROR(INDEX('الوثائق'!$D$3:$D$502,MATCH(199,'الوثائق'!$K$3:$K$502,0)),"")</f>
        <v/>
      </c>
      <c r="E205" s="118">
        <f>IFERROR(INDEX('الوثائق'!$E$3:$E$502,MATCH(199,'الوثائق'!$K$3:$K$502,0)),"")</f>
        <v/>
      </c>
      <c r="F205" s="118">
        <f>IFERROR(INDEX('الوثائق'!$F$3:$F$502,MATCH(199,'الوثائق'!$K$3:$K$502,0)),"")</f>
        <v/>
      </c>
      <c r="G205" s="43">
        <f>IFERROR(INDEX('الوثائق'!$G$3:$G$502,MATCH(199,'الوثائق'!$K$3:$K$502,0)),"")</f>
        <v/>
      </c>
      <c r="H205" s="44">
        <f>IFERROR(INDEX('الوثائق'!$I$3:$I$502,MATCH(199,'الوثائق'!$K$3:$K$502,0)),"")</f>
        <v/>
      </c>
      <c r="I205" s="43">
        <f>IFERROR(INDEX('الوثائق'!$H$3:$H$502,MATCH(199,'الوثائق'!$K$3:$K$502,0)),"")</f>
        <v/>
      </c>
      <c r="J205" s="43">
        <f>IFERROR(INDEX('الوثائق'!$J$3:$J$502,MATCH(199,'الوثائق'!$K$3:$K$502,0)),"")</f>
        <v/>
      </c>
    </row>
    <row r="206">
      <c r="A206" s="50">
        <f>IFERROR(INDEX('الوثائق'!$A$3:$A$502,MATCH(200,'الوثائق'!$K$3:$K$502,0)),"")</f>
        <v/>
      </c>
      <c r="B206" s="50">
        <f>IFERROR(INDEX('الوثائق'!$B$3:$B$502,MATCH(200,'الوثائق'!$K$3:$K$502,0)),"")</f>
        <v/>
      </c>
      <c r="C206" s="50">
        <f>IFERROR(INDEX('الوثائق'!$C$3:$C$502,MATCH(200,'الوثائق'!$K$3:$K$502,0)),"")</f>
        <v/>
      </c>
      <c r="D206" s="50">
        <f>IFERROR(INDEX('الوثائق'!$D$3:$D$502,MATCH(200,'الوثائق'!$K$3:$K$502,0)),"")</f>
        <v/>
      </c>
      <c r="E206" s="119">
        <f>IFERROR(INDEX('الوثائق'!$E$3:$E$502,MATCH(200,'الوثائق'!$K$3:$K$502,0)),"")</f>
        <v/>
      </c>
      <c r="F206" s="119">
        <f>IFERROR(INDEX('الوثائق'!$F$3:$F$502,MATCH(200,'الوثائق'!$K$3:$K$502,0)),"")</f>
        <v/>
      </c>
      <c r="G206" s="50">
        <f>IFERROR(INDEX('الوثائق'!$G$3:$G$502,MATCH(200,'الوثائق'!$K$3:$K$502,0)),"")</f>
        <v/>
      </c>
      <c r="H206" s="51">
        <f>IFERROR(INDEX('الوثائق'!$I$3:$I$502,MATCH(200,'الوثائق'!$K$3:$K$502,0)),"")</f>
        <v/>
      </c>
      <c r="I206" s="50">
        <f>IFERROR(INDEX('الوثائق'!$H$3:$H$502,MATCH(200,'الوثائق'!$K$3:$K$502,0)),"")</f>
        <v/>
      </c>
      <c r="J206" s="50">
        <f>IFERROR(INDEX('الوثائق'!$J$3:$J$502,MATCH(200,'الوثائق'!$K$3:$K$502,0)),"")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05"/>
  <mergeCells count="4">
    <mergeCell ref="A3:E3"/>
    <mergeCell ref="A1:J1"/>
    <mergeCell ref="F3:J3"/>
    <mergeCell ref="A2:J2"/>
  </mergeCells>
  <pageMargins left="0.75" right="0.75" top="1" bottom="1" header="0.5" footer="0.5"/>
  <pageSetup orientation="landscape" paperSize="9" fitToHeight="0" fitToWidth="1"/>
  <headerFooter>
    <oddHeader/>
    <oddFooter>&amp;L&amp;8 نظام إدارة الموارد البشرية&amp;R&amp;8 صفحة &amp;P من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L206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18" customWidth="1" min="4" max="4"/>
    <col width="18" customWidth="1" min="5" max="5"/>
    <col width="12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5" customWidth="1" min="12" max="12"/>
  </cols>
  <sheetData>
    <row r="1" ht="30" customHeight="1">
      <c r="A1" s="1">
        <f>اسم_المؤسسة</f>
        <v/>
      </c>
    </row>
    <row r="2" ht="26" customHeight="1">
      <c r="A2" s="65" t="inlineStr">
        <is>
          <t>تقرير التوظيف والتعيينات الجديدة</t>
        </is>
      </c>
    </row>
    <row r="3">
      <c r="A3" s="66">
        <f>"تاريخ إعداد التقرير: "&amp;TEXT(TODAY(),"yyyy-mm-dd")</f>
        <v/>
      </c>
      <c r="G3" s="6">
        <f>"السنة المالية: "&amp;السنة_المالية</f>
        <v/>
      </c>
    </row>
    <row r="6" ht="34" customHeight="1">
      <c r="A6" s="67" t="inlineStr">
        <is>
          <t>رقم الطلب</t>
        </is>
      </c>
      <c r="B6" s="67" t="inlineStr">
        <is>
          <t>اسم المتقدم</t>
        </is>
      </c>
      <c r="C6" s="67" t="inlineStr">
        <is>
          <t>الوظيفة المطلوبة</t>
        </is>
      </c>
      <c r="D6" s="67" t="inlineStr">
        <is>
          <t>الإدارة المطلوبة</t>
        </is>
      </c>
      <c r="E6" s="67" t="inlineStr">
        <is>
          <t>المؤهل</t>
        </is>
      </c>
      <c r="F6" s="67" t="inlineStr">
        <is>
          <t>سنوات الخبرة</t>
        </is>
      </c>
      <c r="G6" s="67" t="inlineStr">
        <is>
          <t>تاريخ التقديم</t>
        </is>
      </c>
      <c r="H6" s="67" t="inlineStr">
        <is>
          <t>حالة الطلب</t>
        </is>
      </c>
      <c r="I6" s="67" t="inlineStr">
        <is>
          <t>موعد المقابلة</t>
        </is>
      </c>
      <c r="J6" s="67" t="inlineStr">
        <is>
          <t>نتيجة المقابلة</t>
        </is>
      </c>
      <c r="K6" s="67" t="inlineStr">
        <is>
          <t>القرار النهائي</t>
        </is>
      </c>
      <c r="L6" s="67" t="inlineStr">
        <is>
          <t>تاريخ المباشرة المتوقع</t>
        </is>
      </c>
    </row>
    <row r="7">
      <c r="A7" s="43">
        <f>IFERROR(INDEX('التوظيف'!$A$3:$A$502,1),"")</f>
        <v/>
      </c>
      <c r="B7" s="43">
        <f>IFERROR(INDEX('التوظيف'!$B$3:$B$502,1),"")</f>
        <v/>
      </c>
      <c r="C7" s="43">
        <f>IFERROR(INDEX('التوظيف'!$C$3:$C$502,1),"")</f>
        <v/>
      </c>
      <c r="D7" s="43">
        <f>IFERROR(INDEX('التوظيف'!$D$3:$D$502,1),"")</f>
        <v/>
      </c>
      <c r="E7" s="43">
        <f>IFERROR(INDEX('التوظيف'!$E$3:$E$502,1),"")</f>
        <v/>
      </c>
      <c r="F7" s="44">
        <f>IFERROR(INDEX('التوظيف'!$F$3:$F$502,1),"")</f>
        <v/>
      </c>
      <c r="G7" s="118">
        <f>IFERROR(INDEX('التوظيف'!$G$3:$G$502,1),"")</f>
        <v/>
      </c>
      <c r="H7" s="43">
        <f>IFERROR(INDEX('التوظيف'!$H$3:$H$502,1),"")</f>
        <v/>
      </c>
      <c r="I7" s="118">
        <f>IFERROR(INDEX('التوظيف'!$I$3:$I$502,1),"")</f>
        <v/>
      </c>
      <c r="J7" s="43">
        <f>IFERROR(INDEX('التوظيف'!$J$3:$J$502,1),"")</f>
        <v/>
      </c>
      <c r="K7" s="43">
        <f>IFERROR(INDEX('التوظيف'!$K$3:$K$502,1),"")</f>
        <v/>
      </c>
      <c r="L7" s="118">
        <f>IFERROR(INDEX('التوظيف'!$L$3:$L$502,1),"")</f>
        <v/>
      </c>
    </row>
    <row r="8">
      <c r="A8" s="50">
        <f>IFERROR(INDEX('التوظيف'!$A$3:$A$502,2),"")</f>
        <v/>
      </c>
      <c r="B8" s="50">
        <f>IFERROR(INDEX('التوظيف'!$B$3:$B$502,2),"")</f>
        <v/>
      </c>
      <c r="C8" s="50">
        <f>IFERROR(INDEX('التوظيف'!$C$3:$C$502,2),"")</f>
        <v/>
      </c>
      <c r="D8" s="50">
        <f>IFERROR(INDEX('التوظيف'!$D$3:$D$502,2),"")</f>
        <v/>
      </c>
      <c r="E8" s="50">
        <f>IFERROR(INDEX('التوظيف'!$E$3:$E$502,2),"")</f>
        <v/>
      </c>
      <c r="F8" s="51">
        <f>IFERROR(INDEX('التوظيف'!$F$3:$F$502,2),"")</f>
        <v/>
      </c>
      <c r="G8" s="119">
        <f>IFERROR(INDEX('التوظيف'!$G$3:$G$502,2),"")</f>
        <v/>
      </c>
      <c r="H8" s="50">
        <f>IFERROR(INDEX('التوظيف'!$H$3:$H$502,2),"")</f>
        <v/>
      </c>
      <c r="I8" s="119">
        <f>IFERROR(INDEX('التوظيف'!$I$3:$I$502,2),"")</f>
        <v/>
      </c>
      <c r="J8" s="50">
        <f>IFERROR(INDEX('التوظيف'!$J$3:$J$502,2),"")</f>
        <v/>
      </c>
      <c r="K8" s="50">
        <f>IFERROR(INDEX('التوظيف'!$K$3:$K$502,2),"")</f>
        <v/>
      </c>
      <c r="L8" s="119">
        <f>IFERROR(INDEX('التوظيف'!$L$3:$L$502,2),"")</f>
        <v/>
      </c>
    </row>
    <row r="9">
      <c r="A9" s="43">
        <f>IFERROR(INDEX('التوظيف'!$A$3:$A$502,3),"")</f>
        <v/>
      </c>
      <c r="B9" s="43">
        <f>IFERROR(INDEX('التوظيف'!$B$3:$B$502,3),"")</f>
        <v/>
      </c>
      <c r="C9" s="43">
        <f>IFERROR(INDEX('التوظيف'!$C$3:$C$502,3),"")</f>
        <v/>
      </c>
      <c r="D9" s="43">
        <f>IFERROR(INDEX('التوظيف'!$D$3:$D$502,3),"")</f>
        <v/>
      </c>
      <c r="E9" s="43">
        <f>IFERROR(INDEX('التوظيف'!$E$3:$E$502,3),"")</f>
        <v/>
      </c>
      <c r="F9" s="44">
        <f>IFERROR(INDEX('التوظيف'!$F$3:$F$502,3),"")</f>
        <v/>
      </c>
      <c r="G9" s="118">
        <f>IFERROR(INDEX('التوظيف'!$G$3:$G$502,3),"")</f>
        <v/>
      </c>
      <c r="H9" s="43">
        <f>IFERROR(INDEX('التوظيف'!$H$3:$H$502,3),"")</f>
        <v/>
      </c>
      <c r="I9" s="118">
        <f>IFERROR(INDEX('التوظيف'!$I$3:$I$502,3),"")</f>
        <v/>
      </c>
      <c r="J9" s="43">
        <f>IFERROR(INDEX('التوظيف'!$J$3:$J$502,3),"")</f>
        <v/>
      </c>
      <c r="K9" s="43">
        <f>IFERROR(INDEX('التوظيف'!$K$3:$K$502,3),"")</f>
        <v/>
      </c>
      <c r="L9" s="118">
        <f>IFERROR(INDEX('التوظيف'!$L$3:$L$502,3),"")</f>
        <v/>
      </c>
    </row>
    <row r="10">
      <c r="A10" s="50">
        <f>IFERROR(INDEX('التوظيف'!$A$3:$A$502,4),"")</f>
        <v/>
      </c>
      <c r="B10" s="50">
        <f>IFERROR(INDEX('التوظيف'!$B$3:$B$502,4),"")</f>
        <v/>
      </c>
      <c r="C10" s="50">
        <f>IFERROR(INDEX('التوظيف'!$C$3:$C$502,4),"")</f>
        <v/>
      </c>
      <c r="D10" s="50">
        <f>IFERROR(INDEX('التوظيف'!$D$3:$D$502,4),"")</f>
        <v/>
      </c>
      <c r="E10" s="50">
        <f>IFERROR(INDEX('التوظيف'!$E$3:$E$502,4),"")</f>
        <v/>
      </c>
      <c r="F10" s="51">
        <f>IFERROR(INDEX('التوظيف'!$F$3:$F$502,4),"")</f>
        <v/>
      </c>
      <c r="G10" s="119">
        <f>IFERROR(INDEX('التوظيف'!$G$3:$G$502,4),"")</f>
        <v/>
      </c>
      <c r="H10" s="50">
        <f>IFERROR(INDEX('التوظيف'!$H$3:$H$502,4),"")</f>
        <v/>
      </c>
      <c r="I10" s="119">
        <f>IFERROR(INDEX('التوظيف'!$I$3:$I$502,4),"")</f>
        <v/>
      </c>
      <c r="J10" s="50">
        <f>IFERROR(INDEX('التوظيف'!$J$3:$J$502,4),"")</f>
        <v/>
      </c>
      <c r="K10" s="50">
        <f>IFERROR(INDEX('التوظيف'!$K$3:$K$502,4),"")</f>
        <v/>
      </c>
      <c r="L10" s="119">
        <f>IFERROR(INDEX('التوظيف'!$L$3:$L$502,4),"")</f>
        <v/>
      </c>
    </row>
    <row r="11">
      <c r="A11" s="43">
        <f>IFERROR(INDEX('التوظيف'!$A$3:$A$502,5),"")</f>
        <v/>
      </c>
      <c r="B11" s="43">
        <f>IFERROR(INDEX('التوظيف'!$B$3:$B$502,5),"")</f>
        <v/>
      </c>
      <c r="C11" s="43">
        <f>IFERROR(INDEX('التوظيف'!$C$3:$C$502,5),"")</f>
        <v/>
      </c>
      <c r="D11" s="43">
        <f>IFERROR(INDEX('التوظيف'!$D$3:$D$502,5),"")</f>
        <v/>
      </c>
      <c r="E11" s="43">
        <f>IFERROR(INDEX('التوظيف'!$E$3:$E$502,5),"")</f>
        <v/>
      </c>
      <c r="F11" s="44">
        <f>IFERROR(INDEX('التوظيف'!$F$3:$F$502,5),"")</f>
        <v/>
      </c>
      <c r="G11" s="118">
        <f>IFERROR(INDEX('التوظيف'!$G$3:$G$502,5),"")</f>
        <v/>
      </c>
      <c r="H11" s="43">
        <f>IFERROR(INDEX('التوظيف'!$H$3:$H$502,5),"")</f>
        <v/>
      </c>
      <c r="I11" s="118">
        <f>IFERROR(INDEX('التوظيف'!$I$3:$I$502,5),"")</f>
        <v/>
      </c>
      <c r="J11" s="43">
        <f>IFERROR(INDEX('التوظيف'!$J$3:$J$502,5),"")</f>
        <v/>
      </c>
      <c r="K11" s="43">
        <f>IFERROR(INDEX('التوظيف'!$K$3:$K$502,5),"")</f>
        <v/>
      </c>
      <c r="L11" s="118">
        <f>IFERROR(INDEX('التوظيف'!$L$3:$L$502,5),"")</f>
        <v/>
      </c>
    </row>
    <row r="12">
      <c r="A12" s="50">
        <f>IFERROR(INDEX('التوظيف'!$A$3:$A$502,6),"")</f>
        <v/>
      </c>
      <c r="B12" s="50">
        <f>IFERROR(INDEX('التوظيف'!$B$3:$B$502,6),"")</f>
        <v/>
      </c>
      <c r="C12" s="50">
        <f>IFERROR(INDEX('التوظيف'!$C$3:$C$502,6),"")</f>
        <v/>
      </c>
      <c r="D12" s="50">
        <f>IFERROR(INDEX('التوظيف'!$D$3:$D$502,6),"")</f>
        <v/>
      </c>
      <c r="E12" s="50">
        <f>IFERROR(INDEX('التوظيف'!$E$3:$E$502,6),"")</f>
        <v/>
      </c>
      <c r="F12" s="51">
        <f>IFERROR(INDEX('التوظيف'!$F$3:$F$502,6),"")</f>
        <v/>
      </c>
      <c r="G12" s="119">
        <f>IFERROR(INDEX('التوظيف'!$G$3:$G$502,6),"")</f>
        <v/>
      </c>
      <c r="H12" s="50">
        <f>IFERROR(INDEX('التوظيف'!$H$3:$H$502,6),"")</f>
        <v/>
      </c>
      <c r="I12" s="119">
        <f>IFERROR(INDEX('التوظيف'!$I$3:$I$502,6),"")</f>
        <v/>
      </c>
      <c r="J12" s="50">
        <f>IFERROR(INDEX('التوظيف'!$J$3:$J$502,6),"")</f>
        <v/>
      </c>
      <c r="K12" s="50">
        <f>IFERROR(INDEX('التوظيف'!$K$3:$K$502,6),"")</f>
        <v/>
      </c>
      <c r="L12" s="119">
        <f>IFERROR(INDEX('التوظيف'!$L$3:$L$502,6),"")</f>
        <v/>
      </c>
    </row>
    <row r="13">
      <c r="A13" s="43">
        <f>IFERROR(INDEX('التوظيف'!$A$3:$A$502,7),"")</f>
        <v/>
      </c>
      <c r="B13" s="43">
        <f>IFERROR(INDEX('التوظيف'!$B$3:$B$502,7),"")</f>
        <v/>
      </c>
      <c r="C13" s="43">
        <f>IFERROR(INDEX('التوظيف'!$C$3:$C$502,7),"")</f>
        <v/>
      </c>
      <c r="D13" s="43">
        <f>IFERROR(INDEX('التوظيف'!$D$3:$D$502,7),"")</f>
        <v/>
      </c>
      <c r="E13" s="43">
        <f>IFERROR(INDEX('التوظيف'!$E$3:$E$502,7),"")</f>
        <v/>
      </c>
      <c r="F13" s="44">
        <f>IFERROR(INDEX('التوظيف'!$F$3:$F$502,7),"")</f>
        <v/>
      </c>
      <c r="G13" s="118">
        <f>IFERROR(INDEX('التوظيف'!$G$3:$G$502,7),"")</f>
        <v/>
      </c>
      <c r="H13" s="43">
        <f>IFERROR(INDEX('التوظيف'!$H$3:$H$502,7),"")</f>
        <v/>
      </c>
      <c r="I13" s="118">
        <f>IFERROR(INDEX('التوظيف'!$I$3:$I$502,7),"")</f>
        <v/>
      </c>
      <c r="J13" s="43">
        <f>IFERROR(INDEX('التوظيف'!$J$3:$J$502,7),"")</f>
        <v/>
      </c>
      <c r="K13" s="43">
        <f>IFERROR(INDEX('التوظيف'!$K$3:$K$502,7),"")</f>
        <v/>
      </c>
      <c r="L13" s="118">
        <f>IFERROR(INDEX('التوظيف'!$L$3:$L$502,7),"")</f>
        <v/>
      </c>
    </row>
    <row r="14">
      <c r="A14" s="50">
        <f>IFERROR(INDEX('التوظيف'!$A$3:$A$502,8),"")</f>
        <v/>
      </c>
      <c r="B14" s="50">
        <f>IFERROR(INDEX('التوظيف'!$B$3:$B$502,8),"")</f>
        <v/>
      </c>
      <c r="C14" s="50">
        <f>IFERROR(INDEX('التوظيف'!$C$3:$C$502,8),"")</f>
        <v/>
      </c>
      <c r="D14" s="50">
        <f>IFERROR(INDEX('التوظيف'!$D$3:$D$502,8),"")</f>
        <v/>
      </c>
      <c r="E14" s="50">
        <f>IFERROR(INDEX('التوظيف'!$E$3:$E$502,8),"")</f>
        <v/>
      </c>
      <c r="F14" s="51">
        <f>IFERROR(INDEX('التوظيف'!$F$3:$F$502,8),"")</f>
        <v/>
      </c>
      <c r="G14" s="119">
        <f>IFERROR(INDEX('التوظيف'!$G$3:$G$502,8),"")</f>
        <v/>
      </c>
      <c r="H14" s="50">
        <f>IFERROR(INDEX('التوظيف'!$H$3:$H$502,8),"")</f>
        <v/>
      </c>
      <c r="I14" s="119">
        <f>IFERROR(INDEX('التوظيف'!$I$3:$I$502,8),"")</f>
        <v/>
      </c>
      <c r="J14" s="50">
        <f>IFERROR(INDEX('التوظيف'!$J$3:$J$502,8),"")</f>
        <v/>
      </c>
      <c r="K14" s="50">
        <f>IFERROR(INDEX('التوظيف'!$K$3:$K$502,8),"")</f>
        <v/>
      </c>
      <c r="L14" s="119">
        <f>IFERROR(INDEX('التوظيف'!$L$3:$L$502,8),"")</f>
        <v/>
      </c>
    </row>
    <row r="15">
      <c r="A15" s="43">
        <f>IFERROR(INDEX('التوظيف'!$A$3:$A$502,9),"")</f>
        <v/>
      </c>
      <c r="B15" s="43">
        <f>IFERROR(INDEX('التوظيف'!$B$3:$B$502,9),"")</f>
        <v/>
      </c>
      <c r="C15" s="43">
        <f>IFERROR(INDEX('التوظيف'!$C$3:$C$502,9),"")</f>
        <v/>
      </c>
      <c r="D15" s="43">
        <f>IFERROR(INDEX('التوظيف'!$D$3:$D$502,9),"")</f>
        <v/>
      </c>
      <c r="E15" s="43">
        <f>IFERROR(INDEX('التوظيف'!$E$3:$E$502,9),"")</f>
        <v/>
      </c>
      <c r="F15" s="44">
        <f>IFERROR(INDEX('التوظيف'!$F$3:$F$502,9),"")</f>
        <v/>
      </c>
      <c r="G15" s="118">
        <f>IFERROR(INDEX('التوظيف'!$G$3:$G$502,9),"")</f>
        <v/>
      </c>
      <c r="H15" s="43">
        <f>IFERROR(INDEX('التوظيف'!$H$3:$H$502,9),"")</f>
        <v/>
      </c>
      <c r="I15" s="118">
        <f>IFERROR(INDEX('التوظيف'!$I$3:$I$502,9),"")</f>
        <v/>
      </c>
      <c r="J15" s="43">
        <f>IFERROR(INDEX('التوظيف'!$J$3:$J$502,9),"")</f>
        <v/>
      </c>
      <c r="K15" s="43">
        <f>IFERROR(INDEX('التوظيف'!$K$3:$K$502,9),"")</f>
        <v/>
      </c>
      <c r="L15" s="118">
        <f>IFERROR(INDEX('التوظيف'!$L$3:$L$502,9),"")</f>
        <v/>
      </c>
    </row>
    <row r="16">
      <c r="A16" s="50">
        <f>IFERROR(INDEX('التوظيف'!$A$3:$A$502,10),"")</f>
        <v/>
      </c>
      <c r="B16" s="50">
        <f>IFERROR(INDEX('التوظيف'!$B$3:$B$502,10),"")</f>
        <v/>
      </c>
      <c r="C16" s="50">
        <f>IFERROR(INDEX('التوظيف'!$C$3:$C$502,10),"")</f>
        <v/>
      </c>
      <c r="D16" s="50">
        <f>IFERROR(INDEX('التوظيف'!$D$3:$D$502,10),"")</f>
        <v/>
      </c>
      <c r="E16" s="50">
        <f>IFERROR(INDEX('التوظيف'!$E$3:$E$502,10),"")</f>
        <v/>
      </c>
      <c r="F16" s="51">
        <f>IFERROR(INDEX('التوظيف'!$F$3:$F$502,10),"")</f>
        <v/>
      </c>
      <c r="G16" s="119">
        <f>IFERROR(INDEX('التوظيف'!$G$3:$G$502,10),"")</f>
        <v/>
      </c>
      <c r="H16" s="50">
        <f>IFERROR(INDEX('التوظيف'!$H$3:$H$502,10),"")</f>
        <v/>
      </c>
      <c r="I16" s="119">
        <f>IFERROR(INDEX('التوظيف'!$I$3:$I$502,10),"")</f>
        <v/>
      </c>
      <c r="J16" s="50">
        <f>IFERROR(INDEX('التوظيف'!$J$3:$J$502,10),"")</f>
        <v/>
      </c>
      <c r="K16" s="50">
        <f>IFERROR(INDEX('التوظيف'!$K$3:$K$502,10),"")</f>
        <v/>
      </c>
      <c r="L16" s="119">
        <f>IFERROR(INDEX('التوظيف'!$L$3:$L$502,10),"")</f>
        <v/>
      </c>
    </row>
    <row r="17">
      <c r="A17" s="43">
        <f>IFERROR(INDEX('التوظيف'!$A$3:$A$502,11),"")</f>
        <v/>
      </c>
      <c r="B17" s="43">
        <f>IFERROR(INDEX('التوظيف'!$B$3:$B$502,11),"")</f>
        <v/>
      </c>
      <c r="C17" s="43">
        <f>IFERROR(INDEX('التوظيف'!$C$3:$C$502,11),"")</f>
        <v/>
      </c>
      <c r="D17" s="43">
        <f>IFERROR(INDEX('التوظيف'!$D$3:$D$502,11),"")</f>
        <v/>
      </c>
      <c r="E17" s="43">
        <f>IFERROR(INDEX('التوظيف'!$E$3:$E$502,11),"")</f>
        <v/>
      </c>
      <c r="F17" s="44">
        <f>IFERROR(INDEX('التوظيف'!$F$3:$F$502,11),"")</f>
        <v/>
      </c>
      <c r="G17" s="118">
        <f>IFERROR(INDEX('التوظيف'!$G$3:$G$502,11),"")</f>
        <v/>
      </c>
      <c r="H17" s="43">
        <f>IFERROR(INDEX('التوظيف'!$H$3:$H$502,11),"")</f>
        <v/>
      </c>
      <c r="I17" s="118">
        <f>IFERROR(INDEX('التوظيف'!$I$3:$I$502,11),"")</f>
        <v/>
      </c>
      <c r="J17" s="43">
        <f>IFERROR(INDEX('التوظيف'!$J$3:$J$502,11),"")</f>
        <v/>
      </c>
      <c r="K17" s="43">
        <f>IFERROR(INDEX('التوظيف'!$K$3:$K$502,11),"")</f>
        <v/>
      </c>
      <c r="L17" s="118">
        <f>IFERROR(INDEX('التوظيف'!$L$3:$L$502,11),"")</f>
        <v/>
      </c>
    </row>
    <row r="18">
      <c r="A18" s="50">
        <f>IFERROR(INDEX('التوظيف'!$A$3:$A$502,12),"")</f>
        <v/>
      </c>
      <c r="B18" s="50">
        <f>IFERROR(INDEX('التوظيف'!$B$3:$B$502,12),"")</f>
        <v/>
      </c>
      <c r="C18" s="50">
        <f>IFERROR(INDEX('التوظيف'!$C$3:$C$502,12),"")</f>
        <v/>
      </c>
      <c r="D18" s="50">
        <f>IFERROR(INDEX('التوظيف'!$D$3:$D$502,12),"")</f>
        <v/>
      </c>
      <c r="E18" s="50">
        <f>IFERROR(INDEX('التوظيف'!$E$3:$E$502,12),"")</f>
        <v/>
      </c>
      <c r="F18" s="51">
        <f>IFERROR(INDEX('التوظيف'!$F$3:$F$502,12),"")</f>
        <v/>
      </c>
      <c r="G18" s="119">
        <f>IFERROR(INDEX('التوظيف'!$G$3:$G$502,12),"")</f>
        <v/>
      </c>
      <c r="H18" s="50">
        <f>IFERROR(INDEX('التوظيف'!$H$3:$H$502,12),"")</f>
        <v/>
      </c>
      <c r="I18" s="119">
        <f>IFERROR(INDEX('التوظيف'!$I$3:$I$502,12),"")</f>
        <v/>
      </c>
      <c r="J18" s="50">
        <f>IFERROR(INDEX('التوظيف'!$J$3:$J$502,12),"")</f>
        <v/>
      </c>
      <c r="K18" s="50">
        <f>IFERROR(INDEX('التوظيف'!$K$3:$K$502,12),"")</f>
        <v/>
      </c>
      <c r="L18" s="119">
        <f>IFERROR(INDEX('التوظيف'!$L$3:$L$502,12),"")</f>
        <v/>
      </c>
    </row>
    <row r="19">
      <c r="A19" s="43">
        <f>IFERROR(INDEX('التوظيف'!$A$3:$A$502,13),"")</f>
        <v/>
      </c>
      <c r="B19" s="43">
        <f>IFERROR(INDEX('التوظيف'!$B$3:$B$502,13),"")</f>
        <v/>
      </c>
      <c r="C19" s="43">
        <f>IFERROR(INDEX('التوظيف'!$C$3:$C$502,13),"")</f>
        <v/>
      </c>
      <c r="D19" s="43">
        <f>IFERROR(INDEX('التوظيف'!$D$3:$D$502,13),"")</f>
        <v/>
      </c>
      <c r="E19" s="43">
        <f>IFERROR(INDEX('التوظيف'!$E$3:$E$502,13),"")</f>
        <v/>
      </c>
      <c r="F19" s="44">
        <f>IFERROR(INDEX('التوظيف'!$F$3:$F$502,13),"")</f>
        <v/>
      </c>
      <c r="G19" s="118">
        <f>IFERROR(INDEX('التوظيف'!$G$3:$G$502,13),"")</f>
        <v/>
      </c>
      <c r="H19" s="43">
        <f>IFERROR(INDEX('التوظيف'!$H$3:$H$502,13),"")</f>
        <v/>
      </c>
      <c r="I19" s="118">
        <f>IFERROR(INDEX('التوظيف'!$I$3:$I$502,13),"")</f>
        <v/>
      </c>
      <c r="J19" s="43">
        <f>IFERROR(INDEX('التوظيف'!$J$3:$J$502,13),"")</f>
        <v/>
      </c>
      <c r="K19" s="43">
        <f>IFERROR(INDEX('التوظيف'!$K$3:$K$502,13),"")</f>
        <v/>
      </c>
      <c r="L19" s="118">
        <f>IFERROR(INDEX('التوظيف'!$L$3:$L$502,13),"")</f>
        <v/>
      </c>
    </row>
    <row r="20">
      <c r="A20" s="50">
        <f>IFERROR(INDEX('التوظيف'!$A$3:$A$502,14),"")</f>
        <v/>
      </c>
      <c r="B20" s="50">
        <f>IFERROR(INDEX('التوظيف'!$B$3:$B$502,14),"")</f>
        <v/>
      </c>
      <c r="C20" s="50">
        <f>IFERROR(INDEX('التوظيف'!$C$3:$C$502,14),"")</f>
        <v/>
      </c>
      <c r="D20" s="50">
        <f>IFERROR(INDEX('التوظيف'!$D$3:$D$502,14),"")</f>
        <v/>
      </c>
      <c r="E20" s="50">
        <f>IFERROR(INDEX('التوظيف'!$E$3:$E$502,14),"")</f>
        <v/>
      </c>
      <c r="F20" s="51">
        <f>IFERROR(INDEX('التوظيف'!$F$3:$F$502,14),"")</f>
        <v/>
      </c>
      <c r="G20" s="119">
        <f>IFERROR(INDEX('التوظيف'!$G$3:$G$502,14),"")</f>
        <v/>
      </c>
      <c r="H20" s="50">
        <f>IFERROR(INDEX('التوظيف'!$H$3:$H$502,14),"")</f>
        <v/>
      </c>
      <c r="I20" s="119">
        <f>IFERROR(INDEX('التوظيف'!$I$3:$I$502,14),"")</f>
        <v/>
      </c>
      <c r="J20" s="50">
        <f>IFERROR(INDEX('التوظيف'!$J$3:$J$502,14),"")</f>
        <v/>
      </c>
      <c r="K20" s="50">
        <f>IFERROR(INDEX('التوظيف'!$K$3:$K$502,14),"")</f>
        <v/>
      </c>
      <c r="L20" s="119">
        <f>IFERROR(INDEX('التوظيف'!$L$3:$L$502,14),"")</f>
        <v/>
      </c>
    </row>
    <row r="21">
      <c r="A21" s="43">
        <f>IFERROR(INDEX('التوظيف'!$A$3:$A$502,15),"")</f>
        <v/>
      </c>
      <c r="B21" s="43">
        <f>IFERROR(INDEX('التوظيف'!$B$3:$B$502,15),"")</f>
        <v/>
      </c>
      <c r="C21" s="43">
        <f>IFERROR(INDEX('التوظيف'!$C$3:$C$502,15),"")</f>
        <v/>
      </c>
      <c r="D21" s="43">
        <f>IFERROR(INDEX('التوظيف'!$D$3:$D$502,15),"")</f>
        <v/>
      </c>
      <c r="E21" s="43">
        <f>IFERROR(INDEX('التوظيف'!$E$3:$E$502,15),"")</f>
        <v/>
      </c>
      <c r="F21" s="44">
        <f>IFERROR(INDEX('التوظيف'!$F$3:$F$502,15),"")</f>
        <v/>
      </c>
      <c r="G21" s="118">
        <f>IFERROR(INDEX('التوظيف'!$G$3:$G$502,15),"")</f>
        <v/>
      </c>
      <c r="H21" s="43">
        <f>IFERROR(INDEX('التوظيف'!$H$3:$H$502,15),"")</f>
        <v/>
      </c>
      <c r="I21" s="118">
        <f>IFERROR(INDEX('التوظيف'!$I$3:$I$502,15),"")</f>
        <v/>
      </c>
      <c r="J21" s="43">
        <f>IFERROR(INDEX('التوظيف'!$J$3:$J$502,15),"")</f>
        <v/>
      </c>
      <c r="K21" s="43">
        <f>IFERROR(INDEX('التوظيف'!$K$3:$K$502,15),"")</f>
        <v/>
      </c>
      <c r="L21" s="118">
        <f>IFERROR(INDEX('التوظيف'!$L$3:$L$502,15),"")</f>
        <v/>
      </c>
    </row>
    <row r="22">
      <c r="A22" s="50">
        <f>IFERROR(INDEX('التوظيف'!$A$3:$A$502,16),"")</f>
        <v/>
      </c>
      <c r="B22" s="50">
        <f>IFERROR(INDEX('التوظيف'!$B$3:$B$502,16),"")</f>
        <v/>
      </c>
      <c r="C22" s="50">
        <f>IFERROR(INDEX('التوظيف'!$C$3:$C$502,16),"")</f>
        <v/>
      </c>
      <c r="D22" s="50">
        <f>IFERROR(INDEX('التوظيف'!$D$3:$D$502,16),"")</f>
        <v/>
      </c>
      <c r="E22" s="50">
        <f>IFERROR(INDEX('التوظيف'!$E$3:$E$502,16),"")</f>
        <v/>
      </c>
      <c r="F22" s="51">
        <f>IFERROR(INDEX('التوظيف'!$F$3:$F$502,16),"")</f>
        <v/>
      </c>
      <c r="G22" s="119">
        <f>IFERROR(INDEX('التوظيف'!$G$3:$G$502,16),"")</f>
        <v/>
      </c>
      <c r="H22" s="50">
        <f>IFERROR(INDEX('التوظيف'!$H$3:$H$502,16),"")</f>
        <v/>
      </c>
      <c r="I22" s="119">
        <f>IFERROR(INDEX('التوظيف'!$I$3:$I$502,16),"")</f>
        <v/>
      </c>
      <c r="J22" s="50">
        <f>IFERROR(INDEX('التوظيف'!$J$3:$J$502,16),"")</f>
        <v/>
      </c>
      <c r="K22" s="50">
        <f>IFERROR(INDEX('التوظيف'!$K$3:$K$502,16),"")</f>
        <v/>
      </c>
      <c r="L22" s="119">
        <f>IFERROR(INDEX('التوظيف'!$L$3:$L$502,16),"")</f>
        <v/>
      </c>
    </row>
    <row r="23">
      <c r="A23" s="43">
        <f>IFERROR(INDEX('التوظيف'!$A$3:$A$502,17),"")</f>
        <v/>
      </c>
      <c r="B23" s="43">
        <f>IFERROR(INDEX('التوظيف'!$B$3:$B$502,17),"")</f>
        <v/>
      </c>
      <c r="C23" s="43">
        <f>IFERROR(INDEX('التوظيف'!$C$3:$C$502,17),"")</f>
        <v/>
      </c>
      <c r="D23" s="43">
        <f>IFERROR(INDEX('التوظيف'!$D$3:$D$502,17),"")</f>
        <v/>
      </c>
      <c r="E23" s="43">
        <f>IFERROR(INDEX('التوظيف'!$E$3:$E$502,17),"")</f>
        <v/>
      </c>
      <c r="F23" s="44">
        <f>IFERROR(INDEX('التوظيف'!$F$3:$F$502,17),"")</f>
        <v/>
      </c>
      <c r="G23" s="118">
        <f>IFERROR(INDEX('التوظيف'!$G$3:$G$502,17),"")</f>
        <v/>
      </c>
      <c r="H23" s="43">
        <f>IFERROR(INDEX('التوظيف'!$H$3:$H$502,17),"")</f>
        <v/>
      </c>
      <c r="I23" s="118">
        <f>IFERROR(INDEX('التوظيف'!$I$3:$I$502,17),"")</f>
        <v/>
      </c>
      <c r="J23" s="43">
        <f>IFERROR(INDEX('التوظيف'!$J$3:$J$502,17),"")</f>
        <v/>
      </c>
      <c r="K23" s="43">
        <f>IFERROR(INDEX('التوظيف'!$K$3:$K$502,17),"")</f>
        <v/>
      </c>
      <c r="L23" s="118">
        <f>IFERROR(INDEX('التوظيف'!$L$3:$L$502,17),"")</f>
        <v/>
      </c>
    </row>
    <row r="24">
      <c r="A24" s="50">
        <f>IFERROR(INDEX('التوظيف'!$A$3:$A$502,18),"")</f>
        <v/>
      </c>
      <c r="B24" s="50">
        <f>IFERROR(INDEX('التوظيف'!$B$3:$B$502,18),"")</f>
        <v/>
      </c>
      <c r="C24" s="50">
        <f>IFERROR(INDEX('التوظيف'!$C$3:$C$502,18),"")</f>
        <v/>
      </c>
      <c r="D24" s="50">
        <f>IFERROR(INDEX('التوظيف'!$D$3:$D$502,18),"")</f>
        <v/>
      </c>
      <c r="E24" s="50">
        <f>IFERROR(INDEX('التوظيف'!$E$3:$E$502,18),"")</f>
        <v/>
      </c>
      <c r="F24" s="51">
        <f>IFERROR(INDEX('التوظيف'!$F$3:$F$502,18),"")</f>
        <v/>
      </c>
      <c r="G24" s="119">
        <f>IFERROR(INDEX('التوظيف'!$G$3:$G$502,18),"")</f>
        <v/>
      </c>
      <c r="H24" s="50">
        <f>IFERROR(INDEX('التوظيف'!$H$3:$H$502,18),"")</f>
        <v/>
      </c>
      <c r="I24" s="119">
        <f>IFERROR(INDEX('التوظيف'!$I$3:$I$502,18),"")</f>
        <v/>
      </c>
      <c r="J24" s="50">
        <f>IFERROR(INDEX('التوظيف'!$J$3:$J$502,18),"")</f>
        <v/>
      </c>
      <c r="K24" s="50">
        <f>IFERROR(INDEX('التوظيف'!$K$3:$K$502,18),"")</f>
        <v/>
      </c>
      <c r="L24" s="119">
        <f>IFERROR(INDEX('التوظيف'!$L$3:$L$502,18),"")</f>
        <v/>
      </c>
    </row>
    <row r="25">
      <c r="A25" s="43">
        <f>IFERROR(INDEX('التوظيف'!$A$3:$A$502,19),"")</f>
        <v/>
      </c>
      <c r="B25" s="43">
        <f>IFERROR(INDEX('التوظيف'!$B$3:$B$502,19),"")</f>
        <v/>
      </c>
      <c r="C25" s="43">
        <f>IFERROR(INDEX('التوظيف'!$C$3:$C$502,19),"")</f>
        <v/>
      </c>
      <c r="D25" s="43">
        <f>IFERROR(INDEX('التوظيف'!$D$3:$D$502,19),"")</f>
        <v/>
      </c>
      <c r="E25" s="43">
        <f>IFERROR(INDEX('التوظيف'!$E$3:$E$502,19),"")</f>
        <v/>
      </c>
      <c r="F25" s="44">
        <f>IFERROR(INDEX('التوظيف'!$F$3:$F$502,19),"")</f>
        <v/>
      </c>
      <c r="G25" s="118">
        <f>IFERROR(INDEX('التوظيف'!$G$3:$G$502,19),"")</f>
        <v/>
      </c>
      <c r="H25" s="43">
        <f>IFERROR(INDEX('التوظيف'!$H$3:$H$502,19),"")</f>
        <v/>
      </c>
      <c r="I25" s="118">
        <f>IFERROR(INDEX('التوظيف'!$I$3:$I$502,19),"")</f>
        <v/>
      </c>
      <c r="J25" s="43">
        <f>IFERROR(INDEX('التوظيف'!$J$3:$J$502,19),"")</f>
        <v/>
      </c>
      <c r="K25" s="43">
        <f>IFERROR(INDEX('التوظيف'!$K$3:$K$502,19),"")</f>
        <v/>
      </c>
      <c r="L25" s="118">
        <f>IFERROR(INDEX('التوظيف'!$L$3:$L$502,19),"")</f>
        <v/>
      </c>
    </row>
    <row r="26">
      <c r="A26" s="50">
        <f>IFERROR(INDEX('التوظيف'!$A$3:$A$502,20),"")</f>
        <v/>
      </c>
      <c r="B26" s="50">
        <f>IFERROR(INDEX('التوظيف'!$B$3:$B$502,20),"")</f>
        <v/>
      </c>
      <c r="C26" s="50">
        <f>IFERROR(INDEX('التوظيف'!$C$3:$C$502,20),"")</f>
        <v/>
      </c>
      <c r="D26" s="50">
        <f>IFERROR(INDEX('التوظيف'!$D$3:$D$502,20),"")</f>
        <v/>
      </c>
      <c r="E26" s="50">
        <f>IFERROR(INDEX('التوظيف'!$E$3:$E$502,20),"")</f>
        <v/>
      </c>
      <c r="F26" s="51">
        <f>IFERROR(INDEX('التوظيف'!$F$3:$F$502,20),"")</f>
        <v/>
      </c>
      <c r="G26" s="119">
        <f>IFERROR(INDEX('التوظيف'!$G$3:$G$502,20),"")</f>
        <v/>
      </c>
      <c r="H26" s="50">
        <f>IFERROR(INDEX('التوظيف'!$H$3:$H$502,20),"")</f>
        <v/>
      </c>
      <c r="I26" s="119">
        <f>IFERROR(INDEX('التوظيف'!$I$3:$I$502,20),"")</f>
        <v/>
      </c>
      <c r="J26" s="50">
        <f>IFERROR(INDEX('التوظيف'!$J$3:$J$502,20),"")</f>
        <v/>
      </c>
      <c r="K26" s="50">
        <f>IFERROR(INDEX('التوظيف'!$K$3:$K$502,20),"")</f>
        <v/>
      </c>
      <c r="L26" s="119">
        <f>IFERROR(INDEX('التوظيف'!$L$3:$L$502,20),"")</f>
        <v/>
      </c>
    </row>
    <row r="27">
      <c r="A27" s="43">
        <f>IFERROR(INDEX('التوظيف'!$A$3:$A$502,21),"")</f>
        <v/>
      </c>
      <c r="B27" s="43">
        <f>IFERROR(INDEX('التوظيف'!$B$3:$B$502,21),"")</f>
        <v/>
      </c>
      <c r="C27" s="43">
        <f>IFERROR(INDEX('التوظيف'!$C$3:$C$502,21),"")</f>
        <v/>
      </c>
      <c r="D27" s="43">
        <f>IFERROR(INDEX('التوظيف'!$D$3:$D$502,21),"")</f>
        <v/>
      </c>
      <c r="E27" s="43">
        <f>IFERROR(INDEX('التوظيف'!$E$3:$E$502,21),"")</f>
        <v/>
      </c>
      <c r="F27" s="44">
        <f>IFERROR(INDEX('التوظيف'!$F$3:$F$502,21),"")</f>
        <v/>
      </c>
      <c r="G27" s="118">
        <f>IFERROR(INDEX('التوظيف'!$G$3:$G$502,21),"")</f>
        <v/>
      </c>
      <c r="H27" s="43">
        <f>IFERROR(INDEX('التوظيف'!$H$3:$H$502,21),"")</f>
        <v/>
      </c>
      <c r="I27" s="118">
        <f>IFERROR(INDEX('التوظيف'!$I$3:$I$502,21),"")</f>
        <v/>
      </c>
      <c r="J27" s="43">
        <f>IFERROR(INDEX('التوظيف'!$J$3:$J$502,21),"")</f>
        <v/>
      </c>
      <c r="K27" s="43">
        <f>IFERROR(INDEX('التوظيف'!$K$3:$K$502,21),"")</f>
        <v/>
      </c>
      <c r="L27" s="118">
        <f>IFERROR(INDEX('التوظيف'!$L$3:$L$502,21),"")</f>
        <v/>
      </c>
    </row>
    <row r="28">
      <c r="A28" s="50">
        <f>IFERROR(INDEX('التوظيف'!$A$3:$A$502,22),"")</f>
        <v/>
      </c>
      <c r="B28" s="50">
        <f>IFERROR(INDEX('التوظيف'!$B$3:$B$502,22),"")</f>
        <v/>
      </c>
      <c r="C28" s="50">
        <f>IFERROR(INDEX('التوظيف'!$C$3:$C$502,22),"")</f>
        <v/>
      </c>
      <c r="D28" s="50">
        <f>IFERROR(INDEX('التوظيف'!$D$3:$D$502,22),"")</f>
        <v/>
      </c>
      <c r="E28" s="50">
        <f>IFERROR(INDEX('التوظيف'!$E$3:$E$502,22),"")</f>
        <v/>
      </c>
      <c r="F28" s="51">
        <f>IFERROR(INDEX('التوظيف'!$F$3:$F$502,22),"")</f>
        <v/>
      </c>
      <c r="G28" s="119">
        <f>IFERROR(INDEX('التوظيف'!$G$3:$G$502,22),"")</f>
        <v/>
      </c>
      <c r="H28" s="50">
        <f>IFERROR(INDEX('التوظيف'!$H$3:$H$502,22),"")</f>
        <v/>
      </c>
      <c r="I28" s="119">
        <f>IFERROR(INDEX('التوظيف'!$I$3:$I$502,22),"")</f>
        <v/>
      </c>
      <c r="J28" s="50">
        <f>IFERROR(INDEX('التوظيف'!$J$3:$J$502,22),"")</f>
        <v/>
      </c>
      <c r="K28" s="50">
        <f>IFERROR(INDEX('التوظيف'!$K$3:$K$502,22),"")</f>
        <v/>
      </c>
      <c r="L28" s="119">
        <f>IFERROR(INDEX('التوظيف'!$L$3:$L$502,22),"")</f>
        <v/>
      </c>
    </row>
    <row r="29">
      <c r="A29" s="43">
        <f>IFERROR(INDEX('التوظيف'!$A$3:$A$502,23),"")</f>
        <v/>
      </c>
      <c r="B29" s="43">
        <f>IFERROR(INDEX('التوظيف'!$B$3:$B$502,23),"")</f>
        <v/>
      </c>
      <c r="C29" s="43">
        <f>IFERROR(INDEX('التوظيف'!$C$3:$C$502,23),"")</f>
        <v/>
      </c>
      <c r="D29" s="43">
        <f>IFERROR(INDEX('التوظيف'!$D$3:$D$502,23),"")</f>
        <v/>
      </c>
      <c r="E29" s="43">
        <f>IFERROR(INDEX('التوظيف'!$E$3:$E$502,23),"")</f>
        <v/>
      </c>
      <c r="F29" s="44">
        <f>IFERROR(INDEX('التوظيف'!$F$3:$F$502,23),"")</f>
        <v/>
      </c>
      <c r="G29" s="118">
        <f>IFERROR(INDEX('التوظيف'!$G$3:$G$502,23),"")</f>
        <v/>
      </c>
      <c r="H29" s="43">
        <f>IFERROR(INDEX('التوظيف'!$H$3:$H$502,23),"")</f>
        <v/>
      </c>
      <c r="I29" s="118">
        <f>IFERROR(INDEX('التوظيف'!$I$3:$I$502,23),"")</f>
        <v/>
      </c>
      <c r="J29" s="43">
        <f>IFERROR(INDEX('التوظيف'!$J$3:$J$502,23),"")</f>
        <v/>
      </c>
      <c r="K29" s="43">
        <f>IFERROR(INDEX('التوظيف'!$K$3:$K$502,23),"")</f>
        <v/>
      </c>
      <c r="L29" s="118">
        <f>IFERROR(INDEX('التوظيف'!$L$3:$L$502,23),"")</f>
        <v/>
      </c>
    </row>
    <row r="30">
      <c r="A30" s="50">
        <f>IFERROR(INDEX('التوظيف'!$A$3:$A$502,24),"")</f>
        <v/>
      </c>
      <c r="B30" s="50">
        <f>IFERROR(INDEX('التوظيف'!$B$3:$B$502,24),"")</f>
        <v/>
      </c>
      <c r="C30" s="50">
        <f>IFERROR(INDEX('التوظيف'!$C$3:$C$502,24),"")</f>
        <v/>
      </c>
      <c r="D30" s="50">
        <f>IFERROR(INDEX('التوظيف'!$D$3:$D$502,24),"")</f>
        <v/>
      </c>
      <c r="E30" s="50">
        <f>IFERROR(INDEX('التوظيف'!$E$3:$E$502,24),"")</f>
        <v/>
      </c>
      <c r="F30" s="51">
        <f>IFERROR(INDEX('التوظيف'!$F$3:$F$502,24),"")</f>
        <v/>
      </c>
      <c r="G30" s="119">
        <f>IFERROR(INDEX('التوظيف'!$G$3:$G$502,24),"")</f>
        <v/>
      </c>
      <c r="H30" s="50">
        <f>IFERROR(INDEX('التوظيف'!$H$3:$H$502,24),"")</f>
        <v/>
      </c>
      <c r="I30" s="119">
        <f>IFERROR(INDEX('التوظيف'!$I$3:$I$502,24),"")</f>
        <v/>
      </c>
      <c r="J30" s="50">
        <f>IFERROR(INDEX('التوظيف'!$J$3:$J$502,24),"")</f>
        <v/>
      </c>
      <c r="K30" s="50">
        <f>IFERROR(INDEX('التوظيف'!$K$3:$K$502,24),"")</f>
        <v/>
      </c>
      <c r="L30" s="119">
        <f>IFERROR(INDEX('التوظيف'!$L$3:$L$502,24),"")</f>
        <v/>
      </c>
    </row>
    <row r="31">
      <c r="A31" s="43">
        <f>IFERROR(INDEX('التوظيف'!$A$3:$A$502,25),"")</f>
        <v/>
      </c>
      <c r="B31" s="43">
        <f>IFERROR(INDEX('التوظيف'!$B$3:$B$502,25),"")</f>
        <v/>
      </c>
      <c r="C31" s="43">
        <f>IFERROR(INDEX('التوظيف'!$C$3:$C$502,25),"")</f>
        <v/>
      </c>
      <c r="D31" s="43">
        <f>IFERROR(INDEX('التوظيف'!$D$3:$D$502,25),"")</f>
        <v/>
      </c>
      <c r="E31" s="43">
        <f>IFERROR(INDEX('التوظيف'!$E$3:$E$502,25),"")</f>
        <v/>
      </c>
      <c r="F31" s="44">
        <f>IFERROR(INDEX('التوظيف'!$F$3:$F$502,25),"")</f>
        <v/>
      </c>
      <c r="G31" s="118">
        <f>IFERROR(INDEX('التوظيف'!$G$3:$G$502,25),"")</f>
        <v/>
      </c>
      <c r="H31" s="43">
        <f>IFERROR(INDEX('التوظيف'!$H$3:$H$502,25),"")</f>
        <v/>
      </c>
      <c r="I31" s="118">
        <f>IFERROR(INDEX('التوظيف'!$I$3:$I$502,25),"")</f>
        <v/>
      </c>
      <c r="J31" s="43">
        <f>IFERROR(INDEX('التوظيف'!$J$3:$J$502,25),"")</f>
        <v/>
      </c>
      <c r="K31" s="43">
        <f>IFERROR(INDEX('التوظيف'!$K$3:$K$502,25),"")</f>
        <v/>
      </c>
      <c r="L31" s="118">
        <f>IFERROR(INDEX('التوظيف'!$L$3:$L$502,25),"")</f>
        <v/>
      </c>
    </row>
    <row r="32">
      <c r="A32" s="50">
        <f>IFERROR(INDEX('التوظيف'!$A$3:$A$502,26),"")</f>
        <v/>
      </c>
      <c r="B32" s="50">
        <f>IFERROR(INDEX('التوظيف'!$B$3:$B$502,26),"")</f>
        <v/>
      </c>
      <c r="C32" s="50">
        <f>IFERROR(INDEX('التوظيف'!$C$3:$C$502,26),"")</f>
        <v/>
      </c>
      <c r="D32" s="50">
        <f>IFERROR(INDEX('التوظيف'!$D$3:$D$502,26),"")</f>
        <v/>
      </c>
      <c r="E32" s="50">
        <f>IFERROR(INDEX('التوظيف'!$E$3:$E$502,26),"")</f>
        <v/>
      </c>
      <c r="F32" s="51">
        <f>IFERROR(INDEX('التوظيف'!$F$3:$F$502,26),"")</f>
        <v/>
      </c>
      <c r="G32" s="119">
        <f>IFERROR(INDEX('التوظيف'!$G$3:$G$502,26),"")</f>
        <v/>
      </c>
      <c r="H32" s="50">
        <f>IFERROR(INDEX('التوظيف'!$H$3:$H$502,26),"")</f>
        <v/>
      </c>
      <c r="I32" s="119">
        <f>IFERROR(INDEX('التوظيف'!$I$3:$I$502,26),"")</f>
        <v/>
      </c>
      <c r="J32" s="50">
        <f>IFERROR(INDEX('التوظيف'!$J$3:$J$502,26),"")</f>
        <v/>
      </c>
      <c r="K32" s="50">
        <f>IFERROR(INDEX('التوظيف'!$K$3:$K$502,26),"")</f>
        <v/>
      </c>
      <c r="L32" s="119">
        <f>IFERROR(INDEX('التوظيف'!$L$3:$L$502,26),"")</f>
        <v/>
      </c>
    </row>
    <row r="33">
      <c r="A33" s="43">
        <f>IFERROR(INDEX('التوظيف'!$A$3:$A$502,27),"")</f>
        <v/>
      </c>
      <c r="B33" s="43">
        <f>IFERROR(INDEX('التوظيف'!$B$3:$B$502,27),"")</f>
        <v/>
      </c>
      <c r="C33" s="43">
        <f>IFERROR(INDEX('التوظيف'!$C$3:$C$502,27),"")</f>
        <v/>
      </c>
      <c r="D33" s="43">
        <f>IFERROR(INDEX('التوظيف'!$D$3:$D$502,27),"")</f>
        <v/>
      </c>
      <c r="E33" s="43">
        <f>IFERROR(INDEX('التوظيف'!$E$3:$E$502,27),"")</f>
        <v/>
      </c>
      <c r="F33" s="44">
        <f>IFERROR(INDEX('التوظيف'!$F$3:$F$502,27),"")</f>
        <v/>
      </c>
      <c r="G33" s="118">
        <f>IFERROR(INDEX('التوظيف'!$G$3:$G$502,27),"")</f>
        <v/>
      </c>
      <c r="H33" s="43">
        <f>IFERROR(INDEX('التوظيف'!$H$3:$H$502,27),"")</f>
        <v/>
      </c>
      <c r="I33" s="118">
        <f>IFERROR(INDEX('التوظيف'!$I$3:$I$502,27),"")</f>
        <v/>
      </c>
      <c r="J33" s="43">
        <f>IFERROR(INDEX('التوظيف'!$J$3:$J$502,27),"")</f>
        <v/>
      </c>
      <c r="K33" s="43">
        <f>IFERROR(INDEX('التوظيف'!$K$3:$K$502,27),"")</f>
        <v/>
      </c>
      <c r="L33" s="118">
        <f>IFERROR(INDEX('التوظيف'!$L$3:$L$502,27),"")</f>
        <v/>
      </c>
    </row>
    <row r="34">
      <c r="A34" s="50">
        <f>IFERROR(INDEX('التوظيف'!$A$3:$A$502,28),"")</f>
        <v/>
      </c>
      <c r="B34" s="50">
        <f>IFERROR(INDEX('التوظيف'!$B$3:$B$502,28),"")</f>
        <v/>
      </c>
      <c r="C34" s="50">
        <f>IFERROR(INDEX('التوظيف'!$C$3:$C$502,28),"")</f>
        <v/>
      </c>
      <c r="D34" s="50">
        <f>IFERROR(INDEX('التوظيف'!$D$3:$D$502,28),"")</f>
        <v/>
      </c>
      <c r="E34" s="50">
        <f>IFERROR(INDEX('التوظيف'!$E$3:$E$502,28),"")</f>
        <v/>
      </c>
      <c r="F34" s="51">
        <f>IFERROR(INDEX('التوظيف'!$F$3:$F$502,28),"")</f>
        <v/>
      </c>
      <c r="G34" s="119">
        <f>IFERROR(INDEX('التوظيف'!$G$3:$G$502,28),"")</f>
        <v/>
      </c>
      <c r="H34" s="50">
        <f>IFERROR(INDEX('التوظيف'!$H$3:$H$502,28),"")</f>
        <v/>
      </c>
      <c r="I34" s="119">
        <f>IFERROR(INDEX('التوظيف'!$I$3:$I$502,28),"")</f>
        <v/>
      </c>
      <c r="J34" s="50">
        <f>IFERROR(INDEX('التوظيف'!$J$3:$J$502,28),"")</f>
        <v/>
      </c>
      <c r="K34" s="50">
        <f>IFERROR(INDEX('التوظيف'!$K$3:$K$502,28),"")</f>
        <v/>
      </c>
      <c r="L34" s="119">
        <f>IFERROR(INDEX('التوظيف'!$L$3:$L$502,28),"")</f>
        <v/>
      </c>
    </row>
    <row r="35">
      <c r="A35" s="43">
        <f>IFERROR(INDEX('التوظيف'!$A$3:$A$502,29),"")</f>
        <v/>
      </c>
      <c r="B35" s="43">
        <f>IFERROR(INDEX('التوظيف'!$B$3:$B$502,29),"")</f>
        <v/>
      </c>
      <c r="C35" s="43">
        <f>IFERROR(INDEX('التوظيف'!$C$3:$C$502,29),"")</f>
        <v/>
      </c>
      <c r="D35" s="43">
        <f>IFERROR(INDEX('التوظيف'!$D$3:$D$502,29),"")</f>
        <v/>
      </c>
      <c r="E35" s="43">
        <f>IFERROR(INDEX('التوظيف'!$E$3:$E$502,29),"")</f>
        <v/>
      </c>
      <c r="F35" s="44">
        <f>IFERROR(INDEX('التوظيف'!$F$3:$F$502,29),"")</f>
        <v/>
      </c>
      <c r="G35" s="118">
        <f>IFERROR(INDEX('التوظيف'!$G$3:$G$502,29),"")</f>
        <v/>
      </c>
      <c r="H35" s="43">
        <f>IFERROR(INDEX('التوظيف'!$H$3:$H$502,29),"")</f>
        <v/>
      </c>
      <c r="I35" s="118">
        <f>IFERROR(INDEX('التوظيف'!$I$3:$I$502,29),"")</f>
        <v/>
      </c>
      <c r="J35" s="43">
        <f>IFERROR(INDEX('التوظيف'!$J$3:$J$502,29),"")</f>
        <v/>
      </c>
      <c r="K35" s="43">
        <f>IFERROR(INDEX('التوظيف'!$K$3:$K$502,29),"")</f>
        <v/>
      </c>
      <c r="L35" s="118">
        <f>IFERROR(INDEX('التوظيف'!$L$3:$L$502,29),"")</f>
        <v/>
      </c>
    </row>
    <row r="36">
      <c r="A36" s="50">
        <f>IFERROR(INDEX('التوظيف'!$A$3:$A$502,30),"")</f>
        <v/>
      </c>
      <c r="B36" s="50">
        <f>IFERROR(INDEX('التوظيف'!$B$3:$B$502,30),"")</f>
        <v/>
      </c>
      <c r="C36" s="50">
        <f>IFERROR(INDEX('التوظيف'!$C$3:$C$502,30),"")</f>
        <v/>
      </c>
      <c r="D36" s="50">
        <f>IFERROR(INDEX('التوظيف'!$D$3:$D$502,30),"")</f>
        <v/>
      </c>
      <c r="E36" s="50">
        <f>IFERROR(INDEX('التوظيف'!$E$3:$E$502,30),"")</f>
        <v/>
      </c>
      <c r="F36" s="51">
        <f>IFERROR(INDEX('التوظيف'!$F$3:$F$502,30),"")</f>
        <v/>
      </c>
      <c r="G36" s="119">
        <f>IFERROR(INDEX('التوظيف'!$G$3:$G$502,30),"")</f>
        <v/>
      </c>
      <c r="H36" s="50">
        <f>IFERROR(INDEX('التوظيف'!$H$3:$H$502,30),"")</f>
        <v/>
      </c>
      <c r="I36" s="119">
        <f>IFERROR(INDEX('التوظيف'!$I$3:$I$502,30),"")</f>
        <v/>
      </c>
      <c r="J36" s="50">
        <f>IFERROR(INDEX('التوظيف'!$J$3:$J$502,30),"")</f>
        <v/>
      </c>
      <c r="K36" s="50">
        <f>IFERROR(INDEX('التوظيف'!$K$3:$K$502,30),"")</f>
        <v/>
      </c>
      <c r="L36" s="119">
        <f>IFERROR(INDEX('التوظيف'!$L$3:$L$502,30),"")</f>
        <v/>
      </c>
    </row>
    <row r="37">
      <c r="A37" s="43">
        <f>IFERROR(INDEX('التوظيف'!$A$3:$A$502,31),"")</f>
        <v/>
      </c>
      <c r="B37" s="43">
        <f>IFERROR(INDEX('التوظيف'!$B$3:$B$502,31),"")</f>
        <v/>
      </c>
      <c r="C37" s="43">
        <f>IFERROR(INDEX('التوظيف'!$C$3:$C$502,31),"")</f>
        <v/>
      </c>
      <c r="D37" s="43">
        <f>IFERROR(INDEX('التوظيف'!$D$3:$D$502,31),"")</f>
        <v/>
      </c>
      <c r="E37" s="43">
        <f>IFERROR(INDEX('التوظيف'!$E$3:$E$502,31),"")</f>
        <v/>
      </c>
      <c r="F37" s="44">
        <f>IFERROR(INDEX('التوظيف'!$F$3:$F$502,31),"")</f>
        <v/>
      </c>
      <c r="G37" s="118">
        <f>IFERROR(INDEX('التوظيف'!$G$3:$G$502,31),"")</f>
        <v/>
      </c>
      <c r="H37" s="43">
        <f>IFERROR(INDEX('التوظيف'!$H$3:$H$502,31),"")</f>
        <v/>
      </c>
      <c r="I37" s="118">
        <f>IFERROR(INDEX('التوظيف'!$I$3:$I$502,31),"")</f>
        <v/>
      </c>
      <c r="J37" s="43">
        <f>IFERROR(INDEX('التوظيف'!$J$3:$J$502,31),"")</f>
        <v/>
      </c>
      <c r="K37" s="43">
        <f>IFERROR(INDEX('التوظيف'!$K$3:$K$502,31),"")</f>
        <v/>
      </c>
      <c r="L37" s="118">
        <f>IFERROR(INDEX('التوظيف'!$L$3:$L$502,31),"")</f>
        <v/>
      </c>
    </row>
    <row r="38">
      <c r="A38" s="50">
        <f>IFERROR(INDEX('التوظيف'!$A$3:$A$502,32),"")</f>
        <v/>
      </c>
      <c r="B38" s="50">
        <f>IFERROR(INDEX('التوظيف'!$B$3:$B$502,32),"")</f>
        <v/>
      </c>
      <c r="C38" s="50">
        <f>IFERROR(INDEX('التوظيف'!$C$3:$C$502,32),"")</f>
        <v/>
      </c>
      <c r="D38" s="50">
        <f>IFERROR(INDEX('التوظيف'!$D$3:$D$502,32),"")</f>
        <v/>
      </c>
      <c r="E38" s="50">
        <f>IFERROR(INDEX('التوظيف'!$E$3:$E$502,32),"")</f>
        <v/>
      </c>
      <c r="F38" s="51">
        <f>IFERROR(INDEX('التوظيف'!$F$3:$F$502,32),"")</f>
        <v/>
      </c>
      <c r="G38" s="119">
        <f>IFERROR(INDEX('التوظيف'!$G$3:$G$502,32),"")</f>
        <v/>
      </c>
      <c r="H38" s="50">
        <f>IFERROR(INDEX('التوظيف'!$H$3:$H$502,32),"")</f>
        <v/>
      </c>
      <c r="I38" s="119">
        <f>IFERROR(INDEX('التوظيف'!$I$3:$I$502,32),"")</f>
        <v/>
      </c>
      <c r="J38" s="50">
        <f>IFERROR(INDEX('التوظيف'!$J$3:$J$502,32),"")</f>
        <v/>
      </c>
      <c r="K38" s="50">
        <f>IFERROR(INDEX('التوظيف'!$K$3:$K$502,32),"")</f>
        <v/>
      </c>
      <c r="L38" s="119">
        <f>IFERROR(INDEX('التوظيف'!$L$3:$L$502,32),"")</f>
        <v/>
      </c>
    </row>
    <row r="39">
      <c r="A39" s="43">
        <f>IFERROR(INDEX('التوظيف'!$A$3:$A$502,33),"")</f>
        <v/>
      </c>
      <c r="B39" s="43">
        <f>IFERROR(INDEX('التوظيف'!$B$3:$B$502,33),"")</f>
        <v/>
      </c>
      <c r="C39" s="43">
        <f>IFERROR(INDEX('التوظيف'!$C$3:$C$502,33),"")</f>
        <v/>
      </c>
      <c r="D39" s="43">
        <f>IFERROR(INDEX('التوظيف'!$D$3:$D$502,33),"")</f>
        <v/>
      </c>
      <c r="E39" s="43">
        <f>IFERROR(INDEX('التوظيف'!$E$3:$E$502,33),"")</f>
        <v/>
      </c>
      <c r="F39" s="44">
        <f>IFERROR(INDEX('التوظيف'!$F$3:$F$502,33),"")</f>
        <v/>
      </c>
      <c r="G39" s="118">
        <f>IFERROR(INDEX('التوظيف'!$G$3:$G$502,33),"")</f>
        <v/>
      </c>
      <c r="H39" s="43">
        <f>IFERROR(INDEX('التوظيف'!$H$3:$H$502,33),"")</f>
        <v/>
      </c>
      <c r="I39" s="118">
        <f>IFERROR(INDEX('التوظيف'!$I$3:$I$502,33),"")</f>
        <v/>
      </c>
      <c r="J39" s="43">
        <f>IFERROR(INDEX('التوظيف'!$J$3:$J$502,33),"")</f>
        <v/>
      </c>
      <c r="K39" s="43">
        <f>IFERROR(INDEX('التوظيف'!$K$3:$K$502,33),"")</f>
        <v/>
      </c>
      <c r="L39" s="118">
        <f>IFERROR(INDEX('التوظيف'!$L$3:$L$502,33),"")</f>
        <v/>
      </c>
    </row>
    <row r="40">
      <c r="A40" s="50">
        <f>IFERROR(INDEX('التوظيف'!$A$3:$A$502,34),"")</f>
        <v/>
      </c>
      <c r="B40" s="50">
        <f>IFERROR(INDEX('التوظيف'!$B$3:$B$502,34),"")</f>
        <v/>
      </c>
      <c r="C40" s="50">
        <f>IFERROR(INDEX('التوظيف'!$C$3:$C$502,34),"")</f>
        <v/>
      </c>
      <c r="D40" s="50">
        <f>IFERROR(INDEX('التوظيف'!$D$3:$D$502,34),"")</f>
        <v/>
      </c>
      <c r="E40" s="50">
        <f>IFERROR(INDEX('التوظيف'!$E$3:$E$502,34),"")</f>
        <v/>
      </c>
      <c r="F40" s="51">
        <f>IFERROR(INDEX('التوظيف'!$F$3:$F$502,34),"")</f>
        <v/>
      </c>
      <c r="G40" s="119">
        <f>IFERROR(INDEX('التوظيف'!$G$3:$G$502,34),"")</f>
        <v/>
      </c>
      <c r="H40" s="50">
        <f>IFERROR(INDEX('التوظيف'!$H$3:$H$502,34),"")</f>
        <v/>
      </c>
      <c r="I40" s="119">
        <f>IFERROR(INDEX('التوظيف'!$I$3:$I$502,34),"")</f>
        <v/>
      </c>
      <c r="J40" s="50">
        <f>IFERROR(INDEX('التوظيف'!$J$3:$J$502,34),"")</f>
        <v/>
      </c>
      <c r="K40" s="50">
        <f>IFERROR(INDEX('التوظيف'!$K$3:$K$502,34),"")</f>
        <v/>
      </c>
      <c r="L40" s="119">
        <f>IFERROR(INDEX('التوظيف'!$L$3:$L$502,34),"")</f>
        <v/>
      </c>
    </row>
    <row r="41">
      <c r="A41" s="43">
        <f>IFERROR(INDEX('التوظيف'!$A$3:$A$502,35),"")</f>
        <v/>
      </c>
      <c r="B41" s="43">
        <f>IFERROR(INDEX('التوظيف'!$B$3:$B$502,35),"")</f>
        <v/>
      </c>
      <c r="C41" s="43">
        <f>IFERROR(INDEX('التوظيف'!$C$3:$C$502,35),"")</f>
        <v/>
      </c>
      <c r="D41" s="43">
        <f>IFERROR(INDEX('التوظيف'!$D$3:$D$502,35),"")</f>
        <v/>
      </c>
      <c r="E41" s="43">
        <f>IFERROR(INDEX('التوظيف'!$E$3:$E$502,35),"")</f>
        <v/>
      </c>
      <c r="F41" s="44">
        <f>IFERROR(INDEX('التوظيف'!$F$3:$F$502,35),"")</f>
        <v/>
      </c>
      <c r="G41" s="118">
        <f>IFERROR(INDEX('التوظيف'!$G$3:$G$502,35),"")</f>
        <v/>
      </c>
      <c r="H41" s="43">
        <f>IFERROR(INDEX('التوظيف'!$H$3:$H$502,35),"")</f>
        <v/>
      </c>
      <c r="I41" s="118">
        <f>IFERROR(INDEX('التوظيف'!$I$3:$I$502,35),"")</f>
        <v/>
      </c>
      <c r="J41" s="43">
        <f>IFERROR(INDEX('التوظيف'!$J$3:$J$502,35),"")</f>
        <v/>
      </c>
      <c r="K41" s="43">
        <f>IFERROR(INDEX('التوظيف'!$K$3:$K$502,35),"")</f>
        <v/>
      </c>
      <c r="L41" s="118">
        <f>IFERROR(INDEX('التوظيف'!$L$3:$L$502,35),"")</f>
        <v/>
      </c>
    </row>
    <row r="42">
      <c r="A42" s="50">
        <f>IFERROR(INDEX('التوظيف'!$A$3:$A$502,36),"")</f>
        <v/>
      </c>
      <c r="B42" s="50">
        <f>IFERROR(INDEX('التوظيف'!$B$3:$B$502,36),"")</f>
        <v/>
      </c>
      <c r="C42" s="50">
        <f>IFERROR(INDEX('التوظيف'!$C$3:$C$502,36),"")</f>
        <v/>
      </c>
      <c r="D42" s="50">
        <f>IFERROR(INDEX('التوظيف'!$D$3:$D$502,36),"")</f>
        <v/>
      </c>
      <c r="E42" s="50">
        <f>IFERROR(INDEX('التوظيف'!$E$3:$E$502,36),"")</f>
        <v/>
      </c>
      <c r="F42" s="51">
        <f>IFERROR(INDEX('التوظيف'!$F$3:$F$502,36),"")</f>
        <v/>
      </c>
      <c r="G42" s="119">
        <f>IFERROR(INDEX('التوظيف'!$G$3:$G$502,36),"")</f>
        <v/>
      </c>
      <c r="H42" s="50">
        <f>IFERROR(INDEX('التوظيف'!$H$3:$H$502,36),"")</f>
        <v/>
      </c>
      <c r="I42" s="119">
        <f>IFERROR(INDEX('التوظيف'!$I$3:$I$502,36),"")</f>
        <v/>
      </c>
      <c r="J42" s="50">
        <f>IFERROR(INDEX('التوظيف'!$J$3:$J$502,36),"")</f>
        <v/>
      </c>
      <c r="K42" s="50">
        <f>IFERROR(INDEX('التوظيف'!$K$3:$K$502,36),"")</f>
        <v/>
      </c>
      <c r="L42" s="119">
        <f>IFERROR(INDEX('التوظيف'!$L$3:$L$502,36),"")</f>
        <v/>
      </c>
    </row>
    <row r="43">
      <c r="A43" s="43">
        <f>IFERROR(INDEX('التوظيف'!$A$3:$A$502,37),"")</f>
        <v/>
      </c>
      <c r="B43" s="43">
        <f>IFERROR(INDEX('التوظيف'!$B$3:$B$502,37),"")</f>
        <v/>
      </c>
      <c r="C43" s="43">
        <f>IFERROR(INDEX('التوظيف'!$C$3:$C$502,37),"")</f>
        <v/>
      </c>
      <c r="D43" s="43">
        <f>IFERROR(INDEX('التوظيف'!$D$3:$D$502,37),"")</f>
        <v/>
      </c>
      <c r="E43" s="43">
        <f>IFERROR(INDEX('التوظيف'!$E$3:$E$502,37),"")</f>
        <v/>
      </c>
      <c r="F43" s="44">
        <f>IFERROR(INDEX('التوظيف'!$F$3:$F$502,37),"")</f>
        <v/>
      </c>
      <c r="G43" s="118">
        <f>IFERROR(INDEX('التوظيف'!$G$3:$G$502,37),"")</f>
        <v/>
      </c>
      <c r="H43" s="43">
        <f>IFERROR(INDEX('التوظيف'!$H$3:$H$502,37),"")</f>
        <v/>
      </c>
      <c r="I43" s="118">
        <f>IFERROR(INDEX('التوظيف'!$I$3:$I$502,37),"")</f>
        <v/>
      </c>
      <c r="J43" s="43">
        <f>IFERROR(INDEX('التوظيف'!$J$3:$J$502,37),"")</f>
        <v/>
      </c>
      <c r="K43" s="43">
        <f>IFERROR(INDEX('التوظيف'!$K$3:$K$502,37),"")</f>
        <v/>
      </c>
      <c r="L43" s="118">
        <f>IFERROR(INDEX('التوظيف'!$L$3:$L$502,37),"")</f>
        <v/>
      </c>
    </row>
    <row r="44">
      <c r="A44" s="50">
        <f>IFERROR(INDEX('التوظيف'!$A$3:$A$502,38),"")</f>
        <v/>
      </c>
      <c r="B44" s="50">
        <f>IFERROR(INDEX('التوظيف'!$B$3:$B$502,38),"")</f>
        <v/>
      </c>
      <c r="C44" s="50">
        <f>IFERROR(INDEX('التوظيف'!$C$3:$C$502,38),"")</f>
        <v/>
      </c>
      <c r="D44" s="50">
        <f>IFERROR(INDEX('التوظيف'!$D$3:$D$502,38),"")</f>
        <v/>
      </c>
      <c r="E44" s="50">
        <f>IFERROR(INDEX('التوظيف'!$E$3:$E$502,38),"")</f>
        <v/>
      </c>
      <c r="F44" s="51">
        <f>IFERROR(INDEX('التوظيف'!$F$3:$F$502,38),"")</f>
        <v/>
      </c>
      <c r="G44" s="119">
        <f>IFERROR(INDEX('التوظيف'!$G$3:$G$502,38),"")</f>
        <v/>
      </c>
      <c r="H44" s="50">
        <f>IFERROR(INDEX('التوظيف'!$H$3:$H$502,38),"")</f>
        <v/>
      </c>
      <c r="I44" s="119">
        <f>IFERROR(INDEX('التوظيف'!$I$3:$I$502,38),"")</f>
        <v/>
      </c>
      <c r="J44" s="50">
        <f>IFERROR(INDEX('التوظيف'!$J$3:$J$502,38),"")</f>
        <v/>
      </c>
      <c r="K44" s="50">
        <f>IFERROR(INDEX('التوظيف'!$K$3:$K$502,38),"")</f>
        <v/>
      </c>
      <c r="L44" s="119">
        <f>IFERROR(INDEX('التوظيف'!$L$3:$L$502,38),"")</f>
        <v/>
      </c>
    </row>
    <row r="45">
      <c r="A45" s="43">
        <f>IFERROR(INDEX('التوظيف'!$A$3:$A$502,39),"")</f>
        <v/>
      </c>
      <c r="B45" s="43">
        <f>IFERROR(INDEX('التوظيف'!$B$3:$B$502,39),"")</f>
        <v/>
      </c>
      <c r="C45" s="43">
        <f>IFERROR(INDEX('التوظيف'!$C$3:$C$502,39),"")</f>
        <v/>
      </c>
      <c r="D45" s="43">
        <f>IFERROR(INDEX('التوظيف'!$D$3:$D$502,39),"")</f>
        <v/>
      </c>
      <c r="E45" s="43">
        <f>IFERROR(INDEX('التوظيف'!$E$3:$E$502,39),"")</f>
        <v/>
      </c>
      <c r="F45" s="44">
        <f>IFERROR(INDEX('التوظيف'!$F$3:$F$502,39),"")</f>
        <v/>
      </c>
      <c r="G45" s="118">
        <f>IFERROR(INDEX('التوظيف'!$G$3:$G$502,39),"")</f>
        <v/>
      </c>
      <c r="H45" s="43">
        <f>IFERROR(INDEX('التوظيف'!$H$3:$H$502,39),"")</f>
        <v/>
      </c>
      <c r="I45" s="118">
        <f>IFERROR(INDEX('التوظيف'!$I$3:$I$502,39),"")</f>
        <v/>
      </c>
      <c r="J45" s="43">
        <f>IFERROR(INDEX('التوظيف'!$J$3:$J$502,39),"")</f>
        <v/>
      </c>
      <c r="K45" s="43">
        <f>IFERROR(INDEX('التوظيف'!$K$3:$K$502,39),"")</f>
        <v/>
      </c>
      <c r="L45" s="118">
        <f>IFERROR(INDEX('التوظيف'!$L$3:$L$502,39),"")</f>
        <v/>
      </c>
    </row>
    <row r="46">
      <c r="A46" s="50">
        <f>IFERROR(INDEX('التوظيف'!$A$3:$A$502,40),"")</f>
        <v/>
      </c>
      <c r="B46" s="50">
        <f>IFERROR(INDEX('التوظيف'!$B$3:$B$502,40),"")</f>
        <v/>
      </c>
      <c r="C46" s="50">
        <f>IFERROR(INDEX('التوظيف'!$C$3:$C$502,40),"")</f>
        <v/>
      </c>
      <c r="D46" s="50">
        <f>IFERROR(INDEX('التوظيف'!$D$3:$D$502,40),"")</f>
        <v/>
      </c>
      <c r="E46" s="50">
        <f>IFERROR(INDEX('التوظيف'!$E$3:$E$502,40),"")</f>
        <v/>
      </c>
      <c r="F46" s="51">
        <f>IFERROR(INDEX('التوظيف'!$F$3:$F$502,40),"")</f>
        <v/>
      </c>
      <c r="G46" s="119">
        <f>IFERROR(INDEX('التوظيف'!$G$3:$G$502,40),"")</f>
        <v/>
      </c>
      <c r="H46" s="50">
        <f>IFERROR(INDEX('التوظيف'!$H$3:$H$502,40),"")</f>
        <v/>
      </c>
      <c r="I46" s="119">
        <f>IFERROR(INDEX('التوظيف'!$I$3:$I$502,40),"")</f>
        <v/>
      </c>
      <c r="J46" s="50">
        <f>IFERROR(INDEX('التوظيف'!$J$3:$J$502,40),"")</f>
        <v/>
      </c>
      <c r="K46" s="50">
        <f>IFERROR(INDEX('التوظيف'!$K$3:$K$502,40),"")</f>
        <v/>
      </c>
      <c r="L46" s="119">
        <f>IFERROR(INDEX('التوظيف'!$L$3:$L$502,40),"")</f>
        <v/>
      </c>
    </row>
    <row r="47">
      <c r="A47" s="43">
        <f>IFERROR(INDEX('التوظيف'!$A$3:$A$502,41),"")</f>
        <v/>
      </c>
      <c r="B47" s="43">
        <f>IFERROR(INDEX('التوظيف'!$B$3:$B$502,41),"")</f>
        <v/>
      </c>
      <c r="C47" s="43">
        <f>IFERROR(INDEX('التوظيف'!$C$3:$C$502,41),"")</f>
        <v/>
      </c>
      <c r="D47" s="43">
        <f>IFERROR(INDEX('التوظيف'!$D$3:$D$502,41),"")</f>
        <v/>
      </c>
      <c r="E47" s="43">
        <f>IFERROR(INDEX('التوظيف'!$E$3:$E$502,41),"")</f>
        <v/>
      </c>
      <c r="F47" s="44">
        <f>IFERROR(INDEX('التوظيف'!$F$3:$F$502,41),"")</f>
        <v/>
      </c>
      <c r="G47" s="118">
        <f>IFERROR(INDEX('التوظيف'!$G$3:$G$502,41),"")</f>
        <v/>
      </c>
      <c r="H47" s="43">
        <f>IFERROR(INDEX('التوظيف'!$H$3:$H$502,41),"")</f>
        <v/>
      </c>
      <c r="I47" s="118">
        <f>IFERROR(INDEX('التوظيف'!$I$3:$I$502,41),"")</f>
        <v/>
      </c>
      <c r="J47" s="43">
        <f>IFERROR(INDEX('التوظيف'!$J$3:$J$502,41),"")</f>
        <v/>
      </c>
      <c r="K47" s="43">
        <f>IFERROR(INDEX('التوظيف'!$K$3:$K$502,41),"")</f>
        <v/>
      </c>
      <c r="L47" s="118">
        <f>IFERROR(INDEX('التوظيف'!$L$3:$L$502,41),"")</f>
        <v/>
      </c>
    </row>
    <row r="48">
      <c r="A48" s="50">
        <f>IFERROR(INDEX('التوظيف'!$A$3:$A$502,42),"")</f>
        <v/>
      </c>
      <c r="B48" s="50">
        <f>IFERROR(INDEX('التوظيف'!$B$3:$B$502,42),"")</f>
        <v/>
      </c>
      <c r="C48" s="50">
        <f>IFERROR(INDEX('التوظيف'!$C$3:$C$502,42),"")</f>
        <v/>
      </c>
      <c r="D48" s="50">
        <f>IFERROR(INDEX('التوظيف'!$D$3:$D$502,42),"")</f>
        <v/>
      </c>
      <c r="E48" s="50">
        <f>IFERROR(INDEX('التوظيف'!$E$3:$E$502,42),"")</f>
        <v/>
      </c>
      <c r="F48" s="51">
        <f>IFERROR(INDEX('التوظيف'!$F$3:$F$502,42),"")</f>
        <v/>
      </c>
      <c r="G48" s="119">
        <f>IFERROR(INDEX('التوظيف'!$G$3:$G$502,42),"")</f>
        <v/>
      </c>
      <c r="H48" s="50">
        <f>IFERROR(INDEX('التوظيف'!$H$3:$H$502,42),"")</f>
        <v/>
      </c>
      <c r="I48" s="119">
        <f>IFERROR(INDEX('التوظيف'!$I$3:$I$502,42),"")</f>
        <v/>
      </c>
      <c r="J48" s="50">
        <f>IFERROR(INDEX('التوظيف'!$J$3:$J$502,42),"")</f>
        <v/>
      </c>
      <c r="K48" s="50">
        <f>IFERROR(INDEX('التوظيف'!$K$3:$K$502,42),"")</f>
        <v/>
      </c>
      <c r="L48" s="119">
        <f>IFERROR(INDEX('التوظيف'!$L$3:$L$502,42),"")</f>
        <v/>
      </c>
    </row>
    <row r="49">
      <c r="A49" s="43">
        <f>IFERROR(INDEX('التوظيف'!$A$3:$A$502,43),"")</f>
        <v/>
      </c>
      <c r="B49" s="43">
        <f>IFERROR(INDEX('التوظيف'!$B$3:$B$502,43),"")</f>
        <v/>
      </c>
      <c r="C49" s="43">
        <f>IFERROR(INDEX('التوظيف'!$C$3:$C$502,43),"")</f>
        <v/>
      </c>
      <c r="D49" s="43">
        <f>IFERROR(INDEX('التوظيف'!$D$3:$D$502,43),"")</f>
        <v/>
      </c>
      <c r="E49" s="43">
        <f>IFERROR(INDEX('التوظيف'!$E$3:$E$502,43),"")</f>
        <v/>
      </c>
      <c r="F49" s="44">
        <f>IFERROR(INDEX('التوظيف'!$F$3:$F$502,43),"")</f>
        <v/>
      </c>
      <c r="G49" s="118">
        <f>IFERROR(INDEX('التوظيف'!$G$3:$G$502,43),"")</f>
        <v/>
      </c>
      <c r="H49" s="43">
        <f>IFERROR(INDEX('التوظيف'!$H$3:$H$502,43),"")</f>
        <v/>
      </c>
      <c r="I49" s="118">
        <f>IFERROR(INDEX('التوظيف'!$I$3:$I$502,43),"")</f>
        <v/>
      </c>
      <c r="J49" s="43">
        <f>IFERROR(INDEX('التوظيف'!$J$3:$J$502,43),"")</f>
        <v/>
      </c>
      <c r="K49" s="43">
        <f>IFERROR(INDEX('التوظيف'!$K$3:$K$502,43),"")</f>
        <v/>
      </c>
      <c r="L49" s="118">
        <f>IFERROR(INDEX('التوظيف'!$L$3:$L$502,43),"")</f>
        <v/>
      </c>
    </row>
    <row r="50">
      <c r="A50" s="50">
        <f>IFERROR(INDEX('التوظيف'!$A$3:$A$502,44),"")</f>
        <v/>
      </c>
      <c r="B50" s="50">
        <f>IFERROR(INDEX('التوظيف'!$B$3:$B$502,44),"")</f>
        <v/>
      </c>
      <c r="C50" s="50">
        <f>IFERROR(INDEX('التوظيف'!$C$3:$C$502,44),"")</f>
        <v/>
      </c>
      <c r="D50" s="50">
        <f>IFERROR(INDEX('التوظيف'!$D$3:$D$502,44),"")</f>
        <v/>
      </c>
      <c r="E50" s="50">
        <f>IFERROR(INDEX('التوظيف'!$E$3:$E$502,44),"")</f>
        <v/>
      </c>
      <c r="F50" s="51">
        <f>IFERROR(INDEX('التوظيف'!$F$3:$F$502,44),"")</f>
        <v/>
      </c>
      <c r="G50" s="119">
        <f>IFERROR(INDEX('التوظيف'!$G$3:$G$502,44),"")</f>
        <v/>
      </c>
      <c r="H50" s="50">
        <f>IFERROR(INDEX('التوظيف'!$H$3:$H$502,44),"")</f>
        <v/>
      </c>
      <c r="I50" s="119">
        <f>IFERROR(INDEX('التوظيف'!$I$3:$I$502,44),"")</f>
        <v/>
      </c>
      <c r="J50" s="50">
        <f>IFERROR(INDEX('التوظيف'!$J$3:$J$502,44),"")</f>
        <v/>
      </c>
      <c r="K50" s="50">
        <f>IFERROR(INDEX('التوظيف'!$K$3:$K$502,44),"")</f>
        <v/>
      </c>
      <c r="L50" s="119">
        <f>IFERROR(INDEX('التوظيف'!$L$3:$L$502,44),"")</f>
        <v/>
      </c>
    </row>
    <row r="51">
      <c r="A51" s="43">
        <f>IFERROR(INDEX('التوظيف'!$A$3:$A$502,45),"")</f>
        <v/>
      </c>
      <c r="B51" s="43">
        <f>IFERROR(INDEX('التوظيف'!$B$3:$B$502,45),"")</f>
        <v/>
      </c>
      <c r="C51" s="43">
        <f>IFERROR(INDEX('التوظيف'!$C$3:$C$502,45),"")</f>
        <v/>
      </c>
      <c r="D51" s="43">
        <f>IFERROR(INDEX('التوظيف'!$D$3:$D$502,45),"")</f>
        <v/>
      </c>
      <c r="E51" s="43">
        <f>IFERROR(INDEX('التوظيف'!$E$3:$E$502,45),"")</f>
        <v/>
      </c>
      <c r="F51" s="44">
        <f>IFERROR(INDEX('التوظيف'!$F$3:$F$502,45),"")</f>
        <v/>
      </c>
      <c r="G51" s="118">
        <f>IFERROR(INDEX('التوظيف'!$G$3:$G$502,45),"")</f>
        <v/>
      </c>
      <c r="H51" s="43">
        <f>IFERROR(INDEX('التوظيف'!$H$3:$H$502,45),"")</f>
        <v/>
      </c>
      <c r="I51" s="118">
        <f>IFERROR(INDEX('التوظيف'!$I$3:$I$502,45),"")</f>
        <v/>
      </c>
      <c r="J51" s="43">
        <f>IFERROR(INDEX('التوظيف'!$J$3:$J$502,45),"")</f>
        <v/>
      </c>
      <c r="K51" s="43">
        <f>IFERROR(INDEX('التوظيف'!$K$3:$K$502,45),"")</f>
        <v/>
      </c>
      <c r="L51" s="118">
        <f>IFERROR(INDEX('التوظيف'!$L$3:$L$502,45),"")</f>
        <v/>
      </c>
    </row>
    <row r="52">
      <c r="A52" s="50">
        <f>IFERROR(INDEX('التوظيف'!$A$3:$A$502,46),"")</f>
        <v/>
      </c>
      <c r="B52" s="50">
        <f>IFERROR(INDEX('التوظيف'!$B$3:$B$502,46),"")</f>
        <v/>
      </c>
      <c r="C52" s="50">
        <f>IFERROR(INDEX('التوظيف'!$C$3:$C$502,46),"")</f>
        <v/>
      </c>
      <c r="D52" s="50">
        <f>IFERROR(INDEX('التوظيف'!$D$3:$D$502,46),"")</f>
        <v/>
      </c>
      <c r="E52" s="50">
        <f>IFERROR(INDEX('التوظيف'!$E$3:$E$502,46),"")</f>
        <v/>
      </c>
      <c r="F52" s="51">
        <f>IFERROR(INDEX('التوظيف'!$F$3:$F$502,46),"")</f>
        <v/>
      </c>
      <c r="G52" s="119">
        <f>IFERROR(INDEX('التوظيف'!$G$3:$G$502,46),"")</f>
        <v/>
      </c>
      <c r="H52" s="50">
        <f>IFERROR(INDEX('التوظيف'!$H$3:$H$502,46),"")</f>
        <v/>
      </c>
      <c r="I52" s="119">
        <f>IFERROR(INDEX('التوظيف'!$I$3:$I$502,46),"")</f>
        <v/>
      </c>
      <c r="J52" s="50">
        <f>IFERROR(INDEX('التوظيف'!$J$3:$J$502,46),"")</f>
        <v/>
      </c>
      <c r="K52" s="50">
        <f>IFERROR(INDEX('التوظيف'!$K$3:$K$502,46),"")</f>
        <v/>
      </c>
      <c r="L52" s="119">
        <f>IFERROR(INDEX('التوظيف'!$L$3:$L$502,46),"")</f>
        <v/>
      </c>
    </row>
    <row r="53">
      <c r="A53" s="43">
        <f>IFERROR(INDEX('التوظيف'!$A$3:$A$502,47),"")</f>
        <v/>
      </c>
      <c r="B53" s="43">
        <f>IFERROR(INDEX('التوظيف'!$B$3:$B$502,47),"")</f>
        <v/>
      </c>
      <c r="C53" s="43">
        <f>IFERROR(INDEX('التوظيف'!$C$3:$C$502,47),"")</f>
        <v/>
      </c>
      <c r="D53" s="43">
        <f>IFERROR(INDEX('التوظيف'!$D$3:$D$502,47),"")</f>
        <v/>
      </c>
      <c r="E53" s="43">
        <f>IFERROR(INDEX('التوظيف'!$E$3:$E$502,47),"")</f>
        <v/>
      </c>
      <c r="F53" s="44">
        <f>IFERROR(INDEX('التوظيف'!$F$3:$F$502,47),"")</f>
        <v/>
      </c>
      <c r="G53" s="118">
        <f>IFERROR(INDEX('التوظيف'!$G$3:$G$502,47),"")</f>
        <v/>
      </c>
      <c r="H53" s="43">
        <f>IFERROR(INDEX('التوظيف'!$H$3:$H$502,47),"")</f>
        <v/>
      </c>
      <c r="I53" s="118">
        <f>IFERROR(INDEX('التوظيف'!$I$3:$I$502,47),"")</f>
        <v/>
      </c>
      <c r="J53" s="43">
        <f>IFERROR(INDEX('التوظيف'!$J$3:$J$502,47),"")</f>
        <v/>
      </c>
      <c r="K53" s="43">
        <f>IFERROR(INDEX('التوظيف'!$K$3:$K$502,47),"")</f>
        <v/>
      </c>
      <c r="L53" s="118">
        <f>IFERROR(INDEX('التوظيف'!$L$3:$L$502,47),"")</f>
        <v/>
      </c>
    </row>
    <row r="54">
      <c r="A54" s="50">
        <f>IFERROR(INDEX('التوظيف'!$A$3:$A$502,48),"")</f>
        <v/>
      </c>
      <c r="B54" s="50">
        <f>IFERROR(INDEX('التوظيف'!$B$3:$B$502,48),"")</f>
        <v/>
      </c>
      <c r="C54" s="50">
        <f>IFERROR(INDEX('التوظيف'!$C$3:$C$502,48),"")</f>
        <v/>
      </c>
      <c r="D54" s="50">
        <f>IFERROR(INDEX('التوظيف'!$D$3:$D$502,48),"")</f>
        <v/>
      </c>
      <c r="E54" s="50">
        <f>IFERROR(INDEX('التوظيف'!$E$3:$E$502,48),"")</f>
        <v/>
      </c>
      <c r="F54" s="51">
        <f>IFERROR(INDEX('التوظيف'!$F$3:$F$502,48),"")</f>
        <v/>
      </c>
      <c r="G54" s="119">
        <f>IFERROR(INDEX('التوظيف'!$G$3:$G$502,48),"")</f>
        <v/>
      </c>
      <c r="H54" s="50">
        <f>IFERROR(INDEX('التوظيف'!$H$3:$H$502,48),"")</f>
        <v/>
      </c>
      <c r="I54" s="119">
        <f>IFERROR(INDEX('التوظيف'!$I$3:$I$502,48),"")</f>
        <v/>
      </c>
      <c r="J54" s="50">
        <f>IFERROR(INDEX('التوظيف'!$J$3:$J$502,48),"")</f>
        <v/>
      </c>
      <c r="K54" s="50">
        <f>IFERROR(INDEX('التوظيف'!$K$3:$K$502,48),"")</f>
        <v/>
      </c>
      <c r="L54" s="119">
        <f>IFERROR(INDEX('التوظيف'!$L$3:$L$502,48),"")</f>
        <v/>
      </c>
    </row>
    <row r="55">
      <c r="A55" s="43">
        <f>IFERROR(INDEX('التوظيف'!$A$3:$A$502,49),"")</f>
        <v/>
      </c>
      <c r="B55" s="43">
        <f>IFERROR(INDEX('التوظيف'!$B$3:$B$502,49),"")</f>
        <v/>
      </c>
      <c r="C55" s="43">
        <f>IFERROR(INDEX('التوظيف'!$C$3:$C$502,49),"")</f>
        <v/>
      </c>
      <c r="D55" s="43">
        <f>IFERROR(INDEX('التوظيف'!$D$3:$D$502,49),"")</f>
        <v/>
      </c>
      <c r="E55" s="43">
        <f>IFERROR(INDEX('التوظيف'!$E$3:$E$502,49),"")</f>
        <v/>
      </c>
      <c r="F55" s="44">
        <f>IFERROR(INDEX('التوظيف'!$F$3:$F$502,49),"")</f>
        <v/>
      </c>
      <c r="G55" s="118">
        <f>IFERROR(INDEX('التوظيف'!$G$3:$G$502,49),"")</f>
        <v/>
      </c>
      <c r="H55" s="43">
        <f>IFERROR(INDEX('التوظيف'!$H$3:$H$502,49),"")</f>
        <v/>
      </c>
      <c r="I55" s="118">
        <f>IFERROR(INDEX('التوظيف'!$I$3:$I$502,49),"")</f>
        <v/>
      </c>
      <c r="J55" s="43">
        <f>IFERROR(INDEX('التوظيف'!$J$3:$J$502,49),"")</f>
        <v/>
      </c>
      <c r="K55" s="43">
        <f>IFERROR(INDEX('التوظيف'!$K$3:$K$502,49),"")</f>
        <v/>
      </c>
      <c r="L55" s="118">
        <f>IFERROR(INDEX('التوظيف'!$L$3:$L$502,49),"")</f>
        <v/>
      </c>
    </row>
    <row r="56">
      <c r="A56" s="50">
        <f>IFERROR(INDEX('التوظيف'!$A$3:$A$502,50),"")</f>
        <v/>
      </c>
      <c r="B56" s="50">
        <f>IFERROR(INDEX('التوظيف'!$B$3:$B$502,50),"")</f>
        <v/>
      </c>
      <c r="C56" s="50">
        <f>IFERROR(INDEX('التوظيف'!$C$3:$C$502,50),"")</f>
        <v/>
      </c>
      <c r="D56" s="50">
        <f>IFERROR(INDEX('التوظيف'!$D$3:$D$502,50),"")</f>
        <v/>
      </c>
      <c r="E56" s="50">
        <f>IFERROR(INDEX('التوظيف'!$E$3:$E$502,50),"")</f>
        <v/>
      </c>
      <c r="F56" s="51">
        <f>IFERROR(INDEX('التوظيف'!$F$3:$F$502,50),"")</f>
        <v/>
      </c>
      <c r="G56" s="119">
        <f>IFERROR(INDEX('التوظيف'!$G$3:$G$502,50),"")</f>
        <v/>
      </c>
      <c r="H56" s="50">
        <f>IFERROR(INDEX('التوظيف'!$H$3:$H$502,50),"")</f>
        <v/>
      </c>
      <c r="I56" s="119">
        <f>IFERROR(INDEX('التوظيف'!$I$3:$I$502,50),"")</f>
        <v/>
      </c>
      <c r="J56" s="50">
        <f>IFERROR(INDEX('التوظيف'!$J$3:$J$502,50),"")</f>
        <v/>
      </c>
      <c r="K56" s="50">
        <f>IFERROR(INDEX('التوظيف'!$K$3:$K$502,50),"")</f>
        <v/>
      </c>
      <c r="L56" s="119">
        <f>IFERROR(INDEX('التوظيف'!$L$3:$L$502,50),"")</f>
        <v/>
      </c>
    </row>
    <row r="57">
      <c r="A57" s="43">
        <f>IFERROR(INDEX('التوظيف'!$A$3:$A$502,51),"")</f>
        <v/>
      </c>
      <c r="B57" s="43">
        <f>IFERROR(INDEX('التوظيف'!$B$3:$B$502,51),"")</f>
        <v/>
      </c>
      <c r="C57" s="43">
        <f>IFERROR(INDEX('التوظيف'!$C$3:$C$502,51),"")</f>
        <v/>
      </c>
      <c r="D57" s="43">
        <f>IFERROR(INDEX('التوظيف'!$D$3:$D$502,51),"")</f>
        <v/>
      </c>
      <c r="E57" s="43">
        <f>IFERROR(INDEX('التوظيف'!$E$3:$E$502,51),"")</f>
        <v/>
      </c>
      <c r="F57" s="44">
        <f>IFERROR(INDEX('التوظيف'!$F$3:$F$502,51),"")</f>
        <v/>
      </c>
      <c r="G57" s="118">
        <f>IFERROR(INDEX('التوظيف'!$G$3:$G$502,51),"")</f>
        <v/>
      </c>
      <c r="H57" s="43">
        <f>IFERROR(INDEX('التوظيف'!$H$3:$H$502,51),"")</f>
        <v/>
      </c>
      <c r="I57" s="118">
        <f>IFERROR(INDEX('التوظيف'!$I$3:$I$502,51),"")</f>
        <v/>
      </c>
      <c r="J57" s="43">
        <f>IFERROR(INDEX('التوظيف'!$J$3:$J$502,51),"")</f>
        <v/>
      </c>
      <c r="K57" s="43">
        <f>IFERROR(INDEX('التوظيف'!$K$3:$K$502,51),"")</f>
        <v/>
      </c>
      <c r="L57" s="118">
        <f>IFERROR(INDEX('التوظيف'!$L$3:$L$502,51),"")</f>
        <v/>
      </c>
    </row>
    <row r="58">
      <c r="A58" s="50">
        <f>IFERROR(INDEX('التوظيف'!$A$3:$A$502,52),"")</f>
        <v/>
      </c>
      <c r="B58" s="50">
        <f>IFERROR(INDEX('التوظيف'!$B$3:$B$502,52),"")</f>
        <v/>
      </c>
      <c r="C58" s="50">
        <f>IFERROR(INDEX('التوظيف'!$C$3:$C$502,52),"")</f>
        <v/>
      </c>
      <c r="D58" s="50">
        <f>IFERROR(INDEX('التوظيف'!$D$3:$D$502,52),"")</f>
        <v/>
      </c>
      <c r="E58" s="50">
        <f>IFERROR(INDEX('التوظيف'!$E$3:$E$502,52),"")</f>
        <v/>
      </c>
      <c r="F58" s="51">
        <f>IFERROR(INDEX('التوظيف'!$F$3:$F$502,52),"")</f>
        <v/>
      </c>
      <c r="G58" s="119">
        <f>IFERROR(INDEX('التوظيف'!$G$3:$G$502,52),"")</f>
        <v/>
      </c>
      <c r="H58" s="50">
        <f>IFERROR(INDEX('التوظيف'!$H$3:$H$502,52),"")</f>
        <v/>
      </c>
      <c r="I58" s="119">
        <f>IFERROR(INDEX('التوظيف'!$I$3:$I$502,52),"")</f>
        <v/>
      </c>
      <c r="J58" s="50">
        <f>IFERROR(INDEX('التوظيف'!$J$3:$J$502,52),"")</f>
        <v/>
      </c>
      <c r="K58" s="50">
        <f>IFERROR(INDEX('التوظيف'!$K$3:$K$502,52),"")</f>
        <v/>
      </c>
      <c r="L58" s="119">
        <f>IFERROR(INDEX('التوظيف'!$L$3:$L$502,52),"")</f>
        <v/>
      </c>
    </row>
    <row r="59">
      <c r="A59" s="43">
        <f>IFERROR(INDEX('التوظيف'!$A$3:$A$502,53),"")</f>
        <v/>
      </c>
      <c r="B59" s="43">
        <f>IFERROR(INDEX('التوظيف'!$B$3:$B$502,53),"")</f>
        <v/>
      </c>
      <c r="C59" s="43">
        <f>IFERROR(INDEX('التوظيف'!$C$3:$C$502,53),"")</f>
        <v/>
      </c>
      <c r="D59" s="43">
        <f>IFERROR(INDEX('التوظيف'!$D$3:$D$502,53),"")</f>
        <v/>
      </c>
      <c r="E59" s="43">
        <f>IFERROR(INDEX('التوظيف'!$E$3:$E$502,53),"")</f>
        <v/>
      </c>
      <c r="F59" s="44">
        <f>IFERROR(INDEX('التوظيف'!$F$3:$F$502,53),"")</f>
        <v/>
      </c>
      <c r="G59" s="118">
        <f>IFERROR(INDEX('التوظيف'!$G$3:$G$502,53),"")</f>
        <v/>
      </c>
      <c r="H59" s="43">
        <f>IFERROR(INDEX('التوظيف'!$H$3:$H$502,53),"")</f>
        <v/>
      </c>
      <c r="I59" s="118">
        <f>IFERROR(INDEX('التوظيف'!$I$3:$I$502,53),"")</f>
        <v/>
      </c>
      <c r="J59" s="43">
        <f>IFERROR(INDEX('التوظيف'!$J$3:$J$502,53),"")</f>
        <v/>
      </c>
      <c r="K59" s="43">
        <f>IFERROR(INDEX('التوظيف'!$K$3:$K$502,53),"")</f>
        <v/>
      </c>
      <c r="L59" s="118">
        <f>IFERROR(INDEX('التوظيف'!$L$3:$L$502,53),"")</f>
        <v/>
      </c>
    </row>
    <row r="60">
      <c r="A60" s="50">
        <f>IFERROR(INDEX('التوظيف'!$A$3:$A$502,54),"")</f>
        <v/>
      </c>
      <c r="B60" s="50">
        <f>IFERROR(INDEX('التوظيف'!$B$3:$B$502,54),"")</f>
        <v/>
      </c>
      <c r="C60" s="50">
        <f>IFERROR(INDEX('التوظيف'!$C$3:$C$502,54),"")</f>
        <v/>
      </c>
      <c r="D60" s="50">
        <f>IFERROR(INDEX('التوظيف'!$D$3:$D$502,54),"")</f>
        <v/>
      </c>
      <c r="E60" s="50">
        <f>IFERROR(INDEX('التوظيف'!$E$3:$E$502,54),"")</f>
        <v/>
      </c>
      <c r="F60" s="51">
        <f>IFERROR(INDEX('التوظيف'!$F$3:$F$502,54),"")</f>
        <v/>
      </c>
      <c r="G60" s="119">
        <f>IFERROR(INDEX('التوظيف'!$G$3:$G$502,54),"")</f>
        <v/>
      </c>
      <c r="H60" s="50">
        <f>IFERROR(INDEX('التوظيف'!$H$3:$H$502,54),"")</f>
        <v/>
      </c>
      <c r="I60" s="119">
        <f>IFERROR(INDEX('التوظيف'!$I$3:$I$502,54),"")</f>
        <v/>
      </c>
      <c r="J60" s="50">
        <f>IFERROR(INDEX('التوظيف'!$J$3:$J$502,54),"")</f>
        <v/>
      </c>
      <c r="K60" s="50">
        <f>IFERROR(INDEX('التوظيف'!$K$3:$K$502,54),"")</f>
        <v/>
      </c>
      <c r="L60" s="119">
        <f>IFERROR(INDEX('التوظيف'!$L$3:$L$502,54),"")</f>
        <v/>
      </c>
    </row>
    <row r="61">
      <c r="A61" s="43">
        <f>IFERROR(INDEX('التوظيف'!$A$3:$A$502,55),"")</f>
        <v/>
      </c>
      <c r="B61" s="43">
        <f>IFERROR(INDEX('التوظيف'!$B$3:$B$502,55),"")</f>
        <v/>
      </c>
      <c r="C61" s="43">
        <f>IFERROR(INDEX('التوظيف'!$C$3:$C$502,55),"")</f>
        <v/>
      </c>
      <c r="D61" s="43">
        <f>IFERROR(INDEX('التوظيف'!$D$3:$D$502,55),"")</f>
        <v/>
      </c>
      <c r="E61" s="43">
        <f>IFERROR(INDEX('التوظيف'!$E$3:$E$502,55),"")</f>
        <v/>
      </c>
      <c r="F61" s="44">
        <f>IFERROR(INDEX('التوظيف'!$F$3:$F$502,55),"")</f>
        <v/>
      </c>
      <c r="G61" s="118">
        <f>IFERROR(INDEX('التوظيف'!$G$3:$G$502,55),"")</f>
        <v/>
      </c>
      <c r="H61" s="43">
        <f>IFERROR(INDEX('التوظيف'!$H$3:$H$502,55),"")</f>
        <v/>
      </c>
      <c r="I61" s="118">
        <f>IFERROR(INDEX('التوظيف'!$I$3:$I$502,55),"")</f>
        <v/>
      </c>
      <c r="J61" s="43">
        <f>IFERROR(INDEX('التوظيف'!$J$3:$J$502,55),"")</f>
        <v/>
      </c>
      <c r="K61" s="43">
        <f>IFERROR(INDEX('التوظيف'!$K$3:$K$502,55),"")</f>
        <v/>
      </c>
      <c r="L61" s="118">
        <f>IFERROR(INDEX('التوظيف'!$L$3:$L$502,55),"")</f>
        <v/>
      </c>
    </row>
    <row r="62">
      <c r="A62" s="50">
        <f>IFERROR(INDEX('التوظيف'!$A$3:$A$502,56),"")</f>
        <v/>
      </c>
      <c r="B62" s="50">
        <f>IFERROR(INDEX('التوظيف'!$B$3:$B$502,56),"")</f>
        <v/>
      </c>
      <c r="C62" s="50">
        <f>IFERROR(INDEX('التوظيف'!$C$3:$C$502,56),"")</f>
        <v/>
      </c>
      <c r="D62" s="50">
        <f>IFERROR(INDEX('التوظيف'!$D$3:$D$502,56),"")</f>
        <v/>
      </c>
      <c r="E62" s="50">
        <f>IFERROR(INDEX('التوظيف'!$E$3:$E$502,56),"")</f>
        <v/>
      </c>
      <c r="F62" s="51">
        <f>IFERROR(INDEX('التوظيف'!$F$3:$F$502,56),"")</f>
        <v/>
      </c>
      <c r="G62" s="119">
        <f>IFERROR(INDEX('التوظيف'!$G$3:$G$502,56),"")</f>
        <v/>
      </c>
      <c r="H62" s="50">
        <f>IFERROR(INDEX('التوظيف'!$H$3:$H$502,56),"")</f>
        <v/>
      </c>
      <c r="I62" s="119">
        <f>IFERROR(INDEX('التوظيف'!$I$3:$I$502,56),"")</f>
        <v/>
      </c>
      <c r="J62" s="50">
        <f>IFERROR(INDEX('التوظيف'!$J$3:$J$502,56),"")</f>
        <v/>
      </c>
      <c r="K62" s="50">
        <f>IFERROR(INDEX('التوظيف'!$K$3:$K$502,56),"")</f>
        <v/>
      </c>
      <c r="L62" s="119">
        <f>IFERROR(INDEX('التوظيف'!$L$3:$L$502,56),"")</f>
        <v/>
      </c>
    </row>
    <row r="63">
      <c r="A63" s="43">
        <f>IFERROR(INDEX('التوظيف'!$A$3:$A$502,57),"")</f>
        <v/>
      </c>
      <c r="B63" s="43">
        <f>IFERROR(INDEX('التوظيف'!$B$3:$B$502,57),"")</f>
        <v/>
      </c>
      <c r="C63" s="43">
        <f>IFERROR(INDEX('التوظيف'!$C$3:$C$502,57),"")</f>
        <v/>
      </c>
      <c r="D63" s="43">
        <f>IFERROR(INDEX('التوظيف'!$D$3:$D$502,57),"")</f>
        <v/>
      </c>
      <c r="E63" s="43">
        <f>IFERROR(INDEX('التوظيف'!$E$3:$E$502,57),"")</f>
        <v/>
      </c>
      <c r="F63" s="44">
        <f>IFERROR(INDEX('التوظيف'!$F$3:$F$502,57),"")</f>
        <v/>
      </c>
      <c r="G63" s="118">
        <f>IFERROR(INDEX('التوظيف'!$G$3:$G$502,57),"")</f>
        <v/>
      </c>
      <c r="H63" s="43">
        <f>IFERROR(INDEX('التوظيف'!$H$3:$H$502,57),"")</f>
        <v/>
      </c>
      <c r="I63" s="118">
        <f>IFERROR(INDEX('التوظيف'!$I$3:$I$502,57),"")</f>
        <v/>
      </c>
      <c r="J63" s="43">
        <f>IFERROR(INDEX('التوظيف'!$J$3:$J$502,57),"")</f>
        <v/>
      </c>
      <c r="K63" s="43">
        <f>IFERROR(INDEX('التوظيف'!$K$3:$K$502,57),"")</f>
        <v/>
      </c>
      <c r="L63" s="118">
        <f>IFERROR(INDEX('التوظيف'!$L$3:$L$502,57),"")</f>
        <v/>
      </c>
    </row>
    <row r="64">
      <c r="A64" s="50">
        <f>IFERROR(INDEX('التوظيف'!$A$3:$A$502,58),"")</f>
        <v/>
      </c>
      <c r="B64" s="50">
        <f>IFERROR(INDEX('التوظيف'!$B$3:$B$502,58),"")</f>
        <v/>
      </c>
      <c r="C64" s="50">
        <f>IFERROR(INDEX('التوظيف'!$C$3:$C$502,58),"")</f>
        <v/>
      </c>
      <c r="D64" s="50">
        <f>IFERROR(INDEX('التوظيف'!$D$3:$D$502,58),"")</f>
        <v/>
      </c>
      <c r="E64" s="50">
        <f>IFERROR(INDEX('التوظيف'!$E$3:$E$502,58),"")</f>
        <v/>
      </c>
      <c r="F64" s="51">
        <f>IFERROR(INDEX('التوظيف'!$F$3:$F$502,58),"")</f>
        <v/>
      </c>
      <c r="G64" s="119">
        <f>IFERROR(INDEX('التوظيف'!$G$3:$G$502,58),"")</f>
        <v/>
      </c>
      <c r="H64" s="50">
        <f>IFERROR(INDEX('التوظيف'!$H$3:$H$502,58),"")</f>
        <v/>
      </c>
      <c r="I64" s="119">
        <f>IFERROR(INDEX('التوظيف'!$I$3:$I$502,58),"")</f>
        <v/>
      </c>
      <c r="J64" s="50">
        <f>IFERROR(INDEX('التوظيف'!$J$3:$J$502,58),"")</f>
        <v/>
      </c>
      <c r="K64" s="50">
        <f>IFERROR(INDEX('التوظيف'!$K$3:$K$502,58),"")</f>
        <v/>
      </c>
      <c r="L64" s="119">
        <f>IFERROR(INDEX('التوظيف'!$L$3:$L$502,58),"")</f>
        <v/>
      </c>
    </row>
    <row r="65">
      <c r="A65" s="43">
        <f>IFERROR(INDEX('التوظيف'!$A$3:$A$502,59),"")</f>
        <v/>
      </c>
      <c r="B65" s="43">
        <f>IFERROR(INDEX('التوظيف'!$B$3:$B$502,59),"")</f>
        <v/>
      </c>
      <c r="C65" s="43">
        <f>IFERROR(INDEX('التوظيف'!$C$3:$C$502,59),"")</f>
        <v/>
      </c>
      <c r="D65" s="43">
        <f>IFERROR(INDEX('التوظيف'!$D$3:$D$502,59),"")</f>
        <v/>
      </c>
      <c r="E65" s="43">
        <f>IFERROR(INDEX('التوظيف'!$E$3:$E$502,59),"")</f>
        <v/>
      </c>
      <c r="F65" s="44">
        <f>IFERROR(INDEX('التوظيف'!$F$3:$F$502,59),"")</f>
        <v/>
      </c>
      <c r="G65" s="118">
        <f>IFERROR(INDEX('التوظيف'!$G$3:$G$502,59),"")</f>
        <v/>
      </c>
      <c r="H65" s="43">
        <f>IFERROR(INDEX('التوظيف'!$H$3:$H$502,59),"")</f>
        <v/>
      </c>
      <c r="I65" s="118">
        <f>IFERROR(INDEX('التوظيف'!$I$3:$I$502,59),"")</f>
        <v/>
      </c>
      <c r="J65" s="43">
        <f>IFERROR(INDEX('التوظيف'!$J$3:$J$502,59),"")</f>
        <v/>
      </c>
      <c r="K65" s="43">
        <f>IFERROR(INDEX('التوظيف'!$K$3:$K$502,59),"")</f>
        <v/>
      </c>
      <c r="L65" s="118">
        <f>IFERROR(INDEX('التوظيف'!$L$3:$L$502,59),"")</f>
        <v/>
      </c>
    </row>
    <row r="66">
      <c r="A66" s="50">
        <f>IFERROR(INDEX('التوظيف'!$A$3:$A$502,60),"")</f>
        <v/>
      </c>
      <c r="B66" s="50">
        <f>IFERROR(INDEX('التوظيف'!$B$3:$B$502,60),"")</f>
        <v/>
      </c>
      <c r="C66" s="50">
        <f>IFERROR(INDEX('التوظيف'!$C$3:$C$502,60),"")</f>
        <v/>
      </c>
      <c r="D66" s="50">
        <f>IFERROR(INDEX('التوظيف'!$D$3:$D$502,60),"")</f>
        <v/>
      </c>
      <c r="E66" s="50">
        <f>IFERROR(INDEX('التوظيف'!$E$3:$E$502,60),"")</f>
        <v/>
      </c>
      <c r="F66" s="51">
        <f>IFERROR(INDEX('التوظيف'!$F$3:$F$502,60),"")</f>
        <v/>
      </c>
      <c r="G66" s="119">
        <f>IFERROR(INDEX('التوظيف'!$G$3:$G$502,60),"")</f>
        <v/>
      </c>
      <c r="H66" s="50">
        <f>IFERROR(INDEX('التوظيف'!$H$3:$H$502,60),"")</f>
        <v/>
      </c>
      <c r="I66" s="119">
        <f>IFERROR(INDEX('التوظيف'!$I$3:$I$502,60),"")</f>
        <v/>
      </c>
      <c r="J66" s="50">
        <f>IFERROR(INDEX('التوظيف'!$J$3:$J$502,60),"")</f>
        <v/>
      </c>
      <c r="K66" s="50">
        <f>IFERROR(INDEX('التوظيف'!$K$3:$K$502,60),"")</f>
        <v/>
      </c>
      <c r="L66" s="119">
        <f>IFERROR(INDEX('التوظيف'!$L$3:$L$502,60),"")</f>
        <v/>
      </c>
    </row>
    <row r="67">
      <c r="A67" s="43">
        <f>IFERROR(INDEX('التوظيف'!$A$3:$A$502,61),"")</f>
        <v/>
      </c>
      <c r="B67" s="43">
        <f>IFERROR(INDEX('التوظيف'!$B$3:$B$502,61),"")</f>
        <v/>
      </c>
      <c r="C67" s="43">
        <f>IFERROR(INDEX('التوظيف'!$C$3:$C$502,61),"")</f>
        <v/>
      </c>
      <c r="D67" s="43">
        <f>IFERROR(INDEX('التوظيف'!$D$3:$D$502,61),"")</f>
        <v/>
      </c>
      <c r="E67" s="43">
        <f>IFERROR(INDEX('التوظيف'!$E$3:$E$502,61),"")</f>
        <v/>
      </c>
      <c r="F67" s="44">
        <f>IFERROR(INDEX('التوظيف'!$F$3:$F$502,61),"")</f>
        <v/>
      </c>
      <c r="G67" s="118">
        <f>IFERROR(INDEX('التوظيف'!$G$3:$G$502,61),"")</f>
        <v/>
      </c>
      <c r="H67" s="43">
        <f>IFERROR(INDEX('التوظيف'!$H$3:$H$502,61),"")</f>
        <v/>
      </c>
      <c r="I67" s="118">
        <f>IFERROR(INDEX('التوظيف'!$I$3:$I$502,61),"")</f>
        <v/>
      </c>
      <c r="J67" s="43">
        <f>IFERROR(INDEX('التوظيف'!$J$3:$J$502,61),"")</f>
        <v/>
      </c>
      <c r="K67" s="43">
        <f>IFERROR(INDEX('التوظيف'!$K$3:$K$502,61),"")</f>
        <v/>
      </c>
      <c r="L67" s="118">
        <f>IFERROR(INDEX('التوظيف'!$L$3:$L$502,61),"")</f>
        <v/>
      </c>
    </row>
    <row r="68">
      <c r="A68" s="50">
        <f>IFERROR(INDEX('التوظيف'!$A$3:$A$502,62),"")</f>
        <v/>
      </c>
      <c r="B68" s="50">
        <f>IFERROR(INDEX('التوظيف'!$B$3:$B$502,62),"")</f>
        <v/>
      </c>
      <c r="C68" s="50">
        <f>IFERROR(INDEX('التوظيف'!$C$3:$C$502,62),"")</f>
        <v/>
      </c>
      <c r="D68" s="50">
        <f>IFERROR(INDEX('التوظيف'!$D$3:$D$502,62),"")</f>
        <v/>
      </c>
      <c r="E68" s="50">
        <f>IFERROR(INDEX('التوظيف'!$E$3:$E$502,62),"")</f>
        <v/>
      </c>
      <c r="F68" s="51">
        <f>IFERROR(INDEX('التوظيف'!$F$3:$F$502,62),"")</f>
        <v/>
      </c>
      <c r="G68" s="119">
        <f>IFERROR(INDEX('التوظيف'!$G$3:$G$502,62),"")</f>
        <v/>
      </c>
      <c r="H68" s="50">
        <f>IFERROR(INDEX('التوظيف'!$H$3:$H$502,62),"")</f>
        <v/>
      </c>
      <c r="I68" s="119">
        <f>IFERROR(INDEX('التوظيف'!$I$3:$I$502,62),"")</f>
        <v/>
      </c>
      <c r="J68" s="50">
        <f>IFERROR(INDEX('التوظيف'!$J$3:$J$502,62),"")</f>
        <v/>
      </c>
      <c r="K68" s="50">
        <f>IFERROR(INDEX('التوظيف'!$K$3:$K$502,62),"")</f>
        <v/>
      </c>
      <c r="L68" s="119">
        <f>IFERROR(INDEX('التوظيف'!$L$3:$L$502,62),"")</f>
        <v/>
      </c>
    </row>
    <row r="69">
      <c r="A69" s="43">
        <f>IFERROR(INDEX('التوظيف'!$A$3:$A$502,63),"")</f>
        <v/>
      </c>
      <c r="B69" s="43">
        <f>IFERROR(INDEX('التوظيف'!$B$3:$B$502,63),"")</f>
        <v/>
      </c>
      <c r="C69" s="43">
        <f>IFERROR(INDEX('التوظيف'!$C$3:$C$502,63),"")</f>
        <v/>
      </c>
      <c r="D69" s="43">
        <f>IFERROR(INDEX('التوظيف'!$D$3:$D$502,63),"")</f>
        <v/>
      </c>
      <c r="E69" s="43">
        <f>IFERROR(INDEX('التوظيف'!$E$3:$E$502,63),"")</f>
        <v/>
      </c>
      <c r="F69" s="44">
        <f>IFERROR(INDEX('التوظيف'!$F$3:$F$502,63),"")</f>
        <v/>
      </c>
      <c r="G69" s="118">
        <f>IFERROR(INDEX('التوظيف'!$G$3:$G$502,63),"")</f>
        <v/>
      </c>
      <c r="H69" s="43">
        <f>IFERROR(INDEX('التوظيف'!$H$3:$H$502,63),"")</f>
        <v/>
      </c>
      <c r="I69" s="118">
        <f>IFERROR(INDEX('التوظيف'!$I$3:$I$502,63),"")</f>
        <v/>
      </c>
      <c r="J69" s="43">
        <f>IFERROR(INDEX('التوظيف'!$J$3:$J$502,63),"")</f>
        <v/>
      </c>
      <c r="K69" s="43">
        <f>IFERROR(INDEX('التوظيف'!$K$3:$K$502,63),"")</f>
        <v/>
      </c>
      <c r="L69" s="118">
        <f>IFERROR(INDEX('التوظيف'!$L$3:$L$502,63),"")</f>
        <v/>
      </c>
    </row>
    <row r="70">
      <c r="A70" s="50">
        <f>IFERROR(INDEX('التوظيف'!$A$3:$A$502,64),"")</f>
        <v/>
      </c>
      <c r="B70" s="50">
        <f>IFERROR(INDEX('التوظيف'!$B$3:$B$502,64),"")</f>
        <v/>
      </c>
      <c r="C70" s="50">
        <f>IFERROR(INDEX('التوظيف'!$C$3:$C$502,64),"")</f>
        <v/>
      </c>
      <c r="D70" s="50">
        <f>IFERROR(INDEX('التوظيف'!$D$3:$D$502,64),"")</f>
        <v/>
      </c>
      <c r="E70" s="50">
        <f>IFERROR(INDEX('التوظيف'!$E$3:$E$502,64),"")</f>
        <v/>
      </c>
      <c r="F70" s="51">
        <f>IFERROR(INDEX('التوظيف'!$F$3:$F$502,64),"")</f>
        <v/>
      </c>
      <c r="G70" s="119">
        <f>IFERROR(INDEX('التوظيف'!$G$3:$G$502,64),"")</f>
        <v/>
      </c>
      <c r="H70" s="50">
        <f>IFERROR(INDEX('التوظيف'!$H$3:$H$502,64),"")</f>
        <v/>
      </c>
      <c r="I70" s="119">
        <f>IFERROR(INDEX('التوظيف'!$I$3:$I$502,64),"")</f>
        <v/>
      </c>
      <c r="J70" s="50">
        <f>IFERROR(INDEX('التوظيف'!$J$3:$J$502,64),"")</f>
        <v/>
      </c>
      <c r="K70" s="50">
        <f>IFERROR(INDEX('التوظيف'!$K$3:$K$502,64),"")</f>
        <v/>
      </c>
      <c r="L70" s="119">
        <f>IFERROR(INDEX('التوظيف'!$L$3:$L$502,64),"")</f>
        <v/>
      </c>
    </row>
    <row r="71">
      <c r="A71" s="43">
        <f>IFERROR(INDEX('التوظيف'!$A$3:$A$502,65),"")</f>
        <v/>
      </c>
      <c r="B71" s="43">
        <f>IFERROR(INDEX('التوظيف'!$B$3:$B$502,65),"")</f>
        <v/>
      </c>
      <c r="C71" s="43">
        <f>IFERROR(INDEX('التوظيف'!$C$3:$C$502,65),"")</f>
        <v/>
      </c>
      <c r="D71" s="43">
        <f>IFERROR(INDEX('التوظيف'!$D$3:$D$502,65),"")</f>
        <v/>
      </c>
      <c r="E71" s="43">
        <f>IFERROR(INDEX('التوظيف'!$E$3:$E$502,65),"")</f>
        <v/>
      </c>
      <c r="F71" s="44">
        <f>IFERROR(INDEX('التوظيف'!$F$3:$F$502,65),"")</f>
        <v/>
      </c>
      <c r="G71" s="118">
        <f>IFERROR(INDEX('التوظيف'!$G$3:$G$502,65),"")</f>
        <v/>
      </c>
      <c r="H71" s="43">
        <f>IFERROR(INDEX('التوظيف'!$H$3:$H$502,65),"")</f>
        <v/>
      </c>
      <c r="I71" s="118">
        <f>IFERROR(INDEX('التوظيف'!$I$3:$I$502,65),"")</f>
        <v/>
      </c>
      <c r="J71" s="43">
        <f>IFERROR(INDEX('التوظيف'!$J$3:$J$502,65),"")</f>
        <v/>
      </c>
      <c r="K71" s="43">
        <f>IFERROR(INDEX('التوظيف'!$K$3:$K$502,65),"")</f>
        <v/>
      </c>
      <c r="L71" s="118">
        <f>IFERROR(INDEX('التوظيف'!$L$3:$L$502,65),"")</f>
        <v/>
      </c>
    </row>
    <row r="72">
      <c r="A72" s="50">
        <f>IFERROR(INDEX('التوظيف'!$A$3:$A$502,66),"")</f>
        <v/>
      </c>
      <c r="B72" s="50">
        <f>IFERROR(INDEX('التوظيف'!$B$3:$B$502,66),"")</f>
        <v/>
      </c>
      <c r="C72" s="50">
        <f>IFERROR(INDEX('التوظيف'!$C$3:$C$502,66),"")</f>
        <v/>
      </c>
      <c r="D72" s="50">
        <f>IFERROR(INDEX('التوظيف'!$D$3:$D$502,66),"")</f>
        <v/>
      </c>
      <c r="E72" s="50">
        <f>IFERROR(INDEX('التوظيف'!$E$3:$E$502,66),"")</f>
        <v/>
      </c>
      <c r="F72" s="51">
        <f>IFERROR(INDEX('التوظيف'!$F$3:$F$502,66),"")</f>
        <v/>
      </c>
      <c r="G72" s="119">
        <f>IFERROR(INDEX('التوظيف'!$G$3:$G$502,66),"")</f>
        <v/>
      </c>
      <c r="H72" s="50">
        <f>IFERROR(INDEX('التوظيف'!$H$3:$H$502,66),"")</f>
        <v/>
      </c>
      <c r="I72" s="119">
        <f>IFERROR(INDEX('التوظيف'!$I$3:$I$502,66),"")</f>
        <v/>
      </c>
      <c r="J72" s="50">
        <f>IFERROR(INDEX('التوظيف'!$J$3:$J$502,66),"")</f>
        <v/>
      </c>
      <c r="K72" s="50">
        <f>IFERROR(INDEX('التوظيف'!$K$3:$K$502,66),"")</f>
        <v/>
      </c>
      <c r="L72" s="119">
        <f>IFERROR(INDEX('التوظيف'!$L$3:$L$502,66),"")</f>
        <v/>
      </c>
    </row>
    <row r="73">
      <c r="A73" s="43">
        <f>IFERROR(INDEX('التوظيف'!$A$3:$A$502,67),"")</f>
        <v/>
      </c>
      <c r="B73" s="43">
        <f>IFERROR(INDEX('التوظيف'!$B$3:$B$502,67),"")</f>
        <v/>
      </c>
      <c r="C73" s="43">
        <f>IFERROR(INDEX('التوظيف'!$C$3:$C$502,67),"")</f>
        <v/>
      </c>
      <c r="D73" s="43">
        <f>IFERROR(INDEX('التوظيف'!$D$3:$D$502,67),"")</f>
        <v/>
      </c>
      <c r="E73" s="43">
        <f>IFERROR(INDEX('التوظيف'!$E$3:$E$502,67),"")</f>
        <v/>
      </c>
      <c r="F73" s="44">
        <f>IFERROR(INDEX('التوظيف'!$F$3:$F$502,67),"")</f>
        <v/>
      </c>
      <c r="G73" s="118">
        <f>IFERROR(INDEX('التوظيف'!$G$3:$G$502,67),"")</f>
        <v/>
      </c>
      <c r="H73" s="43">
        <f>IFERROR(INDEX('التوظيف'!$H$3:$H$502,67),"")</f>
        <v/>
      </c>
      <c r="I73" s="118">
        <f>IFERROR(INDEX('التوظيف'!$I$3:$I$502,67),"")</f>
        <v/>
      </c>
      <c r="J73" s="43">
        <f>IFERROR(INDEX('التوظيف'!$J$3:$J$502,67),"")</f>
        <v/>
      </c>
      <c r="K73" s="43">
        <f>IFERROR(INDEX('التوظيف'!$K$3:$K$502,67),"")</f>
        <v/>
      </c>
      <c r="L73" s="118">
        <f>IFERROR(INDEX('التوظيف'!$L$3:$L$502,67),"")</f>
        <v/>
      </c>
    </row>
    <row r="74">
      <c r="A74" s="50">
        <f>IFERROR(INDEX('التوظيف'!$A$3:$A$502,68),"")</f>
        <v/>
      </c>
      <c r="B74" s="50">
        <f>IFERROR(INDEX('التوظيف'!$B$3:$B$502,68),"")</f>
        <v/>
      </c>
      <c r="C74" s="50">
        <f>IFERROR(INDEX('التوظيف'!$C$3:$C$502,68),"")</f>
        <v/>
      </c>
      <c r="D74" s="50">
        <f>IFERROR(INDEX('التوظيف'!$D$3:$D$502,68),"")</f>
        <v/>
      </c>
      <c r="E74" s="50">
        <f>IFERROR(INDEX('التوظيف'!$E$3:$E$502,68),"")</f>
        <v/>
      </c>
      <c r="F74" s="51">
        <f>IFERROR(INDEX('التوظيف'!$F$3:$F$502,68),"")</f>
        <v/>
      </c>
      <c r="G74" s="119">
        <f>IFERROR(INDEX('التوظيف'!$G$3:$G$502,68),"")</f>
        <v/>
      </c>
      <c r="H74" s="50">
        <f>IFERROR(INDEX('التوظيف'!$H$3:$H$502,68),"")</f>
        <v/>
      </c>
      <c r="I74" s="119">
        <f>IFERROR(INDEX('التوظيف'!$I$3:$I$502,68),"")</f>
        <v/>
      </c>
      <c r="J74" s="50">
        <f>IFERROR(INDEX('التوظيف'!$J$3:$J$502,68),"")</f>
        <v/>
      </c>
      <c r="K74" s="50">
        <f>IFERROR(INDEX('التوظيف'!$K$3:$K$502,68),"")</f>
        <v/>
      </c>
      <c r="L74" s="119">
        <f>IFERROR(INDEX('التوظيف'!$L$3:$L$502,68),"")</f>
        <v/>
      </c>
    </row>
    <row r="75">
      <c r="A75" s="43">
        <f>IFERROR(INDEX('التوظيف'!$A$3:$A$502,69),"")</f>
        <v/>
      </c>
      <c r="B75" s="43">
        <f>IFERROR(INDEX('التوظيف'!$B$3:$B$502,69),"")</f>
        <v/>
      </c>
      <c r="C75" s="43">
        <f>IFERROR(INDEX('التوظيف'!$C$3:$C$502,69),"")</f>
        <v/>
      </c>
      <c r="D75" s="43">
        <f>IFERROR(INDEX('التوظيف'!$D$3:$D$502,69),"")</f>
        <v/>
      </c>
      <c r="E75" s="43">
        <f>IFERROR(INDEX('التوظيف'!$E$3:$E$502,69),"")</f>
        <v/>
      </c>
      <c r="F75" s="44">
        <f>IFERROR(INDEX('التوظيف'!$F$3:$F$502,69),"")</f>
        <v/>
      </c>
      <c r="G75" s="118">
        <f>IFERROR(INDEX('التوظيف'!$G$3:$G$502,69),"")</f>
        <v/>
      </c>
      <c r="H75" s="43">
        <f>IFERROR(INDEX('التوظيف'!$H$3:$H$502,69),"")</f>
        <v/>
      </c>
      <c r="I75" s="118">
        <f>IFERROR(INDEX('التوظيف'!$I$3:$I$502,69),"")</f>
        <v/>
      </c>
      <c r="J75" s="43">
        <f>IFERROR(INDEX('التوظيف'!$J$3:$J$502,69),"")</f>
        <v/>
      </c>
      <c r="K75" s="43">
        <f>IFERROR(INDEX('التوظيف'!$K$3:$K$502,69),"")</f>
        <v/>
      </c>
      <c r="L75" s="118">
        <f>IFERROR(INDEX('التوظيف'!$L$3:$L$502,69),"")</f>
        <v/>
      </c>
    </row>
    <row r="76">
      <c r="A76" s="50">
        <f>IFERROR(INDEX('التوظيف'!$A$3:$A$502,70),"")</f>
        <v/>
      </c>
      <c r="B76" s="50">
        <f>IFERROR(INDEX('التوظيف'!$B$3:$B$502,70),"")</f>
        <v/>
      </c>
      <c r="C76" s="50">
        <f>IFERROR(INDEX('التوظيف'!$C$3:$C$502,70),"")</f>
        <v/>
      </c>
      <c r="D76" s="50">
        <f>IFERROR(INDEX('التوظيف'!$D$3:$D$502,70),"")</f>
        <v/>
      </c>
      <c r="E76" s="50">
        <f>IFERROR(INDEX('التوظيف'!$E$3:$E$502,70),"")</f>
        <v/>
      </c>
      <c r="F76" s="51">
        <f>IFERROR(INDEX('التوظيف'!$F$3:$F$502,70),"")</f>
        <v/>
      </c>
      <c r="G76" s="119">
        <f>IFERROR(INDEX('التوظيف'!$G$3:$G$502,70),"")</f>
        <v/>
      </c>
      <c r="H76" s="50">
        <f>IFERROR(INDEX('التوظيف'!$H$3:$H$502,70),"")</f>
        <v/>
      </c>
      <c r="I76" s="119">
        <f>IFERROR(INDEX('التوظيف'!$I$3:$I$502,70),"")</f>
        <v/>
      </c>
      <c r="J76" s="50">
        <f>IFERROR(INDEX('التوظيف'!$J$3:$J$502,70),"")</f>
        <v/>
      </c>
      <c r="K76" s="50">
        <f>IFERROR(INDEX('التوظيف'!$K$3:$K$502,70),"")</f>
        <v/>
      </c>
      <c r="L76" s="119">
        <f>IFERROR(INDEX('التوظيف'!$L$3:$L$502,70),"")</f>
        <v/>
      </c>
    </row>
    <row r="77">
      <c r="A77" s="43">
        <f>IFERROR(INDEX('التوظيف'!$A$3:$A$502,71),"")</f>
        <v/>
      </c>
      <c r="B77" s="43">
        <f>IFERROR(INDEX('التوظيف'!$B$3:$B$502,71),"")</f>
        <v/>
      </c>
      <c r="C77" s="43">
        <f>IFERROR(INDEX('التوظيف'!$C$3:$C$502,71),"")</f>
        <v/>
      </c>
      <c r="D77" s="43">
        <f>IFERROR(INDEX('التوظيف'!$D$3:$D$502,71),"")</f>
        <v/>
      </c>
      <c r="E77" s="43">
        <f>IFERROR(INDEX('التوظيف'!$E$3:$E$502,71),"")</f>
        <v/>
      </c>
      <c r="F77" s="44">
        <f>IFERROR(INDEX('التوظيف'!$F$3:$F$502,71),"")</f>
        <v/>
      </c>
      <c r="G77" s="118">
        <f>IFERROR(INDEX('التوظيف'!$G$3:$G$502,71),"")</f>
        <v/>
      </c>
      <c r="H77" s="43">
        <f>IFERROR(INDEX('التوظيف'!$H$3:$H$502,71),"")</f>
        <v/>
      </c>
      <c r="I77" s="118">
        <f>IFERROR(INDEX('التوظيف'!$I$3:$I$502,71),"")</f>
        <v/>
      </c>
      <c r="J77" s="43">
        <f>IFERROR(INDEX('التوظيف'!$J$3:$J$502,71),"")</f>
        <v/>
      </c>
      <c r="K77" s="43">
        <f>IFERROR(INDEX('التوظيف'!$K$3:$K$502,71),"")</f>
        <v/>
      </c>
      <c r="L77" s="118">
        <f>IFERROR(INDEX('التوظيف'!$L$3:$L$502,71),"")</f>
        <v/>
      </c>
    </row>
    <row r="78">
      <c r="A78" s="50">
        <f>IFERROR(INDEX('التوظيف'!$A$3:$A$502,72),"")</f>
        <v/>
      </c>
      <c r="B78" s="50">
        <f>IFERROR(INDEX('التوظيف'!$B$3:$B$502,72),"")</f>
        <v/>
      </c>
      <c r="C78" s="50">
        <f>IFERROR(INDEX('التوظيف'!$C$3:$C$502,72),"")</f>
        <v/>
      </c>
      <c r="D78" s="50">
        <f>IFERROR(INDEX('التوظيف'!$D$3:$D$502,72),"")</f>
        <v/>
      </c>
      <c r="E78" s="50">
        <f>IFERROR(INDEX('التوظيف'!$E$3:$E$502,72),"")</f>
        <v/>
      </c>
      <c r="F78" s="51">
        <f>IFERROR(INDEX('التوظيف'!$F$3:$F$502,72),"")</f>
        <v/>
      </c>
      <c r="G78" s="119">
        <f>IFERROR(INDEX('التوظيف'!$G$3:$G$502,72),"")</f>
        <v/>
      </c>
      <c r="H78" s="50">
        <f>IFERROR(INDEX('التوظيف'!$H$3:$H$502,72),"")</f>
        <v/>
      </c>
      <c r="I78" s="119">
        <f>IFERROR(INDEX('التوظيف'!$I$3:$I$502,72),"")</f>
        <v/>
      </c>
      <c r="J78" s="50">
        <f>IFERROR(INDEX('التوظيف'!$J$3:$J$502,72),"")</f>
        <v/>
      </c>
      <c r="K78" s="50">
        <f>IFERROR(INDEX('التوظيف'!$K$3:$K$502,72),"")</f>
        <v/>
      </c>
      <c r="L78" s="119">
        <f>IFERROR(INDEX('التوظيف'!$L$3:$L$502,72),"")</f>
        <v/>
      </c>
    </row>
    <row r="79">
      <c r="A79" s="43">
        <f>IFERROR(INDEX('التوظيف'!$A$3:$A$502,73),"")</f>
        <v/>
      </c>
      <c r="B79" s="43">
        <f>IFERROR(INDEX('التوظيف'!$B$3:$B$502,73),"")</f>
        <v/>
      </c>
      <c r="C79" s="43">
        <f>IFERROR(INDEX('التوظيف'!$C$3:$C$502,73),"")</f>
        <v/>
      </c>
      <c r="D79" s="43">
        <f>IFERROR(INDEX('التوظيف'!$D$3:$D$502,73),"")</f>
        <v/>
      </c>
      <c r="E79" s="43">
        <f>IFERROR(INDEX('التوظيف'!$E$3:$E$502,73),"")</f>
        <v/>
      </c>
      <c r="F79" s="44">
        <f>IFERROR(INDEX('التوظيف'!$F$3:$F$502,73),"")</f>
        <v/>
      </c>
      <c r="G79" s="118">
        <f>IFERROR(INDEX('التوظيف'!$G$3:$G$502,73),"")</f>
        <v/>
      </c>
      <c r="H79" s="43">
        <f>IFERROR(INDEX('التوظيف'!$H$3:$H$502,73),"")</f>
        <v/>
      </c>
      <c r="I79" s="118">
        <f>IFERROR(INDEX('التوظيف'!$I$3:$I$502,73),"")</f>
        <v/>
      </c>
      <c r="J79" s="43">
        <f>IFERROR(INDEX('التوظيف'!$J$3:$J$502,73),"")</f>
        <v/>
      </c>
      <c r="K79" s="43">
        <f>IFERROR(INDEX('التوظيف'!$K$3:$K$502,73),"")</f>
        <v/>
      </c>
      <c r="L79" s="118">
        <f>IFERROR(INDEX('التوظيف'!$L$3:$L$502,73),"")</f>
        <v/>
      </c>
    </row>
    <row r="80">
      <c r="A80" s="50">
        <f>IFERROR(INDEX('التوظيف'!$A$3:$A$502,74),"")</f>
        <v/>
      </c>
      <c r="B80" s="50">
        <f>IFERROR(INDEX('التوظيف'!$B$3:$B$502,74),"")</f>
        <v/>
      </c>
      <c r="C80" s="50">
        <f>IFERROR(INDEX('التوظيف'!$C$3:$C$502,74),"")</f>
        <v/>
      </c>
      <c r="D80" s="50">
        <f>IFERROR(INDEX('التوظيف'!$D$3:$D$502,74),"")</f>
        <v/>
      </c>
      <c r="E80" s="50">
        <f>IFERROR(INDEX('التوظيف'!$E$3:$E$502,74),"")</f>
        <v/>
      </c>
      <c r="F80" s="51">
        <f>IFERROR(INDEX('التوظيف'!$F$3:$F$502,74),"")</f>
        <v/>
      </c>
      <c r="G80" s="119">
        <f>IFERROR(INDEX('التوظيف'!$G$3:$G$502,74),"")</f>
        <v/>
      </c>
      <c r="H80" s="50">
        <f>IFERROR(INDEX('التوظيف'!$H$3:$H$502,74),"")</f>
        <v/>
      </c>
      <c r="I80" s="119">
        <f>IFERROR(INDEX('التوظيف'!$I$3:$I$502,74),"")</f>
        <v/>
      </c>
      <c r="J80" s="50">
        <f>IFERROR(INDEX('التوظيف'!$J$3:$J$502,74),"")</f>
        <v/>
      </c>
      <c r="K80" s="50">
        <f>IFERROR(INDEX('التوظيف'!$K$3:$K$502,74),"")</f>
        <v/>
      </c>
      <c r="L80" s="119">
        <f>IFERROR(INDEX('التوظيف'!$L$3:$L$502,74),"")</f>
        <v/>
      </c>
    </row>
    <row r="81">
      <c r="A81" s="43">
        <f>IFERROR(INDEX('التوظيف'!$A$3:$A$502,75),"")</f>
        <v/>
      </c>
      <c r="B81" s="43">
        <f>IFERROR(INDEX('التوظيف'!$B$3:$B$502,75),"")</f>
        <v/>
      </c>
      <c r="C81" s="43">
        <f>IFERROR(INDEX('التوظيف'!$C$3:$C$502,75),"")</f>
        <v/>
      </c>
      <c r="D81" s="43">
        <f>IFERROR(INDEX('التوظيف'!$D$3:$D$502,75),"")</f>
        <v/>
      </c>
      <c r="E81" s="43">
        <f>IFERROR(INDEX('التوظيف'!$E$3:$E$502,75),"")</f>
        <v/>
      </c>
      <c r="F81" s="44">
        <f>IFERROR(INDEX('التوظيف'!$F$3:$F$502,75),"")</f>
        <v/>
      </c>
      <c r="G81" s="118">
        <f>IFERROR(INDEX('التوظيف'!$G$3:$G$502,75),"")</f>
        <v/>
      </c>
      <c r="H81" s="43">
        <f>IFERROR(INDEX('التوظيف'!$H$3:$H$502,75),"")</f>
        <v/>
      </c>
      <c r="I81" s="118">
        <f>IFERROR(INDEX('التوظيف'!$I$3:$I$502,75),"")</f>
        <v/>
      </c>
      <c r="J81" s="43">
        <f>IFERROR(INDEX('التوظيف'!$J$3:$J$502,75),"")</f>
        <v/>
      </c>
      <c r="K81" s="43">
        <f>IFERROR(INDEX('التوظيف'!$K$3:$K$502,75),"")</f>
        <v/>
      </c>
      <c r="L81" s="118">
        <f>IFERROR(INDEX('التوظيف'!$L$3:$L$502,75),"")</f>
        <v/>
      </c>
    </row>
    <row r="82">
      <c r="A82" s="50">
        <f>IFERROR(INDEX('التوظيف'!$A$3:$A$502,76),"")</f>
        <v/>
      </c>
      <c r="B82" s="50">
        <f>IFERROR(INDEX('التوظيف'!$B$3:$B$502,76),"")</f>
        <v/>
      </c>
      <c r="C82" s="50">
        <f>IFERROR(INDEX('التوظيف'!$C$3:$C$502,76),"")</f>
        <v/>
      </c>
      <c r="D82" s="50">
        <f>IFERROR(INDEX('التوظيف'!$D$3:$D$502,76),"")</f>
        <v/>
      </c>
      <c r="E82" s="50">
        <f>IFERROR(INDEX('التوظيف'!$E$3:$E$502,76),"")</f>
        <v/>
      </c>
      <c r="F82" s="51">
        <f>IFERROR(INDEX('التوظيف'!$F$3:$F$502,76),"")</f>
        <v/>
      </c>
      <c r="G82" s="119">
        <f>IFERROR(INDEX('التوظيف'!$G$3:$G$502,76),"")</f>
        <v/>
      </c>
      <c r="H82" s="50">
        <f>IFERROR(INDEX('التوظيف'!$H$3:$H$502,76),"")</f>
        <v/>
      </c>
      <c r="I82" s="119">
        <f>IFERROR(INDEX('التوظيف'!$I$3:$I$502,76),"")</f>
        <v/>
      </c>
      <c r="J82" s="50">
        <f>IFERROR(INDEX('التوظيف'!$J$3:$J$502,76),"")</f>
        <v/>
      </c>
      <c r="K82" s="50">
        <f>IFERROR(INDEX('التوظيف'!$K$3:$K$502,76),"")</f>
        <v/>
      </c>
      <c r="L82" s="119">
        <f>IFERROR(INDEX('التوظيف'!$L$3:$L$502,76),"")</f>
        <v/>
      </c>
    </row>
    <row r="83">
      <c r="A83" s="43">
        <f>IFERROR(INDEX('التوظيف'!$A$3:$A$502,77),"")</f>
        <v/>
      </c>
      <c r="B83" s="43">
        <f>IFERROR(INDEX('التوظيف'!$B$3:$B$502,77),"")</f>
        <v/>
      </c>
      <c r="C83" s="43">
        <f>IFERROR(INDEX('التوظيف'!$C$3:$C$502,77),"")</f>
        <v/>
      </c>
      <c r="D83" s="43">
        <f>IFERROR(INDEX('التوظيف'!$D$3:$D$502,77),"")</f>
        <v/>
      </c>
      <c r="E83" s="43">
        <f>IFERROR(INDEX('التوظيف'!$E$3:$E$502,77),"")</f>
        <v/>
      </c>
      <c r="F83" s="44">
        <f>IFERROR(INDEX('التوظيف'!$F$3:$F$502,77),"")</f>
        <v/>
      </c>
      <c r="G83" s="118">
        <f>IFERROR(INDEX('التوظيف'!$G$3:$G$502,77),"")</f>
        <v/>
      </c>
      <c r="H83" s="43">
        <f>IFERROR(INDEX('التوظيف'!$H$3:$H$502,77),"")</f>
        <v/>
      </c>
      <c r="I83" s="118">
        <f>IFERROR(INDEX('التوظيف'!$I$3:$I$502,77),"")</f>
        <v/>
      </c>
      <c r="J83" s="43">
        <f>IFERROR(INDEX('التوظيف'!$J$3:$J$502,77),"")</f>
        <v/>
      </c>
      <c r="K83" s="43">
        <f>IFERROR(INDEX('التوظيف'!$K$3:$K$502,77),"")</f>
        <v/>
      </c>
      <c r="L83" s="118">
        <f>IFERROR(INDEX('التوظيف'!$L$3:$L$502,77),"")</f>
        <v/>
      </c>
    </row>
    <row r="84">
      <c r="A84" s="50">
        <f>IFERROR(INDEX('التوظيف'!$A$3:$A$502,78),"")</f>
        <v/>
      </c>
      <c r="B84" s="50">
        <f>IFERROR(INDEX('التوظيف'!$B$3:$B$502,78),"")</f>
        <v/>
      </c>
      <c r="C84" s="50">
        <f>IFERROR(INDEX('التوظيف'!$C$3:$C$502,78),"")</f>
        <v/>
      </c>
      <c r="D84" s="50">
        <f>IFERROR(INDEX('التوظيف'!$D$3:$D$502,78),"")</f>
        <v/>
      </c>
      <c r="E84" s="50">
        <f>IFERROR(INDEX('التوظيف'!$E$3:$E$502,78),"")</f>
        <v/>
      </c>
      <c r="F84" s="51">
        <f>IFERROR(INDEX('التوظيف'!$F$3:$F$502,78),"")</f>
        <v/>
      </c>
      <c r="G84" s="119">
        <f>IFERROR(INDEX('التوظيف'!$G$3:$G$502,78),"")</f>
        <v/>
      </c>
      <c r="H84" s="50">
        <f>IFERROR(INDEX('التوظيف'!$H$3:$H$502,78),"")</f>
        <v/>
      </c>
      <c r="I84" s="119">
        <f>IFERROR(INDEX('التوظيف'!$I$3:$I$502,78),"")</f>
        <v/>
      </c>
      <c r="J84" s="50">
        <f>IFERROR(INDEX('التوظيف'!$J$3:$J$502,78),"")</f>
        <v/>
      </c>
      <c r="K84" s="50">
        <f>IFERROR(INDEX('التوظيف'!$K$3:$K$502,78),"")</f>
        <v/>
      </c>
      <c r="L84" s="119">
        <f>IFERROR(INDEX('التوظيف'!$L$3:$L$502,78),"")</f>
        <v/>
      </c>
    </row>
    <row r="85">
      <c r="A85" s="43">
        <f>IFERROR(INDEX('التوظيف'!$A$3:$A$502,79),"")</f>
        <v/>
      </c>
      <c r="B85" s="43">
        <f>IFERROR(INDEX('التوظيف'!$B$3:$B$502,79),"")</f>
        <v/>
      </c>
      <c r="C85" s="43">
        <f>IFERROR(INDEX('التوظيف'!$C$3:$C$502,79),"")</f>
        <v/>
      </c>
      <c r="D85" s="43">
        <f>IFERROR(INDEX('التوظيف'!$D$3:$D$502,79),"")</f>
        <v/>
      </c>
      <c r="E85" s="43">
        <f>IFERROR(INDEX('التوظيف'!$E$3:$E$502,79),"")</f>
        <v/>
      </c>
      <c r="F85" s="44">
        <f>IFERROR(INDEX('التوظيف'!$F$3:$F$502,79),"")</f>
        <v/>
      </c>
      <c r="G85" s="118">
        <f>IFERROR(INDEX('التوظيف'!$G$3:$G$502,79),"")</f>
        <v/>
      </c>
      <c r="H85" s="43">
        <f>IFERROR(INDEX('التوظيف'!$H$3:$H$502,79),"")</f>
        <v/>
      </c>
      <c r="I85" s="118">
        <f>IFERROR(INDEX('التوظيف'!$I$3:$I$502,79),"")</f>
        <v/>
      </c>
      <c r="J85" s="43">
        <f>IFERROR(INDEX('التوظيف'!$J$3:$J$502,79),"")</f>
        <v/>
      </c>
      <c r="K85" s="43">
        <f>IFERROR(INDEX('التوظيف'!$K$3:$K$502,79),"")</f>
        <v/>
      </c>
      <c r="L85" s="118">
        <f>IFERROR(INDEX('التوظيف'!$L$3:$L$502,79),"")</f>
        <v/>
      </c>
    </row>
    <row r="86">
      <c r="A86" s="50">
        <f>IFERROR(INDEX('التوظيف'!$A$3:$A$502,80),"")</f>
        <v/>
      </c>
      <c r="B86" s="50">
        <f>IFERROR(INDEX('التوظيف'!$B$3:$B$502,80),"")</f>
        <v/>
      </c>
      <c r="C86" s="50">
        <f>IFERROR(INDEX('التوظيف'!$C$3:$C$502,80),"")</f>
        <v/>
      </c>
      <c r="D86" s="50">
        <f>IFERROR(INDEX('التوظيف'!$D$3:$D$502,80),"")</f>
        <v/>
      </c>
      <c r="E86" s="50">
        <f>IFERROR(INDEX('التوظيف'!$E$3:$E$502,80),"")</f>
        <v/>
      </c>
      <c r="F86" s="51">
        <f>IFERROR(INDEX('التوظيف'!$F$3:$F$502,80),"")</f>
        <v/>
      </c>
      <c r="G86" s="119">
        <f>IFERROR(INDEX('التوظيف'!$G$3:$G$502,80),"")</f>
        <v/>
      </c>
      <c r="H86" s="50">
        <f>IFERROR(INDEX('التوظيف'!$H$3:$H$502,80),"")</f>
        <v/>
      </c>
      <c r="I86" s="119">
        <f>IFERROR(INDEX('التوظيف'!$I$3:$I$502,80),"")</f>
        <v/>
      </c>
      <c r="J86" s="50">
        <f>IFERROR(INDEX('التوظيف'!$J$3:$J$502,80),"")</f>
        <v/>
      </c>
      <c r="K86" s="50">
        <f>IFERROR(INDEX('التوظيف'!$K$3:$K$502,80),"")</f>
        <v/>
      </c>
      <c r="L86" s="119">
        <f>IFERROR(INDEX('التوظيف'!$L$3:$L$502,80),"")</f>
        <v/>
      </c>
    </row>
    <row r="87">
      <c r="A87" s="43">
        <f>IFERROR(INDEX('التوظيف'!$A$3:$A$502,81),"")</f>
        <v/>
      </c>
      <c r="B87" s="43">
        <f>IFERROR(INDEX('التوظيف'!$B$3:$B$502,81),"")</f>
        <v/>
      </c>
      <c r="C87" s="43">
        <f>IFERROR(INDEX('التوظيف'!$C$3:$C$502,81),"")</f>
        <v/>
      </c>
      <c r="D87" s="43">
        <f>IFERROR(INDEX('التوظيف'!$D$3:$D$502,81),"")</f>
        <v/>
      </c>
      <c r="E87" s="43">
        <f>IFERROR(INDEX('التوظيف'!$E$3:$E$502,81),"")</f>
        <v/>
      </c>
      <c r="F87" s="44">
        <f>IFERROR(INDEX('التوظيف'!$F$3:$F$502,81),"")</f>
        <v/>
      </c>
      <c r="G87" s="118">
        <f>IFERROR(INDEX('التوظيف'!$G$3:$G$502,81),"")</f>
        <v/>
      </c>
      <c r="H87" s="43">
        <f>IFERROR(INDEX('التوظيف'!$H$3:$H$502,81),"")</f>
        <v/>
      </c>
      <c r="I87" s="118">
        <f>IFERROR(INDEX('التوظيف'!$I$3:$I$502,81),"")</f>
        <v/>
      </c>
      <c r="J87" s="43">
        <f>IFERROR(INDEX('التوظيف'!$J$3:$J$502,81),"")</f>
        <v/>
      </c>
      <c r="K87" s="43">
        <f>IFERROR(INDEX('التوظيف'!$K$3:$K$502,81),"")</f>
        <v/>
      </c>
      <c r="L87" s="118">
        <f>IFERROR(INDEX('التوظيف'!$L$3:$L$502,81),"")</f>
        <v/>
      </c>
    </row>
    <row r="88">
      <c r="A88" s="50">
        <f>IFERROR(INDEX('التوظيف'!$A$3:$A$502,82),"")</f>
        <v/>
      </c>
      <c r="B88" s="50">
        <f>IFERROR(INDEX('التوظيف'!$B$3:$B$502,82),"")</f>
        <v/>
      </c>
      <c r="C88" s="50">
        <f>IFERROR(INDEX('التوظيف'!$C$3:$C$502,82),"")</f>
        <v/>
      </c>
      <c r="D88" s="50">
        <f>IFERROR(INDEX('التوظيف'!$D$3:$D$502,82),"")</f>
        <v/>
      </c>
      <c r="E88" s="50">
        <f>IFERROR(INDEX('التوظيف'!$E$3:$E$502,82),"")</f>
        <v/>
      </c>
      <c r="F88" s="51">
        <f>IFERROR(INDEX('التوظيف'!$F$3:$F$502,82),"")</f>
        <v/>
      </c>
      <c r="G88" s="119">
        <f>IFERROR(INDEX('التوظيف'!$G$3:$G$502,82),"")</f>
        <v/>
      </c>
      <c r="H88" s="50">
        <f>IFERROR(INDEX('التوظيف'!$H$3:$H$502,82),"")</f>
        <v/>
      </c>
      <c r="I88" s="119">
        <f>IFERROR(INDEX('التوظيف'!$I$3:$I$502,82),"")</f>
        <v/>
      </c>
      <c r="J88" s="50">
        <f>IFERROR(INDEX('التوظيف'!$J$3:$J$502,82),"")</f>
        <v/>
      </c>
      <c r="K88" s="50">
        <f>IFERROR(INDEX('التوظيف'!$K$3:$K$502,82),"")</f>
        <v/>
      </c>
      <c r="L88" s="119">
        <f>IFERROR(INDEX('التوظيف'!$L$3:$L$502,82),"")</f>
        <v/>
      </c>
    </row>
    <row r="89">
      <c r="A89" s="43">
        <f>IFERROR(INDEX('التوظيف'!$A$3:$A$502,83),"")</f>
        <v/>
      </c>
      <c r="B89" s="43">
        <f>IFERROR(INDEX('التوظيف'!$B$3:$B$502,83),"")</f>
        <v/>
      </c>
      <c r="C89" s="43">
        <f>IFERROR(INDEX('التوظيف'!$C$3:$C$502,83),"")</f>
        <v/>
      </c>
      <c r="D89" s="43">
        <f>IFERROR(INDEX('التوظيف'!$D$3:$D$502,83),"")</f>
        <v/>
      </c>
      <c r="E89" s="43">
        <f>IFERROR(INDEX('التوظيف'!$E$3:$E$502,83),"")</f>
        <v/>
      </c>
      <c r="F89" s="44">
        <f>IFERROR(INDEX('التوظيف'!$F$3:$F$502,83),"")</f>
        <v/>
      </c>
      <c r="G89" s="118">
        <f>IFERROR(INDEX('التوظيف'!$G$3:$G$502,83),"")</f>
        <v/>
      </c>
      <c r="H89" s="43">
        <f>IFERROR(INDEX('التوظيف'!$H$3:$H$502,83),"")</f>
        <v/>
      </c>
      <c r="I89" s="118">
        <f>IFERROR(INDEX('التوظيف'!$I$3:$I$502,83),"")</f>
        <v/>
      </c>
      <c r="J89" s="43">
        <f>IFERROR(INDEX('التوظيف'!$J$3:$J$502,83),"")</f>
        <v/>
      </c>
      <c r="K89" s="43">
        <f>IFERROR(INDEX('التوظيف'!$K$3:$K$502,83),"")</f>
        <v/>
      </c>
      <c r="L89" s="118">
        <f>IFERROR(INDEX('التوظيف'!$L$3:$L$502,83),"")</f>
        <v/>
      </c>
    </row>
    <row r="90">
      <c r="A90" s="50">
        <f>IFERROR(INDEX('التوظيف'!$A$3:$A$502,84),"")</f>
        <v/>
      </c>
      <c r="B90" s="50">
        <f>IFERROR(INDEX('التوظيف'!$B$3:$B$502,84),"")</f>
        <v/>
      </c>
      <c r="C90" s="50">
        <f>IFERROR(INDEX('التوظيف'!$C$3:$C$502,84),"")</f>
        <v/>
      </c>
      <c r="D90" s="50">
        <f>IFERROR(INDEX('التوظيف'!$D$3:$D$502,84),"")</f>
        <v/>
      </c>
      <c r="E90" s="50">
        <f>IFERROR(INDEX('التوظيف'!$E$3:$E$502,84),"")</f>
        <v/>
      </c>
      <c r="F90" s="51">
        <f>IFERROR(INDEX('التوظيف'!$F$3:$F$502,84),"")</f>
        <v/>
      </c>
      <c r="G90" s="119">
        <f>IFERROR(INDEX('التوظيف'!$G$3:$G$502,84),"")</f>
        <v/>
      </c>
      <c r="H90" s="50">
        <f>IFERROR(INDEX('التوظيف'!$H$3:$H$502,84),"")</f>
        <v/>
      </c>
      <c r="I90" s="119">
        <f>IFERROR(INDEX('التوظيف'!$I$3:$I$502,84),"")</f>
        <v/>
      </c>
      <c r="J90" s="50">
        <f>IFERROR(INDEX('التوظيف'!$J$3:$J$502,84),"")</f>
        <v/>
      </c>
      <c r="K90" s="50">
        <f>IFERROR(INDEX('التوظيف'!$K$3:$K$502,84),"")</f>
        <v/>
      </c>
      <c r="L90" s="119">
        <f>IFERROR(INDEX('التوظيف'!$L$3:$L$502,84),"")</f>
        <v/>
      </c>
    </row>
    <row r="91">
      <c r="A91" s="43">
        <f>IFERROR(INDEX('التوظيف'!$A$3:$A$502,85),"")</f>
        <v/>
      </c>
      <c r="B91" s="43">
        <f>IFERROR(INDEX('التوظيف'!$B$3:$B$502,85),"")</f>
        <v/>
      </c>
      <c r="C91" s="43">
        <f>IFERROR(INDEX('التوظيف'!$C$3:$C$502,85),"")</f>
        <v/>
      </c>
      <c r="D91" s="43">
        <f>IFERROR(INDEX('التوظيف'!$D$3:$D$502,85),"")</f>
        <v/>
      </c>
      <c r="E91" s="43">
        <f>IFERROR(INDEX('التوظيف'!$E$3:$E$502,85),"")</f>
        <v/>
      </c>
      <c r="F91" s="44">
        <f>IFERROR(INDEX('التوظيف'!$F$3:$F$502,85),"")</f>
        <v/>
      </c>
      <c r="G91" s="118">
        <f>IFERROR(INDEX('التوظيف'!$G$3:$G$502,85),"")</f>
        <v/>
      </c>
      <c r="H91" s="43">
        <f>IFERROR(INDEX('التوظيف'!$H$3:$H$502,85),"")</f>
        <v/>
      </c>
      <c r="I91" s="118">
        <f>IFERROR(INDEX('التوظيف'!$I$3:$I$502,85),"")</f>
        <v/>
      </c>
      <c r="J91" s="43">
        <f>IFERROR(INDEX('التوظيف'!$J$3:$J$502,85),"")</f>
        <v/>
      </c>
      <c r="K91" s="43">
        <f>IFERROR(INDEX('التوظيف'!$K$3:$K$502,85),"")</f>
        <v/>
      </c>
      <c r="L91" s="118">
        <f>IFERROR(INDEX('التوظيف'!$L$3:$L$502,85),"")</f>
        <v/>
      </c>
    </row>
    <row r="92">
      <c r="A92" s="50">
        <f>IFERROR(INDEX('التوظيف'!$A$3:$A$502,86),"")</f>
        <v/>
      </c>
      <c r="B92" s="50">
        <f>IFERROR(INDEX('التوظيف'!$B$3:$B$502,86),"")</f>
        <v/>
      </c>
      <c r="C92" s="50">
        <f>IFERROR(INDEX('التوظيف'!$C$3:$C$502,86),"")</f>
        <v/>
      </c>
      <c r="D92" s="50">
        <f>IFERROR(INDEX('التوظيف'!$D$3:$D$502,86),"")</f>
        <v/>
      </c>
      <c r="E92" s="50">
        <f>IFERROR(INDEX('التوظيف'!$E$3:$E$502,86),"")</f>
        <v/>
      </c>
      <c r="F92" s="51">
        <f>IFERROR(INDEX('التوظيف'!$F$3:$F$502,86),"")</f>
        <v/>
      </c>
      <c r="G92" s="119">
        <f>IFERROR(INDEX('التوظيف'!$G$3:$G$502,86),"")</f>
        <v/>
      </c>
      <c r="H92" s="50">
        <f>IFERROR(INDEX('التوظيف'!$H$3:$H$502,86),"")</f>
        <v/>
      </c>
      <c r="I92" s="119">
        <f>IFERROR(INDEX('التوظيف'!$I$3:$I$502,86),"")</f>
        <v/>
      </c>
      <c r="J92" s="50">
        <f>IFERROR(INDEX('التوظيف'!$J$3:$J$502,86),"")</f>
        <v/>
      </c>
      <c r="K92" s="50">
        <f>IFERROR(INDEX('التوظيف'!$K$3:$K$502,86),"")</f>
        <v/>
      </c>
      <c r="L92" s="119">
        <f>IFERROR(INDEX('التوظيف'!$L$3:$L$502,86),"")</f>
        <v/>
      </c>
    </row>
    <row r="93">
      <c r="A93" s="43">
        <f>IFERROR(INDEX('التوظيف'!$A$3:$A$502,87),"")</f>
        <v/>
      </c>
      <c r="B93" s="43">
        <f>IFERROR(INDEX('التوظيف'!$B$3:$B$502,87),"")</f>
        <v/>
      </c>
      <c r="C93" s="43">
        <f>IFERROR(INDEX('التوظيف'!$C$3:$C$502,87),"")</f>
        <v/>
      </c>
      <c r="D93" s="43">
        <f>IFERROR(INDEX('التوظيف'!$D$3:$D$502,87),"")</f>
        <v/>
      </c>
      <c r="E93" s="43">
        <f>IFERROR(INDEX('التوظيف'!$E$3:$E$502,87),"")</f>
        <v/>
      </c>
      <c r="F93" s="44">
        <f>IFERROR(INDEX('التوظيف'!$F$3:$F$502,87),"")</f>
        <v/>
      </c>
      <c r="G93" s="118">
        <f>IFERROR(INDEX('التوظيف'!$G$3:$G$502,87),"")</f>
        <v/>
      </c>
      <c r="H93" s="43">
        <f>IFERROR(INDEX('التوظيف'!$H$3:$H$502,87),"")</f>
        <v/>
      </c>
      <c r="I93" s="118">
        <f>IFERROR(INDEX('التوظيف'!$I$3:$I$502,87),"")</f>
        <v/>
      </c>
      <c r="J93" s="43">
        <f>IFERROR(INDEX('التوظيف'!$J$3:$J$502,87),"")</f>
        <v/>
      </c>
      <c r="K93" s="43">
        <f>IFERROR(INDEX('التوظيف'!$K$3:$K$502,87),"")</f>
        <v/>
      </c>
      <c r="L93" s="118">
        <f>IFERROR(INDEX('التوظيف'!$L$3:$L$502,87),"")</f>
        <v/>
      </c>
    </row>
    <row r="94">
      <c r="A94" s="50">
        <f>IFERROR(INDEX('التوظيف'!$A$3:$A$502,88),"")</f>
        <v/>
      </c>
      <c r="B94" s="50">
        <f>IFERROR(INDEX('التوظيف'!$B$3:$B$502,88),"")</f>
        <v/>
      </c>
      <c r="C94" s="50">
        <f>IFERROR(INDEX('التوظيف'!$C$3:$C$502,88),"")</f>
        <v/>
      </c>
      <c r="D94" s="50">
        <f>IFERROR(INDEX('التوظيف'!$D$3:$D$502,88),"")</f>
        <v/>
      </c>
      <c r="E94" s="50">
        <f>IFERROR(INDEX('التوظيف'!$E$3:$E$502,88),"")</f>
        <v/>
      </c>
      <c r="F94" s="51">
        <f>IFERROR(INDEX('التوظيف'!$F$3:$F$502,88),"")</f>
        <v/>
      </c>
      <c r="G94" s="119">
        <f>IFERROR(INDEX('التوظيف'!$G$3:$G$502,88),"")</f>
        <v/>
      </c>
      <c r="H94" s="50">
        <f>IFERROR(INDEX('التوظيف'!$H$3:$H$502,88),"")</f>
        <v/>
      </c>
      <c r="I94" s="119">
        <f>IFERROR(INDEX('التوظيف'!$I$3:$I$502,88),"")</f>
        <v/>
      </c>
      <c r="J94" s="50">
        <f>IFERROR(INDEX('التوظيف'!$J$3:$J$502,88),"")</f>
        <v/>
      </c>
      <c r="K94" s="50">
        <f>IFERROR(INDEX('التوظيف'!$K$3:$K$502,88),"")</f>
        <v/>
      </c>
      <c r="L94" s="119">
        <f>IFERROR(INDEX('التوظيف'!$L$3:$L$502,88),"")</f>
        <v/>
      </c>
    </row>
    <row r="95">
      <c r="A95" s="43">
        <f>IFERROR(INDEX('التوظيف'!$A$3:$A$502,89),"")</f>
        <v/>
      </c>
      <c r="B95" s="43">
        <f>IFERROR(INDEX('التوظيف'!$B$3:$B$502,89),"")</f>
        <v/>
      </c>
      <c r="C95" s="43">
        <f>IFERROR(INDEX('التوظيف'!$C$3:$C$502,89),"")</f>
        <v/>
      </c>
      <c r="D95" s="43">
        <f>IFERROR(INDEX('التوظيف'!$D$3:$D$502,89),"")</f>
        <v/>
      </c>
      <c r="E95" s="43">
        <f>IFERROR(INDEX('التوظيف'!$E$3:$E$502,89),"")</f>
        <v/>
      </c>
      <c r="F95" s="44">
        <f>IFERROR(INDEX('التوظيف'!$F$3:$F$502,89),"")</f>
        <v/>
      </c>
      <c r="G95" s="118">
        <f>IFERROR(INDEX('التوظيف'!$G$3:$G$502,89),"")</f>
        <v/>
      </c>
      <c r="H95" s="43">
        <f>IFERROR(INDEX('التوظيف'!$H$3:$H$502,89),"")</f>
        <v/>
      </c>
      <c r="I95" s="118">
        <f>IFERROR(INDEX('التوظيف'!$I$3:$I$502,89),"")</f>
        <v/>
      </c>
      <c r="J95" s="43">
        <f>IFERROR(INDEX('التوظيف'!$J$3:$J$502,89),"")</f>
        <v/>
      </c>
      <c r="K95" s="43">
        <f>IFERROR(INDEX('التوظيف'!$K$3:$K$502,89),"")</f>
        <v/>
      </c>
      <c r="L95" s="118">
        <f>IFERROR(INDEX('التوظيف'!$L$3:$L$502,89),"")</f>
        <v/>
      </c>
    </row>
    <row r="96">
      <c r="A96" s="50">
        <f>IFERROR(INDEX('التوظيف'!$A$3:$A$502,90),"")</f>
        <v/>
      </c>
      <c r="B96" s="50">
        <f>IFERROR(INDEX('التوظيف'!$B$3:$B$502,90),"")</f>
        <v/>
      </c>
      <c r="C96" s="50">
        <f>IFERROR(INDEX('التوظيف'!$C$3:$C$502,90),"")</f>
        <v/>
      </c>
      <c r="D96" s="50">
        <f>IFERROR(INDEX('التوظيف'!$D$3:$D$502,90),"")</f>
        <v/>
      </c>
      <c r="E96" s="50">
        <f>IFERROR(INDEX('التوظيف'!$E$3:$E$502,90),"")</f>
        <v/>
      </c>
      <c r="F96" s="51">
        <f>IFERROR(INDEX('التوظيف'!$F$3:$F$502,90),"")</f>
        <v/>
      </c>
      <c r="G96" s="119">
        <f>IFERROR(INDEX('التوظيف'!$G$3:$G$502,90),"")</f>
        <v/>
      </c>
      <c r="H96" s="50">
        <f>IFERROR(INDEX('التوظيف'!$H$3:$H$502,90),"")</f>
        <v/>
      </c>
      <c r="I96" s="119">
        <f>IFERROR(INDEX('التوظيف'!$I$3:$I$502,90),"")</f>
        <v/>
      </c>
      <c r="J96" s="50">
        <f>IFERROR(INDEX('التوظيف'!$J$3:$J$502,90),"")</f>
        <v/>
      </c>
      <c r="K96" s="50">
        <f>IFERROR(INDEX('التوظيف'!$K$3:$K$502,90),"")</f>
        <v/>
      </c>
      <c r="L96" s="119">
        <f>IFERROR(INDEX('التوظيف'!$L$3:$L$502,90),"")</f>
        <v/>
      </c>
    </row>
    <row r="97">
      <c r="A97" s="43">
        <f>IFERROR(INDEX('التوظيف'!$A$3:$A$502,91),"")</f>
        <v/>
      </c>
      <c r="B97" s="43">
        <f>IFERROR(INDEX('التوظيف'!$B$3:$B$502,91),"")</f>
        <v/>
      </c>
      <c r="C97" s="43">
        <f>IFERROR(INDEX('التوظيف'!$C$3:$C$502,91),"")</f>
        <v/>
      </c>
      <c r="D97" s="43">
        <f>IFERROR(INDEX('التوظيف'!$D$3:$D$502,91),"")</f>
        <v/>
      </c>
      <c r="E97" s="43">
        <f>IFERROR(INDEX('التوظيف'!$E$3:$E$502,91),"")</f>
        <v/>
      </c>
      <c r="F97" s="44">
        <f>IFERROR(INDEX('التوظيف'!$F$3:$F$502,91),"")</f>
        <v/>
      </c>
      <c r="G97" s="118">
        <f>IFERROR(INDEX('التوظيف'!$G$3:$G$502,91),"")</f>
        <v/>
      </c>
      <c r="H97" s="43">
        <f>IFERROR(INDEX('التوظيف'!$H$3:$H$502,91),"")</f>
        <v/>
      </c>
      <c r="I97" s="118">
        <f>IFERROR(INDEX('التوظيف'!$I$3:$I$502,91),"")</f>
        <v/>
      </c>
      <c r="J97" s="43">
        <f>IFERROR(INDEX('التوظيف'!$J$3:$J$502,91),"")</f>
        <v/>
      </c>
      <c r="K97" s="43">
        <f>IFERROR(INDEX('التوظيف'!$K$3:$K$502,91),"")</f>
        <v/>
      </c>
      <c r="L97" s="118">
        <f>IFERROR(INDEX('التوظيف'!$L$3:$L$502,91),"")</f>
        <v/>
      </c>
    </row>
    <row r="98">
      <c r="A98" s="50">
        <f>IFERROR(INDEX('التوظيف'!$A$3:$A$502,92),"")</f>
        <v/>
      </c>
      <c r="B98" s="50">
        <f>IFERROR(INDEX('التوظيف'!$B$3:$B$502,92),"")</f>
        <v/>
      </c>
      <c r="C98" s="50">
        <f>IFERROR(INDEX('التوظيف'!$C$3:$C$502,92),"")</f>
        <v/>
      </c>
      <c r="D98" s="50">
        <f>IFERROR(INDEX('التوظيف'!$D$3:$D$502,92),"")</f>
        <v/>
      </c>
      <c r="E98" s="50">
        <f>IFERROR(INDEX('التوظيف'!$E$3:$E$502,92),"")</f>
        <v/>
      </c>
      <c r="F98" s="51">
        <f>IFERROR(INDEX('التوظيف'!$F$3:$F$502,92),"")</f>
        <v/>
      </c>
      <c r="G98" s="119">
        <f>IFERROR(INDEX('التوظيف'!$G$3:$G$502,92),"")</f>
        <v/>
      </c>
      <c r="H98" s="50">
        <f>IFERROR(INDEX('التوظيف'!$H$3:$H$502,92),"")</f>
        <v/>
      </c>
      <c r="I98" s="119">
        <f>IFERROR(INDEX('التوظيف'!$I$3:$I$502,92),"")</f>
        <v/>
      </c>
      <c r="J98" s="50">
        <f>IFERROR(INDEX('التوظيف'!$J$3:$J$502,92),"")</f>
        <v/>
      </c>
      <c r="K98" s="50">
        <f>IFERROR(INDEX('التوظيف'!$K$3:$K$502,92),"")</f>
        <v/>
      </c>
      <c r="L98" s="119">
        <f>IFERROR(INDEX('التوظيف'!$L$3:$L$502,92),"")</f>
        <v/>
      </c>
    </row>
    <row r="99">
      <c r="A99" s="43">
        <f>IFERROR(INDEX('التوظيف'!$A$3:$A$502,93),"")</f>
        <v/>
      </c>
      <c r="B99" s="43">
        <f>IFERROR(INDEX('التوظيف'!$B$3:$B$502,93),"")</f>
        <v/>
      </c>
      <c r="C99" s="43">
        <f>IFERROR(INDEX('التوظيف'!$C$3:$C$502,93),"")</f>
        <v/>
      </c>
      <c r="D99" s="43">
        <f>IFERROR(INDEX('التوظيف'!$D$3:$D$502,93),"")</f>
        <v/>
      </c>
      <c r="E99" s="43">
        <f>IFERROR(INDEX('التوظيف'!$E$3:$E$502,93),"")</f>
        <v/>
      </c>
      <c r="F99" s="44">
        <f>IFERROR(INDEX('التوظيف'!$F$3:$F$502,93),"")</f>
        <v/>
      </c>
      <c r="G99" s="118">
        <f>IFERROR(INDEX('التوظيف'!$G$3:$G$502,93),"")</f>
        <v/>
      </c>
      <c r="H99" s="43">
        <f>IFERROR(INDEX('التوظيف'!$H$3:$H$502,93),"")</f>
        <v/>
      </c>
      <c r="I99" s="118">
        <f>IFERROR(INDEX('التوظيف'!$I$3:$I$502,93),"")</f>
        <v/>
      </c>
      <c r="J99" s="43">
        <f>IFERROR(INDEX('التوظيف'!$J$3:$J$502,93),"")</f>
        <v/>
      </c>
      <c r="K99" s="43">
        <f>IFERROR(INDEX('التوظيف'!$K$3:$K$502,93),"")</f>
        <v/>
      </c>
      <c r="L99" s="118">
        <f>IFERROR(INDEX('التوظيف'!$L$3:$L$502,93),"")</f>
        <v/>
      </c>
    </row>
    <row r="100">
      <c r="A100" s="50">
        <f>IFERROR(INDEX('التوظيف'!$A$3:$A$502,94),"")</f>
        <v/>
      </c>
      <c r="B100" s="50">
        <f>IFERROR(INDEX('التوظيف'!$B$3:$B$502,94),"")</f>
        <v/>
      </c>
      <c r="C100" s="50">
        <f>IFERROR(INDEX('التوظيف'!$C$3:$C$502,94),"")</f>
        <v/>
      </c>
      <c r="D100" s="50">
        <f>IFERROR(INDEX('التوظيف'!$D$3:$D$502,94),"")</f>
        <v/>
      </c>
      <c r="E100" s="50">
        <f>IFERROR(INDEX('التوظيف'!$E$3:$E$502,94),"")</f>
        <v/>
      </c>
      <c r="F100" s="51">
        <f>IFERROR(INDEX('التوظيف'!$F$3:$F$502,94),"")</f>
        <v/>
      </c>
      <c r="G100" s="119">
        <f>IFERROR(INDEX('التوظيف'!$G$3:$G$502,94),"")</f>
        <v/>
      </c>
      <c r="H100" s="50">
        <f>IFERROR(INDEX('التوظيف'!$H$3:$H$502,94),"")</f>
        <v/>
      </c>
      <c r="I100" s="119">
        <f>IFERROR(INDEX('التوظيف'!$I$3:$I$502,94),"")</f>
        <v/>
      </c>
      <c r="J100" s="50">
        <f>IFERROR(INDEX('التوظيف'!$J$3:$J$502,94),"")</f>
        <v/>
      </c>
      <c r="K100" s="50">
        <f>IFERROR(INDEX('التوظيف'!$K$3:$K$502,94),"")</f>
        <v/>
      </c>
      <c r="L100" s="119">
        <f>IFERROR(INDEX('التوظيف'!$L$3:$L$502,94),"")</f>
        <v/>
      </c>
    </row>
    <row r="101">
      <c r="A101" s="43">
        <f>IFERROR(INDEX('التوظيف'!$A$3:$A$502,95),"")</f>
        <v/>
      </c>
      <c r="B101" s="43">
        <f>IFERROR(INDEX('التوظيف'!$B$3:$B$502,95),"")</f>
        <v/>
      </c>
      <c r="C101" s="43">
        <f>IFERROR(INDEX('التوظيف'!$C$3:$C$502,95),"")</f>
        <v/>
      </c>
      <c r="D101" s="43">
        <f>IFERROR(INDEX('التوظيف'!$D$3:$D$502,95),"")</f>
        <v/>
      </c>
      <c r="E101" s="43">
        <f>IFERROR(INDEX('التوظيف'!$E$3:$E$502,95),"")</f>
        <v/>
      </c>
      <c r="F101" s="44">
        <f>IFERROR(INDEX('التوظيف'!$F$3:$F$502,95),"")</f>
        <v/>
      </c>
      <c r="G101" s="118">
        <f>IFERROR(INDEX('التوظيف'!$G$3:$G$502,95),"")</f>
        <v/>
      </c>
      <c r="H101" s="43">
        <f>IFERROR(INDEX('التوظيف'!$H$3:$H$502,95),"")</f>
        <v/>
      </c>
      <c r="I101" s="118">
        <f>IFERROR(INDEX('التوظيف'!$I$3:$I$502,95),"")</f>
        <v/>
      </c>
      <c r="J101" s="43">
        <f>IFERROR(INDEX('التوظيف'!$J$3:$J$502,95),"")</f>
        <v/>
      </c>
      <c r="K101" s="43">
        <f>IFERROR(INDEX('التوظيف'!$K$3:$K$502,95),"")</f>
        <v/>
      </c>
      <c r="L101" s="118">
        <f>IFERROR(INDEX('التوظيف'!$L$3:$L$502,95),"")</f>
        <v/>
      </c>
    </row>
    <row r="102">
      <c r="A102" s="50">
        <f>IFERROR(INDEX('التوظيف'!$A$3:$A$502,96),"")</f>
        <v/>
      </c>
      <c r="B102" s="50">
        <f>IFERROR(INDEX('التوظيف'!$B$3:$B$502,96),"")</f>
        <v/>
      </c>
      <c r="C102" s="50">
        <f>IFERROR(INDEX('التوظيف'!$C$3:$C$502,96),"")</f>
        <v/>
      </c>
      <c r="D102" s="50">
        <f>IFERROR(INDEX('التوظيف'!$D$3:$D$502,96),"")</f>
        <v/>
      </c>
      <c r="E102" s="50">
        <f>IFERROR(INDEX('التوظيف'!$E$3:$E$502,96),"")</f>
        <v/>
      </c>
      <c r="F102" s="51">
        <f>IFERROR(INDEX('التوظيف'!$F$3:$F$502,96),"")</f>
        <v/>
      </c>
      <c r="G102" s="119">
        <f>IFERROR(INDEX('التوظيف'!$G$3:$G$502,96),"")</f>
        <v/>
      </c>
      <c r="H102" s="50">
        <f>IFERROR(INDEX('التوظيف'!$H$3:$H$502,96),"")</f>
        <v/>
      </c>
      <c r="I102" s="119">
        <f>IFERROR(INDEX('التوظيف'!$I$3:$I$502,96),"")</f>
        <v/>
      </c>
      <c r="J102" s="50">
        <f>IFERROR(INDEX('التوظيف'!$J$3:$J$502,96),"")</f>
        <v/>
      </c>
      <c r="K102" s="50">
        <f>IFERROR(INDEX('التوظيف'!$K$3:$K$502,96),"")</f>
        <v/>
      </c>
      <c r="L102" s="119">
        <f>IFERROR(INDEX('التوظيف'!$L$3:$L$502,96),"")</f>
        <v/>
      </c>
    </row>
    <row r="103">
      <c r="A103" s="43">
        <f>IFERROR(INDEX('التوظيف'!$A$3:$A$502,97),"")</f>
        <v/>
      </c>
      <c r="B103" s="43">
        <f>IFERROR(INDEX('التوظيف'!$B$3:$B$502,97),"")</f>
        <v/>
      </c>
      <c r="C103" s="43">
        <f>IFERROR(INDEX('التوظيف'!$C$3:$C$502,97),"")</f>
        <v/>
      </c>
      <c r="D103" s="43">
        <f>IFERROR(INDEX('التوظيف'!$D$3:$D$502,97),"")</f>
        <v/>
      </c>
      <c r="E103" s="43">
        <f>IFERROR(INDEX('التوظيف'!$E$3:$E$502,97),"")</f>
        <v/>
      </c>
      <c r="F103" s="44">
        <f>IFERROR(INDEX('التوظيف'!$F$3:$F$502,97),"")</f>
        <v/>
      </c>
      <c r="G103" s="118">
        <f>IFERROR(INDEX('التوظيف'!$G$3:$G$502,97),"")</f>
        <v/>
      </c>
      <c r="H103" s="43">
        <f>IFERROR(INDEX('التوظيف'!$H$3:$H$502,97),"")</f>
        <v/>
      </c>
      <c r="I103" s="118">
        <f>IFERROR(INDEX('التوظيف'!$I$3:$I$502,97),"")</f>
        <v/>
      </c>
      <c r="J103" s="43">
        <f>IFERROR(INDEX('التوظيف'!$J$3:$J$502,97),"")</f>
        <v/>
      </c>
      <c r="K103" s="43">
        <f>IFERROR(INDEX('التوظيف'!$K$3:$K$502,97),"")</f>
        <v/>
      </c>
      <c r="L103" s="118">
        <f>IFERROR(INDEX('التوظيف'!$L$3:$L$502,97),"")</f>
        <v/>
      </c>
    </row>
    <row r="104">
      <c r="A104" s="50">
        <f>IFERROR(INDEX('التوظيف'!$A$3:$A$502,98),"")</f>
        <v/>
      </c>
      <c r="B104" s="50">
        <f>IFERROR(INDEX('التوظيف'!$B$3:$B$502,98),"")</f>
        <v/>
      </c>
      <c r="C104" s="50">
        <f>IFERROR(INDEX('التوظيف'!$C$3:$C$502,98),"")</f>
        <v/>
      </c>
      <c r="D104" s="50">
        <f>IFERROR(INDEX('التوظيف'!$D$3:$D$502,98),"")</f>
        <v/>
      </c>
      <c r="E104" s="50">
        <f>IFERROR(INDEX('التوظيف'!$E$3:$E$502,98),"")</f>
        <v/>
      </c>
      <c r="F104" s="51">
        <f>IFERROR(INDEX('التوظيف'!$F$3:$F$502,98),"")</f>
        <v/>
      </c>
      <c r="G104" s="119">
        <f>IFERROR(INDEX('التوظيف'!$G$3:$G$502,98),"")</f>
        <v/>
      </c>
      <c r="H104" s="50">
        <f>IFERROR(INDEX('التوظيف'!$H$3:$H$502,98),"")</f>
        <v/>
      </c>
      <c r="I104" s="119">
        <f>IFERROR(INDEX('التوظيف'!$I$3:$I$502,98),"")</f>
        <v/>
      </c>
      <c r="J104" s="50">
        <f>IFERROR(INDEX('التوظيف'!$J$3:$J$502,98),"")</f>
        <v/>
      </c>
      <c r="K104" s="50">
        <f>IFERROR(INDEX('التوظيف'!$K$3:$K$502,98),"")</f>
        <v/>
      </c>
      <c r="L104" s="119">
        <f>IFERROR(INDEX('التوظيف'!$L$3:$L$502,98),"")</f>
        <v/>
      </c>
    </row>
    <row r="105">
      <c r="A105" s="43">
        <f>IFERROR(INDEX('التوظيف'!$A$3:$A$502,99),"")</f>
        <v/>
      </c>
      <c r="B105" s="43">
        <f>IFERROR(INDEX('التوظيف'!$B$3:$B$502,99),"")</f>
        <v/>
      </c>
      <c r="C105" s="43">
        <f>IFERROR(INDEX('التوظيف'!$C$3:$C$502,99),"")</f>
        <v/>
      </c>
      <c r="D105" s="43">
        <f>IFERROR(INDEX('التوظيف'!$D$3:$D$502,99),"")</f>
        <v/>
      </c>
      <c r="E105" s="43">
        <f>IFERROR(INDEX('التوظيف'!$E$3:$E$502,99),"")</f>
        <v/>
      </c>
      <c r="F105" s="44">
        <f>IFERROR(INDEX('التوظيف'!$F$3:$F$502,99),"")</f>
        <v/>
      </c>
      <c r="G105" s="118">
        <f>IFERROR(INDEX('التوظيف'!$G$3:$G$502,99),"")</f>
        <v/>
      </c>
      <c r="H105" s="43">
        <f>IFERROR(INDEX('التوظيف'!$H$3:$H$502,99),"")</f>
        <v/>
      </c>
      <c r="I105" s="118">
        <f>IFERROR(INDEX('التوظيف'!$I$3:$I$502,99),"")</f>
        <v/>
      </c>
      <c r="J105" s="43">
        <f>IFERROR(INDEX('التوظيف'!$J$3:$J$502,99),"")</f>
        <v/>
      </c>
      <c r="K105" s="43">
        <f>IFERROR(INDEX('التوظيف'!$K$3:$K$502,99),"")</f>
        <v/>
      </c>
      <c r="L105" s="118">
        <f>IFERROR(INDEX('التوظيف'!$L$3:$L$502,99),"")</f>
        <v/>
      </c>
    </row>
    <row r="106">
      <c r="A106" s="50">
        <f>IFERROR(INDEX('التوظيف'!$A$3:$A$502,100),"")</f>
        <v/>
      </c>
      <c r="B106" s="50">
        <f>IFERROR(INDEX('التوظيف'!$B$3:$B$502,100),"")</f>
        <v/>
      </c>
      <c r="C106" s="50">
        <f>IFERROR(INDEX('التوظيف'!$C$3:$C$502,100),"")</f>
        <v/>
      </c>
      <c r="D106" s="50">
        <f>IFERROR(INDEX('التوظيف'!$D$3:$D$502,100),"")</f>
        <v/>
      </c>
      <c r="E106" s="50">
        <f>IFERROR(INDEX('التوظيف'!$E$3:$E$502,100),"")</f>
        <v/>
      </c>
      <c r="F106" s="51">
        <f>IFERROR(INDEX('التوظيف'!$F$3:$F$502,100),"")</f>
        <v/>
      </c>
      <c r="G106" s="119">
        <f>IFERROR(INDEX('التوظيف'!$G$3:$G$502,100),"")</f>
        <v/>
      </c>
      <c r="H106" s="50">
        <f>IFERROR(INDEX('التوظيف'!$H$3:$H$502,100),"")</f>
        <v/>
      </c>
      <c r="I106" s="119">
        <f>IFERROR(INDEX('التوظيف'!$I$3:$I$502,100),"")</f>
        <v/>
      </c>
      <c r="J106" s="50">
        <f>IFERROR(INDEX('التوظيف'!$J$3:$J$502,100),"")</f>
        <v/>
      </c>
      <c r="K106" s="50">
        <f>IFERROR(INDEX('التوظيف'!$K$3:$K$502,100),"")</f>
        <v/>
      </c>
      <c r="L106" s="119">
        <f>IFERROR(INDEX('التوظيف'!$L$3:$L$502,100),"")</f>
        <v/>
      </c>
    </row>
    <row r="107">
      <c r="A107" s="43">
        <f>IFERROR(INDEX('التوظيف'!$A$3:$A$502,101),"")</f>
        <v/>
      </c>
      <c r="B107" s="43">
        <f>IFERROR(INDEX('التوظيف'!$B$3:$B$502,101),"")</f>
        <v/>
      </c>
      <c r="C107" s="43">
        <f>IFERROR(INDEX('التوظيف'!$C$3:$C$502,101),"")</f>
        <v/>
      </c>
      <c r="D107" s="43">
        <f>IFERROR(INDEX('التوظيف'!$D$3:$D$502,101),"")</f>
        <v/>
      </c>
      <c r="E107" s="43">
        <f>IFERROR(INDEX('التوظيف'!$E$3:$E$502,101),"")</f>
        <v/>
      </c>
      <c r="F107" s="44">
        <f>IFERROR(INDEX('التوظيف'!$F$3:$F$502,101),"")</f>
        <v/>
      </c>
      <c r="G107" s="118">
        <f>IFERROR(INDEX('التوظيف'!$G$3:$G$502,101),"")</f>
        <v/>
      </c>
      <c r="H107" s="43">
        <f>IFERROR(INDEX('التوظيف'!$H$3:$H$502,101),"")</f>
        <v/>
      </c>
      <c r="I107" s="118">
        <f>IFERROR(INDEX('التوظيف'!$I$3:$I$502,101),"")</f>
        <v/>
      </c>
      <c r="J107" s="43">
        <f>IFERROR(INDEX('التوظيف'!$J$3:$J$502,101),"")</f>
        <v/>
      </c>
      <c r="K107" s="43">
        <f>IFERROR(INDEX('التوظيف'!$K$3:$K$502,101),"")</f>
        <v/>
      </c>
      <c r="L107" s="118">
        <f>IFERROR(INDEX('التوظيف'!$L$3:$L$502,101),"")</f>
        <v/>
      </c>
    </row>
    <row r="108">
      <c r="A108" s="50">
        <f>IFERROR(INDEX('التوظيف'!$A$3:$A$502,102),"")</f>
        <v/>
      </c>
      <c r="B108" s="50">
        <f>IFERROR(INDEX('التوظيف'!$B$3:$B$502,102),"")</f>
        <v/>
      </c>
      <c r="C108" s="50">
        <f>IFERROR(INDEX('التوظيف'!$C$3:$C$502,102),"")</f>
        <v/>
      </c>
      <c r="D108" s="50">
        <f>IFERROR(INDEX('التوظيف'!$D$3:$D$502,102),"")</f>
        <v/>
      </c>
      <c r="E108" s="50">
        <f>IFERROR(INDEX('التوظيف'!$E$3:$E$502,102),"")</f>
        <v/>
      </c>
      <c r="F108" s="51">
        <f>IFERROR(INDEX('التوظيف'!$F$3:$F$502,102),"")</f>
        <v/>
      </c>
      <c r="G108" s="119">
        <f>IFERROR(INDEX('التوظيف'!$G$3:$G$502,102),"")</f>
        <v/>
      </c>
      <c r="H108" s="50">
        <f>IFERROR(INDEX('التوظيف'!$H$3:$H$502,102),"")</f>
        <v/>
      </c>
      <c r="I108" s="119">
        <f>IFERROR(INDEX('التوظيف'!$I$3:$I$502,102),"")</f>
        <v/>
      </c>
      <c r="J108" s="50">
        <f>IFERROR(INDEX('التوظيف'!$J$3:$J$502,102),"")</f>
        <v/>
      </c>
      <c r="K108" s="50">
        <f>IFERROR(INDEX('التوظيف'!$K$3:$K$502,102),"")</f>
        <v/>
      </c>
      <c r="L108" s="119">
        <f>IFERROR(INDEX('التوظيف'!$L$3:$L$502,102),"")</f>
        <v/>
      </c>
    </row>
    <row r="109">
      <c r="A109" s="43">
        <f>IFERROR(INDEX('التوظيف'!$A$3:$A$502,103),"")</f>
        <v/>
      </c>
      <c r="B109" s="43">
        <f>IFERROR(INDEX('التوظيف'!$B$3:$B$502,103),"")</f>
        <v/>
      </c>
      <c r="C109" s="43">
        <f>IFERROR(INDEX('التوظيف'!$C$3:$C$502,103),"")</f>
        <v/>
      </c>
      <c r="D109" s="43">
        <f>IFERROR(INDEX('التوظيف'!$D$3:$D$502,103),"")</f>
        <v/>
      </c>
      <c r="E109" s="43">
        <f>IFERROR(INDEX('التوظيف'!$E$3:$E$502,103),"")</f>
        <v/>
      </c>
      <c r="F109" s="44">
        <f>IFERROR(INDEX('التوظيف'!$F$3:$F$502,103),"")</f>
        <v/>
      </c>
      <c r="G109" s="118">
        <f>IFERROR(INDEX('التوظيف'!$G$3:$G$502,103),"")</f>
        <v/>
      </c>
      <c r="H109" s="43">
        <f>IFERROR(INDEX('التوظيف'!$H$3:$H$502,103),"")</f>
        <v/>
      </c>
      <c r="I109" s="118">
        <f>IFERROR(INDEX('التوظيف'!$I$3:$I$502,103),"")</f>
        <v/>
      </c>
      <c r="J109" s="43">
        <f>IFERROR(INDEX('التوظيف'!$J$3:$J$502,103),"")</f>
        <v/>
      </c>
      <c r="K109" s="43">
        <f>IFERROR(INDEX('التوظيف'!$K$3:$K$502,103),"")</f>
        <v/>
      </c>
      <c r="L109" s="118">
        <f>IFERROR(INDEX('التوظيف'!$L$3:$L$502,103),"")</f>
        <v/>
      </c>
    </row>
    <row r="110">
      <c r="A110" s="50">
        <f>IFERROR(INDEX('التوظيف'!$A$3:$A$502,104),"")</f>
        <v/>
      </c>
      <c r="B110" s="50">
        <f>IFERROR(INDEX('التوظيف'!$B$3:$B$502,104),"")</f>
        <v/>
      </c>
      <c r="C110" s="50">
        <f>IFERROR(INDEX('التوظيف'!$C$3:$C$502,104),"")</f>
        <v/>
      </c>
      <c r="D110" s="50">
        <f>IFERROR(INDEX('التوظيف'!$D$3:$D$502,104),"")</f>
        <v/>
      </c>
      <c r="E110" s="50">
        <f>IFERROR(INDEX('التوظيف'!$E$3:$E$502,104),"")</f>
        <v/>
      </c>
      <c r="F110" s="51">
        <f>IFERROR(INDEX('التوظيف'!$F$3:$F$502,104),"")</f>
        <v/>
      </c>
      <c r="G110" s="119">
        <f>IFERROR(INDEX('التوظيف'!$G$3:$G$502,104),"")</f>
        <v/>
      </c>
      <c r="H110" s="50">
        <f>IFERROR(INDEX('التوظيف'!$H$3:$H$502,104),"")</f>
        <v/>
      </c>
      <c r="I110" s="119">
        <f>IFERROR(INDEX('التوظيف'!$I$3:$I$502,104),"")</f>
        <v/>
      </c>
      <c r="J110" s="50">
        <f>IFERROR(INDEX('التوظيف'!$J$3:$J$502,104),"")</f>
        <v/>
      </c>
      <c r="K110" s="50">
        <f>IFERROR(INDEX('التوظيف'!$K$3:$K$502,104),"")</f>
        <v/>
      </c>
      <c r="L110" s="119">
        <f>IFERROR(INDEX('التوظيف'!$L$3:$L$502,104),"")</f>
        <v/>
      </c>
    </row>
    <row r="111">
      <c r="A111" s="43">
        <f>IFERROR(INDEX('التوظيف'!$A$3:$A$502,105),"")</f>
        <v/>
      </c>
      <c r="B111" s="43">
        <f>IFERROR(INDEX('التوظيف'!$B$3:$B$502,105),"")</f>
        <v/>
      </c>
      <c r="C111" s="43">
        <f>IFERROR(INDEX('التوظيف'!$C$3:$C$502,105),"")</f>
        <v/>
      </c>
      <c r="D111" s="43">
        <f>IFERROR(INDEX('التوظيف'!$D$3:$D$502,105),"")</f>
        <v/>
      </c>
      <c r="E111" s="43">
        <f>IFERROR(INDEX('التوظيف'!$E$3:$E$502,105),"")</f>
        <v/>
      </c>
      <c r="F111" s="44">
        <f>IFERROR(INDEX('التوظيف'!$F$3:$F$502,105),"")</f>
        <v/>
      </c>
      <c r="G111" s="118">
        <f>IFERROR(INDEX('التوظيف'!$G$3:$G$502,105),"")</f>
        <v/>
      </c>
      <c r="H111" s="43">
        <f>IFERROR(INDEX('التوظيف'!$H$3:$H$502,105),"")</f>
        <v/>
      </c>
      <c r="I111" s="118">
        <f>IFERROR(INDEX('التوظيف'!$I$3:$I$502,105),"")</f>
        <v/>
      </c>
      <c r="J111" s="43">
        <f>IFERROR(INDEX('التوظيف'!$J$3:$J$502,105),"")</f>
        <v/>
      </c>
      <c r="K111" s="43">
        <f>IFERROR(INDEX('التوظيف'!$K$3:$K$502,105),"")</f>
        <v/>
      </c>
      <c r="L111" s="118">
        <f>IFERROR(INDEX('التوظيف'!$L$3:$L$502,105),"")</f>
        <v/>
      </c>
    </row>
    <row r="112">
      <c r="A112" s="50">
        <f>IFERROR(INDEX('التوظيف'!$A$3:$A$502,106),"")</f>
        <v/>
      </c>
      <c r="B112" s="50">
        <f>IFERROR(INDEX('التوظيف'!$B$3:$B$502,106),"")</f>
        <v/>
      </c>
      <c r="C112" s="50">
        <f>IFERROR(INDEX('التوظيف'!$C$3:$C$502,106),"")</f>
        <v/>
      </c>
      <c r="D112" s="50">
        <f>IFERROR(INDEX('التوظيف'!$D$3:$D$502,106),"")</f>
        <v/>
      </c>
      <c r="E112" s="50">
        <f>IFERROR(INDEX('التوظيف'!$E$3:$E$502,106),"")</f>
        <v/>
      </c>
      <c r="F112" s="51">
        <f>IFERROR(INDEX('التوظيف'!$F$3:$F$502,106),"")</f>
        <v/>
      </c>
      <c r="G112" s="119">
        <f>IFERROR(INDEX('التوظيف'!$G$3:$G$502,106),"")</f>
        <v/>
      </c>
      <c r="H112" s="50">
        <f>IFERROR(INDEX('التوظيف'!$H$3:$H$502,106),"")</f>
        <v/>
      </c>
      <c r="I112" s="119">
        <f>IFERROR(INDEX('التوظيف'!$I$3:$I$502,106),"")</f>
        <v/>
      </c>
      <c r="J112" s="50">
        <f>IFERROR(INDEX('التوظيف'!$J$3:$J$502,106),"")</f>
        <v/>
      </c>
      <c r="K112" s="50">
        <f>IFERROR(INDEX('التوظيف'!$K$3:$K$502,106),"")</f>
        <v/>
      </c>
      <c r="L112" s="119">
        <f>IFERROR(INDEX('التوظيف'!$L$3:$L$502,106),"")</f>
        <v/>
      </c>
    </row>
    <row r="113">
      <c r="A113" s="43">
        <f>IFERROR(INDEX('التوظيف'!$A$3:$A$502,107),"")</f>
        <v/>
      </c>
      <c r="B113" s="43">
        <f>IFERROR(INDEX('التوظيف'!$B$3:$B$502,107),"")</f>
        <v/>
      </c>
      <c r="C113" s="43">
        <f>IFERROR(INDEX('التوظيف'!$C$3:$C$502,107),"")</f>
        <v/>
      </c>
      <c r="D113" s="43">
        <f>IFERROR(INDEX('التوظيف'!$D$3:$D$502,107),"")</f>
        <v/>
      </c>
      <c r="E113" s="43">
        <f>IFERROR(INDEX('التوظيف'!$E$3:$E$502,107),"")</f>
        <v/>
      </c>
      <c r="F113" s="44">
        <f>IFERROR(INDEX('التوظيف'!$F$3:$F$502,107),"")</f>
        <v/>
      </c>
      <c r="G113" s="118">
        <f>IFERROR(INDEX('التوظيف'!$G$3:$G$502,107),"")</f>
        <v/>
      </c>
      <c r="H113" s="43">
        <f>IFERROR(INDEX('التوظيف'!$H$3:$H$502,107),"")</f>
        <v/>
      </c>
      <c r="I113" s="118">
        <f>IFERROR(INDEX('التوظيف'!$I$3:$I$502,107),"")</f>
        <v/>
      </c>
      <c r="J113" s="43">
        <f>IFERROR(INDEX('التوظيف'!$J$3:$J$502,107),"")</f>
        <v/>
      </c>
      <c r="K113" s="43">
        <f>IFERROR(INDEX('التوظيف'!$K$3:$K$502,107),"")</f>
        <v/>
      </c>
      <c r="L113" s="118">
        <f>IFERROR(INDEX('التوظيف'!$L$3:$L$502,107),"")</f>
        <v/>
      </c>
    </row>
    <row r="114">
      <c r="A114" s="50">
        <f>IFERROR(INDEX('التوظيف'!$A$3:$A$502,108),"")</f>
        <v/>
      </c>
      <c r="B114" s="50">
        <f>IFERROR(INDEX('التوظيف'!$B$3:$B$502,108),"")</f>
        <v/>
      </c>
      <c r="C114" s="50">
        <f>IFERROR(INDEX('التوظيف'!$C$3:$C$502,108),"")</f>
        <v/>
      </c>
      <c r="D114" s="50">
        <f>IFERROR(INDEX('التوظيف'!$D$3:$D$502,108),"")</f>
        <v/>
      </c>
      <c r="E114" s="50">
        <f>IFERROR(INDEX('التوظيف'!$E$3:$E$502,108),"")</f>
        <v/>
      </c>
      <c r="F114" s="51">
        <f>IFERROR(INDEX('التوظيف'!$F$3:$F$502,108),"")</f>
        <v/>
      </c>
      <c r="G114" s="119">
        <f>IFERROR(INDEX('التوظيف'!$G$3:$G$502,108),"")</f>
        <v/>
      </c>
      <c r="H114" s="50">
        <f>IFERROR(INDEX('التوظيف'!$H$3:$H$502,108),"")</f>
        <v/>
      </c>
      <c r="I114" s="119">
        <f>IFERROR(INDEX('التوظيف'!$I$3:$I$502,108),"")</f>
        <v/>
      </c>
      <c r="J114" s="50">
        <f>IFERROR(INDEX('التوظيف'!$J$3:$J$502,108),"")</f>
        <v/>
      </c>
      <c r="K114" s="50">
        <f>IFERROR(INDEX('التوظيف'!$K$3:$K$502,108),"")</f>
        <v/>
      </c>
      <c r="L114" s="119">
        <f>IFERROR(INDEX('التوظيف'!$L$3:$L$502,108),"")</f>
        <v/>
      </c>
    </row>
    <row r="115">
      <c r="A115" s="43">
        <f>IFERROR(INDEX('التوظيف'!$A$3:$A$502,109),"")</f>
        <v/>
      </c>
      <c r="B115" s="43">
        <f>IFERROR(INDEX('التوظيف'!$B$3:$B$502,109),"")</f>
        <v/>
      </c>
      <c r="C115" s="43">
        <f>IFERROR(INDEX('التوظيف'!$C$3:$C$502,109),"")</f>
        <v/>
      </c>
      <c r="D115" s="43">
        <f>IFERROR(INDEX('التوظيف'!$D$3:$D$502,109),"")</f>
        <v/>
      </c>
      <c r="E115" s="43">
        <f>IFERROR(INDEX('التوظيف'!$E$3:$E$502,109),"")</f>
        <v/>
      </c>
      <c r="F115" s="44">
        <f>IFERROR(INDEX('التوظيف'!$F$3:$F$502,109),"")</f>
        <v/>
      </c>
      <c r="G115" s="118">
        <f>IFERROR(INDEX('التوظيف'!$G$3:$G$502,109),"")</f>
        <v/>
      </c>
      <c r="H115" s="43">
        <f>IFERROR(INDEX('التوظيف'!$H$3:$H$502,109),"")</f>
        <v/>
      </c>
      <c r="I115" s="118">
        <f>IFERROR(INDEX('التوظيف'!$I$3:$I$502,109),"")</f>
        <v/>
      </c>
      <c r="J115" s="43">
        <f>IFERROR(INDEX('التوظيف'!$J$3:$J$502,109),"")</f>
        <v/>
      </c>
      <c r="K115" s="43">
        <f>IFERROR(INDEX('التوظيف'!$K$3:$K$502,109),"")</f>
        <v/>
      </c>
      <c r="L115" s="118">
        <f>IFERROR(INDEX('التوظيف'!$L$3:$L$502,109),"")</f>
        <v/>
      </c>
    </row>
    <row r="116">
      <c r="A116" s="50">
        <f>IFERROR(INDEX('التوظيف'!$A$3:$A$502,110),"")</f>
        <v/>
      </c>
      <c r="B116" s="50">
        <f>IFERROR(INDEX('التوظيف'!$B$3:$B$502,110),"")</f>
        <v/>
      </c>
      <c r="C116" s="50">
        <f>IFERROR(INDEX('التوظيف'!$C$3:$C$502,110),"")</f>
        <v/>
      </c>
      <c r="D116" s="50">
        <f>IFERROR(INDEX('التوظيف'!$D$3:$D$502,110),"")</f>
        <v/>
      </c>
      <c r="E116" s="50">
        <f>IFERROR(INDEX('التوظيف'!$E$3:$E$502,110),"")</f>
        <v/>
      </c>
      <c r="F116" s="51">
        <f>IFERROR(INDEX('التوظيف'!$F$3:$F$502,110),"")</f>
        <v/>
      </c>
      <c r="G116" s="119">
        <f>IFERROR(INDEX('التوظيف'!$G$3:$G$502,110),"")</f>
        <v/>
      </c>
      <c r="H116" s="50">
        <f>IFERROR(INDEX('التوظيف'!$H$3:$H$502,110),"")</f>
        <v/>
      </c>
      <c r="I116" s="119">
        <f>IFERROR(INDEX('التوظيف'!$I$3:$I$502,110),"")</f>
        <v/>
      </c>
      <c r="J116" s="50">
        <f>IFERROR(INDEX('التوظيف'!$J$3:$J$502,110),"")</f>
        <v/>
      </c>
      <c r="K116" s="50">
        <f>IFERROR(INDEX('التوظيف'!$K$3:$K$502,110),"")</f>
        <v/>
      </c>
      <c r="L116" s="119">
        <f>IFERROR(INDEX('التوظيف'!$L$3:$L$502,110),"")</f>
        <v/>
      </c>
    </row>
    <row r="117">
      <c r="A117" s="43">
        <f>IFERROR(INDEX('التوظيف'!$A$3:$A$502,111),"")</f>
        <v/>
      </c>
      <c r="B117" s="43">
        <f>IFERROR(INDEX('التوظيف'!$B$3:$B$502,111),"")</f>
        <v/>
      </c>
      <c r="C117" s="43">
        <f>IFERROR(INDEX('التوظيف'!$C$3:$C$502,111),"")</f>
        <v/>
      </c>
      <c r="D117" s="43">
        <f>IFERROR(INDEX('التوظيف'!$D$3:$D$502,111),"")</f>
        <v/>
      </c>
      <c r="E117" s="43">
        <f>IFERROR(INDEX('التوظيف'!$E$3:$E$502,111),"")</f>
        <v/>
      </c>
      <c r="F117" s="44">
        <f>IFERROR(INDEX('التوظيف'!$F$3:$F$502,111),"")</f>
        <v/>
      </c>
      <c r="G117" s="118">
        <f>IFERROR(INDEX('التوظيف'!$G$3:$G$502,111),"")</f>
        <v/>
      </c>
      <c r="H117" s="43">
        <f>IFERROR(INDEX('التوظيف'!$H$3:$H$502,111),"")</f>
        <v/>
      </c>
      <c r="I117" s="118">
        <f>IFERROR(INDEX('التوظيف'!$I$3:$I$502,111),"")</f>
        <v/>
      </c>
      <c r="J117" s="43">
        <f>IFERROR(INDEX('التوظيف'!$J$3:$J$502,111),"")</f>
        <v/>
      </c>
      <c r="K117" s="43">
        <f>IFERROR(INDEX('التوظيف'!$K$3:$K$502,111),"")</f>
        <v/>
      </c>
      <c r="L117" s="118">
        <f>IFERROR(INDEX('التوظيف'!$L$3:$L$502,111),"")</f>
        <v/>
      </c>
    </row>
    <row r="118">
      <c r="A118" s="50">
        <f>IFERROR(INDEX('التوظيف'!$A$3:$A$502,112),"")</f>
        <v/>
      </c>
      <c r="B118" s="50">
        <f>IFERROR(INDEX('التوظيف'!$B$3:$B$502,112),"")</f>
        <v/>
      </c>
      <c r="C118" s="50">
        <f>IFERROR(INDEX('التوظيف'!$C$3:$C$502,112),"")</f>
        <v/>
      </c>
      <c r="D118" s="50">
        <f>IFERROR(INDEX('التوظيف'!$D$3:$D$502,112),"")</f>
        <v/>
      </c>
      <c r="E118" s="50">
        <f>IFERROR(INDEX('التوظيف'!$E$3:$E$502,112),"")</f>
        <v/>
      </c>
      <c r="F118" s="51">
        <f>IFERROR(INDEX('التوظيف'!$F$3:$F$502,112),"")</f>
        <v/>
      </c>
      <c r="G118" s="119">
        <f>IFERROR(INDEX('التوظيف'!$G$3:$G$502,112),"")</f>
        <v/>
      </c>
      <c r="H118" s="50">
        <f>IFERROR(INDEX('التوظيف'!$H$3:$H$502,112),"")</f>
        <v/>
      </c>
      <c r="I118" s="119">
        <f>IFERROR(INDEX('التوظيف'!$I$3:$I$502,112),"")</f>
        <v/>
      </c>
      <c r="J118" s="50">
        <f>IFERROR(INDEX('التوظيف'!$J$3:$J$502,112),"")</f>
        <v/>
      </c>
      <c r="K118" s="50">
        <f>IFERROR(INDEX('التوظيف'!$K$3:$K$502,112),"")</f>
        <v/>
      </c>
      <c r="L118" s="119">
        <f>IFERROR(INDEX('التوظيف'!$L$3:$L$502,112),"")</f>
        <v/>
      </c>
    </row>
    <row r="119">
      <c r="A119" s="43">
        <f>IFERROR(INDEX('التوظيف'!$A$3:$A$502,113),"")</f>
        <v/>
      </c>
      <c r="B119" s="43">
        <f>IFERROR(INDEX('التوظيف'!$B$3:$B$502,113),"")</f>
        <v/>
      </c>
      <c r="C119" s="43">
        <f>IFERROR(INDEX('التوظيف'!$C$3:$C$502,113),"")</f>
        <v/>
      </c>
      <c r="D119" s="43">
        <f>IFERROR(INDEX('التوظيف'!$D$3:$D$502,113),"")</f>
        <v/>
      </c>
      <c r="E119" s="43">
        <f>IFERROR(INDEX('التوظيف'!$E$3:$E$502,113),"")</f>
        <v/>
      </c>
      <c r="F119" s="44">
        <f>IFERROR(INDEX('التوظيف'!$F$3:$F$502,113),"")</f>
        <v/>
      </c>
      <c r="G119" s="118">
        <f>IFERROR(INDEX('التوظيف'!$G$3:$G$502,113),"")</f>
        <v/>
      </c>
      <c r="H119" s="43">
        <f>IFERROR(INDEX('التوظيف'!$H$3:$H$502,113),"")</f>
        <v/>
      </c>
      <c r="I119" s="118">
        <f>IFERROR(INDEX('التوظيف'!$I$3:$I$502,113),"")</f>
        <v/>
      </c>
      <c r="J119" s="43">
        <f>IFERROR(INDEX('التوظيف'!$J$3:$J$502,113),"")</f>
        <v/>
      </c>
      <c r="K119" s="43">
        <f>IFERROR(INDEX('التوظيف'!$K$3:$K$502,113),"")</f>
        <v/>
      </c>
      <c r="L119" s="118">
        <f>IFERROR(INDEX('التوظيف'!$L$3:$L$502,113),"")</f>
        <v/>
      </c>
    </row>
    <row r="120">
      <c r="A120" s="50">
        <f>IFERROR(INDEX('التوظيف'!$A$3:$A$502,114),"")</f>
        <v/>
      </c>
      <c r="B120" s="50">
        <f>IFERROR(INDEX('التوظيف'!$B$3:$B$502,114),"")</f>
        <v/>
      </c>
      <c r="C120" s="50">
        <f>IFERROR(INDEX('التوظيف'!$C$3:$C$502,114),"")</f>
        <v/>
      </c>
      <c r="D120" s="50">
        <f>IFERROR(INDEX('التوظيف'!$D$3:$D$502,114),"")</f>
        <v/>
      </c>
      <c r="E120" s="50">
        <f>IFERROR(INDEX('التوظيف'!$E$3:$E$502,114),"")</f>
        <v/>
      </c>
      <c r="F120" s="51">
        <f>IFERROR(INDEX('التوظيف'!$F$3:$F$502,114),"")</f>
        <v/>
      </c>
      <c r="G120" s="119">
        <f>IFERROR(INDEX('التوظيف'!$G$3:$G$502,114),"")</f>
        <v/>
      </c>
      <c r="H120" s="50">
        <f>IFERROR(INDEX('التوظيف'!$H$3:$H$502,114),"")</f>
        <v/>
      </c>
      <c r="I120" s="119">
        <f>IFERROR(INDEX('التوظيف'!$I$3:$I$502,114),"")</f>
        <v/>
      </c>
      <c r="J120" s="50">
        <f>IFERROR(INDEX('التوظيف'!$J$3:$J$502,114),"")</f>
        <v/>
      </c>
      <c r="K120" s="50">
        <f>IFERROR(INDEX('التوظيف'!$K$3:$K$502,114),"")</f>
        <v/>
      </c>
      <c r="L120" s="119">
        <f>IFERROR(INDEX('التوظيف'!$L$3:$L$502,114),"")</f>
        <v/>
      </c>
    </row>
    <row r="121">
      <c r="A121" s="43">
        <f>IFERROR(INDEX('التوظيف'!$A$3:$A$502,115),"")</f>
        <v/>
      </c>
      <c r="B121" s="43">
        <f>IFERROR(INDEX('التوظيف'!$B$3:$B$502,115),"")</f>
        <v/>
      </c>
      <c r="C121" s="43">
        <f>IFERROR(INDEX('التوظيف'!$C$3:$C$502,115),"")</f>
        <v/>
      </c>
      <c r="D121" s="43">
        <f>IFERROR(INDEX('التوظيف'!$D$3:$D$502,115),"")</f>
        <v/>
      </c>
      <c r="E121" s="43">
        <f>IFERROR(INDEX('التوظيف'!$E$3:$E$502,115),"")</f>
        <v/>
      </c>
      <c r="F121" s="44">
        <f>IFERROR(INDEX('التوظيف'!$F$3:$F$502,115),"")</f>
        <v/>
      </c>
      <c r="G121" s="118">
        <f>IFERROR(INDEX('التوظيف'!$G$3:$G$502,115),"")</f>
        <v/>
      </c>
      <c r="H121" s="43">
        <f>IFERROR(INDEX('التوظيف'!$H$3:$H$502,115),"")</f>
        <v/>
      </c>
      <c r="I121" s="118">
        <f>IFERROR(INDEX('التوظيف'!$I$3:$I$502,115),"")</f>
        <v/>
      </c>
      <c r="J121" s="43">
        <f>IFERROR(INDEX('التوظيف'!$J$3:$J$502,115),"")</f>
        <v/>
      </c>
      <c r="K121" s="43">
        <f>IFERROR(INDEX('التوظيف'!$K$3:$K$502,115),"")</f>
        <v/>
      </c>
      <c r="L121" s="118">
        <f>IFERROR(INDEX('التوظيف'!$L$3:$L$502,115),"")</f>
        <v/>
      </c>
    </row>
    <row r="122">
      <c r="A122" s="50">
        <f>IFERROR(INDEX('التوظيف'!$A$3:$A$502,116),"")</f>
        <v/>
      </c>
      <c r="B122" s="50">
        <f>IFERROR(INDEX('التوظيف'!$B$3:$B$502,116),"")</f>
        <v/>
      </c>
      <c r="C122" s="50">
        <f>IFERROR(INDEX('التوظيف'!$C$3:$C$502,116),"")</f>
        <v/>
      </c>
      <c r="D122" s="50">
        <f>IFERROR(INDEX('التوظيف'!$D$3:$D$502,116),"")</f>
        <v/>
      </c>
      <c r="E122" s="50">
        <f>IFERROR(INDEX('التوظيف'!$E$3:$E$502,116),"")</f>
        <v/>
      </c>
      <c r="F122" s="51">
        <f>IFERROR(INDEX('التوظيف'!$F$3:$F$502,116),"")</f>
        <v/>
      </c>
      <c r="G122" s="119">
        <f>IFERROR(INDEX('التوظيف'!$G$3:$G$502,116),"")</f>
        <v/>
      </c>
      <c r="H122" s="50">
        <f>IFERROR(INDEX('التوظيف'!$H$3:$H$502,116),"")</f>
        <v/>
      </c>
      <c r="I122" s="119">
        <f>IFERROR(INDEX('التوظيف'!$I$3:$I$502,116),"")</f>
        <v/>
      </c>
      <c r="J122" s="50">
        <f>IFERROR(INDEX('التوظيف'!$J$3:$J$502,116),"")</f>
        <v/>
      </c>
      <c r="K122" s="50">
        <f>IFERROR(INDEX('التوظيف'!$K$3:$K$502,116),"")</f>
        <v/>
      </c>
      <c r="L122" s="119">
        <f>IFERROR(INDEX('التوظيف'!$L$3:$L$502,116),"")</f>
        <v/>
      </c>
    </row>
    <row r="123">
      <c r="A123" s="43">
        <f>IFERROR(INDEX('التوظيف'!$A$3:$A$502,117),"")</f>
        <v/>
      </c>
      <c r="B123" s="43">
        <f>IFERROR(INDEX('التوظيف'!$B$3:$B$502,117),"")</f>
        <v/>
      </c>
      <c r="C123" s="43">
        <f>IFERROR(INDEX('التوظيف'!$C$3:$C$502,117),"")</f>
        <v/>
      </c>
      <c r="D123" s="43">
        <f>IFERROR(INDEX('التوظيف'!$D$3:$D$502,117),"")</f>
        <v/>
      </c>
      <c r="E123" s="43">
        <f>IFERROR(INDEX('التوظيف'!$E$3:$E$502,117),"")</f>
        <v/>
      </c>
      <c r="F123" s="44">
        <f>IFERROR(INDEX('التوظيف'!$F$3:$F$502,117),"")</f>
        <v/>
      </c>
      <c r="G123" s="118">
        <f>IFERROR(INDEX('التوظيف'!$G$3:$G$502,117),"")</f>
        <v/>
      </c>
      <c r="H123" s="43">
        <f>IFERROR(INDEX('التوظيف'!$H$3:$H$502,117),"")</f>
        <v/>
      </c>
      <c r="I123" s="118">
        <f>IFERROR(INDEX('التوظيف'!$I$3:$I$502,117),"")</f>
        <v/>
      </c>
      <c r="J123" s="43">
        <f>IFERROR(INDEX('التوظيف'!$J$3:$J$502,117),"")</f>
        <v/>
      </c>
      <c r="K123" s="43">
        <f>IFERROR(INDEX('التوظيف'!$K$3:$K$502,117),"")</f>
        <v/>
      </c>
      <c r="L123" s="118">
        <f>IFERROR(INDEX('التوظيف'!$L$3:$L$502,117),"")</f>
        <v/>
      </c>
    </row>
    <row r="124">
      <c r="A124" s="50">
        <f>IFERROR(INDEX('التوظيف'!$A$3:$A$502,118),"")</f>
        <v/>
      </c>
      <c r="B124" s="50">
        <f>IFERROR(INDEX('التوظيف'!$B$3:$B$502,118),"")</f>
        <v/>
      </c>
      <c r="C124" s="50">
        <f>IFERROR(INDEX('التوظيف'!$C$3:$C$502,118),"")</f>
        <v/>
      </c>
      <c r="D124" s="50">
        <f>IFERROR(INDEX('التوظيف'!$D$3:$D$502,118),"")</f>
        <v/>
      </c>
      <c r="E124" s="50">
        <f>IFERROR(INDEX('التوظيف'!$E$3:$E$502,118),"")</f>
        <v/>
      </c>
      <c r="F124" s="51">
        <f>IFERROR(INDEX('التوظيف'!$F$3:$F$502,118),"")</f>
        <v/>
      </c>
      <c r="G124" s="119">
        <f>IFERROR(INDEX('التوظيف'!$G$3:$G$502,118),"")</f>
        <v/>
      </c>
      <c r="H124" s="50">
        <f>IFERROR(INDEX('التوظيف'!$H$3:$H$502,118),"")</f>
        <v/>
      </c>
      <c r="I124" s="119">
        <f>IFERROR(INDEX('التوظيف'!$I$3:$I$502,118),"")</f>
        <v/>
      </c>
      <c r="J124" s="50">
        <f>IFERROR(INDEX('التوظيف'!$J$3:$J$502,118),"")</f>
        <v/>
      </c>
      <c r="K124" s="50">
        <f>IFERROR(INDEX('التوظيف'!$K$3:$K$502,118),"")</f>
        <v/>
      </c>
      <c r="L124" s="119">
        <f>IFERROR(INDEX('التوظيف'!$L$3:$L$502,118),"")</f>
        <v/>
      </c>
    </row>
    <row r="125">
      <c r="A125" s="43">
        <f>IFERROR(INDEX('التوظيف'!$A$3:$A$502,119),"")</f>
        <v/>
      </c>
      <c r="B125" s="43">
        <f>IFERROR(INDEX('التوظيف'!$B$3:$B$502,119),"")</f>
        <v/>
      </c>
      <c r="C125" s="43">
        <f>IFERROR(INDEX('التوظيف'!$C$3:$C$502,119),"")</f>
        <v/>
      </c>
      <c r="D125" s="43">
        <f>IFERROR(INDEX('التوظيف'!$D$3:$D$502,119),"")</f>
        <v/>
      </c>
      <c r="E125" s="43">
        <f>IFERROR(INDEX('التوظيف'!$E$3:$E$502,119),"")</f>
        <v/>
      </c>
      <c r="F125" s="44">
        <f>IFERROR(INDEX('التوظيف'!$F$3:$F$502,119),"")</f>
        <v/>
      </c>
      <c r="G125" s="118">
        <f>IFERROR(INDEX('التوظيف'!$G$3:$G$502,119),"")</f>
        <v/>
      </c>
      <c r="H125" s="43">
        <f>IFERROR(INDEX('التوظيف'!$H$3:$H$502,119),"")</f>
        <v/>
      </c>
      <c r="I125" s="118">
        <f>IFERROR(INDEX('التوظيف'!$I$3:$I$502,119),"")</f>
        <v/>
      </c>
      <c r="J125" s="43">
        <f>IFERROR(INDEX('التوظيف'!$J$3:$J$502,119),"")</f>
        <v/>
      </c>
      <c r="K125" s="43">
        <f>IFERROR(INDEX('التوظيف'!$K$3:$K$502,119),"")</f>
        <v/>
      </c>
      <c r="L125" s="118">
        <f>IFERROR(INDEX('التوظيف'!$L$3:$L$502,119),"")</f>
        <v/>
      </c>
    </row>
    <row r="126">
      <c r="A126" s="50">
        <f>IFERROR(INDEX('التوظيف'!$A$3:$A$502,120),"")</f>
        <v/>
      </c>
      <c r="B126" s="50">
        <f>IFERROR(INDEX('التوظيف'!$B$3:$B$502,120),"")</f>
        <v/>
      </c>
      <c r="C126" s="50">
        <f>IFERROR(INDEX('التوظيف'!$C$3:$C$502,120),"")</f>
        <v/>
      </c>
      <c r="D126" s="50">
        <f>IFERROR(INDEX('التوظيف'!$D$3:$D$502,120),"")</f>
        <v/>
      </c>
      <c r="E126" s="50">
        <f>IFERROR(INDEX('التوظيف'!$E$3:$E$502,120),"")</f>
        <v/>
      </c>
      <c r="F126" s="51">
        <f>IFERROR(INDEX('التوظيف'!$F$3:$F$502,120),"")</f>
        <v/>
      </c>
      <c r="G126" s="119">
        <f>IFERROR(INDEX('التوظيف'!$G$3:$G$502,120),"")</f>
        <v/>
      </c>
      <c r="H126" s="50">
        <f>IFERROR(INDEX('التوظيف'!$H$3:$H$502,120),"")</f>
        <v/>
      </c>
      <c r="I126" s="119">
        <f>IFERROR(INDEX('التوظيف'!$I$3:$I$502,120),"")</f>
        <v/>
      </c>
      <c r="J126" s="50">
        <f>IFERROR(INDEX('التوظيف'!$J$3:$J$502,120),"")</f>
        <v/>
      </c>
      <c r="K126" s="50">
        <f>IFERROR(INDEX('التوظيف'!$K$3:$K$502,120),"")</f>
        <v/>
      </c>
      <c r="L126" s="119">
        <f>IFERROR(INDEX('التوظيف'!$L$3:$L$502,120),"")</f>
        <v/>
      </c>
    </row>
    <row r="127">
      <c r="A127" s="43">
        <f>IFERROR(INDEX('التوظيف'!$A$3:$A$502,121),"")</f>
        <v/>
      </c>
      <c r="B127" s="43">
        <f>IFERROR(INDEX('التوظيف'!$B$3:$B$502,121),"")</f>
        <v/>
      </c>
      <c r="C127" s="43">
        <f>IFERROR(INDEX('التوظيف'!$C$3:$C$502,121),"")</f>
        <v/>
      </c>
      <c r="D127" s="43">
        <f>IFERROR(INDEX('التوظيف'!$D$3:$D$502,121),"")</f>
        <v/>
      </c>
      <c r="E127" s="43">
        <f>IFERROR(INDEX('التوظيف'!$E$3:$E$502,121),"")</f>
        <v/>
      </c>
      <c r="F127" s="44">
        <f>IFERROR(INDEX('التوظيف'!$F$3:$F$502,121),"")</f>
        <v/>
      </c>
      <c r="G127" s="118">
        <f>IFERROR(INDEX('التوظيف'!$G$3:$G$502,121),"")</f>
        <v/>
      </c>
      <c r="H127" s="43">
        <f>IFERROR(INDEX('التوظيف'!$H$3:$H$502,121),"")</f>
        <v/>
      </c>
      <c r="I127" s="118">
        <f>IFERROR(INDEX('التوظيف'!$I$3:$I$502,121),"")</f>
        <v/>
      </c>
      <c r="J127" s="43">
        <f>IFERROR(INDEX('التوظيف'!$J$3:$J$502,121),"")</f>
        <v/>
      </c>
      <c r="K127" s="43">
        <f>IFERROR(INDEX('التوظيف'!$K$3:$K$502,121),"")</f>
        <v/>
      </c>
      <c r="L127" s="118">
        <f>IFERROR(INDEX('التوظيف'!$L$3:$L$502,121),"")</f>
        <v/>
      </c>
    </row>
    <row r="128">
      <c r="A128" s="50">
        <f>IFERROR(INDEX('التوظيف'!$A$3:$A$502,122),"")</f>
        <v/>
      </c>
      <c r="B128" s="50">
        <f>IFERROR(INDEX('التوظيف'!$B$3:$B$502,122),"")</f>
        <v/>
      </c>
      <c r="C128" s="50">
        <f>IFERROR(INDEX('التوظيف'!$C$3:$C$502,122),"")</f>
        <v/>
      </c>
      <c r="D128" s="50">
        <f>IFERROR(INDEX('التوظيف'!$D$3:$D$502,122),"")</f>
        <v/>
      </c>
      <c r="E128" s="50">
        <f>IFERROR(INDEX('التوظيف'!$E$3:$E$502,122),"")</f>
        <v/>
      </c>
      <c r="F128" s="51">
        <f>IFERROR(INDEX('التوظيف'!$F$3:$F$502,122),"")</f>
        <v/>
      </c>
      <c r="G128" s="119">
        <f>IFERROR(INDEX('التوظيف'!$G$3:$G$502,122),"")</f>
        <v/>
      </c>
      <c r="H128" s="50">
        <f>IFERROR(INDEX('التوظيف'!$H$3:$H$502,122),"")</f>
        <v/>
      </c>
      <c r="I128" s="119">
        <f>IFERROR(INDEX('التوظيف'!$I$3:$I$502,122),"")</f>
        <v/>
      </c>
      <c r="J128" s="50">
        <f>IFERROR(INDEX('التوظيف'!$J$3:$J$502,122),"")</f>
        <v/>
      </c>
      <c r="K128" s="50">
        <f>IFERROR(INDEX('التوظيف'!$K$3:$K$502,122),"")</f>
        <v/>
      </c>
      <c r="L128" s="119">
        <f>IFERROR(INDEX('التوظيف'!$L$3:$L$502,122),"")</f>
        <v/>
      </c>
    </row>
    <row r="129">
      <c r="A129" s="43">
        <f>IFERROR(INDEX('التوظيف'!$A$3:$A$502,123),"")</f>
        <v/>
      </c>
      <c r="B129" s="43">
        <f>IFERROR(INDEX('التوظيف'!$B$3:$B$502,123),"")</f>
        <v/>
      </c>
      <c r="C129" s="43">
        <f>IFERROR(INDEX('التوظيف'!$C$3:$C$502,123),"")</f>
        <v/>
      </c>
      <c r="D129" s="43">
        <f>IFERROR(INDEX('التوظيف'!$D$3:$D$502,123),"")</f>
        <v/>
      </c>
      <c r="E129" s="43">
        <f>IFERROR(INDEX('التوظيف'!$E$3:$E$502,123),"")</f>
        <v/>
      </c>
      <c r="F129" s="44">
        <f>IFERROR(INDEX('التوظيف'!$F$3:$F$502,123),"")</f>
        <v/>
      </c>
      <c r="G129" s="118">
        <f>IFERROR(INDEX('التوظيف'!$G$3:$G$502,123),"")</f>
        <v/>
      </c>
      <c r="H129" s="43">
        <f>IFERROR(INDEX('التوظيف'!$H$3:$H$502,123),"")</f>
        <v/>
      </c>
      <c r="I129" s="118">
        <f>IFERROR(INDEX('التوظيف'!$I$3:$I$502,123),"")</f>
        <v/>
      </c>
      <c r="J129" s="43">
        <f>IFERROR(INDEX('التوظيف'!$J$3:$J$502,123),"")</f>
        <v/>
      </c>
      <c r="K129" s="43">
        <f>IFERROR(INDEX('التوظيف'!$K$3:$K$502,123),"")</f>
        <v/>
      </c>
      <c r="L129" s="118">
        <f>IFERROR(INDEX('التوظيف'!$L$3:$L$502,123),"")</f>
        <v/>
      </c>
    </row>
    <row r="130">
      <c r="A130" s="50">
        <f>IFERROR(INDEX('التوظيف'!$A$3:$A$502,124),"")</f>
        <v/>
      </c>
      <c r="B130" s="50">
        <f>IFERROR(INDEX('التوظيف'!$B$3:$B$502,124),"")</f>
        <v/>
      </c>
      <c r="C130" s="50">
        <f>IFERROR(INDEX('التوظيف'!$C$3:$C$502,124),"")</f>
        <v/>
      </c>
      <c r="D130" s="50">
        <f>IFERROR(INDEX('التوظيف'!$D$3:$D$502,124),"")</f>
        <v/>
      </c>
      <c r="E130" s="50">
        <f>IFERROR(INDEX('التوظيف'!$E$3:$E$502,124),"")</f>
        <v/>
      </c>
      <c r="F130" s="51">
        <f>IFERROR(INDEX('التوظيف'!$F$3:$F$502,124),"")</f>
        <v/>
      </c>
      <c r="G130" s="119">
        <f>IFERROR(INDEX('التوظيف'!$G$3:$G$502,124),"")</f>
        <v/>
      </c>
      <c r="H130" s="50">
        <f>IFERROR(INDEX('التوظيف'!$H$3:$H$502,124),"")</f>
        <v/>
      </c>
      <c r="I130" s="119">
        <f>IFERROR(INDEX('التوظيف'!$I$3:$I$502,124),"")</f>
        <v/>
      </c>
      <c r="J130" s="50">
        <f>IFERROR(INDEX('التوظيف'!$J$3:$J$502,124),"")</f>
        <v/>
      </c>
      <c r="K130" s="50">
        <f>IFERROR(INDEX('التوظيف'!$K$3:$K$502,124),"")</f>
        <v/>
      </c>
      <c r="L130" s="119">
        <f>IFERROR(INDEX('التوظيف'!$L$3:$L$502,124),"")</f>
        <v/>
      </c>
    </row>
    <row r="131">
      <c r="A131" s="43">
        <f>IFERROR(INDEX('التوظيف'!$A$3:$A$502,125),"")</f>
        <v/>
      </c>
      <c r="B131" s="43">
        <f>IFERROR(INDEX('التوظيف'!$B$3:$B$502,125),"")</f>
        <v/>
      </c>
      <c r="C131" s="43">
        <f>IFERROR(INDEX('التوظيف'!$C$3:$C$502,125),"")</f>
        <v/>
      </c>
      <c r="D131" s="43">
        <f>IFERROR(INDEX('التوظيف'!$D$3:$D$502,125),"")</f>
        <v/>
      </c>
      <c r="E131" s="43">
        <f>IFERROR(INDEX('التوظيف'!$E$3:$E$502,125),"")</f>
        <v/>
      </c>
      <c r="F131" s="44">
        <f>IFERROR(INDEX('التوظيف'!$F$3:$F$502,125),"")</f>
        <v/>
      </c>
      <c r="G131" s="118">
        <f>IFERROR(INDEX('التوظيف'!$G$3:$G$502,125),"")</f>
        <v/>
      </c>
      <c r="H131" s="43">
        <f>IFERROR(INDEX('التوظيف'!$H$3:$H$502,125),"")</f>
        <v/>
      </c>
      <c r="I131" s="118">
        <f>IFERROR(INDEX('التوظيف'!$I$3:$I$502,125),"")</f>
        <v/>
      </c>
      <c r="J131" s="43">
        <f>IFERROR(INDEX('التوظيف'!$J$3:$J$502,125),"")</f>
        <v/>
      </c>
      <c r="K131" s="43">
        <f>IFERROR(INDEX('التوظيف'!$K$3:$K$502,125),"")</f>
        <v/>
      </c>
      <c r="L131" s="118">
        <f>IFERROR(INDEX('التوظيف'!$L$3:$L$502,125),"")</f>
        <v/>
      </c>
    </row>
    <row r="132">
      <c r="A132" s="50">
        <f>IFERROR(INDEX('التوظيف'!$A$3:$A$502,126),"")</f>
        <v/>
      </c>
      <c r="B132" s="50">
        <f>IFERROR(INDEX('التوظيف'!$B$3:$B$502,126),"")</f>
        <v/>
      </c>
      <c r="C132" s="50">
        <f>IFERROR(INDEX('التوظيف'!$C$3:$C$502,126),"")</f>
        <v/>
      </c>
      <c r="D132" s="50">
        <f>IFERROR(INDEX('التوظيف'!$D$3:$D$502,126),"")</f>
        <v/>
      </c>
      <c r="E132" s="50">
        <f>IFERROR(INDEX('التوظيف'!$E$3:$E$502,126),"")</f>
        <v/>
      </c>
      <c r="F132" s="51">
        <f>IFERROR(INDEX('التوظيف'!$F$3:$F$502,126),"")</f>
        <v/>
      </c>
      <c r="G132" s="119">
        <f>IFERROR(INDEX('التوظيف'!$G$3:$G$502,126),"")</f>
        <v/>
      </c>
      <c r="H132" s="50">
        <f>IFERROR(INDEX('التوظيف'!$H$3:$H$502,126),"")</f>
        <v/>
      </c>
      <c r="I132" s="119">
        <f>IFERROR(INDEX('التوظيف'!$I$3:$I$502,126),"")</f>
        <v/>
      </c>
      <c r="J132" s="50">
        <f>IFERROR(INDEX('التوظيف'!$J$3:$J$502,126),"")</f>
        <v/>
      </c>
      <c r="K132" s="50">
        <f>IFERROR(INDEX('التوظيف'!$K$3:$K$502,126),"")</f>
        <v/>
      </c>
      <c r="L132" s="119">
        <f>IFERROR(INDEX('التوظيف'!$L$3:$L$502,126),"")</f>
        <v/>
      </c>
    </row>
    <row r="133">
      <c r="A133" s="43">
        <f>IFERROR(INDEX('التوظيف'!$A$3:$A$502,127),"")</f>
        <v/>
      </c>
      <c r="B133" s="43">
        <f>IFERROR(INDEX('التوظيف'!$B$3:$B$502,127),"")</f>
        <v/>
      </c>
      <c r="C133" s="43">
        <f>IFERROR(INDEX('التوظيف'!$C$3:$C$502,127),"")</f>
        <v/>
      </c>
      <c r="D133" s="43">
        <f>IFERROR(INDEX('التوظيف'!$D$3:$D$502,127),"")</f>
        <v/>
      </c>
      <c r="E133" s="43">
        <f>IFERROR(INDEX('التوظيف'!$E$3:$E$502,127),"")</f>
        <v/>
      </c>
      <c r="F133" s="44">
        <f>IFERROR(INDEX('التوظيف'!$F$3:$F$502,127),"")</f>
        <v/>
      </c>
      <c r="G133" s="118">
        <f>IFERROR(INDEX('التوظيف'!$G$3:$G$502,127),"")</f>
        <v/>
      </c>
      <c r="H133" s="43">
        <f>IFERROR(INDEX('التوظيف'!$H$3:$H$502,127),"")</f>
        <v/>
      </c>
      <c r="I133" s="118">
        <f>IFERROR(INDEX('التوظيف'!$I$3:$I$502,127),"")</f>
        <v/>
      </c>
      <c r="J133" s="43">
        <f>IFERROR(INDEX('التوظيف'!$J$3:$J$502,127),"")</f>
        <v/>
      </c>
      <c r="K133" s="43">
        <f>IFERROR(INDEX('التوظيف'!$K$3:$K$502,127),"")</f>
        <v/>
      </c>
      <c r="L133" s="118">
        <f>IFERROR(INDEX('التوظيف'!$L$3:$L$502,127),"")</f>
        <v/>
      </c>
    </row>
    <row r="134">
      <c r="A134" s="50">
        <f>IFERROR(INDEX('التوظيف'!$A$3:$A$502,128),"")</f>
        <v/>
      </c>
      <c r="B134" s="50">
        <f>IFERROR(INDEX('التوظيف'!$B$3:$B$502,128),"")</f>
        <v/>
      </c>
      <c r="C134" s="50">
        <f>IFERROR(INDEX('التوظيف'!$C$3:$C$502,128),"")</f>
        <v/>
      </c>
      <c r="D134" s="50">
        <f>IFERROR(INDEX('التوظيف'!$D$3:$D$502,128),"")</f>
        <v/>
      </c>
      <c r="E134" s="50">
        <f>IFERROR(INDEX('التوظيف'!$E$3:$E$502,128),"")</f>
        <v/>
      </c>
      <c r="F134" s="51">
        <f>IFERROR(INDEX('التوظيف'!$F$3:$F$502,128),"")</f>
        <v/>
      </c>
      <c r="G134" s="119">
        <f>IFERROR(INDEX('التوظيف'!$G$3:$G$502,128),"")</f>
        <v/>
      </c>
      <c r="H134" s="50">
        <f>IFERROR(INDEX('التوظيف'!$H$3:$H$502,128),"")</f>
        <v/>
      </c>
      <c r="I134" s="119">
        <f>IFERROR(INDEX('التوظيف'!$I$3:$I$502,128),"")</f>
        <v/>
      </c>
      <c r="J134" s="50">
        <f>IFERROR(INDEX('التوظيف'!$J$3:$J$502,128),"")</f>
        <v/>
      </c>
      <c r="K134" s="50">
        <f>IFERROR(INDEX('التوظيف'!$K$3:$K$502,128),"")</f>
        <v/>
      </c>
      <c r="L134" s="119">
        <f>IFERROR(INDEX('التوظيف'!$L$3:$L$502,128),"")</f>
        <v/>
      </c>
    </row>
    <row r="135">
      <c r="A135" s="43">
        <f>IFERROR(INDEX('التوظيف'!$A$3:$A$502,129),"")</f>
        <v/>
      </c>
      <c r="B135" s="43">
        <f>IFERROR(INDEX('التوظيف'!$B$3:$B$502,129),"")</f>
        <v/>
      </c>
      <c r="C135" s="43">
        <f>IFERROR(INDEX('التوظيف'!$C$3:$C$502,129),"")</f>
        <v/>
      </c>
      <c r="D135" s="43">
        <f>IFERROR(INDEX('التوظيف'!$D$3:$D$502,129),"")</f>
        <v/>
      </c>
      <c r="E135" s="43">
        <f>IFERROR(INDEX('التوظيف'!$E$3:$E$502,129),"")</f>
        <v/>
      </c>
      <c r="F135" s="44">
        <f>IFERROR(INDEX('التوظيف'!$F$3:$F$502,129),"")</f>
        <v/>
      </c>
      <c r="G135" s="118">
        <f>IFERROR(INDEX('التوظيف'!$G$3:$G$502,129),"")</f>
        <v/>
      </c>
      <c r="H135" s="43">
        <f>IFERROR(INDEX('التوظيف'!$H$3:$H$502,129),"")</f>
        <v/>
      </c>
      <c r="I135" s="118">
        <f>IFERROR(INDEX('التوظيف'!$I$3:$I$502,129),"")</f>
        <v/>
      </c>
      <c r="J135" s="43">
        <f>IFERROR(INDEX('التوظيف'!$J$3:$J$502,129),"")</f>
        <v/>
      </c>
      <c r="K135" s="43">
        <f>IFERROR(INDEX('التوظيف'!$K$3:$K$502,129),"")</f>
        <v/>
      </c>
      <c r="L135" s="118">
        <f>IFERROR(INDEX('التوظيف'!$L$3:$L$502,129),"")</f>
        <v/>
      </c>
    </row>
    <row r="136">
      <c r="A136" s="50">
        <f>IFERROR(INDEX('التوظيف'!$A$3:$A$502,130),"")</f>
        <v/>
      </c>
      <c r="B136" s="50">
        <f>IFERROR(INDEX('التوظيف'!$B$3:$B$502,130),"")</f>
        <v/>
      </c>
      <c r="C136" s="50">
        <f>IFERROR(INDEX('التوظيف'!$C$3:$C$502,130),"")</f>
        <v/>
      </c>
      <c r="D136" s="50">
        <f>IFERROR(INDEX('التوظيف'!$D$3:$D$502,130),"")</f>
        <v/>
      </c>
      <c r="E136" s="50">
        <f>IFERROR(INDEX('التوظيف'!$E$3:$E$502,130),"")</f>
        <v/>
      </c>
      <c r="F136" s="51">
        <f>IFERROR(INDEX('التوظيف'!$F$3:$F$502,130),"")</f>
        <v/>
      </c>
      <c r="G136" s="119">
        <f>IFERROR(INDEX('التوظيف'!$G$3:$G$502,130),"")</f>
        <v/>
      </c>
      <c r="H136" s="50">
        <f>IFERROR(INDEX('التوظيف'!$H$3:$H$502,130),"")</f>
        <v/>
      </c>
      <c r="I136" s="119">
        <f>IFERROR(INDEX('التوظيف'!$I$3:$I$502,130),"")</f>
        <v/>
      </c>
      <c r="J136" s="50">
        <f>IFERROR(INDEX('التوظيف'!$J$3:$J$502,130),"")</f>
        <v/>
      </c>
      <c r="K136" s="50">
        <f>IFERROR(INDEX('التوظيف'!$K$3:$K$502,130),"")</f>
        <v/>
      </c>
      <c r="L136" s="119">
        <f>IFERROR(INDEX('التوظيف'!$L$3:$L$502,130),"")</f>
        <v/>
      </c>
    </row>
    <row r="137">
      <c r="A137" s="43">
        <f>IFERROR(INDEX('التوظيف'!$A$3:$A$502,131),"")</f>
        <v/>
      </c>
      <c r="B137" s="43">
        <f>IFERROR(INDEX('التوظيف'!$B$3:$B$502,131),"")</f>
        <v/>
      </c>
      <c r="C137" s="43">
        <f>IFERROR(INDEX('التوظيف'!$C$3:$C$502,131),"")</f>
        <v/>
      </c>
      <c r="D137" s="43">
        <f>IFERROR(INDEX('التوظيف'!$D$3:$D$502,131),"")</f>
        <v/>
      </c>
      <c r="E137" s="43">
        <f>IFERROR(INDEX('التوظيف'!$E$3:$E$502,131),"")</f>
        <v/>
      </c>
      <c r="F137" s="44">
        <f>IFERROR(INDEX('التوظيف'!$F$3:$F$502,131),"")</f>
        <v/>
      </c>
      <c r="G137" s="118">
        <f>IFERROR(INDEX('التوظيف'!$G$3:$G$502,131),"")</f>
        <v/>
      </c>
      <c r="H137" s="43">
        <f>IFERROR(INDEX('التوظيف'!$H$3:$H$502,131),"")</f>
        <v/>
      </c>
      <c r="I137" s="118">
        <f>IFERROR(INDEX('التوظيف'!$I$3:$I$502,131),"")</f>
        <v/>
      </c>
      <c r="J137" s="43">
        <f>IFERROR(INDEX('التوظيف'!$J$3:$J$502,131),"")</f>
        <v/>
      </c>
      <c r="K137" s="43">
        <f>IFERROR(INDEX('التوظيف'!$K$3:$K$502,131),"")</f>
        <v/>
      </c>
      <c r="L137" s="118">
        <f>IFERROR(INDEX('التوظيف'!$L$3:$L$502,131),"")</f>
        <v/>
      </c>
    </row>
    <row r="138">
      <c r="A138" s="50">
        <f>IFERROR(INDEX('التوظيف'!$A$3:$A$502,132),"")</f>
        <v/>
      </c>
      <c r="B138" s="50">
        <f>IFERROR(INDEX('التوظيف'!$B$3:$B$502,132),"")</f>
        <v/>
      </c>
      <c r="C138" s="50">
        <f>IFERROR(INDEX('التوظيف'!$C$3:$C$502,132),"")</f>
        <v/>
      </c>
      <c r="D138" s="50">
        <f>IFERROR(INDEX('التوظيف'!$D$3:$D$502,132),"")</f>
        <v/>
      </c>
      <c r="E138" s="50">
        <f>IFERROR(INDEX('التوظيف'!$E$3:$E$502,132),"")</f>
        <v/>
      </c>
      <c r="F138" s="51">
        <f>IFERROR(INDEX('التوظيف'!$F$3:$F$502,132),"")</f>
        <v/>
      </c>
      <c r="G138" s="119">
        <f>IFERROR(INDEX('التوظيف'!$G$3:$G$502,132),"")</f>
        <v/>
      </c>
      <c r="H138" s="50">
        <f>IFERROR(INDEX('التوظيف'!$H$3:$H$502,132),"")</f>
        <v/>
      </c>
      <c r="I138" s="119">
        <f>IFERROR(INDEX('التوظيف'!$I$3:$I$502,132),"")</f>
        <v/>
      </c>
      <c r="J138" s="50">
        <f>IFERROR(INDEX('التوظيف'!$J$3:$J$502,132),"")</f>
        <v/>
      </c>
      <c r="K138" s="50">
        <f>IFERROR(INDEX('التوظيف'!$K$3:$K$502,132),"")</f>
        <v/>
      </c>
      <c r="L138" s="119">
        <f>IFERROR(INDEX('التوظيف'!$L$3:$L$502,132),"")</f>
        <v/>
      </c>
    </row>
    <row r="139">
      <c r="A139" s="43">
        <f>IFERROR(INDEX('التوظيف'!$A$3:$A$502,133),"")</f>
        <v/>
      </c>
      <c r="B139" s="43">
        <f>IFERROR(INDEX('التوظيف'!$B$3:$B$502,133),"")</f>
        <v/>
      </c>
      <c r="C139" s="43">
        <f>IFERROR(INDEX('التوظيف'!$C$3:$C$502,133),"")</f>
        <v/>
      </c>
      <c r="D139" s="43">
        <f>IFERROR(INDEX('التوظيف'!$D$3:$D$502,133),"")</f>
        <v/>
      </c>
      <c r="E139" s="43">
        <f>IFERROR(INDEX('التوظيف'!$E$3:$E$502,133),"")</f>
        <v/>
      </c>
      <c r="F139" s="44">
        <f>IFERROR(INDEX('التوظيف'!$F$3:$F$502,133),"")</f>
        <v/>
      </c>
      <c r="G139" s="118">
        <f>IFERROR(INDEX('التوظيف'!$G$3:$G$502,133),"")</f>
        <v/>
      </c>
      <c r="H139" s="43">
        <f>IFERROR(INDEX('التوظيف'!$H$3:$H$502,133),"")</f>
        <v/>
      </c>
      <c r="I139" s="118">
        <f>IFERROR(INDEX('التوظيف'!$I$3:$I$502,133),"")</f>
        <v/>
      </c>
      <c r="J139" s="43">
        <f>IFERROR(INDEX('التوظيف'!$J$3:$J$502,133),"")</f>
        <v/>
      </c>
      <c r="K139" s="43">
        <f>IFERROR(INDEX('التوظيف'!$K$3:$K$502,133),"")</f>
        <v/>
      </c>
      <c r="L139" s="118">
        <f>IFERROR(INDEX('التوظيف'!$L$3:$L$502,133),"")</f>
        <v/>
      </c>
    </row>
    <row r="140">
      <c r="A140" s="50">
        <f>IFERROR(INDEX('التوظيف'!$A$3:$A$502,134),"")</f>
        <v/>
      </c>
      <c r="B140" s="50">
        <f>IFERROR(INDEX('التوظيف'!$B$3:$B$502,134),"")</f>
        <v/>
      </c>
      <c r="C140" s="50">
        <f>IFERROR(INDEX('التوظيف'!$C$3:$C$502,134),"")</f>
        <v/>
      </c>
      <c r="D140" s="50">
        <f>IFERROR(INDEX('التوظيف'!$D$3:$D$502,134),"")</f>
        <v/>
      </c>
      <c r="E140" s="50">
        <f>IFERROR(INDEX('التوظيف'!$E$3:$E$502,134),"")</f>
        <v/>
      </c>
      <c r="F140" s="51">
        <f>IFERROR(INDEX('التوظيف'!$F$3:$F$502,134),"")</f>
        <v/>
      </c>
      <c r="G140" s="119">
        <f>IFERROR(INDEX('التوظيف'!$G$3:$G$502,134),"")</f>
        <v/>
      </c>
      <c r="H140" s="50">
        <f>IFERROR(INDEX('التوظيف'!$H$3:$H$502,134),"")</f>
        <v/>
      </c>
      <c r="I140" s="119">
        <f>IFERROR(INDEX('التوظيف'!$I$3:$I$502,134),"")</f>
        <v/>
      </c>
      <c r="J140" s="50">
        <f>IFERROR(INDEX('التوظيف'!$J$3:$J$502,134),"")</f>
        <v/>
      </c>
      <c r="K140" s="50">
        <f>IFERROR(INDEX('التوظيف'!$K$3:$K$502,134),"")</f>
        <v/>
      </c>
      <c r="L140" s="119">
        <f>IFERROR(INDEX('التوظيف'!$L$3:$L$502,134),"")</f>
        <v/>
      </c>
    </row>
    <row r="141">
      <c r="A141" s="43">
        <f>IFERROR(INDEX('التوظيف'!$A$3:$A$502,135),"")</f>
        <v/>
      </c>
      <c r="B141" s="43">
        <f>IFERROR(INDEX('التوظيف'!$B$3:$B$502,135),"")</f>
        <v/>
      </c>
      <c r="C141" s="43">
        <f>IFERROR(INDEX('التوظيف'!$C$3:$C$502,135),"")</f>
        <v/>
      </c>
      <c r="D141" s="43">
        <f>IFERROR(INDEX('التوظيف'!$D$3:$D$502,135),"")</f>
        <v/>
      </c>
      <c r="E141" s="43">
        <f>IFERROR(INDEX('التوظيف'!$E$3:$E$502,135),"")</f>
        <v/>
      </c>
      <c r="F141" s="44">
        <f>IFERROR(INDEX('التوظيف'!$F$3:$F$502,135),"")</f>
        <v/>
      </c>
      <c r="G141" s="118">
        <f>IFERROR(INDEX('التوظيف'!$G$3:$G$502,135),"")</f>
        <v/>
      </c>
      <c r="H141" s="43">
        <f>IFERROR(INDEX('التوظيف'!$H$3:$H$502,135),"")</f>
        <v/>
      </c>
      <c r="I141" s="118">
        <f>IFERROR(INDEX('التوظيف'!$I$3:$I$502,135),"")</f>
        <v/>
      </c>
      <c r="J141" s="43">
        <f>IFERROR(INDEX('التوظيف'!$J$3:$J$502,135),"")</f>
        <v/>
      </c>
      <c r="K141" s="43">
        <f>IFERROR(INDEX('التوظيف'!$K$3:$K$502,135),"")</f>
        <v/>
      </c>
      <c r="L141" s="118">
        <f>IFERROR(INDEX('التوظيف'!$L$3:$L$502,135),"")</f>
        <v/>
      </c>
    </row>
    <row r="142">
      <c r="A142" s="50">
        <f>IFERROR(INDEX('التوظيف'!$A$3:$A$502,136),"")</f>
        <v/>
      </c>
      <c r="B142" s="50">
        <f>IFERROR(INDEX('التوظيف'!$B$3:$B$502,136),"")</f>
        <v/>
      </c>
      <c r="C142" s="50">
        <f>IFERROR(INDEX('التوظيف'!$C$3:$C$502,136),"")</f>
        <v/>
      </c>
      <c r="D142" s="50">
        <f>IFERROR(INDEX('التوظيف'!$D$3:$D$502,136),"")</f>
        <v/>
      </c>
      <c r="E142" s="50">
        <f>IFERROR(INDEX('التوظيف'!$E$3:$E$502,136),"")</f>
        <v/>
      </c>
      <c r="F142" s="51">
        <f>IFERROR(INDEX('التوظيف'!$F$3:$F$502,136),"")</f>
        <v/>
      </c>
      <c r="G142" s="119">
        <f>IFERROR(INDEX('التوظيف'!$G$3:$G$502,136),"")</f>
        <v/>
      </c>
      <c r="H142" s="50">
        <f>IFERROR(INDEX('التوظيف'!$H$3:$H$502,136),"")</f>
        <v/>
      </c>
      <c r="I142" s="119">
        <f>IFERROR(INDEX('التوظيف'!$I$3:$I$502,136),"")</f>
        <v/>
      </c>
      <c r="J142" s="50">
        <f>IFERROR(INDEX('التوظيف'!$J$3:$J$502,136),"")</f>
        <v/>
      </c>
      <c r="K142" s="50">
        <f>IFERROR(INDEX('التوظيف'!$K$3:$K$502,136),"")</f>
        <v/>
      </c>
      <c r="L142" s="119">
        <f>IFERROR(INDEX('التوظيف'!$L$3:$L$502,136),"")</f>
        <v/>
      </c>
    </row>
    <row r="143">
      <c r="A143" s="43">
        <f>IFERROR(INDEX('التوظيف'!$A$3:$A$502,137),"")</f>
        <v/>
      </c>
      <c r="B143" s="43">
        <f>IFERROR(INDEX('التوظيف'!$B$3:$B$502,137),"")</f>
        <v/>
      </c>
      <c r="C143" s="43">
        <f>IFERROR(INDEX('التوظيف'!$C$3:$C$502,137),"")</f>
        <v/>
      </c>
      <c r="D143" s="43">
        <f>IFERROR(INDEX('التوظيف'!$D$3:$D$502,137),"")</f>
        <v/>
      </c>
      <c r="E143" s="43">
        <f>IFERROR(INDEX('التوظيف'!$E$3:$E$502,137),"")</f>
        <v/>
      </c>
      <c r="F143" s="44">
        <f>IFERROR(INDEX('التوظيف'!$F$3:$F$502,137),"")</f>
        <v/>
      </c>
      <c r="G143" s="118">
        <f>IFERROR(INDEX('التوظيف'!$G$3:$G$502,137),"")</f>
        <v/>
      </c>
      <c r="H143" s="43">
        <f>IFERROR(INDEX('التوظيف'!$H$3:$H$502,137),"")</f>
        <v/>
      </c>
      <c r="I143" s="118">
        <f>IFERROR(INDEX('التوظيف'!$I$3:$I$502,137),"")</f>
        <v/>
      </c>
      <c r="J143" s="43">
        <f>IFERROR(INDEX('التوظيف'!$J$3:$J$502,137),"")</f>
        <v/>
      </c>
      <c r="K143" s="43">
        <f>IFERROR(INDEX('التوظيف'!$K$3:$K$502,137),"")</f>
        <v/>
      </c>
      <c r="L143" s="118">
        <f>IFERROR(INDEX('التوظيف'!$L$3:$L$502,137),"")</f>
        <v/>
      </c>
    </row>
    <row r="144">
      <c r="A144" s="50">
        <f>IFERROR(INDEX('التوظيف'!$A$3:$A$502,138),"")</f>
        <v/>
      </c>
      <c r="B144" s="50">
        <f>IFERROR(INDEX('التوظيف'!$B$3:$B$502,138),"")</f>
        <v/>
      </c>
      <c r="C144" s="50">
        <f>IFERROR(INDEX('التوظيف'!$C$3:$C$502,138),"")</f>
        <v/>
      </c>
      <c r="D144" s="50">
        <f>IFERROR(INDEX('التوظيف'!$D$3:$D$502,138),"")</f>
        <v/>
      </c>
      <c r="E144" s="50">
        <f>IFERROR(INDEX('التوظيف'!$E$3:$E$502,138),"")</f>
        <v/>
      </c>
      <c r="F144" s="51">
        <f>IFERROR(INDEX('التوظيف'!$F$3:$F$502,138),"")</f>
        <v/>
      </c>
      <c r="G144" s="119">
        <f>IFERROR(INDEX('التوظيف'!$G$3:$G$502,138),"")</f>
        <v/>
      </c>
      <c r="H144" s="50">
        <f>IFERROR(INDEX('التوظيف'!$H$3:$H$502,138),"")</f>
        <v/>
      </c>
      <c r="I144" s="119">
        <f>IFERROR(INDEX('التوظيف'!$I$3:$I$502,138),"")</f>
        <v/>
      </c>
      <c r="J144" s="50">
        <f>IFERROR(INDEX('التوظيف'!$J$3:$J$502,138),"")</f>
        <v/>
      </c>
      <c r="K144" s="50">
        <f>IFERROR(INDEX('التوظيف'!$K$3:$K$502,138),"")</f>
        <v/>
      </c>
      <c r="L144" s="119">
        <f>IFERROR(INDEX('التوظيف'!$L$3:$L$502,138),"")</f>
        <v/>
      </c>
    </row>
    <row r="145">
      <c r="A145" s="43">
        <f>IFERROR(INDEX('التوظيف'!$A$3:$A$502,139),"")</f>
        <v/>
      </c>
      <c r="B145" s="43">
        <f>IFERROR(INDEX('التوظيف'!$B$3:$B$502,139),"")</f>
        <v/>
      </c>
      <c r="C145" s="43">
        <f>IFERROR(INDEX('التوظيف'!$C$3:$C$502,139),"")</f>
        <v/>
      </c>
      <c r="D145" s="43">
        <f>IFERROR(INDEX('التوظيف'!$D$3:$D$502,139),"")</f>
        <v/>
      </c>
      <c r="E145" s="43">
        <f>IFERROR(INDEX('التوظيف'!$E$3:$E$502,139),"")</f>
        <v/>
      </c>
      <c r="F145" s="44">
        <f>IFERROR(INDEX('التوظيف'!$F$3:$F$502,139),"")</f>
        <v/>
      </c>
      <c r="G145" s="118">
        <f>IFERROR(INDEX('التوظيف'!$G$3:$G$502,139),"")</f>
        <v/>
      </c>
      <c r="H145" s="43">
        <f>IFERROR(INDEX('التوظيف'!$H$3:$H$502,139),"")</f>
        <v/>
      </c>
      <c r="I145" s="118">
        <f>IFERROR(INDEX('التوظيف'!$I$3:$I$502,139),"")</f>
        <v/>
      </c>
      <c r="J145" s="43">
        <f>IFERROR(INDEX('التوظيف'!$J$3:$J$502,139),"")</f>
        <v/>
      </c>
      <c r="K145" s="43">
        <f>IFERROR(INDEX('التوظيف'!$K$3:$K$502,139),"")</f>
        <v/>
      </c>
      <c r="L145" s="118">
        <f>IFERROR(INDEX('التوظيف'!$L$3:$L$502,139),"")</f>
        <v/>
      </c>
    </row>
    <row r="146">
      <c r="A146" s="50">
        <f>IFERROR(INDEX('التوظيف'!$A$3:$A$502,140),"")</f>
        <v/>
      </c>
      <c r="B146" s="50">
        <f>IFERROR(INDEX('التوظيف'!$B$3:$B$502,140),"")</f>
        <v/>
      </c>
      <c r="C146" s="50">
        <f>IFERROR(INDEX('التوظيف'!$C$3:$C$502,140),"")</f>
        <v/>
      </c>
      <c r="D146" s="50">
        <f>IFERROR(INDEX('التوظيف'!$D$3:$D$502,140),"")</f>
        <v/>
      </c>
      <c r="E146" s="50">
        <f>IFERROR(INDEX('التوظيف'!$E$3:$E$502,140),"")</f>
        <v/>
      </c>
      <c r="F146" s="51">
        <f>IFERROR(INDEX('التوظيف'!$F$3:$F$502,140),"")</f>
        <v/>
      </c>
      <c r="G146" s="119">
        <f>IFERROR(INDEX('التوظيف'!$G$3:$G$502,140),"")</f>
        <v/>
      </c>
      <c r="H146" s="50">
        <f>IFERROR(INDEX('التوظيف'!$H$3:$H$502,140),"")</f>
        <v/>
      </c>
      <c r="I146" s="119">
        <f>IFERROR(INDEX('التوظيف'!$I$3:$I$502,140),"")</f>
        <v/>
      </c>
      <c r="J146" s="50">
        <f>IFERROR(INDEX('التوظيف'!$J$3:$J$502,140),"")</f>
        <v/>
      </c>
      <c r="K146" s="50">
        <f>IFERROR(INDEX('التوظيف'!$K$3:$K$502,140),"")</f>
        <v/>
      </c>
      <c r="L146" s="119">
        <f>IFERROR(INDEX('التوظيف'!$L$3:$L$502,140),"")</f>
        <v/>
      </c>
    </row>
    <row r="147">
      <c r="A147" s="43">
        <f>IFERROR(INDEX('التوظيف'!$A$3:$A$502,141),"")</f>
        <v/>
      </c>
      <c r="B147" s="43">
        <f>IFERROR(INDEX('التوظيف'!$B$3:$B$502,141),"")</f>
        <v/>
      </c>
      <c r="C147" s="43">
        <f>IFERROR(INDEX('التوظيف'!$C$3:$C$502,141),"")</f>
        <v/>
      </c>
      <c r="D147" s="43">
        <f>IFERROR(INDEX('التوظيف'!$D$3:$D$502,141),"")</f>
        <v/>
      </c>
      <c r="E147" s="43">
        <f>IFERROR(INDEX('التوظيف'!$E$3:$E$502,141),"")</f>
        <v/>
      </c>
      <c r="F147" s="44">
        <f>IFERROR(INDEX('التوظيف'!$F$3:$F$502,141),"")</f>
        <v/>
      </c>
      <c r="G147" s="118">
        <f>IFERROR(INDEX('التوظيف'!$G$3:$G$502,141),"")</f>
        <v/>
      </c>
      <c r="H147" s="43">
        <f>IFERROR(INDEX('التوظيف'!$H$3:$H$502,141),"")</f>
        <v/>
      </c>
      <c r="I147" s="118">
        <f>IFERROR(INDEX('التوظيف'!$I$3:$I$502,141),"")</f>
        <v/>
      </c>
      <c r="J147" s="43">
        <f>IFERROR(INDEX('التوظيف'!$J$3:$J$502,141),"")</f>
        <v/>
      </c>
      <c r="K147" s="43">
        <f>IFERROR(INDEX('التوظيف'!$K$3:$K$502,141),"")</f>
        <v/>
      </c>
      <c r="L147" s="118">
        <f>IFERROR(INDEX('التوظيف'!$L$3:$L$502,141),"")</f>
        <v/>
      </c>
    </row>
    <row r="148">
      <c r="A148" s="50">
        <f>IFERROR(INDEX('التوظيف'!$A$3:$A$502,142),"")</f>
        <v/>
      </c>
      <c r="B148" s="50">
        <f>IFERROR(INDEX('التوظيف'!$B$3:$B$502,142),"")</f>
        <v/>
      </c>
      <c r="C148" s="50">
        <f>IFERROR(INDEX('التوظيف'!$C$3:$C$502,142),"")</f>
        <v/>
      </c>
      <c r="D148" s="50">
        <f>IFERROR(INDEX('التوظيف'!$D$3:$D$502,142),"")</f>
        <v/>
      </c>
      <c r="E148" s="50">
        <f>IFERROR(INDEX('التوظيف'!$E$3:$E$502,142),"")</f>
        <v/>
      </c>
      <c r="F148" s="51">
        <f>IFERROR(INDEX('التوظيف'!$F$3:$F$502,142),"")</f>
        <v/>
      </c>
      <c r="G148" s="119">
        <f>IFERROR(INDEX('التوظيف'!$G$3:$G$502,142),"")</f>
        <v/>
      </c>
      <c r="H148" s="50">
        <f>IFERROR(INDEX('التوظيف'!$H$3:$H$502,142),"")</f>
        <v/>
      </c>
      <c r="I148" s="119">
        <f>IFERROR(INDEX('التوظيف'!$I$3:$I$502,142),"")</f>
        <v/>
      </c>
      <c r="J148" s="50">
        <f>IFERROR(INDEX('التوظيف'!$J$3:$J$502,142),"")</f>
        <v/>
      </c>
      <c r="K148" s="50">
        <f>IFERROR(INDEX('التوظيف'!$K$3:$K$502,142),"")</f>
        <v/>
      </c>
      <c r="L148" s="119">
        <f>IFERROR(INDEX('التوظيف'!$L$3:$L$502,142),"")</f>
        <v/>
      </c>
    </row>
    <row r="149">
      <c r="A149" s="43">
        <f>IFERROR(INDEX('التوظيف'!$A$3:$A$502,143),"")</f>
        <v/>
      </c>
      <c r="B149" s="43">
        <f>IFERROR(INDEX('التوظيف'!$B$3:$B$502,143),"")</f>
        <v/>
      </c>
      <c r="C149" s="43">
        <f>IFERROR(INDEX('التوظيف'!$C$3:$C$502,143),"")</f>
        <v/>
      </c>
      <c r="D149" s="43">
        <f>IFERROR(INDEX('التوظيف'!$D$3:$D$502,143),"")</f>
        <v/>
      </c>
      <c r="E149" s="43">
        <f>IFERROR(INDEX('التوظيف'!$E$3:$E$502,143),"")</f>
        <v/>
      </c>
      <c r="F149" s="44">
        <f>IFERROR(INDEX('التوظيف'!$F$3:$F$502,143),"")</f>
        <v/>
      </c>
      <c r="G149" s="118">
        <f>IFERROR(INDEX('التوظيف'!$G$3:$G$502,143),"")</f>
        <v/>
      </c>
      <c r="H149" s="43">
        <f>IFERROR(INDEX('التوظيف'!$H$3:$H$502,143),"")</f>
        <v/>
      </c>
      <c r="I149" s="118">
        <f>IFERROR(INDEX('التوظيف'!$I$3:$I$502,143),"")</f>
        <v/>
      </c>
      <c r="J149" s="43">
        <f>IFERROR(INDEX('التوظيف'!$J$3:$J$502,143),"")</f>
        <v/>
      </c>
      <c r="K149" s="43">
        <f>IFERROR(INDEX('التوظيف'!$K$3:$K$502,143),"")</f>
        <v/>
      </c>
      <c r="L149" s="118">
        <f>IFERROR(INDEX('التوظيف'!$L$3:$L$502,143),"")</f>
        <v/>
      </c>
    </row>
    <row r="150">
      <c r="A150" s="50">
        <f>IFERROR(INDEX('التوظيف'!$A$3:$A$502,144),"")</f>
        <v/>
      </c>
      <c r="B150" s="50">
        <f>IFERROR(INDEX('التوظيف'!$B$3:$B$502,144),"")</f>
        <v/>
      </c>
      <c r="C150" s="50">
        <f>IFERROR(INDEX('التوظيف'!$C$3:$C$502,144),"")</f>
        <v/>
      </c>
      <c r="D150" s="50">
        <f>IFERROR(INDEX('التوظيف'!$D$3:$D$502,144),"")</f>
        <v/>
      </c>
      <c r="E150" s="50">
        <f>IFERROR(INDEX('التوظيف'!$E$3:$E$502,144),"")</f>
        <v/>
      </c>
      <c r="F150" s="51">
        <f>IFERROR(INDEX('التوظيف'!$F$3:$F$502,144),"")</f>
        <v/>
      </c>
      <c r="G150" s="119">
        <f>IFERROR(INDEX('التوظيف'!$G$3:$G$502,144),"")</f>
        <v/>
      </c>
      <c r="H150" s="50">
        <f>IFERROR(INDEX('التوظيف'!$H$3:$H$502,144),"")</f>
        <v/>
      </c>
      <c r="I150" s="119">
        <f>IFERROR(INDEX('التوظيف'!$I$3:$I$502,144),"")</f>
        <v/>
      </c>
      <c r="J150" s="50">
        <f>IFERROR(INDEX('التوظيف'!$J$3:$J$502,144),"")</f>
        <v/>
      </c>
      <c r="K150" s="50">
        <f>IFERROR(INDEX('التوظيف'!$K$3:$K$502,144),"")</f>
        <v/>
      </c>
      <c r="L150" s="119">
        <f>IFERROR(INDEX('التوظيف'!$L$3:$L$502,144),"")</f>
        <v/>
      </c>
    </row>
    <row r="151">
      <c r="A151" s="43">
        <f>IFERROR(INDEX('التوظيف'!$A$3:$A$502,145),"")</f>
        <v/>
      </c>
      <c r="B151" s="43">
        <f>IFERROR(INDEX('التوظيف'!$B$3:$B$502,145),"")</f>
        <v/>
      </c>
      <c r="C151" s="43">
        <f>IFERROR(INDEX('التوظيف'!$C$3:$C$502,145),"")</f>
        <v/>
      </c>
      <c r="D151" s="43">
        <f>IFERROR(INDEX('التوظيف'!$D$3:$D$502,145),"")</f>
        <v/>
      </c>
      <c r="E151" s="43">
        <f>IFERROR(INDEX('التوظيف'!$E$3:$E$502,145),"")</f>
        <v/>
      </c>
      <c r="F151" s="44">
        <f>IFERROR(INDEX('التوظيف'!$F$3:$F$502,145),"")</f>
        <v/>
      </c>
      <c r="G151" s="118">
        <f>IFERROR(INDEX('التوظيف'!$G$3:$G$502,145),"")</f>
        <v/>
      </c>
      <c r="H151" s="43">
        <f>IFERROR(INDEX('التوظيف'!$H$3:$H$502,145),"")</f>
        <v/>
      </c>
      <c r="I151" s="118">
        <f>IFERROR(INDEX('التوظيف'!$I$3:$I$502,145),"")</f>
        <v/>
      </c>
      <c r="J151" s="43">
        <f>IFERROR(INDEX('التوظيف'!$J$3:$J$502,145),"")</f>
        <v/>
      </c>
      <c r="K151" s="43">
        <f>IFERROR(INDEX('التوظيف'!$K$3:$K$502,145),"")</f>
        <v/>
      </c>
      <c r="L151" s="118">
        <f>IFERROR(INDEX('التوظيف'!$L$3:$L$502,145),"")</f>
        <v/>
      </c>
    </row>
    <row r="152">
      <c r="A152" s="50">
        <f>IFERROR(INDEX('التوظيف'!$A$3:$A$502,146),"")</f>
        <v/>
      </c>
      <c r="B152" s="50">
        <f>IFERROR(INDEX('التوظيف'!$B$3:$B$502,146),"")</f>
        <v/>
      </c>
      <c r="C152" s="50">
        <f>IFERROR(INDEX('التوظيف'!$C$3:$C$502,146),"")</f>
        <v/>
      </c>
      <c r="D152" s="50">
        <f>IFERROR(INDEX('التوظيف'!$D$3:$D$502,146),"")</f>
        <v/>
      </c>
      <c r="E152" s="50">
        <f>IFERROR(INDEX('التوظيف'!$E$3:$E$502,146),"")</f>
        <v/>
      </c>
      <c r="F152" s="51">
        <f>IFERROR(INDEX('التوظيف'!$F$3:$F$502,146),"")</f>
        <v/>
      </c>
      <c r="G152" s="119">
        <f>IFERROR(INDEX('التوظيف'!$G$3:$G$502,146),"")</f>
        <v/>
      </c>
      <c r="H152" s="50">
        <f>IFERROR(INDEX('التوظيف'!$H$3:$H$502,146),"")</f>
        <v/>
      </c>
      <c r="I152" s="119">
        <f>IFERROR(INDEX('التوظيف'!$I$3:$I$502,146),"")</f>
        <v/>
      </c>
      <c r="J152" s="50">
        <f>IFERROR(INDEX('التوظيف'!$J$3:$J$502,146),"")</f>
        <v/>
      </c>
      <c r="K152" s="50">
        <f>IFERROR(INDEX('التوظيف'!$K$3:$K$502,146),"")</f>
        <v/>
      </c>
      <c r="L152" s="119">
        <f>IFERROR(INDEX('التوظيف'!$L$3:$L$502,146),"")</f>
        <v/>
      </c>
    </row>
    <row r="153">
      <c r="A153" s="43">
        <f>IFERROR(INDEX('التوظيف'!$A$3:$A$502,147),"")</f>
        <v/>
      </c>
      <c r="B153" s="43">
        <f>IFERROR(INDEX('التوظيف'!$B$3:$B$502,147),"")</f>
        <v/>
      </c>
      <c r="C153" s="43">
        <f>IFERROR(INDEX('التوظيف'!$C$3:$C$502,147),"")</f>
        <v/>
      </c>
      <c r="D153" s="43">
        <f>IFERROR(INDEX('التوظيف'!$D$3:$D$502,147),"")</f>
        <v/>
      </c>
      <c r="E153" s="43">
        <f>IFERROR(INDEX('التوظيف'!$E$3:$E$502,147),"")</f>
        <v/>
      </c>
      <c r="F153" s="44">
        <f>IFERROR(INDEX('التوظيف'!$F$3:$F$502,147),"")</f>
        <v/>
      </c>
      <c r="G153" s="118">
        <f>IFERROR(INDEX('التوظيف'!$G$3:$G$502,147),"")</f>
        <v/>
      </c>
      <c r="H153" s="43">
        <f>IFERROR(INDEX('التوظيف'!$H$3:$H$502,147),"")</f>
        <v/>
      </c>
      <c r="I153" s="118">
        <f>IFERROR(INDEX('التوظيف'!$I$3:$I$502,147),"")</f>
        <v/>
      </c>
      <c r="J153" s="43">
        <f>IFERROR(INDEX('التوظيف'!$J$3:$J$502,147),"")</f>
        <v/>
      </c>
      <c r="K153" s="43">
        <f>IFERROR(INDEX('التوظيف'!$K$3:$K$502,147),"")</f>
        <v/>
      </c>
      <c r="L153" s="118">
        <f>IFERROR(INDEX('التوظيف'!$L$3:$L$502,147),"")</f>
        <v/>
      </c>
    </row>
    <row r="154">
      <c r="A154" s="50">
        <f>IFERROR(INDEX('التوظيف'!$A$3:$A$502,148),"")</f>
        <v/>
      </c>
      <c r="B154" s="50">
        <f>IFERROR(INDEX('التوظيف'!$B$3:$B$502,148),"")</f>
        <v/>
      </c>
      <c r="C154" s="50">
        <f>IFERROR(INDEX('التوظيف'!$C$3:$C$502,148),"")</f>
        <v/>
      </c>
      <c r="D154" s="50">
        <f>IFERROR(INDEX('التوظيف'!$D$3:$D$502,148),"")</f>
        <v/>
      </c>
      <c r="E154" s="50">
        <f>IFERROR(INDEX('التوظيف'!$E$3:$E$502,148),"")</f>
        <v/>
      </c>
      <c r="F154" s="51">
        <f>IFERROR(INDEX('التوظيف'!$F$3:$F$502,148),"")</f>
        <v/>
      </c>
      <c r="G154" s="119">
        <f>IFERROR(INDEX('التوظيف'!$G$3:$G$502,148),"")</f>
        <v/>
      </c>
      <c r="H154" s="50">
        <f>IFERROR(INDEX('التوظيف'!$H$3:$H$502,148),"")</f>
        <v/>
      </c>
      <c r="I154" s="119">
        <f>IFERROR(INDEX('التوظيف'!$I$3:$I$502,148),"")</f>
        <v/>
      </c>
      <c r="J154" s="50">
        <f>IFERROR(INDEX('التوظيف'!$J$3:$J$502,148),"")</f>
        <v/>
      </c>
      <c r="K154" s="50">
        <f>IFERROR(INDEX('التوظيف'!$K$3:$K$502,148),"")</f>
        <v/>
      </c>
      <c r="L154" s="119">
        <f>IFERROR(INDEX('التوظيف'!$L$3:$L$502,148),"")</f>
        <v/>
      </c>
    </row>
    <row r="155">
      <c r="A155" s="43">
        <f>IFERROR(INDEX('التوظيف'!$A$3:$A$502,149),"")</f>
        <v/>
      </c>
      <c r="B155" s="43">
        <f>IFERROR(INDEX('التوظيف'!$B$3:$B$502,149),"")</f>
        <v/>
      </c>
      <c r="C155" s="43">
        <f>IFERROR(INDEX('التوظيف'!$C$3:$C$502,149),"")</f>
        <v/>
      </c>
      <c r="D155" s="43">
        <f>IFERROR(INDEX('التوظيف'!$D$3:$D$502,149),"")</f>
        <v/>
      </c>
      <c r="E155" s="43">
        <f>IFERROR(INDEX('التوظيف'!$E$3:$E$502,149),"")</f>
        <v/>
      </c>
      <c r="F155" s="44">
        <f>IFERROR(INDEX('التوظيف'!$F$3:$F$502,149),"")</f>
        <v/>
      </c>
      <c r="G155" s="118">
        <f>IFERROR(INDEX('التوظيف'!$G$3:$G$502,149),"")</f>
        <v/>
      </c>
      <c r="H155" s="43">
        <f>IFERROR(INDEX('التوظيف'!$H$3:$H$502,149),"")</f>
        <v/>
      </c>
      <c r="I155" s="118">
        <f>IFERROR(INDEX('التوظيف'!$I$3:$I$502,149),"")</f>
        <v/>
      </c>
      <c r="J155" s="43">
        <f>IFERROR(INDEX('التوظيف'!$J$3:$J$502,149),"")</f>
        <v/>
      </c>
      <c r="K155" s="43">
        <f>IFERROR(INDEX('التوظيف'!$K$3:$K$502,149),"")</f>
        <v/>
      </c>
      <c r="L155" s="118">
        <f>IFERROR(INDEX('التوظيف'!$L$3:$L$502,149),"")</f>
        <v/>
      </c>
    </row>
    <row r="156">
      <c r="A156" s="50">
        <f>IFERROR(INDEX('التوظيف'!$A$3:$A$502,150),"")</f>
        <v/>
      </c>
      <c r="B156" s="50">
        <f>IFERROR(INDEX('التوظيف'!$B$3:$B$502,150),"")</f>
        <v/>
      </c>
      <c r="C156" s="50">
        <f>IFERROR(INDEX('التوظيف'!$C$3:$C$502,150),"")</f>
        <v/>
      </c>
      <c r="D156" s="50">
        <f>IFERROR(INDEX('التوظيف'!$D$3:$D$502,150),"")</f>
        <v/>
      </c>
      <c r="E156" s="50">
        <f>IFERROR(INDEX('التوظيف'!$E$3:$E$502,150),"")</f>
        <v/>
      </c>
      <c r="F156" s="51">
        <f>IFERROR(INDEX('التوظيف'!$F$3:$F$502,150),"")</f>
        <v/>
      </c>
      <c r="G156" s="119">
        <f>IFERROR(INDEX('التوظيف'!$G$3:$G$502,150),"")</f>
        <v/>
      </c>
      <c r="H156" s="50">
        <f>IFERROR(INDEX('التوظيف'!$H$3:$H$502,150),"")</f>
        <v/>
      </c>
      <c r="I156" s="119">
        <f>IFERROR(INDEX('التوظيف'!$I$3:$I$502,150),"")</f>
        <v/>
      </c>
      <c r="J156" s="50">
        <f>IFERROR(INDEX('التوظيف'!$J$3:$J$502,150),"")</f>
        <v/>
      </c>
      <c r="K156" s="50">
        <f>IFERROR(INDEX('التوظيف'!$K$3:$K$502,150),"")</f>
        <v/>
      </c>
      <c r="L156" s="119">
        <f>IFERROR(INDEX('التوظيف'!$L$3:$L$502,150),"")</f>
        <v/>
      </c>
    </row>
    <row r="157">
      <c r="A157" s="43">
        <f>IFERROR(INDEX('التوظيف'!$A$3:$A$502,151),"")</f>
        <v/>
      </c>
      <c r="B157" s="43">
        <f>IFERROR(INDEX('التوظيف'!$B$3:$B$502,151),"")</f>
        <v/>
      </c>
      <c r="C157" s="43">
        <f>IFERROR(INDEX('التوظيف'!$C$3:$C$502,151),"")</f>
        <v/>
      </c>
      <c r="D157" s="43">
        <f>IFERROR(INDEX('التوظيف'!$D$3:$D$502,151),"")</f>
        <v/>
      </c>
      <c r="E157" s="43">
        <f>IFERROR(INDEX('التوظيف'!$E$3:$E$502,151),"")</f>
        <v/>
      </c>
      <c r="F157" s="44">
        <f>IFERROR(INDEX('التوظيف'!$F$3:$F$502,151),"")</f>
        <v/>
      </c>
      <c r="G157" s="118">
        <f>IFERROR(INDEX('التوظيف'!$G$3:$G$502,151),"")</f>
        <v/>
      </c>
      <c r="H157" s="43">
        <f>IFERROR(INDEX('التوظيف'!$H$3:$H$502,151),"")</f>
        <v/>
      </c>
      <c r="I157" s="118">
        <f>IFERROR(INDEX('التوظيف'!$I$3:$I$502,151),"")</f>
        <v/>
      </c>
      <c r="J157" s="43">
        <f>IFERROR(INDEX('التوظيف'!$J$3:$J$502,151),"")</f>
        <v/>
      </c>
      <c r="K157" s="43">
        <f>IFERROR(INDEX('التوظيف'!$K$3:$K$502,151),"")</f>
        <v/>
      </c>
      <c r="L157" s="118">
        <f>IFERROR(INDEX('التوظيف'!$L$3:$L$502,151),"")</f>
        <v/>
      </c>
    </row>
    <row r="158">
      <c r="A158" s="50">
        <f>IFERROR(INDEX('التوظيف'!$A$3:$A$502,152),"")</f>
        <v/>
      </c>
      <c r="B158" s="50">
        <f>IFERROR(INDEX('التوظيف'!$B$3:$B$502,152),"")</f>
        <v/>
      </c>
      <c r="C158" s="50">
        <f>IFERROR(INDEX('التوظيف'!$C$3:$C$502,152),"")</f>
        <v/>
      </c>
      <c r="D158" s="50">
        <f>IFERROR(INDEX('التوظيف'!$D$3:$D$502,152),"")</f>
        <v/>
      </c>
      <c r="E158" s="50">
        <f>IFERROR(INDEX('التوظيف'!$E$3:$E$502,152),"")</f>
        <v/>
      </c>
      <c r="F158" s="51">
        <f>IFERROR(INDEX('التوظيف'!$F$3:$F$502,152),"")</f>
        <v/>
      </c>
      <c r="G158" s="119">
        <f>IFERROR(INDEX('التوظيف'!$G$3:$G$502,152),"")</f>
        <v/>
      </c>
      <c r="H158" s="50">
        <f>IFERROR(INDEX('التوظيف'!$H$3:$H$502,152),"")</f>
        <v/>
      </c>
      <c r="I158" s="119">
        <f>IFERROR(INDEX('التوظيف'!$I$3:$I$502,152),"")</f>
        <v/>
      </c>
      <c r="J158" s="50">
        <f>IFERROR(INDEX('التوظيف'!$J$3:$J$502,152),"")</f>
        <v/>
      </c>
      <c r="K158" s="50">
        <f>IFERROR(INDEX('التوظيف'!$K$3:$K$502,152),"")</f>
        <v/>
      </c>
      <c r="L158" s="119">
        <f>IFERROR(INDEX('التوظيف'!$L$3:$L$502,152),"")</f>
        <v/>
      </c>
    </row>
    <row r="159">
      <c r="A159" s="43">
        <f>IFERROR(INDEX('التوظيف'!$A$3:$A$502,153),"")</f>
        <v/>
      </c>
      <c r="B159" s="43">
        <f>IFERROR(INDEX('التوظيف'!$B$3:$B$502,153),"")</f>
        <v/>
      </c>
      <c r="C159" s="43">
        <f>IFERROR(INDEX('التوظيف'!$C$3:$C$502,153),"")</f>
        <v/>
      </c>
      <c r="D159" s="43">
        <f>IFERROR(INDEX('التوظيف'!$D$3:$D$502,153),"")</f>
        <v/>
      </c>
      <c r="E159" s="43">
        <f>IFERROR(INDEX('التوظيف'!$E$3:$E$502,153),"")</f>
        <v/>
      </c>
      <c r="F159" s="44">
        <f>IFERROR(INDEX('التوظيف'!$F$3:$F$502,153),"")</f>
        <v/>
      </c>
      <c r="G159" s="118">
        <f>IFERROR(INDEX('التوظيف'!$G$3:$G$502,153),"")</f>
        <v/>
      </c>
      <c r="H159" s="43">
        <f>IFERROR(INDEX('التوظيف'!$H$3:$H$502,153),"")</f>
        <v/>
      </c>
      <c r="I159" s="118">
        <f>IFERROR(INDEX('التوظيف'!$I$3:$I$502,153),"")</f>
        <v/>
      </c>
      <c r="J159" s="43">
        <f>IFERROR(INDEX('التوظيف'!$J$3:$J$502,153),"")</f>
        <v/>
      </c>
      <c r="K159" s="43">
        <f>IFERROR(INDEX('التوظيف'!$K$3:$K$502,153),"")</f>
        <v/>
      </c>
      <c r="L159" s="118">
        <f>IFERROR(INDEX('التوظيف'!$L$3:$L$502,153),"")</f>
        <v/>
      </c>
    </row>
    <row r="160">
      <c r="A160" s="50">
        <f>IFERROR(INDEX('التوظيف'!$A$3:$A$502,154),"")</f>
        <v/>
      </c>
      <c r="B160" s="50">
        <f>IFERROR(INDEX('التوظيف'!$B$3:$B$502,154),"")</f>
        <v/>
      </c>
      <c r="C160" s="50">
        <f>IFERROR(INDEX('التوظيف'!$C$3:$C$502,154),"")</f>
        <v/>
      </c>
      <c r="D160" s="50">
        <f>IFERROR(INDEX('التوظيف'!$D$3:$D$502,154),"")</f>
        <v/>
      </c>
      <c r="E160" s="50">
        <f>IFERROR(INDEX('التوظيف'!$E$3:$E$502,154),"")</f>
        <v/>
      </c>
      <c r="F160" s="51">
        <f>IFERROR(INDEX('التوظيف'!$F$3:$F$502,154),"")</f>
        <v/>
      </c>
      <c r="G160" s="119">
        <f>IFERROR(INDEX('التوظيف'!$G$3:$G$502,154),"")</f>
        <v/>
      </c>
      <c r="H160" s="50">
        <f>IFERROR(INDEX('التوظيف'!$H$3:$H$502,154),"")</f>
        <v/>
      </c>
      <c r="I160" s="119">
        <f>IFERROR(INDEX('التوظيف'!$I$3:$I$502,154),"")</f>
        <v/>
      </c>
      <c r="J160" s="50">
        <f>IFERROR(INDEX('التوظيف'!$J$3:$J$502,154),"")</f>
        <v/>
      </c>
      <c r="K160" s="50">
        <f>IFERROR(INDEX('التوظيف'!$K$3:$K$502,154),"")</f>
        <v/>
      </c>
      <c r="L160" s="119">
        <f>IFERROR(INDEX('التوظيف'!$L$3:$L$502,154),"")</f>
        <v/>
      </c>
    </row>
    <row r="161">
      <c r="A161" s="43">
        <f>IFERROR(INDEX('التوظيف'!$A$3:$A$502,155),"")</f>
        <v/>
      </c>
      <c r="B161" s="43">
        <f>IFERROR(INDEX('التوظيف'!$B$3:$B$502,155),"")</f>
        <v/>
      </c>
      <c r="C161" s="43">
        <f>IFERROR(INDEX('التوظيف'!$C$3:$C$502,155),"")</f>
        <v/>
      </c>
      <c r="D161" s="43">
        <f>IFERROR(INDEX('التوظيف'!$D$3:$D$502,155),"")</f>
        <v/>
      </c>
      <c r="E161" s="43">
        <f>IFERROR(INDEX('التوظيف'!$E$3:$E$502,155),"")</f>
        <v/>
      </c>
      <c r="F161" s="44">
        <f>IFERROR(INDEX('التوظيف'!$F$3:$F$502,155),"")</f>
        <v/>
      </c>
      <c r="G161" s="118">
        <f>IFERROR(INDEX('التوظيف'!$G$3:$G$502,155),"")</f>
        <v/>
      </c>
      <c r="H161" s="43">
        <f>IFERROR(INDEX('التوظيف'!$H$3:$H$502,155),"")</f>
        <v/>
      </c>
      <c r="I161" s="118">
        <f>IFERROR(INDEX('التوظيف'!$I$3:$I$502,155),"")</f>
        <v/>
      </c>
      <c r="J161" s="43">
        <f>IFERROR(INDEX('التوظيف'!$J$3:$J$502,155),"")</f>
        <v/>
      </c>
      <c r="K161" s="43">
        <f>IFERROR(INDEX('التوظيف'!$K$3:$K$502,155),"")</f>
        <v/>
      </c>
      <c r="L161" s="118">
        <f>IFERROR(INDEX('التوظيف'!$L$3:$L$502,155),"")</f>
        <v/>
      </c>
    </row>
    <row r="162">
      <c r="A162" s="50">
        <f>IFERROR(INDEX('التوظيف'!$A$3:$A$502,156),"")</f>
        <v/>
      </c>
      <c r="B162" s="50">
        <f>IFERROR(INDEX('التوظيف'!$B$3:$B$502,156),"")</f>
        <v/>
      </c>
      <c r="C162" s="50">
        <f>IFERROR(INDEX('التوظيف'!$C$3:$C$502,156),"")</f>
        <v/>
      </c>
      <c r="D162" s="50">
        <f>IFERROR(INDEX('التوظيف'!$D$3:$D$502,156),"")</f>
        <v/>
      </c>
      <c r="E162" s="50">
        <f>IFERROR(INDEX('التوظيف'!$E$3:$E$502,156),"")</f>
        <v/>
      </c>
      <c r="F162" s="51">
        <f>IFERROR(INDEX('التوظيف'!$F$3:$F$502,156),"")</f>
        <v/>
      </c>
      <c r="G162" s="119">
        <f>IFERROR(INDEX('التوظيف'!$G$3:$G$502,156),"")</f>
        <v/>
      </c>
      <c r="H162" s="50">
        <f>IFERROR(INDEX('التوظيف'!$H$3:$H$502,156),"")</f>
        <v/>
      </c>
      <c r="I162" s="119">
        <f>IFERROR(INDEX('التوظيف'!$I$3:$I$502,156),"")</f>
        <v/>
      </c>
      <c r="J162" s="50">
        <f>IFERROR(INDEX('التوظيف'!$J$3:$J$502,156),"")</f>
        <v/>
      </c>
      <c r="K162" s="50">
        <f>IFERROR(INDEX('التوظيف'!$K$3:$K$502,156),"")</f>
        <v/>
      </c>
      <c r="L162" s="119">
        <f>IFERROR(INDEX('التوظيف'!$L$3:$L$502,156),"")</f>
        <v/>
      </c>
    </row>
    <row r="163">
      <c r="A163" s="43">
        <f>IFERROR(INDEX('التوظيف'!$A$3:$A$502,157),"")</f>
        <v/>
      </c>
      <c r="B163" s="43">
        <f>IFERROR(INDEX('التوظيف'!$B$3:$B$502,157),"")</f>
        <v/>
      </c>
      <c r="C163" s="43">
        <f>IFERROR(INDEX('التوظيف'!$C$3:$C$502,157),"")</f>
        <v/>
      </c>
      <c r="D163" s="43">
        <f>IFERROR(INDEX('التوظيف'!$D$3:$D$502,157),"")</f>
        <v/>
      </c>
      <c r="E163" s="43">
        <f>IFERROR(INDEX('التوظيف'!$E$3:$E$502,157),"")</f>
        <v/>
      </c>
      <c r="F163" s="44">
        <f>IFERROR(INDEX('التوظيف'!$F$3:$F$502,157),"")</f>
        <v/>
      </c>
      <c r="G163" s="118">
        <f>IFERROR(INDEX('التوظيف'!$G$3:$G$502,157),"")</f>
        <v/>
      </c>
      <c r="H163" s="43">
        <f>IFERROR(INDEX('التوظيف'!$H$3:$H$502,157),"")</f>
        <v/>
      </c>
      <c r="I163" s="118">
        <f>IFERROR(INDEX('التوظيف'!$I$3:$I$502,157),"")</f>
        <v/>
      </c>
      <c r="J163" s="43">
        <f>IFERROR(INDEX('التوظيف'!$J$3:$J$502,157),"")</f>
        <v/>
      </c>
      <c r="K163" s="43">
        <f>IFERROR(INDEX('التوظيف'!$K$3:$K$502,157),"")</f>
        <v/>
      </c>
      <c r="L163" s="118">
        <f>IFERROR(INDEX('التوظيف'!$L$3:$L$502,157),"")</f>
        <v/>
      </c>
    </row>
    <row r="164">
      <c r="A164" s="50">
        <f>IFERROR(INDEX('التوظيف'!$A$3:$A$502,158),"")</f>
        <v/>
      </c>
      <c r="B164" s="50">
        <f>IFERROR(INDEX('التوظيف'!$B$3:$B$502,158),"")</f>
        <v/>
      </c>
      <c r="C164" s="50">
        <f>IFERROR(INDEX('التوظيف'!$C$3:$C$502,158),"")</f>
        <v/>
      </c>
      <c r="D164" s="50">
        <f>IFERROR(INDEX('التوظيف'!$D$3:$D$502,158),"")</f>
        <v/>
      </c>
      <c r="E164" s="50">
        <f>IFERROR(INDEX('التوظيف'!$E$3:$E$502,158),"")</f>
        <v/>
      </c>
      <c r="F164" s="51">
        <f>IFERROR(INDEX('التوظيف'!$F$3:$F$502,158),"")</f>
        <v/>
      </c>
      <c r="G164" s="119">
        <f>IFERROR(INDEX('التوظيف'!$G$3:$G$502,158),"")</f>
        <v/>
      </c>
      <c r="H164" s="50">
        <f>IFERROR(INDEX('التوظيف'!$H$3:$H$502,158),"")</f>
        <v/>
      </c>
      <c r="I164" s="119">
        <f>IFERROR(INDEX('التوظيف'!$I$3:$I$502,158),"")</f>
        <v/>
      </c>
      <c r="J164" s="50">
        <f>IFERROR(INDEX('التوظيف'!$J$3:$J$502,158),"")</f>
        <v/>
      </c>
      <c r="K164" s="50">
        <f>IFERROR(INDEX('التوظيف'!$K$3:$K$502,158),"")</f>
        <v/>
      </c>
      <c r="L164" s="119">
        <f>IFERROR(INDEX('التوظيف'!$L$3:$L$502,158),"")</f>
        <v/>
      </c>
    </row>
    <row r="165">
      <c r="A165" s="43">
        <f>IFERROR(INDEX('التوظيف'!$A$3:$A$502,159),"")</f>
        <v/>
      </c>
      <c r="B165" s="43">
        <f>IFERROR(INDEX('التوظيف'!$B$3:$B$502,159),"")</f>
        <v/>
      </c>
      <c r="C165" s="43">
        <f>IFERROR(INDEX('التوظيف'!$C$3:$C$502,159),"")</f>
        <v/>
      </c>
      <c r="D165" s="43">
        <f>IFERROR(INDEX('التوظيف'!$D$3:$D$502,159),"")</f>
        <v/>
      </c>
      <c r="E165" s="43">
        <f>IFERROR(INDEX('التوظيف'!$E$3:$E$502,159),"")</f>
        <v/>
      </c>
      <c r="F165" s="44">
        <f>IFERROR(INDEX('التوظيف'!$F$3:$F$502,159),"")</f>
        <v/>
      </c>
      <c r="G165" s="118">
        <f>IFERROR(INDEX('التوظيف'!$G$3:$G$502,159),"")</f>
        <v/>
      </c>
      <c r="H165" s="43">
        <f>IFERROR(INDEX('التوظيف'!$H$3:$H$502,159),"")</f>
        <v/>
      </c>
      <c r="I165" s="118">
        <f>IFERROR(INDEX('التوظيف'!$I$3:$I$502,159),"")</f>
        <v/>
      </c>
      <c r="J165" s="43">
        <f>IFERROR(INDEX('التوظيف'!$J$3:$J$502,159),"")</f>
        <v/>
      </c>
      <c r="K165" s="43">
        <f>IFERROR(INDEX('التوظيف'!$K$3:$K$502,159),"")</f>
        <v/>
      </c>
      <c r="L165" s="118">
        <f>IFERROR(INDEX('التوظيف'!$L$3:$L$502,159),"")</f>
        <v/>
      </c>
    </row>
    <row r="166">
      <c r="A166" s="50">
        <f>IFERROR(INDEX('التوظيف'!$A$3:$A$502,160),"")</f>
        <v/>
      </c>
      <c r="B166" s="50">
        <f>IFERROR(INDEX('التوظيف'!$B$3:$B$502,160),"")</f>
        <v/>
      </c>
      <c r="C166" s="50">
        <f>IFERROR(INDEX('التوظيف'!$C$3:$C$502,160),"")</f>
        <v/>
      </c>
      <c r="D166" s="50">
        <f>IFERROR(INDEX('التوظيف'!$D$3:$D$502,160),"")</f>
        <v/>
      </c>
      <c r="E166" s="50">
        <f>IFERROR(INDEX('التوظيف'!$E$3:$E$502,160),"")</f>
        <v/>
      </c>
      <c r="F166" s="51">
        <f>IFERROR(INDEX('التوظيف'!$F$3:$F$502,160),"")</f>
        <v/>
      </c>
      <c r="G166" s="119">
        <f>IFERROR(INDEX('التوظيف'!$G$3:$G$502,160),"")</f>
        <v/>
      </c>
      <c r="H166" s="50">
        <f>IFERROR(INDEX('التوظيف'!$H$3:$H$502,160),"")</f>
        <v/>
      </c>
      <c r="I166" s="119">
        <f>IFERROR(INDEX('التوظيف'!$I$3:$I$502,160),"")</f>
        <v/>
      </c>
      <c r="J166" s="50">
        <f>IFERROR(INDEX('التوظيف'!$J$3:$J$502,160),"")</f>
        <v/>
      </c>
      <c r="K166" s="50">
        <f>IFERROR(INDEX('التوظيف'!$K$3:$K$502,160),"")</f>
        <v/>
      </c>
      <c r="L166" s="119">
        <f>IFERROR(INDEX('التوظيف'!$L$3:$L$502,160),"")</f>
        <v/>
      </c>
    </row>
    <row r="167">
      <c r="A167" s="43">
        <f>IFERROR(INDEX('التوظيف'!$A$3:$A$502,161),"")</f>
        <v/>
      </c>
      <c r="B167" s="43">
        <f>IFERROR(INDEX('التوظيف'!$B$3:$B$502,161),"")</f>
        <v/>
      </c>
      <c r="C167" s="43">
        <f>IFERROR(INDEX('التوظيف'!$C$3:$C$502,161),"")</f>
        <v/>
      </c>
      <c r="D167" s="43">
        <f>IFERROR(INDEX('التوظيف'!$D$3:$D$502,161),"")</f>
        <v/>
      </c>
      <c r="E167" s="43">
        <f>IFERROR(INDEX('التوظيف'!$E$3:$E$502,161),"")</f>
        <v/>
      </c>
      <c r="F167" s="44">
        <f>IFERROR(INDEX('التوظيف'!$F$3:$F$502,161),"")</f>
        <v/>
      </c>
      <c r="G167" s="118">
        <f>IFERROR(INDEX('التوظيف'!$G$3:$G$502,161),"")</f>
        <v/>
      </c>
      <c r="H167" s="43">
        <f>IFERROR(INDEX('التوظيف'!$H$3:$H$502,161),"")</f>
        <v/>
      </c>
      <c r="I167" s="118">
        <f>IFERROR(INDEX('التوظيف'!$I$3:$I$502,161),"")</f>
        <v/>
      </c>
      <c r="J167" s="43">
        <f>IFERROR(INDEX('التوظيف'!$J$3:$J$502,161),"")</f>
        <v/>
      </c>
      <c r="K167" s="43">
        <f>IFERROR(INDEX('التوظيف'!$K$3:$K$502,161),"")</f>
        <v/>
      </c>
      <c r="L167" s="118">
        <f>IFERROR(INDEX('التوظيف'!$L$3:$L$502,161),"")</f>
        <v/>
      </c>
    </row>
    <row r="168">
      <c r="A168" s="50">
        <f>IFERROR(INDEX('التوظيف'!$A$3:$A$502,162),"")</f>
        <v/>
      </c>
      <c r="B168" s="50">
        <f>IFERROR(INDEX('التوظيف'!$B$3:$B$502,162),"")</f>
        <v/>
      </c>
      <c r="C168" s="50">
        <f>IFERROR(INDEX('التوظيف'!$C$3:$C$502,162),"")</f>
        <v/>
      </c>
      <c r="D168" s="50">
        <f>IFERROR(INDEX('التوظيف'!$D$3:$D$502,162),"")</f>
        <v/>
      </c>
      <c r="E168" s="50">
        <f>IFERROR(INDEX('التوظيف'!$E$3:$E$502,162),"")</f>
        <v/>
      </c>
      <c r="F168" s="51">
        <f>IFERROR(INDEX('التوظيف'!$F$3:$F$502,162),"")</f>
        <v/>
      </c>
      <c r="G168" s="119">
        <f>IFERROR(INDEX('التوظيف'!$G$3:$G$502,162),"")</f>
        <v/>
      </c>
      <c r="H168" s="50">
        <f>IFERROR(INDEX('التوظيف'!$H$3:$H$502,162),"")</f>
        <v/>
      </c>
      <c r="I168" s="119">
        <f>IFERROR(INDEX('التوظيف'!$I$3:$I$502,162),"")</f>
        <v/>
      </c>
      <c r="J168" s="50">
        <f>IFERROR(INDEX('التوظيف'!$J$3:$J$502,162),"")</f>
        <v/>
      </c>
      <c r="K168" s="50">
        <f>IFERROR(INDEX('التوظيف'!$K$3:$K$502,162),"")</f>
        <v/>
      </c>
      <c r="L168" s="119">
        <f>IFERROR(INDEX('التوظيف'!$L$3:$L$502,162),"")</f>
        <v/>
      </c>
    </row>
    <row r="169">
      <c r="A169" s="43">
        <f>IFERROR(INDEX('التوظيف'!$A$3:$A$502,163),"")</f>
        <v/>
      </c>
      <c r="B169" s="43">
        <f>IFERROR(INDEX('التوظيف'!$B$3:$B$502,163),"")</f>
        <v/>
      </c>
      <c r="C169" s="43">
        <f>IFERROR(INDEX('التوظيف'!$C$3:$C$502,163),"")</f>
        <v/>
      </c>
      <c r="D169" s="43">
        <f>IFERROR(INDEX('التوظيف'!$D$3:$D$502,163),"")</f>
        <v/>
      </c>
      <c r="E169" s="43">
        <f>IFERROR(INDEX('التوظيف'!$E$3:$E$502,163),"")</f>
        <v/>
      </c>
      <c r="F169" s="44">
        <f>IFERROR(INDEX('التوظيف'!$F$3:$F$502,163),"")</f>
        <v/>
      </c>
      <c r="G169" s="118">
        <f>IFERROR(INDEX('التوظيف'!$G$3:$G$502,163),"")</f>
        <v/>
      </c>
      <c r="H169" s="43">
        <f>IFERROR(INDEX('التوظيف'!$H$3:$H$502,163),"")</f>
        <v/>
      </c>
      <c r="I169" s="118">
        <f>IFERROR(INDEX('التوظيف'!$I$3:$I$502,163),"")</f>
        <v/>
      </c>
      <c r="J169" s="43">
        <f>IFERROR(INDEX('التوظيف'!$J$3:$J$502,163),"")</f>
        <v/>
      </c>
      <c r="K169" s="43">
        <f>IFERROR(INDEX('التوظيف'!$K$3:$K$502,163),"")</f>
        <v/>
      </c>
      <c r="L169" s="118">
        <f>IFERROR(INDEX('التوظيف'!$L$3:$L$502,163),"")</f>
        <v/>
      </c>
    </row>
    <row r="170">
      <c r="A170" s="50">
        <f>IFERROR(INDEX('التوظيف'!$A$3:$A$502,164),"")</f>
        <v/>
      </c>
      <c r="B170" s="50">
        <f>IFERROR(INDEX('التوظيف'!$B$3:$B$502,164),"")</f>
        <v/>
      </c>
      <c r="C170" s="50">
        <f>IFERROR(INDEX('التوظيف'!$C$3:$C$502,164),"")</f>
        <v/>
      </c>
      <c r="D170" s="50">
        <f>IFERROR(INDEX('التوظيف'!$D$3:$D$502,164),"")</f>
        <v/>
      </c>
      <c r="E170" s="50">
        <f>IFERROR(INDEX('التوظيف'!$E$3:$E$502,164),"")</f>
        <v/>
      </c>
      <c r="F170" s="51">
        <f>IFERROR(INDEX('التوظيف'!$F$3:$F$502,164),"")</f>
        <v/>
      </c>
      <c r="G170" s="119">
        <f>IFERROR(INDEX('التوظيف'!$G$3:$G$502,164),"")</f>
        <v/>
      </c>
      <c r="H170" s="50">
        <f>IFERROR(INDEX('التوظيف'!$H$3:$H$502,164),"")</f>
        <v/>
      </c>
      <c r="I170" s="119">
        <f>IFERROR(INDEX('التوظيف'!$I$3:$I$502,164),"")</f>
        <v/>
      </c>
      <c r="J170" s="50">
        <f>IFERROR(INDEX('التوظيف'!$J$3:$J$502,164),"")</f>
        <v/>
      </c>
      <c r="K170" s="50">
        <f>IFERROR(INDEX('التوظيف'!$K$3:$K$502,164),"")</f>
        <v/>
      </c>
      <c r="L170" s="119">
        <f>IFERROR(INDEX('التوظيف'!$L$3:$L$502,164),"")</f>
        <v/>
      </c>
    </row>
    <row r="171">
      <c r="A171" s="43">
        <f>IFERROR(INDEX('التوظيف'!$A$3:$A$502,165),"")</f>
        <v/>
      </c>
      <c r="B171" s="43">
        <f>IFERROR(INDEX('التوظيف'!$B$3:$B$502,165),"")</f>
        <v/>
      </c>
      <c r="C171" s="43">
        <f>IFERROR(INDEX('التوظيف'!$C$3:$C$502,165),"")</f>
        <v/>
      </c>
      <c r="D171" s="43">
        <f>IFERROR(INDEX('التوظيف'!$D$3:$D$502,165),"")</f>
        <v/>
      </c>
      <c r="E171" s="43">
        <f>IFERROR(INDEX('التوظيف'!$E$3:$E$502,165),"")</f>
        <v/>
      </c>
      <c r="F171" s="44">
        <f>IFERROR(INDEX('التوظيف'!$F$3:$F$502,165),"")</f>
        <v/>
      </c>
      <c r="G171" s="118">
        <f>IFERROR(INDEX('التوظيف'!$G$3:$G$502,165),"")</f>
        <v/>
      </c>
      <c r="H171" s="43">
        <f>IFERROR(INDEX('التوظيف'!$H$3:$H$502,165),"")</f>
        <v/>
      </c>
      <c r="I171" s="118">
        <f>IFERROR(INDEX('التوظيف'!$I$3:$I$502,165),"")</f>
        <v/>
      </c>
      <c r="J171" s="43">
        <f>IFERROR(INDEX('التوظيف'!$J$3:$J$502,165),"")</f>
        <v/>
      </c>
      <c r="K171" s="43">
        <f>IFERROR(INDEX('التوظيف'!$K$3:$K$502,165),"")</f>
        <v/>
      </c>
      <c r="L171" s="118">
        <f>IFERROR(INDEX('التوظيف'!$L$3:$L$502,165),"")</f>
        <v/>
      </c>
    </row>
    <row r="172">
      <c r="A172" s="50">
        <f>IFERROR(INDEX('التوظيف'!$A$3:$A$502,166),"")</f>
        <v/>
      </c>
      <c r="B172" s="50">
        <f>IFERROR(INDEX('التوظيف'!$B$3:$B$502,166),"")</f>
        <v/>
      </c>
      <c r="C172" s="50">
        <f>IFERROR(INDEX('التوظيف'!$C$3:$C$502,166),"")</f>
        <v/>
      </c>
      <c r="D172" s="50">
        <f>IFERROR(INDEX('التوظيف'!$D$3:$D$502,166),"")</f>
        <v/>
      </c>
      <c r="E172" s="50">
        <f>IFERROR(INDEX('التوظيف'!$E$3:$E$502,166),"")</f>
        <v/>
      </c>
      <c r="F172" s="51">
        <f>IFERROR(INDEX('التوظيف'!$F$3:$F$502,166),"")</f>
        <v/>
      </c>
      <c r="G172" s="119">
        <f>IFERROR(INDEX('التوظيف'!$G$3:$G$502,166),"")</f>
        <v/>
      </c>
      <c r="H172" s="50">
        <f>IFERROR(INDEX('التوظيف'!$H$3:$H$502,166),"")</f>
        <v/>
      </c>
      <c r="I172" s="119">
        <f>IFERROR(INDEX('التوظيف'!$I$3:$I$502,166),"")</f>
        <v/>
      </c>
      <c r="J172" s="50">
        <f>IFERROR(INDEX('التوظيف'!$J$3:$J$502,166),"")</f>
        <v/>
      </c>
      <c r="K172" s="50">
        <f>IFERROR(INDEX('التوظيف'!$K$3:$K$502,166),"")</f>
        <v/>
      </c>
      <c r="L172" s="119">
        <f>IFERROR(INDEX('التوظيف'!$L$3:$L$502,166),"")</f>
        <v/>
      </c>
    </row>
    <row r="173">
      <c r="A173" s="43">
        <f>IFERROR(INDEX('التوظيف'!$A$3:$A$502,167),"")</f>
        <v/>
      </c>
      <c r="B173" s="43">
        <f>IFERROR(INDEX('التوظيف'!$B$3:$B$502,167),"")</f>
        <v/>
      </c>
      <c r="C173" s="43">
        <f>IFERROR(INDEX('التوظيف'!$C$3:$C$502,167),"")</f>
        <v/>
      </c>
      <c r="D173" s="43">
        <f>IFERROR(INDEX('التوظيف'!$D$3:$D$502,167),"")</f>
        <v/>
      </c>
      <c r="E173" s="43">
        <f>IFERROR(INDEX('التوظيف'!$E$3:$E$502,167),"")</f>
        <v/>
      </c>
      <c r="F173" s="44">
        <f>IFERROR(INDEX('التوظيف'!$F$3:$F$502,167),"")</f>
        <v/>
      </c>
      <c r="G173" s="118">
        <f>IFERROR(INDEX('التوظيف'!$G$3:$G$502,167),"")</f>
        <v/>
      </c>
      <c r="H173" s="43">
        <f>IFERROR(INDEX('التوظيف'!$H$3:$H$502,167),"")</f>
        <v/>
      </c>
      <c r="I173" s="118">
        <f>IFERROR(INDEX('التوظيف'!$I$3:$I$502,167),"")</f>
        <v/>
      </c>
      <c r="J173" s="43">
        <f>IFERROR(INDEX('التوظيف'!$J$3:$J$502,167),"")</f>
        <v/>
      </c>
      <c r="K173" s="43">
        <f>IFERROR(INDEX('التوظيف'!$K$3:$K$502,167),"")</f>
        <v/>
      </c>
      <c r="L173" s="118">
        <f>IFERROR(INDEX('التوظيف'!$L$3:$L$502,167),"")</f>
        <v/>
      </c>
    </row>
    <row r="174">
      <c r="A174" s="50">
        <f>IFERROR(INDEX('التوظيف'!$A$3:$A$502,168),"")</f>
        <v/>
      </c>
      <c r="B174" s="50">
        <f>IFERROR(INDEX('التوظيف'!$B$3:$B$502,168),"")</f>
        <v/>
      </c>
      <c r="C174" s="50">
        <f>IFERROR(INDEX('التوظيف'!$C$3:$C$502,168),"")</f>
        <v/>
      </c>
      <c r="D174" s="50">
        <f>IFERROR(INDEX('التوظيف'!$D$3:$D$502,168),"")</f>
        <v/>
      </c>
      <c r="E174" s="50">
        <f>IFERROR(INDEX('التوظيف'!$E$3:$E$502,168),"")</f>
        <v/>
      </c>
      <c r="F174" s="51">
        <f>IFERROR(INDEX('التوظيف'!$F$3:$F$502,168),"")</f>
        <v/>
      </c>
      <c r="G174" s="119">
        <f>IFERROR(INDEX('التوظيف'!$G$3:$G$502,168),"")</f>
        <v/>
      </c>
      <c r="H174" s="50">
        <f>IFERROR(INDEX('التوظيف'!$H$3:$H$502,168),"")</f>
        <v/>
      </c>
      <c r="I174" s="119">
        <f>IFERROR(INDEX('التوظيف'!$I$3:$I$502,168),"")</f>
        <v/>
      </c>
      <c r="J174" s="50">
        <f>IFERROR(INDEX('التوظيف'!$J$3:$J$502,168),"")</f>
        <v/>
      </c>
      <c r="K174" s="50">
        <f>IFERROR(INDEX('التوظيف'!$K$3:$K$502,168),"")</f>
        <v/>
      </c>
      <c r="L174" s="119">
        <f>IFERROR(INDEX('التوظيف'!$L$3:$L$502,168),"")</f>
        <v/>
      </c>
    </row>
    <row r="175">
      <c r="A175" s="43">
        <f>IFERROR(INDEX('التوظيف'!$A$3:$A$502,169),"")</f>
        <v/>
      </c>
      <c r="B175" s="43">
        <f>IFERROR(INDEX('التوظيف'!$B$3:$B$502,169),"")</f>
        <v/>
      </c>
      <c r="C175" s="43">
        <f>IFERROR(INDEX('التوظيف'!$C$3:$C$502,169),"")</f>
        <v/>
      </c>
      <c r="D175" s="43">
        <f>IFERROR(INDEX('التوظيف'!$D$3:$D$502,169),"")</f>
        <v/>
      </c>
      <c r="E175" s="43">
        <f>IFERROR(INDEX('التوظيف'!$E$3:$E$502,169),"")</f>
        <v/>
      </c>
      <c r="F175" s="44">
        <f>IFERROR(INDEX('التوظيف'!$F$3:$F$502,169),"")</f>
        <v/>
      </c>
      <c r="G175" s="118">
        <f>IFERROR(INDEX('التوظيف'!$G$3:$G$502,169),"")</f>
        <v/>
      </c>
      <c r="H175" s="43">
        <f>IFERROR(INDEX('التوظيف'!$H$3:$H$502,169),"")</f>
        <v/>
      </c>
      <c r="I175" s="118">
        <f>IFERROR(INDEX('التوظيف'!$I$3:$I$502,169),"")</f>
        <v/>
      </c>
      <c r="J175" s="43">
        <f>IFERROR(INDEX('التوظيف'!$J$3:$J$502,169),"")</f>
        <v/>
      </c>
      <c r="K175" s="43">
        <f>IFERROR(INDEX('التوظيف'!$K$3:$K$502,169),"")</f>
        <v/>
      </c>
      <c r="L175" s="118">
        <f>IFERROR(INDEX('التوظيف'!$L$3:$L$502,169),"")</f>
        <v/>
      </c>
    </row>
    <row r="176">
      <c r="A176" s="50">
        <f>IFERROR(INDEX('التوظيف'!$A$3:$A$502,170),"")</f>
        <v/>
      </c>
      <c r="B176" s="50">
        <f>IFERROR(INDEX('التوظيف'!$B$3:$B$502,170),"")</f>
        <v/>
      </c>
      <c r="C176" s="50">
        <f>IFERROR(INDEX('التوظيف'!$C$3:$C$502,170),"")</f>
        <v/>
      </c>
      <c r="D176" s="50">
        <f>IFERROR(INDEX('التوظيف'!$D$3:$D$502,170),"")</f>
        <v/>
      </c>
      <c r="E176" s="50">
        <f>IFERROR(INDEX('التوظيف'!$E$3:$E$502,170),"")</f>
        <v/>
      </c>
      <c r="F176" s="51">
        <f>IFERROR(INDEX('التوظيف'!$F$3:$F$502,170),"")</f>
        <v/>
      </c>
      <c r="G176" s="119">
        <f>IFERROR(INDEX('التوظيف'!$G$3:$G$502,170),"")</f>
        <v/>
      </c>
      <c r="H176" s="50">
        <f>IFERROR(INDEX('التوظيف'!$H$3:$H$502,170),"")</f>
        <v/>
      </c>
      <c r="I176" s="119">
        <f>IFERROR(INDEX('التوظيف'!$I$3:$I$502,170),"")</f>
        <v/>
      </c>
      <c r="J176" s="50">
        <f>IFERROR(INDEX('التوظيف'!$J$3:$J$502,170),"")</f>
        <v/>
      </c>
      <c r="K176" s="50">
        <f>IFERROR(INDEX('التوظيف'!$K$3:$K$502,170),"")</f>
        <v/>
      </c>
      <c r="L176" s="119">
        <f>IFERROR(INDEX('التوظيف'!$L$3:$L$502,170),"")</f>
        <v/>
      </c>
    </row>
    <row r="177">
      <c r="A177" s="43">
        <f>IFERROR(INDEX('التوظيف'!$A$3:$A$502,171),"")</f>
        <v/>
      </c>
      <c r="B177" s="43">
        <f>IFERROR(INDEX('التوظيف'!$B$3:$B$502,171),"")</f>
        <v/>
      </c>
      <c r="C177" s="43">
        <f>IFERROR(INDEX('التوظيف'!$C$3:$C$502,171),"")</f>
        <v/>
      </c>
      <c r="D177" s="43">
        <f>IFERROR(INDEX('التوظيف'!$D$3:$D$502,171),"")</f>
        <v/>
      </c>
      <c r="E177" s="43">
        <f>IFERROR(INDEX('التوظيف'!$E$3:$E$502,171),"")</f>
        <v/>
      </c>
      <c r="F177" s="44">
        <f>IFERROR(INDEX('التوظيف'!$F$3:$F$502,171),"")</f>
        <v/>
      </c>
      <c r="G177" s="118">
        <f>IFERROR(INDEX('التوظيف'!$G$3:$G$502,171),"")</f>
        <v/>
      </c>
      <c r="H177" s="43">
        <f>IFERROR(INDEX('التوظيف'!$H$3:$H$502,171),"")</f>
        <v/>
      </c>
      <c r="I177" s="118">
        <f>IFERROR(INDEX('التوظيف'!$I$3:$I$502,171),"")</f>
        <v/>
      </c>
      <c r="J177" s="43">
        <f>IFERROR(INDEX('التوظيف'!$J$3:$J$502,171),"")</f>
        <v/>
      </c>
      <c r="K177" s="43">
        <f>IFERROR(INDEX('التوظيف'!$K$3:$K$502,171),"")</f>
        <v/>
      </c>
      <c r="L177" s="118">
        <f>IFERROR(INDEX('التوظيف'!$L$3:$L$502,171),"")</f>
        <v/>
      </c>
    </row>
    <row r="178">
      <c r="A178" s="50">
        <f>IFERROR(INDEX('التوظيف'!$A$3:$A$502,172),"")</f>
        <v/>
      </c>
      <c r="B178" s="50">
        <f>IFERROR(INDEX('التوظيف'!$B$3:$B$502,172),"")</f>
        <v/>
      </c>
      <c r="C178" s="50">
        <f>IFERROR(INDEX('التوظيف'!$C$3:$C$502,172),"")</f>
        <v/>
      </c>
      <c r="D178" s="50">
        <f>IFERROR(INDEX('التوظيف'!$D$3:$D$502,172),"")</f>
        <v/>
      </c>
      <c r="E178" s="50">
        <f>IFERROR(INDEX('التوظيف'!$E$3:$E$502,172),"")</f>
        <v/>
      </c>
      <c r="F178" s="51">
        <f>IFERROR(INDEX('التوظيف'!$F$3:$F$502,172),"")</f>
        <v/>
      </c>
      <c r="G178" s="119">
        <f>IFERROR(INDEX('التوظيف'!$G$3:$G$502,172),"")</f>
        <v/>
      </c>
      <c r="H178" s="50">
        <f>IFERROR(INDEX('التوظيف'!$H$3:$H$502,172),"")</f>
        <v/>
      </c>
      <c r="I178" s="119">
        <f>IFERROR(INDEX('التوظيف'!$I$3:$I$502,172),"")</f>
        <v/>
      </c>
      <c r="J178" s="50">
        <f>IFERROR(INDEX('التوظيف'!$J$3:$J$502,172),"")</f>
        <v/>
      </c>
      <c r="K178" s="50">
        <f>IFERROR(INDEX('التوظيف'!$K$3:$K$502,172),"")</f>
        <v/>
      </c>
      <c r="L178" s="119">
        <f>IFERROR(INDEX('التوظيف'!$L$3:$L$502,172),"")</f>
        <v/>
      </c>
    </row>
    <row r="179">
      <c r="A179" s="43">
        <f>IFERROR(INDEX('التوظيف'!$A$3:$A$502,173),"")</f>
        <v/>
      </c>
      <c r="B179" s="43">
        <f>IFERROR(INDEX('التوظيف'!$B$3:$B$502,173),"")</f>
        <v/>
      </c>
      <c r="C179" s="43">
        <f>IFERROR(INDEX('التوظيف'!$C$3:$C$502,173),"")</f>
        <v/>
      </c>
      <c r="D179" s="43">
        <f>IFERROR(INDEX('التوظيف'!$D$3:$D$502,173),"")</f>
        <v/>
      </c>
      <c r="E179" s="43">
        <f>IFERROR(INDEX('التوظيف'!$E$3:$E$502,173),"")</f>
        <v/>
      </c>
      <c r="F179" s="44">
        <f>IFERROR(INDEX('التوظيف'!$F$3:$F$502,173),"")</f>
        <v/>
      </c>
      <c r="G179" s="118">
        <f>IFERROR(INDEX('التوظيف'!$G$3:$G$502,173),"")</f>
        <v/>
      </c>
      <c r="H179" s="43">
        <f>IFERROR(INDEX('التوظيف'!$H$3:$H$502,173),"")</f>
        <v/>
      </c>
      <c r="I179" s="118">
        <f>IFERROR(INDEX('التوظيف'!$I$3:$I$502,173),"")</f>
        <v/>
      </c>
      <c r="J179" s="43">
        <f>IFERROR(INDEX('التوظيف'!$J$3:$J$502,173),"")</f>
        <v/>
      </c>
      <c r="K179" s="43">
        <f>IFERROR(INDEX('التوظيف'!$K$3:$K$502,173),"")</f>
        <v/>
      </c>
      <c r="L179" s="118">
        <f>IFERROR(INDEX('التوظيف'!$L$3:$L$502,173),"")</f>
        <v/>
      </c>
    </row>
    <row r="180">
      <c r="A180" s="50">
        <f>IFERROR(INDEX('التوظيف'!$A$3:$A$502,174),"")</f>
        <v/>
      </c>
      <c r="B180" s="50">
        <f>IFERROR(INDEX('التوظيف'!$B$3:$B$502,174),"")</f>
        <v/>
      </c>
      <c r="C180" s="50">
        <f>IFERROR(INDEX('التوظيف'!$C$3:$C$502,174),"")</f>
        <v/>
      </c>
      <c r="D180" s="50">
        <f>IFERROR(INDEX('التوظيف'!$D$3:$D$502,174),"")</f>
        <v/>
      </c>
      <c r="E180" s="50">
        <f>IFERROR(INDEX('التوظيف'!$E$3:$E$502,174),"")</f>
        <v/>
      </c>
      <c r="F180" s="51">
        <f>IFERROR(INDEX('التوظيف'!$F$3:$F$502,174),"")</f>
        <v/>
      </c>
      <c r="G180" s="119">
        <f>IFERROR(INDEX('التوظيف'!$G$3:$G$502,174),"")</f>
        <v/>
      </c>
      <c r="H180" s="50">
        <f>IFERROR(INDEX('التوظيف'!$H$3:$H$502,174),"")</f>
        <v/>
      </c>
      <c r="I180" s="119">
        <f>IFERROR(INDEX('التوظيف'!$I$3:$I$502,174),"")</f>
        <v/>
      </c>
      <c r="J180" s="50">
        <f>IFERROR(INDEX('التوظيف'!$J$3:$J$502,174),"")</f>
        <v/>
      </c>
      <c r="K180" s="50">
        <f>IFERROR(INDEX('التوظيف'!$K$3:$K$502,174),"")</f>
        <v/>
      </c>
      <c r="L180" s="119">
        <f>IFERROR(INDEX('التوظيف'!$L$3:$L$502,174),"")</f>
        <v/>
      </c>
    </row>
    <row r="181">
      <c r="A181" s="43">
        <f>IFERROR(INDEX('التوظيف'!$A$3:$A$502,175),"")</f>
        <v/>
      </c>
      <c r="B181" s="43">
        <f>IFERROR(INDEX('التوظيف'!$B$3:$B$502,175),"")</f>
        <v/>
      </c>
      <c r="C181" s="43">
        <f>IFERROR(INDEX('التوظيف'!$C$3:$C$502,175),"")</f>
        <v/>
      </c>
      <c r="D181" s="43">
        <f>IFERROR(INDEX('التوظيف'!$D$3:$D$502,175),"")</f>
        <v/>
      </c>
      <c r="E181" s="43">
        <f>IFERROR(INDEX('التوظيف'!$E$3:$E$502,175),"")</f>
        <v/>
      </c>
      <c r="F181" s="44">
        <f>IFERROR(INDEX('التوظيف'!$F$3:$F$502,175),"")</f>
        <v/>
      </c>
      <c r="G181" s="118">
        <f>IFERROR(INDEX('التوظيف'!$G$3:$G$502,175),"")</f>
        <v/>
      </c>
      <c r="H181" s="43">
        <f>IFERROR(INDEX('التوظيف'!$H$3:$H$502,175),"")</f>
        <v/>
      </c>
      <c r="I181" s="118">
        <f>IFERROR(INDEX('التوظيف'!$I$3:$I$502,175),"")</f>
        <v/>
      </c>
      <c r="J181" s="43">
        <f>IFERROR(INDEX('التوظيف'!$J$3:$J$502,175),"")</f>
        <v/>
      </c>
      <c r="K181" s="43">
        <f>IFERROR(INDEX('التوظيف'!$K$3:$K$502,175),"")</f>
        <v/>
      </c>
      <c r="L181" s="118">
        <f>IFERROR(INDEX('التوظيف'!$L$3:$L$502,175),"")</f>
        <v/>
      </c>
    </row>
    <row r="182">
      <c r="A182" s="50">
        <f>IFERROR(INDEX('التوظيف'!$A$3:$A$502,176),"")</f>
        <v/>
      </c>
      <c r="B182" s="50">
        <f>IFERROR(INDEX('التوظيف'!$B$3:$B$502,176),"")</f>
        <v/>
      </c>
      <c r="C182" s="50">
        <f>IFERROR(INDEX('التوظيف'!$C$3:$C$502,176),"")</f>
        <v/>
      </c>
      <c r="D182" s="50">
        <f>IFERROR(INDEX('التوظيف'!$D$3:$D$502,176),"")</f>
        <v/>
      </c>
      <c r="E182" s="50">
        <f>IFERROR(INDEX('التوظيف'!$E$3:$E$502,176),"")</f>
        <v/>
      </c>
      <c r="F182" s="51">
        <f>IFERROR(INDEX('التوظيف'!$F$3:$F$502,176),"")</f>
        <v/>
      </c>
      <c r="G182" s="119">
        <f>IFERROR(INDEX('التوظيف'!$G$3:$G$502,176),"")</f>
        <v/>
      </c>
      <c r="H182" s="50">
        <f>IFERROR(INDEX('التوظيف'!$H$3:$H$502,176),"")</f>
        <v/>
      </c>
      <c r="I182" s="119">
        <f>IFERROR(INDEX('التوظيف'!$I$3:$I$502,176),"")</f>
        <v/>
      </c>
      <c r="J182" s="50">
        <f>IFERROR(INDEX('التوظيف'!$J$3:$J$502,176),"")</f>
        <v/>
      </c>
      <c r="K182" s="50">
        <f>IFERROR(INDEX('التوظيف'!$K$3:$K$502,176),"")</f>
        <v/>
      </c>
      <c r="L182" s="119">
        <f>IFERROR(INDEX('التوظيف'!$L$3:$L$502,176),"")</f>
        <v/>
      </c>
    </row>
    <row r="183">
      <c r="A183" s="43">
        <f>IFERROR(INDEX('التوظيف'!$A$3:$A$502,177),"")</f>
        <v/>
      </c>
      <c r="B183" s="43">
        <f>IFERROR(INDEX('التوظيف'!$B$3:$B$502,177),"")</f>
        <v/>
      </c>
      <c r="C183" s="43">
        <f>IFERROR(INDEX('التوظيف'!$C$3:$C$502,177),"")</f>
        <v/>
      </c>
      <c r="D183" s="43">
        <f>IFERROR(INDEX('التوظيف'!$D$3:$D$502,177),"")</f>
        <v/>
      </c>
      <c r="E183" s="43">
        <f>IFERROR(INDEX('التوظيف'!$E$3:$E$502,177),"")</f>
        <v/>
      </c>
      <c r="F183" s="44">
        <f>IFERROR(INDEX('التوظيف'!$F$3:$F$502,177),"")</f>
        <v/>
      </c>
      <c r="G183" s="118">
        <f>IFERROR(INDEX('التوظيف'!$G$3:$G$502,177),"")</f>
        <v/>
      </c>
      <c r="H183" s="43">
        <f>IFERROR(INDEX('التوظيف'!$H$3:$H$502,177),"")</f>
        <v/>
      </c>
      <c r="I183" s="118">
        <f>IFERROR(INDEX('التوظيف'!$I$3:$I$502,177),"")</f>
        <v/>
      </c>
      <c r="J183" s="43">
        <f>IFERROR(INDEX('التوظيف'!$J$3:$J$502,177),"")</f>
        <v/>
      </c>
      <c r="K183" s="43">
        <f>IFERROR(INDEX('التوظيف'!$K$3:$K$502,177),"")</f>
        <v/>
      </c>
      <c r="L183" s="118">
        <f>IFERROR(INDEX('التوظيف'!$L$3:$L$502,177),"")</f>
        <v/>
      </c>
    </row>
    <row r="184">
      <c r="A184" s="50">
        <f>IFERROR(INDEX('التوظيف'!$A$3:$A$502,178),"")</f>
        <v/>
      </c>
      <c r="B184" s="50">
        <f>IFERROR(INDEX('التوظيف'!$B$3:$B$502,178),"")</f>
        <v/>
      </c>
      <c r="C184" s="50">
        <f>IFERROR(INDEX('التوظيف'!$C$3:$C$502,178),"")</f>
        <v/>
      </c>
      <c r="D184" s="50">
        <f>IFERROR(INDEX('التوظيف'!$D$3:$D$502,178),"")</f>
        <v/>
      </c>
      <c r="E184" s="50">
        <f>IFERROR(INDEX('التوظيف'!$E$3:$E$502,178),"")</f>
        <v/>
      </c>
      <c r="F184" s="51">
        <f>IFERROR(INDEX('التوظيف'!$F$3:$F$502,178),"")</f>
        <v/>
      </c>
      <c r="G184" s="119">
        <f>IFERROR(INDEX('التوظيف'!$G$3:$G$502,178),"")</f>
        <v/>
      </c>
      <c r="H184" s="50">
        <f>IFERROR(INDEX('التوظيف'!$H$3:$H$502,178),"")</f>
        <v/>
      </c>
      <c r="I184" s="119">
        <f>IFERROR(INDEX('التوظيف'!$I$3:$I$502,178),"")</f>
        <v/>
      </c>
      <c r="J184" s="50">
        <f>IFERROR(INDEX('التوظيف'!$J$3:$J$502,178),"")</f>
        <v/>
      </c>
      <c r="K184" s="50">
        <f>IFERROR(INDEX('التوظيف'!$K$3:$K$502,178),"")</f>
        <v/>
      </c>
      <c r="L184" s="119">
        <f>IFERROR(INDEX('التوظيف'!$L$3:$L$502,178),"")</f>
        <v/>
      </c>
    </row>
    <row r="185">
      <c r="A185" s="43">
        <f>IFERROR(INDEX('التوظيف'!$A$3:$A$502,179),"")</f>
        <v/>
      </c>
      <c r="B185" s="43">
        <f>IFERROR(INDEX('التوظيف'!$B$3:$B$502,179),"")</f>
        <v/>
      </c>
      <c r="C185" s="43">
        <f>IFERROR(INDEX('التوظيف'!$C$3:$C$502,179),"")</f>
        <v/>
      </c>
      <c r="D185" s="43">
        <f>IFERROR(INDEX('التوظيف'!$D$3:$D$502,179),"")</f>
        <v/>
      </c>
      <c r="E185" s="43">
        <f>IFERROR(INDEX('التوظيف'!$E$3:$E$502,179),"")</f>
        <v/>
      </c>
      <c r="F185" s="44">
        <f>IFERROR(INDEX('التوظيف'!$F$3:$F$502,179),"")</f>
        <v/>
      </c>
      <c r="G185" s="118">
        <f>IFERROR(INDEX('التوظيف'!$G$3:$G$502,179),"")</f>
        <v/>
      </c>
      <c r="H185" s="43">
        <f>IFERROR(INDEX('التوظيف'!$H$3:$H$502,179),"")</f>
        <v/>
      </c>
      <c r="I185" s="118">
        <f>IFERROR(INDEX('التوظيف'!$I$3:$I$502,179),"")</f>
        <v/>
      </c>
      <c r="J185" s="43">
        <f>IFERROR(INDEX('التوظيف'!$J$3:$J$502,179),"")</f>
        <v/>
      </c>
      <c r="K185" s="43">
        <f>IFERROR(INDEX('التوظيف'!$K$3:$K$502,179),"")</f>
        <v/>
      </c>
      <c r="L185" s="118">
        <f>IFERROR(INDEX('التوظيف'!$L$3:$L$502,179),"")</f>
        <v/>
      </c>
    </row>
    <row r="186">
      <c r="A186" s="50">
        <f>IFERROR(INDEX('التوظيف'!$A$3:$A$502,180),"")</f>
        <v/>
      </c>
      <c r="B186" s="50">
        <f>IFERROR(INDEX('التوظيف'!$B$3:$B$502,180),"")</f>
        <v/>
      </c>
      <c r="C186" s="50">
        <f>IFERROR(INDEX('التوظيف'!$C$3:$C$502,180),"")</f>
        <v/>
      </c>
      <c r="D186" s="50">
        <f>IFERROR(INDEX('التوظيف'!$D$3:$D$502,180),"")</f>
        <v/>
      </c>
      <c r="E186" s="50">
        <f>IFERROR(INDEX('التوظيف'!$E$3:$E$502,180),"")</f>
        <v/>
      </c>
      <c r="F186" s="51">
        <f>IFERROR(INDEX('التوظيف'!$F$3:$F$502,180),"")</f>
        <v/>
      </c>
      <c r="G186" s="119">
        <f>IFERROR(INDEX('التوظيف'!$G$3:$G$502,180),"")</f>
        <v/>
      </c>
      <c r="H186" s="50">
        <f>IFERROR(INDEX('التوظيف'!$H$3:$H$502,180),"")</f>
        <v/>
      </c>
      <c r="I186" s="119">
        <f>IFERROR(INDEX('التوظيف'!$I$3:$I$502,180),"")</f>
        <v/>
      </c>
      <c r="J186" s="50">
        <f>IFERROR(INDEX('التوظيف'!$J$3:$J$502,180),"")</f>
        <v/>
      </c>
      <c r="K186" s="50">
        <f>IFERROR(INDEX('التوظيف'!$K$3:$K$502,180),"")</f>
        <v/>
      </c>
      <c r="L186" s="119">
        <f>IFERROR(INDEX('التوظيف'!$L$3:$L$502,180),"")</f>
        <v/>
      </c>
    </row>
    <row r="187">
      <c r="A187" s="43">
        <f>IFERROR(INDEX('التوظيف'!$A$3:$A$502,181),"")</f>
        <v/>
      </c>
      <c r="B187" s="43">
        <f>IFERROR(INDEX('التوظيف'!$B$3:$B$502,181),"")</f>
        <v/>
      </c>
      <c r="C187" s="43">
        <f>IFERROR(INDEX('التوظيف'!$C$3:$C$502,181),"")</f>
        <v/>
      </c>
      <c r="D187" s="43">
        <f>IFERROR(INDEX('التوظيف'!$D$3:$D$502,181),"")</f>
        <v/>
      </c>
      <c r="E187" s="43">
        <f>IFERROR(INDEX('التوظيف'!$E$3:$E$502,181),"")</f>
        <v/>
      </c>
      <c r="F187" s="44">
        <f>IFERROR(INDEX('التوظيف'!$F$3:$F$502,181),"")</f>
        <v/>
      </c>
      <c r="G187" s="118">
        <f>IFERROR(INDEX('التوظيف'!$G$3:$G$502,181),"")</f>
        <v/>
      </c>
      <c r="H187" s="43">
        <f>IFERROR(INDEX('التوظيف'!$H$3:$H$502,181),"")</f>
        <v/>
      </c>
      <c r="I187" s="118">
        <f>IFERROR(INDEX('التوظيف'!$I$3:$I$502,181),"")</f>
        <v/>
      </c>
      <c r="J187" s="43">
        <f>IFERROR(INDEX('التوظيف'!$J$3:$J$502,181),"")</f>
        <v/>
      </c>
      <c r="K187" s="43">
        <f>IFERROR(INDEX('التوظيف'!$K$3:$K$502,181),"")</f>
        <v/>
      </c>
      <c r="L187" s="118">
        <f>IFERROR(INDEX('التوظيف'!$L$3:$L$502,181),"")</f>
        <v/>
      </c>
    </row>
    <row r="188">
      <c r="A188" s="50">
        <f>IFERROR(INDEX('التوظيف'!$A$3:$A$502,182),"")</f>
        <v/>
      </c>
      <c r="B188" s="50">
        <f>IFERROR(INDEX('التوظيف'!$B$3:$B$502,182),"")</f>
        <v/>
      </c>
      <c r="C188" s="50">
        <f>IFERROR(INDEX('التوظيف'!$C$3:$C$502,182),"")</f>
        <v/>
      </c>
      <c r="D188" s="50">
        <f>IFERROR(INDEX('التوظيف'!$D$3:$D$502,182),"")</f>
        <v/>
      </c>
      <c r="E188" s="50">
        <f>IFERROR(INDEX('التوظيف'!$E$3:$E$502,182),"")</f>
        <v/>
      </c>
      <c r="F188" s="51">
        <f>IFERROR(INDEX('التوظيف'!$F$3:$F$502,182),"")</f>
        <v/>
      </c>
      <c r="G188" s="119">
        <f>IFERROR(INDEX('التوظيف'!$G$3:$G$502,182),"")</f>
        <v/>
      </c>
      <c r="H188" s="50">
        <f>IFERROR(INDEX('التوظيف'!$H$3:$H$502,182),"")</f>
        <v/>
      </c>
      <c r="I188" s="119">
        <f>IFERROR(INDEX('التوظيف'!$I$3:$I$502,182),"")</f>
        <v/>
      </c>
      <c r="J188" s="50">
        <f>IFERROR(INDEX('التوظيف'!$J$3:$J$502,182),"")</f>
        <v/>
      </c>
      <c r="K188" s="50">
        <f>IFERROR(INDEX('التوظيف'!$K$3:$K$502,182),"")</f>
        <v/>
      </c>
      <c r="L188" s="119">
        <f>IFERROR(INDEX('التوظيف'!$L$3:$L$502,182),"")</f>
        <v/>
      </c>
    </row>
    <row r="189">
      <c r="A189" s="43">
        <f>IFERROR(INDEX('التوظيف'!$A$3:$A$502,183),"")</f>
        <v/>
      </c>
      <c r="B189" s="43">
        <f>IFERROR(INDEX('التوظيف'!$B$3:$B$502,183),"")</f>
        <v/>
      </c>
      <c r="C189" s="43">
        <f>IFERROR(INDEX('التوظيف'!$C$3:$C$502,183),"")</f>
        <v/>
      </c>
      <c r="D189" s="43">
        <f>IFERROR(INDEX('التوظيف'!$D$3:$D$502,183),"")</f>
        <v/>
      </c>
      <c r="E189" s="43">
        <f>IFERROR(INDEX('التوظيف'!$E$3:$E$502,183),"")</f>
        <v/>
      </c>
      <c r="F189" s="44">
        <f>IFERROR(INDEX('التوظيف'!$F$3:$F$502,183),"")</f>
        <v/>
      </c>
      <c r="G189" s="118">
        <f>IFERROR(INDEX('التوظيف'!$G$3:$G$502,183),"")</f>
        <v/>
      </c>
      <c r="H189" s="43">
        <f>IFERROR(INDEX('التوظيف'!$H$3:$H$502,183),"")</f>
        <v/>
      </c>
      <c r="I189" s="118">
        <f>IFERROR(INDEX('التوظيف'!$I$3:$I$502,183),"")</f>
        <v/>
      </c>
      <c r="J189" s="43">
        <f>IFERROR(INDEX('التوظيف'!$J$3:$J$502,183),"")</f>
        <v/>
      </c>
      <c r="K189" s="43">
        <f>IFERROR(INDEX('التوظيف'!$K$3:$K$502,183),"")</f>
        <v/>
      </c>
      <c r="L189" s="118">
        <f>IFERROR(INDEX('التوظيف'!$L$3:$L$502,183),"")</f>
        <v/>
      </c>
    </row>
    <row r="190">
      <c r="A190" s="50">
        <f>IFERROR(INDEX('التوظيف'!$A$3:$A$502,184),"")</f>
        <v/>
      </c>
      <c r="B190" s="50">
        <f>IFERROR(INDEX('التوظيف'!$B$3:$B$502,184),"")</f>
        <v/>
      </c>
      <c r="C190" s="50">
        <f>IFERROR(INDEX('التوظيف'!$C$3:$C$502,184),"")</f>
        <v/>
      </c>
      <c r="D190" s="50">
        <f>IFERROR(INDEX('التوظيف'!$D$3:$D$502,184),"")</f>
        <v/>
      </c>
      <c r="E190" s="50">
        <f>IFERROR(INDEX('التوظيف'!$E$3:$E$502,184),"")</f>
        <v/>
      </c>
      <c r="F190" s="51">
        <f>IFERROR(INDEX('التوظيف'!$F$3:$F$502,184),"")</f>
        <v/>
      </c>
      <c r="G190" s="119">
        <f>IFERROR(INDEX('التوظيف'!$G$3:$G$502,184),"")</f>
        <v/>
      </c>
      <c r="H190" s="50">
        <f>IFERROR(INDEX('التوظيف'!$H$3:$H$502,184),"")</f>
        <v/>
      </c>
      <c r="I190" s="119">
        <f>IFERROR(INDEX('التوظيف'!$I$3:$I$502,184),"")</f>
        <v/>
      </c>
      <c r="J190" s="50">
        <f>IFERROR(INDEX('التوظيف'!$J$3:$J$502,184),"")</f>
        <v/>
      </c>
      <c r="K190" s="50">
        <f>IFERROR(INDEX('التوظيف'!$K$3:$K$502,184),"")</f>
        <v/>
      </c>
      <c r="L190" s="119">
        <f>IFERROR(INDEX('التوظيف'!$L$3:$L$502,184),"")</f>
        <v/>
      </c>
    </row>
    <row r="191">
      <c r="A191" s="43">
        <f>IFERROR(INDEX('التوظيف'!$A$3:$A$502,185),"")</f>
        <v/>
      </c>
      <c r="B191" s="43">
        <f>IFERROR(INDEX('التوظيف'!$B$3:$B$502,185),"")</f>
        <v/>
      </c>
      <c r="C191" s="43">
        <f>IFERROR(INDEX('التوظيف'!$C$3:$C$502,185),"")</f>
        <v/>
      </c>
      <c r="D191" s="43">
        <f>IFERROR(INDEX('التوظيف'!$D$3:$D$502,185),"")</f>
        <v/>
      </c>
      <c r="E191" s="43">
        <f>IFERROR(INDEX('التوظيف'!$E$3:$E$502,185),"")</f>
        <v/>
      </c>
      <c r="F191" s="44">
        <f>IFERROR(INDEX('التوظيف'!$F$3:$F$502,185),"")</f>
        <v/>
      </c>
      <c r="G191" s="118">
        <f>IFERROR(INDEX('التوظيف'!$G$3:$G$502,185),"")</f>
        <v/>
      </c>
      <c r="H191" s="43">
        <f>IFERROR(INDEX('التوظيف'!$H$3:$H$502,185),"")</f>
        <v/>
      </c>
      <c r="I191" s="118">
        <f>IFERROR(INDEX('التوظيف'!$I$3:$I$502,185),"")</f>
        <v/>
      </c>
      <c r="J191" s="43">
        <f>IFERROR(INDEX('التوظيف'!$J$3:$J$502,185),"")</f>
        <v/>
      </c>
      <c r="K191" s="43">
        <f>IFERROR(INDEX('التوظيف'!$K$3:$K$502,185),"")</f>
        <v/>
      </c>
      <c r="L191" s="118">
        <f>IFERROR(INDEX('التوظيف'!$L$3:$L$502,185),"")</f>
        <v/>
      </c>
    </row>
    <row r="192">
      <c r="A192" s="50">
        <f>IFERROR(INDEX('التوظيف'!$A$3:$A$502,186),"")</f>
        <v/>
      </c>
      <c r="B192" s="50">
        <f>IFERROR(INDEX('التوظيف'!$B$3:$B$502,186),"")</f>
        <v/>
      </c>
      <c r="C192" s="50">
        <f>IFERROR(INDEX('التوظيف'!$C$3:$C$502,186),"")</f>
        <v/>
      </c>
      <c r="D192" s="50">
        <f>IFERROR(INDEX('التوظيف'!$D$3:$D$502,186),"")</f>
        <v/>
      </c>
      <c r="E192" s="50">
        <f>IFERROR(INDEX('التوظيف'!$E$3:$E$502,186),"")</f>
        <v/>
      </c>
      <c r="F192" s="51">
        <f>IFERROR(INDEX('التوظيف'!$F$3:$F$502,186),"")</f>
        <v/>
      </c>
      <c r="G192" s="119">
        <f>IFERROR(INDEX('التوظيف'!$G$3:$G$502,186),"")</f>
        <v/>
      </c>
      <c r="H192" s="50">
        <f>IFERROR(INDEX('التوظيف'!$H$3:$H$502,186),"")</f>
        <v/>
      </c>
      <c r="I192" s="119">
        <f>IFERROR(INDEX('التوظيف'!$I$3:$I$502,186),"")</f>
        <v/>
      </c>
      <c r="J192" s="50">
        <f>IFERROR(INDEX('التوظيف'!$J$3:$J$502,186),"")</f>
        <v/>
      </c>
      <c r="K192" s="50">
        <f>IFERROR(INDEX('التوظيف'!$K$3:$K$502,186),"")</f>
        <v/>
      </c>
      <c r="L192" s="119">
        <f>IFERROR(INDEX('التوظيف'!$L$3:$L$502,186),"")</f>
        <v/>
      </c>
    </row>
    <row r="193">
      <c r="A193" s="43">
        <f>IFERROR(INDEX('التوظيف'!$A$3:$A$502,187),"")</f>
        <v/>
      </c>
      <c r="B193" s="43">
        <f>IFERROR(INDEX('التوظيف'!$B$3:$B$502,187),"")</f>
        <v/>
      </c>
      <c r="C193" s="43">
        <f>IFERROR(INDEX('التوظيف'!$C$3:$C$502,187),"")</f>
        <v/>
      </c>
      <c r="D193" s="43">
        <f>IFERROR(INDEX('التوظيف'!$D$3:$D$502,187),"")</f>
        <v/>
      </c>
      <c r="E193" s="43">
        <f>IFERROR(INDEX('التوظيف'!$E$3:$E$502,187),"")</f>
        <v/>
      </c>
      <c r="F193" s="44">
        <f>IFERROR(INDEX('التوظيف'!$F$3:$F$502,187),"")</f>
        <v/>
      </c>
      <c r="G193" s="118">
        <f>IFERROR(INDEX('التوظيف'!$G$3:$G$502,187),"")</f>
        <v/>
      </c>
      <c r="H193" s="43">
        <f>IFERROR(INDEX('التوظيف'!$H$3:$H$502,187),"")</f>
        <v/>
      </c>
      <c r="I193" s="118">
        <f>IFERROR(INDEX('التوظيف'!$I$3:$I$502,187),"")</f>
        <v/>
      </c>
      <c r="J193" s="43">
        <f>IFERROR(INDEX('التوظيف'!$J$3:$J$502,187),"")</f>
        <v/>
      </c>
      <c r="K193" s="43">
        <f>IFERROR(INDEX('التوظيف'!$K$3:$K$502,187),"")</f>
        <v/>
      </c>
      <c r="L193" s="118">
        <f>IFERROR(INDEX('التوظيف'!$L$3:$L$502,187),"")</f>
        <v/>
      </c>
    </row>
    <row r="194">
      <c r="A194" s="50">
        <f>IFERROR(INDEX('التوظيف'!$A$3:$A$502,188),"")</f>
        <v/>
      </c>
      <c r="B194" s="50">
        <f>IFERROR(INDEX('التوظيف'!$B$3:$B$502,188),"")</f>
        <v/>
      </c>
      <c r="C194" s="50">
        <f>IFERROR(INDEX('التوظيف'!$C$3:$C$502,188),"")</f>
        <v/>
      </c>
      <c r="D194" s="50">
        <f>IFERROR(INDEX('التوظيف'!$D$3:$D$502,188),"")</f>
        <v/>
      </c>
      <c r="E194" s="50">
        <f>IFERROR(INDEX('التوظيف'!$E$3:$E$502,188),"")</f>
        <v/>
      </c>
      <c r="F194" s="51">
        <f>IFERROR(INDEX('التوظيف'!$F$3:$F$502,188),"")</f>
        <v/>
      </c>
      <c r="G194" s="119">
        <f>IFERROR(INDEX('التوظيف'!$G$3:$G$502,188),"")</f>
        <v/>
      </c>
      <c r="H194" s="50">
        <f>IFERROR(INDEX('التوظيف'!$H$3:$H$502,188),"")</f>
        <v/>
      </c>
      <c r="I194" s="119">
        <f>IFERROR(INDEX('التوظيف'!$I$3:$I$502,188),"")</f>
        <v/>
      </c>
      <c r="J194" s="50">
        <f>IFERROR(INDEX('التوظيف'!$J$3:$J$502,188),"")</f>
        <v/>
      </c>
      <c r="K194" s="50">
        <f>IFERROR(INDEX('التوظيف'!$K$3:$K$502,188),"")</f>
        <v/>
      </c>
      <c r="L194" s="119">
        <f>IFERROR(INDEX('التوظيف'!$L$3:$L$502,188),"")</f>
        <v/>
      </c>
    </row>
    <row r="195">
      <c r="A195" s="43">
        <f>IFERROR(INDEX('التوظيف'!$A$3:$A$502,189),"")</f>
        <v/>
      </c>
      <c r="B195" s="43">
        <f>IFERROR(INDEX('التوظيف'!$B$3:$B$502,189),"")</f>
        <v/>
      </c>
      <c r="C195" s="43">
        <f>IFERROR(INDEX('التوظيف'!$C$3:$C$502,189),"")</f>
        <v/>
      </c>
      <c r="D195" s="43">
        <f>IFERROR(INDEX('التوظيف'!$D$3:$D$502,189),"")</f>
        <v/>
      </c>
      <c r="E195" s="43">
        <f>IFERROR(INDEX('التوظيف'!$E$3:$E$502,189),"")</f>
        <v/>
      </c>
      <c r="F195" s="44">
        <f>IFERROR(INDEX('التوظيف'!$F$3:$F$502,189),"")</f>
        <v/>
      </c>
      <c r="G195" s="118">
        <f>IFERROR(INDEX('التوظيف'!$G$3:$G$502,189),"")</f>
        <v/>
      </c>
      <c r="H195" s="43">
        <f>IFERROR(INDEX('التوظيف'!$H$3:$H$502,189),"")</f>
        <v/>
      </c>
      <c r="I195" s="118">
        <f>IFERROR(INDEX('التوظيف'!$I$3:$I$502,189),"")</f>
        <v/>
      </c>
      <c r="J195" s="43">
        <f>IFERROR(INDEX('التوظيف'!$J$3:$J$502,189),"")</f>
        <v/>
      </c>
      <c r="K195" s="43">
        <f>IFERROR(INDEX('التوظيف'!$K$3:$K$502,189),"")</f>
        <v/>
      </c>
      <c r="L195" s="118">
        <f>IFERROR(INDEX('التوظيف'!$L$3:$L$502,189),"")</f>
        <v/>
      </c>
    </row>
    <row r="196">
      <c r="A196" s="50">
        <f>IFERROR(INDEX('التوظيف'!$A$3:$A$502,190),"")</f>
        <v/>
      </c>
      <c r="B196" s="50">
        <f>IFERROR(INDEX('التوظيف'!$B$3:$B$502,190),"")</f>
        <v/>
      </c>
      <c r="C196" s="50">
        <f>IFERROR(INDEX('التوظيف'!$C$3:$C$502,190),"")</f>
        <v/>
      </c>
      <c r="D196" s="50">
        <f>IFERROR(INDEX('التوظيف'!$D$3:$D$502,190),"")</f>
        <v/>
      </c>
      <c r="E196" s="50">
        <f>IFERROR(INDEX('التوظيف'!$E$3:$E$502,190),"")</f>
        <v/>
      </c>
      <c r="F196" s="51">
        <f>IFERROR(INDEX('التوظيف'!$F$3:$F$502,190),"")</f>
        <v/>
      </c>
      <c r="G196" s="119">
        <f>IFERROR(INDEX('التوظيف'!$G$3:$G$502,190),"")</f>
        <v/>
      </c>
      <c r="H196" s="50">
        <f>IFERROR(INDEX('التوظيف'!$H$3:$H$502,190),"")</f>
        <v/>
      </c>
      <c r="I196" s="119">
        <f>IFERROR(INDEX('التوظيف'!$I$3:$I$502,190),"")</f>
        <v/>
      </c>
      <c r="J196" s="50">
        <f>IFERROR(INDEX('التوظيف'!$J$3:$J$502,190),"")</f>
        <v/>
      </c>
      <c r="K196" s="50">
        <f>IFERROR(INDEX('التوظيف'!$K$3:$K$502,190),"")</f>
        <v/>
      </c>
      <c r="L196" s="119">
        <f>IFERROR(INDEX('التوظيف'!$L$3:$L$502,190),"")</f>
        <v/>
      </c>
    </row>
    <row r="197">
      <c r="A197" s="43">
        <f>IFERROR(INDEX('التوظيف'!$A$3:$A$502,191),"")</f>
        <v/>
      </c>
      <c r="B197" s="43">
        <f>IFERROR(INDEX('التوظيف'!$B$3:$B$502,191),"")</f>
        <v/>
      </c>
      <c r="C197" s="43">
        <f>IFERROR(INDEX('التوظيف'!$C$3:$C$502,191),"")</f>
        <v/>
      </c>
      <c r="D197" s="43">
        <f>IFERROR(INDEX('التوظيف'!$D$3:$D$502,191),"")</f>
        <v/>
      </c>
      <c r="E197" s="43">
        <f>IFERROR(INDEX('التوظيف'!$E$3:$E$502,191),"")</f>
        <v/>
      </c>
      <c r="F197" s="44">
        <f>IFERROR(INDEX('التوظيف'!$F$3:$F$502,191),"")</f>
        <v/>
      </c>
      <c r="G197" s="118">
        <f>IFERROR(INDEX('التوظيف'!$G$3:$G$502,191),"")</f>
        <v/>
      </c>
      <c r="H197" s="43">
        <f>IFERROR(INDEX('التوظيف'!$H$3:$H$502,191),"")</f>
        <v/>
      </c>
      <c r="I197" s="118">
        <f>IFERROR(INDEX('التوظيف'!$I$3:$I$502,191),"")</f>
        <v/>
      </c>
      <c r="J197" s="43">
        <f>IFERROR(INDEX('التوظيف'!$J$3:$J$502,191),"")</f>
        <v/>
      </c>
      <c r="K197" s="43">
        <f>IFERROR(INDEX('التوظيف'!$K$3:$K$502,191),"")</f>
        <v/>
      </c>
      <c r="L197" s="118">
        <f>IFERROR(INDEX('التوظيف'!$L$3:$L$502,191),"")</f>
        <v/>
      </c>
    </row>
    <row r="198">
      <c r="A198" s="50">
        <f>IFERROR(INDEX('التوظيف'!$A$3:$A$502,192),"")</f>
        <v/>
      </c>
      <c r="B198" s="50">
        <f>IFERROR(INDEX('التوظيف'!$B$3:$B$502,192),"")</f>
        <v/>
      </c>
      <c r="C198" s="50">
        <f>IFERROR(INDEX('التوظيف'!$C$3:$C$502,192),"")</f>
        <v/>
      </c>
      <c r="D198" s="50">
        <f>IFERROR(INDEX('التوظيف'!$D$3:$D$502,192),"")</f>
        <v/>
      </c>
      <c r="E198" s="50">
        <f>IFERROR(INDEX('التوظيف'!$E$3:$E$502,192),"")</f>
        <v/>
      </c>
      <c r="F198" s="51">
        <f>IFERROR(INDEX('التوظيف'!$F$3:$F$502,192),"")</f>
        <v/>
      </c>
      <c r="G198" s="119">
        <f>IFERROR(INDEX('التوظيف'!$G$3:$G$502,192),"")</f>
        <v/>
      </c>
      <c r="H198" s="50">
        <f>IFERROR(INDEX('التوظيف'!$H$3:$H$502,192),"")</f>
        <v/>
      </c>
      <c r="I198" s="119">
        <f>IFERROR(INDEX('التوظيف'!$I$3:$I$502,192),"")</f>
        <v/>
      </c>
      <c r="J198" s="50">
        <f>IFERROR(INDEX('التوظيف'!$J$3:$J$502,192),"")</f>
        <v/>
      </c>
      <c r="K198" s="50">
        <f>IFERROR(INDEX('التوظيف'!$K$3:$K$502,192),"")</f>
        <v/>
      </c>
      <c r="L198" s="119">
        <f>IFERROR(INDEX('التوظيف'!$L$3:$L$502,192),"")</f>
        <v/>
      </c>
    </row>
    <row r="199">
      <c r="A199" s="43">
        <f>IFERROR(INDEX('التوظيف'!$A$3:$A$502,193),"")</f>
        <v/>
      </c>
      <c r="B199" s="43">
        <f>IFERROR(INDEX('التوظيف'!$B$3:$B$502,193),"")</f>
        <v/>
      </c>
      <c r="C199" s="43">
        <f>IFERROR(INDEX('التوظيف'!$C$3:$C$502,193),"")</f>
        <v/>
      </c>
      <c r="D199" s="43">
        <f>IFERROR(INDEX('التوظيف'!$D$3:$D$502,193),"")</f>
        <v/>
      </c>
      <c r="E199" s="43">
        <f>IFERROR(INDEX('التوظيف'!$E$3:$E$502,193),"")</f>
        <v/>
      </c>
      <c r="F199" s="44">
        <f>IFERROR(INDEX('التوظيف'!$F$3:$F$502,193),"")</f>
        <v/>
      </c>
      <c r="G199" s="118">
        <f>IFERROR(INDEX('التوظيف'!$G$3:$G$502,193),"")</f>
        <v/>
      </c>
      <c r="H199" s="43">
        <f>IFERROR(INDEX('التوظيف'!$H$3:$H$502,193),"")</f>
        <v/>
      </c>
      <c r="I199" s="118">
        <f>IFERROR(INDEX('التوظيف'!$I$3:$I$502,193),"")</f>
        <v/>
      </c>
      <c r="J199" s="43">
        <f>IFERROR(INDEX('التوظيف'!$J$3:$J$502,193),"")</f>
        <v/>
      </c>
      <c r="K199" s="43">
        <f>IFERROR(INDEX('التوظيف'!$K$3:$K$502,193),"")</f>
        <v/>
      </c>
      <c r="L199" s="118">
        <f>IFERROR(INDEX('التوظيف'!$L$3:$L$502,193),"")</f>
        <v/>
      </c>
    </row>
    <row r="200">
      <c r="A200" s="50">
        <f>IFERROR(INDEX('التوظيف'!$A$3:$A$502,194),"")</f>
        <v/>
      </c>
      <c r="B200" s="50">
        <f>IFERROR(INDEX('التوظيف'!$B$3:$B$502,194),"")</f>
        <v/>
      </c>
      <c r="C200" s="50">
        <f>IFERROR(INDEX('التوظيف'!$C$3:$C$502,194),"")</f>
        <v/>
      </c>
      <c r="D200" s="50">
        <f>IFERROR(INDEX('التوظيف'!$D$3:$D$502,194),"")</f>
        <v/>
      </c>
      <c r="E200" s="50">
        <f>IFERROR(INDEX('التوظيف'!$E$3:$E$502,194),"")</f>
        <v/>
      </c>
      <c r="F200" s="51">
        <f>IFERROR(INDEX('التوظيف'!$F$3:$F$502,194),"")</f>
        <v/>
      </c>
      <c r="G200" s="119">
        <f>IFERROR(INDEX('التوظيف'!$G$3:$G$502,194),"")</f>
        <v/>
      </c>
      <c r="H200" s="50">
        <f>IFERROR(INDEX('التوظيف'!$H$3:$H$502,194),"")</f>
        <v/>
      </c>
      <c r="I200" s="119">
        <f>IFERROR(INDEX('التوظيف'!$I$3:$I$502,194),"")</f>
        <v/>
      </c>
      <c r="J200" s="50">
        <f>IFERROR(INDEX('التوظيف'!$J$3:$J$502,194),"")</f>
        <v/>
      </c>
      <c r="K200" s="50">
        <f>IFERROR(INDEX('التوظيف'!$K$3:$K$502,194),"")</f>
        <v/>
      </c>
      <c r="L200" s="119">
        <f>IFERROR(INDEX('التوظيف'!$L$3:$L$502,194),"")</f>
        <v/>
      </c>
    </row>
    <row r="201">
      <c r="A201" s="43">
        <f>IFERROR(INDEX('التوظيف'!$A$3:$A$502,195),"")</f>
        <v/>
      </c>
      <c r="B201" s="43">
        <f>IFERROR(INDEX('التوظيف'!$B$3:$B$502,195),"")</f>
        <v/>
      </c>
      <c r="C201" s="43">
        <f>IFERROR(INDEX('التوظيف'!$C$3:$C$502,195),"")</f>
        <v/>
      </c>
      <c r="D201" s="43">
        <f>IFERROR(INDEX('التوظيف'!$D$3:$D$502,195),"")</f>
        <v/>
      </c>
      <c r="E201" s="43">
        <f>IFERROR(INDEX('التوظيف'!$E$3:$E$502,195),"")</f>
        <v/>
      </c>
      <c r="F201" s="44">
        <f>IFERROR(INDEX('التوظيف'!$F$3:$F$502,195),"")</f>
        <v/>
      </c>
      <c r="G201" s="118">
        <f>IFERROR(INDEX('التوظيف'!$G$3:$G$502,195),"")</f>
        <v/>
      </c>
      <c r="H201" s="43">
        <f>IFERROR(INDEX('التوظيف'!$H$3:$H$502,195),"")</f>
        <v/>
      </c>
      <c r="I201" s="118">
        <f>IFERROR(INDEX('التوظيف'!$I$3:$I$502,195),"")</f>
        <v/>
      </c>
      <c r="J201" s="43">
        <f>IFERROR(INDEX('التوظيف'!$J$3:$J$502,195),"")</f>
        <v/>
      </c>
      <c r="K201" s="43">
        <f>IFERROR(INDEX('التوظيف'!$K$3:$K$502,195),"")</f>
        <v/>
      </c>
      <c r="L201" s="118">
        <f>IFERROR(INDEX('التوظيف'!$L$3:$L$502,195),"")</f>
        <v/>
      </c>
    </row>
    <row r="202">
      <c r="A202" s="50">
        <f>IFERROR(INDEX('التوظيف'!$A$3:$A$502,196),"")</f>
        <v/>
      </c>
      <c r="B202" s="50">
        <f>IFERROR(INDEX('التوظيف'!$B$3:$B$502,196),"")</f>
        <v/>
      </c>
      <c r="C202" s="50">
        <f>IFERROR(INDEX('التوظيف'!$C$3:$C$502,196),"")</f>
        <v/>
      </c>
      <c r="D202" s="50">
        <f>IFERROR(INDEX('التوظيف'!$D$3:$D$502,196),"")</f>
        <v/>
      </c>
      <c r="E202" s="50">
        <f>IFERROR(INDEX('التوظيف'!$E$3:$E$502,196),"")</f>
        <v/>
      </c>
      <c r="F202" s="51">
        <f>IFERROR(INDEX('التوظيف'!$F$3:$F$502,196),"")</f>
        <v/>
      </c>
      <c r="G202" s="119">
        <f>IFERROR(INDEX('التوظيف'!$G$3:$G$502,196),"")</f>
        <v/>
      </c>
      <c r="H202" s="50">
        <f>IFERROR(INDEX('التوظيف'!$H$3:$H$502,196),"")</f>
        <v/>
      </c>
      <c r="I202" s="119">
        <f>IFERROR(INDEX('التوظيف'!$I$3:$I$502,196),"")</f>
        <v/>
      </c>
      <c r="J202" s="50">
        <f>IFERROR(INDEX('التوظيف'!$J$3:$J$502,196),"")</f>
        <v/>
      </c>
      <c r="K202" s="50">
        <f>IFERROR(INDEX('التوظيف'!$K$3:$K$502,196),"")</f>
        <v/>
      </c>
      <c r="L202" s="119">
        <f>IFERROR(INDEX('التوظيف'!$L$3:$L$502,196),"")</f>
        <v/>
      </c>
    </row>
    <row r="203">
      <c r="A203" s="43">
        <f>IFERROR(INDEX('التوظيف'!$A$3:$A$502,197),"")</f>
        <v/>
      </c>
      <c r="B203" s="43">
        <f>IFERROR(INDEX('التوظيف'!$B$3:$B$502,197),"")</f>
        <v/>
      </c>
      <c r="C203" s="43">
        <f>IFERROR(INDEX('التوظيف'!$C$3:$C$502,197),"")</f>
        <v/>
      </c>
      <c r="D203" s="43">
        <f>IFERROR(INDEX('التوظيف'!$D$3:$D$502,197),"")</f>
        <v/>
      </c>
      <c r="E203" s="43">
        <f>IFERROR(INDEX('التوظيف'!$E$3:$E$502,197),"")</f>
        <v/>
      </c>
      <c r="F203" s="44">
        <f>IFERROR(INDEX('التوظيف'!$F$3:$F$502,197),"")</f>
        <v/>
      </c>
      <c r="G203" s="118">
        <f>IFERROR(INDEX('التوظيف'!$G$3:$G$502,197),"")</f>
        <v/>
      </c>
      <c r="H203" s="43">
        <f>IFERROR(INDEX('التوظيف'!$H$3:$H$502,197),"")</f>
        <v/>
      </c>
      <c r="I203" s="118">
        <f>IFERROR(INDEX('التوظيف'!$I$3:$I$502,197),"")</f>
        <v/>
      </c>
      <c r="J203" s="43">
        <f>IFERROR(INDEX('التوظيف'!$J$3:$J$502,197),"")</f>
        <v/>
      </c>
      <c r="K203" s="43">
        <f>IFERROR(INDEX('التوظيف'!$K$3:$K$502,197),"")</f>
        <v/>
      </c>
      <c r="L203" s="118">
        <f>IFERROR(INDEX('التوظيف'!$L$3:$L$502,197),"")</f>
        <v/>
      </c>
    </row>
    <row r="204">
      <c r="A204" s="50">
        <f>IFERROR(INDEX('التوظيف'!$A$3:$A$502,198),"")</f>
        <v/>
      </c>
      <c r="B204" s="50">
        <f>IFERROR(INDEX('التوظيف'!$B$3:$B$502,198),"")</f>
        <v/>
      </c>
      <c r="C204" s="50">
        <f>IFERROR(INDEX('التوظيف'!$C$3:$C$502,198),"")</f>
        <v/>
      </c>
      <c r="D204" s="50">
        <f>IFERROR(INDEX('التوظيف'!$D$3:$D$502,198),"")</f>
        <v/>
      </c>
      <c r="E204" s="50">
        <f>IFERROR(INDEX('التوظيف'!$E$3:$E$502,198),"")</f>
        <v/>
      </c>
      <c r="F204" s="51">
        <f>IFERROR(INDEX('التوظيف'!$F$3:$F$502,198),"")</f>
        <v/>
      </c>
      <c r="G204" s="119">
        <f>IFERROR(INDEX('التوظيف'!$G$3:$G$502,198),"")</f>
        <v/>
      </c>
      <c r="H204" s="50">
        <f>IFERROR(INDEX('التوظيف'!$H$3:$H$502,198),"")</f>
        <v/>
      </c>
      <c r="I204" s="119">
        <f>IFERROR(INDEX('التوظيف'!$I$3:$I$502,198),"")</f>
        <v/>
      </c>
      <c r="J204" s="50">
        <f>IFERROR(INDEX('التوظيف'!$J$3:$J$502,198),"")</f>
        <v/>
      </c>
      <c r="K204" s="50">
        <f>IFERROR(INDEX('التوظيف'!$K$3:$K$502,198),"")</f>
        <v/>
      </c>
      <c r="L204" s="119">
        <f>IFERROR(INDEX('التوظيف'!$L$3:$L$502,198),"")</f>
        <v/>
      </c>
    </row>
    <row r="205">
      <c r="A205" s="43">
        <f>IFERROR(INDEX('التوظيف'!$A$3:$A$502,199),"")</f>
        <v/>
      </c>
      <c r="B205" s="43">
        <f>IFERROR(INDEX('التوظيف'!$B$3:$B$502,199),"")</f>
        <v/>
      </c>
      <c r="C205" s="43">
        <f>IFERROR(INDEX('التوظيف'!$C$3:$C$502,199),"")</f>
        <v/>
      </c>
      <c r="D205" s="43">
        <f>IFERROR(INDEX('التوظيف'!$D$3:$D$502,199),"")</f>
        <v/>
      </c>
      <c r="E205" s="43">
        <f>IFERROR(INDEX('التوظيف'!$E$3:$E$502,199),"")</f>
        <v/>
      </c>
      <c r="F205" s="44">
        <f>IFERROR(INDEX('التوظيف'!$F$3:$F$502,199),"")</f>
        <v/>
      </c>
      <c r="G205" s="118">
        <f>IFERROR(INDEX('التوظيف'!$G$3:$G$502,199),"")</f>
        <v/>
      </c>
      <c r="H205" s="43">
        <f>IFERROR(INDEX('التوظيف'!$H$3:$H$502,199),"")</f>
        <v/>
      </c>
      <c r="I205" s="118">
        <f>IFERROR(INDEX('التوظيف'!$I$3:$I$502,199),"")</f>
        <v/>
      </c>
      <c r="J205" s="43">
        <f>IFERROR(INDEX('التوظيف'!$J$3:$J$502,199),"")</f>
        <v/>
      </c>
      <c r="K205" s="43">
        <f>IFERROR(INDEX('التوظيف'!$K$3:$K$502,199),"")</f>
        <v/>
      </c>
      <c r="L205" s="118">
        <f>IFERROR(INDEX('التوظيف'!$L$3:$L$502,199),"")</f>
        <v/>
      </c>
    </row>
    <row r="206">
      <c r="A206" s="50">
        <f>IFERROR(INDEX('التوظيف'!$A$3:$A$502,200),"")</f>
        <v/>
      </c>
      <c r="B206" s="50">
        <f>IFERROR(INDEX('التوظيف'!$B$3:$B$502,200),"")</f>
        <v/>
      </c>
      <c r="C206" s="50">
        <f>IFERROR(INDEX('التوظيف'!$C$3:$C$502,200),"")</f>
        <v/>
      </c>
      <c r="D206" s="50">
        <f>IFERROR(INDEX('التوظيف'!$D$3:$D$502,200),"")</f>
        <v/>
      </c>
      <c r="E206" s="50">
        <f>IFERROR(INDEX('التوظيف'!$E$3:$E$502,200),"")</f>
        <v/>
      </c>
      <c r="F206" s="51">
        <f>IFERROR(INDEX('التوظيف'!$F$3:$F$502,200),"")</f>
        <v/>
      </c>
      <c r="G206" s="119">
        <f>IFERROR(INDEX('التوظيف'!$G$3:$G$502,200),"")</f>
        <v/>
      </c>
      <c r="H206" s="50">
        <f>IFERROR(INDEX('التوظيف'!$H$3:$H$502,200),"")</f>
        <v/>
      </c>
      <c r="I206" s="119">
        <f>IFERROR(INDEX('التوظيف'!$I$3:$I$502,200),"")</f>
        <v/>
      </c>
      <c r="J206" s="50">
        <f>IFERROR(INDEX('التوظيف'!$J$3:$J$502,200),"")</f>
        <v/>
      </c>
      <c r="K206" s="50">
        <f>IFERROR(INDEX('التوظيف'!$K$3:$K$502,200),"")</f>
        <v/>
      </c>
      <c r="L206" s="119">
        <f>IFERROR(INDEX('التوظيف'!$L$3:$L$502,200),"")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05"/>
  <mergeCells count="4">
    <mergeCell ref="A3:F3"/>
    <mergeCell ref="A2:L2"/>
    <mergeCell ref="G3:L3"/>
    <mergeCell ref="A1:L1"/>
  </mergeCells>
  <pageMargins left="0.75" right="0.75" top="1" bottom="1" header="0.5" footer="0.5"/>
  <pageSetup orientation="landscape" paperSize="9" fitToHeight="0" fitToWidth="1"/>
  <headerFooter>
    <oddHeader/>
    <oddFooter>&amp;L&amp;8 نظام إدارة الموارد البشرية&amp;R&amp;8 صفحة &amp;P من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L207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18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5" customWidth="1" min="10" max="10"/>
    <col width="13" customWidth="1" min="11" max="11"/>
    <col width="13" customWidth="1" min="12" max="12"/>
  </cols>
  <sheetData>
    <row r="1" ht="30" customHeight="1">
      <c r="A1" s="1">
        <f>اسم_المؤسسة</f>
        <v/>
      </c>
    </row>
    <row r="2" ht="26" customHeight="1">
      <c r="A2" s="65" t="inlineStr">
        <is>
          <t>تقرير التدريب وتقييم الأداء</t>
        </is>
      </c>
    </row>
    <row r="3">
      <c r="A3" s="66">
        <f>"تاريخ إعداد التقرير: "&amp;TEXT(TODAY(),"yyyy-mm-dd")</f>
        <v/>
      </c>
      <c r="G3" s="6">
        <f>"السنة المالية: "&amp;السنة_المالية</f>
        <v/>
      </c>
    </row>
    <row r="6" ht="34" customHeight="1">
      <c r="A6" s="67" t="inlineStr">
        <is>
          <t>الرقم الوظيفي</t>
        </is>
      </c>
      <c r="B6" s="67" t="inlineStr">
        <is>
          <t>اسم الموظف</t>
        </is>
      </c>
      <c r="C6" s="67" t="inlineStr">
        <is>
          <t>الدورة</t>
        </is>
      </c>
      <c r="D6" s="67" t="inlineStr">
        <is>
          <t>الجهة التدريبية</t>
        </is>
      </c>
      <c r="E6" s="67" t="inlineStr">
        <is>
          <t>البداية</t>
        </is>
      </c>
      <c r="F6" s="67" t="inlineStr">
        <is>
          <t>النهاية</t>
        </is>
      </c>
      <c r="G6" s="67" t="inlineStr">
        <is>
          <t>التكلفة</t>
        </is>
      </c>
      <c r="H6" s="67" t="inlineStr">
        <is>
          <t>حالة الحضور</t>
        </is>
      </c>
      <c r="I6" s="67" t="inlineStr">
        <is>
          <t>نتيجة التدريب</t>
        </is>
      </c>
      <c r="J6" s="67" t="inlineStr">
        <is>
          <t>فترة التقييم</t>
        </is>
      </c>
      <c r="K6" s="67" t="inlineStr">
        <is>
          <t>التقييم النهائي</t>
        </is>
      </c>
      <c r="L6" s="67" t="inlineStr">
        <is>
          <t>التقدير</t>
        </is>
      </c>
    </row>
    <row r="7">
      <c r="A7" s="43">
        <f>IFERROR(INDEX('التدريب'!$A$3:$A$502,1),"")</f>
        <v/>
      </c>
      <c r="B7" s="43">
        <f>IFERROR(INDEX('التدريب'!$B$3:$B$502,1),"")</f>
        <v/>
      </c>
      <c r="C7" s="43">
        <f>IFERROR(INDEX('التدريب'!$C$3:$C$502,1),"")</f>
        <v/>
      </c>
      <c r="D7" s="43">
        <f>IFERROR(INDEX('التدريب'!$D$3:$D$502,1),"")</f>
        <v/>
      </c>
      <c r="E7" s="118">
        <f>IFERROR(INDEX('التدريب'!$E$3:$E$502,1),"")</f>
        <v/>
      </c>
      <c r="F7" s="118">
        <f>IFERROR(INDEX('التدريب'!$F$3:$F$502,1),"")</f>
        <v/>
      </c>
      <c r="G7" s="60">
        <f>IFERROR(INDEX('التدريب'!$G$3:$G$502,1),"")</f>
        <v/>
      </c>
      <c r="H7" s="43">
        <f>IFERROR(INDEX('التدريب'!$H$3:$H$502,1),"")</f>
        <v/>
      </c>
      <c r="I7" s="43">
        <f>IFERROR(INDEX('التدريب'!$I$3:$I$502,1),"")</f>
        <v/>
      </c>
      <c r="J7" s="43">
        <f>IFERROR(INDEX(تقييم_الأداء_الفترة,1),"")</f>
        <v/>
      </c>
      <c r="K7" s="111">
        <f>IFERROR(INDEX(تقييم_الأداء_النهائي,1),"")</f>
        <v/>
      </c>
      <c r="L7" s="43">
        <f>IFERROR(INDEX(تقييم_الأداء_التقدير,1),"")</f>
        <v/>
      </c>
    </row>
    <row r="8">
      <c r="A8" s="50">
        <f>IFERROR(INDEX('التدريب'!$A$3:$A$502,2),"")</f>
        <v/>
      </c>
      <c r="B8" s="50">
        <f>IFERROR(INDEX('التدريب'!$B$3:$B$502,2),"")</f>
        <v/>
      </c>
      <c r="C8" s="50">
        <f>IFERROR(INDEX('التدريب'!$C$3:$C$502,2),"")</f>
        <v/>
      </c>
      <c r="D8" s="50">
        <f>IFERROR(INDEX('التدريب'!$D$3:$D$502,2),"")</f>
        <v/>
      </c>
      <c r="E8" s="119">
        <f>IFERROR(INDEX('التدريب'!$E$3:$E$502,2),"")</f>
        <v/>
      </c>
      <c r="F8" s="119">
        <f>IFERROR(INDEX('التدريب'!$F$3:$F$502,2),"")</f>
        <v/>
      </c>
      <c r="G8" s="63">
        <f>IFERROR(INDEX('التدريب'!$G$3:$G$502,2),"")</f>
        <v/>
      </c>
      <c r="H8" s="50">
        <f>IFERROR(INDEX('التدريب'!$H$3:$H$502,2),"")</f>
        <v/>
      </c>
      <c r="I8" s="50">
        <f>IFERROR(INDEX('التدريب'!$I$3:$I$502,2),"")</f>
        <v/>
      </c>
      <c r="J8" s="50">
        <f>IFERROR(INDEX(تقييم_الأداء_الفترة,2),"")</f>
        <v/>
      </c>
      <c r="K8" s="113">
        <f>IFERROR(INDEX(تقييم_الأداء_النهائي,2),"")</f>
        <v/>
      </c>
      <c r="L8" s="50">
        <f>IFERROR(INDEX(تقييم_الأداء_التقدير,2),"")</f>
        <v/>
      </c>
    </row>
    <row r="9">
      <c r="A9" s="43">
        <f>IFERROR(INDEX('التدريب'!$A$3:$A$502,3),"")</f>
        <v/>
      </c>
      <c r="B9" s="43">
        <f>IFERROR(INDEX('التدريب'!$B$3:$B$502,3),"")</f>
        <v/>
      </c>
      <c r="C9" s="43">
        <f>IFERROR(INDEX('التدريب'!$C$3:$C$502,3),"")</f>
        <v/>
      </c>
      <c r="D9" s="43">
        <f>IFERROR(INDEX('التدريب'!$D$3:$D$502,3),"")</f>
        <v/>
      </c>
      <c r="E9" s="118">
        <f>IFERROR(INDEX('التدريب'!$E$3:$E$502,3),"")</f>
        <v/>
      </c>
      <c r="F9" s="118">
        <f>IFERROR(INDEX('التدريب'!$F$3:$F$502,3),"")</f>
        <v/>
      </c>
      <c r="G9" s="60">
        <f>IFERROR(INDEX('التدريب'!$G$3:$G$502,3),"")</f>
        <v/>
      </c>
      <c r="H9" s="43">
        <f>IFERROR(INDEX('التدريب'!$H$3:$H$502,3),"")</f>
        <v/>
      </c>
      <c r="I9" s="43">
        <f>IFERROR(INDEX('التدريب'!$I$3:$I$502,3),"")</f>
        <v/>
      </c>
      <c r="J9" s="43">
        <f>IFERROR(INDEX(تقييم_الأداء_الفترة,3),"")</f>
        <v/>
      </c>
      <c r="K9" s="111">
        <f>IFERROR(INDEX(تقييم_الأداء_النهائي,3),"")</f>
        <v/>
      </c>
      <c r="L9" s="43">
        <f>IFERROR(INDEX(تقييم_الأداء_التقدير,3),"")</f>
        <v/>
      </c>
    </row>
    <row r="10">
      <c r="A10" s="50">
        <f>IFERROR(INDEX('التدريب'!$A$3:$A$502,4),"")</f>
        <v/>
      </c>
      <c r="B10" s="50">
        <f>IFERROR(INDEX('التدريب'!$B$3:$B$502,4),"")</f>
        <v/>
      </c>
      <c r="C10" s="50">
        <f>IFERROR(INDEX('التدريب'!$C$3:$C$502,4),"")</f>
        <v/>
      </c>
      <c r="D10" s="50">
        <f>IFERROR(INDEX('التدريب'!$D$3:$D$502,4),"")</f>
        <v/>
      </c>
      <c r="E10" s="119">
        <f>IFERROR(INDEX('التدريب'!$E$3:$E$502,4),"")</f>
        <v/>
      </c>
      <c r="F10" s="119">
        <f>IFERROR(INDEX('التدريب'!$F$3:$F$502,4),"")</f>
        <v/>
      </c>
      <c r="G10" s="63">
        <f>IFERROR(INDEX('التدريب'!$G$3:$G$502,4),"")</f>
        <v/>
      </c>
      <c r="H10" s="50">
        <f>IFERROR(INDEX('التدريب'!$H$3:$H$502,4),"")</f>
        <v/>
      </c>
      <c r="I10" s="50">
        <f>IFERROR(INDEX('التدريب'!$I$3:$I$502,4),"")</f>
        <v/>
      </c>
      <c r="J10" s="50">
        <f>IFERROR(INDEX(تقييم_الأداء_الفترة,4),"")</f>
        <v/>
      </c>
      <c r="K10" s="113">
        <f>IFERROR(INDEX(تقييم_الأداء_النهائي,4),"")</f>
        <v/>
      </c>
      <c r="L10" s="50">
        <f>IFERROR(INDEX(تقييم_الأداء_التقدير,4),"")</f>
        <v/>
      </c>
    </row>
    <row r="11">
      <c r="A11" s="43">
        <f>IFERROR(INDEX('التدريب'!$A$3:$A$502,5),"")</f>
        <v/>
      </c>
      <c r="B11" s="43">
        <f>IFERROR(INDEX('التدريب'!$B$3:$B$502,5),"")</f>
        <v/>
      </c>
      <c r="C11" s="43">
        <f>IFERROR(INDEX('التدريب'!$C$3:$C$502,5),"")</f>
        <v/>
      </c>
      <c r="D11" s="43">
        <f>IFERROR(INDEX('التدريب'!$D$3:$D$502,5),"")</f>
        <v/>
      </c>
      <c r="E11" s="118">
        <f>IFERROR(INDEX('التدريب'!$E$3:$E$502,5),"")</f>
        <v/>
      </c>
      <c r="F11" s="118">
        <f>IFERROR(INDEX('التدريب'!$F$3:$F$502,5),"")</f>
        <v/>
      </c>
      <c r="G11" s="60">
        <f>IFERROR(INDEX('التدريب'!$G$3:$G$502,5),"")</f>
        <v/>
      </c>
      <c r="H11" s="43">
        <f>IFERROR(INDEX('التدريب'!$H$3:$H$502,5),"")</f>
        <v/>
      </c>
      <c r="I11" s="43">
        <f>IFERROR(INDEX('التدريب'!$I$3:$I$502,5),"")</f>
        <v/>
      </c>
      <c r="J11" s="43">
        <f>IFERROR(INDEX(تقييم_الأداء_الفترة,5),"")</f>
        <v/>
      </c>
      <c r="K11" s="111">
        <f>IFERROR(INDEX(تقييم_الأداء_النهائي,5),"")</f>
        <v/>
      </c>
      <c r="L11" s="43">
        <f>IFERROR(INDEX(تقييم_الأداء_التقدير,5),"")</f>
        <v/>
      </c>
    </row>
    <row r="12">
      <c r="A12" s="50">
        <f>IFERROR(INDEX('التدريب'!$A$3:$A$502,6),"")</f>
        <v/>
      </c>
      <c r="B12" s="50">
        <f>IFERROR(INDEX('التدريب'!$B$3:$B$502,6),"")</f>
        <v/>
      </c>
      <c r="C12" s="50">
        <f>IFERROR(INDEX('التدريب'!$C$3:$C$502,6),"")</f>
        <v/>
      </c>
      <c r="D12" s="50">
        <f>IFERROR(INDEX('التدريب'!$D$3:$D$502,6),"")</f>
        <v/>
      </c>
      <c r="E12" s="119">
        <f>IFERROR(INDEX('التدريب'!$E$3:$E$502,6),"")</f>
        <v/>
      </c>
      <c r="F12" s="119">
        <f>IFERROR(INDEX('التدريب'!$F$3:$F$502,6),"")</f>
        <v/>
      </c>
      <c r="G12" s="63">
        <f>IFERROR(INDEX('التدريب'!$G$3:$G$502,6),"")</f>
        <v/>
      </c>
      <c r="H12" s="50">
        <f>IFERROR(INDEX('التدريب'!$H$3:$H$502,6),"")</f>
        <v/>
      </c>
      <c r="I12" s="50">
        <f>IFERROR(INDEX('التدريب'!$I$3:$I$502,6),"")</f>
        <v/>
      </c>
      <c r="J12" s="50">
        <f>IFERROR(INDEX(تقييم_الأداء_الفترة,6),"")</f>
        <v/>
      </c>
      <c r="K12" s="113">
        <f>IFERROR(INDEX(تقييم_الأداء_النهائي,6),"")</f>
        <v/>
      </c>
      <c r="L12" s="50">
        <f>IFERROR(INDEX(تقييم_الأداء_التقدير,6),"")</f>
        <v/>
      </c>
    </row>
    <row r="13">
      <c r="A13" s="43">
        <f>IFERROR(INDEX('التدريب'!$A$3:$A$502,7),"")</f>
        <v/>
      </c>
      <c r="B13" s="43">
        <f>IFERROR(INDEX('التدريب'!$B$3:$B$502,7),"")</f>
        <v/>
      </c>
      <c r="C13" s="43">
        <f>IFERROR(INDEX('التدريب'!$C$3:$C$502,7),"")</f>
        <v/>
      </c>
      <c r="D13" s="43">
        <f>IFERROR(INDEX('التدريب'!$D$3:$D$502,7),"")</f>
        <v/>
      </c>
      <c r="E13" s="118">
        <f>IFERROR(INDEX('التدريب'!$E$3:$E$502,7),"")</f>
        <v/>
      </c>
      <c r="F13" s="118">
        <f>IFERROR(INDEX('التدريب'!$F$3:$F$502,7),"")</f>
        <v/>
      </c>
      <c r="G13" s="60">
        <f>IFERROR(INDEX('التدريب'!$G$3:$G$502,7),"")</f>
        <v/>
      </c>
      <c r="H13" s="43">
        <f>IFERROR(INDEX('التدريب'!$H$3:$H$502,7),"")</f>
        <v/>
      </c>
      <c r="I13" s="43">
        <f>IFERROR(INDEX('التدريب'!$I$3:$I$502,7),"")</f>
        <v/>
      </c>
      <c r="J13" s="43">
        <f>IFERROR(INDEX(تقييم_الأداء_الفترة,7),"")</f>
        <v/>
      </c>
      <c r="K13" s="111">
        <f>IFERROR(INDEX(تقييم_الأداء_النهائي,7),"")</f>
        <v/>
      </c>
      <c r="L13" s="43">
        <f>IFERROR(INDEX(تقييم_الأداء_التقدير,7),"")</f>
        <v/>
      </c>
    </row>
    <row r="14">
      <c r="A14" s="50">
        <f>IFERROR(INDEX('التدريب'!$A$3:$A$502,8),"")</f>
        <v/>
      </c>
      <c r="B14" s="50">
        <f>IFERROR(INDEX('التدريب'!$B$3:$B$502,8),"")</f>
        <v/>
      </c>
      <c r="C14" s="50">
        <f>IFERROR(INDEX('التدريب'!$C$3:$C$502,8),"")</f>
        <v/>
      </c>
      <c r="D14" s="50">
        <f>IFERROR(INDEX('التدريب'!$D$3:$D$502,8),"")</f>
        <v/>
      </c>
      <c r="E14" s="119">
        <f>IFERROR(INDEX('التدريب'!$E$3:$E$502,8),"")</f>
        <v/>
      </c>
      <c r="F14" s="119">
        <f>IFERROR(INDEX('التدريب'!$F$3:$F$502,8),"")</f>
        <v/>
      </c>
      <c r="G14" s="63">
        <f>IFERROR(INDEX('التدريب'!$G$3:$G$502,8),"")</f>
        <v/>
      </c>
      <c r="H14" s="50">
        <f>IFERROR(INDEX('التدريب'!$H$3:$H$502,8),"")</f>
        <v/>
      </c>
      <c r="I14" s="50">
        <f>IFERROR(INDEX('التدريب'!$I$3:$I$502,8),"")</f>
        <v/>
      </c>
      <c r="J14" s="50">
        <f>IFERROR(INDEX(تقييم_الأداء_الفترة,8),"")</f>
        <v/>
      </c>
      <c r="K14" s="113">
        <f>IFERROR(INDEX(تقييم_الأداء_النهائي,8),"")</f>
        <v/>
      </c>
      <c r="L14" s="50">
        <f>IFERROR(INDEX(تقييم_الأداء_التقدير,8),"")</f>
        <v/>
      </c>
    </row>
    <row r="15">
      <c r="A15" s="43">
        <f>IFERROR(INDEX('التدريب'!$A$3:$A$502,9),"")</f>
        <v/>
      </c>
      <c r="B15" s="43">
        <f>IFERROR(INDEX('التدريب'!$B$3:$B$502,9),"")</f>
        <v/>
      </c>
      <c r="C15" s="43">
        <f>IFERROR(INDEX('التدريب'!$C$3:$C$502,9),"")</f>
        <v/>
      </c>
      <c r="D15" s="43">
        <f>IFERROR(INDEX('التدريب'!$D$3:$D$502,9),"")</f>
        <v/>
      </c>
      <c r="E15" s="118">
        <f>IFERROR(INDEX('التدريب'!$E$3:$E$502,9),"")</f>
        <v/>
      </c>
      <c r="F15" s="118">
        <f>IFERROR(INDEX('التدريب'!$F$3:$F$502,9),"")</f>
        <v/>
      </c>
      <c r="G15" s="60">
        <f>IFERROR(INDEX('التدريب'!$G$3:$G$502,9),"")</f>
        <v/>
      </c>
      <c r="H15" s="43">
        <f>IFERROR(INDEX('التدريب'!$H$3:$H$502,9),"")</f>
        <v/>
      </c>
      <c r="I15" s="43">
        <f>IFERROR(INDEX('التدريب'!$I$3:$I$502,9),"")</f>
        <v/>
      </c>
      <c r="J15" s="43">
        <f>IFERROR(INDEX(تقييم_الأداء_الفترة,9),"")</f>
        <v/>
      </c>
      <c r="K15" s="111">
        <f>IFERROR(INDEX(تقييم_الأداء_النهائي,9),"")</f>
        <v/>
      </c>
      <c r="L15" s="43">
        <f>IFERROR(INDEX(تقييم_الأداء_التقدير,9),"")</f>
        <v/>
      </c>
    </row>
    <row r="16">
      <c r="A16" s="50">
        <f>IFERROR(INDEX('التدريب'!$A$3:$A$502,10),"")</f>
        <v/>
      </c>
      <c r="B16" s="50">
        <f>IFERROR(INDEX('التدريب'!$B$3:$B$502,10),"")</f>
        <v/>
      </c>
      <c r="C16" s="50">
        <f>IFERROR(INDEX('التدريب'!$C$3:$C$502,10),"")</f>
        <v/>
      </c>
      <c r="D16" s="50">
        <f>IFERROR(INDEX('التدريب'!$D$3:$D$502,10),"")</f>
        <v/>
      </c>
      <c r="E16" s="119">
        <f>IFERROR(INDEX('التدريب'!$E$3:$E$502,10),"")</f>
        <v/>
      </c>
      <c r="F16" s="119">
        <f>IFERROR(INDEX('التدريب'!$F$3:$F$502,10),"")</f>
        <v/>
      </c>
      <c r="G16" s="63">
        <f>IFERROR(INDEX('التدريب'!$G$3:$G$502,10),"")</f>
        <v/>
      </c>
      <c r="H16" s="50">
        <f>IFERROR(INDEX('التدريب'!$H$3:$H$502,10),"")</f>
        <v/>
      </c>
      <c r="I16" s="50">
        <f>IFERROR(INDEX('التدريب'!$I$3:$I$502,10),"")</f>
        <v/>
      </c>
      <c r="J16" s="50">
        <f>IFERROR(INDEX(تقييم_الأداء_الفترة,10),"")</f>
        <v/>
      </c>
      <c r="K16" s="113">
        <f>IFERROR(INDEX(تقييم_الأداء_النهائي,10),"")</f>
        <v/>
      </c>
      <c r="L16" s="50">
        <f>IFERROR(INDEX(تقييم_الأداء_التقدير,10),"")</f>
        <v/>
      </c>
    </row>
    <row r="17">
      <c r="A17" s="43">
        <f>IFERROR(INDEX('التدريب'!$A$3:$A$502,11),"")</f>
        <v/>
      </c>
      <c r="B17" s="43">
        <f>IFERROR(INDEX('التدريب'!$B$3:$B$502,11),"")</f>
        <v/>
      </c>
      <c r="C17" s="43">
        <f>IFERROR(INDEX('التدريب'!$C$3:$C$502,11),"")</f>
        <v/>
      </c>
      <c r="D17" s="43">
        <f>IFERROR(INDEX('التدريب'!$D$3:$D$502,11),"")</f>
        <v/>
      </c>
      <c r="E17" s="118">
        <f>IFERROR(INDEX('التدريب'!$E$3:$E$502,11),"")</f>
        <v/>
      </c>
      <c r="F17" s="118">
        <f>IFERROR(INDEX('التدريب'!$F$3:$F$502,11),"")</f>
        <v/>
      </c>
      <c r="G17" s="60">
        <f>IFERROR(INDEX('التدريب'!$G$3:$G$502,11),"")</f>
        <v/>
      </c>
      <c r="H17" s="43">
        <f>IFERROR(INDEX('التدريب'!$H$3:$H$502,11),"")</f>
        <v/>
      </c>
      <c r="I17" s="43">
        <f>IFERROR(INDEX('التدريب'!$I$3:$I$502,11),"")</f>
        <v/>
      </c>
      <c r="J17" s="43">
        <f>IFERROR(INDEX(تقييم_الأداء_الفترة,11),"")</f>
        <v/>
      </c>
      <c r="K17" s="111">
        <f>IFERROR(INDEX(تقييم_الأداء_النهائي,11),"")</f>
        <v/>
      </c>
      <c r="L17" s="43">
        <f>IFERROR(INDEX(تقييم_الأداء_التقدير,11),"")</f>
        <v/>
      </c>
    </row>
    <row r="18">
      <c r="A18" s="50">
        <f>IFERROR(INDEX('التدريب'!$A$3:$A$502,12),"")</f>
        <v/>
      </c>
      <c r="B18" s="50">
        <f>IFERROR(INDEX('التدريب'!$B$3:$B$502,12),"")</f>
        <v/>
      </c>
      <c r="C18" s="50">
        <f>IFERROR(INDEX('التدريب'!$C$3:$C$502,12),"")</f>
        <v/>
      </c>
      <c r="D18" s="50">
        <f>IFERROR(INDEX('التدريب'!$D$3:$D$502,12),"")</f>
        <v/>
      </c>
      <c r="E18" s="119">
        <f>IFERROR(INDEX('التدريب'!$E$3:$E$502,12),"")</f>
        <v/>
      </c>
      <c r="F18" s="119">
        <f>IFERROR(INDEX('التدريب'!$F$3:$F$502,12),"")</f>
        <v/>
      </c>
      <c r="G18" s="63">
        <f>IFERROR(INDEX('التدريب'!$G$3:$G$502,12),"")</f>
        <v/>
      </c>
      <c r="H18" s="50">
        <f>IFERROR(INDEX('التدريب'!$H$3:$H$502,12),"")</f>
        <v/>
      </c>
      <c r="I18" s="50">
        <f>IFERROR(INDEX('التدريب'!$I$3:$I$502,12),"")</f>
        <v/>
      </c>
      <c r="J18" s="50">
        <f>IFERROR(INDEX(تقييم_الأداء_الفترة,12),"")</f>
        <v/>
      </c>
      <c r="K18" s="113">
        <f>IFERROR(INDEX(تقييم_الأداء_النهائي,12),"")</f>
        <v/>
      </c>
      <c r="L18" s="50">
        <f>IFERROR(INDEX(تقييم_الأداء_التقدير,12),"")</f>
        <v/>
      </c>
    </row>
    <row r="19">
      <c r="A19" s="43">
        <f>IFERROR(INDEX('التدريب'!$A$3:$A$502,13),"")</f>
        <v/>
      </c>
      <c r="B19" s="43">
        <f>IFERROR(INDEX('التدريب'!$B$3:$B$502,13),"")</f>
        <v/>
      </c>
      <c r="C19" s="43">
        <f>IFERROR(INDEX('التدريب'!$C$3:$C$502,13),"")</f>
        <v/>
      </c>
      <c r="D19" s="43">
        <f>IFERROR(INDEX('التدريب'!$D$3:$D$502,13),"")</f>
        <v/>
      </c>
      <c r="E19" s="118">
        <f>IFERROR(INDEX('التدريب'!$E$3:$E$502,13),"")</f>
        <v/>
      </c>
      <c r="F19" s="118">
        <f>IFERROR(INDEX('التدريب'!$F$3:$F$502,13),"")</f>
        <v/>
      </c>
      <c r="G19" s="60">
        <f>IFERROR(INDEX('التدريب'!$G$3:$G$502,13),"")</f>
        <v/>
      </c>
      <c r="H19" s="43">
        <f>IFERROR(INDEX('التدريب'!$H$3:$H$502,13),"")</f>
        <v/>
      </c>
      <c r="I19" s="43">
        <f>IFERROR(INDEX('التدريب'!$I$3:$I$502,13),"")</f>
        <v/>
      </c>
      <c r="J19" s="43">
        <f>IFERROR(INDEX(تقييم_الأداء_الفترة,13),"")</f>
        <v/>
      </c>
      <c r="K19" s="111">
        <f>IFERROR(INDEX(تقييم_الأداء_النهائي,13),"")</f>
        <v/>
      </c>
      <c r="L19" s="43">
        <f>IFERROR(INDEX(تقييم_الأداء_التقدير,13),"")</f>
        <v/>
      </c>
    </row>
    <row r="20">
      <c r="A20" s="50">
        <f>IFERROR(INDEX('التدريب'!$A$3:$A$502,14),"")</f>
        <v/>
      </c>
      <c r="B20" s="50">
        <f>IFERROR(INDEX('التدريب'!$B$3:$B$502,14),"")</f>
        <v/>
      </c>
      <c r="C20" s="50">
        <f>IFERROR(INDEX('التدريب'!$C$3:$C$502,14),"")</f>
        <v/>
      </c>
      <c r="D20" s="50">
        <f>IFERROR(INDEX('التدريب'!$D$3:$D$502,14),"")</f>
        <v/>
      </c>
      <c r="E20" s="119">
        <f>IFERROR(INDEX('التدريب'!$E$3:$E$502,14),"")</f>
        <v/>
      </c>
      <c r="F20" s="119">
        <f>IFERROR(INDEX('التدريب'!$F$3:$F$502,14),"")</f>
        <v/>
      </c>
      <c r="G20" s="63">
        <f>IFERROR(INDEX('التدريب'!$G$3:$G$502,14),"")</f>
        <v/>
      </c>
      <c r="H20" s="50">
        <f>IFERROR(INDEX('التدريب'!$H$3:$H$502,14),"")</f>
        <v/>
      </c>
      <c r="I20" s="50">
        <f>IFERROR(INDEX('التدريب'!$I$3:$I$502,14),"")</f>
        <v/>
      </c>
      <c r="J20" s="50">
        <f>IFERROR(INDEX(تقييم_الأداء_الفترة,14),"")</f>
        <v/>
      </c>
      <c r="K20" s="113">
        <f>IFERROR(INDEX(تقييم_الأداء_النهائي,14),"")</f>
        <v/>
      </c>
      <c r="L20" s="50">
        <f>IFERROR(INDEX(تقييم_الأداء_التقدير,14),"")</f>
        <v/>
      </c>
    </row>
    <row r="21">
      <c r="A21" s="43">
        <f>IFERROR(INDEX('التدريب'!$A$3:$A$502,15),"")</f>
        <v/>
      </c>
      <c r="B21" s="43">
        <f>IFERROR(INDEX('التدريب'!$B$3:$B$502,15),"")</f>
        <v/>
      </c>
      <c r="C21" s="43">
        <f>IFERROR(INDEX('التدريب'!$C$3:$C$502,15),"")</f>
        <v/>
      </c>
      <c r="D21" s="43">
        <f>IFERROR(INDEX('التدريب'!$D$3:$D$502,15),"")</f>
        <v/>
      </c>
      <c r="E21" s="118">
        <f>IFERROR(INDEX('التدريب'!$E$3:$E$502,15),"")</f>
        <v/>
      </c>
      <c r="F21" s="118">
        <f>IFERROR(INDEX('التدريب'!$F$3:$F$502,15),"")</f>
        <v/>
      </c>
      <c r="G21" s="60">
        <f>IFERROR(INDEX('التدريب'!$G$3:$G$502,15),"")</f>
        <v/>
      </c>
      <c r="H21" s="43">
        <f>IFERROR(INDEX('التدريب'!$H$3:$H$502,15),"")</f>
        <v/>
      </c>
      <c r="I21" s="43">
        <f>IFERROR(INDEX('التدريب'!$I$3:$I$502,15),"")</f>
        <v/>
      </c>
      <c r="J21" s="43">
        <f>IFERROR(INDEX(تقييم_الأداء_الفترة,15),"")</f>
        <v/>
      </c>
      <c r="K21" s="111">
        <f>IFERROR(INDEX(تقييم_الأداء_النهائي,15),"")</f>
        <v/>
      </c>
      <c r="L21" s="43">
        <f>IFERROR(INDEX(تقييم_الأداء_التقدير,15),"")</f>
        <v/>
      </c>
    </row>
    <row r="22">
      <c r="A22" s="50">
        <f>IFERROR(INDEX('التدريب'!$A$3:$A$502,16),"")</f>
        <v/>
      </c>
      <c r="B22" s="50">
        <f>IFERROR(INDEX('التدريب'!$B$3:$B$502,16),"")</f>
        <v/>
      </c>
      <c r="C22" s="50">
        <f>IFERROR(INDEX('التدريب'!$C$3:$C$502,16),"")</f>
        <v/>
      </c>
      <c r="D22" s="50">
        <f>IFERROR(INDEX('التدريب'!$D$3:$D$502,16),"")</f>
        <v/>
      </c>
      <c r="E22" s="119">
        <f>IFERROR(INDEX('التدريب'!$E$3:$E$502,16),"")</f>
        <v/>
      </c>
      <c r="F22" s="119">
        <f>IFERROR(INDEX('التدريب'!$F$3:$F$502,16),"")</f>
        <v/>
      </c>
      <c r="G22" s="63">
        <f>IFERROR(INDEX('التدريب'!$G$3:$G$502,16),"")</f>
        <v/>
      </c>
      <c r="H22" s="50">
        <f>IFERROR(INDEX('التدريب'!$H$3:$H$502,16),"")</f>
        <v/>
      </c>
      <c r="I22" s="50">
        <f>IFERROR(INDEX('التدريب'!$I$3:$I$502,16),"")</f>
        <v/>
      </c>
      <c r="J22" s="50">
        <f>IFERROR(INDEX(تقييم_الأداء_الفترة,16),"")</f>
        <v/>
      </c>
      <c r="K22" s="113">
        <f>IFERROR(INDEX(تقييم_الأداء_النهائي,16),"")</f>
        <v/>
      </c>
      <c r="L22" s="50">
        <f>IFERROR(INDEX(تقييم_الأداء_التقدير,16),"")</f>
        <v/>
      </c>
    </row>
    <row r="23">
      <c r="A23" s="43">
        <f>IFERROR(INDEX('التدريب'!$A$3:$A$502,17),"")</f>
        <v/>
      </c>
      <c r="B23" s="43">
        <f>IFERROR(INDEX('التدريب'!$B$3:$B$502,17),"")</f>
        <v/>
      </c>
      <c r="C23" s="43">
        <f>IFERROR(INDEX('التدريب'!$C$3:$C$502,17),"")</f>
        <v/>
      </c>
      <c r="D23" s="43">
        <f>IFERROR(INDEX('التدريب'!$D$3:$D$502,17),"")</f>
        <v/>
      </c>
      <c r="E23" s="118">
        <f>IFERROR(INDEX('التدريب'!$E$3:$E$502,17),"")</f>
        <v/>
      </c>
      <c r="F23" s="118">
        <f>IFERROR(INDEX('التدريب'!$F$3:$F$502,17),"")</f>
        <v/>
      </c>
      <c r="G23" s="60">
        <f>IFERROR(INDEX('التدريب'!$G$3:$G$502,17),"")</f>
        <v/>
      </c>
      <c r="H23" s="43">
        <f>IFERROR(INDEX('التدريب'!$H$3:$H$502,17),"")</f>
        <v/>
      </c>
      <c r="I23" s="43">
        <f>IFERROR(INDEX('التدريب'!$I$3:$I$502,17),"")</f>
        <v/>
      </c>
      <c r="J23" s="43">
        <f>IFERROR(INDEX(تقييم_الأداء_الفترة,17),"")</f>
        <v/>
      </c>
      <c r="K23" s="111">
        <f>IFERROR(INDEX(تقييم_الأداء_النهائي,17),"")</f>
        <v/>
      </c>
      <c r="L23" s="43">
        <f>IFERROR(INDEX(تقييم_الأداء_التقدير,17),"")</f>
        <v/>
      </c>
    </row>
    <row r="24">
      <c r="A24" s="50">
        <f>IFERROR(INDEX('التدريب'!$A$3:$A$502,18),"")</f>
        <v/>
      </c>
      <c r="B24" s="50">
        <f>IFERROR(INDEX('التدريب'!$B$3:$B$502,18),"")</f>
        <v/>
      </c>
      <c r="C24" s="50">
        <f>IFERROR(INDEX('التدريب'!$C$3:$C$502,18),"")</f>
        <v/>
      </c>
      <c r="D24" s="50">
        <f>IFERROR(INDEX('التدريب'!$D$3:$D$502,18),"")</f>
        <v/>
      </c>
      <c r="E24" s="119">
        <f>IFERROR(INDEX('التدريب'!$E$3:$E$502,18),"")</f>
        <v/>
      </c>
      <c r="F24" s="119">
        <f>IFERROR(INDEX('التدريب'!$F$3:$F$502,18),"")</f>
        <v/>
      </c>
      <c r="G24" s="63">
        <f>IFERROR(INDEX('التدريب'!$G$3:$G$502,18),"")</f>
        <v/>
      </c>
      <c r="H24" s="50">
        <f>IFERROR(INDEX('التدريب'!$H$3:$H$502,18),"")</f>
        <v/>
      </c>
      <c r="I24" s="50">
        <f>IFERROR(INDEX('التدريب'!$I$3:$I$502,18),"")</f>
        <v/>
      </c>
      <c r="J24" s="50">
        <f>IFERROR(INDEX(تقييم_الأداء_الفترة,18),"")</f>
        <v/>
      </c>
      <c r="K24" s="113">
        <f>IFERROR(INDEX(تقييم_الأداء_النهائي,18),"")</f>
        <v/>
      </c>
      <c r="L24" s="50">
        <f>IFERROR(INDEX(تقييم_الأداء_التقدير,18),"")</f>
        <v/>
      </c>
    </row>
    <row r="25">
      <c r="A25" s="43">
        <f>IFERROR(INDEX('التدريب'!$A$3:$A$502,19),"")</f>
        <v/>
      </c>
      <c r="B25" s="43">
        <f>IFERROR(INDEX('التدريب'!$B$3:$B$502,19),"")</f>
        <v/>
      </c>
      <c r="C25" s="43">
        <f>IFERROR(INDEX('التدريب'!$C$3:$C$502,19),"")</f>
        <v/>
      </c>
      <c r="D25" s="43">
        <f>IFERROR(INDEX('التدريب'!$D$3:$D$502,19),"")</f>
        <v/>
      </c>
      <c r="E25" s="118">
        <f>IFERROR(INDEX('التدريب'!$E$3:$E$502,19),"")</f>
        <v/>
      </c>
      <c r="F25" s="118">
        <f>IFERROR(INDEX('التدريب'!$F$3:$F$502,19),"")</f>
        <v/>
      </c>
      <c r="G25" s="60">
        <f>IFERROR(INDEX('التدريب'!$G$3:$G$502,19),"")</f>
        <v/>
      </c>
      <c r="H25" s="43">
        <f>IFERROR(INDEX('التدريب'!$H$3:$H$502,19),"")</f>
        <v/>
      </c>
      <c r="I25" s="43">
        <f>IFERROR(INDEX('التدريب'!$I$3:$I$502,19),"")</f>
        <v/>
      </c>
      <c r="J25" s="43">
        <f>IFERROR(INDEX(تقييم_الأداء_الفترة,19),"")</f>
        <v/>
      </c>
      <c r="K25" s="111">
        <f>IFERROR(INDEX(تقييم_الأداء_النهائي,19),"")</f>
        <v/>
      </c>
      <c r="L25" s="43">
        <f>IFERROR(INDEX(تقييم_الأداء_التقدير,19),"")</f>
        <v/>
      </c>
    </row>
    <row r="26">
      <c r="A26" s="50">
        <f>IFERROR(INDEX('التدريب'!$A$3:$A$502,20),"")</f>
        <v/>
      </c>
      <c r="B26" s="50">
        <f>IFERROR(INDEX('التدريب'!$B$3:$B$502,20),"")</f>
        <v/>
      </c>
      <c r="C26" s="50">
        <f>IFERROR(INDEX('التدريب'!$C$3:$C$502,20),"")</f>
        <v/>
      </c>
      <c r="D26" s="50">
        <f>IFERROR(INDEX('التدريب'!$D$3:$D$502,20),"")</f>
        <v/>
      </c>
      <c r="E26" s="119">
        <f>IFERROR(INDEX('التدريب'!$E$3:$E$502,20),"")</f>
        <v/>
      </c>
      <c r="F26" s="119">
        <f>IFERROR(INDEX('التدريب'!$F$3:$F$502,20),"")</f>
        <v/>
      </c>
      <c r="G26" s="63">
        <f>IFERROR(INDEX('التدريب'!$G$3:$G$502,20),"")</f>
        <v/>
      </c>
      <c r="H26" s="50">
        <f>IFERROR(INDEX('التدريب'!$H$3:$H$502,20),"")</f>
        <v/>
      </c>
      <c r="I26" s="50">
        <f>IFERROR(INDEX('التدريب'!$I$3:$I$502,20),"")</f>
        <v/>
      </c>
      <c r="J26" s="50">
        <f>IFERROR(INDEX(تقييم_الأداء_الفترة,20),"")</f>
        <v/>
      </c>
      <c r="K26" s="113">
        <f>IFERROR(INDEX(تقييم_الأداء_النهائي,20),"")</f>
        <v/>
      </c>
      <c r="L26" s="50">
        <f>IFERROR(INDEX(تقييم_الأداء_التقدير,20),"")</f>
        <v/>
      </c>
    </row>
    <row r="27">
      <c r="A27" s="43">
        <f>IFERROR(INDEX('التدريب'!$A$3:$A$502,21),"")</f>
        <v/>
      </c>
      <c r="B27" s="43">
        <f>IFERROR(INDEX('التدريب'!$B$3:$B$502,21),"")</f>
        <v/>
      </c>
      <c r="C27" s="43">
        <f>IFERROR(INDEX('التدريب'!$C$3:$C$502,21),"")</f>
        <v/>
      </c>
      <c r="D27" s="43">
        <f>IFERROR(INDEX('التدريب'!$D$3:$D$502,21),"")</f>
        <v/>
      </c>
      <c r="E27" s="118">
        <f>IFERROR(INDEX('التدريب'!$E$3:$E$502,21),"")</f>
        <v/>
      </c>
      <c r="F27" s="118">
        <f>IFERROR(INDEX('التدريب'!$F$3:$F$502,21),"")</f>
        <v/>
      </c>
      <c r="G27" s="60">
        <f>IFERROR(INDEX('التدريب'!$G$3:$G$502,21),"")</f>
        <v/>
      </c>
      <c r="H27" s="43">
        <f>IFERROR(INDEX('التدريب'!$H$3:$H$502,21),"")</f>
        <v/>
      </c>
      <c r="I27" s="43">
        <f>IFERROR(INDEX('التدريب'!$I$3:$I$502,21),"")</f>
        <v/>
      </c>
      <c r="J27" s="43">
        <f>IFERROR(INDEX(تقييم_الأداء_الفترة,21),"")</f>
        <v/>
      </c>
      <c r="K27" s="111">
        <f>IFERROR(INDEX(تقييم_الأداء_النهائي,21),"")</f>
        <v/>
      </c>
      <c r="L27" s="43">
        <f>IFERROR(INDEX(تقييم_الأداء_التقدير,21),"")</f>
        <v/>
      </c>
    </row>
    <row r="28">
      <c r="A28" s="50">
        <f>IFERROR(INDEX('التدريب'!$A$3:$A$502,22),"")</f>
        <v/>
      </c>
      <c r="B28" s="50">
        <f>IFERROR(INDEX('التدريب'!$B$3:$B$502,22),"")</f>
        <v/>
      </c>
      <c r="C28" s="50">
        <f>IFERROR(INDEX('التدريب'!$C$3:$C$502,22),"")</f>
        <v/>
      </c>
      <c r="D28" s="50">
        <f>IFERROR(INDEX('التدريب'!$D$3:$D$502,22),"")</f>
        <v/>
      </c>
      <c r="E28" s="119">
        <f>IFERROR(INDEX('التدريب'!$E$3:$E$502,22),"")</f>
        <v/>
      </c>
      <c r="F28" s="119">
        <f>IFERROR(INDEX('التدريب'!$F$3:$F$502,22),"")</f>
        <v/>
      </c>
      <c r="G28" s="63">
        <f>IFERROR(INDEX('التدريب'!$G$3:$G$502,22),"")</f>
        <v/>
      </c>
      <c r="H28" s="50">
        <f>IFERROR(INDEX('التدريب'!$H$3:$H$502,22),"")</f>
        <v/>
      </c>
      <c r="I28" s="50">
        <f>IFERROR(INDEX('التدريب'!$I$3:$I$502,22),"")</f>
        <v/>
      </c>
      <c r="J28" s="50">
        <f>IFERROR(INDEX(تقييم_الأداء_الفترة,22),"")</f>
        <v/>
      </c>
      <c r="K28" s="113">
        <f>IFERROR(INDEX(تقييم_الأداء_النهائي,22),"")</f>
        <v/>
      </c>
      <c r="L28" s="50">
        <f>IFERROR(INDEX(تقييم_الأداء_التقدير,22),"")</f>
        <v/>
      </c>
    </row>
    <row r="29">
      <c r="A29" s="43">
        <f>IFERROR(INDEX('التدريب'!$A$3:$A$502,23),"")</f>
        <v/>
      </c>
      <c r="B29" s="43">
        <f>IFERROR(INDEX('التدريب'!$B$3:$B$502,23),"")</f>
        <v/>
      </c>
      <c r="C29" s="43">
        <f>IFERROR(INDEX('التدريب'!$C$3:$C$502,23),"")</f>
        <v/>
      </c>
      <c r="D29" s="43">
        <f>IFERROR(INDEX('التدريب'!$D$3:$D$502,23),"")</f>
        <v/>
      </c>
      <c r="E29" s="118">
        <f>IFERROR(INDEX('التدريب'!$E$3:$E$502,23),"")</f>
        <v/>
      </c>
      <c r="F29" s="118">
        <f>IFERROR(INDEX('التدريب'!$F$3:$F$502,23),"")</f>
        <v/>
      </c>
      <c r="G29" s="60">
        <f>IFERROR(INDEX('التدريب'!$G$3:$G$502,23),"")</f>
        <v/>
      </c>
      <c r="H29" s="43">
        <f>IFERROR(INDEX('التدريب'!$H$3:$H$502,23),"")</f>
        <v/>
      </c>
      <c r="I29" s="43">
        <f>IFERROR(INDEX('التدريب'!$I$3:$I$502,23),"")</f>
        <v/>
      </c>
      <c r="J29" s="43">
        <f>IFERROR(INDEX(تقييم_الأداء_الفترة,23),"")</f>
        <v/>
      </c>
      <c r="K29" s="111">
        <f>IFERROR(INDEX(تقييم_الأداء_النهائي,23),"")</f>
        <v/>
      </c>
      <c r="L29" s="43">
        <f>IFERROR(INDEX(تقييم_الأداء_التقدير,23),"")</f>
        <v/>
      </c>
    </row>
    <row r="30">
      <c r="A30" s="50">
        <f>IFERROR(INDEX('التدريب'!$A$3:$A$502,24),"")</f>
        <v/>
      </c>
      <c r="B30" s="50">
        <f>IFERROR(INDEX('التدريب'!$B$3:$B$502,24),"")</f>
        <v/>
      </c>
      <c r="C30" s="50">
        <f>IFERROR(INDEX('التدريب'!$C$3:$C$502,24),"")</f>
        <v/>
      </c>
      <c r="D30" s="50">
        <f>IFERROR(INDEX('التدريب'!$D$3:$D$502,24),"")</f>
        <v/>
      </c>
      <c r="E30" s="119">
        <f>IFERROR(INDEX('التدريب'!$E$3:$E$502,24),"")</f>
        <v/>
      </c>
      <c r="F30" s="119">
        <f>IFERROR(INDEX('التدريب'!$F$3:$F$502,24),"")</f>
        <v/>
      </c>
      <c r="G30" s="63">
        <f>IFERROR(INDEX('التدريب'!$G$3:$G$502,24),"")</f>
        <v/>
      </c>
      <c r="H30" s="50">
        <f>IFERROR(INDEX('التدريب'!$H$3:$H$502,24),"")</f>
        <v/>
      </c>
      <c r="I30" s="50">
        <f>IFERROR(INDEX('التدريب'!$I$3:$I$502,24),"")</f>
        <v/>
      </c>
      <c r="J30" s="50">
        <f>IFERROR(INDEX(تقييم_الأداء_الفترة,24),"")</f>
        <v/>
      </c>
      <c r="K30" s="113">
        <f>IFERROR(INDEX(تقييم_الأداء_النهائي,24),"")</f>
        <v/>
      </c>
      <c r="L30" s="50">
        <f>IFERROR(INDEX(تقييم_الأداء_التقدير,24),"")</f>
        <v/>
      </c>
    </row>
    <row r="31">
      <c r="A31" s="43">
        <f>IFERROR(INDEX('التدريب'!$A$3:$A$502,25),"")</f>
        <v/>
      </c>
      <c r="B31" s="43">
        <f>IFERROR(INDEX('التدريب'!$B$3:$B$502,25),"")</f>
        <v/>
      </c>
      <c r="C31" s="43">
        <f>IFERROR(INDEX('التدريب'!$C$3:$C$502,25),"")</f>
        <v/>
      </c>
      <c r="D31" s="43">
        <f>IFERROR(INDEX('التدريب'!$D$3:$D$502,25),"")</f>
        <v/>
      </c>
      <c r="E31" s="118">
        <f>IFERROR(INDEX('التدريب'!$E$3:$E$502,25),"")</f>
        <v/>
      </c>
      <c r="F31" s="118">
        <f>IFERROR(INDEX('التدريب'!$F$3:$F$502,25),"")</f>
        <v/>
      </c>
      <c r="G31" s="60">
        <f>IFERROR(INDEX('التدريب'!$G$3:$G$502,25),"")</f>
        <v/>
      </c>
      <c r="H31" s="43">
        <f>IFERROR(INDEX('التدريب'!$H$3:$H$502,25),"")</f>
        <v/>
      </c>
      <c r="I31" s="43">
        <f>IFERROR(INDEX('التدريب'!$I$3:$I$502,25),"")</f>
        <v/>
      </c>
      <c r="J31" s="43">
        <f>IFERROR(INDEX(تقييم_الأداء_الفترة,25),"")</f>
        <v/>
      </c>
      <c r="K31" s="111">
        <f>IFERROR(INDEX(تقييم_الأداء_النهائي,25),"")</f>
        <v/>
      </c>
      <c r="L31" s="43">
        <f>IFERROR(INDEX(تقييم_الأداء_التقدير,25),"")</f>
        <v/>
      </c>
    </row>
    <row r="32">
      <c r="A32" s="50">
        <f>IFERROR(INDEX('التدريب'!$A$3:$A$502,26),"")</f>
        <v/>
      </c>
      <c r="B32" s="50">
        <f>IFERROR(INDEX('التدريب'!$B$3:$B$502,26),"")</f>
        <v/>
      </c>
      <c r="C32" s="50">
        <f>IFERROR(INDEX('التدريب'!$C$3:$C$502,26),"")</f>
        <v/>
      </c>
      <c r="D32" s="50">
        <f>IFERROR(INDEX('التدريب'!$D$3:$D$502,26),"")</f>
        <v/>
      </c>
      <c r="E32" s="119">
        <f>IFERROR(INDEX('التدريب'!$E$3:$E$502,26),"")</f>
        <v/>
      </c>
      <c r="F32" s="119">
        <f>IFERROR(INDEX('التدريب'!$F$3:$F$502,26),"")</f>
        <v/>
      </c>
      <c r="G32" s="63">
        <f>IFERROR(INDEX('التدريب'!$G$3:$G$502,26),"")</f>
        <v/>
      </c>
      <c r="H32" s="50">
        <f>IFERROR(INDEX('التدريب'!$H$3:$H$502,26),"")</f>
        <v/>
      </c>
      <c r="I32" s="50">
        <f>IFERROR(INDEX('التدريب'!$I$3:$I$502,26),"")</f>
        <v/>
      </c>
      <c r="J32" s="50">
        <f>IFERROR(INDEX(تقييم_الأداء_الفترة,26),"")</f>
        <v/>
      </c>
      <c r="K32" s="113">
        <f>IFERROR(INDEX(تقييم_الأداء_النهائي,26),"")</f>
        <v/>
      </c>
      <c r="L32" s="50">
        <f>IFERROR(INDEX(تقييم_الأداء_التقدير,26),"")</f>
        <v/>
      </c>
    </row>
    <row r="33">
      <c r="A33" s="43">
        <f>IFERROR(INDEX('التدريب'!$A$3:$A$502,27),"")</f>
        <v/>
      </c>
      <c r="B33" s="43">
        <f>IFERROR(INDEX('التدريب'!$B$3:$B$502,27),"")</f>
        <v/>
      </c>
      <c r="C33" s="43">
        <f>IFERROR(INDEX('التدريب'!$C$3:$C$502,27),"")</f>
        <v/>
      </c>
      <c r="D33" s="43">
        <f>IFERROR(INDEX('التدريب'!$D$3:$D$502,27),"")</f>
        <v/>
      </c>
      <c r="E33" s="118">
        <f>IFERROR(INDEX('التدريب'!$E$3:$E$502,27),"")</f>
        <v/>
      </c>
      <c r="F33" s="118">
        <f>IFERROR(INDEX('التدريب'!$F$3:$F$502,27),"")</f>
        <v/>
      </c>
      <c r="G33" s="60">
        <f>IFERROR(INDEX('التدريب'!$G$3:$G$502,27),"")</f>
        <v/>
      </c>
      <c r="H33" s="43">
        <f>IFERROR(INDEX('التدريب'!$H$3:$H$502,27),"")</f>
        <v/>
      </c>
      <c r="I33" s="43">
        <f>IFERROR(INDEX('التدريب'!$I$3:$I$502,27),"")</f>
        <v/>
      </c>
      <c r="J33" s="43">
        <f>IFERROR(INDEX(تقييم_الأداء_الفترة,27),"")</f>
        <v/>
      </c>
      <c r="K33" s="111">
        <f>IFERROR(INDEX(تقييم_الأداء_النهائي,27),"")</f>
        <v/>
      </c>
      <c r="L33" s="43">
        <f>IFERROR(INDEX(تقييم_الأداء_التقدير,27),"")</f>
        <v/>
      </c>
    </row>
    <row r="34">
      <c r="A34" s="50">
        <f>IFERROR(INDEX('التدريب'!$A$3:$A$502,28),"")</f>
        <v/>
      </c>
      <c r="B34" s="50">
        <f>IFERROR(INDEX('التدريب'!$B$3:$B$502,28),"")</f>
        <v/>
      </c>
      <c r="C34" s="50">
        <f>IFERROR(INDEX('التدريب'!$C$3:$C$502,28),"")</f>
        <v/>
      </c>
      <c r="D34" s="50">
        <f>IFERROR(INDEX('التدريب'!$D$3:$D$502,28),"")</f>
        <v/>
      </c>
      <c r="E34" s="119">
        <f>IFERROR(INDEX('التدريب'!$E$3:$E$502,28),"")</f>
        <v/>
      </c>
      <c r="F34" s="119">
        <f>IFERROR(INDEX('التدريب'!$F$3:$F$502,28),"")</f>
        <v/>
      </c>
      <c r="G34" s="63">
        <f>IFERROR(INDEX('التدريب'!$G$3:$G$502,28),"")</f>
        <v/>
      </c>
      <c r="H34" s="50">
        <f>IFERROR(INDEX('التدريب'!$H$3:$H$502,28),"")</f>
        <v/>
      </c>
      <c r="I34" s="50">
        <f>IFERROR(INDEX('التدريب'!$I$3:$I$502,28),"")</f>
        <v/>
      </c>
      <c r="J34" s="50">
        <f>IFERROR(INDEX(تقييم_الأداء_الفترة,28),"")</f>
        <v/>
      </c>
      <c r="K34" s="113">
        <f>IFERROR(INDEX(تقييم_الأداء_النهائي,28),"")</f>
        <v/>
      </c>
      <c r="L34" s="50">
        <f>IFERROR(INDEX(تقييم_الأداء_التقدير,28),"")</f>
        <v/>
      </c>
    </row>
    <row r="35">
      <c r="A35" s="43">
        <f>IFERROR(INDEX('التدريب'!$A$3:$A$502,29),"")</f>
        <v/>
      </c>
      <c r="B35" s="43">
        <f>IFERROR(INDEX('التدريب'!$B$3:$B$502,29),"")</f>
        <v/>
      </c>
      <c r="C35" s="43">
        <f>IFERROR(INDEX('التدريب'!$C$3:$C$502,29),"")</f>
        <v/>
      </c>
      <c r="D35" s="43">
        <f>IFERROR(INDEX('التدريب'!$D$3:$D$502,29),"")</f>
        <v/>
      </c>
      <c r="E35" s="118">
        <f>IFERROR(INDEX('التدريب'!$E$3:$E$502,29),"")</f>
        <v/>
      </c>
      <c r="F35" s="118">
        <f>IFERROR(INDEX('التدريب'!$F$3:$F$502,29),"")</f>
        <v/>
      </c>
      <c r="G35" s="60">
        <f>IFERROR(INDEX('التدريب'!$G$3:$G$502,29),"")</f>
        <v/>
      </c>
      <c r="H35" s="43">
        <f>IFERROR(INDEX('التدريب'!$H$3:$H$502,29),"")</f>
        <v/>
      </c>
      <c r="I35" s="43">
        <f>IFERROR(INDEX('التدريب'!$I$3:$I$502,29),"")</f>
        <v/>
      </c>
      <c r="J35" s="43">
        <f>IFERROR(INDEX(تقييم_الأداء_الفترة,29),"")</f>
        <v/>
      </c>
      <c r="K35" s="111">
        <f>IFERROR(INDEX(تقييم_الأداء_النهائي,29),"")</f>
        <v/>
      </c>
      <c r="L35" s="43">
        <f>IFERROR(INDEX(تقييم_الأداء_التقدير,29),"")</f>
        <v/>
      </c>
    </row>
    <row r="36">
      <c r="A36" s="50">
        <f>IFERROR(INDEX('التدريب'!$A$3:$A$502,30),"")</f>
        <v/>
      </c>
      <c r="B36" s="50">
        <f>IFERROR(INDEX('التدريب'!$B$3:$B$502,30),"")</f>
        <v/>
      </c>
      <c r="C36" s="50">
        <f>IFERROR(INDEX('التدريب'!$C$3:$C$502,30),"")</f>
        <v/>
      </c>
      <c r="D36" s="50">
        <f>IFERROR(INDEX('التدريب'!$D$3:$D$502,30),"")</f>
        <v/>
      </c>
      <c r="E36" s="119">
        <f>IFERROR(INDEX('التدريب'!$E$3:$E$502,30),"")</f>
        <v/>
      </c>
      <c r="F36" s="119">
        <f>IFERROR(INDEX('التدريب'!$F$3:$F$502,30),"")</f>
        <v/>
      </c>
      <c r="G36" s="63">
        <f>IFERROR(INDEX('التدريب'!$G$3:$G$502,30),"")</f>
        <v/>
      </c>
      <c r="H36" s="50">
        <f>IFERROR(INDEX('التدريب'!$H$3:$H$502,30),"")</f>
        <v/>
      </c>
      <c r="I36" s="50">
        <f>IFERROR(INDEX('التدريب'!$I$3:$I$502,30),"")</f>
        <v/>
      </c>
      <c r="J36" s="50">
        <f>IFERROR(INDEX(تقييم_الأداء_الفترة,30),"")</f>
        <v/>
      </c>
      <c r="K36" s="113">
        <f>IFERROR(INDEX(تقييم_الأداء_النهائي,30),"")</f>
        <v/>
      </c>
      <c r="L36" s="50">
        <f>IFERROR(INDEX(تقييم_الأداء_التقدير,30),"")</f>
        <v/>
      </c>
    </row>
    <row r="37">
      <c r="A37" s="43">
        <f>IFERROR(INDEX('التدريب'!$A$3:$A$502,31),"")</f>
        <v/>
      </c>
      <c r="B37" s="43">
        <f>IFERROR(INDEX('التدريب'!$B$3:$B$502,31),"")</f>
        <v/>
      </c>
      <c r="C37" s="43">
        <f>IFERROR(INDEX('التدريب'!$C$3:$C$502,31),"")</f>
        <v/>
      </c>
      <c r="D37" s="43">
        <f>IFERROR(INDEX('التدريب'!$D$3:$D$502,31),"")</f>
        <v/>
      </c>
      <c r="E37" s="118">
        <f>IFERROR(INDEX('التدريب'!$E$3:$E$502,31),"")</f>
        <v/>
      </c>
      <c r="F37" s="118">
        <f>IFERROR(INDEX('التدريب'!$F$3:$F$502,31),"")</f>
        <v/>
      </c>
      <c r="G37" s="60">
        <f>IFERROR(INDEX('التدريب'!$G$3:$G$502,31),"")</f>
        <v/>
      </c>
      <c r="H37" s="43">
        <f>IFERROR(INDEX('التدريب'!$H$3:$H$502,31),"")</f>
        <v/>
      </c>
      <c r="I37" s="43">
        <f>IFERROR(INDEX('التدريب'!$I$3:$I$502,31),"")</f>
        <v/>
      </c>
      <c r="J37" s="43">
        <f>IFERROR(INDEX(تقييم_الأداء_الفترة,31),"")</f>
        <v/>
      </c>
      <c r="K37" s="111">
        <f>IFERROR(INDEX(تقييم_الأداء_النهائي,31),"")</f>
        <v/>
      </c>
      <c r="L37" s="43">
        <f>IFERROR(INDEX(تقييم_الأداء_التقدير,31),"")</f>
        <v/>
      </c>
    </row>
    <row r="38">
      <c r="A38" s="50">
        <f>IFERROR(INDEX('التدريب'!$A$3:$A$502,32),"")</f>
        <v/>
      </c>
      <c r="B38" s="50">
        <f>IFERROR(INDEX('التدريب'!$B$3:$B$502,32),"")</f>
        <v/>
      </c>
      <c r="C38" s="50">
        <f>IFERROR(INDEX('التدريب'!$C$3:$C$502,32),"")</f>
        <v/>
      </c>
      <c r="D38" s="50">
        <f>IFERROR(INDEX('التدريب'!$D$3:$D$502,32),"")</f>
        <v/>
      </c>
      <c r="E38" s="119">
        <f>IFERROR(INDEX('التدريب'!$E$3:$E$502,32),"")</f>
        <v/>
      </c>
      <c r="F38" s="119">
        <f>IFERROR(INDEX('التدريب'!$F$3:$F$502,32),"")</f>
        <v/>
      </c>
      <c r="G38" s="63">
        <f>IFERROR(INDEX('التدريب'!$G$3:$G$502,32),"")</f>
        <v/>
      </c>
      <c r="H38" s="50">
        <f>IFERROR(INDEX('التدريب'!$H$3:$H$502,32),"")</f>
        <v/>
      </c>
      <c r="I38" s="50">
        <f>IFERROR(INDEX('التدريب'!$I$3:$I$502,32),"")</f>
        <v/>
      </c>
      <c r="J38" s="50">
        <f>IFERROR(INDEX(تقييم_الأداء_الفترة,32),"")</f>
        <v/>
      </c>
      <c r="K38" s="113">
        <f>IFERROR(INDEX(تقييم_الأداء_النهائي,32),"")</f>
        <v/>
      </c>
      <c r="L38" s="50">
        <f>IFERROR(INDEX(تقييم_الأداء_التقدير,32),"")</f>
        <v/>
      </c>
    </row>
    <row r="39">
      <c r="A39" s="43">
        <f>IFERROR(INDEX('التدريب'!$A$3:$A$502,33),"")</f>
        <v/>
      </c>
      <c r="B39" s="43">
        <f>IFERROR(INDEX('التدريب'!$B$3:$B$502,33),"")</f>
        <v/>
      </c>
      <c r="C39" s="43">
        <f>IFERROR(INDEX('التدريب'!$C$3:$C$502,33),"")</f>
        <v/>
      </c>
      <c r="D39" s="43">
        <f>IFERROR(INDEX('التدريب'!$D$3:$D$502,33),"")</f>
        <v/>
      </c>
      <c r="E39" s="118">
        <f>IFERROR(INDEX('التدريب'!$E$3:$E$502,33),"")</f>
        <v/>
      </c>
      <c r="F39" s="118">
        <f>IFERROR(INDEX('التدريب'!$F$3:$F$502,33),"")</f>
        <v/>
      </c>
      <c r="G39" s="60">
        <f>IFERROR(INDEX('التدريب'!$G$3:$G$502,33),"")</f>
        <v/>
      </c>
      <c r="H39" s="43">
        <f>IFERROR(INDEX('التدريب'!$H$3:$H$502,33),"")</f>
        <v/>
      </c>
      <c r="I39" s="43">
        <f>IFERROR(INDEX('التدريب'!$I$3:$I$502,33),"")</f>
        <v/>
      </c>
      <c r="J39" s="43">
        <f>IFERROR(INDEX(تقييم_الأداء_الفترة,33),"")</f>
        <v/>
      </c>
      <c r="K39" s="111">
        <f>IFERROR(INDEX(تقييم_الأداء_النهائي,33),"")</f>
        <v/>
      </c>
      <c r="L39" s="43">
        <f>IFERROR(INDEX(تقييم_الأداء_التقدير,33),"")</f>
        <v/>
      </c>
    </row>
    <row r="40">
      <c r="A40" s="50">
        <f>IFERROR(INDEX('التدريب'!$A$3:$A$502,34),"")</f>
        <v/>
      </c>
      <c r="B40" s="50">
        <f>IFERROR(INDEX('التدريب'!$B$3:$B$502,34),"")</f>
        <v/>
      </c>
      <c r="C40" s="50">
        <f>IFERROR(INDEX('التدريب'!$C$3:$C$502,34),"")</f>
        <v/>
      </c>
      <c r="D40" s="50">
        <f>IFERROR(INDEX('التدريب'!$D$3:$D$502,34),"")</f>
        <v/>
      </c>
      <c r="E40" s="119">
        <f>IFERROR(INDEX('التدريب'!$E$3:$E$502,34),"")</f>
        <v/>
      </c>
      <c r="F40" s="119">
        <f>IFERROR(INDEX('التدريب'!$F$3:$F$502,34),"")</f>
        <v/>
      </c>
      <c r="G40" s="63">
        <f>IFERROR(INDEX('التدريب'!$G$3:$G$502,34),"")</f>
        <v/>
      </c>
      <c r="H40" s="50">
        <f>IFERROR(INDEX('التدريب'!$H$3:$H$502,34),"")</f>
        <v/>
      </c>
      <c r="I40" s="50">
        <f>IFERROR(INDEX('التدريب'!$I$3:$I$502,34),"")</f>
        <v/>
      </c>
      <c r="J40" s="50">
        <f>IFERROR(INDEX(تقييم_الأداء_الفترة,34),"")</f>
        <v/>
      </c>
      <c r="K40" s="113">
        <f>IFERROR(INDEX(تقييم_الأداء_النهائي,34),"")</f>
        <v/>
      </c>
      <c r="L40" s="50">
        <f>IFERROR(INDEX(تقييم_الأداء_التقدير,34),"")</f>
        <v/>
      </c>
    </row>
    <row r="41">
      <c r="A41" s="43">
        <f>IFERROR(INDEX('التدريب'!$A$3:$A$502,35),"")</f>
        <v/>
      </c>
      <c r="B41" s="43">
        <f>IFERROR(INDEX('التدريب'!$B$3:$B$502,35),"")</f>
        <v/>
      </c>
      <c r="C41" s="43">
        <f>IFERROR(INDEX('التدريب'!$C$3:$C$502,35),"")</f>
        <v/>
      </c>
      <c r="D41" s="43">
        <f>IFERROR(INDEX('التدريب'!$D$3:$D$502,35),"")</f>
        <v/>
      </c>
      <c r="E41" s="118">
        <f>IFERROR(INDEX('التدريب'!$E$3:$E$502,35),"")</f>
        <v/>
      </c>
      <c r="F41" s="118">
        <f>IFERROR(INDEX('التدريب'!$F$3:$F$502,35),"")</f>
        <v/>
      </c>
      <c r="G41" s="60">
        <f>IFERROR(INDEX('التدريب'!$G$3:$G$502,35),"")</f>
        <v/>
      </c>
      <c r="H41" s="43">
        <f>IFERROR(INDEX('التدريب'!$H$3:$H$502,35),"")</f>
        <v/>
      </c>
      <c r="I41" s="43">
        <f>IFERROR(INDEX('التدريب'!$I$3:$I$502,35),"")</f>
        <v/>
      </c>
      <c r="J41" s="43">
        <f>IFERROR(INDEX(تقييم_الأداء_الفترة,35),"")</f>
        <v/>
      </c>
      <c r="K41" s="111">
        <f>IFERROR(INDEX(تقييم_الأداء_النهائي,35),"")</f>
        <v/>
      </c>
      <c r="L41" s="43">
        <f>IFERROR(INDEX(تقييم_الأداء_التقدير,35),"")</f>
        <v/>
      </c>
    </row>
    <row r="42">
      <c r="A42" s="50">
        <f>IFERROR(INDEX('التدريب'!$A$3:$A$502,36),"")</f>
        <v/>
      </c>
      <c r="B42" s="50">
        <f>IFERROR(INDEX('التدريب'!$B$3:$B$502,36),"")</f>
        <v/>
      </c>
      <c r="C42" s="50">
        <f>IFERROR(INDEX('التدريب'!$C$3:$C$502,36),"")</f>
        <v/>
      </c>
      <c r="D42" s="50">
        <f>IFERROR(INDEX('التدريب'!$D$3:$D$502,36),"")</f>
        <v/>
      </c>
      <c r="E42" s="119">
        <f>IFERROR(INDEX('التدريب'!$E$3:$E$502,36),"")</f>
        <v/>
      </c>
      <c r="F42" s="119">
        <f>IFERROR(INDEX('التدريب'!$F$3:$F$502,36),"")</f>
        <v/>
      </c>
      <c r="G42" s="63">
        <f>IFERROR(INDEX('التدريب'!$G$3:$G$502,36),"")</f>
        <v/>
      </c>
      <c r="H42" s="50">
        <f>IFERROR(INDEX('التدريب'!$H$3:$H$502,36),"")</f>
        <v/>
      </c>
      <c r="I42" s="50">
        <f>IFERROR(INDEX('التدريب'!$I$3:$I$502,36),"")</f>
        <v/>
      </c>
      <c r="J42" s="50">
        <f>IFERROR(INDEX(تقييم_الأداء_الفترة,36),"")</f>
        <v/>
      </c>
      <c r="K42" s="113">
        <f>IFERROR(INDEX(تقييم_الأداء_النهائي,36),"")</f>
        <v/>
      </c>
      <c r="L42" s="50">
        <f>IFERROR(INDEX(تقييم_الأداء_التقدير,36),"")</f>
        <v/>
      </c>
    </row>
    <row r="43">
      <c r="A43" s="43">
        <f>IFERROR(INDEX('التدريب'!$A$3:$A$502,37),"")</f>
        <v/>
      </c>
      <c r="B43" s="43">
        <f>IFERROR(INDEX('التدريب'!$B$3:$B$502,37),"")</f>
        <v/>
      </c>
      <c r="C43" s="43">
        <f>IFERROR(INDEX('التدريب'!$C$3:$C$502,37),"")</f>
        <v/>
      </c>
      <c r="D43" s="43">
        <f>IFERROR(INDEX('التدريب'!$D$3:$D$502,37),"")</f>
        <v/>
      </c>
      <c r="E43" s="118">
        <f>IFERROR(INDEX('التدريب'!$E$3:$E$502,37),"")</f>
        <v/>
      </c>
      <c r="F43" s="118">
        <f>IFERROR(INDEX('التدريب'!$F$3:$F$502,37),"")</f>
        <v/>
      </c>
      <c r="G43" s="60">
        <f>IFERROR(INDEX('التدريب'!$G$3:$G$502,37),"")</f>
        <v/>
      </c>
      <c r="H43" s="43">
        <f>IFERROR(INDEX('التدريب'!$H$3:$H$502,37),"")</f>
        <v/>
      </c>
      <c r="I43" s="43">
        <f>IFERROR(INDEX('التدريب'!$I$3:$I$502,37),"")</f>
        <v/>
      </c>
      <c r="J43" s="43">
        <f>IFERROR(INDEX(تقييم_الأداء_الفترة,37),"")</f>
        <v/>
      </c>
      <c r="K43" s="111">
        <f>IFERROR(INDEX(تقييم_الأداء_النهائي,37),"")</f>
        <v/>
      </c>
      <c r="L43" s="43">
        <f>IFERROR(INDEX(تقييم_الأداء_التقدير,37),"")</f>
        <v/>
      </c>
    </row>
    <row r="44">
      <c r="A44" s="50">
        <f>IFERROR(INDEX('التدريب'!$A$3:$A$502,38),"")</f>
        <v/>
      </c>
      <c r="B44" s="50">
        <f>IFERROR(INDEX('التدريب'!$B$3:$B$502,38),"")</f>
        <v/>
      </c>
      <c r="C44" s="50">
        <f>IFERROR(INDEX('التدريب'!$C$3:$C$502,38),"")</f>
        <v/>
      </c>
      <c r="D44" s="50">
        <f>IFERROR(INDEX('التدريب'!$D$3:$D$502,38),"")</f>
        <v/>
      </c>
      <c r="E44" s="119">
        <f>IFERROR(INDEX('التدريب'!$E$3:$E$502,38),"")</f>
        <v/>
      </c>
      <c r="F44" s="119">
        <f>IFERROR(INDEX('التدريب'!$F$3:$F$502,38),"")</f>
        <v/>
      </c>
      <c r="G44" s="63">
        <f>IFERROR(INDEX('التدريب'!$G$3:$G$502,38),"")</f>
        <v/>
      </c>
      <c r="H44" s="50">
        <f>IFERROR(INDEX('التدريب'!$H$3:$H$502,38),"")</f>
        <v/>
      </c>
      <c r="I44" s="50">
        <f>IFERROR(INDEX('التدريب'!$I$3:$I$502,38),"")</f>
        <v/>
      </c>
      <c r="J44" s="50">
        <f>IFERROR(INDEX(تقييم_الأداء_الفترة,38),"")</f>
        <v/>
      </c>
      <c r="K44" s="113">
        <f>IFERROR(INDEX(تقييم_الأداء_النهائي,38),"")</f>
        <v/>
      </c>
      <c r="L44" s="50">
        <f>IFERROR(INDEX(تقييم_الأداء_التقدير,38),"")</f>
        <v/>
      </c>
    </row>
    <row r="45">
      <c r="A45" s="43">
        <f>IFERROR(INDEX('التدريب'!$A$3:$A$502,39),"")</f>
        <v/>
      </c>
      <c r="B45" s="43">
        <f>IFERROR(INDEX('التدريب'!$B$3:$B$502,39),"")</f>
        <v/>
      </c>
      <c r="C45" s="43">
        <f>IFERROR(INDEX('التدريب'!$C$3:$C$502,39),"")</f>
        <v/>
      </c>
      <c r="D45" s="43">
        <f>IFERROR(INDEX('التدريب'!$D$3:$D$502,39),"")</f>
        <v/>
      </c>
      <c r="E45" s="118">
        <f>IFERROR(INDEX('التدريب'!$E$3:$E$502,39),"")</f>
        <v/>
      </c>
      <c r="F45" s="118">
        <f>IFERROR(INDEX('التدريب'!$F$3:$F$502,39),"")</f>
        <v/>
      </c>
      <c r="G45" s="60">
        <f>IFERROR(INDEX('التدريب'!$G$3:$G$502,39),"")</f>
        <v/>
      </c>
      <c r="H45" s="43">
        <f>IFERROR(INDEX('التدريب'!$H$3:$H$502,39),"")</f>
        <v/>
      </c>
      <c r="I45" s="43">
        <f>IFERROR(INDEX('التدريب'!$I$3:$I$502,39),"")</f>
        <v/>
      </c>
      <c r="J45" s="43">
        <f>IFERROR(INDEX(تقييم_الأداء_الفترة,39),"")</f>
        <v/>
      </c>
      <c r="K45" s="111">
        <f>IFERROR(INDEX(تقييم_الأداء_النهائي,39),"")</f>
        <v/>
      </c>
      <c r="L45" s="43">
        <f>IFERROR(INDEX(تقييم_الأداء_التقدير,39),"")</f>
        <v/>
      </c>
    </row>
    <row r="46">
      <c r="A46" s="50">
        <f>IFERROR(INDEX('التدريب'!$A$3:$A$502,40),"")</f>
        <v/>
      </c>
      <c r="B46" s="50">
        <f>IFERROR(INDEX('التدريب'!$B$3:$B$502,40),"")</f>
        <v/>
      </c>
      <c r="C46" s="50">
        <f>IFERROR(INDEX('التدريب'!$C$3:$C$502,40),"")</f>
        <v/>
      </c>
      <c r="D46" s="50">
        <f>IFERROR(INDEX('التدريب'!$D$3:$D$502,40),"")</f>
        <v/>
      </c>
      <c r="E46" s="119">
        <f>IFERROR(INDEX('التدريب'!$E$3:$E$502,40),"")</f>
        <v/>
      </c>
      <c r="F46" s="119">
        <f>IFERROR(INDEX('التدريب'!$F$3:$F$502,40),"")</f>
        <v/>
      </c>
      <c r="G46" s="63">
        <f>IFERROR(INDEX('التدريب'!$G$3:$G$502,40),"")</f>
        <v/>
      </c>
      <c r="H46" s="50">
        <f>IFERROR(INDEX('التدريب'!$H$3:$H$502,40),"")</f>
        <v/>
      </c>
      <c r="I46" s="50">
        <f>IFERROR(INDEX('التدريب'!$I$3:$I$502,40),"")</f>
        <v/>
      </c>
      <c r="J46" s="50">
        <f>IFERROR(INDEX(تقييم_الأداء_الفترة,40),"")</f>
        <v/>
      </c>
      <c r="K46" s="113">
        <f>IFERROR(INDEX(تقييم_الأداء_النهائي,40),"")</f>
        <v/>
      </c>
      <c r="L46" s="50">
        <f>IFERROR(INDEX(تقييم_الأداء_التقدير,40),"")</f>
        <v/>
      </c>
    </row>
    <row r="47">
      <c r="A47" s="43">
        <f>IFERROR(INDEX('التدريب'!$A$3:$A$502,41),"")</f>
        <v/>
      </c>
      <c r="B47" s="43">
        <f>IFERROR(INDEX('التدريب'!$B$3:$B$502,41),"")</f>
        <v/>
      </c>
      <c r="C47" s="43">
        <f>IFERROR(INDEX('التدريب'!$C$3:$C$502,41),"")</f>
        <v/>
      </c>
      <c r="D47" s="43">
        <f>IFERROR(INDEX('التدريب'!$D$3:$D$502,41),"")</f>
        <v/>
      </c>
      <c r="E47" s="118">
        <f>IFERROR(INDEX('التدريب'!$E$3:$E$502,41),"")</f>
        <v/>
      </c>
      <c r="F47" s="118">
        <f>IFERROR(INDEX('التدريب'!$F$3:$F$502,41),"")</f>
        <v/>
      </c>
      <c r="G47" s="60">
        <f>IFERROR(INDEX('التدريب'!$G$3:$G$502,41),"")</f>
        <v/>
      </c>
      <c r="H47" s="43">
        <f>IFERROR(INDEX('التدريب'!$H$3:$H$502,41),"")</f>
        <v/>
      </c>
      <c r="I47" s="43">
        <f>IFERROR(INDEX('التدريب'!$I$3:$I$502,41),"")</f>
        <v/>
      </c>
      <c r="J47" s="43">
        <f>IFERROR(INDEX(تقييم_الأداء_الفترة,41),"")</f>
        <v/>
      </c>
      <c r="K47" s="111">
        <f>IFERROR(INDEX(تقييم_الأداء_النهائي,41),"")</f>
        <v/>
      </c>
      <c r="L47" s="43">
        <f>IFERROR(INDEX(تقييم_الأداء_التقدير,41),"")</f>
        <v/>
      </c>
    </row>
    <row r="48">
      <c r="A48" s="50">
        <f>IFERROR(INDEX('التدريب'!$A$3:$A$502,42),"")</f>
        <v/>
      </c>
      <c r="B48" s="50">
        <f>IFERROR(INDEX('التدريب'!$B$3:$B$502,42),"")</f>
        <v/>
      </c>
      <c r="C48" s="50">
        <f>IFERROR(INDEX('التدريب'!$C$3:$C$502,42),"")</f>
        <v/>
      </c>
      <c r="D48" s="50">
        <f>IFERROR(INDEX('التدريب'!$D$3:$D$502,42),"")</f>
        <v/>
      </c>
      <c r="E48" s="119">
        <f>IFERROR(INDEX('التدريب'!$E$3:$E$502,42),"")</f>
        <v/>
      </c>
      <c r="F48" s="119">
        <f>IFERROR(INDEX('التدريب'!$F$3:$F$502,42),"")</f>
        <v/>
      </c>
      <c r="G48" s="63">
        <f>IFERROR(INDEX('التدريب'!$G$3:$G$502,42),"")</f>
        <v/>
      </c>
      <c r="H48" s="50">
        <f>IFERROR(INDEX('التدريب'!$H$3:$H$502,42),"")</f>
        <v/>
      </c>
      <c r="I48" s="50">
        <f>IFERROR(INDEX('التدريب'!$I$3:$I$502,42),"")</f>
        <v/>
      </c>
      <c r="J48" s="50">
        <f>IFERROR(INDEX(تقييم_الأداء_الفترة,42),"")</f>
        <v/>
      </c>
      <c r="K48" s="113">
        <f>IFERROR(INDEX(تقييم_الأداء_النهائي,42),"")</f>
        <v/>
      </c>
      <c r="L48" s="50">
        <f>IFERROR(INDEX(تقييم_الأداء_التقدير,42),"")</f>
        <v/>
      </c>
    </row>
    <row r="49">
      <c r="A49" s="43">
        <f>IFERROR(INDEX('التدريب'!$A$3:$A$502,43),"")</f>
        <v/>
      </c>
      <c r="B49" s="43">
        <f>IFERROR(INDEX('التدريب'!$B$3:$B$502,43),"")</f>
        <v/>
      </c>
      <c r="C49" s="43">
        <f>IFERROR(INDEX('التدريب'!$C$3:$C$502,43),"")</f>
        <v/>
      </c>
      <c r="D49" s="43">
        <f>IFERROR(INDEX('التدريب'!$D$3:$D$502,43),"")</f>
        <v/>
      </c>
      <c r="E49" s="118">
        <f>IFERROR(INDEX('التدريب'!$E$3:$E$502,43),"")</f>
        <v/>
      </c>
      <c r="F49" s="118">
        <f>IFERROR(INDEX('التدريب'!$F$3:$F$502,43),"")</f>
        <v/>
      </c>
      <c r="G49" s="60">
        <f>IFERROR(INDEX('التدريب'!$G$3:$G$502,43),"")</f>
        <v/>
      </c>
      <c r="H49" s="43">
        <f>IFERROR(INDEX('التدريب'!$H$3:$H$502,43),"")</f>
        <v/>
      </c>
      <c r="I49" s="43">
        <f>IFERROR(INDEX('التدريب'!$I$3:$I$502,43),"")</f>
        <v/>
      </c>
      <c r="J49" s="43">
        <f>IFERROR(INDEX(تقييم_الأداء_الفترة,43),"")</f>
        <v/>
      </c>
      <c r="K49" s="111">
        <f>IFERROR(INDEX(تقييم_الأداء_النهائي,43),"")</f>
        <v/>
      </c>
      <c r="L49" s="43">
        <f>IFERROR(INDEX(تقييم_الأداء_التقدير,43),"")</f>
        <v/>
      </c>
    </row>
    <row r="50">
      <c r="A50" s="50">
        <f>IFERROR(INDEX('التدريب'!$A$3:$A$502,44),"")</f>
        <v/>
      </c>
      <c r="B50" s="50">
        <f>IFERROR(INDEX('التدريب'!$B$3:$B$502,44),"")</f>
        <v/>
      </c>
      <c r="C50" s="50">
        <f>IFERROR(INDEX('التدريب'!$C$3:$C$502,44),"")</f>
        <v/>
      </c>
      <c r="D50" s="50">
        <f>IFERROR(INDEX('التدريب'!$D$3:$D$502,44),"")</f>
        <v/>
      </c>
      <c r="E50" s="119">
        <f>IFERROR(INDEX('التدريب'!$E$3:$E$502,44),"")</f>
        <v/>
      </c>
      <c r="F50" s="119">
        <f>IFERROR(INDEX('التدريب'!$F$3:$F$502,44),"")</f>
        <v/>
      </c>
      <c r="G50" s="63">
        <f>IFERROR(INDEX('التدريب'!$G$3:$G$502,44),"")</f>
        <v/>
      </c>
      <c r="H50" s="50">
        <f>IFERROR(INDEX('التدريب'!$H$3:$H$502,44),"")</f>
        <v/>
      </c>
      <c r="I50" s="50">
        <f>IFERROR(INDEX('التدريب'!$I$3:$I$502,44),"")</f>
        <v/>
      </c>
      <c r="J50" s="50">
        <f>IFERROR(INDEX(تقييم_الأداء_الفترة,44),"")</f>
        <v/>
      </c>
      <c r="K50" s="113">
        <f>IFERROR(INDEX(تقييم_الأداء_النهائي,44),"")</f>
        <v/>
      </c>
      <c r="L50" s="50">
        <f>IFERROR(INDEX(تقييم_الأداء_التقدير,44),"")</f>
        <v/>
      </c>
    </row>
    <row r="51">
      <c r="A51" s="43">
        <f>IFERROR(INDEX('التدريب'!$A$3:$A$502,45),"")</f>
        <v/>
      </c>
      <c r="B51" s="43">
        <f>IFERROR(INDEX('التدريب'!$B$3:$B$502,45),"")</f>
        <v/>
      </c>
      <c r="C51" s="43">
        <f>IFERROR(INDEX('التدريب'!$C$3:$C$502,45),"")</f>
        <v/>
      </c>
      <c r="D51" s="43">
        <f>IFERROR(INDEX('التدريب'!$D$3:$D$502,45),"")</f>
        <v/>
      </c>
      <c r="E51" s="118">
        <f>IFERROR(INDEX('التدريب'!$E$3:$E$502,45),"")</f>
        <v/>
      </c>
      <c r="F51" s="118">
        <f>IFERROR(INDEX('التدريب'!$F$3:$F$502,45),"")</f>
        <v/>
      </c>
      <c r="G51" s="60">
        <f>IFERROR(INDEX('التدريب'!$G$3:$G$502,45),"")</f>
        <v/>
      </c>
      <c r="H51" s="43">
        <f>IFERROR(INDEX('التدريب'!$H$3:$H$502,45),"")</f>
        <v/>
      </c>
      <c r="I51" s="43">
        <f>IFERROR(INDEX('التدريب'!$I$3:$I$502,45),"")</f>
        <v/>
      </c>
      <c r="J51" s="43">
        <f>IFERROR(INDEX(تقييم_الأداء_الفترة,45),"")</f>
        <v/>
      </c>
      <c r="K51" s="111">
        <f>IFERROR(INDEX(تقييم_الأداء_النهائي,45),"")</f>
        <v/>
      </c>
      <c r="L51" s="43">
        <f>IFERROR(INDEX(تقييم_الأداء_التقدير,45),"")</f>
        <v/>
      </c>
    </row>
    <row r="52">
      <c r="A52" s="50">
        <f>IFERROR(INDEX('التدريب'!$A$3:$A$502,46),"")</f>
        <v/>
      </c>
      <c r="B52" s="50">
        <f>IFERROR(INDEX('التدريب'!$B$3:$B$502,46),"")</f>
        <v/>
      </c>
      <c r="C52" s="50">
        <f>IFERROR(INDEX('التدريب'!$C$3:$C$502,46),"")</f>
        <v/>
      </c>
      <c r="D52" s="50">
        <f>IFERROR(INDEX('التدريب'!$D$3:$D$502,46),"")</f>
        <v/>
      </c>
      <c r="E52" s="119">
        <f>IFERROR(INDEX('التدريب'!$E$3:$E$502,46),"")</f>
        <v/>
      </c>
      <c r="F52" s="119">
        <f>IFERROR(INDEX('التدريب'!$F$3:$F$502,46),"")</f>
        <v/>
      </c>
      <c r="G52" s="63">
        <f>IFERROR(INDEX('التدريب'!$G$3:$G$502,46),"")</f>
        <v/>
      </c>
      <c r="H52" s="50">
        <f>IFERROR(INDEX('التدريب'!$H$3:$H$502,46),"")</f>
        <v/>
      </c>
      <c r="I52" s="50">
        <f>IFERROR(INDEX('التدريب'!$I$3:$I$502,46),"")</f>
        <v/>
      </c>
      <c r="J52" s="50">
        <f>IFERROR(INDEX(تقييم_الأداء_الفترة,46),"")</f>
        <v/>
      </c>
      <c r="K52" s="113">
        <f>IFERROR(INDEX(تقييم_الأداء_النهائي,46),"")</f>
        <v/>
      </c>
      <c r="L52" s="50">
        <f>IFERROR(INDEX(تقييم_الأداء_التقدير,46),"")</f>
        <v/>
      </c>
    </row>
    <row r="53">
      <c r="A53" s="43">
        <f>IFERROR(INDEX('التدريب'!$A$3:$A$502,47),"")</f>
        <v/>
      </c>
      <c r="B53" s="43">
        <f>IFERROR(INDEX('التدريب'!$B$3:$B$502,47),"")</f>
        <v/>
      </c>
      <c r="C53" s="43">
        <f>IFERROR(INDEX('التدريب'!$C$3:$C$502,47),"")</f>
        <v/>
      </c>
      <c r="D53" s="43">
        <f>IFERROR(INDEX('التدريب'!$D$3:$D$502,47),"")</f>
        <v/>
      </c>
      <c r="E53" s="118">
        <f>IFERROR(INDEX('التدريب'!$E$3:$E$502,47),"")</f>
        <v/>
      </c>
      <c r="F53" s="118">
        <f>IFERROR(INDEX('التدريب'!$F$3:$F$502,47),"")</f>
        <v/>
      </c>
      <c r="G53" s="60">
        <f>IFERROR(INDEX('التدريب'!$G$3:$G$502,47),"")</f>
        <v/>
      </c>
      <c r="H53" s="43">
        <f>IFERROR(INDEX('التدريب'!$H$3:$H$502,47),"")</f>
        <v/>
      </c>
      <c r="I53" s="43">
        <f>IFERROR(INDEX('التدريب'!$I$3:$I$502,47),"")</f>
        <v/>
      </c>
      <c r="J53" s="43">
        <f>IFERROR(INDEX(تقييم_الأداء_الفترة,47),"")</f>
        <v/>
      </c>
      <c r="K53" s="111">
        <f>IFERROR(INDEX(تقييم_الأداء_النهائي,47),"")</f>
        <v/>
      </c>
      <c r="L53" s="43">
        <f>IFERROR(INDEX(تقييم_الأداء_التقدير,47),"")</f>
        <v/>
      </c>
    </row>
    <row r="54">
      <c r="A54" s="50">
        <f>IFERROR(INDEX('التدريب'!$A$3:$A$502,48),"")</f>
        <v/>
      </c>
      <c r="B54" s="50">
        <f>IFERROR(INDEX('التدريب'!$B$3:$B$502,48),"")</f>
        <v/>
      </c>
      <c r="C54" s="50">
        <f>IFERROR(INDEX('التدريب'!$C$3:$C$502,48),"")</f>
        <v/>
      </c>
      <c r="D54" s="50">
        <f>IFERROR(INDEX('التدريب'!$D$3:$D$502,48),"")</f>
        <v/>
      </c>
      <c r="E54" s="119">
        <f>IFERROR(INDEX('التدريب'!$E$3:$E$502,48),"")</f>
        <v/>
      </c>
      <c r="F54" s="119">
        <f>IFERROR(INDEX('التدريب'!$F$3:$F$502,48),"")</f>
        <v/>
      </c>
      <c r="G54" s="63">
        <f>IFERROR(INDEX('التدريب'!$G$3:$G$502,48),"")</f>
        <v/>
      </c>
      <c r="H54" s="50">
        <f>IFERROR(INDEX('التدريب'!$H$3:$H$502,48),"")</f>
        <v/>
      </c>
      <c r="I54" s="50">
        <f>IFERROR(INDEX('التدريب'!$I$3:$I$502,48),"")</f>
        <v/>
      </c>
      <c r="J54" s="50">
        <f>IFERROR(INDEX(تقييم_الأداء_الفترة,48),"")</f>
        <v/>
      </c>
      <c r="K54" s="113">
        <f>IFERROR(INDEX(تقييم_الأداء_النهائي,48),"")</f>
        <v/>
      </c>
      <c r="L54" s="50">
        <f>IFERROR(INDEX(تقييم_الأداء_التقدير,48),"")</f>
        <v/>
      </c>
    </row>
    <row r="55">
      <c r="A55" s="43">
        <f>IFERROR(INDEX('التدريب'!$A$3:$A$502,49),"")</f>
        <v/>
      </c>
      <c r="B55" s="43">
        <f>IFERROR(INDEX('التدريب'!$B$3:$B$502,49),"")</f>
        <v/>
      </c>
      <c r="C55" s="43">
        <f>IFERROR(INDEX('التدريب'!$C$3:$C$502,49),"")</f>
        <v/>
      </c>
      <c r="D55" s="43">
        <f>IFERROR(INDEX('التدريب'!$D$3:$D$502,49),"")</f>
        <v/>
      </c>
      <c r="E55" s="118">
        <f>IFERROR(INDEX('التدريب'!$E$3:$E$502,49),"")</f>
        <v/>
      </c>
      <c r="F55" s="118">
        <f>IFERROR(INDEX('التدريب'!$F$3:$F$502,49),"")</f>
        <v/>
      </c>
      <c r="G55" s="60">
        <f>IFERROR(INDEX('التدريب'!$G$3:$G$502,49),"")</f>
        <v/>
      </c>
      <c r="H55" s="43">
        <f>IFERROR(INDEX('التدريب'!$H$3:$H$502,49),"")</f>
        <v/>
      </c>
      <c r="I55" s="43">
        <f>IFERROR(INDEX('التدريب'!$I$3:$I$502,49),"")</f>
        <v/>
      </c>
      <c r="J55" s="43">
        <f>IFERROR(INDEX(تقييم_الأداء_الفترة,49),"")</f>
        <v/>
      </c>
      <c r="K55" s="111">
        <f>IFERROR(INDEX(تقييم_الأداء_النهائي,49),"")</f>
        <v/>
      </c>
      <c r="L55" s="43">
        <f>IFERROR(INDEX(تقييم_الأداء_التقدير,49),"")</f>
        <v/>
      </c>
    </row>
    <row r="56">
      <c r="A56" s="50">
        <f>IFERROR(INDEX('التدريب'!$A$3:$A$502,50),"")</f>
        <v/>
      </c>
      <c r="B56" s="50">
        <f>IFERROR(INDEX('التدريب'!$B$3:$B$502,50),"")</f>
        <v/>
      </c>
      <c r="C56" s="50">
        <f>IFERROR(INDEX('التدريب'!$C$3:$C$502,50),"")</f>
        <v/>
      </c>
      <c r="D56" s="50">
        <f>IFERROR(INDEX('التدريب'!$D$3:$D$502,50),"")</f>
        <v/>
      </c>
      <c r="E56" s="119">
        <f>IFERROR(INDEX('التدريب'!$E$3:$E$502,50),"")</f>
        <v/>
      </c>
      <c r="F56" s="119">
        <f>IFERROR(INDEX('التدريب'!$F$3:$F$502,50),"")</f>
        <v/>
      </c>
      <c r="G56" s="63">
        <f>IFERROR(INDEX('التدريب'!$G$3:$G$502,50),"")</f>
        <v/>
      </c>
      <c r="H56" s="50">
        <f>IFERROR(INDEX('التدريب'!$H$3:$H$502,50),"")</f>
        <v/>
      </c>
      <c r="I56" s="50">
        <f>IFERROR(INDEX('التدريب'!$I$3:$I$502,50),"")</f>
        <v/>
      </c>
      <c r="J56" s="50">
        <f>IFERROR(INDEX(تقييم_الأداء_الفترة,50),"")</f>
        <v/>
      </c>
      <c r="K56" s="113">
        <f>IFERROR(INDEX(تقييم_الأداء_النهائي,50),"")</f>
        <v/>
      </c>
      <c r="L56" s="50">
        <f>IFERROR(INDEX(تقييم_الأداء_التقدير,50),"")</f>
        <v/>
      </c>
    </row>
    <row r="57">
      <c r="A57" s="43">
        <f>IFERROR(INDEX('التدريب'!$A$3:$A$502,51),"")</f>
        <v/>
      </c>
      <c r="B57" s="43">
        <f>IFERROR(INDEX('التدريب'!$B$3:$B$502,51),"")</f>
        <v/>
      </c>
      <c r="C57" s="43">
        <f>IFERROR(INDEX('التدريب'!$C$3:$C$502,51),"")</f>
        <v/>
      </c>
      <c r="D57" s="43">
        <f>IFERROR(INDEX('التدريب'!$D$3:$D$502,51),"")</f>
        <v/>
      </c>
      <c r="E57" s="118">
        <f>IFERROR(INDEX('التدريب'!$E$3:$E$502,51),"")</f>
        <v/>
      </c>
      <c r="F57" s="118">
        <f>IFERROR(INDEX('التدريب'!$F$3:$F$502,51),"")</f>
        <v/>
      </c>
      <c r="G57" s="60">
        <f>IFERROR(INDEX('التدريب'!$G$3:$G$502,51),"")</f>
        <v/>
      </c>
      <c r="H57" s="43">
        <f>IFERROR(INDEX('التدريب'!$H$3:$H$502,51),"")</f>
        <v/>
      </c>
      <c r="I57" s="43">
        <f>IFERROR(INDEX('التدريب'!$I$3:$I$502,51),"")</f>
        <v/>
      </c>
      <c r="J57" s="43">
        <f>IFERROR(INDEX(تقييم_الأداء_الفترة,51),"")</f>
        <v/>
      </c>
      <c r="K57" s="111">
        <f>IFERROR(INDEX(تقييم_الأداء_النهائي,51),"")</f>
        <v/>
      </c>
      <c r="L57" s="43">
        <f>IFERROR(INDEX(تقييم_الأداء_التقدير,51),"")</f>
        <v/>
      </c>
    </row>
    <row r="58">
      <c r="A58" s="50">
        <f>IFERROR(INDEX('التدريب'!$A$3:$A$502,52),"")</f>
        <v/>
      </c>
      <c r="B58" s="50">
        <f>IFERROR(INDEX('التدريب'!$B$3:$B$502,52),"")</f>
        <v/>
      </c>
      <c r="C58" s="50">
        <f>IFERROR(INDEX('التدريب'!$C$3:$C$502,52),"")</f>
        <v/>
      </c>
      <c r="D58" s="50">
        <f>IFERROR(INDEX('التدريب'!$D$3:$D$502,52),"")</f>
        <v/>
      </c>
      <c r="E58" s="119">
        <f>IFERROR(INDEX('التدريب'!$E$3:$E$502,52),"")</f>
        <v/>
      </c>
      <c r="F58" s="119">
        <f>IFERROR(INDEX('التدريب'!$F$3:$F$502,52),"")</f>
        <v/>
      </c>
      <c r="G58" s="63">
        <f>IFERROR(INDEX('التدريب'!$G$3:$G$502,52),"")</f>
        <v/>
      </c>
      <c r="H58" s="50">
        <f>IFERROR(INDEX('التدريب'!$H$3:$H$502,52),"")</f>
        <v/>
      </c>
      <c r="I58" s="50">
        <f>IFERROR(INDEX('التدريب'!$I$3:$I$502,52),"")</f>
        <v/>
      </c>
      <c r="J58" s="50">
        <f>IFERROR(INDEX(تقييم_الأداء_الفترة,52),"")</f>
        <v/>
      </c>
      <c r="K58" s="113">
        <f>IFERROR(INDEX(تقييم_الأداء_النهائي,52),"")</f>
        <v/>
      </c>
      <c r="L58" s="50">
        <f>IFERROR(INDEX(تقييم_الأداء_التقدير,52),"")</f>
        <v/>
      </c>
    </row>
    <row r="59">
      <c r="A59" s="43">
        <f>IFERROR(INDEX('التدريب'!$A$3:$A$502,53),"")</f>
        <v/>
      </c>
      <c r="B59" s="43">
        <f>IFERROR(INDEX('التدريب'!$B$3:$B$502,53),"")</f>
        <v/>
      </c>
      <c r="C59" s="43">
        <f>IFERROR(INDEX('التدريب'!$C$3:$C$502,53),"")</f>
        <v/>
      </c>
      <c r="D59" s="43">
        <f>IFERROR(INDEX('التدريب'!$D$3:$D$502,53),"")</f>
        <v/>
      </c>
      <c r="E59" s="118">
        <f>IFERROR(INDEX('التدريب'!$E$3:$E$502,53),"")</f>
        <v/>
      </c>
      <c r="F59" s="118">
        <f>IFERROR(INDEX('التدريب'!$F$3:$F$502,53),"")</f>
        <v/>
      </c>
      <c r="G59" s="60">
        <f>IFERROR(INDEX('التدريب'!$G$3:$G$502,53),"")</f>
        <v/>
      </c>
      <c r="H59" s="43">
        <f>IFERROR(INDEX('التدريب'!$H$3:$H$502,53),"")</f>
        <v/>
      </c>
      <c r="I59" s="43">
        <f>IFERROR(INDEX('التدريب'!$I$3:$I$502,53),"")</f>
        <v/>
      </c>
      <c r="J59" s="43">
        <f>IFERROR(INDEX(تقييم_الأداء_الفترة,53),"")</f>
        <v/>
      </c>
      <c r="K59" s="111">
        <f>IFERROR(INDEX(تقييم_الأداء_النهائي,53),"")</f>
        <v/>
      </c>
      <c r="L59" s="43">
        <f>IFERROR(INDEX(تقييم_الأداء_التقدير,53),"")</f>
        <v/>
      </c>
    </row>
    <row r="60">
      <c r="A60" s="50">
        <f>IFERROR(INDEX('التدريب'!$A$3:$A$502,54),"")</f>
        <v/>
      </c>
      <c r="B60" s="50">
        <f>IFERROR(INDEX('التدريب'!$B$3:$B$502,54),"")</f>
        <v/>
      </c>
      <c r="C60" s="50">
        <f>IFERROR(INDEX('التدريب'!$C$3:$C$502,54),"")</f>
        <v/>
      </c>
      <c r="D60" s="50">
        <f>IFERROR(INDEX('التدريب'!$D$3:$D$502,54),"")</f>
        <v/>
      </c>
      <c r="E60" s="119">
        <f>IFERROR(INDEX('التدريب'!$E$3:$E$502,54),"")</f>
        <v/>
      </c>
      <c r="F60" s="119">
        <f>IFERROR(INDEX('التدريب'!$F$3:$F$502,54),"")</f>
        <v/>
      </c>
      <c r="G60" s="63">
        <f>IFERROR(INDEX('التدريب'!$G$3:$G$502,54),"")</f>
        <v/>
      </c>
      <c r="H60" s="50">
        <f>IFERROR(INDEX('التدريب'!$H$3:$H$502,54),"")</f>
        <v/>
      </c>
      <c r="I60" s="50">
        <f>IFERROR(INDEX('التدريب'!$I$3:$I$502,54),"")</f>
        <v/>
      </c>
      <c r="J60" s="50">
        <f>IFERROR(INDEX(تقييم_الأداء_الفترة,54),"")</f>
        <v/>
      </c>
      <c r="K60" s="113">
        <f>IFERROR(INDEX(تقييم_الأداء_النهائي,54),"")</f>
        <v/>
      </c>
      <c r="L60" s="50">
        <f>IFERROR(INDEX(تقييم_الأداء_التقدير,54),"")</f>
        <v/>
      </c>
    </row>
    <row r="61">
      <c r="A61" s="43">
        <f>IFERROR(INDEX('التدريب'!$A$3:$A$502,55),"")</f>
        <v/>
      </c>
      <c r="B61" s="43">
        <f>IFERROR(INDEX('التدريب'!$B$3:$B$502,55),"")</f>
        <v/>
      </c>
      <c r="C61" s="43">
        <f>IFERROR(INDEX('التدريب'!$C$3:$C$502,55),"")</f>
        <v/>
      </c>
      <c r="D61" s="43">
        <f>IFERROR(INDEX('التدريب'!$D$3:$D$502,55),"")</f>
        <v/>
      </c>
      <c r="E61" s="118">
        <f>IFERROR(INDEX('التدريب'!$E$3:$E$502,55),"")</f>
        <v/>
      </c>
      <c r="F61" s="118">
        <f>IFERROR(INDEX('التدريب'!$F$3:$F$502,55),"")</f>
        <v/>
      </c>
      <c r="G61" s="60">
        <f>IFERROR(INDEX('التدريب'!$G$3:$G$502,55),"")</f>
        <v/>
      </c>
      <c r="H61" s="43">
        <f>IFERROR(INDEX('التدريب'!$H$3:$H$502,55),"")</f>
        <v/>
      </c>
      <c r="I61" s="43">
        <f>IFERROR(INDEX('التدريب'!$I$3:$I$502,55),"")</f>
        <v/>
      </c>
      <c r="J61" s="43">
        <f>IFERROR(INDEX(تقييم_الأداء_الفترة,55),"")</f>
        <v/>
      </c>
      <c r="K61" s="111">
        <f>IFERROR(INDEX(تقييم_الأداء_النهائي,55),"")</f>
        <v/>
      </c>
      <c r="L61" s="43">
        <f>IFERROR(INDEX(تقييم_الأداء_التقدير,55),"")</f>
        <v/>
      </c>
    </row>
    <row r="62">
      <c r="A62" s="50">
        <f>IFERROR(INDEX('التدريب'!$A$3:$A$502,56),"")</f>
        <v/>
      </c>
      <c r="B62" s="50">
        <f>IFERROR(INDEX('التدريب'!$B$3:$B$502,56),"")</f>
        <v/>
      </c>
      <c r="C62" s="50">
        <f>IFERROR(INDEX('التدريب'!$C$3:$C$502,56),"")</f>
        <v/>
      </c>
      <c r="D62" s="50">
        <f>IFERROR(INDEX('التدريب'!$D$3:$D$502,56),"")</f>
        <v/>
      </c>
      <c r="E62" s="119">
        <f>IFERROR(INDEX('التدريب'!$E$3:$E$502,56),"")</f>
        <v/>
      </c>
      <c r="F62" s="119">
        <f>IFERROR(INDEX('التدريب'!$F$3:$F$502,56),"")</f>
        <v/>
      </c>
      <c r="G62" s="63">
        <f>IFERROR(INDEX('التدريب'!$G$3:$G$502,56),"")</f>
        <v/>
      </c>
      <c r="H62" s="50">
        <f>IFERROR(INDEX('التدريب'!$H$3:$H$502,56),"")</f>
        <v/>
      </c>
      <c r="I62" s="50">
        <f>IFERROR(INDEX('التدريب'!$I$3:$I$502,56),"")</f>
        <v/>
      </c>
      <c r="J62" s="50">
        <f>IFERROR(INDEX(تقييم_الأداء_الفترة,56),"")</f>
        <v/>
      </c>
      <c r="K62" s="113">
        <f>IFERROR(INDEX(تقييم_الأداء_النهائي,56),"")</f>
        <v/>
      </c>
      <c r="L62" s="50">
        <f>IFERROR(INDEX(تقييم_الأداء_التقدير,56),"")</f>
        <v/>
      </c>
    </row>
    <row r="63">
      <c r="A63" s="43">
        <f>IFERROR(INDEX('التدريب'!$A$3:$A$502,57),"")</f>
        <v/>
      </c>
      <c r="B63" s="43">
        <f>IFERROR(INDEX('التدريب'!$B$3:$B$502,57),"")</f>
        <v/>
      </c>
      <c r="C63" s="43">
        <f>IFERROR(INDEX('التدريب'!$C$3:$C$502,57),"")</f>
        <v/>
      </c>
      <c r="D63" s="43">
        <f>IFERROR(INDEX('التدريب'!$D$3:$D$502,57),"")</f>
        <v/>
      </c>
      <c r="E63" s="118">
        <f>IFERROR(INDEX('التدريب'!$E$3:$E$502,57),"")</f>
        <v/>
      </c>
      <c r="F63" s="118">
        <f>IFERROR(INDEX('التدريب'!$F$3:$F$502,57),"")</f>
        <v/>
      </c>
      <c r="G63" s="60">
        <f>IFERROR(INDEX('التدريب'!$G$3:$G$502,57),"")</f>
        <v/>
      </c>
      <c r="H63" s="43">
        <f>IFERROR(INDEX('التدريب'!$H$3:$H$502,57),"")</f>
        <v/>
      </c>
      <c r="I63" s="43">
        <f>IFERROR(INDEX('التدريب'!$I$3:$I$502,57),"")</f>
        <v/>
      </c>
      <c r="J63" s="43">
        <f>IFERROR(INDEX(تقييم_الأداء_الفترة,57),"")</f>
        <v/>
      </c>
      <c r="K63" s="111">
        <f>IFERROR(INDEX(تقييم_الأداء_النهائي,57),"")</f>
        <v/>
      </c>
      <c r="L63" s="43">
        <f>IFERROR(INDEX(تقييم_الأداء_التقدير,57),"")</f>
        <v/>
      </c>
    </row>
    <row r="64">
      <c r="A64" s="50">
        <f>IFERROR(INDEX('التدريب'!$A$3:$A$502,58),"")</f>
        <v/>
      </c>
      <c r="B64" s="50">
        <f>IFERROR(INDEX('التدريب'!$B$3:$B$502,58),"")</f>
        <v/>
      </c>
      <c r="C64" s="50">
        <f>IFERROR(INDEX('التدريب'!$C$3:$C$502,58),"")</f>
        <v/>
      </c>
      <c r="D64" s="50">
        <f>IFERROR(INDEX('التدريب'!$D$3:$D$502,58),"")</f>
        <v/>
      </c>
      <c r="E64" s="119">
        <f>IFERROR(INDEX('التدريب'!$E$3:$E$502,58),"")</f>
        <v/>
      </c>
      <c r="F64" s="119">
        <f>IFERROR(INDEX('التدريب'!$F$3:$F$502,58),"")</f>
        <v/>
      </c>
      <c r="G64" s="63">
        <f>IFERROR(INDEX('التدريب'!$G$3:$G$502,58),"")</f>
        <v/>
      </c>
      <c r="H64" s="50">
        <f>IFERROR(INDEX('التدريب'!$H$3:$H$502,58),"")</f>
        <v/>
      </c>
      <c r="I64" s="50">
        <f>IFERROR(INDEX('التدريب'!$I$3:$I$502,58),"")</f>
        <v/>
      </c>
      <c r="J64" s="50">
        <f>IFERROR(INDEX(تقييم_الأداء_الفترة,58),"")</f>
        <v/>
      </c>
      <c r="K64" s="113">
        <f>IFERROR(INDEX(تقييم_الأداء_النهائي,58),"")</f>
        <v/>
      </c>
      <c r="L64" s="50">
        <f>IFERROR(INDEX(تقييم_الأداء_التقدير,58),"")</f>
        <v/>
      </c>
    </row>
    <row r="65">
      <c r="A65" s="43">
        <f>IFERROR(INDEX('التدريب'!$A$3:$A$502,59),"")</f>
        <v/>
      </c>
      <c r="B65" s="43">
        <f>IFERROR(INDEX('التدريب'!$B$3:$B$502,59),"")</f>
        <v/>
      </c>
      <c r="C65" s="43">
        <f>IFERROR(INDEX('التدريب'!$C$3:$C$502,59),"")</f>
        <v/>
      </c>
      <c r="D65" s="43">
        <f>IFERROR(INDEX('التدريب'!$D$3:$D$502,59),"")</f>
        <v/>
      </c>
      <c r="E65" s="118">
        <f>IFERROR(INDEX('التدريب'!$E$3:$E$502,59),"")</f>
        <v/>
      </c>
      <c r="F65" s="118">
        <f>IFERROR(INDEX('التدريب'!$F$3:$F$502,59),"")</f>
        <v/>
      </c>
      <c r="G65" s="60">
        <f>IFERROR(INDEX('التدريب'!$G$3:$G$502,59),"")</f>
        <v/>
      </c>
      <c r="H65" s="43">
        <f>IFERROR(INDEX('التدريب'!$H$3:$H$502,59),"")</f>
        <v/>
      </c>
      <c r="I65" s="43">
        <f>IFERROR(INDEX('التدريب'!$I$3:$I$502,59),"")</f>
        <v/>
      </c>
      <c r="J65" s="43">
        <f>IFERROR(INDEX(تقييم_الأداء_الفترة,59),"")</f>
        <v/>
      </c>
      <c r="K65" s="111">
        <f>IFERROR(INDEX(تقييم_الأداء_النهائي,59),"")</f>
        <v/>
      </c>
      <c r="L65" s="43">
        <f>IFERROR(INDEX(تقييم_الأداء_التقدير,59),"")</f>
        <v/>
      </c>
    </row>
    <row r="66">
      <c r="A66" s="50">
        <f>IFERROR(INDEX('التدريب'!$A$3:$A$502,60),"")</f>
        <v/>
      </c>
      <c r="B66" s="50">
        <f>IFERROR(INDEX('التدريب'!$B$3:$B$502,60),"")</f>
        <v/>
      </c>
      <c r="C66" s="50">
        <f>IFERROR(INDEX('التدريب'!$C$3:$C$502,60),"")</f>
        <v/>
      </c>
      <c r="D66" s="50">
        <f>IFERROR(INDEX('التدريب'!$D$3:$D$502,60),"")</f>
        <v/>
      </c>
      <c r="E66" s="119">
        <f>IFERROR(INDEX('التدريب'!$E$3:$E$502,60),"")</f>
        <v/>
      </c>
      <c r="F66" s="119">
        <f>IFERROR(INDEX('التدريب'!$F$3:$F$502,60),"")</f>
        <v/>
      </c>
      <c r="G66" s="63">
        <f>IFERROR(INDEX('التدريب'!$G$3:$G$502,60),"")</f>
        <v/>
      </c>
      <c r="H66" s="50">
        <f>IFERROR(INDEX('التدريب'!$H$3:$H$502,60),"")</f>
        <v/>
      </c>
      <c r="I66" s="50">
        <f>IFERROR(INDEX('التدريب'!$I$3:$I$502,60),"")</f>
        <v/>
      </c>
      <c r="J66" s="50">
        <f>IFERROR(INDEX(تقييم_الأداء_الفترة,60),"")</f>
        <v/>
      </c>
      <c r="K66" s="113">
        <f>IFERROR(INDEX(تقييم_الأداء_النهائي,60),"")</f>
        <v/>
      </c>
      <c r="L66" s="50">
        <f>IFERROR(INDEX(تقييم_الأداء_التقدير,60),"")</f>
        <v/>
      </c>
    </row>
    <row r="67">
      <c r="A67" s="43">
        <f>IFERROR(INDEX('التدريب'!$A$3:$A$502,61),"")</f>
        <v/>
      </c>
      <c r="B67" s="43">
        <f>IFERROR(INDEX('التدريب'!$B$3:$B$502,61),"")</f>
        <v/>
      </c>
      <c r="C67" s="43">
        <f>IFERROR(INDEX('التدريب'!$C$3:$C$502,61),"")</f>
        <v/>
      </c>
      <c r="D67" s="43">
        <f>IFERROR(INDEX('التدريب'!$D$3:$D$502,61),"")</f>
        <v/>
      </c>
      <c r="E67" s="118">
        <f>IFERROR(INDEX('التدريب'!$E$3:$E$502,61),"")</f>
        <v/>
      </c>
      <c r="F67" s="118">
        <f>IFERROR(INDEX('التدريب'!$F$3:$F$502,61),"")</f>
        <v/>
      </c>
      <c r="G67" s="60">
        <f>IFERROR(INDEX('التدريب'!$G$3:$G$502,61),"")</f>
        <v/>
      </c>
      <c r="H67" s="43">
        <f>IFERROR(INDEX('التدريب'!$H$3:$H$502,61),"")</f>
        <v/>
      </c>
      <c r="I67" s="43">
        <f>IFERROR(INDEX('التدريب'!$I$3:$I$502,61),"")</f>
        <v/>
      </c>
      <c r="J67" s="43">
        <f>IFERROR(INDEX(تقييم_الأداء_الفترة,61),"")</f>
        <v/>
      </c>
      <c r="K67" s="111">
        <f>IFERROR(INDEX(تقييم_الأداء_النهائي,61),"")</f>
        <v/>
      </c>
      <c r="L67" s="43">
        <f>IFERROR(INDEX(تقييم_الأداء_التقدير,61),"")</f>
        <v/>
      </c>
    </row>
    <row r="68">
      <c r="A68" s="50">
        <f>IFERROR(INDEX('التدريب'!$A$3:$A$502,62),"")</f>
        <v/>
      </c>
      <c r="B68" s="50">
        <f>IFERROR(INDEX('التدريب'!$B$3:$B$502,62),"")</f>
        <v/>
      </c>
      <c r="C68" s="50">
        <f>IFERROR(INDEX('التدريب'!$C$3:$C$502,62),"")</f>
        <v/>
      </c>
      <c r="D68" s="50">
        <f>IFERROR(INDEX('التدريب'!$D$3:$D$502,62),"")</f>
        <v/>
      </c>
      <c r="E68" s="119">
        <f>IFERROR(INDEX('التدريب'!$E$3:$E$502,62),"")</f>
        <v/>
      </c>
      <c r="F68" s="119">
        <f>IFERROR(INDEX('التدريب'!$F$3:$F$502,62),"")</f>
        <v/>
      </c>
      <c r="G68" s="63">
        <f>IFERROR(INDEX('التدريب'!$G$3:$G$502,62),"")</f>
        <v/>
      </c>
      <c r="H68" s="50">
        <f>IFERROR(INDEX('التدريب'!$H$3:$H$502,62),"")</f>
        <v/>
      </c>
      <c r="I68" s="50">
        <f>IFERROR(INDEX('التدريب'!$I$3:$I$502,62),"")</f>
        <v/>
      </c>
      <c r="J68" s="50">
        <f>IFERROR(INDEX(تقييم_الأداء_الفترة,62),"")</f>
        <v/>
      </c>
      <c r="K68" s="113">
        <f>IFERROR(INDEX(تقييم_الأداء_النهائي,62),"")</f>
        <v/>
      </c>
      <c r="L68" s="50">
        <f>IFERROR(INDEX(تقييم_الأداء_التقدير,62),"")</f>
        <v/>
      </c>
    </row>
    <row r="69">
      <c r="A69" s="43">
        <f>IFERROR(INDEX('التدريب'!$A$3:$A$502,63),"")</f>
        <v/>
      </c>
      <c r="B69" s="43">
        <f>IFERROR(INDEX('التدريب'!$B$3:$B$502,63),"")</f>
        <v/>
      </c>
      <c r="C69" s="43">
        <f>IFERROR(INDEX('التدريب'!$C$3:$C$502,63),"")</f>
        <v/>
      </c>
      <c r="D69" s="43">
        <f>IFERROR(INDEX('التدريب'!$D$3:$D$502,63),"")</f>
        <v/>
      </c>
      <c r="E69" s="118">
        <f>IFERROR(INDEX('التدريب'!$E$3:$E$502,63),"")</f>
        <v/>
      </c>
      <c r="F69" s="118">
        <f>IFERROR(INDEX('التدريب'!$F$3:$F$502,63),"")</f>
        <v/>
      </c>
      <c r="G69" s="60">
        <f>IFERROR(INDEX('التدريب'!$G$3:$G$502,63),"")</f>
        <v/>
      </c>
      <c r="H69" s="43">
        <f>IFERROR(INDEX('التدريب'!$H$3:$H$502,63),"")</f>
        <v/>
      </c>
      <c r="I69" s="43">
        <f>IFERROR(INDEX('التدريب'!$I$3:$I$502,63),"")</f>
        <v/>
      </c>
      <c r="J69" s="43">
        <f>IFERROR(INDEX(تقييم_الأداء_الفترة,63),"")</f>
        <v/>
      </c>
      <c r="K69" s="111">
        <f>IFERROR(INDEX(تقييم_الأداء_النهائي,63),"")</f>
        <v/>
      </c>
      <c r="L69" s="43">
        <f>IFERROR(INDEX(تقييم_الأداء_التقدير,63),"")</f>
        <v/>
      </c>
    </row>
    <row r="70">
      <c r="A70" s="50">
        <f>IFERROR(INDEX('التدريب'!$A$3:$A$502,64),"")</f>
        <v/>
      </c>
      <c r="B70" s="50">
        <f>IFERROR(INDEX('التدريب'!$B$3:$B$502,64),"")</f>
        <v/>
      </c>
      <c r="C70" s="50">
        <f>IFERROR(INDEX('التدريب'!$C$3:$C$502,64),"")</f>
        <v/>
      </c>
      <c r="D70" s="50">
        <f>IFERROR(INDEX('التدريب'!$D$3:$D$502,64),"")</f>
        <v/>
      </c>
      <c r="E70" s="119">
        <f>IFERROR(INDEX('التدريب'!$E$3:$E$502,64),"")</f>
        <v/>
      </c>
      <c r="F70" s="119">
        <f>IFERROR(INDEX('التدريب'!$F$3:$F$502,64),"")</f>
        <v/>
      </c>
      <c r="G70" s="63">
        <f>IFERROR(INDEX('التدريب'!$G$3:$G$502,64),"")</f>
        <v/>
      </c>
      <c r="H70" s="50">
        <f>IFERROR(INDEX('التدريب'!$H$3:$H$502,64),"")</f>
        <v/>
      </c>
      <c r="I70" s="50">
        <f>IFERROR(INDEX('التدريب'!$I$3:$I$502,64),"")</f>
        <v/>
      </c>
      <c r="J70" s="50">
        <f>IFERROR(INDEX(تقييم_الأداء_الفترة,64),"")</f>
        <v/>
      </c>
      <c r="K70" s="113">
        <f>IFERROR(INDEX(تقييم_الأداء_النهائي,64),"")</f>
        <v/>
      </c>
      <c r="L70" s="50">
        <f>IFERROR(INDEX(تقييم_الأداء_التقدير,64),"")</f>
        <v/>
      </c>
    </row>
    <row r="71">
      <c r="A71" s="43">
        <f>IFERROR(INDEX('التدريب'!$A$3:$A$502,65),"")</f>
        <v/>
      </c>
      <c r="B71" s="43">
        <f>IFERROR(INDEX('التدريب'!$B$3:$B$502,65),"")</f>
        <v/>
      </c>
      <c r="C71" s="43">
        <f>IFERROR(INDEX('التدريب'!$C$3:$C$502,65),"")</f>
        <v/>
      </c>
      <c r="D71" s="43">
        <f>IFERROR(INDEX('التدريب'!$D$3:$D$502,65),"")</f>
        <v/>
      </c>
      <c r="E71" s="118">
        <f>IFERROR(INDEX('التدريب'!$E$3:$E$502,65),"")</f>
        <v/>
      </c>
      <c r="F71" s="118">
        <f>IFERROR(INDEX('التدريب'!$F$3:$F$502,65),"")</f>
        <v/>
      </c>
      <c r="G71" s="60">
        <f>IFERROR(INDEX('التدريب'!$G$3:$G$502,65),"")</f>
        <v/>
      </c>
      <c r="H71" s="43">
        <f>IFERROR(INDEX('التدريب'!$H$3:$H$502,65),"")</f>
        <v/>
      </c>
      <c r="I71" s="43">
        <f>IFERROR(INDEX('التدريب'!$I$3:$I$502,65),"")</f>
        <v/>
      </c>
      <c r="J71" s="43">
        <f>IFERROR(INDEX(تقييم_الأداء_الفترة,65),"")</f>
        <v/>
      </c>
      <c r="K71" s="111">
        <f>IFERROR(INDEX(تقييم_الأداء_النهائي,65),"")</f>
        <v/>
      </c>
      <c r="L71" s="43">
        <f>IFERROR(INDEX(تقييم_الأداء_التقدير,65),"")</f>
        <v/>
      </c>
    </row>
    <row r="72">
      <c r="A72" s="50">
        <f>IFERROR(INDEX('التدريب'!$A$3:$A$502,66),"")</f>
        <v/>
      </c>
      <c r="B72" s="50">
        <f>IFERROR(INDEX('التدريب'!$B$3:$B$502,66),"")</f>
        <v/>
      </c>
      <c r="C72" s="50">
        <f>IFERROR(INDEX('التدريب'!$C$3:$C$502,66),"")</f>
        <v/>
      </c>
      <c r="D72" s="50">
        <f>IFERROR(INDEX('التدريب'!$D$3:$D$502,66),"")</f>
        <v/>
      </c>
      <c r="E72" s="119">
        <f>IFERROR(INDEX('التدريب'!$E$3:$E$502,66),"")</f>
        <v/>
      </c>
      <c r="F72" s="119">
        <f>IFERROR(INDEX('التدريب'!$F$3:$F$502,66),"")</f>
        <v/>
      </c>
      <c r="G72" s="63">
        <f>IFERROR(INDEX('التدريب'!$G$3:$G$502,66),"")</f>
        <v/>
      </c>
      <c r="H72" s="50">
        <f>IFERROR(INDEX('التدريب'!$H$3:$H$502,66),"")</f>
        <v/>
      </c>
      <c r="I72" s="50">
        <f>IFERROR(INDEX('التدريب'!$I$3:$I$502,66),"")</f>
        <v/>
      </c>
      <c r="J72" s="50">
        <f>IFERROR(INDEX(تقييم_الأداء_الفترة,66),"")</f>
        <v/>
      </c>
      <c r="K72" s="113">
        <f>IFERROR(INDEX(تقييم_الأداء_النهائي,66),"")</f>
        <v/>
      </c>
      <c r="L72" s="50">
        <f>IFERROR(INDEX(تقييم_الأداء_التقدير,66),"")</f>
        <v/>
      </c>
    </row>
    <row r="73">
      <c r="A73" s="43">
        <f>IFERROR(INDEX('التدريب'!$A$3:$A$502,67),"")</f>
        <v/>
      </c>
      <c r="B73" s="43">
        <f>IFERROR(INDEX('التدريب'!$B$3:$B$502,67),"")</f>
        <v/>
      </c>
      <c r="C73" s="43">
        <f>IFERROR(INDEX('التدريب'!$C$3:$C$502,67),"")</f>
        <v/>
      </c>
      <c r="D73" s="43">
        <f>IFERROR(INDEX('التدريب'!$D$3:$D$502,67),"")</f>
        <v/>
      </c>
      <c r="E73" s="118">
        <f>IFERROR(INDEX('التدريب'!$E$3:$E$502,67),"")</f>
        <v/>
      </c>
      <c r="F73" s="118">
        <f>IFERROR(INDEX('التدريب'!$F$3:$F$502,67),"")</f>
        <v/>
      </c>
      <c r="G73" s="60">
        <f>IFERROR(INDEX('التدريب'!$G$3:$G$502,67),"")</f>
        <v/>
      </c>
      <c r="H73" s="43">
        <f>IFERROR(INDEX('التدريب'!$H$3:$H$502,67),"")</f>
        <v/>
      </c>
      <c r="I73" s="43">
        <f>IFERROR(INDEX('التدريب'!$I$3:$I$502,67),"")</f>
        <v/>
      </c>
      <c r="J73" s="43">
        <f>IFERROR(INDEX(تقييم_الأداء_الفترة,67),"")</f>
        <v/>
      </c>
      <c r="K73" s="111">
        <f>IFERROR(INDEX(تقييم_الأداء_النهائي,67),"")</f>
        <v/>
      </c>
      <c r="L73" s="43">
        <f>IFERROR(INDEX(تقييم_الأداء_التقدير,67),"")</f>
        <v/>
      </c>
    </row>
    <row r="74">
      <c r="A74" s="50">
        <f>IFERROR(INDEX('التدريب'!$A$3:$A$502,68),"")</f>
        <v/>
      </c>
      <c r="B74" s="50">
        <f>IFERROR(INDEX('التدريب'!$B$3:$B$502,68),"")</f>
        <v/>
      </c>
      <c r="C74" s="50">
        <f>IFERROR(INDEX('التدريب'!$C$3:$C$502,68),"")</f>
        <v/>
      </c>
      <c r="D74" s="50">
        <f>IFERROR(INDEX('التدريب'!$D$3:$D$502,68),"")</f>
        <v/>
      </c>
      <c r="E74" s="119">
        <f>IFERROR(INDEX('التدريب'!$E$3:$E$502,68),"")</f>
        <v/>
      </c>
      <c r="F74" s="119">
        <f>IFERROR(INDEX('التدريب'!$F$3:$F$502,68),"")</f>
        <v/>
      </c>
      <c r="G74" s="63">
        <f>IFERROR(INDEX('التدريب'!$G$3:$G$502,68),"")</f>
        <v/>
      </c>
      <c r="H74" s="50">
        <f>IFERROR(INDEX('التدريب'!$H$3:$H$502,68),"")</f>
        <v/>
      </c>
      <c r="I74" s="50">
        <f>IFERROR(INDEX('التدريب'!$I$3:$I$502,68),"")</f>
        <v/>
      </c>
      <c r="J74" s="50">
        <f>IFERROR(INDEX(تقييم_الأداء_الفترة,68),"")</f>
        <v/>
      </c>
      <c r="K74" s="113">
        <f>IFERROR(INDEX(تقييم_الأداء_النهائي,68),"")</f>
        <v/>
      </c>
      <c r="L74" s="50">
        <f>IFERROR(INDEX(تقييم_الأداء_التقدير,68),"")</f>
        <v/>
      </c>
    </row>
    <row r="75">
      <c r="A75" s="43">
        <f>IFERROR(INDEX('التدريب'!$A$3:$A$502,69),"")</f>
        <v/>
      </c>
      <c r="B75" s="43">
        <f>IFERROR(INDEX('التدريب'!$B$3:$B$502,69),"")</f>
        <v/>
      </c>
      <c r="C75" s="43">
        <f>IFERROR(INDEX('التدريب'!$C$3:$C$502,69),"")</f>
        <v/>
      </c>
      <c r="D75" s="43">
        <f>IFERROR(INDEX('التدريب'!$D$3:$D$502,69),"")</f>
        <v/>
      </c>
      <c r="E75" s="118">
        <f>IFERROR(INDEX('التدريب'!$E$3:$E$502,69),"")</f>
        <v/>
      </c>
      <c r="F75" s="118">
        <f>IFERROR(INDEX('التدريب'!$F$3:$F$502,69),"")</f>
        <v/>
      </c>
      <c r="G75" s="60">
        <f>IFERROR(INDEX('التدريب'!$G$3:$G$502,69),"")</f>
        <v/>
      </c>
      <c r="H75" s="43">
        <f>IFERROR(INDEX('التدريب'!$H$3:$H$502,69),"")</f>
        <v/>
      </c>
      <c r="I75" s="43">
        <f>IFERROR(INDEX('التدريب'!$I$3:$I$502,69),"")</f>
        <v/>
      </c>
      <c r="J75" s="43">
        <f>IFERROR(INDEX(تقييم_الأداء_الفترة,69),"")</f>
        <v/>
      </c>
      <c r="K75" s="111">
        <f>IFERROR(INDEX(تقييم_الأداء_النهائي,69),"")</f>
        <v/>
      </c>
      <c r="L75" s="43">
        <f>IFERROR(INDEX(تقييم_الأداء_التقدير,69),"")</f>
        <v/>
      </c>
    </row>
    <row r="76">
      <c r="A76" s="50">
        <f>IFERROR(INDEX('التدريب'!$A$3:$A$502,70),"")</f>
        <v/>
      </c>
      <c r="B76" s="50">
        <f>IFERROR(INDEX('التدريب'!$B$3:$B$502,70),"")</f>
        <v/>
      </c>
      <c r="C76" s="50">
        <f>IFERROR(INDEX('التدريب'!$C$3:$C$502,70),"")</f>
        <v/>
      </c>
      <c r="D76" s="50">
        <f>IFERROR(INDEX('التدريب'!$D$3:$D$502,70),"")</f>
        <v/>
      </c>
      <c r="E76" s="119">
        <f>IFERROR(INDEX('التدريب'!$E$3:$E$502,70),"")</f>
        <v/>
      </c>
      <c r="F76" s="119">
        <f>IFERROR(INDEX('التدريب'!$F$3:$F$502,70),"")</f>
        <v/>
      </c>
      <c r="G76" s="63">
        <f>IFERROR(INDEX('التدريب'!$G$3:$G$502,70),"")</f>
        <v/>
      </c>
      <c r="H76" s="50">
        <f>IFERROR(INDEX('التدريب'!$H$3:$H$502,70),"")</f>
        <v/>
      </c>
      <c r="I76" s="50">
        <f>IFERROR(INDEX('التدريب'!$I$3:$I$502,70),"")</f>
        <v/>
      </c>
      <c r="J76" s="50">
        <f>IFERROR(INDEX(تقييم_الأداء_الفترة,70),"")</f>
        <v/>
      </c>
      <c r="K76" s="113">
        <f>IFERROR(INDEX(تقييم_الأداء_النهائي,70),"")</f>
        <v/>
      </c>
      <c r="L76" s="50">
        <f>IFERROR(INDEX(تقييم_الأداء_التقدير,70),"")</f>
        <v/>
      </c>
    </row>
    <row r="77">
      <c r="A77" s="43">
        <f>IFERROR(INDEX('التدريب'!$A$3:$A$502,71),"")</f>
        <v/>
      </c>
      <c r="B77" s="43">
        <f>IFERROR(INDEX('التدريب'!$B$3:$B$502,71),"")</f>
        <v/>
      </c>
      <c r="C77" s="43">
        <f>IFERROR(INDEX('التدريب'!$C$3:$C$502,71),"")</f>
        <v/>
      </c>
      <c r="D77" s="43">
        <f>IFERROR(INDEX('التدريب'!$D$3:$D$502,71),"")</f>
        <v/>
      </c>
      <c r="E77" s="118">
        <f>IFERROR(INDEX('التدريب'!$E$3:$E$502,71),"")</f>
        <v/>
      </c>
      <c r="F77" s="118">
        <f>IFERROR(INDEX('التدريب'!$F$3:$F$502,71),"")</f>
        <v/>
      </c>
      <c r="G77" s="60">
        <f>IFERROR(INDEX('التدريب'!$G$3:$G$502,71),"")</f>
        <v/>
      </c>
      <c r="H77" s="43">
        <f>IFERROR(INDEX('التدريب'!$H$3:$H$502,71),"")</f>
        <v/>
      </c>
      <c r="I77" s="43">
        <f>IFERROR(INDEX('التدريب'!$I$3:$I$502,71),"")</f>
        <v/>
      </c>
      <c r="J77" s="43">
        <f>IFERROR(INDEX(تقييم_الأداء_الفترة,71),"")</f>
        <v/>
      </c>
      <c r="K77" s="111">
        <f>IFERROR(INDEX(تقييم_الأداء_النهائي,71),"")</f>
        <v/>
      </c>
      <c r="L77" s="43">
        <f>IFERROR(INDEX(تقييم_الأداء_التقدير,71),"")</f>
        <v/>
      </c>
    </row>
    <row r="78">
      <c r="A78" s="50">
        <f>IFERROR(INDEX('التدريب'!$A$3:$A$502,72),"")</f>
        <v/>
      </c>
      <c r="B78" s="50">
        <f>IFERROR(INDEX('التدريب'!$B$3:$B$502,72),"")</f>
        <v/>
      </c>
      <c r="C78" s="50">
        <f>IFERROR(INDEX('التدريب'!$C$3:$C$502,72),"")</f>
        <v/>
      </c>
      <c r="D78" s="50">
        <f>IFERROR(INDEX('التدريب'!$D$3:$D$502,72),"")</f>
        <v/>
      </c>
      <c r="E78" s="119">
        <f>IFERROR(INDEX('التدريب'!$E$3:$E$502,72),"")</f>
        <v/>
      </c>
      <c r="F78" s="119">
        <f>IFERROR(INDEX('التدريب'!$F$3:$F$502,72),"")</f>
        <v/>
      </c>
      <c r="G78" s="63">
        <f>IFERROR(INDEX('التدريب'!$G$3:$G$502,72),"")</f>
        <v/>
      </c>
      <c r="H78" s="50">
        <f>IFERROR(INDEX('التدريب'!$H$3:$H$502,72),"")</f>
        <v/>
      </c>
      <c r="I78" s="50">
        <f>IFERROR(INDEX('التدريب'!$I$3:$I$502,72),"")</f>
        <v/>
      </c>
      <c r="J78" s="50">
        <f>IFERROR(INDEX(تقييم_الأداء_الفترة,72),"")</f>
        <v/>
      </c>
      <c r="K78" s="113">
        <f>IFERROR(INDEX(تقييم_الأداء_النهائي,72),"")</f>
        <v/>
      </c>
      <c r="L78" s="50">
        <f>IFERROR(INDEX(تقييم_الأداء_التقدير,72),"")</f>
        <v/>
      </c>
    </row>
    <row r="79">
      <c r="A79" s="43">
        <f>IFERROR(INDEX('التدريب'!$A$3:$A$502,73),"")</f>
        <v/>
      </c>
      <c r="B79" s="43">
        <f>IFERROR(INDEX('التدريب'!$B$3:$B$502,73),"")</f>
        <v/>
      </c>
      <c r="C79" s="43">
        <f>IFERROR(INDEX('التدريب'!$C$3:$C$502,73),"")</f>
        <v/>
      </c>
      <c r="D79" s="43">
        <f>IFERROR(INDEX('التدريب'!$D$3:$D$502,73),"")</f>
        <v/>
      </c>
      <c r="E79" s="118">
        <f>IFERROR(INDEX('التدريب'!$E$3:$E$502,73),"")</f>
        <v/>
      </c>
      <c r="F79" s="118">
        <f>IFERROR(INDEX('التدريب'!$F$3:$F$502,73),"")</f>
        <v/>
      </c>
      <c r="G79" s="60">
        <f>IFERROR(INDEX('التدريب'!$G$3:$G$502,73),"")</f>
        <v/>
      </c>
      <c r="H79" s="43">
        <f>IFERROR(INDEX('التدريب'!$H$3:$H$502,73),"")</f>
        <v/>
      </c>
      <c r="I79" s="43">
        <f>IFERROR(INDEX('التدريب'!$I$3:$I$502,73),"")</f>
        <v/>
      </c>
      <c r="J79" s="43">
        <f>IFERROR(INDEX(تقييم_الأداء_الفترة,73),"")</f>
        <v/>
      </c>
      <c r="K79" s="111">
        <f>IFERROR(INDEX(تقييم_الأداء_النهائي,73),"")</f>
        <v/>
      </c>
      <c r="L79" s="43">
        <f>IFERROR(INDEX(تقييم_الأداء_التقدير,73),"")</f>
        <v/>
      </c>
    </row>
    <row r="80">
      <c r="A80" s="50">
        <f>IFERROR(INDEX('التدريب'!$A$3:$A$502,74),"")</f>
        <v/>
      </c>
      <c r="B80" s="50">
        <f>IFERROR(INDEX('التدريب'!$B$3:$B$502,74),"")</f>
        <v/>
      </c>
      <c r="C80" s="50">
        <f>IFERROR(INDEX('التدريب'!$C$3:$C$502,74),"")</f>
        <v/>
      </c>
      <c r="D80" s="50">
        <f>IFERROR(INDEX('التدريب'!$D$3:$D$502,74),"")</f>
        <v/>
      </c>
      <c r="E80" s="119">
        <f>IFERROR(INDEX('التدريب'!$E$3:$E$502,74),"")</f>
        <v/>
      </c>
      <c r="F80" s="119">
        <f>IFERROR(INDEX('التدريب'!$F$3:$F$502,74),"")</f>
        <v/>
      </c>
      <c r="G80" s="63">
        <f>IFERROR(INDEX('التدريب'!$G$3:$G$502,74),"")</f>
        <v/>
      </c>
      <c r="H80" s="50">
        <f>IFERROR(INDEX('التدريب'!$H$3:$H$502,74),"")</f>
        <v/>
      </c>
      <c r="I80" s="50">
        <f>IFERROR(INDEX('التدريب'!$I$3:$I$502,74),"")</f>
        <v/>
      </c>
      <c r="J80" s="50">
        <f>IFERROR(INDEX(تقييم_الأداء_الفترة,74),"")</f>
        <v/>
      </c>
      <c r="K80" s="113">
        <f>IFERROR(INDEX(تقييم_الأداء_النهائي,74),"")</f>
        <v/>
      </c>
      <c r="L80" s="50">
        <f>IFERROR(INDEX(تقييم_الأداء_التقدير,74),"")</f>
        <v/>
      </c>
    </row>
    <row r="81">
      <c r="A81" s="43">
        <f>IFERROR(INDEX('التدريب'!$A$3:$A$502,75),"")</f>
        <v/>
      </c>
      <c r="B81" s="43">
        <f>IFERROR(INDEX('التدريب'!$B$3:$B$502,75),"")</f>
        <v/>
      </c>
      <c r="C81" s="43">
        <f>IFERROR(INDEX('التدريب'!$C$3:$C$502,75),"")</f>
        <v/>
      </c>
      <c r="D81" s="43">
        <f>IFERROR(INDEX('التدريب'!$D$3:$D$502,75),"")</f>
        <v/>
      </c>
      <c r="E81" s="118">
        <f>IFERROR(INDEX('التدريب'!$E$3:$E$502,75),"")</f>
        <v/>
      </c>
      <c r="F81" s="118">
        <f>IFERROR(INDEX('التدريب'!$F$3:$F$502,75),"")</f>
        <v/>
      </c>
      <c r="G81" s="60">
        <f>IFERROR(INDEX('التدريب'!$G$3:$G$502,75),"")</f>
        <v/>
      </c>
      <c r="H81" s="43">
        <f>IFERROR(INDEX('التدريب'!$H$3:$H$502,75),"")</f>
        <v/>
      </c>
      <c r="I81" s="43">
        <f>IFERROR(INDEX('التدريب'!$I$3:$I$502,75),"")</f>
        <v/>
      </c>
      <c r="J81" s="43">
        <f>IFERROR(INDEX(تقييم_الأداء_الفترة,75),"")</f>
        <v/>
      </c>
      <c r="K81" s="111">
        <f>IFERROR(INDEX(تقييم_الأداء_النهائي,75),"")</f>
        <v/>
      </c>
      <c r="L81" s="43">
        <f>IFERROR(INDEX(تقييم_الأداء_التقدير,75),"")</f>
        <v/>
      </c>
    </row>
    <row r="82">
      <c r="A82" s="50">
        <f>IFERROR(INDEX('التدريب'!$A$3:$A$502,76),"")</f>
        <v/>
      </c>
      <c r="B82" s="50">
        <f>IFERROR(INDEX('التدريب'!$B$3:$B$502,76),"")</f>
        <v/>
      </c>
      <c r="C82" s="50">
        <f>IFERROR(INDEX('التدريب'!$C$3:$C$502,76),"")</f>
        <v/>
      </c>
      <c r="D82" s="50">
        <f>IFERROR(INDEX('التدريب'!$D$3:$D$502,76),"")</f>
        <v/>
      </c>
      <c r="E82" s="119">
        <f>IFERROR(INDEX('التدريب'!$E$3:$E$502,76),"")</f>
        <v/>
      </c>
      <c r="F82" s="119">
        <f>IFERROR(INDEX('التدريب'!$F$3:$F$502,76),"")</f>
        <v/>
      </c>
      <c r="G82" s="63">
        <f>IFERROR(INDEX('التدريب'!$G$3:$G$502,76),"")</f>
        <v/>
      </c>
      <c r="H82" s="50">
        <f>IFERROR(INDEX('التدريب'!$H$3:$H$502,76),"")</f>
        <v/>
      </c>
      <c r="I82" s="50">
        <f>IFERROR(INDEX('التدريب'!$I$3:$I$502,76),"")</f>
        <v/>
      </c>
      <c r="J82" s="50">
        <f>IFERROR(INDEX(تقييم_الأداء_الفترة,76),"")</f>
        <v/>
      </c>
      <c r="K82" s="113">
        <f>IFERROR(INDEX(تقييم_الأداء_النهائي,76),"")</f>
        <v/>
      </c>
      <c r="L82" s="50">
        <f>IFERROR(INDEX(تقييم_الأداء_التقدير,76),"")</f>
        <v/>
      </c>
    </row>
    <row r="83">
      <c r="A83" s="43">
        <f>IFERROR(INDEX('التدريب'!$A$3:$A$502,77),"")</f>
        <v/>
      </c>
      <c r="B83" s="43">
        <f>IFERROR(INDEX('التدريب'!$B$3:$B$502,77),"")</f>
        <v/>
      </c>
      <c r="C83" s="43">
        <f>IFERROR(INDEX('التدريب'!$C$3:$C$502,77),"")</f>
        <v/>
      </c>
      <c r="D83" s="43">
        <f>IFERROR(INDEX('التدريب'!$D$3:$D$502,77),"")</f>
        <v/>
      </c>
      <c r="E83" s="118">
        <f>IFERROR(INDEX('التدريب'!$E$3:$E$502,77),"")</f>
        <v/>
      </c>
      <c r="F83" s="118">
        <f>IFERROR(INDEX('التدريب'!$F$3:$F$502,77),"")</f>
        <v/>
      </c>
      <c r="G83" s="60">
        <f>IFERROR(INDEX('التدريب'!$G$3:$G$502,77),"")</f>
        <v/>
      </c>
      <c r="H83" s="43">
        <f>IFERROR(INDEX('التدريب'!$H$3:$H$502,77),"")</f>
        <v/>
      </c>
      <c r="I83" s="43">
        <f>IFERROR(INDEX('التدريب'!$I$3:$I$502,77),"")</f>
        <v/>
      </c>
      <c r="J83" s="43">
        <f>IFERROR(INDEX(تقييم_الأداء_الفترة,77),"")</f>
        <v/>
      </c>
      <c r="K83" s="111">
        <f>IFERROR(INDEX(تقييم_الأداء_النهائي,77),"")</f>
        <v/>
      </c>
      <c r="L83" s="43">
        <f>IFERROR(INDEX(تقييم_الأداء_التقدير,77),"")</f>
        <v/>
      </c>
    </row>
    <row r="84">
      <c r="A84" s="50">
        <f>IFERROR(INDEX('التدريب'!$A$3:$A$502,78),"")</f>
        <v/>
      </c>
      <c r="B84" s="50">
        <f>IFERROR(INDEX('التدريب'!$B$3:$B$502,78),"")</f>
        <v/>
      </c>
      <c r="C84" s="50">
        <f>IFERROR(INDEX('التدريب'!$C$3:$C$502,78),"")</f>
        <v/>
      </c>
      <c r="D84" s="50">
        <f>IFERROR(INDEX('التدريب'!$D$3:$D$502,78),"")</f>
        <v/>
      </c>
      <c r="E84" s="119">
        <f>IFERROR(INDEX('التدريب'!$E$3:$E$502,78),"")</f>
        <v/>
      </c>
      <c r="F84" s="119">
        <f>IFERROR(INDEX('التدريب'!$F$3:$F$502,78),"")</f>
        <v/>
      </c>
      <c r="G84" s="63">
        <f>IFERROR(INDEX('التدريب'!$G$3:$G$502,78),"")</f>
        <v/>
      </c>
      <c r="H84" s="50">
        <f>IFERROR(INDEX('التدريب'!$H$3:$H$502,78),"")</f>
        <v/>
      </c>
      <c r="I84" s="50">
        <f>IFERROR(INDEX('التدريب'!$I$3:$I$502,78),"")</f>
        <v/>
      </c>
      <c r="J84" s="50">
        <f>IFERROR(INDEX(تقييم_الأداء_الفترة,78),"")</f>
        <v/>
      </c>
      <c r="K84" s="113">
        <f>IFERROR(INDEX(تقييم_الأداء_النهائي,78),"")</f>
        <v/>
      </c>
      <c r="L84" s="50">
        <f>IFERROR(INDEX(تقييم_الأداء_التقدير,78),"")</f>
        <v/>
      </c>
    </row>
    <row r="85">
      <c r="A85" s="43">
        <f>IFERROR(INDEX('التدريب'!$A$3:$A$502,79),"")</f>
        <v/>
      </c>
      <c r="B85" s="43">
        <f>IFERROR(INDEX('التدريب'!$B$3:$B$502,79),"")</f>
        <v/>
      </c>
      <c r="C85" s="43">
        <f>IFERROR(INDEX('التدريب'!$C$3:$C$502,79),"")</f>
        <v/>
      </c>
      <c r="D85" s="43">
        <f>IFERROR(INDEX('التدريب'!$D$3:$D$502,79),"")</f>
        <v/>
      </c>
      <c r="E85" s="118">
        <f>IFERROR(INDEX('التدريب'!$E$3:$E$502,79),"")</f>
        <v/>
      </c>
      <c r="F85" s="118">
        <f>IFERROR(INDEX('التدريب'!$F$3:$F$502,79),"")</f>
        <v/>
      </c>
      <c r="G85" s="60">
        <f>IFERROR(INDEX('التدريب'!$G$3:$G$502,79),"")</f>
        <v/>
      </c>
      <c r="H85" s="43">
        <f>IFERROR(INDEX('التدريب'!$H$3:$H$502,79),"")</f>
        <v/>
      </c>
      <c r="I85" s="43">
        <f>IFERROR(INDEX('التدريب'!$I$3:$I$502,79),"")</f>
        <v/>
      </c>
      <c r="J85" s="43">
        <f>IFERROR(INDEX(تقييم_الأداء_الفترة,79),"")</f>
        <v/>
      </c>
      <c r="K85" s="111">
        <f>IFERROR(INDEX(تقييم_الأداء_النهائي,79),"")</f>
        <v/>
      </c>
      <c r="L85" s="43">
        <f>IFERROR(INDEX(تقييم_الأداء_التقدير,79),"")</f>
        <v/>
      </c>
    </row>
    <row r="86">
      <c r="A86" s="50">
        <f>IFERROR(INDEX('التدريب'!$A$3:$A$502,80),"")</f>
        <v/>
      </c>
      <c r="B86" s="50">
        <f>IFERROR(INDEX('التدريب'!$B$3:$B$502,80),"")</f>
        <v/>
      </c>
      <c r="C86" s="50">
        <f>IFERROR(INDEX('التدريب'!$C$3:$C$502,80),"")</f>
        <v/>
      </c>
      <c r="D86" s="50">
        <f>IFERROR(INDEX('التدريب'!$D$3:$D$502,80),"")</f>
        <v/>
      </c>
      <c r="E86" s="119">
        <f>IFERROR(INDEX('التدريب'!$E$3:$E$502,80),"")</f>
        <v/>
      </c>
      <c r="F86" s="119">
        <f>IFERROR(INDEX('التدريب'!$F$3:$F$502,80),"")</f>
        <v/>
      </c>
      <c r="G86" s="63">
        <f>IFERROR(INDEX('التدريب'!$G$3:$G$502,80),"")</f>
        <v/>
      </c>
      <c r="H86" s="50">
        <f>IFERROR(INDEX('التدريب'!$H$3:$H$502,80),"")</f>
        <v/>
      </c>
      <c r="I86" s="50">
        <f>IFERROR(INDEX('التدريب'!$I$3:$I$502,80),"")</f>
        <v/>
      </c>
      <c r="J86" s="50">
        <f>IFERROR(INDEX(تقييم_الأداء_الفترة,80),"")</f>
        <v/>
      </c>
      <c r="K86" s="113">
        <f>IFERROR(INDEX(تقييم_الأداء_النهائي,80),"")</f>
        <v/>
      </c>
      <c r="L86" s="50">
        <f>IFERROR(INDEX(تقييم_الأداء_التقدير,80),"")</f>
        <v/>
      </c>
    </row>
    <row r="87">
      <c r="A87" s="43">
        <f>IFERROR(INDEX('التدريب'!$A$3:$A$502,81),"")</f>
        <v/>
      </c>
      <c r="B87" s="43">
        <f>IFERROR(INDEX('التدريب'!$B$3:$B$502,81),"")</f>
        <v/>
      </c>
      <c r="C87" s="43">
        <f>IFERROR(INDEX('التدريب'!$C$3:$C$502,81),"")</f>
        <v/>
      </c>
      <c r="D87" s="43">
        <f>IFERROR(INDEX('التدريب'!$D$3:$D$502,81),"")</f>
        <v/>
      </c>
      <c r="E87" s="118">
        <f>IFERROR(INDEX('التدريب'!$E$3:$E$502,81),"")</f>
        <v/>
      </c>
      <c r="F87" s="118">
        <f>IFERROR(INDEX('التدريب'!$F$3:$F$502,81),"")</f>
        <v/>
      </c>
      <c r="G87" s="60">
        <f>IFERROR(INDEX('التدريب'!$G$3:$G$502,81),"")</f>
        <v/>
      </c>
      <c r="H87" s="43">
        <f>IFERROR(INDEX('التدريب'!$H$3:$H$502,81),"")</f>
        <v/>
      </c>
      <c r="I87" s="43">
        <f>IFERROR(INDEX('التدريب'!$I$3:$I$502,81),"")</f>
        <v/>
      </c>
      <c r="J87" s="43">
        <f>IFERROR(INDEX(تقييم_الأداء_الفترة,81),"")</f>
        <v/>
      </c>
      <c r="K87" s="111">
        <f>IFERROR(INDEX(تقييم_الأداء_النهائي,81),"")</f>
        <v/>
      </c>
      <c r="L87" s="43">
        <f>IFERROR(INDEX(تقييم_الأداء_التقدير,81),"")</f>
        <v/>
      </c>
    </row>
    <row r="88">
      <c r="A88" s="50">
        <f>IFERROR(INDEX('التدريب'!$A$3:$A$502,82),"")</f>
        <v/>
      </c>
      <c r="B88" s="50">
        <f>IFERROR(INDEX('التدريب'!$B$3:$B$502,82),"")</f>
        <v/>
      </c>
      <c r="C88" s="50">
        <f>IFERROR(INDEX('التدريب'!$C$3:$C$502,82),"")</f>
        <v/>
      </c>
      <c r="D88" s="50">
        <f>IFERROR(INDEX('التدريب'!$D$3:$D$502,82),"")</f>
        <v/>
      </c>
      <c r="E88" s="119">
        <f>IFERROR(INDEX('التدريب'!$E$3:$E$502,82),"")</f>
        <v/>
      </c>
      <c r="F88" s="119">
        <f>IFERROR(INDEX('التدريب'!$F$3:$F$502,82),"")</f>
        <v/>
      </c>
      <c r="G88" s="63">
        <f>IFERROR(INDEX('التدريب'!$G$3:$G$502,82),"")</f>
        <v/>
      </c>
      <c r="H88" s="50">
        <f>IFERROR(INDEX('التدريب'!$H$3:$H$502,82),"")</f>
        <v/>
      </c>
      <c r="I88" s="50">
        <f>IFERROR(INDEX('التدريب'!$I$3:$I$502,82),"")</f>
        <v/>
      </c>
      <c r="J88" s="50">
        <f>IFERROR(INDEX(تقييم_الأداء_الفترة,82),"")</f>
        <v/>
      </c>
      <c r="K88" s="113">
        <f>IFERROR(INDEX(تقييم_الأداء_النهائي,82),"")</f>
        <v/>
      </c>
      <c r="L88" s="50">
        <f>IFERROR(INDEX(تقييم_الأداء_التقدير,82),"")</f>
        <v/>
      </c>
    </row>
    <row r="89">
      <c r="A89" s="43">
        <f>IFERROR(INDEX('التدريب'!$A$3:$A$502,83),"")</f>
        <v/>
      </c>
      <c r="B89" s="43">
        <f>IFERROR(INDEX('التدريب'!$B$3:$B$502,83),"")</f>
        <v/>
      </c>
      <c r="C89" s="43">
        <f>IFERROR(INDEX('التدريب'!$C$3:$C$502,83),"")</f>
        <v/>
      </c>
      <c r="D89" s="43">
        <f>IFERROR(INDEX('التدريب'!$D$3:$D$502,83),"")</f>
        <v/>
      </c>
      <c r="E89" s="118">
        <f>IFERROR(INDEX('التدريب'!$E$3:$E$502,83),"")</f>
        <v/>
      </c>
      <c r="F89" s="118">
        <f>IFERROR(INDEX('التدريب'!$F$3:$F$502,83),"")</f>
        <v/>
      </c>
      <c r="G89" s="60">
        <f>IFERROR(INDEX('التدريب'!$G$3:$G$502,83),"")</f>
        <v/>
      </c>
      <c r="H89" s="43">
        <f>IFERROR(INDEX('التدريب'!$H$3:$H$502,83),"")</f>
        <v/>
      </c>
      <c r="I89" s="43">
        <f>IFERROR(INDEX('التدريب'!$I$3:$I$502,83),"")</f>
        <v/>
      </c>
      <c r="J89" s="43">
        <f>IFERROR(INDEX(تقييم_الأداء_الفترة,83),"")</f>
        <v/>
      </c>
      <c r="K89" s="111">
        <f>IFERROR(INDEX(تقييم_الأداء_النهائي,83),"")</f>
        <v/>
      </c>
      <c r="L89" s="43">
        <f>IFERROR(INDEX(تقييم_الأداء_التقدير,83),"")</f>
        <v/>
      </c>
    </row>
    <row r="90">
      <c r="A90" s="50">
        <f>IFERROR(INDEX('التدريب'!$A$3:$A$502,84),"")</f>
        <v/>
      </c>
      <c r="B90" s="50">
        <f>IFERROR(INDEX('التدريب'!$B$3:$B$502,84),"")</f>
        <v/>
      </c>
      <c r="C90" s="50">
        <f>IFERROR(INDEX('التدريب'!$C$3:$C$502,84),"")</f>
        <v/>
      </c>
      <c r="D90" s="50">
        <f>IFERROR(INDEX('التدريب'!$D$3:$D$502,84),"")</f>
        <v/>
      </c>
      <c r="E90" s="119">
        <f>IFERROR(INDEX('التدريب'!$E$3:$E$502,84),"")</f>
        <v/>
      </c>
      <c r="F90" s="119">
        <f>IFERROR(INDEX('التدريب'!$F$3:$F$502,84),"")</f>
        <v/>
      </c>
      <c r="G90" s="63">
        <f>IFERROR(INDEX('التدريب'!$G$3:$G$502,84),"")</f>
        <v/>
      </c>
      <c r="H90" s="50">
        <f>IFERROR(INDEX('التدريب'!$H$3:$H$502,84),"")</f>
        <v/>
      </c>
      <c r="I90" s="50">
        <f>IFERROR(INDEX('التدريب'!$I$3:$I$502,84),"")</f>
        <v/>
      </c>
      <c r="J90" s="50">
        <f>IFERROR(INDEX(تقييم_الأداء_الفترة,84),"")</f>
        <v/>
      </c>
      <c r="K90" s="113">
        <f>IFERROR(INDEX(تقييم_الأداء_النهائي,84),"")</f>
        <v/>
      </c>
      <c r="L90" s="50">
        <f>IFERROR(INDEX(تقييم_الأداء_التقدير,84),"")</f>
        <v/>
      </c>
    </row>
    <row r="91">
      <c r="A91" s="43">
        <f>IFERROR(INDEX('التدريب'!$A$3:$A$502,85),"")</f>
        <v/>
      </c>
      <c r="B91" s="43">
        <f>IFERROR(INDEX('التدريب'!$B$3:$B$502,85),"")</f>
        <v/>
      </c>
      <c r="C91" s="43">
        <f>IFERROR(INDEX('التدريب'!$C$3:$C$502,85),"")</f>
        <v/>
      </c>
      <c r="D91" s="43">
        <f>IFERROR(INDEX('التدريب'!$D$3:$D$502,85),"")</f>
        <v/>
      </c>
      <c r="E91" s="118">
        <f>IFERROR(INDEX('التدريب'!$E$3:$E$502,85),"")</f>
        <v/>
      </c>
      <c r="F91" s="118">
        <f>IFERROR(INDEX('التدريب'!$F$3:$F$502,85),"")</f>
        <v/>
      </c>
      <c r="G91" s="60">
        <f>IFERROR(INDEX('التدريب'!$G$3:$G$502,85),"")</f>
        <v/>
      </c>
      <c r="H91" s="43">
        <f>IFERROR(INDEX('التدريب'!$H$3:$H$502,85),"")</f>
        <v/>
      </c>
      <c r="I91" s="43">
        <f>IFERROR(INDEX('التدريب'!$I$3:$I$502,85),"")</f>
        <v/>
      </c>
      <c r="J91" s="43">
        <f>IFERROR(INDEX(تقييم_الأداء_الفترة,85),"")</f>
        <v/>
      </c>
      <c r="K91" s="111">
        <f>IFERROR(INDEX(تقييم_الأداء_النهائي,85),"")</f>
        <v/>
      </c>
      <c r="L91" s="43">
        <f>IFERROR(INDEX(تقييم_الأداء_التقدير,85),"")</f>
        <v/>
      </c>
    </row>
    <row r="92">
      <c r="A92" s="50">
        <f>IFERROR(INDEX('التدريب'!$A$3:$A$502,86),"")</f>
        <v/>
      </c>
      <c r="B92" s="50">
        <f>IFERROR(INDEX('التدريب'!$B$3:$B$502,86),"")</f>
        <v/>
      </c>
      <c r="C92" s="50">
        <f>IFERROR(INDEX('التدريب'!$C$3:$C$502,86),"")</f>
        <v/>
      </c>
      <c r="D92" s="50">
        <f>IFERROR(INDEX('التدريب'!$D$3:$D$502,86),"")</f>
        <v/>
      </c>
      <c r="E92" s="119">
        <f>IFERROR(INDEX('التدريب'!$E$3:$E$502,86),"")</f>
        <v/>
      </c>
      <c r="F92" s="119">
        <f>IFERROR(INDEX('التدريب'!$F$3:$F$502,86),"")</f>
        <v/>
      </c>
      <c r="G92" s="63">
        <f>IFERROR(INDEX('التدريب'!$G$3:$G$502,86),"")</f>
        <v/>
      </c>
      <c r="H92" s="50">
        <f>IFERROR(INDEX('التدريب'!$H$3:$H$502,86),"")</f>
        <v/>
      </c>
      <c r="I92" s="50">
        <f>IFERROR(INDEX('التدريب'!$I$3:$I$502,86),"")</f>
        <v/>
      </c>
      <c r="J92" s="50">
        <f>IFERROR(INDEX(تقييم_الأداء_الفترة,86),"")</f>
        <v/>
      </c>
      <c r="K92" s="113">
        <f>IFERROR(INDEX(تقييم_الأداء_النهائي,86),"")</f>
        <v/>
      </c>
      <c r="L92" s="50">
        <f>IFERROR(INDEX(تقييم_الأداء_التقدير,86),"")</f>
        <v/>
      </c>
    </row>
    <row r="93">
      <c r="A93" s="43">
        <f>IFERROR(INDEX('التدريب'!$A$3:$A$502,87),"")</f>
        <v/>
      </c>
      <c r="B93" s="43">
        <f>IFERROR(INDEX('التدريب'!$B$3:$B$502,87),"")</f>
        <v/>
      </c>
      <c r="C93" s="43">
        <f>IFERROR(INDEX('التدريب'!$C$3:$C$502,87),"")</f>
        <v/>
      </c>
      <c r="D93" s="43">
        <f>IFERROR(INDEX('التدريب'!$D$3:$D$502,87),"")</f>
        <v/>
      </c>
      <c r="E93" s="118">
        <f>IFERROR(INDEX('التدريب'!$E$3:$E$502,87),"")</f>
        <v/>
      </c>
      <c r="F93" s="118">
        <f>IFERROR(INDEX('التدريب'!$F$3:$F$502,87),"")</f>
        <v/>
      </c>
      <c r="G93" s="60">
        <f>IFERROR(INDEX('التدريب'!$G$3:$G$502,87),"")</f>
        <v/>
      </c>
      <c r="H93" s="43">
        <f>IFERROR(INDEX('التدريب'!$H$3:$H$502,87),"")</f>
        <v/>
      </c>
      <c r="I93" s="43">
        <f>IFERROR(INDEX('التدريب'!$I$3:$I$502,87),"")</f>
        <v/>
      </c>
      <c r="J93" s="43">
        <f>IFERROR(INDEX(تقييم_الأداء_الفترة,87),"")</f>
        <v/>
      </c>
      <c r="K93" s="111">
        <f>IFERROR(INDEX(تقييم_الأداء_النهائي,87),"")</f>
        <v/>
      </c>
      <c r="L93" s="43">
        <f>IFERROR(INDEX(تقييم_الأداء_التقدير,87),"")</f>
        <v/>
      </c>
    </row>
    <row r="94">
      <c r="A94" s="50">
        <f>IFERROR(INDEX('التدريب'!$A$3:$A$502,88),"")</f>
        <v/>
      </c>
      <c r="B94" s="50">
        <f>IFERROR(INDEX('التدريب'!$B$3:$B$502,88),"")</f>
        <v/>
      </c>
      <c r="C94" s="50">
        <f>IFERROR(INDEX('التدريب'!$C$3:$C$502,88),"")</f>
        <v/>
      </c>
      <c r="D94" s="50">
        <f>IFERROR(INDEX('التدريب'!$D$3:$D$502,88),"")</f>
        <v/>
      </c>
      <c r="E94" s="119">
        <f>IFERROR(INDEX('التدريب'!$E$3:$E$502,88),"")</f>
        <v/>
      </c>
      <c r="F94" s="119">
        <f>IFERROR(INDEX('التدريب'!$F$3:$F$502,88),"")</f>
        <v/>
      </c>
      <c r="G94" s="63">
        <f>IFERROR(INDEX('التدريب'!$G$3:$G$502,88),"")</f>
        <v/>
      </c>
      <c r="H94" s="50">
        <f>IFERROR(INDEX('التدريب'!$H$3:$H$502,88),"")</f>
        <v/>
      </c>
      <c r="I94" s="50">
        <f>IFERROR(INDEX('التدريب'!$I$3:$I$502,88),"")</f>
        <v/>
      </c>
      <c r="J94" s="50">
        <f>IFERROR(INDEX(تقييم_الأداء_الفترة,88),"")</f>
        <v/>
      </c>
      <c r="K94" s="113">
        <f>IFERROR(INDEX(تقييم_الأداء_النهائي,88),"")</f>
        <v/>
      </c>
      <c r="L94" s="50">
        <f>IFERROR(INDEX(تقييم_الأداء_التقدير,88),"")</f>
        <v/>
      </c>
    </row>
    <row r="95">
      <c r="A95" s="43">
        <f>IFERROR(INDEX('التدريب'!$A$3:$A$502,89),"")</f>
        <v/>
      </c>
      <c r="B95" s="43">
        <f>IFERROR(INDEX('التدريب'!$B$3:$B$502,89),"")</f>
        <v/>
      </c>
      <c r="C95" s="43">
        <f>IFERROR(INDEX('التدريب'!$C$3:$C$502,89),"")</f>
        <v/>
      </c>
      <c r="D95" s="43">
        <f>IFERROR(INDEX('التدريب'!$D$3:$D$502,89),"")</f>
        <v/>
      </c>
      <c r="E95" s="118">
        <f>IFERROR(INDEX('التدريب'!$E$3:$E$502,89),"")</f>
        <v/>
      </c>
      <c r="F95" s="118">
        <f>IFERROR(INDEX('التدريب'!$F$3:$F$502,89),"")</f>
        <v/>
      </c>
      <c r="G95" s="60">
        <f>IFERROR(INDEX('التدريب'!$G$3:$G$502,89),"")</f>
        <v/>
      </c>
      <c r="H95" s="43">
        <f>IFERROR(INDEX('التدريب'!$H$3:$H$502,89),"")</f>
        <v/>
      </c>
      <c r="I95" s="43">
        <f>IFERROR(INDEX('التدريب'!$I$3:$I$502,89),"")</f>
        <v/>
      </c>
      <c r="J95" s="43">
        <f>IFERROR(INDEX(تقييم_الأداء_الفترة,89),"")</f>
        <v/>
      </c>
      <c r="K95" s="111">
        <f>IFERROR(INDEX(تقييم_الأداء_النهائي,89),"")</f>
        <v/>
      </c>
      <c r="L95" s="43">
        <f>IFERROR(INDEX(تقييم_الأداء_التقدير,89),"")</f>
        <v/>
      </c>
    </row>
    <row r="96">
      <c r="A96" s="50">
        <f>IFERROR(INDEX('التدريب'!$A$3:$A$502,90),"")</f>
        <v/>
      </c>
      <c r="B96" s="50">
        <f>IFERROR(INDEX('التدريب'!$B$3:$B$502,90),"")</f>
        <v/>
      </c>
      <c r="C96" s="50">
        <f>IFERROR(INDEX('التدريب'!$C$3:$C$502,90),"")</f>
        <v/>
      </c>
      <c r="D96" s="50">
        <f>IFERROR(INDEX('التدريب'!$D$3:$D$502,90),"")</f>
        <v/>
      </c>
      <c r="E96" s="119">
        <f>IFERROR(INDEX('التدريب'!$E$3:$E$502,90),"")</f>
        <v/>
      </c>
      <c r="F96" s="119">
        <f>IFERROR(INDEX('التدريب'!$F$3:$F$502,90),"")</f>
        <v/>
      </c>
      <c r="G96" s="63">
        <f>IFERROR(INDEX('التدريب'!$G$3:$G$502,90),"")</f>
        <v/>
      </c>
      <c r="H96" s="50">
        <f>IFERROR(INDEX('التدريب'!$H$3:$H$502,90),"")</f>
        <v/>
      </c>
      <c r="I96" s="50">
        <f>IFERROR(INDEX('التدريب'!$I$3:$I$502,90),"")</f>
        <v/>
      </c>
      <c r="J96" s="50">
        <f>IFERROR(INDEX(تقييم_الأداء_الفترة,90),"")</f>
        <v/>
      </c>
      <c r="K96" s="113">
        <f>IFERROR(INDEX(تقييم_الأداء_النهائي,90),"")</f>
        <v/>
      </c>
      <c r="L96" s="50">
        <f>IFERROR(INDEX(تقييم_الأداء_التقدير,90),"")</f>
        <v/>
      </c>
    </row>
    <row r="97">
      <c r="A97" s="43">
        <f>IFERROR(INDEX('التدريب'!$A$3:$A$502,91),"")</f>
        <v/>
      </c>
      <c r="B97" s="43">
        <f>IFERROR(INDEX('التدريب'!$B$3:$B$502,91),"")</f>
        <v/>
      </c>
      <c r="C97" s="43">
        <f>IFERROR(INDEX('التدريب'!$C$3:$C$502,91),"")</f>
        <v/>
      </c>
      <c r="D97" s="43">
        <f>IFERROR(INDEX('التدريب'!$D$3:$D$502,91),"")</f>
        <v/>
      </c>
      <c r="E97" s="118">
        <f>IFERROR(INDEX('التدريب'!$E$3:$E$502,91),"")</f>
        <v/>
      </c>
      <c r="F97" s="118">
        <f>IFERROR(INDEX('التدريب'!$F$3:$F$502,91),"")</f>
        <v/>
      </c>
      <c r="G97" s="60">
        <f>IFERROR(INDEX('التدريب'!$G$3:$G$502,91),"")</f>
        <v/>
      </c>
      <c r="H97" s="43">
        <f>IFERROR(INDEX('التدريب'!$H$3:$H$502,91),"")</f>
        <v/>
      </c>
      <c r="I97" s="43">
        <f>IFERROR(INDEX('التدريب'!$I$3:$I$502,91),"")</f>
        <v/>
      </c>
      <c r="J97" s="43">
        <f>IFERROR(INDEX(تقييم_الأداء_الفترة,91),"")</f>
        <v/>
      </c>
      <c r="K97" s="111">
        <f>IFERROR(INDEX(تقييم_الأداء_النهائي,91),"")</f>
        <v/>
      </c>
      <c r="L97" s="43">
        <f>IFERROR(INDEX(تقييم_الأداء_التقدير,91),"")</f>
        <v/>
      </c>
    </row>
    <row r="98">
      <c r="A98" s="50">
        <f>IFERROR(INDEX('التدريب'!$A$3:$A$502,92),"")</f>
        <v/>
      </c>
      <c r="B98" s="50">
        <f>IFERROR(INDEX('التدريب'!$B$3:$B$502,92),"")</f>
        <v/>
      </c>
      <c r="C98" s="50">
        <f>IFERROR(INDEX('التدريب'!$C$3:$C$502,92),"")</f>
        <v/>
      </c>
      <c r="D98" s="50">
        <f>IFERROR(INDEX('التدريب'!$D$3:$D$502,92),"")</f>
        <v/>
      </c>
      <c r="E98" s="119">
        <f>IFERROR(INDEX('التدريب'!$E$3:$E$502,92),"")</f>
        <v/>
      </c>
      <c r="F98" s="119">
        <f>IFERROR(INDEX('التدريب'!$F$3:$F$502,92),"")</f>
        <v/>
      </c>
      <c r="G98" s="63">
        <f>IFERROR(INDEX('التدريب'!$G$3:$G$502,92),"")</f>
        <v/>
      </c>
      <c r="H98" s="50">
        <f>IFERROR(INDEX('التدريب'!$H$3:$H$502,92),"")</f>
        <v/>
      </c>
      <c r="I98" s="50">
        <f>IFERROR(INDEX('التدريب'!$I$3:$I$502,92),"")</f>
        <v/>
      </c>
      <c r="J98" s="50">
        <f>IFERROR(INDEX(تقييم_الأداء_الفترة,92),"")</f>
        <v/>
      </c>
      <c r="K98" s="113">
        <f>IFERROR(INDEX(تقييم_الأداء_النهائي,92),"")</f>
        <v/>
      </c>
      <c r="L98" s="50">
        <f>IFERROR(INDEX(تقييم_الأداء_التقدير,92),"")</f>
        <v/>
      </c>
    </row>
    <row r="99">
      <c r="A99" s="43">
        <f>IFERROR(INDEX('التدريب'!$A$3:$A$502,93),"")</f>
        <v/>
      </c>
      <c r="B99" s="43">
        <f>IFERROR(INDEX('التدريب'!$B$3:$B$502,93),"")</f>
        <v/>
      </c>
      <c r="C99" s="43">
        <f>IFERROR(INDEX('التدريب'!$C$3:$C$502,93),"")</f>
        <v/>
      </c>
      <c r="D99" s="43">
        <f>IFERROR(INDEX('التدريب'!$D$3:$D$502,93),"")</f>
        <v/>
      </c>
      <c r="E99" s="118">
        <f>IFERROR(INDEX('التدريب'!$E$3:$E$502,93),"")</f>
        <v/>
      </c>
      <c r="F99" s="118">
        <f>IFERROR(INDEX('التدريب'!$F$3:$F$502,93),"")</f>
        <v/>
      </c>
      <c r="G99" s="60">
        <f>IFERROR(INDEX('التدريب'!$G$3:$G$502,93),"")</f>
        <v/>
      </c>
      <c r="H99" s="43">
        <f>IFERROR(INDEX('التدريب'!$H$3:$H$502,93),"")</f>
        <v/>
      </c>
      <c r="I99" s="43">
        <f>IFERROR(INDEX('التدريب'!$I$3:$I$502,93),"")</f>
        <v/>
      </c>
      <c r="J99" s="43">
        <f>IFERROR(INDEX(تقييم_الأداء_الفترة,93),"")</f>
        <v/>
      </c>
      <c r="K99" s="111">
        <f>IFERROR(INDEX(تقييم_الأداء_النهائي,93),"")</f>
        <v/>
      </c>
      <c r="L99" s="43">
        <f>IFERROR(INDEX(تقييم_الأداء_التقدير,93),"")</f>
        <v/>
      </c>
    </row>
    <row r="100">
      <c r="A100" s="50">
        <f>IFERROR(INDEX('التدريب'!$A$3:$A$502,94),"")</f>
        <v/>
      </c>
      <c r="B100" s="50">
        <f>IFERROR(INDEX('التدريب'!$B$3:$B$502,94),"")</f>
        <v/>
      </c>
      <c r="C100" s="50">
        <f>IFERROR(INDEX('التدريب'!$C$3:$C$502,94),"")</f>
        <v/>
      </c>
      <c r="D100" s="50">
        <f>IFERROR(INDEX('التدريب'!$D$3:$D$502,94),"")</f>
        <v/>
      </c>
      <c r="E100" s="119">
        <f>IFERROR(INDEX('التدريب'!$E$3:$E$502,94),"")</f>
        <v/>
      </c>
      <c r="F100" s="119">
        <f>IFERROR(INDEX('التدريب'!$F$3:$F$502,94),"")</f>
        <v/>
      </c>
      <c r="G100" s="63">
        <f>IFERROR(INDEX('التدريب'!$G$3:$G$502,94),"")</f>
        <v/>
      </c>
      <c r="H100" s="50">
        <f>IFERROR(INDEX('التدريب'!$H$3:$H$502,94),"")</f>
        <v/>
      </c>
      <c r="I100" s="50">
        <f>IFERROR(INDEX('التدريب'!$I$3:$I$502,94),"")</f>
        <v/>
      </c>
      <c r="J100" s="50">
        <f>IFERROR(INDEX(تقييم_الأداء_الفترة,94),"")</f>
        <v/>
      </c>
      <c r="K100" s="113">
        <f>IFERROR(INDEX(تقييم_الأداء_النهائي,94),"")</f>
        <v/>
      </c>
      <c r="L100" s="50">
        <f>IFERROR(INDEX(تقييم_الأداء_التقدير,94),"")</f>
        <v/>
      </c>
    </row>
    <row r="101">
      <c r="A101" s="43">
        <f>IFERROR(INDEX('التدريب'!$A$3:$A$502,95),"")</f>
        <v/>
      </c>
      <c r="B101" s="43">
        <f>IFERROR(INDEX('التدريب'!$B$3:$B$502,95),"")</f>
        <v/>
      </c>
      <c r="C101" s="43">
        <f>IFERROR(INDEX('التدريب'!$C$3:$C$502,95),"")</f>
        <v/>
      </c>
      <c r="D101" s="43">
        <f>IFERROR(INDEX('التدريب'!$D$3:$D$502,95),"")</f>
        <v/>
      </c>
      <c r="E101" s="118">
        <f>IFERROR(INDEX('التدريب'!$E$3:$E$502,95),"")</f>
        <v/>
      </c>
      <c r="F101" s="118">
        <f>IFERROR(INDEX('التدريب'!$F$3:$F$502,95),"")</f>
        <v/>
      </c>
      <c r="G101" s="60">
        <f>IFERROR(INDEX('التدريب'!$G$3:$G$502,95),"")</f>
        <v/>
      </c>
      <c r="H101" s="43">
        <f>IFERROR(INDEX('التدريب'!$H$3:$H$502,95),"")</f>
        <v/>
      </c>
      <c r="I101" s="43">
        <f>IFERROR(INDEX('التدريب'!$I$3:$I$502,95),"")</f>
        <v/>
      </c>
      <c r="J101" s="43">
        <f>IFERROR(INDEX(تقييم_الأداء_الفترة,95),"")</f>
        <v/>
      </c>
      <c r="K101" s="111">
        <f>IFERROR(INDEX(تقييم_الأداء_النهائي,95),"")</f>
        <v/>
      </c>
      <c r="L101" s="43">
        <f>IFERROR(INDEX(تقييم_الأداء_التقدير,95),"")</f>
        <v/>
      </c>
    </row>
    <row r="102">
      <c r="A102" s="50">
        <f>IFERROR(INDEX('التدريب'!$A$3:$A$502,96),"")</f>
        <v/>
      </c>
      <c r="B102" s="50">
        <f>IFERROR(INDEX('التدريب'!$B$3:$B$502,96),"")</f>
        <v/>
      </c>
      <c r="C102" s="50">
        <f>IFERROR(INDEX('التدريب'!$C$3:$C$502,96),"")</f>
        <v/>
      </c>
      <c r="D102" s="50">
        <f>IFERROR(INDEX('التدريب'!$D$3:$D$502,96),"")</f>
        <v/>
      </c>
      <c r="E102" s="119">
        <f>IFERROR(INDEX('التدريب'!$E$3:$E$502,96),"")</f>
        <v/>
      </c>
      <c r="F102" s="119">
        <f>IFERROR(INDEX('التدريب'!$F$3:$F$502,96),"")</f>
        <v/>
      </c>
      <c r="G102" s="63">
        <f>IFERROR(INDEX('التدريب'!$G$3:$G$502,96),"")</f>
        <v/>
      </c>
      <c r="H102" s="50">
        <f>IFERROR(INDEX('التدريب'!$H$3:$H$502,96),"")</f>
        <v/>
      </c>
      <c r="I102" s="50">
        <f>IFERROR(INDEX('التدريب'!$I$3:$I$502,96),"")</f>
        <v/>
      </c>
      <c r="J102" s="50">
        <f>IFERROR(INDEX(تقييم_الأداء_الفترة,96),"")</f>
        <v/>
      </c>
      <c r="K102" s="113">
        <f>IFERROR(INDEX(تقييم_الأداء_النهائي,96),"")</f>
        <v/>
      </c>
      <c r="L102" s="50">
        <f>IFERROR(INDEX(تقييم_الأداء_التقدير,96),"")</f>
        <v/>
      </c>
    </row>
    <row r="103">
      <c r="A103" s="43">
        <f>IFERROR(INDEX('التدريب'!$A$3:$A$502,97),"")</f>
        <v/>
      </c>
      <c r="B103" s="43">
        <f>IFERROR(INDEX('التدريب'!$B$3:$B$502,97),"")</f>
        <v/>
      </c>
      <c r="C103" s="43">
        <f>IFERROR(INDEX('التدريب'!$C$3:$C$502,97),"")</f>
        <v/>
      </c>
      <c r="D103" s="43">
        <f>IFERROR(INDEX('التدريب'!$D$3:$D$502,97),"")</f>
        <v/>
      </c>
      <c r="E103" s="118">
        <f>IFERROR(INDEX('التدريب'!$E$3:$E$502,97),"")</f>
        <v/>
      </c>
      <c r="F103" s="118">
        <f>IFERROR(INDEX('التدريب'!$F$3:$F$502,97),"")</f>
        <v/>
      </c>
      <c r="G103" s="60">
        <f>IFERROR(INDEX('التدريب'!$G$3:$G$502,97),"")</f>
        <v/>
      </c>
      <c r="H103" s="43">
        <f>IFERROR(INDEX('التدريب'!$H$3:$H$502,97),"")</f>
        <v/>
      </c>
      <c r="I103" s="43">
        <f>IFERROR(INDEX('التدريب'!$I$3:$I$502,97),"")</f>
        <v/>
      </c>
      <c r="J103" s="43">
        <f>IFERROR(INDEX(تقييم_الأداء_الفترة,97),"")</f>
        <v/>
      </c>
      <c r="K103" s="111">
        <f>IFERROR(INDEX(تقييم_الأداء_النهائي,97),"")</f>
        <v/>
      </c>
      <c r="L103" s="43">
        <f>IFERROR(INDEX(تقييم_الأداء_التقدير,97),"")</f>
        <v/>
      </c>
    </row>
    <row r="104">
      <c r="A104" s="50">
        <f>IFERROR(INDEX('التدريب'!$A$3:$A$502,98),"")</f>
        <v/>
      </c>
      <c r="B104" s="50">
        <f>IFERROR(INDEX('التدريب'!$B$3:$B$502,98),"")</f>
        <v/>
      </c>
      <c r="C104" s="50">
        <f>IFERROR(INDEX('التدريب'!$C$3:$C$502,98),"")</f>
        <v/>
      </c>
      <c r="D104" s="50">
        <f>IFERROR(INDEX('التدريب'!$D$3:$D$502,98),"")</f>
        <v/>
      </c>
      <c r="E104" s="119">
        <f>IFERROR(INDEX('التدريب'!$E$3:$E$502,98),"")</f>
        <v/>
      </c>
      <c r="F104" s="119">
        <f>IFERROR(INDEX('التدريب'!$F$3:$F$502,98),"")</f>
        <v/>
      </c>
      <c r="G104" s="63">
        <f>IFERROR(INDEX('التدريب'!$G$3:$G$502,98),"")</f>
        <v/>
      </c>
      <c r="H104" s="50">
        <f>IFERROR(INDEX('التدريب'!$H$3:$H$502,98),"")</f>
        <v/>
      </c>
      <c r="I104" s="50">
        <f>IFERROR(INDEX('التدريب'!$I$3:$I$502,98),"")</f>
        <v/>
      </c>
      <c r="J104" s="50">
        <f>IFERROR(INDEX(تقييم_الأداء_الفترة,98),"")</f>
        <v/>
      </c>
      <c r="K104" s="113">
        <f>IFERROR(INDEX(تقييم_الأداء_النهائي,98),"")</f>
        <v/>
      </c>
      <c r="L104" s="50">
        <f>IFERROR(INDEX(تقييم_الأداء_التقدير,98),"")</f>
        <v/>
      </c>
    </row>
    <row r="105">
      <c r="A105" s="43">
        <f>IFERROR(INDEX('التدريب'!$A$3:$A$502,99),"")</f>
        <v/>
      </c>
      <c r="B105" s="43">
        <f>IFERROR(INDEX('التدريب'!$B$3:$B$502,99),"")</f>
        <v/>
      </c>
      <c r="C105" s="43">
        <f>IFERROR(INDEX('التدريب'!$C$3:$C$502,99),"")</f>
        <v/>
      </c>
      <c r="D105" s="43">
        <f>IFERROR(INDEX('التدريب'!$D$3:$D$502,99),"")</f>
        <v/>
      </c>
      <c r="E105" s="118">
        <f>IFERROR(INDEX('التدريب'!$E$3:$E$502,99),"")</f>
        <v/>
      </c>
      <c r="F105" s="118">
        <f>IFERROR(INDEX('التدريب'!$F$3:$F$502,99),"")</f>
        <v/>
      </c>
      <c r="G105" s="60">
        <f>IFERROR(INDEX('التدريب'!$G$3:$G$502,99),"")</f>
        <v/>
      </c>
      <c r="H105" s="43">
        <f>IFERROR(INDEX('التدريب'!$H$3:$H$502,99),"")</f>
        <v/>
      </c>
      <c r="I105" s="43">
        <f>IFERROR(INDEX('التدريب'!$I$3:$I$502,99),"")</f>
        <v/>
      </c>
      <c r="J105" s="43">
        <f>IFERROR(INDEX(تقييم_الأداء_الفترة,99),"")</f>
        <v/>
      </c>
      <c r="K105" s="111">
        <f>IFERROR(INDEX(تقييم_الأداء_النهائي,99),"")</f>
        <v/>
      </c>
      <c r="L105" s="43">
        <f>IFERROR(INDEX(تقييم_الأداء_التقدير,99),"")</f>
        <v/>
      </c>
    </row>
    <row r="106">
      <c r="A106" s="50">
        <f>IFERROR(INDEX('التدريب'!$A$3:$A$502,100),"")</f>
        <v/>
      </c>
      <c r="B106" s="50">
        <f>IFERROR(INDEX('التدريب'!$B$3:$B$502,100),"")</f>
        <v/>
      </c>
      <c r="C106" s="50">
        <f>IFERROR(INDEX('التدريب'!$C$3:$C$502,100),"")</f>
        <v/>
      </c>
      <c r="D106" s="50">
        <f>IFERROR(INDEX('التدريب'!$D$3:$D$502,100),"")</f>
        <v/>
      </c>
      <c r="E106" s="119">
        <f>IFERROR(INDEX('التدريب'!$E$3:$E$502,100),"")</f>
        <v/>
      </c>
      <c r="F106" s="119">
        <f>IFERROR(INDEX('التدريب'!$F$3:$F$502,100),"")</f>
        <v/>
      </c>
      <c r="G106" s="63">
        <f>IFERROR(INDEX('التدريب'!$G$3:$G$502,100),"")</f>
        <v/>
      </c>
      <c r="H106" s="50">
        <f>IFERROR(INDEX('التدريب'!$H$3:$H$502,100),"")</f>
        <v/>
      </c>
      <c r="I106" s="50">
        <f>IFERROR(INDEX('التدريب'!$I$3:$I$502,100),"")</f>
        <v/>
      </c>
      <c r="J106" s="50">
        <f>IFERROR(INDEX(تقييم_الأداء_الفترة,100),"")</f>
        <v/>
      </c>
      <c r="K106" s="113">
        <f>IFERROR(INDEX(تقييم_الأداء_النهائي,100),"")</f>
        <v/>
      </c>
      <c r="L106" s="50">
        <f>IFERROR(INDEX(تقييم_الأداء_التقدير,100),"")</f>
        <v/>
      </c>
    </row>
    <row r="107">
      <c r="A107" s="43">
        <f>IFERROR(INDEX('التدريب'!$A$3:$A$502,101),"")</f>
        <v/>
      </c>
      <c r="B107" s="43">
        <f>IFERROR(INDEX('التدريب'!$B$3:$B$502,101),"")</f>
        <v/>
      </c>
      <c r="C107" s="43">
        <f>IFERROR(INDEX('التدريب'!$C$3:$C$502,101),"")</f>
        <v/>
      </c>
      <c r="D107" s="43">
        <f>IFERROR(INDEX('التدريب'!$D$3:$D$502,101),"")</f>
        <v/>
      </c>
      <c r="E107" s="118">
        <f>IFERROR(INDEX('التدريب'!$E$3:$E$502,101),"")</f>
        <v/>
      </c>
      <c r="F107" s="118">
        <f>IFERROR(INDEX('التدريب'!$F$3:$F$502,101),"")</f>
        <v/>
      </c>
      <c r="G107" s="60">
        <f>IFERROR(INDEX('التدريب'!$G$3:$G$502,101),"")</f>
        <v/>
      </c>
      <c r="H107" s="43">
        <f>IFERROR(INDEX('التدريب'!$H$3:$H$502,101),"")</f>
        <v/>
      </c>
      <c r="I107" s="43">
        <f>IFERROR(INDEX('التدريب'!$I$3:$I$502,101),"")</f>
        <v/>
      </c>
      <c r="J107" s="43">
        <f>IFERROR(INDEX(تقييم_الأداء_الفترة,101),"")</f>
        <v/>
      </c>
      <c r="K107" s="111">
        <f>IFERROR(INDEX(تقييم_الأداء_النهائي,101),"")</f>
        <v/>
      </c>
      <c r="L107" s="43">
        <f>IFERROR(INDEX(تقييم_الأداء_التقدير,101),"")</f>
        <v/>
      </c>
    </row>
    <row r="108">
      <c r="A108" s="50">
        <f>IFERROR(INDEX('التدريب'!$A$3:$A$502,102),"")</f>
        <v/>
      </c>
      <c r="B108" s="50">
        <f>IFERROR(INDEX('التدريب'!$B$3:$B$502,102),"")</f>
        <v/>
      </c>
      <c r="C108" s="50">
        <f>IFERROR(INDEX('التدريب'!$C$3:$C$502,102),"")</f>
        <v/>
      </c>
      <c r="D108" s="50">
        <f>IFERROR(INDEX('التدريب'!$D$3:$D$502,102),"")</f>
        <v/>
      </c>
      <c r="E108" s="119">
        <f>IFERROR(INDEX('التدريب'!$E$3:$E$502,102),"")</f>
        <v/>
      </c>
      <c r="F108" s="119">
        <f>IFERROR(INDEX('التدريب'!$F$3:$F$502,102),"")</f>
        <v/>
      </c>
      <c r="G108" s="63">
        <f>IFERROR(INDEX('التدريب'!$G$3:$G$502,102),"")</f>
        <v/>
      </c>
      <c r="H108" s="50">
        <f>IFERROR(INDEX('التدريب'!$H$3:$H$502,102),"")</f>
        <v/>
      </c>
      <c r="I108" s="50">
        <f>IFERROR(INDEX('التدريب'!$I$3:$I$502,102),"")</f>
        <v/>
      </c>
      <c r="J108" s="50">
        <f>IFERROR(INDEX(تقييم_الأداء_الفترة,102),"")</f>
        <v/>
      </c>
      <c r="K108" s="113">
        <f>IFERROR(INDEX(تقييم_الأداء_النهائي,102),"")</f>
        <v/>
      </c>
      <c r="L108" s="50">
        <f>IFERROR(INDEX(تقييم_الأداء_التقدير,102),"")</f>
        <v/>
      </c>
    </row>
    <row r="109">
      <c r="A109" s="43">
        <f>IFERROR(INDEX('التدريب'!$A$3:$A$502,103),"")</f>
        <v/>
      </c>
      <c r="B109" s="43">
        <f>IFERROR(INDEX('التدريب'!$B$3:$B$502,103),"")</f>
        <v/>
      </c>
      <c r="C109" s="43">
        <f>IFERROR(INDEX('التدريب'!$C$3:$C$502,103),"")</f>
        <v/>
      </c>
      <c r="D109" s="43">
        <f>IFERROR(INDEX('التدريب'!$D$3:$D$502,103),"")</f>
        <v/>
      </c>
      <c r="E109" s="118">
        <f>IFERROR(INDEX('التدريب'!$E$3:$E$502,103),"")</f>
        <v/>
      </c>
      <c r="F109" s="118">
        <f>IFERROR(INDEX('التدريب'!$F$3:$F$502,103),"")</f>
        <v/>
      </c>
      <c r="G109" s="60">
        <f>IFERROR(INDEX('التدريب'!$G$3:$G$502,103),"")</f>
        <v/>
      </c>
      <c r="H109" s="43">
        <f>IFERROR(INDEX('التدريب'!$H$3:$H$502,103),"")</f>
        <v/>
      </c>
      <c r="I109" s="43">
        <f>IFERROR(INDEX('التدريب'!$I$3:$I$502,103),"")</f>
        <v/>
      </c>
      <c r="J109" s="43">
        <f>IFERROR(INDEX(تقييم_الأداء_الفترة,103),"")</f>
        <v/>
      </c>
      <c r="K109" s="111">
        <f>IFERROR(INDEX(تقييم_الأداء_النهائي,103),"")</f>
        <v/>
      </c>
      <c r="L109" s="43">
        <f>IFERROR(INDEX(تقييم_الأداء_التقدير,103),"")</f>
        <v/>
      </c>
    </row>
    <row r="110">
      <c r="A110" s="50">
        <f>IFERROR(INDEX('التدريب'!$A$3:$A$502,104),"")</f>
        <v/>
      </c>
      <c r="B110" s="50">
        <f>IFERROR(INDEX('التدريب'!$B$3:$B$502,104),"")</f>
        <v/>
      </c>
      <c r="C110" s="50">
        <f>IFERROR(INDEX('التدريب'!$C$3:$C$502,104),"")</f>
        <v/>
      </c>
      <c r="D110" s="50">
        <f>IFERROR(INDEX('التدريب'!$D$3:$D$502,104),"")</f>
        <v/>
      </c>
      <c r="E110" s="119">
        <f>IFERROR(INDEX('التدريب'!$E$3:$E$502,104),"")</f>
        <v/>
      </c>
      <c r="F110" s="119">
        <f>IFERROR(INDEX('التدريب'!$F$3:$F$502,104),"")</f>
        <v/>
      </c>
      <c r="G110" s="63">
        <f>IFERROR(INDEX('التدريب'!$G$3:$G$502,104),"")</f>
        <v/>
      </c>
      <c r="H110" s="50">
        <f>IFERROR(INDEX('التدريب'!$H$3:$H$502,104),"")</f>
        <v/>
      </c>
      <c r="I110" s="50">
        <f>IFERROR(INDEX('التدريب'!$I$3:$I$502,104),"")</f>
        <v/>
      </c>
      <c r="J110" s="50">
        <f>IFERROR(INDEX(تقييم_الأداء_الفترة,104),"")</f>
        <v/>
      </c>
      <c r="K110" s="113">
        <f>IFERROR(INDEX(تقييم_الأداء_النهائي,104),"")</f>
        <v/>
      </c>
      <c r="L110" s="50">
        <f>IFERROR(INDEX(تقييم_الأداء_التقدير,104),"")</f>
        <v/>
      </c>
    </row>
    <row r="111">
      <c r="A111" s="43">
        <f>IFERROR(INDEX('التدريب'!$A$3:$A$502,105),"")</f>
        <v/>
      </c>
      <c r="B111" s="43">
        <f>IFERROR(INDEX('التدريب'!$B$3:$B$502,105),"")</f>
        <v/>
      </c>
      <c r="C111" s="43">
        <f>IFERROR(INDEX('التدريب'!$C$3:$C$502,105),"")</f>
        <v/>
      </c>
      <c r="D111" s="43">
        <f>IFERROR(INDEX('التدريب'!$D$3:$D$502,105),"")</f>
        <v/>
      </c>
      <c r="E111" s="118">
        <f>IFERROR(INDEX('التدريب'!$E$3:$E$502,105),"")</f>
        <v/>
      </c>
      <c r="F111" s="118">
        <f>IFERROR(INDEX('التدريب'!$F$3:$F$502,105),"")</f>
        <v/>
      </c>
      <c r="G111" s="60">
        <f>IFERROR(INDEX('التدريب'!$G$3:$G$502,105),"")</f>
        <v/>
      </c>
      <c r="H111" s="43">
        <f>IFERROR(INDEX('التدريب'!$H$3:$H$502,105),"")</f>
        <v/>
      </c>
      <c r="I111" s="43">
        <f>IFERROR(INDEX('التدريب'!$I$3:$I$502,105),"")</f>
        <v/>
      </c>
      <c r="J111" s="43">
        <f>IFERROR(INDEX(تقييم_الأداء_الفترة,105),"")</f>
        <v/>
      </c>
      <c r="K111" s="111">
        <f>IFERROR(INDEX(تقييم_الأداء_النهائي,105),"")</f>
        <v/>
      </c>
      <c r="L111" s="43">
        <f>IFERROR(INDEX(تقييم_الأداء_التقدير,105),"")</f>
        <v/>
      </c>
    </row>
    <row r="112">
      <c r="A112" s="50">
        <f>IFERROR(INDEX('التدريب'!$A$3:$A$502,106),"")</f>
        <v/>
      </c>
      <c r="B112" s="50">
        <f>IFERROR(INDEX('التدريب'!$B$3:$B$502,106),"")</f>
        <v/>
      </c>
      <c r="C112" s="50">
        <f>IFERROR(INDEX('التدريب'!$C$3:$C$502,106),"")</f>
        <v/>
      </c>
      <c r="D112" s="50">
        <f>IFERROR(INDEX('التدريب'!$D$3:$D$502,106),"")</f>
        <v/>
      </c>
      <c r="E112" s="119">
        <f>IFERROR(INDEX('التدريب'!$E$3:$E$502,106),"")</f>
        <v/>
      </c>
      <c r="F112" s="119">
        <f>IFERROR(INDEX('التدريب'!$F$3:$F$502,106),"")</f>
        <v/>
      </c>
      <c r="G112" s="63">
        <f>IFERROR(INDEX('التدريب'!$G$3:$G$502,106),"")</f>
        <v/>
      </c>
      <c r="H112" s="50">
        <f>IFERROR(INDEX('التدريب'!$H$3:$H$502,106),"")</f>
        <v/>
      </c>
      <c r="I112" s="50">
        <f>IFERROR(INDEX('التدريب'!$I$3:$I$502,106),"")</f>
        <v/>
      </c>
      <c r="J112" s="50">
        <f>IFERROR(INDEX(تقييم_الأداء_الفترة,106),"")</f>
        <v/>
      </c>
      <c r="K112" s="113">
        <f>IFERROR(INDEX(تقييم_الأداء_النهائي,106),"")</f>
        <v/>
      </c>
      <c r="L112" s="50">
        <f>IFERROR(INDEX(تقييم_الأداء_التقدير,106),"")</f>
        <v/>
      </c>
    </row>
    <row r="113">
      <c r="A113" s="43">
        <f>IFERROR(INDEX('التدريب'!$A$3:$A$502,107),"")</f>
        <v/>
      </c>
      <c r="B113" s="43">
        <f>IFERROR(INDEX('التدريب'!$B$3:$B$502,107),"")</f>
        <v/>
      </c>
      <c r="C113" s="43">
        <f>IFERROR(INDEX('التدريب'!$C$3:$C$502,107),"")</f>
        <v/>
      </c>
      <c r="D113" s="43">
        <f>IFERROR(INDEX('التدريب'!$D$3:$D$502,107),"")</f>
        <v/>
      </c>
      <c r="E113" s="118">
        <f>IFERROR(INDEX('التدريب'!$E$3:$E$502,107),"")</f>
        <v/>
      </c>
      <c r="F113" s="118">
        <f>IFERROR(INDEX('التدريب'!$F$3:$F$502,107),"")</f>
        <v/>
      </c>
      <c r="G113" s="60">
        <f>IFERROR(INDEX('التدريب'!$G$3:$G$502,107),"")</f>
        <v/>
      </c>
      <c r="H113" s="43">
        <f>IFERROR(INDEX('التدريب'!$H$3:$H$502,107),"")</f>
        <v/>
      </c>
      <c r="I113" s="43">
        <f>IFERROR(INDEX('التدريب'!$I$3:$I$502,107),"")</f>
        <v/>
      </c>
      <c r="J113" s="43">
        <f>IFERROR(INDEX(تقييم_الأداء_الفترة,107),"")</f>
        <v/>
      </c>
      <c r="K113" s="111">
        <f>IFERROR(INDEX(تقييم_الأداء_النهائي,107),"")</f>
        <v/>
      </c>
      <c r="L113" s="43">
        <f>IFERROR(INDEX(تقييم_الأداء_التقدير,107),"")</f>
        <v/>
      </c>
    </row>
    <row r="114">
      <c r="A114" s="50">
        <f>IFERROR(INDEX('التدريب'!$A$3:$A$502,108),"")</f>
        <v/>
      </c>
      <c r="B114" s="50">
        <f>IFERROR(INDEX('التدريب'!$B$3:$B$502,108),"")</f>
        <v/>
      </c>
      <c r="C114" s="50">
        <f>IFERROR(INDEX('التدريب'!$C$3:$C$502,108),"")</f>
        <v/>
      </c>
      <c r="D114" s="50">
        <f>IFERROR(INDEX('التدريب'!$D$3:$D$502,108),"")</f>
        <v/>
      </c>
      <c r="E114" s="119">
        <f>IFERROR(INDEX('التدريب'!$E$3:$E$502,108),"")</f>
        <v/>
      </c>
      <c r="F114" s="119">
        <f>IFERROR(INDEX('التدريب'!$F$3:$F$502,108),"")</f>
        <v/>
      </c>
      <c r="G114" s="63">
        <f>IFERROR(INDEX('التدريب'!$G$3:$G$502,108),"")</f>
        <v/>
      </c>
      <c r="H114" s="50">
        <f>IFERROR(INDEX('التدريب'!$H$3:$H$502,108),"")</f>
        <v/>
      </c>
      <c r="I114" s="50">
        <f>IFERROR(INDEX('التدريب'!$I$3:$I$502,108),"")</f>
        <v/>
      </c>
      <c r="J114" s="50">
        <f>IFERROR(INDEX(تقييم_الأداء_الفترة,108),"")</f>
        <v/>
      </c>
      <c r="K114" s="113">
        <f>IFERROR(INDEX(تقييم_الأداء_النهائي,108),"")</f>
        <v/>
      </c>
      <c r="L114" s="50">
        <f>IFERROR(INDEX(تقييم_الأداء_التقدير,108),"")</f>
        <v/>
      </c>
    </row>
    <row r="115">
      <c r="A115" s="43">
        <f>IFERROR(INDEX('التدريب'!$A$3:$A$502,109),"")</f>
        <v/>
      </c>
      <c r="B115" s="43">
        <f>IFERROR(INDEX('التدريب'!$B$3:$B$502,109),"")</f>
        <v/>
      </c>
      <c r="C115" s="43">
        <f>IFERROR(INDEX('التدريب'!$C$3:$C$502,109),"")</f>
        <v/>
      </c>
      <c r="D115" s="43">
        <f>IFERROR(INDEX('التدريب'!$D$3:$D$502,109),"")</f>
        <v/>
      </c>
      <c r="E115" s="118">
        <f>IFERROR(INDEX('التدريب'!$E$3:$E$502,109),"")</f>
        <v/>
      </c>
      <c r="F115" s="118">
        <f>IFERROR(INDEX('التدريب'!$F$3:$F$502,109),"")</f>
        <v/>
      </c>
      <c r="G115" s="60">
        <f>IFERROR(INDEX('التدريب'!$G$3:$G$502,109),"")</f>
        <v/>
      </c>
      <c r="H115" s="43">
        <f>IFERROR(INDEX('التدريب'!$H$3:$H$502,109),"")</f>
        <v/>
      </c>
      <c r="I115" s="43">
        <f>IFERROR(INDEX('التدريب'!$I$3:$I$502,109),"")</f>
        <v/>
      </c>
      <c r="J115" s="43">
        <f>IFERROR(INDEX(تقييم_الأداء_الفترة,109),"")</f>
        <v/>
      </c>
      <c r="K115" s="111">
        <f>IFERROR(INDEX(تقييم_الأداء_النهائي,109),"")</f>
        <v/>
      </c>
      <c r="L115" s="43">
        <f>IFERROR(INDEX(تقييم_الأداء_التقدير,109),"")</f>
        <v/>
      </c>
    </row>
    <row r="116">
      <c r="A116" s="50">
        <f>IFERROR(INDEX('التدريب'!$A$3:$A$502,110),"")</f>
        <v/>
      </c>
      <c r="B116" s="50">
        <f>IFERROR(INDEX('التدريب'!$B$3:$B$502,110),"")</f>
        <v/>
      </c>
      <c r="C116" s="50">
        <f>IFERROR(INDEX('التدريب'!$C$3:$C$502,110),"")</f>
        <v/>
      </c>
      <c r="D116" s="50">
        <f>IFERROR(INDEX('التدريب'!$D$3:$D$502,110),"")</f>
        <v/>
      </c>
      <c r="E116" s="119">
        <f>IFERROR(INDEX('التدريب'!$E$3:$E$502,110),"")</f>
        <v/>
      </c>
      <c r="F116" s="119">
        <f>IFERROR(INDEX('التدريب'!$F$3:$F$502,110),"")</f>
        <v/>
      </c>
      <c r="G116" s="63">
        <f>IFERROR(INDEX('التدريب'!$G$3:$G$502,110),"")</f>
        <v/>
      </c>
      <c r="H116" s="50">
        <f>IFERROR(INDEX('التدريب'!$H$3:$H$502,110),"")</f>
        <v/>
      </c>
      <c r="I116" s="50">
        <f>IFERROR(INDEX('التدريب'!$I$3:$I$502,110),"")</f>
        <v/>
      </c>
      <c r="J116" s="50">
        <f>IFERROR(INDEX(تقييم_الأداء_الفترة,110),"")</f>
        <v/>
      </c>
      <c r="K116" s="113">
        <f>IFERROR(INDEX(تقييم_الأداء_النهائي,110),"")</f>
        <v/>
      </c>
      <c r="L116" s="50">
        <f>IFERROR(INDEX(تقييم_الأداء_التقدير,110),"")</f>
        <v/>
      </c>
    </row>
    <row r="117">
      <c r="A117" s="43">
        <f>IFERROR(INDEX('التدريب'!$A$3:$A$502,111),"")</f>
        <v/>
      </c>
      <c r="B117" s="43">
        <f>IFERROR(INDEX('التدريب'!$B$3:$B$502,111),"")</f>
        <v/>
      </c>
      <c r="C117" s="43">
        <f>IFERROR(INDEX('التدريب'!$C$3:$C$502,111),"")</f>
        <v/>
      </c>
      <c r="D117" s="43">
        <f>IFERROR(INDEX('التدريب'!$D$3:$D$502,111),"")</f>
        <v/>
      </c>
      <c r="E117" s="118">
        <f>IFERROR(INDEX('التدريب'!$E$3:$E$502,111),"")</f>
        <v/>
      </c>
      <c r="F117" s="118">
        <f>IFERROR(INDEX('التدريب'!$F$3:$F$502,111),"")</f>
        <v/>
      </c>
      <c r="G117" s="60">
        <f>IFERROR(INDEX('التدريب'!$G$3:$G$502,111),"")</f>
        <v/>
      </c>
      <c r="H117" s="43">
        <f>IFERROR(INDEX('التدريب'!$H$3:$H$502,111),"")</f>
        <v/>
      </c>
      <c r="I117" s="43">
        <f>IFERROR(INDEX('التدريب'!$I$3:$I$502,111),"")</f>
        <v/>
      </c>
      <c r="J117" s="43">
        <f>IFERROR(INDEX(تقييم_الأداء_الفترة,111),"")</f>
        <v/>
      </c>
      <c r="K117" s="111">
        <f>IFERROR(INDEX(تقييم_الأداء_النهائي,111),"")</f>
        <v/>
      </c>
      <c r="L117" s="43">
        <f>IFERROR(INDEX(تقييم_الأداء_التقدير,111),"")</f>
        <v/>
      </c>
    </row>
    <row r="118">
      <c r="A118" s="50">
        <f>IFERROR(INDEX('التدريب'!$A$3:$A$502,112),"")</f>
        <v/>
      </c>
      <c r="B118" s="50">
        <f>IFERROR(INDEX('التدريب'!$B$3:$B$502,112),"")</f>
        <v/>
      </c>
      <c r="C118" s="50">
        <f>IFERROR(INDEX('التدريب'!$C$3:$C$502,112),"")</f>
        <v/>
      </c>
      <c r="D118" s="50">
        <f>IFERROR(INDEX('التدريب'!$D$3:$D$502,112),"")</f>
        <v/>
      </c>
      <c r="E118" s="119">
        <f>IFERROR(INDEX('التدريب'!$E$3:$E$502,112),"")</f>
        <v/>
      </c>
      <c r="F118" s="119">
        <f>IFERROR(INDEX('التدريب'!$F$3:$F$502,112),"")</f>
        <v/>
      </c>
      <c r="G118" s="63">
        <f>IFERROR(INDEX('التدريب'!$G$3:$G$502,112),"")</f>
        <v/>
      </c>
      <c r="H118" s="50">
        <f>IFERROR(INDEX('التدريب'!$H$3:$H$502,112),"")</f>
        <v/>
      </c>
      <c r="I118" s="50">
        <f>IFERROR(INDEX('التدريب'!$I$3:$I$502,112),"")</f>
        <v/>
      </c>
      <c r="J118" s="50">
        <f>IFERROR(INDEX(تقييم_الأداء_الفترة,112),"")</f>
        <v/>
      </c>
      <c r="K118" s="113">
        <f>IFERROR(INDEX(تقييم_الأداء_النهائي,112),"")</f>
        <v/>
      </c>
      <c r="L118" s="50">
        <f>IFERROR(INDEX(تقييم_الأداء_التقدير,112),"")</f>
        <v/>
      </c>
    </row>
    <row r="119">
      <c r="A119" s="43">
        <f>IFERROR(INDEX('التدريب'!$A$3:$A$502,113),"")</f>
        <v/>
      </c>
      <c r="B119" s="43">
        <f>IFERROR(INDEX('التدريب'!$B$3:$B$502,113),"")</f>
        <v/>
      </c>
      <c r="C119" s="43">
        <f>IFERROR(INDEX('التدريب'!$C$3:$C$502,113),"")</f>
        <v/>
      </c>
      <c r="D119" s="43">
        <f>IFERROR(INDEX('التدريب'!$D$3:$D$502,113),"")</f>
        <v/>
      </c>
      <c r="E119" s="118">
        <f>IFERROR(INDEX('التدريب'!$E$3:$E$502,113),"")</f>
        <v/>
      </c>
      <c r="F119" s="118">
        <f>IFERROR(INDEX('التدريب'!$F$3:$F$502,113),"")</f>
        <v/>
      </c>
      <c r="G119" s="60">
        <f>IFERROR(INDEX('التدريب'!$G$3:$G$502,113),"")</f>
        <v/>
      </c>
      <c r="H119" s="43">
        <f>IFERROR(INDEX('التدريب'!$H$3:$H$502,113),"")</f>
        <v/>
      </c>
      <c r="I119" s="43">
        <f>IFERROR(INDEX('التدريب'!$I$3:$I$502,113),"")</f>
        <v/>
      </c>
      <c r="J119" s="43">
        <f>IFERROR(INDEX(تقييم_الأداء_الفترة,113),"")</f>
        <v/>
      </c>
      <c r="K119" s="111">
        <f>IFERROR(INDEX(تقييم_الأداء_النهائي,113),"")</f>
        <v/>
      </c>
      <c r="L119" s="43">
        <f>IFERROR(INDEX(تقييم_الأداء_التقدير,113),"")</f>
        <v/>
      </c>
    </row>
    <row r="120">
      <c r="A120" s="50">
        <f>IFERROR(INDEX('التدريب'!$A$3:$A$502,114),"")</f>
        <v/>
      </c>
      <c r="B120" s="50">
        <f>IFERROR(INDEX('التدريب'!$B$3:$B$502,114),"")</f>
        <v/>
      </c>
      <c r="C120" s="50">
        <f>IFERROR(INDEX('التدريب'!$C$3:$C$502,114),"")</f>
        <v/>
      </c>
      <c r="D120" s="50">
        <f>IFERROR(INDEX('التدريب'!$D$3:$D$502,114),"")</f>
        <v/>
      </c>
      <c r="E120" s="119">
        <f>IFERROR(INDEX('التدريب'!$E$3:$E$502,114),"")</f>
        <v/>
      </c>
      <c r="F120" s="119">
        <f>IFERROR(INDEX('التدريب'!$F$3:$F$502,114),"")</f>
        <v/>
      </c>
      <c r="G120" s="63">
        <f>IFERROR(INDEX('التدريب'!$G$3:$G$502,114),"")</f>
        <v/>
      </c>
      <c r="H120" s="50">
        <f>IFERROR(INDEX('التدريب'!$H$3:$H$502,114),"")</f>
        <v/>
      </c>
      <c r="I120" s="50">
        <f>IFERROR(INDEX('التدريب'!$I$3:$I$502,114),"")</f>
        <v/>
      </c>
      <c r="J120" s="50">
        <f>IFERROR(INDEX(تقييم_الأداء_الفترة,114),"")</f>
        <v/>
      </c>
      <c r="K120" s="113">
        <f>IFERROR(INDEX(تقييم_الأداء_النهائي,114),"")</f>
        <v/>
      </c>
      <c r="L120" s="50">
        <f>IFERROR(INDEX(تقييم_الأداء_التقدير,114),"")</f>
        <v/>
      </c>
    </row>
    <row r="121">
      <c r="A121" s="43">
        <f>IFERROR(INDEX('التدريب'!$A$3:$A$502,115),"")</f>
        <v/>
      </c>
      <c r="B121" s="43">
        <f>IFERROR(INDEX('التدريب'!$B$3:$B$502,115),"")</f>
        <v/>
      </c>
      <c r="C121" s="43">
        <f>IFERROR(INDEX('التدريب'!$C$3:$C$502,115),"")</f>
        <v/>
      </c>
      <c r="D121" s="43">
        <f>IFERROR(INDEX('التدريب'!$D$3:$D$502,115),"")</f>
        <v/>
      </c>
      <c r="E121" s="118">
        <f>IFERROR(INDEX('التدريب'!$E$3:$E$502,115),"")</f>
        <v/>
      </c>
      <c r="F121" s="118">
        <f>IFERROR(INDEX('التدريب'!$F$3:$F$502,115),"")</f>
        <v/>
      </c>
      <c r="G121" s="60">
        <f>IFERROR(INDEX('التدريب'!$G$3:$G$502,115),"")</f>
        <v/>
      </c>
      <c r="H121" s="43">
        <f>IFERROR(INDEX('التدريب'!$H$3:$H$502,115),"")</f>
        <v/>
      </c>
      <c r="I121" s="43">
        <f>IFERROR(INDEX('التدريب'!$I$3:$I$502,115),"")</f>
        <v/>
      </c>
      <c r="J121" s="43">
        <f>IFERROR(INDEX(تقييم_الأداء_الفترة,115),"")</f>
        <v/>
      </c>
      <c r="K121" s="111">
        <f>IFERROR(INDEX(تقييم_الأداء_النهائي,115),"")</f>
        <v/>
      </c>
      <c r="L121" s="43">
        <f>IFERROR(INDEX(تقييم_الأداء_التقدير,115),"")</f>
        <v/>
      </c>
    </row>
    <row r="122">
      <c r="A122" s="50">
        <f>IFERROR(INDEX('التدريب'!$A$3:$A$502,116),"")</f>
        <v/>
      </c>
      <c r="B122" s="50">
        <f>IFERROR(INDEX('التدريب'!$B$3:$B$502,116),"")</f>
        <v/>
      </c>
      <c r="C122" s="50">
        <f>IFERROR(INDEX('التدريب'!$C$3:$C$502,116),"")</f>
        <v/>
      </c>
      <c r="D122" s="50">
        <f>IFERROR(INDEX('التدريب'!$D$3:$D$502,116),"")</f>
        <v/>
      </c>
      <c r="E122" s="119">
        <f>IFERROR(INDEX('التدريب'!$E$3:$E$502,116),"")</f>
        <v/>
      </c>
      <c r="F122" s="119">
        <f>IFERROR(INDEX('التدريب'!$F$3:$F$502,116),"")</f>
        <v/>
      </c>
      <c r="G122" s="63">
        <f>IFERROR(INDEX('التدريب'!$G$3:$G$502,116),"")</f>
        <v/>
      </c>
      <c r="H122" s="50">
        <f>IFERROR(INDEX('التدريب'!$H$3:$H$502,116),"")</f>
        <v/>
      </c>
      <c r="I122" s="50">
        <f>IFERROR(INDEX('التدريب'!$I$3:$I$502,116),"")</f>
        <v/>
      </c>
      <c r="J122" s="50">
        <f>IFERROR(INDEX(تقييم_الأداء_الفترة,116),"")</f>
        <v/>
      </c>
      <c r="K122" s="113">
        <f>IFERROR(INDEX(تقييم_الأداء_النهائي,116),"")</f>
        <v/>
      </c>
      <c r="L122" s="50">
        <f>IFERROR(INDEX(تقييم_الأداء_التقدير,116),"")</f>
        <v/>
      </c>
    </row>
    <row r="123">
      <c r="A123" s="43">
        <f>IFERROR(INDEX('التدريب'!$A$3:$A$502,117),"")</f>
        <v/>
      </c>
      <c r="B123" s="43">
        <f>IFERROR(INDEX('التدريب'!$B$3:$B$502,117),"")</f>
        <v/>
      </c>
      <c r="C123" s="43">
        <f>IFERROR(INDEX('التدريب'!$C$3:$C$502,117),"")</f>
        <v/>
      </c>
      <c r="D123" s="43">
        <f>IFERROR(INDEX('التدريب'!$D$3:$D$502,117),"")</f>
        <v/>
      </c>
      <c r="E123" s="118">
        <f>IFERROR(INDEX('التدريب'!$E$3:$E$502,117),"")</f>
        <v/>
      </c>
      <c r="F123" s="118">
        <f>IFERROR(INDEX('التدريب'!$F$3:$F$502,117),"")</f>
        <v/>
      </c>
      <c r="G123" s="60">
        <f>IFERROR(INDEX('التدريب'!$G$3:$G$502,117),"")</f>
        <v/>
      </c>
      <c r="H123" s="43">
        <f>IFERROR(INDEX('التدريب'!$H$3:$H$502,117),"")</f>
        <v/>
      </c>
      <c r="I123" s="43">
        <f>IFERROR(INDEX('التدريب'!$I$3:$I$502,117),"")</f>
        <v/>
      </c>
      <c r="J123" s="43">
        <f>IFERROR(INDEX(تقييم_الأداء_الفترة,117),"")</f>
        <v/>
      </c>
      <c r="K123" s="111">
        <f>IFERROR(INDEX(تقييم_الأداء_النهائي,117),"")</f>
        <v/>
      </c>
      <c r="L123" s="43">
        <f>IFERROR(INDEX(تقييم_الأداء_التقدير,117),"")</f>
        <v/>
      </c>
    </row>
    <row r="124">
      <c r="A124" s="50">
        <f>IFERROR(INDEX('التدريب'!$A$3:$A$502,118),"")</f>
        <v/>
      </c>
      <c r="B124" s="50">
        <f>IFERROR(INDEX('التدريب'!$B$3:$B$502,118),"")</f>
        <v/>
      </c>
      <c r="C124" s="50">
        <f>IFERROR(INDEX('التدريب'!$C$3:$C$502,118),"")</f>
        <v/>
      </c>
      <c r="D124" s="50">
        <f>IFERROR(INDEX('التدريب'!$D$3:$D$502,118),"")</f>
        <v/>
      </c>
      <c r="E124" s="119">
        <f>IFERROR(INDEX('التدريب'!$E$3:$E$502,118),"")</f>
        <v/>
      </c>
      <c r="F124" s="119">
        <f>IFERROR(INDEX('التدريب'!$F$3:$F$502,118),"")</f>
        <v/>
      </c>
      <c r="G124" s="63">
        <f>IFERROR(INDEX('التدريب'!$G$3:$G$502,118),"")</f>
        <v/>
      </c>
      <c r="H124" s="50">
        <f>IFERROR(INDEX('التدريب'!$H$3:$H$502,118),"")</f>
        <v/>
      </c>
      <c r="I124" s="50">
        <f>IFERROR(INDEX('التدريب'!$I$3:$I$502,118),"")</f>
        <v/>
      </c>
      <c r="J124" s="50">
        <f>IFERROR(INDEX(تقييم_الأداء_الفترة,118),"")</f>
        <v/>
      </c>
      <c r="K124" s="113">
        <f>IFERROR(INDEX(تقييم_الأداء_النهائي,118),"")</f>
        <v/>
      </c>
      <c r="L124" s="50">
        <f>IFERROR(INDEX(تقييم_الأداء_التقدير,118),"")</f>
        <v/>
      </c>
    </row>
    <row r="125">
      <c r="A125" s="43">
        <f>IFERROR(INDEX('التدريب'!$A$3:$A$502,119),"")</f>
        <v/>
      </c>
      <c r="B125" s="43">
        <f>IFERROR(INDEX('التدريب'!$B$3:$B$502,119),"")</f>
        <v/>
      </c>
      <c r="C125" s="43">
        <f>IFERROR(INDEX('التدريب'!$C$3:$C$502,119),"")</f>
        <v/>
      </c>
      <c r="D125" s="43">
        <f>IFERROR(INDEX('التدريب'!$D$3:$D$502,119),"")</f>
        <v/>
      </c>
      <c r="E125" s="118">
        <f>IFERROR(INDEX('التدريب'!$E$3:$E$502,119),"")</f>
        <v/>
      </c>
      <c r="F125" s="118">
        <f>IFERROR(INDEX('التدريب'!$F$3:$F$502,119),"")</f>
        <v/>
      </c>
      <c r="G125" s="60">
        <f>IFERROR(INDEX('التدريب'!$G$3:$G$502,119),"")</f>
        <v/>
      </c>
      <c r="H125" s="43">
        <f>IFERROR(INDEX('التدريب'!$H$3:$H$502,119),"")</f>
        <v/>
      </c>
      <c r="I125" s="43">
        <f>IFERROR(INDEX('التدريب'!$I$3:$I$502,119),"")</f>
        <v/>
      </c>
      <c r="J125" s="43">
        <f>IFERROR(INDEX(تقييم_الأداء_الفترة,119),"")</f>
        <v/>
      </c>
      <c r="K125" s="111">
        <f>IFERROR(INDEX(تقييم_الأداء_النهائي,119),"")</f>
        <v/>
      </c>
      <c r="L125" s="43">
        <f>IFERROR(INDEX(تقييم_الأداء_التقدير,119),"")</f>
        <v/>
      </c>
    </row>
    <row r="126">
      <c r="A126" s="50">
        <f>IFERROR(INDEX('التدريب'!$A$3:$A$502,120),"")</f>
        <v/>
      </c>
      <c r="B126" s="50">
        <f>IFERROR(INDEX('التدريب'!$B$3:$B$502,120),"")</f>
        <v/>
      </c>
      <c r="C126" s="50">
        <f>IFERROR(INDEX('التدريب'!$C$3:$C$502,120),"")</f>
        <v/>
      </c>
      <c r="D126" s="50">
        <f>IFERROR(INDEX('التدريب'!$D$3:$D$502,120),"")</f>
        <v/>
      </c>
      <c r="E126" s="119">
        <f>IFERROR(INDEX('التدريب'!$E$3:$E$502,120),"")</f>
        <v/>
      </c>
      <c r="F126" s="119">
        <f>IFERROR(INDEX('التدريب'!$F$3:$F$502,120),"")</f>
        <v/>
      </c>
      <c r="G126" s="63">
        <f>IFERROR(INDEX('التدريب'!$G$3:$G$502,120),"")</f>
        <v/>
      </c>
      <c r="H126" s="50">
        <f>IFERROR(INDEX('التدريب'!$H$3:$H$502,120),"")</f>
        <v/>
      </c>
      <c r="I126" s="50">
        <f>IFERROR(INDEX('التدريب'!$I$3:$I$502,120),"")</f>
        <v/>
      </c>
      <c r="J126" s="50">
        <f>IFERROR(INDEX(تقييم_الأداء_الفترة,120),"")</f>
        <v/>
      </c>
      <c r="K126" s="113">
        <f>IFERROR(INDEX(تقييم_الأداء_النهائي,120),"")</f>
        <v/>
      </c>
      <c r="L126" s="50">
        <f>IFERROR(INDEX(تقييم_الأداء_التقدير,120),"")</f>
        <v/>
      </c>
    </row>
    <row r="127">
      <c r="A127" s="43">
        <f>IFERROR(INDEX('التدريب'!$A$3:$A$502,121),"")</f>
        <v/>
      </c>
      <c r="B127" s="43">
        <f>IFERROR(INDEX('التدريب'!$B$3:$B$502,121),"")</f>
        <v/>
      </c>
      <c r="C127" s="43">
        <f>IFERROR(INDEX('التدريب'!$C$3:$C$502,121),"")</f>
        <v/>
      </c>
      <c r="D127" s="43">
        <f>IFERROR(INDEX('التدريب'!$D$3:$D$502,121),"")</f>
        <v/>
      </c>
      <c r="E127" s="118">
        <f>IFERROR(INDEX('التدريب'!$E$3:$E$502,121),"")</f>
        <v/>
      </c>
      <c r="F127" s="118">
        <f>IFERROR(INDEX('التدريب'!$F$3:$F$502,121),"")</f>
        <v/>
      </c>
      <c r="G127" s="60">
        <f>IFERROR(INDEX('التدريب'!$G$3:$G$502,121),"")</f>
        <v/>
      </c>
      <c r="H127" s="43">
        <f>IFERROR(INDEX('التدريب'!$H$3:$H$502,121),"")</f>
        <v/>
      </c>
      <c r="I127" s="43">
        <f>IFERROR(INDEX('التدريب'!$I$3:$I$502,121),"")</f>
        <v/>
      </c>
      <c r="J127" s="43">
        <f>IFERROR(INDEX(تقييم_الأداء_الفترة,121),"")</f>
        <v/>
      </c>
      <c r="K127" s="111">
        <f>IFERROR(INDEX(تقييم_الأداء_النهائي,121),"")</f>
        <v/>
      </c>
      <c r="L127" s="43">
        <f>IFERROR(INDEX(تقييم_الأداء_التقدير,121),"")</f>
        <v/>
      </c>
    </row>
    <row r="128">
      <c r="A128" s="50">
        <f>IFERROR(INDEX('التدريب'!$A$3:$A$502,122),"")</f>
        <v/>
      </c>
      <c r="B128" s="50">
        <f>IFERROR(INDEX('التدريب'!$B$3:$B$502,122),"")</f>
        <v/>
      </c>
      <c r="C128" s="50">
        <f>IFERROR(INDEX('التدريب'!$C$3:$C$502,122),"")</f>
        <v/>
      </c>
      <c r="D128" s="50">
        <f>IFERROR(INDEX('التدريب'!$D$3:$D$502,122),"")</f>
        <v/>
      </c>
      <c r="E128" s="119">
        <f>IFERROR(INDEX('التدريب'!$E$3:$E$502,122),"")</f>
        <v/>
      </c>
      <c r="F128" s="119">
        <f>IFERROR(INDEX('التدريب'!$F$3:$F$502,122),"")</f>
        <v/>
      </c>
      <c r="G128" s="63">
        <f>IFERROR(INDEX('التدريب'!$G$3:$G$502,122),"")</f>
        <v/>
      </c>
      <c r="H128" s="50">
        <f>IFERROR(INDEX('التدريب'!$H$3:$H$502,122),"")</f>
        <v/>
      </c>
      <c r="I128" s="50">
        <f>IFERROR(INDEX('التدريب'!$I$3:$I$502,122),"")</f>
        <v/>
      </c>
      <c r="J128" s="50">
        <f>IFERROR(INDEX(تقييم_الأداء_الفترة,122),"")</f>
        <v/>
      </c>
      <c r="K128" s="113">
        <f>IFERROR(INDEX(تقييم_الأداء_النهائي,122),"")</f>
        <v/>
      </c>
      <c r="L128" s="50">
        <f>IFERROR(INDEX(تقييم_الأداء_التقدير,122),"")</f>
        <v/>
      </c>
    </row>
    <row r="129">
      <c r="A129" s="43">
        <f>IFERROR(INDEX('التدريب'!$A$3:$A$502,123),"")</f>
        <v/>
      </c>
      <c r="B129" s="43">
        <f>IFERROR(INDEX('التدريب'!$B$3:$B$502,123),"")</f>
        <v/>
      </c>
      <c r="C129" s="43">
        <f>IFERROR(INDEX('التدريب'!$C$3:$C$502,123),"")</f>
        <v/>
      </c>
      <c r="D129" s="43">
        <f>IFERROR(INDEX('التدريب'!$D$3:$D$502,123),"")</f>
        <v/>
      </c>
      <c r="E129" s="118">
        <f>IFERROR(INDEX('التدريب'!$E$3:$E$502,123),"")</f>
        <v/>
      </c>
      <c r="F129" s="118">
        <f>IFERROR(INDEX('التدريب'!$F$3:$F$502,123),"")</f>
        <v/>
      </c>
      <c r="G129" s="60">
        <f>IFERROR(INDEX('التدريب'!$G$3:$G$502,123),"")</f>
        <v/>
      </c>
      <c r="H129" s="43">
        <f>IFERROR(INDEX('التدريب'!$H$3:$H$502,123),"")</f>
        <v/>
      </c>
      <c r="I129" s="43">
        <f>IFERROR(INDEX('التدريب'!$I$3:$I$502,123),"")</f>
        <v/>
      </c>
      <c r="J129" s="43">
        <f>IFERROR(INDEX(تقييم_الأداء_الفترة,123),"")</f>
        <v/>
      </c>
      <c r="K129" s="111">
        <f>IFERROR(INDEX(تقييم_الأداء_النهائي,123),"")</f>
        <v/>
      </c>
      <c r="L129" s="43">
        <f>IFERROR(INDEX(تقييم_الأداء_التقدير,123),"")</f>
        <v/>
      </c>
    </row>
    <row r="130">
      <c r="A130" s="50">
        <f>IFERROR(INDEX('التدريب'!$A$3:$A$502,124),"")</f>
        <v/>
      </c>
      <c r="B130" s="50">
        <f>IFERROR(INDEX('التدريب'!$B$3:$B$502,124),"")</f>
        <v/>
      </c>
      <c r="C130" s="50">
        <f>IFERROR(INDEX('التدريب'!$C$3:$C$502,124),"")</f>
        <v/>
      </c>
      <c r="D130" s="50">
        <f>IFERROR(INDEX('التدريب'!$D$3:$D$502,124),"")</f>
        <v/>
      </c>
      <c r="E130" s="119">
        <f>IFERROR(INDEX('التدريب'!$E$3:$E$502,124),"")</f>
        <v/>
      </c>
      <c r="F130" s="119">
        <f>IFERROR(INDEX('التدريب'!$F$3:$F$502,124),"")</f>
        <v/>
      </c>
      <c r="G130" s="63">
        <f>IFERROR(INDEX('التدريب'!$G$3:$G$502,124),"")</f>
        <v/>
      </c>
      <c r="H130" s="50">
        <f>IFERROR(INDEX('التدريب'!$H$3:$H$502,124),"")</f>
        <v/>
      </c>
      <c r="I130" s="50">
        <f>IFERROR(INDEX('التدريب'!$I$3:$I$502,124),"")</f>
        <v/>
      </c>
      <c r="J130" s="50">
        <f>IFERROR(INDEX(تقييم_الأداء_الفترة,124),"")</f>
        <v/>
      </c>
      <c r="K130" s="113">
        <f>IFERROR(INDEX(تقييم_الأداء_النهائي,124),"")</f>
        <v/>
      </c>
      <c r="L130" s="50">
        <f>IFERROR(INDEX(تقييم_الأداء_التقدير,124),"")</f>
        <v/>
      </c>
    </row>
    <row r="131">
      <c r="A131" s="43">
        <f>IFERROR(INDEX('التدريب'!$A$3:$A$502,125),"")</f>
        <v/>
      </c>
      <c r="B131" s="43">
        <f>IFERROR(INDEX('التدريب'!$B$3:$B$502,125),"")</f>
        <v/>
      </c>
      <c r="C131" s="43">
        <f>IFERROR(INDEX('التدريب'!$C$3:$C$502,125),"")</f>
        <v/>
      </c>
      <c r="D131" s="43">
        <f>IFERROR(INDEX('التدريب'!$D$3:$D$502,125),"")</f>
        <v/>
      </c>
      <c r="E131" s="118">
        <f>IFERROR(INDEX('التدريب'!$E$3:$E$502,125),"")</f>
        <v/>
      </c>
      <c r="F131" s="118">
        <f>IFERROR(INDEX('التدريب'!$F$3:$F$502,125),"")</f>
        <v/>
      </c>
      <c r="G131" s="60">
        <f>IFERROR(INDEX('التدريب'!$G$3:$G$502,125),"")</f>
        <v/>
      </c>
      <c r="H131" s="43">
        <f>IFERROR(INDEX('التدريب'!$H$3:$H$502,125),"")</f>
        <v/>
      </c>
      <c r="I131" s="43">
        <f>IFERROR(INDEX('التدريب'!$I$3:$I$502,125),"")</f>
        <v/>
      </c>
      <c r="J131" s="43">
        <f>IFERROR(INDEX(تقييم_الأداء_الفترة,125),"")</f>
        <v/>
      </c>
      <c r="K131" s="111">
        <f>IFERROR(INDEX(تقييم_الأداء_النهائي,125),"")</f>
        <v/>
      </c>
      <c r="L131" s="43">
        <f>IFERROR(INDEX(تقييم_الأداء_التقدير,125),"")</f>
        <v/>
      </c>
    </row>
    <row r="132">
      <c r="A132" s="50">
        <f>IFERROR(INDEX('التدريب'!$A$3:$A$502,126),"")</f>
        <v/>
      </c>
      <c r="B132" s="50">
        <f>IFERROR(INDEX('التدريب'!$B$3:$B$502,126),"")</f>
        <v/>
      </c>
      <c r="C132" s="50">
        <f>IFERROR(INDEX('التدريب'!$C$3:$C$502,126),"")</f>
        <v/>
      </c>
      <c r="D132" s="50">
        <f>IFERROR(INDEX('التدريب'!$D$3:$D$502,126),"")</f>
        <v/>
      </c>
      <c r="E132" s="119">
        <f>IFERROR(INDEX('التدريب'!$E$3:$E$502,126),"")</f>
        <v/>
      </c>
      <c r="F132" s="119">
        <f>IFERROR(INDEX('التدريب'!$F$3:$F$502,126),"")</f>
        <v/>
      </c>
      <c r="G132" s="63">
        <f>IFERROR(INDEX('التدريب'!$G$3:$G$502,126),"")</f>
        <v/>
      </c>
      <c r="H132" s="50">
        <f>IFERROR(INDEX('التدريب'!$H$3:$H$502,126),"")</f>
        <v/>
      </c>
      <c r="I132" s="50">
        <f>IFERROR(INDEX('التدريب'!$I$3:$I$502,126),"")</f>
        <v/>
      </c>
      <c r="J132" s="50">
        <f>IFERROR(INDEX(تقييم_الأداء_الفترة,126),"")</f>
        <v/>
      </c>
      <c r="K132" s="113">
        <f>IFERROR(INDEX(تقييم_الأداء_النهائي,126),"")</f>
        <v/>
      </c>
      <c r="L132" s="50">
        <f>IFERROR(INDEX(تقييم_الأداء_التقدير,126),"")</f>
        <v/>
      </c>
    </row>
    <row r="133">
      <c r="A133" s="43">
        <f>IFERROR(INDEX('التدريب'!$A$3:$A$502,127),"")</f>
        <v/>
      </c>
      <c r="B133" s="43">
        <f>IFERROR(INDEX('التدريب'!$B$3:$B$502,127),"")</f>
        <v/>
      </c>
      <c r="C133" s="43">
        <f>IFERROR(INDEX('التدريب'!$C$3:$C$502,127),"")</f>
        <v/>
      </c>
      <c r="D133" s="43">
        <f>IFERROR(INDEX('التدريب'!$D$3:$D$502,127),"")</f>
        <v/>
      </c>
      <c r="E133" s="118">
        <f>IFERROR(INDEX('التدريب'!$E$3:$E$502,127),"")</f>
        <v/>
      </c>
      <c r="F133" s="118">
        <f>IFERROR(INDEX('التدريب'!$F$3:$F$502,127),"")</f>
        <v/>
      </c>
      <c r="G133" s="60">
        <f>IFERROR(INDEX('التدريب'!$G$3:$G$502,127),"")</f>
        <v/>
      </c>
      <c r="H133" s="43">
        <f>IFERROR(INDEX('التدريب'!$H$3:$H$502,127),"")</f>
        <v/>
      </c>
      <c r="I133" s="43">
        <f>IFERROR(INDEX('التدريب'!$I$3:$I$502,127),"")</f>
        <v/>
      </c>
      <c r="J133" s="43">
        <f>IFERROR(INDEX(تقييم_الأداء_الفترة,127),"")</f>
        <v/>
      </c>
      <c r="K133" s="111">
        <f>IFERROR(INDEX(تقييم_الأداء_النهائي,127),"")</f>
        <v/>
      </c>
      <c r="L133" s="43">
        <f>IFERROR(INDEX(تقييم_الأداء_التقدير,127),"")</f>
        <v/>
      </c>
    </row>
    <row r="134">
      <c r="A134" s="50">
        <f>IFERROR(INDEX('التدريب'!$A$3:$A$502,128),"")</f>
        <v/>
      </c>
      <c r="B134" s="50">
        <f>IFERROR(INDEX('التدريب'!$B$3:$B$502,128),"")</f>
        <v/>
      </c>
      <c r="C134" s="50">
        <f>IFERROR(INDEX('التدريب'!$C$3:$C$502,128),"")</f>
        <v/>
      </c>
      <c r="D134" s="50">
        <f>IFERROR(INDEX('التدريب'!$D$3:$D$502,128),"")</f>
        <v/>
      </c>
      <c r="E134" s="119">
        <f>IFERROR(INDEX('التدريب'!$E$3:$E$502,128),"")</f>
        <v/>
      </c>
      <c r="F134" s="119">
        <f>IFERROR(INDEX('التدريب'!$F$3:$F$502,128),"")</f>
        <v/>
      </c>
      <c r="G134" s="63">
        <f>IFERROR(INDEX('التدريب'!$G$3:$G$502,128),"")</f>
        <v/>
      </c>
      <c r="H134" s="50">
        <f>IFERROR(INDEX('التدريب'!$H$3:$H$502,128),"")</f>
        <v/>
      </c>
      <c r="I134" s="50">
        <f>IFERROR(INDEX('التدريب'!$I$3:$I$502,128),"")</f>
        <v/>
      </c>
      <c r="J134" s="50">
        <f>IFERROR(INDEX(تقييم_الأداء_الفترة,128),"")</f>
        <v/>
      </c>
      <c r="K134" s="113">
        <f>IFERROR(INDEX(تقييم_الأداء_النهائي,128),"")</f>
        <v/>
      </c>
      <c r="L134" s="50">
        <f>IFERROR(INDEX(تقييم_الأداء_التقدير,128),"")</f>
        <v/>
      </c>
    </row>
    <row r="135">
      <c r="A135" s="43">
        <f>IFERROR(INDEX('التدريب'!$A$3:$A$502,129),"")</f>
        <v/>
      </c>
      <c r="B135" s="43">
        <f>IFERROR(INDEX('التدريب'!$B$3:$B$502,129),"")</f>
        <v/>
      </c>
      <c r="C135" s="43">
        <f>IFERROR(INDEX('التدريب'!$C$3:$C$502,129),"")</f>
        <v/>
      </c>
      <c r="D135" s="43">
        <f>IFERROR(INDEX('التدريب'!$D$3:$D$502,129),"")</f>
        <v/>
      </c>
      <c r="E135" s="118">
        <f>IFERROR(INDEX('التدريب'!$E$3:$E$502,129),"")</f>
        <v/>
      </c>
      <c r="F135" s="118">
        <f>IFERROR(INDEX('التدريب'!$F$3:$F$502,129),"")</f>
        <v/>
      </c>
      <c r="G135" s="60">
        <f>IFERROR(INDEX('التدريب'!$G$3:$G$502,129),"")</f>
        <v/>
      </c>
      <c r="H135" s="43">
        <f>IFERROR(INDEX('التدريب'!$H$3:$H$502,129),"")</f>
        <v/>
      </c>
      <c r="I135" s="43">
        <f>IFERROR(INDEX('التدريب'!$I$3:$I$502,129),"")</f>
        <v/>
      </c>
      <c r="J135" s="43">
        <f>IFERROR(INDEX(تقييم_الأداء_الفترة,129),"")</f>
        <v/>
      </c>
      <c r="K135" s="111">
        <f>IFERROR(INDEX(تقييم_الأداء_النهائي,129),"")</f>
        <v/>
      </c>
      <c r="L135" s="43">
        <f>IFERROR(INDEX(تقييم_الأداء_التقدير,129),"")</f>
        <v/>
      </c>
    </row>
    <row r="136">
      <c r="A136" s="50">
        <f>IFERROR(INDEX('التدريب'!$A$3:$A$502,130),"")</f>
        <v/>
      </c>
      <c r="B136" s="50">
        <f>IFERROR(INDEX('التدريب'!$B$3:$B$502,130),"")</f>
        <v/>
      </c>
      <c r="C136" s="50">
        <f>IFERROR(INDEX('التدريب'!$C$3:$C$502,130),"")</f>
        <v/>
      </c>
      <c r="D136" s="50">
        <f>IFERROR(INDEX('التدريب'!$D$3:$D$502,130),"")</f>
        <v/>
      </c>
      <c r="E136" s="119">
        <f>IFERROR(INDEX('التدريب'!$E$3:$E$502,130),"")</f>
        <v/>
      </c>
      <c r="F136" s="119">
        <f>IFERROR(INDEX('التدريب'!$F$3:$F$502,130),"")</f>
        <v/>
      </c>
      <c r="G136" s="63">
        <f>IFERROR(INDEX('التدريب'!$G$3:$G$502,130),"")</f>
        <v/>
      </c>
      <c r="H136" s="50">
        <f>IFERROR(INDEX('التدريب'!$H$3:$H$502,130),"")</f>
        <v/>
      </c>
      <c r="I136" s="50">
        <f>IFERROR(INDEX('التدريب'!$I$3:$I$502,130),"")</f>
        <v/>
      </c>
      <c r="J136" s="50">
        <f>IFERROR(INDEX(تقييم_الأداء_الفترة,130),"")</f>
        <v/>
      </c>
      <c r="K136" s="113">
        <f>IFERROR(INDEX(تقييم_الأداء_النهائي,130),"")</f>
        <v/>
      </c>
      <c r="L136" s="50">
        <f>IFERROR(INDEX(تقييم_الأداء_التقدير,130),"")</f>
        <v/>
      </c>
    </row>
    <row r="137">
      <c r="A137" s="43">
        <f>IFERROR(INDEX('التدريب'!$A$3:$A$502,131),"")</f>
        <v/>
      </c>
      <c r="B137" s="43">
        <f>IFERROR(INDEX('التدريب'!$B$3:$B$502,131),"")</f>
        <v/>
      </c>
      <c r="C137" s="43">
        <f>IFERROR(INDEX('التدريب'!$C$3:$C$502,131),"")</f>
        <v/>
      </c>
      <c r="D137" s="43">
        <f>IFERROR(INDEX('التدريب'!$D$3:$D$502,131),"")</f>
        <v/>
      </c>
      <c r="E137" s="118">
        <f>IFERROR(INDEX('التدريب'!$E$3:$E$502,131),"")</f>
        <v/>
      </c>
      <c r="F137" s="118">
        <f>IFERROR(INDEX('التدريب'!$F$3:$F$502,131),"")</f>
        <v/>
      </c>
      <c r="G137" s="60">
        <f>IFERROR(INDEX('التدريب'!$G$3:$G$502,131),"")</f>
        <v/>
      </c>
      <c r="H137" s="43">
        <f>IFERROR(INDEX('التدريب'!$H$3:$H$502,131),"")</f>
        <v/>
      </c>
      <c r="I137" s="43">
        <f>IFERROR(INDEX('التدريب'!$I$3:$I$502,131),"")</f>
        <v/>
      </c>
      <c r="J137" s="43">
        <f>IFERROR(INDEX(تقييم_الأداء_الفترة,131),"")</f>
        <v/>
      </c>
      <c r="K137" s="111">
        <f>IFERROR(INDEX(تقييم_الأداء_النهائي,131),"")</f>
        <v/>
      </c>
      <c r="L137" s="43">
        <f>IFERROR(INDEX(تقييم_الأداء_التقدير,131),"")</f>
        <v/>
      </c>
    </row>
    <row r="138">
      <c r="A138" s="50">
        <f>IFERROR(INDEX('التدريب'!$A$3:$A$502,132),"")</f>
        <v/>
      </c>
      <c r="B138" s="50">
        <f>IFERROR(INDEX('التدريب'!$B$3:$B$502,132),"")</f>
        <v/>
      </c>
      <c r="C138" s="50">
        <f>IFERROR(INDEX('التدريب'!$C$3:$C$502,132),"")</f>
        <v/>
      </c>
      <c r="D138" s="50">
        <f>IFERROR(INDEX('التدريب'!$D$3:$D$502,132),"")</f>
        <v/>
      </c>
      <c r="E138" s="119">
        <f>IFERROR(INDEX('التدريب'!$E$3:$E$502,132),"")</f>
        <v/>
      </c>
      <c r="F138" s="119">
        <f>IFERROR(INDEX('التدريب'!$F$3:$F$502,132),"")</f>
        <v/>
      </c>
      <c r="G138" s="63">
        <f>IFERROR(INDEX('التدريب'!$G$3:$G$502,132),"")</f>
        <v/>
      </c>
      <c r="H138" s="50">
        <f>IFERROR(INDEX('التدريب'!$H$3:$H$502,132),"")</f>
        <v/>
      </c>
      <c r="I138" s="50">
        <f>IFERROR(INDEX('التدريب'!$I$3:$I$502,132),"")</f>
        <v/>
      </c>
      <c r="J138" s="50">
        <f>IFERROR(INDEX(تقييم_الأداء_الفترة,132),"")</f>
        <v/>
      </c>
      <c r="K138" s="113">
        <f>IFERROR(INDEX(تقييم_الأداء_النهائي,132),"")</f>
        <v/>
      </c>
      <c r="L138" s="50">
        <f>IFERROR(INDEX(تقييم_الأداء_التقدير,132),"")</f>
        <v/>
      </c>
    </row>
    <row r="139">
      <c r="A139" s="43">
        <f>IFERROR(INDEX('التدريب'!$A$3:$A$502,133),"")</f>
        <v/>
      </c>
      <c r="B139" s="43">
        <f>IFERROR(INDEX('التدريب'!$B$3:$B$502,133),"")</f>
        <v/>
      </c>
      <c r="C139" s="43">
        <f>IFERROR(INDEX('التدريب'!$C$3:$C$502,133),"")</f>
        <v/>
      </c>
      <c r="D139" s="43">
        <f>IFERROR(INDEX('التدريب'!$D$3:$D$502,133),"")</f>
        <v/>
      </c>
      <c r="E139" s="118">
        <f>IFERROR(INDEX('التدريب'!$E$3:$E$502,133),"")</f>
        <v/>
      </c>
      <c r="F139" s="118">
        <f>IFERROR(INDEX('التدريب'!$F$3:$F$502,133),"")</f>
        <v/>
      </c>
      <c r="G139" s="60">
        <f>IFERROR(INDEX('التدريب'!$G$3:$G$502,133),"")</f>
        <v/>
      </c>
      <c r="H139" s="43">
        <f>IFERROR(INDEX('التدريب'!$H$3:$H$502,133),"")</f>
        <v/>
      </c>
      <c r="I139" s="43">
        <f>IFERROR(INDEX('التدريب'!$I$3:$I$502,133),"")</f>
        <v/>
      </c>
      <c r="J139" s="43">
        <f>IFERROR(INDEX(تقييم_الأداء_الفترة,133),"")</f>
        <v/>
      </c>
      <c r="K139" s="111">
        <f>IFERROR(INDEX(تقييم_الأداء_النهائي,133),"")</f>
        <v/>
      </c>
      <c r="L139" s="43">
        <f>IFERROR(INDEX(تقييم_الأداء_التقدير,133),"")</f>
        <v/>
      </c>
    </row>
    <row r="140">
      <c r="A140" s="50">
        <f>IFERROR(INDEX('التدريب'!$A$3:$A$502,134),"")</f>
        <v/>
      </c>
      <c r="B140" s="50">
        <f>IFERROR(INDEX('التدريب'!$B$3:$B$502,134),"")</f>
        <v/>
      </c>
      <c r="C140" s="50">
        <f>IFERROR(INDEX('التدريب'!$C$3:$C$502,134),"")</f>
        <v/>
      </c>
      <c r="D140" s="50">
        <f>IFERROR(INDEX('التدريب'!$D$3:$D$502,134),"")</f>
        <v/>
      </c>
      <c r="E140" s="119">
        <f>IFERROR(INDEX('التدريب'!$E$3:$E$502,134),"")</f>
        <v/>
      </c>
      <c r="F140" s="119">
        <f>IFERROR(INDEX('التدريب'!$F$3:$F$502,134),"")</f>
        <v/>
      </c>
      <c r="G140" s="63">
        <f>IFERROR(INDEX('التدريب'!$G$3:$G$502,134),"")</f>
        <v/>
      </c>
      <c r="H140" s="50">
        <f>IFERROR(INDEX('التدريب'!$H$3:$H$502,134),"")</f>
        <v/>
      </c>
      <c r="I140" s="50">
        <f>IFERROR(INDEX('التدريب'!$I$3:$I$502,134),"")</f>
        <v/>
      </c>
      <c r="J140" s="50">
        <f>IFERROR(INDEX(تقييم_الأداء_الفترة,134),"")</f>
        <v/>
      </c>
      <c r="K140" s="113">
        <f>IFERROR(INDEX(تقييم_الأداء_النهائي,134),"")</f>
        <v/>
      </c>
      <c r="L140" s="50">
        <f>IFERROR(INDEX(تقييم_الأداء_التقدير,134),"")</f>
        <v/>
      </c>
    </row>
    <row r="141">
      <c r="A141" s="43">
        <f>IFERROR(INDEX('التدريب'!$A$3:$A$502,135),"")</f>
        <v/>
      </c>
      <c r="B141" s="43">
        <f>IFERROR(INDEX('التدريب'!$B$3:$B$502,135),"")</f>
        <v/>
      </c>
      <c r="C141" s="43">
        <f>IFERROR(INDEX('التدريب'!$C$3:$C$502,135),"")</f>
        <v/>
      </c>
      <c r="D141" s="43">
        <f>IFERROR(INDEX('التدريب'!$D$3:$D$502,135),"")</f>
        <v/>
      </c>
      <c r="E141" s="118">
        <f>IFERROR(INDEX('التدريب'!$E$3:$E$502,135),"")</f>
        <v/>
      </c>
      <c r="F141" s="118">
        <f>IFERROR(INDEX('التدريب'!$F$3:$F$502,135),"")</f>
        <v/>
      </c>
      <c r="G141" s="60">
        <f>IFERROR(INDEX('التدريب'!$G$3:$G$502,135),"")</f>
        <v/>
      </c>
      <c r="H141" s="43">
        <f>IFERROR(INDEX('التدريب'!$H$3:$H$502,135),"")</f>
        <v/>
      </c>
      <c r="I141" s="43">
        <f>IFERROR(INDEX('التدريب'!$I$3:$I$502,135),"")</f>
        <v/>
      </c>
      <c r="J141" s="43">
        <f>IFERROR(INDEX(تقييم_الأداء_الفترة,135),"")</f>
        <v/>
      </c>
      <c r="K141" s="111">
        <f>IFERROR(INDEX(تقييم_الأداء_النهائي,135),"")</f>
        <v/>
      </c>
      <c r="L141" s="43">
        <f>IFERROR(INDEX(تقييم_الأداء_التقدير,135),"")</f>
        <v/>
      </c>
    </row>
    <row r="142">
      <c r="A142" s="50">
        <f>IFERROR(INDEX('التدريب'!$A$3:$A$502,136),"")</f>
        <v/>
      </c>
      <c r="B142" s="50">
        <f>IFERROR(INDEX('التدريب'!$B$3:$B$502,136),"")</f>
        <v/>
      </c>
      <c r="C142" s="50">
        <f>IFERROR(INDEX('التدريب'!$C$3:$C$502,136),"")</f>
        <v/>
      </c>
      <c r="D142" s="50">
        <f>IFERROR(INDEX('التدريب'!$D$3:$D$502,136),"")</f>
        <v/>
      </c>
      <c r="E142" s="119">
        <f>IFERROR(INDEX('التدريب'!$E$3:$E$502,136),"")</f>
        <v/>
      </c>
      <c r="F142" s="119">
        <f>IFERROR(INDEX('التدريب'!$F$3:$F$502,136),"")</f>
        <v/>
      </c>
      <c r="G142" s="63">
        <f>IFERROR(INDEX('التدريب'!$G$3:$G$502,136),"")</f>
        <v/>
      </c>
      <c r="H142" s="50">
        <f>IFERROR(INDEX('التدريب'!$H$3:$H$502,136),"")</f>
        <v/>
      </c>
      <c r="I142" s="50">
        <f>IFERROR(INDEX('التدريب'!$I$3:$I$502,136),"")</f>
        <v/>
      </c>
      <c r="J142" s="50">
        <f>IFERROR(INDEX(تقييم_الأداء_الفترة,136),"")</f>
        <v/>
      </c>
      <c r="K142" s="113">
        <f>IFERROR(INDEX(تقييم_الأداء_النهائي,136),"")</f>
        <v/>
      </c>
      <c r="L142" s="50">
        <f>IFERROR(INDEX(تقييم_الأداء_التقدير,136),"")</f>
        <v/>
      </c>
    </row>
    <row r="143">
      <c r="A143" s="43">
        <f>IFERROR(INDEX('التدريب'!$A$3:$A$502,137),"")</f>
        <v/>
      </c>
      <c r="B143" s="43">
        <f>IFERROR(INDEX('التدريب'!$B$3:$B$502,137),"")</f>
        <v/>
      </c>
      <c r="C143" s="43">
        <f>IFERROR(INDEX('التدريب'!$C$3:$C$502,137),"")</f>
        <v/>
      </c>
      <c r="D143" s="43">
        <f>IFERROR(INDEX('التدريب'!$D$3:$D$502,137),"")</f>
        <v/>
      </c>
      <c r="E143" s="118">
        <f>IFERROR(INDEX('التدريب'!$E$3:$E$502,137),"")</f>
        <v/>
      </c>
      <c r="F143" s="118">
        <f>IFERROR(INDEX('التدريب'!$F$3:$F$502,137),"")</f>
        <v/>
      </c>
      <c r="G143" s="60">
        <f>IFERROR(INDEX('التدريب'!$G$3:$G$502,137),"")</f>
        <v/>
      </c>
      <c r="H143" s="43">
        <f>IFERROR(INDEX('التدريب'!$H$3:$H$502,137),"")</f>
        <v/>
      </c>
      <c r="I143" s="43">
        <f>IFERROR(INDEX('التدريب'!$I$3:$I$502,137),"")</f>
        <v/>
      </c>
      <c r="J143" s="43">
        <f>IFERROR(INDEX(تقييم_الأداء_الفترة,137),"")</f>
        <v/>
      </c>
      <c r="K143" s="111">
        <f>IFERROR(INDEX(تقييم_الأداء_النهائي,137),"")</f>
        <v/>
      </c>
      <c r="L143" s="43">
        <f>IFERROR(INDEX(تقييم_الأداء_التقدير,137),"")</f>
        <v/>
      </c>
    </row>
    <row r="144">
      <c r="A144" s="50">
        <f>IFERROR(INDEX('التدريب'!$A$3:$A$502,138),"")</f>
        <v/>
      </c>
      <c r="B144" s="50">
        <f>IFERROR(INDEX('التدريب'!$B$3:$B$502,138),"")</f>
        <v/>
      </c>
      <c r="C144" s="50">
        <f>IFERROR(INDEX('التدريب'!$C$3:$C$502,138),"")</f>
        <v/>
      </c>
      <c r="D144" s="50">
        <f>IFERROR(INDEX('التدريب'!$D$3:$D$502,138),"")</f>
        <v/>
      </c>
      <c r="E144" s="119">
        <f>IFERROR(INDEX('التدريب'!$E$3:$E$502,138),"")</f>
        <v/>
      </c>
      <c r="F144" s="119">
        <f>IFERROR(INDEX('التدريب'!$F$3:$F$502,138),"")</f>
        <v/>
      </c>
      <c r="G144" s="63">
        <f>IFERROR(INDEX('التدريب'!$G$3:$G$502,138),"")</f>
        <v/>
      </c>
      <c r="H144" s="50">
        <f>IFERROR(INDEX('التدريب'!$H$3:$H$502,138),"")</f>
        <v/>
      </c>
      <c r="I144" s="50">
        <f>IFERROR(INDEX('التدريب'!$I$3:$I$502,138),"")</f>
        <v/>
      </c>
      <c r="J144" s="50">
        <f>IFERROR(INDEX(تقييم_الأداء_الفترة,138),"")</f>
        <v/>
      </c>
      <c r="K144" s="113">
        <f>IFERROR(INDEX(تقييم_الأداء_النهائي,138),"")</f>
        <v/>
      </c>
      <c r="L144" s="50">
        <f>IFERROR(INDEX(تقييم_الأداء_التقدير,138),"")</f>
        <v/>
      </c>
    </row>
    <row r="145">
      <c r="A145" s="43">
        <f>IFERROR(INDEX('التدريب'!$A$3:$A$502,139),"")</f>
        <v/>
      </c>
      <c r="B145" s="43">
        <f>IFERROR(INDEX('التدريب'!$B$3:$B$502,139),"")</f>
        <v/>
      </c>
      <c r="C145" s="43">
        <f>IFERROR(INDEX('التدريب'!$C$3:$C$502,139),"")</f>
        <v/>
      </c>
      <c r="D145" s="43">
        <f>IFERROR(INDEX('التدريب'!$D$3:$D$502,139),"")</f>
        <v/>
      </c>
      <c r="E145" s="118">
        <f>IFERROR(INDEX('التدريب'!$E$3:$E$502,139),"")</f>
        <v/>
      </c>
      <c r="F145" s="118">
        <f>IFERROR(INDEX('التدريب'!$F$3:$F$502,139),"")</f>
        <v/>
      </c>
      <c r="G145" s="60">
        <f>IFERROR(INDEX('التدريب'!$G$3:$G$502,139),"")</f>
        <v/>
      </c>
      <c r="H145" s="43">
        <f>IFERROR(INDEX('التدريب'!$H$3:$H$502,139),"")</f>
        <v/>
      </c>
      <c r="I145" s="43">
        <f>IFERROR(INDEX('التدريب'!$I$3:$I$502,139),"")</f>
        <v/>
      </c>
      <c r="J145" s="43">
        <f>IFERROR(INDEX(تقييم_الأداء_الفترة,139),"")</f>
        <v/>
      </c>
      <c r="K145" s="111">
        <f>IFERROR(INDEX(تقييم_الأداء_النهائي,139),"")</f>
        <v/>
      </c>
      <c r="L145" s="43">
        <f>IFERROR(INDEX(تقييم_الأداء_التقدير,139),"")</f>
        <v/>
      </c>
    </row>
    <row r="146">
      <c r="A146" s="50">
        <f>IFERROR(INDEX('التدريب'!$A$3:$A$502,140),"")</f>
        <v/>
      </c>
      <c r="B146" s="50">
        <f>IFERROR(INDEX('التدريب'!$B$3:$B$502,140),"")</f>
        <v/>
      </c>
      <c r="C146" s="50">
        <f>IFERROR(INDEX('التدريب'!$C$3:$C$502,140),"")</f>
        <v/>
      </c>
      <c r="D146" s="50">
        <f>IFERROR(INDEX('التدريب'!$D$3:$D$502,140),"")</f>
        <v/>
      </c>
      <c r="E146" s="119">
        <f>IFERROR(INDEX('التدريب'!$E$3:$E$502,140),"")</f>
        <v/>
      </c>
      <c r="F146" s="119">
        <f>IFERROR(INDEX('التدريب'!$F$3:$F$502,140),"")</f>
        <v/>
      </c>
      <c r="G146" s="63">
        <f>IFERROR(INDEX('التدريب'!$G$3:$G$502,140),"")</f>
        <v/>
      </c>
      <c r="H146" s="50">
        <f>IFERROR(INDEX('التدريب'!$H$3:$H$502,140),"")</f>
        <v/>
      </c>
      <c r="I146" s="50">
        <f>IFERROR(INDEX('التدريب'!$I$3:$I$502,140),"")</f>
        <v/>
      </c>
      <c r="J146" s="50">
        <f>IFERROR(INDEX(تقييم_الأداء_الفترة,140),"")</f>
        <v/>
      </c>
      <c r="K146" s="113">
        <f>IFERROR(INDEX(تقييم_الأداء_النهائي,140),"")</f>
        <v/>
      </c>
      <c r="L146" s="50">
        <f>IFERROR(INDEX(تقييم_الأداء_التقدير,140),"")</f>
        <v/>
      </c>
    </row>
    <row r="147">
      <c r="A147" s="43">
        <f>IFERROR(INDEX('التدريب'!$A$3:$A$502,141),"")</f>
        <v/>
      </c>
      <c r="B147" s="43">
        <f>IFERROR(INDEX('التدريب'!$B$3:$B$502,141),"")</f>
        <v/>
      </c>
      <c r="C147" s="43">
        <f>IFERROR(INDEX('التدريب'!$C$3:$C$502,141),"")</f>
        <v/>
      </c>
      <c r="D147" s="43">
        <f>IFERROR(INDEX('التدريب'!$D$3:$D$502,141),"")</f>
        <v/>
      </c>
      <c r="E147" s="118">
        <f>IFERROR(INDEX('التدريب'!$E$3:$E$502,141),"")</f>
        <v/>
      </c>
      <c r="F147" s="118">
        <f>IFERROR(INDEX('التدريب'!$F$3:$F$502,141),"")</f>
        <v/>
      </c>
      <c r="G147" s="60">
        <f>IFERROR(INDEX('التدريب'!$G$3:$G$502,141),"")</f>
        <v/>
      </c>
      <c r="H147" s="43">
        <f>IFERROR(INDEX('التدريب'!$H$3:$H$502,141),"")</f>
        <v/>
      </c>
      <c r="I147" s="43">
        <f>IFERROR(INDEX('التدريب'!$I$3:$I$502,141),"")</f>
        <v/>
      </c>
      <c r="J147" s="43">
        <f>IFERROR(INDEX(تقييم_الأداء_الفترة,141),"")</f>
        <v/>
      </c>
      <c r="K147" s="111">
        <f>IFERROR(INDEX(تقييم_الأداء_النهائي,141),"")</f>
        <v/>
      </c>
      <c r="L147" s="43">
        <f>IFERROR(INDEX(تقييم_الأداء_التقدير,141),"")</f>
        <v/>
      </c>
    </row>
    <row r="148">
      <c r="A148" s="50">
        <f>IFERROR(INDEX('التدريب'!$A$3:$A$502,142),"")</f>
        <v/>
      </c>
      <c r="B148" s="50">
        <f>IFERROR(INDEX('التدريب'!$B$3:$B$502,142),"")</f>
        <v/>
      </c>
      <c r="C148" s="50">
        <f>IFERROR(INDEX('التدريب'!$C$3:$C$502,142),"")</f>
        <v/>
      </c>
      <c r="D148" s="50">
        <f>IFERROR(INDEX('التدريب'!$D$3:$D$502,142),"")</f>
        <v/>
      </c>
      <c r="E148" s="119">
        <f>IFERROR(INDEX('التدريب'!$E$3:$E$502,142),"")</f>
        <v/>
      </c>
      <c r="F148" s="119">
        <f>IFERROR(INDEX('التدريب'!$F$3:$F$502,142),"")</f>
        <v/>
      </c>
      <c r="G148" s="63">
        <f>IFERROR(INDEX('التدريب'!$G$3:$G$502,142),"")</f>
        <v/>
      </c>
      <c r="H148" s="50">
        <f>IFERROR(INDEX('التدريب'!$H$3:$H$502,142),"")</f>
        <v/>
      </c>
      <c r="I148" s="50">
        <f>IFERROR(INDEX('التدريب'!$I$3:$I$502,142),"")</f>
        <v/>
      </c>
      <c r="J148" s="50">
        <f>IFERROR(INDEX(تقييم_الأداء_الفترة,142),"")</f>
        <v/>
      </c>
      <c r="K148" s="113">
        <f>IFERROR(INDEX(تقييم_الأداء_النهائي,142),"")</f>
        <v/>
      </c>
      <c r="L148" s="50">
        <f>IFERROR(INDEX(تقييم_الأداء_التقدير,142),"")</f>
        <v/>
      </c>
    </row>
    <row r="149">
      <c r="A149" s="43">
        <f>IFERROR(INDEX('التدريب'!$A$3:$A$502,143),"")</f>
        <v/>
      </c>
      <c r="B149" s="43">
        <f>IFERROR(INDEX('التدريب'!$B$3:$B$502,143),"")</f>
        <v/>
      </c>
      <c r="C149" s="43">
        <f>IFERROR(INDEX('التدريب'!$C$3:$C$502,143),"")</f>
        <v/>
      </c>
      <c r="D149" s="43">
        <f>IFERROR(INDEX('التدريب'!$D$3:$D$502,143),"")</f>
        <v/>
      </c>
      <c r="E149" s="118">
        <f>IFERROR(INDEX('التدريب'!$E$3:$E$502,143),"")</f>
        <v/>
      </c>
      <c r="F149" s="118">
        <f>IFERROR(INDEX('التدريب'!$F$3:$F$502,143),"")</f>
        <v/>
      </c>
      <c r="G149" s="60">
        <f>IFERROR(INDEX('التدريب'!$G$3:$G$502,143),"")</f>
        <v/>
      </c>
      <c r="H149" s="43">
        <f>IFERROR(INDEX('التدريب'!$H$3:$H$502,143),"")</f>
        <v/>
      </c>
      <c r="I149" s="43">
        <f>IFERROR(INDEX('التدريب'!$I$3:$I$502,143),"")</f>
        <v/>
      </c>
      <c r="J149" s="43">
        <f>IFERROR(INDEX(تقييم_الأداء_الفترة,143),"")</f>
        <v/>
      </c>
      <c r="K149" s="111">
        <f>IFERROR(INDEX(تقييم_الأداء_النهائي,143),"")</f>
        <v/>
      </c>
      <c r="L149" s="43">
        <f>IFERROR(INDEX(تقييم_الأداء_التقدير,143),"")</f>
        <v/>
      </c>
    </row>
    <row r="150">
      <c r="A150" s="50">
        <f>IFERROR(INDEX('التدريب'!$A$3:$A$502,144),"")</f>
        <v/>
      </c>
      <c r="B150" s="50">
        <f>IFERROR(INDEX('التدريب'!$B$3:$B$502,144),"")</f>
        <v/>
      </c>
      <c r="C150" s="50">
        <f>IFERROR(INDEX('التدريب'!$C$3:$C$502,144),"")</f>
        <v/>
      </c>
      <c r="D150" s="50">
        <f>IFERROR(INDEX('التدريب'!$D$3:$D$502,144),"")</f>
        <v/>
      </c>
      <c r="E150" s="119">
        <f>IFERROR(INDEX('التدريب'!$E$3:$E$502,144),"")</f>
        <v/>
      </c>
      <c r="F150" s="119">
        <f>IFERROR(INDEX('التدريب'!$F$3:$F$502,144),"")</f>
        <v/>
      </c>
      <c r="G150" s="63">
        <f>IFERROR(INDEX('التدريب'!$G$3:$G$502,144),"")</f>
        <v/>
      </c>
      <c r="H150" s="50">
        <f>IFERROR(INDEX('التدريب'!$H$3:$H$502,144),"")</f>
        <v/>
      </c>
      <c r="I150" s="50">
        <f>IFERROR(INDEX('التدريب'!$I$3:$I$502,144),"")</f>
        <v/>
      </c>
      <c r="J150" s="50">
        <f>IFERROR(INDEX(تقييم_الأداء_الفترة,144),"")</f>
        <v/>
      </c>
      <c r="K150" s="113">
        <f>IFERROR(INDEX(تقييم_الأداء_النهائي,144),"")</f>
        <v/>
      </c>
      <c r="L150" s="50">
        <f>IFERROR(INDEX(تقييم_الأداء_التقدير,144),"")</f>
        <v/>
      </c>
    </row>
    <row r="151">
      <c r="A151" s="43">
        <f>IFERROR(INDEX('التدريب'!$A$3:$A$502,145),"")</f>
        <v/>
      </c>
      <c r="B151" s="43">
        <f>IFERROR(INDEX('التدريب'!$B$3:$B$502,145),"")</f>
        <v/>
      </c>
      <c r="C151" s="43">
        <f>IFERROR(INDEX('التدريب'!$C$3:$C$502,145),"")</f>
        <v/>
      </c>
      <c r="D151" s="43">
        <f>IFERROR(INDEX('التدريب'!$D$3:$D$502,145),"")</f>
        <v/>
      </c>
      <c r="E151" s="118">
        <f>IFERROR(INDEX('التدريب'!$E$3:$E$502,145),"")</f>
        <v/>
      </c>
      <c r="F151" s="118">
        <f>IFERROR(INDEX('التدريب'!$F$3:$F$502,145),"")</f>
        <v/>
      </c>
      <c r="G151" s="60">
        <f>IFERROR(INDEX('التدريب'!$G$3:$G$502,145),"")</f>
        <v/>
      </c>
      <c r="H151" s="43">
        <f>IFERROR(INDEX('التدريب'!$H$3:$H$502,145),"")</f>
        <v/>
      </c>
      <c r="I151" s="43">
        <f>IFERROR(INDEX('التدريب'!$I$3:$I$502,145),"")</f>
        <v/>
      </c>
      <c r="J151" s="43">
        <f>IFERROR(INDEX(تقييم_الأداء_الفترة,145),"")</f>
        <v/>
      </c>
      <c r="K151" s="111">
        <f>IFERROR(INDEX(تقييم_الأداء_النهائي,145),"")</f>
        <v/>
      </c>
      <c r="L151" s="43">
        <f>IFERROR(INDEX(تقييم_الأداء_التقدير,145),"")</f>
        <v/>
      </c>
    </row>
    <row r="152">
      <c r="A152" s="50">
        <f>IFERROR(INDEX('التدريب'!$A$3:$A$502,146),"")</f>
        <v/>
      </c>
      <c r="B152" s="50">
        <f>IFERROR(INDEX('التدريب'!$B$3:$B$502,146),"")</f>
        <v/>
      </c>
      <c r="C152" s="50">
        <f>IFERROR(INDEX('التدريب'!$C$3:$C$502,146),"")</f>
        <v/>
      </c>
      <c r="D152" s="50">
        <f>IFERROR(INDEX('التدريب'!$D$3:$D$502,146),"")</f>
        <v/>
      </c>
      <c r="E152" s="119">
        <f>IFERROR(INDEX('التدريب'!$E$3:$E$502,146),"")</f>
        <v/>
      </c>
      <c r="F152" s="119">
        <f>IFERROR(INDEX('التدريب'!$F$3:$F$502,146),"")</f>
        <v/>
      </c>
      <c r="G152" s="63">
        <f>IFERROR(INDEX('التدريب'!$G$3:$G$502,146),"")</f>
        <v/>
      </c>
      <c r="H152" s="50">
        <f>IFERROR(INDEX('التدريب'!$H$3:$H$502,146),"")</f>
        <v/>
      </c>
      <c r="I152" s="50">
        <f>IFERROR(INDEX('التدريب'!$I$3:$I$502,146),"")</f>
        <v/>
      </c>
      <c r="J152" s="50">
        <f>IFERROR(INDEX(تقييم_الأداء_الفترة,146),"")</f>
        <v/>
      </c>
      <c r="K152" s="113">
        <f>IFERROR(INDEX(تقييم_الأداء_النهائي,146),"")</f>
        <v/>
      </c>
      <c r="L152" s="50">
        <f>IFERROR(INDEX(تقييم_الأداء_التقدير,146),"")</f>
        <v/>
      </c>
    </row>
    <row r="153">
      <c r="A153" s="43">
        <f>IFERROR(INDEX('التدريب'!$A$3:$A$502,147),"")</f>
        <v/>
      </c>
      <c r="B153" s="43">
        <f>IFERROR(INDEX('التدريب'!$B$3:$B$502,147),"")</f>
        <v/>
      </c>
      <c r="C153" s="43">
        <f>IFERROR(INDEX('التدريب'!$C$3:$C$502,147),"")</f>
        <v/>
      </c>
      <c r="D153" s="43">
        <f>IFERROR(INDEX('التدريب'!$D$3:$D$502,147),"")</f>
        <v/>
      </c>
      <c r="E153" s="118">
        <f>IFERROR(INDEX('التدريب'!$E$3:$E$502,147),"")</f>
        <v/>
      </c>
      <c r="F153" s="118">
        <f>IFERROR(INDEX('التدريب'!$F$3:$F$502,147),"")</f>
        <v/>
      </c>
      <c r="G153" s="60">
        <f>IFERROR(INDEX('التدريب'!$G$3:$G$502,147),"")</f>
        <v/>
      </c>
      <c r="H153" s="43">
        <f>IFERROR(INDEX('التدريب'!$H$3:$H$502,147),"")</f>
        <v/>
      </c>
      <c r="I153" s="43">
        <f>IFERROR(INDEX('التدريب'!$I$3:$I$502,147),"")</f>
        <v/>
      </c>
      <c r="J153" s="43">
        <f>IFERROR(INDEX(تقييم_الأداء_الفترة,147),"")</f>
        <v/>
      </c>
      <c r="K153" s="111">
        <f>IFERROR(INDEX(تقييم_الأداء_النهائي,147),"")</f>
        <v/>
      </c>
      <c r="L153" s="43">
        <f>IFERROR(INDEX(تقييم_الأداء_التقدير,147),"")</f>
        <v/>
      </c>
    </row>
    <row r="154">
      <c r="A154" s="50">
        <f>IFERROR(INDEX('التدريب'!$A$3:$A$502,148),"")</f>
        <v/>
      </c>
      <c r="B154" s="50">
        <f>IFERROR(INDEX('التدريب'!$B$3:$B$502,148),"")</f>
        <v/>
      </c>
      <c r="C154" s="50">
        <f>IFERROR(INDEX('التدريب'!$C$3:$C$502,148),"")</f>
        <v/>
      </c>
      <c r="D154" s="50">
        <f>IFERROR(INDEX('التدريب'!$D$3:$D$502,148),"")</f>
        <v/>
      </c>
      <c r="E154" s="119">
        <f>IFERROR(INDEX('التدريب'!$E$3:$E$502,148),"")</f>
        <v/>
      </c>
      <c r="F154" s="119">
        <f>IFERROR(INDEX('التدريب'!$F$3:$F$502,148),"")</f>
        <v/>
      </c>
      <c r="G154" s="63">
        <f>IFERROR(INDEX('التدريب'!$G$3:$G$502,148),"")</f>
        <v/>
      </c>
      <c r="H154" s="50">
        <f>IFERROR(INDEX('التدريب'!$H$3:$H$502,148),"")</f>
        <v/>
      </c>
      <c r="I154" s="50">
        <f>IFERROR(INDEX('التدريب'!$I$3:$I$502,148),"")</f>
        <v/>
      </c>
      <c r="J154" s="50">
        <f>IFERROR(INDEX(تقييم_الأداء_الفترة,148),"")</f>
        <v/>
      </c>
      <c r="K154" s="113">
        <f>IFERROR(INDEX(تقييم_الأداء_النهائي,148),"")</f>
        <v/>
      </c>
      <c r="L154" s="50">
        <f>IFERROR(INDEX(تقييم_الأداء_التقدير,148),"")</f>
        <v/>
      </c>
    </row>
    <row r="155">
      <c r="A155" s="43">
        <f>IFERROR(INDEX('التدريب'!$A$3:$A$502,149),"")</f>
        <v/>
      </c>
      <c r="B155" s="43">
        <f>IFERROR(INDEX('التدريب'!$B$3:$B$502,149),"")</f>
        <v/>
      </c>
      <c r="C155" s="43">
        <f>IFERROR(INDEX('التدريب'!$C$3:$C$502,149),"")</f>
        <v/>
      </c>
      <c r="D155" s="43">
        <f>IFERROR(INDEX('التدريب'!$D$3:$D$502,149),"")</f>
        <v/>
      </c>
      <c r="E155" s="118">
        <f>IFERROR(INDEX('التدريب'!$E$3:$E$502,149),"")</f>
        <v/>
      </c>
      <c r="F155" s="118">
        <f>IFERROR(INDEX('التدريب'!$F$3:$F$502,149),"")</f>
        <v/>
      </c>
      <c r="G155" s="60">
        <f>IFERROR(INDEX('التدريب'!$G$3:$G$502,149),"")</f>
        <v/>
      </c>
      <c r="H155" s="43">
        <f>IFERROR(INDEX('التدريب'!$H$3:$H$502,149),"")</f>
        <v/>
      </c>
      <c r="I155" s="43">
        <f>IFERROR(INDEX('التدريب'!$I$3:$I$502,149),"")</f>
        <v/>
      </c>
      <c r="J155" s="43">
        <f>IFERROR(INDEX(تقييم_الأداء_الفترة,149),"")</f>
        <v/>
      </c>
      <c r="K155" s="111">
        <f>IFERROR(INDEX(تقييم_الأداء_النهائي,149),"")</f>
        <v/>
      </c>
      <c r="L155" s="43">
        <f>IFERROR(INDEX(تقييم_الأداء_التقدير,149),"")</f>
        <v/>
      </c>
    </row>
    <row r="156">
      <c r="A156" s="50">
        <f>IFERROR(INDEX('التدريب'!$A$3:$A$502,150),"")</f>
        <v/>
      </c>
      <c r="B156" s="50">
        <f>IFERROR(INDEX('التدريب'!$B$3:$B$502,150),"")</f>
        <v/>
      </c>
      <c r="C156" s="50">
        <f>IFERROR(INDEX('التدريب'!$C$3:$C$502,150),"")</f>
        <v/>
      </c>
      <c r="D156" s="50">
        <f>IFERROR(INDEX('التدريب'!$D$3:$D$502,150),"")</f>
        <v/>
      </c>
      <c r="E156" s="119">
        <f>IFERROR(INDEX('التدريب'!$E$3:$E$502,150),"")</f>
        <v/>
      </c>
      <c r="F156" s="119">
        <f>IFERROR(INDEX('التدريب'!$F$3:$F$502,150),"")</f>
        <v/>
      </c>
      <c r="G156" s="63">
        <f>IFERROR(INDEX('التدريب'!$G$3:$G$502,150),"")</f>
        <v/>
      </c>
      <c r="H156" s="50">
        <f>IFERROR(INDEX('التدريب'!$H$3:$H$502,150),"")</f>
        <v/>
      </c>
      <c r="I156" s="50">
        <f>IFERROR(INDEX('التدريب'!$I$3:$I$502,150),"")</f>
        <v/>
      </c>
      <c r="J156" s="50">
        <f>IFERROR(INDEX(تقييم_الأداء_الفترة,150),"")</f>
        <v/>
      </c>
      <c r="K156" s="113">
        <f>IFERROR(INDEX(تقييم_الأداء_النهائي,150),"")</f>
        <v/>
      </c>
      <c r="L156" s="50">
        <f>IFERROR(INDEX(تقييم_الأداء_التقدير,150),"")</f>
        <v/>
      </c>
    </row>
    <row r="157">
      <c r="A157" s="43">
        <f>IFERROR(INDEX('التدريب'!$A$3:$A$502,151),"")</f>
        <v/>
      </c>
      <c r="B157" s="43">
        <f>IFERROR(INDEX('التدريب'!$B$3:$B$502,151),"")</f>
        <v/>
      </c>
      <c r="C157" s="43">
        <f>IFERROR(INDEX('التدريب'!$C$3:$C$502,151),"")</f>
        <v/>
      </c>
      <c r="D157" s="43">
        <f>IFERROR(INDEX('التدريب'!$D$3:$D$502,151),"")</f>
        <v/>
      </c>
      <c r="E157" s="118">
        <f>IFERROR(INDEX('التدريب'!$E$3:$E$502,151),"")</f>
        <v/>
      </c>
      <c r="F157" s="118">
        <f>IFERROR(INDEX('التدريب'!$F$3:$F$502,151),"")</f>
        <v/>
      </c>
      <c r="G157" s="60">
        <f>IFERROR(INDEX('التدريب'!$G$3:$G$502,151),"")</f>
        <v/>
      </c>
      <c r="H157" s="43">
        <f>IFERROR(INDEX('التدريب'!$H$3:$H$502,151),"")</f>
        <v/>
      </c>
      <c r="I157" s="43">
        <f>IFERROR(INDEX('التدريب'!$I$3:$I$502,151),"")</f>
        <v/>
      </c>
      <c r="J157" s="43">
        <f>IFERROR(INDEX(تقييم_الأداء_الفترة,151),"")</f>
        <v/>
      </c>
      <c r="K157" s="111">
        <f>IFERROR(INDEX(تقييم_الأداء_النهائي,151),"")</f>
        <v/>
      </c>
      <c r="L157" s="43">
        <f>IFERROR(INDEX(تقييم_الأداء_التقدير,151),"")</f>
        <v/>
      </c>
    </row>
    <row r="158">
      <c r="A158" s="50">
        <f>IFERROR(INDEX('التدريب'!$A$3:$A$502,152),"")</f>
        <v/>
      </c>
      <c r="B158" s="50">
        <f>IFERROR(INDEX('التدريب'!$B$3:$B$502,152),"")</f>
        <v/>
      </c>
      <c r="C158" s="50">
        <f>IFERROR(INDEX('التدريب'!$C$3:$C$502,152),"")</f>
        <v/>
      </c>
      <c r="D158" s="50">
        <f>IFERROR(INDEX('التدريب'!$D$3:$D$502,152),"")</f>
        <v/>
      </c>
      <c r="E158" s="119">
        <f>IFERROR(INDEX('التدريب'!$E$3:$E$502,152),"")</f>
        <v/>
      </c>
      <c r="F158" s="119">
        <f>IFERROR(INDEX('التدريب'!$F$3:$F$502,152),"")</f>
        <v/>
      </c>
      <c r="G158" s="63">
        <f>IFERROR(INDEX('التدريب'!$G$3:$G$502,152),"")</f>
        <v/>
      </c>
      <c r="H158" s="50">
        <f>IFERROR(INDEX('التدريب'!$H$3:$H$502,152),"")</f>
        <v/>
      </c>
      <c r="I158" s="50">
        <f>IFERROR(INDEX('التدريب'!$I$3:$I$502,152),"")</f>
        <v/>
      </c>
      <c r="J158" s="50">
        <f>IFERROR(INDEX(تقييم_الأداء_الفترة,152),"")</f>
        <v/>
      </c>
      <c r="K158" s="113">
        <f>IFERROR(INDEX(تقييم_الأداء_النهائي,152),"")</f>
        <v/>
      </c>
      <c r="L158" s="50">
        <f>IFERROR(INDEX(تقييم_الأداء_التقدير,152),"")</f>
        <v/>
      </c>
    </row>
    <row r="159">
      <c r="A159" s="43">
        <f>IFERROR(INDEX('التدريب'!$A$3:$A$502,153),"")</f>
        <v/>
      </c>
      <c r="B159" s="43">
        <f>IFERROR(INDEX('التدريب'!$B$3:$B$502,153),"")</f>
        <v/>
      </c>
      <c r="C159" s="43">
        <f>IFERROR(INDEX('التدريب'!$C$3:$C$502,153),"")</f>
        <v/>
      </c>
      <c r="D159" s="43">
        <f>IFERROR(INDEX('التدريب'!$D$3:$D$502,153),"")</f>
        <v/>
      </c>
      <c r="E159" s="118">
        <f>IFERROR(INDEX('التدريب'!$E$3:$E$502,153),"")</f>
        <v/>
      </c>
      <c r="F159" s="118">
        <f>IFERROR(INDEX('التدريب'!$F$3:$F$502,153),"")</f>
        <v/>
      </c>
      <c r="G159" s="60">
        <f>IFERROR(INDEX('التدريب'!$G$3:$G$502,153),"")</f>
        <v/>
      </c>
      <c r="H159" s="43">
        <f>IFERROR(INDEX('التدريب'!$H$3:$H$502,153),"")</f>
        <v/>
      </c>
      <c r="I159" s="43">
        <f>IFERROR(INDEX('التدريب'!$I$3:$I$502,153),"")</f>
        <v/>
      </c>
      <c r="J159" s="43">
        <f>IFERROR(INDEX(تقييم_الأداء_الفترة,153),"")</f>
        <v/>
      </c>
      <c r="K159" s="111">
        <f>IFERROR(INDEX(تقييم_الأداء_النهائي,153),"")</f>
        <v/>
      </c>
      <c r="L159" s="43">
        <f>IFERROR(INDEX(تقييم_الأداء_التقدير,153),"")</f>
        <v/>
      </c>
    </row>
    <row r="160">
      <c r="A160" s="50">
        <f>IFERROR(INDEX('التدريب'!$A$3:$A$502,154),"")</f>
        <v/>
      </c>
      <c r="B160" s="50">
        <f>IFERROR(INDEX('التدريب'!$B$3:$B$502,154),"")</f>
        <v/>
      </c>
      <c r="C160" s="50">
        <f>IFERROR(INDEX('التدريب'!$C$3:$C$502,154),"")</f>
        <v/>
      </c>
      <c r="D160" s="50">
        <f>IFERROR(INDEX('التدريب'!$D$3:$D$502,154),"")</f>
        <v/>
      </c>
      <c r="E160" s="119">
        <f>IFERROR(INDEX('التدريب'!$E$3:$E$502,154),"")</f>
        <v/>
      </c>
      <c r="F160" s="119">
        <f>IFERROR(INDEX('التدريب'!$F$3:$F$502,154),"")</f>
        <v/>
      </c>
      <c r="G160" s="63">
        <f>IFERROR(INDEX('التدريب'!$G$3:$G$502,154),"")</f>
        <v/>
      </c>
      <c r="H160" s="50">
        <f>IFERROR(INDEX('التدريب'!$H$3:$H$502,154),"")</f>
        <v/>
      </c>
      <c r="I160" s="50">
        <f>IFERROR(INDEX('التدريب'!$I$3:$I$502,154),"")</f>
        <v/>
      </c>
      <c r="J160" s="50">
        <f>IFERROR(INDEX(تقييم_الأداء_الفترة,154),"")</f>
        <v/>
      </c>
      <c r="K160" s="113">
        <f>IFERROR(INDEX(تقييم_الأداء_النهائي,154),"")</f>
        <v/>
      </c>
      <c r="L160" s="50">
        <f>IFERROR(INDEX(تقييم_الأداء_التقدير,154),"")</f>
        <v/>
      </c>
    </row>
    <row r="161">
      <c r="A161" s="43">
        <f>IFERROR(INDEX('التدريب'!$A$3:$A$502,155),"")</f>
        <v/>
      </c>
      <c r="B161" s="43">
        <f>IFERROR(INDEX('التدريب'!$B$3:$B$502,155),"")</f>
        <v/>
      </c>
      <c r="C161" s="43">
        <f>IFERROR(INDEX('التدريب'!$C$3:$C$502,155),"")</f>
        <v/>
      </c>
      <c r="D161" s="43">
        <f>IFERROR(INDEX('التدريب'!$D$3:$D$502,155),"")</f>
        <v/>
      </c>
      <c r="E161" s="118">
        <f>IFERROR(INDEX('التدريب'!$E$3:$E$502,155),"")</f>
        <v/>
      </c>
      <c r="F161" s="118">
        <f>IFERROR(INDEX('التدريب'!$F$3:$F$502,155),"")</f>
        <v/>
      </c>
      <c r="G161" s="60">
        <f>IFERROR(INDEX('التدريب'!$G$3:$G$502,155),"")</f>
        <v/>
      </c>
      <c r="H161" s="43">
        <f>IFERROR(INDEX('التدريب'!$H$3:$H$502,155),"")</f>
        <v/>
      </c>
      <c r="I161" s="43">
        <f>IFERROR(INDEX('التدريب'!$I$3:$I$502,155),"")</f>
        <v/>
      </c>
      <c r="J161" s="43">
        <f>IFERROR(INDEX(تقييم_الأداء_الفترة,155),"")</f>
        <v/>
      </c>
      <c r="K161" s="111">
        <f>IFERROR(INDEX(تقييم_الأداء_النهائي,155),"")</f>
        <v/>
      </c>
      <c r="L161" s="43">
        <f>IFERROR(INDEX(تقييم_الأداء_التقدير,155),"")</f>
        <v/>
      </c>
    </row>
    <row r="162">
      <c r="A162" s="50">
        <f>IFERROR(INDEX('التدريب'!$A$3:$A$502,156),"")</f>
        <v/>
      </c>
      <c r="B162" s="50">
        <f>IFERROR(INDEX('التدريب'!$B$3:$B$502,156),"")</f>
        <v/>
      </c>
      <c r="C162" s="50">
        <f>IFERROR(INDEX('التدريب'!$C$3:$C$502,156),"")</f>
        <v/>
      </c>
      <c r="D162" s="50">
        <f>IFERROR(INDEX('التدريب'!$D$3:$D$502,156),"")</f>
        <v/>
      </c>
      <c r="E162" s="119">
        <f>IFERROR(INDEX('التدريب'!$E$3:$E$502,156),"")</f>
        <v/>
      </c>
      <c r="F162" s="119">
        <f>IFERROR(INDEX('التدريب'!$F$3:$F$502,156),"")</f>
        <v/>
      </c>
      <c r="G162" s="63">
        <f>IFERROR(INDEX('التدريب'!$G$3:$G$502,156),"")</f>
        <v/>
      </c>
      <c r="H162" s="50">
        <f>IFERROR(INDEX('التدريب'!$H$3:$H$502,156),"")</f>
        <v/>
      </c>
      <c r="I162" s="50">
        <f>IFERROR(INDEX('التدريب'!$I$3:$I$502,156),"")</f>
        <v/>
      </c>
      <c r="J162" s="50">
        <f>IFERROR(INDEX(تقييم_الأداء_الفترة,156),"")</f>
        <v/>
      </c>
      <c r="K162" s="113">
        <f>IFERROR(INDEX(تقييم_الأداء_النهائي,156),"")</f>
        <v/>
      </c>
      <c r="L162" s="50">
        <f>IFERROR(INDEX(تقييم_الأداء_التقدير,156),"")</f>
        <v/>
      </c>
    </row>
    <row r="163">
      <c r="A163" s="43">
        <f>IFERROR(INDEX('التدريب'!$A$3:$A$502,157),"")</f>
        <v/>
      </c>
      <c r="B163" s="43">
        <f>IFERROR(INDEX('التدريب'!$B$3:$B$502,157),"")</f>
        <v/>
      </c>
      <c r="C163" s="43">
        <f>IFERROR(INDEX('التدريب'!$C$3:$C$502,157),"")</f>
        <v/>
      </c>
      <c r="D163" s="43">
        <f>IFERROR(INDEX('التدريب'!$D$3:$D$502,157),"")</f>
        <v/>
      </c>
      <c r="E163" s="118">
        <f>IFERROR(INDEX('التدريب'!$E$3:$E$502,157),"")</f>
        <v/>
      </c>
      <c r="F163" s="118">
        <f>IFERROR(INDEX('التدريب'!$F$3:$F$502,157),"")</f>
        <v/>
      </c>
      <c r="G163" s="60">
        <f>IFERROR(INDEX('التدريب'!$G$3:$G$502,157),"")</f>
        <v/>
      </c>
      <c r="H163" s="43">
        <f>IFERROR(INDEX('التدريب'!$H$3:$H$502,157),"")</f>
        <v/>
      </c>
      <c r="I163" s="43">
        <f>IFERROR(INDEX('التدريب'!$I$3:$I$502,157),"")</f>
        <v/>
      </c>
      <c r="J163" s="43">
        <f>IFERROR(INDEX(تقييم_الأداء_الفترة,157),"")</f>
        <v/>
      </c>
      <c r="K163" s="111">
        <f>IFERROR(INDEX(تقييم_الأداء_النهائي,157),"")</f>
        <v/>
      </c>
      <c r="L163" s="43">
        <f>IFERROR(INDEX(تقييم_الأداء_التقدير,157),"")</f>
        <v/>
      </c>
    </row>
    <row r="164">
      <c r="A164" s="50">
        <f>IFERROR(INDEX('التدريب'!$A$3:$A$502,158),"")</f>
        <v/>
      </c>
      <c r="B164" s="50">
        <f>IFERROR(INDEX('التدريب'!$B$3:$B$502,158),"")</f>
        <v/>
      </c>
      <c r="C164" s="50">
        <f>IFERROR(INDEX('التدريب'!$C$3:$C$502,158),"")</f>
        <v/>
      </c>
      <c r="D164" s="50">
        <f>IFERROR(INDEX('التدريب'!$D$3:$D$502,158),"")</f>
        <v/>
      </c>
      <c r="E164" s="119">
        <f>IFERROR(INDEX('التدريب'!$E$3:$E$502,158),"")</f>
        <v/>
      </c>
      <c r="F164" s="119">
        <f>IFERROR(INDEX('التدريب'!$F$3:$F$502,158),"")</f>
        <v/>
      </c>
      <c r="G164" s="63">
        <f>IFERROR(INDEX('التدريب'!$G$3:$G$502,158),"")</f>
        <v/>
      </c>
      <c r="H164" s="50">
        <f>IFERROR(INDEX('التدريب'!$H$3:$H$502,158),"")</f>
        <v/>
      </c>
      <c r="I164" s="50">
        <f>IFERROR(INDEX('التدريب'!$I$3:$I$502,158),"")</f>
        <v/>
      </c>
      <c r="J164" s="50">
        <f>IFERROR(INDEX(تقييم_الأداء_الفترة,158),"")</f>
        <v/>
      </c>
      <c r="K164" s="113">
        <f>IFERROR(INDEX(تقييم_الأداء_النهائي,158),"")</f>
        <v/>
      </c>
      <c r="L164" s="50">
        <f>IFERROR(INDEX(تقييم_الأداء_التقدير,158),"")</f>
        <v/>
      </c>
    </row>
    <row r="165">
      <c r="A165" s="43">
        <f>IFERROR(INDEX('التدريب'!$A$3:$A$502,159),"")</f>
        <v/>
      </c>
      <c r="B165" s="43">
        <f>IFERROR(INDEX('التدريب'!$B$3:$B$502,159),"")</f>
        <v/>
      </c>
      <c r="C165" s="43">
        <f>IFERROR(INDEX('التدريب'!$C$3:$C$502,159),"")</f>
        <v/>
      </c>
      <c r="D165" s="43">
        <f>IFERROR(INDEX('التدريب'!$D$3:$D$502,159),"")</f>
        <v/>
      </c>
      <c r="E165" s="118">
        <f>IFERROR(INDEX('التدريب'!$E$3:$E$502,159),"")</f>
        <v/>
      </c>
      <c r="F165" s="118">
        <f>IFERROR(INDEX('التدريب'!$F$3:$F$502,159),"")</f>
        <v/>
      </c>
      <c r="G165" s="60">
        <f>IFERROR(INDEX('التدريب'!$G$3:$G$502,159),"")</f>
        <v/>
      </c>
      <c r="H165" s="43">
        <f>IFERROR(INDEX('التدريب'!$H$3:$H$502,159),"")</f>
        <v/>
      </c>
      <c r="I165" s="43">
        <f>IFERROR(INDEX('التدريب'!$I$3:$I$502,159),"")</f>
        <v/>
      </c>
      <c r="J165" s="43">
        <f>IFERROR(INDEX(تقييم_الأداء_الفترة,159),"")</f>
        <v/>
      </c>
      <c r="K165" s="111">
        <f>IFERROR(INDEX(تقييم_الأداء_النهائي,159),"")</f>
        <v/>
      </c>
      <c r="L165" s="43">
        <f>IFERROR(INDEX(تقييم_الأداء_التقدير,159),"")</f>
        <v/>
      </c>
    </row>
    <row r="166">
      <c r="A166" s="50">
        <f>IFERROR(INDEX('التدريب'!$A$3:$A$502,160),"")</f>
        <v/>
      </c>
      <c r="B166" s="50">
        <f>IFERROR(INDEX('التدريب'!$B$3:$B$502,160),"")</f>
        <v/>
      </c>
      <c r="C166" s="50">
        <f>IFERROR(INDEX('التدريب'!$C$3:$C$502,160),"")</f>
        <v/>
      </c>
      <c r="D166" s="50">
        <f>IFERROR(INDEX('التدريب'!$D$3:$D$502,160),"")</f>
        <v/>
      </c>
      <c r="E166" s="119">
        <f>IFERROR(INDEX('التدريب'!$E$3:$E$502,160),"")</f>
        <v/>
      </c>
      <c r="F166" s="119">
        <f>IFERROR(INDEX('التدريب'!$F$3:$F$502,160),"")</f>
        <v/>
      </c>
      <c r="G166" s="63">
        <f>IFERROR(INDEX('التدريب'!$G$3:$G$502,160),"")</f>
        <v/>
      </c>
      <c r="H166" s="50">
        <f>IFERROR(INDEX('التدريب'!$H$3:$H$502,160),"")</f>
        <v/>
      </c>
      <c r="I166" s="50">
        <f>IFERROR(INDEX('التدريب'!$I$3:$I$502,160),"")</f>
        <v/>
      </c>
      <c r="J166" s="50">
        <f>IFERROR(INDEX(تقييم_الأداء_الفترة,160),"")</f>
        <v/>
      </c>
      <c r="K166" s="113">
        <f>IFERROR(INDEX(تقييم_الأداء_النهائي,160),"")</f>
        <v/>
      </c>
      <c r="L166" s="50">
        <f>IFERROR(INDEX(تقييم_الأداء_التقدير,160),"")</f>
        <v/>
      </c>
    </row>
    <row r="167">
      <c r="A167" s="43">
        <f>IFERROR(INDEX('التدريب'!$A$3:$A$502,161),"")</f>
        <v/>
      </c>
      <c r="B167" s="43">
        <f>IFERROR(INDEX('التدريب'!$B$3:$B$502,161),"")</f>
        <v/>
      </c>
      <c r="C167" s="43">
        <f>IFERROR(INDEX('التدريب'!$C$3:$C$502,161),"")</f>
        <v/>
      </c>
      <c r="D167" s="43">
        <f>IFERROR(INDEX('التدريب'!$D$3:$D$502,161),"")</f>
        <v/>
      </c>
      <c r="E167" s="118">
        <f>IFERROR(INDEX('التدريب'!$E$3:$E$502,161),"")</f>
        <v/>
      </c>
      <c r="F167" s="118">
        <f>IFERROR(INDEX('التدريب'!$F$3:$F$502,161),"")</f>
        <v/>
      </c>
      <c r="G167" s="60">
        <f>IFERROR(INDEX('التدريب'!$G$3:$G$502,161),"")</f>
        <v/>
      </c>
      <c r="H167" s="43">
        <f>IFERROR(INDEX('التدريب'!$H$3:$H$502,161),"")</f>
        <v/>
      </c>
      <c r="I167" s="43">
        <f>IFERROR(INDEX('التدريب'!$I$3:$I$502,161),"")</f>
        <v/>
      </c>
      <c r="J167" s="43">
        <f>IFERROR(INDEX(تقييم_الأداء_الفترة,161),"")</f>
        <v/>
      </c>
      <c r="K167" s="111">
        <f>IFERROR(INDEX(تقييم_الأداء_النهائي,161),"")</f>
        <v/>
      </c>
      <c r="L167" s="43">
        <f>IFERROR(INDEX(تقييم_الأداء_التقدير,161),"")</f>
        <v/>
      </c>
    </row>
    <row r="168">
      <c r="A168" s="50">
        <f>IFERROR(INDEX('التدريب'!$A$3:$A$502,162),"")</f>
        <v/>
      </c>
      <c r="B168" s="50">
        <f>IFERROR(INDEX('التدريب'!$B$3:$B$502,162),"")</f>
        <v/>
      </c>
      <c r="C168" s="50">
        <f>IFERROR(INDEX('التدريب'!$C$3:$C$502,162),"")</f>
        <v/>
      </c>
      <c r="D168" s="50">
        <f>IFERROR(INDEX('التدريب'!$D$3:$D$502,162),"")</f>
        <v/>
      </c>
      <c r="E168" s="119">
        <f>IFERROR(INDEX('التدريب'!$E$3:$E$502,162),"")</f>
        <v/>
      </c>
      <c r="F168" s="119">
        <f>IFERROR(INDEX('التدريب'!$F$3:$F$502,162),"")</f>
        <v/>
      </c>
      <c r="G168" s="63">
        <f>IFERROR(INDEX('التدريب'!$G$3:$G$502,162),"")</f>
        <v/>
      </c>
      <c r="H168" s="50">
        <f>IFERROR(INDEX('التدريب'!$H$3:$H$502,162),"")</f>
        <v/>
      </c>
      <c r="I168" s="50">
        <f>IFERROR(INDEX('التدريب'!$I$3:$I$502,162),"")</f>
        <v/>
      </c>
      <c r="J168" s="50">
        <f>IFERROR(INDEX(تقييم_الأداء_الفترة,162),"")</f>
        <v/>
      </c>
      <c r="K168" s="113">
        <f>IFERROR(INDEX(تقييم_الأداء_النهائي,162),"")</f>
        <v/>
      </c>
      <c r="L168" s="50">
        <f>IFERROR(INDEX(تقييم_الأداء_التقدير,162),"")</f>
        <v/>
      </c>
    </row>
    <row r="169">
      <c r="A169" s="43">
        <f>IFERROR(INDEX('التدريب'!$A$3:$A$502,163),"")</f>
        <v/>
      </c>
      <c r="B169" s="43">
        <f>IFERROR(INDEX('التدريب'!$B$3:$B$502,163),"")</f>
        <v/>
      </c>
      <c r="C169" s="43">
        <f>IFERROR(INDEX('التدريب'!$C$3:$C$502,163),"")</f>
        <v/>
      </c>
      <c r="D169" s="43">
        <f>IFERROR(INDEX('التدريب'!$D$3:$D$502,163),"")</f>
        <v/>
      </c>
      <c r="E169" s="118">
        <f>IFERROR(INDEX('التدريب'!$E$3:$E$502,163),"")</f>
        <v/>
      </c>
      <c r="F169" s="118">
        <f>IFERROR(INDEX('التدريب'!$F$3:$F$502,163),"")</f>
        <v/>
      </c>
      <c r="G169" s="60">
        <f>IFERROR(INDEX('التدريب'!$G$3:$G$502,163),"")</f>
        <v/>
      </c>
      <c r="H169" s="43">
        <f>IFERROR(INDEX('التدريب'!$H$3:$H$502,163),"")</f>
        <v/>
      </c>
      <c r="I169" s="43">
        <f>IFERROR(INDEX('التدريب'!$I$3:$I$502,163),"")</f>
        <v/>
      </c>
      <c r="J169" s="43">
        <f>IFERROR(INDEX(تقييم_الأداء_الفترة,163),"")</f>
        <v/>
      </c>
      <c r="K169" s="111">
        <f>IFERROR(INDEX(تقييم_الأداء_النهائي,163),"")</f>
        <v/>
      </c>
      <c r="L169" s="43">
        <f>IFERROR(INDEX(تقييم_الأداء_التقدير,163),"")</f>
        <v/>
      </c>
    </row>
    <row r="170">
      <c r="A170" s="50">
        <f>IFERROR(INDEX('التدريب'!$A$3:$A$502,164),"")</f>
        <v/>
      </c>
      <c r="B170" s="50">
        <f>IFERROR(INDEX('التدريب'!$B$3:$B$502,164),"")</f>
        <v/>
      </c>
      <c r="C170" s="50">
        <f>IFERROR(INDEX('التدريب'!$C$3:$C$502,164),"")</f>
        <v/>
      </c>
      <c r="D170" s="50">
        <f>IFERROR(INDEX('التدريب'!$D$3:$D$502,164),"")</f>
        <v/>
      </c>
      <c r="E170" s="119">
        <f>IFERROR(INDEX('التدريب'!$E$3:$E$502,164),"")</f>
        <v/>
      </c>
      <c r="F170" s="119">
        <f>IFERROR(INDEX('التدريب'!$F$3:$F$502,164),"")</f>
        <v/>
      </c>
      <c r="G170" s="63">
        <f>IFERROR(INDEX('التدريب'!$G$3:$G$502,164),"")</f>
        <v/>
      </c>
      <c r="H170" s="50">
        <f>IFERROR(INDEX('التدريب'!$H$3:$H$502,164),"")</f>
        <v/>
      </c>
      <c r="I170" s="50">
        <f>IFERROR(INDEX('التدريب'!$I$3:$I$502,164),"")</f>
        <v/>
      </c>
      <c r="J170" s="50">
        <f>IFERROR(INDEX(تقييم_الأداء_الفترة,164),"")</f>
        <v/>
      </c>
      <c r="K170" s="113">
        <f>IFERROR(INDEX(تقييم_الأداء_النهائي,164),"")</f>
        <v/>
      </c>
      <c r="L170" s="50">
        <f>IFERROR(INDEX(تقييم_الأداء_التقدير,164),"")</f>
        <v/>
      </c>
    </row>
    <row r="171">
      <c r="A171" s="43">
        <f>IFERROR(INDEX('التدريب'!$A$3:$A$502,165),"")</f>
        <v/>
      </c>
      <c r="B171" s="43">
        <f>IFERROR(INDEX('التدريب'!$B$3:$B$502,165),"")</f>
        <v/>
      </c>
      <c r="C171" s="43">
        <f>IFERROR(INDEX('التدريب'!$C$3:$C$502,165),"")</f>
        <v/>
      </c>
      <c r="D171" s="43">
        <f>IFERROR(INDEX('التدريب'!$D$3:$D$502,165),"")</f>
        <v/>
      </c>
      <c r="E171" s="118">
        <f>IFERROR(INDEX('التدريب'!$E$3:$E$502,165),"")</f>
        <v/>
      </c>
      <c r="F171" s="118">
        <f>IFERROR(INDEX('التدريب'!$F$3:$F$502,165),"")</f>
        <v/>
      </c>
      <c r="G171" s="60">
        <f>IFERROR(INDEX('التدريب'!$G$3:$G$502,165),"")</f>
        <v/>
      </c>
      <c r="H171" s="43">
        <f>IFERROR(INDEX('التدريب'!$H$3:$H$502,165),"")</f>
        <v/>
      </c>
      <c r="I171" s="43">
        <f>IFERROR(INDEX('التدريب'!$I$3:$I$502,165),"")</f>
        <v/>
      </c>
      <c r="J171" s="43">
        <f>IFERROR(INDEX(تقييم_الأداء_الفترة,165),"")</f>
        <v/>
      </c>
      <c r="K171" s="111">
        <f>IFERROR(INDEX(تقييم_الأداء_النهائي,165),"")</f>
        <v/>
      </c>
      <c r="L171" s="43">
        <f>IFERROR(INDEX(تقييم_الأداء_التقدير,165),"")</f>
        <v/>
      </c>
    </row>
    <row r="172">
      <c r="A172" s="50">
        <f>IFERROR(INDEX('التدريب'!$A$3:$A$502,166),"")</f>
        <v/>
      </c>
      <c r="B172" s="50">
        <f>IFERROR(INDEX('التدريب'!$B$3:$B$502,166),"")</f>
        <v/>
      </c>
      <c r="C172" s="50">
        <f>IFERROR(INDEX('التدريب'!$C$3:$C$502,166),"")</f>
        <v/>
      </c>
      <c r="D172" s="50">
        <f>IFERROR(INDEX('التدريب'!$D$3:$D$502,166),"")</f>
        <v/>
      </c>
      <c r="E172" s="119">
        <f>IFERROR(INDEX('التدريب'!$E$3:$E$502,166),"")</f>
        <v/>
      </c>
      <c r="F172" s="119">
        <f>IFERROR(INDEX('التدريب'!$F$3:$F$502,166),"")</f>
        <v/>
      </c>
      <c r="G172" s="63">
        <f>IFERROR(INDEX('التدريب'!$G$3:$G$502,166),"")</f>
        <v/>
      </c>
      <c r="H172" s="50">
        <f>IFERROR(INDEX('التدريب'!$H$3:$H$502,166),"")</f>
        <v/>
      </c>
      <c r="I172" s="50">
        <f>IFERROR(INDEX('التدريب'!$I$3:$I$502,166),"")</f>
        <v/>
      </c>
      <c r="J172" s="50">
        <f>IFERROR(INDEX(تقييم_الأداء_الفترة,166),"")</f>
        <v/>
      </c>
      <c r="K172" s="113">
        <f>IFERROR(INDEX(تقييم_الأداء_النهائي,166),"")</f>
        <v/>
      </c>
      <c r="L172" s="50">
        <f>IFERROR(INDEX(تقييم_الأداء_التقدير,166),"")</f>
        <v/>
      </c>
    </row>
    <row r="173">
      <c r="A173" s="43">
        <f>IFERROR(INDEX('التدريب'!$A$3:$A$502,167),"")</f>
        <v/>
      </c>
      <c r="B173" s="43">
        <f>IFERROR(INDEX('التدريب'!$B$3:$B$502,167),"")</f>
        <v/>
      </c>
      <c r="C173" s="43">
        <f>IFERROR(INDEX('التدريب'!$C$3:$C$502,167),"")</f>
        <v/>
      </c>
      <c r="D173" s="43">
        <f>IFERROR(INDEX('التدريب'!$D$3:$D$502,167),"")</f>
        <v/>
      </c>
      <c r="E173" s="118">
        <f>IFERROR(INDEX('التدريب'!$E$3:$E$502,167),"")</f>
        <v/>
      </c>
      <c r="F173" s="118">
        <f>IFERROR(INDEX('التدريب'!$F$3:$F$502,167),"")</f>
        <v/>
      </c>
      <c r="G173" s="60">
        <f>IFERROR(INDEX('التدريب'!$G$3:$G$502,167),"")</f>
        <v/>
      </c>
      <c r="H173" s="43">
        <f>IFERROR(INDEX('التدريب'!$H$3:$H$502,167),"")</f>
        <v/>
      </c>
      <c r="I173" s="43">
        <f>IFERROR(INDEX('التدريب'!$I$3:$I$502,167),"")</f>
        <v/>
      </c>
      <c r="J173" s="43">
        <f>IFERROR(INDEX(تقييم_الأداء_الفترة,167),"")</f>
        <v/>
      </c>
      <c r="K173" s="111">
        <f>IFERROR(INDEX(تقييم_الأداء_النهائي,167),"")</f>
        <v/>
      </c>
      <c r="L173" s="43">
        <f>IFERROR(INDEX(تقييم_الأداء_التقدير,167),"")</f>
        <v/>
      </c>
    </row>
    <row r="174">
      <c r="A174" s="50">
        <f>IFERROR(INDEX('التدريب'!$A$3:$A$502,168),"")</f>
        <v/>
      </c>
      <c r="B174" s="50">
        <f>IFERROR(INDEX('التدريب'!$B$3:$B$502,168),"")</f>
        <v/>
      </c>
      <c r="C174" s="50">
        <f>IFERROR(INDEX('التدريب'!$C$3:$C$502,168),"")</f>
        <v/>
      </c>
      <c r="D174" s="50">
        <f>IFERROR(INDEX('التدريب'!$D$3:$D$502,168),"")</f>
        <v/>
      </c>
      <c r="E174" s="119">
        <f>IFERROR(INDEX('التدريب'!$E$3:$E$502,168),"")</f>
        <v/>
      </c>
      <c r="F174" s="119">
        <f>IFERROR(INDEX('التدريب'!$F$3:$F$502,168),"")</f>
        <v/>
      </c>
      <c r="G174" s="63">
        <f>IFERROR(INDEX('التدريب'!$G$3:$G$502,168),"")</f>
        <v/>
      </c>
      <c r="H174" s="50">
        <f>IFERROR(INDEX('التدريب'!$H$3:$H$502,168),"")</f>
        <v/>
      </c>
      <c r="I174" s="50">
        <f>IFERROR(INDEX('التدريب'!$I$3:$I$502,168),"")</f>
        <v/>
      </c>
      <c r="J174" s="50">
        <f>IFERROR(INDEX(تقييم_الأداء_الفترة,168),"")</f>
        <v/>
      </c>
      <c r="K174" s="113">
        <f>IFERROR(INDEX(تقييم_الأداء_النهائي,168),"")</f>
        <v/>
      </c>
      <c r="L174" s="50">
        <f>IFERROR(INDEX(تقييم_الأداء_التقدير,168),"")</f>
        <v/>
      </c>
    </row>
    <row r="175">
      <c r="A175" s="43">
        <f>IFERROR(INDEX('التدريب'!$A$3:$A$502,169),"")</f>
        <v/>
      </c>
      <c r="B175" s="43">
        <f>IFERROR(INDEX('التدريب'!$B$3:$B$502,169),"")</f>
        <v/>
      </c>
      <c r="C175" s="43">
        <f>IFERROR(INDEX('التدريب'!$C$3:$C$502,169),"")</f>
        <v/>
      </c>
      <c r="D175" s="43">
        <f>IFERROR(INDEX('التدريب'!$D$3:$D$502,169),"")</f>
        <v/>
      </c>
      <c r="E175" s="118">
        <f>IFERROR(INDEX('التدريب'!$E$3:$E$502,169),"")</f>
        <v/>
      </c>
      <c r="F175" s="118">
        <f>IFERROR(INDEX('التدريب'!$F$3:$F$502,169),"")</f>
        <v/>
      </c>
      <c r="G175" s="60">
        <f>IFERROR(INDEX('التدريب'!$G$3:$G$502,169),"")</f>
        <v/>
      </c>
      <c r="H175" s="43">
        <f>IFERROR(INDEX('التدريب'!$H$3:$H$502,169),"")</f>
        <v/>
      </c>
      <c r="I175" s="43">
        <f>IFERROR(INDEX('التدريب'!$I$3:$I$502,169),"")</f>
        <v/>
      </c>
      <c r="J175" s="43">
        <f>IFERROR(INDEX(تقييم_الأداء_الفترة,169),"")</f>
        <v/>
      </c>
      <c r="K175" s="111">
        <f>IFERROR(INDEX(تقييم_الأداء_النهائي,169),"")</f>
        <v/>
      </c>
      <c r="L175" s="43">
        <f>IFERROR(INDEX(تقييم_الأداء_التقدير,169),"")</f>
        <v/>
      </c>
    </row>
    <row r="176">
      <c r="A176" s="50">
        <f>IFERROR(INDEX('التدريب'!$A$3:$A$502,170),"")</f>
        <v/>
      </c>
      <c r="B176" s="50">
        <f>IFERROR(INDEX('التدريب'!$B$3:$B$502,170),"")</f>
        <v/>
      </c>
      <c r="C176" s="50">
        <f>IFERROR(INDEX('التدريب'!$C$3:$C$502,170),"")</f>
        <v/>
      </c>
      <c r="D176" s="50">
        <f>IFERROR(INDEX('التدريب'!$D$3:$D$502,170),"")</f>
        <v/>
      </c>
      <c r="E176" s="119">
        <f>IFERROR(INDEX('التدريب'!$E$3:$E$502,170),"")</f>
        <v/>
      </c>
      <c r="F176" s="119">
        <f>IFERROR(INDEX('التدريب'!$F$3:$F$502,170),"")</f>
        <v/>
      </c>
      <c r="G176" s="63">
        <f>IFERROR(INDEX('التدريب'!$G$3:$G$502,170),"")</f>
        <v/>
      </c>
      <c r="H176" s="50">
        <f>IFERROR(INDEX('التدريب'!$H$3:$H$502,170),"")</f>
        <v/>
      </c>
      <c r="I176" s="50">
        <f>IFERROR(INDEX('التدريب'!$I$3:$I$502,170),"")</f>
        <v/>
      </c>
      <c r="J176" s="50">
        <f>IFERROR(INDEX(تقييم_الأداء_الفترة,170),"")</f>
        <v/>
      </c>
      <c r="K176" s="113">
        <f>IFERROR(INDEX(تقييم_الأداء_النهائي,170),"")</f>
        <v/>
      </c>
      <c r="L176" s="50">
        <f>IFERROR(INDEX(تقييم_الأداء_التقدير,170),"")</f>
        <v/>
      </c>
    </row>
    <row r="177">
      <c r="A177" s="43">
        <f>IFERROR(INDEX('التدريب'!$A$3:$A$502,171),"")</f>
        <v/>
      </c>
      <c r="B177" s="43">
        <f>IFERROR(INDEX('التدريب'!$B$3:$B$502,171),"")</f>
        <v/>
      </c>
      <c r="C177" s="43">
        <f>IFERROR(INDEX('التدريب'!$C$3:$C$502,171),"")</f>
        <v/>
      </c>
      <c r="D177" s="43">
        <f>IFERROR(INDEX('التدريب'!$D$3:$D$502,171),"")</f>
        <v/>
      </c>
      <c r="E177" s="118">
        <f>IFERROR(INDEX('التدريب'!$E$3:$E$502,171),"")</f>
        <v/>
      </c>
      <c r="F177" s="118">
        <f>IFERROR(INDEX('التدريب'!$F$3:$F$502,171),"")</f>
        <v/>
      </c>
      <c r="G177" s="60">
        <f>IFERROR(INDEX('التدريب'!$G$3:$G$502,171),"")</f>
        <v/>
      </c>
      <c r="H177" s="43">
        <f>IFERROR(INDEX('التدريب'!$H$3:$H$502,171),"")</f>
        <v/>
      </c>
      <c r="I177" s="43">
        <f>IFERROR(INDEX('التدريب'!$I$3:$I$502,171),"")</f>
        <v/>
      </c>
      <c r="J177" s="43">
        <f>IFERROR(INDEX(تقييم_الأداء_الفترة,171),"")</f>
        <v/>
      </c>
      <c r="K177" s="111">
        <f>IFERROR(INDEX(تقييم_الأداء_النهائي,171),"")</f>
        <v/>
      </c>
      <c r="L177" s="43">
        <f>IFERROR(INDEX(تقييم_الأداء_التقدير,171),"")</f>
        <v/>
      </c>
    </row>
    <row r="178">
      <c r="A178" s="50">
        <f>IFERROR(INDEX('التدريب'!$A$3:$A$502,172),"")</f>
        <v/>
      </c>
      <c r="B178" s="50">
        <f>IFERROR(INDEX('التدريب'!$B$3:$B$502,172),"")</f>
        <v/>
      </c>
      <c r="C178" s="50">
        <f>IFERROR(INDEX('التدريب'!$C$3:$C$502,172),"")</f>
        <v/>
      </c>
      <c r="D178" s="50">
        <f>IFERROR(INDEX('التدريب'!$D$3:$D$502,172),"")</f>
        <v/>
      </c>
      <c r="E178" s="119">
        <f>IFERROR(INDEX('التدريب'!$E$3:$E$502,172),"")</f>
        <v/>
      </c>
      <c r="F178" s="119">
        <f>IFERROR(INDEX('التدريب'!$F$3:$F$502,172),"")</f>
        <v/>
      </c>
      <c r="G178" s="63">
        <f>IFERROR(INDEX('التدريب'!$G$3:$G$502,172),"")</f>
        <v/>
      </c>
      <c r="H178" s="50">
        <f>IFERROR(INDEX('التدريب'!$H$3:$H$502,172),"")</f>
        <v/>
      </c>
      <c r="I178" s="50">
        <f>IFERROR(INDEX('التدريب'!$I$3:$I$502,172),"")</f>
        <v/>
      </c>
      <c r="J178" s="50">
        <f>IFERROR(INDEX(تقييم_الأداء_الفترة,172),"")</f>
        <v/>
      </c>
      <c r="K178" s="113">
        <f>IFERROR(INDEX(تقييم_الأداء_النهائي,172),"")</f>
        <v/>
      </c>
      <c r="L178" s="50">
        <f>IFERROR(INDEX(تقييم_الأداء_التقدير,172),"")</f>
        <v/>
      </c>
    </row>
    <row r="179">
      <c r="A179" s="43">
        <f>IFERROR(INDEX('التدريب'!$A$3:$A$502,173),"")</f>
        <v/>
      </c>
      <c r="B179" s="43">
        <f>IFERROR(INDEX('التدريب'!$B$3:$B$502,173),"")</f>
        <v/>
      </c>
      <c r="C179" s="43">
        <f>IFERROR(INDEX('التدريب'!$C$3:$C$502,173),"")</f>
        <v/>
      </c>
      <c r="D179" s="43">
        <f>IFERROR(INDEX('التدريب'!$D$3:$D$502,173),"")</f>
        <v/>
      </c>
      <c r="E179" s="118">
        <f>IFERROR(INDEX('التدريب'!$E$3:$E$502,173),"")</f>
        <v/>
      </c>
      <c r="F179" s="118">
        <f>IFERROR(INDEX('التدريب'!$F$3:$F$502,173),"")</f>
        <v/>
      </c>
      <c r="G179" s="60">
        <f>IFERROR(INDEX('التدريب'!$G$3:$G$502,173),"")</f>
        <v/>
      </c>
      <c r="H179" s="43">
        <f>IFERROR(INDEX('التدريب'!$H$3:$H$502,173),"")</f>
        <v/>
      </c>
      <c r="I179" s="43">
        <f>IFERROR(INDEX('التدريب'!$I$3:$I$502,173),"")</f>
        <v/>
      </c>
      <c r="J179" s="43">
        <f>IFERROR(INDEX(تقييم_الأداء_الفترة,173),"")</f>
        <v/>
      </c>
      <c r="K179" s="111">
        <f>IFERROR(INDEX(تقييم_الأداء_النهائي,173),"")</f>
        <v/>
      </c>
      <c r="L179" s="43">
        <f>IFERROR(INDEX(تقييم_الأداء_التقدير,173),"")</f>
        <v/>
      </c>
    </row>
    <row r="180">
      <c r="A180" s="50">
        <f>IFERROR(INDEX('التدريب'!$A$3:$A$502,174),"")</f>
        <v/>
      </c>
      <c r="B180" s="50">
        <f>IFERROR(INDEX('التدريب'!$B$3:$B$502,174),"")</f>
        <v/>
      </c>
      <c r="C180" s="50">
        <f>IFERROR(INDEX('التدريب'!$C$3:$C$502,174),"")</f>
        <v/>
      </c>
      <c r="D180" s="50">
        <f>IFERROR(INDEX('التدريب'!$D$3:$D$502,174),"")</f>
        <v/>
      </c>
      <c r="E180" s="119">
        <f>IFERROR(INDEX('التدريب'!$E$3:$E$502,174),"")</f>
        <v/>
      </c>
      <c r="F180" s="119">
        <f>IFERROR(INDEX('التدريب'!$F$3:$F$502,174),"")</f>
        <v/>
      </c>
      <c r="G180" s="63">
        <f>IFERROR(INDEX('التدريب'!$G$3:$G$502,174),"")</f>
        <v/>
      </c>
      <c r="H180" s="50">
        <f>IFERROR(INDEX('التدريب'!$H$3:$H$502,174),"")</f>
        <v/>
      </c>
      <c r="I180" s="50">
        <f>IFERROR(INDEX('التدريب'!$I$3:$I$502,174),"")</f>
        <v/>
      </c>
      <c r="J180" s="50">
        <f>IFERROR(INDEX(تقييم_الأداء_الفترة,174),"")</f>
        <v/>
      </c>
      <c r="K180" s="113">
        <f>IFERROR(INDEX(تقييم_الأداء_النهائي,174),"")</f>
        <v/>
      </c>
      <c r="L180" s="50">
        <f>IFERROR(INDEX(تقييم_الأداء_التقدير,174),"")</f>
        <v/>
      </c>
    </row>
    <row r="181">
      <c r="A181" s="43">
        <f>IFERROR(INDEX('التدريب'!$A$3:$A$502,175),"")</f>
        <v/>
      </c>
      <c r="B181" s="43">
        <f>IFERROR(INDEX('التدريب'!$B$3:$B$502,175),"")</f>
        <v/>
      </c>
      <c r="C181" s="43">
        <f>IFERROR(INDEX('التدريب'!$C$3:$C$502,175),"")</f>
        <v/>
      </c>
      <c r="D181" s="43">
        <f>IFERROR(INDEX('التدريب'!$D$3:$D$502,175),"")</f>
        <v/>
      </c>
      <c r="E181" s="118">
        <f>IFERROR(INDEX('التدريب'!$E$3:$E$502,175),"")</f>
        <v/>
      </c>
      <c r="F181" s="118">
        <f>IFERROR(INDEX('التدريب'!$F$3:$F$502,175),"")</f>
        <v/>
      </c>
      <c r="G181" s="60">
        <f>IFERROR(INDEX('التدريب'!$G$3:$G$502,175),"")</f>
        <v/>
      </c>
      <c r="H181" s="43">
        <f>IFERROR(INDEX('التدريب'!$H$3:$H$502,175),"")</f>
        <v/>
      </c>
      <c r="I181" s="43">
        <f>IFERROR(INDEX('التدريب'!$I$3:$I$502,175),"")</f>
        <v/>
      </c>
      <c r="J181" s="43">
        <f>IFERROR(INDEX(تقييم_الأداء_الفترة,175),"")</f>
        <v/>
      </c>
      <c r="K181" s="111">
        <f>IFERROR(INDEX(تقييم_الأداء_النهائي,175),"")</f>
        <v/>
      </c>
      <c r="L181" s="43">
        <f>IFERROR(INDEX(تقييم_الأداء_التقدير,175),"")</f>
        <v/>
      </c>
    </row>
    <row r="182">
      <c r="A182" s="50">
        <f>IFERROR(INDEX('التدريب'!$A$3:$A$502,176),"")</f>
        <v/>
      </c>
      <c r="B182" s="50">
        <f>IFERROR(INDEX('التدريب'!$B$3:$B$502,176),"")</f>
        <v/>
      </c>
      <c r="C182" s="50">
        <f>IFERROR(INDEX('التدريب'!$C$3:$C$502,176),"")</f>
        <v/>
      </c>
      <c r="D182" s="50">
        <f>IFERROR(INDEX('التدريب'!$D$3:$D$502,176),"")</f>
        <v/>
      </c>
      <c r="E182" s="119">
        <f>IFERROR(INDEX('التدريب'!$E$3:$E$502,176),"")</f>
        <v/>
      </c>
      <c r="F182" s="119">
        <f>IFERROR(INDEX('التدريب'!$F$3:$F$502,176),"")</f>
        <v/>
      </c>
      <c r="G182" s="63">
        <f>IFERROR(INDEX('التدريب'!$G$3:$G$502,176),"")</f>
        <v/>
      </c>
      <c r="H182" s="50">
        <f>IFERROR(INDEX('التدريب'!$H$3:$H$502,176),"")</f>
        <v/>
      </c>
      <c r="I182" s="50">
        <f>IFERROR(INDEX('التدريب'!$I$3:$I$502,176),"")</f>
        <v/>
      </c>
      <c r="J182" s="50">
        <f>IFERROR(INDEX(تقييم_الأداء_الفترة,176),"")</f>
        <v/>
      </c>
      <c r="K182" s="113">
        <f>IFERROR(INDEX(تقييم_الأداء_النهائي,176),"")</f>
        <v/>
      </c>
      <c r="L182" s="50">
        <f>IFERROR(INDEX(تقييم_الأداء_التقدير,176),"")</f>
        <v/>
      </c>
    </row>
    <row r="183">
      <c r="A183" s="43">
        <f>IFERROR(INDEX('التدريب'!$A$3:$A$502,177),"")</f>
        <v/>
      </c>
      <c r="B183" s="43">
        <f>IFERROR(INDEX('التدريب'!$B$3:$B$502,177),"")</f>
        <v/>
      </c>
      <c r="C183" s="43">
        <f>IFERROR(INDEX('التدريب'!$C$3:$C$502,177),"")</f>
        <v/>
      </c>
      <c r="D183" s="43">
        <f>IFERROR(INDEX('التدريب'!$D$3:$D$502,177),"")</f>
        <v/>
      </c>
      <c r="E183" s="118">
        <f>IFERROR(INDEX('التدريب'!$E$3:$E$502,177),"")</f>
        <v/>
      </c>
      <c r="F183" s="118">
        <f>IFERROR(INDEX('التدريب'!$F$3:$F$502,177),"")</f>
        <v/>
      </c>
      <c r="G183" s="60">
        <f>IFERROR(INDEX('التدريب'!$G$3:$G$502,177),"")</f>
        <v/>
      </c>
      <c r="H183" s="43">
        <f>IFERROR(INDEX('التدريب'!$H$3:$H$502,177),"")</f>
        <v/>
      </c>
      <c r="I183" s="43">
        <f>IFERROR(INDEX('التدريب'!$I$3:$I$502,177),"")</f>
        <v/>
      </c>
      <c r="J183" s="43">
        <f>IFERROR(INDEX(تقييم_الأداء_الفترة,177),"")</f>
        <v/>
      </c>
      <c r="K183" s="111">
        <f>IFERROR(INDEX(تقييم_الأداء_النهائي,177),"")</f>
        <v/>
      </c>
      <c r="L183" s="43">
        <f>IFERROR(INDEX(تقييم_الأداء_التقدير,177),"")</f>
        <v/>
      </c>
    </row>
    <row r="184">
      <c r="A184" s="50">
        <f>IFERROR(INDEX('التدريب'!$A$3:$A$502,178),"")</f>
        <v/>
      </c>
      <c r="B184" s="50">
        <f>IFERROR(INDEX('التدريب'!$B$3:$B$502,178),"")</f>
        <v/>
      </c>
      <c r="C184" s="50">
        <f>IFERROR(INDEX('التدريب'!$C$3:$C$502,178),"")</f>
        <v/>
      </c>
      <c r="D184" s="50">
        <f>IFERROR(INDEX('التدريب'!$D$3:$D$502,178),"")</f>
        <v/>
      </c>
      <c r="E184" s="119">
        <f>IFERROR(INDEX('التدريب'!$E$3:$E$502,178),"")</f>
        <v/>
      </c>
      <c r="F184" s="119">
        <f>IFERROR(INDEX('التدريب'!$F$3:$F$502,178),"")</f>
        <v/>
      </c>
      <c r="G184" s="63">
        <f>IFERROR(INDEX('التدريب'!$G$3:$G$502,178),"")</f>
        <v/>
      </c>
      <c r="H184" s="50">
        <f>IFERROR(INDEX('التدريب'!$H$3:$H$502,178),"")</f>
        <v/>
      </c>
      <c r="I184" s="50">
        <f>IFERROR(INDEX('التدريب'!$I$3:$I$502,178),"")</f>
        <v/>
      </c>
      <c r="J184" s="50">
        <f>IFERROR(INDEX(تقييم_الأداء_الفترة,178),"")</f>
        <v/>
      </c>
      <c r="K184" s="113">
        <f>IFERROR(INDEX(تقييم_الأداء_النهائي,178),"")</f>
        <v/>
      </c>
      <c r="L184" s="50">
        <f>IFERROR(INDEX(تقييم_الأداء_التقدير,178),"")</f>
        <v/>
      </c>
    </row>
    <row r="185">
      <c r="A185" s="43">
        <f>IFERROR(INDEX('التدريب'!$A$3:$A$502,179),"")</f>
        <v/>
      </c>
      <c r="B185" s="43">
        <f>IFERROR(INDEX('التدريب'!$B$3:$B$502,179),"")</f>
        <v/>
      </c>
      <c r="C185" s="43">
        <f>IFERROR(INDEX('التدريب'!$C$3:$C$502,179),"")</f>
        <v/>
      </c>
      <c r="D185" s="43">
        <f>IFERROR(INDEX('التدريب'!$D$3:$D$502,179),"")</f>
        <v/>
      </c>
      <c r="E185" s="118">
        <f>IFERROR(INDEX('التدريب'!$E$3:$E$502,179),"")</f>
        <v/>
      </c>
      <c r="F185" s="118">
        <f>IFERROR(INDEX('التدريب'!$F$3:$F$502,179),"")</f>
        <v/>
      </c>
      <c r="G185" s="60">
        <f>IFERROR(INDEX('التدريب'!$G$3:$G$502,179),"")</f>
        <v/>
      </c>
      <c r="H185" s="43">
        <f>IFERROR(INDEX('التدريب'!$H$3:$H$502,179),"")</f>
        <v/>
      </c>
      <c r="I185" s="43">
        <f>IFERROR(INDEX('التدريب'!$I$3:$I$502,179),"")</f>
        <v/>
      </c>
      <c r="J185" s="43">
        <f>IFERROR(INDEX(تقييم_الأداء_الفترة,179),"")</f>
        <v/>
      </c>
      <c r="K185" s="111">
        <f>IFERROR(INDEX(تقييم_الأداء_النهائي,179),"")</f>
        <v/>
      </c>
      <c r="L185" s="43">
        <f>IFERROR(INDEX(تقييم_الأداء_التقدير,179),"")</f>
        <v/>
      </c>
    </row>
    <row r="186">
      <c r="A186" s="50">
        <f>IFERROR(INDEX('التدريب'!$A$3:$A$502,180),"")</f>
        <v/>
      </c>
      <c r="B186" s="50">
        <f>IFERROR(INDEX('التدريب'!$B$3:$B$502,180),"")</f>
        <v/>
      </c>
      <c r="C186" s="50">
        <f>IFERROR(INDEX('التدريب'!$C$3:$C$502,180),"")</f>
        <v/>
      </c>
      <c r="D186" s="50">
        <f>IFERROR(INDEX('التدريب'!$D$3:$D$502,180),"")</f>
        <v/>
      </c>
      <c r="E186" s="119">
        <f>IFERROR(INDEX('التدريب'!$E$3:$E$502,180),"")</f>
        <v/>
      </c>
      <c r="F186" s="119">
        <f>IFERROR(INDEX('التدريب'!$F$3:$F$502,180),"")</f>
        <v/>
      </c>
      <c r="G186" s="63">
        <f>IFERROR(INDEX('التدريب'!$G$3:$G$502,180),"")</f>
        <v/>
      </c>
      <c r="H186" s="50">
        <f>IFERROR(INDEX('التدريب'!$H$3:$H$502,180),"")</f>
        <v/>
      </c>
      <c r="I186" s="50">
        <f>IFERROR(INDEX('التدريب'!$I$3:$I$502,180),"")</f>
        <v/>
      </c>
      <c r="J186" s="50">
        <f>IFERROR(INDEX(تقييم_الأداء_الفترة,180),"")</f>
        <v/>
      </c>
      <c r="K186" s="113">
        <f>IFERROR(INDEX(تقييم_الأداء_النهائي,180),"")</f>
        <v/>
      </c>
      <c r="L186" s="50">
        <f>IFERROR(INDEX(تقييم_الأداء_التقدير,180),"")</f>
        <v/>
      </c>
    </row>
    <row r="187">
      <c r="A187" s="43">
        <f>IFERROR(INDEX('التدريب'!$A$3:$A$502,181),"")</f>
        <v/>
      </c>
      <c r="B187" s="43">
        <f>IFERROR(INDEX('التدريب'!$B$3:$B$502,181),"")</f>
        <v/>
      </c>
      <c r="C187" s="43">
        <f>IFERROR(INDEX('التدريب'!$C$3:$C$502,181),"")</f>
        <v/>
      </c>
      <c r="D187" s="43">
        <f>IFERROR(INDEX('التدريب'!$D$3:$D$502,181),"")</f>
        <v/>
      </c>
      <c r="E187" s="118">
        <f>IFERROR(INDEX('التدريب'!$E$3:$E$502,181),"")</f>
        <v/>
      </c>
      <c r="F187" s="118">
        <f>IFERROR(INDEX('التدريب'!$F$3:$F$502,181),"")</f>
        <v/>
      </c>
      <c r="G187" s="60">
        <f>IFERROR(INDEX('التدريب'!$G$3:$G$502,181),"")</f>
        <v/>
      </c>
      <c r="H187" s="43">
        <f>IFERROR(INDEX('التدريب'!$H$3:$H$502,181),"")</f>
        <v/>
      </c>
      <c r="I187" s="43">
        <f>IFERROR(INDEX('التدريب'!$I$3:$I$502,181),"")</f>
        <v/>
      </c>
      <c r="J187" s="43">
        <f>IFERROR(INDEX(تقييم_الأداء_الفترة,181),"")</f>
        <v/>
      </c>
      <c r="K187" s="111">
        <f>IFERROR(INDEX(تقييم_الأداء_النهائي,181),"")</f>
        <v/>
      </c>
      <c r="L187" s="43">
        <f>IFERROR(INDEX(تقييم_الأداء_التقدير,181),"")</f>
        <v/>
      </c>
    </row>
    <row r="188">
      <c r="A188" s="50">
        <f>IFERROR(INDEX('التدريب'!$A$3:$A$502,182),"")</f>
        <v/>
      </c>
      <c r="B188" s="50">
        <f>IFERROR(INDEX('التدريب'!$B$3:$B$502,182),"")</f>
        <v/>
      </c>
      <c r="C188" s="50">
        <f>IFERROR(INDEX('التدريب'!$C$3:$C$502,182),"")</f>
        <v/>
      </c>
      <c r="D188" s="50">
        <f>IFERROR(INDEX('التدريب'!$D$3:$D$502,182),"")</f>
        <v/>
      </c>
      <c r="E188" s="119">
        <f>IFERROR(INDEX('التدريب'!$E$3:$E$502,182),"")</f>
        <v/>
      </c>
      <c r="F188" s="119">
        <f>IFERROR(INDEX('التدريب'!$F$3:$F$502,182),"")</f>
        <v/>
      </c>
      <c r="G188" s="63">
        <f>IFERROR(INDEX('التدريب'!$G$3:$G$502,182),"")</f>
        <v/>
      </c>
      <c r="H188" s="50">
        <f>IFERROR(INDEX('التدريب'!$H$3:$H$502,182),"")</f>
        <v/>
      </c>
      <c r="I188" s="50">
        <f>IFERROR(INDEX('التدريب'!$I$3:$I$502,182),"")</f>
        <v/>
      </c>
      <c r="J188" s="50">
        <f>IFERROR(INDEX(تقييم_الأداء_الفترة,182),"")</f>
        <v/>
      </c>
      <c r="K188" s="113">
        <f>IFERROR(INDEX(تقييم_الأداء_النهائي,182),"")</f>
        <v/>
      </c>
      <c r="L188" s="50">
        <f>IFERROR(INDEX(تقييم_الأداء_التقدير,182),"")</f>
        <v/>
      </c>
    </row>
    <row r="189">
      <c r="A189" s="43">
        <f>IFERROR(INDEX('التدريب'!$A$3:$A$502,183),"")</f>
        <v/>
      </c>
      <c r="B189" s="43">
        <f>IFERROR(INDEX('التدريب'!$B$3:$B$502,183),"")</f>
        <v/>
      </c>
      <c r="C189" s="43">
        <f>IFERROR(INDEX('التدريب'!$C$3:$C$502,183),"")</f>
        <v/>
      </c>
      <c r="D189" s="43">
        <f>IFERROR(INDEX('التدريب'!$D$3:$D$502,183),"")</f>
        <v/>
      </c>
      <c r="E189" s="118">
        <f>IFERROR(INDEX('التدريب'!$E$3:$E$502,183),"")</f>
        <v/>
      </c>
      <c r="F189" s="118">
        <f>IFERROR(INDEX('التدريب'!$F$3:$F$502,183),"")</f>
        <v/>
      </c>
      <c r="G189" s="60">
        <f>IFERROR(INDEX('التدريب'!$G$3:$G$502,183),"")</f>
        <v/>
      </c>
      <c r="H189" s="43">
        <f>IFERROR(INDEX('التدريب'!$H$3:$H$502,183),"")</f>
        <v/>
      </c>
      <c r="I189" s="43">
        <f>IFERROR(INDEX('التدريب'!$I$3:$I$502,183),"")</f>
        <v/>
      </c>
      <c r="J189" s="43">
        <f>IFERROR(INDEX(تقييم_الأداء_الفترة,183),"")</f>
        <v/>
      </c>
      <c r="K189" s="111">
        <f>IFERROR(INDEX(تقييم_الأداء_النهائي,183),"")</f>
        <v/>
      </c>
      <c r="L189" s="43">
        <f>IFERROR(INDEX(تقييم_الأداء_التقدير,183),"")</f>
        <v/>
      </c>
    </row>
    <row r="190">
      <c r="A190" s="50">
        <f>IFERROR(INDEX('التدريب'!$A$3:$A$502,184),"")</f>
        <v/>
      </c>
      <c r="B190" s="50">
        <f>IFERROR(INDEX('التدريب'!$B$3:$B$502,184),"")</f>
        <v/>
      </c>
      <c r="C190" s="50">
        <f>IFERROR(INDEX('التدريب'!$C$3:$C$502,184),"")</f>
        <v/>
      </c>
      <c r="D190" s="50">
        <f>IFERROR(INDEX('التدريب'!$D$3:$D$502,184),"")</f>
        <v/>
      </c>
      <c r="E190" s="119">
        <f>IFERROR(INDEX('التدريب'!$E$3:$E$502,184),"")</f>
        <v/>
      </c>
      <c r="F190" s="119">
        <f>IFERROR(INDEX('التدريب'!$F$3:$F$502,184),"")</f>
        <v/>
      </c>
      <c r="G190" s="63">
        <f>IFERROR(INDEX('التدريب'!$G$3:$G$502,184),"")</f>
        <v/>
      </c>
      <c r="H190" s="50">
        <f>IFERROR(INDEX('التدريب'!$H$3:$H$502,184),"")</f>
        <v/>
      </c>
      <c r="I190" s="50">
        <f>IFERROR(INDEX('التدريب'!$I$3:$I$502,184),"")</f>
        <v/>
      </c>
      <c r="J190" s="50">
        <f>IFERROR(INDEX(تقييم_الأداء_الفترة,184),"")</f>
        <v/>
      </c>
      <c r="K190" s="113">
        <f>IFERROR(INDEX(تقييم_الأداء_النهائي,184),"")</f>
        <v/>
      </c>
      <c r="L190" s="50">
        <f>IFERROR(INDEX(تقييم_الأداء_التقدير,184),"")</f>
        <v/>
      </c>
    </row>
    <row r="191">
      <c r="A191" s="43">
        <f>IFERROR(INDEX('التدريب'!$A$3:$A$502,185),"")</f>
        <v/>
      </c>
      <c r="B191" s="43">
        <f>IFERROR(INDEX('التدريب'!$B$3:$B$502,185),"")</f>
        <v/>
      </c>
      <c r="C191" s="43">
        <f>IFERROR(INDEX('التدريب'!$C$3:$C$502,185),"")</f>
        <v/>
      </c>
      <c r="D191" s="43">
        <f>IFERROR(INDEX('التدريب'!$D$3:$D$502,185),"")</f>
        <v/>
      </c>
      <c r="E191" s="118">
        <f>IFERROR(INDEX('التدريب'!$E$3:$E$502,185),"")</f>
        <v/>
      </c>
      <c r="F191" s="118">
        <f>IFERROR(INDEX('التدريب'!$F$3:$F$502,185),"")</f>
        <v/>
      </c>
      <c r="G191" s="60">
        <f>IFERROR(INDEX('التدريب'!$G$3:$G$502,185),"")</f>
        <v/>
      </c>
      <c r="H191" s="43">
        <f>IFERROR(INDEX('التدريب'!$H$3:$H$502,185),"")</f>
        <v/>
      </c>
      <c r="I191" s="43">
        <f>IFERROR(INDEX('التدريب'!$I$3:$I$502,185),"")</f>
        <v/>
      </c>
      <c r="J191" s="43">
        <f>IFERROR(INDEX(تقييم_الأداء_الفترة,185),"")</f>
        <v/>
      </c>
      <c r="K191" s="111">
        <f>IFERROR(INDEX(تقييم_الأداء_النهائي,185),"")</f>
        <v/>
      </c>
      <c r="L191" s="43">
        <f>IFERROR(INDEX(تقييم_الأداء_التقدير,185),"")</f>
        <v/>
      </c>
    </row>
    <row r="192">
      <c r="A192" s="50">
        <f>IFERROR(INDEX('التدريب'!$A$3:$A$502,186),"")</f>
        <v/>
      </c>
      <c r="B192" s="50">
        <f>IFERROR(INDEX('التدريب'!$B$3:$B$502,186),"")</f>
        <v/>
      </c>
      <c r="C192" s="50">
        <f>IFERROR(INDEX('التدريب'!$C$3:$C$502,186),"")</f>
        <v/>
      </c>
      <c r="D192" s="50">
        <f>IFERROR(INDEX('التدريب'!$D$3:$D$502,186),"")</f>
        <v/>
      </c>
      <c r="E192" s="119">
        <f>IFERROR(INDEX('التدريب'!$E$3:$E$502,186),"")</f>
        <v/>
      </c>
      <c r="F192" s="119">
        <f>IFERROR(INDEX('التدريب'!$F$3:$F$502,186),"")</f>
        <v/>
      </c>
      <c r="G192" s="63">
        <f>IFERROR(INDEX('التدريب'!$G$3:$G$502,186),"")</f>
        <v/>
      </c>
      <c r="H192" s="50">
        <f>IFERROR(INDEX('التدريب'!$H$3:$H$502,186),"")</f>
        <v/>
      </c>
      <c r="I192" s="50">
        <f>IFERROR(INDEX('التدريب'!$I$3:$I$502,186),"")</f>
        <v/>
      </c>
      <c r="J192" s="50">
        <f>IFERROR(INDEX(تقييم_الأداء_الفترة,186),"")</f>
        <v/>
      </c>
      <c r="K192" s="113">
        <f>IFERROR(INDEX(تقييم_الأداء_النهائي,186),"")</f>
        <v/>
      </c>
      <c r="L192" s="50">
        <f>IFERROR(INDEX(تقييم_الأداء_التقدير,186),"")</f>
        <v/>
      </c>
    </row>
    <row r="193">
      <c r="A193" s="43">
        <f>IFERROR(INDEX('التدريب'!$A$3:$A$502,187),"")</f>
        <v/>
      </c>
      <c r="B193" s="43">
        <f>IFERROR(INDEX('التدريب'!$B$3:$B$502,187),"")</f>
        <v/>
      </c>
      <c r="C193" s="43">
        <f>IFERROR(INDEX('التدريب'!$C$3:$C$502,187),"")</f>
        <v/>
      </c>
      <c r="D193" s="43">
        <f>IFERROR(INDEX('التدريب'!$D$3:$D$502,187),"")</f>
        <v/>
      </c>
      <c r="E193" s="118">
        <f>IFERROR(INDEX('التدريب'!$E$3:$E$502,187),"")</f>
        <v/>
      </c>
      <c r="F193" s="118">
        <f>IFERROR(INDEX('التدريب'!$F$3:$F$502,187),"")</f>
        <v/>
      </c>
      <c r="G193" s="60">
        <f>IFERROR(INDEX('التدريب'!$G$3:$G$502,187),"")</f>
        <v/>
      </c>
      <c r="H193" s="43">
        <f>IFERROR(INDEX('التدريب'!$H$3:$H$502,187),"")</f>
        <v/>
      </c>
      <c r="I193" s="43">
        <f>IFERROR(INDEX('التدريب'!$I$3:$I$502,187),"")</f>
        <v/>
      </c>
      <c r="J193" s="43">
        <f>IFERROR(INDEX(تقييم_الأداء_الفترة,187),"")</f>
        <v/>
      </c>
      <c r="K193" s="111">
        <f>IFERROR(INDEX(تقييم_الأداء_النهائي,187),"")</f>
        <v/>
      </c>
      <c r="L193" s="43">
        <f>IFERROR(INDEX(تقييم_الأداء_التقدير,187),"")</f>
        <v/>
      </c>
    </row>
    <row r="194">
      <c r="A194" s="50">
        <f>IFERROR(INDEX('التدريب'!$A$3:$A$502,188),"")</f>
        <v/>
      </c>
      <c r="B194" s="50">
        <f>IFERROR(INDEX('التدريب'!$B$3:$B$502,188),"")</f>
        <v/>
      </c>
      <c r="C194" s="50">
        <f>IFERROR(INDEX('التدريب'!$C$3:$C$502,188),"")</f>
        <v/>
      </c>
      <c r="D194" s="50">
        <f>IFERROR(INDEX('التدريب'!$D$3:$D$502,188),"")</f>
        <v/>
      </c>
      <c r="E194" s="119">
        <f>IFERROR(INDEX('التدريب'!$E$3:$E$502,188),"")</f>
        <v/>
      </c>
      <c r="F194" s="119">
        <f>IFERROR(INDEX('التدريب'!$F$3:$F$502,188),"")</f>
        <v/>
      </c>
      <c r="G194" s="63">
        <f>IFERROR(INDEX('التدريب'!$G$3:$G$502,188),"")</f>
        <v/>
      </c>
      <c r="H194" s="50">
        <f>IFERROR(INDEX('التدريب'!$H$3:$H$502,188),"")</f>
        <v/>
      </c>
      <c r="I194" s="50">
        <f>IFERROR(INDEX('التدريب'!$I$3:$I$502,188),"")</f>
        <v/>
      </c>
      <c r="J194" s="50">
        <f>IFERROR(INDEX(تقييم_الأداء_الفترة,188),"")</f>
        <v/>
      </c>
      <c r="K194" s="113">
        <f>IFERROR(INDEX(تقييم_الأداء_النهائي,188),"")</f>
        <v/>
      </c>
      <c r="L194" s="50">
        <f>IFERROR(INDEX(تقييم_الأداء_التقدير,188),"")</f>
        <v/>
      </c>
    </row>
    <row r="195">
      <c r="A195" s="43">
        <f>IFERROR(INDEX('التدريب'!$A$3:$A$502,189),"")</f>
        <v/>
      </c>
      <c r="B195" s="43">
        <f>IFERROR(INDEX('التدريب'!$B$3:$B$502,189),"")</f>
        <v/>
      </c>
      <c r="C195" s="43">
        <f>IFERROR(INDEX('التدريب'!$C$3:$C$502,189),"")</f>
        <v/>
      </c>
      <c r="D195" s="43">
        <f>IFERROR(INDEX('التدريب'!$D$3:$D$502,189),"")</f>
        <v/>
      </c>
      <c r="E195" s="118">
        <f>IFERROR(INDEX('التدريب'!$E$3:$E$502,189),"")</f>
        <v/>
      </c>
      <c r="F195" s="118">
        <f>IFERROR(INDEX('التدريب'!$F$3:$F$502,189),"")</f>
        <v/>
      </c>
      <c r="G195" s="60">
        <f>IFERROR(INDEX('التدريب'!$G$3:$G$502,189),"")</f>
        <v/>
      </c>
      <c r="H195" s="43">
        <f>IFERROR(INDEX('التدريب'!$H$3:$H$502,189),"")</f>
        <v/>
      </c>
      <c r="I195" s="43">
        <f>IFERROR(INDEX('التدريب'!$I$3:$I$502,189),"")</f>
        <v/>
      </c>
      <c r="J195" s="43">
        <f>IFERROR(INDEX(تقييم_الأداء_الفترة,189),"")</f>
        <v/>
      </c>
      <c r="K195" s="111">
        <f>IFERROR(INDEX(تقييم_الأداء_النهائي,189),"")</f>
        <v/>
      </c>
      <c r="L195" s="43">
        <f>IFERROR(INDEX(تقييم_الأداء_التقدير,189),"")</f>
        <v/>
      </c>
    </row>
    <row r="196">
      <c r="A196" s="50">
        <f>IFERROR(INDEX('التدريب'!$A$3:$A$502,190),"")</f>
        <v/>
      </c>
      <c r="B196" s="50">
        <f>IFERROR(INDEX('التدريب'!$B$3:$B$502,190),"")</f>
        <v/>
      </c>
      <c r="C196" s="50">
        <f>IFERROR(INDEX('التدريب'!$C$3:$C$502,190),"")</f>
        <v/>
      </c>
      <c r="D196" s="50">
        <f>IFERROR(INDEX('التدريب'!$D$3:$D$502,190),"")</f>
        <v/>
      </c>
      <c r="E196" s="119">
        <f>IFERROR(INDEX('التدريب'!$E$3:$E$502,190),"")</f>
        <v/>
      </c>
      <c r="F196" s="119">
        <f>IFERROR(INDEX('التدريب'!$F$3:$F$502,190),"")</f>
        <v/>
      </c>
      <c r="G196" s="63">
        <f>IFERROR(INDEX('التدريب'!$G$3:$G$502,190),"")</f>
        <v/>
      </c>
      <c r="H196" s="50">
        <f>IFERROR(INDEX('التدريب'!$H$3:$H$502,190),"")</f>
        <v/>
      </c>
      <c r="I196" s="50">
        <f>IFERROR(INDEX('التدريب'!$I$3:$I$502,190),"")</f>
        <v/>
      </c>
      <c r="J196" s="50">
        <f>IFERROR(INDEX(تقييم_الأداء_الفترة,190),"")</f>
        <v/>
      </c>
      <c r="K196" s="113">
        <f>IFERROR(INDEX(تقييم_الأداء_النهائي,190),"")</f>
        <v/>
      </c>
      <c r="L196" s="50">
        <f>IFERROR(INDEX(تقييم_الأداء_التقدير,190),"")</f>
        <v/>
      </c>
    </row>
    <row r="197">
      <c r="A197" s="43">
        <f>IFERROR(INDEX('التدريب'!$A$3:$A$502,191),"")</f>
        <v/>
      </c>
      <c r="B197" s="43">
        <f>IFERROR(INDEX('التدريب'!$B$3:$B$502,191),"")</f>
        <v/>
      </c>
      <c r="C197" s="43">
        <f>IFERROR(INDEX('التدريب'!$C$3:$C$502,191),"")</f>
        <v/>
      </c>
      <c r="D197" s="43">
        <f>IFERROR(INDEX('التدريب'!$D$3:$D$502,191),"")</f>
        <v/>
      </c>
      <c r="E197" s="118">
        <f>IFERROR(INDEX('التدريب'!$E$3:$E$502,191),"")</f>
        <v/>
      </c>
      <c r="F197" s="118">
        <f>IFERROR(INDEX('التدريب'!$F$3:$F$502,191),"")</f>
        <v/>
      </c>
      <c r="G197" s="60">
        <f>IFERROR(INDEX('التدريب'!$G$3:$G$502,191),"")</f>
        <v/>
      </c>
      <c r="H197" s="43">
        <f>IFERROR(INDEX('التدريب'!$H$3:$H$502,191),"")</f>
        <v/>
      </c>
      <c r="I197" s="43">
        <f>IFERROR(INDEX('التدريب'!$I$3:$I$502,191),"")</f>
        <v/>
      </c>
      <c r="J197" s="43">
        <f>IFERROR(INDEX(تقييم_الأداء_الفترة,191),"")</f>
        <v/>
      </c>
      <c r="K197" s="111">
        <f>IFERROR(INDEX(تقييم_الأداء_النهائي,191),"")</f>
        <v/>
      </c>
      <c r="L197" s="43">
        <f>IFERROR(INDEX(تقييم_الأداء_التقدير,191),"")</f>
        <v/>
      </c>
    </row>
    <row r="198">
      <c r="A198" s="50">
        <f>IFERROR(INDEX('التدريب'!$A$3:$A$502,192),"")</f>
        <v/>
      </c>
      <c r="B198" s="50">
        <f>IFERROR(INDEX('التدريب'!$B$3:$B$502,192),"")</f>
        <v/>
      </c>
      <c r="C198" s="50">
        <f>IFERROR(INDEX('التدريب'!$C$3:$C$502,192),"")</f>
        <v/>
      </c>
      <c r="D198" s="50">
        <f>IFERROR(INDEX('التدريب'!$D$3:$D$502,192),"")</f>
        <v/>
      </c>
      <c r="E198" s="119">
        <f>IFERROR(INDEX('التدريب'!$E$3:$E$502,192),"")</f>
        <v/>
      </c>
      <c r="F198" s="119">
        <f>IFERROR(INDEX('التدريب'!$F$3:$F$502,192),"")</f>
        <v/>
      </c>
      <c r="G198" s="63">
        <f>IFERROR(INDEX('التدريب'!$G$3:$G$502,192),"")</f>
        <v/>
      </c>
      <c r="H198" s="50">
        <f>IFERROR(INDEX('التدريب'!$H$3:$H$502,192),"")</f>
        <v/>
      </c>
      <c r="I198" s="50">
        <f>IFERROR(INDEX('التدريب'!$I$3:$I$502,192),"")</f>
        <v/>
      </c>
      <c r="J198" s="50">
        <f>IFERROR(INDEX(تقييم_الأداء_الفترة,192),"")</f>
        <v/>
      </c>
      <c r="K198" s="113">
        <f>IFERROR(INDEX(تقييم_الأداء_النهائي,192),"")</f>
        <v/>
      </c>
      <c r="L198" s="50">
        <f>IFERROR(INDEX(تقييم_الأداء_التقدير,192),"")</f>
        <v/>
      </c>
    </row>
    <row r="199">
      <c r="A199" s="43">
        <f>IFERROR(INDEX('التدريب'!$A$3:$A$502,193),"")</f>
        <v/>
      </c>
      <c r="B199" s="43">
        <f>IFERROR(INDEX('التدريب'!$B$3:$B$502,193),"")</f>
        <v/>
      </c>
      <c r="C199" s="43">
        <f>IFERROR(INDEX('التدريب'!$C$3:$C$502,193),"")</f>
        <v/>
      </c>
      <c r="D199" s="43">
        <f>IFERROR(INDEX('التدريب'!$D$3:$D$502,193),"")</f>
        <v/>
      </c>
      <c r="E199" s="118">
        <f>IFERROR(INDEX('التدريب'!$E$3:$E$502,193),"")</f>
        <v/>
      </c>
      <c r="F199" s="118">
        <f>IFERROR(INDEX('التدريب'!$F$3:$F$502,193),"")</f>
        <v/>
      </c>
      <c r="G199" s="60">
        <f>IFERROR(INDEX('التدريب'!$G$3:$G$502,193),"")</f>
        <v/>
      </c>
      <c r="H199" s="43">
        <f>IFERROR(INDEX('التدريب'!$H$3:$H$502,193),"")</f>
        <v/>
      </c>
      <c r="I199" s="43">
        <f>IFERROR(INDEX('التدريب'!$I$3:$I$502,193),"")</f>
        <v/>
      </c>
      <c r="J199" s="43">
        <f>IFERROR(INDEX(تقييم_الأداء_الفترة,193),"")</f>
        <v/>
      </c>
      <c r="K199" s="111">
        <f>IFERROR(INDEX(تقييم_الأداء_النهائي,193),"")</f>
        <v/>
      </c>
      <c r="L199" s="43">
        <f>IFERROR(INDEX(تقييم_الأداء_التقدير,193),"")</f>
        <v/>
      </c>
    </row>
    <row r="200">
      <c r="A200" s="50">
        <f>IFERROR(INDEX('التدريب'!$A$3:$A$502,194),"")</f>
        <v/>
      </c>
      <c r="B200" s="50">
        <f>IFERROR(INDEX('التدريب'!$B$3:$B$502,194),"")</f>
        <v/>
      </c>
      <c r="C200" s="50">
        <f>IFERROR(INDEX('التدريب'!$C$3:$C$502,194),"")</f>
        <v/>
      </c>
      <c r="D200" s="50">
        <f>IFERROR(INDEX('التدريب'!$D$3:$D$502,194),"")</f>
        <v/>
      </c>
      <c r="E200" s="119">
        <f>IFERROR(INDEX('التدريب'!$E$3:$E$502,194),"")</f>
        <v/>
      </c>
      <c r="F200" s="119">
        <f>IFERROR(INDEX('التدريب'!$F$3:$F$502,194),"")</f>
        <v/>
      </c>
      <c r="G200" s="63">
        <f>IFERROR(INDEX('التدريب'!$G$3:$G$502,194),"")</f>
        <v/>
      </c>
      <c r="H200" s="50">
        <f>IFERROR(INDEX('التدريب'!$H$3:$H$502,194),"")</f>
        <v/>
      </c>
      <c r="I200" s="50">
        <f>IFERROR(INDEX('التدريب'!$I$3:$I$502,194),"")</f>
        <v/>
      </c>
      <c r="J200" s="50">
        <f>IFERROR(INDEX(تقييم_الأداء_الفترة,194),"")</f>
        <v/>
      </c>
      <c r="K200" s="113">
        <f>IFERROR(INDEX(تقييم_الأداء_النهائي,194),"")</f>
        <v/>
      </c>
      <c r="L200" s="50">
        <f>IFERROR(INDEX(تقييم_الأداء_التقدير,194),"")</f>
        <v/>
      </c>
    </row>
    <row r="201">
      <c r="A201" s="43">
        <f>IFERROR(INDEX('التدريب'!$A$3:$A$502,195),"")</f>
        <v/>
      </c>
      <c r="B201" s="43">
        <f>IFERROR(INDEX('التدريب'!$B$3:$B$502,195),"")</f>
        <v/>
      </c>
      <c r="C201" s="43">
        <f>IFERROR(INDEX('التدريب'!$C$3:$C$502,195),"")</f>
        <v/>
      </c>
      <c r="D201" s="43">
        <f>IFERROR(INDEX('التدريب'!$D$3:$D$502,195),"")</f>
        <v/>
      </c>
      <c r="E201" s="118">
        <f>IFERROR(INDEX('التدريب'!$E$3:$E$502,195),"")</f>
        <v/>
      </c>
      <c r="F201" s="118">
        <f>IFERROR(INDEX('التدريب'!$F$3:$F$502,195),"")</f>
        <v/>
      </c>
      <c r="G201" s="60">
        <f>IFERROR(INDEX('التدريب'!$G$3:$G$502,195),"")</f>
        <v/>
      </c>
      <c r="H201" s="43">
        <f>IFERROR(INDEX('التدريب'!$H$3:$H$502,195),"")</f>
        <v/>
      </c>
      <c r="I201" s="43">
        <f>IFERROR(INDEX('التدريب'!$I$3:$I$502,195),"")</f>
        <v/>
      </c>
      <c r="J201" s="43">
        <f>IFERROR(INDEX(تقييم_الأداء_الفترة,195),"")</f>
        <v/>
      </c>
      <c r="K201" s="111">
        <f>IFERROR(INDEX(تقييم_الأداء_النهائي,195),"")</f>
        <v/>
      </c>
      <c r="L201" s="43">
        <f>IFERROR(INDEX(تقييم_الأداء_التقدير,195),"")</f>
        <v/>
      </c>
    </row>
    <row r="202">
      <c r="A202" s="50">
        <f>IFERROR(INDEX('التدريب'!$A$3:$A$502,196),"")</f>
        <v/>
      </c>
      <c r="B202" s="50">
        <f>IFERROR(INDEX('التدريب'!$B$3:$B$502,196),"")</f>
        <v/>
      </c>
      <c r="C202" s="50">
        <f>IFERROR(INDEX('التدريب'!$C$3:$C$502,196),"")</f>
        <v/>
      </c>
      <c r="D202" s="50">
        <f>IFERROR(INDEX('التدريب'!$D$3:$D$502,196),"")</f>
        <v/>
      </c>
      <c r="E202" s="119">
        <f>IFERROR(INDEX('التدريب'!$E$3:$E$502,196),"")</f>
        <v/>
      </c>
      <c r="F202" s="119">
        <f>IFERROR(INDEX('التدريب'!$F$3:$F$502,196),"")</f>
        <v/>
      </c>
      <c r="G202" s="63">
        <f>IFERROR(INDEX('التدريب'!$G$3:$G$502,196),"")</f>
        <v/>
      </c>
      <c r="H202" s="50">
        <f>IFERROR(INDEX('التدريب'!$H$3:$H$502,196),"")</f>
        <v/>
      </c>
      <c r="I202" s="50">
        <f>IFERROR(INDEX('التدريب'!$I$3:$I$502,196),"")</f>
        <v/>
      </c>
      <c r="J202" s="50">
        <f>IFERROR(INDEX(تقييم_الأداء_الفترة,196),"")</f>
        <v/>
      </c>
      <c r="K202" s="113">
        <f>IFERROR(INDEX(تقييم_الأداء_النهائي,196),"")</f>
        <v/>
      </c>
      <c r="L202" s="50">
        <f>IFERROR(INDEX(تقييم_الأداء_التقدير,196),"")</f>
        <v/>
      </c>
    </row>
    <row r="203">
      <c r="A203" s="43">
        <f>IFERROR(INDEX('التدريب'!$A$3:$A$502,197),"")</f>
        <v/>
      </c>
      <c r="B203" s="43">
        <f>IFERROR(INDEX('التدريب'!$B$3:$B$502,197),"")</f>
        <v/>
      </c>
      <c r="C203" s="43">
        <f>IFERROR(INDEX('التدريب'!$C$3:$C$502,197),"")</f>
        <v/>
      </c>
      <c r="D203" s="43">
        <f>IFERROR(INDEX('التدريب'!$D$3:$D$502,197),"")</f>
        <v/>
      </c>
      <c r="E203" s="118">
        <f>IFERROR(INDEX('التدريب'!$E$3:$E$502,197),"")</f>
        <v/>
      </c>
      <c r="F203" s="118">
        <f>IFERROR(INDEX('التدريب'!$F$3:$F$502,197),"")</f>
        <v/>
      </c>
      <c r="G203" s="60">
        <f>IFERROR(INDEX('التدريب'!$G$3:$G$502,197),"")</f>
        <v/>
      </c>
      <c r="H203" s="43">
        <f>IFERROR(INDEX('التدريب'!$H$3:$H$502,197),"")</f>
        <v/>
      </c>
      <c r="I203" s="43">
        <f>IFERROR(INDEX('التدريب'!$I$3:$I$502,197),"")</f>
        <v/>
      </c>
      <c r="J203" s="43">
        <f>IFERROR(INDEX(تقييم_الأداء_الفترة,197),"")</f>
        <v/>
      </c>
      <c r="K203" s="111">
        <f>IFERROR(INDEX(تقييم_الأداء_النهائي,197),"")</f>
        <v/>
      </c>
      <c r="L203" s="43">
        <f>IFERROR(INDEX(تقييم_الأداء_التقدير,197),"")</f>
        <v/>
      </c>
    </row>
    <row r="204">
      <c r="A204" s="50">
        <f>IFERROR(INDEX('التدريب'!$A$3:$A$502,198),"")</f>
        <v/>
      </c>
      <c r="B204" s="50">
        <f>IFERROR(INDEX('التدريب'!$B$3:$B$502,198),"")</f>
        <v/>
      </c>
      <c r="C204" s="50">
        <f>IFERROR(INDEX('التدريب'!$C$3:$C$502,198),"")</f>
        <v/>
      </c>
      <c r="D204" s="50">
        <f>IFERROR(INDEX('التدريب'!$D$3:$D$502,198),"")</f>
        <v/>
      </c>
      <c r="E204" s="119">
        <f>IFERROR(INDEX('التدريب'!$E$3:$E$502,198),"")</f>
        <v/>
      </c>
      <c r="F204" s="119">
        <f>IFERROR(INDEX('التدريب'!$F$3:$F$502,198),"")</f>
        <v/>
      </c>
      <c r="G204" s="63">
        <f>IFERROR(INDEX('التدريب'!$G$3:$G$502,198),"")</f>
        <v/>
      </c>
      <c r="H204" s="50">
        <f>IFERROR(INDEX('التدريب'!$H$3:$H$502,198),"")</f>
        <v/>
      </c>
      <c r="I204" s="50">
        <f>IFERROR(INDEX('التدريب'!$I$3:$I$502,198),"")</f>
        <v/>
      </c>
      <c r="J204" s="50">
        <f>IFERROR(INDEX(تقييم_الأداء_الفترة,198),"")</f>
        <v/>
      </c>
      <c r="K204" s="113">
        <f>IFERROR(INDEX(تقييم_الأداء_النهائي,198),"")</f>
        <v/>
      </c>
      <c r="L204" s="50">
        <f>IFERROR(INDEX(تقييم_الأداء_التقدير,198),"")</f>
        <v/>
      </c>
    </row>
    <row r="205">
      <c r="A205" s="43">
        <f>IFERROR(INDEX('التدريب'!$A$3:$A$502,199),"")</f>
        <v/>
      </c>
      <c r="B205" s="43">
        <f>IFERROR(INDEX('التدريب'!$B$3:$B$502,199),"")</f>
        <v/>
      </c>
      <c r="C205" s="43">
        <f>IFERROR(INDEX('التدريب'!$C$3:$C$502,199),"")</f>
        <v/>
      </c>
      <c r="D205" s="43">
        <f>IFERROR(INDEX('التدريب'!$D$3:$D$502,199),"")</f>
        <v/>
      </c>
      <c r="E205" s="118">
        <f>IFERROR(INDEX('التدريب'!$E$3:$E$502,199),"")</f>
        <v/>
      </c>
      <c r="F205" s="118">
        <f>IFERROR(INDEX('التدريب'!$F$3:$F$502,199),"")</f>
        <v/>
      </c>
      <c r="G205" s="60">
        <f>IFERROR(INDEX('التدريب'!$G$3:$G$502,199),"")</f>
        <v/>
      </c>
      <c r="H205" s="43">
        <f>IFERROR(INDEX('التدريب'!$H$3:$H$502,199),"")</f>
        <v/>
      </c>
      <c r="I205" s="43">
        <f>IFERROR(INDEX('التدريب'!$I$3:$I$502,199),"")</f>
        <v/>
      </c>
      <c r="J205" s="43">
        <f>IFERROR(INDEX(تقييم_الأداء_الفترة,199),"")</f>
        <v/>
      </c>
      <c r="K205" s="111">
        <f>IFERROR(INDEX(تقييم_الأداء_النهائي,199),"")</f>
        <v/>
      </c>
      <c r="L205" s="43">
        <f>IFERROR(INDEX(تقييم_الأداء_التقدير,199),"")</f>
        <v/>
      </c>
    </row>
    <row r="206">
      <c r="A206" s="50">
        <f>IFERROR(INDEX('التدريب'!$A$3:$A$502,200),"")</f>
        <v/>
      </c>
      <c r="B206" s="50">
        <f>IFERROR(INDEX('التدريب'!$B$3:$B$502,200),"")</f>
        <v/>
      </c>
      <c r="C206" s="50">
        <f>IFERROR(INDEX('التدريب'!$C$3:$C$502,200),"")</f>
        <v/>
      </c>
      <c r="D206" s="50">
        <f>IFERROR(INDEX('التدريب'!$D$3:$D$502,200),"")</f>
        <v/>
      </c>
      <c r="E206" s="119">
        <f>IFERROR(INDEX('التدريب'!$E$3:$E$502,200),"")</f>
        <v/>
      </c>
      <c r="F206" s="119">
        <f>IFERROR(INDEX('التدريب'!$F$3:$F$502,200),"")</f>
        <v/>
      </c>
      <c r="G206" s="63">
        <f>IFERROR(INDEX('التدريب'!$G$3:$G$502,200),"")</f>
        <v/>
      </c>
      <c r="H206" s="50">
        <f>IFERROR(INDEX('التدريب'!$H$3:$H$502,200),"")</f>
        <v/>
      </c>
      <c r="I206" s="50">
        <f>IFERROR(INDEX('التدريب'!$I$3:$I$502,200),"")</f>
        <v/>
      </c>
      <c r="J206" s="50">
        <f>IFERROR(INDEX(تقييم_الأداء_الفترة,200),"")</f>
        <v/>
      </c>
      <c r="K206" s="113">
        <f>IFERROR(INDEX(تقييم_الأداء_النهائي,200),"")</f>
        <v/>
      </c>
      <c r="L206" s="50">
        <f>IFERROR(INDEX(تقييم_الأداء_التقدير,200),"")</f>
        <v/>
      </c>
    </row>
    <row r="207">
      <c r="A207" s="71" t="inlineStr">
        <is>
          <t>الإجمالي</t>
        </is>
      </c>
      <c r="B207" s="72" t="n"/>
      <c r="C207" s="72" t="n"/>
      <c r="D207" s="72" t="n"/>
      <c r="E207" s="72" t="n"/>
      <c r="F207" s="72" t="n"/>
      <c r="G207" s="73">
        <f>SUM(G7:G206)</f>
        <v/>
      </c>
      <c r="H207" s="72" t="n"/>
      <c r="I207" s="72" t="n"/>
      <c r="J207" s="72" t="n"/>
      <c r="K207" s="72" t="n"/>
      <c r="L207" s="7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05"/>
  <mergeCells count="5">
    <mergeCell ref="A2:L2"/>
    <mergeCell ref="A1:L1"/>
    <mergeCell ref="G3:L3"/>
    <mergeCell ref="A3:F3"/>
    <mergeCell ref="A207"/>
  </mergeCells>
  <pageMargins left="0.75" right="0.75" top="1" bottom="1" header="0.5" footer="0.5"/>
  <pageSetup orientation="landscape" paperSize="9" fitToHeight="0" fitToWidth="1"/>
  <headerFooter>
    <oddHeader/>
    <oddFooter>&amp;L&amp;8 نظام إدارة الموارد البشرية&amp;R&amp;8 صفحة &amp;P من &amp;N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K206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3" customWidth="1" min="4" max="4"/>
    <col width="22" customWidth="1" min="5" max="5"/>
    <col width="13" customWidth="1" min="6" max="6"/>
    <col width="14" customWidth="1" min="7" max="7"/>
    <col width="13" customWidth="1" min="8" max="8"/>
    <col width="14" customWidth="1" min="9" max="9"/>
    <col width="14" customWidth="1" min="10" max="10"/>
    <col width="22" customWidth="1" min="11" max="11"/>
  </cols>
  <sheetData>
    <row r="1" ht="30" customHeight="1">
      <c r="A1" s="1">
        <f>اسم_المؤسسة</f>
        <v/>
      </c>
    </row>
    <row r="2" ht="26" customHeight="1">
      <c r="A2" s="65" t="inlineStr">
        <is>
          <t>تقرير العهد والأصول</t>
        </is>
      </c>
    </row>
    <row r="3">
      <c r="A3" s="66">
        <f>"تاريخ إعداد التقرير: "&amp;TEXT(TODAY(),"yyyy-mm-dd")</f>
        <v/>
      </c>
      <c r="F3" s="6">
        <f>"السنة المالية: "&amp;السنة_المالية</f>
        <v/>
      </c>
    </row>
    <row r="6" ht="34" customHeight="1">
      <c r="A6" s="67" t="inlineStr">
        <is>
          <t>رقم العهدة</t>
        </is>
      </c>
      <c r="B6" s="67" t="inlineStr">
        <is>
          <t>وصف الأصل</t>
        </is>
      </c>
      <c r="C6" s="67" t="inlineStr">
        <is>
          <t>الرقم التسلسلي</t>
        </is>
      </c>
      <c r="D6" s="67" t="inlineStr">
        <is>
          <t>الرقم الوظيفي</t>
        </is>
      </c>
      <c r="E6" s="67" t="inlineStr">
        <is>
          <t>اسم الموظف</t>
        </is>
      </c>
      <c r="F6" s="67" t="inlineStr">
        <is>
          <t>تاريخ التسليم</t>
        </is>
      </c>
      <c r="G6" s="67" t="inlineStr">
        <is>
          <t>الحالة عند التسليم</t>
        </is>
      </c>
      <c r="H6" s="67" t="inlineStr">
        <is>
          <t>تاريخ الإرجاع</t>
        </is>
      </c>
      <c r="I6" s="67" t="inlineStr">
        <is>
          <t>الحالة عند الإرجاع</t>
        </is>
      </c>
      <c r="J6" s="67" t="inlineStr">
        <is>
          <t>حالة العهدة</t>
        </is>
      </c>
      <c r="K6" s="67" t="inlineStr">
        <is>
          <t>الملاحظات</t>
        </is>
      </c>
    </row>
    <row r="7">
      <c r="A7" s="43">
        <f>IFERROR(INDEX('العهد'!$A$3:$A$502,1),"")</f>
        <v/>
      </c>
      <c r="B7" s="43">
        <f>IFERROR(INDEX('العهد'!$B$3:$B$502,1),"")</f>
        <v/>
      </c>
      <c r="C7" s="43">
        <f>IFERROR(INDEX('العهد'!$C$3:$C$502,1),"")</f>
        <v/>
      </c>
      <c r="D7" s="43">
        <f>IFERROR(INDEX('العهد'!$D$3:$D$502,1),"")</f>
        <v/>
      </c>
      <c r="E7" s="43">
        <f>IFERROR(INDEX('العهد'!$E$3:$E$502,1),"")</f>
        <v/>
      </c>
      <c r="F7" s="118">
        <f>IFERROR(INDEX('العهد'!$F$3:$F$502,1),"")</f>
        <v/>
      </c>
      <c r="G7" s="43">
        <f>IFERROR(INDEX('العهد'!$G$3:$G$502,1),"")</f>
        <v/>
      </c>
      <c r="H7" s="118">
        <f>IFERROR(INDEX('العهد'!$H$3:$H$502,1),"")</f>
        <v/>
      </c>
      <c r="I7" s="43">
        <f>IFERROR(INDEX('العهد'!$I$3:$I$502,1),"")</f>
        <v/>
      </c>
      <c r="J7" s="43">
        <f>IFERROR(INDEX('العهد'!$J$3:$J$502,1),"")</f>
        <v/>
      </c>
      <c r="K7" s="43">
        <f>IFERROR(INDEX('العهد'!$K$3:$K$502,1),"")</f>
        <v/>
      </c>
    </row>
    <row r="8">
      <c r="A8" s="50">
        <f>IFERROR(INDEX('العهد'!$A$3:$A$502,2),"")</f>
        <v/>
      </c>
      <c r="B8" s="50">
        <f>IFERROR(INDEX('العهد'!$B$3:$B$502,2),"")</f>
        <v/>
      </c>
      <c r="C8" s="50">
        <f>IFERROR(INDEX('العهد'!$C$3:$C$502,2),"")</f>
        <v/>
      </c>
      <c r="D8" s="50">
        <f>IFERROR(INDEX('العهد'!$D$3:$D$502,2),"")</f>
        <v/>
      </c>
      <c r="E8" s="50">
        <f>IFERROR(INDEX('العهد'!$E$3:$E$502,2),"")</f>
        <v/>
      </c>
      <c r="F8" s="119">
        <f>IFERROR(INDEX('العهد'!$F$3:$F$502,2),"")</f>
        <v/>
      </c>
      <c r="G8" s="50">
        <f>IFERROR(INDEX('العهد'!$G$3:$G$502,2),"")</f>
        <v/>
      </c>
      <c r="H8" s="119">
        <f>IFERROR(INDEX('العهد'!$H$3:$H$502,2),"")</f>
        <v/>
      </c>
      <c r="I8" s="50">
        <f>IFERROR(INDEX('العهد'!$I$3:$I$502,2),"")</f>
        <v/>
      </c>
      <c r="J8" s="50">
        <f>IFERROR(INDEX('العهد'!$J$3:$J$502,2),"")</f>
        <v/>
      </c>
      <c r="K8" s="50">
        <f>IFERROR(INDEX('العهد'!$K$3:$K$502,2),"")</f>
        <v/>
      </c>
    </row>
    <row r="9">
      <c r="A9" s="43">
        <f>IFERROR(INDEX('العهد'!$A$3:$A$502,3),"")</f>
        <v/>
      </c>
      <c r="B9" s="43">
        <f>IFERROR(INDEX('العهد'!$B$3:$B$502,3),"")</f>
        <v/>
      </c>
      <c r="C9" s="43">
        <f>IFERROR(INDEX('العهد'!$C$3:$C$502,3),"")</f>
        <v/>
      </c>
      <c r="D9" s="43">
        <f>IFERROR(INDEX('العهد'!$D$3:$D$502,3),"")</f>
        <v/>
      </c>
      <c r="E9" s="43">
        <f>IFERROR(INDEX('العهد'!$E$3:$E$502,3),"")</f>
        <v/>
      </c>
      <c r="F9" s="118">
        <f>IFERROR(INDEX('العهد'!$F$3:$F$502,3),"")</f>
        <v/>
      </c>
      <c r="G9" s="43">
        <f>IFERROR(INDEX('العهد'!$G$3:$G$502,3),"")</f>
        <v/>
      </c>
      <c r="H9" s="118">
        <f>IFERROR(INDEX('العهد'!$H$3:$H$502,3),"")</f>
        <v/>
      </c>
      <c r="I9" s="43">
        <f>IFERROR(INDEX('العهد'!$I$3:$I$502,3),"")</f>
        <v/>
      </c>
      <c r="J9" s="43">
        <f>IFERROR(INDEX('العهد'!$J$3:$J$502,3),"")</f>
        <v/>
      </c>
      <c r="K9" s="43">
        <f>IFERROR(INDEX('العهد'!$K$3:$K$502,3),"")</f>
        <v/>
      </c>
    </row>
    <row r="10">
      <c r="A10" s="50">
        <f>IFERROR(INDEX('العهد'!$A$3:$A$502,4),"")</f>
        <v/>
      </c>
      <c r="B10" s="50">
        <f>IFERROR(INDEX('العهد'!$B$3:$B$502,4),"")</f>
        <v/>
      </c>
      <c r="C10" s="50">
        <f>IFERROR(INDEX('العهد'!$C$3:$C$502,4),"")</f>
        <v/>
      </c>
      <c r="D10" s="50">
        <f>IFERROR(INDEX('العهد'!$D$3:$D$502,4),"")</f>
        <v/>
      </c>
      <c r="E10" s="50">
        <f>IFERROR(INDEX('العهد'!$E$3:$E$502,4),"")</f>
        <v/>
      </c>
      <c r="F10" s="119">
        <f>IFERROR(INDEX('العهد'!$F$3:$F$502,4),"")</f>
        <v/>
      </c>
      <c r="G10" s="50">
        <f>IFERROR(INDEX('العهد'!$G$3:$G$502,4),"")</f>
        <v/>
      </c>
      <c r="H10" s="119">
        <f>IFERROR(INDEX('العهد'!$H$3:$H$502,4),"")</f>
        <v/>
      </c>
      <c r="I10" s="50">
        <f>IFERROR(INDEX('العهد'!$I$3:$I$502,4),"")</f>
        <v/>
      </c>
      <c r="J10" s="50">
        <f>IFERROR(INDEX('العهد'!$J$3:$J$502,4),"")</f>
        <v/>
      </c>
      <c r="K10" s="50">
        <f>IFERROR(INDEX('العهد'!$K$3:$K$502,4),"")</f>
        <v/>
      </c>
    </row>
    <row r="11">
      <c r="A11" s="43">
        <f>IFERROR(INDEX('العهد'!$A$3:$A$502,5),"")</f>
        <v/>
      </c>
      <c r="B11" s="43">
        <f>IFERROR(INDEX('العهد'!$B$3:$B$502,5),"")</f>
        <v/>
      </c>
      <c r="C11" s="43">
        <f>IFERROR(INDEX('العهد'!$C$3:$C$502,5),"")</f>
        <v/>
      </c>
      <c r="D11" s="43">
        <f>IFERROR(INDEX('العهد'!$D$3:$D$502,5),"")</f>
        <v/>
      </c>
      <c r="E11" s="43">
        <f>IFERROR(INDEX('العهد'!$E$3:$E$502,5),"")</f>
        <v/>
      </c>
      <c r="F11" s="118">
        <f>IFERROR(INDEX('العهد'!$F$3:$F$502,5),"")</f>
        <v/>
      </c>
      <c r="G11" s="43">
        <f>IFERROR(INDEX('العهد'!$G$3:$G$502,5),"")</f>
        <v/>
      </c>
      <c r="H11" s="118">
        <f>IFERROR(INDEX('العهد'!$H$3:$H$502,5),"")</f>
        <v/>
      </c>
      <c r="I11" s="43">
        <f>IFERROR(INDEX('العهد'!$I$3:$I$502,5),"")</f>
        <v/>
      </c>
      <c r="J11" s="43">
        <f>IFERROR(INDEX('العهد'!$J$3:$J$502,5),"")</f>
        <v/>
      </c>
      <c r="K11" s="43">
        <f>IFERROR(INDEX('العهد'!$K$3:$K$502,5),"")</f>
        <v/>
      </c>
    </row>
    <row r="12">
      <c r="A12" s="50">
        <f>IFERROR(INDEX('العهد'!$A$3:$A$502,6),"")</f>
        <v/>
      </c>
      <c r="B12" s="50">
        <f>IFERROR(INDEX('العهد'!$B$3:$B$502,6),"")</f>
        <v/>
      </c>
      <c r="C12" s="50">
        <f>IFERROR(INDEX('العهد'!$C$3:$C$502,6),"")</f>
        <v/>
      </c>
      <c r="D12" s="50">
        <f>IFERROR(INDEX('العهد'!$D$3:$D$502,6),"")</f>
        <v/>
      </c>
      <c r="E12" s="50">
        <f>IFERROR(INDEX('العهد'!$E$3:$E$502,6),"")</f>
        <v/>
      </c>
      <c r="F12" s="119">
        <f>IFERROR(INDEX('العهد'!$F$3:$F$502,6),"")</f>
        <v/>
      </c>
      <c r="G12" s="50">
        <f>IFERROR(INDEX('العهد'!$G$3:$G$502,6),"")</f>
        <v/>
      </c>
      <c r="H12" s="119">
        <f>IFERROR(INDEX('العهد'!$H$3:$H$502,6),"")</f>
        <v/>
      </c>
      <c r="I12" s="50">
        <f>IFERROR(INDEX('العهد'!$I$3:$I$502,6),"")</f>
        <v/>
      </c>
      <c r="J12" s="50">
        <f>IFERROR(INDEX('العهد'!$J$3:$J$502,6),"")</f>
        <v/>
      </c>
      <c r="K12" s="50">
        <f>IFERROR(INDEX('العهد'!$K$3:$K$502,6),"")</f>
        <v/>
      </c>
    </row>
    <row r="13">
      <c r="A13" s="43">
        <f>IFERROR(INDEX('العهد'!$A$3:$A$502,7),"")</f>
        <v/>
      </c>
      <c r="B13" s="43">
        <f>IFERROR(INDEX('العهد'!$B$3:$B$502,7),"")</f>
        <v/>
      </c>
      <c r="C13" s="43">
        <f>IFERROR(INDEX('العهد'!$C$3:$C$502,7),"")</f>
        <v/>
      </c>
      <c r="D13" s="43">
        <f>IFERROR(INDEX('العهد'!$D$3:$D$502,7),"")</f>
        <v/>
      </c>
      <c r="E13" s="43">
        <f>IFERROR(INDEX('العهد'!$E$3:$E$502,7),"")</f>
        <v/>
      </c>
      <c r="F13" s="118">
        <f>IFERROR(INDEX('العهد'!$F$3:$F$502,7),"")</f>
        <v/>
      </c>
      <c r="G13" s="43">
        <f>IFERROR(INDEX('العهد'!$G$3:$G$502,7),"")</f>
        <v/>
      </c>
      <c r="H13" s="118">
        <f>IFERROR(INDEX('العهد'!$H$3:$H$502,7),"")</f>
        <v/>
      </c>
      <c r="I13" s="43">
        <f>IFERROR(INDEX('العهد'!$I$3:$I$502,7),"")</f>
        <v/>
      </c>
      <c r="J13" s="43">
        <f>IFERROR(INDEX('العهد'!$J$3:$J$502,7),"")</f>
        <v/>
      </c>
      <c r="K13" s="43">
        <f>IFERROR(INDEX('العهد'!$K$3:$K$502,7),"")</f>
        <v/>
      </c>
    </row>
    <row r="14">
      <c r="A14" s="50">
        <f>IFERROR(INDEX('العهد'!$A$3:$A$502,8),"")</f>
        <v/>
      </c>
      <c r="B14" s="50">
        <f>IFERROR(INDEX('العهد'!$B$3:$B$502,8),"")</f>
        <v/>
      </c>
      <c r="C14" s="50">
        <f>IFERROR(INDEX('العهد'!$C$3:$C$502,8),"")</f>
        <v/>
      </c>
      <c r="D14" s="50">
        <f>IFERROR(INDEX('العهد'!$D$3:$D$502,8),"")</f>
        <v/>
      </c>
      <c r="E14" s="50">
        <f>IFERROR(INDEX('العهد'!$E$3:$E$502,8),"")</f>
        <v/>
      </c>
      <c r="F14" s="119">
        <f>IFERROR(INDEX('العهد'!$F$3:$F$502,8),"")</f>
        <v/>
      </c>
      <c r="G14" s="50">
        <f>IFERROR(INDEX('العهد'!$G$3:$G$502,8),"")</f>
        <v/>
      </c>
      <c r="H14" s="119">
        <f>IFERROR(INDEX('العهد'!$H$3:$H$502,8),"")</f>
        <v/>
      </c>
      <c r="I14" s="50">
        <f>IFERROR(INDEX('العهد'!$I$3:$I$502,8),"")</f>
        <v/>
      </c>
      <c r="J14" s="50">
        <f>IFERROR(INDEX('العهد'!$J$3:$J$502,8),"")</f>
        <v/>
      </c>
      <c r="K14" s="50">
        <f>IFERROR(INDEX('العهد'!$K$3:$K$502,8),"")</f>
        <v/>
      </c>
    </row>
    <row r="15">
      <c r="A15" s="43">
        <f>IFERROR(INDEX('العهد'!$A$3:$A$502,9),"")</f>
        <v/>
      </c>
      <c r="B15" s="43">
        <f>IFERROR(INDEX('العهد'!$B$3:$B$502,9),"")</f>
        <v/>
      </c>
      <c r="C15" s="43">
        <f>IFERROR(INDEX('العهد'!$C$3:$C$502,9),"")</f>
        <v/>
      </c>
      <c r="D15" s="43">
        <f>IFERROR(INDEX('العهد'!$D$3:$D$502,9),"")</f>
        <v/>
      </c>
      <c r="E15" s="43">
        <f>IFERROR(INDEX('العهد'!$E$3:$E$502,9),"")</f>
        <v/>
      </c>
      <c r="F15" s="118">
        <f>IFERROR(INDEX('العهد'!$F$3:$F$502,9),"")</f>
        <v/>
      </c>
      <c r="G15" s="43">
        <f>IFERROR(INDEX('العهد'!$G$3:$G$502,9),"")</f>
        <v/>
      </c>
      <c r="H15" s="118">
        <f>IFERROR(INDEX('العهد'!$H$3:$H$502,9),"")</f>
        <v/>
      </c>
      <c r="I15" s="43">
        <f>IFERROR(INDEX('العهد'!$I$3:$I$502,9),"")</f>
        <v/>
      </c>
      <c r="J15" s="43">
        <f>IFERROR(INDEX('العهد'!$J$3:$J$502,9),"")</f>
        <v/>
      </c>
      <c r="K15" s="43">
        <f>IFERROR(INDEX('العهد'!$K$3:$K$502,9),"")</f>
        <v/>
      </c>
    </row>
    <row r="16">
      <c r="A16" s="50">
        <f>IFERROR(INDEX('العهد'!$A$3:$A$502,10),"")</f>
        <v/>
      </c>
      <c r="B16" s="50">
        <f>IFERROR(INDEX('العهد'!$B$3:$B$502,10),"")</f>
        <v/>
      </c>
      <c r="C16" s="50">
        <f>IFERROR(INDEX('العهد'!$C$3:$C$502,10),"")</f>
        <v/>
      </c>
      <c r="D16" s="50">
        <f>IFERROR(INDEX('العهد'!$D$3:$D$502,10),"")</f>
        <v/>
      </c>
      <c r="E16" s="50">
        <f>IFERROR(INDEX('العهد'!$E$3:$E$502,10),"")</f>
        <v/>
      </c>
      <c r="F16" s="119">
        <f>IFERROR(INDEX('العهد'!$F$3:$F$502,10),"")</f>
        <v/>
      </c>
      <c r="G16" s="50">
        <f>IFERROR(INDEX('العهد'!$G$3:$G$502,10),"")</f>
        <v/>
      </c>
      <c r="H16" s="119">
        <f>IFERROR(INDEX('العهد'!$H$3:$H$502,10),"")</f>
        <v/>
      </c>
      <c r="I16" s="50">
        <f>IFERROR(INDEX('العهد'!$I$3:$I$502,10),"")</f>
        <v/>
      </c>
      <c r="J16" s="50">
        <f>IFERROR(INDEX('العهد'!$J$3:$J$502,10),"")</f>
        <v/>
      </c>
      <c r="K16" s="50">
        <f>IFERROR(INDEX('العهد'!$K$3:$K$502,10),"")</f>
        <v/>
      </c>
    </row>
    <row r="17">
      <c r="A17" s="43">
        <f>IFERROR(INDEX('العهد'!$A$3:$A$502,11),"")</f>
        <v/>
      </c>
      <c r="B17" s="43">
        <f>IFERROR(INDEX('العهد'!$B$3:$B$502,11),"")</f>
        <v/>
      </c>
      <c r="C17" s="43">
        <f>IFERROR(INDEX('العهد'!$C$3:$C$502,11),"")</f>
        <v/>
      </c>
      <c r="D17" s="43">
        <f>IFERROR(INDEX('العهد'!$D$3:$D$502,11),"")</f>
        <v/>
      </c>
      <c r="E17" s="43">
        <f>IFERROR(INDEX('العهد'!$E$3:$E$502,11),"")</f>
        <v/>
      </c>
      <c r="F17" s="118">
        <f>IFERROR(INDEX('العهد'!$F$3:$F$502,11),"")</f>
        <v/>
      </c>
      <c r="G17" s="43">
        <f>IFERROR(INDEX('العهد'!$G$3:$G$502,11),"")</f>
        <v/>
      </c>
      <c r="H17" s="118">
        <f>IFERROR(INDEX('العهد'!$H$3:$H$502,11),"")</f>
        <v/>
      </c>
      <c r="I17" s="43">
        <f>IFERROR(INDEX('العهد'!$I$3:$I$502,11),"")</f>
        <v/>
      </c>
      <c r="J17" s="43">
        <f>IFERROR(INDEX('العهد'!$J$3:$J$502,11),"")</f>
        <v/>
      </c>
      <c r="K17" s="43">
        <f>IFERROR(INDEX('العهد'!$K$3:$K$502,11),"")</f>
        <v/>
      </c>
    </row>
    <row r="18">
      <c r="A18" s="50">
        <f>IFERROR(INDEX('العهد'!$A$3:$A$502,12),"")</f>
        <v/>
      </c>
      <c r="B18" s="50">
        <f>IFERROR(INDEX('العهد'!$B$3:$B$502,12),"")</f>
        <v/>
      </c>
      <c r="C18" s="50">
        <f>IFERROR(INDEX('العهد'!$C$3:$C$502,12),"")</f>
        <v/>
      </c>
      <c r="D18" s="50">
        <f>IFERROR(INDEX('العهد'!$D$3:$D$502,12),"")</f>
        <v/>
      </c>
      <c r="E18" s="50">
        <f>IFERROR(INDEX('العهد'!$E$3:$E$502,12),"")</f>
        <v/>
      </c>
      <c r="F18" s="119">
        <f>IFERROR(INDEX('العهد'!$F$3:$F$502,12),"")</f>
        <v/>
      </c>
      <c r="G18" s="50">
        <f>IFERROR(INDEX('العهد'!$G$3:$G$502,12),"")</f>
        <v/>
      </c>
      <c r="H18" s="119">
        <f>IFERROR(INDEX('العهد'!$H$3:$H$502,12),"")</f>
        <v/>
      </c>
      <c r="I18" s="50">
        <f>IFERROR(INDEX('العهد'!$I$3:$I$502,12),"")</f>
        <v/>
      </c>
      <c r="J18" s="50">
        <f>IFERROR(INDEX('العهد'!$J$3:$J$502,12),"")</f>
        <v/>
      </c>
      <c r="K18" s="50">
        <f>IFERROR(INDEX('العهد'!$K$3:$K$502,12),"")</f>
        <v/>
      </c>
    </row>
    <row r="19">
      <c r="A19" s="43">
        <f>IFERROR(INDEX('العهد'!$A$3:$A$502,13),"")</f>
        <v/>
      </c>
      <c r="B19" s="43">
        <f>IFERROR(INDEX('العهد'!$B$3:$B$502,13),"")</f>
        <v/>
      </c>
      <c r="C19" s="43">
        <f>IFERROR(INDEX('العهد'!$C$3:$C$502,13),"")</f>
        <v/>
      </c>
      <c r="D19" s="43">
        <f>IFERROR(INDEX('العهد'!$D$3:$D$502,13),"")</f>
        <v/>
      </c>
      <c r="E19" s="43">
        <f>IFERROR(INDEX('العهد'!$E$3:$E$502,13),"")</f>
        <v/>
      </c>
      <c r="F19" s="118">
        <f>IFERROR(INDEX('العهد'!$F$3:$F$502,13),"")</f>
        <v/>
      </c>
      <c r="G19" s="43">
        <f>IFERROR(INDEX('العهد'!$G$3:$G$502,13),"")</f>
        <v/>
      </c>
      <c r="H19" s="118">
        <f>IFERROR(INDEX('العهد'!$H$3:$H$502,13),"")</f>
        <v/>
      </c>
      <c r="I19" s="43">
        <f>IFERROR(INDEX('العهد'!$I$3:$I$502,13),"")</f>
        <v/>
      </c>
      <c r="J19" s="43">
        <f>IFERROR(INDEX('العهد'!$J$3:$J$502,13),"")</f>
        <v/>
      </c>
      <c r="K19" s="43">
        <f>IFERROR(INDEX('العهد'!$K$3:$K$502,13),"")</f>
        <v/>
      </c>
    </row>
    <row r="20">
      <c r="A20" s="50">
        <f>IFERROR(INDEX('العهد'!$A$3:$A$502,14),"")</f>
        <v/>
      </c>
      <c r="B20" s="50">
        <f>IFERROR(INDEX('العهد'!$B$3:$B$502,14),"")</f>
        <v/>
      </c>
      <c r="C20" s="50">
        <f>IFERROR(INDEX('العهد'!$C$3:$C$502,14),"")</f>
        <v/>
      </c>
      <c r="D20" s="50">
        <f>IFERROR(INDEX('العهد'!$D$3:$D$502,14),"")</f>
        <v/>
      </c>
      <c r="E20" s="50">
        <f>IFERROR(INDEX('العهد'!$E$3:$E$502,14),"")</f>
        <v/>
      </c>
      <c r="F20" s="119">
        <f>IFERROR(INDEX('العهد'!$F$3:$F$502,14),"")</f>
        <v/>
      </c>
      <c r="G20" s="50">
        <f>IFERROR(INDEX('العهد'!$G$3:$G$502,14),"")</f>
        <v/>
      </c>
      <c r="H20" s="119">
        <f>IFERROR(INDEX('العهد'!$H$3:$H$502,14),"")</f>
        <v/>
      </c>
      <c r="I20" s="50">
        <f>IFERROR(INDEX('العهد'!$I$3:$I$502,14),"")</f>
        <v/>
      </c>
      <c r="J20" s="50">
        <f>IFERROR(INDEX('العهد'!$J$3:$J$502,14),"")</f>
        <v/>
      </c>
      <c r="K20" s="50">
        <f>IFERROR(INDEX('العهد'!$K$3:$K$502,14),"")</f>
        <v/>
      </c>
    </row>
    <row r="21">
      <c r="A21" s="43">
        <f>IFERROR(INDEX('العهد'!$A$3:$A$502,15),"")</f>
        <v/>
      </c>
      <c r="B21" s="43">
        <f>IFERROR(INDEX('العهد'!$B$3:$B$502,15),"")</f>
        <v/>
      </c>
      <c r="C21" s="43">
        <f>IFERROR(INDEX('العهد'!$C$3:$C$502,15),"")</f>
        <v/>
      </c>
      <c r="D21" s="43">
        <f>IFERROR(INDEX('العهد'!$D$3:$D$502,15),"")</f>
        <v/>
      </c>
      <c r="E21" s="43">
        <f>IFERROR(INDEX('العهد'!$E$3:$E$502,15),"")</f>
        <v/>
      </c>
      <c r="F21" s="118">
        <f>IFERROR(INDEX('العهد'!$F$3:$F$502,15),"")</f>
        <v/>
      </c>
      <c r="G21" s="43">
        <f>IFERROR(INDEX('العهد'!$G$3:$G$502,15),"")</f>
        <v/>
      </c>
      <c r="H21" s="118">
        <f>IFERROR(INDEX('العهد'!$H$3:$H$502,15),"")</f>
        <v/>
      </c>
      <c r="I21" s="43">
        <f>IFERROR(INDEX('العهد'!$I$3:$I$502,15),"")</f>
        <v/>
      </c>
      <c r="J21" s="43">
        <f>IFERROR(INDEX('العهد'!$J$3:$J$502,15),"")</f>
        <v/>
      </c>
      <c r="K21" s="43">
        <f>IFERROR(INDEX('العهد'!$K$3:$K$502,15),"")</f>
        <v/>
      </c>
    </row>
    <row r="22">
      <c r="A22" s="50">
        <f>IFERROR(INDEX('العهد'!$A$3:$A$502,16),"")</f>
        <v/>
      </c>
      <c r="B22" s="50">
        <f>IFERROR(INDEX('العهد'!$B$3:$B$502,16),"")</f>
        <v/>
      </c>
      <c r="C22" s="50">
        <f>IFERROR(INDEX('العهد'!$C$3:$C$502,16),"")</f>
        <v/>
      </c>
      <c r="D22" s="50">
        <f>IFERROR(INDEX('العهد'!$D$3:$D$502,16),"")</f>
        <v/>
      </c>
      <c r="E22" s="50">
        <f>IFERROR(INDEX('العهد'!$E$3:$E$502,16),"")</f>
        <v/>
      </c>
      <c r="F22" s="119">
        <f>IFERROR(INDEX('العهد'!$F$3:$F$502,16),"")</f>
        <v/>
      </c>
      <c r="G22" s="50">
        <f>IFERROR(INDEX('العهد'!$G$3:$G$502,16),"")</f>
        <v/>
      </c>
      <c r="H22" s="119">
        <f>IFERROR(INDEX('العهد'!$H$3:$H$502,16),"")</f>
        <v/>
      </c>
      <c r="I22" s="50">
        <f>IFERROR(INDEX('العهد'!$I$3:$I$502,16),"")</f>
        <v/>
      </c>
      <c r="J22" s="50">
        <f>IFERROR(INDEX('العهد'!$J$3:$J$502,16),"")</f>
        <v/>
      </c>
      <c r="K22" s="50">
        <f>IFERROR(INDEX('العهد'!$K$3:$K$502,16),"")</f>
        <v/>
      </c>
    </row>
    <row r="23">
      <c r="A23" s="43">
        <f>IFERROR(INDEX('العهد'!$A$3:$A$502,17),"")</f>
        <v/>
      </c>
      <c r="B23" s="43">
        <f>IFERROR(INDEX('العهد'!$B$3:$B$502,17),"")</f>
        <v/>
      </c>
      <c r="C23" s="43">
        <f>IFERROR(INDEX('العهد'!$C$3:$C$502,17),"")</f>
        <v/>
      </c>
      <c r="D23" s="43">
        <f>IFERROR(INDEX('العهد'!$D$3:$D$502,17),"")</f>
        <v/>
      </c>
      <c r="E23" s="43">
        <f>IFERROR(INDEX('العهد'!$E$3:$E$502,17),"")</f>
        <v/>
      </c>
      <c r="F23" s="118">
        <f>IFERROR(INDEX('العهد'!$F$3:$F$502,17),"")</f>
        <v/>
      </c>
      <c r="G23" s="43">
        <f>IFERROR(INDEX('العهد'!$G$3:$G$502,17),"")</f>
        <v/>
      </c>
      <c r="H23" s="118">
        <f>IFERROR(INDEX('العهد'!$H$3:$H$502,17),"")</f>
        <v/>
      </c>
      <c r="I23" s="43">
        <f>IFERROR(INDEX('العهد'!$I$3:$I$502,17),"")</f>
        <v/>
      </c>
      <c r="J23" s="43">
        <f>IFERROR(INDEX('العهد'!$J$3:$J$502,17),"")</f>
        <v/>
      </c>
      <c r="K23" s="43">
        <f>IFERROR(INDEX('العهد'!$K$3:$K$502,17),"")</f>
        <v/>
      </c>
    </row>
    <row r="24">
      <c r="A24" s="50">
        <f>IFERROR(INDEX('العهد'!$A$3:$A$502,18),"")</f>
        <v/>
      </c>
      <c r="B24" s="50">
        <f>IFERROR(INDEX('العهد'!$B$3:$B$502,18),"")</f>
        <v/>
      </c>
      <c r="C24" s="50">
        <f>IFERROR(INDEX('العهد'!$C$3:$C$502,18),"")</f>
        <v/>
      </c>
      <c r="D24" s="50">
        <f>IFERROR(INDEX('العهد'!$D$3:$D$502,18),"")</f>
        <v/>
      </c>
      <c r="E24" s="50">
        <f>IFERROR(INDEX('العهد'!$E$3:$E$502,18),"")</f>
        <v/>
      </c>
      <c r="F24" s="119">
        <f>IFERROR(INDEX('العهد'!$F$3:$F$502,18),"")</f>
        <v/>
      </c>
      <c r="G24" s="50">
        <f>IFERROR(INDEX('العهد'!$G$3:$G$502,18),"")</f>
        <v/>
      </c>
      <c r="H24" s="119">
        <f>IFERROR(INDEX('العهد'!$H$3:$H$502,18),"")</f>
        <v/>
      </c>
      <c r="I24" s="50">
        <f>IFERROR(INDEX('العهد'!$I$3:$I$502,18),"")</f>
        <v/>
      </c>
      <c r="J24" s="50">
        <f>IFERROR(INDEX('العهد'!$J$3:$J$502,18),"")</f>
        <v/>
      </c>
      <c r="K24" s="50">
        <f>IFERROR(INDEX('العهد'!$K$3:$K$502,18),"")</f>
        <v/>
      </c>
    </row>
    <row r="25">
      <c r="A25" s="43">
        <f>IFERROR(INDEX('العهد'!$A$3:$A$502,19),"")</f>
        <v/>
      </c>
      <c r="B25" s="43">
        <f>IFERROR(INDEX('العهد'!$B$3:$B$502,19),"")</f>
        <v/>
      </c>
      <c r="C25" s="43">
        <f>IFERROR(INDEX('العهد'!$C$3:$C$502,19),"")</f>
        <v/>
      </c>
      <c r="D25" s="43">
        <f>IFERROR(INDEX('العهد'!$D$3:$D$502,19),"")</f>
        <v/>
      </c>
      <c r="E25" s="43">
        <f>IFERROR(INDEX('العهد'!$E$3:$E$502,19),"")</f>
        <v/>
      </c>
      <c r="F25" s="118">
        <f>IFERROR(INDEX('العهد'!$F$3:$F$502,19),"")</f>
        <v/>
      </c>
      <c r="G25" s="43">
        <f>IFERROR(INDEX('العهد'!$G$3:$G$502,19),"")</f>
        <v/>
      </c>
      <c r="H25" s="118">
        <f>IFERROR(INDEX('العهد'!$H$3:$H$502,19),"")</f>
        <v/>
      </c>
      <c r="I25" s="43">
        <f>IFERROR(INDEX('العهد'!$I$3:$I$502,19),"")</f>
        <v/>
      </c>
      <c r="J25" s="43">
        <f>IFERROR(INDEX('العهد'!$J$3:$J$502,19),"")</f>
        <v/>
      </c>
      <c r="K25" s="43">
        <f>IFERROR(INDEX('العهد'!$K$3:$K$502,19),"")</f>
        <v/>
      </c>
    </row>
    <row r="26">
      <c r="A26" s="50">
        <f>IFERROR(INDEX('العهد'!$A$3:$A$502,20),"")</f>
        <v/>
      </c>
      <c r="B26" s="50">
        <f>IFERROR(INDEX('العهد'!$B$3:$B$502,20),"")</f>
        <v/>
      </c>
      <c r="C26" s="50">
        <f>IFERROR(INDEX('العهد'!$C$3:$C$502,20),"")</f>
        <v/>
      </c>
      <c r="D26" s="50">
        <f>IFERROR(INDEX('العهد'!$D$3:$D$502,20),"")</f>
        <v/>
      </c>
      <c r="E26" s="50">
        <f>IFERROR(INDEX('العهد'!$E$3:$E$502,20),"")</f>
        <v/>
      </c>
      <c r="F26" s="119">
        <f>IFERROR(INDEX('العهد'!$F$3:$F$502,20),"")</f>
        <v/>
      </c>
      <c r="G26" s="50">
        <f>IFERROR(INDEX('العهد'!$G$3:$G$502,20),"")</f>
        <v/>
      </c>
      <c r="H26" s="119">
        <f>IFERROR(INDEX('العهد'!$H$3:$H$502,20),"")</f>
        <v/>
      </c>
      <c r="I26" s="50">
        <f>IFERROR(INDEX('العهد'!$I$3:$I$502,20),"")</f>
        <v/>
      </c>
      <c r="J26" s="50">
        <f>IFERROR(INDEX('العهد'!$J$3:$J$502,20),"")</f>
        <v/>
      </c>
      <c r="K26" s="50">
        <f>IFERROR(INDEX('العهد'!$K$3:$K$502,20),"")</f>
        <v/>
      </c>
    </row>
    <row r="27">
      <c r="A27" s="43">
        <f>IFERROR(INDEX('العهد'!$A$3:$A$502,21),"")</f>
        <v/>
      </c>
      <c r="B27" s="43">
        <f>IFERROR(INDEX('العهد'!$B$3:$B$502,21),"")</f>
        <v/>
      </c>
      <c r="C27" s="43">
        <f>IFERROR(INDEX('العهد'!$C$3:$C$502,21),"")</f>
        <v/>
      </c>
      <c r="D27" s="43">
        <f>IFERROR(INDEX('العهد'!$D$3:$D$502,21),"")</f>
        <v/>
      </c>
      <c r="E27" s="43">
        <f>IFERROR(INDEX('العهد'!$E$3:$E$502,21),"")</f>
        <v/>
      </c>
      <c r="F27" s="118">
        <f>IFERROR(INDEX('العهد'!$F$3:$F$502,21),"")</f>
        <v/>
      </c>
      <c r="G27" s="43">
        <f>IFERROR(INDEX('العهد'!$G$3:$G$502,21),"")</f>
        <v/>
      </c>
      <c r="H27" s="118">
        <f>IFERROR(INDEX('العهد'!$H$3:$H$502,21),"")</f>
        <v/>
      </c>
      <c r="I27" s="43">
        <f>IFERROR(INDEX('العهد'!$I$3:$I$502,21),"")</f>
        <v/>
      </c>
      <c r="J27" s="43">
        <f>IFERROR(INDEX('العهد'!$J$3:$J$502,21),"")</f>
        <v/>
      </c>
      <c r="K27" s="43">
        <f>IFERROR(INDEX('العهد'!$K$3:$K$502,21),"")</f>
        <v/>
      </c>
    </row>
    <row r="28">
      <c r="A28" s="50">
        <f>IFERROR(INDEX('العهد'!$A$3:$A$502,22),"")</f>
        <v/>
      </c>
      <c r="B28" s="50">
        <f>IFERROR(INDEX('العهد'!$B$3:$B$502,22),"")</f>
        <v/>
      </c>
      <c r="C28" s="50">
        <f>IFERROR(INDEX('العهد'!$C$3:$C$502,22),"")</f>
        <v/>
      </c>
      <c r="D28" s="50">
        <f>IFERROR(INDEX('العهد'!$D$3:$D$502,22),"")</f>
        <v/>
      </c>
      <c r="E28" s="50">
        <f>IFERROR(INDEX('العهد'!$E$3:$E$502,22),"")</f>
        <v/>
      </c>
      <c r="F28" s="119">
        <f>IFERROR(INDEX('العهد'!$F$3:$F$502,22),"")</f>
        <v/>
      </c>
      <c r="G28" s="50">
        <f>IFERROR(INDEX('العهد'!$G$3:$G$502,22),"")</f>
        <v/>
      </c>
      <c r="H28" s="119">
        <f>IFERROR(INDEX('العهد'!$H$3:$H$502,22),"")</f>
        <v/>
      </c>
      <c r="I28" s="50">
        <f>IFERROR(INDEX('العهد'!$I$3:$I$502,22),"")</f>
        <v/>
      </c>
      <c r="J28" s="50">
        <f>IFERROR(INDEX('العهد'!$J$3:$J$502,22),"")</f>
        <v/>
      </c>
      <c r="K28" s="50">
        <f>IFERROR(INDEX('العهد'!$K$3:$K$502,22),"")</f>
        <v/>
      </c>
    </row>
    <row r="29">
      <c r="A29" s="43">
        <f>IFERROR(INDEX('العهد'!$A$3:$A$502,23),"")</f>
        <v/>
      </c>
      <c r="B29" s="43">
        <f>IFERROR(INDEX('العهد'!$B$3:$B$502,23),"")</f>
        <v/>
      </c>
      <c r="C29" s="43">
        <f>IFERROR(INDEX('العهد'!$C$3:$C$502,23),"")</f>
        <v/>
      </c>
      <c r="D29" s="43">
        <f>IFERROR(INDEX('العهد'!$D$3:$D$502,23),"")</f>
        <v/>
      </c>
      <c r="E29" s="43">
        <f>IFERROR(INDEX('العهد'!$E$3:$E$502,23),"")</f>
        <v/>
      </c>
      <c r="F29" s="118">
        <f>IFERROR(INDEX('العهد'!$F$3:$F$502,23),"")</f>
        <v/>
      </c>
      <c r="G29" s="43">
        <f>IFERROR(INDEX('العهد'!$G$3:$G$502,23),"")</f>
        <v/>
      </c>
      <c r="H29" s="118">
        <f>IFERROR(INDEX('العهد'!$H$3:$H$502,23),"")</f>
        <v/>
      </c>
      <c r="I29" s="43">
        <f>IFERROR(INDEX('العهد'!$I$3:$I$502,23),"")</f>
        <v/>
      </c>
      <c r="J29" s="43">
        <f>IFERROR(INDEX('العهد'!$J$3:$J$502,23),"")</f>
        <v/>
      </c>
      <c r="K29" s="43">
        <f>IFERROR(INDEX('العهد'!$K$3:$K$502,23),"")</f>
        <v/>
      </c>
    </row>
    <row r="30">
      <c r="A30" s="50">
        <f>IFERROR(INDEX('العهد'!$A$3:$A$502,24),"")</f>
        <v/>
      </c>
      <c r="B30" s="50">
        <f>IFERROR(INDEX('العهد'!$B$3:$B$502,24),"")</f>
        <v/>
      </c>
      <c r="C30" s="50">
        <f>IFERROR(INDEX('العهد'!$C$3:$C$502,24),"")</f>
        <v/>
      </c>
      <c r="D30" s="50">
        <f>IFERROR(INDEX('العهد'!$D$3:$D$502,24),"")</f>
        <v/>
      </c>
      <c r="E30" s="50">
        <f>IFERROR(INDEX('العهد'!$E$3:$E$502,24),"")</f>
        <v/>
      </c>
      <c r="F30" s="119">
        <f>IFERROR(INDEX('العهد'!$F$3:$F$502,24),"")</f>
        <v/>
      </c>
      <c r="G30" s="50">
        <f>IFERROR(INDEX('العهد'!$G$3:$G$502,24),"")</f>
        <v/>
      </c>
      <c r="H30" s="119">
        <f>IFERROR(INDEX('العهد'!$H$3:$H$502,24),"")</f>
        <v/>
      </c>
      <c r="I30" s="50">
        <f>IFERROR(INDEX('العهد'!$I$3:$I$502,24),"")</f>
        <v/>
      </c>
      <c r="J30" s="50">
        <f>IFERROR(INDEX('العهد'!$J$3:$J$502,24),"")</f>
        <v/>
      </c>
      <c r="K30" s="50">
        <f>IFERROR(INDEX('العهد'!$K$3:$K$502,24),"")</f>
        <v/>
      </c>
    </row>
    <row r="31">
      <c r="A31" s="43">
        <f>IFERROR(INDEX('العهد'!$A$3:$A$502,25),"")</f>
        <v/>
      </c>
      <c r="B31" s="43">
        <f>IFERROR(INDEX('العهد'!$B$3:$B$502,25),"")</f>
        <v/>
      </c>
      <c r="C31" s="43">
        <f>IFERROR(INDEX('العهد'!$C$3:$C$502,25),"")</f>
        <v/>
      </c>
      <c r="D31" s="43">
        <f>IFERROR(INDEX('العهد'!$D$3:$D$502,25),"")</f>
        <v/>
      </c>
      <c r="E31" s="43">
        <f>IFERROR(INDEX('العهد'!$E$3:$E$502,25),"")</f>
        <v/>
      </c>
      <c r="F31" s="118">
        <f>IFERROR(INDEX('العهد'!$F$3:$F$502,25),"")</f>
        <v/>
      </c>
      <c r="G31" s="43">
        <f>IFERROR(INDEX('العهد'!$G$3:$G$502,25),"")</f>
        <v/>
      </c>
      <c r="H31" s="118">
        <f>IFERROR(INDEX('العهد'!$H$3:$H$502,25),"")</f>
        <v/>
      </c>
      <c r="I31" s="43">
        <f>IFERROR(INDEX('العهد'!$I$3:$I$502,25),"")</f>
        <v/>
      </c>
      <c r="J31" s="43">
        <f>IFERROR(INDEX('العهد'!$J$3:$J$502,25),"")</f>
        <v/>
      </c>
      <c r="K31" s="43">
        <f>IFERROR(INDEX('العهد'!$K$3:$K$502,25),"")</f>
        <v/>
      </c>
    </row>
    <row r="32">
      <c r="A32" s="50">
        <f>IFERROR(INDEX('العهد'!$A$3:$A$502,26),"")</f>
        <v/>
      </c>
      <c r="B32" s="50">
        <f>IFERROR(INDEX('العهد'!$B$3:$B$502,26),"")</f>
        <v/>
      </c>
      <c r="C32" s="50">
        <f>IFERROR(INDEX('العهد'!$C$3:$C$502,26),"")</f>
        <v/>
      </c>
      <c r="D32" s="50">
        <f>IFERROR(INDEX('العهد'!$D$3:$D$502,26),"")</f>
        <v/>
      </c>
      <c r="E32" s="50">
        <f>IFERROR(INDEX('العهد'!$E$3:$E$502,26),"")</f>
        <v/>
      </c>
      <c r="F32" s="119">
        <f>IFERROR(INDEX('العهد'!$F$3:$F$502,26),"")</f>
        <v/>
      </c>
      <c r="G32" s="50">
        <f>IFERROR(INDEX('العهد'!$G$3:$G$502,26),"")</f>
        <v/>
      </c>
      <c r="H32" s="119">
        <f>IFERROR(INDEX('العهد'!$H$3:$H$502,26),"")</f>
        <v/>
      </c>
      <c r="I32" s="50">
        <f>IFERROR(INDEX('العهد'!$I$3:$I$502,26),"")</f>
        <v/>
      </c>
      <c r="J32" s="50">
        <f>IFERROR(INDEX('العهد'!$J$3:$J$502,26),"")</f>
        <v/>
      </c>
      <c r="K32" s="50">
        <f>IFERROR(INDEX('العهد'!$K$3:$K$502,26),"")</f>
        <v/>
      </c>
    </row>
    <row r="33">
      <c r="A33" s="43">
        <f>IFERROR(INDEX('العهد'!$A$3:$A$502,27),"")</f>
        <v/>
      </c>
      <c r="B33" s="43">
        <f>IFERROR(INDEX('العهد'!$B$3:$B$502,27),"")</f>
        <v/>
      </c>
      <c r="C33" s="43">
        <f>IFERROR(INDEX('العهد'!$C$3:$C$502,27),"")</f>
        <v/>
      </c>
      <c r="D33" s="43">
        <f>IFERROR(INDEX('العهد'!$D$3:$D$502,27),"")</f>
        <v/>
      </c>
      <c r="E33" s="43">
        <f>IFERROR(INDEX('العهد'!$E$3:$E$502,27),"")</f>
        <v/>
      </c>
      <c r="F33" s="118">
        <f>IFERROR(INDEX('العهد'!$F$3:$F$502,27),"")</f>
        <v/>
      </c>
      <c r="G33" s="43">
        <f>IFERROR(INDEX('العهد'!$G$3:$G$502,27),"")</f>
        <v/>
      </c>
      <c r="H33" s="118">
        <f>IFERROR(INDEX('العهد'!$H$3:$H$502,27),"")</f>
        <v/>
      </c>
      <c r="I33" s="43">
        <f>IFERROR(INDEX('العهد'!$I$3:$I$502,27),"")</f>
        <v/>
      </c>
      <c r="J33" s="43">
        <f>IFERROR(INDEX('العهد'!$J$3:$J$502,27),"")</f>
        <v/>
      </c>
      <c r="K33" s="43">
        <f>IFERROR(INDEX('العهد'!$K$3:$K$502,27),"")</f>
        <v/>
      </c>
    </row>
    <row r="34">
      <c r="A34" s="50">
        <f>IFERROR(INDEX('العهد'!$A$3:$A$502,28),"")</f>
        <v/>
      </c>
      <c r="B34" s="50">
        <f>IFERROR(INDEX('العهد'!$B$3:$B$502,28),"")</f>
        <v/>
      </c>
      <c r="C34" s="50">
        <f>IFERROR(INDEX('العهد'!$C$3:$C$502,28),"")</f>
        <v/>
      </c>
      <c r="D34" s="50">
        <f>IFERROR(INDEX('العهد'!$D$3:$D$502,28),"")</f>
        <v/>
      </c>
      <c r="E34" s="50">
        <f>IFERROR(INDEX('العهد'!$E$3:$E$502,28),"")</f>
        <v/>
      </c>
      <c r="F34" s="119">
        <f>IFERROR(INDEX('العهد'!$F$3:$F$502,28),"")</f>
        <v/>
      </c>
      <c r="G34" s="50">
        <f>IFERROR(INDEX('العهد'!$G$3:$G$502,28),"")</f>
        <v/>
      </c>
      <c r="H34" s="119">
        <f>IFERROR(INDEX('العهد'!$H$3:$H$502,28),"")</f>
        <v/>
      </c>
      <c r="I34" s="50">
        <f>IFERROR(INDEX('العهد'!$I$3:$I$502,28),"")</f>
        <v/>
      </c>
      <c r="J34" s="50">
        <f>IFERROR(INDEX('العهد'!$J$3:$J$502,28),"")</f>
        <v/>
      </c>
      <c r="K34" s="50">
        <f>IFERROR(INDEX('العهد'!$K$3:$K$502,28),"")</f>
        <v/>
      </c>
    </row>
    <row r="35">
      <c r="A35" s="43">
        <f>IFERROR(INDEX('العهد'!$A$3:$A$502,29),"")</f>
        <v/>
      </c>
      <c r="B35" s="43">
        <f>IFERROR(INDEX('العهد'!$B$3:$B$502,29),"")</f>
        <v/>
      </c>
      <c r="C35" s="43">
        <f>IFERROR(INDEX('العهد'!$C$3:$C$502,29),"")</f>
        <v/>
      </c>
      <c r="D35" s="43">
        <f>IFERROR(INDEX('العهد'!$D$3:$D$502,29),"")</f>
        <v/>
      </c>
      <c r="E35" s="43">
        <f>IFERROR(INDEX('العهد'!$E$3:$E$502,29),"")</f>
        <v/>
      </c>
      <c r="F35" s="118">
        <f>IFERROR(INDEX('العهد'!$F$3:$F$502,29),"")</f>
        <v/>
      </c>
      <c r="G35" s="43">
        <f>IFERROR(INDEX('العهد'!$G$3:$G$502,29),"")</f>
        <v/>
      </c>
      <c r="H35" s="118">
        <f>IFERROR(INDEX('العهد'!$H$3:$H$502,29),"")</f>
        <v/>
      </c>
      <c r="I35" s="43">
        <f>IFERROR(INDEX('العهد'!$I$3:$I$502,29),"")</f>
        <v/>
      </c>
      <c r="J35" s="43">
        <f>IFERROR(INDEX('العهد'!$J$3:$J$502,29),"")</f>
        <v/>
      </c>
      <c r="K35" s="43">
        <f>IFERROR(INDEX('العهد'!$K$3:$K$502,29),"")</f>
        <v/>
      </c>
    </row>
    <row r="36">
      <c r="A36" s="50">
        <f>IFERROR(INDEX('العهد'!$A$3:$A$502,30),"")</f>
        <v/>
      </c>
      <c r="B36" s="50">
        <f>IFERROR(INDEX('العهد'!$B$3:$B$502,30),"")</f>
        <v/>
      </c>
      <c r="C36" s="50">
        <f>IFERROR(INDEX('العهد'!$C$3:$C$502,30),"")</f>
        <v/>
      </c>
      <c r="D36" s="50">
        <f>IFERROR(INDEX('العهد'!$D$3:$D$502,30),"")</f>
        <v/>
      </c>
      <c r="E36" s="50">
        <f>IFERROR(INDEX('العهد'!$E$3:$E$502,30),"")</f>
        <v/>
      </c>
      <c r="F36" s="119">
        <f>IFERROR(INDEX('العهد'!$F$3:$F$502,30),"")</f>
        <v/>
      </c>
      <c r="G36" s="50">
        <f>IFERROR(INDEX('العهد'!$G$3:$G$502,30),"")</f>
        <v/>
      </c>
      <c r="H36" s="119">
        <f>IFERROR(INDEX('العهد'!$H$3:$H$502,30),"")</f>
        <v/>
      </c>
      <c r="I36" s="50">
        <f>IFERROR(INDEX('العهد'!$I$3:$I$502,30),"")</f>
        <v/>
      </c>
      <c r="J36" s="50">
        <f>IFERROR(INDEX('العهد'!$J$3:$J$502,30),"")</f>
        <v/>
      </c>
      <c r="K36" s="50">
        <f>IFERROR(INDEX('العهد'!$K$3:$K$502,30),"")</f>
        <v/>
      </c>
    </row>
    <row r="37">
      <c r="A37" s="43">
        <f>IFERROR(INDEX('العهد'!$A$3:$A$502,31),"")</f>
        <v/>
      </c>
      <c r="B37" s="43">
        <f>IFERROR(INDEX('العهد'!$B$3:$B$502,31),"")</f>
        <v/>
      </c>
      <c r="C37" s="43">
        <f>IFERROR(INDEX('العهد'!$C$3:$C$502,31),"")</f>
        <v/>
      </c>
      <c r="D37" s="43">
        <f>IFERROR(INDEX('العهد'!$D$3:$D$502,31),"")</f>
        <v/>
      </c>
      <c r="E37" s="43">
        <f>IFERROR(INDEX('العهد'!$E$3:$E$502,31),"")</f>
        <v/>
      </c>
      <c r="F37" s="118">
        <f>IFERROR(INDEX('العهد'!$F$3:$F$502,31),"")</f>
        <v/>
      </c>
      <c r="G37" s="43">
        <f>IFERROR(INDEX('العهد'!$G$3:$G$502,31),"")</f>
        <v/>
      </c>
      <c r="H37" s="118">
        <f>IFERROR(INDEX('العهد'!$H$3:$H$502,31),"")</f>
        <v/>
      </c>
      <c r="I37" s="43">
        <f>IFERROR(INDEX('العهد'!$I$3:$I$502,31),"")</f>
        <v/>
      </c>
      <c r="J37" s="43">
        <f>IFERROR(INDEX('العهد'!$J$3:$J$502,31),"")</f>
        <v/>
      </c>
      <c r="K37" s="43">
        <f>IFERROR(INDEX('العهد'!$K$3:$K$502,31),"")</f>
        <v/>
      </c>
    </row>
    <row r="38">
      <c r="A38" s="50">
        <f>IFERROR(INDEX('العهد'!$A$3:$A$502,32),"")</f>
        <v/>
      </c>
      <c r="B38" s="50">
        <f>IFERROR(INDEX('العهد'!$B$3:$B$502,32),"")</f>
        <v/>
      </c>
      <c r="C38" s="50">
        <f>IFERROR(INDEX('العهد'!$C$3:$C$502,32),"")</f>
        <v/>
      </c>
      <c r="D38" s="50">
        <f>IFERROR(INDEX('العهد'!$D$3:$D$502,32),"")</f>
        <v/>
      </c>
      <c r="E38" s="50">
        <f>IFERROR(INDEX('العهد'!$E$3:$E$502,32),"")</f>
        <v/>
      </c>
      <c r="F38" s="119">
        <f>IFERROR(INDEX('العهد'!$F$3:$F$502,32),"")</f>
        <v/>
      </c>
      <c r="G38" s="50">
        <f>IFERROR(INDEX('العهد'!$G$3:$G$502,32),"")</f>
        <v/>
      </c>
      <c r="H38" s="119">
        <f>IFERROR(INDEX('العهد'!$H$3:$H$502,32),"")</f>
        <v/>
      </c>
      <c r="I38" s="50">
        <f>IFERROR(INDEX('العهد'!$I$3:$I$502,32),"")</f>
        <v/>
      </c>
      <c r="J38" s="50">
        <f>IFERROR(INDEX('العهد'!$J$3:$J$502,32),"")</f>
        <v/>
      </c>
      <c r="K38" s="50">
        <f>IFERROR(INDEX('العهد'!$K$3:$K$502,32),"")</f>
        <v/>
      </c>
    </row>
    <row r="39">
      <c r="A39" s="43">
        <f>IFERROR(INDEX('العهد'!$A$3:$A$502,33),"")</f>
        <v/>
      </c>
      <c r="B39" s="43">
        <f>IFERROR(INDEX('العهد'!$B$3:$B$502,33),"")</f>
        <v/>
      </c>
      <c r="C39" s="43">
        <f>IFERROR(INDEX('العهد'!$C$3:$C$502,33),"")</f>
        <v/>
      </c>
      <c r="D39" s="43">
        <f>IFERROR(INDEX('العهد'!$D$3:$D$502,33),"")</f>
        <v/>
      </c>
      <c r="E39" s="43">
        <f>IFERROR(INDEX('العهد'!$E$3:$E$502,33),"")</f>
        <v/>
      </c>
      <c r="F39" s="118">
        <f>IFERROR(INDEX('العهد'!$F$3:$F$502,33),"")</f>
        <v/>
      </c>
      <c r="G39" s="43">
        <f>IFERROR(INDEX('العهد'!$G$3:$G$502,33),"")</f>
        <v/>
      </c>
      <c r="H39" s="118">
        <f>IFERROR(INDEX('العهد'!$H$3:$H$502,33),"")</f>
        <v/>
      </c>
      <c r="I39" s="43">
        <f>IFERROR(INDEX('العهد'!$I$3:$I$502,33),"")</f>
        <v/>
      </c>
      <c r="J39" s="43">
        <f>IFERROR(INDEX('العهد'!$J$3:$J$502,33),"")</f>
        <v/>
      </c>
      <c r="K39" s="43">
        <f>IFERROR(INDEX('العهد'!$K$3:$K$502,33),"")</f>
        <v/>
      </c>
    </row>
    <row r="40">
      <c r="A40" s="50">
        <f>IFERROR(INDEX('العهد'!$A$3:$A$502,34),"")</f>
        <v/>
      </c>
      <c r="B40" s="50">
        <f>IFERROR(INDEX('العهد'!$B$3:$B$502,34),"")</f>
        <v/>
      </c>
      <c r="C40" s="50">
        <f>IFERROR(INDEX('العهد'!$C$3:$C$502,34),"")</f>
        <v/>
      </c>
      <c r="D40" s="50">
        <f>IFERROR(INDEX('العهد'!$D$3:$D$502,34),"")</f>
        <v/>
      </c>
      <c r="E40" s="50">
        <f>IFERROR(INDEX('العهد'!$E$3:$E$502,34),"")</f>
        <v/>
      </c>
      <c r="F40" s="119">
        <f>IFERROR(INDEX('العهد'!$F$3:$F$502,34),"")</f>
        <v/>
      </c>
      <c r="G40" s="50">
        <f>IFERROR(INDEX('العهد'!$G$3:$G$502,34),"")</f>
        <v/>
      </c>
      <c r="H40" s="119">
        <f>IFERROR(INDEX('العهد'!$H$3:$H$502,34),"")</f>
        <v/>
      </c>
      <c r="I40" s="50">
        <f>IFERROR(INDEX('العهد'!$I$3:$I$502,34),"")</f>
        <v/>
      </c>
      <c r="J40" s="50">
        <f>IFERROR(INDEX('العهد'!$J$3:$J$502,34),"")</f>
        <v/>
      </c>
      <c r="K40" s="50">
        <f>IFERROR(INDEX('العهد'!$K$3:$K$502,34),"")</f>
        <v/>
      </c>
    </row>
    <row r="41">
      <c r="A41" s="43">
        <f>IFERROR(INDEX('العهد'!$A$3:$A$502,35),"")</f>
        <v/>
      </c>
      <c r="B41" s="43">
        <f>IFERROR(INDEX('العهد'!$B$3:$B$502,35),"")</f>
        <v/>
      </c>
      <c r="C41" s="43">
        <f>IFERROR(INDEX('العهد'!$C$3:$C$502,35),"")</f>
        <v/>
      </c>
      <c r="D41" s="43">
        <f>IFERROR(INDEX('العهد'!$D$3:$D$502,35),"")</f>
        <v/>
      </c>
      <c r="E41" s="43">
        <f>IFERROR(INDEX('العهد'!$E$3:$E$502,35),"")</f>
        <v/>
      </c>
      <c r="F41" s="118">
        <f>IFERROR(INDEX('العهد'!$F$3:$F$502,35),"")</f>
        <v/>
      </c>
      <c r="G41" s="43">
        <f>IFERROR(INDEX('العهد'!$G$3:$G$502,35),"")</f>
        <v/>
      </c>
      <c r="H41" s="118">
        <f>IFERROR(INDEX('العهد'!$H$3:$H$502,35),"")</f>
        <v/>
      </c>
      <c r="I41" s="43">
        <f>IFERROR(INDEX('العهد'!$I$3:$I$502,35),"")</f>
        <v/>
      </c>
      <c r="J41" s="43">
        <f>IFERROR(INDEX('العهد'!$J$3:$J$502,35),"")</f>
        <v/>
      </c>
      <c r="K41" s="43">
        <f>IFERROR(INDEX('العهد'!$K$3:$K$502,35),"")</f>
        <v/>
      </c>
    </row>
    <row r="42">
      <c r="A42" s="50">
        <f>IFERROR(INDEX('العهد'!$A$3:$A$502,36),"")</f>
        <v/>
      </c>
      <c r="B42" s="50">
        <f>IFERROR(INDEX('العهد'!$B$3:$B$502,36),"")</f>
        <v/>
      </c>
      <c r="C42" s="50">
        <f>IFERROR(INDEX('العهد'!$C$3:$C$502,36),"")</f>
        <v/>
      </c>
      <c r="D42" s="50">
        <f>IFERROR(INDEX('العهد'!$D$3:$D$502,36),"")</f>
        <v/>
      </c>
      <c r="E42" s="50">
        <f>IFERROR(INDEX('العهد'!$E$3:$E$502,36),"")</f>
        <v/>
      </c>
      <c r="F42" s="119">
        <f>IFERROR(INDEX('العهد'!$F$3:$F$502,36),"")</f>
        <v/>
      </c>
      <c r="G42" s="50">
        <f>IFERROR(INDEX('العهد'!$G$3:$G$502,36),"")</f>
        <v/>
      </c>
      <c r="H42" s="119">
        <f>IFERROR(INDEX('العهد'!$H$3:$H$502,36),"")</f>
        <v/>
      </c>
      <c r="I42" s="50">
        <f>IFERROR(INDEX('العهد'!$I$3:$I$502,36),"")</f>
        <v/>
      </c>
      <c r="J42" s="50">
        <f>IFERROR(INDEX('العهد'!$J$3:$J$502,36),"")</f>
        <v/>
      </c>
      <c r="K42" s="50">
        <f>IFERROR(INDEX('العهد'!$K$3:$K$502,36),"")</f>
        <v/>
      </c>
    </row>
    <row r="43">
      <c r="A43" s="43">
        <f>IFERROR(INDEX('العهد'!$A$3:$A$502,37),"")</f>
        <v/>
      </c>
      <c r="B43" s="43">
        <f>IFERROR(INDEX('العهد'!$B$3:$B$502,37),"")</f>
        <v/>
      </c>
      <c r="C43" s="43">
        <f>IFERROR(INDEX('العهد'!$C$3:$C$502,37),"")</f>
        <v/>
      </c>
      <c r="D43" s="43">
        <f>IFERROR(INDEX('العهد'!$D$3:$D$502,37),"")</f>
        <v/>
      </c>
      <c r="E43" s="43">
        <f>IFERROR(INDEX('العهد'!$E$3:$E$502,37),"")</f>
        <v/>
      </c>
      <c r="F43" s="118">
        <f>IFERROR(INDEX('العهد'!$F$3:$F$502,37),"")</f>
        <v/>
      </c>
      <c r="G43" s="43">
        <f>IFERROR(INDEX('العهد'!$G$3:$G$502,37),"")</f>
        <v/>
      </c>
      <c r="H43" s="118">
        <f>IFERROR(INDEX('العهد'!$H$3:$H$502,37),"")</f>
        <v/>
      </c>
      <c r="I43" s="43">
        <f>IFERROR(INDEX('العهد'!$I$3:$I$502,37),"")</f>
        <v/>
      </c>
      <c r="J43" s="43">
        <f>IFERROR(INDEX('العهد'!$J$3:$J$502,37),"")</f>
        <v/>
      </c>
      <c r="K43" s="43">
        <f>IFERROR(INDEX('العهد'!$K$3:$K$502,37),"")</f>
        <v/>
      </c>
    </row>
    <row r="44">
      <c r="A44" s="50">
        <f>IFERROR(INDEX('العهد'!$A$3:$A$502,38),"")</f>
        <v/>
      </c>
      <c r="B44" s="50">
        <f>IFERROR(INDEX('العهد'!$B$3:$B$502,38),"")</f>
        <v/>
      </c>
      <c r="C44" s="50">
        <f>IFERROR(INDEX('العهد'!$C$3:$C$502,38),"")</f>
        <v/>
      </c>
      <c r="D44" s="50">
        <f>IFERROR(INDEX('العهد'!$D$3:$D$502,38),"")</f>
        <v/>
      </c>
      <c r="E44" s="50">
        <f>IFERROR(INDEX('العهد'!$E$3:$E$502,38),"")</f>
        <v/>
      </c>
      <c r="F44" s="119">
        <f>IFERROR(INDEX('العهد'!$F$3:$F$502,38),"")</f>
        <v/>
      </c>
      <c r="G44" s="50">
        <f>IFERROR(INDEX('العهد'!$G$3:$G$502,38),"")</f>
        <v/>
      </c>
      <c r="H44" s="119">
        <f>IFERROR(INDEX('العهد'!$H$3:$H$502,38),"")</f>
        <v/>
      </c>
      <c r="I44" s="50">
        <f>IFERROR(INDEX('العهد'!$I$3:$I$502,38),"")</f>
        <v/>
      </c>
      <c r="J44" s="50">
        <f>IFERROR(INDEX('العهد'!$J$3:$J$502,38),"")</f>
        <v/>
      </c>
      <c r="K44" s="50">
        <f>IFERROR(INDEX('العهد'!$K$3:$K$502,38),"")</f>
        <v/>
      </c>
    </row>
    <row r="45">
      <c r="A45" s="43">
        <f>IFERROR(INDEX('العهد'!$A$3:$A$502,39),"")</f>
        <v/>
      </c>
      <c r="B45" s="43">
        <f>IFERROR(INDEX('العهد'!$B$3:$B$502,39),"")</f>
        <v/>
      </c>
      <c r="C45" s="43">
        <f>IFERROR(INDEX('العهد'!$C$3:$C$502,39),"")</f>
        <v/>
      </c>
      <c r="D45" s="43">
        <f>IFERROR(INDEX('العهد'!$D$3:$D$502,39),"")</f>
        <v/>
      </c>
      <c r="E45" s="43">
        <f>IFERROR(INDEX('العهد'!$E$3:$E$502,39),"")</f>
        <v/>
      </c>
      <c r="F45" s="118">
        <f>IFERROR(INDEX('العهد'!$F$3:$F$502,39),"")</f>
        <v/>
      </c>
      <c r="G45" s="43">
        <f>IFERROR(INDEX('العهد'!$G$3:$G$502,39),"")</f>
        <v/>
      </c>
      <c r="H45" s="118">
        <f>IFERROR(INDEX('العهد'!$H$3:$H$502,39),"")</f>
        <v/>
      </c>
      <c r="I45" s="43">
        <f>IFERROR(INDEX('العهد'!$I$3:$I$502,39),"")</f>
        <v/>
      </c>
      <c r="J45" s="43">
        <f>IFERROR(INDEX('العهد'!$J$3:$J$502,39),"")</f>
        <v/>
      </c>
      <c r="K45" s="43">
        <f>IFERROR(INDEX('العهد'!$K$3:$K$502,39),"")</f>
        <v/>
      </c>
    </row>
    <row r="46">
      <c r="A46" s="50">
        <f>IFERROR(INDEX('العهد'!$A$3:$A$502,40),"")</f>
        <v/>
      </c>
      <c r="B46" s="50">
        <f>IFERROR(INDEX('العهد'!$B$3:$B$502,40),"")</f>
        <v/>
      </c>
      <c r="C46" s="50">
        <f>IFERROR(INDEX('العهد'!$C$3:$C$502,40),"")</f>
        <v/>
      </c>
      <c r="D46" s="50">
        <f>IFERROR(INDEX('العهد'!$D$3:$D$502,40),"")</f>
        <v/>
      </c>
      <c r="E46" s="50">
        <f>IFERROR(INDEX('العهد'!$E$3:$E$502,40),"")</f>
        <v/>
      </c>
      <c r="F46" s="119">
        <f>IFERROR(INDEX('العهد'!$F$3:$F$502,40),"")</f>
        <v/>
      </c>
      <c r="G46" s="50">
        <f>IFERROR(INDEX('العهد'!$G$3:$G$502,40),"")</f>
        <v/>
      </c>
      <c r="H46" s="119">
        <f>IFERROR(INDEX('العهد'!$H$3:$H$502,40),"")</f>
        <v/>
      </c>
      <c r="I46" s="50">
        <f>IFERROR(INDEX('العهد'!$I$3:$I$502,40),"")</f>
        <v/>
      </c>
      <c r="J46" s="50">
        <f>IFERROR(INDEX('العهد'!$J$3:$J$502,40),"")</f>
        <v/>
      </c>
      <c r="K46" s="50">
        <f>IFERROR(INDEX('العهد'!$K$3:$K$502,40),"")</f>
        <v/>
      </c>
    </row>
    <row r="47">
      <c r="A47" s="43">
        <f>IFERROR(INDEX('العهد'!$A$3:$A$502,41),"")</f>
        <v/>
      </c>
      <c r="B47" s="43">
        <f>IFERROR(INDEX('العهد'!$B$3:$B$502,41),"")</f>
        <v/>
      </c>
      <c r="C47" s="43">
        <f>IFERROR(INDEX('العهد'!$C$3:$C$502,41),"")</f>
        <v/>
      </c>
      <c r="D47" s="43">
        <f>IFERROR(INDEX('العهد'!$D$3:$D$502,41),"")</f>
        <v/>
      </c>
      <c r="E47" s="43">
        <f>IFERROR(INDEX('العهد'!$E$3:$E$502,41),"")</f>
        <v/>
      </c>
      <c r="F47" s="118">
        <f>IFERROR(INDEX('العهد'!$F$3:$F$502,41),"")</f>
        <v/>
      </c>
      <c r="G47" s="43">
        <f>IFERROR(INDEX('العهد'!$G$3:$G$502,41),"")</f>
        <v/>
      </c>
      <c r="H47" s="118">
        <f>IFERROR(INDEX('العهد'!$H$3:$H$502,41),"")</f>
        <v/>
      </c>
      <c r="I47" s="43">
        <f>IFERROR(INDEX('العهد'!$I$3:$I$502,41),"")</f>
        <v/>
      </c>
      <c r="J47" s="43">
        <f>IFERROR(INDEX('العهد'!$J$3:$J$502,41),"")</f>
        <v/>
      </c>
      <c r="K47" s="43">
        <f>IFERROR(INDEX('العهد'!$K$3:$K$502,41),"")</f>
        <v/>
      </c>
    </row>
    <row r="48">
      <c r="A48" s="50">
        <f>IFERROR(INDEX('العهد'!$A$3:$A$502,42),"")</f>
        <v/>
      </c>
      <c r="B48" s="50">
        <f>IFERROR(INDEX('العهد'!$B$3:$B$502,42),"")</f>
        <v/>
      </c>
      <c r="C48" s="50">
        <f>IFERROR(INDEX('العهد'!$C$3:$C$502,42),"")</f>
        <v/>
      </c>
      <c r="D48" s="50">
        <f>IFERROR(INDEX('العهد'!$D$3:$D$502,42),"")</f>
        <v/>
      </c>
      <c r="E48" s="50">
        <f>IFERROR(INDEX('العهد'!$E$3:$E$502,42),"")</f>
        <v/>
      </c>
      <c r="F48" s="119">
        <f>IFERROR(INDEX('العهد'!$F$3:$F$502,42),"")</f>
        <v/>
      </c>
      <c r="G48" s="50">
        <f>IFERROR(INDEX('العهد'!$G$3:$G$502,42),"")</f>
        <v/>
      </c>
      <c r="H48" s="119">
        <f>IFERROR(INDEX('العهد'!$H$3:$H$502,42),"")</f>
        <v/>
      </c>
      <c r="I48" s="50">
        <f>IFERROR(INDEX('العهد'!$I$3:$I$502,42),"")</f>
        <v/>
      </c>
      <c r="J48" s="50">
        <f>IFERROR(INDEX('العهد'!$J$3:$J$502,42),"")</f>
        <v/>
      </c>
      <c r="K48" s="50">
        <f>IFERROR(INDEX('العهد'!$K$3:$K$502,42),"")</f>
        <v/>
      </c>
    </row>
    <row r="49">
      <c r="A49" s="43">
        <f>IFERROR(INDEX('العهد'!$A$3:$A$502,43),"")</f>
        <v/>
      </c>
      <c r="B49" s="43">
        <f>IFERROR(INDEX('العهد'!$B$3:$B$502,43),"")</f>
        <v/>
      </c>
      <c r="C49" s="43">
        <f>IFERROR(INDEX('العهد'!$C$3:$C$502,43),"")</f>
        <v/>
      </c>
      <c r="D49" s="43">
        <f>IFERROR(INDEX('العهد'!$D$3:$D$502,43),"")</f>
        <v/>
      </c>
      <c r="E49" s="43">
        <f>IFERROR(INDEX('العهد'!$E$3:$E$502,43),"")</f>
        <v/>
      </c>
      <c r="F49" s="118">
        <f>IFERROR(INDEX('العهد'!$F$3:$F$502,43),"")</f>
        <v/>
      </c>
      <c r="G49" s="43">
        <f>IFERROR(INDEX('العهد'!$G$3:$G$502,43),"")</f>
        <v/>
      </c>
      <c r="H49" s="118">
        <f>IFERROR(INDEX('العهد'!$H$3:$H$502,43),"")</f>
        <v/>
      </c>
      <c r="I49" s="43">
        <f>IFERROR(INDEX('العهد'!$I$3:$I$502,43),"")</f>
        <v/>
      </c>
      <c r="J49" s="43">
        <f>IFERROR(INDEX('العهد'!$J$3:$J$502,43),"")</f>
        <v/>
      </c>
      <c r="K49" s="43">
        <f>IFERROR(INDEX('العهد'!$K$3:$K$502,43),"")</f>
        <v/>
      </c>
    </row>
    <row r="50">
      <c r="A50" s="50">
        <f>IFERROR(INDEX('العهد'!$A$3:$A$502,44),"")</f>
        <v/>
      </c>
      <c r="B50" s="50">
        <f>IFERROR(INDEX('العهد'!$B$3:$B$502,44),"")</f>
        <v/>
      </c>
      <c r="C50" s="50">
        <f>IFERROR(INDEX('العهد'!$C$3:$C$502,44),"")</f>
        <v/>
      </c>
      <c r="D50" s="50">
        <f>IFERROR(INDEX('العهد'!$D$3:$D$502,44),"")</f>
        <v/>
      </c>
      <c r="E50" s="50">
        <f>IFERROR(INDEX('العهد'!$E$3:$E$502,44),"")</f>
        <v/>
      </c>
      <c r="F50" s="119">
        <f>IFERROR(INDEX('العهد'!$F$3:$F$502,44),"")</f>
        <v/>
      </c>
      <c r="G50" s="50">
        <f>IFERROR(INDEX('العهد'!$G$3:$G$502,44),"")</f>
        <v/>
      </c>
      <c r="H50" s="119">
        <f>IFERROR(INDEX('العهد'!$H$3:$H$502,44),"")</f>
        <v/>
      </c>
      <c r="I50" s="50">
        <f>IFERROR(INDEX('العهد'!$I$3:$I$502,44),"")</f>
        <v/>
      </c>
      <c r="J50" s="50">
        <f>IFERROR(INDEX('العهد'!$J$3:$J$502,44),"")</f>
        <v/>
      </c>
      <c r="K50" s="50">
        <f>IFERROR(INDEX('العهد'!$K$3:$K$502,44),"")</f>
        <v/>
      </c>
    </row>
    <row r="51">
      <c r="A51" s="43">
        <f>IFERROR(INDEX('العهد'!$A$3:$A$502,45),"")</f>
        <v/>
      </c>
      <c r="B51" s="43">
        <f>IFERROR(INDEX('العهد'!$B$3:$B$502,45),"")</f>
        <v/>
      </c>
      <c r="C51" s="43">
        <f>IFERROR(INDEX('العهد'!$C$3:$C$502,45),"")</f>
        <v/>
      </c>
      <c r="D51" s="43">
        <f>IFERROR(INDEX('العهد'!$D$3:$D$502,45),"")</f>
        <v/>
      </c>
      <c r="E51" s="43">
        <f>IFERROR(INDEX('العهد'!$E$3:$E$502,45),"")</f>
        <v/>
      </c>
      <c r="F51" s="118">
        <f>IFERROR(INDEX('العهد'!$F$3:$F$502,45),"")</f>
        <v/>
      </c>
      <c r="G51" s="43">
        <f>IFERROR(INDEX('العهد'!$G$3:$G$502,45),"")</f>
        <v/>
      </c>
      <c r="H51" s="118">
        <f>IFERROR(INDEX('العهد'!$H$3:$H$502,45),"")</f>
        <v/>
      </c>
      <c r="I51" s="43">
        <f>IFERROR(INDEX('العهد'!$I$3:$I$502,45),"")</f>
        <v/>
      </c>
      <c r="J51" s="43">
        <f>IFERROR(INDEX('العهد'!$J$3:$J$502,45),"")</f>
        <v/>
      </c>
      <c r="K51" s="43">
        <f>IFERROR(INDEX('العهد'!$K$3:$K$502,45),"")</f>
        <v/>
      </c>
    </row>
    <row r="52">
      <c r="A52" s="50">
        <f>IFERROR(INDEX('العهد'!$A$3:$A$502,46),"")</f>
        <v/>
      </c>
      <c r="B52" s="50">
        <f>IFERROR(INDEX('العهد'!$B$3:$B$502,46),"")</f>
        <v/>
      </c>
      <c r="C52" s="50">
        <f>IFERROR(INDEX('العهد'!$C$3:$C$502,46),"")</f>
        <v/>
      </c>
      <c r="D52" s="50">
        <f>IFERROR(INDEX('العهد'!$D$3:$D$502,46),"")</f>
        <v/>
      </c>
      <c r="E52" s="50">
        <f>IFERROR(INDEX('العهد'!$E$3:$E$502,46),"")</f>
        <v/>
      </c>
      <c r="F52" s="119">
        <f>IFERROR(INDEX('العهد'!$F$3:$F$502,46),"")</f>
        <v/>
      </c>
      <c r="G52" s="50">
        <f>IFERROR(INDEX('العهد'!$G$3:$G$502,46),"")</f>
        <v/>
      </c>
      <c r="H52" s="119">
        <f>IFERROR(INDEX('العهد'!$H$3:$H$502,46),"")</f>
        <v/>
      </c>
      <c r="I52" s="50">
        <f>IFERROR(INDEX('العهد'!$I$3:$I$502,46),"")</f>
        <v/>
      </c>
      <c r="J52" s="50">
        <f>IFERROR(INDEX('العهد'!$J$3:$J$502,46),"")</f>
        <v/>
      </c>
      <c r="K52" s="50">
        <f>IFERROR(INDEX('العهد'!$K$3:$K$502,46),"")</f>
        <v/>
      </c>
    </row>
    <row r="53">
      <c r="A53" s="43">
        <f>IFERROR(INDEX('العهد'!$A$3:$A$502,47),"")</f>
        <v/>
      </c>
      <c r="B53" s="43">
        <f>IFERROR(INDEX('العهد'!$B$3:$B$502,47),"")</f>
        <v/>
      </c>
      <c r="C53" s="43">
        <f>IFERROR(INDEX('العهد'!$C$3:$C$502,47),"")</f>
        <v/>
      </c>
      <c r="D53" s="43">
        <f>IFERROR(INDEX('العهد'!$D$3:$D$502,47),"")</f>
        <v/>
      </c>
      <c r="E53" s="43">
        <f>IFERROR(INDEX('العهد'!$E$3:$E$502,47),"")</f>
        <v/>
      </c>
      <c r="F53" s="118">
        <f>IFERROR(INDEX('العهد'!$F$3:$F$502,47),"")</f>
        <v/>
      </c>
      <c r="G53" s="43">
        <f>IFERROR(INDEX('العهد'!$G$3:$G$502,47),"")</f>
        <v/>
      </c>
      <c r="H53" s="118">
        <f>IFERROR(INDEX('العهد'!$H$3:$H$502,47),"")</f>
        <v/>
      </c>
      <c r="I53" s="43">
        <f>IFERROR(INDEX('العهد'!$I$3:$I$502,47),"")</f>
        <v/>
      </c>
      <c r="J53" s="43">
        <f>IFERROR(INDEX('العهد'!$J$3:$J$502,47),"")</f>
        <v/>
      </c>
      <c r="K53" s="43">
        <f>IFERROR(INDEX('العهد'!$K$3:$K$502,47),"")</f>
        <v/>
      </c>
    </row>
    <row r="54">
      <c r="A54" s="50">
        <f>IFERROR(INDEX('العهد'!$A$3:$A$502,48),"")</f>
        <v/>
      </c>
      <c r="B54" s="50">
        <f>IFERROR(INDEX('العهد'!$B$3:$B$502,48),"")</f>
        <v/>
      </c>
      <c r="C54" s="50">
        <f>IFERROR(INDEX('العهد'!$C$3:$C$502,48),"")</f>
        <v/>
      </c>
      <c r="D54" s="50">
        <f>IFERROR(INDEX('العهد'!$D$3:$D$502,48),"")</f>
        <v/>
      </c>
      <c r="E54" s="50">
        <f>IFERROR(INDEX('العهد'!$E$3:$E$502,48),"")</f>
        <v/>
      </c>
      <c r="F54" s="119">
        <f>IFERROR(INDEX('العهد'!$F$3:$F$502,48),"")</f>
        <v/>
      </c>
      <c r="G54" s="50">
        <f>IFERROR(INDEX('العهد'!$G$3:$G$502,48),"")</f>
        <v/>
      </c>
      <c r="H54" s="119">
        <f>IFERROR(INDEX('العهد'!$H$3:$H$502,48),"")</f>
        <v/>
      </c>
      <c r="I54" s="50">
        <f>IFERROR(INDEX('العهد'!$I$3:$I$502,48),"")</f>
        <v/>
      </c>
      <c r="J54" s="50">
        <f>IFERROR(INDEX('العهد'!$J$3:$J$502,48),"")</f>
        <v/>
      </c>
      <c r="K54" s="50">
        <f>IFERROR(INDEX('العهد'!$K$3:$K$502,48),"")</f>
        <v/>
      </c>
    </row>
    <row r="55">
      <c r="A55" s="43">
        <f>IFERROR(INDEX('العهد'!$A$3:$A$502,49),"")</f>
        <v/>
      </c>
      <c r="B55" s="43">
        <f>IFERROR(INDEX('العهد'!$B$3:$B$502,49),"")</f>
        <v/>
      </c>
      <c r="C55" s="43">
        <f>IFERROR(INDEX('العهد'!$C$3:$C$502,49),"")</f>
        <v/>
      </c>
      <c r="D55" s="43">
        <f>IFERROR(INDEX('العهد'!$D$3:$D$502,49),"")</f>
        <v/>
      </c>
      <c r="E55" s="43">
        <f>IFERROR(INDEX('العهد'!$E$3:$E$502,49),"")</f>
        <v/>
      </c>
      <c r="F55" s="118">
        <f>IFERROR(INDEX('العهد'!$F$3:$F$502,49),"")</f>
        <v/>
      </c>
      <c r="G55" s="43">
        <f>IFERROR(INDEX('العهد'!$G$3:$G$502,49),"")</f>
        <v/>
      </c>
      <c r="H55" s="118">
        <f>IFERROR(INDEX('العهد'!$H$3:$H$502,49),"")</f>
        <v/>
      </c>
      <c r="I55" s="43">
        <f>IFERROR(INDEX('العهد'!$I$3:$I$502,49),"")</f>
        <v/>
      </c>
      <c r="J55" s="43">
        <f>IFERROR(INDEX('العهد'!$J$3:$J$502,49),"")</f>
        <v/>
      </c>
      <c r="K55" s="43">
        <f>IFERROR(INDEX('العهد'!$K$3:$K$502,49),"")</f>
        <v/>
      </c>
    </row>
    <row r="56">
      <c r="A56" s="50">
        <f>IFERROR(INDEX('العهد'!$A$3:$A$502,50),"")</f>
        <v/>
      </c>
      <c r="B56" s="50">
        <f>IFERROR(INDEX('العهد'!$B$3:$B$502,50),"")</f>
        <v/>
      </c>
      <c r="C56" s="50">
        <f>IFERROR(INDEX('العهد'!$C$3:$C$502,50),"")</f>
        <v/>
      </c>
      <c r="D56" s="50">
        <f>IFERROR(INDEX('العهد'!$D$3:$D$502,50),"")</f>
        <v/>
      </c>
      <c r="E56" s="50">
        <f>IFERROR(INDEX('العهد'!$E$3:$E$502,50),"")</f>
        <v/>
      </c>
      <c r="F56" s="119">
        <f>IFERROR(INDEX('العهد'!$F$3:$F$502,50),"")</f>
        <v/>
      </c>
      <c r="G56" s="50">
        <f>IFERROR(INDEX('العهد'!$G$3:$G$502,50),"")</f>
        <v/>
      </c>
      <c r="H56" s="119">
        <f>IFERROR(INDEX('العهد'!$H$3:$H$502,50),"")</f>
        <v/>
      </c>
      <c r="I56" s="50">
        <f>IFERROR(INDEX('العهد'!$I$3:$I$502,50),"")</f>
        <v/>
      </c>
      <c r="J56" s="50">
        <f>IFERROR(INDEX('العهد'!$J$3:$J$502,50),"")</f>
        <v/>
      </c>
      <c r="K56" s="50">
        <f>IFERROR(INDEX('العهد'!$K$3:$K$502,50),"")</f>
        <v/>
      </c>
    </row>
    <row r="57">
      <c r="A57" s="43">
        <f>IFERROR(INDEX('العهد'!$A$3:$A$502,51),"")</f>
        <v/>
      </c>
      <c r="B57" s="43">
        <f>IFERROR(INDEX('العهد'!$B$3:$B$502,51),"")</f>
        <v/>
      </c>
      <c r="C57" s="43">
        <f>IFERROR(INDEX('العهد'!$C$3:$C$502,51),"")</f>
        <v/>
      </c>
      <c r="D57" s="43">
        <f>IFERROR(INDEX('العهد'!$D$3:$D$502,51),"")</f>
        <v/>
      </c>
      <c r="E57" s="43">
        <f>IFERROR(INDEX('العهد'!$E$3:$E$502,51),"")</f>
        <v/>
      </c>
      <c r="F57" s="118">
        <f>IFERROR(INDEX('العهد'!$F$3:$F$502,51),"")</f>
        <v/>
      </c>
      <c r="G57" s="43">
        <f>IFERROR(INDEX('العهد'!$G$3:$G$502,51),"")</f>
        <v/>
      </c>
      <c r="H57" s="118">
        <f>IFERROR(INDEX('العهد'!$H$3:$H$502,51),"")</f>
        <v/>
      </c>
      <c r="I57" s="43">
        <f>IFERROR(INDEX('العهد'!$I$3:$I$502,51),"")</f>
        <v/>
      </c>
      <c r="J57" s="43">
        <f>IFERROR(INDEX('العهد'!$J$3:$J$502,51),"")</f>
        <v/>
      </c>
      <c r="K57" s="43">
        <f>IFERROR(INDEX('العهد'!$K$3:$K$502,51),"")</f>
        <v/>
      </c>
    </row>
    <row r="58">
      <c r="A58" s="50">
        <f>IFERROR(INDEX('العهد'!$A$3:$A$502,52),"")</f>
        <v/>
      </c>
      <c r="B58" s="50">
        <f>IFERROR(INDEX('العهد'!$B$3:$B$502,52),"")</f>
        <v/>
      </c>
      <c r="C58" s="50">
        <f>IFERROR(INDEX('العهد'!$C$3:$C$502,52),"")</f>
        <v/>
      </c>
      <c r="D58" s="50">
        <f>IFERROR(INDEX('العهد'!$D$3:$D$502,52),"")</f>
        <v/>
      </c>
      <c r="E58" s="50">
        <f>IFERROR(INDEX('العهد'!$E$3:$E$502,52),"")</f>
        <v/>
      </c>
      <c r="F58" s="119">
        <f>IFERROR(INDEX('العهد'!$F$3:$F$502,52),"")</f>
        <v/>
      </c>
      <c r="G58" s="50">
        <f>IFERROR(INDEX('العهد'!$G$3:$G$502,52),"")</f>
        <v/>
      </c>
      <c r="H58" s="119">
        <f>IFERROR(INDEX('العهد'!$H$3:$H$502,52),"")</f>
        <v/>
      </c>
      <c r="I58" s="50">
        <f>IFERROR(INDEX('العهد'!$I$3:$I$502,52),"")</f>
        <v/>
      </c>
      <c r="J58" s="50">
        <f>IFERROR(INDEX('العهد'!$J$3:$J$502,52),"")</f>
        <v/>
      </c>
      <c r="K58" s="50">
        <f>IFERROR(INDEX('العهد'!$K$3:$K$502,52),"")</f>
        <v/>
      </c>
    </row>
    <row r="59">
      <c r="A59" s="43">
        <f>IFERROR(INDEX('العهد'!$A$3:$A$502,53),"")</f>
        <v/>
      </c>
      <c r="B59" s="43">
        <f>IFERROR(INDEX('العهد'!$B$3:$B$502,53),"")</f>
        <v/>
      </c>
      <c r="C59" s="43">
        <f>IFERROR(INDEX('العهد'!$C$3:$C$502,53),"")</f>
        <v/>
      </c>
      <c r="D59" s="43">
        <f>IFERROR(INDEX('العهد'!$D$3:$D$502,53),"")</f>
        <v/>
      </c>
      <c r="E59" s="43">
        <f>IFERROR(INDEX('العهد'!$E$3:$E$502,53),"")</f>
        <v/>
      </c>
      <c r="F59" s="118">
        <f>IFERROR(INDEX('العهد'!$F$3:$F$502,53),"")</f>
        <v/>
      </c>
      <c r="G59" s="43">
        <f>IFERROR(INDEX('العهد'!$G$3:$G$502,53),"")</f>
        <v/>
      </c>
      <c r="H59" s="118">
        <f>IFERROR(INDEX('العهد'!$H$3:$H$502,53),"")</f>
        <v/>
      </c>
      <c r="I59" s="43">
        <f>IFERROR(INDEX('العهد'!$I$3:$I$502,53),"")</f>
        <v/>
      </c>
      <c r="J59" s="43">
        <f>IFERROR(INDEX('العهد'!$J$3:$J$502,53),"")</f>
        <v/>
      </c>
      <c r="K59" s="43">
        <f>IFERROR(INDEX('العهد'!$K$3:$K$502,53),"")</f>
        <v/>
      </c>
    </row>
    <row r="60">
      <c r="A60" s="50">
        <f>IFERROR(INDEX('العهد'!$A$3:$A$502,54),"")</f>
        <v/>
      </c>
      <c r="B60" s="50">
        <f>IFERROR(INDEX('العهد'!$B$3:$B$502,54),"")</f>
        <v/>
      </c>
      <c r="C60" s="50">
        <f>IFERROR(INDEX('العهد'!$C$3:$C$502,54),"")</f>
        <v/>
      </c>
      <c r="D60" s="50">
        <f>IFERROR(INDEX('العهد'!$D$3:$D$502,54),"")</f>
        <v/>
      </c>
      <c r="E60" s="50">
        <f>IFERROR(INDEX('العهد'!$E$3:$E$502,54),"")</f>
        <v/>
      </c>
      <c r="F60" s="119">
        <f>IFERROR(INDEX('العهد'!$F$3:$F$502,54),"")</f>
        <v/>
      </c>
      <c r="G60" s="50">
        <f>IFERROR(INDEX('العهد'!$G$3:$G$502,54),"")</f>
        <v/>
      </c>
      <c r="H60" s="119">
        <f>IFERROR(INDEX('العهد'!$H$3:$H$502,54),"")</f>
        <v/>
      </c>
      <c r="I60" s="50">
        <f>IFERROR(INDEX('العهد'!$I$3:$I$502,54),"")</f>
        <v/>
      </c>
      <c r="J60" s="50">
        <f>IFERROR(INDEX('العهد'!$J$3:$J$502,54),"")</f>
        <v/>
      </c>
      <c r="K60" s="50">
        <f>IFERROR(INDEX('العهد'!$K$3:$K$502,54),"")</f>
        <v/>
      </c>
    </row>
    <row r="61">
      <c r="A61" s="43">
        <f>IFERROR(INDEX('العهد'!$A$3:$A$502,55),"")</f>
        <v/>
      </c>
      <c r="B61" s="43">
        <f>IFERROR(INDEX('العهد'!$B$3:$B$502,55),"")</f>
        <v/>
      </c>
      <c r="C61" s="43">
        <f>IFERROR(INDEX('العهد'!$C$3:$C$502,55),"")</f>
        <v/>
      </c>
      <c r="D61" s="43">
        <f>IFERROR(INDEX('العهد'!$D$3:$D$502,55),"")</f>
        <v/>
      </c>
      <c r="E61" s="43">
        <f>IFERROR(INDEX('العهد'!$E$3:$E$502,55),"")</f>
        <v/>
      </c>
      <c r="F61" s="118">
        <f>IFERROR(INDEX('العهد'!$F$3:$F$502,55),"")</f>
        <v/>
      </c>
      <c r="G61" s="43">
        <f>IFERROR(INDEX('العهد'!$G$3:$G$502,55),"")</f>
        <v/>
      </c>
      <c r="H61" s="118">
        <f>IFERROR(INDEX('العهد'!$H$3:$H$502,55),"")</f>
        <v/>
      </c>
      <c r="I61" s="43">
        <f>IFERROR(INDEX('العهد'!$I$3:$I$502,55),"")</f>
        <v/>
      </c>
      <c r="J61" s="43">
        <f>IFERROR(INDEX('العهد'!$J$3:$J$502,55),"")</f>
        <v/>
      </c>
      <c r="K61" s="43">
        <f>IFERROR(INDEX('العهد'!$K$3:$K$502,55),"")</f>
        <v/>
      </c>
    </row>
    <row r="62">
      <c r="A62" s="50">
        <f>IFERROR(INDEX('العهد'!$A$3:$A$502,56),"")</f>
        <v/>
      </c>
      <c r="B62" s="50">
        <f>IFERROR(INDEX('العهد'!$B$3:$B$502,56),"")</f>
        <v/>
      </c>
      <c r="C62" s="50">
        <f>IFERROR(INDEX('العهد'!$C$3:$C$502,56),"")</f>
        <v/>
      </c>
      <c r="D62" s="50">
        <f>IFERROR(INDEX('العهد'!$D$3:$D$502,56),"")</f>
        <v/>
      </c>
      <c r="E62" s="50">
        <f>IFERROR(INDEX('العهد'!$E$3:$E$502,56),"")</f>
        <v/>
      </c>
      <c r="F62" s="119">
        <f>IFERROR(INDEX('العهد'!$F$3:$F$502,56),"")</f>
        <v/>
      </c>
      <c r="G62" s="50">
        <f>IFERROR(INDEX('العهد'!$G$3:$G$502,56),"")</f>
        <v/>
      </c>
      <c r="H62" s="119">
        <f>IFERROR(INDEX('العهد'!$H$3:$H$502,56),"")</f>
        <v/>
      </c>
      <c r="I62" s="50">
        <f>IFERROR(INDEX('العهد'!$I$3:$I$502,56),"")</f>
        <v/>
      </c>
      <c r="J62" s="50">
        <f>IFERROR(INDEX('العهد'!$J$3:$J$502,56),"")</f>
        <v/>
      </c>
      <c r="K62" s="50">
        <f>IFERROR(INDEX('العهد'!$K$3:$K$502,56),"")</f>
        <v/>
      </c>
    </row>
    <row r="63">
      <c r="A63" s="43">
        <f>IFERROR(INDEX('العهد'!$A$3:$A$502,57),"")</f>
        <v/>
      </c>
      <c r="B63" s="43">
        <f>IFERROR(INDEX('العهد'!$B$3:$B$502,57),"")</f>
        <v/>
      </c>
      <c r="C63" s="43">
        <f>IFERROR(INDEX('العهد'!$C$3:$C$502,57),"")</f>
        <v/>
      </c>
      <c r="D63" s="43">
        <f>IFERROR(INDEX('العهد'!$D$3:$D$502,57),"")</f>
        <v/>
      </c>
      <c r="E63" s="43">
        <f>IFERROR(INDEX('العهد'!$E$3:$E$502,57),"")</f>
        <v/>
      </c>
      <c r="F63" s="118">
        <f>IFERROR(INDEX('العهد'!$F$3:$F$502,57),"")</f>
        <v/>
      </c>
      <c r="G63" s="43">
        <f>IFERROR(INDEX('العهد'!$G$3:$G$502,57),"")</f>
        <v/>
      </c>
      <c r="H63" s="118">
        <f>IFERROR(INDEX('العهد'!$H$3:$H$502,57),"")</f>
        <v/>
      </c>
      <c r="I63" s="43">
        <f>IFERROR(INDEX('العهد'!$I$3:$I$502,57),"")</f>
        <v/>
      </c>
      <c r="J63" s="43">
        <f>IFERROR(INDEX('العهد'!$J$3:$J$502,57),"")</f>
        <v/>
      </c>
      <c r="K63" s="43">
        <f>IFERROR(INDEX('العهد'!$K$3:$K$502,57),"")</f>
        <v/>
      </c>
    </row>
    <row r="64">
      <c r="A64" s="50">
        <f>IFERROR(INDEX('العهد'!$A$3:$A$502,58),"")</f>
        <v/>
      </c>
      <c r="B64" s="50">
        <f>IFERROR(INDEX('العهد'!$B$3:$B$502,58),"")</f>
        <v/>
      </c>
      <c r="C64" s="50">
        <f>IFERROR(INDEX('العهد'!$C$3:$C$502,58),"")</f>
        <v/>
      </c>
      <c r="D64" s="50">
        <f>IFERROR(INDEX('العهد'!$D$3:$D$502,58),"")</f>
        <v/>
      </c>
      <c r="E64" s="50">
        <f>IFERROR(INDEX('العهد'!$E$3:$E$502,58),"")</f>
        <v/>
      </c>
      <c r="F64" s="119">
        <f>IFERROR(INDEX('العهد'!$F$3:$F$502,58),"")</f>
        <v/>
      </c>
      <c r="G64" s="50">
        <f>IFERROR(INDEX('العهد'!$G$3:$G$502,58),"")</f>
        <v/>
      </c>
      <c r="H64" s="119">
        <f>IFERROR(INDEX('العهد'!$H$3:$H$502,58),"")</f>
        <v/>
      </c>
      <c r="I64" s="50">
        <f>IFERROR(INDEX('العهد'!$I$3:$I$502,58),"")</f>
        <v/>
      </c>
      <c r="J64" s="50">
        <f>IFERROR(INDEX('العهد'!$J$3:$J$502,58),"")</f>
        <v/>
      </c>
      <c r="K64" s="50">
        <f>IFERROR(INDEX('العهد'!$K$3:$K$502,58),"")</f>
        <v/>
      </c>
    </row>
    <row r="65">
      <c r="A65" s="43">
        <f>IFERROR(INDEX('العهد'!$A$3:$A$502,59),"")</f>
        <v/>
      </c>
      <c r="B65" s="43">
        <f>IFERROR(INDEX('العهد'!$B$3:$B$502,59),"")</f>
        <v/>
      </c>
      <c r="C65" s="43">
        <f>IFERROR(INDEX('العهد'!$C$3:$C$502,59),"")</f>
        <v/>
      </c>
      <c r="D65" s="43">
        <f>IFERROR(INDEX('العهد'!$D$3:$D$502,59),"")</f>
        <v/>
      </c>
      <c r="E65" s="43">
        <f>IFERROR(INDEX('العهد'!$E$3:$E$502,59),"")</f>
        <v/>
      </c>
      <c r="F65" s="118">
        <f>IFERROR(INDEX('العهد'!$F$3:$F$502,59),"")</f>
        <v/>
      </c>
      <c r="G65" s="43">
        <f>IFERROR(INDEX('العهد'!$G$3:$G$502,59),"")</f>
        <v/>
      </c>
      <c r="H65" s="118">
        <f>IFERROR(INDEX('العهد'!$H$3:$H$502,59),"")</f>
        <v/>
      </c>
      <c r="I65" s="43">
        <f>IFERROR(INDEX('العهد'!$I$3:$I$502,59),"")</f>
        <v/>
      </c>
      <c r="J65" s="43">
        <f>IFERROR(INDEX('العهد'!$J$3:$J$502,59),"")</f>
        <v/>
      </c>
      <c r="K65" s="43">
        <f>IFERROR(INDEX('العهد'!$K$3:$K$502,59),"")</f>
        <v/>
      </c>
    </row>
    <row r="66">
      <c r="A66" s="50">
        <f>IFERROR(INDEX('العهد'!$A$3:$A$502,60),"")</f>
        <v/>
      </c>
      <c r="B66" s="50">
        <f>IFERROR(INDEX('العهد'!$B$3:$B$502,60),"")</f>
        <v/>
      </c>
      <c r="C66" s="50">
        <f>IFERROR(INDEX('العهد'!$C$3:$C$502,60),"")</f>
        <v/>
      </c>
      <c r="D66" s="50">
        <f>IFERROR(INDEX('العهد'!$D$3:$D$502,60),"")</f>
        <v/>
      </c>
      <c r="E66" s="50">
        <f>IFERROR(INDEX('العهد'!$E$3:$E$502,60),"")</f>
        <v/>
      </c>
      <c r="F66" s="119">
        <f>IFERROR(INDEX('العهد'!$F$3:$F$502,60),"")</f>
        <v/>
      </c>
      <c r="G66" s="50">
        <f>IFERROR(INDEX('العهد'!$G$3:$G$502,60),"")</f>
        <v/>
      </c>
      <c r="H66" s="119">
        <f>IFERROR(INDEX('العهد'!$H$3:$H$502,60),"")</f>
        <v/>
      </c>
      <c r="I66" s="50">
        <f>IFERROR(INDEX('العهد'!$I$3:$I$502,60),"")</f>
        <v/>
      </c>
      <c r="J66" s="50">
        <f>IFERROR(INDEX('العهد'!$J$3:$J$502,60),"")</f>
        <v/>
      </c>
      <c r="K66" s="50">
        <f>IFERROR(INDEX('العهد'!$K$3:$K$502,60),"")</f>
        <v/>
      </c>
    </row>
    <row r="67">
      <c r="A67" s="43">
        <f>IFERROR(INDEX('العهد'!$A$3:$A$502,61),"")</f>
        <v/>
      </c>
      <c r="B67" s="43">
        <f>IFERROR(INDEX('العهد'!$B$3:$B$502,61),"")</f>
        <v/>
      </c>
      <c r="C67" s="43">
        <f>IFERROR(INDEX('العهد'!$C$3:$C$502,61),"")</f>
        <v/>
      </c>
      <c r="D67" s="43">
        <f>IFERROR(INDEX('العهد'!$D$3:$D$502,61),"")</f>
        <v/>
      </c>
      <c r="E67" s="43">
        <f>IFERROR(INDEX('العهد'!$E$3:$E$502,61),"")</f>
        <v/>
      </c>
      <c r="F67" s="118">
        <f>IFERROR(INDEX('العهد'!$F$3:$F$502,61),"")</f>
        <v/>
      </c>
      <c r="G67" s="43">
        <f>IFERROR(INDEX('العهد'!$G$3:$G$502,61),"")</f>
        <v/>
      </c>
      <c r="H67" s="118">
        <f>IFERROR(INDEX('العهد'!$H$3:$H$502,61),"")</f>
        <v/>
      </c>
      <c r="I67" s="43">
        <f>IFERROR(INDEX('العهد'!$I$3:$I$502,61),"")</f>
        <v/>
      </c>
      <c r="J67" s="43">
        <f>IFERROR(INDEX('العهد'!$J$3:$J$502,61),"")</f>
        <v/>
      </c>
      <c r="K67" s="43">
        <f>IFERROR(INDEX('العهد'!$K$3:$K$502,61),"")</f>
        <v/>
      </c>
    </row>
    <row r="68">
      <c r="A68" s="50">
        <f>IFERROR(INDEX('العهد'!$A$3:$A$502,62),"")</f>
        <v/>
      </c>
      <c r="B68" s="50">
        <f>IFERROR(INDEX('العهد'!$B$3:$B$502,62),"")</f>
        <v/>
      </c>
      <c r="C68" s="50">
        <f>IFERROR(INDEX('العهد'!$C$3:$C$502,62),"")</f>
        <v/>
      </c>
      <c r="D68" s="50">
        <f>IFERROR(INDEX('العهد'!$D$3:$D$502,62),"")</f>
        <v/>
      </c>
      <c r="E68" s="50">
        <f>IFERROR(INDEX('العهد'!$E$3:$E$502,62),"")</f>
        <v/>
      </c>
      <c r="F68" s="119">
        <f>IFERROR(INDEX('العهد'!$F$3:$F$502,62),"")</f>
        <v/>
      </c>
      <c r="G68" s="50">
        <f>IFERROR(INDEX('العهد'!$G$3:$G$502,62),"")</f>
        <v/>
      </c>
      <c r="H68" s="119">
        <f>IFERROR(INDEX('العهد'!$H$3:$H$502,62),"")</f>
        <v/>
      </c>
      <c r="I68" s="50">
        <f>IFERROR(INDEX('العهد'!$I$3:$I$502,62),"")</f>
        <v/>
      </c>
      <c r="J68" s="50">
        <f>IFERROR(INDEX('العهد'!$J$3:$J$502,62),"")</f>
        <v/>
      </c>
      <c r="K68" s="50">
        <f>IFERROR(INDEX('العهد'!$K$3:$K$502,62),"")</f>
        <v/>
      </c>
    </row>
    <row r="69">
      <c r="A69" s="43">
        <f>IFERROR(INDEX('العهد'!$A$3:$A$502,63),"")</f>
        <v/>
      </c>
      <c r="B69" s="43">
        <f>IFERROR(INDEX('العهد'!$B$3:$B$502,63),"")</f>
        <v/>
      </c>
      <c r="C69" s="43">
        <f>IFERROR(INDEX('العهد'!$C$3:$C$502,63),"")</f>
        <v/>
      </c>
      <c r="D69" s="43">
        <f>IFERROR(INDEX('العهد'!$D$3:$D$502,63),"")</f>
        <v/>
      </c>
      <c r="E69" s="43">
        <f>IFERROR(INDEX('العهد'!$E$3:$E$502,63),"")</f>
        <v/>
      </c>
      <c r="F69" s="118">
        <f>IFERROR(INDEX('العهد'!$F$3:$F$502,63),"")</f>
        <v/>
      </c>
      <c r="G69" s="43">
        <f>IFERROR(INDEX('العهد'!$G$3:$G$502,63),"")</f>
        <v/>
      </c>
      <c r="H69" s="118">
        <f>IFERROR(INDEX('العهد'!$H$3:$H$502,63),"")</f>
        <v/>
      </c>
      <c r="I69" s="43">
        <f>IFERROR(INDEX('العهد'!$I$3:$I$502,63),"")</f>
        <v/>
      </c>
      <c r="J69" s="43">
        <f>IFERROR(INDEX('العهد'!$J$3:$J$502,63),"")</f>
        <v/>
      </c>
      <c r="K69" s="43">
        <f>IFERROR(INDEX('العهد'!$K$3:$K$502,63),"")</f>
        <v/>
      </c>
    </row>
    <row r="70">
      <c r="A70" s="50">
        <f>IFERROR(INDEX('العهد'!$A$3:$A$502,64),"")</f>
        <v/>
      </c>
      <c r="B70" s="50">
        <f>IFERROR(INDEX('العهد'!$B$3:$B$502,64),"")</f>
        <v/>
      </c>
      <c r="C70" s="50">
        <f>IFERROR(INDEX('العهد'!$C$3:$C$502,64),"")</f>
        <v/>
      </c>
      <c r="D70" s="50">
        <f>IFERROR(INDEX('العهد'!$D$3:$D$502,64),"")</f>
        <v/>
      </c>
      <c r="E70" s="50">
        <f>IFERROR(INDEX('العهد'!$E$3:$E$502,64),"")</f>
        <v/>
      </c>
      <c r="F70" s="119">
        <f>IFERROR(INDEX('العهد'!$F$3:$F$502,64),"")</f>
        <v/>
      </c>
      <c r="G70" s="50">
        <f>IFERROR(INDEX('العهد'!$G$3:$G$502,64),"")</f>
        <v/>
      </c>
      <c r="H70" s="119">
        <f>IFERROR(INDEX('العهد'!$H$3:$H$502,64),"")</f>
        <v/>
      </c>
      <c r="I70" s="50">
        <f>IFERROR(INDEX('العهد'!$I$3:$I$502,64),"")</f>
        <v/>
      </c>
      <c r="J70" s="50">
        <f>IFERROR(INDEX('العهد'!$J$3:$J$502,64),"")</f>
        <v/>
      </c>
      <c r="K70" s="50">
        <f>IFERROR(INDEX('العهد'!$K$3:$K$502,64),"")</f>
        <v/>
      </c>
    </row>
    <row r="71">
      <c r="A71" s="43">
        <f>IFERROR(INDEX('العهد'!$A$3:$A$502,65),"")</f>
        <v/>
      </c>
      <c r="B71" s="43">
        <f>IFERROR(INDEX('العهد'!$B$3:$B$502,65),"")</f>
        <v/>
      </c>
      <c r="C71" s="43">
        <f>IFERROR(INDEX('العهد'!$C$3:$C$502,65),"")</f>
        <v/>
      </c>
      <c r="D71" s="43">
        <f>IFERROR(INDEX('العهد'!$D$3:$D$502,65),"")</f>
        <v/>
      </c>
      <c r="E71" s="43">
        <f>IFERROR(INDEX('العهد'!$E$3:$E$502,65),"")</f>
        <v/>
      </c>
      <c r="F71" s="118">
        <f>IFERROR(INDEX('العهد'!$F$3:$F$502,65),"")</f>
        <v/>
      </c>
      <c r="G71" s="43">
        <f>IFERROR(INDEX('العهد'!$G$3:$G$502,65),"")</f>
        <v/>
      </c>
      <c r="H71" s="118">
        <f>IFERROR(INDEX('العهد'!$H$3:$H$502,65),"")</f>
        <v/>
      </c>
      <c r="I71" s="43">
        <f>IFERROR(INDEX('العهد'!$I$3:$I$502,65),"")</f>
        <v/>
      </c>
      <c r="J71" s="43">
        <f>IFERROR(INDEX('العهد'!$J$3:$J$502,65),"")</f>
        <v/>
      </c>
      <c r="K71" s="43">
        <f>IFERROR(INDEX('العهد'!$K$3:$K$502,65),"")</f>
        <v/>
      </c>
    </row>
    <row r="72">
      <c r="A72" s="50">
        <f>IFERROR(INDEX('العهد'!$A$3:$A$502,66),"")</f>
        <v/>
      </c>
      <c r="B72" s="50">
        <f>IFERROR(INDEX('العهد'!$B$3:$B$502,66),"")</f>
        <v/>
      </c>
      <c r="C72" s="50">
        <f>IFERROR(INDEX('العهد'!$C$3:$C$502,66),"")</f>
        <v/>
      </c>
      <c r="D72" s="50">
        <f>IFERROR(INDEX('العهد'!$D$3:$D$502,66),"")</f>
        <v/>
      </c>
      <c r="E72" s="50">
        <f>IFERROR(INDEX('العهد'!$E$3:$E$502,66),"")</f>
        <v/>
      </c>
      <c r="F72" s="119">
        <f>IFERROR(INDEX('العهد'!$F$3:$F$502,66),"")</f>
        <v/>
      </c>
      <c r="G72" s="50">
        <f>IFERROR(INDEX('العهد'!$G$3:$G$502,66),"")</f>
        <v/>
      </c>
      <c r="H72" s="119">
        <f>IFERROR(INDEX('العهد'!$H$3:$H$502,66),"")</f>
        <v/>
      </c>
      <c r="I72" s="50">
        <f>IFERROR(INDEX('العهد'!$I$3:$I$502,66),"")</f>
        <v/>
      </c>
      <c r="J72" s="50">
        <f>IFERROR(INDEX('العهد'!$J$3:$J$502,66),"")</f>
        <v/>
      </c>
      <c r="K72" s="50">
        <f>IFERROR(INDEX('العهد'!$K$3:$K$502,66),"")</f>
        <v/>
      </c>
    </row>
    <row r="73">
      <c r="A73" s="43">
        <f>IFERROR(INDEX('العهد'!$A$3:$A$502,67),"")</f>
        <v/>
      </c>
      <c r="B73" s="43">
        <f>IFERROR(INDEX('العهد'!$B$3:$B$502,67),"")</f>
        <v/>
      </c>
      <c r="C73" s="43">
        <f>IFERROR(INDEX('العهد'!$C$3:$C$502,67),"")</f>
        <v/>
      </c>
      <c r="D73" s="43">
        <f>IFERROR(INDEX('العهد'!$D$3:$D$502,67),"")</f>
        <v/>
      </c>
      <c r="E73" s="43">
        <f>IFERROR(INDEX('العهد'!$E$3:$E$502,67),"")</f>
        <v/>
      </c>
      <c r="F73" s="118">
        <f>IFERROR(INDEX('العهد'!$F$3:$F$502,67),"")</f>
        <v/>
      </c>
      <c r="G73" s="43">
        <f>IFERROR(INDEX('العهد'!$G$3:$G$502,67),"")</f>
        <v/>
      </c>
      <c r="H73" s="118">
        <f>IFERROR(INDEX('العهد'!$H$3:$H$502,67),"")</f>
        <v/>
      </c>
      <c r="I73" s="43">
        <f>IFERROR(INDEX('العهد'!$I$3:$I$502,67),"")</f>
        <v/>
      </c>
      <c r="J73" s="43">
        <f>IFERROR(INDEX('العهد'!$J$3:$J$502,67),"")</f>
        <v/>
      </c>
      <c r="K73" s="43">
        <f>IFERROR(INDEX('العهد'!$K$3:$K$502,67),"")</f>
        <v/>
      </c>
    </row>
    <row r="74">
      <c r="A74" s="50">
        <f>IFERROR(INDEX('العهد'!$A$3:$A$502,68),"")</f>
        <v/>
      </c>
      <c r="B74" s="50">
        <f>IFERROR(INDEX('العهد'!$B$3:$B$502,68),"")</f>
        <v/>
      </c>
      <c r="C74" s="50">
        <f>IFERROR(INDEX('العهد'!$C$3:$C$502,68),"")</f>
        <v/>
      </c>
      <c r="D74" s="50">
        <f>IFERROR(INDEX('العهد'!$D$3:$D$502,68),"")</f>
        <v/>
      </c>
      <c r="E74" s="50">
        <f>IFERROR(INDEX('العهد'!$E$3:$E$502,68),"")</f>
        <v/>
      </c>
      <c r="F74" s="119">
        <f>IFERROR(INDEX('العهد'!$F$3:$F$502,68),"")</f>
        <v/>
      </c>
      <c r="G74" s="50">
        <f>IFERROR(INDEX('العهد'!$G$3:$G$502,68),"")</f>
        <v/>
      </c>
      <c r="H74" s="119">
        <f>IFERROR(INDEX('العهد'!$H$3:$H$502,68),"")</f>
        <v/>
      </c>
      <c r="I74" s="50">
        <f>IFERROR(INDEX('العهد'!$I$3:$I$502,68),"")</f>
        <v/>
      </c>
      <c r="J74" s="50">
        <f>IFERROR(INDEX('العهد'!$J$3:$J$502,68),"")</f>
        <v/>
      </c>
      <c r="K74" s="50">
        <f>IFERROR(INDEX('العهد'!$K$3:$K$502,68),"")</f>
        <v/>
      </c>
    </row>
    <row r="75">
      <c r="A75" s="43">
        <f>IFERROR(INDEX('العهد'!$A$3:$A$502,69),"")</f>
        <v/>
      </c>
      <c r="B75" s="43">
        <f>IFERROR(INDEX('العهد'!$B$3:$B$502,69),"")</f>
        <v/>
      </c>
      <c r="C75" s="43">
        <f>IFERROR(INDEX('العهد'!$C$3:$C$502,69),"")</f>
        <v/>
      </c>
      <c r="D75" s="43">
        <f>IFERROR(INDEX('العهد'!$D$3:$D$502,69),"")</f>
        <v/>
      </c>
      <c r="E75" s="43">
        <f>IFERROR(INDEX('العهد'!$E$3:$E$502,69),"")</f>
        <v/>
      </c>
      <c r="F75" s="118">
        <f>IFERROR(INDEX('العهد'!$F$3:$F$502,69),"")</f>
        <v/>
      </c>
      <c r="G75" s="43">
        <f>IFERROR(INDEX('العهد'!$G$3:$G$502,69),"")</f>
        <v/>
      </c>
      <c r="H75" s="118">
        <f>IFERROR(INDEX('العهد'!$H$3:$H$502,69),"")</f>
        <v/>
      </c>
      <c r="I75" s="43">
        <f>IFERROR(INDEX('العهد'!$I$3:$I$502,69),"")</f>
        <v/>
      </c>
      <c r="J75" s="43">
        <f>IFERROR(INDEX('العهد'!$J$3:$J$502,69),"")</f>
        <v/>
      </c>
      <c r="K75" s="43">
        <f>IFERROR(INDEX('العهد'!$K$3:$K$502,69),"")</f>
        <v/>
      </c>
    </row>
    <row r="76">
      <c r="A76" s="50">
        <f>IFERROR(INDEX('العهد'!$A$3:$A$502,70),"")</f>
        <v/>
      </c>
      <c r="B76" s="50">
        <f>IFERROR(INDEX('العهد'!$B$3:$B$502,70),"")</f>
        <v/>
      </c>
      <c r="C76" s="50">
        <f>IFERROR(INDEX('العهد'!$C$3:$C$502,70),"")</f>
        <v/>
      </c>
      <c r="D76" s="50">
        <f>IFERROR(INDEX('العهد'!$D$3:$D$502,70),"")</f>
        <v/>
      </c>
      <c r="E76" s="50">
        <f>IFERROR(INDEX('العهد'!$E$3:$E$502,70),"")</f>
        <v/>
      </c>
      <c r="F76" s="119">
        <f>IFERROR(INDEX('العهد'!$F$3:$F$502,70),"")</f>
        <v/>
      </c>
      <c r="G76" s="50">
        <f>IFERROR(INDEX('العهد'!$G$3:$G$502,70),"")</f>
        <v/>
      </c>
      <c r="H76" s="119">
        <f>IFERROR(INDEX('العهد'!$H$3:$H$502,70),"")</f>
        <v/>
      </c>
      <c r="I76" s="50">
        <f>IFERROR(INDEX('العهد'!$I$3:$I$502,70),"")</f>
        <v/>
      </c>
      <c r="J76" s="50">
        <f>IFERROR(INDEX('العهد'!$J$3:$J$502,70),"")</f>
        <v/>
      </c>
      <c r="K76" s="50">
        <f>IFERROR(INDEX('العهد'!$K$3:$K$502,70),"")</f>
        <v/>
      </c>
    </row>
    <row r="77">
      <c r="A77" s="43">
        <f>IFERROR(INDEX('العهد'!$A$3:$A$502,71),"")</f>
        <v/>
      </c>
      <c r="B77" s="43">
        <f>IFERROR(INDEX('العهد'!$B$3:$B$502,71),"")</f>
        <v/>
      </c>
      <c r="C77" s="43">
        <f>IFERROR(INDEX('العهد'!$C$3:$C$502,71),"")</f>
        <v/>
      </c>
      <c r="D77" s="43">
        <f>IFERROR(INDEX('العهد'!$D$3:$D$502,71),"")</f>
        <v/>
      </c>
      <c r="E77" s="43">
        <f>IFERROR(INDEX('العهد'!$E$3:$E$502,71),"")</f>
        <v/>
      </c>
      <c r="F77" s="118">
        <f>IFERROR(INDEX('العهد'!$F$3:$F$502,71),"")</f>
        <v/>
      </c>
      <c r="G77" s="43">
        <f>IFERROR(INDEX('العهد'!$G$3:$G$502,71),"")</f>
        <v/>
      </c>
      <c r="H77" s="118">
        <f>IFERROR(INDEX('العهد'!$H$3:$H$502,71),"")</f>
        <v/>
      </c>
      <c r="I77" s="43">
        <f>IFERROR(INDEX('العهد'!$I$3:$I$502,71),"")</f>
        <v/>
      </c>
      <c r="J77" s="43">
        <f>IFERROR(INDEX('العهد'!$J$3:$J$502,71),"")</f>
        <v/>
      </c>
      <c r="K77" s="43">
        <f>IFERROR(INDEX('العهد'!$K$3:$K$502,71),"")</f>
        <v/>
      </c>
    </row>
    <row r="78">
      <c r="A78" s="50">
        <f>IFERROR(INDEX('العهد'!$A$3:$A$502,72),"")</f>
        <v/>
      </c>
      <c r="B78" s="50">
        <f>IFERROR(INDEX('العهد'!$B$3:$B$502,72),"")</f>
        <v/>
      </c>
      <c r="C78" s="50">
        <f>IFERROR(INDEX('العهد'!$C$3:$C$502,72),"")</f>
        <v/>
      </c>
      <c r="D78" s="50">
        <f>IFERROR(INDEX('العهد'!$D$3:$D$502,72),"")</f>
        <v/>
      </c>
      <c r="E78" s="50">
        <f>IFERROR(INDEX('العهد'!$E$3:$E$502,72),"")</f>
        <v/>
      </c>
      <c r="F78" s="119">
        <f>IFERROR(INDEX('العهد'!$F$3:$F$502,72),"")</f>
        <v/>
      </c>
      <c r="G78" s="50">
        <f>IFERROR(INDEX('العهد'!$G$3:$G$502,72),"")</f>
        <v/>
      </c>
      <c r="H78" s="119">
        <f>IFERROR(INDEX('العهد'!$H$3:$H$502,72),"")</f>
        <v/>
      </c>
      <c r="I78" s="50">
        <f>IFERROR(INDEX('العهد'!$I$3:$I$502,72),"")</f>
        <v/>
      </c>
      <c r="J78" s="50">
        <f>IFERROR(INDEX('العهد'!$J$3:$J$502,72),"")</f>
        <v/>
      </c>
      <c r="K78" s="50">
        <f>IFERROR(INDEX('العهد'!$K$3:$K$502,72),"")</f>
        <v/>
      </c>
    </row>
    <row r="79">
      <c r="A79" s="43">
        <f>IFERROR(INDEX('العهد'!$A$3:$A$502,73),"")</f>
        <v/>
      </c>
      <c r="B79" s="43">
        <f>IFERROR(INDEX('العهد'!$B$3:$B$502,73),"")</f>
        <v/>
      </c>
      <c r="C79" s="43">
        <f>IFERROR(INDEX('العهد'!$C$3:$C$502,73),"")</f>
        <v/>
      </c>
      <c r="D79" s="43">
        <f>IFERROR(INDEX('العهد'!$D$3:$D$502,73),"")</f>
        <v/>
      </c>
      <c r="E79" s="43">
        <f>IFERROR(INDEX('العهد'!$E$3:$E$502,73),"")</f>
        <v/>
      </c>
      <c r="F79" s="118">
        <f>IFERROR(INDEX('العهد'!$F$3:$F$502,73),"")</f>
        <v/>
      </c>
      <c r="G79" s="43">
        <f>IFERROR(INDEX('العهد'!$G$3:$G$502,73),"")</f>
        <v/>
      </c>
      <c r="H79" s="118">
        <f>IFERROR(INDEX('العهد'!$H$3:$H$502,73),"")</f>
        <v/>
      </c>
      <c r="I79" s="43">
        <f>IFERROR(INDEX('العهد'!$I$3:$I$502,73),"")</f>
        <v/>
      </c>
      <c r="J79" s="43">
        <f>IFERROR(INDEX('العهد'!$J$3:$J$502,73),"")</f>
        <v/>
      </c>
      <c r="K79" s="43">
        <f>IFERROR(INDEX('العهد'!$K$3:$K$502,73),"")</f>
        <v/>
      </c>
    </row>
    <row r="80">
      <c r="A80" s="50">
        <f>IFERROR(INDEX('العهد'!$A$3:$A$502,74),"")</f>
        <v/>
      </c>
      <c r="B80" s="50">
        <f>IFERROR(INDEX('العهد'!$B$3:$B$502,74),"")</f>
        <v/>
      </c>
      <c r="C80" s="50">
        <f>IFERROR(INDEX('العهد'!$C$3:$C$502,74),"")</f>
        <v/>
      </c>
      <c r="D80" s="50">
        <f>IFERROR(INDEX('العهد'!$D$3:$D$502,74),"")</f>
        <v/>
      </c>
      <c r="E80" s="50">
        <f>IFERROR(INDEX('العهد'!$E$3:$E$502,74),"")</f>
        <v/>
      </c>
      <c r="F80" s="119">
        <f>IFERROR(INDEX('العهد'!$F$3:$F$502,74),"")</f>
        <v/>
      </c>
      <c r="G80" s="50">
        <f>IFERROR(INDEX('العهد'!$G$3:$G$502,74),"")</f>
        <v/>
      </c>
      <c r="H80" s="119">
        <f>IFERROR(INDEX('العهد'!$H$3:$H$502,74),"")</f>
        <v/>
      </c>
      <c r="I80" s="50">
        <f>IFERROR(INDEX('العهد'!$I$3:$I$502,74),"")</f>
        <v/>
      </c>
      <c r="J80" s="50">
        <f>IFERROR(INDEX('العهد'!$J$3:$J$502,74),"")</f>
        <v/>
      </c>
      <c r="K80" s="50">
        <f>IFERROR(INDEX('العهد'!$K$3:$K$502,74),"")</f>
        <v/>
      </c>
    </row>
    <row r="81">
      <c r="A81" s="43">
        <f>IFERROR(INDEX('العهد'!$A$3:$A$502,75),"")</f>
        <v/>
      </c>
      <c r="B81" s="43">
        <f>IFERROR(INDEX('العهد'!$B$3:$B$502,75),"")</f>
        <v/>
      </c>
      <c r="C81" s="43">
        <f>IFERROR(INDEX('العهد'!$C$3:$C$502,75),"")</f>
        <v/>
      </c>
      <c r="D81" s="43">
        <f>IFERROR(INDEX('العهد'!$D$3:$D$502,75),"")</f>
        <v/>
      </c>
      <c r="E81" s="43">
        <f>IFERROR(INDEX('العهد'!$E$3:$E$502,75),"")</f>
        <v/>
      </c>
      <c r="F81" s="118">
        <f>IFERROR(INDEX('العهد'!$F$3:$F$502,75),"")</f>
        <v/>
      </c>
      <c r="G81" s="43">
        <f>IFERROR(INDEX('العهد'!$G$3:$G$502,75),"")</f>
        <v/>
      </c>
      <c r="H81" s="118">
        <f>IFERROR(INDEX('العهد'!$H$3:$H$502,75),"")</f>
        <v/>
      </c>
      <c r="I81" s="43">
        <f>IFERROR(INDEX('العهد'!$I$3:$I$502,75),"")</f>
        <v/>
      </c>
      <c r="J81" s="43">
        <f>IFERROR(INDEX('العهد'!$J$3:$J$502,75),"")</f>
        <v/>
      </c>
      <c r="K81" s="43">
        <f>IFERROR(INDEX('العهد'!$K$3:$K$502,75),"")</f>
        <v/>
      </c>
    </row>
    <row r="82">
      <c r="A82" s="50">
        <f>IFERROR(INDEX('العهد'!$A$3:$A$502,76),"")</f>
        <v/>
      </c>
      <c r="B82" s="50">
        <f>IFERROR(INDEX('العهد'!$B$3:$B$502,76),"")</f>
        <v/>
      </c>
      <c r="C82" s="50">
        <f>IFERROR(INDEX('العهد'!$C$3:$C$502,76),"")</f>
        <v/>
      </c>
      <c r="D82" s="50">
        <f>IFERROR(INDEX('العهد'!$D$3:$D$502,76),"")</f>
        <v/>
      </c>
      <c r="E82" s="50">
        <f>IFERROR(INDEX('العهد'!$E$3:$E$502,76),"")</f>
        <v/>
      </c>
      <c r="F82" s="119">
        <f>IFERROR(INDEX('العهد'!$F$3:$F$502,76),"")</f>
        <v/>
      </c>
      <c r="G82" s="50">
        <f>IFERROR(INDEX('العهد'!$G$3:$G$502,76),"")</f>
        <v/>
      </c>
      <c r="H82" s="119">
        <f>IFERROR(INDEX('العهد'!$H$3:$H$502,76),"")</f>
        <v/>
      </c>
      <c r="I82" s="50">
        <f>IFERROR(INDEX('العهد'!$I$3:$I$502,76),"")</f>
        <v/>
      </c>
      <c r="J82" s="50">
        <f>IFERROR(INDEX('العهد'!$J$3:$J$502,76),"")</f>
        <v/>
      </c>
      <c r="K82" s="50">
        <f>IFERROR(INDEX('العهد'!$K$3:$K$502,76),"")</f>
        <v/>
      </c>
    </row>
    <row r="83">
      <c r="A83" s="43">
        <f>IFERROR(INDEX('العهد'!$A$3:$A$502,77),"")</f>
        <v/>
      </c>
      <c r="B83" s="43">
        <f>IFERROR(INDEX('العهد'!$B$3:$B$502,77),"")</f>
        <v/>
      </c>
      <c r="C83" s="43">
        <f>IFERROR(INDEX('العهد'!$C$3:$C$502,77),"")</f>
        <v/>
      </c>
      <c r="D83" s="43">
        <f>IFERROR(INDEX('العهد'!$D$3:$D$502,77),"")</f>
        <v/>
      </c>
      <c r="E83" s="43">
        <f>IFERROR(INDEX('العهد'!$E$3:$E$502,77),"")</f>
        <v/>
      </c>
      <c r="F83" s="118">
        <f>IFERROR(INDEX('العهد'!$F$3:$F$502,77),"")</f>
        <v/>
      </c>
      <c r="G83" s="43">
        <f>IFERROR(INDEX('العهد'!$G$3:$G$502,77),"")</f>
        <v/>
      </c>
      <c r="H83" s="118">
        <f>IFERROR(INDEX('العهد'!$H$3:$H$502,77),"")</f>
        <v/>
      </c>
      <c r="I83" s="43">
        <f>IFERROR(INDEX('العهد'!$I$3:$I$502,77),"")</f>
        <v/>
      </c>
      <c r="J83" s="43">
        <f>IFERROR(INDEX('العهد'!$J$3:$J$502,77),"")</f>
        <v/>
      </c>
      <c r="K83" s="43">
        <f>IFERROR(INDEX('العهد'!$K$3:$K$502,77),"")</f>
        <v/>
      </c>
    </row>
    <row r="84">
      <c r="A84" s="50">
        <f>IFERROR(INDEX('العهد'!$A$3:$A$502,78),"")</f>
        <v/>
      </c>
      <c r="B84" s="50">
        <f>IFERROR(INDEX('العهد'!$B$3:$B$502,78),"")</f>
        <v/>
      </c>
      <c r="C84" s="50">
        <f>IFERROR(INDEX('العهد'!$C$3:$C$502,78),"")</f>
        <v/>
      </c>
      <c r="D84" s="50">
        <f>IFERROR(INDEX('العهد'!$D$3:$D$502,78),"")</f>
        <v/>
      </c>
      <c r="E84" s="50">
        <f>IFERROR(INDEX('العهد'!$E$3:$E$502,78),"")</f>
        <v/>
      </c>
      <c r="F84" s="119">
        <f>IFERROR(INDEX('العهد'!$F$3:$F$502,78),"")</f>
        <v/>
      </c>
      <c r="G84" s="50">
        <f>IFERROR(INDEX('العهد'!$G$3:$G$502,78),"")</f>
        <v/>
      </c>
      <c r="H84" s="119">
        <f>IFERROR(INDEX('العهد'!$H$3:$H$502,78),"")</f>
        <v/>
      </c>
      <c r="I84" s="50">
        <f>IFERROR(INDEX('العهد'!$I$3:$I$502,78),"")</f>
        <v/>
      </c>
      <c r="J84" s="50">
        <f>IFERROR(INDEX('العهد'!$J$3:$J$502,78),"")</f>
        <v/>
      </c>
      <c r="K84" s="50">
        <f>IFERROR(INDEX('العهد'!$K$3:$K$502,78),"")</f>
        <v/>
      </c>
    </row>
    <row r="85">
      <c r="A85" s="43">
        <f>IFERROR(INDEX('العهد'!$A$3:$A$502,79),"")</f>
        <v/>
      </c>
      <c r="B85" s="43">
        <f>IFERROR(INDEX('العهد'!$B$3:$B$502,79),"")</f>
        <v/>
      </c>
      <c r="C85" s="43">
        <f>IFERROR(INDEX('العهد'!$C$3:$C$502,79),"")</f>
        <v/>
      </c>
      <c r="D85" s="43">
        <f>IFERROR(INDEX('العهد'!$D$3:$D$502,79),"")</f>
        <v/>
      </c>
      <c r="E85" s="43">
        <f>IFERROR(INDEX('العهد'!$E$3:$E$502,79),"")</f>
        <v/>
      </c>
      <c r="F85" s="118">
        <f>IFERROR(INDEX('العهد'!$F$3:$F$502,79),"")</f>
        <v/>
      </c>
      <c r="G85" s="43">
        <f>IFERROR(INDEX('العهد'!$G$3:$G$502,79),"")</f>
        <v/>
      </c>
      <c r="H85" s="118">
        <f>IFERROR(INDEX('العهد'!$H$3:$H$502,79),"")</f>
        <v/>
      </c>
      <c r="I85" s="43">
        <f>IFERROR(INDEX('العهد'!$I$3:$I$502,79),"")</f>
        <v/>
      </c>
      <c r="J85" s="43">
        <f>IFERROR(INDEX('العهد'!$J$3:$J$502,79),"")</f>
        <v/>
      </c>
      <c r="K85" s="43">
        <f>IFERROR(INDEX('العهد'!$K$3:$K$502,79),"")</f>
        <v/>
      </c>
    </row>
    <row r="86">
      <c r="A86" s="50">
        <f>IFERROR(INDEX('العهد'!$A$3:$A$502,80),"")</f>
        <v/>
      </c>
      <c r="B86" s="50">
        <f>IFERROR(INDEX('العهد'!$B$3:$B$502,80),"")</f>
        <v/>
      </c>
      <c r="C86" s="50">
        <f>IFERROR(INDEX('العهد'!$C$3:$C$502,80),"")</f>
        <v/>
      </c>
      <c r="D86" s="50">
        <f>IFERROR(INDEX('العهد'!$D$3:$D$502,80),"")</f>
        <v/>
      </c>
      <c r="E86" s="50">
        <f>IFERROR(INDEX('العهد'!$E$3:$E$502,80),"")</f>
        <v/>
      </c>
      <c r="F86" s="119">
        <f>IFERROR(INDEX('العهد'!$F$3:$F$502,80),"")</f>
        <v/>
      </c>
      <c r="G86" s="50">
        <f>IFERROR(INDEX('العهد'!$G$3:$G$502,80),"")</f>
        <v/>
      </c>
      <c r="H86" s="119">
        <f>IFERROR(INDEX('العهد'!$H$3:$H$502,80),"")</f>
        <v/>
      </c>
      <c r="I86" s="50">
        <f>IFERROR(INDEX('العهد'!$I$3:$I$502,80),"")</f>
        <v/>
      </c>
      <c r="J86" s="50">
        <f>IFERROR(INDEX('العهد'!$J$3:$J$502,80),"")</f>
        <v/>
      </c>
      <c r="K86" s="50">
        <f>IFERROR(INDEX('العهد'!$K$3:$K$502,80),"")</f>
        <v/>
      </c>
    </row>
    <row r="87">
      <c r="A87" s="43">
        <f>IFERROR(INDEX('العهد'!$A$3:$A$502,81),"")</f>
        <v/>
      </c>
      <c r="B87" s="43">
        <f>IFERROR(INDEX('العهد'!$B$3:$B$502,81),"")</f>
        <v/>
      </c>
      <c r="C87" s="43">
        <f>IFERROR(INDEX('العهد'!$C$3:$C$502,81),"")</f>
        <v/>
      </c>
      <c r="D87" s="43">
        <f>IFERROR(INDEX('العهد'!$D$3:$D$502,81),"")</f>
        <v/>
      </c>
      <c r="E87" s="43">
        <f>IFERROR(INDEX('العهد'!$E$3:$E$502,81),"")</f>
        <v/>
      </c>
      <c r="F87" s="118">
        <f>IFERROR(INDEX('العهد'!$F$3:$F$502,81),"")</f>
        <v/>
      </c>
      <c r="G87" s="43">
        <f>IFERROR(INDEX('العهد'!$G$3:$G$502,81),"")</f>
        <v/>
      </c>
      <c r="H87" s="118">
        <f>IFERROR(INDEX('العهد'!$H$3:$H$502,81),"")</f>
        <v/>
      </c>
      <c r="I87" s="43">
        <f>IFERROR(INDEX('العهد'!$I$3:$I$502,81),"")</f>
        <v/>
      </c>
      <c r="J87" s="43">
        <f>IFERROR(INDEX('العهد'!$J$3:$J$502,81),"")</f>
        <v/>
      </c>
      <c r="K87" s="43">
        <f>IFERROR(INDEX('العهد'!$K$3:$K$502,81),"")</f>
        <v/>
      </c>
    </row>
    <row r="88">
      <c r="A88" s="50">
        <f>IFERROR(INDEX('العهد'!$A$3:$A$502,82),"")</f>
        <v/>
      </c>
      <c r="B88" s="50">
        <f>IFERROR(INDEX('العهد'!$B$3:$B$502,82),"")</f>
        <v/>
      </c>
      <c r="C88" s="50">
        <f>IFERROR(INDEX('العهد'!$C$3:$C$502,82),"")</f>
        <v/>
      </c>
      <c r="D88" s="50">
        <f>IFERROR(INDEX('العهد'!$D$3:$D$502,82),"")</f>
        <v/>
      </c>
      <c r="E88" s="50">
        <f>IFERROR(INDEX('العهد'!$E$3:$E$502,82),"")</f>
        <v/>
      </c>
      <c r="F88" s="119">
        <f>IFERROR(INDEX('العهد'!$F$3:$F$502,82),"")</f>
        <v/>
      </c>
      <c r="G88" s="50">
        <f>IFERROR(INDEX('العهد'!$G$3:$G$502,82),"")</f>
        <v/>
      </c>
      <c r="H88" s="119">
        <f>IFERROR(INDEX('العهد'!$H$3:$H$502,82),"")</f>
        <v/>
      </c>
      <c r="I88" s="50">
        <f>IFERROR(INDEX('العهد'!$I$3:$I$502,82),"")</f>
        <v/>
      </c>
      <c r="J88" s="50">
        <f>IFERROR(INDEX('العهد'!$J$3:$J$502,82),"")</f>
        <v/>
      </c>
      <c r="K88" s="50">
        <f>IFERROR(INDEX('العهد'!$K$3:$K$502,82),"")</f>
        <v/>
      </c>
    </row>
    <row r="89">
      <c r="A89" s="43">
        <f>IFERROR(INDEX('العهد'!$A$3:$A$502,83),"")</f>
        <v/>
      </c>
      <c r="B89" s="43">
        <f>IFERROR(INDEX('العهد'!$B$3:$B$502,83),"")</f>
        <v/>
      </c>
      <c r="C89" s="43">
        <f>IFERROR(INDEX('العهد'!$C$3:$C$502,83),"")</f>
        <v/>
      </c>
      <c r="D89" s="43">
        <f>IFERROR(INDEX('العهد'!$D$3:$D$502,83),"")</f>
        <v/>
      </c>
      <c r="E89" s="43">
        <f>IFERROR(INDEX('العهد'!$E$3:$E$502,83),"")</f>
        <v/>
      </c>
      <c r="F89" s="118">
        <f>IFERROR(INDEX('العهد'!$F$3:$F$502,83),"")</f>
        <v/>
      </c>
      <c r="G89" s="43">
        <f>IFERROR(INDEX('العهد'!$G$3:$G$502,83),"")</f>
        <v/>
      </c>
      <c r="H89" s="118">
        <f>IFERROR(INDEX('العهد'!$H$3:$H$502,83),"")</f>
        <v/>
      </c>
      <c r="I89" s="43">
        <f>IFERROR(INDEX('العهد'!$I$3:$I$502,83),"")</f>
        <v/>
      </c>
      <c r="J89" s="43">
        <f>IFERROR(INDEX('العهد'!$J$3:$J$502,83),"")</f>
        <v/>
      </c>
      <c r="K89" s="43">
        <f>IFERROR(INDEX('العهد'!$K$3:$K$502,83),"")</f>
        <v/>
      </c>
    </row>
    <row r="90">
      <c r="A90" s="50">
        <f>IFERROR(INDEX('العهد'!$A$3:$A$502,84),"")</f>
        <v/>
      </c>
      <c r="B90" s="50">
        <f>IFERROR(INDEX('العهد'!$B$3:$B$502,84),"")</f>
        <v/>
      </c>
      <c r="C90" s="50">
        <f>IFERROR(INDEX('العهد'!$C$3:$C$502,84),"")</f>
        <v/>
      </c>
      <c r="D90" s="50">
        <f>IFERROR(INDEX('العهد'!$D$3:$D$502,84),"")</f>
        <v/>
      </c>
      <c r="E90" s="50">
        <f>IFERROR(INDEX('العهد'!$E$3:$E$502,84),"")</f>
        <v/>
      </c>
      <c r="F90" s="119">
        <f>IFERROR(INDEX('العهد'!$F$3:$F$502,84),"")</f>
        <v/>
      </c>
      <c r="G90" s="50">
        <f>IFERROR(INDEX('العهد'!$G$3:$G$502,84),"")</f>
        <v/>
      </c>
      <c r="H90" s="119">
        <f>IFERROR(INDEX('العهد'!$H$3:$H$502,84),"")</f>
        <v/>
      </c>
      <c r="I90" s="50">
        <f>IFERROR(INDEX('العهد'!$I$3:$I$502,84),"")</f>
        <v/>
      </c>
      <c r="J90" s="50">
        <f>IFERROR(INDEX('العهد'!$J$3:$J$502,84),"")</f>
        <v/>
      </c>
      <c r="K90" s="50">
        <f>IFERROR(INDEX('العهد'!$K$3:$K$502,84),"")</f>
        <v/>
      </c>
    </row>
    <row r="91">
      <c r="A91" s="43">
        <f>IFERROR(INDEX('العهد'!$A$3:$A$502,85),"")</f>
        <v/>
      </c>
      <c r="B91" s="43">
        <f>IFERROR(INDEX('العهد'!$B$3:$B$502,85),"")</f>
        <v/>
      </c>
      <c r="C91" s="43">
        <f>IFERROR(INDEX('العهد'!$C$3:$C$502,85),"")</f>
        <v/>
      </c>
      <c r="D91" s="43">
        <f>IFERROR(INDEX('العهد'!$D$3:$D$502,85),"")</f>
        <v/>
      </c>
      <c r="E91" s="43">
        <f>IFERROR(INDEX('العهد'!$E$3:$E$502,85),"")</f>
        <v/>
      </c>
      <c r="F91" s="118">
        <f>IFERROR(INDEX('العهد'!$F$3:$F$502,85),"")</f>
        <v/>
      </c>
      <c r="G91" s="43">
        <f>IFERROR(INDEX('العهد'!$G$3:$G$502,85),"")</f>
        <v/>
      </c>
      <c r="H91" s="118">
        <f>IFERROR(INDEX('العهد'!$H$3:$H$502,85),"")</f>
        <v/>
      </c>
      <c r="I91" s="43">
        <f>IFERROR(INDEX('العهد'!$I$3:$I$502,85),"")</f>
        <v/>
      </c>
      <c r="J91" s="43">
        <f>IFERROR(INDEX('العهد'!$J$3:$J$502,85),"")</f>
        <v/>
      </c>
      <c r="K91" s="43">
        <f>IFERROR(INDEX('العهد'!$K$3:$K$502,85),"")</f>
        <v/>
      </c>
    </row>
    <row r="92">
      <c r="A92" s="50">
        <f>IFERROR(INDEX('العهد'!$A$3:$A$502,86),"")</f>
        <v/>
      </c>
      <c r="B92" s="50">
        <f>IFERROR(INDEX('العهد'!$B$3:$B$502,86),"")</f>
        <v/>
      </c>
      <c r="C92" s="50">
        <f>IFERROR(INDEX('العهد'!$C$3:$C$502,86),"")</f>
        <v/>
      </c>
      <c r="D92" s="50">
        <f>IFERROR(INDEX('العهد'!$D$3:$D$502,86),"")</f>
        <v/>
      </c>
      <c r="E92" s="50">
        <f>IFERROR(INDEX('العهد'!$E$3:$E$502,86),"")</f>
        <v/>
      </c>
      <c r="F92" s="119">
        <f>IFERROR(INDEX('العهد'!$F$3:$F$502,86),"")</f>
        <v/>
      </c>
      <c r="G92" s="50">
        <f>IFERROR(INDEX('العهد'!$G$3:$G$502,86),"")</f>
        <v/>
      </c>
      <c r="H92" s="119">
        <f>IFERROR(INDEX('العهد'!$H$3:$H$502,86),"")</f>
        <v/>
      </c>
      <c r="I92" s="50">
        <f>IFERROR(INDEX('العهد'!$I$3:$I$502,86),"")</f>
        <v/>
      </c>
      <c r="J92" s="50">
        <f>IFERROR(INDEX('العهد'!$J$3:$J$502,86),"")</f>
        <v/>
      </c>
      <c r="K92" s="50">
        <f>IFERROR(INDEX('العهد'!$K$3:$K$502,86),"")</f>
        <v/>
      </c>
    </row>
    <row r="93">
      <c r="A93" s="43">
        <f>IFERROR(INDEX('العهد'!$A$3:$A$502,87),"")</f>
        <v/>
      </c>
      <c r="B93" s="43">
        <f>IFERROR(INDEX('العهد'!$B$3:$B$502,87),"")</f>
        <v/>
      </c>
      <c r="C93" s="43">
        <f>IFERROR(INDEX('العهد'!$C$3:$C$502,87),"")</f>
        <v/>
      </c>
      <c r="D93" s="43">
        <f>IFERROR(INDEX('العهد'!$D$3:$D$502,87),"")</f>
        <v/>
      </c>
      <c r="E93" s="43">
        <f>IFERROR(INDEX('العهد'!$E$3:$E$502,87),"")</f>
        <v/>
      </c>
      <c r="F93" s="118">
        <f>IFERROR(INDEX('العهد'!$F$3:$F$502,87),"")</f>
        <v/>
      </c>
      <c r="G93" s="43">
        <f>IFERROR(INDEX('العهد'!$G$3:$G$502,87),"")</f>
        <v/>
      </c>
      <c r="H93" s="118">
        <f>IFERROR(INDEX('العهد'!$H$3:$H$502,87),"")</f>
        <v/>
      </c>
      <c r="I93" s="43">
        <f>IFERROR(INDEX('العهد'!$I$3:$I$502,87),"")</f>
        <v/>
      </c>
      <c r="J93" s="43">
        <f>IFERROR(INDEX('العهد'!$J$3:$J$502,87),"")</f>
        <v/>
      </c>
      <c r="K93" s="43">
        <f>IFERROR(INDEX('العهد'!$K$3:$K$502,87),"")</f>
        <v/>
      </c>
    </row>
    <row r="94">
      <c r="A94" s="50">
        <f>IFERROR(INDEX('العهد'!$A$3:$A$502,88),"")</f>
        <v/>
      </c>
      <c r="B94" s="50">
        <f>IFERROR(INDEX('العهد'!$B$3:$B$502,88),"")</f>
        <v/>
      </c>
      <c r="C94" s="50">
        <f>IFERROR(INDEX('العهد'!$C$3:$C$502,88),"")</f>
        <v/>
      </c>
      <c r="D94" s="50">
        <f>IFERROR(INDEX('العهد'!$D$3:$D$502,88),"")</f>
        <v/>
      </c>
      <c r="E94" s="50">
        <f>IFERROR(INDEX('العهد'!$E$3:$E$502,88),"")</f>
        <v/>
      </c>
      <c r="F94" s="119">
        <f>IFERROR(INDEX('العهد'!$F$3:$F$502,88),"")</f>
        <v/>
      </c>
      <c r="G94" s="50">
        <f>IFERROR(INDEX('العهد'!$G$3:$G$502,88),"")</f>
        <v/>
      </c>
      <c r="H94" s="119">
        <f>IFERROR(INDEX('العهد'!$H$3:$H$502,88),"")</f>
        <v/>
      </c>
      <c r="I94" s="50">
        <f>IFERROR(INDEX('العهد'!$I$3:$I$502,88),"")</f>
        <v/>
      </c>
      <c r="J94" s="50">
        <f>IFERROR(INDEX('العهد'!$J$3:$J$502,88),"")</f>
        <v/>
      </c>
      <c r="K94" s="50">
        <f>IFERROR(INDEX('العهد'!$K$3:$K$502,88),"")</f>
        <v/>
      </c>
    </row>
    <row r="95">
      <c r="A95" s="43">
        <f>IFERROR(INDEX('العهد'!$A$3:$A$502,89),"")</f>
        <v/>
      </c>
      <c r="B95" s="43">
        <f>IFERROR(INDEX('العهد'!$B$3:$B$502,89),"")</f>
        <v/>
      </c>
      <c r="C95" s="43">
        <f>IFERROR(INDEX('العهد'!$C$3:$C$502,89),"")</f>
        <v/>
      </c>
      <c r="D95" s="43">
        <f>IFERROR(INDEX('العهد'!$D$3:$D$502,89),"")</f>
        <v/>
      </c>
      <c r="E95" s="43">
        <f>IFERROR(INDEX('العهد'!$E$3:$E$502,89),"")</f>
        <v/>
      </c>
      <c r="F95" s="118">
        <f>IFERROR(INDEX('العهد'!$F$3:$F$502,89),"")</f>
        <v/>
      </c>
      <c r="G95" s="43">
        <f>IFERROR(INDEX('العهد'!$G$3:$G$502,89),"")</f>
        <v/>
      </c>
      <c r="H95" s="118">
        <f>IFERROR(INDEX('العهد'!$H$3:$H$502,89),"")</f>
        <v/>
      </c>
      <c r="I95" s="43">
        <f>IFERROR(INDEX('العهد'!$I$3:$I$502,89),"")</f>
        <v/>
      </c>
      <c r="J95" s="43">
        <f>IFERROR(INDEX('العهد'!$J$3:$J$502,89),"")</f>
        <v/>
      </c>
      <c r="K95" s="43">
        <f>IFERROR(INDEX('العهد'!$K$3:$K$502,89),"")</f>
        <v/>
      </c>
    </row>
    <row r="96">
      <c r="A96" s="50">
        <f>IFERROR(INDEX('العهد'!$A$3:$A$502,90),"")</f>
        <v/>
      </c>
      <c r="B96" s="50">
        <f>IFERROR(INDEX('العهد'!$B$3:$B$502,90),"")</f>
        <v/>
      </c>
      <c r="C96" s="50">
        <f>IFERROR(INDEX('العهد'!$C$3:$C$502,90),"")</f>
        <v/>
      </c>
      <c r="D96" s="50">
        <f>IFERROR(INDEX('العهد'!$D$3:$D$502,90),"")</f>
        <v/>
      </c>
      <c r="E96" s="50">
        <f>IFERROR(INDEX('العهد'!$E$3:$E$502,90),"")</f>
        <v/>
      </c>
      <c r="F96" s="119">
        <f>IFERROR(INDEX('العهد'!$F$3:$F$502,90),"")</f>
        <v/>
      </c>
      <c r="G96" s="50">
        <f>IFERROR(INDEX('العهد'!$G$3:$G$502,90),"")</f>
        <v/>
      </c>
      <c r="H96" s="119">
        <f>IFERROR(INDEX('العهد'!$H$3:$H$502,90),"")</f>
        <v/>
      </c>
      <c r="I96" s="50">
        <f>IFERROR(INDEX('العهد'!$I$3:$I$502,90),"")</f>
        <v/>
      </c>
      <c r="J96" s="50">
        <f>IFERROR(INDEX('العهد'!$J$3:$J$502,90),"")</f>
        <v/>
      </c>
      <c r="K96" s="50">
        <f>IFERROR(INDEX('العهد'!$K$3:$K$502,90),"")</f>
        <v/>
      </c>
    </row>
    <row r="97">
      <c r="A97" s="43">
        <f>IFERROR(INDEX('العهد'!$A$3:$A$502,91),"")</f>
        <v/>
      </c>
      <c r="B97" s="43">
        <f>IFERROR(INDEX('العهد'!$B$3:$B$502,91),"")</f>
        <v/>
      </c>
      <c r="C97" s="43">
        <f>IFERROR(INDEX('العهد'!$C$3:$C$502,91),"")</f>
        <v/>
      </c>
      <c r="D97" s="43">
        <f>IFERROR(INDEX('العهد'!$D$3:$D$502,91),"")</f>
        <v/>
      </c>
      <c r="E97" s="43">
        <f>IFERROR(INDEX('العهد'!$E$3:$E$502,91),"")</f>
        <v/>
      </c>
      <c r="F97" s="118">
        <f>IFERROR(INDEX('العهد'!$F$3:$F$502,91),"")</f>
        <v/>
      </c>
      <c r="G97" s="43">
        <f>IFERROR(INDEX('العهد'!$G$3:$G$502,91),"")</f>
        <v/>
      </c>
      <c r="H97" s="118">
        <f>IFERROR(INDEX('العهد'!$H$3:$H$502,91),"")</f>
        <v/>
      </c>
      <c r="I97" s="43">
        <f>IFERROR(INDEX('العهد'!$I$3:$I$502,91),"")</f>
        <v/>
      </c>
      <c r="J97" s="43">
        <f>IFERROR(INDEX('العهد'!$J$3:$J$502,91),"")</f>
        <v/>
      </c>
      <c r="K97" s="43">
        <f>IFERROR(INDEX('العهد'!$K$3:$K$502,91),"")</f>
        <v/>
      </c>
    </row>
    <row r="98">
      <c r="A98" s="50">
        <f>IFERROR(INDEX('العهد'!$A$3:$A$502,92),"")</f>
        <v/>
      </c>
      <c r="B98" s="50">
        <f>IFERROR(INDEX('العهد'!$B$3:$B$502,92),"")</f>
        <v/>
      </c>
      <c r="C98" s="50">
        <f>IFERROR(INDEX('العهد'!$C$3:$C$502,92),"")</f>
        <v/>
      </c>
      <c r="D98" s="50">
        <f>IFERROR(INDEX('العهد'!$D$3:$D$502,92),"")</f>
        <v/>
      </c>
      <c r="E98" s="50">
        <f>IFERROR(INDEX('العهد'!$E$3:$E$502,92),"")</f>
        <v/>
      </c>
      <c r="F98" s="119">
        <f>IFERROR(INDEX('العهد'!$F$3:$F$502,92),"")</f>
        <v/>
      </c>
      <c r="G98" s="50">
        <f>IFERROR(INDEX('العهد'!$G$3:$G$502,92),"")</f>
        <v/>
      </c>
      <c r="H98" s="119">
        <f>IFERROR(INDEX('العهد'!$H$3:$H$502,92),"")</f>
        <v/>
      </c>
      <c r="I98" s="50">
        <f>IFERROR(INDEX('العهد'!$I$3:$I$502,92),"")</f>
        <v/>
      </c>
      <c r="J98" s="50">
        <f>IFERROR(INDEX('العهد'!$J$3:$J$502,92),"")</f>
        <v/>
      </c>
      <c r="K98" s="50">
        <f>IFERROR(INDEX('العهد'!$K$3:$K$502,92),"")</f>
        <v/>
      </c>
    </row>
    <row r="99">
      <c r="A99" s="43">
        <f>IFERROR(INDEX('العهد'!$A$3:$A$502,93),"")</f>
        <v/>
      </c>
      <c r="B99" s="43">
        <f>IFERROR(INDEX('العهد'!$B$3:$B$502,93),"")</f>
        <v/>
      </c>
      <c r="C99" s="43">
        <f>IFERROR(INDEX('العهد'!$C$3:$C$502,93),"")</f>
        <v/>
      </c>
      <c r="D99" s="43">
        <f>IFERROR(INDEX('العهد'!$D$3:$D$502,93),"")</f>
        <v/>
      </c>
      <c r="E99" s="43">
        <f>IFERROR(INDEX('العهد'!$E$3:$E$502,93),"")</f>
        <v/>
      </c>
      <c r="F99" s="118">
        <f>IFERROR(INDEX('العهد'!$F$3:$F$502,93),"")</f>
        <v/>
      </c>
      <c r="G99" s="43">
        <f>IFERROR(INDEX('العهد'!$G$3:$G$502,93),"")</f>
        <v/>
      </c>
      <c r="H99" s="118">
        <f>IFERROR(INDEX('العهد'!$H$3:$H$502,93),"")</f>
        <v/>
      </c>
      <c r="I99" s="43">
        <f>IFERROR(INDEX('العهد'!$I$3:$I$502,93),"")</f>
        <v/>
      </c>
      <c r="J99" s="43">
        <f>IFERROR(INDEX('العهد'!$J$3:$J$502,93),"")</f>
        <v/>
      </c>
      <c r="K99" s="43">
        <f>IFERROR(INDEX('العهد'!$K$3:$K$502,93),"")</f>
        <v/>
      </c>
    </row>
    <row r="100">
      <c r="A100" s="50">
        <f>IFERROR(INDEX('العهد'!$A$3:$A$502,94),"")</f>
        <v/>
      </c>
      <c r="B100" s="50">
        <f>IFERROR(INDEX('العهد'!$B$3:$B$502,94),"")</f>
        <v/>
      </c>
      <c r="C100" s="50">
        <f>IFERROR(INDEX('العهد'!$C$3:$C$502,94),"")</f>
        <v/>
      </c>
      <c r="D100" s="50">
        <f>IFERROR(INDEX('العهد'!$D$3:$D$502,94),"")</f>
        <v/>
      </c>
      <c r="E100" s="50">
        <f>IFERROR(INDEX('العهد'!$E$3:$E$502,94),"")</f>
        <v/>
      </c>
      <c r="F100" s="119">
        <f>IFERROR(INDEX('العهد'!$F$3:$F$502,94),"")</f>
        <v/>
      </c>
      <c r="G100" s="50">
        <f>IFERROR(INDEX('العهد'!$G$3:$G$502,94),"")</f>
        <v/>
      </c>
      <c r="H100" s="119">
        <f>IFERROR(INDEX('العهد'!$H$3:$H$502,94),"")</f>
        <v/>
      </c>
      <c r="I100" s="50">
        <f>IFERROR(INDEX('العهد'!$I$3:$I$502,94),"")</f>
        <v/>
      </c>
      <c r="J100" s="50">
        <f>IFERROR(INDEX('العهد'!$J$3:$J$502,94),"")</f>
        <v/>
      </c>
      <c r="K100" s="50">
        <f>IFERROR(INDEX('العهد'!$K$3:$K$502,94),"")</f>
        <v/>
      </c>
    </row>
    <row r="101">
      <c r="A101" s="43">
        <f>IFERROR(INDEX('العهد'!$A$3:$A$502,95),"")</f>
        <v/>
      </c>
      <c r="B101" s="43">
        <f>IFERROR(INDEX('العهد'!$B$3:$B$502,95),"")</f>
        <v/>
      </c>
      <c r="C101" s="43">
        <f>IFERROR(INDEX('العهد'!$C$3:$C$502,95),"")</f>
        <v/>
      </c>
      <c r="D101" s="43">
        <f>IFERROR(INDEX('العهد'!$D$3:$D$502,95),"")</f>
        <v/>
      </c>
      <c r="E101" s="43">
        <f>IFERROR(INDEX('العهد'!$E$3:$E$502,95),"")</f>
        <v/>
      </c>
      <c r="F101" s="118">
        <f>IFERROR(INDEX('العهد'!$F$3:$F$502,95),"")</f>
        <v/>
      </c>
      <c r="G101" s="43">
        <f>IFERROR(INDEX('العهد'!$G$3:$G$502,95),"")</f>
        <v/>
      </c>
      <c r="H101" s="118">
        <f>IFERROR(INDEX('العهد'!$H$3:$H$502,95),"")</f>
        <v/>
      </c>
      <c r="I101" s="43">
        <f>IFERROR(INDEX('العهد'!$I$3:$I$502,95),"")</f>
        <v/>
      </c>
      <c r="J101" s="43">
        <f>IFERROR(INDEX('العهد'!$J$3:$J$502,95),"")</f>
        <v/>
      </c>
      <c r="K101" s="43">
        <f>IFERROR(INDEX('العهد'!$K$3:$K$502,95),"")</f>
        <v/>
      </c>
    </row>
    <row r="102">
      <c r="A102" s="50">
        <f>IFERROR(INDEX('العهد'!$A$3:$A$502,96),"")</f>
        <v/>
      </c>
      <c r="B102" s="50">
        <f>IFERROR(INDEX('العهد'!$B$3:$B$502,96),"")</f>
        <v/>
      </c>
      <c r="C102" s="50">
        <f>IFERROR(INDEX('العهد'!$C$3:$C$502,96),"")</f>
        <v/>
      </c>
      <c r="D102" s="50">
        <f>IFERROR(INDEX('العهد'!$D$3:$D$502,96),"")</f>
        <v/>
      </c>
      <c r="E102" s="50">
        <f>IFERROR(INDEX('العهد'!$E$3:$E$502,96),"")</f>
        <v/>
      </c>
      <c r="F102" s="119">
        <f>IFERROR(INDEX('العهد'!$F$3:$F$502,96),"")</f>
        <v/>
      </c>
      <c r="G102" s="50">
        <f>IFERROR(INDEX('العهد'!$G$3:$G$502,96),"")</f>
        <v/>
      </c>
      <c r="H102" s="119">
        <f>IFERROR(INDEX('العهد'!$H$3:$H$502,96),"")</f>
        <v/>
      </c>
      <c r="I102" s="50">
        <f>IFERROR(INDEX('العهد'!$I$3:$I$502,96),"")</f>
        <v/>
      </c>
      <c r="J102" s="50">
        <f>IFERROR(INDEX('العهد'!$J$3:$J$502,96),"")</f>
        <v/>
      </c>
      <c r="K102" s="50">
        <f>IFERROR(INDEX('العهد'!$K$3:$K$502,96),"")</f>
        <v/>
      </c>
    </row>
    <row r="103">
      <c r="A103" s="43">
        <f>IFERROR(INDEX('العهد'!$A$3:$A$502,97),"")</f>
        <v/>
      </c>
      <c r="B103" s="43">
        <f>IFERROR(INDEX('العهد'!$B$3:$B$502,97),"")</f>
        <v/>
      </c>
      <c r="C103" s="43">
        <f>IFERROR(INDEX('العهد'!$C$3:$C$502,97),"")</f>
        <v/>
      </c>
      <c r="D103" s="43">
        <f>IFERROR(INDEX('العهد'!$D$3:$D$502,97),"")</f>
        <v/>
      </c>
      <c r="E103" s="43">
        <f>IFERROR(INDEX('العهد'!$E$3:$E$502,97),"")</f>
        <v/>
      </c>
      <c r="F103" s="118">
        <f>IFERROR(INDEX('العهد'!$F$3:$F$502,97),"")</f>
        <v/>
      </c>
      <c r="G103" s="43">
        <f>IFERROR(INDEX('العهد'!$G$3:$G$502,97),"")</f>
        <v/>
      </c>
      <c r="H103" s="118">
        <f>IFERROR(INDEX('العهد'!$H$3:$H$502,97),"")</f>
        <v/>
      </c>
      <c r="I103" s="43">
        <f>IFERROR(INDEX('العهد'!$I$3:$I$502,97),"")</f>
        <v/>
      </c>
      <c r="J103" s="43">
        <f>IFERROR(INDEX('العهد'!$J$3:$J$502,97),"")</f>
        <v/>
      </c>
      <c r="K103" s="43">
        <f>IFERROR(INDEX('العهد'!$K$3:$K$502,97),"")</f>
        <v/>
      </c>
    </row>
    <row r="104">
      <c r="A104" s="50">
        <f>IFERROR(INDEX('العهد'!$A$3:$A$502,98),"")</f>
        <v/>
      </c>
      <c r="B104" s="50">
        <f>IFERROR(INDEX('العهد'!$B$3:$B$502,98),"")</f>
        <v/>
      </c>
      <c r="C104" s="50">
        <f>IFERROR(INDEX('العهد'!$C$3:$C$502,98),"")</f>
        <v/>
      </c>
      <c r="D104" s="50">
        <f>IFERROR(INDEX('العهد'!$D$3:$D$502,98),"")</f>
        <v/>
      </c>
      <c r="E104" s="50">
        <f>IFERROR(INDEX('العهد'!$E$3:$E$502,98),"")</f>
        <v/>
      </c>
      <c r="F104" s="119">
        <f>IFERROR(INDEX('العهد'!$F$3:$F$502,98),"")</f>
        <v/>
      </c>
      <c r="G104" s="50">
        <f>IFERROR(INDEX('العهد'!$G$3:$G$502,98),"")</f>
        <v/>
      </c>
      <c r="H104" s="119">
        <f>IFERROR(INDEX('العهد'!$H$3:$H$502,98),"")</f>
        <v/>
      </c>
      <c r="I104" s="50">
        <f>IFERROR(INDEX('العهد'!$I$3:$I$502,98),"")</f>
        <v/>
      </c>
      <c r="J104" s="50">
        <f>IFERROR(INDEX('العهد'!$J$3:$J$502,98),"")</f>
        <v/>
      </c>
      <c r="K104" s="50">
        <f>IFERROR(INDEX('العهد'!$K$3:$K$502,98),"")</f>
        <v/>
      </c>
    </row>
    <row r="105">
      <c r="A105" s="43">
        <f>IFERROR(INDEX('العهد'!$A$3:$A$502,99),"")</f>
        <v/>
      </c>
      <c r="B105" s="43">
        <f>IFERROR(INDEX('العهد'!$B$3:$B$502,99),"")</f>
        <v/>
      </c>
      <c r="C105" s="43">
        <f>IFERROR(INDEX('العهد'!$C$3:$C$502,99),"")</f>
        <v/>
      </c>
      <c r="D105" s="43">
        <f>IFERROR(INDEX('العهد'!$D$3:$D$502,99),"")</f>
        <v/>
      </c>
      <c r="E105" s="43">
        <f>IFERROR(INDEX('العهد'!$E$3:$E$502,99),"")</f>
        <v/>
      </c>
      <c r="F105" s="118">
        <f>IFERROR(INDEX('العهد'!$F$3:$F$502,99),"")</f>
        <v/>
      </c>
      <c r="G105" s="43">
        <f>IFERROR(INDEX('العهد'!$G$3:$G$502,99),"")</f>
        <v/>
      </c>
      <c r="H105" s="118">
        <f>IFERROR(INDEX('العهد'!$H$3:$H$502,99),"")</f>
        <v/>
      </c>
      <c r="I105" s="43">
        <f>IFERROR(INDEX('العهد'!$I$3:$I$502,99),"")</f>
        <v/>
      </c>
      <c r="J105" s="43">
        <f>IFERROR(INDEX('العهد'!$J$3:$J$502,99),"")</f>
        <v/>
      </c>
      <c r="K105" s="43">
        <f>IFERROR(INDEX('العهد'!$K$3:$K$502,99),"")</f>
        <v/>
      </c>
    </row>
    <row r="106">
      <c r="A106" s="50">
        <f>IFERROR(INDEX('العهد'!$A$3:$A$502,100),"")</f>
        <v/>
      </c>
      <c r="B106" s="50">
        <f>IFERROR(INDEX('العهد'!$B$3:$B$502,100),"")</f>
        <v/>
      </c>
      <c r="C106" s="50">
        <f>IFERROR(INDEX('العهد'!$C$3:$C$502,100),"")</f>
        <v/>
      </c>
      <c r="D106" s="50">
        <f>IFERROR(INDEX('العهد'!$D$3:$D$502,100),"")</f>
        <v/>
      </c>
      <c r="E106" s="50">
        <f>IFERROR(INDEX('العهد'!$E$3:$E$502,100),"")</f>
        <v/>
      </c>
      <c r="F106" s="119">
        <f>IFERROR(INDEX('العهد'!$F$3:$F$502,100),"")</f>
        <v/>
      </c>
      <c r="G106" s="50">
        <f>IFERROR(INDEX('العهد'!$G$3:$G$502,100),"")</f>
        <v/>
      </c>
      <c r="H106" s="119">
        <f>IFERROR(INDEX('العهد'!$H$3:$H$502,100),"")</f>
        <v/>
      </c>
      <c r="I106" s="50">
        <f>IFERROR(INDEX('العهد'!$I$3:$I$502,100),"")</f>
        <v/>
      </c>
      <c r="J106" s="50">
        <f>IFERROR(INDEX('العهد'!$J$3:$J$502,100),"")</f>
        <v/>
      </c>
      <c r="K106" s="50">
        <f>IFERROR(INDEX('العهد'!$K$3:$K$502,100),"")</f>
        <v/>
      </c>
    </row>
    <row r="107">
      <c r="A107" s="43">
        <f>IFERROR(INDEX('العهد'!$A$3:$A$502,101),"")</f>
        <v/>
      </c>
      <c r="B107" s="43">
        <f>IFERROR(INDEX('العهد'!$B$3:$B$502,101),"")</f>
        <v/>
      </c>
      <c r="C107" s="43">
        <f>IFERROR(INDEX('العهد'!$C$3:$C$502,101),"")</f>
        <v/>
      </c>
      <c r="D107" s="43">
        <f>IFERROR(INDEX('العهد'!$D$3:$D$502,101),"")</f>
        <v/>
      </c>
      <c r="E107" s="43">
        <f>IFERROR(INDEX('العهد'!$E$3:$E$502,101),"")</f>
        <v/>
      </c>
      <c r="F107" s="118">
        <f>IFERROR(INDEX('العهد'!$F$3:$F$502,101),"")</f>
        <v/>
      </c>
      <c r="G107" s="43">
        <f>IFERROR(INDEX('العهد'!$G$3:$G$502,101),"")</f>
        <v/>
      </c>
      <c r="H107" s="118">
        <f>IFERROR(INDEX('العهد'!$H$3:$H$502,101),"")</f>
        <v/>
      </c>
      <c r="I107" s="43">
        <f>IFERROR(INDEX('العهد'!$I$3:$I$502,101),"")</f>
        <v/>
      </c>
      <c r="J107" s="43">
        <f>IFERROR(INDEX('العهد'!$J$3:$J$502,101),"")</f>
        <v/>
      </c>
      <c r="K107" s="43">
        <f>IFERROR(INDEX('العهد'!$K$3:$K$502,101),"")</f>
        <v/>
      </c>
    </row>
    <row r="108">
      <c r="A108" s="50">
        <f>IFERROR(INDEX('العهد'!$A$3:$A$502,102),"")</f>
        <v/>
      </c>
      <c r="B108" s="50">
        <f>IFERROR(INDEX('العهد'!$B$3:$B$502,102),"")</f>
        <v/>
      </c>
      <c r="C108" s="50">
        <f>IFERROR(INDEX('العهد'!$C$3:$C$502,102),"")</f>
        <v/>
      </c>
      <c r="D108" s="50">
        <f>IFERROR(INDEX('العهد'!$D$3:$D$502,102),"")</f>
        <v/>
      </c>
      <c r="E108" s="50">
        <f>IFERROR(INDEX('العهد'!$E$3:$E$502,102),"")</f>
        <v/>
      </c>
      <c r="F108" s="119">
        <f>IFERROR(INDEX('العهد'!$F$3:$F$502,102),"")</f>
        <v/>
      </c>
      <c r="G108" s="50">
        <f>IFERROR(INDEX('العهد'!$G$3:$G$502,102),"")</f>
        <v/>
      </c>
      <c r="H108" s="119">
        <f>IFERROR(INDEX('العهد'!$H$3:$H$502,102),"")</f>
        <v/>
      </c>
      <c r="I108" s="50">
        <f>IFERROR(INDEX('العهد'!$I$3:$I$502,102),"")</f>
        <v/>
      </c>
      <c r="J108" s="50">
        <f>IFERROR(INDEX('العهد'!$J$3:$J$502,102),"")</f>
        <v/>
      </c>
      <c r="K108" s="50">
        <f>IFERROR(INDEX('العهد'!$K$3:$K$502,102),"")</f>
        <v/>
      </c>
    </row>
    <row r="109">
      <c r="A109" s="43">
        <f>IFERROR(INDEX('العهد'!$A$3:$A$502,103),"")</f>
        <v/>
      </c>
      <c r="B109" s="43">
        <f>IFERROR(INDEX('العهد'!$B$3:$B$502,103),"")</f>
        <v/>
      </c>
      <c r="C109" s="43">
        <f>IFERROR(INDEX('العهد'!$C$3:$C$502,103),"")</f>
        <v/>
      </c>
      <c r="D109" s="43">
        <f>IFERROR(INDEX('العهد'!$D$3:$D$502,103),"")</f>
        <v/>
      </c>
      <c r="E109" s="43">
        <f>IFERROR(INDEX('العهد'!$E$3:$E$502,103),"")</f>
        <v/>
      </c>
      <c r="F109" s="118">
        <f>IFERROR(INDEX('العهد'!$F$3:$F$502,103),"")</f>
        <v/>
      </c>
      <c r="G109" s="43">
        <f>IFERROR(INDEX('العهد'!$G$3:$G$502,103),"")</f>
        <v/>
      </c>
      <c r="H109" s="118">
        <f>IFERROR(INDEX('العهد'!$H$3:$H$502,103),"")</f>
        <v/>
      </c>
      <c r="I109" s="43">
        <f>IFERROR(INDEX('العهد'!$I$3:$I$502,103),"")</f>
        <v/>
      </c>
      <c r="J109" s="43">
        <f>IFERROR(INDEX('العهد'!$J$3:$J$502,103),"")</f>
        <v/>
      </c>
      <c r="K109" s="43">
        <f>IFERROR(INDEX('العهد'!$K$3:$K$502,103),"")</f>
        <v/>
      </c>
    </row>
    <row r="110">
      <c r="A110" s="50">
        <f>IFERROR(INDEX('العهد'!$A$3:$A$502,104),"")</f>
        <v/>
      </c>
      <c r="B110" s="50">
        <f>IFERROR(INDEX('العهد'!$B$3:$B$502,104),"")</f>
        <v/>
      </c>
      <c r="C110" s="50">
        <f>IFERROR(INDEX('العهد'!$C$3:$C$502,104),"")</f>
        <v/>
      </c>
      <c r="D110" s="50">
        <f>IFERROR(INDEX('العهد'!$D$3:$D$502,104),"")</f>
        <v/>
      </c>
      <c r="E110" s="50">
        <f>IFERROR(INDEX('العهد'!$E$3:$E$502,104),"")</f>
        <v/>
      </c>
      <c r="F110" s="119">
        <f>IFERROR(INDEX('العهد'!$F$3:$F$502,104),"")</f>
        <v/>
      </c>
      <c r="G110" s="50">
        <f>IFERROR(INDEX('العهد'!$G$3:$G$502,104),"")</f>
        <v/>
      </c>
      <c r="H110" s="119">
        <f>IFERROR(INDEX('العهد'!$H$3:$H$502,104),"")</f>
        <v/>
      </c>
      <c r="I110" s="50">
        <f>IFERROR(INDEX('العهد'!$I$3:$I$502,104),"")</f>
        <v/>
      </c>
      <c r="J110" s="50">
        <f>IFERROR(INDEX('العهد'!$J$3:$J$502,104),"")</f>
        <v/>
      </c>
      <c r="K110" s="50">
        <f>IFERROR(INDEX('العهد'!$K$3:$K$502,104),"")</f>
        <v/>
      </c>
    </row>
    <row r="111">
      <c r="A111" s="43">
        <f>IFERROR(INDEX('العهد'!$A$3:$A$502,105),"")</f>
        <v/>
      </c>
      <c r="B111" s="43">
        <f>IFERROR(INDEX('العهد'!$B$3:$B$502,105),"")</f>
        <v/>
      </c>
      <c r="C111" s="43">
        <f>IFERROR(INDEX('العهد'!$C$3:$C$502,105),"")</f>
        <v/>
      </c>
      <c r="D111" s="43">
        <f>IFERROR(INDEX('العهد'!$D$3:$D$502,105),"")</f>
        <v/>
      </c>
      <c r="E111" s="43">
        <f>IFERROR(INDEX('العهد'!$E$3:$E$502,105),"")</f>
        <v/>
      </c>
      <c r="F111" s="118">
        <f>IFERROR(INDEX('العهد'!$F$3:$F$502,105),"")</f>
        <v/>
      </c>
      <c r="G111" s="43">
        <f>IFERROR(INDEX('العهد'!$G$3:$G$502,105),"")</f>
        <v/>
      </c>
      <c r="H111" s="118">
        <f>IFERROR(INDEX('العهد'!$H$3:$H$502,105),"")</f>
        <v/>
      </c>
      <c r="I111" s="43">
        <f>IFERROR(INDEX('العهد'!$I$3:$I$502,105),"")</f>
        <v/>
      </c>
      <c r="J111" s="43">
        <f>IFERROR(INDEX('العهد'!$J$3:$J$502,105),"")</f>
        <v/>
      </c>
      <c r="K111" s="43">
        <f>IFERROR(INDEX('العهد'!$K$3:$K$502,105),"")</f>
        <v/>
      </c>
    </row>
    <row r="112">
      <c r="A112" s="50">
        <f>IFERROR(INDEX('العهد'!$A$3:$A$502,106),"")</f>
        <v/>
      </c>
      <c r="B112" s="50">
        <f>IFERROR(INDEX('العهد'!$B$3:$B$502,106),"")</f>
        <v/>
      </c>
      <c r="C112" s="50">
        <f>IFERROR(INDEX('العهد'!$C$3:$C$502,106),"")</f>
        <v/>
      </c>
      <c r="D112" s="50">
        <f>IFERROR(INDEX('العهد'!$D$3:$D$502,106),"")</f>
        <v/>
      </c>
      <c r="E112" s="50">
        <f>IFERROR(INDEX('العهد'!$E$3:$E$502,106),"")</f>
        <v/>
      </c>
      <c r="F112" s="119">
        <f>IFERROR(INDEX('العهد'!$F$3:$F$502,106),"")</f>
        <v/>
      </c>
      <c r="G112" s="50">
        <f>IFERROR(INDEX('العهد'!$G$3:$G$502,106),"")</f>
        <v/>
      </c>
      <c r="H112" s="119">
        <f>IFERROR(INDEX('العهد'!$H$3:$H$502,106),"")</f>
        <v/>
      </c>
      <c r="I112" s="50">
        <f>IFERROR(INDEX('العهد'!$I$3:$I$502,106),"")</f>
        <v/>
      </c>
      <c r="J112" s="50">
        <f>IFERROR(INDEX('العهد'!$J$3:$J$502,106),"")</f>
        <v/>
      </c>
      <c r="K112" s="50">
        <f>IFERROR(INDEX('العهد'!$K$3:$K$502,106),"")</f>
        <v/>
      </c>
    </row>
    <row r="113">
      <c r="A113" s="43">
        <f>IFERROR(INDEX('العهد'!$A$3:$A$502,107),"")</f>
        <v/>
      </c>
      <c r="B113" s="43">
        <f>IFERROR(INDEX('العهد'!$B$3:$B$502,107),"")</f>
        <v/>
      </c>
      <c r="C113" s="43">
        <f>IFERROR(INDEX('العهد'!$C$3:$C$502,107),"")</f>
        <v/>
      </c>
      <c r="D113" s="43">
        <f>IFERROR(INDEX('العهد'!$D$3:$D$502,107),"")</f>
        <v/>
      </c>
      <c r="E113" s="43">
        <f>IFERROR(INDEX('العهد'!$E$3:$E$502,107),"")</f>
        <v/>
      </c>
      <c r="F113" s="118">
        <f>IFERROR(INDEX('العهد'!$F$3:$F$502,107),"")</f>
        <v/>
      </c>
      <c r="G113" s="43">
        <f>IFERROR(INDEX('العهد'!$G$3:$G$502,107),"")</f>
        <v/>
      </c>
      <c r="H113" s="118">
        <f>IFERROR(INDEX('العهد'!$H$3:$H$502,107),"")</f>
        <v/>
      </c>
      <c r="I113" s="43">
        <f>IFERROR(INDEX('العهد'!$I$3:$I$502,107),"")</f>
        <v/>
      </c>
      <c r="J113" s="43">
        <f>IFERROR(INDEX('العهد'!$J$3:$J$502,107),"")</f>
        <v/>
      </c>
      <c r="K113" s="43">
        <f>IFERROR(INDEX('العهد'!$K$3:$K$502,107),"")</f>
        <v/>
      </c>
    </row>
    <row r="114">
      <c r="A114" s="50">
        <f>IFERROR(INDEX('العهد'!$A$3:$A$502,108),"")</f>
        <v/>
      </c>
      <c r="B114" s="50">
        <f>IFERROR(INDEX('العهد'!$B$3:$B$502,108),"")</f>
        <v/>
      </c>
      <c r="C114" s="50">
        <f>IFERROR(INDEX('العهد'!$C$3:$C$502,108),"")</f>
        <v/>
      </c>
      <c r="D114" s="50">
        <f>IFERROR(INDEX('العهد'!$D$3:$D$502,108),"")</f>
        <v/>
      </c>
      <c r="E114" s="50">
        <f>IFERROR(INDEX('العهد'!$E$3:$E$502,108),"")</f>
        <v/>
      </c>
      <c r="F114" s="119">
        <f>IFERROR(INDEX('العهد'!$F$3:$F$502,108),"")</f>
        <v/>
      </c>
      <c r="G114" s="50">
        <f>IFERROR(INDEX('العهد'!$G$3:$G$502,108),"")</f>
        <v/>
      </c>
      <c r="H114" s="119">
        <f>IFERROR(INDEX('العهد'!$H$3:$H$502,108),"")</f>
        <v/>
      </c>
      <c r="I114" s="50">
        <f>IFERROR(INDEX('العهد'!$I$3:$I$502,108),"")</f>
        <v/>
      </c>
      <c r="J114" s="50">
        <f>IFERROR(INDEX('العهد'!$J$3:$J$502,108),"")</f>
        <v/>
      </c>
      <c r="K114" s="50">
        <f>IFERROR(INDEX('العهد'!$K$3:$K$502,108),"")</f>
        <v/>
      </c>
    </row>
    <row r="115">
      <c r="A115" s="43">
        <f>IFERROR(INDEX('العهد'!$A$3:$A$502,109),"")</f>
        <v/>
      </c>
      <c r="B115" s="43">
        <f>IFERROR(INDEX('العهد'!$B$3:$B$502,109),"")</f>
        <v/>
      </c>
      <c r="C115" s="43">
        <f>IFERROR(INDEX('العهد'!$C$3:$C$502,109),"")</f>
        <v/>
      </c>
      <c r="D115" s="43">
        <f>IFERROR(INDEX('العهد'!$D$3:$D$502,109),"")</f>
        <v/>
      </c>
      <c r="E115" s="43">
        <f>IFERROR(INDEX('العهد'!$E$3:$E$502,109),"")</f>
        <v/>
      </c>
      <c r="F115" s="118">
        <f>IFERROR(INDEX('العهد'!$F$3:$F$502,109),"")</f>
        <v/>
      </c>
      <c r="G115" s="43">
        <f>IFERROR(INDEX('العهد'!$G$3:$G$502,109),"")</f>
        <v/>
      </c>
      <c r="H115" s="118">
        <f>IFERROR(INDEX('العهد'!$H$3:$H$502,109),"")</f>
        <v/>
      </c>
      <c r="I115" s="43">
        <f>IFERROR(INDEX('العهد'!$I$3:$I$502,109),"")</f>
        <v/>
      </c>
      <c r="J115" s="43">
        <f>IFERROR(INDEX('العهد'!$J$3:$J$502,109),"")</f>
        <v/>
      </c>
      <c r="K115" s="43">
        <f>IFERROR(INDEX('العهد'!$K$3:$K$502,109),"")</f>
        <v/>
      </c>
    </row>
    <row r="116">
      <c r="A116" s="50">
        <f>IFERROR(INDEX('العهد'!$A$3:$A$502,110),"")</f>
        <v/>
      </c>
      <c r="B116" s="50">
        <f>IFERROR(INDEX('العهد'!$B$3:$B$502,110),"")</f>
        <v/>
      </c>
      <c r="C116" s="50">
        <f>IFERROR(INDEX('العهد'!$C$3:$C$502,110),"")</f>
        <v/>
      </c>
      <c r="D116" s="50">
        <f>IFERROR(INDEX('العهد'!$D$3:$D$502,110),"")</f>
        <v/>
      </c>
      <c r="E116" s="50">
        <f>IFERROR(INDEX('العهد'!$E$3:$E$502,110),"")</f>
        <v/>
      </c>
      <c r="F116" s="119">
        <f>IFERROR(INDEX('العهد'!$F$3:$F$502,110),"")</f>
        <v/>
      </c>
      <c r="G116" s="50">
        <f>IFERROR(INDEX('العهد'!$G$3:$G$502,110),"")</f>
        <v/>
      </c>
      <c r="H116" s="119">
        <f>IFERROR(INDEX('العهد'!$H$3:$H$502,110),"")</f>
        <v/>
      </c>
      <c r="I116" s="50">
        <f>IFERROR(INDEX('العهد'!$I$3:$I$502,110),"")</f>
        <v/>
      </c>
      <c r="J116" s="50">
        <f>IFERROR(INDEX('العهد'!$J$3:$J$502,110),"")</f>
        <v/>
      </c>
      <c r="K116" s="50">
        <f>IFERROR(INDEX('العهد'!$K$3:$K$502,110),"")</f>
        <v/>
      </c>
    </row>
    <row r="117">
      <c r="A117" s="43">
        <f>IFERROR(INDEX('العهد'!$A$3:$A$502,111),"")</f>
        <v/>
      </c>
      <c r="B117" s="43">
        <f>IFERROR(INDEX('العهد'!$B$3:$B$502,111),"")</f>
        <v/>
      </c>
      <c r="C117" s="43">
        <f>IFERROR(INDEX('العهد'!$C$3:$C$502,111),"")</f>
        <v/>
      </c>
      <c r="D117" s="43">
        <f>IFERROR(INDEX('العهد'!$D$3:$D$502,111),"")</f>
        <v/>
      </c>
      <c r="E117" s="43">
        <f>IFERROR(INDEX('العهد'!$E$3:$E$502,111),"")</f>
        <v/>
      </c>
      <c r="F117" s="118">
        <f>IFERROR(INDEX('العهد'!$F$3:$F$502,111),"")</f>
        <v/>
      </c>
      <c r="G117" s="43">
        <f>IFERROR(INDEX('العهد'!$G$3:$G$502,111),"")</f>
        <v/>
      </c>
      <c r="H117" s="118">
        <f>IFERROR(INDEX('العهد'!$H$3:$H$502,111),"")</f>
        <v/>
      </c>
      <c r="I117" s="43">
        <f>IFERROR(INDEX('العهد'!$I$3:$I$502,111),"")</f>
        <v/>
      </c>
      <c r="J117" s="43">
        <f>IFERROR(INDEX('العهد'!$J$3:$J$502,111),"")</f>
        <v/>
      </c>
      <c r="K117" s="43">
        <f>IFERROR(INDEX('العهد'!$K$3:$K$502,111),"")</f>
        <v/>
      </c>
    </row>
    <row r="118">
      <c r="A118" s="50">
        <f>IFERROR(INDEX('العهد'!$A$3:$A$502,112),"")</f>
        <v/>
      </c>
      <c r="B118" s="50">
        <f>IFERROR(INDEX('العهد'!$B$3:$B$502,112),"")</f>
        <v/>
      </c>
      <c r="C118" s="50">
        <f>IFERROR(INDEX('العهد'!$C$3:$C$502,112),"")</f>
        <v/>
      </c>
      <c r="D118" s="50">
        <f>IFERROR(INDEX('العهد'!$D$3:$D$502,112),"")</f>
        <v/>
      </c>
      <c r="E118" s="50">
        <f>IFERROR(INDEX('العهد'!$E$3:$E$502,112),"")</f>
        <v/>
      </c>
      <c r="F118" s="119">
        <f>IFERROR(INDEX('العهد'!$F$3:$F$502,112),"")</f>
        <v/>
      </c>
      <c r="G118" s="50">
        <f>IFERROR(INDEX('العهد'!$G$3:$G$502,112),"")</f>
        <v/>
      </c>
      <c r="H118" s="119">
        <f>IFERROR(INDEX('العهد'!$H$3:$H$502,112),"")</f>
        <v/>
      </c>
      <c r="I118" s="50">
        <f>IFERROR(INDEX('العهد'!$I$3:$I$502,112),"")</f>
        <v/>
      </c>
      <c r="J118" s="50">
        <f>IFERROR(INDEX('العهد'!$J$3:$J$502,112),"")</f>
        <v/>
      </c>
      <c r="K118" s="50">
        <f>IFERROR(INDEX('العهد'!$K$3:$K$502,112),"")</f>
        <v/>
      </c>
    </row>
    <row r="119">
      <c r="A119" s="43">
        <f>IFERROR(INDEX('العهد'!$A$3:$A$502,113),"")</f>
        <v/>
      </c>
      <c r="B119" s="43">
        <f>IFERROR(INDEX('العهد'!$B$3:$B$502,113),"")</f>
        <v/>
      </c>
      <c r="C119" s="43">
        <f>IFERROR(INDEX('العهد'!$C$3:$C$502,113),"")</f>
        <v/>
      </c>
      <c r="D119" s="43">
        <f>IFERROR(INDEX('العهد'!$D$3:$D$502,113),"")</f>
        <v/>
      </c>
      <c r="E119" s="43">
        <f>IFERROR(INDEX('العهد'!$E$3:$E$502,113),"")</f>
        <v/>
      </c>
      <c r="F119" s="118">
        <f>IFERROR(INDEX('العهد'!$F$3:$F$502,113),"")</f>
        <v/>
      </c>
      <c r="G119" s="43">
        <f>IFERROR(INDEX('العهد'!$G$3:$G$502,113),"")</f>
        <v/>
      </c>
      <c r="H119" s="118">
        <f>IFERROR(INDEX('العهد'!$H$3:$H$502,113),"")</f>
        <v/>
      </c>
      <c r="I119" s="43">
        <f>IFERROR(INDEX('العهد'!$I$3:$I$502,113),"")</f>
        <v/>
      </c>
      <c r="J119" s="43">
        <f>IFERROR(INDEX('العهد'!$J$3:$J$502,113),"")</f>
        <v/>
      </c>
      <c r="K119" s="43">
        <f>IFERROR(INDEX('العهد'!$K$3:$K$502,113),"")</f>
        <v/>
      </c>
    </row>
    <row r="120">
      <c r="A120" s="50">
        <f>IFERROR(INDEX('العهد'!$A$3:$A$502,114),"")</f>
        <v/>
      </c>
      <c r="B120" s="50">
        <f>IFERROR(INDEX('العهد'!$B$3:$B$502,114),"")</f>
        <v/>
      </c>
      <c r="C120" s="50">
        <f>IFERROR(INDEX('العهد'!$C$3:$C$502,114),"")</f>
        <v/>
      </c>
      <c r="D120" s="50">
        <f>IFERROR(INDEX('العهد'!$D$3:$D$502,114),"")</f>
        <v/>
      </c>
      <c r="E120" s="50">
        <f>IFERROR(INDEX('العهد'!$E$3:$E$502,114),"")</f>
        <v/>
      </c>
      <c r="F120" s="119">
        <f>IFERROR(INDEX('العهد'!$F$3:$F$502,114),"")</f>
        <v/>
      </c>
      <c r="G120" s="50">
        <f>IFERROR(INDEX('العهد'!$G$3:$G$502,114),"")</f>
        <v/>
      </c>
      <c r="H120" s="119">
        <f>IFERROR(INDEX('العهد'!$H$3:$H$502,114),"")</f>
        <v/>
      </c>
      <c r="I120" s="50">
        <f>IFERROR(INDEX('العهد'!$I$3:$I$502,114),"")</f>
        <v/>
      </c>
      <c r="J120" s="50">
        <f>IFERROR(INDEX('العهد'!$J$3:$J$502,114),"")</f>
        <v/>
      </c>
      <c r="K120" s="50">
        <f>IFERROR(INDEX('العهد'!$K$3:$K$502,114),"")</f>
        <v/>
      </c>
    </row>
    <row r="121">
      <c r="A121" s="43">
        <f>IFERROR(INDEX('العهد'!$A$3:$A$502,115),"")</f>
        <v/>
      </c>
      <c r="B121" s="43">
        <f>IFERROR(INDEX('العهد'!$B$3:$B$502,115),"")</f>
        <v/>
      </c>
      <c r="C121" s="43">
        <f>IFERROR(INDEX('العهد'!$C$3:$C$502,115),"")</f>
        <v/>
      </c>
      <c r="D121" s="43">
        <f>IFERROR(INDEX('العهد'!$D$3:$D$502,115),"")</f>
        <v/>
      </c>
      <c r="E121" s="43">
        <f>IFERROR(INDEX('العهد'!$E$3:$E$502,115),"")</f>
        <v/>
      </c>
      <c r="F121" s="118">
        <f>IFERROR(INDEX('العهد'!$F$3:$F$502,115),"")</f>
        <v/>
      </c>
      <c r="G121" s="43">
        <f>IFERROR(INDEX('العهد'!$G$3:$G$502,115),"")</f>
        <v/>
      </c>
      <c r="H121" s="118">
        <f>IFERROR(INDEX('العهد'!$H$3:$H$502,115),"")</f>
        <v/>
      </c>
      <c r="I121" s="43">
        <f>IFERROR(INDEX('العهد'!$I$3:$I$502,115),"")</f>
        <v/>
      </c>
      <c r="J121" s="43">
        <f>IFERROR(INDEX('العهد'!$J$3:$J$502,115),"")</f>
        <v/>
      </c>
      <c r="K121" s="43">
        <f>IFERROR(INDEX('العهد'!$K$3:$K$502,115),"")</f>
        <v/>
      </c>
    </row>
    <row r="122">
      <c r="A122" s="50">
        <f>IFERROR(INDEX('العهد'!$A$3:$A$502,116),"")</f>
        <v/>
      </c>
      <c r="B122" s="50">
        <f>IFERROR(INDEX('العهد'!$B$3:$B$502,116),"")</f>
        <v/>
      </c>
      <c r="C122" s="50">
        <f>IFERROR(INDEX('العهد'!$C$3:$C$502,116),"")</f>
        <v/>
      </c>
      <c r="D122" s="50">
        <f>IFERROR(INDEX('العهد'!$D$3:$D$502,116),"")</f>
        <v/>
      </c>
      <c r="E122" s="50">
        <f>IFERROR(INDEX('العهد'!$E$3:$E$502,116),"")</f>
        <v/>
      </c>
      <c r="F122" s="119">
        <f>IFERROR(INDEX('العهد'!$F$3:$F$502,116),"")</f>
        <v/>
      </c>
      <c r="G122" s="50">
        <f>IFERROR(INDEX('العهد'!$G$3:$G$502,116),"")</f>
        <v/>
      </c>
      <c r="H122" s="119">
        <f>IFERROR(INDEX('العهد'!$H$3:$H$502,116),"")</f>
        <v/>
      </c>
      <c r="I122" s="50">
        <f>IFERROR(INDEX('العهد'!$I$3:$I$502,116),"")</f>
        <v/>
      </c>
      <c r="J122" s="50">
        <f>IFERROR(INDEX('العهد'!$J$3:$J$502,116),"")</f>
        <v/>
      </c>
      <c r="K122" s="50">
        <f>IFERROR(INDEX('العهد'!$K$3:$K$502,116),"")</f>
        <v/>
      </c>
    </row>
    <row r="123">
      <c r="A123" s="43">
        <f>IFERROR(INDEX('العهد'!$A$3:$A$502,117),"")</f>
        <v/>
      </c>
      <c r="B123" s="43">
        <f>IFERROR(INDEX('العهد'!$B$3:$B$502,117),"")</f>
        <v/>
      </c>
      <c r="C123" s="43">
        <f>IFERROR(INDEX('العهد'!$C$3:$C$502,117),"")</f>
        <v/>
      </c>
      <c r="D123" s="43">
        <f>IFERROR(INDEX('العهد'!$D$3:$D$502,117),"")</f>
        <v/>
      </c>
      <c r="E123" s="43">
        <f>IFERROR(INDEX('العهد'!$E$3:$E$502,117),"")</f>
        <v/>
      </c>
      <c r="F123" s="118">
        <f>IFERROR(INDEX('العهد'!$F$3:$F$502,117),"")</f>
        <v/>
      </c>
      <c r="G123" s="43">
        <f>IFERROR(INDEX('العهد'!$G$3:$G$502,117),"")</f>
        <v/>
      </c>
      <c r="H123" s="118">
        <f>IFERROR(INDEX('العهد'!$H$3:$H$502,117),"")</f>
        <v/>
      </c>
      <c r="I123" s="43">
        <f>IFERROR(INDEX('العهد'!$I$3:$I$502,117),"")</f>
        <v/>
      </c>
      <c r="J123" s="43">
        <f>IFERROR(INDEX('العهد'!$J$3:$J$502,117),"")</f>
        <v/>
      </c>
      <c r="K123" s="43">
        <f>IFERROR(INDEX('العهد'!$K$3:$K$502,117),"")</f>
        <v/>
      </c>
    </row>
    <row r="124">
      <c r="A124" s="50">
        <f>IFERROR(INDEX('العهد'!$A$3:$A$502,118),"")</f>
        <v/>
      </c>
      <c r="B124" s="50">
        <f>IFERROR(INDEX('العهد'!$B$3:$B$502,118),"")</f>
        <v/>
      </c>
      <c r="C124" s="50">
        <f>IFERROR(INDEX('العهد'!$C$3:$C$502,118),"")</f>
        <v/>
      </c>
      <c r="D124" s="50">
        <f>IFERROR(INDEX('العهد'!$D$3:$D$502,118),"")</f>
        <v/>
      </c>
      <c r="E124" s="50">
        <f>IFERROR(INDEX('العهد'!$E$3:$E$502,118),"")</f>
        <v/>
      </c>
      <c r="F124" s="119">
        <f>IFERROR(INDEX('العهد'!$F$3:$F$502,118),"")</f>
        <v/>
      </c>
      <c r="G124" s="50">
        <f>IFERROR(INDEX('العهد'!$G$3:$G$502,118),"")</f>
        <v/>
      </c>
      <c r="H124" s="119">
        <f>IFERROR(INDEX('العهد'!$H$3:$H$502,118),"")</f>
        <v/>
      </c>
      <c r="I124" s="50">
        <f>IFERROR(INDEX('العهد'!$I$3:$I$502,118),"")</f>
        <v/>
      </c>
      <c r="J124" s="50">
        <f>IFERROR(INDEX('العهد'!$J$3:$J$502,118),"")</f>
        <v/>
      </c>
      <c r="K124" s="50">
        <f>IFERROR(INDEX('العهد'!$K$3:$K$502,118),"")</f>
        <v/>
      </c>
    </row>
    <row r="125">
      <c r="A125" s="43">
        <f>IFERROR(INDEX('العهد'!$A$3:$A$502,119),"")</f>
        <v/>
      </c>
      <c r="B125" s="43">
        <f>IFERROR(INDEX('العهد'!$B$3:$B$502,119),"")</f>
        <v/>
      </c>
      <c r="C125" s="43">
        <f>IFERROR(INDEX('العهد'!$C$3:$C$502,119),"")</f>
        <v/>
      </c>
      <c r="D125" s="43">
        <f>IFERROR(INDEX('العهد'!$D$3:$D$502,119),"")</f>
        <v/>
      </c>
      <c r="E125" s="43">
        <f>IFERROR(INDEX('العهد'!$E$3:$E$502,119),"")</f>
        <v/>
      </c>
      <c r="F125" s="118">
        <f>IFERROR(INDEX('العهد'!$F$3:$F$502,119),"")</f>
        <v/>
      </c>
      <c r="G125" s="43">
        <f>IFERROR(INDEX('العهد'!$G$3:$G$502,119),"")</f>
        <v/>
      </c>
      <c r="H125" s="118">
        <f>IFERROR(INDEX('العهد'!$H$3:$H$502,119),"")</f>
        <v/>
      </c>
      <c r="I125" s="43">
        <f>IFERROR(INDEX('العهد'!$I$3:$I$502,119),"")</f>
        <v/>
      </c>
      <c r="J125" s="43">
        <f>IFERROR(INDEX('العهد'!$J$3:$J$502,119),"")</f>
        <v/>
      </c>
      <c r="K125" s="43">
        <f>IFERROR(INDEX('العهد'!$K$3:$K$502,119),"")</f>
        <v/>
      </c>
    </row>
    <row r="126">
      <c r="A126" s="50">
        <f>IFERROR(INDEX('العهد'!$A$3:$A$502,120),"")</f>
        <v/>
      </c>
      <c r="B126" s="50">
        <f>IFERROR(INDEX('العهد'!$B$3:$B$502,120),"")</f>
        <v/>
      </c>
      <c r="C126" s="50">
        <f>IFERROR(INDEX('العهد'!$C$3:$C$502,120),"")</f>
        <v/>
      </c>
      <c r="D126" s="50">
        <f>IFERROR(INDEX('العهد'!$D$3:$D$502,120),"")</f>
        <v/>
      </c>
      <c r="E126" s="50">
        <f>IFERROR(INDEX('العهد'!$E$3:$E$502,120),"")</f>
        <v/>
      </c>
      <c r="F126" s="119">
        <f>IFERROR(INDEX('العهد'!$F$3:$F$502,120),"")</f>
        <v/>
      </c>
      <c r="G126" s="50">
        <f>IFERROR(INDEX('العهد'!$G$3:$G$502,120),"")</f>
        <v/>
      </c>
      <c r="H126" s="119">
        <f>IFERROR(INDEX('العهد'!$H$3:$H$502,120),"")</f>
        <v/>
      </c>
      <c r="I126" s="50">
        <f>IFERROR(INDEX('العهد'!$I$3:$I$502,120),"")</f>
        <v/>
      </c>
      <c r="J126" s="50">
        <f>IFERROR(INDEX('العهد'!$J$3:$J$502,120),"")</f>
        <v/>
      </c>
      <c r="K126" s="50">
        <f>IFERROR(INDEX('العهد'!$K$3:$K$502,120),"")</f>
        <v/>
      </c>
    </row>
    <row r="127">
      <c r="A127" s="43">
        <f>IFERROR(INDEX('العهد'!$A$3:$A$502,121),"")</f>
        <v/>
      </c>
      <c r="B127" s="43">
        <f>IFERROR(INDEX('العهد'!$B$3:$B$502,121),"")</f>
        <v/>
      </c>
      <c r="C127" s="43">
        <f>IFERROR(INDEX('العهد'!$C$3:$C$502,121),"")</f>
        <v/>
      </c>
      <c r="D127" s="43">
        <f>IFERROR(INDEX('العهد'!$D$3:$D$502,121),"")</f>
        <v/>
      </c>
      <c r="E127" s="43">
        <f>IFERROR(INDEX('العهد'!$E$3:$E$502,121),"")</f>
        <v/>
      </c>
      <c r="F127" s="118">
        <f>IFERROR(INDEX('العهد'!$F$3:$F$502,121),"")</f>
        <v/>
      </c>
      <c r="G127" s="43">
        <f>IFERROR(INDEX('العهد'!$G$3:$G$502,121),"")</f>
        <v/>
      </c>
      <c r="H127" s="118">
        <f>IFERROR(INDEX('العهد'!$H$3:$H$502,121),"")</f>
        <v/>
      </c>
      <c r="I127" s="43">
        <f>IFERROR(INDEX('العهد'!$I$3:$I$502,121),"")</f>
        <v/>
      </c>
      <c r="J127" s="43">
        <f>IFERROR(INDEX('العهد'!$J$3:$J$502,121),"")</f>
        <v/>
      </c>
      <c r="K127" s="43">
        <f>IFERROR(INDEX('العهد'!$K$3:$K$502,121),"")</f>
        <v/>
      </c>
    </row>
    <row r="128">
      <c r="A128" s="50">
        <f>IFERROR(INDEX('العهد'!$A$3:$A$502,122),"")</f>
        <v/>
      </c>
      <c r="B128" s="50">
        <f>IFERROR(INDEX('العهد'!$B$3:$B$502,122),"")</f>
        <v/>
      </c>
      <c r="C128" s="50">
        <f>IFERROR(INDEX('العهد'!$C$3:$C$502,122),"")</f>
        <v/>
      </c>
      <c r="D128" s="50">
        <f>IFERROR(INDEX('العهد'!$D$3:$D$502,122),"")</f>
        <v/>
      </c>
      <c r="E128" s="50">
        <f>IFERROR(INDEX('العهد'!$E$3:$E$502,122),"")</f>
        <v/>
      </c>
      <c r="F128" s="119">
        <f>IFERROR(INDEX('العهد'!$F$3:$F$502,122),"")</f>
        <v/>
      </c>
      <c r="G128" s="50">
        <f>IFERROR(INDEX('العهد'!$G$3:$G$502,122),"")</f>
        <v/>
      </c>
      <c r="H128" s="119">
        <f>IFERROR(INDEX('العهد'!$H$3:$H$502,122),"")</f>
        <v/>
      </c>
      <c r="I128" s="50">
        <f>IFERROR(INDEX('العهد'!$I$3:$I$502,122),"")</f>
        <v/>
      </c>
      <c r="J128" s="50">
        <f>IFERROR(INDEX('العهد'!$J$3:$J$502,122),"")</f>
        <v/>
      </c>
      <c r="K128" s="50">
        <f>IFERROR(INDEX('العهد'!$K$3:$K$502,122),"")</f>
        <v/>
      </c>
    </row>
    <row r="129">
      <c r="A129" s="43">
        <f>IFERROR(INDEX('العهد'!$A$3:$A$502,123),"")</f>
        <v/>
      </c>
      <c r="B129" s="43">
        <f>IFERROR(INDEX('العهد'!$B$3:$B$502,123),"")</f>
        <v/>
      </c>
      <c r="C129" s="43">
        <f>IFERROR(INDEX('العهد'!$C$3:$C$502,123),"")</f>
        <v/>
      </c>
      <c r="D129" s="43">
        <f>IFERROR(INDEX('العهد'!$D$3:$D$502,123),"")</f>
        <v/>
      </c>
      <c r="E129" s="43">
        <f>IFERROR(INDEX('العهد'!$E$3:$E$502,123),"")</f>
        <v/>
      </c>
      <c r="F129" s="118">
        <f>IFERROR(INDEX('العهد'!$F$3:$F$502,123),"")</f>
        <v/>
      </c>
      <c r="G129" s="43">
        <f>IFERROR(INDEX('العهد'!$G$3:$G$502,123),"")</f>
        <v/>
      </c>
      <c r="H129" s="118">
        <f>IFERROR(INDEX('العهد'!$H$3:$H$502,123),"")</f>
        <v/>
      </c>
      <c r="I129" s="43">
        <f>IFERROR(INDEX('العهد'!$I$3:$I$502,123),"")</f>
        <v/>
      </c>
      <c r="J129" s="43">
        <f>IFERROR(INDEX('العهد'!$J$3:$J$502,123),"")</f>
        <v/>
      </c>
      <c r="K129" s="43">
        <f>IFERROR(INDEX('العهد'!$K$3:$K$502,123),"")</f>
        <v/>
      </c>
    </row>
    <row r="130">
      <c r="A130" s="50">
        <f>IFERROR(INDEX('العهد'!$A$3:$A$502,124),"")</f>
        <v/>
      </c>
      <c r="B130" s="50">
        <f>IFERROR(INDEX('العهد'!$B$3:$B$502,124),"")</f>
        <v/>
      </c>
      <c r="C130" s="50">
        <f>IFERROR(INDEX('العهد'!$C$3:$C$502,124),"")</f>
        <v/>
      </c>
      <c r="D130" s="50">
        <f>IFERROR(INDEX('العهد'!$D$3:$D$502,124),"")</f>
        <v/>
      </c>
      <c r="E130" s="50">
        <f>IFERROR(INDEX('العهد'!$E$3:$E$502,124),"")</f>
        <v/>
      </c>
      <c r="F130" s="119">
        <f>IFERROR(INDEX('العهد'!$F$3:$F$502,124),"")</f>
        <v/>
      </c>
      <c r="G130" s="50">
        <f>IFERROR(INDEX('العهد'!$G$3:$G$502,124),"")</f>
        <v/>
      </c>
      <c r="H130" s="119">
        <f>IFERROR(INDEX('العهد'!$H$3:$H$502,124),"")</f>
        <v/>
      </c>
      <c r="I130" s="50">
        <f>IFERROR(INDEX('العهد'!$I$3:$I$502,124),"")</f>
        <v/>
      </c>
      <c r="J130" s="50">
        <f>IFERROR(INDEX('العهد'!$J$3:$J$502,124),"")</f>
        <v/>
      </c>
      <c r="K130" s="50">
        <f>IFERROR(INDEX('العهد'!$K$3:$K$502,124),"")</f>
        <v/>
      </c>
    </row>
    <row r="131">
      <c r="A131" s="43">
        <f>IFERROR(INDEX('العهد'!$A$3:$A$502,125),"")</f>
        <v/>
      </c>
      <c r="B131" s="43">
        <f>IFERROR(INDEX('العهد'!$B$3:$B$502,125),"")</f>
        <v/>
      </c>
      <c r="C131" s="43">
        <f>IFERROR(INDEX('العهد'!$C$3:$C$502,125),"")</f>
        <v/>
      </c>
      <c r="D131" s="43">
        <f>IFERROR(INDEX('العهد'!$D$3:$D$502,125),"")</f>
        <v/>
      </c>
      <c r="E131" s="43">
        <f>IFERROR(INDEX('العهد'!$E$3:$E$502,125),"")</f>
        <v/>
      </c>
      <c r="F131" s="118">
        <f>IFERROR(INDEX('العهد'!$F$3:$F$502,125),"")</f>
        <v/>
      </c>
      <c r="G131" s="43">
        <f>IFERROR(INDEX('العهد'!$G$3:$G$502,125),"")</f>
        <v/>
      </c>
      <c r="H131" s="118">
        <f>IFERROR(INDEX('العهد'!$H$3:$H$502,125),"")</f>
        <v/>
      </c>
      <c r="I131" s="43">
        <f>IFERROR(INDEX('العهد'!$I$3:$I$502,125),"")</f>
        <v/>
      </c>
      <c r="J131" s="43">
        <f>IFERROR(INDEX('العهد'!$J$3:$J$502,125),"")</f>
        <v/>
      </c>
      <c r="K131" s="43">
        <f>IFERROR(INDEX('العهد'!$K$3:$K$502,125),"")</f>
        <v/>
      </c>
    </row>
    <row r="132">
      <c r="A132" s="50">
        <f>IFERROR(INDEX('العهد'!$A$3:$A$502,126),"")</f>
        <v/>
      </c>
      <c r="B132" s="50">
        <f>IFERROR(INDEX('العهد'!$B$3:$B$502,126),"")</f>
        <v/>
      </c>
      <c r="C132" s="50">
        <f>IFERROR(INDEX('العهد'!$C$3:$C$502,126),"")</f>
        <v/>
      </c>
      <c r="D132" s="50">
        <f>IFERROR(INDEX('العهد'!$D$3:$D$502,126),"")</f>
        <v/>
      </c>
      <c r="E132" s="50">
        <f>IFERROR(INDEX('العهد'!$E$3:$E$502,126),"")</f>
        <v/>
      </c>
      <c r="F132" s="119">
        <f>IFERROR(INDEX('العهد'!$F$3:$F$502,126),"")</f>
        <v/>
      </c>
      <c r="G132" s="50">
        <f>IFERROR(INDEX('العهد'!$G$3:$G$502,126),"")</f>
        <v/>
      </c>
      <c r="H132" s="119">
        <f>IFERROR(INDEX('العهد'!$H$3:$H$502,126),"")</f>
        <v/>
      </c>
      <c r="I132" s="50">
        <f>IFERROR(INDEX('العهد'!$I$3:$I$502,126),"")</f>
        <v/>
      </c>
      <c r="J132" s="50">
        <f>IFERROR(INDEX('العهد'!$J$3:$J$502,126),"")</f>
        <v/>
      </c>
      <c r="K132" s="50">
        <f>IFERROR(INDEX('العهد'!$K$3:$K$502,126),"")</f>
        <v/>
      </c>
    </row>
    <row r="133">
      <c r="A133" s="43">
        <f>IFERROR(INDEX('العهد'!$A$3:$A$502,127),"")</f>
        <v/>
      </c>
      <c r="B133" s="43">
        <f>IFERROR(INDEX('العهد'!$B$3:$B$502,127),"")</f>
        <v/>
      </c>
      <c r="C133" s="43">
        <f>IFERROR(INDEX('العهد'!$C$3:$C$502,127),"")</f>
        <v/>
      </c>
      <c r="D133" s="43">
        <f>IFERROR(INDEX('العهد'!$D$3:$D$502,127),"")</f>
        <v/>
      </c>
      <c r="E133" s="43">
        <f>IFERROR(INDEX('العهد'!$E$3:$E$502,127),"")</f>
        <v/>
      </c>
      <c r="F133" s="118">
        <f>IFERROR(INDEX('العهد'!$F$3:$F$502,127),"")</f>
        <v/>
      </c>
      <c r="G133" s="43">
        <f>IFERROR(INDEX('العهد'!$G$3:$G$502,127),"")</f>
        <v/>
      </c>
      <c r="H133" s="118">
        <f>IFERROR(INDEX('العهد'!$H$3:$H$502,127),"")</f>
        <v/>
      </c>
      <c r="I133" s="43">
        <f>IFERROR(INDEX('العهد'!$I$3:$I$502,127),"")</f>
        <v/>
      </c>
      <c r="J133" s="43">
        <f>IFERROR(INDEX('العهد'!$J$3:$J$502,127),"")</f>
        <v/>
      </c>
      <c r="K133" s="43">
        <f>IFERROR(INDEX('العهد'!$K$3:$K$502,127),"")</f>
        <v/>
      </c>
    </row>
    <row r="134">
      <c r="A134" s="50">
        <f>IFERROR(INDEX('العهد'!$A$3:$A$502,128),"")</f>
        <v/>
      </c>
      <c r="B134" s="50">
        <f>IFERROR(INDEX('العهد'!$B$3:$B$502,128),"")</f>
        <v/>
      </c>
      <c r="C134" s="50">
        <f>IFERROR(INDEX('العهد'!$C$3:$C$502,128),"")</f>
        <v/>
      </c>
      <c r="D134" s="50">
        <f>IFERROR(INDEX('العهد'!$D$3:$D$502,128),"")</f>
        <v/>
      </c>
      <c r="E134" s="50">
        <f>IFERROR(INDEX('العهد'!$E$3:$E$502,128),"")</f>
        <v/>
      </c>
      <c r="F134" s="119">
        <f>IFERROR(INDEX('العهد'!$F$3:$F$502,128),"")</f>
        <v/>
      </c>
      <c r="G134" s="50">
        <f>IFERROR(INDEX('العهد'!$G$3:$G$502,128),"")</f>
        <v/>
      </c>
      <c r="H134" s="119">
        <f>IFERROR(INDEX('العهد'!$H$3:$H$502,128),"")</f>
        <v/>
      </c>
      <c r="I134" s="50">
        <f>IFERROR(INDEX('العهد'!$I$3:$I$502,128),"")</f>
        <v/>
      </c>
      <c r="J134" s="50">
        <f>IFERROR(INDEX('العهد'!$J$3:$J$502,128),"")</f>
        <v/>
      </c>
      <c r="K134" s="50">
        <f>IFERROR(INDEX('العهد'!$K$3:$K$502,128),"")</f>
        <v/>
      </c>
    </row>
    <row r="135">
      <c r="A135" s="43">
        <f>IFERROR(INDEX('العهد'!$A$3:$A$502,129),"")</f>
        <v/>
      </c>
      <c r="B135" s="43">
        <f>IFERROR(INDEX('العهد'!$B$3:$B$502,129),"")</f>
        <v/>
      </c>
      <c r="C135" s="43">
        <f>IFERROR(INDEX('العهد'!$C$3:$C$502,129),"")</f>
        <v/>
      </c>
      <c r="D135" s="43">
        <f>IFERROR(INDEX('العهد'!$D$3:$D$502,129),"")</f>
        <v/>
      </c>
      <c r="E135" s="43">
        <f>IFERROR(INDEX('العهد'!$E$3:$E$502,129),"")</f>
        <v/>
      </c>
      <c r="F135" s="118">
        <f>IFERROR(INDEX('العهد'!$F$3:$F$502,129),"")</f>
        <v/>
      </c>
      <c r="G135" s="43">
        <f>IFERROR(INDEX('العهد'!$G$3:$G$502,129),"")</f>
        <v/>
      </c>
      <c r="H135" s="118">
        <f>IFERROR(INDEX('العهد'!$H$3:$H$502,129),"")</f>
        <v/>
      </c>
      <c r="I135" s="43">
        <f>IFERROR(INDEX('العهد'!$I$3:$I$502,129),"")</f>
        <v/>
      </c>
      <c r="J135" s="43">
        <f>IFERROR(INDEX('العهد'!$J$3:$J$502,129),"")</f>
        <v/>
      </c>
      <c r="K135" s="43">
        <f>IFERROR(INDEX('العهد'!$K$3:$K$502,129),"")</f>
        <v/>
      </c>
    </row>
    <row r="136">
      <c r="A136" s="50">
        <f>IFERROR(INDEX('العهد'!$A$3:$A$502,130),"")</f>
        <v/>
      </c>
      <c r="B136" s="50">
        <f>IFERROR(INDEX('العهد'!$B$3:$B$502,130),"")</f>
        <v/>
      </c>
      <c r="C136" s="50">
        <f>IFERROR(INDEX('العهد'!$C$3:$C$502,130),"")</f>
        <v/>
      </c>
      <c r="D136" s="50">
        <f>IFERROR(INDEX('العهد'!$D$3:$D$502,130),"")</f>
        <v/>
      </c>
      <c r="E136" s="50">
        <f>IFERROR(INDEX('العهد'!$E$3:$E$502,130),"")</f>
        <v/>
      </c>
      <c r="F136" s="119">
        <f>IFERROR(INDEX('العهد'!$F$3:$F$502,130),"")</f>
        <v/>
      </c>
      <c r="G136" s="50">
        <f>IFERROR(INDEX('العهد'!$G$3:$G$502,130),"")</f>
        <v/>
      </c>
      <c r="H136" s="119">
        <f>IFERROR(INDEX('العهد'!$H$3:$H$502,130),"")</f>
        <v/>
      </c>
      <c r="I136" s="50">
        <f>IFERROR(INDEX('العهد'!$I$3:$I$502,130),"")</f>
        <v/>
      </c>
      <c r="J136" s="50">
        <f>IFERROR(INDEX('العهد'!$J$3:$J$502,130),"")</f>
        <v/>
      </c>
      <c r="K136" s="50">
        <f>IFERROR(INDEX('العهد'!$K$3:$K$502,130),"")</f>
        <v/>
      </c>
    </row>
    <row r="137">
      <c r="A137" s="43">
        <f>IFERROR(INDEX('العهد'!$A$3:$A$502,131),"")</f>
        <v/>
      </c>
      <c r="B137" s="43">
        <f>IFERROR(INDEX('العهد'!$B$3:$B$502,131),"")</f>
        <v/>
      </c>
      <c r="C137" s="43">
        <f>IFERROR(INDEX('العهد'!$C$3:$C$502,131),"")</f>
        <v/>
      </c>
      <c r="D137" s="43">
        <f>IFERROR(INDEX('العهد'!$D$3:$D$502,131),"")</f>
        <v/>
      </c>
      <c r="E137" s="43">
        <f>IFERROR(INDEX('العهد'!$E$3:$E$502,131),"")</f>
        <v/>
      </c>
      <c r="F137" s="118">
        <f>IFERROR(INDEX('العهد'!$F$3:$F$502,131),"")</f>
        <v/>
      </c>
      <c r="G137" s="43">
        <f>IFERROR(INDEX('العهد'!$G$3:$G$502,131),"")</f>
        <v/>
      </c>
      <c r="H137" s="118">
        <f>IFERROR(INDEX('العهد'!$H$3:$H$502,131),"")</f>
        <v/>
      </c>
      <c r="I137" s="43">
        <f>IFERROR(INDEX('العهد'!$I$3:$I$502,131),"")</f>
        <v/>
      </c>
      <c r="J137" s="43">
        <f>IFERROR(INDEX('العهد'!$J$3:$J$502,131),"")</f>
        <v/>
      </c>
      <c r="K137" s="43">
        <f>IFERROR(INDEX('العهد'!$K$3:$K$502,131),"")</f>
        <v/>
      </c>
    </row>
    <row r="138">
      <c r="A138" s="50">
        <f>IFERROR(INDEX('العهد'!$A$3:$A$502,132),"")</f>
        <v/>
      </c>
      <c r="B138" s="50">
        <f>IFERROR(INDEX('العهد'!$B$3:$B$502,132),"")</f>
        <v/>
      </c>
      <c r="C138" s="50">
        <f>IFERROR(INDEX('العهد'!$C$3:$C$502,132),"")</f>
        <v/>
      </c>
      <c r="D138" s="50">
        <f>IFERROR(INDEX('العهد'!$D$3:$D$502,132),"")</f>
        <v/>
      </c>
      <c r="E138" s="50">
        <f>IFERROR(INDEX('العهد'!$E$3:$E$502,132),"")</f>
        <v/>
      </c>
      <c r="F138" s="119">
        <f>IFERROR(INDEX('العهد'!$F$3:$F$502,132),"")</f>
        <v/>
      </c>
      <c r="G138" s="50">
        <f>IFERROR(INDEX('العهد'!$G$3:$G$502,132),"")</f>
        <v/>
      </c>
      <c r="H138" s="119">
        <f>IFERROR(INDEX('العهد'!$H$3:$H$502,132),"")</f>
        <v/>
      </c>
      <c r="I138" s="50">
        <f>IFERROR(INDEX('العهد'!$I$3:$I$502,132),"")</f>
        <v/>
      </c>
      <c r="J138" s="50">
        <f>IFERROR(INDEX('العهد'!$J$3:$J$502,132),"")</f>
        <v/>
      </c>
      <c r="K138" s="50">
        <f>IFERROR(INDEX('العهد'!$K$3:$K$502,132),"")</f>
        <v/>
      </c>
    </row>
    <row r="139">
      <c r="A139" s="43">
        <f>IFERROR(INDEX('العهد'!$A$3:$A$502,133),"")</f>
        <v/>
      </c>
      <c r="B139" s="43">
        <f>IFERROR(INDEX('العهد'!$B$3:$B$502,133),"")</f>
        <v/>
      </c>
      <c r="C139" s="43">
        <f>IFERROR(INDEX('العهد'!$C$3:$C$502,133),"")</f>
        <v/>
      </c>
      <c r="D139" s="43">
        <f>IFERROR(INDEX('العهد'!$D$3:$D$502,133),"")</f>
        <v/>
      </c>
      <c r="E139" s="43">
        <f>IFERROR(INDEX('العهد'!$E$3:$E$502,133),"")</f>
        <v/>
      </c>
      <c r="F139" s="118">
        <f>IFERROR(INDEX('العهد'!$F$3:$F$502,133),"")</f>
        <v/>
      </c>
      <c r="G139" s="43">
        <f>IFERROR(INDEX('العهد'!$G$3:$G$502,133),"")</f>
        <v/>
      </c>
      <c r="H139" s="118">
        <f>IFERROR(INDEX('العهد'!$H$3:$H$502,133),"")</f>
        <v/>
      </c>
      <c r="I139" s="43">
        <f>IFERROR(INDEX('العهد'!$I$3:$I$502,133),"")</f>
        <v/>
      </c>
      <c r="J139" s="43">
        <f>IFERROR(INDEX('العهد'!$J$3:$J$502,133),"")</f>
        <v/>
      </c>
      <c r="K139" s="43">
        <f>IFERROR(INDEX('العهد'!$K$3:$K$502,133),"")</f>
        <v/>
      </c>
    </row>
    <row r="140">
      <c r="A140" s="50">
        <f>IFERROR(INDEX('العهد'!$A$3:$A$502,134),"")</f>
        <v/>
      </c>
      <c r="B140" s="50">
        <f>IFERROR(INDEX('العهد'!$B$3:$B$502,134),"")</f>
        <v/>
      </c>
      <c r="C140" s="50">
        <f>IFERROR(INDEX('العهد'!$C$3:$C$502,134),"")</f>
        <v/>
      </c>
      <c r="D140" s="50">
        <f>IFERROR(INDEX('العهد'!$D$3:$D$502,134),"")</f>
        <v/>
      </c>
      <c r="E140" s="50">
        <f>IFERROR(INDEX('العهد'!$E$3:$E$502,134),"")</f>
        <v/>
      </c>
      <c r="F140" s="119">
        <f>IFERROR(INDEX('العهد'!$F$3:$F$502,134),"")</f>
        <v/>
      </c>
      <c r="G140" s="50">
        <f>IFERROR(INDEX('العهد'!$G$3:$G$502,134),"")</f>
        <v/>
      </c>
      <c r="H140" s="119">
        <f>IFERROR(INDEX('العهد'!$H$3:$H$502,134),"")</f>
        <v/>
      </c>
      <c r="I140" s="50">
        <f>IFERROR(INDEX('العهد'!$I$3:$I$502,134),"")</f>
        <v/>
      </c>
      <c r="J140" s="50">
        <f>IFERROR(INDEX('العهد'!$J$3:$J$502,134),"")</f>
        <v/>
      </c>
      <c r="K140" s="50">
        <f>IFERROR(INDEX('العهد'!$K$3:$K$502,134),"")</f>
        <v/>
      </c>
    </row>
    <row r="141">
      <c r="A141" s="43">
        <f>IFERROR(INDEX('العهد'!$A$3:$A$502,135),"")</f>
        <v/>
      </c>
      <c r="B141" s="43">
        <f>IFERROR(INDEX('العهد'!$B$3:$B$502,135),"")</f>
        <v/>
      </c>
      <c r="C141" s="43">
        <f>IFERROR(INDEX('العهد'!$C$3:$C$502,135),"")</f>
        <v/>
      </c>
      <c r="D141" s="43">
        <f>IFERROR(INDEX('العهد'!$D$3:$D$502,135),"")</f>
        <v/>
      </c>
      <c r="E141" s="43">
        <f>IFERROR(INDEX('العهد'!$E$3:$E$502,135),"")</f>
        <v/>
      </c>
      <c r="F141" s="118">
        <f>IFERROR(INDEX('العهد'!$F$3:$F$502,135),"")</f>
        <v/>
      </c>
      <c r="G141" s="43">
        <f>IFERROR(INDEX('العهد'!$G$3:$G$502,135),"")</f>
        <v/>
      </c>
      <c r="H141" s="118">
        <f>IFERROR(INDEX('العهد'!$H$3:$H$502,135),"")</f>
        <v/>
      </c>
      <c r="I141" s="43">
        <f>IFERROR(INDEX('العهد'!$I$3:$I$502,135),"")</f>
        <v/>
      </c>
      <c r="J141" s="43">
        <f>IFERROR(INDEX('العهد'!$J$3:$J$502,135),"")</f>
        <v/>
      </c>
      <c r="K141" s="43">
        <f>IFERROR(INDEX('العهد'!$K$3:$K$502,135),"")</f>
        <v/>
      </c>
    </row>
    <row r="142">
      <c r="A142" s="50">
        <f>IFERROR(INDEX('العهد'!$A$3:$A$502,136),"")</f>
        <v/>
      </c>
      <c r="B142" s="50">
        <f>IFERROR(INDEX('العهد'!$B$3:$B$502,136),"")</f>
        <v/>
      </c>
      <c r="C142" s="50">
        <f>IFERROR(INDEX('العهد'!$C$3:$C$502,136),"")</f>
        <v/>
      </c>
      <c r="D142" s="50">
        <f>IFERROR(INDEX('العهد'!$D$3:$D$502,136),"")</f>
        <v/>
      </c>
      <c r="E142" s="50">
        <f>IFERROR(INDEX('العهد'!$E$3:$E$502,136),"")</f>
        <v/>
      </c>
      <c r="F142" s="119">
        <f>IFERROR(INDEX('العهد'!$F$3:$F$502,136),"")</f>
        <v/>
      </c>
      <c r="G142" s="50">
        <f>IFERROR(INDEX('العهد'!$G$3:$G$502,136),"")</f>
        <v/>
      </c>
      <c r="H142" s="119">
        <f>IFERROR(INDEX('العهد'!$H$3:$H$502,136),"")</f>
        <v/>
      </c>
      <c r="I142" s="50">
        <f>IFERROR(INDEX('العهد'!$I$3:$I$502,136),"")</f>
        <v/>
      </c>
      <c r="J142" s="50">
        <f>IFERROR(INDEX('العهد'!$J$3:$J$502,136),"")</f>
        <v/>
      </c>
      <c r="K142" s="50">
        <f>IFERROR(INDEX('العهد'!$K$3:$K$502,136),"")</f>
        <v/>
      </c>
    </row>
    <row r="143">
      <c r="A143" s="43">
        <f>IFERROR(INDEX('العهد'!$A$3:$A$502,137),"")</f>
        <v/>
      </c>
      <c r="B143" s="43">
        <f>IFERROR(INDEX('العهد'!$B$3:$B$502,137),"")</f>
        <v/>
      </c>
      <c r="C143" s="43">
        <f>IFERROR(INDEX('العهد'!$C$3:$C$502,137),"")</f>
        <v/>
      </c>
      <c r="D143" s="43">
        <f>IFERROR(INDEX('العهد'!$D$3:$D$502,137),"")</f>
        <v/>
      </c>
      <c r="E143" s="43">
        <f>IFERROR(INDEX('العهد'!$E$3:$E$502,137),"")</f>
        <v/>
      </c>
      <c r="F143" s="118">
        <f>IFERROR(INDEX('العهد'!$F$3:$F$502,137),"")</f>
        <v/>
      </c>
      <c r="G143" s="43">
        <f>IFERROR(INDEX('العهد'!$G$3:$G$502,137),"")</f>
        <v/>
      </c>
      <c r="H143" s="118">
        <f>IFERROR(INDEX('العهد'!$H$3:$H$502,137),"")</f>
        <v/>
      </c>
      <c r="I143" s="43">
        <f>IFERROR(INDEX('العهد'!$I$3:$I$502,137),"")</f>
        <v/>
      </c>
      <c r="J143" s="43">
        <f>IFERROR(INDEX('العهد'!$J$3:$J$502,137),"")</f>
        <v/>
      </c>
      <c r="K143" s="43">
        <f>IFERROR(INDEX('العهد'!$K$3:$K$502,137),"")</f>
        <v/>
      </c>
    </row>
    <row r="144">
      <c r="A144" s="50">
        <f>IFERROR(INDEX('العهد'!$A$3:$A$502,138),"")</f>
        <v/>
      </c>
      <c r="B144" s="50">
        <f>IFERROR(INDEX('العهد'!$B$3:$B$502,138),"")</f>
        <v/>
      </c>
      <c r="C144" s="50">
        <f>IFERROR(INDEX('العهد'!$C$3:$C$502,138),"")</f>
        <v/>
      </c>
      <c r="D144" s="50">
        <f>IFERROR(INDEX('العهد'!$D$3:$D$502,138),"")</f>
        <v/>
      </c>
      <c r="E144" s="50">
        <f>IFERROR(INDEX('العهد'!$E$3:$E$502,138),"")</f>
        <v/>
      </c>
      <c r="F144" s="119">
        <f>IFERROR(INDEX('العهد'!$F$3:$F$502,138),"")</f>
        <v/>
      </c>
      <c r="G144" s="50">
        <f>IFERROR(INDEX('العهد'!$G$3:$G$502,138),"")</f>
        <v/>
      </c>
      <c r="H144" s="119">
        <f>IFERROR(INDEX('العهد'!$H$3:$H$502,138),"")</f>
        <v/>
      </c>
      <c r="I144" s="50">
        <f>IFERROR(INDEX('العهد'!$I$3:$I$502,138),"")</f>
        <v/>
      </c>
      <c r="J144" s="50">
        <f>IFERROR(INDEX('العهد'!$J$3:$J$502,138),"")</f>
        <v/>
      </c>
      <c r="K144" s="50">
        <f>IFERROR(INDEX('العهد'!$K$3:$K$502,138),"")</f>
        <v/>
      </c>
    </row>
    <row r="145">
      <c r="A145" s="43">
        <f>IFERROR(INDEX('العهد'!$A$3:$A$502,139),"")</f>
        <v/>
      </c>
      <c r="B145" s="43">
        <f>IFERROR(INDEX('العهد'!$B$3:$B$502,139),"")</f>
        <v/>
      </c>
      <c r="C145" s="43">
        <f>IFERROR(INDEX('العهد'!$C$3:$C$502,139),"")</f>
        <v/>
      </c>
      <c r="D145" s="43">
        <f>IFERROR(INDEX('العهد'!$D$3:$D$502,139),"")</f>
        <v/>
      </c>
      <c r="E145" s="43">
        <f>IFERROR(INDEX('العهد'!$E$3:$E$502,139),"")</f>
        <v/>
      </c>
      <c r="F145" s="118">
        <f>IFERROR(INDEX('العهد'!$F$3:$F$502,139),"")</f>
        <v/>
      </c>
      <c r="G145" s="43">
        <f>IFERROR(INDEX('العهد'!$G$3:$G$502,139),"")</f>
        <v/>
      </c>
      <c r="H145" s="118">
        <f>IFERROR(INDEX('العهد'!$H$3:$H$502,139),"")</f>
        <v/>
      </c>
      <c r="I145" s="43">
        <f>IFERROR(INDEX('العهد'!$I$3:$I$502,139),"")</f>
        <v/>
      </c>
      <c r="J145" s="43">
        <f>IFERROR(INDEX('العهد'!$J$3:$J$502,139),"")</f>
        <v/>
      </c>
      <c r="K145" s="43">
        <f>IFERROR(INDEX('العهد'!$K$3:$K$502,139),"")</f>
        <v/>
      </c>
    </row>
    <row r="146">
      <c r="A146" s="50">
        <f>IFERROR(INDEX('العهد'!$A$3:$A$502,140),"")</f>
        <v/>
      </c>
      <c r="B146" s="50">
        <f>IFERROR(INDEX('العهد'!$B$3:$B$502,140),"")</f>
        <v/>
      </c>
      <c r="C146" s="50">
        <f>IFERROR(INDEX('العهد'!$C$3:$C$502,140),"")</f>
        <v/>
      </c>
      <c r="D146" s="50">
        <f>IFERROR(INDEX('العهد'!$D$3:$D$502,140),"")</f>
        <v/>
      </c>
      <c r="E146" s="50">
        <f>IFERROR(INDEX('العهد'!$E$3:$E$502,140),"")</f>
        <v/>
      </c>
      <c r="F146" s="119">
        <f>IFERROR(INDEX('العهد'!$F$3:$F$502,140),"")</f>
        <v/>
      </c>
      <c r="G146" s="50">
        <f>IFERROR(INDEX('العهد'!$G$3:$G$502,140),"")</f>
        <v/>
      </c>
      <c r="H146" s="119">
        <f>IFERROR(INDEX('العهد'!$H$3:$H$502,140),"")</f>
        <v/>
      </c>
      <c r="I146" s="50">
        <f>IFERROR(INDEX('العهد'!$I$3:$I$502,140),"")</f>
        <v/>
      </c>
      <c r="J146" s="50">
        <f>IFERROR(INDEX('العهد'!$J$3:$J$502,140),"")</f>
        <v/>
      </c>
      <c r="K146" s="50">
        <f>IFERROR(INDEX('العهد'!$K$3:$K$502,140),"")</f>
        <v/>
      </c>
    </row>
    <row r="147">
      <c r="A147" s="43">
        <f>IFERROR(INDEX('العهد'!$A$3:$A$502,141),"")</f>
        <v/>
      </c>
      <c r="B147" s="43">
        <f>IFERROR(INDEX('العهد'!$B$3:$B$502,141),"")</f>
        <v/>
      </c>
      <c r="C147" s="43">
        <f>IFERROR(INDEX('العهد'!$C$3:$C$502,141),"")</f>
        <v/>
      </c>
      <c r="D147" s="43">
        <f>IFERROR(INDEX('العهد'!$D$3:$D$502,141),"")</f>
        <v/>
      </c>
      <c r="E147" s="43">
        <f>IFERROR(INDEX('العهد'!$E$3:$E$502,141),"")</f>
        <v/>
      </c>
      <c r="F147" s="118">
        <f>IFERROR(INDEX('العهد'!$F$3:$F$502,141),"")</f>
        <v/>
      </c>
      <c r="G147" s="43">
        <f>IFERROR(INDEX('العهد'!$G$3:$G$502,141),"")</f>
        <v/>
      </c>
      <c r="H147" s="118">
        <f>IFERROR(INDEX('العهد'!$H$3:$H$502,141),"")</f>
        <v/>
      </c>
      <c r="I147" s="43">
        <f>IFERROR(INDEX('العهد'!$I$3:$I$502,141),"")</f>
        <v/>
      </c>
      <c r="J147" s="43">
        <f>IFERROR(INDEX('العهد'!$J$3:$J$502,141),"")</f>
        <v/>
      </c>
      <c r="K147" s="43">
        <f>IFERROR(INDEX('العهد'!$K$3:$K$502,141),"")</f>
        <v/>
      </c>
    </row>
    <row r="148">
      <c r="A148" s="50">
        <f>IFERROR(INDEX('العهد'!$A$3:$A$502,142),"")</f>
        <v/>
      </c>
      <c r="B148" s="50">
        <f>IFERROR(INDEX('العهد'!$B$3:$B$502,142),"")</f>
        <v/>
      </c>
      <c r="C148" s="50">
        <f>IFERROR(INDEX('العهد'!$C$3:$C$502,142),"")</f>
        <v/>
      </c>
      <c r="D148" s="50">
        <f>IFERROR(INDEX('العهد'!$D$3:$D$502,142),"")</f>
        <v/>
      </c>
      <c r="E148" s="50">
        <f>IFERROR(INDEX('العهد'!$E$3:$E$502,142),"")</f>
        <v/>
      </c>
      <c r="F148" s="119">
        <f>IFERROR(INDEX('العهد'!$F$3:$F$502,142),"")</f>
        <v/>
      </c>
      <c r="G148" s="50">
        <f>IFERROR(INDEX('العهد'!$G$3:$G$502,142),"")</f>
        <v/>
      </c>
      <c r="H148" s="119">
        <f>IFERROR(INDEX('العهد'!$H$3:$H$502,142),"")</f>
        <v/>
      </c>
      <c r="I148" s="50">
        <f>IFERROR(INDEX('العهد'!$I$3:$I$502,142),"")</f>
        <v/>
      </c>
      <c r="J148" s="50">
        <f>IFERROR(INDEX('العهد'!$J$3:$J$502,142),"")</f>
        <v/>
      </c>
      <c r="K148" s="50">
        <f>IFERROR(INDEX('العهد'!$K$3:$K$502,142),"")</f>
        <v/>
      </c>
    </row>
    <row r="149">
      <c r="A149" s="43">
        <f>IFERROR(INDEX('العهد'!$A$3:$A$502,143),"")</f>
        <v/>
      </c>
      <c r="B149" s="43">
        <f>IFERROR(INDEX('العهد'!$B$3:$B$502,143),"")</f>
        <v/>
      </c>
      <c r="C149" s="43">
        <f>IFERROR(INDEX('العهد'!$C$3:$C$502,143),"")</f>
        <v/>
      </c>
      <c r="D149" s="43">
        <f>IFERROR(INDEX('العهد'!$D$3:$D$502,143),"")</f>
        <v/>
      </c>
      <c r="E149" s="43">
        <f>IFERROR(INDEX('العهد'!$E$3:$E$502,143),"")</f>
        <v/>
      </c>
      <c r="F149" s="118">
        <f>IFERROR(INDEX('العهد'!$F$3:$F$502,143),"")</f>
        <v/>
      </c>
      <c r="G149" s="43">
        <f>IFERROR(INDEX('العهد'!$G$3:$G$502,143),"")</f>
        <v/>
      </c>
      <c r="H149" s="118">
        <f>IFERROR(INDEX('العهد'!$H$3:$H$502,143),"")</f>
        <v/>
      </c>
      <c r="I149" s="43">
        <f>IFERROR(INDEX('العهد'!$I$3:$I$502,143),"")</f>
        <v/>
      </c>
      <c r="J149" s="43">
        <f>IFERROR(INDEX('العهد'!$J$3:$J$502,143),"")</f>
        <v/>
      </c>
      <c r="K149" s="43">
        <f>IFERROR(INDEX('العهد'!$K$3:$K$502,143),"")</f>
        <v/>
      </c>
    </row>
    <row r="150">
      <c r="A150" s="50">
        <f>IFERROR(INDEX('العهد'!$A$3:$A$502,144),"")</f>
        <v/>
      </c>
      <c r="B150" s="50">
        <f>IFERROR(INDEX('العهد'!$B$3:$B$502,144),"")</f>
        <v/>
      </c>
      <c r="C150" s="50">
        <f>IFERROR(INDEX('العهد'!$C$3:$C$502,144),"")</f>
        <v/>
      </c>
      <c r="D150" s="50">
        <f>IFERROR(INDEX('العهد'!$D$3:$D$502,144),"")</f>
        <v/>
      </c>
      <c r="E150" s="50">
        <f>IFERROR(INDEX('العهد'!$E$3:$E$502,144),"")</f>
        <v/>
      </c>
      <c r="F150" s="119">
        <f>IFERROR(INDEX('العهد'!$F$3:$F$502,144),"")</f>
        <v/>
      </c>
      <c r="G150" s="50">
        <f>IFERROR(INDEX('العهد'!$G$3:$G$502,144),"")</f>
        <v/>
      </c>
      <c r="H150" s="119">
        <f>IFERROR(INDEX('العهد'!$H$3:$H$502,144),"")</f>
        <v/>
      </c>
      <c r="I150" s="50">
        <f>IFERROR(INDEX('العهد'!$I$3:$I$502,144),"")</f>
        <v/>
      </c>
      <c r="J150" s="50">
        <f>IFERROR(INDEX('العهد'!$J$3:$J$502,144),"")</f>
        <v/>
      </c>
      <c r="K150" s="50">
        <f>IFERROR(INDEX('العهد'!$K$3:$K$502,144),"")</f>
        <v/>
      </c>
    </row>
    <row r="151">
      <c r="A151" s="43">
        <f>IFERROR(INDEX('العهد'!$A$3:$A$502,145),"")</f>
        <v/>
      </c>
      <c r="B151" s="43">
        <f>IFERROR(INDEX('العهد'!$B$3:$B$502,145),"")</f>
        <v/>
      </c>
      <c r="C151" s="43">
        <f>IFERROR(INDEX('العهد'!$C$3:$C$502,145),"")</f>
        <v/>
      </c>
      <c r="D151" s="43">
        <f>IFERROR(INDEX('العهد'!$D$3:$D$502,145),"")</f>
        <v/>
      </c>
      <c r="E151" s="43">
        <f>IFERROR(INDEX('العهد'!$E$3:$E$502,145),"")</f>
        <v/>
      </c>
      <c r="F151" s="118">
        <f>IFERROR(INDEX('العهد'!$F$3:$F$502,145),"")</f>
        <v/>
      </c>
      <c r="G151" s="43">
        <f>IFERROR(INDEX('العهد'!$G$3:$G$502,145),"")</f>
        <v/>
      </c>
      <c r="H151" s="118">
        <f>IFERROR(INDEX('العهد'!$H$3:$H$502,145),"")</f>
        <v/>
      </c>
      <c r="I151" s="43">
        <f>IFERROR(INDEX('العهد'!$I$3:$I$502,145),"")</f>
        <v/>
      </c>
      <c r="J151" s="43">
        <f>IFERROR(INDEX('العهد'!$J$3:$J$502,145),"")</f>
        <v/>
      </c>
      <c r="K151" s="43">
        <f>IFERROR(INDEX('العهد'!$K$3:$K$502,145),"")</f>
        <v/>
      </c>
    </row>
    <row r="152">
      <c r="A152" s="50">
        <f>IFERROR(INDEX('العهد'!$A$3:$A$502,146),"")</f>
        <v/>
      </c>
      <c r="B152" s="50">
        <f>IFERROR(INDEX('العهد'!$B$3:$B$502,146),"")</f>
        <v/>
      </c>
      <c r="C152" s="50">
        <f>IFERROR(INDEX('العهد'!$C$3:$C$502,146),"")</f>
        <v/>
      </c>
      <c r="D152" s="50">
        <f>IFERROR(INDEX('العهد'!$D$3:$D$502,146),"")</f>
        <v/>
      </c>
      <c r="E152" s="50">
        <f>IFERROR(INDEX('العهد'!$E$3:$E$502,146),"")</f>
        <v/>
      </c>
      <c r="F152" s="119">
        <f>IFERROR(INDEX('العهد'!$F$3:$F$502,146),"")</f>
        <v/>
      </c>
      <c r="G152" s="50">
        <f>IFERROR(INDEX('العهد'!$G$3:$G$502,146),"")</f>
        <v/>
      </c>
      <c r="H152" s="119">
        <f>IFERROR(INDEX('العهد'!$H$3:$H$502,146),"")</f>
        <v/>
      </c>
      <c r="I152" s="50">
        <f>IFERROR(INDEX('العهد'!$I$3:$I$502,146),"")</f>
        <v/>
      </c>
      <c r="J152" s="50">
        <f>IFERROR(INDEX('العهد'!$J$3:$J$502,146),"")</f>
        <v/>
      </c>
      <c r="K152" s="50">
        <f>IFERROR(INDEX('العهد'!$K$3:$K$502,146),"")</f>
        <v/>
      </c>
    </row>
    <row r="153">
      <c r="A153" s="43">
        <f>IFERROR(INDEX('العهد'!$A$3:$A$502,147),"")</f>
        <v/>
      </c>
      <c r="B153" s="43">
        <f>IFERROR(INDEX('العهد'!$B$3:$B$502,147),"")</f>
        <v/>
      </c>
      <c r="C153" s="43">
        <f>IFERROR(INDEX('العهد'!$C$3:$C$502,147),"")</f>
        <v/>
      </c>
      <c r="D153" s="43">
        <f>IFERROR(INDEX('العهد'!$D$3:$D$502,147),"")</f>
        <v/>
      </c>
      <c r="E153" s="43">
        <f>IFERROR(INDEX('العهد'!$E$3:$E$502,147),"")</f>
        <v/>
      </c>
      <c r="F153" s="118">
        <f>IFERROR(INDEX('العهد'!$F$3:$F$502,147),"")</f>
        <v/>
      </c>
      <c r="G153" s="43">
        <f>IFERROR(INDEX('العهد'!$G$3:$G$502,147),"")</f>
        <v/>
      </c>
      <c r="H153" s="118">
        <f>IFERROR(INDEX('العهد'!$H$3:$H$502,147),"")</f>
        <v/>
      </c>
      <c r="I153" s="43">
        <f>IFERROR(INDEX('العهد'!$I$3:$I$502,147),"")</f>
        <v/>
      </c>
      <c r="J153" s="43">
        <f>IFERROR(INDEX('العهد'!$J$3:$J$502,147),"")</f>
        <v/>
      </c>
      <c r="K153" s="43">
        <f>IFERROR(INDEX('العهد'!$K$3:$K$502,147),"")</f>
        <v/>
      </c>
    </row>
    <row r="154">
      <c r="A154" s="50">
        <f>IFERROR(INDEX('العهد'!$A$3:$A$502,148),"")</f>
        <v/>
      </c>
      <c r="B154" s="50">
        <f>IFERROR(INDEX('العهد'!$B$3:$B$502,148),"")</f>
        <v/>
      </c>
      <c r="C154" s="50">
        <f>IFERROR(INDEX('العهد'!$C$3:$C$502,148),"")</f>
        <v/>
      </c>
      <c r="D154" s="50">
        <f>IFERROR(INDEX('العهد'!$D$3:$D$502,148),"")</f>
        <v/>
      </c>
      <c r="E154" s="50">
        <f>IFERROR(INDEX('العهد'!$E$3:$E$502,148),"")</f>
        <v/>
      </c>
      <c r="F154" s="119">
        <f>IFERROR(INDEX('العهد'!$F$3:$F$502,148),"")</f>
        <v/>
      </c>
      <c r="G154" s="50">
        <f>IFERROR(INDEX('العهد'!$G$3:$G$502,148),"")</f>
        <v/>
      </c>
      <c r="H154" s="119">
        <f>IFERROR(INDEX('العهد'!$H$3:$H$502,148),"")</f>
        <v/>
      </c>
      <c r="I154" s="50">
        <f>IFERROR(INDEX('العهد'!$I$3:$I$502,148),"")</f>
        <v/>
      </c>
      <c r="J154" s="50">
        <f>IFERROR(INDEX('العهد'!$J$3:$J$502,148),"")</f>
        <v/>
      </c>
      <c r="K154" s="50">
        <f>IFERROR(INDEX('العهد'!$K$3:$K$502,148),"")</f>
        <v/>
      </c>
    </row>
    <row r="155">
      <c r="A155" s="43">
        <f>IFERROR(INDEX('العهد'!$A$3:$A$502,149),"")</f>
        <v/>
      </c>
      <c r="B155" s="43">
        <f>IFERROR(INDEX('العهد'!$B$3:$B$502,149),"")</f>
        <v/>
      </c>
      <c r="C155" s="43">
        <f>IFERROR(INDEX('العهد'!$C$3:$C$502,149),"")</f>
        <v/>
      </c>
      <c r="D155" s="43">
        <f>IFERROR(INDEX('العهد'!$D$3:$D$502,149),"")</f>
        <v/>
      </c>
      <c r="E155" s="43">
        <f>IFERROR(INDEX('العهد'!$E$3:$E$502,149),"")</f>
        <v/>
      </c>
      <c r="F155" s="118">
        <f>IFERROR(INDEX('العهد'!$F$3:$F$502,149),"")</f>
        <v/>
      </c>
      <c r="G155" s="43">
        <f>IFERROR(INDEX('العهد'!$G$3:$G$502,149),"")</f>
        <v/>
      </c>
      <c r="H155" s="118">
        <f>IFERROR(INDEX('العهد'!$H$3:$H$502,149),"")</f>
        <v/>
      </c>
      <c r="I155" s="43">
        <f>IFERROR(INDEX('العهد'!$I$3:$I$502,149),"")</f>
        <v/>
      </c>
      <c r="J155" s="43">
        <f>IFERROR(INDEX('العهد'!$J$3:$J$502,149),"")</f>
        <v/>
      </c>
      <c r="K155" s="43">
        <f>IFERROR(INDEX('العهد'!$K$3:$K$502,149),"")</f>
        <v/>
      </c>
    </row>
    <row r="156">
      <c r="A156" s="50">
        <f>IFERROR(INDEX('العهد'!$A$3:$A$502,150),"")</f>
        <v/>
      </c>
      <c r="B156" s="50">
        <f>IFERROR(INDEX('العهد'!$B$3:$B$502,150),"")</f>
        <v/>
      </c>
      <c r="C156" s="50">
        <f>IFERROR(INDEX('العهد'!$C$3:$C$502,150),"")</f>
        <v/>
      </c>
      <c r="D156" s="50">
        <f>IFERROR(INDEX('العهد'!$D$3:$D$502,150),"")</f>
        <v/>
      </c>
      <c r="E156" s="50">
        <f>IFERROR(INDEX('العهد'!$E$3:$E$502,150),"")</f>
        <v/>
      </c>
      <c r="F156" s="119">
        <f>IFERROR(INDEX('العهد'!$F$3:$F$502,150),"")</f>
        <v/>
      </c>
      <c r="G156" s="50">
        <f>IFERROR(INDEX('العهد'!$G$3:$G$502,150),"")</f>
        <v/>
      </c>
      <c r="H156" s="119">
        <f>IFERROR(INDEX('العهد'!$H$3:$H$502,150),"")</f>
        <v/>
      </c>
      <c r="I156" s="50">
        <f>IFERROR(INDEX('العهد'!$I$3:$I$502,150),"")</f>
        <v/>
      </c>
      <c r="J156" s="50">
        <f>IFERROR(INDEX('العهد'!$J$3:$J$502,150),"")</f>
        <v/>
      </c>
      <c r="K156" s="50">
        <f>IFERROR(INDEX('العهد'!$K$3:$K$502,150),"")</f>
        <v/>
      </c>
    </row>
    <row r="157">
      <c r="A157" s="43">
        <f>IFERROR(INDEX('العهد'!$A$3:$A$502,151),"")</f>
        <v/>
      </c>
      <c r="B157" s="43">
        <f>IFERROR(INDEX('العهد'!$B$3:$B$502,151),"")</f>
        <v/>
      </c>
      <c r="C157" s="43">
        <f>IFERROR(INDEX('العهد'!$C$3:$C$502,151),"")</f>
        <v/>
      </c>
      <c r="D157" s="43">
        <f>IFERROR(INDEX('العهد'!$D$3:$D$502,151),"")</f>
        <v/>
      </c>
      <c r="E157" s="43">
        <f>IFERROR(INDEX('العهد'!$E$3:$E$502,151),"")</f>
        <v/>
      </c>
      <c r="F157" s="118">
        <f>IFERROR(INDEX('العهد'!$F$3:$F$502,151),"")</f>
        <v/>
      </c>
      <c r="G157" s="43">
        <f>IFERROR(INDEX('العهد'!$G$3:$G$502,151),"")</f>
        <v/>
      </c>
      <c r="H157" s="118">
        <f>IFERROR(INDEX('العهد'!$H$3:$H$502,151),"")</f>
        <v/>
      </c>
      <c r="I157" s="43">
        <f>IFERROR(INDEX('العهد'!$I$3:$I$502,151),"")</f>
        <v/>
      </c>
      <c r="J157" s="43">
        <f>IFERROR(INDEX('العهد'!$J$3:$J$502,151),"")</f>
        <v/>
      </c>
      <c r="K157" s="43">
        <f>IFERROR(INDEX('العهد'!$K$3:$K$502,151),"")</f>
        <v/>
      </c>
    </row>
    <row r="158">
      <c r="A158" s="50">
        <f>IFERROR(INDEX('العهد'!$A$3:$A$502,152),"")</f>
        <v/>
      </c>
      <c r="B158" s="50">
        <f>IFERROR(INDEX('العهد'!$B$3:$B$502,152),"")</f>
        <v/>
      </c>
      <c r="C158" s="50">
        <f>IFERROR(INDEX('العهد'!$C$3:$C$502,152),"")</f>
        <v/>
      </c>
      <c r="D158" s="50">
        <f>IFERROR(INDEX('العهد'!$D$3:$D$502,152),"")</f>
        <v/>
      </c>
      <c r="E158" s="50">
        <f>IFERROR(INDEX('العهد'!$E$3:$E$502,152),"")</f>
        <v/>
      </c>
      <c r="F158" s="119">
        <f>IFERROR(INDEX('العهد'!$F$3:$F$502,152),"")</f>
        <v/>
      </c>
      <c r="G158" s="50">
        <f>IFERROR(INDEX('العهد'!$G$3:$G$502,152),"")</f>
        <v/>
      </c>
      <c r="H158" s="119">
        <f>IFERROR(INDEX('العهد'!$H$3:$H$502,152),"")</f>
        <v/>
      </c>
      <c r="I158" s="50">
        <f>IFERROR(INDEX('العهد'!$I$3:$I$502,152),"")</f>
        <v/>
      </c>
      <c r="J158" s="50">
        <f>IFERROR(INDEX('العهد'!$J$3:$J$502,152),"")</f>
        <v/>
      </c>
      <c r="K158" s="50">
        <f>IFERROR(INDEX('العهد'!$K$3:$K$502,152),"")</f>
        <v/>
      </c>
    </row>
    <row r="159">
      <c r="A159" s="43">
        <f>IFERROR(INDEX('العهد'!$A$3:$A$502,153),"")</f>
        <v/>
      </c>
      <c r="B159" s="43">
        <f>IFERROR(INDEX('العهد'!$B$3:$B$502,153),"")</f>
        <v/>
      </c>
      <c r="C159" s="43">
        <f>IFERROR(INDEX('العهد'!$C$3:$C$502,153),"")</f>
        <v/>
      </c>
      <c r="D159" s="43">
        <f>IFERROR(INDEX('العهد'!$D$3:$D$502,153),"")</f>
        <v/>
      </c>
      <c r="E159" s="43">
        <f>IFERROR(INDEX('العهد'!$E$3:$E$502,153),"")</f>
        <v/>
      </c>
      <c r="F159" s="118">
        <f>IFERROR(INDEX('العهد'!$F$3:$F$502,153),"")</f>
        <v/>
      </c>
      <c r="G159" s="43">
        <f>IFERROR(INDEX('العهد'!$G$3:$G$502,153),"")</f>
        <v/>
      </c>
      <c r="H159" s="118">
        <f>IFERROR(INDEX('العهد'!$H$3:$H$502,153),"")</f>
        <v/>
      </c>
      <c r="I159" s="43">
        <f>IFERROR(INDEX('العهد'!$I$3:$I$502,153),"")</f>
        <v/>
      </c>
      <c r="J159" s="43">
        <f>IFERROR(INDEX('العهد'!$J$3:$J$502,153),"")</f>
        <v/>
      </c>
      <c r="K159" s="43">
        <f>IFERROR(INDEX('العهد'!$K$3:$K$502,153),"")</f>
        <v/>
      </c>
    </row>
    <row r="160">
      <c r="A160" s="50">
        <f>IFERROR(INDEX('العهد'!$A$3:$A$502,154),"")</f>
        <v/>
      </c>
      <c r="B160" s="50">
        <f>IFERROR(INDEX('العهد'!$B$3:$B$502,154),"")</f>
        <v/>
      </c>
      <c r="C160" s="50">
        <f>IFERROR(INDEX('العهد'!$C$3:$C$502,154),"")</f>
        <v/>
      </c>
      <c r="D160" s="50">
        <f>IFERROR(INDEX('العهد'!$D$3:$D$502,154),"")</f>
        <v/>
      </c>
      <c r="E160" s="50">
        <f>IFERROR(INDEX('العهد'!$E$3:$E$502,154),"")</f>
        <v/>
      </c>
      <c r="F160" s="119">
        <f>IFERROR(INDEX('العهد'!$F$3:$F$502,154),"")</f>
        <v/>
      </c>
      <c r="G160" s="50">
        <f>IFERROR(INDEX('العهد'!$G$3:$G$502,154),"")</f>
        <v/>
      </c>
      <c r="H160" s="119">
        <f>IFERROR(INDEX('العهد'!$H$3:$H$502,154),"")</f>
        <v/>
      </c>
      <c r="I160" s="50">
        <f>IFERROR(INDEX('العهد'!$I$3:$I$502,154),"")</f>
        <v/>
      </c>
      <c r="J160" s="50">
        <f>IFERROR(INDEX('العهد'!$J$3:$J$502,154),"")</f>
        <v/>
      </c>
      <c r="K160" s="50">
        <f>IFERROR(INDEX('العهد'!$K$3:$K$502,154),"")</f>
        <v/>
      </c>
    </row>
    <row r="161">
      <c r="A161" s="43">
        <f>IFERROR(INDEX('العهد'!$A$3:$A$502,155),"")</f>
        <v/>
      </c>
      <c r="B161" s="43">
        <f>IFERROR(INDEX('العهد'!$B$3:$B$502,155),"")</f>
        <v/>
      </c>
      <c r="C161" s="43">
        <f>IFERROR(INDEX('العهد'!$C$3:$C$502,155),"")</f>
        <v/>
      </c>
      <c r="D161" s="43">
        <f>IFERROR(INDEX('العهد'!$D$3:$D$502,155),"")</f>
        <v/>
      </c>
      <c r="E161" s="43">
        <f>IFERROR(INDEX('العهد'!$E$3:$E$502,155),"")</f>
        <v/>
      </c>
      <c r="F161" s="118">
        <f>IFERROR(INDEX('العهد'!$F$3:$F$502,155),"")</f>
        <v/>
      </c>
      <c r="G161" s="43">
        <f>IFERROR(INDEX('العهد'!$G$3:$G$502,155),"")</f>
        <v/>
      </c>
      <c r="H161" s="118">
        <f>IFERROR(INDEX('العهد'!$H$3:$H$502,155),"")</f>
        <v/>
      </c>
      <c r="I161" s="43">
        <f>IFERROR(INDEX('العهد'!$I$3:$I$502,155),"")</f>
        <v/>
      </c>
      <c r="J161" s="43">
        <f>IFERROR(INDEX('العهد'!$J$3:$J$502,155),"")</f>
        <v/>
      </c>
      <c r="K161" s="43">
        <f>IFERROR(INDEX('العهد'!$K$3:$K$502,155),"")</f>
        <v/>
      </c>
    </row>
    <row r="162">
      <c r="A162" s="50">
        <f>IFERROR(INDEX('العهد'!$A$3:$A$502,156),"")</f>
        <v/>
      </c>
      <c r="B162" s="50">
        <f>IFERROR(INDEX('العهد'!$B$3:$B$502,156),"")</f>
        <v/>
      </c>
      <c r="C162" s="50">
        <f>IFERROR(INDEX('العهد'!$C$3:$C$502,156),"")</f>
        <v/>
      </c>
      <c r="D162" s="50">
        <f>IFERROR(INDEX('العهد'!$D$3:$D$502,156),"")</f>
        <v/>
      </c>
      <c r="E162" s="50">
        <f>IFERROR(INDEX('العهد'!$E$3:$E$502,156),"")</f>
        <v/>
      </c>
      <c r="F162" s="119">
        <f>IFERROR(INDEX('العهد'!$F$3:$F$502,156),"")</f>
        <v/>
      </c>
      <c r="G162" s="50">
        <f>IFERROR(INDEX('العهد'!$G$3:$G$502,156),"")</f>
        <v/>
      </c>
      <c r="H162" s="119">
        <f>IFERROR(INDEX('العهد'!$H$3:$H$502,156),"")</f>
        <v/>
      </c>
      <c r="I162" s="50">
        <f>IFERROR(INDEX('العهد'!$I$3:$I$502,156),"")</f>
        <v/>
      </c>
      <c r="J162" s="50">
        <f>IFERROR(INDEX('العهد'!$J$3:$J$502,156),"")</f>
        <v/>
      </c>
      <c r="K162" s="50">
        <f>IFERROR(INDEX('العهد'!$K$3:$K$502,156),"")</f>
        <v/>
      </c>
    </row>
    <row r="163">
      <c r="A163" s="43">
        <f>IFERROR(INDEX('العهد'!$A$3:$A$502,157),"")</f>
        <v/>
      </c>
      <c r="B163" s="43">
        <f>IFERROR(INDEX('العهد'!$B$3:$B$502,157),"")</f>
        <v/>
      </c>
      <c r="C163" s="43">
        <f>IFERROR(INDEX('العهد'!$C$3:$C$502,157),"")</f>
        <v/>
      </c>
      <c r="D163" s="43">
        <f>IFERROR(INDEX('العهد'!$D$3:$D$502,157),"")</f>
        <v/>
      </c>
      <c r="E163" s="43">
        <f>IFERROR(INDEX('العهد'!$E$3:$E$502,157),"")</f>
        <v/>
      </c>
      <c r="F163" s="118">
        <f>IFERROR(INDEX('العهد'!$F$3:$F$502,157),"")</f>
        <v/>
      </c>
      <c r="G163" s="43">
        <f>IFERROR(INDEX('العهد'!$G$3:$G$502,157),"")</f>
        <v/>
      </c>
      <c r="H163" s="118">
        <f>IFERROR(INDEX('العهد'!$H$3:$H$502,157),"")</f>
        <v/>
      </c>
      <c r="I163" s="43">
        <f>IFERROR(INDEX('العهد'!$I$3:$I$502,157),"")</f>
        <v/>
      </c>
      <c r="J163" s="43">
        <f>IFERROR(INDEX('العهد'!$J$3:$J$502,157),"")</f>
        <v/>
      </c>
      <c r="K163" s="43">
        <f>IFERROR(INDEX('العهد'!$K$3:$K$502,157),"")</f>
        <v/>
      </c>
    </row>
    <row r="164">
      <c r="A164" s="50">
        <f>IFERROR(INDEX('العهد'!$A$3:$A$502,158),"")</f>
        <v/>
      </c>
      <c r="B164" s="50">
        <f>IFERROR(INDEX('العهد'!$B$3:$B$502,158),"")</f>
        <v/>
      </c>
      <c r="C164" s="50">
        <f>IFERROR(INDEX('العهد'!$C$3:$C$502,158),"")</f>
        <v/>
      </c>
      <c r="D164" s="50">
        <f>IFERROR(INDEX('العهد'!$D$3:$D$502,158),"")</f>
        <v/>
      </c>
      <c r="E164" s="50">
        <f>IFERROR(INDEX('العهد'!$E$3:$E$502,158),"")</f>
        <v/>
      </c>
      <c r="F164" s="119">
        <f>IFERROR(INDEX('العهد'!$F$3:$F$502,158),"")</f>
        <v/>
      </c>
      <c r="G164" s="50">
        <f>IFERROR(INDEX('العهد'!$G$3:$G$502,158),"")</f>
        <v/>
      </c>
      <c r="H164" s="119">
        <f>IFERROR(INDEX('العهد'!$H$3:$H$502,158),"")</f>
        <v/>
      </c>
      <c r="I164" s="50">
        <f>IFERROR(INDEX('العهد'!$I$3:$I$502,158),"")</f>
        <v/>
      </c>
      <c r="J164" s="50">
        <f>IFERROR(INDEX('العهد'!$J$3:$J$502,158),"")</f>
        <v/>
      </c>
      <c r="K164" s="50">
        <f>IFERROR(INDEX('العهد'!$K$3:$K$502,158),"")</f>
        <v/>
      </c>
    </row>
    <row r="165">
      <c r="A165" s="43">
        <f>IFERROR(INDEX('العهد'!$A$3:$A$502,159),"")</f>
        <v/>
      </c>
      <c r="B165" s="43">
        <f>IFERROR(INDEX('العهد'!$B$3:$B$502,159),"")</f>
        <v/>
      </c>
      <c r="C165" s="43">
        <f>IFERROR(INDEX('العهد'!$C$3:$C$502,159),"")</f>
        <v/>
      </c>
      <c r="D165" s="43">
        <f>IFERROR(INDEX('العهد'!$D$3:$D$502,159),"")</f>
        <v/>
      </c>
      <c r="E165" s="43">
        <f>IFERROR(INDEX('العهد'!$E$3:$E$502,159),"")</f>
        <v/>
      </c>
      <c r="F165" s="118">
        <f>IFERROR(INDEX('العهد'!$F$3:$F$502,159),"")</f>
        <v/>
      </c>
      <c r="G165" s="43">
        <f>IFERROR(INDEX('العهد'!$G$3:$G$502,159),"")</f>
        <v/>
      </c>
      <c r="H165" s="118">
        <f>IFERROR(INDEX('العهد'!$H$3:$H$502,159),"")</f>
        <v/>
      </c>
      <c r="I165" s="43">
        <f>IFERROR(INDEX('العهد'!$I$3:$I$502,159),"")</f>
        <v/>
      </c>
      <c r="J165" s="43">
        <f>IFERROR(INDEX('العهد'!$J$3:$J$502,159),"")</f>
        <v/>
      </c>
      <c r="K165" s="43">
        <f>IFERROR(INDEX('العهد'!$K$3:$K$502,159),"")</f>
        <v/>
      </c>
    </row>
    <row r="166">
      <c r="A166" s="50">
        <f>IFERROR(INDEX('العهد'!$A$3:$A$502,160),"")</f>
        <v/>
      </c>
      <c r="B166" s="50">
        <f>IFERROR(INDEX('العهد'!$B$3:$B$502,160),"")</f>
        <v/>
      </c>
      <c r="C166" s="50">
        <f>IFERROR(INDEX('العهد'!$C$3:$C$502,160),"")</f>
        <v/>
      </c>
      <c r="D166" s="50">
        <f>IFERROR(INDEX('العهد'!$D$3:$D$502,160),"")</f>
        <v/>
      </c>
      <c r="E166" s="50">
        <f>IFERROR(INDEX('العهد'!$E$3:$E$502,160),"")</f>
        <v/>
      </c>
      <c r="F166" s="119">
        <f>IFERROR(INDEX('العهد'!$F$3:$F$502,160),"")</f>
        <v/>
      </c>
      <c r="G166" s="50">
        <f>IFERROR(INDEX('العهد'!$G$3:$G$502,160),"")</f>
        <v/>
      </c>
      <c r="H166" s="119">
        <f>IFERROR(INDEX('العهد'!$H$3:$H$502,160),"")</f>
        <v/>
      </c>
      <c r="I166" s="50">
        <f>IFERROR(INDEX('العهد'!$I$3:$I$502,160),"")</f>
        <v/>
      </c>
      <c r="J166" s="50">
        <f>IFERROR(INDEX('العهد'!$J$3:$J$502,160),"")</f>
        <v/>
      </c>
      <c r="K166" s="50">
        <f>IFERROR(INDEX('العهد'!$K$3:$K$502,160),"")</f>
        <v/>
      </c>
    </row>
    <row r="167">
      <c r="A167" s="43">
        <f>IFERROR(INDEX('العهد'!$A$3:$A$502,161),"")</f>
        <v/>
      </c>
      <c r="B167" s="43">
        <f>IFERROR(INDEX('العهد'!$B$3:$B$502,161),"")</f>
        <v/>
      </c>
      <c r="C167" s="43">
        <f>IFERROR(INDEX('العهد'!$C$3:$C$502,161),"")</f>
        <v/>
      </c>
      <c r="D167" s="43">
        <f>IFERROR(INDEX('العهد'!$D$3:$D$502,161),"")</f>
        <v/>
      </c>
      <c r="E167" s="43">
        <f>IFERROR(INDEX('العهد'!$E$3:$E$502,161),"")</f>
        <v/>
      </c>
      <c r="F167" s="118">
        <f>IFERROR(INDEX('العهد'!$F$3:$F$502,161),"")</f>
        <v/>
      </c>
      <c r="G167" s="43">
        <f>IFERROR(INDEX('العهد'!$G$3:$G$502,161),"")</f>
        <v/>
      </c>
      <c r="H167" s="118">
        <f>IFERROR(INDEX('العهد'!$H$3:$H$502,161),"")</f>
        <v/>
      </c>
      <c r="I167" s="43">
        <f>IFERROR(INDEX('العهد'!$I$3:$I$502,161),"")</f>
        <v/>
      </c>
      <c r="J167" s="43">
        <f>IFERROR(INDEX('العهد'!$J$3:$J$502,161),"")</f>
        <v/>
      </c>
      <c r="K167" s="43">
        <f>IFERROR(INDEX('العهد'!$K$3:$K$502,161),"")</f>
        <v/>
      </c>
    </row>
    <row r="168">
      <c r="A168" s="50">
        <f>IFERROR(INDEX('العهد'!$A$3:$A$502,162),"")</f>
        <v/>
      </c>
      <c r="B168" s="50">
        <f>IFERROR(INDEX('العهد'!$B$3:$B$502,162),"")</f>
        <v/>
      </c>
      <c r="C168" s="50">
        <f>IFERROR(INDEX('العهد'!$C$3:$C$502,162),"")</f>
        <v/>
      </c>
      <c r="D168" s="50">
        <f>IFERROR(INDEX('العهد'!$D$3:$D$502,162),"")</f>
        <v/>
      </c>
      <c r="E168" s="50">
        <f>IFERROR(INDEX('العهد'!$E$3:$E$502,162),"")</f>
        <v/>
      </c>
      <c r="F168" s="119">
        <f>IFERROR(INDEX('العهد'!$F$3:$F$502,162),"")</f>
        <v/>
      </c>
      <c r="G168" s="50">
        <f>IFERROR(INDEX('العهد'!$G$3:$G$502,162),"")</f>
        <v/>
      </c>
      <c r="H168" s="119">
        <f>IFERROR(INDEX('العهد'!$H$3:$H$502,162),"")</f>
        <v/>
      </c>
      <c r="I168" s="50">
        <f>IFERROR(INDEX('العهد'!$I$3:$I$502,162),"")</f>
        <v/>
      </c>
      <c r="J168" s="50">
        <f>IFERROR(INDEX('العهد'!$J$3:$J$502,162),"")</f>
        <v/>
      </c>
      <c r="K168" s="50">
        <f>IFERROR(INDEX('العهد'!$K$3:$K$502,162),"")</f>
        <v/>
      </c>
    </row>
    <row r="169">
      <c r="A169" s="43">
        <f>IFERROR(INDEX('العهد'!$A$3:$A$502,163),"")</f>
        <v/>
      </c>
      <c r="B169" s="43">
        <f>IFERROR(INDEX('العهد'!$B$3:$B$502,163),"")</f>
        <v/>
      </c>
      <c r="C169" s="43">
        <f>IFERROR(INDEX('العهد'!$C$3:$C$502,163),"")</f>
        <v/>
      </c>
      <c r="D169" s="43">
        <f>IFERROR(INDEX('العهد'!$D$3:$D$502,163),"")</f>
        <v/>
      </c>
      <c r="E169" s="43">
        <f>IFERROR(INDEX('العهد'!$E$3:$E$502,163),"")</f>
        <v/>
      </c>
      <c r="F169" s="118">
        <f>IFERROR(INDEX('العهد'!$F$3:$F$502,163),"")</f>
        <v/>
      </c>
      <c r="G169" s="43">
        <f>IFERROR(INDEX('العهد'!$G$3:$G$502,163),"")</f>
        <v/>
      </c>
      <c r="H169" s="118">
        <f>IFERROR(INDEX('العهد'!$H$3:$H$502,163),"")</f>
        <v/>
      </c>
      <c r="I169" s="43">
        <f>IFERROR(INDEX('العهد'!$I$3:$I$502,163),"")</f>
        <v/>
      </c>
      <c r="J169" s="43">
        <f>IFERROR(INDEX('العهد'!$J$3:$J$502,163),"")</f>
        <v/>
      </c>
      <c r="K169" s="43">
        <f>IFERROR(INDEX('العهد'!$K$3:$K$502,163),"")</f>
        <v/>
      </c>
    </row>
    <row r="170">
      <c r="A170" s="50">
        <f>IFERROR(INDEX('العهد'!$A$3:$A$502,164),"")</f>
        <v/>
      </c>
      <c r="B170" s="50">
        <f>IFERROR(INDEX('العهد'!$B$3:$B$502,164),"")</f>
        <v/>
      </c>
      <c r="C170" s="50">
        <f>IFERROR(INDEX('العهد'!$C$3:$C$502,164),"")</f>
        <v/>
      </c>
      <c r="D170" s="50">
        <f>IFERROR(INDEX('العهد'!$D$3:$D$502,164),"")</f>
        <v/>
      </c>
      <c r="E170" s="50">
        <f>IFERROR(INDEX('العهد'!$E$3:$E$502,164),"")</f>
        <v/>
      </c>
      <c r="F170" s="119">
        <f>IFERROR(INDEX('العهد'!$F$3:$F$502,164),"")</f>
        <v/>
      </c>
      <c r="G170" s="50">
        <f>IFERROR(INDEX('العهد'!$G$3:$G$502,164),"")</f>
        <v/>
      </c>
      <c r="H170" s="119">
        <f>IFERROR(INDEX('العهد'!$H$3:$H$502,164),"")</f>
        <v/>
      </c>
      <c r="I170" s="50">
        <f>IFERROR(INDEX('العهد'!$I$3:$I$502,164),"")</f>
        <v/>
      </c>
      <c r="J170" s="50">
        <f>IFERROR(INDEX('العهد'!$J$3:$J$502,164),"")</f>
        <v/>
      </c>
      <c r="K170" s="50">
        <f>IFERROR(INDEX('العهد'!$K$3:$K$502,164),"")</f>
        <v/>
      </c>
    </row>
    <row r="171">
      <c r="A171" s="43">
        <f>IFERROR(INDEX('العهد'!$A$3:$A$502,165),"")</f>
        <v/>
      </c>
      <c r="B171" s="43">
        <f>IFERROR(INDEX('العهد'!$B$3:$B$502,165),"")</f>
        <v/>
      </c>
      <c r="C171" s="43">
        <f>IFERROR(INDEX('العهد'!$C$3:$C$502,165),"")</f>
        <v/>
      </c>
      <c r="D171" s="43">
        <f>IFERROR(INDEX('العهد'!$D$3:$D$502,165),"")</f>
        <v/>
      </c>
      <c r="E171" s="43">
        <f>IFERROR(INDEX('العهد'!$E$3:$E$502,165),"")</f>
        <v/>
      </c>
      <c r="F171" s="118">
        <f>IFERROR(INDEX('العهد'!$F$3:$F$502,165),"")</f>
        <v/>
      </c>
      <c r="G171" s="43">
        <f>IFERROR(INDEX('العهد'!$G$3:$G$502,165),"")</f>
        <v/>
      </c>
      <c r="H171" s="118">
        <f>IFERROR(INDEX('العهد'!$H$3:$H$502,165),"")</f>
        <v/>
      </c>
      <c r="I171" s="43">
        <f>IFERROR(INDEX('العهد'!$I$3:$I$502,165),"")</f>
        <v/>
      </c>
      <c r="J171" s="43">
        <f>IFERROR(INDEX('العهد'!$J$3:$J$502,165),"")</f>
        <v/>
      </c>
      <c r="K171" s="43">
        <f>IFERROR(INDEX('العهد'!$K$3:$K$502,165),"")</f>
        <v/>
      </c>
    </row>
    <row r="172">
      <c r="A172" s="50">
        <f>IFERROR(INDEX('العهد'!$A$3:$A$502,166),"")</f>
        <v/>
      </c>
      <c r="B172" s="50">
        <f>IFERROR(INDEX('العهد'!$B$3:$B$502,166),"")</f>
        <v/>
      </c>
      <c r="C172" s="50">
        <f>IFERROR(INDEX('العهد'!$C$3:$C$502,166),"")</f>
        <v/>
      </c>
      <c r="D172" s="50">
        <f>IFERROR(INDEX('العهد'!$D$3:$D$502,166),"")</f>
        <v/>
      </c>
      <c r="E172" s="50">
        <f>IFERROR(INDEX('العهد'!$E$3:$E$502,166),"")</f>
        <v/>
      </c>
      <c r="F172" s="119">
        <f>IFERROR(INDEX('العهد'!$F$3:$F$502,166),"")</f>
        <v/>
      </c>
      <c r="G172" s="50">
        <f>IFERROR(INDEX('العهد'!$G$3:$G$502,166),"")</f>
        <v/>
      </c>
      <c r="H172" s="119">
        <f>IFERROR(INDEX('العهد'!$H$3:$H$502,166),"")</f>
        <v/>
      </c>
      <c r="I172" s="50">
        <f>IFERROR(INDEX('العهد'!$I$3:$I$502,166),"")</f>
        <v/>
      </c>
      <c r="J172" s="50">
        <f>IFERROR(INDEX('العهد'!$J$3:$J$502,166),"")</f>
        <v/>
      </c>
      <c r="K172" s="50">
        <f>IFERROR(INDEX('العهد'!$K$3:$K$502,166),"")</f>
        <v/>
      </c>
    </row>
    <row r="173">
      <c r="A173" s="43">
        <f>IFERROR(INDEX('العهد'!$A$3:$A$502,167),"")</f>
        <v/>
      </c>
      <c r="B173" s="43">
        <f>IFERROR(INDEX('العهد'!$B$3:$B$502,167),"")</f>
        <v/>
      </c>
      <c r="C173" s="43">
        <f>IFERROR(INDEX('العهد'!$C$3:$C$502,167),"")</f>
        <v/>
      </c>
      <c r="D173" s="43">
        <f>IFERROR(INDEX('العهد'!$D$3:$D$502,167),"")</f>
        <v/>
      </c>
      <c r="E173" s="43">
        <f>IFERROR(INDEX('العهد'!$E$3:$E$502,167),"")</f>
        <v/>
      </c>
      <c r="F173" s="118">
        <f>IFERROR(INDEX('العهد'!$F$3:$F$502,167),"")</f>
        <v/>
      </c>
      <c r="G173" s="43">
        <f>IFERROR(INDEX('العهد'!$G$3:$G$502,167),"")</f>
        <v/>
      </c>
      <c r="H173" s="118">
        <f>IFERROR(INDEX('العهد'!$H$3:$H$502,167),"")</f>
        <v/>
      </c>
      <c r="I173" s="43">
        <f>IFERROR(INDEX('العهد'!$I$3:$I$502,167),"")</f>
        <v/>
      </c>
      <c r="J173" s="43">
        <f>IFERROR(INDEX('العهد'!$J$3:$J$502,167),"")</f>
        <v/>
      </c>
      <c r="K173" s="43">
        <f>IFERROR(INDEX('العهد'!$K$3:$K$502,167),"")</f>
        <v/>
      </c>
    </row>
    <row r="174">
      <c r="A174" s="50">
        <f>IFERROR(INDEX('العهد'!$A$3:$A$502,168),"")</f>
        <v/>
      </c>
      <c r="B174" s="50">
        <f>IFERROR(INDEX('العهد'!$B$3:$B$502,168),"")</f>
        <v/>
      </c>
      <c r="C174" s="50">
        <f>IFERROR(INDEX('العهد'!$C$3:$C$502,168),"")</f>
        <v/>
      </c>
      <c r="D174" s="50">
        <f>IFERROR(INDEX('العهد'!$D$3:$D$502,168),"")</f>
        <v/>
      </c>
      <c r="E174" s="50">
        <f>IFERROR(INDEX('العهد'!$E$3:$E$502,168),"")</f>
        <v/>
      </c>
      <c r="F174" s="119">
        <f>IFERROR(INDEX('العهد'!$F$3:$F$502,168),"")</f>
        <v/>
      </c>
      <c r="G174" s="50">
        <f>IFERROR(INDEX('العهد'!$G$3:$G$502,168),"")</f>
        <v/>
      </c>
      <c r="H174" s="119">
        <f>IFERROR(INDEX('العهد'!$H$3:$H$502,168),"")</f>
        <v/>
      </c>
      <c r="I174" s="50">
        <f>IFERROR(INDEX('العهد'!$I$3:$I$502,168),"")</f>
        <v/>
      </c>
      <c r="J174" s="50">
        <f>IFERROR(INDEX('العهد'!$J$3:$J$502,168),"")</f>
        <v/>
      </c>
      <c r="K174" s="50">
        <f>IFERROR(INDEX('العهد'!$K$3:$K$502,168),"")</f>
        <v/>
      </c>
    </row>
    <row r="175">
      <c r="A175" s="43">
        <f>IFERROR(INDEX('العهد'!$A$3:$A$502,169),"")</f>
        <v/>
      </c>
      <c r="B175" s="43">
        <f>IFERROR(INDEX('العهد'!$B$3:$B$502,169),"")</f>
        <v/>
      </c>
      <c r="C175" s="43">
        <f>IFERROR(INDEX('العهد'!$C$3:$C$502,169),"")</f>
        <v/>
      </c>
      <c r="D175" s="43">
        <f>IFERROR(INDEX('العهد'!$D$3:$D$502,169),"")</f>
        <v/>
      </c>
      <c r="E175" s="43">
        <f>IFERROR(INDEX('العهد'!$E$3:$E$502,169),"")</f>
        <v/>
      </c>
      <c r="F175" s="118">
        <f>IFERROR(INDEX('العهد'!$F$3:$F$502,169),"")</f>
        <v/>
      </c>
      <c r="G175" s="43">
        <f>IFERROR(INDEX('العهد'!$G$3:$G$502,169),"")</f>
        <v/>
      </c>
      <c r="H175" s="118">
        <f>IFERROR(INDEX('العهد'!$H$3:$H$502,169),"")</f>
        <v/>
      </c>
      <c r="I175" s="43">
        <f>IFERROR(INDEX('العهد'!$I$3:$I$502,169),"")</f>
        <v/>
      </c>
      <c r="J175" s="43">
        <f>IFERROR(INDEX('العهد'!$J$3:$J$502,169),"")</f>
        <v/>
      </c>
      <c r="K175" s="43">
        <f>IFERROR(INDEX('العهد'!$K$3:$K$502,169),"")</f>
        <v/>
      </c>
    </row>
    <row r="176">
      <c r="A176" s="50">
        <f>IFERROR(INDEX('العهد'!$A$3:$A$502,170),"")</f>
        <v/>
      </c>
      <c r="B176" s="50">
        <f>IFERROR(INDEX('العهد'!$B$3:$B$502,170),"")</f>
        <v/>
      </c>
      <c r="C176" s="50">
        <f>IFERROR(INDEX('العهد'!$C$3:$C$502,170),"")</f>
        <v/>
      </c>
      <c r="D176" s="50">
        <f>IFERROR(INDEX('العهد'!$D$3:$D$502,170),"")</f>
        <v/>
      </c>
      <c r="E176" s="50">
        <f>IFERROR(INDEX('العهد'!$E$3:$E$502,170),"")</f>
        <v/>
      </c>
      <c r="F176" s="119">
        <f>IFERROR(INDEX('العهد'!$F$3:$F$502,170),"")</f>
        <v/>
      </c>
      <c r="G176" s="50">
        <f>IFERROR(INDEX('العهد'!$G$3:$G$502,170),"")</f>
        <v/>
      </c>
      <c r="H176" s="119">
        <f>IFERROR(INDEX('العهد'!$H$3:$H$502,170),"")</f>
        <v/>
      </c>
      <c r="I176" s="50">
        <f>IFERROR(INDEX('العهد'!$I$3:$I$502,170),"")</f>
        <v/>
      </c>
      <c r="J176" s="50">
        <f>IFERROR(INDEX('العهد'!$J$3:$J$502,170),"")</f>
        <v/>
      </c>
      <c r="K176" s="50">
        <f>IFERROR(INDEX('العهد'!$K$3:$K$502,170),"")</f>
        <v/>
      </c>
    </row>
    <row r="177">
      <c r="A177" s="43">
        <f>IFERROR(INDEX('العهد'!$A$3:$A$502,171),"")</f>
        <v/>
      </c>
      <c r="B177" s="43">
        <f>IFERROR(INDEX('العهد'!$B$3:$B$502,171),"")</f>
        <v/>
      </c>
      <c r="C177" s="43">
        <f>IFERROR(INDEX('العهد'!$C$3:$C$502,171),"")</f>
        <v/>
      </c>
      <c r="D177" s="43">
        <f>IFERROR(INDEX('العهد'!$D$3:$D$502,171),"")</f>
        <v/>
      </c>
      <c r="E177" s="43">
        <f>IFERROR(INDEX('العهد'!$E$3:$E$502,171),"")</f>
        <v/>
      </c>
      <c r="F177" s="118">
        <f>IFERROR(INDEX('العهد'!$F$3:$F$502,171),"")</f>
        <v/>
      </c>
      <c r="G177" s="43">
        <f>IFERROR(INDEX('العهد'!$G$3:$G$502,171),"")</f>
        <v/>
      </c>
      <c r="H177" s="118">
        <f>IFERROR(INDEX('العهد'!$H$3:$H$502,171),"")</f>
        <v/>
      </c>
      <c r="I177" s="43">
        <f>IFERROR(INDEX('العهد'!$I$3:$I$502,171),"")</f>
        <v/>
      </c>
      <c r="J177" s="43">
        <f>IFERROR(INDEX('العهد'!$J$3:$J$502,171),"")</f>
        <v/>
      </c>
      <c r="K177" s="43">
        <f>IFERROR(INDEX('العهد'!$K$3:$K$502,171),"")</f>
        <v/>
      </c>
    </row>
    <row r="178">
      <c r="A178" s="50">
        <f>IFERROR(INDEX('العهد'!$A$3:$A$502,172),"")</f>
        <v/>
      </c>
      <c r="B178" s="50">
        <f>IFERROR(INDEX('العهد'!$B$3:$B$502,172),"")</f>
        <v/>
      </c>
      <c r="C178" s="50">
        <f>IFERROR(INDEX('العهد'!$C$3:$C$502,172),"")</f>
        <v/>
      </c>
      <c r="D178" s="50">
        <f>IFERROR(INDEX('العهد'!$D$3:$D$502,172),"")</f>
        <v/>
      </c>
      <c r="E178" s="50">
        <f>IFERROR(INDEX('العهد'!$E$3:$E$502,172),"")</f>
        <v/>
      </c>
      <c r="F178" s="119">
        <f>IFERROR(INDEX('العهد'!$F$3:$F$502,172),"")</f>
        <v/>
      </c>
      <c r="G178" s="50">
        <f>IFERROR(INDEX('العهد'!$G$3:$G$502,172),"")</f>
        <v/>
      </c>
      <c r="H178" s="119">
        <f>IFERROR(INDEX('العهد'!$H$3:$H$502,172),"")</f>
        <v/>
      </c>
      <c r="I178" s="50">
        <f>IFERROR(INDEX('العهد'!$I$3:$I$502,172),"")</f>
        <v/>
      </c>
      <c r="J178" s="50">
        <f>IFERROR(INDEX('العهد'!$J$3:$J$502,172),"")</f>
        <v/>
      </c>
      <c r="K178" s="50">
        <f>IFERROR(INDEX('العهد'!$K$3:$K$502,172),"")</f>
        <v/>
      </c>
    </row>
    <row r="179">
      <c r="A179" s="43">
        <f>IFERROR(INDEX('العهد'!$A$3:$A$502,173),"")</f>
        <v/>
      </c>
      <c r="B179" s="43">
        <f>IFERROR(INDEX('العهد'!$B$3:$B$502,173),"")</f>
        <v/>
      </c>
      <c r="C179" s="43">
        <f>IFERROR(INDEX('العهد'!$C$3:$C$502,173),"")</f>
        <v/>
      </c>
      <c r="D179" s="43">
        <f>IFERROR(INDEX('العهد'!$D$3:$D$502,173),"")</f>
        <v/>
      </c>
      <c r="E179" s="43">
        <f>IFERROR(INDEX('العهد'!$E$3:$E$502,173),"")</f>
        <v/>
      </c>
      <c r="F179" s="118">
        <f>IFERROR(INDEX('العهد'!$F$3:$F$502,173),"")</f>
        <v/>
      </c>
      <c r="G179" s="43">
        <f>IFERROR(INDEX('العهد'!$G$3:$G$502,173),"")</f>
        <v/>
      </c>
      <c r="H179" s="118">
        <f>IFERROR(INDEX('العهد'!$H$3:$H$502,173),"")</f>
        <v/>
      </c>
      <c r="I179" s="43">
        <f>IFERROR(INDEX('العهد'!$I$3:$I$502,173),"")</f>
        <v/>
      </c>
      <c r="J179" s="43">
        <f>IFERROR(INDEX('العهد'!$J$3:$J$502,173),"")</f>
        <v/>
      </c>
      <c r="K179" s="43">
        <f>IFERROR(INDEX('العهد'!$K$3:$K$502,173),"")</f>
        <v/>
      </c>
    </row>
    <row r="180">
      <c r="A180" s="50">
        <f>IFERROR(INDEX('العهد'!$A$3:$A$502,174),"")</f>
        <v/>
      </c>
      <c r="B180" s="50">
        <f>IFERROR(INDEX('العهد'!$B$3:$B$502,174),"")</f>
        <v/>
      </c>
      <c r="C180" s="50">
        <f>IFERROR(INDEX('العهد'!$C$3:$C$502,174),"")</f>
        <v/>
      </c>
      <c r="D180" s="50">
        <f>IFERROR(INDEX('العهد'!$D$3:$D$502,174),"")</f>
        <v/>
      </c>
      <c r="E180" s="50">
        <f>IFERROR(INDEX('العهد'!$E$3:$E$502,174),"")</f>
        <v/>
      </c>
      <c r="F180" s="119">
        <f>IFERROR(INDEX('العهد'!$F$3:$F$502,174),"")</f>
        <v/>
      </c>
      <c r="G180" s="50">
        <f>IFERROR(INDEX('العهد'!$G$3:$G$502,174),"")</f>
        <v/>
      </c>
      <c r="H180" s="119">
        <f>IFERROR(INDEX('العهد'!$H$3:$H$502,174),"")</f>
        <v/>
      </c>
      <c r="I180" s="50">
        <f>IFERROR(INDEX('العهد'!$I$3:$I$502,174),"")</f>
        <v/>
      </c>
      <c r="J180" s="50">
        <f>IFERROR(INDEX('العهد'!$J$3:$J$502,174),"")</f>
        <v/>
      </c>
      <c r="K180" s="50">
        <f>IFERROR(INDEX('العهد'!$K$3:$K$502,174),"")</f>
        <v/>
      </c>
    </row>
    <row r="181">
      <c r="A181" s="43">
        <f>IFERROR(INDEX('العهد'!$A$3:$A$502,175),"")</f>
        <v/>
      </c>
      <c r="B181" s="43">
        <f>IFERROR(INDEX('العهد'!$B$3:$B$502,175),"")</f>
        <v/>
      </c>
      <c r="C181" s="43">
        <f>IFERROR(INDEX('العهد'!$C$3:$C$502,175),"")</f>
        <v/>
      </c>
      <c r="D181" s="43">
        <f>IFERROR(INDEX('العهد'!$D$3:$D$502,175),"")</f>
        <v/>
      </c>
      <c r="E181" s="43">
        <f>IFERROR(INDEX('العهد'!$E$3:$E$502,175),"")</f>
        <v/>
      </c>
      <c r="F181" s="118">
        <f>IFERROR(INDEX('العهد'!$F$3:$F$502,175),"")</f>
        <v/>
      </c>
      <c r="G181" s="43">
        <f>IFERROR(INDEX('العهد'!$G$3:$G$502,175),"")</f>
        <v/>
      </c>
      <c r="H181" s="118">
        <f>IFERROR(INDEX('العهد'!$H$3:$H$502,175),"")</f>
        <v/>
      </c>
      <c r="I181" s="43">
        <f>IFERROR(INDEX('العهد'!$I$3:$I$502,175),"")</f>
        <v/>
      </c>
      <c r="J181" s="43">
        <f>IFERROR(INDEX('العهد'!$J$3:$J$502,175),"")</f>
        <v/>
      </c>
      <c r="K181" s="43">
        <f>IFERROR(INDEX('العهد'!$K$3:$K$502,175),"")</f>
        <v/>
      </c>
    </row>
    <row r="182">
      <c r="A182" s="50">
        <f>IFERROR(INDEX('العهد'!$A$3:$A$502,176),"")</f>
        <v/>
      </c>
      <c r="B182" s="50">
        <f>IFERROR(INDEX('العهد'!$B$3:$B$502,176),"")</f>
        <v/>
      </c>
      <c r="C182" s="50">
        <f>IFERROR(INDEX('العهد'!$C$3:$C$502,176),"")</f>
        <v/>
      </c>
      <c r="D182" s="50">
        <f>IFERROR(INDEX('العهد'!$D$3:$D$502,176),"")</f>
        <v/>
      </c>
      <c r="E182" s="50">
        <f>IFERROR(INDEX('العهد'!$E$3:$E$502,176),"")</f>
        <v/>
      </c>
      <c r="F182" s="119">
        <f>IFERROR(INDEX('العهد'!$F$3:$F$502,176),"")</f>
        <v/>
      </c>
      <c r="G182" s="50">
        <f>IFERROR(INDEX('العهد'!$G$3:$G$502,176),"")</f>
        <v/>
      </c>
      <c r="H182" s="119">
        <f>IFERROR(INDEX('العهد'!$H$3:$H$502,176),"")</f>
        <v/>
      </c>
      <c r="I182" s="50">
        <f>IFERROR(INDEX('العهد'!$I$3:$I$502,176),"")</f>
        <v/>
      </c>
      <c r="J182" s="50">
        <f>IFERROR(INDEX('العهد'!$J$3:$J$502,176),"")</f>
        <v/>
      </c>
      <c r="K182" s="50">
        <f>IFERROR(INDEX('العهد'!$K$3:$K$502,176),"")</f>
        <v/>
      </c>
    </row>
    <row r="183">
      <c r="A183" s="43">
        <f>IFERROR(INDEX('العهد'!$A$3:$A$502,177),"")</f>
        <v/>
      </c>
      <c r="B183" s="43">
        <f>IFERROR(INDEX('العهد'!$B$3:$B$502,177),"")</f>
        <v/>
      </c>
      <c r="C183" s="43">
        <f>IFERROR(INDEX('العهد'!$C$3:$C$502,177),"")</f>
        <v/>
      </c>
      <c r="D183" s="43">
        <f>IFERROR(INDEX('العهد'!$D$3:$D$502,177),"")</f>
        <v/>
      </c>
      <c r="E183" s="43">
        <f>IFERROR(INDEX('العهد'!$E$3:$E$502,177),"")</f>
        <v/>
      </c>
      <c r="F183" s="118">
        <f>IFERROR(INDEX('العهد'!$F$3:$F$502,177),"")</f>
        <v/>
      </c>
      <c r="G183" s="43">
        <f>IFERROR(INDEX('العهد'!$G$3:$G$502,177),"")</f>
        <v/>
      </c>
      <c r="H183" s="118">
        <f>IFERROR(INDEX('العهد'!$H$3:$H$502,177),"")</f>
        <v/>
      </c>
      <c r="I183" s="43">
        <f>IFERROR(INDEX('العهد'!$I$3:$I$502,177),"")</f>
        <v/>
      </c>
      <c r="J183" s="43">
        <f>IFERROR(INDEX('العهد'!$J$3:$J$502,177),"")</f>
        <v/>
      </c>
      <c r="K183" s="43">
        <f>IFERROR(INDEX('العهد'!$K$3:$K$502,177),"")</f>
        <v/>
      </c>
    </row>
    <row r="184">
      <c r="A184" s="50">
        <f>IFERROR(INDEX('العهد'!$A$3:$A$502,178),"")</f>
        <v/>
      </c>
      <c r="B184" s="50">
        <f>IFERROR(INDEX('العهد'!$B$3:$B$502,178),"")</f>
        <v/>
      </c>
      <c r="C184" s="50">
        <f>IFERROR(INDEX('العهد'!$C$3:$C$502,178),"")</f>
        <v/>
      </c>
      <c r="D184" s="50">
        <f>IFERROR(INDEX('العهد'!$D$3:$D$502,178),"")</f>
        <v/>
      </c>
      <c r="E184" s="50">
        <f>IFERROR(INDEX('العهد'!$E$3:$E$502,178),"")</f>
        <v/>
      </c>
      <c r="F184" s="119">
        <f>IFERROR(INDEX('العهد'!$F$3:$F$502,178),"")</f>
        <v/>
      </c>
      <c r="G184" s="50">
        <f>IFERROR(INDEX('العهد'!$G$3:$G$502,178),"")</f>
        <v/>
      </c>
      <c r="H184" s="119">
        <f>IFERROR(INDEX('العهد'!$H$3:$H$502,178),"")</f>
        <v/>
      </c>
      <c r="I184" s="50">
        <f>IFERROR(INDEX('العهد'!$I$3:$I$502,178),"")</f>
        <v/>
      </c>
      <c r="J184" s="50">
        <f>IFERROR(INDEX('العهد'!$J$3:$J$502,178),"")</f>
        <v/>
      </c>
      <c r="K184" s="50">
        <f>IFERROR(INDEX('العهد'!$K$3:$K$502,178),"")</f>
        <v/>
      </c>
    </row>
    <row r="185">
      <c r="A185" s="43">
        <f>IFERROR(INDEX('العهد'!$A$3:$A$502,179),"")</f>
        <v/>
      </c>
      <c r="B185" s="43">
        <f>IFERROR(INDEX('العهد'!$B$3:$B$502,179),"")</f>
        <v/>
      </c>
      <c r="C185" s="43">
        <f>IFERROR(INDEX('العهد'!$C$3:$C$502,179),"")</f>
        <v/>
      </c>
      <c r="D185" s="43">
        <f>IFERROR(INDEX('العهد'!$D$3:$D$502,179),"")</f>
        <v/>
      </c>
      <c r="E185" s="43">
        <f>IFERROR(INDEX('العهد'!$E$3:$E$502,179),"")</f>
        <v/>
      </c>
      <c r="F185" s="118">
        <f>IFERROR(INDEX('العهد'!$F$3:$F$502,179),"")</f>
        <v/>
      </c>
      <c r="G185" s="43">
        <f>IFERROR(INDEX('العهد'!$G$3:$G$502,179),"")</f>
        <v/>
      </c>
      <c r="H185" s="118">
        <f>IFERROR(INDEX('العهد'!$H$3:$H$502,179),"")</f>
        <v/>
      </c>
      <c r="I185" s="43">
        <f>IFERROR(INDEX('العهد'!$I$3:$I$502,179),"")</f>
        <v/>
      </c>
      <c r="J185" s="43">
        <f>IFERROR(INDEX('العهد'!$J$3:$J$502,179),"")</f>
        <v/>
      </c>
      <c r="K185" s="43">
        <f>IFERROR(INDEX('العهد'!$K$3:$K$502,179),"")</f>
        <v/>
      </c>
    </row>
    <row r="186">
      <c r="A186" s="50">
        <f>IFERROR(INDEX('العهد'!$A$3:$A$502,180),"")</f>
        <v/>
      </c>
      <c r="B186" s="50">
        <f>IFERROR(INDEX('العهد'!$B$3:$B$502,180),"")</f>
        <v/>
      </c>
      <c r="C186" s="50">
        <f>IFERROR(INDEX('العهد'!$C$3:$C$502,180),"")</f>
        <v/>
      </c>
      <c r="D186" s="50">
        <f>IFERROR(INDEX('العهد'!$D$3:$D$502,180),"")</f>
        <v/>
      </c>
      <c r="E186" s="50">
        <f>IFERROR(INDEX('العهد'!$E$3:$E$502,180),"")</f>
        <v/>
      </c>
      <c r="F186" s="119">
        <f>IFERROR(INDEX('العهد'!$F$3:$F$502,180),"")</f>
        <v/>
      </c>
      <c r="G186" s="50">
        <f>IFERROR(INDEX('العهد'!$G$3:$G$502,180),"")</f>
        <v/>
      </c>
      <c r="H186" s="119">
        <f>IFERROR(INDEX('العهد'!$H$3:$H$502,180),"")</f>
        <v/>
      </c>
      <c r="I186" s="50">
        <f>IFERROR(INDEX('العهد'!$I$3:$I$502,180),"")</f>
        <v/>
      </c>
      <c r="J186" s="50">
        <f>IFERROR(INDEX('العهد'!$J$3:$J$502,180),"")</f>
        <v/>
      </c>
      <c r="K186" s="50">
        <f>IFERROR(INDEX('العهد'!$K$3:$K$502,180),"")</f>
        <v/>
      </c>
    </row>
    <row r="187">
      <c r="A187" s="43">
        <f>IFERROR(INDEX('العهد'!$A$3:$A$502,181),"")</f>
        <v/>
      </c>
      <c r="B187" s="43">
        <f>IFERROR(INDEX('العهد'!$B$3:$B$502,181),"")</f>
        <v/>
      </c>
      <c r="C187" s="43">
        <f>IFERROR(INDEX('العهد'!$C$3:$C$502,181),"")</f>
        <v/>
      </c>
      <c r="D187" s="43">
        <f>IFERROR(INDEX('العهد'!$D$3:$D$502,181),"")</f>
        <v/>
      </c>
      <c r="E187" s="43">
        <f>IFERROR(INDEX('العهد'!$E$3:$E$502,181),"")</f>
        <v/>
      </c>
      <c r="F187" s="118">
        <f>IFERROR(INDEX('العهد'!$F$3:$F$502,181),"")</f>
        <v/>
      </c>
      <c r="G187" s="43">
        <f>IFERROR(INDEX('العهد'!$G$3:$G$502,181),"")</f>
        <v/>
      </c>
      <c r="H187" s="118">
        <f>IFERROR(INDEX('العهد'!$H$3:$H$502,181),"")</f>
        <v/>
      </c>
      <c r="I187" s="43">
        <f>IFERROR(INDEX('العهد'!$I$3:$I$502,181),"")</f>
        <v/>
      </c>
      <c r="J187" s="43">
        <f>IFERROR(INDEX('العهد'!$J$3:$J$502,181),"")</f>
        <v/>
      </c>
      <c r="K187" s="43">
        <f>IFERROR(INDEX('العهد'!$K$3:$K$502,181),"")</f>
        <v/>
      </c>
    </row>
    <row r="188">
      <c r="A188" s="50">
        <f>IFERROR(INDEX('العهد'!$A$3:$A$502,182),"")</f>
        <v/>
      </c>
      <c r="B188" s="50">
        <f>IFERROR(INDEX('العهد'!$B$3:$B$502,182),"")</f>
        <v/>
      </c>
      <c r="C188" s="50">
        <f>IFERROR(INDEX('العهد'!$C$3:$C$502,182),"")</f>
        <v/>
      </c>
      <c r="D188" s="50">
        <f>IFERROR(INDEX('العهد'!$D$3:$D$502,182),"")</f>
        <v/>
      </c>
      <c r="E188" s="50">
        <f>IFERROR(INDEX('العهد'!$E$3:$E$502,182),"")</f>
        <v/>
      </c>
      <c r="F188" s="119">
        <f>IFERROR(INDEX('العهد'!$F$3:$F$502,182),"")</f>
        <v/>
      </c>
      <c r="G188" s="50">
        <f>IFERROR(INDEX('العهد'!$G$3:$G$502,182),"")</f>
        <v/>
      </c>
      <c r="H188" s="119">
        <f>IFERROR(INDEX('العهد'!$H$3:$H$502,182),"")</f>
        <v/>
      </c>
      <c r="I188" s="50">
        <f>IFERROR(INDEX('العهد'!$I$3:$I$502,182),"")</f>
        <v/>
      </c>
      <c r="J188" s="50">
        <f>IFERROR(INDEX('العهد'!$J$3:$J$502,182),"")</f>
        <v/>
      </c>
      <c r="K188" s="50">
        <f>IFERROR(INDEX('العهد'!$K$3:$K$502,182),"")</f>
        <v/>
      </c>
    </row>
    <row r="189">
      <c r="A189" s="43">
        <f>IFERROR(INDEX('العهد'!$A$3:$A$502,183),"")</f>
        <v/>
      </c>
      <c r="B189" s="43">
        <f>IFERROR(INDEX('العهد'!$B$3:$B$502,183),"")</f>
        <v/>
      </c>
      <c r="C189" s="43">
        <f>IFERROR(INDEX('العهد'!$C$3:$C$502,183),"")</f>
        <v/>
      </c>
      <c r="D189" s="43">
        <f>IFERROR(INDEX('العهد'!$D$3:$D$502,183),"")</f>
        <v/>
      </c>
      <c r="E189" s="43">
        <f>IFERROR(INDEX('العهد'!$E$3:$E$502,183),"")</f>
        <v/>
      </c>
      <c r="F189" s="118">
        <f>IFERROR(INDEX('العهد'!$F$3:$F$502,183),"")</f>
        <v/>
      </c>
      <c r="G189" s="43">
        <f>IFERROR(INDEX('العهد'!$G$3:$G$502,183),"")</f>
        <v/>
      </c>
      <c r="H189" s="118">
        <f>IFERROR(INDEX('العهد'!$H$3:$H$502,183),"")</f>
        <v/>
      </c>
      <c r="I189" s="43">
        <f>IFERROR(INDEX('العهد'!$I$3:$I$502,183),"")</f>
        <v/>
      </c>
      <c r="J189" s="43">
        <f>IFERROR(INDEX('العهد'!$J$3:$J$502,183),"")</f>
        <v/>
      </c>
      <c r="K189" s="43">
        <f>IFERROR(INDEX('العهد'!$K$3:$K$502,183),"")</f>
        <v/>
      </c>
    </row>
    <row r="190">
      <c r="A190" s="50">
        <f>IFERROR(INDEX('العهد'!$A$3:$A$502,184),"")</f>
        <v/>
      </c>
      <c r="B190" s="50">
        <f>IFERROR(INDEX('العهد'!$B$3:$B$502,184),"")</f>
        <v/>
      </c>
      <c r="C190" s="50">
        <f>IFERROR(INDEX('العهد'!$C$3:$C$502,184),"")</f>
        <v/>
      </c>
      <c r="D190" s="50">
        <f>IFERROR(INDEX('العهد'!$D$3:$D$502,184),"")</f>
        <v/>
      </c>
      <c r="E190" s="50">
        <f>IFERROR(INDEX('العهد'!$E$3:$E$502,184),"")</f>
        <v/>
      </c>
      <c r="F190" s="119">
        <f>IFERROR(INDEX('العهد'!$F$3:$F$502,184),"")</f>
        <v/>
      </c>
      <c r="G190" s="50">
        <f>IFERROR(INDEX('العهد'!$G$3:$G$502,184),"")</f>
        <v/>
      </c>
      <c r="H190" s="119">
        <f>IFERROR(INDEX('العهد'!$H$3:$H$502,184),"")</f>
        <v/>
      </c>
      <c r="I190" s="50">
        <f>IFERROR(INDEX('العهد'!$I$3:$I$502,184),"")</f>
        <v/>
      </c>
      <c r="J190" s="50">
        <f>IFERROR(INDEX('العهد'!$J$3:$J$502,184),"")</f>
        <v/>
      </c>
      <c r="K190" s="50">
        <f>IFERROR(INDEX('العهد'!$K$3:$K$502,184),"")</f>
        <v/>
      </c>
    </row>
    <row r="191">
      <c r="A191" s="43">
        <f>IFERROR(INDEX('العهد'!$A$3:$A$502,185),"")</f>
        <v/>
      </c>
      <c r="B191" s="43">
        <f>IFERROR(INDEX('العهد'!$B$3:$B$502,185),"")</f>
        <v/>
      </c>
      <c r="C191" s="43">
        <f>IFERROR(INDEX('العهد'!$C$3:$C$502,185),"")</f>
        <v/>
      </c>
      <c r="D191" s="43">
        <f>IFERROR(INDEX('العهد'!$D$3:$D$502,185),"")</f>
        <v/>
      </c>
      <c r="E191" s="43">
        <f>IFERROR(INDEX('العهد'!$E$3:$E$502,185),"")</f>
        <v/>
      </c>
      <c r="F191" s="118">
        <f>IFERROR(INDEX('العهد'!$F$3:$F$502,185),"")</f>
        <v/>
      </c>
      <c r="G191" s="43">
        <f>IFERROR(INDEX('العهد'!$G$3:$G$502,185),"")</f>
        <v/>
      </c>
      <c r="H191" s="118">
        <f>IFERROR(INDEX('العهد'!$H$3:$H$502,185),"")</f>
        <v/>
      </c>
      <c r="I191" s="43">
        <f>IFERROR(INDEX('العهد'!$I$3:$I$502,185),"")</f>
        <v/>
      </c>
      <c r="J191" s="43">
        <f>IFERROR(INDEX('العهد'!$J$3:$J$502,185),"")</f>
        <v/>
      </c>
      <c r="K191" s="43">
        <f>IFERROR(INDEX('العهد'!$K$3:$K$502,185),"")</f>
        <v/>
      </c>
    </row>
    <row r="192">
      <c r="A192" s="50">
        <f>IFERROR(INDEX('العهد'!$A$3:$A$502,186),"")</f>
        <v/>
      </c>
      <c r="B192" s="50">
        <f>IFERROR(INDEX('العهد'!$B$3:$B$502,186),"")</f>
        <v/>
      </c>
      <c r="C192" s="50">
        <f>IFERROR(INDEX('العهد'!$C$3:$C$502,186),"")</f>
        <v/>
      </c>
      <c r="D192" s="50">
        <f>IFERROR(INDEX('العهد'!$D$3:$D$502,186),"")</f>
        <v/>
      </c>
      <c r="E192" s="50">
        <f>IFERROR(INDEX('العهد'!$E$3:$E$502,186),"")</f>
        <v/>
      </c>
      <c r="F192" s="119">
        <f>IFERROR(INDEX('العهد'!$F$3:$F$502,186),"")</f>
        <v/>
      </c>
      <c r="G192" s="50">
        <f>IFERROR(INDEX('العهد'!$G$3:$G$502,186),"")</f>
        <v/>
      </c>
      <c r="H192" s="119">
        <f>IFERROR(INDEX('العهد'!$H$3:$H$502,186),"")</f>
        <v/>
      </c>
      <c r="I192" s="50">
        <f>IFERROR(INDEX('العهد'!$I$3:$I$502,186),"")</f>
        <v/>
      </c>
      <c r="J192" s="50">
        <f>IFERROR(INDEX('العهد'!$J$3:$J$502,186),"")</f>
        <v/>
      </c>
      <c r="K192" s="50">
        <f>IFERROR(INDEX('العهد'!$K$3:$K$502,186),"")</f>
        <v/>
      </c>
    </row>
    <row r="193">
      <c r="A193" s="43">
        <f>IFERROR(INDEX('العهد'!$A$3:$A$502,187),"")</f>
        <v/>
      </c>
      <c r="B193" s="43">
        <f>IFERROR(INDEX('العهد'!$B$3:$B$502,187),"")</f>
        <v/>
      </c>
      <c r="C193" s="43">
        <f>IFERROR(INDEX('العهد'!$C$3:$C$502,187),"")</f>
        <v/>
      </c>
      <c r="D193" s="43">
        <f>IFERROR(INDEX('العهد'!$D$3:$D$502,187),"")</f>
        <v/>
      </c>
      <c r="E193" s="43">
        <f>IFERROR(INDEX('العهد'!$E$3:$E$502,187),"")</f>
        <v/>
      </c>
      <c r="F193" s="118">
        <f>IFERROR(INDEX('العهد'!$F$3:$F$502,187),"")</f>
        <v/>
      </c>
      <c r="G193" s="43">
        <f>IFERROR(INDEX('العهد'!$G$3:$G$502,187),"")</f>
        <v/>
      </c>
      <c r="H193" s="118">
        <f>IFERROR(INDEX('العهد'!$H$3:$H$502,187),"")</f>
        <v/>
      </c>
      <c r="I193" s="43">
        <f>IFERROR(INDEX('العهد'!$I$3:$I$502,187),"")</f>
        <v/>
      </c>
      <c r="J193" s="43">
        <f>IFERROR(INDEX('العهد'!$J$3:$J$502,187),"")</f>
        <v/>
      </c>
      <c r="K193" s="43">
        <f>IFERROR(INDEX('العهد'!$K$3:$K$502,187),"")</f>
        <v/>
      </c>
    </row>
    <row r="194">
      <c r="A194" s="50">
        <f>IFERROR(INDEX('العهد'!$A$3:$A$502,188),"")</f>
        <v/>
      </c>
      <c r="B194" s="50">
        <f>IFERROR(INDEX('العهد'!$B$3:$B$502,188),"")</f>
        <v/>
      </c>
      <c r="C194" s="50">
        <f>IFERROR(INDEX('العهد'!$C$3:$C$502,188),"")</f>
        <v/>
      </c>
      <c r="D194" s="50">
        <f>IFERROR(INDEX('العهد'!$D$3:$D$502,188),"")</f>
        <v/>
      </c>
      <c r="E194" s="50">
        <f>IFERROR(INDEX('العهد'!$E$3:$E$502,188),"")</f>
        <v/>
      </c>
      <c r="F194" s="119">
        <f>IFERROR(INDEX('العهد'!$F$3:$F$502,188),"")</f>
        <v/>
      </c>
      <c r="G194" s="50">
        <f>IFERROR(INDEX('العهد'!$G$3:$G$502,188),"")</f>
        <v/>
      </c>
      <c r="H194" s="119">
        <f>IFERROR(INDEX('العهد'!$H$3:$H$502,188),"")</f>
        <v/>
      </c>
      <c r="I194" s="50">
        <f>IFERROR(INDEX('العهد'!$I$3:$I$502,188),"")</f>
        <v/>
      </c>
      <c r="J194" s="50">
        <f>IFERROR(INDEX('العهد'!$J$3:$J$502,188),"")</f>
        <v/>
      </c>
      <c r="K194" s="50">
        <f>IFERROR(INDEX('العهد'!$K$3:$K$502,188),"")</f>
        <v/>
      </c>
    </row>
    <row r="195">
      <c r="A195" s="43">
        <f>IFERROR(INDEX('العهد'!$A$3:$A$502,189),"")</f>
        <v/>
      </c>
      <c r="B195" s="43">
        <f>IFERROR(INDEX('العهد'!$B$3:$B$502,189),"")</f>
        <v/>
      </c>
      <c r="C195" s="43">
        <f>IFERROR(INDEX('العهد'!$C$3:$C$502,189),"")</f>
        <v/>
      </c>
      <c r="D195" s="43">
        <f>IFERROR(INDEX('العهد'!$D$3:$D$502,189),"")</f>
        <v/>
      </c>
      <c r="E195" s="43">
        <f>IFERROR(INDEX('العهد'!$E$3:$E$502,189),"")</f>
        <v/>
      </c>
      <c r="F195" s="118">
        <f>IFERROR(INDEX('العهد'!$F$3:$F$502,189),"")</f>
        <v/>
      </c>
      <c r="G195" s="43">
        <f>IFERROR(INDEX('العهد'!$G$3:$G$502,189),"")</f>
        <v/>
      </c>
      <c r="H195" s="118">
        <f>IFERROR(INDEX('العهد'!$H$3:$H$502,189),"")</f>
        <v/>
      </c>
      <c r="I195" s="43">
        <f>IFERROR(INDEX('العهد'!$I$3:$I$502,189),"")</f>
        <v/>
      </c>
      <c r="J195" s="43">
        <f>IFERROR(INDEX('العهد'!$J$3:$J$502,189),"")</f>
        <v/>
      </c>
      <c r="K195" s="43">
        <f>IFERROR(INDEX('العهد'!$K$3:$K$502,189),"")</f>
        <v/>
      </c>
    </row>
    <row r="196">
      <c r="A196" s="50">
        <f>IFERROR(INDEX('العهد'!$A$3:$A$502,190),"")</f>
        <v/>
      </c>
      <c r="B196" s="50">
        <f>IFERROR(INDEX('العهد'!$B$3:$B$502,190),"")</f>
        <v/>
      </c>
      <c r="C196" s="50">
        <f>IFERROR(INDEX('العهد'!$C$3:$C$502,190),"")</f>
        <v/>
      </c>
      <c r="D196" s="50">
        <f>IFERROR(INDEX('العهد'!$D$3:$D$502,190),"")</f>
        <v/>
      </c>
      <c r="E196" s="50">
        <f>IFERROR(INDEX('العهد'!$E$3:$E$502,190),"")</f>
        <v/>
      </c>
      <c r="F196" s="119">
        <f>IFERROR(INDEX('العهد'!$F$3:$F$502,190),"")</f>
        <v/>
      </c>
      <c r="G196" s="50">
        <f>IFERROR(INDEX('العهد'!$G$3:$G$502,190),"")</f>
        <v/>
      </c>
      <c r="H196" s="119">
        <f>IFERROR(INDEX('العهد'!$H$3:$H$502,190),"")</f>
        <v/>
      </c>
      <c r="I196" s="50">
        <f>IFERROR(INDEX('العهد'!$I$3:$I$502,190),"")</f>
        <v/>
      </c>
      <c r="J196" s="50">
        <f>IFERROR(INDEX('العهد'!$J$3:$J$502,190),"")</f>
        <v/>
      </c>
      <c r="K196" s="50">
        <f>IFERROR(INDEX('العهد'!$K$3:$K$502,190),"")</f>
        <v/>
      </c>
    </row>
    <row r="197">
      <c r="A197" s="43">
        <f>IFERROR(INDEX('العهد'!$A$3:$A$502,191),"")</f>
        <v/>
      </c>
      <c r="B197" s="43">
        <f>IFERROR(INDEX('العهد'!$B$3:$B$502,191),"")</f>
        <v/>
      </c>
      <c r="C197" s="43">
        <f>IFERROR(INDEX('العهد'!$C$3:$C$502,191),"")</f>
        <v/>
      </c>
      <c r="D197" s="43">
        <f>IFERROR(INDEX('العهد'!$D$3:$D$502,191),"")</f>
        <v/>
      </c>
      <c r="E197" s="43">
        <f>IFERROR(INDEX('العهد'!$E$3:$E$502,191),"")</f>
        <v/>
      </c>
      <c r="F197" s="118">
        <f>IFERROR(INDEX('العهد'!$F$3:$F$502,191),"")</f>
        <v/>
      </c>
      <c r="G197" s="43">
        <f>IFERROR(INDEX('العهد'!$G$3:$G$502,191),"")</f>
        <v/>
      </c>
      <c r="H197" s="118">
        <f>IFERROR(INDEX('العهد'!$H$3:$H$502,191),"")</f>
        <v/>
      </c>
      <c r="I197" s="43">
        <f>IFERROR(INDEX('العهد'!$I$3:$I$502,191),"")</f>
        <v/>
      </c>
      <c r="J197" s="43">
        <f>IFERROR(INDEX('العهد'!$J$3:$J$502,191),"")</f>
        <v/>
      </c>
      <c r="K197" s="43">
        <f>IFERROR(INDEX('العهد'!$K$3:$K$502,191),"")</f>
        <v/>
      </c>
    </row>
    <row r="198">
      <c r="A198" s="50">
        <f>IFERROR(INDEX('العهد'!$A$3:$A$502,192),"")</f>
        <v/>
      </c>
      <c r="B198" s="50">
        <f>IFERROR(INDEX('العهد'!$B$3:$B$502,192),"")</f>
        <v/>
      </c>
      <c r="C198" s="50">
        <f>IFERROR(INDEX('العهد'!$C$3:$C$502,192),"")</f>
        <v/>
      </c>
      <c r="D198" s="50">
        <f>IFERROR(INDEX('العهد'!$D$3:$D$502,192),"")</f>
        <v/>
      </c>
      <c r="E198" s="50">
        <f>IFERROR(INDEX('العهد'!$E$3:$E$502,192),"")</f>
        <v/>
      </c>
      <c r="F198" s="119">
        <f>IFERROR(INDEX('العهد'!$F$3:$F$502,192),"")</f>
        <v/>
      </c>
      <c r="G198" s="50">
        <f>IFERROR(INDEX('العهد'!$G$3:$G$502,192),"")</f>
        <v/>
      </c>
      <c r="H198" s="119">
        <f>IFERROR(INDEX('العهد'!$H$3:$H$502,192),"")</f>
        <v/>
      </c>
      <c r="I198" s="50">
        <f>IFERROR(INDEX('العهد'!$I$3:$I$502,192),"")</f>
        <v/>
      </c>
      <c r="J198" s="50">
        <f>IFERROR(INDEX('العهد'!$J$3:$J$502,192),"")</f>
        <v/>
      </c>
      <c r="K198" s="50">
        <f>IFERROR(INDEX('العهد'!$K$3:$K$502,192),"")</f>
        <v/>
      </c>
    </row>
    <row r="199">
      <c r="A199" s="43">
        <f>IFERROR(INDEX('العهد'!$A$3:$A$502,193),"")</f>
        <v/>
      </c>
      <c r="B199" s="43">
        <f>IFERROR(INDEX('العهد'!$B$3:$B$502,193),"")</f>
        <v/>
      </c>
      <c r="C199" s="43">
        <f>IFERROR(INDEX('العهد'!$C$3:$C$502,193),"")</f>
        <v/>
      </c>
      <c r="D199" s="43">
        <f>IFERROR(INDEX('العهد'!$D$3:$D$502,193),"")</f>
        <v/>
      </c>
      <c r="E199" s="43">
        <f>IFERROR(INDEX('العهد'!$E$3:$E$502,193),"")</f>
        <v/>
      </c>
      <c r="F199" s="118">
        <f>IFERROR(INDEX('العهد'!$F$3:$F$502,193),"")</f>
        <v/>
      </c>
      <c r="G199" s="43">
        <f>IFERROR(INDEX('العهد'!$G$3:$G$502,193),"")</f>
        <v/>
      </c>
      <c r="H199" s="118">
        <f>IFERROR(INDEX('العهد'!$H$3:$H$502,193),"")</f>
        <v/>
      </c>
      <c r="I199" s="43">
        <f>IFERROR(INDEX('العهد'!$I$3:$I$502,193),"")</f>
        <v/>
      </c>
      <c r="J199" s="43">
        <f>IFERROR(INDEX('العهد'!$J$3:$J$502,193),"")</f>
        <v/>
      </c>
      <c r="K199" s="43">
        <f>IFERROR(INDEX('العهد'!$K$3:$K$502,193),"")</f>
        <v/>
      </c>
    </row>
    <row r="200">
      <c r="A200" s="50">
        <f>IFERROR(INDEX('العهد'!$A$3:$A$502,194),"")</f>
        <v/>
      </c>
      <c r="B200" s="50">
        <f>IFERROR(INDEX('العهد'!$B$3:$B$502,194),"")</f>
        <v/>
      </c>
      <c r="C200" s="50">
        <f>IFERROR(INDEX('العهد'!$C$3:$C$502,194),"")</f>
        <v/>
      </c>
      <c r="D200" s="50">
        <f>IFERROR(INDEX('العهد'!$D$3:$D$502,194),"")</f>
        <v/>
      </c>
      <c r="E200" s="50">
        <f>IFERROR(INDEX('العهد'!$E$3:$E$502,194),"")</f>
        <v/>
      </c>
      <c r="F200" s="119">
        <f>IFERROR(INDEX('العهد'!$F$3:$F$502,194),"")</f>
        <v/>
      </c>
      <c r="G200" s="50">
        <f>IFERROR(INDEX('العهد'!$G$3:$G$502,194),"")</f>
        <v/>
      </c>
      <c r="H200" s="119">
        <f>IFERROR(INDEX('العهد'!$H$3:$H$502,194),"")</f>
        <v/>
      </c>
      <c r="I200" s="50">
        <f>IFERROR(INDEX('العهد'!$I$3:$I$502,194),"")</f>
        <v/>
      </c>
      <c r="J200" s="50">
        <f>IFERROR(INDEX('العهد'!$J$3:$J$502,194),"")</f>
        <v/>
      </c>
      <c r="K200" s="50">
        <f>IFERROR(INDEX('العهد'!$K$3:$K$502,194),"")</f>
        <v/>
      </c>
    </row>
    <row r="201">
      <c r="A201" s="43">
        <f>IFERROR(INDEX('العهد'!$A$3:$A$502,195),"")</f>
        <v/>
      </c>
      <c r="B201" s="43">
        <f>IFERROR(INDEX('العهد'!$B$3:$B$502,195),"")</f>
        <v/>
      </c>
      <c r="C201" s="43">
        <f>IFERROR(INDEX('العهد'!$C$3:$C$502,195),"")</f>
        <v/>
      </c>
      <c r="D201" s="43">
        <f>IFERROR(INDEX('العهد'!$D$3:$D$502,195),"")</f>
        <v/>
      </c>
      <c r="E201" s="43">
        <f>IFERROR(INDEX('العهد'!$E$3:$E$502,195),"")</f>
        <v/>
      </c>
      <c r="F201" s="118">
        <f>IFERROR(INDEX('العهد'!$F$3:$F$502,195),"")</f>
        <v/>
      </c>
      <c r="G201" s="43">
        <f>IFERROR(INDEX('العهد'!$G$3:$G$502,195),"")</f>
        <v/>
      </c>
      <c r="H201" s="118">
        <f>IFERROR(INDEX('العهد'!$H$3:$H$502,195),"")</f>
        <v/>
      </c>
      <c r="I201" s="43">
        <f>IFERROR(INDEX('العهد'!$I$3:$I$502,195),"")</f>
        <v/>
      </c>
      <c r="J201" s="43">
        <f>IFERROR(INDEX('العهد'!$J$3:$J$502,195),"")</f>
        <v/>
      </c>
      <c r="K201" s="43">
        <f>IFERROR(INDEX('العهد'!$K$3:$K$502,195),"")</f>
        <v/>
      </c>
    </row>
    <row r="202">
      <c r="A202" s="50">
        <f>IFERROR(INDEX('العهد'!$A$3:$A$502,196),"")</f>
        <v/>
      </c>
      <c r="B202" s="50">
        <f>IFERROR(INDEX('العهد'!$B$3:$B$502,196),"")</f>
        <v/>
      </c>
      <c r="C202" s="50">
        <f>IFERROR(INDEX('العهد'!$C$3:$C$502,196),"")</f>
        <v/>
      </c>
      <c r="D202" s="50">
        <f>IFERROR(INDEX('العهد'!$D$3:$D$502,196),"")</f>
        <v/>
      </c>
      <c r="E202" s="50">
        <f>IFERROR(INDEX('العهد'!$E$3:$E$502,196),"")</f>
        <v/>
      </c>
      <c r="F202" s="119">
        <f>IFERROR(INDEX('العهد'!$F$3:$F$502,196),"")</f>
        <v/>
      </c>
      <c r="G202" s="50">
        <f>IFERROR(INDEX('العهد'!$G$3:$G$502,196),"")</f>
        <v/>
      </c>
      <c r="H202" s="119">
        <f>IFERROR(INDEX('العهد'!$H$3:$H$502,196),"")</f>
        <v/>
      </c>
      <c r="I202" s="50">
        <f>IFERROR(INDEX('العهد'!$I$3:$I$502,196),"")</f>
        <v/>
      </c>
      <c r="J202" s="50">
        <f>IFERROR(INDEX('العهد'!$J$3:$J$502,196),"")</f>
        <v/>
      </c>
      <c r="K202" s="50">
        <f>IFERROR(INDEX('العهد'!$K$3:$K$502,196),"")</f>
        <v/>
      </c>
    </row>
    <row r="203">
      <c r="A203" s="43">
        <f>IFERROR(INDEX('العهد'!$A$3:$A$502,197),"")</f>
        <v/>
      </c>
      <c r="B203" s="43">
        <f>IFERROR(INDEX('العهد'!$B$3:$B$502,197),"")</f>
        <v/>
      </c>
      <c r="C203" s="43">
        <f>IFERROR(INDEX('العهد'!$C$3:$C$502,197),"")</f>
        <v/>
      </c>
      <c r="D203" s="43">
        <f>IFERROR(INDEX('العهد'!$D$3:$D$502,197),"")</f>
        <v/>
      </c>
      <c r="E203" s="43">
        <f>IFERROR(INDEX('العهد'!$E$3:$E$502,197),"")</f>
        <v/>
      </c>
      <c r="F203" s="118">
        <f>IFERROR(INDEX('العهد'!$F$3:$F$502,197),"")</f>
        <v/>
      </c>
      <c r="G203" s="43">
        <f>IFERROR(INDEX('العهد'!$G$3:$G$502,197),"")</f>
        <v/>
      </c>
      <c r="H203" s="118">
        <f>IFERROR(INDEX('العهد'!$H$3:$H$502,197),"")</f>
        <v/>
      </c>
      <c r="I203" s="43">
        <f>IFERROR(INDEX('العهد'!$I$3:$I$502,197),"")</f>
        <v/>
      </c>
      <c r="J203" s="43">
        <f>IFERROR(INDEX('العهد'!$J$3:$J$502,197),"")</f>
        <v/>
      </c>
      <c r="K203" s="43">
        <f>IFERROR(INDEX('العهد'!$K$3:$K$502,197),"")</f>
        <v/>
      </c>
    </row>
    <row r="204">
      <c r="A204" s="50">
        <f>IFERROR(INDEX('العهد'!$A$3:$A$502,198),"")</f>
        <v/>
      </c>
      <c r="B204" s="50">
        <f>IFERROR(INDEX('العهد'!$B$3:$B$502,198),"")</f>
        <v/>
      </c>
      <c r="C204" s="50">
        <f>IFERROR(INDEX('العهد'!$C$3:$C$502,198),"")</f>
        <v/>
      </c>
      <c r="D204" s="50">
        <f>IFERROR(INDEX('العهد'!$D$3:$D$502,198),"")</f>
        <v/>
      </c>
      <c r="E204" s="50">
        <f>IFERROR(INDEX('العهد'!$E$3:$E$502,198),"")</f>
        <v/>
      </c>
      <c r="F204" s="119">
        <f>IFERROR(INDEX('العهد'!$F$3:$F$502,198),"")</f>
        <v/>
      </c>
      <c r="G204" s="50">
        <f>IFERROR(INDEX('العهد'!$G$3:$G$502,198),"")</f>
        <v/>
      </c>
      <c r="H204" s="119">
        <f>IFERROR(INDEX('العهد'!$H$3:$H$502,198),"")</f>
        <v/>
      </c>
      <c r="I204" s="50">
        <f>IFERROR(INDEX('العهد'!$I$3:$I$502,198),"")</f>
        <v/>
      </c>
      <c r="J204" s="50">
        <f>IFERROR(INDEX('العهد'!$J$3:$J$502,198),"")</f>
        <v/>
      </c>
      <c r="K204" s="50">
        <f>IFERROR(INDEX('العهد'!$K$3:$K$502,198),"")</f>
        <v/>
      </c>
    </row>
    <row r="205">
      <c r="A205" s="43">
        <f>IFERROR(INDEX('العهد'!$A$3:$A$502,199),"")</f>
        <v/>
      </c>
      <c r="B205" s="43">
        <f>IFERROR(INDEX('العهد'!$B$3:$B$502,199),"")</f>
        <v/>
      </c>
      <c r="C205" s="43">
        <f>IFERROR(INDEX('العهد'!$C$3:$C$502,199),"")</f>
        <v/>
      </c>
      <c r="D205" s="43">
        <f>IFERROR(INDEX('العهد'!$D$3:$D$502,199),"")</f>
        <v/>
      </c>
      <c r="E205" s="43">
        <f>IFERROR(INDEX('العهد'!$E$3:$E$502,199),"")</f>
        <v/>
      </c>
      <c r="F205" s="118">
        <f>IFERROR(INDEX('العهد'!$F$3:$F$502,199),"")</f>
        <v/>
      </c>
      <c r="G205" s="43">
        <f>IFERROR(INDEX('العهد'!$G$3:$G$502,199),"")</f>
        <v/>
      </c>
      <c r="H205" s="118">
        <f>IFERROR(INDEX('العهد'!$H$3:$H$502,199),"")</f>
        <v/>
      </c>
      <c r="I205" s="43">
        <f>IFERROR(INDEX('العهد'!$I$3:$I$502,199),"")</f>
        <v/>
      </c>
      <c r="J205" s="43">
        <f>IFERROR(INDEX('العهد'!$J$3:$J$502,199),"")</f>
        <v/>
      </c>
      <c r="K205" s="43">
        <f>IFERROR(INDEX('العهد'!$K$3:$K$502,199),"")</f>
        <v/>
      </c>
    </row>
    <row r="206">
      <c r="A206" s="50">
        <f>IFERROR(INDEX('العهد'!$A$3:$A$502,200),"")</f>
        <v/>
      </c>
      <c r="B206" s="50">
        <f>IFERROR(INDEX('العهد'!$B$3:$B$502,200),"")</f>
        <v/>
      </c>
      <c r="C206" s="50">
        <f>IFERROR(INDEX('العهد'!$C$3:$C$502,200),"")</f>
        <v/>
      </c>
      <c r="D206" s="50">
        <f>IFERROR(INDEX('العهد'!$D$3:$D$502,200),"")</f>
        <v/>
      </c>
      <c r="E206" s="50">
        <f>IFERROR(INDEX('العهد'!$E$3:$E$502,200),"")</f>
        <v/>
      </c>
      <c r="F206" s="119">
        <f>IFERROR(INDEX('العهد'!$F$3:$F$502,200),"")</f>
        <v/>
      </c>
      <c r="G206" s="50">
        <f>IFERROR(INDEX('العهد'!$G$3:$G$502,200),"")</f>
        <v/>
      </c>
      <c r="H206" s="119">
        <f>IFERROR(INDEX('العهد'!$H$3:$H$502,200),"")</f>
        <v/>
      </c>
      <c r="I206" s="50">
        <f>IFERROR(INDEX('العهد'!$I$3:$I$502,200),"")</f>
        <v/>
      </c>
      <c r="J206" s="50">
        <f>IFERROR(INDEX('العهد'!$J$3:$J$502,200),"")</f>
        <v/>
      </c>
      <c r="K206" s="50">
        <f>IFERROR(INDEX('العهد'!$K$3:$K$502,200),"")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05"/>
  <mergeCells count="4">
    <mergeCell ref="A2:K2"/>
    <mergeCell ref="A1:K1"/>
    <mergeCell ref="F3:K3"/>
    <mergeCell ref="A3:E3"/>
  </mergeCells>
  <pageMargins left="0.75" right="0.75" top="1" bottom="1" header="0.5" footer="0.5"/>
  <pageSetup orientation="landscape" paperSize="9" fitToHeight="0" fitToWidth="1"/>
  <headerFooter>
    <oddHeader/>
    <oddFooter>&amp;L&amp;8 نظام إدارة الموارد البشرية&amp;R&amp;8 صفحة &amp;P من &amp;N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207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18" customWidth="1" min="4" max="4"/>
    <col width="13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0" customHeight="1">
      <c r="A1" s="1">
        <f>اسم_المؤسسة</f>
        <v/>
      </c>
    </row>
    <row r="2" ht="26" customHeight="1">
      <c r="A2" s="65" t="inlineStr">
        <is>
          <t>تقرير إنهاء الخدمة وإخلاء الطرف</t>
        </is>
      </c>
    </row>
    <row r="3">
      <c r="A3" s="66">
        <f>"تاريخ إعداد التقرير: "&amp;TEXT(TODAY(),"yyyy-mm-dd")</f>
        <v/>
      </c>
      <c r="F3" s="6">
        <f>"السنة المالية: "&amp;السنة_المالية</f>
        <v/>
      </c>
    </row>
    <row r="6" ht="34" customHeight="1">
      <c r="A6" s="67" t="inlineStr">
        <is>
          <t>الرقم الوظيفي</t>
        </is>
      </c>
      <c r="B6" s="67" t="inlineStr">
        <is>
          <t>اسم الموظف</t>
        </is>
      </c>
      <c r="C6" s="67" t="inlineStr">
        <is>
          <t>تاريخ الطلب</t>
        </is>
      </c>
      <c r="D6" s="67" t="inlineStr">
        <is>
          <t>نوع إنهاء الخدمة</t>
        </is>
      </c>
      <c r="E6" s="67" t="inlineStr">
        <is>
          <t>آخر يوم عمل</t>
        </is>
      </c>
      <c r="F6" s="67" t="inlineStr">
        <is>
          <t>سبب الإنهاء</t>
        </is>
      </c>
      <c r="G6" s="67" t="inlineStr">
        <is>
          <t>إخلاء الطرف</t>
        </is>
      </c>
      <c r="H6" s="67" t="inlineStr">
        <is>
          <t>المستحقات النهائية</t>
        </is>
      </c>
      <c r="I6" s="67" t="inlineStr">
        <is>
          <t>التسوية المالية</t>
        </is>
      </c>
      <c r="J6" s="67" t="inlineStr">
        <is>
          <t>إغلاق الملف</t>
        </is>
      </c>
    </row>
    <row r="7">
      <c r="A7" s="43">
        <f>IFERROR(INDEX('إنهاء الخدمة'!$A$3:$A$502,1),"")</f>
        <v/>
      </c>
      <c r="B7" s="43">
        <f>IFERROR(INDEX('إنهاء الخدمة'!$B$3:$B$502,1),"")</f>
        <v/>
      </c>
      <c r="C7" s="118">
        <f>IFERROR(INDEX('إنهاء الخدمة'!$C$3:$C$502,1),"")</f>
        <v/>
      </c>
      <c r="D7" s="43">
        <f>IFERROR(INDEX('إنهاء الخدمة'!$D$3:$D$502,1),"")</f>
        <v/>
      </c>
      <c r="E7" s="118">
        <f>IFERROR(INDEX('إنهاء الخدمة'!$E$3:$E$502,1),"")</f>
        <v/>
      </c>
      <c r="F7" s="43">
        <f>IFERROR(INDEX('إنهاء الخدمة'!$F$3:$F$502,1),"")</f>
        <v/>
      </c>
      <c r="G7" s="43">
        <f>IFERROR(INDEX('إنهاء الخدمة'!$G$3:$G$502,1),"")</f>
        <v/>
      </c>
      <c r="H7" s="60">
        <f>IFERROR(INDEX('إنهاء الخدمة'!$I$3:$I$502,1),"")</f>
        <v/>
      </c>
      <c r="I7" s="43">
        <f>IFERROR(INDEX('إنهاء الخدمة'!$J$3:$J$502,1),"")</f>
        <v/>
      </c>
      <c r="J7" s="43">
        <f>IFERROR(INDEX('إنهاء الخدمة'!$K$3:$K$502,1),"")</f>
        <v/>
      </c>
    </row>
    <row r="8">
      <c r="A8" s="50">
        <f>IFERROR(INDEX('إنهاء الخدمة'!$A$3:$A$502,2),"")</f>
        <v/>
      </c>
      <c r="B8" s="50">
        <f>IFERROR(INDEX('إنهاء الخدمة'!$B$3:$B$502,2),"")</f>
        <v/>
      </c>
      <c r="C8" s="119">
        <f>IFERROR(INDEX('إنهاء الخدمة'!$C$3:$C$502,2),"")</f>
        <v/>
      </c>
      <c r="D8" s="50">
        <f>IFERROR(INDEX('إنهاء الخدمة'!$D$3:$D$502,2),"")</f>
        <v/>
      </c>
      <c r="E8" s="119">
        <f>IFERROR(INDEX('إنهاء الخدمة'!$E$3:$E$502,2),"")</f>
        <v/>
      </c>
      <c r="F8" s="50">
        <f>IFERROR(INDEX('إنهاء الخدمة'!$F$3:$F$502,2),"")</f>
        <v/>
      </c>
      <c r="G8" s="50">
        <f>IFERROR(INDEX('إنهاء الخدمة'!$G$3:$G$502,2),"")</f>
        <v/>
      </c>
      <c r="H8" s="63">
        <f>IFERROR(INDEX('إنهاء الخدمة'!$I$3:$I$502,2),"")</f>
        <v/>
      </c>
      <c r="I8" s="50">
        <f>IFERROR(INDEX('إنهاء الخدمة'!$J$3:$J$502,2),"")</f>
        <v/>
      </c>
      <c r="J8" s="50">
        <f>IFERROR(INDEX('إنهاء الخدمة'!$K$3:$K$502,2),"")</f>
        <v/>
      </c>
    </row>
    <row r="9">
      <c r="A9" s="43">
        <f>IFERROR(INDEX('إنهاء الخدمة'!$A$3:$A$502,3),"")</f>
        <v/>
      </c>
      <c r="B9" s="43">
        <f>IFERROR(INDEX('إنهاء الخدمة'!$B$3:$B$502,3),"")</f>
        <v/>
      </c>
      <c r="C9" s="118">
        <f>IFERROR(INDEX('إنهاء الخدمة'!$C$3:$C$502,3),"")</f>
        <v/>
      </c>
      <c r="D9" s="43">
        <f>IFERROR(INDEX('إنهاء الخدمة'!$D$3:$D$502,3),"")</f>
        <v/>
      </c>
      <c r="E9" s="118">
        <f>IFERROR(INDEX('إنهاء الخدمة'!$E$3:$E$502,3),"")</f>
        <v/>
      </c>
      <c r="F9" s="43">
        <f>IFERROR(INDEX('إنهاء الخدمة'!$F$3:$F$502,3),"")</f>
        <v/>
      </c>
      <c r="G9" s="43">
        <f>IFERROR(INDEX('إنهاء الخدمة'!$G$3:$G$502,3),"")</f>
        <v/>
      </c>
      <c r="H9" s="60">
        <f>IFERROR(INDEX('إنهاء الخدمة'!$I$3:$I$502,3),"")</f>
        <v/>
      </c>
      <c r="I9" s="43">
        <f>IFERROR(INDEX('إنهاء الخدمة'!$J$3:$J$502,3),"")</f>
        <v/>
      </c>
      <c r="J9" s="43">
        <f>IFERROR(INDEX('إنهاء الخدمة'!$K$3:$K$502,3),"")</f>
        <v/>
      </c>
    </row>
    <row r="10">
      <c r="A10" s="50">
        <f>IFERROR(INDEX('إنهاء الخدمة'!$A$3:$A$502,4),"")</f>
        <v/>
      </c>
      <c r="B10" s="50">
        <f>IFERROR(INDEX('إنهاء الخدمة'!$B$3:$B$502,4),"")</f>
        <v/>
      </c>
      <c r="C10" s="119">
        <f>IFERROR(INDEX('إنهاء الخدمة'!$C$3:$C$502,4),"")</f>
        <v/>
      </c>
      <c r="D10" s="50">
        <f>IFERROR(INDEX('إنهاء الخدمة'!$D$3:$D$502,4),"")</f>
        <v/>
      </c>
      <c r="E10" s="119">
        <f>IFERROR(INDEX('إنهاء الخدمة'!$E$3:$E$502,4),"")</f>
        <v/>
      </c>
      <c r="F10" s="50">
        <f>IFERROR(INDEX('إنهاء الخدمة'!$F$3:$F$502,4),"")</f>
        <v/>
      </c>
      <c r="G10" s="50">
        <f>IFERROR(INDEX('إنهاء الخدمة'!$G$3:$G$502,4),"")</f>
        <v/>
      </c>
      <c r="H10" s="63">
        <f>IFERROR(INDEX('إنهاء الخدمة'!$I$3:$I$502,4),"")</f>
        <v/>
      </c>
      <c r="I10" s="50">
        <f>IFERROR(INDEX('إنهاء الخدمة'!$J$3:$J$502,4),"")</f>
        <v/>
      </c>
      <c r="J10" s="50">
        <f>IFERROR(INDEX('إنهاء الخدمة'!$K$3:$K$502,4),"")</f>
        <v/>
      </c>
    </row>
    <row r="11">
      <c r="A11" s="43">
        <f>IFERROR(INDEX('إنهاء الخدمة'!$A$3:$A$502,5),"")</f>
        <v/>
      </c>
      <c r="B11" s="43">
        <f>IFERROR(INDEX('إنهاء الخدمة'!$B$3:$B$502,5),"")</f>
        <v/>
      </c>
      <c r="C11" s="118">
        <f>IFERROR(INDEX('إنهاء الخدمة'!$C$3:$C$502,5),"")</f>
        <v/>
      </c>
      <c r="D11" s="43">
        <f>IFERROR(INDEX('إنهاء الخدمة'!$D$3:$D$502,5),"")</f>
        <v/>
      </c>
      <c r="E11" s="118">
        <f>IFERROR(INDEX('إنهاء الخدمة'!$E$3:$E$502,5),"")</f>
        <v/>
      </c>
      <c r="F11" s="43">
        <f>IFERROR(INDEX('إنهاء الخدمة'!$F$3:$F$502,5),"")</f>
        <v/>
      </c>
      <c r="G11" s="43">
        <f>IFERROR(INDEX('إنهاء الخدمة'!$G$3:$G$502,5),"")</f>
        <v/>
      </c>
      <c r="H11" s="60">
        <f>IFERROR(INDEX('إنهاء الخدمة'!$I$3:$I$502,5),"")</f>
        <v/>
      </c>
      <c r="I11" s="43">
        <f>IFERROR(INDEX('إنهاء الخدمة'!$J$3:$J$502,5),"")</f>
        <v/>
      </c>
      <c r="J11" s="43">
        <f>IFERROR(INDEX('إنهاء الخدمة'!$K$3:$K$502,5),"")</f>
        <v/>
      </c>
    </row>
    <row r="12">
      <c r="A12" s="50">
        <f>IFERROR(INDEX('إنهاء الخدمة'!$A$3:$A$502,6),"")</f>
        <v/>
      </c>
      <c r="B12" s="50">
        <f>IFERROR(INDEX('إنهاء الخدمة'!$B$3:$B$502,6),"")</f>
        <v/>
      </c>
      <c r="C12" s="119">
        <f>IFERROR(INDEX('إنهاء الخدمة'!$C$3:$C$502,6),"")</f>
        <v/>
      </c>
      <c r="D12" s="50">
        <f>IFERROR(INDEX('إنهاء الخدمة'!$D$3:$D$502,6),"")</f>
        <v/>
      </c>
      <c r="E12" s="119">
        <f>IFERROR(INDEX('إنهاء الخدمة'!$E$3:$E$502,6),"")</f>
        <v/>
      </c>
      <c r="F12" s="50">
        <f>IFERROR(INDEX('إنهاء الخدمة'!$F$3:$F$502,6),"")</f>
        <v/>
      </c>
      <c r="G12" s="50">
        <f>IFERROR(INDEX('إنهاء الخدمة'!$G$3:$G$502,6),"")</f>
        <v/>
      </c>
      <c r="H12" s="63">
        <f>IFERROR(INDEX('إنهاء الخدمة'!$I$3:$I$502,6),"")</f>
        <v/>
      </c>
      <c r="I12" s="50">
        <f>IFERROR(INDEX('إنهاء الخدمة'!$J$3:$J$502,6),"")</f>
        <v/>
      </c>
      <c r="J12" s="50">
        <f>IFERROR(INDEX('إنهاء الخدمة'!$K$3:$K$502,6),"")</f>
        <v/>
      </c>
    </row>
    <row r="13">
      <c r="A13" s="43">
        <f>IFERROR(INDEX('إنهاء الخدمة'!$A$3:$A$502,7),"")</f>
        <v/>
      </c>
      <c r="B13" s="43">
        <f>IFERROR(INDEX('إنهاء الخدمة'!$B$3:$B$502,7),"")</f>
        <v/>
      </c>
      <c r="C13" s="118">
        <f>IFERROR(INDEX('إنهاء الخدمة'!$C$3:$C$502,7),"")</f>
        <v/>
      </c>
      <c r="D13" s="43">
        <f>IFERROR(INDEX('إنهاء الخدمة'!$D$3:$D$502,7),"")</f>
        <v/>
      </c>
      <c r="E13" s="118">
        <f>IFERROR(INDEX('إنهاء الخدمة'!$E$3:$E$502,7),"")</f>
        <v/>
      </c>
      <c r="F13" s="43">
        <f>IFERROR(INDEX('إنهاء الخدمة'!$F$3:$F$502,7),"")</f>
        <v/>
      </c>
      <c r="G13" s="43">
        <f>IFERROR(INDEX('إنهاء الخدمة'!$G$3:$G$502,7),"")</f>
        <v/>
      </c>
      <c r="H13" s="60">
        <f>IFERROR(INDEX('إنهاء الخدمة'!$I$3:$I$502,7),"")</f>
        <v/>
      </c>
      <c r="I13" s="43">
        <f>IFERROR(INDEX('إنهاء الخدمة'!$J$3:$J$502,7),"")</f>
        <v/>
      </c>
      <c r="J13" s="43">
        <f>IFERROR(INDEX('إنهاء الخدمة'!$K$3:$K$502,7),"")</f>
        <v/>
      </c>
    </row>
    <row r="14">
      <c r="A14" s="50">
        <f>IFERROR(INDEX('إنهاء الخدمة'!$A$3:$A$502,8),"")</f>
        <v/>
      </c>
      <c r="B14" s="50">
        <f>IFERROR(INDEX('إنهاء الخدمة'!$B$3:$B$502,8),"")</f>
        <v/>
      </c>
      <c r="C14" s="119">
        <f>IFERROR(INDEX('إنهاء الخدمة'!$C$3:$C$502,8),"")</f>
        <v/>
      </c>
      <c r="D14" s="50">
        <f>IFERROR(INDEX('إنهاء الخدمة'!$D$3:$D$502,8),"")</f>
        <v/>
      </c>
      <c r="E14" s="119">
        <f>IFERROR(INDEX('إنهاء الخدمة'!$E$3:$E$502,8),"")</f>
        <v/>
      </c>
      <c r="F14" s="50">
        <f>IFERROR(INDEX('إنهاء الخدمة'!$F$3:$F$502,8),"")</f>
        <v/>
      </c>
      <c r="G14" s="50">
        <f>IFERROR(INDEX('إنهاء الخدمة'!$G$3:$G$502,8),"")</f>
        <v/>
      </c>
      <c r="H14" s="63">
        <f>IFERROR(INDEX('إنهاء الخدمة'!$I$3:$I$502,8),"")</f>
        <v/>
      </c>
      <c r="I14" s="50">
        <f>IFERROR(INDEX('إنهاء الخدمة'!$J$3:$J$502,8),"")</f>
        <v/>
      </c>
      <c r="J14" s="50">
        <f>IFERROR(INDEX('إنهاء الخدمة'!$K$3:$K$502,8),"")</f>
        <v/>
      </c>
    </row>
    <row r="15">
      <c r="A15" s="43">
        <f>IFERROR(INDEX('إنهاء الخدمة'!$A$3:$A$502,9),"")</f>
        <v/>
      </c>
      <c r="B15" s="43">
        <f>IFERROR(INDEX('إنهاء الخدمة'!$B$3:$B$502,9),"")</f>
        <v/>
      </c>
      <c r="C15" s="118">
        <f>IFERROR(INDEX('إنهاء الخدمة'!$C$3:$C$502,9),"")</f>
        <v/>
      </c>
      <c r="D15" s="43">
        <f>IFERROR(INDEX('إنهاء الخدمة'!$D$3:$D$502,9),"")</f>
        <v/>
      </c>
      <c r="E15" s="118">
        <f>IFERROR(INDEX('إنهاء الخدمة'!$E$3:$E$502,9),"")</f>
        <v/>
      </c>
      <c r="F15" s="43">
        <f>IFERROR(INDEX('إنهاء الخدمة'!$F$3:$F$502,9),"")</f>
        <v/>
      </c>
      <c r="G15" s="43">
        <f>IFERROR(INDEX('إنهاء الخدمة'!$G$3:$G$502,9),"")</f>
        <v/>
      </c>
      <c r="H15" s="60">
        <f>IFERROR(INDEX('إنهاء الخدمة'!$I$3:$I$502,9),"")</f>
        <v/>
      </c>
      <c r="I15" s="43">
        <f>IFERROR(INDEX('إنهاء الخدمة'!$J$3:$J$502,9),"")</f>
        <v/>
      </c>
      <c r="J15" s="43">
        <f>IFERROR(INDEX('إنهاء الخدمة'!$K$3:$K$502,9),"")</f>
        <v/>
      </c>
    </row>
    <row r="16">
      <c r="A16" s="50">
        <f>IFERROR(INDEX('إنهاء الخدمة'!$A$3:$A$502,10),"")</f>
        <v/>
      </c>
      <c r="B16" s="50">
        <f>IFERROR(INDEX('إنهاء الخدمة'!$B$3:$B$502,10),"")</f>
        <v/>
      </c>
      <c r="C16" s="119">
        <f>IFERROR(INDEX('إنهاء الخدمة'!$C$3:$C$502,10),"")</f>
        <v/>
      </c>
      <c r="D16" s="50">
        <f>IFERROR(INDEX('إنهاء الخدمة'!$D$3:$D$502,10),"")</f>
        <v/>
      </c>
      <c r="E16" s="119">
        <f>IFERROR(INDEX('إنهاء الخدمة'!$E$3:$E$502,10),"")</f>
        <v/>
      </c>
      <c r="F16" s="50">
        <f>IFERROR(INDEX('إنهاء الخدمة'!$F$3:$F$502,10),"")</f>
        <v/>
      </c>
      <c r="G16" s="50">
        <f>IFERROR(INDEX('إنهاء الخدمة'!$G$3:$G$502,10),"")</f>
        <v/>
      </c>
      <c r="H16" s="63">
        <f>IFERROR(INDEX('إنهاء الخدمة'!$I$3:$I$502,10),"")</f>
        <v/>
      </c>
      <c r="I16" s="50">
        <f>IFERROR(INDEX('إنهاء الخدمة'!$J$3:$J$502,10),"")</f>
        <v/>
      </c>
      <c r="J16" s="50">
        <f>IFERROR(INDEX('إنهاء الخدمة'!$K$3:$K$502,10),"")</f>
        <v/>
      </c>
    </row>
    <row r="17">
      <c r="A17" s="43">
        <f>IFERROR(INDEX('إنهاء الخدمة'!$A$3:$A$502,11),"")</f>
        <v/>
      </c>
      <c r="B17" s="43">
        <f>IFERROR(INDEX('إنهاء الخدمة'!$B$3:$B$502,11),"")</f>
        <v/>
      </c>
      <c r="C17" s="118">
        <f>IFERROR(INDEX('إنهاء الخدمة'!$C$3:$C$502,11),"")</f>
        <v/>
      </c>
      <c r="D17" s="43">
        <f>IFERROR(INDEX('إنهاء الخدمة'!$D$3:$D$502,11),"")</f>
        <v/>
      </c>
      <c r="E17" s="118">
        <f>IFERROR(INDEX('إنهاء الخدمة'!$E$3:$E$502,11),"")</f>
        <v/>
      </c>
      <c r="F17" s="43">
        <f>IFERROR(INDEX('إنهاء الخدمة'!$F$3:$F$502,11),"")</f>
        <v/>
      </c>
      <c r="G17" s="43">
        <f>IFERROR(INDEX('إنهاء الخدمة'!$G$3:$G$502,11),"")</f>
        <v/>
      </c>
      <c r="H17" s="60">
        <f>IFERROR(INDEX('إنهاء الخدمة'!$I$3:$I$502,11),"")</f>
        <v/>
      </c>
      <c r="I17" s="43">
        <f>IFERROR(INDEX('إنهاء الخدمة'!$J$3:$J$502,11),"")</f>
        <v/>
      </c>
      <c r="J17" s="43">
        <f>IFERROR(INDEX('إنهاء الخدمة'!$K$3:$K$502,11),"")</f>
        <v/>
      </c>
    </row>
    <row r="18">
      <c r="A18" s="50">
        <f>IFERROR(INDEX('إنهاء الخدمة'!$A$3:$A$502,12),"")</f>
        <v/>
      </c>
      <c r="B18" s="50">
        <f>IFERROR(INDEX('إنهاء الخدمة'!$B$3:$B$502,12),"")</f>
        <v/>
      </c>
      <c r="C18" s="119">
        <f>IFERROR(INDEX('إنهاء الخدمة'!$C$3:$C$502,12),"")</f>
        <v/>
      </c>
      <c r="D18" s="50">
        <f>IFERROR(INDEX('إنهاء الخدمة'!$D$3:$D$502,12),"")</f>
        <v/>
      </c>
      <c r="E18" s="119">
        <f>IFERROR(INDEX('إنهاء الخدمة'!$E$3:$E$502,12),"")</f>
        <v/>
      </c>
      <c r="F18" s="50">
        <f>IFERROR(INDEX('إنهاء الخدمة'!$F$3:$F$502,12),"")</f>
        <v/>
      </c>
      <c r="G18" s="50">
        <f>IFERROR(INDEX('إنهاء الخدمة'!$G$3:$G$502,12),"")</f>
        <v/>
      </c>
      <c r="H18" s="63">
        <f>IFERROR(INDEX('إنهاء الخدمة'!$I$3:$I$502,12),"")</f>
        <v/>
      </c>
      <c r="I18" s="50">
        <f>IFERROR(INDEX('إنهاء الخدمة'!$J$3:$J$502,12),"")</f>
        <v/>
      </c>
      <c r="J18" s="50">
        <f>IFERROR(INDEX('إنهاء الخدمة'!$K$3:$K$502,12),"")</f>
        <v/>
      </c>
    </row>
    <row r="19">
      <c r="A19" s="43">
        <f>IFERROR(INDEX('إنهاء الخدمة'!$A$3:$A$502,13),"")</f>
        <v/>
      </c>
      <c r="B19" s="43">
        <f>IFERROR(INDEX('إنهاء الخدمة'!$B$3:$B$502,13),"")</f>
        <v/>
      </c>
      <c r="C19" s="118">
        <f>IFERROR(INDEX('إنهاء الخدمة'!$C$3:$C$502,13),"")</f>
        <v/>
      </c>
      <c r="D19" s="43">
        <f>IFERROR(INDEX('إنهاء الخدمة'!$D$3:$D$502,13),"")</f>
        <v/>
      </c>
      <c r="E19" s="118">
        <f>IFERROR(INDEX('إنهاء الخدمة'!$E$3:$E$502,13),"")</f>
        <v/>
      </c>
      <c r="F19" s="43">
        <f>IFERROR(INDEX('إنهاء الخدمة'!$F$3:$F$502,13),"")</f>
        <v/>
      </c>
      <c r="G19" s="43">
        <f>IFERROR(INDEX('إنهاء الخدمة'!$G$3:$G$502,13),"")</f>
        <v/>
      </c>
      <c r="H19" s="60">
        <f>IFERROR(INDEX('إنهاء الخدمة'!$I$3:$I$502,13),"")</f>
        <v/>
      </c>
      <c r="I19" s="43">
        <f>IFERROR(INDEX('إنهاء الخدمة'!$J$3:$J$502,13),"")</f>
        <v/>
      </c>
      <c r="J19" s="43">
        <f>IFERROR(INDEX('إنهاء الخدمة'!$K$3:$K$502,13),"")</f>
        <v/>
      </c>
    </row>
    <row r="20">
      <c r="A20" s="50">
        <f>IFERROR(INDEX('إنهاء الخدمة'!$A$3:$A$502,14),"")</f>
        <v/>
      </c>
      <c r="B20" s="50">
        <f>IFERROR(INDEX('إنهاء الخدمة'!$B$3:$B$502,14),"")</f>
        <v/>
      </c>
      <c r="C20" s="119">
        <f>IFERROR(INDEX('إنهاء الخدمة'!$C$3:$C$502,14),"")</f>
        <v/>
      </c>
      <c r="D20" s="50">
        <f>IFERROR(INDEX('إنهاء الخدمة'!$D$3:$D$502,14),"")</f>
        <v/>
      </c>
      <c r="E20" s="119">
        <f>IFERROR(INDEX('إنهاء الخدمة'!$E$3:$E$502,14),"")</f>
        <v/>
      </c>
      <c r="F20" s="50">
        <f>IFERROR(INDEX('إنهاء الخدمة'!$F$3:$F$502,14),"")</f>
        <v/>
      </c>
      <c r="G20" s="50">
        <f>IFERROR(INDEX('إنهاء الخدمة'!$G$3:$G$502,14),"")</f>
        <v/>
      </c>
      <c r="H20" s="63">
        <f>IFERROR(INDEX('إنهاء الخدمة'!$I$3:$I$502,14),"")</f>
        <v/>
      </c>
      <c r="I20" s="50">
        <f>IFERROR(INDEX('إنهاء الخدمة'!$J$3:$J$502,14),"")</f>
        <v/>
      </c>
      <c r="J20" s="50">
        <f>IFERROR(INDEX('إنهاء الخدمة'!$K$3:$K$502,14),"")</f>
        <v/>
      </c>
    </row>
    <row r="21">
      <c r="A21" s="43">
        <f>IFERROR(INDEX('إنهاء الخدمة'!$A$3:$A$502,15),"")</f>
        <v/>
      </c>
      <c r="B21" s="43">
        <f>IFERROR(INDEX('إنهاء الخدمة'!$B$3:$B$502,15),"")</f>
        <v/>
      </c>
      <c r="C21" s="118">
        <f>IFERROR(INDEX('إنهاء الخدمة'!$C$3:$C$502,15),"")</f>
        <v/>
      </c>
      <c r="D21" s="43">
        <f>IFERROR(INDEX('إنهاء الخدمة'!$D$3:$D$502,15),"")</f>
        <v/>
      </c>
      <c r="E21" s="118">
        <f>IFERROR(INDEX('إنهاء الخدمة'!$E$3:$E$502,15),"")</f>
        <v/>
      </c>
      <c r="F21" s="43">
        <f>IFERROR(INDEX('إنهاء الخدمة'!$F$3:$F$502,15),"")</f>
        <v/>
      </c>
      <c r="G21" s="43">
        <f>IFERROR(INDEX('إنهاء الخدمة'!$G$3:$G$502,15),"")</f>
        <v/>
      </c>
      <c r="H21" s="60">
        <f>IFERROR(INDEX('إنهاء الخدمة'!$I$3:$I$502,15),"")</f>
        <v/>
      </c>
      <c r="I21" s="43">
        <f>IFERROR(INDEX('إنهاء الخدمة'!$J$3:$J$502,15),"")</f>
        <v/>
      </c>
      <c r="J21" s="43">
        <f>IFERROR(INDEX('إنهاء الخدمة'!$K$3:$K$502,15),"")</f>
        <v/>
      </c>
    </row>
    <row r="22">
      <c r="A22" s="50">
        <f>IFERROR(INDEX('إنهاء الخدمة'!$A$3:$A$502,16),"")</f>
        <v/>
      </c>
      <c r="B22" s="50">
        <f>IFERROR(INDEX('إنهاء الخدمة'!$B$3:$B$502,16),"")</f>
        <v/>
      </c>
      <c r="C22" s="119">
        <f>IFERROR(INDEX('إنهاء الخدمة'!$C$3:$C$502,16),"")</f>
        <v/>
      </c>
      <c r="D22" s="50">
        <f>IFERROR(INDEX('إنهاء الخدمة'!$D$3:$D$502,16),"")</f>
        <v/>
      </c>
      <c r="E22" s="119">
        <f>IFERROR(INDEX('إنهاء الخدمة'!$E$3:$E$502,16),"")</f>
        <v/>
      </c>
      <c r="F22" s="50">
        <f>IFERROR(INDEX('إنهاء الخدمة'!$F$3:$F$502,16),"")</f>
        <v/>
      </c>
      <c r="G22" s="50">
        <f>IFERROR(INDEX('إنهاء الخدمة'!$G$3:$G$502,16),"")</f>
        <v/>
      </c>
      <c r="H22" s="63">
        <f>IFERROR(INDEX('إنهاء الخدمة'!$I$3:$I$502,16),"")</f>
        <v/>
      </c>
      <c r="I22" s="50">
        <f>IFERROR(INDEX('إنهاء الخدمة'!$J$3:$J$502,16),"")</f>
        <v/>
      </c>
      <c r="J22" s="50">
        <f>IFERROR(INDEX('إنهاء الخدمة'!$K$3:$K$502,16),"")</f>
        <v/>
      </c>
    </row>
    <row r="23">
      <c r="A23" s="43">
        <f>IFERROR(INDEX('إنهاء الخدمة'!$A$3:$A$502,17),"")</f>
        <v/>
      </c>
      <c r="B23" s="43">
        <f>IFERROR(INDEX('إنهاء الخدمة'!$B$3:$B$502,17),"")</f>
        <v/>
      </c>
      <c r="C23" s="118">
        <f>IFERROR(INDEX('إنهاء الخدمة'!$C$3:$C$502,17),"")</f>
        <v/>
      </c>
      <c r="D23" s="43">
        <f>IFERROR(INDEX('إنهاء الخدمة'!$D$3:$D$502,17),"")</f>
        <v/>
      </c>
      <c r="E23" s="118">
        <f>IFERROR(INDEX('إنهاء الخدمة'!$E$3:$E$502,17),"")</f>
        <v/>
      </c>
      <c r="F23" s="43">
        <f>IFERROR(INDEX('إنهاء الخدمة'!$F$3:$F$502,17),"")</f>
        <v/>
      </c>
      <c r="G23" s="43">
        <f>IFERROR(INDEX('إنهاء الخدمة'!$G$3:$G$502,17),"")</f>
        <v/>
      </c>
      <c r="H23" s="60">
        <f>IFERROR(INDEX('إنهاء الخدمة'!$I$3:$I$502,17),"")</f>
        <v/>
      </c>
      <c r="I23" s="43">
        <f>IFERROR(INDEX('إنهاء الخدمة'!$J$3:$J$502,17),"")</f>
        <v/>
      </c>
      <c r="J23" s="43">
        <f>IFERROR(INDEX('إنهاء الخدمة'!$K$3:$K$502,17),"")</f>
        <v/>
      </c>
    </row>
    <row r="24">
      <c r="A24" s="50">
        <f>IFERROR(INDEX('إنهاء الخدمة'!$A$3:$A$502,18),"")</f>
        <v/>
      </c>
      <c r="B24" s="50">
        <f>IFERROR(INDEX('إنهاء الخدمة'!$B$3:$B$502,18),"")</f>
        <v/>
      </c>
      <c r="C24" s="119">
        <f>IFERROR(INDEX('إنهاء الخدمة'!$C$3:$C$502,18),"")</f>
        <v/>
      </c>
      <c r="D24" s="50">
        <f>IFERROR(INDEX('إنهاء الخدمة'!$D$3:$D$502,18),"")</f>
        <v/>
      </c>
      <c r="E24" s="119">
        <f>IFERROR(INDEX('إنهاء الخدمة'!$E$3:$E$502,18),"")</f>
        <v/>
      </c>
      <c r="F24" s="50">
        <f>IFERROR(INDEX('إنهاء الخدمة'!$F$3:$F$502,18),"")</f>
        <v/>
      </c>
      <c r="G24" s="50">
        <f>IFERROR(INDEX('إنهاء الخدمة'!$G$3:$G$502,18),"")</f>
        <v/>
      </c>
      <c r="H24" s="63">
        <f>IFERROR(INDEX('إنهاء الخدمة'!$I$3:$I$502,18),"")</f>
        <v/>
      </c>
      <c r="I24" s="50">
        <f>IFERROR(INDEX('إنهاء الخدمة'!$J$3:$J$502,18),"")</f>
        <v/>
      </c>
      <c r="J24" s="50">
        <f>IFERROR(INDEX('إنهاء الخدمة'!$K$3:$K$502,18),"")</f>
        <v/>
      </c>
    </row>
    <row r="25">
      <c r="A25" s="43">
        <f>IFERROR(INDEX('إنهاء الخدمة'!$A$3:$A$502,19),"")</f>
        <v/>
      </c>
      <c r="B25" s="43">
        <f>IFERROR(INDEX('إنهاء الخدمة'!$B$3:$B$502,19),"")</f>
        <v/>
      </c>
      <c r="C25" s="118">
        <f>IFERROR(INDEX('إنهاء الخدمة'!$C$3:$C$502,19),"")</f>
        <v/>
      </c>
      <c r="D25" s="43">
        <f>IFERROR(INDEX('إنهاء الخدمة'!$D$3:$D$502,19),"")</f>
        <v/>
      </c>
      <c r="E25" s="118">
        <f>IFERROR(INDEX('إنهاء الخدمة'!$E$3:$E$502,19),"")</f>
        <v/>
      </c>
      <c r="F25" s="43">
        <f>IFERROR(INDEX('إنهاء الخدمة'!$F$3:$F$502,19),"")</f>
        <v/>
      </c>
      <c r="G25" s="43">
        <f>IFERROR(INDEX('إنهاء الخدمة'!$G$3:$G$502,19),"")</f>
        <v/>
      </c>
      <c r="H25" s="60">
        <f>IFERROR(INDEX('إنهاء الخدمة'!$I$3:$I$502,19),"")</f>
        <v/>
      </c>
      <c r="I25" s="43">
        <f>IFERROR(INDEX('إنهاء الخدمة'!$J$3:$J$502,19),"")</f>
        <v/>
      </c>
      <c r="J25" s="43">
        <f>IFERROR(INDEX('إنهاء الخدمة'!$K$3:$K$502,19),"")</f>
        <v/>
      </c>
    </row>
    <row r="26">
      <c r="A26" s="50">
        <f>IFERROR(INDEX('إنهاء الخدمة'!$A$3:$A$502,20),"")</f>
        <v/>
      </c>
      <c r="B26" s="50">
        <f>IFERROR(INDEX('إنهاء الخدمة'!$B$3:$B$502,20),"")</f>
        <v/>
      </c>
      <c r="C26" s="119">
        <f>IFERROR(INDEX('إنهاء الخدمة'!$C$3:$C$502,20),"")</f>
        <v/>
      </c>
      <c r="D26" s="50">
        <f>IFERROR(INDEX('إنهاء الخدمة'!$D$3:$D$502,20),"")</f>
        <v/>
      </c>
      <c r="E26" s="119">
        <f>IFERROR(INDEX('إنهاء الخدمة'!$E$3:$E$502,20),"")</f>
        <v/>
      </c>
      <c r="F26" s="50">
        <f>IFERROR(INDEX('إنهاء الخدمة'!$F$3:$F$502,20),"")</f>
        <v/>
      </c>
      <c r="G26" s="50">
        <f>IFERROR(INDEX('إنهاء الخدمة'!$G$3:$G$502,20),"")</f>
        <v/>
      </c>
      <c r="H26" s="63">
        <f>IFERROR(INDEX('إنهاء الخدمة'!$I$3:$I$502,20),"")</f>
        <v/>
      </c>
      <c r="I26" s="50">
        <f>IFERROR(INDEX('إنهاء الخدمة'!$J$3:$J$502,20),"")</f>
        <v/>
      </c>
      <c r="J26" s="50">
        <f>IFERROR(INDEX('إنهاء الخدمة'!$K$3:$K$502,20),"")</f>
        <v/>
      </c>
    </row>
    <row r="27">
      <c r="A27" s="43">
        <f>IFERROR(INDEX('إنهاء الخدمة'!$A$3:$A$502,21),"")</f>
        <v/>
      </c>
      <c r="B27" s="43">
        <f>IFERROR(INDEX('إنهاء الخدمة'!$B$3:$B$502,21),"")</f>
        <v/>
      </c>
      <c r="C27" s="118">
        <f>IFERROR(INDEX('إنهاء الخدمة'!$C$3:$C$502,21),"")</f>
        <v/>
      </c>
      <c r="D27" s="43">
        <f>IFERROR(INDEX('إنهاء الخدمة'!$D$3:$D$502,21),"")</f>
        <v/>
      </c>
      <c r="E27" s="118">
        <f>IFERROR(INDEX('إنهاء الخدمة'!$E$3:$E$502,21),"")</f>
        <v/>
      </c>
      <c r="F27" s="43">
        <f>IFERROR(INDEX('إنهاء الخدمة'!$F$3:$F$502,21),"")</f>
        <v/>
      </c>
      <c r="G27" s="43">
        <f>IFERROR(INDEX('إنهاء الخدمة'!$G$3:$G$502,21),"")</f>
        <v/>
      </c>
      <c r="H27" s="60">
        <f>IFERROR(INDEX('إنهاء الخدمة'!$I$3:$I$502,21),"")</f>
        <v/>
      </c>
      <c r="I27" s="43">
        <f>IFERROR(INDEX('إنهاء الخدمة'!$J$3:$J$502,21),"")</f>
        <v/>
      </c>
      <c r="J27" s="43">
        <f>IFERROR(INDEX('إنهاء الخدمة'!$K$3:$K$502,21),"")</f>
        <v/>
      </c>
    </row>
    <row r="28">
      <c r="A28" s="50">
        <f>IFERROR(INDEX('إنهاء الخدمة'!$A$3:$A$502,22),"")</f>
        <v/>
      </c>
      <c r="B28" s="50">
        <f>IFERROR(INDEX('إنهاء الخدمة'!$B$3:$B$502,22),"")</f>
        <v/>
      </c>
      <c r="C28" s="119">
        <f>IFERROR(INDEX('إنهاء الخدمة'!$C$3:$C$502,22),"")</f>
        <v/>
      </c>
      <c r="D28" s="50">
        <f>IFERROR(INDEX('إنهاء الخدمة'!$D$3:$D$502,22),"")</f>
        <v/>
      </c>
      <c r="E28" s="119">
        <f>IFERROR(INDEX('إنهاء الخدمة'!$E$3:$E$502,22),"")</f>
        <v/>
      </c>
      <c r="F28" s="50">
        <f>IFERROR(INDEX('إنهاء الخدمة'!$F$3:$F$502,22),"")</f>
        <v/>
      </c>
      <c r="G28" s="50">
        <f>IFERROR(INDEX('إنهاء الخدمة'!$G$3:$G$502,22),"")</f>
        <v/>
      </c>
      <c r="H28" s="63">
        <f>IFERROR(INDEX('إنهاء الخدمة'!$I$3:$I$502,22),"")</f>
        <v/>
      </c>
      <c r="I28" s="50">
        <f>IFERROR(INDEX('إنهاء الخدمة'!$J$3:$J$502,22),"")</f>
        <v/>
      </c>
      <c r="J28" s="50">
        <f>IFERROR(INDEX('إنهاء الخدمة'!$K$3:$K$502,22),"")</f>
        <v/>
      </c>
    </row>
    <row r="29">
      <c r="A29" s="43">
        <f>IFERROR(INDEX('إنهاء الخدمة'!$A$3:$A$502,23),"")</f>
        <v/>
      </c>
      <c r="B29" s="43">
        <f>IFERROR(INDEX('إنهاء الخدمة'!$B$3:$B$502,23),"")</f>
        <v/>
      </c>
      <c r="C29" s="118">
        <f>IFERROR(INDEX('إنهاء الخدمة'!$C$3:$C$502,23),"")</f>
        <v/>
      </c>
      <c r="D29" s="43">
        <f>IFERROR(INDEX('إنهاء الخدمة'!$D$3:$D$502,23),"")</f>
        <v/>
      </c>
      <c r="E29" s="118">
        <f>IFERROR(INDEX('إنهاء الخدمة'!$E$3:$E$502,23),"")</f>
        <v/>
      </c>
      <c r="F29" s="43">
        <f>IFERROR(INDEX('إنهاء الخدمة'!$F$3:$F$502,23),"")</f>
        <v/>
      </c>
      <c r="G29" s="43">
        <f>IFERROR(INDEX('إنهاء الخدمة'!$G$3:$G$502,23),"")</f>
        <v/>
      </c>
      <c r="H29" s="60">
        <f>IFERROR(INDEX('إنهاء الخدمة'!$I$3:$I$502,23),"")</f>
        <v/>
      </c>
      <c r="I29" s="43">
        <f>IFERROR(INDEX('إنهاء الخدمة'!$J$3:$J$502,23),"")</f>
        <v/>
      </c>
      <c r="J29" s="43">
        <f>IFERROR(INDEX('إنهاء الخدمة'!$K$3:$K$502,23),"")</f>
        <v/>
      </c>
    </row>
    <row r="30">
      <c r="A30" s="50">
        <f>IFERROR(INDEX('إنهاء الخدمة'!$A$3:$A$502,24),"")</f>
        <v/>
      </c>
      <c r="B30" s="50">
        <f>IFERROR(INDEX('إنهاء الخدمة'!$B$3:$B$502,24),"")</f>
        <v/>
      </c>
      <c r="C30" s="119">
        <f>IFERROR(INDEX('إنهاء الخدمة'!$C$3:$C$502,24),"")</f>
        <v/>
      </c>
      <c r="D30" s="50">
        <f>IFERROR(INDEX('إنهاء الخدمة'!$D$3:$D$502,24),"")</f>
        <v/>
      </c>
      <c r="E30" s="119">
        <f>IFERROR(INDEX('إنهاء الخدمة'!$E$3:$E$502,24),"")</f>
        <v/>
      </c>
      <c r="F30" s="50">
        <f>IFERROR(INDEX('إنهاء الخدمة'!$F$3:$F$502,24),"")</f>
        <v/>
      </c>
      <c r="G30" s="50">
        <f>IFERROR(INDEX('إنهاء الخدمة'!$G$3:$G$502,24),"")</f>
        <v/>
      </c>
      <c r="H30" s="63">
        <f>IFERROR(INDEX('إنهاء الخدمة'!$I$3:$I$502,24),"")</f>
        <v/>
      </c>
      <c r="I30" s="50">
        <f>IFERROR(INDEX('إنهاء الخدمة'!$J$3:$J$502,24),"")</f>
        <v/>
      </c>
      <c r="J30" s="50">
        <f>IFERROR(INDEX('إنهاء الخدمة'!$K$3:$K$502,24),"")</f>
        <v/>
      </c>
    </row>
    <row r="31">
      <c r="A31" s="43">
        <f>IFERROR(INDEX('إنهاء الخدمة'!$A$3:$A$502,25),"")</f>
        <v/>
      </c>
      <c r="B31" s="43">
        <f>IFERROR(INDEX('إنهاء الخدمة'!$B$3:$B$502,25),"")</f>
        <v/>
      </c>
      <c r="C31" s="118">
        <f>IFERROR(INDEX('إنهاء الخدمة'!$C$3:$C$502,25),"")</f>
        <v/>
      </c>
      <c r="D31" s="43">
        <f>IFERROR(INDEX('إنهاء الخدمة'!$D$3:$D$502,25),"")</f>
        <v/>
      </c>
      <c r="E31" s="118">
        <f>IFERROR(INDEX('إنهاء الخدمة'!$E$3:$E$502,25),"")</f>
        <v/>
      </c>
      <c r="F31" s="43">
        <f>IFERROR(INDEX('إنهاء الخدمة'!$F$3:$F$502,25),"")</f>
        <v/>
      </c>
      <c r="G31" s="43">
        <f>IFERROR(INDEX('إنهاء الخدمة'!$G$3:$G$502,25),"")</f>
        <v/>
      </c>
      <c r="H31" s="60">
        <f>IFERROR(INDEX('إنهاء الخدمة'!$I$3:$I$502,25),"")</f>
        <v/>
      </c>
      <c r="I31" s="43">
        <f>IFERROR(INDEX('إنهاء الخدمة'!$J$3:$J$502,25),"")</f>
        <v/>
      </c>
      <c r="J31" s="43">
        <f>IFERROR(INDEX('إنهاء الخدمة'!$K$3:$K$502,25),"")</f>
        <v/>
      </c>
    </row>
    <row r="32">
      <c r="A32" s="50">
        <f>IFERROR(INDEX('إنهاء الخدمة'!$A$3:$A$502,26),"")</f>
        <v/>
      </c>
      <c r="B32" s="50">
        <f>IFERROR(INDEX('إنهاء الخدمة'!$B$3:$B$502,26),"")</f>
        <v/>
      </c>
      <c r="C32" s="119">
        <f>IFERROR(INDEX('إنهاء الخدمة'!$C$3:$C$502,26),"")</f>
        <v/>
      </c>
      <c r="D32" s="50">
        <f>IFERROR(INDEX('إنهاء الخدمة'!$D$3:$D$502,26),"")</f>
        <v/>
      </c>
      <c r="E32" s="119">
        <f>IFERROR(INDEX('إنهاء الخدمة'!$E$3:$E$502,26),"")</f>
        <v/>
      </c>
      <c r="F32" s="50">
        <f>IFERROR(INDEX('إنهاء الخدمة'!$F$3:$F$502,26),"")</f>
        <v/>
      </c>
      <c r="G32" s="50">
        <f>IFERROR(INDEX('إنهاء الخدمة'!$G$3:$G$502,26),"")</f>
        <v/>
      </c>
      <c r="H32" s="63">
        <f>IFERROR(INDEX('إنهاء الخدمة'!$I$3:$I$502,26),"")</f>
        <v/>
      </c>
      <c r="I32" s="50">
        <f>IFERROR(INDEX('إنهاء الخدمة'!$J$3:$J$502,26),"")</f>
        <v/>
      </c>
      <c r="J32" s="50">
        <f>IFERROR(INDEX('إنهاء الخدمة'!$K$3:$K$502,26),"")</f>
        <v/>
      </c>
    </row>
    <row r="33">
      <c r="A33" s="43">
        <f>IFERROR(INDEX('إنهاء الخدمة'!$A$3:$A$502,27),"")</f>
        <v/>
      </c>
      <c r="B33" s="43">
        <f>IFERROR(INDEX('إنهاء الخدمة'!$B$3:$B$502,27),"")</f>
        <v/>
      </c>
      <c r="C33" s="118">
        <f>IFERROR(INDEX('إنهاء الخدمة'!$C$3:$C$502,27),"")</f>
        <v/>
      </c>
      <c r="D33" s="43">
        <f>IFERROR(INDEX('إنهاء الخدمة'!$D$3:$D$502,27),"")</f>
        <v/>
      </c>
      <c r="E33" s="118">
        <f>IFERROR(INDEX('إنهاء الخدمة'!$E$3:$E$502,27),"")</f>
        <v/>
      </c>
      <c r="F33" s="43">
        <f>IFERROR(INDEX('إنهاء الخدمة'!$F$3:$F$502,27),"")</f>
        <v/>
      </c>
      <c r="G33" s="43">
        <f>IFERROR(INDEX('إنهاء الخدمة'!$G$3:$G$502,27),"")</f>
        <v/>
      </c>
      <c r="H33" s="60">
        <f>IFERROR(INDEX('إنهاء الخدمة'!$I$3:$I$502,27),"")</f>
        <v/>
      </c>
      <c r="I33" s="43">
        <f>IFERROR(INDEX('إنهاء الخدمة'!$J$3:$J$502,27),"")</f>
        <v/>
      </c>
      <c r="J33" s="43">
        <f>IFERROR(INDEX('إنهاء الخدمة'!$K$3:$K$502,27),"")</f>
        <v/>
      </c>
    </row>
    <row r="34">
      <c r="A34" s="50">
        <f>IFERROR(INDEX('إنهاء الخدمة'!$A$3:$A$502,28),"")</f>
        <v/>
      </c>
      <c r="B34" s="50">
        <f>IFERROR(INDEX('إنهاء الخدمة'!$B$3:$B$502,28),"")</f>
        <v/>
      </c>
      <c r="C34" s="119">
        <f>IFERROR(INDEX('إنهاء الخدمة'!$C$3:$C$502,28),"")</f>
        <v/>
      </c>
      <c r="D34" s="50">
        <f>IFERROR(INDEX('إنهاء الخدمة'!$D$3:$D$502,28),"")</f>
        <v/>
      </c>
      <c r="E34" s="119">
        <f>IFERROR(INDEX('إنهاء الخدمة'!$E$3:$E$502,28),"")</f>
        <v/>
      </c>
      <c r="F34" s="50">
        <f>IFERROR(INDEX('إنهاء الخدمة'!$F$3:$F$502,28),"")</f>
        <v/>
      </c>
      <c r="G34" s="50">
        <f>IFERROR(INDEX('إنهاء الخدمة'!$G$3:$G$502,28),"")</f>
        <v/>
      </c>
      <c r="H34" s="63">
        <f>IFERROR(INDEX('إنهاء الخدمة'!$I$3:$I$502,28),"")</f>
        <v/>
      </c>
      <c r="I34" s="50">
        <f>IFERROR(INDEX('إنهاء الخدمة'!$J$3:$J$502,28),"")</f>
        <v/>
      </c>
      <c r="J34" s="50">
        <f>IFERROR(INDEX('إنهاء الخدمة'!$K$3:$K$502,28),"")</f>
        <v/>
      </c>
    </row>
    <row r="35">
      <c r="A35" s="43">
        <f>IFERROR(INDEX('إنهاء الخدمة'!$A$3:$A$502,29),"")</f>
        <v/>
      </c>
      <c r="B35" s="43">
        <f>IFERROR(INDEX('إنهاء الخدمة'!$B$3:$B$502,29),"")</f>
        <v/>
      </c>
      <c r="C35" s="118">
        <f>IFERROR(INDEX('إنهاء الخدمة'!$C$3:$C$502,29),"")</f>
        <v/>
      </c>
      <c r="D35" s="43">
        <f>IFERROR(INDEX('إنهاء الخدمة'!$D$3:$D$502,29),"")</f>
        <v/>
      </c>
      <c r="E35" s="118">
        <f>IFERROR(INDEX('إنهاء الخدمة'!$E$3:$E$502,29),"")</f>
        <v/>
      </c>
      <c r="F35" s="43">
        <f>IFERROR(INDEX('إنهاء الخدمة'!$F$3:$F$502,29),"")</f>
        <v/>
      </c>
      <c r="G35" s="43">
        <f>IFERROR(INDEX('إنهاء الخدمة'!$G$3:$G$502,29),"")</f>
        <v/>
      </c>
      <c r="H35" s="60">
        <f>IFERROR(INDEX('إنهاء الخدمة'!$I$3:$I$502,29),"")</f>
        <v/>
      </c>
      <c r="I35" s="43">
        <f>IFERROR(INDEX('إنهاء الخدمة'!$J$3:$J$502,29),"")</f>
        <v/>
      </c>
      <c r="J35" s="43">
        <f>IFERROR(INDEX('إنهاء الخدمة'!$K$3:$K$502,29),"")</f>
        <v/>
      </c>
    </row>
    <row r="36">
      <c r="A36" s="50">
        <f>IFERROR(INDEX('إنهاء الخدمة'!$A$3:$A$502,30),"")</f>
        <v/>
      </c>
      <c r="B36" s="50">
        <f>IFERROR(INDEX('إنهاء الخدمة'!$B$3:$B$502,30),"")</f>
        <v/>
      </c>
      <c r="C36" s="119">
        <f>IFERROR(INDEX('إنهاء الخدمة'!$C$3:$C$502,30),"")</f>
        <v/>
      </c>
      <c r="D36" s="50">
        <f>IFERROR(INDEX('إنهاء الخدمة'!$D$3:$D$502,30),"")</f>
        <v/>
      </c>
      <c r="E36" s="119">
        <f>IFERROR(INDEX('إنهاء الخدمة'!$E$3:$E$502,30),"")</f>
        <v/>
      </c>
      <c r="F36" s="50">
        <f>IFERROR(INDEX('إنهاء الخدمة'!$F$3:$F$502,30),"")</f>
        <v/>
      </c>
      <c r="G36" s="50">
        <f>IFERROR(INDEX('إنهاء الخدمة'!$G$3:$G$502,30),"")</f>
        <v/>
      </c>
      <c r="H36" s="63">
        <f>IFERROR(INDEX('إنهاء الخدمة'!$I$3:$I$502,30),"")</f>
        <v/>
      </c>
      <c r="I36" s="50">
        <f>IFERROR(INDEX('إنهاء الخدمة'!$J$3:$J$502,30),"")</f>
        <v/>
      </c>
      <c r="J36" s="50">
        <f>IFERROR(INDEX('إنهاء الخدمة'!$K$3:$K$502,30),"")</f>
        <v/>
      </c>
    </row>
    <row r="37">
      <c r="A37" s="43">
        <f>IFERROR(INDEX('إنهاء الخدمة'!$A$3:$A$502,31),"")</f>
        <v/>
      </c>
      <c r="B37" s="43">
        <f>IFERROR(INDEX('إنهاء الخدمة'!$B$3:$B$502,31),"")</f>
        <v/>
      </c>
      <c r="C37" s="118">
        <f>IFERROR(INDEX('إنهاء الخدمة'!$C$3:$C$502,31),"")</f>
        <v/>
      </c>
      <c r="D37" s="43">
        <f>IFERROR(INDEX('إنهاء الخدمة'!$D$3:$D$502,31),"")</f>
        <v/>
      </c>
      <c r="E37" s="118">
        <f>IFERROR(INDEX('إنهاء الخدمة'!$E$3:$E$502,31),"")</f>
        <v/>
      </c>
      <c r="F37" s="43">
        <f>IFERROR(INDEX('إنهاء الخدمة'!$F$3:$F$502,31),"")</f>
        <v/>
      </c>
      <c r="G37" s="43">
        <f>IFERROR(INDEX('إنهاء الخدمة'!$G$3:$G$502,31),"")</f>
        <v/>
      </c>
      <c r="H37" s="60">
        <f>IFERROR(INDEX('إنهاء الخدمة'!$I$3:$I$502,31),"")</f>
        <v/>
      </c>
      <c r="I37" s="43">
        <f>IFERROR(INDEX('إنهاء الخدمة'!$J$3:$J$502,31),"")</f>
        <v/>
      </c>
      <c r="J37" s="43">
        <f>IFERROR(INDEX('إنهاء الخدمة'!$K$3:$K$502,31),"")</f>
        <v/>
      </c>
    </row>
    <row r="38">
      <c r="A38" s="50">
        <f>IFERROR(INDEX('إنهاء الخدمة'!$A$3:$A$502,32),"")</f>
        <v/>
      </c>
      <c r="B38" s="50">
        <f>IFERROR(INDEX('إنهاء الخدمة'!$B$3:$B$502,32),"")</f>
        <v/>
      </c>
      <c r="C38" s="119">
        <f>IFERROR(INDEX('إنهاء الخدمة'!$C$3:$C$502,32),"")</f>
        <v/>
      </c>
      <c r="D38" s="50">
        <f>IFERROR(INDEX('إنهاء الخدمة'!$D$3:$D$502,32),"")</f>
        <v/>
      </c>
      <c r="E38" s="119">
        <f>IFERROR(INDEX('إنهاء الخدمة'!$E$3:$E$502,32),"")</f>
        <v/>
      </c>
      <c r="F38" s="50">
        <f>IFERROR(INDEX('إنهاء الخدمة'!$F$3:$F$502,32),"")</f>
        <v/>
      </c>
      <c r="G38" s="50">
        <f>IFERROR(INDEX('إنهاء الخدمة'!$G$3:$G$502,32),"")</f>
        <v/>
      </c>
      <c r="H38" s="63">
        <f>IFERROR(INDEX('إنهاء الخدمة'!$I$3:$I$502,32),"")</f>
        <v/>
      </c>
      <c r="I38" s="50">
        <f>IFERROR(INDEX('إنهاء الخدمة'!$J$3:$J$502,32),"")</f>
        <v/>
      </c>
      <c r="J38" s="50">
        <f>IFERROR(INDEX('إنهاء الخدمة'!$K$3:$K$502,32),"")</f>
        <v/>
      </c>
    </row>
    <row r="39">
      <c r="A39" s="43">
        <f>IFERROR(INDEX('إنهاء الخدمة'!$A$3:$A$502,33),"")</f>
        <v/>
      </c>
      <c r="B39" s="43">
        <f>IFERROR(INDEX('إنهاء الخدمة'!$B$3:$B$502,33),"")</f>
        <v/>
      </c>
      <c r="C39" s="118">
        <f>IFERROR(INDEX('إنهاء الخدمة'!$C$3:$C$502,33),"")</f>
        <v/>
      </c>
      <c r="D39" s="43">
        <f>IFERROR(INDEX('إنهاء الخدمة'!$D$3:$D$502,33),"")</f>
        <v/>
      </c>
      <c r="E39" s="118">
        <f>IFERROR(INDEX('إنهاء الخدمة'!$E$3:$E$502,33),"")</f>
        <v/>
      </c>
      <c r="F39" s="43">
        <f>IFERROR(INDEX('إنهاء الخدمة'!$F$3:$F$502,33),"")</f>
        <v/>
      </c>
      <c r="G39" s="43">
        <f>IFERROR(INDEX('إنهاء الخدمة'!$G$3:$G$502,33),"")</f>
        <v/>
      </c>
      <c r="H39" s="60">
        <f>IFERROR(INDEX('إنهاء الخدمة'!$I$3:$I$502,33),"")</f>
        <v/>
      </c>
      <c r="I39" s="43">
        <f>IFERROR(INDEX('إنهاء الخدمة'!$J$3:$J$502,33),"")</f>
        <v/>
      </c>
      <c r="J39" s="43">
        <f>IFERROR(INDEX('إنهاء الخدمة'!$K$3:$K$502,33),"")</f>
        <v/>
      </c>
    </row>
    <row r="40">
      <c r="A40" s="50">
        <f>IFERROR(INDEX('إنهاء الخدمة'!$A$3:$A$502,34),"")</f>
        <v/>
      </c>
      <c r="B40" s="50">
        <f>IFERROR(INDEX('إنهاء الخدمة'!$B$3:$B$502,34),"")</f>
        <v/>
      </c>
      <c r="C40" s="119">
        <f>IFERROR(INDEX('إنهاء الخدمة'!$C$3:$C$502,34),"")</f>
        <v/>
      </c>
      <c r="D40" s="50">
        <f>IFERROR(INDEX('إنهاء الخدمة'!$D$3:$D$502,34),"")</f>
        <v/>
      </c>
      <c r="E40" s="119">
        <f>IFERROR(INDEX('إنهاء الخدمة'!$E$3:$E$502,34),"")</f>
        <v/>
      </c>
      <c r="F40" s="50">
        <f>IFERROR(INDEX('إنهاء الخدمة'!$F$3:$F$502,34),"")</f>
        <v/>
      </c>
      <c r="G40" s="50">
        <f>IFERROR(INDEX('إنهاء الخدمة'!$G$3:$G$502,34),"")</f>
        <v/>
      </c>
      <c r="H40" s="63">
        <f>IFERROR(INDEX('إنهاء الخدمة'!$I$3:$I$502,34),"")</f>
        <v/>
      </c>
      <c r="I40" s="50">
        <f>IFERROR(INDEX('إنهاء الخدمة'!$J$3:$J$502,34),"")</f>
        <v/>
      </c>
      <c r="J40" s="50">
        <f>IFERROR(INDEX('إنهاء الخدمة'!$K$3:$K$502,34),"")</f>
        <v/>
      </c>
    </row>
    <row r="41">
      <c r="A41" s="43">
        <f>IFERROR(INDEX('إنهاء الخدمة'!$A$3:$A$502,35),"")</f>
        <v/>
      </c>
      <c r="B41" s="43">
        <f>IFERROR(INDEX('إنهاء الخدمة'!$B$3:$B$502,35),"")</f>
        <v/>
      </c>
      <c r="C41" s="118">
        <f>IFERROR(INDEX('إنهاء الخدمة'!$C$3:$C$502,35),"")</f>
        <v/>
      </c>
      <c r="D41" s="43">
        <f>IFERROR(INDEX('إنهاء الخدمة'!$D$3:$D$502,35),"")</f>
        <v/>
      </c>
      <c r="E41" s="118">
        <f>IFERROR(INDEX('إنهاء الخدمة'!$E$3:$E$502,35),"")</f>
        <v/>
      </c>
      <c r="F41" s="43">
        <f>IFERROR(INDEX('إنهاء الخدمة'!$F$3:$F$502,35),"")</f>
        <v/>
      </c>
      <c r="G41" s="43">
        <f>IFERROR(INDEX('إنهاء الخدمة'!$G$3:$G$502,35),"")</f>
        <v/>
      </c>
      <c r="H41" s="60">
        <f>IFERROR(INDEX('إنهاء الخدمة'!$I$3:$I$502,35),"")</f>
        <v/>
      </c>
      <c r="I41" s="43">
        <f>IFERROR(INDEX('إنهاء الخدمة'!$J$3:$J$502,35),"")</f>
        <v/>
      </c>
      <c r="J41" s="43">
        <f>IFERROR(INDEX('إنهاء الخدمة'!$K$3:$K$502,35),"")</f>
        <v/>
      </c>
    </row>
    <row r="42">
      <c r="A42" s="50">
        <f>IFERROR(INDEX('إنهاء الخدمة'!$A$3:$A$502,36),"")</f>
        <v/>
      </c>
      <c r="B42" s="50">
        <f>IFERROR(INDEX('إنهاء الخدمة'!$B$3:$B$502,36),"")</f>
        <v/>
      </c>
      <c r="C42" s="119">
        <f>IFERROR(INDEX('إنهاء الخدمة'!$C$3:$C$502,36),"")</f>
        <v/>
      </c>
      <c r="D42" s="50">
        <f>IFERROR(INDEX('إنهاء الخدمة'!$D$3:$D$502,36),"")</f>
        <v/>
      </c>
      <c r="E42" s="119">
        <f>IFERROR(INDEX('إنهاء الخدمة'!$E$3:$E$502,36),"")</f>
        <v/>
      </c>
      <c r="F42" s="50">
        <f>IFERROR(INDEX('إنهاء الخدمة'!$F$3:$F$502,36),"")</f>
        <v/>
      </c>
      <c r="G42" s="50">
        <f>IFERROR(INDEX('إنهاء الخدمة'!$G$3:$G$502,36),"")</f>
        <v/>
      </c>
      <c r="H42" s="63">
        <f>IFERROR(INDEX('إنهاء الخدمة'!$I$3:$I$502,36),"")</f>
        <v/>
      </c>
      <c r="I42" s="50">
        <f>IFERROR(INDEX('إنهاء الخدمة'!$J$3:$J$502,36),"")</f>
        <v/>
      </c>
      <c r="J42" s="50">
        <f>IFERROR(INDEX('إنهاء الخدمة'!$K$3:$K$502,36),"")</f>
        <v/>
      </c>
    </row>
    <row r="43">
      <c r="A43" s="43">
        <f>IFERROR(INDEX('إنهاء الخدمة'!$A$3:$A$502,37),"")</f>
        <v/>
      </c>
      <c r="B43" s="43">
        <f>IFERROR(INDEX('إنهاء الخدمة'!$B$3:$B$502,37),"")</f>
        <v/>
      </c>
      <c r="C43" s="118">
        <f>IFERROR(INDEX('إنهاء الخدمة'!$C$3:$C$502,37),"")</f>
        <v/>
      </c>
      <c r="D43" s="43">
        <f>IFERROR(INDEX('إنهاء الخدمة'!$D$3:$D$502,37),"")</f>
        <v/>
      </c>
      <c r="E43" s="118">
        <f>IFERROR(INDEX('إنهاء الخدمة'!$E$3:$E$502,37),"")</f>
        <v/>
      </c>
      <c r="F43" s="43">
        <f>IFERROR(INDEX('إنهاء الخدمة'!$F$3:$F$502,37),"")</f>
        <v/>
      </c>
      <c r="G43" s="43">
        <f>IFERROR(INDEX('إنهاء الخدمة'!$G$3:$G$502,37),"")</f>
        <v/>
      </c>
      <c r="H43" s="60">
        <f>IFERROR(INDEX('إنهاء الخدمة'!$I$3:$I$502,37),"")</f>
        <v/>
      </c>
      <c r="I43" s="43">
        <f>IFERROR(INDEX('إنهاء الخدمة'!$J$3:$J$502,37),"")</f>
        <v/>
      </c>
      <c r="J43" s="43">
        <f>IFERROR(INDEX('إنهاء الخدمة'!$K$3:$K$502,37),"")</f>
        <v/>
      </c>
    </row>
    <row r="44">
      <c r="A44" s="50">
        <f>IFERROR(INDEX('إنهاء الخدمة'!$A$3:$A$502,38),"")</f>
        <v/>
      </c>
      <c r="B44" s="50">
        <f>IFERROR(INDEX('إنهاء الخدمة'!$B$3:$B$502,38),"")</f>
        <v/>
      </c>
      <c r="C44" s="119">
        <f>IFERROR(INDEX('إنهاء الخدمة'!$C$3:$C$502,38),"")</f>
        <v/>
      </c>
      <c r="D44" s="50">
        <f>IFERROR(INDEX('إنهاء الخدمة'!$D$3:$D$502,38),"")</f>
        <v/>
      </c>
      <c r="E44" s="119">
        <f>IFERROR(INDEX('إنهاء الخدمة'!$E$3:$E$502,38),"")</f>
        <v/>
      </c>
      <c r="F44" s="50">
        <f>IFERROR(INDEX('إنهاء الخدمة'!$F$3:$F$502,38),"")</f>
        <v/>
      </c>
      <c r="G44" s="50">
        <f>IFERROR(INDEX('إنهاء الخدمة'!$G$3:$G$502,38),"")</f>
        <v/>
      </c>
      <c r="H44" s="63">
        <f>IFERROR(INDEX('إنهاء الخدمة'!$I$3:$I$502,38),"")</f>
        <v/>
      </c>
      <c r="I44" s="50">
        <f>IFERROR(INDEX('إنهاء الخدمة'!$J$3:$J$502,38),"")</f>
        <v/>
      </c>
      <c r="J44" s="50">
        <f>IFERROR(INDEX('إنهاء الخدمة'!$K$3:$K$502,38),"")</f>
        <v/>
      </c>
    </row>
    <row r="45">
      <c r="A45" s="43">
        <f>IFERROR(INDEX('إنهاء الخدمة'!$A$3:$A$502,39),"")</f>
        <v/>
      </c>
      <c r="B45" s="43">
        <f>IFERROR(INDEX('إنهاء الخدمة'!$B$3:$B$502,39),"")</f>
        <v/>
      </c>
      <c r="C45" s="118">
        <f>IFERROR(INDEX('إنهاء الخدمة'!$C$3:$C$502,39),"")</f>
        <v/>
      </c>
      <c r="D45" s="43">
        <f>IFERROR(INDEX('إنهاء الخدمة'!$D$3:$D$502,39),"")</f>
        <v/>
      </c>
      <c r="E45" s="118">
        <f>IFERROR(INDEX('إنهاء الخدمة'!$E$3:$E$502,39),"")</f>
        <v/>
      </c>
      <c r="F45" s="43">
        <f>IFERROR(INDEX('إنهاء الخدمة'!$F$3:$F$502,39),"")</f>
        <v/>
      </c>
      <c r="G45" s="43">
        <f>IFERROR(INDEX('إنهاء الخدمة'!$G$3:$G$502,39),"")</f>
        <v/>
      </c>
      <c r="H45" s="60">
        <f>IFERROR(INDEX('إنهاء الخدمة'!$I$3:$I$502,39),"")</f>
        <v/>
      </c>
      <c r="I45" s="43">
        <f>IFERROR(INDEX('إنهاء الخدمة'!$J$3:$J$502,39),"")</f>
        <v/>
      </c>
      <c r="J45" s="43">
        <f>IFERROR(INDEX('إنهاء الخدمة'!$K$3:$K$502,39),"")</f>
        <v/>
      </c>
    </row>
    <row r="46">
      <c r="A46" s="50">
        <f>IFERROR(INDEX('إنهاء الخدمة'!$A$3:$A$502,40),"")</f>
        <v/>
      </c>
      <c r="B46" s="50">
        <f>IFERROR(INDEX('إنهاء الخدمة'!$B$3:$B$502,40),"")</f>
        <v/>
      </c>
      <c r="C46" s="119">
        <f>IFERROR(INDEX('إنهاء الخدمة'!$C$3:$C$502,40),"")</f>
        <v/>
      </c>
      <c r="D46" s="50">
        <f>IFERROR(INDEX('إنهاء الخدمة'!$D$3:$D$502,40),"")</f>
        <v/>
      </c>
      <c r="E46" s="119">
        <f>IFERROR(INDEX('إنهاء الخدمة'!$E$3:$E$502,40),"")</f>
        <v/>
      </c>
      <c r="F46" s="50">
        <f>IFERROR(INDEX('إنهاء الخدمة'!$F$3:$F$502,40),"")</f>
        <v/>
      </c>
      <c r="G46" s="50">
        <f>IFERROR(INDEX('إنهاء الخدمة'!$G$3:$G$502,40),"")</f>
        <v/>
      </c>
      <c r="H46" s="63">
        <f>IFERROR(INDEX('إنهاء الخدمة'!$I$3:$I$502,40),"")</f>
        <v/>
      </c>
      <c r="I46" s="50">
        <f>IFERROR(INDEX('إنهاء الخدمة'!$J$3:$J$502,40),"")</f>
        <v/>
      </c>
      <c r="J46" s="50">
        <f>IFERROR(INDEX('إنهاء الخدمة'!$K$3:$K$502,40),"")</f>
        <v/>
      </c>
    </row>
    <row r="47">
      <c r="A47" s="43">
        <f>IFERROR(INDEX('إنهاء الخدمة'!$A$3:$A$502,41),"")</f>
        <v/>
      </c>
      <c r="B47" s="43">
        <f>IFERROR(INDEX('إنهاء الخدمة'!$B$3:$B$502,41),"")</f>
        <v/>
      </c>
      <c r="C47" s="118">
        <f>IFERROR(INDEX('إنهاء الخدمة'!$C$3:$C$502,41),"")</f>
        <v/>
      </c>
      <c r="D47" s="43">
        <f>IFERROR(INDEX('إنهاء الخدمة'!$D$3:$D$502,41),"")</f>
        <v/>
      </c>
      <c r="E47" s="118">
        <f>IFERROR(INDEX('إنهاء الخدمة'!$E$3:$E$502,41),"")</f>
        <v/>
      </c>
      <c r="F47" s="43">
        <f>IFERROR(INDEX('إنهاء الخدمة'!$F$3:$F$502,41),"")</f>
        <v/>
      </c>
      <c r="G47" s="43">
        <f>IFERROR(INDEX('إنهاء الخدمة'!$G$3:$G$502,41),"")</f>
        <v/>
      </c>
      <c r="H47" s="60">
        <f>IFERROR(INDEX('إنهاء الخدمة'!$I$3:$I$502,41),"")</f>
        <v/>
      </c>
      <c r="I47" s="43">
        <f>IFERROR(INDEX('إنهاء الخدمة'!$J$3:$J$502,41),"")</f>
        <v/>
      </c>
      <c r="J47" s="43">
        <f>IFERROR(INDEX('إنهاء الخدمة'!$K$3:$K$502,41),"")</f>
        <v/>
      </c>
    </row>
    <row r="48">
      <c r="A48" s="50">
        <f>IFERROR(INDEX('إنهاء الخدمة'!$A$3:$A$502,42),"")</f>
        <v/>
      </c>
      <c r="B48" s="50">
        <f>IFERROR(INDEX('إنهاء الخدمة'!$B$3:$B$502,42),"")</f>
        <v/>
      </c>
      <c r="C48" s="119">
        <f>IFERROR(INDEX('إنهاء الخدمة'!$C$3:$C$502,42),"")</f>
        <v/>
      </c>
      <c r="D48" s="50">
        <f>IFERROR(INDEX('إنهاء الخدمة'!$D$3:$D$502,42),"")</f>
        <v/>
      </c>
      <c r="E48" s="119">
        <f>IFERROR(INDEX('إنهاء الخدمة'!$E$3:$E$502,42),"")</f>
        <v/>
      </c>
      <c r="F48" s="50">
        <f>IFERROR(INDEX('إنهاء الخدمة'!$F$3:$F$502,42),"")</f>
        <v/>
      </c>
      <c r="G48" s="50">
        <f>IFERROR(INDEX('إنهاء الخدمة'!$G$3:$G$502,42),"")</f>
        <v/>
      </c>
      <c r="H48" s="63">
        <f>IFERROR(INDEX('إنهاء الخدمة'!$I$3:$I$502,42),"")</f>
        <v/>
      </c>
      <c r="I48" s="50">
        <f>IFERROR(INDEX('إنهاء الخدمة'!$J$3:$J$502,42),"")</f>
        <v/>
      </c>
      <c r="J48" s="50">
        <f>IFERROR(INDEX('إنهاء الخدمة'!$K$3:$K$502,42),"")</f>
        <v/>
      </c>
    </row>
    <row r="49">
      <c r="A49" s="43">
        <f>IFERROR(INDEX('إنهاء الخدمة'!$A$3:$A$502,43),"")</f>
        <v/>
      </c>
      <c r="B49" s="43">
        <f>IFERROR(INDEX('إنهاء الخدمة'!$B$3:$B$502,43),"")</f>
        <v/>
      </c>
      <c r="C49" s="118">
        <f>IFERROR(INDEX('إنهاء الخدمة'!$C$3:$C$502,43),"")</f>
        <v/>
      </c>
      <c r="D49" s="43">
        <f>IFERROR(INDEX('إنهاء الخدمة'!$D$3:$D$502,43),"")</f>
        <v/>
      </c>
      <c r="E49" s="118">
        <f>IFERROR(INDEX('إنهاء الخدمة'!$E$3:$E$502,43),"")</f>
        <v/>
      </c>
      <c r="F49" s="43">
        <f>IFERROR(INDEX('إنهاء الخدمة'!$F$3:$F$502,43),"")</f>
        <v/>
      </c>
      <c r="G49" s="43">
        <f>IFERROR(INDEX('إنهاء الخدمة'!$G$3:$G$502,43),"")</f>
        <v/>
      </c>
      <c r="H49" s="60">
        <f>IFERROR(INDEX('إنهاء الخدمة'!$I$3:$I$502,43),"")</f>
        <v/>
      </c>
      <c r="I49" s="43">
        <f>IFERROR(INDEX('إنهاء الخدمة'!$J$3:$J$502,43),"")</f>
        <v/>
      </c>
      <c r="J49" s="43">
        <f>IFERROR(INDEX('إنهاء الخدمة'!$K$3:$K$502,43),"")</f>
        <v/>
      </c>
    </row>
    <row r="50">
      <c r="A50" s="50">
        <f>IFERROR(INDEX('إنهاء الخدمة'!$A$3:$A$502,44),"")</f>
        <v/>
      </c>
      <c r="B50" s="50">
        <f>IFERROR(INDEX('إنهاء الخدمة'!$B$3:$B$502,44),"")</f>
        <v/>
      </c>
      <c r="C50" s="119">
        <f>IFERROR(INDEX('إنهاء الخدمة'!$C$3:$C$502,44),"")</f>
        <v/>
      </c>
      <c r="D50" s="50">
        <f>IFERROR(INDEX('إنهاء الخدمة'!$D$3:$D$502,44),"")</f>
        <v/>
      </c>
      <c r="E50" s="119">
        <f>IFERROR(INDEX('إنهاء الخدمة'!$E$3:$E$502,44),"")</f>
        <v/>
      </c>
      <c r="F50" s="50">
        <f>IFERROR(INDEX('إنهاء الخدمة'!$F$3:$F$502,44),"")</f>
        <v/>
      </c>
      <c r="G50" s="50">
        <f>IFERROR(INDEX('إنهاء الخدمة'!$G$3:$G$502,44),"")</f>
        <v/>
      </c>
      <c r="H50" s="63">
        <f>IFERROR(INDEX('إنهاء الخدمة'!$I$3:$I$502,44),"")</f>
        <v/>
      </c>
      <c r="I50" s="50">
        <f>IFERROR(INDEX('إنهاء الخدمة'!$J$3:$J$502,44),"")</f>
        <v/>
      </c>
      <c r="J50" s="50">
        <f>IFERROR(INDEX('إنهاء الخدمة'!$K$3:$K$502,44),"")</f>
        <v/>
      </c>
    </row>
    <row r="51">
      <c r="A51" s="43">
        <f>IFERROR(INDEX('إنهاء الخدمة'!$A$3:$A$502,45),"")</f>
        <v/>
      </c>
      <c r="B51" s="43">
        <f>IFERROR(INDEX('إنهاء الخدمة'!$B$3:$B$502,45),"")</f>
        <v/>
      </c>
      <c r="C51" s="118">
        <f>IFERROR(INDEX('إنهاء الخدمة'!$C$3:$C$502,45),"")</f>
        <v/>
      </c>
      <c r="D51" s="43">
        <f>IFERROR(INDEX('إنهاء الخدمة'!$D$3:$D$502,45),"")</f>
        <v/>
      </c>
      <c r="E51" s="118">
        <f>IFERROR(INDEX('إنهاء الخدمة'!$E$3:$E$502,45),"")</f>
        <v/>
      </c>
      <c r="F51" s="43">
        <f>IFERROR(INDEX('إنهاء الخدمة'!$F$3:$F$502,45),"")</f>
        <v/>
      </c>
      <c r="G51" s="43">
        <f>IFERROR(INDEX('إنهاء الخدمة'!$G$3:$G$502,45),"")</f>
        <v/>
      </c>
      <c r="H51" s="60">
        <f>IFERROR(INDEX('إنهاء الخدمة'!$I$3:$I$502,45),"")</f>
        <v/>
      </c>
      <c r="I51" s="43">
        <f>IFERROR(INDEX('إنهاء الخدمة'!$J$3:$J$502,45),"")</f>
        <v/>
      </c>
      <c r="J51" s="43">
        <f>IFERROR(INDEX('إنهاء الخدمة'!$K$3:$K$502,45),"")</f>
        <v/>
      </c>
    </row>
    <row r="52">
      <c r="A52" s="50">
        <f>IFERROR(INDEX('إنهاء الخدمة'!$A$3:$A$502,46),"")</f>
        <v/>
      </c>
      <c r="B52" s="50">
        <f>IFERROR(INDEX('إنهاء الخدمة'!$B$3:$B$502,46),"")</f>
        <v/>
      </c>
      <c r="C52" s="119">
        <f>IFERROR(INDEX('إنهاء الخدمة'!$C$3:$C$502,46),"")</f>
        <v/>
      </c>
      <c r="D52" s="50">
        <f>IFERROR(INDEX('إنهاء الخدمة'!$D$3:$D$502,46),"")</f>
        <v/>
      </c>
      <c r="E52" s="119">
        <f>IFERROR(INDEX('إنهاء الخدمة'!$E$3:$E$502,46),"")</f>
        <v/>
      </c>
      <c r="F52" s="50">
        <f>IFERROR(INDEX('إنهاء الخدمة'!$F$3:$F$502,46),"")</f>
        <v/>
      </c>
      <c r="G52" s="50">
        <f>IFERROR(INDEX('إنهاء الخدمة'!$G$3:$G$502,46),"")</f>
        <v/>
      </c>
      <c r="H52" s="63">
        <f>IFERROR(INDEX('إنهاء الخدمة'!$I$3:$I$502,46),"")</f>
        <v/>
      </c>
      <c r="I52" s="50">
        <f>IFERROR(INDEX('إنهاء الخدمة'!$J$3:$J$502,46),"")</f>
        <v/>
      </c>
      <c r="J52" s="50">
        <f>IFERROR(INDEX('إنهاء الخدمة'!$K$3:$K$502,46),"")</f>
        <v/>
      </c>
    </row>
    <row r="53">
      <c r="A53" s="43">
        <f>IFERROR(INDEX('إنهاء الخدمة'!$A$3:$A$502,47),"")</f>
        <v/>
      </c>
      <c r="B53" s="43">
        <f>IFERROR(INDEX('إنهاء الخدمة'!$B$3:$B$502,47),"")</f>
        <v/>
      </c>
      <c r="C53" s="118">
        <f>IFERROR(INDEX('إنهاء الخدمة'!$C$3:$C$502,47),"")</f>
        <v/>
      </c>
      <c r="D53" s="43">
        <f>IFERROR(INDEX('إنهاء الخدمة'!$D$3:$D$502,47),"")</f>
        <v/>
      </c>
      <c r="E53" s="118">
        <f>IFERROR(INDEX('إنهاء الخدمة'!$E$3:$E$502,47),"")</f>
        <v/>
      </c>
      <c r="F53" s="43">
        <f>IFERROR(INDEX('إنهاء الخدمة'!$F$3:$F$502,47),"")</f>
        <v/>
      </c>
      <c r="G53" s="43">
        <f>IFERROR(INDEX('إنهاء الخدمة'!$G$3:$G$502,47),"")</f>
        <v/>
      </c>
      <c r="H53" s="60">
        <f>IFERROR(INDEX('إنهاء الخدمة'!$I$3:$I$502,47),"")</f>
        <v/>
      </c>
      <c r="I53" s="43">
        <f>IFERROR(INDEX('إنهاء الخدمة'!$J$3:$J$502,47),"")</f>
        <v/>
      </c>
      <c r="J53" s="43">
        <f>IFERROR(INDEX('إنهاء الخدمة'!$K$3:$K$502,47),"")</f>
        <v/>
      </c>
    </row>
    <row r="54">
      <c r="A54" s="50">
        <f>IFERROR(INDEX('إنهاء الخدمة'!$A$3:$A$502,48),"")</f>
        <v/>
      </c>
      <c r="B54" s="50">
        <f>IFERROR(INDEX('إنهاء الخدمة'!$B$3:$B$502,48),"")</f>
        <v/>
      </c>
      <c r="C54" s="119">
        <f>IFERROR(INDEX('إنهاء الخدمة'!$C$3:$C$502,48),"")</f>
        <v/>
      </c>
      <c r="D54" s="50">
        <f>IFERROR(INDEX('إنهاء الخدمة'!$D$3:$D$502,48),"")</f>
        <v/>
      </c>
      <c r="E54" s="119">
        <f>IFERROR(INDEX('إنهاء الخدمة'!$E$3:$E$502,48),"")</f>
        <v/>
      </c>
      <c r="F54" s="50">
        <f>IFERROR(INDEX('إنهاء الخدمة'!$F$3:$F$502,48),"")</f>
        <v/>
      </c>
      <c r="G54" s="50">
        <f>IFERROR(INDEX('إنهاء الخدمة'!$G$3:$G$502,48),"")</f>
        <v/>
      </c>
      <c r="H54" s="63">
        <f>IFERROR(INDEX('إنهاء الخدمة'!$I$3:$I$502,48),"")</f>
        <v/>
      </c>
      <c r="I54" s="50">
        <f>IFERROR(INDEX('إنهاء الخدمة'!$J$3:$J$502,48),"")</f>
        <v/>
      </c>
      <c r="J54" s="50">
        <f>IFERROR(INDEX('إنهاء الخدمة'!$K$3:$K$502,48),"")</f>
        <v/>
      </c>
    </row>
    <row r="55">
      <c r="A55" s="43">
        <f>IFERROR(INDEX('إنهاء الخدمة'!$A$3:$A$502,49),"")</f>
        <v/>
      </c>
      <c r="B55" s="43">
        <f>IFERROR(INDEX('إنهاء الخدمة'!$B$3:$B$502,49),"")</f>
        <v/>
      </c>
      <c r="C55" s="118">
        <f>IFERROR(INDEX('إنهاء الخدمة'!$C$3:$C$502,49),"")</f>
        <v/>
      </c>
      <c r="D55" s="43">
        <f>IFERROR(INDEX('إنهاء الخدمة'!$D$3:$D$502,49),"")</f>
        <v/>
      </c>
      <c r="E55" s="118">
        <f>IFERROR(INDEX('إنهاء الخدمة'!$E$3:$E$502,49),"")</f>
        <v/>
      </c>
      <c r="F55" s="43">
        <f>IFERROR(INDEX('إنهاء الخدمة'!$F$3:$F$502,49),"")</f>
        <v/>
      </c>
      <c r="G55" s="43">
        <f>IFERROR(INDEX('إنهاء الخدمة'!$G$3:$G$502,49),"")</f>
        <v/>
      </c>
      <c r="H55" s="60">
        <f>IFERROR(INDEX('إنهاء الخدمة'!$I$3:$I$502,49),"")</f>
        <v/>
      </c>
      <c r="I55" s="43">
        <f>IFERROR(INDEX('إنهاء الخدمة'!$J$3:$J$502,49),"")</f>
        <v/>
      </c>
      <c r="J55" s="43">
        <f>IFERROR(INDEX('إنهاء الخدمة'!$K$3:$K$502,49),"")</f>
        <v/>
      </c>
    </row>
    <row r="56">
      <c r="A56" s="50">
        <f>IFERROR(INDEX('إنهاء الخدمة'!$A$3:$A$502,50),"")</f>
        <v/>
      </c>
      <c r="B56" s="50">
        <f>IFERROR(INDEX('إنهاء الخدمة'!$B$3:$B$502,50),"")</f>
        <v/>
      </c>
      <c r="C56" s="119">
        <f>IFERROR(INDEX('إنهاء الخدمة'!$C$3:$C$502,50),"")</f>
        <v/>
      </c>
      <c r="D56" s="50">
        <f>IFERROR(INDEX('إنهاء الخدمة'!$D$3:$D$502,50),"")</f>
        <v/>
      </c>
      <c r="E56" s="119">
        <f>IFERROR(INDEX('إنهاء الخدمة'!$E$3:$E$502,50),"")</f>
        <v/>
      </c>
      <c r="F56" s="50">
        <f>IFERROR(INDEX('إنهاء الخدمة'!$F$3:$F$502,50),"")</f>
        <v/>
      </c>
      <c r="G56" s="50">
        <f>IFERROR(INDEX('إنهاء الخدمة'!$G$3:$G$502,50),"")</f>
        <v/>
      </c>
      <c r="H56" s="63">
        <f>IFERROR(INDEX('إنهاء الخدمة'!$I$3:$I$502,50),"")</f>
        <v/>
      </c>
      <c r="I56" s="50">
        <f>IFERROR(INDEX('إنهاء الخدمة'!$J$3:$J$502,50),"")</f>
        <v/>
      </c>
      <c r="J56" s="50">
        <f>IFERROR(INDEX('إنهاء الخدمة'!$K$3:$K$502,50),"")</f>
        <v/>
      </c>
    </row>
    <row r="57">
      <c r="A57" s="43">
        <f>IFERROR(INDEX('إنهاء الخدمة'!$A$3:$A$502,51),"")</f>
        <v/>
      </c>
      <c r="B57" s="43">
        <f>IFERROR(INDEX('إنهاء الخدمة'!$B$3:$B$502,51),"")</f>
        <v/>
      </c>
      <c r="C57" s="118">
        <f>IFERROR(INDEX('إنهاء الخدمة'!$C$3:$C$502,51),"")</f>
        <v/>
      </c>
      <c r="D57" s="43">
        <f>IFERROR(INDEX('إنهاء الخدمة'!$D$3:$D$502,51),"")</f>
        <v/>
      </c>
      <c r="E57" s="118">
        <f>IFERROR(INDEX('إنهاء الخدمة'!$E$3:$E$502,51),"")</f>
        <v/>
      </c>
      <c r="F57" s="43">
        <f>IFERROR(INDEX('إنهاء الخدمة'!$F$3:$F$502,51),"")</f>
        <v/>
      </c>
      <c r="G57" s="43">
        <f>IFERROR(INDEX('إنهاء الخدمة'!$G$3:$G$502,51),"")</f>
        <v/>
      </c>
      <c r="H57" s="60">
        <f>IFERROR(INDEX('إنهاء الخدمة'!$I$3:$I$502,51),"")</f>
        <v/>
      </c>
      <c r="I57" s="43">
        <f>IFERROR(INDEX('إنهاء الخدمة'!$J$3:$J$502,51),"")</f>
        <v/>
      </c>
      <c r="J57" s="43">
        <f>IFERROR(INDEX('إنهاء الخدمة'!$K$3:$K$502,51),"")</f>
        <v/>
      </c>
    </row>
    <row r="58">
      <c r="A58" s="50">
        <f>IFERROR(INDEX('إنهاء الخدمة'!$A$3:$A$502,52),"")</f>
        <v/>
      </c>
      <c r="B58" s="50">
        <f>IFERROR(INDEX('إنهاء الخدمة'!$B$3:$B$502,52),"")</f>
        <v/>
      </c>
      <c r="C58" s="119">
        <f>IFERROR(INDEX('إنهاء الخدمة'!$C$3:$C$502,52),"")</f>
        <v/>
      </c>
      <c r="D58" s="50">
        <f>IFERROR(INDEX('إنهاء الخدمة'!$D$3:$D$502,52),"")</f>
        <v/>
      </c>
      <c r="E58" s="119">
        <f>IFERROR(INDEX('إنهاء الخدمة'!$E$3:$E$502,52),"")</f>
        <v/>
      </c>
      <c r="F58" s="50">
        <f>IFERROR(INDEX('إنهاء الخدمة'!$F$3:$F$502,52),"")</f>
        <v/>
      </c>
      <c r="G58" s="50">
        <f>IFERROR(INDEX('إنهاء الخدمة'!$G$3:$G$502,52),"")</f>
        <v/>
      </c>
      <c r="H58" s="63">
        <f>IFERROR(INDEX('إنهاء الخدمة'!$I$3:$I$502,52),"")</f>
        <v/>
      </c>
      <c r="I58" s="50">
        <f>IFERROR(INDEX('إنهاء الخدمة'!$J$3:$J$502,52),"")</f>
        <v/>
      </c>
      <c r="J58" s="50">
        <f>IFERROR(INDEX('إنهاء الخدمة'!$K$3:$K$502,52),"")</f>
        <v/>
      </c>
    </row>
    <row r="59">
      <c r="A59" s="43">
        <f>IFERROR(INDEX('إنهاء الخدمة'!$A$3:$A$502,53),"")</f>
        <v/>
      </c>
      <c r="B59" s="43">
        <f>IFERROR(INDEX('إنهاء الخدمة'!$B$3:$B$502,53),"")</f>
        <v/>
      </c>
      <c r="C59" s="118">
        <f>IFERROR(INDEX('إنهاء الخدمة'!$C$3:$C$502,53),"")</f>
        <v/>
      </c>
      <c r="D59" s="43">
        <f>IFERROR(INDEX('إنهاء الخدمة'!$D$3:$D$502,53),"")</f>
        <v/>
      </c>
      <c r="E59" s="118">
        <f>IFERROR(INDEX('إنهاء الخدمة'!$E$3:$E$502,53),"")</f>
        <v/>
      </c>
      <c r="F59" s="43">
        <f>IFERROR(INDEX('إنهاء الخدمة'!$F$3:$F$502,53),"")</f>
        <v/>
      </c>
      <c r="G59" s="43">
        <f>IFERROR(INDEX('إنهاء الخدمة'!$G$3:$G$502,53),"")</f>
        <v/>
      </c>
      <c r="H59" s="60">
        <f>IFERROR(INDEX('إنهاء الخدمة'!$I$3:$I$502,53),"")</f>
        <v/>
      </c>
      <c r="I59" s="43">
        <f>IFERROR(INDEX('إنهاء الخدمة'!$J$3:$J$502,53),"")</f>
        <v/>
      </c>
      <c r="J59" s="43">
        <f>IFERROR(INDEX('إنهاء الخدمة'!$K$3:$K$502,53),"")</f>
        <v/>
      </c>
    </row>
    <row r="60">
      <c r="A60" s="50">
        <f>IFERROR(INDEX('إنهاء الخدمة'!$A$3:$A$502,54),"")</f>
        <v/>
      </c>
      <c r="B60" s="50">
        <f>IFERROR(INDEX('إنهاء الخدمة'!$B$3:$B$502,54),"")</f>
        <v/>
      </c>
      <c r="C60" s="119">
        <f>IFERROR(INDEX('إنهاء الخدمة'!$C$3:$C$502,54),"")</f>
        <v/>
      </c>
      <c r="D60" s="50">
        <f>IFERROR(INDEX('إنهاء الخدمة'!$D$3:$D$502,54),"")</f>
        <v/>
      </c>
      <c r="E60" s="119">
        <f>IFERROR(INDEX('إنهاء الخدمة'!$E$3:$E$502,54),"")</f>
        <v/>
      </c>
      <c r="F60" s="50">
        <f>IFERROR(INDEX('إنهاء الخدمة'!$F$3:$F$502,54),"")</f>
        <v/>
      </c>
      <c r="G60" s="50">
        <f>IFERROR(INDEX('إنهاء الخدمة'!$G$3:$G$502,54),"")</f>
        <v/>
      </c>
      <c r="H60" s="63">
        <f>IFERROR(INDEX('إنهاء الخدمة'!$I$3:$I$502,54),"")</f>
        <v/>
      </c>
      <c r="I60" s="50">
        <f>IFERROR(INDEX('إنهاء الخدمة'!$J$3:$J$502,54),"")</f>
        <v/>
      </c>
      <c r="J60" s="50">
        <f>IFERROR(INDEX('إنهاء الخدمة'!$K$3:$K$502,54),"")</f>
        <v/>
      </c>
    </row>
    <row r="61">
      <c r="A61" s="43">
        <f>IFERROR(INDEX('إنهاء الخدمة'!$A$3:$A$502,55),"")</f>
        <v/>
      </c>
      <c r="B61" s="43">
        <f>IFERROR(INDEX('إنهاء الخدمة'!$B$3:$B$502,55),"")</f>
        <v/>
      </c>
      <c r="C61" s="118">
        <f>IFERROR(INDEX('إنهاء الخدمة'!$C$3:$C$502,55),"")</f>
        <v/>
      </c>
      <c r="D61" s="43">
        <f>IFERROR(INDEX('إنهاء الخدمة'!$D$3:$D$502,55),"")</f>
        <v/>
      </c>
      <c r="E61" s="118">
        <f>IFERROR(INDEX('إنهاء الخدمة'!$E$3:$E$502,55),"")</f>
        <v/>
      </c>
      <c r="F61" s="43">
        <f>IFERROR(INDEX('إنهاء الخدمة'!$F$3:$F$502,55),"")</f>
        <v/>
      </c>
      <c r="G61" s="43">
        <f>IFERROR(INDEX('إنهاء الخدمة'!$G$3:$G$502,55),"")</f>
        <v/>
      </c>
      <c r="H61" s="60">
        <f>IFERROR(INDEX('إنهاء الخدمة'!$I$3:$I$502,55),"")</f>
        <v/>
      </c>
      <c r="I61" s="43">
        <f>IFERROR(INDEX('إنهاء الخدمة'!$J$3:$J$502,55),"")</f>
        <v/>
      </c>
      <c r="J61" s="43">
        <f>IFERROR(INDEX('إنهاء الخدمة'!$K$3:$K$502,55),"")</f>
        <v/>
      </c>
    </row>
    <row r="62">
      <c r="A62" s="50">
        <f>IFERROR(INDEX('إنهاء الخدمة'!$A$3:$A$502,56),"")</f>
        <v/>
      </c>
      <c r="B62" s="50">
        <f>IFERROR(INDEX('إنهاء الخدمة'!$B$3:$B$502,56),"")</f>
        <v/>
      </c>
      <c r="C62" s="119">
        <f>IFERROR(INDEX('إنهاء الخدمة'!$C$3:$C$502,56),"")</f>
        <v/>
      </c>
      <c r="D62" s="50">
        <f>IFERROR(INDEX('إنهاء الخدمة'!$D$3:$D$502,56),"")</f>
        <v/>
      </c>
      <c r="E62" s="119">
        <f>IFERROR(INDEX('إنهاء الخدمة'!$E$3:$E$502,56),"")</f>
        <v/>
      </c>
      <c r="F62" s="50">
        <f>IFERROR(INDEX('إنهاء الخدمة'!$F$3:$F$502,56),"")</f>
        <v/>
      </c>
      <c r="G62" s="50">
        <f>IFERROR(INDEX('إنهاء الخدمة'!$G$3:$G$502,56),"")</f>
        <v/>
      </c>
      <c r="H62" s="63">
        <f>IFERROR(INDEX('إنهاء الخدمة'!$I$3:$I$502,56),"")</f>
        <v/>
      </c>
      <c r="I62" s="50">
        <f>IFERROR(INDEX('إنهاء الخدمة'!$J$3:$J$502,56),"")</f>
        <v/>
      </c>
      <c r="J62" s="50">
        <f>IFERROR(INDEX('إنهاء الخدمة'!$K$3:$K$502,56),"")</f>
        <v/>
      </c>
    </row>
    <row r="63">
      <c r="A63" s="43">
        <f>IFERROR(INDEX('إنهاء الخدمة'!$A$3:$A$502,57),"")</f>
        <v/>
      </c>
      <c r="B63" s="43">
        <f>IFERROR(INDEX('إنهاء الخدمة'!$B$3:$B$502,57),"")</f>
        <v/>
      </c>
      <c r="C63" s="118">
        <f>IFERROR(INDEX('إنهاء الخدمة'!$C$3:$C$502,57),"")</f>
        <v/>
      </c>
      <c r="D63" s="43">
        <f>IFERROR(INDEX('إنهاء الخدمة'!$D$3:$D$502,57),"")</f>
        <v/>
      </c>
      <c r="E63" s="118">
        <f>IFERROR(INDEX('إنهاء الخدمة'!$E$3:$E$502,57),"")</f>
        <v/>
      </c>
      <c r="F63" s="43">
        <f>IFERROR(INDEX('إنهاء الخدمة'!$F$3:$F$502,57),"")</f>
        <v/>
      </c>
      <c r="G63" s="43">
        <f>IFERROR(INDEX('إنهاء الخدمة'!$G$3:$G$502,57),"")</f>
        <v/>
      </c>
      <c r="H63" s="60">
        <f>IFERROR(INDEX('إنهاء الخدمة'!$I$3:$I$502,57),"")</f>
        <v/>
      </c>
      <c r="I63" s="43">
        <f>IFERROR(INDEX('إنهاء الخدمة'!$J$3:$J$502,57),"")</f>
        <v/>
      </c>
      <c r="J63" s="43">
        <f>IFERROR(INDEX('إنهاء الخدمة'!$K$3:$K$502,57),"")</f>
        <v/>
      </c>
    </row>
    <row r="64">
      <c r="A64" s="50">
        <f>IFERROR(INDEX('إنهاء الخدمة'!$A$3:$A$502,58),"")</f>
        <v/>
      </c>
      <c r="B64" s="50">
        <f>IFERROR(INDEX('إنهاء الخدمة'!$B$3:$B$502,58),"")</f>
        <v/>
      </c>
      <c r="C64" s="119">
        <f>IFERROR(INDEX('إنهاء الخدمة'!$C$3:$C$502,58),"")</f>
        <v/>
      </c>
      <c r="D64" s="50">
        <f>IFERROR(INDEX('إنهاء الخدمة'!$D$3:$D$502,58),"")</f>
        <v/>
      </c>
      <c r="E64" s="119">
        <f>IFERROR(INDEX('إنهاء الخدمة'!$E$3:$E$502,58),"")</f>
        <v/>
      </c>
      <c r="F64" s="50">
        <f>IFERROR(INDEX('إنهاء الخدمة'!$F$3:$F$502,58),"")</f>
        <v/>
      </c>
      <c r="G64" s="50">
        <f>IFERROR(INDEX('إنهاء الخدمة'!$G$3:$G$502,58),"")</f>
        <v/>
      </c>
      <c r="H64" s="63">
        <f>IFERROR(INDEX('إنهاء الخدمة'!$I$3:$I$502,58),"")</f>
        <v/>
      </c>
      <c r="I64" s="50">
        <f>IFERROR(INDEX('إنهاء الخدمة'!$J$3:$J$502,58),"")</f>
        <v/>
      </c>
      <c r="J64" s="50">
        <f>IFERROR(INDEX('إنهاء الخدمة'!$K$3:$K$502,58),"")</f>
        <v/>
      </c>
    </row>
    <row r="65">
      <c r="A65" s="43">
        <f>IFERROR(INDEX('إنهاء الخدمة'!$A$3:$A$502,59),"")</f>
        <v/>
      </c>
      <c r="B65" s="43">
        <f>IFERROR(INDEX('إنهاء الخدمة'!$B$3:$B$502,59),"")</f>
        <v/>
      </c>
      <c r="C65" s="118">
        <f>IFERROR(INDEX('إنهاء الخدمة'!$C$3:$C$502,59),"")</f>
        <v/>
      </c>
      <c r="D65" s="43">
        <f>IFERROR(INDEX('إنهاء الخدمة'!$D$3:$D$502,59),"")</f>
        <v/>
      </c>
      <c r="E65" s="118">
        <f>IFERROR(INDEX('إنهاء الخدمة'!$E$3:$E$502,59),"")</f>
        <v/>
      </c>
      <c r="F65" s="43">
        <f>IFERROR(INDEX('إنهاء الخدمة'!$F$3:$F$502,59),"")</f>
        <v/>
      </c>
      <c r="G65" s="43">
        <f>IFERROR(INDEX('إنهاء الخدمة'!$G$3:$G$502,59),"")</f>
        <v/>
      </c>
      <c r="H65" s="60">
        <f>IFERROR(INDEX('إنهاء الخدمة'!$I$3:$I$502,59),"")</f>
        <v/>
      </c>
      <c r="I65" s="43">
        <f>IFERROR(INDEX('إنهاء الخدمة'!$J$3:$J$502,59),"")</f>
        <v/>
      </c>
      <c r="J65" s="43">
        <f>IFERROR(INDEX('إنهاء الخدمة'!$K$3:$K$502,59),"")</f>
        <v/>
      </c>
    </row>
    <row r="66">
      <c r="A66" s="50">
        <f>IFERROR(INDEX('إنهاء الخدمة'!$A$3:$A$502,60),"")</f>
        <v/>
      </c>
      <c r="B66" s="50">
        <f>IFERROR(INDEX('إنهاء الخدمة'!$B$3:$B$502,60),"")</f>
        <v/>
      </c>
      <c r="C66" s="119">
        <f>IFERROR(INDEX('إنهاء الخدمة'!$C$3:$C$502,60),"")</f>
        <v/>
      </c>
      <c r="D66" s="50">
        <f>IFERROR(INDEX('إنهاء الخدمة'!$D$3:$D$502,60),"")</f>
        <v/>
      </c>
      <c r="E66" s="119">
        <f>IFERROR(INDEX('إنهاء الخدمة'!$E$3:$E$502,60),"")</f>
        <v/>
      </c>
      <c r="F66" s="50">
        <f>IFERROR(INDEX('إنهاء الخدمة'!$F$3:$F$502,60),"")</f>
        <v/>
      </c>
      <c r="G66" s="50">
        <f>IFERROR(INDEX('إنهاء الخدمة'!$G$3:$G$502,60),"")</f>
        <v/>
      </c>
      <c r="H66" s="63">
        <f>IFERROR(INDEX('إنهاء الخدمة'!$I$3:$I$502,60),"")</f>
        <v/>
      </c>
      <c r="I66" s="50">
        <f>IFERROR(INDEX('إنهاء الخدمة'!$J$3:$J$502,60),"")</f>
        <v/>
      </c>
      <c r="J66" s="50">
        <f>IFERROR(INDEX('إنهاء الخدمة'!$K$3:$K$502,60),"")</f>
        <v/>
      </c>
    </row>
    <row r="67">
      <c r="A67" s="43">
        <f>IFERROR(INDEX('إنهاء الخدمة'!$A$3:$A$502,61),"")</f>
        <v/>
      </c>
      <c r="B67" s="43">
        <f>IFERROR(INDEX('إنهاء الخدمة'!$B$3:$B$502,61),"")</f>
        <v/>
      </c>
      <c r="C67" s="118">
        <f>IFERROR(INDEX('إنهاء الخدمة'!$C$3:$C$502,61),"")</f>
        <v/>
      </c>
      <c r="D67" s="43">
        <f>IFERROR(INDEX('إنهاء الخدمة'!$D$3:$D$502,61),"")</f>
        <v/>
      </c>
      <c r="E67" s="118">
        <f>IFERROR(INDEX('إنهاء الخدمة'!$E$3:$E$502,61),"")</f>
        <v/>
      </c>
      <c r="F67" s="43">
        <f>IFERROR(INDEX('إنهاء الخدمة'!$F$3:$F$502,61),"")</f>
        <v/>
      </c>
      <c r="G67" s="43">
        <f>IFERROR(INDEX('إنهاء الخدمة'!$G$3:$G$502,61),"")</f>
        <v/>
      </c>
      <c r="H67" s="60">
        <f>IFERROR(INDEX('إنهاء الخدمة'!$I$3:$I$502,61),"")</f>
        <v/>
      </c>
      <c r="I67" s="43">
        <f>IFERROR(INDEX('إنهاء الخدمة'!$J$3:$J$502,61),"")</f>
        <v/>
      </c>
      <c r="J67" s="43">
        <f>IFERROR(INDEX('إنهاء الخدمة'!$K$3:$K$502,61),"")</f>
        <v/>
      </c>
    </row>
    <row r="68">
      <c r="A68" s="50">
        <f>IFERROR(INDEX('إنهاء الخدمة'!$A$3:$A$502,62),"")</f>
        <v/>
      </c>
      <c r="B68" s="50">
        <f>IFERROR(INDEX('إنهاء الخدمة'!$B$3:$B$502,62),"")</f>
        <v/>
      </c>
      <c r="C68" s="119">
        <f>IFERROR(INDEX('إنهاء الخدمة'!$C$3:$C$502,62),"")</f>
        <v/>
      </c>
      <c r="D68" s="50">
        <f>IFERROR(INDEX('إنهاء الخدمة'!$D$3:$D$502,62),"")</f>
        <v/>
      </c>
      <c r="E68" s="119">
        <f>IFERROR(INDEX('إنهاء الخدمة'!$E$3:$E$502,62),"")</f>
        <v/>
      </c>
      <c r="F68" s="50">
        <f>IFERROR(INDEX('إنهاء الخدمة'!$F$3:$F$502,62),"")</f>
        <v/>
      </c>
      <c r="G68" s="50">
        <f>IFERROR(INDEX('إنهاء الخدمة'!$G$3:$G$502,62),"")</f>
        <v/>
      </c>
      <c r="H68" s="63">
        <f>IFERROR(INDEX('إنهاء الخدمة'!$I$3:$I$502,62),"")</f>
        <v/>
      </c>
      <c r="I68" s="50">
        <f>IFERROR(INDEX('إنهاء الخدمة'!$J$3:$J$502,62),"")</f>
        <v/>
      </c>
      <c r="J68" s="50">
        <f>IFERROR(INDEX('إنهاء الخدمة'!$K$3:$K$502,62),"")</f>
        <v/>
      </c>
    </row>
    <row r="69">
      <c r="A69" s="43">
        <f>IFERROR(INDEX('إنهاء الخدمة'!$A$3:$A$502,63),"")</f>
        <v/>
      </c>
      <c r="B69" s="43">
        <f>IFERROR(INDEX('إنهاء الخدمة'!$B$3:$B$502,63),"")</f>
        <v/>
      </c>
      <c r="C69" s="118">
        <f>IFERROR(INDEX('إنهاء الخدمة'!$C$3:$C$502,63),"")</f>
        <v/>
      </c>
      <c r="D69" s="43">
        <f>IFERROR(INDEX('إنهاء الخدمة'!$D$3:$D$502,63),"")</f>
        <v/>
      </c>
      <c r="E69" s="118">
        <f>IFERROR(INDEX('إنهاء الخدمة'!$E$3:$E$502,63),"")</f>
        <v/>
      </c>
      <c r="F69" s="43">
        <f>IFERROR(INDEX('إنهاء الخدمة'!$F$3:$F$502,63),"")</f>
        <v/>
      </c>
      <c r="G69" s="43">
        <f>IFERROR(INDEX('إنهاء الخدمة'!$G$3:$G$502,63),"")</f>
        <v/>
      </c>
      <c r="H69" s="60">
        <f>IFERROR(INDEX('إنهاء الخدمة'!$I$3:$I$502,63),"")</f>
        <v/>
      </c>
      <c r="I69" s="43">
        <f>IFERROR(INDEX('إنهاء الخدمة'!$J$3:$J$502,63),"")</f>
        <v/>
      </c>
      <c r="J69" s="43">
        <f>IFERROR(INDEX('إنهاء الخدمة'!$K$3:$K$502,63),"")</f>
        <v/>
      </c>
    </row>
    <row r="70">
      <c r="A70" s="50">
        <f>IFERROR(INDEX('إنهاء الخدمة'!$A$3:$A$502,64),"")</f>
        <v/>
      </c>
      <c r="B70" s="50">
        <f>IFERROR(INDEX('إنهاء الخدمة'!$B$3:$B$502,64),"")</f>
        <v/>
      </c>
      <c r="C70" s="119">
        <f>IFERROR(INDEX('إنهاء الخدمة'!$C$3:$C$502,64),"")</f>
        <v/>
      </c>
      <c r="D70" s="50">
        <f>IFERROR(INDEX('إنهاء الخدمة'!$D$3:$D$502,64),"")</f>
        <v/>
      </c>
      <c r="E70" s="119">
        <f>IFERROR(INDEX('إنهاء الخدمة'!$E$3:$E$502,64),"")</f>
        <v/>
      </c>
      <c r="F70" s="50">
        <f>IFERROR(INDEX('إنهاء الخدمة'!$F$3:$F$502,64),"")</f>
        <v/>
      </c>
      <c r="G70" s="50">
        <f>IFERROR(INDEX('إنهاء الخدمة'!$G$3:$G$502,64),"")</f>
        <v/>
      </c>
      <c r="H70" s="63">
        <f>IFERROR(INDEX('إنهاء الخدمة'!$I$3:$I$502,64),"")</f>
        <v/>
      </c>
      <c r="I70" s="50">
        <f>IFERROR(INDEX('إنهاء الخدمة'!$J$3:$J$502,64),"")</f>
        <v/>
      </c>
      <c r="J70" s="50">
        <f>IFERROR(INDEX('إنهاء الخدمة'!$K$3:$K$502,64),"")</f>
        <v/>
      </c>
    </row>
    <row r="71">
      <c r="A71" s="43">
        <f>IFERROR(INDEX('إنهاء الخدمة'!$A$3:$A$502,65),"")</f>
        <v/>
      </c>
      <c r="B71" s="43">
        <f>IFERROR(INDEX('إنهاء الخدمة'!$B$3:$B$502,65),"")</f>
        <v/>
      </c>
      <c r="C71" s="118">
        <f>IFERROR(INDEX('إنهاء الخدمة'!$C$3:$C$502,65),"")</f>
        <v/>
      </c>
      <c r="D71" s="43">
        <f>IFERROR(INDEX('إنهاء الخدمة'!$D$3:$D$502,65),"")</f>
        <v/>
      </c>
      <c r="E71" s="118">
        <f>IFERROR(INDEX('إنهاء الخدمة'!$E$3:$E$502,65),"")</f>
        <v/>
      </c>
      <c r="F71" s="43">
        <f>IFERROR(INDEX('إنهاء الخدمة'!$F$3:$F$502,65),"")</f>
        <v/>
      </c>
      <c r="G71" s="43">
        <f>IFERROR(INDEX('إنهاء الخدمة'!$G$3:$G$502,65),"")</f>
        <v/>
      </c>
      <c r="H71" s="60">
        <f>IFERROR(INDEX('إنهاء الخدمة'!$I$3:$I$502,65),"")</f>
        <v/>
      </c>
      <c r="I71" s="43">
        <f>IFERROR(INDEX('إنهاء الخدمة'!$J$3:$J$502,65),"")</f>
        <v/>
      </c>
      <c r="J71" s="43">
        <f>IFERROR(INDEX('إنهاء الخدمة'!$K$3:$K$502,65),"")</f>
        <v/>
      </c>
    </row>
    <row r="72">
      <c r="A72" s="50">
        <f>IFERROR(INDEX('إنهاء الخدمة'!$A$3:$A$502,66),"")</f>
        <v/>
      </c>
      <c r="B72" s="50">
        <f>IFERROR(INDEX('إنهاء الخدمة'!$B$3:$B$502,66),"")</f>
        <v/>
      </c>
      <c r="C72" s="119">
        <f>IFERROR(INDEX('إنهاء الخدمة'!$C$3:$C$502,66),"")</f>
        <v/>
      </c>
      <c r="D72" s="50">
        <f>IFERROR(INDEX('إنهاء الخدمة'!$D$3:$D$502,66),"")</f>
        <v/>
      </c>
      <c r="E72" s="119">
        <f>IFERROR(INDEX('إنهاء الخدمة'!$E$3:$E$502,66),"")</f>
        <v/>
      </c>
      <c r="F72" s="50">
        <f>IFERROR(INDEX('إنهاء الخدمة'!$F$3:$F$502,66),"")</f>
        <v/>
      </c>
      <c r="G72" s="50">
        <f>IFERROR(INDEX('إنهاء الخدمة'!$G$3:$G$502,66),"")</f>
        <v/>
      </c>
      <c r="H72" s="63">
        <f>IFERROR(INDEX('إنهاء الخدمة'!$I$3:$I$502,66),"")</f>
        <v/>
      </c>
      <c r="I72" s="50">
        <f>IFERROR(INDEX('إنهاء الخدمة'!$J$3:$J$502,66),"")</f>
        <v/>
      </c>
      <c r="J72" s="50">
        <f>IFERROR(INDEX('إنهاء الخدمة'!$K$3:$K$502,66),"")</f>
        <v/>
      </c>
    </row>
    <row r="73">
      <c r="A73" s="43">
        <f>IFERROR(INDEX('إنهاء الخدمة'!$A$3:$A$502,67),"")</f>
        <v/>
      </c>
      <c r="B73" s="43">
        <f>IFERROR(INDEX('إنهاء الخدمة'!$B$3:$B$502,67),"")</f>
        <v/>
      </c>
      <c r="C73" s="118">
        <f>IFERROR(INDEX('إنهاء الخدمة'!$C$3:$C$502,67),"")</f>
        <v/>
      </c>
      <c r="D73" s="43">
        <f>IFERROR(INDEX('إنهاء الخدمة'!$D$3:$D$502,67),"")</f>
        <v/>
      </c>
      <c r="E73" s="118">
        <f>IFERROR(INDEX('إنهاء الخدمة'!$E$3:$E$502,67),"")</f>
        <v/>
      </c>
      <c r="F73" s="43">
        <f>IFERROR(INDEX('إنهاء الخدمة'!$F$3:$F$502,67),"")</f>
        <v/>
      </c>
      <c r="G73" s="43">
        <f>IFERROR(INDEX('إنهاء الخدمة'!$G$3:$G$502,67),"")</f>
        <v/>
      </c>
      <c r="H73" s="60">
        <f>IFERROR(INDEX('إنهاء الخدمة'!$I$3:$I$502,67),"")</f>
        <v/>
      </c>
      <c r="I73" s="43">
        <f>IFERROR(INDEX('إنهاء الخدمة'!$J$3:$J$502,67),"")</f>
        <v/>
      </c>
      <c r="J73" s="43">
        <f>IFERROR(INDEX('إنهاء الخدمة'!$K$3:$K$502,67),"")</f>
        <v/>
      </c>
    </row>
    <row r="74">
      <c r="A74" s="50">
        <f>IFERROR(INDEX('إنهاء الخدمة'!$A$3:$A$502,68),"")</f>
        <v/>
      </c>
      <c r="B74" s="50">
        <f>IFERROR(INDEX('إنهاء الخدمة'!$B$3:$B$502,68),"")</f>
        <v/>
      </c>
      <c r="C74" s="119">
        <f>IFERROR(INDEX('إنهاء الخدمة'!$C$3:$C$502,68),"")</f>
        <v/>
      </c>
      <c r="D74" s="50">
        <f>IFERROR(INDEX('إنهاء الخدمة'!$D$3:$D$502,68),"")</f>
        <v/>
      </c>
      <c r="E74" s="119">
        <f>IFERROR(INDEX('إنهاء الخدمة'!$E$3:$E$502,68),"")</f>
        <v/>
      </c>
      <c r="F74" s="50">
        <f>IFERROR(INDEX('إنهاء الخدمة'!$F$3:$F$502,68),"")</f>
        <v/>
      </c>
      <c r="G74" s="50">
        <f>IFERROR(INDEX('إنهاء الخدمة'!$G$3:$G$502,68),"")</f>
        <v/>
      </c>
      <c r="H74" s="63">
        <f>IFERROR(INDEX('إنهاء الخدمة'!$I$3:$I$502,68),"")</f>
        <v/>
      </c>
      <c r="I74" s="50">
        <f>IFERROR(INDEX('إنهاء الخدمة'!$J$3:$J$502,68),"")</f>
        <v/>
      </c>
      <c r="J74" s="50">
        <f>IFERROR(INDEX('إنهاء الخدمة'!$K$3:$K$502,68),"")</f>
        <v/>
      </c>
    </row>
    <row r="75">
      <c r="A75" s="43">
        <f>IFERROR(INDEX('إنهاء الخدمة'!$A$3:$A$502,69),"")</f>
        <v/>
      </c>
      <c r="B75" s="43">
        <f>IFERROR(INDEX('إنهاء الخدمة'!$B$3:$B$502,69),"")</f>
        <v/>
      </c>
      <c r="C75" s="118">
        <f>IFERROR(INDEX('إنهاء الخدمة'!$C$3:$C$502,69),"")</f>
        <v/>
      </c>
      <c r="D75" s="43">
        <f>IFERROR(INDEX('إنهاء الخدمة'!$D$3:$D$502,69),"")</f>
        <v/>
      </c>
      <c r="E75" s="118">
        <f>IFERROR(INDEX('إنهاء الخدمة'!$E$3:$E$502,69),"")</f>
        <v/>
      </c>
      <c r="F75" s="43">
        <f>IFERROR(INDEX('إنهاء الخدمة'!$F$3:$F$502,69),"")</f>
        <v/>
      </c>
      <c r="G75" s="43">
        <f>IFERROR(INDEX('إنهاء الخدمة'!$G$3:$G$502,69),"")</f>
        <v/>
      </c>
      <c r="H75" s="60">
        <f>IFERROR(INDEX('إنهاء الخدمة'!$I$3:$I$502,69),"")</f>
        <v/>
      </c>
      <c r="I75" s="43">
        <f>IFERROR(INDEX('إنهاء الخدمة'!$J$3:$J$502,69),"")</f>
        <v/>
      </c>
      <c r="J75" s="43">
        <f>IFERROR(INDEX('إنهاء الخدمة'!$K$3:$K$502,69),"")</f>
        <v/>
      </c>
    </row>
    <row r="76">
      <c r="A76" s="50">
        <f>IFERROR(INDEX('إنهاء الخدمة'!$A$3:$A$502,70),"")</f>
        <v/>
      </c>
      <c r="B76" s="50">
        <f>IFERROR(INDEX('إنهاء الخدمة'!$B$3:$B$502,70),"")</f>
        <v/>
      </c>
      <c r="C76" s="119">
        <f>IFERROR(INDEX('إنهاء الخدمة'!$C$3:$C$502,70),"")</f>
        <v/>
      </c>
      <c r="D76" s="50">
        <f>IFERROR(INDEX('إنهاء الخدمة'!$D$3:$D$502,70),"")</f>
        <v/>
      </c>
      <c r="E76" s="119">
        <f>IFERROR(INDEX('إنهاء الخدمة'!$E$3:$E$502,70),"")</f>
        <v/>
      </c>
      <c r="F76" s="50">
        <f>IFERROR(INDEX('إنهاء الخدمة'!$F$3:$F$502,70),"")</f>
        <v/>
      </c>
      <c r="G76" s="50">
        <f>IFERROR(INDEX('إنهاء الخدمة'!$G$3:$G$502,70),"")</f>
        <v/>
      </c>
      <c r="H76" s="63">
        <f>IFERROR(INDEX('إنهاء الخدمة'!$I$3:$I$502,70),"")</f>
        <v/>
      </c>
      <c r="I76" s="50">
        <f>IFERROR(INDEX('إنهاء الخدمة'!$J$3:$J$502,70),"")</f>
        <v/>
      </c>
      <c r="J76" s="50">
        <f>IFERROR(INDEX('إنهاء الخدمة'!$K$3:$K$502,70),"")</f>
        <v/>
      </c>
    </row>
    <row r="77">
      <c r="A77" s="43">
        <f>IFERROR(INDEX('إنهاء الخدمة'!$A$3:$A$502,71),"")</f>
        <v/>
      </c>
      <c r="B77" s="43">
        <f>IFERROR(INDEX('إنهاء الخدمة'!$B$3:$B$502,71),"")</f>
        <v/>
      </c>
      <c r="C77" s="118">
        <f>IFERROR(INDEX('إنهاء الخدمة'!$C$3:$C$502,71),"")</f>
        <v/>
      </c>
      <c r="D77" s="43">
        <f>IFERROR(INDEX('إنهاء الخدمة'!$D$3:$D$502,71),"")</f>
        <v/>
      </c>
      <c r="E77" s="118">
        <f>IFERROR(INDEX('إنهاء الخدمة'!$E$3:$E$502,71),"")</f>
        <v/>
      </c>
      <c r="F77" s="43">
        <f>IFERROR(INDEX('إنهاء الخدمة'!$F$3:$F$502,71),"")</f>
        <v/>
      </c>
      <c r="G77" s="43">
        <f>IFERROR(INDEX('إنهاء الخدمة'!$G$3:$G$502,71),"")</f>
        <v/>
      </c>
      <c r="H77" s="60">
        <f>IFERROR(INDEX('إنهاء الخدمة'!$I$3:$I$502,71),"")</f>
        <v/>
      </c>
      <c r="I77" s="43">
        <f>IFERROR(INDEX('إنهاء الخدمة'!$J$3:$J$502,71),"")</f>
        <v/>
      </c>
      <c r="J77" s="43">
        <f>IFERROR(INDEX('إنهاء الخدمة'!$K$3:$K$502,71),"")</f>
        <v/>
      </c>
    </row>
    <row r="78">
      <c r="A78" s="50">
        <f>IFERROR(INDEX('إنهاء الخدمة'!$A$3:$A$502,72),"")</f>
        <v/>
      </c>
      <c r="B78" s="50">
        <f>IFERROR(INDEX('إنهاء الخدمة'!$B$3:$B$502,72),"")</f>
        <v/>
      </c>
      <c r="C78" s="119">
        <f>IFERROR(INDEX('إنهاء الخدمة'!$C$3:$C$502,72),"")</f>
        <v/>
      </c>
      <c r="D78" s="50">
        <f>IFERROR(INDEX('إنهاء الخدمة'!$D$3:$D$502,72),"")</f>
        <v/>
      </c>
      <c r="E78" s="119">
        <f>IFERROR(INDEX('إنهاء الخدمة'!$E$3:$E$502,72),"")</f>
        <v/>
      </c>
      <c r="F78" s="50">
        <f>IFERROR(INDEX('إنهاء الخدمة'!$F$3:$F$502,72),"")</f>
        <v/>
      </c>
      <c r="G78" s="50">
        <f>IFERROR(INDEX('إنهاء الخدمة'!$G$3:$G$502,72),"")</f>
        <v/>
      </c>
      <c r="H78" s="63">
        <f>IFERROR(INDEX('إنهاء الخدمة'!$I$3:$I$502,72),"")</f>
        <v/>
      </c>
      <c r="I78" s="50">
        <f>IFERROR(INDEX('إنهاء الخدمة'!$J$3:$J$502,72),"")</f>
        <v/>
      </c>
      <c r="J78" s="50">
        <f>IFERROR(INDEX('إنهاء الخدمة'!$K$3:$K$502,72),"")</f>
        <v/>
      </c>
    </row>
    <row r="79">
      <c r="A79" s="43">
        <f>IFERROR(INDEX('إنهاء الخدمة'!$A$3:$A$502,73),"")</f>
        <v/>
      </c>
      <c r="B79" s="43">
        <f>IFERROR(INDEX('إنهاء الخدمة'!$B$3:$B$502,73),"")</f>
        <v/>
      </c>
      <c r="C79" s="118">
        <f>IFERROR(INDEX('إنهاء الخدمة'!$C$3:$C$502,73),"")</f>
        <v/>
      </c>
      <c r="D79" s="43">
        <f>IFERROR(INDEX('إنهاء الخدمة'!$D$3:$D$502,73),"")</f>
        <v/>
      </c>
      <c r="E79" s="118">
        <f>IFERROR(INDEX('إنهاء الخدمة'!$E$3:$E$502,73),"")</f>
        <v/>
      </c>
      <c r="F79" s="43">
        <f>IFERROR(INDEX('إنهاء الخدمة'!$F$3:$F$502,73),"")</f>
        <v/>
      </c>
      <c r="G79" s="43">
        <f>IFERROR(INDEX('إنهاء الخدمة'!$G$3:$G$502,73),"")</f>
        <v/>
      </c>
      <c r="H79" s="60">
        <f>IFERROR(INDEX('إنهاء الخدمة'!$I$3:$I$502,73),"")</f>
        <v/>
      </c>
      <c r="I79" s="43">
        <f>IFERROR(INDEX('إنهاء الخدمة'!$J$3:$J$502,73),"")</f>
        <v/>
      </c>
      <c r="J79" s="43">
        <f>IFERROR(INDEX('إنهاء الخدمة'!$K$3:$K$502,73),"")</f>
        <v/>
      </c>
    </row>
    <row r="80">
      <c r="A80" s="50">
        <f>IFERROR(INDEX('إنهاء الخدمة'!$A$3:$A$502,74),"")</f>
        <v/>
      </c>
      <c r="B80" s="50">
        <f>IFERROR(INDEX('إنهاء الخدمة'!$B$3:$B$502,74),"")</f>
        <v/>
      </c>
      <c r="C80" s="119">
        <f>IFERROR(INDEX('إنهاء الخدمة'!$C$3:$C$502,74),"")</f>
        <v/>
      </c>
      <c r="D80" s="50">
        <f>IFERROR(INDEX('إنهاء الخدمة'!$D$3:$D$502,74),"")</f>
        <v/>
      </c>
      <c r="E80" s="119">
        <f>IFERROR(INDEX('إنهاء الخدمة'!$E$3:$E$502,74),"")</f>
        <v/>
      </c>
      <c r="F80" s="50">
        <f>IFERROR(INDEX('إنهاء الخدمة'!$F$3:$F$502,74),"")</f>
        <v/>
      </c>
      <c r="G80" s="50">
        <f>IFERROR(INDEX('إنهاء الخدمة'!$G$3:$G$502,74),"")</f>
        <v/>
      </c>
      <c r="H80" s="63">
        <f>IFERROR(INDEX('إنهاء الخدمة'!$I$3:$I$502,74),"")</f>
        <v/>
      </c>
      <c r="I80" s="50">
        <f>IFERROR(INDEX('إنهاء الخدمة'!$J$3:$J$502,74),"")</f>
        <v/>
      </c>
      <c r="J80" s="50">
        <f>IFERROR(INDEX('إنهاء الخدمة'!$K$3:$K$502,74),"")</f>
        <v/>
      </c>
    </row>
    <row r="81">
      <c r="A81" s="43">
        <f>IFERROR(INDEX('إنهاء الخدمة'!$A$3:$A$502,75),"")</f>
        <v/>
      </c>
      <c r="B81" s="43">
        <f>IFERROR(INDEX('إنهاء الخدمة'!$B$3:$B$502,75),"")</f>
        <v/>
      </c>
      <c r="C81" s="118">
        <f>IFERROR(INDEX('إنهاء الخدمة'!$C$3:$C$502,75),"")</f>
        <v/>
      </c>
      <c r="D81" s="43">
        <f>IFERROR(INDEX('إنهاء الخدمة'!$D$3:$D$502,75),"")</f>
        <v/>
      </c>
      <c r="E81" s="118">
        <f>IFERROR(INDEX('إنهاء الخدمة'!$E$3:$E$502,75),"")</f>
        <v/>
      </c>
      <c r="F81" s="43">
        <f>IFERROR(INDEX('إنهاء الخدمة'!$F$3:$F$502,75),"")</f>
        <v/>
      </c>
      <c r="G81" s="43">
        <f>IFERROR(INDEX('إنهاء الخدمة'!$G$3:$G$502,75),"")</f>
        <v/>
      </c>
      <c r="H81" s="60">
        <f>IFERROR(INDEX('إنهاء الخدمة'!$I$3:$I$502,75),"")</f>
        <v/>
      </c>
      <c r="I81" s="43">
        <f>IFERROR(INDEX('إنهاء الخدمة'!$J$3:$J$502,75),"")</f>
        <v/>
      </c>
      <c r="J81" s="43">
        <f>IFERROR(INDEX('إنهاء الخدمة'!$K$3:$K$502,75),"")</f>
        <v/>
      </c>
    </row>
    <row r="82">
      <c r="A82" s="50">
        <f>IFERROR(INDEX('إنهاء الخدمة'!$A$3:$A$502,76),"")</f>
        <v/>
      </c>
      <c r="B82" s="50">
        <f>IFERROR(INDEX('إنهاء الخدمة'!$B$3:$B$502,76),"")</f>
        <v/>
      </c>
      <c r="C82" s="119">
        <f>IFERROR(INDEX('إنهاء الخدمة'!$C$3:$C$502,76),"")</f>
        <v/>
      </c>
      <c r="D82" s="50">
        <f>IFERROR(INDEX('إنهاء الخدمة'!$D$3:$D$502,76),"")</f>
        <v/>
      </c>
      <c r="E82" s="119">
        <f>IFERROR(INDEX('إنهاء الخدمة'!$E$3:$E$502,76),"")</f>
        <v/>
      </c>
      <c r="F82" s="50">
        <f>IFERROR(INDEX('إنهاء الخدمة'!$F$3:$F$502,76),"")</f>
        <v/>
      </c>
      <c r="G82" s="50">
        <f>IFERROR(INDEX('إنهاء الخدمة'!$G$3:$G$502,76),"")</f>
        <v/>
      </c>
      <c r="H82" s="63">
        <f>IFERROR(INDEX('إنهاء الخدمة'!$I$3:$I$502,76),"")</f>
        <v/>
      </c>
      <c r="I82" s="50">
        <f>IFERROR(INDEX('إنهاء الخدمة'!$J$3:$J$502,76),"")</f>
        <v/>
      </c>
      <c r="J82" s="50">
        <f>IFERROR(INDEX('إنهاء الخدمة'!$K$3:$K$502,76),"")</f>
        <v/>
      </c>
    </row>
    <row r="83">
      <c r="A83" s="43">
        <f>IFERROR(INDEX('إنهاء الخدمة'!$A$3:$A$502,77),"")</f>
        <v/>
      </c>
      <c r="B83" s="43">
        <f>IFERROR(INDEX('إنهاء الخدمة'!$B$3:$B$502,77),"")</f>
        <v/>
      </c>
      <c r="C83" s="118">
        <f>IFERROR(INDEX('إنهاء الخدمة'!$C$3:$C$502,77),"")</f>
        <v/>
      </c>
      <c r="D83" s="43">
        <f>IFERROR(INDEX('إنهاء الخدمة'!$D$3:$D$502,77),"")</f>
        <v/>
      </c>
      <c r="E83" s="118">
        <f>IFERROR(INDEX('إنهاء الخدمة'!$E$3:$E$502,77),"")</f>
        <v/>
      </c>
      <c r="F83" s="43">
        <f>IFERROR(INDEX('إنهاء الخدمة'!$F$3:$F$502,77),"")</f>
        <v/>
      </c>
      <c r="G83" s="43">
        <f>IFERROR(INDEX('إنهاء الخدمة'!$G$3:$G$502,77),"")</f>
        <v/>
      </c>
      <c r="H83" s="60">
        <f>IFERROR(INDEX('إنهاء الخدمة'!$I$3:$I$502,77),"")</f>
        <v/>
      </c>
      <c r="I83" s="43">
        <f>IFERROR(INDEX('إنهاء الخدمة'!$J$3:$J$502,77),"")</f>
        <v/>
      </c>
      <c r="J83" s="43">
        <f>IFERROR(INDEX('إنهاء الخدمة'!$K$3:$K$502,77),"")</f>
        <v/>
      </c>
    </row>
    <row r="84">
      <c r="A84" s="50">
        <f>IFERROR(INDEX('إنهاء الخدمة'!$A$3:$A$502,78),"")</f>
        <v/>
      </c>
      <c r="B84" s="50">
        <f>IFERROR(INDEX('إنهاء الخدمة'!$B$3:$B$502,78),"")</f>
        <v/>
      </c>
      <c r="C84" s="119">
        <f>IFERROR(INDEX('إنهاء الخدمة'!$C$3:$C$502,78),"")</f>
        <v/>
      </c>
      <c r="D84" s="50">
        <f>IFERROR(INDEX('إنهاء الخدمة'!$D$3:$D$502,78),"")</f>
        <v/>
      </c>
      <c r="E84" s="119">
        <f>IFERROR(INDEX('إنهاء الخدمة'!$E$3:$E$502,78),"")</f>
        <v/>
      </c>
      <c r="F84" s="50">
        <f>IFERROR(INDEX('إنهاء الخدمة'!$F$3:$F$502,78),"")</f>
        <v/>
      </c>
      <c r="G84" s="50">
        <f>IFERROR(INDEX('إنهاء الخدمة'!$G$3:$G$502,78),"")</f>
        <v/>
      </c>
      <c r="H84" s="63">
        <f>IFERROR(INDEX('إنهاء الخدمة'!$I$3:$I$502,78),"")</f>
        <v/>
      </c>
      <c r="I84" s="50">
        <f>IFERROR(INDEX('إنهاء الخدمة'!$J$3:$J$502,78),"")</f>
        <v/>
      </c>
      <c r="J84" s="50">
        <f>IFERROR(INDEX('إنهاء الخدمة'!$K$3:$K$502,78),"")</f>
        <v/>
      </c>
    </row>
    <row r="85">
      <c r="A85" s="43">
        <f>IFERROR(INDEX('إنهاء الخدمة'!$A$3:$A$502,79),"")</f>
        <v/>
      </c>
      <c r="B85" s="43">
        <f>IFERROR(INDEX('إنهاء الخدمة'!$B$3:$B$502,79),"")</f>
        <v/>
      </c>
      <c r="C85" s="118">
        <f>IFERROR(INDEX('إنهاء الخدمة'!$C$3:$C$502,79),"")</f>
        <v/>
      </c>
      <c r="D85" s="43">
        <f>IFERROR(INDEX('إنهاء الخدمة'!$D$3:$D$502,79),"")</f>
        <v/>
      </c>
      <c r="E85" s="118">
        <f>IFERROR(INDEX('إنهاء الخدمة'!$E$3:$E$502,79),"")</f>
        <v/>
      </c>
      <c r="F85" s="43">
        <f>IFERROR(INDEX('إنهاء الخدمة'!$F$3:$F$502,79),"")</f>
        <v/>
      </c>
      <c r="G85" s="43">
        <f>IFERROR(INDEX('إنهاء الخدمة'!$G$3:$G$502,79),"")</f>
        <v/>
      </c>
      <c r="H85" s="60">
        <f>IFERROR(INDEX('إنهاء الخدمة'!$I$3:$I$502,79),"")</f>
        <v/>
      </c>
      <c r="I85" s="43">
        <f>IFERROR(INDEX('إنهاء الخدمة'!$J$3:$J$502,79),"")</f>
        <v/>
      </c>
      <c r="J85" s="43">
        <f>IFERROR(INDEX('إنهاء الخدمة'!$K$3:$K$502,79),"")</f>
        <v/>
      </c>
    </row>
    <row r="86">
      <c r="A86" s="50">
        <f>IFERROR(INDEX('إنهاء الخدمة'!$A$3:$A$502,80),"")</f>
        <v/>
      </c>
      <c r="B86" s="50">
        <f>IFERROR(INDEX('إنهاء الخدمة'!$B$3:$B$502,80),"")</f>
        <v/>
      </c>
      <c r="C86" s="119">
        <f>IFERROR(INDEX('إنهاء الخدمة'!$C$3:$C$502,80),"")</f>
        <v/>
      </c>
      <c r="D86" s="50">
        <f>IFERROR(INDEX('إنهاء الخدمة'!$D$3:$D$502,80),"")</f>
        <v/>
      </c>
      <c r="E86" s="119">
        <f>IFERROR(INDEX('إنهاء الخدمة'!$E$3:$E$502,80),"")</f>
        <v/>
      </c>
      <c r="F86" s="50">
        <f>IFERROR(INDEX('إنهاء الخدمة'!$F$3:$F$502,80),"")</f>
        <v/>
      </c>
      <c r="G86" s="50">
        <f>IFERROR(INDEX('إنهاء الخدمة'!$G$3:$G$502,80),"")</f>
        <v/>
      </c>
      <c r="H86" s="63">
        <f>IFERROR(INDEX('إنهاء الخدمة'!$I$3:$I$502,80),"")</f>
        <v/>
      </c>
      <c r="I86" s="50">
        <f>IFERROR(INDEX('إنهاء الخدمة'!$J$3:$J$502,80),"")</f>
        <v/>
      </c>
      <c r="J86" s="50">
        <f>IFERROR(INDEX('إنهاء الخدمة'!$K$3:$K$502,80),"")</f>
        <v/>
      </c>
    </row>
    <row r="87">
      <c r="A87" s="43">
        <f>IFERROR(INDEX('إنهاء الخدمة'!$A$3:$A$502,81),"")</f>
        <v/>
      </c>
      <c r="B87" s="43">
        <f>IFERROR(INDEX('إنهاء الخدمة'!$B$3:$B$502,81),"")</f>
        <v/>
      </c>
      <c r="C87" s="118">
        <f>IFERROR(INDEX('إنهاء الخدمة'!$C$3:$C$502,81),"")</f>
        <v/>
      </c>
      <c r="D87" s="43">
        <f>IFERROR(INDEX('إنهاء الخدمة'!$D$3:$D$502,81),"")</f>
        <v/>
      </c>
      <c r="E87" s="118">
        <f>IFERROR(INDEX('إنهاء الخدمة'!$E$3:$E$502,81),"")</f>
        <v/>
      </c>
      <c r="F87" s="43">
        <f>IFERROR(INDEX('إنهاء الخدمة'!$F$3:$F$502,81),"")</f>
        <v/>
      </c>
      <c r="G87" s="43">
        <f>IFERROR(INDEX('إنهاء الخدمة'!$G$3:$G$502,81),"")</f>
        <v/>
      </c>
      <c r="H87" s="60">
        <f>IFERROR(INDEX('إنهاء الخدمة'!$I$3:$I$502,81),"")</f>
        <v/>
      </c>
      <c r="I87" s="43">
        <f>IFERROR(INDEX('إنهاء الخدمة'!$J$3:$J$502,81),"")</f>
        <v/>
      </c>
      <c r="J87" s="43">
        <f>IFERROR(INDEX('إنهاء الخدمة'!$K$3:$K$502,81),"")</f>
        <v/>
      </c>
    </row>
    <row r="88">
      <c r="A88" s="50">
        <f>IFERROR(INDEX('إنهاء الخدمة'!$A$3:$A$502,82),"")</f>
        <v/>
      </c>
      <c r="B88" s="50">
        <f>IFERROR(INDEX('إنهاء الخدمة'!$B$3:$B$502,82),"")</f>
        <v/>
      </c>
      <c r="C88" s="119">
        <f>IFERROR(INDEX('إنهاء الخدمة'!$C$3:$C$502,82),"")</f>
        <v/>
      </c>
      <c r="D88" s="50">
        <f>IFERROR(INDEX('إنهاء الخدمة'!$D$3:$D$502,82),"")</f>
        <v/>
      </c>
      <c r="E88" s="119">
        <f>IFERROR(INDEX('إنهاء الخدمة'!$E$3:$E$502,82),"")</f>
        <v/>
      </c>
      <c r="F88" s="50">
        <f>IFERROR(INDEX('إنهاء الخدمة'!$F$3:$F$502,82),"")</f>
        <v/>
      </c>
      <c r="G88" s="50">
        <f>IFERROR(INDEX('إنهاء الخدمة'!$G$3:$G$502,82),"")</f>
        <v/>
      </c>
      <c r="H88" s="63">
        <f>IFERROR(INDEX('إنهاء الخدمة'!$I$3:$I$502,82),"")</f>
        <v/>
      </c>
      <c r="I88" s="50">
        <f>IFERROR(INDEX('إنهاء الخدمة'!$J$3:$J$502,82),"")</f>
        <v/>
      </c>
      <c r="J88" s="50">
        <f>IFERROR(INDEX('إنهاء الخدمة'!$K$3:$K$502,82),"")</f>
        <v/>
      </c>
    </row>
    <row r="89">
      <c r="A89" s="43">
        <f>IFERROR(INDEX('إنهاء الخدمة'!$A$3:$A$502,83),"")</f>
        <v/>
      </c>
      <c r="B89" s="43">
        <f>IFERROR(INDEX('إنهاء الخدمة'!$B$3:$B$502,83),"")</f>
        <v/>
      </c>
      <c r="C89" s="118">
        <f>IFERROR(INDEX('إنهاء الخدمة'!$C$3:$C$502,83),"")</f>
        <v/>
      </c>
      <c r="D89" s="43">
        <f>IFERROR(INDEX('إنهاء الخدمة'!$D$3:$D$502,83),"")</f>
        <v/>
      </c>
      <c r="E89" s="118">
        <f>IFERROR(INDEX('إنهاء الخدمة'!$E$3:$E$502,83),"")</f>
        <v/>
      </c>
      <c r="F89" s="43">
        <f>IFERROR(INDEX('إنهاء الخدمة'!$F$3:$F$502,83),"")</f>
        <v/>
      </c>
      <c r="G89" s="43">
        <f>IFERROR(INDEX('إنهاء الخدمة'!$G$3:$G$502,83),"")</f>
        <v/>
      </c>
      <c r="H89" s="60">
        <f>IFERROR(INDEX('إنهاء الخدمة'!$I$3:$I$502,83),"")</f>
        <v/>
      </c>
      <c r="I89" s="43">
        <f>IFERROR(INDEX('إنهاء الخدمة'!$J$3:$J$502,83),"")</f>
        <v/>
      </c>
      <c r="J89" s="43">
        <f>IFERROR(INDEX('إنهاء الخدمة'!$K$3:$K$502,83),"")</f>
        <v/>
      </c>
    </row>
    <row r="90">
      <c r="A90" s="50">
        <f>IFERROR(INDEX('إنهاء الخدمة'!$A$3:$A$502,84),"")</f>
        <v/>
      </c>
      <c r="B90" s="50">
        <f>IFERROR(INDEX('إنهاء الخدمة'!$B$3:$B$502,84),"")</f>
        <v/>
      </c>
      <c r="C90" s="119">
        <f>IFERROR(INDEX('إنهاء الخدمة'!$C$3:$C$502,84),"")</f>
        <v/>
      </c>
      <c r="D90" s="50">
        <f>IFERROR(INDEX('إنهاء الخدمة'!$D$3:$D$502,84),"")</f>
        <v/>
      </c>
      <c r="E90" s="119">
        <f>IFERROR(INDEX('إنهاء الخدمة'!$E$3:$E$502,84),"")</f>
        <v/>
      </c>
      <c r="F90" s="50">
        <f>IFERROR(INDEX('إنهاء الخدمة'!$F$3:$F$502,84),"")</f>
        <v/>
      </c>
      <c r="G90" s="50">
        <f>IFERROR(INDEX('إنهاء الخدمة'!$G$3:$G$502,84),"")</f>
        <v/>
      </c>
      <c r="H90" s="63">
        <f>IFERROR(INDEX('إنهاء الخدمة'!$I$3:$I$502,84),"")</f>
        <v/>
      </c>
      <c r="I90" s="50">
        <f>IFERROR(INDEX('إنهاء الخدمة'!$J$3:$J$502,84),"")</f>
        <v/>
      </c>
      <c r="J90" s="50">
        <f>IFERROR(INDEX('إنهاء الخدمة'!$K$3:$K$502,84),"")</f>
        <v/>
      </c>
    </row>
    <row r="91">
      <c r="A91" s="43">
        <f>IFERROR(INDEX('إنهاء الخدمة'!$A$3:$A$502,85),"")</f>
        <v/>
      </c>
      <c r="B91" s="43">
        <f>IFERROR(INDEX('إنهاء الخدمة'!$B$3:$B$502,85),"")</f>
        <v/>
      </c>
      <c r="C91" s="118">
        <f>IFERROR(INDEX('إنهاء الخدمة'!$C$3:$C$502,85),"")</f>
        <v/>
      </c>
      <c r="D91" s="43">
        <f>IFERROR(INDEX('إنهاء الخدمة'!$D$3:$D$502,85),"")</f>
        <v/>
      </c>
      <c r="E91" s="118">
        <f>IFERROR(INDEX('إنهاء الخدمة'!$E$3:$E$502,85),"")</f>
        <v/>
      </c>
      <c r="F91" s="43">
        <f>IFERROR(INDEX('إنهاء الخدمة'!$F$3:$F$502,85),"")</f>
        <v/>
      </c>
      <c r="G91" s="43">
        <f>IFERROR(INDEX('إنهاء الخدمة'!$G$3:$G$502,85),"")</f>
        <v/>
      </c>
      <c r="H91" s="60">
        <f>IFERROR(INDEX('إنهاء الخدمة'!$I$3:$I$502,85),"")</f>
        <v/>
      </c>
      <c r="I91" s="43">
        <f>IFERROR(INDEX('إنهاء الخدمة'!$J$3:$J$502,85),"")</f>
        <v/>
      </c>
      <c r="J91" s="43">
        <f>IFERROR(INDEX('إنهاء الخدمة'!$K$3:$K$502,85),"")</f>
        <v/>
      </c>
    </row>
    <row r="92">
      <c r="A92" s="50">
        <f>IFERROR(INDEX('إنهاء الخدمة'!$A$3:$A$502,86),"")</f>
        <v/>
      </c>
      <c r="B92" s="50">
        <f>IFERROR(INDEX('إنهاء الخدمة'!$B$3:$B$502,86),"")</f>
        <v/>
      </c>
      <c r="C92" s="119">
        <f>IFERROR(INDEX('إنهاء الخدمة'!$C$3:$C$502,86),"")</f>
        <v/>
      </c>
      <c r="D92" s="50">
        <f>IFERROR(INDEX('إنهاء الخدمة'!$D$3:$D$502,86),"")</f>
        <v/>
      </c>
      <c r="E92" s="119">
        <f>IFERROR(INDEX('إنهاء الخدمة'!$E$3:$E$502,86),"")</f>
        <v/>
      </c>
      <c r="F92" s="50">
        <f>IFERROR(INDEX('إنهاء الخدمة'!$F$3:$F$502,86),"")</f>
        <v/>
      </c>
      <c r="G92" s="50">
        <f>IFERROR(INDEX('إنهاء الخدمة'!$G$3:$G$502,86),"")</f>
        <v/>
      </c>
      <c r="H92" s="63">
        <f>IFERROR(INDEX('إنهاء الخدمة'!$I$3:$I$502,86),"")</f>
        <v/>
      </c>
      <c r="I92" s="50">
        <f>IFERROR(INDEX('إنهاء الخدمة'!$J$3:$J$502,86),"")</f>
        <v/>
      </c>
      <c r="J92" s="50">
        <f>IFERROR(INDEX('إنهاء الخدمة'!$K$3:$K$502,86),"")</f>
        <v/>
      </c>
    </row>
    <row r="93">
      <c r="A93" s="43">
        <f>IFERROR(INDEX('إنهاء الخدمة'!$A$3:$A$502,87),"")</f>
        <v/>
      </c>
      <c r="B93" s="43">
        <f>IFERROR(INDEX('إنهاء الخدمة'!$B$3:$B$502,87),"")</f>
        <v/>
      </c>
      <c r="C93" s="118">
        <f>IFERROR(INDEX('إنهاء الخدمة'!$C$3:$C$502,87),"")</f>
        <v/>
      </c>
      <c r="D93" s="43">
        <f>IFERROR(INDEX('إنهاء الخدمة'!$D$3:$D$502,87),"")</f>
        <v/>
      </c>
      <c r="E93" s="118">
        <f>IFERROR(INDEX('إنهاء الخدمة'!$E$3:$E$502,87),"")</f>
        <v/>
      </c>
      <c r="F93" s="43">
        <f>IFERROR(INDEX('إنهاء الخدمة'!$F$3:$F$502,87),"")</f>
        <v/>
      </c>
      <c r="G93" s="43">
        <f>IFERROR(INDEX('إنهاء الخدمة'!$G$3:$G$502,87),"")</f>
        <v/>
      </c>
      <c r="H93" s="60">
        <f>IFERROR(INDEX('إنهاء الخدمة'!$I$3:$I$502,87),"")</f>
        <v/>
      </c>
      <c r="I93" s="43">
        <f>IFERROR(INDEX('إنهاء الخدمة'!$J$3:$J$502,87),"")</f>
        <v/>
      </c>
      <c r="J93" s="43">
        <f>IFERROR(INDEX('إنهاء الخدمة'!$K$3:$K$502,87),"")</f>
        <v/>
      </c>
    </row>
    <row r="94">
      <c r="A94" s="50">
        <f>IFERROR(INDEX('إنهاء الخدمة'!$A$3:$A$502,88),"")</f>
        <v/>
      </c>
      <c r="B94" s="50">
        <f>IFERROR(INDEX('إنهاء الخدمة'!$B$3:$B$502,88),"")</f>
        <v/>
      </c>
      <c r="C94" s="119">
        <f>IFERROR(INDEX('إنهاء الخدمة'!$C$3:$C$502,88),"")</f>
        <v/>
      </c>
      <c r="D94" s="50">
        <f>IFERROR(INDEX('إنهاء الخدمة'!$D$3:$D$502,88),"")</f>
        <v/>
      </c>
      <c r="E94" s="119">
        <f>IFERROR(INDEX('إنهاء الخدمة'!$E$3:$E$502,88),"")</f>
        <v/>
      </c>
      <c r="F94" s="50">
        <f>IFERROR(INDEX('إنهاء الخدمة'!$F$3:$F$502,88),"")</f>
        <v/>
      </c>
      <c r="G94" s="50">
        <f>IFERROR(INDEX('إنهاء الخدمة'!$G$3:$G$502,88),"")</f>
        <v/>
      </c>
      <c r="H94" s="63">
        <f>IFERROR(INDEX('إنهاء الخدمة'!$I$3:$I$502,88),"")</f>
        <v/>
      </c>
      <c r="I94" s="50">
        <f>IFERROR(INDEX('إنهاء الخدمة'!$J$3:$J$502,88),"")</f>
        <v/>
      </c>
      <c r="J94" s="50">
        <f>IFERROR(INDEX('إنهاء الخدمة'!$K$3:$K$502,88),"")</f>
        <v/>
      </c>
    </row>
    <row r="95">
      <c r="A95" s="43">
        <f>IFERROR(INDEX('إنهاء الخدمة'!$A$3:$A$502,89),"")</f>
        <v/>
      </c>
      <c r="B95" s="43">
        <f>IFERROR(INDEX('إنهاء الخدمة'!$B$3:$B$502,89),"")</f>
        <v/>
      </c>
      <c r="C95" s="118">
        <f>IFERROR(INDEX('إنهاء الخدمة'!$C$3:$C$502,89),"")</f>
        <v/>
      </c>
      <c r="D95" s="43">
        <f>IFERROR(INDEX('إنهاء الخدمة'!$D$3:$D$502,89),"")</f>
        <v/>
      </c>
      <c r="E95" s="118">
        <f>IFERROR(INDEX('إنهاء الخدمة'!$E$3:$E$502,89),"")</f>
        <v/>
      </c>
      <c r="F95" s="43">
        <f>IFERROR(INDEX('إنهاء الخدمة'!$F$3:$F$502,89),"")</f>
        <v/>
      </c>
      <c r="G95" s="43">
        <f>IFERROR(INDEX('إنهاء الخدمة'!$G$3:$G$502,89),"")</f>
        <v/>
      </c>
      <c r="H95" s="60">
        <f>IFERROR(INDEX('إنهاء الخدمة'!$I$3:$I$502,89),"")</f>
        <v/>
      </c>
      <c r="I95" s="43">
        <f>IFERROR(INDEX('إنهاء الخدمة'!$J$3:$J$502,89),"")</f>
        <v/>
      </c>
      <c r="J95" s="43">
        <f>IFERROR(INDEX('إنهاء الخدمة'!$K$3:$K$502,89),"")</f>
        <v/>
      </c>
    </row>
    <row r="96">
      <c r="A96" s="50">
        <f>IFERROR(INDEX('إنهاء الخدمة'!$A$3:$A$502,90),"")</f>
        <v/>
      </c>
      <c r="B96" s="50">
        <f>IFERROR(INDEX('إنهاء الخدمة'!$B$3:$B$502,90),"")</f>
        <v/>
      </c>
      <c r="C96" s="119">
        <f>IFERROR(INDEX('إنهاء الخدمة'!$C$3:$C$502,90),"")</f>
        <v/>
      </c>
      <c r="D96" s="50">
        <f>IFERROR(INDEX('إنهاء الخدمة'!$D$3:$D$502,90),"")</f>
        <v/>
      </c>
      <c r="E96" s="119">
        <f>IFERROR(INDEX('إنهاء الخدمة'!$E$3:$E$502,90),"")</f>
        <v/>
      </c>
      <c r="F96" s="50">
        <f>IFERROR(INDEX('إنهاء الخدمة'!$F$3:$F$502,90),"")</f>
        <v/>
      </c>
      <c r="G96" s="50">
        <f>IFERROR(INDEX('إنهاء الخدمة'!$G$3:$G$502,90),"")</f>
        <v/>
      </c>
      <c r="H96" s="63">
        <f>IFERROR(INDEX('إنهاء الخدمة'!$I$3:$I$502,90),"")</f>
        <v/>
      </c>
      <c r="I96" s="50">
        <f>IFERROR(INDEX('إنهاء الخدمة'!$J$3:$J$502,90),"")</f>
        <v/>
      </c>
      <c r="J96" s="50">
        <f>IFERROR(INDEX('إنهاء الخدمة'!$K$3:$K$502,90),"")</f>
        <v/>
      </c>
    </row>
    <row r="97">
      <c r="A97" s="43">
        <f>IFERROR(INDEX('إنهاء الخدمة'!$A$3:$A$502,91),"")</f>
        <v/>
      </c>
      <c r="B97" s="43">
        <f>IFERROR(INDEX('إنهاء الخدمة'!$B$3:$B$502,91),"")</f>
        <v/>
      </c>
      <c r="C97" s="118">
        <f>IFERROR(INDEX('إنهاء الخدمة'!$C$3:$C$502,91),"")</f>
        <v/>
      </c>
      <c r="D97" s="43">
        <f>IFERROR(INDEX('إنهاء الخدمة'!$D$3:$D$502,91),"")</f>
        <v/>
      </c>
      <c r="E97" s="118">
        <f>IFERROR(INDEX('إنهاء الخدمة'!$E$3:$E$502,91),"")</f>
        <v/>
      </c>
      <c r="F97" s="43">
        <f>IFERROR(INDEX('إنهاء الخدمة'!$F$3:$F$502,91),"")</f>
        <v/>
      </c>
      <c r="G97" s="43">
        <f>IFERROR(INDEX('إنهاء الخدمة'!$G$3:$G$502,91),"")</f>
        <v/>
      </c>
      <c r="H97" s="60">
        <f>IFERROR(INDEX('إنهاء الخدمة'!$I$3:$I$502,91),"")</f>
        <v/>
      </c>
      <c r="I97" s="43">
        <f>IFERROR(INDEX('إنهاء الخدمة'!$J$3:$J$502,91),"")</f>
        <v/>
      </c>
      <c r="J97" s="43">
        <f>IFERROR(INDEX('إنهاء الخدمة'!$K$3:$K$502,91),"")</f>
        <v/>
      </c>
    </row>
    <row r="98">
      <c r="A98" s="50">
        <f>IFERROR(INDEX('إنهاء الخدمة'!$A$3:$A$502,92),"")</f>
        <v/>
      </c>
      <c r="B98" s="50">
        <f>IFERROR(INDEX('إنهاء الخدمة'!$B$3:$B$502,92),"")</f>
        <v/>
      </c>
      <c r="C98" s="119">
        <f>IFERROR(INDEX('إنهاء الخدمة'!$C$3:$C$502,92),"")</f>
        <v/>
      </c>
      <c r="D98" s="50">
        <f>IFERROR(INDEX('إنهاء الخدمة'!$D$3:$D$502,92),"")</f>
        <v/>
      </c>
      <c r="E98" s="119">
        <f>IFERROR(INDEX('إنهاء الخدمة'!$E$3:$E$502,92),"")</f>
        <v/>
      </c>
      <c r="F98" s="50">
        <f>IFERROR(INDEX('إنهاء الخدمة'!$F$3:$F$502,92),"")</f>
        <v/>
      </c>
      <c r="G98" s="50">
        <f>IFERROR(INDEX('إنهاء الخدمة'!$G$3:$G$502,92),"")</f>
        <v/>
      </c>
      <c r="H98" s="63">
        <f>IFERROR(INDEX('إنهاء الخدمة'!$I$3:$I$502,92),"")</f>
        <v/>
      </c>
      <c r="I98" s="50">
        <f>IFERROR(INDEX('إنهاء الخدمة'!$J$3:$J$502,92),"")</f>
        <v/>
      </c>
      <c r="J98" s="50">
        <f>IFERROR(INDEX('إنهاء الخدمة'!$K$3:$K$502,92),"")</f>
        <v/>
      </c>
    </row>
    <row r="99">
      <c r="A99" s="43">
        <f>IFERROR(INDEX('إنهاء الخدمة'!$A$3:$A$502,93),"")</f>
        <v/>
      </c>
      <c r="B99" s="43">
        <f>IFERROR(INDEX('إنهاء الخدمة'!$B$3:$B$502,93),"")</f>
        <v/>
      </c>
      <c r="C99" s="118">
        <f>IFERROR(INDEX('إنهاء الخدمة'!$C$3:$C$502,93),"")</f>
        <v/>
      </c>
      <c r="D99" s="43">
        <f>IFERROR(INDEX('إنهاء الخدمة'!$D$3:$D$502,93),"")</f>
        <v/>
      </c>
      <c r="E99" s="118">
        <f>IFERROR(INDEX('إنهاء الخدمة'!$E$3:$E$502,93),"")</f>
        <v/>
      </c>
      <c r="F99" s="43">
        <f>IFERROR(INDEX('إنهاء الخدمة'!$F$3:$F$502,93),"")</f>
        <v/>
      </c>
      <c r="G99" s="43">
        <f>IFERROR(INDEX('إنهاء الخدمة'!$G$3:$G$502,93),"")</f>
        <v/>
      </c>
      <c r="H99" s="60">
        <f>IFERROR(INDEX('إنهاء الخدمة'!$I$3:$I$502,93),"")</f>
        <v/>
      </c>
      <c r="I99" s="43">
        <f>IFERROR(INDEX('إنهاء الخدمة'!$J$3:$J$502,93),"")</f>
        <v/>
      </c>
      <c r="J99" s="43">
        <f>IFERROR(INDEX('إنهاء الخدمة'!$K$3:$K$502,93),"")</f>
        <v/>
      </c>
    </row>
    <row r="100">
      <c r="A100" s="50">
        <f>IFERROR(INDEX('إنهاء الخدمة'!$A$3:$A$502,94),"")</f>
        <v/>
      </c>
      <c r="B100" s="50">
        <f>IFERROR(INDEX('إنهاء الخدمة'!$B$3:$B$502,94),"")</f>
        <v/>
      </c>
      <c r="C100" s="119">
        <f>IFERROR(INDEX('إنهاء الخدمة'!$C$3:$C$502,94),"")</f>
        <v/>
      </c>
      <c r="D100" s="50">
        <f>IFERROR(INDEX('إنهاء الخدمة'!$D$3:$D$502,94),"")</f>
        <v/>
      </c>
      <c r="E100" s="119">
        <f>IFERROR(INDEX('إنهاء الخدمة'!$E$3:$E$502,94),"")</f>
        <v/>
      </c>
      <c r="F100" s="50">
        <f>IFERROR(INDEX('إنهاء الخدمة'!$F$3:$F$502,94),"")</f>
        <v/>
      </c>
      <c r="G100" s="50">
        <f>IFERROR(INDEX('إنهاء الخدمة'!$G$3:$G$502,94),"")</f>
        <v/>
      </c>
      <c r="H100" s="63">
        <f>IFERROR(INDEX('إنهاء الخدمة'!$I$3:$I$502,94),"")</f>
        <v/>
      </c>
      <c r="I100" s="50">
        <f>IFERROR(INDEX('إنهاء الخدمة'!$J$3:$J$502,94),"")</f>
        <v/>
      </c>
      <c r="J100" s="50">
        <f>IFERROR(INDEX('إنهاء الخدمة'!$K$3:$K$502,94),"")</f>
        <v/>
      </c>
    </row>
    <row r="101">
      <c r="A101" s="43">
        <f>IFERROR(INDEX('إنهاء الخدمة'!$A$3:$A$502,95),"")</f>
        <v/>
      </c>
      <c r="B101" s="43">
        <f>IFERROR(INDEX('إنهاء الخدمة'!$B$3:$B$502,95),"")</f>
        <v/>
      </c>
      <c r="C101" s="118">
        <f>IFERROR(INDEX('إنهاء الخدمة'!$C$3:$C$502,95),"")</f>
        <v/>
      </c>
      <c r="D101" s="43">
        <f>IFERROR(INDEX('إنهاء الخدمة'!$D$3:$D$502,95),"")</f>
        <v/>
      </c>
      <c r="E101" s="118">
        <f>IFERROR(INDEX('إنهاء الخدمة'!$E$3:$E$502,95),"")</f>
        <v/>
      </c>
      <c r="F101" s="43">
        <f>IFERROR(INDEX('إنهاء الخدمة'!$F$3:$F$502,95),"")</f>
        <v/>
      </c>
      <c r="G101" s="43">
        <f>IFERROR(INDEX('إنهاء الخدمة'!$G$3:$G$502,95),"")</f>
        <v/>
      </c>
      <c r="H101" s="60">
        <f>IFERROR(INDEX('إنهاء الخدمة'!$I$3:$I$502,95),"")</f>
        <v/>
      </c>
      <c r="I101" s="43">
        <f>IFERROR(INDEX('إنهاء الخدمة'!$J$3:$J$502,95),"")</f>
        <v/>
      </c>
      <c r="J101" s="43">
        <f>IFERROR(INDEX('إنهاء الخدمة'!$K$3:$K$502,95),"")</f>
        <v/>
      </c>
    </row>
    <row r="102">
      <c r="A102" s="50">
        <f>IFERROR(INDEX('إنهاء الخدمة'!$A$3:$A$502,96),"")</f>
        <v/>
      </c>
      <c r="B102" s="50">
        <f>IFERROR(INDEX('إنهاء الخدمة'!$B$3:$B$502,96),"")</f>
        <v/>
      </c>
      <c r="C102" s="119">
        <f>IFERROR(INDEX('إنهاء الخدمة'!$C$3:$C$502,96),"")</f>
        <v/>
      </c>
      <c r="D102" s="50">
        <f>IFERROR(INDEX('إنهاء الخدمة'!$D$3:$D$502,96),"")</f>
        <v/>
      </c>
      <c r="E102" s="119">
        <f>IFERROR(INDEX('إنهاء الخدمة'!$E$3:$E$502,96),"")</f>
        <v/>
      </c>
      <c r="F102" s="50">
        <f>IFERROR(INDEX('إنهاء الخدمة'!$F$3:$F$502,96),"")</f>
        <v/>
      </c>
      <c r="G102" s="50">
        <f>IFERROR(INDEX('إنهاء الخدمة'!$G$3:$G$502,96),"")</f>
        <v/>
      </c>
      <c r="H102" s="63">
        <f>IFERROR(INDEX('إنهاء الخدمة'!$I$3:$I$502,96),"")</f>
        <v/>
      </c>
      <c r="I102" s="50">
        <f>IFERROR(INDEX('إنهاء الخدمة'!$J$3:$J$502,96),"")</f>
        <v/>
      </c>
      <c r="J102" s="50">
        <f>IFERROR(INDEX('إنهاء الخدمة'!$K$3:$K$502,96),"")</f>
        <v/>
      </c>
    </row>
    <row r="103">
      <c r="A103" s="43">
        <f>IFERROR(INDEX('إنهاء الخدمة'!$A$3:$A$502,97),"")</f>
        <v/>
      </c>
      <c r="B103" s="43">
        <f>IFERROR(INDEX('إنهاء الخدمة'!$B$3:$B$502,97),"")</f>
        <v/>
      </c>
      <c r="C103" s="118">
        <f>IFERROR(INDEX('إنهاء الخدمة'!$C$3:$C$502,97),"")</f>
        <v/>
      </c>
      <c r="D103" s="43">
        <f>IFERROR(INDEX('إنهاء الخدمة'!$D$3:$D$502,97),"")</f>
        <v/>
      </c>
      <c r="E103" s="118">
        <f>IFERROR(INDEX('إنهاء الخدمة'!$E$3:$E$502,97),"")</f>
        <v/>
      </c>
      <c r="F103" s="43">
        <f>IFERROR(INDEX('إنهاء الخدمة'!$F$3:$F$502,97),"")</f>
        <v/>
      </c>
      <c r="G103" s="43">
        <f>IFERROR(INDEX('إنهاء الخدمة'!$G$3:$G$502,97),"")</f>
        <v/>
      </c>
      <c r="H103" s="60">
        <f>IFERROR(INDEX('إنهاء الخدمة'!$I$3:$I$502,97),"")</f>
        <v/>
      </c>
      <c r="I103" s="43">
        <f>IFERROR(INDEX('إنهاء الخدمة'!$J$3:$J$502,97),"")</f>
        <v/>
      </c>
      <c r="J103" s="43">
        <f>IFERROR(INDEX('إنهاء الخدمة'!$K$3:$K$502,97),"")</f>
        <v/>
      </c>
    </row>
    <row r="104">
      <c r="A104" s="50">
        <f>IFERROR(INDEX('إنهاء الخدمة'!$A$3:$A$502,98),"")</f>
        <v/>
      </c>
      <c r="B104" s="50">
        <f>IFERROR(INDEX('إنهاء الخدمة'!$B$3:$B$502,98),"")</f>
        <v/>
      </c>
      <c r="C104" s="119">
        <f>IFERROR(INDEX('إنهاء الخدمة'!$C$3:$C$502,98),"")</f>
        <v/>
      </c>
      <c r="D104" s="50">
        <f>IFERROR(INDEX('إنهاء الخدمة'!$D$3:$D$502,98),"")</f>
        <v/>
      </c>
      <c r="E104" s="119">
        <f>IFERROR(INDEX('إنهاء الخدمة'!$E$3:$E$502,98),"")</f>
        <v/>
      </c>
      <c r="F104" s="50">
        <f>IFERROR(INDEX('إنهاء الخدمة'!$F$3:$F$502,98),"")</f>
        <v/>
      </c>
      <c r="G104" s="50">
        <f>IFERROR(INDEX('إنهاء الخدمة'!$G$3:$G$502,98),"")</f>
        <v/>
      </c>
      <c r="H104" s="63">
        <f>IFERROR(INDEX('إنهاء الخدمة'!$I$3:$I$502,98),"")</f>
        <v/>
      </c>
      <c r="I104" s="50">
        <f>IFERROR(INDEX('إنهاء الخدمة'!$J$3:$J$502,98),"")</f>
        <v/>
      </c>
      <c r="J104" s="50">
        <f>IFERROR(INDEX('إنهاء الخدمة'!$K$3:$K$502,98),"")</f>
        <v/>
      </c>
    </row>
    <row r="105">
      <c r="A105" s="43">
        <f>IFERROR(INDEX('إنهاء الخدمة'!$A$3:$A$502,99),"")</f>
        <v/>
      </c>
      <c r="B105" s="43">
        <f>IFERROR(INDEX('إنهاء الخدمة'!$B$3:$B$502,99),"")</f>
        <v/>
      </c>
      <c r="C105" s="118">
        <f>IFERROR(INDEX('إنهاء الخدمة'!$C$3:$C$502,99),"")</f>
        <v/>
      </c>
      <c r="D105" s="43">
        <f>IFERROR(INDEX('إنهاء الخدمة'!$D$3:$D$502,99),"")</f>
        <v/>
      </c>
      <c r="E105" s="118">
        <f>IFERROR(INDEX('إنهاء الخدمة'!$E$3:$E$502,99),"")</f>
        <v/>
      </c>
      <c r="F105" s="43">
        <f>IFERROR(INDEX('إنهاء الخدمة'!$F$3:$F$502,99),"")</f>
        <v/>
      </c>
      <c r="G105" s="43">
        <f>IFERROR(INDEX('إنهاء الخدمة'!$G$3:$G$502,99),"")</f>
        <v/>
      </c>
      <c r="H105" s="60">
        <f>IFERROR(INDEX('إنهاء الخدمة'!$I$3:$I$502,99),"")</f>
        <v/>
      </c>
      <c r="I105" s="43">
        <f>IFERROR(INDEX('إنهاء الخدمة'!$J$3:$J$502,99),"")</f>
        <v/>
      </c>
      <c r="J105" s="43">
        <f>IFERROR(INDEX('إنهاء الخدمة'!$K$3:$K$502,99),"")</f>
        <v/>
      </c>
    </row>
    <row r="106">
      <c r="A106" s="50">
        <f>IFERROR(INDEX('إنهاء الخدمة'!$A$3:$A$502,100),"")</f>
        <v/>
      </c>
      <c r="B106" s="50">
        <f>IFERROR(INDEX('إنهاء الخدمة'!$B$3:$B$502,100),"")</f>
        <v/>
      </c>
      <c r="C106" s="119">
        <f>IFERROR(INDEX('إنهاء الخدمة'!$C$3:$C$502,100),"")</f>
        <v/>
      </c>
      <c r="D106" s="50">
        <f>IFERROR(INDEX('إنهاء الخدمة'!$D$3:$D$502,100),"")</f>
        <v/>
      </c>
      <c r="E106" s="119">
        <f>IFERROR(INDEX('إنهاء الخدمة'!$E$3:$E$502,100),"")</f>
        <v/>
      </c>
      <c r="F106" s="50">
        <f>IFERROR(INDEX('إنهاء الخدمة'!$F$3:$F$502,100),"")</f>
        <v/>
      </c>
      <c r="G106" s="50">
        <f>IFERROR(INDEX('إنهاء الخدمة'!$G$3:$G$502,100),"")</f>
        <v/>
      </c>
      <c r="H106" s="63">
        <f>IFERROR(INDEX('إنهاء الخدمة'!$I$3:$I$502,100),"")</f>
        <v/>
      </c>
      <c r="I106" s="50">
        <f>IFERROR(INDEX('إنهاء الخدمة'!$J$3:$J$502,100),"")</f>
        <v/>
      </c>
      <c r="J106" s="50">
        <f>IFERROR(INDEX('إنهاء الخدمة'!$K$3:$K$502,100),"")</f>
        <v/>
      </c>
    </row>
    <row r="107">
      <c r="A107" s="43">
        <f>IFERROR(INDEX('إنهاء الخدمة'!$A$3:$A$502,101),"")</f>
        <v/>
      </c>
      <c r="B107" s="43">
        <f>IFERROR(INDEX('إنهاء الخدمة'!$B$3:$B$502,101),"")</f>
        <v/>
      </c>
      <c r="C107" s="118">
        <f>IFERROR(INDEX('إنهاء الخدمة'!$C$3:$C$502,101),"")</f>
        <v/>
      </c>
      <c r="D107" s="43">
        <f>IFERROR(INDEX('إنهاء الخدمة'!$D$3:$D$502,101),"")</f>
        <v/>
      </c>
      <c r="E107" s="118">
        <f>IFERROR(INDEX('إنهاء الخدمة'!$E$3:$E$502,101),"")</f>
        <v/>
      </c>
      <c r="F107" s="43">
        <f>IFERROR(INDEX('إنهاء الخدمة'!$F$3:$F$502,101),"")</f>
        <v/>
      </c>
      <c r="G107" s="43">
        <f>IFERROR(INDEX('إنهاء الخدمة'!$G$3:$G$502,101),"")</f>
        <v/>
      </c>
      <c r="H107" s="60">
        <f>IFERROR(INDEX('إنهاء الخدمة'!$I$3:$I$502,101),"")</f>
        <v/>
      </c>
      <c r="I107" s="43">
        <f>IFERROR(INDEX('إنهاء الخدمة'!$J$3:$J$502,101),"")</f>
        <v/>
      </c>
      <c r="J107" s="43">
        <f>IFERROR(INDEX('إنهاء الخدمة'!$K$3:$K$502,101),"")</f>
        <v/>
      </c>
    </row>
    <row r="108">
      <c r="A108" s="50">
        <f>IFERROR(INDEX('إنهاء الخدمة'!$A$3:$A$502,102),"")</f>
        <v/>
      </c>
      <c r="B108" s="50">
        <f>IFERROR(INDEX('إنهاء الخدمة'!$B$3:$B$502,102),"")</f>
        <v/>
      </c>
      <c r="C108" s="119">
        <f>IFERROR(INDEX('إنهاء الخدمة'!$C$3:$C$502,102),"")</f>
        <v/>
      </c>
      <c r="D108" s="50">
        <f>IFERROR(INDEX('إنهاء الخدمة'!$D$3:$D$502,102),"")</f>
        <v/>
      </c>
      <c r="E108" s="119">
        <f>IFERROR(INDEX('إنهاء الخدمة'!$E$3:$E$502,102),"")</f>
        <v/>
      </c>
      <c r="F108" s="50">
        <f>IFERROR(INDEX('إنهاء الخدمة'!$F$3:$F$502,102),"")</f>
        <v/>
      </c>
      <c r="G108" s="50">
        <f>IFERROR(INDEX('إنهاء الخدمة'!$G$3:$G$502,102),"")</f>
        <v/>
      </c>
      <c r="H108" s="63">
        <f>IFERROR(INDEX('إنهاء الخدمة'!$I$3:$I$502,102),"")</f>
        <v/>
      </c>
      <c r="I108" s="50">
        <f>IFERROR(INDEX('إنهاء الخدمة'!$J$3:$J$502,102),"")</f>
        <v/>
      </c>
      <c r="J108" s="50">
        <f>IFERROR(INDEX('إنهاء الخدمة'!$K$3:$K$502,102),"")</f>
        <v/>
      </c>
    </row>
    <row r="109">
      <c r="A109" s="43">
        <f>IFERROR(INDEX('إنهاء الخدمة'!$A$3:$A$502,103),"")</f>
        <v/>
      </c>
      <c r="B109" s="43">
        <f>IFERROR(INDEX('إنهاء الخدمة'!$B$3:$B$502,103),"")</f>
        <v/>
      </c>
      <c r="C109" s="118">
        <f>IFERROR(INDEX('إنهاء الخدمة'!$C$3:$C$502,103),"")</f>
        <v/>
      </c>
      <c r="D109" s="43">
        <f>IFERROR(INDEX('إنهاء الخدمة'!$D$3:$D$502,103),"")</f>
        <v/>
      </c>
      <c r="E109" s="118">
        <f>IFERROR(INDEX('إنهاء الخدمة'!$E$3:$E$502,103),"")</f>
        <v/>
      </c>
      <c r="F109" s="43">
        <f>IFERROR(INDEX('إنهاء الخدمة'!$F$3:$F$502,103),"")</f>
        <v/>
      </c>
      <c r="G109" s="43">
        <f>IFERROR(INDEX('إنهاء الخدمة'!$G$3:$G$502,103),"")</f>
        <v/>
      </c>
      <c r="H109" s="60">
        <f>IFERROR(INDEX('إنهاء الخدمة'!$I$3:$I$502,103),"")</f>
        <v/>
      </c>
      <c r="I109" s="43">
        <f>IFERROR(INDEX('إنهاء الخدمة'!$J$3:$J$502,103),"")</f>
        <v/>
      </c>
      <c r="J109" s="43">
        <f>IFERROR(INDEX('إنهاء الخدمة'!$K$3:$K$502,103),"")</f>
        <v/>
      </c>
    </row>
    <row r="110">
      <c r="A110" s="50">
        <f>IFERROR(INDEX('إنهاء الخدمة'!$A$3:$A$502,104),"")</f>
        <v/>
      </c>
      <c r="B110" s="50">
        <f>IFERROR(INDEX('إنهاء الخدمة'!$B$3:$B$502,104),"")</f>
        <v/>
      </c>
      <c r="C110" s="119">
        <f>IFERROR(INDEX('إنهاء الخدمة'!$C$3:$C$502,104),"")</f>
        <v/>
      </c>
      <c r="D110" s="50">
        <f>IFERROR(INDEX('إنهاء الخدمة'!$D$3:$D$502,104),"")</f>
        <v/>
      </c>
      <c r="E110" s="119">
        <f>IFERROR(INDEX('إنهاء الخدمة'!$E$3:$E$502,104),"")</f>
        <v/>
      </c>
      <c r="F110" s="50">
        <f>IFERROR(INDEX('إنهاء الخدمة'!$F$3:$F$502,104),"")</f>
        <v/>
      </c>
      <c r="G110" s="50">
        <f>IFERROR(INDEX('إنهاء الخدمة'!$G$3:$G$502,104),"")</f>
        <v/>
      </c>
      <c r="H110" s="63">
        <f>IFERROR(INDEX('إنهاء الخدمة'!$I$3:$I$502,104),"")</f>
        <v/>
      </c>
      <c r="I110" s="50">
        <f>IFERROR(INDEX('إنهاء الخدمة'!$J$3:$J$502,104),"")</f>
        <v/>
      </c>
      <c r="J110" s="50">
        <f>IFERROR(INDEX('إنهاء الخدمة'!$K$3:$K$502,104),"")</f>
        <v/>
      </c>
    </row>
    <row r="111">
      <c r="A111" s="43">
        <f>IFERROR(INDEX('إنهاء الخدمة'!$A$3:$A$502,105),"")</f>
        <v/>
      </c>
      <c r="B111" s="43">
        <f>IFERROR(INDEX('إنهاء الخدمة'!$B$3:$B$502,105),"")</f>
        <v/>
      </c>
      <c r="C111" s="118">
        <f>IFERROR(INDEX('إنهاء الخدمة'!$C$3:$C$502,105),"")</f>
        <v/>
      </c>
      <c r="D111" s="43">
        <f>IFERROR(INDEX('إنهاء الخدمة'!$D$3:$D$502,105),"")</f>
        <v/>
      </c>
      <c r="E111" s="118">
        <f>IFERROR(INDEX('إنهاء الخدمة'!$E$3:$E$502,105),"")</f>
        <v/>
      </c>
      <c r="F111" s="43">
        <f>IFERROR(INDEX('إنهاء الخدمة'!$F$3:$F$502,105),"")</f>
        <v/>
      </c>
      <c r="G111" s="43">
        <f>IFERROR(INDEX('إنهاء الخدمة'!$G$3:$G$502,105),"")</f>
        <v/>
      </c>
      <c r="H111" s="60">
        <f>IFERROR(INDEX('إنهاء الخدمة'!$I$3:$I$502,105),"")</f>
        <v/>
      </c>
      <c r="I111" s="43">
        <f>IFERROR(INDEX('إنهاء الخدمة'!$J$3:$J$502,105),"")</f>
        <v/>
      </c>
      <c r="J111" s="43">
        <f>IFERROR(INDEX('إنهاء الخدمة'!$K$3:$K$502,105),"")</f>
        <v/>
      </c>
    </row>
    <row r="112">
      <c r="A112" s="50">
        <f>IFERROR(INDEX('إنهاء الخدمة'!$A$3:$A$502,106),"")</f>
        <v/>
      </c>
      <c r="B112" s="50">
        <f>IFERROR(INDEX('إنهاء الخدمة'!$B$3:$B$502,106),"")</f>
        <v/>
      </c>
      <c r="C112" s="119">
        <f>IFERROR(INDEX('إنهاء الخدمة'!$C$3:$C$502,106),"")</f>
        <v/>
      </c>
      <c r="D112" s="50">
        <f>IFERROR(INDEX('إنهاء الخدمة'!$D$3:$D$502,106),"")</f>
        <v/>
      </c>
      <c r="E112" s="119">
        <f>IFERROR(INDEX('إنهاء الخدمة'!$E$3:$E$502,106),"")</f>
        <v/>
      </c>
      <c r="F112" s="50">
        <f>IFERROR(INDEX('إنهاء الخدمة'!$F$3:$F$502,106),"")</f>
        <v/>
      </c>
      <c r="G112" s="50">
        <f>IFERROR(INDEX('إنهاء الخدمة'!$G$3:$G$502,106),"")</f>
        <v/>
      </c>
      <c r="H112" s="63">
        <f>IFERROR(INDEX('إنهاء الخدمة'!$I$3:$I$502,106),"")</f>
        <v/>
      </c>
      <c r="I112" s="50">
        <f>IFERROR(INDEX('إنهاء الخدمة'!$J$3:$J$502,106),"")</f>
        <v/>
      </c>
      <c r="J112" s="50">
        <f>IFERROR(INDEX('إنهاء الخدمة'!$K$3:$K$502,106),"")</f>
        <v/>
      </c>
    </row>
    <row r="113">
      <c r="A113" s="43">
        <f>IFERROR(INDEX('إنهاء الخدمة'!$A$3:$A$502,107),"")</f>
        <v/>
      </c>
      <c r="B113" s="43">
        <f>IFERROR(INDEX('إنهاء الخدمة'!$B$3:$B$502,107),"")</f>
        <v/>
      </c>
      <c r="C113" s="118">
        <f>IFERROR(INDEX('إنهاء الخدمة'!$C$3:$C$502,107),"")</f>
        <v/>
      </c>
      <c r="D113" s="43">
        <f>IFERROR(INDEX('إنهاء الخدمة'!$D$3:$D$502,107),"")</f>
        <v/>
      </c>
      <c r="E113" s="118">
        <f>IFERROR(INDEX('إنهاء الخدمة'!$E$3:$E$502,107),"")</f>
        <v/>
      </c>
      <c r="F113" s="43">
        <f>IFERROR(INDEX('إنهاء الخدمة'!$F$3:$F$502,107),"")</f>
        <v/>
      </c>
      <c r="G113" s="43">
        <f>IFERROR(INDEX('إنهاء الخدمة'!$G$3:$G$502,107),"")</f>
        <v/>
      </c>
      <c r="H113" s="60">
        <f>IFERROR(INDEX('إنهاء الخدمة'!$I$3:$I$502,107),"")</f>
        <v/>
      </c>
      <c r="I113" s="43">
        <f>IFERROR(INDEX('إنهاء الخدمة'!$J$3:$J$502,107),"")</f>
        <v/>
      </c>
      <c r="J113" s="43">
        <f>IFERROR(INDEX('إنهاء الخدمة'!$K$3:$K$502,107),"")</f>
        <v/>
      </c>
    </row>
    <row r="114">
      <c r="A114" s="50">
        <f>IFERROR(INDEX('إنهاء الخدمة'!$A$3:$A$502,108),"")</f>
        <v/>
      </c>
      <c r="B114" s="50">
        <f>IFERROR(INDEX('إنهاء الخدمة'!$B$3:$B$502,108),"")</f>
        <v/>
      </c>
      <c r="C114" s="119">
        <f>IFERROR(INDEX('إنهاء الخدمة'!$C$3:$C$502,108),"")</f>
        <v/>
      </c>
      <c r="D114" s="50">
        <f>IFERROR(INDEX('إنهاء الخدمة'!$D$3:$D$502,108),"")</f>
        <v/>
      </c>
      <c r="E114" s="119">
        <f>IFERROR(INDEX('إنهاء الخدمة'!$E$3:$E$502,108),"")</f>
        <v/>
      </c>
      <c r="F114" s="50">
        <f>IFERROR(INDEX('إنهاء الخدمة'!$F$3:$F$502,108),"")</f>
        <v/>
      </c>
      <c r="G114" s="50">
        <f>IFERROR(INDEX('إنهاء الخدمة'!$G$3:$G$502,108),"")</f>
        <v/>
      </c>
      <c r="H114" s="63">
        <f>IFERROR(INDEX('إنهاء الخدمة'!$I$3:$I$502,108),"")</f>
        <v/>
      </c>
      <c r="I114" s="50">
        <f>IFERROR(INDEX('إنهاء الخدمة'!$J$3:$J$502,108),"")</f>
        <v/>
      </c>
      <c r="J114" s="50">
        <f>IFERROR(INDEX('إنهاء الخدمة'!$K$3:$K$502,108),"")</f>
        <v/>
      </c>
    </row>
    <row r="115">
      <c r="A115" s="43">
        <f>IFERROR(INDEX('إنهاء الخدمة'!$A$3:$A$502,109),"")</f>
        <v/>
      </c>
      <c r="B115" s="43">
        <f>IFERROR(INDEX('إنهاء الخدمة'!$B$3:$B$502,109),"")</f>
        <v/>
      </c>
      <c r="C115" s="118">
        <f>IFERROR(INDEX('إنهاء الخدمة'!$C$3:$C$502,109),"")</f>
        <v/>
      </c>
      <c r="D115" s="43">
        <f>IFERROR(INDEX('إنهاء الخدمة'!$D$3:$D$502,109),"")</f>
        <v/>
      </c>
      <c r="E115" s="118">
        <f>IFERROR(INDEX('إنهاء الخدمة'!$E$3:$E$502,109),"")</f>
        <v/>
      </c>
      <c r="F115" s="43">
        <f>IFERROR(INDEX('إنهاء الخدمة'!$F$3:$F$502,109),"")</f>
        <v/>
      </c>
      <c r="G115" s="43">
        <f>IFERROR(INDEX('إنهاء الخدمة'!$G$3:$G$502,109),"")</f>
        <v/>
      </c>
      <c r="H115" s="60">
        <f>IFERROR(INDEX('إنهاء الخدمة'!$I$3:$I$502,109),"")</f>
        <v/>
      </c>
      <c r="I115" s="43">
        <f>IFERROR(INDEX('إنهاء الخدمة'!$J$3:$J$502,109),"")</f>
        <v/>
      </c>
      <c r="J115" s="43">
        <f>IFERROR(INDEX('إنهاء الخدمة'!$K$3:$K$502,109),"")</f>
        <v/>
      </c>
    </row>
    <row r="116">
      <c r="A116" s="50">
        <f>IFERROR(INDEX('إنهاء الخدمة'!$A$3:$A$502,110),"")</f>
        <v/>
      </c>
      <c r="B116" s="50">
        <f>IFERROR(INDEX('إنهاء الخدمة'!$B$3:$B$502,110),"")</f>
        <v/>
      </c>
      <c r="C116" s="119">
        <f>IFERROR(INDEX('إنهاء الخدمة'!$C$3:$C$502,110),"")</f>
        <v/>
      </c>
      <c r="D116" s="50">
        <f>IFERROR(INDEX('إنهاء الخدمة'!$D$3:$D$502,110),"")</f>
        <v/>
      </c>
      <c r="E116" s="119">
        <f>IFERROR(INDEX('إنهاء الخدمة'!$E$3:$E$502,110),"")</f>
        <v/>
      </c>
      <c r="F116" s="50">
        <f>IFERROR(INDEX('إنهاء الخدمة'!$F$3:$F$502,110),"")</f>
        <v/>
      </c>
      <c r="G116" s="50">
        <f>IFERROR(INDEX('إنهاء الخدمة'!$G$3:$G$502,110),"")</f>
        <v/>
      </c>
      <c r="H116" s="63">
        <f>IFERROR(INDEX('إنهاء الخدمة'!$I$3:$I$502,110),"")</f>
        <v/>
      </c>
      <c r="I116" s="50">
        <f>IFERROR(INDEX('إنهاء الخدمة'!$J$3:$J$502,110),"")</f>
        <v/>
      </c>
      <c r="J116" s="50">
        <f>IFERROR(INDEX('إنهاء الخدمة'!$K$3:$K$502,110),"")</f>
        <v/>
      </c>
    </row>
    <row r="117">
      <c r="A117" s="43">
        <f>IFERROR(INDEX('إنهاء الخدمة'!$A$3:$A$502,111),"")</f>
        <v/>
      </c>
      <c r="B117" s="43">
        <f>IFERROR(INDEX('إنهاء الخدمة'!$B$3:$B$502,111),"")</f>
        <v/>
      </c>
      <c r="C117" s="118">
        <f>IFERROR(INDEX('إنهاء الخدمة'!$C$3:$C$502,111),"")</f>
        <v/>
      </c>
      <c r="D117" s="43">
        <f>IFERROR(INDEX('إنهاء الخدمة'!$D$3:$D$502,111),"")</f>
        <v/>
      </c>
      <c r="E117" s="118">
        <f>IFERROR(INDEX('إنهاء الخدمة'!$E$3:$E$502,111),"")</f>
        <v/>
      </c>
      <c r="F117" s="43">
        <f>IFERROR(INDEX('إنهاء الخدمة'!$F$3:$F$502,111),"")</f>
        <v/>
      </c>
      <c r="G117" s="43">
        <f>IFERROR(INDEX('إنهاء الخدمة'!$G$3:$G$502,111),"")</f>
        <v/>
      </c>
      <c r="H117" s="60">
        <f>IFERROR(INDEX('إنهاء الخدمة'!$I$3:$I$502,111),"")</f>
        <v/>
      </c>
      <c r="I117" s="43">
        <f>IFERROR(INDEX('إنهاء الخدمة'!$J$3:$J$502,111),"")</f>
        <v/>
      </c>
      <c r="J117" s="43">
        <f>IFERROR(INDEX('إنهاء الخدمة'!$K$3:$K$502,111),"")</f>
        <v/>
      </c>
    </row>
    <row r="118">
      <c r="A118" s="50">
        <f>IFERROR(INDEX('إنهاء الخدمة'!$A$3:$A$502,112),"")</f>
        <v/>
      </c>
      <c r="B118" s="50">
        <f>IFERROR(INDEX('إنهاء الخدمة'!$B$3:$B$502,112),"")</f>
        <v/>
      </c>
      <c r="C118" s="119">
        <f>IFERROR(INDEX('إنهاء الخدمة'!$C$3:$C$502,112),"")</f>
        <v/>
      </c>
      <c r="D118" s="50">
        <f>IFERROR(INDEX('إنهاء الخدمة'!$D$3:$D$502,112),"")</f>
        <v/>
      </c>
      <c r="E118" s="119">
        <f>IFERROR(INDEX('إنهاء الخدمة'!$E$3:$E$502,112),"")</f>
        <v/>
      </c>
      <c r="F118" s="50">
        <f>IFERROR(INDEX('إنهاء الخدمة'!$F$3:$F$502,112),"")</f>
        <v/>
      </c>
      <c r="G118" s="50">
        <f>IFERROR(INDEX('إنهاء الخدمة'!$G$3:$G$502,112),"")</f>
        <v/>
      </c>
      <c r="H118" s="63">
        <f>IFERROR(INDEX('إنهاء الخدمة'!$I$3:$I$502,112),"")</f>
        <v/>
      </c>
      <c r="I118" s="50">
        <f>IFERROR(INDEX('إنهاء الخدمة'!$J$3:$J$502,112),"")</f>
        <v/>
      </c>
      <c r="J118" s="50">
        <f>IFERROR(INDEX('إنهاء الخدمة'!$K$3:$K$502,112),"")</f>
        <v/>
      </c>
    </row>
    <row r="119">
      <c r="A119" s="43">
        <f>IFERROR(INDEX('إنهاء الخدمة'!$A$3:$A$502,113),"")</f>
        <v/>
      </c>
      <c r="B119" s="43">
        <f>IFERROR(INDEX('إنهاء الخدمة'!$B$3:$B$502,113),"")</f>
        <v/>
      </c>
      <c r="C119" s="118">
        <f>IFERROR(INDEX('إنهاء الخدمة'!$C$3:$C$502,113),"")</f>
        <v/>
      </c>
      <c r="D119" s="43">
        <f>IFERROR(INDEX('إنهاء الخدمة'!$D$3:$D$502,113),"")</f>
        <v/>
      </c>
      <c r="E119" s="118">
        <f>IFERROR(INDEX('إنهاء الخدمة'!$E$3:$E$502,113),"")</f>
        <v/>
      </c>
      <c r="F119" s="43">
        <f>IFERROR(INDEX('إنهاء الخدمة'!$F$3:$F$502,113),"")</f>
        <v/>
      </c>
      <c r="G119" s="43">
        <f>IFERROR(INDEX('إنهاء الخدمة'!$G$3:$G$502,113),"")</f>
        <v/>
      </c>
      <c r="H119" s="60">
        <f>IFERROR(INDEX('إنهاء الخدمة'!$I$3:$I$502,113),"")</f>
        <v/>
      </c>
      <c r="I119" s="43">
        <f>IFERROR(INDEX('إنهاء الخدمة'!$J$3:$J$502,113),"")</f>
        <v/>
      </c>
      <c r="J119" s="43">
        <f>IFERROR(INDEX('إنهاء الخدمة'!$K$3:$K$502,113),"")</f>
        <v/>
      </c>
    </row>
    <row r="120">
      <c r="A120" s="50">
        <f>IFERROR(INDEX('إنهاء الخدمة'!$A$3:$A$502,114),"")</f>
        <v/>
      </c>
      <c r="B120" s="50">
        <f>IFERROR(INDEX('إنهاء الخدمة'!$B$3:$B$502,114),"")</f>
        <v/>
      </c>
      <c r="C120" s="119">
        <f>IFERROR(INDEX('إنهاء الخدمة'!$C$3:$C$502,114),"")</f>
        <v/>
      </c>
      <c r="D120" s="50">
        <f>IFERROR(INDEX('إنهاء الخدمة'!$D$3:$D$502,114),"")</f>
        <v/>
      </c>
      <c r="E120" s="119">
        <f>IFERROR(INDEX('إنهاء الخدمة'!$E$3:$E$502,114),"")</f>
        <v/>
      </c>
      <c r="F120" s="50">
        <f>IFERROR(INDEX('إنهاء الخدمة'!$F$3:$F$502,114),"")</f>
        <v/>
      </c>
      <c r="G120" s="50">
        <f>IFERROR(INDEX('إنهاء الخدمة'!$G$3:$G$502,114),"")</f>
        <v/>
      </c>
      <c r="H120" s="63">
        <f>IFERROR(INDEX('إنهاء الخدمة'!$I$3:$I$502,114),"")</f>
        <v/>
      </c>
      <c r="I120" s="50">
        <f>IFERROR(INDEX('إنهاء الخدمة'!$J$3:$J$502,114),"")</f>
        <v/>
      </c>
      <c r="J120" s="50">
        <f>IFERROR(INDEX('إنهاء الخدمة'!$K$3:$K$502,114),"")</f>
        <v/>
      </c>
    </row>
    <row r="121">
      <c r="A121" s="43">
        <f>IFERROR(INDEX('إنهاء الخدمة'!$A$3:$A$502,115),"")</f>
        <v/>
      </c>
      <c r="B121" s="43">
        <f>IFERROR(INDEX('إنهاء الخدمة'!$B$3:$B$502,115),"")</f>
        <v/>
      </c>
      <c r="C121" s="118">
        <f>IFERROR(INDEX('إنهاء الخدمة'!$C$3:$C$502,115),"")</f>
        <v/>
      </c>
      <c r="D121" s="43">
        <f>IFERROR(INDEX('إنهاء الخدمة'!$D$3:$D$502,115),"")</f>
        <v/>
      </c>
      <c r="E121" s="118">
        <f>IFERROR(INDEX('إنهاء الخدمة'!$E$3:$E$502,115),"")</f>
        <v/>
      </c>
      <c r="F121" s="43">
        <f>IFERROR(INDEX('إنهاء الخدمة'!$F$3:$F$502,115),"")</f>
        <v/>
      </c>
      <c r="G121" s="43">
        <f>IFERROR(INDEX('إنهاء الخدمة'!$G$3:$G$502,115),"")</f>
        <v/>
      </c>
      <c r="H121" s="60">
        <f>IFERROR(INDEX('إنهاء الخدمة'!$I$3:$I$502,115),"")</f>
        <v/>
      </c>
      <c r="I121" s="43">
        <f>IFERROR(INDEX('إنهاء الخدمة'!$J$3:$J$502,115),"")</f>
        <v/>
      </c>
      <c r="J121" s="43">
        <f>IFERROR(INDEX('إنهاء الخدمة'!$K$3:$K$502,115),"")</f>
        <v/>
      </c>
    </row>
    <row r="122">
      <c r="A122" s="50">
        <f>IFERROR(INDEX('إنهاء الخدمة'!$A$3:$A$502,116),"")</f>
        <v/>
      </c>
      <c r="B122" s="50">
        <f>IFERROR(INDEX('إنهاء الخدمة'!$B$3:$B$502,116),"")</f>
        <v/>
      </c>
      <c r="C122" s="119">
        <f>IFERROR(INDEX('إنهاء الخدمة'!$C$3:$C$502,116),"")</f>
        <v/>
      </c>
      <c r="D122" s="50">
        <f>IFERROR(INDEX('إنهاء الخدمة'!$D$3:$D$502,116),"")</f>
        <v/>
      </c>
      <c r="E122" s="119">
        <f>IFERROR(INDEX('إنهاء الخدمة'!$E$3:$E$502,116),"")</f>
        <v/>
      </c>
      <c r="F122" s="50">
        <f>IFERROR(INDEX('إنهاء الخدمة'!$F$3:$F$502,116),"")</f>
        <v/>
      </c>
      <c r="G122" s="50">
        <f>IFERROR(INDEX('إنهاء الخدمة'!$G$3:$G$502,116),"")</f>
        <v/>
      </c>
      <c r="H122" s="63">
        <f>IFERROR(INDEX('إنهاء الخدمة'!$I$3:$I$502,116),"")</f>
        <v/>
      </c>
      <c r="I122" s="50">
        <f>IFERROR(INDEX('إنهاء الخدمة'!$J$3:$J$502,116),"")</f>
        <v/>
      </c>
      <c r="J122" s="50">
        <f>IFERROR(INDEX('إنهاء الخدمة'!$K$3:$K$502,116),"")</f>
        <v/>
      </c>
    </row>
    <row r="123">
      <c r="A123" s="43">
        <f>IFERROR(INDEX('إنهاء الخدمة'!$A$3:$A$502,117),"")</f>
        <v/>
      </c>
      <c r="B123" s="43">
        <f>IFERROR(INDEX('إنهاء الخدمة'!$B$3:$B$502,117),"")</f>
        <v/>
      </c>
      <c r="C123" s="118">
        <f>IFERROR(INDEX('إنهاء الخدمة'!$C$3:$C$502,117),"")</f>
        <v/>
      </c>
      <c r="D123" s="43">
        <f>IFERROR(INDEX('إنهاء الخدمة'!$D$3:$D$502,117),"")</f>
        <v/>
      </c>
      <c r="E123" s="118">
        <f>IFERROR(INDEX('إنهاء الخدمة'!$E$3:$E$502,117),"")</f>
        <v/>
      </c>
      <c r="F123" s="43">
        <f>IFERROR(INDEX('إنهاء الخدمة'!$F$3:$F$502,117),"")</f>
        <v/>
      </c>
      <c r="G123" s="43">
        <f>IFERROR(INDEX('إنهاء الخدمة'!$G$3:$G$502,117),"")</f>
        <v/>
      </c>
      <c r="H123" s="60">
        <f>IFERROR(INDEX('إنهاء الخدمة'!$I$3:$I$502,117),"")</f>
        <v/>
      </c>
      <c r="I123" s="43">
        <f>IFERROR(INDEX('إنهاء الخدمة'!$J$3:$J$502,117),"")</f>
        <v/>
      </c>
      <c r="J123" s="43">
        <f>IFERROR(INDEX('إنهاء الخدمة'!$K$3:$K$502,117),"")</f>
        <v/>
      </c>
    </row>
    <row r="124">
      <c r="A124" s="50">
        <f>IFERROR(INDEX('إنهاء الخدمة'!$A$3:$A$502,118),"")</f>
        <v/>
      </c>
      <c r="B124" s="50">
        <f>IFERROR(INDEX('إنهاء الخدمة'!$B$3:$B$502,118),"")</f>
        <v/>
      </c>
      <c r="C124" s="119">
        <f>IFERROR(INDEX('إنهاء الخدمة'!$C$3:$C$502,118),"")</f>
        <v/>
      </c>
      <c r="D124" s="50">
        <f>IFERROR(INDEX('إنهاء الخدمة'!$D$3:$D$502,118),"")</f>
        <v/>
      </c>
      <c r="E124" s="119">
        <f>IFERROR(INDEX('إنهاء الخدمة'!$E$3:$E$502,118),"")</f>
        <v/>
      </c>
      <c r="F124" s="50">
        <f>IFERROR(INDEX('إنهاء الخدمة'!$F$3:$F$502,118),"")</f>
        <v/>
      </c>
      <c r="G124" s="50">
        <f>IFERROR(INDEX('إنهاء الخدمة'!$G$3:$G$502,118),"")</f>
        <v/>
      </c>
      <c r="H124" s="63">
        <f>IFERROR(INDEX('إنهاء الخدمة'!$I$3:$I$502,118),"")</f>
        <v/>
      </c>
      <c r="I124" s="50">
        <f>IFERROR(INDEX('إنهاء الخدمة'!$J$3:$J$502,118),"")</f>
        <v/>
      </c>
      <c r="J124" s="50">
        <f>IFERROR(INDEX('إنهاء الخدمة'!$K$3:$K$502,118),"")</f>
        <v/>
      </c>
    </row>
    <row r="125">
      <c r="A125" s="43">
        <f>IFERROR(INDEX('إنهاء الخدمة'!$A$3:$A$502,119),"")</f>
        <v/>
      </c>
      <c r="B125" s="43">
        <f>IFERROR(INDEX('إنهاء الخدمة'!$B$3:$B$502,119),"")</f>
        <v/>
      </c>
      <c r="C125" s="118">
        <f>IFERROR(INDEX('إنهاء الخدمة'!$C$3:$C$502,119),"")</f>
        <v/>
      </c>
      <c r="D125" s="43">
        <f>IFERROR(INDEX('إنهاء الخدمة'!$D$3:$D$502,119),"")</f>
        <v/>
      </c>
      <c r="E125" s="118">
        <f>IFERROR(INDEX('إنهاء الخدمة'!$E$3:$E$502,119),"")</f>
        <v/>
      </c>
      <c r="F125" s="43">
        <f>IFERROR(INDEX('إنهاء الخدمة'!$F$3:$F$502,119),"")</f>
        <v/>
      </c>
      <c r="G125" s="43">
        <f>IFERROR(INDEX('إنهاء الخدمة'!$G$3:$G$502,119),"")</f>
        <v/>
      </c>
      <c r="H125" s="60">
        <f>IFERROR(INDEX('إنهاء الخدمة'!$I$3:$I$502,119),"")</f>
        <v/>
      </c>
      <c r="I125" s="43">
        <f>IFERROR(INDEX('إنهاء الخدمة'!$J$3:$J$502,119),"")</f>
        <v/>
      </c>
      <c r="J125" s="43">
        <f>IFERROR(INDEX('إنهاء الخدمة'!$K$3:$K$502,119),"")</f>
        <v/>
      </c>
    </row>
    <row r="126">
      <c r="A126" s="50">
        <f>IFERROR(INDEX('إنهاء الخدمة'!$A$3:$A$502,120),"")</f>
        <v/>
      </c>
      <c r="B126" s="50">
        <f>IFERROR(INDEX('إنهاء الخدمة'!$B$3:$B$502,120),"")</f>
        <v/>
      </c>
      <c r="C126" s="119">
        <f>IFERROR(INDEX('إنهاء الخدمة'!$C$3:$C$502,120),"")</f>
        <v/>
      </c>
      <c r="D126" s="50">
        <f>IFERROR(INDEX('إنهاء الخدمة'!$D$3:$D$502,120),"")</f>
        <v/>
      </c>
      <c r="E126" s="119">
        <f>IFERROR(INDEX('إنهاء الخدمة'!$E$3:$E$502,120),"")</f>
        <v/>
      </c>
      <c r="F126" s="50">
        <f>IFERROR(INDEX('إنهاء الخدمة'!$F$3:$F$502,120),"")</f>
        <v/>
      </c>
      <c r="G126" s="50">
        <f>IFERROR(INDEX('إنهاء الخدمة'!$G$3:$G$502,120),"")</f>
        <v/>
      </c>
      <c r="H126" s="63">
        <f>IFERROR(INDEX('إنهاء الخدمة'!$I$3:$I$502,120),"")</f>
        <v/>
      </c>
      <c r="I126" s="50">
        <f>IFERROR(INDEX('إنهاء الخدمة'!$J$3:$J$502,120),"")</f>
        <v/>
      </c>
      <c r="J126" s="50">
        <f>IFERROR(INDEX('إنهاء الخدمة'!$K$3:$K$502,120),"")</f>
        <v/>
      </c>
    </row>
    <row r="127">
      <c r="A127" s="43">
        <f>IFERROR(INDEX('إنهاء الخدمة'!$A$3:$A$502,121),"")</f>
        <v/>
      </c>
      <c r="B127" s="43">
        <f>IFERROR(INDEX('إنهاء الخدمة'!$B$3:$B$502,121),"")</f>
        <v/>
      </c>
      <c r="C127" s="118">
        <f>IFERROR(INDEX('إنهاء الخدمة'!$C$3:$C$502,121),"")</f>
        <v/>
      </c>
      <c r="D127" s="43">
        <f>IFERROR(INDEX('إنهاء الخدمة'!$D$3:$D$502,121),"")</f>
        <v/>
      </c>
      <c r="E127" s="118">
        <f>IFERROR(INDEX('إنهاء الخدمة'!$E$3:$E$502,121),"")</f>
        <v/>
      </c>
      <c r="F127" s="43">
        <f>IFERROR(INDEX('إنهاء الخدمة'!$F$3:$F$502,121),"")</f>
        <v/>
      </c>
      <c r="G127" s="43">
        <f>IFERROR(INDEX('إنهاء الخدمة'!$G$3:$G$502,121),"")</f>
        <v/>
      </c>
      <c r="H127" s="60">
        <f>IFERROR(INDEX('إنهاء الخدمة'!$I$3:$I$502,121),"")</f>
        <v/>
      </c>
      <c r="I127" s="43">
        <f>IFERROR(INDEX('إنهاء الخدمة'!$J$3:$J$502,121),"")</f>
        <v/>
      </c>
      <c r="J127" s="43">
        <f>IFERROR(INDEX('إنهاء الخدمة'!$K$3:$K$502,121),"")</f>
        <v/>
      </c>
    </row>
    <row r="128">
      <c r="A128" s="50">
        <f>IFERROR(INDEX('إنهاء الخدمة'!$A$3:$A$502,122),"")</f>
        <v/>
      </c>
      <c r="B128" s="50">
        <f>IFERROR(INDEX('إنهاء الخدمة'!$B$3:$B$502,122),"")</f>
        <v/>
      </c>
      <c r="C128" s="119">
        <f>IFERROR(INDEX('إنهاء الخدمة'!$C$3:$C$502,122),"")</f>
        <v/>
      </c>
      <c r="D128" s="50">
        <f>IFERROR(INDEX('إنهاء الخدمة'!$D$3:$D$502,122),"")</f>
        <v/>
      </c>
      <c r="E128" s="119">
        <f>IFERROR(INDEX('إنهاء الخدمة'!$E$3:$E$502,122),"")</f>
        <v/>
      </c>
      <c r="F128" s="50">
        <f>IFERROR(INDEX('إنهاء الخدمة'!$F$3:$F$502,122),"")</f>
        <v/>
      </c>
      <c r="G128" s="50">
        <f>IFERROR(INDEX('إنهاء الخدمة'!$G$3:$G$502,122),"")</f>
        <v/>
      </c>
      <c r="H128" s="63">
        <f>IFERROR(INDEX('إنهاء الخدمة'!$I$3:$I$502,122),"")</f>
        <v/>
      </c>
      <c r="I128" s="50">
        <f>IFERROR(INDEX('إنهاء الخدمة'!$J$3:$J$502,122),"")</f>
        <v/>
      </c>
      <c r="J128" s="50">
        <f>IFERROR(INDEX('إنهاء الخدمة'!$K$3:$K$502,122),"")</f>
        <v/>
      </c>
    </row>
    <row r="129">
      <c r="A129" s="43">
        <f>IFERROR(INDEX('إنهاء الخدمة'!$A$3:$A$502,123),"")</f>
        <v/>
      </c>
      <c r="B129" s="43">
        <f>IFERROR(INDEX('إنهاء الخدمة'!$B$3:$B$502,123),"")</f>
        <v/>
      </c>
      <c r="C129" s="118">
        <f>IFERROR(INDEX('إنهاء الخدمة'!$C$3:$C$502,123),"")</f>
        <v/>
      </c>
      <c r="D129" s="43">
        <f>IFERROR(INDEX('إنهاء الخدمة'!$D$3:$D$502,123),"")</f>
        <v/>
      </c>
      <c r="E129" s="118">
        <f>IFERROR(INDEX('إنهاء الخدمة'!$E$3:$E$502,123),"")</f>
        <v/>
      </c>
      <c r="F129" s="43">
        <f>IFERROR(INDEX('إنهاء الخدمة'!$F$3:$F$502,123),"")</f>
        <v/>
      </c>
      <c r="G129" s="43">
        <f>IFERROR(INDEX('إنهاء الخدمة'!$G$3:$G$502,123),"")</f>
        <v/>
      </c>
      <c r="H129" s="60">
        <f>IFERROR(INDEX('إنهاء الخدمة'!$I$3:$I$502,123),"")</f>
        <v/>
      </c>
      <c r="I129" s="43">
        <f>IFERROR(INDEX('إنهاء الخدمة'!$J$3:$J$502,123),"")</f>
        <v/>
      </c>
      <c r="J129" s="43">
        <f>IFERROR(INDEX('إنهاء الخدمة'!$K$3:$K$502,123),"")</f>
        <v/>
      </c>
    </row>
    <row r="130">
      <c r="A130" s="50">
        <f>IFERROR(INDEX('إنهاء الخدمة'!$A$3:$A$502,124),"")</f>
        <v/>
      </c>
      <c r="B130" s="50">
        <f>IFERROR(INDEX('إنهاء الخدمة'!$B$3:$B$502,124),"")</f>
        <v/>
      </c>
      <c r="C130" s="119">
        <f>IFERROR(INDEX('إنهاء الخدمة'!$C$3:$C$502,124),"")</f>
        <v/>
      </c>
      <c r="D130" s="50">
        <f>IFERROR(INDEX('إنهاء الخدمة'!$D$3:$D$502,124),"")</f>
        <v/>
      </c>
      <c r="E130" s="119">
        <f>IFERROR(INDEX('إنهاء الخدمة'!$E$3:$E$502,124),"")</f>
        <v/>
      </c>
      <c r="F130" s="50">
        <f>IFERROR(INDEX('إنهاء الخدمة'!$F$3:$F$502,124),"")</f>
        <v/>
      </c>
      <c r="G130" s="50">
        <f>IFERROR(INDEX('إنهاء الخدمة'!$G$3:$G$502,124),"")</f>
        <v/>
      </c>
      <c r="H130" s="63">
        <f>IFERROR(INDEX('إنهاء الخدمة'!$I$3:$I$502,124),"")</f>
        <v/>
      </c>
      <c r="I130" s="50">
        <f>IFERROR(INDEX('إنهاء الخدمة'!$J$3:$J$502,124),"")</f>
        <v/>
      </c>
      <c r="J130" s="50">
        <f>IFERROR(INDEX('إنهاء الخدمة'!$K$3:$K$502,124),"")</f>
        <v/>
      </c>
    </row>
    <row r="131">
      <c r="A131" s="43">
        <f>IFERROR(INDEX('إنهاء الخدمة'!$A$3:$A$502,125),"")</f>
        <v/>
      </c>
      <c r="B131" s="43">
        <f>IFERROR(INDEX('إنهاء الخدمة'!$B$3:$B$502,125),"")</f>
        <v/>
      </c>
      <c r="C131" s="118">
        <f>IFERROR(INDEX('إنهاء الخدمة'!$C$3:$C$502,125),"")</f>
        <v/>
      </c>
      <c r="D131" s="43">
        <f>IFERROR(INDEX('إنهاء الخدمة'!$D$3:$D$502,125),"")</f>
        <v/>
      </c>
      <c r="E131" s="118">
        <f>IFERROR(INDEX('إنهاء الخدمة'!$E$3:$E$502,125),"")</f>
        <v/>
      </c>
      <c r="F131" s="43">
        <f>IFERROR(INDEX('إنهاء الخدمة'!$F$3:$F$502,125),"")</f>
        <v/>
      </c>
      <c r="G131" s="43">
        <f>IFERROR(INDEX('إنهاء الخدمة'!$G$3:$G$502,125),"")</f>
        <v/>
      </c>
      <c r="H131" s="60">
        <f>IFERROR(INDEX('إنهاء الخدمة'!$I$3:$I$502,125),"")</f>
        <v/>
      </c>
      <c r="I131" s="43">
        <f>IFERROR(INDEX('إنهاء الخدمة'!$J$3:$J$502,125),"")</f>
        <v/>
      </c>
      <c r="J131" s="43">
        <f>IFERROR(INDEX('إنهاء الخدمة'!$K$3:$K$502,125),"")</f>
        <v/>
      </c>
    </row>
    <row r="132">
      <c r="A132" s="50">
        <f>IFERROR(INDEX('إنهاء الخدمة'!$A$3:$A$502,126),"")</f>
        <v/>
      </c>
      <c r="B132" s="50">
        <f>IFERROR(INDEX('إنهاء الخدمة'!$B$3:$B$502,126),"")</f>
        <v/>
      </c>
      <c r="C132" s="119">
        <f>IFERROR(INDEX('إنهاء الخدمة'!$C$3:$C$502,126),"")</f>
        <v/>
      </c>
      <c r="D132" s="50">
        <f>IFERROR(INDEX('إنهاء الخدمة'!$D$3:$D$502,126),"")</f>
        <v/>
      </c>
      <c r="E132" s="119">
        <f>IFERROR(INDEX('إنهاء الخدمة'!$E$3:$E$502,126),"")</f>
        <v/>
      </c>
      <c r="F132" s="50">
        <f>IFERROR(INDEX('إنهاء الخدمة'!$F$3:$F$502,126),"")</f>
        <v/>
      </c>
      <c r="G132" s="50">
        <f>IFERROR(INDEX('إنهاء الخدمة'!$G$3:$G$502,126),"")</f>
        <v/>
      </c>
      <c r="H132" s="63">
        <f>IFERROR(INDEX('إنهاء الخدمة'!$I$3:$I$502,126),"")</f>
        <v/>
      </c>
      <c r="I132" s="50">
        <f>IFERROR(INDEX('إنهاء الخدمة'!$J$3:$J$502,126),"")</f>
        <v/>
      </c>
      <c r="J132" s="50">
        <f>IFERROR(INDEX('إنهاء الخدمة'!$K$3:$K$502,126),"")</f>
        <v/>
      </c>
    </row>
    <row r="133">
      <c r="A133" s="43">
        <f>IFERROR(INDEX('إنهاء الخدمة'!$A$3:$A$502,127),"")</f>
        <v/>
      </c>
      <c r="B133" s="43">
        <f>IFERROR(INDEX('إنهاء الخدمة'!$B$3:$B$502,127),"")</f>
        <v/>
      </c>
      <c r="C133" s="118">
        <f>IFERROR(INDEX('إنهاء الخدمة'!$C$3:$C$502,127),"")</f>
        <v/>
      </c>
      <c r="D133" s="43">
        <f>IFERROR(INDEX('إنهاء الخدمة'!$D$3:$D$502,127),"")</f>
        <v/>
      </c>
      <c r="E133" s="118">
        <f>IFERROR(INDEX('إنهاء الخدمة'!$E$3:$E$502,127),"")</f>
        <v/>
      </c>
      <c r="F133" s="43">
        <f>IFERROR(INDEX('إنهاء الخدمة'!$F$3:$F$502,127),"")</f>
        <v/>
      </c>
      <c r="G133" s="43">
        <f>IFERROR(INDEX('إنهاء الخدمة'!$G$3:$G$502,127),"")</f>
        <v/>
      </c>
      <c r="H133" s="60">
        <f>IFERROR(INDEX('إنهاء الخدمة'!$I$3:$I$502,127),"")</f>
        <v/>
      </c>
      <c r="I133" s="43">
        <f>IFERROR(INDEX('إنهاء الخدمة'!$J$3:$J$502,127),"")</f>
        <v/>
      </c>
      <c r="J133" s="43">
        <f>IFERROR(INDEX('إنهاء الخدمة'!$K$3:$K$502,127),"")</f>
        <v/>
      </c>
    </row>
    <row r="134">
      <c r="A134" s="50">
        <f>IFERROR(INDEX('إنهاء الخدمة'!$A$3:$A$502,128),"")</f>
        <v/>
      </c>
      <c r="B134" s="50">
        <f>IFERROR(INDEX('إنهاء الخدمة'!$B$3:$B$502,128),"")</f>
        <v/>
      </c>
      <c r="C134" s="119">
        <f>IFERROR(INDEX('إنهاء الخدمة'!$C$3:$C$502,128),"")</f>
        <v/>
      </c>
      <c r="D134" s="50">
        <f>IFERROR(INDEX('إنهاء الخدمة'!$D$3:$D$502,128),"")</f>
        <v/>
      </c>
      <c r="E134" s="119">
        <f>IFERROR(INDEX('إنهاء الخدمة'!$E$3:$E$502,128),"")</f>
        <v/>
      </c>
      <c r="F134" s="50">
        <f>IFERROR(INDEX('إنهاء الخدمة'!$F$3:$F$502,128),"")</f>
        <v/>
      </c>
      <c r="G134" s="50">
        <f>IFERROR(INDEX('إنهاء الخدمة'!$G$3:$G$502,128),"")</f>
        <v/>
      </c>
      <c r="H134" s="63">
        <f>IFERROR(INDEX('إنهاء الخدمة'!$I$3:$I$502,128),"")</f>
        <v/>
      </c>
      <c r="I134" s="50">
        <f>IFERROR(INDEX('إنهاء الخدمة'!$J$3:$J$502,128),"")</f>
        <v/>
      </c>
      <c r="J134" s="50">
        <f>IFERROR(INDEX('إنهاء الخدمة'!$K$3:$K$502,128),"")</f>
        <v/>
      </c>
    </row>
    <row r="135">
      <c r="A135" s="43">
        <f>IFERROR(INDEX('إنهاء الخدمة'!$A$3:$A$502,129),"")</f>
        <v/>
      </c>
      <c r="B135" s="43">
        <f>IFERROR(INDEX('إنهاء الخدمة'!$B$3:$B$502,129),"")</f>
        <v/>
      </c>
      <c r="C135" s="118">
        <f>IFERROR(INDEX('إنهاء الخدمة'!$C$3:$C$502,129),"")</f>
        <v/>
      </c>
      <c r="D135" s="43">
        <f>IFERROR(INDEX('إنهاء الخدمة'!$D$3:$D$502,129),"")</f>
        <v/>
      </c>
      <c r="E135" s="118">
        <f>IFERROR(INDEX('إنهاء الخدمة'!$E$3:$E$502,129),"")</f>
        <v/>
      </c>
      <c r="F135" s="43">
        <f>IFERROR(INDEX('إنهاء الخدمة'!$F$3:$F$502,129),"")</f>
        <v/>
      </c>
      <c r="G135" s="43">
        <f>IFERROR(INDEX('إنهاء الخدمة'!$G$3:$G$502,129),"")</f>
        <v/>
      </c>
      <c r="H135" s="60">
        <f>IFERROR(INDEX('إنهاء الخدمة'!$I$3:$I$502,129),"")</f>
        <v/>
      </c>
      <c r="I135" s="43">
        <f>IFERROR(INDEX('إنهاء الخدمة'!$J$3:$J$502,129),"")</f>
        <v/>
      </c>
      <c r="J135" s="43">
        <f>IFERROR(INDEX('إنهاء الخدمة'!$K$3:$K$502,129),"")</f>
        <v/>
      </c>
    </row>
    <row r="136">
      <c r="A136" s="50">
        <f>IFERROR(INDEX('إنهاء الخدمة'!$A$3:$A$502,130),"")</f>
        <v/>
      </c>
      <c r="B136" s="50">
        <f>IFERROR(INDEX('إنهاء الخدمة'!$B$3:$B$502,130),"")</f>
        <v/>
      </c>
      <c r="C136" s="119">
        <f>IFERROR(INDEX('إنهاء الخدمة'!$C$3:$C$502,130),"")</f>
        <v/>
      </c>
      <c r="D136" s="50">
        <f>IFERROR(INDEX('إنهاء الخدمة'!$D$3:$D$502,130),"")</f>
        <v/>
      </c>
      <c r="E136" s="119">
        <f>IFERROR(INDEX('إنهاء الخدمة'!$E$3:$E$502,130),"")</f>
        <v/>
      </c>
      <c r="F136" s="50">
        <f>IFERROR(INDEX('إنهاء الخدمة'!$F$3:$F$502,130),"")</f>
        <v/>
      </c>
      <c r="G136" s="50">
        <f>IFERROR(INDEX('إنهاء الخدمة'!$G$3:$G$502,130),"")</f>
        <v/>
      </c>
      <c r="H136" s="63">
        <f>IFERROR(INDEX('إنهاء الخدمة'!$I$3:$I$502,130),"")</f>
        <v/>
      </c>
      <c r="I136" s="50">
        <f>IFERROR(INDEX('إنهاء الخدمة'!$J$3:$J$502,130),"")</f>
        <v/>
      </c>
      <c r="J136" s="50">
        <f>IFERROR(INDEX('إنهاء الخدمة'!$K$3:$K$502,130),"")</f>
        <v/>
      </c>
    </row>
    <row r="137">
      <c r="A137" s="43">
        <f>IFERROR(INDEX('إنهاء الخدمة'!$A$3:$A$502,131),"")</f>
        <v/>
      </c>
      <c r="B137" s="43">
        <f>IFERROR(INDEX('إنهاء الخدمة'!$B$3:$B$502,131),"")</f>
        <v/>
      </c>
      <c r="C137" s="118">
        <f>IFERROR(INDEX('إنهاء الخدمة'!$C$3:$C$502,131),"")</f>
        <v/>
      </c>
      <c r="D137" s="43">
        <f>IFERROR(INDEX('إنهاء الخدمة'!$D$3:$D$502,131),"")</f>
        <v/>
      </c>
      <c r="E137" s="118">
        <f>IFERROR(INDEX('إنهاء الخدمة'!$E$3:$E$502,131),"")</f>
        <v/>
      </c>
      <c r="F137" s="43">
        <f>IFERROR(INDEX('إنهاء الخدمة'!$F$3:$F$502,131),"")</f>
        <v/>
      </c>
      <c r="G137" s="43">
        <f>IFERROR(INDEX('إنهاء الخدمة'!$G$3:$G$502,131),"")</f>
        <v/>
      </c>
      <c r="H137" s="60">
        <f>IFERROR(INDEX('إنهاء الخدمة'!$I$3:$I$502,131),"")</f>
        <v/>
      </c>
      <c r="I137" s="43">
        <f>IFERROR(INDEX('إنهاء الخدمة'!$J$3:$J$502,131),"")</f>
        <v/>
      </c>
      <c r="J137" s="43">
        <f>IFERROR(INDEX('إنهاء الخدمة'!$K$3:$K$502,131),"")</f>
        <v/>
      </c>
    </row>
    <row r="138">
      <c r="A138" s="50">
        <f>IFERROR(INDEX('إنهاء الخدمة'!$A$3:$A$502,132),"")</f>
        <v/>
      </c>
      <c r="B138" s="50">
        <f>IFERROR(INDEX('إنهاء الخدمة'!$B$3:$B$502,132),"")</f>
        <v/>
      </c>
      <c r="C138" s="119">
        <f>IFERROR(INDEX('إنهاء الخدمة'!$C$3:$C$502,132),"")</f>
        <v/>
      </c>
      <c r="D138" s="50">
        <f>IFERROR(INDEX('إنهاء الخدمة'!$D$3:$D$502,132),"")</f>
        <v/>
      </c>
      <c r="E138" s="119">
        <f>IFERROR(INDEX('إنهاء الخدمة'!$E$3:$E$502,132),"")</f>
        <v/>
      </c>
      <c r="F138" s="50">
        <f>IFERROR(INDEX('إنهاء الخدمة'!$F$3:$F$502,132),"")</f>
        <v/>
      </c>
      <c r="G138" s="50">
        <f>IFERROR(INDEX('إنهاء الخدمة'!$G$3:$G$502,132),"")</f>
        <v/>
      </c>
      <c r="H138" s="63">
        <f>IFERROR(INDEX('إنهاء الخدمة'!$I$3:$I$502,132),"")</f>
        <v/>
      </c>
      <c r="I138" s="50">
        <f>IFERROR(INDEX('إنهاء الخدمة'!$J$3:$J$502,132),"")</f>
        <v/>
      </c>
      <c r="J138" s="50">
        <f>IFERROR(INDEX('إنهاء الخدمة'!$K$3:$K$502,132),"")</f>
        <v/>
      </c>
    </row>
    <row r="139">
      <c r="A139" s="43">
        <f>IFERROR(INDEX('إنهاء الخدمة'!$A$3:$A$502,133),"")</f>
        <v/>
      </c>
      <c r="B139" s="43">
        <f>IFERROR(INDEX('إنهاء الخدمة'!$B$3:$B$502,133),"")</f>
        <v/>
      </c>
      <c r="C139" s="118">
        <f>IFERROR(INDEX('إنهاء الخدمة'!$C$3:$C$502,133),"")</f>
        <v/>
      </c>
      <c r="D139" s="43">
        <f>IFERROR(INDEX('إنهاء الخدمة'!$D$3:$D$502,133),"")</f>
        <v/>
      </c>
      <c r="E139" s="118">
        <f>IFERROR(INDEX('إنهاء الخدمة'!$E$3:$E$502,133),"")</f>
        <v/>
      </c>
      <c r="F139" s="43">
        <f>IFERROR(INDEX('إنهاء الخدمة'!$F$3:$F$502,133),"")</f>
        <v/>
      </c>
      <c r="G139" s="43">
        <f>IFERROR(INDEX('إنهاء الخدمة'!$G$3:$G$502,133),"")</f>
        <v/>
      </c>
      <c r="H139" s="60">
        <f>IFERROR(INDEX('إنهاء الخدمة'!$I$3:$I$502,133),"")</f>
        <v/>
      </c>
      <c r="I139" s="43">
        <f>IFERROR(INDEX('إنهاء الخدمة'!$J$3:$J$502,133),"")</f>
        <v/>
      </c>
      <c r="J139" s="43">
        <f>IFERROR(INDEX('إنهاء الخدمة'!$K$3:$K$502,133),"")</f>
        <v/>
      </c>
    </row>
    <row r="140">
      <c r="A140" s="50">
        <f>IFERROR(INDEX('إنهاء الخدمة'!$A$3:$A$502,134),"")</f>
        <v/>
      </c>
      <c r="B140" s="50">
        <f>IFERROR(INDEX('إنهاء الخدمة'!$B$3:$B$502,134),"")</f>
        <v/>
      </c>
      <c r="C140" s="119">
        <f>IFERROR(INDEX('إنهاء الخدمة'!$C$3:$C$502,134),"")</f>
        <v/>
      </c>
      <c r="D140" s="50">
        <f>IFERROR(INDEX('إنهاء الخدمة'!$D$3:$D$502,134),"")</f>
        <v/>
      </c>
      <c r="E140" s="119">
        <f>IFERROR(INDEX('إنهاء الخدمة'!$E$3:$E$502,134),"")</f>
        <v/>
      </c>
      <c r="F140" s="50">
        <f>IFERROR(INDEX('إنهاء الخدمة'!$F$3:$F$502,134),"")</f>
        <v/>
      </c>
      <c r="G140" s="50">
        <f>IFERROR(INDEX('إنهاء الخدمة'!$G$3:$G$502,134),"")</f>
        <v/>
      </c>
      <c r="H140" s="63">
        <f>IFERROR(INDEX('إنهاء الخدمة'!$I$3:$I$502,134),"")</f>
        <v/>
      </c>
      <c r="I140" s="50">
        <f>IFERROR(INDEX('إنهاء الخدمة'!$J$3:$J$502,134),"")</f>
        <v/>
      </c>
      <c r="J140" s="50">
        <f>IFERROR(INDEX('إنهاء الخدمة'!$K$3:$K$502,134),"")</f>
        <v/>
      </c>
    </row>
    <row r="141">
      <c r="A141" s="43">
        <f>IFERROR(INDEX('إنهاء الخدمة'!$A$3:$A$502,135),"")</f>
        <v/>
      </c>
      <c r="B141" s="43">
        <f>IFERROR(INDEX('إنهاء الخدمة'!$B$3:$B$502,135),"")</f>
        <v/>
      </c>
      <c r="C141" s="118">
        <f>IFERROR(INDEX('إنهاء الخدمة'!$C$3:$C$502,135),"")</f>
        <v/>
      </c>
      <c r="D141" s="43">
        <f>IFERROR(INDEX('إنهاء الخدمة'!$D$3:$D$502,135),"")</f>
        <v/>
      </c>
      <c r="E141" s="118">
        <f>IFERROR(INDEX('إنهاء الخدمة'!$E$3:$E$502,135),"")</f>
        <v/>
      </c>
      <c r="F141" s="43">
        <f>IFERROR(INDEX('إنهاء الخدمة'!$F$3:$F$502,135),"")</f>
        <v/>
      </c>
      <c r="G141" s="43">
        <f>IFERROR(INDEX('إنهاء الخدمة'!$G$3:$G$502,135),"")</f>
        <v/>
      </c>
      <c r="H141" s="60">
        <f>IFERROR(INDEX('إنهاء الخدمة'!$I$3:$I$502,135),"")</f>
        <v/>
      </c>
      <c r="I141" s="43">
        <f>IFERROR(INDEX('إنهاء الخدمة'!$J$3:$J$502,135),"")</f>
        <v/>
      </c>
      <c r="J141" s="43">
        <f>IFERROR(INDEX('إنهاء الخدمة'!$K$3:$K$502,135),"")</f>
        <v/>
      </c>
    </row>
    <row r="142">
      <c r="A142" s="50">
        <f>IFERROR(INDEX('إنهاء الخدمة'!$A$3:$A$502,136),"")</f>
        <v/>
      </c>
      <c r="B142" s="50">
        <f>IFERROR(INDEX('إنهاء الخدمة'!$B$3:$B$502,136),"")</f>
        <v/>
      </c>
      <c r="C142" s="119">
        <f>IFERROR(INDEX('إنهاء الخدمة'!$C$3:$C$502,136),"")</f>
        <v/>
      </c>
      <c r="D142" s="50">
        <f>IFERROR(INDEX('إنهاء الخدمة'!$D$3:$D$502,136),"")</f>
        <v/>
      </c>
      <c r="E142" s="119">
        <f>IFERROR(INDEX('إنهاء الخدمة'!$E$3:$E$502,136),"")</f>
        <v/>
      </c>
      <c r="F142" s="50">
        <f>IFERROR(INDEX('إنهاء الخدمة'!$F$3:$F$502,136),"")</f>
        <v/>
      </c>
      <c r="G142" s="50">
        <f>IFERROR(INDEX('إنهاء الخدمة'!$G$3:$G$502,136),"")</f>
        <v/>
      </c>
      <c r="H142" s="63">
        <f>IFERROR(INDEX('إنهاء الخدمة'!$I$3:$I$502,136),"")</f>
        <v/>
      </c>
      <c r="I142" s="50">
        <f>IFERROR(INDEX('إنهاء الخدمة'!$J$3:$J$502,136),"")</f>
        <v/>
      </c>
      <c r="J142" s="50">
        <f>IFERROR(INDEX('إنهاء الخدمة'!$K$3:$K$502,136),"")</f>
        <v/>
      </c>
    </row>
    <row r="143">
      <c r="A143" s="43">
        <f>IFERROR(INDEX('إنهاء الخدمة'!$A$3:$A$502,137),"")</f>
        <v/>
      </c>
      <c r="B143" s="43">
        <f>IFERROR(INDEX('إنهاء الخدمة'!$B$3:$B$502,137),"")</f>
        <v/>
      </c>
      <c r="C143" s="118">
        <f>IFERROR(INDEX('إنهاء الخدمة'!$C$3:$C$502,137),"")</f>
        <v/>
      </c>
      <c r="D143" s="43">
        <f>IFERROR(INDEX('إنهاء الخدمة'!$D$3:$D$502,137),"")</f>
        <v/>
      </c>
      <c r="E143" s="118">
        <f>IFERROR(INDEX('إنهاء الخدمة'!$E$3:$E$502,137),"")</f>
        <v/>
      </c>
      <c r="F143" s="43">
        <f>IFERROR(INDEX('إنهاء الخدمة'!$F$3:$F$502,137),"")</f>
        <v/>
      </c>
      <c r="G143" s="43">
        <f>IFERROR(INDEX('إنهاء الخدمة'!$G$3:$G$502,137),"")</f>
        <v/>
      </c>
      <c r="H143" s="60">
        <f>IFERROR(INDEX('إنهاء الخدمة'!$I$3:$I$502,137),"")</f>
        <v/>
      </c>
      <c r="I143" s="43">
        <f>IFERROR(INDEX('إنهاء الخدمة'!$J$3:$J$502,137),"")</f>
        <v/>
      </c>
      <c r="J143" s="43">
        <f>IFERROR(INDEX('إنهاء الخدمة'!$K$3:$K$502,137),"")</f>
        <v/>
      </c>
    </row>
    <row r="144">
      <c r="A144" s="50">
        <f>IFERROR(INDEX('إنهاء الخدمة'!$A$3:$A$502,138),"")</f>
        <v/>
      </c>
      <c r="B144" s="50">
        <f>IFERROR(INDEX('إنهاء الخدمة'!$B$3:$B$502,138),"")</f>
        <v/>
      </c>
      <c r="C144" s="119">
        <f>IFERROR(INDEX('إنهاء الخدمة'!$C$3:$C$502,138),"")</f>
        <v/>
      </c>
      <c r="D144" s="50">
        <f>IFERROR(INDEX('إنهاء الخدمة'!$D$3:$D$502,138),"")</f>
        <v/>
      </c>
      <c r="E144" s="119">
        <f>IFERROR(INDEX('إنهاء الخدمة'!$E$3:$E$502,138),"")</f>
        <v/>
      </c>
      <c r="F144" s="50">
        <f>IFERROR(INDEX('إنهاء الخدمة'!$F$3:$F$502,138),"")</f>
        <v/>
      </c>
      <c r="G144" s="50">
        <f>IFERROR(INDEX('إنهاء الخدمة'!$G$3:$G$502,138),"")</f>
        <v/>
      </c>
      <c r="H144" s="63">
        <f>IFERROR(INDEX('إنهاء الخدمة'!$I$3:$I$502,138),"")</f>
        <v/>
      </c>
      <c r="I144" s="50">
        <f>IFERROR(INDEX('إنهاء الخدمة'!$J$3:$J$502,138),"")</f>
        <v/>
      </c>
      <c r="J144" s="50">
        <f>IFERROR(INDEX('إنهاء الخدمة'!$K$3:$K$502,138),"")</f>
        <v/>
      </c>
    </row>
    <row r="145">
      <c r="A145" s="43">
        <f>IFERROR(INDEX('إنهاء الخدمة'!$A$3:$A$502,139),"")</f>
        <v/>
      </c>
      <c r="B145" s="43">
        <f>IFERROR(INDEX('إنهاء الخدمة'!$B$3:$B$502,139),"")</f>
        <v/>
      </c>
      <c r="C145" s="118">
        <f>IFERROR(INDEX('إنهاء الخدمة'!$C$3:$C$502,139),"")</f>
        <v/>
      </c>
      <c r="D145" s="43">
        <f>IFERROR(INDEX('إنهاء الخدمة'!$D$3:$D$502,139),"")</f>
        <v/>
      </c>
      <c r="E145" s="118">
        <f>IFERROR(INDEX('إنهاء الخدمة'!$E$3:$E$502,139),"")</f>
        <v/>
      </c>
      <c r="F145" s="43">
        <f>IFERROR(INDEX('إنهاء الخدمة'!$F$3:$F$502,139),"")</f>
        <v/>
      </c>
      <c r="G145" s="43">
        <f>IFERROR(INDEX('إنهاء الخدمة'!$G$3:$G$502,139),"")</f>
        <v/>
      </c>
      <c r="H145" s="60">
        <f>IFERROR(INDEX('إنهاء الخدمة'!$I$3:$I$502,139),"")</f>
        <v/>
      </c>
      <c r="I145" s="43">
        <f>IFERROR(INDEX('إنهاء الخدمة'!$J$3:$J$502,139),"")</f>
        <v/>
      </c>
      <c r="J145" s="43">
        <f>IFERROR(INDEX('إنهاء الخدمة'!$K$3:$K$502,139),"")</f>
        <v/>
      </c>
    </row>
    <row r="146">
      <c r="A146" s="50">
        <f>IFERROR(INDEX('إنهاء الخدمة'!$A$3:$A$502,140),"")</f>
        <v/>
      </c>
      <c r="B146" s="50">
        <f>IFERROR(INDEX('إنهاء الخدمة'!$B$3:$B$502,140),"")</f>
        <v/>
      </c>
      <c r="C146" s="119">
        <f>IFERROR(INDEX('إنهاء الخدمة'!$C$3:$C$502,140),"")</f>
        <v/>
      </c>
      <c r="D146" s="50">
        <f>IFERROR(INDEX('إنهاء الخدمة'!$D$3:$D$502,140),"")</f>
        <v/>
      </c>
      <c r="E146" s="119">
        <f>IFERROR(INDEX('إنهاء الخدمة'!$E$3:$E$502,140),"")</f>
        <v/>
      </c>
      <c r="F146" s="50">
        <f>IFERROR(INDEX('إنهاء الخدمة'!$F$3:$F$502,140),"")</f>
        <v/>
      </c>
      <c r="G146" s="50">
        <f>IFERROR(INDEX('إنهاء الخدمة'!$G$3:$G$502,140),"")</f>
        <v/>
      </c>
      <c r="H146" s="63">
        <f>IFERROR(INDEX('إنهاء الخدمة'!$I$3:$I$502,140),"")</f>
        <v/>
      </c>
      <c r="I146" s="50">
        <f>IFERROR(INDEX('إنهاء الخدمة'!$J$3:$J$502,140),"")</f>
        <v/>
      </c>
      <c r="J146" s="50">
        <f>IFERROR(INDEX('إنهاء الخدمة'!$K$3:$K$502,140),"")</f>
        <v/>
      </c>
    </row>
    <row r="147">
      <c r="A147" s="43">
        <f>IFERROR(INDEX('إنهاء الخدمة'!$A$3:$A$502,141),"")</f>
        <v/>
      </c>
      <c r="B147" s="43">
        <f>IFERROR(INDEX('إنهاء الخدمة'!$B$3:$B$502,141),"")</f>
        <v/>
      </c>
      <c r="C147" s="118">
        <f>IFERROR(INDEX('إنهاء الخدمة'!$C$3:$C$502,141),"")</f>
        <v/>
      </c>
      <c r="D147" s="43">
        <f>IFERROR(INDEX('إنهاء الخدمة'!$D$3:$D$502,141),"")</f>
        <v/>
      </c>
      <c r="E147" s="118">
        <f>IFERROR(INDEX('إنهاء الخدمة'!$E$3:$E$502,141),"")</f>
        <v/>
      </c>
      <c r="F147" s="43">
        <f>IFERROR(INDEX('إنهاء الخدمة'!$F$3:$F$502,141),"")</f>
        <v/>
      </c>
      <c r="G147" s="43">
        <f>IFERROR(INDEX('إنهاء الخدمة'!$G$3:$G$502,141),"")</f>
        <v/>
      </c>
      <c r="H147" s="60">
        <f>IFERROR(INDEX('إنهاء الخدمة'!$I$3:$I$502,141),"")</f>
        <v/>
      </c>
      <c r="I147" s="43">
        <f>IFERROR(INDEX('إنهاء الخدمة'!$J$3:$J$502,141),"")</f>
        <v/>
      </c>
      <c r="J147" s="43">
        <f>IFERROR(INDEX('إنهاء الخدمة'!$K$3:$K$502,141),"")</f>
        <v/>
      </c>
    </row>
    <row r="148">
      <c r="A148" s="50">
        <f>IFERROR(INDEX('إنهاء الخدمة'!$A$3:$A$502,142),"")</f>
        <v/>
      </c>
      <c r="B148" s="50">
        <f>IFERROR(INDEX('إنهاء الخدمة'!$B$3:$B$502,142),"")</f>
        <v/>
      </c>
      <c r="C148" s="119">
        <f>IFERROR(INDEX('إنهاء الخدمة'!$C$3:$C$502,142),"")</f>
        <v/>
      </c>
      <c r="D148" s="50">
        <f>IFERROR(INDEX('إنهاء الخدمة'!$D$3:$D$502,142),"")</f>
        <v/>
      </c>
      <c r="E148" s="119">
        <f>IFERROR(INDEX('إنهاء الخدمة'!$E$3:$E$502,142),"")</f>
        <v/>
      </c>
      <c r="F148" s="50">
        <f>IFERROR(INDEX('إنهاء الخدمة'!$F$3:$F$502,142),"")</f>
        <v/>
      </c>
      <c r="G148" s="50">
        <f>IFERROR(INDEX('إنهاء الخدمة'!$G$3:$G$502,142),"")</f>
        <v/>
      </c>
      <c r="H148" s="63">
        <f>IFERROR(INDEX('إنهاء الخدمة'!$I$3:$I$502,142),"")</f>
        <v/>
      </c>
      <c r="I148" s="50">
        <f>IFERROR(INDEX('إنهاء الخدمة'!$J$3:$J$502,142),"")</f>
        <v/>
      </c>
      <c r="J148" s="50">
        <f>IFERROR(INDEX('إنهاء الخدمة'!$K$3:$K$502,142),"")</f>
        <v/>
      </c>
    </row>
    <row r="149">
      <c r="A149" s="43">
        <f>IFERROR(INDEX('إنهاء الخدمة'!$A$3:$A$502,143),"")</f>
        <v/>
      </c>
      <c r="B149" s="43">
        <f>IFERROR(INDEX('إنهاء الخدمة'!$B$3:$B$502,143),"")</f>
        <v/>
      </c>
      <c r="C149" s="118">
        <f>IFERROR(INDEX('إنهاء الخدمة'!$C$3:$C$502,143),"")</f>
        <v/>
      </c>
      <c r="D149" s="43">
        <f>IFERROR(INDEX('إنهاء الخدمة'!$D$3:$D$502,143),"")</f>
        <v/>
      </c>
      <c r="E149" s="118">
        <f>IFERROR(INDEX('إنهاء الخدمة'!$E$3:$E$502,143),"")</f>
        <v/>
      </c>
      <c r="F149" s="43">
        <f>IFERROR(INDEX('إنهاء الخدمة'!$F$3:$F$502,143),"")</f>
        <v/>
      </c>
      <c r="G149" s="43">
        <f>IFERROR(INDEX('إنهاء الخدمة'!$G$3:$G$502,143),"")</f>
        <v/>
      </c>
      <c r="H149" s="60">
        <f>IFERROR(INDEX('إنهاء الخدمة'!$I$3:$I$502,143),"")</f>
        <v/>
      </c>
      <c r="I149" s="43">
        <f>IFERROR(INDEX('إنهاء الخدمة'!$J$3:$J$502,143),"")</f>
        <v/>
      </c>
      <c r="J149" s="43">
        <f>IFERROR(INDEX('إنهاء الخدمة'!$K$3:$K$502,143),"")</f>
        <v/>
      </c>
    </row>
    <row r="150">
      <c r="A150" s="50">
        <f>IFERROR(INDEX('إنهاء الخدمة'!$A$3:$A$502,144),"")</f>
        <v/>
      </c>
      <c r="B150" s="50">
        <f>IFERROR(INDEX('إنهاء الخدمة'!$B$3:$B$502,144),"")</f>
        <v/>
      </c>
      <c r="C150" s="119">
        <f>IFERROR(INDEX('إنهاء الخدمة'!$C$3:$C$502,144),"")</f>
        <v/>
      </c>
      <c r="D150" s="50">
        <f>IFERROR(INDEX('إنهاء الخدمة'!$D$3:$D$502,144),"")</f>
        <v/>
      </c>
      <c r="E150" s="119">
        <f>IFERROR(INDEX('إنهاء الخدمة'!$E$3:$E$502,144),"")</f>
        <v/>
      </c>
      <c r="F150" s="50">
        <f>IFERROR(INDEX('إنهاء الخدمة'!$F$3:$F$502,144),"")</f>
        <v/>
      </c>
      <c r="G150" s="50">
        <f>IFERROR(INDEX('إنهاء الخدمة'!$G$3:$G$502,144),"")</f>
        <v/>
      </c>
      <c r="H150" s="63">
        <f>IFERROR(INDEX('إنهاء الخدمة'!$I$3:$I$502,144),"")</f>
        <v/>
      </c>
      <c r="I150" s="50">
        <f>IFERROR(INDEX('إنهاء الخدمة'!$J$3:$J$502,144),"")</f>
        <v/>
      </c>
      <c r="J150" s="50">
        <f>IFERROR(INDEX('إنهاء الخدمة'!$K$3:$K$502,144),"")</f>
        <v/>
      </c>
    </row>
    <row r="151">
      <c r="A151" s="43">
        <f>IFERROR(INDEX('إنهاء الخدمة'!$A$3:$A$502,145),"")</f>
        <v/>
      </c>
      <c r="B151" s="43">
        <f>IFERROR(INDEX('إنهاء الخدمة'!$B$3:$B$502,145),"")</f>
        <v/>
      </c>
      <c r="C151" s="118">
        <f>IFERROR(INDEX('إنهاء الخدمة'!$C$3:$C$502,145),"")</f>
        <v/>
      </c>
      <c r="D151" s="43">
        <f>IFERROR(INDEX('إنهاء الخدمة'!$D$3:$D$502,145),"")</f>
        <v/>
      </c>
      <c r="E151" s="118">
        <f>IFERROR(INDEX('إنهاء الخدمة'!$E$3:$E$502,145),"")</f>
        <v/>
      </c>
      <c r="F151" s="43">
        <f>IFERROR(INDEX('إنهاء الخدمة'!$F$3:$F$502,145),"")</f>
        <v/>
      </c>
      <c r="G151" s="43">
        <f>IFERROR(INDEX('إنهاء الخدمة'!$G$3:$G$502,145),"")</f>
        <v/>
      </c>
      <c r="H151" s="60">
        <f>IFERROR(INDEX('إنهاء الخدمة'!$I$3:$I$502,145),"")</f>
        <v/>
      </c>
      <c r="I151" s="43">
        <f>IFERROR(INDEX('إنهاء الخدمة'!$J$3:$J$502,145),"")</f>
        <v/>
      </c>
      <c r="J151" s="43">
        <f>IFERROR(INDEX('إنهاء الخدمة'!$K$3:$K$502,145),"")</f>
        <v/>
      </c>
    </row>
    <row r="152">
      <c r="A152" s="50">
        <f>IFERROR(INDEX('إنهاء الخدمة'!$A$3:$A$502,146),"")</f>
        <v/>
      </c>
      <c r="B152" s="50">
        <f>IFERROR(INDEX('إنهاء الخدمة'!$B$3:$B$502,146),"")</f>
        <v/>
      </c>
      <c r="C152" s="119">
        <f>IFERROR(INDEX('إنهاء الخدمة'!$C$3:$C$502,146),"")</f>
        <v/>
      </c>
      <c r="D152" s="50">
        <f>IFERROR(INDEX('إنهاء الخدمة'!$D$3:$D$502,146),"")</f>
        <v/>
      </c>
      <c r="E152" s="119">
        <f>IFERROR(INDEX('إنهاء الخدمة'!$E$3:$E$502,146),"")</f>
        <v/>
      </c>
      <c r="F152" s="50">
        <f>IFERROR(INDEX('إنهاء الخدمة'!$F$3:$F$502,146),"")</f>
        <v/>
      </c>
      <c r="G152" s="50">
        <f>IFERROR(INDEX('إنهاء الخدمة'!$G$3:$G$502,146),"")</f>
        <v/>
      </c>
      <c r="H152" s="63">
        <f>IFERROR(INDEX('إنهاء الخدمة'!$I$3:$I$502,146),"")</f>
        <v/>
      </c>
      <c r="I152" s="50">
        <f>IFERROR(INDEX('إنهاء الخدمة'!$J$3:$J$502,146),"")</f>
        <v/>
      </c>
      <c r="J152" s="50">
        <f>IFERROR(INDEX('إنهاء الخدمة'!$K$3:$K$502,146),"")</f>
        <v/>
      </c>
    </row>
    <row r="153">
      <c r="A153" s="43">
        <f>IFERROR(INDEX('إنهاء الخدمة'!$A$3:$A$502,147),"")</f>
        <v/>
      </c>
      <c r="B153" s="43">
        <f>IFERROR(INDEX('إنهاء الخدمة'!$B$3:$B$502,147),"")</f>
        <v/>
      </c>
      <c r="C153" s="118">
        <f>IFERROR(INDEX('إنهاء الخدمة'!$C$3:$C$502,147),"")</f>
        <v/>
      </c>
      <c r="D153" s="43">
        <f>IFERROR(INDEX('إنهاء الخدمة'!$D$3:$D$502,147),"")</f>
        <v/>
      </c>
      <c r="E153" s="118">
        <f>IFERROR(INDEX('إنهاء الخدمة'!$E$3:$E$502,147),"")</f>
        <v/>
      </c>
      <c r="F153" s="43">
        <f>IFERROR(INDEX('إنهاء الخدمة'!$F$3:$F$502,147),"")</f>
        <v/>
      </c>
      <c r="G153" s="43">
        <f>IFERROR(INDEX('إنهاء الخدمة'!$G$3:$G$502,147),"")</f>
        <v/>
      </c>
      <c r="H153" s="60">
        <f>IFERROR(INDEX('إنهاء الخدمة'!$I$3:$I$502,147),"")</f>
        <v/>
      </c>
      <c r="I153" s="43">
        <f>IFERROR(INDEX('إنهاء الخدمة'!$J$3:$J$502,147),"")</f>
        <v/>
      </c>
      <c r="J153" s="43">
        <f>IFERROR(INDEX('إنهاء الخدمة'!$K$3:$K$502,147),"")</f>
        <v/>
      </c>
    </row>
    <row r="154">
      <c r="A154" s="50">
        <f>IFERROR(INDEX('إنهاء الخدمة'!$A$3:$A$502,148),"")</f>
        <v/>
      </c>
      <c r="B154" s="50">
        <f>IFERROR(INDEX('إنهاء الخدمة'!$B$3:$B$502,148),"")</f>
        <v/>
      </c>
      <c r="C154" s="119">
        <f>IFERROR(INDEX('إنهاء الخدمة'!$C$3:$C$502,148),"")</f>
        <v/>
      </c>
      <c r="D154" s="50">
        <f>IFERROR(INDEX('إنهاء الخدمة'!$D$3:$D$502,148),"")</f>
        <v/>
      </c>
      <c r="E154" s="119">
        <f>IFERROR(INDEX('إنهاء الخدمة'!$E$3:$E$502,148),"")</f>
        <v/>
      </c>
      <c r="F154" s="50">
        <f>IFERROR(INDEX('إنهاء الخدمة'!$F$3:$F$502,148),"")</f>
        <v/>
      </c>
      <c r="G154" s="50">
        <f>IFERROR(INDEX('إنهاء الخدمة'!$G$3:$G$502,148),"")</f>
        <v/>
      </c>
      <c r="H154" s="63">
        <f>IFERROR(INDEX('إنهاء الخدمة'!$I$3:$I$502,148),"")</f>
        <v/>
      </c>
      <c r="I154" s="50">
        <f>IFERROR(INDEX('إنهاء الخدمة'!$J$3:$J$502,148),"")</f>
        <v/>
      </c>
      <c r="J154" s="50">
        <f>IFERROR(INDEX('إنهاء الخدمة'!$K$3:$K$502,148),"")</f>
        <v/>
      </c>
    </row>
    <row r="155">
      <c r="A155" s="43">
        <f>IFERROR(INDEX('إنهاء الخدمة'!$A$3:$A$502,149),"")</f>
        <v/>
      </c>
      <c r="B155" s="43">
        <f>IFERROR(INDEX('إنهاء الخدمة'!$B$3:$B$502,149),"")</f>
        <v/>
      </c>
      <c r="C155" s="118">
        <f>IFERROR(INDEX('إنهاء الخدمة'!$C$3:$C$502,149),"")</f>
        <v/>
      </c>
      <c r="D155" s="43">
        <f>IFERROR(INDEX('إنهاء الخدمة'!$D$3:$D$502,149),"")</f>
        <v/>
      </c>
      <c r="E155" s="118">
        <f>IFERROR(INDEX('إنهاء الخدمة'!$E$3:$E$502,149),"")</f>
        <v/>
      </c>
      <c r="F155" s="43">
        <f>IFERROR(INDEX('إنهاء الخدمة'!$F$3:$F$502,149),"")</f>
        <v/>
      </c>
      <c r="G155" s="43">
        <f>IFERROR(INDEX('إنهاء الخدمة'!$G$3:$G$502,149),"")</f>
        <v/>
      </c>
      <c r="H155" s="60">
        <f>IFERROR(INDEX('إنهاء الخدمة'!$I$3:$I$502,149),"")</f>
        <v/>
      </c>
      <c r="I155" s="43">
        <f>IFERROR(INDEX('إنهاء الخدمة'!$J$3:$J$502,149),"")</f>
        <v/>
      </c>
      <c r="J155" s="43">
        <f>IFERROR(INDEX('إنهاء الخدمة'!$K$3:$K$502,149),"")</f>
        <v/>
      </c>
    </row>
    <row r="156">
      <c r="A156" s="50">
        <f>IFERROR(INDEX('إنهاء الخدمة'!$A$3:$A$502,150),"")</f>
        <v/>
      </c>
      <c r="B156" s="50">
        <f>IFERROR(INDEX('إنهاء الخدمة'!$B$3:$B$502,150),"")</f>
        <v/>
      </c>
      <c r="C156" s="119">
        <f>IFERROR(INDEX('إنهاء الخدمة'!$C$3:$C$502,150),"")</f>
        <v/>
      </c>
      <c r="D156" s="50">
        <f>IFERROR(INDEX('إنهاء الخدمة'!$D$3:$D$502,150),"")</f>
        <v/>
      </c>
      <c r="E156" s="119">
        <f>IFERROR(INDEX('إنهاء الخدمة'!$E$3:$E$502,150),"")</f>
        <v/>
      </c>
      <c r="F156" s="50">
        <f>IFERROR(INDEX('إنهاء الخدمة'!$F$3:$F$502,150),"")</f>
        <v/>
      </c>
      <c r="G156" s="50">
        <f>IFERROR(INDEX('إنهاء الخدمة'!$G$3:$G$502,150),"")</f>
        <v/>
      </c>
      <c r="H156" s="63">
        <f>IFERROR(INDEX('إنهاء الخدمة'!$I$3:$I$502,150),"")</f>
        <v/>
      </c>
      <c r="I156" s="50">
        <f>IFERROR(INDEX('إنهاء الخدمة'!$J$3:$J$502,150),"")</f>
        <v/>
      </c>
      <c r="J156" s="50">
        <f>IFERROR(INDEX('إنهاء الخدمة'!$K$3:$K$502,150),"")</f>
        <v/>
      </c>
    </row>
    <row r="157">
      <c r="A157" s="43">
        <f>IFERROR(INDEX('إنهاء الخدمة'!$A$3:$A$502,151),"")</f>
        <v/>
      </c>
      <c r="B157" s="43">
        <f>IFERROR(INDEX('إنهاء الخدمة'!$B$3:$B$502,151),"")</f>
        <v/>
      </c>
      <c r="C157" s="118">
        <f>IFERROR(INDEX('إنهاء الخدمة'!$C$3:$C$502,151),"")</f>
        <v/>
      </c>
      <c r="D157" s="43">
        <f>IFERROR(INDEX('إنهاء الخدمة'!$D$3:$D$502,151),"")</f>
        <v/>
      </c>
      <c r="E157" s="118">
        <f>IFERROR(INDEX('إنهاء الخدمة'!$E$3:$E$502,151),"")</f>
        <v/>
      </c>
      <c r="F157" s="43">
        <f>IFERROR(INDEX('إنهاء الخدمة'!$F$3:$F$502,151),"")</f>
        <v/>
      </c>
      <c r="G157" s="43">
        <f>IFERROR(INDEX('إنهاء الخدمة'!$G$3:$G$502,151),"")</f>
        <v/>
      </c>
      <c r="H157" s="60">
        <f>IFERROR(INDEX('إنهاء الخدمة'!$I$3:$I$502,151),"")</f>
        <v/>
      </c>
      <c r="I157" s="43">
        <f>IFERROR(INDEX('إنهاء الخدمة'!$J$3:$J$502,151),"")</f>
        <v/>
      </c>
      <c r="J157" s="43">
        <f>IFERROR(INDEX('إنهاء الخدمة'!$K$3:$K$502,151),"")</f>
        <v/>
      </c>
    </row>
    <row r="158">
      <c r="A158" s="50">
        <f>IFERROR(INDEX('إنهاء الخدمة'!$A$3:$A$502,152),"")</f>
        <v/>
      </c>
      <c r="B158" s="50">
        <f>IFERROR(INDEX('إنهاء الخدمة'!$B$3:$B$502,152),"")</f>
        <v/>
      </c>
      <c r="C158" s="119">
        <f>IFERROR(INDEX('إنهاء الخدمة'!$C$3:$C$502,152),"")</f>
        <v/>
      </c>
      <c r="D158" s="50">
        <f>IFERROR(INDEX('إنهاء الخدمة'!$D$3:$D$502,152),"")</f>
        <v/>
      </c>
      <c r="E158" s="119">
        <f>IFERROR(INDEX('إنهاء الخدمة'!$E$3:$E$502,152),"")</f>
        <v/>
      </c>
      <c r="F158" s="50">
        <f>IFERROR(INDEX('إنهاء الخدمة'!$F$3:$F$502,152),"")</f>
        <v/>
      </c>
      <c r="G158" s="50">
        <f>IFERROR(INDEX('إنهاء الخدمة'!$G$3:$G$502,152),"")</f>
        <v/>
      </c>
      <c r="H158" s="63">
        <f>IFERROR(INDEX('إنهاء الخدمة'!$I$3:$I$502,152),"")</f>
        <v/>
      </c>
      <c r="I158" s="50">
        <f>IFERROR(INDEX('إنهاء الخدمة'!$J$3:$J$502,152),"")</f>
        <v/>
      </c>
      <c r="J158" s="50">
        <f>IFERROR(INDEX('إنهاء الخدمة'!$K$3:$K$502,152),"")</f>
        <v/>
      </c>
    </row>
    <row r="159">
      <c r="A159" s="43">
        <f>IFERROR(INDEX('إنهاء الخدمة'!$A$3:$A$502,153),"")</f>
        <v/>
      </c>
      <c r="B159" s="43">
        <f>IFERROR(INDEX('إنهاء الخدمة'!$B$3:$B$502,153),"")</f>
        <v/>
      </c>
      <c r="C159" s="118">
        <f>IFERROR(INDEX('إنهاء الخدمة'!$C$3:$C$502,153),"")</f>
        <v/>
      </c>
      <c r="D159" s="43">
        <f>IFERROR(INDEX('إنهاء الخدمة'!$D$3:$D$502,153),"")</f>
        <v/>
      </c>
      <c r="E159" s="118">
        <f>IFERROR(INDEX('إنهاء الخدمة'!$E$3:$E$502,153),"")</f>
        <v/>
      </c>
      <c r="F159" s="43">
        <f>IFERROR(INDEX('إنهاء الخدمة'!$F$3:$F$502,153),"")</f>
        <v/>
      </c>
      <c r="G159" s="43">
        <f>IFERROR(INDEX('إنهاء الخدمة'!$G$3:$G$502,153),"")</f>
        <v/>
      </c>
      <c r="H159" s="60">
        <f>IFERROR(INDEX('إنهاء الخدمة'!$I$3:$I$502,153),"")</f>
        <v/>
      </c>
      <c r="I159" s="43">
        <f>IFERROR(INDEX('إنهاء الخدمة'!$J$3:$J$502,153),"")</f>
        <v/>
      </c>
      <c r="J159" s="43">
        <f>IFERROR(INDEX('إنهاء الخدمة'!$K$3:$K$502,153),"")</f>
        <v/>
      </c>
    </row>
    <row r="160">
      <c r="A160" s="50">
        <f>IFERROR(INDEX('إنهاء الخدمة'!$A$3:$A$502,154),"")</f>
        <v/>
      </c>
      <c r="B160" s="50">
        <f>IFERROR(INDEX('إنهاء الخدمة'!$B$3:$B$502,154),"")</f>
        <v/>
      </c>
      <c r="C160" s="119">
        <f>IFERROR(INDEX('إنهاء الخدمة'!$C$3:$C$502,154),"")</f>
        <v/>
      </c>
      <c r="D160" s="50">
        <f>IFERROR(INDEX('إنهاء الخدمة'!$D$3:$D$502,154),"")</f>
        <v/>
      </c>
      <c r="E160" s="119">
        <f>IFERROR(INDEX('إنهاء الخدمة'!$E$3:$E$502,154),"")</f>
        <v/>
      </c>
      <c r="F160" s="50">
        <f>IFERROR(INDEX('إنهاء الخدمة'!$F$3:$F$502,154),"")</f>
        <v/>
      </c>
      <c r="G160" s="50">
        <f>IFERROR(INDEX('إنهاء الخدمة'!$G$3:$G$502,154),"")</f>
        <v/>
      </c>
      <c r="H160" s="63">
        <f>IFERROR(INDEX('إنهاء الخدمة'!$I$3:$I$502,154),"")</f>
        <v/>
      </c>
      <c r="I160" s="50">
        <f>IFERROR(INDEX('إنهاء الخدمة'!$J$3:$J$502,154),"")</f>
        <v/>
      </c>
      <c r="J160" s="50">
        <f>IFERROR(INDEX('إنهاء الخدمة'!$K$3:$K$502,154),"")</f>
        <v/>
      </c>
    </row>
    <row r="161">
      <c r="A161" s="43">
        <f>IFERROR(INDEX('إنهاء الخدمة'!$A$3:$A$502,155),"")</f>
        <v/>
      </c>
      <c r="B161" s="43">
        <f>IFERROR(INDEX('إنهاء الخدمة'!$B$3:$B$502,155),"")</f>
        <v/>
      </c>
      <c r="C161" s="118">
        <f>IFERROR(INDEX('إنهاء الخدمة'!$C$3:$C$502,155),"")</f>
        <v/>
      </c>
      <c r="D161" s="43">
        <f>IFERROR(INDEX('إنهاء الخدمة'!$D$3:$D$502,155),"")</f>
        <v/>
      </c>
      <c r="E161" s="118">
        <f>IFERROR(INDEX('إنهاء الخدمة'!$E$3:$E$502,155),"")</f>
        <v/>
      </c>
      <c r="F161" s="43">
        <f>IFERROR(INDEX('إنهاء الخدمة'!$F$3:$F$502,155),"")</f>
        <v/>
      </c>
      <c r="G161" s="43">
        <f>IFERROR(INDEX('إنهاء الخدمة'!$G$3:$G$502,155),"")</f>
        <v/>
      </c>
      <c r="H161" s="60">
        <f>IFERROR(INDEX('إنهاء الخدمة'!$I$3:$I$502,155),"")</f>
        <v/>
      </c>
      <c r="I161" s="43">
        <f>IFERROR(INDEX('إنهاء الخدمة'!$J$3:$J$502,155),"")</f>
        <v/>
      </c>
      <c r="J161" s="43">
        <f>IFERROR(INDEX('إنهاء الخدمة'!$K$3:$K$502,155),"")</f>
        <v/>
      </c>
    </row>
    <row r="162">
      <c r="A162" s="50">
        <f>IFERROR(INDEX('إنهاء الخدمة'!$A$3:$A$502,156),"")</f>
        <v/>
      </c>
      <c r="B162" s="50">
        <f>IFERROR(INDEX('إنهاء الخدمة'!$B$3:$B$502,156),"")</f>
        <v/>
      </c>
      <c r="C162" s="119">
        <f>IFERROR(INDEX('إنهاء الخدمة'!$C$3:$C$502,156),"")</f>
        <v/>
      </c>
      <c r="D162" s="50">
        <f>IFERROR(INDEX('إنهاء الخدمة'!$D$3:$D$502,156),"")</f>
        <v/>
      </c>
      <c r="E162" s="119">
        <f>IFERROR(INDEX('إنهاء الخدمة'!$E$3:$E$502,156),"")</f>
        <v/>
      </c>
      <c r="F162" s="50">
        <f>IFERROR(INDEX('إنهاء الخدمة'!$F$3:$F$502,156),"")</f>
        <v/>
      </c>
      <c r="G162" s="50">
        <f>IFERROR(INDEX('إنهاء الخدمة'!$G$3:$G$502,156),"")</f>
        <v/>
      </c>
      <c r="H162" s="63">
        <f>IFERROR(INDEX('إنهاء الخدمة'!$I$3:$I$502,156),"")</f>
        <v/>
      </c>
      <c r="I162" s="50">
        <f>IFERROR(INDEX('إنهاء الخدمة'!$J$3:$J$502,156),"")</f>
        <v/>
      </c>
      <c r="J162" s="50">
        <f>IFERROR(INDEX('إنهاء الخدمة'!$K$3:$K$502,156),"")</f>
        <v/>
      </c>
    </row>
    <row r="163">
      <c r="A163" s="43">
        <f>IFERROR(INDEX('إنهاء الخدمة'!$A$3:$A$502,157),"")</f>
        <v/>
      </c>
      <c r="B163" s="43">
        <f>IFERROR(INDEX('إنهاء الخدمة'!$B$3:$B$502,157),"")</f>
        <v/>
      </c>
      <c r="C163" s="118">
        <f>IFERROR(INDEX('إنهاء الخدمة'!$C$3:$C$502,157),"")</f>
        <v/>
      </c>
      <c r="D163" s="43">
        <f>IFERROR(INDEX('إنهاء الخدمة'!$D$3:$D$502,157),"")</f>
        <v/>
      </c>
      <c r="E163" s="118">
        <f>IFERROR(INDEX('إنهاء الخدمة'!$E$3:$E$502,157),"")</f>
        <v/>
      </c>
      <c r="F163" s="43">
        <f>IFERROR(INDEX('إنهاء الخدمة'!$F$3:$F$502,157),"")</f>
        <v/>
      </c>
      <c r="G163" s="43">
        <f>IFERROR(INDEX('إنهاء الخدمة'!$G$3:$G$502,157),"")</f>
        <v/>
      </c>
      <c r="H163" s="60">
        <f>IFERROR(INDEX('إنهاء الخدمة'!$I$3:$I$502,157),"")</f>
        <v/>
      </c>
      <c r="I163" s="43">
        <f>IFERROR(INDEX('إنهاء الخدمة'!$J$3:$J$502,157),"")</f>
        <v/>
      </c>
      <c r="J163" s="43">
        <f>IFERROR(INDEX('إنهاء الخدمة'!$K$3:$K$502,157),"")</f>
        <v/>
      </c>
    </row>
    <row r="164">
      <c r="A164" s="50">
        <f>IFERROR(INDEX('إنهاء الخدمة'!$A$3:$A$502,158),"")</f>
        <v/>
      </c>
      <c r="B164" s="50">
        <f>IFERROR(INDEX('إنهاء الخدمة'!$B$3:$B$502,158),"")</f>
        <v/>
      </c>
      <c r="C164" s="119">
        <f>IFERROR(INDEX('إنهاء الخدمة'!$C$3:$C$502,158),"")</f>
        <v/>
      </c>
      <c r="D164" s="50">
        <f>IFERROR(INDEX('إنهاء الخدمة'!$D$3:$D$502,158),"")</f>
        <v/>
      </c>
      <c r="E164" s="119">
        <f>IFERROR(INDEX('إنهاء الخدمة'!$E$3:$E$502,158),"")</f>
        <v/>
      </c>
      <c r="F164" s="50">
        <f>IFERROR(INDEX('إنهاء الخدمة'!$F$3:$F$502,158),"")</f>
        <v/>
      </c>
      <c r="G164" s="50">
        <f>IFERROR(INDEX('إنهاء الخدمة'!$G$3:$G$502,158),"")</f>
        <v/>
      </c>
      <c r="H164" s="63">
        <f>IFERROR(INDEX('إنهاء الخدمة'!$I$3:$I$502,158),"")</f>
        <v/>
      </c>
      <c r="I164" s="50">
        <f>IFERROR(INDEX('إنهاء الخدمة'!$J$3:$J$502,158),"")</f>
        <v/>
      </c>
      <c r="J164" s="50">
        <f>IFERROR(INDEX('إنهاء الخدمة'!$K$3:$K$502,158),"")</f>
        <v/>
      </c>
    </row>
    <row r="165">
      <c r="A165" s="43">
        <f>IFERROR(INDEX('إنهاء الخدمة'!$A$3:$A$502,159),"")</f>
        <v/>
      </c>
      <c r="B165" s="43">
        <f>IFERROR(INDEX('إنهاء الخدمة'!$B$3:$B$502,159),"")</f>
        <v/>
      </c>
      <c r="C165" s="118">
        <f>IFERROR(INDEX('إنهاء الخدمة'!$C$3:$C$502,159),"")</f>
        <v/>
      </c>
      <c r="D165" s="43">
        <f>IFERROR(INDEX('إنهاء الخدمة'!$D$3:$D$502,159),"")</f>
        <v/>
      </c>
      <c r="E165" s="118">
        <f>IFERROR(INDEX('إنهاء الخدمة'!$E$3:$E$502,159),"")</f>
        <v/>
      </c>
      <c r="F165" s="43">
        <f>IFERROR(INDEX('إنهاء الخدمة'!$F$3:$F$502,159),"")</f>
        <v/>
      </c>
      <c r="G165" s="43">
        <f>IFERROR(INDEX('إنهاء الخدمة'!$G$3:$G$502,159),"")</f>
        <v/>
      </c>
      <c r="H165" s="60">
        <f>IFERROR(INDEX('إنهاء الخدمة'!$I$3:$I$502,159),"")</f>
        <v/>
      </c>
      <c r="I165" s="43">
        <f>IFERROR(INDEX('إنهاء الخدمة'!$J$3:$J$502,159),"")</f>
        <v/>
      </c>
      <c r="J165" s="43">
        <f>IFERROR(INDEX('إنهاء الخدمة'!$K$3:$K$502,159),"")</f>
        <v/>
      </c>
    </row>
    <row r="166">
      <c r="A166" s="50">
        <f>IFERROR(INDEX('إنهاء الخدمة'!$A$3:$A$502,160),"")</f>
        <v/>
      </c>
      <c r="B166" s="50">
        <f>IFERROR(INDEX('إنهاء الخدمة'!$B$3:$B$502,160),"")</f>
        <v/>
      </c>
      <c r="C166" s="119">
        <f>IFERROR(INDEX('إنهاء الخدمة'!$C$3:$C$502,160),"")</f>
        <v/>
      </c>
      <c r="D166" s="50">
        <f>IFERROR(INDEX('إنهاء الخدمة'!$D$3:$D$502,160),"")</f>
        <v/>
      </c>
      <c r="E166" s="119">
        <f>IFERROR(INDEX('إنهاء الخدمة'!$E$3:$E$502,160),"")</f>
        <v/>
      </c>
      <c r="F166" s="50">
        <f>IFERROR(INDEX('إنهاء الخدمة'!$F$3:$F$502,160),"")</f>
        <v/>
      </c>
      <c r="G166" s="50">
        <f>IFERROR(INDEX('إنهاء الخدمة'!$G$3:$G$502,160),"")</f>
        <v/>
      </c>
      <c r="H166" s="63">
        <f>IFERROR(INDEX('إنهاء الخدمة'!$I$3:$I$502,160),"")</f>
        <v/>
      </c>
      <c r="I166" s="50">
        <f>IFERROR(INDEX('إنهاء الخدمة'!$J$3:$J$502,160),"")</f>
        <v/>
      </c>
      <c r="J166" s="50">
        <f>IFERROR(INDEX('إنهاء الخدمة'!$K$3:$K$502,160),"")</f>
        <v/>
      </c>
    </row>
    <row r="167">
      <c r="A167" s="43">
        <f>IFERROR(INDEX('إنهاء الخدمة'!$A$3:$A$502,161),"")</f>
        <v/>
      </c>
      <c r="B167" s="43">
        <f>IFERROR(INDEX('إنهاء الخدمة'!$B$3:$B$502,161),"")</f>
        <v/>
      </c>
      <c r="C167" s="118">
        <f>IFERROR(INDEX('إنهاء الخدمة'!$C$3:$C$502,161),"")</f>
        <v/>
      </c>
      <c r="D167" s="43">
        <f>IFERROR(INDEX('إنهاء الخدمة'!$D$3:$D$502,161),"")</f>
        <v/>
      </c>
      <c r="E167" s="118">
        <f>IFERROR(INDEX('إنهاء الخدمة'!$E$3:$E$502,161),"")</f>
        <v/>
      </c>
      <c r="F167" s="43">
        <f>IFERROR(INDEX('إنهاء الخدمة'!$F$3:$F$502,161),"")</f>
        <v/>
      </c>
      <c r="G167" s="43">
        <f>IFERROR(INDEX('إنهاء الخدمة'!$G$3:$G$502,161),"")</f>
        <v/>
      </c>
      <c r="H167" s="60">
        <f>IFERROR(INDEX('إنهاء الخدمة'!$I$3:$I$502,161),"")</f>
        <v/>
      </c>
      <c r="I167" s="43">
        <f>IFERROR(INDEX('إنهاء الخدمة'!$J$3:$J$502,161),"")</f>
        <v/>
      </c>
      <c r="J167" s="43">
        <f>IFERROR(INDEX('إنهاء الخدمة'!$K$3:$K$502,161),"")</f>
        <v/>
      </c>
    </row>
    <row r="168">
      <c r="A168" s="50">
        <f>IFERROR(INDEX('إنهاء الخدمة'!$A$3:$A$502,162),"")</f>
        <v/>
      </c>
      <c r="B168" s="50">
        <f>IFERROR(INDEX('إنهاء الخدمة'!$B$3:$B$502,162),"")</f>
        <v/>
      </c>
      <c r="C168" s="119">
        <f>IFERROR(INDEX('إنهاء الخدمة'!$C$3:$C$502,162),"")</f>
        <v/>
      </c>
      <c r="D168" s="50">
        <f>IFERROR(INDEX('إنهاء الخدمة'!$D$3:$D$502,162),"")</f>
        <v/>
      </c>
      <c r="E168" s="119">
        <f>IFERROR(INDEX('إنهاء الخدمة'!$E$3:$E$502,162),"")</f>
        <v/>
      </c>
      <c r="F168" s="50">
        <f>IFERROR(INDEX('إنهاء الخدمة'!$F$3:$F$502,162),"")</f>
        <v/>
      </c>
      <c r="G168" s="50">
        <f>IFERROR(INDEX('إنهاء الخدمة'!$G$3:$G$502,162),"")</f>
        <v/>
      </c>
      <c r="H168" s="63">
        <f>IFERROR(INDEX('إنهاء الخدمة'!$I$3:$I$502,162),"")</f>
        <v/>
      </c>
      <c r="I168" s="50">
        <f>IFERROR(INDEX('إنهاء الخدمة'!$J$3:$J$502,162),"")</f>
        <v/>
      </c>
      <c r="J168" s="50">
        <f>IFERROR(INDEX('إنهاء الخدمة'!$K$3:$K$502,162),"")</f>
        <v/>
      </c>
    </row>
    <row r="169">
      <c r="A169" s="43">
        <f>IFERROR(INDEX('إنهاء الخدمة'!$A$3:$A$502,163),"")</f>
        <v/>
      </c>
      <c r="B169" s="43">
        <f>IFERROR(INDEX('إنهاء الخدمة'!$B$3:$B$502,163),"")</f>
        <v/>
      </c>
      <c r="C169" s="118">
        <f>IFERROR(INDEX('إنهاء الخدمة'!$C$3:$C$502,163),"")</f>
        <v/>
      </c>
      <c r="D169" s="43">
        <f>IFERROR(INDEX('إنهاء الخدمة'!$D$3:$D$502,163),"")</f>
        <v/>
      </c>
      <c r="E169" s="118">
        <f>IFERROR(INDEX('إنهاء الخدمة'!$E$3:$E$502,163),"")</f>
        <v/>
      </c>
      <c r="F169" s="43">
        <f>IFERROR(INDEX('إنهاء الخدمة'!$F$3:$F$502,163),"")</f>
        <v/>
      </c>
      <c r="G169" s="43">
        <f>IFERROR(INDEX('إنهاء الخدمة'!$G$3:$G$502,163),"")</f>
        <v/>
      </c>
      <c r="H169" s="60">
        <f>IFERROR(INDEX('إنهاء الخدمة'!$I$3:$I$502,163),"")</f>
        <v/>
      </c>
      <c r="I169" s="43">
        <f>IFERROR(INDEX('إنهاء الخدمة'!$J$3:$J$502,163),"")</f>
        <v/>
      </c>
      <c r="J169" s="43">
        <f>IFERROR(INDEX('إنهاء الخدمة'!$K$3:$K$502,163),"")</f>
        <v/>
      </c>
    </row>
    <row r="170">
      <c r="A170" s="50">
        <f>IFERROR(INDEX('إنهاء الخدمة'!$A$3:$A$502,164),"")</f>
        <v/>
      </c>
      <c r="B170" s="50">
        <f>IFERROR(INDEX('إنهاء الخدمة'!$B$3:$B$502,164),"")</f>
        <v/>
      </c>
      <c r="C170" s="119">
        <f>IFERROR(INDEX('إنهاء الخدمة'!$C$3:$C$502,164),"")</f>
        <v/>
      </c>
      <c r="D170" s="50">
        <f>IFERROR(INDEX('إنهاء الخدمة'!$D$3:$D$502,164),"")</f>
        <v/>
      </c>
      <c r="E170" s="119">
        <f>IFERROR(INDEX('إنهاء الخدمة'!$E$3:$E$502,164),"")</f>
        <v/>
      </c>
      <c r="F170" s="50">
        <f>IFERROR(INDEX('إنهاء الخدمة'!$F$3:$F$502,164),"")</f>
        <v/>
      </c>
      <c r="G170" s="50">
        <f>IFERROR(INDEX('إنهاء الخدمة'!$G$3:$G$502,164),"")</f>
        <v/>
      </c>
      <c r="H170" s="63">
        <f>IFERROR(INDEX('إنهاء الخدمة'!$I$3:$I$502,164),"")</f>
        <v/>
      </c>
      <c r="I170" s="50">
        <f>IFERROR(INDEX('إنهاء الخدمة'!$J$3:$J$502,164),"")</f>
        <v/>
      </c>
      <c r="J170" s="50">
        <f>IFERROR(INDEX('إنهاء الخدمة'!$K$3:$K$502,164),"")</f>
        <v/>
      </c>
    </row>
    <row r="171">
      <c r="A171" s="43">
        <f>IFERROR(INDEX('إنهاء الخدمة'!$A$3:$A$502,165),"")</f>
        <v/>
      </c>
      <c r="B171" s="43">
        <f>IFERROR(INDEX('إنهاء الخدمة'!$B$3:$B$502,165),"")</f>
        <v/>
      </c>
      <c r="C171" s="118">
        <f>IFERROR(INDEX('إنهاء الخدمة'!$C$3:$C$502,165),"")</f>
        <v/>
      </c>
      <c r="D171" s="43">
        <f>IFERROR(INDEX('إنهاء الخدمة'!$D$3:$D$502,165),"")</f>
        <v/>
      </c>
      <c r="E171" s="118">
        <f>IFERROR(INDEX('إنهاء الخدمة'!$E$3:$E$502,165),"")</f>
        <v/>
      </c>
      <c r="F171" s="43">
        <f>IFERROR(INDEX('إنهاء الخدمة'!$F$3:$F$502,165),"")</f>
        <v/>
      </c>
      <c r="G171" s="43">
        <f>IFERROR(INDEX('إنهاء الخدمة'!$G$3:$G$502,165),"")</f>
        <v/>
      </c>
      <c r="H171" s="60">
        <f>IFERROR(INDEX('إنهاء الخدمة'!$I$3:$I$502,165),"")</f>
        <v/>
      </c>
      <c r="I171" s="43">
        <f>IFERROR(INDEX('إنهاء الخدمة'!$J$3:$J$502,165),"")</f>
        <v/>
      </c>
      <c r="J171" s="43">
        <f>IFERROR(INDEX('إنهاء الخدمة'!$K$3:$K$502,165),"")</f>
        <v/>
      </c>
    </row>
    <row r="172">
      <c r="A172" s="50">
        <f>IFERROR(INDEX('إنهاء الخدمة'!$A$3:$A$502,166),"")</f>
        <v/>
      </c>
      <c r="B172" s="50">
        <f>IFERROR(INDEX('إنهاء الخدمة'!$B$3:$B$502,166),"")</f>
        <v/>
      </c>
      <c r="C172" s="119">
        <f>IFERROR(INDEX('إنهاء الخدمة'!$C$3:$C$502,166),"")</f>
        <v/>
      </c>
      <c r="D172" s="50">
        <f>IFERROR(INDEX('إنهاء الخدمة'!$D$3:$D$502,166),"")</f>
        <v/>
      </c>
      <c r="E172" s="119">
        <f>IFERROR(INDEX('إنهاء الخدمة'!$E$3:$E$502,166),"")</f>
        <v/>
      </c>
      <c r="F172" s="50">
        <f>IFERROR(INDEX('إنهاء الخدمة'!$F$3:$F$502,166),"")</f>
        <v/>
      </c>
      <c r="G172" s="50">
        <f>IFERROR(INDEX('إنهاء الخدمة'!$G$3:$G$502,166),"")</f>
        <v/>
      </c>
      <c r="H172" s="63">
        <f>IFERROR(INDEX('إنهاء الخدمة'!$I$3:$I$502,166),"")</f>
        <v/>
      </c>
      <c r="I172" s="50">
        <f>IFERROR(INDEX('إنهاء الخدمة'!$J$3:$J$502,166),"")</f>
        <v/>
      </c>
      <c r="J172" s="50">
        <f>IFERROR(INDEX('إنهاء الخدمة'!$K$3:$K$502,166),"")</f>
        <v/>
      </c>
    </row>
    <row r="173">
      <c r="A173" s="43">
        <f>IFERROR(INDEX('إنهاء الخدمة'!$A$3:$A$502,167),"")</f>
        <v/>
      </c>
      <c r="B173" s="43">
        <f>IFERROR(INDEX('إنهاء الخدمة'!$B$3:$B$502,167),"")</f>
        <v/>
      </c>
      <c r="C173" s="118">
        <f>IFERROR(INDEX('إنهاء الخدمة'!$C$3:$C$502,167),"")</f>
        <v/>
      </c>
      <c r="D173" s="43">
        <f>IFERROR(INDEX('إنهاء الخدمة'!$D$3:$D$502,167),"")</f>
        <v/>
      </c>
      <c r="E173" s="118">
        <f>IFERROR(INDEX('إنهاء الخدمة'!$E$3:$E$502,167),"")</f>
        <v/>
      </c>
      <c r="F173" s="43">
        <f>IFERROR(INDEX('إنهاء الخدمة'!$F$3:$F$502,167),"")</f>
        <v/>
      </c>
      <c r="G173" s="43">
        <f>IFERROR(INDEX('إنهاء الخدمة'!$G$3:$G$502,167),"")</f>
        <v/>
      </c>
      <c r="H173" s="60">
        <f>IFERROR(INDEX('إنهاء الخدمة'!$I$3:$I$502,167),"")</f>
        <v/>
      </c>
      <c r="I173" s="43">
        <f>IFERROR(INDEX('إنهاء الخدمة'!$J$3:$J$502,167),"")</f>
        <v/>
      </c>
      <c r="J173" s="43">
        <f>IFERROR(INDEX('إنهاء الخدمة'!$K$3:$K$502,167),"")</f>
        <v/>
      </c>
    </row>
    <row r="174">
      <c r="A174" s="50">
        <f>IFERROR(INDEX('إنهاء الخدمة'!$A$3:$A$502,168),"")</f>
        <v/>
      </c>
      <c r="B174" s="50">
        <f>IFERROR(INDEX('إنهاء الخدمة'!$B$3:$B$502,168),"")</f>
        <v/>
      </c>
      <c r="C174" s="119">
        <f>IFERROR(INDEX('إنهاء الخدمة'!$C$3:$C$502,168),"")</f>
        <v/>
      </c>
      <c r="D174" s="50">
        <f>IFERROR(INDEX('إنهاء الخدمة'!$D$3:$D$502,168),"")</f>
        <v/>
      </c>
      <c r="E174" s="119">
        <f>IFERROR(INDEX('إنهاء الخدمة'!$E$3:$E$502,168),"")</f>
        <v/>
      </c>
      <c r="F174" s="50">
        <f>IFERROR(INDEX('إنهاء الخدمة'!$F$3:$F$502,168),"")</f>
        <v/>
      </c>
      <c r="G174" s="50">
        <f>IFERROR(INDEX('إنهاء الخدمة'!$G$3:$G$502,168),"")</f>
        <v/>
      </c>
      <c r="H174" s="63">
        <f>IFERROR(INDEX('إنهاء الخدمة'!$I$3:$I$502,168),"")</f>
        <v/>
      </c>
      <c r="I174" s="50">
        <f>IFERROR(INDEX('إنهاء الخدمة'!$J$3:$J$502,168),"")</f>
        <v/>
      </c>
      <c r="J174" s="50">
        <f>IFERROR(INDEX('إنهاء الخدمة'!$K$3:$K$502,168),"")</f>
        <v/>
      </c>
    </row>
    <row r="175">
      <c r="A175" s="43">
        <f>IFERROR(INDEX('إنهاء الخدمة'!$A$3:$A$502,169),"")</f>
        <v/>
      </c>
      <c r="B175" s="43">
        <f>IFERROR(INDEX('إنهاء الخدمة'!$B$3:$B$502,169),"")</f>
        <v/>
      </c>
      <c r="C175" s="118">
        <f>IFERROR(INDEX('إنهاء الخدمة'!$C$3:$C$502,169),"")</f>
        <v/>
      </c>
      <c r="D175" s="43">
        <f>IFERROR(INDEX('إنهاء الخدمة'!$D$3:$D$502,169),"")</f>
        <v/>
      </c>
      <c r="E175" s="118">
        <f>IFERROR(INDEX('إنهاء الخدمة'!$E$3:$E$502,169),"")</f>
        <v/>
      </c>
      <c r="F175" s="43">
        <f>IFERROR(INDEX('إنهاء الخدمة'!$F$3:$F$502,169),"")</f>
        <v/>
      </c>
      <c r="G175" s="43">
        <f>IFERROR(INDEX('إنهاء الخدمة'!$G$3:$G$502,169),"")</f>
        <v/>
      </c>
      <c r="H175" s="60">
        <f>IFERROR(INDEX('إنهاء الخدمة'!$I$3:$I$502,169),"")</f>
        <v/>
      </c>
      <c r="I175" s="43">
        <f>IFERROR(INDEX('إنهاء الخدمة'!$J$3:$J$502,169),"")</f>
        <v/>
      </c>
      <c r="J175" s="43">
        <f>IFERROR(INDEX('إنهاء الخدمة'!$K$3:$K$502,169),"")</f>
        <v/>
      </c>
    </row>
    <row r="176">
      <c r="A176" s="50">
        <f>IFERROR(INDEX('إنهاء الخدمة'!$A$3:$A$502,170),"")</f>
        <v/>
      </c>
      <c r="B176" s="50">
        <f>IFERROR(INDEX('إنهاء الخدمة'!$B$3:$B$502,170),"")</f>
        <v/>
      </c>
      <c r="C176" s="119">
        <f>IFERROR(INDEX('إنهاء الخدمة'!$C$3:$C$502,170),"")</f>
        <v/>
      </c>
      <c r="D176" s="50">
        <f>IFERROR(INDEX('إنهاء الخدمة'!$D$3:$D$502,170),"")</f>
        <v/>
      </c>
      <c r="E176" s="119">
        <f>IFERROR(INDEX('إنهاء الخدمة'!$E$3:$E$502,170),"")</f>
        <v/>
      </c>
      <c r="F176" s="50">
        <f>IFERROR(INDEX('إنهاء الخدمة'!$F$3:$F$502,170),"")</f>
        <v/>
      </c>
      <c r="G176" s="50">
        <f>IFERROR(INDEX('إنهاء الخدمة'!$G$3:$G$502,170),"")</f>
        <v/>
      </c>
      <c r="H176" s="63">
        <f>IFERROR(INDEX('إنهاء الخدمة'!$I$3:$I$502,170),"")</f>
        <v/>
      </c>
      <c r="I176" s="50">
        <f>IFERROR(INDEX('إنهاء الخدمة'!$J$3:$J$502,170),"")</f>
        <v/>
      </c>
      <c r="J176" s="50">
        <f>IFERROR(INDEX('إنهاء الخدمة'!$K$3:$K$502,170),"")</f>
        <v/>
      </c>
    </row>
    <row r="177">
      <c r="A177" s="43">
        <f>IFERROR(INDEX('إنهاء الخدمة'!$A$3:$A$502,171),"")</f>
        <v/>
      </c>
      <c r="B177" s="43">
        <f>IFERROR(INDEX('إنهاء الخدمة'!$B$3:$B$502,171),"")</f>
        <v/>
      </c>
      <c r="C177" s="118">
        <f>IFERROR(INDEX('إنهاء الخدمة'!$C$3:$C$502,171),"")</f>
        <v/>
      </c>
      <c r="D177" s="43">
        <f>IFERROR(INDEX('إنهاء الخدمة'!$D$3:$D$502,171),"")</f>
        <v/>
      </c>
      <c r="E177" s="118">
        <f>IFERROR(INDEX('إنهاء الخدمة'!$E$3:$E$502,171),"")</f>
        <v/>
      </c>
      <c r="F177" s="43">
        <f>IFERROR(INDEX('إنهاء الخدمة'!$F$3:$F$502,171),"")</f>
        <v/>
      </c>
      <c r="G177" s="43">
        <f>IFERROR(INDEX('إنهاء الخدمة'!$G$3:$G$502,171),"")</f>
        <v/>
      </c>
      <c r="H177" s="60">
        <f>IFERROR(INDEX('إنهاء الخدمة'!$I$3:$I$502,171),"")</f>
        <v/>
      </c>
      <c r="I177" s="43">
        <f>IFERROR(INDEX('إنهاء الخدمة'!$J$3:$J$502,171),"")</f>
        <v/>
      </c>
      <c r="J177" s="43">
        <f>IFERROR(INDEX('إنهاء الخدمة'!$K$3:$K$502,171),"")</f>
        <v/>
      </c>
    </row>
    <row r="178">
      <c r="A178" s="50">
        <f>IFERROR(INDEX('إنهاء الخدمة'!$A$3:$A$502,172),"")</f>
        <v/>
      </c>
      <c r="B178" s="50">
        <f>IFERROR(INDEX('إنهاء الخدمة'!$B$3:$B$502,172),"")</f>
        <v/>
      </c>
      <c r="C178" s="119">
        <f>IFERROR(INDEX('إنهاء الخدمة'!$C$3:$C$502,172),"")</f>
        <v/>
      </c>
      <c r="D178" s="50">
        <f>IFERROR(INDEX('إنهاء الخدمة'!$D$3:$D$502,172),"")</f>
        <v/>
      </c>
      <c r="E178" s="119">
        <f>IFERROR(INDEX('إنهاء الخدمة'!$E$3:$E$502,172),"")</f>
        <v/>
      </c>
      <c r="F178" s="50">
        <f>IFERROR(INDEX('إنهاء الخدمة'!$F$3:$F$502,172),"")</f>
        <v/>
      </c>
      <c r="G178" s="50">
        <f>IFERROR(INDEX('إنهاء الخدمة'!$G$3:$G$502,172),"")</f>
        <v/>
      </c>
      <c r="H178" s="63">
        <f>IFERROR(INDEX('إنهاء الخدمة'!$I$3:$I$502,172),"")</f>
        <v/>
      </c>
      <c r="I178" s="50">
        <f>IFERROR(INDEX('إنهاء الخدمة'!$J$3:$J$502,172),"")</f>
        <v/>
      </c>
      <c r="J178" s="50">
        <f>IFERROR(INDEX('إنهاء الخدمة'!$K$3:$K$502,172),"")</f>
        <v/>
      </c>
    </row>
    <row r="179">
      <c r="A179" s="43">
        <f>IFERROR(INDEX('إنهاء الخدمة'!$A$3:$A$502,173),"")</f>
        <v/>
      </c>
      <c r="B179" s="43">
        <f>IFERROR(INDEX('إنهاء الخدمة'!$B$3:$B$502,173),"")</f>
        <v/>
      </c>
      <c r="C179" s="118">
        <f>IFERROR(INDEX('إنهاء الخدمة'!$C$3:$C$502,173),"")</f>
        <v/>
      </c>
      <c r="D179" s="43">
        <f>IFERROR(INDEX('إنهاء الخدمة'!$D$3:$D$502,173),"")</f>
        <v/>
      </c>
      <c r="E179" s="118">
        <f>IFERROR(INDEX('إنهاء الخدمة'!$E$3:$E$502,173),"")</f>
        <v/>
      </c>
      <c r="F179" s="43">
        <f>IFERROR(INDEX('إنهاء الخدمة'!$F$3:$F$502,173),"")</f>
        <v/>
      </c>
      <c r="G179" s="43">
        <f>IFERROR(INDEX('إنهاء الخدمة'!$G$3:$G$502,173),"")</f>
        <v/>
      </c>
      <c r="H179" s="60">
        <f>IFERROR(INDEX('إنهاء الخدمة'!$I$3:$I$502,173),"")</f>
        <v/>
      </c>
      <c r="I179" s="43">
        <f>IFERROR(INDEX('إنهاء الخدمة'!$J$3:$J$502,173),"")</f>
        <v/>
      </c>
      <c r="J179" s="43">
        <f>IFERROR(INDEX('إنهاء الخدمة'!$K$3:$K$502,173),"")</f>
        <v/>
      </c>
    </row>
    <row r="180">
      <c r="A180" s="50">
        <f>IFERROR(INDEX('إنهاء الخدمة'!$A$3:$A$502,174),"")</f>
        <v/>
      </c>
      <c r="B180" s="50">
        <f>IFERROR(INDEX('إنهاء الخدمة'!$B$3:$B$502,174),"")</f>
        <v/>
      </c>
      <c r="C180" s="119">
        <f>IFERROR(INDEX('إنهاء الخدمة'!$C$3:$C$502,174),"")</f>
        <v/>
      </c>
      <c r="D180" s="50">
        <f>IFERROR(INDEX('إنهاء الخدمة'!$D$3:$D$502,174),"")</f>
        <v/>
      </c>
      <c r="E180" s="119">
        <f>IFERROR(INDEX('إنهاء الخدمة'!$E$3:$E$502,174),"")</f>
        <v/>
      </c>
      <c r="F180" s="50">
        <f>IFERROR(INDEX('إنهاء الخدمة'!$F$3:$F$502,174),"")</f>
        <v/>
      </c>
      <c r="G180" s="50">
        <f>IFERROR(INDEX('إنهاء الخدمة'!$G$3:$G$502,174),"")</f>
        <v/>
      </c>
      <c r="H180" s="63">
        <f>IFERROR(INDEX('إنهاء الخدمة'!$I$3:$I$502,174),"")</f>
        <v/>
      </c>
      <c r="I180" s="50">
        <f>IFERROR(INDEX('إنهاء الخدمة'!$J$3:$J$502,174),"")</f>
        <v/>
      </c>
      <c r="J180" s="50">
        <f>IFERROR(INDEX('إنهاء الخدمة'!$K$3:$K$502,174),"")</f>
        <v/>
      </c>
    </row>
    <row r="181">
      <c r="A181" s="43">
        <f>IFERROR(INDEX('إنهاء الخدمة'!$A$3:$A$502,175),"")</f>
        <v/>
      </c>
      <c r="B181" s="43">
        <f>IFERROR(INDEX('إنهاء الخدمة'!$B$3:$B$502,175),"")</f>
        <v/>
      </c>
      <c r="C181" s="118">
        <f>IFERROR(INDEX('إنهاء الخدمة'!$C$3:$C$502,175),"")</f>
        <v/>
      </c>
      <c r="D181" s="43">
        <f>IFERROR(INDEX('إنهاء الخدمة'!$D$3:$D$502,175),"")</f>
        <v/>
      </c>
      <c r="E181" s="118">
        <f>IFERROR(INDEX('إنهاء الخدمة'!$E$3:$E$502,175),"")</f>
        <v/>
      </c>
      <c r="F181" s="43">
        <f>IFERROR(INDEX('إنهاء الخدمة'!$F$3:$F$502,175),"")</f>
        <v/>
      </c>
      <c r="G181" s="43">
        <f>IFERROR(INDEX('إنهاء الخدمة'!$G$3:$G$502,175),"")</f>
        <v/>
      </c>
      <c r="H181" s="60">
        <f>IFERROR(INDEX('إنهاء الخدمة'!$I$3:$I$502,175),"")</f>
        <v/>
      </c>
      <c r="I181" s="43">
        <f>IFERROR(INDEX('إنهاء الخدمة'!$J$3:$J$502,175),"")</f>
        <v/>
      </c>
      <c r="J181" s="43">
        <f>IFERROR(INDEX('إنهاء الخدمة'!$K$3:$K$502,175),"")</f>
        <v/>
      </c>
    </row>
    <row r="182">
      <c r="A182" s="50">
        <f>IFERROR(INDEX('إنهاء الخدمة'!$A$3:$A$502,176),"")</f>
        <v/>
      </c>
      <c r="B182" s="50">
        <f>IFERROR(INDEX('إنهاء الخدمة'!$B$3:$B$502,176),"")</f>
        <v/>
      </c>
      <c r="C182" s="119">
        <f>IFERROR(INDEX('إنهاء الخدمة'!$C$3:$C$502,176),"")</f>
        <v/>
      </c>
      <c r="D182" s="50">
        <f>IFERROR(INDEX('إنهاء الخدمة'!$D$3:$D$502,176),"")</f>
        <v/>
      </c>
      <c r="E182" s="119">
        <f>IFERROR(INDEX('إنهاء الخدمة'!$E$3:$E$502,176),"")</f>
        <v/>
      </c>
      <c r="F182" s="50">
        <f>IFERROR(INDEX('إنهاء الخدمة'!$F$3:$F$502,176),"")</f>
        <v/>
      </c>
      <c r="G182" s="50">
        <f>IFERROR(INDEX('إنهاء الخدمة'!$G$3:$G$502,176),"")</f>
        <v/>
      </c>
      <c r="H182" s="63">
        <f>IFERROR(INDEX('إنهاء الخدمة'!$I$3:$I$502,176),"")</f>
        <v/>
      </c>
      <c r="I182" s="50">
        <f>IFERROR(INDEX('إنهاء الخدمة'!$J$3:$J$502,176),"")</f>
        <v/>
      </c>
      <c r="J182" s="50">
        <f>IFERROR(INDEX('إنهاء الخدمة'!$K$3:$K$502,176),"")</f>
        <v/>
      </c>
    </row>
    <row r="183">
      <c r="A183" s="43">
        <f>IFERROR(INDEX('إنهاء الخدمة'!$A$3:$A$502,177),"")</f>
        <v/>
      </c>
      <c r="B183" s="43">
        <f>IFERROR(INDEX('إنهاء الخدمة'!$B$3:$B$502,177),"")</f>
        <v/>
      </c>
      <c r="C183" s="118">
        <f>IFERROR(INDEX('إنهاء الخدمة'!$C$3:$C$502,177),"")</f>
        <v/>
      </c>
      <c r="D183" s="43">
        <f>IFERROR(INDEX('إنهاء الخدمة'!$D$3:$D$502,177),"")</f>
        <v/>
      </c>
      <c r="E183" s="118">
        <f>IFERROR(INDEX('إنهاء الخدمة'!$E$3:$E$502,177),"")</f>
        <v/>
      </c>
      <c r="F183" s="43">
        <f>IFERROR(INDEX('إنهاء الخدمة'!$F$3:$F$502,177),"")</f>
        <v/>
      </c>
      <c r="G183" s="43">
        <f>IFERROR(INDEX('إنهاء الخدمة'!$G$3:$G$502,177),"")</f>
        <v/>
      </c>
      <c r="H183" s="60">
        <f>IFERROR(INDEX('إنهاء الخدمة'!$I$3:$I$502,177),"")</f>
        <v/>
      </c>
      <c r="I183" s="43">
        <f>IFERROR(INDEX('إنهاء الخدمة'!$J$3:$J$502,177),"")</f>
        <v/>
      </c>
      <c r="J183" s="43">
        <f>IFERROR(INDEX('إنهاء الخدمة'!$K$3:$K$502,177),"")</f>
        <v/>
      </c>
    </row>
    <row r="184">
      <c r="A184" s="50">
        <f>IFERROR(INDEX('إنهاء الخدمة'!$A$3:$A$502,178),"")</f>
        <v/>
      </c>
      <c r="B184" s="50">
        <f>IFERROR(INDEX('إنهاء الخدمة'!$B$3:$B$502,178),"")</f>
        <v/>
      </c>
      <c r="C184" s="119">
        <f>IFERROR(INDEX('إنهاء الخدمة'!$C$3:$C$502,178),"")</f>
        <v/>
      </c>
      <c r="D184" s="50">
        <f>IFERROR(INDEX('إنهاء الخدمة'!$D$3:$D$502,178),"")</f>
        <v/>
      </c>
      <c r="E184" s="119">
        <f>IFERROR(INDEX('إنهاء الخدمة'!$E$3:$E$502,178),"")</f>
        <v/>
      </c>
      <c r="F184" s="50">
        <f>IFERROR(INDEX('إنهاء الخدمة'!$F$3:$F$502,178),"")</f>
        <v/>
      </c>
      <c r="G184" s="50">
        <f>IFERROR(INDEX('إنهاء الخدمة'!$G$3:$G$502,178),"")</f>
        <v/>
      </c>
      <c r="H184" s="63">
        <f>IFERROR(INDEX('إنهاء الخدمة'!$I$3:$I$502,178),"")</f>
        <v/>
      </c>
      <c r="I184" s="50">
        <f>IFERROR(INDEX('إنهاء الخدمة'!$J$3:$J$502,178),"")</f>
        <v/>
      </c>
      <c r="J184" s="50">
        <f>IFERROR(INDEX('إنهاء الخدمة'!$K$3:$K$502,178),"")</f>
        <v/>
      </c>
    </row>
    <row r="185">
      <c r="A185" s="43">
        <f>IFERROR(INDEX('إنهاء الخدمة'!$A$3:$A$502,179),"")</f>
        <v/>
      </c>
      <c r="B185" s="43">
        <f>IFERROR(INDEX('إنهاء الخدمة'!$B$3:$B$502,179),"")</f>
        <v/>
      </c>
      <c r="C185" s="118">
        <f>IFERROR(INDEX('إنهاء الخدمة'!$C$3:$C$502,179),"")</f>
        <v/>
      </c>
      <c r="D185" s="43">
        <f>IFERROR(INDEX('إنهاء الخدمة'!$D$3:$D$502,179),"")</f>
        <v/>
      </c>
      <c r="E185" s="118">
        <f>IFERROR(INDEX('إنهاء الخدمة'!$E$3:$E$502,179),"")</f>
        <v/>
      </c>
      <c r="F185" s="43">
        <f>IFERROR(INDEX('إنهاء الخدمة'!$F$3:$F$502,179),"")</f>
        <v/>
      </c>
      <c r="G185" s="43">
        <f>IFERROR(INDEX('إنهاء الخدمة'!$G$3:$G$502,179),"")</f>
        <v/>
      </c>
      <c r="H185" s="60">
        <f>IFERROR(INDEX('إنهاء الخدمة'!$I$3:$I$502,179),"")</f>
        <v/>
      </c>
      <c r="I185" s="43">
        <f>IFERROR(INDEX('إنهاء الخدمة'!$J$3:$J$502,179),"")</f>
        <v/>
      </c>
      <c r="J185" s="43">
        <f>IFERROR(INDEX('إنهاء الخدمة'!$K$3:$K$502,179),"")</f>
        <v/>
      </c>
    </row>
    <row r="186">
      <c r="A186" s="50">
        <f>IFERROR(INDEX('إنهاء الخدمة'!$A$3:$A$502,180),"")</f>
        <v/>
      </c>
      <c r="B186" s="50">
        <f>IFERROR(INDEX('إنهاء الخدمة'!$B$3:$B$502,180),"")</f>
        <v/>
      </c>
      <c r="C186" s="119">
        <f>IFERROR(INDEX('إنهاء الخدمة'!$C$3:$C$502,180),"")</f>
        <v/>
      </c>
      <c r="D186" s="50">
        <f>IFERROR(INDEX('إنهاء الخدمة'!$D$3:$D$502,180),"")</f>
        <v/>
      </c>
      <c r="E186" s="119">
        <f>IFERROR(INDEX('إنهاء الخدمة'!$E$3:$E$502,180),"")</f>
        <v/>
      </c>
      <c r="F186" s="50">
        <f>IFERROR(INDEX('إنهاء الخدمة'!$F$3:$F$502,180),"")</f>
        <v/>
      </c>
      <c r="G186" s="50">
        <f>IFERROR(INDEX('إنهاء الخدمة'!$G$3:$G$502,180),"")</f>
        <v/>
      </c>
      <c r="H186" s="63">
        <f>IFERROR(INDEX('إنهاء الخدمة'!$I$3:$I$502,180),"")</f>
        <v/>
      </c>
      <c r="I186" s="50">
        <f>IFERROR(INDEX('إنهاء الخدمة'!$J$3:$J$502,180),"")</f>
        <v/>
      </c>
      <c r="J186" s="50">
        <f>IFERROR(INDEX('إنهاء الخدمة'!$K$3:$K$502,180),"")</f>
        <v/>
      </c>
    </row>
    <row r="187">
      <c r="A187" s="43">
        <f>IFERROR(INDEX('إنهاء الخدمة'!$A$3:$A$502,181),"")</f>
        <v/>
      </c>
      <c r="B187" s="43">
        <f>IFERROR(INDEX('إنهاء الخدمة'!$B$3:$B$502,181),"")</f>
        <v/>
      </c>
      <c r="C187" s="118">
        <f>IFERROR(INDEX('إنهاء الخدمة'!$C$3:$C$502,181),"")</f>
        <v/>
      </c>
      <c r="D187" s="43">
        <f>IFERROR(INDEX('إنهاء الخدمة'!$D$3:$D$502,181),"")</f>
        <v/>
      </c>
      <c r="E187" s="118">
        <f>IFERROR(INDEX('إنهاء الخدمة'!$E$3:$E$502,181),"")</f>
        <v/>
      </c>
      <c r="F187" s="43">
        <f>IFERROR(INDEX('إنهاء الخدمة'!$F$3:$F$502,181),"")</f>
        <v/>
      </c>
      <c r="G187" s="43">
        <f>IFERROR(INDEX('إنهاء الخدمة'!$G$3:$G$502,181),"")</f>
        <v/>
      </c>
      <c r="H187" s="60">
        <f>IFERROR(INDEX('إنهاء الخدمة'!$I$3:$I$502,181),"")</f>
        <v/>
      </c>
      <c r="I187" s="43">
        <f>IFERROR(INDEX('إنهاء الخدمة'!$J$3:$J$502,181),"")</f>
        <v/>
      </c>
      <c r="J187" s="43">
        <f>IFERROR(INDEX('إنهاء الخدمة'!$K$3:$K$502,181),"")</f>
        <v/>
      </c>
    </row>
    <row r="188">
      <c r="A188" s="50">
        <f>IFERROR(INDEX('إنهاء الخدمة'!$A$3:$A$502,182),"")</f>
        <v/>
      </c>
      <c r="B188" s="50">
        <f>IFERROR(INDEX('إنهاء الخدمة'!$B$3:$B$502,182),"")</f>
        <v/>
      </c>
      <c r="C188" s="119">
        <f>IFERROR(INDEX('إنهاء الخدمة'!$C$3:$C$502,182),"")</f>
        <v/>
      </c>
      <c r="D188" s="50">
        <f>IFERROR(INDEX('إنهاء الخدمة'!$D$3:$D$502,182),"")</f>
        <v/>
      </c>
      <c r="E188" s="119">
        <f>IFERROR(INDEX('إنهاء الخدمة'!$E$3:$E$502,182),"")</f>
        <v/>
      </c>
      <c r="F188" s="50">
        <f>IFERROR(INDEX('إنهاء الخدمة'!$F$3:$F$502,182),"")</f>
        <v/>
      </c>
      <c r="G188" s="50">
        <f>IFERROR(INDEX('إنهاء الخدمة'!$G$3:$G$502,182),"")</f>
        <v/>
      </c>
      <c r="H188" s="63">
        <f>IFERROR(INDEX('إنهاء الخدمة'!$I$3:$I$502,182),"")</f>
        <v/>
      </c>
      <c r="I188" s="50">
        <f>IFERROR(INDEX('إنهاء الخدمة'!$J$3:$J$502,182),"")</f>
        <v/>
      </c>
      <c r="J188" s="50">
        <f>IFERROR(INDEX('إنهاء الخدمة'!$K$3:$K$502,182),"")</f>
        <v/>
      </c>
    </row>
    <row r="189">
      <c r="A189" s="43">
        <f>IFERROR(INDEX('إنهاء الخدمة'!$A$3:$A$502,183),"")</f>
        <v/>
      </c>
      <c r="B189" s="43">
        <f>IFERROR(INDEX('إنهاء الخدمة'!$B$3:$B$502,183),"")</f>
        <v/>
      </c>
      <c r="C189" s="118">
        <f>IFERROR(INDEX('إنهاء الخدمة'!$C$3:$C$502,183),"")</f>
        <v/>
      </c>
      <c r="D189" s="43">
        <f>IFERROR(INDEX('إنهاء الخدمة'!$D$3:$D$502,183),"")</f>
        <v/>
      </c>
      <c r="E189" s="118">
        <f>IFERROR(INDEX('إنهاء الخدمة'!$E$3:$E$502,183),"")</f>
        <v/>
      </c>
      <c r="F189" s="43">
        <f>IFERROR(INDEX('إنهاء الخدمة'!$F$3:$F$502,183),"")</f>
        <v/>
      </c>
      <c r="G189" s="43">
        <f>IFERROR(INDEX('إنهاء الخدمة'!$G$3:$G$502,183),"")</f>
        <v/>
      </c>
      <c r="H189" s="60">
        <f>IFERROR(INDEX('إنهاء الخدمة'!$I$3:$I$502,183),"")</f>
        <v/>
      </c>
      <c r="I189" s="43">
        <f>IFERROR(INDEX('إنهاء الخدمة'!$J$3:$J$502,183),"")</f>
        <v/>
      </c>
      <c r="J189" s="43">
        <f>IFERROR(INDEX('إنهاء الخدمة'!$K$3:$K$502,183),"")</f>
        <v/>
      </c>
    </row>
    <row r="190">
      <c r="A190" s="50">
        <f>IFERROR(INDEX('إنهاء الخدمة'!$A$3:$A$502,184),"")</f>
        <v/>
      </c>
      <c r="B190" s="50">
        <f>IFERROR(INDEX('إنهاء الخدمة'!$B$3:$B$502,184),"")</f>
        <v/>
      </c>
      <c r="C190" s="119">
        <f>IFERROR(INDEX('إنهاء الخدمة'!$C$3:$C$502,184),"")</f>
        <v/>
      </c>
      <c r="D190" s="50">
        <f>IFERROR(INDEX('إنهاء الخدمة'!$D$3:$D$502,184),"")</f>
        <v/>
      </c>
      <c r="E190" s="119">
        <f>IFERROR(INDEX('إنهاء الخدمة'!$E$3:$E$502,184),"")</f>
        <v/>
      </c>
      <c r="F190" s="50">
        <f>IFERROR(INDEX('إنهاء الخدمة'!$F$3:$F$502,184),"")</f>
        <v/>
      </c>
      <c r="G190" s="50">
        <f>IFERROR(INDEX('إنهاء الخدمة'!$G$3:$G$502,184),"")</f>
        <v/>
      </c>
      <c r="H190" s="63">
        <f>IFERROR(INDEX('إنهاء الخدمة'!$I$3:$I$502,184),"")</f>
        <v/>
      </c>
      <c r="I190" s="50">
        <f>IFERROR(INDEX('إنهاء الخدمة'!$J$3:$J$502,184),"")</f>
        <v/>
      </c>
      <c r="J190" s="50">
        <f>IFERROR(INDEX('إنهاء الخدمة'!$K$3:$K$502,184),"")</f>
        <v/>
      </c>
    </row>
    <row r="191">
      <c r="A191" s="43">
        <f>IFERROR(INDEX('إنهاء الخدمة'!$A$3:$A$502,185),"")</f>
        <v/>
      </c>
      <c r="B191" s="43">
        <f>IFERROR(INDEX('إنهاء الخدمة'!$B$3:$B$502,185),"")</f>
        <v/>
      </c>
      <c r="C191" s="118">
        <f>IFERROR(INDEX('إنهاء الخدمة'!$C$3:$C$502,185),"")</f>
        <v/>
      </c>
      <c r="D191" s="43">
        <f>IFERROR(INDEX('إنهاء الخدمة'!$D$3:$D$502,185),"")</f>
        <v/>
      </c>
      <c r="E191" s="118">
        <f>IFERROR(INDEX('إنهاء الخدمة'!$E$3:$E$502,185),"")</f>
        <v/>
      </c>
      <c r="F191" s="43">
        <f>IFERROR(INDEX('إنهاء الخدمة'!$F$3:$F$502,185),"")</f>
        <v/>
      </c>
      <c r="G191" s="43">
        <f>IFERROR(INDEX('إنهاء الخدمة'!$G$3:$G$502,185),"")</f>
        <v/>
      </c>
      <c r="H191" s="60">
        <f>IFERROR(INDEX('إنهاء الخدمة'!$I$3:$I$502,185),"")</f>
        <v/>
      </c>
      <c r="I191" s="43">
        <f>IFERROR(INDEX('إنهاء الخدمة'!$J$3:$J$502,185),"")</f>
        <v/>
      </c>
      <c r="J191" s="43">
        <f>IFERROR(INDEX('إنهاء الخدمة'!$K$3:$K$502,185),"")</f>
        <v/>
      </c>
    </row>
    <row r="192">
      <c r="A192" s="50">
        <f>IFERROR(INDEX('إنهاء الخدمة'!$A$3:$A$502,186),"")</f>
        <v/>
      </c>
      <c r="B192" s="50">
        <f>IFERROR(INDEX('إنهاء الخدمة'!$B$3:$B$502,186),"")</f>
        <v/>
      </c>
      <c r="C192" s="119">
        <f>IFERROR(INDEX('إنهاء الخدمة'!$C$3:$C$502,186),"")</f>
        <v/>
      </c>
      <c r="D192" s="50">
        <f>IFERROR(INDEX('إنهاء الخدمة'!$D$3:$D$502,186),"")</f>
        <v/>
      </c>
      <c r="E192" s="119">
        <f>IFERROR(INDEX('إنهاء الخدمة'!$E$3:$E$502,186),"")</f>
        <v/>
      </c>
      <c r="F192" s="50">
        <f>IFERROR(INDEX('إنهاء الخدمة'!$F$3:$F$502,186),"")</f>
        <v/>
      </c>
      <c r="G192" s="50">
        <f>IFERROR(INDEX('إنهاء الخدمة'!$G$3:$G$502,186),"")</f>
        <v/>
      </c>
      <c r="H192" s="63">
        <f>IFERROR(INDEX('إنهاء الخدمة'!$I$3:$I$502,186),"")</f>
        <v/>
      </c>
      <c r="I192" s="50">
        <f>IFERROR(INDEX('إنهاء الخدمة'!$J$3:$J$502,186),"")</f>
        <v/>
      </c>
      <c r="J192" s="50">
        <f>IFERROR(INDEX('إنهاء الخدمة'!$K$3:$K$502,186),"")</f>
        <v/>
      </c>
    </row>
    <row r="193">
      <c r="A193" s="43">
        <f>IFERROR(INDEX('إنهاء الخدمة'!$A$3:$A$502,187),"")</f>
        <v/>
      </c>
      <c r="B193" s="43">
        <f>IFERROR(INDEX('إنهاء الخدمة'!$B$3:$B$502,187),"")</f>
        <v/>
      </c>
      <c r="C193" s="118">
        <f>IFERROR(INDEX('إنهاء الخدمة'!$C$3:$C$502,187),"")</f>
        <v/>
      </c>
      <c r="D193" s="43">
        <f>IFERROR(INDEX('إنهاء الخدمة'!$D$3:$D$502,187),"")</f>
        <v/>
      </c>
      <c r="E193" s="118">
        <f>IFERROR(INDEX('إنهاء الخدمة'!$E$3:$E$502,187),"")</f>
        <v/>
      </c>
      <c r="F193" s="43">
        <f>IFERROR(INDEX('إنهاء الخدمة'!$F$3:$F$502,187),"")</f>
        <v/>
      </c>
      <c r="G193" s="43">
        <f>IFERROR(INDEX('إنهاء الخدمة'!$G$3:$G$502,187),"")</f>
        <v/>
      </c>
      <c r="H193" s="60">
        <f>IFERROR(INDEX('إنهاء الخدمة'!$I$3:$I$502,187),"")</f>
        <v/>
      </c>
      <c r="I193" s="43">
        <f>IFERROR(INDEX('إنهاء الخدمة'!$J$3:$J$502,187),"")</f>
        <v/>
      </c>
      <c r="J193" s="43">
        <f>IFERROR(INDEX('إنهاء الخدمة'!$K$3:$K$502,187),"")</f>
        <v/>
      </c>
    </row>
    <row r="194">
      <c r="A194" s="50">
        <f>IFERROR(INDEX('إنهاء الخدمة'!$A$3:$A$502,188),"")</f>
        <v/>
      </c>
      <c r="B194" s="50">
        <f>IFERROR(INDEX('إنهاء الخدمة'!$B$3:$B$502,188),"")</f>
        <v/>
      </c>
      <c r="C194" s="119">
        <f>IFERROR(INDEX('إنهاء الخدمة'!$C$3:$C$502,188),"")</f>
        <v/>
      </c>
      <c r="D194" s="50">
        <f>IFERROR(INDEX('إنهاء الخدمة'!$D$3:$D$502,188),"")</f>
        <v/>
      </c>
      <c r="E194" s="119">
        <f>IFERROR(INDEX('إنهاء الخدمة'!$E$3:$E$502,188),"")</f>
        <v/>
      </c>
      <c r="F194" s="50">
        <f>IFERROR(INDEX('إنهاء الخدمة'!$F$3:$F$502,188),"")</f>
        <v/>
      </c>
      <c r="G194" s="50">
        <f>IFERROR(INDEX('إنهاء الخدمة'!$G$3:$G$502,188),"")</f>
        <v/>
      </c>
      <c r="H194" s="63">
        <f>IFERROR(INDEX('إنهاء الخدمة'!$I$3:$I$502,188),"")</f>
        <v/>
      </c>
      <c r="I194" s="50">
        <f>IFERROR(INDEX('إنهاء الخدمة'!$J$3:$J$502,188),"")</f>
        <v/>
      </c>
      <c r="J194" s="50">
        <f>IFERROR(INDEX('إنهاء الخدمة'!$K$3:$K$502,188),"")</f>
        <v/>
      </c>
    </row>
    <row r="195">
      <c r="A195" s="43">
        <f>IFERROR(INDEX('إنهاء الخدمة'!$A$3:$A$502,189),"")</f>
        <v/>
      </c>
      <c r="B195" s="43">
        <f>IFERROR(INDEX('إنهاء الخدمة'!$B$3:$B$502,189),"")</f>
        <v/>
      </c>
      <c r="C195" s="118">
        <f>IFERROR(INDEX('إنهاء الخدمة'!$C$3:$C$502,189),"")</f>
        <v/>
      </c>
      <c r="D195" s="43">
        <f>IFERROR(INDEX('إنهاء الخدمة'!$D$3:$D$502,189),"")</f>
        <v/>
      </c>
      <c r="E195" s="118">
        <f>IFERROR(INDEX('إنهاء الخدمة'!$E$3:$E$502,189),"")</f>
        <v/>
      </c>
      <c r="F195" s="43">
        <f>IFERROR(INDEX('إنهاء الخدمة'!$F$3:$F$502,189),"")</f>
        <v/>
      </c>
      <c r="G195" s="43">
        <f>IFERROR(INDEX('إنهاء الخدمة'!$G$3:$G$502,189),"")</f>
        <v/>
      </c>
      <c r="H195" s="60">
        <f>IFERROR(INDEX('إنهاء الخدمة'!$I$3:$I$502,189),"")</f>
        <v/>
      </c>
      <c r="I195" s="43">
        <f>IFERROR(INDEX('إنهاء الخدمة'!$J$3:$J$502,189),"")</f>
        <v/>
      </c>
      <c r="J195" s="43">
        <f>IFERROR(INDEX('إنهاء الخدمة'!$K$3:$K$502,189),"")</f>
        <v/>
      </c>
    </row>
    <row r="196">
      <c r="A196" s="50">
        <f>IFERROR(INDEX('إنهاء الخدمة'!$A$3:$A$502,190),"")</f>
        <v/>
      </c>
      <c r="B196" s="50">
        <f>IFERROR(INDEX('إنهاء الخدمة'!$B$3:$B$502,190),"")</f>
        <v/>
      </c>
      <c r="C196" s="119">
        <f>IFERROR(INDEX('إنهاء الخدمة'!$C$3:$C$502,190),"")</f>
        <v/>
      </c>
      <c r="D196" s="50">
        <f>IFERROR(INDEX('إنهاء الخدمة'!$D$3:$D$502,190),"")</f>
        <v/>
      </c>
      <c r="E196" s="119">
        <f>IFERROR(INDEX('إنهاء الخدمة'!$E$3:$E$502,190),"")</f>
        <v/>
      </c>
      <c r="F196" s="50">
        <f>IFERROR(INDEX('إنهاء الخدمة'!$F$3:$F$502,190),"")</f>
        <v/>
      </c>
      <c r="G196" s="50">
        <f>IFERROR(INDEX('إنهاء الخدمة'!$G$3:$G$502,190),"")</f>
        <v/>
      </c>
      <c r="H196" s="63">
        <f>IFERROR(INDEX('إنهاء الخدمة'!$I$3:$I$502,190),"")</f>
        <v/>
      </c>
      <c r="I196" s="50">
        <f>IFERROR(INDEX('إنهاء الخدمة'!$J$3:$J$502,190),"")</f>
        <v/>
      </c>
      <c r="J196" s="50">
        <f>IFERROR(INDEX('إنهاء الخدمة'!$K$3:$K$502,190),"")</f>
        <v/>
      </c>
    </row>
    <row r="197">
      <c r="A197" s="43">
        <f>IFERROR(INDEX('إنهاء الخدمة'!$A$3:$A$502,191),"")</f>
        <v/>
      </c>
      <c r="B197" s="43">
        <f>IFERROR(INDEX('إنهاء الخدمة'!$B$3:$B$502,191),"")</f>
        <v/>
      </c>
      <c r="C197" s="118">
        <f>IFERROR(INDEX('إنهاء الخدمة'!$C$3:$C$502,191),"")</f>
        <v/>
      </c>
      <c r="D197" s="43">
        <f>IFERROR(INDEX('إنهاء الخدمة'!$D$3:$D$502,191),"")</f>
        <v/>
      </c>
      <c r="E197" s="118">
        <f>IFERROR(INDEX('إنهاء الخدمة'!$E$3:$E$502,191),"")</f>
        <v/>
      </c>
      <c r="F197" s="43">
        <f>IFERROR(INDEX('إنهاء الخدمة'!$F$3:$F$502,191),"")</f>
        <v/>
      </c>
      <c r="G197" s="43">
        <f>IFERROR(INDEX('إنهاء الخدمة'!$G$3:$G$502,191),"")</f>
        <v/>
      </c>
      <c r="H197" s="60">
        <f>IFERROR(INDEX('إنهاء الخدمة'!$I$3:$I$502,191),"")</f>
        <v/>
      </c>
      <c r="I197" s="43">
        <f>IFERROR(INDEX('إنهاء الخدمة'!$J$3:$J$502,191),"")</f>
        <v/>
      </c>
      <c r="J197" s="43">
        <f>IFERROR(INDEX('إنهاء الخدمة'!$K$3:$K$502,191),"")</f>
        <v/>
      </c>
    </row>
    <row r="198">
      <c r="A198" s="50">
        <f>IFERROR(INDEX('إنهاء الخدمة'!$A$3:$A$502,192),"")</f>
        <v/>
      </c>
      <c r="B198" s="50">
        <f>IFERROR(INDEX('إنهاء الخدمة'!$B$3:$B$502,192),"")</f>
        <v/>
      </c>
      <c r="C198" s="119">
        <f>IFERROR(INDEX('إنهاء الخدمة'!$C$3:$C$502,192),"")</f>
        <v/>
      </c>
      <c r="D198" s="50">
        <f>IFERROR(INDEX('إنهاء الخدمة'!$D$3:$D$502,192),"")</f>
        <v/>
      </c>
      <c r="E198" s="119">
        <f>IFERROR(INDEX('إنهاء الخدمة'!$E$3:$E$502,192),"")</f>
        <v/>
      </c>
      <c r="F198" s="50">
        <f>IFERROR(INDEX('إنهاء الخدمة'!$F$3:$F$502,192),"")</f>
        <v/>
      </c>
      <c r="G198" s="50">
        <f>IFERROR(INDEX('إنهاء الخدمة'!$G$3:$G$502,192),"")</f>
        <v/>
      </c>
      <c r="H198" s="63">
        <f>IFERROR(INDEX('إنهاء الخدمة'!$I$3:$I$502,192),"")</f>
        <v/>
      </c>
      <c r="I198" s="50">
        <f>IFERROR(INDEX('إنهاء الخدمة'!$J$3:$J$502,192),"")</f>
        <v/>
      </c>
      <c r="J198" s="50">
        <f>IFERROR(INDEX('إنهاء الخدمة'!$K$3:$K$502,192),"")</f>
        <v/>
      </c>
    </row>
    <row r="199">
      <c r="A199" s="43">
        <f>IFERROR(INDEX('إنهاء الخدمة'!$A$3:$A$502,193),"")</f>
        <v/>
      </c>
      <c r="B199" s="43">
        <f>IFERROR(INDEX('إنهاء الخدمة'!$B$3:$B$502,193),"")</f>
        <v/>
      </c>
      <c r="C199" s="118">
        <f>IFERROR(INDEX('إنهاء الخدمة'!$C$3:$C$502,193),"")</f>
        <v/>
      </c>
      <c r="D199" s="43">
        <f>IFERROR(INDEX('إنهاء الخدمة'!$D$3:$D$502,193),"")</f>
        <v/>
      </c>
      <c r="E199" s="118">
        <f>IFERROR(INDEX('إنهاء الخدمة'!$E$3:$E$502,193),"")</f>
        <v/>
      </c>
      <c r="F199" s="43">
        <f>IFERROR(INDEX('إنهاء الخدمة'!$F$3:$F$502,193),"")</f>
        <v/>
      </c>
      <c r="G199" s="43">
        <f>IFERROR(INDEX('إنهاء الخدمة'!$G$3:$G$502,193),"")</f>
        <v/>
      </c>
      <c r="H199" s="60">
        <f>IFERROR(INDEX('إنهاء الخدمة'!$I$3:$I$502,193),"")</f>
        <v/>
      </c>
      <c r="I199" s="43">
        <f>IFERROR(INDEX('إنهاء الخدمة'!$J$3:$J$502,193),"")</f>
        <v/>
      </c>
      <c r="J199" s="43">
        <f>IFERROR(INDEX('إنهاء الخدمة'!$K$3:$K$502,193),"")</f>
        <v/>
      </c>
    </row>
    <row r="200">
      <c r="A200" s="50">
        <f>IFERROR(INDEX('إنهاء الخدمة'!$A$3:$A$502,194),"")</f>
        <v/>
      </c>
      <c r="B200" s="50">
        <f>IFERROR(INDEX('إنهاء الخدمة'!$B$3:$B$502,194),"")</f>
        <v/>
      </c>
      <c r="C200" s="119">
        <f>IFERROR(INDEX('إنهاء الخدمة'!$C$3:$C$502,194),"")</f>
        <v/>
      </c>
      <c r="D200" s="50">
        <f>IFERROR(INDEX('إنهاء الخدمة'!$D$3:$D$502,194),"")</f>
        <v/>
      </c>
      <c r="E200" s="119">
        <f>IFERROR(INDEX('إنهاء الخدمة'!$E$3:$E$502,194),"")</f>
        <v/>
      </c>
      <c r="F200" s="50">
        <f>IFERROR(INDEX('إنهاء الخدمة'!$F$3:$F$502,194),"")</f>
        <v/>
      </c>
      <c r="G200" s="50">
        <f>IFERROR(INDEX('إنهاء الخدمة'!$G$3:$G$502,194),"")</f>
        <v/>
      </c>
      <c r="H200" s="63">
        <f>IFERROR(INDEX('إنهاء الخدمة'!$I$3:$I$502,194),"")</f>
        <v/>
      </c>
      <c r="I200" s="50">
        <f>IFERROR(INDEX('إنهاء الخدمة'!$J$3:$J$502,194),"")</f>
        <v/>
      </c>
      <c r="J200" s="50">
        <f>IFERROR(INDEX('إنهاء الخدمة'!$K$3:$K$502,194),"")</f>
        <v/>
      </c>
    </row>
    <row r="201">
      <c r="A201" s="43">
        <f>IFERROR(INDEX('إنهاء الخدمة'!$A$3:$A$502,195),"")</f>
        <v/>
      </c>
      <c r="B201" s="43">
        <f>IFERROR(INDEX('إنهاء الخدمة'!$B$3:$B$502,195),"")</f>
        <v/>
      </c>
      <c r="C201" s="118">
        <f>IFERROR(INDEX('إنهاء الخدمة'!$C$3:$C$502,195),"")</f>
        <v/>
      </c>
      <c r="D201" s="43">
        <f>IFERROR(INDEX('إنهاء الخدمة'!$D$3:$D$502,195),"")</f>
        <v/>
      </c>
      <c r="E201" s="118">
        <f>IFERROR(INDEX('إنهاء الخدمة'!$E$3:$E$502,195),"")</f>
        <v/>
      </c>
      <c r="F201" s="43">
        <f>IFERROR(INDEX('إنهاء الخدمة'!$F$3:$F$502,195),"")</f>
        <v/>
      </c>
      <c r="G201" s="43">
        <f>IFERROR(INDEX('إنهاء الخدمة'!$G$3:$G$502,195),"")</f>
        <v/>
      </c>
      <c r="H201" s="60">
        <f>IFERROR(INDEX('إنهاء الخدمة'!$I$3:$I$502,195),"")</f>
        <v/>
      </c>
      <c r="I201" s="43">
        <f>IFERROR(INDEX('إنهاء الخدمة'!$J$3:$J$502,195),"")</f>
        <v/>
      </c>
      <c r="J201" s="43">
        <f>IFERROR(INDEX('إنهاء الخدمة'!$K$3:$K$502,195),"")</f>
        <v/>
      </c>
    </row>
    <row r="202">
      <c r="A202" s="50">
        <f>IFERROR(INDEX('إنهاء الخدمة'!$A$3:$A$502,196),"")</f>
        <v/>
      </c>
      <c r="B202" s="50">
        <f>IFERROR(INDEX('إنهاء الخدمة'!$B$3:$B$502,196),"")</f>
        <v/>
      </c>
      <c r="C202" s="119">
        <f>IFERROR(INDEX('إنهاء الخدمة'!$C$3:$C$502,196),"")</f>
        <v/>
      </c>
      <c r="D202" s="50">
        <f>IFERROR(INDEX('إنهاء الخدمة'!$D$3:$D$502,196),"")</f>
        <v/>
      </c>
      <c r="E202" s="119">
        <f>IFERROR(INDEX('إنهاء الخدمة'!$E$3:$E$502,196),"")</f>
        <v/>
      </c>
      <c r="F202" s="50">
        <f>IFERROR(INDEX('إنهاء الخدمة'!$F$3:$F$502,196),"")</f>
        <v/>
      </c>
      <c r="G202" s="50">
        <f>IFERROR(INDEX('إنهاء الخدمة'!$G$3:$G$502,196),"")</f>
        <v/>
      </c>
      <c r="H202" s="63">
        <f>IFERROR(INDEX('إنهاء الخدمة'!$I$3:$I$502,196),"")</f>
        <v/>
      </c>
      <c r="I202" s="50">
        <f>IFERROR(INDEX('إنهاء الخدمة'!$J$3:$J$502,196),"")</f>
        <v/>
      </c>
      <c r="J202" s="50">
        <f>IFERROR(INDEX('إنهاء الخدمة'!$K$3:$K$502,196),"")</f>
        <v/>
      </c>
    </row>
    <row r="203">
      <c r="A203" s="43">
        <f>IFERROR(INDEX('إنهاء الخدمة'!$A$3:$A$502,197),"")</f>
        <v/>
      </c>
      <c r="B203" s="43">
        <f>IFERROR(INDEX('إنهاء الخدمة'!$B$3:$B$502,197),"")</f>
        <v/>
      </c>
      <c r="C203" s="118">
        <f>IFERROR(INDEX('إنهاء الخدمة'!$C$3:$C$502,197),"")</f>
        <v/>
      </c>
      <c r="D203" s="43">
        <f>IFERROR(INDEX('إنهاء الخدمة'!$D$3:$D$502,197),"")</f>
        <v/>
      </c>
      <c r="E203" s="118">
        <f>IFERROR(INDEX('إنهاء الخدمة'!$E$3:$E$502,197),"")</f>
        <v/>
      </c>
      <c r="F203" s="43">
        <f>IFERROR(INDEX('إنهاء الخدمة'!$F$3:$F$502,197),"")</f>
        <v/>
      </c>
      <c r="G203" s="43">
        <f>IFERROR(INDEX('إنهاء الخدمة'!$G$3:$G$502,197),"")</f>
        <v/>
      </c>
      <c r="H203" s="60">
        <f>IFERROR(INDEX('إنهاء الخدمة'!$I$3:$I$502,197),"")</f>
        <v/>
      </c>
      <c r="I203" s="43">
        <f>IFERROR(INDEX('إنهاء الخدمة'!$J$3:$J$502,197),"")</f>
        <v/>
      </c>
      <c r="J203" s="43">
        <f>IFERROR(INDEX('إنهاء الخدمة'!$K$3:$K$502,197),"")</f>
        <v/>
      </c>
    </row>
    <row r="204">
      <c r="A204" s="50">
        <f>IFERROR(INDEX('إنهاء الخدمة'!$A$3:$A$502,198),"")</f>
        <v/>
      </c>
      <c r="B204" s="50">
        <f>IFERROR(INDEX('إنهاء الخدمة'!$B$3:$B$502,198),"")</f>
        <v/>
      </c>
      <c r="C204" s="119">
        <f>IFERROR(INDEX('إنهاء الخدمة'!$C$3:$C$502,198),"")</f>
        <v/>
      </c>
      <c r="D204" s="50">
        <f>IFERROR(INDEX('إنهاء الخدمة'!$D$3:$D$502,198),"")</f>
        <v/>
      </c>
      <c r="E204" s="119">
        <f>IFERROR(INDEX('إنهاء الخدمة'!$E$3:$E$502,198),"")</f>
        <v/>
      </c>
      <c r="F204" s="50">
        <f>IFERROR(INDEX('إنهاء الخدمة'!$F$3:$F$502,198),"")</f>
        <v/>
      </c>
      <c r="G204" s="50">
        <f>IFERROR(INDEX('إنهاء الخدمة'!$G$3:$G$502,198),"")</f>
        <v/>
      </c>
      <c r="H204" s="63">
        <f>IFERROR(INDEX('إنهاء الخدمة'!$I$3:$I$502,198),"")</f>
        <v/>
      </c>
      <c r="I204" s="50">
        <f>IFERROR(INDEX('إنهاء الخدمة'!$J$3:$J$502,198),"")</f>
        <v/>
      </c>
      <c r="J204" s="50">
        <f>IFERROR(INDEX('إنهاء الخدمة'!$K$3:$K$502,198),"")</f>
        <v/>
      </c>
    </row>
    <row r="205">
      <c r="A205" s="43">
        <f>IFERROR(INDEX('إنهاء الخدمة'!$A$3:$A$502,199),"")</f>
        <v/>
      </c>
      <c r="B205" s="43">
        <f>IFERROR(INDEX('إنهاء الخدمة'!$B$3:$B$502,199),"")</f>
        <v/>
      </c>
      <c r="C205" s="118">
        <f>IFERROR(INDEX('إنهاء الخدمة'!$C$3:$C$502,199),"")</f>
        <v/>
      </c>
      <c r="D205" s="43">
        <f>IFERROR(INDEX('إنهاء الخدمة'!$D$3:$D$502,199),"")</f>
        <v/>
      </c>
      <c r="E205" s="118">
        <f>IFERROR(INDEX('إنهاء الخدمة'!$E$3:$E$502,199),"")</f>
        <v/>
      </c>
      <c r="F205" s="43">
        <f>IFERROR(INDEX('إنهاء الخدمة'!$F$3:$F$502,199),"")</f>
        <v/>
      </c>
      <c r="G205" s="43">
        <f>IFERROR(INDEX('إنهاء الخدمة'!$G$3:$G$502,199),"")</f>
        <v/>
      </c>
      <c r="H205" s="60">
        <f>IFERROR(INDEX('إنهاء الخدمة'!$I$3:$I$502,199),"")</f>
        <v/>
      </c>
      <c r="I205" s="43">
        <f>IFERROR(INDEX('إنهاء الخدمة'!$J$3:$J$502,199),"")</f>
        <v/>
      </c>
      <c r="J205" s="43">
        <f>IFERROR(INDEX('إنهاء الخدمة'!$K$3:$K$502,199),"")</f>
        <v/>
      </c>
    </row>
    <row r="206">
      <c r="A206" s="50">
        <f>IFERROR(INDEX('إنهاء الخدمة'!$A$3:$A$502,200),"")</f>
        <v/>
      </c>
      <c r="B206" s="50">
        <f>IFERROR(INDEX('إنهاء الخدمة'!$B$3:$B$502,200),"")</f>
        <v/>
      </c>
      <c r="C206" s="119">
        <f>IFERROR(INDEX('إنهاء الخدمة'!$C$3:$C$502,200),"")</f>
        <v/>
      </c>
      <c r="D206" s="50">
        <f>IFERROR(INDEX('إنهاء الخدمة'!$D$3:$D$502,200),"")</f>
        <v/>
      </c>
      <c r="E206" s="119">
        <f>IFERROR(INDEX('إنهاء الخدمة'!$E$3:$E$502,200),"")</f>
        <v/>
      </c>
      <c r="F206" s="50">
        <f>IFERROR(INDEX('إنهاء الخدمة'!$F$3:$F$502,200),"")</f>
        <v/>
      </c>
      <c r="G206" s="50">
        <f>IFERROR(INDEX('إنهاء الخدمة'!$G$3:$G$502,200),"")</f>
        <v/>
      </c>
      <c r="H206" s="63">
        <f>IFERROR(INDEX('إنهاء الخدمة'!$I$3:$I$502,200),"")</f>
        <v/>
      </c>
      <c r="I206" s="50">
        <f>IFERROR(INDEX('إنهاء الخدمة'!$J$3:$J$502,200),"")</f>
        <v/>
      </c>
      <c r="J206" s="50">
        <f>IFERROR(INDEX('إنهاء الخدمة'!$K$3:$K$502,200),"")</f>
        <v/>
      </c>
    </row>
    <row r="207">
      <c r="A207" s="71" t="inlineStr">
        <is>
          <t>الإجمالي</t>
        </is>
      </c>
      <c r="B207" s="72" t="n"/>
      <c r="C207" s="72" t="n"/>
      <c r="D207" s="72" t="n"/>
      <c r="E207" s="72" t="n"/>
      <c r="F207" s="72" t="n"/>
      <c r="G207" s="72" t="n"/>
      <c r="H207" s="73">
        <f>SUM(H7:H206)</f>
        <v/>
      </c>
      <c r="I207" s="72" t="n"/>
      <c r="J207" s="7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05"/>
  <mergeCells count="5">
    <mergeCell ref="A1:J1"/>
    <mergeCell ref="F3:J3"/>
    <mergeCell ref="A2:J2"/>
    <mergeCell ref="A207"/>
    <mergeCell ref="A3:E3"/>
  </mergeCells>
  <pageMargins left="0.75" right="0.75" top="1" bottom="1" header="0.5" footer="0.5"/>
  <pageSetup orientation="landscape" paperSize="9" fitToHeight="0" fitToWidth="1"/>
  <headerFooter>
    <oddHeader/>
    <oddFooter>&amp;L&amp;8 نظام إدارة الموارد البشرية&amp;R&amp;8 صفحة &amp;P من &amp;N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J207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8" customWidth="1" min="3" max="3"/>
    <col width="16" customWidth="1" min="4" max="4"/>
    <col width="13" customWidth="1" min="5" max="5"/>
    <col width="15" customWidth="1" min="6" max="6"/>
    <col width="13" customWidth="1" min="7" max="7"/>
    <col width="13" customWidth="1" min="8" max="8"/>
    <col width="16" customWidth="1" min="9" max="9"/>
    <col width="11" customWidth="1" min="10" max="10"/>
  </cols>
  <sheetData>
    <row r="1" ht="30" customHeight="1">
      <c r="A1" s="1">
        <f>اسم_المؤسسة</f>
        <v/>
      </c>
    </row>
    <row r="2" ht="26" customHeight="1">
      <c r="A2" s="65" t="inlineStr">
        <is>
          <t>تقرير إجمالي تكاليف الموظفين</t>
        </is>
      </c>
    </row>
    <row r="3">
      <c r="A3" s="66">
        <f>"تاريخ إعداد التقرير: "&amp;TEXT(TODAY(),"yyyy-mm-dd")</f>
        <v/>
      </c>
      <c r="F3" s="6">
        <f>"السنة المالية: "&amp;السنة_المالية</f>
        <v/>
      </c>
    </row>
    <row r="6" ht="34" customHeight="1">
      <c r="A6" s="67" t="inlineStr">
        <is>
          <t>الرقم الوظيفي</t>
        </is>
      </c>
      <c r="B6" s="67" t="inlineStr">
        <is>
          <t>اسم الموظف</t>
        </is>
      </c>
      <c r="C6" s="67" t="inlineStr">
        <is>
          <t>الإدارة</t>
        </is>
      </c>
      <c r="D6" s="67" t="inlineStr">
        <is>
          <t>الراتب الأساسي (شهري)</t>
        </is>
      </c>
      <c r="E6" s="67" t="inlineStr">
        <is>
          <t>البدلات الثابتة</t>
        </is>
      </c>
      <c r="F6" s="67" t="inlineStr">
        <is>
          <t>قيمة الإضافي (الكل)</t>
        </is>
      </c>
      <c r="G6" s="67" t="inlineStr">
        <is>
          <t>المكافآت (الكل)</t>
        </is>
      </c>
      <c r="H6" s="67" t="inlineStr">
        <is>
          <t>تكلفة التدريب</t>
        </is>
      </c>
      <c r="I6" s="67" t="inlineStr">
        <is>
          <t>إجمالي تكلفة الموظف</t>
        </is>
      </c>
      <c r="J6" s="67" t="inlineStr">
        <is>
          <t>عدد الكشوف</t>
        </is>
      </c>
    </row>
    <row r="7">
      <c r="A7" s="43">
        <f>IFERROR(INDEX(الموظفون_الرقم,1),"")</f>
        <v/>
      </c>
      <c r="B7" s="43">
        <f>IFERROR(INDEX(الموظفون_الاسم,1),"")</f>
        <v/>
      </c>
      <c r="C7" s="43">
        <f>IFERROR(INDEX(الموظفون_الإدارة,1),"")</f>
        <v/>
      </c>
      <c r="D7" s="60">
        <f>IFERROR(INDEX(الموظفون_الاساسي,1),"")</f>
        <v/>
      </c>
      <c r="E7" s="60">
        <f>IFERROR(INDEX(الموظفون_البدلات,1),"")</f>
        <v/>
      </c>
      <c r="F7" s="60">
        <f>IFERROR(SUMIFS(الرواتب_الاضافي,الرواتب_الرقم,$A7),"")</f>
        <v/>
      </c>
      <c r="G7" s="60">
        <f>IFERROR(SUMIFS(الرواتب_المكافآت,الرواتب_الرقم,$A7),"")</f>
        <v/>
      </c>
      <c r="H7" s="60">
        <f>IFERROR(SUMIFS(التدريب_التكلفة,التدريب_الرقم,$A7),"")</f>
        <v/>
      </c>
      <c r="I7" s="60">
        <f>IF($A7="","",IFERROR($D7+$E7+$F7+$G7+$H7,0))</f>
        <v/>
      </c>
      <c r="J7" s="44">
        <f>IF($A7="","",COUNTIFS(الرواتب_الرقم,$A7))</f>
        <v/>
      </c>
    </row>
    <row r="8">
      <c r="A8" s="50">
        <f>IFERROR(INDEX(الموظفون_الرقم,2),"")</f>
        <v/>
      </c>
      <c r="B8" s="50">
        <f>IFERROR(INDEX(الموظفون_الاسم,2),"")</f>
        <v/>
      </c>
      <c r="C8" s="50">
        <f>IFERROR(INDEX(الموظفون_الإدارة,2),"")</f>
        <v/>
      </c>
      <c r="D8" s="63">
        <f>IFERROR(INDEX(الموظفون_الاساسي,2),"")</f>
        <v/>
      </c>
      <c r="E8" s="63">
        <f>IFERROR(INDEX(الموظفون_البدلات,2),"")</f>
        <v/>
      </c>
      <c r="F8" s="63">
        <f>IFERROR(SUMIFS(الرواتب_الاضافي,الرواتب_الرقم,$A8),"")</f>
        <v/>
      </c>
      <c r="G8" s="63">
        <f>IFERROR(SUMIFS(الرواتب_المكافآت,الرواتب_الرقم,$A8),"")</f>
        <v/>
      </c>
      <c r="H8" s="63">
        <f>IFERROR(SUMIFS(التدريب_التكلفة,التدريب_الرقم,$A8),"")</f>
        <v/>
      </c>
      <c r="I8" s="63">
        <f>IF($A8="","",IFERROR($D8+$E8+$F8+$G8+$H8,0))</f>
        <v/>
      </c>
      <c r="J8" s="51">
        <f>IF($A8="","",COUNTIFS(الرواتب_الرقم,$A8))</f>
        <v/>
      </c>
    </row>
    <row r="9">
      <c r="A9" s="43">
        <f>IFERROR(INDEX(الموظفون_الرقم,3),"")</f>
        <v/>
      </c>
      <c r="B9" s="43">
        <f>IFERROR(INDEX(الموظفون_الاسم,3),"")</f>
        <v/>
      </c>
      <c r="C9" s="43">
        <f>IFERROR(INDEX(الموظفون_الإدارة,3),"")</f>
        <v/>
      </c>
      <c r="D9" s="60">
        <f>IFERROR(INDEX(الموظفون_الاساسي,3),"")</f>
        <v/>
      </c>
      <c r="E9" s="60">
        <f>IFERROR(INDEX(الموظفون_البدلات,3),"")</f>
        <v/>
      </c>
      <c r="F9" s="60">
        <f>IFERROR(SUMIFS(الرواتب_الاضافي,الرواتب_الرقم,$A9),"")</f>
        <v/>
      </c>
      <c r="G9" s="60">
        <f>IFERROR(SUMIFS(الرواتب_المكافآت,الرواتب_الرقم,$A9),"")</f>
        <v/>
      </c>
      <c r="H9" s="60">
        <f>IFERROR(SUMIFS(التدريب_التكلفة,التدريب_الرقم,$A9),"")</f>
        <v/>
      </c>
      <c r="I9" s="60">
        <f>IF($A9="","",IFERROR($D9+$E9+$F9+$G9+$H9,0))</f>
        <v/>
      </c>
      <c r="J9" s="44">
        <f>IF($A9="","",COUNTIFS(الرواتب_الرقم,$A9))</f>
        <v/>
      </c>
    </row>
    <row r="10">
      <c r="A10" s="50">
        <f>IFERROR(INDEX(الموظفون_الرقم,4),"")</f>
        <v/>
      </c>
      <c r="B10" s="50">
        <f>IFERROR(INDEX(الموظفون_الاسم,4),"")</f>
        <v/>
      </c>
      <c r="C10" s="50">
        <f>IFERROR(INDEX(الموظفون_الإدارة,4),"")</f>
        <v/>
      </c>
      <c r="D10" s="63">
        <f>IFERROR(INDEX(الموظفون_الاساسي,4),"")</f>
        <v/>
      </c>
      <c r="E10" s="63">
        <f>IFERROR(INDEX(الموظفون_البدلات,4),"")</f>
        <v/>
      </c>
      <c r="F10" s="63">
        <f>IFERROR(SUMIFS(الرواتب_الاضافي,الرواتب_الرقم,$A10),"")</f>
        <v/>
      </c>
      <c r="G10" s="63">
        <f>IFERROR(SUMIFS(الرواتب_المكافآت,الرواتب_الرقم,$A10),"")</f>
        <v/>
      </c>
      <c r="H10" s="63">
        <f>IFERROR(SUMIFS(التدريب_التكلفة,التدريب_الرقم,$A10),"")</f>
        <v/>
      </c>
      <c r="I10" s="63">
        <f>IF($A10="","",IFERROR($D10+$E10+$F10+$G10+$H10,0))</f>
        <v/>
      </c>
      <c r="J10" s="51">
        <f>IF($A10="","",COUNTIFS(الرواتب_الرقم,$A10))</f>
        <v/>
      </c>
    </row>
    <row r="11">
      <c r="A11" s="43">
        <f>IFERROR(INDEX(الموظفون_الرقم,5),"")</f>
        <v/>
      </c>
      <c r="B11" s="43">
        <f>IFERROR(INDEX(الموظفون_الاسم,5),"")</f>
        <v/>
      </c>
      <c r="C11" s="43">
        <f>IFERROR(INDEX(الموظفون_الإدارة,5),"")</f>
        <v/>
      </c>
      <c r="D11" s="60">
        <f>IFERROR(INDEX(الموظفون_الاساسي,5),"")</f>
        <v/>
      </c>
      <c r="E11" s="60">
        <f>IFERROR(INDEX(الموظفون_البدلات,5),"")</f>
        <v/>
      </c>
      <c r="F11" s="60">
        <f>IFERROR(SUMIFS(الرواتب_الاضافي,الرواتب_الرقم,$A11),"")</f>
        <v/>
      </c>
      <c r="G11" s="60">
        <f>IFERROR(SUMIFS(الرواتب_المكافآت,الرواتب_الرقم,$A11),"")</f>
        <v/>
      </c>
      <c r="H11" s="60">
        <f>IFERROR(SUMIFS(التدريب_التكلفة,التدريب_الرقم,$A11),"")</f>
        <v/>
      </c>
      <c r="I11" s="60">
        <f>IF($A11="","",IFERROR($D11+$E11+$F11+$G11+$H11,0))</f>
        <v/>
      </c>
      <c r="J11" s="44">
        <f>IF($A11="","",COUNTIFS(الرواتب_الرقم,$A11))</f>
        <v/>
      </c>
    </row>
    <row r="12">
      <c r="A12" s="50">
        <f>IFERROR(INDEX(الموظفون_الرقم,6),"")</f>
        <v/>
      </c>
      <c r="B12" s="50">
        <f>IFERROR(INDEX(الموظفون_الاسم,6),"")</f>
        <v/>
      </c>
      <c r="C12" s="50">
        <f>IFERROR(INDEX(الموظفون_الإدارة,6),"")</f>
        <v/>
      </c>
      <c r="D12" s="63">
        <f>IFERROR(INDEX(الموظفون_الاساسي,6),"")</f>
        <v/>
      </c>
      <c r="E12" s="63">
        <f>IFERROR(INDEX(الموظفون_البدلات,6),"")</f>
        <v/>
      </c>
      <c r="F12" s="63">
        <f>IFERROR(SUMIFS(الرواتب_الاضافي,الرواتب_الرقم,$A12),"")</f>
        <v/>
      </c>
      <c r="G12" s="63">
        <f>IFERROR(SUMIFS(الرواتب_المكافآت,الرواتب_الرقم,$A12),"")</f>
        <v/>
      </c>
      <c r="H12" s="63">
        <f>IFERROR(SUMIFS(التدريب_التكلفة,التدريب_الرقم,$A12),"")</f>
        <v/>
      </c>
      <c r="I12" s="63">
        <f>IF($A12="","",IFERROR($D12+$E12+$F12+$G12+$H12,0))</f>
        <v/>
      </c>
      <c r="J12" s="51">
        <f>IF($A12="","",COUNTIFS(الرواتب_الرقم,$A12))</f>
        <v/>
      </c>
    </row>
    <row r="13">
      <c r="A13" s="43">
        <f>IFERROR(INDEX(الموظفون_الرقم,7),"")</f>
        <v/>
      </c>
      <c r="B13" s="43">
        <f>IFERROR(INDEX(الموظفون_الاسم,7),"")</f>
        <v/>
      </c>
      <c r="C13" s="43">
        <f>IFERROR(INDEX(الموظفون_الإدارة,7),"")</f>
        <v/>
      </c>
      <c r="D13" s="60">
        <f>IFERROR(INDEX(الموظفون_الاساسي,7),"")</f>
        <v/>
      </c>
      <c r="E13" s="60">
        <f>IFERROR(INDEX(الموظفون_البدلات,7),"")</f>
        <v/>
      </c>
      <c r="F13" s="60">
        <f>IFERROR(SUMIFS(الرواتب_الاضافي,الرواتب_الرقم,$A13),"")</f>
        <v/>
      </c>
      <c r="G13" s="60">
        <f>IFERROR(SUMIFS(الرواتب_المكافآت,الرواتب_الرقم,$A13),"")</f>
        <v/>
      </c>
      <c r="H13" s="60">
        <f>IFERROR(SUMIFS(التدريب_التكلفة,التدريب_الرقم,$A13),"")</f>
        <v/>
      </c>
      <c r="I13" s="60">
        <f>IF($A13="","",IFERROR($D13+$E13+$F13+$G13+$H13,0))</f>
        <v/>
      </c>
      <c r="J13" s="44">
        <f>IF($A13="","",COUNTIFS(الرواتب_الرقم,$A13))</f>
        <v/>
      </c>
    </row>
    <row r="14">
      <c r="A14" s="50">
        <f>IFERROR(INDEX(الموظفون_الرقم,8),"")</f>
        <v/>
      </c>
      <c r="B14" s="50">
        <f>IFERROR(INDEX(الموظفون_الاسم,8),"")</f>
        <v/>
      </c>
      <c r="C14" s="50">
        <f>IFERROR(INDEX(الموظفون_الإدارة,8),"")</f>
        <v/>
      </c>
      <c r="D14" s="63">
        <f>IFERROR(INDEX(الموظفون_الاساسي,8),"")</f>
        <v/>
      </c>
      <c r="E14" s="63">
        <f>IFERROR(INDEX(الموظفون_البدلات,8),"")</f>
        <v/>
      </c>
      <c r="F14" s="63">
        <f>IFERROR(SUMIFS(الرواتب_الاضافي,الرواتب_الرقم,$A14),"")</f>
        <v/>
      </c>
      <c r="G14" s="63">
        <f>IFERROR(SUMIFS(الرواتب_المكافآت,الرواتب_الرقم,$A14),"")</f>
        <v/>
      </c>
      <c r="H14" s="63">
        <f>IFERROR(SUMIFS(التدريب_التكلفة,التدريب_الرقم,$A14),"")</f>
        <v/>
      </c>
      <c r="I14" s="63">
        <f>IF($A14="","",IFERROR($D14+$E14+$F14+$G14+$H14,0))</f>
        <v/>
      </c>
      <c r="J14" s="51">
        <f>IF($A14="","",COUNTIFS(الرواتب_الرقم,$A14))</f>
        <v/>
      </c>
    </row>
    <row r="15">
      <c r="A15" s="43">
        <f>IFERROR(INDEX(الموظفون_الرقم,9),"")</f>
        <v/>
      </c>
      <c r="B15" s="43">
        <f>IFERROR(INDEX(الموظفون_الاسم,9),"")</f>
        <v/>
      </c>
      <c r="C15" s="43">
        <f>IFERROR(INDEX(الموظفون_الإدارة,9),"")</f>
        <v/>
      </c>
      <c r="D15" s="60">
        <f>IFERROR(INDEX(الموظفون_الاساسي,9),"")</f>
        <v/>
      </c>
      <c r="E15" s="60">
        <f>IFERROR(INDEX(الموظفون_البدلات,9),"")</f>
        <v/>
      </c>
      <c r="F15" s="60">
        <f>IFERROR(SUMIFS(الرواتب_الاضافي,الرواتب_الرقم,$A15),"")</f>
        <v/>
      </c>
      <c r="G15" s="60">
        <f>IFERROR(SUMIFS(الرواتب_المكافآت,الرواتب_الرقم,$A15),"")</f>
        <v/>
      </c>
      <c r="H15" s="60">
        <f>IFERROR(SUMIFS(التدريب_التكلفة,التدريب_الرقم,$A15),"")</f>
        <v/>
      </c>
      <c r="I15" s="60">
        <f>IF($A15="","",IFERROR($D15+$E15+$F15+$G15+$H15,0))</f>
        <v/>
      </c>
      <c r="J15" s="44">
        <f>IF($A15="","",COUNTIFS(الرواتب_الرقم,$A15))</f>
        <v/>
      </c>
    </row>
    <row r="16">
      <c r="A16" s="50">
        <f>IFERROR(INDEX(الموظفون_الرقم,10),"")</f>
        <v/>
      </c>
      <c r="B16" s="50">
        <f>IFERROR(INDEX(الموظفون_الاسم,10),"")</f>
        <v/>
      </c>
      <c r="C16" s="50">
        <f>IFERROR(INDEX(الموظفون_الإدارة,10),"")</f>
        <v/>
      </c>
      <c r="D16" s="63">
        <f>IFERROR(INDEX(الموظفون_الاساسي,10),"")</f>
        <v/>
      </c>
      <c r="E16" s="63">
        <f>IFERROR(INDEX(الموظفون_البدلات,10),"")</f>
        <v/>
      </c>
      <c r="F16" s="63">
        <f>IFERROR(SUMIFS(الرواتب_الاضافي,الرواتب_الرقم,$A16),"")</f>
        <v/>
      </c>
      <c r="G16" s="63">
        <f>IFERROR(SUMIFS(الرواتب_المكافآت,الرواتب_الرقم,$A16),"")</f>
        <v/>
      </c>
      <c r="H16" s="63">
        <f>IFERROR(SUMIFS(التدريب_التكلفة,التدريب_الرقم,$A16),"")</f>
        <v/>
      </c>
      <c r="I16" s="63">
        <f>IF($A16="","",IFERROR($D16+$E16+$F16+$G16+$H16,0))</f>
        <v/>
      </c>
      <c r="J16" s="51">
        <f>IF($A16="","",COUNTIFS(الرواتب_الرقم,$A16))</f>
        <v/>
      </c>
    </row>
    <row r="17">
      <c r="A17" s="43">
        <f>IFERROR(INDEX(الموظفون_الرقم,11),"")</f>
        <v/>
      </c>
      <c r="B17" s="43">
        <f>IFERROR(INDEX(الموظفون_الاسم,11),"")</f>
        <v/>
      </c>
      <c r="C17" s="43">
        <f>IFERROR(INDEX(الموظفون_الإدارة,11),"")</f>
        <v/>
      </c>
      <c r="D17" s="60">
        <f>IFERROR(INDEX(الموظفون_الاساسي,11),"")</f>
        <v/>
      </c>
      <c r="E17" s="60">
        <f>IFERROR(INDEX(الموظفون_البدلات,11),"")</f>
        <v/>
      </c>
      <c r="F17" s="60">
        <f>IFERROR(SUMIFS(الرواتب_الاضافي,الرواتب_الرقم,$A17),"")</f>
        <v/>
      </c>
      <c r="G17" s="60">
        <f>IFERROR(SUMIFS(الرواتب_المكافآت,الرواتب_الرقم,$A17),"")</f>
        <v/>
      </c>
      <c r="H17" s="60">
        <f>IFERROR(SUMIFS(التدريب_التكلفة,التدريب_الرقم,$A17),"")</f>
        <v/>
      </c>
      <c r="I17" s="60">
        <f>IF($A17="","",IFERROR($D17+$E17+$F17+$G17+$H17,0))</f>
        <v/>
      </c>
      <c r="J17" s="44">
        <f>IF($A17="","",COUNTIFS(الرواتب_الرقم,$A17))</f>
        <v/>
      </c>
    </row>
    <row r="18">
      <c r="A18" s="50">
        <f>IFERROR(INDEX(الموظفون_الرقم,12),"")</f>
        <v/>
      </c>
      <c r="B18" s="50">
        <f>IFERROR(INDEX(الموظفون_الاسم,12),"")</f>
        <v/>
      </c>
      <c r="C18" s="50">
        <f>IFERROR(INDEX(الموظفون_الإدارة,12),"")</f>
        <v/>
      </c>
      <c r="D18" s="63">
        <f>IFERROR(INDEX(الموظفون_الاساسي,12),"")</f>
        <v/>
      </c>
      <c r="E18" s="63">
        <f>IFERROR(INDEX(الموظفون_البدلات,12),"")</f>
        <v/>
      </c>
      <c r="F18" s="63">
        <f>IFERROR(SUMIFS(الرواتب_الاضافي,الرواتب_الرقم,$A18),"")</f>
        <v/>
      </c>
      <c r="G18" s="63">
        <f>IFERROR(SUMIFS(الرواتب_المكافآت,الرواتب_الرقم,$A18),"")</f>
        <v/>
      </c>
      <c r="H18" s="63">
        <f>IFERROR(SUMIFS(التدريب_التكلفة,التدريب_الرقم,$A18),"")</f>
        <v/>
      </c>
      <c r="I18" s="63">
        <f>IF($A18="","",IFERROR($D18+$E18+$F18+$G18+$H18,0))</f>
        <v/>
      </c>
      <c r="J18" s="51">
        <f>IF($A18="","",COUNTIFS(الرواتب_الرقم,$A18))</f>
        <v/>
      </c>
    </row>
    <row r="19">
      <c r="A19" s="43">
        <f>IFERROR(INDEX(الموظفون_الرقم,13),"")</f>
        <v/>
      </c>
      <c r="B19" s="43">
        <f>IFERROR(INDEX(الموظفون_الاسم,13),"")</f>
        <v/>
      </c>
      <c r="C19" s="43">
        <f>IFERROR(INDEX(الموظفون_الإدارة,13),"")</f>
        <v/>
      </c>
      <c r="D19" s="60">
        <f>IFERROR(INDEX(الموظفون_الاساسي,13),"")</f>
        <v/>
      </c>
      <c r="E19" s="60">
        <f>IFERROR(INDEX(الموظفون_البدلات,13),"")</f>
        <v/>
      </c>
      <c r="F19" s="60">
        <f>IFERROR(SUMIFS(الرواتب_الاضافي,الرواتب_الرقم,$A19),"")</f>
        <v/>
      </c>
      <c r="G19" s="60">
        <f>IFERROR(SUMIFS(الرواتب_المكافآت,الرواتب_الرقم,$A19),"")</f>
        <v/>
      </c>
      <c r="H19" s="60">
        <f>IFERROR(SUMIFS(التدريب_التكلفة,التدريب_الرقم,$A19),"")</f>
        <v/>
      </c>
      <c r="I19" s="60">
        <f>IF($A19="","",IFERROR($D19+$E19+$F19+$G19+$H19,0))</f>
        <v/>
      </c>
      <c r="J19" s="44">
        <f>IF($A19="","",COUNTIFS(الرواتب_الرقم,$A19))</f>
        <v/>
      </c>
    </row>
    <row r="20">
      <c r="A20" s="50">
        <f>IFERROR(INDEX(الموظفون_الرقم,14),"")</f>
        <v/>
      </c>
      <c r="B20" s="50">
        <f>IFERROR(INDEX(الموظفون_الاسم,14),"")</f>
        <v/>
      </c>
      <c r="C20" s="50">
        <f>IFERROR(INDEX(الموظفون_الإدارة,14),"")</f>
        <v/>
      </c>
      <c r="D20" s="63">
        <f>IFERROR(INDEX(الموظفون_الاساسي,14),"")</f>
        <v/>
      </c>
      <c r="E20" s="63">
        <f>IFERROR(INDEX(الموظفون_البدلات,14),"")</f>
        <v/>
      </c>
      <c r="F20" s="63">
        <f>IFERROR(SUMIFS(الرواتب_الاضافي,الرواتب_الرقم,$A20),"")</f>
        <v/>
      </c>
      <c r="G20" s="63">
        <f>IFERROR(SUMIFS(الرواتب_المكافآت,الرواتب_الرقم,$A20),"")</f>
        <v/>
      </c>
      <c r="H20" s="63">
        <f>IFERROR(SUMIFS(التدريب_التكلفة,التدريب_الرقم,$A20),"")</f>
        <v/>
      </c>
      <c r="I20" s="63">
        <f>IF($A20="","",IFERROR($D20+$E20+$F20+$G20+$H20,0))</f>
        <v/>
      </c>
      <c r="J20" s="51">
        <f>IF($A20="","",COUNTIFS(الرواتب_الرقم,$A20))</f>
        <v/>
      </c>
    </row>
    <row r="21">
      <c r="A21" s="43">
        <f>IFERROR(INDEX(الموظفون_الرقم,15),"")</f>
        <v/>
      </c>
      <c r="B21" s="43">
        <f>IFERROR(INDEX(الموظفون_الاسم,15),"")</f>
        <v/>
      </c>
      <c r="C21" s="43">
        <f>IFERROR(INDEX(الموظفون_الإدارة,15),"")</f>
        <v/>
      </c>
      <c r="D21" s="60">
        <f>IFERROR(INDEX(الموظفون_الاساسي,15),"")</f>
        <v/>
      </c>
      <c r="E21" s="60">
        <f>IFERROR(INDEX(الموظفون_البدلات,15),"")</f>
        <v/>
      </c>
      <c r="F21" s="60">
        <f>IFERROR(SUMIFS(الرواتب_الاضافي,الرواتب_الرقم,$A21),"")</f>
        <v/>
      </c>
      <c r="G21" s="60">
        <f>IFERROR(SUMIFS(الرواتب_المكافآت,الرواتب_الرقم,$A21),"")</f>
        <v/>
      </c>
      <c r="H21" s="60">
        <f>IFERROR(SUMIFS(التدريب_التكلفة,التدريب_الرقم,$A21),"")</f>
        <v/>
      </c>
      <c r="I21" s="60">
        <f>IF($A21="","",IFERROR($D21+$E21+$F21+$G21+$H21,0))</f>
        <v/>
      </c>
      <c r="J21" s="44">
        <f>IF($A21="","",COUNTIFS(الرواتب_الرقم,$A21))</f>
        <v/>
      </c>
    </row>
    <row r="22">
      <c r="A22" s="50">
        <f>IFERROR(INDEX(الموظفون_الرقم,16),"")</f>
        <v/>
      </c>
      <c r="B22" s="50">
        <f>IFERROR(INDEX(الموظفون_الاسم,16),"")</f>
        <v/>
      </c>
      <c r="C22" s="50">
        <f>IFERROR(INDEX(الموظفون_الإدارة,16),"")</f>
        <v/>
      </c>
      <c r="D22" s="63">
        <f>IFERROR(INDEX(الموظفون_الاساسي,16),"")</f>
        <v/>
      </c>
      <c r="E22" s="63">
        <f>IFERROR(INDEX(الموظفون_البدلات,16),"")</f>
        <v/>
      </c>
      <c r="F22" s="63">
        <f>IFERROR(SUMIFS(الرواتب_الاضافي,الرواتب_الرقم,$A22),"")</f>
        <v/>
      </c>
      <c r="G22" s="63">
        <f>IFERROR(SUMIFS(الرواتب_المكافآت,الرواتب_الرقم,$A22),"")</f>
        <v/>
      </c>
      <c r="H22" s="63">
        <f>IFERROR(SUMIFS(التدريب_التكلفة,التدريب_الرقم,$A22),"")</f>
        <v/>
      </c>
      <c r="I22" s="63">
        <f>IF($A22="","",IFERROR($D22+$E22+$F22+$G22+$H22,0))</f>
        <v/>
      </c>
      <c r="J22" s="51">
        <f>IF($A22="","",COUNTIFS(الرواتب_الرقم,$A22))</f>
        <v/>
      </c>
    </row>
    <row r="23">
      <c r="A23" s="43">
        <f>IFERROR(INDEX(الموظفون_الرقم,17),"")</f>
        <v/>
      </c>
      <c r="B23" s="43">
        <f>IFERROR(INDEX(الموظفون_الاسم,17),"")</f>
        <v/>
      </c>
      <c r="C23" s="43">
        <f>IFERROR(INDEX(الموظفون_الإدارة,17),"")</f>
        <v/>
      </c>
      <c r="D23" s="60">
        <f>IFERROR(INDEX(الموظفون_الاساسي,17),"")</f>
        <v/>
      </c>
      <c r="E23" s="60">
        <f>IFERROR(INDEX(الموظفون_البدلات,17),"")</f>
        <v/>
      </c>
      <c r="F23" s="60">
        <f>IFERROR(SUMIFS(الرواتب_الاضافي,الرواتب_الرقم,$A23),"")</f>
        <v/>
      </c>
      <c r="G23" s="60">
        <f>IFERROR(SUMIFS(الرواتب_المكافآت,الرواتب_الرقم,$A23),"")</f>
        <v/>
      </c>
      <c r="H23" s="60">
        <f>IFERROR(SUMIFS(التدريب_التكلفة,التدريب_الرقم,$A23),"")</f>
        <v/>
      </c>
      <c r="I23" s="60">
        <f>IF($A23="","",IFERROR($D23+$E23+$F23+$G23+$H23,0))</f>
        <v/>
      </c>
      <c r="J23" s="44">
        <f>IF($A23="","",COUNTIFS(الرواتب_الرقم,$A23))</f>
        <v/>
      </c>
    </row>
    <row r="24">
      <c r="A24" s="50">
        <f>IFERROR(INDEX(الموظفون_الرقم,18),"")</f>
        <v/>
      </c>
      <c r="B24" s="50">
        <f>IFERROR(INDEX(الموظفون_الاسم,18),"")</f>
        <v/>
      </c>
      <c r="C24" s="50">
        <f>IFERROR(INDEX(الموظفون_الإدارة,18),"")</f>
        <v/>
      </c>
      <c r="D24" s="63">
        <f>IFERROR(INDEX(الموظفون_الاساسي,18),"")</f>
        <v/>
      </c>
      <c r="E24" s="63">
        <f>IFERROR(INDEX(الموظفون_البدلات,18),"")</f>
        <v/>
      </c>
      <c r="F24" s="63">
        <f>IFERROR(SUMIFS(الرواتب_الاضافي,الرواتب_الرقم,$A24),"")</f>
        <v/>
      </c>
      <c r="G24" s="63">
        <f>IFERROR(SUMIFS(الرواتب_المكافآت,الرواتب_الرقم,$A24),"")</f>
        <v/>
      </c>
      <c r="H24" s="63">
        <f>IFERROR(SUMIFS(التدريب_التكلفة,التدريب_الرقم,$A24),"")</f>
        <v/>
      </c>
      <c r="I24" s="63">
        <f>IF($A24="","",IFERROR($D24+$E24+$F24+$G24+$H24,0))</f>
        <v/>
      </c>
      <c r="J24" s="51">
        <f>IF($A24="","",COUNTIFS(الرواتب_الرقم,$A24))</f>
        <v/>
      </c>
    </row>
    <row r="25">
      <c r="A25" s="43">
        <f>IFERROR(INDEX(الموظفون_الرقم,19),"")</f>
        <v/>
      </c>
      <c r="B25" s="43">
        <f>IFERROR(INDEX(الموظفون_الاسم,19),"")</f>
        <v/>
      </c>
      <c r="C25" s="43">
        <f>IFERROR(INDEX(الموظفون_الإدارة,19),"")</f>
        <v/>
      </c>
      <c r="D25" s="60">
        <f>IFERROR(INDEX(الموظفون_الاساسي,19),"")</f>
        <v/>
      </c>
      <c r="E25" s="60">
        <f>IFERROR(INDEX(الموظفون_البدلات,19),"")</f>
        <v/>
      </c>
      <c r="F25" s="60">
        <f>IFERROR(SUMIFS(الرواتب_الاضافي,الرواتب_الرقم,$A25),"")</f>
        <v/>
      </c>
      <c r="G25" s="60">
        <f>IFERROR(SUMIFS(الرواتب_المكافآت,الرواتب_الرقم,$A25),"")</f>
        <v/>
      </c>
      <c r="H25" s="60">
        <f>IFERROR(SUMIFS(التدريب_التكلفة,التدريب_الرقم,$A25),"")</f>
        <v/>
      </c>
      <c r="I25" s="60">
        <f>IF($A25="","",IFERROR($D25+$E25+$F25+$G25+$H25,0))</f>
        <v/>
      </c>
      <c r="J25" s="44">
        <f>IF($A25="","",COUNTIFS(الرواتب_الرقم,$A25))</f>
        <v/>
      </c>
    </row>
    <row r="26">
      <c r="A26" s="50">
        <f>IFERROR(INDEX(الموظفون_الرقم,20),"")</f>
        <v/>
      </c>
      <c r="B26" s="50">
        <f>IFERROR(INDEX(الموظفون_الاسم,20),"")</f>
        <v/>
      </c>
      <c r="C26" s="50">
        <f>IFERROR(INDEX(الموظفون_الإدارة,20),"")</f>
        <v/>
      </c>
      <c r="D26" s="63">
        <f>IFERROR(INDEX(الموظفون_الاساسي,20),"")</f>
        <v/>
      </c>
      <c r="E26" s="63">
        <f>IFERROR(INDEX(الموظفون_البدلات,20),"")</f>
        <v/>
      </c>
      <c r="F26" s="63">
        <f>IFERROR(SUMIFS(الرواتب_الاضافي,الرواتب_الرقم,$A26),"")</f>
        <v/>
      </c>
      <c r="G26" s="63">
        <f>IFERROR(SUMIFS(الرواتب_المكافآت,الرواتب_الرقم,$A26),"")</f>
        <v/>
      </c>
      <c r="H26" s="63">
        <f>IFERROR(SUMIFS(التدريب_التكلفة,التدريب_الرقم,$A26),"")</f>
        <v/>
      </c>
      <c r="I26" s="63">
        <f>IF($A26="","",IFERROR($D26+$E26+$F26+$G26+$H26,0))</f>
        <v/>
      </c>
      <c r="J26" s="51">
        <f>IF($A26="","",COUNTIFS(الرواتب_الرقم,$A26))</f>
        <v/>
      </c>
    </row>
    <row r="27">
      <c r="A27" s="43">
        <f>IFERROR(INDEX(الموظفون_الرقم,21),"")</f>
        <v/>
      </c>
      <c r="B27" s="43">
        <f>IFERROR(INDEX(الموظفون_الاسم,21),"")</f>
        <v/>
      </c>
      <c r="C27" s="43">
        <f>IFERROR(INDEX(الموظفون_الإدارة,21),"")</f>
        <v/>
      </c>
      <c r="D27" s="60">
        <f>IFERROR(INDEX(الموظفون_الاساسي,21),"")</f>
        <v/>
      </c>
      <c r="E27" s="60">
        <f>IFERROR(INDEX(الموظفون_البدلات,21),"")</f>
        <v/>
      </c>
      <c r="F27" s="60">
        <f>IFERROR(SUMIFS(الرواتب_الاضافي,الرواتب_الرقم,$A27),"")</f>
        <v/>
      </c>
      <c r="G27" s="60">
        <f>IFERROR(SUMIFS(الرواتب_المكافآت,الرواتب_الرقم,$A27),"")</f>
        <v/>
      </c>
      <c r="H27" s="60">
        <f>IFERROR(SUMIFS(التدريب_التكلفة,التدريب_الرقم,$A27),"")</f>
        <v/>
      </c>
      <c r="I27" s="60">
        <f>IF($A27="","",IFERROR($D27+$E27+$F27+$G27+$H27,0))</f>
        <v/>
      </c>
      <c r="J27" s="44">
        <f>IF($A27="","",COUNTIFS(الرواتب_الرقم,$A27))</f>
        <v/>
      </c>
    </row>
    <row r="28">
      <c r="A28" s="50">
        <f>IFERROR(INDEX(الموظفون_الرقم,22),"")</f>
        <v/>
      </c>
      <c r="B28" s="50">
        <f>IFERROR(INDEX(الموظفون_الاسم,22),"")</f>
        <v/>
      </c>
      <c r="C28" s="50">
        <f>IFERROR(INDEX(الموظفون_الإدارة,22),"")</f>
        <v/>
      </c>
      <c r="D28" s="63">
        <f>IFERROR(INDEX(الموظفون_الاساسي,22),"")</f>
        <v/>
      </c>
      <c r="E28" s="63">
        <f>IFERROR(INDEX(الموظفون_البدلات,22),"")</f>
        <v/>
      </c>
      <c r="F28" s="63">
        <f>IFERROR(SUMIFS(الرواتب_الاضافي,الرواتب_الرقم,$A28),"")</f>
        <v/>
      </c>
      <c r="G28" s="63">
        <f>IFERROR(SUMIFS(الرواتب_المكافآت,الرواتب_الرقم,$A28),"")</f>
        <v/>
      </c>
      <c r="H28" s="63">
        <f>IFERROR(SUMIFS(التدريب_التكلفة,التدريب_الرقم,$A28),"")</f>
        <v/>
      </c>
      <c r="I28" s="63">
        <f>IF($A28="","",IFERROR($D28+$E28+$F28+$G28+$H28,0))</f>
        <v/>
      </c>
      <c r="J28" s="51">
        <f>IF($A28="","",COUNTIFS(الرواتب_الرقم,$A28))</f>
        <v/>
      </c>
    </row>
    <row r="29">
      <c r="A29" s="43">
        <f>IFERROR(INDEX(الموظفون_الرقم,23),"")</f>
        <v/>
      </c>
      <c r="B29" s="43">
        <f>IFERROR(INDEX(الموظفون_الاسم,23),"")</f>
        <v/>
      </c>
      <c r="C29" s="43">
        <f>IFERROR(INDEX(الموظفون_الإدارة,23),"")</f>
        <v/>
      </c>
      <c r="D29" s="60">
        <f>IFERROR(INDEX(الموظفون_الاساسي,23),"")</f>
        <v/>
      </c>
      <c r="E29" s="60">
        <f>IFERROR(INDEX(الموظفون_البدلات,23),"")</f>
        <v/>
      </c>
      <c r="F29" s="60">
        <f>IFERROR(SUMIFS(الرواتب_الاضافي,الرواتب_الرقم,$A29),"")</f>
        <v/>
      </c>
      <c r="G29" s="60">
        <f>IFERROR(SUMIFS(الرواتب_المكافآت,الرواتب_الرقم,$A29),"")</f>
        <v/>
      </c>
      <c r="H29" s="60">
        <f>IFERROR(SUMIFS(التدريب_التكلفة,التدريب_الرقم,$A29),"")</f>
        <v/>
      </c>
      <c r="I29" s="60">
        <f>IF($A29="","",IFERROR($D29+$E29+$F29+$G29+$H29,0))</f>
        <v/>
      </c>
      <c r="J29" s="44">
        <f>IF($A29="","",COUNTIFS(الرواتب_الرقم,$A29))</f>
        <v/>
      </c>
    </row>
    <row r="30">
      <c r="A30" s="50">
        <f>IFERROR(INDEX(الموظفون_الرقم,24),"")</f>
        <v/>
      </c>
      <c r="B30" s="50">
        <f>IFERROR(INDEX(الموظفون_الاسم,24),"")</f>
        <v/>
      </c>
      <c r="C30" s="50">
        <f>IFERROR(INDEX(الموظفون_الإدارة,24),"")</f>
        <v/>
      </c>
      <c r="D30" s="63">
        <f>IFERROR(INDEX(الموظفون_الاساسي,24),"")</f>
        <v/>
      </c>
      <c r="E30" s="63">
        <f>IFERROR(INDEX(الموظفون_البدلات,24),"")</f>
        <v/>
      </c>
      <c r="F30" s="63">
        <f>IFERROR(SUMIFS(الرواتب_الاضافي,الرواتب_الرقم,$A30),"")</f>
        <v/>
      </c>
      <c r="G30" s="63">
        <f>IFERROR(SUMIFS(الرواتب_المكافآت,الرواتب_الرقم,$A30),"")</f>
        <v/>
      </c>
      <c r="H30" s="63">
        <f>IFERROR(SUMIFS(التدريب_التكلفة,التدريب_الرقم,$A30),"")</f>
        <v/>
      </c>
      <c r="I30" s="63">
        <f>IF($A30="","",IFERROR($D30+$E30+$F30+$G30+$H30,0))</f>
        <v/>
      </c>
      <c r="J30" s="51">
        <f>IF($A30="","",COUNTIFS(الرواتب_الرقم,$A30))</f>
        <v/>
      </c>
    </row>
    <row r="31">
      <c r="A31" s="43">
        <f>IFERROR(INDEX(الموظفون_الرقم,25),"")</f>
        <v/>
      </c>
      <c r="B31" s="43">
        <f>IFERROR(INDEX(الموظفون_الاسم,25),"")</f>
        <v/>
      </c>
      <c r="C31" s="43">
        <f>IFERROR(INDEX(الموظفون_الإدارة,25),"")</f>
        <v/>
      </c>
      <c r="D31" s="60">
        <f>IFERROR(INDEX(الموظفون_الاساسي,25),"")</f>
        <v/>
      </c>
      <c r="E31" s="60">
        <f>IFERROR(INDEX(الموظفون_البدلات,25),"")</f>
        <v/>
      </c>
      <c r="F31" s="60">
        <f>IFERROR(SUMIFS(الرواتب_الاضافي,الرواتب_الرقم,$A31),"")</f>
        <v/>
      </c>
      <c r="G31" s="60">
        <f>IFERROR(SUMIFS(الرواتب_المكافآت,الرواتب_الرقم,$A31),"")</f>
        <v/>
      </c>
      <c r="H31" s="60">
        <f>IFERROR(SUMIFS(التدريب_التكلفة,التدريب_الرقم,$A31),"")</f>
        <v/>
      </c>
      <c r="I31" s="60">
        <f>IF($A31="","",IFERROR($D31+$E31+$F31+$G31+$H31,0))</f>
        <v/>
      </c>
      <c r="J31" s="44">
        <f>IF($A31="","",COUNTIFS(الرواتب_الرقم,$A31))</f>
        <v/>
      </c>
    </row>
    <row r="32">
      <c r="A32" s="50">
        <f>IFERROR(INDEX(الموظفون_الرقم,26),"")</f>
        <v/>
      </c>
      <c r="B32" s="50">
        <f>IFERROR(INDEX(الموظفون_الاسم,26),"")</f>
        <v/>
      </c>
      <c r="C32" s="50">
        <f>IFERROR(INDEX(الموظفون_الإدارة,26),"")</f>
        <v/>
      </c>
      <c r="D32" s="63">
        <f>IFERROR(INDEX(الموظفون_الاساسي,26),"")</f>
        <v/>
      </c>
      <c r="E32" s="63">
        <f>IFERROR(INDEX(الموظفون_البدلات,26),"")</f>
        <v/>
      </c>
      <c r="F32" s="63">
        <f>IFERROR(SUMIFS(الرواتب_الاضافي,الرواتب_الرقم,$A32),"")</f>
        <v/>
      </c>
      <c r="G32" s="63">
        <f>IFERROR(SUMIFS(الرواتب_المكافآت,الرواتب_الرقم,$A32),"")</f>
        <v/>
      </c>
      <c r="H32" s="63">
        <f>IFERROR(SUMIFS(التدريب_التكلفة,التدريب_الرقم,$A32),"")</f>
        <v/>
      </c>
      <c r="I32" s="63">
        <f>IF($A32="","",IFERROR($D32+$E32+$F32+$G32+$H32,0))</f>
        <v/>
      </c>
      <c r="J32" s="51">
        <f>IF($A32="","",COUNTIFS(الرواتب_الرقم,$A32))</f>
        <v/>
      </c>
    </row>
    <row r="33">
      <c r="A33" s="43">
        <f>IFERROR(INDEX(الموظفون_الرقم,27),"")</f>
        <v/>
      </c>
      <c r="B33" s="43">
        <f>IFERROR(INDEX(الموظفون_الاسم,27),"")</f>
        <v/>
      </c>
      <c r="C33" s="43">
        <f>IFERROR(INDEX(الموظفون_الإدارة,27),"")</f>
        <v/>
      </c>
      <c r="D33" s="60">
        <f>IFERROR(INDEX(الموظفون_الاساسي,27),"")</f>
        <v/>
      </c>
      <c r="E33" s="60">
        <f>IFERROR(INDEX(الموظفون_البدلات,27),"")</f>
        <v/>
      </c>
      <c r="F33" s="60">
        <f>IFERROR(SUMIFS(الرواتب_الاضافي,الرواتب_الرقم,$A33),"")</f>
        <v/>
      </c>
      <c r="G33" s="60">
        <f>IFERROR(SUMIFS(الرواتب_المكافآت,الرواتب_الرقم,$A33),"")</f>
        <v/>
      </c>
      <c r="H33" s="60">
        <f>IFERROR(SUMIFS(التدريب_التكلفة,التدريب_الرقم,$A33),"")</f>
        <v/>
      </c>
      <c r="I33" s="60">
        <f>IF($A33="","",IFERROR($D33+$E33+$F33+$G33+$H33,0))</f>
        <v/>
      </c>
      <c r="J33" s="44">
        <f>IF($A33="","",COUNTIFS(الرواتب_الرقم,$A33))</f>
        <v/>
      </c>
    </row>
    <row r="34">
      <c r="A34" s="50">
        <f>IFERROR(INDEX(الموظفون_الرقم,28),"")</f>
        <v/>
      </c>
      <c r="B34" s="50">
        <f>IFERROR(INDEX(الموظفون_الاسم,28),"")</f>
        <v/>
      </c>
      <c r="C34" s="50">
        <f>IFERROR(INDEX(الموظفون_الإدارة,28),"")</f>
        <v/>
      </c>
      <c r="D34" s="63">
        <f>IFERROR(INDEX(الموظفون_الاساسي,28),"")</f>
        <v/>
      </c>
      <c r="E34" s="63">
        <f>IFERROR(INDEX(الموظفون_البدلات,28),"")</f>
        <v/>
      </c>
      <c r="F34" s="63">
        <f>IFERROR(SUMIFS(الرواتب_الاضافي,الرواتب_الرقم,$A34),"")</f>
        <v/>
      </c>
      <c r="G34" s="63">
        <f>IFERROR(SUMIFS(الرواتب_المكافآت,الرواتب_الرقم,$A34),"")</f>
        <v/>
      </c>
      <c r="H34" s="63">
        <f>IFERROR(SUMIFS(التدريب_التكلفة,التدريب_الرقم,$A34),"")</f>
        <v/>
      </c>
      <c r="I34" s="63">
        <f>IF($A34="","",IFERROR($D34+$E34+$F34+$G34+$H34,0))</f>
        <v/>
      </c>
      <c r="J34" s="51">
        <f>IF($A34="","",COUNTIFS(الرواتب_الرقم,$A34))</f>
        <v/>
      </c>
    </row>
    <row r="35">
      <c r="A35" s="43">
        <f>IFERROR(INDEX(الموظفون_الرقم,29),"")</f>
        <v/>
      </c>
      <c r="B35" s="43">
        <f>IFERROR(INDEX(الموظفون_الاسم,29),"")</f>
        <v/>
      </c>
      <c r="C35" s="43">
        <f>IFERROR(INDEX(الموظفون_الإدارة,29),"")</f>
        <v/>
      </c>
      <c r="D35" s="60">
        <f>IFERROR(INDEX(الموظفون_الاساسي,29),"")</f>
        <v/>
      </c>
      <c r="E35" s="60">
        <f>IFERROR(INDEX(الموظفون_البدلات,29),"")</f>
        <v/>
      </c>
      <c r="F35" s="60">
        <f>IFERROR(SUMIFS(الرواتب_الاضافي,الرواتب_الرقم,$A35),"")</f>
        <v/>
      </c>
      <c r="G35" s="60">
        <f>IFERROR(SUMIFS(الرواتب_المكافآت,الرواتب_الرقم,$A35),"")</f>
        <v/>
      </c>
      <c r="H35" s="60">
        <f>IFERROR(SUMIFS(التدريب_التكلفة,التدريب_الرقم,$A35),"")</f>
        <v/>
      </c>
      <c r="I35" s="60">
        <f>IF($A35="","",IFERROR($D35+$E35+$F35+$G35+$H35,0))</f>
        <v/>
      </c>
      <c r="J35" s="44">
        <f>IF($A35="","",COUNTIFS(الرواتب_الرقم,$A35))</f>
        <v/>
      </c>
    </row>
    <row r="36">
      <c r="A36" s="50">
        <f>IFERROR(INDEX(الموظفون_الرقم,30),"")</f>
        <v/>
      </c>
      <c r="B36" s="50">
        <f>IFERROR(INDEX(الموظفون_الاسم,30),"")</f>
        <v/>
      </c>
      <c r="C36" s="50">
        <f>IFERROR(INDEX(الموظفون_الإدارة,30),"")</f>
        <v/>
      </c>
      <c r="D36" s="63">
        <f>IFERROR(INDEX(الموظفون_الاساسي,30),"")</f>
        <v/>
      </c>
      <c r="E36" s="63">
        <f>IFERROR(INDEX(الموظفون_البدلات,30),"")</f>
        <v/>
      </c>
      <c r="F36" s="63">
        <f>IFERROR(SUMIFS(الرواتب_الاضافي,الرواتب_الرقم,$A36),"")</f>
        <v/>
      </c>
      <c r="G36" s="63">
        <f>IFERROR(SUMIFS(الرواتب_المكافآت,الرواتب_الرقم,$A36),"")</f>
        <v/>
      </c>
      <c r="H36" s="63">
        <f>IFERROR(SUMIFS(التدريب_التكلفة,التدريب_الرقم,$A36),"")</f>
        <v/>
      </c>
      <c r="I36" s="63">
        <f>IF($A36="","",IFERROR($D36+$E36+$F36+$G36+$H36,0))</f>
        <v/>
      </c>
      <c r="J36" s="51">
        <f>IF($A36="","",COUNTIFS(الرواتب_الرقم,$A36))</f>
        <v/>
      </c>
    </row>
    <row r="37">
      <c r="A37" s="43">
        <f>IFERROR(INDEX(الموظفون_الرقم,31),"")</f>
        <v/>
      </c>
      <c r="B37" s="43">
        <f>IFERROR(INDEX(الموظفون_الاسم,31),"")</f>
        <v/>
      </c>
      <c r="C37" s="43">
        <f>IFERROR(INDEX(الموظفون_الإدارة,31),"")</f>
        <v/>
      </c>
      <c r="D37" s="60">
        <f>IFERROR(INDEX(الموظفون_الاساسي,31),"")</f>
        <v/>
      </c>
      <c r="E37" s="60">
        <f>IFERROR(INDEX(الموظفون_البدلات,31),"")</f>
        <v/>
      </c>
      <c r="F37" s="60">
        <f>IFERROR(SUMIFS(الرواتب_الاضافي,الرواتب_الرقم,$A37),"")</f>
        <v/>
      </c>
      <c r="G37" s="60">
        <f>IFERROR(SUMIFS(الرواتب_المكافآت,الرواتب_الرقم,$A37),"")</f>
        <v/>
      </c>
      <c r="H37" s="60">
        <f>IFERROR(SUMIFS(التدريب_التكلفة,التدريب_الرقم,$A37),"")</f>
        <v/>
      </c>
      <c r="I37" s="60">
        <f>IF($A37="","",IFERROR($D37+$E37+$F37+$G37+$H37,0))</f>
        <v/>
      </c>
      <c r="J37" s="44">
        <f>IF($A37="","",COUNTIFS(الرواتب_الرقم,$A37))</f>
        <v/>
      </c>
    </row>
    <row r="38">
      <c r="A38" s="50">
        <f>IFERROR(INDEX(الموظفون_الرقم,32),"")</f>
        <v/>
      </c>
      <c r="B38" s="50">
        <f>IFERROR(INDEX(الموظفون_الاسم,32),"")</f>
        <v/>
      </c>
      <c r="C38" s="50">
        <f>IFERROR(INDEX(الموظفون_الإدارة,32),"")</f>
        <v/>
      </c>
      <c r="D38" s="63">
        <f>IFERROR(INDEX(الموظفون_الاساسي,32),"")</f>
        <v/>
      </c>
      <c r="E38" s="63">
        <f>IFERROR(INDEX(الموظفون_البدلات,32),"")</f>
        <v/>
      </c>
      <c r="F38" s="63">
        <f>IFERROR(SUMIFS(الرواتب_الاضافي,الرواتب_الرقم,$A38),"")</f>
        <v/>
      </c>
      <c r="G38" s="63">
        <f>IFERROR(SUMIFS(الرواتب_المكافآت,الرواتب_الرقم,$A38),"")</f>
        <v/>
      </c>
      <c r="H38" s="63">
        <f>IFERROR(SUMIFS(التدريب_التكلفة,التدريب_الرقم,$A38),"")</f>
        <v/>
      </c>
      <c r="I38" s="63">
        <f>IF($A38="","",IFERROR($D38+$E38+$F38+$G38+$H38,0))</f>
        <v/>
      </c>
      <c r="J38" s="51">
        <f>IF($A38="","",COUNTIFS(الرواتب_الرقم,$A38))</f>
        <v/>
      </c>
    </row>
    <row r="39">
      <c r="A39" s="43">
        <f>IFERROR(INDEX(الموظفون_الرقم,33),"")</f>
        <v/>
      </c>
      <c r="B39" s="43">
        <f>IFERROR(INDEX(الموظفون_الاسم,33),"")</f>
        <v/>
      </c>
      <c r="C39" s="43">
        <f>IFERROR(INDEX(الموظفون_الإدارة,33),"")</f>
        <v/>
      </c>
      <c r="D39" s="60">
        <f>IFERROR(INDEX(الموظفون_الاساسي,33),"")</f>
        <v/>
      </c>
      <c r="E39" s="60">
        <f>IFERROR(INDEX(الموظفون_البدلات,33),"")</f>
        <v/>
      </c>
      <c r="F39" s="60">
        <f>IFERROR(SUMIFS(الرواتب_الاضافي,الرواتب_الرقم,$A39),"")</f>
        <v/>
      </c>
      <c r="G39" s="60">
        <f>IFERROR(SUMIFS(الرواتب_المكافآت,الرواتب_الرقم,$A39),"")</f>
        <v/>
      </c>
      <c r="H39" s="60">
        <f>IFERROR(SUMIFS(التدريب_التكلفة,التدريب_الرقم,$A39),"")</f>
        <v/>
      </c>
      <c r="I39" s="60">
        <f>IF($A39="","",IFERROR($D39+$E39+$F39+$G39+$H39,0))</f>
        <v/>
      </c>
      <c r="J39" s="44">
        <f>IF($A39="","",COUNTIFS(الرواتب_الرقم,$A39))</f>
        <v/>
      </c>
    </row>
    <row r="40">
      <c r="A40" s="50">
        <f>IFERROR(INDEX(الموظفون_الرقم,34),"")</f>
        <v/>
      </c>
      <c r="B40" s="50">
        <f>IFERROR(INDEX(الموظفون_الاسم,34),"")</f>
        <v/>
      </c>
      <c r="C40" s="50">
        <f>IFERROR(INDEX(الموظفون_الإدارة,34),"")</f>
        <v/>
      </c>
      <c r="D40" s="63">
        <f>IFERROR(INDEX(الموظفون_الاساسي,34),"")</f>
        <v/>
      </c>
      <c r="E40" s="63">
        <f>IFERROR(INDEX(الموظفون_البدلات,34),"")</f>
        <v/>
      </c>
      <c r="F40" s="63">
        <f>IFERROR(SUMIFS(الرواتب_الاضافي,الرواتب_الرقم,$A40),"")</f>
        <v/>
      </c>
      <c r="G40" s="63">
        <f>IFERROR(SUMIFS(الرواتب_المكافآت,الرواتب_الرقم,$A40),"")</f>
        <v/>
      </c>
      <c r="H40" s="63">
        <f>IFERROR(SUMIFS(التدريب_التكلفة,التدريب_الرقم,$A40),"")</f>
        <v/>
      </c>
      <c r="I40" s="63">
        <f>IF($A40="","",IFERROR($D40+$E40+$F40+$G40+$H40,0))</f>
        <v/>
      </c>
      <c r="J40" s="51">
        <f>IF($A40="","",COUNTIFS(الرواتب_الرقم,$A40))</f>
        <v/>
      </c>
    </row>
    <row r="41">
      <c r="A41" s="43">
        <f>IFERROR(INDEX(الموظفون_الرقم,35),"")</f>
        <v/>
      </c>
      <c r="B41" s="43">
        <f>IFERROR(INDEX(الموظفون_الاسم,35),"")</f>
        <v/>
      </c>
      <c r="C41" s="43">
        <f>IFERROR(INDEX(الموظفون_الإدارة,35),"")</f>
        <v/>
      </c>
      <c r="D41" s="60">
        <f>IFERROR(INDEX(الموظفون_الاساسي,35),"")</f>
        <v/>
      </c>
      <c r="E41" s="60">
        <f>IFERROR(INDEX(الموظفون_البدلات,35),"")</f>
        <v/>
      </c>
      <c r="F41" s="60">
        <f>IFERROR(SUMIFS(الرواتب_الاضافي,الرواتب_الرقم,$A41),"")</f>
        <v/>
      </c>
      <c r="G41" s="60">
        <f>IFERROR(SUMIFS(الرواتب_المكافآت,الرواتب_الرقم,$A41),"")</f>
        <v/>
      </c>
      <c r="H41" s="60">
        <f>IFERROR(SUMIFS(التدريب_التكلفة,التدريب_الرقم,$A41),"")</f>
        <v/>
      </c>
      <c r="I41" s="60">
        <f>IF($A41="","",IFERROR($D41+$E41+$F41+$G41+$H41,0))</f>
        <v/>
      </c>
      <c r="J41" s="44">
        <f>IF($A41="","",COUNTIFS(الرواتب_الرقم,$A41))</f>
        <v/>
      </c>
    </row>
    <row r="42">
      <c r="A42" s="50">
        <f>IFERROR(INDEX(الموظفون_الرقم,36),"")</f>
        <v/>
      </c>
      <c r="B42" s="50">
        <f>IFERROR(INDEX(الموظفون_الاسم,36),"")</f>
        <v/>
      </c>
      <c r="C42" s="50">
        <f>IFERROR(INDEX(الموظفون_الإدارة,36),"")</f>
        <v/>
      </c>
      <c r="D42" s="63">
        <f>IFERROR(INDEX(الموظفون_الاساسي,36),"")</f>
        <v/>
      </c>
      <c r="E42" s="63">
        <f>IFERROR(INDEX(الموظفون_البدلات,36),"")</f>
        <v/>
      </c>
      <c r="F42" s="63">
        <f>IFERROR(SUMIFS(الرواتب_الاضافي,الرواتب_الرقم,$A42),"")</f>
        <v/>
      </c>
      <c r="G42" s="63">
        <f>IFERROR(SUMIFS(الرواتب_المكافآت,الرواتب_الرقم,$A42),"")</f>
        <v/>
      </c>
      <c r="H42" s="63">
        <f>IFERROR(SUMIFS(التدريب_التكلفة,التدريب_الرقم,$A42),"")</f>
        <v/>
      </c>
      <c r="I42" s="63">
        <f>IF($A42="","",IFERROR($D42+$E42+$F42+$G42+$H42,0))</f>
        <v/>
      </c>
      <c r="J42" s="51">
        <f>IF($A42="","",COUNTIFS(الرواتب_الرقم,$A42))</f>
        <v/>
      </c>
    </row>
    <row r="43">
      <c r="A43" s="43">
        <f>IFERROR(INDEX(الموظفون_الرقم,37),"")</f>
        <v/>
      </c>
      <c r="B43" s="43">
        <f>IFERROR(INDEX(الموظفون_الاسم,37),"")</f>
        <v/>
      </c>
      <c r="C43" s="43">
        <f>IFERROR(INDEX(الموظفون_الإدارة,37),"")</f>
        <v/>
      </c>
      <c r="D43" s="60">
        <f>IFERROR(INDEX(الموظفون_الاساسي,37),"")</f>
        <v/>
      </c>
      <c r="E43" s="60">
        <f>IFERROR(INDEX(الموظفون_البدلات,37),"")</f>
        <v/>
      </c>
      <c r="F43" s="60">
        <f>IFERROR(SUMIFS(الرواتب_الاضافي,الرواتب_الرقم,$A43),"")</f>
        <v/>
      </c>
      <c r="G43" s="60">
        <f>IFERROR(SUMIFS(الرواتب_المكافآت,الرواتب_الرقم,$A43),"")</f>
        <v/>
      </c>
      <c r="H43" s="60">
        <f>IFERROR(SUMIFS(التدريب_التكلفة,التدريب_الرقم,$A43),"")</f>
        <v/>
      </c>
      <c r="I43" s="60">
        <f>IF($A43="","",IFERROR($D43+$E43+$F43+$G43+$H43,0))</f>
        <v/>
      </c>
      <c r="J43" s="44">
        <f>IF($A43="","",COUNTIFS(الرواتب_الرقم,$A43))</f>
        <v/>
      </c>
    </row>
    <row r="44">
      <c r="A44" s="50">
        <f>IFERROR(INDEX(الموظفون_الرقم,38),"")</f>
        <v/>
      </c>
      <c r="B44" s="50">
        <f>IFERROR(INDEX(الموظفون_الاسم,38),"")</f>
        <v/>
      </c>
      <c r="C44" s="50">
        <f>IFERROR(INDEX(الموظفون_الإدارة,38),"")</f>
        <v/>
      </c>
      <c r="D44" s="63">
        <f>IFERROR(INDEX(الموظفون_الاساسي,38),"")</f>
        <v/>
      </c>
      <c r="E44" s="63">
        <f>IFERROR(INDEX(الموظفون_البدلات,38),"")</f>
        <v/>
      </c>
      <c r="F44" s="63">
        <f>IFERROR(SUMIFS(الرواتب_الاضافي,الرواتب_الرقم,$A44),"")</f>
        <v/>
      </c>
      <c r="G44" s="63">
        <f>IFERROR(SUMIFS(الرواتب_المكافآت,الرواتب_الرقم,$A44),"")</f>
        <v/>
      </c>
      <c r="H44" s="63">
        <f>IFERROR(SUMIFS(التدريب_التكلفة,التدريب_الرقم,$A44),"")</f>
        <v/>
      </c>
      <c r="I44" s="63">
        <f>IF($A44="","",IFERROR($D44+$E44+$F44+$G44+$H44,0))</f>
        <v/>
      </c>
      <c r="J44" s="51">
        <f>IF($A44="","",COUNTIFS(الرواتب_الرقم,$A44))</f>
        <v/>
      </c>
    </row>
    <row r="45">
      <c r="A45" s="43">
        <f>IFERROR(INDEX(الموظفون_الرقم,39),"")</f>
        <v/>
      </c>
      <c r="B45" s="43">
        <f>IFERROR(INDEX(الموظفون_الاسم,39),"")</f>
        <v/>
      </c>
      <c r="C45" s="43">
        <f>IFERROR(INDEX(الموظفون_الإدارة,39),"")</f>
        <v/>
      </c>
      <c r="D45" s="60">
        <f>IFERROR(INDEX(الموظفون_الاساسي,39),"")</f>
        <v/>
      </c>
      <c r="E45" s="60">
        <f>IFERROR(INDEX(الموظفون_البدلات,39),"")</f>
        <v/>
      </c>
      <c r="F45" s="60">
        <f>IFERROR(SUMIFS(الرواتب_الاضافي,الرواتب_الرقم,$A45),"")</f>
        <v/>
      </c>
      <c r="G45" s="60">
        <f>IFERROR(SUMIFS(الرواتب_المكافآت,الرواتب_الرقم,$A45),"")</f>
        <v/>
      </c>
      <c r="H45" s="60">
        <f>IFERROR(SUMIFS(التدريب_التكلفة,التدريب_الرقم,$A45),"")</f>
        <v/>
      </c>
      <c r="I45" s="60">
        <f>IF($A45="","",IFERROR($D45+$E45+$F45+$G45+$H45,0))</f>
        <v/>
      </c>
      <c r="J45" s="44">
        <f>IF($A45="","",COUNTIFS(الرواتب_الرقم,$A45))</f>
        <v/>
      </c>
    </row>
    <row r="46">
      <c r="A46" s="50">
        <f>IFERROR(INDEX(الموظفون_الرقم,40),"")</f>
        <v/>
      </c>
      <c r="B46" s="50">
        <f>IFERROR(INDEX(الموظفون_الاسم,40),"")</f>
        <v/>
      </c>
      <c r="C46" s="50">
        <f>IFERROR(INDEX(الموظفون_الإدارة,40),"")</f>
        <v/>
      </c>
      <c r="D46" s="63">
        <f>IFERROR(INDEX(الموظفون_الاساسي,40),"")</f>
        <v/>
      </c>
      <c r="E46" s="63">
        <f>IFERROR(INDEX(الموظفون_البدلات,40),"")</f>
        <v/>
      </c>
      <c r="F46" s="63">
        <f>IFERROR(SUMIFS(الرواتب_الاضافي,الرواتب_الرقم,$A46),"")</f>
        <v/>
      </c>
      <c r="G46" s="63">
        <f>IFERROR(SUMIFS(الرواتب_المكافآت,الرواتب_الرقم,$A46),"")</f>
        <v/>
      </c>
      <c r="H46" s="63">
        <f>IFERROR(SUMIFS(التدريب_التكلفة,التدريب_الرقم,$A46),"")</f>
        <v/>
      </c>
      <c r="I46" s="63">
        <f>IF($A46="","",IFERROR($D46+$E46+$F46+$G46+$H46,0))</f>
        <v/>
      </c>
      <c r="J46" s="51">
        <f>IF($A46="","",COUNTIFS(الرواتب_الرقم,$A46))</f>
        <v/>
      </c>
    </row>
    <row r="47">
      <c r="A47" s="43">
        <f>IFERROR(INDEX(الموظفون_الرقم,41),"")</f>
        <v/>
      </c>
      <c r="B47" s="43">
        <f>IFERROR(INDEX(الموظفون_الاسم,41),"")</f>
        <v/>
      </c>
      <c r="C47" s="43">
        <f>IFERROR(INDEX(الموظفون_الإدارة,41),"")</f>
        <v/>
      </c>
      <c r="D47" s="60">
        <f>IFERROR(INDEX(الموظفون_الاساسي,41),"")</f>
        <v/>
      </c>
      <c r="E47" s="60">
        <f>IFERROR(INDEX(الموظفون_البدلات,41),"")</f>
        <v/>
      </c>
      <c r="F47" s="60">
        <f>IFERROR(SUMIFS(الرواتب_الاضافي,الرواتب_الرقم,$A47),"")</f>
        <v/>
      </c>
      <c r="G47" s="60">
        <f>IFERROR(SUMIFS(الرواتب_المكافآت,الرواتب_الرقم,$A47),"")</f>
        <v/>
      </c>
      <c r="H47" s="60">
        <f>IFERROR(SUMIFS(التدريب_التكلفة,التدريب_الرقم,$A47),"")</f>
        <v/>
      </c>
      <c r="I47" s="60">
        <f>IF($A47="","",IFERROR($D47+$E47+$F47+$G47+$H47,0))</f>
        <v/>
      </c>
      <c r="J47" s="44">
        <f>IF($A47="","",COUNTIFS(الرواتب_الرقم,$A47))</f>
        <v/>
      </c>
    </row>
    <row r="48">
      <c r="A48" s="50">
        <f>IFERROR(INDEX(الموظفون_الرقم,42),"")</f>
        <v/>
      </c>
      <c r="B48" s="50">
        <f>IFERROR(INDEX(الموظفون_الاسم,42),"")</f>
        <v/>
      </c>
      <c r="C48" s="50">
        <f>IFERROR(INDEX(الموظفون_الإدارة,42),"")</f>
        <v/>
      </c>
      <c r="D48" s="63">
        <f>IFERROR(INDEX(الموظفون_الاساسي,42),"")</f>
        <v/>
      </c>
      <c r="E48" s="63">
        <f>IFERROR(INDEX(الموظفون_البدلات,42),"")</f>
        <v/>
      </c>
      <c r="F48" s="63">
        <f>IFERROR(SUMIFS(الرواتب_الاضافي,الرواتب_الرقم,$A48),"")</f>
        <v/>
      </c>
      <c r="G48" s="63">
        <f>IFERROR(SUMIFS(الرواتب_المكافآت,الرواتب_الرقم,$A48),"")</f>
        <v/>
      </c>
      <c r="H48" s="63">
        <f>IFERROR(SUMIFS(التدريب_التكلفة,التدريب_الرقم,$A48),"")</f>
        <v/>
      </c>
      <c r="I48" s="63">
        <f>IF($A48="","",IFERROR($D48+$E48+$F48+$G48+$H48,0))</f>
        <v/>
      </c>
      <c r="J48" s="51">
        <f>IF($A48="","",COUNTIFS(الرواتب_الرقم,$A48))</f>
        <v/>
      </c>
    </row>
    <row r="49">
      <c r="A49" s="43">
        <f>IFERROR(INDEX(الموظفون_الرقم,43),"")</f>
        <v/>
      </c>
      <c r="B49" s="43">
        <f>IFERROR(INDEX(الموظفون_الاسم,43),"")</f>
        <v/>
      </c>
      <c r="C49" s="43">
        <f>IFERROR(INDEX(الموظفون_الإدارة,43),"")</f>
        <v/>
      </c>
      <c r="D49" s="60">
        <f>IFERROR(INDEX(الموظفون_الاساسي,43),"")</f>
        <v/>
      </c>
      <c r="E49" s="60">
        <f>IFERROR(INDEX(الموظفون_البدلات,43),"")</f>
        <v/>
      </c>
      <c r="F49" s="60">
        <f>IFERROR(SUMIFS(الرواتب_الاضافي,الرواتب_الرقم,$A49),"")</f>
        <v/>
      </c>
      <c r="G49" s="60">
        <f>IFERROR(SUMIFS(الرواتب_المكافآت,الرواتب_الرقم,$A49),"")</f>
        <v/>
      </c>
      <c r="H49" s="60">
        <f>IFERROR(SUMIFS(التدريب_التكلفة,التدريب_الرقم,$A49),"")</f>
        <v/>
      </c>
      <c r="I49" s="60">
        <f>IF($A49="","",IFERROR($D49+$E49+$F49+$G49+$H49,0))</f>
        <v/>
      </c>
      <c r="J49" s="44">
        <f>IF($A49="","",COUNTIFS(الرواتب_الرقم,$A49))</f>
        <v/>
      </c>
    </row>
    <row r="50">
      <c r="A50" s="50">
        <f>IFERROR(INDEX(الموظفون_الرقم,44),"")</f>
        <v/>
      </c>
      <c r="B50" s="50">
        <f>IFERROR(INDEX(الموظفون_الاسم,44),"")</f>
        <v/>
      </c>
      <c r="C50" s="50">
        <f>IFERROR(INDEX(الموظفون_الإدارة,44),"")</f>
        <v/>
      </c>
      <c r="D50" s="63">
        <f>IFERROR(INDEX(الموظفون_الاساسي,44),"")</f>
        <v/>
      </c>
      <c r="E50" s="63">
        <f>IFERROR(INDEX(الموظفون_البدلات,44),"")</f>
        <v/>
      </c>
      <c r="F50" s="63">
        <f>IFERROR(SUMIFS(الرواتب_الاضافي,الرواتب_الرقم,$A50),"")</f>
        <v/>
      </c>
      <c r="G50" s="63">
        <f>IFERROR(SUMIFS(الرواتب_المكافآت,الرواتب_الرقم,$A50),"")</f>
        <v/>
      </c>
      <c r="H50" s="63">
        <f>IFERROR(SUMIFS(التدريب_التكلفة,التدريب_الرقم,$A50),"")</f>
        <v/>
      </c>
      <c r="I50" s="63">
        <f>IF($A50="","",IFERROR($D50+$E50+$F50+$G50+$H50,0))</f>
        <v/>
      </c>
      <c r="J50" s="51">
        <f>IF($A50="","",COUNTIFS(الرواتب_الرقم,$A50))</f>
        <v/>
      </c>
    </row>
    <row r="51">
      <c r="A51" s="43">
        <f>IFERROR(INDEX(الموظفون_الرقم,45),"")</f>
        <v/>
      </c>
      <c r="B51" s="43">
        <f>IFERROR(INDEX(الموظفون_الاسم,45),"")</f>
        <v/>
      </c>
      <c r="C51" s="43">
        <f>IFERROR(INDEX(الموظفون_الإدارة,45),"")</f>
        <v/>
      </c>
      <c r="D51" s="60">
        <f>IFERROR(INDEX(الموظفون_الاساسي,45),"")</f>
        <v/>
      </c>
      <c r="E51" s="60">
        <f>IFERROR(INDEX(الموظفون_البدلات,45),"")</f>
        <v/>
      </c>
      <c r="F51" s="60">
        <f>IFERROR(SUMIFS(الرواتب_الاضافي,الرواتب_الرقم,$A51),"")</f>
        <v/>
      </c>
      <c r="G51" s="60">
        <f>IFERROR(SUMIFS(الرواتب_المكافآت,الرواتب_الرقم,$A51),"")</f>
        <v/>
      </c>
      <c r="H51" s="60">
        <f>IFERROR(SUMIFS(التدريب_التكلفة,التدريب_الرقم,$A51),"")</f>
        <v/>
      </c>
      <c r="I51" s="60">
        <f>IF($A51="","",IFERROR($D51+$E51+$F51+$G51+$H51,0))</f>
        <v/>
      </c>
      <c r="J51" s="44">
        <f>IF($A51="","",COUNTIFS(الرواتب_الرقم,$A51))</f>
        <v/>
      </c>
    </row>
    <row r="52">
      <c r="A52" s="50">
        <f>IFERROR(INDEX(الموظفون_الرقم,46),"")</f>
        <v/>
      </c>
      <c r="B52" s="50">
        <f>IFERROR(INDEX(الموظفون_الاسم,46),"")</f>
        <v/>
      </c>
      <c r="C52" s="50">
        <f>IFERROR(INDEX(الموظفون_الإدارة,46),"")</f>
        <v/>
      </c>
      <c r="D52" s="63">
        <f>IFERROR(INDEX(الموظفون_الاساسي,46),"")</f>
        <v/>
      </c>
      <c r="E52" s="63">
        <f>IFERROR(INDEX(الموظفون_البدلات,46),"")</f>
        <v/>
      </c>
      <c r="F52" s="63">
        <f>IFERROR(SUMIFS(الرواتب_الاضافي,الرواتب_الرقم,$A52),"")</f>
        <v/>
      </c>
      <c r="G52" s="63">
        <f>IFERROR(SUMIFS(الرواتب_المكافآت,الرواتب_الرقم,$A52),"")</f>
        <v/>
      </c>
      <c r="H52" s="63">
        <f>IFERROR(SUMIFS(التدريب_التكلفة,التدريب_الرقم,$A52),"")</f>
        <v/>
      </c>
      <c r="I52" s="63">
        <f>IF($A52="","",IFERROR($D52+$E52+$F52+$G52+$H52,0))</f>
        <v/>
      </c>
      <c r="J52" s="51">
        <f>IF($A52="","",COUNTIFS(الرواتب_الرقم,$A52))</f>
        <v/>
      </c>
    </row>
    <row r="53">
      <c r="A53" s="43">
        <f>IFERROR(INDEX(الموظفون_الرقم,47),"")</f>
        <v/>
      </c>
      <c r="B53" s="43">
        <f>IFERROR(INDEX(الموظفون_الاسم,47),"")</f>
        <v/>
      </c>
      <c r="C53" s="43">
        <f>IFERROR(INDEX(الموظفون_الإدارة,47),"")</f>
        <v/>
      </c>
      <c r="D53" s="60">
        <f>IFERROR(INDEX(الموظفون_الاساسي,47),"")</f>
        <v/>
      </c>
      <c r="E53" s="60">
        <f>IFERROR(INDEX(الموظفون_البدلات,47),"")</f>
        <v/>
      </c>
      <c r="F53" s="60">
        <f>IFERROR(SUMIFS(الرواتب_الاضافي,الرواتب_الرقم,$A53),"")</f>
        <v/>
      </c>
      <c r="G53" s="60">
        <f>IFERROR(SUMIFS(الرواتب_المكافآت,الرواتب_الرقم,$A53),"")</f>
        <v/>
      </c>
      <c r="H53" s="60">
        <f>IFERROR(SUMIFS(التدريب_التكلفة,التدريب_الرقم,$A53),"")</f>
        <v/>
      </c>
      <c r="I53" s="60">
        <f>IF($A53="","",IFERROR($D53+$E53+$F53+$G53+$H53,0))</f>
        <v/>
      </c>
      <c r="J53" s="44">
        <f>IF($A53="","",COUNTIFS(الرواتب_الرقم,$A53))</f>
        <v/>
      </c>
    </row>
    <row r="54">
      <c r="A54" s="50">
        <f>IFERROR(INDEX(الموظفون_الرقم,48),"")</f>
        <v/>
      </c>
      <c r="B54" s="50">
        <f>IFERROR(INDEX(الموظفون_الاسم,48),"")</f>
        <v/>
      </c>
      <c r="C54" s="50">
        <f>IFERROR(INDEX(الموظفون_الإدارة,48),"")</f>
        <v/>
      </c>
      <c r="D54" s="63">
        <f>IFERROR(INDEX(الموظفون_الاساسي,48),"")</f>
        <v/>
      </c>
      <c r="E54" s="63">
        <f>IFERROR(INDEX(الموظفون_البدلات,48),"")</f>
        <v/>
      </c>
      <c r="F54" s="63">
        <f>IFERROR(SUMIFS(الرواتب_الاضافي,الرواتب_الرقم,$A54),"")</f>
        <v/>
      </c>
      <c r="G54" s="63">
        <f>IFERROR(SUMIFS(الرواتب_المكافآت,الرواتب_الرقم,$A54),"")</f>
        <v/>
      </c>
      <c r="H54" s="63">
        <f>IFERROR(SUMIFS(التدريب_التكلفة,التدريب_الرقم,$A54),"")</f>
        <v/>
      </c>
      <c r="I54" s="63">
        <f>IF($A54="","",IFERROR($D54+$E54+$F54+$G54+$H54,0))</f>
        <v/>
      </c>
      <c r="J54" s="51">
        <f>IF($A54="","",COUNTIFS(الرواتب_الرقم,$A54))</f>
        <v/>
      </c>
    </row>
    <row r="55">
      <c r="A55" s="43">
        <f>IFERROR(INDEX(الموظفون_الرقم,49),"")</f>
        <v/>
      </c>
      <c r="B55" s="43">
        <f>IFERROR(INDEX(الموظفون_الاسم,49),"")</f>
        <v/>
      </c>
      <c r="C55" s="43">
        <f>IFERROR(INDEX(الموظفون_الإدارة,49),"")</f>
        <v/>
      </c>
      <c r="D55" s="60">
        <f>IFERROR(INDEX(الموظفون_الاساسي,49),"")</f>
        <v/>
      </c>
      <c r="E55" s="60">
        <f>IFERROR(INDEX(الموظفون_البدلات,49),"")</f>
        <v/>
      </c>
      <c r="F55" s="60">
        <f>IFERROR(SUMIFS(الرواتب_الاضافي,الرواتب_الرقم,$A55),"")</f>
        <v/>
      </c>
      <c r="G55" s="60">
        <f>IFERROR(SUMIFS(الرواتب_المكافآت,الرواتب_الرقم,$A55),"")</f>
        <v/>
      </c>
      <c r="H55" s="60">
        <f>IFERROR(SUMIFS(التدريب_التكلفة,التدريب_الرقم,$A55),"")</f>
        <v/>
      </c>
      <c r="I55" s="60">
        <f>IF($A55="","",IFERROR($D55+$E55+$F55+$G55+$H55,0))</f>
        <v/>
      </c>
      <c r="J55" s="44">
        <f>IF($A55="","",COUNTIFS(الرواتب_الرقم,$A55))</f>
        <v/>
      </c>
    </row>
    <row r="56">
      <c r="A56" s="50">
        <f>IFERROR(INDEX(الموظفون_الرقم,50),"")</f>
        <v/>
      </c>
      <c r="B56" s="50">
        <f>IFERROR(INDEX(الموظفون_الاسم,50),"")</f>
        <v/>
      </c>
      <c r="C56" s="50">
        <f>IFERROR(INDEX(الموظفون_الإدارة,50),"")</f>
        <v/>
      </c>
      <c r="D56" s="63">
        <f>IFERROR(INDEX(الموظفون_الاساسي,50),"")</f>
        <v/>
      </c>
      <c r="E56" s="63">
        <f>IFERROR(INDEX(الموظفون_البدلات,50),"")</f>
        <v/>
      </c>
      <c r="F56" s="63">
        <f>IFERROR(SUMIFS(الرواتب_الاضافي,الرواتب_الرقم,$A56),"")</f>
        <v/>
      </c>
      <c r="G56" s="63">
        <f>IFERROR(SUMIFS(الرواتب_المكافآت,الرواتب_الرقم,$A56),"")</f>
        <v/>
      </c>
      <c r="H56" s="63">
        <f>IFERROR(SUMIFS(التدريب_التكلفة,التدريب_الرقم,$A56),"")</f>
        <v/>
      </c>
      <c r="I56" s="63">
        <f>IF($A56="","",IFERROR($D56+$E56+$F56+$G56+$H56,0))</f>
        <v/>
      </c>
      <c r="J56" s="51">
        <f>IF($A56="","",COUNTIFS(الرواتب_الرقم,$A56))</f>
        <v/>
      </c>
    </row>
    <row r="57">
      <c r="A57" s="43">
        <f>IFERROR(INDEX(الموظفون_الرقم,51),"")</f>
        <v/>
      </c>
      <c r="B57" s="43">
        <f>IFERROR(INDEX(الموظفون_الاسم,51),"")</f>
        <v/>
      </c>
      <c r="C57" s="43">
        <f>IFERROR(INDEX(الموظفون_الإدارة,51),"")</f>
        <v/>
      </c>
      <c r="D57" s="60">
        <f>IFERROR(INDEX(الموظفون_الاساسي,51),"")</f>
        <v/>
      </c>
      <c r="E57" s="60">
        <f>IFERROR(INDEX(الموظفون_البدلات,51),"")</f>
        <v/>
      </c>
      <c r="F57" s="60">
        <f>IFERROR(SUMIFS(الرواتب_الاضافي,الرواتب_الرقم,$A57),"")</f>
        <v/>
      </c>
      <c r="G57" s="60">
        <f>IFERROR(SUMIFS(الرواتب_المكافآت,الرواتب_الرقم,$A57),"")</f>
        <v/>
      </c>
      <c r="H57" s="60">
        <f>IFERROR(SUMIFS(التدريب_التكلفة,التدريب_الرقم,$A57),"")</f>
        <v/>
      </c>
      <c r="I57" s="60">
        <f>IF($A57="","",IFERROR($D57+$E57+$F57+$G57+$H57,0))</f>
        <v/>
      </c>
      <c r="J57" s="44">
        <f>IF($A57="","",COUNTIFS(الرواتب_الرقم,$A57))</f>
        <v/>
      </c>
    </row>
    <row r="58">
      <c r="A58" s="50">
        <f>IFERROR(INDEX(الموظفون_الرقم,52),"")</f>
        <v/>
      </c>
      <c r="B58" s="50">
        <f>IFERROR(INDEX(الموظفون_الاسم,52),"")</f>
        <v/>
      </c>
      <c r="C58" s="50">
        <f>IFERROR(INDEX(الموظفون_الإدارة,52),"")</f>
        <v/>
      </c>
      <c r="D58" s="63">
        <f>IFERROR(INDEX(الموظفون_الاساسي,52),"")</f>
        <v/>
      </c>
      <c r="E58" s="63">
        <f>IFERROR(INDEX(الموظفون_البدلات,52),"")</f>
        <v/>
      </c>
      <c r="F58" s="63">
        <f>IFERROR(SUMIFS(الرواتب_الاضافي,الرواتب_الرقم,$A58),"")</f>
        <v/>
      </c>
      <c r="G58" s="63">
        <f>IFERROR(SUMIFS(الرواتب_المكافآت,الرواتب_الرقم,$A58),"")</f>
        <v/>
      </c>
      <c r="H58" s="63">
        <f>IFERROR(SUMIFS(التدريب_التكلفة,التدريب_الرقم,$A58),"")</f>
        <v/>
      </c>
      <c r="I58" s="63">
        <f>IF($A58="","",IFERROR($D58+$E58+$F58+$G58+$H58,0))</f>
        <v/>
      </c>
      <c r="J58" s="51">
        <f>IF($A58="","",COUNTIFS(الرواتب_الرقم,$A58))</f>
        <v/>
      </c>
    </row>
    <row r="59">
      <c r="A59" s="43">
        <f>IFERROR(INDEX(الموظفون_الرقم,53),"")</f>
        <v/>
      </c>
      <c r="B59" s="43">
        <f>IFERROR(INDEX(الموظفون_الاسم,53),"")</f>
        <v/>
      </c>
      <c r="C59" s="43">
        <f>IFERROR(INDEX(الموظفون_الإدارة,53),"")</f>
        <v/>
      </c>
      <c r="D59" s="60">
        <f>IFERROR(INDEX(الموظفون_الاساسي,53),"")</f>
        <v/>
      </c>
      <c r="E59" s="60">
        <f>IFERROR(INDEX(الموظفون_البدلات,53),"")</f>
        <v/>
      </c>
      <c r="F59" s="60">
        <f>IFERROR(SUMIFS(الرواتب_الاضافي,الرواتب_الرقم,$A59),"")</f>
        <v/>
      </c>
      <c r="G59" s="60">
        <f>IFERROR(SUMIFS(الرواتب_المكافآت,الرواتب_الرقم,$A59),"")</f>
        <v/>
      </c>
      <c r="H59" s="60">
        <f>IFERROR(SUMIFS(التدريب_التكلفة,التدريب_الرقم,$A59),"")</f>
        <v/>
      </c>
      <c r="I59" s="60">
        <f>IF($A59="","",IFERROR($D59+$E59+$F59+$G59+$H59,0))</f>
        <v/>
      </c>
      <c r="J59" s="44">
        <f>IF($A59="","",COUNTIFS(الرواتب_الرقم,$A59))</f>
        <v/>
      </c>
    </row>
    <row r="60">
      <c r="A60" s="50">
        <f>IFERROR(INDEX(الموظفون_الرقم,54),"")</f>
        <v/>
      </c>
      <c r="B60" s="50">
        <f>IFERROR(INDEX(الموظفون_الاسم,54),"")</f>
        <v/>
      </c>
      <c r="C60" s="50">
        <f>IFERROR(INDEX(الموظفون_الإدارة,54),"")</f>
        <v/>
      </c>
      <c r="D60" s="63">
        <f>IFERROR(INDEX(الموظفون_الاساسي,54),"")</f>
        <v/>
      </c>
      <c r="E60" s="63">
        <f>IFERROR(INDEX(الموظفون_البدلات,54),"")</f>
        <v/>
      </c>
      <c r="F60" s="63">
        <f>IFERROR(SUMIFS(الرواتب_الاضافي,الرواتب_الرقم,$A60),"")</f>
        <v/>
      </c>
      <c r="G60" s="63">
        <f>IFERROR(SUMIFS(الرواتب_المكافآت,الرواتب_الرقم,$A60),"")</f>
        <v/>
      </c>
      <c r="H60" s="63">
        <f>IFERROR(SUMIFS(التدريب_التكلفة,التدريب_الرقم,$A60),"")</f>
        <v/>
      </c>
      <c r="I60" s="63">
        <f>IF($A60="","",IFERROR($D60+$E60+$F60+$G60+$H60,0))</f>
        <v/>
      </c>
      <c r="J60" s="51">
        <f>IF($A60="","",COUNTIFS(الرواتب_الرقم,$A60))</f>
        <v/>
      </c>
    </row>
    <row r="61">
      <c r="A61" s="43">
        <f>IFERROR(INDEX(الموظفون_الرقم,55),"")</f>
        <v/>
      </c>
      <c r="B61" s="43">
        <f>IFERROR(INDEX(الموظفون_الاسم,55),"")</f>
        <v/>
      </c>
      <c r="C61" s="43">
        <f>IFERROR(INDEX(الموظفون_الإدارة,55),"")</f>
        <v/>
      </c>
      <c r="D61" s="60">
        <f>IFERROR(INDEX(الموظفون_الاساسي,55),"")</f>
        <v/>
      </c>
      <c r="E61" s="60">
        <f>IFERROR(INDEX(الموظفون_البدلات,55),"")</f>
        <v/>
      </c>
      <c r="F61" s="60">
        <f>IFERROR(SUMIFS(الرواتب_الاضافي,الرواتب_الرقم,$A61),"")</f>
        <v/>
      </c>
      <c r="G61" s="60">
        <f>IFERROR(SUMIFS(الرواتب_المكافآت,الرواتب_الرقم,$A61),"")</f>
        <v/>
      </c>
      <c r="H61" s="60">
        <f>IFERROR(SUMIFS(التدريب_التكلفة,التدريب_الرقم,$A61),"")</f>
        <v/>
      </c>
      <c r="I61" s="60">
        <f>IF($A61="","",IFERROR($D61+$E61+$F61+$G61+$H61,0))</f>
        <v/>
      </c>
      <c r="J61" s="44">
        <f>IF($A61="","",COUNTIFS(الرواتب_الرقم,$A61))</f>
        <v/>
      </c>
    </row>
    <row r="62">
      <c r="A62" s="50">
        <f>IFERROR(INDEX(الموظفون_الرقم,56),"")</f>
        <v/>
      </c>
      <c r="B62" s="50">
        <f>IFERROR(INDEX(الموظفون_الاسم,56),"")</f>
        <v/>
      </c>
      <c r="C62" s="50">
        <f>IFERROR(INDEX(الموظفون_الإدارة,56),"")</f>
        <v/>
      </c>
      <c r="D62" s="63">
        <f>IFERROR(INDEX(الموظفون_الاساسي,56),"")</f>
        <v/>
      </c>
      <c r="E62" s="63">
        <f>IFERROR(INDEX(الموظفون_البدلات,56),"")</f>
        <v/>
      </c>
      <c r="F62" s="63">
        <f>IFERROR(SUMIFS(الرواتب_الاضافي,الرواتب_الرقم,$A62),"")</f>
        <v/>
      </c>
      <c r="G62" s="63">
        <f>IFERROR(SUMIFS(الرواتب_المكافآت,الرواتب_الرقم,$A62),"")</f>
        <v/>
      </c>
      <c r="H62" s="63">
        <f>IFERROR(SUMIFS(التدريب_التكلفة,التدريب_الرقم,$A62),"")</f>
        <v/>
      </c>
      <c r="I62" s="63">
        <f>IF($A62="","",IFERROR($D62+$E62+$F62+$G62+$H62,0))</f>
        <v/>
      </c>
      <c r="J62" s="51">
        <f>IF($A62="","",COUNTIFS(الرواتب_الرقم,$A62))</f>
        <v/>
      </c>
    </row>
    <row r="63">
      <c r="A63" s="43">
        <f>IFERROR(INDEX(الموظفون_الرقم,57),"")</f>
        <v/>
      </c>
      <c r="B63" s="43">
        <f>IFERROR(INDEX(الموظفون_الاسم,57),"")</f>
        <v/>
      </c>
      <c r="C63" s="43">
        <f>IFERROR(INDEX(الموظفون_الإدارة,57),"")</f>
        <v/>
      </c>
      <c r="D63" s="60">
        <f>IFERROR(INDEX(الموظفون_الاساسي,57),"")</f>
        <v/>
      </c>
      <c r="E63" s="60">
        <f>IFERROR(INDEX(الموظفون_البدلات,57),"")</f>
        <v/>
      </c>
      <c r="F63" s="60">
        <f>IFERROR(SUMIFS(الرواتب_الاضافي,الرواتب_الرقم,$A63),"")</f>
        <v/>
      </c>
      <c r="G63" s="60">
        <f>IFERROR(SUMIFS(الرواتب_المكافآت,الرواتب_الرقم,$A63),"")</f>
        <v/>
      </c>
      <c r="H63" s="60">
        <f>IFERROR(SUMIFS(التدريب_التكلفة,التدريب_الرقم,$A63),"")</f>
        <v/>
      </c>
      <c r="I63" s="60">
        <f>IF($A63="","",IFERROR($D63+$E63+$F63+$G63+$H63,0))</f>
        <v/>
      </c>
      <c r="J63" s="44">
        <f>IF($A63="","",COUNTIFS(الرواتب_الرقم,$A63))</f>
        <v/>
      </c>
    </row>
    <row r="64">
      <c r="A64" s="50">
        <f>IFERROR(INDEX(الموظفون_الرقم,58),"")</f>
        <v/>
      </c>
      <c r="B64" s="50">
        <f>IFERROR(INDEX(الموظفون_الاسم,58),"")</f>
        <v/>
      </c>
      <c r="C64" s="50">
        <f>IFERROR(INDEX(الموظفون_الإدارة,58),"")</f>
        <v/>
      </c>
      <c r="D64" s="63">
        <f>IFERROR(INDEX(الموظفون_الاساسي,58),"")</f>
        <v/>
      </c>
      <c r="E64" s="63">
        <f>IFERROR(INDEX(الموظفون_البدلات,58),"")</f>
        <v/>
      </c>
      <c r="F64" s="63">
        <f>IFERROR(SUMIFS(الرواتب_الاضافي,الرواتب_الرقم,$A64),"")</f>
        <v/>
      </c>
      <c r="G64" s="63">
        <f>IFERROR(SUMIFS(الرواتب_المكافآت,الرواتب_الرقم,$A64),"")</f>
        <v/>
      </c>
      <c r="H64" s="63">
        <f>IFERROR(SUMIFS(التدريب_التكلفة,التدريب_الرقم,$A64),"")</f>
        <v/>
      </c>
      <c r="I64" s="63">
        <f>IF($A64="","",IFERROR($D64+$E64+$F64+$G64+$H64,0))</f>
        <v/>
      </c>
      <c r="J64" s="51">
        <f>IF($A64="","",COUNTIFS(الرواتب_الرقم,$A64))</f>
        <v/>
      </c>
    </row>
    <row r="65">
      <c r="A65" s="43">
        <f>IFERROR(INDEX(الموظفون_الرقم,59),"")</f>
        <v/>
      </c>
      <c r="B65" s="43">
        <f>IFERROR(INDEX(الموظفون_الاسم,59),"")</f>
        <v/>
      </c>
      <c r="C65" s="43">
        <f>IFERROR(INDEX(الموظفون_الإدارة,59),"")</f>
        <v/>
      </c>
      <c r="D65" s="60">
        <f>IFERROR(INDEX(الموظفون_الاساسي,59),"")</f>
        <v/>
      </c>
      <c r="E65" s="60">
        <f>IFERROR(INDEX(الموظفون_البدلات,59),"")</f>
        <v/>
      </c>
      <c r="F65" s="60">
        <f>IFERROR(SUMIFS(الرواتب_الاضافي,الرواتب_الرقم,$A65),"")</f>
        <v/>
      </c>
      <c r="G65" s="60">
        <f>IFERROR(SUMIFS(الرواتب_المكافآت,الرواتب_الرقم,$A65),"")</f>
        <v/>
      </c>
      <c r="H65" s="60">
        <f>IFERROR(SUMIFS(التدريب_التكلفة,التدريب_الرقم,$A65),"")</f>
        <v/>
      </c>
      <c r="I65" s="60">
        <f>IF($A65="","",IFERROR($D65+$E65+$F65+$G65+$H65,0))</f>
        <v/>
      </c>
      <c r="J65" s="44">
        <f>IF($A65="","",COUNTIFS(الرواتب_الرقم,$A65))</f>
        <v/>
      </c>
    </row>
    <row r="66">
      <c r="A66" s="50">
        <f>IFERROR(INDEX(الموظفون_الرقم,60),"")</f>
        <v/>
      </c>
      <c r="B66" s="50">
        <f>IFERROR(INDEX(الموظفون_الاسم,60),"")</f>
        <v/>
      </c>
      <c r="C66" s="50">
        <f>IFERROR(INDEX(الموظفون_الإدارة,60),"")</f>
        <v/>
      </c>
      <c r="D66" s="63">
        <f>IFERROR(INDEX(الموظفون_الاساسي,60),"")</f>
        <v/>
      </c>
      <c r="E66" s="63">
        <f>IFERROR(INDEX(الموظفون_البدلات,60),"")</f>
        <v/>
      </c>
      <c r="F66" s="63">
        <f>IFERROR(SUMIFS(الرواتب_الاضافي,الرواتب_الرقم,$A66),"")</f>
        <v/>
      </c>
      <c r="G66" s="63">
        <f>IFERROR(SUMIFS(الرواتب_المكافآت,الرواتب_الرقم,$A66),"")</f>
        <v/>
      </c>
      <c r="H66" s="63">
        <f>IFERROR(SUMIFS(التدريب_التكلفة,التدريب_الرقم,$A66),"")</f>
        <v/>
      </c>
      <c r="I66" s="63">
        <f>IF($A66="","",IFERROR($D66+$E66+$F66+$G66+$H66,0))</f>
        <v/>
      </c>
      <c r="J66" s="51">
        <f>IF($A66="","",COUNTIFS(الرواتب_الرقم,$A66))</f>
        <v/>
      </c>
    </row>
    <row r="67">
      <c r="A67" s="43">
        <f>IFERROR(INDEX(الموظفون_الرقم,61),"")</f>
        <v/>
      </c>
      <c r="B67" s="43">
        <f>IFERROR(INDEX(الموظفون_الاسم,61),"")</f>
        <v/>
      </c>
      <c r="C67" s="43">
        <f>IFERROR(INDEX(الموظفون_الإدارة,61),"")</f>
        <v/>
      </c>
      <c r="D67" s="60">
        <f>IFERROR(INDEX(الموظفون_الاساسي,61),"")</f>
        <v/>
      </c>
      <c r="E67" s="60">
        <f>IFERROR(INDEX(الموظفون_البدلات,61),"")</f>
        <v/>
      </c>
      <c r="F67" s="60">
        <f>IFERROR(SUMIFS(الرواتب_الاضافي,الرواتب_الرقم,$A67),"")</f>
        <v/>
      </c>
      <c r="G67" s="60">
        <f>IFERROR(SUMIFS(الرواتب_المكافآت,الرواتب_الرقم,$A67),"")</f>
        <v/>
      </c>
      <c r="H67" s="60">
        <f>IFERROR(SUMIFS(التدريب_التكلفة,التدريب_الرقم,$A67),"")</f>
        <v/>
      </c>
      <c r="I67" s="60">
        <f>IF($A67="","",IFERROR($D67+$E67+$F67+$G67+$H67,0))</f>
        <v/>
      </c>
      <c r="J67" s="44">
        <f>IF($A67="","",COUNTIFS(الرواتب_الرقم,$A67))</f>
        <v/>
      </c>
    </row>
    <row r="68">
      <c r="A68" s="50">
        <f>IFERROR(INDEX(الموظفون_الرقم,62),"")</f>
        <v/>
      </c>
      <c r="B68" s="50">
        <f>IFERROR(INDEX(الموظفون_الاسم,62),"")</f>
        <v/>
      </c>
      <c r="C68" s="50">
        <f>IFERROR(INDEX(الموظفون_الإدارة,62),"")</f>
        <v/>
      </c>
      <c r="D68" s="63">
        <f>IFERROR(INDEX(الموظفون_الاساسي,62),"")</f>
        <v/>
      </c>
      <c r="E68" s="63">
        <f>IFERROR(INDEX(الموظفون_البدلات,62),"")</f>
        <v/>
      </c>
      <c r="F68" s="63">
        <f>IFERROR(SUMIFS(الرواتب_الاضافي,الرواتب_الرقم,$A68),"")</f>
        <v/>
      </c>
      <c r="G68" s="63">
        <f>IFERROR(SUMIFS(الرواتب_المكافآت,الرواتب_الرقم,$A68),"")</f>
        <v/>
      </c>
      <c r="H68" s="63">
        <f>IFERROR(SUMIFS(التدريب_التكلفة,التدريب_الرقم,$A68),"")</f>
        <v/>
      </c>
      <c r="I68" s="63">
        <f>IF($A68="","",IFERROR($D68+$E68+$F68+$G68+$H68,0))</f>
        <v/>
      </c>
      <c r="J68" s="51">
        <f>IF($A68="","",COUNTIFS(الرواتب_الرقم,$A68))</f>
        <v/>
      </c>
    </row>
    <row r="69">
      <c r="A69" s="43">
        <f>IFERROR(INDEX(الموظفون_الرقم,63),"")</f>
        <v/>
      </c>
      <c r="B69" s="43">
        <f>IFERROR(INDEX(الموظفون_الاسم,63),"")</f>
        <v/>
      </c>
      <c r="C69" s="43">
        <f>IFERROR(INDEX(الموظفون_الإدارة,63),"")</f>
        <v/>
      </c>
      <c r="D69" s="60">
        <f>IFERROR(INDEX(الموظفون_الاساسي,63),"")</f>
        <v/>
      </c>
      <c r="E69" s="60">
        <f>IFERROR(INDEX(الموظفون_البدلات,63),"")</f>
        <v/>
      </c>
      <c r="F69" s="60">
        <f>IFERROR(SUMIFS(الرواتب_الاضافي,الرواتب_الرقم,$A69),"")</f>
        <v/>
      </c>
      <c r="G69" s="60">
        <f>IFERROR(SUMIFS(الرواتب_المكافآت,الرواتب_الرقم,$A69),"")</f>
        <v/>
      </c>
      <c r="H69" s="60">
        <f>IFERROR(SUMIFS(التدريب_التكلفة,التدريب_الرقم,$A69),"")</f>
        <v/>
      </c>
      <c r="I69" s="60">
        <f>IF($A69="","",IFERROR($D69+$E69+$F69+$G69+$H69,0))</f>
        <v/>
      </c>
      <c r="J69" s="44">
        <f>IF($A69="","",COUNTIFS(الرواتب_الرقم,$A69))</f>
        <v/>
      </c>
    </row>
    <row r="70">
      <c r="A70" s="50">
        <f>IFERROR(INDEX(الموظفون_الرقم,64),"")</f>
        <v/>
      </c>
      <c r="B70" s="50">
        <f>IFERROR(INDEX(الموظفون_الاسم,64),"")</f>
        <v/>
      </c>
      <c r="C70" s="50">
        <f>IFERROR(INDEX(الموظفون_الإدارة,64),"")</f>
        <v/>
      </c>
      <c r="D70" s="63">
        <f>IFERROR(INDEX(الموظفون_الاساسي,64),"")</f>
        <v/>
      </c>
      <c r="E70" s="63">
        <f>IFERROR(INDEX(الموظفون_البدلات,64),"")</f>
        <v/>
      </c>
      <c r="F70" s="63">
        <f>IFERROR(SUMIFS(الرواتب_الاضافي,الرواتب_الرقم,$A70),"")</f>
        <v/>
      </c>
      <c r="G70" s="63">
        <f>IFERROR(SUMIFS(الرواتب_المكافآت,الرواتب_الرقم,$A70),"")</f>
        <v/>
      </c>
      <c r="H70" s="63">
        <f>IFERROR(SUMIFS(التدريب_التكلفة,التدريب_الرقم,$A70),"")</f>
        <v/>
      </c>
      <c r="I70" s="63">
        <f>IF($A70="","",IFERROR($D70+$E70+$F70+$G70+$H70,0))</f>
        <v/>
      </c>
      <c r="J70" s="51">
        <f>IF($A70="","",COUNTIFS(الرواتب_الرقم,$A70))</f>
        <v/>
      </c>
    </row>
    <row r="71">
      <c r="A71" s="43">
        <f>IFERROR(INDEX(الموظفون_الرقم,65),"")</f>
        <v/>
      </c>
      <c r="B71" s="43">
        <f>IFERROR(INDEX(الموظفون_الاسم,65),"")</f>
        <v/>
      </c>
      <c r="C71" s="43">
        <f>IFERROR(INDEX(الموظفون_الإدارة,65),"")</f>
        <v/>
      </c>
      <c r="D71" s="60">
        <f>IFERROR(INDEX(الموظفون_الاساسي,65),"")</f>
        <v/>
      </c>
      <c r="E71" s="60">
        <f>IFERROR(INDEX(الموظفون_البدلات,65),"")</f>
        <v/>
      </c>
      <c r="F71" s="60">
        <f>IFERROR(SUMIFS(الرواتب_الاضافي,الرواتب_الرقم,$A71),"")</f>
        <v/>
      </c>
      <c r="G71" s="60">
        <f>IFERROR(SUMIFS(الرواتب_المكافآت,الرواتب_الرقم,$A71),"")</f>
        <v/>
      </c>
      <c r="H71" s="60">
        <f>IFERROR(SUMIFS(التدريب_التكلفة,التدريب_الرقم,$A71),"")</f>
        <v/>
      </c>
      <c r="I71" s="60">
        <f>IF($A71="","",IFERROR($D71+$E71+$F71+$G71+$H71,0))</f>
        <v/>
      </c>
      <c r="J71" s="44">
        <f>IF($A71="","",COUNTIFS(الرواتب_الرقم,$A71))</f>
        <v/>
      </c>
    </row>
    <row r="72">
      <c r="A72" s="50">
        <f>IFERROR(INDEX(الموظفون_الرقم,66),"")</f>
        <v/>
      </c>
      <c r="B72" s="50">
        <f>IFERROR(INDEX(الموظفون_الاسم,66),"")</f>
        <v/>
      </c>
      <c r="C72" s="50">
        <f>IFERROR(INDEX(الموظفون_الإدارة,66),"")</f>
        <v/>
      </c>
      <c r="D72" s="63">
        <f>IFERROR(INDEX(الموظفون_الاساسي,66),"")</f>
        <v/>
      </c>
      <c r="E72" s="63">
        <f>IFERROR(INDEX(الموظفون_البدلات,66),"")</f>
        <v/>
      </c>
      <c r="F72" s="63">
        <f>IFERROR(SUMIFS(الرواتب_الاضافي,الرواتب_الرقم,$A72),"")</f>
        <v/>
      </c>
      <c r="G72" s="63">
        <f>IFERROR(SUMIFS(الرواتب_المكافآت,الرواتب_الرقم,$A72),"")</f>
        <v/>
      </c>
      <c r="H72" s="63">
        <f>IFERROR(SUMIFS(التدريب_التكلفة,التدريب_الرقم,$A72),"")</f>
        <v/>
      </c>
      <c r="I72" s="63">
        <f>IF($A72="","",IFERROR($D72+$E72+$F72+$G72+$H72,0))</f>
        <v/>
      </c>
      <c r="J72" s="51">
        <f>IF($A72="","",COUNTIFS(الرواتب_الرقم,$A72))</f>
        <v/>
      </c>
    </row>
    <row r="73">
      <c r="A73" s="43">
        <f>IFERROR(INDEX(الموظفون_الرقم,67),"")</f>
        <v/>
      </c>
      <c r="B73" s="43">
        <f>IFERROR(INDEX(الموظفون_الاسم,67),"")</f>
        <v/>
      </c>
      <c r="C73" s="43">
        <f>IFERROR(INDEX(الموظفون_الإدارة,67),"")</f>
        <v/>
      </c>
      <c r="D73" s="60">
        <f>IFERROR(INDEX(الموظفون_الاساسي,67),"")</f>
        <v/>
      </c>
      <c r="E73" s="60">
        <f>IFERROR(INDEX(الموظفون_البدلات,67),"")</f>
        <v/>
      </c>
      <c r="F73" s="60">
        <f>IFERROR(SUMIFS(الرواتب_الاضافي,الرواتب_الرقم,$A73),"")</f>
        <v/>
      </c>
      <c r="G73" s="60">
        <f>IFERROR(SUMIFS(الرواتب_المكافآت,الرواتب_الرقم,$A73),"")</f>
        <v/>
      </c>
      <c r="H73" s="60">
        <f>IFERROR(SUMIFS(التدريب_التكلفة,التدريب_الرقم,$A73),"")</f>
        <v/>
      </c>
      <c r="I73" s="60">
        <f>IF($A73="","",IFERROR($D73+$E73+$F73+$G73+$H73,0))</f>
        <v/>
      </c>
      <c r="J73" s="44">
        <f>IF($A73="","",COUNTIFS(الرواتب_الرقم,$A73))</f>
        <v/>
      </c>
    </row>
    <row r="74">
      <c r="A74" s="50">
        <f>IFERROR(INDEX(الموظفون_الرقم,68),"")</f>
        <v/>
      </c>
      <c r="B74" s="50">
        <f>IFERROR(INDEX(الموظفون_الاسم,68),"")</f>
        <v/>
      </c>
      <c r="C74" s="50">
        <f>IFERROR(INDEX(الموظفون_الإدارة,68),"")</f>
        <v/>
      </c>
      <c r="D74" s="63">
        <f>IFERROR(INDEX(الموظفون_الاساسي,68),"")</f>
        <v/>
      </c>
      <c r="E74" s="63">
        <f>IFERROR(INDEX(الموظفون_البدلات,68),"")</f>
        <v/>
      </c>
      <c r="F74" s="63">
        <f>IFERROR(SUMIFS(الرواتب_الاضافي,الرواتب_الرقم,$A74),"")</f>
        <v/>
      </c>
      <c r="G74" s="63">
        <f>IFERROR(SUMIFS(الرواتب_المكافآت,الرواتب_الرقم,$A74),"")</f>
        <v/>
      </c>
      <c r="H74" s="63">
        <f>IFERROR(SUMIFS(التدريب_التكلفة,التدريب_الرقم,$A74),"")</f>
        <v/>
      </c>
      <c r="I74" s="63">
        <f>IF($A74="","",IFERROR($D74+$E74+$F74+$G74+$H74,0))</f>
        <v/>
      </c>
      <c r="J74" s="51">
        <f>IF($A74="","",COUNTIFS(الرواتب_الرقم,$A74))</f>
        <v/>
      </c>
    </row>
    <row r="75">
      <c r="A75" s="43">
        <f>IFERROR(INDEX(الموظفون_الرقم,69),"")</f>
        <v/>
      </c>
      <c r="B75" s="43">
        <f>IFERROR(INDEX(الموظفون_الاسم,69),"")</f>
        <v/>
      </c>
      <c r="C75" s="43">
        <f>IFERROR(INDEX(الموظفون_الإدارة,69),"")</f>
        <v/>
      </c>
      <c r="D75" s="60">
        <f>IFERROR(INDEX(الموظفون_الاساسي,69),"")</f>
        <v/>
      </c>
      <c r="E75" s="60">
        <f>IFERROR(INDEX(الموظفون_البدلات,69),"")</f>
        <v/>
      </c>
      <c r="F75" s="60">
        <f>IFERROR(SUMIFS(الرواتب_الاضافي,الرواتب_الرقم,$A75),"")</f>
        <v/>
      </c>
      <c r="G75" s="60">
        <f>IFERROR(SUMIFS(الرواتب_المكافآت,الرواتب_الرقم,$A75),"")</f>
        <v/>
      </c>
      <c r="H75" s="60">
        <f>IFERROR(SUMIFS(التدريب_التكلفة,التدريب_الرقم,$A75),"")</f>
        <v/>
      </c>
      <c r="I75" s="60">
        <f>IF($A75="","",IFERROR($D75+$E75+$F75+$G75+$H75,0))</f>
        <v/>
      </c>
      <c r="J75" s="44">
        <f>IF($A75="","",COUNTIFS(الرواتب_الرقم,$A75))</f>
        <v/>
      </c>
    </row>
    <row r="76">
      <c r="A76" s="50">
        <f>IFERROR(INDEX(الموظفون_الرقم,70),"")</f>
        <v/>
      </c>
      <c r="B76" s="50">
        <f>IFERROR(INDEX(الموظفون_الاسم,70),"")</f>
        <v/>
      </c>
      <c r="C76" s="50">
        <f>IFERROR(INDEX(الموظفون_الإدارة,70),"")</f>
        <v/>
      </c>
      <c r="D76" s="63">
        <f>IFERROR(INDEX(الموظفون_الاساسي,70),"")</f>
        <v/>
      </c>
      <c r="E76" s="63">
        <f>IFERROR(INDEX(الموظفون_البدلات,70),"")</f>
        <v/>
      </c>
      <c r="F76" s="63">
        <f>IFERROR(SUMIFS(الرواتب_الاضافي,الرواتب_الرقم,$A76),"")</f>
        <v/>
      </c>
      <c r="G76" s="63">
        <f>IFERROR(SUMIFS(الرواتب_المكافآت,الرواتب_الرقم,$A76),"")</f>
        <v/>
      </c>
      <c r="H76" s="63">
        <f>IFERROR(SUMIFS(التدريب_التكلفة,التدريب_الرقم,$A76),"")</f>
        <v/>
      </c>
      <c r="I76" s="63">
        <f>IF($A76="","",IFERROR($D76+$E76+$F76+$G76+$H76,0))</f>
        <v/>
      </c>
      <c r="J76" s="51">
        <f>IF($A76="","",COUNTIFS(الرواتب_الرقم,$A76))</f>
        <v/>
      </c>
    </row>
    <row r="77">
      <c r="A77" s="43">
        <f>IFERROR(INDEX(الموظفون_الرقم,71),"")</f>
        <v/>
      </c>
      <c r="B77" s="43">
        <f>IFERROR(INDEX(الموظفون_الاسم,71),"")</f>
        <v/>
      </c>
      <c r="C77" s="43">
        <f>IFERROR(INDEX(الموظفون_الإدارة,71),"")</f>
        <v/>
      </c>
      <c r="D77" s="60">
        <f>IFERROR(INDEX(الموظفون_الاساسي,71),"")</f>
        <v/>
      </c>
      <c r="E77" s="60">
        <f>IFERROR(INDEX(الموظفون_البدلات,71),"")</f>
        <v/>
      </c>
      <c r="F77" s="60">
        <f>IFERROR(SUMIFS(الرواتب_الاضافي,الرواتب_الرقم,$A77),"")</f>
        <v/>
      </c>
      <c r="G77" s="60">
        <f>IFERROR(SUMIFS(الرواتب_المكافآت,الرواتب_الرقم,$A77),"")</f>
        <v/>
      </c>
      <c r="H77" s="60">
        <f>IFERROR(SUMIFS(التدريب_التكلفة,التدريب_الرقم,$A77),"")</f>
        <v/>
      </c>
      <c r="I77" s="60">
        <f>IF($A77="","",IFERROR($D77+$E77+$F77+$G77+$H77,0))</f>
        <v/>
      </c>
      <c r="J77" s="44">
        <f>IF($A77="","",COUNTIFS(الرواتب_الرقم,$A77))</f>
        <v/>
      </c>
    </row>
    <row r="78">
      <c r="A78" s="50">
        <f>IFERROR(INDEX(الموظفون_الرقم,72),"")</f>
        <v/>
      </c>
      <c r="B78" s="50">
        <f>IFERROR(INDEX(الموظفون_الاسم,72),"")</f>
        <v/>
      </c>
      <c r="C78" s="50">
        <f>IFERROR(INDEX(الموظفون_الإدارة,72),"")</f>
        <v/>
      </c>
      <c r="D78" s="63">
        <f>IFERROR(INDEX(الموظفون_الاساسي,72),"")</f>
        <v/>
      </c>
      <c r="E78" s="63">
        <f>IFERROR(INDEX(الموظفون_البدلات,72),"")</f>
        <v/>
      </c>
      <c r="F78" s="63">
        <f>IFERROR(SUMIFS(الرواتب_الاضافي,الرواتب_الرقم,$A78),"")</f>
        <v/>
      </c>
      <c r="G78" s="63">
        <f>IFERROR(SUMIFS(الرواتب_المكافآت,الرواتب_الرقم,$A78),"")</f>
        <v/>
      </c>
      <c r="H78" s="63">
        <f>IFERROR(SUMIFS(التدريب_التكلفة,التدريب_الرقم,$A78),"")</f>
        <v/>
      </c>
      <c r="I78" s="63">
        <f>IF($A78="","",IFERROR($D78+$E78+$F78+$G78+$H78,0))</f>
        <v/>
      </c>
      <c r="J78" s="51">
        <f>IF($A78="","",COUNTIFS(الرواتب_الرقم,$A78))</f>
        <v/>
      </c>
    </row>
    <row r="79">
      <c r="A79" s="43">
        <f>IFERROR(INDEX(الموظفون_الرقم,73),"")</f>
        <v/>
      </c>
      <c r="B79" s="43">
        <f>IFERROR(INDEX(الموظفون_الاسم,73),"")</f>
        <v/>
      </c>
      <c r="C79" s="43">
        <f>IFERROR(INDEX(الموظفون_الإدارة,73),"")</f>
        <v/>
      </c>
      <c r="D79" s="60">
        <f>IFERROR(INDEX(الموظفون_الاساسي,73),"")</f>
        <v/>
      </c>
      <c r="E79" s="60">
        <f>IFERROR(INDEX(الموظفون_البدلات,73),"")</f>
        <v/>
      </c>
      <c r="F79" s="60">
        <f>IFERROR(SUMIFS(الرواتب_الاضافي,الرواتب_الرقم,$A79),"")</f>
        <v/>
      </c>
      <c r="G79" s="60">
        <f>IFERROR(SUMIFS(الرواتب_المكافآت,الرواتب_الرقم,$A79),"")</f>
        <v/>
      </c>
      <c r="H79" s="60">
        <f>IFERROR(SUMIFS(التدريب_التكلفة,التدريب_الرقم,$A79),"")</f>
        <v/>
      </c>
      <c r="I79" s="60">
        <f>IF($A79="","",IFERROR($D79+$E79+$F79+$G79+$H79,0))</f>
        <v/>
      </c>
      <c r="J79" s="44">
        <f>IF($A79="","",COUNTIFS(الرواتب_الرقم,$A79))</f>
        <v/>
      </c>
    </row>
    <row r="80">
      <c r="A80" s="50">
        <f>IFERROR(INDEX(الموظفون_الرقم,74),"")</f>
        <v/>
      </c>
      <c r="B80" s="50">
        <f>IFERROR(INDEX(الموظفون_الاسم,74),"")</f>
        <v/>
      </c>
      <c r="C80" s="50">
        <f>IFERROR(INDEX(الموظفون_الإدارة,74),"")</f>
        <v/>
      </c>
      <c r="D80" s="63">
        <f>IFERROR(INDEX(الموظفون_الاساسي,74),"")</f>
        <v/>
      </c>
      <c r="E80" s="63">
        <f>IFERROR(INDEX(الموظفون_البدلات,74),"")</f>
        <v/>
      </c>
      <c r="F80" s="63">
        <f>IFERROR(SUMIFS(الرواتب_الاضافي,الرواتب_الرقم,$A80),"")</f>
        <v/>
      </c>
      <c r="G80" s="63">
        <f>IFERROR(SUMIFS(الرواتب_المكافآت,الرواتب_الرقم,$A80),"")</f>
        <v/>
      </c>
      <c r="H80" s="63">
        <f>IFERROR(SUMIFS(التدريب_التكلفة,التدريب_الرقم,$A80),"")</f>
        <v/>
      </c>
      <c r="I80" s="63">
        <f>IF($A80="","",IFERROR($D80+$E80+$F80+$G80+$H80,0))</f>
        <v/>
      </c>
      <c r="J80" s="51">
        <f>IF($A80="","",COUNTIFS(الرواتب_الرقم,$A80))</f>
        <v/>
      </c>
    </row>
    <row r="81">
      <c r="A81" s="43">
        <f>IFERROR(INDEX(الموظفون_الرقم,75),"")</f>
        <v/>
      </c>
      <c r="B81" s="43">
        <f>IFERROR(INDEX(الموظفون_الاسم,75),"")</f>
        <v/>
      </c>
      <c r="C81" s="43">
        <f>IFERROR(INDEX(الموظفون_الإدارة,75),"")</f>
        <v/>
      </c>
      <c r="D81" s="60">
        <f>IFERROR(INDEX(الموظفون_الاساسي,75),"")</f>
        <v/>
      </c>
      <c r="E81" s="60">
        <f>IFERROR(INDEX(الموظفون_البدلات,75),"")</f>
        <v/>
      </c>
      <c r="F81" s="60">
        <f>IFERROR(SUMIFS(الرواتب_الاضافي,الرواتب_الرقم,$A81),"")</f>
        <v/>
      </c>
      <c r="G81" s="60">
        <f>IFERROR(SUMIFS(الرواتب_المكافآت,الرواتب_الرقم,$A81),"")</f>
        <v/>
      </c>
      <c r="H81" s="60">
        <f>IFERROR(SUMIFS(التدريب_التكلفة,التدريب_الرقم,$A81),"")</f>
        <v/>
      </c>
      <c r="I81" s="60">
        <f>IF($A81="","",IFERROR($D81+$E81+$F81+$G81+$H81,0))</f>
        <v/>
      </c>
      <c r="J81" s="44">
        <f>IF($A81="","",COUNTIFS(الرواتب_الرقم,$A81))</f>
        <v/>
      </c>
    </row>
    <row r="82">
      <c r="A82" s="50">
        <f>IFERROR(INDEX(الموظفون_الرقم,76),"")</f>
        <v/>
      </c>
      <c r="B82" s="50">
        <f>IFERROR(INDEX(الموظفون_الاسم,76),"")</f>
        <v/>
      </c>
      <c r="C82" s="50">
        <f>IFERROR(INDEX(الموظفون_الإدارة,76),"")</f>
        <v/>
      </c>
      <c r="D82" s="63">
        <f>IFERROR(INDEX(الموظفون_الاساسي,76),"")</f>
        <v/>
      </c>
      <c r="E82" s="63">
        <f>IFERROR(INDEX(الموظفون_البدلات,76),"")</f>
        <v/>
      </c>
      <c r="F82" s="63">
        <f>IFERROR(SUMIFS(الرواتب_الاضافي,الرواتب_الرقم,$A82),"")</f>
        <v/>
      </c>
      <c r="G82" s="63">
        <f>IFERROR(SUMIFS(الرواتب_المكافآت,الرواتب_الرقم,$A82),"")</f>
        <v/>
      </c>
      <c r="H82" s="63">
        <f>IFERROR(SUMIFS(التدريب_التكلفة,التدريب_الرقم,$A82),"")</f>
        <v/>
      </c>
      <c r="I82" s="63">
        <f>IF($A82="","",IFERROR($D82+$E82+$F82+$G82+$H82,0))</f>
        <v/>
      </c>
      <c r="J82" s="51">
        <f>IF($A82="","",COUNTIFS(الرواتب_الرقم,$A82))</f>
        <v/>
      </c>
    </row>
    <row r="83">
      <c r="A83" s="43">
        <f>IFERROR(INDEX(الموظفون_الرقم,77),"")</f>
        <v/>
      </c>
      <c r="B83" s="43">
        <f>IFERROR(INDEX(الموظفون_الاسم,77),"")</f>
        <v/>
      </c>
      <c r="C83" s="43">
        <f>IFERROR(INDEX(الموظفون_الإدارة,77),"")</f>
        <v/>
      </c>
      <c r="D83" s="60">
        <f>IFERROR(INDEX(الموظفون_الاساسي,77),"")</f>
        <v/>
      </c>
      <c r="E83" s="60">
        <f>IFERROR(INDEX(الموظفون_البدلات,77),"")</f>
        <v/>
      </c>
      <c r="F83" s="60">
        <f>IFERROR(SUMIFS(الرواتب_الاضافي,الرواتب_الرقم,$A83),"")</f>
        <v/>
      </c>
      <c r="G83" s="60">
        <f>IFERROR(SUMIFS(الرواتب_المكافآت,الرواتب_الرقم,$A83),"")</f>
        <v/>
      </c>
      <c r="H83" s="60">
        <f>IFERROR(SUMIFS(التدريب_التكلفة,التدريب_الرقم,$A83),"")</f>
        <v/>
      </c>
      <c r="I83" s="60">
        <f>IF($A83="","",IFERROR($D83+$E83+$F83+$G83+$H83,0))</f>
        <v/>
      </c>
      <c r="J83" s="44">
        <f>IF($A83="","",COUNTIFS(الرواتب_الرقم,$A83))</f>
        <v/>
      </c>
    </row>
    <row r="84">
      <c r="A84" s="50">
        <f>IFERROR(INDEX(الموظفون_الرقم,78),"")</f>
        <v/>
      </c>
      <c r="B84" s="50">
        <f>IFERROR(INDEX(الموظفون_الاسم,78),"")</f>
        <v/>
      </c>
      <c r="C84" s="50">
        <f>IFERROR(INDEX(الموظفون_الإدارة,78),"")</f>
        <v/>
      </c>
      <c r="D84" s="63">
        <f>IFERROR(INDEX(الموظفون_الاساسي,78),"")</f>
        <v/>
      </c>
      <c r="E84" s="63">
        <f>IFERROR(INDEX(الموظفون_البدلات,78),"")</f>
        <v/>
      </c>
      <c r="F84" s="63">
        <f>IFERROR(SUMIFS(الرواتب_الاضافي,الرواتب_الرقم,$A84),"")</f>
        <v/>
      </c>
      <c r="G84" s="63">
        <f>IFERROR(SUMIFS(الرواتب_المكافآت,الرواتب_الرقم,$A84),"")</f>
        <v/>
      </c>
      <c r="H84" s="63">
        <f>IFERROR(SUMIFS(التدريب_التكلفة,التدريب_الرقم,$A84),"")</f>
        <v/>
      </c>
      <c r="I84" s="63">
        <f>IF($A84="","",IFERROR($D84+$E84+$F84+$G84+$H84,0))</f>
        <v/>
      </c>
      <c r="J84" s="51">
        <f>IF($A84="","",COUNTIFS(الرواتب_الرقم,$A84))</f>
        <v/>
      </c>
    </row>
    <row r="85">
      <c r="A85" s="43">
        <f>IFERROR(INDEX(الموظفون_الرقم,79),"")</f>
        <v/>
      </c>
      <c r="B85" s="43">
        <f>IFERROR(INDEX(الموظفون_الاسم,79),"")</f>
        <v/>
      </c>
      <c r="C85" s="43">
        <f>IFERROR(INDEX(الموظفون_الإدارة,79),"")</f>
        <v/>
      </c>
      <c r="D85" s="60">
        <f>IFERROR(INDEX(الموظفون_الاساسي,79),"")</f>
        <v/>
      </c>
      <c r="E85" s="60">
        <f>IFERROR(INDEX(الموظفون_البدلات,79),"")</f>
        <v/>
      </c>
      <c r="F85" s="60">
        <f>IFERROR(SUMIFS(الرواتب_الاضافي,الرواتب_الرقم,$A85),"")</f>
        <v/>
      </c>
      <c r="G85" s="60">
        <f>IFERROR(SUMIFS(الرواتب_المكافآت,الرواتب_الرقم,$A85),"")</f>
        <v/>
      </c>
      <c r="H85" s="60">
        <f>IFERROR(SUMIFS(التدريب_التكلفة,التدريب_الرقم,$A85),"")</f>
        <v/>
      </c>
      <c r="I85" s="60">
        <f>IF($A85="","",IFERROR($D85+$E85+$F85+$G85+$H85,0))</f>
        <v/>
      </c>
      <c r="J85" s="44">
        <f>IF($A85="","",COUNTIFS(الرواتب_الرقم,$A85))</f>
        <v/>
      </c>
    </row>
    <row r="86">
      <c r="A86" s="50">
        <f>IFERROR(INDEX(الموظفون_الرقم,80),"")</f>
        <v/>
      </c>
      <c r="B86" s="50">
        <f>IFERROR(INDEX(الموظفون_الاسم,80),"")</f>
        <v/>
      </c>
      <c r="C86" s="50">
        <f>IFERROR(INDEX(الموظفون_الإدارة,80),"")</f>
        <v/>
      </c>
      <c r="D86" s="63">
        <f>IFERROR(INDEX(الموظفون_الاساسي,80),"")</f>
        <v/>
      </c>
      <c r="E86" s="63">
        <f>IFERROR(INDEX(الموظفون_البدلات,80),"")</f>
        <v/>
      </c>
      <c r="F86" s="63">
        <f>IFERROR(SUMIFS(الرواتب_الاضافي,الرواتب_الرقم,$A86),"")</f>
        <v/>
      </c>
      <c r="G86" s="63">
        <f>IFERROR(SUMIFS(الرواتب_المكافآت,الرواتب_الرقم,$A86),"")</f>
        <v/>
      </c>
      <c r="H86" s="63">
        <f>IFERROR(SUMIFS(التدريب_التكلفة,التدريب_الرقم,$A86),"")</f>
        <v/>
      </c>
      <c r="I86" s="63">
        <f>IF($A86="","",IFERROR($D86+$E86+$F86+$G86+$H86,0))</f>
        <v/>
      </c>
      <c r="J86" s="51">
        <f>IF($A86="","",COUNTIFS(الرواتب_الرقم,$A86))</f>
        <v/>
      </c>
    </row>
    <row r="87">
      <c r="A87" s="43">
        <f>IFERROR(INDEX(الموظفون_الرقم,81),"")</f>
        <v/>
      </c>
      <c r="B87" s="43">
        <f>IFERROR(INDEX(الموظفون_الاسم,81),"")</f>
        <v/>
      </c>
      <c r="C87" s="43">
        <f>IFERROR(INDEX(الموظفون_الإدارة,81),"")</f>
        <v/>
      </c>
      <c r="D87" s="60">
        <f>IFERROR(INDEX(الموظفون_الاساسي,81),"")</f>
        <v/>
      </c>
      <c r="E87" s="60">
        <f>IFERROR(INDEX(الموظفون_البدلات,81),"")</f>
        <v/>
      </c>
      <c r="F87" s="60">
        <f>IFERROR(SUMIFS(الرواتب_الاضافي,الرواتب_الرقم,$A87),"")</f>
        <v/>
      </c>
      <c r="G87" s="60">
        <f>IFERROR(SUMIFS(الرواتب_المكافآت,الرواتب_الرقم,$A87),"")</f>
        <v/>
      </c>
      <c r="H87" s="60">
        <f>IFERROR(SUMIFS(التدريب_التكلفة,التدريب_الرقم,$A87),"")</f>
        <v/>
      </c>
      <c r="I87" s="60">
        <f>IF($A87="","",IFERROR($D87+$E87+$F87+$G87+$H87,0))</f>
        <v/>
      </c>
      <c r="J87" s="44">
        <f>IF($A87="","",COUNTIFS(الرواتب_الرقم,$A87))</f>
        <v/>
      </c>
    </row>
    <row r="88">
      <c r="A88" s="50">
        <f>IFERROR(INDEX(الموظفون_الرقم,82),"")</f>
        <v/>
      </c>
      <c r="B88" s="50">
        <f>IFERROR(INDEX(الموظفون_الاسم,82),"")</f>
        <v/>
      </c>
      <c r="C88" s="50">
        <f>IFERROR(INDEX(الموظفون_الإدارة,82),"")</f>
        <v/>
      </c>
      <c r="D88" s="63">
        <f>IFERROR(INDEX(الموظفون_الاساسي,82),"")</f>
        <v/>
      </c>
      <c r="E88" s="63">
        <f>IFERROR(INDEX(الموظفون_البدلات,82),"")</f>
        <v/>
      </c>
      <c r="F88" s="63">
        <f>IFERROR(SUMIFS(الرواتب_الاضافي,الرواتب_الرقم,$A88),"")</f>
        <v/>
      </c>
      <c r="G88" s="63">
        <f>IFERROR(SUMIFS(الرواتب_المكافآت,الرواتب_الرقم,$A88),"")</f>
        <v/>
      </c>
      <c r="H88" s="63">
        <f>IFERROR(SUMIFS(التدريب_التكلفة,التدريب_الرقم,$A88),"")</f>
        <v/>
      </c>
      <c r="I88" s="63">
        <f>IF($A88="","",IFERROR($D88+$E88+$F88+$G88+$H88,0))</f>
        <v/>
      </c>
      <c r="J88" s="51">
        <f>IF($A88="","",COUNTIFS(الرواتب_الرقم,$A88))</f>
        <v/>
      </c>
    </row>
    <row r="89">
      <c r="A89" s="43">
        <f>IFERROR(INDEX(الموظفون_الرقم,83),"")</f>
        <v/>
      </c>
      <c r="B89" s="43">
        <f>IFERROR(INDEX(الموظفون_الاسم,83),"")</f>
        <v/>
      </c>
      <c r="C89" s="43">
        <f>IFERROR(INDEX(الموظفون_الإدارة,83),"")</f>
        <v/>
      </c>
      <c r="D89" s="60">
        <f>IFERROR(INDEX(الموظفون_الاساسي,83),"")</f>
        <v/>
      </c>
      <c r="E89" s="60">
        <f>IFERROR(INDEX(الموظفون_البدلات,83),"")</f>
        <v/>
      </c>
      <c r="F89" s="60">
        <f>IFERROR(SUMIFS(الرواتب_الاضافي,الرواتب_الرقم,$A89),"")</f>
        <v/>
      </c>
      <c r="G89" s="60">
        <f>IFERROR(SUMIFS(الرواتب_المكافآت,الرواتب_الرقم,$A89),"")</f>
        <v/>
      </c>
      <c r="H89" s="60">
        <f>IFERROR(SUMIFS(التدريب_التكلفة,التدريب_الرقم,$A89),"")</f>
        <v/>
      </c>
      <c r="I89" s="60">
        <f>IF($A89="","",IFERROR($D89+$E89+$F89+$G89+$H89,0))</f>
        <v/>
      </c>
      <c r="J89" s="44">
        <f>IF($A89="","",COUNTIFS(الرواتب_الرقم,$A89))</f>
        <v/>
      </c>
    </row>
    <row r="90">
      <c r="A90" s="50">
        <f>IFERROR(INDEX(الموظفون_الرقم,84),"")</f>
        <v/>
      </c>
      <c r="B90" s="50">
        <f>IFERROR(INDEX(الموظفون_الاسم,84),"")</f>
        <v/>
      </c>
      <c r="C90" s="50">
        <f>IFERROR(INDEX(الموظفون_الإدارة,84),"")</f>
        <v/>
      </c>
      <c r="D90" s="63">
        <f>IFERROR(INDEX(الموظفون_الاساسي,84),"")</f>
        <v/>
      </c>
      <c r="E90" s="63">
        <f>IFERROR(INDEX(الموظفون_البدلات,84),"")</f>
        <v/>
      </c>
      <c r="F90" s="63">
        <f>IFERROR(SUMIFS(الرواتب_الاضافي,الرواتب_الرقم,$A90),"")</f>
        <v/>
      </c>
      <c r="G90" s="63">
        <f>IFERROR(SUMIFS(الرواتب_المكافآت,الرواتب_الرقم,$A90),"")</f>
        <v/>
      </c>
      <c r="H90" s="63">
        <f>IFERROR(SUMIFS(التدريب_التكلفة,التدريب_الرقم,$A90),"")</f>
        <v/>
      </c>
      <c r="I90" s="63">
        <f>IF($A90="","",IFERROR($D90+$E90+$F90+$G90+$H90,0))</f>
        <v/>
      </c>
      <c r="J90" s="51">
        <f>IF($A90="","",COUNTIFS(الرواتب_الرقم,$A90))</f>
        <v/>
      </c>
    </row>
    <row r="91">
      <c r="A91" s="43">
        <f>IFERROR(INDEX(الموظفون_الرقم,85),"")</f>
        <v/>
      </c>
      <c r="B91" s="43">
        <f>IFERROR(INDEX(الموظفون_الاسم,85),"")</f>
        <v/>
      </c>
      <c r="C91" s="43">
        <f>IFERROR(INDEX(الموظفون_الإدارة,85),"")</f>
        <v/>
      </c>
      <c r="D91" s="60">
        <f>IFERROR(INDEX(الموظفون_الاساسي,85),"")</f>
        <v/>
      </c>
      <c r="E91" s="60">
        <f>IFERROR(INDEX(الموظفون_البدلات,85),"")</f>
        <v/>
      </c>
      <c r="F91" s="60">
        <f>IFERROR(SUMIFS(الرواتب_الاضافي,الرواتب_الرقم,$A91),"")</f>
        <v/>
      </c>
      <c r="G91" s="60">
        <f>IFERROR(SUMIFS(الرواتب_المكافآت,الرواتب_الرقم,$A91),"")</f>
        <v/>
      </c>
      <c r="H91" s="60">
        <f>IFERROR(SUMIFS(التدريب_التكلفة,التدريب_الرقم,$A91),"")</f>
        <v/>
      </c>
      <c r="I91" s="60">
        <f>IF($A91="","",IFERROR($D91+$E91+$F91+$G91+$H91,0))</f>
        <v/>
      </c>
      <c r="J91" s="44">
        <f>IF($A91="","",COUNTIFS(الرواتب_الرقم,$A91))</f>
        <v/>
      </c>
    </row>
    <row r="92">
      <c r="A92" s="50">
        <f>IFERROR(INDEX(الموظفون_الرقم,86),"")</f>
        <v/>
      </c>
      <c r="B92" s="50">
        <f>IFERROR(INDEX(الموظفون_الاسم,86),"")</f>
        <v/>
      </c>
      <c r="C92" s="50">
        <f>IFERROR(INDEX(الموظفون_الإدارة,86),"")</f>
        <v/>
      </c>
      <c r="D92" s="63">
        <f>IFERROR(INDEX(الموظفون_الاساسي,86),"")</f>
        <v/>
      </c>
      <c r="E92" s="63">
        <f>IFERROR(INDEX(الموظفون_البدلات,86),"")</f>
        <v/>
      </c>
      <c r="F92" s="63">
        <f>IFERROR(SUMIFS(الرواتب_الاضافي,الرواتب_الرقم,$A92),"")</f>
        <v/>
      </c>
      <c r="G92" s="63">
        <f>IFERROR(SUMIFS(الرواتب_المكافآت,الرواتب_الرقم,$A92),"")</f>
        <v/>
      </c>
      <c r="H92" s="63">
        <f>IFERROR(SUMIFS(التدريب_التكلفة,التدريب_الرقم,$A92),"")</f>
        <v/>
      </c>
      <c r="I92" s="63">
        <f>IF($A92="","",IFERROR($D92+$E92+$F92+$G92+$H92,0))</f>
        <v/>
      </c>
      <c r="J92" s="51">
        <f>IF($A92="","",COUNTIFS(الرواتب_الرقم,$A92))</f>
        <v/>
      </c>
    </row>
    <row r="93">
      <c r="A93" s="43">
        <f>IFERROR(INDEX(الموظفون_الرقم,87),"")</f>
        <v/>
      </c>
      <c r="B93" s="43">
        <f>IFERROR(INDEX(الموظفون_الاسم,87),"")</f>
        <v/>
      </c>
      <c r="C93" s="43">
        <f>IFERROR(INDEX(الموظفون_الإدارة,87),"")</f>
        <v/>
      </c>
      <c r="D93" s="60">
        <f>IFERROR(INDEX(الموظفون_الاساسي,87),"")</f>
        <v/>
      </c>
      <c r="E93" s="60">
        <f>IFERROR(INDEX(الموظفون_البدلات,87),"")</f>
        <v/>
      </c>
      <c r="F93" s="60">
        <f>IFERROR(SUMIFS(الرواتب_الاضافي,الرواتب_الرقم,$A93),"")</f>
        <v/>
      </c>
      <c r="G93" s="60">
        <f>IFERROR(SUMIFS(الرواتب_المكافآت,الرواتب_الرقم,$A93),"")</f>
        <v/>
      </c>
      <c r="H93" s="60">
        <f>IFERROR(SUMIFS(التدريب_التكلفة,التدريب_الرقم,$A93),"")</f>
        <v/>
      </c>
      <c r="I93" s="60">
        <f>IF($A93="","",IFERROR($D93+$E93+$F93+$G93+$H93,0))</f>
        <v/>
      </c>
      <c r="J93" s="44">
        <f>IF($A93="","",COUNTIFS(الرواتب_الرقم,$A93))</f>
        <v/>
      </c>
    </row>
    <row r="94">
      <c r="A94" s="50">
        <f>IFERROR(INDEX(الموظفون_الرقم,88),"")</f>
        <v/>
      </c>
      <c r="B94" s="50">
        <f>IFERROR(INDEX(الموظفون_الاسم,88),"")</f>
        <v/>
      </c>
      <c r="C94" s="50">
        <f>IFERROR(INDEX(الموظفون_الإدارة,88),"")</f>
        <v/>
      </c>
      <c r="D94" s="63">
        <f>IFERROR(INDEX(الموظفون_الاساسي,88),"")</f>
        <v/>
      </c>
      <c r="E94" s="63">
        <f>IFERROR(INDEX(الموظفون_البدلات,88),"")</f>
        <v/>
      </c>
      <c r="F94" s="63">
        <f>IFERROR(SUMIFS(الرواتب_الاضافي,الرواتب_الرقم,$A94),"")</f>
        <v/>
      </c>
      <c r="G94" s="63">
        <f>IFERROR(SUMIFS(الرواتب_المكافآت,الرواتب_الرقم,$A94),"")</f>
        <v/>
      </c>
      <c r="H94" s="63">
        <f>IFERROR(SUMIFS(التدريب_التكلفة,التدريب_الرقم,$A94),"")</f>
        <v/>
      </c>
      <c r="I94" s="63">
        <f>IF($A94="","",IFERROR($D94+$E94+$F94+$G94+$H94,0))</f>
        <v/>
      </c>
      <c r="J94" s="51">
        <f>IF($A94="","",COUNTIFS(الرواتب_الرقم,$A94))</f>
        <v/>
      </c>
    </row>
    <row r="95">
      <c r="A95" s="43">
        <f>IFERROR(INDEX(الموظفون_الرقم,89),"")</f>
        <v/>
      </c>
      <c r="B95" s="43">
        <f>IFERROR(INDEX(الموظفون_الاسم,89),"")</f>
        <v/>
      </c>
      <c r="C95" s="43">
        <f>IFERROR(INDEX(الموظفون_الإدارة,89),"")</f>
        <v/>
      </c>
      <c r="D95" s="60">
        <f>IFERROR(INDEX(الموظفون_الاساسي,89),"")</f>
        <v/>
      </c>
      <c r="E95" s="60">
        <f>IFERROR(INDEX(الموظفون_البدلات,89),"")</f>
        <v/>
      </c>
      <c r="F95" s="60">
        <f>IFERROR(SUMIFS(الرواتب_الاضافي,الرواتب_الرقم,$A95),"")</f>
        <v/>
      </c>
      <c r="G95" s="60">
        <f>IFERROR(SUMIFS(الرواتب_المكافآت,الرواتب_الرقم,$A95),"")</f>
        <v/>
      </c>
      <c r="H95" s="60">
        <f>IFERROR(SUMIFS(التدريب_التكلفة,التدريب_الرقم,$A95),"")</f>
        <v/>
      </c>
      <c r="I95" s="60">
        <f>IF($A95="","",IFERROR($D95+$E95+$F95+$G95+$H95,0))</f>
        <v/>
      </c>
      <c r="J95" s="44">
        <f>IF($A95="","",COUNTIFS(الرواتب_الرقم,$A95))</f>
        <v/>
      </c>
    </row>
    <row r="96">
      <c r="A96" s="50">
        <f>IFERROR(INDEX(الموظفون_الرقم,90),"")</f>
        <v/>
      </c>
      <c r="B96" s="50">
        <f>IFERROR(INDEX(الموظفون_الاسم,90),"")</f>
        <v/>
      </c>
      <c r="C96" s="50">
        <f>IFERROR(INDEX(الموظفون_الإدارة,90),"")</f>
        <v/>
      </c>
      <c r="D96" s="63">
        <f>IFERROR(INDEX(الموظفون_الاساسي,90),"")</f>
        <v/>
      </c>
      <c r="E96" s="63">
        <f>IFERROR(INDEX(الموظفون_البدلات,90),"")</f>
        <v/>
      </c>
      <c r="F96" s="63">
        <f>IFERROR(SUMIFS(الرواتب_الاضافي,الرواتب_الرقم,$A96),"")</f>
        <v/>
      </c>
      <c r="G96" s="63">
        <f>IFERROR(SUMIFS(الرواتب_المكافآت,الرواتب_الرقم,$A96),"")</f>
        <v/>
      </c>
      <c r="H96" s="63">
        <f>IFERROR(SUMIFS(التدريب_التكلفة,التدريب_الرقم,$A96),"")</f>
        <v/>
      </c>
      <c r="I96" s="63">
        <f>IF($A96="","",IFERROR($D96+$E96+$F96+$G96+$H96,0))</f>
        <v/>
      </c>
      <c r="J96" s="51">
        <f>IF($A96="","",COUNTIFS(الرواتب_الرقم,$A96))</f>
        <v/>
      </c>
    </row>
    <row r="97">
      <c r="A97" s="43">
        <f>IFERROR(INDEX(الموظفون_الرقم,91),"")</f>
        <v/>
      </c>
      <c r="B97" s="43">
        <f>IFERROR(INDEX(الموظفون_الاسم,91),"")</f>
        <v/>
      </c>
      <c r="C97" s="43">
        <f>IFERROR(INDEX(الموظفون_الإدارة,91),"")</f>
        <v/>
      </c>
      <c r="D97" s="60">
        <f>IFERROR(INDEX(الموظفون_الاساسي,91),"")</f>
        <v/>
      </c>
      <c r="E97" s="60">
        <f>IFERROR(INDEX(الموظفون_البدلات,91),"")</f>
        <v/>
      </c>
      <c r="F97" s="60">
        <f>IFERROR(SUMIFS(الرواتب_الاضافي,الرواتب_الرقم,$A97),"")</f>
        <v/>
      </c>
      <c r="G97" s="60">
        <f>IFERROR(SUMIFS(الرواتب_المكافآت,الرواتب_الرقم,$A97),"")</f>
        <v/>
      </c>
      <c r="H97" s="60">
        <f>IFERROR(SUMIFS(التدريب_التكلفة,التدريب_الرقم,$A97),"")</f>
        <v/>
      </c>
      <c r="I97" s="60">
        <f>IF($A97="","",IFERROR($D97+$E97+$F97+$G97+$H97,0))</f>
        <v/>
      </c>
      <c r="J97" s="44">
        <f>IF($A97="","",COUNTIFS(الرواتب_الرقم,$A97))</f>
        <v/>
      </c>
    </row>
    <row r="98">
      <c r="A98" s="50">
        <f>IFERROR(INDEX(الموظفون_الرقم,92),"")</f>
        <v/>
      </c>
      <c r="B98" s="50">
        <f>IFERROR(INDEX(الموظفون_الاسم,92),"")</f>
        <v/>
      </c>
      <c r="C98" s="50">
        <f>IFERROR(INDEX(الموظفون_الإدارة,92),"")</f>
        <v/>
      </c>
      <c r="D98" s="63">
        <f>IFERROR(INDEX(الموظفون_الاساسي,92),"")</f>
        <v/>
      </c>
      <c r="E98" s="63">
        <f>IFERROR(INDEX(الموظفون_البدلات,92),"")</f>
        <v/>
      </c>
      <c r="F98" s="63">
        <f>IFERROR(SUMIFS(الرواتب_الاضافي,الرواتب_الرقم,$A98),"")</f>
        <v/>
      </c>
      <c r="G98" s="63">
        <f>IFERROR(SUMIFS(الرواتب_المكافآت,الرواتب_الرقم,$A98),"")</f>
        <v/>
      </c>
      <c r="H98" s="63">
        <f>IFERROR(SUMIFS(التدريب_التكلفة,التدريب_الرقم,$A98),"")</f>
        <v/>
      </c>
      <c r="I98" s="63">
        <f>IF($A98="","",IFERROR($D98+$E98+$F98+$G98+$H98,0))</f>
        <v/>
      </c>
      <c r="J98" s="51">
        <f>IF($A98="","",COUNTIFS(الرواتب_الرقم,$A98))</f>
        <v/>
      </c>
    </row>
    <row r="99">
      <c r="A99" s="43">
        <f>IFERROR(INDEX(الموظفون_الرقم,93),"")</f>
        <v/>
      </c>
      <c r="B99" s="43">
        <f>IFERROR(INDEX(الموظفون_الاسم,93),"")</f>
        <v/>
      </c>
      <c r="C99" s="43">
        <f>IFERROR(INDEX(الموظفون_الإدارة,93),"")</f>
        <v/>
      </c>
      <c r="D99" s="60">
        <f>IFERROR(INDEX(الموظفون_الاساسي,93),"")</f>
        <v/>
      </c>
      <c r="E99" s="60">
        <f>IFERROR(INDEX(الموظفون_البدلات,93),"")</f>
        <v/>
      </c>
      <c r="F99" s="60">
        <f>IFERROR(SUMIFS(الرواتب_الاضافي,الرواتب_الرقم,$A99),"")</f>
        <v/>
      </c>
      <c r="G99" s="60">
        <f>IFERROR(SUMIFS(الرواتب_المكافآت,الرواتب_الرقم,$A99),"")</f>
        <v/>
      </c>
      <c r="H99" s="60">
        <f>IFERROR(SUMIFS(التدريب_التكلفة,التدريب_الرقم,$A99),"")</f>
        <v/>
      </c>
      <c r="I99" s="60">
        <f>IF($A99="","",IFERROR($D99+$E99+$F99+$G99+$H99,0))</f>
        <v/>
      </c>
      <c r="J99" s="44">
        <f>IF($A99="","",COUNTIFS(الرواتب_الرقم,$A99))</f>
        <v/>
      </c>
    </row>
    <row r="100">
      <c r="A100" s="50">
        <f>IFERROR(INDEX(الموظفون_الرقم,94),"")</f>
        <v/>
      </c>
      <c r="B100" s="50">
        <f>IFERROR(INDEX(الموظفون_الاسم,94),"")</f>
        <v/>
      </c>
      <c r="C100" s="50">
        <f>IFERROR(INDEX(الموظفون_الإدارة,94),"")</f>
        <v/>
      </c>
      <c r="D100" s="63">
        <f>IFERROR(INDEX(الموظفون_الاساسي,94),"")</f>
        <v/>
      </c>
      <c r="E100" s="63">
        <f>IFERROR(INDEX(الموظفون_البدلات,94),"")</f>
        <v/>
      </c>
      <c r="F100" s="63">
        <f>IFERROR(SUMIFS(الرواتب_الاضافي,الرواتب_الرقم,$A100),"")</f>
        <v/>
      </c>
      <c r="G100" s="63">
        <f>IFERROR(SUMIFS(الرواتب_المكافآت,الرواتب_الرقم,$A100),"")</f>
        <v/>
      </c>
      <c r="H100" s="63">
        <f>IFERROR(SUMIFS(التدريب_التكلفة,التدريب_الرقم,$A100),"")</f>
        <v/>
      </c>
      <c r="I100" s="63">
        <f>IF($A100="","",IFERROR($D100+$E100+$F100+$G100+$H100,0))</f>
        <v/>
      </c>
      <c r="J100" s="51">
        <f>IF($A100="","",COUNTIFS(الرواتب_الرقم,$A100))</f>
        <v/>
      </c>
    </row>
    <row r="101">
      <c r="A101" s="43">
        <f>IFERROR(INDEX(الموظفون_الرقم,95),"")</f>
        <v/>
      </c>
      <c r="B101" s="43">
        <f>IFERROR(INDEX(الموظفون_الاسم,95),"")</f>
        <v/>
      </c>
      <c r="C101" s="43">
        <f>IFERROR(INDEX(الموظفون_الإدارة,95),"")</f>
        <v/>
      </c>
      <c r="D101" s="60">
        <f>IFERROR(INDEX(الموظفون_الاساسي,95),"")</f>
        <v/>
      </c>
      <c r="E101" s="60">
        <f>IFERROR(INDEX(الموظفون_البدلات,95),"")</f>
        <v/>
      </c>
      <c r="F101" s="60">
        <f>IFERROR(SUMIFS(الرواتب_الاضافي,الرواتب_الرقم,$A101),"")</f>
        <v/>
      </c>
      <c r="G101" s="60">
        <f>IFERROR(SUMIFS(الرواتب_المكافآت,الرواتب_الرقم,$A101),"")</f>
        <v/>
      </c>
      <c r="H101" s="60">
        <f>IFERROR(SUMIFS(التدريب_التكلفة,التدريب_الرقم,$A101),"")</f>
        <v/>
      </c>
      <c r="I101" s="60">
        <f>IF($A101="","",IFERROR($D101+$E101+$F101+$G101+$H101,0))</f>
        <v/>
      </c>
      <c r="J101" s="44">
        <f>IF($A101="","",COUNTIFS(الرواتب_الرقم,$A101))</f>
        <v/>
      </c>
    </row>
    <row r="102">
      <c r="A102" s="50">
        <f>IFERROR(INDEX(الموظفون_الرقم,96),"")</f>
        <v/>
      </c>
      <c r="B102" s="50">
        <f>IFERROR(INDEX(الموظفون_الاسم,96),"")</f>
        <v/>
      </c>
      <c r="C102" s="50">
        <f>IFERROR(INDEX(الموظفون_الإدارة,96),"")</f>
        <v/>
      </c>
      <c r="D102" s="63">
        <f>IFERROR(INDEX(الموظفون_الاساسي,96),"")</f>
        <v/>
      </c>
      <c r="E102" s="63">
        <f>IFERROR(INDEX(الموظفون_البدلات,96),"")</f>
        <v/>
      </c>
      <c r="F102" s="63">
        <f>IFERROR(SUMIFS(الرواتب_الاضافي,الرواتب_الرقم,$A102),"")</f>
        <v/>
      </c>
      <c r="G102" s="63">
        <f>IFERROR(SUMIFS(الرواتب_المكافآت,الرواتب_الرقم,$A102),"")</f>
        <v/>
      </c>
      <c r="H102" s="63">
        <f>IFERROR(SUMIFS(التدريب_التكلفة,التدريب_الرقم,$A102),"")</f>
        <v/>
      </c>
      <c r="I102" s="63">
        <f>IF($A102="","",IFERROR($D102+$E102+$F102+$G102+$H102,0))</f>
        <v/>
      </c>
      <c r="J102" s="51">
        <f>IF($A102="","",COUNTIFS(الرواتب_الرقم,$A102))</f>
        <v/>
      </c>
    </row>
    <row r="103">
      <c r="A103" s="43">
        <f>IFERROR(INDEX(الموظفون_الرقم,97),"")</f>
        <v/>
      </c>
      <c r="B103" s="43">
        <f>IFERROR(INDEX(الموظفون_الاسم,97),"")</f>
        <v/>
      </c>
      <c r="C103" s="43">
        <f>IFERROR(INDEX(الموظفون_الإدارة,97),"")</f>
        <v/>
      </c>
      <c r="D103" s="60">
        <f>IFERROR(INDEX(الموظفون_الاساسي,97),"")</f>
        <v/>
      </c>
      <c r="E103" s="60">
        <f>IFERROR(INDEX(الموظفون_البدلات,97),"")</f>
        <v/>
      </c>
      <c r="F103" s="60">
        <f>IFERROR(SUMIFS(الرواتب_الاضافي,الرواتب_الرقم,$A103),"")</f>
        <v/>
      </c>
      <c r="G103" s="60">
        <f>IFERROR(SUMIFS(الرواتب_المكافآت,الرواتب_الرقم,$A103),"")</f>
        <v/>
      </c>
      <c r="H103" s="60">
        <f>IFERROR(SUMIFS(التدريب_التكلفة,التدريب_الرقم,$A103),"")</f>
        <v/>
      </c>
      <c r="I103" s="60">
        <f>IF($A103="","",IFERROR($D103+$E103+$F103+$G103+$H103,0))</f>
        <v/>
      </c>
      <c r="J103" s="44">
        <f>IF($A103="","",COUNTIFS(الرواتب_الرقم,$A103))</f>
        <v/>
      </c>
    </row>
    <row r="104">
      <c r="A104" s="50">
        <f>IFERROR(INDEX(الموظفون_الرقم,98),"")</f>
        <v/>
      </c>
      <c r="B104" s="50">
        <f>IFERROR(INDEX(الموظفون_الاسم,98),"")</f>
        <v/>
      </c>
      <c r="C104" s="50">
        <f>IFERROR(INDEX(الموظفون_الإدارة,98),"")</f>
        <v/>
      </c>
      <c r="D104" s="63">
        <f>IFERROR(INDEX(الموظفون_الاساسي,98),"")</f>
        <v/>
      </c>
      <c r="E104" s="63">
        <f>IFERROR(INDEX(الموظفون_البدلات,98),"")</f>
        <v/>
      </c>
      <c r="F104" s="63">
        <f>IFERROR(SUMIFS(الرواتب_الاضافي,الرواتب_الرقم,$A104),"")</f>
        <v/>
      </c>
      <c r="G104" s="63">
        <f>IFERROR(SUMIFS(الرواتب_المكافآت,الرواتب_الرقم,$A104),"")</f>
        <v/>
      </c>
      <c r="H104" s="63">
        <f>IFERROR(SUMIFS(التدريب_التكلفة,التدريب_الرقم,$A104),"")</f>
        <v/>
      </c>
      <c r="I104" s="63">
        <f>IF($A104="","",IFERROR($D104+$E104+$F104+$G104+$H104,0))</f>
        <v/>
      </c>
      <c r="J104" s="51">
        <f>IF($A104="","",COUNTIFS(الرواتب_الرقم,$A104))</f>
        <v/>
      </c>
    </row>
    <row r="105">
      <c r="A105" s="43">
        <f>IFERROR(INDEX(الموظفون_الرقم,99),"")</f>
        <v/>
      </c>
      <c r="B105" s="43">
        <f>IFERROR(INDEX(الموظفون_الاسم,99),"")</f>
        <v/>
      </c>
      <c r="C105" s="43">
        <f>IFERROR(INDEX(الموظفون_الإدارة,99),"")</f>
        <v/>
      </c>
      <c r="D105" s="60">
        <f>IFERROR(INDEX(الموظفون_الاساسي,99),"")</f>
        <v/>
      </c>
      <c r="E105" s="60">
        <f>IFERROR(INDEX(الموظفون_البدلات,99),"")</f>
        <v/>
      </c>
      <c r="F105" s="60">
        <f>IFERROR(SUMIFS(الرواتب_الاضافي,الرواتب_الرقم,$A105),"")</f>
        <v/>
      </c>
      <c r="G105" s="60">
        <f>IFERROR(SUMIFS(الرواتب_المكافآت,الرواتب_الرقم,$A105),"")</f>
        <v/>
      </c>
      <c r="H105" s="60">
        <f>IFERROR(SUMIFS(التدريب_التكلفة,التدريب_الرقم,$A105),"")</f>
        <v/>
      </c>
      <c r="I105" s="60">
        <f>IF($A105="","",IFERROR($D105+$E105+$F105+$G105+$H105,0))</f>
        <v/>
      </c>
      <c r="J105" s="44">
        <f>IF($A105="","",COUNTIFS(الرواتب_الرقم,$A105))</f>
        <v/>
      </c>
    </row>
    <row r="106">
      <c r="A106" s="50">
        <f>IFERROR(INDEX(الموظفون_الرقم,100),"")</f>
        <v/>
      </c>
      <c r="B106" s="50">
        <f>IFERROR(INDEX(الموظفون_الاسم,100),"")</f>
        <v/>
      </c>
      <c r="C106" s="50">
        <f>IFERROR(INDEX(الموظفون_الإدارة,100),"")</f>
        <v/>
      </c>
      <c r="D106" s="63">
        <f>IFERROR(INDEX(الموظفون_الاساسي,100),"")</f>
        <v/>
      </c>
      <c r="E106" s="63">
        <f>IFERROR(INDEX(الموظفون_البدلات,100),"")</f>
        <v/>
      </c>
      <c r="F106" s="63">
        <f>IFERROR(SUMIFS(الرواتب_الاضافي,الرواتب_الرقم,$A106),"")</f>
        <v/>
      </c>
      <c r="G106" s="63">
        <f>IFERROR(SUMIFS(الرواتب_المكافآت,الرواتب_الرقم,$A106),"")</f>
        <v/>
      </c>
      <c r="H106" s="63">
        <f>IFERROR(SUMIFS(التدريب_التكلفة,التدريب_الرقم,$A106),"")</f>
        <v/>
      </c>
      <c r="I106" s="63">
        <f>IF($A106="","",IFERROR($D106+$E106+$F106+$G106+$H106,0))</f>
        <v/>
      </c>
      <c r="J106" s="51">
        <f>IF($A106="","",COUNTIFS(الرواتب_الرقم,$A106))</f>
        <v/>
      </c>
    </row>
    <row r="107">
      <c r="A107" s="43">
        <f>IFERROR(INDEX(الموظفون_الرقم,101),"")</f>
        <v/>
      </c>
      <c r="B107" s="43">
        <f>IFERROR(INDEX(الموظفون_الاسم,101),"")</f>
        <v/>
      </c>
      <c r="C107" s="43">
        <f>IFERROR(INDEX(الموظفون_الإدارة,101),"")</f>
        <v/>
      </c>
      <c r="D107" s="60">
        <f>IFERROR(INDEX(الموظفون_الاساسي,101),"")</f>
        <v/>
      </c>
      <c r="E107" s="60">
        <f>IFERROR(INDEX(الموظفون_البدلات,101),"")</f>
        <v/>
      </c>
      <c r="F107" s="60">
        <f>IFERROR(SUMIFS(الرواتب_الاضافي,الرواتب_الرقم,$A107),"")</f>
        <v/>
      </c>
      <c r="G107" s="60">
        <f>IFERROR(SUMIFS(الرواتب_المكافآت,الرواتب_الرقم,$A107),"")</f>
        <v/>
      </c>
      <c r="H107" s="60">
        <f>IFERROR(SUMIFS(التدريب_التكلفة,التدريب_الرقم,$A107),"")</f>
        <v/>
      </c>
      <c r="I107" s="60">
        <f>IF($A107="","",IFERROR($D107+$E107+$F107+$G107+$H107,0))</f>
        <v/>
      </c>
      <c r="J107" s="44">
        <f>IF($A107="","",COUNTIFS(الرواتب_الرقم,$A107))</f>
        <v/>
      </c>
    </row>
    <row r="108">
      <c r="A108" s="50">
        <f>IFERROR(INDEX(الموظفون_الرقم,102),"")</f>
        <v/>
      </c>
      <c r="B108" s="50">
        <f>IFERROR(INDEX(الموظفون_الاسم,102),"")</f>
        <v/>
      </c>
      <c r="C108" s="50">
        <f>IFERROR(INDEX(الموظفون_الإدارة,102),"")</f>
        <v/>
      </c>
      <c r="D108" s="63">
        <f>IFERROR(INDEX(الموظفون_الاساسي,102),"")</f>
        <v/>
      </c>
      <c r="E108" s="63">
        <f>IFERROR(INDEX(الموظفون_البدلات,102),"")</f>
        <v/>
      </c>
      <c r="F108" s="63">
        <f>IFERROR(SUMIFS(الرواتب_الاضافي,الرواتب_الرقم,$A108),"")</f>
        <v/>
      </c>
      <c r="G108" s="63">
        <f>IFERROR(SUMIFS(الرواتب_المكافآت,الرواتب_الرقم,$A108),"")</f>
        <v/>
      </c>
      <c r="H108" s="63">
        <f>IFERROR(SUMIFS(التدريب_التكلفة,التدريب_الرقم,$A108),"")</f>
        <v/>
      </c>
      <c r="I108" s="63">
        <f>IF($A108="","",IFERROR($D108+$E108+$F108+$G108+$H108,0))</f>
        <v/>
      </c>
      <c r="J108" s="51">
        <f>IF($A108="","",COUNTIFS(الرواتب_الرقم,$A108))</f>
        <v/>
      </c>
    </row>
    <row r="109">
      <c r="A109" s="43">
        <f>IFERROR(INDEX(الموظفون_الرقم,103),"")</f>
        <v/>
      </c>
      <c r="B109" s="43">
        <f>IFERROR(INDEX(الموظفون_الاسم,103),"")</f>
        <v/>
      </c>
      <c r="C109" s="43">
        <f>IFERROR(INDEX(الموظفون_الإدارة,103),"")</f>
        <v/>
      </c>
      <c r="D109" s="60">
        <f>IFERROR(INDEX(الموظفون_الاساسي,103),"")</f>
        <v/>
      </c>
      <c r="E109" s="60">
        <f>IFERROR(INDEX(الموظفون_البدلات,103),"")</f>
        <v/>
      </c>
      <c r="F109" s="60">
        <f>IFERROR(SUMIFS(الرواتب_الاضافي,الرواتب_الرقم,$A109),"")</f>
        <v/>
      </c>
      <c r="G109" s="60">
        <f>IFERROR(SUMIFS(الرواتب_المكافآت,الرواتب_الرقم,$A109),"")</f>
        <v/>
      </c>
      <c r="H109" s="60">
        <f>IFERROR(SUMIFS(التدريب_التكلفة,التدريب_الرقم,$A109),"")</f>
        <v/>
      </c>
      <c r="I109" s="60">
        <f>IF($A109="","",IFERROR($D109+$E109+$F109+$G109+$H109,0))</f>
        <v/>
      </c>
      <c r="J109" s="44">
        <f>IF($A109="","",COUNTIFS(الرواتب_الرقم,$A109))</f>
        <v/>
      </c>
    </row>
    <row r="110">
      <c r="A110" s="50">
        <f>IFERROR(INDEX(الموظفون_الرقم,104),"")</f>
        <v/>
      </c>
      <c r="B110" s="50">
        <f>IFERROR(INDEX(الموظفون_الاسم,104),"")</f>
        <v/>
      </c>
      <c r="C110" s="50">
        <f>IFERROR(INDEX(الموظفون_الإدارة,104),"")</f>
        <v/>
      </c>
      <c r="D110" s="63">
        <f>IFERROR(INDEX(الموظفون_الاساسي,104),"")</f>
        <v/>
      </c>
      <c r="E110" s="63">
        <f>IFERROR(INDEX(الموظفون_البدلات,104),"")</f>
        <v/>
      </c>
      <c r="F110" s="63">
        <f>IFERROR(SUMIFS(الرواتب_الاضافي,الرواتب_الرقم,$A110),"")</f>
        <v/>
      </c>
      <c r="G110" s="63">
        <f>IFERROR(SUMIFS(الرواتب_المكافآت,الرواتب_الرقم,$A110),"")</f>
        <v/>
      </c>
      <c r="H110" s="63">
        <f>IFERROR(SUMIFS(التدريب_التكلفة,التدريب_الرقم,$A110),"")</f>
        <v/>
      </c>
      <c r="I110" s="63">
        <f>IF($A110="","",IFERROR($D110+$E110+$F110+$G110+$H110,0))</f>
        <v/>
      </c>
      <c r="J110" s="51">
        <f>IF($A110="","",COUNTIFS(الرواتب_الرقم,$A110))</f>
        <v/>
      </c>
    </row>
    <row r="111">
      <c r="A111" s="43">
        <f>IFERROR(INDEX(الموظفون_الرقم,105),"")</f>
        <v/>
      </c>
      <c r="B111" s="43">
        <f>IFERROR(INDEX(الموظفون_الاسم,105),"")</f>
        <v/>
      </c>
      <c r="C111" s="43">
        <f>IFERROR(INDEX(الموظفون_الإدارة,105),"")</f>
        <v/>
      </c>
      <c r="D111" s="60">
        <f>IFERROR(INDEX(الموظفون_الاساسي,105),"")</f>
        <v/>
      </c>
      <c r="E111" s="60">
        <f>IFERROR(INDEX(الموظفون_البدلات,105),"")</f>
        <v/>
      </c>
      <c r="F111" s="60">
        <f>IFERROR(SUMIFS(الرواتب_الاضافي,الرواتب_الرقم,$A111),"")</f>
        <v/>
      </c>
      <c r="G111" s="60">
        <f>IFERROR(SUMIFS(الرواتب_المكافآت,الرواتب_الرقم,$A111),"")</f>
        <v/>
      </c>
      <c r="H111" s="60">
        <f>IFERROR(SUMIFS(التدريب_التكلفة,التدريب_الرقم,$A111),"")</f>
        <v/>
      </c>
      <c r="I111" s="60">
        <f>IF($A111="","",IFERROR($D111+$E111+$F111+$G111+$H111,0))</f>
        <v/>
      </c>
      <c r="J111" s="44">
        <f>IF($A111="","",COUNTIFS(الرواتب_الرقم,$A111))</f>
        <v/>
      </c>
    </row>
    <row r="112">
      <c r="A112" s="50">
        <f>IFERROR(INDEX(الموظفون_الرقم,106),"")</f>
        <v/>
      </c>
      <c r="B112" s="50">
        <f>IFERROR(INDEX(الموظفون_الاسم,106),"")</f>
        <v/>
      </c>
      <c r="C112" s="50">
        <f>IFERROR(INDEX(الموظفون_الإدارة,106),"")</f>
        <v/>
      </c>
      <c r="D112" s="63">
        <f>IFERROR(INDEX(الموظفون_الاساسي,106),"")</f>
        <v/>
      </c>
      <c r="E112" s="63">
        <f>IFERROR(INDEX(الموظفون_البدلات,106),"")</f>
        <v/>
      </c>
      <c r="F112" s="63">
        <f>IFERROR(SUMIFS(الرواتب_الاضافي,الرواتب_الرقم,$A112),"")</f>
        <v/>
      </c>
      <c r="G112" s="63">
        <f>IFERROR(SUMIFS(الرواتب_المكافآت,الرواتب_الرقم,$A112),"")</f>
        <v/>
      </c>
      <c r="H112" s="63">
        <f>IFERROR(SUMIFS(التدريب_التكلفة,التدريب_الرقم,$A112),"")</f>
        <v/>
      </c>
      <c r="I112" s="63">
        <f>IF($A112="","",IFERROR($D112+$E112+$F112+$G112+$H112,0))</f>
        <v/>
      </c>
      <c r="J112" s="51">
        <f>IF($A112="","",COUNTIFS(الرواتب_الرقم,$A112))</f>
        <v/>
      </c>
    </row>
    <row r="113">
      <c r="A113" s="43">
        <f>IFERROR(INDEX(الموظفون_الرقم,107),"")</f>
        <v/>
      </c>
      <c r="B113" s="43">
        <f>IFERROR(INDEX(الموظفون_الاسم,107),"")</f>
        <v/>
      </c>
      <c r="C113" s="43">
        <f>IFERROR(INDEX(الموظفون_الإدارة,107),"")</f>
        <v/>
      </c>
      <c r="D113" s="60">
        <f>IFERROR(INDEX(الموظفون_الاساسي,107),"")</f>
        <v/>
      </c>
      <c r="E113" s="60">
        <f>IFERROR(INDEX(الموظفون_البدلات,107),"")</f>
        <v/>
      </c>
      <c r="F113" s="60">
        <f>IFERROR(SUMIFS(الرواتب_الاضافي,الرواتب_الرقم,$A113),"")</f>
        <v/>
      </c>
      <c r="G113" s="60">
        <f>IFERROR(SUMIFS(الرواتب_المكافآت,الرواتب_الرقم,$A113),"")</f>
        <v/>
      </c>
      <c r="H113" s="60">
        <f>IFERROR(SUMIFS(التدريب_التكلفة,التدريب_الرقم,$A113),"")</f>
        <v/>
      </c>
      <c r="I113" s="60">
        <f>IF($A113="","",IFERROR($D113+$E113+$F113+$G113+$H113,0))</f>
        <v/>
      </c>
      <c r="J113" s="44">
        <f>IF($A113="","",COUNTIFS(الرواتب_الرقم,$A113))</f>
        <v/>
      </c>
    </row>
    <row r="114">
      <c r="A114" s="50">
        <f>IFERROR(INDEX(الموظفون_الرقم,108),"")</f>
        <v/>
      </c>
      <c r="B114" s="50">
        <f>IFERROR(INDEX(الموظفون_الاسم,108),"")</f>
        <v/>
      </c>
      <c r="C114" s="50">
        <f>IFERROR(INDEX(الموظفون_الإدارة,108),"")</f>
        <v/>
      </c>
      <c r="D114" s="63">
        <f>IFERROR(INDEX(الموظفون_الاساسي,108),"")</f>
        <v/>
      </c>
      <c r="E114" s="63">
        <f>IFERROR(INDEX(الموظفون_البدلات,108),"")</f>
        <v/>
      </c>
      <c r="F114" s="63">
        <f>IFERROR(SUMIFS(الرواتب_الاضافي,الرواتب_الرقم,$A114),"")</f>
        <v/>
      </c>
      <c r="G114" s="63">
        <f>IFERROR(SUMIFS(الرواتب_المكافآت,الرواتب_الرقم,$A114),"")</f>
        <v/>
      </c>
      <c r="H114" s="63">
        <f>IFERROR(SUMIFS(التدريب_التكلفة,التدريب_الرقم,$A114),"")</f>
        <v/>
      </c>
      <c r="I114" s="63">
        <f>IF($A114="","",IFERROR($D114+$E114+$F114+$G114+$H114,0))</f>
        <v/>
      </c>
      <c r="J114" s="51">
        <f>IF($A114="","",COUNTIFS(الرواتب_الرقم,$A114))</f>
        <v/>
      </c>
    </row>
    <row r="115">
      <c r="A115" s="43">
        <f>IFERROR(INDEX(الموظفون_الرقم,109),"")</f>
        <v/>
      </c>
      <c r="B115" s="43">
        <f>IFERROR(INDEX(الموظفون_الاسم,109),"")</f>
        <v/>
      </c>
      <c r="C115" s="43">
        <f>IFERROR(INDEX(الموظفون_الإدارة,109),"")</f>
        <v/>
      </c>
      <c r="D115" s="60">
        <f>IFERROR(INDEX(الموظفون_الاساسي,109),"")</f>
        <v/>
      </c>
      <c r="E115" s="60">
        <f>IFERROR(INDEX(الموظفون_البدلات,109),"")</f>
        <v/>
      </c>
      <c r="F115" s="60">
        <f>IFERROR(SUMIFS(الرواتب_الاضافي,الرواتب_الرقم,$A115),"")</f>
        <v/>
      </c>
      <c r="G115" s="60">
        <f>IFERROR(SUMIFS(الرواتب_المكافآت,الرواتب_الرقم,$A115),"")</f>
        <v/>
      </c>
      <c r="H115" s="60">
        <f>IFERROR(SUMIFS(التدريب_التكلفة,التدريب_الرقم,$A115),"")</f>
        <v/>
      </c>
      <c r="I115" s="60">
        <f>IF($A115="","",IFERROR($D115+$E115+$F115+$G115+$H115,0))</f>
        <v/>
      </c>
      <c r="J115" s="44">
        <f>IF($A115="","",COUNTIFS(الرواتب_الرقم,$A115))</f>
        <v/>
      </c>
    </row>
    <row r="116">
      <c r="A116" s="50">
        <f>IFERROR(INDEX(الموظفون_الرقم,110),"")</f>
        <v/>
      </c>
      <c r="B116" s="50">
        <f>IFERROR(INDEX(الموظفون_الاسم,110),"")</f>
        <v/>
      </c>
      <c r="C116" s="50">
        <f>IFERROR(INDEX(الموظفون_الإدارة,110),"")</f>
        <v/>
      </c>
      <c r="D116" s="63">
        <f>IFERROR(INDEX(الموظفون_الاساسي,110),"")</f>
        <v/>
      </c>
      <c r="E116" s="63">
        <f>IFERROR(INDEX(الموظفون_البدلات,110),"")</f>
        <v/>
      </c>
      <c r="F116" s="63">
        <f>IFERROR(SUMIFS(الرواتب_الاضافي,الرواتب_الرقم,$A116),"")</f>
        <v/>
      </c>
      <c r="G116" s="63">
        <f>IFERROR(SUMIFS(الرواتب_المكافآت,الرواتب_الرقم,$A116),"")</f>
        <v/>
      </c>
      <c r="H116" s="63">
        <f>IFERROR(SUMIFS(التدريب_التكلفة,التدريب_الرقم,$A116),"")</f>
        <v/>
      </c>
      <c r="I116" s="63">
        <f>IF($A116="","",IFERROR($D116+$E116+$F116+$G116+$H116,0))</f>
        <v/>
      </c>
      <c r="J116" s="51">
        <f>IF($A116="","",COUNTIFS(الرواتب_الرقم,$A116))</f>
        <v/>
      </c>
    </row>
    <row r="117">
      <c r="A117" s="43">
        <f>IFERROR(INDEX(الموظفون_الرقم,111),"")</f>
        <v/>
      </c>
      <c r="B117" s="43">
        <f>IFERROR(INDEX(الموظفون_الاسم,111),"")</f>
        <v/>
      </c>
      <c r="C117" s="43">
        <f>IFERROR(INDEX(الموظفون_الإدارة,111),"")</f>
        <v/>
      </c>
      <c r="D117" s="60">
        <f>IFERROR(INDEX(الموظفون_الاساسي,111),"")</f>
        <v/>
      </c>
      <c r="E117" s="60">
        <f>IFERROR(INDEX(الموظفون_البدلات,111),"")</f>
        <v/>
      </c>
      <c r="F117" s="60">
        <f>IFERROR(SUMIFS(الرواتب_الاضافي,الرواتب_الرقم,$A117),"")</f>
        <v/>
      </c>
      <c r="G117" s="60">
        <f>IFERROR(SUMIFS(الرواتب_المكافآت,الرواتب_الرقم,$A117),"")</f>
        <v/>
      </c>
      <c r="H117" s="60">
        <f>IFERROR(SUMIFS(التدريب_التكلفة,التدريب_الرقم,$A117),"")</f>
        <v/>
      </c>
      <c r="I117" s="60">
        <f>IF($A117="","",IFERROR($D117+$E117+$F117+$G117+$H117,0))</f>
        <v/>
      </c>
      <c r="J117" s="44">
        <f>IF($A117="","",COUNTIFS(الرواتب_الرقم,$A117))</f>
        <v/>
      </c>
    </row>
    <row r="118">
      <c r="A118" s="50">
        <f>IFERROR(INDEX(الموظفون_الرقم,112),"")</f>
        <v/>
      </c>
      <c r="B118" s="50">
        <f>IFERROR(INDEX(الموظفون_الاسم,112),"")</f>
        <v/>
      </c>
      <c r="C118" s="50">
        <f>IFERROR(INDEX(الموظفون_الإدارة,112),"")</f>
        <v/>
      </c>
      <c r="D118" s="63">
        <f>IFERROR(INDEX(الموظفون_الاساسي,112),"")</f>
        <v/>
      </c>
      <c r="E118" s="63">
        <f>IFERROR(INDEX(الموظفون_البدلات,112),"")</f>
        <v/>
      </c>
      <c r="F118" s="63">
        <f>IFERROR(SUMIFS(الرواتب_الاضافي,الرواتب_الرقم,$A118),"")</f>
        <v/>
      </c>
      <c r="G118" s="63">
        <f>IFERROR(SUMIFS(الرواتب_المكافآت,الرواتب_الرقم,$A118),"")</f>
        <v/>
      </c>
      <c r="H118" s="63">
        <f>IFERROR(SUMIFS(التدريب_التكلفة,التدريب_الرقم,$A118),"")</f>
        <v/>
      </c>
      <c r="I118" s="63">
        <f>IF($A118="","",IFERROR($D118+$E118+$F118+$G118+$H118,0))</f>
        <v/>
      </c>
      <c r="J118" s="51">
        <f>IF($A118="","",COUNTIFS(الرواتب_الرقم,$A118))</f>
        <v/>
      </c>
    </row>
    <row r="119">
      <c r="A119" s="43">
        <f>IFERROR(INDEX(الموظفون_الرقم,113),"")</f>
        <v/>
      </c>
      <c r="B119" s="43">
        <f>IFERROR(INDEX(الموظفون_الاسم,113),"")</f>
        <v/>
      </c>
      <c r="C119" s="43">
        <f>IFERROR(INDEX(الموظفون_الإدارة,113),"")</f>
        <v/>
      </c>
      <c r="D119" s="60">
        <f>IFERROR(INDEX(الموظفون_الاساسي,113),"")</f>
        <v/>
      </c>
      <c r="E119" s="60">
        <f>IFERROR(INDEX(الموظفون_البدلات,113),"")</f>
        <v/>
      </c>
      <c r="F119" s="60">
        <f>IFERROR(SUMIFS(الرواتب_الاضافي,الرواتب_الرقم,$A119),"")</f>
        <v/>
      </c>
      <c r="G119" s="60">
        <f>IFERROR(SUMIFS(الرواتب_المكافآت,الرواتب_الرقم,$A119),"")</f>
        <v/>
      </c>
      <c r="H119" s="60">
        <f>IFERROR(SUMIFS(التدريب_التكلفة,التدريب_الرقم,$A119),"")</f>
        <v/>
      </c>
      <c r="I119" s="60">
        <f>IF($A119="","",IFERROR($D119+$E119+$F119+$G119+$H119,0))</f>
        <v/>
      </c>
      <c r="J119" s="44">
        <f>IF($A119="","",COUNTIFS(الرواتب_الرقم,$A119))</f>
        <v/>
      </c>
    </row>
    <row r="120">
      <c r="A120" s="50">
        <f>IFERROR(INDEX(الموظفون_الرقم,114),"")</f>
        <v/>
      </c>
      <c r="B120" s="50">
        <f>IFERROR(INDEX(الموظفون_الاسم,114),"")</f>
        <v/>
      </c>
      <c r="C120" s="50">
        <f>IFERROR(INDEX(الموظفون_الإدارة,114),"")</f>
        <v/>
      </c>
      <c r="D120" s="63">
        <f>IFERROR(INDEX(الموظفون_الاساسي,114),"")</f>
        <v/>
      </c>
      <c r="E120" s="63">
        <f>IFERROR(INDEX(الموظفون_البدلات,114),"")</f>
        <v/>
      </c>
      <c r="F120" s="63">
        <f>IFERROR(SUMIFS(الرواتب_الاضافي,الرواتب_الرقم,$A120),"")</f>
        <v/>
      </c>
      <c r="G120" s="63">
        <f>IFERROR(SUMIFS(الرواتب_المكافآت,الرواتب_الرقم,$A120),"")</f>
        <v/>
      </c>
      <c r="H120" s="63">
        <f>IFERROR(SUMIFS(التدريب_التكلفة,التدريب_الرقم,$A120),"")</f>
        <v/>
      </c>
      <c r="I120" s="63">
        <f>IF($A120="","",IFERROR($D120+$E120+$F120+$G120+$H120,0))</f>
        <v/>
      </c>
      <c r="J120" s="51">
        <f>IF($A120="","",COUNTIFS(الرواتب_الرقم,$A120))</f>
        <v/>
      </c>
    </row>
    <row r="121">
      <c r="A121" s="43">
        <f>IFERROR(INDEX(الموظفون_الرقم,115),"")</f>
        <v/>
      </c>
      <c r="B121" s="43">
        <f>IFERROR(INDEX(الموظفون_الاسم,115),"")</f>
        <v/>
      </c>
      <c r="C121" s="43">
        <f>IFERROR(INDEX(الموظفون_الإدارة,115),"")</f>
        <v/>
      </c>
      <c r="D121" s="60">
        <f>IFERROR(INDEX(الموظفون_الاساسي,115),"")</f>
        <v/>
      </c>
      <c r="E121" s="60">
        <f>IFERROR(INDEX(الموظفون_البدلات,115),"")</f>
        <v/>
      </c>
      <c r="F121" s="60">
        <f>IFERROR(SUMIFS(الرواتب_الاضافي,الرواتب_الرقم,$A121),"")</f>
        <v/>
      </c>
      <c r="G121" s="60">
        <f>IFERROR(SUMIFS(الرواتب_المكافآت,الرواتب_الرقم,$A121),"")</f>
        <v/>
      </c>
      <c r="H121" s="60">
        <f>IFERROR(SUMIFS(التدريب_التكلفة,التدريب_الرقم,$A121),"")</f>
        <v/>
      </c>
      <c r="I121" s="60">
        <f>IF($A121="","",IFERROR($D121+$E121+$F121+$G121+$H121,0))</f>
        <v/>
      </c>
      <c r="J121" s="44">
        <f>IF($A121="","",COUNTIFS(الرواتب_الرقم,$A121))</f>
        <v/>
      </c>
    </row>
    <row r="122">
      <c r="A122" s="50">
        <f>IFERROR(INDEX(الموظفون_الرقم,116),"")</f>
        <v/>
      </c>
      <c r="B122" s="50">
        <f>IFERROR(INDEX(الموظفون_الاسم,116),"")</f>
        <v/>
      </c>
      <c r="C122" s="50">
        <f>IFERROR(INDEX(الموظفون_الإدارة,116),"")</f>
        <v/>
      </c>
      <c r="D122" s="63">
        <f>IFERROR(INDEX(الموظفون_الاساسي,116),"")</f>
        <v/>
      </c>
      <c r="E122" s="63">
        <f>IFERROR(INDEX(الموظفون_البدلات,116),"")</f>
        <v/>
      </c>
      <c r="F122" s="63">
        <f>IFERROR(SUMIFS(الرواتب_الاضافي,الرواتب_الرقم,$A122),"")</f>
        <v/>
      </c>
      <c r="G122" s="63">
        <f>IFERROR(SUMIFS(الرواتب_المكافآت,الرواتب_الرقم,$A122),"")</f>
        <v/>
      </c>
      <c r="H122" s="63">
        <f>IFERROR(SUMIFS(التدريب_التكلفة,التدريب_الرقم,$A122),"")</f>
        <v/>
      </c>
      <c r="I122" s="63">
        <f>IF($A122="","",IFERROR($D122+$E122+$F122+$G122+$H122,0))</f>
        <v/>
      </c>
      <c r="J122" s="51">
        <f>IF($A122="","",COUNTIFS(الرواتب_الرقم,$A122))</f>
        <v/>
      </c>
    </row>
    <row r="123">
      <c r="A123" s="43">
        <f>IFERROR(INDEX(الموظفون_الرقم,117),"")</f>
        <v/>
      </c>
      <c r="B123" s="43">
        <f>IFERROR(INDEX(الموظفون_الاسم,117),"")</f>
        <v/>
      </c>
      <c r="C123" s="43">
        <f>IFERROR(INDEX(الموظفون_الإدارة,117),"")</f>
        <v/>
      </c>
      <c r="D123" s="60">
        <f>IFERROR(INDEX(الموظفون_الاساسي,117),"")</f>
        <v/>
      </c>
      <c r="E123" s="60">
        <f>IFERROR(INDEX(الموظفون_البدلات,117),"")</f>
        <v/>
      </c>
      <c r="F123" s="60">
        <f>IFERROR(SUMIFS(الرواتب_الاضافي,الرواتب_الرقم,$A123),"")</f>
        <v/>
      </c>
      <c r="G123" s="60">
        <f>IFERROR(SUMIFS(الرواتب_المكافآت,الرواتب_الرقم,$A123),"")</f>
        <v/>
      </c>
      <c r="H123" s="60">
        <f>IFERROR(SUMIFS(التدريب_التكلفة,التدريب_الرقم,$A123),"")</f>
        <v/>
      </c>
      <c r="I123" s="60">
        <f>IF($A123="","",IFERROR($D123+$E123+$F123+$G123+$H123,0))</f>
        <v/>
      </c>
      <c r="J123" s="44">
        <f>IF($A123="","",COUNTIFS(الرواتب_الرقم,$A123))</f>
        <v/>
      </c>
    </row>
    <row r="124">
      <c r="A124" s="50">
        <f>IFERROR(INDEX(الموظفون_الرقم,118),"")</f>
        <v/>
      </c>
      <c r="B124" s="50">
        <f>IFERROR(INDEX(الموظفون_الاسم,118),"")</f>
        <v/>
      </c>
      <c r="C124" s="50">
        <f>IFERROR(INDEX(الموظفون_الإدارة,118),"")</f>
        <v/>
      </c>
      <c r="D124" s="63">
        <f>IFERROR(INDEX(الموظفون_الاساسي,118),"")</f>
        <v/>
      </c>
      <c r="E124" s="63">
        <f>IFERROR(INDEX(الموظفون_البدلات,118),"")</f>
        <v/>
      </c>
      <c r="F124" s="63">
        <f>IFERROR(SUMIFS(الرواتب_الاضافي,الرواتب_الرقم,$A124),"")</f>
        <v/>
      </c>
      <c r="G124" s="63">
        <f>IFERROR(SUMIFS(الرواتب_المكافآت,الرواتب_الرقم,$A124),"")</f>
        <v/>
      </c>
      <c r="H124" s="63">
        <f>IFERROR(SUMIFS(التدريب_التكلفة,التدريب_الرقم,$A124),"")</f>
        <v/>
      </c>
      <c r="I124" s="63">
        <f>IF($A124="","",IFERROR($D124+$E124+$F124+$G124+$H124,0))</f>
        <v/>
      </c>
      <c r="J124" s="51">
        <f>IF($A124="","",COUNTIFS(الرواتب_الرقم,$A124))</f>
        <v/>
      </c>
    </row>
    <row r="125">
      <c r="A125" s="43">
        <f>IFERROR(INDEX(الموظفون_الرقم,119),"")</f>
        <v/>
      </c>
      <c r="B125" s="43">
        <f>IFERROR(INDEX(الموظفون_الاسم,119),"")</f>
        <v/>
      </c>
      <c r="C125" s="43">
        <f>IFERROR(INDEX(الموظفون_الإدارة,119),"")</f>
        <v/>
      </c>
      <c r="D125" s="60">
        <f>IFERROR(INDEX(الموظفون_الاساسي,119),"")</f>
        <v/>
      </c>
      <c r="E125" s="60">
        <f>IFERROR(INDEX(الموظفون_البدلات,119),"")</f>
        <v/>
      </c>
      <c r="F125" s="60">
        <f>IFERROR(SUMIFS(الرواتب_الاضافي,الرواتب_الرقم,$A125),"")</f>
        <v/>
      </c>
      <c r="G125" s="60">
        <f>IFERROR(SUMIFS(الرواتب_المكافآت,الرواتب_الرقم,$A125),"")</f>
        <v/>
      </c>
      <c r="H125" s="60">
        <f>IFERROR(SUMIFS(التدريب_التكلفة,التدريب_الرقم,$A125),"")</f>
        <v/>
      </c>
      <c r="I125" s="60">
        <f>IF($A125="","",IFERROR($D125+$E125+$F125+$G125+$H125,0))</f>
        <v/>
      </c>
      <c r="J125" s="44">
        <f>IF($A125="","",COUNTIFS(الرواتب_الرقم,$A125))</f>
        <v/>
      </c>
    </row>
    <row r="126">
      <c r="A126" s="50">
        <f>IFERROR(INDEX(الموظفون_الرقم,120),"")</f>
        <v/>
      </c>
      <c r="B126" s="50">
        <f>IFERROR(INDEX(الموظفون_الاسم,120),"")</f>
        <v/>
      </c>
      <c r="C126" s="50">
        <f>IFERROR(INDEX(الموظفون_الإدارة,120),"")</f>
        <v/>
      </c>
      <c r="D126" s="63">
        <f>IFERROR(INDEX(الموظفون_الاساسي,120),"")</f>
        <v/>
      </c>
      <c r="E126" s="63">
        <f>IFERROR(INDEX(الموظفون_البدلات,120),"")</f>
        <v/>
      </c>
      <c r="F126" s="63">
        <f>IFERROR(SUMIFS(الرواتب_الاضافي,الرواتب_الرقم,$A126),"")</f>
        <v/>
      </c>
      <c r="G126" s="63">
        <f>IFERROR(SUMIFS(الرواتب_المكافآت,الرواتب_الرقم,$A126),"")</f>
        <v/>
      </c>
      <c r="H126" s="63">
        <f>IFERROR(SUMIFS(التدريب_التكلفة,التدريب_الرقم,$A126),"")</f>
        <v/>
      </c>
      <c r="I126" s="63">
        <f>IF($A126="","",IFERROR($D126+$E126+$F126+$G126+$H126,0))</f>
        <v/>
      </c>
      <c r="J126" s="51">
        <f>IF($A126="","",COUNTIFS(الرواتب_الرقم,$A126))</f>
        <v/>
      </c>
    </row>
    <row r="127">
      <c r="A127" s="43">
        <f>IFERROR(INDEX(الموظفون_الرقم,121),"")</f>
        <v/>
      </c>
      <c r="B127" s="43">
        <f>IFERROR(INDEX(الموظفون_الاسم,121),"")</f>
        <v/>
      </c>
      <c r="C127" s="43">
        <f>IFERROR(INDEX(الموظفون_الإدارة,121),"")</f>
        <v/>
      </c>
      <c r="D127" s="60">
        <f>IFERROR(INDEX(الموظفون_الاساسي,121),"")</f>
        <v/>
      </c>
      <c r="E127" s="60">
        <f>IFERROR(INDEX(الموظفون_البدلات,121),"")</f>
        <v/>
      </c>
      <c r="F127" s="60">
        <f>IFERROR(SUMIFS(الرواتب_الاضافي,الرواتب_الرقم,$A127),"")</f>
        <v/>
      </c>
      <c r="G127" s="60">
        <f>IFERROR(SUMIFS(الرواتب_المكافآت,الرواتب_الرقم,$A127),"")</f>
        <v/>
      </c>
      <c r="H127" s="60">
        <f>IFERROR(SUMIFS(التدريب_التكلفة,التدريب_الرقم,$A127),"")</f>
        <v/>
      </c>
      <c r="I127" s="60">
        <f>IF($A127="","",IFERROR($D127+$E127+$F127+$G127+$H127,0))</f>
        <v/>
      </c>
      <c r="J127" s="44">
        <f>IF($A127="","",COUNTIFS(الرواتب_الرقم,$A127))</f>
        <v/>
      </c>
    </row>
    <row r="128">
      <c r="A128" s="50">
        <f>IFERROR(INDEX(الموظفون_الرقم,122),"")</f>
        <v/>
      </c>
      <c r="B128" s="50">
        <f>IFERROR(INDEX(الموظفون_الاسم,122),"")</f>
        <v/>
      </c>
      <c r="C128" s="50">
        <f>IFERROR(INDEX(الموظفون_الإدارة,122),"")</f>
        <v/>
      </c>
      <c r="D128" s="63">
        <f>IFERROR(INDEX(الموظفون_الاساسي,122),"")</f>
        <v/>
      </c>
      <c r="E128" s="63">
        <f>IFERROR(INDEX(الموظفون_البدلات,122),"")</f>
        <v/>
      </c>
      <c r="F128" s="63">
        <f>IFERROR(SUMIFS(الرواتب_الاضافي,الرواتب_الرقم,$A128),"")</f>
        <v/>
      </c>
      <c r="G128" s="63">
        <f>IFERROR(SUMIFS(الرواتب_المكافآت,الرواتب_الرقم,$A128),"")</f>
        <v/>
      </c>
      <c r="H128" s="63">
        <f>IFERROR(SUMIFS(التدريب_التكلفة,التدريب_الرقم,$A128),"")</f>
        <v/>
      </c>
      <c r="I128" s="63">
        <f>IF($A128="","",IFERROR($D128+$E128+$F128+$G128+$H128,0))</f>
        <v/>
      </c>
      <c r="J128" s="51">
        <f>IF($A128="","",COUNTIFS(الرواتب_الرقم,$A128))</f>
        <v/>
      </c>
    </row>
    <row r="129">
      <c r="A129" s="43">
        <f>IFERROR(INDEX(الموظفون_الرقم,123),"")</f>
        <v/>
      </c>
      <c r="B129" s="43">
        <f>IFERROR(INDEX(الموظفون_الاسم,123),"")</f>
        <v/>
      </c>
      <c r="C129" s="43">
        <f>IFERROR(INDEX(الموظفون_الإدارة,123),"")</f>
        <v/>
      </c>
      <c r="D129" s="60">
        <f>IFERROR(INDEX(الموظفون_الاساسي,123),"")</f>
        <v/>
      </c>
      <c r="E129" s="60">
        <f>IFERROR(INDEX(الموظفون_البدلات,123),"")</f>
        <v/>
      </c>
      <c r="F129" s="60">
        <f>IFERROR(SUMIFS(الرواتب_الاضافي,الرواتب_الرقم,$A129),"")</f>
        <v/>
      </c>
      <c r="G129" s="60">
        <f>IFERROR(SUMIFS(الرواتب_المكافآت,الرواتب_الرقم,$A129),"")</f>
        <v/>
      </c>
      <c r="H129" s="60">
        <f>IFERROR(SUMIFS(التدريب_التكلفة,التدريب_الرقم,$A129),"")</f>
        <v/>
      </c>
      <c r="I129" s="60">
        <f>IF($A129="","",IFERROR($D129+$E129+$F129+$G129+$H129,0))</f>
        <v/>
      </c>
      <c r="J129" s="44">
        <f>IF($A129="","",COUNTIFS(الرواتب_الرقم,$A129))</f>
        <v/>
      </c>
    </row>
    <row r="130">
      <c r="A130" s="50">
        <f>IFERROR(INDEX(الموظفون_الرقم,124),"")</f>
        <v/>
      </c>
      <c r="B130" s="50">
        <f>IFERROR(INDEX(الموظفون_الاسم,124),"")</f>
        <v/>
      </c>
      <c r="C130" s="50">
        <f>IFERROR(INDEX(الموظفون_الإدارة,124),"")</f>
        <v/>
      </c>
      <c r="D130" s="63">
        <f>IFERROR(INDEX(الموظفون_الاساسي,124),"")</f>
        <v/>
      </c>
      <c r="E130" s="63">
        <f>IFERROR(INDEX(الموظفون_البدلات,124),"")</f>
        <v/>
      </c>
      <c r="F130" s="63">
        <f>IFERROR(SUMIFS(الرواتب_الاضافي,الرواتب_الرقم,$A130),"")</f>
        <v/>
      </c>
      <c r="G130" s="63">
        <f>IFERROR(SUMIFS(الرواتب_المكافآت,الرواتب_الرقم,$A130),"")</f>
        <v/>
      </c>
      <c r="H130" s="63">
        <f>IFERROR(SUMIFS(التدريب_التكلفة,التدريب_الرقم,$A130),"")</f>
        <v/>
      </c>
      <c r="I130" s="63">
        <f>IF($A130="","",IFERROR($D130+$E130+$F130+$G130+$H130,0))</f>
        <v/>
      </c>
      <c r="J130" s="51">
        <f>IF($A130="","",COUNTIFS(الرواتب_الرقم,$A130))</f>
        <v/>
      </c>
    </row>
    <row r="131">
      <c r="A131" s="43">
        <f>IFERROR(INDEX(الموظفون_الرقم,125),"")</f>
        <v/>
      </c>
      <c r="B131" s="43">
        <f>IFERROR(INDEX(الموظفون_الاسم,125),"")</f>
        <v/>
      </c>
      <c r="C131" s="43">
        <f>IFERROR(INDEX(الموظفون_الإدارة,125),"")</f>
        <v/>
      </c>
      <c r="D131" s="60">
        <f>IFERROR(INDEX(الموظفون_الاساسي,125),"")</f>
        <v/>
      </c>
      <c r="E131" s="60">
        <f>IFERROR(INDEX(الموظفون_البدلات,125),"")</f>
        <v/>
      </c>
      <c r="F131" s="60">
        <f>IFERROR(SUMIFS(الرواتب_الاضافي,الرواتب_الرقم,$A131),"")</f>
        <v/>
      </c>
      <c r="G131" s="60">
        <f>IFERROR(SUMIFS(الرواتب_المكافآت,الرواتب_الرقم,$A131),"")</f>
        <v/>
      </c>
      <c r="H131" s="60">
        <f>IFERROR(SUMIFS(التدريب_التكلفة,التدريب_الرقم,$A131),"")</f>
        <v/>
      </c>
      <c r="I131" s="60">
        <f>IF($A131="","",IFERROR($D131+$E131+$F131+$G131+$H131,0))</f>
        <v/>
      </c>
      <c r="J131" s="44">
        <f>IF($A131="","",COUNTIFS(الرواتب_الرقم,$A131))</f>
        <v/>
      </c>
    </row>
    <row r="132">
      <c r="A132" s="50">
        <f>IFERROR(INDEX(الموظفون_الرقم,126),"")</f>
        <v/>
      </c>
      <c r="B132" s="50">
        <f>IFERROR(INDEX(الموظفون_الاسم,126),"")</f>
        <v/>
      </c>
      <c r="C132" s="50">
        <f>IFERROR(INDEX(الموظفون_الإدارة,126),"")</f>
        <v/>
      </c>
      <c r="D132" s="63">
        <f>IFERROR(INDEX(الموظفون_الاساسي,126),"")</f>
        <v/>
      </c>
      <c r="E132" s="63">
        <f>IFERROR(INDEX(الموظفون_البدلات,126),"")</f>
        <v/>
      </c>
      <c r="F132" s="63">
        <f>IFERROR(SUMIFS(الرواتب_الاضافي,الرواتب_الرقم,$A132),"")</f>
        <v/>
      </c>
      <c r="G132" s="63">
        <f>IFERROR(SUMIFS(الرواتب_المكافآت,الرواتب_الرقم,$A132),"")</f>
        <v/>
      </c>
      <c r="H132" s="63">
        <f>IFERROR(SUMIFS(التدريب_التكلفة,التدريب_الرقم,$A132),"")</f>
        <v/>
      </c>
      <c r="I132" s="63">
        <f>IF($A132="","",IFERROR($D132+$E132+$F132+$G132+$H132,0))</f>
        <v/>
      </c>
      <c r="J132" s="51">
        <f>IF($A132="","",COUNTIFS(الرواتب_الرقم,$A132))</f>
        <v/>
      </c>
    </row>
    <row r="133">
      <c r="A133" s="43">
        <f>IFERROR(INDEX(الموظفون_الرقم,127),"")</f>
        <v/>
      </c>
      <c r="B133" s="43">
        <f>IFERROR(INDEX(الموظفون_الاسم,127),"")</f>
        <v/>
      </c>
      <c r="C133" s="43">
        <f>IFERROR(INDEX(الموظفون_الإدارة,127),"")</f>
        <v/>
      </c>
      <c r="D133" s="60">
        <f>IFERROR(INDEX(الموظفون_الاساسي,127),"")</f>
        <v/>
      </c>
      <c r="E133" s="60">
        <f>IFERROR(INDEX(الموظفون_البدلات,127),"")</f>
        <v/>
      </c>
      <c r="F133" s="60">
        <f>IFERROR(SUMIFS(الرواتب_الاضافي,الرواتب_الرقم,$A133),"")</f>
        <v/>
      </c>
      <c r="G133" s="60">
        <f>IFERROR(SUMIFS(الرواتب_المكافآت,الرواتب_الرقم,$A133),"")</f>
        <v/>
      </c>
      <c r="H133" s="60">
        <f>IFERROR(SUMIFS(التدريب_التكلفة,التدريب_الرقم,$A133),"")</f>
        <v/>
      </c>
      <c r="I133" s="60">
        <f>IF($A133="","",IFERROR($D133+$E133+$F133+$G133+$H133,0))</f>
        <v/>
      </c>
      <c r="J133" s="44">
        <f>IF($A133="","",COUNTIFS(الرواتب_الرقم,$A133))</f>
        <v/>
      </c>
    </row>
    <row r="134">
      <c r="A134" s="50">
        <f>IFERROR(INDEX(الموظفون_الرقم,128),"")</f>
        <v/>
      </c>
      <c r="B134" s="50">
        <f>IFERROR(INDEX(الموظفون_الاسم,128),"")</f>
        <v/>
      </c>
      <c r="C134" s="50">
        <f>IFERROR(INDEX(الموظفون_الإدارة,128),"")</f>
        <v/>
      </c>
      <c r="D134" s="63">
        <f>IFERROR(INDEX(الموظفون_الاساسي,128),"")</f>
        <v/>
      </c>
      <c r="E134" s="63">
        <f>IFERROR(INDEX(الموظفون_البدلات,128),"")</f>
        <v/>
      </c>
      <c r="F134" s="63">
        <f>IFERROR(SUMIFS(الرواتب_الاضافي,الرواتب_الرقم,$A134),"")</f>
        <v/>
      </c>
      <c r="G134" s="63">
        <f>IFERROR(SUMIFS(الرواتب_المكافآت,الرواتب_الرقم,$A134),"")</f>
        <v/>
      </c>
      <c r="H134" s="63">
        <f>IFERROR(SUMIFS(التدريب_التكلفة,التدريب_الرقم,$A134),"")</f>
        <v/>
      </c>
      <c r="I134" s="63">
        <f>IF($A134="","",IFERROR($D134+$E134+$F134+$G134+$H134,0))</f>
        <v/>
      </c>
      <c r="J134" s="51">
        <f>IF($A134="","",COUNTIFS(الرواتب_الرقم,$A134))</f>
        <v/>
      </c>
    </row>
    <row r="135">
      <c r="A135" s="43">
        <f>IFERROR(INDEX(الموظفون_الرقم,129),"")</f>
        <v/>
      </c>
      <c r="B135" s="43">
        <f>IFERROR(INDEX(الموظفون_الاسم,129),"")</f>
        <v/>
      </c>
      <c r="C135" s="43">
        <f>IFERROR(INDEX(الموظفون_الإدارة,129),"")</f>
        <v/>
      </c>
      <c r="D135" s="60">
        <f>IFERROR(INDEX(الموظفون_الاساسي,129),"")</f>
        <v/>
      </c>
      <c r="E135" s="60">
        <f>IFERROR(INDEX(الموظفون_البدلات,129),"")</f>
        <v/>
      </c>
      <c r="F135" s="60">
        <f>IFERROR(SUMIFS(الرواتب_الاضافي,الرواتب_الرقم,$A135),"")</f>
        <v/>
      </c>
      <c r="G135" s="60">
        <f>IFERROR(SUMIFS(الرواتب_المكافآت,الرواتب_الرقم,$A135),"")</f>
        <v/>
      </c>
      <c r="H135" s="60">
        <f>IFERROR(SUMIFS(التدريب_التكلفة,التدريب_الرقم,$A135),"")</f>
        <v/>
      </c>
      <c r="I135" s="60">
        <f>IF($A135="","",IFERROR($D135+$E135+$F135+$G135+$H135,0))</f>
        <v/>
      </c>
      <c r="J135" s="44">
        <f>IF($A135="","",COUNTIFS(الرواتب_الرقم,$A135))</f>
        <v/>
      </c>
    </row>
    <row r="136">
      <c r="A136" s="50">
        <f>IFERROR(INDEX(الموظفون_الرقم,130),"")</f>
        <v/>
      </c>
      <c r="B136" s="50">
        <f>IFERROR(INDEX(الموظفون_الاسم,130),"")</f>
        <v/>
      </c>
      <c r="C136" s="50">
        <f>IFERROR(INDEX(الموظفون_الإدارة,130),"")</f>
        <v/>
      </c>
      <c r="D136" s="63">
        <f>IFERROR(INDEX(الموظفون_الاساسي,130),"")</f>
        <v/>
      </c>
      <c r="E136" s="63">
        <f>IFERROR(INDEX(الموظفون_البدلات,130),"")</f>
        <v/>
      </c>
      <c r="F136" s="63">
        <f>IFERROR(SUMIFS(الرواتب_الاضافي,الرواتب_الرقم,$A136),"")</f>
        <v/>
      </c>
      <c r="G136" s="63">
        <f>IFERROR(SUMIFS(الرواتب_المكافآت,الرواتب_الرقم,$A136),"")</f>
        <v/>
      </c>
      <c r="H136" s="63">
        <f>IFERROR(SUMIFS(التدريب_التكلفة,التدريب_الرقم,$A136),"")</f>
        <v/>
      </c>
      <c r="I136" s="63">
        <f>IF($A136="","",IFERROR($D136+$E136+$F136+$G136+$H136,0))</f>
        <v/>
      </c>
      <c r="J136" s="51">
        <f>IF($A136="","",COUNTIFS(الرواتب_الرقم,$A136))</f>
        <v/>
      </c>
    </row>
    <row r="137">
      <c r="A137" s="43">
        <f>IFERROR(INDEX(الموظفون_الرقم,131),"")</f>
        <v/>
      </c>
      <c r="B137" s="43">
        <f>IFERROR(INDEX(الموظفون_الاسم,131),"")</f>
        <v/>
      </c>
      <c r="C137" s="43">
        <f>IFERROR(INDEX(الموظفون_الإدارة,131),"")</f>
        <v/>
      </c>
      <c r="D137" s="60">
        <f>IFERROR(INDEX(الموظفون_الاساسي,131),"")</f>
        <v/>
      </c>
      <c r="E137" s="60">
        <f>IFERROR(INDEX(الموظفون_البدلات,131),"")</f>
        <v/>
      </c>
      <c r="F137" s="60">
        <f>IFERROR(SUMIFS(الرواتب_الاضافي,الرواتب_الرقم,$A137),"")</f>
        <v/>
      </c>
      <c r="G137" s="60">
        <f>IFERROR(SUMIFS(الرواتب_المكافآت,الرواتب_الرقم,$A137),"")</f>
        <v/>
      </c>
      <c r="H137" s="60">
        <f>IFERROR(SUMIFS(التدريب_التكلفة,التدريب_الرقم,$A137),"")</f>
        <v/>
      </c>
      <c r="I137" s="60">
        <f>IF($A137="","",IFERROR($D137+$E137+$F137+$G137+$H137,0))</f>
        <v/>
      </c>
      <c r="J137" s="44">
        <f>IF($A137="","",COUNTIFS(الرواتب_الرقم,$A137))</f>
        <v/>
      </c>
    </row>
    <row r="138">
      <c r="A138" s="50">
        <f>IFERROR(INDEX(الموظفون_الرقم,132),"")</f>
        <v/>
      </c>
      <c r="B138" s="50">
        <f>IFERROR(INDEX(الموظفون_الاسم,132),"")</f>
        <v/>
      </c>
      <c r="C138" s="50">
        <f>IFERROR(INDEX(الموظفون_الإدارة,132),"")</f>
        <v/>
      </c>
      <c r="D138" s="63">
        <f>IFERROR(INDEX(الموظفون_الاساسي,132),"")</f>
        <v/>
      </c>
      <c r="E138" s="63">
        <f>IFERROR(INDEX(الموظفون_البدلات,132),"")</f>
        <v/>
      </c>
      <c r="F138" s="63">
        <f>IFERROR(SUMIFS(الرواتب_الاضافي,الرواتب_الرقم,$A138),"")</f>
        <v/>
      </c>
      <c r="G138" s="63">
        <f>IFERROR(SUMIFS(الرواتب_المكافآت,الرواتب_الرقم,$A138),"")</f>
        <v/>
      </c>
      <c r="H138" s="63">
        <f>IFERROR(SUMIFS(التدريب_التكلفة,التدريب_الرقم,$A138),"")</f>
        <v/>
      </c>
      <c r="I138" s="63">
        <f>IF($A138="","",IFERROR($D138+$E138+$F138+$G138+$H138,0))</f>
        <v/>
      </c>
      <c r="J138" s="51">
        <f>IF($A138="","",COUNTIFS(الرواتب_الرقم,$A138))</f>
        <v/>
      </c>
    </row>
    <row r="139">
      <c r="A139" s="43">
        <f>IFERROR(INDEX(الموظفون_الرقم,133),"")</f>
        <v/>
      </c>
      <c r="B139" s="43">
        <f>IFERROR(INDEX(الموظفون_الاسم,133),"")</f>
        <v/>
      </c>
      <c r="C139" s="43">
        <f>IFERROR(INDEX(الموظفون_الإدارة,133),"")</f>
        <v/>
      </c>
      <c r="D139" s="60">
        <f>IFERROR(INDEX(الموظفون_الاساسي,133),"")</f>
        <v/>
      </c>
      <c r="E139" s="60">
        <f>IFERROR(INDEX(الموظفون_البدلات,133),"")</f>
        <v/>
      </c>
      <c r="F139" s="60">
        <f>IFERROR(SUMIFS(الرواتب_الاضافي,الرواتب_الرقم,$A139),"")</f>
        <v/>
      </c>
      <c r="G139" s="60">
        <f>IFERROR(SUMIFS(الرواتب_المكافآت,الرواتب_الرقم,$A139),"")</f>
        <v/>
      </c>
      <c r="H139" s="60">
        <f>IFERROR(SUMIFS(التدريب_التكلفة,التدريب_الرقم,$A139),"")</f>
        <v/>
      </c>
      <c r="I139" s="60">
        <f>IF($A139="","",IFERROR($D139+$E139+$F139+$G139+$H139,0))</f>
        <v/>
      </c>
      <c r="J139" s="44">
        <f>IF($A139="","",COUNTIFS(الرواتب_الرقم,$A139))</f>
        <v/>
      </c>
    </row>
    <row r="140">
      <c r="A140" s="50">
        <f>IFERROR(INDEX(الموظفون_الرقم,134),"")</f>
        <v/>
      </c>
      <c r="B140" s="50">
        <f>IFERROR(INDEX(الموظفون_الاسم,134),"")</f>
        <v/>
      </c>
      <c r="C140" s="50">
        <f>IFERROR(INDEX(الموظفون_الإدارة,134),"")</f>
        <v/>
      </c>
      <c r="D140" s="63">
        <f>IFERROR(INDEX(الموظفون_الاساسي,134),"")</f>
        <v/>
      </c>
      <c r="E140" s="63">
        <f>IFERROR(INDEX(الموظفون_البدلات,134),"")</f>
        <v/>
      </c>
      <c r="F140" s="63">
        <f>IFERROR(SUMIFS(الرواتب_الاضافي,الرواتب_الرقم,$A140),"")</f>
        <v/>
      </c>
      <c r="G140" s="63">
        <f>IFERROR(SUMIFS(الرواتب_المكافآت,الرواتب_الرقم,$A140),"")</f>
        <v/>
      </c>
      <c r="H140" s="63">
        <f>IFERROR(SUMIFS(التدريب_التكلفة,التدريب_الرقم,$A140),"")</f>
        <v/>
      </c>
      <c r="I140" s="63">
        <f>IF($A140="","",IFERROR($D140+$E140+$F140+$G140+$H140,0))</f>
        <v/>
      </c>
      <c r="J140" s="51">
        <f>IF($A140="","",COUNTIFS(الرواتب_الرقم,$A140))</f>
        <v/>
      </c>
    </row>
    <row r="141">
      <c r="A141" s="43">
        <f>IFERROR(INDEX(الموظفون_الرقم,135),"")</f>
        <v/>
      </c>
      <c r="B141" s="43">
        <f>IFERROR(INDEX(الموظفون_الاسم,135),"")</f>
        <v/>
      </c>
      <c r="C141" s="43">
        <f>IFERROR(INDEX(الموظفون_الإدارة,135),"")</f>
        <v/>
      </c>
      <c r="D141" s="60">
        <f>IFERROR(INDEX(الموظفون_الاساسي,135),"")</f>
        <v/>
      </c>
      <c r="E141" s="60">
        <f>IFERROR(INDEX(الموظفون_البدلات,135),"")</f>
        <v/>
      </c>
      <c r="F141" s="60">
        <f>IFERROR(SUMIFS(الرواتب_الاضافي,الرواتب_الرقم,$A141),"")</f>
        <v/>
      </c>
      <c r="G141" s="60">
        <f>IFERROR(SUMIFS(الرواتب_المكافآت,الرواتب_الرقم,$A141),"")</f>
        <v/>
      </c>
      <c r="H141" s="60">
        <f>IFERROR(SUMIFS(التدريب_التكلفة,التدريب_الرقم,$A141),"")</f>
        <v/>
      </c>
      <c r="I141" s="60">
        <f>IF($A141="","",IFERROR($D141+$E141+$F141+$G141+$H141,0))</f>
        <v/>
      </c>
      <c r="J141" s="44">
        <f>IF($A141="","",COUNTIFS(الرواتب_الرقم,$A141))</f>
        <v/>
      </c>
    </row>
    <row r="142">
      <c r="A142" s="50">
        <f>IFERROR(INDEX(الموظفون_الرقم,136),"")</f>
        <v/>
      </c>
      <c r="B142" s="50">
        <f>IFERROR(INDEX(الموظفون_الاسم,136),"")</f>
        <v/>
      </c>
      <c r="C142" s="50">
        <f>IFERROR(INDEX(الموظفون_الإدارة,136),"")</f>
        <v/>
      </c>
      <c r="D142" s="63">
        <f>IFERROR(INDEX(الموظفون_الاساسي,136),"")</f>
        <v/>
      </c>
      <c r="E142" s="63">
        <f>IFERROR(INDEX(الموظفون_البدلات,136),"")</f>
        <v/>
      </c>
      <c r="F142" s="63">
        <f>IFERROR(SUMIFS(الرواتب_الاضافي,الرواتب_الرقم,$A142),"")</f>
        <v/>
      </c>
      <c r="G142" s="63">
        <f>IFERROR(SUMIFS(الرواتب_المكافآت,الرواتب_الرقم,$A142),"")</f>
        <v/>
      </c>
      <c r="H142" s="63">
        <f>IFERROR(SUMIFS(التدريب_التكلفة,التدريب_الرقم,$A142),"")</f>
        <v/>
      </c>
      <c r="I142" s="63">
        <f>IF($A142="","",IFERROR($D142+$E142+$F142+$G142+$H142,0))</f>
        <v/>
      </c>
      <c r="J142" s="51">
        <f>IF($A142="","",COUNTIFS(الرواتب_الرقم,$A142))</f>
        <v/>
      </c>
    </row>
    <row r="143">
      <c r="A143" s="43">
        <f>IFERROR(INDEX(الموظفون_الرقم,137),"")</f>
        <v/>
      </c>
      <c r="B143" s="43">
        <f>IFERROR(INDEX(الموظفون_الاسم,137),"")</f>
        <v/>
      </c>
      <c r="C143" s="43">
        <f>IFERROR(INDEX(الموظفون_الإدارة,137),"")</f>
        <v/>
      </c>
      <c r="D143" s="60">
        <f>IFERROR(INDEX(الموظفون_الاساسي,137),"")</f>
        <v/>
      </c>
      <c r="E143" s="60">
        <f>IFERROR(INDEX(الموظفون_البدلات,137),"")</f>
        <v/>
      </c>
      <c r="F143" s="60">
        <f>IFERROR(SUMIFS(الرواتب_الاضافي,الرواتب_الرقم,$A143),"")</f>
        <v/>
      </c>
      <c r="G143" s="60">
        <f>IFERROR(SUMIFS(الرواتب_المكافآت,الرواتب_الرقم,$A143),"")</f>
        <v/>
      </c>
      <c r="H143" s="60">
        <f>IFERROR(SUMIFS(التدريب_التكلفة,التدريب_الرقم,$A143),"")</f>
        <v/>
      </c>
      <c r="I143" s="60">
        <f>IF($A143="","",IFERROR($D143+$E143+$F143+$G143+$H143,0))</f>
        <v/>
      </c>
      <c r="J143" s="44">
        <f>IF($A143="","",COUNTIFS(الرواتب_الرقم,$A143))</f>
        <v/>
      </c>
    </row>
    <row r="144">
      <c r="A144" s="50">
        <f>IFERROR(INDEX(الموظفون_الرقم,138),"")</f>
        <v/>
      </c>
      <c r="B144" s="50">
        <f>IFERROR(INDEX(الموظفون_الاسم,138),"")</f>
        <v/>
      </c>
      <c r="C144" s="50">
        <f>IFERROR(INDEX(الموظفون_الإدارة,138),"")</f>
        <v/>
      </c>
      <c r="D144" s="63">
        <f>IFERROR(INDEX(الموظفون_الاساسي,138),"")</f>
        <v/>
      </c>
      <c r="E144" s="63">
        <f>IFERROR(INDEX(الموظفون_البدلات,138),"")</f>
        <v/>
      </c>
      <c r="F144" s="63">
        <f>IFERROR(SUMIFS(الرواتب_الاضافي,الرواتب_الرقم,$A144),"")</f>
        <v/>
      </c>
      <c r="G144" s="63">
        <f>IFERROR(SUMIFS(الرواتب_المكافآت,الرواتب_الرقم,$A144),"")</f>
        <v/>
      </c>
      <c r="H144" s="63">
        <f>IFERROR(SUMIFS(التدريب_التكلفة,التدريب_الرقم,$A144),"")</f>
        <v/>
      </c>
      <c r="I144" s="63">
        <f>IF($A144="","",IFERROR($D144+$E144+$F144+$G144+$H144,0))</f>
        <v/>
      </c>
      <c r="J144" s="51">
        <f>IF($A144="","",COUNTIFS(الرواتب_الرقم,$A144))</f>
        <v/>
      </c>
    </row>
    <row r="145">
      <c r="A145" s="43">
        <f>IFERROR(INDEX(الموظفون_الرقم,139),"")</f>
        <v/>
      </c>
      <c r="B145" s="43">
        <f>IFERROR(INDEX(الموظفون_الاسم,139),"")</f>
        <v/>
      </c>
      <c r="C145" s="43">
        <f>IFERROR(INDEX(الموظفون_الإدارة,139),"")</f>
        <v/>
      </c>
      <c r="D145" s="60">
        <f>IFERROR(INDEX(الموظفون_الاساسي,139),"")</f>
        <v/>
      </c>
      <c r="E145" s="60">
        <f>IFERROR(INDEX(الموظفون_البدلات,139),"")</f>
        <v/>
      </c>
      <c r="F145" s="60">
        <f>IFERROR(SUMIFS(الرواتب_الاضافي,الرواتب_الرقم,$A145),"")</f>
        <v/>
      </c>
      <c r="G145" s="60">
        <f>IFERROR(SUMIFS(الرواتب_المكافآت,الرواتب_الرقم,$A145),"")</f>
        <v/>
      </c>
      <c r="H145" s="60">
        <f>IFERROR(SUMIFS(التدريب_التكلفة,التدريب_الرقم,$A145),"")</f>
        <v/>
      </c>
      <c r="I145" s="60">
        <f>IF($A145="","",IFERROR($D145+$E145+$F145+$G145+$H145,0))</f>
        <v/>
      </c>
      <c r="J145" s="44">
        <f>IF($A145="","",COUNTIFS(الرواتب_الرقم,$A145))</f>
        <v/>
      </c>
    </row>
    <row r="146">
      <c r="A146" s="50">
        <f>IFERROR(INDEX(الموظفون_الرقم,140),"")</f>
        <v/>
      </c>
      <c r="B146" s="50">
        <f>IFERROR(INDEX(الموظفون_الاسم,140),"")</f>
        <v/>
      </c>
      <c r="C146" s="50">
        <f>IFERROR(INDEX(الموظفون_الإدارة,140),"")</f>
        <v/>
      </c>
      <c r="D146" s="63">
        <f>IFERROR(INDEX(الموظفون_الاساسي,140),"")</f>
        <v/>
      </c>
      <c r="E146" s="63">
        <f>IFERROR(INDEX(الموظفون_البدلات,140),"")</f>
        <v/>
      </c>
      <c r="F146" s="63">
        <f>IFERROR(SUMIFS(الرواتب_الاضافي,الرواتب_الرقم,$A146),"")</f>
        <v/>
      </c>
      <c r="G146" s="63">
        <f>IFERROR(SUMIFS(الرواتب_المكافآت,الرواتب_الرقم,$A146),"")</f>
        <v/>
      </c>
      <c r="H146" s="63">
        <f>IFERROR(SUMIFS(التدريب_التكلفة,التدريب_الرقم,$A146),"")</f>
        <v/>
      </c>
      <c r="I146" s="63">
        <f>IF($A146="","",IFERROR($D146+$E146+$F146+$G146+$H146,0))</f>
        <v/>
      </c>
      <c r="J146" s="51">
        <f>IF($A146="","",COUNTIFS(الرواتب_الرقم,$A146))</f>
        <v/>
      </c>
    </row>
    <row r="147">
      <c r="A147" s="43">
        <f>IFERROR(INDEX(الموظفون_الرقم,141),"")</f>
        <v/>
      </c>
      <c r="B147" s="43">
        <f>IFERROR(INDEX(الموظفون_الاسم,141),"")</f>
        <v/>
      </c>
      <c r="C147" s="43">
        <f>IFERROR(INDEX(الموظفون_الإدارة,141),"")</f>
        <v/>
      </c>
      <c r="D147" s="60">
        <f>IFERROR(INDEX(الموظفون_الاساسي,141),"")</f>
        <v/>
      </c>
      <c r="E147" s="60">
        <f>IFERROR(INDEX(الموظفون_البدلات,141),"")</f>
        <v/>
      </c>
      <c r="F147" s="60">
        <f>IFERROR(SUMIFS(الرواتب_الاضافي,الرواتب_الرقم,$A147),"")</f>
        <v/>
      </c>
      <c r="G147" s="60">
        <f>IFERROR(SUMIFS(الرواتب_المكافآت,الرواتب_الرقم,$A147),"")</f>
        <v/>
      </c>
      <c r="H147" s="60">
        <f>IFERROR(SUMIFS(التدريب_التكلفة,التدريب_الرقم,$A147),"")</f>
        <v/>
      </c>
      <c r="I147" s="60">
        <f>IF($A147="","",IFERROR($D147+$E147+$F147+$G147+$H147,0))</f>
        <v/>
      </c>
      <c r="J147" s="44">
        <f>IF($A147="","",COUNTIFS(الرواتب_الرقم,$A147))</f>
        <v/>
      </c>
    </row>
    <row r="148">
      <c r="A148" s="50">
        <f>IFERROR(INDEX(الموظفون_الرقم,142),"")</f>
        <v/>
      </c>
      <c r="B148" s="50">
        <f>IFERROR(INDEX(الموظفون_الاسم,142),"")</f>
        <v/>
      </c>
      <c r="C148" s="50">
        <f>IFERROR(INDEX(الموظفون_الإدارة,142),"")</f>
        <v/>
      </c>
      <c r="D148" s="63">
        <f>IFERROR(INDEX(الموظفون_الاساسي,142),"")</f>
        <v/>
      </c>
      <c r="E148" s="63">
        <f>IFERROR(INDEX(الموظفون_البدلات,142),"")</f>
        <v/>
      </c>
      <c r="F148" s="63">
        <f>IFERROR(SUMIFS(الرواتب_الاضافي,الرواتب_الرقم,$A148),"")</f>
        <v/>
      </c>
      <c r="G148" s="63">
        <f>IFERROR(SUMIFS(الرواتب_المكافآت,الرواتب_الرقم,$A148),"")</f>
        <v/>
      </c>
      <c r="H148" s="63">
        <f>IFERROR(SUMIFS(التدريب_التكلفة,التدريب_الرقم,$A148),"")</f>
        <v/>
      </c>
      <c r="I148" s="63">
        <f>IF($A148="","",IFERROR($D148+$E148+$F148+$G148+$H148,0))</f>
        <v/>
      </c>
      <c r="J148" s="51">
        <f>IF($A148="","",COUNTIFS(الرواتب_الرقم,$A148))</f>
        <v/>
      </c>
    </row>
    <row r="149">
      <c r="A149" s="43">
        <f>IFERROR(INDEX(الموظفون_الرقم,143),"")</f>
        <v/>
      </c>
      <c r="B149" s="43">
        <f>IFERROR(INDEX(الموظفون_الاسم,143),"")</f>
        <v/>
      </c>
      <c r="C149" s="43">
        <f>IFERROR(INDEX(الموظفون_الإدارة,143),"")</f>
        <v/>
      </c>
      <c r="D149" s="60">
        <f>IFERROR(INDEX(الموظفون_الاساسي,143),"")</f>
        <v/>
      </c>
      <c r="E149" s="60">
        <f>IFERROR(INDEX(الموظفون_البدلات,143),"")</f>
        <v/>
      </c>
      <c r="F149" s="60">
        <f>IFERROR(SUMIFS(الرواتب_الاضافي,الرواتب_الرقم,$A149),"")</f>
        <v/>
      </c>
      <c r="G149" s="60">
        <f>IFERROR(SUMIFS(الرواتب_المكافآت,الرواتب_الرقم,$A149),"")</f>
        <v/>
      </c>
      <c r="H149" s="60">
        <f>IFERROR(SUMIFS(التدريب_التكلفة,التدريب_الرقم,$A149),"")</f>
        <v/>
      </c>
      <c r="I149" s="60">
        <f>IF($A149="","",IFERROR($D149+$E149+$F149+$G149+$H149,0))</f>
        <v/>
      </c>
      <c r="J149" s="44">
        <f>IF($A149="","",COUNTIFS(الرواتب_الرقم,$A149))</f>
        <v/>
      </c>
    </row>
    <row r="150">
      <c r="A150" s="50">
        <f>IFERROR(INDEX(الموظفون_الرقم,144),"")</f>
        <v/>
      </c>
      <c r="B150" s="50">
        <f>IFERROR(INDEX(الموظفون_الاسم,144),"")</f>
        <v/>
      </c>
      <c r="C150" s="50">
        <f>IFERROR(INDEX(الموظفون_الإدارة,144),"")</f>
        <v/>
      </c>
      <c r="D150" s="63">
        <f>IFERROR(INDEX(الموظفون_الاساسي,144),"")</f>
        <v/>
      </c>
      <c r="E150" s="63">
        <f>IFERROR(INDEX(الموظفون_البدلات,144),"")</f>
        <v/>
      </c>
      <c r="F150" s="63">
        <f>IFERROR(SUMIFS(الرواتب_الاضافي,الرواتب_الرقم,$A150),"")</f>
        <v/>
      </c>
      <c r="G150" s="63">
        <f>IFERROR(SUMIFS(الرواتب_المكافآت,الرواتب_الرقم,$A150),"")</f>
        <v/>
      </c>
      <c r="H150" s="63">
        <f>IFERROR(SUMIFS(التدريب_التكلفة,التدريب_الرقم,$A150),"")</f>
        <v/>
      </c>
      <c r="I150" s="63">
        <f>IF($A150="","",IFERROR($D150+$E150+$F150+$G150+$H150,0))</f>
        <v/>
      </c>
      <c r="J150" s="51">
        <f>IF($A150="","",COUNTIFS(الرواتب_الرقم,$A150))</f>
        <v/>
      </c>
    </row>
    <row r="151">
      <c r="A151" s="43">
        <f>IFERROR(INDEX(الموظفون_الرقم,145),"")</f>
        <v/>
      </c>
      <c r="B151" s="43">
        <f>IFERROR(INDEX(الموظفون_الاسم,145),"")</f>
        <v/>
      </c>
      <c r="C151" s="43">
        <f>IFERROR(INDEX(الموظفون_الإدارة,145),"")</f>
        <v/>
      </c>
      <c r="D151" s="60">
        <f>IFERROR(INDEX(الموظفون_الاساسي,145),"")</f>
        <v/>
      </c>
      <c r="E151" s="60">
        <f>IFERROR(INDEX(الموظفون_البدلات,145),"")</f>
        <v/>
      </c>
      <c r="F151" s="60">
        <f>IFERROR(SUMIFS(الرواتب_الاضافي,الرواتب_الرقم,$A151),"")</f>
        <v/>
      </c>
      <c r="G151" s="60">
        <f>IFERROR(SUMIFS(الرواتب_المكافآت,الرواتب_الرقم,$A151),"")</f>
        <v/>
      </c>
      <c r="H151" s="60">
        <f>IFERROR(SUMIFS(التدريب_التكلفة,التدريب_الرقم,$A151),"")</f>
        <v/>
      </c>
      <c r="I151" s="60">
        <f>IF($A151="","",IFERROR($D151+$E151+$F151+$G151+$H151,0))</f>
        <v/>
      </c>
      <c r="J151" s="44">
        <f>IF($A151="","",COUNTIFS(الرواتب_الرقم,$A151))</f>
        <v/>
      </c>
    </row>
    <row r="152">
      <c r="A152" s="50">
        <f>IFERROR(INDEX(الموظفون_الرقم,146),"")</f>
        <v/>
      </c>
      <c r="B152" s="50">
        <f>IFERROR(INDEX(الموظفون_الاسم,146),"")</f>
        <v/>
      </c>
      <c r="C152" s="50">
        <f>IFERROR(INDEX(الموظفون_الإدارة,146),"")</f>
        <v/>
      </c>
      <c r="D152" s="63">
        <f>IFERROR(INDEX(الموظفون_الاساسي,146),"")</f>
        <v/>
      </c>
      <c r="E152" s="63">
        <f>IFERROR(INDEX(الموظفون_البدلات,146),"")</f>
        <v/>
      </c>
      <c r="F152" s="63">
        <f>IFERROR(SUMIFS(الرواتب_الاضافي,الرواتب_الرقم,$A152),"")</f>
        <v/>
      </c>
      <c r="G152" s="63">
        <f>IFERROR(SUMIFS(الرواتب_المكافآت,الرواتب_الرقم,$A152),"")</f>
        <v/>
      </c>
      <c r="H152" s="63">
        <f>IFERROR(SUMIFS(التدريب_التكلفة,التدريب_الرقم,$A152),"")</f>
        <v/>
      </c>
      <c r="I152" s="63">
        <f>IF($A152="","",IFERROR($D152+$E152+$F152+$G152+$H152,0))</f>
        <v/>
      </c>
      <c r="J152" s="51">
        <f>IF($A152="","",COUNTIFS(الرواتب_الرقم,$A152))</f>
        <v/>
      </c>
    </row>
    <row r="153">
      <c r="A153" s="43">
        <f>IFERROR(INDEX(الموظفون_الرقم,147),"")</f>
        <v/>
      </c>
      <c r="B153" s="43">
        <f>IFERROR(INDEX(الموظفون_الاسم,147),"")</f>
        <v/>
      </c>
      <c r="C153" s="43">
        <f>IFERROR(INDEX(الموظفون_الإدارة,147),"")</f>
        <v/>
      </c>
      <c r="D153" s="60">
        <f>IFERROR(INDEX(الموظفون_الاساسي,147),"")</f>
        <v/>
      </c>
      <c r="E153" s="60">
        <f>IFERROR(INDEX(الموظفون_البدلات,147),"")</f>
        <v/>
      </c>
      <c r="F153" s="60">
        <f>IFERROR(SUMIFS(الرواتب_الاضافي,الرواتب_الرقم,$A153),"")</f>
        <v/>
      </c>
      <c r="G153" s="60">
        <f>IFERROR(SUMIFS(الرواتب_المكافآت,الرواتب_الرقم,$A153),"")</f>
        <v/>
      </c>
      <c r="H153" s="60">
        <f>IFERROR(SUMIFS(التدريب_التكلفة,التدريب_الرقم,$A153),"")</f>
        <v/>
      </c>
      <c r="I153" s="60">
        <f>IF($A153="","",IFERROR($D153+$E153+$F153+$G153+$H153,0))</f>
        <v/>
      </c>
      <c r="J153" s="44">
        <f>IF($A153="","",COUNTIFS(الرواتب_الرقم,$A153))</f>
        <v/>
      </c>
    </row>
    <row r="154">
      <c r="A154" s="50">
        <f>IFERROR(INDEX(الموظفون_الرقم,148),"")</f>
        <v/>
      </c>
      <c r="B154" s="50">
        <f>IFERROR(INDEX(الموظفون_الاسم,148),"")</f>
        <v/>
      </c>
      <c r="C154" s="50">
        <f>IFERROR(INDEX(الموظفون_الإدارة,148),"")</f>
        <v/>
      </c>
      <c r="D154" s="63">
        <f>IFERROR(INDEX(الموظفون_الاساسي,148),"")</f>
        <v/>
      </c>
      <c r="E154" s="63">
        <f>IFERROR(INDEX(الموظفون_البدلات,148),"")</f>
        <v/>
      </c>
      <c r="F154" s="63">
        <f>IFERROR(SUMIFS(الرواتب_الاضافي,الرواتب_الرقم,$A154),"")</f>
        <v/>
      </c>
      <c r="G154" s="63">
        <f>IFERROR(SUMIFS(الرواتب_المكافآت,الرواتب_الرقم,$A154),"")</f>
        <v/>
      </c>
      <c r="H154" s="63">
        <f>IFERROR(SUMIFS(التدريب_التكلفة,التدريب_الرقم,$A154),"")</f>
        <v/>
      </c>
      <c r="I154" s="63">
        <f>IF($A154="","",IFERROR($D154+$E154+$F154+$G154+$H154,0))</f>
        <v/>
      </c>
      <c r="J154" s="51">
        <f>IF($A154="","",COUNTIFS(الرواتب_الرقم,$A154))</f>
        <v/>
      </c>
    </row>
    <row r="155">
      <c r="A155" s="43">
        <f>IFERROR(INDEX(الموظفون_الرقم,149),"")</f>
        <v/>
      </c>
      <c r="B155" s="43">
        <f>IFERROR(INDEX(الموظفون_الاسم,149),"")</f>
        <v/>
      </c>
      <c r="C155" s="43">
        <f>IFERROR(INDEX(الموظفون_الإدارة,149),"")</f>
        <v/>
      </c>
      <c r="D155" s="60">
        <f>IFERROR(INDEX(الموظفون_الاساسي,149),"")</f>
        <v/>
      </c>
      <c r="E155" s="60">
        <f>IFERROR(INDEX(الموظفون_البدلات,149),"")</f>
        <v/>
      </c>
      <c r="F155" s="60">
        <f>IFERROR(SUMIFS(الرواتب_الاضافي,الرواتب_الرقم,$A155),"")</f>
        <v/>
      </c>
      <c r="G155" s="60">
        <f>IFERROR(SUMIFS(الرواتب_المكافآت,الرواتب_الرقم,$A155),"")</f>
        <v/>
      </c>
      <c r="H155" s="60">
        <f>IFERROR(SUMIFS(التدريب_التكلفة,التدريب_الرقم,$A155),"")</f>
        <v/>
      </c>
      <c r="I155" s="60">
        <f>IF($A155="","",IFERROR($D155+$E155+$F155+$G155+$H155,0))</f>
        <v/>
      </c>
      <c r="J155" s="44">
        <f>IF($A155="","",COUNTIFS(الرواتب_الرقم,$A155))</f>
        <v/>
      </c>
    </row>
    <row r="156">
      <c r="A156" s="50">
        <f>IFERROR(INDEX(الموظفون_الرقم,150),"")</f>
        <v/>
      </c>
      <c r="B156" s="50">
        <f>IFERROR(INDEX(الموظفون_الاسم,150),"")</f>
        <v/>
      </c>
      <c r="C156" s="50">
        <f>IFERROR(INDEX(الموظفون_الإدارة,150),"")</f>
        <v/>
      </c>
      <c r="D156" s="63">
        <f>IFERROR(INDEX(الموظفون_الاساسي,150),"")</f>
        <v/>
      </c>
      <c r="E156" s="63">
        <f>IFERROR(INDEX(الموظفون_البدلات,150),"")</f>
        <v/>
      </c>
      <c r="F156" s="63">
        <f>IFERROR(SUMIFS(الرواتب_الاضافي,الرواتب_الرقم,$A156),"")</f>
        <v/>
      </c>
      <c r="G156" s="63">
        <f>IFERROR(SUMIFS(الرواتب_المكافآت,الرواتب_الرقم,$A156),"")</f>
        <v/>
      </c>
      <c r="H156" s="63">
        <f>IFERROR(SUMIFS(التدريب_التكلفة,التدريب_الرقم,$A156),"")</f>
        <v/>
      </c>
      <c r="I156" s="63">
        <f>IF($A156="","",IFERROR($D156+$E156+$F156+$G156+$H156,0))</f>
        <v/>
      </c>
      <c r="J156" s="51">
        <f>IF($A156="","",COUNTIFS(الرواتب_الرقم,$A156))</f>
        <v/>
      </c>
    </row>
    <row r="157">
      <c r="A157" s="43">
        <f>IFERROR(INDEX(الموظفون_الرقم,151),"")</f>
        <v/>
      </c>
      <c r="B157" s="43">
        <f>IFERROR(INDEX(الموظفون_الاسم,151),"")</f>
        <v/>
      </c>
      <c r="C157" s="43">
        <f>IFERROR(INDEX(الموظفون_الإدارة,151),"")</f>
        <v/>
      </c>
      <c r="D157" s="60">
        <f>IFERROR(INDEX(الموظفون_الاساسي,151),"")</f>
        <v/>
      </c>
      <c r="E157" s="60">
        <f>IFERROR(INDEX(الموظفون_البدلات,151),"")</f>
        <v/>
      </c>
      <c r="F157" s="60">
        <f>IFERROR(SUMIFS(الرواتب_الاضافي,الرواتب_الرقم,$A157),"")</f>
        <v/>
      </c>
      <c r="G157" s="60">
        <f>IFERROR(SUMIFS(الرواتب_المكافآت,الرواتب_الرقم,$A157),"")</f>
        <v/>
      </c>
      <c r="H157" s="60">
        <f>IFERROR(SUMIFS(التدريب_التكلفة,التدريب_الرقم,$A157),"")</f>
        <v/>
      </c>
      <c r="I157" s="60">
        <f>IF($A157="","",IFERROR($D157+$E157+$F157+$G157+$H157,0))</f>
        <v/>
      </c>
      <c r="J157" s="44">
        <f>IF($A157="","",COUNTIFS(الرواتب_الرقم,$A157))</f>
        <v/>
      </c>
    </row>
    <row r="158">
      <c r="A158" s="50">
        <f>IFERROR(INDEX(الموظفون_الرقم,152),"")</f>
        <v/>
      </c>
      <c r="B158" s="50">
        <f>IFERROR(INDEX(الموظفون_الاسم,152),"")</f>
        <v/>
      </c>
      <c r="C158" s="50">
        <f>IFERROR(INDEX(الموظفون_الإدارة,152),"")</f>
        <v/>
      </c>
      <c r="D158" s="63">
        <f>IFERROR(INDEX(الموظفون_الاساسي,152),"")</f>
        <v/>
      </c>
      <c r="E158" s="63">
        <f>IFERROR(INDEX(الموظفون_البدلات,152),"")</f>
        <v/>
      </c>
      <c r="F158" s="63">
        <f>IFERROR(SUMIFS(الرواتب_الاضافي,الرواتب_الرقم,$A158),"")</f>
        <v/>
      </c>
      <c r="G158" s="63">
        <f>IFERROR(SUMIFS(الرواتب_المكافآت,الرواتب_الرقم,$A158),"")</f>
        <v/>
      </c>
      <c r="H158" s="63">
        <f>IFERROR(SUMIFS(التدريب_التكلفة,التدريب_الرقم,$A158),"")</f>
        <v/>
      </c>
      <c r="I158" s="63">
        <f>IF($A158="","",IFERROR($D158+$E158+$F158+$G158+$H158,0))</f>
        <v/>
      </c>
      <c r="J158" s="51">
        <f>IF($A158="","",COUNTIFS(الرواتب_الرقم,$A158))</f>
        <v/>
      </c>
    </row>
    <row r="159">
      <c r="A159" s="43">
        <f>IFERROR(INDEX(الموظفون_الرقم,153),"")</f>
        <v/>
      </c>
      <c r="B159" s="43">
        <f>IFERROR(INDEX(الموظفون_الاسم,153),"")</f>
        <v/>
      </c>
      <c r="C159" s="43">
        <f>IFERROR(INDEX(الموظفون_الإدارة,153),"")</f>
        <v/>
      </c>
      <c r="D159" s="60">
        <f>IFERROR(INDEX(الموظفون_الاساسي,153),"")</f>
        <v/>
      </c>
      <c r="E159" s="60">
        <f>IFERROR(INDEX(الموظفون_البدلات,153),"")</f>
        <v/>
      </c>
      <c r="F159" s="60">
        <f>IFERROR(SUMIFS(الرواتب_الاضافي,الرواتب_الرقم,$A159),"")</f>
        <v/>
      </c>
      <c r="G159" s="60">
        <f>IFERROR(SUMIFS(الرواتب_المكافآت,الرواتب_الرقم,$A159),"")</f>
        <v/>
      </c>
      <c r="H159" s="60">
        <f>IFERROR(SUMIFS(التدريب_التكلفة,التدريب_الرقم,$A159),"")</f>
        <v/>
      </c>
      <c r="I159" s="60">
        <f>IF($A159="","",IFERROR($D159+$E159+$F159+$G159+$H159,0))</f>
        <v/>
      </c>
      <c r="J159" s="44">
        <f>IF($A159="","",COUNTIFS(الرواتب_الرقم,$A159))</f>
        <v/>
      </c>
    </row>
    <row r="160">
      <c r="A160" s="50">
        <f>IFERROR(INDEX(الموظفون_الرقم,154),"")</f>
        <v/>
      </c>
      <c r="B160" s="50">
        <f>IFERROR(INDEX(الموظفون_الاسم,154),"")</f>
        <v/>
      </c>
      <c r="C160" s="50">
        <f>IFERROR(INDEX(الموظفون_الإدارة,154),"")</f>
        <v/>
      </c>
      <c r="D160" s="63">
        <f>IFERROR(INDEX(الموظفون_الاساسي,154),"")</f>
        <v/>
      </c>
      <c r="E160" s="63">
        <f>IFERROR(INDEX(الموظفون_البدلات,154),"")</f>
        <v/>
      </c>
      <c r="F160" s="63">
        <f>IFERROR(SUMIFS(الرواتب_الاضافي,الرواتب_الرقم,$A160),"")</f>
        <v/>
      </c>
      <c r="G160" s="63">
        <f>IFERROR(SUMIFS(الرواتب_المكافآت,الرواتب_الرقم,$A160),"")</f>
        <v/>
      </c>
      <c r="H160" s="63">
        <f>IFERROR(SUMIFS(التدريب_التكلفة,التدريب_الرقم,$A160),"")</f>
        <v/>
      </c>
      <c r="I160" s="63">
        <f>IF($A160="","",IFERROR($D160+$E160+$F160+$G160+$H160,0))</f>
        <v/>
      </c>
      <c r="J160" s="51">
        <f>IF($A160="","",COUNTIFS(الرواتب_الرقم,$A160))</f>
        <v/>
      </c>
    </row>
    <row r="161">
      <c r="A161" s="43">
        <f>IFERROR(INDEX(الموظفون_الرقم,155),"")</f>
        <v/>
      </c>
      <c r="B161" s="43">
        <f>IFERROR(INDEX(الموظفون_الاسم,155),"")</f>
        <v/>
      </c>
      <c r="C161" s="43">
        <f>IFERROR(INDEX(الموظفون_الإدارة,155),"")</f>
        <v/>
      </c>
      <c r="D161" s="60">
        <f>IFERROR(INDEX(الموظفون_الاساسي,155),"")</f>
        <v/>
      </c>
      <c r="E161" s="60">
        <f>IFERROR(INDEX(الموظفون_البدلات,155),"")</f>
        <v/>
      </c>
      <c r="F161" s="60">
        <f>IFERROR(SUMIFS(الرواتب_الاضافي,الرواتب_الرقم,$A161),"")</f>
        <v/>
      </c>
      <c r="G161" s="60">
        <f>IFERROR(SUMIFS(الرواتب_المكافآت,الرواتب_الرقم,$A161),"")</f>
        <v/>
      </c>
      <c r="H161" s="60">
        <f>IFERROR(SUMIFS(التدريب_التكلفة,التدريب_الرقم,$A161),"")</f>
        <v/>
      </c>
      <c r="I161" s="60">
        <f>IF($A161="","",IFERROR($D161+$E161+$F161+$G161+$H161,0))</f>
        <v/>
      </c>
      <c r="J161" s="44">
        <f>IF($A161="","",COUNTIFS(الرواتب_الرقم,$A161))</f>
        <v/>
      </c>
    </row>
    <row r="162">
      <c r="A162" s="50">
        <f>IFERROR(INDEX(الموظفون_الرقم,156),"")</f>
        <v/>
      </c>
      <c r="B162" s="50">
        <f>IFERROR(INDEX(الموظفون_الاسم,156),"")</f>
        <v/>
      </c>
      <c r="C162" s="50">
        <f>IFERROR(INDEX(الموظفون_الإدارة,156),"")</f>
        <v/>
      </c>
      <c r="D162" s="63">
        <f>IFERROR(INDEX(الموظفون_الاساسي,156),"")</f>
        <v/>
      </c>
      <c r="E162" s="63">
        <f>IFERROR(INDEX(الموظفون_البدلات,156),"")</f>
        <v/>
      </c>
      <c r="F162" s="63">
        <f>IFERROR(SUMIFS(الرواتب_الاضافي,الرواتب_الرقم,$A162),"")</f>
        <v/>
      </c>
      <c r="G162" s="63">
        <f>IFERROR(SUMIFS(الرواتب_المكافآت,الرواتب_الرقم,$A162),"")</f>
        <v/>
      </c>
      <c r="H162" s="63">
        <f>IFERROR(SUMIFS(التدريب_التكلفة,التدريب_الرقم,$A162),"")</f>
        <v/>
      </c>
      <c r="I162" s="63">
        <f>IF($A162="","",IFERROR($D162+$E162+$F162+$G162+$H162,0))</f>
        <v/>
      </c>
      <c r="J162" s="51">
        <f>IF($A162="","",COUNTIFS(الرواتب_الرقم,$A162))</f>
        <v/>
      </c>
    </row>
    <row r="163">
      <c r="A163" s="43">
        <f>IFERROR(INDEX(الموظفون_الرقم,157),"")</f>
        <v/>
      </c>
      <c r="B163" s="43">
        <f>IFERROR(INDEX(الموظفون_الاسم,157),"")</f>
        <v/>
      </c>
      <c r="C163" s="43">
        <f>IFERROR(INDEX(الموظفون_الإدارة,157),"")</f>
        <v/>
      </c>
      <c r="D163" s="60">
        <f>IFERROR(INDEX(الموظفون_الاساسي,157),"")</f>
        <v/>
      </c>
      <c r="E163" s="60">
        <f>IFERROR(INDEX(الموظفون_البدلات,157),"")</f>
        <v/>
      </c>
      <c r="F163" s="60">
        <f>IFERROR(SUMIFS(الرواتب_الاضافي,الرواتب_الرقم,$A163),"")</f>
        <v/>
      </c>
      <c r="G163" s="60">
        <f>IFERROR(SUMIFS(الرواتب_المكافآت,الرواتب_الرقم,$A163),"")</f>
        <v/>
      </c>
      <c r="H163" s="60">
        <f>IFERROR(SUMIFS(التدريب_التكلفة,التدريب_الرقم,$A163),"")</f>
        <v/>
      </c>
      <c r="I163" s="60">
        <f>IF($A163="","",IFERROR($D163+$E163+$F163+$G163+$H163,0))</f>
        <v/>
      </c>
      <c r="J163" s="44">
        <f>IF($A163="","",COUNTIFS(الرواتب_الرقم,$A163))</f>
        <v/>
      </c>
    </row>
    <row r="164">
      <c r="A164" s="50">
        <f>IFERROR(INDEX(الموظفون_الرقم,158),"")</f>
        <v/>
      </c>
      <c r="B164" s="50">
        <f>IFERROR(INDEX(الموظفون_الاسم,158),"")</f>
        <v/>
      </c>
      <c r="C164" s="50">
        <f>IFERROR(INDEX(الموظفون_الإدارة,158),"")</f>
        <v/>
      </c>
      <c r="D164" s="63">
        <f>IFERROR(INDEX(الموظفون_الاساسي,158),"")</f>
        <v/>
      </c>
      <c r="E164" s="63">
        <f>IFERROR(INDEX(الموظفون_البدلات,158),"")</f>
        <v/>
      </c>
      <c r="F164" s="63">
        <f>IFERROR(SUMIFS(الرواتب_الاضافي,الرواتب_الرقم,$A164),"")</f>
        <v/>
      </c>
      <c r="G164" s="63">
        <f>IFERROR(SUMIFS(الرواتب_المكافآت,الرواتب_الرقم,$A164),"")</f>
        <v/>
      </c>
      <c r="H164" s="63">
        <f>IFERROR(SUMIFS(التدريب_التكلفة,التدريب_الرقم,$A164),"")</f>
        <v/>
      </c>
      <c r="I164" s="63">
        <f>IF($A164="","",IFERROR($D164+$E164+$F164+$G164+$H164,0))</f>
        <v/>
      </c>
      <c r="J164" s="51">
        <f>IF($A164="","",COUNTIFS(الرواتب_الرقم,$A164))</f>
        <v/>
      </c>
    </row>
    <row r="165">
      <c r="A165" s="43">
        <f>IFERROR(INDEX(الموظفون_الرقم,159),"")</f>
        <v/>
      </c>
      <c r="B165" s="43">
        <f>IFERROR(INDEX(الموظفون_الاسم,159),"")</f>
        <v/>
      </c>
      <c r="C165" s="43">
        <f>IFERROR(INDEX(الموظفون_الإدارة,159),"")</f>
        <v/>
      </c>
      <c r="D165" s="60">
        <f>IFERROR(INDEX(الموظفون_الاساسي,159),"")</f>
        <v/>
      </c>
      <c r="E165" s="60">
        <f>IFERROR(INDEX(الموظفون_البدلات,159),"")</f>
        <v/>
      </c>
      <c r="F165" s="60">
        <f>IFERROR(SUMIFS(الرواتب_الاضافي,الرواتب_الرقم,$A165),"")</f>
        <v/>
      </c>
      <c r="G165" s="60">
        <f>IFERROR(SUMIFS(الرواتب_المكافآت,الرواتب_الرقم,$A165),"")</f>
        <v/>
      </c>
      <c r="H165" s="60">
        <f>IFERROR(SUMIFS(التدريب_التكلفة,التدريب_الرقم,$A165),"")</f>
        <v/>
      </c>
      <c r="I165" s="60">
        <f>IF($A165="","",IFERROR($D165+$E165+$F165+$G165+$H165,0))</f>
        <v/>
      </c>
      <c r="J165" s="44">
        <f>IF($A165="","",COUNTIFS(الرواتب_الرقم,$A165))</f>
        <v/>
      </c>
    </row>
    <row r="166">
      <c r="A166" s="50">
        <f>IFERROR(INDEX(الموظفون_الرقم,160),"")</f>
        <v/>
      </c>
      <c r="B166" s="50">
        <f>IFERROR(INDEX(الموظفون_الاسم,160),"")</f>
        <v/>
      </c>
      <c r="C166" s="50">
        <f>IFERROR(INDEX(الموظفون_الإدارة,160),"")</f>
        <v/>
      </c>
      <c r="D166" s="63">
        <f>IFERROR(INDEX(الموظفون_الاساسي,160),"")</f>
        <v/>
      </c>
      <c r="E166" s="63">
        <f>IFERROR(INDEX(الموظفون_البدلات,160),"")</f>
        <v/>
      </c>
      <c r="F166" s="63">
        <f>IFERROR(SUMIFS(الرواتب_الاضافي,الرواتب_الرقم,$A166),"")</f>
        <v/>
      </c>
      <c r="G166" s="63">
        <f>IFERROR(SUMIFS(الرواتب_المكافآت,الرواتب_الرقم,$A166),"")</f>
        <v/>
      </c>
      <c r="H166" s="63">
        <f>IFERROR(SUMIFS(التدريب_التكلفة,التدريب_الرقم,$A166),"")</f>
        <v/>
      </c>
      <c r="I166" s="63">
        <f>IF($A166="","",IFERROR($D166+$E166+$F166+$G166+$H166,0))</f>
        <v/>
      </c>
      <c r="J166" s="51">
        <f>IF($A166="","",COUNTIFS(الرواتب_الرقم,$A166))</f>
        <v/>
      </c>
    </row>
    <row r="167">
      <c r="A167" s="43">
        <f>IFERROR(INDEX(الموظفون_الرقم,161),"")</f>
        <v/>
      </c>
      <c r="B167" s="43">
        <f>IFERROR(INDEX(الموظفون_الاسم,161),"")</f>
        <v/>
      </c>
      <c r="C167" s="43">
        <f>IFERROR(INDEX(الموظفون_الإدارة,161),"")</f>
        <v/>
      </c>
      <c r="D167" s="60">
        <f>IFERROR(INDEX(الموظفون_الاساسي,161),"")</f>
        <v/>
      </c>
      <c r="E167" s="60">
        <f>IFERROR(INDEX(الموظفون_البدلات,161),"")</f>
        <v/>
      </c>
      <c r="F167" s="60">
        <f>IFERROR(SUMIFS(الرواتب_الاضافي,الرواتب_الرقم,$A167),"")</f>
        <v/>
      </c>
      <c r="G167" s="60">
        <f>IFERROR(SUMIFS(الرواتب_المكافآت,الرواتب_الرقم,$A167),"")</f>
        <v/>
      </c>
      <c r="H167" s="60">
        <f>IFERROR(SUMIFS(التدريب_التكلفة,التدريب_الرقم,$A167),"")</f>
        <v/>
      </c>
      <c r="I167" s="60">
        <f>IF($A167="","",IFERROR($D167+$E167+$F167+$G167+$H167,0))</f>
        <v/>
      </c>
      <c r="J167" s="44">
        <f>IF($A167="","",COUNTIFS(الرواتب_الرقم,$A167))</f>
        <v/>
      </c>
    </row>
    <row r="168">
      <c r="A168" s="50">
        <f>IFERROR(INDEX(الموظفون_الرقم,162),"")</f>
        <v/>
      </c>
      <c r="B168" s="50">
        <f>IFERROR(INDEX(الموظفون_الاسم,162),"")</f>
        <v/>
      </c>
      <c r="C168" s="50">
        <f>IFERROR(INDEX(الموظفون_الإدارة,162),"")</f>
        <v/>
      </c>
      <c r="D168" s="63">
        <f>IFERROR(INDEX(الموظفون_الاساسي,162),"")</f>
        <v/>
      </c>
      <c r="E168" s="63">
        <f>IFERROR(INDEX(الموظفون_البدلات,162),"")</f>
        <v/>
      </c>
      <c r="F168" s="63">
        <f>IFERROR(SUMIFS(الرواتب_الاضافي,الرواتب_الرقم,$A168),"")</f>
        <v/>
      </c>
      <c r="G168" s="63">
        <f>IFERROR(SUMIFS(الرواتب_المكافآت,الرواتب_الرقم,$A168),"")</f>
        <v/>
      </c>
      <c r="H168" s="63">
        <f>IFERROR(SUMIFS(التدريب_التكلفة,التدريب_الرقم,$A168),"")</f>
        <v/>
      </c>
      <c r="I168" s="63">
        <f>IF($A168="","",IFERROR($D168+$E168+$F168+$G168+$H168,0))</f>
        <v/>
      </c>
      <c r="J168" s="51">
        <f>IF($A168="","",COUNTIFS(الرواتب_الرقم,$A168))</f>
        <v/>
      </c>
    </row>
    <row r="169">
      <c r="A169" s="43">
        <f>IFERROR(INDEX(الموظفون_الرقم,163),"")</f>
        <v/>
      </c>
      <c r="B169" s="43">
        <f>IFERROR(INDEX(الموظفون_الاسم,163),"")</f>
        <v/>
      </c>
      <c r="C169" s="43">
        <f>IFERROR(INDEX(الموظفون_الإدارة,163),"")</f>
        <v/>
      </c>
      <c r="D169" s="60">
        <f>IFERROR(INDEX(الموظفون_الاساسي,163),"")</f>
        <v/>
      </c>
      <c r="E169" s="60">
        <f>IFERROR(INDEX(الموظفون_البدلات,163),"")</f>
        <v/>
      </c>
      <c r="F169" s="60">
        <f>IFERROR(SUMIFS(الرواتب_الاضافي,الرواتب_الرقم,$A169),"")</f>
        <v/>
      </c>
      <c r="G169" s="60">
        <f>IFERROR(SUMIFS(الرواتب_المكافآت,الرواتب_الرقم,$A169),"")</f>
        <v/>
      </c>
      <c r="H169" s="60">
        <f>IFERROR(SUMIFS(التدريب_التكلفة,التدريب_الرقم,$A169),"")</f>
        <v/>
      </c>
      <c r="I169" s="60">
        <f>IF($A169="","",IFERROR($D169+$E169+$F169+$G169+$H169,0))</f>
        <v/>
      </c>
      <c r="J169" s="44">
        <f>IF($A169="","",COUNTIFS(الرواتب_الرقم,$A169))</f>
        <v/>
      </c>
    </row>
    <row r="170">
      <c r="A170" s="50">
        <f>IFERROR(INDEX(الموظفون_الرقم,164),"")</f>
        <v/>
      </c>
      <c r="B170" s="50">
        <f>IFERROR(INDEX(الموظفون_الاسم,164),"")</f>
        <v/>
      </c>
      <c r="C170" s="50">
        <f>IFERROR(INDEX(الموظفون_الإدارة,164),"")</f>
        <v/>
      </c>
      <c r="D170" s="63">
        <f>IFERROR(INDEX(الموظفون_الاساسي,164),"")</f>
        <v/>
      </c>
      <c r="E170" s="63">
        <f>IFERROR(INDEX(الموظفون_البدلات,164),"")</f>
        <v/>
      </c>
      <c r="F170" s="63">
        <f>IFERROR(SUMIFS(الرواتب_الاضافي,الرواتب_الرقم,$A170),"")</f>
        <v/>
      </c>
      <c r="G170" s="63">
        <f>IFERROR(SUMIFS(الرواتب_المكافآت,الرواتب_الرقم,$A170),"")</f>
        <v/>
      </c>
      <c r="H170" s="63">
        <f>IFERROR(SUMIFS(التدريب_التكلفة,التدريب_الرقم,$A170),"")</f>
        <v/>
      </c>
      <c r="I170" s="63">
        <f>IF($A170="","",IFERROR($D170+$E170+$F170+$G170+$H170,0))</f>
        <v/>
      </c>
      <c r="J170" s="51">
        <f>IF($A170="","",COUNTIFS(الرواتب_الرقم,$A170))</f>
        <v/>
      </c>
    </row>
    <row r="171">
      <c r="A171" s="43">
        <f>IFERROR(INDEX(الموظفون_الرقم,165),"")</f>
        <v/>
      </c>
      <c r="B171" s="43">
        <f>IFERROR(INDEX(الموظفون_الاسم,165),"")</f>
        <v/>
      </c>
      <c r="C171" s="43">
        <f>IFERROR(INDEX(الموظفون_الإدارة,165),"")</f>
        <v/>
      </c>
      <c r="D171" s="60">
        <f>IFERROR(INDEX(الموظفون_الاساسي,165),"")</f>
        <v/>
      </c>
      <c r="E171" s="60">
        <f>IFERROR(INDEX(الموظفون_البدلات,165),"")</f>
        <v/>
      </c>
      <c r="F171" s="60">
        <f>IFERROR(SUMIFS(الرواتب_الاضافي,الرواتب_الرقم,$A171),"")</f>
        <v/>
      </c>
      <c r="G171" s="60">
        <f>IFERROR(SUMIFS(الرواتب_المكافآت,الرواتب_الرقم,$A171),"")</f>
        <v/>
      </c>
      <c r="H171" s="60">
        <f>IFERROR(SUMIFS(التدريب_التكلفة,التدريب_الرقم,$A171),"")</f>
        <v/>
      </c>
      <c r="I171" s="60">
        <f>IF($A171="","",IFERROR($D171+$E171+$F171+$G171+$H171,0))</f>
        <v/>
      </c>
      <c r="J171" s="44">
        <f>IF($A171="","",COUNTIFS(الرواتب_الرقم,$A171))</f>
        <v/>
      </c>
    </row>
    <row r="172">
      <c r="A172" s="50">
        <f>IFERROR(INDEX(الموظفون_الرقم,166),"")</f>
        <v/>
      </c>
      <c r="B172" s="50">
        <f>IFERROR(INDEX(الموظفون_الاسم,166),"")</f>
        <v/>
      </c>
      <c r="C172" s="50">
        <f>IFERROR(INDEX(الموظفون_الإدارة,166),"")</f>
        <v/>
      </c>
      <c r="D172" s="63">
        <f>IFERROR(INDEX(الموظفون_الاساسي,166),"")</f>
        <v/>
      </c>
      <c r="E172" s="63">
        <f>IFERROR(INDEX(الموظفون_البدلات,166),"")</f>
        <v/>
      </c>
      <c r="F172" s="63">
        <f>IFERROR(SUMIFS(الرواتب_الاضافي,الرواتب_الرقم,$A172),"")</f>
        <v/>
      </c>
      <c r="G172" s="63">
        <f>IFERROR(SUMIFS(الرواتب_المكافآت,الرواتب_الرقم,$A172),"")</f>
        <v/>
      </c>
      <c r="H172" s="63">
        <f>IFERROR(SUMIFS(التدريب_التكلفة,التدريب_الرقم,$A172),"")</f>
        <v/>
      </c>
      <c r="I172" s="63">
        <f>IF($A172="","",IFERROR($D172+$E172+$F172+$G172+$H172,0))</f>
        <v/>
      </c>
      <c r="J172" s="51">
        <f>IF($A172="","",COUNTIFS(الرواتب_الرقم,$A172))</f>
        <v/>
      </c>
    </row>
    <row r="173">
      <c r="A173" s="43">
        <f>IFERROR(INDEX(الموظفون_الرقم,167),"")</f>
        <v/>
      </c>
      <c r="B173" s="43">
        <f>IFERROR(INDEX(الموظفون_الاسم,167),"")</f>
        <v/>
      </c>
      <c r="C173" s="43">
        <f>IFERROR(INDEX(الموظفون_الإدارة,167),"")</f>
        <v/>
      </c>
      <c r="D173" s="60">
        <f>IFERROR(INDEX(الموظفون_الاساسي,167),"")</f>
        <v/>
      </c>
      <c r="E173" s="60">
        <f>IFERROR(INDEX(الموظفون_البدلات,167),"")</f>
        <v/>
      </c>
      <c r="F173" s="60">
        <f>IFERROR(SUMIFS(الرواتب_الاضافي,الرواتب_الرقم,$A173),"")</f>
        <v/>
      </c>
      <c r="G173" s="60">
        <f>IFERROR(SUMIFS(الرواتب_المكافآت,الرواتب_الرقم,$A173),"")</f>
        <v/>
      </c>
      <c r="H173" s="60">
        <f>IFERROR(SUMIFS(التدريب_التكلفة,التدريب_الرقم,$A173),"")</f>
        <v/>
      </c>
      <c r="I173" s="60">
        <f>IF($A173="","",IFERROR($D173+$E173+$F173+$G173+$H173,0))</f>
        <v/>
      </c>
      <c r="J173" s="44">
        <f>IF($A173="","",COUNTIFS(الرواتب_الرقم,$A173))</f>
        <v/>
      </c>
    </row>
    <row r="174">
      <c r="A174" s="50">
        <f>IFERROR(INDEX(الموظفون_الرقم,168),"")</f>
        <v/>
      </c>
      <c r="B174" s="50">
        <f>IFERROR(INDEX(الموظفون_الاسم,168),"")</f>
        <v/>
      </c>
      <c r="C174" s="50">
        <f>IFERROR(INDEX(الموظفون_الإدارة,168),"")</f>
        <v/>
      </c>
      <c r="D174" s="63">
        <f>IFERROR(INDEX(الموظفون_الاساسي,168),"")</f>
        <v/>
      </c>
      <c r="E174" s="63">
        <f>IFERROR(INDEX(الموظفون_البدلات,168),"")</f>
        <v/>
      </c>
      <c r="F174" s="63">
        <f>IFERROR(SUMIFS(الرواتب_الاضافي,الرواتب_الرقم,$A174),"")</f>
        <v/>
      </c>
      <c r="G174" s="63">
        <f>IFERROR(SUMIFS(الرواتب_المكافآت,الرواتب_الرقم,$A174),"")</f>
        <v/>
      </c>
      <c r="H174" s="63">
        <f>IFERROR(SUMIFS(التدريب_التكلفة,التدريب_الرقم,$A174),"")</f>
        <v/>
      </c>
      <c r="I174" s="63">
        <f>IF($A174="","",IFERROR($D174+$E174+$F174+$G174+$H174,0))</f>
        <v/>
      </c>
      <c r="J174" s="51">
        <f>IF($A174="","",COUNTIFS(الرواتب_الرقم,$A174))</f>
        <v/>
      </c>
    </row>
    <row r="175">
      <c r="A175" s="43">
        <f>IFERROR(INDEX(الموظفون_الرقم,169),"")</f>
        <v/>
      </c>
      <c r="B175" s="43">
        <f>IFERROR(INDEX(الموظفون_الاسم,169),"")</f>
        <v/>
      </c>
      <c r="C175" s="43">
        <f>IFERROR(INDEX(الموظفون_الإدارة,169),"")</f>
        <v/>
      </c>
      <c r="D175" s="60">
        <f>IFERROR(INDEX(الموظفون_الاساسي,169),"")</f>
        <v/>
      </c>
      <c r="E175" s="60">
        <f>IFERROR(INDEX(الموظفون_البدلات,169),"")</f>
        <v/>
      </c>
      <c r="F175" s="60">
        <f>IFERROR(SUMIFS(الرواتب_الاضافي,الرواتب_الرقم,$A175),"")</f>
        <v/>
      </c>
      <c r="G175" s="60">
        <f>IFERROR(SUMIFS(الرواتب_المكافآت,الرواتب_الرقم,$A175),"")</f>
        <v/>
      </c>
      <c r="H175" s="60">
        <f>IFERROR(SUMIFS(التدريب_التكلفة,التدريب_الرقم,$A175),"")</f>
        <v/>
      </c>
      <c r="I175" s="60">
        <f>IF($A175="","",IFERROR($D175+$E175+$F175+$G175+$H175,0))</f>
        <v/>
      </c>
      <c r="J175" s="44">
        <f>IF($A175="","",COUNTIFS(الرواتب_الرقم,$A175))</f>
        <v/>
      </c>
    </row>
    <row r="176">
      <c r="A176" s="50">
        <f>IFERROR(INDEX(الموظفون_الرقم,170),"")</f>
        <v/>
      </c>
      <c r="B176" s="50">
        <f>IFERROR(INDEX(الموظفون_الاسم,170),"")</f>
        <v/>
      </c>
      <c r="C176" s="50">
        <f>IFERROR(INDEX(الموظفون_الإدارة,170),"")</f>
        <v/>
      </c>
      <c r="D176" s="63">
        <f>IFERROR(INDEX(الموظفون_الاساسي,170),"")</f>
        <v/>
      </c>
      <c r="E176" s="63">
        <f>IFERROR(INDEX(الموظفون_البدلات,170),"")</f>
        <v/>
      </c>
      <c r="F176" s="63">
        <f>IFERROR(SUMIFS(الرواتب_الاضافي,الرواتب_الرقم,$A176),"")</f>
        <v/>
      </c>
      <c r="G176" s="63">
        <f>IFERROR(SUMIFS(الرواتب_المكافآت,الرواتب_الرقم,$A176),"")</f>
        <v/>
      </c>
      <c r="H176" s="63">
        <f>IFERROR(SUMIFS(التدريب_التكلفة,التدريب_الرقم,$A176),"")</f>
        <v/>
      </c>
      <c r="I176" s="63">
        <f>IF($A176="","",IFERROR($D176+$E176+$F176+$G176+$H176,0))</f>
        <v/>
      </c>
      <c r="J176" s="51">
        <f>IF($A176="","",COUNTIFS(الرواتب_الرقم,$A176))</f>
        <v/>
      </c>
    </row>
    <row r="177">
      <c r="A177" s="43">
        <f>IFERROR(INDEX(الموظفون_الرقم,171),"")</f>
        <v/>
      </c>
      <c r="B177" s="43">
        <f>IFERROR(INDEX(الموظفون_الاسم,171),"")</f>
        <v/>
      </c>
      <c r="C177" s="43">
        <f>IFERROR(INDEX(الموظفون_الإدارة,171),"")</f>
        <v/>
      </c>
      <c r="D177" s="60">
        <f>IFERROR(INDEX(الموظفون_الاساسي,171),"")</f>
        <v/>
      </c>
      <c r="E177" s="60">
        <f>IFERROR(INDEX(الموظفون_البدلات,171),"")</f>
        <v/>
      </c>
      <c r="F177" s="60">
        <f>IFERROR(SUMIFS(الرواتب_الاضافي,الرواتب_الرقم,$A177),"")</f>
        <v/>
      </c>
      <c r="G177" s="60">
        <f>IFERROR(SUMIFS(الرواتب_المكافآت,الرواتب_الرقم,$A177),"")</f>
        <v/>
      </c>
      <c r="H177" s="60">
        <f>IFERROR(SUMIFS(التدريب_التكلفة,التدريب_الرقم,$A177),"")</f>
        <v/>
      </c>
      <c r="I177" s="60">
        <f>IF($A177="","",IFERROR($D177+$E177+$F177+$G177+$H177,0))</f>
        <v/>
      </c>
      <c r="J177" s="44">
        <f>IF($A177="","",COUNTIFS(الرواتب_الرقم,$A177))</f>
        <v/>
      </c>
    </row>
    <row r="178">
      <c r="A178" s="50">
        <f>IFERROR(INDEX(الموظفون_الرقم,172),"")</f>
        <v/>
      </c>
      <c r="B178" s="50">
        <f>IFERROR(INDEX(الموظفون_الاسم,172),"")</f>
        <v/>
      </c>
      <c r="C178" s="50">
        <f>IFERROR(INDEX(الموظفون_الإدارة,172),"")</f>
        <v/>
      </c>
      <c r="D178" s="63">
        <f>IFERROR(INDEX(الموظفون_الاساسي,172),"")</f>
        <v/>
      </c>
      <c r="E178" s="63">
        <f>IFERROR(INDEX(الموظفون_البدلات,172),"")</f>
        <v/>
      </c>
      <c r="F178" s="63">
        <f>IFERROR(SUMIFS(الرواتب_الاضافي,الرواتب_الرقم,$A178),"")</f>
        <v/>
      </c>
      <c r="G178" s="63">
        <f>IFERROR(SUMIFS(الرواتب_المكافآت,الرواتب_الرقم,$A178),"")</f>
        <v/>
      </c>
      <c r="H178" s="63">
        <f>IFERROR(SUMIFS(التدريب_التكلفة,التدريب_الرقم,$A178),"")</f>
        <v/>
      </c>
      <c r="I178" s="63">
        <f>IF($A178="","",IFERROR($D178+$E178+$F178+$G178+$H178,0))</f>
        <v/>
      </c>
      <c r="J178" s="51">
        <f>IF($A178="","",COUNTIFS(الرواتب_الرقم,$A178))</f>
        <v/>
      </c>
    </row>
    <row r="179">
      <c r="A179" s="43">
        <f>IFERROR(INDEX(الموظفون_الرقم,173),"")</f>
        <v/>
      </c>
      <c r="B179" s="43">
        <f>IFERROR(INDEX(الموظفون_الاسم,173),"")</f>
        <v/>
      </c>
      <c r="C179" s="43">
        <f>IFERROR(INDEX(الموظفون_الإدارة,173),"")</f>
        <v/>
      </c>
      <c r="D179" s="60">
        <f>IFERROR(INDEX(الموظفون_الاساسي,173),"")</f>
        <v/>
      </c>
      <c r="E179" s="60">
        <f>IFERROR(INDEX(الموظفون_البدلات,173),"")</f>
        <v/>
      </c>
      <c r="F179" s="60">
        <f>IFERROR(SUMIFS(الرواتب_الاضافي,الرواتب_الرقم,$A179),"")</f>
        <v/>
      </c>
      <c r="G179" s="60">
        <f>IFERROR(SUMIFS(الرواتب_المكافآت,الرواتب_الرقم,$A179),"")</f>
        <v/>
      </c>
      <c r="H179" s="60">
        <f>IFERROR(SUMIFS(التدريب_التكلفة,التدريب_الرقم,$A179),"")</f>
        <v/>
      </c>
      <c r="I179" s="60">
        <f>IF($A179="","",IFERROR($D179+$E179+$F179+$G179+$H179,0))</f>
        <v/>
      </c>
      <c r="J179" s="44">
        <f>IF($A179="","",COUNTIFS(الرواتب_الرقم,$A179))</f>
        <v/>
      </c>
    </row>
    <row r="180">
      <c r="A180" s="50">
        <f>IFERROR(INDEX(الموظفون_الرقم,174),"")</f>
        <v/>
      </c>
      <c r="B180" s="50">
        <f>IFERROR(INDEX(الموظفون_الاسم,174),"")</f>
        <v/>
      </c>
      <c r="C180" s="50">
        <f>IFERROR(INDEX(الموظفون_الإدارة,174),"")</f>
        <v/>
      </c>
      <c r="D180" s="63">
        <f>IFERROR(INDEX(الموظفون_الاساسي,174),"")</f>
        <v/>
      </c>
      <c r="E180" s="63">
        <f>IFERROR(INDEX(الموظفون_البدلات,174),"")</f>
        <v/>
      </c>
      <c r="F180" s="63">
        <f>IFERROR(SUMIFS(الرواتب_الاضافي,الرواتب_الرقم,$A180),"")</f>
        <v/>
      </c>
      <c r="G180" s="63">
        <f>IFERROR(SUMIFS(الرواتب_المكافآت,الرواتب_الرقم,$A180),"")</f>
        <v/>
      </c>
      <c r="H180" s="63">
        <f>IFERROR(SUMIFS(التدريب_التكلفة,التدريب_الرقم,$A180),"")</f>
        <v/>
      </c>
      <c r="I180" s="63">
        <f>IF($A180="","",IFERROR($D180+$E180+$F180+$G180+$H180,0))</f>
        <v/>
      </c>
      <c r="J180" s="51">
        <f>IF($A180="","",COUNTIFS(الرواتب_الرقم,$A180))</f>
        <v/>
      </c>
    </row>
    <row r="181">
      <c r="A181" s="43">
        <f>IFERROR(INDEX(الموظفون_الرقم,175),"")</f>
        <v/>
      </c>
      <c r="B181" s="43">
        <f>IFERROR(INDEX(الموظفون_الاسم,175),"")</f>
        <v/>
      </c>
      <c r="C181" s="43">
        <f>IFERROR(INDEX(الموظفون_الإدارة,175),"")</f>
        <v/>
      </c>
      <c r="D181" s="60">
        <f>IFERROR(INDEX(الموظفون_الاساسي,175),"")</f>
        <v/>
      </c>
      <c r="E181" s="60">
        <f>IFERROR(INDEX(الموظفون_البدلات,175),"")</f>
        <v/>
      </c>
      <c r="F181" s="60">
        <f>IFERROR(SUMIFS(الرواتب_الاضافي,الرواتب_الرقم,$A181),"")</f>
        <v/>
      </c>
      <c r="G181" s="60">
        <f>IFERROR(SUMIFS(الرواتب_المكافآت,الرواتب_الرقم,$A181),"")</f>
        <v/>
      </c>
      <c r="H181" s="60">
        <f>IFERROR(SUMIFS(التدريب_التكلفة,التدريب_الرقم,$A181),"")</f>
        <v/>
      </c>
      <c r="I181" s="60">
        <f>IF($A181="","",IFERROR($D181+$E181+$F181+$G181+$H181,0))</f>
        <v/>
      </c>
      <c r="J181" s="44">
        <f>IF($A181="","",COUNTIFS(الرواتب_الرقم,$A181))</f>
        <v/>
      </c>
    </row>
    <row r="182">
      <c r="A182" s="50">
        <f>IFERROR(INDEX(الموظفون_الرقم,176),"")</f>
        <v/>
      </c>
      <c r="B182" s="50">
        <f>IFERROR(INDEX(الموظفون_الاسم,176),"")</f>
        <v/>
      </c>
      <c r="C182" s="50">
        <f>IFERROR(INDEX(الموظفون_الإدارة,176),"")</f>
        <v/>
      </c>
      <c r="D182" s="63">
        <f>IFERROR(INDEX(الموظفون_الاساسي,176),"")</f>
        <v/>
      </c>
      <c r="E182" s="63">
        <f>IFERROR(INDEX(الموظفون_البدلات,176),"")</f>
        <v/>
      </c>
      <c r="F182" s="63">
        <f>IFERROR(SUMIFS(الرواتب_الاضافي,الرواتب_الرقم,$A182),"")</f>
        <v/>
      </c>
      <c r="G182" s="63">
        <f>IFERROR(SUMIFS(الرواتب_المكافآت,الرواتب_الرقم,$A182),"")</f>
        <v/>
      </c>
      <c r="H182" s="63">
        <f>IFERROR(SUMIFS(التدريب_التكلفة,التدريب_الرقم,$A182),"")</f>
        <v/>
      </c>
      <c r="I182" s="63">
        <f>IF($A182="","",IFERROR($D182+$E182+$F182+$G182+$H182,0))</f>
        <v/>
      </c>
      <c r="J182" s="51">
        <f>IF($A182="","",COUNTIFS(الرواتب_الرقم,$A182))</f>
        <v/>
      </c>
    </row>
    <row r="183">
      <c r="A183" s="43">
        <f>IFERROR(INDEX(الموظفون_الرقم,177),"")</f>
        <v/>
      </c>
      <c r="B183" s="43">
        <f>IFERROR(INDEX(الموظفون_الاسم,177),"")</f>
        <v/>
      </c>
      <c r="C183" s="43">
        <f>IFERROR(INDEX(الموظفون_الإدارة,177),"")</f>
        <v/>
      </c>
      <c r="D183" s="60">
        <f>IFERROR(INDEX(الموظفون_الاساسي,177),"")</f>
        <v/>
      </c>
      <c r="E183" s="60">
        <f>IFERROR(INDEX(الموظفون_البدلات,177),"")</f>
        <v/>
      </c>
      <c r="F183" s="60">
        <f>IFERROR(SUMIFS(الرواتب_الاضافي,الرواتب_الرقم,$A183),"")</f>
        <v/>
      </c>
      <c r="G183" s="60">
        <f>IFERROR(SUMIFS(الرواتب_المكافآت,الرواتب_الرقم,$A183),"")</f>
        <v/>
      </c>
      <c r="H183" s="60">
        <f>IFERROR(SUMIFS(التدريب_التكلفة,التدريب_الرقم,$A183),"")</f>
        <v/>
      </c>
      <c r="I183" s="60">
        <f>IF($A183="","",IFERROR($D183+$E183+$F183+$G183+$H183,0))</f>
        <v/>
      </c>
      <c r="J183" s="44">
        <f>IF($A183="","",COUNTIFS(الرواتب_الرقم,$A183))</f>
        <v/>
      </c>
    </row>
    <row r="184">
      <c r="A184" s="50">
        <f>IFERROR(INDEX(الموظفون_الرقم,178),"")</f>
        <v/>
      </c>
      <c r="B184" s="50">
        <f>IFERROR(INDEX(الموظفون_الاسم,178),"")</f>
        <v/>
      </c>
      <c r="C184" s="50">
        <f>IFERROR(INDEX(الموظفون_الإدارة,178),"")</f>
        <v/>
      </c>
      <c r="D184" s="63">
        <f>IFERROR(INDEX(الموظفون_الاساسي,178),"")</f>
        <v/>
      </c>
      <c r="E184" s="63">
        <f>IFERROR(INDEX(الموظفون_البدلات,178),"")</f>
        <v/>
      </c>
      <c r="F184" s="63">
        <f>IFERROR(SUMIFS(الرواتب_الاضافي,الرواتب_الرقم,$A184),"")</f>
        <v/>
      </c>
      <c r="G184" s="63">
        <f>IFERROR(SUMIFS(الرواتب_المكافآت,الرواتب_الرقم,$A184),"")</f>
        <v/>
      </c>
      <c r="H184" s="63">
        <f>IFERROR(SUMIFS(التدريب_التكلفة,التدريب_الرقم,$A184),"")</f>
        <v/>
      </c>
      <c r="I184" s="63">
        <f>IF($A184="","",IFERROR($D184+$E184+$F184+$G184+$H184,0))</f>
        <v/>
      </c>
      <c r="J184" s="51">
        <f>IF($A184="","",COUNTIFS(الرواتب_الرقم,$A184))</f>
        <v/>
      </c>
    </row>
    <row r="185">
      <c r="A185" s="43">
        <f>IFERROR(INDEX(الموظفون_الرقم,179),"")</f>
        <v/>
      </c>
      <c r="B185" s="43">
        <f>IFERROR(INDEX(الموظفون_الاسم,179),"")</f>
        <v/>
      </c>
      <c r="C185" s="43">
        <f>IFERROR(INDEX(الموظفون_الإدارة,179),"")</f>
        <v/>
      </c>
      <c r="D185" s="60">
        <f>IFERROR(INDEX(الموظفون_الاساسي,179),"")</f>
        <v/>
      </c>
      <c r="E185" s="60">
        <f>IFERROR(INDEX(الموظفون_البدلات,179),"")</f>
        <v/>
      </c>
      <c r="F185" s="60">
        <f>IFERROR(SUMIFS(الرواتب_الاضافي,الرواتب_الرقم,$A185),"")</f>
        <v/>
      </c>
      <c r="G185" s="60">
        <f>IFERROR(SUMIFS(الرواتب_المكافآت,الرواتب_الرقم,$A185),"")</f>
        <v/>
      </c>
      <c r="H185" s="60">
        <f>IFERROR(SUMIFS(التدريب_التكلفة,التدريب_الرقم,$A185),"")</f>
        <v/>
      </c>
      <c r="I185" s="60">
        <f>IF($A185="","",IFERROR($D185+$E185+$F185+$G185+$H185,0))</f>
        <v/>
      </c>
      <c r="J185" s="44">
        <f>IF($A185="","",COUNTIFS(الرواتب_الرقم,$A185))</f>
        <v/>
      </c>
    </row>
    <row r="186">
      <c r="A186" s="50">
        <f>IFERROR(INDEX(الموظفون_الرقم,180),"")</f>
        <v/>
      </c>
      <c r="B186" s="50">
        <f>IFERROR(INDEX(الموظفون_الاسم,180),"")</f>
        <v/>
      </c>
      <c r="C186" s="50">
        <f>IFERROR(INDEX(الموظفون_الإدارة,180),"")</f>
        <v/>
      </c>
      <c r="D186" s="63">
        <f>IFERROR(INDEX(الموظفون_الاساسي,180),"")</f>
        <v/>
      </c>
      <c r="E186" s="63">
        <f>IFERROR(INDEX(الموظفون_البدلات,180),"")</f>
        <v/>
      </c>
      <c r="F186" s="63">
        <f>IFERROR(SUMIFS(الرواتب_الاضافي,الرواتب_الرقم,$A186),"")</f>
        <v/>
      </c>
      <c r="G186" s="63">
        <f>IFERROR(SUMIFS(الرواتب_المكافآت,الرواتب_الرقم,$A186),"")</f>
        <v/>
      </c>
      <c r="H186" s="63">
        <f>IFERROR(SUMIFS(التدريب_التكلفة,التدريب_الرقم,$A186),"")</f>
        <v/>
      </c>
      <c r="I186" s="63">
        <f>IF($A186="","",IFERROR($D186+$E186+$F186+$G186+$H186,0))</f>
        <v/>
      </c>
      <c r="J186" s="51">
        <f>IF($A186="","",COUNTIFS(الرواتب_الرقم,$A186))</f>
        <v/>
      </c>
    </row>
    <row r="187">
      <c r="A187" s="43">
        <f>IFERROR(INDEX(الموظفون_الرقم,181),"")</f>
        <v/>
      </c>
      <c r="B187" s="43">
        <f>IFERROR(INDEX(الموظفون_الاسم,181),"")</f>
        <v/>
      </c>
      <c r="C187" s="43">
        <f>IFERROR(INDEX(الموظفون_الإدارة,181),"")</f>
        <v/>
      </c>
      <c r="D187" s="60">
        <f>IFERROR(INDEX(الموظفون_الاساسي,181),"")</f>
        <v/>
      </c>
      <c r="E187" s="60">
        <f>IFERROR(INDEX(الموظفون_البدلات,181),"")</f>
        <v/>
      </c>
      <c r="F187" s="60">
        <f>IFERROR(SUMIFS(الرواتب_الاضافي,الرواتب_الرقم,$A187),"")</f>
        <v/>
      </c>
      <c r="G187" s="60">
        <f>IFERROR(SUMIFS(الرواتب_المكافآت,الرواتب_الرقم,$A187),"")</f>
        <v/>
      </c>
      <c r="H187" s="60">
        <f>IFERROR(SUMIFS(التدريب_التكلفة,التدريب_الرقم,$A187),"")</f>
        <v/>
      </c>
      <c r="I187" s="60">
        <f>IF($A187="","",IFERROR($D187+$E187+$F187+$G187+$H187,0))</f>
        <v/>
      </c>
      <c r="J187" s="44">
        <f>IF($A187="","",COUNTIFS(الرواتب_الرقم,$A187))</f>
        <v/>
      </c>
    </row>
    <row r="188">
      <c r="A188" s="50">
        <f>IFERROR(INDEX(الموظفون_الرقم,182),"")</f>
        <v/>
      </c>
      <c r="B188" s="50">
        <f>IFERROR(INDEX(الموظفون_الاسم,182),"")</f>
        <v/>
      </c>
      <c r="C188" s="50">
        <f>IFERROR(INDEX(الموظفون_الإدارة,182),"")</f>
        <v/>
      </c>
      <c r="D188" s="63">
        <f>IFERROR(INDEX(الموظفون_الاساسي,182),"")</f>
        <v/>
      </c>
      <c r="E188" s="63">
        <f>IFERROR(INDEX(الموظفون_البدلات,182),"")</f>
        <v/>
      </c>
      <c r="F188" s="63">
        <f>IFERROR(SUMIFS(الرواتب_الاضافي,الرواتب_الرقم,$A188),"")</f>
        <v/>
      </c>
      <c r="G188" s="63">
        <f>IFERROR(SUMIFS(الرواتب_المكافآت,الرواتب_الرقم,$A188),"")</f>
        <v/>
      </c>
      <c r="H188" s="63">
        <f>IFERROR(SUMIFS(التدريب_التكلفة,التدريب_الرقم,$A188),"")</f>
        <v/>
      </c>
      <c r="I188" s="63">
        <f>IF($A188="","",IFERROR($D188+$E188+$F188+$G188+$H188,0))</f>
        <v/>
      </c>
      <c r="J188" s="51">
        <f>IF($A188="","",COUNTIFS(الرواتب_الرقم,$A188))</f>
        <v/>
      </c>
    </row>
    <row r="189">
      <c r="A189" s="43">
        <f>IFERROR(INDEX(الموظفون_الرقم,183),"")</f>
        <v/>
      </c>
      <c r="B189" s="43">
        <f>IFERROR(INDEX(الموظفون_الاسم,183),"")</f>
        <v/>
      </c>
      <c r="C189" s="43">
        <f>IFERROR(INDEX(الموظفون_الإدارة,183),"")</f>
        <v/>
      </c>
      <c r="D189" s="60">
        <f>IFERROR(INDEX(الموظفون_الاساسي,183),"")</f>
        <v/>
      </c>
      <c r="E189" s="60">
        <f>IFERROR(INDEX(الموظفون_البدلات,183),"")</f>
        <v/>
      </c>
      <c r="F189" s="60">
        <f>IFERROR(SUMIFS(الرواتب_الاضافي,الرواتب_الرقم,$A189),"")</f>
        <v/>
      </c>
      <c r="G189" s="60">
        <f>IFERROR(SUMIFS(الرواتب_المكافآت,الرواتب_الرقم,$A189),"")</f>
        <v/>
      </c>
      <c r="H189" s="60">
        <f>IFERROR(SUMIFS(التدريب_التكلفة,التدريب_الرقم,$A189),"")</f>
        <v/>
      </c>
      <c r="I189" s="60">
        <f>IF($A189="","",IFERROR($D189+$E189+$F189+$G189+$H189,0))</f>
        <v/>
      </c>
      <c r="J189" s="44">
        <f>IF($A189="","",COUNTIFS(الرواتب_الرقم,$A189))</f>
        <v/>
      </c>
    </row>
    <row r="190">
      <c r="A190" s="50">
        <f>IFERROR(INDEX(الموظفون_الرقم,184),"")</f>
        <v/>
      </c>
      <c r="B190" s="50">
        <f>IFERROR(INDEX(الموظفون_الاسم,184),"")</f>
        <v/>
      </c>
      <c r="C190" s="50">
        <f>IFERROR(INDEX(الموظفون_الإدارة,184),"")</f>
        <v/>
      </c>
      <c r="D190" s="63">
        <f>IFERROR(INDEX(الموظفون_الاساسي,184),"")</f>
        <v/>
      </c>
      <c r="E190" s="63">
        <f>IFERROR(INDEX(الموظفون_البدلات,184),"")</f>
        <v/>
      </c>
      <c r="F190" s="63">
        <f>IFERROR(SUMIFS(الرواتب_الاضافي,الرواتب_الرقم,$A190),"")</f>
        <v/>
      </c>
      <c r="G190" s="63">
        <f>IFERROR(SUMIFS(الرواتب_المكافآت,الرواتب_الرقم,$A190),"")</f>
        <v/>
      </c>
      <c r="H190" s="63">
        <f>IFERROR(SUMIFS(التدريب_التكلفة,التدريب_الرقم,$A190),"")</f>
        <v/>
      </c>
      <c r="I190" s="63">
        <f>IF($A190="","",IFERROR($D190+$E190+$F190+$G190+$H190,0))</f>
        <v/>
      </c>
      <c r="J190" s="51">
        <f>IF($A190="","",COUNTIFS(الرواتب_الرقم,$A190))</f>
        <v/>
      </c>
    </row>
    <row r="191">
      <c r="A191" s="43">
        <f>IFERROR(INDEX(الموظفون_الرقم,185),"")</f>
        <v/>
      </c>
      <c r="B191" s="43">
        <f>IFERROR(INDEX(الموظفون_الاسم,185),"")</f>
        <v/>
      </c>
      <c r="C191" s="43">
        <f>IFERROR(INDEX(الموظفون_الإدارة,185),"")</f>
        <v/>
      </c>
      <c r="D191" s="60">
        <f>IFERROR(INDEX(الموظفون_الاساسي,185),"")</f>
        <v/>
      </c>
      <c r="E191" s="60">
        <f>IFERROR(INDEX(الموظفون_البدلات,185),"")</f>
        <v/>
      </c>
      <c r="F191" s="60">
        <f>IFERROR(SUMIFS(الرواتب_الاضافي,الرواتب_الرقم,$A191),"")</f>
        <v/>
      </c>
      <c r="G191" s="60">
        <f>IFERROR(SUMIFS(الرواتب_المكافآت,الرواتب_الرقم,$A191),"")</f>
        <v/>
      </c>
      <c r="H191" s="60">
        <f>IFERROR(SUMIFS(التدريب_التكلفة,التدريب_الرقم,$A191),"")</f>
        <v/>
      </c>
      <c r="I191" s="60">
        <f>IF($A191="","",IFERROR($D191+$E191+$F191+$G191+$H191,0))</f>
        <v/>
      </c>
      <c r="J191" s="44">
        <f>IF($A191="","",COUNTIFS(الرواتب_الرقم,$A191))</f>
        <v/>
      </c>
    </row>
    <row r="192">
      <c r="A192" s="50">
        <f>IFERROR(INDEX(الموظفون_الرقم,186),"")</f>
        <v/>
      </c>
      <c r="B192" s="50">
        <f>IFERROR(INDEX(الموظفون_الاسم,186),"")</f>
        <v/>
      </c>
      <c r="C192" s="50">
        <f>IFERROR(INDEX(الموظفون_الإدارة,186),"")</f>
        <v/>
      </c>
      <c r="D192" s="63">
        <f>IFERROR(INDEX(الموظفون_الاساسي,186),"")</f>
        <v/>
      </c>
      <c r="E192" s="63">
        <f>IFERROR(INDEX(الموظفون_البدلات,186),"")</f>
        <v/>
      </c>
      <c r="F192" s="63">
        <f>IFERROR(SUMIFS(الرواتب_الاضافي,الرواتب_الرقم,$A192),"")</f>
        <v/>
      </c>
      <c r="G192" s="63">
        <f>IFERROR(SUMIFS(الرواتب_المكافآت,الرواتب_الرقم,$A192),"")</f>
        <v/>
      </c>
      <c r="H192" s="63">
        <f>IFERROR(SUMIFS(التدريب_التكلفة,التدريب_الرقم,$A192),"")</f>
        <v/>
      </c>
      <c r="I192" s="63">
        <f>IF($A192="","",IFERROR($D192+$E192+$F192+$G192+$H192,0))</f>
        <v/>
      </c>
      <c r="J192" s="51">
        <f>IF($A192="","",COUNTIFS(الرواتب_الرقم,$A192))</f>
        <v/>
      </c>
    </row>
    <row r="193">
      <c r="A193" s="43">
        <f>IFERROR(INDEX(الموظفون_الرقم,187),"")</f>
        <v/>
      </c>
      <c r="B193" s="43">
        <f>IFERROR(INDEX(الموظفون_الاسم,187),"")</f>
        <v/>
      </c>
      <c r="C193" s="43">
        <f>IFERROR(INDEX(الموظفون_الإدارة,187),"")</f>
        <v/>
      </c>
      <c r="D193" s="60">
        <f>IFERROR(INDEX(الموظفون_الاساسي,187),"")</f>
        <v/>
      </c>
      <c r="E193" s="60">
        <f>IFERROR(INDEX(الموظفون_البدلات,187),"")</f>
        <v/>
      </c>
      <c r="F193" s="60">
        <f>IFERROR(SUMIFS(الرواتب_الاضافي,الرواتب_الرقم,$A193),"")</f>
        <v/>
      </c>
      <c r="G193" s="60">
        <f>IFERROR(SUMIFS(الرواتب_المكافآت,الرواتب_الرقم,$A193),"")</f>
        <v/>
      </c>
      <c r="H193" s="60">
        <f>IFERROR(SUMIFS(التدريب_التكلفة,التدريب_الرقم,$A193),"")</f>
        <v/>
      </c>
      <c r="I193" s="60">
        <f>IF($A193="","",IFERROR($D193+$E193+$F193+$G193+$H193,0))</f>
        <v/>
      </c>
      <c r="J193" s="44">
        <f>IF($A193="","",COUNTIFS(الرواتب_الرقم,$A193))</f>
        <v/>
      </c>
    </row>
    <row r="194">
      <c r="A194" s="50">
        <f>IFERROR(INDEX(الموظفون_الرقم,188),"")</f>
        <v/>
      </c>
      <c r="B194" s="50">
        <f>IFERROR(INDEX(الموظفون_الاسم,188),"")</f>
        <v/>
      </c>
      <c r="C194" s="50">
        <f>IFERROR(INDEX(الموظفون_الإدارة,188),"")</f>
        <v/>
      </c>
      <c r="D194" s="63">
        <f>IFERROR(INDEX(الموظفون_الاساسي,188),"")</f>
        <v/>
      </c>
      <c r="E194" s="63">
        <f>IFERROR(INDEX(الموظفون_البدلات,188),"")</f>
        <v/>
      </c>
      <c r="F194" s="63">
        <f>IFERROR(SUMIFS(الرواتب_الاضافي,الرواتب_الرقم,$A194),"")</f>
        <v/>
      </c>
      <c r="G194" s="63">
        <f>IFERROR(SUMIFS(الرواتب_المكافآت,الرواتب_الرقم,$A194),"")</f>
        <v/>
      </c>
      <c r="H194" s="63">
        <f>IFERROR(SUMIFS(التدريب_التكلفة,التدريب_الرقم,$A194),"")</f>
        <v/>
      </c>
      <c r="I194" s="63">
        <f>IF($A194="","",IFERROR($D194+$E194+$F194+$G194+$H194,0))</f>
        <v/>
      </c>
      <c r="J194" s="51">
        <f>IF($A194="","",COUNTIFS(الرواتب_الرقم,$A194))</f>
        <v/>
      </c>
    </row>
    <row r="195">
      <c r="A195" s="43">
        <f>IFERROR(INDEX(الموظفون_الرقم,189),"")</f>
        <v/>
      </c>
      <c r="B195" s="43">
        <f>IFERROR(INDEX(الموظفون_الاسم,189),"")</f>
        <v/>
      </c>
      <c r="C195" s="43">
        <f>IFERROR(INDEX(الموظفون_الإدارة,189),"")</f>
        <v/>
      </c>
      <c r="D195" s="60">
        <f>IFERROR(INDEX(الموظفون_الاساسي,189),"")</f>
        <v/>
      </c>
      <c r="E195" s="60">
        <f>IFERROR(INDEX(الموظفون_البدلات,189),"")</f>
        <v/>
      </c>
      <c r="F195" s="60">
        <f>IFERROR(SUMIFS(الرواتب_الاضافي,الرواتب_الرقم,$A195),"")</f>
        <v/>
      </c>
      <c r="G195" s="60">
        <f>IFERROR(SUMIFS(الرواتب_المكافآت,الرواتب_الرقم,$A195),"")</f>
        <v/>
      </c>
      <c r="H195" s="60">
        <f>IFERROR(SUMIFS(التدريب_التكلفة,التدريب_الرقم,$A195),"")</f>
        <v/>
      </c>
      <c r="I195" s="60">
        <f>IF($A195="","",IFERROR($D195+$E195+$F195+$G195+$H195,0))</f>
        <v/>
      </c>
      <c r="J195" s="44">
        <f>IF($A195="","",COUNTIFS(الرواتب_الرقم,$A195))</f>
        <v/>
      </c>
    </row>
    <row r="196">
      <c r="A196" s="50">
        <f>IFERROR(INDEX(الموظفون_الرقم,190),"")</f>
        <v/>
      </c>
      <c r="B196" s="50">
        <f>IFERROR(INDEX(الموظفون_الاسم,190),"")</f>
        <v/>
      </c>
      <c r="C196" s="50">
        <f>IFERROR(INDEX(الموظفون_الإدارة,190),"")</f>
        <v/>
      </c>
      <c r="D196" s="63">
        <f>IFERROR(INDEX(الموظفون_الاساسي,190),"")</f>
        <v/>
      </c>
      <c r="E196" s="63">
        <f>IFERROR(INDEX(الموظفون_البدلات,190),"")</f>
        <v/>
      </c>
      <c r="F196" s="63">
        <f>IFERROR(SUMIFS(الرواتب_الاضافي,الرواتب_الرقم,$A196),"")</f>
        <v/>
      </c>
      <c r="G196" s="63">
        <f>IFERROR(SUMIFS(الرواتب_المكافآت,الرواتب_الرقم,$A196),"")</f>
        <v/>
      </c>
      <c r="H196" s="63">
        <f>IFERROR(SUMIFS(التدريب_التكلفة,التدريب_الرقم,$A196),"")</f>
        <v/>
      </c>
      <c r="I196" s="63">
        <f>IF($A196="","",IFERROR($D196+$E196+$F196+$G196+$H196,0))</f>
        <v/>
      </c>
      <c r="J196" s="51">
        <f>IF($A196="","",COUNTIFS(الرواتب_الرقم,$A196))</f>
        <v/>
      </c>
    </row>
    <row r="197">
      <c r="A197" s="43">
        <f>IFERROR(INDEX(الموظفون_الرقم,191),"")</f>
        <v/>
      </c>
      <c r="B197" s="43">
        <f>IFERROR(INDEX(الموظفون_الاسم,191),"")</f>
        <v/>
      </c>
      <c r="C197" s="43">
        <f>IFERROR(INDEX(الموظفون_الإدارة,191),"")</f>
        <v/>
      </c>
      <c r="D197" s="60">
        <f>IFERROR(INDEX(الموظفون_الاساسي,191),"")</f>
        <v/>
      </c>
      <c r="E197" s="60">
        <f>IFERROR(INDEX(الموظفون_البدلات,191),"")</f>
        <v/>
      </c>
      <c r="F197" s="60">
        <f>IFERROR(SUMIFS(الرواتب_الاضافي,الرواتب_الرقم,$A197),"")</f>
        <v/>
      </c>
      <c r="G197" s="60">
        <f>IFERROR(SUMIFS(الرواتب_المكافآت,الرواتب_الرقم,$A197),"")</f>
        <v/>
      </c>
      <c r="H197" s="60">
        <f>IFERROR(SUMIFS(التدريب_التكلفة,التدريب_الرقم,$A197),"")</f>
        <v/>
      </c>
      <c r="I197" s="60">
        <f>IF($A197="","",IFERROR($D197+$E197+$F197+$G197+$H197,0))</f>
        <v/>
      </c>
      <c r="J197" s="44">
        <f>IF($A197="","",COUNTIFS(الرواتب_الرقم,$A197))</f>
        <v/>
      </c>
    </row>
    <row r="198">
      <c r="A198" s="50">
        <f>IFERROR(INDEX(الموظفون_الرقم,192),"")</f>
        <v/>
      </c>
      <c r="B198" s="50">
        <f>IFERROR(INDEX(الموظفون_الاسم,192),"")</f>
        <v/>
      </c>
      <c r="C198" s="50">
        <f>IFERROR(INDEX(الموظفون_الإدارة,192),"")</f>
        <v/>
      </c>
      <c r="D198" s="63">
        <f>IFERROR(INDEX(الموظفون_الاساسي,192),"")</f>
        <v/>
      </c>
      <c r="E198" s="63">
        <f>IFERROR(INDEX(الموظفون_البدلات,192),"")</f>
        <v/>
      </c>
      <c r="F198" s="63">
        <f>IFERROR(SUMIFS(الرواتب_الاضافي,الرواتب_الرقم,$A198),"")</f>
        <v/>
      </c>
      <c r="G198" s="63">
        <f>IFERROR(SUMIFS(الرواتب_المكافآت,الرواتب_الرقم,$A198),"")</f>
        <v/>
      </c>
      <c r="H198" s="63">
        <f>IFERROR(SUMIFS(التدريب_التكلفة,التدريب_الرقم,$A198),"")</f>
        <v/>
      </c>
      <c r="I198" s="63">
        <f>IF($A198="","",IFERROR($D198+$E198+$F198+$G198+$H198,0))</f>
        <v/>
      </c>
      <c r="J198" s="51">
        <f>IF($A198="","",COUNTIFS(الرواتب_الرقم,$A198))</f>
        <v/>
      </c>
    </row>
    <row r="199">
      <c r="A199" s="43">
        <f>IFERROR(INDEX(الموظفون_الرقم,193),"")</f>
        <v/>
      </c>
      <c r="B199" s="43">
        <f>IFERROR(INDEX(الموظفون_الاسم,193),"")</f>
        <v/>
      </c>
      <c r="C199" s="43">
        <f>IFERROR(INDEX(الموظفون_الإدارة,193),"")</f>
        <v/>
      </c>
      <c r="D199" s="60">
        <f>IFERROR(INDEX(الموظفون_الاساسي,193),"")</f>
        <v/>
      </c>
      <c r="E199" s="60">
        <f>IFERROR(INDEX(الموظفون_البدلات,193),"")</f>
        <v/>
      </c>
      <c r="F199" s="60">
        <f>IFERROR(SUMIFS(الرواتب_الاضافي,الرواتب_الرقم,$A199),"")</f>
        <v/>
      </c>
      <c r="G199" s="60">
        <f>IFERROR(SUMIFS(الرواتب_المكافآت,الرواتب_الرقم,$A199),"")</f>
        <v/>
      </c>
      <c r="H199" s="60">
        <f>IFERROR(SUMIFS(التدريب_التكلفة,التدريب_الرقم,$A199),"")</f>
        <v/>
      </c>
      <c r="I199" s="60">
        <f>IF($A199="","",IFERROR($D199+$E199+$F199+$G199+$H199,0))</f>
        <v/>
      </c>
      <c r="J199" s="44">
        <f>IF($A199="","",COUNTIFS(الرواتب_الرقم,$A199))</f>
        <v/>
      </c>
    </row>
    <row r="200">
      <c r="A200" s="50">
        <f>IFERROR(INDEX(الموظفون_الرقم,194),"")</f>
        <v/>
      </c>
      <c r="B200" s="50">
        <f>IFERROR(INDEX(الموظفون_الاسم,194),"")</f>
        <v/>
      </c>
      <c r="C200" s="50">
        <f>IFERROR(INDEX(الموظفون_الإدارة,194),"")</f>
        <v/>
      </c>
      <c r="D200" s="63">
        <f>IFERROR(INDEX(الموظفون_الاساسي,194),"")</f>
        <v/>
      </c>
      <c r="E200" s="63">
        <f>IFERROR(INDEX(الموظفون_البدلات,194),"")</f>
        <v/>
      </c>
      <c r="F200" s="63">
        <f>IFERROR(SUMIFS(الرواتب_الاضافي,الرواتب_الرقم,$A200),"")</f>
        <v/>
      </c>
      <c r="G200" s="63">
        <f>IFERROR(SUMIFS(الرواتب_المكافآت,الرواتب_الرقم,$A200),"")</f>
        <v/>
      </c>
      <c r="H200" s="63">
        <f>IFERROR(SUMIFS(التدريب_التكلفة,التدريب_الرقم,$A200),"")</f>
        <v/>
      </c>
      <c r="I200" s="63">
        <f>IF($A200="","",IFERROR($D200+$E200+$F200+$G200+$H200,0))</f>
        <v/>
      </c>
      <c r="J200" s="51">
        <f>IF($A200="","",COUNTIFS(الرواتب_الرقم,$A200))</f>
        <v/>
      </c>
    </row>
    <row r="201">
      <c r="A201" s="43">
        <f>IFERROR(INDEX(الموظفون_الرقم,195),"")</f>
        <v/>
      </c>
      <c r="B201" s="43">
        <f>IFERROR(INDEX(الموظفون_الاسم,195),"")</f>
        <v/>
      </c>
      <c r="C201" s="43">
        <f>IFERROR(INDEX(الموظفون_الإدارة,195),"")</f>
        <v/>
      </c>
      <c r="D201" s="60">
        <f>IFERROR(INDEX(الموظفون_الاساسي,195),"")</f>
        <v/>
      </c>
      <c r="E201" s="60">
        <f>IFERROR(INDEX(الموظفون_البدلات,195),"")</f>
        <v/>
      </c>
      <c r="F201" s="60">
        <f>IFERROR(SUMIFS(الرواتب_الاضافي,الرواتب_الرقم,$A201),"")</f>
        <v/>
      </c>
      <c r="G201" s="60">
        <f>IFERROR(SUMIFS(الرواتب_المكافآت,الرواتب_الرقم,$A201),"")</f>
        <v/>
      </c>
      <c r="H201" s="60">
        <f>IFERROR(SUMIFS(التدريب_التكلفة,التدريب_الرقم,$A201),"")</f>
        <v/>
      </c>
      <c r="I201" s="60">
        <f>IF($A201="","",IFERROR($D201+$E201+$F201+$G201+$H201,0))</f>
        <v/>
      </c>
      <c r="J201" s="44">
        <f>IF($A201="","",COUNTIFS(الرواتب_الرقم,$A201))</f>
        <v/>
      </c>
    </row>
    <row r="202">
      <c r="A202" s="50">
        <f>IFERROR(INDEX(الموظفون_الرقم,196),"")</f>
        <v/>
      </c>
      <c r="B202" s="50">
        <f>IFERROR(INDEX(الموظفون_الاسم,196),"")</f>
        <v/>
      </c>
      <c r="C202" s="50">
        <f>IFERROR(INDEX(الموظفون_الإدارة,196),"")</f>
        <v/>
      </c>
      <c r="D202" s="63">
        <f>IFERROR(INDEX(الموظفون_الاساسي,196),"")</f>
        <v/>
      </c>
      <c r="E202" s="63">
        <f>IFERROR(INDEX(الموظفون_البدلات,196),"")</f>
        <v/>
      </c>
      <c r="F202" s="63">
        <f>IFERROR(SUMIFS(الرواتب_الاضافي,الرواتب_الرقم,$A202),"")</f>
        <v/>
      </c>
      <c r="G202" s="63">
        <f>IFERROR(SUMIFS(الرواتب_المكافآت,الرواتب_الرقم,$A202),"")</f>
        <v/>
      </c>
      <c r="H202" s="63">
        <f>IFERROR(SUMIFS(التدريب_التكلفة,التدريب_الرقم,$A202),"")</f>
        <v/>
      </c>
      <c r="I202" s="63">
        <f>IF($A202="","",IFERROR($D202+$E202+$F202+$G202+$H202,0))</f>
        <v/>
      </c>
      <c r="J202" s="51">
        <f>IF($A202="","",COUNTIFS(الرواتب_الرقم,$A202))</f>
        <v/>
      </c>
    </row>
    <row r="203">
      <c r="A203" s="43">
        <f>IFERROR(INDEX(الموظفون_الرقم,197),"")</f>
        <v/>
      </c>
      <c r="B203" s="43">
        <f>IFERROR(INDEX(الموظفون_الاسم,197),"")</f>
        <v/>
      </c>
      <c r="C203" s="43">
        <f>IFERROR(INDEX(الموظفون_الإدارة,197),"")</f>
        <v/>
      </c>
      <c r="D203" s="60">
        <f>IFERROR(INDEX(الموظفون_الاساسي,197),"")</f>
        <v/>
      </c>
      <c r="E203" s="60">
        <f>IFERROR(INDEX(الموظفون_البدلات,197),"")</f>
        <v/>
      </c>
      <c r="F203" s="60">
        <f>IFERROR(SUMIFS(الرواتب_الاضافي,الرواتب_الرقم,$A203),"")</f>
        <v/>
      </c>
      <c r="G203" s="60">
        <f>IFERROR(SUMIFS(الرواتب_المكافآت,الرواتب_الرقم,$A203),"")</f>
        <v/>
      </c>
      <c r="H203" s="60">
        <f>IFERROR(SUMIFS(التدريب_التكلفة,التدريب_الرقم,$A203),"")</f>
        <v/>
      </c>
      <c r="I203" s="60">
        <f>IF($A203="","",IFERROR($D203+$E203+$F203+$G203+$H203,0))</f>
        <v/>
      </c>
      <c r="J203" s="44">
        <f>IF($A203="","",COUNTIFS(الرواتب_الرقم,$A203))</f>
        <v/>
      </c>
    </row>
    <row r="204">
      <c r="A204" s="50">
        <f>IFERROR(INDEX(الموظفون_الرقم,198),"")</f>
        <v/>
      </c>
      <c r="B204" s="50">
        <f>IFERROR(INDEX(الموظفون_الاسم,198),"")</f>
        <v/>
      </c>
      <c r="C204" s="50">
        <f>IFERROR(INDEX(الموظفون_الإدارة,198),"")</f>
        <v/>
      </c>
      <c r="D204" s="63">
        <f>IFERROR(INDEX(الموظفون_الاساسي,198),"")</f>
        <v/>
      </c>
      <c r="E204" s="63">
        <f>IFERROR(INDEX(الموظفون_البدلات,198),"")</f>
        <v/>
      </c>
      <c r="F204" s="63">
        <f>IFERROR(SUMIFS(الرواتب_الاضافي,الرواتب_الرقم,$A204),"")</f>
        <v/>
      </c>
      <c r="G204" s="63">
        <f>IFERROR(SUMIFS(الرواتب_المكافآت,الرواتب_الرقم,$A204),"")</f>
        <v/>
      </c>
      <c r="H204" s="63">
        <f>IFERROR(SUMIFS(التدريب_التكلفة,التدريب_الرقم,$A204),"")</f>
        <v/>
      </c>
      <c r="I204" s="63">
        <f>IF($A204="","",IFERROR($D204+$E204+$F204+$G204+$H204,0))</f>
        <v/>
      </c>
      <c r="J204" s="51">
        <f>IF($A204="","",COUNTIFS(الرواتب_الرقم,$A204))</f>
        <v/>
      </c>
    </row>
    <row r="205">
      <c r="A205" s="43">
        <f>IFERROR(INDEX(الموظفون_الرقم,199),"")</f>
        <v/>
      </c>
      <c r="B205" s="43">
        <f>IFERROR(INDEX(الموظفون_الاسم,199),"")</f>
        <v/>
      </c>
      <c r="C205" s="43">
        <f>IFERROR(INDEX(الموظفون_الإدارة,199),"")</f>
        <v/>
      </c>
      <c r="D205" s="60">
        <f>IFERROR(INDEX(الموظفون_الاساسي,199),"")</f>
        <v/>
      </c>
      <c r="E205" s="60">
        <f>IFERROR(INDEX(الموظفون_البدلات,199),"")</f>
        <v/>
      </c>
      <c r="F205" s="60">
        <f>IFERROR(SUMIFS(الرواتب_الاضافي,الرواتب_الرقم,$A205),"")</f>
        <v/>
      </c>
      <c r="G205" s="60">
        <f>IFERROR(SUMIFS(الرواتب_المكافآت,الرواتب_الرقم,$A205),"")</f>
        <v/>
      </c>
      <c r="H205" s="60">
        <f>IFERROR(SUMIFS(التدريب_التكلفة,التدريب_الرقم,$A205),"")</f>
        <v/>
      </c>
      <c r="I205" s="60">
        <f>IF($A205="","",IFERROR($D205+$E205+$F205+$G205+$H205,0))</f>
        <v/>
      </c>
      <c r="J205" s="44">
        <f>IF($A205="","",COUNTIFS(الرواتب_الرقم,$A205))</f>
        <v/>
      </c>
    </row>
    <row r="206">
      <c r="A206" s="50">
        <f>IFERROR(INDEX(الموظفون_الرقم,200),"")</f>
        <v/>
      </c>
      <c r="B206" s="50">
        <f>IFERROR(INDEX(الموظفون_الاسم,200),"")</f>
        <v/>
      </c>
      <c r="C206" s="50">
        <f>IFERROR(INDEX(الموظفون_الإدارة,200),"")</f>
        <v/>
      </c>
      <c r="D206" s="63">
        <f>IFERROR(INDEX(الموظفون_الاساسي,200),"")</f>
        <v/>
      </c>
      <c r="E206" s="63">
        <f>IFERROR(INDEX(الموظفون_البدلات,200),"")</f>
        <v/>
      </c>
      <c r="F206" s="63">
        <f>IFERROR(SUMIFS(الرواتب_الاضافي,الرواتب_الرقم,$A206),"")</f>
        <v/>
      </c>
      <c r="G206" s="63">
        <f>IFERROR(SUMIFS(الرواتب_المكافآت,الرواتب_الرقم,$A206),"")</f>
        <v/>
      </c>
      <c r="H206" s="63">
        <f>IFERROR(SUMIFS(التدريب_التكلفة,التدريب_الرقم,$A206),"")</f>
        <v/>
      </c>
      <c r="I206" s="63">
        <f>IF($A206="","",IFERROR($D206+$E206+$F206+$G206+$H206,0))</f>
        <v/>
      </c>
      <c r="J206" s="51">
        <f>IF($A206="","",COUNTIFS(الرواتب_الرقم,$A206))</f>
        <v/>
      </c>
    </row>
    <row r="207">
      <c r="A207" s="71" t="inlineStr">
        <is>
          <t>الإجمالي</t>
        </is>
      </c>
      <c r="B207" s="72" t="n"/>
      <c r="C207" s="72" t="n"/>
      <c r="D207" s="73">
        <f>SUM(D7:D206)</f>
        <v/>
      </c>
      <c r="E207" s="73">
        <f>SUM(E7:E206)</f>
        <v/>
      </c>
      <c r="F207" s="73">
        <f>SUM(F7:F206)</f>
        <v/>
      </c>
      <c r="G207" s="73">
        <f>SUM(G7:G206)</f>
        <v/>
      </c>
      <c r="H207" s="73">
        <f>SUM(H7:H206)</f>
        <v/>
      </c>
      <c r="I207" s="73">
        <f>SUM(I7:I206)</f>
        <v/>
      </c>
      <c r="J207" s="7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05"/>
  <mergeCells count="5">
    <mergeCell ref="A1:J1"/>
    <mergeCell ref="F3:J3"/>
    <mergeCell ref="A2:J2"/>
    <mergeCell ref="A207"/>
    <mergeCell ref="A3:E3"/>
  </mergeCells>
  <pageMargins left="0.75" right="0.75" top="1" bottom="1" header="0.5" footer="0.5"/>
  <pageSetup orientation="landscape" paperSize="9" fitToHeight="0" fitToWidth="1"/>
  <headerFooter>
    <oddHeader/>
    <oddFooter>&amp;L&amp;8 نظام إدارة الموارد البشرية&amp;R&amp;8 صفحة &amp;P من &amp;N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tabColor rgb="001F3864"/>
    <outlinePr summaryBelow="1" summaryRight="1"/>
    <pageSetUpPr/>
  </sheetPr>
  <dimension ref="A1:AE199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58" customWidth="1" min="3" max="3"/>
    <col width="3" customWidth="1" min="4" max="4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 ht="32" customHeight="1">
      <c r="A1" s="1" t="inlineStr">
        <is>
          <t>الإعدادات العامة — النظام</t>
        </is>
      </c>
    </row>
    <row r="2">
      <c r="A2" s="81" t="inlineStr">
        <is>
          <t>القيم القابلة للتعديل في هذا العمود تُستخدم تلقائيًا في جميع الأوراق والتقارير.</t>
        </is>
      </c>
    </row>
    <row r="3" ht="20" customHeight="1">
      <c r="H3" s="76" t="inlineStr">
        <is>
          <t>مصادر القوائم المنسدلة (قابلة للإضافة)</t>
        </is>
      </c>
    </row>
    <row r="4" ht="24" customHeight="1">
      <c r="A4" s="3" t="inlineStr">
        <is>
          <t>بيانات المؤسسة</t>
        </is>
      </c>
      <c r="H4" s="83" t="inlineStr">
        <is>
          <t>الإدارات</t>
        </is>
      </c>
      <c r="I4" s="83" t="inlineStr">
        <is>
          <t>الأقسام</t>
        </is>
      </c>
      <c r="J4" s="83" t="inlineStr">
        <is>
          <t>المسميات</t>
        </is>
      </c>
      <c r="K4" s="83" t="inlineStr">
        <is>
          <t>أنواع التوظيف</t>
        </is>
      </c>
      <c r="L4" s="83" t="inlineStr">
        <is>
          <t>حالات الموظف</t>
        </is>
      </c>
      <c r="M4" s="83" t="inlineStr">
        <is>
          <t>أنواع الإجازات</t>
        </is>
      </c>
      <c r="N4" s="83" t="inlineStr">
        <is>
          <t>حالات الطلب</t>
        </is>
      </c>
      <c r="O4" s="83" t="inlineStr">
        <is>
          <t>حالات الحضور</t>
        </is>
      </c>
      <c r="P4" s="83" t="inlineStr">
        <is>
          <t>أيام الأسبوع</t>
        </is>
      </c>
      <c r="Q4" s="83" t="inlineStr">
        <is>
          <t>أنواع الوثائق</t>
        </is>
      </c>
      <c r="R4" s="83" t="inlineStr">
        <is>
          <t>أنواع البدلات</t>
        </is>
      </c>
      <c r="S4" s="83" t="inlineStr">
        <is>
          <t>أنواع الخصومات</t>
        </is>
      </c>
      <c r="T4" s="83" t="inlineStr">
        <is>
          <t>حالات التوظيف</t>
        </is>
      </c>
      <c r="U4" s="83" t="inlineStr">
        <is>
          <t>حالات القرار</t>
        </is>
      </c>
      <c r="V4" s="83" t="inlineStr">
        <is>
          <t>أنواع الجزاءات</t>
        </is>
      </c>
      <c r="W4" s="83" t="inlineStr">
        <is>
          <t>أنواع المكافآت</t>
        </is>
      </c>
      <c r="X4" s="83" t="inlineStr">
        <is>
          <t>حالات العهدة</t>
        </is>
      </c>
      <c r="Y4" s="83" t="inlineStr">
        <is>
          <t>حالات إنهاء الخدمة</t>
        </is>
      </c>
      <c r="Z4" s="83" t="inlineStr">
        <is>
          <t>حالات الصرف</t>
        </is>
      </c>
      <c r="AA4" s="83" t="inlineStr">
        <is>
          <t>نتائج المقابلة</t>
        </is>
      </c>
      <c r="AB4" s="83" t="inlineStr">
        <is>
          <t>حالات التدريب</t>
        </is>
      </c>
      <c r="AC4" s="83" t="inlineStr">
        <is>
          <t>أوزان التقييم</t>
        </is>
      </c>
      <c r="AD4" s="84" t="n"/>
      <c r="AE4" s="84" t="n"/>
    </row>
    <row r="5">
      <c r="A5" s="85" t="inlineStr">
        <is>
          <t>اسم المؤسسة</t>
        </is>
      </c>
      <c r="B5" s="86" t="inlineStr">
        <is>
          <t>شركة النموذج التجريبي (بيانات وهمية)</t>
        </is>
      </c>
      <c r="C5" s="87" t="inlineStr"/>
      <c r="H5" s="40" t="inlineStr">
        <is>
          <t>الموارد البشرية</t>
        </is>
      </c>
      <c r="I5" s="40" t="inlineStr">
        <is>
          <t>شؤون الموظفين</t>
        </is>
      </c>
      <c r="J5" s="40" t="inlineStr">
        <is>
          <t>مدير عام</t>
        </is>
      </c>
      <c r="K5" s="40" t="inlineStr">
        <is>
          <t>دوام كامل</t>
        </is>
      </c>
      <c r="L5" s="40" t="inlineStr">
        <is>
          <t>نشط</t>
        </is>
      </c>
      <c r="M5" s="40" t="inlineStr">
        <is>
          <t>سنوية</t>
        </is>
      </c>
      <c r="N5" s="40" t="inlineStr">
        <is>
          <t>جديد</t>
        </is>
      </c>
      <c r="O5" s="40" t="inlineStr">
        <is>
          <t>حاضر</t>
        </is>
      </c>
      <c r="P5" s="40" t="inlineStr">
        <is>
          <t>الأحد</t>
        </is>
      </c>
      <c r="Q5" s="40" t="inlineStr">
        <is>
          <t>هوية وطنية</t>
        </is>
      </c>
      <c r="R5" s="40" t="inlineStr">
        <is>
          <t>بدل سكن</t>
        </is>
      </c>
      <c r="S5" s="40" t="inlineStr">
        <is>
          <t>خصم تأخير</t>
        </is>
      </c>
      <c r="T5" s="40" t="inlineStr">
        <is>
          <t>جديد</t>
        </is>
      </c>
      <c r="U5" s="40" t="inlineStr">
        <is>
          <t>مقترح</t>
        </is>
      </c>
      <c r="V5" s="40" t="inlineStr">
        <is>
          <t>تنبيه شفهي</t>
        </is>
      </c>
      <c r="W5" s="40" t="inlineStr">
        <is>
          <t>مكافأة أداء</t>
        </is>
      </c>
      <c r="X5" s="40" t="inlineStr">
        <is>
          <t>مسلمة</t>
        </is>
      </c>
      <c r="Y5" s="40" t="inlineStr">
        <is>
          <t>طلب استقالة</t>
        </is>
      </c>
      <c r="Z5" s="40" t="inlineStr">
        <is>
          <t>مصروف</t>
        </is>
      </c>
      <c r="AA5" s="40" t="inlineStr">
        <is>
          <t>ممتاز</t>
        </is>
      </c>
      <c r="AB5" s="40" t="inlineStr">
        <is>
          <t>مسجل</t>
        </is>
      </c>
      <c r="AC5" s="40" t="inlineStr">
        <is>
          <t>جودة العمل</t>
        </is>
      </c>
      <c r="AD5" s="84" t="n"/>
      <c r="AE5" s="84" t="n"/>
    </row>
    <row r="6">
      <c r="A6" s="85" t="inlineStr">
        <is>
          <t>السجل التجاري / الرقم الضريبي</t>
        </is>
      </c>
      <c r="B6" s="86" t="inlineStr">
        <is>
          <t>0000000000</t>
        </is>
      </c>
      <c r="C6" s="87" t="inlineStr"/>
      <c r="H6" s="47" t="inlineStr">
        <is>
          <t>المالية</t>
        </is>
      </c>
      <c r="I6" s="47" t="inlineStr">
        <is>
          <t>التوظيف</t>
        </is>
      </c>
      <c r="J6" s="47" t="inlineStr">
        <is>
          <t>مدير إدارة</t>
        </is>
      </c>
      <c r="K6" s="47" t="inlineStr">
        <is>
          <t>دوام جزئي</t>
        </is>
      </c>
      <c r="L6" s="47" t="inlineStr">
        <is>
          <t>في إجازة</t>
        </is>
      </c>
      <c r="M6" s="47" t="inlineStr">
        <is>
          <t>مرضية</t>
        </is>
      </c>
      <c r="N6" s="47" t="inlineStr">
        <is>
          <t>قيد المراجعة</t>
        </is>
      </c>
      <c r="O6" s="47" t="inlineStr">
        <is>
          <t>غائب</t>
        </is>
      </c>
      <c r="P6" s="47" t="inlineStr">
        <is>
          <t>الاثنين</t>
        </is>
      </c>
      <c r="Q6" s="47" t="inlineStr">
        <is>
          <t>جواز سفر</t>
        </is>
      </c>
      <c r="R6" s="47" t="inlineStr">
        <is>
          <t>بدل نقل</t>
        </is>
      </c>
      <c r="S6" s="47" t="inlineStr">
        <is>
          <t>خصم غياب</t>
        </is>
      </c>
      <c r="T6" s="47" t="inlineStr">
        <is>
          <t>قيد المراجعة</t>
        </is>
      </c>
      <c r="U6" s="47" t="inlineStr">
        <is>
          <t>معتمد</t>
        </is>
      </c>
      <c r="V6" s="47" t="inlineStr">
        <is>
          <t>إنذار كتابي</t>
        </is>
      </c>
      <c r="W6" s="47" t="inlineStr">
        <is>
          <t>مكافأة مشروع</t>
        </is>
      </c>
      <c r="X6" s="47" t="inlineStr">
        <is>
          <t>مسترجعة</t>
        </is>
      </c>
      <c r="Y6" s="47" t="inlineStr">
        <is>
          <t>إنهاء من صاحب العمل</t>
        </is>
      </c>
      <c r="Z6" s="47" t="inlineStr">
        <is>
          <t>معلق</t>
        </is>
      </c>
      <c r="AA6" s="47" t="inlineStr">
        <is>
          <t>جيد جدًا</t>
        </is>
      </c>
      <c r="AB6" s="47" t="inlineStr">
        <is>
          <t>حاضر</t>
        </is>
      </c>
      <c r="AC6" s="47" t="inlineStr">
        <is>
          <t>الالتزام بالدوام</t>
        </is>
      </c>
      <c r="AD6" s="84" t="n"/>
      <c r="AE6" s="84" t="n"/>
    </row>
    <row r="7">
      <c r="A7" s="85" t="inlineStr">
        <is>
          <t>السنة المالية</t>
        </is>
      </c>
      <c r="B7" s="120" t="n">
        <v>2026</v>
      </c>
      <c r="C7" s="87" t="inlineStr"/>
      <c r="H7" s="40" t="inlineStr">
        <is>
          <t>تقنية المعلومات</t>
        </is>
      </c>
      <c r="I7" s="40" t="inlineStr">
        <is>
          <t>الحسابات</t>
        </is>
      </c>
      <c r="J7" s="40" t="inlineStr">
        <is>
          <t>رئيس قسم</t>
        </is>
      </c>
      <c r="K7" s="40" t="inlineStr">
        <is>
          <t>عقد محدد المدة</t>
        </is>
      </c>
      <c r="L7" s="40" t="inlineStr">
        <is>
          <t>موقوف</t>
        </is>
      </c>
      <c r="M7" s="40" t="inlineStr">
        <is>
          <t>طارئة</t>
        </is>
      </c>
      <c r="N7" s="40" t="inlineStr">
        <is>
          <t>معتمد</t>
        </is>
      </c>
      <c r="O7" s="40" t="inlineStr">
        <is>
          <t>إجازة</t>
        </is>
      </c>
      <c r="P7" s="40" t="inlineStr">
        <is>
          <t>الثلاثاء</t>
        </is>
      </c>
      <c r="Q7" s="40" t="inlineStr">
        <is>
          <t>إقامة</t>
        </is>
      </c>
      <c r="R7" s="40" t="inlineStr">
        <is>
          <t>بدل طبيعة عمل</t>
        </is>
      </c>
      <c r="S7" s="40" t="inlineStr">
        <is>
          <t>خصم جزاء</t>
        </is>
      </c>
      <c r="T7" s="40" t="inlineStr">
        <is>
          <t>مقابلة</t>
        </is>
      </c>
      <c r="U7" s="40" t="inlineStr">
        <is>
          <t>منفذ</t>
        </is>
      </c>
      <c r="V7" s="40" t="inlineStr">
        <is>
          <t>خصم أيام</t>
        </is>
      </c>
      <c r="W7" s="40" t="inlineStr">
        <is>
          <t>مكافأة إضافية</t>
        </is>
      </c>
      <c r="X7" s="40" t="inlineStr">
        <is>
          <t>تالفة</t>
        </is>
      </c>
      <c r="Y7" s="40" t="inlineStr">
        <is>
          <t>انتهاء عقد</t>
        </is>
      </c>
      <c r="Z7" s="40" t="inlineStr">
        <is>
          <t>قيد المعالجة</t>
        </is>
      </c>
      <c r="AA7" s="40" t="inlineStr">
        <is>
          <t>جيد</t>
        </is>
      </c>
      <c r="AB7" s="40" t="inlineStr">
        <is>
          <t>مكتمل</t>
        </is>
      </c>
      <c r="AC7" s="40" t="inlineStr">
        <is>
          <t>الإنتاجية</t>
        </is>
      </c>
      <c r="AD7" s="84" t="n"/>
      <c r="AE7" s="84" t="n"/>
    </row>
    <row r="8">
      <c r="A8" s="85" t="inlineStr">
        <is>
          <t>العملة</t>
        </is>
      </c>
      <c r="B8" s="86" t="inlineStr">
        <is>
          <t>ر.س</t>
        </is>
      </c>
      <c r="C8" s="87" t="inlineStr"/>
      <c r="H8" s="47" t="inlineStr">
        <is>
          <t>العمليات</t>
        </is>
      </c>
      <c r="I8" s="47" t="inlineStr">
        <is>
          <t>الميزانية</t>
        </is>
      </c>
      <c r="J8" s="47" t="inlineStr">
        <is>
          <t>أخصائي موارد بشرية</t>
        </is>
      </c>
      <c r="K8" s="47" t="inlineStr">
        <is>
          <t>عقد غير محدد المدة</t>
        </is>
      </c>
      <c r="L8" s="47" t="inlineStr">
        <is>
          <t>معلق</t>
        </is>
      </c>
      <c r="M8" s="47" t="inlineStr">
        <is>
          <t>بدون راتب</t>
        </is>
      </c>
      <c r="N8" s="47" t="inlineStr">
        <is>
          <t>مرفوض</t>
        </is>
      </c>
      <c r="O8" s="47" t="inlineStr">
        <is>
          <t>مأمورية</t>
        </is>
      </c>
      <c r="P8" s="47" t="inlineStr">
        <is>
          <t>الأربعاء</t>
        </is>
      </c>
      <c r="Q8" s="47" t="inlineStr">
        <is>
          <t>رخصة عمل</t>
        </is>
      </c>
      <c r="R8" s="47" t="inlineStr">
        <is>
          <t>بدل هاتف</t>
        </is>
      </c>
      <c r="S8" s="47" t="inlineStr">
        <is>
          <t>خصم سلفة</t>
        </is>
      </c>
      <c r="T8" s="47" t="inlineStr">
        <is>
          <t>مقبول</t>
        </is>
      </c>
      <c r="U8" s="47" t="inlineStr">
        <is>
          <t>ملغي</t>
        </is>
      </c>
      <c r="V8" s="47" t="inlineStr">
        <is>
          <t>إيقاف عن العمل</t>
        </is>
      </c>
      <c r="W8" s="47" t="inlineStr">
        <is>
          <t>ترقية</t>
        </is>
      </c>
      <c r="X8" s="47" t="inlineStr">
        <is>
          <t>مفقودة</t>
        </is>
      </c>
      <c r="Y8" s="47" t="inlineStr">
        <is>
          <t>تقاعد</t>
        </is>
      </c>
      <c r="Z8" s="47" t="inlineStr">
        <is>
          <t>ملغي</t>
        </is>
      </c>
      <c r="AA8" s="47" t="inlineStr">
        <is>
          <t>مقبول</t>
        </is>
      </c>
      <c r="AB8" s="47" t="inlineStr">
        <is>
          <t>منسحب</t>
        </is>
      </c>
      <c r="AC8" s="47" t="inlineStr">
        <is>
          <t>التعاون</t>
        </is>
      </c>
      <c r="AD8" s="84" t="n"/>
      <c r="AE8" s="84" t="n"/>
    </row>
    <row r="9">
      <c r="A9" s="85" t="inlineStr">
        <is>
          <t>مسؤول الموارد البشرية</t>
        </is>
      </c>
      <c r="B9" s="86" t="inlineStr">
        <is>
          <t>مدير الموارد البشرية</t>
        </is>
      </c>
      <c r="C9" s="87" t="inlineStr"/>
      <c r="H9" s="40" t="inlineStr">
        <is>
          <t>المبيعات</t>
        </is>
      </c>
      <c r="I9" s="40" t="inlineStr">
        <is>
          <t>الدعم الفني</t>
        </is>
      </c>
      <c r="J9" s="40" t="inlineStr">
        <is>
          <t>محاسب</t>
        </is>
      </c>
      <c r="K9" s="40" t="inlineStr">
        <is>
          <t>مؤقت</t>
        </is>
      </c>
      <c r="L9" s="40" t="inlineStr">
        <is>
          <t>منتهي العقد</t>
        </is>
      </c>
      <c r="M9" s="40" t="inlineStr">
        <is>
          <t>أمومة</t>
        </is>
      </c>
      <c r="N9" s="40" t="inlineStr">
        <is>
          <t>ملغي</t>
        </is>
      </c>
      <c r="O9" s="40" t="inlineStr">
        <is>
          <t>عطلة رسمية</t>
        </is>
      </c>
      <c r="P9" s="40" t="inlineStr">
        <is>
          <t>الخميس</t>
        </is>
      </c>
      <c r="Q9" s="40" t="inlineStr">
        <is>
          <t>شهادة صحية</t>
        </is>
      </c>
      <c r="R9" s="40" t="inlineStr">
        <is>
          <t>بدل سكن + نقل</t>
        </is>
      </c>
      <c r="S9" s="40" t="inlineStr">
        <is>
          <t>خصم تأمين</t>
        </is>
      </c>
      <c r="T9" s="40" t="inlineStr">
        <is>
          <t>مرفوض</t>
        </is>
      </c>
      <c r="U9" s="84" t="n"/>
      <c r="V9" s="40" t="inlineStr">
        <is>
          <t>فصل</t>
        </is>
      </c>
      <c r="W9" s="40" t="inlineStr">
        <is>
          <t>شهادة تقدير</t>
        </is>
      </c>
      <c r="X9" s="40" t="inlineStr">
        <is>
          <t>قيد الاسترجاع</t>
        </is>
      </c>
      <c r="Y9" s="40" t="inlineStr">
        <is>
          <t>إنهاء فوري</t>
        </is>
      </c>
      <c r="Z9" s="84" t="n"/>
      <c r="AA9" s="40" t="inlineStr">
        <is>
          <t>ضعيف</t>
        </is>
      </c>
      <c r="AB9" s="40" t="inlineStr">
        <is>
          <t>لم يحضر</t>
        </is>
      </c>
      <c r="AC9" s="40" t="inlineStr">
        <is>
          <t>تحقيق الأهداف</t>
        </is>
      </c>
      <c r="AD9" s="84" t="n"/>
      <c r="AE9" s="84" t="n"/>
    </row>
    <row r="10">
      <c r="A10" s="85" t="inlineStr">
        <is>
          <t>الشعار</t>
        </is>
      </c>
      <c r="B10" s="86" t="inlineStr">
        <is>
          <t>أدرج الصورة هنا (إدراج &gt; صورة)</t>
        </is>
      </c>
      <c r="C10" s="87" t="inlineStr">
        <is>
          <t>لا يمكن تضمين صورة برمجيًا؛ أدرج شعارك يدويًا في هذه الخلية.</t>
        </is>
      </c>
      <c r="H10" s="47" t="inlineStr">
        <is>
          <t>الخدمات الطبية</t>
        </is>
      </c>
      <c r="I10" s="47" t="inlineStr">
        <is>
          <t>تطوير الأنظمة</t>
        </is>
      </c>
      <c r="J10" s="47" t="inlineStr">
        <is>
          <t>مهندس برمجيات</t>
        </is>
      </c>
      <c r="K10" s="47" t="inlineStr">
        <is>
          <t>متعاون</t>
        </is>
      </c>
      <c r="L10" s="47" t="inlineStr">
        <is>
          <t>منتهي الخدمة</t>
        </is>
      </c>
      <c r="M10" s="47" t="inlineStr">
        <is>
          <t>أبوة</t>
        </is>
      </c>
      <c r="N10" s="84" t="n"/>
      <c r="O10" s="47" t="inlineStr">
        <is>
          <t>دوام جزئي</t>
        </is>
      </c>
      <c r="P10" s="47" t="inlineStr">
        <is>
          <t>الجمعة</t>
        </is>
      </c>
      <c r="Q10" s="47" t="inlineStr">
        <is>
          <t>شهادة جامعية</t>
        </is>
      </c>
      <c r="R10" s="47" t="inlineStr">
        <is>
          <t>بدل خطر</t>
        </is>
      </c>
      <c r="S10" s="47" t="inlineStr">
        <is>
          <t>خصم إداري</t>
        </is>
      </c>
      <c r="T10" s="47" t="inlineStr">
        <is>
          <t>تم التعيين</t>
        </is>
      </c>
      <c r="U10" s="84" t="n"/>
      <c r="V10" s="84" t="n"/>
      <c r="W10" s="84" t="n"/>
      <c r="X10" s="84" t="n"/>
      <c r="Y10" s="47" t="inlineStr">
        <is>
          <t>وفقًا لنظام العمل</t>
        </is>
      </c>
      <c r="Z10" s="84" t="n"/>
      <c r="AA10" s="84" t="n"/>
      <c r="AB10" s="84" t="n"/>
      <c r="AC10" s="84" t="n"/>
      <c r="AD10" s="84" t="n"/>
      <c r="AE10" s="84" t="n"/>
    </row>
    <row r="11" ht="24" customHeight="1">
      <c r="A11" s="3" t="inlineStr">
        <is>
          <t>إعدادات الدوام والعمل</t>
        </is>
      </c>
      <c r="H11" s="40" t="inlineStr">
        <is>
          <t>الشؤون القانونية</t>
        </is>
      </c>
      <c r="I11" s="40" t="inlineStr">
        <is>
          <t>المشتريات</t>
        </is>
      </c>
      <c r="J11" s="40" t="inlineStr">
        <is>
          <t>فني دعم</t>
        </is>
      </c>
      <c r="K11" s="40" t="inlineStr">
        <is>
          <t>تدريب</t>
        </is>
      </c>
      <c r="L11" s="84" t="n"/>
      <c r="M11" s="40" t="inlineStr">
        <is>
          <t>زواج</t>
        </is>
      </c>
      <c r="N11" s="84" t="n"/>
      <c r="O11" s="84" t="n"/>
      <c r="P11" s="40" t="inlineStr">
        <is>
          <t>السبت</t>
        </is>
      </c>
      <c r="Q11" s="40" t="inlineStr">
        <is>
          <t>عقد عمل</t>
        </is>
      </c>
      <c r="R11" s="40" t="inlineStr">
        <is>
          <t>بدل تدريب</t>
        </is>
      </c>
      <c r="S11" s="40" t="inlineStr">
        <is>
          <t>خصم أخرى</t>
        </is>
      </c>
      <c r="T11" s="40" t="inlineStr">
        <is>
          <t>منسحب</t>
        </is>
      </c>
      <c r="U11" s="84" t="n"/>
      <c r="V11" s="84" t="n"/>
      <c r="W11" s="84" t="n"/>
      <c r="X11" s="84" t="n"/>
      <c r="Y11" s="84" t="n"/>
      <c r="Z11" s="84" t="n"/>
      <c r="AA11" s="84" t="n"/>
      <c r="AB11" s="84" t="n"/>
      <c r="AC11" s="84" t="n"/>
      <c r="AD11" s="84" t="n"/>
      <c r="AE11" s="84" t="n"/>
    </row>
    <row r="12">
      <c r="A12" s="85" t="inlineStr">
        <is>
          <t>بداية الدوام الرسمي</t>
        </is>
      </c>
      <c r="B12" s="121" t="n">
        <v>0.3333333333333333</v>
      </c>
      <c r="C12" s="87" t="inlineStr"/>
      <c r="H12" s="47" t="inlineStr">
        <is>
          <t>الجودة</t>
        </is>
      </c>
      <c r="I12" s="47" t="inlineStr">
        <is>
          <t>خدمة العملاء</t>
        </is>
      </c>
      <c r="J12" s="47" t="inlineStr">
        <is>
          <t>منسق إداري</t>
        </is>
      </c>
      <c r="K12" s="84" t="n"/>
      <c r="L12" s="84" t="n"/>
      <c r="M12" s="47" t="inlineStr">
        <is>
          <t>وفاة</t>
        </is>
      </c>
      <c r="N12" s="84" t="n"/>
      <c r="O12" s="84" t="n"/>
      <c r="P12" s="84" t="n"/>
      <c r="Q12" s="47" t="inlineStr">
        <is>
          <t>تأمين طبي</t>
        </is>
      </c>
      <c r="R12" s="84" t="n"/>
      <c r="S12" s="84" t="n"/>
      <c r="T12" s="84" t="n"/>
      <c r="U12" s="84" t="n"/>
      <c r="V12" s="84" t="n"/>
      <c r="W12" s="84" t="n"/>
      <c r="X12" s="84" t="n"/>
      <c r="Y12" s="84" t="n"/>
      <c r="Z12" s="84" t="n"/>
      <c r="AA12" s="84" t="n"/>
      <c r="AB12" s="84" t="n"/>
      <c r="AC12" s="84" t="n"/>
      <c r="AD12" s="84" t="n"/>
      <c r="AE12" s="84" t="n"/>
    </row>
    <row r="13">
      <c r="A13" s="85" t="inlineStr">
        <is>
          <t>نهاية الدوام الرسمي</t>
        </is>
      </c>
      <c r="B13" s="121" t="n">
        <v>0.7083333333333334</v>
      </c>
      <c r="C13" s="87" t="inlineStr"/>
      <c r="H13" s="84" t="n"/>
      <c r="I13" s="40" t="inlineStr">
        <is>
          <t>التمريض</t>
        </is>
      </c>
      <c r="J13" s="40" t="inlineStr">
        <is>
          <t>ممرض</t>
        </is>
      </c>
      <c r="K13" s="84" t="n"/>
      <c r="L13" s="84" t="n"/>
      <c r="M13" s="40" t="inlineStr">
        <is>
          <t>حج</t>
        </is>
      </c>
      <c r="N13" s="84" t="n"/>
      <c r="O13" s="84" t="n"/>
      <c r="P13" s="84" t="n"/>
      <c r="Q13" s="40" t="inlineStr">
        <is>
          <t>رخصة قيادة</t>
        </is>
      </c>
      <c r="R13" s="84" t="n"/>
      <c r="S13" s="84" t="n"/>
      <c r="T13" s="84" t="n"/>
      <c r="U13" s="84" t="n"/>
      <c r="V13" s="84" t="n"/>
      <c r="W13" s="84" t="n"/>
      <c r="X13" s="84" t="n"/>
      <c r="Y13" s="84" t="n"/>
      <c r="Z13" s="84" t="n"/>
      <c r="AA13" s="84" t="n"/>
      <c r="AB13" s="84" t="n"/>
      <c r="AC13" s="84" t="n"/>
      <c r="AD13" s="84" t="n"/>
      <c r="AE13" s="84" t="n"/>
    </row>
    <row r="14">
      <c r="A14" s="85" t="inlineStr">
        <is>
          <t>مدة الاستراحة (دقائق)</t>
        </is>
      </c>
      <c r="B14" s="120" t="n">
        <v>60</v>
      </c>
      <c r="C14" s="87" t="inlineStr"/>
      <c r="H14" s="84" t="n"/>
      <c r="I14" s="47" t="inlineStr">
        <is>
          <t>المختبر</t>
        </is>
      </c>
      <c r="J14" s="47" t="inlineStr">
        <is>
          <t>أخصائي مختبر</t>
        </is>
      </c>
      <c r="K14" s="84" t="n"/>
      <c r="L14" s="84" t="n"/>
      <c r="M14" s="47" t="inlineStr">
        <is>
          <t>دراسية</t>
        </is>
      </c>
      <c r="N14" s="84" t="n"/>
      <c r="O14" s="84" t="n"/>
      <c r="P14" s="84" t="n"/>
      <c r="Q14" s="47" t="inlineStr">
        <is>
          <t>بطاقة موظف</t>
        </is>
      </c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4" t="n"/>
      <c r="AD14" s="84" t="n"/>
      <c r="AE14" s="84" t="n"/>
    </row>
    <row r="15">
      <c r="A15" s="85" t="inlineStr">
        <is>
          <t>ساعات العمل المطلوبة يوميًا</t>
        </is>
      </c>
      <c r="B15" s="120" t="n">
        <v>8</v>
      </c>
      <c r="C15" s="87" t="inlineStr"/>
      <c r="H15" s="84" t="n"/>
      <c r="I15" s="40" t="inlineStr">
        <is>
          <t>الصيدلة</t>
        </is>
      </c>
      <c r="J15" s="40" t="inlineStr">
        <is>
          <t>صيدلي</t>
        </is>
      </c>
      <c r="K15" s="84" t="n"/>
      <c r="L15" s="84" t="n"/>
      <c r="M15" s="84" t="n"/>
      <c r="N15" s="84" t="n"/>
      <c r="O15" s="84" t="n"/>
      <c r="P15" s="84" t="n"/>
      <c r="Q15" s="84" t="n"/>
      <c r="R15" s="84" t="n"/>
      <c r="S15" s="84" t="n"/>
      <c r="T15" s="84" t="n"/>
      <c r="U15" s="84" t="n"/>
      <c r="V15" s="84" t="n"/>
      <c r="W15" s="84" t="n"/>
      <c r="X15" s="84" t="n"/>
      <c r="Y15" s="84" t="n"/>
      <c r="Z15" s="84" t="n"/>
      <c r="AA15" s="84" t="n"/>
      <c r="AB15" s="84" t="n"/>
      <c r="AC15" s="84" t="n"/>
      <c r="AD15" s="84" t="n"/>
      <c r="AE15" s="84" t="n"/>
    </row>
    <row r="16">
      <c r="A16" s="85" t="inlineStr">
        <is>
          <t>دقائق السماح للتأخير</t>
        </is>
      </c>
      <c r="B16" s="120" t="n">
        <v>10</v>
      </c>
      <c r="C16" s="87" t="inlineStr">
        <is>
          <t>التأخير أقل من هذه القيمة لا يُحتسب.</t>
        </is>
      </c>
      <c r="H16" s="84" t="n"/>
      <c r="I16" s="84" t="n"/>
      <c r="J16" s="47" t="inlineStr">
        <is>
          <t>سكرتير</t>
        </is>
      </c>
      <c r="K16" s="84" t="n"/>
      <c r="L16" s="84" t="n"/>
      <c r="M16" s="84" t="n"/>
      <c r="N16" s="84" t="n"/>
      <c r="O16" s="84" t="n"/>
      <c r="P16" s="84" t="n"/>
      <c r="Q16" s="84" t="n"/>
      <c r="R16" s="84" t="n"/>
      <c r="S16" s="84" t="n"/>
      <c r="T16" s="84" t="n"/>
      <c r="U16" s="84" t="n"/>
      <c r="V16" s="84" t="n"/>
      <c r="W16" s="84" t="n"/>
      <c r="X16" s="84" t="n"/>
      <c r="Y16" s="84" t="n"/>
      <c r="Z16" s="84" t="n"/>
      <c r="AA16" s="84" t="n"/>
      <c r="AB16" s="84" t="n"/>
      <c r="AC16" s="84" t="n"/>
      <c r="AD16" s="84" t="n"/>
      <c r="AE16" s="84" t="n"/>
    </row>
    <row r="17">
      <c r="A17" s="85" t="inlineStr">
        <is>
          <t>احتساب التأخير تلقائيًا</t>
        </is>
      </c>
      <c r="B17" s="86" t="inlineStr">
        <is>
          <t>نعم</t>
        </is>
      </c>
      <c r="C17" s="87" t="inlineStr"/>
      <c r="H17" s="84" t="n"/>
      <c r="I17" s="84" t="n"/>
      <c r="J17" s="40" t="inlineStr">
        <is>
          <t>عامل</t>
        </is>
      </c>
      <c r="K17" s="84" t="n"/>
      <c r="L17" s="84" t="n"/>
      <c r="M17" s="84" t="n"/>
      <c r="N17" s="84" t="n"/>
      <c r="O17" s="84" t="n"/>
      <c r="P17" s="84" t="n"/>
      <c r="Q17" s="84" t="n"/>
      <c r="R17" s="84" t="n"/>
      <c r="S17" s="84" t="n"/>
      <c r="T17" s="84" t="n"/>
      <c r="U17" s="84" t="n"/>
      <c r="V17" s="84" t="n"/>
      <c r="W17" s="84" t="n"/>
      <c r="X17" s="84" t="n"/>
      <c r="Y17" s="84" t="n"/>
      <c r="Z17" s="84" t="n"/>
      <c r="AA17" s="84" t="n"/>
      <c r="AB17" s="84" t="n"/>
      <c r="AC17" s="84" t="n"/>
      <c r="AD17" s="84" t="n"/>
      <c r="AE17" s="84" t="n"/>
    </row>
    <row r="18">
      <c r="A18" s="85" t="inlineStr">
        <is>
          <t>احتساب العمل الإضافي تلقائيًا</t>
        </is>
      </c>
      <c r="B18" s="86" t="inlineStr">
        <is>
          <t>نعم</t>
        </is>
      </c>
      <c r="C18" s="87" t="inlineStr"/>
      <c r="H18" s="84" t="n"/>
      <c r="I18" s="84" t="n"/>
      <c r="J18" s="84" t="n"/>
      <c r="K18" s="84" t="n"/>
      <c r="L18" s="84" t="n"/>
      <c r="M18" s="84" t="n"/>
      <c r="N18" s="84" t="n"/>
      <c r="O18" s="84" t="n"/>
      <c r="P18" s="84" t="n"/>
      <c r="Q18" s="84" t="n"/>
      <c r="R18" s="84" t="n"/>
      <c r="S18" s="84" t="n"/>
      <c r="T18" s="84" t="n"/>
      <c r="U18" s="84" t="n"/>
      <c r="V18" s="84" t="n"/>
      <c r="W18" s="84" t="n"/>
      <c r="X18" s="84" t="n"/>
      <c r="Y18" s="84" t="n"/>
      <c r="Z18" s="84" t="n"/>
      <c r="AA18" s="84" t="n"/>
      <c r="AB18" s="84" t="n"/>
      <c r="AC18" s="84" t="n"/>
      <c r="AD18" s="84" t="n"/>
      <c r="AE18" s="84" t="n"/>
    </row>
    <row r="19">
      <c r="A19" s="85" t="inlineStr">
        <is>
          <t>الحد الأدنى لاحتساب العمل الإضافي (دقيقة)</t>
        </is>
      </c>
      <c r="B19" s="120" t="n">
        <v>30</v>
      </c>
      <c r="C19" s="87" t="inlineStr"/>
      <c r="H19" s="84" t="n"/>
      <c r="I19" s="84" t="n"/>
      <c r="J19" s="84" t="n"/>
      <c r="K19" s="84" t="n"/>
      <c r="L19" s="84" t="n"/>
      <c r="M19" s="84" t="n"/>
      <c r="N19" s="84" t="n"/>
      <c r="O19" s="84" t="n"/>
      <c r="P19" s="84" t="n"/>
      <c r="Q19" s="84" t="n"/>
      <c r="R19" s="84" t="n"/>
      <c r="S19" s="84" t="n"/>
      <c r="T19" s="84" t="n"/>
      <c r="U19" s="84" t="n"/>
      <c r="V19" s="84" t="n"/>
      <c r="W19" s="84" t="n"/>
      <c r="X19" s="84" t="n"/>
      <c r="Y19" s="84" t="n"/>
      <c r="Z19" s="84" t="n"/>
      <c r="AA19" s="84" t="n"/>
      <c r="AB19" s="84" t="n"/>
      <c r="AC19" s="84" t="n"/>
      <c r="AD19" s="84" t="n"/>
      <c r="AE19" s="84" t="n"/>
    </row>
    <row r="20">
      <c r="A20" s="85" t="inlineStr">
        <is>
          <t>معامل احتساب العمل الإضافي</t>
        </is>
      </c>
      <c r="B20" s="120" t="n">
        <v>1</v>
      </c>
      <c r="C20" s="87" t="inlineStr">
        <is>
          <t>يُضرب في ساعات العمل الإضافي عند التسعير (سياسة المؤسسة).</t>
        </is>
      </c>
      <c r="H20" s="84" t="n"/>
      <c r="I20" s="84" t="n"/>
      <c r="J20" s="84" t="n"/>
      <c r="K20" s="84" t="n"/>
      <c r="L20" s="84" t="n"/>
      <c r="M20" s="84" t="n"/>
      <c r="N20" s="84" t="n"/>
      <c r="O20" s="84" t="n"/>
      <c r="P20" s="84" t="n"/>
      <c r="Q20" s="84" t="n"/>
      <c r="R20" s="84" t="n"/>
      <c r="S20" s="84" t="n"/>
      <c r="T20" s="84" t="n"/>
      <c r="U20" s="84" t="n"/>
      <c r="V20" s="84" t="n"/>
      <c r="W20" s="84" t="n"/>
      <c r="X20" s="84" t="n"/>
      <c r="Y20" s="84" t="n"/>
      <c r="Z20" s="84" t="n"/>
      <c r="AA20" s="84" t="n"/>
      <c r="AB20" s="84" t="n"/>
      <c r="AC20" s="84" t="n"/>
      <c r="AD20" s="84" t="n"/>
      <c r="AE20" s="84" t="n"/>
    </row>
    <row r="21">
      <c r="A21" s="85" t="inlineStr">
        <is>
          <t>تفعيل الدوام الليلي (يتجاوز منتصف الليل)</t>
        </is>
      </c>
      <c r="B21" s="86" t="inlineStr">
        <is>
          <t>نعم</t>
        </is>
      </c>
      <c r="C21" s="87" t="inlineStr"/>
      <c r="H21" s="84" t="n"/>
      <c r="I21" s="84" t="n"/>
      <c r="J21" s="84" t="n"/>
      <c r="K21" s="84" t="n"/>
      <c r="L21" s="84" t="n"/>
      <c r="M21" s="84" t="n"/>
      <c r="N21" s="84" t="n"/>
      <c r="O21" s="84" t="n"/>
      <c r="P21" s="84" t="n"/>
      <c r="Q21" s="84" t="n"/>
      <c r="R21" s="84" t="n"/>
      <c r="S21" s="84" t="n"/>
      <c r="T21" s="84" t="n"/>
      <c r="U21" s="84" t="n"/>
      <c r="V21" s="84" t="n"/>
      <c r="W21" s="84" t="n"/>
      <c r="X21" s="84" t="n"/>
      <c r="Y21" s="84" t="n"/>
      <c r="Z21" s="84" t="n"/>
      <c r="AA21" s="84" t="n"/>
      <c r="AB21" s="84" t="n"/>
      <c r="AC21" s="84" t="n"/>
      <c r="AD21" s="84" t="n"/>
      <c r="AE21" s="84" t="n"/>
    </row>
    <row r="22">
      <c r="A22" s="85" t="inlineStr">
        <is>
          <t>تفعيل الدوام المرن</t>
        </is>
      </c>
      <c r="B22" s="86" t="inlineStr">
        <is>
          <t>لا</t>
        </is>
      </c>
      <c r="C22" s="87" t="inlineStr"/>
      <c r="H22" s="84" t="n"/>
      <c r="I22" s="84" t="n"/>
      <c r="J22" s="84" t="n"/>
      <c r="K22" s="84" t="n"/>
      <c r="L22" s="84" t="n"/>
      <c r="M22" s="84" t="n"/>
      <c r="N22" s="84" t="n"/>
      <c r="O22" s="84" t="n"/>
      <c r="P22" s="84" t="n"/>
      <c r="Q22" s="84" t="n"/>
      <c r="R22" s="84" t="n"/>
      <c r="S22" s="84" t="n"/>
      <c r="T22" s="84" t="n"/>
      <c r="U22" s="84" t="n"/>
      <c r="V22" s="84" t="n"/>
      <c r="W22" s="84" t="n"/>
      <c r="X22" s="84" t="n"/>
      <c r="Y22" s="84" t="n"/>
      <c r="Z22" s="84" t="n"/>
      <c r="AA22" s="84" t="n"/>
      <c r="AB22" s="84" t="n"/>
      <c r="AC22" s="84" t="n"/>
      <c r="AD22" s="84" t="n"/>
      <c r="AE22" s="84" t="n"/>
    </row>
    <row r="23">
      <c r="A23" s="85" t="inlineStr">
        <is>
          <t>بداية الدوام المرن</t>
        </is>
      </c>
      <c r="B23" s="121" t="n">
        <v>0.2916666666666667</v>
      </c>
      <c r="C23" s="87" t="inlineStr"/>
      <c r="H23" s="84" t="n"/>
      <c r="I23" s="84" t="n"/>
      <c r="J23" s="84" t="n"/>
      <c r="K23" s="84" t="n"/>
      <c r="L23" s="84" t="n"/>
      <c r="M23" s="84" t="n"/>
      <c r="N23" s="84" t="n"/>
      <c r="O23" s="84" t="n"/>
      <c r="P23" s="84" t="n"/>
      <c r="Q23" s="84" t="n"/>
      <c r="R23" s="84" t="n"/>
      <c r="S23" s="84" t="n"/>
      <c r="T23" s="84" t="n"/>
      <c r="U23" s="84" t="n"/>
      <c r="V23" s="84" t="n"/>
      <c r="W23" s="84" t="n"/>
      <c r="X23" s="84" t="n"/>
      <c r="Y23" s="84" t="n"/>
      <c r="Z23" s="84" t="n"/>
      <c r="AA23" s="84" t="n"/>
      <c r="AB23" s="84" t="n"/>
      <c r="AC23" s="84" t="n"/>
      <c r="AD23" s="84" t="n"/>
      <c r="AE23" s="84" t="n"/>
    </row>
    <row r="24">
      <c r="A24" s="85" t="inlineStr">
        <is>
          <t>نهاية الدوام المرن</t>
        </is>
      </c>
      <c r="B24" s="121" t="n">
        <v>0.375</v>
      </c>
      <c r="C24" s="87" t="inlineStr"/>
      <c r="H24" s="84" t="n"/>
      <c r="I24" s="84" t="n"/>
      <c r="J24" s="84" t="n"/>
      <c r="K24" s="84" t="n"/>
      <c r="L24" s="84" t="n"/>
      <c r="M24" s="84" t="n"/>
      <c r="N24" s="84" t="n"/>
      <c r="O24" s="84" t="n"/>
      <c r="P24" s="84" t="n"/>
      <c r="Q24" s="84" t="n"/>
      <c r="R24" s="84" t="n"/>
      <c r="S24" s="84" t="n"/>
      <c r="T24" s="84" t="n"/>
      <c r="U24" s="84" t="n"/>
      <c r="V24" s="84" t="n"/>
      <c r="W24" s="84" t="n"/>
      <c r="X24" s="84" t="n"/>
      <c r="Y24" s="84" t="n"/>
      <c r="Z24" s="84" t="n"/>
      <c r="AA24" s="84" t="n"/>
      <c r="AB24" s="84" t="n"/>
      <c r="AC24" s="84" t="n"/>
      <c r="AD24" s="84" t="n"/>
      <c r="AE24" s="84" t="n"/>
    </row>
    <row r="25">
      <c r="A25" s="85" t="inlineStr">
        <is>
          <t>أيام العمل الأسبوعية</t>
        </is>
      </c>
      <c r="B25" s="86" t="inlineStr">
        <is>
          <t>الأحد - الخميس</t>
        </is>
      </c>
      <c r="C25" s="87" t="inlineStr"/>
      <c r="H25" s="84" t="n"/>
      <c r="I25" s="84" t="n"/>
      <c r="J25" s="84" t="n"/>
      <c r="K25" s="84" t="n"/>
      <c r="L25" s="84" t="n"/>
      <c r="M25" s="84" t="n"/>
      <c r="N25" s="84" t="n"/>
      <c r="O25" s="84" t="n"/>
      <c r="P25" s="84" t="n"/>
      <c r="Q25" s="84" t="n"/>
      <c r="R25" s="84" t="n"/>
      <c r="S25" s="84" t="n"/>
      <c r="T25" s="84" t="n"/>
      <c r="U25" s="84" t="n"/>
      <c r="V25" s="84" t="n"/>
      <c r="W25" s="84" t="n"/>
      <c r="X25" s="84" t="n"/>
      <c r="Y25" s="84" t="n"/>
      <c r="Z25" s="84" t="n"/>
      <c r="AA25" s="84" t="n"/>
      <c r="AB25" s="84" t="n"/>
      <c r="AC25" s="84" t="n"/>
      <c r="AD25" s="84" t="n"/>
      <c r="AE25" s="84" t="n"/>
    </row>
    <row r="26" ht="24" customHeight="1">
      <c r="A26" s="3" t="inlineStr">
        <is>
          <t>إعدادات التنبيهات</t>
        </is>
      </c>
      <c r="H26" s="84" t="n"/>
      <c r="I26" s="84" t="n"/>
      <c r="J26" s="84" t="n"/>
      <c r="K26" s="84" t="n"/>
      <c r="L26" s="84" t="n"/>
      <c r="M26" s="84" t="n"/>
      <c r="N26" s="84" t="n"/>
      <c r="O26" s="84" t="n"/>
      <c r="P26" s="84" t="n"/>
      <c r="Q26" s="84" t="n"/>
      <c r="R26" s="84" t="n"/>
      <c r="S26" s="84" t="n"/>
      <c r="T26" s="84" t="n"/>
      <c r="U26" s="84" t="n"/>
      <c r="V26" s="84" t="n"/>
      <c r="W26" s="84" t="n"/>
      <c r="X26" s="84" t="n"/>
      <c r="Y26" s="84" t="n"/>
      <c r="Z26" s="84" t="n"/>
      <c r="AA26" s="84" t="n"/>
      <c r="AB26" s="84" t="n"/>
      <c r="AC26" s="84" t="n"/>
      <c r="AD26" s="84" t="n"/>
      <c r="AE26" s="84" t="n"/>
    </row>
    <row r="27">
      <c r="A27" s="85" t="inlineStr">
        <is>
          <t>تنبيه انتهاء العقد قبل (يوم)</t>
        </is>
      </c>
      <c r="B27" s="120" t="n">
        <v>30</v>
      </c>
      <c r="C27" s="87" t="inlineStr"/>
      <c r="H27" s="84" t="n"/>
      <c r="I27" s="84" t="n"/>
      <c r="J27" s="8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4" t="n"/>
      <c r="AE27" s="84" t="n"/>
    </row>
    <row r="28">
      <c r="A28" s="85" t="inlineStr">
        <is>
          <t>تنبيه انتهاء الوثيقة قبل (يوم) — عاجل</t>
        </is>
      </c>
      <c r="B28" s="120" t="n">
        <v>90</v>
      </c>
      <c r="C28" s="87" t="inlineStr"/>
      <c r="H28" s="84" t="n"/>
      <c r="I28" s="84" t="n"/>
      <c r="J28" s="84" t="n"/>
      <c r="K28" s="84" t="n"/>
      <c r="L28" s="84" t="n"/>
      <c r="M28" s="84" t="n"/>
      <c r="N28" s="84" t="n"/>
      <c r="O28" s="84" t="n"/>
      <c r="P28" s="84" t="n"/>
      <c r="Q28" s="84" t="n"/>
      <c r="R28" s="84" t="n"/>
      <c r="S28" s="84" t="n"/>
      <c r="T28" s="84" t="n"/>
      <c r="U28" s="84" t="n"/>
      <c r="V28" s="84" t="n"/>
      <c r="W28" s="84" t="n"/>
      <c r="X28" s="84" t="n"/>
      <c r="Y28" s="84" t="n"/>
      <c r="Z28" s="84" t="n"/>
      <c r="AA28" s="84" t="n"/>
      <c r="AB28" s="84" t="n"/>
      <c r="AC28" s="84" t="n"/>
      <c r="AD28" s="84" t="n"/>
      <c r="AE28" s="84" t="n"/>
    </row>
    <row r="29">
      <c r="A29" s="85" t="inlineStr">
        <is>
          <t>تنبيه انتهاء الوثيقة قبل (يوم) — مهم</t>
        </is>
      </c>
      <c r="B29" s="120" t="n">
        <v>30</v>
      </c>
      <c r="C29" s="87" t="inlineStr"/>
      <c r="H29" s="84" t="n"/>
      <c r="I29" s="84" t="n"/>
      <c r="J29" s="84" t="n"/>
      <c r="K29" s="84" t="n"/>
      <c r="L29" s="84" t="n"/>
      <c r="M29" s="84" t="n"/>
      <c r="N29" s="84" t="n"/>
      <c r="O29" s="84" t="n"/>
      <c r="P29" s="84" t="n"/>
      <c r="Q29" s="84" t="n"/>
      <c r="R29" s="84" t="n"/>
      <c r="S29" s="84" t="n"/>
      <c r="T29" s="84" t="n"/>
      <c r="U29" s="84" t="n"/>
      <c r="V29" s="84" t="n"/>
      <c r="W29" s="84" t="n"/>
      <c r="X29" s="84" t="n"/>
      <c r="Y29" s="84" t="n"/>
      <c r="Z29" s="84" t="n"/>
      <c r="AA29" s="84" t="n"/>
      <c r="AB29" s="84" t="n"/>
      <c r="AC29" s="84" t="n"/>
      <c r="AD29" s="84" t="n"/>
      <c r="AE29" s="84" t="n"/>
    </row>
    <row r="30">
      <c r="A30" s="85" t="inlineStr">
        <is>
          <t>تنبيه انتهاء الوثيقة قبل (يوم) — حرج</t>
        </is>
      </c>
      <c r="B30" s="120" t="n">
        <v>7</v>
      </c>
      <c r="C30" s="87" t="inlineStr"/>
      <c r="H30" s="84" t="n"/>
      <c r="I30" s="84" t="n"/>
      <c r="J30" s="84" t="n"/>
      <c r="K30" s="84" t="n"/>
      <c r="L30" s="84" t="n"/>
      <c r="M30" s="84" t="n"/>
      <c r="N30" s="84" t="n"/>
      <c r="O30" s="84" t="n"/>
      <c r="P30" s="84" t="n"/>
      <c r="Q30" s="84" t="n"/>
      <c r="R30" s="84" t="n"/>
      <c r="S30" s="84" t="n"/>
      <c r="T30" s="84" t="n"/>
      <c r="U30" s="84" t="n"/>
      <c r="V30" s="84" t="n"/>
      <c r="W30" s="84" t="n"/>
      <c r="X30" s="84" t="n"/>
      <c r="Y30" s="84" t="n"/>
      <c r="Z30" s="84" t="n"/>
      <c r="AA30" s="84" t="n"/>
      <c r="AB30" s="84" t="n"/>
      <c r="AC30" s="84" t="n"/>
      <c r="AD30" s="84" t="n"/>
      <c r="AE30" s="84" t="n"/>
    </row>
    <row r="31">
      <c r="A31" s="85" t="inlineStr">
        <is>
          <t>اعتبار الموظف جديدًا خلال (يوم من التعيين)</t>
        </is>
      </c>
      <c r="B31" s="120" t="n">
        <v>90</v>
      </c>
      <c r="C31" s="87" t="inlineStr"/>
      <c r="H31" s="84" t="n"/>
      <c r="I31" s="84" t="n"/>
      <c r="J31" s="84" t="n"/>
      <c r="K31" s="84" t="n"/>
      <c r="L31" s="84" t="n"/>
      <c r="M31" s="84" t="n"/>
      <c r="N31" s="84" t="n"/>
      <c r="O31" s="84" t="n"/>
      <c r="P31" s="84" t="n"/>
      <c r="Q31" s="84" t="n"/>
      <c r="R31" s="84" t="n"/>
      <c r="S31" s="84" t="n"/>
      <c r="T31" s="84" t="n"/>
      <c r="U31" s="84" t="n"/>
      <c r="V31" s="84" t="n"/>
      <c r="W31" s="84" t="n"/>
      <c r="X31" s="84" t="n"/>
      <c r="Y31" s="84" t="n"/>
      <c r="Z31" s="84" t="n"/>
      <c r="AA31" s="84" t="n"/>
      <c r="AB31" s="84" t="n"/>
      <c r="AC31" s="84" t="n"/>
      <c r="AD31" s="84" t="n"/>
      <c r="AE31" s="84" t="n"/>
    </row>
    <row r="32" ht="24" customHeight="1">
      <c r="A32" s="3" t="inlineStr">
        <is>
          <t>إعدادات الإجازات</t>
        </is>
      </c>
      <c r="H32" s="84" t="n"/>
      <c r="I32" s="84" t="n"/>
      <c r="J32" s="84" t="n"/>
      <c r="K32" s="84" t="n"/>
      <c r="L32" s="84" t="n"/>
      <c r="M32" s="84" t="n"/>
      <c r="N32" s="84" t="n"/>
      <c r="O32" s="84" t="n"/>
      <c r="P32" s="84" t="n"/>
      <c r="Q32" s="84" t="n"/>
      <c r="R32" s="84" t="n"/>
      <c r="S32" s="84" t="n"/>
      <c r="T32" s="84" t="n"/>
      <c r="U32" s="84" t="n"/>
      <c r="V32" s="84" t="n"/>
      <c r="W32" s="84" t="n"/>
      <c r="X32" s="84" t="n"/>
      <c r="Y32" s="84" t="n"/>
      <c r="Z32" s="84" t="n"/>
      <c r="AA32" s="84" t="n"/>
      <c r="AB32" s="84" t="n"/>
      <c r="AC32" s="84" t="n"/>
      <c r="AD32" s="84" t="n"/>
      <c r="AE32" s="84" t="n"/>
    </row>
    <row r="33">
      <c r="A33" s="85" t="inlineStr">
        <is>
          <t>الرصيد السنوي الافتراضي للإجازة (يوم)</t>
        </is>
      </c>
      <c r="B33" s="120" t="n">
        <v>21</v>
      </c>
      <c r="C33" s="87" t="inlineStr"/>
      <c r="H33" s="84" t="n"/>
      <c r="I33" s="84" t="n"/>
      <c r="J33" s="84" t="n"/>
      <c r="K33" s="84" t="n"/>
      <c r="L33" s="84" t="n"/>
      <c r="M33" s="84" t="n"/>
      <c r="N33" s="84" t="n"/>
      <c r="O33" s="84" t="n"/>
      <c r="P33" s="84" t="n"/>
      <c r="Q33" s="84" t="n"/>
      <c r="R33" s="84" t="n"/>
      <c r="S33" s="84" t="n"/>
      <c r="T33" s="84" t="n"/>
      <c r="U33" s="84" t="n"/>
      <c r="V33" s="84" t="n"/>
      <c r="W33" s="84" t="n"/>
      <c r="X33" s="84" t="n"/>
      <c r="Y33" s="84" t="n"/>
      <c r="Z33" s="84" t="n"/>
      <c r="AA33" s="84" t="n"/>
      <c r="AB33" s="84" t="n"/>
      <c r="AC33" s="84" t="n"/>
      <c r="AD33" s="84" t="n"/>
      <c r="AE33" s="84" t="n"/>
    </row>
    <row r="34">
      <c r="A34" s="85" t="inlineStr">
        <is>
          <t>معدل الاستحقاق الشهري (يوم)</t>
        </is>
      </c>
      <c r="B34" s="120" t="n">
        <v>1.75</v>
      </c>
      <c r="C34" s="87" t="inlineStr">
        <is>
          <t>يُضاف شهريًا إلى الرصيد المستحق حسب سياسة المؤسسة.</t>
        </is>
      </c>
      <c r="H34" s="84" t="n"/>
      <c r="I34" s="84" t="n"/>
      <c r="J34" s="84" t="n"/>
      <c r="K34" s="84" t="n"/>
      <c r="L34" s="84" t="n"/>
      <c r="M34" s="84" t="n"/>
      <c r="N34" s="84" t="n"/>
      <c r="O34" s="84" t="n"/>
      <c r="P34" s="84" t="n"/>
      <c r="Q34" s="84" t="n"/>
      <c r="R34" s="84" t="n"/>
      <c r="S34" s="84" t="n"/>
      <c r="T34" s="84" t="n"/>
      <c r="U34" s="84" t="n"/>
      <c r="V34" s="84" t="n"/>
      <c r="W34" s="84" t="n"/>
      <c r="X34" s="84" t="n"/>
      <c r="Y34" s="84" t="n"/>
      <c r="Z34" s="84" t="n"/>
      <c r="AA34" s="84" t="n"/>
      <c r="AB34" s="84" t="n"/>
      <c r="AC34" s="84" t="n"/>
      <c r="AD34" s="84" t="n"/>
      <c r="AE34" s="84" t="n"/>
    </row>
    <row r="35">
      <c r="A35" s="85" t="inlineStr">
        <is>
          <t>السماح بالرصيد السالب</t>
        </is>
      </c>
      <c r="B35" s="86" t="inlineStr">
        <is>
          <t>لا</t>
        </is>
      </c>
      <c r="C35" s="87" t="inlineStr"/>
      <c r="H35" s="84" t="n"/>
      <c r="I35" s="84" t="n"/>
      <c r="J35" s="84" t="n"/>
      <c r="K35" s="84" t="n"/>
      <c r="L35" s="84" t="n"/>
      <c r="M35" s="84" t="n"/>
      <c r="N35" s="84" t="n"/>
      <c r="O35" s="84" t="n"/>
      <c r="P35" s="84" t="n"/>
      <c r="Q35" s="84" t="n"/>
      <c r="R35" s="84" t="n"/>
      <c r="S35" s="84" t="n"/>
      <c r="T35" s="84" t="n"/>
      <c r="U35" s="84" t="n"/>
      <c r="V35" s="84" t="n"/>
      <c r="W35" s="84" t="n"/>
      <c r="X35" s="84" t="n"/>
      <c r="Y35" s="84" t="n"/>
      <c r="Z35" s="84" t="n"/>
      <c r="AA35" s="84" t="n"/>
      <c r="AB35" s="84" t="n"/>
      <c r="AC35" s="84" t="n"/>
      <c r="AD35" s="84" t="n"/>
      <c r="AE35" s="84" t="n"/>
    </row>
    <row r="36">
      <c r="A36" s="85" t="inlineStr">
        <is>
          <t>تاريخ بداية احتساب الرصيد</t>
        </is>
      </c>
      <c r="B36" s="122" t="n">
        <v>46023</v>
      </c>
      <c r="C36" s="87" t="inlineStr">
        <is>
          <t>يُحتسب الاستحقاق من هذا التاريخ. الرصيد الافتتاحي لكل موظف في ورقة الموظفين.</t>
        </is>
      </c>
      <c r="H36" s="84" t="n"/>
      <c r="I36" s="84" t="n"/>
      <c r="J36" s="84" t="n"/>
      <c r="K36" s="84" t="n"/>
      <c r="L36" s="84" t="n"/>
      <c r="M36" s="84" t="n"/>
      <c r="N36" s="84" t="n"/>
      <c r="O36" s="84" t="n"/>
      <c r="P36" s="84" t="n"/>
      <c r="Q36" s="84" t="n"/>
      <c r="R36" s="84" t="n"/>
      <c r="S36" s="84" t="n"/>
      <c r="T36" s="84" t="n"/>
      <c r="U36" s="84" t="n"/>
      <c r="V36" s="84" t="n"/>
      <c r="W36" s="84" t="n"/>
      <c r="X36" s="84" t="n"/>
      <c r="Y36" s="84" t="n"/>
      <c r="Z36" s="84" t="n"/>
      <c r="AA36" s="84" t="n"/>
      <c r="AB36" s="84" t="n"/>
      <c r="AC36" s="84" t="n"/>
      <c r="AD36" s="84" t="n"/>
      <c r="AE36" s="84" t="n"/>
    </row>
    <row r="37">
      <c r="A37" s="85" t="inlineStr">
        <is>
          <t>الحد الأقصى للإجازة المتصلة (يوم)</t>
        </is>
      </c>
      <c r="B37" s="120" t="n">
        <v>30</v>
      </c>
      <c r="C37" s="87" t="inlineStr"/>
      <c r="H37" s="84" t="n"/>
      <c r="I37" s="84" t="n"/>
      <c r="J37" s="84" t="n"/>
      <c r="K37" s="84" t="n"/>
      <c r="L37" s="84" t="n"/>
      <c r="M37" s="84" t="n"/>
      <c r="N37" s="84" t="n"/>
      <c r="O37" s="84" t="n"/>
      <c r="P37" s="84" t="n"/>
      <c r="Q37" s="84" t="n"/>
      <c r="R37" s="84" t="n"/>
      <c r="S37" s="84" t="n"/>
      <c r="T37" s="84" t="n"/>
      <c r="U37" s="84" t="n"/>
      <c r="V37" s="84" t="n"/>
      <c r="W37" s="84" t="n"/>
      <c r="X37" s="84" t="n"/>
      <c r="Y37" s="84" t="n"/>
      <c r="Z37" s="84" t="n"/>
      <c r="AA37" s="84" t="n"/>
      <c r="AB37" s="84" t="n"/>
      <c r="AC37" s="84" t="n"/>
      <c r="AD37" s="84" t="n"/>
      <c r="AE37" s="84" t="n"/>
    </row>
    <row r="38" ht="24" customHeight="1">
      <c r="A38" s="3" t="inlineStr">
        <is>
          <t>إعدادات الرواتب</t>
        </is>
      </c>
      <c r="H38" s="84" t="n"/>
      <c r="I38" s="84" t="n"/>
      <c r="J38" s="84" t="n"/>
      <c r="K38" s="84" t="n"/>
      <c r="L38" s="84" t="n"/>
      <c r="M38" s="84" t="n"/>
      <c r="N38" s="84" t="n"/>
      <c r="O38" s="84" t="n"/>
      <c r="P38" s="84" t="n"/>
      <c r="Q38" s="84" t="n"/>
      <c r="R38" s="84" t="n"/>
      <c r="S38" s="84" t="n"/>
      <c r="T38" s="84" t="n"/>
      <c r="U38" s="84" t="n"/>
      <c r="V38" s="84" t="n"/>
      <c r="W38" s="84" t="n"/>
      <c r="X38" s="84" t="n"/>
      <c r="Y38" s="84" t="n"/>
      <c r="Z38" s="84" t="n"/>
      <c r="AA38" s="84" t="n"/>
      <c r="AB38" s="84" t="n"/>
      <c r="AC38" s="84" t="n"/>
      <c r="AD38" s="84" t="n"/>
      <c r="AE38" s="84" t="n"/>
    </row>
    <row r="39">
      <c r="A39" s="85" t="inlineStr">
        <is>
          <t>عدد أيام العمل الشهرية (للتسعير)</t>
        </is>
      </c>
      <c r="B39" s="120" t="n">
        <v>30</v>
      </c>
      <c r="C39" s="87" t="inlineStr">
        <is>
          <t>تُستخدم لاحتساب قيمة يوم/ساعة الراتب عند الحاجة.</t>
        </is>
      </c>
      <c r="H39" s="84" t="n"/>
      <c r="I39" s="84" t="n"/>
      <c r="J39" s="84" t="n"/>
      <c r="K39" s="84" t="n"/>
      <c r="L39" s="84" t="n"/>
      <c r="M39" s="84" t="n"/>
      <c r="N39" s="84" t="n"/>
      <c r="O39" s="84" t="n"/>
      <c r="P39" s="84" t="n"/>
      <c r="Q39" s="84" t="n"/>
      <c r="R39" s="84" t="n"/>
      <c r="S39" s="84" t="n"/>
      <c r="T39" s="84" t="n"/>
      <c r="U39" s="84" t="n"/>
      <c r="V39" s="84" t="n"/>
      <c r="W39" s="84" t="n"/>
      <c r="X39" s="84" t="n"/>
      <c r="Y39" s="84" t="n"/>
      <c r="Z39" s="84" t="n"/>
      <c r="AA39" s="84" t="n"/>
      <c r="AB39" s="84" t="n"/>
      <c r="AC39" s="84" t="n"/>
      <c r="AD39" s="84" t="n"/>
      <c r="AE39" s="84" t="n"/>
    </row>
    <row r="40">
      <c r="A40" s="85" t="inlineStr">
        <is>
          <t>احتساب خصم الغياب تلقائيًا في الرواتب</t>
        </is>
      </c>
      <c r="B40" s="86" t="inlineStr">
        <is>
          <t>لا</t>
        </is>
      </c>
      <c r="C40" s="87" t="inlineStr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4" t="n"/>
      <c r="AE40" s="84" t="n"/>
    </row>
    <row r="41">
      <c r="A41" s="85" t="inlineStr">
        <is>
          <t>ساعات العمل اليومية لاحتساب الخصم</t>
        </is>
      </c>
      <c r="B41" s="120" t="n">
        <v>8</v>
      </c>
      <c r="C41" s="87" t="inlineStr"/>
      <c r="H41" s="84" t="n"/>
      <c r="I41" s="84" t="n"/>
      <c r="J41" s="84" t="n"/>
      <c r="K41" s="84" t="n"/>
      <c r="L41" s="84" t="n"/>
      <c r="M41" s="84" t="n"/>
      <c r="N41" s="84" t="n"/>
      <c r="O41" s="84" t="n"/>
      <c r="P41" s="84" t="n"/>
      <c r="Q41" s="84" t="n"/>
      <c r="R41" s="84" t="n"/>
      <c r="S41" s="84" t="n"/>
      <c r="T41" s="84" t="n"/>
      <c r="U41" s="84" t="n"/>
      <c r="V41" s="84" t="n"/>
      <c r="W41" s="84" t="n"/>
      <c r="X41" s="84" t="n"/>
      <c r="Y41" s="84" t="n"/>
      <c r="Z41" s="84" t="n"/>
      <c r="AA41" s="84" t="n"/>
      <c r="AB41" s="84" t="n"/>
      <c r="AC41" s="84" t="n"/>
      <c r="AD41" s="84" t="n"/>
      <c r="AE41" s="84" t="n"/>
    </row>
    <row r="42">
      <c r="A42" s="85" t="inlineStr">
        <is>
          <t>بادئة الرقم الوظيفي</t>
        </is>
      </c>
      <c r="B42" s="86" t="inlineStr">
        <is>
          <t>EMP</t>
        </is>
      </c>
      <c r="C42" s="87" t="inlineStr"/>
      <c r="H42" s="84" t="n"/>
      <c r="I42" s="84" t="n"/>
      <c r="J42" s="84" t="n"/>
      <c r="K42" s="84" t="n"/>
      <c r="L42" s="84" t="n"/>
      <c r="M42" s="84" t="n"/>
      <c r="N42" s="84" t="n"/>
      <c r="O42" s="84" t="n"/>
      <c r="P42" s="84" t="n"/>
      <c r="Q42" s="84" t="n"/>
      <c r="R42" s="84" t="n"/>
      <c r="S42" s="84" t="n"/>
      <c r="T42" s="84" t="n"/>
      <c r="U42" s="84" t="n"/>
      <c r="V42" s="84" t="n"/>
      <c r="W42" s="84" t="n"/>
      <c r="X42" s="84" t="n"/>
      <c r="Y42" s="84" t="n"/>
      <c r="Z42" s="84" t="n"/>
      <c r="AA42" s="84" t="n"/>
      <c r="AB42" s="84" t="n"/>
      <c r="AC42" s="84" t="n"/>
      <c r="AD42" s="84" t="n"/>
      <c r="AE42" s="84" t="n"/>
    </row>
    <row r="43">
      <c r="A43" s="85" t="inlineStr">
        <is>
          <t>سياسة التسويات المعتمدة</t>
        </is>
      </c>
      <c r="B43" s="86" t="inlineStr">
        <is>
          <t>تُدخل التسوية كصف مستقل مع ملاحظة واضحة</t>
        </is>
      </c>
      <c r="C43" s="87" t="inlineStr"/>
      <c r="H43" s="84" t="n"/>
      <c r="I43" s="84" t="n"/>
      <c r="J43" s="84" t="n"/>
      <c r="K43" s="84" t="n"/>
      <c r="L43" s="84" t="n"/>
      <c r="M43" s="84" t="n"/>
      <c r="N43" s="84" t="n"/>
      <c r="O43" s="84" t="n"/>
      <c r="P43" s="84" t="n"/>
      <c r="Q43" s="84" t="n"/>
      <c r="R43" s="84" t="n"/>
      <c r="S43" s="84" t="n"/>
      <c r="T43" s="84" t="n"/>
      <c r="U43" s="84" t="n"/>
      <c r="V43" s="84" t="n"/>
      <c r="W43" s="84" t="n"/>
      <c r="X43" s="84" t="n"/>
      <c r="Y43" s="84" t="n"/>
      <c r="Z43" s="84" t="n"/>
      <c r="AA43" s="84" t="n"/>
      <c r="AB43" s="84" t="n"/>
      <c r="AC43" s="84" t="n"/>
      <c r="AD43" s="84" t="n"/>
      <c r="AE43" s="84" t="n"/>
    </row>
    <row r="44" ht="24" customHeight="1">
      <c r="A44" s="3" t="inlineStr">
        <is>
          <t>أوزان تقييم الأداء (يجب أن يكون المجموع 1.00)</t>
        </is>
      </c>
      <c r="H44" s="84" t="n"/>
      <c r="I44" s="84" t="n"/>
      <c r="J44" s="84" t="n"/>
      <c r="K44" s="84" t="n"/>
      <c r="L44" s="84" t="n"/>
      <c r="M44" s="84" t="n"/>
      <c r="N44" s="84" t="n"/>
      <c r="O44" s="84" t="n"/>
      <c r="P44" s="84" t="n"/>
      <c r="Q44" s="84" t="n"/>
      <c r="R44" s="84" t="n"/>
      <c r="S44" s="84" t="n"/>
      <c r="T44" s="84" t="n"/>
      <c r="U44" s="84" t="n"/>
      <c r="V44" s="84" t="n"/>
      <c r="W44" s="84" t="n"/>
      <c r="X44" s="84" t="n"/>
      <c r="Y44" s="84" t="n"/>
      <c r="Z44" s="84" t="n"/>
      <c r="AA44" s="84" t="n"/>
      <c r="AB44" s="84" t="n"/>
      <c r="AC44" s="84" t="n"/>
      <c r="AD44" s="84" t="n"/>
      <c r="AE44" s="84" t="n"/>
    </row>
    <row r="45">
      <c r="A45" s="85" t="inlineStr">
        <is>
          <t>وزن جودة العمل</t>
        </is>
      </c>
      <c r="B45" s="120" t="n">
        <v>0.3</v>
      </c>
      <c r="C45" s="87" t="inlineStr"/>
      <c r="H45" s="84" t="n"/>
      <c r="I45" s="84" t="n"/>
      <c r="J45" s="84" t="n"/>
      <c r="K45" s="84" t="n"/>
      <c r="L45" s="84" t="n"/>
      <c r="M45" s="84" t="n"/>
      <c r="N45" s="84" t="n"/>
      <c r="O45" s="84" t="n"/>
      <c r="P45" s="84" t="n"/>
      <c r="Q45" s="84" t="n"/>
      <c r="R45" s="84" t="n"/>
      <c r="S45" s="84" t="n"/>
      <c r="T45" s="84" t="n"/>
      <c r="U45" s="84" t="n"/>
      <c r="V45" s="84" t="n"/>
      <c r="W45" s="84" t="n"/>
      <c r="X45" s="84" t="n"/>
      <c r="Y45" s="84" t="n"/>
      <c r="Z45" s="84" t="n"/>
      <c r="AA45" s="84" t="n"/>
      <c r="AB45" s="84" t="n"/>
      <c r="AC45" s="84" t="n"/>
      <c r="AD45" s="84" t="n"/>
      <c r="AE45" s="84" t="n"/>
    </row>
    <row r="46">
      <c r="A46" s="85" t="inlineStr">
        <is>
          <t>وزن الالتزام بالدوام</t>
        </is>
      </c>
      <c r="B46" s="120" t="n">
        <v>0.2</v>
      </c>
      <c r="C46" s="87" t="inlineStr"/>
      <c r="H46" s="84" t="n"/>
      <c r="I46" s="84" t="n"/>
      <c r="J46" s="84" t="n"/>
      <c r="K46" s="84" t="n"/>
      <c r="L46" s="84" t="n"/>
      <c r="M46" s="84" t="n"/>
      <c r="N46" s="84" t="n"/>
      <c r="O46" s="84" t="n"/>
      <c r="P46" s="84" t="n"/>
      <c r="Q46" s="84" t="n"/>
      <c r="R46" s="84" t="n"/>
      <c r="S46" s="84" t="n"/>
      <c r="T46" s="84" t="n"/>
      <c r="U46" s="84" t="n"/>
      <c r="V46" s="84" t="n"/>
      <c r="W46" s="84" t="n"/>
      <c r="X46" s="84" t="n"/>
      <c r="Y46" s="84" t="n"/>
      <c r="Z46" s="84" t="n"/>
      <c r="AA46" s="84" t="n"/>
      <c r="AB46" s="84" t="n"/>
      <c r="AC46" s="84" t="n"/>
      <c r="AD46" s="84" t="n"/>
      <c r="AE46" s="84" t="n"/>
    </row>
    <row r="47">
      <c r="A47" s="85" t="inlineStr">
        <is>
          <t>وزن الإنتاجية</t>
        </is>
      </c>
      <c r="B47" s="120" t="n">
        <v>0.2</v>
      </c>
      <c r="C47" s="87" t="inlineStr"/>
      <c r="H47" s="84" t="n"/>
      <c r="I47" s="84" t="n"/>
      <c r="J47" s="84" t="n"/>
      <c r="K47" s="84" t="n"/>
      <c r="L47" s="84" t="n"/>
      <c r="M47" s="84" t="n"/>
      <c r="N47" s="84" t="n"/>
      <c r="O47" s="84" t="n"/>
      <c r="P47" s="84" t="n"/>
      <c r="Q47" s="84" t="n"/>
      <c r="R47" s="84" t="n"/>
      <c r="S47" s="84" t="n"/>
      <c r="T47" s="84" t="n"/>
      <c r="U47" s="84" t="n"/>
      <c r="V47" s="84" t="n"/>
      <c r="W47" s="84" t="n"/>
      <c r="X47" s="84" t="n"/>
      <c r="Y47" s="84" t="n"/>
      <c r="Z47" s="84" t="n"/>
      <c r="AA47" s="84" t="n"/>
      <c r="AB47" s="84" t="n"/>
      <c r="AC47" s="84" t="n"/>
      <c r="AD47" s="84" t="n"/>
      <c r="AE47" s="84" t="n"/>
    </row>
    <row r="48">
      <c r="A48" s="85" t="inlineStr">
        <is>
          <t>وزن التعاون</t>
        </is>
      </c>
      <c r="B48" s="120" t="n">
        <v>0.15</v>
      </c>
      <c r="C48" s="87" t="inlineStr"/>
      <c r="H48" s="84" t="n"/>
      <c r="I48" s="84" t="n"/>
      <c r="J48" s="84" t="n"/>
      <c r="K48" s="84" t="n"/>
      <c r="L48" s="84" t="n"/>
      <c r="M48" s="84" t="n"/>
      <c r="N48" s="84" t="n"/>
      <c r="O48" s="84" t="n"/>
      <c r="P48" s="84" t="n"/>
      <c r="Q48" s="84" t="n"/>
      <c r="R48" s="84" t="n"/>
      <c r="S48" s="84" t="n"/>
      <c r="T48" s="84" t="n"/>
      <c r="U48" s="84" t="n"/>
      <c r="V48" s="84" t="n"/>
      <c r="W48" s="84" t="n"/>
      <c r="X48" s="84" t="n"/>
      <c r="Y48" s="84" t="n"/>
      <c r="Z48" s="84" t="n"/>
      <c r="AA48" s="84" t="n"/>
      <c r="AB48" s="84" t="n"/>
      <c r="AC48" s="84" t="n"/>
      <c r="AD48" s="84" t="n"/>
      <c r="AE48" s="84" t="n"/>
    </row>
    <row r="49">
      <c r="A49" s="85" t="inlineStr">
        <is>
          <t>وزن تحقيق الأهداف</t>
        </is>
      </c>
      <c r="B49" s="120" t="n">
        <v>0.15</v>
      </c>
      <c r="C49" s="87" t="inlineStr"/>
      <c r="H49" s="84" t="n"/>
      <c r="I49" s="84" t="n"/>
      <c r="J49" s="84" t="n"/>
      <c r="K49" s="84" t="n"/>
      <c r="L49" s="84" t="n"/>
      <c r="M49" s="84" t="n"/>
      <c r="N49" s="84" t="n"/>
      <c r="O49" s="84" t="n"/>
      <c r="P49" s="84" t="n"/>
      <c r="Q49" s="84" t="n"/>
      <c r="R49" s="84" t="n"/>
      <c r="S49" s="84" t="n"/>
      <c r="T49" s="84" t="n"/>
      <c r="U49" s="84" t="n"/>
      <c r="V49" s="84" t="n"/>
      <c r="W49" s="84" t="n"/>
      <c r="X49" s="84" t="n"/>
      <c r="Y49" s="84" t="n"/>
      <c r="Z49" s="84" t="n"/>
      <c r="AA49" s="84" t="n"/>
      <c r="AB49" s="84" t="n"/>
      <c r="AC49" s="84" t="n"/>
      <c r="AD49" s="84" t="n"/>
      <c r="AE49" s="84" t="n"/>
    </row>
    <row r="50">
      <c r="A50" s="85" t="inlineStr">
        <is>
          <t>مجموع الأوزان (تحقق)</t>
        </is>
      </c>
      <c r="B50" s="123">
        <f>SUM(B45:B49)</f>
        <v/>
      </c>
      <c r="C50" s="87" t="inlineStr">
        <is>
          <t>يجب أن يساوي 1.00. إن اختلف، عدّل الأوزان أعلاه.</t>
        </is>
      </c>
      <c r="H50" s="84" t="n"/>
      <c r="I50" s="84" t="n"/>
      <c r="J50" s="84" t="n"/>
      <c r="K50" s="84" t="n"/>
      <c r="L50" s="84" t="n"/>
      <c r="M50" s="84" t="n"/>
      <c r="N50" s="84" t="n"/>
      <c r="O50" s="84" t="n"/>
      <c r="P50" s="84" t="n"/>
      <c r="Q50" s="84" t="n"/>
      <c r="R50" s="84" t="n"/>
      <c r="S50" s="84" t="n"/>
      <c r="T50" s="84" t="n"/>
      <c r="U50" s="84" t="n"/>
      <c r="V50" s="84" t="n"/>
      <c r="W50" s="84" t="n"/>
      <c r="X50" s="84" t="n"/>
      <c r="Y50" s="84" t="n"/>
      <c r="Z50" s="84" t="n"/>
      <c r="AA50" s="84" t="n"/>
      <c r="AB50" s="84" t="n"/>
      <c r="AC50" s="84" t="n"/>
      <c r="AD50" s="84" t="n"/>
      <c r="AE50" s="84" t="n"/>
    </row>
    <row r="51" ht="24" customHeight="1">
      <c r="A51" s="3" t="inlineStr">
        <is>
          <t>محددات التقارير (تُستخدم في تقرير الرواتب الشهري)</t>
        </is>
      </c>
      <c r="H51" s="84" t="n"/>
      <c r="I51" s="84" t="n"/>
      <c r="J51" s="84" t="n"/>
      <c r="K51" s="84" t="n"/>
      <c r="L51" s="84" t="n"/>
      <c r="M51" s="84" t="n"/>
      <c r="N51" s="84" t="n"/>
      <c r="O51" s="84" t="n"/>
      <c r="P51" s="84" t="n"/>
      <c r="Q51" s="84" t="n"/>
      <c r="R51" s="84" t="n"/>
      <c r="S51" s="84" t="n"/>
      <c r="T51" s="84" t="n"/>
      <c r="U51" s="84" t="n"/>
      <c r="V51" s="84" t="n"/>
      <c r="W51" s="84" t="n"/>
      <c r="X51" s="84" t="n"/>
      <c r="Y51" s="84" t="n"/>
      <c r="Z51" s="84" t="n"/>
      <c r="AA51" s="84" t="n"/>
      <c r="AB51" s="84" t="n"/>
      <c r="AC51" s="84" t="n"/>
      <c r="AD51" s="84" t="n"/>
      <c r="AE51" s="84" t="n"/>
    </row>
    <row r="52">
      <c r="A52" s="85" t="inlineStr">
        <is>
          <t>الشهر المحدد للتقرير</t>
        </is>
      </c>
      <c r="B52" s="86" t="inlineStr">
        <is>
          <t>أكتوبر</t>
        </is>
      </c>
      <c r="C52" s="87" t="inlineStr">
        <is>
          <t>اختر الشهر من القائمة المنسدلة.</t>
        </is>
      </c>
      <c r="H52" s="84" t="n"/>
      <c r="I52" s="84" t="n"/>
      <c r="J52" s="84" t="n"/>
      <c r="K52" s="84" t="n"/>
      <c r="L52" s="84" t="n"/>
      <c r="M52" s="84" t="n"/>
      <c r="N52" s="84" t="n"/>
      <c r="O52" s="84" t="n"/>
      <c r="P52" s="84" t="n"/>
      <c r="Q52" s="84" t="n"/>
      <c r="R52" s="84" t="n"/>
      <c r="S52" s="84" t="n"/>
      <c r="T52" s="84" t="n"/>
      <c r="U52" s="84" t="n"/>
      <c r="V52" s="84" t="n"/>
      <c r="W52" s="84" t="n"/>
      <c r="X52" s="84" t="n"/>
      <c r="Y52" s="84" t="n"/>
      <c r="Z52" s="84" t="n"/>
      <c r="AA52" s="84" t="n"/>
      <c r="AB52" s="84" t="n"/>
      <c r="AC52" s="84" t="n"/>
      <c r="AD52" s="84" t="n"/>
      <c r="AE52" s="84" t="n"/>
    </row>
    <row r="53">
      <c r="A53" s="85" t="inlineStr">
        <is>
          <t>السنة المحددة للتقرير</t>
        </is>
      </c>
      <c r="B53" s="120" t="n">
        <v>2026</v>
      </c>
      <c r="C53" s="87" t="inlineStr"/>
      <c r="H53" s="84" t="n"/>
      <c r="I53" s="84" t="n"/>
      <c r="J53" s="84" t="n"/>
      <c r="K53" s="84" t="n"/>
      <c r="L53" s="84" t="n"/>
      <c r="M53" s="84" t="n"/>
      <c r="N53" s="84" t="n"/>
      <c r="O53" s="84" t="n"/>
      <c r="P53" s="84" t="n"/>
      <c r="Q53" s="84" t="n"/>
      <c r="R53" s="84" t="n"/>
      <c r="S53" s="84" t="n"/>
      <c r="T53" s="84" t="n"/>
      <c r="U53" s="84" t="n"/>
      <c r="V53" s="84" t="n"/>
      <c r="W53" s="84" t="n"/>
      <c r="X53" s="84" t="n"/>
      <c r="Y53" s="84" t="n"/>
      <c r="Z53" s="84" t="n"/>
      <c r="AA53" s="84" t="n"/>
      <c r="AB53" s="84" t="n"/>
      <c r="AC53" s="84" t="n"/>
      <c r="AD53" s="84" t="n"/>
      <c r="AE53" s="84" t="n"/>
    </row>
    <row r="54">
      <c r="B54" s="84" t="n"/>
      <c r="H54" s="84" t="n"/>
      <c r="I54" s="84" t="n"/>
      <c r="J54" s="84" t="n"/>
      <c r="K54" s="84" t="n"/>
      <c r="L54" s="84" t="n"/>
      <c r="M54" s="84" t="n"/>
      <c r="N54" s="84" t="n"/>
      <c r="O54" s="84" t="n"/>
      <c r="P54" s="84" t="n"/>
      <c r="Q54" s="84" t="n"/>
      <c r="R54" s="84" t="n"/>
      <c r="S54" s="84" t="n"/>
      <c r="T54" s="84" t="n"/>
      <c r="U54" s="84" t="n"/>
      <c r="V54" s="84" t="n"/>
      <c r="W54" s="84" t="n"/>
      <c r="X54" s="84" t="n"/>
      <c r="Y54" s="84" t="n"/>
      <c r="Z54" s="84" t="n"/>
      <c r="AA54" s="84" t="n"/>
      <c r="AB54" s="84" t="n"/>
      <c r="AC54" s="84" t="n"/>
      <c r="AD54" s="84" t="n"/>
      <c r="AE54" s="84" t="n"/>
    </row>
    <row r="55">
      <c r="B55" s="84" t="n"/>
      <c r="H55" s="84" t="n"/>
      <c r="I55" s="84" t="n"/>
      <c r="J55" s="84" t="n"/>
      <c r="K55" s="84" t="n"/>
      <c r="L55" s="84" t="n"/>
      <c r="M55" s="84" t="n"/>
      <c r="N55" s="84" t="n"/>
      <c r="O55" s="84" t="n"/>
      <c r="P55" s="84" t="n"/>
      <c r="Q55" s="84" t="n"/>
      <c r="R55" s="84" t="n"/>
      <c r="S55" s="84" t="n"/>
      <c r="T55" s="84" t="n"/>
      <c r="U55" s="84" t="n"/>
      <c r="V55" s="84" t="n"/>
      <c r="W55" s="84" t="n"/>
      <c r="X55" s="84" t="n"/>
      <c r="Y55" s="84" t="n"/>
      <c r="Z55" s="84" t="n"/>
      <c r="AA55" s="84" t="n"/>
      <c r="AB55" s="84" t="n"/>
      <c r="AC55" s="84" t="n"/>
      <c r="AD55" s="84" t="n"/>
      <c r="AE55" s="84" t="n"/>
    </row>
    <row r="56">
      <c r="B56" s="84" t="n"/>
      <c r="H56" s="84" t="n"/>
      <c r="I56" s="84" t="n"/>
      <c r="J56" s="84" t="n"/>
      <c r="K56" s="84" t="n"/>
      <c r="L56" s="84" t="n"/>
      <c r="M56" s="84" t="n"/>
      <c r="N56" s="84" t="n"/>
      <c r="O56" s="84" t="n"/>
      <c r="P56" s="84" t="n"/>
      <c r="Q56" s="84" t="n"/>
      <c r="R56" s="84" t="n"/>
      <c r="S56" s="84" t="n"/>
      <c r="T56" s="84" t="n"/>
      <c r="U56" s="84" t="n"/>
      <c r="V56" s="84" t="n"/>
      <c r="W56" s="84" t="n"/>
      <c r="X56" s="84" t="n"/>
      <c r="Y56" s="84" t="n"/>
      <c r="Z56" s="84" t="n"/>
      <c r="AA56" s="84" t="n"/>
      <c r="AB56" s="84" t="n"/>
      <c r="AC56" s="84" t="n"/>
      <c r="AD56" s="84" t="n"/>
      <c r="AE56" s="84" t="n"/>
    </row>
    <row r="57">
      <c r="B57" s="84" t="n"/>
      <c r="H57" s="84" t="n"/>
      <c r="I57" s="84" t="n"/>
      <c r="J57" s="84" t="n"/>
      <c r="K57" s="84" t="n"/>
      <c r="L57" s="84" t="n"/>
      <c r="M57" s="84" t="n"/>
      <c r="N57" s="84" t="n"/>
      <c r="O57" s="84" t="n"/>
      <c r="P57" s="84" t="n"/>
      <c r="Q57" s="84" t="n"/>
      <c r="R57" s="84" t="n"/>
      <c r="S57" s="84" t="n"/>
      <c r="T57" s="84" t="n"/>
      <c r="U57" s="84" t="n"/>
      <c r="V57" s="84" t="n"/>
      <c r="W57" s="84" t="n"/>
      <c r="X57" s="84" t="n"/>
      <c r="Y57" s="84" t="n"/>
      <c r="Z57" s="84" t="n"/>
      <c r="AA57" s="84" t="n"/>
      <c r="AB57" s="84" t="n"/>
      <c r="AC57" s="84" t="n"/>
      <c r="AD57" s="84" t="n"/>
      <c r="AE57" s="84" t="n"/>
    </row>
    <row r="58">
      <c r="B58" s="84" t="n"/>
      <c r="H58" s="84" t="n"/>
      <c r="I58" s="84" t="n"/>
      <c r="J58" s="84" t="n"/>
      <c r="K58" s="84" t="n"/>
      <c r="L58" s="84" t="n"/>
      <c r="M58" s="84" t="n"/>
      <c r="N58" s="84" t="n"/>
      <c r="O58" s="84" t="n"/>
      <c r="P58" s="84" t="n"/>
      <c r="Q58" s="84" t="n"/>
      <c r="R58" s="84" t="n"/>
      <c r="S58" s="84" t="n"/>
      <c r="T58" s="84" t="n"/>
      <c r="U58" s="84" t="n"/>
      <c r="V58" s="84" t="n"/>
      <c r="W58" s="84" t="n"/>
      <c r="X58" s="84" t="n"/>
      <c r="Y58" s="84" t="n"/>
      <c r="Z58" s="84" t="n"/>
      <c r="AA58" s="84" t="n"/>
      <c r="AB58" s="84" t="n"/>
      <c r="AC58" s="84" t="n"/>
      <c r="AD58" s="84" t="n"/>
      <c r="AE58" s="84" t="n"/>
    </row>
    <row r="59">
      <c r="B59" s="84" t="n"/>
      <c r="H59" s="84" t="n"/>
      <c r="I59" s="84" t="n"/>
      <c r="J59" s="84" t="n"/>
      <c r="K59" s="84" t="n"/>
      <c r="L59" s="84" t="n"/>
      <c r="M59" s="84" t="n"/>
      <c r="N59" s="84" t="n"/>
      <c r="O59" s="84" t="n"/>
      <c r="P59" s="84" t="n"/>
      <c r="Q59" s="84" t="n"/>
      <c r="R59" s="84" t="n"/>
      <c r="S59" s="84" t="n"/>
      <c r="T59" s="84" t="n"/>
      <c r="U59" s="84" t="n"/>
      <c r="V59" s="84" t="n"/>
      <c r="W59" s="84" t="n"/>
      <c r="X59" s="84" t="n"/>
      <c r="Y59" s="84" t="n"/>
      <c r="Z59" s="84" t="n"/>
      <c r="AA59" s="84" t="n"/>
      <c r="AB59" s="84" t="n"/>
      <c r="AC59" s="84" t="n"/>
      <c r="AD59" s="84" t="n"/>
      <c r="AE59" s="84" t="n"/>
    </row>
    <row r="60">
      <c r="B60" s="84" t="n"/>
      <c r="H60" s="84" t="n"/>
      <c r="I60" s="84" t="n"/>
      <c r="J60" s="84" t="n"/>
      <c r="K60" s="84" t="n"/>
      <c r="L60" s="84" t="n"/>
      <c r="M60" s="84" t="n"/>
      <c r="N60" s="84" t="n"/>
      <c r="O60" s="84" t="n"/>
      <c r="P60" s="84" t="n"/>
      <c r="Q60" s="84" t="n"/>
      <c r="R60" s="84" t="n"/>
      <c r="S60" s="84" t="n"/>
      <c r="T60" s="84" t="n"/>
      <c r="U60" s="84" t="n"/>
      <c r="V60" s="84" t="n"/>
      <c r="W60" s="84" t="n"/>
      <c r="X60" s="84" t="n"/>
      <c r="Y60" s="84" t="n"/>
      <c r="Z60" s="84" t="n"/>
      <c r="AA60" s="84" t="n"/>
      <c r="AB60" s="84" t="n"/>
      <c r="AC60" s="84" t="n"/>
      <c r="AD60" s="84" t="n"/>
      <c r="AE60" s="84" t="n"/>
    </row>
    <row r="61">
      <c r="B61" s="84" t="n"/>
      <c r="H61" s="84" t="n"/>
      <c r="I61" s="84" t="n"/>
      <c r="J61" s="84" t="n"/>
      <c r="K61" s="84" t="n"/>
      <c r="L61" s="84" t="n"/>
      <c r="M61" s="84" t="n"/>
      <c r="N61" s="84" t="n"/>
      <c r="O61" s="84" t="n"/>
      <c r="P61" s="84" t="n"/>
      <c r="Q61" s="84" t="n"/>
      <c r="R61" s="84" t="n"/>
      <c r="S61" s="84" t="n"/>
      <c r="T61" s="84" t="n"/>
      <c r="U61" s="84" t="n"/>
      <c r="V61" s="84" t="n"/>
      <c r="W61" s="84" t="n"/>
      <c r="X61" s="84" t="n"/>
      <c r="Y61" s="84" t="n"/>
      <c r="Z61" s="84" t="n"/>
      <c r="AA61" s="84" t="n"/>
      <c r="AB61" s="84" t="n"/>
      <c r="AC61" s="84" t="n"/>
      <c r="AD61" s="84" t="n"/>
      <c r="AE61" s="84" t="n"/>
    </row>
    <row r="62">
      <c r="B62" s="84" t="n"/>
      <c r="H62" s="84" t="n"/>
      <c r="I62" s="84" t="n"/>
      <c r="J62" s="84" t="n"/>
      <c r="K62" s="84" t="n"/>
      <c r="L62" s="84" t="n"/>
      <c r="M62" s="84" t="n"/>
      <c r="N62" s="84" t="n"/>
      <c r="O62" s="84" t="n"/>
      <c r="P62" s="84" t="n"/>
      <c r="Q62" s="84" t="n"/>
      <c r="R62" s="84" t="n"/>
      <c r="S62" s="84" t="n"/>
      <c r="T62" s="84" t="n"/>
      <c r="U62" s="84" t="n"/>
      <c r="V62" s="84" t="n"/>
      <c r="W62" s="84" t="n"/>
      <c r="X62" s="84" t="n"/>
      <c r="Y62" s="84" t="n"/>
      <c r="Z62" s="84" t="n"/>
      <c r="AA62" s="84" t="n"/>
      <c r="AB62" s="84" t="n"/>
      <c r="AC62" s="84" t="n"/>
      <c r="AD62" s="84" t="n"/>
      <c r="AE62" s="84" t="n"/>
    </row>
    <row r="63">
      <c r="B63" s="84" t="n"/>
      <c r="H63" s="84" t="n"/>
      <c r="I63" s="84" t="n"/>
      <c r="J63" s="84" t="n"/>
      <c r="K63" s="84" t="n"/>
      <c r="L63" s="84" t="n"/>
      <c r="M63" s="84" t="n"/>
      <c r="N63" s="84" t="n"/>
      <c r="O63" s="84" t="n"/>
      <c r="P63" s="84" t="n"/>
      <c r="Q63" s="84" t="n"/>
      <c r="R63" s="84" t="n"/>
      <c r="S63" s="84" t="n"/>
      <c r="T63" s="84" t="n"/>
      <c r="U63" s="84" t="n"/>
      <c r="V63" s="84" t="n"/>
      <c r="W63" s="84" t="n"/>
      <c r="X63" s="84" t="n"/>
      <c r="Y63" s="84" t="n"/>
      <c r="Z63" s="84" t="n"/>
      <c r="AA63" s="84" t="n"/>
      <c r="AB63" s="84" t="n"/>
      <c r="AC63" s="84" t="n"/>
      <c r="AD63" s="84" t="n"/>
      <c r="AE63" s="84" t="n"/>
    </row>
    <row r="64">
      <c r="B64" s="84" t="n"/>
      <c r="H64" s="84" t="n"/>
      <c r="I64" s="84" t="n"/>
      <c r="J64" s="84" t="n"/>
      <c r="K64" s="84" t="n"/>
      <c r="L64" s="84" t="n"/>
      <c r="M64" s="84" t="n"/>
      <c r="N64" s="84" t="n"/>
      <c r="O64" s="84" t="n"/>
      <c r="P64" s="84" t="n"/>
      <c r="Q64" s="84" t="n"/>
      <c r="R64" s="84" t="n"/>
      <c r="S64" s="84" t="n"/>
      <c r="T64" s="84" t="n"/>
      <c r="U64" s="84" t="n"/>
      <c r="V64" s="84" t="n"/>
      <c r="W64" s="84" t="n"/>
      <c r="X64" s="84" t="n"/>
      <c r="Y64" s="84" t="n"/>
      <c r="Z64" s="84" t="n"/>
      <c r="AA64" s="84" t="n"/>
      <c r="AB64" s="84" t="n"/>
      <c r="AC64" s="84" t="n"/>
      <c r="AD64" s="84" t="n"/>
      <c r="AE64" s="84" t="n"/>
    </row>
    <row r="65">
      <c r="B65" s="84" t="n"/>
      <c r="H65" s="84" t="n"/>
      <c r="I65" s="84" t="n"/>
      <c r="J65" s="84" t="n"/>
      <c r="K65" s="84" t="n"/>
      <c r="L65" s="84" t="n"/>
      <c r="M65" s="84" t="n"/>
      <c r="N65" s="84" t="n"/>
      <c r="O65" s="84" t="n"/>
      <c r="P65" s="84" t="n"/>
      <c r="Q65" s="84" t="n"/>
      <c r="R65" s="84" t="n"/>
      <c r="S65" s="84" t="n"/>
      <c r="T65" s="84" t="n"/>
      <c r="U65" s="84" t="n"/>
      <c r="V65" s="84" t="n"/>
      <c r="W65" s="84" t="n"/>
      <c r="X65" s="84" t="n"/>
      <c r="Y65" s="84" t="n"/>
      <c r="Z65" s="84" t="n"/>
      <c r="AA65" s="84" t="n"/>
      <c r="AB65" s="84" t="n"/>
      <c r="AC65" s="84" t="n"/>
      <c r="AD65" s="84" t="n"/>
      <c r="AE65" s="84" t="n"/>
    </row>
    <row r="66">
      <c r="B66" s="84" t="n"/>
      <c r="H66" s="84" t="n"/>
      <c r="I66" s="84" t="n"/>
      <c r="J66" s="84" t="n"/>
      <c r="K66" s="84" t="n"/>
      <c r="L66" s="84" t="n"/>
      <c r="M66" s="84" t="n"/>
      <c r="N66" s="84" t="n"/>
      <c r="O66" s="84" t="n"/>
      <c r="P66" s="84" t="n"/>
      <c r="Q66" s="84" t="n"/>
      <c r="R66" s="84" t="n"/>
      <c r="S66" s="84" t="n"/>
      <c r="T66" s="84" t="n"/>
      <c r="U66" s="84" t="n"/>
      <c r="V66" s="84" t="n"/>
      <c r="W66" s="84" t="n"/>
      <c r="X66" s="84" t="n"/>
      <c r="Y66" s="84" t="n"/>
      <c r="Z66" s="84" t="n"/>
      <c r="AA66" s="84" t="n"/>
      <c r="AB66" s="84" t="n"/>
      <c r="AC66" s="84" t="n"/>
      <c r="AD66" s="84" t="n"/>
      <c r="AE66" s="84" t="n"/>
    </row>
    <row r="67">
      <c r="B67" s="84" t="n"/>
      <c r="H67" s="84" t="n"/>
      <c r="I67" s="84" t="n"/>
      <c r="J67" s="84" t="n"/>
      <c r="K67" s="84" t="n"/>
      <c r="L67" s="84" t="n"/>
      <c r="M67" s="84" t="n"/>
      <c r="N67" s="84" t="n"/>
      <c r="O67" s="84" t="n"/>
      <c r="P67" s="84" t="n"/>
      <c r="Q67" s="84" t="n"/>
      <c r="R67" s="84" t="n"/>
      <c r="S67" s="84" t="n"/>
      <c r="T67" s="84" t="n"/>
      <c r="U67" s="84" t="n"/>
      <c r="V67" s="84" t="n"/>
      <c r="W67" s="84" t="n"/>
      <c r="X67" s="84" t="n"/>
      <c r="Y67" s="84" t="n"/>
      <c r="Z67" s="84" t="n"/>
      <c r="AA67" s="84" t="n"/>
      <c r="AB67" s="84" t="n"/>
      <c r="AC67" s="84" t="n"/>
      <c r="AD67" s="84" t="n"/>
      <c r="AE67" s="84" t="n"/>
    </row>
    <row r="68">
      <c r="B68" s="84" t="n"/>
      <c r="H68" s="84" t="n"/>
      <c r="I68" s="84" t="n"/>
      <c r="J68" s="84" t="n"/>
      <c r="K68" s="84" t="n"/>
      <c r="L68" s="84" t="n"/>
      <c r="M68" s="84" t="n"/>
      <c r="N68" s="84" t="n"/>
      <c r="O68" s="84" t="n"/>
      <c r="P68" s="84" t="n"/>
      <c r="Q68" s="84" t="n"/>
      <c r="R68" s="84" t="n"/>
      <c r="S68" s="84" t="n"/>
      <c r="T68" s="84" t="n"/>
      <c r="U68" s="84" t="n"/>
      <c r="V68" s="84" t="n"/>
      <c r="W68" s="84" t="n"/>
      <c r="X68" s="84" t="n"/>
      <c r="Y68" s="84" t="n"/>
      <c r="Z68" s="84" t="n"/>
      <c r="AA68" s="84" t="n"/>
      <c r="AB68" s="84" t="n"/>
      <c r="AC68" s="84" t="n"/>
      <c r="AD68" s="84" t="n"/>
      <c r="AE68" s="84" t="n"/>
    </row>
    <row r="69">
      <c r="B69" s="84" t="n"/>
      <c r="H69" s="84" t="n"/>
      <c r="I69" s="84" t="n"/>
      <c r="J69" s="84" t="n"/>
      <c r="K69" s="84" t="n"/>
      <c r="L69" s="84" t="n"/>
      <c r="M69" s="84" t="n"/>
      <c r="N69" s="84" t="n"/>
      <c r="O69" s="84" t="n"/>
      <c r="P69" s="84" t="n"/>
      <c r="Q69" s="84" t="n"/>
      <c r="R69" s="84" t="n"/>
      <c r="S69" s="84" t="n"/>
      <c r="T69" s="84" t="n"/>
      <c r="U69" s="84" t="n"/>
      <c r="V69" s="84" t="n"/>
      <c r="W69" s="84" t="n"/>
      <c r="X69" s="84" t="n"/>
      <c r="Y69" s="84" t="n"/>
      <c r="Z69" s="84" t="n"/>
      <c r="AA69" s="84" t="n"/>
      <c r="AB69" s="84" t="n"/>
      <c r="AC69" s="84" t="n"/>
      <c r="AD69" s="84" t="n"/>
      <c r="AE69" s="84" t="n"/>
    </row>
    <row r="70">
      <c r="B70" s="84" t="n"/>
      <c r="H70" s="84" t="n"/>
      <c r="I70" s="84" t="n"/>
      <c r="J70" s="84" t="n"/>
      <c r="K70" s="84" t="n"/>
      <c r="L70" s="84" t="n"/>
      <c r="M70" s="84" t="n"/>
      <c r="N70" s="84" t="n"/>
      <c r="O70" s="84" t="n"/>
      <c r="P70" s="84" t="n"/>
      <c r="Q70" s="84" t="n"/>
      <c r="R70" s="84" t="n"/>
      <c r="S70" s="84" t="n"/>
      <c r="T70" s="84" t="n"/>
      <c r="U70" s="84" t="n"/>
      <c r="V70" s="84" t="n"/>
      <c r="W70" s="84" t="n"/>
      <c r="X70" s="84" t="n"/>
      <c r="Y70" s="84" t="n"/>
      <c r="Z70" s="84" t="n"/>
      <c r="AA70" s="84" t="n"/>
      <c r="AB70" s="84" t="n"/>
      <c r="AC70" s="84" t="n"/>
      <c r="AD70" s="84" t="n"/>
      <c r="AE70" s="84" t="n"/>
    </row>
    <row r="71">
      <c r="B71" s="84" t="n"/>
      <c r="H71" s="84" t="n"/>
      <c r="I71" s="84" t="n"/>
      <c r="J71" s="84" t="n"/>
      <c r="K71" s="84" t="n"/>
      <c r="L71" s="84" t="n"/>
      <c r="M71" s="84" t="n"/>
      <c r="N71" s="84" t="n"/>
      <c r="O71" s="84" t="n"/>
      <c r="P71" s="84" t="n"/>
      <c r="Q71" s="84" t="n"/>
      <c r="R71" s="84" t="n"/>
      <c r="S71" s="84" t="n"/>
      <c r="T71" s="84" t="n"/>
      <c r="U71" s="84" t="n"/>
      <c r="V71" s="84" t="n"/>
      <c r="W71" s="84" t="n"/>
      <c r="X71" s="84" t="n"/>
      <c r="Y71" s="84" t="n"/>
      <c r="Z71" s="84" t="n"/>
      <c r="AA71" s="84" t="n"/>
      <c r="AB71" s="84" t="n"/>
      <c r="AC71" s="84" t="n"/>
      <c r="AD71" s="84" t="n"/>
      <c r="AE71" s="84" t="n"/>
    </row>
    <row r="72">
      <c r="B72" s="84" t="n"/>
      <c r="H72" s="84" t="n"/>
      <c r="I72" s="84" t="n"/>
      <c r="J72" s="84" t="n"/>
      <c r="K72" s="84" t="n"/>
      <c r="L72" s="84" t="n"/>
      <c r="M72" s="84" t="n"/>
      <c r="N72" s="84" t="n"/>
      <c r="O72" s="84" t="n"/>
      <c r="P72" s="84" t="n"/>
      <c r="Q72" s="84" t="n"/>
      <c r="R72" s="84" t="n"/>
      <c r="S72" s="84" t="n"/>
      <c r="T72" s="84" t="n"/>
      <c r="U72" s="84" t="n"/>
      <c r="V72" s="84" t="n"/>
      <c r="W72" s="84" t="n"/>
      <c r="X72" s="84" t="n"/>
      <c r="Y72" s="84" t="n"/>
      <c r="Z72" s="84" t="n"/>
      <c r="AA72" s="84" t="n"/>
      <c r="AB72" s="84" t="n"/>
      <c r="AC72" s="84" t="n"/>
      <c r="AD72" s="84" t="n"/>
      <c r="AE72" s="84" t="n"/>
    </row>
    <row r="73">
      <c r="B73" s="84" t="n"/>
      <c r="H73" s="84" t="n"/>
      <c r="I73" s="84" t="n"/>
      <c r="J73" s="84" t="n"/>
      <c r="K73" s="84" t="n"/>
      <c r="L73" s="84" t="n"/>
      <c r="M73" s="84" t="n"/>
      <c r="N73" s="84" t="n"/>
      <c r="O73" s="84" t="n"/>
      <c r="P73" s="84" t="n"/>
      <c r="Q73" s="84" t="n"/>
      <c r="R73" s="84" t="n"/>
      <c r="S73" s="84" t="n"/>
      <c r="T73" s="84" t="n"/>
      <c r="U73" s="84" t="n"/>
      <c r="V73" s="84" t="n"/>
      <c r="W73" s="84" t="n"/>
      <c r="X73" s="84" t="n"/>
      <c r="Y73" s="84" t="n"/>
      <c r="Z73" s="84" t="n"/>
      <c r="AA73" s="84" t="n"/>
      <c r="AB73" s="84" t="n"/>
      <c r="AC73" s="84" t="n"/>
      <c r="AD73" s="84" t="n"/>
      <c r="AE73" s="84" t="n"/>
    </row>
    <row r="74">
      <c r="B74" s="84" t="n"/>
      <c r="H74" s="84" t="n"/>
      <c r="I74" s="84" t="n"/>
      <c r="J74" s="84" t="n"/>
      <c r="K74" s="84" t="n"/>
      <c r="L74" s="84" t="n"/>
      <c r="M74" s="84" t="n"/>
      <c r="N74" s="84" t="n"/>
      <c r="O74" s="84" t="n"/>
      <c r="P74" s="84" t="n"/>
      <c r="Q74" s="84" t="n"/>
      <c r="R74" s="84" t="n"/>
      <c r="S74" s="84" t="n"/>
      <c r="T74" s="84" t="n"/>
      <c r="U74" s="84" t="n"/>
      <c r="V74" s="84" t="n"/>
      <c r="W74" s="84" t="n"/>
      <c r="X74" s="84" t="n"/>
      <c r="Y74" s="84" t="n"/>
      <c r="Z74" s="84" t="n"/>
      <c r="AA74" s="84" t="n"/>
      <c r="AB74" s="84" t="n"/>
      <c r="AC74" s="84" t="n"/>
      <c r="AD74" s="84" t="n"/>
      <c r="AE74" s="84" t="n"/>
    </row>
    <row r="75">
      <c r="B75" s="84" t="n"/>
      <c r="H75" s="84" t="n"/>
      <c r="I75" s="84" t="n"/>
      <c r="J75" s="84" t="n"/>
      <c r="K75" s="84" t="n"/>
      <c r="L75" s="84" t="n"/>
      <c r="M75" s="84" t="n"/>
      <c r="N75" s="84" t="n"/>
      <c r="O75" s="84" t="n"/>
      <c r="P75" s="84" t="n"/>
      <c r="Q75" s="84" t="n"/>
      <c r="R75" s="84" t="n"/>
      <c r="S75" s="84" t="n"/>
      <c r="T75" s="84" t="n"/>
      <c r="U75" s="84" t="n"/>
      <c r="V75" s="84" t="n"/>
      <c r="W75" s="84" t="n"/>
      <c r="X75" s="84" t="n"/>
      <c r="Y75" s="84" t="n"/>
      <c r="Z75" s="84" t="n"/>
      <c r="AA75" s="84" t="n"/>
      <c r="AB75" s="84" t="n"/>
      <c r="AC75" s="84" t="n"/>
      <c r="AD75" s="84" t="n"/>
      <c r="AE75" s="84" t="n"/>
    </row>
    <row r="76">
      <c r="B76" s="84" t="n"/>
      <c r="H76" s="84" t="n"/>
      <c r="I76" s="84" t="n"/>
      <c r="J76" s="84" t="n"/>
      <c r="K76" s="84" t="n"/>
      <c r="L76" s="84" t="n"/>
      <c r="M76" s="84" t="n"/>
      <c r="N76" s="84" t="n"/>
      <c r="O76" s="84" t="n"/>
      <c r="P76" s="84" t="n"/>
      <c r="Q76" s="84" t="n"/>
      <c r="R76" s="84" t="n"/>
      <c r="S76" s="84" t="n"/>
      <c r="T76" s="84" t="n"/>
      <c r="U76" s="84" t="n"/>
      <c r="V76" s="84" t="n"/>
      <c r="W76" s="84" t="n"/>
      <c r="X76" s="84" t="n"/>
      <c r="Y76" s="84" t="n"/>
      <c r="Z76" s="84" t="n"/>
      <c r="AA76" s="84" t="n"/>
      <c r="AB76" s="84" t="n"/>
      <c r="AC76" s="84" t="n"/>
      <c r="AD76" s="84" t="n"/>
      <c r="AE76" s="84" t="n"/>
    </row>
    <row r="77">
      <c r="B77" s="84" t="n"/>
      <c r="H77" s="84" t="n"/>
      <c r="I77" s="84" t="n"/>
      <c r="J77" s="84" t="n"/>
      <c r="K77" s="84" t="n"/>
      <c r="L77" s="84" t="n"/>
      <c r="M77" s="84" t="n"/>
      <c r="N77" s="84" t="n"/>
      <c r="O77" s="84" t="n"/>
      <c r="P77" s="84" t="n"/>
      <c r="Q77" s="84" t="n"/>
      <c r="R77" s="84" t="n"/>
      <c r="S77" s="84" t="n"/>
      <c r="T77" s="84" t="n"/>
      <c r="U77" s="84" t="n"/>
      <c r="V77" s="84" t="n"/>
      <c r="W77" s="84" t="n"/>
      <c r="X77" s="84" t="n"/>
      <c r="Y77" s="84" t="n"/>
      <c r="Z77" s="84" t="n"/>
      <c r="AA77" s="84" t="n"/>
      <c r="AB77" s="84" t="n"/>
      <c r="AC77" s="84" t="n"/>
      <c r="AD77" s="84" t="n"/>
      <c r="AE77" s="84" t="n"/>
    </row>
    <row r="78">
      <c r="B78" s="84" t="n"/>
      <c r="H78" s="84" t="n"/>
      <c r="I78" s="84" t="n"/>
      <c r="J78" s="84" t="n"/>
      <c r="K78" s="84" t="n"/>
      <c r="L78" s="84" t="n"/>
      <c r="M78" s="84" t="n"/>
      <c r="N78" s="84" t="n"/>
      <c r="O78" s="84" t="n"/>
      <c r="P78" s="84" t="n"/>
      <c r="Q78" s="84" t="n"/>
      <c r="R78" s="84" t="n"/>
      <c r="S78" s="84" t="n"/>
      <c r="T78" s="84" t="n"/>
      <c r="U78" s="84" t="n"/>
      <c r="V78" s="84" t="n"/>
      <c r="W78" s="84" t="n"/>
      <c r="X78" s="84" t="n"/>
      <c r="Y78" s="84" t="n"/>
      <c r="Z78" s="84" t="n"/>
      <c r="AA78" s="84" t="n"/>
      <c r="AB78" s="84" t="n"/>
      <c r="AC78" s="84" t="n"/>
      <c r="AD78" s="84" t="n"/>
      <c r="AE78" s="84" t="n"/>
    </row>
    <row r="79">
      <c r="B79" s="84" t="n"/>
      <c r="H79" s="84" t="n"/>
      <c r="I79" s="84" t="n"/>
      <c r="J79" s="84" t="n"/>
      <c r="K79" s="84" t="n"/>
      <c r="L79" s="84" t="n"/>
      <c r="M79" s="84" t="n"/>
      <c r="N79" s="84" t="n"/>
      <c r="O79" s="84" t="n"/>
      <c r="P79" s="84" t="n"/>
      <c r="Q79" s="84" t="n"/>
      <c r="R79" s="84" t="n"/>
      <c r="S79" s="84" t="n"/>
      <c r="T79" s="84" t="n"/>
      <c r="U79" s="84" t="n"/>
      <c r="V79" s="84" t="n"/>
      <c r="W79" s="84" t="n"/>
      <c r="X79" s="84" t="n"/>
      <c r="Y79" s="84" t="n"/>
      <c r="Z79" s="84" t="n"/>
      <c r="AA79" s="84" t="n"/>
      <c r="AB79" s="84" t="n"/>
      <c r="AC79" s="84" t="n"/>
      <c r="AD79" s="84" t="n"/>
      <c r="AE79" s="84" t="n"/>
    </row>
    <row r="80">
      <c r="B80" s="84" t="n"/>
      <c r="H80" s="84" t="n"/>
      <c r="I80" s="84" t="n"/>
      <c r="J80" s="84" t="n"/>
      <c r="K80" s="84" t="n"/>
      <c r="L80" s="84" t="n"/>
      <c r="M80" s="84" t="n"/>
      <c r="N80" s="84" t="n"/>
      <c r="O80" s="84" t="n"/>
      <c r="P80" s="84" t="n"/>
      <c r="Q80" s="84" t="n"/>
      <c r="R80" s="84" t="n"/>
      <c r="S80" s="84" t="n"/>
      <c r="T80" s="84" t="n"/>
      <c r="U80" s="84" t="n"/>
      <c r="V80" s="84" t="n"/>
      <c r="W80" s="84" t="n"/>
      <c r="X80" s="84" t="n"/>
      <c r="Y80" s="84" t="n"/>
      <c r="Z80" s="84" t="n"/>
      <c r="AA80" s="84" t="n"/>
      <c r="AB80" s="84" t="n"/>
      <c r="AC80" s="84" t="n"/>
      <c r="AD80" s="84" t="n"/>
      <c r="AE80" s="84" t="n"/>
    </row>
    <row r="81">
      <c r="B81" s="84" t="n"/>
      <c r="H81" s="84" t="n"/>
      <c r="I81" s="84" t="n"/>
      <c r="J81" s="84" t="n"/>
      <c r="K81" s="84" t="n"/>
      <c r="L81" s="84" t="n"/>
      <c r="M81" s="84" t="n"/>
      <c r="N81" s="84" t="n"/>
      <c r="O81" s="84" t="n"/>
      <c r="P81" s="84" t="n"/>
      <c r="Q81" s="84" t="n"/>
      <c r="R81" s="84" t="n"/>
      <c r="S81" s="84" t="n"/>
      <c r="T81" s="84" t="n"/>
      <c r="U81" s="84" t="n"/>
      <c r="V81" s="84" t="n"/>
      <c r="W81" s="84" t="n"/>
      <c r="X81" s="84" t="n"/>
      <c r="Y81" s="84" t="n"/>
      <c r="Z81" s="84" t="n"/>
      <c r="AA81" s="84" t="n"/>
      <c r="AB81" s="84" t="n"/>
      <c r="AC81" s="84" t="n"/>
      <c r="AD81" s="84" t="n"/>
      <c r="AE81" s="84" t="n"/>
    </row>
    <row r="82">
      <c r="B82" s="84" t="n"/>
      <c r="H82" s="84" t="n"/>
      <c r="I82" s="84" t="n"/>
      <c r="J82" s="84" t="n"/>
      <c r="K82" s="84" t="n"/>
      <c r="L82" s="84" t="n"/>
      <c r="M82" s="84" t="n"/>
      <c r="N82" s="84" t="n"/>
      <c r="O82" s="84" t="n"/>
      <c r="P82" s="84" t="n"/>
      <c r="Q82" s="84" t="n"/>
      <c r="R82" s="84" t="n"/>
      <c r="S82" s="84" t="n"/>
      <c r="T82" s="84" t="n"/>
      <c r="U82" s="84" t="n"/>
      <c r="V82" s="84" t="n"/>
      <c r="W82" s="84" t="n"/>
      <c r="X82" s="84" t="n"/>
      <c r="Y82" s="84" t="n"/>
      <c r="Z82" s="84" t="n"/>
      <c r="AA82" s="84" t="n"/>
      <c r="AB82" s="84" t="n"/>
      <c r="AC82" s="84" t="n"/>
      <c r="AD82" s="84" t="n"/>
      <c r="AE82" s="84" t="n"/>
    </row>
    <row r="83">
      <c r="B83" s="84" t="n"/>
      <c r="H83" s="84" t="n"/>
      <c r="I83" s="84" t="n"/>
      <c r="J83" s="84" t="n"/>
      <c r="K83" s="84" t="n"/>
      <c r="L83" s="84" t="n"/>
      <c r="M83" s="84" t="n"/>
      <c r="N83" s="84" t="n"/>
      <c r="O83" s="84" t="n"/>
      <c r="P83" s="84" t="n"/>
      <c r="Q83" s="84" t="n"/>
      <c r="R83" s="84" t="n"/>
      <c r="S83" s="84" t="n"/>
      <c r="T83" s="84" t="n"/>
      <c r="U83" s="84" t="n"/>
      <c r="V83" s="84" t="n"/>
      <c r="W83" s="84" t="n"/>
      <c r="X83" s="84" t="n"/>
      <c r="Y83" s="84" t="n"/>
      <c r="Z83" s="84" t="n"/>
      <c r="AA83" s="84" t="n"/>
      <c r="AB83" s="84" t="n"/>
      <c r="AC83" s="84" t="n"/>
      <c r="AD83" s="84" t="n"/>
      <c r="AE83" s="84" t="n"/>
    </row>
    <row r="84">
      <c r="B84" s="84" t="n"/>
      <c r="H84" s="84" t="n"/>
      <c r="I84" s="84" t="n"/>
      <c r="J84" s="84" t="n"/>
      <c r="K84" s="84" t="n"/>
      <c r="L84" s="84" t="n"/>
      <c r="M84" s="84" t="n"/>
      <c r="N84" s="84" t="n"/>
      <c r="O84" s="84" t="n"/>
      <c r="P84" s="84" t="n"/>
      <c r="Q84" s="84" t="n"/>
      <c r="R84" s="84" t="n"/>
      <c r="S84" s="84" t="n"/>
      <c r="T84" s="84" t="n"/>
      <c r="U84" s="84" t="n"/>
      <c r="V84" s="84" t="n"/>
      <c r="W84" s="84" t="n"/>
      <c r="X84" s="84" t="n"/>
      <c r="Y84" s="84" t="n"/>
      <c r="Z84" s="84" t="n"/>
      <c r="AA84" s="84" t="n"/>
      <c r="AB84" s="84" t="n"/>
      <c r="AC84" s="84" t="n"/>
      <c r="AD84" s="84" t="n"/>
      <c r="AE84" s="84" t="n"/>
    </row>
    <row r="85">
      <c r="B85" s="84" t="n"/>
      <c r="H85" s="84" t="n"/>
      <c r="I85" s="84" t="n"/>
      <c r="J85" s="84" t="n"/>
      <c r="K85" s="84" t="n"/>
      <c r="L85" s="84" t="n"/>
      <c r="M85" s="84" t="n"/>
      <c r="N85" s="84" t="n"/>
      <c r="O85" s="84" t="n"/>
      <c r="P85" s="84" t="n"/>
      <c r="Q85" s="84" t="n"/>
      <c r="R85" s="84" t="n"/>
      <c r="S85" s="84" t="n"/>
      <c r="T85" s="84" t="n"/>
      <c r="U85" s="84" t="n"/>
      <c r="V85" s="84" t="n"/>
      <c r="W85" s="84" t="n"/>
      <c r="X85" s="84" t="n"/>
      <c r="Y85" s="84" t="n"/>
      <c r="Z85" s="84" t="n"/>
      <c r="AA85" s="84" t="n"/>
      <c r="AB85" s="84" t="n"/>
      <c r="AC85" s="84" t="n"/>
      <c r="AD85" s="84" t="n"/>
      <c r="AE85" s="84" t="n"/>
    </row>
    <row r="86">
      <c r="B86" s="84" t="n"/>
      <c r="H86" s="84" t="n"/>
      <c r="I86" s="84" t="n"/>
      <c r="J86" s="84" t="n"/>
      <c r="K86" s="84" t="n"/>
      <c r="L86" s="84" t="n"/>
      <c r="M86" s="84" t="n"/>
      <c r="N86" s="84" t="n"/>
      <c r="O86" s="84" t="n"/>
      <c r="P86" s="84" t="n"/>
      <c r="Q86" s="84" t="n"/>
      <c r="R86" s="84" t="n"/>
      <c r="S86" s="84" t="n"/>
      <c r="T86" s="84" t="n"/>
      <c r="U86" s="84" t="n"/>
      <c r="V86" s="84" t="n"/>
      <c r="W86" s="84" t="n"/>
      <c r="X86" s="84" t="n"/>
      <c r="Y86" s="84" t="n"/>
      <c r="Z86" s="84" t="n"/>
      <c r="AA86" s="84" t="n"/>
      <c r="AB86" s="84" t="n"/>
      <c r="AC86" s="84" t="n"/>
      <c r="AD86" s="84" t="n"/>
      <c r="AE86" s="84" t="n"/>
    </row>
    <row r="87">
      <c r="B87" s="84" t="n"/>
      <c r="H87" s="84" t="n"/>
      <c r="I87" s="84" t="n"/>
      <c r="J87" s="84" t="n"/>
      <c r="K87" s="84" t="n"/>
      <c r="L87" s="84" t="n"/>
      <c r="M87" s="84" t="n"/>
      <c r="N87" s="84" t="n"/>
      <c r="O87" s="84" t="n"/>
      <c r="P87" s="84" t="n"/>
      <c r="Q87" s="84" t="n"/>
      <c r="R87" s="84" t="n"/>
      <c r="S87" s="84" t="n"/>
      <c r="T87" s="84" t="n"/>
      <c r="U87" s="84" t="n"/>
      <c r="V87" s="84" t="n"/>
      <c r="W87" s="84" t="n"/>
      <c r="X87" s="84" t="n"/>
      <c r="Y87" s="84" t="n"/>
      <c r="Z87" s="84" t="n"/>
      <c r="AA87" s="84" t="n"/>
      <c r="AB87" s="84" t="n"/>
      <c r="AC87" s="84" t="n"/>
      <c r="AD87" s="84" t="n"/>
      <c r="AE87" s="84" t="n"/>
    </row>
    <row r="88">
      <c r="B88" s="84" t="n"/>
      <c r="H88" s="84" t="n"/>
      <c r="I88" s="84" t="n"/>
      <c r="J88" s="84" t="n"/>
      <c r="K88" s="84" t="n"/>
      <c r="L88" s="84" t="n"/>
      <c r="M88" s="84" t="n"/>
      <c r="N88" s="84" t="n"/>
      <c r="O88" s="84" t="n"/>
      <c r="P88" s="84" t="n"/>
      <c r="Q88" s="84" t="n"/>
      <c r="R88" s="84" t="n"/>
      <c r="S88" s="84" t="n"/>
      <c r="T88" s="84" t="n"/>
      <c r="U88" s="84" t="n"/>
      <c r="V88" s="84" t="n"/>
      <c r="W88" s="84" t="n"/>
      <c r="X88" s="84" t="n"/>
      <c r="Y88" s="84" t="n"/>
      <c r="Z88" s="84" t="n"/>
      <c r="AA88" s="84" t="n"/>
      <c r="AB88" s="84" t="n"/>
      <c r="AC88" s="84" t="n"/>
      <c r="AD88" s="84" t="n"/>
      <c r="AE88" s="84" t="n"/>
    </row>
    <row r="89">
      <c r="B89" s="84" t="n"/>
      <c r="H89" s="84" t="n"/>
      <c r="I89" s="84" t="n"/>
      <c r="J89" s="84" t="n"/>
      <c r="K89" s="84" t="n"/>
      <c r="L89" s="84" t="n"/>
      <c r="M89" s="84" t="n"/>
      <c r="N89" s="84" t="n"/>
      <c r="O89" s="84" t="n"/>
      <c r="P89" s="84" t="n"/>
      <c r="Q89" s="84" t="n"/>
      <c r="R89" s="84" t="n"/>
      <c r="S89" s="84" t="n"/>
      <c r="T89" s="84" t="n"/>
      <c r="U89" s="84" t="n"/>
      <c r="V89" s="84" t="n"/>
      <c r="W89" s="84" t="n"/>
      <c r="X89" s="84" t="n"/>
      <c r="Y89" s="84" t="n"/>
      <c r="Z89" s="84" t="n"/>
      <c r="AA89" s="84" t="n"/>
      <c r="AB89" s="84" t="n"/>
      <c r="AC89" s="84" t="n"/>
      <c r="AD89" s="84" t="n"/>
      <c r="AE89" s="84" t="n"/>
    </row>
    <row r="90">
      <c r="B90" s="84" t="n"/>
      <c r="H90" s="84" t="n"/>
      <c r="I90" s="84" t="n"/>
      <c r="J90" s="84" t="n"/>
      <c r="K90" s="84" t="n"/>
      <c r="L90" s="84" t="n"/>
      <c r="M90" s="84" t="n"/>
      <c r="N90" s="84" t="n"/>
      <c r="O90" s="84" t="n"/>
      <c r="P90" s="84" t="n"/>
      <c r="Q90" s="84" t="n"/>
      <c r="R90" s="84" t="n"/>
      <c r="S90" s="84" t="n"/>
      <c r="T90" s="84" t="n"/>
      <c r="U90" s="84" t="n"/>
      <c r="V90" s="84" t="n"/>
      <c r="W90" s="84" t="n"/>
      <c r="X90" s="84" t="n"/>
      <c r="Y90" s="84" t="n"/>
      <c r="Z90" s="84" t="n"/>
      <c r="AA90" s="84" t="n"/>
      <c r="AB90" s="84" t="n"/>
      <c r="AC90" s="84" t="n"/>
      <c r="AD90" s="84" t="n"/>
      <c r="AE90" s="84" t="n"/>
    </row>
    <row r="91">
      <c r="B91" s="84" t="n"/>
      <c r="H91" s="84" t="n"/>
      <c r="I91" s="84" t="n"/>
      <c r="J91" s="84" t="n"/>
      <c r="K91" s="84" t="n"/>
      <c r="L91" s="84" t="n"/>
      <c r="M91" s="84" t="n"/>
      <c r="N91" s="84" t="n"/>
      <c r="O91" s="84" t="n"/>
      <c r="P91" s="84" t="n"/>
      <c r="Q91" s="84" t="n"/>
      <c r="R91" s="84" t="n"/>
      <c r="S91" s="84" t="n"/>
      <c r="T91" s="84" t="n"/>
      <c r="U91" s="84" t="n"/>
      <c r="V91" s="84" t="n"/>
      <c r="W91" s="84" t="n"/>
      <c r="X91" s="84" t="n"/>
      <c r="Y91" s="84" t="n"/>
      <c r="Z91" s="84" t="n"/>
      <c r="AA91" s="84" t="n"/>
      <c r="AB91" s="84" t="n"/>
      <c r="AC91" s="84" t="n"/>
      <c r="AD91" s="84" t="n"/>
      <c r="AE91" s="84" t="n"/>
    </row>
    <row r="92">
      <c r="B92" s="84" t="n"/>
      <c r="H92" s="84" t="n"/>
      <c r="I92" s="84" t="n"/>
      <c r="J92" s="84" t="n"/>
      <c r="K92" s="84" t="n"/>
      <c r="L92" s="84" t="n"/>
      <c r="M92" s="84" t="n"/>
      <c r="N92" s="84" t="n"/>
      <c r="O92" s="84" t="n"/>
      <c r="P92" s="84" t="n"/>
      <c r="Q92" s="84" t="n"/>
      <c r="R92" s="84" t="n"/>
      <c r="S92" s="84" t="n"/>
      <c r="T92" s="84" t="n"/>
      <c r="U92" s="84" t="n"/>
      <c r="V92" s="84" t="n"/>
      <c r="W92" s="84" t="n"/>
      <c r="X92" s="84" t="n"/>
      <c r="Y92" s="84" t="n"/>
      <c r="Z92" s="84" t="n"/>
      <c r="AA92" s="84" t="n"/>
      <c r="AB92" s="84" t="n"/>
      <c r="AC92" s="84" t="n"/>
      <c r="AD92" s="84" t="n"/>
      <c r="AE92" s="84" t="n"/>
    </row>
    <row r="93">
      <c r="B93" s="84" t="n"/>
      <c r="H93" s="84" t="n"/>
      <c r="I93" s="84" t="n"/>
      <c r="J93" s="84" t="n"/>
      <c r="K93" s="84" t="n"/>
      <c r="L93" s="84" t="n"/>
      <c r="M93" s="84" t="n"/>
      <c r="N93" s="84" t="n"/>
      <c r="O93" s="84" t="n"/>
      <c r="P93" s="84" t="n"/>
      <c r="Q93" s="84" t="n"/>
      <c r="R93" s="84" t="n"/>
      <c r="S93" s="84" t="n"/>
      <c r="T93" s="84" t="n"/>
      <c r="U93" s="84" t="n"/>
      <c r="V93" s="84" t="n"/>
      <c r="W93" s="84" t="n"/>
      <c r="X93" s="84" t="n"/>
      <c r="Y93" s="84" t="n"/>
      <c r="Z93" s="84" t="n"/>
      <c r="AA93" s="84" t="n"/>
      <c r="AB93" s="84" t="n"/>
      <c r="AC93" s="84" t="n"/>
      <c r="AD93" s="84" t="n"/>
      <c r="AE93" s="84" t="n"/>
    </row>
    <row r="94">
      <c r="B94" s="84" t="n"/>
      <c r="H94" s="84" t="n"/>
      <c r="I94" s="84" t="n"/>
      <c r="J94" s="84" t="n"/>
      <c r="K94" s="84" t="n"/>
      <c r="L94" s="84" t="n"/>
      <c r="M94" s="84" t="n"/>
      <c r="N94" s="84" t="n"/>
      <c r="O94" s="84" t="n"/>
      <c r="P94" s="84" t="n"/>
      <c r="Q94" s="84" t="n"/>
      <c r="R94" s="84" t="n"/>
      <c r="S94" s="84" t="n"/>
      <c r="T94" s="84" t="n"/>
      <c r="U94" s="84" t="n"/>
      <c r="V94" s="84" t="n"/>
      <c r="W94" s="84" t="n"/>
      <c r="X94" s="84" t="n"/>
      <c r="Y94" s="84" t="n"/>
      <c r="Z94" s="84" t="n"/>
      <c r="AA94" s="84" t="n"/>
      <c r="AB94" s="84" t="n"/>
      <c r="AC94" s="84" t="n"/>
      <c r="AD94" s="84" t="n"/>
      <c r="AE94" s="84" t="n"/>
    </row>
    <row r="95">
      <c r="B95" s="84" t="n"/>
      <c r="H95" s="84" t="n"/>
      <c r="I95" s="84" t="n"/>
      <c r="J95" s="84" t="n"/>
      <c r="K95" s="84" t="n"/>
      <c r="L95" s="84" t="n"/>
      <c r="M95" s="84" t="n"/>
      <c r="N95" s="84" t="n"/>
      <c r="O95" s="84" t="n"/>
      <c r="P95" s="84" t="n"/>
      <c r="Q95" s="84" t="n"/>
      <c r="R95" s="84" t="n"/>
      <c r="S95" s="84" t="n"/>
      <c r="T95" s="84" t="n"/>
      <c r="U95" s="84" t="n"/>
      <c r="V95" s="84" t="n"/>
      <c r="W95" s="84" t="n"/>
      <c r="X95" s="84" t="n"/>
      <c r="Y95" s="84" t="n"/>
      <c r="Z95" s="84" t="n"/>
      <c r="AA95" s="84" t="n"/>
      <c r="AB95" s="84" t="n"/>
      <c r="AC95" s="84" t="n"/>
      <c r="AD95" s="84" t="n"/>
      <c r="AE95" s="84" t="n"/>
    </row>
    <row r="96">
      <c r="B96" s="84" t="n"/>
      <c r="H96" s="84" t="n"/>
      <c r="I96" s="84" t="n"/>
      <c r="J96" s="84" t="n"/>
      <c r="K96" s="84" t="n"/>
      <c r="L96" s="84" t="n"/>
      <c r="M96" s="84" t="n"/>
      <c r="N96" s="84" t="n"/>
      <c r="O96" s="84" t="n"/>
      <c r="P96" s="84" t="n"/>
      <c r="Q96" s="84" t="n"/>
      <c r="R96" s="84" t="n"/>
      <c r="S96" s="84" t="n"/>
      <c r="T96" s="84" t="n"/>
      <c r="U96" s="84" t="n"/>
      <c r="V96" s="84" t="n"/>
      <c r="W96" s="84" t="n"/>
      <c r="X96" s="84" t="n"/>
      <c r="Y96" s="84" t="n"/>
      <c r="Z96" s="84" t="n"/>
      <c r="AA96" s="84" t="n"/>
      <c r="AB96" s="84" t="n"/>
      <c r="AC96" s="84" t="n"/>
      <c r="AD96" s="84" t="n"/>
      <c r="AE96" s="84" t="n"/>
    </row>
    <row r="97">
      <c r="B97" s="84" t="n"/>
      <c r="H97" s="84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  <c r="R97" s="84" t="n"/>
      <c r="S97" s="84" t="n"/>
      <c r="T97" s="84" t="n"/>
      <c r="U97" s="84" t="n"/>
      <c r="V97" s="84" t="n"/>
      <c r="W97" s="84" t="n"/>
      <c r="X97" s="84" t="n"/>
      <c r="Y97" s="84" t="n"/>
      <c r="Z97" s="84" t="n"/>
      <c r="AA97" s="84" t="n"/>
      <c r="AB97" s="84" t="n"/>
      <c r="AC97" s="84" t="n"/>
      <c r="AD97" s="84" t="n"/>
      <c r="AE97" s="84" t="n"/>
    </row>
    <row r="98">
      <c r="B98" s="84" t="n"/>
      <c r="H98" s="84" t="n"/>
      <c r="I98" s="84" t="n"/>
      <c r="J98" s="84" t="n"/>
      <c r="K98" s="84" t="n"/>
      <c r="L98" s="84" t="n"/>
      <c r="M98" s="84" t="n"/>
      <c r="N98" s="84" t="n"/>
      <c r="O98" s="84" t="n"/>
      <c r="P98" s="84" t="n"/>
      <c r="Q98" s="84" t="n"/>
      <c r="R98" s="84" t="n"/>
      <c r="S98" s="84" t="n"/>
      <c r="T98" s="84" t="n"/>
      <c r="U98" s="84" t="n"/>
      <c r="V98" s="84" t="n"/>
      <c r="W98" s="84" t="n"/>
      <c r="X98" s="84" t="n"/>
      <c r="Y98" s="84" t="n"/>
      <c r="Z98" s="84" t="n"/>
      <c r="AA98" s="84" t="n"/>
      <c r="AB98" s="84" t="n"/>
      <c r="AC98" s="84" t="n"/>
      <c r="AD98" s="84" t="n"/>
      <c r="AE98" s="84" t="n"/>
    </row>
    <row r="99">
      <c r="B99" s="84" t="n"/>
      <c r="H99" s="84" t="n"/>
      <c r="I99" s="84" t="n"/>
      <c r="J99" s="84" t="n"/>
      <c r="K99" s="84" t="n"/>
      <c r="L99" s="84" t="n"/>
      <c r="M99" s="84" t="n"/>
      <c r="N99" s="84" t="n"/>
      <c r="O99" s="84" t="n"/>
      <c r="P99" s="84" t="n"/>
      <c r="Q99" s="84" t="n"/>
      <c r="R99" s="84" t="n"/>
      <c r="S99" s="84" t="n"/>
      <c r="T99" s="84" t="n"/>
      <c r="U99" s="84" t="n"/>
      <c r="V99" s="84" t="n"/>
      <c r="W99" s="84" t="n"/>
      <c r="X99" s="84" t="n"/>
      <c r="Y99" s="84" t="n"/>
      <c r="Z99" s="84" t="n"/>
      <c r="AA99" s="84" t="n"/>
      <c r="AB99" s="84" t="n"/>
      <c r="AC99" s="84" t="n"/>
      <c r="AD99" s="84" t="n"/>
      <c r="AE99" s="84" t="n"/>
    </row>
    <row r="100">
      <c r="B100" s="84" t="n"/>
      <c r="H100" s="84" t="n"/>
      <c r="I100" s="84" t="n"/>
      <c r="J100" s="84" t="n"/>
      <c r="K100" s="84" t="n"/>
      <c r="L100" s="84" t="n"/>
      <c r="M100" s="84" t="n"/>
      <c r="N100" s="84" t="n"/>
      <c r="O100" s="84" t="n"/>
      <c r="P100" s="84" t="n"/>
      <c r="Q100" s="84" t="n"/>
      <c r="R100" s="84" t="n"/>
      <c r="S100" s="84" t="n"/>
      <c r="T100" s="84" t="n"/>
      <c r="U100" s="84" t="n"/>
      <c r="V100" s="84" t="n"/>
      <c r="W100" s="84" t="n"/>
      <c r="X100" s="84" t="n"/>
      <c r="Y100" s="84" t="n"/>
      <c r="Z100" s="84" t="n"/>
      <c r="AA100" s="84" t="n"/>
      <c r="AB100" s="84" t="n"/>
      <c r="AC100" s="84" t="n"/>
      <c r="AD100" s="84" t="n"/>
      <c r="AE100" s="84" t="n"/>
    </row>
    <row r="101">
      <c r="B101" s="84" t="n"/>
      <c r="H101" s="84" t="n"/>
      <c r="I101" s="84" t="n"/>
      <c r="J101" s="84" t="n"/>
      <c r="K101" s="84" t="n"/>
      <c r="L101" s="84" t="n"/>
      <c r="M101" s="84" t="n"/>
      <c r="N101" s="84" t="n"/>
      <c r="O101" s="84" t="n"/>
      <c r="P101" s="84" t="n"/>
      <c r="Q101" s="84" t="n"/>
      <c r="R101" s="84" t="n"/>
      <c r="S101" s="84" t="n"/>
      <c r="T101" s="84" t="n"/>
      <c r="U101" s="84" t="n"/>
      <c r="V101" s="84" t="n"/>
      <c r="W101" s="84" t="n"/>
      <c r="X101" s="84" t="n"/>
      <c r="Y101" s="84" t="n"/>
      <c r="Z101" s="84" t="n"/>
      <c r="AA101" s="84" t="n"/>
      <c r="AB101" s="84" t="n"/>
      <c r="AC101" s="84" t="n"/>
      <c r="AD101" s="84" t="n"/>
      <c r="AE101" s="84" t="n"/>
    </row>
    <row r="102">
      <c r="B102" s="84" t="n"/>
      <c r="H102" s="84" t="n"/>
      <c r="I102" s="84" t="n"/>
      <c r="J102" s="84" t="n"/>
      <c r="K102" s="84" t="n"/>
      <c r="L102" s="84" t="n"/>
      <c r="M102" s="84" t="n"/>
      <c r="N102" s="84" t="n"/>
      <c r="O102" s="84" t="n"/>
      <c r="P102" s="84" t="n"/>
      <c r="Q102" s="84" t="n"/>
      <c r="R102" s="84" t="n"/>
      <c r="S102" s="84" t="n"/>
      <c r="T102" s="84" t="n"/>
      <c r="U102" s="84" t="n"/>
      <c r="V102" s="84" t="n"/>
      <c r="W102" s="84" t="n"/>
      <c r="X102" s="84" t="n"/>
      <c r="Y102" s="84" t="n"/>
      <c r="Z102" s="84" t="n"/>
      <c r="AA102" s="84" t="n"/>
      <c r="AB102" s="84" t="n"/>
      <c r="AC102" s="84" t="n"/>
      <c r="AD102" s="84" t="n"/>
      <c r="AE102" s="84" t="n"/>
    </row>
    <row r="103">
      <c r="B103" s="84" t="n"/>
      <c r="H103" s="84" t="n"/>
      <c r="I103" s="84" t="n"/>
      <c r="J103" s="84" t="n"/>
      <c r="K103" s="84" t="n"/>
      <c r="L103" s="84" t="n"/>
      <c r="M103" s="84" t="n"/>
      <c r="N103" s="84" t="n"/>
      <c r="O103" s="84" t="n"/>
      <c r="P103" s="84" t="n"/>
      <c r="Q103" s="84" t="n"/>
      <c r="R103" s="84" t="n"/>
      <c r="S103" s="84" t="n"/>
      <c r="T103" s="84" t="n"/>
      <c r="U103" s="84" t="n"/>
      <c r="V103" s="84" t="n"/>
      <c r="W103" s="84" t="n"/>
      <c r="X103" s="84" t="n"/>
      <c r="Y103" s="84" t="n"/>
      <c r="Z103" s="84" t="n"/>
      <c r="AA103" s="84" t="n"/>
      <c r="AB103" s="84" t="n"/>
      <c r="AC103" s="84" t="n"/>
      <c r="AD103" s="84" t="n"/>
      <c r="AE103" s="84" t="n"/>
    </row>
    <row r="104">
      <c r="B104" s="84" t="n"/>
      <c r="H104" s="84" t="n"/>
      <c r="I104" s="84" t="n"/>
      <c r="J104" s="84" t="n"/>
      <c r="K104" s="84" t="n"/>
      <c r="L104" s="84" t="n"/>
      <c r="M104" s="84" t="n"/>
      <c r="N104" s="84" t="n"/>
      <c r="O104" s="84" t="n"/>
      <c r="P104" s="84" t="n"/>
      <c r="Q104" s="84" t="n"/>
      <c r="R104" s="84" t="n"/>
      <c r="S104" s="84" t="n"/>
      <c r="T104" s="84" t="n"/>
      <c r="U104" s="84" t="n"/>
      <c r="V104" s="84" t="n"/>
      <c r="W104" s="84" t="n"/>
      <c r="X104" s="84" t="n"/>
      <c r="Y104" s="84" t="n"/>
      <c r="Z104" s="84" t="n"/>
      <c r="AA104" s="84" t="n"/>
      <c r="AB104" s="84" t="n"/>
      <c r="AC104" s="84" t="n"/>
      <c r="AD104" s="84" t="n"/>
      <c r="AE104" s="84" t="n"/>
    </row>
    <row r="105">
      <c r="B105" s="84" t="n"/>
      <c r="H105" s="84" t="n"/>
      <c r="I105" s="84" t="n"/>
      <c r="J105" s="84" t="n"/>
      <c r="K105" s="84" t="n"/>
      <c r="L105" s="84" t="n"/>
      <c r="M105" s="84" t="n"/>
      <c r="N105" s="84" t="n"/>
      <c r="O105" s="84" t="n"/>
      <c r="P105" s="84" t="n"/>
      <c r="Q105" s="84" t="n"/>
      <c r="R105" s="84" t="n"/>
      <c r="S105" s="84" t="n"/>
      <c r="T105" s="84" t="n"/>
      <c r="U105" s="84" t="n"/>
      <c r="V105" s="84" t="n"/>
      <c r="W105" s="84" t="n"/>
      <c r="X105" s="84" t="n"/>
      <c r="Y105" s="84" t="n"/>
      <c r="Z105" s="84" t="n"/>
      <c r="AA105" s="84" t="n"/>
      <c r="AB105" s="84" t="n"/>
      <c r="AC105" s="84" t="n"/>
      <c r="AD105" s="84" t="n"/>
      <c r="AE105" s="84" t="n"/>
    </row>
    <row r="106">
      <c r="B106" s="84" t="n"/>
      <c r="H106" s="84" t="n"/>
      <c r="I106" s="84" t="n"/>
      <c r="J106" s="84" t="n"/>
      <c r="K106" s="84" t="n"/>
      <c r="L106" s="84" t="n"/>
      <c r="M106" s="84" t="n"/>
      <c r="N106" s="84" t="n"/>
      <c r="O106" s="84" t="n"/>
      <c r="P106" s="84" t="n"/>
      <c r="Q106" s="84" t="n"/>
      <c r="R106" s="84" t="n"/>
      <c r="S106" s="84" t="n"/>
      <c r="T106" s="84" t="n"/>
      <c r="U106" s="84" t="n"/>
      <c r="V106" s="84" t="n"/>
      <c r="W106" s="84" t="n"/>
      <c r="X106" s="84" t="n"/>
      <c r="Y106" s="84" t="n"/>
      <c r="Z106" s="84" t="n"/>
      <c r="AA106" s="84" t="n"/>
      <c r="AB106" s="84" t="n"/>
      <c r="AC106" s="84" t="n"/>
      <c r="AD106" s="84" t="n"/>
      <c r="AE106" s="84" t="n"/>
    </row>
    <row r="107">
      <c r="B107" s="84" t="n"/>
      <c r="H107" s="84" t="n"/>
      <c r="I107" s="84" t="n"/>
      <c r="J107" s="84" t="n"/>
      <c r="K107" s="84" t="n"/>
      <c r="L107" s="84" t="n"/>
      <c r="M107" s="84" t="n"/>
      <c r="N107" s="84" t="n"/>
      <c r="O107" s="84" t="n"/>
      <c r="P107" s="84" t="n"/>
      <c r="Q107" s="84" t="n"/>
      <c r="R107" s="84" t="n"/>
      <c r="S107" s="84" t="n"/>
      <c r="T107" s="84" t="n"/>
      <c r="U107" s="84" t="n"/>
      <c r="V107" s="84" t="n"/>
      <c r="W107" s="84" t="n"/>
      <c r="X107" s="84" t="n"/>
      <c r="Y107" s="84" t="n"/>
      <c r="Z107" s="84" t="n"/>
      <c r="AA107" s="84" t="n"/>
      <c r="AB107" s="84" t="n"/>
      <c r="AC107" s="84" t="n"/>
      <c r="AD107" s="84" t="n"/>
      <c r="AE107" s="84" t="n"/>
    </row>
    <row r="108">
      <c r="B108" s="84" t="n"/>
      <c r="H108" s="84" t="n"/>
      <c r="I108" s="84" t="n"/>
      <c r="J108" s="84" t="n"/>
      <c r="K108" s="84" t="n"/>
      <c r="L108" s="84" t="n"/>
      <c r="M108" s="84" t="n"/>
      <c r="N108" s="84" t="n"/>
      <c r="O108" s="84" t="n"/>
      <c r="P108" s="84" t="n"/>
      <c r="Q108" s="84" t="n"/>
      <c r="R108" s="84" t="n"/>
      <c r="S108" s="84" t="n"/>
      <c r="T108" s="84" t="n"/>
      <c r="U108" s="84" t="n"/>
      <c r="V108" s="84" t="n"/>
      <c r="W108" s="84" t="n"/>
      <c r="X108" s="84" t="n"/>
      <c r="Y108" s="84" t="n"/>
      <c r="Z108" s="84" t="n"/>
      <c r="AA108" s="84" t="n"/>
      <c r="AB108" s="84" t="n"/>
      <c r="AC108" s="84" t="n"/>
      <c r="AD108" s="84" t="n"/>
      <c r="AE108" s="84" t="n"/>
    </row>
    <row r="109">
      <c r="B109" s="84" t="n"/>
      <c r="H109" s="84" t="n"/>
      <c r="I109" s="84" t="n"/>
      <c r="J109" s="84" t="n"/>
      <c r="K109" s="84" t="n"/>
      <c r="L109" s="84" t="n"/>
      <c r="M109" s="84" t="n"/>
      <c r="N109" s="84" t="n"/>
      <c r="O109" s="84" t="n"/>
      <c r="P109" s="84" t="n"/>
      <c r="Q109" s="84" t="n"/>
      <c r="R109" s="84" t="n"/>
      <c r="S109" s="84" t="n"/>
      <c r="T109" s="84" t="n"/>
      <c r="U109" s="84" t="n"/>
      <c r="V109" s="84" t="n"/>
      <c r="W109" s="84" t="n"/>
      <c r="X109" s="84" t="n"/>
      <c r="Y109" s="84" t="n"/>
      <c r="Z109" s="84" t="n"/>
      <c r="AA109" s="84" t="n"/>
      <c r="AB109" s="84" t="n"/>
      <c r="AC109" s="84" t="n"/>
      <c r="AD109" s="84" t="n"/>
      <c r="AE109" s="84" t="n"/>
    </row>
    <row r="110">
      <c r="B110" s="84" t="n"/>
      <c r="H110" s="84" t="n"/>
      <c r="I110" s="84" t="n"/>
      <c r="J110" s="84" t="n"/>
      <c r="K110" s="84" t="n"/>
      <c r="L110" s="84" t="n"/>
      <c r="M110" s="84" t="n"/>
      <c r="N110" s="84" t="n"/>
      <c r="O110" s="84" t="n"/>
      <c r="P110" s="84" t="n"/>
      <c r="Q110" s="84" t="n"/>
      <c r="R110" s="84" t="n"/>
      <c r="S110" s="84" t="n"/>
      <c r="T110" s="84" t="n"/>
      <c r="U110" s="84" t="n"/>
      <c r="V110" s="84" t="n"/>
      <c r="W110" s="84" t="n"/>
      <c r="X110" s="84" t="n"/>
      <c r="Y110" s="84" t="n"/>
      <c r="Z110" s="84" t="n"/>
      <c r="AA110" s="84" t="n"/>
      <c r="AB110" s="84" t="n"/>
      <c r="AC110" s="84" t="n"/>
      <c r="AD110" s="84" t="n"/>
      <c r="AE110" s="84" t="n"/>
    </row>
    <row r="111">
      <c r="B111" s="84" t="n"/>
      <c r="H111" s="84" t="n"/>
      <c r="I111" s="84" t="n"/>
      <c r="J111" s="84" t="n"/>
      <c r="K111" s="84" t="n"/>
      <c r="L111" s="84" t="n"/>
      <c r="M111" s="84" t="n"/>
      <c r="N111" s="84" t="n"/>
      <c r="O111" s="84" t="n"/>
      <c r="P111" s="84" t="n"/>
      <c r="Q111" s="84" t="n"/>
      <c r="R111" s="84" t="n"/>
      <c r="S111" s="84" t="n"/>
      <c r="T111" s="84" t="n"/>
      <c r="U111" s="84" t="n"/>
      <c r="V111" s="84" t="n"/>
      <c r="W111" s="84" t="n"/>
      <c r="X111" s="84" t="n"/>
      <c r="Y111" s="84" t="n"/>
      <c r="Z111" s="84" t="n"/>
      <c r="AA111" s="84" t="n"/>
      <c r="AB111" s="84" t="n"/>
      <c r="AC111" s="84" t="n"/>
      <c r="AD111" s="84" t="n"/>
      <c r="AE111" s="84" t="n"/>
    </row>
    <row r="112">
      <c r="B112" s="84" t="n"/>
      <c r="H112" s="84" t="n"/>
      <c r="I112" s="84" t="n"/>
      <c r="J112" s="84" t="n"/>
      <c r="K112" s="84" t="n"/>
      <c r="L112" s="84" t="n"/>
      <c r="M112" s="84" t="n"/>
      <c r="N112" s="84" t="n"/>
      <c r="O112" s="84" t="n"/>
      <c r="P112" s="84" t="n"/>
      <c r="Q112" s="84" t="n"/>
      <c r="R112" s="84" t="n"/>
      <c r="S112" s="84" t="n"/>
      <c r="T112" s="84" t="n"/>
      <c r="U112" s="84" t="n"/>
      <c r="V112" s="84" t="n"/>
      <c r="W112" s="84" t="n"/>
      <c r="X112" s="84" t="n"/>
      <c r="Y112" s="84" t="n"/>
      <c r="Z112" s="84" t="n"/>
      <c r="AA112" s="84" t="n"/>
      <c r="AB112" s="84" t="n"/>
      <c r="AC112" s="84" t="n"/>
      <c r="AD112" s="84" t="n"/>
      <c r="AE112" s="84" t="n"/>
    </row>
    <row r="113">
      <c r="B113" s="84" t="n"/>
      <c r="H113" s="84" t="n"/>
      <c r="I113" s="84" t="n"/>
      <c r="J113" s="84" t="n"/>
      <c r="K113" s="84" t="n"/>
      <c r="L113" s="84" t="n"/>
      <c r="M113" s="84" t="n"/>
      <c r="N113" s="84" t="n"/>
      <c r="O113" s="84" t="n"/>
      <c r="P113" s="84" t="n"/>
      <c r="Q113" s="84" t="n"/>
      <c r="R113" s="84" t="n"/>
      <c r="S113" s="84" t="n"/>
      <c r="T113" s="84" t="n"/>
      <c r="U113" s="84" t="n"/>
      <c r="V113" s="84" t="n"/>
      <c r="W113" s="84" t="n"/>
      <c r="X113" s="84" t="n"/>
      <c r="Y113" s="84" t="n"/>
      <c r="Z113" s="84" t="n"/>
      <c r="AA113" s="84" t="n"/>
      <c r="AB113" s="84" t="n"/>
      <c r="AC113" s="84" t="n"/>
      <c r="AD113" s="84" t="n"/>
      <c r="AE113" s="84" t="n"/>
    </row>
    <row r="114">
      <c r="B114" s="84" t="n"/>
      <c r="H114" s="84" t="n"/>
      <c r="I114" s="84" t="n"/>
      <c r="J114" s="84" t="n"/>
      <c r="K114" s="84" t="n"/>
      <c r="L114" s="84" t="n"/>
      <c r="M114" s="84" t="n"/>
      <c r="N114" s="84" t="n"/>
      <c r="O114" s="84" t="n"/>
      <c r="P114" s="84" t="n"/>
      <c r="Q114" s="84" t="n"/>
      <c r="R114" s="84" t="n"/>
      <c r="S114" s="84" t="n"/>
      <c r="T114" s="84" t="n"/>
      <c r="U114" s="84" t="n"/>
      <c r="V114" s="84" t="n"/>
      <c r="W114" s="84" t="n"/>
      <c r="X114" s="84" t="n"/>
      <c r="Y114" s="84" t="n"/>
      <c r="Z114" s="84" t="n"/>
      <c r="AA114" s="84" t="n"/>
      <c r="AB114" s="84" t="n"/>
      <c r="AC114" s="84" t="n"/>
      <c r="AD114" s="84" t="n"/>
      <c r="AE114" s="84" t="n"/>
    </row>
    <row r="115">
      <c r="B115" s="84" t="n"/>
      <c r="H115" s="84" t="n"/>
      <c r="I115" s="84" t="n"/>
      <c r="J115" s="84" t="n"/>
      <c r="K115" s="84" t="n"/>
      <c r="L115" s="84" t="n"/>
      <c r="M115" s="84" t="n"/>
      <c r="N115" s="84" t="n"/>
      <c r="O115" s="84" t="n"/>
      <c r="P115" s="84" t="n"/>
      <c r="Q115" s="84" t="n"/>
      <c r="R115" s="84" t="n"/>
      <c r="S115" s="84" t="n"/>
      <c r="T115" s="84" t="n"/>
      <c r="U115" s="84" t="n"/>
      <c r="V115" s="84" t="n"/>
      <c r="W115" s="84" t="n"/>
      <c r="X115" s="84" t="n"/>
      <c r="Y115" s="84" t="n"/>
      <c r="Z115" s="84" t="n"/>
      <c r="AA115" s="84" t="n"/>
      <c r="AB115" s="84" t="n"/>
      <c r="AC115" s="84" t="n"/>
      <c r="AD115" s="84" t="n"/>
      <c r="AE115" s="84" t="n"/>
    </row>
    <row r="116">
      <c r="B116" s="84" t="n"/>
      <c r="H116" s="84" t="n"/>
      <c r="I116" s="84" t="n"/>
      <c r="J116" s="84" t="n"/>
      <c r="K116" s="84" t="n"/>
      <c r="L116" s="84" t="n"/>
      <c r="M116" s="84" t="n"/>
      <c r="N116" s="84" t="n"/>
      <c r="O116" s="84" t="n"/>
      <c r="P116" s="84" t="n"/>
      <c r="Q116" s="84" t="n"/>
      <c r="R116" s="84" t="n"/>
      <c r="S116" s="84" t="n"/>
      <c r="T116" s="84" t="n"/>
      <c r="U116" s="84" t="n"/>
      <c r="V116" s="84" t="n"/>
      <c r="W116" s="84" t="n"/>
      <c r="X116" s="84" t="n"/>
      <c r="Y116" s="84" t="n"/>
      <c r="Z116" s="84" t="n"/>
      <c r="AA116" s="84" t="n"/>
      <c r="AB116" s="84" t="n"/>
      <c r="AC116" s="84" t="n"/>
      <c r="AD116" s="84" t="n"/>
      <c r="AE116" s="84" t="n"/>
    </row>
    <row r="117">
      <c r="B117" s="84" t="n"/>
      <c r="H117" s="84" t="n"/>
      <c r="I117" s="84" t="n"/>
      <c r="J117" s="84" t="n"/>
      <c r="K117" s="84" t="n"/>
      <c r="L117" s="84" t="n"/>
      <c r="M117" s="84" t="n"/>
      <c r="N117" s="84" t="n"/>
      <c r="O117" s="84" t="n"/>
      <c r="P117" s="84" t="n"/>
      <c r="Q117" s="84" t="n"/>
      <c r="R117" s="84" t="n"/>
      <c r="S117" s="84" t="n"/>
      <c r="T117" s="84" t="n"/>
      <c r="U117" s="84" t="n"/>
      <c r="V117" s="84" t="n"/>
      <c r="W117" s="84" t="n"/>
      <c r="X117" s="84" t="n"/>
      <c r="Y117" s="84" t="n"/>
      <c r="Z117" s="84" t="n"/>
      <c r="AA117" s="84" t="n"/>
      <c r="AB117" s="84" t="n"/>
      <c r="AC117" s="84" t="n"/>
      <c r="AD117" s="84" t="n"/>
      <c r="AE117" s="84" t="n"/>
    </row>
    <row r="118">
      <c r="B118" s="84" t="n"/>
      <c r="H118" s="84" t="n"/>
      <c r="I118" s="84" t="n"/>
      <c r="J118" s="84" t="n"/>
      <c r="K118" s="84" t="n"/>
      <c r="L118" s="84" t="n"/>
      <c r="M118" s="84" t="n"/>
      <c r="N118" s="84" t="n"/>
      <c r="O118" s="84" t="n"/>
      <c r="P118" s="84" t="n"/>
      <c r="Q118" s="84" t="n"/>
      <c r="R118" s="84" t="n"/>
      <c r="S118" s="84" t="n"/>
      <c r="T118" s="84" t="n"/>
      <c r="U118" s="84" t="n"/>
      <c r="V118" s="84" t="n"/>
      <c r="W118" s="84" t="n"/>
      <c r="X118" s="84" t="n"/>
      <c r="Y118" s="84" t="n"/>
      <c r="Z118" s="84" t="n"/>
      <c r="AA118" s="84" t="n"/>
      <c r="AB118" s="84" t="n"/>
      <c r="AC118" s="84" t="n"/>
      <c r="AD118" s="84" t="n"/>
      <c r="AE118" s="84" t="n"/>
    </row>
    <row r="119">
      <c r="B119" s="84" t="n"/>
      <c r="H119" s="84" t="n"/>
      <c r="I119" s="84" t="n"/>
      <c r="J119" s="84" t="n"/>
      <c r="K119" s="84" t="n"/>
      <c r="L119" s="84" t="n"/>
      <c r="M119" s="84" t="n"/>
      <c r="N119" s="84" t="n"/>
      <c r="O119" s="84" t="n"/>
      <c r="P119" s="84" t="n"/>
      <c r="Q119" s="84" t="n"/>
      <c r="R119" s="84" t="n"/>
      <c r="S119" s="84" t="n"/>
      <c r="T119" s="84" t="n"/>
      <c r="U119" s="84" t="n"/>
      <c r="V119" s="84" t="n"/>
      <c r="W119" s="84" t="n"/>
      <c r="X119" s="84" t="n"/>
      <c r="Y119" s="84" t="n"/>
      <c r="Z119" s="84" t="n"/>
      <c r="AA119" s="84" t="n"/>
      <c r="AB119" s="84" t="n"/>
      <c r="AC119" s="84" t="n"/>
      <c r="AD119" s="84" t="n"/>
      <c r="AE119" s="84" t="n"/>
    </row>
    <row r="120">
      <c r="B120" s="84" t="n"/>
      <c r="H120" s="84" t="n"/>
      <c r="I120" s="84" t="n"/>
      <c r="J120" s="84" t="n"/>
      <c r="K120" s="84" t="n"/>
      <c r="L120" s="84" t="n"/>
      <c r="M120" s="84" t="n"/>
      <c r="N120" s="84" t="n"/>
      <c r="O120" s="84" t="n"/>
      <c r="P120" s="84" t="n"/>
      <c r="Q120" s="84" t="n"/>
      <c r="R120" s="84" t="n"/>
      <c r="S120" s="84" t="n"/>
      <c r="T120" s="84" t="n"/>
      <c r="U120" s="84" t="n"/>
      <c r="V120" s="84" t="n"/>
      <c r="W120" s="84" t="n"/>
      <c r="X120" s="84" t="n"/>
      <c r="Y120" s="84" t="n"/>
      <c r="Z120" s="84" t="n"/>
      <c r="AA120" s="84" t="n"/>
      <c r="AB120" s="84" t="n"/>
      <c r="AC120" s="84" t="n"/>
      <c r="AD120" s="84" t="n"/>
      <c r="AE120" s="84" t="n"/>
    </row>
    <row r="121">
      <c r="B121" s="84" t="n"/>
      <c r="H121" s="84" t="n"/>
      <c r="I121" s="84" t="n"/>
      <c r="J121" s="84" t="n"/>
      <c r="K121" s="84" t="n"/>
      <c r="L121" s="84" t="n"/>
      <c r="M121" s="84" t="n"/>
      <c r="N121" s="84" t="n"/>
      <c r="O121" s="84" t="n"/>
      <c r="P121" s="84" t="n"/>
      <c r="Q121" s="84" t="n"/>
      <c r="R121" s="84" t="n"/>
      <c r="S121" s="84" t="n"/>
      <c r="T121" s="84" t="n"/>
      <c r="U121" s="84" t="n"/>
      <c r="V121" s="84" t="n"/>
      <c r="W121" s="84" t="n"/>
      <c r="X121" s="84" t="n"/>
      <c r="Y121" s="84" t="n"/>
      <c r="Z121" s="84" t="n"/>
      <c r="AA121" s="84" t="n"/>
      <c r="AB121" s="84" t="n"/>
      <c r="AC121" s="84" t="n"/>
      <c r="AD121" s="84" t="n"/>
      <c r="AE121" s="84" t="n"/>
    </row>
    <row r="122">
      <c r="B122" s="84" t="n"/>
      <c r="H122" s="84" t="n"/>
      <c r="I122" s="84" t="n"/>
      <c r="J122" s="84" t="n"/>
      <c r="K122" s="84" t="n"/>
      <c r="L122" s="84" t="n"/>
      <c r="M122" s="84" t="n"/>
      <c r="N122" s="84" t="n"/>
      <c r="O122" s="84" t="n"/>
      <c r="P122" s="84" t="n"/>
      <c r="Q122" s="84" t="n"/>
      <c r="R122" s="84" t="n"/>
      <c r="S122" s="84" t="n"/>
      <c r="T122" s="84" t="n"/>
      <c r="U122" s="84" t="n"/>
      <c r="V122" s="84" t="n"/>
      <c r="W122" s="84" t="n"/>
      <c r="X122" s="84" t="n"/>
      <c r="Y122" s="84" t="n"/>
      <c r="Z122" s="84" t="n"/>
      <c r="AA122" s="84" t="n"/>
      <c r="AB122" s="84" t="n"/>
      <c r="AC122" s="84" t="n"/>
      <c r="AD122" s="84" t="n"/>
      <c r="AE122" s="84" t="n"/>
    </row>
    <row r="123">
      <c r="B123" s="84" t="n"/>
      <c r="H123" s="84" t="n"/>
      <c r="I123" s="84" t="n"/>
      <c r="J123" s="84" t="n"/>
      <c r="K123" s="84" t="n"/>
      <c r="L123" s="84" t="n"/>
      <c r="M123" s="84" t="n"/>
      <c r="N123" s="84" t="n"/>
      <c r="O123" s="84" t="n"/>
      <c r="P123" s="84" t="n"/>
      <c r="Q123" s="84" t="n"/>
      <c r="R123" s="84" t="n"/>
      <c r="S123" s="84" t="n"/>
      <c r="T123" s="84" t="n"/>
      <c r="U123" s="84" t="n"/>
      <c r="V123" s="84" t="n"/>
      <c r="W123" s="84" t="n"/>
      <c r="X123" s="84" t="n"/>
      <c r="Y123" s="84" t="n"/>
      <c r="Z123" s="84" t="n"/>
      <c r="AA123" s="84" t="n"/>
      <c r="AB123" s="84" t="n"/>
      <c r="AC123" s="84" t="n"/>
      <c r="AD123" s="84" t="n"/>
      <c r="AE123" s="84" t="n"/>
    </row>
    <row r="124">
      <c r="B124" s="84" t="n"/>
      <c r="H124" s="84" t="n"/>
      <c r="I124" s="84" t="n"/>
      <c r="J124" s="84" t="n"/>
      <c r="K124" s="84" t="n"/>
      <c r="L124" s="84" t="n"/>
      <c r="M124" s="84" t="n"/>
      <c r="N124" s="84" t="n"/>
      <c r="O124" s="84" t="n"/>
      <c r="P124" s="84" t="n"/>
      <c r="Q124" s="84" t="n"/>
      <c r="R124" s="84" t="n"/>
      <c r="S124" s="84" t="n"/>
      <c r="T124" s="84" t="n"/>
      <c r="U124" s="84" t="n"/>
      <c r="V124" s="84" t="n"/>
      <c r="W124" s="84" t="n"/>
      <c r="X124" s="84" t="n"/>
      <c r="Y124" s="84" t="n"/>
      <c r="Z124" s="84" t="n"/>
      <c r="AA124" s="84" t="n"/>
      <c r="AB124" s="84" t="n"/>
      <c r="AC124" s="84" t="n"/>
      <c r="AD124" s="84" t="n"/>
      <c r="AE124" s="84" t="n"/>
    </row>
    <row r="125">
      <c r="B125" s="84" t="n"/>
      <c r="H125" s="84" t="n"/>
      <c r="I125" s="84" t="n"/>
      <c r="J125" s="84" t="n"/>
      <c r="K125" s="84" t="n"/>
      <c r="L125" s="84" t="n"/>
      <c r="M125" s="84" t="n"/>
      <c r="N125" s="84" t="n"/>
      <c r="O125" s="84" t="n"/>
      <c r="P125" s="84" t="n"/>
      <c r="Q125" s="84" t="n"/>
      <c r="R125" s="84" t="n"/>
      <c r="S125" s="84" t="n"/>
      <c r="T125" s="84" t="n"/>
      <c r="U125" s="84" t="n"/>
      <c r="V125" s="84" t="n"/>
      <c r="W125" s="84" t="n"/>
      <c r="X125" s="84" t="n"/>
      <c r="Y125" s="84" t="n"/>
      <c r="Z125" s="84" t="n"/>
      <c r="AA125" s="84" t="n"/>
      <c r="AB125" s="84" t="n"/>
      <c r="AC125" s="84" t="n"/>
      <c r="AD125" s="84" t="n"/>
      <c r="AE125" s="84" t="n"/>
    </row>
    <row r="126">
      <c r="B126" s="84" t="n"/>
      <c r="H126" s="84" t="n"/>
      <c r="I126" s="84" t="n"/>
      <c r="J126" s="84" t="n"/>
      <c r="K126" s="84" t="n"/>
      <c r="L126" s="84" t="n"/>
      <c r="M126" s="84" t="n"/>
      <c r="N126" s="84" t="n"/>
      <c r="O126" s="84" t="n"/>
      <c r="P126" s="84" t="n"/>
      <c r="Q126" s="84" t="n"/>
      <c r="R126" s="84" t="n"/>
      <c r="S126" s="84" t="n"/>
      <c r="T126" s="84" t="n"/>
      <c r="U126" s="84" t="n"/>
      <c r="V126" s="84" t="n"/>
      <c r="W126" s="84" t="n"/>
      <c r="X126" s="84" t="n"/>
      <c r="Y126" s="84" t="n"/>
      <c r="Z126" s="84" t="n"/>
      <c r="AA126" s="84" t="n"/>
      <c r="AB126" s="84" t="n"/>
      <c r="AC126" s="84" t="n"/>
      <c r="AD126" s="84" t="n"/>
      <c r="AE126" s="84" t="n"/>
    </row>
    <row r="127">
      <c r="B127" s="84" t="n"/>
      <c r="H127" s="84" t="n"/>
      <c r="I127" s="84" t="n"/>
      <c r="J127" s="84" t="n"/>
      <c r="K127" s="84" t="n"/>
      <c r="L127" s="84" t="n"/>
      <c r="M127" s="84" t="n"/>
      <c r="N127" s="84" t="n"/>
      <c r="O127" s="84" t="n"/>
      <c r="P127" s="84" t="n"/>
      <c r="Q127" s="84" t="n"/>
      <c r="R127" s="84" t="n"/>
      <c r="S127" s="84" t="n"/>
      <c r="T127" s="84" t="n"/>
      <c r="U127" s="84" t="n"/>
      <c r="V127" s="84" t="n"/>
      <c r="W127" s="84" t="n"/>
      <c r="X127" s="84" t="n"/>
      <c r="Y127" s="84" t="n"/>
      <c r="Z127" s="84" t="n"/>
      <c r="AA127" s="84" t="n"/>
      <c r="AB127" s="84" t="n"/>
      <c r="AC127" s="84" t="n"/>
      <c r="AD127" s="84" t="n"/>
      <c r="AE127" s="84" t="n"/>
    </row>
    <row r="128">
      <c r="B128" s="84" t="n"/>
      <c r="H128" s="84" t="n"/>
      <c r="I128" s="84" t="n"/>
      <c r="J128" s="84" t="n"/>
      <c r="K128" s="84" t="n"/>
      <c r="L128" s="84" t="n"/>
      <c r="M128" s="84" t="n"/>
      <c r="N128" s="84" t="n"/>
      <c r="O128" s="84" t="n"/>
      <c r="P128" s="84" t="n"/>
      <c r="Q128" s="84" t="n"/>
      <c r="R128" s="84" t="n"/>
      <c r="S128" s="84" t="n"/>
      <c r="T128" s="84" t="n"/>
      <c r="U128" s="84" t="n"/>
      <c r="V128" s="84" t="n"/>
      <c r="W128" s="84" t="n"/>
      <c r="X128" s="84" t="n"/>
      <c r="Y128" s="84" t="n"/>
      <c r="Z128" s="84" t="n"/>
      <c r="AA128" s="84" t="n"/>
      <c r="AB128" s="84" t="n"/>
      <c r="AC128" s="84" t="n"/>
      <c r="AD128" s="84" t="n"/>
      <c r="AE128" s="84" t="n"/>
    </row>
    <row r="129">
      <c r="B129" s="84" t="n"/>
      <c r="H129" s="84" t="n"/>
      <c r="I129" s="84" t="n"/>
      <c r="J129" s="84" t="n"/>
      <c r="K129" s="84" t="n"/>
      <c r="L129" s="84" t="n"/>
      <c r="M129" s="84" t="n"/>
      <c r="N129" s="84" t="n"/>
      <c r="O129" s="84" t="n"/>
      <c r="P129" s="84" t="n"/>
      <c r="Q129" s="84" t="n"/>
      <c r="R129" s="84" t="n"/>
      <c r="S129" s="84" t="n"/>
      <c r="T129" s="84" t="n"/>
      <c r="U129" s="84" t="n"/>
      <c r="V129" s="84" t="n"/>
      <c r="W129" s="84" t="n"/>
      <c r="X129" s="84" t="n"/>
      <c r="Y129" s="84" t="n"/>
      <c r="Z129" s="84" t="n"/>
      <c r="AA129" s="84" t="n"/>
      <c r="AB129" s="84" t="n"/>
      <c r="AC129" s="84" t="n"/>
      <c r="AD129" s="84" t="n"/>
      <c r="AE129" s="84" t="n"/>
    </row>
    <row r="130">
      <c r="B130" s="84" t="n"/>
      <c r="H130" s="84" t="n"/>
      <c r="I130" s="84" t="n"/>
      <c r="J130" s="84" t="n"/>
      <c r="K130" s="84" t="n"/>
      <c r="L130" s="84" t="n"/>
      <c r="M130" s="84" t="n"/>
      <c r="N130" s="84" t="n"/>
      <c r="O130" s="84" t="n"/>
      <c r="P130" s="84" t="n"/>
      <c r="Q130" s="84" t="n"/>
      <c r="R130" s="84" t="n"/>
      <c r="S130" s="84" t="n"/>
      <c r="T130" s="84" t="n"/>
      <c r="U130" s="84" t="n"/>
      <c r="V130" s="84" t="n"/>
      <c r="W130" s="84" t="n"/>
      <c r="X130" s="84" t="n"/>
      <c r="Y130" s="84" t="n"/>
      <c r="Z130" s="84" t="n"/>
      <c r="AA130" s="84" t="n"/>
      <c r="AB130" s="84" t="n"/>
      <c r="AC130" s="84" t="n"/>
      <c r="AD130" s="84" t="n"/>
      <c r="AE130" s="84" t="n"/>
    </row>
    <row r="131">
      <c r="B131" s="84" t="n"/>
      <c r="H131" s="84" t="n"/>
      <c r="I131" s="84" t="n"/>
      <c r="J131" s="84" t="n"/>
      <c r="K131" s="84" t="n"/>
      <c r="L131" s="84" t="n"/>
      <c r="M131" s="84" t="n"/>
      <c r="N131" s="84" t="n"/>
      <c r="O131" s="84" t="n"/>
      <c r="P131" s="84" t="n"/>
      <c r="Q131" s="84" t="n"/>
      <c r="R131" s="84" t="n"/>
      <c r="S131" s="84" t="n"/>
      <c r="T131" s="84" t="n"/>
      <c r="U131" s="84" t="n"/>
      <c r="V131" s="84" t="n"/>
      <c r="W131" s="84" t="n"/>
      <c r="X131" s="84" t="n"/>
      <c r="Y131" s="84" t="n"/>
      <c r="Z131" s="84" t="n"/>
      <c r="AA131" s="84" t="n"/>
      <c r="AB131" s="84" t="n"/>
      <c r="AC131" s="84" t="n"/>
      <c r="AD131" s="84" t="n"/>
      <c r="AE131" s="84" t="n"/>
    </row>
    <row r="132">
      <c r="B132" s="84" t="n"/>
      <c r="H132" s="84" t="n"/>
      <c r="I132" s="84" t="n"/>
      <c r="J132" s="84" t="n"/>
      <c r="K132" s="84" t="n"/>
      <c r="L132" s="84" t="n"/>
      <c r="M132" s="84" t="n"/>
      <c r="N132" s="84" t="n"/>
      <c r="O132" s="84" t="n"/>
      <c r="P132" s="84" t="n"/>
      <c r="Q132" s="84" t="n"/>
      <c r="R132" s="84" t="n"/>
      <c r="S132" s="84" t="n"/>
      <c r="T132" s="84" t="n"/>
      <c r="U132" s="84" t="n"/>
      <c r="V132" s="84" t="n"/>
      <c r="W132" s="84" t="n"/>
      <c r="X132" s="84" t="n"/>
      <c r="Y132" s="84" t="n"/>
      <c r="Z132" s="84" t="n"/>
      <c r="AA132" s="84" t="n"/>
      <c r="AB132" s="84" t="n"/>
      <c r="AC132" s="84" t="n"/>
      <c r="AD132" s="84" t="n"/>
      <c r="AE132" s="84" t="n"/>
    </row>
    <row r="133">
      <c r="B133" s="84" t="n"/>
      <c r="H133" s="84" t="n"/>
      <c r="I133" s="84" t="n"/>
      <c r="J133" s="84" t="n"/>
      <c r="K133" s="84" t="n"/>
      <c r="L133" s="84" t="n"/>
      <c r="M133" s="84" t="n"/>
      <c r="N133" s="84" t="n"/>
      <c r="O133" s="84" t="n"/>
      <c r="P133" s="84" t="n"/>
      <c r="Q133" s="84" t="n"/>
      <c r="R133" s="84" t="n"/>
      <c r="S133" s="84" t="n"/>
      <c r="T133" s="84" t="n"/>
      <c r="U133" s="84" t="n"/>
      <c r="V133" s="84" t="n"/>
      <c r="W133" s="84" t="n"/>
      <c r="X133" s="84" t="n"/>
      <c r="Y133" s="84" t="n"/>
      <c r="Z133" s="84" t="n"/>
      <c r="AA133" s="84" t="n"/>
      <c r="AB133" s="84" t="n"/>
      <c r="AC133" s="84" t="n"/>
      <c r="AD133" s="84" t="n"/>
      <c r="AE133" s="84" t="n"/>
    </row>
    <row r="134">
      <c r="B134" s="84" t="n"/>
      <c r="H134" s="84" t="n"/>
      <c r="I134" s="84" t="n"/>
      <c r="J134" s="84" t="n"/>
      <c r="K134" s="84" t="n"/>
      <c r="L134" s="84" t="n"/>
      <c r="M134" s="84" t="n"/>
      <c r="N134" s="84" t="n"/>
      <c r="O134" s="84" t="n"/>
      <c r="P134" s="84" t="n"/>
      <c r="Q134" s="84" t="n"/>
      <c r="R134" s="84" t="n"/>
      <c r="S134" s="84" t="n"/>
      <c r="T134" s="84" t="n"/>
      <c r="U134" s="84" t="n"/>
      <c r="V134" s="84" t="n"/>
      <c r="W134" s="84" t="n"/>
      <c r="X134" s="84" t="n"/>
      <c r="Y134" s="84" t="n"/>
      <c r="Z134" s="84" t="n"/>
      <c r="AA134" s="84" t="n"/>
      <c r="AB134" s="84" t="n"/>
      <c r="AC134" s="84" t="n"/>
      <c r="AD134" s="84" t="n"/>
      <c r="AE134" s="84" t="n"/>
    </row>
    <row r="135">
      <c r="B135" s="84" t="n"/>
      <c r="H135" s="84" t="n"/>
      <c r="I135" s="84" t="n"/>
      <c r="J135" s="84" t="n"/>
      <c r="K135" s="84" t="n"/>
      <c r="L135" s="84" t="n"/>
      <c r="M135" s="84" t="n"/>
      <c r="N135" s="84" t="n"/>
      <c r="O135" s="84" t="n"/>
      <c r="P135" s="84" t="n"/>
      <c r="Q135" s="84" t="n"/>
      <c r="R135" s="84" t="n"/>
      <c r="S135" s="84" t="n"/>
      <c r="T135" s="84" t="n"/>
      <c r="U135" s="84" t="n"/>
      <c r="V135" s="84" t="n"/>
      <c r="W135" s="84" t="n"/>
      <c r="X135" s="84" t="n"/>
      <c r="Y135" s="84" t="n"/>
      <c r="Z135" s="84" t="n"/>
      <c r="AA135" s="84" t="n"/>
      <c r="AB135" s="84" t="n"/>
      <c r="AC135" s="84" t="n"/>
      <c r="AD135" s="84" t="n"/>
      <c r="AE135" s="84" t="n"/>
    </row>
    <row r="136">
      <c r="B136" s="84" t="n"/>
      <c r="H136" s="84" t="n"/>
      <c r="I136" s="84" t="n"/>
      <c r="J136" s="84" t="n"/>
      <c r="K136" s="84" t="n"/>
      <c r="L136" s="84" t="n"/>
      <c r="M136" s="84" t="n"/>
      <c r="N136" s="84" t="n"/>
      <c r="O136" s="84" t="n"/>
      <c r="P136" s="84" t="n"/>
      <c r="Q136" s="84" t="n"/>
      <c r="R136" s="84" t="n"/>
      <c r="S136" s="84" t="n"/>
      <c r="T136" s="84" t="n"/>
      <c r="U136" s="84" t="n"/>
      <c r="V136" s="84" t="n"/>
      <c r="W136" s="84" t="n"/>
      <c r="X136" s="84" t="n"/>
      <c r="Y136" s="84" t="n"/>
      <c r="Z136" s="84" t="n"/>
      <c r="AA136" s="84" t="n"/>
      <c r="AB136" s="84" t="n"/>
      <c r="AC136" s="84" t="n"/>
      <c r="AD136" s="84" t="n"/>
      <c r="AE136" s="84" t="n"/>
    </row>
    <row r="137">
      <c r="B137" s="84" t="n"/>
      <c r="H137" s="84" t="n"/>
      <c r="I137" s="84" t="n"/>
      <c r="J137" s="84" t="n"/>
      <c r="K137" s="84" t="n"/>
      <c r="L137" s="84" t="n"/>
      <c r="M137" s="84" t="n"/>
      <c r="N137" s="84" t="n"/>
      <c r="O137" s="84" t="n"/>
      <c r="P137" s="84" t="n"/>
      <c r="Q137" s="84" t="n"/>
      <c r="R137" s="84" t="n"/>
      <c r="S137" s="84" t="n"/>
      <c r="T137" s="84" t="n"/>
      <c r="U137" s="84" t="n"/>
      <c r="V137" s="84" t="n"/>
      <c r="W137" s="84" t="n"/>
      <c r="X137" s="84" t="n"/>
      <c r="Y137" s="84" t="n"/>
      <c r="Z137" s="84" t="n"/>
      <c r="AA137" s="84" t="n"/>
      <c r="AB137" s="84" t="n"/>
      <c r="AC137" s="84" t="n"/>
      <c r="AD137" s="84" t="n"/>
      <c r="AE137" s="84" t="n"/>
    </row>
    <row r="138">
      <c r="B138" s="84" t="n"/>
      <c r="H138" s="84" t="n"/>
      <c r="I138" s="84" t="n"/>
      <c r="J138" s="84" t="n"/>
      <c r="K138" s="84" t="n"/>
      <c r="L138" s="84" t="n"/>
      <c r="M138" s="84" t="n"/>
      <c r="N138" s="84" t="n"/>
      <c r="O138" s="84" t="n"/>
      <c r="P138" s="84" t="n"/>
      <c r="Q138" s="84" t="n"/>
      <c r="R138" s="84" t="n"/>
      <c r="S138" s="84" t="n"/>
      <c r="T138" s="84" t="n"/>
      <c r="U138" s="84" t="n"/>
      <c r="V138" s="84" t="n"/>
      <c r="W138" s="84" t="n"/>
      <c r="X138" s="84" t="n"/>
      <c r="Y138" s="84" t="n"/>
      <c r="Z138" s="84" t="n"/>
      <c r="AA138" s="84" t="n"/>
      <c r="AB138" s="84" t="n"/>
      <c r="AC138" s="84" t="n"/>
      <c r="AD138" s="84" t="n"/>
      <c r="AE138" s="84" t="n"/>
    </row>
    <row r="139">
      <c r="B139" s="84" t="n"/>
      <c r="H139" s="84" t="n"/>
      <c r="I139" s="84" t="n"/>
      <c r="J139" s="84" t="n"/>
      <c r="K139" s="84" t="n"/>
      <c r="L139" s="84" t="n"/>
      <c r="M139" s="84" t="n"/>
      <c r="N139" s="84" t="n"/>
      <c r="O139" s="84" t="n"/>
      <c r="P139" s="84" t="n"/>
      <c r="Q139" s="84" t="n"/>
      <c r="R139" s="84" t="n"/>
      <c r="S139" s="84" t="n"/>
      <c r="T139" s="84" t="n"/>
      <c r="U139" s="84" t="n"/>
      <c r="V139" s="84" t="n"/>
      <c r="W139" s="84" t="n"/>
      <c r="X139" s="84" t="n"/>
      <c r="Y139" s="84" t="n"/>
      <c r="Z139" s="84" t="n"/>
      <c r="AA139" s="84" t="n"/>
      <c r="AB139" s="84" t="n"/>
      <c r="AC139" s="84" t="n"/>
      <c r="AD139" s="84" t="n"/>
      <c r="AE139" s="84" t="n"/>
    </row>
    <row r="140">
      <c r="B140" s="84" t="n"/>
      <c r="H140" s="84" t="n"/>
      <c r="I140" s="84" t="n"/>
      <c r="J140" s="84" t="n"/>
      <c r="K140" s="84" t="n"/>
      <c r="L140" s="84" t="n"/>
      <c r="M140" s="84" t="n"/>
      <c r="N140" s="84" t="n"/>
      <c r="O140" s="84" t="n"/>
      <c r="P140" s="84" t="n"/>
      <c r="Q140" s="84" t="n"/>
      <c r="R140" s="84" t="n"/>
      <c r="S140" s="84" t="n"/>
      <c r="T140" s="84" t="n"/>
      <c r="U140" s="84" t="n"/>
      <c r="V140" s="84" t="n"/>
      <c r="W140" s="84" t="n"/>
      <c r="X140" s="84" t="n"/>
      <c r="Y140" s="84" t="n"/>
      <c r="Z140" s="84" t="n"/>
      <c r="AA140" s="84" t="n"/>
      <c r="AB140" s="84" t="n"/>
      <c r="AC140" s="84" t="n"/>
      <c r="AD140" s="84" t="n"/>
      <c r="AE140" s="84" t="n"/>
    </row>
    <row r="141">
      <c r="B141" s="84" t="n"/>
      <c r="H141" s="84" t="n"/>
      <c r="I141" s="84" t="n"/>
      <c r="J141" s="84" t="n"/>
      <c r="K141" s="84" t="n"/>
      <c r="L141" s="84" t="n"/>
      <c r="M141" s="84" t="n"/>
      <c r="N141" s="84" t="n"/>
      <c r="O141" s="84" t="n"/>
      <c r="P141" s="84" t="n"/>
      <c r="Q141" s="84" t="n"/>
      <c r="R141" s="84" t="n"/>
      <c r="S141" s="84" t="n"/>
      <c r="T141" s="84" t="n"/>
      <c r="U141" s="84" t="n"/>
      <c r="V141" s="84" t="n"/>
      <c r="W141" s="84" t="n"/>
      <c r="X141" s="84" t="n"/>
      <c r="Y141" s="84" t="n"/>
      <c r="Z141" s="84" t="n"/>
      <c r="AA141" s="84" t="n"/>
      <c r="AB141" s="84" t="n"/>
      <c r="AC141" s="84" t="n"/>
      <c r="AD141" s="84" t="n"/>
      <c r="AE141" s="84" t="n"/>
    </row>
    <row r="142">
      <c r="B142" s="84" t="n"/>
      <c r="H142" s="84" t="n"/>
      <c r="I142" s="84" t="n"/>
      <c r="J142" s="84" t="n"/>
      <c r="K142" s="84" t="n"/>
      <c r="L142" s="84" t="n"/>
      <c r="M142" s="84" t="n"/>
      <c r="N142" s="84" t="n"/>
      <c r="O142" s="84" t="n"/>
      <c r="P142" s="84" t="n"/>
      <c r="Q142" s="84" t="n"/>
      <c r="R142" s="84" t="n"/>
      <c r="S142" s="84" t="n"/>
      <c r="T142" s="84" t="n"/>
      <c r="U142" s="84" t="n"/>
      <c r="V142" s="84" t="n"/>
      <c r="W142" s="84" t="n"/>
      <c r="X142" s="84" t="n"/>
      <c r="Y142" s="84" t="n"/>
      <c r="Z142" s="84" t="n"/>
      <c r="AA142" s="84" t="n"/>
      <c r="AB142" s="84" t="n"/>
      <c r="AC142" s="84" t="n"/>
      <c r="AD142" s="84" t="n"/>
      <c r="AE142" s="84" t="n"/>
    </row>
    <row r="143">
      <c r="B143" s="84" t="n"/>
      <c r="H143" s="84" t="n"/>
      <c r="I143" s="84" t="n"/>
      <c r="J143" s="84" t="n"/>
      <c r="K143" s="84" t="n"/>
      <c r="L143" s="84" t="n"/>
      <c r="M143" s="84" t="n"/>
      <c r="N143" s="84" t="n"/>
      <c r="O143" s="84" t="n"/>
      <c r="P143" s="84" t="n"/>
      <c r="Q143" s="84" t="n"/>
      <c r="R143" s="84" t="n"/>
      <c r="S143" s="84" t="n"/>
      <c r="T143" s="84" t="n"/>
      <c r="U143" s="84" t="n"/>
      <c r="V143" s="84" t="n"/>
      <c r="W143" s="84" t="n"/>
      <c r="X143" s="84" t="n"/>
      <c r="Y143" s="84" t="n"/>
      <c r="Z143" s="84" t="n"/>
      <c r="AA143" s="84" t="n"/>
      <c r="AB143" s="84" t="n"/>
      <c r="AC143" s="84" t="n"/>
      <c r="AD143" s="84" t="n"/>
      <c r="AE143" s="84" t="n"/>
    </row>
    <row r="144">
      <c r="B144" s="84" t="n"/>
      <c r="H144" s="84" t="n"/>
      <c r="I144" s="84" t="n"/>
      <c r="J144" s="84" t="n"/>
      <c r="K144" s="84" t="n"/>
      <c r="L144" s="84" t="n"/>
      <c r="M144" s="84" t="n"/>
      <c r="N144" s="84" t="n"/>
      <c r="O144" s="84" t="n"/>
      <c r="P144" s="84" t="n"/>
      <c r="Q144" s="84" t="n"/>
      <c r="R144" s="84" t="n"/>
      <c r="S144" s="84" t="n"/>
      <c r="T144" s="84" t="n"/>
      <c r="U144" s="84" t="n"/>
      <c r="V144" s="84" t="n"/>
      <c r="W144" s="84" t="n"/>
      <c r="X144" s="84" t="n"/>
      <c r="Y144" s="84" t="n"/>
      <c r="Z144" s="84" t="n"/>
      <c r="AA144" s="84" t="n"/>
      <c r="AB144" s="84" t="n"/>
      <c r="AC144" s="84" t="n"/>
      <c r="AD144" s="84" t="n"/>
      <c r="AE144" s="84" t="n"/>
    </row>
    <row r="145">
      <c r="B145" s="84" t="n"/>
      <c r="H145" s="84" t="n"/>
      <c r="I145" s="84" t="n"/>
      <c r="J145" s="84" t="n"/>
      <c r="K145" s="84" t="n"/>
      <c r="L145" s="84" t="n"/>
      <c r="M145" s="84" t="n"/>
      <c r="N145" s="84" t="n"/>
      <c r="O145" s="84" t="n"/>
      <c r="P145" s="84" t="n"/>
      <c r="Q145" s="84" t="n"/>
      <c r="R145" s="84" t="n"/>
      <c r="S145" s="84" t="n"/>
      <c r="T145" s="84" t="n"/>
      <c r="U145" s="84" t="n"/>
      <c r="V145" s="84" t="n"/>
      <c r="W145" s="84" t="n"/>
      <c r="X145" s="84" t="n"/>
      <c r="Y145" s="84" t="n"/>
      <c r="Z145" s="84" t="n"/>
      <c r="AA145" s="84" t="n"/>
      <c r="AB145" s="84" t="n"/>
      <c r="AC145" s="84" t="n"/>
      <c r="AD145" s="84" t="n"/>
      <c r="AE145" s="84" t="n"/>
    </row>
    <row r="146">
      <c r="B146" s="84" t="n"/>
      <c r="H146" s="84" t="n"/>
      <c r="I146" s="84" t="n"/>
      <c r="J146" s="84" t="n"/>
      <c r="K146" s="84" t="n"/>
      <c r="L146" s="84" t="n"/>
      <c r="M146" s="84" t="n"/>
      <c r="N146" s="84" t="n"/>
      <c r="O146" s="84" t="n"/>
      <c r="P146" s="84" t="n"/>
      <c r="Q146" s="84" t="n"/>
      <c r="R146" s="84" t="n"/>
      <c r="S146" s="84" t="n"/>
      <c r="T146" s="84" t="n"/>
      <c r="U146" s="84" t="n"/>
      <c r="V146" s="84" t="n"/>
      <c r="W146" s="84" t="n"/>
      <c r="X146" s="84" t="n"/>
      <c r="Y146" s="84" t="n"/>
      <c r="Z146" s="84" t="n"/>
      <c r="AA146" s="84" t="n"/>
      <c r="AB146" s="84" t="n"/>
      <c r="AC146" s="84" t="n"/>
      <c r="AD146" s="84" t="n"/>
      <c r="AE146" s="84" t="n"/>
    </row>
    <row r="147">
      <c r="B147" s="84" t="n"/>
      <c r="H147" s="84" t="n"/>
      <c r="I147" s="84" t="n"/>
      <c r="J147" s="84" t="n"/>
      <c r="K147" s="84" t="n"/>
      <c r="L147" s="84" t="n"/>
      <c r="M147" s="84" t="n"/>
      <c r="N147" s="84" t="n"/>
      <c r="O147" s="84" t="n"/>
      <c r="P147" s="84" t="n"/>
      <c r="Q147" s="84" t="n"/>
      <c r="R147" s="84" t="n"/>
      <c r="S147" s="84" t="n"/>
      <c r="T147" s="84" t="n"/>
      <c r="U147" s="84" t="n"/>
      <c r="V147" s="84" t="n"/>
      <c r="W147" s="84" t="n"/>
      <c r="X147" s="84" t="n"/>
      <c r="Y147" s="84" t="n"/>
      <c r="Z147" s="84" t="n"/>
      <c r="AA147" s="84" t="n"/>
      <c r="AB147" s="84" t="n"/>
      <c r="AC147" s="84" t="n"/>
      <c r="AD147" s="84" t="n"/>
      <c r="AE147" s="84" t="n"/>
    </row>
    <row r="148">
      <c r="B148" s="84" t="n"/>
      <c r="H148" s="84" t="n"/>
      <c r="I148" s="84" t="n"/>
      <c r="J148" s="84" t="n"/>
      <c r="K148" s="84" t="n"/>
      <c r="L148" s="84" t="n"/>
      <c r="M148" s="84" t="n"/>
      <c r="N148" s="84" t="n"/>
      <c r="O148" s="84" t="n"/>
      <c r="P148" s="84" t="n"/>
      <c r="Q148" s="84" t="n"/>
      <c r="R148" s="84" t="n"/>
      <c r="S148" s="84" t="n"/>
      <c r="T148" s="84" t="n"/>
      <c r="U148" s="84" t="n"/>
      <c r="V148" s="84" t="n"/>
      <c r="W148" s="84" t="n"/>
      <c r="X148" s="84" t="n"/>
      <c r="Y148" s="84" t="n"/>
      <c r="Z148" s="84" t="n"/>
      <c r="AA148" s="84" t="n"/>
      <c r="AB148" s="84" t="n"/>
      <c r="AC148" s="84" t="n"/>
      <c r="AD148" s="84" t="n"/>
      <c r="AE148" s="84" t="n"/>
    </row>
    <row r="149">
      <c r="B149" s="84" t="n"/>
      <c r="H149" s="84" t="n"/>
      <c r="I149" s="84" t="n"/>
      <c r="J149" s="84" t="n"/>
      <c r="K149" s="84" t="n"/>
      <c r="L149" s="84" t="n"/>
      <c r="M149" s="84" t="n"/>
      <c r="N149" s="84" t="n"/>
      <c r="O149" s="84" t="n"/>
      <c r="P149" s="84" t="n"/>
      <c r="Q149" s="84" t="n"/>
      <c r="R149" s="84" t="n"/>
      <c r="S149" s="84" t="n"/>
      <c r="T149" s="84" t="n"/>
      <c r="U149" s="84" t="n"/>
      <c r="V149" s="84" t="n"/>
      <c r="W149" s="84" t="n"/>
      <c r="X149" s="84" t="n"/>
      <c r="Y149" s="84" t="n"/>
      <c r="Z149" s="84" t="n"/>
      <c r="AA149" s="84" t="n"/>
      <c r="AB149" s="84" t="n"/>
      <c r="AC149" s="84" t="n"/>
      <c r="AD149" s="84" t="n"/>
      <c r="AE149" s="84" t="n"/>
    </row>
    <row r="150">
      <c r="B150" s="84" t="n"/>
      <c r="H150" s="84" t="n"/>
      <c r="I150" s="84" t="n"/>
      <c r="J150" s="84" t="n"/>
      <c r="K150" s="84" t="n"/>
      <c r="L150" s="84" t="n"/>
      <c r="M150" s="84" t="n"/>
      <c r="N150" s="84" t="n"/>
      <c r="O150" s="84" t="n"/>
      <c r="P150" s="84" t="n"/>
      <c r="Q150" s="84" t="n"/>
      <c r="R150" s="84" t="n"/>
      <c r="S150" s="84" t="n"/>
      <c r="T150" s="84" t="n"/>
      <c r="U150" s="84" t="n"/>
      <c r="V150" s="84" t="n"/>
      <c r="W150" s="84" t="n"/>
      <c r="X150" s="84" t="n"/>
      <c r="Y150" s="84" t="n"/>
      <c r="Z150" s="84" t="n"/>
      <c r="AA150" s="84" t="n"/>
      <c r="AB150" s="84" t="n"/>
      <c r="AC150" s="84" t="n"/>
      <c r="AD150" s="84" t="n"/>
      <c r="AE150" s="84" t="n"/>
    </row>
    <row r="151">
      <c r="B151" s="84" t="n"/>
      <c r="H151" s="84" t="n"/>
      <c r="I151" s="84" t="n"/>
      <c r="J151" s="84" t="n"/>
      <c r="K151" s="84" t="n"/>
      <c r="L151" s="84" t="n"/>
      <c r="M151" s="84" t="n"/>
      <c r="N151" s="84" t="n"/>
      <c r="O151" s="84" t="n"/>
      <c r="P151" s="84" t="n"/>
      <c r="Q151" s="84" t="n"/>
      <c r="R151" s="84" t="n"/>
      <c r="S151" s="84" t="n"/>
      <c r="T151" s="84" t="n"/>
      <c r="U151" s="84" t="n"/>
      <c r="V151" s="84" t="n"/>
      <c r="W151" s="84" t="n"/>
      <c r="X151" s="84" t="n"/>
      <c r="Y151" s="84" t="n"/>
      <c r="Z151" s="84" t="n"/>
      <c r="AA151" s="84" t="n"/>
      <c r="AB151" s="84" t="n"/>
      <c r="AC151" s="84" t="n"/>
      <c r="AD151" s="84" t="n"/>
      <c r="AE151" s="84" t="n"/>
    </row>
    <row r="152">
      <c r="B152" s="84" t="n"/>
      <c r="H152" s="84" t="n"/>
      <c r="I152" s="84" t="n"/>
      <c r="J152" s="84" t="n"/>
      <c r="K152" s="84" t="n"/>
      <c r="L152" s="84" t="n"/>
      <c r="M152" s="84" t="n"/>
      <c r="N152" s="84" t="n"/>
      <c r="O152" s="84" t="n"/>
      <c r="P152" s="84" t="n"/>
      <c r="Q152" s="84" t="n"/>
      <c r="R152" s="84" t="n"/>
      <c r="S152" s="84" t="n"/>
      <c r="T152" s="84" t="n"/>
      <c r="U152" s="84" t="n"/>
      <c r="V152" s="84" t="n"/>
      <c r="W152" s="84" t="n"/>
      <c r="X152" s="84" t="n"/>
      <c r="Y152" s="84" t="n"/>
      <c r="Z152" s="84" t="n"/>
      <c r="AA152" s="84" t="n"/>
      <c r="AB152" s="84" t="n"/>
      <c r="AC152" s="84" t="n"/>
      <c r="AD152" s="84" t="n"/>
      <c r="AE152" s="84" t="n"/>
    </row>
    <row r="153">
      <c r="B153" s="84" t="n"/>
      <c r="H153" s="84" t="n"/>
      <c r="I153" s="84" t="n"/>
      <c r="J153" s="84" t="n"/>
      <c r="K153" s="84" t="n"/>
      <c r="L153" s="84" t="n"/>
      <c r="M153" s="84" t="n"/>
      <c r="N153" s="84" t="n"/>
      <c r="O153" s="84" t="n"/>
      <c r="P153" s="84" t="n"/>
      <c r="Q153" s="84" t="n"/>
      <c r="R153" s="84" t="n"/>
      <c r="S153" s="84" t="n"/>
      <c r="T153" s="84" t="n"/>
      <c r="U153" s="84" t="n"/>
      <c r="V153" s="84" t="n"/>
      <c r="W153" s="84" t="n"/>
      <c r="X153" s="84" t="n"/>
      <c r="Y153" s="84" t="n"/>
      <c r="Z153" s="84" t="n"/>
      <c r="AA153" s="84" t="n"/>
      <c r="AB153" s="84" t="n"/>
      <c r="AC153" s="84" t="n"/>
      <c r="AD153" s="84" t="n"/>
      <c r="AE153" s="84" t="n"/>
    </row>
    <row r="154">
      <c r="B154" s="84" t="n"/>
      <c r="H154" s="84" t="n"/>
      <c r="I154" s="84" t="n"/>
      <c r="J154" s="84" t="n"/>
      <c r="K154" s="84" t="n"/>
      <c r="L154" s="84" t="n"/>
      <c r="M154" s="84" t="n"/>
      <c r="N154" s="84" t="n"/>
      <c r="O154" s="84" t="n"/>
      <c r="P154" s="84" t="n"/>
      <c r="Q154" s="84" t="n"/>
      <c r="R154" s="84" t="n"/>
      <c r="S154" s="84" t="n"/>
      <c r="T154" s="84" t="n"/>
      <c r="U154" s="84" t="n"/>
      <c r="V154" s="84" t="n"/>
      <c r="W154" s="84" t="n"/>
      <c r="X154" s="84" t="n"/>
      <c r="Y154" s="84" t="n"/>
      <c r="Z154" s="84" t="n"/>
      <c r="AA154" s="84" t="n"/>
      <c r="AB154" s="84" t="n"/>
      <c r="AC154" s="84" t="n"/>
      <c r="AD154" s="84" t="n"/>
      <c r="AE154" s="84" t="n"/>
    </row>
    <row r="155">
      <c r="B155" s="84" t="n"/>
      <c r="H155" s="84" t="n"/>
      <c r="I155" s="84" t="n"/>
      <c r="J155" s="84" t="n"/>
      <c r="K155" s="84" t="n"/>
      <c r="L155" s="84" t="n"/>
      <c r="M155" s="84" t="n"/>
      <c r="N155" s="84" t="n"/>
      <c r="O155" s="84" t="n"/>
      <c r="P155" s="84" t="n"/>
      <c r="Q155" s="84" t="n"/>
      <c r="R155" s="84" t="n"/>
      <c r="S155" s="84" t="n"/>
      <c r="T155" s="84" t="n"/>
      <c r="U155" s="84" t="n"/>
      <c r="V155" s="84" t="n"/>
      <c r="W155" s="84" t="n"/>
      <c r="X155" s="84" t="n"/>
      <c r="Y155" s="84" t="n"/>
      <c r="Z155" s="84" t="n"/>
      <c r="AA155" s="84" t="n"/>
      <c r="AB155" s="84" t="n"/>
      <c r="AC155" s="84" t="n"/>
      <c r="AD155" s="84" t="n"/>
      <c r="AE155" s="84" t="n"/>
    </row>
    <row r="156">
      <c r="B156" s="84" t="n"/>
      <c r="H156" s="84" t="n"/>
      <c r="I156" s="84" t="n"/>
      <c r="J156" s="84" t="n"/>
      <c r="K156" s="84" t="n"/>
      <c r="L156" s="84" t="n"/>
      <c r="M156" s="84" t="n"/>
      <c r="N156" s="84" t="n"/>
      <c r="O156" s="84" t="n"/>
      <c r="P156" s="84" t="n"/>
      <c r="Q156" s="84" t="n"/>
      <c r="R156" s="84" t="n"/>
      <c r="S156" s="84" t="n"/>
      <c r="T156" s="84" t="n"/>
      <c r="U156" s="84" t="n"/>
      <c r="V156" s="84" t="n"/>
      <c r="W156" s="84" t="n"/>
      <c r="X156" s="84" t="n"/>
      <c r="Y156" s="84" t="n"/>
      <c r="Z156" s="84" t="n"/>
      <c r="AA156" s="84" t="n"/>
      <c r="AB156" s="84" t="n"/>
      <c r="AC156" s="84" t="n"/>
      <c r="AD156" s="84" t="n"/>
      <c r="AE156" s="84" t="n"/>
    </row>
    <row r="157">
      <c r="B157" s="84" t="n"/>
      <c r="H157" s="84" t="n"/>
      <c r="I157" s="84" t="n"/>
      <c r="J157" s="84" t="n"/>
      <c r="K157" s="84" t="n"/>
      <c r="L157" s="84" t="n"/>
      <c r="M157" s="84" t="n"/>
      <c r="N157" s="84" t="n"/>
      <c r="O157" s="84" t="n"/>
      <c r="P157" s="84" t="n"/>
      <c r="Q157" s="84" t="n"/>
      <c r="R157" s="84" t="n"/>
      <c r="S157" s="84" t="n"/>
      <c r="T157" s="84" t="n"/>
      <c r="U157" s="84" t="n"/>
      <c r="V157" s="84" t="n"/>
      <c r="W157" s="84" t="n"/>
      <c r="X157" s="84" t="n"/>
      <c r="Y157" s="84" t="n"/>
      <c r="Z157" s="84" t="n"/>
      <c r="AA157" s="84" t="n"/>
      <c r="AB157" s="84" t="n"/>
      <c r="AC157" s="84" t="n"/>
      <c r="AD157" s="84" t="n"/>
      <c r="AE157" s="84" t="n"/>
    </row>
    <row r="158">
      <c r="B158" s="84" t="n"/>
      <c r="H158" s="84" t="n"/>
      <c r="I158" s="84" t="n"/>
      <c r="J158" s="84" t="n"/>
      <c r="K158" s="84" t="n"/>
      <c r="L158" s="84" t="n"/>
      <c r="M158" s="84" t="n"/>
      <c r="N158" s="84" t="n"/>
      <c r="O158" s="84" t="n"/>
      <c r="P158" s="84" t="n"/>
      <c r="Q158" s="84" t="n"/>
      <c r="R158" s="84" t="n"/>
      <c r="S158" s="84" t="n"/>
      <c r="T158" s="84" t="n"/>
      <c r="U158" s="84" t="n"/>
      <c r="V158" s="84" t="n"/>
      <c r="W158" s="84" t="n"/>
      <c r="X158" s="84" t="n"/>
      <c r="Y158" s="84" t="n"/>
      <c r="Z158" s="84" t="n"/>
      <c r="AA158" s="84" t="n"/>
      <c r="AB158" s="84" t="n"/>
      <c r="AC158" s="84" t="n"/>
      <c r="AD158" s="84" t="n"/>
      <c r="AE158" s="84" t="n"/>
    </row>
    <row r="159">
      <c r="B159" s="84" t="n"/>
      <c r="H159" s="84" t="n"/>
      <c r="I159" s="84" t="n"/>
      <c r="J159" s="84" t="n"/>
      <c r="K159" s="84" t="n"/>
      <c r="L159" s="84" t="n"/>
      <c r="M159" s="84" t="n"/>
      <c r="N159" s="84" t="n"/>
      <c r="O159" s="84" t="n"/>
      <c r="P159" s="84" t="n"/>
      <c r="Q159" s="84" t="n"/>
      <c r="R159" s="84" t="n"/>
      <c r="S159" s="84" t="n"/>
      <c r="T159" s="84" t="n"/>
      <c r="U159" s="84" t="n"/>
      <c r="V159" s="84" t="n"/>
      <c r="W159" s="84" t="n"/>
      <c r="X159" s="84" t="n"/>
      <c r="Y159" s="84" t="n"/>
      <c r="Z159" s="84" t="n"/>
      <c r="AA159" s="84" t="n"/>
      <c r="AB159" s="84" t="n"/>
      <c r="AC159" s="84" t="n"/>
      <c r="AD159" s="84" t="n"/>
      <c r="AE159" s="84" t="n"/>
    </row>
    <row r="160">
      <c r="B160" s="84" t="n"/>
      <c r="H160" s="84" t="n"/>
      <c r="I160" s="84" t="n"/>
      <c r="J160" s="84" t="n"/>
      <c r="K160" s="84" t="n"/>
      <c r="L160" s="84" t="n"/>
      <c r="M160" s="84" t="n"/>
      <c r="N160" s="84" t="n"/>
      <c r="O160" s="84" t="n"/>
      <c r="P160" s="84" t="n"/>
      <c r="Q160" s="84" t="n"/>
      <c r="R160" s="84" t="n"/>
      <c r="S160" s="84" t="n"/>
      <c r="T160" s="84" t="n"/>
      <c r="U160" s="84" t="n"/>
      <c r="V160" s="84" t="n"/>
      <c r="W160" s="84" t="n"/>
      <c r="X160" s="84" t="n"/>
      <c r="Y160" s="84" t="n"/>
      <c r="Z160" s="84" t="n"/>
      <c r="AA160" s="84" t="n"/>
      <c r="AB160" s="84" t="n"/>
      <c r="AC160" s="84" t="n"/>
      <c r="AD160" s="84" t="n"/>
      <c r="AE160" s="84" t="n"/>
    </row>
    <row r="161">
      <c r="B161" s="84" t="n"/>
      <c r="H161" s="84" t="n"/>
      <c r="I161" s="84" t="n"/>
      <c r="J161" s="84" t="n"/>
      <c r="K161" s="84" t="n"/>
      <c r="L161" s="84" t="n"/>
      <c r="M161" s="84" t="n"/>
      <c r="N161" s="84" t="n"/>
      <c r="O161" s="84" t="n"/>
      <c r="P161" s="84" t="n"/>
      <c r="Q161" s="84" t="n"/>
      <c r="R161" s="84" t="n"/>
      <c r="S161" s="84" t="n"/>
      <c r="T161" s="84" t="n"/>
      <c r="U161" s="84" t="n"/>
      <c r="V161" s="84" t="n"/>
      <c r="W161" s="84" t="n"/>
      <c r="X161" s="84" t="n"/>
      <c r="Y161" s="84" t="n"/>
      <c r="Z161" s="84" t="n"/>
      <c r="AA161" s="84" t="n"/>
      <c r="AB161" s="84" t="n"/>
      <c r="AC161" s="84" t="n"/>
      <c r="AD161" s="84" t="n"/>
      <c r="AE161" s="84" t="n"/>
    </row>
    <row r="162">
      <c r="B162" s="84" t="n"/>
      <c r="H162" s="84" t="n"/>
      <c r="I162" s="84" t="n"/>
      <c r="J162" s="84" t="n"/>
      <c r="K162" s="84" t="n"/>
      <c r="L162" s="84" t="n"/>
      <c r="M162" s="84" t="n"/>
      <c r="N162" s="84" t="n"/>
      <c r="O162" s="84" t="n"/>
      <c r="P162" s="84" t="n"/>
      <c r="Q162" s="84" t="n"/>
      <c r="R162" s="84" t="n"/>
      <c r="S162" s="84" t="n"/>
      <c r="T162" s="84" t="n"/>
      <c r="U162" s="84" t="n"/>
      <c r="V162" s="84" t="n"/>
      <c r="W162" s="84" t="n"/>
      <c r="X162" s="84" t="n"/>
      <c r="Y162" s="84" t="n"/>
      <c r="Z162" s="84" t="n"/>
      <c r="AA162" s="84" t="n"/>
      <c r="AB162" s="84" t="n"/>
      <c r="AC162" s="84" t="n"/>
      <c r="AD162" s="84" t="n"/>
      <c r="AE162" s="84" t="n"/>
    </row>
    <row r="163">
      <c r="B163" s="84" t="n"/>
      <c r="H163" s="84" t="n"/>
      <c r="I163" s="84" t="n"/>
      <c r="J163" s="84" t="n"/>
      <c r="K163" s="84" t="n"/>
      <c r="L163" s="84" t="n"/>
      <c r="M163" s="84" t="n"/>
      <c r="N163" s="84" t="n"/>
      <c r="O163" s="84" t="n"/>
      <c r="P163" s="84" t="n"/>
      <c r="Q163" s="84" t="n"/>
      <c r="R163" s="84" t="n"/>
      <c r="S163" s="84" t="n"/>
      <c r="T163" s="84" t="n"/>
      <c r="U163" s="84" t="n"/>
      <c r="V163" s="84" t="n"/>
      <c r="W163" s="84" t="n"/>
      <c r="X163" s="84" t="n"/>
      <c r="Y163" s="84" t="n"/>
      <c r="Z163" s="84" t="n"/>
      <c r="AA163" s="84" t="n"/>
      <c r="AB163" s="84" t="n"/>
      <c r="AC163" s="84" t="n"/>
      <c r="AD163" s="84" t="n"/>
      <c r="AE163" s="84" t="n"/>
    </row>
    <row r="164">
      <c r="B164" s="84" t="n"/>
      <c r="H164" s="84" t="n"/>
      <c r="I164" s="84" t="n"/>
      <c r="J164" s="84" t="n"/>
      <c r="K164" s="84" t="n"/>
      <c r="L164" s="84" t="n"/>
      <c r="M164" s="84" t="n"/>
      <c r="N164" s="84" t="n"/>
      <c r="O164" s="84" t="n"/>
      <c r="P164" s="84" t="n"/>
      <c r="Q164" s="84" t="n"/>
      <c r="R164" s="84" t="n"/>
      <c r="S164" s="84" t="n"/>
      <c r="T164" s="84" t="n"/>
      <c r="U164" s="84" t="n"/>
      <c r="V164" s="84" t="n"/>
      <c r="W164" s="84" t="n"/>
      <c r="X164" s="84" t="n"/>
      <c r="Y164" s="84" t="n"/>
      <c r="Z164" s="84" t="n"/>
      <c r="AA164" s="84" t="n"/>
      <c r="AB164" s="84" t="n"/>
      <c r="AC164" s="84" t="n"/>
      <c r="AD164" s="84" t="n"/>
      <c r="AE164" s="84" t="n"/>
    </row>
    <row r="165">
      <c r="B165" s="84" t="n"/>
      <c r="H165" s="84" t="n"/>
      <c r="I165" s="84" t="n"/>
      <c r="J165" s="84" t="n"/>
      <c r="K165" s="84" t="n"/>
      <c r="L165" s="84" t="n"/>
      <c r="M165" s="84" t="n"/>
      <c r="N165" s="84" t="n"/>
      <c r="O165" s="84" t="n"/>
      <c r="P165" s="84" t="n"/>
      <c r="Q165" s="84" t="n"/>
      <c r="R165" s="84" t="n"/>
      <c r="S165" s="84" t="n"/>
      <c r="T165" s="84" t="n"/>
      <c r="U165" s="84" t="n"/>
      <c r="V165" s="84" t="n"/>
      <c r="W165" s="84" t="n"/>
      <c r="X165" s="84" t="n"/>
      <c r="Y165" s="84" t="n"/>
      <c r="Z165" s="84" t="n"/>
      <c r="AA165" s="84" t="n"/>
      <c r="AB165" s="84" t="n"/>
      <c r="AC165" s="84" t="n"/>
      <c r="AD165" s="84" t="n"/>
      <c r="AE165" s="84" t="n"/>
    </row>
    <row r="166">
      <c r="B166" s="84" t="n"/>
      <c r="H166" s="84" t="n"/>
      <c r="I166" s="84" t="n"/>
      <c r="J166" s="84" t="n"/>
      <c r="K166" s="84" t="n"/>
      <c r="L166" s="84" t="n"/>
      <c r="M166" s="84" t="n"/>
      <c r="N166" s="84" t="n"/>
      <c r="O166" s="84" t="n"/>
      <c r="P166" s="84" t="n"/>
      <c r="Q166" s="84" t="n"/>
      <c r="R166" s="84" t="n"/>
      <c r="S166" s="84" t="n"/>
      <c r="T166" s="84" t="n"/>
      <c r="U166" s="84" t="n"/>
      <c r="V166" s="84" t="n"/>
      <c r="W166" s="84" t="n"/>
      <c r="X166" s="84" t="n"/>
      <c r="Y166" s="84" t="n"/>
      <c r="Z166" s="84" t="n"/>
      <c r="AA166" s="84" t="n"/>
      <c r="AB166" s="84" t="n"/>
      <c r="AC166" s="84" t="n"/>
      <c r="AD166" s="84" t="n"/>
      <c r="AE166" s="84" t="n"/>
    </row>
    <row r="167">
      <c r="B167" s="84" t="n"/>
      <c r="H167" s="84" t="n"/>
      <c r="I167" s="84" t="n"/>
      <c r="J167" s="84" t="n"/>
      <c r="K167" s="84" t="n"/>
      <c r="L167" s="84" t="n"/>
      <c r="M167" s="84" t="n"/>
      <c r="N167" s="84" t="n"/>
      <c r="O167" s="84" t="n"/>
      <c r="P167" s="84" t="n"/>
      <c r="Q167" s="84" t="n"/>
      <c r="R167" s="84" t="n"/>
      <c r="S167" s="84" t="n"/>
      <c r="T167" s="84" t="n"/>
      <c r="U167" s="84" t="n"/>
      <c r="V167" s="84" t="n"/>
      <c r="W167" s="84" t="n"/>
      <c r="X167" s="84" t="n"/>
      <c r="Y167" s="84" t="n"/>
      <c r="Z167" s="84" t="n"/>
      <c r="AA167" s="84" t="n"/>
      <c r="AB167" s="84" t="n"/>
      <c r="AC167" s="84" t="n"/>
      <c r="AD167" s="84" t="n"/>
      <c r="AE167" s="84" t="n"/>
    </row>
    <row r="168">
      <c r="B168" s="84" t="n"/>
      <c r="H168" s="84" t="n"/>
      <c r="I168" s="84" t="n"/>
      <c r="J168" s="84" t="n"/>
      <c r="K168" s="84" t="n"/>
      <c r="L168" s="84" t="n"/>
      <c r="M168" s="84" t="n"/>
      <c r="N168" s="84" t="n"/>
      <c r="O168" s="84" t="n"/>
      <c r="P168" s="84" t="n"/>
      <c r="Q168" s="84" t="n"/>
      <c r="R168" s="84" t="n"/>
      <c r="S168" s="84" t="n"/>
      <c r="T168" s="84" t="n"/>
      <c r="U168" s="84" t="n"/>
      <c r="V168" s="84" t="n"/>
      <c r="W168" s="84" t="n"/>
      <c r="X168" s="84" t="n"/>
      <c r="Y168" s="84" t="n"/>
      <c r="Z168" s="84" t="n"/>
      <c r="AA168" s="84" t="n"/>
      <c r="AB168" s="84" t="n"/>
      <c r="AC168" s="84" t="n"/>
      <c r="AD168" s="84" t="n"/>
      <c r="AE168" s="84" t="n"/>
    </row>
    <row r="169">
      <c r="B169" s="84" t="n"/>
      <c r="H169" s="84" t="n"/>
      <c r="I169" s="84" t="n"/>
      <c r="J169" s="84" t="n"/>
      <c r="K169" s="84" t="n"/>
      <c r="L169" s="84" t="n"/>
      <c r="M169" s="84" t="n"/>
      <c r="N169" s="84" t="n"/>
      <c r="O169" s="84" t="n"/>
      <c r="P169" s="84" t="n"/>
      <c r="Q169" s="84" t="n"/>
      <c r="R169" s="84" t="n"/>
      <c r="S169" s="84" t="n"/>
      <c r="T169" s="84" t="n"/>
      <c r="U169" s="84" t="n"/>
      <c r="V169" s="84" t="n"/>
      <c r="W169" s="84" t="n"/>
      <c r="X169" s="84" t="n"/>
      <c r="Y169" s="84" t="n"/>
      <c r="Z169" s="84" t="n"/>
      <c r="AA169" s="84" t="n"/>
      <c r="AB169" s="84" t="n"/>
      <c r="AC169" s="84" t="n"/>
      <c r="AD169" s="84" t="n"/>
      <c r="AE169" s="84" t="n"/>
    </row>
    <row r="170">
      <c r="B170" s="84" t="n"/>
      <c r="H170" s="84" t="n"/>
      <c r="I170" s="84" t="n"/>
      <c r="J170" s="84" t="n"/>
      <c r="K170" s="84" t="n"/>
      <c r="L170" s="84" t="n"/>
      <c r="M170" s="84" t="n"/>
      <c r="N170" s="84" t="n"/>
      <c r="O170" s="84" t="n"/>
      <c r="P170" s="84" t="n"/>
      <c r="Q170" s="84" t="n"/>
      <c r="R170" s="84" t="n"/>
      <c r="S170" s="84" t="n"/>
      <c r="T170" s="84" t="n"/>
      <c r="U170" s="84" t="n"/>
      <c r="V170" s="84" t="n"/>
      <c r="W170" s="84" t="n"/>
      <c r="X170" s="84" t="n"/>
      <c r="Y170" s="84" t="n"/>
      <c r="Z170" s="84" t="n"/>
      <c r="AA170" s="84" t="n"/>
      <c r="AB170" s="84" t="n"/>
      <c r="AC170" s="84" t="n"/>
      <c r="AD170" s="84" t="n"/>
      <c r="AE170" s="84" t="n"/>
    </row>
    <row r="171">
      <c r="B171" s="84" t="n"/>
      <c r="H171" s="84" t="n"/>
      <c r="I171" s="84" t="n"/>
      <c r="J171" s="84" t="n"/>
      <c r="K171" s="84" t="n"/>
      <c r="L171" s="84" t="n"/>
      <c r="M171" s="84" t="n"/>
      <c r="N171" s="84" t="n"/>
      <c r="O171" s="84" t="n"/>
      <c r="P171" s="84" t="n"/>
      <c r="Q171" s="84" t="n"/>
      <c r="R171" s="84" t="n"/>
      <c r="S171" s="84" t="n"/>
      <c r="T171" s="84" t="n"/>
      <c r="U171" s="84" t="n"/>
      <c r="V171" s="84" t="n"/>
      <c r="W171" s="84" t="n"/>
      <c r="X171" s="84" t="n"/>
      <c r="Y171" s="84" t="n"/>
      <c r="Z171" s="84" t="n"/>
      <c r="AA171" s="84" t="n"/>
      <c r="AB171" s="84" t="n"/>
      <c r="AC171" s="84" t="n"/>
      <c r="AD171" s="84" t="n"/>
      <c r="AE171" s="84" t="n"/>
    </row>
    <row r="172">
      <c r="B172" s="84" t="n"/>
      <c r="H172" s="84" t="n"/>
      <c r="I172" s="84" t="n"/>
      <c r="J172" s="84" t="n"/>
      <c r="K172" s="84" t="n"/>
      <c r="L172" s="84" t="n"/>
      <c r="M172" s="84" t="n"/>
      <c r="N172" s="84" t="n"/>
      <c r="O172" s="84" t="n"/>
      <c r="P172" s="84" t="n"/>
      <c r="Q172" s="84" t="n"/>
      <c r="R172" s="84" t="n"/>
      <c r="S172" s="84" t="n"/>
      <c r="T172" s="84" t="n"/>
      <c r="U172" s="84" t="n"/>
      <c r="V172" s="84" t="n"/>
      <c r="W172" s="84" t="n"/>
      <c r="X172" s="84" t="n"/>
      <c r="Y172" s="84" t="n"/>
      <c r="Z172" s="84" t="n"/>
      <c r="AA172" s="84" t="n"/>
      <c r="AB172" s="84" t="n"/>
      <c r="AC172" s="84" t="n"/>
      <c r="AD172" s="84" t="n"/>
      <c r="AE172" s="84" t="n"/>
    </row>
    <row r="173">
      <c r="B173" s="84" t="n"/>
      <c r="H173" s="84" t="n"/>
      <c r="I173" s="84" t="n"/>
      <c r="J173" s="84" t="n"/>
      <c r="K173" s="84" t="n"/>
      <c r="L173" s="84" t="n"/>
      <c r="M173" s="84" t="n"/>
      <c r="N173" s="84" t="n"/>
      <c r="O173" s="84" t="n"/>
      <c r="P173" s="84" t="n"/>
      <c r="Q173" s="84" t="n"/>
      <c r="R173" s="84" t="n"/>
      <c r="S173" s="84" t="n"/>
      <c r="T173" s="84" t="n"/>
      <c r="U173" s="84" t="n"/>
      <c r="V173" s="84" t="n"/>
      <c r="W173" s="84" t="n"/>
      <c r="X173" s="84" t="n"/>
      <c r="Y173" s="84" t="n"/>
      <c r="Z173" s="84" t="n"/>
      <c r="AA173" s="84" t="n"/>
      <c r="AB173" s="84" t="n"/>
      <c r="AC173" s="84" t="n"/>
      <c r="AD173" s="84" t="n"/>
      <c r="AE173" s="84" t="n"/>
    </row>
    <row r="174">
      <c r="B174" s="84" t="n"/>
      <c r="H174" s="84" t="n"/>
      <c r="I174" s="84" t="n"/>
      <c r="J174" s="84" t="n"/>
      <c r="K174" s="84" t="n"/>
      <c r="L174" s="84" t="n"/>
      <c r="M174" s="84" t="n"/>
      <c r="N174" s="84" t="n"/>
      <c r="O174" s="84" t="n"/>
      <c r="P174" s="84" t="n"/>
      <c r="Q174" s="84" t="n"/>
      <c r="R174" s="84" t="n"/>
      <c r="S174" s="84" t="n"/>
      <c r="T174" s="84" t="n"/>
      <c r="U174" s="84" t="n"/>
      <c r="V174" s="84" t="n"/>
      <c r="W174" s="84" t="n"/>
      <c r="X174" s="84" t="n"/>
      <c r="Y174" s="84" t="n"/>
      <c r="Z174" s="84" t="n"/>
      <c r="AA174" s="84" t="n"/>
      <c r="AB174" s="84" t="n"/>
      <c r="AC174" s="84" t="n"/>
      <c r="AD174" s="84" t="n"/>
      <c r="AE174" s="84" t="n"/>
    </row>
    <row r="175">
      <c r="B175" s="84" t="n"/>
      <c r="H175" s="84" t="n"/>
      <c r="I175" s="84" t="n"/>
      <c r="J175" s="84" t="n"/>
      <c r="K175" s="84" t="n"/>
      <c r="L175" s="84" t="n"/>
      <c r="M175" s="84" t="n"/>
      <c r="N175" s="84" t="n"/>
      <c r="O175" s="84" t="n"/>
      <c r="P175" s="84" t="n"/>
      <c r="Q175" s="84" t="n"/>
      <c r="R175" s="84" t="n"/>
      <c r="S175" s="84" t="n"/>
      <c r="T175" s="84" t="n"/>
      <c r="U175" s="84" t="n"/>
      <c r="V175" s="84" t="n"/>
      <c r="W175" s="84" t="n"/>
      <c r="X175" s="84" t="n"/>
      <c r="Y175" s="84" t="n"/>
      <c r="Z175" s="84" t="n"/>
      <c r="AA175" s="84" t="n"/>
      <c r="AB175" s="84" t="n"/>
      <c r="AC175" s="84" t="n"/>
      <c r="AD175" s="84" t="n"/>
      <c r="AE175" s="84" t="n"/>
    </row>
    <row r="176">
      <c r="B176" s="84" t="n"/>
      <c r="H176" s="84" t="n"/>
      <c r="I176" s="84" t="n"/>
      <c r="J176" s="84" t="n"/>
      <c r="K176" s="84" t="n"/>
      <c r="L176" s="84" t="n"/>
      <c r="M176" s="84" t="n"/>
      <c r="N176" s="84" t="n"/>
      <c r="O176" s="84" t="n"/>
      <c r="P176" s="84" t="n"/>
      <c r="Q176" s="84" t="n"/>
      <c r="R176" s="84" t="n"/>
      <c r="S176" s="84" t="n"/>
      <c r="T176" s="84" t="n"/>
      <c r="U176" s="84" t="n"/>
      <c r="V176" s="84" t="n"/>
      <c r="W176" s="84" t="n"/>
      <c r="X176" s="84" t="n"/>
      <c r="Y176" s="84" t="n"/>
      <c r="Z176" s="84" t="n"/>
      <c r="AA176" s="84" t="n"/>
      <c r="AB176" s="84" t="n"/>
      <c r="AC176" s="84" t="n"/>
      <c r="AD176" s="84" t="n"/>
      <c r="AE176" s="84" t="n"/>
    </row>
    <row r="177">
      <c r="B177" s="84" t="n"/>
      <c r="H177" s="84" t="n"/>
      <c r="I177" s="84" t="n"/>
      <c r="J177" s="84" t="n"/>
      <c r="K177" s="84" t="n"/>
      <c r="L177" s="84" t="n"/>
      <c r="M177" s="84" t="n"/>
      <c r="N177" s="84" t="n"/>
      <c r="O177" s="84" t="n"/>
      <c r="P177" s="84" t="n"/>
      <c r="Q177" s="84" t="n"/>
      <c r="R177" s="84" t="n"/>
      <c r="S177" s="84" t="n"/>
      <c r="T177" s="84" t="n"/>
      <c r="U177" s="84" t="n"/>
      <c r="V177" s="84" t="n"/>
      <c r="W177" s="84" t="n"/>
      <c r="X177" s="84" t="n"/>
      <c r="Y177" s="84" t="n"/>
      <c r="Z177" s="84" t="n"/>
      <c r="AA177" s="84" t="n"/>
      <c r="AB177" s="84" t="n"/>
      <c r="AC177" s="84" t="n"/>
      <c r="AD177" s="84" t="n"/>
      <c r="AE177" s="84" t="n"/>
    </row>
    <row r="178">
      <c r="B178" s="84" t="n"/>
      <c r="H178" s="84" t="n"/>
      <c r="I178" s="84" t="n"/>
      <c r="J178" s="84" t="n"/>
      <c r="K178" s="84" t="n"/>
      <c r="L178" s="84" t="n"/>
      <c r="M178" s="84" t="n"/>
      <c r="N178" s="84" t="n"/>
      <c r="O178" s="84" t="n"/>
      <c r="P178" s="84" t="n"/>
      <c r="Q178" s="84" t="n"/>
      <c r="R178" s="84" t="n"/>
      <c r="S178" s="84" t="n"/>
      <c r="T178" s="84" t="n"/>
      <c r="U178" s="84" t="n"/>
      <c r="V178" s="84" t="n"/>
      <c r="W178" s="84" t="n"/>
      <c r="X178" s="84" t="n"/>
      <c r="Y178" s="84" t="n"/>
      <c r="Z178" s="84" t="n"/>
      <c r="AA178" s="84" t="n"/>
      <c r="AB178" s="84" t="n"/>
      <c r="AC178" s="84" t="n"/>
      <c r="AD178" s="84" t="n"/>
      <c r="AE178" s="84" t="n"/>
    </row>
    <row r="179">
      <c r="B179" s="84" t="n"/>
      <c r="H179" s="84" t="n"/>
      <c r="I179" s="84" t="n"/>
      <c r="J179" s="84" t="n"/>
      <c r="K179" s="84" t="n"/>
      <c r="L179" s="84" t="n"/>
      <c r="M179" s="84" t="n"/>
      <c r="N179" s="84" t="n"/>
      <c r="O179" s="84" t="n"/>
      <c r="P179" s="84" t="n"/>
      <c r="Q179" s="84" t="n"/>
      <c r="R179" s="84" t="n"/>
      <c r="S179" s="84" t="n"/>
      <c r="T179" s="84" t="n"/>
      <c r="U179" s="84" t="n"/>
      <c r="V179" s="84" t="n"/>
      <c r="W179" s="84" t="n"/>
      <c r="X179" s="84" t="n"/>
      <c r="Y179" s="84" t="n"/>
      <c r="Z179" s="84" t="n"/>
      <c r="AA179" s="84" t="n"/>
      <c r="AB179" s="84" t="n"/>
      <c r="AC179" s="84" t="n"/>
      <c r="AD179" s="84" t="n"/>
      <c r="AE179" s="84" t="n"/>
    </row>
    <row r="180">
      <c r="B180" s="84" t="n"/>
      <c r="H180" s="84" t="n"/>
      <c r="I180" s="84" t="n"/>
      <c r="J180" s="84" t="n"/>
      <c r="K180" s="84" t="n"/>
      <c r="L180" s="84" t="n"/>
      <c r="M180" s="84" t="n"/>
      <c r="N180" s="84" t="n"/>
      <c r="O180" s="84" t="n"/>
      <c r="P180" s="84" t="n"/>
      <c r="Q180" s="84" t="n"/>
      <c r="R180" s="84" t="n"/>
      <c r="S180" s="84" t="n"/>
      <c r="T180" s="84" t="n"/>
      <c r="U180" s="84" t="n"/>
      <c r="V180" s="84" t="n"/>
      <c r="W180" s="84" t="n"/>
      <c r="X180" s="84" t="n"/>
      <c r="Y180" s="84" t="n"/>
      <c r="Z180" s="84" t="n"/>
      <c r="AA180" s="84" t="n"/>
      <c r="AB180" s="84" t="n"/>
      <c r="AC180" s="84" t="n"/>
      <c r="AD180" s="84" t="n"/>
      <c r="AE180" s="84" t="n"/>
    </row>
    <row r="181">
      <c r="B181" s="84" t="n"/>
      <c r="H181" s="84" t="n"/>
      <c r="I181" s="84" t="n"/>
      <c r="J181" s="84" t="n"/>
      <c r="K181" s="84" t="n"/>
      <c r="L181" s="84" t="n"/>
      <c r="M181" s="84" t="n"/>
      <c r="N181" s="84" t="n"/>
      <c r="O181" s="84" t="n"/>
      <c r="P181" s="84" t="n"/>
      <c r="Q181" s="84" t="n"/>
      <c r="R181" s="84" t="n"/>
      <c r="S181" s="84" t="n"/>
      <c r="T181" s="84" t="n"/>
      <c r="U181" s="84" t="n"/>
      <c r="V181" s="84" t="n"/>
      <c r="W181" s="84" t="n"/>
      <c r="X181" s="84" t="n"/>
      <c r="Y181" s="84" t="n"/>
      <c r="Z181" s="84" t="n"/>
      <c r="AA181" s="84" t="n"/>
      <c r="AB181" s="84" t="n"/>
      <c r="AC181" s="84" t="n"/>
      <c r="AD181" s="84" t="n"/>
      <c r="AE181" s="84" t="n"/>
    </row>
    <row r="182">
      <c r="B182" s="84" t="n"/>
      <c r="H182" s="84" t="n"/>
      <c r="I182" s="84" t="n"/>
      <c r="J182" s="84" t="n"/>
      <c r="K182" s="84" t="n"/>
      <c r="L182" s="84" t="n"/>
      <c r="M182" s="84" t="n"/>
      <c r="N182" s="84" t="n"/>
      <c r="O182" s="84" t="n"/>
      <c r="P182" s="84" t="n"/>
      <c r="Q182" s="84" t="n"/>
      <c r="R182" s="84" t="n"/>
      <c r="S182" s="84" t="n"/>
      <c r="T182" s="84" t="n"/>
      <c r="U182" s="84" t="n"/>
      <c r="V182" s="84" t="n"/>
      <c r="W182" s="84" t="n"/>
      <c r="X182" s="84" t="n"/>
      <c r="Y182" s="84" t="n"/>
      <c r="Z182" s="84" t="n"/>
      <c r="AA182" s="84" t="n"/>
      <c r="AB182" s="84" t="n"/>
      <c r="AC182" s="84" t="n"/>
      <c r="AD182" s="84" t="n"/>
      <c r="AE182" s="84" t="n"/>
    </row>
    <row r="183">
      <c r="B183" s="84" t="n"/>
      <c r="H183" s="84" t="n"/>
      <c r="I183" s="84" t="n"/>
      <c r="J183" s="84" t="n"/>
      <c r="K183" s="84" t="n"/>
      <c r="L183" s="84" t="n"/>
      <c r="M183" s="84" t="n"/>
      <c r="N183" s="84" t="n"/>
      <c r="O183" s="84" t="n"/>
      <c r="P183" s="84" t="n"/>
      <c r="Q183" s="84" t="n"/>
      <c r="R183" s="84" t="n"/>
      <c r="S183" s="84" t="n"/>
      <c r="T183" s="84" t="n"/>
      <c r="U183" s="84" t="n"/>
      <c r="V183" s="84" t="n"/>
      <c r="W183" s="84" t="n"/>
      <c r="X183" s="84" t="n"/>
      <c r="Y183" s="84" t="n"/>
      <c r="Z183" s="84" t="n"/>
      <c r="AA183" s="84" t="n"/>
      <c r="AB183" s="84" t="n"/>
      <c r="AC183" s="84" t="n"/>
      <c r="AD183" s="84" t="n"/>
      <c r="AE183" s="84" t="n"/>
    </row>
    <row r="184">
      <c r="B184" s="84" t="n"/>
      <c r="H184" s="84" t="n"/>
      <c r="I184" s="84" t="n"/>
      <c r="J184" s="84" t="n"/>
      <c r="K184" s="84" t="n"/>
      <c r="L184" s="84" t="n"/>
      <c r="M184" s="84" t="n"/>
      <c r="N184" s="84" t="n"/>
      <c r="O184" s="84" t="n"/>
      <c r="P184" s="84" t="n"/>
      <c r="Q184" s="84" t="n"/>
      <c r="R184" s="84" t="n"/>
      <c r="S184" s="84" t="n"/>
      <c r="T184" s="84" t="n"/>
      <c r="U184" s="84" t="n"/>
      <c r="V184" s="84" t="n"/>
      <c r="W184" s="84" t="n"/>
      <c r="X184" s="84" t="n"/>
      <c r="Y184" s="84" t="n"/>
      <c r="Z184" s="84" t="n"/>
      <c r="AA184" s="84" t="n"/>
      <c r="AB184" s="84" t="n"/>
      <c r="AC184" s="84" t="n"/>
      <c r="AD184" s="84" t="n"/>
      <c r="AE184" s="84" t="n"/>
    </row>
    <row r="185">
      <c r="B185" s="84" t="n"/>
      <c r="H185" s="84" t="n"/>
      <c r="I185" s="84" t="n"/>
      <c r="J185" s="84" t="n"/>
      <c r="K185" s="84" t="n"/>
      <c r="L185" s="84" t="n"/>
      <c r="M185" s="84" t="n"/>
      <c r="N185" s="84" t="n"/>
      <c r="O185" s="84" t="n"/>
      <c r="P185" s="84" t="n"/>
      <c r="Q185" s="84" t="n"/>
      <c r="R185" s="84" t="n"/>
      <c r="S185" s="84" t="n"/>
      <c r="T185" s="84" t="n"/>
      <c r="U185" s="84" t="n"/>
      <c r="V185" s="84" t="n"/>
      <c r="W185" s="84" t="n"/>
      <c r="X185" s="84" t="n"/>
      <c r="Y185" s="84" t="n"/>
      <c r="Z185" s="84" t="n"/>
      <c r="AA185" s="84" t="n"/>
      <c r="AB185" s="84" t="n"/>
      <c r="AC185" s="84" t="n"/>
      <c r="AD185" s="84" t="n"/>
      <c r="AE185" s="84" t="n"/>
    </row>
    <row r="186">
      <c r="B186" s="84" t="n"/>
      <c r="H186" s="84" t="n"/>
      <c r="I186" s="84" t="n"/>
      <c r="J186" s="84" t="n"/>
      <c r="K186" s="84" t="n"/>
      <c r="L186" s="84" t="n"/>
      <c r="M186" s="84" t="n"/>
      <c r="N186" s="84" t="n"/>
      <c r="O186" s="84" t="n"/>
      <c r="P186" s="84" t="n"/>
      <c r="Q186" s="84" t="n"/>
      <c r="R186" s="84" t="n"/>
      <c r="S186" s="84" t="n"/>
      <c r="T186" s="84" t="n"/>
      <c r="U186" s="84" t="n"/>
      <c r="V186" s="84" t="n"/>
      <c r="W186" s="84" t="n"/>
      <c r="X186" s="84" t="n"/>
      <c r="Y186" s="84" t="n"/>
      <c r="Z186" s="84" t="n"/>
      <c r="AA186" s="84" t="n"/>
      <c r="AB186" s="84" t="n"/>
      <c r="AC186" s="84" t="n"/>
      <c r="AD186" s="84" t="n"/>
      <c r="AE186" s="84" t="n"/>
    </row>
    <row r="187">
      <c r="B187" s="84" t="n"/>
      <c r="H187" s="84" t="n"/>
      <c r="I187" s="84" t="n"/>
      <c r="J187" s="84" t="n"/>
      <c r="K187" s="84" t="n"/>
      <c r="L187" s="84" t="n"/>
      <c r="M187" s="84" t="n"/>
      <c r="N187" s="84" t="n"/>
      <c r="O187" s="84" t="n"/>
      <c r="P187" s="84" t="n"/>
      <c r="Q187" s="84" t="n"/>
      <c r="R187" s="84" t="n"/>
      <c r="S187" s="84" t="n"/>
      <c r="T187" s="84" t="n"/>
      <c r="U187" s="84" t="n"/>
      <c r="V187" s="84" t="n"/>
      <c r="W187" s="84" t="n"/>
      <c r="X187" s="84" t="n"/>
      <c r="Y187" s="84" t="n"/>
      <c r="Z187" s="84" t="n"/>
      <c r="AA187" s="84" t="n"/>
      <c r="AB187" s="84" t="n"/>
      <c r="AC187" s="84" t="n"/>
      <c r="AD187" s="84" t="n"/>
      <c r="AE187" s="84" t="n"/>
    </row>
    <row r="188">
      <c r="B188" s="84" t="n"/>
      <c r="H188" s="84" t="n"/>
      <c r="I188" s="84" t="n"/>
      <c r="J188" s="84" t="n"/>
      <c r="K188" s="84" t="n"/>
      <c r="L188" s="84" t="n"/>
      <c r="M188" s="84" t="n"/>
      <c r="N188" s="84" t="n"/>
      <c r="O188" s="84" t="n"/>
      <c r="P188" s="84" t="n"/>
      <c r="Q188" s="84" t="n"/>
      <c r="R188" s="84" t="n"/>
      <c r="S188" s="84" t="n"/>
      <c r="T188" s="84" t="n"/>
      <c r="U188" s="84" t="n"/>
      <c r="V188" s="84" t="n"/>
      <c r="W188" s="84" t="n"/>
      <c r="X188" s="84" t="n"/>
      <c r="Y188" s="84" t="n"/>
      <c r="Z188" s="84" t="n"/>
      <c r="AA188" s="84" t="n"/>
      <c r="AB188" s="84" t="n"/>
      <c r="AC188" s="84" t="n"/>
      <c r="AD188" s="84" t="n"/>
      <c r="AE188" s="84" t="n"/>
    </row>
    <row r="189">
      <c r="B189" s="84" t="n"/>
      <c r="H189" s="84" t="n"/>
      <c r="I189" s="84" t="n"/>
      <c r="J189" s="84" t="n"/>
      <c r="K189" s="84" t="n"/>
      <c r="L189" s="84" t="n"/>
      <c r="M189" s="84" t="n"/>
      <c r="N189" s="84" t="n"/>
      <c r="O189" s="84" t="n"/>
      <c r="P189" s="84" t="n"/>
      <c r="Q189" s="84" t="n"/>
      <c r="R189" s="84" t="n"/>
      <c r="S189" s="84" t="n"/>
      <c r="T189" s="84" t="n"/>
      <c r="U189" s="84" t="n"/>
      <c r="V189" s="84" t="n"/>
      <c r="W189" s="84" t="n"/>
      <c r="X189" s="84" t="n"/>
      <c r="Y189" s="84" t="n"/>
      <c r="Z189" s="84" t="n"/>
      <c r="AA189" s="84" t="n"/>
      <c r="AB189" s="84" t="n"/>
      <c r="AC189" s="84" t="n"/>
      <c r="AD189" s="84" t="n"/>
      <c r="AE189" s="84" t="n"/>
    </row>
    <row r="190">
      <c r="B190" s="84" t="n"/>
      <c r="H190" s="84" t="n"/>
      <c r="I190" s="84" t="n"/>
      <c r="J190" s="84" t="n"/>
      <c r="K190" s="84" t="n"/>
      <c r="L190" s="84" t="n"/>
      <c r="M190" s="84" t="n"/>
      <c r="N190" s="84" t="n"/>
      <c r="O190" s="84" t="n"/>
      <c r="P190" s="84" t="n"/>
      <c r="Q190" s="84" t="n"/>
      <c r="R190" s="84" t="n"/>
      <c r="S190" s="84" t="n"/>
      <c r="T190" s="84" t="n"/>
      <c r="U190" s="84" t="n"/>
      <c r="V190" s="84" t="n"/>
      <c r="W190" s="84" t="n"/>
      <c r="X190" s="84" t="n"/>
      <c r="Y190" s="84" t="n"/>
      <c r="Z190" s="84" t="n"/>
      <c r="AA190" s="84" t="n"/>
      <c r="AB190" s="84" t="n"/>
      <c r="AC190" s="84" t="n"/>
      <c r="AD190" s="84" t="n"/>
      <c r="AE190" s="84" t="n"/>
    </row>
    <row r="191">
      <c r="B191" s="84" t="n"/>
      <c r="H191" s="84" t="n"/>
      <c r="I191" s="84" t="n"/>
      <c r="J191" s="84" t="n"/>
      <c r="K191" s="84" t="n"/>
      <c r="L191" s="84" t="n"/>
      <c r="M191" s="84" t="n"/>
      <c r="N191" s="84" t="n"/>
      <c r="O191" s="84" t="n"/>
      <c r="P191" s="84" t="n"/>
      <c r="Q191" s="84" t="n"/>
      <c r="R191" s="84" t="n"/>
      <c r="S191" s="84" t="n"/>
      <c r="T191" s="84" t="n"/>
      <c r="U191" s="84" t="n"/>
      <c r="V191" s="84" t="n"/>
      <c r="W191" s="84" t="n"/>
      <c r="X191" s="84" t="n"/>
      <c r="Y191" s="84" t="n"/>
      <c r="Z191" s="84" t="n"/>
      <c r="AA191" s="84" t="n"/>
      <c r="AB191" s="84" t="n"/>
      <c r="AC191" s="84" t="n"/>
      <c r="AD191" s="84" t="n"/>
      <c r="AE191" s="84" t="n"/>
    </row>
    <row r="192">
      <c r="B192" s="84" t="n"/>
      <c r="H192" s="84" t="n"/>
      <c r="I192" s="84" t="n"/>
      <c r="J192" s="84" t="n"/>
      <c r="K192" s="84" t="n"/>
      <c r="L192" s="84" t="n"/>
      <c r="M192" s="84" t="n"/>
      <c r="N192" s="84" t="n"/>
      <c r="O192" s="84" t="n"/>
      <c r="P192" s="84" t="n"/>
      <c r="Q192" s="84" t="n"/>
      <c r="R192" s="84" t="n"/>
      <c r="S192" s="84" t="n"/>
      <c r="T192" s="84" t="n"/>
      <c r="U192" s="84" t="n"/>
      <c r="V192" s="84" t="n"/>
      <c r="W192" s="84" t="n"/>
      <c r="X192" s="84" t="n"/>
      <c r="Y192" s="84" t="n"/>
      <c r="Z192" s="84" t="n"/>
      <c r="AA192" s="84" t="n"/>
      <c r="AB192" s="84" t="n"/>
      <c r="AC192" s="84" t="n"/>
      <c r="AD192" s="84" t="n"/>
      <c r="AE192" s="84" t="n"/>
    </row>
    <row r="193">
      <c r="B193" s="84" t="n"/>
      <c r="H193" s="84" t="n"/>
      <c r="I193" s="84" t="n"/>
      <c r="J193" s="84" t="n"/>
      <c r="K193" s="84" t="n"/>
      <c r="L193" s="84" t="n"/>
      <c r="M193" s="84" t="n"/>
      <c r="N193" s="84" t="n"/>
      <c r="O193" s="84" t="n"/>
      <c r="P193" s="84" t="n"/>
      <c r="Q193" s="84" t="n"/>
      <c r="R193" s="84" t="n"/>
      <c r="S193" s="84" t="n"/>
      <c r="T193" s="84" t="n"/>
      <c r="U193" s="84" t="n"/>
      <c r="V193" s="84" t="n"/>
      <c r="W193" s="84" t="n"/>
      <c r="X193" s="84" t="n"/>
      <c r="Y193" s="84" t="n"/>
      <c r="Z193" s="84" t="n"/>
      <c r="AA193" s="84" t="n"/>
      <c r="AB193" s="84" t="n"/>
      <c r="AC193" s="84" t="n"/>
      <c r="AD193" s="84" t="n"/>
      <c r="AE193" s="84" t="n"/>
    </row>
    <row r="194">
      <c r="B194" s="84" t="n"/>
      <c r="H194" s="84" t="n"/>
      <c r="I194" s="84" t="n"/>
      <c r="J194" s="84" t="n"/>
      <c r="K194" s="84" t="n"/>
      <c r="L194" s="84" t="n"/>
      <c r="M194" s="84" t="n"/>
      <c r="N194" s="84" t="n"/>
      <c r="O194" s="84" t="n"/>
      <c r="P194" s="84" t="n"/>
      <c r="Q194" s="84" t="n"/>
      <c r="R194" s="84" t="n"/>
      <c r="S194" s="84" t="n"/>
      <c r="T194" s="84" t="n"/>
      <c r="U194" s="84" t="n"/>
      <c r="V194" s="84" t="n"/>
      <c r="W194" s="84" t="n"/>
      <c r="X194" s="84" t="n"/>
      <c r="Y194" s="84" t="n"/>
      <c r="Z194" s="84" t="n"/>
      <c r="AA194" s="84" t="n"/>
      <c r="AB194" s="84" t="n"/>
      <c r="AC194" s="84" t="n"/>
      <c r="AD194" s="84" t="n"/>
      <c r="AE194" s="84" t="n"/>
    </row>
    <row r="195">
      <c r="B195" s="84" t="n"/>
      <c r="H195" s="84" t="n"/>
      <c r="I195" s="84" t="n"/>
      <c r="J195" s="84" t="n"/>
      <c r="K195" s="84" t="n"/>
      <c r="L195" s="84" t="n"/>
      <c r="M195" s="84" t="n"/>
      <c r="N195" s="84" t="n"/>
      <c r="O195" s="84" t="n"/>
      <c r="P195" s="84" t="n"/>
      <c r="Q195" s="84" t="n"/>
      <c r="R195" s="84" t="n"/>
      <c r="S195" s="84" t="n"/>
      <c r="T195" s="84" t="n"/>
      <c r="U195" s="84" t="n"/>
      <c r="V195" s="84" t="n"/>
      <c r="W195" s="84" t="n"/>
      <c r="X195" s="84" t="n"/>
      <c r="Y195" s="84" t="n"/>
      <c r="Z195" s="84" t="n"/>
      <c r="AA195" s="84" t="n"/>
      <c r="AB195" s="84" t="n"/>
      <c r="AC195" s="84" t="n"/>
      <c r="AD195" s="84" t="n"/>
      <c r="AE195" s="84" t="n"/>
    </row>
    <row r="196">
      <c r="B196" s="84" t="n"/>
      <c r="H196" s="84" t="n"/>
      <c r="I196" s="84" t="n"/>
      <c r="J196" s="84" t="n"/>
      <c r="K196" s="84" t="n"/>
      <c r="L196" s="84" t="n"/>
      <c r="M196" s="84" t="n"/>
      <c r="N196" s="84" t="n"/>
      <c r="O196" s="84" t="n"/>
      <c r="P196" s="84" t="n"/>
      <c r="Q196" s="84" t="n"/>
      <c r="R196" s="84" t="n"/>
      <c r="S196" s="84" t="n"/>
      <c r="T196" s="84" t="n"/>
      <c r="U196" s="84" t="n"/>
      <c r="V196" s="84" t="n"/>
      <c r="W196" s="84" t="n"/>
      <c r="X196" s="84" t="n"/>
      <c r="Y196" s="84" t="n"/>
      <c r="Z196" s="84" t="n"/>
      <c r="AA196" s="84" t="n"/>
      <c r="AB196" s="84" t="n"/>
      <c r="AC196" s="84" t="n"/>
      <c r="AD196" s="84" t="n"/>
      <c r="AE196" s="84" t="n"/>
    </row>
    <row r="197">
      <c r="B197" s="84" t="n"/>
      <c r="H197" s="84" t="n"/>
      <c r="I197" s="84" t="n"/>
      <c r="J197" s="84" t="n"/>
      <c r="K197" s="84" t="n"/>
      <c r="L197" s="84" t="n"/>
      <c r="M197" s="84" t="n"/>
      <c r="N197" s="84" t="n"/>
      <c r="O197" s="84" t="n"/>
      <c r="P197" s="84" t="n"/>
      <c r="Q197" s="84" t="n"/>
      <c r="R197" s="84" t="n"/>
      <c r="S197" s="84" t="n"/>
      <c r="T197" s="84" t="n"/>
      <c r="U197" s="84" t="n"/>
      <c r="V197" s="84" t="n"/>
      <c r="W197" s="84" t="n"/>
      <c r="X197" s="84" t="n"/>
      <c r="Y197" s="84" t="n"/>
      <c r="Z197" s="84" t="n"/>
      <c r="AA197" s="84" t="n"/>
      <c r="AB197" s="84" t="n"/>
      <c r="AC197" s="84" t="n"/>
      <c r="AD197" s="84" t="n"/>
      <c r="AE197" s="84" t="n"/>
    </row>
    <row r="198">
      <c r="B198" s="84" t="n"/>
      <c r="H198" s="84" t="n"/>
      <c r="I198" s="84" t="n"/>
      <c r="J198" s="84" t="n"/>
      <c r="K198" s="84" t="n"/>
      <c r="L198" s="84" t="n"/>
      <c r="M198" s="84" t="n"/>
      <c r="N198" s="84" t="n"/>
      <c r="O198" s="84" t="n"/>
      <c r="P198" s="84" t="n"/>
      <c r="Q198" s="84" t="n"/>
      <c r="R198" s="84" t="n"/>
      <c r="S198" s="84" t="n"/>
      <c r="T198" s="84" t="n"/>
      <c r="U198" s="84" t="n"/>
      <c r="V198" s="84" t="n"/>
      <c r="W198" s="84" t="n"/>
      <c r="X198" s="84" t="n"/>
      <c r="Y198" s="84" t="n"/>
      <c r="Z198" s="84" t="n"/>
      <c r="AA198" s="84" t="n"/>
      <c r="AB198" s="84" t="n"/>
      <c r="AC198" s="84" t="n"/>
      <c r="AD198" s="84" t="n"/>
      <c r="AE198" s="84" t="n"/>
    </row>
    <row r="199">
      <c r="B199" s="84" t="n"/>
      <c r="H199" s="84" t="n"/>
      <c r="I199" s="84" t="n"/>
      <c r="J199" s="84" t="n"/>
      <c r="K199" s="84" t="n"/>
      <c r="L199" s="84" t="n"/>
      <c r="M199" s="84" t="n"/>
      <c r="N199" s="84" t="n"/>
      <c r="O199" s="84" t="n"/>
      <c r="P199" s="84" t="n"/>
      <c r="Q199" s="84" t="n"/>
      <c r="R199" s="84" t="n"/>
      <c r="S199" s="84" t="n"/>
      <c r="T199" s="84" t="n"/>
      <c r="U199" s="84" t="n"/>
      <c r="V199" s="84" t="n"/>
      <c r="W199" s="84" t="n"/>
      <c r="X199" s="84" t="n"/>
      <c r="Y199" s="84" t="n"/>
      <c r="Z199" s="84" t="n"/>
      <c r="AA199" s="84" t="n"/>
      <c r="AB199" s="84" t="n"/>
      <c r="AC199" s="84" t="n"/>
      <c r="AD199" s="84" t="n"/>
      <c r="AE199" s="8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05"/>
  <mergeCells count="8">
    <mergeCell ref="A11:C11"/>
    <mergeCell ref="A44:C44"/>
    <mergeCell ref="A1:C1"/>
    <mergeCell ref="A32:C32"/>
    <mergeCell ref="A4:C4"/>
    <mergeCell ref="A26:C26"/>
    <mergeCell ref="A38:C38"/>
    <mergeCell ref="A51:C51"/>
  </mergeCells>
  <dataValidations count="1">
    <dataValidation sqref="B52" showDropDown="0" showInputMessage="0" showErrorMessage="0" allowBlank="0" type="list">
      <formula1>"يناير,فبراير,مارس,أبريل,مايو,يونيو,يوليو,أغسطس,سبتمبر,أكتوبر,نوفمبر,ديسمبر"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808080"/>
    <outlinePr summaryBelow="1" summaryRight="1"/>
    <pageSetUpPr/>
  </sheetPr>
  <dimension ref="A1:G50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بيانات الرسوم البيانية (ورقة مساعدة — تُحدّث تلقائيًا)</t>
        </is>
      </c>
    </row>
    <row r="3">
      <c r="A3" s="92" t="inlineStr">
        <is>
          <t>الإدارة</t>
        </is>
      </c>
      <c r="B3" s="92" t="inlineStr">
        <is>
          <t>عدد الموظفين</t>
        </is>
      </c>
    </row>
    <row r="4">
      <c r="A4" s="93">
        <f>IFERROR(INDEX(قائمة_الإدارات,1),"")</f>
        <v/>
      </c>
      <c r="B4" s="94">
        <f>IF($A4="","",COUNTIFS(الموظفون_الإدارة,$A4,الموظفون_الحالة,"نشط"))</f>
        <v/>
      </c>
    </row>
    <row r="5">
      <c r="A5" s="93">
        <f>IFERROR(INDEX(قائمة_الإدارات,2),"")</f>
        <v/>
      </c>
      <c r="B5" s="94">
        <f>IF($A5="","",COUNTIFS(الموظفون_الإدارة,$A5,الموظفون_الحالة,"نشط"))</f>
        <v/>
      </c>
    </row>
    <row r="6">
      <c r="A6" s="93">
        <f>IFERROR(INDEX(قائمة_الإدارات,3),"")</f>
        <v/>
      </c>
      <c r="B6" s="94">
        <f>IF($A6="","",COUNTIFS(الموظفون_الإدارة,$A6,الموظفون_الحالة,"نشط"))</f>
        <v/>
      </c>
    </row>
    <row r="7">
      <c r="A7" s="93">
        <f>IFERROR(INDEX(قائمة_الإدارات,4),"")</f>
        <v/>
      </c>
      <c r="B7" s="94">
        <f>IF($A7="","",COUNTIFS(الموظفون_الإدارة,$A7,الموظفون_الحالة,"نشط"))</f>
        <v/>
      </c>
    </row>
    <row r="8">
      <c r="A8" s="93">
        <f>IFERROR(INDEX(قائمة_الإدارات,5),"")</f>
        <v/>
      </c>
      <c r="B8" s="94">
        <f>IF($A8="","",COUNTIFS(الموظفون_الإدارة,$A8,الموظفون_الحالة,"نشط"))</f>
        <v/>
      </c>
    </row>
    <row r="9">
      <c r="A9" s="93">
        <f>IFERROR(INDEX(قائمة_الإدارات,6),"")</f>
        <v/>
      </c>
      <c r="B9" s="94">
        <f>IF($A9="","",COUNTIFS(الموظفون_الإدارة,$A9,الموظفون_الحالة,"نشط"))</f>
        <v/>
      </c>
    </row>
    <row r="10">
      <c r="A10" s="93">
        <f>IFERROR(INDEX(قائمة_الإدارات,7),"")</f>
        <v/>
      </c>
      <c r="B10" s="94">
        <f>IF($A10="","",COUNTIFS(الموظفون_الإدارة,$A10,الموظفون_الحالة,"نشط"))</f>
        <v/>
      </c>
    </row>
    <row r="11">
      <c r="A11" s="93">
        <f>IFERROR(INDEX(قائمة_الإدارات,8),"")</f>
        <v/>
      </c>
      <c r="B11" s="94">
        <f>IF($A11="","",COUNTIFS(الموظفون_الإدارة,$A11,الموظفون_الحالة,"نشط"))</f>
        <v/>
      </c>
    </row>
    <row r="12">
      <c r="A12" s="93">
        <f>IFERROR(INDEX(قائمة_الإدارات,9),"")</f>
        <v/>
      </c>
      <c r="B12" s="94">
        <f>IF($A12="","",COUNTIFS(الموظفون_الإدارة,$A12,الموظفون_الحالة,"نشط"))</f>
        <v/>
      </c>
    </row>
    <row r="13">
      <c r="A13" s="93">
        <f>IFERROR(INDEX(قائمة_الإدارات,10),"")</f>
        <v/>
      </c>
      <c r="B13" s="94">
        <f>IF($A13="","",COUNTIFS(الموظفون_الإدارة,$A13,الموظفون_الحالة,"نشط"))</f>
        <v/>
      </c>
    </row>
    <row r="14">
      <c r="A14" s="93">
        <f>IFERROR(INDEX(قائمة_الإدارات,11),"")</f>
        <v/>
      </c>
      <c r="B14" s="94">
        <f>IF($A14="","",COUNTIFS(الموظفون_الإدارة,$A14,الموظفون_الحالة,"نشط"))</f>
        <v/>
      </c>
    </row>
    <row r="15">
      <c r="A15" s="93">
        <f>IFERROR(INDEX(قائمة_الإدارات,12),"")</f>
        <v/>
      </c>
      <c r="B15" s="94">
        <f>IF($A15="","",COUNTIFS(الموظفون_الإدارة,$A15,الموظفون_الحالة,"نشط"))</f>
        <v/>
      </c>
    </row>
    <row r="18">
      <c r="A18" s="92" t="inlineStr">
        <is>
          <t>الحالة</t>
        </is>
      </c>
      <c r="B18" s="92" t="inlineStr">
        <is>
          <t>العدد</t>
        </is>
      </c>
    </row>
    <row r="19">
      <c r="A19" s="93">
        <f>IFERROR(INDEX(قائمة_حالات_الموظف,1),"")</f>
        <v/>
      </c>
      <c r="B19" s="94">
        <f>IF($A19="","",COUNTIF(الموظفون_الحالة,$A19))</f>
        <v/>
      </c>
    </row>
    <row r="20">
      <c r="A20" s="93">
        <f>IFERROR(INDEX(قائمة_حالات_الموظف,2),"")</f>
        <v/>
      </c>
      <c r="B20" s="94">
        <f>IF($A20="","",COUNTIF(الموظفون_الحالة,$A20))</f>
        <v/>
      </c>
    </row>
    <row r="21">
      <c r="A21" s="93">
        <f>IFERROR(INDEX(قائمة_حالات_الموظف,3),"")</f>
        <v/>
      </c>
      <c r="B21" s="94">
        <f>IF($A21="","",COUNTIF(الموظفون_الحالة,$A21))</f>
        <v/>
      </c>
    </row>
    <row r="22">
      <c r="A22" s="93">
        <f>IFERROR(INDEX(قائمة_حالات_الموظف,4),"")</f>
        <v/>
      </c>
      <c r="B22" s="94">
        <f>IF($A22="","",COUNTIF(الموظفون_الحالة,$A22))</f>
        <v/>
      </c>
    </row>
    <row r="23">
      <c r="A23" s="93">
        <f>IFERROR(INDEX(قائمة_حالات_الموظف,5),"")</f>
        <v/>
      </c>
      <c r="B23" s="94">
        <f>IF($A23="","",COUNTIF(الموظفون_الحالة,$A23))</f>
        <v/>
      </c>
    </row>
    <row r="24">
      <c r="A24" s="93">
        <f>IFERROR(INDEX(قائمة_حالات_الموظف,6),"")</f>
        <v/>
      </c>
      <c r="B24" s="94">
        <f>IF($A24="","",COUNTIF(الموظفون_الحالة,$A24))</f>
        <v/>
      </c>
    </row>
    <row r="25">
      <c r="A25" s="93">
        <f>IFERROR(INDEX(قائمة_حالات_الموظف,7),"")</f>
        <v/>
      </c>
      <c r="B25" s="94">
        <f>IF($A25="","",COUNTIF(الموظفون_الحالة,$A25))</f>
        <v/>
      </c>
    </row>
    <row r="26">
      <c r="A26" s="93">
        <f>IFERROR(INDEX(قائمة_حالات_الموظف,8),"")</f>
        <v/>
      </c>
      <c r="B26" s="94">
        <f>IF($A26="","",COUNTIF(الموظفون_الحالة,$A26))</f>
        <v/>
      </c>
    </row>
    <row r="29">
      <c r="A29" s="92" t="inlineStr">
        <is>
          <t>الشهر</t>
        </is>
      </c>
      <c r="B29" s="92" t="inlineStr">
        <is>
          <t>إجمالي الاستحقاقات</t>
        </is>
      </c>
      <c r="C29" s="92" t="inlineStr">
        <is>
          <t>صافي الرواتب</t>
        </is>
      </c>
    </row>
    <row r="30">
      <c r="A30" s="93" t="inlineStr">
        <is>
          <t>يناير</t>
        </is>
      </c>
      <c r="B30" s="95">
        <f>SUMIFS(الرواتب_الاستحقاقات,الرواتب_الشهر,$A30)</f>
        <v/>
      </c>
      <c r="C30" s="95">
        <f>SUMIFS(الرواتب_الصافي,الرواتب_الشهر,$A30)</f>
        <v/>
      </c>
    </row>
    <row r="31">
      <c r="A31" s="93" t="inlineStr">
        <is>
          <t>فبراير</t>
        </is>
      </c>
      <c r="B31" s="95">
        <f>SUMIFS(الرواتب_الاستحقاقات,الرواتب_الشهر,$A31)</f>
        <v/>
      </c>
      <c r="C31" s="95">
        <f>SUMIFS(الرواتب_الصافي,الرواتب_الشهر,$A31)</f>
        <v/>
      </c>
    </row>
    <row r="32">
      <c r="A32" s="93" t="inlineStr">
        <is>
          <t>مارس</t>
        </is>
      </c>
      <c r="B32" s="95">
        <f>SUMIFS(الرواتب_الاستحقاقات,الرواتب_الشهر,$A32)</f>
        <v/>
      </c>
      <c r="C32" s="95">
        <f>SUMIFS(الرواتب_الصافي,الرواتب_الشهر,$A32)</f>
        <v/>
      </c>
    </row>
    <row r="33">
      <c r="A33" s="93" t="inlineStr">
        <is>
          <t>أبريل</t>
        </is>
      </c>
      <c r="B33" s="95">
        <f>SUMIFS(الرواتب_الاستحقاقات,الرواتب_الشهر,$A33)</f>
        <v/>
      </c>
      <c r="C33" s="95">
        <f>SUMIFS(الرواتب_الصافي,الرواتب_الشهر,$A33)</f>
        <v/>
      </c>
    </row>
    <row r="34">
      <c r="A34" s="93" t="inlineStr">
        <is>
          <t>مايو</t>
        </is>
      </c>
      <c r="B34" s="95">
        <f>SUMIFS(الرواتب_الاستحقاقات,الرواتب_الشهر,$A34)</f>
        <v/>
      </c>
      <c r="C34" s="95">
        <f>SUMIFS(الرواتب_الصافي,الرواتب_الشهر,$A34)</f>
        <v/>
      </c>
    </row>
    <row r="35">
      <c r="A35" s="93" t="inlineStr">
        <is>
          <t>يونيو</t>
        </is>
      </c>
      <c r="B35" s="95">
        <f>SUMIFS(الرواتب_الاستحقاقات,الرواتب_الشهر,$A35)</f>
        <v/>
      </c>
      <c r="C35" s="95">
        <f>SUMIFS(الرواتب_الصافي,الرواتب_الشهر,$A35)</f>
        <v/>
      </c>
    </row>
    <row r="36">
      <c r="A36" s="93" t="inlineStr">
        <is>
          <t>يوليو</t>
        </is>
      </c>
      <c r="B36" s="95">
        <f>SUMIFS(الرواتب_الاستحقاقات,الرواتب_الشهر,$A36)</f>
        <v/>
      </c>
      <c r="C36" s="95">
        <f>SUMIFS(الرواتب_الصافي,الرواتب_الشهر,$A36)</f>
        <v/>
      </c>
    </row>
    <row r="37">
      <c r="A37" s="93" t="inlineStr">
        <is>
          <t>أغسطس</t>
        </is>
      </c>
      <c r="B37" s="95">
        <f>SUMIFS(الرواتب_الاستحقاقات,الرواتب_الشهر,$A37)</f>
        <v/>
      </c>
      <c r="C37" s="95">
        <f>SUMIFS(الرواتب_الصافي,الرواتب_الشهر,$A37)</f>
        <v/>
      </c>
    </row>
    <row r="38">
      <c r="A38" s="93" t="inlineStr">
        <is>
          <t>سبتمبر</t>
        </is>
      </c>
      <c r="B38" s="95">
        <f>SUMIFS(الرواتب_الاستحقاقات,الرواتب_الشهر,$A38)</f>
        <v/>
      </c>
      <c r="C38" s="95">
        <f>SUMIFS(الرواتب_الصافي,الرواتب_الشهر,$A38)</f>
        <v/>
      </c>
    </row>
    <row r="39">
      <c r="A39" s="93" t="inlineStr">
        <is>
          <t>أكتوبر</t>
        </is>
      </c>
      <c r="B39" s="95">
        <f>SUMIFS(الرواتب_الاستحقاقات,الرواتب_الشهر,$A39)</f>
        <v/>
      </c>
      <c r="C39" s="95">
        <f>SUMIFS(الرواتب_الصافي,الرواتب_الشهر,$A39)</f>
        <v/>
      </c>
    </row>
    <row r="40">
      <c r="A40" s="93" t="inlineStr">
        <is>
          <t>نوفمبر</t>
        </is>
      </c>
      <c r="B40" s="95">
        <f>SUMIFS(الرواتب_الاستحقاقات,الرواتب_الشهر,$A40)</f>
        <v/>
      </c>
      <c r="C40" s="95">
        <f>SUMIFS(الرواتب_الصافي,الرواتب_الشهر,$A40)</f>
        <v/>
      </c>
    </row>
    <row r="41">
      <c r="A41" s="93" t="inlineStr">
        <is>
          <t>ديسمبر</t>
        </is>
      </c>
      <c r="B41" s="95">
        <f>SUMIFS(الرواتب_الاستحقاقات,الرواتب_الشهر,$A41)</f>
        <v/>
      </c>
      <c r="C41" s="95">
        <f>SUMIFS(الرواتب_الصافي,الرواتب_الشهر,$A41)</f>
        <v/>
      </c>
    </row>
    <row r="44">
      <c r="A44" s="92" t="inlineStr">
        <is>
          <t>المؤشر</t>
        </is>
      </c>
      <c r="B44" s="92" t="inlineStr">
        <is>
          <t>القيمة</t>
        </is>
      </c>
    </row>
    <row r="45">
      <c r="A45" s="93" t="inlineStr">
        <is>
          <t>موظفون جدد</t>
        </is>
      </c>
      <c r="B45" s="95">
        <f>COUNTIFS(الموظفون_التعيين,"&gt;="&amp;TODAY()-فترة_الموظف_الجديد,الموظفون_الرقم,"&lt;&gt;")</f>
        <v/>
      </c>
    </row>
    <row r="46">
      <c r="A46" s="93" t="inlineStr">
        <is>
          <t>عقود تنتهي خلال 30 يومًا</t>
        </is>
      </c>
      <c r="B46" s="95">
        <f>SUMPRODUCT(ISNUMBER(الموظفون_نهاية_العقد)*(الموظفون_نهاية_العقد&gt;=TODAY())*(الموظفون_نهاية_العقد&lt;=TODAY()+تنبيه_انتهاء_العقد))</f>
        <v/>
      </c>
    </row>
    <row r="47">
      <c r="A47" s="93" t="inlineStr">
        <is>
          <t>وثائق تنتهي خلال 30 يومًا</t>
        </is>
      </c>
      <c r="B47" s="95">
        <f>COUNTIFS(الوثائق_ايام,"&gt;="&amp;0,الوثائق_ايام,"&lt;="&amp;تنبيه_وثيقة_30)</f>
        <v/>
      </c>
    </row>
    <row r="48">
      <c r="A48" s="93" t="inlineStr">
        <is>
          <t>إجمالي البدلات</t>
        </is>
      </c>
      <c r="B48" s="95">
        <f>SUM(الرواتب_بدل_النقل)+SUM(الرواتب_بدل_السكن)+SUM(الرواتب_بدلات_اخرى)</f>
        <v/>
      </c>
    </row>
    <row r="49">
      <c r="A49" s="93" t="inlineStr">
        <is>
          <t>إجمالي الخصومات</t>
        </is>
      </c>
      <c r="B49" s="95">
        <f>SUM(الرواتب_الخصومات)</f>
        <v/>
      </c>
    </row>
    <row r="50">
      <c r="A50" s="93" t="inlineStr">
        <is>
          <t>إجمالي السلف المتبقية</t>
        </is>
      </c>
      <c r="B50" s="95">
        <f>SUM(السلف_المتبقي)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05"/>
  <mergeCells count="1"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C00000"/>
    <outlinePr summaryBelow="1" summaryRight="1"/>
    <pageSetUpPr/>
  </sheetPr>
  <dimension ref="A1:E59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  <col width="40" customWidth="1" min="4" max="4"/>
    <col width="14" customWidth="1" min="5" max="5"/>
  </cols>
  <sheetData>
    <row r="1" ht="34" customHeight="1">
      <c r="A1" s="1" t="inlineStr">
        <is>
          <t>سجل اختبارات النظام (يُعبّأ بعد الاختبار الفعلي)</t>
        </is>
      </c>
    </row>
    <row r="2">
      <c r="A2" s="96" t="inlineStr">
        <is>
          <t>نتائج التشغيل الفعلي بتاريخ 2026-10-29 عبر إعادة حساب الملف بمحرّك LibreOffice ومقارنة القيم بقواعد مستقلة. لا تُعد أي حالة ناجحة قبل التحقق.</t>
        </is>
      </c>
    </row>
    <row r="4" ht="28" customHeight="1">
      <c r="A4" s="97" t="inlineStr">
        <is>
          <t>رقم الاختبار</t>
        </is>
      </c>
      <c r="B4" s="97" t="inlineStr">
        <is>
          <t>وصف الاختبار</t>
        </is>
      </c>
      <c r="C4" s="97" t="inlineStr">
        <is>
          <t>النتيجة المتوقعة</t>
        </is>
      </c>
      <c r="D4" s="97" t="inlineStr">
        <is>
          <t>النتيجة الفعلية</t>
        </is>
      </c>
      <c r="E4" s="97" t="inlineStr">
        <is>
          <t>الحالة</t>
        </is>
      </c>
    </row>
    <row r="5" ht="26" customHeight="1">
      <c r="A5" s="124" t="inlineStr">
        <is>
          <t>T23</t>
        </is>
      </c>
      <c r="B5" s="125" t="inlineStr">
        <is>
          <t>لا توجد أخطاء #NAME?/#REF!/#VALUE! في أي ورقة</t>
        </is>
      </c>
      <c r="C5" s="125" t="inlineStr">
        <is>
          <t>0</t>
        </is>
      </c>
      <c r="D5" s="125" t="inlineStr">
        <is>
          <t>0</t>
        </is>
      </c>
      <c r="E5" s="124" t="inlineStr">
        <is>
          <t>ناجح</t>
        </is>
      </c>
    </row>
    <row r="6" ht="26" customHeight="1">
      <c r="A6" s="124" t="inlineStr">
        <is>
          <t>T01</t>
        </is>
      </c>
      <c r="B6" s="125" t="inlineStr">
        <is>
          <t>عدد الموظفين في لوحة التحكم = عدد الأرقام الوظيفية</t>
        </is>
      </c>
      <c r="C6" s="125" t="inlineStr">
        <is>
          <t>12</t>
        </is>
      </c>
      <c r="D6" s="125" t="inlineStr">
        <is>
          <t>12</t>
        </is>
      </c>
      <c r="E6" s="124" t="inlineStr">
        <is>
          <t>ناجح</t>
        </is>
      </c>
    </row>
    <row r="7" ht="26" customHeight="1">
      <c r="A7" s="124" t="inlineStr">
        <is>
          <t>T02</t>
        </is>
      </c>
      <c r="B7" s="125" t="inlineStr">
        <is>
          <t>عدد النشطين = عدد الصفوف بحالة نشط</t>
        </is>
      </c>
      <c r="C7" s="125" t="inlineStr">
        <is>
          <t>8</t>
        </is>
      </c>
      <c r="D7" s="125" t="inlineStr">
        <is>
          <t>8</t>
        </is>
      </c>
      <c r="E7" s="124" t="inlineStr">
        <is>
          <t>ناجح</t>
        </is>
      </c>
    </row>
    <row r="8" ht="26" customHeight="1">
      <c r="A8" s="124" t="inlineStr">
        <is>
          <t>T05</t>
        </is>
      </c>
      <c r="B8" s="125" t="inlineStr">
        <is>
          <t>صافي الراتب = الاستحقاقات − الخصومات (كل الصفوف)</t>
        </is>
      </c>
      <c r="C8" s="125" t="inlineStr">
        <is>
          <t>True</t>
        </is>
      </c>
      <c r="D8" s="125" t="inlineStr">
        <is>
          <t>True</t>
        </is>
      </c>
      <c r="E8" s="124" t="inlineStr">
        <is>
          <t>ناجح</t>
        </is>
      </c>
    </row>
    <row r="9" ht="26" customHeight="1">
      <c r="A9" s="124" t="inlineStr">
        <is>
          <t>T06</t>
        </is>
      </c>
      <c r="B9" s="125" t="inlineStr">
        <is>
          <t>الاستحقاقات = الأساسي + البدلات + المكافآت + الإضافي</t>
        </is>
      </c>
      <c r="C9" s="125" t="inlineStr">
        <is>
          <t>True</t>
        </is>
      </c>
      <c r="D9" s="125" t="inlineStr">
        <is>
          <t>True</t>
        </is>
      </c>
      <c r="E9" s="124" t="inlineStr">
        <is>
          <t>ناجح</t>
        </is>
      </c>
    </row>
    <row r="10" ht="26" customHeight="1">
      <c r="A10" s="124" t="inlineStr">
        <is>
          <t>T04</t>
        </is>
      </c>
      <c r="B10" s="125" t="inlineStr">
        <is>
          <t>إجمالي صافي الرواتب = مجموع صافي الصفوف</t>
        </is>
      </c>
      <c r="C10" s="125" t="inlineStr">
        <is>
          <t>115850</t>
        </is>
      </c>
      <c r="D10" s="125" t="inlineStr">
        <is>
          <t>115850</t>
        </is>
      </c>
      <c r="E10" s="124" t="inlineStr">
        <is>
          <t>ناجح</t>
        </is>
      </c>
    </row>
    <row r="11" ht="26" customHeight="1">
      <c r="A11" s="124" t="inlineStr">
        <is>
          <t>T07</t>
        </is>
      </c>
      <c r="B11" s="125" t="inlineStr">
        <is>
          <t>لا يوجد راتب مكرر (عمود التحقق)</t>
        </is>
      </c>
      <c r="C11" s="125" t="inlineStr">
        <is>
          <t>0</t>
        </is>
      </c>
      <c r="D11" s="125" t="inlineStr">
        <is>
          <t>0</t>
        </is>
      </c>
      <c r="E11" s="124" t="inlineStr">
        <is>
          <t>ناجح</t>
        </is>
      </c>
    </row>
    <row r="12" ht="26" customHeight="1">
      <c r="A12" s="124" t="inlineStr">
        <is>
          <t>T09</t>
        </is>
      </c>
      <c r="B12" s="125" t="inlineStr">
        <is>
          <t>الإجازة غير المعتمدة لا تُخصم من الرصيد</t>
        </is>
      </c>
      <c r="C12" s="125" t="inlineStr">
        <is>
          <t>True</t>
        </is>
      </c>
      <c r="D12" s="125" t="inlineStr">
        <is>
          <t>True</t>
        </is>
      </c>
      <c r="E12" s="124" t="inlineStr">
        <is>
          <t>ناجح</t>
        </is>
      </c>
    </row>
    <row r="13" ht="26" customHeight="1">
      <c r="A13" s="124" t="inlineStr">
        <is>
          <t>T08</t>
        </is>
      </c>
      <c r="B13" s="125" t="inlineStr">
        <is>
          <t>الرصيد بعد = الرصيد قبل − المستخدم</t>
        </is>
      </c>
      <c r="C13" s="125" t="inlineStr">
        <is>
          <t>True</t>
        </is>
      </c>
      <c r="D13" s="125" t="inlineStr">
        <is>
          <t>True</t>
        </is>
      </c>
      <c r="E13" s="124" t="inlineStr">
        <is>
          <t>ناجح</t>
        </is>
      </c>
    </row>
    <row r="14" ht="26" customHeight="1">
      <c r="A14" s="124" t="inlineStr">
        <is>
          <t>T11</t>
        </is>
      </c>
      <c r="B14" s="125" t="inlineStr">
        <is>
          <t>المبلغ المتبقي = مبلغ السلفة − المسدد</t>
        </is>
      </c>
      <c r="C14" s="125" t="inlineStr">
        <is>
          <t>True</t>
        </is>
      </c>
      <c r="D14" s="125" t="inlineStr">
        <is>
          <t>True</t>
        </is>
      </c>
      <c r="E14" s="124" t="inlineStr">
        <is>
          <t>ناجح</t>
        </is>
      </c>
    </row>
    <row r="15" ht="26" customHeight="1">
      <c r="A15" s="124" t="inlineStr">
        <is>
          <t>T10</t>
        </is>
      </c>
      <c r="B15" s="125" t="inlineStr">
        <is>
          <t>المسدد = مجموع الأقساط المصروفة للسلفة</t>
        </is>
      </c>
      <c r="C15" s="125" t="inlineStr">
        <is>
          <t>True</t>
        </is>
      </c>
      <c r="D15" s="125" t="inlineStr">
        <is>
          <t>True</t>
        </is>
      </c>
      <c r="E15" s="124" t="inlineStr">
        <is>
          <t>ناجح</t>
        </is>
      </c>
    </row>
    <row r="16" ht="26" customHeight="1">
      <c r="A16" s="124" t="inlineStr">
        <is>
          <t>T12</t>
        </is>
      </c>
      <c r="B16" s="125" t="inlineStr">
        <is>
          <t>لا يُخصم قسط السلفة نفسه مرتين لنفس الشهر</t>
        </is>
      </c>
      <c r="C16" s="125" t="inlineStr">
        <is>
          <t>0</t>
        </is>
      </c>
      <c r="D16" s="125" t="inlineStr">
        <is>
          <t>0</t>
        </is>
      </c>
      <c r="E16" s="124" t="inlineStr">
        <is>
          <t>ناجح</t>
        </is>
      </c>
    </row>
    <row r="17" ht="26" customHeight="1">
      <c r="A17" s="124" t="inlineStr">
        <is>
          <t>T13</t>
        </is>
      </c>
      <c r="B17" s="125" t="inlineStr">
        <is>
          <t>يوجد احتساب فعلي لساعات التأخير</t>
        </is>
      </c>
      <c r="C17" s="125" t="inlineStr">
        <is>
          <t>&gt;0</t>
        </is>
      </c>
      <c r="D17" s="125" t="inlineStr">
        <is>
          <t>6</t>
        </is>
      </c>
      <c r="E17" s="124" t="inlineStr">
        <is>
          <t>ناجح</t>
        </is>
      </c>
    </row>
    <row r="18" ht="26" customHeight="1">
      <c r="A18" s="124" t="inlineStr">
        <is>
          <t>T14</t>
        </is>
      </c>
      <c r="B18" s="125" t="inlineStr">
        <is>
          <t>لا تأخير في الإجازة/العطلة/الغياب</t>
        </is>
      </c>
      <c r="C18" s="125" t="inlineStr">
        <is>
          <t>True</t>
        </is>
      </c>
      <c r="D18" s="125" t="inlineStr">
        <is>
          <t>True</t>
        </is>
      </c>
      <c r="E18" s="124" t="inlineStr">
        <is>
          <t>ناجح</t>
        </is>
      </c>
    </row>
    <row r="19" ht="26" customHeight="1">
      <c r="A19" s="124" t="inlineStr">
        <is>
          <t>T15</t>
        </is>
      </c>
      <c r="B19" s="125" t="inlineStr">
        <is>
          <t>ساعات الدوام الليلي (22:00→06:00) = 8 − الاستراحة</t>
        </is>
      </c>
      <c r="C19" s="125" t="inlineStr">
        <is>
          <t>7.0</t>
        </is>
      </c>
      <c r="D19" s="125" t="inlineStr">
        <is>
          <t>7</t>
        </is>
      </c>
      <c r="E19" s="124" t="inlineStr">
        <is>
          <t>ناجح</t>
        </is>
      </c>
    </row>
    <row r="20" ht="26" customHeight="1">
      <c r="A20" s="124" t="inlineStr">
        <is>
          <t>T16</t>
        </is>
      </c>
      <c r="B20" s="125" t="inlineStr">
        <is>
          <t>تقرير الرواتب = صفوف الشهر/السنة المحددين</t>
        </is>
      </c>
      <c r="C20" s="125" t="inlineStr">
        <is>
          <t>['EMP001', 'EMP002', 'EMP003', 'EMP005', 'EMP006', 'EMP007', 'EMP008', 'EMP012']</t>
        </is>
      </c>
      <c r="D20" s="125" t="inlineStr">
        <is>
          <t>['EMP001', 'EMP002', 'EMP003', 'EMP005', 'EMP006', 'EMP007', 'EMP008', 'EMP012']</t>
        </is>
      </c>
      <c r="E20" s="124" t="inlineStr">
        <is>
          <t>ناجح</t>
        </is>
      </c>
    </row>
    <row r="21" ht="26" customHeight="1">
      <c r="A21" s="124" t="inlineStr">
        <is>
          <t>T17</t>
        </is>
      </c>
      <c r="B21" s="125" t="inlineStr">
        <is>
          <t>عدد الوثائق ≤30 يومًا يطابق لوحة التحكم</t>
        </is>
      </c>
      <c r="C21" s="125" t="inlineStr">
        <is>
          <t>2</t>
        </is>
      </c>
      <c r="D21" s="125" t="inlineStr">
        <is>
          <t>2</t>
        </is>
      </c>
      <c r="E21" s="124" t="inlineStr">
        <is>
          <t>ناجح</t>
        </is>
      </c>
    </row>
    <row r="22" ht="26" customHeight="1">
      <c r="A22" s="124" t="inlineStr">
        <is>
          <t>T03</t>
        </is>
      </c>
      <c r="B22" s="125" t="inlineStr">
        <is>
          <t>الوثائق المنتهية = الصفوف بأيام سالبة</t>
        </is>
      </c>
      <c r="C22" s="125" t="inlineStr">
        <is>
          <t>1</t>
        </is>
      </c>
      <c r="D22" s="125" t="inlineStr">
        <is>
          <t>1</t>
        </is>
      </c>
      <c r="E22" s="124" t="inlineStr">
        <is>
          <t>ناجح</t>
        </is>
      </c>
    </row>
    <row r="23" ht="26" customHeight="1">
      <c r="A23" s="124" t="inlineStr">
        <is>
          <t>T21</t>
        </is>
      </c>
      <c r="B23" s="125" t="inlineStr">
        <is>
          <t>التقييم النهائي = المتوسط المرجّح</t>
        </is>
      </c>
      <c r="C23" s="125" t="inlineStr">
        <is>
          <t>True</t>
        </is>
      </c>
      <c r="D23" s="125" t="inlineStr">
        <is>
          <t>True</t>
        </is>
      </c>
      <c r="E23" s="124" t="inlineStr">
        <is>
          <t>ناجح</t>
        </is>
      </c>
    </row>
    <row r="24" ht="26" customHeight="1">
      <c r="A24" s="124" t="inlineStr">
        <is>
          <t>T19</t>
        </is>
      </c>
      <c r="B24" s="125" t="inlineStr">
        <is>
          <t>تنبيه العهدة غير المسترجعة يظهر في إنهاء الخدمة</t>
        </is>
      </c>
      <c r="C24" s="125" t="inlineStr">
        <is>
          <t>True</t>
        </is>
      </c>
      <c r="D24" s="125" t="inlineStr">
        <is>
          <t>True</t>
        </is>
      </c>
      <c r="E24" s="124" t="inlineStr">
        <is>
          <t>ناجح</t>
        </is>
      </c>
    </row>
    <row r="25" ht="26" customHeight="1">
      <c r="A25" s="124" t="inlineStr">
        <is>
          <t>T25</t>
        </is>
      </c>
      <c r="B25" s="125" t="inlineStr">
        <is>
          <t>تقرير الإدارات: عدد الموظفين لكل إدارة صحيح</t>
        </is>
      </c>
      <c r="C25" s="125" t="inlineStr">
        <is>
          <t>True</t>
        </is>
      </c>
      <c r="D25" s="125" t="inlineStr">
        <is>
          <t>True</t>
        </is>
      </c>
      <c r="E25" s="124" t="inlineStr">
        <is>
          <t>ناجح</t>
        </is>
      </c>
    </row>
    <row r="26" ht="26" customHeight="1">
      <c r="A26" s="124" t="inlineStr">
        <is>
          <t>S1 عدد الموظفين زاد إلى 13</t>
        </is>
      </c>
      <c r="B26" s="125" t="inlineStr">
        <is>
          <t>اختبار السيناريو: S1 عدد الموظفين زاد إلى 13</t>
        </is>
      </c>
      <c r="C26" s="125" t="inlineStr">
        <is>
          <t>13</t>
        </is>
      </c>
      <c r="D26" s="125" t="inlineStr">
        <is>
          <t>13</t>
        </is>
      </c>
      <c r="E26" s="124" t="inlineStr">
        <is>
          <t>ناجح</t>
        </is>
      </c>
    </row>
    <row r="27" ht="26" customHeight="1">
      <c r="A27" s="124" t="inlineStr">
        <is>
          <t>S2 الموظف الجديد ظهر في القائمة المنسدلة (اسم مسترجع)</t>
        </is>
      </c>
      <c r="B27" s="125" t="inlineStr">
        <is>
          <t>اختبار السيناريو: S2 الموظف الجديد ظهر في القائمة المنسدلة (اسم مسترجع)</t>
        </is>
      </c>
      <c r="C27" s="125" t="inlineStr">
        <is>
          <t>تجريبي موظف جديد</t>
        </is>
      </c>
      <c r="D27" s="125" t="inlineStr">
        <is>
          <t>تجريبي موظف جديد</t>
        </is>
      </c>
      <c r="E27" s="124" t="inlineStr">
        <is>
          <t>ناجح</t>
        </is>
      </c>
    </row>
    <row r="28" ht="26" customHeight="1">
      <c r="A28" s="124" t="inlineStr">
        <is>
          <t>S3 الراتب الأساسي مسترجع تلقائيًا في الرواتب</t>
        </is>
      </c>
      <c r="B28" s="125" t="inlineStr">
        <is>
          <t>اختبار السيناريو: S3 الراتب الأساسي مسترجع تلقائيًا في الرواتب</t>
        </is>
      </c>
      <c r="C28" s="125" t="inlineStr">
        <is>
          <t>9500</t>
        </is>
      </c>
      <c r="D28" s="125" t="inlineStr">
        <is>
          <t>9500</t>
        </is>
      </c>
      <c r="E28" s="124" t="inlineStr">
        <is>
          <t>ناجح</t>
        </is>
      </c>
    </row>
    <row r="29" ht="26" customHeight="1">
      <c r="A29" s="124" t="inlineStr">
        <is>
          <t>S4 إجمالي استحقاقات الموظف الجديد</t>
        </is>
      </c>
      <c r="B29" s="125" t="inlineStr">
        <is>
          <t>اختبار السيناريو: S4 إجمالي استحقاقات الموظف الجديد</t>
        </is>
      </c>
      <c r="C29" s="125" t="inlineStr">
        <is>
          <t>11500</t>
        </is>
      </c>
      <c r="D29" s="125" t="inlineStr">
        <is>
          <t>11500</t>
        </is>
      </c>
      <c r="E29" s="124" t="inlineStr">
        <is>
          <t>ناجح</t>
        </is>
      </c>
    </row>
    <row r="30" ht="26" customHeight="1">
      <c r="A30" s="124" t="inlineStr">
        <is>
          <t>S5 صافي راتب الموظف الجديد</t>
        </is>
      </c>
      <c r="B30" s="125" t="inlineStr">
        <is>
          <t>اختبار السيناريو: S5 صافي راتب الموظف الجديد</t>
        </is>
      </c>
      <c r="C30" s="125" t="inlineStr">
        <is>
          <t>11500</t>
        </is>
      </c>
      <c r="D30" s="125" t="inlineStr">
        <is>
          <t>11500</t>
        </is>
      </c>
      <c r="E30" s="124" t="inlineStr">
        <is>
          <t>ناجح</t>
        </is>
      </c>
    </row>
    <row r="31" ht="26" customHeight="1">
      <c r="A31" s="124" t="inlineStr">
        <is>
          <t>S6 إجمالي صافي الرواتب زاد بمقدار راتب الموظف الجديد</t>
        </is>
      </c>
      <c r="B31" s="125" t="inlineStr">
        <is>
          <t>اختبار السيناريو: S6 إجمالي صافي الرواتب زاد بمقدار راتب الموظف الجديد</t>
        </is>
      </c>
      <c r="C31" s="125" t="inlineStr">
        <is>
          <t>127350</t>
        </is>
      </c>
      <c r="D31" s="125" t="inlineStr">
        <is>
          <t>127350</t>
        </is>
      </c>
      <c r="E31" s="124" t="inlineStr">
        <is>
          <t>ناجح</t>
        </is>
      </c>
    </row>
    <row r="32" ht="26" customHeight="1">
      <c r="A32" s="124" t="inlineStr">
        <is>
          <t>S7 رصيد الإجازة قبل الطلب = افتتاحي + استحقاق</t>
        </is>
      </c>
      <c r="B32" s="125" t="inlineStr">
        <is>
          <t>اختبار السيناريو: S7 رصيد الإجازة قبل الطلب = افتتاحي + استحقاق</t>
        </is>
      </c>
      <c r="C32" s="125" t="inlineStr">
        <is>
          <t>25.75</t>
        </is>
      </c>
      <c r="D32" s="125" t="inlineStr">
        <is>
          <t>25.75</t>
        </is>
      </c>
      <c r="E32" s="124" t="inlineStr">
        <is>
          <t>ناجح</t>
        </is>
      </c>
    </row>
    <row r="33" ht="26" customHeight="1">
      <c r="A33" s="124" t="inlineStr">
        <is>
          <t>S8 الإجازة المعتمدة (5 أيام) خُصمت</t>
        </is>
      </c>
      <c r="B33" s="125" t="inlineStr">
        <is>
          <t>اختبار السيناريو: S8 الإجازة المعتمدة (5 أيام) خُصمت</t>
        </is>
      </c>
      <c r="C33" s="125" t="inlineStr">
        <is>
          <t>5</t>
        </is>
      </c>
      <c r="D33" s="125" t="inlineStr">
        <is>
          <t>5</t>
        </is>
      </c>
      <c r="E33" s="124" t="inlineStr">
        <is>
          <t>ناجح</t>
        </is>
      </c>
    </row>
    <row r="34" ht="26" customHeight="1">
      <c r="A34" s="124" t="inlineStr">
        <is>
          <t>S9 الرصيد بعد الطلب = قبل − 5</t>
        </is>
      </c>
      <c r="B34" s="125" t="inlineStr">
        <is>
          <t>اختبار السيناريو: S9 الرصيد بعد الطلب = قبل − 5</t>
        </is>
      </c>
      <c r="C34" s="125" t="inlineStr">
        <is>
          <t>20.75</t>
        </is>
      </c>
      <c r="D34" s="125" t="inlineStr">
        <is>
          <t>20.75</t>
        </is>
      </c>
      <c r="E34" s="124" t="inlineStr">
        <is>
          <t>ناجح</t>
        </is>
      </c>
    </row>
    <row r="35" ht="26" customHeight="1">
      <c r="A35" s="124" t="inlineStr">
        <is>
          <t>S10 تحقق الموظف الجديد في الرواتب = سليم</t>
        </is>
      </c>
      <c r="B35" s="125" t="inlineStr">
        <is>
          <t>اختبار السيناريو: S10 تحقق الموظف الجديد في الرواتب = سليم</t>
        </is>
      </c>
      <c r="C35" s="125" t="inlineStr">
        <is>
          <t>سليم</t>
        </is>
      </c>
      <c r="D35" s="125" t="inlineStr">
        <is>
          <t>سليم</t>
        </is>
      </c>
      <c r="E35" s="124" t="inlineStr">
        <is>
          <t>ناجح</t>
        </is>
      </c>
    </row>
    <row r="36" ht="26" customHeight="1">
      <c r="A36" s="124" t="inlineStr">
        <is>
          <t>S11 الرصيد الافتتاحي مسترجع من الموظفين</t>
        </is>
      </c>
      <c r="B36" s="125" t="inlineStr">
        <is>
          <t>اختبار السيناريو: S11 الرصيد الافتتاحي مسترجع من الموظفين</t>
        </is>
      </c>
      <c r="C36" s="125" t="inlineStr">
        <is>
          <t>10</t>
        </is>
      </c>
      <c r="D36" s="125" t="inlineStr">
        <is>
          <t>10</t>
        </is>
      </c>
      <c r="E36" s="124" t="inlineStr">
        <is>
          <t>ناجح</t>
        </is>
      </c>
    </row>
    <row r="37" ht="26" customHeight="1">
      <c r="A37" s="124" t="inlineStr">
        <is>
          <t>S12 تقرير الموظفين يضم EMP013</t>
        </is>
      </c>
      <c r="B37" s="125" t="inlineStr">
        <is>
          <t>اختبار السيناريو: S12 تقرير الموظفين يضم EMP013</t>
        </is>
      </c>
      <c r="C37" s="125" t="inlineStr">
        <is>
          <t>True</t>
        </is>
      </c>
      <c r="D37" s="125" t="inlineStr">
        <is>
          <t>True</t>
        </is>
      </c>
      <c r="E37" s="124" t="inlineStr">
        <is>
          <t>ناجح</t>
        </is>
      </c>
    </row>
    <row r="38" ht="26" customHeight="1">
      <c r="A38" s="124" t="inlineStr">
        <is>
          <t>S13 لا أخطاء معادلات بعد الإضافة</t>
        </is>
      </c>
      <c r="B38" s="125" t="inlineStr">
        <is>
          <t>اختبار السيناريو: S13 لا أخطاء معادلات بعد الإضافة</t>
        </is>
      </c>
      <c r="C38" s="125" t="inlineStr">
        <is>
          <t>0</t>
        </is>
      </c>
      <c r="D38" s="125" t="inlineStr">
        <is>
          <t>0</t>
        </is>
      </c>
      <c r="E38" s="124" t="inlineStr">
        <is>
          <t>ناجح</t>
        </is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05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نظام الموارد البشرية</dc:creator>
  <dc:title>نظام إدارة الموارد البشرية</dc:title>
  <dc:description>نظام إدارة شؤون الموظفين والرواتب والحضور — بدون ماكرو، قابل للتعديل من ورقة الإعدادات.</dc:description>
  <dcterms:created xsi:type="dcterms:W3CDTF">2026-10-29T15:29:25Z</dcterms:created>
  <dcterms:modified xsi:type="dcterms:W3CDTF">2026-10-29T15:30:04Z</dcterms:modified>
</cp:coreProperties>
</file>